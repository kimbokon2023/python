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설계작지변환\손상민소장\"/>
    </mc:Choice>
  </mc:AlternateContent>
  <xr:revisionPtr revIDLastSave="0" documentId="13_ncr:1_{84CDE7CD-0BE3-44E5-A306-CF386ED6ACAA}" xr6:coauthVersionLast="47" xr6:coauthVersionMax="47" xr10:uidLastSave="{00000000-0000-0000-0000-000000000000}"/>
  <bookViews>
    <workbookView xWindow="28680" yWindow="765" windowWidth="29040" windowHeight="15840" tabRatio="947" activeTab="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8" i="8" l="1"/>
  <c r="V8" i="8"/>
  <c r="W8" i="8"/>
  <c r="X8" i="8"/>
  <c r="U9" i="8"/>
  <c r="V9" i="8"/>
  <c r="W9" i="8"/>
  <c r="X9" i="8"/>
  <c r="U10" i="8"/>
  <c r="V10" i="8"/>
  <c r="W10" i="8"/>
  <c r="X10" i="8"/>
  <c r="U11" i="8"/>
  <c r="V11" i="8"/>
  <c r="W11" i="8"/>
  <c r="X11" i="8"/>
  <c r="U12" i="8"/>
  <c r="V12" i="8"/>
  <c r="W12" i="8"/>
  <c r="X12" i="8"/>
  <c r="U13" i="8"/>
  <c r="V13" i="8"/>
  <c r="W13" i="8"/>
  <c r="X13" i="8"/>
  <c r="V7" i="8"/>
  <c r="W7" i="8"/>
  <c r="X7" i="8"/>
  <c r="U7" i="8"/>
  <c r="A8" i="8"/>
  <c r="B8" i="8"/>
  <c r="E8" i="8"/>
  <c r="F8" i="8"/>
  <c r="M8" i="8"/>
  <c r="N8" i="8"/>
  <c r="O8" i="8"/>
  <c r="P8" i="8"/>
  <c r="S8" i="8"/>
  <c r="T8" i="8"/>
  <c r="Y8" i="8"/>
  <c r="C8" i="8" s="1"/>
  <c r="AA8" i="8"/>
  <c r="AB8" i="8"/>
  <c r="AC8" i="8"/>
  <c r="AD8" i="8" s="1"/>
  <c r="AE8" i="8"/>
  <c r="AM8" i="8"/>
  <c r="AN8" i="8"/>
  <c r="AO8" i="8"/>
  <c r="AP8" i="8"/>
  <c r="AQ8" i="8"/>
  <c r="AR8" i="8"/>
  <c r="AS8" i="8"/>
  <c r="AY8" i="8" s="1"/>
  <c r="AT8" i="8"/>
  <c r="BA8" i="8"/>
  <c r="A9" i="8"/>
  <c r="B9" i="8"/>
  <c r="E9" i="8"/>
  <c r="F9" i="8"/>
  <c r="M9" i="8"/>
  <c r="N9" i="8"/>
  <c r="S9" i="8"/>
  <c r="O9" i="8" s="1"/>
  <c r="T9" i="8"/>
  <c r="P9" i="8" s="1"/>
  <c r="Y9" i="8"/>
  <c r="D9" i="8" s="1"/>
  <c r="AH9" i="8" s="1"/>
  <c r="BF9" i="8" s="1"/>
  <c r="AA9" i="8"/>
  <c r="AB9" i="8"/>
  <c r="AC9" i="8"/>
  <c r="AD9" i="8" s="1"/>
  <c r="AE9" i="8"/>
  <c r="AF9" i="8" s="1"/>
  <c r="AM9" i="8"/>
  <c r="AN9" i="8"/>
  <c r="AO9" i="8"/>
  <c r="AP9" i="8"/>
  <c r="AQ9" i="8"/>
  <c r="AR9" i="8"/>
  <c r="AS9" i="8"/>
  <c r="AY9" i="8" s="1"/>
  <c r="AT9" i="8"/>
  <c r="BA9" i="8"/>
  <c r="A10" i="8"/>
  <c r="B10" i="8"/>
  <c r="C10" i="8"/>
  <c r="AG10" i="8" s="1"/>
  <c r="BD10" i="8" s="1"/>
  <c r="E10" i="8"/>
  <c r="F10" i="8"/>
  <c r="M10" i="8"/>
  <c r="N10" i="8"/>
  <c r="S10" i="8"/>
  <c r="O10" i="8" s="1"/>
  <c r="T10" i="8"/>
  <c r="P10" i="8" s="1"/>
  <c r="Y10" i="8"/>
  <c r="D10" i="8" s="1"/>
  <c r="AH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BA10" i="8"/>
  <c r="A11" i="8"/>
  <c r="B11" i="8"/>
  <c r="E11" i="8"/>
  <c r="F11" i="8"/>
  <c r="M11" i="8"/>
  <c r="N11" i="8"/>
  <c r="S11" i="8"/>
  <c r="O11" i="8" s="1"/>
  <c r="T11" i="8"/>
  <c r="P11" i="8" s="1"/>
  <c r="Y11" i="8"/>
  <c r="D11" i="8" s="1"/>
  <c r="AH11" i="8" s="1"/>
  <c r="BF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BA11" i="8"/>
  <c r="A12" i="8"/>
  <c r="B12" i="8"/>
  <c r="C12" i="8"/>
  <c r="AG12" i="8" s="1"/>
  <c r="BD12" i="8" s="1"/>
  <c r="E12" i="8"/>
  <c r="F12" i="8"/>
  <c r="BA12" i="8" s="1"/>
  <c r="M12" i="8"/>
  <c r="N12" i="8"/>
  <c r="P12" i="8"/>
  <c r="S12" i="8"/>
  <c r="O12" i="8" s="1"/>
  <c r="T12" i="8"/>
  <c r="Y12" i="8"/>
  <c r="D12" i="8" s="1"/>
  <c r="AH12" i="8" s="1"/>
  <c r="BF12" i="8" s="1"/>
  <c r="AA12" i="8"/>
  <c r="AB12" i="8"/>
  <c r="AC12" i="8"/>
  <c r="AD12" i="8" s="1"/>
  <c r="AE12" i="8"/>
  <c r="AF12" i="8" s="1"/>
  <c r="AM12" i="8"/>
  <c r="AN12" i="8"/>
  <c r="AO12" i="8"/>
  <c r="AP12" i="8"/>
  <c r="AQ12" i="8"/>
  <c r="AR12" i="8"/>
  <c r="AS12" i="8"/>
  <c r="AY12" i="8" s="1"/>
  <c r="AT12" i="8"/>
  <c r="A13" i="8"/>
  <c r="B13" i="8"/>
  <c r="E13" i="8"/>
  <c r="F13" i="8"/>
  <c r="BA13" i="8" s="1"/>
  <c r="M13" i="8"/>
  <c r="N13" i="8"/>
  <c r="S13" i="8"/>
  <c r="O13" i="8" s="1"/>
  <c r="T13" i="8"/>
  <c r="P13" i="8" s="1"/>
  <c r="Y13" i="8"/>
  <c r="C13" i="8" s="1"/>
  <c r="AA13" i="8"/>
  <c r="AB13" i="8"/>
  <c r="AC13" i="8"/>
  <c r="AD13" i="8"/>
  <c r="AE13" i="8"/>
  <c r="AF13" i="8" s="1"/>
  <c r="AM13" i="8"/>
  <c r="AN13" i="8"/>
  <c r="AO13" i="8"/>
  <c r="AP13" i="8"/>
  <c r="AQ13" i="8"/>
  <c r="AR13" i="8"/>
  <c r="AS13" i="8"/>
  <c r="AX13" i="8" s="1"/>
  <c r="AT13" i="8"/>
  <c r="BI8" i="8" l="1"/>
  <c r="G8" i="8" s="1"/>
  <c r="C11" i="8"/>
  <c r="BI10" i="8"/>
  <c r="G10" i="8" s="1"/>
  <c r="AX8" i="8"/>
  <c r="BI11" i="8"/>
  <c r="J11" i="8" s="1"/>
  <c r="BH10" i="8"/>
  <c r="BI9" i="8"/>
  <c r="L9" i="8" s="1"/>
  <c r="BF10" i="8"/>
  <c r="AX12" i="8"/>
  <c r="AY11" i="8"/>
  <c r="AX9" i="8"/>
  <c r="AG8" i="8"/>
  <c r="BD8" i="8" s="1"/>
  <c r="AG13" i="8"/>
  <c r="BD13" i="8" s="1"/>
  <c r="BH11" i="8"/>
  <c r="BH12" i="8"/>
  <c r="AG11" i="8"/>
  <c r="BD11" i="8" s="1"/>
  <c r="C9" i="8"/>
  <c r="AF8" i="8"/>
  <c r="BI13" i="8"/>
  <c r="D13" i="8"/>
  <c r="AH13" i="8" s="1"/>
  <c r="BF13" i="8" s="1"/>
  <c r="AY10" i="8"/>
  <c r="AY13" i="8"/>
  <c r="D8" i="8"/>
  <c r="AH8" i="8" s="1"/>
  <c r="BF8" i="8" s="1"/>
  <c r="BI12" i="8"/>
  <c r="D8" i="14"/>
  <c r="D7" i="14"/>
  <c r="O8" i="14"/>
  <c r="P8" i="14"/>
  <c r="Q8" i="14"/>
  <c r="R8" i="14"/>
  <c r="P7" i="14"/>
  <c r="Q7" i="14"/>
  <c r="R7" i="14"/>
  <c r="O7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K11" i="8" l="1"/>
  <c r="K9" i="8"/>
  <c r="BE9" i="8" s="1"/>
  <c r="AL9" i="8" s="1"/>
  <c r="H8" i="8"/>
  <c r="J8" i="8"/>
  <c r="K8" i="8"/>
  <c r="L8" i="8"/>
  <c r="BE8" i="8" s="1"/>
  <c r="AL8" i="8" s="1"/>
  <c r="I8" i="8"/>
  <c r="BC8" i="8" s="1"/>
  <c r="AK8" i="8" s="1"/>
  <c r="I11" i="8"/>
  <c r="BC11" i="8" s="1"/>
  <c r="AK11" i="8" s="1"/>
  <c r="H9" i="8"/>
  <c r="AU9" i="8" s="1"/>
  <c r="I9" i="8"/>
  <c r="L11" i="8"/>
  <c r="BE11" i="8" s="1"/>
  <c r="AL11" i="8" s="1"/>
  <c r="H10" i="8"/>
  <c r="AU10" i="8" s="1"/>
  <c r="I10" i="8"/>
  <c r="L10" i="8"/>
  <c r="G9" i="8"/>
  <c r="J10" i="8"/>
  <c r="G11" i="8"/>
  <c r="H11" i="8"/>
  <c r="AU11" i="8" s="1"/>
  <c r="AW11" i="8" s="1"/>
  <c r="R11" i="8" s="1"/>
  <c r="K10" i="8"/>
  <c r="BH8" i="8"/>
  <c r="J9" i="8"/>
  <c r="H13" i="8"/>
  <c r="I13" i="8"/>
  <c r="J13" i="8"/>
  <c r="K13" i="8"/>
  <c r="L13" i="8"/>
  <c r="G13" i="8"/>
  <c r="BH13" i="8"/>
  <c r="AU8" i="8"/>
  <c r="AW8" i="8" s="1"/>
  <c r="R8" i="8" s="1"/>
  <c r="K12" i="8"/>
  <c r="G12" i="8"/>
  <c r="H12" i="8"/>
  <c r="I12" i="8"/>
  <c r="J12" i="8"/>
  <c r="L12" i="8"/>
  <c r="BH9" i="8"/>
  <c r="AG9" i="8"/>
  <c r="BD9" i="8" s="1"/>
  <c r="C7" i="26"/>
  <c r="E7" i="26"/>
  <c r="AF4" i="26"/>
  <c r="AJ4" i="24"/>
  <c r="AE4" i="22"/>
  <c r="AI4" i="19"/>
  <c r="AA4" i="10"/>
  <c r="AE3" i="8"/>
  <c r="BC9" i="8" l="1"/>
  <c r="AW10" i="8"/>
  <c r="R10" i="8" s="1"/>
  <c r="AV10" i="8"/>
  <c r="AZ10" i="8" s="1"/>
  <c r="BC10" i="8"/>
  <c r="AK10" i="8" s="1"/>
  <c r="AV9" i="8"/>
  <c r="AZ9" i="8" s="1"/>
  <c r="Q10" i="8"/>
  <c r="BG10" i="8" s="1"/>
  <c r="AV11" i="8"/>
  <c r="AZ11" i="8" s="1"/>
  <c r="BE10" i="8"/>
  <c r="AL10" i="8" s="1"/>
  <c r="BE13" i="8"/>
  <c r="AL13" i="8" s="1"/>
  <c r="AK9" i="8"/>
  <c r="BE12" i="8"/>
  <c r="AL12" i="8" s="1"/>
  <c r="AW9" i="8"/>
  <c r="R9" i="8" s="1"/>
  <c r="AU13" i="8"/>
  <c r="AV13" i="8" s="1"/>
  <c r="Z10" i="8"/>
  <c r="AV8" i="8"/>
  <c r="BC12" i="8"/>
  <c r="AK12" i="8" s="1"/>
  <c r="AU12" i="8"/>
  <c r="AW12" i="8" s="1"/>
  <c r="R12" i="8" s="1"/>
  <c r="BC13" i="8"/>
  <c r="AK13" i="8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Q11" i="8" l="1"/>
  <c r="Q9" i="8"/>
  <c r="AV12" i="8"/>
  <c r="Q12" i="8" s="1"/>
  <c r="Q13" i="8"/>
  <c r="AZ13" i="8"/>
  <c r="AW13" i="8"/>
  <c r="R13" i="8" s="1"/>
  <c r="Q8" i="8"/>
  <c r="AZ8" i="8"/>
  <c r="AI10" i="8"/>
  <c r="BB10" i="8"/>
  <c r="AJ10" i="8" s="1"/>
  <c r="Z11" i="8"/>
  <c r="BG11" i="8"/>
  <c r="Z9" i="8"/>
  <c r="BG9" i="8"/>
  <c r="AI7" i="32"/>
  <c r="AE4" i="32"/>
  <c r="AD7" i="28"/>
  <c r="AA4" i="28"/>
  <c r="AH7" i="32"/>
  <c r="AE7" i="26"/>
  <c r="AK7" i="32"/>
  <c r="C7" i="19"/>
  <c r="D7" i="24"/>
  <c r="AZ12" i="8" l="1"/>
  <c r="Z8" i="8"/>
  <c r="BG8" i="8"/>
  <c r="AI11" i="8"/>
  <c r="BB11" i="8"/>
  <c r="AJ11" i="8" s="1"/>
  <c r="AI9" i="8"/>
  <c r="BB9" i="8"/>
  <c r="AJ9" i="8" s="1"/>
  <c r="Z12" i="8"/>
  <c r="BG12" i="8"/>
  <c r="Z13" i="8"/>
  <c r="BG13" i="8"/>
  <c r="AS7" i="32"/>
  <c r="T7" i="32" s="1"/>
  <c r="AR7" i="32"/>
  <c r="AI13" i="8" l="1"/>
  <c r="BB13" i="8"/>
  <c r="AJ13" i="8" s="1"/>
  <c r="AI12" i="8"/>
  <c r="BB12" i="8"/>
  <c r="AJ12" i="8" s="1"/>
  <c r="AI8" i="8"/>
  <c r="BB8" i="8"/>
  <c r="AJ8" i="8" s="1"/>
  <c r="S7" i="32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H8" i="15" l="1"/>
  <c r="G8" i="15"/>
  <c r="AM7" i="32"/>
  <c r="AF8" i="14"/>
  <c r="AH8" i="14"/>
  <c r="E8" i="14"/>
  <c r="AD8" i="14" s="1"/>
  <c r="F8" i="14"/>
  <c r="AG8" i="14" s="1"/>
  <c r="AC8" i="14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C8" i="14"/>
  <c r="H8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H7" i="15" l="1"/>
  <c r="G7" i="15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<sst xmlns="http://schemas.openxmlformats.org/spreadsheetml/2006/main" count="1183" uniqueCount="339">
  <si>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</si>
  <si>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</si>
  <si>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</si>
  <si>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</si>
  <si>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</si>
  <si>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</si>
  <si>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</si>
  <si>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</si>
  <si>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</si>
  <si>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</si>
  <si>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</si>
  <si>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</si>
  <si>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</si>
  <si>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</si>
  <si>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</si>
  <si>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</si>
  <si>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</si>
  <si>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</si>
  <si>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</si>
  <si>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</si>
  <si>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</si>
  <si>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</si>
  <si>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</si>
  <si>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</si>
  <si>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</si>
  <si>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</si>
  <si>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</si>
  <si>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</si>
  <si>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</si>
  <si>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</si>
  <si>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</si>
  <si>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</si>
  <si>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</si>
  <si>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</si>
  <si>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</si>
  <si>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</si>
  <si>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</si>
  <si>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</si>
  <si>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</si>
  <si>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</si>
  <si>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</si>
  <si>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</si>
  <si>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</si>
  <si>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</si>
  <si>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</si>
  <si>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</si>
  <si>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</si>
  <si>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</si>
  <si>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</si>
  <si>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</si>
  <si>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</si>
  <si>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</si>
  <si>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</si>
  <si>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</si>
  <si>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</si>
  <si>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</si>
  <si>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</si>
  <si>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</si>
  <si>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</si>
  <si>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</si>
  <si>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</si>
  <si>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</si>
  <si>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</si>
  <si>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</si>
  <si>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</si>
  <si>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</si>
  <si>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</si>
  <si>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</si>
  <si>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</si>
  <si>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</si>
  <si>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</si>
  <si>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</si>
  <si>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</si>
  <si>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</si>
  <si>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</si>
  <si>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</si>
  <si>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</si>
  <si>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</si>
  <si>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</si>
  <si>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</si>
  <si>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</si>
  <si>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</si>
  <si>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</si>
  <si>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</si>
  <si>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</si>
  <si>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</si>
  <si>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</si>
  <si>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</si>
  <si>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</si>
  <si>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</si>
  <si>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</si>
  <si>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</si>
  <si>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</si>
  <si>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</si>
  <si>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</si>
  <si>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</si>
  <si>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</si>
  <si>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</si>
  <si>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</si>
  <si>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</si>
  <si>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</si>
  <si>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</si>
  <si>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</si>
  <si>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</si>
  <si>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</si>
  <si>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</si>
  <si>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</si>
  <si>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</si>
  <si>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</si>
  <si>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</si>
  <si>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</si>
  <si>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</si>
  <si>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</si>
  <si>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</si>
  <si>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</si>
  <si>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</si>
  <si>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</si>
  <si>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</si>
  <si>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</si>
  <si>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</si>
  <si>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</si>
  <si>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</si>
  <si>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</si>
  <si>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</si>
  <si>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</si>
  <si>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</si>
  <si>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</si>
  <si>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</si>
  <si>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</si>
  <si>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</si>
  <si>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</si>
  <si>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</si>
  <si>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</si>
  <si>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</si>
  <si>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</si>
  <si>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</si>
  <si>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</si>
  <si>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</si>
  <si>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</si>
  <si>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</si>
  <si>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</si>
  <si>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</si>
  <si>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</si>
  <si>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</si>
  <si>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</si>
  <si>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</si>
  <si>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</si>
  <si>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</si>
  <si>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</si>
  <si>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</si>
  <si>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</si>
  <si>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</si>
  <si>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</si>
  <si>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</si>
  <si>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</si>
  <si>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</si>
  <si>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</si>
  <si>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</si>
  <si>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</si>
  <si>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</si>
  <si>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</si>
  <si>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</si>
  <si>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</si>
  <si>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</si>
  <si>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</si>
  <si>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</si>
  <si>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</si>
  <si>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</si>
  <si>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</si>
  <si>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</si>
  <si>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</si>
  <si>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</si>
  <si>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</si>
  <si>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</si>
  <si>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</si>
  <si>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</si>
  <si>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</si>
  <si>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</si>
  <si>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</si>
  <si>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</si>
  <si>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</si>
  <si>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</si>
  <si>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</si>
  <si>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</si>
  <si>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</si>
  <si>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</si>
  <si>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</si>
  <si>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</si>
  <si>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</si>
  <si>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</si>
  <si>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</si>
  <si>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</si>
  <si>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</si>
  <si>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</si>
  <si>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</si>
  <si>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</si>
  <si>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</si>
  <si>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</si>
  <si>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</si>
  <si>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</si>
  <si>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</si>
  <si>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</si>
  <si>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</si>
  <si>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</si>
  <si>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</si>
  <si>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</si>
  <si>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</si>
  <si>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</si>
  <si>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</si>
  <si>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</si>
  <si>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</si>
  <si>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</si>
  <si>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</si>
  <si>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</si>
  <si>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</si>
  <si>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</si>
  <si>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</si>
  <si>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</si>
  <si>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</si>
  <si>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</si>
  <si>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</si>
  <si>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</si>
  <si>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</si>
  <si>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</si>
  <si>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</si>
  <si>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</si>
  <si>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</si>
  <si>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</si>
  <si>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</si>
  <si>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</si>
  <si>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</si>
  <si>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</si>
  <si>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</si>
  <si>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</si>
  <si>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</si>
  <si>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</si>
  <si>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</si>
  <si>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</si>
  <si>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</si>
  <si>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</si>
  <si>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</si>
  <si>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</si>
  <si>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</si>
  <si>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</si>
  <si>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</si>
  <si>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</si>
  <si>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</si>
  <si>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</si>
  <si>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</si>
  <si>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</si>
  <si>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</si>
  <si>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</si>
  <si>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</si>
  <si>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</si>
  <si>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</si>
  <si>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</si>
  <si>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</si>
  <si>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</si>
  <si>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</si>
  <si>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</si>
  <si>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</si>
  <si>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</si>
  <si>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</si>
  <si>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</si>
  <si>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</si>
  <si>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</si>
  <si>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</si>
  <si>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</si>
  <si>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</si>
  <si>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</si>
  <si>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</si>
  <si>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</si>
  <si>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</si>
  <si>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</si>
  <si>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</si>
  <si>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</si>
  <si>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</si>
  <si>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</si>
  <si>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</si>
  <si>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</si>
  <si>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</si>
  <si>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</si>
  <si>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</si>
  <si>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</si>
  <si>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</si>
  <si>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</si>
  <si>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</si>
  <si>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</si>
  <si>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</si>
  <si>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</si>
  <si>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</si>
  <si>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</si>
  <si>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</si>
  <si>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</si>
  <si>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</si>
  <si>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</si>
  <si>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</si>
  <si>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</si>
  <si>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</si>
  <si>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</si>
  <si>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</si>
  <si>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</si>
  <si>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</si>
  <si>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</si>
  <si>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</si>
  <si>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</si>
  <si>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</si>
  <si>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</si>
  <si>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</si>
  <si>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</si>
  <si>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</si>
  <si>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</si>
  <si>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</si>
  <si>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</si>
  <si>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</si>
  <si>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</si>
  <si>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</si>
  <si>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</si>
  <si>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</si>
  <si>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</si>
  <si>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</si>
  <si>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</si>
  <si>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</si>
  <si>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</si>
  <si>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</si>
  <si>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</si>
  <si>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</si>
  <si>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</si>
  <si>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</si>
  <si>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</si>
  <si>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</si>
  <si>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</si>
  <si>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</si>
  <si>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</si>
  <si>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</si>
  <si>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(판매)대구 시설관리공단-2차</t>
  </si>
  <si>
    <t>손상민</t>
  </si>
  <si>
    <t>사급 일해 BRONZE1.2T</t>
    <phoneticPr fontId="1" type="noConversion"/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</si>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</sst>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23" sqref="B23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(판매)대구 시설관리공단-2차 ) _손상민소장</v>
      </c>
      <c r="C2" s="39" t="str">
        <f>"(와이드) 제작변환 자료( "&amp;B1&amp;" ) _"&amp;소장 &amp;"소장"</f>
        <v>(와이드) 제작변환 자료( (판매)대구 시설관리공단-2차 ) _손상민소장</v>
      </c>
      <c r="D2" s="154" t="s">
        <v>318</v>
      </c>
      <c r="E2" s="150" t="str">
        <f>"(SO와이드) 실측서 ( " &amp; B1 &amp; " ) _"&amp;소장 &amp;"소장"</f>
        <v>(SO와이드) 실측서 ( (판매)대구 시설관리공단-2차 ) _손상민소장</v>
      </c>
      <c r="F2" s="150" t="str">
        <f>"(SO와이드) 제작변환 ( " &amp; B1 &amp; " ) _"&amp;소장 &amp;"소장"</f>
        <v>(SO와이드) 제작변환 ( (판매)대구 시설관리공단-2차 ) _손상민소장</v>
      </c>
      <c r="G2" s="152" t="s">
        <v>320</v>
      </c>
      <c r="H2" s="147" t="str">
        <f>"(4CO와이드) 실측서 ( " &amp; B1 &amp; " ) _"&amp;소장 &amp;"소장"</f>
        <v>(4CO와이드) 실측서 ( (판매)대구 시설관리공단-2차 ) _손상민소장</v>
      </c>
      <c r="I2" s="147" t="str">
        <f>"(4CO와이드) 제작변환 ( " &amp; B1 &amp; " ) _"&amp;소장 &amp;"소장"</f>
        <v>(4CO와이드) 제작변환 ( (판매)대구 시설관리공단-2차 ) _손상민소장</v>
      </c>
      <c r="J2" s="152" t="s">
        <v>322</v>
      </c>
      <c r="K2" s="153" t="str">
        <f>"(2UP) 실측서 ( " &amp; B1 &amp; " ) _"&amp;소장 &amp;"소장"</f>
        <v>(2UP) 실측서 ( (판매)대구 시설관리공단-2차 ) _손상민소장</v>
      </c>
      <c r="L2" s="153" t="str">
        <f>"(2UP) 제작변환 ( " &amp; B1 &amp; " ) _"&amp;소장 &amp;"소장"</f>
        <v>(2UP) 제작변환 ( (판매)대구 시설관리공단-2차 ) _손상민소장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(판매)대구 시설관리공단-2차 ) _손상민소장</v>
      </c>
      <c r="C3" s="39" t="str">
        <f>"(멍텅구리) 제작변환 자료( "&amp;B1&amp;" ) _"&amp;소장 &amp;"소장"</f>
        <v>(멍텅구리) 제작변환 자료( (판매)대구 시설관리공단-2차 ) _손상민소장</v>
      </c>
      <c r="D3" s="154" t="s">
        <v>319</v>
      </c>
      <c r="E3" s="150" t="str">
        <f>"(SO멍텅구리) 실측서 ( " &amp; B1 &amp; " ) _"&amp;소장 &amp;"소장"</f>
        <v>(SO멍텅구리) 실측서 ( (판매)대구 시설관리공단-2차 ) _손상민소장</v>
      </c>
      <c r="F3" s="150" t="str">
        <f>"(SO멍텅구리) 제작변환 ( " &amp; B1 &amp; " ) _"&amp;소장 &amp;"소장"</f>
        <v>(SO멍텅구리) 제작변환 ( (판매)대구 시설관리공단-2차 ) _손상민소장</v>
      </c>
      <c r="G3" s="152" t="s">
        <v>321</v>
      </c>
      <c r="H3" s="147" t="str">
        <f>"(4CO멍텅구리) 실측서 ( " &amp; B1 &amp; " ) _"&amp;소장 &amp;"소장"</f>
        <v>(4CO멍텅구리) 실측서 ( (판매)대구 시설관리공단-2차 ) _손상민소장</v>
      </c>
      <c r="I3" s="147" t="str">
        <f>"(4CO멍텅구리) 제작변환 ( " &amp; B1 &amp; " ) _"&amp;소장 &amp;"소장"</f>
        <v>(4CO멍텅구리) 제작변환 ( (판매)대구 시설관리공단-2차 ) _손상민소장</v>
      </c>
      <c r="J3" s="152" t="s">
        <v>323</v>
      </c>
      <c r="K3" s="153" t="str">
        <f>"(3UP) 실측서 ( " &amp; B1 &amp; " ) _"&amp;소장 &amp;"소장"</f>
        <v>(3UP) 실측서 ( (판매)대구 시설관리공단-2차 ) _손상민소장</v>
      </c>
      <c r="L3" s="153" t="str">
        <f>"(3UP) 제작변환 ( " &amp; B1 &amp; " ) _"&amp;소장 &amp;"소장"</f>
        <v>(3UP) 제작변환 ( (판매)대구 시설관리공단-2차 ) _손상민소장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(판매)대구 시설관리공단-2차 ) _손상민소장</v>
      </c>
      <c r="C4" s="39" t="str">
        <f>"(쪽쟘) 제작변환 자료( "&amp;B1&amp;" ) _"&amp;소장 &amp;"소장"</f>
        <v>(쪽쟘) 제작변환 자료( (판매)대구 시설관리공단-2차 ) _손상민소장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324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337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337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+(2.2 ),  늘어난치수K -(-2.2),  C + (4.4),   U + (4.4), OP - (0), R - (0),  기둥차감 - (0), A + (1.2)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+(4.4 ),  늘어난치수K -(0),  C + (4.4),  U +(4.4), OP - (0), R - (0),  기둥차감 - (0),  A + (1.2)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+(4.4 ),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+(4.4 ),  늘어난치수K -(0),  C + (4.4),   U + (4.4), OP - (0), R - (0),  기둥차감 - (0),  A + (1.2)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+(4.4 ),  늘어난치수K -(0),  C + (4.4),  U +(4.4), OP1/OP2 - (0), R - (0),  기둥차감 - (0), A + (1.2)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+(4.4 ),  늘어난치수K -(0),  C + (4.4),   U + (4.4), OP1/OP3 - (0), R - (0),  기둥차감 - (0), A + (1.2)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+(4.4 ),  늘어난치수K -(0),  C + (4.4),  U +(4.4), OP1/OP3 - (0), R - (0),  기둥차감 - (0), A + (1.2)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+(4.4 ),  늘어난치수K -(0),  C + (4.4),   U + (4.4), OP - (0), R - (0),  기둥차감 - (0), A + (1.2)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+(4.4 ),  늘어난치수K -(0),  C + (4.4),   U + (4.4), OP - (0), R - (0),  기둥차감 - (0), A + (1.2)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(판매)대구 시설관리공단-2차</v>
      </c>
      <c r="E2" s="3" t="str">
        <f>정보!B6</f>
        <v>손상민</v>
      </c>
      <c r="F2" s="3" t="str">
        <f>정보!B7</f>
        <v>사급 일해 BRONZE1.2T</v>
      </c>
      <c r="G2" s="3" t="str">
        <f>정보!B8</f>
        <v>HL 1.2T</v>
      </c>
      <c r="H2" s="3" t="str">
        <f>정보!B9</f>
        <v>사급 일해 BRONZE1.2T</v>
      </c>
      <c r="I2">
        <f>정보!B5</f>
        <v>0</v>
      </c>
      <c r="J2" s="87">
        <f ca="1">TODAY()</f>
        <v>45288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tabSelected="1" zoomScale="85" zoomScaleNormal="85" workbookViewId="0">
      <selection activeCell="AB14" sqref="AB14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(판매)대구 시설관리공단-2차 ) _손상민소장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(판매)대구 시설관리공단-2차,   (재질) : 사급 일해 BRONZE1.2T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(1.2), JB/JD +(2.2 ),  늘어난치수K -(-2.2),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 t="s">
        <v>12</v>
      </c>
      <c r="C7" s="4">
        <v>268</v>
      </c>
      <c r="D7" s="4">
        <v>268</v>
      </c>
      <c r="E7" s="4">
        <v>997</v>
      </c>
      <c r="F7" s="4">
        <v>1073</v>
      </c>
      <c r="G7" s="4">
        <v>285</v>
      </c>
      <c r="H7" s="4">
        <v>285</v>
      </c>
      <c r="I7" s="4">
        <v>311</v>
      </c>
      <c r="J7" s="4">
        <v>311</v>
      </c>
      <c r="K7" s="13">
        <v>30</v>
      </c>
      <c r="L7" s="13">
        <v>30</v>
      </c>
      <c r="M7" s="4"/>
      <c r="N7" s="4"/>
      <c r="O7" s="4">
        <v>10</v>
      </c>
      <c r="P7" s="4">
        <v>10</v>
      </c>
      <c r="Q7" s="4">
        <v>292</v>
      </c>
      <c r="R7" s="4">
        <v>294</v>
      </c>
      <c r="S7" s="4">
        <v>290</v>
      </c>
      <c r="T7" s="4">
        <v>286</v>
      </c>
      <c r="U7" s="4">
        <v>20</v>
      </c>
      <c r="V7" s="4">
        <v>0</v>
      </c>
      <c r="W7" s="4">
        <v>15</v>
      </c>
      <c r="X7" s="4">
        <v>25</v>
      </c>
      <c r="Y7" s="4">
        <v>38</v>
      </c>
      <c r="Z7" s="4">
        <v>40</v>
      </c>
      <c r="AA7" s="4">
        <v>42</v>
      </c>
      <c r="AB7" s="4">
        <v>44</v>
      </c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38</v>
      </c>
      <c r="AM7" s="3">
        <f>Z7+$AK7</f>
        <v>40</v>
      </c>
      <c r="AN7" s="3">
        <f>AA7+$AK7</f>
        <v>42</v>
      </c>
      <c r="AO7" s="3">
        <f>AB7+$AK7</f>
        <v>44</v>
      </c>
      <c r="AP7" s="3">
        <f>G7-$AK7</f>
        <v>285</v>
      </c>
      <c r="AQ7" s="3">
        <f>H7-$AK7</f>
        <v>285</v>
      </c>
      <c r="AR7" s="3">
        <f>I7-$AK7</f>
        <v>311</v>
      </c>
      <c r="AS7" s="3">
        <f>J7-$AK7</f>
        <v>311</v>
      </c>
    </row>
    <row r="8" spans="1:45" ht="23.25" customHeight="1" x14ac:dyDescent="0.3">
      <c r="A8" s="127"/>
      <c r="B8" s="4">
        <v>3</v>
      </c>
      <c r="C8" s="4">
        <v>218</v>
      </c>
      <c r="D8" s="4">
        <v>218</v>
      </c>
      <c r="E8" s="4">
        <v>997</v>
      </c>
      <c r="F8" s="4">
        <v>1073</v>
      </c>
      <c r="G8" s="4">
        <v>285</v>
      </c>
      <c r="H8" s="4">
        <v>285</v>
      </c>
      <c r="I8" s="4">
        <v>306</v>
      </c>
      <c r="J8" s="4">
        <v>306</v>
      </c>
      <c r="K8" s="13">
        <v>28</v>
      </c>
      <c r="L8" s="13">
        <v>28</v>
      </c>
      <c r="M8" s="4"/>
      <c r="N8" s="4"/>
      <c r="O8" s="4" t="s">
        <v>338</v>
      </c>
      <c r="P8" s="4" t="s">
        <v>338</v>
      </c>
      <c r="Q8" s="4">
        <v>300</v>
      </c>
      <c r="R8" s="4">
        <v>295</v>
      </c>
      <c r="S8" s="4">
        <v>297</v>
      </c>
      <c r="T8" s="4">
        <v>293</v>
      </c>
      <c r="U8" s="4">
        <v>14</v>
      </c>
      <c r="V8" s="4">
        <v>0</v>
      </c>
      <c r="W8" s="4">
        <v>12</v>
      </c>
      <c r="X8" s="4">
        <v>25</v>
      </c>
      <c r="Y8" s="4">
        <v>38</v>
      </c>
      <c r="Z8" s="4">
        <v>38</v>
      </c>
      <c r="AA8" s="4">
        <v>42</v>
      </c>
      <c r="AB8" s="4">
        <v>44</v>
      </c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38</v>
      </c>
      <c r="AM8" s="3">
        <f>Z8+$AK8</f>
        <v>38</v>
      </c>
      <c r="AN8" s="3">
        <f>AA8+$AK8</f>
        <v>42</v>
      </c>
      <c r="AO8" s="3">
        <f>AB8+$AK8</f>
        <v>44</v>
      </c>
      <c r="AP8" s="3">
        <f t="shared" ref="AP8" si="1">G8-$AK8</f>
        <v>285</v>
      </c>
      <c r="AQ8" s="3">
        <f>H8-$AK8</f>
        <v>285</v>
      </c>
      <c r="AR8" s="3">
        <f>I8-$AK8</f>
        <v>306</v>
      </c>
      <c r="AS8" s="3">
        <f>J8-$AK8</f>
        <v>306</v>
      </c>
    </row>
    <row r="9" spans="1:45" ht="23.25" customHeight="1" x14ac:dyDescent="0.3">
      <c r="A9" s="127"/>
      <c r="B9" s="4">
        <v>4</v>
      </c>
      <c r="C9" s="4">
        <v>238</v>
      </c>
      <c r="D9" s="4">
        <v>238</v>
      </c>
      <c r="E9" s="4">
        <v>997</v>
      </c>
      <c r="F9" s="4">
        <v>1073</v>
      </c>
      <c r="G9" s="4">
        <v>285</v>
      </c>
      <c r="H9" s="4">
        <v>285</v>
      </c>
      <c r="I9" s="4">
        <v>306</v>
      </c>
      <c r="J9" s="4">
        <v>306</v>
      </c>
      <c r="K9" s="13">
        <v>28</v>
      </c>
      <c r="L9" s="13">
        <v>28</v>
      </c>
      <c r="M9" s="4"/>
      <c r="N9" s="4"/>
      <c r="O9" s="4" t="s">
        <v>338</v>
      </c>
      <c r="P9" s="4" t="s">
        <v>338</v>
      </c>
      <c r="Q9" s="4">
        <v>300</v>
      </c>
      <c r="R9" s="4">
        <v>295</v>
      </c>
      <c r="S9" s="4">
        <v>299</v>
      </c>
      <c r="T9" s="4">
        <v>295</v>
      </c>
      <c r="U9" s="4">
        <v>14</v>
      </c>
      <c r="V9" s="4">
        <v>0</v>
      </c>
      <c r="W9" s="4">
        <v>12</v>
      </c>
      <c r="X9" s="4">
        <v>25</v>
      </c>
      <c r="Y9" s="4">
        <v>39</v>
      </c>
      <c r="Z9" s="4">
        <v>39</v>
      </c>
      <c r="AA9" s="4">
        <v>41</v>
      </c>
      <c r="AB9" s="4">
        <v>43</v>
      </c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>
        <v>5</v>
      </c>
      <c r="C10" s="4">
        <v>238</v>
      </c>
      <c r="D10" s="4">
        <v>238</v>
      </c>
      <c r="E10" s="4">
        <v>997</v>
      </c>
      <c r="F10" s="4">
        <v>1073</v>
      </c>
      <c r="G10" s="4">
        <v>285</v>
      </c>
      <c r="H10" s="4">
        <v>285</v>
      </c>
      <c r="I10" s="4">
        <v>306</v>
      </c>
      <c r="J10" s="4">
        <v>306</v>
      </c>
      <c r="K10" s="13">
        <v>28</v>
      </c>
      <c r="L10" s="13">
        <v>28</v>
      </c>
      <c r="M10" s="4"/>
      <c r="N10" s="4"/>
      <c r="O10" s="4" t="s">
        <v>338</v>
      </c>
      <c r="P10" s="4" t="s">
        <v>338</v>
      </c>
      <c r="Q10" s="4">
        <v>298</v>
      </c>
      <c r="R10" s="4">
        <v>295</v>
      </c>
      <c r="S10" s="4">
        <v>290</v>
      </c>
      <c r="T10" s="4">
        <v>293</v>
      </c>
      <c r="U10" s="4">
        <v>15</v>
      </c>
      <c r="V10" s="4">
        <v>0</v>
      </c>
      <c r="W10" s="4">
        <v>13</v>
      </c>
      <c r="X10" s="4">
        <v>25</v>
      </c>
      <c r="Y10" s="4">
        <v>39</v>
      </c>
      <c r="Z10" s="4">
        <v>39</v>
      </c>
      <c r="AA10" s="4">
        <v>41</v>
      </c>
      <c r="AB10" s="4">
        <v>41</v>
      </c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>
        <v>6</v>
      </c>
      <c r="C11" s="4">
        <v>238</v>
      </c>
      <c r="D11" s="4">
        <v>238</v>
      </c>
      <c r="E11" s="4">
        <v>997</v>
      </c>
      <c r="F11" s="4">
        <v>1073</v>
      </c>
      <c r="G11" s="4">
        <v>275</v>
      </c>
      <c r="H11" s="4">
        <v>275</v>
      </c>
      <c r="I11" s="4">
        <v>296</v>
      </c>
      <c r="J11" s="4">
        <v>296</v>
      </c>
      <c r="K11" s="13">
        <v>28</v>
      </c>
      <c r="L11" s="13">
        <v>28</v>
      </c>
      <c r="M11" s="4"/>
      <c r="N11" s="4"/>
      <c r="O11" s="4" t="s">
        <v>338</v>
      </c>
      <c r="P11" s="4" t="s">
        <v>338</v>
      </c>
      <c r="Q11" s="4">
        <v>303</v>
      </c>
      <c r="R11" s="4">
        <v>296</v>
      </c>
      <c r="S11" s="4">
        <v>304</v>
      </c>
      <c r="T11" s="4">
        <v>294</v>
      </c>
      <c r="U11" s="4">
        <v>15</v>
      </c>
      <c r="V11" s="4">
        <v>0</v>
      </c>
      <c r="W11" s="4">
        <v>15</v>
      </c>
      <c r="X11" s="4">
        <v>25</v>
      </c>
      <c r="Y11" s="4">
        <v>39</v>
      </c>
      <c r="Z11" s="4">
        <v>39</v>
      </c>
      <c r="AA11" s="4">
        <v>42</v>
      </c>
      <c r="AB11" s="4">
        <v>40</v>
      </c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>
        <v>7</v>
      </c>
      <c r="C12" s="4">
        <v>238</v>
      </c>
      <c r="D12" s="4">
        <v>238</v>
      </c>
      <c r="E12" s="4">
        <v>997</v>
      </c>
      <c r="F12" s="4">
        <v>1073</v>
      </c>
      <c r="G12" s="4">
        <v>285</v>
      </c>
      <c r="H12" s="4">
        <v>285</v>
      </c>
      <c r="I12" s="4">
        <v>306</v>
      </c>
      <c r="J12" s="4">
        <v>306</v>
      </c>
      <c r="K12" s="13">
        <v>28</v>
      </c>
      <c r="L12" s="13">
        <v>28</v>
      </c>
      <c r="M12" s="4"/>
      <c r="N12" s="4"/>
      <c r="O12" s="4" t="s">
        <v>338</v>
      </c>
      <c r="P12" s="4" t="s">
        <v>338</v>
      </c>
      <c r="Q12" s="4">
        <v>297</v>
      </c>
      <c r="R12" s="4">
        <v>294</v>
      </c>
      <c r="S12" s="4">
        <v>302</v>
      </c>
      <c r="T12" s="4">
        <v>288</v>
      </c>
      <c r="U12" s="4">
        <v>12</v>
      </c>
      <c r="V12" s="4">
        <v>0</v>
      </c>
      <c r="W12" s="4">
        <v>13</v>
      </c>
      <c r="X12" s="4">
        <v>25</v>
      </c>
      <c r="Y12" s="4">
        <v>39</v>
      </c>
      <c r="Z12" s="4">
        <v>41</v>
      </c>
      <c r="AA12" s="4">
        <v>39</v>
      </c>
      <c r="AB12" s="4">
        <v>39</v>
      </c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>
        <v>8</v>
      </c>
      <c r="C13" s="4">
        <v>238</v>
      </c>
      <c r="D13" s="4">
        <v>238</v>
      </c>
      <c r="E13" s="4">
        <v>997</v>
      </c>
      <c r="F13" s="4">
        <v>1073</v>
      </c>
      <c r="G13" s="4">
        <v>285</v>
      </c>
      <c r="H13" s="4">
        <v>285</v>
      </c>
      <c r="I13" s="4">
        <v>306</v>
      </c>
      <c r="J13" s="4">
        <v>306</v>
      </c>
      <c r="K13" s="13">
        <v>28</v>
      </c>
      <c r="L13" s="13">
        <v>28</v>
      </c>
      <c r="M13" s="4"/>
      <c r="N13" s="4"/>
      <c r="O13" s="4" t="s">
        <v>338</v>
      </c>
      <c r="P13" s="4" t="s">
        <v>338</v>
      </c>
      <c r="Q13" s="4">
        <v>304</v>
      </c>
      <c r="R13" s="4">
        <v>291</v>
      </c>
      <c r="S13" s="4">
        <v>302</v>
      </c>
      <c r="T13" s="4">
        <v>295</v>
      </c>
      <c r="U13" s="4">
        <v>35</v>
      </c>
      <c r="V13" s="4">
        <v>0</v>
      </c>
      <c r="W13" s="4">
        <v>13</v>
      </c>
      <c r="X13" s="4">
        <v>25</v>
      </c>
      <c r="Y13" s="4">
        <v>40</v>
      </c>
      <c r="Z13" s="4">
        <v>38</v>
      </c>
      <c r="AA13" s="4">
        <v>45</v>
      </c>
      <c r="AB13" s="4">
        <v>38</v>
      </c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3"/>
  <sheetViews>
    <sheetView zoomScale="85" zoomScaleNormal="85" workbookViewId="0">
      <selection activeCell="V22" sqref="V2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(판매)대구 시설관리공단-2차 ) _손상민소장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4.4000000000000004</v>
      </c>
      <c r="R2" s="218"/>
      <c r="S2" s="165" t="s">
        <v>83</v>
      </c>
      <c r="T2" s="220"/>
      <c r="U2" s="220"/>
      <c r="V2" s="221">
        <v>0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-2.2000000000000002</v>
      </c>
      <c r="AK2" s="190"/>
      <c r="AL2" s="1"/>
      <c r="AM2" s="186" t="s">
        <v>229</v>
      </c>
      <c r="AN2" s="187"/>
      <c r="AO2" s="188">
        <v>1.2</v>
      </c>
      <c r="AP2" s="188"/>
      <c r="AQ2" s="1"/>
      <c r="AR2" s="1"/>
    </row>
    <row r="3" spans="1:61" ht="24.75" customHeight="1" x14ac:dyDescent="0.3">
      <c r="A3" s="28" t="str">
        <f>'와이드(실측)'!A3</f>
        <v>현장명 : (판매)대구 시설관리공단-2차,   (재질) : 사급 일해 BRONZE1.2T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2.2000000000000002</v>
      </c>
      <c r="N3" s="207"/>
      <c r="O3" s="217" t="s">
        <v>77</v>
      </c>
      <c r="P3" s="217"/>
      <c r="Q3" s="224">
        <v>4.4000000000000004</v>
      </c>
      <c r="R3" s="224"/>
      <c r="S3" s="225" t="s">
        <v>227</v>
      </c>
      <c r="T3" s="225"/>
      <c r="U3" s="225"/>
      <c r="V3" s="226">
        <f>BI7</f>
        <v>0</v>
      </c>
      <c r="W3" s="226"/>
      <c r="X3" s="219" t="s">
        <v>78</v>
      </c>
      <c r="Y3" s="219"/>
      <c r="Z3" s="227">
        <v>1.2</v>
      </c>
      <c r="AA3" s="227"/>
      <c r="AC3" s="208" t="s">
        <v>311</v>
      </c>
      <c r="AD3" s="208"/>
      <c r="AE3" s="208">
        <f>'와이드(실측)'!Y7</f>
        <v>38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325</v>
      </c>
      <c r="AP3" s="192"/>
      <c r="AQ3" s="195">
        <f>AU7</f>
        <v>7.5371384997024631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(1.2), JB/JD +(2.2 ),  늘어난치수K -(-2.2),  C + (4.4),   U + (4.4), OP - (0), R - (0),  기둥차감 - (0), A + (1.2)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45288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B1F</v>
      </c>
      <c r="C7" s="31">
        <f>'와이드(실측)'!C7+와이드MH더함-IF(AND(소장="추영덕",Y7=0),1.2)</f>
        <v>269.2</v>
      </c>
      <c r="D7" s="31">
        <f>'와이드(실측)'!D7+와이드MH더함-IF(AND(소장="추영덕",Y7=0),1.2)</f>
        <v>269.2</v>
      </c>
      <c r="E7" s="135">
        <f>'와이드(실측)'!E7-와이드OP</f>
        <v>997</v>
      </c>
      <c r="F7" s="31">
        <f>'와이드(실측)'!F7-와이드R</f>
        <v>1073</v>
      </c>
      <c r="G7" s="50">
        <f>'와이드(실측)'!G7+와이드JBJD키움치수+IF(BI7=1,AC7,0)</f>
        <v>287.2</v>
      </c>
      <c r="H7" s="50">
        <f>'와이드(실측)'!H7+와이드JBJD키움치수+IF(BI7=1,AE7,0)</f>
        <v>287.2</v>
      </c>
      <c r="I7" s="50">
        <f>'와이드(실측)'!I7+MAX(AS7,AT7)+와이드JBJD키움치수+IF(BI7=1,AC7,0)</f>
        <v>313.2</v>
      </c>
      <c r="J7" s="50">
        <f>'와이드(실측)'!I7+MAX(AS7,AT7)+와이드JBJD키움치수+IF(BI7=1,AD7,0)-IF(와이드JB하부늘치=1,'와이드(실측)'!Y7-'와이드(실측)'!Z7,0)</f>
        <v>315.2</v>
      </c>
      <c r="K7" s="50">
        <f>'와이드(실측)'!J7+MAX(AS7,AT7)+와이드JBJD키움치수+IF(BI7=1,AE7,0)</f>
        <v>313.2</v>
      </c>
      <c r="L7" s="50">
        <f>'와이드(실측)'!J7+MAX(AS7,AT7)+와이드JBJD키움치수+IF(BI7=1,AF7,0)-IF(와이드JB하부늘치=1,'와이드(실측)'!AA7-'와이드(실측)'!AB7,0)</f>
        <v>315.2</v>
      </c>
      <c r="M7" s="31">
        <f t="shared" ref="M7:N7" si="0">IF(소장="손상민",0,O7-1.5)</f>
        <v>0</v>
      </c>
      <c r="N7" s="31">
        <f t="shared" si="0"/>
        <v>0</v>
      </c>
      <c r="O7" s="31">
        <f>IF(S7&lt;9,'와이드(실측)'!K7+1.2,IF(ISNUMBER('와이드(실측)'!K7),'와이드(실측)'!K7+와이드C값,0))</f>
        <v>34.4</v>
      </c>
      <c r="P7" s="31">
        <f>IF(T7&lt;9,'와이드(실측)'!L7+1.2,IF(ISNUMBER('와이드(실측)'!L7),'와이드(실측)'!L7+와이드C값,0))</f>
        <v>34.4</v>
      </c>
      <c r="Q7" s="32">
        <f>ROUNDUP(AV7,1)</f>
        <v>23.3</v>
      </c>
      <c r="R7" s="38">
        <f>ROUNDUP(AW7,1)</f>
        <v>23.3</v>
      </c>
      <c r="S7" s="31">
        <f>IF(ISNUMBER('와이드(실측)'!O7),'와이드(실측)'!O7+와이드제작!AS7+와이드A늘림,0)</f>
        <v>11.2</v>
      </c>
      <c r="T7" s="31">
        <f>IF(ISNUMBER('와이드(실측)'!P7),'와이드(실측)'!P7+와이드제작!AT7+와이드A늘림,0)</f>
        <v>11.2</v>
      </c>
      <c r="U7" s="31">
        <f>'와이드(실측)'!Q7-와이드기둥차감+2000</f>
        <v>2292</v>
      </c>
      <c r="V7" s="31">
        <f>'와이드(실측)'!R7-와이드기둥차감+2000</f>
        <v>2294</v>
      </c>
      <c r="W7" s="31">
        <f>'와이드(실측)'!S7-와이드기둥차감+2000</f>
        <v>2290</v>
      </c>
      <c r="X7" s="31">
        <f>'와이드(실측)'!T7-와이드기둥차감+2000</f>
        <v>2286</v>
      </c>
      <c r="Y7" s="31">
        <f>IF(소장="손상민",IF(ISNUMBER('와이드(실측)'!U7),'와이드(실측)'!U7+1.2,0),IF(ISNUMBER('와이드(실측)'!U7),'와이드(실측)'!U7+와이드U,0))</f>
        <v>21.2</v>
      </c>
      <c r="Z7" s="31">
        <f>IF(소장="손상민",MAX(Q7,R7)+3.2,IF(ISNUMBER('와이드(실측)'!V7),'와이드(실측)'!V7+1.5+와이드제작!Q7+1,0))</f>
        <v>26.5</v>
      </c>
      <c r="AA7" s="31">
        <f>'와이드(실측)'!W7+뒷날개치수더함</f>
        <v>16.2</v>
      </c>
      <c r="AB7" s="31">
        <f>'와이드(실측)'!X7+뒷날개치수더함</f>
        <v>26.2</v>
      </c>
      <c r="AC7" s="31">
        <f>'와이드(실측)'!Y7-와이드늘치</f>
        <v>40.200000000000003</v>
      </c>
      <c r="AD7" s="31">
        <f>IF(와이드JB하부늘치=1,AC7,'와이드(실측)'!Z7-와이드늘치)</f>
        <v>40.200000000000003</v>
      </c>
      <c r="AE7" s="31">
        <f>'와이드(실측)'!AA7-와이드늘치</f>
        <v>44.2</v>
      </c>
      <c r="AF7" s="31">
        <f>IF(와이드JB하부늘치=1,AE7,'와이드(실측)'!AB7-와이드늘치)</f>
        <v>44.2</v>
      </c>
      <c r="AG7" s="31">
        <f xml:space="preserve"> IF(소장&lt;&gt;"손상민",IF('와이드(실측)'!AC7&gt;0,'와이드(실측)'!AC7,C7-1.2),IF('와이드(실측)'!AC7&gt;0,'와이드(실측)'!AC7+1.2,C7) )</f>
        <v>269.2</v>
      </c>
      <c r="AH7" s="31">
        <f xml:space="preserve"> IF(소장&lt;&gt;"손상민",IF('와이드(실측)'!AD7&gt;0,'와이드(실측)'!AD7,D7-1.2),IF('와이드(실측)'!AD7&gt;0,'와이드(실측)'!AD7+1.2,D7))</f>
        <v>269.2</v>
      </c>
      <c r="AI7" s="51">
        <f>IF(Z7&gt;0,Z7-MAX(Q7,R7),0)</f>
        <v>3.1999999999999993</v>
      </c>
      <c r="AJ7" s="31" t="str">
        <f t="shared" ref="AJ7" si="1">BA7&amp;"*"&amp;BB7</f>
        <v>1073*614.4</v>
      </c>
      <c r="AK7" s="31" t="str">
        <f t="shared" ref="AK7" si="2">BD7&amp;"*"&amp;BC7</f>
        <v>2563.2*422.4</v>
      </c>
      <c r="AL7" s="31" t="str">
        <f t="shared" ref="AL7" si="3">BF7&amp;"*"&amp;BE7</f>
        <v>2559.2*426.4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7.5371384997024631</v>
      </c>
      <c r="AV7" s="21">
        <f>ABS(G7-COS(RADIANS(AU7))*I7)</f>
        <v>23.293966860546448</v>
      </c>
      <c r="AW7" s="21">
        <f>ABS(H7-COS(RADIANS(AU7))*K7)</f>
        <v>23.293966860546448</v>
      </c>
      <c r="AX7" s="21">
        <f>'와이드(실측)'!M7+AS7</f>
        <v>0</v>
      </c>
      <c r="AY7" s="21">
        <f>'와이드(실측)'!N7+AS7</f>
        <v>0</v>
      </c>
      <c r="AZ7" s="20">
        <f>AV7-MAX(AX7,AY7)</f>
        <v>23.293966860546448</v>
      </c>
      <c r="BA7" s="41">
        <f t="shared" ref="BA7:BA13" si="4">IF(소장&lt;&gt;"손상민",F7+IF(Y7+Z7&gt;0,N7+M7,0),F7)</f>
        <v>1073</v>
      </c>
      <c r="BB7" s="42">
        <f>MAX(C7,D7)+MAX(G7,H7)+AA7-1.2*$AJ$3+IF(BI7=0,MAX(AE7,AC7),0)+IF(Y7=0,1.2,0)+IF(Z7=0,1.2,0)+IF(소장&lt;&gt;"손상민", Y7+Z7,IF('와이드(실측)'!U7=0,0,2.4))</f>
        <v>614.40000000000009</v>
      </c>
      <c r="BC7" s="41">
        <f>S7+O7+MAX(I7,J7)+AB7-1.2*$AL$3+IF(BI7=0,MAX(AD7,AC7),0)+IF(S7=0,1.2,0)-IF(AR7=90,2.4,0)</f>
        <v>422.39999999999992</v>
      </c>
      <c r="BD7" s="41">
        <f>MAX(U7,V7)+AG7</f>
        <v>2563.1999999999998</v>
      </c>
      <c r="BE7" s="41">
        <f>T7+P7+MAX(K7,L7)+AB7-1.2*$AL$3+IF(BI7=0,MAX(AE7,AF7),0)+IF(T7=0,1.2,0)-IF(AR7=90,2.4,0)</f>
        <v>426.39999999999992</v>
      </c>
      <c r="BF7" s="41">
        <f>MAX(W7,X7)+AH7</f>
        <v>2559.1999999999998</v>
      </c>
      <c r="BG7" s="6">
        <f t="shared" ref="BG7" si="5">I7-G7-Q7</f>
        <v>2.6999999999999993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>
        <f>'와이드(실측)'!A8</f>
        <v>0</v>
      </c>
      <c r="B8" s="31" t="str">
        <f>'와이드(실측)'!B8&amp;"F"</f>
        <v>3F</v>
      </c>
      <c r="C8" s="31">
        <f>'와이드(실측)'!C8+와이드MH더함-IF(AND(소장="추영덕",Y8=0),1.2)</f>
        <v>219.2</v>
      </c>
      <c r="D8" s="31">
        <f>'와이드(실측)'!D8+와이드MH더함-IF(AND(소장="추영덕",Y8=0),1.2)</f>
        <v>219.2</v>
      </c>
      <c r="E8" s="135">
        <f>'와이드(실측)'!E8-와이드OP</f>
        <v>997</v>
      </c>
      <c r="F8" s="31">
        <f>'와이드(실측)'!F8-와이드R</f>
        <v>1073</v>
      </c>
      <c r="G8" s="50">
        <f>'와이드(실측)'!G8+와이드JBJD키움치수+IF(BI8=1,AC8,0)</f>
        <v>287.2</v>
      </c>
      <c r="H8" s="50">
        <f>'와이드(실측)'!H8+와이드JBJD키움치수+IF(BI8=1,AE8,0)</f>
        <v>287.2</v>
      </c>
      <c r="I8" s="50">
        <f>'와이드(실측)'!I8+MAX(AS8,AT8)+와이드JBJD키움치수+IF(BI8=1,AC8,0)</f>
        <v>308.2</v>
      </c>
      <c r="J8" s="50">
        <f>'와이드(실측)'!I8+MAX(AS8,AT8)+와이드JBJD키움치수+IF(BI8=1,AD8,0)-IF(와이드JB하부늘치=1,'와이드(실측)'!Y8-'와이드(실측)'!Z8,0)</f>
        <v>308.2</v>
      </c>
      <c r="K8" s="50">
        <f>'와이드(실측)'!J8+MAX(AS8,AT8)+와이드JBJD키움치수+IF(BI8=1,AE8,0)</f>
        <v>308.2</v>
      </c>
      <c r="L8" s="50">
        <f>'와이드(실측)'!J8+MAX(AS8,AT8)+와이드JBJD키움치수+IF(BI8=1,AF8,0)-IF(와이드JB하부늘치=1,'와이드(실측)'!AA8-'와이드(실측)'!AB8,0)</f>
        <v>310.2</v>
      </c>
      <c r="M8" s="31">
        <f t="shared" ref="M8:M13" si="6">IF(소장="손상민",0,O8-1.5)</f>
        <v>0</v>
      </c>
      <c r="N8" s="31">
        <f t="shared" ref="N8:N13" si="7">IF(소장="손상민",0,P8-1.5)</f>
        <v>0</v>
      </c>
      <c r="O8" s="31">
        <f>IF(S8&lt;9,'와이드(실측)'!K8+1.2,IF(ISNUMBER('와이드(실측)'!K8),'와이드(실측)'!K8+와이드C값,0))</f>
        <v>29.2</v>
      </c>
      <c r="P8" s="31">
        <f>IF(T8&lt;9,'와이드(실측)'!L8+1.2,IF(ISNUMBER('와이드(실측)'!L8),'와이드(실측)'!L8+와이드C값,0))</f>
        <v>29.2</v>
      </c>
      <c r="Q8" s="32">
        <f t="shared" ref="Q8:Q13" si="8">ROUNDUP(AV8,1)</f>
        <v>18.400000000000002</v>
      </c>
      <c r="R8" s="38">
        <f t="shared" ref="R8:R13" si="9">ROUNDUP(AW8,1)</f>
        <v>18.400000000000002</v>
      </c>
      <c r="S8" s="31">
        <f>IF(ISNUMBER('와이드(실측)'!O8),'와이드(실측)'!O8+와이드제작!AS8+와이드A늘림,0)</f>
        <v>0</v>
      </c>
      <c r="T8" s="31">
        <f>IF(ISNUMBER('와이드(실측)'!P8),'와이드(실측)'!P8+와이드제작!AT8+와이드A늘림,0)</f>
        <v>0</v>
      </c>
      <c r="U8" s="31">
        <f>'와이드(실측)'!Q8-와이드기둥차감+2000</f>
        <v>2300</v>
      </c>
      <c r="V8" s="31">
        <f>'와이드(실측)'!R8-와이드기둥차감+2000</f>
        <v>2295</v>
      </c>
      <c r="W8" s="31">
        <f>'와이드(실측)'!S8-와이드기둥차감+2000</f>
        <v>2297</v>
      </c>
      <c r="X8" s="31">
        <f>'와이드(실측)'!T8-와이드기둥차감+2000</f>
        <v>2293</v>
      </c>
      <c r="Y8" s="31">
        <f>IF(소장="손상민",IF(ISNUMBER('와이드(실측)'!U8),'와이드(실측)'!U8+1.2,0),IF(ISNUMBER('와이드(실측)'!U8),'와이드(실측)'!U8+와이드U,0))</f>
        <v>15.2</v>
      </c>
      <c r="Z8" s="31">
        <f>IF(소장="손상민",MAX(Q8,R8)+3.2,IF(ISNUMBER('와이드(실측)'!V8),'와이드(실측)'!V8+1.5+와이드제작!Q8+1,0))</f>
        <v>21.6</v>
      </c>
      <c r="AA8" s="31">
        <f>'와이드(실측)'!W8+뒷날개치수더함</f>
        <v>13.2</v>
      </c>
      <c r="AB8" s="31">
        <f>'와이드(실측)'!X8+뒷날개치수더함</f>
        <v>26.2</v>
      </c>
      <c r="AC8" s="31">
        <f>'와이드(실측)'!Y8-와이드늘치</f>
        <v>40.200000000000003</v>
      </c>
      <c r="AD8" s="31">
        <f>IF(와이드JB하부늘치=1,AC8,'와이드(실측)'!Z8-와이드늘치)</f>
        <v>40.200000000000003</v>
      </c>
      <c r="AE8" s="31">
        <f>'와이드(실측)'!AA8-와이드늘치</f>
        <v>44.2</v>
      </c>
      <c r="AF8" s="31">
        <f>IF(와이드JB하부늘치=1,AE8,'와이드(실측)'!AB8-와이드늘치)</f>
        <v>44.2</v>
      </c>
      <c r="AG8" s="31">
        <f xml:space="preserve"> IF(소장&lt;&gt;"손상민",IF('와이드(실측)'!AC8&gt;0,'와이드(실측)'!AC8,C8-1.2),IF('와이드(실측)'!AC8&gt;0,'와이드(실측)'!AC8+1.2,C8) )</f>
        <v>219.2</v>
      </c>
      <c r="AH8" s="31">
        <f xml:space="preserve"> IF(소장&lt;&gt;"손상민",IF('와이드(실측)'!AD8&gt;0,'와이드(실측)'!AD8,D8-1.2),IF('와이드(실측)'!AD8&gt;0,'와이드(실측)'!AD8+1.2,D8))</f>
        <v>219.2</v>
      </c>
      <c r="AI8" s="51">
        <f t="shared" ref="AI8:AI13" si="10">IF(Z8&gt;0,Z8-MAX(Q8,R8),0)</f>
        <v>3.1999999999999993</v>
      </c>
      <c r="AJ8" s="31" t="str">
        <f t="shared" ref="AJ8:AJ13" si="11">BA8&amp;"*"&amp;BB8</f>
        <v>1073*561.4</v>
      </c>
      <c r="AK8" s="31" t="str">
        <f t="shared" ref="AK8:AK13" si="12">BD8&amp;"*"&amp;BC8</f>
        <v>2519.2*400.2</v>
      </c>
      <c r="AL8" s="31" t="str">
        <f t="shared" ref="AL8:AL13" si="13">BF8&amp;"*"&amp;BE8</f>
        <v>2516.2*406.2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0</v>
      </c>
      <c r="AQ8" s="31">
        <f>'와이드(실측)'!AI8</f>
        <v>0</v>
      </c>
      <c r="AR8" s="31">
        <f>'와이드(실측)'!AJ8</f>
        <v>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3" si="14">DEGREES(ATAN((F8-E8)/2/(H8)))</f>
        <v>7.5371384997024631</v>
      </c>
      <c r="AV8" s="21">
        <f t="shared" ref="AV8:AV13" si="15">ABS(G8-COS(RADIANS(AU8))*I8)</f>
        <v>18.337166623309145</v>
      </c>
      <c r="AW8" s="21">
        <f t="shared" ref="AW8:AW13" si="16">ABS(H8-COS(RADIANS(AU8))*K8)</f>
        <v>18.337166623309145</v>
      </c>
      <c r="AX8" s="21">
        <f>'와이드(실측)'!M8+AS8</f>
        <v>0</v>
      </c>
      <c r="AY8" s="21">
        <f>'와이드(실측)'!N8+AS8</f>
        <v>0</v>
      </c>
      <c r="AZ8" s="20">
        <f t="shared" ref="AZ8:AZ13" si="17">AV8-MAX(AX8,AY8)</f>
        <v>18.337166623309145</v>
      </c>
      <c r="BA8" s="41">
        <f t="shared" si="4"/>
        <v>1073</v>
      </c>
      <c r="BB8" s="42">
        <f>MAX(C8,D8)+MAX(G8,H8)+AA8-1.2*$AJ$3+IF(BI8=0,MAX(AE8,AC8),0)+IF(Y8=0,1.2,0)+IF(Z8=0,1.2,0)+IF(소장&lt;&gt;"손상민", Y8+Z8,IF('와이드(실측)'!U8=0,0,2.4))</f>
        <v>561.40000000000009</v>
      </c>
      <c r="BC8" s="41">
        <f t="shared" ref="BC8:BC13" si="18">S8+O8+MAX(I8,J8)+AB8-1.2*$AL$3+IF(BI8=0,MAX(AD8,AC8),0)+IF(S8=0,1.2,0)-IF(AR8=90,2.4,0)</f>
        <v>400.19999999999993</v>
      </c>
      <c r="BD8" s="41">
        <f t="shared" ref="BD8:BD13" si="19">MAX(U8,V8)+AG8</f>
        <v>2519.1999999999998</v>
      </c>
      <c r="BE8" s="41">
        <f t="shared" ref="BE8:BE13" si="20">T8+P8+MAX(K8,L8)+AB8-1.2*$AL$3+IF(BI8=0,MAX(AE8,AF8),0)+IF(T8=0,1.2,0)-IF(AR8=90,2.4,0)</f>
        <v>406.19999999999993</v>
      </c>
      <c r="BF8" s="41">
        <f t="shared" ref="BF8:BF13" si="21">MAX(W8,X8)+AH8</f>
        <v>2516.1999999999998</v>
      </c>
      <c r="BG8" s="6">
        <f t="shared" ref="BG8:BG13" si="22">I8-G8-Q8</f>
        <v>2.5999999999999979</v>
      </c>
      <c r="BH8" s="43" t="str">
        <f t="shared" ref="BH8:BH13" si="23">IF(AND(C8&lt;&gt;D8,Y8&gt;0),"NG","")</f>
        <v/>
      </c>
      <c r="BI8" s="77">
        <f t="shared" ref="BI8:BI13" si="24">IF(AND(MIN(AC8,AE8)&gt;=9.2,ABS(F8-E8)&gt;15),0,1)</f>
        <v>0</v>
      </c>
    </row>
    <row r="9" spans="1:61" ht="26.25" customHeight="1" x14ac:dyDescent="0.3">
      <c r="A9" s="31">
        <f>'와이드(실측)'!A9</f>
        <v>0</v>
      </c>
      <c r="B9" s="31" t="str">
        <f>'와이드(실측)'!B9&amp;"F"</f>
        <v>4F</v>
      </c>
      <c r="C9" s="31">
        <f>'와이드(실측)'!C9+와이드MH더함-IF(AND(소장="추영덕",Y9=0),1.2)</f>
        <v>239.2</v>
      </c>
      <c r="D9" s="31">
        <f>'와이드(실측)'!D9+와이드MH더함-IF(AND(소장="추영덕",Y9=0),1.2)</f>
        <v>239.2</v>
      </c>
      <c r="E9" s="135">
        <f>'와이드(실측)'!E9-와이드OP</f>
        <v>997</v>
      </c>
      <c r="F9" s="31">
        <f>'와이드(실측)'!F9-와이드R</f>
        <v>1073</v>
      </c>
      <c r="G9" s="50">
        <f>'와이드(실측)'!G9+와이드JBJD키움치수+IF(BI9=1,AC9,0)</f>
        <v>287.2</v>
      </c>
      <c r="H9" s="50">
        <f>'와이드(실측)'!H9+와이드JBJD키움치수+IF(BI9=1,AE9,0)</f>
        <v>287.2</v>
      </c>
      <c r="I9" s="50">
        <f>'와이드(실측)'!I9+MAX(AS9,AT9)+와이드JBJD키움치수+IF(BI9=1,AC9,0)</f>
        <v>308.2</v>
      </c>
      <c r="J9" s="50">
        <f>'와이드(실측)'!I9+MAX(AS9,AT9)+와이드JBJD키움치수+IF(BI9=1,AD9,0)-IF(와이드JB하부늘치=1,'와이드(실측)'!Y9-'와이드(실측)'!Z9,0)</f>
        <v>308.2</v>
      </c>
      <c r="K9" s="50">
        <f>'와이드(실측)'!J9+MAX(AS9,AT9)+와이드JBJD키움치수+IF(BI9=1,AE9,0)</f>
        <v>308.2</v>
      </c>
      <c r="L9" s="50">
        <f>'와이드(실측)'!J9+MAX(AS9,AT9)+와이드JBJD키움치수+IF(BI9=1,AF9,0)-IF(와이드JB하부늘치=1,'와이드(실측)'!AA9-'와이드(실측)'!AB9,0)</f>
        <v>310.2</v>
      </c>
      <c r="M9" s="31">
        <f t="shared" si="6"/>
        <v>0</v>
      </c>
      <c r="N9" s="31">
        <f t="shared" si="7"/>
        <v>0</v>
      </c>
      <c r="O9" s="31">
        <f>IF(S9&lt;9,'와이드(실측)'!K9+1.2,IF(ISNUMBER('와이드(실측)'!K9),'와이드(실측)'!K9+와이드C값,0))</f>
        <v>29.2</v>
      </c>
      <c r="P9" s="31">
        <f>IF(T9&lt;9,'와이드(실측)'!L9+1.2,IF(ISNUMBER('와이드(실측)'!L9),'와이드(실측)'!L9+와이드C값,0))</f>
        <v>29.2</v>
      </c>
      <c r="Q9" s="32">
        <f t="shared" si="8"/>
        <v>18.400000000000002</v>
      </c>
      <c r="R9" s="38">
        <f t="shared" si="9"/>
        <v>18.400000000000002</v>
      </c>
      <c r="S9" s="31">
        <f>IF(ISNUMBER('와이드(실측)'!O9),'와이드(실측)'!O9+와이드제작!AS9+와이드A늘림,0)</f>
        <v>0</v>
      </c>
      <c r="T9" s="31">
        <f>IF(ISNUMBER('와이드(실측)'!P9),'와이드(실측)'!P9+와이드제작!AT9+와이드A늘림,0)</f>
        <v>0</v>
      </c>
      <c r="U9" s="31">
        <f>'와이드(실측)'!Q9-와이드기둥차감+2000</f>
        <v>2300</v>
      </c>
      <c r="V9" s="31">
        <f>'와이드(실측)'!R9-와이드기둥차감+2000</f>
        <v>2295</v>
      </c>
      <c r="W9" s="31">
        <f>'와이드(실측)'!S9-와이드기둥차감+2000</f>
        <v>2299</v>
      </c>
      <c r="X9" s="31">
        <f>'와이드(실측)'!T9-와이드기둥차감+2000</f>
        <v>2295</v>
      </c>
      <c r="Y9" s="31">
        <f>IF(소장="손상민",IF(ISNUMBER('와이드(실측)'!U9),'와이드(실측)'!U9+1.2,0),IF(ISNUMBER('와이드(실측)'!U9),'와이드(실측)'!U9+와이드U,0))</f>
        <v>15.2</v>
      </c>
      <c r="Z9" s="31">
        <f>IF(소장="손상민",MAX(Q9,R9)+3.2,IF(ISNUMBER('와이드(실측)'!V9),'와이드(실측)'!V9+1.5+와이드제작!Q9+1,0))</f>
        <v>21.6</v>
      </c>
      <c r="AA9" s="31">
        <f>'와이드(실측)'!W9+뒷날개치수더함</f>
        <v>13.2</v>
      </c>
      <c r="AB9" s="31">
        <f>'와이드(실측)'!X9+뒷날개치수더함</f>
        <v>26.2</v>
      </c>
      <c r="AC9" s="31">
        <f>'와이드(실측)'!Y9-와이드늘치</f>
        <v>41.2</v>
      </c>
      <c r="AD9" s="31">
        <f>IF(와이드JB하부늘치=1,AC9,'와이드(실측)'!Z9-와이드늘치)</f>
        <v>41.2</v>
      </c>
      <c r="AE9" s="31">
        <f>'와이드(실측)'!AA9-와이드늘치</f>
        <v>43.2</v>
      </c>
      <c r="AF9" s="31">
        <f>IF(와이드JB하부늘치=1,AE9,'와이드(실측)'!AB9-와이드늘치)</f>
        <v>43.2</v>
      </c>
      <c r="AG9" s="31">
        <f xml:space="preserve"> IF(소장&lt;&gt;"손상민",IF('와이드(실측)'!AC9&gt;0,'와이드(실측)'!AC9,C9-1.2),IF('와이드(실측)'!AC9&gt;0,'와이드(실측)'!AC9+1.2,C9) )</f>
        <v>239.2</v>
      </c>
      <c r="AH9" s="31">
        <f xml:space="preserve"> IF(소장&lt;&gt;"손상민",IF('와이드(실측)'!AD9&gt;0,'와이드(실측)'!AD9,D9-1.2),IF('와이드(실측)'!AD9&gt;0,'와이드(실측)'!AD9+1.2,D9))</f>
        <v>239.2</v>
      </c>
      <c r="AI9" s="51">
        <f t="shared" si="10"/>
        <v>3.1999999999999993</v>
      </c>
      <c r="AJ9" s="31" t="str">
        <f t="shared" si="11"/>
        <v>1073*580.4</v>
      </c>
      <c r="AK9" s="31" t="str">
        <f t="shared" si="12"/>
        <v>2539.2*401.2</v>
      </c>
      <c r="AL9" s="31" t="str">
        <f t="shared" si="13"/>
        <v>2538.2*405.2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0</v>
      </c>
      <c r="AQ9" s="31">
        <f>'와이드(실측)'!AI9</f>
        <v>0</v>
      </c>
      <c r="AR9" s="31">
        <f>'와이드(실측)'!AJ9</f>
        <v>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4"/>
        <v>7.5371384997024631</v>
      </c>
      <c r="AV9" s="21">
        <f t="shared" si="15"/>
        <v>18.337166623309145</v>
      </c>
      <c r="AW9" s="21">
        <f t="shared" si="16"/>
        <v>18.337166623309145</v>
      </c>
      <c r="AX9" s="21">
        <f>'와이드(실측)'!M9+AS9</f>
        <v>0</v>
      </c>
      <c r="AY9" s="21">
        <f>'와이드(실측)'!N9+AS9</f>
        <v>0</v>
      </c>
      <c r="AZ9" s="20">
        <f t="shared" si="17"/>
        <v>18.337166623309145</v>
      </c>
      <c r="BA9" s="41">
        <f t="shared" si="4"/>
        <v>1073</v>
      </c>
      <c r="BB9" s="42">
        <f>MAX(C9,D9)+MAX(G9,H9)+AA9-1.2*$AJ$3+IF(BI9=0,MAX(AE9,AC9),0)+IF(Y9=0,1.2,0)+IF(Z9=0,1.2,0)+IF(소장&lt;&gt;"손상민", Y9+Z9,IF('와이드(실측)'!U9=0,0,2.4))</f>
        <v>580.40000000000009</v>
      </c>
      <c r="BC9" s="41">
        <f t="shared" si="18"/>
        <v>401.19999999999993</v>
      </c>
      <c r="BD9" s="41">
        <f t="shared" si="19"/>
        <v>2539.1999999999998</v>
      </c>
      <c r="BE9" s="41">
        <f t="shared" si="20"/>
        <v>405.19999999999993</v>
      </c>
      <c r="BF9" s="41">
        <f t="shared" si="21"/>
        <v>2538.1999999999998</v>
      </c>
      <c r="BG9" s="6">
        <f t="shared" si="22"/>
        <v>2.5999999999999979</v>
      </c>
      <c r="BH9" s="43" t="str">
        <f t="shared" si="23"/>
        <v/>
      </c>
      <c r="BI9" s="77">
        <f t="shared" si="24"/>
        <v>0</v>
      </c>
    </row>
    <row r="10" spans="1:61" ht="26.25" customHeight="1" x14ac:dyDescent="0.3">
      <c r="A10" s="31">
        <f>'와이드(실측)'!A10</f>
        <v>0</v>
      </c>
      <c r="B10" s="31" t="str">
        <f>'와이드(실측)'!B10&amp;"F"</f>
        <v>5F</v>
      </c>
      <c r="C10" s="31">
        <f>'와이드(실측)'!C10+와이드MH더함-IF(AND(소장="추영덕",Y10=0),1.2)</f>
        <v>239.2</v>
      </c>
      <c r="D10" s="31">
        <f>'와이드(실측)'!D10+와이드MH더함-IF(AND(소장="추영덕",Y10=0),1.2)</f>
        <v>239.2</v>
      </c>
      <c r="E10" s="135">
        <f>'와이드(실측)'!E10-와이드OP</f>
        <v>997</v>
      </c>
      <c r="F10" s="31">
        <f>'와이드(실측)'!F10-와이드R</f>
        <v>1073</v>
      </c>
      <c r="G10" s="50">
        <f>'와이드(실측)'!G10+와이드JBJD키움치수+IF(BI10=1,AC10,0)</f>
        <v>287.2</v>
      </c>
      <c r="H10" s="50">
        <f>'와이드(실측)'!H10+와이드JBJD키움치수+IF(BI10=1,AE10,0)</f>
        <v>287.2</v>
      </c>
      <c r="I10" s="50">
        <f>'와이드(실측)'!I10+MAX(AS10,AT10)+와이드JBJD키움치수+IF(BI10=1,AC10,0)</f>
        <v>308.2</v>
      </c>
      <c r="J10" s="50">
        <f>'와이드(실측)'!I10+MAX(AS10,AT10)+와이드JBJD키움치수+IF(BI10=1,AD10,0)-IF(와이드JB하부늘치=1,'와이드(실측)'!Y10-'와이드(실측)'!Z10,0)</f>
        <v>308.2</v>
      </c>
      <c r="K10" s="50">
        <f>'와이드(실측)'!J10+MAX(AS10,AT10)+와이드JBJD키움치수+IF(BI10=1,AE10,0)</f>
        <v>308.2</v>
      </c>
      <c r="L10" s="50">
        <f>'와이드(실측)'!J10+MAX(AS10,AT10)+와이드JBJD키움치수+IF(BI10=1,AF10,0)-IF(와이드JB하부늘치=1,'와이드(실측)'!AA10-'와이드(실측)'!AB10,0)</f>
        <v>308.2</v>
      </c>
      <c r="M10" s="31">
        <f t="shared" si="6"/>
        <v>0</v>
      </c>
      <c r="N10" s="31">
        <f t="shared" si="7"/>
        <v>0</v>
      </c>
      <c r="O10" s="31">
        <f>IF(S10&lt;9,'와이드(실측)'!K10+1.2,IF(ISNUMBER('와이드(실측)'!K10),'와이드(실측)'!K10+와이드C값,0))</f>
        <v>29.2</v>
      </c>
      <c r="P10" s="31">
        <f>IF(T10&lt;9,'와이드(실측)'!L10+1.2,IF(ISNUMBER('와이드(실측)'!L10),'와이드(실측)'!L10+와이드C값,0))</f>
        <v>29.2</v>
      </c>
      <c r="Q10" s="32">
        <f t="shared" si="8"/>
        <v>18.400000000000002</v>
      </c>
      <c r="R10" s="38">
        <f t="shared" si="9"/>
        <v>18.400000000000002</v>
      </c>
      <c r="S10" s="31">
        <f>IF(ISNUMBER('와이드(실측)'!O10),'와이드(실측)'!O10+와이드제작!AS10+와이드A늘림,0)</f>
        <v>0</v>
      </c>
      <c r="T10" s="31">
        <f>IF(ISNUMBER('와이드(실측)'!P10),'와이드(실측)'!P10+와이드제작!AT10+와이드A늘림,0)</f>
        <v>0</v>
      </c>
      <c r="U10" s="31">
        <f>'와이드(실측)'!Q10-와이드기둥차감+2000</f>
        <v>2298</v>
      </c>
      <c r="V10" s="31">
        <f>'와이드(실측)'!R10-와이드기둥차감+2000</f>
        <v>2295</v>
      </c>
      <c r="W10" s="31">
        <f>'와이드(실측)'!S10-와이드기둥차감+2000</f>
        <v>2290</v>
      </c>
      <c r="X10" s="31">
        <f>'와이드(실측)'!T10-와이드기둥차감+2000</f>
        <v>2293</v>
      </c>
      <c r="Y10" s="31">
        <f>IF(소장="손상민",IF(ISNUMBER('와이드(실측)'!U10),'와이드(실측)'!U10+1.2,0),IF(ISNUMBER('와이드(실측)'!U10),'와이드(실측)'!U10+와이드U,0))</f>
        <v>16.2</v>
      </c>
      <c r="Z10" s="31">
        <f>IF(소장="손상민",MAX(Q10,R10)+3.2,IF(ISNUMBER('와이드(실측)'!V10),'와이드(실측)'!V10+1.5+와이드제작!Q10+1,0))</f>
        <v>21.6</v>
      </c>
      <c r="AA10" s="31">
        <f>'와이드(실측)'!W10+뒷날개치수더함</f>
        <v>14.2</v>
      </c>
      <c r="AB10" s="31">
        <f>'와이드(실측)'!X10+뒷날개치수더함</f>
        <v>26.2</v>
      </c>
      <c r="AC10" s="31">
        <f>'와이드(실측)'!Y10-와이드늘치</f>
        <v>41.2</v>
      </c>
      <c r="AD10" s="31">
        <f>IF(와이드JB하부늘치=1,AC10,'와이드(실측)'!Z10-와이드늘치)</f>
        <v>41.2</v>
      </c>
      <c r="AE10" s="31">
        <f>'와이드(실측)'!AA10-와이드늘치</f>
        <v>43.2</v>
      </c>
      <c r="AF10" s="31">
        <f>IF(와이드JB하부늘치=1,AE10,'와이드(실측)'!AB10-와이드늘치)</f>
        <v>43.2</v>
      </c>
      <c r="AG10" s="31">
        <f xml:space="preserve"> IF(소장&lt;&gt;"손상민",IF('와이드(실측)'!AC10&gt;0,'와이드(실측)'!AC10,C10-1.2),IF('와이드(실측)'!AC10&gt;0,'와이드(실측)'!AC10+1.2,C10) )</f>
        <v>239.2</v>
      </c>
      <c r="AH10" s="31">
        <f xml:space="preserve"> IF(소장&lt;&gt;"손상민",IF('와이드(실측)'!AD10&gt;0,'와이드(실측)'!AD10,D10-1.2),IF('와이드(실측)'!AD10&gt;0,'와이드(실측)'!AD10+1.2,D10))</f>
        <v>239.2</v>
      </c>
      <c r="AI10" s="51">
        <f t="shared" si="10"/>
        <v>3.1999999999999993</v>
      </c>
      <c r="AJ10" s="31" t="str">
        <f t="shared" si="11"/>
        <v>1073*581.4</v>
      </c>
      <c r="AK10" s="31" t="str">
        <f t="shared" si="12"/>
        <v>2537.2*401.2</v>
      </c>
      <c r="AL10" s="31" t="str">
        <f t="shared" si="13"/>
        <v>2532.2*403.2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0</v>
      </c>
      <c r="AP10" s="31">
        <f>IF('와이드(실측)'!AH10&gt;5,'와이드(실측)'!AH10+뒷날개치수더함,'와이드(실측)'!AH10)</f>
        <v>0</v>
      </c>
      <c r="AQ10" s="31">
        <f>'와이드(실측)'!AI10</f>
        <v>0</v>
      </c>
      <c r="AR10" s="31">
        <f>'와이드(실측)'!AJ10</f>
        <v>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7.5371384997024631</v>
      </c>
      <c r="AV10" s="21">
        <f t="shared" si="15"/>
        <v>18.337166623309145</v>
      </c>
      <c r="AW10" s="21">
        <f t="shared" si="16"/>
        <v>18.337166623309145</v>
      </c>
      <c r="AX10" s="21">
        <f>'와이드(실측)'!M10+AS10</f>
        <v>0</v>
      </c>
      <c r="AY10" s="21">
        <f>'와이드(실측)'!N10+AS10</f>
        <v>0</v>
      </c>
      <c r="AZ10" s="20">
        <f t="shared" si="17"/>
        <v>18.337166623309145</v>
      </c>
      <c r="BA10" s="41">
        <f t="shared" si="4"/>
        <v>1073</v>
      </c>
      <c r="BB10" s="42">
        <f>MAX(C10,D10)+MAX(G10,H10)+AA10-1.2*$AJ$3+IF(BI10=0,MAX(AE10,AC10),0)+IF(Y10=0,1.2,0)+IF(Z10=0,1.2,0)+IF(소장&lt;&gt;"손상민", Y10+Z10,IF('와이드(실측)'!U10=0,0,2.4))</f>
        <v>581.40000000000009</v>
      </c>
      <c r="BC10" s="41">
        <f t="shared" si="18"/>
        <v>401.19999999999993</v>
      </c>
      <c r="BD10" s="41">
        <f t="shared" si="19"/>
        <v>2537.1999999999998</v>
      </c>
      <c r="BE10" s="41">
        <f t="shared" si="20"/>
        <v>403.19999999999993</v>
      </c>
      <c r="BF10" s="41">
        <f t="shared" si="21"/>
        <v>2532.1999999999998</v>
      </c>
      <c r="BG10" s="6">
        <f t="shared" si="22"/>
        <v>2.5999999999999979</v>
      </c>
      <c r="BH10" s="43" t="str">
        <f t="shared" si="23"/>
        <v/>
      </c>
      <c r="BI10" s="77">
        <f t="shared" si="24"/>
        <v>0</v>
      </c>
    </row>
    <row r="11" spans="1:61" ht="26.25" customHeight="1" x14ac:dyDescent="0.3">
      <c r="A11" s="31">
        <f>'와이드(실측)'!A11</f>
        <v>0</v>
      </c>
      <c r="B11" s="31" t="str">
        <f>'와이드(실측)'!B11&amp;"F"</f>
        <v>6F</v>
      </c>
      <c r="C11" s="31">
        <f>'와이드(실측)'!C11+와이드MH더함-IF(AND(소장="추영덕",Y11=0),1.2)</f>
        <v>239.2</v>
      </c>
      <c r="D11" s="31">
        <f>'와이드(실측)'!D11+와이드MH더함-IF(AND(소장="추영덕",Y11=0),1.2)</f>
        <v>239.2</v>
      </c>
      <c r="E11" s="135">
        <f>'와이드(실측)'!E11-와이드OP</f>
        <v>997</v>
      </c>
      <c r="F11" s="31">
        <f>'와이드(실측)'!F11-와이드R</f>
        <v>1073</v>
      </c>
      <c r="G11" s="50">
        <f>'와이드(실측)'!G11+와이드JBJD키움치수+IF(BI11=1,AC11,0)</f>
        <v>277.2</v>
      </c>
      <c r="H11" s="50">
        <f>'와이드(실측)'!H11+와이드JBJD키움치수+IF(BI11=1,AE11,0)</f>
        <v>277.2</v>
      </c>
      <c r="I11" s="50">
        <f>'와이드(실측)'!I11+MAX(AS11,AT11)+와이드JBJD키움치수+IF(BI11=1,AC11,0)</f>
        <v>298.2</v>
      </c>
      <c r="J11" s="50">
        <f>'와이드(실측)'!I11+MAX(AS11,AT11)+와이드JBJD키움치수+IF(BI11=1,AD11,0)-IF(와이드JB하부늘치=1,'와이드(실측)'!Y11-'와이드(실측)'!Z11,0)</f>
        <v>298.2</v>
      </c>
      <c r="K11" s="50">
        <f>'와이드(실측)'!J11+MAX(AS11,AT11)+와이드JBJD키움치수+IF(BI11=1,AE11,0)</f>
        <v>298.2</v>
      </c>
      <c r="L11" s="50">
        <f>'와이드(실측)'!J11+MAX(AS11,AT11)+와이드JBJD키움치수+IF(BI11=1,AF11,0)-IF(와이드JB하부늘치=1,'와이드(실측)'!AA11-'와이드(실측)'!AB11,0)</f>
        <v>296.2</v>
      </c>
      <c r="M11" s="31">
        <f t="shared" si="6"/>
        <v>0</v>
      </c>
      <c r="N11" s="31">
        <f t="shared" si="7"/>
        <v>0</v>
      </c>
      <c r="O11" s="31">
        <f>IF(S11&lt;9,'와이드(실측)'!K11+1.2,IF(ISNUMBER('와이드(실측)'!K11),'와이드(실측)'!K11+와이드C값,0))</f>
        <v>29.2</v>
      </c>
      <c r="P11" s="31">
        <f>IF(T11&lt;9,'와이드(실측)'!L11+1.2,IF(ISNUMBER('와이드(실측)'!L11),'와이드(실측)'!L11+와이드C값,0))</f>
        <v>29.2</v>
      </c>
      <c r="Q11" s="32">
        <f t="shared" si="8"/>
        <v>18.3</v>
      </c>
      <c r="R11" s="38">
        <f t="shared" si="9"/>
        <v>18.3</v>
      </c>
      <c r="S11" s="31">
        <f>IF(ISNUMBER('와이드(실측)'!O11),'와이드(실측)'!O11+와이드제작!AS11+와이드A늘림,0)</f>
        <v>0</v>
      </c>
      <c r="T11" s="31">
        <f>IF(ISNUMBER('와이드(실측)'!P11),'와이드(실측)'!P11+와이드제작!AT11+와이드A늘림,0)</f>
        <v>0</v>
      </c>
      <c r="U11" s="31">
        <f>'와이드(실측)'!Q11-와이드기둥차감+2000</f>
        <v>2303</v>
      </c>
      <c r="V11" s="31">
        <f>'와이드(실측)'!R11-와이드기둥차감+2000</f>
        <v>2296</v>
      </c>
      <c r="W11" s="31">
        <f>'와이드(실측)'!S11-와이드기둥차감+2000</f>
        <v>2304</v>
      </c>
      <c r="X11" s="31">
        <f>'와이드(실측)'!T11-와이드기둥차감+2000</f>
        <v>2294</v>
      </c>
      <c r="Y11" s="31">
        <f>IF(소장="손상민",IF(ISNUMBER('와이드(실측)'!U11),'와이드(실측)'!U11+1.2,0),IF(ISNUMBER('와이드(실측)'!U11),'와이드(실측)'!U11+와이드U,0))</f>
        <v>16.2</v>
      </c>
      <c r="Z11" s="31">
        <f>IF(소장="손상민",MAX(Q11,R11)+3.2,IF(ISNUMBER('와이드(실측)'!V11),'와이드(실측)'!V11+1.5+와이드제작!Q11+1,0))</f>
        <v>21.5</v>
      </c>
      <c r="AA11" s="31">
        <f>'와이드(실측)'!W11+뒷날개치수더함</f>
        <v>16.2</v>
      </c>
      <c r="AB11" s="31">
        <f>'와이드(실측)'!X11+뒷날개치수더함</f>
        <v>26.2</v>
      </c>
      <c r="AC11" s="31">
        <f>'와이드(실측)'!Y11-와이드늘치</f>
        <v>41.2</v>
      </c>
      <c r="AD11" s="31">
        <f>IF(와이드JB하부늘치=1,AC11,'와이드(실측)'!Z11-와이드늘치)</f>
        <v>41.2</v>
      </c>
      <c r="AE11" s="31">
        <f>'와이드(실측)'!AA11-와이드늘치</f>
        <v>44.2</v>
      </c>
      <c r="AF11" s="31">
        <f>IF(와이드JB하부늘치=1,AE11,'와이드(실측)'!AB11-와이드늘치)</f>
        <v>44.2</v>
      </c>
      <c r="AG11" s="31">
        <f xml:space="preserve"> IF(소장&lt;&gt;"손상민",IF('와이드(실측)'!AC11&gt;0,'와이드(실측)'!AC11,C11-1.2),IF('와이드(실측)'!AC11&gt;0,'와이드(실측)'!AC11+1.2,C11) )</f>
        <v>239.2</v>
      </c>
      <c r="AH11" s="31">
        <f xml:space="preserve"> IF(소장&lt;&gt;"손상민",IF('와이드(실측)'!AD11&gt;0,'와이드(실측)'!AD11,D11-1.2),IF('와이드(실측)'!AD11&gt;0,'와이드(실측)'!AD11+1.2,D11))</f>
        <v>239.2</v>
      </c>
      <c r="AI11" s="51">
        <f t="shared" si="10"/>
        <v>3.1999999999999993</v>
      </c>
      <c r="AJ11" s="31" t="str">
        <f t="shared" si="11"/>
        <v>1073*574.4</v>
      </c>
      <c r="AK11" s="31" t="str">
        <f t="shared" si="12"/>
        <v>2542.2*391.2</v>
      </c>
      <c r="AL11" s="31" t="str">
        <f t="shared" si="13"/>
        <v>2543.2*394.2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4"/>
        <v>7.8057463718641662</v>
      </c>
      <c r="AV11" s="21">
        <f t="shared" si="15"/>
        <v>18.23694564210723</v>
      </c>
      <c r="AW11" s="21">
        <f t="shared" si="16"/>
        <v>18.23694564210723</v>
      </c>
      <c r="AX11" s="21">
        <f>'와이드(실측)'!M11+AS11</f>
        <v>0</v>
      </c>
      <c r="AY11" s="21">
        <f>'와이드(실측)'!N11+AS11</f>
        <v>0</v>
      </c>
      <c r="AZ11" s="20">
        <f t="shared" si="17"/>
        <v>18.23694564210723</v>
      </c>
      <c r="BA11" s="41">
        <f t="shared" si="4"/>
        <v>1073</v>
      </c>
      <c r="BB11" s="42">
        <f>MAX(C11,D11)+MAX(G11,H11)+AA11-1.2*$AJ$3+IF(BI11=0,MAX(AE11,AC11),0)+IF(Y11=0,1.2,0)+IF(Z11=0,1.2,0)+IF(소장&lt;&gt;"손상민", Y11+Z11,IF('와이드(실측)'!U11=0,0,2.4))</f>
        <v>574.40000000000009</v>
      </c>
      <c r="BC11" s="41">
        <f t="shared" si="18"/>
        <v>391.19999999999993</v>
      </c>
      <c r="BD11" s="41">
        <f t="shared" si="19"/>
        <v>2542.1999999999998</v>
      </c>
      <c r="BE11" s="41">
        <f t="shared" si="20"/>
        <v>394.19999999999993</v>
      </c>
      <c r="BF11" s="41">
        <f t="shared" si="21"/>
        <v>2543.1999999999998</v>
      </c>
      <c r="BG11" s="6">
        <f t="shared" si="22"/>
        <v>2.6999999999999993</v>
      </c>
      <c r="BH11" s="43" t="str">
        <f t="shared" si="23"/>
        <v/>
      </c>
      <c r="BI11" s="77">
        <f t="shared" si="24"/>
        <v>0</v>
      </c>
    </row>
    <row r="12" spans="1:61" ht="26.25" customHeight="1" x14ac:dyDescent="0.3">
      <c r="A12" s="31">
        <f>'와이드(실측)'!A12</f>
        <v>0</v>
      </c>
      <c r="B12" s="31" t="str">
        <f>'와이드(실측)'!B12&amp;"F"</f>
        <v>7F</v>
      </c>
      <c r="C12" s="31">
        <f>'와이드(실측)'!C12+와이드MH더함-IF(AND(소장="추영덕",Y12=0),1.2)</f>
        <v>239.2</v>
      </c>
      <c r="D12" s="31">
        <f>'와이드(실측)'!D12+와이드MH더함-IF(AND(소장="추영덕",Y12=0),1.2)</f>
        <v>239.2</v>
      </c>
      <c r="E12" s="135">
        <f>'와이드(실측)'!E12-와이드OP</f>
        <v>997</v>
      </c>
      <c r="F12" s="31">
        <f>'와이드(실측)'!F12-와이드R</f>
        <v>1073</v>
      </c>
      <c r="G12" s="50">
        <f>'와이드(실측)'!G12+와이드JBJD키움치수+IF(BI12=1,AC12,0)</f>
        <v>287.2</v>
      </c>
      <c r="H12" s="50">
        <f>'와이드(실측)'!H12+와이드JBJD키움치수+IF(BI12=1,AE12,0)</f>
        <v>287.2</v>
      </c>
      <c r="I12" s="50">
        <f>'와이드(실측)'!I12+MAX(AS12,AT12)+와이드JBJD키움치수+IF(BI12=1,AC12,0)</f>
        <v>308.2</v>
      </c>
      <c r="J12" s="50">
        <f>'와이드(실측)'!I12+MAX(AS12,AT12)+와이드JBJD키움치수+IF(BI12=1,AD12,0)-IF(와이드JB하부늘치=1,'와이드(실측)'!Y12-'와이드(실측)'!Z12,0)</f>
        <v>310.2</v>
      </c>
      <c r="K12" s="50">
        <f>'와이드(실측)'!J12+MAX(AS12,AT12)+와이드JBJD키움치수+IF(BI12=1,AE12,0)</f>
        <v>308.2</v>
      </c>
      <c r="L12" s="50">
        <f>'와이드(실측)'!J12+MAX(AS12,AT12)+와이드JBJD키움치수+IF(BI12=1,AF12,0)-IF(와이드JB하부늘치=1,'와이드(실측)'!AA12-'와이드(실측)'!AB12,0)</f>
        <v>308.2</v>
      </c>
      <c r="M12" s="31">
        <f t="shared" si="6"/>
        <v>0</v>
      </c>
      <c r="N12" s="31">
        <f t="shared" si="7"/>
        <v>0</v>
      </c>
      <c r="O12" s="31">
        <f>IF(S12&lt;9,'와이드(실측)'!K12+1.2,IF(ISNUMBER('와이드(실측)'!K12),'와이드(실측)'!K12+와이드C값,0))</f>
        <v>29.2</v>
      </c>
      <c r="P12" s="31">
        <f>IF(T12&lt;9,'와이드(실측)'!L12+1.2,IF(ISNUMBER('와이드(실측)'!L12),'와이드(실측)'!L12+와이드C값,0))</f>
        <v>29.2</v>
      </c>
      <c r="Q12" s="32">
        <f t="shared" si="8"/>
        <v>18.400000000000002</v>
      </c>
      <c r="R12" s="38">
        <f t="shared" si="9"/>
        <v>18.400000000000002</v>
      </c>
      <c r="S12" s="31">
        <f>IF(ISNUMBER('와이드(실측)'!O12),'와이드(실측)'!O12+와이드제작!AS12+와이드A늘림,0)</f>
        <v>0</v>
      </c>
      <c r="T12" s="31">
        <f>IF(ISNUMBER('와이드(실측)'!P12),'와이드(실측)'!P12+와이드제작!AT12+와이드A늘림,0)</f>
        <v>0</v>
      </c>
      <c r="U12" s="31">
        <f>'와이드(실측)'!Q12-와이드기둥차감+2000</f>
        <v>2297</v>
      </c>
      <c r="V12" s="31">
        <f>'와이드(실측)'!R12-와이드기둥차감+2000</f>
        <v>2294</v>
      </c>
      <c r="W12" s="31">
        <f>'와이드(실측)'!S12-와이드기둥차감+2000</f>
        <v>2302</v>
      </c>
      <c r="X12" s="31">
        <f>'와이드(실측)'!T12-와이드기둥차감+2000</f>
        <v>2288</v>
      </c>
      <c r="Y12" s="31">
        <f>IF(소장="손상민",IF(ISNUMBER('와이드(실측)'!U12),'와이드(실측)'!U12+1.2,0),IF(ISNUMBER('와이드(실측)'!U12),'와이드(실측)'!U12+와이드U,0))</f>
        <v>13.2</v>
      </c>
      <c r="Z12" s="31">
        <f>IF(소장="손상민",MAX(Q12,R12)+3.2,IF(ISNUMBER('와이드(실측)'!V12),'와이드(실측)'!V12+1.5+와이드제작!Q12+1,0))</f>
        <v>21.6</v>
      </c>
      <c r="AA12" s="31">
        <f>'와이드(실측)'!W12+뒷날개치수더함</f>
        <v>14.2</v>
      </c>
      <c r="AB12" s="31">
        <f>'와이드(실측)'!X12+뒷날개치수더함</f>
        <v>26.2</v>
      </c>
      <c r="AC12" s="31">
        <f>'와이드(실측)'!Y12-와이드늘치</f>
        <v>41.2</v>
      </c>
      <c r="AD12" s="31">
        <f>IF(와이드JB하부늘치=1,AC12,'와이드(실측)'!Z12-와이드늘치)</f>
        <v>41.2</v>
      </c>
      <c r="AE12" s="31">
        <f>'와이드(실측)'!AA12-와이드늘치</f>
        <v>41.2</v>
      </c>
      <c r="AF12" s="31">
        <f>IF(와이드JB하부늘치=1,AE12,'와이드(실측)'!AB12-와이드늘치)</f>
        <v>41.2</v>
      </c>
      <c r="AG12" s="31">
        <f xml:space="preserve"> IF(소장&lt;&gt;"손상민",IF('와이드(실측)'!AC12&gt;0,'와이드(실측)'!AC12,C12-1.2),IF('와이드(실측)'!AC12&gt;0,'와이드(실측)'!AC12+1.2,C12) )</f>
        <v>239.2</v>
      </c>
      <c r="AH12" s="31">
        <f xml:space="preserve"> IF(소장&lt;&gt;"손상민",IF('와이드(실측)'!AD12&gt;0,'와이드(실측)'!AD12,D12-1.2),IF('와이드(실측)'!AD12&gt;0,'와이드(실측)'!AD12+1.2,D12))</f>
        <v>239.2</v>
      </c>
      <c r="AI12" s="51">
        <f t="shared" si="10"/>
        <v>3.1999999999999993</v>
      </c>
      <c r="AJ12" s="31" t="str">
        <f t="shared" si="11"/>
        <v>1073*579.4</v>
      </c>
      <c r="AK12" s="31" t="str">
        <f t="shared" si="12"/>
        <v>2536.2*403.2</v>
      </c>
      <c r="AL12" s="31" t="str">
        <f t="shared" si="13"/>
        <v>2541.2*401.2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4"/>
        <v>7.5371384997024631</v>
      </c>
      <c r="AV12" s="21">
        <f t="shared" si="15"/>
        <v>18.337166623309145</v>
      </c>
      <c r="AW12" s="21">
        <f t="shared" si="16"/>
        <v>18.337166623309145</v>
      </c>
      <c r="AX12" s="21">
        <f>'와이드(실측)'!M12+AS12</f>
        <v>0</v>
      </c>
      <c r="AY12" s="21">
        <f>'와이드(실측)'!N12+AS12</f>
        <v>0</v>
      </c>
      <c r="AZ12" s="20">
        <f t="shared" si="17"/>
        <v>18.337166623309145</v>
      </c>
      <c r="BA12" s="41">
        <f t="shared" si="4"/>
        <v>1073</v>
      </c>
      <c r="BB12" s="42">
        <f>MAX(C12,D12)+MAX(G12,H12)+AA12-1.2*$AJ$3+IF(BI12=0,MAX(AE12,AC12),0)+IF(Y12=0,1.2,0)+IF(Z12=0,1.2,0)+IF(소장&lt;&gt;"손상민", Y12+Z12,IF('와이드(실측)'!U12=0,0,2.4))</f>
        <v>579.40000000000009</v>
      </c>
      <c r="BC12" s="41">
        <f t="shared" si="18"/>
        <v>403.19999999999993</v>
      </c>
      <c r="BD12" s="41">
        <f t="shared" si="19"/>
        <v>2536.1999999999998</v>
      </c>
      <c r="BE12" s="41">
        <f t="shared" si="20"/>
        <v>401.19999999999993</v>
      </c>
      <c r="BF12" s="41">
        <f t="shared" si="21"/>
        <v>2541.1999999999998</v>
      </c>
      <c r="BG12" s="6">
        <f t="shared" si="22"/>
        <v>2.5999999999999979</v>
      </c>
      <c r="BH12" s="43" t="str">
        <f t="shared" si="23"/>
        <v/>
      </c>
      <c r="BI12" s="77">
        <f t="shared" si="24"/>
        <v>0</v>
      </c>
    </row>
    <row r="13" spans="1:61" ht="26.25" customHeight="1" x14ac:dyDescent="0.3">
      <c r="A13" s="31">
        <f>'와이드(실측)'!A13</f>
        <v>0</v>
      </c>
      <c r="B13" s="31" t="str">
        <f>'와이드(실측)'!B13&amp;"F"</f>
        <v>8F</v>
      </c>
      <c r="C13" s="31">
        <f>'와이드(실측)'!C13+와이드MH더함-IF(AND(소장="추영덕",Y13=0),1.2)</f>
        <v>239.2</v>
      </c>
      <c r="D13" s="31">
        <f>'와이드(실측)'!D13+와이드MH더함-IF(AND(소장="추영덕",Y13=0),1.2)</f>
        <v>239.2</v>
      </c>
      <c r="E13" s="135">
        <f>'와이드(실측)'!E13-와이드OP</f>
        <v>997</v>
      </c>
      <c r="F13" s="31">
        <f>'와이드(실측)'!F13-와이드R</f>
        <v>1073</v>
      </c>
      <c r="G13" s="50">
        <f>'와이드(실측)'!G13+와이드JBJD키움치수+IF(BI13=1,AC13,0)</f>
        <v>287.2</v>
      </c>
      <c r="H13" s="50">
        <f>'와이드(실측)'!H13+와이드JBJD키움치수+IF(BI13=1,AE13,0)</f>
        <v>287.2</v>
      </c>
      <c r="I13" s="50">
        <f>'와이드(실측)'!I13+MAX(AS13,AT13)+와이드JBJD키움치수+IF(BI13=1,AC13,0)</f>
        <v>308.2</v>
      </c>
      <c r="J13" s="50">
        <f>'와이드(실측)'!I13+MAX(AS13,AT13)+와이드JBJD키움치수+IF(BI13=1,AD13,0)-IF(와이드JB하부늘치=1,'와이드(실측)'!Y13-'와이드(실측)'!Z13,0)</f>
        <v>306.2</v>
      </c>
      <c r="K13" s="50">
        <f>'와이드(실측)'!J13+MAX(AS13,AT13)+와이드JBJD키움치수+IF(BI13=1,AE13,0)</f>
        <v>308.2</v>
      </c>
      <c r="L13" s="50">
        <f>'와이드(실측)'!J13+MAX(AS13,AT13)+와이드JBJD키움치수+IF(BI13=1,AF13,0)-IF(와이드JB하부늘치=1,'와이드(실측)'!AA13-'와이드(실측)'!AB13,0)</f>
        <v>301.2</v>
      </c>
      <c r="M13" s="31">
        <f t="shared" si="6"/>
        <v>0</v>
      </c>
      <c r="N13" s="31">
        <f t="shared" si="7"/>
        <v>0</v>
      </c>
      <c r="O13" s="31">
        <f>IF(S13&lt;9,'와이드(실측)'!K13+1.2,IF(ISNUMBER('와이드(실측)'!K13),'와이드(실측)'!K13+와이드C값,0))</f>
        <v>29.2</v>
      </c>
      <c r="P13" s="31">
        <f>IF(T13&lt;9,'와이드(실측)'!L13+1.2,IF(ISNUMBER('와이드(실측)'!L13),'와이드(실측)'!L13+와이드C값,0))</f>
        <v>29.2</v>
      </c>
      <c r="Q13" s="32">
        <f t="shared" si="8"/>
        <v>18.400000000000002</v>
      </c>
      <c r="R13" s="38">
        <f t="shared" si="9"/>
        <v>18.400000000000002</v>
      </c>
      <c r="S13" s="31">
        <f>IF(ISNUMBER('와이드(실측)'!O13),'와이드(실측)'!O13+와이드제작!AS13+와이드A늘림,0)</f>
        <v>0</v>
      </c>
      <c r="T13" s="31">
        <f>IF(ISNUMBER('와이드(실측)'!P13),'와이드(실측)'!P13+와이드제작!AT13+와이드A늘림,0)</f>
        <v>0</v>
      </c>
      <c r="U13" s="31">
        <f>'와이드(실측)'!Q13-와이드기둥차감+2000</f>
        <v>2304</v>
      </c>
      <c r="V13" s="31">
        <f>'와이드(실측)'!R13-와이드기둥차감+2000</f>
        <v>2291</v>
      </c>
      <c r="W13" s="31">
        <f>'와이드(실측)'!S13-와이드기둥차감+2000</f>
        <v>2302</v>
      </c>
      <c r="X13" s="31">
        <f>'와이드(실측)'!T13-와이드기둥차감+2000</f>
        <v>2295</v>
      </c>
      <c r="Y13" s="31">
        <f>IF(소장="손상민",IF(ISNUMBER('와이드(실측)'!U13),'와이드(실측)'!U13+1.2,0),IF(ISNUMBER('와이드(실측)'!U13),'와이드(실측)'!U13+와이드U,0))</f>
        <v>36.200000000000003</v>
      </c>
      <c r="Z13" s="31">
        <f>IF(소장="손상민",MAX(Q13,R13)+3.2,IF(ISNUMBER('와이드(실측)'!V13),'와이드(실측)'!V13+1.5+와이드제작!Q13+1,0))</f>
        <v>21.6</v>
      </c>
      <c r="AA13" s="31">
        <f>'와이드(실측)'!W13+뒷날개치수더함</f>
        <v>14.2</v>
      </c>
      <c r="AB13" s="31">
        <f>'와이드(실측)'!X13+뒷날개치수더함</f>
        <v>26.2</v>
      </c>
      <c r="AC13" s="31">
        <f>'와이드(실측)'!Y13-와이드늘치</f>
        <v>42.2</v>
      </c>
      <c r="AD13" s="31">
        <f>IF(와이드JB하부늘치=1,AC13,'와이드(실측)'!Z13-와이드늘치)</f>
        <v>42.2</v>
      </c>
      <c r="AE13" s="31">
        <f>'와이드(실측)'!AA13-와이드늘치</f>
        <v>47.2</v>
      </c>
      <c r="AF13" s="31">
        <f>IF(와이드JB하부늘치=1,AE13,'와이드(실측)'!AB13-와이드늘치)</f>
        <v>47.2</v>
      </c>
      <c r="AG13" s="31">
        <f xml:space="preserve"> IF(소장&lt;&gt;"손상민",IF('와이드(실측)'!AC13&gt;0,'와이드(실측)'!AC13,C13-1.2),IF('와이드(실측)'!AC13&gt;0,'와이드(실측)'!AC13+1.2,C13) )</f>
        <v>239.2</v>
      </c>
      <c r="AH13" s="31">
        <f xml:space="preserve"> IF(소장&lt;&gt;"손상민",IF('와이드(실측)'!AD13&gt;0,'와이드(실측)'!AD13,D13-1.2),IF('와이드(실측)'!AD13&gt;0,'와이드(실측)'!AD13+1.2,D13))</f>
        <v>239.2</v>
      </c>
      <c r="AI13" s="51">
        <f t="shared" si="10"/>
        <v>3.1999999999999993</v>
      </c>
      <c r="AJ13" s="31" t="str">
        <f t="shared" si="11"/>
        <v>1073*585.4</v>
      </c>
      <c r="AK13" s="31" t="str">
        <f t="shared" si="12"/>
        <v>2543.2*402.2</v>
      </c>
      <c r="AL13" s="31" t="str">
        <f t="shared" si="13"/>
        <v>2541.2*407.2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0</v>
      </c>
      <c r="AP13" s="31">
        <f>IF('와이드(실측)'!AH13&gt;5,'와이드(실측)'!AH13+뒷날개치수더함,'와이드(실측)'!AH13)</f>
        <v>0</v>
      </c>
      <c r="AQ13" s="31">
        <f>'와이드(실측)'!AI13</f>
        <v>0</v>
      </c>
      <c r="AR13" s="31">
        <f>'와이드(실측)'!AJ13</f>
        <v>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4"/>
        <v>7.5371384997024631</v>
      </c>
      <c r="AV13" s="21">
        <f t="shared" si="15"/>
        <v>18.337166623309145</v>
      </c>
      <c r="AW13" s="21">
        <f t="shared" si="16"/>
        <v>18.337166623309145</v>
      </c>
      <c r="AX13" s="21">
        <f>'와이드(실측)'!M13+AS13</f>
        <v>0</v>
      </c>
      <c r="AY13" s="21">
        <f>'와이드(실측)'!N13+AS13</f>
        <v>0</v>
      </c>
      <c r="AZ13" s="20">
        <f t="shared" si="17"/>
        <v>18.337166623309145</v>
      </c>
      <c r="BA13" s="41">
        <f t="shared" si="4"/>
        <v>1073</v>
      </c>
      <c r="BB13" s="42">
        <f>MAX(C13,D13)+MAX(G13,H13)+AA13-1.2*$AJ$3+IF(BI13=0,MAX(AE13,AC13),0)+IF(Y13=0,1.2,0)+IF(Z13=0,1.2,0)+IF(소장&lt;&gt;"손상민", Y13+Z13,IF('와이드(실측)'!U13=0,0,2.4))</f>
        <v>585.40000000000009</v>
      </c>
      <c r="BC13" s="41">
        <f t="shared" si="18"/>
        <v>402.19999999999993</v>
      </c>
      <c r="BD13" s="41">
        <f t="shared" si="19"/>
        <v>2543.1999999999998</v>
      </c>
      <c r="BE13" s="41">
        <f t="shared" si="20"/>
        <v>407.19999999999993</v>
      </c>
      <c r="BF13" s="41">
        <f t="shared" si="21"/>
        <v>2541.1999999999998</v>
      </c>
      <c r="BG13" s="6">
        <f t="shared" si="22"/>
        <v>2.5999999999999979</v>
      </c>
      <c r="BH13" s="43" t="str">
        <f t="shared" si="23"/>
        <v/>
      </c>
      <c r="BI13" s="77">
        <f t="shared" si="24"/>
        <v>0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:AI13">
    <cfRule type="cellIs" dxfId="85" priority="52" operator="greaterThan">
      <formula>3</formula>
    </cfRule>
  </conditionalFormatting>
  <conditionalFormatting sqref="F7:F13">
    <cfRule type="cellIs" dxfId="84" priority="39" operator="greaterThan">
      <formula>1210</formula>
    </cfRule>
  </conditionalFormatting>
  <conditionalFormatting sqref="I7:L13 C7:D13">
    <cfRule type="cellIs" dxfId="83" priority="38" operator="greaterThan">
      <formula>500</formula>
    </cfRule>
  </conditionalFormatting>
  <conditionalFormatting sqref="C7:D13">
    <cfRule type="cellIs" dxfId="82" priority="36" operator="notEqual">
      <formula>$D7</formula>
    </cfRule>
  </conditionalFormatting>
  <conditionalFormatting sqref="D7:D13">
    <cfRule type="cellIs" dxfId="81" priority="35" operator="notEqual">
      <formula>$C7</formula>
    </cfRule>
  </conditionalFormatting>
  <conditionalFormatting sqref="AO7:AR13">
    <cfRule type="cellIs" dxfId="80" priority="17" operator="greaterThan">
      <formula>1.2</formula>
    </cfRule>
  </conditionalFormatting>
  <conditionalFormatting sqref="AO7:AO13">
    <cfRule type="cellIs" dxfId="79" priority="16" operator="greaterThan">
      <formula>0</formula>
    </cfRule>
  </conditionalFormatting>
  <conditionalFormatting sqref="G7:G13">
    <cfRule type="cellIs" dxfId="78" priority="14" operator="notEqual">
      <formula>H7</formula>
    </cfRule>
  </conditionalFormatting>
  <conditionalFormatting sqref="H7:H13">
    <cfRule type="cellIs" dxfId="77" priority="13" operator="notEqual">
      <formula>G7</formula>
    </cfRule>
  </conditionalFormatting>
  <conditionalFormatting sqref="I7:I13">
    <cfRule type="cellIs" dxfId="76" priority="12" operator="notEqual">
      <formula>J7</formula>
    </cfRule>
  </conditionalFormatting>
  <conditionalFormatting sqref="J7:J13">
    <cfRule type="cellIs" dxfId="75" priority="11" operator="notEqual">
      <formula>I7</formula>
    </cfRule>
  </conditionalFormatting>
  <conditionalFormatting sqref="K7:K13">
    <cfRule type="cellIs" dxfId="74" priority="10" operator="notEqual">
      <formula>L7</formula>
    </cfRule>
  </conditionalFormatting>
  <conditionalFormatting sqref="L7:L13">
    <cfRule type="cellIs" dxfId="73" priority="9" operator="notEqual">
      <formula>K7</formula>
    </cfRule>
  </conditionalFormatting>
  <conditionalFormatting sqref="AG7:AG13">
    <cfRule type="cellIs" dxfId="72" priority="8" operator="notEqual">
      <formula>AH7</formula>
    </cfRule>
  </conditionalFormatting>
  <conditionalFormatting sqref="AH7:AH13">
    <cfRule type="cellIs" dxfId="71" priority="7" operator="notEqual">
      <formula>AG7</formula>
    </cfRule>
  </conditionalFormatting>
  <conditionalFormatting sqref="AC7:AF13">
    <cfRule type="expression" dxfId="70" priority="6">
      <formula>$BI7</formula>
    </cfRule>
  </conditionalFormatting>
  <conditionalFormatting sqref="Y7:Y13">
    <cfRule type="expression" dxfId="69" priority="2">
      <formula>소장="손상민"</formula>
    </cfRule>
  </conditionalFormatting>
  <conditionalFormatting sqref="Z7:Z13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(판매)대구 시설관리공단-2차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(판매)대구 시설관리공단-2차,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+(4.4 ),  늘어난치수K -(0),  C + (4.4),  U +(4.4), OP - (0), R - (0),  기둥차감 - (0), 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(판매)대구 시설관리공단-2차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4.4000000000000004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(판매)대구 시설관리공단-2차,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4.4000000000000004</v>
      </c>
      <c r="K3" s="269"/>
      <c r="L3" s="258" t="s">
        <v>77</v>
      </c>
      <c r="M3" s="258"/>
      <c r="N3" s="270">
        <v>4.4000000000000004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1.2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326</v>
      </c>
      <c r="AG3" s="252"/>
      <c r="AH3" s="199"/>
      <c r="AI3" s="253">
        <f>AN7</f>
        <v>0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+(4.4 ),  늘어난치수K -(0),  C + (4.4),  U +(4.4), OP - (0), R - (0),  기둥차감 - (0),  A + (1.2)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312</v>
      </c>
      <c r="Z4" s="256"/>
      <c r="AA4" s="257">
        <f>'멍텅(실측)'!U7</f>
        <v>0</v>
      </c>
      <c r="AB4" s="257"/>
      <c r="AC4" s="9"/>
      <c r="AD4" s="185">
        <f ca="1">TODAY()</f>
        <v>45288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305</v>
      </c>
      <c r="AL5" s="178" t="s">
        <v>306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4.4000000000000004</v>
      </c>
      <c r="F7" s="50">
        <f>'멍텅(실측)'!F7+MAX(AK7,AL7)+IF(AZ7=1,AA7,0)+멍텅JBJD늘림치수</f>
        <v>4.4000000000000004</v>
      </c>
      <c r="G7" s="50">
        <f>'멍텅(실측)'!G7+AK7+IF(AZ7=1,Y7,0)+멍텅JB강제키움+멍텅JBJD늘림치수</f>
        <v>4.4000000000000004</v>
      </c>
      <c r="H7" s="50">
        <f>'멍텅(실측)'!G7+AK7+IF(AZ7=1,Z7,0)+멍텅JB강제키움+멍텅JBJD늘림치수-IF(멍텅JB하부늘치=1,'멍텅(실측)'!U7-'멍텅(실측)'!V7,0)</f>
        <v>4.4000000000000004</v>
      </c>
      <c r="I7" s="50">
        <f>'멍텅(실측)'!H7+AL7+IF(AZ7=1,AA7,0)+멍텅JB강제키움+멍텅JBJD늘림치수</f>
        <v>4.4000000000000004</v>
      </c>
      <c r="J7" s="50">
        <f>'멍텅(실측)'!H7+AL7+IF(AZ7=1,AB7,0)+멍텅JB강제키움+멍텅JBJD늘림치수-IF(멍텅JB하부늘치=1,'멍텅(실측)'!W7-'멍텅(실측)'!X7,0)</f>
        <v>4.4000000000000004</v>
      </c>
      <c r="K7" s="4">
        <f t="shared" ref="K7:L7" si="0">M7+IF(소장="손상민",0,-1.5)</f>
        <v>1</v>
      </c>
      <c r="L7" s="4">
        <f t="shared" si="0"/>
        <v>1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1.2</v>
      </c>
      <c r="X7" s="4">
        <f>'멍텅(실측)'!T7+뒷날개치수더함</f>
        <v>1.2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0*3.2</v>
      </c>
      <c r="AD7" s="12" t="str">
        <f t="shared" ref="AD7" si="2">AU7&amp;"*"&amp;AT7</f>
        <v>0*3</v>
      </c>
      <c r="AE7" s="10" t="str">
        <f t="shared" ref="AE7" si="3">AW7&amp;"*"&amp;AV7</f>
        <v>0*3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0</v>
      </c>
      <c r="AP7" s="36">
        <f>IF(소장="박철우",F7-COS(RADIANS(AN7))*I7+2,F7-COS(RADIANS(AN7))*I7)</f>
        <v>0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3.2000000000000011</v>
      </c>
      <c r="AT7" s="3">
        <f>O7+M7+MAX(G7,H7)+X7-1.2*$AE$3+IF(AZ7=0,MAX(Y7,Z7))+IF(O7=0,1.2,0)-IF(AH7=90,2.4,0)</f>
        <v>3.0000000000000009</v>
      </c>
      <c r="AU7" s="3">
        <f t="shared" ref="AU7" si="6">MAX(Q7,R7)</f>
        <v>0</v>
      </c>
      <c r="AV7" s="3">
        <f>P7+N7+MAX(I7,J7)+X7-1.2*$AE$3+IF(AZ7=0,MAX(AA7,AB7))+IF(P7=0,1.2,0)-IF(AH7=90,2.4,0)</f>
        <v>3.0000000000000009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S9" sqref="S9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(판매)대구 시설관리공단-2차 ) _손상민소장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(판매)대구 시설관리공단-2차 , 재질 : 사급 일해 BRONZE1.2T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+(4.4 ),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60">
        <v>1</v>
      </c>
      <c r="C7" s="60">
        <v>997</v>
      </c>
      <c r="D7" s="60">
        <v>50</v>
      </c>
      <c r="E7" s="60">
        <v>50</v>
      </c>
      <c r="F7" s="60">
        <v>0</v>
      </c>
      <c r="G7" s="60">
        <v>0</v>
      </c>
      <c r="H7" s="60">
        <v>0</v>
      </c>
      <c r="I7" s="60">
        <v>0</v>
      </c>
      <c r="J7" s="119">
        <v>2298</v>
      </c>
      <c r="K7" s="119">
        <v>2298</v>
      </c>
      <c r="L7" s="119">
        <v>2300</v>
      </c>
      <c r="M7" s="119">
        <v>2300</v>
      </c>
      <c r="N7" s="119">
        <v>0</v>
      </c>
      <c r="O7" s="119">
        <v>0</v>
      </c>
      <c r="P7" s="119">
        <v>10</v>
      </c>
      <c r="Q7" s="119">
        <v>25</v>
      </c>
      <c r="R7" s="60">
        <v>45</v>
      </c>
      <c r="S7" s="60">
        <v>45</v>
      </c>
      <c r="T7" s="4"/>
      <c r="U7" s="4"/>
      <c r="V7" s="4"/>
    </row>
    <row r="8" spans="1:22" ht="18" customHeight="1" x14ac:dyDescent="0.3">
      <c r="A8" s="60"/>
      <c r="B8" s="60">
        <v>2</v>
      </c>
      <c r="C8" s="60">
        <v>994</v>
      </c>
      <c r="D8" s="60">
        <v>50</v>
      </c>
      <c r="E8" s="60">
        <v>50</v>
      </c>
      <c r="F8" s="60">
        <v>0</v>
      </c>
      <c r="G8" s="60">
        <v>0</v>
      </c>
      <c r="H8" s="60">
        <v>0</v>
      </c>
      <c r="I8" s="60">
        <v>0</v>
      </c>
      <c r="J8" s="119">
        <v>2298</v>
      </c>
      <c r="K8" s="119">
        <v>2298</v>
      </c>
      <c r="L8" s="119">
        <v>2297</v>
      </c>
      <c r="M8" s="119">
        <v>2297</v>
      </c>
      <c r="N8" s="119">
        <v>0</v>
      </c>
      <c r="O8" s="119">
        <v>0</v>
      </c>
      <c r="P8" s="119">
        <v>10</v>
      </c>
      <c r="Q8" s="119">
        <v>25</v>
      </c>
      <c r="R8" s="60">
        <v>45</v>
      </c>
      <c r="S8" s="60">
        <v>45</v>
      </c>
      <c r="T8" s="4"/>
      <c r="U8" s="4"/>
      <c r="V8" s="4"/>
    </row>
    <row r="9" spans="1:22" x14ac:dyDescent="0.3">
      <c r="A9" s="60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8"/>
  <sheetViews>
    <sheetView zoomScale="85" zoomScaleNormal="85" workbookViewId="0">
      <selection activeCell="Q27" sqref="Q2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(판매)대구 시설관리공단-2차 (쪽쟘제작치수)  손상민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COUNTA(A7:A134) &amp;" (SET)"</f>
        <v>총 : 2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사급 일해 BRONZE1.2T</v>
      </c>
      <c r="B3" s="2"/>
      <c r="C3" s="2"/>
      <c r="D3" s="2"/>
      <c r="E3" s="248" t="s">
        <v>140</v>
      </c>
      <c r="F3" s="248"/>
      <c r="G3" s="62">
        <v>4.4000000000000004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+(4.4 ),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1F</v>
      </c>
      <c r="C7" s="50" t="str">
        <f>AC7&amp;"*"&amp;AD7</f>
        <v>997*108.2</v>
      </c>
      <c r="D7" s="50">
        <f>'쪽쟘(실측)'!C7-쪽쟘OP차감</f>
        <v>997</v>
      </c>
      <c r="E7" s="50">
        <f>'쪽쟘(실측)'!D7+쪽쟘J늘림+MAX(W7:X7)</f>
        <v>99.4</v>
      </c>
      <c r="F7" s="50">
        <f>'쪽쟘(실측)'!E7+쪽쟘J늘림+MAX(W7:X7)</f>
        <v>99.4</v>
      </c>
      <c r="G7" s="67" t="str">
        <f>AF7&amp;"*"&amp;AE7</f>
        <v>2298*123.2</v>
      </c>
      <c r="H7" s="68" t="str">
        <f>AH7&amp;"*"&amp;AG7</f>
        <v>2300*123.2</v>
      </c>
      <c r="I7" s="50">
        <v>0</v>
      </c>
      <c r="J7" s="50">
        <v>0</v>
      </c>
      <c r="K7" s="50">
        <f>IF('쪽쟘(실측)'!F7&gt;0,'쪽쟘(실측)'!F7+0,0)+뒷날개치수더함</f>
        <v>1.2</v>
      </c>
      <c r="L7" s="50">
        <f>IF('쪽쟘(실측)'!G7&gt;0,'쪽쟘(실측)'!G7+0,0)+뒷날개치수더함</f>
        <v>1.2</v>
      </c>
      <c r="M7" s="50">
        <f>IF('쪽쟘(실측)'!H7&gt;0,'쪽쟘(실측)'!H7+0,0)+뒷날개치수더함</f>
        <v>1.2</v>
      </c>
      <c r="N7" s="50">
        <f>IF('쪽쟘(실측)'!I7&gt;0,'쪽쟘(실측)'!I7+0,0)+뒷날개치수더함</f>
        <v>1.2</v>
      </c>
      <c r="O7" s="50">
        <f>'쪽쟘(실측)'!J7-쪽쟘기둥차감</f>
        <v>2298</v>
      </c>
      <c r="P7" s="50">
        <f>'쪽쟘(실측)'!K7-쪽쟘기둥차감</f>
        <v>2298</v>
      </c>
      <c r="Q7" s="50">
        <f>'쪽쟘(실측)'!L7-쪽쟘기둥차감</f>
        <v>2300</v>
      </c>
      <c r="R7" s="50">
        <f>'쪽쟘(실측)'!M7-쪽쟘기둥차감</f>
        <v>2300</v>
      </c>
      <c r="S7" s="50">
        <f>'쪽쟘(실측)'!N7+뒷날개치수더함</f>
        <v>1.2</v>
      </c>
      <c r="T7" s="50">
        <f>'쪽쟘(실측)'!O7+뒷날개치수더함</f>
        <v>1.2</v>
      </c>
      <c r="U7" s="50">
        <f>'쪽쟘(실측)'!P7+뒷날개치수더함</f>
        <v>11.2</v>
      </c>
      <c r="V7" s="50">
        <f>'쪽쟘(실측)'!Q7+뒷날개치수더함</f>
        <v>26.2</v>
      </c>
      <c r="W7" s="50">
        <f>'쪽쟘(실측)'!R7-쪽쟘늘치차감</f>
        <v>45</v>
      </c>
      <c r="X7" s="50">
        <f>'쪽쟘(실측)'!S7-쪽쟘늘치차감</f>
        <v>45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997</v>
      </c>
      <c r="AD7">
        <f t="shared" ref="AD7" si="1">U7+E7+MAX(S7,T7)-쪽쟘소재t*3+IF(S7=0,S7*쪽쟘소재t,0)</f>
        <v>108.20000000000002</v>
      </c>
      <c r="AE7">
        <f t="shared" ref="AE7:AE8" si="2">MAX(K7,L7)+F7+V7-쪽쟘소재t*3+IF(K7=0,쪽쟘소재t)-IF(AA7=90,2.4,0)</f>
        <v>123.20000000000002</v>
      </c>
      <c r="AF7">
        <f t="shared" ref="AF7" si="3">MAX(O7,P7)</f>
        <v>2298</v>
      </c>
      <c r="AG7">
        <f t="shared" ref="AG7:AG8" si="4">MAX(M7,N7)+F7+V7-쪽쟘소재t*3+IF(M7=0,쪽쟘소재t)-IF(AA7=90,2.4,0)</f>
        <v>123.20000000000002</v>
      </c>
      <c r="AH7">
        <f>MAX(Q7,R7)</f>
        <v>2300</v>
      </c>
    </row>
    <row r="8" spans="1:34" ht="19.5" customHeight="1" x14ac:dyDescent="0.3">
      <c r="A8" s="50">
        <f>'쪽쟘(실측)'!A8</f>
        <v>0</v>
      </c>
      <c r="B8" s="50" t="str">
        <f>'쪽쟘(실측)'!B8&amp;"F"</f>
        <v>2F</v>
      </c>
      <c r="C8" s="50" t="str">
        <f t="shared" ref="C8" si="5">AC8&amp;"*"&amp;AD8</f>
        <v>994*108.2</v>
      </c>
      <c r="D8" s="50">
        <f>'쪽쟘(실측)'!C8-쪽쟘OP차감</f>
        <v>994</v>
      </c>
      <c r="E8" s="50">
        <f>'쪽쟘(실측)'!D8+쪽쟘J늘림+MAX(W8:X8)</f>
        <v>99.4</v>
      </c>
      <c r="F8" s="50">
        <f>'쪽쟘(실측)'!E8+쪽쟘J늘림+MAX(W8:X8)</f>
        <v>99.4</v>
      </c>
      <c r="G8" s="67" t="str">
        <f t="shared" ref="G8" si="6">AF8&amp;"*"&amp;AE8</f>
        <v>2298*123.2</v>
      </c>
      <c r="H8" s="68" t="str">
        <f t="shared" ref="H8" si="7">AH8&amp;"*"&amp;AG8</f>
        <v>2297*123.2</v>
      </c>
      <c r="I8" s="50">
        <v>0</v>
      </c>
      <c r="J8" s="50">
        <v>0</v>
      </c>
      <c r="K8" s="50">
        <f>IF('쪽쟘(실측)'!F8&gt;0,'쪽쟘(실측)'!F8+0,0)+뒷날개치수더함</f>
        <v>1.2</v>
      </c>
      <c r="L8" s="50">
        <f>IF('쪽쟘(실측)'!G8&gt;0,'쪽쟘(실측)'!G8+0,0)+뒷날개치수더함</f>
        <v>1.2</v>
      </c>
      <c r="M8" s="50">
        <f>IF('쪽쟘(실측)'!H8&gt;0,'쪽쟘(실측)'!H8+0,0)+뒷날개치수더함</f>
        <v>1.2</v>
      </c>
      <c r="N8" s="50">
        <f>IF('쪽쟘(실측)'!I8&gt;0,'쪽쟘(실측)'!I8+0,0)+뒷날개치수더함</f>
        <v>1.2</v>
      </c>
      <c r="O8" s="50">
        <f>'쪽쟘(실측)'!J8-쪽쟘기둥차감</f>
        <v>2298</v>
      </c>
      <c r="P8" s="50">
        <f>'쪽쟘(실측)'!K8-쪽쟘기둥차감</f>
        <v>2298</v>
      </c>
      <c r="Q8" s="50">
        <f>'쪽쟘(실측)'!L8-쪽쟘기둥차감</f>
        <v>2297</v>
      </c>
      <c r="R8" s="50">
        <f>'쪽쟘(실측)'!M8-쪽쟘기둥차감</f>
        <v>2297</v>
      </c>
      <c r="S8" s="50">
        <f>'쪽쟘(실측)'!N8+뒷날개치수더함</f>
        <v>1.2</v>
      </c>
      <c r="T8" s="50">
        <f>'쪽쟘(실측)'!O8+뒷날개치수더함</f>
        <v>1.2</v>
      </c>
      <c r="U8" s="50">
        <f>'쪽쟘(실측)'!P8+뒷날개치수더함</f>
        <v>11.2</v>
      </c>
      <c r="V8" s="50">
        <f>'쪽쟘(실측)'!Q8+뒷날개치수더함</f>
        <v>26.2</v>
      </c>
      <c r="W8" s="50">
        <f>'쪽쟘(실측)'!R8-쪽쟘늘치차감</f>
        <v>45</v>
      </c>
      <c r="X8" s="50">
        <f>'쪽쟘(실측)'!S8-쪽쟘늘치차감</f>
        <v>45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" si="8">D8+I8+J8</f>
        <v>994</v>
      </c>
      <c r="AD8">
        <f t="shared" ref="AD8" si="9">U8+E8+MAX(S8,T8)-쪽쟘소재t*3+IF(S8=0,S8*쪽쟘소재t,0)</f>
        <v>108.20000000000002</v>
      </c>
      <c r="AE8">
        <f t="shared" si="2"/>
        <v>123.20000000000002</v>
      </c>
      <c r="AF8">
        <f t="shared" ref="AF8" si="10">MAX(O8,P8)</f>
        <v>2298</v>
      </c>
      <c r="AG8">
        <f t="shared" si="4"/>
        <v>123.20000000000002</v>
      </c>
      <c r="AH8">
        <f t="shared" ref="AH8" si="11">MAX(Q8,R8)</f>
        <v>2297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8 M7:M8 S7:S8">
    <cfRule type="cellIs" dxfId="58" priority="4" operator="notEqual">
      <formula>L7</formula>
    </cfRule>
  </conditionalFormatting>
  <conditionalFormatting sqref="L7:L8 N7:N8 T7:T8">
    <cfRule type="cellIs" dxfId="57" priority="3" operator="notEqual">
      <formula>K7</formula>
    </cfRule>
  </conditionalFormatting>
  <conditionalFormatting sqref="Y7:AA8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(판매)대구 시설관리공단-2차 (제작치수 샤링작지) 손상민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2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사급 일해 BRONZE1.2T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0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1F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*</v>
      </c>
      <c r="H7" s="68" t="str">
        <f>IF(OR(쪽쟘제작!N7&lt;&gt;쪽쟘제작!M7,쪽쟘제작!Q7&lt;&gt;쪽쟘제작!R7),"",AE7&amp;"*"&amp;AD7)</f>
        <v>*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10</v>
      </c>
      <c r="V7" s="50">
        <f>'쪽쟘(실측)'!Q7</f>
        <v>25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 x14ac:dyDescent="0.3">
      <c r="A8" s="50">
        <f>'쪽쟘(실측)'!A8</f>
        <v>0</v>
      </c>
      <c r="B8" s="50" t="str">
        <f>'쪽쟘(실측)'!B8&amp;"F"</f>
        <v>2F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*</v>
      </c>
      <c r="H8" s="68" t="str">
        <f>IF(쪽쟘제작!N8&lt;&gt;쪽쟘제작!M8,"",AE8&amp;"*"&amp;AD8)</f>
        <v>*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10</v>
      </c>
      <c r="V8" s="50">
        <f>'쪽쟘(실측)'!Q8</f>
        <v>25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(판매)대구 시설관리공단-2차 ) _손상민소장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(판매)대구 시설관리공단-2차,   (재질) : 사급 일해 BRONZE1.2T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(1.2), JB/JD +(2.2 ),  늘어난치수K -(-2.2),  C + (4.4),   U + (4.4), OP - (0), R - (0),  기둥차감 - (0), A + (1.2)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(판매)대구 시설관리공단-2차 ) _손상민소장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4.4000000000000004</v>
      </c>
      <c r="U2" s="218"/>
      <c r="V2" s="165" t="s">
        <v>83</v>
      </c>
      <c r="W2" s="220"/>
      <c r="X2" s="220"/>
      <c r="Y2" s="221">
        <v>0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1.2</v>
      </c>
      <c r="AT2" s="311"/>
      <c r="AU2" s="1"/>
      <c r="AV2" s="1"/>
    </row>
    <row r="3" spans="1:66" ht="24.75" customHeight="1" x14ac:dyDescent="0.3">
      <c r="A3" s="28" t="str">
        <f>'SO와이드(실측)'!A3</f>
        <v>현장명 : (판매)대구 시설관리공단-2차,   (재질) : 사급 일해 BRONZE1.2T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4.4000000000000004</v>
      </c>
      <c r="Q3" s="207"/>
      <c r="R3" s="217" t="s">
        <v>77</v>
      </c>
      <c r="S3" s="217"/>
      <c r="T3" s="224">
        <v>4.4000000000000004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1.2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327</v>
      </c>
      <c r="AT3" s="192"/>
      <c r="AU3" s="195">
        <f>AY7</f>
        <v>0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(1.2), JB/JD +(2.2 ),  늘어난치수K -(-2.2),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313</v>
      </c>
      <c r="AH4" s="306"/>
      <c r="AI4" s="256">
        <f>'SO와이드(실측)'!AA7</f>
        <v>0</v>
      </c>
      <c r="AJ4" s="256"/>
      <c r="AK4" s="185">
        <f ca="1">TODAY()</f>
        <v>45288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1.2</v>
      </c>
      <c r="D7" s="31">
        <f>'SO와이드(실측)'!D7+SO와이드MH더함-IF(AND(소장="추영덕",AB7=0),1.2)</f>
        <v>1.2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4.4000000000000004</v>
      </c>
      <c r="I7" s="50">
        <f>'SO와이드(실측)'!I7+SO와이드JBJD키움치수+IF(BN7=1,AI7,0)</f>
        <v>4.4000000000000004</v>
      </c>
      <c r="J7" s="50">
        <f>'SO와이드(실측)'!J7+MAX(AW7,AX7)+SO와이드JBJD키움치수+IF(BN7=1,AG7,0)</f>
        <v>4.4000000000000004</v>
      </c>
      <c r="K7" s="50">
        <f>'SO와이드(실측)'!J7+MAX(AW7,AX7)+SO와이드JBJD키움치수+IF(BN7=1,AH7,0)-IF(SO와이드JB하부늘치=1,'SO와이드(실측)'!AA7-'SO와이드(실측)'!AB7,0)</f>
        <v>4.4000000000000004</v>
      </c>
      <c r="L7" s="50">
        <f>'SO와이드(실측)'!K7+MAX(AW7,AX7)+SO와이드JBJD키움치수+IF(BN7=1,AI7,0)</f>
        <v>4.4000000000000004</v>
      </c>
      <c r="M7" s="50">
        <f>'SO와이드(실측)'!K7+MAX(AW7,AX7)+SO와이드JBJD키움치수+IF(BN7=1,AJ7,0)-IF(SO와이드JB하부늘치=1,'SO와이드(실측)'!AC7-'SO와이드(실측)'!AD7,0)</f>
        <v>4.4000000000000004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0</v>
      </c>
      <c r="Q7" s="31">
        <f t="shared" si="0"/>
        <v>0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</v>
      </c>
      <c r="U7" s="137">
        <f>ROUNDUP(BB7,1)</f>
        <v>0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3.2</v>
      </c>
      <c r="AD7" s="31">
        <f>'SO와이드(실측)'!X7+뒷날개치수더함</f>
        <v>1.2</v>
      </c>
      <c r="AE7" s="31">
        <f>'SO와이드(실측)'!Y7+뒷날개치수더함</f>
        <v>1.2</v>
      </c>
      <c r="AF7" s="31">
        <f>'SO와이드(실측)'!Z7+뒷날개치수더함</f>
        <v>1.2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1.2</v>
      </c>
      <c r="AL7" s="31">
        <f xml:space="preserve"> IF(소장&lt;&gt;"손상민",IF('SO와이드(실측)'!AF7&gt;0,'SO와이드(실측)'!AF7,D7-1.2),IF('SO와이드(실측)'!AF7&gt;0,'SO와이드(실측)'!AF7+1.2,D7) )</f>
        <v>1.2</v>
      </c>
      <c r="AM7" s="51">
        <f>IF(AC7&gt;0,AC7-MAX(T7,U7),0)</f>
        <v>3.2</v>
      </c>
      <c r="AN7" s="31" t="str">
        <f t="shared" ref="AN7" si="1">BF7&amp;"*"&amp;BG7</f>
        <v>0*2</v>
      </c>
      <c r="AO7" s="31" t="str">
        <f t="shared" ref="AO7" si="2">BI7&amp;"*"&amp;BH7</f>
        <v>1.2*3.2</v>
      </c>
      <c r="AP7" s="31" t="str">
        <f t="shared" ref="AP7" si="3">BK7&amp;"*"&amp;BJ7</f>
        <v>1.2*3.2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0</v>
      </c>
      <c r="AZ7" s="20">
        <f>DEGREES(ATAN((G7-(E7+F7))/2/(I7)))</f>
        <v>0</v>
      </c>
      <c r="BA7" s="21">
        <f>INT(ABS(H7-COS(RADIANS(AY7))*J7)*10)/10</f>
        <v>0</v>
      </c>
      <c r="BB7" s="21">
        <f>INT(ABS(I7-COS(RADIANS(AZ7))*L7)*10)/10</f>
        <v>0</v>
      </c>
      <c r="BC7" s="21">
        <f>'SO와이드(실측)'!N7+AW7</f>
        <v>0</v>
      </c>
      <c r="BD7" s="21">
        <f>'SO와이드(실측)'!O7+AW7</f>
        <v>0</v>
      </c>
      <c r="BE7" s="20">
        <f>BA7-MAX(BC7,BD7)</f>
        <v>0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2.0000000000000009</v>
      </c>
      <c r="BH7" s="41">
        <f>V7+R7+MAX(J7,K7)+AE7-1.2*$AP$3+IF(BN7=0,MAX(AH7,AG7),0)+IF(V7=0,1.2,0)-IF(AV7=90,2.4,0)</f>
        <v>3.2000000000000011</v>
      </c>
      <c r="BI7" s="41">
        <f>MAX(X7,Y7)+AK7</f>
        <v>1.2</v>
      </c>
      <c r="BJ7" s="41">
        <f>W7+S7+MAX(L7,M7)+AF7-1.2*$AP$3+IF(BN7=0,MAX(AI7,AJ7),0)+IF(W7=0,1.2,0)-IF(AV7=90,2.4,0)</f>
        <v>3.2000000000000011</v>
      </c>
      <c r="BK7" s="41">
        <f>MAX(Z7,AA7)+AL7</f>
        <v>1.2</v>
      </c>
      <c r="BL7" s="6">
        <f t="shared" ref="BL7" si="4">J7-H7-T7</f>
        <v>0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(판매)대구 시설관리공단-2차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(판매)대구 시설관리공단-2차,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+(4.4 ),  늘어난치수K -(0),  C + (4.4),  U +(4.4), OP1/OP2 -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(판매)대구 시설관리공단-2차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0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4.4000000000000004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(판매)대구 시설관리공단-2차,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4.4000000000000004</v>
      </c>
      <c r="L3" s="207"/>
      <c r="M3" s="207"/>
      <c r="N3" s="207"/>
      <c r="O3" s="217" t="s">
        <v>77</v>
      </c>
      <c r="P3" s="217"/>
      <c r="Q3" s="224">
        <v>4.4000000000000004</v>
      </c>
      <c r="R3" s="224"/>
      <c r="S3" s="205" t="s">
        <v>227</v>
      </c>
      <c r="T3" s="205"/>
      <c r="U3" s="205"/>
      <c r="V3" s="335">
        <f>BE7</f>
        <v>1</v>
      </c>
      <c r="W3" s="335"/>
      <c r="X3" s="205" t="s">
        <v>78</v>
      </c>
      <c r="Y3" s="205"/>
      <c r="Z3" s="326">
        <v>1.2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328</v>
      </c>
      <c r="AK3" s="252"/>
      <c r="AL3" s="199"/>
      <c r="AM3" s="338">
        <f>AR7</f>
        <v>0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+(4.4 ),  늘어난치수K -(0),  C + (4.4),  U +(4.4), OP1/OP2 -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314</v>
      </c>
      <c r="AD4" s="336"/>
      <c r="AE4" s="337">
        <f>'SO멍텅(실측)'!W7</f>
        <v>0</v>
      </c>
      <c r="AF4" s="337"/>
      <c r="AG4" s="158"/>
      <c r="AH4" s="334">
        <f ca="1">TODAY()</f>
        <v>45288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305</v>
      </c>
      <c r="AP5" s="178" t="s">
        <v>306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4.4000000000000004</v>
      </c>
      <c r="G7" s="4">
        <f>'SO멍텅(실측)'!G7+MAX(AO7,AP7)+IF(BE7=1,AE7,0)+SO멍텅JBJD늘림치수</f>
        <v>4.4000000000000004</v>
      </c>
      <c r="H7" s="4">
        <f>'SO멍텅(실측)'!H7+AO7+IF(BE7=1,AC7,0)+SO멍텅JB강제키움+SO멍텅JBJD늘림치수</f>
        <v>4.4000000000000004</v>
      </c>
      <c r="I7" s="4">
        <f>'SO멍텅(실측)'!H7+AO7+IF(BE7=1,AD7,0)+SO멍텅JB강제키움+SO멍텅JBJD늘림치수-IF(SO멍텅JB하부늘치=1,'SO멍텅(실측)'!W7-'SO멍텅(실측)'!X7,0)</f>
        <v>4.4000000000000004</v>
      </c>
      <c r="J7" s="4">
        <f>'SO멍텅(실측)'!I7+AP7+IF(BE7=1,AE7,0)+SO멍텅JB강제키움+SO멍텅JBJD늘림치수</f>
        <v>4.4000000000000004</v>
      </c>
      <c r="K7" s="4">
        <f>'SO멍텅(실측)'!I7+AP7+IF(BE7=1,AF7,0)+SO멍텅JB강제키움+SO멍텅JBJD늘림치수-IF(SO멍텅JB하부늘치=1,'SO멍텅(실측)'!Y7-'SO멍텅(실측)'!Z7,0)</f>
        <v>4.4000000000000004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1</v>
      </c>
      <c r="O7" s="4">
        <f t="shared" si="0"/>
        <v>1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1.2</v>
      </c>
      <c r="AA7" s="4">
        <f>'SO멍텅(실측)'!U7+뒷날개치수더함</f>
        <v>1.2</v>
      </c>
      <c r="AB7" s="4">
        <f>'SO멍텅(실측)'!V7+뒷날개치수더함</f>
        <v>1.2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0*2</v>
      </c>
      <c r="AH7" s="12" t="str">
        <f t="shared" ref="AH7" si="2">AZ7&amp;"*"&amp;AY7</f>
        <v>0*3</v>
      </c>
      <c r="AI7" s="10" t="str">
        <f t="shared" ref="AI7" si="3">BB7&amp;"*"&amp;BA7</f>
        <v>0*3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0</v>
      </c>
      <c r="AS7" s="17">
        <f>DEGREES(ATAN((E7-(C7+D7))/2/(G7)))</f>
        <v>0</v>
      </c>
      <c r="AT7" s="36">
        <f>ABS(F7-COS(RADIANS(AR7))*H7)</f>
        <v>0</v>
      </c>
      <c r="AU7" s="36">
        <f>G7-COS(RADIANS(AS7))*J7</f>
        <v>0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2.0000000000000009</v>
      </c>
      <c r="AY7" s="3">
        <f>R7+P7+MAX(H7,I7)+AA7-1.2*$AI$3+IF(BE7=0,MAX(AC7,AD7))+IF(R7=0,1.2,0)-IF(AL7=90,2.4,0)</f>
        <v>3.0000000000000009</v>
      </c>
      <c r="AZ7" s="3">
        <f t="shared" ref="AZ7" si="5">MAX(T7,U7)</f>
        <v>0</v>
      </c>
      <c r="BA7" s="3">
        <f>S7+Q7+MAX(J7,K7)+AB7-1.2*$AI$3+IF(BE7=0,MAX(AE7,AF7))+IF(S7=0,1.2,0)-IF(AL7=90,2.4,0)</f>
        <v>3.0000000000000009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(판매)대구 시설관리공단-2차 ) _손상민소장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(판매)대구 시설관리공단-2차,   (재질) : 사급 일해 BRONZE1.2T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(1.2), JB/JD +(4.4 ),  늘어난치수K -(0),  C + (4.4),   U + (4.4), OP1/OP3 - (0), R - (0),  기둥차감 - (0), A + (1.2)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(판매)대구 시설관리공단-2차 ) _손상민소장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4.4000000000000004</v>
      </c>
      <c r="W2" s="218"/>
      <c r="X2" s="283" t="s">
        <v>83</v>
      </c>
      <c r="Y2" s="225"/>
      <c r="Z2" s="225"/>
      <c r="AA2" s="221">
        <v>0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1.2</v>
      </c>
      <c r="AU2" s="311"/>
      <c r="AV2" s="1"/>
      <c r="AW2" s="1"/>
    </row>
    <row r="3" spans="1:66" ht="24.75" customHeight="1" x14ac:dyDescent="0.3">
      <c r="A3" s="28" t="str">
        <f>'4CO와이드(실측)'!A3</f>
        <v>현장명 : (판매)대구 시설관리공단-2차,   (재질) : 사급 일해 BRONZE1.2T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4.4000000000000004</v>
      </c>
      <c r="S3" s="207"/>
      <c r="T3" s="217" t="s">
        <v>77</v>
      </c>
      <c r="U3" s="217"/>
      <c r="V3" s="224">
        <v>4.4000000000000004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1.2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329</v>
      </c>
      <c r="AU3" s="342"/>
      <c r="AV3" s="195">
        <f>AZ7</f>
        <v>0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(1.2), JB/JD +(4.4 ),  늘어난치수K -(0),  C + (4.4),   U + (4.4), OP1/OP3 -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315</v>
      </c>
      <c r="AI4" s="341"/>
      <c r="AJ4" s="341">
        <f>'4CO와이드(실측)'!AB7</f>
        <v>0</v>
      </c>
      <c r="AK4" s="341"/>
      <c r="AL4" s="185">
        <f ca="1">TODAY()</f>
        <v>45288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296</v>
      </c>
      <c r="Q5" s="316" t="s">
        <v>297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1.2</v>
      </c>
      <c r="D7" s="31">
        <f>'4CO와이드(실측)'!D7+CO4와이드MH더함-IF(AND(소장="추영덕",AD7=0),1.2)</f>
        <v>1.2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4.4000000000000004</v>
      </c>
      <c r="J7" s="50">
        <f>'4CO와이드(실측)'!J7+CO4와이드JBJD키움치수+IF(BN7=1,MAX(AH7,AJ7),0)</f>
        <v>4.4000000000000004</v>
      </c>
      <c r="K7" s="50">
        <f>'4CO와이드(실측)'!K7+CO4와이드JBJD키움치수+IF(BN7=1,AJ7,0)</f>
        <v>4.4000000000000004</v>
      </c>
      <c r="L7" s="50">
        <f>'4CO와이드(실측)'!L7+MAX(AX7,AY7)+CO4와이드JBJD키움치수+IF(BN7=1,AH7,0)</f>
        <v>4.4000000000000004</v>
      </c>
      <c r="M7" s="50">
        <f>'4CO와이드(실측)'!L7+MAX(AX7,AY7)+CO4와이드JBJD키움치수+IF(BN7=1,AI7,0)-IF(CO4와이드JB하부늘치=1,'4CO와이드(실측)'!AB7-'4CO와이드(실측)'!AC7,0)</f>
        <v>4.4000000000000004</v>
      </c>
      <c r="N7" s="50">
        <f>'4CO와이드(실측)'!M7+MAX(AX7,AY7)+CO4와이드JBJD키움치수+IF(BN7=1,AJ7,0)</f>
        <v>4.4000000000000004</v>
      </c>
      <c r="O7" s="50">
        <f>'4CO와이드(실측)'!M7+MAX(AX7,AY7)+CO4와이드JBJD키움치수+IF(BN7=1,AK7,0)-IF(CO4와이드JB하부늘치=1,'4CO와이드(실측)'!AD7-'4CO와이드(실측)'!AE7,0)</f>
        <v>4.4000000000000004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0</v>
      </c>
      <c r="S7" s="31">
        <f t="shared" si="0"/>
        <v>0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3.2</v>
      </c>
      <c r="AF7" s="31">
        <f>'4CO와이드(실측)'!Z7+뒷날개치수더함</f>
        <v>1.2</v>
      </c>
      <c r="AG7" s="31">
        <f>'4CO와이드(실측)'!AA7+뒷날개치수더함</f>
        <v>1.2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1.2</v>
      </c>
      <c r="AM7" s="31">
        <f xml:space="preserve"> IF(소장&lt;&gt;"손상민",IF('4CO와이드(실측)'!AG7&gt;0,'4CO와이드(실측)'!AG7,D7-1.2),IF('4CO와이드(실측)'!AG7&gt;0,'4CO와이드(실측)'!AG7+1.2,D7))</f>
        <v>1.2</v>
      </c>
      <c r="AN7" s="51">
        <f>IF(AE7&gt;0,AE7-MAX(V7,W7),0)</f>
        <v>3.2</v>
      </c>
      <c r="AO7" s="31" t="str">
        <f t="shared" ref="AO7" si="1">BF7&amp;"*"&amp;BG7</f>
        <v>0*2</v>
      </c>
      <c r="AP7" s="31" t="str">
        <f t="shared" ref="AP7" si="2">BI7&amp;"*"&amp;BH7</f>
        <v>1.2*3.2</v>
      </c>
      <c r="AQ7" s="31" t="str">
        <f t="shared" ref="AQ7" si="3">BK7&amp;"*"&amp;BJ7</f>
        <v>1.2*3.2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2.0000000000000009</v>
      </c>
      <c r="BH7" s="41">
        <f>X7+T7+MAX(L7,M7)+AG7-1.2*$AQ$3+IF(BN7=0,MAX(AI7,AH7),0)+IF(X7=0,1.2,0)-IF(AW7=90,2.4,0)</f>
        <v>3.2000000000000011</v>
      </c>
      <c r="BI7" s="41">
        <f>MAX(Z7,AA7)+AL7</f>
        <v>1.2</v>
      </c>
      <c r="BJ7" s="41">
        <f>Y7+U7+MAX(N7,O7)+AG7-1.2*$AQ$3+IF(BN7=0,MAX(AJ7,AK7),0)+IF(Y7=0,1.2,0)-IF(AW7=90,2.4,0)</f>
        <v>3.2000000000000011</v>
      </c>
      <c r="BK7" s="41">
        <f>MAX(AB7,AC7)+AM7</f>
        <v>1.2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(판매)대구 시설관리공단-2차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(판매)대구 시설관리공단-2차,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+(4.4 ),  늘어난치수K -(0),  C + (4.4),  U +(4.4), OP1/OP3 -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(판매)대구 시설관리공단-2차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307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4.4000000000000004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(판매)대구 시설관리공단-2차,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4.4000000000000004</v>
      </c>
      <c r="N3" s="100"/>
      <c r="O3" s="100"/>
      <c r="P3" s="100"/>
      <c r="Q3" s="258" t="s">
        <v>77</v>
      </c>
      <c r="R3" s="258"/>
      <c r="S3" s="270">
        <v>4.4000000000000004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1.2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330</v>
      </c>
      <c r="AL3" s="199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+(4.4 ),  늘어난치수K -(0),  C + (4.4),  U +(4.4), OP1/OP3 -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313</v>
      </c>
      <c r="AE4" s="341"/>
      <c r="AF4" s="341">
        <f>'4CO멍텅(실측)'!X7</f>
        <v>0</v>
      </c>
      <c r="AG4" s="341"/>
      <c r="AH4" s="9"/>
      <c r="AI4" s="185">
        <f ca="1">TODAY()</f>
        <v>45288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294</v>
      </c>
      <c r="O5" s="316" t="s">
        <v>295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305</v>
      </c>
      <c r="AQ5" s="178" t="s">
        <v>306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4.4000000000000004</v>
      </c>
      <c r="H7" s="4">
        <f>'4CO멍텅(실측)'!H7+MAX(AP7,AQ7)+IF(BE7=1,MAX(AD7,AF7),0)+CO4멍텅JBJD늘림치수</f>
        <v>4.4000000000000004</v>
      </c>
      <c r="I7" s="4">
        <f>'4CO멍텅(실측)'!I7+MAX(AP7,AQ7)+IF(BE7=1,AF7,0)+CO4멍텅JBJD늘림치수</f>
        <v>4.4000000000000004</v>
      </c>
      <c r="J7" s="4">
        <f>'4CO멍텅(실측)'!J7+AP7+IF(BE7=1,AD7,0)+CO4멍텅JB강제키움+CO4멍텅JBJD늘림치수</f>
        <v>4.4000000000000004</v>
      </c>
      <c r="K7" s="4">
        <f>'4CO멍텅(실측)'!J7+AP7+IF(BE7=1,AE7,0)+CO4멍텅JB강제키움+CO4멍텅JBJD늘림치수-IF(CO4멍텅JB하부늘치=1,'4CO멍텅(실측)'!X7-'4CO멍텅(실측)'!Y7,0)</f>
        <v>4.4000000000000004</v>
      </c>
      <c r="L7" s="4">
        <f>'4CO멍텅(실측)'!K7+AQ7+IF(BE7=1,AF7,0)+CO4멍텅JB강제키움+CO4멍텅JBJD늘림치수</f>
        <v>4.4000000000000004</v>
      </c>
      <c r="M7" s="4">
        <f>'4CO멍텅(실측)'!K7+AQ7+IF(BE7=1,AG7,0)+CO4멍텅JB강제키움+CO4멍텅JBJD늘림치수-IF(CO4멍텅JB하부늘치=1,'4CO멍텅(실측)'!Z7-'4CO멍텅(실측)'!AA7,0)</f>
        <v>4.4000000000000004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1</v>
      </c>
      <c r="Q7" s="4">
        <f t="shared" si="0"/>
        <v>1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1.2</v>
      </c>
      <c r="AC7" s="4">
        <f>'4CO멍텅(실측)'!W7+뒷날개치수더함</f>
        <v>1.2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0*2</v>
      </c>
      <c r="AI7" s="12" t="str">
        <f t="shared" ref="AI7" si="2">AZ7&amp;"*"&amp;AY7</f>
        <v>0*3</v>
      </c>
      <c r="AJ7" s="10" t="str">
        <f t="shared" ref="AJ7" si="3">BB7&amp;"*"&amp;BA7</f>
        <v>0*3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2.0000000000000009</v>
      </c>
      <c r="AY7" s="3">
        <f>T7+R7+MAX(J7,K7)+AC7-1.2*$AJ$3+IF(BE7=0,MAX(AD7,AE7))+IF(T7=0,1.2,0)-IF(AM7=90,2.4,0)</f>
        <v>3.0000000000000009</v>
      </c>
      <c r="AZ7" s="3">
        <f t="shared" ref="AZ7" si="7">MAX(V7,W7)</f>
        <v>0</v>
      </c>
      <c r="BA7" s="3">
        <f>U7+S7+MAX(L7,M7)+AC7-1.2*$AJ$3+IF(BE7=0,MAX(AF7,AG7))+IF(U7=0,1.2,0)-IF(AM7=90,2.4,0)</f>
        <v>3.0000000000000009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(판매)대구 시설관리공단-2차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(판매)대구 시설관리공단-2차,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+(4.4 ),  늘어난치수K -(0),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(판매)대구 시설관리공단-2차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0" t="s">
        <v>308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4.4000000000000004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(판매)대구 시설관리공단-2차,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4.4000000000000004</v>
      </c>
      <c r="K3" s="269"/>
      <c r="L3" s="269"/>
      <c r="M3" s="269"/>
      <c r="N3" s="258" t="s">
        <v>77</v>
      </c>
      <c r="O3" s="258"/>
      <c r="P3" s="270">
        <v>4.4000000000000004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1.2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331</v>
      </c>
      <c r="AK3" s="199"/>
      <c r="AL3" s="160">
        <f>AO7</f>
        <v>0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+(4.4 ),  늘어난치수K -(0),  C + (4.4),   U + (4.4), OP - (0), R - (0),  기둥차감 - (0), A + (1.2)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332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45288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305</v>
      </c>
      <c r="AM5" s="178" t="s">
        <v>306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4.4000000000000004</v>
      </c>
      <c r="F7" s="4">
        <f>'2UP(실측)'!F7+MAX(AL7,AM7)+IF(BA7=1,AE7,0)+UP2멍텅JBJD늘림치수</f>
        <v>4.4000000000000004</v>
      </c>
      <c r="G7" s="4">
        <f>'2UP(실측)'!G7+AL7+IF(BA7=1,AC7,0)+UP2멍텅JB강제키움+UP2멍텅JBJD늘림치수</f>
        <v>4.4000000000000004</v>
      </c>
      <c r="H7" s="4">
        <f>'2UP(실측)'!H7+AL7+IF(BA7=1,AD7,0)+UP2멍텅JB강제키움+UP2멍텅JBJD늘림치수-IF(UP2멍텅JB하부늘치=1,'2UP(실측)'!Y7-'2UP(실측)'!Z7,0)</f>
        <v>4.4000000000000004</v>
      </c>
      <c r="I7" s="4">
        <f>'2UP(실측)'!I7+AM7+IF(BA7=1,AE7,0)+UP2멍텅JB강제키움+UP2멍텅JBJD늘림치수</f>
        <v>4.4000000000000004</v>
      </c>
      <c r="J7" s="4">
        <f>'2UP(실측)'!J7+AM7+IF(BA7=1,AF7,0)+UP2멍텅JB강제키움+UP2멍텅JBJD늘림치수-IF(UP2멍텅JB하부늘치=1,'2UP(실측)'!AA7-'2UP(실측)'!AB7,0)</f>
        <v>4.4000000000000004</v>
      </c>
      <c r="K7" s="103">
        <f>H7-G7</f>
        <v>0</v>
      </c>
      <c r="L7" s="103">
        <f>J7-I7</f>
        <v>0</v>
      </c>
      <c r="M7" s="4">
        <f t="shared" ref="M7:N7" si="0">O7+IF(소장="손상민",0,-1.5)</f>
        <v>1</v>
      </c>
      <c r="N7" s="4">
        <f t="shared" si="0"/>
        <v>1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1.2</v>
      </c>
      <c r="AB7" s="4">
        <f>'2UP(실측)'!X7+뒷날개치수더함</f>
        <v>1.2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0*3.2</v>
      </c>
      <c r="AH7" s="12" t="str">
        <f t="shared" ref="AH7" si="2">AV7&amp;"*"&amp;AU7</f>
        <v>0*3</v>
      </c>
      <c r="AI7" s="10" t="str">
        <f t="shared" ref="AI7" si="3">AX7&amp;"*"&amp;AW7</f>
        <v>0*3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3.2000000000000011</v>
      </c>
      <c r="AU7" s="3">
        <f>Q7+O7+MAX(G7,H7)+AB7-1.2*$AI$3+IF(BA7=0,MAX(AC7,AD7))+IF(Q7=0,1.2,0)</f>
        <v>3.0000000000000009</v>
      </c>
      <c r="AV7" s="3">
        <f>MAX(S7,T7+U7)</f>
        <v>0</v>
      </c>
      <c r="AW7" s="3">
        <f>R7+P7+MAX(I7,J7)+AB7-1.2*$AI$3+IF(BA7=0,MAX(AE7,AF7))+IF(R7=0,1.2,0)</f>
        <v>3.0000000000000009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(판매)대구 시설관리공단-2차 ) _손상민소장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(판매)대구 시설관리공단-2차,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+(4.4 ),  늘어난치수K -(0),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(판매)대구 시설관리공단-2차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0" t="s">
        <v>309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4.4000000000000004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(판매)대구 시설관리공단-2차,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4.4000000000000004</v>
      </c>
      <c r="M3" s="269"/>
      <c r="N3" s="269"/>
      <c r="O3" s="269"/>
      <c r="P3" s="258" t="s">
        <v>77</v>
      </c>
      <c r="Q3" s="258"/>
      <c r="R3" s="270">
        <v>4.4000000000000004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1.2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327</v>
      </c>
      <c r="AQ3" s="362"/>
      <c r="AR3" s="160">
        <f>AU7</f>
        <v>0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+(4.4 ),  늘어난치수K -(0),  C + (4.4),   U + (4.4), OP - (0), R - (0),  기둥차감 - (0), A + (1.2)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333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45288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305</v>
      </c>
      <c r="AS5" s="178" t="s">
        <v>306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4.4000000000000004</v>
      </c>
      <c r="F7" s="4">
        <f>'3UP(실측)'!F7+MAX(AR7,AS7)+IF(BG7=1,AJ7,0)+UP3멍텅JBJD늘림치수</f>
        <v>4.4000000000000004</v>
      </c>
      <c r="G7" s="4">
        <f>'3UP(실측)'!G7+AR7+IF(BG7=1,AG7,0)+UP3멍텅JB강제키움+UP3멍텅JBJD늘림치수</f>
        <v>4.4000000000000004</v>
      </c>
      <c r="H7" s="4">
        <f>'3UP(실측)'!H7+AR7+IF(BG7=1,AH7,0)+UP3멍텅JB강제키움+UP3멍텅JBJD늘림치수-IF(UP3멍텅JB하부늘치=1,'3UP(실측)'!AC7-'3UP(실측)'!AD7,0)</f>
        <v>4.4000000000000004</v>
      </c>
      <c r="I7" s="4">
        <f>'3UP(실측)'!I7+AR7+IF(BG7=1,AI7,0)+UP3멍텅JB강제키움+UP3멍텅JBJD늘림치수-IF(UP3멍텅JB하부늘치=1,'3UP(실측)'!AC7-'3UP(실측)'!AE7,0)</f>
        <v>4.4000000000000004</v>
      </c>
      <c r="J7" s="4">
        <f>'3UP(실측)'!J7+AS7+IF(BG7=1,AJ7,0)+UP3멍텅JB강제키움+UP3멍텅JBJD늘림치수</f>
        <v>4.4000000000000004</v>
      </c>
      <c r="K7" s="4">
        <f>'3UP(실측)'!K7+AS7+IF(BG7=1,AK7,0)+UP3멍텅JB강제키움+UP3멍텅JBJD늘림치수-IF(UP3멍텅JB하부늘치=1,'3UP(실측)'!AF7-'3UP(실측)'!AG7,0)</f>
        <v>4.4000000000000004</v>
      </c>
      <c r="L7" s="4">
        <f>'3UP(실측)'!L7+AS7+IF(BG7=1,AL7,0)+UP3멍텅JB강제키움+UP3멍텅JBJD늘림치수-IF(UP3멍텅JB하부늘치=1,'3UP(실측)'!AF7-'3UP(실측)'!AH7,0)</f>
        <v>4.4000000000000004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1</v>
      </c>
      <c r="P7" s="4">
        <f t="shared" si="0"/>
        <v>1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1.2</v>
      </c>
      <c r="AF7" s="4">
        <f>'3UP(실측)'!AB7+뒷날개치수더함</f>
        <v>1.2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0*3.2</v>
      </c>
      <c r="AN7" s="12" t="str">
        <f t="shared" ref="AN7" si="2">BB7&amp;"*"&amp;BA7</f>
        <v>0*3</v>
      </c>
      <c r="AO7" s="10" t="str">
        <f t="shared" ref="AO7" si="3">BD7&amp;"*"&amp;BC7</f>
        <v>0*3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3.2000000000000011</v>
      </c>
      <c r="BA7" s="3">
        <f>S7+Q7+MAX(G7,I7)+AF7-1.2*$AO$3+IF(BG7=0,MAX(AG7,AI7))+IF(S7=0,1.2,0)</f>
        <v>3.0000000000000009</v>
      </c>
      <c r="BB7" s="3">
        <f>MAX(U7,V7+W7+X7)</f>
        <v>0</v>
      </c>
      <c r="BC7" s="3">
        <f>T7+R7+MAX(J7,L7)+AF7-1.2*$AO$3+IF(BG7=0,MAX(AJ7,AL7))+IF(T7=0,1.2,0)</f>
        <v>3.0000000000000009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2022-12-02T03:36:41Z</cp:lastPrinted>
  <dcterms:created xsi:type="dcterms:W3CDTF">2020-01-09T06:39:51Z</dcterms:created>
  <dcterms:modified xsi:type="dcterms:W3CDTF">2023-12-27T23:35:35Z</dcterms:modified>
</cp:coreProperties>
</file>