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설계작지변환\손상민소장\"/>
    </mc:Choice>
  </mc:AlternateContent>
  <xr:revisionPtr revIDLastSave="0" documentId="13_ncr:1_{95A98DE6-E1FE-4CE7-A693-14A085A5818A}" xr6:coauthVersionLast="47" xr6:coauthVersionMax="47" xr10:uidLastSave="{00000000-0000-0000-0000-000000000000}"/>
  <bookViews>
    <workbookView xWindow="28680" yWindow="765" windowWidth="29040" windowHeight="15840" tabRatio="947" activeTab="3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8" i="8" l="1"/>
  <c r="V8" i="8"/>
  <c r="W8" i="8"/>
  <c r="X8" i="8"/>
  <c r="U9" i="8"/>
  <c r="V9" i="8"/>
  <c r="W9" i="8"/>
  <c r="X9" i="8"/>
  <c r="U10" i="8"/>
  <c r="V10" i="8"/>
  <c r="W10" i="8"/>
  <c r="X10" i="8"/>
  <c r="U11" i="8"/>
  <c r="V11" i="8"/>
  <c r="W11" i="8"/>
  <c r="X11" i="8"/>
  <c r="U12" i="8"/>
  <c r="V12" i="8"/>
  <c r="W12" i="8"/>
  <c r="X12" i="8"/>
  <c r="U13" i="8"/>
  <c r="V13" i="8"/>
  <c r="W13" i="8"/>
  <c r="X13" i="8"/>
  <c r="U14" i="8"/>
  <c r="V14" i="8"/>
  <c r="W14" i="8"/>
  <c r="X14" i="8"/>
  <c r="U15" i="8"/>
  <c r="V15" i="8"/>
  <c r="W15" i="8"/>
  <c r="X15" i="8"/>
  <c r="U16" i="8"/>
  <c r="V16" i="8"/>
  <c r="W16" i="8"/>
  <c r="X16" i="8"/>
  <c r="U17" i="8"/>
  <c r="V17" i="8"/>
  <c r="W17" i="8"/>
  <c r="X17" i="8"/>
  <c r="U18" i="8"/>
  <c r="V18" i="8"/>
  <c r="W18" i="8"/>
  <c r="X18" i="8"/>
  <c r="V7" i="8"/>
  <c r="W7" i="8"/>
  <c r="X7" i="8"/>
  <c r="U7" i="8"/>
  <c r="A8" i="8"/>
  <c r="B8" i="8"/>
  <c r="E8" i="8"/>
  <c r="F8" i="8"/>
  <c r="M8" i="8"/>
  <c r="N8" i="8"/>
  <c r="BD8" i="8"/>
  <c r="BF8" i="8"/>
  <c r="Y8" i="8"/>
  <c r="C8" i="8" s="1"/>
  <c r="AA8" i="8"/>
  <c r="AB8" i="8"/>
  <c r="AC8" i="8"/>
  <c r="AD8" i="8"/>
  <c r="AE8" i="8"/>
  <c r="AG8" i="8"/>
  <c r="AH8" i="8"/>
  <c r="AM8" i="8"/>
  <c r="AN8" i="8"/>
  <c r="AO8" i="8"/>
  <c r="AP8" i="8"/>
  <c r="AQ8" i="8"/>
  <c r="AR8" i="8"/>
  <c r="AS8" i="8"/>
  <c r="AX8" i="8" s="1"/>
  <c r="AT8" i="8"/>
  <c r="T8" i="8" s="1"/>
  <c r="BA8" i="8"/>
  <c r="A9" i="8"/>
  <c r="B9" i="8"/>
  <c r="E9" i="8"/>
  <c r="BI9" i="8" s="1"/>
  <c r="F9" i="8"/>
  <c r="M9" i="8"/>
  <c r="N9" i="8"/>
  <c r="Y9" i="8"/>
  <c r="D9" i="8" s="1"/>
  <c r="AA9" i="8"/>
  <c r="AB9" i="8"/>
  <c r="AC9" i="8"/>
  <c r="AD9" i="8" s="1"/>
  <c r="AE9" i="8"/>
  <c r="AF9" i="8" s="1"/>
  <c r="AH9" i="8"/>
  <c r="AM9" i="8"/>
  <c r="AN9" i="8"/>
  <c r="AO9" i="8"/>
  <c r="AP9" i="8"/>
  <c r="AQ9" i="8"/>
  <c r="AR9" i="8"/>
  <c r="AS9" i="8"/>
  <c r="S9" i="8" s="1"/>
  <c r="AT9" i="8"/>
  <c r="T9" i="8" s="1"/>
  <c r="BA9" i="8"/>
  <c r="A10" i="8"/>
  <c r="B10" i="8"/>
  <c r="E10" i="8"/>
  <c r="F10" i="8"/>
  <c r="M10" i="8"/>
  <c r="N10" i="8"/>
  <c r="Y10" i="8"/>
  <c r="C10" i="8" s="1"/>
  <c r="AA10" i="8"/>
  <c r="AB10" i="8"/>
  <c r="AC10" i="8"/>
  <c r="AD10" i="8" s="1"/>
  <c r="AE10" i="8"/>
  <c r="AF10" i="8"/>
  <c r="AG10" i="8"/>
  <c r="AH10" i="8"/>
  <c r="AM10" i="8"/>
  <c r="AN10" i="8"/>
  <c r="AO10" i="8"/>
  <c r="AP10" i="8"/>
  <c r="AQ10" i="8"/>
  <c r="AR10" i="8"/>
  <c r="AS10" i="8"/>
  <c r="AX10" i="8" s="1"/>
  <c r="AT10" i="8"/>
  <c r="T10" i="8" s="1"/>
  <c r="BA10" i="8"/>
  <c r="A11" i="8"/>
  <c r="B11" i="8"/>
  <c r="E11" i="8"/>
  <c r="F11" i="8"/>
  <c r="M11" i="8"/>
  <c r="N11" i="8"/>
  <c r="P11" i="8"/>
  <c r="S11" i="8"/>
  <c r="O11" i="8" s="1"/>
  <c r="T11" i="8"/>
  <c r="BD11" i="8"/>
  <c r="Y11" i="8"/>
  <c r="C11" i="8" s="1"/>
  <c r="AA11" i="8"/>
  <c r="AB11" i="8"/>
  <c r="AC11" i="8"/>
  <c r="AD11" i="8" s="1"/>
  <c r="AE11" i="8"/>
  <c r="AF11" i="8" s="1"/>
  <c r="AG11" i="8"/>
  <c r="AM11" i="8"/>
  <c r="AN11" i="8"/>
  <c r="AO11" i="8"/>
  <c r="AP11" i="8"/>
  <c r="AQ11" i="8"/>
  <c r="AR11" i="8"/>
  <c r="AS11" i="8"/>
  <c r="AX11" i="8" s="1"/>
  <c r="AT11" i="8"/>
  <c r="AY11" i="8"/>
  <c r="BA11" i="8"/>
  <c r="A12" i="8"/>
  <c r="B12" i="8"/>
  <c r="E12" i="8"/>
  <c r="F12" i="8"/>
  <c r="M12" i="8"/>
  <c r="N12" i="8"/>
  <c r="BD12" i="8"/>
  <c r="Y12" i="8"/>
  <c r="D12" i="8" s="1"/>
  <c r="AA12" i="8"/>
  <c r="AB12" i="8"/>
  <c r="AC12" i="8"/>
  <c r="AD12" i="8" s="1"/>
  <c r="AE12" i="8"/>
  <c r="AF12" i="8" s="1"/>
  <c r="AG12" i="8"/>
  <c r="AH12" i="8"/>
  <c r="BF12" i="8" s="1"/>
  <c r="AM12" i="8"/>
  <c r="AN12" i="8"/>
  <c r="AO12" i="8"/>
  <c r="AP12" i="8"/>
  <c r="AQ12" i="8"/>
  <c r="AR12" i="8"/>
  <c r="AS12" i="8"/>
  <c r="S12" i="8" s="1"/>
  <c r="O12" i="8" s="1"/>
  <c r="AT12" i="8"/>
  <c r="T12" i="8" s="1"/>
  <c r="AX12" i="8"/>
  <c r="AY12" i="8"/>
  <c r="BA12" i="8"/>
  <c r="A13" i="8"/>
  <c r="B13" i="8"/>
  <c r="E13" i="8"/>
  <c r="F13" i="8"/>
  <c r="BA13" i="8" s="1"/>
  <c r="M13" i="8"/>
  <c r="N13" i="8"/>
  <c r="Y13" i="8"/>
  <c r="C13" i="8" s="1"/>
  <c r="AA13" i="8"/>
  <c r="AB13" i="8"/>
  <c r="AC13" i="8"/>
  <c r="AD13" i="8" s="1"/>
  <c r="AE13" i="8"/>
  <c r="AF13" i="8" s="1"/>
  <c r="AM13" i="8"/>
  <c r="AN13" i="8"/>
  <c r="AO13" i="8"/>
  <c r="AP13" i="8"/>
  <c r="AQ13" i="8"/>
  <c r="AR13" i="8"/>
  <c r="AS13" i="8"/>
  <c r="AY13" i="8" s="1"/>
  <c r="AT13" i="8"/>
  <c r="T13" i="8" s="1"/>
  <c r="P13" i="8" s="1"/>
  <c r="A14" i="8"/>
  <c r="B14" i="8"/>
  <c r="E14" i="8"/>
  <c r="F14" i="8"/>
  <c r="BA14" i="8" s="1"/>
  <c r="M14" i="8"/>
  <c r="N14" i="8"/>
  <c r="Y14" i="8"/>
  <c r="C14" i="8" s="1"/>
  <c r="AA14" i="8"/>
  <c r="AB14" i="8"/>
  <c r="AC14" i="8"/>
  <c r="AD14" i="8" s="1"/>
  <c r="AE14" i="8"/>
  <c r="AF14" i="8" s="1"/>
  <c r="AM14" i="8"/>
  <c r="AN14" i="8"/>
  <c r="AO14" i="8"/>
  <c r="AP14" i="8"/>
  <c r="AQ14" i="8"/>
  <c r="AR14" i="8"/>
  <c r="AS14" i="8"/>
  <c r="AY14" i="8" s="1"/>
  <c r="AT14" i="8"/>
  <c r="T14" i="8" s="1"/>
  <c r="P14" i="8" s="1"/>
  <c r="A15" i="8"/>
  <c r="B15" i="8"/>
  <c r="E15" i="8"/>
  <c r="F15" i="8"/>
  <c r="M15" i="8"/>
  <c r="N15" i="8"/>
  <c r="Y15" i="8"/>
  <c r="C15" i="8" s="1"/>
  <c r="AG15" i="8" s="1"/>
  <c r="AA15" i="8"/>
  <c r="AB15" i="8"/>
  <c r="AC15" i="8"/>
  <c r="AD15" i="8" s="1"/>
  <c r="AE15" i="8"/>
  <c r="AF15" i="8"/>
  <c r="AM15" i="8"/>
  <c r="AN15" i="8"/>
  <c r="AO15" i="8"/>
  <c r="AP15" i="8"/>
  <c r="AQ15" i="8"/>
  <c r="AR15" i="8"/>
  <c r="AS15" i="8"/>
  <c r="AX15" i="8" s="1"/>
  <c r="AT15" i="8"/>
  <c r="T15" i="8" s="1"/>
  <c r="P15" i="8" s="1"/>
  <c r="BA15" i="8"/>
  <c r="A16" i="8"/>
  <c r="B16" i="8"/>
  <c r="C16" i="8"/>
  <c r="AG16" i="8" s="1"/>
  <c r="E16" i="8"/>
  <c r="F16" i="8"/>
  <c r="M16" i="8"/>
  <c r="N16" i="8"/>
  <c r="Y16" i="8"/>
  <c r="D16" i="8" s="1"/>
  <c r="AH16" i="8" s="1"/>
  <c r="AA16" i="8"/>
  <c r="AB16" i="8"/>
  <c r="AC16" i="8"/>
  <c r="AD16" i="8" s="1"/>
  <c r="AE16" i="8"/>
  <c r="AM16" i="8"/>
  <c r="AN16" i="8"/>
  <c r="AO16" i="8"/>
  <c r="AP16" i="8"/>
  <c r="AQ16" i="8"/>
  <c r="AR16" i="8"/>
  <c r="AS16" i="8"/>
  <c r="S16" i="8" s="1"/>
  <c r="O16" i="8" s="1"/>
  <c r="AT16" i="8"/>
  <c r="T16" i="8" s="1"/>
  <c r="P16" i="8" s="1"/>
  <c r="BA16" i="8"/>
  <c r="A17" i="8"/>
  <c r="B17" i="8"/>
  <c r="E17" i="8"/>
  <c r="F17" i="8"/>
  <c r="M17" i="8"/>
  <c r="N17" i="8"/>
  <c r="S17" i="8"/>
  <c r="O17" i="8" s="1"/>
  <c r="T17" i="8"/>
  <c r="P17" i="8" s="1"/>
  <c r="Y17" i="8"/>
  <c r="D17" i="8" s="1"/>
  <c r="AH17" i="8" s="1"/>
  <c r="AA17" i="8"/>
  <c r="AB17" i="8"/>
  <c r="AC17" i="8"/>
  <c r="AD17" i="8" s="1"/>
  <c r="AE17" i="8"/>
  <c r="AF17" i="8" s="1"/>
  <c r="AM17" i="8"/>
  <c r="AN17" i="8"/>
  <c r="AO17" i="8"/>
  <c r="AP17" i="8"/>
  <c r="AQ17" i="8"/>
  <c r="AR17" i="8"/>
  <c r="AS17" i="8"/>
  <c r="AY17" i="8" s="1"/>
  <c r="AT17" i="8"/>
  <c r="BA17" i="8"/>
  <c r="A18" i="8"/>
  <c r="B18" i="8"/>
  <c r="E18" i="8"/>
  <c r="F18" i="8"/>
  <c r="M18" i="8"/>
  <c r="N18" i="8"/>
  <c r="Y18" i="8"/>
  <c r="C18" i="8" s="1"/>
  <c r="AA18" i="8"/>
  <c r="AB18" i="8"/>
  <c r="AC18" i="8"/>
  <c r="AD18" i="8" s="1"/>
  <c r="AE18" i="8"/>
  <c r="AF18" i="8" s="1"/>
  <c r="AM18" i="8"/>
  <c r="AN18" i="8"/>
  <c r="AO18" i="8"/>
  <c r="AP18" i="8"/>
  <c r="AQ18" i="8"/>
  <c r="AR18" i="8"/>
  <c r="AS18" i="8"/>
  <c r="AX18" i="8" s="1"/>
  <c r="AT18" i="8"/>
  <c r="T18" i="8" s="1"/>
  <c r="P18" i="8" s="1"/>
  <c r="BA18" i="8"/>
  <c r="BF9" i="8" l="1"/>
  <c r="BI8" i="8"/>
  <c r="K8" i="8" s="1"/>
  <c r="BI17" i="8"/>
  <c r="BI14" i="8"/>
  <c r="J14" i="8" s="1"/>
  <c r="BD10" i="8"/>
  <c r="AX9" i="8"/>
  <c r="BI12" i="8"/>
  <c r="G12" i="8" s="1"/>
  <c r="BI11" i="8"/>
  <c r="H11" i="8" s="1"/>
  <c r="AU11" i="8" s="1"/>
  <c r="C12" i="8"/>
  <c r="BH12" i="8" s="1"/>
  <c r="BI15" i="8"/>
  <c r="G15" i="8" s="1"/>
  <c r="BF10" i="8"/>
  <c r="BI16" i="8"/>
  <c r="K16" i="8" s="1"/>
  <c r="BI18" i="8"/>
  <c r="G18" i="8" s="1"/>
  <c r="D15" i="8"/>
  <c r="AH15" i="8" s="1"/>
  <c r="BF15" i="8" s="1"/>
  <c r="BF17" i="8"/>
  <c r="BF16" i="8"/>
  <c r="BD15" i="8"/>
  <c r="BD16" i="8"/>
  <c r="AX17" i="8"/>
  <c r="AY16" i="8"/>
  <c r="AX16" i="8"/>
  <c r="S18" i="8"/>
  <c r="O18" i="8" s="1"/>
  <c r="L17" i="8"/>
  <c r="AY15" i="8"/>
  <c r="S15" i="8"/>
  <c r="O15" i="8" s="1"/>
  <c r="S14" i="8"/>
  <c r="O14" i="8" s="1"/>
  <c r="S13" i="8"/>
  <c r="O13" i="8" s="1"/>
  <c r="AX13" i="8"/>
  <c r="L9" i="8"/>
  <c r="J9" i="8"/>
  <c r="I14" i="8"/>
  <c r="J17" i="8"/>
  <c r="H8" i="8"/>
  <c r="AG13" i="8"/>
  <c r="BD13" i="8" s="1"/>
  <c r="P9" i="8"/>
  <c r="AG14" i="8"/>
  <c r="BD14" i="8" s="1"/>
  <c r="O9" i="8"/>
  <c r="P12" i="8"/>
  <c r="P10" i="8"/>
  <c r="P8" i="8"/>
  <c r="AG18" i="8"/>
  <c r="BD18" i="8" s="1"/>
  <c r="G16" i="8"/>
  <c r="BI10" i="8"/>
  <c r="K17" i="8"/>
  <c r="C17" i="8"/>
  <c r="AF16" i="8"/>
  <c r="L16" i="8" s="1"/>
  <c r="AX14" i="8"/>
  <c r="AY9" i="8"/>
  <c r="K9" i="8"/>
  <c r="C9" i="8"/>
  <c r="AF8" i="8"/>
  <c r="BH15" i="8"/>
  <c r="D18" i="8"/>
  <c r="AH18" i="8" s="1"/>
  <c r="BF18" i="8" s="1"/>
  <c r="I17" i="8"/>
  <c r="H14" i="8"/>
  <c r="AU14" i="8" s="1"/>
  <c r="BI13" i="8"/>
  <c r="D10" i="8"/>
  <c r="BH10" i="8" s="1"/>
  <c r="I9" i="8"/>
  <c r="AY18" i="8"/>
  <c r="H17" i="8"/>
  <c r="AU17" i="8" s="1"/>
  <c r="G14" i="8"/>
  <c r="D13" i="8"/>
  <c r="AH13" i="8" s="1"/>
  <c r="BF13" i="8" s="1"/>
  <c r="AY10" i="8"/>
  <c r="S10" i="8"/>
  <c r="H9" i="8"/>
  <c r="G17" i="8"/>
  <c r="BH16" i="8"/>
  <c r="I15" i="8"/>
  <c r="G9" i="8"/>
  <c r="D8" i="8"/>
  <c r="BH8" i="8" s="1"/>
  <c r="D11" i="8"/>
  <c r="AH11" i="8" s="1"/>
  <c r="BF11" i="8" s="1"/>
  <c r="AY8" i="8"/>
  <c r="S8" i="8"/>
  <c r="L14" i="8"/>
  <c r="D14" i="8"/>
  <c r="AH14" i="8" s="1"/>
  <c r="BF14" i="8" s="1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7" i="14"/>
  <c r="O8" i="14"/>
  <c r="P8" i="14"/>
  <c r="Q8" i="14"/>
  <c r="R8" i="14"/>
  <c r="O9" i="14"/>
  <c r="P9" i="14"/>
  <c r="Q9" i="14"/>
  <c r="R9" i="14"/>
  <c r="O10" i="14"/>
  <c r="P10" i="14"/>
  <c r="Q10" i="14"/>
  <c r="R10" i="14"/>
  <c r="O11" i="14"/>
  <c r="P11" i="14"/>
  <c r="Q11" i="14"/>
  <c r="R11" i="14"/>
  <c r="O12" i="14"/>
  <c r="P12" i="14"/>
  <c r="Q12" i="14"/>
  <c r="R12" i="14"/>
  <c r="O13" i="14"/>
  <c r="P13" i="14"/>
  <c r="Q13" i="14"/>
  <c r="R13" i="14"/>
  <c r="O14" i="14"/>
  <c r="P14" i="14"/>
  <c r="Q14" i="14"/>
  <c r="R14" i="14"/>
  <c r="O15" i="14"/>
  <c r="P15" i="14"/>
  <c r="Q15" i="14"/>
  <c r="R15" i="14"/>
  <c r="O16" i="14"/>
  <c r="P16" i="14"/>
  <c r="Q16" i="14"/>
  <c r="R16" i="14"/>
  <c r="O17" i="14"/>
  <c r="P17" i="14"/>
  <c r="Q17" i="14"/>
  <c r="R17" i="14"/>
  <c r="O18" i="14"/>
  <c r="P18" i="14"/>
  <c r="Q18" i="14"/>
  <c r="R18" i="14"/>
  <c r="O19" i="14"/>
  <c r="P19" i="14"/>
  <c r="Q19" i="14"/>
  <c r="R19" i="14"/>
  <c r="O20" i="14"/>
  <c r="P20" i="14"/>
  <c r="Q20" i="14"/>
  <c r="R20" i="14"/>
  <c r="O21" i="14"/>
  <c r="P21" i="14"/>
  <c r="Q21" i="14"/>
  <c r="R21" i="14"/>
  <c r="O22" i="14"/>
  <c r="P22" i="14"/>
  <c r="Q22" i="14"/>
  <c r="R22" i="14"/>
  <c r="O23" i="14"/>
  <c r="P23" i="14"/>
  <c r="Q23" i="14"/>
  <c r="R23" i="14"/>
  <c r="O24" i="14"/>
  <c r="P24" i="14"/>
  <c r="Q24" i="14"/>
  <c r="R24" i="14"/>
  <c r="O25" i="14"/>
  <c r="P25" i="14"/>
  <c r="Q25" i="14"/>
  <c r="R25" i="14"/>
  <c r="O26" i="14"/>
  <c r="P26" i="14"/>
  <c r="Q26" i="14"/>
  <c r="R26" i="14"/>
  <c r="AH26" i="14" s="1"/>
  <c r="O27" i="14"/>
  <c r="P27" i="14"/>
  <c r="Q27" i="14"/>
  <c r="R27" i="14"/>
  <c r="AH27" i="14" s="1"/>
  <c r="O28" i="14"/>
  <c r="P28" i="14"/>
  <c r="Q28" i="14"/>
  <c r="AH28" i="14" s="1"/>
  <c r="R28" i="14"/>
  <c r="O29" i="14"/>
  <c r="P29" i="14"/>
  <c r="Q29" i="14"/>
  <c r="R29" i="14"/>
  <c r="AH29" i="14" s="1"/>
  <c r="O30" i="14"/>
  <c r="P30" i="14"/>
  <c r="Q30" i="14"/>
  <c r="R30" i="14"/>
  <c r="AH30" i="14" s="1"/>
  <c r="O31" i="14"/>
  <c r="P31" i="14"/>
  <c r="Q31" i="14"/>
  <c r="R31" i="14"/>
  <c r="AH31" i="14" s="1"/>
  <c r="O32" i="14"/>
  <c r="P32" i="14"/>
  <c r="Q32" i="14"/>
  <c r="R32" i="14"/>
  <c r="AH32" i="14" s="1"/>
  <c r="O33" i="14"/>
  <c r="P33" i="14"/>
  <c r="Q33" i="14"/>
  <c r="R33" i="14"/>
  <c r="O34" i="14"/>
  <c r="P34" i="14"/>
  <c r="Q34" i="14"/>
  <c r="R34" i="14"/>
  <c r="P7" i="14"/>
  <c r="Q7" i="14"/>
  <c r="R7" i="14"/>
  <c r="O7" i="14"/>
  <c r="AH34" i="14"/>
  <c r="A26" i="14"/>
  <c r="B26" i="14"/>
  <c r="I26" i="14"/>
  <c r="J26" i="14"/>
  <c r="K26" i="14"/>
  <c r="L26" i="14"/>
  <c r="M26" i="14"/>
  <c r="N26" i="14"/>
  <c r="S26" i="14"/>
  <c r="T26" i="14"/>
  <c r="U26" i="14"/>
  <c r="V26" i="14"/>
  <c r="W26" i="14"/>
  <c r="X26" i="14"/>
  <c r="Y26" i="14"/>
  <c r="Z26" i="14"/>
  <c r="AA26" i="14"/>
  <c r="AF26" i="14"/>
  <c r="A27" i="14"/>
  <c r="B27" i="14"/>
  <c r="I27" i="14"/>
  <c r="J27" i="14"/>
  <c r="K27" i="14"/>
  <c r="L27" i="14"/>
  <c r="M27" i="14"/>
  <c r="N27" i="14"/>
  <c r="AF27" i="14"/>
  <c r="S27" i="14"/>
  <c r="T27" i="14"/>
  <c r="U27" i="14"/>
  <c r="V27" i="14"/>
  <c r="W27" i="14"/>
  <c r="X27" i="14"/>
  <c r="Y27" i="14"/>
  <c r="Z27" i="14"/>
  <c r="AA27" i="14"/>
  <c r="A28" i="14"/>
  <c r="B28" i="14"/>
  <c r="I28" i="14"/>
  <c r="J28" i="14"/>
  <c r="K28" i="14"/>
  <c r="L28" i="14"/>
  <c r="M28" i="14"/>
  <c r="N28" i="14"/>
  <c r="AF28" i="14"/>
  <c r="S28" i="14"/>
  <c r="T28" i="14"/>
  <c r="U28" i="14"/>
  <c r="V28" i="14"/>
  <c r="W28" i="14"/>
  <c r="X28" i="14"/>
  <c r="Y28" i="14"/>
  <c r="Z28" i="14"/>
  <c r="AA28" i="14"/>
  <c r="A29" i="14"/>
  <c r="B29" i="14"/>
  <c r="I29" i="14"/>
  <c r="J29" i="14"/>
  <c r="AC29" i="14" s="1"/>
  <c r="K29" i="14"/>
  <c r="L29" i="14"/>
  <c r="M29" i="14"/>
  <c r="N29" i="14"/>
  <c r="S29" i="14"/>
  <c r="T29" i="14"/>
  <c r="U29" i="14"/>
  <c r="V29" i="14"/>
  <c r="W29" i="14"/>
  <c r="X29" i="14"/>
  <c r="Y29" i="14"/>
  <c r="Z29" i="14"/>
  <c r="AA29" i="14"/>
  <c r="AF29" i="14"/>
  <c r="A30" i="14"/>
  <c r="B30" i="14"/>
  <c r="I30" i="14"/>
  <c r="J30" i="14"/>
  <c r="K30" i="14"/>
  <c r="L30" i="14"/>
  <c r="M30" i="14"/>
  <c r="N30" i="14"/>
  <c r="AF30" i="14"/>
  <c r="S30" i="14"/>
  <c r="T30" i="14"/>
  <c r="U30" i="14"/>
  <c r="V30" i="14"/>
  <c r="W30" i="14"/>
  <c r="X30" i="14"/>
  <c r="Y30" i="14"/>
  <c r="Z30" i="14"/>
  <c r="AA30" i="14"/>
  <c r="A31" i="14"/>
  <c r="B31" i="14"/>
  <c r="I31" i="14"/>
  <c r="J31" i="14"/>
  <c r="K31" i="14"/>
  <c r="L31" i="14"/>
  <c r="M31" i="14"/>
  <c r="N31" i="14"/>
  <c r="S31" i="14"/>
  <c r="T31" i="14"/>
  <c r="U31" i="14"/>
  <c r="V31" i="14"/>
  <c r="W31" i="14"/>
  <c r="X31" i="14"/>
  <c r="Y31" i="14"/>
  <c r="Z31" i="14"/>
  <c r="AA31" i="14"/>
  <c r="A32" i="14"/>
  <c r="B32" i="14"/>
  <c r="I32" i="14"/>
  <c r="J32" i="14"/>
  <c r="K32" i="14"/>
  <c r="L32" i="14"/>
  <c r="M32" i="14"/>
  <c r="N32" i="14"/>
  <c r="S32" i="14"/>
  <c r="T32" i="14"/>
  <c r="U32" i="14"/>
  <c r="V32" i="14"/>
  <c r="W32" i="14"/>
  <c r="X32" i="14"/>
  <c r="Y32" i="14"/>
  <c r="Z32" i="14"/>
  <c r="AA32" i="14"/>
  <c r="AF32" i="14"/>
  <c r="A33" i="14"/>
  <c r="B33" i="14"/>
  <c r="I33" i="14"/>
  <c r="J33" i="14"/>
  <c r="K33" i="14"/>
  <c r="L33" i="14"/>
  <c r="M33" i="14"/>
  <c r="N33" i="14"/>
  <c r="S33" i="14"/>
  <c r="T33" i="14"/>
  <c r="U33" i="14"/>
  <c r="V33" i="14"/>
  <c r="W33" i="14"/>
  <c r="X33" i="14"/>
  <c r="F33" i="14" s="1"/>
  <c r="Y33" i="14"/>
  <c r="Z33" i="14"/>
  <c r="AA33" i="14"/>
  <c r="A34" i="14"/>
  <c r="B34" i="14"/>
  <c r="I34" i="14"/>
  <c r="J34" i="14"/>
  <c r="K34" i="14"/>
  <c r="L34" i="14"/>
  <c r="M34" i="14"/>
  <c r="N34" i="14"/>
  <c r="S34" i="14"/>
  <c r="T34" i="14"/>
  <c r="U34" i="14"/>
  <c r="V34" i="14"/>
  <c r="W34" i="14"/>
  <c r="X34" i="14"/>
  <c r="Y34" i="14"/>
  <c r="Z34" i="14"/>
  <c r="AA34" i="14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I16" i="8" l="1"/>
  <c r="G8" i="8"/>
  <c r="J12" i="8"/>
  <c r="H12" i="8"/>
  <c r="L8" i="8"/>
  <c r="I12" i="8"/>
  <c r="J8" i="8"/>
  <c r="BE9" i="8"/>
  <c r="AL9" i="8" s="1"/>
  <c r="I8" i="8"/>
  <c r="G11" i="8"/>
  <c r="K11" i="8"/>
  <c r="I11" i="8"/>
  <c r="J11" i="8"/>
  <c r="L11" i="8"/>
  <c r="J16" i="8"/>
  <c r="BC16" i="8" s="1"/>
  <c r="AK16" i="8" s="1"/>
  <c r="K14" i="8"/>
  <c r="BE14" i="8" s="1"/>
  <c r="AL14" i="8" s="1"/>
  <c r="H16" i="8"/>
  <c r="AU16" i="8" s="1"/>
  <c r="AW16" i="8" s="1"/>
  <c r="R16" i="8" s="1"/>
  <c r="K12" i="8"/>
  <c r="L12" i="8"/>
  <c r="L15" i="8"/>
  <c r="J15" i="8"/>
  <c r="BC15" i="8" s="1"/>
  <c r="AK15" i="8" s="1"/>
  <c r="K15" i="8"/>
  <c r="E27" i="14"/>
  <c r="H15" i="8"/>
  <c r="AU15" i="8" s="1"/>
  <c r="AV15" i="8" s="1"/>
  <c r="AC27" i="14"/>
  <c r="BC12" i="8"/>
  <c r="AK12" i="8" s="1"/>
  <c r="BE8" i="8"/>
  <c r="AL8" i="8" s="1"/>
  <c r="I18" i="8"/>
  <c r="J18" i="8"/>
  <c r="H18" i="8"/>
  <c r="AU18" i="8" s="1"/>
  <c r="K18" i="8"/>
  <c r="L18" i="8"/>
  <c r="BE17" i="8"/>
  <c r="AL17" i="8" s="1"/>
  <c r="BC14" i="8"/>
  <c r="AK14" i="8" s="1"/>
  <c r="BC17" i="8"/>
  <c r="BH18" i="8"/>
  <c r="BH13" i="8"/>
  <c r="AV14" i="8"/>
  <c r="AZ14" i="8" s="1"/>
  <c r="BE16" i="8"/>
  <c r="AL16" i="8" s="1"/>
  <c r="AU8" i="8"/>
  <c r="AW8" i="8" s="1"/>
  <c r="R8" i="8" s="1"/>
  <c r="BH9" i="8"/>
  <c r="AG9" i="8"/>
  <c r="BD9" i="8" s="1"/>
  <c r="BH11" i="8"/>
  <c r="O10" i="8"/>
  <c r="AU12" i="8"/>
  <c r="AV12" i="8" s="1"/>
  <c r="AV17" i="8"/>
  <c r="BC9" i="8"/>
  <c r="BH17" i="8"/>
  <c r="AG17" i="8"/>
  <c r="BD17" i="8" s="1"/>
  <c r="H13" i="8"/>
  <c r="I13" i="8"/>
  <c r="J13" i="8"/>
  <c r="K13" i="8"/>
  <c r="L13" i="8"/>
  <c r="G13" i="8"/>
  <c r="AW11" i="8"/>
  <c r="R11" i="8" s="1"/>
  <c r="G10" i="8"/>
  <c r="H10" i="8"/>
  <c r="I10" i="8"/>
  <c r="J10" i="8"/>
  <c r="K10" i="8"/>
  <c r="L10" i="8"/>
  <c r="BH14" i="8"/>
  <c r="O8" i="8"/>
  <c r="BC8" i="8" s="1"/>
  <c r="AK8" i="8" s="1"/>
  <c r="AW17" i="8"/>
  <c r="R17" i="8" s="1"/>
  <c r="AW14" i="8"/>
  <c r="R14" i="8" s="1"/>
  <c r="AU9" i="8"/>
  <c r="AW9" i="8" s="1"/>
  <c r="R9" i="8" s="1"/>
  <c r="F28" i="14"/>
  <c r="E26" i="14"/>
  <c r="AC28" i="14"/>
  <c r="E33" i="14"/>
  <c r="AD33" i="14" s="1"/>
  <c r="F30" i="14"/>
  <c r="E29" i="14"/>
  <c r="AD29" i="14" s="1"/>
  <c r="C29" i="14" s="1"/>
  <c r="E31" i="14"/>
  <c r="AD31" i="14" s="1"/>
  <c r="AC31" i="14"/>
  <c r="AC26" i="14"/>
  <c r="AC32" i="14"/>
  <c r="AC30" i="14"/>
  <c r="E30" i="14"/>
  <c r="AD30" i="14" s="1"/>
  <c r="AH33" i="14"/>
  <c r="AC33" i="14"/>
  <c r="AF31" i="14"/>
  <c r="F29" i="14"/>
  <c r="AG29" i="14" s="1"/>
  <c r="H29" i="14" s="1"/>
  <c r="E28" i="14"/>
  <c r="AD28" i="14" s="1"/>
  <c r="AF33" i="14"/>
  <c r="AD27" i="14"/>
  <c r="C27" i="14" s="1"/>
  <c r="F27" i="14"/>
  <c r="AG27" i="14" s="1"/>
  <c r="H27" i="14" s="1"/>
  <c r="E32" i="14"/>
  <c r="AD32" i="14" s="1"/>
  <c r="AD26" i="14"/>
  <c r="C26" i="14" s="1"/>
  <c r="AC34" i="14"/>
  <c r="E34" i="14"/>
  <c r="AD34" i="14" s="1"/>
  <c r="AF34" i="14"/>
  <c r="AE30" i="14"/>
  <c r="G30" i="14" s="1"/>
  <c r="AG30" i="14"/>
  <c r="H30" i="14" s="1"/>
  <c r="AG33" i="14"/>
  <c r="AE33" i="14"/>
  <c r="AG28" i="14"/>
  <c r="H28" i="14" s="1"/>
  <c r="AE28" i="14"/>
  <c r="G28" i="14" s="1"/>
  <c r="F34" i="14"/>
  <c r="F26" i="14"/>
  <c r="AE27" i="14"/>
  <c r="G27" i="14" s="1"/>
  <c r="F32" i="14"/>
  <c r="F31" i="14"/>
  <c r="C7" i="26"/>
  <c r="E7" i="26"/>
  <c r="AF4" i="26"/>
  <c r="AJ4" i="24"/>
  <c r="AE4" i="22"/>
  <c r="AI4" i="19"/>
  <c r="AA4" i="10"/>
  <c r="AE3" i="8"/>
  <c r="AV11" i="8" l="1"/>
  <c r="AZ11" i="8" s="1"/>
  <c r="BC11" i="8"/>
  <c r="AK11" i="8" s="1"/>
  <c r="BE15" i="8"/>
  <c r="AL15" i="8" s="1"/>
  <c r="BE11" i="8"/>
  <c r="AL11" i="8" s="1"/>
  <c r="BE18" i="8"/>
  <c r="AL18" i="8" s="1"/>
  <c r="AV18" i="8"/>
  <c r="Q11" i="8"/>
  <c r="BG11" i="8" s="1"/>
  <c r="BE12" i="8"/>
  <c r="AL12" i="8" s="1"/>
  <c r="BC18" i="8"/>
  <c r="AK18" i="8" s="1"/>
  <c r="C28" i="14"/>
  <c r="AE29" i="14"/>
  <c r="G29" i="14" s="1"/>
  <c r="BE10" i="8"/>
  <c r="AL10" i="8" s="1"/>
  <c r="BC10" i="8"/>
  <c r="AK10" i="8" s="1"/>
  <c r="AK17" i="8"/>
  <c r="Q14" i="8"/>
  <c r="Z14" i="8" s="1"/>
  <c r="AV16" i="8"/>
  <c r="Q16" i="8" s="1"/>
  <c r="AW15" i="8"/>
  <c r="R15" i="8" s="1"/>
  <c r="BE13" i="8"/>
  <c r="AL13" i="8" s="1"/>
  <c r="AV8" i="8"/>
  <c r="AZ8" i="8" s="1"/>
  <c r="AV9" i="8"/>
  <c r="AZ9" i="8" s="1"/>
  <c r="AW18" i="8"/>
  <c r="R18" i="8" s="1"/>
  <c r="AZ15" i="8"/>
  <c r="Q15" i="8"/>
  <c r="AU13" i="8"/>
  <c r="AV13" i="8" s="1"/>
  <c r="AZ17" i="8"/>
  <c r="Q17" i="8"/>
  <c r="AU10" i="8"/>
  <c r="AW10" i="8" s="1"/>
  <c r="R10" i="8" s="1"/>
  <c r="BC13" i="8"/>
  <c r="AK13" i="8" s="1"/>
  <c r="Z11" i="8"/>
  <c r="AW12" i="8"/>
  <c r="R12" i="8" s="1"/>
  <c r="AK9" i="8"/>
  <c r="Q18" i="8"/>
  <c r="AZ18" i="8"/>
  <c r="Q12" i="8"/>
  <c r="AZ12" i="8"/>
  <c r="C31" i="14"/>
  <c r="C32" i="14"/>
  <c r="C30" i="14"/>
  <c r="G33" i="14"/>
  <c r="H33" i="14"/>
  <c r="C34" i="14"/>
  <c r="C33" i="14"/>
  <c r="AE31" i="14"/>
  <c r="G31" i="14" s="1"/>
  <c r="AG31" i="14"/>
  <c r="H31" i="14" s="1"/>
  <c r="AE34" i="14"/>
  <c r="G34" i="14" s="1"/>
  <c r="AG34" i="14"/>
  <c r="H34" i="14" s="1"/>
  <c r="AE32" i="14"/>
  <c r="G32" i="14" s="1"/>
  <c r="AG32" i="14"/>
  <c r="H32" i="14" s="1"/>
  <c r="AE26" i="14"/>
  <c r="G26" i="14" s="1"/>
  <c r="AG26" i="14"/>
  <c r="H26" i="14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Q8" i="8" l="1"/>
  <c r="Q9" i="8"/>
  <c r="AZ16" i="8"/>
  <c r="BG14" i="8"/>
  <c r="Q13" i="8"/>
  <c r="AZ13" i="8"/>
  <c r="Z12" i="8"/>
  <c r="BG12" i="8"/>
  <c r="AI14" i="8"/>
  <c r="BB14" i="8"/>
  <c r="AJ14" i="8" s="1"/>
  <c r="Z9" i="8"/>
  <c r="BG9" i="8"/>
  <c r="AI11" i="8"/>
  <c r="BB11" i="8"/>
  <c r="AJ11" i="8" s="1"/>
  <c r="Z16" i="8"/>
  <c r="BG16" i="8"/>
  <c r="Z18" i="8"/>
  <c r="BG18" i="8"/>
  <c r="AW13" i="8"/>
  <c r="R13" i="8" s="1"/>
  <c r="AV10" i="8"/>
  <c r="Z15" i="8"/>
  <c r="BG15" i="8"/>
  <c r="Z8" i="8"/>
  <c r="BG8" i="8"/>
  <c r="Z17" i="8"/>
  <c r="BG17" i="8"/>
  <c r="AI7" i="32"/>
  <c r="AE4" i="32"/>
  <c r="AD7" i="28"/>
  <c r="AA4" i="28"/>
  <c r="AH7" i="32"/>
  <c r="AE7" i="26"/>
  <c r="AK7" i="32"/>
  <c r="C7" i="19"/>
  <c r="D7" i="24"/>
  <c r="Q10" i="8" l="1"/>
  <c r="AZ10" i="8"/>
  <c r="AI18" i="8"/>
  <c r="BB18" i="8"/>
  <c r="AJ18" i="8" s="1"/>
  <c r="AI8" i="8"/>
  <c r="BB8" i="8"/>
  <c r="AJ8" i="8" s="1"/>
  <c r="AI12" i="8"/>
  <c r="BB12" i="8"/>
  <c r="AJ12" i="8" s="1"/>
  <c r="BB17" i="8"/>
  <c r="AJ17" i="8" s="1"/>
  <c r="AI17" i="8"/>
  <c r="AI16" i="8"/>
  <c r="BB16" i="8"/>
  <c r="AJ16" i="8" s="1"/>
  <c r="AI15" i="8"/>
  <c r="BB15" i="8"/>
  <c r="AJ15" i="8" s="1"/>
  <c r="AI9" i="8"/>
  <c r="BB9" i="8"/>
  <c r="AJ9" i="8" s="1"/>
  <c r="Z13" i="8"/>
  <c r="BG13" i="8"/>
  <c r="AS7" i="32"/>
  <c r="T7" i="32" s="1"/>
  <c r="AR7" i="32"/>
  <c r="AI13" i="8" l="1"/>
  <c r="BB13" i="8"/>
  <c r="AJ13" i="8" s="1"/>
  <c r="Z10" i="8"/>
  <c r="BG10" i="8"/>
  <c r="S7" i="32"/>
  <c r="Q7" i="32" s="1"/>
  <c r="AD7" i="32"/>
  <c r="AC7" i="32" s="1"/>
  <c r="R7" i="32"/>
  <c r="AQ7" i="26"/>
  <c r="U7" i="26" s="1"/>
  <c r="S7" i="26" s="1"/>
  <c r="AP7" i="26"/>
  <c r="AI10" i="8" l="1"/>
  <c r="BB10" i="8"/>
  <c r="AJ10" i="8" s="1"/>
  <c r="AL7" i="10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I8" i="14"/>
  <c r="J8" i="14"/>
  <c r="K8" i="14"/>
  <c r="L8" i="14"/>
  <c r="M8" i="14"/>
  <c r="N8" i="14"/>
  <c r="S8" i="14"/>
  <c r="T8" i="14"/>
  <c r="U8" i="14"/>
  <c r="V8" i="14"/>
  <c r="W8" i="14"/>
  <c r="X8" i="14"/>
  <c r="Y8" i="14"/>
  <c r="Z8" i="14"/>
  <c r="AA8" i="14"/>
  <c r="A9" i="14"/>
  <c r="B9" i="14"/>
  <c r="I9" i="14"/>
  <c r="J9" i="14"/>
  <c r="K9" i="14"/>
  <c r="L9" i="14"/>
  <c r="M9" i="14"/>
  <c r="N9" i="14"/>
  <c r="S9" i="14"/>
  <c r="T9" i="14"/>
  <c r="U9" i="14"/>
  <c r="V9" i="14"/>
  <c r="W9" i="14"/>
  <c r="X9" i="14"/>
  <c r="Y9" i="14"/>
  <c r="Z9" i="14"/>
  <c r="AA9" i="14"/>
  <c r="A10" i="14"/>
  <c r="B10" i="14"/>
  <c r="I10" i="14"/>
  <c r="J10" i="14"/>
  <c r="K10" i="14"/>
  <c r="L10" i="14"/>
  <c r="M10" i="14"/>
  <c r="N10" i="14"/>
  <c r="S10" i="14"/>
  <c r="T10" i="14"/>
  <c r="U10" i="14"/>
  <c r="V10" i="14"/>
  <c r="W10" i="14"/>
  <c r="X10" i="14"/>
  <c r="Y10" i="14"/>
  <c r="Z10" i="14"/>
  <c r="AA10" i="14"/>
  <c r="A11" i="14"/>
  <c r="B11" i="14"/>
  <c r="I11" i="14"/>
  <c r="J11" i="14"/>
  <c r="K11" i="14"/>
  <c r="L11" i="14"/>
  <c r="M11" i="14"/>
  <c r="N11" i="14"/>
  <c r="S11" i="14"/>
  <c r="T11" i="14"/>
  <c r="U11" i="14"/>
  <c r="V11" i="14"/>
  <c r="W11" i="14"/>
  <c r="X11" i="14"/>
  <c r="Y11" i="14"/>
  <c r="Z11" i="14"/>
  <c r="AA11" i="14"/>
  <c r="A12" i="14"/>
  <c r="B12" i="14"/>
  <c r="I12" i="14"/>
  <c r="J12" i="14"/>
  <c r="K12" i="14"/>
  <c r="L12" i="14"/>
  <c r="M12" i="14"/>
  <c r="N12" i="14"/>
  <c r="S12" i="14"/>
  <c r="T12" i="14"/>
  <c r="U12" i="14"/>
  <c r="V12" i="14"/>
  <c r="W12" i="14"/>
  <c r="X12" i="14"/>
  <c r="Y12" i="14"/>
  <c r="Z12" i="14"/>
  <c r="AA12" i="14"/>
  <c r="A13" i="14"/>
  <c r="B13" i="14"/>
  <c r="I13" i="14"/>
  <c r="J13" i="14"/>
  <c r="K13" i="14"/>
  <c r="L13" i="14"/>
  <c r="M13" i="14"/>
  <c r="N13" i="14"/>
  <c r="S13" i="14"/>
  <c r="T13" i="14"/>
  <c r="U13" i="14"/>
  <c r="V13" i="14"/>
  <c r="W13" i="14"/>
  <c r="X13" i="14"/>
  <c r="Y13" i="14"/>
  <c r="Z13" i="14"/>
  <c r="AA13" i="14"/>
  <c r="A14" i="14"/>
  <c r="B14" i="14"/>
  <c r="I14" i="14"/>
  <c r="J14" i="14"/>
  <c r="K14" i="14"/>
  <c r="L14" i="14"/>
  <c r="M14" i="14"/>
  <c r="N14" i="14"/>
  <c r="S14" i="14"/>
  <c r="T14" i="14"/>
  <c r="U14" i="14"/>
  <c r="V14" i="14"/>
  <c r="W14" i="14"/>
  <c r="X14" i="14"/>
  <c r="Y14" i="14"/>
  <c r="Z14" i="14"/>
  <c r="AA14" i="14"/>
  <c r="A15" i="14"/>
  <c r="B15" i="14"/>
  <c r="I15" i="14"/>
  <c r="J15" i="14"/>
  <c r="K15" i="14"/>
  <c r="L15" i="14"/>
  <c r="M15" i="14"/>
  <c r="N15" i="14"/>
  <c r="S15" i="14"/>
  <c r="T15" i="14"/>
  <c r="U15" i="14"/>
  <c r="V15" i="14"/>
  <c r="W15" i="14"/>
  <c r="X15" i="14"/>
  <c r="Y15" i="14"/>
  <c r="Z15" i="14"/>
  <c r="AA15" i="14"/>
  <c r="A16" i="14"/>
  <c r="B16" i="14"/>
  <c r="I16" i="14"/>
  <c r="J16" i="14"/>
  <c r="K16" i="14"/>
  <c r="L16" i="14"/>
  <c r="M16" i="14"/>
  <c r="N16" i="14"/>
  <c r="S16" i="14"/>
  <c r="T16" i="14"/>
  <c r="U16" i="14"/>
  <c r="V16" i="14"/>
  <c r="W16" i="14"/>
  <c r="X16" i="14"/>
  <c r="Y16" i="14"/>
  <c r="Z16" i="14"/>
  <c r="AA16" i="14"/>
  <c r="A17" i="14"/>
  <c r="B17" i="14"/>
  <c r="I17" i="14"/>
  <c r="J17" i="14"/>
  <c r="K17" i="14"/>
  <c r="L17" i="14"/>
  <c r="M17" i="14"/>
  <c r="N17" i="14"/>
  <c r="S17" i="14"/>
  <c r="T17" i="14"/>
  <c r="U17" i="14"/>
  <c r="V17" i="14"/>
  <c r="W17" i="14"/>
  <c r="X17" i="14"/>
  <c r="Y17" i="14"/>
  <c r="Z17" i="14"/>
  <c r="AA17" i="14"/>
  <c r="A18" i="14"/>
  <c r="B18" i="14"/>
  <c r="I18" i="14"/>
  <c r="J18" i="14"/>
  <c r="K18" i="14"/>
  <c r="L18" i="14"/>
  <c r="M18" i="14"/>
  <c r="N18" i="14"/>
  <c r="S18" i="14"/>
  <c r="T18" i="14"/>
  <c r="U18" i="14"/>
  <c r="V18" i="14"/>
  <c r="W18" i="14"/>
  <c r="X18" i="14"/>
  <c r="Y18" i="14"/>
  <c r="Z18" i="14"/>
  <c r="AA18" i="14"/>
  <c r="A19" i="14"/>
  <c r="B19" i="14"/>
  <c r="I19" i="14"/>
  <c r="J19" i="14"/>
  <c r="K19" i="14"/>
  <c r="L19" i="14"/>
  <c r="M19" i="14"/>
  <c r="N19" i="14"/>
  <c r="S19" i="14"/>
  <c r="T19" i="14"/>
  <c r="U19" i="14"/>
  <c r="V19" i="14"/>
  <c r="W19" i="14"/>
  <c r="X19" i="14"/>
  <c r="Y19" i="14"/>
  <c r="Z19" i="14"/>
  <c r="AA19" i="14"/>
  <c r="A20" i="14"/>
  <c r="B20" i="14"/>
  <c r="I20" i="14"/>
  <c r="J20" i="14"/>
  <c r="K20" i="14"/>
  <c r="L20" i="14"/>
  <c r="M20" i="14"/>
  <c r="N20" i="14"/>
  <c r="S20" i="14"/>
  <c r="T20" i="14"/>
  <c r="U20" i="14"/>
  <c r="V20" i="14"/>
  <c r="W20" i="14"/>
  <c r="X20" i="14"/>
  <c r="Y20" i="14"/>
  <c r="Z20" i="14"/>
  <c r="AA20" i="14"/>
  <c r="A21" i="14"/>
  <c r="B21" i="14"/>
  <c r="I21" i="14"/>
  <c r="J21" i="14"/>
  <c r="K21" i="14"/>
  <c r="L21" i="14"/>
  <c r="M21" i="14"/>
  <c r="N21" i="14"/>
  <c r="S21" i="14"/>
  <c r="T21" i="14"/>
  <c r="U21" i="14"/>
  <c r="V21" i="14"/>
  <c r="W21" i="14"/>
  <c r="X21" i="14"/>
  <c r="Y21" i="14"/>
  <c r="Z21" i="14"/>
  <c r="AA21" i="14"/>
  <c r="A22" i="14"/>
  <c r="B22" i="14"/>
  <c r="I22" i="14"/>
  <c r="J22" i="14"/>
  <c r="K22" i="14"/>
  <c r="L22" i="14"/>
  <c r="M22" i="14"/>
  <c r="N22" i="14"/>
  <c r="S22" i="14"/>
  <c r="T22" i="14"/>
  <c r="U22" i="14"/>
  <c r="V22" i="14"/>
  <c r="W22" i="14"/>
  <c r="X22" i="14"/>
  <c r="Y22" i="14"/>
  <c r="Z22" i="14"/>
  <c r="AA22" i="14"/>
  <c r="A23" i="14"/>
  <c r="B23" i="14"/>
  <c r="I23" i="14"/>
  <c r="J23" i="14"/>
  <c r="K23" i="14"/>
  <c r="L23" i="14"/>
  <c r="M23" i="14"/>
  <c r="N23" i="14"/>
  <c r="S23" i="14"/>
  <c r="T23" i="14"/>
  <c r="U23" i="14"/>
  <c r="V23" i="14"/>
  <c r="W23" i="14"/>
  <c r="X23" i="14"/>
  <c r="Y23" i="14"/>
  <c r="Z23" i="14"/>
  <c r="AA23" i="14"/>
  <c r="A24" i="14"/>
  <c r="B24" i="14"/>
  <c r="I24" i="14"/>
  <c r="J24" i="14"/>
  <c r="K24" i="14"/>
  <c r="L24" i="14"/>
  <c r="M24" i="14"/>
  <c r="N24" i="14"/>
  <c r="S24" i="14"/>
  <c r="T24" i="14"/>
  <c r="U24" i="14"/>
  <c r="V24" i="14"/>
  <c r="W24" i="14"/>
  <c r="X24" i="14"/>
  <c r="Y24" i="14"/>
  <c r="Z24" i="14"/>
  <c r="AA24" i="14"/>
  <c r="A25" i="14"/>
  <c r="B25" i="14"/>
  <c r="I25" i="14"/>
  <c r="J25" i="14"/>
  <c r="K25" i="14"/>
  <c r="L25" i="14"/>
  <c r="M25" i="14"/>
  <c r="N25" i="14"/>
  <c r="S25" i="14"/>
  <c r="T25" i="14"/>
  <c r="U25" i="14"/>
  <c r="V25" i="14"/>
  <c r="W25" i="14"/>
  <c r="X25" i="14"/>
  <c r="Y25" i="14"/>
  <c r="Z25" i="14"/>
  <c r="AA25" i="14"/>
  <c r="H8" i="15" l="1"/>
  <c r="G8" i="15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G8" i="14" s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G24" i="14" s="1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G22" i="14" s="1"/>
  <c r="AG14" i="14"/>
  <c r="H14" i="14" s="1"/>
  <c r="C25" i="14"/>
  <c r="C24" i="14"/>
  <c r="H25" i="14"/>
  <c r="C12" i="14"/>
  <c r="C21" i="14"/>
  <c r="G15" i="14"/>
  <c r="G13" i="14"/>
  <c r="C23" i="14"/>
  <c r="H18" i="14"/>
  <c r="C20" i="14"/>
  <c r="C9" i="14"/>
  <c r="C14" i="14"/>
  <c r="C15" i="14"/>
  <c r="C13" i="14"/>
  <c r="C18" i="14"/>
  <c r="C22" i="14"/>
  <c r="C10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B7" i="14"/>
  <c r="A7" i="14"/>
  <c r="H7" i="15" l="1"/>
  <c r="G7" i="15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<sst xmlns="http://schemas.openxmlformats.org/spreadsheetml/2006/main" count="1212" uniqueCount="341">
  <si>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</si>
  <si>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</si>
  <si>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</si>
  <si>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</si>
  <si>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</si>
  <si>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</si>
  <si>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</si>
  <si>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</si>
  <si>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</si>
  <si>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</si>
  <si>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</si>
  <si>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</si>
  <si>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</si>
  <si>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</si>
  <si>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</si>
  <si>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</si>
  <si>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</si>
  <si>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</si>
  <si>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</si>
  <si>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</si>
  <si>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</si>
  <si>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</si>
  <si>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</si>
  <si>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</si>
  <si>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</si>
  <si>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</si>
  <si>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</si>
  <si>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</si>
  <si>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</si>
  <si>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</si>
  <si>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</si>
  <si>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</si>
  <si>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</si>
  <si>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</si>
  <si>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</si>
  <si>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</si>
  <si>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</si>
  <si>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</si>
  <si>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</si>
  <si>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</si>
  <si>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</si>
  <si>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</si>
  <si>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</si>
  <si>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</si>
  <si>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</si>
  <si>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</si>
  <si>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</si>
  <si>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</si>
  <si>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</si>
  <si>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</si>
  <si>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</si>
  <si>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</si>
  <si>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</si>
  <si>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</si>
  <si>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</si>
  <si>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</si>
  <si>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</si>
  <si>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</si>
  <si>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</si>
  <si>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</si>
  <si>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</si>
  <si>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</si>
  <si>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</si>
  <si>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</si>
  <si>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</si>
  <si>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</si>
  <si>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</si>
  <si>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</si>
  <si>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</si>
  <si>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</si>
  <si>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</si>
  <si>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</si>
  <si>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</si>
  <si>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</si>
  <si>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</si>
  <si>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</si>
  <si>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</si>
  <si>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</si>
  <si>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</si>
  <si>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</si>
  <si>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</si>
  <si>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</si>
  <si>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</si>
  <si>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</si>
  <si>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</si>
  <si>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</si>
  <si>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</si>
  <si>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</si>
  <si>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</si>
  <si>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</si>
  <si>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</si>
  <si>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</si>
  <si>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</si>
  <si>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</si>
  <si>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</si>
  <si>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</si>
  <si>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</si>
  <si>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</si>
  <si>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</si>
  <si>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</si>
  <si>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</si>
  <si>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</si>
  <si>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</si>
  <si>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</si>
  <si>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</si>
  <si>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</si>
  <si>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</si>
  <si>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</si>
  <si>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</si>
  <si>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</si>
  <si>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</si>
  <si>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</si>
  <si>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</si>
  <si>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</si>
  <si>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</si>
  <si>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</si>
  <si>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</si>
  <si>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</si>
  <si>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</si>
  <si>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</si>
  <si>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</si>
  <si>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</si>
  <si>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</si>
  <si>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</si>
  <si>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</si>
  <si>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</si>
  <si>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</si>
  <si>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</si>
  <si>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</si>
  <si>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</si>
  <si>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</si>
  <si>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</si>
  <si>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</si>
  <si>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</si>
  <si>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</si>
  <si>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</si>
  <si>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</si>
  <si>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</si>
  <si>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</si>
  <si>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</si>
  <si>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</si>
  <si>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</si>
  <si>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</si>
  <si>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</si>
  <si>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</si>
  <si>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</si>
  <si>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</si>
  <si>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</si>
  <si>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</si>
  <si>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</si>
  <si>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</si>
  <si>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</si>
  <si>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</si>
  <si>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</si>
  <si>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</si>
  <si>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</si>
  <si>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</si>
  <si>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</si>
  <si>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</si>
  <si>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</si>
  <si>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</si>
  <si>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</si>
  <si>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</si>
  <si>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</si>
  <si>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</si>
  <si>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</si>
  <si>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</si>
  <si>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</si>
  <si>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</si>
  <si>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</si>
  <si>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</si>
  <si>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</si>
  <si>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</si>
  <si>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</si>
  <si>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</si>
  <si>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</si>
  <si>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</si>
  <si>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</si>
  <si>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</si>
  <si>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</si>
  <si>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</si>
  <si>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</si>
  <si>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</si>
  <si>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</si>
  <si>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</si>
  <si>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</si>
  <si>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</si>
  <si>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</si>
  <si>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</si>
  <si>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</si>
  <si>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</si>
  <si>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</si>
  <si>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</si>
  <si>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</si>
  <si>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</si>
  <si>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</si>
  <si>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</si>
  <si>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</si>
  <si>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</si>
  <si>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</si>
  <si>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</si>
  <si>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</si>
  <si>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</si>
  <si>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</si>
  <si>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</si>
  <si>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</si>
  <si>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</si>
  <si>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</si>
  <si>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</si>
  <si>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</si>
  <si>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</si>
  <si>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</si>
  <si>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</si>
  <si>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</si>
  <si>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</si>
  <si>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</si>
  <si>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</si>
  <si>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</si>
  <si>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</si>
  <si>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</si>
  <si>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</si>
  <si>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</si>
  <si>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</si>
  <si>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</si>
  <si>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</si>
  <si>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</si>
  <si>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</si>
  <si>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</si>
  <si>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</si>
  <si>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</si>
  <si>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</si>
  <si>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</si>
  <si>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</si>
  <si>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</si>
  <si>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</si>
  <si>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</si>
  <si>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</si>
  <si>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</si>
  <si>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</si>
  <si>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</si>
  <si>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</si>
  <si>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</si>
  <si>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</si>
  <si>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</si>
  <si>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</si>
  <si>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</si>
  <si>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</si>
  <si>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</si>
  <si>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</si>
  <si>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</si>
  <si>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</si>
  <si>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</si>
  <si>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</si>
  <si>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</si>
  <si>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</si>
  <si>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</si>
  <si>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</si>
  <si>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</si>
  <si>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</si>
  <si>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</si>
  <si>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</si>
  <si>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</si>
  <si>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</si>
  <si>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</si>
  <si>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</si>
  <si>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</si>
  <si>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</si>
  <si>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</si>
  <si>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</si>
  <si>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</si>
  <si>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</si>
  <si>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</si>
  <si>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</si>
  <si>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</si>
  <si>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</si>
  <si>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</si>
  <si>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</si>
  <si>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</si>
  <si>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</si>
  <si>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</si>
  <si>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</si>
  <si>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</si>
  <si>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</si>
  <si>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</si>
  <si>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</si>
  <si>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</si>
  <si>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</si>
  <si>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</si>
  <si>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</si>
  <si>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</si>
  <si>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</si>
  <si>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</si>
  <si>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</si>
  <si>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</si>
  <si>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</si>
  <si>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</si>
  <si>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</si>
  <si>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</si>
  <si>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</si>
  <si>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</si>
  <si>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</si>
  <si>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</si>
  <si>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</si>
  <si>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</si>
  <si>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</si>
  <si>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</si>
  <si>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</si>
  <si>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</si>
  <si>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</si>
  <si>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</si>
  <si>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</si>
  <si>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</si>
  <si>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</si>
  <si>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</si>
  <si>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</si>
  <si>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</si>
  <si>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</si>
  <si>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</si>
  <si>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</si>
  <si>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</si>
  <si>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</si>
  <si>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</si>
  <si>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</si>
  <si>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</si>
  <si>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</si>
  <si>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</si>
  <si>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</si>
  <si>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</si>
  <si>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</si>
  <si>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</si>
  <si>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</si>
  <si>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</si>
  <si>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</si>
  <si>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</si>
  <si>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</si>
  <si>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(판매)계룡대-2차</t>
  </si>
  <si>
    <t>손상민</t>
  </si>
  <si>
    <t>VB Ti Gold 1.2T</t>
    <phoneticPr fontId="1" type="noConversion"/>
  </si>
  <si>
    <t>3</t>
    <phoneticPr fontId="1" type="noConversion"/>
  </si>
  <si>
    <t>X</t>
    <phoneticPr fontId="1" type="noConversion"/>
  </si>
  <si>
    <t>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</si>
</sst>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4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6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7" sqref="B7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(판매)계룡대-2차 ) _손상민소장</v>
      </c>
      <c r="C2" s="39" t="str">
        <f>"(와이드) 제작변환 자료( "&amp;B1&amp;" ) _"&amp;소장 &amp;"소장"</f>
        <v>(와이드) 제작변환 자료( (판매)계룡대-2차 ) _손상민소장</v>
      </c>
      <c r="D2" s="154" t="s">
        <v>318</v>
      </c>
      <c r="E2" s="150" t="str">
        <f>"(SO와이드) 실측서 ( " &amp; B1 &amp; " ) _"&amp;소장 &amp;"소장"</f>
        <v>(SO와이드) 실측서 ( (판매)계룡대-2차 ) _손상민소장</v>
      </c>
      <c r="F2" s="150" t="str">
        <f>"(SO와이드) 제작변환 ( " &amp; B1 &amp; " ) _"&amp;소장 &amp;"소장"</f>
        <v>(SO와이드) 제작변환 ( (판매)계룡대-2차 ) _손상민소장</v>
      </c>
      <c r="G2" s="152" t="s">
        <v>320</v>
      </c>
      <c r="H2" s="147" t="str">
        <f>"(4CO와이드) 실측서 ( " &amp; B1 &amp; " ) _"&amp;소장 &amp;"소장"</f>
        <v>(4CO와이드) 실측서 ( (판매)계룡대-2차 ) _손상민소장</v>
      </c>
      <c r="I2" s="147" t="str">
        <f>"(4CO와이드) 제작변환 ( " &amp; B1 &amp; " ) _"&amp;소장 &amp;"소장"</f>
        <v>(4CO와이드) 제작변환 ( (판매)계룡대-2차 ) _손상민소장</v>
      </c>
      <c r="J2" s="152" t="s">
        <v>322</v>
      </c>
      <c r="K2" s="153" t="str">
        <f>"(2UP) 실측서 ( " &amp; B1 &amp; " ) _"&amp;소장 &amp;"소장"</f>
        <v>(2UP) 실측서 ( (판매)계룡대-2차 ) _손상민소장</v>
      </c>
      <c r="L2" s="153" t="str">
        <f>"(2UP) 제작변환 ( " &amp; B1 &amp; " ) _"&amp;소장 &amp;"소장"</f>
        <v>(2UP) 제작변환 ( (판매)계룡대-2차 ) _손상민소장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(판매)계룡대-2차 ) _손상민소장</v>
      </c>
      <c r="C3" s="39" t="str">
        <f>"(멍텅구리) 제작변환 자료( "&amp;B1&amp;" ) _"&amp;소장 &amp;"소장"</f>
        <v>(멍텅구리) 제작변환 자료( (판매)계룡대-2차 ) _손상민소장</v>
      </c>
      <c r="D3" s="154" t="s">
        <v>319</v>
      </c>
      <c r="E3" s="150" t="str">
        <f>"(SO멍텅구리) 실측서 ( " &amp; B1 &amp; " ) _"&amp;소장 &amp;"소장"</f>
        <v>(SO멍텅구리) 실측서 ( (판매)계룡대-2차 ) _손상민소장</v>
      </c>
      <c r="F3" s="150" t="str">
        <f>"(SO멍텅구리) 제작변환 ( " &amp; B1 &amp; " ) _"&amp;소장 &amp;"소장"</f>
        <v>(SO멍텅구리) 제작변환 ( (판매)계룡대-2차 ) _손상민소장</v>
      </c>
      <c r="G3" s="152" t="s">
        <v>321</v>
      </c>
      <c r="H3" s="147" t="str">
        <f>"(4CO멍텅구리) 실측서 ( " &amp; B1 &amp; " ) _"&amp;소장 &amp;"소장"</f>
        <v>(4CO멍텅구리) 실측서 ( (판매)계룡대-2차 ) _손상민소장</v>
      </c>
      <c r="I3" s="147" t="str">
        <f>"(4CO멍텅구리) 제작변환 ( " &amp; B1 &amp; " ) _"&amp;소장 &amp;"소장"</f>
        <v>(4CO멍텅구리) 제작변환 ( (판매)계룡대-2차 ) _손상민소장</v>
      </c>
      <c r="J3" s="152" t="s">
        <v>323</v>
      </c>
      <c r="K3" s="153" t="str">
        <f>"(3UP) 실측서 ( " &amp; B1 &amp; " ) _"&amp;소장 &amp;"소장"</f>
        <v>(3UP) 실측서 ( (판매)계룡대-2차 ) _손상민소장</v>
      </c>
      <c r="L3" s="153" t="str">
        <f>"(3UP) 제작변환 ( " &amp; B1 &amp; " ) _"&amp;소장 &amp;"소장"</f>
        <v>(3UP) 제작변환 ( (판매)계룡대-2차 ) _손상민소장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(판매)계룡대-2차 ) _손상민소장</v>
      </c>
      <c r="C4" s="39" t="str">
        <f>"(쪽쟘) 제작변환 자료( "&amp;B1&amp;" ) _"&amp;소장 &amp;"소장"</f>
        <v>(쪽쟘) 제작변환 자료( (판매)계룡대-2차 ) _손상민소장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324</v>
      </c>
    </row>
    <row r="6" spans="1:12" ht="27.75" customHeight="1" x14ac:dyDescent="0.3">
      <c r="A6" s="144" t="s">
        <v>40</v>
      </c>
      <c r="B6" s="146" t="s">
        <v>336</v>
      </c>
    </row>
    <row r="7" spans="1:12" ht="16.5" customHeight="1" x14ac:dyDescent="0.3">
      <c r="A7" s="72" t="s">
        <v>193</v>
      </c>
      <c r="B7" s="118" t="s">
        <v>337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(1.2), JB/JD +(2.2 ),  늘어난치수K -(-2.2),  C + (4.4),   U + (4.4), OP - (0), R - (0),  기둥차감 - (0), A + (1.2)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+(4.4 ),  늘어난치수K -(0),  C + (4.4),  U +(4.4), OP - (0), R - (0),  기둥차감 - (0),  A + (1.2)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+(4.4 ),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(1.2), JB/JD +(4.4 ),  늘어난치수K -(0),  C + (4.4),   U + (4.4), OP - (0), R - (0),  기둥차감 - (0),  A + (1.2)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+(4.4 ),  늘어난치수K -(0),  C + (4.4),  U +(4.4), OP1/OP2 - (0), R - (0),  기둥차감 - (0), A + (1.2)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(1.2), JB/JD +(4.4 ),  늘어난치수K -(0),  C + (4.4),   U + (4.4), OP1/OP3 - (0), R - (0),  기둥차감 - (0), A + (1.2)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+(4.4 ),  늘어난치수K -(0),  C + (4.4),  U +(4.4), OP1/OP3 - (0), R - (0),  기둥차감 - (0), A + (1.2)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+(4.4 ),  늘어난치수K -(0),  C + (4.4),   U + (4.4), OP - (0), R - (0),  기둥차감 - (0), A + (1.2)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+(4.4 ),  늘어난치수K -(0),  C + (4.4),   U + (4.4), OP - (0), R - (0),  기둥차감 - (0), A + (1.2)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310</v>
      </c>
    </row>
    <row r="26" spans="1:3" x14ac:dyDescent="0.3">
      <c r="A26">
        <v>20231101</v>
      </c>
      <c r="B26" t="s">
        <v>334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(판매)계룡대-2차</v>
      </c>
      <c r="E2" s="3" t="str">
        <f>정보!B6</f>
        <v>손상민</v>
      </c>
      <c r="F2" s="3" t="str">
        <f>정보!B7</f>
        <v>VB Ti Gold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45279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316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317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AC20" sqref="AC20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6" t="str">
        <f>정보!B2</f>
        <v>(와이드) 실측서 ( (판매)계룡대-2차 ) _손상민소장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(판매)계룡대-2차,   (재질) : VB Ti Gold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 x14ac:dyDescent="0.3">
      <c r="A4" s="163" t="str">
        <f>정보!B10</f>
        <v>제작치수 반영 : MH + (1.2), JB/JD +(2.2 ),  늘어난치수K -(-2.2),  C + (4.4),   U + (4.4), OP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 x14ac:dyDescent="0.3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 t="s">
        <v>338</v>
      </c>
      <c r="B7" s="4">
        <v>5</v>
      </c>
      <c r="C7" s="4">
        <v>445</v>
      </c>
      <c r="D7" s="4">
        <v>445</v>
      </c>
      <c r="E7" s="4">
        <v>1097</v>
      </c>
      <c r="F7" s="4">
        <v>1205</v>
      </c>
      <c r="G7" s="4">
        <v>270</v>
      </c>
      <c r="H7" s="4">
        <v>270</v>
      </c>
      <c r="I7" s="4">
        <v>294</v>
      </c>
      <c r="J7" s="4">
        <v>294</v>
      </c>
      <c r="K7" s="13">
        <v>34</v>
      </c>
      <c r="L7" s="13">
        <v>34</v>
      </c>
      <c r="M7" s="4"/>
      <c r="N7" s="4"/>
      <c r="O7" s="4">
        <v>12</v>
      </c>
      <c r="P7" s="4">
        <v>15</v>
      </c>
      <c r="Q7" s="4">
        <v>96</v>
      </c>
      <c r="R7" s="4">
        <v>96</v>
      </c>
      <c r="S7" s="4">
        <v>96</v>
      </c>
      <c r="T7" s="4">
        <v>96</v>
      </c>
      <c r="U7" s="4" t="s">
        <v>339</v>
      </c>
      <c r="V7" s="4" t="s">
        <v>339</v>
      </c>
      <c r="W7" s="4">
        <v>13</v>
      </c>
      <c r="X7" s="4">
        <v>25</v>
      </c>
      <c r="Y7" s="4">
        <v>81</v>
      </c>
      <c r="Z7" s="4">
        <v>81</v>
      </c>
      <c r="AA7" s="4">
        <v>81</v>
      </c>
      <c r="AB7" s="4">
        <v>81</v>
      </c>
      <c r="AC7" s="4">
        <v>444</v>
      </c>
      <c r="AD7" s="4">
        <v>444</v>
      </c>
      <c r="AE7" s="4"/>
      <c r="AF7" s="4"/>
      <c r="AG7" s="4"/>
      <c r="AH7" s="4"/>
      <c r="AI7" s="4"/>
      <c r="AJ7" s="4"/>
      <c r="AK7" s="53"/>
      <c r="AL7" s="3">
        <f>Y7+$AK7</f>
        <v>81</v>
      </c>
      <c r="AM7" s="3">
        <f>Z7+$AK7</f>
        <v>81</v>
      </c>
      <c r="AN7" s="3">
        <f>AA7+$AK7</f>
        <v>81</v>
      </c>
      <c r="AO7" s="3">
        <f>AB7+$AK7</f>
        <v>81</v>
      </c>
      <c r="AP7" s="3">
        <f>G7-$AK7</f>
        <v>270</v>
      </c>
      <c r="AQ7" s="3">
        <f>H7-$AK7</f>
        <v>270</v>
      </c>
      <c r="AR7" s="3">
        <f>I7-$AK7</f>
        <v>294</v>
      </c>
      <c r="AS7" s="3">
        <f>J7-$AK7</f>
        <v>294</v>
      </c>
    </row>
    <row r="8" spans="1:45" ht="23.25" customHeight="1" x14ac:dyDescent="0.3">
      <c r="A8" s="127" t="s">
        <v>338</v>
      </c>
      <c r="B8" s="4">
        <v>4</v>
      </c>
      <c r="C8" s="4">
        <v>453</v>
      </c>
      <c r="D8" s="4">
        <v>453</v>
      </c>
      <c r="E8" s="4">
        <v>1097</v>
      </c>
      <c r="F8" s="4">
        <v>1205</v>
      </c>
      <c r="G8" s="4">
        <v>270</v>
      </c>
      <c r="H8" s="4">
        <v>270</v>
      </c>
      <c r="I8" s="4">
        <v>291</v>
      </c>
      <c r="J8" s="4">
        <v>291</v>
      </c>
      <c r="K8" s="13">
        <v>34</v>
      </c>
      <c r="L8" s="13">
        <v>34</v>
      </c>
      <c r="M8" s="4"/>
      <c r="N8" s="4"/>
      <c r="O8" s="4">
        <v>11</v>
      </c>
      <c r="P8" s="4">
        <v>11</v>
      </c>
      <c r="Q8" s="4">
        <v>95</v>
      </c>
      <c r="R8" s="4">
        <v>95</v>
      </c>
      <c r="S8" s="4">
        <v>91</v>
      </c>
      <c r="T8" s="4">
        <v>95</v>
      </c>
      <c r="U8" s="4" t="s">
        <v>339</v>
      </c>
      <c r="V8" s="4" t="s">
        <v>339</v>
      </c>
      <c r="W8" s="4">
        <v>13</v>
      </c>
      <c r="X8" s="4">
        <v>25</v>
      </c>
      <c r="Y8" s="4">
        <v>80</v>
      </c>
      <c r="Z8" s="4">
        <v>80</v>
      </c>
      <c r="AA8" s="4">
        <v>80</v>
      </c>
      <c r="AB8" s="4">
        <v>80</v>
      </c>
      <c r="AC8" s="4">
        <v>450</v>
      </c>
      <c r="AD8" s="4">
        <v>452</v>
      </c>
      <c r="AE8" s="4"/>
      <c r="AF8" s="4"/>
      <c r="AG8" s="4"/>
      <c r="AH8" s="4"/>
      <c r="AI8" s="4"/>
      <c r="AJ8" s="4"/>
      <c r="AK8" s="53"/>
      <c r="AL8" s="3">
        <f t="shared" ref="AL8" si="0">Y8+$AK8</f>
        <v>80</v>
      </c>
      <c r="AM8" s="3">
        <f>Z8+$AK8</f>
        <v>80</v>
      </c>
      <c r="AN8" s="3">
        <f>AA8+$AK8</f>
        <v>80</v>
      </c>
      <c r="AO8" s="3">
        <f>AB8+$AK8</f>
        <v>80</v>
      </c>
      <c r="AP8" s="3">
        <f t="shared" ref="AP8" si="1">G8-$AK8</f>
        <v>270</v>
      </c>
      <c r="AQ8" s="3">
        <f>H8-$AK8</f>
        <v>270</v>
      </c>
      <c r="AR8" s="3">
        <f>I8-$AK8</f>
        <v>291</v>
      </c>
      <c r="AS8" s="3">
        <f>J8-$AK8</f>
        <v>291</v>
      </c>
    </row>
    <row r="9" spans="1:45" ht="23.25" customHeight="1" x14ac:dyDescent="0.3">
      <c r="A9" s="127" t="s">
        <v>338</v>
      </c>
      <c r="B9" s="4">
        <v>3</v>
      </c>
      <c r="C9" s="4">
        <v>453</v>
      </c>
      <c r="D9" s="4">
        <v>453</v>
      </c>
      <c r="E9" s="4">
        <v>1097</v>
      </c>
      <c r="F9" s="4">
        <v>1205</v>
      </c>
      <c r="G9" s="4">
        <v>270</v>
      </c>
      <c r="H9" s="4">
        <v>270</v>
      </c>
      <c r="I9" s="4">
        <v>293</v>
      </c>
      <c r="J9" s="4">
        <v>293</v>
      </c>
      <c r="K9" s="13">
        <v>34</v>
      </c>
      <c r="L9" s="13">
        <v>34</v>
      </c>
      <c r="M9" s="4"/>
      <c r="N9" s="4"/>
      <c r="O9" s="4">
        <v>13</v>
      </c>
      <c r="P9" s="4">
        <v>14</v>
      </c>
      <c r="Q9" s="4">
        <v>103</v>
      </c>
      <c r="R9" s="4">
        <v>98</v>
      </c>
      <c r="S9" s="4">
        <v>100</v>
      </c>
      <c r="T9" s="4">
        <v>95</v>
      </c>
      <c r="U9" s="4" t="s">
        <v>339</v>
      </c>
      <c r="V9" s="4" t="s">
        <v>339</v>
      </c>
      <c r="W9" s="4">
        <v>13</v>
      </c>
      <c r="X9" s="4">
        <v>25</v>
      </c>
      <c r="Y9" s="4">
        <v>81</v>
      </c>
      <c r="Z9" s="4">
        <v>81</v>
      </c>
      <c r="AA9" s="4">
        <v>79</v>
      </c>
      <c r="AB9" s="4">
        <v>81</v>
      </c>
      <c r="AC9" s="4"/>
      <c r="AD9" s="4">
        <v>451</v>
      </c>
      <c r="AE9" s="4"/>
      <c r="AF9" s="4"/>
      <c r="AG9" s="4"/>
      <c r="AH9" s="4"/>
      <c r="AI9" s="4"/>
      <c r="AJ9" s="4"/>
    </row>
    <row r="10" spans="1:45" ht="23.25" customHeight="1" x14ac:dyDescent="0.3">
      <c r="A10" s="127" t="s">
        <v>338</v>
      </c>
      <c r="B10" s="4">
        <v>2</v>
      </c>
      <c r="C10" s="4">
        <v>455</v>
      </c>
      <c r="D10" s="4">
        <v>455</v>
      </c>
      <c r="E10" s="4">
        <v>1097</v>
      </c>
      <c r="F10" s="4">
        <v>1206</v>
      </c>
      <c r="G10" s="4">
        <v>278</v>
      </c>
      <c r="H10" s="4">
        <v>278</v>
      </c>
      <c r="I10" s="4">
        <v>297</v>
      </c>
      <c r="J10" s="4">
        <v>297</v>
      </c>
      <c r="K10" s="13">
        <v>34</v>
      </c>
      <c r="L10" s="13">
        <v>34</v>
      </c>
      <c r="M10" s="4"/>
      <c r="N10" s="4"/>
      <c r="O10" s="4">
        <v>17</v>
      </c>
      <c r="P10" s="4">
        <v>17</v>
      </c>
      <c r="Q10" s="4">
        <v>97</v>
      </c>
      <c r="R10" s="4">
        <v>94</v>
      </c>
      <c r="S10" s="4">
        <v>96</v>
      </c>
      <c r="T10" s="4">
        <v>94</v>
      </c>
      <c r="U10" s="4" t="s">
        <v>339</v>
      </c>
      <c r="V10" s="4" t="s">
        <v>339</v>
      </c>
      <c r="W10" s="4">
        <v>13</v>
      </c>
      <c r="X10" s="4">
        <v>25</v>
      </c>
      <c r="Y10" s="4">
        <v>79</v>
      </c>
      <c r="Z10" s="4">
        <v>79</v>
      </c>
      <c r="AA10" s="4">
        <v>77</v>
      </c>
      <c r="AB10" s="4">
        <v>79</v>
      </c>
      <c r="AC10" s="4">
        <v>454</v>
      </c>
      <c r="AD10" s="4">
        <v>454</v>
      </c>
      <c r="AE10" s="4"/>
      <c r="AF10" s="4"/>
      <c r="AG10" s="4"/>
      <c r="AH10" s="4"/>
      <c r="AI10" s="4"/>
      <c r="AJ10" s="4"/>
    </row>
    <row r="11" spans="1:45" ht="23.25" customHeight="1" x14ac:dyDescent="0.3">
      <c r="A11" s="127" t="s">
        <v>338</v>
      </c>
      <c r="B11" s="4">
        <v>1</v>
      </c>
      <c r="C11" s="4">
        <v>449</v>
      </c>
      <c r="D11" s="4">
        <v>451</v>
      </c>
      <c r="E11" s="4">
        <v>1097</v>
      </c>
      <c r="F11" s="4">
        <v>1206</v>
      </c>
      <c r="G11" s="4">
        <v>275</v>
      </c>
      <c r="H11" s="4">
        <v>275</v>
      </c>
      <c r="I11" s="4">
        <v>299</v>
      </c>
      <c r="J11" s="4">
        <v>299</v>
      </c>
      <c r="K11" s="13">
        <v>27</v>
      </c>
      <c r="L11" s="13">
        <v>27</v>
      </c>
      <c r="M11" s="4"/>
      <c r="N11" s="4"/>
      <c r="O11" s="4" t="s">
        <v>339</v>
      </c>
      <c r="P11" s="4" t="s">
        <v>339</v>
      </c>
      <c r="Q11" s="4">
        <v>94</v>
      </c>
      <c r="R11" s="4">
        <v>92</v>
      </c>
      <c r="S11" s="4">
        <v>96</v>
      </c>
      <c r="T11" s="4">
        <v>94</v>
      </c>
      <c r="U11" s="4" t="s">
        <v>339</v>
      </c>
      <c r="V11" s="4" t="s">
        <v>339</v>
      </c>
      <c r="W11" s="4">
        <v>13</v>
      </c>
      <c r="X11" s="4">
        <v>25</v>
      </c>
      <c r="Y11" s="4">
        <v>80</v>
      </c>
      <c r="Z11" s="4">
        <v>80</v>
      </c>
      <c r="AA11" s="4">
        <v>80</v>
      </c>
      <c r="AB11" s="4">
        <v>80</v>
      </c>
      <c r="AC11" s="4">
        <v>446</v>
      </c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 t="s">
        <v>338</v>
      </c>
      <c r="B12" s="4" t="s">
        <v>12</v>
      </c>
      <c r="C12" s="4">
        <v>455</v>
      </c>
      <c r="D12" s="4">
        <v>455</v>
      </c>
      <c r="E12" s="4">
        <v>1097</v>
      </c>
      <c r="F12" s="4">
        <v>1217</v>
      </c>
      <c r="G12" s="4">
        <v>315</v>
      </c>
      <c r="H12" s="4">
        <v>315</v>
      </c>
      <c r="I12" s="4">
        <v>338</v>
      </c>
      <c r="J12" s="4">
        <v>338</v>
      </c>
      <c r="K12" s="13">
        <v>34</v>
      </c>
      <c r="L12" s="13">
        <v>34</v>
      </c>
      <c r="M12" s="4"/>
      <c r="N12" s="4"/>
      <c r="O12" s="4">
        <v>13</v>
      </c>
      <c r="P12" s="4">
        <v>13</v>
      </c>
      <c r="Q12" s="4">
        <v>94</v>
      </c>
      <c r="R12" s="4">
        <v>95</v>
      </c>
      <c r="S12" s="4">
        <v>99</v>
      </c>
      <c r="T12" s="4">
        <v>96</v>
      </c>
      <c r="U12" s="4" t="s">
        <v>339</v>
      </c>
      <c r="V12" s="4" t="s">
        <v>339</v>
      </c>
      <c r="W12" s="4">
        <v>13</v>
      </c>
      <c r="X12" s="4">
        <v>25</v>
      </c>
      <c r="Y12" s="4">
        <v>80</v>
      </c>
      <c r="Z12" s="4">
        <v>80</v>
      </c>
      <c r="AA12" s="4">
        <v>79</v>
      </c>
      <c r="AB12" s="4">
        <v>79</v>
      </c>
      <c r="AC12" s="4">
        <v>447</v>
      </c>
      <c r="AD12" s="4">
        <v>445</v>
      </c>
      <c r="AE12" s="4"/>
      <c r="AF12" s="4"/>
      <c r="AG12" s="4"/>
      <c r="AH12" s="4"/>
      <c r="AI12" s="4"/>
      <c r="AJ12" s="4"/>
    </row>
    <row r="13" spans="1:45" ht="23.25" customHeight="1" x14ac:dyDescent="0.3">
      <c r="A13" s="127" t="s">
        <v>340</v>
      </c>
      <c r="B13" s="4">
        <v>5</v>
      </c>
      <c r="C13" s="4">
        <v>442</v>
      </c>
      <c r="D13" s="4">
        <v>442</v>
      </c>
      <c r="E13" s="4">
        <v>1097</v>
      </c>
      <c r="F13" s="4">
        <v>1205</v>
      </c>
      <c r="G13" s="4">
        <v>271</v>
      </c>
      <c r="H13" s="4">
        <v>271</v>
      </c>
      <c r="I13" s="4">
        <v>292</v>
      </c>
      <c r="J13" s="4">
        <v>292</v>
      </c>
      <c r="K13" s="13">
        <v>34</v>
      </c>
      <c r="L13" s="13">
        <v>34</v>
      </c>
      <c r="M13" s="4"/>
      <c r="N13" s="4"/>
      <c r="O13" s="4">
        <v>12</v>
      </c>
      <c r="P13" s="4">
        <v>10</v>
      </c>
      <c r="Q13" s="4">
        <v>97</v>
      </c>
      <c r="R13" s="4">
        <v>95</v>
      </c>
      <c r="S13" s="4">
        <v>98</v>
      </c>
      <c r="T13" s="4">
        <v>95</v>
      </c>
      <c r="U13" s="4" t="s">
        <v>339</v>
      </c>
      <c r="V13" s="4" t="s">
        <v>339</v>
      </c>
      <c r="W13" s="4">
        <v>13</v>
      </c>
      <c r="X13" s="4">
        <v>25</v>
      </c>
      <c r="Y13" s="4">
        <v>79</v>
      </c>
      <c r="Z13" s="4">
        <v>81</v>
      </c>
      <c r="AA13" s="4">
        <v>77</v>
      </c>
      <c r="AB13" s="4">
        <v>80</v>
      </c>
      <c r="AC13" s="4">
        <v>440</v>
      </c>
      <c r="AD13" s="4">
        <v>441</v>
      </c>
      <c r="AE13" s="4"/>
      <c r="AF13" s="4"/>
      <c r="AG13" s="4"/>
      <c r="AH13" s="4"/>
      <c r="AI13" s="4"/>
      <c r="AJ13" s="4"/>
    </row>
    <row r="14" spans="1:45" ht="23.25" customHeight="1" x14ac:dyDescent="0.3">
      <c r="A14" s="127" t="s">
        <v>340</v>
      </c>
      <c r="B14" s="4">
        <v>4</v>
      </c>
      <c r="C14" s="4">
        <v>455</v>
      </c>
      <c r="D14" s="4">
        <v>455</v>
      </c>
      <c r="E14" s="4">
        <v>1097</v>
      </c>
      <c r="F14" s="4">
        <v>1205</v>
      </c>
      <c r="G14" s="4">
        <v>270</v>
      </c>
      <c r="H14" s="4">
        <v>270</v>
      </c>
      <c r="I14" s="4">
        <v>293</v>
      </c>
      <c r="J14" s="4">
        <v>293</v>
      </c>
      <c r="K14" s="13">
        <v>34</v>
      </c>
      <c r="L14" s="13">
        <v>34</v>
      </c>
      <c r="M14" s="4"/>
      <c r="N14" s="4"/>
      <c r="O14" s="4">
        <v>11</v>
      </c>
      <c r="P14" s="4">
        <v>11</v>
      </c>
      <c r="Q14" s="4">
        <v>97</v>
      </c>
      <c r="R14" s="4">
        <v>95</v>
      </c>
      <c r="S14" s="4">
        <v>93</v>
      </c>
      <c r="T14" s="4">
        <v>95</v>
      </c>
      <c r="U14" s="4" t="s">
        <v>339</v>
      </c>
      <c r="V14" s="4" t="s">
        <v>339</v>
      </c>
      <c r="W14" s="4">
        <v>13</v>
      </c>
      <c r="X14" s="4">
        <v>25</v>
      </c>
      <c r="Y14" s="4">
        <v>80</v>
      </c>
      <c r="Z14" s="4">
        <v>80</v>
      </c>
      <c r="AA14" s="4">
        <v>78</v>
      </c>
      <c r="AB14" s="4">
        <v>80</v>
      </c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 t="s">
        <v>340</v>
      </c>
      <c r="B15" s="4">
        <v>3</v>
      </c>
      <c r="C15" s="4">
        <v>445</v>
      </c>
      <c r="D15" s="4">
        <v>448</v>
      </c>
      <c r="E15" s="4">
        <v>1097</v>
      </c>
      <c r="F15" s="4">
        <v>1205</v>
      </c>
      <c r="G15" s="4">
        <v>272</v>
      </c>
      <c r="H15" s="4">
        <v>272</v>
      </c>
      <c r="I15" s="4">
        <v>295</v>
      </c>
      <c r="J15" s="4">
        <v>295</v>
      </c>
      <c r="K15" s="13">
        <v>34</v>
      </c>
      <c r="L15" s="13">
        <v>34</v>
      </c>
      <c r="M15" s="4"/>
      <c r="N15" s="4"/>
      <c r="O15" s="4">
        <v>13</v>
      </c>
      <c r="P15" s="4">
        <v>13</v>
      </c>
      <c r="Q15" s="4">
        <v>102</v>
      </c>
      <c r="R15" s="4">
        <v>99</v>
      </c>
      <c r="S15" s="4">
        <v>103</v>
      </c>
      <c r="T15" s="4">
        <v>98</v>
      </c>
      <c r="U15" s="4" t="s">
        <v>339</v>
      </c>
      <c r="V15" s="4" t="s">
        <v>339</v>
      </c>
      <c r="W15" s="4">
        <v>13</v>
      </c>
      <c r="X15" s="4">
        <v>25</v>
      </c>
      <c r="Y15" s="4">
        <v>79</v>
      </c>
      <c r="Z15" s="4">
        <v>79</v>
      </c>
      <c r="AA15" s="4">
        <v>77</v>
      </c>
      <c r="AB15" s="4">
        <v>80</v>
      </c>
      <c r="AC15" s="4"/>
      <c r="AD15" s="4">
        <v>446</v>
      </c>
      <c r="AE15" s="4"/>
      <c r="AF15" s="4"/>
      <c r="AG15" s="4"/>
      <c r="AH15" s="4"/>
      <c r="AI15" s="4"/>
      <c r="AJ15" s="4"/>
    </row>
    <row r="16" spans="1:45" ht="23.25" customHeight="1" x14ac:dyDescent="0.3">
      <c r="A16" s="127" t="s">
        <v>340</v>
      </c>
      <c r="B16" s="4">
        <v>2</v>
      </c>
      <c r="C16" s="4">
        <v>457</v>
      </c>
      <c r="D16" s="4">
        <v>457</v>
      </c>
      <c r="E16" s="4">
        <v>1097</v>
      </c>
      <c r="F16" s="4">
        <v>1206</v>
      </c>
      <c r="G16" s="4">
        <v>276</v>
      </c>
      <c r="H16" s="4">
        <v>276</v>
      </c>
      <c r="I16" s="4">
        <v>298</v>
      </c>
      <c r="J16" s="4">
        <v>298</v>
      </c>
      <c r="K16" s="13">
        <v>34</v>
      </c>
      <c r="L16" s="13">
        <v>34</v>
      </c>
      <c r="M16" s="4"/>
      <c r="N16" s="4"/>
      <c r="O16" s="4">
        <v>16</v>
      </c>
      <c r="P16" s="4">
        <v>17</v>
      </c>
      <c r="Q16" s="4">
        <v>97</v>
      </c>
      <c r="R16" s="4">
        <v>95</v>
      </c>
      <c r="S16" s="4">
        <v>100</v>
      </c>
      <c r="T16" s="4">
        <v>96</v>
      </c>
      <c r="U16" s="4" t="s">
        <v>339</v>
      </c>
      <c r="V16" s="4" t="s">
        <v>339</v>
      </c>
      <c r="W16" s="4">
        <v>13</v>
      </c>
      <c r="X16" s="4">
        <v>25</v>
      </c>
      <c r="Y16" s="4">
        <v>82</v>
      </c>
      <c r="Z16" s="4">
        <v>80</v>
      </c>
      <c r="AA16" s="4">
        <v>82</v>
      </c>
      <c r="AB16" s="4">
        <v>80</v>
      </c>
      <c r="AC16" s="4"/>
      <c r="AD16" s="4">
        <v>455</v>
      </c>
      <c r="AE16" s="4"/>
      <c r="AF16" s="4"/>
      <c r="AG16" s="4"/>
      <c r="AH16" s="4"/>
      <c r="AI16" s="4"/>
      <c r="AJ16" s="4"/>
    </row>
    <row r="17" spans="1:36" ht="23.25" customHeight="1" x14ac:dyDescent="0.3">
      <c r="A17" s="127" t="s">
        <v>340</v>
      </c>
      <c r="B17" s="4">
        <v>1</v>
      </c>
      <c r="C17" s="4">
        <v>440</v>
      </c>
      <c r="D17" s="4">
        <v>450</v>
      </c>
      <c r="E17" s="4">
        <v>1097</v>
      </c>
      <c r="F17" s="4">
        <v>1206</v>
      </c>
      <c r="G17" s="4">
        <v>278</v>
      </c>
      <c r="H17" s="4">
        <v>278</v>
      </c>
      <c r="I17" s="4">
        <v>299</v>
      </c>
      <c r="J17" s="4">
        <v>299</v>
      </c>
      <c r="K17" s="13">
        <v>25</v>
      </c>
      <c r="L17" s="13">
        <v>26</v>
      </c>
      <c r="M17" s="4"/>
      <c r="N17" s="4"/>
      <c r="O17" s="4" t="s">
        <v>339</v>
      </c>
      <c r="P17" s="4" t="s">
        <v>339</v>
      </c>
      <c r="Q17" s="4">
        <v>97</v>
      </c>
      <c r="R17" s="4">
        <v>93</v>
      </c>
      <c r="S17" s="4">
        <v>99</v>
      </c>
      <c r="T17" s="4">
        <v>95</v>
      </c>
      <c r="U17" s="4" t="s">
        <v>339</v>
      </c>
      <c r="V17" s="4" t="s">
        <v>339</v>
      </c>
      <c r="W17" s="4">
        <v>13</v>
      </c>
      <c r="X17" s="4">
        <v>25</v>
      </c>
      <c r="Y17" s="4">
        <v>79</v>
      </c>
      <c r="Z17" s="4">
        <v>79</v>
      </c>
      <c r="AA17" s="4">
        <v>77</v>
      </c>
      <c r="AB17" s="4">
        <v>81</v>
      </c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 t="s">
        <v>340</v>
      </c>
      <c r="B18" s="4" t="s">
        <v>12</v>
      </c>
      <c r="C18" s="4">
        <v>455</v>
      </c>
      <c r="D18" s="4">
        <v>455</v>
      </c>
      <c r="E18" s="4">
        <v>1097</v>
      </c>
      <c r="F18" s="4">
        <v>1218</v>
      </c>
      <c r="G18" s="4">
        <v>322</v>
      </c>
      <c r="H18" s="4">
        <v>322</v>
      </c>
      <c r="I18" s="4">
        <v>343</v>
      </c>
      <c r="J18" s="4">
        <v>343</v>
      </c>
      <c r="K18" s="13">
        <v>34</v>
      </c>
      <c r="L18" s="13">
        <v>34</v>
      </c>
      <c r="M18" s="4"/>
      <c r="N18" s="4"/>
      <c r="O18" s="4">
        <v>15</v>
      </c>
      <c r="P18" s="4">
        <v>19</v>
      </c>
      <c r="Q18" s="4">
        <v>99</v>
      </c>
      <c r="R18" s="4">
        <v>97</v>
      </c>
      <c r="S18" s="4">
        <v>102</v>
      </c>
      <c r="T18" s="4">
        <v>97</v>
      </c>
      <c r="U18" s="4" t="s">
        <v>339</v>
      </c>
      <c r="V18" s="4" t="s">
        <v>339</v>
      </c>
      <c r="W18" s="4">
        <v>13</v>
      </c>
      <c r="X18" s="4">
        <v>25</v>
      </c>
      <c r="Y18" s="4">
        <v>81</v>
      </c>
      <c r="Z18" s="4">
        <v>81</v>
      </c>
      <c r="AA18" s="4">
        <v>79</v>
      </c>
      <c r="AB18" s="4">
        <v>79</v>
      </c>
      <c r="AC18" s="4">
        <v>445</v>
      </c>
      <c r="AD18" s="4">
        <v>447</v>
      </c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18"/>
  <sheetViews>
    <sheetView tabSelected="1" zoomScale="85" zoomScaleNormal="85" workbookViewId="0">
      <selection activeCell="V17" sqref="V1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6" t="str">
        <f>정보!C2</f>
        <v>(와이드) 제작변환 자료( (판매)계룡대-2차 ) _손상민소장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 x14ac:dyDescent="0.3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1.2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4.4000000000000004</v>
      </c>
      <c r="R2" s="191"/>
      <c r="S2" s="167" t="s">
        <v>83</v>
      </c>
      <c r="T2" s="193"/>
      <c r="U2" s="193"/>
      <c r="V2" s="194">
        <v>0</v>
      </c>
      <c r="W2" s="194"/>
      <c r="X2" s="212" t="s">
        <v>205</v>
      </c>
      <c r="Y2" s="213"/>
      <c r="Z2" s="216">
        <f>정보!B5</f>
        <v>0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-2.2000000000000002</v>
      </c>
      <c r="AK2" s="226"/>
      <c r="AL2" s="1"/>
      <c r="AM2" s="181" t="s">
        <v>229</v>
      </c>
      <c r="AN2" s="223"/>
      <c r="AO2" s="224">
        <v>1.2</v>
      </c>
      <c r="AP2" s="224"/>
      <c r="AQ2" s="1"/>
      <c r="AR2" s="1"/>
    </row>
    <row r="3" spans="1:61" ht="24.75" customHeight="1" x14ac:dyDescent="0.3">
      <c r="A3" s="28" t="str">
        <f>'와이드(실측)'!A3</f>
        <v>현장명 : (판매)계룡대-2차,   (재질) : VB Ti Gold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2.2000000000000002</v>
      </c>
      <c r="N3" s="220"/>
      <c r="O3" s="190" t="s">
        <v>77</v>
      </c>
      <c r="P3" s="190"/>
      <c r="Q3" s="197">
        <v>4.4000000000000004</v>
      </c>
      <c r="R3" s="197"/>
      <c r="S3" s="198" t="s">
        <v>227</v>
      </c>
      <c r="T3" s="198"/>
      <c r="U3" s="198"/>
      <c r="V3" s="199">
        <f>BI7</f>
        <v>0</v>
      </c>
      <c r="W3" s="199"/>
      <c r="X3" s="192" t="s">
        <v>78</v>
      </c>
      <c r="Y3" s="192"/>
      <c r="Z3" s="200">
        <v>1.2</v>
      </c>
      <c r="AA3" s="200"/>
      <c r="AC3" s="201" t="s">
        <v>311</v>
      </c>
      <c r="AD3" s="201"/>
      <c r="AE3" s="201">
        <f>'와이드(실측)'!Y7</f>
        <v>81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325</v>
      </c>
      <c r="AP3" s="228"/>
      <c r="AQ3" s="231">
        <f>AU7</f>
        <v>11.220850768464727</v>
      </c>
      <c r="AR3" s="232"/>
      <c r="BI3" s="177" t="s">
        <v>253</v>
      </c>
    </row>
    <row r="4" spans="1:61" ht="33" customHeight="1" x14ac:dyDescent="0.3">
      <c r="A4" s="202" t="str">
        <f>정보!B10</f>
        <v>제작치수 반영 : MH + (1.2), JB/JD +(2.2 ),  늘어난치수K -(-2.2),  C + (4.4),   U + (4.4), OP - (0), R - (0),  기둥차감 - (0), A + (1.2)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45279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26.25" customHeight="1" x14ac:dyDescent="0.3">
      <c r="A7" s="31" t="str">
        <f>'와이드(실측)'!A7</f>
        <v>3</v>
      </c>
      <c r="B7" s="31" t="str">
        <f>'와이드(실측)'!B7&amp;"F"</f>
        <v>5F</v>
      </c>
      <c r="C7" s="31">
        <f>'와이드(실측)'!C7+와이드MH더함-IF(AND(소장="추영덕",Y7=0),1.2)</f>
        <v>446.2</v>
      </c>
      <c r="D7" s="31">
        <f>'와이드(실측)'!D7+와이드MH더함-IF(AND(소장="추영덕",Y7=0),1.2)</f>
        <v>446.2</v>
      </c>
      <c r="E7" s="135">
        <f>'와이드(실측)'!E7-와이드OP</f>
        <v>1097</v>
      </c>
      <c r="F7" s="31">
        <f>'와이드(실측)'!F7-와이드R</f>
        <v>1205</v>
      </c>
      <c r="G7" s="50">
        <f>'와이드(실측)'!G7+와이드JBJD키움치수+IF(BI7=1,AC7,0)</f>
        <v>272.2</v>
      </c>
      <c r="H7" s="50">
        <f>'와이드(실측)'!H7+와이드JBJD키움치수+IF(BI7=1,AE7,0)</f>
        <v>272.2</v>
      </c>
      <c r="I7" s="50">
        <f>'와이드(실측)'!I7+MAX(AS7,AT7)+와이드JBJD키움치수+IF(BI7=1,AC7,0)</f>
        <v>296.2</v>
      </c>
      <c r="J7" s="50">
        <f>'와이드(실측)'!I7+MAX(AS7,AT7)+와이드JBJD키움치수+IF(BI7=1,AD7,0)-IF(와이드JB하부늘치=1,'와이드(실측)'!Y7-'와이드(실측)'!Z7,0)</f>
        <v>296.2</v>
      </c>
      <c r="K7" s="50">
        <f>'와이드(실측)'!J7+MAX(AS7,AT7)+와이드JBJD키움치수+IF(BI7=1,AE7,0)</f>
        <v>296.2</v>
      </c>
      <c r="L7" s="50">
        <f>'와이드(실측)'!J7+MAX(AS7,AT7)+와이드JBJD키움치수+IF(BI7=1,AF7,0)-IF(와이드JB하부늘치=1,'와이드(실측)'!AA7-'와이드(실측)'!AB7,0)</f>
        <v>296.2</v>
      </c>
      <c r="M7" s="31">
        <f t="shared" ref="M7:N7" si="0">IF(소장="손상민",0,O7-1.5)</f>
        <v>0</v>
      </c>
      <c r="N7" s="31">
        <f t="shared" si="0"/>
        <v>0</v>
      </c>
      <c r="O7" s="31">
        <f>IF(S7&lt;9,'와이드(실측)'!K7+1.2,IF(ISNUMBER('와이드(실측)'!K7),'와이드(실측)'!K7+와이드C값,0))</f>
        <v>38.4</v>
      </c>
      <c r="P7" s="31">
        <f>IF(T7&lt;9,'와이드(실측)'!L7+1.2,IF(ISNUMBER('와이드(실측)'!L7),'와이드(실측)'!L7+와이드C값,0))</f>
        <v>38.4</v>
      </c>
      <c r="Q7" s="32">
        <f>ROUNDUP(AV7,1)</f>
        <v>18.400000000000002</v>
      </c>
      <c r="R7" s="38">
        <f>ROUNDUP(AW7,1)</f>
        <v>18.400000000000002</v>
      </c>
      <c r="S7" s="31">
        <f>IF(ISNUMBER('와이드(실측)'!O7),'와이드(실측)'!O7+와이드제작!AS7+와이드A늘림,0)</f>
        <v>13.2</v>
      </c>
      <c r="T7" s="31">
        <f>IF(ISNUMBER('와이드(실측)'!P7),'와이드(실측)'!P7+와이드제작!AT7+와이드A늘림,0)</f>
        <v>16.2</v>
      </c>
      <c r="U7" s="31">
        <f>'와이드(실측)'!Q7-와이드기둥차감+2000</f>
        <v>2096</v>
      </c>
      <c r="V7" s="31">
        <f>'와이드(실측)'!R7-와이드기둥차감+2000</f>
        <v>2096</v>
      </c>
      <c r="W7" s="31">
        <f>'와이드(실측)'!S7-와이드기둥차감+2000</f>
        <v>2096</v>
      </c>
      <c r="X7" s="31">
        <f>'와이드(실측)'!T7-와이드기둥차감+2000</f>
        <v>2096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21.6</v>
      </c>
      <c r="AA7" s="31">
        <f>'와이드(실측)'!W7+뒷날개치수더함</f>
        <v>14.2</v>
      </c>
      <c r="AB7" s="31">
        <f>'와이드(실측)'!X7+뒷날개치수더함</f>
        <v>26.2</v>
      </c>
      <c r="AC7" s="31">
        <f>'와이드(실측)'!Y7-와이드늘치</f>
        <v>83.2</v>
      </c>
      <c r="AD7" s="31">
        <f>IF(와이드JB하부늘치=1,AC7,'와이드(실측)'!Z7-와이드늘치)</f>
        <v>83.2</v>
      </c>
      <c r="AE7" s="31">
        <f>'와이드(실측)'!AA7-와이드늘치</f>
        <v>83.2</v>
      </c>
      <c r="AF7" s="31">
        <f>IF(와이드JB하부늘치=1,AE7,'와이드(실측)'!AB7-와이드늘치)</f>
        <v>83.2</v>
      </c>
      <c r="AG7" s="31">
        <f xml:space="preserve"> IF(소장&lt;&gt;"손상민",IF('와이드(실측)'!AC7&gt;0,'와이드(실측)'!AC7,C7-1.2),IF('와이드(실측)'!AC7&gt;0,'와이드(실측)'!AC7+1.2,C7) )</f>
        <v>445.2</v>
      </c>
      <c r="AH7" s="31">
        <f xml:space="preserve"> IF(소장&lt;&gt;"손상민",IF('와이드(실측)'!AD7&gt;0,'와이드(실측)'!AD7,D7-1.2),IF('와이드(실측)'!AD7&gt;0,'와이드(실측)'!AD7+1.2,D7))</f>
        <v>445.2</v>
      </c>
      <c r="AI7" s="51">
        <f>IF(Z7&gt;0,Z7-MAX(Q7,R7),0)</f>
        <v>3.1999999999999993</v>
      </c>
      <c r="AJ7" s="31" t="str">
        <f t="shared" ref="AJ7" si="1">BA7&amp;"*"&amp;BB7</f>
        <v>1205*814.6</v>
      </c>
      <c r="AK7" s="31" t="str">
        <f t="shared" ref="AK7" si="2">BD7&amp;"*"&amp;BC7</f>
        <v>2541.2*452.4</v>
      </c>
      <c r="AL7" s="31" t="str">
        <f t="shared" ref="AL7" si="3">BF7&amp;"*"&amp;BE7</f>
        <v>2541.2*455.4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11.220850768464727</v>
      </c>
      <c r="AV7" s="21">
        <f>ABS(G7-COS(RADIANS(AU7))*I7)</f>
        <v>18.337960964261129</v>
      </c>
      <c r="AW7" s="21">
        <f>ABS(H7-COS(RADIANS(AU7))*K7)</f>
        <v>18.337960964261129</v>
      </c>
      <c r="AX7" s="21">
        <f>'와이드(실측)'!M7+AS7</f>
        <v>0</v>
      </c>
      <c r="AY7" s="21">
        <f>'와이드(실측)'!N7+AS7</f>
        <v>0</v>
      </c>
      <c r="AZ7" s="20">
        <f>AV7-MAX(AX7,AY7)</f>
        <v>18.337960964261129</v>
      </c>
      <c r="BA7" s="41">
        <f>IF(소장&lt;&gt;"손상민",F7+IF(Y7+Z7&gt;0,N7+M7,0),F7)</f>
        <v>1205</v>
      </c>
      <c r="BB7" s="42">
        <f>MAX(C7,D7)+MAX(G7,H7)+AA7-1.2*$AJ$3+IF(BI7=0,MAX(AE7,AC7),0)+IF(Y7=0,1.2,0)+IF(Z7=0,1.2,0)+IF(소장&lt;&gt;"손상민", Y7+Z7,IF('와이드(실측)'!U7=0,0,2.4))</f>
        <v>814.60000000000014</v>
      </c>
      <c r="BC7" s="41">
        <f>S7+O7+MAX(I7,J7)+AB7-1.2*$AL$3+IF(BI7=0,MAX(AD7,AC7),0)+IF(S7=0,1.2,0)-IF(AR7=90,2.4,0)</f>
        <v>452.39999999999992</v>
      </c>
      <c r="BD7" s="41">
        <f>MAX(U7,V7)+AG7</f>
        <v>2541.1999999999998</v>
      </c>
      <c r="BE7" s="41">
        <f>T7+P7+MAX(K7,L7)+AB7-1.2*$AL$3+IF(BI7=0,MAX(AE7,AF7),0)+IF(T7=0,1.2,0)-IF(AR7=90,2.4,0)</f>
        <v>455.39999999999992</v>
      </c>
      <c r="BF7" s="41">
        <f>MAX(W7,X7)+AH7</f>
        <v>2541.1999999999998</v>
      </c>
      <c r="BG7" s="6">
        <f t="shared" ref="BG7" si="4">I7-G7-Q7</f>
        <v>5.5999999999999979</v>
      </c>
      <c r="BH7" s="43" t="str">
        <f>IF(AND(C7&lt;&gt;D7,Y7&gt;0),"NG","")</f>
        <v/>
      </c>
      <c r="BI7" s="77">
        <f>IF(AND(MIN(AC7,AE7)&gt;=9.2,ABS(F7-E7)&gt;15),0,1)</f>
        <v>0</v>
      </c>
    </row>
    <row r="8" spans="1:61" ht="26.25" customHeight="1" x14ac:dyDescent="0.3">
      <c r="A8" s="31" t="str">
        <f>'와이드(실측)'!A8</f>
        <v>3</v>
      </c>
      <c r="B8" s="31" t="str">
        <f>'와이드(실측)'!B8&amp;"F"</f>
        <v>4F</v>
      </c>
      <c r="C8" s="31">
        <f>'와이드(실측)'!C8+와이드MH더함-IF(AND(소장="추영덕",Y8=0),1.2)</f>
        <v>454.2</v>
      </c>
      <c r="D8" s="31">
        <f>'와이드(실측)'!D8+와이드MH더함-IF(AND(소장="추영덕",Y8=0),1.2)</f>
        <v>454.2</v>
      </c>
      <c r="E8" s="135">
        <f>'와이드(실측)'!E8-와이드OP</f>
        <v>1097</v>
      </c>
      <c r="F8" s="31">
        <f>'와이드(실측)'!F8-와이드R</f>
        <v>1205</v>
      </c>
      <c r="G8" s="50">
        <f>'와이드(실측)'!G8+와이드JBJD키움치수+IF(BI8=1,AC8,0)</f>
        <v>272.2</v>
      </c>
      <c r="H8" s="50">
        <f>'와이드(실측)'!H8+와이드JBJD키움치수+IF(BI8=1,AE8,0)</f>
        <v>272.2</v>
      </c>
      <c r="I8" s="50">
        <f>'와이드(실측)'!I8+MAX(AS8,AT8)+와이드JBJD키움치수+IF(BI8=1,AC8,0)</f>
        <v>293.2</v>
      </c>
      <c r="J8" s="50">
        <f>'와이드(실측)'!I8+MAX(AS8,AT8)+와이드JBJD키움치수+IF(BI8=1,AD8,0)-IF(와이드JB하부늘치=1,'와이드(실측)'!Y8-'와이드(실측)'!Z8,0)</f>
        <v>293.2</v>
      </c>
      <c r="K8" s="50">
        <f>'와이드(실측)'!J8+MAX(AS8,AT8)+와이드JBJD키움치수+IF(BI8=1,AE8,0)</f>
        <v>293.2</v>
      </c>
      <c r="L8" s="50">
        <f>'와이드(실측)'!J8+MAX(AS8,AT8)+와이드JBJD키움치수+IF(BI8=1,AF8,0)-IF(와이드JB하부늘치=1,'와이드(실측)'!AA8-'와이드(실측)'!AB8,0)</f>
        <v>293.2</v>
      </c>
      <c r="M8" s="31">
        <f t="shared" ref="M8:M18" si="5">IF(소장="손상민",0,O8-1.5)</f>
        <v>0</v>
      </c>
      <c r="N8" s="31">
        <f t="shared" ref="N8:N18" si="6">IF(소장="손상민",0,P8-1.5)</f>
        <v>0</v>
      </c>
      <c r="O8" s="31">
        <f>IF(S8&lt;9,'와이드(실측)'!K8+1.2,IF(ISNUMBER('와이드(실측)'!K8),'와이드(실측)'!K8+와이드C값,0))</f>
        <v>38.4</v>
      </c>
      <c r="P8" s="31">
        <f>IF(T8&lt;9,'와이드(실측)'!L8+1.2,IF(ISNUMBER('와이드(실측)'!L8),'와이드(실측)'!L8+와이드C값,0))</f>
        <v>38.4</v>
      </c>
      <c r="Q8" s="32">
        <f t="shared" ref="Q8:Q18" si="7">ROUNDUP(AV8,1)</f>
        <v>15.4</v>
      </c>
      <c r="R8" s="38">
        <f t="shared" ref="R8:R18" si="8">ROUNDUP(AW8,1)</f>
        <v>15.4</v>
      </c>
      <c r="S8" s="31">
        <f>IF(ISNUMBER('와이드(실측)'!O8),'와이드(실측)'!O8+와이드제작!AS8+와이드A늘림,0)</f>
        <v>12.2</v>
      </c>
      <c r="T8" s="31">
        <f>IF(ISNUMBER('와이드(실측)'!P8),'와이드(실측)'!P8+와이드제작!AT8+와이드A늘림,0)</f>
        <v>12.2</v>
      </c>
      <c r="U8" s="31">
        <f>'와이드(실측)'!Q8-와이드기둥차감+2000</f>
        <v>2095</v>
      </c>
      <c r="V8" s="31">
        <f>'와이드(실측)'!R8-와이드기둥차감+2000</f>
        <v>2095</v>
      </c>
      <c r="W8" s="31">
        <f>'와이드(실측)'!S8-와이드기둥차감+2000</f>
        <v>2091</v>
      </c>
      <c r="X8" s="31">
        <f>'와이드(실측)'!T8-와이드기둥차감+2000</f>
        <v>2095</v>
      </c>
      <c r="Y8" s="31">
        <f>IF(소장="손상민",IF(ISNUMBER('와이드(실측)'!U8),'와이드(실측)'!U8+1.2,0),IF(ISNUMBER('와이드(실측)'!U8),'와이드(실측)'!U8+와이드U,0))</f>
        <v>0</v>
      </c>
      <c r="Z8" s="31">
        <f>IF(소장="손상민",MAX(Q8,R8)+3.2,IF(ISNUMBER('와이드(실측)'!V8),'와이드(실측)'!V8+1.5+와이드제작!Q8+1,0))</f>
        <v>18.600000000000001</v>
      </c>
      <c r="AA8" s="31">
        <f>'와이드(실측)'!W8+뒷날개치수더함</f>
        <v>14.2</v>
      </c>
      <c r="AB8" s="31">
        <f>'와이드(실측)'!X8+뒷날개치수더함</f>
        <v>26.2</v>
      </c>
      <c r="AC8" s="31">
        <f>'와이드(실측)'!Y8-와이드늘치</f>
        <v>82.2</v>
      </c>
      <c r="AD8" s="31">
        <f>IF(와이드JB하부늘치=1,AC8,'와이드(실측)'!Z8-와이드늘치)</f>
        <v>82.2</v>
      </c>
      <c r="AE8" s="31">
        <f>'와이드(실측)'!AA8-와이드늘치</f>
        <v>82.2</v>
      </c>
      <c r="AF8" s="31">
        <f>IF(와이드JB하부늘치=1,AE8,'와이드(실측)'!AB8-와이드늘치)</f>
        <v>82.2</v>
      </c>
      <c r="AG8" s="31">
        <f xml:space="preserve"> IF(소장&lt;&gt;"손상민",IF('와이드(실측)'!AC8&gt;0,'와이드(실측)'!AC8,C8-1.2),IF('와이드(실측)'!AC8&gt;0,'와이드(실측)'!AC8+1.2,C8) )</f>
        <v>451.2</v>
      </c>
      <c r="AH8" s="31">
        <f xml:space="preserve"> IF(소장&lt;&gt;"손상민",IF('와이드(실측)'!AD8&gt;0,'와이드(실측)'!AD8,D8-1.2),IF('와이드(실측)'!AD8&gt;0,'와이드(실측)'!AD8+1.2,D8))</f>
        <v>453.2</v>
      </c>
      <c r="AI8" s="51">
        <f t="shared" ref="AI8:AI18" si="9">IF(Z8&gt;0,Z8-MAX(Q8,R8),0)</f>
        <v>3.2000000000000011</v>
      </c>
      <c r="AJ8" s="31" t="str">
        <f t="shared" ref="AJ8:AJ18" si="10">BA8&amp;"*"&amp;BB8</f>
        <v>1205*821.6</v>
      </c>
      <c r="AK8" s="31" t="str">
        <f t="shared" ref="AK8:AK18" si="11">BD8&amp;"*"&amp;BC8</f>
        <v>2546.2*447.4</v>
      </c>
      <c r="AL8" s="31" t="str">
        <f t="shared" ref="AL8:AL18" si="12">BF8&amp;"*"&amp;BE8</f>
        <v>2548.2*447.4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0</v>
      </c>
      <c r="AP8" s="31">
        <f>IF('와이드(실측)'!AH8&gt;5,'와이드(실측)'!AH8+뒷날개치수더함,'와이드(실측)'!AH8)</f>
        <v>0</v>
      </c>
      <c r="AQ8" s="31">
        <f>'와이드(실측)'!AI8</f>
        <v>0</v>
      </c>
      <c r="AR8" s="31">
        <f>'와이드(실측)'!AJ8</f>
        <v>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0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0</v>
      </c>
      <c r="AU8" s="20">
        <f t="shared" ref="AU8:AU18" si="13">DEGREES(ATAN((F8-E8)/2/(H8)))</f>
        <v>11.220850768464727</v>
      </c>
      <c r="AV8" s="21">
        <f t="shared" ref="AV8:AV18" si="14">ABS(G8-COS(RADIANS(AU8))*I8)</f>
        <v>15.395307747202423</v>
      </c>
      <c r="AW8" s="21">
        <f t="shared" ref="AW8:AW18" si="15">ABS(H8-COS(RADIANS(AU8))*K8)</f>
        <v>15.395307747202423</v>
      </c>
      <c r="AX8" s="21">
        <f>'와이드(실측)'!M8+AS8</f>
        <v>0</v>
      </c>
      <c r="AY8" s="21">
        <f>'와이드(실측)'!N8+AS8</f>
        <v>0</v>
      </c>
      <c r="AZ8" s="20">
        <f t="shared" ref="AZ8:AZ18" si="16">AV8-MAX(AX8,AY8)</f>
        <v>15.395307747202423</v>
      </c>
      <c r="BA8" s="41">
        <f>IF(소장&lt;&gt;"손상민",F8+IF(Y8+Z8&gt;0,N8+M8,0),F8)</f>
        <v>1205</v>
      </c>
      <c r="BB8" s="42">
        <f>MAX(C8,D8)+MAX(G8,H8)+AA8-1.2*$AJ$3+IF(BI8=0,MAX(AE8,AC8),0)+IF(Y8=0,1.2,0)+IF(Z8=0,1.2,0)+IF(소장&lt;&gt;"손상민", Y8+Z8,IF('와이드(실측)'!U8=0,0,2.4))</f>
        <v>821.60000000000014</v>
      </c>
      <c r="BC8" s="41">
        <f t="shared" ref="BC8:BC18" si="17">S8+O8+MAX(I8,J8)+AB8-1.2*$AL$3+IF(BI8=0,MAX(AD8,AC8),0)+IF(S8=0,1.2,0)-IF(AR8=90,2.4,0)</f>
        <v>447.39999999999992</v>
      </c>
      <c r="BD8" s="41">
        <f t="shared" ref="BD8:BD18" si="18">MAX(U8,V8)+AG8</f>
        <v>2546.1999999999998</v>
      </c>
      <c r="BE8" s="41">
        <f t="shared" ref="BE8:BE18" si="19">T8+P8+MAX(K8,L8)+AB8-1.2*$AL$3+IF(BI8=0,MAX(AE8,AF8),0)+IF(T8=0,1.2,0)-IF(AR8=90,2.4,0)</f>
        <v>447.39999999999992</v>
      </c>
      <c r="BF8" s="41">
        <f t="shared" ref="BF8:BF18" si="20">MAX(W8,X8)+AH8</f>
        <v>2548.1999999999998</v>
      </c>
      <c r="BG8" s="6">
        <f t="shared" ref="BG8:BG18" si="21">I8-G8-Q8</f>
        <v>5.6</v>
      </c>
      <c r="BH8" s="43" t="str">
        <f t="shared" ref="BH8:BH18" si="22">IF(AND(C8&lt;&gt;D8,Y8&gt;0),"NG","")</f>
        <v/>
      </c>
      <c r="BI8" s="77">
        <f t="shared" ref="BI8:BI18" si="23">IF(AND(MIN(AC8,AE8)&gt;=9.2,ABS(F8-E8)&gt;15),0,1)</f>
        <v>0</v>
      </c>
    </row>
    <row r="9" spans="1:61" ht="26.25" customHeight="1" x14ac:dyDescent="0.3">
      <c r="A9" s="31" t="str">
        <f>'와이드(실측)'!A9</f>
        <v>3</v>
      </c>
      <c r="B9" s="31" t="str">
        <f>'와이드(실측)'!B9&amp;"F"</f>
        <v>3F</v>
      </c>
      <c r="C9" s="31">
        <f>'와이드(실측)'!C9+와이드MH더함-IF(AND(소장="추영덕",Y9=0),1.2)</f>
        <v>454.2</v>
      </c>
      <c r="D9" s="31">
        <f>'와이드(실측)'!D9+와이드MH더함-IF(AND(소장="추영덕",Y9=0),1.2)</f>
        <v>454.2</v>
      </c>
      <c r="E9" s="135">
        <f>'와이드(실측)'!E9-와이드OP</f>
        <v>1097</v>
      </c>
      <c r="F9" s="31">
        <f>'와이드(실측)'!F9-와이드R</f>
        <v>1205</v>
      </c>
      <c r="G9" s="50">
        <f>'와이드(실측)'!G9+와이드JBJD키움치수+IF(BI9=1,AC9,0)</f>
        <v>272.2</v>
      </c>
      <c r="H9" s="50">
        <f>'와이드(실측)'!H9+와이드JBJD키움치수+IF(BI9=1,AE9,0)</f>
        <v>272.2</v>
      </c>
      <c r="I9" s="50">
        <f>'와이드(실측)'!I9+MAX(AS9,AT9)+와이드JBJD키움치수+IF(BI9=1,AC9,0)</f>
        <v>295.2</v>
      </c>
      <c r="J9" s="50">
        <f>'와이드(실측)'!I9+MAX(AS9,AT9)+와이드JBJD키움치수+IF(BI9=1,AD9,0)-IF(와이드JB하부늘치=1,'와이드(실측)'!Y9-'와이드(실측)'!Z9,0)</f>
        <v>295.2</v>
      </c>
      <c r="K9" s="50">
        <f>'와이드(실측)'!J9+MAX(AS9,AT9)+와이드JBJD키움치수+IF(BI9=1,AE9,0)</f>
        <v>295.2</v>
      </c>
      <c r="L9" s="50">
        <f>'와이드(실측)'!J9+MAX(AS9,AT9)+와이드JBJD키움치수+IF(BI9=1,AF9,0)-IF(와이드JB하부늘치=1,'와이드(실측)'!AA9-'와이드(실측)'!AB9,0)</f>
        <v>297.2</v>
      </c>
      <c r="M9" s="31">
        <f t="shared" si="5"/>
        <v>0</v>
      </c>
      <c r="N9" s="31">
        <f t="shared" si="6"/>
        <v>0</v>
      </c>
      <c r="O9" s="31">
        <f>IF(S9&lt;9,'와이드(실측)'!K9+1.2,IF(ISNUMBER('와이드(실측)'!K9),'와이드(실측)'!K9+와이드C값,0))</f>
        <v>38.4</v>
      </c>
      <c r="P9" s="31">
        <f>IF(T9&lt;9,'와이드(실측)'!L9+1.2,IF(ISNUMBER('와이드(실측)'!L9),'와이드(실측)'!L9+와이드C값,0))</f>
        <v>38.4</v>
      </c>
      <c r="Q9" s="32">
        <f t="shared" si="7"/>
        <v>17.400000000000002</v>
      </c>
      <c r="R9" s="38">
        <f t="shared" si="8"/>
        <v>17.400000000000002</v>
      </c>
      <c r="S9" s="31">
        <f>IF(ISNUMBER('와이드(실측)'!O9),'와이드(실측)'!O9+와이드제작!AS9+와이드A늘림,0)</f>
        <v>14.2</v>
      </c>
      <c r="T9" s="31">
        <f>IF(ISNUMBER('와이드(실측)'!P9),'와이드(실측)'!P9+와이드제작!AT9+와이드A늘림,0)</f>
        <v>15.2</v>
      </c>
      <c r="U9" s="31">
        <f>'와이드(실측)'!Q9-와이드기둥차감+2000</f>
        <v>2103</v>
      </c>
      <c r="V9" s="31">
        <f>'와이드(실측)'!R9-와이드기둥차감+2000</f>
        <v>2098</v>
      </c>
      <c r="W9" s="31">
        <f>'와이드(실측)'!S9-와이드기둥차감+2000</f>
        <v>2100</v>
      </c>
      <c r="X9" s="31">
        <f>'와이드(실측)'!T9-와이드기둥차감+2000</f>
        <v>2095</v>
      </c>
      <c r="Y9" s="31">
        <f>IF(소장="손상민",IF(ISNUMBER('와이드(실측)'!U9),'와이드(실측)'!U9+1.2,0),IF(ISNUMBER('와이드(실측)'!U9),'와이드(실측)'!U9+와이드U,0))</f>
        <v>0</v>
      </c>
      <c r="Z9" s="31">
        <f>IF(소장="손상민",MAX(Q9,R9)+3.2,IF(ISNUMBER('와이드(실측)'!V9),'와이드(실측)'!V9+1.5+와이드제작!Q9+1,0))</f>
        <v>20.6</v>
      </c>
      <c r="AA9" s="31">
        <f>'와이드(실측)'!W9+뒷날개치수더함</f>
        <v>14.2</v>
      </c>
      <c r="AB9" s="31">
        <f>'와이드(실측)'!X9+뒷날개치수더함</f>
        <v>26.2</v>
      </c>
      <c r="AC9" s="31">
        <f>'와이드(실측)'!Y9-와이드늘치</f>
        <v>83.2</v>
      </c>
      <c r="AD9" s="31">
        <f>IF(와이드JB하부늘치=1,AC9,'와이드(실측)'!Z9-와이드늘치)</f>
        <v>83.2</v>
      </c>
      <c r="AE9" s="31">
        <f>'와이드(실측)'!AA9-와이드늘치</f>
        <v>81.2</v>
      </c>
      <c r="AF9" s="31">
        <f>IF(와이드JB하부늘치=1,AE9,'와이드(실측)'!AB9-와이드늘치)</f>
        <v>81.2</v>
      </c>
      <c r="AG9" s="31">
        <f xml:space="preserve"> IF(소장&lt;&gt;"손상민",IF('와이드(실측)'!AC9&gt;0,'와이드(실측)'!AC9,C9-1.2),IF('와이드(실측)'!AC9&gt;0,'와이드(실측)'!AC9+1.2,C9) )</f>
        <v>454.2</v>
      </c>
      <c r="AH9" s="31">
        <f xml:space="preserve"> IF(소장&lt;&gt;"손상민",IF('와이드(실측)'!AD9&gt;0,'와이드(실측)'!AD9,D9-1.2),IF('와이드(실측)'!AD9&gt;0,'와이드(실측)'!AD9+1.2,D9))</f>
        <v>452.2</v>
      </c>
      <c r="AI9" s="51">
        <f t="shared" si="9"/>
        <v>3.1999999999999993</v>
      </c>
      <c r="AJ9" s="31" t="str">
        <f t="shared" si="10"/>
        <v>1205*822.6</v>
      </c>
      <c r="AK9" s="31" t="str">
        <f t="shared" si="11"/>
        <v>2557.2*452.4</v>
      </c>
      <c r="AL9" s="31" t="str">
        <f t="shared" si="12"/>
        <v>2552.2*453.4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0</v>
      </c>
      <c r="AP9" s="31">
        <f>IF('와이드(실측)'!AH9&gt;5,'와이드(실측)'!AH9+뒷날개치수더함,'와이드(실측)'!AH9)</f>
        <v>0</v>
      </c>
      <c r="AQ9" s="31">
        <f>'와이드(실측)'!AI9</f>
        <v>0</v>
      </c>
      <c r="AR9" s="31">
        <f>'와이드(실측)'!AJ9</f>
        <v>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0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0</v>
      </c>
      <c r="AU9" s="20">
        <f t="shared" si="13"/>
        <v>11.220850768464727</v>
      </c>
      <c r="AV9" s="21">
        <f t="shared" si="14"/>
        <v>17.357076558574931</v>
      </c>
      <c r="AW9" s="21">
        <f t="shared" si="15"/>
        <v>17.357076558574931</v>
      </c>
      <c r="AX9" s="21">
        <f>'와이드(실측)'!M9+AS9</f>
        <v>0</v>
      </c>
      <c r="AY9" s="21">
        <f>'와이드(실측)'!N9+AS9</f>
        <v>0</v>
      </c>
      <c r="AZ9" s="20">
        <f t="shared" si="16"/>
        <v>17.357076558574931</v>
      </c>
      <c r="BA9" s="41">
        <f>IF(소장&lt;&gt;"손상민",F9+IF(Y9+Z9&gt;0,N9+M9,0),F9)</f>
        <v>1205</v>
      </c>
      <c r="BB9" s="42">
        <f>MAX(C9,D9)+MAX(G9,H9)+AA9-1.2*$AJ$3+IF(BI9=0,MAX(AE9,AC9),0)+IF(Y9=0,1.2,0)+IF(Z9=0,1.2,0)+IF(소장&lt;&gt;"손상민", Y9+Z9,IF('와이드(실측)'!U9=0,0,2.4))</f>
        <v>822.60000000000014</v>
      </c>
      <c r="BC9" s="41">
        <f t="shared" si="17"/>
        <v>452.39999999999992</v>
      </c>
      <c r="BD9" s="41">
        <f t="shared" si="18"/>
        <v>2557.1999999999998</v>
      </c>
      <c r="BE9" s="41">
        <f t="shared" si="19"/>
        <v>453.39999999999992</v>
      </c>
      <c r="BF9" s="41">
        <f t="shared" si="20"/>
        <v>2552.1999999999998</v>
      </c>
      <c r="BG9" s="6">
        <f t="shared" si="21"/>
        <v>5.5999999999999979</v>
      </c>
      <c r="BH9" s="43" t="str">
        <f t="shared" si="22"/>
        <v/>
      </c>
      <c r="BI9" s="77">
        <f t="shared" si="23"/>
        <v>0</v>
      </c>
    </row>
    <row r="10" spans="1:61" ht="26.25" customHeight="1" x14ac:dyDescent="0.3">
      <c r="A10" s="31" t="str">
        <f>'와이드(실측)'!A10</f>
        <v>3</v>
      </c>
      <c r="B10" s="31" t="str">
        <f>'와이드(실측)'!B10&amp;"F"</f>
        <v>2F</v>
      </c>
      <c r="C10" s="31">
        <f>'와이드(실측)'!C10+와이드MH더함-IF(AND(소장="추영덕",Y10=0),1.2)</f>
        <v>456.2</v>
      </c>
      <c r="D10" s="31">
        <f>'와이드(실측)'!D10+와이드MH더함-IF(AND(소장="추영덕",Y10=0),1.2)</f>
        <v>456.2</v>
      </c>
      <c r="E10" s="135">
        <f>'와이드(실측)'!E10-와이드OP</f>
        <v>1097</v>
      </c>
      <c r="F10" s="31">
        <f>'와이드(실측)'!F10-와이드R</f>
        <v>1206</v>
      </c>
      <c r="G10" s="50">
        <f>'와이드(실측)'!G10+와이드JBJD키움치수+IF(BI10=1,AC10,0)</f>
        <v>280.2</v>
      </c>
      <c r="H10" s="50">
        <f>'와이드(실측)'!H10+와이드JBJD키움치수+IF(BI10=1,AE10,0)</f>
        <v>280.2</v>
      </c>
      <c r="I10" s="50">
        <f>'와이드(실측)'!I10+MAX(AS10,AT10)+와이드JBJD키움치수+IF(BI10=1,AC10,0)</f>
        <v>299.2</v>
      </c>
      <c r="J10" s="50">
        <f>'와이드(실측)'!I10+MAX(AS10,AT10)+와이드JBJD키움치수+IF(BI10=1,AD10,0)-IF(와이드JB하부늘치=1,'와이드(실측)'!Y10-'와이드(실측)'!Z10,0)</f>
        <v>299.2</v>
      </c>
      <c r="K10" s="50">
        <f>'와이드(실측)'!J10+MAX(AS10,AT10)+와이드JBJD키움치수+IF(BI10=1,AE10,0)</f>
        <v>299.2</v>
      </c>
      <c r="L10" s="50">
        <f>'와이드(실측)'!J10+MAX(AS10,AT10)+와이드JBJD키움치수+IF(BI10=1,AF10,0)-IF(와이드JB하부늘치=1,'와이드(실측)'!AA10-'와이드(실측)'!AB10,0)</f>
        <v>301.2</v>
      </c>
      <c r="M10" s="31">
        <f t="shared" si="5"/>
        <v>0</v>
      </c>
      <c r="N10" s="31">
        <f t="shared" si="6"/>
        <v>0</v>
      </c>
      <c r="O10" s="31">
        <f>IF(S10&lt;9,'와이드(실측)'!K10+1.2,IF(ISNUMBER('와이드(실측)'!K10),'와이드(실측)'!K10+와이드C값,0))</f>
        <v>38.4</v>
      </c>
      <c r="P10" s="31">
        <f>IF(T10&lt;9,'와이드(실측)'!L10+1.2,IF(ISNUMBER('와이드(실측)'!L10),'와이드(실측)'!L10+와이드C값,0))</f>
        <v>38.4</v>
      </c>
      <c r="Q10" s="32">
        <f t="shared" si="7"/>
        <v>13.5</v>
      </c>
      <c r="R10" s="38">
        <f t="shared" si="8"/>
        <v>13.5</v>
      </c>
      <c r="S10" s="31">
        <f>IF(ISNUMBER('와이드(실측)'!O10),'와이드(실측)'!O10+와이드제작!AS10+와이드A늘림,0)</f>
        <v>18.2</v>
      </c>
      <c r="T10" s="31">
        <f>IF(ISNUMBER('와이드(실측)'!P10),'와이드(실측)'!P10+와이드제작!AT10+와이드A늘림,0)</f>
        <v>18.2</v>
      </c>
      <c r="U10" s="31">
        <f>'와이드(실측)'!Q10-와이드기둥차감+2000</f>
        <v>2097</v>
      </c>
      <c r="V10" s="31">
        <f>'와이드(실측)'!R10-와이드기둥차감+2000</f>
        <v>2094</v>
      </c>
      <c r="W10" s="31">
        <f>'와이드(실측)'!S10-와이드기둥차감+2000</f>
        <v>2096</v>
      </c>
      <c r="X10" s="31">
        <f>'와이드(실측)'!T10-와이드기둥차감+2000</f>
        <v>2094</v>
      </c>
      <c r="Y10" s="31">
        <f>IF(소장="손상민",IF(ISNUMBER('와이드(실측)'!U10),'와이드(실측)'!U10+1.2,0),IF(ISNUMBER('와이드(실측)'!U10),'와이드(실측)'!U10+와이드U,0))</f>
        <v>0</v>
      </c>
      <c r="Z10" s="31">
        <f>IF(소장="손상민",MAX(Q10,R10)+3.2,IF(ISNUMBER('와이드(실측)'!V10),'와이드(실측)'!V10+1.5+와이드제작!Q10+1,0))</f>
        <v>16.7</v>
      </c>
      <c r="AA10" s="31">
        <f>'와이드(실측)'!W10+뒷날개치수더함</f>
        <v>14.2</v>
      </c>
      <c r="AB10" s="31">
        <f>'와이드(실측)'!X10+뒷날개치수더함</f>
        <v>26.2</v>
      </c>
      <c r="AC10" s="31">
        <f>'와이드(실측)'!Y10-와이드늘치</f>
        <v>81.2</v>
      </c>
      <c r="AD10" s="31">
        <f>IF(와이드JB하부늘치=1,AC10,'와이드(실측)'!Z10-와이드늘치)</f>
        <v>81.2</v>
      </c>
      <c r="AE10" s="31">
        <f>'와이드(실측)'!AA10-와이드늘치</f>
        <v>79.2</v>
      </c>
      <c r="AF10" s="31">
        <f>IF(와이드JB하부늘치=1,AE10,'와이드(실측)'!AB10-와이드늘치)</f>
        <v>79.2</v>
      </c>
      <c r="AG10" s="31">
        <f xml:space="preserve"> IF(소장&lt;&gt;"손상민",IF('와이드(실측)'!AC10&gt;0,'와이드(실측)'!AC10,C10-1.2),IF('와이드(실측)'!AC10&gt;0,'와이드(실측)'!AC10+1.2,C10) )</f>
        <v>455.2</v>
      </c>
      <c r="AH10" s="31">
        <f xml:space="preserve"> IF(소장&lt;&gt;"손상민",IF('와이드(실측)'!AD10&gt;0,'와이드(실측)'!AD10,D10-1.2),IF('와이드(실측)'!AD10&gt;0,'와이드(실측)'!AD10+1.2,D10))</f>
        <v>455.2</v>
      </c>
      <c r="AI10" s="51">
        <f t="shared" si="9"/>
        <v>3.1999999999999993</v>
      </c>
      <c r="AJ10" s="31" t="str">
        <f t="shared" si="10"/>
        <v>1206*830.6</v>
      </c>
      <c r="AK10" s="31" t="str">
        <f t="shared" si="11"/>
        <v>2552.2*458.4</v>
      </c>
      <c r="AL10" s="31" t="str">
        <f t="shared" si="12"/>
        <v>2551.2*458.4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0</v>
      </c>
      <c r="AP10" s="31">
        <f>IF('와이드(실측)'!AH10&gt;5,'와이드(실측)'!AH10+뒷날개치수더함,'와이드(실측)'!AH10)</f>
        <v>0</v>
      </c>
      <c r="AQ10" s="31">
        <f>'와이드(실측)'!AI10</f>
        <v>0</v>
      </c>
      <c r="AR10" s="31">
        <f>'와이드(실측)'!AJ10</f>
        <v>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0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0</v>
      </c>
      <c r="AU10" s="20">
        <f t="shared" si="13"/>
        <v>11.006824685240788</v>
      </c>
      <c r="AV10" s="21">
        <f t="shared" si="14"/>
        <v>13.496051023731638</v>
      </c>
      <c r="AW10" s="21">
        <f t="shared" si="15"/>
        <v>13.496051023731638</v>
      </c>
      <c r="AX10" s="21">
        <f>'와이드(실측)'!M10+AS10</f>
        <v>0</v>
      </c>
      <c r="AY10" s="21">
        <f>'와이드(실측)'!N10+AS10</f>
        <v>0</v>
      </c>
      <c r="AZ10" s="20">
        <f t="shared" si="16"/>
        <v>13.496051023731638</v>
      </c>
      <c r="BA10" s="41">
        <f>IF(소장&lt;&gt;"손상민",F10+IF(Y10+Z10&gt;0,N10+M10,0),F10)</f>
        <v>1206</v>
      </c>
      <c r="BB10" s="42">
        <f>MAX(C10,D10)+MAX(G10,H10)+AA10-1.2*$AJ$3+IF(BI10=0,MAX(AE10,AC10),0)+IF(Y10=0,1.2,0)+IF(Z10=0,1.2,0)+IF(소장&lt;&gt;"손상민", Y10+Z10,IF('와이드(실측)'!U10=0,0,2.4))</f>
        <v>830.60000000000014</v>
      </c>
      <c r="BC10" s="41">
        <f t="shared" si="17"/>
        <v>458.39999999999992</v>
      </c>
      <c r="BD10" s="41">
        <f t="shared" si="18"/>
        <v>2552.1999999999998</v>
      </c>
      <c r="BE10" s="41">
        <f t="shared" si="19"/>
        <v>458.39999999999992</v>
      </c>
      <c r="BF10" s="41">
        <f t="shared" si="20"/>
        <v>2551.1999999999998</v>
      </c>
      <c r="BG10" s="6">
        <f t="shared" si="21"/>
        <v>5.5</v>
      </c>
      <c r="BH10" s="43" t="str">
        <f t="shared" si="22"/>
        <v/>
      </c>
      <c r="BI10" s="77">
        <f t="shared" si="23"/>
        <v>0</v>
      </c>
    </row>
    <row r="11" spans="1:61" ht="26.25" customHeight="1" x14ac:dyDescent="0.3">
      <c r="A11" s="31" t="str">
        <f>'와이드(실측)'!A11</f>
        <v>3</v>
      </c>
      <c r="B11" s="31" t="str">
        <f>'와이드(실측)'!B11&amp;"F"</f>
        <v>1F</v>
      </c>
      <c r="C11" s="31">
        <f>'와이드(실측)'!C11+와이드MH더함-IF(AND(소장="추영덕",Y11=0),1.2)</f>
        <v>450.2</v>
      </c>
      <c r="D11" s="31">
        <f>'와이드(실측)'!D11+와이드MH더함-IF(AND(소장="추영덕",Y11=0),1.2)</f>
        <v>452.2</v>
      </c>
      <c r="E11" s="135">
        <f>'와이드(실측)'!E11-와이드OP</f>
        <v>1097</v>
      </c>
      <c r="F11" s="31">
        <f>'와이드(실측)'!F11-와이드R</f>
        <v>1206</v>
      </c>
      <c r="G11" s="50">
        <f>'와이드(실측)'!G11+와이드JBJD키움치수+IF(BI11=1,AC11,0)</f>
        <v>277.2</v>
      </c>
      <c r="H11" s="50">
        <f>'와이드(실측)'!H11+와이드JBJD키움치수+IF(BI11=1,AE11,0)</f>
        <v>277.2</v>
      </c>
      <c r="I11" s="50">
        <f>'와이드(실측)'!I11+MAX(AS11,AT11)+와이드JBJD키움치수+IF(BI11=1,AC11,0)</f>
        <v>301.2</v>
      </c>
      <c r="J11" s="50">
        <f>'와이드(실측)'!I11+MAX(AS11,AT11)+와이드JBJD키움치수+IF(BI11=1,AD11,0)-IF(와이드JB하부늘치=1,'와이드(실측)'!Y11-'와이드(실측)'!Z11,0)</f>
        <v>301.2</v>
      </c>
      <c r="K11" s="50">
        <f>'와이드(실측)'!J11+MAX(AS11,AT11)+와이드JBJD키움치수+IF(BI11=1,AE11,0)</f>
        <v>301.2</v>
      </c>
      <c r="L11" s="50">
        <f>'와이드(실측)'!J11+MAX(AS11,AT11)+와이드JBJD키움치수+IF(BI11=1,AF11,0)-IF(와이드JB하부늘치=1,'와이드(실측)'!AA11-'와이드(실측)'!AB11,0)</f>
        <v>301.2</v>
      </c>
      <c r="M11" s="31">
        <f t="shared" si="5"/>
        <v>0</v>
      </c>
      <c r="N11" s="31">
        <f t="shared" si="6"/>
        <v>0</v>
      </c>
      <c r="O11" s="31">
        <f>IF(S11&lt;9,'와이드(실측)'!K11+1.2,IF(ISNUMBER('와이드(실측)'!K11),'와이드(실측)'!K11+와이드C값,0))</f>
        <v>28.2</v>
      </c>
      <c r="P11" s="31">
        <f>IF(T11&lt;9,'와이드(실측)'!L11+1.2,IF(ISNUMBER('와이드(실측)'!L11),'와이드(실측)'!L11+와이드C값,0))</f>
        <v>28.2</v>
      </c>
      <c r="Q11" s="32">
        <f t="shared" si="7"/>
        <v>18.400000000000002</v>
      </c>
      <c r="R11" s="38">
        <f t="shared" si="8"/>
        <v>18.400000000000002</v>
      </c>
      <c r="S11" s="31">
        <f>IF(ISNUMBER('와이드(실측)'!O11),'와이드(실측)'!O11+와이드제작!AS11+와이드A늘림,0)</f>
        <v>0</v>
      </c>
      <c r="T11" s="31">
        <f>IF(ISNUMBER('와이드(실측)'!P11),'와이드(실측)'!P11+와이드제작!AT11+와이드A늘림,0)</f>
        <v>0</v>
      </c>
      <c r="U11" s="31">
        <f>'와이드(실측)'!Q11-와이드기둥차감+2000</f>
        <v>2094</v>
      </c>
      <c r="V11" s="31">
        <f>'와이드(실측)'!R11-와이드기둥차감+2000</f>
        <v>2092</v>
      </c>
      <c r="W11" s="31">
        <f>'와이드(실측)'!S11-와이드기둥차감+2000</f>
        <v>2096</v>
      </c>
      <c r="X11" s="31">
        <f>'와이드(실측)'!T11-와이드기둥차감+2000</f>
        <v>2094</v>
      </c>
      <c r="Y11" s="31">
        <f>IF(소장="손상민",IF(ISNUMBER('와이드(실측)'!U11),'와이드(실측)'!U11+1.2,0),IF(ISNUMBER('와이드(실측)'!U11),'와이드(실측)'!U11+와이드U,0))</f>
        <v>0</v>
      </c>
      <c r="Z11" s="31">
        <f>IF(소장="손상민",MAX(Q11,R11)+3.2,IF(ISNUMBER('와이드(실측)'!V11),'와이드(실측)'!V11+1.5+와이드제작!Q11+1,0))</f>
        <v>21.6</v>
      </c>
      <c r="AA11" s="31">
        <f>'와이드(실측)'!W11+뒷날개치수더함</f>
        <v>14.2</v>
      </c>
      <c r="AB11" s="31">
        <f>'와이드(실측)'!X11+뒷날개치수더함</f>
        <v>26.2</v>
      </c>
      <c r="AC11" s="31">
        <f>'와이드(실측)'!Y11-와이드늘치</f>
        <v>82.2</v>
      </c>
      <c r="AD11" s="31">
        <f>IF(와이드JB하부늘치=1,AC11,'와이드(실측)'!Z11-와이드늘치)</f>
        <v>82.2</v>
      </c>
      <c r="AE11" s="31">
        <f>'와이드(실측)'!AA11-와이드늘치</f>
        <v>82.2</v>
      </c>
      <c r="AF11" s="31">
        <f>IF(와이드JB하부늘치=1,AE11,'와이드(실측)'!AB11-와이드늘치)</f>
        <v>82.2</v>
      </c>
      <c r="AG11" s="31">
        <f xml:space="preserve"> IF(소장&lt;&gt;"손상민",IF('와이드(실측)'!AC11&gt;0,'와이드(실측)'!AC11,C11-1.2),IF('와이드(실측)'!AC11&gt;0,'와이드(실측)'!AC11+1.2,C11) )</f>
        <v>447.2</v>
      </c>
      <c r="AH11" s="31">
        <f xml:space="preserve"> IF(소장&lt;&gt;"손상민",IF('와이드(실측)'!AD11&gt;0,'와이드(실측)'!AD11,D11-1.2),IF('와이드(실측)'!AD11&gt;0,'와이드(실측)'!AD11+1.2,D11))</f>
        <v>452.2</v>
      </c>
      <c r="AI11" s="51">
        <f t="shared" si="9"/>
        <v>3.1999999999999993</v>
      </c>
      <c r="AJ11" s="31" t="str">
        <f t="shared" si="10"/>
        <v>1206*824.6</v>
      </c>
      <c r="AK11" s="31" t="str">
        <f t="shared" si="11"/>
        <v>2541.2*434.2</v>
      </c>
      <c r="AL11" s="31" t="str">
        <f t="shared" si="12"/>
        <v>2548.2*434.2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0</v>
      </c>
      <c r="AP11" s="31">
        <f>IF('와이드(실측)'!AH11&gt;5,'와이드(실측)'!AH11+뒷날개치수더함,'와이드(실측)'!AH11)</f>
        <v>0</v>
      </c>
      <c r="AQ11" s="31">
        <f>'와이드(실측)'!AI11</f>
        <v>0</v>
      </c>
      <c r="AR11" s="31">
        <f>'와이드(실측)'!AJ11</f>
        <v>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0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0</v>
      </c>
      <c r="AU11" s="20">
        <f t="shared" si="13"/>
        <v>11.122990989719925</v>
      </c>
      <c r="AV11" s="21">
        <f t="shared" si="14"/>
        <v>18.342057997641803</v>
      </c>
      <c r="AW11" s="21">
        <f t="shared" si="15"/>
        <v>18.342057997641803</v>
      </c>
      <c r="AX11" s="21">
        <f>'와이드(실측)'!M11+AS11</f>
        <v>0</v>
      </c>
      <c r="AY11" s="21">
        <f>'와이드(실측)'!N11+AS11</f>
        <v>0</v>
      </c>
      <c r="AZ11" s="20">
        <f t="shared" si="16"/>
        <v>18.342057997641803</v>
      </c>
      <c r="BA11" s="41">
        <f>IF(소장&lt;&gt;"손상민",F11+IF(Y11+Z11&gt;0,N11+M11,0),F11)</f>
        <v>1206</v>
      </c>
      <c r="BB11" s="42">
        <f>MAX(C11,D11)+MAX(G11,H11)+AA11-1.2*$AJ$3+IF(BI11=0,MAX(AE11,AC11),0)+IF(Y11=0,1.2,0)+IF(Z11=0,1.2,0)+IF(소장&lt;&gt;"손상민", Y11+Z11,IF('와이드(실측)'!U11=0,0,2.4))</f>
        <v>824.60000000000014</v>
      </c>
      <c r="BC11" s="41">
        <f t="shared" si="17"/>
        <v>434.19999999999993</v>
      </c>
      <c r="BD11" s="41">
        <f t="shared" si="18"/>
        <v>2541.1999999999998</v>
      </c>
      <c r="BE11" s="41">
        <f t="shared" si="19"/>
        <v>434.19999999999993</v>
      </c>
      <c r="BF11" s="41">
        <f t="shared" si="20"/>
        <v>2548.1999999999998</v>
      </c>
      <c r="BG11" s="6">
        <f t="shared" si="21"/>
        <v>5.5999999999999979</v>
      </c>
      <c r="BH11" s="43" t="str">
        <f t="shared" si="22"/>
        <v/>
      </c>
      <c r="BI11" s="77">
        <f t="shared" si="23"/>
        <v>0</v>
      </c>
    </row>
    <row r="12" spans="1:61" ht="26.25" customHeight="1" x14ac:dyDescent="0.3">
      <c r="A12" s="31" t="str">
        <f>'와이드(실측)'!A12</f>
        <v>3</v>
      </c>
      <c r="B12" s="31" t="str">
        <f>'와이드(실측)'!B12&amp;"F"</f>
        <v>B1F</v>
      </c>
      <c r="C12" s="31">
        <f>'와이드(실측)'!C12+와이드MH더함-IF(AND(소장="추영덕",Y12=0),1.2)</f>
        <v>456.2</v>
      </c>
      <c r="D12" s="31">
        <f>'와이드(실측)'!D12+와이드MH더함-IF(AND(소장="추영덕",Y12=0),1.2)</f>
        <v>456.2</v>
      </c>
      <c r="E12" s="135">
        <f>'와이드(실측)'!E12-와이드OP</f>
        <v>1097</v>
      </c>
      <c r="F12" s="31">
        <f>'와이드(실측)'!F12-와이드R</f>
        <v>1217</v>
      </c>
      <c r="G12" s="50">
        <f>'와이드(실측)'!G12+와이드JBJD키움치수+IF(BI12=1,AC12,0)</f>
        <v>317.2</v>
      </c>
      <c r="H12" s="50">
        <f>'와이드(실측)'!H12+와이드JBJD키움치수+IF(BI12=1,AE12,0)</f>
        <v>317.2</v>
      </c>
      <c r="I12" s="50">
        <f>'와이드(실측)'!I12+MAX(AS12,AT12)+와이드JBJD키움치수+IF(BI12=1,AC12,0)</f>
        <v>340.2</v>
      </c>
      <c r="J12" s="50">
        <f>'와이드(실측)'!I12+MAX(AS12,AT12)+와이드JBJD키움치수+IF(BI12=1,AD12,0)-IF(와이드JB하부늘치=1,'와이드(실측)'!Y12-'와이드(실측)'!Z12,0)</f>
        <v>340.2</v>
      </c>
      <c r="K12" s="50">
        <f>'와이드(실측)'!J12+MAX(AS12,AT12)+와이드JBJD키움치수+IF(BI12=1,AE12,0)</f>
        <v>340.2</v>
      </c>
      <c r="L12" s="50">
        <f>'와이드(실측)'!J12+MAX(AS12,AT12)+와이드JBJD키움치수+IF(BI12=1,AF12,0)-IF(와이드JB하부늘치=1,'와이드(실측)'!AA12-'와이드(실측)'!AB12,0)</f>
        <v>340.2</v>
      </c>
      <c r="M12" s="31">
        <f t="shared" si="5"/>
        <v>0</v>
      </c>
      <c r="N12" s="31">
        <f t="shared" si="6"/>
        <v>0</v>
      </c>
      <c r="O12" s="31">
        <f>IF(S12&lt;9,'와이드(실측)'!K12+1.2,IF(ISNUMBER('와이드(실측)'!K12),'와이드(실측)'!K12+와이드C값,0))</f>
        <v>38.4</v>
      </c>
      <c r="P12" s="31">
        <f>IF(T12&lt;9,'와이드(실측)'!L12+1.2,IF(ISNUMBER('와이드(실측)'!L12),'와이드(실측)'!L12+와이드C값,0))</f>
        <v>38.4</v>
      </c>
      <c r="Q12" s="32">
        <f t="shared" si="7"/>
        <v>17.100000000000001</v>
      </c>
      <c r="R12" s="38">
        <f t="shared" si="8"/>
        <v>17.100000000000001</v>
      </c>
      <c r="S12" s="31">
        <f>IF(ISNUMBER('와이드(실측)'!O12),'와이드(실측)'!O12+와이드제작!AS12+와이드A늘림,0)</f>
        <v>14.2</v>
      </c>
      <c r="T12" s="31">
        <f>IF(ISNUMBER('와이드(실측)'!P12),'와이드(실측)'!P12+와이드제작!AT12+와이드A늘림,0)</f>
        <v>14.2</v>
      </c>
      <c r="U12" s="31">
        <f>'와이드(실측)'!Q12-와이드기둥차감+2000</f>
        <v>2094</v>
      </c>
      <c r="V12" s="31">
        <f>'와이드(실측)'!R12-와이드기둥차감+2000</f>
        <v>2095</v>
      </c>
      <c r="W12" s="31">
        <f>'와이드(실측)'!S12-와이드기둥차감+2000</f>
        <v>2099</v>
      </c>
      <c r="X12" s="31">
        <f>'와이드(실측)'!T12-와이드기둥차감+2000</f>
        <v>2096</v>
      </c>
      <c r="Y12" s="31">
        <f>IF(소장="손상민",IF(ISNUMBER('와이드(실측)'!U12),'와이드(실측)'!U12+1.2,0),IF(ISNUMBER('와이드(실측)'!U12),'와이드(실측)'!U12+와이드U,0))</f>
        <v>0</v>
      </c>
      <c r="Z12" s="31">
        <f>IF(소장="손상민",MAX(Q12,R12)+3.2,IF(ISNUMBER('와이드(실측)'!V12),'와이드(실측)'!V12+1.5+와이드제작!Q12+1,0))</f>
        <v>20.3</v>
      </c>
      <c r="AA12" s="31">
        <f>'와이드(실측)'!W12+뒷날개치수더함</f>
        <v>14.2</v>
      </c>
      <c r="AB12" s="31">
        <f>'와이드(실측)'!X12+뒷날개치수더함</f>
        <v>26.2</v>
      </c>
      <c r="AC12" s="31">
        <f>'와이드(실측)'!Y12-와이드늘치</f>
        <v>82.2</v>
      </c>
      <c r="AD12" s="31">
        <f>IF(와이드JB하부늘치=1,AC12,'와이드(실측)'!Z12-와이드늘치)</f>
        <v>82.2</v>
      </c>
      <c r="AE12" s="31">
        <f>'와이드(실측)'!AA12-와이드늘치</f>
        <v>81.2</v>
      </c>
      <c r="AF12" s="31">
        <f>IF(와이드JB하부늘치=1,AE12,'와이드(실측)'!AB12-와이드늘치)</f>
        <v>81.2</v>
      </c>
      <c r="AG12" s="31">
        <f xml:space="preserve"> IF(소장&lt;&gt;"손상민",IF('와이드(실측)'!AC12&gt;0,'와이드(실측)'!AC12,C12-1.2),IF('와이드(실측)'!AC12&gt;0,'와이드(실측)'!AC12+1.2,C12) )</f>
        <v>448.2</v>
      </c>
      <c r="AH12" s="31">
        <f xml:space="preserve"> IF(소장&lt;&gt;"손상민",IF('와이드(실측)'!AD12&gt;0,'와이드(실측)'!AD12,D12-1.2),IF('와이드(실측)'!AD12&gt;0,'와이드(실측)'!AD12+1.2,D12))</f>
        <v>446.2</v>
      </c>
      <c r="AI12" s="51">
        <f t="shared" si="9"/>
        <v>3.1999999999999993</v>
      </c>
      <c r="AJ12" s="31" t="str">
        <f t="shared" si="10"/>
        <v>1217*868.6</v>
      </c>
      <c r="AK12" s="31" t="str">
        <f t="shared" si="11"/>
        <v>2543.2*496.4</v>
      </c>
      <c r="AL12" s="31" t="str">
        <f t="shared" si="12"/>
        <v>2545.2*495.4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0</v>
      </c>
      <c r="AP12" s="31">
        <f>IF('와이드(실측)'!AH12&gt;5,'와이드(실측)'!AH12+뒷날개치수더함,'와이드(실측)'!AH12)</f>
        <v>0</v>
      </c>
      <c r="AQ12" s="31">
        <f>'와이드(실측)'!AI12</f>
        <v>0</v>
      </c>
      <c r="AR12" s="31">
        <f>'와이드(실측)'!AJ12</f>
        <v>0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0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0</v>
      </c>
      <c r="AU12" s="20">
        <f t="shared" si="13"/>
        <v>10.711237735058075</v>
      </c>
      <c r="AV12" s="21">
        <f t="shared" si="14"/>
        <v>17.072478295759083</v>
      </c>
      <c r="AW12" s="21">
        <f t="shared" si="15"/>
        <v>17.072478295759083</v>
      </c>
      <c r="AX12" s="21">
        <f>'와이드(실측)'!M12+AS12</f>
        <v>0</v>
      </c>
      <c r="AY12" s="21">
        <f>'와이드(실측)'!N12+AS12</f>
        <v>0</v>
      </c>
      <c r="AZ12" s="20">
        <f t="shared" si="16"/>
        <v>17.072478295759083</v>
      </c>
      <c r="BA12" s="41">
        <f>IF(소장&lt;&gt;"손상민",F12+IF(Y12+Z12&gt;0,N12+M12,0),F12)</f>
        <v>1217</v>
      </c>
      <c r="BB12" s="42">
        <f>MAX(C12,D12)+MAX(G12,H12)+AA12-1.2*$AJ$3+IF(BI12=0,MAX(AE12,AC12),0)+IF(Y12=0,1.2,0)+IF(Z12=0,1.2,0)+IF(소장&lt;&gt;"손상민", Y12+Z12,IF('와이드(실측)'!U12=0,0,2.4))</f>
        <v>868.60000000000014</v>
      </c>
      <c r="BC12" s="41">
        <f t="shared" si="17"/>
        <v>496.39999999999992</v>
      </c>
      <c r="BD12" s="41">
        <f t="shared" si="18"/>
        <v>2543.1999999999998</v>
      </c>
      <c r="BE12" s="41">
        <f t="shared" si="19"/>
        <v>495.39999999999992</v>
      </c>
      <c r="BF12" s="41">
        <f t="shared" si="20"/>
        <v>2545.1999999999998</v>
      </c>
      <c r="BG12" s="6">
        <f t="shared" si="21"/>
        <v>5.8999999999999986</v>
      </c>
      <c r="BH12" s="43" t="str">
        <f t="shared" si="22"/>
        <v/>
      </c>
      <c r="BI12" s="77">
        <f t="shared" si="23"/>
        <v>0</v>
      </c>
    </row>
    <row r="13" spans="1:61" ht="26.25" customHeight="1" x14ac:dyDescent="0.3">
      <c r="A13" s="31" t="str">
        <f>'와이드(실측)'!A13</f>
        <v>4</v>
      </c>
      <c r="B13" s="31" t="str">
        <f>'와이드(실측)'!B13&amp;"F"</f>
        <v>5F</v>
      </c>
      <c r="C13" s="31">
        <f>'와이드(실측)'!C13+와이드MH더함-IF(AND(소장="추영덕",Y13=0),1.2)</f>
        <v>443.2</v>
      </c>
      <c r="D13" s="31">
        <f>'와이드(실측)'!D13+와이드MH더함-IF(AND(소장="추영덕",Y13=0),1.2)</f>
        <v>443.2</v>
      </c>
      <c r="E13" s="135">
        <f>'와이드(실측)'!E13-와이드OP</f>
        <v>1097</v>
      </c>
      <c r="F13" s="31">
        <f>'와이드(실측)'!F13-와이드R</f>
        <v>1205</v>
      </c>
      <c r="G13" s="50">
        <f>'와이드(실측)'!G13+와이드JBJD키움치수+IF(BI13=1,AC13,0)</f>
        <v>273.2</v>
      </c>
      <c r="H13" s="50">
        <f>'와이드(실측)'!H13+와이드JBJD키움치수+IF(BI13=1,AE13,0)</f>
        <v>273.2</v>
      </c>
      <c r="I13" s="50">
        <f>'와이드(실측)'!I13+MAX(AS13,AT13)+와이드JBJD키움치수+IF(BI13=1,AC13,0)</f>
        <v>294.2</v>
      </c>
      <c r="J13" s="50">
        <f>'와이드(실측)'!I13+MAX(AS13,AT13)+와이드JBJD키움치수+IF(BI13=1,AD13,0)-IF(와이드JB하부늘치=1,'와이드(실측)'!Y13-'와이드(실측)'!Z13,0)</f>
        <v>296.2</v>
      </c>
      <c r="K13" s="50">
        <f>'와이드(실측)'!J13+MAX(AS13,AT13)+와이드JBJD키움치수+IF(BI13=1,AE13,0)</f>
        <v>294.2</v>
      </c>
      <c r="L13" s="50">
        <f>'와이드(실측)'!J13+MAX(AS13,AT13)+와이드JBJD키움치수+IF(BI13=1,AF13,0)-IF(와이드JB하부늘치=1,'와이드(실측)'!AA13-'와이드(실측)'!AB13,0)</f>
        <v>297.2</v>
      </c>
      <c r="M13" s="31">
        <f t="shared" si="5"/>
        <v>0</v>
      </c>
      <c r="N13" s="31">
        <f t="shared" si="6"/>
        <v>0</v>
      </c>
      <c r="O13" s="31">
        <f>IF(S13&lt;9,'와이드(실측)'!K13+1.2,IF(ISNUMBER('와이드(실측)'!K13),'와이드(실측)'!K13+와이드C값,0))</f>
        <v>38.4</v>
      </c>
      <c r="P13" s="31">
        <f>IF(T13&lt;9,'와이드(실측)'!L13+1.2,IF(ISNUMBER('와이드(실측)'!L13),'와이드(실측)'!L13+와이드C값,0))</f>
        <v>38.4</v>
      </c>
      <c r="Q13" s="32">
        <f t="shared" si="7"/>
        <v>15.5</v>
      </c>
      <c r="R13" s="38">
        <f t="shared" si="8"/>
        <v>15.5</v>
      </c>
      <c r="S13" s="31">
        <f>IF(ISNUMBER('와이드(실측)'!O13),'와이드(실측)'!O13+와이드제작!AS13+와이드A늘림,0)</f>
        <v>13.2</v>
      </c>
      <c r="T13" s="31">
        <f>IF(ISNUMBER('와이드(실측)'!P13),'와이드(실측)'!P13+와이드제작!AT13+와이드A늘림,0)</f>
        <v>11.2</v>
      </c>
      <c r="U13" s="31">
        <f>'와이드(실측)'!Q13-와이드기둥차감+2000</f>
        <v>2097</v>
      </c>
      <c r="V13" s="31">
        <f>'와이드(실측)'!R13-와이드기둥차감+2000</f>
        <v>2095</v>
      </c>
      <c r="W13" s="31">
        <f>'와이드(실측)'!S13-와이드기둥차감+2000</f>
        <v>2098</v>
      </c>
      <c r="X13" s="31">
        <f>'와이드(실측)'!T13-와이드기둥차감+2000</f>
        <v>2095</v>
      </c>
      <c r="Y13" s="31">
        <f>IF(소장="손상민",IF(ISNUMBER('와이드(실측)'!U13),'와이드(실측)'!U13+1.2,0),IF(ISNUMBER('와이드(실측)'!U13),'와이드(실측)'!U13+와이드U,0))</f>
        <v>0</v>
      </c>
      <c r="Z13" s="31">
        <f>IF(소장="손상민",MAX(Q13,R13)+3.2,IF(ISNUMBER('와이드(실측)'!V13),'와이드(실측)'!V13+1.5+와이드제작!Q13+1,0))</f>
        <v>18.7</v>
      </c>
      <c r="AA13" s="31">
        <f>'와이드(실측)'!W13+뒷날개치수더함</f>
        <v>14.2</v>
      </c>
      <c r="AB13" s="31">
        <f>'와이드(실측)'!X13+뒷날개치수더함</f>
        <v>26.2</v>
      </c>
      <c r="AC13" s="31">
        <f>'와이드(실측)'!Y13-와이드늘치</f>
        <v>81.2</v>
      </c>
      <c r="AD13" s="31">
        <f>IF(와이드JB하부늘치=1,AC13,'와이드(실측)'!Z13-와이드늘치)</f>
        <v>81.2</v>
      </c>
      <c r="AE13" s="31">
        <f>'와이드(실측)'!AA13-와이드늘치</f>
        <v>79.2</v>
      </c>
      <c r="AF13" s="31">
        <f>IF(와이드JB하부늘치=1,AE13,'와이드(실측)'!AB13-와이드늘치)</f>
        <v>79.2</v>
      </c>
      <c r="AG13" s="31">
        <f xml:space="preserve"> IF(소장&lt;&gt;"손상민",IF('와이드(실측)'!AC13&gt;0,'와이드(실측)'!AC13,C13-1.2),IF('와이드(실측)'!AC13&gt;0,'와이드(실측)'!AC13+1.2,C13) )</f>
        <v>441.2</v>
      </c>
      <c r="AH13" s="31">
        <f xml:space="preserve"> IF(소장&lt;&gt;"손상민",IF('와이드(실측)'!AD13&gt;0,'와이드(실측)'!AD13,D13-1.2),IF('와이드(실측)'!AD13&gt;0,'와이드(실측)'!AD13+1.2,D13))</f>
        <v>442.2</v>
      </c>
      <c r="AI13" s="51">
        <f t="shared" si="9"/>
        <v>3.1999999999999993</v>
      </c>
      <c r="AJ13" s="31" t="str">
        <f t="shared" si="10"/>
        <v>1205*810.6</v>
      </c>
      <c r="AK13" s="31" t="str">
        <f t="shared" si="11"/>
        <v>2538.2*450.4</v>
      </c>
      <c r="AL13" s="31" t="str">
        <f t="shared" si="12"/>
        <v>2540.2*447.4</v>
      </c>
      <c r="AM13" s="31">
        <f>IF('와이드(실측)'!AE13&gt;0,'와이드(실측)'!AE13-'와이드(실측)'!W13+1.2,0)</f>
        <v>0</v>
      </c>
      <c r="AN13" s="31">
        <f>IF('와이드(실측)'!AF13&gt;0,'와이드(실측)'!AF13-'와이드(실측)'!W13+1.2,0)</f>
        <v>0</v>
      </c>
      <c r="AO13" s="31">
        <f>'와이드(실측)'!AG13</f>
        <v>0</v>
      </c>
      <c r="AP13" s="31">
        <f>IF('와이드(실측)'!AH13&gt;5,'와이드(실측)'!AH13+뒷날개치수더함,'와이드(실측)'!AH13)</f>
        <v>0</v>
      </c>
      <c r="AQ13" s="31">
        <f>'와이드(실측)'!AI13</f>
        <v>0</v>
      </c>
      <c r="AR13" s="31">
        <f>'와이드(실측)'!AJ13</f>
        <v>0</v>
      </c>
      <c r="AS13">
        <f>IF(AND(ISNUMBER('와이드(실측)'!P13),ISNUMBER('와이드(실측)'!O13)),IF(ISNUMBER('와이드(실측)'!O13),IF(9-MIN('와이드(실측)'!O13+와이드A늘림,'와이드(실측)'!P13+와이드A늘림)&lt;0,0,9-MIN('와이드(실측)'!O13+와이드A늘림,'와이드(실측)'!P13+와이드A늘림)),0),IF(ISNUMBER('와이드(실측)'!O13),IF(9-'와이드(실측)'!O13-와이드A늘림&lt;0,0,9-'와이드(실측)'!O13-와이드A늘림),0))</f>
        <v>0</v>
      </c>
      <c r="AT13">
        <f>IF(AND(ISNUMBER('와이드(실측)'!O13),ISNUMBER('와이드(실측)'!P13)),IF(ISNUMBER('와이드(실측)'!P13),IF(9-MIN('와이드(실측)'!P13+와이드A늘림,'와이드(실측)'!O13+와이드A늘림)&lt;0,0,9-MIN('와이드(실측)'!P13+와이드A늘림,'와이드(실측)'!O13+와이드A늘림)),0),IF(ISNUMBER('와이드(실측)'!P13),IF(9-'와이드(실측)'!P13-와이드A늘림&lt;0,0,9-'와이드(실측)'!P13-와이드A늘림),0))</f>
        <v>0</v>
      </c>
      <c r="AU13" s="20">
        <f t="shared" si="13"/>
        <v>11.180815442980451</v>
      </c>
      <c r="AV13" s="21">
        <f t="shared" si="14"/>
        <v>15.416124176671758</v>
      </c>
      <c r="AW13" s="21">
        <f t="shared" si="15"/>
        <v>15.416124176671758</v>
      </c>
      <c r="AX13" s="21">
        <f>'와이드(실측)'!M13+AS13</f>
        <v>0</v>
      </c>
      <c r="AY13" s="21">
        <f>'와이드(실측)'!N13+AS13</f>
        <v>0</v>
      </c>
      <c r="AZ13" s="20">
        <f t="shared" si="16"/>
        <v>15.416124176671758</v>
      </c>
      <c r="BA13" s="41">
        <f>IF(소장&lt;&gt;"손상민",F13+IF(Y13+Z13&gt;0,N13+M13,0),F13)</f>
        <v>1205</v>
      </c>
      <c r="BB13" s="42">
        <f>MAX(C13,D13)+MAX(G13,H13)+AA13-1.2*$AJ$3+IF(BI13=0,MAX(AE13,AC13),0)+IF(Y13=0,1.2,0)+IF(Z13=0,1.2,0)+IF(소장&lt;&gt;"손상민", Y13+Z13,IF('와이드(실측)'!U13=0,0,2.4))</f>
        <v>810.60000000000014</v>
      </c>
      <c r="BC13" s="41">
        <f t="shared" si="17"/>
        <v>450.39999999999992</v>
      </c>
      <c r="BD13" s="41">
        <f t="shared" si="18"/>
        <v>2538.1999999999998</v>
      </c>
      <c r="BE13" s="41">
        <f t="shared" si="19"/>
        <v>447.39999999999992</v>
      </c>
      <c r="BF13" s="41">
        <f t="shared" si="20"/>
        <v>2540.1999999999998</v>
      </c>
      <c r="BG13" s="6">
        <f t="shared" si="21"/>
        <v>5.5</v>
      </c>
      <c r="BH13" s="43" t="str">
        <f t="shared" si="22"/>
        <v/>
      </c>
      <c r="BI13" s="77">
        <f t="shared" si="23"/>
        <v>0</v>
      </c>
    </row>
    <row r="14" spans="1:61" ht="26.25" customHeight="1" x14ac:dyDescent="0.3">
      <c r="A14" s="31" t="str">
        <f>'와이드(실측)'!A14</f>
        <v>4</v>
      </c>
      <c r="B14" s="31" t="str">
        <f>'와이드(실측)'!B14&amp;"F"</f>
        <v>4F</v>
      </c>
      <c r="C14" s="31">
        <f>'와이드(실측)'!C14+와이드MH더함-IF(AND(소장="추영덕",Y14=0),1.2)</f>
        <v>456.2</v>
      </c>
      <c r="D14" s="31">
        <f>'와이드(실측)'!D14+와이드MH더함-IF(AND(소장="추영덕",Y14=0),1.2)</f>
        <v>456.2</v>
      </c>
      <c r="E14" s="135">
        <f>'와이드(실측)'!E14-와이드OP</f>
        <v>1097</v>
      </c>
      <c r="F14" s="31">
        <f>'와이드(실측)'!F14-와이드R</f>
        <v>1205</v>
      </c>
      <c r="G14" s="50">
        <f>'와이드(실측)'!G14+와이드JBJD키움치수+IF(BI14=1,AC14,0)</f>
        <v>272.2</v>
      </c>
      <c r="H14" s="50">
        <f>'와이드(실측)'!H14+와이드JBJD키움치수+IF(BI14=1,AE14,0)</f>
        <v>272.2</v>
      </c>
      <c r="I14" s="50">
        <f>'와이드(실측)'!I14+MAX(AS14,AT14)+와이드JBJD키움치수+IF(BI14=1,AC14,0)</f>
        <v>295.2</v>
      </c>
      <c r="J14" s="50">
        <f>'와이드(실측)'!I14+MAX(AS14,AT14)+와이드JBJD키움치수+IF(BI14=1,AD14,0)-IF(와이드JB하부늘치=1,'와이드(실측)'!Y14-'와이드(실측)'!Z14,0)</f>
        <v>295.2</v>
      </c>
      <c r="K14" s="50">
        <f>'와이드(실측)'!J14+MAX(AS14,AT14)+와이드JBJD키움치수+IF(BI14=1,AE14,0)</f>
        <v>295.2</v>
      </c>
      <c r="L14" s="50">
        <f>'와이드(실측)'!J14+MAX(AS14,AT14)+와이드JBJD키움치수+IF(BI14=1,AF14,0)-IF(와이드JB하부늘치=1,'와이드(실측)'!AA14-'와이드(실측)'!AB14,0)</f>
        <v>297.2</v>
      </c>
      <c r="M14" s="31">
        <f t="shared" si="5"/>
        <v>0</v>
      </c>
      <c r="N14" s="31">
        <f t="shared" si="6"/>
        <v>0</v>
      </c>
      <c r="O14" s="31">
        <f>IF(S14&lt;9,'와이드(실측)'!K14+1.2,IF(ISNUMBER('와이드(실측)'!K14),'와이드(실측)'!K14+와이드C값,0))</f>
        <v>38.4</v>
      </c>
      <c r="P14" s="31">
        <f>IF(T14&lt;9,'와이드(실측)'!L14+1.2,IF(ISNUMBER('와이드(실측)'!L14),'와이드(실측)'!L14+와이드C값,0))</f>
        <v>38.4</v>
      </c>
      <c r="Q14" s="32">
        <f t="shared" si="7"/>
        <v>17.400000000000002</v>
      </c>
      <c r="R14" s="38">
        <f t="shared" si="8"/>
        <v>17.400000000000002</v>
      </c>
      <c r="S14" s="31">
        <f>IF(ISNUMBER('와이드(실측)'!O14),'와이드(실측)'!O14+와이드제작!AS14+와이드A늘림,0)</f>
        <v>12.2</v>
      </c>
      <c r="T14" s="31">
        <f>IF(ISNUMBER('와이드(실측)'!P14),'와이드(실측)'!P14+와이드제작!AT14+와이드A늘림,0)</f>
        <v>12.2</v>
      </c>
      <c r="U14" s="31">
        <f>'와이드(실측)'!Q14-와이드기둥차감+2000</f>
        <v>2097</v>
      </c>
      <c r="V14" s="31">
        <f>'와이드(실측)'!R14-와이드기둥차감+2000</f>
        <v>2095</v>
      </c>
      <c r="W14" s="31">
        <f>'와이드(실측)'!S14-와이드기둥차감+2000</f>
        <v>2093</v>
      </c>
      <c r="X14" s="31">
        <f>'와이드(실측)'!T14-와이드기둥차감+2000</f>
        <v>2095</v>
      </c>
      <c r="Y14" s="31">
        <f>IF(소장="손상민",IF(ISNUMBER('와이드(실측)'!U14),'와이드(실측)'!U14+1.2,0),IF(ISNUMBER('와이드(실측)'!U14),'와이드(실측)'!U14+와이드U,0))</f>
        <v>0</v>
      </c>
      <c r="Z14" s="31">
        <f>IF(소장="손상민",MAX(Q14,R14)+3.2,IF(ISNUMBER('와이드(실측)'!V14),'와이드(실측)'!V14+1.5+와이드제작!Q14+1,0))</f>
        <v>20.6</v>
      </c>
      <c r="AA14" s="31">
        <f>'와이드(실측)'!W14+뒷날개치수더함</f>
        <v>14.2</v>
      </c>
      <c r="AB14" s="31">
        <f>'와이드(실측)'!X14+뒷날개치수더함</f>
        <v>26.2</v>
      </c>
      <c r="AC14" s="31">
        <f>'와이드(실측)'!Y14-와이드늘치</f>
        <v>82.2</v>
      </c>
      <c r="AD14" s="31">
        <f>IF(와이드JB하부늘치=1,AC14,'와이드(실측)'!Z14-와이드늘치)</f>
        <v>82.2</v>
      </c>
      <c r="AE14" s="31">
        <f>'와이드(실측)'!AA14-와이드늘치</f>
        <v>80.2</v>
      </c>
      <c r="AF14" s="31">
        <f>IF(와이드JB하부늘치=1,AE14,'와이드(실측)'!AB14-와이드늘치)</f>
        <v>80.2</v>
      </c>
      <c r="AG14" s="31">
        <f xml:space="preserve"> IF(소장&lt;&gt;"손상민",IF('와이드(실측)'!AC14&gt;0,'와이드(실측)'!AC14,C14-1.2),IF('와이드(실측)'!AC14&gt;0,'와이드(실측)'!AC14+1.2,C14) )</f>
        <v>456.2</v>
      </c>
      <c r="AH14" s="31">
        <f xml:space="preserve"> IF(소장&lt;&gt;"손상민",IF('와이드(실측)'!AD14&gt;0,'와이드(실측)'!AD14,D14-1.2),IF('와이드(실측)'!AD14&gt;0,'와이드(실측)'!AD14+1.2,D14))</f>
        <v>456.2</v>
      </c>
      <c r="AI14" s="51">
        <f t="shared" si="9"/>
        <v>3.1999999999999993</v>
      </c>
      <c r="AJ14" s="31" t="str">
        <f t="shared" si="10"/>
        <v>1205*823.6</v>
      </c>
      <c r="AK14" s="31" t="str">
        <f t="shared" si="11"/>
        <v>2553.2*449.4</v>
      </c>
      <c r="AL14" s="31" t="str">
        <f t="shared" si="12"/>
        <v>2551.2*449.4</v>
      </c>
      <c r="AM14" s="31">
        <f>IF('와이드(실측)'!AE14&gt;0,'와이드(실측)'!AE14-'와이드(실측)'!W14+1.2,0)</f>
        <v>0</v>
      </c>
      <c r="AN14" s="31">
        <f>IF('와이드(실측)'!AF14&gt;0,'와이드(실측)'!AF14-'와이드(실측)'!W14+1.2,0)</f>
        <v>0</v>
      </c>
      <c r="AO14" s="31">
        <f>'와이드(실측)'!AG14</f>
        <v>0</v>
      </c>
      <c r="AP14" s="31">
        <f>IF('와이드(실측)'!AH14&gt;5,'와이드(실측)'!AH14+뒷날개치수더함,'와이드(실측)'!AH14)</f>
        <v>0</v>
      </c>
      <c r="AQ14" s="31">
        <f>'와이드(실측)'!AI14</f>
        <v>0</v>
      </c>
      <c r="AR14" s="31">
        <f>'와이드(실측)'!AJ14</f>
        <v>0</v>
      </c>
      <c r="AS14">
        <f>IF(AND(ISNUMBER('와이드(실측)'!P14),ISNUMBER('와이드(실측)'!O14)),IF(ISNUMBER('와이드(실측)'!O14),IF(9-MIN('와이드(실측)'!O14+와이드A늘림,'와이드(실측)'!P14+와이드A늘림)&lt;0,0,9-MIN('와이드(실측)'!O14+와이드A늘림,'와이드(실측)'!P14+와이드A늘림)),0),IF(ISNUMBER('와이드(실측)'!O14),IF(9-'와이드(실측)'!O14-와이드A늘림&lt;0,0,9-'와이드(실측)'!O14-와이드A늘림),0))</f>
        <v>0</v>
      </c>
      <c r="AT14">
        <f>IF(AND(ISNUMBER('와이드(실측)'!O14),ISNUMBER('와이드(실측)'!P14)),IF(ISNUMBER('와이드(실측)'!P14),IF(9-MIN('와이드(실측)'!P14+와이드A늘림,'와이드(실측)'!O14+와이드A늘림)&lt;0,0,9-MIN('와이드(실측)'!P14+와이드A늘림,'와이드(실측)'!O14+와이드A늘림)),0),IF(ISNUMBER('와이드(실측)'!P14),IF(9-'와이드(실측)'!P14-와이드A늘림&lt;0,0,9-'와이드(실측)'!P14-와이드A늘림),0))</f>
        <v>0</v>
      </c>
      <c r="AU14" s="20">
        <f t="shared" si="13"/>
        <v>11.220850768464727</v>
      </c>
      <c r="AV14" s="21">
        <f t="shared" si="14"/>
        <v>17.357076558574931</v>
      </c>
      <c r="AW14" s="21">
        <f t="shared" si="15"/>
        <v>17.357076558574931</v>
      </c>
      <c r="AX14" s="21">
        <f>'와이드(실측)'!M14+AS14</f>
        <v>0</v>
      </c>
      <c r="AY14" s="21">
        <f>'와이드(실측)'!N14+AS14</f>
        <v>0</v>
      </c>
      <c r="AZ14" s="20">
        <f t="shared" si="16"/>
        <v>17.357076558574931</v>
      </c>
      <c r="BA14" s="41">
        <f>IF(소장&lt;&gt;"손상민",F14+IF(Y14+Z14&gt;0,N14+M14,0),F14)</f>
        <v>1205</v>
      </c>
      <c r="BB14" s="42">
        <f>MAX(C14,D14)+MAX(G14,H14)+AA14-1.2*$AJ$3+IF(BI14=0,MAX(AE14,AC14),0)+IF(Y14=0,1.2,0)+IF(Z14=0,1.2,0)+IF(소장&lt;&gt;"손상민", Y14+Z14,IF('와이드(실측)'!U14=0,0,2.4))</f>
        <v>823.60000000000014</v>
      </c>
      <c r="BC14" s="41">
        <f t="shared" si="17"/>
        <v>449.39999999999992</v>
      </c>
      <c r="BD14" s="41">
        <f t="shared" si="18"/>
        <v>2553.1999999999998</v>
      </c>
      <c r="BE14" s="41">
        <f t="shared" si="19"/>
        <v>449.39999999999992</v>
      </c>
      <c r="BF14" s="41">
        <f t="shared" si="20"/>
        <v>2551.1999999999998</v>
      </c>
      <c r="BG14" s="6">
        <f t="shared" si="21"/>
        <v>5.5999999999999979</v>
      </c>
      <c r="BH14" s="43" t="str">
        <f t="shared" si="22"/>
        <v/>
      </c>
      <c r="BI14" s="77">
        <f t="shared" si="23"/>
        <v>0</v>
      </c>
    </row>
    <row r="15" spans="1:61" ht="26.25" customHeight="1" x14ac:dyDescent="0.3">
      <c r="A15" s="31" t="str">
        <f>'와이드(실측)'!A15</f>
        <v>4</v>
      </c>
      <c r="B15" s="31" t="str">
        <f>'와이드(실측)'!B15&amp;"F"</f>
        <v>3F</v>
      </c>
      <c r="C15" s="31">
        <f>'와이드(실측)'!C15+와이드MH더함-IF(AND(소장="추영덕",Y15=0),1.2)</f>
        <v>446.2</v>
      </c>
      <c r="D15" s="31">
        <f>'와이드(실측)'!D15+와이드MH더함-IF(AND(소장="추영덕",Y15=0),1.2)</f>
        <v>449.2</v>
      </c>
      <c r="E15" s="135">
        <f>'와이드(실측)'!E15-와이드OP</f>
        <v>1097</v>
      </c>
      <c r="F15" s="31">
        <f>'와이드(실측)'!F15-와이드R</f>
        <v>1205</v>
      </c>
      <c r="G15" s="50">
        <f>'와이드(실측)'!G15+와이드JBJD키움치수+IF(BI15=1,AC15,0)</f>
        <v>274.2</v>
      </c>
      <c r="H15" s="50">
        <f>'와이드(실측)'!H15+와이드JBJD키움치수+IF(BI15=1,AE15,0)</f>
        <v>274.2</v>
      </c>
      <c r="I15" s="50">
        <f>'와이드(실측)'!I15+MAX(AS15,AT15)+와이드JBJD키움치수+IF(BI15=1,AC15,0)</f>
        <v>297.2</v>
      </c>
      <c r="J15" s="50">
        <f>'와이드(실측)'!I15+MAX(AS15,AT15)+와이드JBJD키움치수+IF(BI15=1,AD15,0)-IF(와이드JB하부늘치=1,'와이드(실측)'!Y15-'와이드(실측)'!Z15,0)</f>
        <v>297.2</v>
      </c>
      <c r="K15" s="50">
        <f>'와이드(실측)'!J15+MAX(AS15,AT15)+와이드JBJD키움치수+IF(BI15=1,AE15,0)</f>
        <v>297.2</v>
      </c>
      <c r="L15" s="50">
        <f>'와이드(실측)'!J15+MAX(AS15,AT15)+와이드JBJD키움치수+IF(BI15=1,AF15,0)-IF(와이드JB하부늘치=1,'와이드(실측)'!AA15-'와이드(실측)'!AB15,0)</f>
        <v>300.2</v>
      </c>
      <c r="M15" s="31">
        <f t="shared" si="5"/>
        <v>0</v>
      </c>
      <c r="N15" s="31">
        <f t="shared" si="6"/>
        <v>0</v>
      </c>
      <c r="O15" s="31">
        <f>IF(S15&lt;9,'와이드(실측)'!K15+1.2,IF(ISNUMBER('와이드(실측)'!K15),'와이드(실측)'!K15+와이드C값,0))</f>
        <v>38.4</v>
      </c>
      <c r="P15" s="31">
        <f>IF(T15&lt;9,'와이드(실측)'!L15+1.2,IF(ISNUMBER('와이드(실측)'!L15),'와이드(실측)'!L15+와이드C값,0))</f>
        <v>38.4</v>
      </c>
      <c r="Q15" s="32">
        <f t="shared" si="7"/>
        <v>17.400000000000002</v>
      </c>
      <c r="R15" s="38">
        <f t="shared" si="8"/>
        <v>17.400000000000002</v>
      </c>
      <c r="S15" s="31">
        <f>IF(ISNUMBER('와이드(실측)'!O15),'와이드(실측)'!O15+와이드제작!AS15+와이드A늘림,0)</f>
        <v>14.2</v>
      </c>
      <c r="T15" s="31">
        <f>IF(ISNUMBER('와이드(실측)'!P15),'와이드(실측)'!P15+와이드제작!AT15+와이드A늘림,0)</f>
        <v>14.2</v>
      </c>
      <c r="U15" s="31">
        <f>'와이드(실측)'!Q15-와이드기둥차감+2000</f>
        <v>2102</v>
      </c>
      <c r="V15" s="31">
        <f>'와이드(실측)'!R15-와이드기둥차감+2000</f>
        <v>2099</v>
      </c>
      <c r="W15" s="31">
        <f>'와이드(실측)'!S15-와이드기둥차감+2000</f>
        <v>2103</v>
      </c>
      <c r="X15" s="31">
        <f>'와이드(실측)'!T15-와이드기둥차감+2000</f>
        <v>2098</v>
      </c>
      <c r="Y15" s="31">
        <f>IF(소장="손상민",IF(ISNUMBER('와이드(실측)'!U15),'와이드(실측)'!U15+1.2,0),IF(ISNUMBER('와이드(실측)'!U15),'와이드(실측)'!U15+와이드U,0))</f>
        <v>0</v>
      </c>
      <c r="Z15" s="31">
        <f>IF(소장="손상민",MAX(Q15,R15)+3.2,IF(ISNUMBER('와이드(실측)'!V15),'와이드(실측)'!V15+1.5+와이드제작!Q15+1,0))</f>
        <v>20.6</v>
      </c>
      <c r="AA15" s="31">
        <f>'와이드(실측)'!W15+뒷날개치수더함</f>
        <v>14.2</v>
      </c>
      <c r="AB15" s="31">
        <f>'와이드(실측)'!X15+뒷날개치수더함</f>
        <v>26.2</v>
      </c>
      <c r="AC15" s="31">
        <f>'와이드(실측)'!Y15-와이드늘치</f>
        <v>81.2</v>
      </c>
      <c r="AD15" s="31">
        <f>IF(와이드JB하부늘치=1,AC15,'와이드(실측)'!Z15-와이드늘치)</f>
        <v>81.2</v>
      </c>
      <c r="AE15" s="31">
        <f>'와이드(실측)'!AA15-와이드늘치</f>
        <v>79.2</v>
      </c>
      <c r="AF15" s="31">
        <f>IF(와이드JB하부늘치=1,AE15,'와이드(실측)'!AB15-와이드늘치)</f>
        <v>79.2</v>
      </c>
      <c r="AG15" s="31">
        <f xml:space="preserve"> IF(소장&lt;&gt;"손상민",IF('와이드(실측)'!AC15&gt;0,'와이드(실측)'!AC15,C15-1.2),IF('와이드(실측)'!AC15&gt;0,'와이드(실측)'!AC15+1.2,C15) )</f>
        <v>446.2</v>
      </c>
      <c r="AH15" s="31">
        <f xml:space="preserve"> IF(소장&lt;&gt;"손상민",IF('와이드(실측)'!AD15&gt;0,'와이드(실측)'!AD15,D15-1.2),IF('와이드(실측)'!AD15&gt;0,'와이드(실측)'!AD15+1.2,D15))</f>
        <v>447.2</v>
      </c>
      <c r="AI15" s="51">
        <f t="shared" si="9"/>
        <v>3.1999999999999993</v>
      </c>
      <c r="AJ15" s="31" t="str">
        <f t="shared" si="10"/>
        <v>1205*817.6</v>
      </c>
      <c r="AK15" s="31" t="str">
        <f t="shared" si="11"/>
        <v>2548.2*452.4</v>
      </c>
      <c r="AL15" s="31" t="str">
        <f t="shared" si="12"/>
        <v>2550.2*453.4</v>
      </c>
      <c r="AM15" s="31">
        <f>IF('와이드(실측)'!AE15&gt;0,'와이드(실측)'!AE15-'와이드(실측)'!W15+1.2,0)</f>
        <v>0</v>
      </c>
      <c r="AN15" s="31">
        <f>IF('와이드(실측)'!AF15&gt;0,'와이드(실측)'!AF15-'와이드(실측)'!W15+1.2,0)</f>
        <v>0</v>
      </c>
      <c r="AO15" s="31">
        <f>'와이드(실측)'!AG15</f>
        <v>0</v>
      </c>
      <c r="AP15" s="31">
        <f>IF('와이드(실측)'!AH15&gt;5,'와이드(실측)'!AH15+뒷날개치수더함,'와이드(실측)'!AH15)</f>
        <v>0</v>
      </c>
      <c r="AQ15" s="31">
        <f>'와이드(실측)'!AI15</f>
        <v>0</v>
      </c>
      <c r="AR15" s="31">
        <f>'와이드(실측)'!AJ15</f>
        <v>0</v>
      </c>
      <c r="AS15">
        <f>IF(AND(ISNUMBER('와이드(실측)'!P15),ISNUMBER('와이드(실측)'!O15)),IF(ISNUMBER('와이드(실측)'!O15),IF(9-MIN('와이드(실측)'!O15+와이드A늘림,'와이드(실측)'!P15+와이드A늘림)&lt;0,0,9-MIN('와이드(실측)'!O15+와이드A늘림,'와이드(실측)'!P15+와이드A늘림)),0),IF(ISNUMBER('와이드(실측)'!O15),IF(9-'와이드(실측)'!O15-와이드A늘림&lt;0,0,9-'와이드(실측)'!O15-와이드A늘림),0))</f>
        <v>0</v>
      </c>
      <c r="AT15">
        <f>IF(AND(ISNUMBER('와이드(실측)'!O15),ISNUMBER('와이드(실측)'!P15)),IF(ISNUMBER('와이드(실측)'!P15),IF(9-MIN('와이드(실측)'!P15+와이드A늘림,'와이드(실측)'!O15+와이드A늘림)&lt;0,0,9-MIN('와이드(실측)'!P15+와이드A늘림,'와이드(실측)'!O15+와이드A늘림)),0),IF(ISNUMBER('와이드(실측)'!P15),IF(9-'와이드(실측)'!P15-와이드A늘림&lt;0,0,9-'와이드(실측)'!P15-와이드A늘림),0))</f>
        <v>0</v>
      </c>
      <c r="AU15" s="20">
        <f t="shared" si="13"/>
        <v>11.141061191816478</v>
      </c>
      <c r="AV15" s="21">
        <f t="shared" si="14"/>
        <v>17.399099737089102</v>
      </c>
      <c r="AW15" s="21">
        <f t="shared" si="15"/>
        <v>17.399099737089102</v>
      </c>
      <c r="AX15" s="21">
        <f>'와이드(실측)'!M15+AS15</f>
        <v>0</v>
      </c>
      <c r="AY15" s="21">
        <f>'와이드(실측)'!N15+AS15</f>
        <v>0</v>
      </c>
      <c r="AZ15" s="20">
        <f t="shared" si="16"/>
        <v>17.399099737089102</v>
      </c>
      <c r="BA15" s="41">
        <f>IF(소장&lt;&gt;"손상민",F15+IF(Y15+Z15&gt;0,N15+M15,0),F15)</f>
        <v>1205</v>
      </c>
      <c r="BB15" s="42">
        <f>MAX(C15,D15)+MAX(G15,H15)+AA15-1.2*$AJ$3+IF(BI15=0,MAX(AE15,AC15),0)+IF(Y15=0,1.2,0)+IF(Z15=0,1.2,0)+IF(소장&lt;&gt;"손상민", Y15+Z15,IF('와이드(실측)'!U15=0,0,2.4))</f>
        <v>817.60000000000014</v>
      </c>
      <c r="BC15" s="41">
        <f t="shared" si="17"/>
        <v>452.39999999999992</v>
      </c>
      <c r="BD15" s="41">
        <f t="shared" si="18"/>
        <v>2548.1999999999998</v>
      </c>
      <c r="BE15" s="41">
        <f t="shared" si="19"/>
        <v>453.39999999999992</v>
      </c>
      <c r="BF15" s="41">
        <f t="shared" si="20"/>
        <v>2550.1999999999998</v>
      </c>
      <c r="BG15" s="6">
        <f t="shared" si="21"/>
        <v>5.5999999999999979</v>
      </c>
      <c r="BH15" s="43" t="str">
        <f t="shared" si="22"/>
        <v/>
      </c>
      <c r="BI15" s="77">
        <f t="shared" si="23"/>
        <v>0</v>
      </c>
    </row>
    <row r="16" spans="1:61" ht="26.25" customHeight="1" x14ac:dyDescent="0.3">
      <c r="A16" s="31" t="str">
        <f>'와이드(실측)'!A16</f>
        <v>4</v>
      </c>
      <c r="B16" s="31" t="str">
        <f>'와이드(실측)'!B16&amp;"F"</f>
        <v>2F</v>
      </c>
      <c r="C16" s="31">
        <f>'와이드(실측)'!C16+와이드MH더함-IF(AND(소장="추영덕",Y16=0),1.2)</f>
        <v>458.2</v>
      </c>
      <c r="D16" s="31">
        <f>'와이드(실측)'!D16+와이드MH더함-IF(AND(소장="추영덕",Y16=0),1.2)</f>
        <v>458.2</v>
      </c>
      <c r="E16" s="135">
        <f>'와이드(실측)'!E16-와이드OP</f>
        <v>1097</v>
      </c>
      <c r="F16" s="31">
        <f>'와이드(실측)'!F16-와이드R</f>
        <v>1206</v>
      </c>
      <c r="G16" s="50">
        <f>'와이드(실측)'!G16+와이드JBJD키움치수+IF(BI16=1,AC16,0)</f>
        <v>278.2</v>
      </c>
      <c r="H16" s="50">
        <f>'와이드(실측)'!H16+와이드JBJD키움치수+IF(BI16=1,AE16,0)</f>
        <v>278.2</v>
      </c>
      <c r="I16" s="50">
        <f>'와이드(실측)'!I16+MAX(AS16,AT16)+와이드JBJD키움치수+IF(BI16=1,AC16,0)</f>
        <v>300.2</v>
      </c>
      <c r="J16" s="50">
        <f>'와이드(실측)'!I16+MAX(AS16,AT16)+와이드JBJD키움치수+IF(BI16=1,AD16,0)-IF(와이드JB하부늘치=1,'와이드(실측)'!Y16-'와이드(실측)'!Z16,0)</f>
        <v>298.2</v>
      </c>
      <c r="K16" s="50">
        <f>'와이드(실측)'!J16+MAX(AS16,AT16)+와이드JBJD키움치수+IF(BI16=1,AE16,0)</f>
        <v>300.2</v>
      </c>
      <c r="L16" s="50">
        <f>'와이드(실측)'!J16+MAX(AS16,AT16)+와이드JBJD키움치수+IF(BI16=1,AF16,0)-IF(와이드JB하부늘치=1,'와이드(실측)'!AA16-'와이드(실측)'!AB16,0)</f>
        <v>298.2</v>
      </c>
      <c r="M16" s="31">
        <f t="shared" si="5"/>
        <v>0</v>
      </c>
      <c r="N16" s="31">
        <f t="shared" si="6"/>
        <v>0</v>
      </c>
      <c r="O16" s="31">
        <f>IF(S16&lt;9,'와이드(실측)'!K16+1.2,IF(ISNUMBER('와이드(실측)'!K16),'와이드(실측)'!K16+와이드C값,0))</f>
        <v>38.4</v>
      </c>
      <c r="P16" s="31">
        <f>IF(T16&lt;9,'와이드(실측)'!L16+1.2,IF(ISNUMBER('와이드(실측)'!L16),'와이드(실측)'!L16+와이드C값,0))</f>
        <v>38.4</v>
      </c>
      <c r="Q16" s="32">
        <f t="shared" si="7"/>
        <v>16.5</v>
      </c>
      <c r="R16" s="38">
        <f t="shared" si="8"/>
        <v>16.5</v>
      </c>
      <c r="S16" s="31">
        <f>IF(ISNUMBER('와이드(실측)'!O16),'와이드(실측)'!O16+와이드제작!AS16+와이드A늘림,0)</f>
        <v>17.2</v>
      </c>
      <c r="T16" s="31">
        <f>IF(ISNUMBER('와이드(실측)'!P16),'와이드(실측)'!P16+와이드제작!AT16+와이드A늘림,0)</f>
        <v>18.2</v>
      </c>
      <c r="U16" s="31">
        <f>'와이드(실측)'!Q16-와이드기둥차감+2000</f>
        <v>2097</v>
      </c>
      <c r="V16" s="31">
        <f>'와이드(실측)'!R16-와이드기둥차감+2000</f>
        <v>2095</v>
      </c>
      <c r="W16" s="31">
        <f>'와이드(실측)'!S16-와이드기둥차감+2000</f>
        <v>2100</v>
      </c>
      <c r="X16" s="31">
        <f>'와이드(실측)'!T16-와이드기둥차감+2000</f>
        <v>2096</v>
      </c>
      <c r="Y16" s="31">
        <f>IF(소장="손상민",IF(ISNUMBER('와이드(실측)'!U16),'와이드(실측)'!U16+1.2,0),IF(ISNUMBER('와이드(실측)'!U16),'와이드(실측)'!U16+와이드U,0))</f>
        <v>0</v>
      </c>
      <c r="Z16" s="31">
        <f>IF(소장="손상민",MAX(Q16,R16)+3.2,IF(ISNUMBER('와이드(실측)'!V16),'와이드(실측)'!V16+1.5+와이드제작!Q16+1,0))</f>
        <v>19.7</v>
      </c>
      <c r="AA16" s="31">
        <f>'와이드(실측)'!W16+뒷날개치수더함</f>
        <v>14.2</v>
      </c>
      <c r="AB16" s="31">
        <f>'와이드(실측)'!X16+뒷날개치수더함</f>
        <v>26.2</v>
      </c>
      <c r="AC16" s="31">
        <f>'와이드(실측)'!Y16-와이드늘치</f>
        <v>84.2</v>
      </c>
      <c r="AD16" s="31">
        <f>IF(와이드JB하부늘치=1,AC16,'와이드(실측)'!Z16-와이드늘치)</f>
        <v>84.2</v>
      </c>
      <c r="AE16" s="31">
        <f>'와이드(실측)'!AA16-와이드늘치</f>
        <v>84.2</v>
      </c>
      <c r="AF16" s="31">
        <f>IF(와이드JB하부늘치=1,AE16,'와이드(실측)'!AB16-와이드늘치)</f>
        <v>84.2</v>
      </c>
      <c r="AG16" s="31">
        <f xml:space="preserve"> IF(소장&lt;&gt;"손상민",IF('와이드(실측)'!AC16&gt;0,'와이드(실측)'!AC16,C16-1.2),IF('와이드(실측)'!AC16&gt;0,'와이드(실측)'!AC16+1.2,C16) )</f>
        <v>458.2</v>
      </c>
      <c r="AH16" s="31">
        <f xml:space="preserve"> IF(소장&lt;&gt;"손상민",IF('와이드(실측)'!AD16&gt;0,'와이드(실측)'!AD16,D16-1.2),IF('와이드(실측)'!AD16&gt;0,'와이드(실측)'!AD16+1.2,D16))</f>
        <v>456.2</v>
      </c>
      <c r="AI16" s="51">
        <f t="shared" si="9"/>
        <v>3.1999999999999993</v>
      </c>
      <c r="AJ16" s="31" t="str">
        <f t="shared" si="10"/>
        <v>1206*833.6</v>
      </c>
      <c r="AK16" s="31" t="str">
        <f t="shared" si="11"/>
        <v>2555.2*461.4</v>
      </c>
      <c r="AL16" s="31" t="str">
        <f t="shared" si="12"/>
        <v>2556.2*462.4</v>
      </c>
      <c r="AM16" s="31">
        <f>IF('와이드(실측)'!AE16&gt;0,'와이드(실측)'!AE16-'와이드(실측)'!W16+1.2,0)</f>
        <v>0</v>
      </c>
      <c r="AN16" s="31">
        <f>IF('와이드(실측)'!AF16&gt;0,'와이드(실측)'!AF16-'와이드(실측)'!W16+1.2,0)</f>
        <v>0</v>
      </c>
      <c r="AO16" s="31">
        <f>'와이드(실측)'!AG16</f>
        <v>0</v>
      </c>
      <c r="AP16" s="31">
        <f>IF('와이드(실측)'!AH16&gt;5,'와이드(실측)'!AH16+뒷날개치수더함,'와이드(실측)'!AH16)</f>
        <v>0</v>
      </c>
      <c r="AQ16" s="31">
        <f>'와이드(실측)'!AI16</f>
        <v>0</v>
      </c>
      <c r="AR16" s="31">
        <f>'와이드(실측)'!AJ16</f>
        <v>0</v>
      </c>
      <c r="AS16">
        <f>IF(AND(ISNUMBER('와이드(실측)'!P16),ISNUMBER('와이드(실측)'!O16)),IF(ISNUMBER('와이드(실측)'!O16),IF(9-MIN('와이드(실측)'!O16+와이드A늘림,'와이드(실측)'!P16+와이드A늘림)&lt;0,0,9-MIN('와이드(실측)'!O16+와이드A늘림,'와이드(실측)'!P16+와이드A늘림)),0),IF(ISNUMBER('와이드(실측)'!O16),IF(9-'와이드(실측)'!O16-와이드A늘림&lt;0,0,9-'와이드(실측)'!O16-와이드A늘림),0))</f>
        <v>0</v>
      </c>
      <c r="AT16">
        <f>IF(AND(ISNUMBER('와이드(실측)'!O16),ISNUMBER('와이드(실측)'!P16)),IF(ISNUMBER('와이드(실측)'!P16),IF(9-MIN('와이드(실측)'!P16+와이드A늘림,'와이드(실측)'!O16+와이드A늘림)&lt;0,0,9-MIN('와이드(실측)'!P16+와이드A늘림,'와이드(실측)'!O16+와이드A늘림)),0),IF(ISNUMBER('와이드(실측)'!P16),IF(9-'와이드(실측)'!P16-와이드A늘림&lt;0,0,9-'와이드(실측)'!P16-와이드A늘림),0))</f>
        <v>0</v>
      </c>
      <c r="AU16" s="20">
        <f t="shared" si="13"/>
        <v>11.084000789134482</v>
      </c>
      <c r="AV16" s="21">
        <f t="shared" si="14"/>
        <v>16.400184884254884</v>
      </c>
      <c r="AW16" s="21">
        <f t="shared" si="15"/>
        <v>16.400184884254884</v>
      </c>
      <c r="AX16" s="21">
        <f>'와이드(실측)'!M16+AS16</f>
        <v>0</v>
      </c>
      <c r="AY16" s="21">
        <f>'와이드(실측)'!N16+AS16</f>
        <v>0</v>
      </c>
      <c r="AZ16" s="20">
        <f t="shared" si="16"/>
        <v>16.400184884254884</v>
      </c>
      <c r="BA16" s="41">
        <f>IF(소장&lt;&gt;"손상민",F16+IF(Y16+Z16&gt;0,N16+M16,0),F16)</f>
        <v>1206</v>
      </c>
      <c r="BB16" s="42">
        <f>MAX(C16,D16)+MAX(G16,H16)+AA16-1.2*$AJ$3+IF(BI16=0,MAX(AE16,AC16),0)+IF(Y16=0,1.2,0)+IF(Z16=0,1.2,0)+IF(소장&lt;&gt;"손상민", Y16+Z16,IF('와이드(실측)'!U16=0,0,2.4))</f>
        <v>833.60000000000014</v>
      </c>
      <c r="BC16" s="41">
        <f t="shared" si="17"/>
        <v>461.39999999999992</v>
      </c>
      <c r="BD16" s="41">
        <f t="shared" si="18"/>
        <v>2555.1999999999998</v>
      </c>
      <c r="BE16" s="41">
        <f t="shared" si="19"/>
        <v>462.39999999999992</v>
      </c>
      <c r="BF16" s="41">
        <f t="shared" si="20"/>
        <v>2556.1999999999998</v>
      </c>
      <c r="BG16" s="6">
        <f t="shared" si="21"/>
        <v>5.5</v>
      </c>
      <c r="BH16" s="43" t="str">
        <f t="shared" si="22"/>
        <v/>
      </c>
      <c r="BI16" s="77">
        <f t="shared" si="23"/>
        <v>0</v>
      </c>
    </row>
    <row r="17" spans="1:61" ht="26.25" customHeight="1" x14ac:dyDescent="0.3">
      <c r="A17" s="31" t="str">
        <f>'와이드(실측)'!A17</f>
        <v>4</v>
      </c>
      <c r="B17" s="31" t="str">
        <f>'와이드(실측)'!B17&amp;"F"</f>
        <v>1F</v>
      </c>
      <c r="C17" s="31">
        <f>'와이드(실측)'!C17+와이드MH더함-IF(AND(소장="추영덕",Y17=0),1.2)</f>
        <v>441.2</v>
      </c>
      <c r="D17" s="31">
        <f>'와이드(실측)'!D17+와이드MH더함-IF(AND(소장="추영덕",Y17=0),1.2)</f>
        <v>451.2</v>
      </c>
      <c r="E17" s="135">
        <f>'와이드(실측)'!E17-와이드OP</f>
        <v>1097</v>
      </c>
      <c r="F17" s="31">
        <f>'와이드(실측)'!F17-와이드R</f>
        <v>1206</v>
      </c>
      <c r="G17" s="50">
        <f>'와이드(실측)'!G17+와이드JBJD키움치수+IF(BI17=1,AC17,0)</f>
        <v>280.2</v>
      </c>
      <c r="H17" s="50">
        <f>'와이드(실측)'!H17+와이드JBJD키움치수+IF(BI17=1,AE17,0)</f>
        <v>280.2</v>
      </c>
      <c r="I17" s="50">
        <f>'와이드(실측)'!I17+MAX(AS17,AT17)+와이드JBJD키움치수+IF(BI17=1,AC17,0)</f>
        <v>301.2</v>
      </c>
      <c r="J17" s="50">
        <f>'와이드(실측)'!I17+MAX(AS17,AT17)+와이드JBJD키움치수+IF(BI17=1,AD17,0)-IF(와이드JB하부늘치=1,'와이드(실측)'!Y17-'와이드(실측)'!Z17,0)</f>
        <v>301.2</v>
      </c>
      <c r="K17" s="50">
        <f>'와이드(실측)'!J17+MAX(AS17,AT17)+와이드JBJD키움치수+IF(BI17=1,AE17,0)</f>
        <v>301.2</v>
      </c>
      <c r="L17" s="50">
        <f>'와이드(실측)'!J17+MAX(AS17,AT17)+와이드JBJD키움치수+IF(BI17=1,AF17,0)-IF(와이드JB하부늘치=1,'와이드(실측)'!AA17-'와이드(실측)'!AB17,0)</f>
        <v>305.2</v>
      </c>
      <c r="M17" s="31">
        <f t="shared" si="5"/>
        <v>0</v>
      </c>
      <c r="N17" s="31">
        <f t="shared" si="6"/>
        <v>0</v>
      </c>
      <c r="O17" s="31">
        <f>IF(S17&lt;9,'와이드(실측)'!K17+1.2,IF(ISNUMBER('와이드(실측)'!K17),'와이드(실측)'!K17+와이드C값,0))</f>
        <v>26.2</v>
      </c>
      <c r="P17" s="31">
        <f>IF(T17&lt;9,'와이드(실측)'!L17+1.2,IF(ISNUMBER('와이드(실측)'!L17),'와이드(실측)'!L17+와이드C값,0))</f>
        <v>27.2</v>
      </c>
      <c r="Q17" s="32">
        <f t="shared" si="7"/>
        <v>15.5</v>
      </c>
      <c r="R17" s="38">
        <f t="shared" si="8"/>
        <v>15.5</v>
      </c>
      <c r="S17" s="31">
        <f>IF(ISNUMBER('와이드(실측)'!O17),'와이드(실측)'!O17+와이드제작!AS17+와이드A늘림,0)</f>
        <v>0</v>
      </c>
      <c r="T17" s="31">
        <f>IF(ISNUMBER('와이드(실측)'!P17),'와이드(실측)'!P17+와이드제작!AT17+와이드A늘림,0)</f>
        <v>0</v>
      </c>
      <c r="U17" s="31">
        <f>'와이드(실측)'!Q17-와이드기둥차감+2000</f>
        <v>2097</v>
      </c>
      <c r="V17" s="31">
        <f>'와이드(실측)'!R17-와이드기둥차감+2000</f>
        <v>2093</v>
      </c>
      <c r="W17" s="31">
        <f>'와이드(실측)'!S17-와이드기둥차감+2000</f>
        <v>2099</v>
      </c>
      <c r="X17" s="31">
        <f>'와이드(실측)'!T17-와이드기둥차감+2000</f>
        <v>2095</v>
      </c>
      <c r="Y17" s="31">
        <f>IF(소장="손상민",IF(ISNUMBER('와이드(실측)'!U17),'와이드(실측)'!U17+1.2,0),IF(ISNUMBER('와이드(실측)'!U17),'와이드(실측)'!U17+와이드U,0))</f>
        <v>0</v>
      </c>
      <c r="Z17" s="31">
        <f>IF(소장="손상민",MAX(Q17,R17)+3.2,IF(ISNUMBER('와이드(실측)'!V17),'와이드(실측)'!V17+1.5+와이드제작!Q17+1,0))</f>
        <v>18.7</v>
      </c>
      <c r="AA17" s="31">
        <f>'와이드(실측)'!W17+뒷날개치수더함</f>
        <v>14.2</v>
      </c>
      <c r="AB17" s="31">
        <f>'와이드(실측)'!X17+뒷날개치수더함</f>
        <v>26.2</v>
      </c>
      <c r="AC17" s="31">
        <f>'와이드(실측)'!Y17-와이드늘치</f>
        <v>81.2</v>
      </c>
      <c r="AD17" s="31">
        <f>IF(와이드JB하부늘치=1,AC17,'와이드(실측)'!Z17-와이드늘치)</f>
        <v>81.2</v>
      </c>
      <c r="AE17" s="31">
        <f>'와이드(실측)'!AA17-와이드늘치</f>
        <v>79.2</v>
      </c>
      <c r="AF17" s="31">
        <f>IF(와이드JB하부늘치=1,AE17,'와이드(실측)'!AB17-와이드늘치)</f>
        <v>79.2</v>
      </c>
      <c r="AG17" s="31">
        <f xml:space="preserve"> IF(소장&lt;&gt;"손상민",IF('와이드(실측)'!AC17&gt;0,'와이드(실측)'!AC17,C17-1.2),IF('와이드(실측)'!AC17&gt;0,'와이드(실측)'!AC17+1.2,C17) )</f>
        <v>441.2</v>
      </c>
      <c r="AH17" s="31">
        <f xml:space="preserve"> IF(소장&lt;&gt;"손상민",IF('와이드(실측)'!AD17&gt;0,'와이드(실측)'!AD17,D17-1.2),IF('와이드(실측)'!AD17&gt;0,'와이드(실측)'!AD17+1.2,D17))</f>
        <v>451.2</v>
      </c>
      <c r="AI17" s="51">
        <f t="shared" si="9"/>
        <v>3.1999999999999993</v>
      </c>
      <c r="AJ17" s="31" t="str">
        <f t="shared" si="10"/>
        <v>1206*825.6</v>
      </c>
      <c r="AK17" s="31" t="str">
        <f t="shared" si="11"/>
        <v>2538.2*431.2</v>
      </c>
      <c r="AL17" s="31" t="str">
        <f t="shared" si="12"/>
        <v>2550.2*434.2</v>
      </c>
      <c r="AM17" s="31">
        <f>IF('와이드(실측)'!AE17&gt;0,'와이드(실측)'!AE17-'와이드(실측)'!W17+1.2,0)</f>
        <v>0</v>
      </c>
      <c r="AN17" s="31">
        <f>IF('와이드(실측)'!AF17&gt;0,'와이드(실측)'!AF17-'와이드(실측)'!W17+1.2,0)</f>
        <v>0</v>
      </c>
      <c r="AO17" s="31">
        <f>'와이드(실측)'!AG17</f>
        <v>0</v>
      </c>
      <c r="AP17" s="31">
        <f>IF('와이드(실측)'!AH17&gt;5,'와이드(실측)'!AH17+뒷날개치수더함,'와이드(실측)'!AH17)</f>
        <v>0</v>
      </c>
      <c r="AQ17" s="31">
        <f>'와이드(실측)'!AI17</f>
        <v>0</v>
      </c>
      <c r="AR17" s="31">
        <f>'와이드(실측)'!AJ17</f>
        <v>0</v>
      </c>
      <c r="AS17">
        <f>IF(AND(ISNUMBER('와이드(실측)'!P17),ISNUMBER('와이드(실측)'!O17)),IF(ISNUMBER('와이드(실측)'!O17),IF(9-MIN('와이드(실측)'!O17+와이드A늘림,'와이드(실측)'!P17+와이드A늘림)&lt;0,0,9-MIN('와이드(실측)'!O17+와이드A늘림,'와이드(실측)'!P17+와이드A늘림)),0),IF(ISNUMBER('와이드(실측)'!O17),IF(9-'와이드(실측)'!O17-와이드A늘림&lt;0,0,9-'와이드(실측)'!O17-와이드A늘림),0))</f>
        <v>0</v>
      </c>
      <c r="AT17">
        <f>IF(AND(ISNUMBER('와이드(실측)'!O17),ISNUMBER('와이드(실측)'!P17)),IF(ISNUMBER('와이드(실측)'!P17),IF(9-MIN('와이드(실측)'!P17+와이드A늘림,'와이드(실측)'!O17+와이드A늘림)&lt;0,0,9-MIN('와이드(실측)'!P17+와이드A늘림,'와이드(실측)'!O17+와이드A늘림)),0),IF(ISNUMBER('와이드(실측)'!P17),IF(9-'와이드(실측)'!P17-와이드A늘림&lt;0,0,9-'와이드(실측)'!P17-와이드A늘림),0))</f>
        <v>0</v>
      </c>
      <c r="AU17" s="20">
        <f t="shared" si="13"/>
        <v>11.006824685240788</v>
      </c>
      <c r="AV17" s="21">
        <f t="shared" si="14"/>
        <v>15.45925992094908</v>
      </c>
      <c r="AW17" s="21">
        <f t="shared" si="15"/>
        <v>15.45925992094908</v>
      </c>
      <c r="AX17" s="21">
        <f>'와이드(실측)'!M17+AS17</f>
        <v>0</v>
      </c>
      <c r="AY17" s="21">
        <f>'와이드(실측)'!N17+AS17</f>
        <v>0</v>
      </c>
      <c r="AZ17" s="20">
        <f t="shared" si="16"/>
        <v>15.45925992094908</v>
      </c>
      <c r="BA17" s="41">
        <f>IF(소장&lt;&gt;"손상민",F17+IF(Y17+Z17&gt;0,N17+M17,0),F17)</f>
        <v>1206</v>
      </c>
      <c r="BB17" s="42">
        <f>MAX(C17,D17)+MAX(G17,H17)+AA17-1.2*$AJ$3+IF(BI17=0,MAX(AE17,AC17),0)+IF(Y17=0,1.2,0)+IF(Z17=0,1.2,0)+IF(소장&lt;&gt;"손상민", Y17+Z17,IF('와이드(실측)'!U17=0,0,2.4))</f>
        <v>825.60000000000014</v>
      </c>
      <c r="BC17" s="41">
        <f t="shared" si="17"/>
        <v>431.19999999999993</v>
      </c>
      <c r="BD17" s="41">
        <f t="shared" si="18"/>
        <v>2538.1999999999998</v>
      </c>
      <c r="BE17" s="41">
        <f t="shared" si="19"/>
        <v>434.19999999999993</v>
      </c>
      <c r="BF17" s="41">
        <f t="shared" si="20"/>
        <v>2550.1999999999998</v>
      </c>
      <c r="BG17" s="6">
        <f t="shared" si="21"/>
        <v>5.5</v>
      </c>
      <c r="BH17" s="43" t="str">
        <f t="shared" si="22"/>
        <v/>
      </c>
      <c r="BI17" s="77">
        <f t="shared" si="23"/>
        <v>0</v>
      </c>
    </row>
    <row r="18" spans="1:61" ht="26.25" customHeight="1" x14ac:dyDescent="0.3">
      <c r="A18" s="31" t="str">
        <f>'와이드(실측)'!A18</f>
        <v>4</v>
      </c>
      <c r="B18" s="31" t="str">
        <f>'와이드(실측)'!B18&amp;"F"</f>
        <v>B1F</v>
      </c>
      <c r="C18" s="31">
        <f>'와이드(실측)'!C18+와이드MH더함-IF(AND(소장="추영덕",Y18=0),1.2)</f>
        <v>456.2</v>
      </c>
      <c r="D18" s="31">
        <f>'와이드(실측)'!D18+와이드MH더함-IF(AND(소장="추영덕",Y18=0),1.2)</f>
        <v>456.2</v>
      </c>
      <c r="E18" s="135">
        <f>'와이드(실측)'!E18-와이드OP</f>
        <v>1097</v>
      </c>
      <c r="F18" s="31">
        <f>'와이드(실측)'!F18-와이드R</f>
        <v>1218</v>
      </c>
      <c r="G18" s="50">
        <f>'와이드(실측)'!G18+와이드JBJD키움치수+IF(BI18=1,AC18,0)</f>
        <v>324.2</v>
      </c>
      <c r="H18" s="50">
        <f>'와이드(실측)'!H18+와이드JBJD키움치수+IF(BI18=1,AE18,0)</f>
        <v>324.2</v>
      </c>
      <c r="I18" s="50">
        <f>'와이드(실측)'!I18+MAX(AS18,AT18)+와이드JBJD키움치수+IF(BI18=1,AC18,0)</f>
        <v>345.2</v>
      </c>
      <c r="J18" s="50">
        <f>'와이드(실측)'!I18+MAX(AS18,AT18)+와이드JBJD키움치수+IF(BI18=1,AD18,0)-IF(와이드JB하부늘치=1,'와이드(실측)'!Y18-'와이드(실측)'!Z18,0)</f>
        <v>345.2</v>
      </c>
      <c r="K18" s="50">
        <f>'와이드(실측)'!J18+MAX(AS18,AT18)+와이드JBJD키움치수+IF(BI18=1,AE18,0)</f>
        <v>345.2</v>
      </c>
      <c r="L18" s="50">
        <f>'와이드(실측)'!J18+MAX(AS18,AT18)+와이드JBJD키움치수+IF(BI18=1,AF18,0)-IF(와이드JB하부늘치=1,'와이드(실측)'!AA18-'와이드(실측)'!AB18,0)</f>
        <v>345.2</v>
      </c>
      <c r="M18" s="31">
        <f t="shared" si="5"/>
        <v>0</v>
      </c>
      <c r="N18" s="31">
        <f t="shared" si="6"/>
        <v>0</v>
      </c>
      <c r="O18" s="31">
        <f>IF(S18&lt;9,'와이드(실측)'!K18+1.2,IF(ISNUMBER('와이드(실측)'!K18),'와이드(실측)'!K18+와이드C값,0))</f>
        <v>38.4</v>
      </c>
      <c r="P18" s="31">
        <f>IF(T18&lt;9,'와이드(실측)'!L18+1.2,IF(ISNUMBER('와이드(실측)'!L18),'와이드(실측)'!L18+와이드C값,0))</f>
        <v>38.4</v>
      </c>
      <c r="Q18" s="32">
        <f t="shared" si="7"/>
        <v>15.2</v>
      </c>
      <c r="R18" s="38">
        <f t="shared" si="8"/>
        <v>15.2</v>
      </c>
      <c r="S18" s="31">
        <f>IF(ISNUMBER('와이드(실측)'!O18),'와이드(실측)'!O18+와이드제작!AS18+와이드A늘림,0)</f>
        <v>16.2</v>
      </c>
      <c r="T18" s="31">
        <f>IF(ISNUMBER('와이드(실측)'!P18),'와이드(실측)'!P18+와이드제작!AT18+와이드A늘림,0)</f>
        <v>20.2</v>
      </c>
      <c r="U18" s="31">
        <f>'와이드(실측)'!Q18-와이드기둥차감+2000</f>
        <v>2099</v>
      </c>
      <c r="V18" s="31">
        <f>'와이드(실측)'!R18-와이드기둥차감+2000</f>
        <v>2097</v>
      </c>
      <c r="W18" s="31">
        <f>'와이드(실측)'!S18-와이드기둥차감+2000</f>
        <v>2102</v>
      </c>
      <c r="X18" s="31">
        <f>'와이드(실측)'!T18-와이드기둥차감+2000</f>
        <v>2097</v>
      </c>
      <c r="Y18" s="31">
        <f>IF(소장="손상민",IF(ISNUMBER('와이드(실측)'!U18),'와이드(실측)'!U18+1.2,0),IF(ISNUMBER('와이드(실측)'!U18),'와이드(실측)'!U18+와이드U,0))</f>
        <v>0</v>
      </c>
      <c r="Z18" s="31">
        <f>IF(소장="손상민",MAX(Q18,R18)+3.2,IF(ISNUMBER('와이드(실측)'!V18),'와이드(실측)'!V18+1.5+와이드제작!Q18+1,0))</f>
        <v>18.399999999999999</v>
      </c>
      <c r="AA18" s="31">
        <f>'와이드(실측)'!W18+뒷날개치수더함</f>
        <v>14.2</v>
      </c>
      <c r="AB18" s="31">
        <f>'와이드(실측)'!X18+뒷날개치수더함</f>
        <v>26.2</v>
      </c>
      <c r="AC18" s="31">
        <f>'와이드(실측)'!Y18-와이드늘치</f>
        <v>83.2</v>
      </c>
      <c r="AD18" s="31">
        <f>IF(와이드JB하부늘치=1,AC18,'와이드(실측)'!Z18-와이드늘치)</f>
        <v>83.2</v>
      </c>
      <c r="AE18" s="31">
        <f>'와이드(실측)'!AA18-와이드늘치</f>
        <v>81.2</v>
      </c>
      <c r="AF18" s="31">
        <f>IF(와이드JB하부늘치=1,AE18,'와이드(실측)'!AB18-와이드늘치)</f>
        <v>81.2</v>
      </c>
      <c r="AG18" s="31">
        <f xml:space="preserve"> IF(소장&lt;&gt;"손상민",IF('와이드(실측)'!AC18&gt;0,'와이드(실측)'!AC18,C18-1.2),IF('와이드(실측)'!AC18&gt;0,'와이드(실측)'!AC18+1.2,C18) )</f>
        <v>446.2</v>
      </c>
      <c r="AH18" s="31">
        <f xml:space="preserve"> IF(소장&lt;&gt;"손상민",IF('와이드(실측)'!AD18&gt;0,'와이드(실측)'!AD18,D18-1.2),IF('와이드(실측)'!AD18&gt;0,'와이드(실측)'!AD18+1.2,D18))</f>
        <v>448.2</v>
      </c>
      <c r="AI18" s="51">
        <f t="shared" si="9"/>
        <v>3.1999999999999993</v>
      </c>
      <c r="AJ18" s="31" t="str">
        <f t="shared" si="10"/>
        <v>1218*876.6</v>
      </c>
      <c r="AK18" s="31" t="str">
        <f t="shared" si="11"/>
        <v>2545.2*504.4</v>
      </c>
      <c r="AL18" s="31" t="str">
        <f t="shared" si="12"/>
        <v>2550.2*506.4</v>
      </c>
      <c r="AM18" s="31">
        <f>IF('와이드(실측)'!AE18&gt;0,'와이드(실측)'!AE18-'와이드(실측)'!W18+1.2,0)</f>
        <v>0</v>
      </c>
      <c r="AN18" s="31">
        <f>IF('와이드(실측)'!AF18&gt;0,'와이드(실측)'!AF18-'와이드(실측)'!W18+1.2,0)</f>
        <v>0</v>
      </c>
      <c r="AO18" s="31">
        <f>'와이드(실측)'!AG18</f>
        <v>0</v>
      </c>
      <c r="AP18" s="31">
        <f>IF('와이드(실측)'!AH18&gt;5,'와이드(실측)'!AH18+뒷날개치수더함,'와이드(실측)'!AH18)</f>
        <v>0</v>
      </c>
      <c r="AQ18" s="31">
        <f>'와이드(실측)'!AI18</f>
        <v>0</v>
      </c>
      <c r="AR18" s="31">
        <f>'와이드(실측)'!AJ18</f>
        <v>0</v>
      </c>
      <c r="AS18">
        <f>IF(AND(ISNUMBER('와이드(실측)'!P18),ISNUMBER('와이드(실측)'!O18)),IF(ISNUMBER('와이드(실측)'!O18),IF(9-MIN('와이드(실측)'!O18+와이드A늘림,'와이드(실측)'!P18+와이드A늘림)&lt;0,0,9-MIN('와이드(실측)'!O18+와이드A늘림,'와이드(실측)'!P18+와이드A늘림)),0),IF(ISNUMBER('와이드(실측)'!O18),IF(9-'와이드(실측)'!O18-와이드A늘림&lt;0,0,9-'와이드(실측)'!O18-와이드A늘림),0))</f>
        <v>0</v>
      </c>
      <c r="AT18">
        <f>IF(AND(ISNUMBER('와이드(실측)'!O18),ISNUMBER('와이드(실측)'!P18)),IF(ISNUMBER('와이드(실측)'!P18),IF(9-MIN('와이드(실측)'!P18+와이드A늘림,'와이드(실측)'!O18+와이드A늘림)&lt;0,0,9-MIN('와이드(실측)'!P18+와이드A늘림,'와이드(실측)'!O18+와이드A늘림)),0),IF(ISNUMBER('와이드(실측)'!P18),IF(9-'와이드(실측)'!P18-와이드A늘림&lt;0,0,9-'와이드(실측)'!P18-와이드A늘림),0))</f>
        <v>0</v>
      </c>
      <c r="AU18" s="20">
        <f t="shared" si="13"/>
        <v>10.570563220114821</v>
      </c>
      <c r="AV18" s="21">
        <f t="shared" si="14"/>
        <v>15.141862060807853</v>
      </c>
      <c r="AW18" s="21">
        <f t="shared" si="15"/>
        <v>15.141862060807853</v>
      </c>
      <c r="AX18" s="21">
        <f>'와이드(실측)'!M18+AS18</f>
        <v>0</v>
      </c>
      <c r="AY18" s="21">
        <f>'와이드(실측)'!N18+AS18</f>
        <v>0</v>
      </c>
      <c r="AZ18" s="20">
        <f t="shared" si="16"/>
        <v>15.141862060807853</v>
      </c>
      <c r="BA18" s="41">
        <f>IF(소장&lt;&gt;"손상민",F18+IF(Y18+Z18&gt;0,N18+M18,0),F18)</f>
        <v>1218</v>
      </c>
      <c r="BB18" s="42">
        <f>MAX(C18,D18)+MAX(G18,H18)+AA18-1.2*$AJ$3+IF(BI18=0,MAX(AE18,AC18),0)+IF(Y18=0,1.2,0)+IF(Z18=0,1.2,0)+IF(소장&lt;&gt;"손상민", Y18+Z18,IF('와이드(실측)'!U18=0,0,2.4))</f>
        <v>876.60000000000014</v>
      </c>
      <c r="BC18" s="41">
        <f t="shared" si="17"/>
        <v>504.39999999999992</v>
      </c>
      <c r="BD18" s="41">
        <f t="shared" si="18"/>
        <v>2545.1999999999998</v>
      </c>
      <c r="BE18" s="41">
        <f t="shared" si="19"/>
        <v>506.39999999999992</v>
      </c>
      <c r="BF18" s="41">
        <f t="shared" si="20"/>
        <v>2550.1999999999998</v>
      </c>
      <c r="BG18" s="6">
        <f t="shared" si="21"/>
        <v>5.8000000000000007</v>
      </c>
      <c r="BH18" s="43" t="str">
        <f t="shared" si="22"/>
        <v/>
      </c>
      <c r="BI18" s="77">
        <f t="shared" si="23"/>
        <v>0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18">
    <cfRule type="cellIs" dxfId="85" priority="52" operator="greaterThan">
      <formula>3</formula>
    </cfRule>
  </conditionalFormatting>
  <conditionalFormatting sqref="F7:F18">
    <cfRule type="cellIs" dxfId="84" priority="39" operator="greaterThan">
      <formula>1210</formula>
    </cfRule>
  </conditionalFormatting>
  <conditionalFormatting sqref="I7:L18 C7:D18">
    <cfRule type="cellIs" dxfId="83" priority="38" operator="greaterThan">
      <formula>500</formula>
    </cfRule>
  </conditionalFormatting>
  <conditionalFormatting sqref="C7:D18">
    <cfRule type="cellIs" dxfId="82" priority="36" operator="notEqual">
      <formula>$D7</formula>
    </cfRule>
  </conditionalFormatting>
  <conditionalFormatting sqref="D7:D18">
    <cfRule type="cellIs" dxfId="81" priority="35" operator="notEqual">
      <formula>$C7</formula>
    </cfRule>
  </conditionalFormatting>
  <conditionalFormatting sqref="AO7:AR18">
    <cfRule type="cellIs" dxfId="80" priority="17" operator="greaterThan">
      <formula>1.2</formula>
    </cfRule>
  </conditionalFormatting>
  <conditionalFormatting sqref="AO7:AO18">
    <cfRule type="cellIs" dxfId="79" priority="16" operator="greaterThan">
      <formula>0</formula>
    </cfRule>
  </conditionalFormatting>
  <conditionalFormatting sqref="G7:G18">
    <cfRule type="cellIs" dxfId="78" priority="14" operator="notEqual">
      <formula>H7</formula>
    </cfRule>
  </conditionalFormatting>
  <conditionalFormatting sqref="H7:H18">
    <cfRule type="cellIs" dxfId="77" priority="13" operator="notEqual">
      <formula>G7</formula>
    </cfRule>
  </conditionalFormatting>
  <conditionalFormatting sqref="I7:I18">
    <cfRule type="cellIs" dxfId="76" priority="12" operator="notEqual">
      <formula>J7</formula>
    </cfRule>
  </conditionalFormatting>
  <conditionalFormatting sqref="J7:J18">
    <cfRule type="cellIs" dxfId="75" priority="11" operator="notEqual">
      <formula>I7</formula>
    </cfRule>
  </conditionalFormatting>
  <conditionalFormatting sqref="K7:K18">
    <cfRule type="cellIs" dxfId="74" priority="10" operator="notEqual">
      <formula>L7</formula>
    </cfRule>
  </conditionalFormatting>
  <conditionalFormatting sqref="L7:L18">
    <cfRule type="cellIs" dxfId="73" priority="9" operator="notEqual">
      <formula>K7</formula>
    </cfRule>
  </conditionalFormatting>
  <conditionalFormatting sqref="AG7:AG18">
    <cfRule type="cellIs" dxfId="72" priority="8" operator="notEqual">
      <formula>AH7</formula>
    </cfRule>
  </conditionalFormatting>
  <conditionalFormatting sqref="AH7:AH18">
    <cfRule type="cellIs" dxfId="71" priority="7" operator="notEqual">
      <formula>AG7</formula>
    </cfRule>
  </conditionalFormatting>
  <conditionalFormatting sqref="AC7:AF18">
    <cfRule type="expression" dxfId="70" priority="6">
      <formula>$BI7</formula>
    </cfRule>
  </conditionalFormatting>
  <conditionalFormatting sqref="Y7:Y18">
    <cfRule type="expression" dxfId="69" priority="2">
      <formula>소장="손상민"</formula>
    </cfRule>
  </conditionalFormatting>
  <conditionalFormatting sqref="Z7:Z18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5" t="str">
        <f>정보!B3</f>
        <v>(멍텅구리) 실측서 ( (판매)계룡대-2차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(판매)계룡대-2차,   (재질) : HL 1.2T</v>
      </c>
      <c r="B3" s="2"/>
      <c r="C3" s="2"/>
      <c r="D3" s="2"/>
      <c r="E3" s="2"/>
      <c r="F3" s="2"/>
      <c r="G3" s="237"/>
      <c r="H3" s="237"/>
      <c r="I3" s="246"/>
      <c r="J3" s="246"/>
      <c r="K3" s="247"/>
      <c r="L3" s="247"/>
      <c r="M3" s="248"/>
      <c r="N3" s="248"/>
      <c r="O3" s="248"/>
      <c r="P3" s="243" t="s">
        <v>97</v>
      </c>
      <c r="Q3" s="243"/>
      <c r="R3" s="244"/>
      <c r="S3" s="244"/>
      <c r="T3" s="245"/>
      <c r="U3" s="245"/>
    </row>
    <row r="4" spans="1:39" ht="33" customHeight="1" x14ac:dyDescent="0.3">
      <c r="A4" s="163" t="str">
        <f>정보!B11</f>
        <v>제작치수 반영 : JB/JD +(4.4 ),  늘어난치수K -(0),  C + (4.4),  U +(4.4), OP - (0), R - (0),  기둥차감 - (0), 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 x14ac:dyDescent="0.3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8" t="s">
        <v>22</v>
      </c>
      <c r="T5" s="238" t="s">
        <v>23</v>
      </c>
      <c r="U5" s="240" t="s">
        <v>21</v>
      </c>
      <c r="V5" s="241"/>
      <c r="W5" s="241"/>
      <c r="X5" s="242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9"/>
      <c r="T6" s="239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N5:N6"/>
    <mergeCell ref="S5:S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K5:K6"/>
    <mergeCell ref="J5:J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sqref="A1:AH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65" t="str">
        <f>정보!C3</f>
        <v>(멍텅구리) 제작변환 자료( (판매)계룡대-2차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4.4000000000000004</v>
      </c>
      <c r="X2" s="255"/>
      <c r="Y2" s="251" t="s">
        <v>82</v>
      </c>
      <c r="Z2" s="252"/>
      <c r="AA2" s="253">
        <v>0</v>
      </c>
      <c r="AB2" s="253"/>
      <c r="AC2" s="98" t="s">
        <v>114</v>
      </c>
      <c r="AD2" s="250">
        <v>0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 x14ac:dyDescent="0.3">
      <c r="A3" s="33" t="str">
        <f>'멍텅(실측)'!A3</f>
        <v>현장명 : (판매)계룡대-2차,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4.4000000000000004</v>
      </c>
      <c r="K3" s="263"/>
      <c r="L3" s="251" t="s">
        <v>77</v>
      </c>
      <c r="M3" s="251"/>
      <c r="N3" s="264">
        <v>4.4000000000000004</v>
      </c>
      <c r="O3" s="264"/>
      <c r="P3" s="265" t="s">
        <v>227</v>
      </c>
      <c r="Q3" s="265"/>
      <c r="R3" s="265"/>
      <c r="S3" s="266">
        <f>AZ7</f>
        <v>1</v>
      </c>
      <c r="T3" s="266"/>
      <c r="U3" s="261" t="s">
        <v>78</v>
      </c>
      <c r="V3" s="261"/>
      <c r="W3" s="254">
        <v>1.2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326</v>
      </c>
      <c r="AG3" s="281"/>
      <c r="AH3" s="212"/>
      <c r="AI3" s="282">
        <f>AN7</f>
        <v>0</v>
      </c>
      <c r="AJ3" s="229"/>
      <c r="AK3" s="25"/>
      <c r="AL3" s="25"/>
      <c r="AM3" s="24"/>
      <c r="AR3" s="24"/>
    </row>
    <row r="4" spans="1:53" ht="33" customHeight="1" x14ac:dyDescent="0.3">
      <c r="A4" s="277" t="str">
        <f>'멍텅(실측)'!A4:Y4</f>
        <v>제작치수 반영 : JB/JD +(4.4 ),  늘어난치수K -(0),  C + (4.4),  U +(4.4), OP - (0), R - (0),  기둥차감 - (0),  A + (1.2)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312</v>
      </c>
      <c r="Z4" s="275"/>
      <c r="AA4" s="276">
        <f>'멍텅(실측)'!U7</f>
        <v>0</v>
      </c>
      <c r="AB4" s="276"/>
      <c r="AC4" s="9"/>
      <c r="AD4" s="222">
        <f ca="1">TODAY()</f>
        <v>45279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8" t="s">
        <v>62</v>
      </c>
      <c r="L5" s="238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8" t="s">
        <v>22</v>
      </c>
      <c r="X5" s="238" t="s">
        <v>23</v>
      </c>
      <c r="Y5" s="240" t="s">
        <v>21</v>
      </c>
      <c r="Z5" s="241"/>
      <c r="AA5" s="241"/>
      <c r="AB5" s="242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305</v>
      </c>
      <c r="AL5" s="177" t="s">
        <v>306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9"/>
      <c r="L6" s="239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9"/>
      <c r="X6" s="239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4.4000000000000004</v>
      </c>
      <c r="F7" s="50">
        <f>'멍텅(실측)'!F7+MAX(AK7,AL7)+IF(AZ7=1,AA7,0)+멍텅JBJD늘림치수</f>
        <v>4.4000000000000004</v>
      </c>
      <c r="G7" s="50">
        <f>'멍텅(실측)'!G7+AK7+IF(AZ7=1,Y7,0)+멍텅JB강제키움+멍텅JBJD늘림치수</f>
        <v>4.4000000000000004</v>
      </c>
      <c r="H7" s="50">
        <f>'멍텅(실측)'!G7+AK7+IF(AZ7=1,Z7,0)+멍텅JB강제키움+멍텅JBJD늘림치수-IF(멍텅JB하부늘치=1,'멍텅(실측)'!U7-'멍텅(실측)'!V7,0)</f>
        <v>4.4000000000000004</v>
      </c>
      <c r="I7" s="50">
        <f>'멍텅(실측)'!H7+AL7+IF(AZ7=1,AA7,0)+멍텅JB강제키움+멍텅JBJD늘림치수</f>
        <v>4.4000000000000004</v>
      </c>
      <c r="J7" s="50">
        <f>'멍텅(실측)'!H7+AL7+IF(AZ7=1,AB7,0)+멍텅JB강제키움+멍텅JBJD늘림치수-IF(멍텅JB하부늘치=1,'멍텅(실측)'!W7-'멍텅(실측)'!X7,0)</f>
        <v>4.4000000000000004</v>
      </c>
      <c r="K7" s="4">
        <f t="shared" ref="K7:L7" si="0">M7+IF(소장="손상민",0,-1.5)</f>
        <v>1</v>
      </c>
      <c r="L7" s="4">
        <f t="shared" si="0"/>
        <v>1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1.2</v>
      </c>
      <c r="X7" s="4">
        <f>'멍텅(실측)'!T7+뒷날개치수더함</f>
        <v>1.2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0*3.2</v>
      </c>
      <c r="AD7" s="12" t="str">
        <f t="shared" ref="AD7" si="2">AU7&amp;"*"&amp;AT7</f>
        <v>0*3</v>
      </c>
      <c r="AE7" s="10" t="str">
        <f t="shared" ref="AE7" si="3">AW7&amp;"*"&amp;AV7</f>
        <v>0*3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0</v>
      </c>
      <c r="AO7" s="36">
        <f>IF(소장="박철우",E7-COS(RADIANS(AN7))*G7+2,E7-COS(RADIANS(AN7))*G7)</f>
        <v>0</v>
      </c>
      <c r="AP7" s="36">
        <f>IF(소장="박철우",F7-COS(RADIANS(AN7))*I7+2,F7-COS(RADIANS(AN7))*I7)</f>
        <v>0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3.2000000000000011</v>
      </c>
      <c r="AT7" s="3">
        <f>O7+M7+MAX(G7,H7)+X7-1.2*$AE$3+IF(AZ7=0,MAX(Y7,Z7))+IF(O7=0,1.2,0)-IF(AH7=90,2.4,0)</f>
        <v>3.0000000000000009</v>
      </c>
      <c r="AU7" s="3">
        <f t="shared" ref="AU7" si="6">MAX(Q7,R7)</f>
        <v>0</v>
      </c>
      <c r="AV7" s="3">
        <f>P7+N7+MAX(I7,J7)+X7-1.2*$AE$3+IF(AZ7=0,MAX(AA7,AB7))+IF(P7=0,1.2,0)-IF(AH7=90,2.4,0)</f>
        <v>3.0000000000000009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topLeftCell="A5" zoomScaleNormal="100" workbookViewId="0">
      <selection activeCell="A7" sqref="A7:V35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(판매)계룡대-2차 ) _손상민소장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(판매)계룡대-2차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+(4.4 ),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8" t="s">
        <v>203</v>
      </c>
      <c r="U5" s="168"/>
      <c r="V5" s="168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60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60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60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60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60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60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60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60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60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60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60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60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60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60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60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60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60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60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60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60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60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60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60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60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60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60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60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60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34"/>
  <sheetViews>
    <sheetView zoomScale="85" zoomScaleNormal="85" workbookViewId="0">
      <selection activeCell="S9" sqref="S9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5" t="str">
        <f>정보!B1 &amp; " (쪽쟘제작치수)  " &amp; 정보!B6 &amp;" 소장"</f>
        <v>(판매)계룡대-2차 (쪽쟘제작치수)  손상민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 x14ac:dyDescent="0.3">
      <c r="A2" s="1"/>
      <c r="B2" s="1"/>
      <c r="C2" s="288" t="str">
        <f>"총 : " &amp; COUNTA(A7:A160) &amp;" (SET)"</f>
        <v>총 : 28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37" t="s">
        <v>140</v>
      </c>
      <c r="F3" s="237"/>
      <c r="G3" s="62">
        <v>4.4000000000000004</v>
      </c>
      <c r="H3" s="23" t="s">
        <v>141</v>
      </c>
      <c r="I3" s="292">
        <v>0</v>
      </c>
      <c r="J3" s="292"/>
      <c r="K3" s="63"/>
      <c r="L3" s="63"/>
      <c r="M3" s="247" t="s">
        <v>82</v>
      </c>
      <c r="N3" s="247"/>
      <c r="O3" s="247"/>
      <c r="P3" s="293">
        <v>0</v>
      </c>
      <c r="Q3" s="293"/>
      <c r="R3" s="244" t="s">
        <v>90</v>
      </c>
      <c r="S3" s="244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 x14ac:dyDescent="0.3">
      <c r="A4" s="163" t="str">
        <f>정보!B12</f>
        <v>제작치수 반영 : JB/JD +(4.4 ),  늘어난치수K -(0), OP - (0),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8"/>
      <c r="L6" s="238"/>
      <c r="M6" s="296"/>
      <c r="N6" s="296"/>
      <c r="O6" s="209"/>
      <c r="P6" s="209"/>
      <c r="Q6" s="209"/>
      <c r="R6" s="209"/>
      <c r="S6" s="209"/>
      <c r="T6" s="297"/>
      <c r="U6" s="238"/>
      <c r="V6" s="238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2.4*3.2</v>
      </c>
      <c r="D7" s="50">
        <f>'쪽쟘(실측)'!C7-쪽쟘OP차감</f>
        <v>0</v>
      </c>
      <c r="E7" s="50">
        <f>'쪽쟘(실측)'!D7+쪽쟘J늘림+MAX(W7:X7)</f>
        <v>4.4000000000000004</v>
      </c>
      <c r="F7" s="50">
        <f>'쪽쟘(실측)'!E7+쪽쟘J늘림+MAX(W7:X7)</f>
        <v>4.4000000000000004</v>
      </c>
      <c r="G7" s="67" t="str">
        <f>AF7&amp;"*"&amp;AE7</f>
        <v>0*3.2</v>
      </c>
      <c r="H7" s="68" t="str">
        <f>AH7&amp;"*"&amp;AG7</f>
        <v>0*3.2</v>
      </c>
      <c r="I7" s="50">
        <f>IF('쪽쟘(실측)'!F7&gt;0,'쪽쟘(실측)'!F7-1.5,0)+뒷날개치수더함</f>
        <v>1.2</v>
      </c>
      <c r="J7" s="50">
        <f>IF('쪽쟘(실측)'!H7&gt;0,'쪽쟘(실측)'!H7-1.5,0)+뒷날개치수더함</f>
        <v>1.2</v>
      </c>
      <c r="K7" s="50">
        <f>IF('쪽쟘(실측)'!F7&gt;0,'쪽쟘(실측)'!F7+0,0)+뒷날개치수더함</f>
        <v>1.2</v>
      </c>
      <c r="L7" s="50">
        <f>IF('쪽쟘(실측)'!G7&gt;0,'쪽쟘(실측)'!G7+0,0)+뒷날개치수더함</f>
        <v>1.2</v>
      </c>
      <c r="M7" s="50">
        <f>IF('쪽쟘(실측)'!H7&gt;0,'쪽쟘(실측)'!H7+0,0)+뒷날개치수더함</f>
        <v>1.2</v>
      </c>
      <c r="N7" s="50">
        <f>IF('쪽쟘(실측)'!I7&gt;0,'쪽쟘(실측)'!I7+0,0)+뒷날개치수더함</f>
        <v>1.2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1.2</v>
      </c>
      <c r="T7" s="50">
        <f>'쪽쟘(실측)'!O7+뒷날개치수더함</f>
        <v>1.2</v>
      </c>
      <c r="U7" s="50">
        <f>'쪽쟘(실측)'!P7+뒷날개치수더함</f>
        <v>1.2</v>
      </c>
      <c r="V7" s="50">
        <f>'쪽쟘(실측)'!Q7+뒷날개치수더함</f>
        <v>1.2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2.4</v>
      </c>
      <c r="AD7">
        <f t="shared" ref="AD7" si="1">U7+E7+MAX(S7,T7)-쪽쟘소재t*3+IF(S7=0,S7*쪽쟘소재t,0)</f>
        <v>3.2000000000000011</v>
      </c>
      <c r="AE7">
        <f t="shared" ref="AE7:AE25" si="2">MAX(K7,L7)+F7+V7-쪽쟘소재t*3+IF(K7=0,쪽쟘소재t)-IF(AA7=90,2.4,0)</f>
        <v>3.2000000000000011</v>
      </c>
      <c r="AF7">
        <f t="shared" ref="AF7" si="3">MAX(O7,P7)</f>
        <v>0</v>
      </c>
      <c r="AG7">
        <f t="shared" ref="AG7:AG25" si="4">MAX(M7,N7)+F7+V7-쪽쟘소재t*3+IF(M7=0,쪽쟘소재t)-IF(AA7=90,2.4,0)</f>
        <v>3.2000000000000011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2.4*3.2</v>
      </c>
      <c r="D8" s="50">
        <f>'쪽쟘(실측)'!C8-쪽쟘OP차감</f>
        <v>0</v>
      </c>
      <c r="E8" s="50">
        <f>'쪽쟘(실측)'!D8+쪽쟘J늘림+MAX(W8:X8)</f>
        <v>4.4000000000000004</v>
      </c>
      <c r="F8" s="50">
        <f>'쪽쟘(실측)'!E8+쪽쟘J늘림+MAX(W8:X8)</f>
        <v>4.4000000000000004</v>
      </c>
      <c r="G8" s="67" t="str">
        <f t="shared" ref="G8:G25" si="6">AF8&amp;"*"&amp;AE8</f>
        <v>0*3.2</v>
      </c>
      <c r="H8" s="68" t="str">
        <f t="shared" ref="H8:H25" si="7">AH8&amp;"*"&amp;AG8</f>
        <v>0*3.2</v>
      </c>
      <c r="I8" s="50">
        <f>IF('쪽쟘(실측)'!F8&gt;0,'쪽쟘(실측)'!F8-1.5,0)+뒷날개치수더함</f>
        <v>1.2</v>
      </c>
      <c r="J8" s="50">
        <f>IF('쪽쟘(실측)'!H8&gt;0,'쪽쟘(실측)'!H8-1.5,0)+뒷날개치수더함</f>
        <v>1.2</v>
      </c>
      <c r="K8" s="50">
        <f>IF('쪽쟘(실측)'!F8&gt;0,'쪽쟘(실측)'!F8+0,0)+뒷날개치수더함</f>
        <v>1.2</v>
      </c>
      <c r="L8" s="50">
        <f>IF('쪽쟘(실측)'!G8&gt;0,'쪽쟘(실측)'!G8+0,0)+뒷날개치수더함</f>
        <v>1.2</v>
      </c>
      <c r="M8" s="50">
        <f>IF('쪽쟘(실측)'!H8&gt;0,'쪽쟘(실측)'!H8+0,0)+뒷날개치수더함</f>
        <v>1.2</v>
      </c>
      <c r="N8" s="50">
        <f>IF('쪽쟘(실측)'!I8&gt;0,'쪽쟘(실측)'!I8+0,0)+뒷날개치수더함</f>
        <v>1.2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1.2</v>
      </c>
      <c r="T8" s="50">
        <f>'쪽쟘(실측)'!O8+뒷날개치수더함</f>
        <v>1.2</v>
      </c>
      <c r="U8" s="50">
        <f>'쪽쟘(실측)'!P8+뒷날개치수더함</f>
        <v>1.2</v>
      </c>
      <c r="V8" s="50">
        <f>'쪽쟘(실측)'!Q8+뒷날개치수더함</f>
        <v>1.2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2.4</v>
      </c>
      <c r="AD8">
        <f t="shared" ref="AD8:AD25" si="9">U8+E8+MAX(S8,T8)-쪽쟘소재t*3+IF(S8=0,S8*쪽쟘소재t,0)</f>
        <v>3.2000000000000011</v>
      </c>
      <c r="AE8">
        <f t="shared" si="2"/>
        <v>3.2000000000000011</v>
      </c>
      <c r="AF8">
        <f t="shared" ref="AF8:AF25" si="10">MAX(O8,P8)</f>
        <v>0</v>
      </c>
      <c r="AG8">
        <f t="shared" si="4"/>
        <v>3.2000000000000011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2.4*3.2</v>
      </c>
      <c r="D9" s="50">
        <f>'쪽쟘(실측)'!C9-쪽쟘OP차감</f>
        <v>0</v>
      </c>
      <c r="E9" s="50">
        <f>'쪽쟘(실측)'!D9+쪽쟘J늘림+MAX(W9:X9)</f>
        <v>4.4000000000000004</v>
      </c>
      <c r="F9" s="50">
        <f>'쪽쟘(실측)'!E9+쪽쟘J늘림+MAX(W9:X9)</f>
        <v>4.4000000000000004</v>
      </c>
      <c r="G9" s="67" t="str">
        <f t="shared" si="6"/>
        <v>0*3.2</v>
      </c>
      <c r="H9" s="68" t="str">
        <f t="shared" si="7"/>
        <v>0*3.2</v>
      </c>
      <c r="I9" s="50">
        <f>IF('쪽쟘(실측)'!F9&gt;0,'쪽쟘(실측)'!F9-1.5,0)+뒷날개치수더함</f>
        <v>1.2</v>
      </c>
      <c r="J9" s="50">
        <f>IF('쪽쟘(실측)'!H9&gt;0,'쪽쟘(실측)'!H9-1.5,0)+뒷날개치수더함</f>
        <v>1.2</v>
      </c>
      <c r="K9" s="50">
        <f>IF('쪽쟘(실측)'!F9&gt;0,'쪽쟘(실측)'!F9+0,0)+뒷날개치수더함</f>
        <v>1.2</v>
      </c>
      <c r="L9" s="50">
        <f>IF('쪽쟘(실측)'!G9&gt;0,'쪽쟘(실측)'!G9+0,0)+뒷날개치수더함</f>
        <v>1.2</v>
      </c>
      <c r="M9" s="50">
        <f>IF('쪽쟘(실측)'!H9&gt;0,'쪽쟘(실측)'!H9+0,0)+뒷날개치수더함</f>
        <v>1.2</v>
      </c>
      <c r="N9" s="50">
        <f>IF('쪽쟘(실측)'!I9&gt;0,'쪽쟘(실측)'!I9+0,0)+뒷날개치수더함</f>
        <v>1.2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1.2</v>
      </c>
      <c r="T9" s="50">
        <f>'쪽쟘(실측)'!O9+뒷날개치수더함</f>
        <v>1.2</v>
      </c>
      <c r="U9" s="50">
        <f>'쪽쟘(실측)'!P9+뒷날개치수더함</f>
        <v>1.2</v>
      </c>
      <c r="V9" s="50">
        <f>'쪽쟘(실측)'!Q9+뒷날개치수더함</f>
        <v>1.2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2.4</v>
      </c>
      <c r="AD9">
        <f t="shared" si="9"/>
        <v>3.2000000000000011</v>
      </c>
      <c r="AE9">
        <f t="shared" si="2"/>
        <v>3.2000000000000011</v>
      </c>
      <c r="AF9">
        <f t="shared" si="10"/>
        <v>0</v>
      </c>
      <c r="AG9">
        <f t="shared" si="4"/>
        <v>3.2000000000000011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2.4*3.2</v>
      </c>
      <c r="D10" s="50">
        <f>'쪽쟘(실측)'!C10-쪽쟘OP차감</f>
        <v>0</v>
      </c>
      <c r="E10" s="50">
        <f>'쪽쟘(실측)'!D10+쪽쟘J늘림+MAX(W10:X10)</f>
        <v>4.4000000000000004</v>
      </c>
      <c r="F10" s="50">
        <f>'쪽쟘(실측)'!E10+쪽쟘J늘림+MAX(W10:X10)</f>
        <v>4.4000000000000004</v>
      </c>
      <c r="G10" s="67" t="str">
        <f t="shared" si="6"/>
        <v>0*3.2</v>
      </c>
      <c r="H10" s="68" t="str">
        <f t="shared" si="7"/>
        <v>0*3.2</v>
      </c>
      <c r="I10" s="50">
        <f>IF('쪽쟘(실측)'!F10&gt;0,'쪽쟘(실측)'!F10-1.5,0)+뒷날개치수더함</f>
        <v>1.2</v>
      </c>
      <c r="J10" s="50">
        <f>IF('쪽쟘(실측)'!H10&gt;0,'쪽쟘(실측)'!H10-1.5,0)+뒷날개치수더함</f>
        <v>1.2</v>
      </c>
      <c r="K10" s="50">
        <f>IF('쪽쟘(실측)'!F10&gt;0,'쪽쟘(실측)'!F10+0,0)+뒷날개치수더함</f>
        <v>1.2</v>
      </c>
      <c r="L10" s="50">
        <f>IF('쪽쟘(실측)'!G10&gt;0,'쪽쟘(실측)'!G10+0,0)+뒷날개치수더함</f>
        <v>1.2</v>
      </c>
      <c r="M10" s="50">
        <f>IF('쪽쟘(실측)'!H10&gt;0,'쪽쟘(실측)'!H10+0,0)+뒷날개치수더함</f>
        <v>1.2</v>
      </c>
      <c r="N10" s="50">
        <f>IF('쪽쟘(실측)'!I10&gt;0,'쪽쟘(실측)'!I10+0,0)+뒷날개치수더함</f>
        <v>1.2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1.2</v>
      </c>
      <c r="T10" s="50">
        <f>'쪽쟘(실측)'!O10+뒷날개치수더함</f>
        <v>1.2</v>
      </c>
      <c r="U10" s="50">
        <f>'쪽쟘(실측)'!P10+뒷날개치수더함</f>
        <v>1.2</v>
      </c>
      <c r="V10" s="50">
        <f>'쪽쟘(실측)'!Q10+뒷날개치수더함</f>
        <v>1.2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2.4</v>
      </c>
      <c r="AD10">
        <f t="shared" si="9"/>
        <v>3.2000000000000011</v>
      </c>
      <c r="AE10">
        <f t="shared" si="2"/>
        <v>3.2000000000000011</v>
      </c>
      <c r="AF10">
        <f t="shared" si="10"/>
        <v>0</v>
      </c>
      <c r="AG10">
        <f t="shared" si="4"/>
        <v>3.2000000000000011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2.4*3.2</v>
      </c>
      <c r="D11" s="50">
        <f>'쪽쟘(실측)'!C11-쪽쟘OP차감</f>
        <v>0</v>
      </c>
      <c r="E11" s="50">
        <f>'쪽쟘(실측)'!D11+쪽쟘J늘림+MAX(W11:X11)</f>
        <v>4.4000000000000004</v>
      </c>
      <c r="F11" s="50">
        <f>'쪽쟘(실측)'!E11+쪽쟘J늘림+MAX(W11:X11)</f>
        <v>4.4000000000000004</v>
      </c>
      <c r="G11" s="67" t="str">
        <f t="shared" si="6"/>
        <v>0*3.2</v>
      </c>
      <c r="H11" s="68" t="str">
        <f t="shared" si="7"/>
        <v>0*3.2</v>
      </c>
      <c r="I11" s="50">
        <f>IF('쪽쟘(실측)'!F11&gt;0,'쪽쟘(실측)'!F11-1.5,0)+뒷날개치수더함</f>
        <v>1.2</v>
      </c>
      <c r="J11" s="50">
        <f>IF('쪽쟘(실측)'!H11&gt;0,'쪽쟘(실측)'!H11-1.5,0)+뒷날개치수더함</f>
        <v>1.2</v>
      </c>
      <c r="K11" s="50">
        <f>IF('쪽쟘(실측)'!F11&gt;0,'쪽쟘(실측)'!F11+0,0)+뒷날개치수더함</f>
        <v>1.2</v>
      </c>
      <c r="L11" s="50">
        <f>IF('쪽쟘(실측)'!G11&gt;0,'쪽쟘(실측)'!G11+0,0)+뒷날개치수더함</f>
        <v>1.2</v>
      </c>
      <c r="M11" s="50">
        <f>IF('쪽쟘(실측)'!H11&gt;0,'쪽쟘(실측)'!H11+0,0)+뒷날개치수더함</f>
        <v>1.2</v>
      </c>
      <c r="N11" s="50">
        <f>IF('쪽쟘(실측)'!I11&gt;0,'쪽쟘(실측)'!I11+0,0)+뒷날개치수더함</f>
        <v>1.2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1.2</v>
      </c>
      <c r="T11" s="50">
        <f>'쪽쟘(실측)'!O11+뒷날개치수더함</f>
        <v>1.2</v>
      </c>
      <c r="U11" s="50">
        <f>'쪽쟘(실측)'!P11+뒷날개치수더함</f>
        <v>1.2</v>
      </c>
      <c r="V11" s="50">
        <f>'쪽쟘(실측)'!Q11+뒷날개치수더함</f>
        <v>1.2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2.4</v>
      </c>
      <c r="AD11">
        <f t="shared" si="9"/>
        <v>3.2000000000000011</v>
      </c>
      <c r="AE11">
        <f t="shared" si="2"/>
        <v>3.2000000000000011</v>
      </c>
      <c r="AF11">
        <f t="shared" si="10"/>
        <v>0</v>
      </c>
      <c r="AG11">
        <f t="shared" si="4"/>
        <v>3.2000000000000011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2.4*3.2</v>
      </c>
      <c r="D12" s="50">
        <f>'쪽쟘(실측)'!C12-쪽쟘OP차감</f>
        <v>0</v>
      </c>
      <c r="E12" s="50">
        <f>'쪽쟘(실측)'!D12+쪽쟘J늘림+MAX(W12:X12)</f>
        <v>4.4000000000000004</v>
      </c>
      <c r="F12" s="50">
        <f>'쪽쟘(실측)'!E12+쪽쟘J늘림+MAX(W12:X12)</f>
        <v>4.4000000000000004</v>
      </c>
      <c r="G12" s="67" t="str">
        <f t="shared" si="6"/>
        <v>0*3.2</v>
      </c>
      <c r="H12" s="68" t="str">
        <f t="shared" si="7"/>
        <v>0*3.2</v>
      </c>
      <c r="I12" s="50">
        <f>IF('쪽쟘(실측)'!F12&gt;0,'쪽쟘(실측)'!F12-1.5,0)+뒷날개치수더함</f>
        <v>1.2</v>
      </c>
      <c r="J12" s="50">
        <f>IF('쪽쟘(실측)'!H12&gt;0,'쪽쟘(실측)'!H12-1.5,0)+뒷날개치수더함</f>
        <v>1.2</v>
      </c>
      <c r="K12" s="50">
        <f>IF('쪽쟘(실측)'!F12&gt;0,'쪽쟘(실측)'!F12+0,0)+뒷날개치수더함</f>
        <v>1.2</v>
      </c>
      <c r="L12" s="50">
        <f>IF('쪽쟘(실측)'!G12&gt;0,'쪽쟘(실측)'!G12+0,0)+뒷날개치수더함</f>
        <v>1.2</v>
      </c>
      <c r="M12" s="50">
        <f>IF('쪽쟘(실측)'!H12&gt;0,'쪽쟘(실측)'!H12+0,0)+뒷날개치수더함</f>
        <v>1.2</v>
      </c>
      <c r="N12" s="50">
        <f>IF('쪽쟘(실측)'!I12&gt;0,'쪽쟘(실측)'!I12+0,0)+뒷날개치수더함</f>
        <v>1.2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1.2</v>
      </c>
      <c r="T12" s="50">
        <f>'쪽쟘(실측)'!O12+뒷날개치수더함</f>
        <v>1.2</v>
      </c>
      <c r="U12" s="50">
        <f>'쪽쟘(실측)'!P12+뒷날개치수더함</f>
        <v>1.2</v>
      </c>
      <c r="V12" s="50">
        <f>'쪽쟘(실측)'!Q12+뒷날개치수더함</f>
        <v>1.2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2.4</v>
      </c>
      <c r="AD12">
        <f t="shared" si="9"/>
        <v>3.2000000000000011</v>
      </c>
      <c r="AE12">
        <f t="shared" si="2"/>
        <v>3.2000000000000011</v>
      </c>
      <c r="AF12">
        <f t="shared" si="10"/>
        <v>0</v>
      </c>
      <c r="AG12">
        <f t="shared" si="4"/>
        <v>3.2000000000000011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2.4*3.2</v>
      </c>
      <c r="D13" s="50">
        <f>'쪽쟘(실측)'!C13-쪽쟘OP차감</f>
        <v>0</v>
      </c>
      <c r="E13" s="50">
        <f>'쪽쟘(실측)'!D13+쪽쟘J늘림+MAX(W13:X13)</f>
        <v>4.4000000000000004</v>
      </c>
      <c r="F13" s="50">
        <f>'쪽쟘(실측)'!E13+쪽쟘J늘림+MAX(W13:X13)</f>
        <v>4.4000000000000004</v>
      </c>
      <c r="G13" s="67" t="str">
        <f t="shared" si="6"/>
        <v>0*3.2</v>
      </c>
      <c r="H13" s="68" t="str">
        <f t="shared" si="7"/>
        <v>0*3.2</v>
      </c>
      <c r="I13" s="50">
        <f>IF('쪽쟘(실측)'!F13&gt;0,'쪽쟘(실측)'!F13-1.5,0)+뒷날개치수더함</f>
        <v>1.2</v>
      </c>
      <c r="J13" s="50">
        <f>IF('쪽쟘(실측)'!H13&gt;0,'쪽쟘(실측)'!H13-1.5,0)+뒷날개치수더함</f>
        <v>1.2</v>
      </c>
      <c r="K13" s="50">
        <f>IF('쪽쟘(실측)'!F13&gt;0,'쪽쟘(실측)'!F13+0,0)+뒷날개치수더함</f>
        <v>1.2</v>
      </c>
      <c r="L13" s="50">
        <f>IF('쪽쟘(실측)'!G13&gt;0,'쪽쟘(실측)'!G13+0,0)+뒷날개치수더함</f>
        <v>1.2</v>
      </c>
      <c r="M13" s="50">
        <f>IF('쪽쟘(실측)'!H13&gt;0,'쪽쟘(실측)'!H13+0,0)+뒷날개치수더함</f>
        <v>1.2</v>
      </c>
      <c r="N13" s="50">
        <f>IF('쪽쟘(실측)'!I13&gt;0,'쪽쟘(실측)'!I13+0,0)+뒷날개치수더함</f>
        <v>1.2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1.2</v>
      </c>
      <c r="T13" s="50">
        <f>'쪽쟘(실측)'!O13+뒷날개치수더함</f>
        <v>1.2</v>
      </c>
      <c r="U13" s="50">
        <f>'쪽쟘(실측)'!P13+뒷날개치수더함</f>
        <v>1.2</v>
      </c>
      <c r="V13" s="50">
        <f>'쪽쟘(실측)'!Q13+뒷날개치수더함</f>
        <v>1.2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2.4</v>
      </c>
      <c r="AD13">
        <f t="shared" si="9"/>
        <v>3.2000000000000011</v>
      </c>
      <c r="AE13">
        <f t="shared" si="2"/>
        <v>3.2000000000000011</v>
      </c>
      <c r="AF13">
        <f t="shared" si="10"/>
        <v>0</v>
      </c>
      <c r="AG13">
        <f t="shared" si="4"/>
        <v>3.2000000000000011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2.4*3.2</v>
      </c>
      <c r="D14" s="50">
        <f>'쪽쟘(실측)'!C14-쪽쟘OP차감</f>
        <v>0</v>
      </c>
      <c r="E14" s="50">
        <f>'쪽쟘(실측)'!D14+쪽쟘J늘림+MAX(W14:X14)</f>
        <v>4.4000000000000004</v>
      </c>
      <c r="F14" s="50">
        <f>'쪽쟘(실측)'!E14+쪽쟘J늘림+MAX(W14:X14)</f>
        <v>4.4000000000000004</v>
      </c>
      <c r="G14" s="67" t="str">
        <f t="shared" si="6"/>
        <v>0*3.2</v>
      </c>
      <c r="H14" s="68" t="str">
        <f t="shared" si="7"/>
        <v>0*3.2</v>
      </c>
      <c r="I14" s="50">
        <f>IF('쪽쟘(실측)'!F14&gt;0,'쪽쟘(실측)'!F14-1.5,0)+뒷날개치수더함</f>
        <v>1.2</v>
      </c>
      <c r="J14" s="50">
        <f>IF('쪽쟘(실측)'!H14&gt;0,'쪽쟘(실측)'!H14-1.5,0)+뒷날개치수더함</f>
        <v>1.2</v>
      </c>
      <c r="K14" s="50">
        <f>IF('쪽쟘(실측)'!F14&gt;0,'쪽쟘(실측)'!F14+0,0)+뒷날개치수더함</f>
        <v>1.2</v>
      </c>
      <c r="L14" s="50">
        <f>IF('쪽쟘(실측)'!G14&gt;0,'쪽쟘(실측)'!G14+0,0)+뒷날개치수더함</f>
        <v>1.2</v>
      </c>
      <c r="M14" s="50">
        <f>IF('쪽쟘(실측)'!H14&gt;0,'쪽쟘(실측)'!H14+0,0)+뒷날개치수더함</f>
        <v>1.2</v>
      </c>
      <c r="N14" s="50">
        <f>IF('쪽쟘(실측)'!I14&gt;0,'쪽쟘(실측)'!I14+0,0)+뒷날개치수더함</f>
        <v>1.2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1.2</v>
      </c>
      <c r="T14" s="50">
        <f>'쪽쟘(실측)'!O14+뒷날개치수더함</f>
        <v>1.2</v>
      </c>
      <c r="U14" s="50">
        <f>'쪽쟘(실측)'!P14+뒷날개치수더함</f>
        <v>1.2</v>
      </c>
      <c r="V14" s="50">
        <f>'쪽쟘(실측)'!Q14+뒷날개치수더함</f>
        <v>1.2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2.4</v>
      </c>
      <c r="AD14">
        <f t="shared" si="9"/>
        <v>3.2000000000000011</v>
      </c>
      <c r="AE14">
        <f t="shared" si="2"/>
        <v>3.2000000000000011</v>
      </c>
      <c r="AF14">
        <f t="shared" si="10"/>
        <v>0</v>
      </c>
      <c r="AG14">
        <f t="shared" si="4"/>
        <v>3.2000000000000011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2.4*3.2</v>
      </c>
      <c r="D15" s="50">
        <f>'쪽쟘(실측)'!C15-쪽쟘OP차감</f>
        <v>0</v>
      </c>
      <c r="E15" s="50">
        <f>'쪽쟘(실측)'!D15+쪽쟘J늘림+MAX(W15:X15)</f>
        <v>4.4000000000000004</v>
      </c>
      <c r="F15" s="50">
        <f>'쪽쟘(실측)'!E15+쪽쟘J늘림+MAX(W15:X15)</f>
        <v>4.4000000000000004</v>
      </c>
      <c r="G15" s="67" t="str">
        <f t="shared" si="6"/>
        <v>0*3.2</v>
      </c>
      <c r="H15" s="68" t="str">
        <f t="shared" si="7"/>
        <v>0*3.2</v>
      </c>
      <c r="I15" s="50">
        <f>IF('쪽쟘(실측)'!F15&gt;0,'쪽쟘(실측)'!F15-1.5,0)+뒷날개치수더함</f>
        <v>1.2</v>
      </c>
      <c r="J15" s="50">
        <f>IF('쪽쟘(실측)'!H15&gt;0,'쪽쟘(실측)'!H15-1.5,0)+뒷날개치수더함</f>
        <v>1.2</v>
      </c>
      <c r="K15" s="50">
        <f>IF('쪽쟘(실측)'!F15&gt;0,'쪽쟘(실측)'!F15+0,0)+뒷날개치수더함</f>
        <v>1.2</v>
      </c>
      <c r="L15" s="50">
        <f>IF('쪽쟘(실측)'!G15&gt;0,'쪽쟘(실측)'!G15+0,0)+뒷날개치수더함</f>
        <v>1.2</v>
      </c>
      <c r="M15" s="50">
        <f>IF('쪽쟘(실측)'!H15&gt;0,'쪽쟘(실측)'!H15+0,0)+뒷날개치수더함</f>
        <v>1.2</v>
      </c>
      <c r="N15" s="50">
        <f>IF('쪽쟘(실측)'!I15&gt;0,'쪽쟘(실측)'!I15+0,0)+뒷날개치수더함</f>
        <v>1.2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1.2</v>
      </c>
      <c r="T15" s="50">
        <f>'쪽쟘(실측)'!O15+뒷날개치수더함</f>
        <v>1.2</v>
      </c>
      <c r="U15" s="50">
        <f>'쪽쟘(실측)'!P15+뒷날개치수더함</f>
        <v>1.2</v>
      </c>
      <c r="V15" s="50">
        <f>'쪽쟘(실측)'!Q15+뒷날개치수더함</f>
        <v>1.2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2.4</v>
      </c>
      <c r="AD15">
        <f t="shared" si="9"/>
        <v>3.2000000000000011</v>
      </c>
      <c r="AE15">
        <f t="shared" si="2"/>
        <v>3.2000000000000011</v>
      </c>
      <c r="AF15">
        <f t="shared" si="10"/>
        <v>0</v>
      </c>
      <c r="AG15">
        <f t="shared" si="4"/>
        <v>3.2000000000000011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2.4*3.2</v>
      </c>
      <c r="D16" s="50">
        <f>'쪽쟘(실측)'!C16-쪽쟘OP차감</f>
        <v>0</v>
      </c>
      <c r="E16" s="50">
        <f>'쪽쟘(실측)'!D16+쪽쟘J늘림+MAX(W16:X16)</f>
        <v>4.4000000000000004</v>
      </c>
      <c r="F16" s="50">
        <f>'쪽쟘(실측)'!E16+쪽쟘J늘림+MAX(W16:X16)</f>
        <v>4.4000000000000004</v>
      </c>
      <c r="G16" s="67" t="str">
        <f t="shared" si="6"/>
        <v>0*3.2</v>
      </c>
      <c r="H16" s="68" t="str">
        <f t="shared" si="7"/>
        <v>0*3.2</v>
      </c>
      <c r="I16" s="50">
        <f>IF('쪽쟘(실측)'!F16&gt;0,'쪽쟘(실측)'!F16-1.5,0)+뒷날개치수더함</f>
        <v>1.2</v>
      </c>
      <c r="J16" s="50">
        <f>IF('쪽쟘(실측)'!H16&gt;0,'쪽쟘(실측)'!H16-1.5,0)+뒷날개치수더함</f>
        <v>1.2</v>
      </c>
      <c r="K16" s="50">
        <f>IF('쪽쟘(실측)'!F16&gt;0,'쪽쟘(실측)'!F16+0,0)+뒷날개치수더함</f>
        <v>1.2</v>
      </c>
      <c r="L16" s="50">
        <f>IF('쪽쟘(실측)'!G16&gt;0,'쪽쟘(실측)'!G16+0,0)+뒷날개치수더함</f>
        <v>1.2</v>
      </c>
      <c r="M16" s="50">
        <f>IF('쪽쟘(실측)'!H16&gt;0,'쪽쟘(실측)'!H16+0,0)+뒷날개치수더함</f>
        <v>1.2</v>
      </c>
      <c r="N16" s="50">
        <f>IF('쪽쟘(실측)'!I16&gt;0,'쪽쟘(실측)'!I16+0,0)+뒷날개치수더함</f>
        <v>1.2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1.2</v>
      </c>
      <c r="T16" s="50">
        <f>'쪽쟘(실측)'!O16+뒷날개치수더함</f>
        <v>1.2</v>
      </c>
      <c r="U16" s="50">
        <f>'쪽쟘(실측)'!P16+뒷날개치수더함</f>
        <v>1.2</v>
      </c>
      <c r="V16" s="50">
        <f>'쪽쟘(실측)'!Q16+뒷날개치수더함</f>
        <v>1.2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2.4</v>
      </c>
      <c r="AD16">
        <f t="shared" si="9"/>
        <v>3.2000000000000011</v>
      </c>
      <c r="AE16">
        <f t="shared" si="2"/>
        <v>3.2000000000000011</v>
      </c>
      <c r="AF16">
        <f t="shared" si="10"/>
        <v>0</v>
      </c>
      <c r="AG16">
        <f t="shared" si="4"/>
        <v>3.2000000000000011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2.4*3.2</v>
      </c>
      <c r="D17" s="50">
        <f>'쪽쟘(실측)'!C17-쪽쟘OP차감</f>
        <v>0</v>
      </c>
      <c r="E17" s="50">
        <f>'쪽쟘(실측)'!D17+쪽쟘J늘림+MAX(W17:X17)</f>
        <v>4.4000000000000004</v>
      </c>
      <c r="F17" s="50">
        <f>'쪽쟘(실측)'!E17+쪽쟘J늘림+MAX(W17:X17)</f>
        <v>4.4000000000000004</v>
      </c>
      <c r="G17" s="67" t="str">
        <f t="shared" si="6"/>
        <v>0*3.2</v>
      </c>
      <c r="H17" s="68" t="str">
        <f t="shared" si="7"/>
        <v>0*3.2</v>
      </c>
      <c r="I17" s="50">
        <f>IF('쪽쟘(실측)'!F17&gt;0,'쪽쟘(실측)'!F17-1.5,0)+뒷날개치수더함</f>
        <v>1.2</v>
      </c>
      <c r="J17" s="50">
        <f>IF('쪽쟘(실측)'!H17&gt;0,'쪽쟘(실측)'!H17-1.5,0)+뒷날개치수더함</f>
        <v>1.2</v>
      </c>
      <c r="K17" s="50">
        <f>IF('쪽쟘(실측)'!F17&gt;0,'쪽쟘(실측)'!F17+0,0)+뒷날개치수더함</f>
        <v>1.2</v>
      </c>
      <c r="L17" s="50">
        <f>IF('쪽쟘(실측)'!G17&gt;0,'쪽쟘(실측)'!G17+0,0)+뒷날개치수더함</f>
        <v>1.2</v>
      </c>
      <c r="M17" s="50">
        <f>IF('쪽쟘(실측)'!H17&gt;0,'쪽쟘(실측)'!H17+0,0)+뒷날개치수더함</f>
        <v>1.2</v>
      </c>
      <c r="N17" s="50">
        <f>IF('쪽쟘(실측)'!I17&gt;0,'쪽쟘(실측)'!I17+0,0)+뒷날개치수더함</f>
        <v>1.2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1.2</v>
      </c>
      <c r="T17" s="50">
        <f>'쪽쟘(실측)'!O17+뒷날개치수더함</f>
        <v>1.2</v>
      </c>
      <c r="U17" s="50">
        <f>'쪽쟘(실측)'!P17+뒷날개치수더함</f>
        <v>1.2</v>
      </c>
      <c r="V17" s="50">
        <f>'쪽쟘(실측)'!Q17+뒷날개치수더함</f>
        <v>1.2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2.4</v>
      </c>
      <c r="AD17">
        <f t="shared" si="9"/>
        <v>3.2000000000000011</v>
      </c>
      <c r="AE17">
        <f t="shared" si="2"/>
        <v>3.2000000000000011</v>
      </c>
      <c r="AF17">
        <f t="shared" si="10"/>
        <v>0</v>
      </c>
      <c r="AG17">
        <f t="shared" si="4"/>
        <v>3.2000000000000011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2.4*3.2</v>
      </c>
      <c r="D18" s="50">
        <f>'쪽쟘(실측)'!C18-쪽쟘OP차감</f>
        <v>0</v>
      </c>
      <c r="E18" s="50">
        <f>'쪽쟘(실측)'!D18+쪽쟘J늘림+MAX(W18:X18)</f>
        <v>4.4000000000000004</v>
      </c>
      <c r="F18" s="50">
        <f>'쪽쟘(실측)'!E18+쪽쟘J늘림+MAX(W18:X18)</f>
        <v>4.4000000000000004</v>
      </c>
      <c r="G18" s="67" t="str">
        <f t="shared" si="6"/>
        <v>0*3.2</v>
      </c>
      <c r="H18" s="68" t="str">
        <f t="shared" si="7"/>
        <v>0*3.2</v>
      </c>
      <c r="I18" s="50">
        <f>IF('쪽쟘(실측)'!F18&gt;0,'쪽쟘(실측)'!F18-1.5,0)+뒷날개치수더함</f>
        <v>1.2</v>
      </c>
      <c r="J18" s="50">
        <f>IF('쪽쟘(실측)'!H18&gt;0,'쪽쟘(실측)'!H18-1.5,0)+뒷날개치수더함</f>
        <v>1.2</v>
      </c>
      <c r="K18" s="50">
        <f>IF('쪽쟘(실측)'!F18&gt;0,'쪽쟘(실측)'!F18+0,0)+뒷날개치수더함</f>
        <v>1.2</v>
      </c>
      <c r="L18" s="50">
        <f>IF('쪽쟘(실측)'!G18&gt;0,'쪽쟘(실측)'!G18+0,0)+뒷날개치수더함</f>
        <v>1.2</v>
      </c>
      <c r="M18" s="50">
        <f>IF('쪽쟘(실측)'!H18&gt;0,'쪽쟘(실측)'!H18+0,0)+뒷날개치수더함</f>
        <v>1.2</v>
      </c>
      <c r="N18" s="50">
        <f>IF('쪽쟘(실측)'!I18&gt;0,'쪽쟘(실측)'!I18+0,0)+뒷날개치수더함</f>
        <v>1.2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1.2</v>
      </c>
      <c r="T18" s="50">
        <f>'쪽쟘(실측)'!O18+뒷날개치수더함</f>
        <v>1.2</v>
      </c>
      <c r="U18" s="50">
        <f>'쪽쟘(실측)'!P18+뒷날개치수더함</f>
        <v>1.2</v>
      </c>
      <c r="V18" s="50">
        <f>'쪽쟘(실측)'!Q18+뒷날개치수더함</f>
        <v>1.2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2.4</v>
      </c>
      <c r="AD18">
        <f t="shared" si="9"/>
        <v>3.2000000000000011</v>
      </c>
      <c r="AE18">
        <f t="shared" si="2"/>
        <v>3.2000000000000011</v>
      </c>
      <c r="AF18">
        <f t="shared" si="10"/>
        <v>0</v>
      </c>
      <c r="AG18">
        <f t="shared" si="4"/>
        <v>3.2000000000000011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2.4*3.2</v>
      </c>
      <c r="D19" s="50">
        <f>'쪽쟘(실측)'!C19-쪽쟘OP차감</f>
        <v>0</v>
      </c>
      <c r="E19" s="50">
        <f>'쪽쟘(실측)'!D19+쪽쟘J늘림+MAX(W19:X19)</f>
        <v>4.4000000000000004</v>
      </c>
      <c r="F19" s="50">
        <f>'쪽쟘(실측)'!E19+쪽쟘J늘림+MAX(W19:X19)</f>
        <v>4.4000000000000004</v>
      </c>
      <c r="G19" s="67" t="str">
        <f t="shared" si="6"/>
        <v>0*3.2</v>
      </c>
      <c r="H19" s="68" t="str">
        <f t="shared" si="7"/>
        <v>0*3.2</v>
      </c>
      <c r="I19" s="50">
        <f>IF('쪽쟘(실측)'!F19&gt;0,'쪽쟘(실측)'!F19-1.5,0)+뒷날개치수더함</f>
        <v>1.2</v>
      </c>
      <c r="J19" s="50">
        <f>IF('쪽쟘(실측)'!H19&gt;0,'쪽쟘(실측)'!H19-1.5,0)+뒷날개치수더함</f>
        <v>1.2</v>
      </c>
      <c r="K19" s="50">
        <f>IF('쪽쟘(실측)'!F19&gt;0,'쪽쟘(실측)'!F19+0,0)+뒷날개치수더함</f>
        <v>1.2</v>
      </c>
      <c r="L19" s="50">
        <f>IF('쪽쟘(실측)'!G19&gt;0,'쪽쟘(실측)'!G19+0,0)+뒷날개치수더함</f>
        <v>1.2</v>
      </c>
      <c r="M19" s="50">
        <f>IF('쪽쟘(실측)'!H19&gt;0,'쪽쟘(실측)'!H19+0,0)+뒷날개치수더함</f>
        <v>1.2</v>
      </c>
      <c r="N19" s="50">
        <f>IF('쪽쟘(실측)'!I19&gt;0,'쪽쟘(실측)'!I19+0,0)+뒷날개치수더함</f>
        <v>1.2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1.2</v>
      </c>
      <c r="T19" s="50">
        <f>'쪽쟘(실측)'!O19+뒷날개치수더함</f>
        <v>1.2</v>
      </c>
      <c r="U19" s="50">
        <f>'쪽쟘(실측)'!P19+뒷날개치수더함</f>
        <v>1.2</v>
      </c>
      <c r="V19" s="50">
        <f>'쪽쟘(실측)'!Q19+뒷날개치수더함</f>
        <v>1.2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2.4</v>
      </c>
      <c r="AD19">
        <f t="shared" si="9"/>
        <v>3.2000000000000011</v>
      </c>
      <c r="AE19">
        <f t="shared" si="2"/>
        <v>3.2000000000000011</v>
      </c>
      <c r="AF19">
        <f t="shared" si="10"/>
        <v>0</v>
      </c>
      <c r="AG19">
        <f t="shared" si="4"/>
        <v>3.2000000000000011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2.4*3.2</v>
      </c>
      <c r="D20" s="50">
        <f>'쪽쟘(실측)'!C20-쪽쟘OP차감</f>
        <v>0</v>
      </c>
      <c r="E20" s="50">
        <f>'쪽쟘(실측)'!D20+쪽쟘J늘림+MAX(W20:X20)</f>
        <v>4.4000000000000004</v>
      </c>
      <c r="F20" s="50">
        <f>'쪽쟘(실측)'!E20+쪽쟘J늘림+MAX(W20:X20)</f>
        <v>4.4000000000000004</v>
      </c>
      <c r="G20" s="67" t="str">
        <f t="shared" si="6"/>
        <v>0*3.2</v>
      </c>
      <c r="H20" s="68" t="str">
        <f t="shared" si="7"/>
        <v>0*3.2</v>
      </c>
      <c r="I20" s="50">
        <f>IF('쪽쟘(실측)'!F20&gt;0,'쪽쟘(실측)'!F20-1.5,0)+뒷날개치수더함</f>
        <v>1.2</v>
      </c>
      <c r="J20" s="50">
        <f>IF('쪽쟘(실측)'!H20&gt;0,'쪽쟘(실측)'!H20-1.5,0)+뒷날개치수더함</f>
        <v>1.2</v>
      </c>
      <c r="K20" s="50">
        <f>IF('쪽쟘(실측)'!F20&gt;0,'쪽쟘(실측)'!F20+0,0)+뒷날개치수더함</f>
        <v>1.2</v>
      </c>
      <c r="L20" s="50">
        <f>IF('쪽쟘(실측)'!G20&gt;0,'쪽쟘(실측)'!G20+0,0)+뒷날개치수더함</f>
        <v>1.2</v>
      </c>
      <c r="M20" s="50">
        <f>IF('쪽쟘(실측)'!H20&gt;0,'쪽쟘(실측)'!H20+0,0)+뒷날개치수더함</f>
        <v>1.2</v>
      </c>
      <c r="N20" s="50">
        <f>IF('쪽쟘(실측)'!I20&gt;0,'쪽쟘(실측)'!I20+0,0)+뒷날개치수더함</f>
        <v>1.2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1.2</v>
      </c>
      <c r="T20" s="50">
        <f>'쪽쟘(실측)'!O20+뒷날개치수더함</f>
        <v>1.2</v>
      </c>
      <c r="U20" s="50">
        <f>'쪽쟘(실측)'!P20+뒷날개치수더함</f>
        <v>1.2</v>
      </c>
      <c r="V20" s="50">
        <f>'쪽쟘(실측)'!Q20+뒷날개치수더함</f>
        <v>1.2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2.4</v>
      </c>
      <c r="AD20">
        <f t="shared" si="9"/>
        <v>3.2000000000000011</v>
      </c>
      <c r="AE20">
        <f t="shared" si="2"/>
        <v>3.2000000000000011</v>
      </c>
      <c r="AF20">
        <f t="shared" si="10"/>
        <v>0</v>
      </c>
      <c r="AG20">
        <f t="shared" si="4"/>
        <v>3.2000000000000011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2.4*3.2</v>
      </c>
      <c r="D21" s="50">
        <f>'쪽쟘(실측)'!C21-쪽쟘OP차감</f>
        <v>0</v>
      </c>
      <c r="E21" s="50">
        <f>'쪽쟘(실측)'!D21+쪽쟘J늘림+MAX(W21:X21)</f>
        <v>4.4000000000000004</v>
      </c>
      <c r="F21" s="50">
        <f>'쪽쟘(실측)'!E21+쪽쟘J늘림+MAX(W21:X21)</f>
        <v>4.4000000000000004</v>
      </c>
      <c r="G21" s="67" t="str">
        <f t="shared" si="6"/>
        <v>0*3.2</v>
      </c>
      <c r="H21" s="68" t="str">
        <f t="shared" si="7"/>
        <v>0*3.2</v>
      </c>
      <c r="I21" s="50">
        <f>IF('쪽쟘(실측)'!F21&gt;0,'쪽쟘(실측)'!F21-1.5,0)+뒷날개치수더함</f>
        <v>1.2</v>
      </c>
      <c r="J21" s="50">
        <f>IF('쪽쟘(실측)'!H21&gt;0,'쪽쟘(실측)'!H21-1.5,0)+뒷날개치수더함</f>
        <v>1.2</v>
      </c>
      <c r="K21" s="50">
        <f>IF('쪽쟘(실측)'!F21&gt;0,'쪽쟘(실측)'!F21+0,0)+뒷날개치수더함</f>
        <v>1.2</v>
      </c>
      <c r="L21" s="50">
        <f>IF('쪽쟘(실측)'!G21&gt;0,'쪽쟘(실측)'!G21+0,0)+뒷날개치수더함</f>
        <v>1.2</v>
      </c>
      <c r="M21" s="50">
        <f>IF('쪽쟘(실측)'!H21&gt;0,'쪽쟘(실측)'!H21+0,0)+뒷날개치수더함</f>
        <v>1.2</v>
      </c>
      <c r="N21" s="50">
        <f>IF('쪽쟘(실측)'!I21&gt;0,'쪽쟘(실측)'!I21+0,0)+뒷날개치수더함</f>
        <v>1.2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1.2</v>
      </c>
      <c r="T21" s="50">
        <f>'쪽쟘(실측)'!O21+뒷날개치수더함</f>
        <v>1.2</v>
      </c>
      <c r="U21" s="50">
        <f>'쪽쟘(실측)'!P21+뒷날개치수더함</f>
        <v>1.2</v>
      </c>
      <c r="V21" s="50">
        <f>'쪽쟘(실측)'!Q21+뒷날개치수더함</f>
        <v>1.2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2.4</v>
      </c>
      <c r="AD21">
        <f t="shared" si="9"/>
        <v>3.2000000000000011</v>
      </c>
      <c r="AE21">
        <f t="shared" si="2"/>
        <v>3.2000000000000011</v>
      </c>
      <c r="AF21">
        <f t="shared" si="10"/>
        <v>0</v>
      </c>
      <c r="AG21">
        <f t="shared" si="4"/>
        <v>3.2000000000000011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2.4*3.2</v>
      </c>
      <c r="D22" s="50">
        <f>'쪽쟘(실측)'!C22-쪽쟘OP차감</f>
        <v>0</v>
      </c>
      <c r="E22" s="50">
        <f>'쪽쟘(실측)'!D22+쪽쟘J늘림+MAX(W22:X22)</f>
        <v>4.4000000000000004</v>
      </c>
      <c r="F22" s="50">
        <f>'쪽쟘(실측)'!E22+쪽쟘J늘림+MAX(W22:X22)</f>
        <v>4.4000000000000004</v>
      </c>
      <c r="G22" s="67" t="str">
        <f t="shared" si="6"/>
        <v>0*3.2</v>
      </c>
      <c r="H22" s="68" t="str">
        <f t="shared" si="7"/>
        <v>0*3.2</v>
      </c>
      <c r="I22" s="50">
        <f>IF('쪽쟘(실측)'!F22&gt;0,'쪽쟘(실측)'!F22-1.5,0)+뒷날개치수더함</f>
        <v>1.2</v>
      </c>
      <c r="J22" s="50">
        <f>IF('쪽쟘(실측)'!H22&gt;0,'쪽쟘(실측)'!H22-1.5,0)+뒷날개치수더함</f>
        <v>1.2</v>
      </c>
      <c r="K22" s="50">
        <f>IF('쪽쟘(실측)'!F22&gt;0,'쪽쟘(실측)'!F22+0,0)+뒷날개치수더함</f>
        <v>1.2</v>
      </c>
      <c r="L22" s="50">
        <f>IF('쪽쟘(실측)'!G22&gt;0,'쪽쟘(실측)'!G22+0,0)+뒷날개치수더함</f>
        <v>1.2</v>
      </c>
      <c r="M22" s="50">
        <f>IF('쪽쟘(실측)'!H22&gt;0,'쪽쟘(실측)'!H22+0,0)+뒷날개치수더함</f>
        <v>1.2</v>
      </c>
      <c r="N22" s="50">
        <f>IF('쪽쟘(실측)'!I22&gt;0,'쪽쟘(실측)'!I22+0,0)+뒷날개치수더함</f>
        <v>1.2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1.2</v>
      </c>
      <c r="T22" s="50">
        <f>'쪽쟘(실측)'!O22+뒷날개치수더함</f>
        <v>1.2</v>
      </c>
      <c r="U22" s="50">
        <f>'쪽쟘(실측)'!P22+뒷날개치수더함</f>
        <v>1.2</v>
      </c>
      <c r="V22" s="50">
        <f>'쪽쟘(실측)'!Q22+뒷날개치수더함</f>
        <v>1.2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2.4</v>
      </c>
      <c r="AD22">
        <f t="shared" si="9"/>
        <v>3.2000000000000011</v>
      </c>
      <c r="AE22">
        <f t="shared" si="2"/>
        <v>3.2000000000000011</v>
      </c>
      <c r="AF22">
        <f t="shared" si="10"/>
        <v>0</v>
      </c>
      <c r="AG22">
        <f t="shared" si="4"/>
        <v>3.2000000000000011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2.4*3.2</v>
      </c>
      <c r="D23" s="50">
        <f>'쪽쟘(실측)'!C23-쪽쟘OP차감</f>
        <v>0</v>
      </c>
      <c r="E23" s="50">
        <f>'쪽쟘(실측)'!D23+쪽쟘J늘림+MAX(W23:X23)</f>
        <v>4.4000000000000004</v>
      </c>
      <c r="F23" s="50">
        <f>'쪽쟘(실측)'!E23+쪽쟘J늘림+MAX(W23:X23)</f>
        <v>4.4000000000000004</v>
      </c>
      <c r="G23" s="67" t="str">
        <f t="shared" si="6"/>
        <v>0*3.2</v>
      </c>
      <c r="H23" s="68" t="str">
        <f t="shared" si="7"/>
        <v>0*3.2</v>
      </c>
      <c r="I23" s="50">
        <f>IF('쪽쟘(실측)'!F23&gt;0,'쪽쟘(실측)'!F23-1.5,0)+뒷날개치수더함</f>
        <v>1.2</v>
      </c>
      <c r="J23" s="50">
        <f>IF('쪽쟘(실측)'!H23&gt;0,'쪽쟘(실측)'!H23-1.5,0)+뒷날개치수더함</f>
        <v>1.2</v>
      </c>
      <c r="K23" s="50">
        <f>IF('쪽쟘(실측)'!F23&gt;0,'쪽쟘(실측)'!F23+0,0)+뒷날개치수더함</f>
        <v>1.2</v>
      </c>
      <c r="L23" s="50">
        <f>IF('쪽쟘(실측)'!G23&gt;0,'쪽쟘(실측)'!G23+0,0)+뒷날개치수더함</f>
        <v>1.2</v>
      </c>
      <c r="M23" s="50">
        <f>IF('쪽쟘(실측)'!H23&gt;0,'쪽쟘(실측)'!H23+0,0)+뒷날개치수더함</f>
        <v>1.2</v>
      </c>
      <c r="N23" s="50">
        <f>IF('쪽쟘(실측)'!I23&gt;0,'쪽쟘(실측)'!I23+0,0)+뒷날개치수더함</f>
        <v>1.2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1.2</v>
      </c>
      <c r="T23" s="50">
        <f>'쪽쟘(실측)'!O23+뒷날개치수더함</f>
        <v>1.2</v>
      </c>
      <c r="U23" s="50">
        <f>'쪽쟘(실측)'!P23+뒷날개치수더함</f>
        <v>1.2</v>
      </c>
      <c r="V23" s="50">
        <f>'쪽쟘(실측)'!Q23+뒷날개치수더함</f>
        <v>1.2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2.4</v>
      </c>
      <c r="AD23">
        <f t="shared" si="9"/>
        <v>3.2000000000000011</v>
      </c>
      <c r="AE23">
        <f t="shared" si="2"/>
        <v>3.2000000000000011</v>
      </c>
      <c r="AF23">
        <f t="shared" si="10"/>
        <v>0</v>
      </c>
      <c r="AG23">
        <f t="shared" si="4"/>
        <v>3.2000000000000011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2.4*3.2</v>
      </c>
      <c r="D24" s="50">
        <f>'쪽쟘(실측)'!C24-쪽쟘OP차감</f>
        <v>0</v>
      </c>
      <c r="E24" s="50">
        <f>'쪽쟘(실측)'!D24+쪽쟘J늘림+MAX(W24:X24)</f>
        <v>4.4000000000000004</v>
      </c>
      <c r="F24" s="50">
        <f>'쪽쟘(실측)'!E24+쪽쟘J늘림+MAX(W24:X24)</f>
        <v>4.4000000000000004</v>
      </c>
      <c r="G24" s="67" t="str">
        <f t="shared" si="6"/>
        <v>0*3.2</v>
      </c>
      <c r="H24" s="68" t="str">
        <f t="shared" si="7"/>
        <v>0*3.2</v>
      </c>
      <c r="I24" s="50">
        <f>IF('쪽쟘(실측)'!F24&gt;0,'쪽쟘(실측)'!F24-1.5,0)+뒷날개치수더함</f>
        <v>1.2</v>
      </c>
      <c r="J24" s="50">
        <f>IF('쪽쟘(실측)'!H24&gt;0,'쪽쟘(실측)'!H24-1.5,0)+뒷날개치수더함</f>
        <v>1.2</v>
      </c>
      <c r="K24" s="50">
        <f>IF('쪽쟘(실측)'!F24&gt;0,'쪽쟘(실측)'!F24+0,0)+뒷날개치수더함</f>
        <v>1.2</v>
      </c>
      <c r="L24" s="50">
        <f>IF('쪽쟘(실측)'!G24&gt;0,'쪽쟘(실측)'!G24+0,0)+뒷날개치수더함</f>
        <v>1.2</v>
      </c>
      <c r="M24" s="50">
        <f>IF('쪽쟘(실측)'!H24&gt;0,'쪽쟘(실측)'!H24+0,0)+뒷날개치수더함</f>
        <v>1.2</v>
      </c>
      <c r="N24" s="50">
        <f>IF('쪽쟘(실측)'!I24&gt;0,'쪽쟘(실측)'!I24+0,0)+뒷날개치수더함</f>
        <v>1.2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1.2</v>
      </c>
      <c r="T24" s="50">
        <f>'쪽쟘(실측)'!O24+뒷날개치수더함</f>
        <v>1.2</v>
      </c>
      <c r="U24" s="50">
        <f>'쪽쟘(실측)'!P24+뒷날개치수더함</f>
        <v>1.2</v>
      </c>
      <c r="V24" s="50">
        <f>'쪽쟘(실측)'!Q24+뒷날개치수더함</f>
        <v>1.2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2.4</v>
      </c>
      <c r="AD24">
        <f t="shared" si="9"/>
        <v>3.2000000000000011</v>
      </c>
      <c r="AE24">
        <f t="shared" si="2"/>
        <v>3.2000000000000011</v>
      </c>
      <c r="AF24">
        <f t="shared" si="10"/>
        <v>0</v>
      </c>
      <c r="AG24">
        <f t="shared" si="4"/>
        <v>3.2000000000000011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2.4*3.2</v>
      </c>
      <c r="D25" s="50">
        <f>'쪽쟘(실측)'!C25-쪽쟘OP차감</f>
        <v>0</v>
      </c>
      <c r="E25" s="50">
        <f>'쪽쟘(실측)'!D25+쪽쟘J늘림+MAX(W25:X25)</f>
        <v>4.4000000000000004</v>
      </c>
      <c r="F25" s="50">
        <f>'쪽쟘(실측)'!E25+쪽쟘J늘림+MAX(W25:X25)</f>
        <v>4.4000000000000004</v>
      </c>
      <c r="G25" s="67" t="str">
        <f t="shared" si="6"/>
        <v>0*3.2</v>
      </c>
      <c r="H25" s="68" t="str">
        <f t="shared" si="7"/>
        <v>0*3.2</v>
      </c>
      <c r="I25" s="50">
        <f>IF('쪽쟘(실측)'!F25&gt;0,'쪽쟘(실측)'!F25-1.5,0)+뒷날개치수더함</f>
        <v>1.2</v>
      </c>
      <c r="J25" s="50">
        <f>IF('쪽쟘(실측)'!H25&gt;0,'쪽쟘(실측)'!H25-1.5,0)+뒷날개치수더함</f>
        <v>1.2</v>
      </c>
      <c r="K25" s="50">
        <f>IF('쪽쟘(실측)'!F25&gt;0,'쪽쟘(실측)'!F25+0,0)+뒷날개치수더함</f>
        <v>1.2</v>
      </c>
      <c r="L25" s="50">
        <f>IF('쪽쟘(실측)'!G25&gt;0,'쪽쟘(실측)'!G25+0,0)+뒷날개치수더함</f>
        <v>1.2</v>
      </c>
      <c r="M25" s="50">
        <f>IF('쪽쟘(실측)'!H25&gt;0,'쪽쟘(실측)'!H25+0,0)+뒷날개치수더함</f>
        <v>1.2</v>
      </c>
      <c r="N25" s="50">
        <f>IF('쪽쟘(실측)'!I25&gt;0,'쪽쟘(실측)'!I25+0,0)+뒷날개치수더함</f>
        <v>1.2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1.2</v>
      </c>
      <c r="T25" s="50">
        <f>'쪽쟘(실측)'!O25+뒷날개치수더함</f>
        <v>1.2</v>
      </c>
      <c r="U25" s="50">
        <f>'쪽쟘(실측)'!P25+뒷날개치수더함</f>
        <v>1.2</v>
      </c>
      <c r="V25" s="50">
        <f>'쪽쟘(실측)'!Q25+뒷날개치수더함</f>
        <v>1.2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2.4</v>
      </c>
      <c r="AD25">
        <f t="shared" si="9"/>
        <v>3.2000000000000011</v>
      </c>
      <c r="AE25">
        <f t="shared" si="2"/>
        <v>3.2000000000000011</v>
      </c>
      <c r="AF25">
        <f t="shared" si="10"/>
        <v>0</v>
      </c>
      <c r="AG25">
        <f t="shared" si="4"/>
        <v>3.2000000000000011</v>
      </c>
      <c r="AH25">
        <f t="shared" si="11"/>
        <v>0</v>
      </c>
    </row>
    <row r="26" spans="1:34" ht="19.5" customHeight="1" x14ac:dyDescent="0.3">
      <c r="A26" s="50">
        <f>'쪽쟘(실측)'!A26</f>
        <v>0</v>
      </c>
      <c r="B26" s="50" t="str">
        <f>'쪽쟘(실측)'!B26&amp;"F"</f>
        <v>F</v>
      </c>
      <c r="C26" s="50" t="str">
        <f t="shared" ref="C26:C34" si="12">AC26&amp;"*"&amp;AD26</f>
        <v>2.4*3.2</v>
      </c>
      <c r="D26" s="50">
        <f>'쪽쟘(실측)'!C26-쪽쟘OP차감</f>
        <v>0</v>
      </c>
      <c r="E26" s="50">
        <f>'쪽쟘(실측)'!D26+쪽쟘J늘림+MAX(W26:X26)</f>
        <v>4.4000000000000004</v>
      </c>
      <c r="F26" s="50">
        <f>'쪽쟘(실측)'!E26+쪽쟘J늘림+MAX(W26:X26)</f>
        <v>4.4000000000000004</v>
      </c>
      <c r="G26" s="67" t="str">
        <f t="shared" ref="G26:G34" si="13">AF26&amp;"*"&amp;AE26</f>
        <v>0*3.2</v>
      </c>
      <c r="H26" s="68" t="str">
        <f t="shared" ref="H26:H34" si="14">AH26&amp;"*"&amp;AG26</f>
        <v>0*3.2</v>
      </c>
      <c r="I26" s="50">
        <f>IF('쪽쟘(실측)'!F26&gt;0,'쪽쟘(실측)'!F26-1.5,0)+뒷날개치수더함</f>
        <v>1.2</v>
      </c>
      <c r="J26" s="50">
        <f>IF('쪽쟘(실측)'!H26&gt;0,'쪽쟘(실측)'!H26-1.5,0)+뒷날개치수더함</f>
        <v>1.2</v>
      </c>
      <c r="K26" s="50">
        <f>IF('쪽쟘(실측)'!F26&gt;0,'쪽쟘(실측)'!F26+0,0)+뒷날개치수더함</f>
        <v>1.2</v>
      </c>
      <c r="L26" s="50">
        <f>IF('쪽쟘(실측)'!G26&gt;0,'쪽쟘(실측)'!G26+0,0)+뒷날개치수더함</f>
        <v>1.2</v>
      </c>
      <c r="M26" s="50">
        <f>IF('쪽쟘(실측)'!H26&gt;0,'쪽쟘(실측)'!H26+0,0)+뒷날개치수더함</f>
        <v>1.2</v>
      </c>
      <c r="N26" s="50">
        <f>IF('쪽쟘(실측)'!I26&gt;0,'쪽쟘(실측)'!I26+0,0)+뒷날개치수더함</f>
        <v>1.2</v>
      </c>
      <c r="O26" s="50">
        <f>'쪽쟘(실측)'!J26-쪽쟘기둥차감</f>
        <v>0</v>
      </c>
      <c r="P26" s="50">
        <f>'쪽쟘(실측)'!K26-쪽쟘기둥차감</f>
        <v>0</v>
      </c>
      <c r="Q26" s="50">
        <f>'쪽쟘(실측)'!L26-쪽쟘기둥차감</f>
        <v>0</v>
      </c>
      <c r="R26" s="50">
        <f>'쪽쟘(실측)'!M26-쪽쟘기둥차감</f>
        <v>0</v>
      </c>
      <c r="S26" s="50">
        <f>'쪽쟘(실측)'!N26+뒷날개치수더함</f>
        <v>1.2</v>
      </c>
      <c r="T26" s="50">
        <f>'쪽쟘(실측)'!O26+뒷날개치수더함</f>
        <v>1.2</v>
      </c>
      <c r="U26" s="50">
        <f>'쪽쟘(실측)'!P26+뒷날개치수더함</f>
        <v>1.2</v>
      </c>
      <c r="V26" s="50">
        <f>'쪽쟘(실측)'!Q26+뒷날개치수더함</f>
        <v>1.2</v>
      </c>
      <c r="W26" s="50">
        <f>'쪽쟘(실측)'!R26-쪽쟘늘치차감</f>
        <v>0</v>
      </c>
      <c r="X26" s="50">
        <f>'쪽쟘(실측)'!S26-쪽쟘늘치차감</f>
        <v>0</v>
      </c>
      <c r="Y26" s="4">
        <f>IF('쪽쟘(실측)'!T26&gt;5,'쪽쟘(실측)'!T26+뒷날개치수더함,0)</f>
        <v>0</v>
      </c>
      <c r="Z26" s="4">
        <f>'쪽쟘(실측)'!U26</f>
        <v>0</v>
      </c>
      <c r="AA26" s="4">
        <f>'쪽쟘(실측)'!V26</f>
        <v>0</v>
      </c>
      <c r="AC26">
        <f t="shared" ref="AC26:AC34" si="15">D26+I26+J26</f>
        <v>2.4</v>
      </c>
      <c r="AD26">
        <f t="shared" ref="AD26:AD34" si="16">U26+E26+MAX(S26,T26)-쪽쟘소재t*3+IF(S26=0,S26*쪽쟘소재t,0)</f>
        <v>3.2000000000000011</v>
      </c>
      <c r="AE26">
        <f t="shared" ref="AE26:AE34" si="17">MAX(K26,L26)+F26+V26-쪽쟘소재t*3+IF(K26=0,쪽쟘소재t)-IF(AA26=90,2.4,0)</f>
        <v>3.2000000000000011</v>
      </c>
      <c r="AF26">
        <f t="shared" ref="AF26:AF34" si="18">MAX(O26,P26)</f>
        <v>0</v>
      </c>
      <c r="AG26">
        <f t="shared" ref="AG26:AG34" si="19">MAX(M26,N26)+F26+V26-쪽쟘소재t*3+IF(M26=0,쪽쟘소재t)-IF(AA26=90,2.4,0)</f>
        <v>3.2000000000000011</v>
      </c>
      <c r="AH26">
        <f t="shared" ref="AH26:AH34" si="20">MAX(Q26,R26)</f>
        <v>0</v>
      </c>
    </row>
    <row r="27" spans="1:34" ht="19.5" customHeight="1" x14ac:dyDescent="0.3">
      <c r="A27" s="50">
        <f>'쪽쟘(실측)'!A27</f>
        <v>0</v>
      </c>
      <c r="B27" s="50" t="str">
        <f>'쪽쟘(실측)'!B27&amp;"F"</f>
        <v>F</v>
      </c>
      <c r="C27" s="50" t="str">
        <f t="shared" si="12"/>
        <v>2.4*3.2</v>
      </c>
      <c r="D27" s="50">
        <f>'쪽쟘(실측)'!C27-쪽쟘OP차감</f>
        <v>0</v>
      </c>
      <c r="E27" s="50">
        <f>'쪽쟘(실측)'!D27+쪽쟘J늘림+MAX(W27:X27)</f>
        <v>4.4000000000000004</v>
      </c>
      <c r="F27" s="50">
        <f>'쪽쟘(실측)'!E27+쪽쟘J늘림+MAX(W27:X27)</f>
        <v>4.4000000000000004</v>
      </c>
      <c r="G27" s="67" t="str">
        <f t="shared" si="13"/>
        <v>0*3.2</v>
      </c>
      <c r="H27" s="68" t="str">
        <f t="shared" si="14"/>
        <v>0*3.2</v>
      </c>
      <c r="I27" s="50">
        <f>IF('쪽쟘(실측)'!F27&gt;0,'쪽쟘(실측)'!F27-1.5,0)+뒷날개치수더함</f>
        <v>1.2</v>
      </c>
      <c r="J27" s="50">
        <f>IF('쪽쟘(실측)'!H27&gt;0,'쪽쟘(실측)'!H27-1.5,0)+뒷날개치수더함</f>
        <v>1.2</v>
      </c>
      <c r="K27" s="50">
        <f>IF('쪽쟘(실측)'!F27&gt;0,'쪽쟘(실측)'!F27+0,0)+뒷날개치수더함</f>
        <v>1.2</v>
      </c>
      <c r="L27" s="50">
        <f>IF('쪽쟘(실측)'!G27&gt;0,'쪽쟘(실측)'!G27+0,0)+뒷날개치수더함</f>
        <v>1.2</v>
      </c>
      <c r="M27" s="50">
        <f>IF('쪽쟘(실측)'!H27&gt;0,'쪽쟘(실측)'!H27+0,0)+뒷날개치수더함</f>
        <v>1.2</v>
      </c>
      <c r="N27" s="50">
        <f>IF('쪽쟘(실측)'!I27&gt;0,'쪽쟘(실측)'!I27+0,0)+뒷날개치수더함</f>
        <v>1.2</v>
      </c>
      <c r="O27" s="50">
        <f>'쪽쟘(실측)'!J27-쪽쟘기둥차감</f>
        <v>0</v>
      </c>
      <c r="P27" s="50">
        <f>'쪽쟘(실측)'!K27-쪽쟘기둥차감</f>
        <v>0</v>
      </c>
      <c r="Q27" s="50">
        <f>'쪽쟘(실측)'!L27-쪽쟘기둥차감</f>
        <v>0</v>
      </c>
      <c r="R27" s="50">
        <f>'쪽쟘(실측)'!M27-쪽쟘기둥차감</f>
        <v>0</v>
      </c>
      <c r="S27" s="50">
        <f>'쪽쟘(실측)'!N27+뒷날개치수더함</f>
        <v>1.2</v>
      </c>
      <c r="T27" s="50">
        <f>'쪽쟘(실측)'!O27+뒷날개치수더함</f>
        <v>1.2</v>
      </c>
      <c r="U27" s="50">
        <f>'쪽쟘(실측)'!P27+뒷날개치수더함</f>
        <v>1.2</v>
      </c>
      <c r="V27" s="50">
        <f>'쪽쟘(실측)'!Q27+뒷날개치수더함</f>
        <v>1.2</v>
      </c>
      <c r="W27" s="50">
        <f>'쪽쟘(실측)'!R27-쪽쟘늘치차감</f>
        <v>0</v>
      </c>
      <c r="X27" s="50">
        <f>'쪽쟘(실측)'!S27-쪽쟘늘치차감</f>
        <v>0</v>
      </c>
      <c r="Y27" s="4">
        <f>IF('쪽쟘(실측)'!T27&gt;5,'쪽쟘(실측)'!T27+뒷날개치수더함,0)</f>
        <v>0</v>
      </c>
      <c r="Z27" s="4">
        <f>'쪽쟘(실측)'!U27</f>
        <v>0</v>
      </c>
      <c r="AA27" s="4">
        <f>'쪽쟘(실측)'!V27</f>
        <v>0</v>
      </c>
      <c r="AC27">
        <f t="shared" si="15"/>
        <v>2.4</v>
      </c>
      <c r="AD27">
        <f t="shared" si="16"/>
        <v>3.2000000000000011</v>
      </c>
      <c r="AE27">
        <f t="shared" si="17"/>
        <v>3.2000000000000011</v>
      </c>
      <c r="AF27">
        <f t="shared" si="18"/>
        <v>0</v>
      </c>
      <c r="AG27">
        <f t="shared" si="19"/>
        <v>3.2000000000000011</v>
      </c>
      <c r="AH27">
        <f t="shared" si="20"/>
        <v>0</v>
      </c>
    </row>
    <row r="28" spans="1:34" ht="19.5" customHeight="1" x14ac:dyDescent="0.3">
      <c r="A28" s="50">
        <f>'쪽쟘(실측)'!A28</f>
        <v>0</v>
      </c>
      <c r="B28" s="50" t="str">
        <f>'쪽쟘(실측)'!B28&amp;"F"</f>
        <v>F</v>
      </c>
      <c r="C28" s="50" t="str">
        <f t="shared" si="12"/>
        <v>2.4*3.2</v>
      </c>
      <c r="D28" s="50">
        <f>'쪽쟘(실측)'!C28-쪽쟘OP차감</f>
        <v>0</v>
      </c>
      <c r="E28" s="50">
        <f>'쪽쟘(실측)'!D28+쪽쟘J늘림+MAX(W28:X28)</f>
        <v>4.4000000000000004</v>
      </c>
      <c r="F28" s="50">
        <f>'쪽쟘(실측)'!E28+쪽쟘J늘림+MAX(W28:X28)</f>
        <v>4.4000000000000004</v>
      </c>
      <c r="G28" s="67" t="str">
        <f t="shared" si="13"/>
        <v>0*3.2</v>
      </c>
      <c r="H28" s="68" t="str">
        <f t="shared" si="14"/>
        <v>0*3.2</v>
      </c>
      <c r="I28" s="50">
        <f>IF('쪽쟘(실측)'!F28&gt;0,'쪽쟘(실측)'!F28-1.5,0)+뒷날개치수더함</f>
        <v>1.2</v>
      </c>
      <c r="J28" s="50">
        <f>IF('쪽쟘(실측)'!H28&gt;0,'쪽쟘(실측)'!H28-1.5,0)+뒷날개치수더함</f>
        <v>1.2</v>
      </c>
      <c r="K28" s="50">
        <f>IF('쪽쟘(실측)'!F28&gt;0,'쪽쟘(실측)'!F28+0,0)+뒷날개치수더함</f>
        <v>1.2</v>
      </c>
      <c r="L28" s="50">
        <f>IF('쪽쟘(실측)'!G28&gt;0,'쪽쟘(실측)'!G28+0,0)+뒷날개치수더함</f>
        <v>1.2</v>
      </c>
      <c r="M28" s="50">
        <f>IF('쪽쟘(실측)'!H28&gt;0,'쪽쟘(실측)'!H28+0,0)+뒷날개치수더함</f>
        <v>1.2</v>
      </c>
      <c r="N28" s="50">
        <f>IF('쪽쟘(실측)'!I28&gt;0,'쪽쟘(실측)'!I28+0,0)+뒷날개치수더함</f>
        <v>1.2</v>
      </c>
      <c r="O28" s="50">
        <f>'쪽쟘(실측)'!J28-쪽쟘기둥차감</f>
        <v>0</v>
      </c>
      <c r="P28" s="50">
        <f>'쪽쟘(실측)'!K28-쪽쟘기둥차감</f>
        <v>0</v>
      </c>
      <c r="Q28" s="50">
        <f>'쪽쟘(실측)'!L28-쪽쟘기둥차감</f>
        <v>0</v>
      </c>
      <c r="R28" s="50">
        <f>'쪽쟘(실측)'!M28-쪽쟘기둥차감</f>
        <v>0</v>
      </c>
      <c r="S28" s="50">
        <f>'쪽쟘(실측)'!N28+뒷날개치수더함</f>
        <v>1.2</v>
      </c>
      <c r="T28" s="50">
        <f>'쪽쟘(실측)'!O28+뒷날개치수더함</f>
        <v>1.2</v>
      </c>
      <c r="U28" s="50">
        <f>'쪽쟘(실측)'!P28+뒷날개치수더함</f>
        <v>1.2</v>
      </c>
      <c r="V28" s="50">
        <f>'쪽쟘(실측)'!Q28+뒷날개치수더함</f>
        <v>1.2</v>
      </c>
      <c r="W28" s="50">
        <f>'쪽쟘(실측)'!R28-쪽쟘늘치차감</f>
        <v>0</v>
      </c>
      <c r="X28" s="50">
        <f>'쪽쟘(실측)'!S28-쪽쟘늘치차감</f>
        <v>0</v>
      </c>
      <c r="Y28" s="4">
        <f>IF('쪽쟘(실측)'!T28&gt;5,'쪽쟘(실측)'!T28+뒷날개치수더함,0)</f>
        <v>0</v>
      </c>
      <c r="Z28" s="4">
        <f>'쪽쟘(실측)'!U28</f>
        <v>0</v>
      </c>
      <c r="AA28" s="4">
        <f>'쪽쟘(실측)'!V28</f>
        <v>0</v>
      </c>
      <c r="AC28">
        <f t="shared" si="15"/>
        <v>2.4</v>
      </c>
      <c r="AD28">
        <f t="shared" si="16"/>
        <v>3.2000000000000011</v>
      </c>
      <c r="AE28">
        <f t="shared" si="17"/>
        <v>3.2000000000000011</v>
      </c>
      <c r="AF28">
        <f t="shared" si="18"/>
        <v>0</v>
      </c>
      <c r="AG28">
        <f t="shared" si="19"/>
        <v>3.2000000000000011</v>
      </c>
      <c r="AH28">
        <f t="shared" si="20"/>
        <v>0</v>
      </c>
    </row>
    <row r="29" spans="1:34" ht="19.5" customHeight="1" x14ac:dyDescent="0.3">
      <c r="A29" s="50">
        <f>'쪽쟘(실측)'!A29</f>
        <v>0</v>
      </c>
      <c r="B29" s="50" t="str">
        <f>'쪽쟘(실측)'!B29&amp;"F"</f>
        <v>F</v>
      </c>
      <c r="C29" s="50" t="str">
        <f t="shared" si="12"/>
        <v>2.4*3.2</v>
      </c>
      <c r="D29" s="50">
        <f>'쪽쟘(실측)'!C29-쪽쟘OP차감</f>
        <v>0</v>
      </c>
      <c r="E29" s="50">
        <f>'쪽쟘(실측)'!D29+쪽쟘J늘림+MAX(W29:X29)</f>
        <v>4.4000000000000004</v>
      </c>
      <c r="F29" s="50">
        <f>'쪽쟘(실측)'!E29+쪽쟘J늘림+MAX(W29:X29)</f>
        <v>4.4000000000000004</v>
      </c>
      <c r="G29" s="67" t="str">
        <f t="shared" si="13"/>
        <v>0*3.2</v>
      </c>
      <c r="H29" s="68" t="str">
        <f t="shared" si="14"/>
        <v>0*3.2</v>
      </c>
      <c r="I29" s="50">
        <f>IF('쪽쟘(실측)'!F29&gt;0,'쪽쟘(실측)'!F29-1.5,0)+뒷날개치수더함</f>
        <v>1.2</v>
      </c>
      <c r="J29" s="50">
        <f>IF('쪽쟘(실측)'!H29&gt;0,'쪽쟘(실측)'!H29-1.5,0)+뒷날개치수더함</f>
        <v>1.2</v>
      </c>
      <c r="K29" s="50">
        <f>IF('쪽쟘(실측)'!F29&gt;0,'쪽쟘(실측)'!F29+0,0)+뒷날개치수더함</f>
        <v>1.2</v>
      </c>
      <c r="L29" s="50">
        <f>IF('쪽쟘(실측)'!G29&gt;0,'쪽쟘(실측)'!G29+0,0)+뒷날개치수더함</f>
        <v>1.2</v>
      </c>
      <c r="M29" s="50">
        <f>IF('쪽쟘(실측)'!H29&gt;0,'쪽쟘(실측)'!H29+0,0)+뒷날개치수더함</f>
        <v>1.2</v>
      </c>
      <c r="N29" s="50">
        <f>IF('쪽쟘(실측)'!I29&gt;0,'쪽쟘(실측)'!I29+0,0)+뒷날개치수더함</f>
        <v>1.2</v>
      </c>
      <c r="O29" s="50">
        <f>'쪽쟘(실측)'!J29-쪽쟘기둥차감</f>
        <v>0</v>
      </c>
      <c r="P29" s="50">
        <f>'쪽쟘(실측)'!K29-쪽쟘기둥차감</f>
        <v>0</v>
      </c>
      <c r="Q29" s="50">
        <f>'쪽쟘(실측)'!L29-쪽쟘기둥차감</f>
        <v>0</v>
      </c>
      <c r="R29" s="50">
        <f>'쪽쟘(실측)'!M29-쪽쟘기둥차감</f>
        <v>0</v>
      </c>
      <c r="S29" s="50">
        <f>'쪽쟘(실측)'!N29+뒷날개치수더함</f>
        <v>1.2</v>
      </c>
      <c r="T29" s="50">
        <f>'쪽쟘(실측)'!O29+뒷날개치수더함</f>
        <v>1.2</v>
      </c>
      <c r="U29" s="50">
        <f>'쪽쟘(실측)'!P29+뒷날개치수더함</f>
        <v>1.2</v>
      </c>
      <c r="V29" s="50">
        <f>'쪽쟘(실측)'!Q29+뒷날개치수더함</f>
        <v>1.2</v>
      </c>
      <c r="W29" s="50">
        <f>'쪽쟘(실측)'!R29-쪽쟘늘치차감</f>
        <v>0</v>
      </c>
      <c r="X29" s="50">
        <f>'쪽쟘(실측)'!S29-쪽쟘늘치차감</f>
        <v>0</v>
      </c>
      <c r="Y29" s="4">
        <f>IF('쪽쟘(실측)'!T29&gt;5,'쪽쟘(실측)'!T29+뒷날개치수더함,0)</f>
        <v>0</v>
      </c>
      <c r="Z29" s="4">
        <f>'쪽쟘(실측)'!U29</f>
        <v>0</v>
      </c>
      <c r="AA29" s="4">
        <f>'쪽쟘(실측)'!V29</f>
        <v>0</v>
      </c>
      <c r="AC29">
        <f t="shared" si="15"/>
        <v>2.4</v>
      </c>
      <c r="AD29">
        <f t="shared" si="16"/>
        <v>3.2000000000000011</v>
      </c>
      <c r="AE29">
        <f t="shared" si="17"/>
        <v>3.2000000000000011</v>
      </c>
      <c r="AF29">
        <f t="shared" si="18"/>
        <v>0</v>
      </c>
      <c r="AG29">
        <f t="shared" si="19"/>
        <v>3.2000000000000011</v>
      </c>
      <c r="AH29">
        <f t="shared" si="20"/>
        <v>0</v>
      </c>
    </row>
    <row r="30" spans="1:34" ht="19.5" customHeight="1" x14ac:dyDescent="0.3">
      <c r="A30" s="50">
        <f>'쪽쟘(실측)'!A30</f>
        <v>0</v>
      </c>
      <c r="B30" s="50" t="str">
        <f>'쪽쟘(실측)'!B30&amp;"F"</f>
        <v>F</v>
      </c>
      <c r="C30" s="50" t="str">
        <f t="shared" si="12"/>
        <v>2.4*3.2</v>
      </c>
      <c r="D30" s="50">
        <f>'쪽쟘(실측)'!C30-쪽쟘OP차감</f>
        <v>0</v>
      </c>
      <c r="E30" s="50">
        <f>'쪽쟘(실측)'!D30+쪽쟘J늘림+MAX(W30:X30)</f>
        <v>4.4000000000000004</v>
      </c>
      <c r="F30" s="50">
        <f>'쪽쟘(실측)'!E30+쪽쟘J늘림+MAX(W30:X30)</f>
        <v>4.4000000000000004</v>
      </c>
      <c r="G30" s="67" t="str">
        <f t="shared" si="13"/>
        <v>0*3.2</v>
      </c>
      <c r="H30" s="68" t="str">
        <f t="shared" si="14"/>
        <v>0*3.2</v>
      </c>
      <c r="I30" s="50">
        <f>IF('쪽쟘(실측)'!F30&gt;0,'쪽쟘(실측)'!F30-1.5,0)+뒷날개치수더함</f>
        <v>1.2</v>
      </c>
      <c r="J30" s="50">
        <f>IF('쪽쟘(실측)'!H30&gt;0,'쪽쟘(실측)'!H30-1.5,0)+뒷날개치수더함</f>
        <v>1.2</v>
      </c>
      <c r="K30" s="50">
        <f>IF('쪽쟘(실측)'!F30&gt;0,'쪽쟘(실측)'!F30+0,0)+뒷날개치수더함</f>
        <v>1.2</v>
      </c>
      <c r="L30" s="50">
        <f>IF('쪽쟘(실측)'!G30&gt;0,'쪽쟘(실측)'!G30+0,0)+뒷날개치수더함</f>
        <v>1.2</v>
      </c>
      <c r="M30" s="50">
        <f>IF('쪽쟘(실측)'!H30&gt;0,'쪽쟘(실측)'!H30+0,0)+뒷날개치수더함</f>
        <v>1.2</v>
      </c>
      <c r="N30" s="50">
        <f>IF('쪽쟘(실측)'!I30&gt;0,'쪽쟘(실측)'!I30+0,0)+뒷날개치수더함</f>
        <v>1.2</v>
      </c>
      <c r="O30" s="50">
        <f>'쪽쟘(실측)'!J30-쪽쟘기둥차감</f>
        <v>0</v>
      </c>
      <c r="P30" s="50">
        <f>'쪽쟘(실측)'!K30-쪽쟘기둥차감</f>
        <v>0</v>
      </c>
      <c r="Q30" s="50">
        <f>'쪽쟘(실측)'!L30-쪽쟘기둥차감</f>
        <v>0</v>
      </c>
      <c r="R30" s="50">
        <f>'쪽쟘(실측)'!M30-쪽쟘기둥차감</f>
        <v>0</v>
      </c>
      <c r="S30" s="50">
        <f>'쪽쟘(실측)'!N30+뒷날개치수더함</f>
        <v>1.2</v>
      </c>
      <c r="T30" s="50">
        <f>'쪽쟘(실측)'!O30+뒷날개치수더함</f>
        <v>1.2</v>
      </c>
      <c r="U30" s="50">
        <f>'쪽쟘(실측)'!P30+뒷날개치수더함</f>
        <v>1.2</v>
      </c>
      <c r="V30" s="50">
        <f>'쪽쟘(실측)'!Q30+뒷날개치수더함</f>
        <v>1.2</v>
      </c>
      <c r="W30" s="50">
        <f>'쪽쟘(실측)'!R30-쪽쟘늘치차감</f>
        <v>0</v>
      </c>
      <c r="X30" s="50">
        <f>'쪽쟘(실측)'!S30-쪽쟘늘치차감</f>
        <v>0</v>
      </c>
      <c r="Y30" s="4">
        <f>IF('쪽쟘(실측)'!T30&gt;5,'쪽쟘(실측)'!T30+뒷날개치수더함,0)</f>
        <v>0</v>
      </c>
      <c r="Z30" s="4">
        <f>'쪽쟘(실측)'!U30</f>
        <v>0</v>
      </c>
      <c r="AA30" s="4">
        <f>'쪽쟘(실측)'!V30</f>
        <v>0</v>
      </c>
      <c r="AC30">
        <f t="shared" si="15"/>
        <v>2.4</v>
      </c>
      <c r="AD30">
        <f t="shared" si="16"/>
        <v>3.2000000000000011</v>
      </c>
      <c r="AE30">
        <f t="shared" si="17"/>
        <v>3.2000000000000011</v>
      </c>
      <c r="AF30">
        <f t="shared" si="18"/>
        <v>0</v>
      </c>
      <c r="AG30">
        <f t="shared" si="19"/>
        <v>3.2000000000000011</v>
      </c>
      <c r="AH30">
        <f t="shared" si="20"/>
        <v>0</v>
      </c>
    </row>
    <row r="31" spans="1:34" ht="19.5" customHeight="1" x14ac:dyDescent="0.3">
      <c r="A31" s="50">
        <f>'쪽쟘(실측)'!A31</f>
        <v>0</v>
      </c>
      <c r="B31" s="50" t="str">
        <f>'쪽쟘(실측)'!B31&amp;"F"</f>
        <v>F</v>
      </c>
      <c r="C31" s="50" t="str">
        <f t="shared" si="12"/>
        <v>2.4*3.2</v>
      </c>
      <c r="D31" s="50">
        <f>'쪽쟘(실측)'!C31-쪽쟘OP차감</f>
        <v>0</v>
      </c>
      <c r="E31" s="50">
        <f>'쪽쟘(실측)'!D31+쪽쟘J늘림+MAX(W31:X31)</f>
        <v>4.4000000000000004</v>
      </c>
      <c r="F31" s="50">
        <f>'쪽쟘(실측)'!E31+쪽쟘J늘림+MAX(W31:X31)</f>
        <v>4.4000000000000004</v>
      </c>
      <c r="G31" s="67" t="str">
        <f t="shared" si="13"/>
        <v>0*3.2</v>
      </c>
      <c r="H31" s="68" t="str">
        <f t="shared" si="14"/>
        <v>0*3.2</v>
      </c>
      <c r="I31" s="50">
        <f>IF('쪽쟘(실측)'!F31&gt;0,'쪽쟘(실측)'!F31-1.5,0)+뒷날개치수더함</f>
        <v>1.2</v>
      </c>
      <c r="J31" s="50">
        <f>IF('쪽쟘(실측)'!H31&gt;0,'쪽쟘(실측)'!H31-1.5,0)+뒷날개치수더함</f>
        <v>1.2</v>
      </c>
      <c r="K31" s="50">
        <f>IF('쪽쟘(실측)'!F31&gt;0,'쪽쟘(실측)'!F31+0,0)+뒷날개치수더함</f>
        <v>1.2</v>
      </c>
      <c r="L31" s="50">
        <f>IF('쪽쟘(실측)'!G31&gt;0,'쪽쟘(실측)'!G31+0,0)+뒷날개치수더함</f>
        <v>1.2</v>
      </c>
      <c r="M31" s="50">
        <f>IF('쪽쟘(실측)'!H31&gt;0,'쪽쟘(실측)'!H31+0,0)+뒷날개치수더함</f>
        <v>1.2</v>
      </c>
      <c r="N31" s="50">
        <f>IF('쪽쟘(실측)'!I31&gt;0,'쪽쟘(실측)'!I31+0,0)+뒷날개치수더함</f>
        <v>1.2</v>
      </c>
      <c r="O31" s="50">
        <f>'쪽쟘(실측)'!J31-쪽쟘기둥차감</f>
        <v>0</v>
      </c>
      <c r="P31" s="50">
        <f>'쪽쟘(실측)'!K31-쪽쟘기둥차감</f>
        <v>0</v>
      </c>
      <c r="Q31" s="50">
        <f>'쪽쟘(실측)'!L31-쪽쟘기둥차감</f>
        <v>0</v>
      </c>
      <c r="R31" s="50">
        <f>'쪽쟘(실측)'!M31-쪽쟘기둥차감</f>
        <v>0</v>
      </c>
      <c r="S31" s="50">
        <f>'쪽쟘(실측)'!N31+뒷날개치수더함</f>
        <v>1.2</v>
      </c>
      <c r="T31" s="50">
        <f>'쪽쟘(실측)'!O31+뒷날개치수더함</f>
        <v>1.2</v>
      </c>
      <c r="U31" s="50">
        <f>'쪽쟘(실측)'!P31+뒷날개치수더함</f>
        <v>1.2</v>
      </c>
      <c r="V31" s="50">
        <f>'쪽쟘(실측)'!Q31+뒷날개치수더함</f>
        <v>1.2</v>
      </c>
      <c r="W31" s="50">
        <f>'쪽쟘(실측)'!R31-쪽쟘늘치차감</f>
        <v>0</v>
      </c>
      <c r="X31" s="50">
        <f>'쪽쟘(실측)'!S31-쪽쟘늘치차감</f>
        <v>0</v>
      </c>
      <c r="Y31" s="4">
        <f>IF('쪽쟘(실측)'!T31&gt;5,'쪽쟘(실측)'!T31+뒷날개치수더함,0)</f>
        <v>0</v>
      </c>
      <c r="Z31" s="4">
        <f>'쪽쟘(실측)'!U31</f>
        <v>0</v>
      </c>
      <c r="AA31" s="4">
        <f>'쪽쟘(실측)'!V31</f>
        <v>0</v>
      </c>
      <c r="AC31">
        <f t="shared" si="15"/>
        <v>2.4</v>
      </c>
      <c r="AD31">
        <f t="shared" si="16"/>
        <v>3.2000000000000011</v>
      </c>
      <c r="AE31">
        <f t="shared" si="17"/>
        <v>3.2000000000000011</v>
      </c>
      <c r="AF31">
        <f t="shared" si="18"/>
        <v>0</v>
      </c>
      <c r="AG31">
        <f t="shared" si="19"/>
        <v>3.2000000000000011</v>
      </c>
      <c r="AH31">
        <f t="shared" si="20"/>
        <v>0</v>
      </c>
    </row>
    <row r="32" spans="1:34" ht="19.5" customHeight="1" x14ac:dyDescent="0.3">
      <c r="A32" s="50">
        <f>'쪽쟘(실측)'!A32</f>
        <v>0</v>
      </c>
      <c r="B32" s="50" t="str">
        <f>'쪽쟘(실측)'!B32&amp;"F"</f>
        <v>F</v>
      </c>
      <c r="C32" s="50" t="str">
        <f t="shared" si="12"/>
        <v>2.4*3.2</v>
      </c>
      <c r="D32" s="50">
        <f>'쪽쟘(실측)'!C32-쪽쟘OP차감</f>
        <v>0</v>
      </c>
      <c r="E32" s="50">
        <f>'쪽쟘(실측)'!D32+쪽쟘J늘림+MAX(W32:X32)</f>
        <v>4.4000000000000004</v>
      </c>
      <c r="F32" s="50">
        <f>'쪽쟘(실측)'!E32+쪽쟘J늘림+MAX(W32:X32)</f>
        <v>4.4000000000000004</v>
      </c>
      <c r="G32" s="67" t="str">
        <f t="shared" si="13"/>
        <v>0*3.2</v>
      </c>
      <c r="H32" s="68" t="str">
        <f t="shared" si="14"/>
        <v>0*3.2</v>
      </c>
      <c r="I32" s="50">
        <f>IF('쪽쟘(실측)'!F32&gt;0,'쪽쟘(실측)'!F32-1.5,0)+뒷날개치수더함</f>
        <v>1.2</v>
      </c>
      <c r="J32" s="50">
        <f>IF('쪽쟘(실측)'!H32&gt;0,'쪽쟘(실측)'!H32-1.5,0)+뒷날개치수더함</f>
        <v>1.2</v>
      </c>
      <c r="K32" s="50">
        <f>IF('쪽쟘(실측)'!F32&gt;0,'쪽쟘(실측)'!F32+0,0)+뒷날개치수더함</f>
        <v>1.2</v>
      </c>
      <c r="L32" s="50">
        <f>IF('쪽쟘(실측)'!G32&gt;0,'쪽쟘(실측)'!G32+0,0)+뒷날개치수더함</f>
        <v>1.2</v>
      </c>
      <c r="M32" s="50">
        <f>IF('쪽쟘(실측)'!H32&gt;0,'쪽쟘(실측)'!H32+0,0)+뒷날개치수더함</f>
        <v>1.2</v>
      </c>
      <c r="N32" s="50">
        <f>IF('쪽쟘(실측)'!I32&gt;0,'쪽쟘(실측)'!I32+0,0)+뒷날개치수더함</f>
        <v>1.2</v>
      </c>
      <c r="O32" s="50">
        <f>'쪽쟘(실측)'!J32-쪽쟘기둥차감</f>
        <v>0</v>
      </c>
      <c r="P32" s="50">
        <f>'쪽쟘(실측)'!K32-쪽쟘기둥차감</f>
        <v>0</v>
      </c>
      <c r="Q32" s="50">
        <f>'쪽쟘(실측)'!L32-쪽쟘기둥차감</f>
        <v>0</v>
      </c>
      <c r="R32" s="50">
        <f>'쪽쟘(실측)'!M32-쪽쟘기둥차감</f>
        <v>0</v>
      </c>
      <c r="S32" s="50">
        <f>'쪽쟘(실측)'!N32+뒷날개치수더함</f>
        <v>1.2</v>
      </c>
      <c r="T32" s="50">
        <f>'쪽쟘(실측)'!O32+뒷날개치수더함</f>
        <v>1.2</v>
      </c>
      <c r="U32" s="50">
        <f>'쪽쟘(실측)'!P32+뒷날개치수더함</f>
        <v>1.2</v>
      </c>
      <c r="V32" s="50">
        <f>'쪽쟘(실측)'!Q32+뒷날개치수더함</f>
        <v>1.2</v>
      </c>
      <c r="W32" s="50">
        <f>'쪽쟘(실측)'!R32-쪽쟘늘치차감</f>
        <v>0</v>
      </c>
      <c r="X32" s="50">
        <f>'쪽쟘(실측)'!S32-쪽쟘늘치차감</f>
        <v>0</v>
      </c>
      <c r="Y32" s="4">
        <f>IF('쪽쟘(실측)'!T32&gt;5,'쪽쟘(실측)'!T32+뒷날개치수더함,0)</f>
        <v>0</v>
      </c>
      <c r="Z32" s="4">
        <f>'쪽쟘(실측)'!U32</f>
        <v>0</v>
      </c>
      <c r="AA32" s="4">
        <f>'쪽쟘(실측)'!V32</f>
        <v>0</v>
      </c>
      <c r="AC32">
        <f t="shared" si="15"/>
        <v>2.4</v>
      </c>
      <c r="AD32">
        <f t="shared" si="16"/>
        <v>3.2000000000000011</v>
      </c>
      <c r="AE32">
        <f t="shared" si="17"/>
        <v>3.2000000000000011</v>
      </c>
      <c r="AF32">
        <f t="shared" si="18"/>
        <v>0</v>
      </c>
      <c r="AG32">
        <f t="shared" si="19"/>
        <v>3.2000000000000011</v>
      </c>
      <c r="AH32">
        <f t="shared" si="20"/>
        <v>0</v>
      </c>
    </row>
    <row r="33" spans="1:34" ht="19.5" customHeight="1" x14ac:dyDescent="0.3">
      <c r="A33" s="50">
        <f>'쪽쟘(실측)'!A33</f>
        <v>0</v>
      </c>
      <c r="B33" s="50" t="str">
        <f>'쪽쟘(실측)'!B33&amp;"F"</f>
        <v>F</v>
      </c>
      <c r="C33" s="50" t="str">
        <f t="shared" si="12"/>
        <v>2.4*3.2</v>
      </c>
      <c r="D33" s="50">
        <f>'쪽쟘(실측)'!C33-쪽쟘OP차감</f>
        <v>0</v>
      </c>
      <c r="E33" s="50">
        <f>'쪽쟘(실측)'!D33+쪽쟘J늘림+MAX(W33:X33)</f>
        <v>4.4000000000000004</v>
      </c>
      <c r="F33" s="50">
        <f>'쪽쟘(실측)'!E33+쪽쟘J늘림+MAX(W33:X33)</f>
        <v>4.4000000000000004</v>
      </c>
      <c r="G33" s="67" t="str">
        <f t="shared" si="13"/>
        <v>0*3.2</v>
      </c>
      <c r="H33" s="68" t="str">
        <f t="shared" si="14"/>
        <v>0*3.2</v>
      </c>
      <c r="I33" s="50">
        <f>IF('쪽쟘(실측)'!F33&gt;0,'쪽쟘(실측)'!F33-1.5,0)+뒷날개치수더함</f>
        <v>1.2</v>
      </c>
      <c r="J33" s="50">
        <f>IF('쪽쟘(실측)'!H33&gt;0,'쪽쟘(실측)'!H33-1.5,0)+뒷날개치수더함</f>
        <v>1.2</v>
      </c>
      <c r="K33" s="50">
        <f>IF('쪽쟘(실측)'!F33&gt;0,'쪽쟘(실측)'!F33+0,0)+뒷날개치수더함</f>
        <v>1.2</v>
      </c>
      <c r="L33" s="50">
        <f>IF('쪽쟘(실측)'!G33&gt;0,'쪽쟘(실측)'!G33+0,0)+뒷날개치수더함</f>
        <v>1.2</v>
      </c>
      <c r="M33" s="50">
        <f>IF('쪽쟘(실측)'!H33&gt;0,'쪽쟘(실측)'!H33+0,0)+뒷날개치수더함</f>
        <v>1.2</v>
      </c>
      <c r="N33" s="50">
        <f>IF('쪽쟘(실측)'!I33&gt;0,'쪽쟘(실측)'!I33+0,0)+뒷날개치수더함</f>
        <v>1.2</v>
      </c>
      <c r="O33" s="50">
        <f>'쪽쟘(실측)'!J33-쪽쟘기둥차감</f>
        <v>0</v>
      </c>
      <c r="P33" s="50">
        <f>'쪽쟘(실측)'!K33-쪽쟘기둥차감</f>
        <v>0</v>
      </c>
      <c r="Q33" s="50">
        <f>'쪽쟘(실측)'!L33-쪽쟘기둥차감</f>
        <v>0</v>
      </c>
      <c r="R33" s="50">
        <f>'쪽쟘(실측)'!M33-쪽쟘기둥차감</f>
        <v>0</v>
      </c>
      <c r="S33" s="50">
        <f>'쪽쟘(실측)'!N33+뒷날개치수더함</f>
        <v>1.2</v>
      </c>
      <c r="T33" s="50">
        <f>'쪽쟘(실측)'!O33+뒷날개치수더함</f>
        <v>1.2</v>
      </c>
      <c r="U33" s="50">
        <f>'쪽쟘(실측)'!P33+뒷날개치수더함</f>
        <v>1.2</v>
      </c>
      <c r="V33" s="50">
        <f>'쪽쟘(실측)'!Q33+뒷날개치수더함</f>
        <v>1.2</v>
      </c>
      <c r="W33" s="50">
        <f>'쪽쟘(실측)'!R33-쪽쟘늘치차감</f>
        <v>0</v>
      </c>
      <c r="X33" s="50">
        <f>'쪽쟘(실측)'!S33-쪽쟘늘치차감</f>
        <v>0</v>
      </c>
      <c r="Y33" s="4">
        <f>IF('쪽쟘(실측)'!T33&gt;5,'쪽쟘(실측)'!T33+뒷날개치수더함,0)</f>
        <v>0</v>
      </c>
      <c r="Z33" s="4">
        <f>'쪽쟘(실측)'!U33</f>
        <v>0</v>
      </c>
      <c r="AA33" s="4">
        <f>'쪽쟘(실측)'!V33</f>
        <v>0</v>
      </c>
      <c r="AC33">
        <f t="shared" si="15"/>
        <v>2.4</v>
      </c>
      <c r="AD33">
        <f t="shared" si="16"/>
        <v>3.2000000000000011</v>
      </c>
      <c r="AE33">
        <f t="shared" si="17"/>
        <v>3.2000000000000011</v>
      </c>
      <c r="AF33">
        <f t="shared" si="18"/>
        <v>0</v>
      </c>
      <c r="AG33">
        <f t="shared" si="19"/>
        <v>3.2000000000000011</v>
      </c>
      <c r="AH33">
        <f t="shared" si="20"/>
        <v>0</v>
      </c>
    </row>
    <row r="34" spans="1:34" ht="19.5" customHeight="1" x14ac:dyDescent="0.3">
      <c r="A34" s="50">
        <f>'쪽쟘(실측)'!A34</f>
        <v>0</v>
      </c>
      <c r="B34" s="50" t="str">
        <f>'쪽쟘(실측)'!B34&amp;"F"</f>
        <v>F</v>
      </c>
      <c r="C34" s="50" t="str">
        <f t="shared" si="12"/>
        <v>2.4*3.2</v>
      </c>
      <c r="D34" s="50">
        <f>'쪽쟘(실측)'!C34-쪽쟘OP차감</f>
        <v>0</v>
      </c>
      <c r="E34" s="50">
        <f>'쪽쟘(실측)'!D34+쪽쟘J늘림+MAX(W34:X34)</f>
        <v>4.4000000000000004</v>
      </c>
      <c r="F34" s="50">
        <f>'쪽쟘(실측)'!E34+쪽쟘J늘림+MAX(W34:X34)</f>
        <v>4.4000000000000004</v>
      </c>
      <c r="G34" s="67" t="str">
        <f t="shared" si="13"/>
        <v>0*3.2</v>
      </c>
      <c r="H34" s="68" t="str">
        <f t="shared" si="14"/>
        <v>0*3.2</v>
      </c>
      <c r="I34" s="50">
        <f>IF('쪽쟘(실측)'!F34&gt;0,'쪽쟘(실측)'!F34-1.5,0)+뒷날개치수더함</f>
        <v>1.2</v>
      </c>
      <c r="J34" s="50">
        <f>IF('쪽쟘(실측)'!H34&gt;0,'쪽쟘(실측)'!H34-1.5,0)+뒷날개치수더함</f>
        <v>1.2</v>
      </c>
      <c r="K34" s="50">
        <f>IF('쪽쟘(실측)'!F34&gt;0,'쪽쟘(실측)'!F34+0,0)+뒷날개치수더함</f>
        <v>1.2</v>
      </c>
      <c r="L34" s="50">
        <f>IF('쪽쟘(실측)'!G34&gt;0,'쪽쟘(실측)'!G34+0,0)+뒷날개치수더함</f>
        <v>1.2</v>
      </c>
      <c r="M34" s="50">
        <f>IF('쪽쟘(실측)'!H34&gt;0,'쪽쟘(실측)'!H34+0,0)+뒷날개치수더함</f>
        <v>1.2</v>
      </c>
      <c r="N34" s="50">
        <f>IF('쪽쟘(실측)'!I34&gt;0,'쪽쟘(실측)'!I34+0,0)+뒷날개치수더함</f>
        <v>1.2</v>
      </c>
      <c r="O34" s="50">
        <f>'쪽쟘(실측)'!J34-쪽쟘기둥차감</f>
        <v>0</v>
      </c>
      <c r="P34" s="50">
        <f>'쪽쟘(실측)'!K34-쪽쟘기둥차감</f>
        <v>0</v>
      </c>
      <c r="Q34" s="50">
        <f>'쪽쟘(실측)'!L34-쪽쟘기둥차감</f>
        <v>0</v>
      </c>
      <c r="R34" s="50">
        <f>'쪽쟘(실측)'!M34-쪽쟘기둥차감</f>
        <v>0</v>
      </c>
      <c r="S34" s="50">
        <f>'쪽쟘(실측)'!N34+뒷날개치수더함</f>
        <v>1.2</v>
      </c>
      <c r="T34" s="50">
        <f>'쪽쟘(실측)'!O34+뒷날개치수더함</f>
        <v>1.2</v>
      </c>
      <c r="U34" s="50">
        <f>'쪽쟘(실측)'!P34+뒷날개치수더함</f>
        <v>1.2</v>
      </c>
      <c r="V34" s="50">
        <f>'쪽쟘(실측)'!Q34+뒷날개치수더함</f>
        <v>1.2</v>
      </c>
      <c r="W34" s="50">
        <f>'쪽쟘(실측)'!R34-쪽쟘늘치차감</f>
        <v>0</v>
      </c>
      <c r="X34" s="50">
        <f>'쪽쟘(실측)'!S34-쪽쟘늘치차감</f>
        <v>0</v>
      </c>
      <c r="Y34" s="4">
        <f>IF('쪽쟘(실측)'!T34&gt;5,'쪽쟘(실측)'!T34+뒷날개치수더함,0)</f>
        <v>0</v>
      </c>
      <c r="Z34" s="4">
        <f>'쪽쟘(실측)'!U34</f>
        <v>0</v>
      </c>
      <c r="AA34" s="4">
        <f>'쪽쟘(실측)'!V34</f>
        <v>0</v>
      </c>
      <c r="AC34">
        <f t="shared" si="15"/>
        <v>2.4</v>
      </c>
      <c r="AD34">
        <f t="shared" si="16"/>
        <v>3.2000000000000011</v>
      </c>
      <c r="AE34">
        <f t="shared" si="17"/>
        <v>3.2000000000000011</v>
      </c>
      <c r="AF34">
        <f t="shared" si="18"/>
        <v>0</v>
      </c>
      <c r="AG34">
        <f t="shared" si="19"/>
        <v>3.2000000000000011</v>
      </c>
      <c r="AH34">
        <f t="shared" si="20"/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34 M7:M34 S7:S34">
    <cfRule type="cellIs" dxfId="58" priority="4" operator="notEqual">
      <formula>L7</formula>
    </cfRule>
  </conditionalFormatting>
  <conditionalFormatting sqref="L7:L34 N7:N34 T7:T34">
    <cfRule type="cellIs" dxfId="57" priority="3" operator="notEqual">
      <formula>K7</formula>
    </cfRule>
  </conditionalFormatting>
  <conditionalFormatting sqref="Y7:AA34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Z13" sqref="Z13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299" t="str">
        <f>정보!B1&amp;" (제작치수 샤링작지) "&amp;정보!B6&amp;" 소장"</f>
        <v>(판매)계룡대-2차 (제작치수 샤링작지) 손상민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 x14ac:dyDescent="0.3">
      <c r="A2" s="300" t="str">
        <f>"총 : " &amp; COUNTA(A7:A200) &amp;" (SET)"</f>
        <v>총 : 2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ROUNDUP((SUM(AB7:AB200)+SUM(AD7:AD200))/1200,0) &amp;" 매"</f>
        <v>예상매수 : 0 매</v>
      </c>
      <c r="H3" s="289"/>
      <c r="I3" s="292">
        <v>0</v>
      </c>
      <c r="J3" s="292"/>
      <c r="K3" s="63"/>
      <c r="L3" s="63"/>
      <c r="M3" s="247" t="s">
        <v>161</v>
      </c>
      <c r="N3" s="247"/>
      <c r="O3" s="247"/>
      <c r="P3" s="293">
        <v>0</v>
      </c>
      <c r="Q3" s="293"/>
      <c r="R3" s="244" t="s">
        <v>162</v>
      </c>
      <c r="S3" s="244"/>
      <c r="T3" s="64"/>
      <c r="U3" s="294">
        <v>4</v>
      </c>
      <c r="V3" s="294"/>
      <c r="W3" s="65"/>
      <c r="X3" s="65"/>
    </row>
    <row r="4" spans="1:31" ht="9.75" customHeight="1" x14ac:dyDescent="0.3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8"/>
      <c r="L6" s="238"/>
      <c r="M6" s="296"/>
      <c r="N6" s="296"/>
      <c r="O6" s="209"/>
      <c r="P6" s="209"/>
      <c r="Q6" s="209"/>
      <c r="R6" s="209"/>
      <c r="S6" s="209"/>
      <c r="T6" s="297"/>
      <c r="U6" s="238"/>
      <c r="V6" s="238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*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*</v>
      </c>
      <c r="H7" s="68" t="str">
        <f>IF(OR(쪽쟘제작!N7&lt;&gt;쪽쟘제작!M7,쪽쟘제작!Q7&lt;&gt;쪽쟘제작!R7),"",AE7&amp;"*"&amp;AD7)</f>
        <v>*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*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*</v>
      </c>
      <c r="H8" s="68" t="str">
        <f>IF(쪽쟘제작!N8&lt;&gt;쪽쟘제작!M8,"",AE8&amp;"*"&amp;AD8)</f>
        <v>*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6" t="str">
        <f>정보!E2</f>
        <v>(SO와이드) 실측서 ( (판매)계룡대-2차 ) _손상민소장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(판매)계룡대-2차,   (재질) : VB Ti Gold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 x14ac:dyDescent="0.3">
      <c r="A4" s="303" t="str">
        <f>정보!B10</f>
        <v>제작치수 반영 : MH + (1.2), JB/JD +(2.2 ),  늘어난치수K -(-2.2),  C + (4.4),   U + (4.4), OP - (0), R - (0),  기둥차감 - (0), A + (1.2)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7" t="str">
        <f>정보!F2</f>
        <v>(SO와이드) 제작변환 ( (판매)계룡대-2차 ) _손상민소장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1.2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4.4000000000000004</v>
      </c>
      <c r="U2" s="191"/>
      <c r="V2" s="167" t="s">
        <v>83</v>
      </c>
      <c r="W2" s="193"/>
      <c r="X2" s="193"/>
      <c r="Y2" s="194">
        <v>0</v>
      </c>
      <c r="Z2" s="194"/>
      <c r="AA2" s="322">
        <f>정보!B5</f>
        <v>0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0</v>
      </c>
      <c r="AO2" s="318"/>
      <c r="AP2" s="1"/>
      <c r="AQ2" s="319" t="s">
        <v>229</v>
      </c>
      <c r="AR2" s="320"/>
      <c r="AS2" s="321">
        <v>1.2</v>
      </c>
      <c r="AT2" s="321"/>
      <c r="AU2" s="1"/>
      <c r="AV2" s="1"/>
    </row>
    <row r="3" spans="1:66" ht="24.75" customHeight="1" x14ac:dyDescent="0.3">
      <c r="A3" s="28" t="str">
        <f>'SO와이드(실측)'!A3</f>
        <v>현장명 : (판매)계룡대-2차,   (재질) : VB Ti Gold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4.4000000000000004</v>
      </c>
      <c r="Q3" s="220"/>
      <c r="R3" s="190" t="s">
        <v>77</v>
      </c>
      <c r="S3" s="190"/>
      <c r="T3" s="197">
        <v>4.4000000000000004</v>
      </c>
      <c r="U3" s="197"/>
      <c r="V3" s="198" t="s">
        <v>227</v>
      </c>
      <c r="W3" s="198"/>
      <c r="X3" s="198"/>
      <c r="Y3" s="199">
        <f>BN7</f>
        <v>1</v>
      </c>
      <c r="Z3" s="199"/>
      <c r="AA3" s="315" t="s">
        <v>78</v>
      </c>
      <c r="AB3" s="315"/>
      <c r="AC3" s="325">
        <v>1.2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327</v>
      </c>
      <c r="AT3" s="228"/>
      <c r="AU3" s="231">
        <f>AY7</f>
        <v>0</v>
      </c>
      <c r="AV3" s="232"/>
      <c r="BN3" s="177" t="s">
        <v>253</v>
      </c>
    </row>
    <row r="4" spans="1:66" ht="33" customHeight="1" x14ac:dyDescent="0.3">
      <c r="A4" s="163" t="str">
        <f>정보!B10</f>
        <v>제작치수 반영 : MH + (1.2), JB/JD +(2.2 ),  늘어난치수K -(-2.2),  C + (4.4),   U + (4.4), OP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313</v>
      </c>
      <c r="AH4" s="316"/>
      <c r="AI4" s="275">
        <f>'SO와이드(실측)'!AA7</f>
        <v>0</v>
      </c>
      <c r="AJ4" s="275"/>
      <c r="AK4" s="222">
        <f ca="1">TODAY()</f>
        <v>45279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1.2</v>
      </c>
      <c r="D7" s="31">
        <f>'SO와이드(실측)'!D7+SO와이드MH더함-IF(AND(소장="추영덕",AB7=0),1.2)</f>
        <v>1.2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4.4000000000000004</v>
      </c>
      <c r="I7" s="50">
        <f>'SO와이드(실측)'!I7+SO와이드JBJD키움치수+IF(BN7=1,AI7,0)</f>
        <v>4.4000000000000004</v>
      </c>
      <c r="J7" s="50">
        <f>'SO와이드(실측)'!J7+MAX(AW7,AX7)+SO와이드JBJD키움치수+IF(BN7=1,AG7,0)</f>
        <v>4.4000000000000004</v>
      </c>
      <c r="K7" s="50">
        <f>'SO와이드(실측)'!J7+MAX(AW7,AX7)+SO와이드JBJD키움치수+IF(BN7=1,AH7,0)-IF(SO와이드JB하부늘치=1,'SO와이드(실측)'!AA7-'SO와이드(실측)'!AB7,0)</f>
        <v>4.4000000000000004</v>
      </c>
      <c r="L7" s="50">
        <f>'SO와이드(실측)'!K7+MAX(AW7,AX7)+SO와이드JBJD키움치수+IF(BN7=1,AI7,0)</f>
        <v>4.4000000000000004</v>
      </c>
      <c r="M7" s="50">
        <f>'SO와이드(실측)'!K7+MAX(AW7,AX7)+SO와이드JBJD키움치수+IF(BN7=1,AJ7,0)-IF(SO와이드JB하부늘치=1,'SO와이드(실측)'!AC7-'SO와이드(실측)'!AD7,0)</f>
        <v>4.4000000000000004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0</v>
      </c>
      <c r="Q7" s="31">
        <f t="shared" si="0"/>
        <v>0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>
        <f>ROUNDUP(BA7,1)</f>
        <v>0</v>
      </c>
      <c r="U7" s="137">
        <f>ROUNDUP(BB7,1)</f>
        <v>0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3.2</v>
      </c>
      <c r="AD7" s="31">
        <f>'SO와이드(실측)'!X7+뒷날개치수더함</f>
        <v>1.2</v>
      </c>
      <c r="AE7" s="31">
        <f>'SO와이드(실측)'!Y7+뒷날개치수더함</f>
        <v>1.2</v>
      </c>
      <c r="AF7" s="31">
        <f>'SO와이드(실측)'!Z7+뒷날개치수더함</f>
        <v>1.2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1.2</v>
      </c>
      <c r="AL7" s="31">
        <f xml:space="preserve"> IF(소장&lt;&gt;"손상민",IF('SO와이드(실측)'!AF7&gt;0,'SO와이드(실측)'!AF7,D7-1.2),IF('SO와이드(실측)'!AF7&gt;0,'SO와이드(실측)'!AF7+1.2,D7) )</f>
        <v>1.2</v>
      </c>
      <c r="AM7" s="51">
        <f>IF(AC7&gt;0,AC7-MAX(T7,U7),0)</f>
        <v>3.2</v>
      </c>
      <c r="AN7" s="31" t="str">
        <f t="shared" ref="AN7" si="1">BF7&amp;"*"&amp;BG7</f>
        <v>0*2</v>
      </c>
      <c r="AO7" s="31" t="str">
        <f t="shared" ref="AO7" si="2">BI7&amp;"*"&amp;BH7</f>
        <v>1.2*3.2</v>
      </c>
      <c r="AP7" s="31" t="str">
        <f t="shared" ref="AP7" si="3">BK7&amp;"*"&amp;BJ7</f>
        <v>1.2*3.2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0</v>
      </c>
      <c r="AZ7" s="20">
        <f>DEGREES(ATAN((G7-(E7+F7))/2/(I7)))</f>
        <v>0</v>
      </c>
      <c r="BA7" s="21">
        <f>INT(ABS(H7-COS(RADIANS(AY7))*J7)*10)/10</f>
        <v>0</v>
      </c>
      <c r="BB7" s="21">
        <f>INT(ABS(I7-COS(RADIANS(AZ7))*L7)*10)/10</f>
        <v>0</v>
      </c>
      <c r="BC7" s="21">
        <f>'SO와이드(실측)'!N7+AW7</f>
        <v>0</v>
      </c>
      <c r="BD7" s="21">
        <f>'SO와이드(실측)'!O7+AW7</f>
        <v>0</v>
      </c>
      <c r="BE7" s="20">
        <f>BA7-MAX(BC7,BD7)</f>
        <v>0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2.0000000000000009</v>
      </c>
      <c r="BH7" s="41">
        <f>V7+R7+MAX(J7,K7)+AE7-1.2*$AP$3+IF(BN7=0,MAX(AH7,AG7),0)+IF(V7=0,1.2,0)-IF(AV7=90,2.4,0)</f>
        <v>3.2000000000000011</v>
      </c>
      <c r="BI7" s="41">
        <f>MAX(X7,Y7)+AK7</f>
        <v>1.2</v>
      </c>
      <c r="BJ7" s="41">
        <f>W7+S7+MAX(L7,M7)+AF7-1.2*$AP$3+IF(BN7=0,MAX(AI7,AJ7),0)+IF(W7=0,1.2,0)-IF(AV7=90,2.4,0)</f>
        <v>3.2000000000000011</v>
      </c>
      <c r="BK7" s="41">
        <f>MAX(Z7,AA7)+AL7</f>
        <v>1.2</v>
      </c>
      <c r="BL7" s="6">
        <f t="shared" ref="BL7" si="4">J7-H7-T7</f>
        <v>0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W7" sqref="W7:AA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5" t="str">
        <f>정보!E3</f>
        <v>(SO멍텅구리) 실측서 ( (판매)계룡대-2차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(판매)계룡대-2차,   (재질) : HL 1.2T</v>
      </c>
      <c r="B3" s="2"/>
      <c r="C3" s="2"/>
      <c r="D3" s="2"/>
      <c r="E3" s="2"/>
      <c r="F3" s="2"/>
      <c r="G3" s="2"/>
      <c r="H3" s="237"/>
      <c r="I3" s="237"/>
      <c r="J3" s="246"/>
      <c r="K3" s="246"/>
      <c r="L3" s="247"/>
      <c r="M3" s="247"/>
      <c r="N3" s="248"/>
      <c r="O3" s="248"/>
      <c r="P3" s="248"/>
      <c r="Q3" s="243" t="s">
        <v>97</v>
      </c>
      <c r="R3" s="243"/>
      <c r="S3" s="244"/>
      <c r="T3" s="244"/>
      <c r="U3" s="245"/>
      <c r="V3" s="245"/>
      <c r="W3" s="245"/>
    </row>
    <row r="4" spans="1:41" ht="33" customHeight="1" x14ac:dyDescent="0.3">
      <c r="A4" s="163" t="str">
        <f>정보!B14</f>
        <v>제작치수 반영 : JB/JD +(4.4 ),  늘어난치수K -(0),  C + (4.4),  U +(4.4), OP1/OP2 -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8" t="s">
        <v>22</v>
      </c>
      <c r="U5" s="304" t="s">
        <v>242</v>
      </c>
      <c r="V5" s="305" t="s">
        <v>238</v>
      </c>
      <c r="W5" s="240" t="s">
        <v>21</v>
      </c>
      <c r="X5" s="241"/>
      <c r="Y5" s="241"/>
      <c r="Z5" s="242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9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정보!F3</f>
        <v>(SO멍텅구리) 제작변환 ( (판매)계룡대-2차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 x14ac:dyDescent="0.3">
      <c r="A2" s="97" t="s">
        <v>85</v>
      </c>
      <c r="B2" s="140">
        <v>0</v>
      </c>
      <c r="C2" s="340" t="s">
        <v>290</v>
      </c>
      <c r="D2" s="340"/>
      <c r="E2" s="116">
        <v>0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0</v>
      </c>
      <c r="X2" s="218" t="s">
        <v>88</v>
      </c>
      <c r="Y2" s="218"/>
      <c r="Z2" s="337">
        <v>4.4000000000000004</v>
      </c>
      <c r="AA2" s="337"/>
      <c r="AB2" s="22"/>
      <c r="AC2" s="189" t="s">
        <v>82</v>
      </c>
      <c r="AD2" s="190"/>
      <c r="AE2" s="338">
        <v>0</v>
      </c>
      <c r="AF2" s="338"/>
      <c r="AG2" s="142" t="s">
        <v>90</v>
      </c>
      <c r="AH2" s="339">
        <v>0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 x14ac:dyDescent="0.3">
      <c r="A3" s="33" t="str">
        <f>'SO멍텅(실측)'!A3</f>
        <v>현장명 : (판매)계룡대-2차,   (재질) : HL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4.4000000000000004</v>
      </c>
      <c r="L3" s="220"/>
      <c r="M3" s="220"/>
      <c r="N3" s="220"/>
      <c r="O3" s="190" t="s">
        <v>77</v>
      </c>
      <c r="P3" s="190"/>
      <c r="Q3" s="197">
        <v>4.4000000000000004</v>
      </c>
      <c r="R3" s="197"/>
      <c r="S3" s="218" t="s">
        <v>227</v>
      </c>
      <c r="T3" s="218"/>
      <c r="U3" s="218"/>
      <c r="V3" s="330">
        <f>BE7</f>
        <v>1</v>
      </c>
      <c r="W3" s="330"/>
      <c r="X3" s="218" t="s">
        <v>78</v>
      </c>
      <c r="Y3" s="218"/>
      <c r="Z3" s="334">
        <v>1.2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328</v>
      </c>
      <c r="AK3" s="281"/>
      <c r="AL3" s="212"/>
      <c r="AM3" s="333">
        <f>AR7</f>
        <v>0</v>
      </c>
      <c r="AN3" s="162"/>
      <c r="AO3" s="25"/>
      <c r="AP3" s="25"/>
      <c r="AQ3" s="24"/>
      <c r="AW3" s="24"/>
    </row>
    <row r="4" spans="1:58" ht="33" customHeight="1" x14ac:dyDescent="0.3">
      <c r="A4" s="163" t="str">
        <f>'SO멍텅(실측)'!A4:AA4</f>
        <v>제작치수 반영 : JB/JD +(4.4 ),  늘어난치수K -(0),  C + (4.4),  U +(4.4), OP1/OP2 -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314</v>
      </c>
      <c r="AD4" s="331"/>
      <c r="AE4" s="332">
        <f>'SO멍텅(실측)'!W7</f>
        <v>0</v>
      </c>
      <c r="AF4" s="332"/>
      <c r="AG4" s="158"/>
      <c r="AH4" s="329">
        <f ca="1">TODAY()</f>
        <v>45279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8" t="s">
        <v>62</v>
      </c>
      <c r="O5" s="238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8" t="s">
        <v>22</v>
      </c>
      <c r="AA5" s="304" t="s">
        <v>242</v>
      </c>
      <c r="AB5" s="305" t="s">
        <v>238</v>
      </c>
      <c r="AC5" s="240" t="s">
        <v>21</v>
      </c>
      <c r="AD5" s="241"/>
      <c r="AE5" s="241"/>
      <c r="AF5" s="242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305</v>
      </c>
      <c r="AP5" s="177" t="s">
        <v>306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9"/>
      <c r="O6" s="239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9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4.4000000000000004</v>
      </c>
      <c r="G7" s="4">
        <f>'SO멍텅(실측)'!G7+MAX(AO7,AP7)+IF(BE7=1,AE7,0)+SO멍텅JBJD늘림치수</f>
        <v>4.4000000000000004</v>
      </c>
      <c r="H7" s="4">
        <f>'SO멍텅(실측)'!H7+AO7+IF(BE7=1,AC7,0)+SO멍텅JB강제키움+SO멍텅JBJD늘림치수</f>
        <v>4.4000000000000004</v>
      </c>
      <c r="I7" s="4">
        <f>'SO멍텅(실측)'!H7+AO7+IF(BE7=1,AD7,0)+SO멍텅JB강제키움+SO멍텅JBJD늘림치수-IF(SO멍텅JB하부늘치=1,'SO멍텅(실측)'!W7-'SO멍텅(실측)'!X7,0)</f>
        <v>4.4000000000000004</v>
      </c>
      <c r="J7" s="4">
        <f>'SO멍텅(실측)'!I7+AP7+IF(BE7=1,AE7,0)+SO멍텅JB강제키움+SO멍텅JBJD늘림치수</f>
        <v>4.4000000000000004</v>
      </c>
      <c r="K7" s="4">
        <f>'SO멍텅(실측)'!I7+AP7+IF(BE7=1,AF7,0)+SO멍텅JB강제키움+SO멍텅JBJD늘림치수-IF(SO멍텅JB하부늘치=1,'SO멍텅(실측)'!Y7-'SO멍텅(실측)'!Z7,0)</f>
        <v>4.4000000000000004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1</v>
      </c>
      <c r="O7" s="4">
        <f t="shared" si="0"/>
        <v>1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1.2</v>
      </c>
      <c r="AA7" s="4">
        <f>'SO멍텅(실측)'!U7+뒷날개치수더함</f>
        <v>1.2</v>
      </c>
      <c r="AB7" s="4">
        <f>'SO멍텅(실측)'!V7+뒷날개치수더함</f>
        <v>1.2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0*2</v>
      </c>
      <c r="AH7" s="12" t="str">
        <f t="shared" ref="AH7" si="2">AZ7&amp;"*"&amp;AY7</f>
        <v>0*3</v>
      </c>
      <c r="AI7" s="10" t="str">
        <f t="shared" ref="AI7" si="3">BB7&amp;"*"&amp;BA7</f>
        <v>0*3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0</v>
      </c>
      <c r="AS7" s="17">
        <f>DEGREES(ATAN((E7-(C7+D7))/2/(G7)))</f>
        <v>0</v>
      </c>
      <c r="AT7" s="36">
        <f>ABS(F7-COS(RADIANS(AR7))*H7)</f>
        <v>0</v>
      </c>
      <c r="AU7" s="36">
        <f>G7-COS(RADIANS(AS7))*J7</f>
        <v>0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2.0000000000000009</v>
      </c>
      <c r="AY7" s="3">
        <f>R7+P7+MAX(H7,I7)+AA7-1.2*$AI$3+IF(BE7=0,MAX(AC7,AD7))+IF(R7=0,1.2,0)-IF(AL7=90,2.4,0)</f>
        <v>3.0000000000000009</v>
      </c>
      <c r="AZ7" s="3">
        <f t="shared" ref="AZ7" si="5">MAX(T7,U7)</f>
        <v>0</v>
      </c>
      <c r="BA7" s="3">
        <f>S7+Q7+MAX(J7,K7)+AB7-1.2*$AI$3+IF(BE7=0,MAX(AE7,AF7))+IF(S7=0,1.2,0)-IF(AL7=90,2.4,0)</f>
        <v>3.0000000000000009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D29" sqref="AD29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6" t="str">
        <f>정보!H2</f>
        <v>(4CO와이드) 실측서 ( (판매)계룡대-2차 ) _손상민소장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(판매)계룡대-2차,   (재질) : VB Ti Gold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 x14ac:dyDescent="0.3">
      <c r="A4" s="303" t="str">
        <f>정보!B15</f>
        <v>제작치수 반영 : MH + (1.2), JB/JD +(4.4 ),  늘어난치수K -(0),  C + (4.4),   U + (4.4), OP1/OP3 - (0), R - (0),  기둥차감 - (0), A + (1.2)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6" t="str">
        <f>정보!I2</f>
        <v>(4CO와이드) 제작변환 ( (판매)계룡대-2차 ) _손상민소장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1.2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4.4000000000000004</v>
      </c>
      <c r="W2" s="191"/>
      <c r="X2" s="283" t="s">
        <v>83</v>
      </c>
      <c r="Y2" s="198"/>
      <c r="Z2" s="198"/>
      <c r="AA2" s="194">
        <v>0</v>
      </c>
      <c r="AB2" s="194"/>
      <c r="AC2" s="322">
        <f>정보!B5</f>
        <v>0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0</v>
      </c>
      <c r="AP2" s="341"/>
      <c r="AQ2" s="1"/>
      <c r="AR2" s="319" t="s">
        <v>229</v>
      </c>
      <c r="AS2" s="320"/>
      <c r="AT2" s="321">
        <v>1.2</v>
      </c>
      <c r="AU2" s="321"/>
      <c r="AV2" s="1"/>
      <c r="AW2" s="1"/>
    </row>
    <row r="3" spans="1:66" ht="24.75" customHeight="1" x14ac:dyDescent="0.3">
      <c r="A3" s="28" t="str">
        <f>'4CO와이드(실측)'!A3</f>
        <v>현장명 : (판매)계룡대-2차,   (재질) : VB Ti Gold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4.4000000000000004</v>
      </c>
      <c r="S3" s="220"/>
      <c r="T3" s="190" t="s">
        <v>77</v>
      </c>
      <c r="U3" s="190"/>
      <c r="V3" s="197">
        <v>4.4000000000000004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1.2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329</v>
      </c>
      <c r="AU3" s="342"/>
      <c r="AV3" s="231">
        <f>AZ7</f>
        <v>0</v>
      </c>
      <c r="AW3" s="232"/>
      <c r="BN3" s="177" t="s">
        <v>253</v>
      </c>
    </row>
    <row r="4" spans="1:66" ht="33" customHeight="1" x14ac:dyDescent="0.3">
      <c r="A4" s="163" t="str">
        <f>정보!B15</f>
        <v>제작치수 반영 : MH + (1.2), JB/JD +(4.4 ),  늘어난치수K -(0),  C + (4.4),   U + (4.4), OP1/OP3 -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315</v>
      </c>
      <c r="AI4" s="343"/>
      <c r="AJ4" s="343">
        <f>'4CO와이드(실측)'!AB7</f>
        <v>0</v>
      </c>
      <c r="AK4" s="343"/>
      <c r="AL4" s="222">
        <f ca="1">TODAY()</f>
        <v>45279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296</v>
      </c>
      <c r="Q5" s="311" t="s">
        <v>297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1.2</v>
      </c>
      <c r="D7" s="31">
        <f>'4CO와이드(실측)'!D7+CO4와이드MH더함-IF(AND(소장="추영덕",AD7=0),1.2)</f>
        <v>1.2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4.4000000000000004</v>
      </c>
      <c r="J7" s="50">
        <f>'4CO와이드(실측)'!J7+CO4와이드JBJD키움치수+IF(BN7=1,MAX(AH7,AJ7),0)</f>
        <v>4.4000000000000004</v>
      </c>
      <c r="K7" s="50">
        <f>'4CO와이드(실측)'!K7+CO4와이드JBJD키움치수+IF(BN7=1,AJ7,0)</f>
        <v>4.4000000000000004</v>
      </c>
      <c r="L7" s="50">
        <f>'4CO와이드(실측)'!L7+MAX(AX7,AY7)+CO4와이드JBJD키움치수+IF(BN7=1,AH7,0)</f>
        <v>4.4000000000000004</v>
      </c>
      <c r="M7" s="50">
        <f>'4CO와이드(실측)'!L7+MAX(AX7,AY7)+CO4와이드JBJD키움치수+IF(BN7=1,AI7,0)-IF(CO4와이드JB하부늘치=1,'4CO와이드(실측)'!AB7-'4CO와이드(실측)'!AC7,0)</f>
        <v>4.4000000000000004</v>
      </c>
      <c r="N7" s="50">
        <f>'4CO와이드(실측)'!M7+MAX(AX7,AY7)+CO4와이드JBJD키움치수+IF(BN7=1,AJ7,0)</f>
        <v>4.4000000000000004</v>
      </c>
      <c r="O7" s="50">
        <f>'4CO와이드(실측)'!M7+MAX(AX7,AY7)+CO4와이드JBJD키움치수+IF(BN7=1,AK7,0)-IF(CO4와이드JB하부늘치=1,'4CO와이드(실측)'!AD7-'4CO와이드(실측)'!AE7,0)</f>
        <v>4.4000000000000004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0</v>
      </c>
      <c r="S7" s="31">
        <f t="shared" si="0"/>
        <v>0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</v>
      </c>
      <c r="W7" s="137">
        <f>ROUNDUP(BB7,1)</f>
        <v>0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3.2</v>
      </c>
      <c r="AF7" s="31">
        <f>'4CO와이드(실측)'!Z7+뒷날개치수더함</f>
        <v>1.2</v>
      </c>
      <c r="AG7" s="31">
        <f>'4CO와이드(실측)'!AA7+뒷날개치수더함</f>
        <v>1.2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1.2</v>
      </c>
      <c r="AM7" s="31">
        <f xml:space="preserve"> IF(소장&lt;&gt;"손상민",IF('4CO와이드(실측)'!AG7&gt;0,'4CO와이드(실측)'!AG7,D7-1.2),IF('4CO와이드(실측)'!AG7&gt;0,'4CO와이드(실측)'!AG7+1.2,D7))</f>
        <v>1.2</v>
      </c>
      <c r="AN7" s="51">
        <f>IF(AE7&gt;0,AE7-MAX(V7,W7),0)</f>
        <v>3.2</v>
      </c>
      <c r="AO7" s="31" t="str">
        <f t="shared" ref="AO7" si="1">BF7&amp;"*"&amp;BG7</f>
        <v>0*2</v>
      </c>
      <c r="AP7" s="31" t="str">
        <f t="shared" ref="AP7" si="2">BI7&amp;"*"&amp;BH7</f>
        <v>1.2*3.2</v>
      </c>
      <c r="AQ7" s="31" t="str">
        <f t="shared" ref="AQ7" si="3">BK7&amp;"*"&amp;BJ7</f>
        <v>1.2*3.2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0</v>
      </c>
      <c r="BA7" s="21">
        <f>ABS(I7-COS(RADIANS(AZ7))*L7)</f>
        <v>0</v>
      </c>
      <c r="BB7" s="21">
        <f>ABS(K7-COS(RADIANS(AZ7))*N7)</f>
        <v>0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2.0000000000000009</v>
      </c>
      <c r="BH7" s="41">
        <f>X7+T7+MAX(L7,M7)+AG7-1.2*$AQ$3+IF(BN7=0,MAX(AI7,AH7),0)+IF(X7=0,1.2,0)-IF(AW7=90,2.4,0)</f>
        <v>3.2000000000000011</v>
      </c>
      <c r="BI7" s="41">
        <f>MAX(Z7,AA7)+AL7</f>
        <v>1.2</v>
      </c>
      <c r="BJ7" s="41">
        <f>Y7+U7+MAX(N7,O7)+AG7-1.2*$AQ$3+IF(BN7=0,MAX(AJ7,AK7),0)+IF(Y7=0,1.2,0)-IF(AW7=90,2.4,0)</f>
        <v>3.2000000000000011</v>
      </c>
      <c r="BK7" s="41">
        <f>MAX(AB7,AC7)+AM7</f>
        <v>1.2</v>
      </c>
      <c r="BL7" s="6">
        <f>L7-I7-V7</f>
        <v>0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K10" sqref="K10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5" t="str">
        <f>정보!H3</f>
        <v>(4CO멍텅구리) 실측서 ( (판매)계룡대-2차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(판매)계룡대-2차,   (재질) : HL 1.2T</v>
      </c>
      <c r="B3" s="2"/>
      <c r="C3" s="2"/>
      <c r="D3" s="2"/>
      <c r="E3" s="2"/>
      <c r="F3" s="2"/>
      <c r="G3" s="2"/>
      <c r="H3" s="2"/>
      <c r="I3" s="2"/>
      <c r="J3" s="237"/>
      <c r="K3" s="237"/>
      <c r="L3" s="246"/>
      <c r="M3" s="246"/>
      <c r="N3" s="247"/>
      <c r="O3" s="247"/>
      <c r="P3" s="248"/>
      <c r="Q3" s="248"/>
      <c r="R3" s="248"/>
      <c r="S3" s="243" t="s">
        <v>97</v>
      </c>
      <c r="T3" s="243"/>
      <c r="U3" s="244"/>
      <c r="V3" s="244"/>
      <c r="W3" s="245"/>
      <c r="X3" s="245"/>
    </row>
    <row r="4" spans="1:42" ht="33" customHeight="1" x14ac:dyDescent="0.3">
      <c r="A4" s="163" t="str">
        <f>정보!B16</f>
        <v>제작치수 반영 : JB/JD +(4.4 ),  늘어난치수K -(0),  C + (4.4),  U +(4.4), OP1/OP3 -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8" t="s">
        <v>22</v>
      </c>
      <c r="W5" s="238" t="s">
        <v>23</v>
      </c>
      <c r="X5" s="240" t="s">
        <v>21</v>
      </c>
      <c r="Y5" s="241"/>
      <c r="Z5" s="241"/>
      <c r="AA5" s="242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9"/>
      <c r="W6" s="239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O7" sqref="O7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정보!I3</f>
        <v>(4CO멍텅구리) 제작변환 ( (판매)계룡대-2차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13" t="s">
        <v>307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4.4000000000000004</v>
      </c>
      <c r="AC2" s="69"/>
      <c r="AD2" s="251" t="s">
        <v>82</v>
      </c>
      <c r="AE2" s="252"/>
      <c r="AF2" s="344">
        <v>0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 x14ac:dyDescent="0.3">
      <c r="A3" s="33" t="str">
        <f>'4CO멍텅(실측)'!A3</f>
        <v>현장명 : (판매)계룡대-2차,   (재질) : HL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4.4000000000000004</v>
      </c>
      <c r="N3" s="100"/>
      <c r="O3" s="100"/>
      <c r="P3" s="100"/>
      <c r="Q3" s="251" t="s">
        <v>77</v>
      </c>
      <c r="R3" s="251"/>
      <c r="S3" s="264">
        <v>4.4000000000000004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1.2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330</v>
      </c>
      <c r="AL3" s="212"/>
      <c r="AM3" s="159">
        <f>AS7</f>
        <v>0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3" t="str">
        <f>'4CO멍텅(실측)'!A4:AB4</f>
        <v>제작치수 반영 : JB/JD +(4.4 ),  늘어난치수K -(0),  C + (4.4),  U +(4.4), OP1/OP3 -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313</v>
      </c>
      <c r="AE4" s="343"/>
      <c r="AF4" s="343">
        <f>'4CO멍텅(실측)'!X7</f>
        <v>0</v>
      </c>
      <c r="AG4" s="343"/>
      <c r="AH4" s="9"/>
      <c r="AI4" s="222">
        <f ca="1">TODAY()</f>
        <v>45279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294</v>
      </c>
      <c r="O5" s="311" t="s">
        <v>295</v>
      </c>
      <c r="P5" s="238" t="s">
        <v>62</v>
      </c>
      <c r="Q5" s="238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8" t="s">
        <v>22</v>
      </c>
      <c r="AC5" s="238" t="s">
        <v>23</v>
      </c>
      <c r="AD5" s="240" t="s">
        <v>21</v>
      </c>
      <c r="AE5" s="241"/>
      <c r="AF5" s="241"/>
      <c r="AG5" s="242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305</v>
      </c>
      <c r="AQ5" s="177" t="s">
        <v>306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9"/>
      <c r="Q6" s="239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9"/>
      <c r="AC6" s="239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4.4000000000000004</v>
      </c>
      <c r="H7" s="4">
        <f>'4CO멍텅(실측)'!H7+MAX(AP7,AQ7)+IF(BE7=1,MAX(AD7,AF7),0)+CO4멍텅JBJD늘림치수</f>
        <v>4.4000000000000004</v>
      </c>
      <c r="I7" s="4">
        <f>'4CO멍텅(실측)'!I7+MAX(AP7,AQ7)+IF(BE7=1,AF7,0)+CO4멍텅JBJD늘림치수</f>
        <v>4.4000000000000004</v>
      </c>
      <c r="J7" s="4">
        <f>'4CO멍텅(실측)'!J7+AP7+IF(BE7=1,AD7,0)+CO4멍텅JB강제키움+CO4멍텅JBJD늘림치수</f>
        <v>4.4000000000000004</v>
      </c>
      <c r="K7" s="4">
        <f>'4CO멍텅(실측)'!J7+AP7+IF(BE7=1,AE7,0)+CO4멍텅JB강제키움+CO4멍텅JBJD늘림치수-IF(CO4멍텅JB하부늘치=1,'4CO멍텅(실측)'!X7-'4CO멍텅(실측)'!Y7,0)</f>
        <v>4.4000000000000004</v>
      </c>
      <c r="L7" s="4">
        <f>'4CO멍텅(실측)'!K7+AQ7+IF(BE7=1,AF7,0)+CO4멍텅JB강제키움+CO4멍텅JBJD늘림치수</f>
        <v>4.4000000000000004</v>
      </c>
      <c r="M7" s="4">
        <f>'4CO멍텅(실측)'!K7+AQ7+IF(BE7=1,AG7,0)+CO4멍텅JB강제키움+CO4멍텅JBJD늘림치수-IF(CO4멍텅JB하부늘치=1,'4CO멍텅(실측)'!Z7-'4CO멍텅(실측)'!AA7,0)</f>
        <v>4.4000000000000004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1</v>
      </c>
      <c r="Q7" s="4">
        <f t="shared" si="0"/>
        <v>1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1.2</v>
      </c>
      <c r="AC7" s="4">
        <f>'4CO멍텅(실측)'!W7+뒷날개치수더함</f>
        <v>1.2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0*2</v>
      </c>
      <c r="AI7" s="12" t="str">
        <f t="shared" ref="AI7" si="2">AZ7&amp;"*"&amp;AY7</f>
        <v>0*3</v>
      </c>
      <c r="AJ7" s="10" t="str">
        <f t="shared" ref="AJ7" si="3">BB7&amp;"*"&amp;BA7</f>
        <v>0*3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0</v>
      </c>
      <c r="AT7" s="36">
        <f t="shared" ref="AT7" si="4">G7-COS(RADIANS(AS7))*J7</f>
        <v>0</v>
      </c>
      <c r="AU7" s="36">
        <f t="shared" ref="AU7" si="5">I7-COS(RADIANS(AS7))*L7</f>
        <v>0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2.0000000000000009</v>
      </c>
      <c r="AY7" s="3">
        <f>T7+R7+MAX(J7,K7)+AC7-1.2*$AJ$3+IF(BE7=0,MAX(AD7,AE7))+IF(T7=0,1.2,0)-IF(AM7=90,2.4,0)</f>
        <v>3.0000000000000009</v>
      </c>
      <c r="AZ7" s="3">
        <f t="shared" ref="AZ7" si="7">MAX(V7,W7)</f>
        <v>0</v>
      </c>
      <c r="BA7" s="3">
        <f>U7+S7+MAX(L7,M7)+AC7-1.2*$AJ$3+IF(BE7=0,MAX(AF7,AG7))+IF(U7=0,1.2,0)-IF(AM7=90,2.4,0)</f>
        <v>3.0000000000000009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5" t="str">
        <f>정보!K2</f>
        <v>(2UP) 실측서 ( (판매)계룡대-2차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(판매)계룡대-2차,   (재질) : HL 1.2T</v>
      </c>
      <c r="B3" s="2"/>
      <c r="C3" s="2"/>
      <c r="D3" s="2"/>
      <c r="E3" s="2"/>
      <c r="F3" s="2"/>
      <c r="G3" s="237"/>
      <c r="H3" s="237"/>
      <c r="I3" s="237"/>
      <c r="J3" s="23"/>
      <c r="K3" s="246"/>
      <c r="L3" s="246"/>
      <c r="M3" s="247"/>
      <c r="N3" s="247"/>
      <c r="O3" s="248"/>
      <c r="P3" s="248"/>
      <c r="Q3" s="248"/>
      <c r="R3" s="120"/>
      <c r="S3" s="243" t="s">
        <v>97</v>
      </c>
      <c r="T3" s="243"/>
      <c r="U3" s="243"/>
      <c r="V3" s="244"/>
      <c r="W3" s="244"/>
      <c r="X3" s="245"/>
      <c r="Y3" s="245"/>
    </row>
    <row r="4" spans="1:40" ht="33" customHeight="1" x14ac:dyDescent="0.3">
      <c r="A4" s="163" t="str">
        <f>정보!B17</f>
        <v>제작치수 반영 : JB/JD +(4.4 ),  늘어난치수K -(0),  C + (4.4),   U + (4.4), OP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8" t="s">
        <v>22</v>
      </c>
      <c r="X5" s="238" t="s">
        <v>23</v>
      </c>
      <c r="Y5" s="240" t="s">
        <v>21</v>
      </c>
      <c r="Z5" s="241"/>
      <c r="AA5" s="241"/>
      <c r="AB5" s="242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9"/>
      <c r="X6" s="239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5" t="str">
        <f>정보!L2</f>
        <v>(2UP) 제작변환 ( (판매)계룡대-2차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13" t="s">
        <v>308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4.4000000000000004</v>
      </c>
      <c r="AB2" s="255"/>
      <c r="AC2" s="251" t="s">
        <v>82</v>
      </c>
      <c r="AD2" s="252"/>
      <c r="AE2" s="253">
        <v>0</v>
      </c>
      <c r="AF2" s="253"/>
      <c r="AG2" s="98" t="s">
        <v>114</v>
      </c>
      <c r="AH2" s="250">
        <v>0</v>
      </c>
      <c r="AI2" s="250"/>
      <c r="AJ2" s="1"/>
      <c r="AK2" s="1"/>
      <c r="AL2" s="249"/>
      <c r="AM2" s="249"/>
      <c r="AN2" s="249"/>
      <c r="AS2" s="24"/>
    </row>
    <row r="3" spans="1:54" ht="33" customHeight="1" x14ac:dyDescent="0.3">
      <c r="A3" s="33" t="str">
        <f>'2UP(실측)'!A3</f>
        <v>현장명 : (판매)계룡대-2차,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4.4000000000000004</v>
      </c>
      <c r="K3" s="263"/>
      <c r="L3" s="263"/>
      <c r="M3" s="263"/>
      <c r="N3" s="251" t="s">
        <v>77</v>
      </c>
      <c r="O3" s="251"/>
      <c r="P3" s="264">
        <v>4.4000000000000004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1.2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331</v>
      </c>
      <c r="AK3" s="212"/>
      <c r="AL3" s="160">
        <f>AO7</f>
        <v>0</v>
      </c>
      <c r="AM3" s="25"/>
      <c r="AN3" s="24"/>
      <c r="AS3" s="24"/>
    </row>
    <row r="4" spans="1:54" ht="33" customHeight="1" x14ac:dyDescent="0.3">
      <c r="A4" s="353" t="str">
        <f>'2UP(실측)'!A4:AB4</f>
        <v>제작치수 반영 : JB/JD +(4.4 ),  늘어난치수K -(0),  C + (4.4),   U + (4.4), OP - (0), R - (0),  기둥차감 - (0), A + (1.2)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332</v>
      </c>
      <c r="Z4" s="355"/>
      <c r="AA4" s="356">
        <f>AC7</f>
        <v>0</v>
      </c>
      <c r="AB4" s="357"/>
      <c r="AC4" s="75"/>
      <c r="AD4" s="75"/>
      <c r="AE4" s="75"/>
      <c r="AF4" s="75"/>
      <c r="AG4" s="9"/>
      <c r="AH4" s="222">
        <f ca="1">TODAY()</f>
        <v>45279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8" t="s">
        <v>62</v>
      </c>
      <c r="N5" s="238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8" t="s">
        <v>22</v>
      </c>
      <c r="AB5" s="238" t="s">
        <v>23</v>
      </c>
      <c r="AC5" s="240" t="s">
        <v>21</v>
      </c>
      <c r="AD5" s="241"/>
      <c r="AE5" s="241"/>
      <c r="AF5" s="242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305</v>
      </c>
      <c r="AM5" s="177" t="s">
        <v>306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9"/>
      <c r="N6" s="239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9"/>
      <c r="AB6" s="239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4.4000000000000004</v>
      </c>
      <c r="F7" s="4">
        <f>'2UP(실측)'!F7+MAX(AL7,AM7)+IF(BA7=1,AE7,0)+UP2멍텅JBJD늘림치수</f>
        <v>4.4000000000000004</v>
      </c>
      <c r="G7" s="4">
        <f>'2UP(실측)'!G7+AL7+IF(BA7=1,AC7,0)+UP2멍텅JB강제키움+UP2멍텅JBJD늘림치수</f>
        <v>4.4000000000000004</v>
      </c>
      <c r="H7" s="4">
        <f>'2UP(실측)'!H7+AL7+IF(BA7=1,AD7,0)+UP2멍텅JB강제키움+UP2멍텅JBJD늘림치수-IF(UP2멍텅JB하부늘치=1,'2UP(실측)'!Y7-'2UP(실측)'!Z7,0)</f>
        <v>4.4000000000000004</v>
      </c>
      <c r="I7" s="4">
        <f>'2UP(실측)'!I7+AM7+IF(BA7=1,AE7,0)+UP2멍텅JB강제키움+UP2멍텅JBJD늘림치수</f>
        <v>4.4000000000000004</v>
      </c>
      <c r="J7" s="4">
        <f>'2UP(실측)'!J7+AM7+IF(BA7=1,AF7,0)+UP2멍텅JB강제키움+UP2멍텅JBJD늘림치수-IF(UP2멍텅JB하부늘치=1,'2UP(실측)'!AA7-'2UP(실측)'!AB7,0)</f>
        <v>4.4000000000000004</v>
      </c>
      <c r="K7" s="103">
        <f>H7-G7</f>
        <v>0</v>
      </c>
      <c r="L7" s="103">
        <f>J7-I7</f>
        <v>0</v>
      </c>
      <c r="M7" s="4">
        <f t="shared" ref="M7:N7" si="0">O7+IF(소장="손상민",0,-1.5)</f>
        <v>1</v>
      </c>
      <c r="N7" s="4">
        <f t="shared" si="0"/>
        <v>1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1.2</v>
      </c>
      <c r="AB7" s="4">
        <f>'2UP(실측)'!X7+뒷날개치수더함</f>
        <v>1.2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0*3.2</v>
      </c>
      <c r="AH7" s="12" t="str">
        <f t="shared" ref="AH7" si="2">AV7&amp;"*"&amp;AU7</f>
        <v>0*3</v>
      </c>
      <c r="AI7" s="10" t="str">
        <f t="shared" ref="AI7" si="3">AX7&amp;"*"&amp;AW7</f>
        <v>0*3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3.2000000000000011</v>
      </c>
      <c r="AU7" s="3">
        <f>Q7+O7+MAX(G7,H7)+AB7-1.2*$AI$3+IF(BA7=0,MAX(AC7,AD7))+IF(Q7=0,1.2,0)</f>
        <v>3.0000000000000009</v>
      </c>
      <c r="AV7" s="3">
        <f>MAX(S7,T7+U7)</f>
        <v>0</v>
      </c>
      <c r="AW7" s="3">
        <f>R7+P7+MAX(I7,J7)+AB7-1.2*$AI$3+IF(BA7=0,MAX(AE7,AF7))+IF(R7=0,1.2,0)</f>
        <v>3.0000000000000009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(판매)계룡대-2차 ) _손상민소장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(판매)계룡대-2차,   (재질) : HL 1.2T</v>
      </c>
      <c r="B3" s="2"/>
      <c r="C3" s="2"/>
      <c r="D3" s="2"/>
      <c r="E3" s="2"/>
      <c r="F3" s="2"/>
      <c r="G3" s="237"/>
      <c r="H3" s="237"/>
      <c r="I3" s="237"/>
      <c r="J3" s="237"/>
      <c r="K3" s="23"/>
      <c r="L3" s="23"/>
      <c r="M3" s="246"/>
      <c r="N3" s="246"/>
      <c r="O3" s="247"/>
      <c r="P3" s="247"/>
      <c r="Q3" s="248"/>
      <c r="R3" s="248"/>
      <c r="S3" s="248"/>
      <c r="T3" s="248"/>
      <c r="U3" s="120"/>
      <c r="V3" s="243" t="s">
        <v>97</v>
      </c>
      <c r="W3" s="243"/>
      <c r="X3" s="243"/>
      <c r="Y3" s="243"/>
      <c r="Z3" s="244"/>
      <c r="AA3" s="244"/>
      <c r="AB3" s="245"/>
      <c r="AC3" s="245"/>
    </row>
    <row r="4" spans="1:46" ht="33" customHeight="1" x14ac:dyDescent="0.3">
      <c r="A4" s="163" t="str">
        <f>정보!B18</f>
        <v>제작치수 반영 : JB/JD +(4.4 ),  늘어난치수K -(0),  C + (4.4),   U + (4.4), OP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8" t="s">
        <v>22</v>
      </c>
      <c r="AB5" s="238" t="s">
        <v>23</v>
      </c>
      <c r="AC5" s="240" t="s">
        <v>21</v>
      </c>
      <c r="AD5" s="241"/>
      <c r="AE5" s="241"/>
      <c r="AF5" s="241"/>
      <c r="AG5" s="241"/>
      <c r="AH5" s="242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9"/>
      <c r="AB6" s="239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5" t="str">
        <f>정보!L3</f>
        <v>(3UP) 제작변환 ( (판매)계룡대-2차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4" t="s">
        <v>309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4.4000000000000004</v>
      </c>
      <c r="AF2" s="255"/>
      <c r="AG2" s="251" t="s">
        <v>82</v>
      </c>
      <c r="AH2" s="251"/>
      <c r="AI2" s="252"/>
      <c r="AJ2" s="253">
        <v>0</v>
      </c>
      <c r="AK2" s="253"/>
      <c r="AL2" s="253"/>
      <c r="AM2" s="98" t="s">
        <v>114</v>
      </c>
      <c r="AN2" s="250">
        <v>0</v>
      </c>
      <c r="AO2" s="250"/>
      <c r="AP2" s="1"/>
      <c r="AQ2" s="1"/>
      <c r="AR2" s="249"/>
      <c r="AS2" s="249"/>
      <c r="AT2" s="249"/>
      <c r="AY2" s="24"/>
    </row>
    <row r="3" spans="1:60" ht="33" customHeight="1" x14ac:dyDescent="0.3">
      <c r="A3" s="33" t="str">
        <f>'3UP(실측)'!A3</f>
        <v>현장명 : (판매)계룡대-2차,   (재질) : HL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4.4000000000000004</v>
      </c>
      <c r="M3" s="263"/>
      <c r="N3" s="263"/>
      <c r="O3" s="263"/>
      <c r="P3" s="251" t="s">
        <v>77</v>
      </c>
      <c r="Q3" s="251"/>
      <c r="R3" s="264">
        <v>4.4000000000000004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1.2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327</v>
      </c>
      <c r="AQ3" s="374"/>
      <c r="AR3" s="160">
        <f>AU7</f>
        <v>0</v>
      </c>
      <c r="AS3" s="25"/>
      <c r="AT3" s="24"/>
      <c r="AY3" s="24"/>
    </row>
    <row r="4" spans="1:60" ht="33" customHeight="1" x14ac:dyDescent="0.3">
      <c r="A4" s="353" t="str">
        <f>'3UP(실측)'!A4:AH4</f>
        <v>제작치수 반영 : JB/JD +(4.4 ),  늘어난치수K -(0),  C + (4.4),   U + (4.4), OP - (0), R - (0),  기둥차감 - (0), A + (1.2)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333</v>
      </c>
      <c r="AD4" s="277"/>
      <c r="AE4" s="277">
        <f>AG7</f>
        <v>0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45279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8" t="s">
        <v>62</v>
      </c>
      <c r="P5" s="238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8" t="s">
        <v>22</v>
      </c>
      <c r="AF5" s="238" t="s">
        <v>23</v>
      </c>
      <c r="AG5" s="240" t="s">
        <v>21</v>
      </c>
      <c r="AH5" s="241"/>
      <c r="AI5" s="241"/>
      <c r="AJ5" s="241"/>
      <c r="AK5" s="241"/>
      <c r="AL5" s="242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305</v>
      </c>
      <c r="AS5" s="177" t="s">
        <v>306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9"/>
      <c r="P6" s="239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9"/>
      <c r="AF6" s="239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4.4000000000000004</v>
      </c>
      <c r="F7" s="4">
        <f>'3UP(실측)'!F7+MAX(AR7,AS7)+IF(BG7=1,AJ7,0)+UP3멍텅JBJD늘림치수</f>
        <v>4.4000000000000004</v>
      </c>
      <c r="G7" s="4">
        <f>'3UP(실측)'!G7+AR7+IF(BG7=1,AG7,0)+UP3멍텅JB강제키움+UP3멍텅JBJD늘림치수</f>
        <v>4.4000000000000004</v>
      </c>
      <c r="H7" s="4">
        <f>'3UP(실측)'!H7+AR7+IF(BG7=1,AH7,0)+UP3멍텅JB강제키움+UP3멍텅JBJD늘림치수-IF(UP3멍텅JB하부늘치=1,'3UP(실측)'!AC7-'3UP(실측)'!AD7,0)</f>
        <v>4.4000000000000004</v>
      </c>
      <c r="I7" s="4">
        <f>'3UP(실측)'!I7+AR7+IF(BG7=1,AI7,0)+UP3멍텅JB강제키움+UP3멍텅JBJD늘림치수-IF(UP3멍텅JB하부늘치=1,'3UP(실측)'!AC7-'3UP(실측)'!AE7,0)</f>
        <v>4.4000000000000004</v>
      </c>
      <c r="J7" s="4">
        <f>'3UP(실측)'!J7+AS7+IF(BG7=1,AJ7,0)+UP3멍텅JB강제키움+UP3멍텅JBJD늘림치수</f>
        <v>4.4000000000000004</v>
      </c>
      <c r="K7" s="4">
        <f>'3UP(실측)'!K7+AS7+IF(BG7=1,AK7,0)+UP3멍텅JB강제키움+UP3멍텅JBJD늘림치수-IF(UP3멍텅JB하부늘치=1,'3UP(실측)'!AF7-'3UP(실측)'!AG7,0)</f>
        <v>4.4000000000000004</v>
      </c>
      <c r="L7" s="4">
        <f>'3UP(실측)'!L7+AS7+IF(BG7=1,AL7,0)+UP3멍텅JB강제키움+UP3멍텅JBJD늘림치수-IF(UP3멍텅JB하부늘치=1,'3UP(실측)'!AF7-'3UP(실측)'!AH7,0)</f>
        <v>4.4000000000000004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1</v>
      </c>
      <c r="P7" s="4">
        <f t="shared" si="0"/>
        <v>1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1.2</v>
      </c>
      <c r="AF7" s="4">
        <f>'3UP(실측)'!AB7+뒷날개치수더함</f>
        <v>1.2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0*3.2</v>
      </c>
      <c r="AN7" s="12" t="str">
        <f t="shared" ref="AN7" si="2">BB7&amp;"*"&amp;BA7</f>
        <v>0*3</v>
      </c>
      <c r="AO7" s="10" t="str">
        <f t="shared" ref="AO7" si="3">BD7&amp;"*"&amp;BC7</f>
        <v>0*3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3.2000000000000011</v>
      </c>
      <c r="BA7" s="3">
        <f>S7+Q7+MAX(G7,I7)+AF7-1.2*$AO$3+IF(BG7=0,MAX(AG7,AI7))+IF(S7=0,1.2,0)</f>
        <v>3.0000000000000009</v>
      </c>
      <c r="BB7" s="3">
        <f>MAX(U7,V7+W7+X7)</f>
        <v>0</v>
      </c>
      <c r="BC7" s="3">
        <f>T7+R7+MAX(J7,L7)+AF7-1.2*$AO$3+IF(BG7=0,MAX(AJ7,AL7))+IF(T7=0,1.2,0)</f>
        <v>3.0000000000000009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2022-12-02T03:36:41Z</cp:lastPrinted>
  <dcterms:created xsi:type="dcterms:W3CDTF">2020-01-09T06:39:51Z</dcterms:created>
  <dcterms:modified xsi:type="dcterms:W3CDTF">2023-12-19T04:43:00Z</dcterms:modified>
</cp:coreProperties>
</file>