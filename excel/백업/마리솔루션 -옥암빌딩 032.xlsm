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6378DDE3-F9DB-49B8-B859-D424AADEFE1E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<sst xmlns="http://schemas.openxmlformats.org/spreadsheetml/2006/main" count="124" uniqueCount="121">
  <si>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</si>
  <si>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</si>
  <si>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</si>
  <si>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</si>
  <si>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</si>
  <si>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</si>
  <si>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</si>
  <si>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</si>
  <si>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</si>
  <si>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</si>
  <si>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</si>
  <si>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</si>
  <si>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</si>
  <si>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</si>
  <si>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</si>
  <si>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</si>
  <si>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</si>
  <si>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</si>
  <si>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</si>
  <si>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</si>
  <si>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</si>
  <si>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</si>
  <si>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</si>
  <si>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</si>
  <si>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</si>
  <si>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</si>
  <si>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</si>
  <si>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</si>
  <si>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</si>
  <si>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</si>
  <si>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</si>
  <si>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</si>
  <si>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</si>
  <si>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</si>
  <si>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</si>
  <si>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</si>
  <si>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</si>
  <si>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</si>
  <si>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</si>
  <si>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</si>
  <si>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</si>
  <si>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</si>
  <si>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</si>
  <si>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</si>
  <si>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</si>
  <si>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</si>
  <si>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</si>
  <si>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</si>
  <si>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</si>
  <si>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</si>
  <si>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</si>
  <si>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</si>
  <si>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</si>
  <si>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</si>
  <si>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</si>
  <si>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</si>
  <si>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</si>
  <si>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</si>
  <si>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</si>
  <si>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</si>
  <si>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</si>
  <si>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</si>
  <si>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</si>
  <si>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</si>
  <si>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</si>
  <si>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</si>
  <si>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</si>
  <si>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</si>
  <si>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</si>
  <si>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</si>
  <si>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</si>
  <si>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</si>
  <si>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</si>
  <si>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</si>
  <si>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</si>
  <si>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</si>
  <si>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</si>
  <si>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</si>
  <si>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</si>
  <si>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</si>
  <si>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</si>
  <si>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</si>
  <si>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</si>
  <si>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</si>
  <si>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</si>
  <si>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</si>
  <si>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</si>
  <si>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</si>
  <si>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</si>
  <si>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</si>
  <si>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</si>
  <si>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</si>
  <si>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</si>
  <si>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</si>
  <si>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</si>
  <si>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</si>
  <si>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</si>
  <si>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</si>
  <si>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</si>
  <si>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</si>
  <si>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</si>
  <si>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</si>
  <si>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15인승</t>
    <phoneticPr fontId="1" type="noConversion"/>
  </si>
  <si>
    <t>일방</t>
  </si>
  <si>
    <t>에이스코리아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</si>
  <si>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</si>
  <si>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</si>
  <si>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</si>
  <si>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</si>
  <si>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STS 201 H/L 1.2t</t>
    <phoneticPr fontId="1" type="noConversion"/>
  </si>
  <si>
    <t>STS 201 M/R 1.2t</t>
    <phoneticPr fontId="1" type="noConversion"/>
  </si>
  <si>
    <t>L/C 사양 설정</t>
    <phoneticPr fontId="1" type="noConversion"/>
  </si>
  <si>
    <t>CAR inside 수동</t>
    <phoneticPr fontId="1" type="noConversion"/>
  </si>
  <si>
    <t>CW</t>
    <phoneticPr fontId="1" type="noConversion"/>
  </si>
  <si>
    <t>CD</t>
    <phoneticPr fontId="1" type="noConversion"/>
  </si>
  <si>
    <t>CW(전면) T포함</t>
    <phoneticPr fontId="1" type="noConversion"/>
  </si>
  <si>
    <t>CW(후면) T포함</t>
    <phoneticPr fontId="1" type="noConversion"/>
  </si>
  <si>
    <t>CD T포함</t>
    <phoneticPr fontId="1" type="noConversion"/>
  </si>
  <si>
    <t>마리솔루션</t>
    <phoneticPr fontId="1" type="noConversion"/>
  </si>
  <si>
    <t>옥암빌딩</t>
    <phoneticPr fontId="1" type="noConversion"/>
  </si>
  <si>
    <t>N20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</si>
</sst>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2" fillId="7" borderId="7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zoomScaleNormal="100" workbookViewId="0">
      <selection activeCell="M10" sqref="M10:Y10"/>
    </sheetView>
  </sheetViews>
  <sheetFormatPr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28" t="s">
        <v>106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</row>
    <row r="2" spans="1:25" ht="34.5" customHeight="1">
      <c r="A2" s="29" t="s">
        <v>32</v>
      </c>
      <c r="B2" s="21"/>
      <c r="C2" s="21"/>
      <c r="D2" s="31" t="s">
        <v>118</v>
      </c>
      <c r="E2" s="31"/>
      <c r="F2" s="31"/>
      <c r="G2" s="31"/>
      <c r="H2" s="31"/>
      <c r="I2" s="31"/>
      <c r="J2" s="31"/>
      <c r="K2" s="31"/>
      <c r="L2" s="31"/>
      <c r="M2" s="21" t="s">
        <v>5</v>
      </c>
      <c r="N2" s="21"/>
      <c r="O2" s="21"/>
      <c r="P2" s="37" t="s">
        <v>55</v>
      </c>
      <c r="Q2" s="38"/>
      <c r="R2" s="16"/>
      <c r="S2" s="37"/>
      <c r="T2" s="38"/>
      <c r="U2" s="19" t="s">
        <v>95</v>
      </c>
      <c r="V2" s="19"/>
      <c r="W2" s="23" t="s">
        <v>103</v>
      </c>
      <c r="X2" s="23"/>
      <c r="Y2" s="24"/>
    </row>
    <row r="3" spans="1:25" ht="34.5" customHeight="1" thickBot="1">
      <c r="A3" s="30" t="s">
        <v>33</v>
      </c>
      <c r="B3" s="27"/>
      <c r="C3" s="27"/>
      <c r="D3" s="32" t="s">
        <v>119</v>
      </c>
      <c r="E3" s="32"/>
      <c r="F3" s="32"/>
      <c r="G3" s="32"/>
      <c r="H3" s="32"/>
      <c r="I3" s="32"/>
      <c r="J3" s="32"/>
      <c r="K3" s="32"/>
      <c r="L3" s="32"/>
      <c r="M3" s="27" t="s">
        <v>6</v>
      </c>
      <c r="N3" s="27"/>
      <c r="O3" s="27"/>
      <c r="P3" s="33">
        <f ca="1">TODAY()</f>
        <v>45359</v>
      </c>
      <c r="Q3" s="34"/>
      <c r="R3" s="15" t="s">
        <v>105</v>
      </c>
      <c r="S3" s="35">
        <v>45361</v>
      </c>
      <c r="T3" s="36"/>
      <c r="U3" s="20"/>
      <c r="V3" s="20"/>
      <c r="W3" s="25"/>
      <c r="X3" s="25"/>
      <c r="Y3" s="26"/>
    </row>
    <row r="4" spans="1:25" ht="9" customHeight="1" thickBot="1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</row>
    <row r="5" spans="1:25" ht="37.5" customHeight="1">
      <c r="A5" s="41" t="s">
        <v>37</v>
      </c>
      <c r="B5" s="21"/>
      <c r="C5" s="21"/>
      <c r="D5" s="21" t="s">
        <v>31</v>
      </c>
      <c r="E5" s="21"/>
      <c r="F5" s="21"/>
      <c r="G5" s="21" t="s">
        <v>36</v>
      </c>
      <c r="H5" s="21"/>
      <c r="I5" s="21"/>
      <c r="J5" s="17" t="s">
        <v>35</v>
      </c>
      <c r="K5" s="21"/>
      <c r="L5" s="21"/>
      <c r="M5" s="17" t="s">
        <v>38</v>
      </c>
      <c r="N5" s="21"/>
      <c r="O5" s="21"/>
      <c r="P5" s="17" t="s">
        <v>58</v>
      </c>
      <c r="Q5" s="21"/>
      <c r="R5" s="21"/>
      <c r="S5" s="17" t="s">
        <v>59</v>
      </c>
      <c r="T5" s="21"/>
      <c r="U5" s="21"/>
      <c r="V5" s="17" t="s">
        <v>67</v>
      </c>
      <c r="W5" s="17"/>
      <c r="X5" s="17"/>
      <c r="Y5" s="18"/>
    </row>
    <row r="6" spans="1:25" ht="37.5" customHeight="1">
      <c r="A6" s="42"/>
      <c r="B6" s="40"/>
      <c r="C6" s="40"/>
      <c r="D6" s="39" t="s">
        <v>60</v>
      </c>
      <c r="E6" s="39"/>
      <c r="F6" s="39"/>
      <c r="G6" s="39" t="s">
        <v>102</v>
      </c>
      <c r="H6" s="39"/>
      <c r="I6" s="39"/>
      <c r="J6" s="39">
        <v>1</v>
      </c>
      <c r="K6" s="39"/>
      <c r="L6" s="39"/>
      <c r="M6" s="39">
        <v>900</v>
      </c>
      <c r="N6" s="39"/>
      <c r="O6" s="39"/>
      <c r="P6" s="39">
        <v>790</v>
      </c>
      <c r="Q6" s="39"/>
      <c r="R6" s="39"/>
      <c r="S6" s="39">
        <v>1670</v>
      </c>
      <c r="T6" s="39"/>
      <c r="U6" s="39"/>
      <c r="V6" s="39" t="str">
        <f>IF(ISERROR(SEARCH("세화", P8)),"",OP/2-23)</f>
        <v/>
      </c>
      <c r="W6" s="39"/>
      <c r="X6" s="39"/>
      <c r="Y6" s="70"/>
    </row>
    <row r="7" spans="1:25" ht="37.5" customHeight="1">
      <c r="A7" s="42" t="s">
        <v>34</v>
      </c>
      <c r="B7" s="40"/>
      <c r="C7" s="40"/>
      <c r="D7" s="46" t="s">
        <v>57</v>
      </c>
      <c r="E7" s="46"/>
      <c r="F7" s="46"/>
      <c r="G7" s="47"/>
      <c r="H7" s="47"/>
      <c r="I7" s="47"/>
      <c r="J7" s="46"/>
      <c r="K7" s="46"/>
      <c r="L7" s="46"/>
      <c r="M7" s="40" t="s">
        <v>68</v>
      </c>
      <c r="N7" s="40"/>
      <c r="O7" s="40"/>
      <c r="P7" s="46">
        <v>25</v>
      </c>
      <c r="Q7" s="46"/>
      <c r="R7" s="46"/>
      <c r="S7" s="46"/>
      <c r="T7" s="46"/>
      <c r="U7" s="46"/>
      <c r="V7" s="46"/>
      <c r="W7" s="46"/>
      <c r="X7" s="46"/>
      <c r="Y7" s="69"/>
    </row>
    <row r="8" spans="1:25" ht="37.5" customHeight="1" thickBot="1">
      <c r="A8" s="30" t="s">
        <v>69</v>
      </c>
      <c r="B8" s="27"/>
      <c r="C8" s="27"/>
      <c r="D8" s="51">
        <v>12</v>
      </c>
      <c r="E8" s="52"/>
      <c r="F8" s="53"/>
      <c r="G8" s="27" t="s">
        <v>98</v>
      </c>
      <c r="H8" s="27"/>
      <c r="I8" s="27"/>
      <c r="J8" s="48">
        <f>IF(IFERROR(SEARCH("CO",D6),0) &gt; 0, 140, 175)</f>
        <v>140</v>
      </c>
      <c r="K8" s="49"/>
      <c r="L8" s="50"/>
      <c r="M8" s="73" t="s">
        <v>56</v>
      </c>
      <c r="N8" s="74"/>
      <c r="O8" s="75"/>
      <c r="P8" s="35" t="s">
        <v>104</v>
      </c>
      <c r="Q8" s="76"/>
      <c r="R8" s="36"/>
      <c r="S8" s="43" t="s">
        <v>80</v>
      </c>
      <c r="T8" s="43"/>
      <c r="U8" s="43"/>
      <c r="V8" s="77" t="s">
        <v>120</v>
      </c>
      <c r="W8" s="78"/>
      <c r="X8" s="78"/>
      <c r="Y8" s="79"/>
    </row>
    <row r="9" spans="1:25" ht="9.75" customHeight="1" thickBot="1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</row>
    <row r="10" spans="1:25" ht="27.75" customHeight="1">
      <c r="A10" s="82" t="s">
        <v>79</v>
      </c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4"/>
      <c r="M10" s="82" t="s">
        <v>111</v>
      </c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4"/>
    </row>
    <row r="11" spans="1:25" ht="27.75" customHeight="1">
      <c r="A11" s="42" t="s">
        <v>74</v>
      </c>
      <c r="B11" s="40"/>
      <c r="C11" s="40"/>
      <c r="D11" s="40" t="s">
        <v>75</v>
      </c>
      <c r="E11" s="40"/>
      <c r="F11" s="40"/>
      <c r="G11" s="40" t="s">
        <v>76</v>
      </c>
      <c r="H11" s="40"/>
      <c r="I11" s="40"/>
      <c r="J11" s="85" t="s">
        <v>77</v>
      </c>
      <c r="K11" s="86"/>
      <c r="L11" s="87"/>
      <c r="M11" s="91" t="s">
        <v>108</v>
      </c>
      <c r="N11" s="92"/>
      <c r="O11" s="92"/>
      <c r="P11" s="80" t="s">
        <v>109</v>
      </c>
      <c r="Q11" s="80"/>
      <c r="R11" s="80"/>
      <c r="S11" s="92" t="s">
        <v>107</v>
      </c>
      <c r="T11" s="92"/>
      <c r="U11" s="92"/>
      <c r="V11" s="80" t="s">
        <v>110</v>
      </c>
      <c r="W11" s="80"/>
      <c r="X11" s="80"/>
      <c r="Y11" s="81"/>
    </row>
    <row r="12" spans="1:25" ht="27.75" customHeight="1" thickBot="1">
      <c r="A12" s="71">
        <v>1</v>
      </c>
      <c r="B12" s="72"/>
      <c r="C12" s="72"/>
      <c r="D12" s="72">
        <v>140</v>
      </c>
      <c r="E12" s="72"/>
      <c r="F12" s="72"/>
      <c r="G12" s="72">
        <v>75</v>
      </c>
      <c r="H12" s="72"/>
      <c r="I12" s="72"/>
      <c r="J12" s="88"/>
      <c r="K12" s="89"/>
      <c r="L12" s="90"/>
      <c r="M12" s="93" t="s">
        <v>112</v>
      </c>
      <c r="N12" s="94"/>
      <c r="O12" s="94"/>
      <c r="P12" s="95" t="s">
        <v>113</v>
      </c>
      <c r="Q12" s="95"/>
      <c r="R12" s="96">
        <v>1600</v>
      </c>
      <c r="S12" s="96"/>
      <c r="T12" s="95" t="s">
        <v>114</v>
      </c>
      <c r="U12" s="95"/>
      <c r="V12" s="96">
        <v>1500</v>
      </c>
      <c r="W12" s="96"/>
      <c r="X12" s="96"/>
      <c r="Y12" s="97"/>
    </row>
    <row r="13" spans="1:25" ht="9.75" customHeight="1" thickBot="1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</row>
    <row r="14" spans="1:25" ht="27.75" customHeight="1">
      <c r="A14" s="66" t="s">
        <v>61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8"/>
    </row>
    <row r="15" spans="1:25" ht="27.75" customHeight="1">
      <c r="A15" s="42" t="s">
        <v>115</v>
      </c>
      <c r="B15" s="40"/>
      <c r="C15" s="40"/>
      <c r="D15" s="40" t="s">
        <v>116</v>
      </c>
      <c r="E15" s="40"/>
      <c r="F15" s="40"/>
      <c r="G15" s="40" t="s">
        <v>117</v>
      </c>
      <c r="H15" s="40"/>
      <c r="I15" s="40"/>
      <c r="J15" s="44" t="s">
        <v>78</v>
      </c>
      <c r="K15" s="44"/>
      <c r="L15" s="62" t="s">
        <v>93</v>
      </c>
      <c r="M15" s="63"/>
      <c r="N15" s="56" t="s">
        <v>94</v>
      </c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8"/>
    </row>
    <row r="16" spans="1:25" ht="27.75" customHeight="1" thickBot="1">
      <c r="A16" s="54">
        <f>SUM(D19:Y19)</f>
        <v>1650</v>
      </c>
      <c r="B16" s="55"/>
      <c r="C16" s="55"/>
      <c r="D16" s="55">
        <f>SUM(D20:Y20)</f>
        <v>1650</v>
      </c>
      <c r="E16" s="55"/>
      <c r="F16" s="55"/>
      <c r="G16" s="55">
        <f>SUM(D21:Y21)</f>
        <v>1550</v>
      </c>
      <c r="H16" s="55"/>
      <c r="I16" s="55"/>
      <c r="J16" s="45">
        <v>2</v>
      </c>
      <c r="K16" s="45"/>
      <c r="L16" s="64">
        <f>VLOOKUP(P8,DATA!$A$42:$B$45,2,FALSE)</f>
        <v>227.5</v>
      </c>
      <c r="M16" s="65"/>
      <c r="N16" s="59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1"/>
    </row>
    <row r="17" spans="1:25" ht="9.9499999999999993" customHeight="1" thickBot="1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</row>
    <row r="18" spans="1:25" ht="34.5" customHeight="1">
      <c r="A18" s="29" t="s">
        <v>70</v>
      </c>
      <c r="B18" s="21"/>
      <c r="C18" s="21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2" t="s">
        <v>71</v>
      </c>
      <c r="B19" s="40"/>
      <c r="C19" s="40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2" t="s">
        <v>72</v>
      </c>
      <c r="B20" s="40"/>
      <c r="C20" s="40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30" t="s">
        <v>73</v>
      </c>
      <c r="B21" s="27"/>
      <c r="C21" s="27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8">
    <mergeCell ref="V11:Y11"/>
    <mergeCell ref="A10:L10"/>
    <mergeCell ref="M10:Y10"/>
    <mergeCell ref="J11:L12"/>
    <mergeCell ref="M11:O11"/>
    <mergeCell ref="P11:R11"/>
    <mergeCell ref="S11:U11"/>
    <mergeCell ref="M12:O12"/>
    <mergeCell ref="P12:Q12"/>
    <mergeCell ref="R12:S12"/>
    <mergeCell ref="T12:U12"/>
    <mergeCell ref="V12:Y12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A16:C16"/>
    <mergeCell ref="D16:F16"/>
    <mergeCell ref="G16:I16"/>
    <mergeCell ref="N15:Y16"/>
    <mergeCell ref="L15:M15"/>
    <mergeCell ref="L16:M16"/>
    <mergeCell ref="A15:C15"/>
    <mergeCell ref="D7:L7"/>
    <mergeCell ref="A8:C8"/>
    <mergeCell ref="M7:O7"/>
    <mergeCell ref="G8:I8"/>
    <mergeCell ref="J8:L8"/>
    <mergeCell ref="D8:F8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0"/>
  <sheetViews>
    <sheetView topLeftCell="A13" workbookViewId="0">
      <selection activeCell="B21" sqref="B21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81</v>
      </c>
    </row>
    <row r="18" spans="1:5">
      <c r="B18" s="4"/>
      <c r="C18" s="4"/>
      <c r="E18" s="13" t="s">
        <v>82</v>
      </c>
    </row>
    <row r="19" spans="1:5">
      <c r="A19" s="3" t="str">
        <f>"&lt;1, 11&gt;"</f>
        <v>&lt;1, 11&gt;</v>
      </c>
      <c r="E19" s="13" t="s">
        <v>83</v>
      </c>
    </row>
    <row r="20" spans="1:5">
      <c r="E20" s="13" t="s">
        <v>100</v>
      </c>
    </row>
    <row r="21" spans="1:5">
      <c r="A21" s="3" t="s">
        <v>25</v>
      </c>
      <c r="E21" s="13" t="s">
        <v>84</v>
      </c>
    </row>
    <row r="22" spans="1:5">
      <c r="E22" s="13" t="s">
        <v>90</v>
      </c>
    </row>
    <row r="23" spans="1:5">
      <c r="A23" s="3" t="s">
        <v>26</v>
      </c>
      <c r="E23" s="13" t="s">
        <v>85</v>
      </c>
    </row>
    <row r="24" spans="1:5">
      <c r="E24" s="13" t="s">
        <v>86</v>
      </c>
    </row>
    <row r="25" spans="1:5">
      <c r="A25" s="3" t="s">
        <v>27</v>
      </c>
      <c r="E25" s="13" t="s">
        <v>87</v>
      </c>
    </row>
    <row r="26" spans="1:5">
      <c r="E26" s="13" t="s">
        <v>88</v>
      </c>
    </row>
    <row r="27" spans="1:5">
      <c r="A27" s="3" t="s">
        <v>28</v>
      </c>
      <c r="E27" s="13" t="s">
        <v>99</v>
      </c>
    </row>
    <row r="28" spans="1:5">
      <c r="E28" s="13" t="s">
        <v>89</v>
      </c>
    </row>
    <row r="29" spans="1:5">
      <c r="A29" s="3" t="s">
        <v>97</v>
      </c>
      <c r="E29" s="13" t="s">
        <v>91</v>
      </c>
    </row>
    <row r="30" spans="1:5">
      <c r="A30" s="3" t="s">
        <v>96</v>
      </c>
      <c r="E30" s="13" t="s">
        <v>92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101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2024-03-08T05:01:45Z</dcterms:modified>
</cp:coreProperties>
</file>