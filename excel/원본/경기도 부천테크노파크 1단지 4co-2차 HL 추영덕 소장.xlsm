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HL 양식\"/>
    </mc:Choice>
  </mc:AlternateContent>
  <xr:revisionPtr revIDLastSave="0" documentId="13_ncr:1_{DE260876-B8F0-4204-A466-5DE1F79D96A8}" xr6:coauthVersionLast="47" xr6:coauthVersionMax="47" xr10:uidLastSave="{00000000-0000-0000-0000-000000000000}"/>
  <bookViews>
    <workbookView xWindow="28680" yWindow="-120" windowWidth="29040" windowHeight="15840" tabRatio="947" firstSheet="1" activeTab="16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26" l="1"/>
  <c r="B8" i="26"/>
  <c r="C8" i="26"/>
  <c r="D8" i="26"/>
  <c r="E8" i="26"/>
  <c r="F8" i="26"/>
  <c r="V8" i="26"/>
  <c r="W8" i="26"/>
  <c r="X8" i="26"/>
  <c r="Y8" i="26"/>
  <c r="AB8" i="26"/>
  <c r="AC8" i="26"/>
  <c r="AD8" i="26"/>
  <c r="AE8" i="26"/>
  <c r="AF8" i="26"/>
  <c r="AG8" i="26" s="1"/>
  <c r="AK8" i="26"/>
  <c r="AL8" i="26"/>
  <c r="AM8" i="26"/>
  <c r="AN8" i="26"/>
  <c r="AO8" i="26"/>
  <c r="AP8" i="26"/>
  <c r="AQ8" i="26"/>
  <c r="BB8" i="26"/>
  <c r="BF8" i="26"/>
  <c r="A9" i="26"/>
  <c r="B9" i="26"/>
  <c r="C9" i="26"/>
  <c r="D9" i="26"/>
  <c r="E9" i="26"/>
  <c r="F9" i="26"/>
  <c r="V9" i="26"/>
  <c r="W9" i="26"/>
  <c r="X9" i="26"/>
  <c r="Y9" i="26"/>
  <c r="AB9" i="26"/>
  <c r="AC9" i="26"/>
  <c r="AD9" i="26"/>
  <c r="AE9" i="26" s="1"/>
  <c r="AF9" i="26"/>
  <c r="AG9" i="26"/>
  <c r="AK9" i="26"/>
  <c r="AL9" i="26"/>
  <c r="AM9" i="26"/>
  <c r="AN9" i="26"/>
  <c r="AO9" i="26"/>
  <c r="AP9" i="26"/>
  <c r="AQ9" i="26"/>
  <c r="BF9" i="26"/>
  <c r="A10" i="26"/>
  <c r="B10" i="26"/>
  <c r="C10" i="26"/>
  <c r="D10" i="26"/>
  <c r="E10" i="26"/>
  <c r="F10" i="26"/>
  <c r="V10" i="26"/>
  <c r="W10" i="26"/>
  <c r="X10" i="26"/>
  <c r="Y10" i="26"/>
  <c r="AB10" i="26"/>
  <c r="AC10" i="26"/>
  <c r="AD10" i="26"/>
  <c r="AE10" i="26" s="1"/>
  <c r="AF10" i="26"/>
  <c r="AG10" i="26" s="1"/>
  <c r="AK10" i="26"/>
  <c r="AL10" i="26"/>
  <c r="AM10" i="26"/>
  <c r="AN10" i="26"/>
  <c r="AO10" i="26"/>
  <c r="AP10" i="26"/>
  <c r="AQ10" i="26"/>
  <c r="BB10" i="26"/>
  <c r="BF10" i="26"/>
  <c r="A11" i="26"/>
  <c r="B11" i="26"/>
  <c r="C11" i="26"/>
  <c r="D11" i="26"/>
  <c r="E11" i="26"/>
  <c r="F11" i="26"/>
  <c r="V11" i="26"/>
  <c r="W11" i="26"/>
  <c r="X11" i="26"/>
  <c r="Y11" i="26"/>
  <c r="AB11" i="26"/>
  <c r="AC11" i="26"/>
  <c r="AD11" i="26"/>
  <c r="AE11" i="26" s="1"/>
  <c r="AF11" i="26"/>
  <c r="AG11" i="26" s="1"/>
  <c r="AK11" i="26"/>
  <c r="AL11" i="26"/>
  <c r="AM11" i="26"/>
  <c r="AN11" i="26"/>
  <c r="AO11" i="26"/>
  <c r="AP11" i="26"/>
  <c r="T11" i="26" s="1"/>
  <c r="AQ11" i="26"/>
  <c r="BF11" i="26"/>
  <c r="A12" i="26"/>
  <c r="B12" i="26"/>
  <c r="C12" i="26"/>
  <c r="D12" i="26"/>
  <c r="E12" i="26"/>
  <c r="F12" i="26"/>
  <c r="V12" i="26"/>
  <c r="W12" i="26"/>
  <c r="X12" i="26"/>
  <c r="BB12" i="26" s="1"/>
  <c r="Y12" i="26"/>
  <c r="AB12" i="26"/>
  <c r="AC12" i="26"/>
  <c r="AD12" i="26"/>
  <c r="AE12" i="26" s="1"/>
  <c r="AF12" i="26"/>
  <c r="AG12" i="26" s="1"/>
  <c r="AK12" i="26"/>
  <c r="AL12" i="26"/>
  <c r="AM12" i="26"/>
  <c r="AN12" i="26"/>
  <c r="AO12" i="26"/>
  <c r="AP12" i="26"/>
  <c r="AA12" i="26" s="1"/>
  <c r="AQ12" i="26"/>
  <c r="AZ12" i="26"/>
  <c r="BF12" i="26"/>
  <c r="A13" i="26"/>
  <c r="B13" i="26"/>
  <c r="C13" i="26"/>
  <c r="D13" i="26"/>
  <c r="E13" i="26"/>
  <c r="F13" i="26"/>
  <c r="V13" i="26"/>
  <c r="W13" i="26"/>
  <c r="X13" i="26"/>
  <c r="Y13" i="26"/>
  <c r="AB13" i="26"/>
  <c r="AC13" i="26"/>
  <c r="AD13" i="26"/>
  <c r="AE13" i="26" s="1"/>
  <c r="AF13" i="26"/>
  <c r="AG13" i="26" s="1"/>
  <c r="AK13" i="26"/>
  <c r="AL13" i="26"/>
  <c r="AM13" i="26"/>
  <c r="AN13" i="26"/>
  <c r="AO13" i="26"/>
  <c r="AP13" i="26"/>
  <c r="AQ13" i="26"/>
  <c r="BF13" i="26"/>
  <c r="A14" i="26"/>
  <c r="B14" i="26"/>
  <c r="C14" i="26"/>
  <c r="D14" i="26"/>
  <c r="E14" i="26"/>
  <c r="F14" i="26"/>
  <c r="V14" i="26"/>
  <c r="W14" i="26"/>
  <c r="X14" i="26"/>
  <c r="Y14" i="26"/>
  <c r="AB14" i="26"/>
  <c r="AC14" i="26"/>
  <c r="AD14" i="26"/>
  <c r="AE14" i="26"/>
  <c r="AF14" i="26"/>
  <c r="AG14" i="26" s="1"/>
  <c r="AK14" i="26"/>
  <c r="AL14" i="26"/>
  <c r="AM14" i="26"/>
  <c r="AN14" i="26"/>
  <c r="AO14" i="26"/>
  <c r="AP14" i="26"/>
  <c r="AQ14" i="26"/>
  <c r="BF14" i="26"/>
  <c r="A15" i="26"/>
  <c r="B15" i="26"/>
  <c r="C15" i="26"/>
  <c r="D15" i="26"/>
  <c r="E15" i="26"/>
  <c r="F15" i="26"/>
  <c r="V15" i="26"/>
  <c r="W15" i="26"/>
  <c r="X15" i="26"/>
  <c r="Y15" i="26"/>
  <c r="AB15" i="26"/>
  <c r="AC15" i="26"/>
  <c r="AD15" i="26"/>
  <c r="AE15" i="26"/>
  <c r="AF15" i="26"/>
  <c r="AG15" i="26" s="1"/>
  <c r="AK15" i="26"/>
  <c r="AL15" i="26"/>
  <c r="AM15" i="26"/>
  <c r="AN15" i="26"/>
  <c r="AO15" i="26"/>
  <c r="AP15" i="26"/>
  <c r="AQ15" i="26"/>
  <c r="BF15" i="26"/>
  <c r="A16" i="26"/>
  <c r="B16" i="26"/>
  <c r="C16" i="26"/>
  <c r="D16" i="26"/>
  <c r="E16" i="26"/>
  <c r="F16" i="26"/>
  <c r="V16" i="26"/>
  <c r="W16" i="26"/>
  <c r="X16" i="26"/>
  <c r="BB16" i="26" s="1"/>
  <c r="Y16" i="26"/>
  <c r="AB16" i="26"/>
  <c r="AC16" i="26"/>
  <c r="AD16" i="26"/>
  <c r="AE16" i="26" s="1"/>
  <c r="AF16" i="26"/>
  <c r="AG16" i="26" s="1"/>
  <c r="AK16" i="26"/>
  <c r="AL16" i="26"/>
  <c r="AM16" i="26"/>
  <c r="AN16" i="26"/>
  <c r="AO16" i="26"/>
  <c r="AP16" i="26"/>
  <c r="AQ16" i="26"/>
  <c r="BF16" i="26"/>
  <c r="A17" i="26"/>
  <c r="B17" i="26"/>
  <c r="C17" i="26"/>
  <c r="D17" i="26"/>
  <c r="E17" i="26"/>
  <c r="F17" i="26"/>
  <c r="V17" i="26"/>
  <c r="AZ17" i="26" s="1"/>
  <c r="W17" i="26"/>
  <c r="X17" i="26"/>
  <c r="BB17" i="26" s="1"/>
  <c r="Y17" i="26"/>
  <c r="AB17" i="26"/>
  <c r="AC17" i="26"/>
  <c r="AD17" i="26"/>
  <c r="AE17" i="26" s="1"/>
  <c r="AF17" i="26"/>
  <c r="AG17" i="26" s="1"/>
  <c r="AK17" i="26"/>
  <c r="AL17" i="26"/>
  <c r="AM17" i="26"/>
  <c r="AN17" i="26"/>
  <c r="AO17" i="26"/>
  <c r="AP17" i="26"/>
  <c r="AQ17" i="26"/>
  <c r="BF17" i="26"/>
  <c r="A18" i="26"/>
  <c r="B18" i="26"/>
  <c r="C18" i="26"/>
  <c r="D18" i="26"/>
  <c r="E18" i="26"/>
  <c r="F18" i="26"/>
  <c r="V18" i="26"/>
  <c r="AZ18" i="26" s="1"/>
  <c r="W18" i="26"/>
  <c r="X18" i="26"/>
  <c r="Y18" i="26"/>
  <c r="BB18" i="26" s="1"/>
  <c r="AB18" i="26"/>
  <c r="AC18" i="26"/>
  <c r="AD18" i="26"/>
  <c r="AE18" i="26" s="1"/>
  <c r="AF18" i="26"/>
  <c r="AG18" i="26" s="1"/>
  <c r="AK18" i="26"/>
  <c r="AL18" i="26"/>
  <c r="AM18" i="26"/>
  <c r="AN18" i="26"/>
  <c r="AO18" i="26"/>
  <c r="AP18" i="26"/>
  <c r="AQ18" i="26"/>
  <c r="U18" i="26" s="1"/>
  <c r="BF18" i="26"/>
  <c r="A19" i="26"/>
  <c r="B19" i="26"/>
  <c r="C19" i="26"/>
  <c r="D19" i="26"/>
  <c r="E19" i="26"/>
  <c r="F19" i="26"/>
  <c r="V19" i="26"/>
  <c r="W19" i="26"/>
  <c r="AZ19" i="26" s="1"/>
  <c r="X19" i="26"/>
  <c r="BB19" i="26" s="1"/>
  <c r="Y19" i="26"/>
  <c r="AB19" i="26"/>
  <c r="AC19" i="26"/>
  <c r="AD19" i="26"/>
  <c r="AE19" i="26"/>
  <c r="AF19" i="26"/>
  <c r="AG19" i="26" s="1"/>
  <c r="AK19" i="26"/>
  <c r="AL19" i="26"/>
  <c r="AM19" i="26"/>
  <c r="AN19" i="26"/>
  <c r="AO19" i="26"/>
  <c r="AP19" i="26"/>
  <c r="T19" i="26" s="1"/>
  <c r="AQ19" i="26"/>
  <c r="BF19" i="26"/>
  <c r="A20" i="26"/>
  <c r="B20" i="26"/>
  <c r="C20" i="26"/>
  <c r="D20" i="26"/>
  <c r="E20" i="26"/>
  <c r="F20" i="26"/>
  <c r="V20" i="26"/>
  <c r="W20" i="26"/>
  <c r="X20" i="26"/>
  <c r="Y20" i="26"/>
  <c r="AB20" i="26"/>
  <c r="AC20" i="26"/>
  <c r="AD20" i="26"/>
  <c r="AE20" i="26"/>
  <c r="AF20" i="26"/>
  <c r="AG20" i="26" s="1"/>
  <c r="AK20" i="26"/>
  <c r="AL20" i="26"/>
  <c r="AM20" i="26"/>
  <c r="AN20" i="26"/>
  <c r="AO20" i="26"/>
  <c r="AP20" i="26"/>
  <c r="AA20" i="26" s="1"/>
  <c r="AQ20" i="26"/>
  <c r="BF20" i="26"/>
  <c r="A21" i="26"/>
  <c r="B21" i="26"/>
  <c r="C21" i="26"/>
  <c r="D21" i="26"/>
  <c r="E21" i="26"/>
  <c r="F21" i="26"/>
  <c r="V21" i="26"/>
  <c r="W21" i="26"/>
  <c r="AZ21" i="26" s="1"/>
  <c r="X21" i="26"/>
  <c r="BB21" i="26" s="1"/>
  <c r="Y21" i="26"/>
  <c r="AB21" i="26"/>
  <c r="AC21" i="26"/>
  <c r="AD21" i="26"/>
  <c r="AE21" i="26" s="1"/>
  <c r="AF21" i="26"/>
  <c r="AG21" i="26"/>
  <c r="AK21" i="26"/>
  <c r="AL21" i="26"/>
  <c r="AM21" i="26"/>
  <c r="AN21" i="26"/>
  <c r="AO21" i="26"/>
  <c r="AP21" i="26"/>
  <c r="AQ21" i="26"/>
  <c r="BF21" i="26"/>
  <c r="A22" i="26"/>
  <c r="B22" i="26"/>
  <c r="C22" i="26"/>
  <c r="D22" i="26"/>
  <c r="E22" i="26"/>
  <c r="F22" i="26"/>
  <c r="V22" i="26"/>
  <c r="W22" i="26"/>
  <c r="AZ22" i="26" s="1"/>
  <c r="X22" i="26"/>
  <c r="Y22" i="26"/>
  <c r="AB22" i="26"/>
  <c r="AC22" i="26"/>
  <c r="AD22" i="26"/>
  <c r="AE22" i="26" s="1"/>
  <c r="AF22" i="26"/>
  <c r="AG22" i="26"/>
  <c r="AK22" i="26"/>
  <c r="AL22" i="26"/>
  <c r="AM22" i="26"/>
  <c r="AN22" i="26"/>
  <c r="AO22" i="26"/>
  <c r="AP22" i="26"/>
  <c r="AQ22" i="26"/>
  <c r="BF22" i="26"/>
  <c r="A23" i="26"/>
  <c r="B23" i="26"/>
  <c r="C23" i="26"/>
  <c r="BE23" i="26" s="1"/>
  <c r="D23" i="26"/>
  <c r="E23" i="26"/>
  <c r="F23" i="26"/>
  <c r="V23" i="26"/>
  <c r="W23" i="26"/>
  <c r="AZ23" i="26" s="1"/>
  <c r="X23" i="26"/>
  <c r="Y23" i="26"/>
  <c r="AB23" i="26"/>
  <c r="AC23" i="26"/>
  <c r="AD23" i="26"/>
  <c r="AE23" i="26" s="1"/>
  <c r="AF23" i="26"/>
  <c r="AG23" i="26" s="1"/>
  <c r="AK23" i="26"/>
  <c r="AL23" i="26"/>
  <c r="AM23" i="26"/>
  <c r="AN23" i="26"/>
  <c r="AO23" i="26"/>
  <c r="AP23" i="26"/>
  <c r="AQ23" i="26"/>
  <c r="BF23" i="26"/>
  <c r="A24" i="26"/>
  <c r="B24" i="26"/>
  <c r="C24" i="26"/>
  <c r="D24" i="26"/>
  <c r="E24" i="26"/>
  <c r="F24" i="26"/>
  <c r="V24" i="26"/>
  <c r="W24" i="26"/>
  <c r="X24" i="26"/>
  <c r="Y24" i="26"/>
  <c r="BB24" i="26" s="1"/>
  <c r="AB24" i="26"/>
  <c r="AC24" i="26"/>
  <c r="AD24" i="26"/>
  <c r="AE24" i="26" s="1"/>
  <c r="AF24" i="26"/>
  <c r="AG24" i="26" s="1"/>
  <c r="AK24" i="26"/>
  <c r="AL24" i="26"/>
  <c r="AM24" i="26"/>
  <c r="AN24" i="26"/>
  <c r="AO24" i="26"/>
  <c r="AP24" i="26"/>
  <c r="AQ24" i="26"/>
  <c r="BF24" i="26"/>
  <c r="A25" i="26"/>
  <c r="B25" i="26"/>
  <c r="C25" i="26"/>
  <c r="D25" i="26"/>
  <c r="E25" i="26"/>
  <c r="F25" i="26"/>
  <c r="V25" i="26"/>
  <c r="W25" i="26"/>
  <c r="X25" i="26"/>
  <c r="BB25" i="26" s="1"/>
  <c r="Y25" i="26"/>
  <c r="AB25" i="26"/>
  <c r="AC25" i="26"/>
  <c r="AD25" i="26"/>
  <c r="AE25" i="26" s="1"/>
  <c r="AF25" i="26"/>
  <c r="AG25" i="26" s="1"/>
  <c r="AK25" i="26"/>
  <c r="AL25" i="26"/>
  <c r="AM25" i="26"/>
  <c r="AN25" i="26"/>
  <c r="AO25" i="26"/>
  <c r="AP25" i="26"/>
  <c r="AQ25" i="26"/>
  <c r="U25" i="26" s="1"/>
  <c r="S25" i="26" s="1"/>
  <c r="Q25" i="26" s="1"/>
  <c r="BF25" i="26"/>
  <c r="A26" i="26"/>
  <c r="B26" i="26"/>
  <c r="C26" i="26"/>
  <c r="D26" i="26"/>
  <c r="E26" i="26"/>
  <c r="F26" i="26"/>
  <c r="V26" i="26"/>
  <c r="W26" i="26"/>
  <c r="X26" i="26"/>
  <c r="BB26" i="26" s="1"/>
  <c r="Y26" i="26"/>
  <c r="AB26" i="26"/>
  <c r="AC26" i="26"/>
  <c r="AD26" i="26"/>
  <c r="AE26" i="26" s="1"/>
  <c r="AF26" i="26"/>
  <c r="AG26" i="26" s="1"/>
  <c r="AK26" i="26"/>
  <c r="AL26" i="26"/>
  <c r="AM26" i="26"/>
  <c r="AN26" i="26"/>
  <c r="AO26" i="26"/>
  <c r="AP26" i="26"/>
  <c r="T26" i="26" s="1"/>
  <c r="R26" i="26" s="1"/>
  <c r="P26" i="26" s="1"/>
  <c r="AQ26" i="26"/>
  <c r="U26" i="26" s="1"/>
  <c r="S26" i="26" s="1"/>
  <c r="Q26" i="26" s="1"/>
  <c r="AZ26" i="26"/>
  <c r="BF26" i="26"/>
  <c r="A27" i="26"/>
  <c r="B27" i="26"/>
  <c r="C27" i="26"/>
  <c r="D27" i="26"/>
  <c r="E27" i="26"/>
  <c r="F27" i="26"/>
  <c r="V27" i="26"/>
  <c r="W27" i="26"/>
  <c r="AZ27" i="26" s="1"/>
  <c r="X27" i="26"/>
  <c r="Y27" i="26"/>
  <c r="AB27" i="26"/>
  <c r="AC27" i="26"/>
  <c r="AD27" i="26"/>
  <c r="AE27" i="26"/>
  <c r="AF27" i="26"/>
  <c r="AG27" i="26" s="1"/>
  <c r="AK27" i="26"/>
  <c r="AL27" i="26"/>
  <c r="AM27" i="26"/>
  <c r="AN27" i="26"/>
  <c r="AO27" i="26"/>
  <c r="AP27" i="26"/>
  <c r="AQ27" i="26"/>
  <c r="BF27" i="26"/>
  <c r="A28" i="26"/>
  <c r="B28" i="26"/>
  <c r="C28" i="26"/>
  <c r="D28" i="26"/>
  <c r="E28" i="26"/>
  <c r="F28" i="26"/>
  <c r="V28" i="26"/>
  <c r="W28" i="26"/>
  <c r="X28" i="26"/>
  <c r="BB28" i="26" s="1"/>
  <c r="Y28" i="26"/>
  <c r="AB28" i="26"/>
  <c r="AC28" i="26"/>
  <c r="AD28" i="26"/>
  <c r="AE28" i="26" s="1"/>
  <c r="AF28" i="26"/>
  <c r="AG28" i="26"/>
  <c r="AK28" i="26"/>
  <c r="AL28" i="26"/>
  <c r="AM28" i="26"/>
  <c r="AN28" i="26"/>
  <c r="AO28" i="26"/>
  <c r="AP28" i="26"/>
  <c r="AQ28" i="26"/>
  <c r="BF28" i="26"/>
  <c r="A29" i="26"/>
  <c r="B29" i="26"/>
  <c r="C29" i="26"/>
  <c r="D29" i="26"/>
  <c r="E29" i="26"/>
  <c r="F29" i="26"/>
  <c r="V29" i="26"/>
  <c r="W29" i="26"/>
  <c r="X29" i="26"/>
  <c r="Y29" i="26"/>
  <c r="AB29" i="26"/>
  <c r="AC29" i="26"/>
  <c r="AD29" i="26"/>
  <c r="AE29" i="26" s="1"/>
  <c r="AF29" i="26"/>
  <c r="AG29" i="26" s="1"/>
  <c r="AK29" i="26"/>
  <c r="AL29" i="26"/>
  <c r="AM29" i="26"/>
  <c r="AN29" i="26"/>
  <c r="AO29" i="26"/>
  <c r="AP29" i="26"/>
  <c r="AQ29" i="26"/>
  <c r="BF29" i="26"/>
  <c r="A30" i="26"/>
  <c r="B30" i="26"/>
  <c r="C30" i="26"/>
  <c r="D30" i="26"/>
  <c r="E30" i="26"/>
  <c r="F30" i="26"/>
  <c r="V30" i="26"/>
  <c r="W30" i="26"/>
  <c r="X30" i="26"/>
  <c r="BB30" i="26" s="1"/>
  <c r="Y30" i="26"/>
  <c r="AB30" i="26"/>
  <c r="AC30" i="26"/>
  <c r="AD30" i="26"/>
  <c r="AE30" i="26" s="1"/>
  <c r="AF30" i="26"/>
  <c r="AG30" i="26" s="1"/>
  <c r="AK30" i="26"/>
  <c r="AL30" i="26"/>
  <c r="AM30" i="26"/>
  <c r="AN30" i="26"/>
  <c r="AO30" i="26"/>
  <c r="AP30" i="26"/>
  <c r="AQ30" i="26"/>
  <c r="U30" i="26" s="1"/>
  <c r="S30" i="26" s="1"/>
  <c r="BF30" i="26"/>
  <c r="A31" i="26"/>
  <c r="B31" i="26"/>
  <c r="C31" i="26"/>
  <c r="D31" i="26"/>
  <c r="E31" i="26"/>
  <c r="F31" i="26"/>
  <c r="U31" i="26"/>
  <c r="S31" i="26" s="1"/>
  <c r="Q31" i="26" s="1"/>
  <c r="V31" i="26"/>
  <c r="AZ31" i="26" s="1"/>
  <c r="W31" i="26"/>
  <c r="X31" i="26"/>
  <c r="BB31" i="26" s="1"/>
  <c r="Y31" i="26"/>
  <c r="AB31" i="26"/>
  <c r="AC31" i="26"/>
  <c r="AD31" i="26"/>
  <c r="AE31" i="26" s="1"/>
  <c r="AF31" i="26"/>
  <c r="AG31" i="26" s="1"/>
  <c r="AK31" i="26"/>
  <c r="AL31" i="26"/>
  <c r="AM31" i="26"/>
  <c r="AN31" i="26"/>
  <c r="AO31" i="26"/>
  <c r="AP31" i="26"/>
  <c r="T31" i="26" s="1"/>
  <c r="R31" i="26" s="1"/>
  <c r="P31" i="26" s="1"/>
  <c r="AQ31" i="26"/>
  <c r="AA31" i="26" s="1"/>
  <c r="BF31" i="26"/>
  <c r="A32" i="26"/>
  <c r="B32" i="26"/>
  <c r="C32" i="26"/>
  <c r="D32" i="26"/>
  <c r="E32" i="26"/>
  <c r="F32" i="26"/>
  <c r="V32" i="26"/>
  <c r="AZ32" i="26" s="1"/>
  <c r="W32" i="26"/>
  <c r="X32" i="26"/>
  <c r="Y32" i="26"/>
  <c r="BB32" i="26" s="1"/>
  <c r="AB32" i="26"/>
  <c r="AC32" i="26"/>
  <c r="AD32" i="26"/>
  <c r="AE32" i="26" s="1"/>
  <c r="AF32" i="26"/>
  <c r="AG32" i="26" s="1"/>
  <c r="AK32" i="26"/>
  <c r="AL32" i="26"/>
  <c r="AM32" i="26"/>
  <c r="AN32" i="26"/>
  <c r="AO32" i="26"/>
  <c r="AP32" i="26"/>
  <c r="T32" i="26" s="1"/>
  <c r="R32" i="26" s="1"/>
  <c r="P32" i="26" s="1"/>
  <c r="AQ32" i="26"/>
  <c r="U32" i="26" s="1"/>
  <c r="S32" i="26" s="1"/>
  <c r="Q32" i="26" s="1"/>
  <c r="BF32" i="26"/>
  <c r="A33" i="26"/>
  <c r="B33" i="26"/>
  <c r="C33" i="26"/>
  <c r="D33" i="26"/>
  <c r="E33" i="26"/>
  <c r="F33" i="26"/>
  <c r="V33" i="26"/>
  <c r="W33" i="26"/>
  <c r="AZ33" i="26" s="1"/>
  <c r="X33" i="26"/>
  <c r="BB33" i="26" s="1"/>
  <c r="Y33" i="26"/>
  <c r="AB33" i="26"/>
  <c r="AC33" i="26"/>
  <c r="AD33" i="26"/>
  <c r="AE33" i="26" s="1"/>
  <c r="AF33" i="26"/>
  <c r="AG33" i="26"/>
  <c r="AK33" i="26"/>
  <c r="AL33" i="26"/>
  <c r="AM33" i="26"/>
  <c r="AN33" i="26"/>
  <c r="AO33" i="26"/>
  <c r="AP33" i="26"/>
  <c r="T33" i="26" s="1"/>
  <c r="R33" i="26" s="1"/>
  <c r="P33" i="26" s="1"/>
  <c r="AQ33" i="26"/>
  <c r="BF33" i="26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AI12" i="25"/>
  <c r="AJ12" i="25"/>
  <c r="AK12" i="25"/>
  <c r="AL12" i="25"/>
  <c r="AM12" i="25"/>
  <c r="AN12" i="25"/>
  <c r="AO12" i="25"/>
  <c r="AP12" i="25"/>
  <c r="AI13" i="25"/>
  <c r="AJ13" i="25"/>
  <c r="AK13" i="25"/>
  <c r="AL13" i="25"/>
  <c r="AM13" i="25"/>
  <c r="AN13" i="25"/>
  <c r="AO13" i="25"/>
  <c r="AP13" i="25"/>
  <c r="AI14" i="25"/>
  <c r="AJ14" i="25"/>
  <c r="AK14" i="25"/>
  <c r="AL14" i="25"/>
  <c r="AM14" i="25"/>
  <c r="AN14" i="25"/>
  <c r="AO14" i="25"/>
  <c r="AP14" i="25"/>
  <c r="AI15" i="25"/>
  <c r="AJ15" i="25"/>
  <c r="AK15" i="25"/>
  <c r="AL15" i="25"/>
  <c r="AM15" i="25"/>
  <c r="AN15" i="25"/>
  <c r="AO15" i="25"/>
  <c r="AP15" i="25"/>
  <c r="AI16" i="25"/>
  <c r="AJ16" i="25"/>
  <c r="AK16" i="25"/>
  <c r="AL16" i="25"/>
  <c r="AM16" i="25"/>
  <c r="AN16" i="25"/>
  <c r="AO16" i="25"/>
  <c r="AP16" i="25"/>
  <c r="AI17" i="25"/>
  <c r="AJ17" i="25"/>
  <c r="AK17" i="25"/>
  <c r="AL17" i="25"/>
  <c r="AM17" i="25"/>
  <c r="AN17" i="25"/>
  <c r="AO17" i="25"/>
  <c r="AP17" i="25"/>
  <c r="AI18" i="25"/>
  <c r="AJ18" i="25"/>
  <c r="AK18" i="25"/>
  <c r="AL18" i="25"/>
  <c r="AM18" i="25"/>
  <c r="AN18" i="25"/>
  <c r="AO18" i="25"/>
  <c r="AP18" i="25"/>
  <c r="AI19" i="25"/>
  <c r="AJ19" i="25"/>
  <c r="AK19" i="25"/>
  <c r="AL19" i="25"/>
  <c r="AM19" i="25"/>
  <c r="AN19" i="25"/>
  <c r="AO19" i="25"/>
  <c r="AP19" i="25"/>
  <c r="AI20" i="25"/>
  <c r="AJ20" i="25"/>
  <c r="AK20" i="25"/>
  <c r="AL20" i="25"/>
  <c r="AM20" i="25"/>
  <c r="AN20" i="25"/>
  <c r="AO20" i="25"/>
  <c r="AP20" i="25"/>
  <c r="AI21" i="25"/>
  <c r="AJ21" i="25"/>
  <c r="AK21" i="25"/>
  <c r="AL21" i="25"/>
  <c r="AM21" i="25"/>
  <c r="AN21" i="25"/>
  <c r="AO21" i="25"/>
  <c r="AP21" i="25"/>
  <c r="AI22" i="25"/>
  <c r="AJ22" i="25"/>
  <c r="AK22" i="25"/>
  <c r="AL22" i="25"/>
  <c r="AM22" i="25"/>
  <c r="AN22" i="25"/>
  <c r="AO22" i="25"/>
  <c r="AP22" i="25"/>
  <c r="AI23" i="25"/>
  <c r="AJ23" i="25"/>
  <c r="AK23" i="25"/>
  <c r="AL23" i="25"/>
  <c r="AM23" i="25"/>
  <c r="AN23" i="25"/>
  <c r="AO23" i="25"/>
  <c r="AP23" i="25"/>
  <c r="AI24" i="25"/>
  <c r="AJ24" i="25"/>
  <c r="AK24" i="25"/>
  <c r="AL24" i="25"/>
  <c r="AM24" i="25"/>
  <c r="AN24" i="25"/>
  <c r="AO24" i="25"/>
  <c r="AP24" i="25"/>
  <c r="AI25" i="25"/>
  <c r="AJ25" i="25"/>
  <c r="AK25" i="25"/>
  <c r="AL25" i="25"/>
  <c r="AM25" i="25"/>
  <c r="AN25" i="25"/>
  <c r="AO25" i="25"/>
  <c r="AP25" i="25"/>
  <c r="AI26" i="25"/>
  <c r="AJ26" i="25"/>
  <c r="AK26" i="25"/>
  <c r="AL26" i="25"/>
  <c r="AM26" i="25"/>
  <c r="AN26" i="25"/>
  <c r="AO26" i="25"/>
  <c r="AP26" i="25"/>
  <c r="AI27" i="25"/>
  <c r="AJ27" i="25"/>
  <c r="AK27" i="25"/>
  <c r="AL27" i="25"/>
  <c r="AM27" i="25"/>
  <c r="AN27" i="25"/>
  <c r="AO27" i="25"/>
  <c r="AP27" i="25"/>
  <c r="AI28" i="25"/>
  <c r="AJ28" i="25"/>
  <c r="AK28" i="25"/>
  <c r="AL28" i="25"/>
  <c r="AM28" i="25"/>
  <c r="AN28" i="25"/>
  <c r="AO28" i="25"/>
  <c r="AP28" i="25"/>
  <c r="AI29" i="25"/>
  <c r="AJ29" i="25"/>
  <c r="AK29" i="25"/>
  <c r="AL29" i="25"/>
  <c r="AM29" i="25"/>
  <c r="AN29" i="25"/>
  <c r="AO29" i="25"/>
  <c r="AP29" i="25"/>
  <c r="AI30" i="25"/>
  <c r="AJ30" i="25"/>
  <c r="AK30" i="25"/>
  <c r="AL30" i="25"/>
  <c r="AM30" i="25"/>
  <c r="AN30" i="25"/>
  <c r="AO30" i="25"/>
  <c r="AP30" i="25"/>
  <c r="AI31" i="25"/>
  <c r="AJ31" i="25"/>
  <c r="AK31" i="25"/>
  <c r="AL31" i="25"/>
  <c r="AM31" i="25"/>
  <c r="AN31" i="25"/>
  <c r="AO31" i="25"/>
  <c r="AP31" i="25"/>
  <c r="AI32" i="25"/>
  <c r="AJ32" i="25"/>
  <c r="AK32" i="25"/>
  <c r="AL32" i="25"/>
  <c r="AM32" i="25"/>
  <c r="AN32" i="25"/>
  <c r="AO32" i="25"/>
  <c r="AP32" i="25"/>
  <c r="AI33" i="25"/>
  <c r="AJ33" i="25"/>
  <c r="AK33" i="25"/>
  <c r="AL33" i="25"/>
  <c r="AM33" i="25"/>
  <c r="AN33" i="25"/>
  <c r="AO33" i="25"/>
  <c r="AP33" i="25"/>
  <c r="AI34" i="25"/>
  <c r="AJ34" i="25"/>
  <c r="AK34" i="25"/>
  <c r="AL34" i="25"/>
  <c r="AM34" i="25"/>
  <c r="AN34" i="25"/>
  <c r="AO34" i="25"/>
  <c r="AP34" i="25"/>
  <c r="AI35" i="25"/>
  <c r="AJ35" i="25"/>
  <c r="AK35" i="25"/>
  <c r="AL35" i="25"/>
  <c r="AM35" i="25"/>
  <c r="AN35" i="25"/>
  <c r="AO35" i="25"/>
  <c r="AP35" i="25"/>
  <c r="AI36" i="25"/>
  <c r="AJ36" i="25"/>
  <c r="AK36" i="25"/>
  <c r="AL36" i="25"/>
  <c r="AM36" i="25"/>
  <c r="AN36" i="25"/>
  <c r="AO36" i="25"/>
  <c r="AP36" i="25"/>
  <c r="AI37" i="25"/>
  <c r="AJ37" i="25"/>
  <c r="AK37" i="25"/>
  <c r="AL37" i="25"/>
  <c r="AM37" i="25"/>
  <c r="AN37" i="25"/>
  <c r="AO37" i="25"/>
  <c r="AP37" i="25"/>
  <c r="AI38" i="25"/>
  <c r="AJ38" i="25"/>
  <c r="AK38" i="25"/>
  <c r="AL38" i="25"/>
  <c r="AM38" i="25"/>
  <c r="AN38" i="25"/>
  <c r="AO38" i="25"/>
  <c r="AP38" i="25"/>
  <c r="AI39" i="25"/>
  <c r="AJ39" i="25"/>
  <c r="AK39" i="25"/>
  <c r="AL39" i="25"/>
  <c r="AM39" i="25"/>
  <c r="AN39" i="25"/>
  <c r="AO39" i="25"/>
  <c r="AP39" i="25"/>
  <c r="AI40" i="25"/>
  <c r="AJ40" i="25"/>
  <c r="AK40" i="25"/>
  <c r="AL40" i="25"/>
  <c r="AM40" i="25"/>
  <c r="AN40" i="25"/>
  <c r="AO40" i="25"/>
  <c r="AP40" i="25"/>
  <c r="AI41" i="25"/>
  <c r="AJ41" i="25"/>
  <c r="AK41" i="25"/>
  <c r="AL41" i="25"/>
  <c r="AM41" i="25"/>
  <c r="AN41" i="25"/>
  <c r="AO41" i="25"/>
  <c r="AP41" i="25"/>
  <c r="AI42" i="25"/>
  <c r="AJ42" i="25"/>
  <c r="AK42" i="25"/>
  <c r="AL42" i="25"/>
  <c r="AM42" i="25"/>
  <c r="AN42" i="25"/>
  <c r="AO42" i="25"/>
  <c r="AP42" i="25"/>
  <c r="AI43" i="25"/>
  <c r="AJ43" i="25"/>
  <c r="AK43" i="25"/>
  <c r="AL43" i="25"/>
  <c r="AM43" i="25"/>
  <c r="AN43" i="25"/>
  <c r="AO43" i="25"/>
  <c r="AP43" i="25"/>
  <c r="AI44" i="25"/>
  <c r="AJ44" i="25"/>
  <c r="AK44" i="25"/>
  <c r="AL44" i="25"/>
  <c r="AM44" i="25"/>
  <c r="AN44" i="25"/>
  <c r="AO44" i="25"/>
  <c r="AP44" i="25"/>
  <c r="AI45" i="25"/>
  <c r="AJ45" i="25"/>
  <c r="AK45" i="25"/>
  <c r="AL45" i="25"/>
  <c r="AM45" i="25"/>
  <c r="AN45" i="25"/>
  <c r="AO45" i="25"/>
  <c r="AP45" i="25"/>
  <c r="AI46" i="25"/>
  <c r="AJ46" i="25"/>
  <c r="AK46" i="25"/>
  <c r="AL46" i="25"/>
  <c r="AM46" i="25"/>
  <c r="AN46" i="25"/>
  <c r="AO46" i="25"/>
  <c r="AP46" i="25"/>
  <c r="AI47" i="25"/>
  <c r="AJ47" i="25"/>
  <c r="AK47" i="25"/>
  <c r="AL47" i="25"/>
  <c r="AM47" i="25"/>
  <c r="AN47" i="25"/>
  <c r="AO47" i="25"/>
  <c r="AP47" i="25"/>
  <c r="AI48" i="25"/>
  <c r="AJ48" i="25"/>
  <c r="AK48" i="25"/>
  <c r="AL48" i="25"/>
  <c r="AM48" i="25"/>
  <c r="AN48" i="25"/>
  <c r="AO48" i="25"/>
  <c r="AP48" i="25"/>
  <c r="AI49" i="25"/>
  <c r="AJ49" i="25"/>
  <c r="AK49" i="25"/>
  <c r="AL49" i="25"/>
  <c r="AM49" i="25"/>
  <c r="AN49" i="25"/>
  <c r="AO49" i="25"/>
  <c r="AP49" i="25"/>
  <c r="AI50" i="25"/>
  <c r="AJ50" i="25"/>
  <c r="AK50" i="25"/>
  <c r="AL50" i="25"/>
  <c r="AM50" i="25"/>
  <c r="AN50" i="25"/>
  <c r="AO50" i="25"/>
  <c r="AP50" i="25"/>
  <c r="AI51" i="25"/>
  <c r="AJ51" i="25"/>
  <c r="AK51" i="25"/>
  <c r="AL51" i="25"/>
  <c r="AM51" i="25"/>
  <c r="AN51" i="25"/>
  <c r="AO51" i="25"/>
  <c r="AP51" i="25"/>
  <c r="AI52" i="25"/>
  <c r="AJ52" i="25"/>
  <c r="AK52" i="25"/>
  <c r="AL52" i="25"/>
  <c r="AM52" i="25"/>
  <c r="AN52" i="25"/>
  <c r="AO52" i="25"/>
  <c r="AP52" i="25"/>
  <c r="AI53" i="25"/>
  <c r="AJ53" i="25"/>
  <c r="AK53" i="25"/>
  <c r="AL53" i="25"/>
  <c r="AM53" i="25"/>
  <c r="AN53" i="25"/>
  <c r="AO53" i="25"/>
  <c r="AP53" i="25"/>
  <c r="AI54" i="25"/>
  <c r="AJ54" i="25"/>
  <c r="AK54" i="25"/>
  <c r="AL54" i="25"/>
  <c r="AM54" i="25"/>
  <c r="AN54" i="25"/>
  <c r="AO54" i="25"/>
  <c r="AP54" i="25"/>
  <c r="AI55" i="25"/>
  <c r="AJ55" i="25"/>
  <c r="AK55" i="25"/>
  <c r="AL55" i="25"/>
  <c r="AM55" i="25"/>
  <c r="AN55" i="25"/>
  <c r="AO55" i="25"/>
  <c r="AP55" i="25"/>
  <c r="AI56" i="25"/>
  <c r="AJ56" i="25"/>
  <c r="AK56" i="25"/>
  <c r="AL56" i="25"/>
  <c r="AM56" i="25"/>
  <c r="AN56" i="25"/>
  <c r="AO56" i="25"/>
  <c r="AP56" i="25"/>
  <c r="AI57" i="25"/>
  <c r="AJ57" i="25"/>
  <c r="AK57" i="25"/>
  <c r="AL57" i="25"/>
  <c r="AM57" i="25"/>
  <c r="AN57" i="25"/>
  <c r="AO57" i="25"/>
  <c r="AP57" i="25"/>
  <c r="AI58" i="25"/>
  <c r="AJ58" i="25"/>
  <c r="AK58" i="25"/>
  <c r="AL58" i="25"/>
  <c r="AM58" i="25"/>
  <c r="AN58" i="25"/>
  <c r="AO58" i="25"/>
  <c r="AP58" i="25"/>
  <c r="AI59" i="25"/>
  <c r="AJ59" i="25"/>
  <c r="AK59" i="25"/>
  <c r="AL59" i="25"/>
  <c r="AM59" i="25"/>
  <c r="AN59" i="25"/>
  <c r="AO59" i="25"/>
  <c r="AP59" i="25"/>
  <c r="AI60" i="25"/>
  <c r="AJ60" i="25"/>
  <c r="AK60" i="25"/>
  <c r="AL60" i="25"/>
  <c r="AM60" i="25"/>
  <c r="AN60" i="25"/>
  <c r="AO60" i="25"/>
  <c r="AP60" i="25"/>
  <c r="AI61" i="25"/>
  <c r="AJ61" i="25"/>
  <c r="AK61" i="25"/>
  <c r="AL61" i="25"/>
  <c r="AM61" i="25"/>
  <c r="AN61" i="25"/>
  <c r="AO61" i="25"/>
  <c r="AP61" i="25"/>
  <c r="AI62" i="25"/>
  <c r="AJ62" i="25"/>
  <c r="AK62" i="25"/>
  <c r="AL62" i="25"/>
  <c r="AM62" i="25"/>
  <c r="AN62" i="25"/>
  <c r="AO62" i="25"/>
  <c r="AP62" i="25"/>
  <c r="AI63" i="25"/>
  <c r="AJ63" i="25"/>
  <c r="AK63" i="25"/>
  <c r="AL63" i="25"/>
  <c r="AM63" i="25"/>
  <c r="AN63" i="25"/>
  <c r="AO63" i="25"/>
  <c r="AP63" i="25"/>
  <c r="AI64" i="25"/>
  <c r="AJ64" i="25"/>
  <c r="AK64" i="25"/>
  <c r="AL64" i="25"/>
  <c r="AM64" i="25"/>
  <c r="AN64" i="25"/>
  <c r="AO64" i="25"/>
  <c r="AP64" i="25"/>
  <c r="AI65" i="25"/>
  <c r="AJ65" i="25"/>
  <c r="AK65" i="25"/>
  <c r="AL65" i="25"/>
  <c r="AM65" i="25"/>
  <c r="AN65" i="25"/>
  <c r="AO65" i="25"/>
  <c r="AP65" i="25"/>
  <c r="AI66" i="25"/>
  <c r="AJ66" i="25"/>
  <c r="AK66" i="25"/>
  <c r="AL66" i="25"/>
  <c r="AM66" i="25"/>
  <c r="AN66" i="25"/>
  <c r="AO66" i="25"/>
  <c r="AP66" i="25"/>
  <c r="AI67" i="25"/>
  <c r="AJ67" i="25"/>
  <c r="AK67" i="25"/>
  <c r="AL67" i="25"/>
  <c r="AM67" i="25"/>
  <c r="AN67" i="25"/>
  <c r="AO67" i="25"/>
  <c r="AP67" i="25"/>
  <c r="AI68" i="25"/>
  <c r="AJ68" i="25"/>
  <c r="AK68" i="25"/>
  <c r="AL68" i="25"/>
  <c r="AM68" i="25"/>
  <c r="AN68" i="25"/>
  <c r="AO68" i="25"/>
  <c r="AP68" i="25"/>
  <c r="AI69" i="25"/>
  <c r="AJ69" i="25"/>
  <c r="AK69" i="25"/>
  <c r="AL69" i="25"/>
  <c r="AM69" i="25"/>
  <c r="AN69" i="25"/>
  <c r="AO69" i="25"/>
  <c r="AP69" i="25"/>
  <c r="AI70" i="25"/>
  <c r="AJ70" i="25"/>
  <c r="AK70" i="25"/>
  <c r="AL70" i="25"/>
  <c r="AM70" i="25"/>
  <c r="AN70" i="25"/>
  <c r="AO70" i="25"/>
  <c r="AP70" i="25"/>
  <c r="AI71" i="25"/>
  <c r="AJ71" i="25"/>
  <c r="AK71" i="25"/>
  <c r="AL71" i="25"/>
  <c r="AM71" i="25"/>
  <c r="AN71" i="25"/>
  <c r="AO71" i="25"/>
  <c r="AP71" i="25"/>
  <c r="AI72" i="25"/>
  <c r="AJ72" i="25"/>
  <c r="AK72" i="25"/>
  <c r="AL72" i="25"/>
  <c r="AM72" i="25"/>
  <c r="AN72" i="25"/>
  <c r="AO72" i="25"/>
  <c r="AP72" i="25"/>
  <c r="AI73" i="25"/>
  <c r="AJ73" i="25"/>
  <c r="AK73" i="25"/>
  <c r="AL73" i="25"/>
  <c r="AM73" i="25"/>
  <c r="AN73" i="25"/>
  <c r="AO73" i="25"/>
  <c r="AP73" i="25"/>
  <c r="AI74" i="25"/>
  <c r="AJ74" i="25"/>
  <c r="AK74" i="25"/>
  <c r="AL74" i="25"/>
  <c r="AM74" i="25"/>
  <c r="AN74" i="25"/>
  <c r="AO74" i="25"/>
  <c r="AP74" i="25"/>
  <c r="AI75" i="25"/>
  <c r="AJ75" i="25"/>
  <c r="AK75" i="25"/>
  <c r="AL75" i="25"/>
  <c r="AM75" i="25"/>
  <c r="AN75" i="25"/>
  <c r="AO75" i="25"/>
  <c r="AP75" i="25"/>
  <c r="AI76" i="25"/>
  <c r="AJ76" i="25"/>
  <c r="AK76" i="25"/>
  <c r="AL76" i="25"/>
  <c r="AM76" i="25"/>
  <c r="AN76" i="25"/>
  <c r="AO76" i="25"/>
  <c r="AP76" i="25"/>
  <c r="AI77" i="25"/>
  <c r="AJ77" i="25"/>
  <c r="AK77" i="25"/>
  <c r="AL77" i="25"/>
  <c r="AM77" i="25"/>
  <c r="AN77" i="25"/>
  <c r="AO77" i="25"/>
  <c r="AP77" i="25"/>
  <c r="AI78" i="25"/>
  <c r="AJ78" i="25"/>
  <c r="AK78" i="25"/>
  <c r="AL78" i="25"/>
  <c r="AM78" i="25"/>
  <c r="AN78" i="25"/>
  <c r="AO78" i="25"/>
  <c r="AP78" i="25"/>
  <c r="AI79" i="25"/>
  <c r="AJ79" i="25"/>
  <c r="AK79" i="25"/>
  <c r="AL79" i="25"/>
  <c r="AM79" i="25"/>
  <c r="AN79" i="25"/>
  <c r="AO79" i="25"/>
  <c r="AP79" i="25"/>
  <c r="AI80" i="25"/>
  <c r="AJ80" i="25"/>
  <c r="AK80" i="25"/>
  <c r="AL80" i="25"/>
  <c r="AM80" i="25"/>
  <c r="AN80" i="25"/>
  <c r="AO80" i="25"/>
  <c r="AP80" i="25"/>
  <c r="AI81" i="25"/>
  <c r="AJ81" i="25"/>
  <c r="AK81" i="25"/>
  <c r="AL81" i="25"/>
  <c r="AM81" i="25"/>
  <c r="AN81" i="25"/>
  <c r="AO81" i="25"/>
  <c r="AP81" i="25"/>
  <c r="AI82" i="25"/>
  <c r="AJ82" i="25"/>
  <c r="AK82" i="25"/>
  <c r="AL82" i="25"/>
  <c r="AM82" i="25"/>
  <c r="AN82" i="25"/>
  <c r="AO82" i="25"/>
  <c r="AP82" i="25"/>
  <c r="AI83" i="25"/>
  <c r="AJ83" i="25"/>
  <c r="AK83" i="25"/>
  <c r="AL83" i="25"/>
  <c r="AM83" i="25"/>
  <c r="AN83" i="25"/>
  <c r="AO83" i="25"/>
  <c r="AP83" i="25"/>
  <c r="AI84" i="25"/>
  <c r="AJ84" i="25"/>
  <c r="AK84" i="25"/>
  <c r="AL84" i="25"/>
  <c r="AM84" i="25"/>
  <c r="AN84" i="25"/>
  <c r="AO84" i="25"/>
  <c r="AP84" i="25"/>
  <c r="AI85" i="25"/>
  <c r="AJ85" i="25"/>
  <c r="AK85" i="25"/>
  <c r="AL85" i="25"/>
  <c r="AM85" i="25"/>
  <c r="AN85" i="25"/>
  <c r="AO85" i="25"/>
  <c r="AP85" i="25"/>
  <c r="AI86" i="25"/>
  <c r="AJ86" i="25"/>
  <c r="AK86" i="25"/>
  <c r="AL86" i="25"/>
  <c r="AM86" i="25"/>
  <c r="AN86" i="25"/>
  <c r="AO86" i="25"/>
  <c r="AP86" i="25"/>
  <c r="AI87" i="25"/>
  <c r="AJ87" i="25"/>
  <c r="AK87" i="25"/>
  <c r="AL87" i="25"/>
  <c r="AM87" i="25"/>
  <c r="AN87" i="25"/>
  <c r="AO87" i="25"/>
  <c r="AP87" i="25"/>
  <c r="AI88" i="25"/>
  <c r="AJ88" i="25"/>
  <c r="AK88" i="25"/>
  <c r="AL88" i="25"/>
  <c r="AM88" i="25"/>
  <c r="AN88" i="25"/>
  <c r="AO88" i="25"/>
  <c r="AP88" i="25"/>
  <c r="AI89" i="25"/>
  <c r="AJ89" i="25"/>
  <c r="AK89" i="25"/>
  <c r="AL89" i="25"/>
  <c r="AM89" i="25"/>
  <c r="AN89" i="25"/>
  <c r="AO89" i="25"/>
  <c r="AP89" i="25"/>
  <c r="AI90" i="25"/>
  <c r="AJ90" i="25"/>
  <c r="AK90" i="25"/>
  <c r="AL90" i="25"/>
  <c r="AM90" i="25"/>
  <c r="AN90" i="25"/>
  <c r="AO90" i="25"/>
  <c r="AP90" i="25"/>
  <c r="AI91" i="25"/>
  <c r="AJ91" i="25"/>
  <c r="AK91" i="25"/>
  <c r="AL91" i="25"/>
  <c r="AM91" i="25"/>
  <c r="AN91" i="25"/>
  <c r="AO91" i="25"/>
  <c r="AP91" i="25"/>
  <c r="AI92" i="25"/>
  <c r="AJ92" i="25"/>
  <c r="AK92" i="25"/>
  <c r="AL92" i="25"/>
  <c r="AM92" i="25"/>
  <c r="AN92" i="25"/>
  <c r="AO92" i="25"/>
  <c r="AP92" i="25"/>
  <c r="AI93" i="25"/>
  <c r="AJ93" i="25"/>
  <c r="AK93" i="25"/>
  <c r="AL93" i="25"/>
  <c r="AM93" i="25"/>
  <c r="AN93" i="25"/>
  <c r="AO93" i="25"/>
  <c r="AP93" i="25"/>
  <c r="AI94" i="25"/>
  <c r="AJ94" i="25"/>
  <c r="AK94" i="25"/>
  <c r="AL94" i="25"/>
  <c r="AM94" i="25"/>
  <c r="AN94" i="25"/>
  <c r="AO94" i="25"/>
  <c r="AP94" i="25"/>
  <c r="AI95" i="25"/>
  <c r="AJ95" i="25"/>
  <c r="AK95" i="25"/>
  <c r="AL95" i="25"/>
  <c r="AM95" i="25"/>
  <c r="AN95" i="25"/>
  <c r="AO95" i="25"/>
  <c r="AP95" i="25"/>
  <c r="AI96" i="25"/>
  <c r="AJ96" i="25"/>
  <c r="AK96" i="25"/>
  <c r="AL96" i="25"/>
  <c r="AM96" i="25"/>
  <c r="AN96" i="25"/>
  <c r="AO96" i="25"/>
  <c r="AP96" i="25"/>
  <c r="AI97" i="25"/>
  <c r="AJ97" i="25"/>
  <c r="AK97" i="25"/>
  <c r="AL97" i="25"/>
  <c r="AM97" i="25"/>
  <c r="AN97" i="25"/>
  <c r="AO97" i="25"/>
  <c r="AP97" i="25"/>
  <c r="AI98" i="25"/>
  <c r="AJ98" i="25"/>
  <c r="AK98" i="25"/>
  <c r="AL98" i="25"/>
  <c r="AM98" i="25"/>
  <c r="AN98" i="25"/>
  <c r="AO98" i="25"/>
  <c r="AP98" i="25"/>
  <c r="AI99" i="25"/>
  <c r="AJ99" i="25"/>
  <c r="AK99" i="25"/>
  <c r="AL99" i="25"/>
  <c r="AM99" i="25"/>
  <c r="AN99" i="25"/>
  <c r="AO99" i="25"/>
  <c r="AP99" i="25"/>
  <c r="AI100" i="25"/>
  <c r="AJ100" i="25"/>
  <c r="AK100" i="25"/>
  <c r="AL100" i="25"/>
  <c r="AM100" i="25"/>
  <c r="AN100" i="25"/>
  <c r="AO100" i="25"/>
  <c r="AP100" i="25"/>
  <c r="AI101" i="25"/>
  <c r="AJ101" i="25"/>
  <c r="AK101" i="25"/>
  <c r="AL101" i="25"/>
  <c r="AM101" i="25"/>
  <c r="AN101" i="25"/>
  <c r="AO101" i="25"/>
  <c r="AP101" i="25"/>
  <c r="AI102" i="25"/>
  <c r="AJ102" i="25"/>
  <c r="AK102" i="25"/>
  <c r="AL102" i="25"/>
  <c r="AM102" i="25"/>
  <c r="AN102" i="25"/>
  <c r="AO102" i="25"/>
  <c r="AP102" i="25"/>
  <c r="AI103" i="25"/>
  <c r="AJ103" i="25"/>
  <c r="AK103" i="25"/>
  <c r="AL103" i="25"/>
  <c r="AM103" i="25"/>
  <c r="AN103" i="25"/>
  <c r="AO103" i="25"/>
  <c r="AP103" i="25"/>
  <c r="AI104" i="25"/>
  <c r="AJ104" i="25"/>
  <c r="AK104" i="25"/>
  <c r="AL104" i="25"/>
  <c r="AM104" i="25"/>
  <c r="AN104" i="25"/>
  <c r="AO104" i="25"/>
  <c r="AP104" i="25"/>
  <c r="AI105" i="25"/>
  <c r="AJ105" i="25"/>
  <c r="AK105" i="25"/>
  <c r="AL105" i="25"/>
  <c r="AM105" i="25"/>
  <c r="AN105" i="25"/>
  <c r="AO105" i="25"/>
  <c r="AP105" i="25"/>
  <c r="AI106" i="25"/>
  <c r="AJ106" i="25"/>
  <c r="AK106" i="25"/>
  <c r="AL106" i="25"/>
  <c r="AM106" i="25"/>
  <c r="AN106" i="25"/>
  <c r="AO106" i="25"/>
  <c r="AP106" i="25"/>
  <c r="AI107" i="25"/>
  <c r="AJ107" i="25"/>
  <c r="AK107" i="25"/>
  <c r="AL107" i="25"/>
  <c r="AM107" i="25"/>
  <c r="AN107" i="25"/>
  <c r="AO107" i="25"/>
  <c r="AP107" i="25"/>
  <c r="AI108" i="25"/>
  <c r="AJ108" i="25"/>
  <c r="AK108" i="25"/>
  <c r="AL108" i="25"/>
  <c r="AM108" i="25"/>
  <c r="AN108" i="25"/>
  <c r="AO108" i="25"/>
  <c r="AP108" i="25"/>
  <c r="AI109" i="25"/>
  <c r="AJ109" i="25"/>
  <c r="AK109" i="25"/>
  <c r="AL109" i="25"/>
  <c r="AM109" i="25"/>
  <c r="AN109" i="25"/>
  <c r="AO109" i="25"/>
  <c r="AP109" i="25"/>
  <c r="AI110" i="25"/>
  <c r="AJ110" i="25"/>
  <c r="AK110" i="25"/>
  <c r="AL110" i="25"/>
  <c r="AM110" i="25"/>
  <c r="AN110" i="25"/>
  <c r="AO110" i="25"/>
  <c r="AP110" i="25"/>
  <c r="AI111" i="25"/>
  <c r="AJ111" i="25"/>
  <c r="AK111" i="25"/>
  <c r="AL111" i="25"/>
  <c r="AM111" i="25"/>
  <c r="AN111" i="25"/>
  <c r="AO111" i="25"/>
  <c r="AP111" i="25"/>
  <c r="AI112" i="25"/>
  <c r="AJ112" i="25"/>
  <c r="AK112" i="25"/>
  <c r="AL112" i="25"/>
  <c r="AM112" i="25"/>
  <c r="AN112" i="25"/>
  <c r="AO112" i="25"/>
  <c r="AP112" i="25"/>
  <c r="AI113" i="25"/>
  <c r="AJ113" i="25"/>
  <c r="AK113" i="25"/>
  <c r="AL113" i="25"/>
  <c r="AM113" i="25"/>
  <c r="AN113" i="25"/>
  <c r="AO113" i="25"/>
  <c r="AP113" i="25"/>
  <c r="AI114" i="25"/>
  <c r="AJ114" i="25"/>
  <c r="AK114" i="25"/>
  <c r="AL114" i="25"/>
  <c r="AM114" i="25"/>
  <c r="AN114" i="25"/>
  <c r="AO114" i="25"/>
  <c r="AP114" i="25"/>
  <c r="AI115" i="25"/>
  <c r="AJ115" i="25"/>
  <c r="AK115" i="25"/>
  <c r="AL115" i="25"/>
  <c r="AM115" i="25"/>
  <c r="AN115" i="25"/>
  <c r="AO115" i="25"/>
  <c r="AP115" i="25"/>
  <c r="AI116" i="25"/>
  <c r="AJ116" i="25"/>
  <c r="AK116" i="25"/>
  <c r="AL116" i="25"/>
  <c r="AM116" i="25"/>
  <c r="AN116" i="25"/>
  <c r="AO116" i="25"/>
  <c r="AP116" i="25"/>
  <c r="AI117" i="25"/>
  <c r="AJ117" i="25"/>
  <c r="AK117" i="25"/>
  <c r="AL117" i="25"/>
  <c r="AM117" i="25"/>
  <c r="AN117" i="25"/>
  <c r="AO117" i="25"/>
  <c r="AP117" i="25"/>
  <c r="AI118" i="25"/>
  <c r="AJ118" i="25"/>
  <c r="AK118" i="25"/>
  <c r="AL118" i="25"/>
  <c r="AM118" i="25"/>
  <c r="AN118" i="25"/>
  <c r="AO118" i="25"/>
  <c r="AP118" i="25"/>
  <c r="AI119" i="25"/>
  <c r="AJ119" i="25"/>
  <c r="AK119" i="25"/>
  <c r="AL119" i="25"/>
  <c r="AM119" i="25"/>
  <c r="AN119" i="25"/>
  <c r="AO119" i="25"/>
  <c r="AP119" i="25"/>
  <c r="AI120" i="25"/>
  <c r="AJ120" i="25"/>
  <c r="AK120" i="25"/>
  <c r="AL120" i="25"/>
  <c r="AM120" i="25"/>
  <c r="AN120" i="25"/>
  <c r="AO120" i="25"/>
  <c r="AP120" i="25"/>
  <c r="AI121" i="25"/>
  <c r="AJ121" i="25"/>
  <c r="AK121" i="25"/>
  <c r="AL121" i="25"/>
  <c r="AM121" i="25"/>
  <c r="AN121" i="25"/>
  <c r="AO121" i="25"/>
  <c r="AP121" i="25"/>
  <c r="AI122" i="25"/>
  <c r="AJ122" i="25"/>
  <c r="AK122" i="25"/>
  <c r="AL122" i="25"/>
  <c r="AM122" i="25"/>
  <c r="AN122" i="25"/>
  <c r="AO122" i="25"/>
  <c r="AP122" i="25"/>
  <c r="AI123" i="25"/>
  <c r="AJ123" i="25"/>
  <c r="AK123" i="25"/>
  <c r="AL123" i="25"/>
  <c r="AM123" i="25"/>
  <c r="AN123" i="25"/>
  <c r="AO123" i="25"/>
  <c r="AP123" i="25"/>
  <c r="AI124" i="25"/>
  <c r="AJ124" i="25"/>
  <c r="AK124" i="25"/>
  <c r="AL124" i="25"/>
  <c r="AM124" i="25"/>
  <c r="AN124" i="25"/>
  <c r="AO124" i="25"/>
  <c r="AP124" i="25"/>
  <c r="AI125" i="25"/>
  <c r="AJ125" i="25"/>
  <c r="AK125" i="25"/>
  <c r="AL125" i="25"/>
  <c r="AM125" i="25"/>
  <c r="AN125" i="25"/>
  <c r="AO125" i="25"/>
  <c r="AP125" i="25"/>
  <c r="AI126" i="25"/>
  <c r="AJ126" i="25"/>
  <c r="AK126" i="25"/>
  <c r="AL126" i="25"/>
  <c r="AM126" i="25"/>
  <c r="AN126" i="25"/>
  <c r="AO126" i="25"/>
  <c r="AP126" i="25"/>
  <c r="AI127" i="25"/>
  <c r="AJ127" i="25"/>
  <c r="AK127" i="25"/>
  <c r="AL127" i="25"/>
  <c r="AM127" i="25"/>
  <c r="AN127" i="25"/>
  <c r="AO127" i="25"/>
  <c r="AP127" i="25"/>
  <c r="AI128" i="25"/>
  <c r="AJ128" i="25"/>
  <c r="AK128" i="25"/>
  <c r="AL128" i="25"/>
  <c r="AM128" i="25"/>
  <c r="AN128" i="25"/>
  <c r="AO128" i="25"/>
  <c r="AP128" i="25"/>
  <c r="AI129" i="25"/>
  <c r="AJ129" i="25"/>
  <c r="AK129" i="25"/>
  <c r="AL129" i="25"/>
  <c r="AM129" i="25"/>
  <c r="AN129" i="25"/>
  <c r="AO129" i="25"/>
  <c r="AP129" i="25"/>
  <c r="A8" i="24"/>
  <c r="B8" i="24"/>
  <c r="E8" i="24"/>
  <c r="F8" i="24"/>
  <c r="G8" i="24"/>
  <c r="H8" i="24"/>
  <c r="Z8" i="24"/>
  <c r="AA8" i="24"/>
  <c r="AB8" i="24"/>
  <c r="AC8" i="24"/>
  <c r="AD8" i="24"/>
  <c r="AF8" i="24"/>
  <c r="AG8" i="24"/>
  <c r="AH8" i="24"/>
  <c r="AI8" i="24"/>
  <c r="AJ8" i="24"/>
  <c r="AK8" i="24"/>
  <c r="AR8" i="24"/>
  <c r="AS8" i="24"/>
  <c r="AT8" i="24"/>
  <c r="AU8" i="24"/>
  <c r="AV8" i="24"/>
  <c r="AW8" i="24"/>
  <c r="AX8" i="24"/>
  <c r="X8" i="24" s="1"/>
  <c r="AY8" i="24"/>
  <c r="Y8" i="24" s="1"/>
  <c r="A9" i="24"/>
  <c r="B9" i="24"/>
  <c r="D9" i="24"/>
  <c r="AM9" i="24" s="1"/>
  <c r="BK9" i="24" s="1"/>
  <c r="E9" i="24"/>
  <c r="F9" i="24"/>
  <c r="G9" i="24"/>
  <c r="H9" i="24"/>
  <c r="Z9" i="24"/>
  <c r="AA9" i="24"/>
  <c r="AB9" i="24"/>
  <c r="AC9" i="24"/>
  <c r="AD9" i="24"/>
  <c r="C9" i="24" s="1"/>
  <c r="AF9" i="24"/>
  <c r="AG9" i="24"/>
  <c r="AH9" i="24"/>
  <c r="AI9" i="24" s="1"/>
  <c r="AJ9" i="24"/>
  <c r="AK9" i="24"/>
  <c r="AR9" i="24"/>
  <c r="AS9" i="24"/>
  <c r="AT9" i="24"/>
  <c r="AU9" i="24"/>
  <c r="AV9" i="24"/>
  <c r="AW9" i="24"/>
  <c r="AX9" i="24"/>
  <c r="BC9" i="24" s="1"/>
  <c r="AY9" i="24"/>
  <c r="Y9" i="24" s="1"/>
  <c r="U9" i="24" s="1"/>
  <c r="S9" i="24" s="1"/>
  <c r="J8" i="23"/>
  <c r="J9" i="23"/>
  <c r="J7" i="23"/>
  <c r="AQ7" i="26"/>
  <c r="AP7" i="26"/>
  <c r="AP7" i="22"/>
  <c r="AO7" i="22"/>
  <c r="I8" i="14"/>
  <c r="J8" i="14"/>
  <c r="I9" i="14"/>
  <c r="J9" i="14"/>
  <c r="I10" i="14"/>
  <c r="J10" i="14"/>
  <c r="I11" i="14"/>
  <c r="J11" i="14"/>
  <c r="I12" i="14"/>
  <c r="J12" i="14"/>
  <c r="I13" i="14"/>
  <c r="J13" i="14"/>
  <c r="I14" i="14"/>
  <c r="J14" i="14"/>
  <c r="I15" i="14"/>
  <c r="J15" i="14"/>
  <c r="I16" i="14"/>
  <c r="J16" i="14"/>
  <c r="I17" i="14"/>
  <c r="J17" i="14"/>
  <c r="I18" i="14"/>
  <c r="J18" i="14"/>
  <c r="I19" i="14"/>
  <c r="J19" i="14"/>
  <c r="I20" i="14"/>
  <c r="J20" i="14"/>
  <c r="I21" i="14"/>
  <c r="J21" i="14"/>
  <c r="I22" i="14"/>
  <c r="J22" i="14"/>
  <c r="I23" i="14"/>
  <c r="J23" i="14"/>
  <c r="I24" i="14"/>
  <c r="J24" i="14"/>
  <c r="I25" i="14"/>
  <c r="J25" i="14"/>
  <c r="J7" i="14"/>
  <c r="I7" i="14"/>
  <c r="AK7" i="10"/>
  <c r="Y7" i="22"/>
  <c r="BE29" i="26" l="1"/>
  <c r="BB11" i="26"/>
  <c r="AZ11" i="26"/>
  <c r="AZ10" i="26"/>
  <c r="BB13" i="26"/>
  <c r="AZ20" i="26"/>
  <c r="H29" i="26"/>
  <c r="H23" i="26"/>
  <c r="BE19" i="26"/>
  <c r="BE16" i="26"/>
  <c r="I16" i="26" s="1"/>
  <c r="BE21" i="26"/>
  <c r="J21" i="26" s="1"/>
  <c r="X9" i="24"/>
  <c r="T9" i="24" s="1"/>
  <c r="BD9" i="24"/>
  <c r="BC8" i="24"/>
  <c r="BN8" i="24"/>
  <c r="O8" i="24" s="1"/>
  <c r="BE30" i="26"/>
  <c r="I30" i="26" s="1"/>
  <c r="AZ30" i="26"/>
  <c r="AZ25" i="26"/>
  <c r="BB20" i="26"/>
  <c r="J16" i="26"/>
  <c r="U14" i="26"/>
  <c r="S14" i="26" s="1"/>
  <c r="Q14" i="26" s="1"/>
  <c r="AZ13" i="26"/>
  <c r="BE10" i="26"/>
  <c r="M10" i="26" s="1"/>
  <c r="BE33" i="26"/>
  <c r="I33" i="26" s="1"/>
  <c r="BB29" i="26"/>
  <c r="BE24" i="26"/>
  <c r="I24" i="26" s="1"/>
  <c r="AZ24" i="26"/>
  <c r="BB23" i="26"/>
  <c r="BE13" i="26"/>
  <c r="L13" i="26" s="1"/>
  <c r="AZ29" i="26"/>
  <c r="BB22" i="26"/>
  <c r="BB9" i="26"/>
  <c r="L29" i="26"/>
  <c r="U29" i="26"/>
  <c r="S29" i="26" s="1"/>
  <c r="Q29" i="26" s="1"/>
  <c r="BE28" i="26"/>
  <c r="L28" i="26" s="1"/>
  <c r="AZ28" i="26"/>
  <c r="BB27" i="26"/>
  <c r="BE22" i="26"/>
  <c r="L22" i="26" s="1"/>
  <c r="BB15" i="26"/>
  <c r="BB14" i="26"/>
  <c r="AA33" i="26"/>
  <c r="BD33" i="26" s="1"/>
  <c r="J29" i="26"/>
  <c r="J23" i="26"/>
  <c r="AZ16" i="26"/>
  <c r="AZ15" i="26"/>
  <c r="BE11" i="26"/>
  <c r="L11" i="26" s="1"/>
  <c r="U10" i="26"/>
  <c r="S10" i="26" s="1"/>
  <c r="Q10" i="26" s="1"/>
  <c r="AZ9" i="26"/>
  <c r="BE8" i="26"/>
  <c r="I8" i="26" s="1"/>
  <c r="T30" i="26"/>
  <c r="R30" i="26" s="1"/>
  <c r="P30" i="26" s="1"/>
  <c r="BE14" i="26"/>
  <c r="I14" i="26" s="1"/>
  <c r="AZ14" i="26"/>
  <c r="AZ8" i="26"/>
  <c r="Z31" i="26"/>
  <c r="AW31" i="26" s="1"/>
  <c r="BD31" i="26"/>
  <c r="Q30" i="26"/>
  <c r="Z33" i="26"/>
  <c r="U33" i="26"/>
  <c r="I29" i="26"/>
  <c r="AA27" i="26"/>
  <c r="T21" i="26"/>
  <c r="K21" i="26"/>
  <c r="AA21" i="26"/>
  <c r="G19" i="26"/>
  <c r="H19" i="26"/>
  <c r="I19" i="26"/>
  <c r="S18" i="26"/>
  <c r="Q18" i="26" s="1"/>
  <c r="BE15" i="26"/>
  <c r="K15" i="26" s="1"/>
  <c r="G29" i="26"/>
  <c r="H28" i="26"/>
  <c r="BD12" i="26"/>
  <c r="Z12" i="26"/>
  <c r="AA32" i="26"/>
  <c r="BE27" i="26"/>
  <c r="K27" i="26" s="1"/>
  <c r="U20" i="26"/>
  <c r="BE20" i="26"/>
  <c r="M19" i="26"/>
  <c r="BE18" i="26"/>
  <c r="L18" i="26" s="1"/>
  <c r="T13" i="26"/>
  <c r="AA13" i="26"/>
  <c r="R11" i="26"/>
  <c r="P11" i="26" s="1"/>
  <c r="M29" i="26"/>
  <c r="BA29" i="26" s="1"/>
  <c r="J19" i="26"/>
  <c r="R19" i="26"/>
  <c r="P19" i="26" s="1"/>
  <c r="BE12" i="26"/>
  <c r="M12" i="26" s="1"/>
  <c r="BE9" i="26"/>
  <c r="M9" i="26" s="1"/>
  <c r="AA30" i="26"/>
  <c r="T29" i="26"/>
  <c r="U28" i="26"/>
  <c r="G23" i="26"/>
  <c r="I23" i="26"/>
  <c r="L19" i="26"/>
  <c r="BE17" i="26"/>
  <c r="L17" i="26" s="1"/>
  <c r="U12" i="26"/>
  <c r="BE25" i="26"/>
  <c r="K25" i="26" s="1"/>
  <c r="BE32" i="26"/>
  <c r="AA29" i="26"/>
  <c r="K29" i="26"/>
  <c r="T28" i="26"/>
  <c r="U27" i="26"/>
  <c r="BD20" i="26"/>
  <c r="Z20" i="26"/>
  <c r="BE31" i="26"/>
  <c r="AA28" i="26"/>
  <c r="T27" i="26"/>
  <c r="BE26" i="26"/>
  <c r="L26" i="26" s="1"/>
  <c r="L23" i="26"/>
  <c r="T20" i="26"/>
  <c r="U19" i="26"/>
  <c r="H16" i="26"/>
  <c r="O16" i="26" s="1"/>
  <c r="T12" i="26"/>
  <c r="U11" i="26"/>
  <c r="H8" i="26"/>
  <c r="I21" i="26"/>
  <c r="AA19" i="26"/>
  <c r="K19" i="26"/>
  <c r="T18" i="26"/>
  <c r="U17" i="26"/>
  <c r="AA11" i="26"/>
  <c r="T10" i="26"/>
  <c r="U9" i="26"/>
  <c r="AA26" i="26"/>
  <c r="T25" i="26"/>
  <c r="U24" i="26"/>
  <c r="H21" i="26"/>
  <c r="AA18" i="26"/>
  <c r="T17" i="26"/>
  <c r="U16" i="26"/>
  <c r="M16" i="26"/>
  <c r="AA10" i="26"/>
  <c r="K10" i="26"/>
  <c r="T9" i="26"/>
  <c r="U8" i="26"/>
  <c r="M8" i="26"/>
  <c r="AA25" i="26"/>
  <c r="T24" i="26"/>
  <c r="U23" i="26"/>
  <c r="M23" i="26"/>
  <c r="G21" i="26"/>
  <c r="AA17" i="26"/>
  <c r="T16" i="26"/>
  <c r="U15" i="26"/>
  <c r="AA9" i="26"/>
  <c r="T8" i="26"/>
  <c r="AA24" i="26"/>
  <c r="T23" i="26"/>
  <c r="U22" i="26"/>
  <c r="AA16" i="26"/>
  <c r="K16" i="26"/>
  <c r="T15" i="26"/>
  <c r="AA8" i="26"/>
  <c r="AA23" i="26"/>
  <c r="K23" i="26"/>
  <c r="T22" i="26"/>
  <c r="U21" i="26"/>
  <c r="M21" i="26"/>
  <c r="AA15" i="26"/>
  <c r="T14" i="26"/>
  <c r="U13" i="26"/>
  <c r="AA22" i="26"/>
  <c r="AA14" i="26"/>
  <c r="I8" i="24"/>
  <c r="AZ8" i="24" s="1"/>
  <c r="K8" i="24"/>
  <c r="T8" i="24"/>
  <c r="R8" i="24" s="1"/>
  <c r="BM9" i="24"/>
  <c r="AL9" i="24"/>
  <c r="BI9" i="24" s="1"/>
  <c r="U8" i="24"/>
  <c r="S8" i="24" s="1"/>
  <c r="BD8" i="24"/>
  <c r="BN9" i="24"/>
  <c r="R9" i="24"/>
  <c r="D8" i="24"/>
  <c r="AM8" i="24" s="1"/>
  <c r="BK8" i="24" s="1"/>
  <c r="C8" i="24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J10" i="26" l="1"/>
  <c r="L10" i="26"/>
  <c r="N29" i="26"/>
  <c r="J33" i="26"/>
  <c r="I10" i="26"/>
  <c r="K18" i="26"/>
  <c r="H10" i="26"/>
  <c r="N10" i="26" s="1"/>
  <c r="O29" i="26"/>
  <c r="K33" i="26"/>
  <c r="G10" i="26"/>
  <c r="AS10" i="26" s="1"/>
  <c r="M33" i="26"/>
  <c r="H33" i="26"/>
  <c r="L33" i="26"/>
  <c r="AJ29" i="26"/>
  <c r="O8" i="26"/>
  <c r="O21" i="26"/>
  <c r="H14" i="26"/>
  <c r="I13" i="26"/>
  <c r="G14" i="26"/>
  <c r="AS14" i="26" s="1"/>
  <c r="G13" i="26"/>
  <c r="L16" i="26"/>
  <c r="H11" i="26"/>
  <c r="I22" i="26"/>
  <c r="M13" i="26"/>
  <c r="M22" i="26"/>
  <c r="J14" i="26"/>
  <c r="BC14" i="26" s="1"/>
  <c r="G11" i="26"/>
  <c r="J13" i="26"/>
  <c r="G33" i="26"/>
  <c r="AS33" i="26" s="1"/>
  <c r="AT33" i="26" s="1"/>
  <c r="K13" i="26"/>
  <c r="I11" i="26"/>
  <c r="K8" i="26"/>
  <c r="K11" i="26"/>
  <c r="M14" i="26"/>
  <c r="H13" i="26"/>
  <c r="G22" i="26"/>
  <c r="AS22" i="26" s="1"/>
  <c r="H22" i="26"/>
  <c r="J22" i="26"/>
  <c r="N19" i="26"/>
  <c r="M28" i="26"/>
  <c r="BC19" i="26"/>
  <c r="G16" i="26"/>
  <c r="N16" i="26" s="1"/>
  <c r="BC23" i="26"/>
  <c r="N23" i="26"/>
  <c r="G28" i="26"/>
  <c r="N28" i="26" s="1"/>
  <c r="L21" i="26"/>
  <c r="J28" i="26"/>
  <c r="O14" i="26"/>
  <c r="K22" i="26"/>
  <c r="J8" i="24"/>
  <c r="Q8" i="24" s="1"/>
  <c r="M8" i="24"/>
  <c r="N8" i="24"/>
  <c r="L8" i="24"/>
  <c r="O33" i="26"/>
  <c r="K24" i="26"/>
  <c r="M24" i="26"/>
  <c r="J12" i="26"/>
  <c r="J9" i="26"/>
  <c r="L30" i="26"/>
  <c r="L24" i="26"/>
  <c r="K14" i="26"/>
  <c r="L14" i="26"/>
  <c r="BA14" i="26" s="1"/>
  <c r="AJ14" i="26" s="1"/>
  <c r="H24" i="26"/>
  <c r="O24" i="26" s="1"/>
  <c r="L12" i="26"/>
  <c r="J30" i="26"/>
  <c r="M11" i="26"/>
  <c r="L8" i="26"/>
  <c r="K9" i="26"/>
  <c r="K26" i="26"/>
  <c r="M30" i="26"/>
  <c r="O19" i="26"/>
  <c r="K28" i="26"/>
  <c r="G8" i="26"/>
  <c r="H30" i="26"/>
  <c r="O30" i="26" s="1"/>
  <c r="J8" i="26"/>
  <c r="I28" i="26"/>
  <c r="O28" i="26" s="1"/>
  <c r="K30" i="26"/>
  <c r="J11" i="26"/>
  <c r="AY11" i="26" s="1"/>
  <c r="AI11" i="26" s="1"/>
  <c r="G24" i="26"/>
  <c r="AY19" i="26"/>
  <c r="AI19" i="26" s="1"/>
  <c r="J26" i="26"/>
  <c r="J18" i="26"/>
  <c r="J24" i="26"/>
  <c r="G30" i="26"/>
  <c r="S23" i="26"/>
  <c r="Q23" i="26" s="1"/>
  <c r="H31" i="26"/>
  <c r="I31" i="26"/>
  <c r="K31" i="26"/>
  <c r="M31" i="26"/>
  <c r="G31" i="26"/>
  <c r="AU10" i="26"/>
  <c r="S13" i="26"/>
  <c r="Q13" i="26" s="1"/>
  <c r="R9" i="26"/>
  <c r="P9" i="26" s="1"/>
  <c r="R17" i="26"/>
  <c r="P17" i="26" s="1"/>
  <c r="R25" i="26"/>
  <c r="P25" i="26" s="1"/>
  <c r="BD28" i="26"/>
  <c r="Z28" i="26"/>
  <c r="Z29" i="26"/>
  <c r="BD29" i="26"/>
  <c r="H25" i="26"/>
  <c r="I25" i="26"/>
  <c r="M25" i="26"/>
  <c r="G25" i="26"/>
  <c r="BD13" i="26"/>
  <c r="Z13" i="26"/>
  <c r="L31" i="26"/>
  <c r="AX33" i="26"/>
  <c r="BD18" i="26"/>
  <c r="Z18" i="26"/>
  <c r="AS11" i="26"/>
  <c r="G32" i="26"/>
  <c r="H32" i="26"/>
  <c r="I32" i="26"/>
  <c r="L32" i="26"/>
  <c r="M32" i="26"/>
  <c r="H17" i="26"/>
  <c r="I17" i="26"/>
  <c r="G17" i="26"/>
  <c r="O23" i="26"/>
  <c r="R29" i="26"/>
  <c r="P29" i="26" s="1"/>
  <c r="AY29" i="26"/>
  <c r="AI29" i="26" s="1"/>
  <c r="R13" i="26"/>
  <c r="P13" i="26" s="1"/>
  <c r="G20" i="26"/>
  <c r="H20" i="26"/>
  <c r="AX20" i="26" s="1"/>
  <c r="I20" i="26"/>
  <c r="K20" i="26"/>
  <c r="G27" i="26"/>
  <c r="H27" i="26"/>
  <c r="I27" i="26"/>
  <c r="L15" i="26"/>
  <c r="G15" i="26"/>
  <c r="I15" i="26"/>
  <c r="H15" i="26"/>
  <c r="AV19" i="26"/>
  <c r="AS19" i="26"/>
  <c r="AT19" i="26" s="1"/>
  <c r="S33" i="26"/>
  <c r="Q33" i="26" s="1"/>
  <c r="AW33" i="26" s="1"/>
  <c r="BD10" i="26"/>
  <c r="Z10" i="26"/>
  <c r="S19" i="26"/>
  <c r="Q19" i="26" s="1"/>
  <c r="Z8" i="26"/>
  <c r="BD8" i="26"/>
  <c r="R16" i="26"/>
  <c r="P16" i="26" s="1"/>
  <c r="BD26" i="26"/>
  <c r="Z26" i="26"/>
  <c r="R20" i="26"/>
  <c r="P20" i="26" s="1"/>
  <c r="AS23" i="26"/>
  <c r="AU23" i="26" s="1"/>
  <c r="AV23" i="26"/>
  <c r="G12" i="26"/>
  <c r="H12" i="26"/>
  <c r="AX12" i="26" s="1"/>
  <c r="I12" i="26"/>
  <c r="K12" i="26"/>
  <c r="K32" i="26"/>
  <c r="BA10" i="26"/>
  <c r="AJ10" i="26" s="1"/>
  <c r="L25" i="26"/>
  <c r="J31" i="26"/>
  <c r="J32" i="26"/>
  <c r="S22" i="26"/>
  <c r="Q22" i="26" s="1"/>
  <c r="R23" i="26"/>
  <c r="P23" i="26" s="1"/>
  <c r="Z15" i="26"/>
  <c r="BD15" i="26"/>
  <c r="Z24" i="26"/>
  <c r="BD24" i="26"/>
  <c r="K17" i="26"/>
  <c r="Z25" i="26"/>
  <c r="BD25" i="26"/>
  <c r="AT14" i="26"/>
  <c r="AV14" i="26"/>
  <c r="J17" i="26"/>
  <c r="AV10" i="26"/>
  <c r="AT10" i="26"/>
  <c r="J15" i="26"/>
  <c r="L20" i="26"/>
  <c r="BD32" i="26"/>
  <c r="Z32" i="26"/>
  <c r="AV29" i="26"/>
  <c r="BD21" i="26"/>
  <c r="Z21" i="26"/>
  <c r="J27" i="26"/>
  <c r="AS29" i="26"/>
  <c r="AU29" i="26" s="1"/>
  <c r="Z23" i="26"/>
  <c r="BD23" i="26"/>
  <c r="S15" i="26"/>
  <c r="Q15" i="26" s="1"/>
  <c r="R24" i="26"/>
  <c r="P24" i="26" s="1"/>
  <c r="BD14" i="26"/>
  <c r="Z14" i="26"/>
  <c r="R15" i="26"/>
  <c r="P15" i="26" s="1"/>
  <c r="M17" i="26"/>
  <c r="S27" i="26"/>
  <c r="Q27" i="26" s="1"/>
  <c r="S12" i="26"/>
  <c r="Q12" i="26" s="1"/>
  <c r="BD30" i="26"/>
  <c r="Z30" i="26"/>
  <c r="J20" i="26"/>
  <c r="S20" i="26"/>
  <c r="Q20" i="26" s="1"/>
  <c r="AY33" i="26"/>
  <c r="AI33" i="26" s="1"/>
  <c r="M15" i="26"/>
  <c r="BC10" i="26"/>
  <c r="Z27" i="26"/>
  <c r="BD27" i="26"/>
  <c r="L27" i="26"/>
  <c r="BC29" i="26"/>
  <c r="BD11" i="26"/>
  <c r="Z11" i="26"/>
  <c r="R8" i="26"/>
  <c r="P8" i="26" s="1"/>
  <c r="S21" i="26"/>
  <c r="Q21" i="26" s="1"/>
  <c r="AV21" i="26"/>
  <c r="S9" i="26"/>
  <c r="Q9" i="26" s="1"/>
  <c r="S17" i="26"/>
  <c r="Q17" i="26" s="1"/>
  <c r="S11" i="26"/>
  <c r="Q11" i="26" s="1"/>
  <c r="G26" i="26"/>
  <c r="H26" i="26"/>
  <c r="I26" i="26"/>
  <c r="M26" i="26"/>
  <c r="BA26" i="26" s="1"/>
  <c r="AJ26" i="26" s="1"/>
  <c r="R28" i="26"/>
  <c r="P28" i="26" s="1"/>
  <c r="H9" i="26"/>
  <c r="I9" i="26"/>
  <c r="G9" i="26"/>
  <c r="N21" i="26"/>
  <c r="M20" i="26"/>
  <c r="J25" i="26"/>
  <c r="R21" i="26"/>
  <c r="P21" i="26" s="1"/>
  <c r="R14" i="26"/>
  <c r="P14" i="26" s="1"/>
  <c r="BD19" i="26"/>
  <c r="Z19" i="26"/>
  <c r="S28" i="26"/>
  <c r="Q28" i="26" s="1"/>
  <c r="Z17" i="26"/>
  <c r="BD17" i="26"/>
  <c r="BD22" i="26"/>
  <c r="Z22" i="26"/>
  <c r="R22" i="26"/>
  <c r="P22" i="26" s="1"/>
  <c r="Z16" i="26"/>
  <c r="BD16" i="26"/>
  <c r="Z9" i="26"/>
  <c r="BD9" i="26"/>
  <c r="S8" i="26"/>
  <c r="Q8" i="26" s="1"/>
  <c r="S16" i="26"/>
  <c r="Q16" i="26" s="1"/>
  <c r="S24" i="26"/>
  <c r="Q24" i="26" s="1"/>
  <c r="R10" i="26"/>
  <c r="P10" i="26" s="1"/>
  <c r="R18" i="26"/>
  <c r="P18" i="26" s="1"/>
  <c r="R12" i="26"/>
  <c r="P12" i="26" s="1"/>
  <c r="AW12" i="26" s="1"/>
  <c r="R27" i="26"/>
  <c r="P27" i="26" s="1"/>
  <c r="AS13" i="26"/>
  <c r="M27" i="26"/>
  <c r="L9" i="26"/>
  <c r="G18" i="26"/>
  <c r="H18" i="26"/>
  <c r="I18" i="26"/>
  <c r="M18" i="26"/>
  <c r="BA18" i="26" s="1"/>
  <c r="AJ18" i="26" s="1"/>
  <c r="AS21" i="26"/>
  <c r="AT21" i="26" s="1"/>
  <c r="BC21" i="26"/>
  <c r="BM8" i="24"/>
  <c r="AL8" i="24"/>
  <c r="BI8" i="24" s="1"/>
  <c r="BB8" i="24"/>
  <c r="W8" i="24" s="1"/>
  <c r="P8" i="24"/>
  <c r="BJ8" i="24"/>
  <c r="AQ8" i="24" s="1"/>
  <c r="BA8" i="24"/>
  <c r="O9" i="24"/>
  <c r="L9" i="24"/>
  <c r="M9" i="24"/>
  <c r="I9" i="24"/>
  <c r="J9" i="24"/>
  <c r="K9" i="24"/>
  <c r="N9" i="24"/>
  <c r="C7" i="26"/>
  <c r="E7" i="26"/>
  <c r="AF4" i="26"/>
  <c r="AJ4" i="24"/>
  <c r="AE4" i="22"/>
  <c r="AI4" i="19"/>
  <c r="AA4" i="10"/>
  <c r="AE3" i="8"/>
  <c r="O10" i="26" l="1"/>
  <c r="BA25" i="26"/>
  <c r="AJ25" i="26" s="1"/>
  <c r="N24" i="26"/>
  <c r="BA21" i="26"/>
  <c r="AJ21" i="26" s="1"/>
  <c r="N11" i="26"/>
  <c r="AY14" i="26"/>
  <c r="AI14" i="26" s="1"/>
  <c r="AY23" i="26"/>
  <c r="AI23" i="26" s="1"/>
  <c r="N14" i="26"/>
  <c r="BA17" i="26"/>
  <c r="AJ17" i="26" s="1"/>
  <c r="BA12" i="26"/>
  <c r="AJ12" i="26" s="1"/>
  <c r="BA23" i="26"/>
  <c r="AJ23" i="26" s="1"/>
  <c r="BA31" i="26"/>
  <c r="AJ31" i="26" s="1"/>
  <c r="N13" i="26"/>
  <c r="O13" i="26"/>
  <c r="AU19" i="26"/>
  <c r="BC31" i="26"/>
  <c r="AU11" i="26"/>
  <c r="O31" i="26"/>
  <c r="AV13" i="26"/>
  <c r="AS28" i="26"/>
  <c r="AU28" i="26" s="1"/>
  <c r="BC24" i="26"/>
  <c r="AU14" i="26"/>
  <c r="O22" i="26"/>
  <c r="AV28" i="26"/>
  <c r="BC15" i="26"/>
  <c r="BC12" i="26"/>
  <c r="AV22" i="26"/>
  <c r="AV11" i="26"/>
  <c r="BA30" i="26"/>
  <c r="AJ30" i="26" s="1"/>
  <c r="AU22" i="26"/>
  <c r="BC13" i="26"/>
  <c r="BC20" i="26"/>
  <c r="BC17" i="26"/>
  <c r="O11" i="26"/>
  <c r="BC28" i="26"/>
  <c r="AT13" i="26"/>
  <c r="BC25" i="26"/>
  <c r="N33" i="26"/>
  <c r="BC22" i="26"/>
  <c r="BC33" i="26"/>
  <c r="N25" i="26"/>
  <c r="AV33" i="26"/>
  <c r="BC18" i="26"/>
  <c r="BC11" i="26"/>
  <c r="AT11" i="26"/>
  <c r="N22" i="26"/>
  <c r="O17" i="26"/>
  <c r="N18" i="26"/>
  <c r="BA32" i="26"/>
  <c r="AJ32" i="26" s="1"/>
  <c r="AV16" i="26"/>
  <c r="AS16" i="26"/>
  <c r="AT22" i="26"/>
  <c r="N15" i="26"/>
  <c r="N17" i="26"/>
  <c r="BC16" i="26"/>
  <c r="O20" i="26"/>
  <c r="N32" i="26"/>
  <c r="O26" i="26"/>
  <c r="O9" i="26"/>
  <c r="AH33" i="26"/>
  <c r="BC32" i="26"/>
  <c r="BC27" i="26"/>
  <c r="N27" i="26"/>
  <c r="AX31" i="26"/>
  <c r="AH31" i="26" s="1"/>
  <c r="BH8" i="24"/>
  <c r="AP8" i="24" s="1"/>
  <c r="BJ9" i="24"/>
  <c r="AQ9" i="24" s="1"/>
  <c r="P9" i="24"/>
  <c r="Q9" i="24"/>
  <c r="AV8" i="26"/>
  <c r="AS8" i="26"/>
  <c r="AU8" i="26" s="1"/>
  <c r="N8" i="26"/>
  <c r="AW20" i="26"/>
  <c r="AH20" i="26" s="1"/>
  <c r="O25" i="26"/>
  <c r="AV24" i="26"/>
  <c r="AS24" i="26"/>
  <c r="BA22" i="26"/>
  <c r="AJ22" i="26" s="1"/>
  <c r="BC30" i="26"/>
  <c r="AY30" i="26"/>
  <c r="AI30" i="26" s="1"/>
  <c r="AU33" i="26"/>
  <c r="AY31" i="26"/>
  <c r="AI31" i="26" s="1"/>
  <c r="AY26" i="26"/>
  <c r="AI26" i="26" s="1"/>
  <c r="AY8" i="26"/>
  <c r="AI8" i="26" s="1"/>
  <c r="AY24" i="26"/>
  <c r="AI24" i="26" s="1"/>
  <c r="N12" i="26"/>
  <c r="BA33" i="26"/>
  <c r="AJ33" i="26" s="1"/>
  <c r="AY9" i="26"/>
  <c r="AI9" i="26" s="1"/>
  <c r="AS30" i="26"/>
  <c r="AT30" i="26" s="1"/>
  <c r="AV30" i="26"/>
  <c r="AH12" i="26"/>
  <c r="BA28" i="26"/>
  <c r="AJ28" i="26" s="1"/>
  <c r="BC8" i="26"/>
  <c r="AY10" i="26"/>
  <c r="AI10" i="26" s="1"/>
  <c r="N30" i="26"/>
  <c r="BA9" i="26"/>
  <c r="AJ9" i="26" s="1"/>
  <c r="AT23" i="26"/>
  <c r="AW19" i="26"/>
  <c r="AX19" i="26"/>
  <c r="AY21" i="26"/>
  <c r="AI21" i="26" s="1"/>
  <c r="N26" i="26"/>
  <c r="AT29" i="26"/>
  <c r="AX15" i="26"/>
  <c r="AW15" i="26"/>
  <c r="AT28" i="26"/>
  <c r="AW18" i="26"/>
  <c r="AX18" i="26"/>
  <c r="AW28" i="26"/>
  <c r="AX28" i="26"/>
  <c r="N31" i="26"/>
  <c r="AX32" i="26"/>
  <c r="AW32" i="26"/>
  <c r="AX8" i="26"/>
  <c r="AW8" i="26"/>
  <c r="AV20" i="26"/>
  <c r="AS20" i="26"/>
  <c r="AU20" i="26" s="1"/>
  <c r="AV25" i="26"/>
  <c r="AS25" i="26"/>
  <c r="AT25" i="26" s="1"/>
  <c r="AY25" i="26"/>
  <c r="AI25" i="26" s="1"/>
  <c r="AX9" i="26"/>
  <c r="AW9" i="26"/>
  <c r="AY27" i="26"/>
  <c r="AI27" i="26" s="1"/>
  <c r="BA24" i="26"/>
  <c r="AJ24" i="26" s="1"/>
  <c r="AU21" i="26"/>
  <c r="AY28" i="26"/>
  <c r="AI28" i="26" s="1"/>
  <c r="BA20" i="26"/>
  <c r="AJ20" i="26" s="1"/>
  <c r="BA27" i="26"/>
  <c r="AJ27" i="26" s="1"/>
  <c r="BA15" i="26"/>
  <c r="AJ15" i="26" s="1"/>
  <c r="AX25" i="26"/>
  <c r="AW25" i="26"/>
  <c r="AY20" i="26"/>
  <c r="AI20" i="26" s="1"/>
  <c r="O27" i="26"/>
  <c r="N20" i="26"/>
  <c r="AV17" i="26"/>
  <c r="AS17" i="26"/>
  <c r="AT17" i="26" s="1"/>
  <c r="O32" i="26"/>
  <c r="BA13" i="26"/>
  <c r="AJ13" i="26" s="1"/>
  <c r="AX17" i="26"/>
  <c r="AW17" i="26"/>
  <c r="AV26" i="26"/>
  <c r="AS26" i="26"/>
  <c r="AU26" i="26" s="1"/>
  <c r="AW11" i="26"/>
  <c r="AX11" i="26"/>
  <c r="AW21" i="26"/>
  <c r="AX21" i="26"/>
  <c r="O15" i="26"/>
  <c r="AV27" i="26"/>
  <c r="AS27" i="26"/>
  <c r="AT27" i="26" s="1"/>
  <c r="AV32" i="26"/>
  <c r="AS32" i="26"/>
  <c r="AT32" i="26" s="1"/>
  <c r="AW13" i="26"/>
  <c r="AX13" i="26"/>
  <c r="AY17" i="26"/>
  <c r="AI17" i="26" s="1"/>
  <c r="O18" i="26"/>
  <c r="AX16" i="26"/>
  <c r="AW16" i="26"/>
  <c r="AV18" i="26"/>
  <c r="AS18" i="26"/>
  <c r="AU18" i="26" s="1"/>
  <c r="AY12" i="26"/>
  <c r="AI12" i="26" s="1"/>
  <c r="BA16" i="26"/>
  <c r="AJ16" i="26" s="1"/>
  <c r="AY22" i="26"/>
  <c r="AI22" i="26" s="1"/>
  <c r="BC26" i="26"/>
  <c r="N9" i="26"/>
  <c r="BA11" i="26"/>
  <c r="AJ11" i="26" s="1"/>
  <c r="AW27" i="26"/>
  <c r="AX27" i="26"/>
  <c r="AY15" i="26"/>
  <c r="AI15" i="26" s="1"/>
  <c r="O12" i="26"/>
  <c r="AW26" i="26"/>
  <c r="AX26" i="26"/>
  <c r="BA19" i="26"/>
  <c r="AJ19" i="26" s="1"/>
  <c r="AS15" i="26"/>
  <c r="AU15" i="26" s="1"/>
  <c r="AV15" i="26"/>
  <c r="AY13" i="26"/>
  <c r="AI13" i="26" s="1"/>
  <c r="AU13" i="26"/>
  <c r="AX30" i="26"/>
  <c r="AW30" i="26"/>
  <c r="AX23" i="26"/>
  <c r="AW23" i="26"/>
  <c r="AX24" i="26"/>
  <c r="AW24" i="26"/>
  <c r="AV12" i="26"/>
  <c r="AS12" i="26"/>
  <c r="AU12" i="26" s="1"/>
  <c r="AV31" i="26"/>
  <c r="AS31" i="26"/>
  <c r="AU31" i="26" s="1"/>
  <c r="AY32" i="26"/>
  <c r="AI32" i="26" s="1"/>
  <c r="AY18" i="26"/>
  <c r="AI18" i="26" s="1"/>
  <c r="BA8" i="26"/>
  <c r="AJ8" i="26" s="1"/>
  <c r="AW22" i="26"/>
  <c r="AX22" i="26"/>
  <c r="AV9" i="26"/>
  <c r="AS9" i="26"/>
  <c r="AU9" i="26" s="1"/>
  <c r="AW14" i="26"/>
  <c r="AX14" i="26"/>
  <c r="AY16" i="26"/>
  <c r="AI16" i="26" s="1"/>
  <c r="AW10" i="26"/>
  <c r="AX10" i="26"/>
  <c r="BC9" i="26"/>
  <c r="AW29" i="26"/>
  <c r="AX29" i="26"/>
  <c r="BE8" i="24"/>
  <c r="V8" i="24"/>
  <c r="AZ9" i="24"/>
  <c r="BB9" i="24" s="1"/>
  <c r="W9" i="24" s="1"/>
  <c r="BH9" i="24"/>
  <c r="AP9" i="24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AA7" i="26"/>
  <c r="Z7" i="26" s="1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Y7" i="24" s="1"/>
  <c r="U7" i="24" s="1"/>
  <c r="AX7" i="24"/>
  <c r="X7" i="24" s="1"/>
  <c r="T7" i="24" s="1"/>
  <c r="AC7" i="24"/>
  <c r="AB7" i="24"/>
  <c r="AA7" i="24"/>
  <c r="Z7" i="24"/>
  <c r="AD7" i="24"/>
  <c r="C7" i="24" s="1"/>
  <c r="H7" i="24"/>
  <c r="G7" i="24"/>
  <c r="E7" i="24"/>
  <c r="S7" i="22"/>
  <c r="Q7" i="22" s="1"/>
  <c r="R7" i="22"/>
  <c r="P7" i="22" s="1"/>
  <c r="X7" i="22"/>
  <c r="W7" i="22"/>
  <c r="V7" i="22"/>
  <c r="U7" i="22"/>
  <c r="T7" i="22"/>
  <c r="E7" i="22"/>
  <c r="D7" i="22"/>
  <c r="C7" i="22"/>
  <c r="AE7" i="22"/>
  <c r="AF7" i="22" s="1"/>
  <c r="AC7" i="22"/>
  <c r="AD7" i="22" s="1"/>
  <c r="E7" i="8"/>
  <c r="AU32" i="26" l="1"/>
  <c r="AH11" i="26"/>
  <c r="AU17" i="26"/>
  <c r="AT26" i="26"/>
  <c r="AT16" i="26"/>
  <c r="AU16" i="26"/>
  <c r="AH13" i="26"/>
  <c r="AT8" i="26"/>
  <c r="AU25" i="26"/>
  <c r="AU30" i="26"/>
  <c r="AH24" i="26"/>
  <c r="AH14" i="26"/>
  <c r="AT15" i="26"/>
  <c r="AT24" i="26"/>
  <c r="AU24" i="26"/>
  <c r="AH29" i="26"/>
  <c r="AT31" i="26"/>
  <c r="AH30" i="26"/>
  <c r="AH10" i="26"/>
  <c r="AT12" i="26"/>
  <c r="AH16" i="26"/>
  <c r="AH17" i="26"/>
  <c r="AH9" i="26"/>
  <c r="AH15" i="26"/>
  <c r="AH23" i="26"/>
  <c r="AH27" i="26"/>
  <c r="AT18" i="26"/>
  <c r="AU27" i="26"/>
  <c r="AT20" i="26"/>
  <c r="AT9" i="26"/>
  <c r="AH8" i="26"/>
  <c r="AH28" i="26"/>
  <c r="AH21" i="26"/>
  <c r="AH22" i="26"/>
  <c r="AH26" i="26"/>
  <c r="AH18" i="26"/>
  <c r="AH25" i="26"/>
  <c r="AH32" i="26"/>
  <c r="AH19" i="26"/>
  <c r="BA9" i="24"/>
  <c r="AE8" i="24"/>
  <c r="BL8" i="24"/>
  <c r="AI7" i="32"/>
  <c r="AE4" i="32"/>
  <c r="AD7" i="28"/>
  <c r="AA4" i="28"/>
  <c r="AH7" i="32"/>
  <c r="AE7" i="26"/>
  <c r="AK7" i="32"/>
  <c r="C7" i="19"/>
  <c r="D7" i="24"/>
  <c r="AN8" i="24" l="1"/>
  <c r="BF8" i="24"/>
  <c r="BG8" i="24"/>
  <c r="V9" i="24"/>
  <c r="BE9" i="24"/>
  <c r="AS7" i="32"/>
  <c r="T7" i="32" s="1"/>
  <c r="AR7" i="32"/>
  <c r="AE9" i="24" l="1"/>
  <c r="BL9" i="24"/>
  <c r="AO8" i="24"/>
  <c r="S7" i="32"/>
  <c r="Q7" i="32" s="1"/>
  <c r="AD7" i="32"/>
  <c r="AC7" i="32" s="1"/>
  <c r="R7" i="32"/>
  <c r="U7" i="26"/>
  <c r="S7" i="26" s="1"/>
  <c r="AN9" i="24" l="1"/>
  <c r="BG9" i="24"/>
  <c r="BF9" i="24"/>
  <c r="AL7" i="10"/>
  <c r="AO9" i="24" l="1"/>
  <c r="W7" i="32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K8" i="14"/>
  <c r="G8" i="15" s="1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H8" i="15" l="1"/>
  <c r="AM7" i="32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O7" i="26" l="1"/>
  <c r="Q7" i="24"/>
  <c r="AX7" i="26"/>
  <c r="AH7" i="26" s="1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R7" i="14"/>
  <c r="Q7" i="14"/>
  <c r="H7" i="15" s="1"/>
  <c r="P7" i="14"/>
  <c r="O7" i="14"/>
  <c r="D7" i="14"/>
  <c r="B7" i="14"/>
  <c r="A7" i="14"/>
  <c r="G7" i="15" l="1"/>
  <c r="A2" i="15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AT7" i="22" s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M3" i="22" l="1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<sst xmlns="http://schemas.openxmlformats.org/spreadsheetml/2006/main" count="1203" uniqueCount="341">
  <si>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</si>
  <si>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</si>
  <si>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</si>
  <si>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</si>
  <si>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</si>
  <si>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</si>
  <si>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</si>
  <si>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</si>
  <si>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</si>
  <si>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</si>
  <si>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</si>
  <si>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</si>
  <si>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</si>
  <si>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</si>
  <si>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</si>
  <si>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</si>
  <si>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</si>
  <si>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</si>
  <si>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</si>
  <si>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</si>
  <si>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</si>
  <si>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</si>
  <si>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</si>
  <si>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</si>
  <si>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</si>
  <si>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</si>
  <si>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</si>
  <si>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</si>
  <si>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</si>
  <si>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</si>
  <si>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</si>
  <si>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</si>
  <si>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</si>
  <si>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</si>
  <si>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</si>
  <si>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</si>
  <si>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</si>
  <si>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</si>
  <si>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</si>
  <si>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</si>
  <si>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</si>
  <si>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</si>
  <si>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</si>
  <si>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</si>
  <si>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</si>
  <si>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</si>
  <si>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</si>
  <si>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</si>
  <si>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</si>
  <si>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</si>
  <si>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</si>
  <si>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</si>
  <si>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</si>
  <si>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</si>
  <si>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</si>
  <si>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</si>
  <si>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</si>
  <si>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</si>
  <si>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</si>
  <si>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</si>
  <si>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</si>
  <si>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</si>
  <si>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</si>
  <si>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</si>
  <si>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</si>
  <si>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</si>
  <si>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</si>
  <si>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</si>
  <si>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</si>
  <si>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</si>
  <si>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</si>
  <si>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</si>
  <si>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</si>
  <si>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</si>
  <si>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</si>
  <si>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</si>
  <si>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</si>
  <si>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</si>
  <si>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</si>
  <si>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</si>
  <si>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</si>
  <si>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</si>
  <si>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</si>
  <si>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</si>
  <si>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</si>
  <si>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</si>
  <si>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</si>
  <si>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</si>
  <si>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</si>
  <si>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</si>
  <si>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</si>
  <si>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</si>
  <si>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</si>
  <si>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</si>
  <si>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</si>
  <si>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</si>
  <si>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</si>
  <si>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</si>
  <si>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</si>
  <si>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</si>
  <si>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</si>
  <si>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</si>
  <si>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</si>
  <si>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</si>
  <si>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</si>
  <si>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</si>
  <si>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</si>
  <si>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</si>
  <si>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</si>
  <si>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</si>
  <si>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</si>
  <si>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</si>
  <si>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</si>
  <si>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</si>
  <si>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</si>
  <si>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</si>
  <si>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</si>
  <si>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</si>
  <si>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</si>
  <si>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</si>
  <si>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</si>
  <si>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</si>
  <si>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</si>
  <si>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</si>
  <si>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</si>
  <si>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</si>
  <si>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</si>
  <si>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</si>
  <si>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</si>
  <si>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</si>
  <si>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</si>
  <si>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</si>
  <si>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</si>
  <si>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</si>
  <si>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</si>
  <si>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</si>
  <si>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</si>
  <si>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</si>
  <si>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</si>
  <si>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</si>
  <si>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</si>
  <si>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</si>
  <si>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</si>
  <si>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</si>
  <si>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</si>
  <si>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</si>
  <si>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</si>
  <si>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</si>
  <si>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</si>
  <si>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</si>
  <si>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</si>
  <si>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</si>
  <si>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</si>
  <si>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</si>
  <si>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</si>
  <si>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</si>
  <si>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</si>
  <si>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</si>
  <si>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</si>
  <si>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</si>
  <si>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</si>
  <si>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</si>
  <si>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</si>
  <si>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</si>
  <si>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</si>
  <si>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</si>
  <si>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</si>
  <si>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</si>
  <si>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</si>
  <si>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</si>
  <si>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</si>
  <si>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</si>
  <si>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</si>
  <si>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</si>
  <si>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</si>
  <si>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</si>
  <si>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</si>
  <si>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</si>
  <si>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</si>
  <si>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</si>
  <si>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</si>
  <si>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</si>
  <si>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</si>
  <si>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</si>
  <si>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</si>
  <si>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</si>
  <si>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</si>
  <si>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</si>
  <si>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</si>
  <si>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</si>
  <si>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</si>
  <si>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</si>
  <si>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</si>
  <si>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</si>
  <si>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</si>
  <si>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</si>
  <si>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</si>
  <si>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</si>
  <si>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</si>
  <si>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</si>
  <si>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</si>
  <si>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</si>
  <si>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</si>
  <si>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</si>
  <si>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</si>
  <si>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</si>
  <si>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</si>
  <si>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</si>
  <si>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</si>
  <si>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</si>
  <si>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</si>
  <si>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</si>
  <si>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</si>
  <si>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</si>
  <si>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</si>
  <si>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</si>
  <si>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</si>
  <si>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</si>
  <si>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</si>
  <si>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</si>
  <si>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</si>
  <si>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</si>
  <si>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</si>
  <si>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</si>
  <si>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</si>
  <si>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</si>
  <si>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</si>
  <si>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</si>
  <si>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</si>
  <si>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</si>
  <si>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</si>
  <si>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</si>
  <si>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</si>
  <si>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</si>
  <si>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</si>
  <si>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</si>
  <si>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</si>
  <si>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</si>
  <si>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</si>
  <si>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</si>
  <si>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</si>
  <si>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</si>
  <si>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</si>
  <si>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</si>
  <si>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</si>
  <si>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</si>
  <si>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</si>
  <si>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</si>
  <si>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</si>
  <si>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</si>
  <si>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</si>
  <si>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</si>
  <si>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</si>
  <si>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</si>
  <si>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</si>
  <si>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</si>
  <si>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</si>
  <si>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</si>
  <si>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</si>
  <si>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</si>
  <si>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</si>
  <si>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</si>
  <si>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</si>
  <si>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</si>
  <si>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</si>
  <si>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</si>
  <si>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</si>
  <si>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</si>
  <si>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</si>
  <si>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</si>
  <si>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</si>
  <si>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</si>
  <si>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</si>
  <si>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</si>
  <si>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</si>
  <si>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</si>
  <si>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</si>
  <si>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</si>
  <si>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</si>
  <si>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</si>
  <si>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</si>
  <si>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</si>
  <si>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</si>
  <si>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</si>
  <si>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</si>
  <si>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</si>
  <si>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</si>
  <si>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</si>
  <si>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</si>
  <si>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</si>
  <si>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</si>
  <si>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</si>
  <si>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</si>
  <si>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</si>
  <si>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</si>
  <si>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</si>
  <si>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</si>
  <si>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</si>
  <si>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</si>
  <si>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</si>
  <si>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</si>
  <si>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</si>
  <si>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</si>
  <si>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</si>
  <si>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</si>
  <si>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</si>
  <si>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</si>
  <si>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</si>
  <si>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</si>
  <si>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</si>
  <si>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</si>
  <si>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</si>
  <si>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</si>
  <si>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</si>
  <si>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</si>
  <si>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</si>
  <si>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</si>
  <si>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</si>
  <si>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</si>
  <si>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</si>
  <si>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</si>
  <si>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</si>
  <si>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</si>
  <si>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</si>
  <si>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</si>
  <si>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</si>
  <si>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</si>
  <si>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</si>
  <si>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</si>
  <si>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상판
(좌)
단차</t>
    <phoneticPr fontId="1" type="noConversion"/>
  </si>
  <si>
    <t>상판
(우)
단차</t>
    <phoneticPr fontId="1" type="noConversion"/>
  </si>
  <si>
    <t>상판
(좌)
단차</t>
    <phoneticPr fontId="1" type="noConversion"/>
  </si>
  <si>
    <t>상판
(우)
단차</t>
    <phoneticPr fontId="1" type="noConversion"/>
  </si>
  <si>
    <t>이소정</t>
    <phoneticPr fontId="1" type="noConversion"/>
  </si>
  <si>
    <t>이미래</t>
  </si>
  <si>
    <t>추영덕</t>
  </si>
  <si>
    <t>B1</t>
  </si>
  <si>
    <t>경기도 부천테크노파크 1단지 4co-2차</t>
  </si>
  <si>
    <t>101-2</t>
  </si>
  <si>
    <t>102-2</t>
  </si>
  <si>
    <t>103-2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</si>
</sst>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1" sqref="B1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337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경기도 부천테크노파크 1단지 4co-2차 ) _추영덕소장</v>
      </c>
      <c r="C2" s="39" t="str">
        <f>"(와이드) 제작변환 자료( "&amp;B1&amp;" ) _"&amp;소장 &amp;"소장"</f>
        <v>(와이드) 제작변환 자료( 경기도 부천테크노파크 1단지 4co-2차 ) _추영덕소장</v>
      </c>
      <c r="D2" s="154" t="s">
        <v>312</v>
      </c>
      <c r="E2" s="150" t="str">
        <f>"(SO와이드) 실측서 ( " &amp; B1 &amp; " ) _"&amp;소장 &amp;"소장"</f>
        <v>(SO와이드) 실측서 ( 경기도 부천테크노파크 1단지 4co-2차 ) _추영덕소장</v>
      </c>
      <c r="F2" s="150" t="str">
        <f>"(SO와이드) 제작변환 ( " &amp; B1 &amp; " ) _"&amp;소장 &amp;"소장"</f>
        <v>(SO와이드) 제작변환 ( 경기도 부천테크노파크 1단지 4co-2차 ) _추영덕소장</v>
      </c>
      <c r="G2" s="152" t="s">
        <v>314</v>
      </c>
      <c r="H2" s="147" t="str">
        <f>"(4CO와이드) 실측서 ( " &amp; B1 &amp; " ) _"&amp;소장 &amp;"소장"</f>
        <v>(4CO와이드) 실측서 ( 경기도 부천테크노파크 1단지 4co-2차 ) _추영덕소장</v>
      </c>
      <c r="I2" s="147" t="str">
        <f>"(4CO와이드) 제작변환 ( " &amp; B1 &amp; " ) _"&amp;소장 &amp;"소장"</f>
        <v>(4CO와이드) 제작변환 ( 경기도 부천테크노파크 1단지 4co-2차 ) _추영덕소장</v>
      </c>
      <c r="J2" s="152" t="s">
        <v>316</v>
      </c>
      <c r="K2" s="153" t="str">
        <f>"(2UP) 실측서 ( " &amp; B1 &amp; " ) _"&amp;소장 &amp;"소장"</f>
        <v>(2UP) 실측서 ( 경기도 부천테크노파크 1단지 4co-2차 ) _추영덕소장</v>
      </c>
      <c r="L2" s="153" t="str">
        <f>"(2UP) 제작변환 ( " &amp; B1 &amp; " ) _"&amp;소장 &amp;"소장"</f>
        <v>(2UP) 제작변환 ( 경기도 부천테크노파크 1단지 4co-2차 ) _추영덕소장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경기도 부천테크노파크 1단지 4co-2차 ) _추영덕소장</v>
      </c>
      <c r="C3" s="39" t="str">
        <f>"(멍텅구리) 제작변환 자료( "&amp;B1&amp;" ) _"&amp;소장 &amp;"소장"</f>
        <v>(멍텅구리) 제작변환 자료( 경기도 부천테크노파크 1단지 4co-2차 ) _추영덕소장</v>
      </c>
      <c r="D3" s="154" t="s">
        <v>313</v>
      </c>
      <c r="E3" s="150" t="str">
        <f>"(SO멍텅구리) 실측서 ( " &amp; B1 &amp; " ) _"&amp;소장 &amp;"소장"</f>
        <v>(SO멍텅구리) 실측서 ( 경기도 부천테크노파크 1단지 4co-2차 ) _추영덕소장</v>
      </c>
      <c r="F3" s="150" t="str">
        <f>"(SO멍텅구리) 제작변환 ( " &amp; B1 &amp; " ) _"&amp;소장 &amp;"소장"</f>
        <v>(SO멍텅구리) 제작변환 ( 경기도 부천테크노파크 1단지 4co-2차 ) _추영덕소장</v>
      </c>
      <c r="G3" s="152" t="s">
        <v>315</v>
      </c>
      <c r="H3" s="147" t="str">
        <f>"(4CO멍텅구리) 실측서 ( " &amp; B1 &amp; " ) _"&amp;소장 &amp;"소장"</f>
        <v>(4CO멍텅구리) 실측서 ( 경기도 부천테크노파크 1단지 4co-2차 ) _추영덕소장</v>
      </c>
      <c r="I3" s="147" t="str">
        <f>"(4CO멍텅구리) 제작변환 ( " &amp; B1 &amp; " ) _"&amp;소장 &amp;"소장"</f>
        <v>(4CO멍텅구리) 제작변환 ( 경기도 부천테크노파크 1단지 4co-2차 ) _추영덕소장</v>
      </c>
      <c r="J3" s="152" t="s">
        <v>317</v>
      </c>
      <c r="K3" s="153" t="str">
        <f>"(3UP) 실측서 ( " &amp; B1 &amp; " ) _"&amp;소장 &amp;"소장"</f>
        <v>(3UP) 실측서 ( 경기도 부천테크노파크 1단지 4co-2차 ) _추영덕소장</v>
      </c>
      <c r="L3" s="153" t="str">
        <f>"(3UP) 제작변환 ( " &amp; B1 &amp; " ) _"&amp;소장 &amp;"소장"</f>
        <v>(3UP) 제작변환 ( 경기도 부천테크노파크 1단지 4co-2차 ) _추영덕소장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경기도 부천테크노파크 1단지 4co-2차 ) _추영덕소장</v>
      </c>
      <c r="C4" s="39" t="str">
        <f>"(쪽쟘) 제작변환 자료( "&amp;B1&amp;" ) _"&amp;소장 &amp;"소장"</f>
        <v>(쪽쟘) 제작변환 자료( 경기도 부천테크노파크 1단지 4co-2차 ) _추영덕소장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318</v>
      </c>
    </row>
    <row r="6" spans="1:12" ht="27.75" customHeight="1" x14ac:dyDescent="0.3">
      <c r="A6" s="144" t="s">
        <v>40</v>
      </c>
      <c r="B6" s="146" t="s">
        <v>335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(1.2), JB/JD +(0 ),  늘어난치수K -(0),  C + (0),   U + (0), OP - (0), R - (0),  기둥차감 - (4), A + (0)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+(0 ),  늘어난치수K -(0),  C + (0),  U +(0), OP - (0), R - (0),  기둥차감 - (4),  A + (0)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(1.2), JB/JD +(0 ),  늘어난치수K -(0),  C + (0),   U + (0), OP - (0), R - (0),  기둥차감 - (4),  A + (0)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+(0 ),  늘어난치수K -(0),  C + (0),  U +(0), OP1/OP2 - (0), R - (0),  기둥차감 - (4), A + (0)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(1.2), JB/JD +(0 ),  늘어난치수K -(0),  C + (0),   U + (0), OP1/OP3 - (0), R - (0),  기둥차감 - (4), A + (0)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+(0 ),  늘어난치수K -(0),  C + (0),  U +(0), OP1/OP3 - (0), R - (0),  기둥차감 - (4), A + (0)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+(0 ),  늘어난치수K -(0),  C + (0),   U + (0), OP - (0), R - (0),  기둥차감 - (4), A + (0)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+(0 ),  늘어난치수K -(0),  C + (0),   U + (0), OP - (0), R - (0),  기둥차감 - (4), A + (0)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295</v>
      </c>
      <c r="B23" s="124" t="s">
        <v>334</v>
      </c>
    </row>
    <row r="26" spans="1:3" x14ac:dyDescent="0.3">
      <c r="A26">
        <v>20231101</v>
      </c>
      <c r="B26" t="s">
        <v>328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/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0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경기도 부천테크노파크 1단지 4co-2차</v>
      </c>
      <c r="E2" s="3" t="str">
        <f>정보!B6</f>
        <v>추영덕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45622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1</v>
      </c>
      <c r="N2">
        <f>IF('4CO멍텅(실측)'!G7&gt;1,1,0)</f>
        <v>1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294</v>
      </c>
      <c r="E5" t="s">
        <v>218</v>
      </c>
      <c r="G5" t="s">
        <v>296</v>
      </c>
    </row>
    <row r="6" spans="1:17" ht="60.75" customHeight="1" x14ac:dyDescent="0.3">
      <c r="D6" t="s">
        <v>209</v>
      </c>
      <c r="E6" t="s">
        <v>219</v>
      </c>
      <c r="G6" t="s">
        <v>333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310</v>
      </c>
    </row>
    <row r="13" spans="1:17" ht="62.25" customHeight="1" x14ac:dyDescent="0.3">
      <c r="E13" t="s">
        <v>297</v>
      </c>
    </row>
    <row r="14" spans="1:17" ht="62.25" customHeight="1" x14ac:dyDescent="0.3">
      <c r="E14" t="s">
        <v>311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B10" sqref="B10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5" t="str">
        <f>정보!B2</f>
        <v>(와이드) 실측서 ( 경기도 부천테크노파크 1단지 4co-2차 ) _추영덕소장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4"/>
      <c r="Z2" s="174"/>
      <c r="AA2" s="174"/>
      <c r="AB2" s="174"/>
      <c r="AC2" s="174"/>
      <c r="AD2" s="174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경기도 부천테크노파크 1단지 4co-2차,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3" t="s">
        <v>98</v>
      </c>
      <c r="M3" s="163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4"/>
      <c r="Z3" s="174"/>
      <c r="AA3" s="174"/>
      <c r="AB3" s="174"/>
      <c r="AC3" s="174"/>
      <c r="AD3" s="174"/>
      <c r="AE3" s="34"/>
      <c r="AF3" s="34"/>
      <c r="AG3" s="34"/>
      <c r="AH3" s="34"/>
      <c r="AI3" s="34"/>
      <c r="AJ3" s="34"/>
    </row>
    <row r="4" spans="1:45" ht="33" customHeight="1" x14ac:dyDescent="0.3">
      <c r="A4" s="172" t="str">
        <f>정보!B10</f>
        <v>제작치수 반영 : MH + (1.2), JB/JD +(0 ),  늘어난치수K -(0),  C + (0),   U + (0), OP - (0), R - (0),  기둥차감 - (4),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1"/>
      <c r="W4" s="171"/>
      <c r="X4" s="171"/>
      <c r="Y4" s="171"/>
      <c r="Z4" s="171"/>
      <c r="AA4" s="171"/>
      <c r="AB4" s="171"/>
      <c r="AC4" s="171"/>
      <c r="AD4" s="173"/>
      <c r="AE4" s="162" t="s">
        <v>215</v>
      </c>
      <c r="AF4" s="162"/>
      <c r="AG4" s="75"/>
      <c r="AH4" s="9"/>
      <c r="AI4" s="9"/>
      <c r="AJ4" s="9"/>
    </row>
    <row r="5" spans="1:45" ht="25.9" customHeight="1" x14ac:dyDescent="0.3">
      <c r="A5" s="164" t="s">
        <v>0</v>
      </c>
      <c r="B5" s="165" t="s">
        <v>1</v>
      </c>
      <c r="C5" s="165" t="s">
        <v>2</v>
      </c>
      <c r="D5" s="165" t="s">
        <v>24</v>
      </c>
      <c r="E5" s="165" t="s">
        <v>3</v>
      </c>
      <c r="F5" s="165" t="s">
        <v>18</v>
      </c>
      <c r="G5" s="165" t="s">
        <v>4</v>
      </c>
      <c r="H5" s="165" t="s">
        <v>5</v>
      </c>
      <c r="I5" s="165" t="s">
        <v>6</v>
      </c>
      <c r="J5" s="165" t="s">
        <v>7</v>
      </c>
      <c r="K5" s="165" t="s">
        <v>47</v>
      </c>
      <c r="L5" s="165" t="s">
        <v>9</v>
      </c>
      <c r="M5" s="165" t="s">
        <v>12</v>
      </c>
      <c r="N5" s="165" t="s">
        <v>13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166" t="s">
        <v>48</v>
      </c>
      <c r="W5" s="166" t="s">
        <v>22</v>
      </c>
      <c r="X5" s="166" t="s">
        <v>23</v>
      </c>
      <c r="Y5" s="165" t="s">
        <v>21</v>
      </c>
      <c r="Z5" s="165"/>
      <c r="AA5" s="165"/>
      <c r="AB5" s="165"/>
      <c r="AC5" s="167" t="s">
        <v>91</v>
      </c>
      <c r="AD5" s="167" t="s">
        <v>92</v>
      </c>
      <c r="AE5" s="169" t="s">
        <v>212</v>
      </c>
      <c r="AF5" s="170"/>
      <c r="AG5" s="166" t="s">
        <v>199</v>
      </c>
      <c r="AH5" s="166" t="s">
        <v>203</v>
      </c>
      <c r="AI5" s="166"/>
      <c r="AJ5" s="166"/>
    </row>
    <row r="6" spans="1:45" ht="44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6"/>
      <c r="X6" s="166"/>
      <c r="Y6" s="8" t="s">
        <v>43</v>
      </c>
      <c r="Z6" s="8" t="s">
        <v>44</v>
      </c>
      <c r="AA6" s="8" t="s">
        <v>45</v>
      </c>
      <c r="AB6" s="8" t="s">
        <v>46</v>
      </c>
      <c r="AC6" s="168"/>
      <c r="AD6" s="168"/>
      <c r="AE6" s="74" t="s">
        <v>213</v>
      </c>
      <c r="AF6" s="74" t="s">
        <v>214</v>
      </c>
      <c r="AG6" s="165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4"/>
      <c r="B7" s="127"/>
      <c r="C7" s="4"/>
      <c r="D7" s="4"/>
      <c r="E7" s="4"/>
      <c r="F7" s="4"/>
      <c r="G7" s="4"/>
      <c r="H7" s="4"/>
      <c r="I7" s="4"/>
      <c r="J7" s="4"/>
      <c r="K7" s="13"/>
      <c r="L7" s="13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0</v>
      </c>
      <c r="AQ7" s="3">
        <f>H7-$AK7</f>
        <v>0</v>
      </c>
      <c r="AR7" s="3">
        <f>I7-$AK7</f>
        <v>0</v>
      </c>
      <c r="AS7" s="3">
        <f>J7-$AK7</f>
        <v>0</v>
      </c>
    </row>
    <row r="8" spans="1:45" ht="23.25" customHeight="1" x14ac:dyDescent="0.3">
      <c r="A8" s="4"/>
      <c r="B8" s="127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4"/>
      <c r="B9" s="127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4"/>
      <c r="B10" s="127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4"/>
      <c r="B11" s="127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4"/>
      <c r="B12" s="127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A4:U4"/>
    <mergeCell ref="Y4:AD4"/>
    <mergeCell ref="Y2:AD3"/>
    <mergeCell ref="A1:X1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activeCell="X7" sqref="X7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229" t="str">
        <f>정보!C2</f>
        <v>(와이드) 제작변환 자료( 경기도 부천테크노파크 1단지 4co-2차 ) _추영덕소장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37"/>
      <c r="AT1" s="37"/>
    </row>
    <row r="2" spans="1:61" ht="29.25" customHeight="1" x14ac:dyDescent="0.3">
      <c r="A2" s="23" t="s">
        <v>96</v>
      </c>
      <c r="B2" s="105">
        <v>0</v>
      </c>
      <c r="C2" s="27" t="s">
        <v>86</v>
      </c>
      <c r="D2" s="29">
        <v>0</v>
      </c>
      <c r="E2" s="27"/>
      <c r="F2" s="27" t="s">
        <v>87</v>
      </c>
      <c r="G2" s="30">
        <v>1.2</v>
      </c>
      <c r="H2" s="1"/>
      <c r="I2" s="204" t="s">
        <v>113</v>
      </c>
      <c r="J2" s="205"/>
      <c r="K2" s="205"/>
      <c r="L2" s="205"/>
      <c r="M2" s="206">
        <v>1</v>
      </c>
      <c r="N2" s="206"/>
      <c r="O2" s="197" t="s">
        <v>89</v>
      </c>
      <c r="P2" s="217"/>
      <c r="Q2" s="218">
        <v>0</v>
      </c>
      <c r="R2" s="218"/>
      <c r="S2" s="165" t="s">
        <v>83</v>
      </c>
      <c r="T2" s="220"/>
      <c r="U2" s="220"/>
      <c r="V2" s="221">
        <v>4</v>
      </c>
      <c r="W2" s="221"/>
      <c r="X2" s="199" t="s">
        <v>205</v>
      </c>
      <c r="Y2" s="200"/>
      <c r="Z2" s="203">
        <f>정보!B5</f>
        <v>0</v>
      </c>
      <c r="AA2" s="203"/>
      <c r="AB2" s="203"/>
      <c r="AC2" s="203"/>
      <c r="AD2" s="203"/>
      <c r="AE2" s="203"/>
      <c r="AF2" s="203"/>
      <c r="AG2" s="203"/>
      <c r="AH2" s="201" t="s">
        <v>90</v>
      </c>
      <c r="AI2" s="202"/>
      <c r="AJ2" s="190">
        <v>0</v>
      </c>
      <c r="AK2" s="190"/>
      <c r="AL2" s="1"/>
      <c r="AM2" s="186" t="s">
        <v>229</v>
      </c>
      <c r="AN2" s="187"/>
      <c r="AO2" s="188">
        <v>0</v>
      </c>
      <c r="AP2" s="188"/>
      <c r="AQ2" s="1"/>
      <c r="AR2" s="1"/>
    </row>
    <row r="3" spans="1:61" ht="24.75" customHeight="1" x14ac:dyDescent="0.3">
      <c r="A3" s="28" t="str">
        <f>'와이드(실측)'!A3</f>
        <v>현장명 : 경기도 부천테크노파크 1단지 4co-2차,   (재질) : HL 1.2T</v>
      </c>
      <c r="B3" s="2"/>
      <c r="C3" s="2"/>
      <c r="D3" s="2"/>
      <c r="E3" s="2"/>
      <c r="F3" s="2"/>
      <c r="G3" s="2"/>
      <c r="H3" s="2"/>
      <c r="I3" s="197" t="s">
        <v>228</v>
      </c>
      <c r="J3" s="197"/>
      <c r="K3" s="197"/>
      <c r="L3" s="197"/>
      <c r="M3" s="207">
        <v>0</v>
      </c>
      <c r="N3" s="207"/>
      <c r="O3" s="217" t="s">
        <v>77</v>
      </c>
      <c r="P3" s="217"/>
      <c r="Q3" s="224">
        <v>0</v>
      </c>
      <c r="R3" s="224"/>
      <c r="S3" s="225" t="s">
        <v>227</v>
      </c>
      <c r="T3" s="225"/>
      <c r="U3" s="225"/>
      <c r="V3" s="226">
        <f>BI7</f>
        <v>1</v>
      </c>
      <c r="W3" s="226"/>
      <c r="X3" s="219" t="s">
        <v>78</v>
      </c>
      <c r="Y3" s="219"/>
      <c r="Z3" s="227">
        <v>0</v>
      </c>
      <c r="AA3" s="227"/>
      <c r="AC3" s="208" t="s">
        <v>305</v>
      </c>
      <c r="AD3" s="208"/>
      <c r="AE3" s="208">
        <f>'와이드(실측)'!Y7</f>
        <v>0</v>
      </c>
      <c r="AF3" s="208"/>
      <c r="AG3" s="3"/>
      <c r="AH3" s="198" t="s">
        <v>73</v>
      </c>
      <c r="AI3" s="198"/>
      <c r="AJ3" s="26">
        <v>4</v>
      </c>
      <c r="AK3" s="15" t="s">
        <v>74</v>
      </c>
      <c r="AL3" s="14">
        <v>4</v>
      </c>
      <c r="AM3" s="189" t="s">
        <v>230</v>
      </c>
      <c r="AN3" s="189"/>
      <c r="AO3" s="191" t="s">
        <v>319</v>
      </c>
      <c r="AP3" s="192"/>
      <c r="AQ3" s="195" t="e">
        <f>AU7</f>
        <v>#DIV/0!</v>
      </c>
      <c r="AR3" s="196"/>
      <c r="BI3" s="178" t="s">
        <v>253</v>
      </c>
    </row>
    <row r="4" spans="1:61" ht="33" customHeight="1" x14ac:dyDescent="0.3">
      <c r="A4" s="228" t="str">
        <f>정보!B10</f>
        <v>제작치수 반영 : MH + (1.2), JB/JD +(0 ),  늘어난치수K -(0),  C + (0),   U + (0), OP - (0), R - (0),  기둥차감 - (4), A + (0)</v>
      </c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185">
        <f ca="1">TODAY()</f>
        <v>45622</v>
      </c>
      <c r="AH4" s="171"/>
      <c r="AI4" s="171"/>
      <c r="AJ4" s="9"/>
      <c r="AK4" s="184" t="s">
        <v>117</v>
      </c>
      <c r="AL4" s="184"/>
      <c r="AM4" s="162" t="s">
        <v>215</v>
      </c>
      <c r="AN4" s="162"/>
      <c r="AO4" s="84"/>
      <c r="AP4" s="193" t="s">
        <v>235</v>
      </c>
      <c r="AQ4" s="193"/>
      <c r="AR4" s="194"/>
      <c r="BI4" s="179"/>
    </row>
    <row r="5" spans="1:61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3</v>
      </c>
      <c r="F5" s="165" t="s">
        <v>18</v>
      </c>
      <c r="G5" s="165" t="s">
        <v>41</v>
      </c>
      <c r="H5" s="165" t="s">
        <v>42</v>
      </c>
      <c r="I5" s="209" t="s">
        <v>105</v>
      </c>
      <c r="J5" s="209" t="s">
        <v>106</v>
      </c>
      <c r="K5" s="182" t="s">
        <v>107</v>
      </c>
      <c r="L5" s="182" t="s">
        <v>108</v>
      </c>
      <c r="M5" s="213" t="s">
        <v>71</v>
      </c>
      <c r="N5" s="213" t="s">
        <v>72</v>
      </c>
      <c r="O5" s="165" t="s">
        <v>8</v>
      </c>
      <c r="P5" s="165" t="s">
        <v>9</v>
      </c>
      <c r="Q5" s="165" t="s">
        <v>12</v>
      </c>
      <c r="R5" s="165" t="s">
        <v>13</v>
      </c>
      <c r="S5" s="165" t="s">
        <v>10</v>
      </c>
      <c r="T5" s="165" t="s">
        <v>11</v>
      </c>
      <c r="U5" s="211" t="s">
        <v>14</v>
      </c>
      <c r="V5" s="211" t="s">
        <v>15</v>
      </c>
      <c r="W5" s="212" t="s">
        <v>16</v>
      </c>
      <c r="X5" s="212" t="s">
        <v>17</v>
      </c>
      <c r="Y5" s="165" t="s">
        <v>19</v>
      </c>
      <c r="Z5" s="165" t="s">
        <v>20</v>
      </c>
      <c r="AA5" s="166" t="s">
        <v>22</v>
      </c>
      <c r="AB5" s="166" t="s">
        <v>23</v>
      </c>
      <c r="AC5" s="222" t="s">
        <v>79</v>
      </c>
      <c r="AD5" s="223"/>
      <c r="AE5" s="223"/>
      <c r="AF5" s="223"/>
      <c r="AG5" s="215" t="s">
        <v>91</v>
      </c>
      <c r="AH5" s="215" t="s">
        <v>92</v>
      </c>
      <c r="AI5" s="230" t="s">
        <v>99</v>
      </c>
      <c r="AJ5" s="166" t="s">
        <v>61</v>
      </c>
      <c r="AK5" s="166" t="s">
        <v>34</v>
      </c>
      <c r="AL5" s="166" t="s">
        <v>35</v>
      </c>
      <c r="AM5" s="169" t="s">
        <v>212</v>
      </c>
      <c r="AN5" s="170"/>
      <c r="AO5" s="180" t="s">
        <v>199</v>
      </c>
      <c r="AP5" s="180" t="s">
        <v>204</v>
      </c>
      <c r="AQ5" s="180"/>
      <c r="AR5" s="180"/>
      <c r="AS5" s="178" t="s">
        <v>100</v>
      </c>
      <c r="AT5" s="178" t="s">
        <v>101</v>
      </c>
      <c r="AU5" s="179" t="s">
        <v>80</v>
      </c>
      <c r="AV5" s="232" t="s">
        <v>84</v>
      </c>
      <c r="AW5" s="235" t="s">
        <v>102</v>
      </c>
      <c r="AX5" s="234" t="s">
        <v>94</v>
      </c>
      <c r="AY5" s="234" t="s">
        <v>95</v>
      </c>
      <c r="AZ5" s="178" t="s">
        <v>93</v>
      </c>
      <c r="BC5" s="186" t="s">
        <v>28</v>
      </c>
      <c r="BD5" s="186"/>
      <c r="BE5" s="186" t="s">
        <v>29</v>
      </c>
      <c r="BF5" s="186"/>
      <c r="BG5" s="6" t="s">
        <v>50</v>
      </c>
      <c r="BH5" s="177" t="s">
        <v>104</v>
      </c>
      <c r="BI5" s="176" t="s">
        <v>226</v>
      </c>
    </row>
    <row r="6" spans="1:61" ht="48" customHeight="1" x14ac:dyDescent="0.3">
      <c r="A6" s="165"/>
      <c r="B6" s="165"/>
      <c r="C6" s="165"/>
      <c r="D6" s="165"/>
      <c r="E6" s="165"/>
      <c r="F6" s="165"/>
      <c r="G6" s="165"/>
      <c r="H6" s="165"/>
      <c r="I6" s="210"/>
      <c r="J6" s="210"/>
      <c r="K6" s="183"/>
      <c r="L6" s="183"/>
      <c r="M6" s="214"/>
      <c r="N6" s="214"/>
      <c r="O6" s="165"/>
      <c r="P6" s="165"/>
      <c r="Q6" s="165"/>
      <c r="R6" s="165"/>
      <c r="S6" s="165"/>
      <c r="T6" s="165"/>
      <c r="U6" s="211"/>
      <c r="V6" s="211"/>
      <c r="W6" s="212"/>
      <c r="X6" s="212"/>
      <c r="Y6" s="165"/>
      <c r="Z6" s="165"/>
      <c r="AA6" s="166"/>
      <c r="AB6" s="166"/>
      <c r="AC6" s="8" t="s">
        <v>67</v>
      </c>
      <c r="AD6" s="8" t="s">
        <v>68</v>
      </c>
      <c r="AE6" s="8" t="s">
        <v>69</v>
      </c>
      <c r="AF6" s="8" t="s">
        <v>70</v>
      </c>
      <c r="AG6" s="216"/>
      <c r="AH6" s="216"/>
      <c r="AI6" s="231"/>
      <c r="AJ6" s="166"/>
      <c r="AK6" s="165"/>
      <c r="AL6" s="165"/>
      <c r="AM6" s="74" t="s">
        <v>213</v>
      </c>
      <c r="AN6" s="74" t="s">
        <v>214</v>
      </c>
      <c r="AO6" s="181"/>
      <c r="AP6" s="109" t="s">
        <v>200</v>
      </c>
      <c r="AQ6" s="109" t="s">
        <v>201</v>
      </c>
      <c r="AR6" s="109" t="s">
        <v>202</v>
      </c>
      <c r="AS6" s="179"/>
      <c r="AT6" s="179"/>
      <c r="AU6" s="179"/>
      <c r="AV6" s="233"/>
      <c r="AW6" s="236"/>
      <c r="AX6" s="234"/>
      <c r="AY6" s="234"/>
      <c r="AZ6" s="179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77"/>
      <c r="BI6" s="176"/>
    </row>
    <row r="7" spans="1:61" ht="26.25" customHeight="1" x14ac:dyDescent="0.3">
      <c r="A7" s="31">
        <f>'와이드(실측)'!A7</f>
        <v>0</v>
      </c>
      <c r="B7" s="31" t="str">
        <f>'와이드(실측)'!B7&amp;"F"</f>
        <v>F</v>
      </c>
      <c r="C7" s="31">
        <f>'와이드(실측)'!C7+와이드MH더함-IF(AND(소장="추영덕",Y7=0),1.2)</f>
        <v>0</v>
      </c>
      <c r="D7" s="31">
        <f>'와이드(실측)'!D7+와이드MH더함-IF(AND(소장="추영덕",Y7=0),1.2)</f>
        <v>0</v>
      </c>
      <c r="E7" s="135">
        <f>'와이드(실측)'!E7-와이드OP</f>
        <v>0</v>
      </c>
      <c r="F7" s="31">
        <f>'와이드(실측)'!F7-와이드R</f>
        <v>0</v>
      </c>
      <c r="G7" s="50">
        <f>'와이드(실측)'!G7+와이드JBJD키움치수+IF(BI7=1,AC7,0)</f>
        <v>0</v>
      </c>
      <c r="H7" s="50">
        <f>'와이드(실측)'!H7+와이드JBJD키움치수+IF(BI7=1,AE7,0)</f>
        <v>0</v>
      </c>
      <c r="I7" s="50">
        <f>'와이드(실측)'!I7+MAX(AS7,AT7)+와이드JBJD키움치수+IF(BI7=1,AC7,0)</f>
        <v>0</v>
      </c>
      <c r="J7" s="50">
        <f>'와이드(실측)'!I7+MAX(AS7,AT7)+와이드JBJD키움치수+IF(BI7=1,AD7,0)-IF(와이드JB하부늘치=1,'와이드(실측)'!Y7-'와이드(실측)'!Z7,0)</f>
        <v>0</v>
      </c>
      <c r="K7" s="50">
        <f>'와이드(실측)'!J7+MAX(AS7,AT7)+와이드JBJD키움치수+IF(BI7=1,AE7,0)</f>
        <v>0</v>
      </c>
      <c r="L7" s="50">
        <f>'와이드(실측)'!J7+MAX(AS7,AT7)+와이드JBJD키움치수+IF(BI7=1,AF7,0)-IF(와이드JB하부늘치=1,'와이드(실측)'!AA7-'와이드(실측)'!AB7,0)</f>
        <v>0</v>
      </c>
      <c r="M7" s="31">
        <f t="shared" ref="M7:N7" si="0">IF(소장="손상민",0,O7-1.5)</f>
        <v>-0.30000000000000004</v>
      </c>
      <c r="N7" s="31">
        <f t="shared" si="0"/>
        <v>-0.30000000000000004</v>
      </c>
      <c r="O7" s="31">
        <f>IF(S7&lt;9,'와이드(실측)'!K7+1.2,IF(ISNUMBER('와이드(실측)'!K7),'와이드(실측)'!K7+와이드C값,0))</f>
        <v>1.2</v>
      </c>
      <c r="P7" s="31">
        <f>IF(T7&lt;9,'와이드(실측)'!L7+1.2,IF(ISNUMBER('와이드(실측)'!L7),'와이드(실측)'!L7+와이드C값,0))</f>
        <v>1.2</v>
      </c>
      <c r="Q7" s="32" t="e">
        <f>ROUNDUP(AV7,1)</f>
        <v>#DIV/0!</v>
      </c>
      <c r="R7" s="38" t="e">
        <f>ROUNDUP(AW7,1)</f>
        <v>#DIV/0!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-4</v>
      </c>
      <c r="V7" s="31">
        <f>'와이드(실측)'!R7-와이드기둥차감</f>
        <v>-4</v>
      </c>
      <c r="W7" s="31">
        <f>'와이드(실측)'!S7-와이드기둥차감</f>
        <v>-4</v>
      </c>
      <c r="X7" s="31">
        <f>'와이드(실측)'!T7-와이드기둥차감</f>
        <v>-4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0</v>
      </c>
      <c r="AA7" s="31">
        <f>'와이드(실측)'!W7+뒷날개치수더함</f>
        <v>0</v>
      </c>
      <c r="AB7" s="31">
        <f>'와이드(실측)'!X7+뒷날개치수더함</f>
        <v>0</v>
      </c>
      <c r="AC7" s="31">
        <f>'와이드(실측)'!Y7-와이드늘치</f>
        <v>0</v>
      </c>
      <c r="AD7" s="31">
        <f>IF(와이드JB하부늘치=1,AC7,'와이드(실측)'!Z7-와이드늘치)</f>
        <v>0</v>
      </c>
      <c r="AE7" s="31">
        <f>'와이드(실측)'!AA7-와이드늘치</f>
        <v>0</v>
      </c>
      <c r="AF7" s="31">
        <f>IF(와이드JB하부늘치=1,AE7,'와이드(실측)'!AB7-와이드늘치)</f>
        <v>0</v>
      </c>
      <c r="AG7" s="31">
        <f xml:space="preserve"> IF(소장&lt;&gt;"손상민",IF('와이드(실측)'!AC7&gt;0,'와이드(실측)'!AC7,C7-1.2),IF('와이드(실측)'!AC7&gt;0,'와이드(실측)'!AC7+1.2,C7) )</f>
        <v>-1.2</v>
      </c>
      <c r="AH7" s="31">
        <f xml:space="preserve"> IF(소장&lt;&gt;"손상민",IF('와이드(실측)'!AD7&gt;0,'와이드(실측)'!AD7,D7-1.2),IF('와이드(실측)'!AD7&gt;0,'와이드(실측)'!AD7+1.2,D7))</f>
        <v>-1.2</v>
      </c>
      <c r="AI7" s="51">
        <f>IF(Z7&gt;0,Z7-MAX(Q7,R7),0)</f>
        <v>0</v>
      </c>
      <c r="AJ7" s="31" t="str">
        <f t="shared" ref="AJ7" si="1">BA7&amp;"*"&amp;BB7</f>
        <v>0*-2.4</v>
      </c>
      <c r="AK7" s="31" t="str">
        <f t="shared" ref="AK7" si="2">BD7&amp;"*"&amp;BC7</f>
        <v>-5.2*-2.4</v>
      </c>
      <c r="AL7" s="31" t="str">
        <f t="shared" ref="AL7" si="3">BF7&amp;"*"&amp;BE7</f>
        <v>-5.2*-2.4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 t="e">
        <f>DEGREES(ATAN((F7-E7)/2/(H7)))</f>
        <v>#DIV/0!</v>
      </c>
      <c r="AV7" s="21" t="e">
        <f>ABS(G7-COS(RADIANS(AU7))*I7)</f>
        <v>#DIV/0!</v>
      </c>
      <c r="AW7" s="21" t="e">
        <f>ABS(H7-COS(RADIANS(AU7))*K7)</f>
        <v>#DIV/0!</v>
      </c>
      <c r="AX7" s="21">
        <f>'와이드(실측)'!M7+AS7</f>
        <v>0</v>
      </c>
      <c r="AY7" s="21">
        <f>'와이드(실측)'!N7+AS7</f>
        <v>0</v>
      </c>
      <c r="AZ7" s="20" t="e">
        <f>AV7-MAX(AX7,AY7)</f>
        <v>#DIV/0!</v>
      </c>
      <c r="BA7" s="41">
        <f>IF(소장&lt;&gt;"손상민",F7+IF(Y7+Z7&gt;0,N7+M7,0),F7)</f>
        <v>0</v>
      </c>
      <c r="BB7" s="42">
        <f>MAX(C7,D7)+MAX(G7,H7)+AA7-1.2*$AJ$3+IF(BI7=0,MAX(AE7,AC7),0)+IF(Y7=0,1.2,0)+IF(Z7=0,1.2,0)+IF(소장&lt;&gt;"손상민", Y7+Z7,IF('와이드(실측)'!U7=0,0,2.4))</f>
        <v>-2.3999999999999995</v>
      </c>
      <c r="BC7" s="41">
        <f>S7+O7+MAX(I7,J7)+AB7-1.2*$AL$3+IF(BI7=0,MAX(AD7,AC7),0)+IF(S7=0,1.2,0)-IF(AR7=90,2.4,0)</f>
        <v>-2.3999999999999995</v>
      </c>
      <c r="BD7" s="41">
        <f>MAX(U7,V7)+AG7</f>
        <v>-5.2</v>
      </c>
      <c r="BE7" s="41">
        <f>T7+P7+MAX(K7,L7)+AB7-1.2*$AL$3+IF(BI7=0,MAX(AE7,AF7),0)+IF(T7=0,1.2,0)-IF(AR7=90,2.4,0)</f>
        <v>-2.3999999999999995</v>
      </c>
      <c r="BF7" s="41">
        <f>MAX(W7,X7)+AH7</f>
        <v>-5.2</v>
      </c>
      <c r="BG7" s="6" t="e">
        <f t="shared" ref="BG7" si="4">I7-G7-Q7</f>
        <v>#DIV/0!</v>
      </c>
      <c r="BH7" s="43" t="str">
        <f>IF(AND(C7&lt;&gt;D7,Y7&gt;0),"NG","")</f>
        <v/>
      </c>
      <c r="BI7" s="77">
        <f>IF(AND(MIN(AC7,AE7)&gt;=9.2,ABS(F7-E7)&gt;15),0,1)</f>
        <v>1</v>
      </c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activeCell="A7" sqref="A7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4" t="str">
        <f>정보!B3</f>
        <v>(멍텅구리) 실측서 ( 경기도 부천테크노파크 1단지 4co-2차 ) _추영덕소장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경기도 부천테크노파크 1단지 4co-2차,   (재질) : HL 1.2T</v>
      </c>
      <c r="B3" s="2"/>
      <c r="C3" s="2"/>
      <c r="D3" s="2"/>
      <c r="E3" s="2"/>
      <c r="F3" s="2"/>
      <c r="G3" s="237"/>
      <c r="H3" s="237"/>
      <c r="I3" s="246"/>
      <c r="J3" s="246"/>
      <c r="K3" s="247"/>
      <c r="L3" s="247"/>
      <c r="M3" s="248"/>
      <c r="N3" s="248"/>
      <c r="O3" s="248"/>
      <c r="P3" s="243" t="s">
        <v>97</v>
      </c>
      <c r="Q3" s="243"/>
      <c r="R3" s="244"/>
      <c r="S3" s="244"/>
      <c r="T3" s="245"/>
      <c r="U3" s="245"/>
    </row>
    <row r="4" spans="1:39" ht="33" customHeight="1" x14ac:dyDescent="0.3">
      <c r="A4" s="172" t="str">
        <f>정보!B11</f>
        <v>제작치수 반영 : JB/JD +(0 ),  늘어난치수K -(0),  C + (0),  U +(0), OP - (0), R - (0),  기둥차감 - (4), 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9"/>
      <c r="AA4" s="9"/>
      <c r="AB4" s="162" t="s">
        <v>215</v>
      </c>
      <c r="AC4" s="162"/>
      <c r="AD4" s="81" t="s">
        <v>234</v>
      </c>
    </row>
    <row r="5" spans="1:39" ht="25.9" customHeight="1" x14ac:dyDescent="0.3">
      <c r="A5" s="164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165" t="s">
        <v>6</v>
      </c>
      <c r="H5" s="165" t="s">
        <v>7</v>
      </c>
      <c r="I5" s="165" t="s">
        <v>8</v>
      </c>
      <c r="J5" s="165" t="s">
        <v>9</v>
      </c>
      <c r="K5" s="165" t="s">
        <v>10</v>
      </c>
      <c r="L5" s="165" t="s">
        <v>11</v>
      </c>
      <c r="M5" s="165" t="s">
        <v>14</v>
      </c>
      <c r="N5" s="165" t="s">
        <v>15</v>
      </c>
      <c r="O5" s="165" t="s">
        <v>16</v>
      </c>
      <c r="P5" s="165" t="s">
        <v>17</v>
      </c>
      <c r="Q5" s="165" t="s">
        <v>19</v>
      </c>
      <c r="R5" s="165" t="s">
        <v>20</v>
      </c>
      <c r="S5" s="238" t="s">
        <v>22</v>
      </c>
      <c r="T5" s="238" t="s">
        <v>23</v>
      </c>
      <c r="U5" s="240" t="s">
        <v>21</v>
      </c>
      <c r="V5" s="241"/>
      <c r="W5" s="241"/>
      <c r="X5" s="242"/>
      <c r="Y5" s="166" t="s">
        <v>203</v>
      </c>
      <c r="Z5" s="166"/>
      <c r="AA5" s="166"/>
      <c r="AB5" s="169" t="s">
        <v>212</v>
      </c>
      <c r="AC5" s="170"/>
      <c r="AD5" s="80" t="s">
        <v>231</v>
      </c>
    </row>
    <row r="6" spans="1:39" ht="47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239"/>
      <c r="T6" s="239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S5:S6"/>
    <mergeCell ref="L5:L6"/>
    <mergeCell ref="I5:I6"/>
    <mergeCell ref="J5:J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G3:H3"/>
    <mergeCell ref="K5:K6"/>
    <mergeCell ref="O5:O6"/>
    <mergeCell ref="N5:N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70" zoomScaleNormal="70" workbookViewId="0">
      <selection activeCell="A7" sqref="A7:XFD7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4" t="str">
        <f>정보!C3</f>
        <v>(멍텅구리) 제작변환 자료( 경기도 부천테크노파크 1단지 4co-2차 ) _추영덕소장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"/>
      <c r="AJ1" s="1"/>
      <c r="AK1" s="273" t="s">
        <v>75</v>
      </c>
      <c r="AL1" s="273"/>
      <c r="AM1" s="273"/>
      <c r="AR1" s="24"/>
    </row>
    <row r="2" spans="1:53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79" t="s">
        <v>81</v>
      </c>
      <c r="H2" s="279"/>
      <c r="I2" s="279"/>
      <c r="J2" s="266">
        <v>0</v>
      </c>
      <c r="K2" s="266"/>
      <c r="L2" s="280" t="s">
        <v>113</v>
      </c>
      <c r="M2" s="280"/>
      <c r="N2" s="280"/>
      <c r="O2" s="280"/>
      <c r="P2" s="281">
        <v>1</v>
      </c>
      <c r="Q2" s="281"/>
      <c r="R2" s="267" t="s">
        <v>103</v>
      </c>
      <c r="S2" s="268"/>
      <c r="T2" s="108">
        <v>0</v>
      </c>
      <c r="U2" s="267" t="s">
        <v>88</v>
      </c>
      <c r="V2" s="268"/>
      <c r="W2" s="278">
        <v>0</v>
      </c>
      <c r="X2" s="278"/>
      <c r="Y2" s="258" t="s">
        <v>82</v>
      </c>
      <c r="Z2" s="275"/>
      <c r="AA2" s="276">
        <v>4</v>
      </c>
      <c r="AB2" s="276"/>
      <c r="AC2" s="98" t="s">
        <v>114</v>
      </c>
      <c r="AD2" s="274">
        <v>0</v>
      </c>
      <c r="AE2" s="274"/>
      <c r="AF2" s="1"/>
      <c r="AG2" s="1"/>
      <c r="AH2" s="1"/>
      <c r="AI2" s="1"/>
      <c r="AJ2" s="1"/>
      <c r="AK2" s="273"/>
      <c r="AL2" s="273"/>
      <c r="AM2" s="273"/>
      <c r="AR2" s="24"/>
    </row>
    <row r="3" spans="1:53" ht="33" customHeight="1" x14ac:dyDescent="0.3">
      <c r="A3" s="33" t="str">
        <f>'멍텅(실측)'!A3</f>
        <v>현장명 : 경기도 부천테크노파크 1단지 4co-2차,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0</v>
      </c>
      <c r="K3" s="269"/>
      <c r="L3" s="258" t="s">
        <v>77</v>
      </c>
      <c r="M3" s="258"/>
      <c r="N3" s="270">
        <v>0</v>
      </c>
      <c r="O3" s="270"/>
      <c r="P3" s="271" t="s">
        <v>227</v>
      </c>
      <c r="Q3" s="271"/>
      <c r="R3" s="271"/>
      <c r="S3" s="272">
        <f>AZ7</f>
        <v>1</v>
      </c>
      <c r="T3" s="272"/>
      <c r="U3" s="282" t="s">
        <v>78</v>
      </c>
      <c r="V3" s="282"/>
      <c r="W3" s="277">
        <v>0</v>
      </c>
      <c r="X3" s="277"/>
      <c r="AA3" s="213" t="s">
        <v>73</v>
      </c>
      <c r="AB3" s="213"/>
      <c r="AC3" s="102">
        <v>3</v>
      </c>
      <c r="AD3" s="4" t="s">
        <v>74</v>
      </c>
      <c r="AE3" s="104">
        <v>4</v>
      </c>
      <c r="AF3" s="251" t="s">
        <v>320</v>
      </c>
      <c r="AG3" s="252"/>
      <c r="AH3" s="199"/>
      <c r="AI3" s="253" t="e">
        <f>AN7</f>
        <v>#DIV/0!</v>
      </c>
      <c r="AJ3" s="193"/>
      <c r="AK3" s="25"/>
      <c r="AL3" s="25"/>
      <c r="AM3" s="24"/>
      <c r="AR3" s="24"/>
    </row>
    <row r="4" spans="1:53" ht="33" customHeight="1" x14ac:dyDescent="0.3">
      <c r="A4" s="259" t="str">
        <f>'멍텅(실측)'!A4:Y4</f>
        <v>제작치수 반영 : JB/JD +(0 ),  늘어난치수K -(0),  C + (0),  U +(0), OP - (0), R - (0),  기둥차감 - (4),  A + (0)</v>
      </c>
      <c r="B4" s="259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6" t="s">
        <v>306</v>
      </c>
      <c r="Z4" s="256"/>
      <c r="AA4" s="257">
        <f>'멍텅(실측)'!U7</f>
        <v>0</v>
      </c>
      <c r="AB4" s="257"/>
      <c r="AC4" s="9"/>
      <c r="AD4" s="185">
        <f ca="1">TODAY()</f>
        <v>45622</v>
      </c>
      <c r="AE4" s="171"/>
      <c r="AF4" s="249" t="s">
        <v>235</v>
      </c>
      <c r="AG4" s="249"/>
      <c r="AH4" s="250"/>
      <c r="AI4" s="162" t="s">
        <v>215</v>
      </c>
      <c r="AJ4" s="162"/>
      <c r="AK4" s="25"/>
      <c r="AL4" s="25"/>
      <c r="AM4" s="24"/>
      <c r="AR4" s="24"/>
      <c r="AZ4" s="178" t="s">
        <v>253</v>
      </c>
    </row>
    <row r="5" spans="1:53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238" t="s">
        <v>62</v>
      </c>
      <c r="L5" s="238" t="s">
        <v>63</v>
      </c>
      <c r="M5" s="165" t="s">
        <v>8</v>
      </c>
      <c r="N5" s="165" t="s">
        <v>9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260" t="s">
        <v>20</v>
      </c>
      <c r="W5" s="238" t="s">
        <v>22</v>
      </c>
      <c r="X5" s="238" t="s">
        <v>23</v>
      </c>
      <c r="Y5" s="240" t="s">
        <v>21</v>
      </c>
      <c r="Z5" s="241"/>
      <c r="AA5" s="241"/>
      <c r="AB5" s="242"/>
      <c r="AC5" s="166" t="s">
        <v>25</v>
      </c>
      <c r="AD5" s="262" t="s">
        <v>34</v>
      </c>
      <c r="AE5" s="166" t="s">
        <v>35</v>
      </c>
      <c r="AF5" s="180" t="s">
        <v>203</v>
      </c>
      <c r="AG5" s="180"/>
      <c r="AH5" s="180"/>
      <c r="AI5" s="169" t="s">
        <v>212</v>
      </c>
      <c r="AJ5" s="170"/>
      <c r="AK5" s="178" t="s">
        <v>300</v>
      </c>
      <c r="AL5" s="178" t="s">
        <v>301</v>
      </c>
      <c r="AM5" s="261" t="s">
        <v>51</v>
      </c>
      <c r="AT5" s="179" t="s">
        <v>28</v>
      </c>
      <c r="AU5" s="179"/>
      <c r="AV5" s="179" t="s">
        <v>29</v>
      </c>
      <c r="AW5" s="179"/>
      <c r="AZ5" s="179"/>
    </row>
    <row r="6" spans="1:53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239"/>
      <c r="L6" s="239"/>
      <c r="M6" s="165"/>
      <c r="N6" s="165"/>
      <c r="O6" s="165"/>
      <c r="P6" s="165"/>
      <c r="Q6" s="165"/>
      <c r="R6" s="165"/>
      <c r="S6" s="165"/>
      <c r="T6" s="165"/>
      <c r="U6" s="165"/>
      <c r="V6" s="260"/>
      <c r="W6" s="239"/>
      <c r="X6" s="239"/>
      <c r="Y6" s="8" t="s">
        <v>56</v>
      </c>
      <c r="Z6" s="8" t="s">
        <v>57</v>
      </c>
      <c r="AA6" s="8" t="s">
        <v>54</v>
      </c>
      <c r="AB6" s="8" t="s">
        <v>55</v>
      </c>
      <c r="AC6" s="165"/>
      <c r="AD6" s="263"/>
      <c r="AE6" s="165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9"/>
      <c r="AL6" s="179"/>
      <c r="AM6" s="261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0</v>
      </c>
      <c r="D7" s="4">
        <f>'멍텅(실측)'!D7-멍텅R</f>
        <v>0</v>
      </c>
      <c r="E7" s="50">
        <f>'멍텅(실측)'!E7+MAX(AK7,AL7)+IF(AZ7=1,Y7,0)+멍텅JBJD늘림치수</f>
        <v>0</v>
      </c>
      <c r="F7" s="50">
        <f>'멍텅(실측)'!F7+MAX(AK7,AL7)+IF(AZ7=1,AA7,0)+멍텅JBJD늘림치수</f>
        <v>0</v>
      </c>
      <c r="G7" s="50">
        <f>'멍텅(실측)'!G7+AK7+IF(AZ7=1,Y7,0)+멍텅JB강제키움+멍텅JBJD늘림치수</f>
        <v>0</v>
      </c>
      <c r="H7" s="50">
        <f>'멍텅(실측)'!G7+AK7+IF(AZ7=1,Z7,0)+멍텅JB강제키움+멍텅JBJD늘림치수-IF(멍텅JB하부늘치=1,'멍텅(실측)'!U7-'멍텅(실측)'!V7,0)</f>
        <v>0</v>
      </c>
      <c r="I7" s="50">
        <f>'멍텅(실측)'!H7+AL7+IF(AZ7=1,AA7,0)+멍텅JB강제키움+멍텅JBJD늘림치수</f>
        <v>0</v>
      </c>
      <c r="J7" s="50">
        <f>'멍텅(실측)'!H7+AL7+IF(AZ7=1,AB7,0)+멍텅JB강제키움+멍텅JBJD늘림치수-IF(멍텅JB하부늘치=1,'멍텅(실측)'!W7-'멍텅(실측)'!X7,0)</f>
        <v>0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-4</v>
      </c>
      <c r="R7" s="4">
        <f>'멍텅(실측)'!N7-멍텅기둥차감</f>
        <v>-4</v>
      </c>
      <c r="S7" s="4">
        <f>'멍텅(실측)'!O7-멍텅기둥차감</f>
        <v>-4</v>
      </c>
      <c r="T7" s="4">
        <f>'멍텅(실측)'!P7-멍텅기둥차감</f>
        <v>-4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0*-2.4</v>
      </c>
      <c r="AD7" s="12" t="str">
        <f t="shared" ref="AD7" si="2">AU7&amp;"*"&amp;AT7</f>
        <v>-4*-2.6</v>
      </c>
      <c r="AE7" s="10" t="str">
        <f t="shared" ref="AE7" si="3">AW7&amp;"*"&amp;AV7</f>
        <v>-4*-2.6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IF(AND(ISNUMBER('멍텅(실측)'!L7),ISNUMBER('멍텅(실측)'!K7)),IF(ISNUMBER('멍텅(실측)'!K7),IF(9-MIN('멍텅(실측)'!K7+멍텅A늘림,'멍텅(실측)'!L7+멍텅A늘림)+AM7&lt;AM7,AM7,9-MIN('멍텅(실측)'!K7+멍텅A늘림,'멍텅(실측)'!L7+멍텅A늘림)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 t="e">
        <f t="shared" ref="AN7" si="4">DEGREES(ATAN((D7-C7)/2/(E7)))</f>
        <v>#DIV/0!</v>
      </c>
      <c r="AO7" s="36" t="e">
        <f>IF(소장="박철우",E7-COS(RADIANS(AN7))*G7+2,E7-COS(RADIANS(AN7))*G7)</f>
        <v>#DIV/0!</v>
      </c>
      <c r="AP7" s="36" t="e">
        <f>IF(소장="박철우",F7-COS(RADIANS(AN7))*I7+2,F7-COS(RADIANS(AN7))*I7)</f>
        <v>#DIV/0!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-2.3999999999999995</v>
      </c>
      <c r="AT7" s="3">
        <f>O7+M7+MAX(G7,H7)+X7-1.2*$AE$3+IF(AZ7=0,MAX(Y7,Z7))+IF(O7=0,1.2,0)-IF(AH7=90,2.4,0)</f>
        <v>-2.5999999999999996</v>
      </c>
      <c r="AU7" s="3">
        <f t="shared" ref="AU7" si="6">MAX(Q7,R7)</f>
        <v>-4</v>
      </c>
      <c r="AV7" s="3">
        <f>P7+N7+MAX(I7,J7)+X7-1.2*$AE$3+IF(AZ7=0,MAX(AA7,AB7))+IF(P7=0,1.2,0)-IF(AH7=90,2.4,0)</f>
        <v>-2.5999999999999996</v>
      </c>
      <c r="AW7" s="3">
        <f t="shared" ref="AW7" si="7">MAX(S7,T7)</f>
        <v>-4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activeCell="E18" sqref="E18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경기도 부천테크노파크 1단지 4co-2차 ) _추영덕소장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경기도 부천테크노파크 1단지 4co-2차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6" t="s">
        <v>203</v>
      </c>
      <c r="U5" s="166"/>
      <c r="V5" s="166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60"/>
      <c r="B7" s="133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60"/>
      <c r="B8" s="133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60"/>
      <c r="B9" s="133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60"/>
      <c r="B10" s="133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60"/>
      <c r="B11" s="133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60"/>
      <c r="B12" s="133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60"/>
      <c r="B13" s="133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60"/>
      <c r="B14" s="133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60"/>
      <c r="B15" s="133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60"/>
      <c r="B16" s="133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60"/>
      <c r="B17" s="133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60"/>
      <c r="B18" s="133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60"/>
      <c r="B19" s="133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60"/>
      <c r="B20" s="133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60"/>
      <c r="B21" s="133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60"/>
      <c r="B22" s="133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60"/>
      <c r="B23" s="133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60"/>
      <c r="B24" s="133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60"/>
      <c r="B25" s="133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60"/>
      <c r="B26" s="133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60"/>
      <c r="B27" s="133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60"/>
      <c r="B28" s="133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60"/>
      <c r="B29" s="133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60"/>
      <c r="B30" s="133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60"/>
      <c r="B31" s="133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60"/>
      <c r="B32" s="133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60"/>
      <c r="B33" s="133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60"/>
      <c r="B34" s="133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60"/>
      <c r="B35" s="133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60"/>
      <c r="B36" s="133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60"/>
      <c r="B37" s="133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60"/>
      <c r="B38" s="133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60"/>
      <c r="B39" s="133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60"/>
      <c r="B40" s="133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60"/>
      <c r="B41" s="133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60"/>
      <c r="B42" s="133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60"/>
      <c r="B43" s="133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60"/>
      <c r="B44" s="133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60"/>
      <c r="B45" s="133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60"/>
      <c r="B46" s="133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60"/>
      <c r="B47" s="133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60"/>
      <c r="B48" s="133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60"/>
      <c r="B49" s="133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60"/>
      <c r="B50" s="133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60"/>
      <c r="B51" s="133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60"/>
      <c r="B52" s="133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60"/>
      <c r="B53" s="133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60"/>
      <c r="B54" s="133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60"/>
      <c r="B55" s="133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60"/>
      <c r="B56" s="133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60"/>
      <c r="B57" s="133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60"/>
      <c r="B58" s="133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60"/>
      <c r="B59" s="133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60"/>
      <c r="B60" s="133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60"/>
      <c r="B61" s="133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60"/>
      <c r="B62" s="133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60"/>
      <c r="B63" s="133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60"/>
      <c r="B64" s="133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60"/>
      <c r="B65" s="133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60"/>
      <c r="B66" s="133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60"/>
      <c r="B67" s="133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60"/>
      <c r="B68" s="133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60"/>
      <c r="B69" s="133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60"/>
      <c r="B70" s="133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60"/>
      <c r="B71" s="133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60"/>
      <c r="B72" s="133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60"/>
      <c r="B73" s="133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60"/>
      <c r="B74" s="133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60"/>
      <c r="B75" s="133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60"/>
      <c r="B76" s="133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60"/>
      <c r="B77" s="133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60"/>
      <c r="B78" s="133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60"/>
      <c r="B79" s="133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60"/>
      <c r="B80" s="133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60"/>
      <c r="B81" s="133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60"/>
      <c r="B82" s="133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60"/>
      <c r="B83" s="133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60"/>
      <c r="B84" s="133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60"/>
      <c r="B85" s="133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60"/>
      <c r="B86" s="133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60"/>
      <c r="B87" s="133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60"/>
      <c r="B88" s="133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60"/>
      <c r="B89" s="133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60"/>
      <c r="B90" s="133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60"/>
      <c r="B91" s="133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60"/>
      <c r="B92" s="133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60"/>
      <c r="B93" s="133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60"/>
      <c r="B94" s="133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60"/>
      <c r="B95" s="133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60"/>
      <c r="B96" s="133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60"/>
      <c r="B97" s="133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60"/>
      <c r="B98" s="133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60"/>
      <c r="B99" s="133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60"/>
      <c r="B100" s="133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60"/>
      <c r="B101" s="133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60"/>
      <c r="B102" s="133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60"/>
      <c r="B103" s="133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60"/>
      <c r="B104" s="133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60"/>
      <c r="B105" s="133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60"/>
      <c r="B106" s="133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60"/>
      <c r="B107" s="133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60"/>
      <c r="B108" s="133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60"/>
      <c r="B109" s="133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60"/>
      <c r="B110" s="133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60"/>
      <c r="B111" s="133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60"/>
      <c r="B112" s="133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60"/>
      <c r="B113" s="133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60"/>
      <c r="B114" s="133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60"/>
      <c r="B115" s="133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60"/>
      <c r="B116" s="133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60"/>
      <c r="B117" s="133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60"/>
      <c r="B118" s="133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60"/>
      <c r="B119" s="133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60"/>
      <c r="B120" s="133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60"/>
      <c r="B121" s="133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60"/>
      <c r="B122" s="133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60"/>
      <c r="B123" s="133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60"/>
      <c r="B124" s="133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60"/>
      <c r="B125" s="133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60"/>
      <c r="B126" s="133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60"/>
      <c r="B127" s="133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60"/>
      <c r="B128" s="133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60"/>
      <c r="B129" s="133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60"/>
      <c r="B130" s="133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60"/>
      <c r="B131" s="133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60"/>
      <c r="B132" s="133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60"/>
      <c r="B133" s="133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60"/>
      <c r="B134" s="133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60"/>
      <c r="B135" s="133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60"/>
      <c r="B136" s="133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60"/>
      <c r="B137" s="133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60"/>
      <c r="B138" s="133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60"/>
      <c r="B139" s="133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60"/>
      <c r="B140" s="133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60"/>
      <c r="B141" s="133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60"/>
      <c r="B142" s="133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60"/>
      <c r="B143" s="133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60"/>
      <c r="B144" s="133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60"/>
      <c r="B145" s="133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60"/>
      <c r="B146" s="133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60"/>
      <c r="B147" s="133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60"/>
      <c r="B148" s="133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60"/>
      <c r="B149" s="133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60"/>
      <c r="B150" s="133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60"/>
      <c r="B151" s="133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60"/>
      <c r="B152" s="133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60"/>
      <c r="B153" s="133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60"/>
      <c r="B154" s="133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60"/>
      <c r="B155" s="133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60"/>
      <c r="B156" s="133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60"/>
      <c r="B157" s="133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60"/>
      <c r="B158" s="133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60"/>
      <c r="B159" s="133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60"/>
      <c r="B160" s="133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60"/>
      <c r="B161" s="133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60"/>
      <c r="B162" s="133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60"/>
      <c r="B163" s="133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60"/>
      <c r="B164" s="133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60"/>
      <c r="B165" s="133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60"/>
      <c r="B166" s="133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60"/>
      <c r="B167" s="133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60"/>
      <c r="B168" s="133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60"/>
      <c r="B169" s="133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60"/>
      <c r="B170" s="133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60"/>
      <c r="B171" s="133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60"/>
      <c r="B172" s="133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60"/>
      <c r="B173" s="133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60"/>
      <c r="B174" s="133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60"/>
      <c r="B175" s="133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60"/>
      <c r="B176" s="133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60"/>
      <c r="B177" s="133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60"/>
      <c r="B178" s="133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60"/>
      <c r="B179" s="133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60"/>
      <c r="B180" s="133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60"/>
      <c r="B181" s="133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60"/>
      <c r="B182" s="133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60"/>
      <c r="B183" s="133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60"/>
      <c r="B184" s="133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60"/>
      <c r="B185" s="133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60"/>
      <c r="B186" s="133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60"/>
      <c r="B187" s="133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60"/>
      <c r="B188" s="133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60"/>
      <c r="B189" s="133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60"/>
      <c r="B190" s="133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60"/>
      <c r="B191" s="133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60"/>
      <c r="B192" s="133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60"/>
      <c r="B193" s="133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60"/>
      <c r="B194" s="133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60"/>
      <c r="B195" s="133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60"/>
      <c r="B196" s="133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60"/>
      <c r="B197" s="133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60"/>
      <c r="B198" s="133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60"/>
      <c r="B199" s="133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60"/>
      <c r="B200" s="133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60"/>
      <c r="B201" s="133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60"/>
      <c r="B202" s="133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60"/>
      <c r="B203" s="133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60"/>
      <c r="B204" s="133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60"/>
      <c r="B205" s="133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60"/>
      <c r="B206" s="133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60"/>
      <c r="B207" s="133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60"/>
      <c r="B208" s="133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60"/>
      <c r="B209" s="133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60"/>
      <c r="B210" s="133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60"/>
      <c r="B211" s="133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60"/>
      <c r="B212" s="133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60"/>
      <c r="B213" s="133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60"/>
      <c r="B214" s="133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60"/>
      <c r="B215" s="133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60"/>
      <c r="B216" s="133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60"/>
      <c r="B217" s="133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60"/>
      <c r="B218" s="133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60"/>
      <c r="B219" s="133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60"/>
      <c r="B220" s="133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60"/>
      <c r="B221" s="133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60"/>
      <c r="B222" s="133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60"/>
      <c r="B223" s="133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60"/>
      <c r="B224" s="133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60"/>
      <c r="B225" s="133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60"/>
      <c r="B226" s="133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60"/>
      <c r="B227" s="133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60"/>
      <c r="B228" s="133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60"/>
      <c r="B229" s="133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60"/>
      <c r="B230" s="133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60"/>
      <c r="B231" s="133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60"/>
      <c r="B232" s="133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60"/>
      <c r="B233" s="133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60"/>
      <c r="B234" s="133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60"/>
      <c r="B235" s="133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60"/>
      <c r="B236" s="133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60"/>
      <c r="B237" s="133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60"/>
      <c r="B238" s="133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60"/>
      <c r="B239" s="133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60"/>
      <c r="B240" s="133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60"/>
      <c r="B241" s="133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60"/>
      <c r="B242" s="133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60"/>
      <c r="B243" s="133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60"/>
      <c r="B244" s="133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60"/>
      <c r="B245" s="133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60"/>
      <c r="B246" s="133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60"/>
      <c r="B247" s="133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60"/>
      <c r="B248" s="133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60"/>
      <c r="B249" s="133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60"/>
      <c r="B250" s="133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60"/>
      <c r="B251" s="133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60"/>
      <c r="B252" s="133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60"/>
      <c r="B253" s="133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60"/>
      <c r="B254" s="133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60"/>
      <c r="B255" s="133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60"/>
      <c r="B256" s="133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60"/>
      <c r="B257" s="133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60"/>
      <c r="B258" s="133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60"/>
      <c r="B259" s="133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60"/>
      <c r="B260" s="133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60"/>
      <c r="B261" s="133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60"/>
      <c r="B262" s="133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60"/>
      <c r="B263" s="133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60"/>
      <c r="B264" s="133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60"/>
      <c r="B265" s="133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60"/>
      <c r="B266" s="133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60"/>
      <c r="B267" s="133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60"/>
      <c r="B268" s="133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60"/>
      <c r="B269" s="133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60"/>
      <c r="B270" s="133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60"/>
      <c r="B271" s="133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60"/>
      <c r="B272" s="133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60"/>
      <c r="B273" s="133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60"/>
      <c r="B274" s="133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60"/>
      <c r="B275" s="133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60"/>
      <c r="B276" s="133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60"/>
      <c r="B277" s="133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60"/>
      <c r="B278" s="133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60"/>
      <c r="B279" s="133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60"/>
      <c r="B280" s="133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60"/>
      <c r="B281" s="133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60"/>
      <c r="B282" s="133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60"/>
      <c r="B283" s="133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60"/>
      <c r="B284" s="133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60"/>
      <c r="B285" s="133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60"/>
      <c r="B286" s="133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60"/>
      <c r="B287" s="133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60"/>
      <c r="B288" s="133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60"/>
      <c r="B289" s="133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60"/>
      <c r="B290" s="133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60"/>
      <c r="B291" s="133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60"/>
      <c r="B292" s="133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60"/>
      <c r="B293" s="133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60"/>
      <c r="B294" s="133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60"/>
      <c r="B295" s="133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60"/>
      <c r="B296" s="133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60"/>
      <c r="B297" s="133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60"/>
      <c r="B298" s="133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60"/>
      <c r="B299" s="133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60"/>
      <c r="B300" s="133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60"/>
      <c r="B301" s="133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60"/>
      <c r="B302" s="133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60"/>
      <c r="B303" s="133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60"/>
      <c r="B304" s="133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60"/>
      <c r="B305" s="133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60"/>
      <c r="B306" s="133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60"/>
      <c r="B307" s="133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60"/>
      <c r="B308" s="133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60"/>
      <c r="B309" s="133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60"/>
      <c r="B310" s="133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60"/>
      <c r="B311" s="133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60"/>
      <c r="B312" s="133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60"/>
      <c r="B313" s="133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60"/>
      <c r="B314" s="133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60"/>
      <c r="B315" s="133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60"/>
      <c r="B316" s="133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60"/>
      <c r="B317" s="133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60"/>
      <c r="B318" s="133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60"/>
      <c r="B319" s="133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60"/>
      <c r="B320" s="133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60"/>
      <c r="B321" s="133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60"/>
      <c r="B322" s="133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60"/>
      <c r="B323" s="133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60"/>
      <c r="B324" s="133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60"/>
      <c r="B325" s="133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60"/>
      <c r="B326" s="133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60"/>
      <c r="B327" s="133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60"/>
      <c r="B328" s="133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60"/>
      <c r="B329" s="133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60"/>
      <c r="B330" s="133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60"/>
      <c r="B331" s="133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60"/>
      <c r="B332" s="133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60"/>
      <c r="B333" s="133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60"/>
      <c r="B334" s="133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60"/>
      <c r="B335" s="133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60"/>
      <c r="B336" s="133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60"/>
      <c r="B337" s="133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60"/>
      <c r="B338" s="133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60"/>
      <c r="B339" s="133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60"/>
      <c r="B340" s="133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60"/>
      <c r="B341" s="133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60"/>
      <c r="B342" s="133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60"/>
      <c r="B343" s="133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60"/>
      <c r="B344" s="133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60"/>
      <c r="B345" s="133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60"/>
      <c r="B346" s="133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60"/>
      <c r="B347" s="133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60"/>
      <c r="B348" s="133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60"/>
      <c r="B349" s="133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60"/>
      <c r="B350" s="133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H5:H6"/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sqref="A1:AA1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74" t="str">
        <f>정보!B1 &amp; " (쪽쟘제작치수)  " &amp; 정보!B6 &amp;" 소장"</f>
        <v>경기도 부천테크노파크 1단지 4co-2차 (쪽쟘제작치수)  추영덕 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</row>
    <row r="2" spans="1:34" ht="30.75" customHeight="1" x14ac:dyDescent="0.3">
      <c r="A2" s="1"/>
      <c r="B2" s="1"/>
      <c r="C2" s="292" t="str">
        <f>"총 : " &amp; COUNTA(A7:A168) &amp;" (SET)"</f>
        <v>총 : 19 (SET)</v>
      </c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3" t="s">
        <v>139</v>
      </c>
      <c r="Q2" s="294"/>
      <c r="R2" s="294"/>
      <c r="S2" s="294"/>
      <c r="T2" s="61"/>
      <c r="U2" s="295">
        <v>1.2</v>
      </c>
      <c r="V2" s="295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37" t="s">
        <v>140</v>
      </c>
      <c r="F3" s="237"/>
      <c r="G3" s="62">
        <v>0</v>
      </c>
      <c r="H3" s="23" t="s">
        <v>141</v>
      </c>
      <c r="I3" s="296">
        <v>0</v>
      </c>
      <c r="J3" s="296"/>
      <c r="K3" s="63"/>
      <c r="L3" s="63"/>
      <c r="M3" s="247" t="s">
        <v>82</v>
      </c>
      <c r="N3" s="247"/>
      <c r="O3" s="247"/>
      <c r="P3" s="297">
        <v>0</v>
      </c>
      <c r="Q3" s="297"/>
      <c r="R3" s="244" t="s">
        <v>90</v>
      </c>
      <c r="S3" s="244"/>
      <c r="T3" s="64"/>
      <c r="U3" s="298">
        <v>0</v>
      </c>
      <c r="V3" s="298"/>
      <c r="W3" s="65"/>
      <c r="X3" s="65"/>
      <c r="Y3" s="65"/>
      <c r="Z3" s="65"/>
      <c r="AA3" s="65"/>
    </row>
    <row r="4" spans="1:34" ht="33" customHeight="1" x14ac:dyDescent="0.3">
      <c r="A4" s="172" t="str">
        <f>정보!B12</f>
        <v>제작치수 반영 : JB/JD +(0 ),  늘어난치수K -(0), OP - (0),  기둥차감 -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93" t="s">
        <v>235</v>
      </c>
      <c r="Z4" s="193"/>
      <c r="AA4" s="194"/>
    </row>
    <row r="5" spans="1:34" ht="25.9" customHeight="1" x14ac:dyDescent="0.3">
      <c r="A5" s="165" t="s">
        <v>0</v>
      </c>
      <c r="B5" s="165" t="s">
        <v>119</v>
      </c>
      <c r="C5" s="166" t="s">
        <v>142</v>
      </c>
      <c r="D5" s="165" t="s">
        <v>120</v>
      </c>
      <c r="E5" s="166" t="s">
        <v>143</v>
      </c>
      <c r="F5" s="166" t="s">
        <v>144</v>
      </c>
      <c r="G5" s="166" t="s">
        <v>34</v>
      </c>
      <c r="H5" s="166" t="s">
        <v>145</v>
      </c>
      <c r="I5" s="166" t="s">
        <v>207</v>
      </c>
      <c r="J5" s="166" t="s">
        <v>208</v>
      </c>
      <c r="K5" s="166" t="s">
        <v>146</v>
      </c>
      <c r="L5" s="166" t="s">
        <v>147</v>
      </c>
      <c r="M5" s="288" t="s">
        <v>148</v>
      </c>
      <c r="N5" s="288" t="s">
        <v>149</v>
      </c>
      <c r="O5" s="165" t="s">
        <v>127</v>
      </c>
      <c r="P5" s="165" t="s">
        <v>15</v>
      </c>
      <c r="Q5" s="165" t="s">
        <v>129</v>
      </c>
      <c r="R5" s="165" t="s">
        <v>130</v>
      </c>
      <c r="S5" s="166" t="s">
        <v>150</v>
      </c>
      <c r="T5" s="288" t="s">
        <v>151</v>
      </c>
      <c r="U5" s="166" t="s">
        <v>133</v>
      </c>
      <c r="V5" s="166" t="s">
        <v>152</v>
      </c>
      <c r="W5" s="165" t="s">
        <v>135</v>
      </c>
      <c r="X5" s="165"/>
      <c r="Y5" s="290" t="s">
        <v>203</v>
      </c>
      <c r="Z5" s="290"/>
      <c r="AA5" s="290"/>
      <c r="AE5" s="179" t="s">
        <v>153</v>
      </c>
      <c r="AF5" s="179"/>
      <c r="AG5" s="179" t="s">
        <v>154</v>
      </c>
      <c r="AH5" s="179"/>
    </row>
    <row r="6" spans="1:34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38"/>
      <c r="L6" s="238"/>
      <c r="M6" s="291"/>
      <c r="N6" s="291"/>
      <c r="O6" s="213"/>
      <c r="P6" s="213"/>
      <c r="Q6" s="213"/>
      <c r="R6" s="213"/>
      <c r="S6" s="213"/>
      <c r="T6" s="289"/>
      <c r="U6" s="238"/>
      <c r="V6" s="238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0*-3.6</v>
      </c>
      <c r="D7" s="50">
        <f>'쪽쟘(실측)'!C7-쪽쟘OP차감</f>
        <v>0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IF('쪽쟘(실측)'!F7&gt;0,'쪽쟘(실측)'!F7-3,0)+뒷날개치수더함</f>
        <v>0</v>
      </c>
      <c r="J7" s="50">
        <f>IF('쪽쟘(실측)'!H7&gt;0,'쪽쟘(실측)'!H7-3,0)+뒷날개치수더함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0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0*-3.6</v>
      </c>
      <c r="D8" s="50">
        <f>'쪽쟘(실측)'!C8-쪽쟘OP차감</f>
        <v>0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IF('쪽쟘(실측)'!F8&gt;0,'쪽쟘(실측)'!F8-3,0)+뒷날개치수더함</f>
        <v>0</v>
      </c>
      <c r="J8" s="50">
        <f>IF('쪽쟘(실측)'!H8&gt;0,'쪽쟘(실측)'!H8-3,0)+뒷날개치수더함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0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0*-3.6</v>
      </c>
      <c r="D9" s="50">
        <f>'쪽쟘(실측)'!C9-쪽쟘OP차감</f>
        <v>0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IF('쪽쟘(실측)'!F9&gt;0,'쪽쟘(실측)'!F9-3,0)+뒷날개치수더함</f>
        <v>0</v>
      </c>
      <c r="J9" s="50">
        <f>IF('쪽쟘(실측)'!H9&gt;0,'쪽쟘(실측)'!H9-3,0)+뒷날개치수더함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0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0*-3.6</v>
      </c>
      <c r="D10" s="50">
        <f>'쪽쟘(실측)'!C10-쪽쟘OP차감</f>
        <v>0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IF('쪽쟘(실측)'!F10&gt;0,'쪽쟘(실측)'!F10-3,0)+뒷날개치수더함</f>
        <v>0</v>
      </c>
      <c r="J10" s="50">
        <f>IF('쪽쟘(실측)'!H10&gt;0,'쪽쟘(실측)'!H10-3,0)+뒷날개치수더함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0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0*-3.6</v>
      </c>
      <c r="D11" s="50">
        <f>'쪽쟘(실측)'!C11-쪽쟘OP차감</f>
        <v>0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IF('쪽쟘(실측)'!F11&gt;0,'쪽쟘(실측)'!F11-3,0)+뒷날개치수더함</f>
        <v>0</v>
      </c>
      <c r="J11" s="50">
        <f>IF('쪽쟘(실측)'!H11&gt;0,'쪽쟘(실측)'!H11-3,0)+뒷날개치수더함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0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0*-3.6</v>
      </c>
      <c r="D12" s="50">
        <f>'쪽쟘(실측)'!C12-쪽쟘OP차감</f>
        <v>0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IF('쪽쟘(실측)'!F12&gt;0,'쪽쟘(실측)'!F12-3,0)+뒷날개치수더함</f>
        <v>0</v>
      </c>
      <c r="J12" s="50">
        <f>IF('쪽쟘(실측)'!H12&gt;0,'쪽쟘(실측)'!H12-3,0)+뒷날개치수더함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0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0*-3.6</v>
      </c>
      <c r="D13" s="50">
        <f>'쪽쟘(실측)'!C13-쪽쟘OP차감</f>
        <v>0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IF('쪽쟘(실측)'!F13&gt;0,'쪽쟘(실측)'!F13-3,0)+뒷날개치수더함</f>
        <v>0</v>
      </c>
      <c r="J13" s="50">
        <f>IF('쪽쟘(실측)'!H13&gt;0,'쪽쟘(실측)'!H13-3,0)+뒷날개치수더함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0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0*-3.6</v>
      </c>
      <c r="D14" s="50">
        <f>'쪽쟘(실측)'!C14-쪽쟘OP차감</f>
        <v>0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IF('쪽쟘(실측)'!F14&gt;0,'쪽쟘(실측)'!F14-3,0)+뒷날개치수더함</f>
        <v>0</v>
      </c>
      <c r="J14" s="50">
        <f>IF('쪽쟘(실측)'!H14&gt;0,'쪽쟘(실측)'!H14-3,0)+뒷날개치수더함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0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0*-3.6</v>
      </c>
      <c r="D15" s="50">
        <f>'쪽쟘(실측)'!C15-쪽쟘OP차감</f>
        <v>0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IF('쪽쟘(실측)'!F15&gt;0,'쪽쟘(실측)'!F15-3,0)+뒷날개치수더함</f>
        <v>0</v>
      </c>
      <c r="J15" s="50">
        <f>IF('쪽쟘(실측)'!H15&gt;0,'쪽쟘(실측)'!H15-3,0)+뒷날개치수더함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0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0*-3.6</v>
      </c>
      <c r="D16" s="50">
        <f>'쪽쟘(실측)'!C16-쪽쟘OP차감</f>
        <v>0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IF('쪽쟘(실측)'!F16&gt;0,'쪽쟘(실측)'!F16-3,0)+뒷날개치수더함</f>
        <v>0</v>
      </c>
      <c r="J16" s="50">
        <f>IF('쪽쟘(실측)'!H16&gt;0,'쪽쟘(실측)'!H16-3,0)+뒷날개치수더함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0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0*-3.6</v>
      </c>
      <c r="D17" s="50">
        <f>'쪽쟘(실측)'!C17-쪽쟘OP차감</f>
        <v>0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IF('쪽쟘(실측)'!F17&gt;0,'쪽쟘(실측)'!F17-3,0)+뒷날개치수더함</f>
        <v>0</v>
      </c>
      <c r="J17" s="50">
        <f>IF('쪽쟘(실측)'!H17&gt;0,'쪽쟘(실측)'!H17-3,0)+뒷날개치수더함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0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0*-3.6</v>
      </c>
      <c r="D18" s="50">
        <f>'쪽쟘(실측)'!C18-쪽쟘OP차감</f>
        <v>0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IF('쪽쟘(실측)'!F18&gt;0,'쪽쟘(실측)'!F18-3,0)+뒷날개치수더함</f>
        <v>0</v>
      </c>
      <c r="J18" s="50">
        <f>IF('쪽쟘(실측)'!H18&gt;0,'쪽쟘(실측)'!H18-3,0)+뒷날개치수더함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0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0*-3.6</v>
      </c>
      <c r="D19" s="50">
        <f>'쪽쟘(실측)'!C19-쪽쟘OP차감</f>
        <v>0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IF('쪽쟘(실측)'!F19&gt;0,'쪽쟘(실측)'!F19-3,0)+뒷날개치수더함</f>
        <v>0</v>
      </c>
      <c r="J19" s="50">
        <f>IF('쪽쟘(실측)'!H19&gt;0,'쪽쟘(실측)'!H19-3,0)+뒷날개치수더함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0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0*-3.6</v>
      </c>
      <c r="D20" s="50">
        <f>'쪽쟘(실측)'!C20-쪽쟘OP차감</f>
        <v>0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IF('쪽쟘(실측)'!F20&gt;0,'쪽쟘(실측)'!F20-3,0)+뒷날개치수더함</f>
        <v>0</v>
      </c>
      <c r="J20" s="50">
        <f>IF('쪽쟘(실측)'!H20&gt;0,'쪽쟘(실측)'!H20-3,0)+뒷날개치수더함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0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0*-3.6</v>
      </c>
      <c r="D21" s="50">
        <f>'쪽쟘(실측)'!C21-쪽쟘OP차감</f>
        <v>0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IF('쪽쟘(실측)'!F21&gt;0,'쪽쟘(실측)'!F21-3,0)+뒷날개치수더함</f>
        <v>0</v>
      </c>
      <c r="J21" s="50">
        <f>IF('쪽쟘(실측)'!H21&gt;0,'쪽쟘(실측)'!H21-3,0)+뒷날개치수더함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0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0*-3.6</v>
      </c>
      <c r="D22" s="50">
        <f>'쪽쟘(실측)'!C22-쪽쟘OP차감</f>
        <v>0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IF('쪽쟘(실측)'!F22&gt;0,'쪽쟘(실측)'!F22-3,0)+뒷날개치수더함</f>
        <v>0</v>
      </c>
      <c r="J22" s="50">
        <f>IF('쪽쟘(실측)'!H22&gt;0,'쪽쟘(실측)'!H22-3,0)+뒷날개치수더함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0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0*-3.6</v>
      </c>
      <c r="D23" s="50">
        <f>'쪽쟘(실측)'!C23-쪽쟘OP차감</f>
        <v>0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IF('쪽쟘(실측)'!F23&gt;0,'쪽쟘(실측)'!F23-3,0)+뒷날개치수더함</f>
        <v>0</v>
      </c>
      <c r="J23" s="50">
        <f>IF('쪽쟘(실측)'!H23&gt;0,'쪽쟘(실측)'!H23-3,0)+뒷날개치수더함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0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0*-3.6</v>
      </c>
      <c r="D24" s="50">
        <f>'쪽쟘(실측)'!C24-쪽쟘OP차감</f>
        <v>0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IF('쪽쟘(실측)'!F24&gt;0,'쪽쟘(실측)'!F24-3,0)+뒷날개치수더함</f>
        <v>0</v>
      </c>
      <c r="J24" s="50">
        <f>IF('쪽쟘(실측)'!H24&gt;0,'쪽쟘(실측)'!H24-3,0)+뒷날개치수더함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0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0*-3.6</v>
      </c>
      <c r="D25" s="50">
        <f>'쪽쟘(실측)'!C25-쪽쟘OP차감</f>
        <v>0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IF('쪽쟘(실측)'!F25&gt;0,'쪽쟘(실측)'!F25-3,0)+뒷날개치수더함</f>
        <v>0</v>
      </c>
      <c r="J25" s="50">
        <f>IF('쪽쟘(실측)'!H25&gt;0,'쪽쟘(실측)'!H25-3,0)+뒷날개치수더함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0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</sheetData>
  <mergeCells count="38"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G7" sqref="G7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1" t="str">
        <f>정보!B1&amp;" (제작치수 샤링작지) "&amp;정보!B6&amp;" 소장"</f>
        <v>경기도 부천테크노파크 1단지 4co-2차 (제작치수 샤링작지) 추영덕 소장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</row>
    <row r="2" spans="1:31" ht="30.75" customHeight="1" x14ac:dyDescent="0.3">
      <c r="A2" s="302" t="str">
        <f>"총 : " &amp; COUNTA(A7:A200) &amp;" (SET)"</f>
        <v>총 : 2 (SET)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293" t="s">
        <v>160</v>
      </c>
      <c r="Q2" s="294"/>
      <c r="R2" s="294"/>
      <c r="S2" s="294"/>
      <c r="T2" s="61"/>
      <c r="U2" s="295">
        <v>1.2</v>
      </c>
      <c r="V2" s="295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3" t="str">
        <f>"예상매수 : " &amp; ROUNDUP((SUM(AB7:AB200)+SUM(AD7:AD200))/1200,0) &amp;" 매"</f>
        <v>예상매수 : 1 매</v>
      </c>
      <c r="H3" s="293"/>
      <c r="I3" s="296">
        <v>0</v>
      </c>
      <c r="J3" s="296"/>
      <c r="K3" s="63"/>
      <c r="L3" s="63"/>
      <c r="M3" s="247" t="s">
        <v>161</v>
      </c>
      <c r="N3" s="247"/>
      <c r="O3" s="247"/>
      <c r="P3" s="297">
        <v>0</v>
      </c>
      <c r="Q3" s="297"/>
      <c r="R3" s="244" t="s">
        <v>162</v>
      </c>
      <c r="S3" s="244"/>
      <c r="T3" s="64"/>
      <c r="U3" s="298">
        <v>4</v>
      </c>
      <c r="V3" s="298"/>
      <c r="W3" s="65"/>
      <c r="X3" s="65"/>
    </row>
    <row r="4" spans="1:31" ht="9.75" customHeight="1" x14ac:dyDescent="0.3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</row>
    <row r="5" spans="1:31" ht="25.9" customHeight="1" x14ac:dyDescent="0.3">
      <c r="A5" s="165" t="s">
        <v>163</v>
      </c>
      <c r="B5" s="165" t="s">
        <v>164</v>
      </c>
      <c r="C5" s="166" t="s">
        <v>165</v>
      </c>
      <c r="D5" s="165" t="s">
        <v>166</v>
      </c>
      <c r="E5" s="166" t="s">
        <v>167</v>
      </c>
      <c r="F5" s="166" t="s">
        <v>168</v>
      </c>
      <c r="G5" s="166" t="s">
        <v>169</v>
      </c>
      <c r="H5" s="166" t="s">
        <v>170</v>
      </c>
      <c r="I5" s="299" t="s">
        <v>171</v>
      </c>
      <c r="J5" s="166" t="s">
        <v>172</v>
      </c>
      <c r="K5" s="166" t="s">
        <v>173</v>
      </c>
      <c r="L5" s="166" t="s">
        <v>147</v>
      </c>
      <c r="M5" s="288" t="s">
        <v>174</v>
      </c>
      <c r="N5" s="288" t="s">
        <v>175</v>
      </c>
      <c r="O5" s="165" t="s">
        <v>176</v>
      </c>
      <c r="P5" s="165" t="s">
        <v>177</v>
      </c>
      <c r="Q5" s="165" t="s">
        <v>178</v>
      </c>
      <c r="R5" s="165" t="s">
        <v>179</v>
      </c>
      <c r="S5" s="166" t="s">
        <v>180</v>
      </c>
      <c r="T5" s="288" t="s">
        <v>151</v>
      </c>
      <c r="U5" s="166" t="s">
        <v>181</v>
      </c>
      <c r="V5" s="166" t="s">
        <v>182</v>
      </c>
      <c r="W5" s="165" t="s">
        <v>183</v>
      </c>
      <c r="X5" s="165"/>
      <c r="AB5" s="179" t="s">
        <v>184</v>
      </c>
      <c r="AC5" s="179"/>
      <c r="AD5" s="179" t="s">
        <v>185</v>
      </c>
      <c r="AE5" s="179"/>
    </row>
    <row r="6" spans="1:31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300"/>
      <c r="J6" s="213"/>
      <c r="K6" s="238"/>
      <c r="L6" s="238"/>
      <c r="M6" s="291"/>
      <c r="N6" s="291"/>
      <c r="O6" s="213"/>
      <c r="P6" s="213"/>
      <c r="Q6" s="213"/>
      <c r="R6" s="213"/>
      <c r="S6" s="213"/>
      <c r="T6" s="289"/>
      <c r="U6" s="238"/>
      <c r="V6" s="238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961*133.4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2094*143.4</v>
      </c>
      <c r="H7" s="68" t="str">
        <f>IF(OR(쪽쟘제작!N7&lt;&gt;쪽쟘제작!M7,쪽쟘제작!Q7&lt;&gt;쪽쟘제작!R7),"",AE7&amp;"*"&amp;AD7)</f>
        <v>2094*141.4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v>961</v>
      </c>
      <c r="AA7">
        <v>133.4</v>
      </c>
      <c r="AB7">
        <v>143.4</v>
      </c>
      <c r="AC7">
        <v>2094</v>
      </c>
      <c r="AD7">
        <v>141.4</v>
      </c>
      <c r="AE7">
        <v>2094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953*121.4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2094*121.4</v>
      </c>
      <c r="H8" s="68" t="str">
        <f>IF(쪽쟘제작!N8&lt;&gt;쪽쟘제작!M8,"",AE8&amp;"*"&amp;AD8)</f>
        <v>2094*119.4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  <c r="Z8">
        <v>953</v>
      </c>
      <c r="AA8">
        <v>121.4</v>
      </c>
      <c r="AB8">
        <v>121.4</v>
      </c>
      <c r="AC8">
        <v>2094</v>
      </c>
      <c r="AD8">
        <v>119.4</v>
      </c>
      <c r="AE8">
        <v>2094</v>
      </c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5" t="str">
        <f>정보!E2</f>
        <v>(SO와이드) 실측서 ( 경기도 부천테크노파크 1단지 4co-2차 ) _추영덕소장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경기도 부천테크노파크 1단지 4co-2차,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3" t="s">
        <v>98</v>
      </c>
      <c r="N3" s="163"/>
      <c r="O3" s="34"/>
      <c r="P3" s="34"/>
      <c r="Q3" s="34"/>
      <c r="R3" s="34"/>
      <c r="S3" s="34"/>
      <c r="T3" s="34"/>
      <c r="U3" s="34"/>
      <c r="V3" s="34"/>
      <c r="W3" s="34"/>
      <c r="X3" s="34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34"/>
      <c r="AJ3" s="34"/>
      <c r="AK3" s="34"/>
      <c r="AL3" s="34"/>
    </row>
    <row r="4" spans="1:47" ht="33" customHeight="1" x14ac:dyDescent="0.3">
      <c r="A4" s="305" t="str">
        <f>정보!B10</f>
        <v>제작치수 반영 : MH + (1.2), JB/JD +(0 ),  늘어난치수K -(0),  C + (0),   U + (0), OP - (0), R - (0),  기둥차감 - (4), A + (0)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3"/>
      <c r="AG4" s="162" t="s">
        <v>215</v>
      </c>
      <c r="AH4" s="162"/>
      <c r="AI4" s="75"/>
      <c r="AJ4" s="9"/>
      <c r="AK4" s="9"/>
      <c r="AL4" s="9"/>
    </row>
    <row r="5" spans="1:47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236</v>
      </c>
      <c r="F5" s="165" t="s">
        <v>239</v>
      </c>
      <c r="G5" s="165" t="s">
        <v>18</v>
      </c>
      <c r="H5" s="165" t="s">
        <v>4</v>
      </c>
      <c r="I5" s="165" t="s">
        <v>5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12</v>
      </c>
      <c r="O5" s="165" t="s">
        <v>13</v>
      </c>
      <c r="P5" s="165" t="s">
        <v>10</v>
      </c>
      <c r="Q5" s="165" t="s">
        <v>11</v>
      </c>
      <c r="R5" s="165" t="s">
        <v>14</v>
      </c>
      <c r="S5" s="165" t="s">
        <v>15</v>
      </c>
      <c r="T5" s="165" t="s">
        <v>16</v>
      </c>
      <c r="U5" s="165" t="s">
        <v>17</v>
      </c>
      <c r="V5" s="165" t="s">
        <v>19</v>
      </c>
      <c r="W5" s="166" t="s">
        <v>48</v>
      </c>
      <c r="X5" s="166" t="s">
        <v>22</v>
      </c>
      <c r="Y5" s="303" t="s">
        <v>237</v>
      </c>
      <c r="Z5" s="304" t="s">
        <v>243</v>
      </c>
      <c r="AA5" s="165" t="s">
        <v>21</v>
      </c>
      <c r="AB5" s="165"/>
      <c r="AC5" s="165"/>
      <c r="AD5" s="165"/>
      <c r="AE5" s="167" t="s">
        <v>91</v>
      </c>
      <c r="AF5" s="167" t="s">
        <v>92</v>
      </c>
      <c r="AG5" s="169" t="s">
        <v>212</v>
      </c>
      <c r="AH5" s="170"/>
      <c r="AI5" s="166" t="s">
        <v>199</v>
      </c>
      <c r="AJ5" s="166" t="s">
        <v>203</v>
      </c>
      <c r="AK5" s="166"/>
      <c r="AL5" s="166"/>
    </row>
    <row r="6" spans="1:47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6"/>
      <c r="Y6" s="303"/>
      <c r="Z6" s="304"/>
      <c r="AA6" s="8" t="s">
        <v>43</v>
      </c>
      <c r="AB6" s="8" t="s">
        <v>44</v>
      </c>
      <c r="AC6" s="8" t="s">
        <v>45</v>
      </c>
      <c r="AD6" s="8" t="s">
        <v>46</v>
      </c>
      <c r="AE6" s="168"/>
      <c r="AF6" s="168"/>
      <c r="AG6" s="74" t="s">
        <v>213</v>
      </c>
      <c r="AH6" s="74" t="s">
        <v>214</v>
      </c>
      <c r="AI6" s="165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70" zoomScaleNormal="70" workbookViewId="0">
      <selection activeCell="BA7" sqref="BA7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07" t="str">
        <f>정보!F2</f>
        <v>(SO와이드) 제작변환 ( 경기도 부천테크노파크 1단지 4co-2차 ) _추영덕소장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307"/>
      <c r="AT1" s="307"/>
      <c r="AU1" s="307"/>
      <c r="AV1" s="307"/>
      <c r="AW1" s="37"/>
      <c r="AX1" s="37"/>
    </row>
    <row r="2" spans="1:66" ht="29.25" customHeight="1" x14ac:dyDescent="0.3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1.2</v>
      </c>
      <c r="I2" s="1"/>
      <c r="J2" s="204" t="s">
        <v>113</v>
      </c>
      <c r="K2" s="205"/>
      <c r="L2" s="205"/>
      <c r="M2" s="205"/>
      <c r="N2" s="205"/>
      <c r="O2" s="205"/>
      <c r="P2" s="206">
        <v>1</v>
      </c>
      <c r="Q2" s="206"/>
      <c r="R2" s="197" t="s">
        <v>89</v>
      </c>
      <c r="S2" s="217"/>
      <c r="T2" s="218">
        <v>0</v>
      </c>
      <c r="U2" s="218"/>
      <c r="V2" s="165" t="s">
        <v>83</v>
      </c>
      <c r="W2" s="220"/>
      <c r="X2" s="220"/>
      <c r="Y2" s="221">
        <v>4</v>
      </c>
      <c r="Z2" s="221"/>
      <c r="AA2" s="312">
        <f>정보!B5</f>
        <v>0</v>
      </c>
      <c r="AB2" s="313"/>
      <c r="AC2" s="313"/>
      <c r="AD2" s="313"/>
      <c r="AE2" s="313"/>
      <c r="AF2" s="313"/>
      <c r="AG2" s="313"/>
      <c r="AH2" s="313"/>
      <c r="AI2" s="313"/>
      <c r="AJ2" s="313"/>
      <c r="AK2" s="314"/>
      <c r="AL2" s="197" t="s">
        <v>90</v>
      </c>
      <c r="AM2" s="217"/>
      <c r="AN2" s="308">
        <v>0</v>
      </c>
      <c r="AO2" s="308"/>
      <c r="AP2" s="1"/>
      <c r="AQ2" s="309" t="s">
        <v>229</v>
      </c>
      <c r="AR2" s="310"/>
      <c r="AS2" s="311">
        <v>0</v>
      </c>
      <c r="AT2" s="311"/>
      <c r="AU2" s="1"/>
      <c r="AV2" s="1"/>
    </row>
    <row r="3" spans="1:66" ht="24.75" customHeight="1" x14ac:dyDescent="0.3">
      <c r="A3" s="28" t="str">
        <f>'SO와이드(실측)'!A3</f>
        <v>현장명 : 경기도 부천테크노파크 1단지 4co-2차,   (재질) : HL 1.2T</v>
      </c>
      <c r="B3" s="2"/>
      <c r="C3" s="2"/>
      <c r="D3" s="2"/>
      <c r="E3" s="2"/>
      <c r="F3" s="2"/>
      <c r="G3" s="2"/>
      <c r="H3" s="2"/>
      <c r="I3" s="2"/>
      <c r="J3" s="197" t="s">
        <v>228</v>
      </c>
      <c r="K3" s="197"/>
      <c r="L3" s="197"/>
      <c r="M3" s="197"/>
      <c r="N3" s="197"/>
      <c r="O3" s="197"/>
      <c r="P3" s="207">
        <v>0</v>
      </c>
      <c r="Q3" s="207"/>
      <c r="R3" s="217" t="s">
        <v>77</v>
      </c>
      <c r="S3" s="217"/>
      <c r="T3" s="224">
        <v>0</v>
      </c>
      <c r="U3" s="224"/>
      <c r="V3" s="225" t="s">
        <v>227</v>
      </c>
      <c r="W3" s="225"/>
      <c r="X3" s="225"/>
      <c r="Y3" s="226">
        <f>BN7</f>
        <v>1</v>
      </c>
      <c r="Z3" s="226"/>
      <c r="AA3" s="320" t="s">
        <v>78</v>
      </c>
      <c r="AB3" s="320"/>
      <c r="AC3" s="315">
        <v>0</v>
      </c>
      <c r="AD3" s="315"/>
      <c r="AL3" s="165" t="s">
        <v>73</v>
      </c>
      <c r="AM3" s="165"/>
      <c r="AN3" s="110">
        <v>5</v>
      </c>
      <c r="AO3" s="103" t="s">
        <v>74</v>
      </c>
      <c r="AP3" s="111">
        <v>4</v>
      </c>
      <c r="AQ3" s="189" t="s">
        <v>230</v>
      </c>
      <c r="AR3" s="189"/>
      <c r="AS3" s="191" t="s">
        <v>321</v>
      </c>
      <c r="AT3" s="192"/>
      <c r="AU3" s="195" t="e">
        <f>AY7</f>
        <v>#DIV/0!</v>
      </c>
      <c r="AV3" s="196"/>
      <c r="BN3" s="178" t="s">
        <v>253</v>
      </c>
    </row>
    <row r="4" spans="1:66" ht="33" customHeight="1" x14ac:dyDescent="0.3">
      <c r="A4" s="172" t="str">
        <f>정보!B10</f>
        <v>제작치수 반영 : MH + (1.2), JB/JD +(0 ),  늘어난치수K -(0),  C + (0),   U + (0), OP - (0), R - (0),  기둥차감 - (4),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306" t="s">
        <v>307</v>
      </c>
      <c r="AH4" s="306"/>
      <c r="AI4" s="256">
        <f>'SO와이드(실측)'!AA7</f>
        <v>0</v>
      </c>
      <c r="AJ4" s="256"/>
      <c r="AK4" s="185">
        <f ca="1">TODAY()</f>
        <v>45622</v>
      </c>
      <c r="AL4" s="171"/>
      <c r="AM4" s="171"/>
      <c r="AN4" s="9"/>
      <c r="AO4" s="321" t="s">
        <v>117</v>
      </c>
      <c r="AP4" s="321"/>
      <c r="AQ4" s="162" t="s">
        <v>215</v>
      </c>
      <c r="AR4" s="162"/>
      <c r="AS4" s="84"/>
      <c r="AT4" s="193" t="s">
        <v>235</v>
      </c>
      <c r="AU4" s="193"/>
      <c r="AV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236</v>
      </c>
      <c r="F5" s="165" t="s">
        <v>246</v>
      </c>
      <c r="G5" s="165" t="s">
        <v>18</v>
      </c>
      <c r="H5" s="212" t="s">
        <v>4</v>
      </c>
      <c r="I5" s="265" t="s">
        <v>42</v>
      </c>
      <c r="J5" s="209" t="s">
        <v>105</v>
      </c>
      <c r="K5" s="209" t="s">
        <v>106</v>
      </c>
      <c r="L5" s="182" t="s">
        <v>107</v>
      </c>
      <c r="M5" s="182" t="s">
        <v>108</v>
      </c>
      <c r="N5" s="316" t="s">
        <v>240</v>
      </c>
      <c r="O5" s="318" t="s">
        <v>241</v>
      </c>
      <c r="P5" s="213" t="s">
        <v>71</v>
      </c>
      <c r="Q5" s="213" t="s">
        <v>72</v>
      </c>
      <c r="R5" s="165" t="s">
        <v>8</v>
      </c>
      <c r="S5" s="165" t="s">
        <v>9</v>
      </c>
      <c r="T5" s="165" t="s">
        <v>12</v>
      </c>
      <c r="U5" s="165" t="s">
        <v>13</v>
      </c>
      <c r="V5" s="165" t="s">
        <v>10</v>
      </c>
      <c r="W5" s="165" t="s">
        <v>11</v>
      </c>
      <c r="X5" s="211" t="s">
        <v>14</v>
      </c>
      <c r="Y5" s="211" t="s">
        <v>15</v>
      </c>
      <c r="Z5" s="212" t="s">
        <v>16</v>
      </c>
      <c r="AA5" s="212" t="s">
        <v>17</v>
      </c>
      <c r="AB5" s="165" t="s">
        <v>19</v>
      </c>
      <c r="AC5" s="165" t="s">
        <v>20</v>
      </c>
      <c r="AD5" s="166" t="s">
        <v>22</v>
      </c>
      <c r="AE5" s="303" t="s">
        <v>242</v>
      </c>
      <c r="AF5" s="304" t="s">
        <v>238</v>
      </c>
      <c r="AG5" s="222" t="s">
        <v>79</v>
      </c>
      <c r="AH5" s="223"/>
      <c r="AI5" s="223"/>
      <c r="AJ5" s="223"/>
      <c r="AK5" s="215" t="s">
        <v>91</v>
      </c>
      <c r="AL5" s="215" t="s">
        <v>92</v>
      </c>
      <c r="AM5" s="230" t="s">
        <v>99</v>
      </c>
      <c r="AN5" s="166" t="s">
        <v>61</v>
      </c>
      <c r="AO5" s="166" t="s">
        <v>34</v>
      </c>
      <c r="AP5" s="166" t="s">
        <v>35</v>
      </c>
      <c r="AQ5" s="169" t="s">
        <v>212</v>
      </c>
      <c r="AR5" s="170"/>
      <c r="AS5" s="322" t="s">
        <v>199</v>
      </c>
      <c r="AT5" s="322" t="s">
        <v>204</v>
      </c>
      <c r="AU5" s="322"/>
      <c r="AV5" s="322"/>
      <c r="AW5" s="178" t="s">
        <v>100</v>
      </c>
      <c r="AX5" s="178" t="s">
        <v>101</v>
      </c>
      <c r="AY5" s="325" t="s">
        <v>244</v>
      </c>
      <c r="AZ5" s="324" t="s">
        <v>245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212"/>
      <c r="I6" s="265"/>
      <c r="J6" s="210"/>
      <c r="K6" s="210"/>
      <c r="L6" s="183"/>
      <c r="M6" s="183"/>
      <c r="N6" s="317"/>
      <c r="O6" s="319"/>
      <c r="P6" s="214"/>
      <c r="Q6" s="214"/>
      <c r="R6" s="165"/>
      <c r="S6" s="165"/>
      <c r="T6" s="165"/>
      <c r="U6" s="165"/>
      <c r="V6" s="165"/>
      <c r="W6" s="165"/>
      <c r="X6" s="211"/>
      <c r="Y6" s="211"/>
      <c r="Z6" s="212"/>
      <c r="AA6" s="212"/>
      <c r="AB6" s="165"/>
      <c r="AC6" s="165"/>
      <c r="AD6" s="166"/>
      <c r="AE6" s="303"/>
      <c r="AF6" s="304"/>
      <c r="AG6" s="8" t="s">
        <v>52</v>
      </c>
      <c r="AH6" s="8" t="s">
        <v>68</v>
      </c>
      <c r="AI6" s="8" t="s">
        <v>69</v>
      </c>
      <c r="AJ6" s="8" t="s">
        <v>70</v>
      </c>
      <c r="AK6" s="216"/>
      <c r="AL6" s="216"/>
      <c r="AM6" s="231"/>
      <c r="AN6" s="166"/>
      <c r="AO6" s="165"/>
      <c r="AP6" s="165"/>
      <c r="AQ6" s="74" t="s">
        <v>213</v>
      </c>
      <c r="AR6" s="74" t="s">
        <v>214</v>
      </c>
      <c r="AS6" s="323"/>
      <c r="AT6" s="86" t="s">
        <v>200</v>
      </c>
      <c r="AU6" s="86" t="s">
        <v>201</v>
      </c>
      <c r="AV6" s="86" t="s">
        <v>80</v>
      </c>
      <c r="AW6" s="179"/>
      <c r="AX6" s="179"/>
      <c r="AY6" s="324"/>
      <c r="AZ6" s="324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0</v>
      </c>
      <c r="D7" s="31">
        <f>'SO와이드(실측)'!D7+SO와이드MH더함-IF(AND(소장="추영덕",AB7=0),1.2)</f>
        <v>0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-4</v>
      </c>
      <c r="Y7" s="31">
        <f>'SO와이드(실측)'!S7-SO와이드기둥차감</f>
        <v>-4</v>
      </c>
      <c r="Z7" s="31">
        <f>'SO와이드(실측)'!T7-SO와이드기둥차감</f>
        <v>-4</v>
      </c>
      <c r="AA7" s="31">
        <f>'SO와이드(실측)'!U7-SO와이드기둥차감</f>
        <v>-4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-1.2</v>
      </c>
      <c r="AL7" s="31">
        <f xml:space="preserve"> IF(소장&lt;&gt;"손상민",IF('SO와이드(실측)'!AF7&gt;0,'SO와이드(실측)'!AF7,D7-1.2),IF('SO와이드(실측)'!AF7&gt;0,'SO와이드(실측)'!AF7+1.2,D7) )</f>
        <v>-1.2</v>
      </c>
      <c r="AM7" s="51">
        <f>IF(AC7&gt;0,AC7-MAX(T7,U7),0)</f>
        <v>0</v>
      </c>
      <c r="AN7" s="31" t="str">
        <f t="shared" ref="AN7" si="1">BF7&amp;"*"&amp;BG7</f>
        <v>0*-3.6</v>
      </c>
      <c r="AO7" s="31" t="str">
        <f t="shared" ref="AO7" si="2">BI7&amp;"*"&amp;BH7</f>
        <v>-5.2*-2.4</v>
      </c>
      <c r="AP7" s="31" t="str">
        <f t="shared" ref="AP7" si="3">BK7&amp;"*"&amp;BJ7</f>
        <v>-5.2*-2.4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-3.5999999999999996</v>
      </c>
      <c r="BH7" s="41">
        <f>V7+R7+MAX(J7,K7)+AE7-1.2*$AP$3+IF(BN7=0,MAX(AH7,AG7),0)+IF(V7=0,1.2,0)-IF(AV7=90,2.4,0)</f>
        <v>-2.3999999999999995</v>
      </c>
      <c r="BI7" s="41">
        <f>MAX(X7,Y7)+AK7</f>
        <v>-5.2</v>
      </c>
      <c r="BJ7" s="41">
        <f>W7+S7+MAX(L7,M7)+AF7-1.2*$AP$3+IF(BN7=0,MAX(AI7,AJ7),0)+IF(W7=0,1.2,0)-IF(AV7=90,2.4,0)</f>
        <v>-2.3999999999999995</v>
      </c>
      <c r="BK7" s="41">
        <f>MAX(Z7,AA7)+AL7</f>
        <v>-5.2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sqref="A1:AC1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4" t="str">
        <f>정보!E3</f>
        <v>(SO멍텅구리) 실측서 ( 경기도 부천테크노파크 1단지 4co-2차 ) _추영덕소장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경기도 부천테크노파크 1단지 4co-2차,   (재질) : HL 1.2T</v>
      </c>
      <c r="B3" s="2"/>
      <c r="C3" s="2"/>
      <c r="D3" s="2"/>
      <c r="E3" s="2"/>
      <c r="F3" s="2"/>
      <c r="G3" s="2"/>
      <c r="H3" s="237"/>
      <c r="I3" s="237"/>
      <c r="J3" s="246"/>
      <c r="K3" s="246"/>
      <c r="L3" s="247"/>
      <c r="M3" s="247"/>
      <c r="N3" s="248"/>
      <c r="O3" s="248"/>
      <c r="P3" s="248"/>
      <c r="Q3" s="243" t="s">
        <v>97</v>
      </c>
      <c r="R3" s="243"/>
      <c r="S3" s="244"/>
      <c r="T3" s="244"/>
      <c r="U3" s="245"/>
      <c r="V3" s="245"/>
      <c r="W3" s="245"/>
    </row>
    <row r="4" spans="1:41" ht="33" customHeight="1" x14ac:dyDescent="0.3">
      <c r="A4" s="172" t="str">
        <f>정보!B14</f>
        <v>제작치수 반영 : JB/JD +(0 ),  늘어난치수K -(0),  C + (0),  U +(0), OP1/OP2 - (0), R - (0),  기둥차감 - (4),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1"/>
      <c r="X4" s="171"/>
      <c r="Y4" s="171"/>
      <c r="Z4" s="171"/>
      <c r="AA4" s="171"/>
      <c r="AB4" s="171"/>
      <c r="AC4" s="173"/>
      <c r="AD4" s="162" t="s">
        <v>215</v>
      </c>
      <c r="AE4" s="162"/>
      <c r="AF4" s="81" t="s">
        <v>234</v>
      </c>
    </row>
    <row r="5" spans="1:41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5" t="s">
        <v>4</v>
      </c>
      <c r="G5" s="165" t="s">
        <v>5</v>
      </c>
      <c r="H5" s="165" t="s">
        <v>6</v>
      </c>
      <c r="I5" s="165" t="s">
        <v>7</v>
      </c>
      <c r="J5" s="165" t="s">
        <v>8</v>
      </c>
      <c r="K5" s="165" t="s">
        <v>9</v>
      </c>
      <c r="L5" s="165" t="s">
        <v>10</v>
      </c>
      <c r="M5" s="165" t="s">
        <v>11</v>
      </c>
      <c r="N5" s="165" t="s">
        <v>14</v>
      </c>
      <c r="O5" s="165" t="s">
        <v>15</v>
      </c>
      <c r="P5" s="165" t="s">
        <v>16</v>
      </c>
      <c r="Q5" s="165" t="s">
        <v>17</v>
      </c>
      <c r="R5" s="165" t="s">
        <v>19</v>
      </c>
      <c r="S5" s="165" t="s">
        <v>20</v>
      </c>
      <c r="T5" s="238" t="s">
        <v>22</v>
      </c>
      <c r="U5" s="303" t="s">
        <v>242</v>
      </c>
      <c r="V5" s="304" t="s">
        <v>238</v>
      </c>
      <c r="W5" s="240" t="s">
        <v>21</v>
      </c>
      <c r="X5" s="241"/>
      <c r="Y5" s="241"/>
      <c r="Z5" s="242"/>
      <c r="AA5" s="166" t="s">
        <v>203</v>
      </c>
      <c r="AB5" s="166"/>
      <c r="AC5" s="166"/>
      <c r="AD5" s="169" t="s">
        <v>212</v>
      </c>
      <c r="AE5" s="170"/>
      <c r="AF5" s="80" t="s">
        <v>231</v>
      </c>
    </row>
    <row r="6" spans="1:41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239"/>
      <c r="U6" s="303"/>
      <c r="V6" s="30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9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9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/>
      <c r="AI10" s="3"/>
      <c r="AJ10" s="3"/>
      <c r="AK10" s="3"/>
      <c r="AL10" s="3"/>
      <c r="AM10" s="3"/>
      <c r="AN10" s="3"/>
      <c r="AO10" s="3"/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/>
      <c r="AI11" s="3"/>
      <c r="AJ11" s="3"/>
      <c r="AK11" s="3"/>
      <c r="AL11" s="3"/>
      <c r="AM11" s="3"/>
      <c r="AN11" s="3"/>
      <c r="AO11" s="3"/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67" zoomScaleNormal="67" workbookViewId="0">
      <selection activeCell="AT8" sqref="AT8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정보!F3</f>
        <v>(SO멍텅구리) 제작변환 ( 경기도 부천테크노파크 1단지 4co-2차 ) _추영덕소장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"/>
      <c r="AN1" s="1"/>
      <c r="AO1" s="273" t="s">
        <v>75</v>
      </c>
      <c r="AP1" s="273"/>
      <c r="AQ1" s="273"/>
      <c r="AW1" s="24"/>
    </row>
    <row r="2" spans="1:58" ht="28.5" customHeight="1" x14ac:dyDescent="0.3">
      <c r="A2" s="97" t="s">
        <v>85</v>
      </c>
      <c r="B2" s="140">
        <v>0</v>
      </c>
      <c r="C2" s="332" t="s">
        <v>290</v>
      </c>
      <c r="D2" s="332"/>
      <c r="E2" s="116">
        <v>0</v>
      </c>
      <c r="F2" s="1"/>
      <c r="G2" s="1"/>
      <c r="H2" s="200" t="s">
        <v>81</v>
      </c>
      <c r="I2" s="200"/>
      <c r="J2" s="200"/>
      <c r="K2" s="327">
        <v>0</v>
      </c>
      <c r="L2" s="327"/>
      <c r="M2" s="327"/>
      <c r="N2" s="327"/>
      <c r="O2" s="205" t="s">
        <v>113</v>
      </c>
      <c r="P2" s="205"/>
      <c r="Q2" s="205"/>
      <c r="R2" s="205"/>
      <c r="S2" s="328">
        <v>1</v>
      </c>
      <c r="T2" s="328"/>
      <c r="U2" s="217" t="s">
        <v>103</v>
      </c>
      <c r="V2" s="217"/>
      <c r="W2" s="143">
        <v>0</v>
      </c>
      <c r="X2" s="205" t="s">
        <v>88</v>
      </c>
      <c r="Y2" s="205"/>
      <c r="Z2" s="329">
        <v>0</v>
      </c>
      <c r="AA2" s="329"/>
      <c r="AB2" s="22"/>
      <c r="AC2" s="197" t="s">
        <v>82</v>
      </c>
      <c r="AD2" s="217"/>
      <c r="AE2" s="330">
        <v>4</v>
      </c>
      <c r="AF2" s="330"/>
      <c r="AG2" s="142" t="s">
        <v>90</v>
      </c>
      <c r="AH2" s="331">
        <v>0</v>
      </c>
      <c r="AI2" s="331"/>
      <c r="AJ2" s="141"/>
      <c r="AK2" s="141"/>
      <c r="AL2" s="141"/>
      <c r="AM2" s="1"/>
      <c r="AN2" s="1"/>
      <c r="AO2" s="273"/>
      <c r="AP2" s="273"/>
      <c r="AQ2" s="273"/>
      <c r="AW2" s="24"/>
    </row>
    <row r="3" spans="1:58" ht="33" customHeight="1" x14ac:dyDescent="0.3">
      <c r="A3" s="33" t="str">
        <f>'SO멍텅(실측)'!A3</f>
        <v>현장명 : 경기도 부천테크노파크 1단지 4co-2차,   (재질) : HL 1.2T</v>
      </c>
      <c r="B3" s="2"/>
      <c r="C3" s="2"/>
      <c r="D3" s="2"/>
      <c r="E3" s="2"/>
      <c r="F3" s="2"/>
      <c r="G3" s="2"/>
      <c r="H3" s="155"/>
      <c r="I3" s="217" t="s">
        <v>76</v>
      </c>
      <c r="J3" s="217"/>
      <c r="K3" s="207">
        <v>0</v>
      </c>
      <c r="L3" s="207"/>
      <c r="M3" s="207"/>
      <c r="N3" s="207"/>
      <c r="O3" s="217" t="s">
        <v>77</v>
      </c>
      <c r="P3" s="217"/>
      <c r="Q3" s="224">
        <v>0</v>
      </c>
      <c r="R3" s="224"/>
      <c r="S3" s="205" t="s">
        <v>227</v>
      </c>
      <c r="T3" s="205"/>
      <c r="U3" s="205"/>
      <c r="V3" s="335">
        <v>1</v>
      </c>
      <c r="W3" s="335"/>
      <c r="X3" s="205" t="s">
        <v>78</v>
      </c>
      <c r="Y3" s="205"/>
      <c r="Z3" s="326">
        <v>0</v>
      </c>
      <c r="AA3" s="326"/>
      <c r="AB3" s="64"/>
      <c r="AC3" s="156"/>
      <c r="AD3" s="156"/>
      <c r="AE3" s="333" t="s">
        <v>73</v>
      </c>
      <c r="AF3" s="333"/>
      <c r="AG3" s="157">
        <v>4</v>
      </c>
      <c r="AH3" s="142" t="s">
        <v>74</v>
      </c>
      <c r="AI3" s="157">
        <v>4</v>
      </c>
      <c r="AJ3" s="251" t="s">
        <v>322</v>
      </c>
      <c r="AK3" s="252"/>
      <c r="AL3" s="199"/>
      <c r="AM3" s="338" t="e">
        <f>AR7</f>
        <v>#DIV/0!</v>
      </c>
      <c r="AN3" s="171"/>
      <c r="AO3" s="25"/>
      <c r="AP3" s="25"/>
      <c r="AQ3" s="24"/>
      <c r="AW3" s="24"/>
    </row>
    <row r="4" spans="1:58" ht="33" customHeight="1" x14ac:dyDescent="0.3">
      <c r="A4" s="172" t="str">
        <f>'SO멍텅(실측)'!A4:AA4</f>
        <v>제작치수 반영 : JB/JD +(0 ),  늘어난치수K -(0),  C + (0),  U +(0), OP1/OP2 - (0), R - (0),  기둥차감 - (4),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336" t="s">
        <v>308</v>
      </c>
      <c r="AD4" s="336"/>
      <c r="AE4" s="337">
        <f>'SO멍텅(실측)'!W7</f>
        <v>0</v>
      </c>
      <c r="AF4" s="337"/>
      <c r="AG4" s="158"/>
      <c r="AH4" s="334">
        <f ca="1">TODAY()</f>
        <v>45622</v>
      </c>
      <c r="AI4" s="193"/>
      <c r="AJ4" s="193" t="s">
        <v>235</v>
      </c>
      <c r="AK4" s="193"/>
      <c r="AL4" s="194"/>
      <c r="AM4" s="162" t="s">
        <v>215</v>
      </c>
      <c r="AN4" s="162"/>
      <c r="AO4" s="25"/>
      <c r="AP4" s="25"/>
      <c r="AQ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6" t="s">
        <v>58</v>
      </c>
      <c r="G5" s="166" t="s">
        <v>59</v>
      </c>
      <c r="H5" s="264" t="s">
        <v>60</v>
      </c>
      <c r="I5" s="264" t="s">
        <v>64</v>
      </c>
      <c r="J5" s="339" t="s">
        <v>65</v>
      </c>
      <c r="K5" s="339" t="s">
        <v>66</v>
      </c>
      <c r="L5" s="316" t="s">
        <v>240</v>
      </c>
      <c r="M5" s="318" t="s">
        <v>241</v>
      </c>
      <c r="N5" s="238" t="s">
        <v>62</v>
      </c>
      <c r="O5" s="238" t="s">
        <v>63</v>
      </c>
      <c r="P5" s="165" t="s">
        <v>8</v>
      </c>
      <c r="Q5" s="165" t="s">
        <v>9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260" t="s">
        <v>20</v>
      </c>
      <c r="Z5" s="238" t="s">
        <v>22</v>
      </c>
      <c r="AA5" s="303" t="s">
        <v>242</v>
      </c>
      <c r="AB5" s="304" t="s">
        <v>238</v>
      </c>
      <c r="AC5" s="240" t="s">
        <v>21</v>
      </c>
      <c r="AD5" s="241"/>
      <c r="AE5" s="241"/>
      <c r="AF5" s="242"/>
      <c r="AG5" s="166" t="s">
        <v>25</v>
      </c>
      <c r="AH5" s="262" t="s">
        <v>34</v>
      </c>
      <c r="AI5" s="166" t="s">
        <v>35</v>
      </c>
      <c r="AJ5" s="322" t="s">
        <v>203</v>
      </c>
      <c r="AK5" s="322"/>
      <c r="AL5" s="322"/>
      <c r="AM5" s="169" t="s">
        <v>212</v>
      </c>
      <c r="AN5" s="170"/>
      <c r="AO5" s="178" t="s">
        <v>300</v>
      </c>
      <c r="AP5" s="178" t="s">
        <v>301</v>
      </c>
      <c r="AQ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265"/>
      <c r="I6" s="265"/>
      <c r="J6" s="340"/>
      <c r="K6" s="340"/>
      <c r="L6" s="317"/>
      <c r="M6" s="319"/>
      <c r="N6" s="239"/>
      <c r="O6" s="239"/>
      <c r="P6" s="165"/>
      <c r="Q6" s="165"/>
      <c r="R6" s="165"/>
      <c r="S6" s="165"/>
      <c r="T6" s="165"/>
      <c r="U6" s="165"/>
      <c r="V6" s="165"/>
      <c r="W6" s="165"/>
      <c r="X6" s="165"/>
      <c r="Y6" s="260"/>
      <c r="Z6" s="239"/>
      <c r="AA6" s="303"/>
      <c r="AB6" s="304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9"/>
      <c r="AP6" s="179"/>
      <c r="AQ6" s="261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0</v>
      </c>
      <c r="D7" s="4">
        <f>'SO멍텅(실측)'!D7-SO멍텅OP</f>
        <v>0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-4</v>
      </c>
      <c r="U7" s="4">
        <f>'SO멍텅(실측)'!O7-SO멍텅기둥차감</f>
        <v>-4</v>
      </c>
      <c r="V7" s="4">
        <f>'SO멍텅(실측)'!P7-SO멍텅기둥차감</f>
        <v>-4</v>
      </c>
      <c r="W7" s="4">
        <f>'SO멍텅(실측)'!Q7-SO멍텅기둥차감</f>
        <v>-4</v>
      </c>
      <c r="X7" s="4">
        <f>IF(ISNUMBER('SO멍텅(실측)'!R7),IF(Y7&gt;0,'SO멍텅(실측)'!R7+SO멍텅U늘림,'SO멍텅(실측)'!R7+1.2),0)</f>
        <v>0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0*-3.6</v>
      </c>
      <c r="AH7" s="12" t="str">
        <f t="shared" ref="AH7" si="2">AZ7&amp;"*"&amp;AY7</f>
        <v>-4*-2.6</v>
      </c>
      <c r="AI7" s="10" t="str">
        <f t="shared" ref="AI7" si="3">BB7&amp;"*"&amp;BA7</f>
        <v>-4*-2.6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+AQ7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+AQ7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(F7-COS(RADIANS(AR7))*H7)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-4</v>
      </c>
      <c r="BA7" s="3">
        <f>S7+Q7+MAX(J7,K7)+AB7-1.2*$AI$3+IF(BE7=0,MAX(AE7,AF7))+IF(S7=0,1.2,0)-IF(AL7=90,2.4,0)</f>
        <v>-2.5999999999999996</v>
      </c>
      <c r="BB7" s="3">
        <f t="shared" ref="BB7" si="6">MAX(V7,W7)</f>
        <v>-4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70" zoomScaleNormal="70" workbookViewId="0">
      <selection activeCell="T7" sqref="T7:W9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5" t="str">
        <f>정보!H2</f>
        <v>(4CO와이드) 실측서 ( 경기도 부천테크노파크 1단지 4co-2차 ) _추영덕소장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5"/>
      <c r="AC2" s="175"/>
      <c r="AD2" s="175"/>
      <c r="AE2" s="175"/>
      <c r="AF2" s="175"/>
      <c r="AG2" s="175"/>
      <c r="AH2" s="175"/>
      <c r="AI2" s="175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경기도 부천테크노파크 1단지 4co-2차,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3" t="s">
        <v>98</v>
      </c>
      <c r="P3" s="16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5"/>
      <c r="AC3" s="175"/>
      <c r="AD3" s="175"/>
      <c r="AE3" s="175"/>
      <c r="AF3" s="175"/>
      <c r="AG3" s="175"/>
      <c r="AH3" s="175"/>
      <c r="AI3" s="175"/>
      <c r="AJ3" s="34"/>
      <c r="AK3" s="34"/>
      <c r="AL3" s="34"/>
      <c r="AM3" s="34"/>
    </row>
    <row r="4" spans="1:48" ht="33" customHeight="1" x14ac:dyDescent="0.3">
      <c r="A4" s="305" t="str">
        <f>정보!B15</f>
        <v>제작치수 반영 : MH + (1.2), JB/JD +(0 ),  늘어난치수K -(0),  C + (0),   U + (0), OP1/OP3 - (0), R - (0),  기둥차감 - (4), A + (0)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305"/>
      <c r="W4" s="305"/>
      <c r="X4" s="171"/>
      <c r="Y4" s="171"/>
      <c r="Z4" s="171"/>
      <c r="AA4" s="171"/>
      <c r="AB4" s="171"/>
      <c r="AC4" s="171"/>
      <c r="AD4" s="171"/>
      <c r="AE4" s="171"/>
      <c r="AF4" s="171"/>
      <c r="AG4" s="173"/>
      <c r="AH4" s="162" t="s">
        <v>215</v>
      </c>
      <c r="AI4" s="162"/>
      <c r="AJ4" s="75"/>
      <c r="AK4" s="9"/>
      <c r="AL4" s="9"/>
      <c r="AM4" s="9"/>
    </row>
    <row r="5" spans="1:48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254</v>
      </c>
      <c r="F5" s="165" t="s">
        <v>239</v>
      </c>
      <c r="G5" s="165" t="s">
        <v>255</v>
      </c>
      <c r="H5" s="165" t="s">
        <v>18</v>
      </c>
      <c r="I5" s="165" t="s">
        <v>4</v>
      </c>
      <c r="J5" s="165" t="s">
        <v>5</v>
      </c>
      <c r="K5" s="165" t="s">
        <v>256</v>
      </c>
      <c r="L5" s="165" t="s">
        <v>6</v>
      </c>
      <c r="M5" s="165" t="s">
        <v>7</v>
      </c>
      <c r="N5" s="165" t="s">
        <v>47</v>
      </c>
      <c r="O5" s="165" t="s">
        <v>9</v>
      </c>
      <c r="P5" s="165" t="s">
        <v>12</v>
      </c>
      <c r="Q5" s="165" t="s">
        <v>13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166" t="s">
        <v>48</v>
      </c>
      <c r="Z5" s="166" t="s">
        <v>22</v>
      </c>
      <c r="AA5" s="166" t="s">
        <v>23</v>
      </c>
      <c r="AB5" s="165" t="s">
        <v>21</v>
      </c>
      <c r="AC5" s="165"/>
      <c r="AD5" s="165"/>
      <c r="AE5" s="165"/>
      <c r="AF5" s="167" t="s">
        <v>91</v>
      </c>
      <c r="AG5" s="167" t="s">
        <v>92</v>
      </c>
      <c r="AH5" s="169" t="s">
        <v>212</v>
      </c>
      <c r="AI5" s="170"/>
      <c r="AJ5" s="166" t="s">
        <v>199</v>
      </c>
      <c r="AK5" s="166" t="s">
        <v>203</v>
      </c>
      <c r="AL5" s="166"/>
      <c r="AM5" s="166"/>
    </row>
    <row r="6" spans="1:48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6"/>
      <c r="AA6" s="166"/>
      <c r="AB6" s="8" t="s">
        <v>43</v>
      </c>
      <c r="AC6" s="8" t="s">
        <v>44</v>
      </c>
      <c r="AD6" s="8" t="s">
        <v>45</v>
      </c>
      <c r="AE6" s="8" t="s">
        <v>46</v>
      </c>
      <c r="AF6" s="168"/>
      <c r="AG6" s="168"/>
      <c r="AH6" s="74" t="s">
        <v>213</v>
      </c>
      <c r="AI6" s="74" t="s">
        <v>214</v>
      </c>
      <c r="AJ6" s="165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 t="s">
        <v>338</v>
      </c>
      <c r="B7" s="4">
        <v>1</v>
      </c>
      <c r="C7" s="4">
        <v>348</v>
      </c>
      <c r="D7" s="4">
        <v>348</v>
      </c>
      <c r="E7" s="4">
        <v>399</v>
      </c>
      <c r="F7" s="4">
        <v>800</v>
      </c>
      <c r="G7" s="4">
        <v>399</v>
      </c>
      <c r="H7" s="4">
        <v>1598</v>
      </c>
      <c r="I7" s="4">
        <v>402</v>
      </c>
      <c r="J7" s="4">
        <f>I7+44</f>
        <v>446</v>
      </c>
      <c r="K7" s="4">
        <v>402</v>
      </c>
      <c r="L7" s="4">
        <v>418</v>
      </c>
      <c r="M7" s="4">
        <v>418</v>
      </c>
      <c r="N7" s="13">
        <v>38</v>
      </c>
      <c r="O7" s="13">
        <v>38</v>
      </c>
      <c r="P7" s="4"/>
      <c r="Q7" s="4"/>
      <c r="R7" s="4">
        <v>26</v>
      </c>
      <c r="S7" s="4">
        <v>22</v>
      </c>
      <c r="T7" s="4">
        <v>2300</v>
      </c>
      <c r="U7" s="4">
        <v>2287</v>
      </c>
      <c r="V7" s="4">
        <v>2299</v>
      </c>
      <c r="W7" s="4">
        <v>2292</v>
      </c>
      <c r="X7" s="4">
        <v>38</v>
      </c>
      <c r="Y7" s="4">
        <v>0</v>
      </c>
      <c r="Z7" s="4">
        <v>30</v>
      </c>
      <c r="AA7" s="4">
        <v>30</v>
      </c>
      <c r="AB7" s="4">
        <v>10</v>
      </c>
      <c r="AC7" s="4">
        <v>6</v>
      </c>
      <c r="AD7" s="4">
        <v>8</v>
      </c>
      <c r="AE7" s="4">
        <v>6</v>
      </c>
      <c r="AF7" s="4"/>
      <c r="AG7" s="4"/>
      <c r="AH7" s="4"/>
      <c r="AI7" s="4"/>
      <c r="AJ7" s="4">
        <v>115</v>
      </c>
      <c r="AK7" s="4">
        <v>20</v>
      </c>
      <c r="AL7" s="4">
        <v>10</v>
      </c>
      <c r="AM7" s="4">
        <v>10</v>
      </c>
      <c r="AN7" s="53"/>
      <c r="AO7" s="3">
        <f>AB7+$AN7</f>
        <v>10</v>
      </c>
      <c r="AP7" s="3">
        <f>AC7+$AN7</f>
        <v>6</v>
      </c>
      <c r="AQ7" s="3">
        <f>AD7+$AN7</f>
        <v>8</v>
      </c>
      <c r="AR7" s="3">
        <f>AE7+$AN7</f>
        <v>6</v>
      </c>
      <c r="AS7" s="3">
        <f>I7-$AN7</f>
        <v>402</v>
      </c>
      <c r="AT7" s="3">
        <f>J7-$AN7</f>
        <v>446</v>
      </c>
      <c r="AU7" s="3">
        <f>L7-$AN7</f>
        <v>418</v>
      </c>
      <c r="AV7" s="3">
        <f>M7-$AN7</f>
        <v>418</v>
      </c>
    </row>
    <row r="8" spans="1:48" ht="23.25" customHeight="1" x14ac:dyDescent="0.3">
      <c r="A8" s="4" t="s">
        <v>339</v>
      </c>
      <c r="B8" s="4">
        <v>1</v>
      </c>
      <c r="C8" s="4">
        <v>348</v>
      </c>
      <c r="D8" s="4">
        <v>348</v>
      </c>
      <c r="E8" s="4">
        <v>399</v>
      </c>
      <c r="F8" s="4">
        <v>800</v>
      </c>
      <c r="G8" s="4">
        <v>399</v>
      </c>
      <c r="H8" s="4">
        <v>1598</v>
      </c>
      <c r="I8" s="4">
        <v>407</v>
      </c>
      <c r="J8" s="4">
        <f t="shared" ref="J8:J9" si="0">I8+44</f>
        <v>451</v>
      </c>
      <c r="K8" s="4">
        <v>407</v>
      </c>
      <c r="L8" s="4">
        <v>423</v>
      </c>
      <c r="M8" s="4">
        <v>423</v>
      </c>
      <c r="N8" s="13">
        <v>38</v>
      </c>
      <c r="O8" s="13">
        <v>38</v>
      </c>
      <c r="P8" s="4"/>
      <c r="Q8" s="4"/>
      <c r="R8" s="4">
        <v>21</v>
      </c>
      <c r="S8" s="4">
        <v>17</v>
      </c>
      <c r="T8" s="4">
        <v>2303</v>
      </c>
      <c r="U8" s="4">
        <v>2294</v>
      </c>
      <c r="V8" s="4">
        <v>2301</v>
      </c>
      <c r="W8" s="4">
        <v>2294</v>
      </c>
      <c r="X8" s="4">
        <v>38</v>
      </c>
      <c r="Y8" s="4">
        <v>0</v>
      </c>
      <c r="Z8" s="4">
        <v>30</v>
      </c>
      <c r="AA8" s="4">
        <v>30</v>
      </c>
      <c r="AB8" s="4">
        <v>7</v>
      </c>
      <c r="AC8" s="4">
        <v>7</v>
      </c>
      <c r="AD8" s="4">
        <v>6</v>
      </c>
      <c r="AE8" s="4">
        <v>6</v>
      </c>
      <c r="AF8" s="4"/>
      <c r="AG8" s="4"/>
      <c r="AH8" s="4"/>
      <c r="AI8" s="4"/>
      <c r="AJ8" s="4">
        <v>115</v>
      </c>
      <c r="AK8" s="4">
        <v>20</v>
      </c>
      <c r="AL8" s="4">
        <v>10</v>
      </c>
      <c r="AM8" s="4">
        <v>10</v>
      </c>
      <c r="AN8" s="53"/>
      <c r="AO8" s="3">
        <f t="shared" ref="AO8" si="1">AB8+$AN8</f>
        <v>7</v>
      </c>
      <c r="AP8" s="3">
        <f>AC8+$AN8</f>
        <v>7</v>
      </c>
      <c r="AQ8" s="3">
        <f>AD8+$AN8</f>
        <v>6</v>
      </c>
      <c r="AR8" s="3">
        <f>AE8+$AN8</f>
        <v>6</v>
      </c>
      <c r="AS8" s="3">
        <f t="shared" ref="AS8" si="2">I8-$AN8</f>
        <v>407</v>
      </c>
      <c r="AT8" s="3">
        <f>J8-$AN8</f>
        <v>451</v>
      </c>
      <c r="AU8" s="3">
        <f>L8-$AN8</f>
        <v>423</v>
      </c>
      <c r="AV8" s="3">
        <f>M8-$AN8</f>
        <v>423</v>
      </c>
    </row>
    <row r="9" spans="1:48" ht="23.25" customHeight="1" x14ac:dyDescent="0.3">
      <c r="A9" s="4" t="s">
        <v>340</v>
      </c>
      <c r="B9" s="4">
        <v>1</v>
      </c>
      <c r="C9" s="4">
        <v>348</v>
      </c>
      <c r="D9" s="4">
        <v>348</v>
      </c>
      <c r="E9" s="4">
        <v>399</v>
      </c>
      <c r="F9" s="4">
        <v>800</v>
      </c>
      <c r="G9" s="4">
        <v>399</v>
      </c>
      <c r="H9" s="4">
        <v>1598</v>
      </c>
      <c r="I9" s="4">
        <v>462</v>
      </c>
      <c r="J9" s="4">
        <f t="shared" si="0"/>
        <v>506</v>
      </c>
      <c r="K9" s="4">
        <v>462</v>
      </c>
      <c r="L9" s="4">
        <v>478</v>
      </c>
      <c r="M9" s="4">
        <v>478</v>
      </c>
      <c r="N9" s="13">
        <v>38</v>
      </c>
      <c r="O9" s="13">
        <v>38</v>
      </c>
      <c r="P9" s="4"/>
      <c r="Q9" s="4"/>
      <c r="R9" s="4">
        <v>26</v>
      </c>
      <c r="S9" s="4">
        <v>26</v>
      </c>
      <c r="T9" s="4">
        <v>2302</v>
      </c>
      <c r="U9" s="4">
        <v>2289</v>
      </c>
      <c r="V9" s="4">
        <v>2294</v>
      </c>
      <c r="W9" s="4">
        <v>2288</v>
      </c>
      <c r="X9" s="4">
        <v>38</v>
      </c>
      <c r="Y9" s="4">
        <v>0</v>
      </c>
      <c r="Z9" s="4">
        <v>30</v>
      </c>
      <c r="AA9" s="4">
        <v>30</v>
      </c>
      <c r="AB9" s="4">
        <v>6</v>
      </c>
      <c r="AC9" s="4">
        <v>6</v>
      </c>
      <c r="AD9" s="4">
        <v>5</v>
      </c>
      <c r="AE9" s="4">
        <v>5</v>
      </c>
      <c r="AF9" s="4"/>
      <c r="AG9" s="4"/>
      <c r="AH9" s="4"/>
      <c r="AI9" s="4"/>
      <c r="AJ9" s="4">
        <v>115</v>
      </c>
      <c r="AK9" s="4">
        <v>20</v>
      </c>
      <c r="AL9" s="4">
        <v>10</v>
      </c>
      <c r="AM9" s="4">
        <v>10</v>
      </c>
      <c r="AN9" s="53"/>
      <c r="AO9" s="3">
        <f t="shared" ref="AO9" si="3">AB9+$AN9</f>
        <v>6</v>
      </c>
      <c r="AP9" s="3">
        <f t="shared" ref="AP9" si="4">AC9+$AN9</f>
        <v>6</v>
      </c>
      <c r="AQ9" s="3">
        <f t="shared" ref="AQ9" si="5">AD9+$AN9</f>
        <v>5</v>
      </c>
      <c r="AR9" s="3">
        <f t="shared" ref="AR9" si="6">AE9+$AN9</f>
        <v>5</v>
      </c>
      <c r="AS9" s="3">
        <f t="shared" ref="AS9" si="7">I9-$AN9</f>
        <v>462</v>
      </c>
      <c r="AT9" s="3">
        <f t="shared" ref="AT9" si="8">J9-$AN9</f>
        <v>506</v>
      </c>
      <c r="AU9" s="3">
        <f t="shared" ref="AU9" si="9">L9-$AN9</f>
        <v>478</v>
      </c>
      <c r="AV9" s="3">
        <f t="shared" ref="AV9" si="10">M9-$AN9</f>
        <v>478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/>
      <c r="AP10" s="3"/>
      <c r="AQ10" s="3"/>
      <c r="AR10" s="3"/>
      <c r="AS10" s="3"/>
      <c r="AT10" s="3"/>
      <c r="AU10" s="3"/>
      <c r="AV10" s="3"/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/>
      <c r="AP11" s="3"/>
      <c r="AQ11" s="3"/>
      <c r="AR11" s="3"/>
      <c r="AS11" s="3"/>
      <c r="AT11" s="3"/>
      <c r="AU11" s="3"/>
      <c r="AV11" s="3"/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/>
      <c r="AP12" s="3"/>
      <c r="AQ12" s="3"/>
      <c r="AR12" s="3"/>
      <c r="AS12" s="3"/>
      <c r="AT12" s="3"/>
      <c r="AU12" s="3"/>
      <c r="AV12" s="3"/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/>
      <c r="AP13" s="3"/>
      <c r="AQ13" s="3"/>
      <c r="AR13" s="3"/>
      <c r="AS13" s="3"/>
      <c r="AT13" s="3"/>
      <c r="AU13" s="3"/>
      <c r="AV13" s="3"/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/>
      <c r="AP14" s="3"/>
      <c r="AQ14" s="3"/>
      <c r="AR14" s="3"/>
      <c r="AS14" s="3"/>
      <c r="AT14" s="3"/>
      <c r="AU14" s="3"/>
      <c r="AV14" s="3"/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/>
      <c r="AP15" s="3"/>
      <c r="AQ15" s="3"/>
      <c r="AR15" s="3"/>
      <c r="AS15" s="3"/>
      <c r="AT15" s="3"/>
      <c r="AU15" s="3"/>
      <c r="AV15" s="3"/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/>
      <c r="AP16" s="3"/>
      <c r="AQ16" s="3"/>
      <c r="AR16" s="3"/>
      <c r="AS16" s="3"/>
      <c r="AT16" s="3"/>
      <c r="AU16" s="3"/>
      <c r="AV16" s="3"/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9"/>
  <sheetViews>
    <sheetView zoomScale="70" zoomScaleNormal="70" workbookViewId="0">
      <selection activeCell="AA14" sqref="AA14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229" t="str">
        <f>정보!I2</f>
        <v>(4CO와이드) 제작변환 ( 경기도 부천테크노파크 1단지 4co-2차 ) _추영덕소장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229"/>
      <c r="AT1" s="229"/>
      <c r="AU1" s="229"/>
      <c r="AV1" s="229"/>
      <c r="AW1" s="229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1.2</v>
      </c>
      <c r="J2" s="1"/>
      <c r="K2" s="1"/>
      <c r="L2" s="204" t="s">
        <v>113</v>
      </c>
      <c r="M2" s="205"/>
      <c r="N2" s="205"/>
      <c r="O2" s="205"/>
      <c r="P2" s="205"/>
      <c r="Q2" s="205"/>
      <c r="R2" s="206">
        <v>1</v>
      </c>
      <c r="S2" s="206"/>
      <c r="T2" s="197" t="s">
        <v>89</v>
      </c>
      <c r="U2" s="217"/>
      <c r="V2" s="218">
        <v>0</v>
      </c>
      <c r="W2" s="218"/>
      <c r="X2" s="283" t="s">
        <v>83</v>
      </c>
      <c r="Y2" s="225"/>
      <c r="Z2" s="225"/>
      <c r="AA2" s="221">
        <v>4</v>
      </c>
      <c r="AB2" s="221"/>
      <c r="AC2" s="312">
        <f>정보!B5</f>
        <v>0</v>
      </c>
      <c r="AD2" s="313"/>
      <c r="AE2" s="313"/>
      <c r="AF2" s="313"/>
      <c r="AG2" s="313"/>
      <c r="AH2" s="313"/>
      <c r="AI2" s="313"/>
      <c r="AJ2" s="313"/>
      <c r="AK2" s="313"/>
      <c r="AL2" s="314"/>
      <c r="AM2" s="197" t="s">
        <v>90</v>
      </c>
      <c r="AN2" s="217"/>
      <c r="AO2" s="343">
        <v>0</v>
      </c>
      <c r="AP2" s="343"/>
      <c r="AQ2" s="1"/>
      <c r="AR2" s="309" t="s">
        <v>229</v>
      </c>
      <c r="AS2" s="310"/>
      <c r="AT2" s="311">
        <v>0</v>
      </c>
      <c r="AU2" s="311"/>
      <c r="AV2" s="1"/>
      <c r="AW2" s="1"/>
    </row>
    <row r="3" spans="1:66" ht="24.75" customHeight="1" x14ac:dyDescent="0.3">
      <c r="A3" s="28" t="str">
        <f>'4CO와이드(실측)'!A3</f>
        <v>현장명 : 경기도 부천테크노파크 1단지 4co-2차,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05" t="s">
        <v>228</v>
      </c>
      <c r="M3" s="205"/>
      <c r="N3" s="205"/>
      <c r="O3" s="205"/>
      <c r="P3" s="205"/>
      <c r="Q3" s="205"/>
      <c r="R3" s="207">
        <v>0</v>
      </c>
      <c r="S3" s="207"/>
      <c r="T3" s="217" t="s">
        <v>77</v>
      </c>
      <c r="U3" s="217"/>
      <c r="V3" s="224">
        <v>0</v>
      </c>
      <c r="W3" s="224"/>
      <c r="X3" s="225" t="s">
        <v>227</v>
      </c>
      <c r="Y3" s="225"/>
      <c r="Z3" s="225"/>
      <c r="AA3" s="226">
        <f>BN7</f>
        <v>1</v>
      </c>
      <c r="AB3" s="226"/>
      <c r="AC3" s="225" t="s">
        <v>78</v>
      </c>
      <c r="AD3" s="225"/>
      <c r="AE3" s="315">
        <v>0</v>
      </c>
      <c r="AF3" s="315"/>
      <c r="AJ3" s="179"/>
      <c r="AK3" s="179"/>
      <c r="AL3" s="3"/>
      <c r="AM3" s="165" t="s">
        <v>73</v>
      </c>
      <c r="AN3" s="165"/>
      <c r="AO3" s="114">
        <v>5</v>
      </c>
      <c r="AP3" s="4" t="s">
        <v>74</v>
      </c>
      <c r="AQ3" s="115">
        <v>4</v>
      </c>
      <c r="AR3" s="189" t="s">
        <v>230</v>
      </c>
      <c r="AS3" s="189"/>
      <c r="AT3" s="342" t="s">
        <v>323</v>
      </c>
      <c r="AU3" s="342"/>
      <c r="AV3" s="195">
        <f>AZ7</f>
        <v>0</v>
      </c>
      <c r="AW3" s="196"/>
      <c r="BN3" s="178" t="s">
        <v>253</v>
      </c>
    </row>
    <row r="4" spans="1:66" ht="33" customHeight="1" x14ac:dyDescent="0.3">
      <c r="A4" s="172" t="str">
        <f>정보!B15</f>
        <v>제작치수 반영 : MH + (1.2), JB/JD +(0 ),  늘어난치수K -(0),  C + (0),   U + (0), OP1/OP3 - (0), R - (0),  기둥차감 - (4),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341" t="s">
        <v>309</v>
      </c>
      <c r="AI4" s="341"/>
      <c r="AJ4" s="341">
        <f>'4CO와이드(실측)'!AB7</f>
        <v>10</v>
      </c>
      <c r="AK4" s="341"/>
      <c r="AL4" s="185">
        <f ca="1">TODAY()</f>
        <v>45622</v>
      </c>
      <c r="AM4" s="171"/>
      <c r="AN4" s="171"/>
      <c r="AO4" s="9"/>
      <c r="AP4" s="184" t="s">
        <v>117</v>
      </c>
      <c r="AQ4" s="184"/>
      <c r="AR4" s="162" t="s">
        <v>215</v>
      </c>
      <c r="AS4" s="162"/>
      <c r="AT4" s="84"/>
      <c r="AU4" s="193" t="s">
        <v>235</v>
      </c>
      <c r="AV4" s="193"/>
      <c r="AW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259</v>
      </c>
      <c r="F5" s="166" t="s">
        <v>261</v>
      </c>
      <c r="G5" s="165" t="s">
        <v>260</v>
      </c>
      <c r="H5" s="165" t="s">
        <v>18</v>
      </c>
      <c r="I5" s="212" t="s">
        <v>41</v>
      </c>
      <c r="J5" s="265" t="s">
        <v>42</v>
      </c>
      <c r="K5" s="265" t="s">
        <v>262</v>
      </c>
      <c r="L5" s="209" t="s">
        <v>105</v>
      </c>
      <c r="M5" s="209" t="s">
        <v>106</v>
      </c>
      <c r="N5" s="182" t="s">
        <v>107</v>
      </c>
      <c r="O5" s="182" t="s">
        <v>108</v>
      </c>
      <c r="P5" s="316" t="s">
        <v>329</v>
      </c>
      <c r="Q5" s="316" t="s">
        <v>330</v>
      </c>
      <c r="R5" s="213" t="s">
        <v>71</v>
      </c>
      <c r="S5" s="213" t="s">
        <v>72</v>
      </c>
      <c r="T5" s="165" t="s">
        <v>8</v>
      </c>
      <c r="U5" s="165" t="s">
        <v>9</v>
      </c>
      <c r="V5" s="165" t="s">
        <v>12</v>
      </c>
      <c r="W5" s="165" t="s">
        <v>13</v>
      </c>
      <c r="X5" s="165" t="s">
        <v>10</v>
      </c>
      <c r="Y5" s="165" t="s">
        <v>11</v>
      </c>
      <c r="Z5" s="211" t="s">
        <v>14</v>
      </c>
      <c r="AA5" s="211" t="s">
        <v>15</v>
      </c>
      <c r="AB5" s="212" t="s">
        <v>16</v>
      </c>
      <c r="AC5" s="212" t="s">
        <v>17</v>
      </c>
      <c r="AD5" s="165" t="s">
        <v>19</v>
      </c>
      <c r="AE5" s="165" t="s">
        <v>20</v>
      </c>
      <c r="AF5" s="166" t="s">
        <v>22</v>
      </c>
      <c r="AG5" s="166" t="s">
        <v>23</v>
      </c>
      <c r="AH5" s="222" t="s">
        <v>79</v>
      </c>
      <c r="AI5" s="223"/>
      <c r="AJ5" s="223"/>
      <c r="AK5" s="223"/>
      <c r="AL5" s="215" t="s">
        <v>91</v>
      </c>
      <c r="AM5" s="215" t="s">
        <v>92</v>
      </c>
      <c r="AN5" s="230" t="s">
        <v>99</v>
      </c>
      <c r="AO5" s="166" t="s">
        <v>61</v>
      </c>
      <c r="AP5" s="166" t="s">
        <v>34</v>
      </c>
      <c r="AQ5" s="166" t="s">
        <v>35</v>
      </c>
      <c r="AR5" s="169" t="s">
        <v>212</v>
      </c>
      <c r="AS5" s="170"/>
      <c r="AT5" s="322" t="s">
        <v>199</v>
      </c>
      <c r="AU5" s="322" t="s">
        <v>204</v>
      </c>
      <c r="AV5" s="322"/>
      <c r="AW5" s="322"/>
      <c r="AX5" s="178" t="s">
        <v>100</v>
      </c>
      <c r="AY5" s="178" t="s">
        <v>101</v>
      </c>
      <c r="AZ5" s="179" t="s">
        <v>80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165"/>
      <c r="I6" s="212"/>
      <c r="J6" s="265"/>
      <c r="K6" s="265"/>
      <c r="L6" s="210"/>
      <c r="M6" s="210"/>
      <c r="N6" s="183"/>
      <c r="O6" s="183"/>
      <c r="P6" s="317"/>
      <c r="Q6" s="317"/>
      <c r="R6" s="214"/>
      <c r="S6" s="214"/>
      <c r="T6" s="165"/>
      <c r="U6" s="165"/>
      <c r="V6" s="165"/>
      <c r="W6" s="165"/>
      <c r="X6" s="165"/>
      <c r="Y6" s="165"/>
      <c r="Z6" s="211"/>
      <c r="AA6" s="211"/>
      <c r="AB6" s="212"/>
      <c r="AC6" s="212"/>
      <c r="AD6" s="165"/>
      <c r="AE6" s="165"/>
      <c r="AF6" s="166"/>
      <c r="AG6" s="166"/>
      <c r="AH6" s="8" t="s">
        <v>67</v>
      </c>
      <c r="AI6" s="8" t="s">
        <v>68</v>
      </c>
      <c r="AJ6" s="8" t="s">
        <v>69</v>
      </c>
      <c r="AK6" s="8" t="s">
        <v>70</v>
      </c>
      <c r="AL6" s="216"/>
      <c r="AM6" s="216"/>
      <c r="AN6" s="231"/>
      <c r="AO6" s="166"/>
      <c r="AP6" s="165"/>
      <c r="AQ6" s="165"/>
      <c r="AR6" s="74" t="s">
        <v>213</v>
      </c>
      <c r="AS6" s="74" t="s">
        <v>214</v>
      </c>
      <c r="AT6" s="323"/>
      <c r="AU6" s="86" t="s">
        <v>200</v>
      </c>
      <c r="AV6" s="86" t="s">
        <v>201</v>
      </c>
      <c r="AW6" s="86" t="s">
        <v>202</v>
      </c>
      <c r="AX6" s="179"/>
      <c r="AY6" s="179"/>
      <c r="AZ6" s="179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 t="str">
        <f>'4CO와이드(실측)'!A7</f>
        <v>101-2</v>
      </c>
      <c r="B7" s="31" t="str">
        <f>'4CO와이드(실측)'!B7&amp;"F"</f>
        <v>1F</v>
      </c>
      <c r="C7" s="31">
        <f>'4CO와이드(실측)'!C7+CO4와이드MH더함-IF(AND(소장="추영덕",AD7=0),1.2)</f>
        <v>349.2</v>
      </c>
      <c r="D7" s="31">
        <f>'4CO와이드(실측)'!D7+CO4와이드MH더함-IF(AND(소장="추영덕",AD7=0),1.2)</f>
        <v>349.2</v>
      </c>
      <c r="E7" s="31">
        <f>'4CO와이드(실측)'!E7-CO4와이드OP/2</f>
        <v>399</v>
      </c>
      <c r="F7" s="31">
        <f>'4CO와이드(실측)'!F7</f>
        <v>800</v>
      </c>
      <c r="G7" s="31">
        <f>'4CO와이드(실측)'!G7-CO4와이드OP/2</f>
        <v>399</v>
      </c>
      <c r="H7" s="31">
        <f>'4CO와이드(실측)'!H7-CO4와이드R</f>
        <v>1598</v>
      </c>
      <c r="I7" s="50">
        <f>'4CO와이드(실측)'!I7+CO4와이드JBJD키움치수+IF(BN7=1,AH7,0)</f>
        <v>412</v>
      </c>
      <c r="J7" s="50">
        <f>'4CO와이드(실측)'!J7+CO4와이드JBJD키움치수+IF(BN7=1,MAX(AH7,AJ7),0)</f>
        <v>456</v>
      </c>
      <c r="K7" s="50">
        <f>'4CO와이드(실측)'!K7+CO4와이드JBJD키움치수+IF(BN7=1,AJ7,0)</f>
        <v>410</v>
      </c>
      <c r="L7" s="50">
        <f>'4CO와이드(실측)'!L7+MAX(AX7,AY7)+CO4와이드JBJD키움치수+IF(BN7=1,AH7,0)</f>
        <v>428</v>
      </c>
      <c r="M7" s="50">
        <f>'4CO와이드(실측)'!L7+MAX(AX7,AY7)+CO4와이드JBJD키움치수+IF(BN7=1,AI7,0)-IF(CO4와이드JB하부늘치=1,'4CO와이드(실측)'!AB7-'4CO와이드(실측)'!AC7,0)</f>
        <v>424</v>
      </c>
      <c r="N7" s="50">
        <f>'4CO와이드(실측)'!M7+MAX(AX7,AY7)+CO4와이드JBJD키움치수+IF(BN7=1,AJ7,0)</f>
        <v>426</v>
      </c>
      <c r="O7" s="50">
        <f>'4CO와이드(실측)'!M7+MAX(AX7,AY7)+CO4와이드JBJD키움치수+IF(BN7=1,AK7,0)-IF(CO4와이드JB하부늘치=1,'4CO와이드(실측)'!AD7-'4CO와이드(실측)'!AE7,0)</f>
        <v>424</v>
      </c>
      <c r="P7" s="92">
        <f>IF(BN7=0,J7+AH7-(I7+AH7),J7-I7)</f>
        <v>44</v>
      </c>
      <c r="Q7" s="92">
        <f>IF(BN7=0,J7+AJ7-(K7+AH7),J7-K7)</f>
        <v>46</v>
      </c>
      <c r="R7" s="31">
        <f t="shared" ref="R7:S7" si="0">IF(소장="손상민",0,T7-1.5)</f>
        <v>36.5</v>
      </c>
      <c r="S7" s="31">
        <f t="shared" si="0"/>
        <v>36.5</v>
      </c>
      <c r="T7" s="31">
        <f>IF(X7&lt;9,'4CO와이드(실측)'!N7+1.2,IF(ISNUMBER('4CO와이드(실측)'!N7),'4CO와이드(실측)'!N7+CO4와이드C값,0))</f>
        <v>38</v>
      </c>
      <c r="U7" s="31">
        <f>IF(Y7&lt;9,'4CO와이드(실측)'!O7+1.2,IF(ISNUMBER('4CO와이드(실측)'!O7),'4CO와이드(실측)'!O7+CO4와이드C값,0))</f>
        <v>38</v>
      </c>
      <c r="V7" s="136">
        <f>ROUNDUP(BA7,1)</f>
        <v>16</v>
      </c>
      <c r="W7" s="137">
        <f>ROUNDUP(BB7,1)</f>
        <v>16</v>
      </c>
      <c r="X7" s="31">
        <f>IF(ISNUMBER('4CO와이드(실측)'!R7),'4CO와이드(실측)'!R7+'4CO와이드제작'!AX7+CO4와이드A늘림,0)</f>
        <v>26</v>
      </c>
      <c r="Y7" s="31">
        <f>IF(ISNUMBER('4CO와이드(실측)'!S7),'4CO와이드(실측)'!S7+'4CO와이드제작'!AY7+CO4와이드A늘림,0)</f>
        <v>22</v>
      </c>
      <c r="Z7" s="31">
        <f>'4CO와이드(실측)'!T7-CO4와이드기둥차감</f>
        <v>2296</v>
      </c>
      <c r="AA7" s="31">
        <f>'4CO와이드(실측)'!U7-CO4와이드기둥차감</f>
        <v>2283</v>
      </c>
      <c r="AB7" s="31">
        <f>'4CO와이드(실측)'!V7-CO4와이드기둥차감</f>
        <v>2295</v>
      </c>
      <c r="AC7" s="31">
        <f>'4CO와이드(실측)'!W7-CO4와이드기둥차감</f>
        <v>2288</v>
      </c>
      <c r="AD7" s="31">
        <f>IF(소장&lt;&gt;"손상민",IF(ISNUMBER('4CO와이드(실측)'!X7),'4CO와이드(실측)'!X7+CO4와이드U,0),IF(ISNUMBER('4CO와이드(실측)'!X7),'4CO와이드(실측)'!X7+1.2,0))</f>
        <v>38</v>
      </c>
      <c r="AE7" s="31">
        <f>IF(소장="손상민",MAX(V7,W7)+3.2,IF(ISNUMBER('4CO와이드(실측)'!Y7),'4CO와이드(실측)'!Y7+1.5+'4CO와이드제작'!V7+1,0))</f>
        <v>18.5</v>
      </c>
      <c r="AF7" s="31">
        <f>'4CO와이드(실측)'!Z7+뒷날개치수더함</f>
        <v>30</v>
      </c>
      <c r="AG7" s="31">
        <f>'4CO와이드(실측)'!AA7+뒷날개치수더함</f>
        <v>30</v>
      </c>
      <c r="AH7" s="31">
        <f>'4CO와이드(실측)'!AB7-CO4와이드늘치</f>
        <v>10</v>
      </c>
      <c r="AI7" s="31">
        <f>IF(CO4와이드JB하부늘치=1,AH7,'4CO와이드(실측)'!AC7-CO4와이드늘치)</f>
        <v>10</v>
      </c>
      <c r="AJ7" s="31">
        <f>'4CO와이드(실측)'!AD7-CO4와이드늘치</f>
        <v>8</v>
      </c>
      <c r="AK7" s="31">
        <f>IF(CO4와이드JB하부늘치=1,AJ7,'4CO와이드(실측)'!AE7-CO4와이드늘치)</f>
        <v>8</v>
      </c>
      <c r="AL7" s="31">
        <f xml:space="preserve"> IF(소장&lt;&gt;"손상민",IF('4CO와이드(실측)'!AF7&gt;0,'4CO와이드(실측)'!AF7,C7-1.2),IF('4CO와이드(실측)'!AF7&gt;0,'4CO와이드(실측)'!AF7+1.2,C7) )</f>
        <v>348</v>
      </c>
      <c r="AM7" s="31">
        <f xml:space="preserve"> IF(소장&lt;&gt;"손상민",IF('4CO와이드(실측)'!AG7&gt;0,'4CO와이드(실측)'!AG7,D7-1.2),IF('4CO와이드(실측)'!AG7&gt;0,'4CO와이드(실측)'!AG7+1.2,D7))</f>
        <v>348</v>
      </c>
      <c r="AN7" s="51">
        <f>IF(AE7&gt;0,AE7-MAX(V7,W7),0)</f>
        <v>2.5</v>
      </c>
      <c r="AO7" s="31" t="str">
        <f t="shared" ref="AO7" si="1">BF7&amp;"*"&amp;BG7</f>
        <v>1671*885.7</v>
      </c>
      <c r="AP7" s="31" t="str">
        <f t="shared" ref="AP7" si="2">BI7&amp;"*"&amp;BH7</f>
        <v>2644*517.2</v>
      </c>
      <c r="AQ7" s="31" t="str">
        <f t="shared" ref="AQ7" si="3">BK7&amp;"*"&amp;BJ7</f>
        <v>2643*511.2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115</v>
      </c>
      <c r="AU7" s="31">
        <f>IF('4CO와이드(실측)'!AK7&gt;5,'4CO와이드(실측)'!AK7+뒷날개치수더함,'4CO와이드(실측)'!AK7)</f>
        <v>20</v>
      </c>
      <c r="AV7" s="31">
        <f>'4CO와이드(실측)'!AL7</f>
        <v>10</v>
      </c>
      <c r="AW7" s="31">
        <f>'4CO와이드(실측)'!AM7</f>
        <v>10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0</v>
      </c>
      <c r="BA7" s="21">
        <f>ABS(I7-COS(RADIANS(AZ7))*L7)</f>
        <v>16</v>
      </c>
      <c r="BB7" s="21">
        <f>ABS(K7-COS(RADIANS(AZ7))*N7)</f>
        <v>16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16</v>
      </c>
      <c r="BF7" s="41">
        <f>IF(소장&lt;&gt;"손상민",H7+IF(AD7+AE7&gt;0,R7+S7,0),H7)</f>
        <v>1671</v>
      </c>
      <c r="BG7" s="42">
        <f>MAX(C7,D7)+MAX(I7,J7)+AF7-1.2*$AO$3+IF(BN7=0,MAX(AJ7,AH7),0)+IF(AD7=0,1.2,0)+IF(AE7=0,1.2,0)+IF(소장&lt;&gt;"손상민", AD7+AE7, IF('4CO와이드(실측)'!X7=0,0,2.4))</f>
        <v>885.7</v>
      </c>
      <c r="BH7" s="41">
        <f>X7+T7+MAX(L7,M7)+AG7-1.2*$AQ$3+IF(BN7=0,MAX(AI7,AH7),0)+IF(X7=0,1.2,0)-IF(AW7=90,2.4,0)</f>
        <v>517.20000000000005</v>
      </c>
      <c r="BI7" s="41">
        <f>MAX(Z7,AA7)+AL7</f>
        <v>2644</v>
      </c>
      <c r="BJ7" s="41">
        <f>Y7+U7+MAX(N7,O7)+AG7-1.2*$AQ$3+IF(BN7=0,MAX(AJ7,AK7),0)+IF(Y7=0,1.2,0)-IF(AW7=90,2.4,0)</f>
        <v>511.2</v>
      </c>
      <c r="BK7" s="41">
        <f>MAX(AB7,AC7)+AM7</f>
        <v>2643</v>
      </c>
      <c r="BL7" s="6">
        <f>L7-I7-V7</f>
        <v>0</v>
      </c>
      <c r="BM7" s="43" t="str">
        <f>IF(AND(C7&lt;&gt;D7,AD7&gt;0),"NG","")</f>
        <v/>
      </c>
      <c r="BN7" s="77">
        <f>IF(AND(MIN(AH7,AJ7)&gt;=9.2,H7-(E7+F7+G7)&gt;15),0,1)</f>
        <v>1</v>
      </c>
    </row>
    <row r="8" spans="1:66" ht="25.5" customHeight="1" x14ac:dyDescent="0.3">
      <c r="A8" s="31" t="str">
        <f>'4CO와이드(실측)'!A8</f>
        <v>102-2</v>
      </c>
      <c r="B8" s="31" t="str">
        <f>'4CO와이드(실측)'!B8&amp;"F"</f>
        <v>1F</v>
      </c>
      <c r="C8" s="31">
        <f>'4CO와이드(실측)'!C8+CO4와이드MH더함-IF(AND(소장="추영덕",AD8=0),1.2)</f>
        <v>349.2</v>
      </c>
      <c r="D8" s="31">
        <f>'4CO와이드(실측)'!D8+CO4와이드MH더함-IF(AND(소장="추영덕",AD8=0),1.2)</f>
        <v>349.2</v>
      </c>
      <c r="E8" s="31">
        <f>'4CO와이드(실측)'!E8-CO4와이드OP/2</f>
        <v>399</v>
      </c>
      <c r="F8" s="31">
        <f>'4CO와이드(실측)'!F8</f>
        <v>800</v>
      </c>
      <c r="G8" s="31">
        <f>'4CO와이드(실측)'!G8-CO4와이드OP/2</f>
        <v>399</v>
      </c>
      <c r="H8" s="31">
        <f>'4CO와이드(실측)'!H8-CO4와이드R</f>
        <v>1598</v>
      </c>
      <c r="I8" s="50">
        <f>'4CO와이드(실측)'!I8+CO4와이드JBJD키움치수+IF(BN8=1,AH8,0)</f>
        <v>414</v>
      </c>
      <c r="J8" s="50">
        <f>'4CO와이드(실측)'!J8+CO4와이드JBJD키움치수+IF(BN8=1,MAX(AH8,AJ8),0)</f>
        <v>458</v>
      </c>
      <c r="K8" s="50">
        <f>'4CO와이드(실측)'!K8+CO4와이드JBJD키움치수+IF(BN8=1,AJ8,0)</f>
        <v>413</v>
      </c>
      <c r="L8" s="50">
        <f>'4CO와이드(실측)'!L8+MAX(AX8,AY8)+CO4와이드JBJD키움치수+IF(BN8=1,AH8,0)</f>
        <v>430</v>
      </c>
      <c r="M8" s="50">
        <f>'4CO와이드(실측)'!L8+MAX(AX8,AY8)+CO4와이드JBJD키움치수+IF(BN8=1,AI8,0)-IF(CO4와이드JB하부늘치=1,'4CO와이드(실측)'!AB8-'4CO와이드(실측)'!AC8,0)</f>
        <v>430</v>
      </c>
      <c r="N8" s="50">
        <f>'4CO와이드(실측)'!M8+MAX(AX8,AY8)+CO4와이드JBJD키움치수+IF(BN8=1,AJ8,0)</f>
        <v>429</v>
      </c>
      <c r="O8" s="50">
        <f>'4CO와이드(실측)'!M8+MAX(AX8,AY8)+CO4와이드JBJD키움치수+IF(BN8=1,AK8,0)-IF(CO4와이드JB하부늘치=1,'4CO와이드(실측)'!AD8-'4CO와이드(실측)'!AE8,0)</f>
        <v>429</v>
      </c>
      <c r="P8" s="92">
        <f t="shared" ref="P8:P9" si="4">IF(BN8=0,J8+AH8-(I8+AH8),J8-I8)</f>
        <v>44</v>
      </c>
      <c r="Q8" s="92">
        <f t="shared" ref="Q8:Q9" si="5">IF(BN8=0,J8+AJ8-(K8+AH8),J8-K8)</f>
        <v>45</v>
      </c>
      <c r="R8" s="31">
        <f t="shared" ref="R8:R9" si="6">IF(소장="손상민",0,T8-1.5)</f>
        <v>36.5</v>
      </c>
      <c r="S8" s="31">
        <f t="shared" ref="S8:S9" si="7">IF(소장="손상민",0,U8-1.5)</f>
        <v>36.5</v>
      </c>
      <c r="T8" s="31">
        <f>IF(X8&lt;9,'4CO와이드(실측)'!N8+1.2,IF(ISNUMBER('4CO와이드(실측)'!N8),'4CO와이드(실측)'!N8+CO4와이드C값,0))</f>
        <v>38</v>
      </c>
      <c r="U8" s="31">
        <f>IF(Y8&lt;9,'4CO와이드(실측)'!O8+1.2,IF(ISNUMBER('4CO와이드(실측)'!O8),'4CO와이드(실측)'!O8+CO4와이드C값,0))</f>
        <v>38</v>
      </c>
      <c r="V8" s="136">
        <f t="shared" ref="V8:V9" si="8">ROUNDUP(BA8,1)</f>
        <v>16</v>
      </c>
      <c r="W8" s="137">
        <f t="shared" ref="W8:W9" si="9">ROUNDUP(BB8,1)</f>
        <v>16</v>
      </c>
      <c r="X8" s="31">
        <f>IF(ISNUMBER('4CO와이드(실측)'!R8),'4CO와이드(실측)'!R8+'4CO와이드제작'!AX8+CO4와이드A늘림,0)</f>
        <v>21</v>
      </c>
      <c r="Y8" s="31">
        <f>IF(ISNUMBER('4CO와이드(실측)'!S8),'4CO와이드(실측)'!S8+'4CO와이드제작'!AY8+CO4와이드A늘림,0)</f>
        <v>17</v>
      </c>
      <c r="Z8" s="31">
        <f>'4CO와이드(실측)'!T8-CO4와이드기둥차감</f>
        <v>2299</v>
      </c>
      <c r="AA8" s="31">
        <f>'4CO와이드(실측)'!U8-CO4와이드기둥차감</f>
        <v>2290</v>
      </c>
      <c r="AB8" s="31">
        <f>'4CO와이드(실측)'!V8-CO4와이드기둥차감</f>
        <v>2297</v>
      </c>
      <c r="AC8" s="31">
        <f>'4CO와이드(실측)'!W8-CO4와이드기둥차감</f>
        <v>2290</v>
      </c>
      <c r="AD8" s="31">
        <f>IF(소장&lt;&gt;"손상민",IF(ISNUMBER('4CO와이드(실측)'!X8),'4CO와이드(실측)'!X8+CO4와이드U,0),IF(ISNUMBER('4CO와이드(실측)'!X8),'4CO와이드(실측)'!X8+1.2,0))</f>
        <v>38</v>
      </c>
      <c r="AE8" s="31">
        <f>IF(소장="손상민",MAX(V8,W8)+3.2,IF(ISNUMBER('4CO와이드(실측)'!Y8),'4CO와이드(실측)'!Y8+1.5+'4CO와이드제작'!V8+1,0))</f>
        <v>18.5</v>
      </c>
      <c r="AF8" s="31">
        <f>'4CO와이드(실측)'!Z8+뒷날개치수더함</f>
        <v>30</v>
      </c>
      <c r="AG8" s="31">
        <f>'4CO와이드(실측)'!AA8+뒷날개치수더함</f>
        <v>30</v>
      </c>
      <c r="AH8" s="31">
        <f>'4CO와이드(실측)'!AB8-CO4와이드늘치</f>
        <v>7</v>
      </c>
      <c r="AI8" s="31">
        <f>IF(CO4와이드JB하부늘치=1,AH8,'4CO와이드(실측)'!AC8-CO4와이드늘치)</f>
        <v>7</v>
      </c>
      <c r="AJ8" s="31">
        <f>'4CO와이드(실측)'!AD8-CO4와이드늘치</f>
        <v>6</v>
      </c>
      <c r="AK8" s="31">
        <f>IF(CO4와이드JB하부늘치=1,AJ8,'4CO와이드(실측)'!AE8-CO4와이드늘치)</f>
        <v>6</v>
      </c>
      <c r="AL8" s="31">
        <f xml:space="preserve"> IF(소장&lt;&gt;"손상민",IF('4CO와이드(실측)'!AF8&gt;0,'4CO와이드(실측)'!AF8,C8-1.2),IF('4CO와이드(실측)'!AF8&gt;0,'4CO와이드(실측)'!AF8+1.2,C8) )</f>
        <v>348</v>
      </c>
      <c r="AM8" s="31">
        <f xml:space="preserve"> IF(소장&lt;&gt;"손상민",IF('4CO와이드(실측)'!AG8&gt;0,'4CO와이드(실측)'!AG8,D8-1.2),IF('4CO와이드(실측)'!AG8&gt;0,'4CO와이드(실측)'!AG8+1.2,D8))</f>
        <v>348</v>
      </c>
      <c r="AN8" s="51">
        <f t="shared" ref="AN8:AN9" si="10">IF(AE8&gt;0,AE8-MAX(V8,W8),0)</f>
        <v>2.5</v>
      </c>
      <c r="AO8" s="31" t="str">
        <f t="shared" ref="AO8:AO9" si="11">BF8&amp;"*"&amp;BG8</f>
        <v>1671*887.7</v>
      </c>
      <c r="AP8" s="31" t="str">
        <f t="shared" ref="AP8:AP9" si="12">BI8&amp;"*"&amp;BH8</f>
        <v>2647*514.2</v>
      </c>
      <c r="AQ8" s="31" t="str">
        <f t="shared" ref="AQ8:AQ9" si="13">BK8&amp;"*"&amp;BJ8</f>
        <v>2645*509.2</v>
      </c>
      <c r="AR8" s="31">
        <f>IF('4CO와이드(실측)'!AH8&gt;0,'4CO와이드(실측)'!AH8-'4CO와이드(실측)'!Z8+1.2,0)</f>
        <v>0</v>
      </c>
      <c r="AS8" s="31">
        <f>IF('4CO와이드(실측)'!AI8&gt;0,'4CO와이드(실측)'!AI8-'4CO와이드(실측)'!Z8+1.2,0)</f>
        <v>0</v>
      </c>
      <c r="AT8" s="31">
        <f>'4CO와이드(실측)'!AJ8</f>
        <v>115</v>
      </c>
      <c r="AU8" s="31">
        <f>IF('4CO와이드(실측)'!AK8&gt;5,'4CO와이드(실측)'!AK8+뒷날개치수더함,'4CO와이드(실측)'!AK8)</f>
        <v>20</v>
      </c>
      <c r="AV8" s="31">
        <f>'4CO와이드(실측)'!AL8</f>
        <v>10</v>
      </c>
      <c r="AW8" s="31">
        <f>'4CO와이드(실측)'!AM8</f>
        <v>10</v>
      </c>
      <c r="AX8">
        <f>IF(AND(ISNUMBER('4CO와이드(실측)'!S8),ISNUMBER('4CO와이드(실측)'!R8)),IF(ISNUMBER('4CO와이드(실측)'!R8),IF(9-MIN('4CO와이드(실측)'!R8+CO4와이드A늘림,'4CO와이드(실측)'!S8+CO4와이드A늘림)&lt;0,0,9-MIN('4CO와이드(실측)'!R8+CO4와이드A늘림,'4CO와이드(실측)'!S8+CO4와이드A늘림)),0),IF(ISNUMBER('4CO와이드(실측)'!R8),IF(9-'4CO와이드(실측)'!R8-CO4와이드A늘림&lt;0,0,9-'4CO와이드(실측)'!R8-CO4와이드A늘림),0))</f>
        <v>0</v>
      </c>
      <c r="AY8">
        <f>IF(AND(ISNUMBER('4CO와이드(실측)'!R8),ISNUMBER('4CO와이드(실측)'!S8)),IF(ISNUMBER('4CO와이드(실측)'!S8),IF(9-MIN('4CO와이드(실측)'!S8+CO4와이드A늘림,'4CO와이드(실측)'!R8+CO4와이드A늘림)&lt;0,0,9-MIN('4CO와이드(실측)'!S8+CO4와이드A늘림,'4CO와이드(실측)'!R8+CO4와이드A늘림)),0),IF(ISNUMBER('4CO와이드(실측)'!S8),IF(9-'4CO와이드(실측)'!S8-CO4와이드A늘림&lt;0,0,9-'4CO와이드(실측)'!S8-CO4와이드A늘림),0))</f>
        <v>0</v>
      </c>
      <c r="AZ8" s="20">
        <f t="shared" ref="AZ8:AZ9" si="14">DEGREES(ATAN((H8-(E8+F8+G8))/2/(I8)))</f>
        <v>0</v>
      </c>
      <c r="BA8" s="21">
        <f t="shared" ref="BA8:BA9" si="15">ABS(I8-COS(RADIANS(AZ8))*L8)</f>
        <v>16</v>
      </c>
      <c r="BB8" s="21">
        <f t="shared" ref="BB8:BB9" si="16">ABS(K8-COS(RADIANS(AZ8))*N8)</f>
        <v>16</v>
      </c>
      <c r="BC8" s="21">
        <f>'4CO와이드(실측)'!P8+AX8</f>
        <v>0</v>
      </c>
      <c r="BD8" s="21">
        <f>'4CO와이드(실측)'!Q8+AX8</f>
        <v>0</v>
      </c>
      <c r="BE8" s="20">
        <f t="shared" ref="BE8:BE9" si="17">BA8-MAX(BC8,BD8)</f>
        <v>16</v>
      </c>
      <c r="BF8" s="41">
        <f>IF(소장&lt;&gt;"손상민",H8+IF(AD8+AE8&gt;0,R8+S8,0),H8)</f>
        <v>1671</v>
      </c>
      <c r="BG8" s="42">
        <f>MAX(C8,D8)+MAX(I8,J8)+AF8-1.2*$AO$3+IF(BN8=0,MAX(AJ8,AH8),0)+IF(AD8=0,1.2,0)+IF(AE8=0,1.2,0)+IF(소장&lt;&gt;"손상민", AD8+AE8, IF('4CO와이드(실측)'!X8=0,0,2.4))</f>
        <v>887.7</v>
      </c>
      <c r="BH8" s="41">
        <f t="shared" ref="BH8:BH9" si="18">X8+T8+MAX(L8,M8)+AG8-1.2*$AQ$3+IF(BN8=0,MAX(AI8,AH8),0)+IF(X8=0,1.2,0)-IF(AW8=90,2.4,0)</f>
        <v>514.20000000000005</v>
      </c>
      <c r="BI8" s="41">
        <f t="shared" ref="BI8:BI9" si="19">MAX(Z8,AA8)+AL8</f>
        <v>2647</v>
      </c>
      <c r="BJ8" s="41">
        <f t="shared" ref="BJ8:BJ9" si="20">Y8+U8+MAX(N8,O8)+AG8-1.2*$AQ$3+IF(BN8=0,MAX(AJ8,AK8),0)+IF(Y8=0,1.2,0)-IF(AW8=90,2.4,0)</f>
        <v>509.2</v>
      </c>
      <c r="BK8" s="41">
        <f t="shared" ref="BK8:BK9" si="21">MAX(AB8,AC8)+AM8</f>
        <v>2645</v>
      </c>
      <c r="BL8" s="6">
        <f t="shared" ref="BL8:BL9" si="22">L8-I8-V8</f>
        <v>0</v>
      </c>
      <c r="BM8" s="43" t="str">
        <f t="shared" ref="BM8:BM9" si="23">IF(AND(C8&lt;&gt;D8,AD8&gt;0),"NG","")</f>
        <v/>
      </c>
      <c r="BN8" s="77">
        <f t="shared" ref="BN8:BN9" si="24">IF(AND(MIN(AH8,AJ8)&gt;=9.2,H8-(E8+F8+G8)&gt;15),0,1)</f>
        <v>1</v>
      </c>
    </row>
    <row r="9" spans="1:66" ht="25.5" customHeight="1" x14ac:dyDescent="0.3">
      <c r="A9" s="31" t="str">
        <f>'4CO와이드(실측)'!A9</f>
        <v>103-2</v>
      </c>
      <c r="B9" s="31" t="str">
        <f>'4CO와이드(실측)'!B9&amp;"F"</f>
        <v>1F</v>
      </c>
      <c r="C9" s="31">
        <f>'4CO와이드(실측)'!C9+CO4와이드MH더함-IF(AND(소장="추영덕",AD9=0),1.2)</f>
        <v>349.2</v>
      </c>
      <c r="D9" s="31">
        <f>'4CO와이드(실측)'!D9+CO4와이드MH더함-IF(AND(소장="추영덕",AD9=0),1.2)</f>
        <v>349.2</v>
      </c>
      <c r="E9" s="31">
        <f>'4CO와이드(실측)'!E9-CO4와이드OP/2</f>
        <v>399</v>
      </c>
      <c r="F9" s="31">
        <f>'4CO와이드(실측)'!F9</f>
        <v>800</v>
      </c>
      <c r="G9" s="31">
        <f>'4CO와이드(실측)'!G9-CO4와이드OP/2</f>
        <v>399</v>
      </c>
      <c r="H9" s="31">
        <f>'4CO와이드(실측)'!H9-CO4와이드R</f>
        <v>1598</v>
      </c>
      <c r="I9" s="50">
        <f>'4CO와이드(실측)'!I9+CO4와이드JBJD키움치수+IF(BN9=1,AH9,0)</f>
        <v>468</v>
      </c>
      <c r="J9" s="50">
        <f>'4CO와이드(실측)'!J9+CO4와이드JBJD키움치수+IF(BN9=1,MAX(AH9,AJ9),0)</f>
        <v>512</v>
      </c>
      <c r="K9" s="50">
        <f>'4CO와이드(실측)'!K9+CO4와이드JBJD키움치수+IF(BN9=1,AJ9,0)</f>
        <v>467</v>
      </c>
      <c r="L9" s="50">
        <f>'4CO와이드(실측)'!L9+MAX(AX9,AY9)+CO4와이드JBJD키움치수+IF(BN9=1,AH9,0)</f>
        <v>484</v>
      </c>
      <c r="M9" s="50">
        <f>'4CO와이드(실측)'!L9+MAX(AX9,AY9)+CO4와이드JBJD키움치수+IF(BN9=1,AI9,0)-IF(CO4와이드JB하부늘치=1,'4CO와이드(실측)'!AB9-'4CO와이드(실측)'!AC9,0)</f>
        <v>484</v>
      </c>
      <c r="N9" s="50">
        <f>'4CO와이드(실측)'!M9+MAX(AX9,AY9)+CO4와이드JBJD키움치수+IF(BN9=1,AJ9,0)</f>
        <v>483</v>
      </c>
      <c r="O9" s="50">
        <f>'4CO와이드(실측)'!M9+MAX(AX9,AY9)+CO4와이드JBJD키움치수+IF(BN9=1,AK9,0)-IF(CO4와이드JB하부늘치=1,'4CO와이드(실측)'!AD9-'4CO와이드(실측)'!AE9,0)</f>
        <v>483</v>
      </c>
      <c r="P9" s="92">
        <f t="shared" si="4"/>
        <v>44</v>
      </c>
      <c r="Q9" s="92">
        <f t="shared" si="5"/>
        <v>45</v>
      </c>
      <c r="R9" s="31">
        <f t="shared" si="6"/>
        <v>36.5</v>
      </c>
      <c r="S9" s="31">
        <f t="shared" si="7"/>
        <v>36.5</v>
      </c>
      <c r="T9" s="31">
        <f>IF(X9&lt;9,'4CO와이드(실측)'!N9+1.2,IF(ISNUMBER('4CO와이드(실측)'!N9),'4CO와이드(실측)'!N9+CO4와이드C값,0))</f>
        <v>38</v>
      </c>
      <c r="U9" s="31">
        <f>IF(Y9&lt;9,'4CO와이드(실측)'!O9+1.2,IF(ISNUMBER('4CO와이드(실측)'!O9),'4CO와이드(실측)'!O9+CO4와이드C값,0))</f>
        <v>38</v>
      </c>
      <c r="V9" s="136">
        <f t="shared" si="8"/>
        <v>16</v>
      </c>
      <c r="W9" s="137">
        <f t="shared" si="9"/>
        <v>16</v>
      </c>
      <c r="X9" s="31">
        <f>IF(ISNUMBER('4CO와이드(실측)'!R9),'4CO와이드(실측)'!R9+'4CO와이드제작'!AX9+CO4와이드A늘림,0)</f>
        <v>26</v>
      </c>
      <c r="Y9" s="31">
        <f>IF(ISNUMBER('4CO와이드(실측)'!S9),'4CO와이드(실측)'!S9+'4CO와이드제작'!AY9+CO4와이드A늘림,0)</f>
        <v>26</v>
      </c>
      <c r="Z9" s="31">
        <f>'4CO와이드(실측)'!T9-CO4와이드기둥차감</f>
        <v>2298</v>
      </c>
      <c r="AA9" s="31">
        <f>'4CO와이드(실측)'!U9-CO4와이드기둥차감</f>
        <v>2285</v>
      </c>
      <c r="AB9" s="31">
        <f>'4CO와이드(실측)'!V9-CO4와이드기둥차감</f>
        <v>2290</v>
      </c>
      <c r="AC9" s="31">
        <f>'4CO와이드(실측)'!W9-CO4와이드기둥차감</f>
        <v>2284</v>
      </c>
      <c r="AD9" s="31">
        <f>IF(소장&lt;&gt;"손상민",IF(ISNUMBER('4CO와이드(실측)'!X9),'4CO와이드(실측)'!X9+CO4와이드U,0),IF(ISNUMBER('4CO와이드(실측)'!X9),'4CO와이드(실측)'!X9+1.2,0))</f>
        <v>38</v>
      </c>
      <c r="AE9" s="31">
        <f>IF(소장="손상민",MAX(V9,W9)+3.2,IF(ISNUMBER('4CO와이드(실측)'!Y9),'4CO와이드(실측)'!Y9+1.5+'4CO와이드제작'!V9+1,0))</f>
        <v>18.5</v>
      </c>
      <c r="AF9" s="31">
        <f>'4CO와이드(실측)'!Z9+뒷날개치수더함</f>
        <v>30</v>
      </c>
      <c r="AG9" s="31">
        <f>'4CO와이드(실측)'!AA9+뒷날개치수더함</f>
        <v>30</v>
      </c>
      <c r="AH9" s="31">
        <f>'4CO와이드(실측)'!AB9-CO4와이드늘치</f>
        <v>6</v>
      </c>
      <c r="AI9" s="31">
        <f>IF(CO4와이드JB하부늘치=1,AH9,'4CO와이드(실측)'!AC9-CO4와이드늘치)</f>
        <v>6</v>
      </c>
      <c r="AJ9" s="31">
        <f>'4CO와이드(실측)'!AD9-CO4와이드늘치</f>
        <v>5</v>
      </c>
      <c r="AK9" s="31">
        <f>IF(CO4와이드JB하부늘치=1,AJ9,'4CO와이드(실측)'!AE9-CO4와이드늘치)</f>
        <v>5</v>
      </c>
      <c r="AL9" s="31">
        <f xml:space="preserve"> IF(소장&lt;&gt;"손상민",IF('4CO와이드(실측)'!AF9&gt;0,'4CO와이드(실측)'!AF9,C9-1.2),IF('4CO와이드(실측)'!AF9&gt;0,'4CO와이드(실측)'!AF9+1.2,C9) )</f>
        <v>348</v>
      </c>
      <c r="AM9" s="31">
        <f xml:space="preserve"> IF(소장&lt;&gt;"손상민",IF('4CO와이드(실측)'!AG9&gt;0,'4CO와이드(실측)'!AG9,D9-1.2),IF('4CO와이드(실측)'!AG9&gt;0,'4CO와이드(실측)'!AG9+1.2,D9))</f>
        <v>348</v>
      </c>
      <c r="AN9" s="51">
        <f t="shared" si="10"/>
        <v>2.5</v>
      </c>
      <c r="AO9" s="31" t="str">
        <f t="shared" si="11"/>
        <v>1671*941.7</v>
      </c>
      <c r="AP9" s="31" t="str">
        <f t="shared" si="12"/>
        <v>2646*573.2</v>
      </c>
      <c r="AQ9" s="31" t="str">
        <f t="shared" si="13"/>
        <v>2638*572.2</v>
      </c>
      <c r="AR9" s="31">
        <f>IF('4CO와이드(실측)'!AH9&gt;0,'4CO와이드(실측)'!AH9-'4CO와이드(실측)'!Z9+1.2,0)</f>
        <v>0</v>
      </c>
      <c r="AS9" s="31">
        <f>IF('4CO와이드(실측)'!AI9&gt;0,'4CO와이드(실측)'!AI9-'4CO와이드(실측)'!Z9+1.2,0)</f>
        <v>0</v>
      </c>
      <c r="AT9" s="31">
        <f>'4CO와이드(실측)'!AJ9</f>
        <v>115</v>
      </c>
      <c r="AU9" s="31">
        <f>IF('4CO와이드(실측)'!AK9&gt;5,'4CO와이드(실측)'!AK9+뒷날개치수더함,'4CO와이드(실측)'!AK9)</f>
        <v>20</v>
      </c>
      <c r="AV9" s="31">
        <f>'4CO와이드(실측)'!AL9</f>
        <v>10</v>
      </c>
      <c r="AW9" s="31">
        <f>'4CO와이드(실측)'!AM9</f>
        <v>10</v>
      </c>
      <c r="AX9">
        <f>IF(AND(ISNUMBER('4CO와이드(실측)'!S9),ISNUMBER('4CO와이드(실측)'!R9)),IF(ISNUMBER('4CO와이드(실측)'!R9),IF(9-MIN('4CO와이드(실측)'!R9+CO4와이드A늘림,'4CO와이드(실측)'!S9+CO4와이드A늘림)&lt;0,0,9-MIN('4CO와이드(실측)'!R9+CO4와이드A늘림,'4CO와이드(실측)'!S9+CO4와이드A늘림)),0),IF(ISNUMBER('4CO와이드(실측)'!R9),IF(9-'4CO와이드(실측)'!R9-CO4와이드A늘림&lt;0,0,9-'4CO와이드(실측)'!R9-CO4와이드A늘림),0))</f>
        <v>0</v>
      </c>
      <c r="AY9">
        <f>IF(AND(ISNUMBER('4CO와이드(실측)'!R9),ISNUMBER('4CO와이드(실측)'!S9)),IF(ISNUMBER('4CO와이드(실측)'!S9),IF(9-MIN('4CO와이드(실측)'!S9+CO4와이드A늘림,'4CO와이드(실측)'!R9+CO4와이드A늘림)&lt;0,0,9-MIN('4CO와이드(실측)'!S9+CO4와이드A늘림,'4CO와이드(실측)'!R9+CO4와이드A늘림)),0),IF(ISNUMBER('4CO와이드(실측)'!S9),IF(9-'4CO와이드(실측)'!S9-CO4와이드A늘림&lt;0,0,9-'4CO와이드(실측)'!S9-CO4와이드A늘림),0))</f>
        <v>0</v>
      </c>
      <c r="AZ9" s="20">
        <f t="shared" si="14"/>
        <v>0</v>
      </c>
      <c r="BA9" s="21">
        <f t="shared" si="15"/>
        <v>16</v>
      </c>
      <c r="BB9" s="21">
        <f t="shared" si="16"/>
        <v>16</v>
      </c>
      <c r="BC9" s="21">
        <f>'4CO와이드(실측)'!P9+AX9</f>
        <v>0</v>
      </c>
      <c r="BD9" s="21">
        <f>'4CO와이드(실측)'!Q9+AX9</f>
        <v>0</v>
      </c>
      <c r="BE9" s="20">
        <f t="shared" si="17"/>
        <v>16</v>
      </c>
      <c r="BF9" s="41">
        <f>IF(소장&lt;&gt;"손상민",H9+IF(AD9+AE9&gt;0,R9+S9,0),H9)</f>
        <v>1671</v>
      </c>
      <c r="BG9" s="42">
        <f>MAX(C9,D9)+MAX(I9,J9)+AF9-1.2*$AO$3+IF(BN9=0,MAX(AJ9,AH9),0)+IF(AD9=0,1.2,0)+IF(AE9=0,1.2,0)+IF(소장&lt;&gt;"손상민", AD9+AE9, IF('4CO와이드(실측)'!X9=0,0,2.4))</f>
        <v>941.7</v>
      </c>
      <c r="BH9" s="41">
        <f t="shared" si="18"/>
        <v>573.20000000000005</v>
      </c>
      <c r="BI9" s="41">
        <f t="shared" si="19"/>
        <v>2646</v>
      </c>
      <c r="BJ9" s="41">
        <f t="shared" si="20"/>
        <v>572.20000000000005</v>
      </c>
      <c r="BK9" s="41">
        <f t="shared" si="21"/>
        <v>2638</v>
      </c>
      <c r="BL9" s="6">
        <f t="shared" si="22"/>
        <v>0</v>
      </c>
      <c r="BM9" s="43" t="str">
        <f t="shared" si="23"/>
        <v/>
      </c>
      <c r="BN9" s="77">
        <f t="shared" si="24"/>
        <v>1</v>
      </c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:AN9">
    <cfRule type="cellIs" dxfId="26" priority="30" operator="greaterThan">
      <formula>3</formula>
    </cfRule>
  </conditionalFormatting>
  <conditionalFormatting sqref="C7:D9 L7:Q9">
    <cfRule type="cellIs" dxfId="25" priority="26" operator="greaterThan">
      <formula>500</formula>
    </cfRule>
  </conditionalFormatting>
  <conditionalFormatting sqref="C7:D9">
    <cfRule type="cellIs" dxfId="24" priority="25" operator="notEqual">
      <formula>$D7</formula>
    </cfRule>
  </conditionalFormatting>
  <conditionalFormatting sqref="D7:D9">
    <cfRule type="cellIs" dxfId="23" priority="24" operator="notEqual">
      <formula>$C7</formula>
    </cfRule>
  </conditionalFormatting>
  <conditionalFormatting sqref="AH7:AK9">
    <cfRule type="expression" dxfId="22" priority="23">
      <formula>$BN7</formula>
    </cfRule>
  </conditionalFormatting>
  <conditionalFormatting sqref="AT7:AW9">
    <cfRule type="cellIs" dxfId="21" priority="10" operator="greaterThan">
      <formula>1.2</formula>
    </cfRule>
  </conditionalFormatting>
  <conditionalFormatting sqref="AT7:AT9">
    <cfRule type="cellIs" dxfId="20" priority="9" operator="greaterThan">
      <formula>0</formula>
    </cfRule>
  </conditionalFormatting>
  <conditionalFormatting sqref="L7:L9">
    <cfRule type="cellIs" dxfId="19" priority="6" operator="notEqual">
      <formula>$M$7</formula>
    </cfRule>
  </conditionalFormatting>
  <conditionalFormatting sqref="M7:M9">
    <cfRule type="cellIs" dxfId="18" priority="5" operator="notEqual">
      <formula>$L$7</formula>
    </cfRule>
  </conditionalFormatting>
  <conditionalFormatting sqref="N7:N9">
    <cfRule type="cellIs" dxfId="17" priority="4" operator="notEqual">
      <formula>$O$7</formula>
    </cfRule>
  </conditionalFormatting>
  <conditionalFormatting sqref="O7:O9">
    <cfRule type="cellIs" priority="3" operator="notEqual">
      <formula>$N$7</formula>
    </cfRule>
  </conditionalFormatting>
  <conditionalFormatting sqref="AD7:AD9">
    <cfRule type="expression" dxfId="16" priority="2">
      <formula>소장="손상민"</formula>
    </cfRule>
  </conditionalFormatting>
  <conditionalFormatting sqref="AE7:AE9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29"/>
  <sheetViews>
    <sheetView zoomScale="85" zoomScaleNormal="85" workbookViewId="0">
      <selection activeCell="G7" sqref="G7:I33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4" t="str">
        <f>정보!H3</f>
        <v>(4CO멍텅구리) 실측서 ( 경기도 부천테크노파크 1단지 4co-2차 ) _추영덕소장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경기도 부천테크노파크 1단지 4co-2차,   (재질) : HL 1.2T</v>
      </c>
      <c r="B3" s="2"/>
      <c r="C3" s="2"/>
      <c r="D3" s="2"/>
      <c r="E3" s="2"/>
      <c r="F3" s="2"/>
      <c r="G3" s="2"/>
      <c r="H3" s="2"/>
      <c r="I3" s="2"/>
      <c r="J3" s="237"/>
      <c r="K3" s="237"/>
      <c r="L3" s="246"/>
      <c r="M3" s="246"/>
      <c r="N3" s="247"/>
      <c r="O3" s="247"/>
      <c r="P3" s="248"/>
      <c r="Q3" s="248"/>
      <c r="R3" s="248"/>
      <c r="S3" s="243" t="s">
        <v>97</v>
      </c>
      <c r="T3" s="243"/>
      <c r="U3" s="244"/>
      <c r="V3" s="244"/>
      <c r="W3" s="245"/>
      <c r="X3" s="245"/>
    </row>
    <row r="4" spans="1:42" ht="33" customHeight="1" x14ac:dyDescent="0.3">
      <c r="A4" s="172" t="str">
        <f>정보!B16</f>
        <v>제작치수 반영 : JB/JD +(0 ),  늘어난치수K -(0),  C + (0),  U +(0), OP1/OP3 - (0), R - (0),  기둥차감 - (4),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9"/>
      <c r="AD4" s="9"/>
      <c r="AE4" s="162" t="s">
        <v>215</v>
      </c>
      <c r="AF4" s="162"/>
      <c r="AG4" s="81" t="s">
        <v>234</v>
      </c>
    </row>
    <row r="5" spans="1:42" ht="25.9" customHeight="1" x14ac:dyDescent="0.3">
      <c r="A5" s="165" t="s">
        <v>0</v>
      </c>
      <c r="B5" s="165" t="s">
        <v>1</v>
      </c>
      <c r="C5" s="165" t="s">
        <v>263</v>
      </c>
      <c r="D5" s="165" t="s">
        <v>264</v>
      </c>
      <c r="E5" s="165" t="s">
        <v>255</v>
      </c>
      <c r="F5" s="165" t="s">
        <v>18</v>
      </c>
      <c r="G5" s="165" t="s">
        <v>4</v>
      </c>
      <c r="H5" s="165" t="s">
        <v>265</v>
      </c>
      <c r="I5" s="165" t="s">
        <v>266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10</v>
      </c>
      <c r="O5" s="165" t="s">
        <v>11</v>
      </c>
      <c r="P5" s="165" t="s">
        <v>14</v>
      </c>
      <c r="Q5" s="165" t="s">
        <v>15</v>
      </c>
      <c r="R5" s="165" t="s">
        <v>16</v>
      </c>
      <c r="S5" s="165" t="s">
        <v>17</v>
      </c>
      <c r="T5" s="165" t="s">
        <v>19</v>
      </c>
      <c r="U5" s="165" t="s">
        <v>20</v>
      </c>
      <c r="V5" s="238" t="s">
        <v>22</v>
      </c>
      <c r="W5" s="238" t="s">
        <v>23</v>
      </c>
      <c r="X5" s="240" t="s">
        <v>21</v>
      </c>
      <c r="Y5" s="241"/>
      <c r="Z5" s="241"/>
      <c r="AA5" s="242"/>
      <c r="AB5" s="166" t="s">
        <v>203</v>
      </c>
      <c r="AC5" s="166"/>
      <c r="AD5" s="166"/>
      <c r="AE5" s="169" t="s">
        <v>212</v>
      </c>
      <c r="AF5" s="170"/>
      <c r="AG5" s="80" t="s">
        <v>231</v>
      </c>
    </row>
    <row r="6" spans="1:42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239"/>
      <c r="W6" s="239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 t="s">
        <v>338</v>
      </c>
      <c r="B7" s="4">
        <v>9</v>
      </c>
      <c r="C7" s="4">
        <v>399</v>
      </c>
      <c r="D7" s="4">
        <v>800</v>
      </c>
      <c r="E7" s="4">
        <v>397</v>
      </c>
      <c r="F7" s="4">
        <v>1596</v>
      </c>
      <c r="G7" s="4">
        <v>338</v>
      </c>
      <c r="H7" s="4">
        <v>382</v>
      </c>
      <c r="I7" s="4">
        <v>338</v>
      </c>
      <c r="J7" s="4">
        <v>338</v>
      </c>
      <c r="K7" s="4">
        <v>338</v>
      </c>
      <c r="L7" s="13">
        <v>40</v>
      </c>
      <c r="M7" s="13">
        <v>40</v>
      </c>
      <c r="N7" s="4">
        <v>16</v>
      </c>
      <c r="O7" s="4">
        <v>19</v>
      </c>
      <c r="P7" s="4">
        <v>2297</v>
      </c>
      <c r="Q7" s="4">
        <v>2292</v>
      </c>
      <c r="R7" s="4">
        <v>2294</v>
      </c>
      <c r="S7" s="4">
        <v>2293</v>
      </c>
      <c r="T7" s="4">
        <v>40</v>
      </c>
      <c r="U7" s="4">
        <v>9</v>
      </c>
      <c r="V7" s="4">
        <v>30</v>
      </c>
      <c r="W7" s="4">
        <v>30</v>
      </c>
      <c r="X7" s="4">
        <v>4</v>
      </c>
      <c r="Y7" s="4">
        <v>4</v>
      </c>
      <c r="Z7" s="4">
        <v>4</v>
      </c>
      <c r="AA7" s="4">
        <v>4</v>
      </c>
      <c r="AB7" s="4">
        <v>20</v>
      </c>
      <c r="AC7" s="4">
        <v>10</v>
      </c>
      <c r="AD7" s="4">
        <v>10</v>
      </c>
      <c r="AE7" s="4">
        <v>34</v>
      </c>
      <c r="AF7" s="4">
        <v>34</v>
      </c>
      <c r="AG7" s="4"/>
      <c r="AH7" s="55"/>
      <c r="AI7" s="3">
        <f t="shared" ref="AI7:AL11" si="0">X7+$AH7</f>
        <v>4</v>
      </c>
      <c r="AJ7" s="3">
        <f t="shared" si="0"/>
        <v>4</v>
      </c>
      <c r="AK7" s="3">
        <f t="shared" si="0"/>
        <v>4</v>
      </c>
      <c r="AL7" s="3">
        <f t="shared" si="0"/>
        <v>4</v>
      </c>
      <c r="AM7" s="3">
        <f>G7-$AH7</f>
        <v>338</v>
      </c>
      <c r="AN7" s="3">
        <f t="shared" ref="AN7:AP11" si="1">I7-$AH7</f>
        <v>338</v>
      </c>
      <c r="AO7" s="3">
        <f t="shared" si="1"/>
        <v>338</v>
      </c>
      <c r="AP7" s="3">
        <f t="shared" si="1"/>
        <v>338</v>
      </c>
    </row>
    <row r="8" spans="1:42" ht="27" customHeight="1" x14ac:dyDescent="0.3">
      <c r="A8" s="4" t="s">
        <v>338</v>
      </c>
      <c r="B8" s="4">
        <v>8</v>
      </c>
      <c r="C8" s="4">
        <v>395</v>
      </c>
      <c r="D8" s="4">
        <v>800</v>
      </c>
      <c r="E8" s="4">
        <v>398</v>
      </c>
      <c r="F8" s="4">
        <v>1595</v>
      </c>
      <c r="G8" s="4">
        <v>338</v>
      </c>
      <c r="H8" s="4">
        <v>382</v>
      </c>
      <c r="I8" s="4">
        <v>338</v>
      </c>
      <c r="J8" s="4">
        <v>338</v>
      </c>
      <c r="K8" s="4">
        <v>338</v>
      </c>
      <c r="L8" s="13">
        <v>40</v>
      </c>
      <c r="M8" s="13">
        <v>40</v>
      </c>
      <c r="N8" s="4">
        <v>16</v>
      </c>
      <c r="O8" s="4">
        <v>19</v>
      </c>
      <c r="P8" s="4">
        <v>2297</v>
      </c>
      <c r="Q8" s="4">
        <v>2291</v>
      </c>
      <c r="R8" s="4">
        <v>2295</v>
      </c>
      <c r="S8" s="4">
        <v>2293</v>
      </c>
      <c r="T8" s="4">
        <v>40</v>
      </c>
      <c r="U8" s="4">
        <v>9</v>
      </c>
      <c r="V8" s="4">
        <v>30</v>
      </c>
      <c r="W8" s="4">
        <v>30</v>
      </c>
      <c r="X8" s="4">
        <v>6</v>
      </c>
      <c r="Y8" s="4">
        <v>4</v>
      </c>
      <c r="Z8" s="4">
        <v>4</v>
      </c>
      <c r="AA8" s="4">
        <v>4</v>
      </c>
      <c r="AB8" s="4">
        <v>20</v>
      </c>
      <c r="AC8" s="4">
        <v>10</v>
      </c>
      <c r="AD8" s="4">
        <v>10</v>
      </c>
      <c r="AE8" s="4">
        <v>34</v>
      </c>
      <c r="AF8" s="4">
        <v>34</v>
      </c>
      <c r="AG8" s="4"/>
      <c r="AH8" s="55"/>
      <c r="AI8" s="3">
        <f t="shared" si="0"/>
        <v>6</v>
      </c>
      <c r="AJ8" s="3">
        <f t="shared" si="0"/>
        <v>4</v>
      </c>
      <c r="AK8" s="3">
        <f t="shared" si="0"/>
        <v>4</v>
      </c>
      <c r="AL8" s="3">
        <f t="shared" si="0"/>
        <v>4</v>
      </c>
      <c r="AM8" s="3">
        <f>G8-$AH8</f>
        <v>338</v>
      </c>
      <c r="AN8" s="3">
        <f t="shared" si="1"/>
        <v>338</v>
      </c>
      <c r="AO8" s="3">
        <f t="shared" si="1"/>
        <v>338</v>
      </c>
      <c r="AP8" s="3">
        <f t="shared" si="1"/>
        <v>338</v>
      </c>
    </row>
    <row r="9" spans="1:42" ht="27" customHeight="1" x14ac:dyDescent="0.3">
      <c r="A9" s="4" t="s">
        <v>338</v>
      </c>
      <c r="B9" s="4">
        <v>7</v>
      </c>
      <c r="C9" s="4">
        <v>398</v>
      </c>
      <c r="D9" s="4">
        <v>800</v>
      </c>
      <c r="E9" s="4">
        <v>398</v>
      </c>
      <c r="F9" s="4">
        <v>1596</v>
      </c>
      <c r="G9" s="4">
        <v>338</v>
      </c>
      <c r="H9" s="4">
        <v>382</v>
      </c>
      <c r="I9" s="4">
        <v>338</v>
      </c>
      <c r="J9" s="4">
        <v>338</v>
      </c>
      <c r="K9" s="4">
        <v>338</v>
      </c>
      <c r="L9" s="13">
        <v>40</v>
      </c>
      <c r="M9" s="13">
        <v>40</v>
      </c>
      <c r="N9" s="4">
        <v>21</v>
      </c>
      <c r="O9" s="4">
        <v>21</v>
      </c>
      <c r="P9" s="4">
        <v>2299</v>
      </c>
      <c r="Q9" s="4">
        <v>2290</v>
      </c>
      <c r="R9" s="4">
        <v>2294</v>
      </c>
      <c r="S9" s="4">
        <v>2294</v>
      </c>
      <c r="T9" s="4">
        <v>40</v>
      </c>
      <c r="U9" s="4">
        <v>9</v>
      </c>
      <c r="V9" s="4">
        <v>30</v>
      </c>
      <c r="W9" s="4">
        <v>30</v>
      </c>
      <c r="X9" s="4">
        <v>4</v>
      </c>
      <c r="Y9" s="4">
        <v>4</v>
      </c>
      <c r="Z9" s="4">
        <v>4</v>
      </c>
      <c r="AA9" s="4">
        <v>4</v>
      </c>
      <c r="AB9" s="4">
        <v>20</v>
      </c>
      <c r="AC9" s="4">
        <v>10</v>
      </c>
      <c r="AD9" s="4">
        <v>10</v>
      </c>
      <c r="AE9" s="4">
        <v>34</v>
      </c>
      <c r="AF9" s="4">
        <v>34</v>
      </c>
      <c r="AG9" s="4"/>
      <c r="AH9" s="55"/>
      <c r="AI9" s="3">
        <f t="shared" si="0"/>
        <v>4</v>
      </c>
      <c r="AJ9" s="3">
        <f t="shared" si="0"/>
        <v>4</v>
      </c>
      <c r="AK9" s="3">
        <f t="shared" si="0"/>
        <v>4</v>
      </c>
      <c r="AL9" s="3">
        <f t="shared" si="0"/>
        <v>4</v>
      </c>
      <c r="AM9" s="3">
        <f>G9-$AH9</f>
        <v>338</v>
      </c>
      <c r="AN9" s="3">
        <f t="shared" si="1"/>
        <v>338</v>
      </c>
      <c r="AO9" s="3">
        <f t="shared" si="1"/>
        <v>338</v>
      </c>
      <c r="AP9" s="3">
        <f t="shared" si="1"/>
        <v>338</v>
      </c>
    </row>
    <row r="10" spans="1:42" ht="27" customHeight="1" x14ac:dyDescent="0.3">
      <c r="A10" s="4" t="s">
        <v>338</v>
      </c>
      <c r="B10" s="4">
        <v>6</v>
      </c>
      <c r="C10" s="4">
        <v>387</v>
      </c>
      <c r="D10" s="4">
        <v>812</v>
      </c>
      <c r="E10" s="4">
        <v>399</v>
      </c>
      <c r="F10" s="4">
        <v>1598</v>
      </c>
      <c r="G10" s="4">
        <v>338</v>
      </c>
      <c r="H10" s="4">
        <v>382</v>
      </c>
      <c r="I10" s="4">
        <v>338</v>
      </c>
      <c r="J10" s="4">
        <v>338</v>
      </c>
      <c r="K10" s="4">
        <v>338</v>
      </c>
      <c r="L10" s="4">
        <v>40</v>
      </c>
      <c r="M10" s="4">
        <v>40</v>
      </c>
      <c r="N10" s="4">
        <v>21</v>
      </c>
      <c r="O10" s="4">
        <v>25</v>
      </c>
      <c r="P10" s="4">
        <v>2300</v>
      </c>
      <c r="Q10" s="4">
        <v>2290</v>
      </c>
      <c r="R10" s="4">
        <v>2300</v>
      </c>
      <c r="S10" s="4">
        <v>2290</v>
      </c>
      <c r="T10" s="4">
        <v>40</v>
      </c>
      <c r="U10" s="4">
        <v>9</v>
      </c>
      <c r="V10" s="4">
        <v>30</v>
      </c>
      <c r="W10" s="4">
        <v>30</v>
      </c>
      <c r="X10" s="4">
        <v>4</v>
      </c>
      <c r="Y10" s="4">
        <v>4</v>
      </c>
      <c r="Z10" s="4">
        <v>4</v>
      </c>
      <c r="AA10" s="4">
        <v>4</v>
      </c>
      <c r="AB10" s="4">
        <v>20</v>
      </c>
      <c r="AC10" s="4">
        <v>10</v>
      </c>
      <c r="AD10" s="4">
        <v>10</v>
      </c>
      <c r="AE10" s="4">
        <v>34</v>
      </c>
      <c r="AF10" s="4">
        <v>34</v>
      </c>
      <c r="AG10" s="4"/>
      <c r="AH10" s="55"/>
      <c r="AI10" s="3">
        <f t="shared" si="0"/>
        <v>4</v>
      </c>
      <c r="AJ10" s="3">
        <f t="shared" si="0"/>
        <v>4</v>
      </c>
      <c r="AK10" s="3">
        <f t="shared" si="0"/>
        <v>4</v>
      </c>
      <c r="AL10" s="3">
        <f t="shared" si="0"/>
        <v>4</v>
      </c>
      <c r="AM10" s="3">
        <f>G10-$AH10</f>
        <v>338</v>
      </c>
      <c r="AN10" s="3">
        <f t="shared" si="1"/>
        <v>338</v>
      </c>
      <c r="AO10" s="3">
        <f t="shared" si="1"/>
        <v>338</v>
      </c>
      <c r="AP10" s="3">
        <f t="shared" si="1"/>
        <v>338</v>
      </c>
    </row>
    <row r="11" spans="1:42" ht="27" customHeight="1" x14ac:dyDescent="0.3">
      <c r="A11" s="4" t="s">
        <v>338</v>
      </c>
      <c r="B11" s="4">
        <v>5</v>
      </c>
      <c r="C11" s="4">
        <v>398</v>
      </c>
      <c r="D11" s="4">
        <v>800</v>
      </c>
      <c r="E11" s="4">
        <v>398</v>
      </c>
      <c r="F11" s="4">
        <v>1597</v>
      </c>
      <c r="G11" s="4">
        <v>318</v>
      </c>
      <c r="H11" s="4">
        <v>362</v>
      </c>
      <c r="I11" s="4">
        <v>318</v>
      </c>
      <c r="J11" s="4">
        <v>318</v>
      </c>
      <c r="K11" s="4">
        <v>318</v>
      </c>
      <c r="L11" s="4">
        <v>40</v>
      </c>
      <c r="M11" s="4">
        <v>40</v>
      </c>
      <c r="N11" s="4">
        <v>16</v>
      </c>
      <c r="O11" s="4">
        <v>15</v>
      </c>
      <c r="P11" s="4">
        <v>2297</v>
      </c>
      <c r="Q11" s="4">
        <v>2290</v>
      </c>
      <c r="R11" s="4">
        <v>2304</v>
      </c>
      <c r="S11" s="4">
        <v>2290</v>
      </c>
      <c r="T11" s="4">
        <v>40</v>
      </c>
      <c r="U11" s="4">
        <v>9</v>
      </c>
      <c r="V11" s="4">
        <v>30</v>
      </c>
      <c r="W11" s="4">
        <v>30</v>
      </c>
      <c r="X11" s="4">
        <v>8</v>
      </c>
      <c r="Y11" s="4">
        <v>6</v>
      </c>
      <c r="Z11" s="4">
        <v>4</v>
      </c>
      <c r="AA11" s="4">
        <v>4</v>
      </c>
      <c r="AB11" s="4">
        <v>20</v>
      </c>
      <c r="AC11" s="4">
        <v>10</v>
      </c>
      <c r="AD11" s="4">
        <v>10</v>
      </c>
      <c r="AE11" s="4">
        <v>34</v>
      </c>
      <c r="AF11" s="4">
        <v>34</v>
      </c>
      <c r="AG11" s="4"/>
      <c r="AH11" s="55"/>
      <c r="AI11" s="3">
        <f t="shared" si="0"/>
        <v>8</v>
      </c>
      <c r="AJ11" s="3">
        <f t="shared" si="0"/>
        <v>6</v>
      </c>
      <c r="AK11" s="3">
        <f t="shared" si="0"/>
        <v>4</v>
      </c>
      <c r="AL11" s="3">
        <f t="shared" si="0"/>
        <v>4</v>
      </c>
      <c r="AM11" s="3">
        <f>G11-$AH11</f>
        <v>318</v>
      </c>
      <c r="AN11" s="3">
        <f t="shared" si="1"/>
        <v>318</v>
      </c>
      <c r="AO11" s="3">
        <f t="shared" si="1"/>
        <v>318</v>
      </c>
      <c r="AP11" s="3">
        <f t="shared" si="1"/>
        <v>318</v>
      </c>
    </row>
    <row r="12" spans="1:42" ht="27" customHeight="1" x14ac:dyDescent="0.3">
      <c r="A12" s="4" t="s">
        <v>338</v>
      </c>
      <c r="B12" s="4">
        <v>4</v>
      </c>
      <c r="C12" s="4">
        <v>398</v>
      </c>
      <c r="D12" s="4">
        <v>800</v>
      </c>
      <c r="E12" s="4">
        <v>399</v>
      </c>
      <c r="F12" s="4">
        <v>1598</v>
      </c>
      <c r="G12" s="4">
        <v>323</v>
      </c>
      <c r="H12" s="4">
        <v>367</v>
      </c>
      <c r="I12" s="4">
        <v>323</v>
      </c>
      <c r="J12" s="4">
        <v>323</v>
      </c>
      <c r="K12" s="4">
        <v>323</v>
      </c>
      <c r="L12" s="4">
        <v>40</v>
      </c>
      <c r="M12" s="4">
        <v>40</v>
      </c>
      <c r="N12" s="4">
        <v>21</v>
      </c>
      <c r="O12" s="4">
        <v>21</v>
      </c>
      <c r="P12" s="4">
        <v>2299</v>
      </c>
      <c r="Q12" s="4">
        <v>2290</v>
      </c>
      <c r="R12" s="4">
        <v>2294</v>
      </c>
      <c r="S12" s="4">
        <v>2290</v>
      </c>
      <c r="T12" s="4">
        <v>40</v>
      </c>
      <c r="U12" s="4">
        <v>9</v>
      </c>
      <c r="V12" s="4">
        <v>30</v>
      </c>
      <c r="W12" s="4">
        <v>30</v>
      </c>
      <c r="X12" s="4">
        <v>6</v>
      </c>
      <c r="Y12" s="4">
        <v>4</v>
      </c>
      <c r="Z12" s="4">
        <v>6</v>
      </c>
      <c r="AA12" s="4">
        <v>4</v>
      </c>
      <c r="AB12" s="4">
        <v>20</v>
      </c>
      <c r="AC12" s="4">
        <v>10</v>
      </c>
      <c r="AD12" s="4">
        <v>10</v>
      </c>
      <c r="AE12" s="4">
        <v>34</v>
      </c>
      <c r="AF12" s="4">
        <v>34</v>
      </c>
      <c r="AG12" s="4"/>
      <c r="AH12" s="55"/>
      <c r="AI12" s="3">
        <f t="shared" ref="AI12:AI75" si="2">X12+$AH12</f>
        <v>6</v>
      </c>
      <c r="AJ12" s="3">
        <f t="shared" ref="AJ12:AJ75" si="3">Y12+$AH12</f>
        <v>4</v>
      </c>
      <c r="AK12" s="3">
        <f t="shared" ref="AK12:AK75" si="4">Z12+$AH12</f>
        <v>6</v>
      </c>
      <c r="AL12" s="3">
        <f t="shared" ref="AL12:AL75" si="5">AA12+$AH12</f>
        <v>4</v>
      </c>
      <c r="AM12" s="3">
        <f t="shared" ref="AM12:AM75" si="6">G12-$AH12</f>
        <v>323</v>
      </c>
      <c r="AN12" s="3">
        <f t="shared" ref="AN12:AN75" si="7">I12-$AH12</f>
        <v>323</v>
      </c>
      <c r="AO12" s="3">
        <f t="shared" ref="AO12:AO75" si="8">J12-$AH12</f>
        <v>323</v>
      </c>
      <c r="AP12" s="3">
        <f t="shared" ref="AP12:AP75" si="9">K12-$AH12</f>
        <v>323</v>
      </c>
    </row>
    <row r="13" spans="1:42" ht="27" customHeight="1" x14ac:dyDescent="0.3">
      <c r="A13" s="4" t="s">
        <v>338</v>
      </c>
      <c r="B13" s="4">
        <v>3</v>
      </c>
      <c r="C13" s="4">
        <v>399</v>
      </c>
      <c r="D13" s="4">
        <v>800</v>
      </c>
      <c r="E13" s="4">
        <v>399</v>
      </c>
      <c r="F13" s="4">
        <v>1598</v>
      </c>
      <c r="G13" s="4">
        <v>338</v>
      </c>
      <c r="H13" s="4">
        <v>382</v>
      </c>
      <c r="I13" s="4">
        <v>338</v>
      </c>
      <c r="J13" s="4">
        <v>338</v>
      </c>
      <c r="K13" s="4">
        <v>338</v>
      </c>
      <c r="L13" s="4">
        <v>45</v>
      </c>
      <c r="M13" s="4">
        <v>45</v>
      </c>
      <c r="N13" s="4">
        <v>24</v>
      </c>
      <c r="O13" s="4">
        <v>24</v>
      </c>
      <c r="P13" s="4">
        <v>2299</v>
      </c>
      <c r="Q13" s="4">
        <v>2290</v>
      </c>
      <c r="R13" s="4">
        <v>2297</v>
      </c>
      <c r="S13" s="4">
        <v>2290</v>
      </c>
      <c r="T13" s="4">
        <v>40</v>
      </c>
      <c r="U13" s="4">
        <v>9</v>
      </c>
      <c r="V13" s="4">
        <v>30</v>
      </c>
      <c r="W13" s="4">
        <v>30</v>
      </c>
      <c r="X13" s="4">
        <v>7</v>
      </c>
      <c r="Y13" s="4">
        <v>4</v>
      </c>
      <c r="Z13" s="4">
        <v>8</v>
      </c>
      <c r="AA13" s="4">
        <v>4</v>
      </c>
      <c r="AB13" s="4">
        <v>20</v>
      </c>
      <c r="AC13" s="4">
        <v>10</v>
      </c>
      <c r="AD13" s="4">
        <v>10</v>
      </c>
      <c r="AE13" s="4">
        <v>34</v>
      </c>
      <c r="AF13" s="4">
        <v>34</v>
      </c>
      <c r="AG13" s="4"/>
      <c r="AH13" s="55"/>
      <c r="AI13" s="3">
        <f t="shared" si="2"/>
        <v>7</v>
      </c>
      <c r="AJ13" s="3">
        <f t="shared" si="3"/>
        <v>4</v>
      </c>
      <c r="AK13" s="3">
        <f t="shared" si="4"/>
        <v>8</v>
      </c>
      <c r="AL13" s="3">
        <f t="shared" si="5"/>
        <v>4</v>
      </c>
      <c r="AM13" s="3">
        <f t="shared" si="6"/>
        <v>338</v>
      </c>
      <c r="AN13" s="3">
        <f t="shared" si="7"/>
        <v>338</v>
      </c>
      <c r="AO13" s="3">
        <f t="shared" si="8"/>
        <v>338</v>
      </c>
      <c r="AP13" s="3">
        <f t="shared" si="9"/>
        <v>338</v>
      </c>
    </row>
    <row r="14" spans="1:42" ht="27" customHeight="1" x14ac:dyDescent="0.3">
      <c r="A14" s="4" t="s">
        <v>338</v>
      </c>
      <c r="B14" s="4">
        <v>2</v>
      </c>
      <c r="C14" s="4">
        <v>397</v>
      </c>
      <c r="D14" s="4">
        <v>800</v>
      </c>
      <c r="E14" s="4">
        <v>398</v>
      </c>
      <c r="F14" s="4">
        <v>1594</v>
      </c>
      <c r="G14" s="4">
        <v>338</v>
      </c>
      <c r="H14" s="4">
        <v>382</v>
      </c>
      <c r="I14" s="4">
        <v>338</v>
      </c>
      <c r="J14" s="4">
        <v>338</v>
      </c>
      <c r="K14" s="4">
        <v>338</v>
      </c>
      <c r="L14" s="4">
        <v>40</v>
      </c>
      <c r="M14" s="4">
        <v>40</v>
      </c>
      <c r="N14" s="4">
        <v>23</v>
      </c>
      <c r="O14" s="4">
        <v>18</v>
      </c>
      <c r="P14" s="4">
        <v>2290</v>
      </c>
      <c r="Q14" s="4">
        <v>2285</v>
      </c>
      <c r="R14" s="4">
        <v>2300</v>
      </c>
      <c r="S14" s="4">
        <v>2295</v>
      </c>
      <c r="T14" s="4">
        <v>40</v>
      </c>
      <c r="U14" s="4">
        <v>9</v>
      </c>
      <c r="V14" s="4">
        <v>30</v>
      </c>
      <c r="W14" s="4">
        <v>30</v>
      </c>
      <c r="X14" s="4">
        <v>6</v>
      </c>
      <c r="Y14" s="4">
        <v>4</v>
      </c>
      <c r="Z14" s="4">
        <v>6</v>
      </c>
      <c r="AA14" s="4">
        <v>6</v>
      </c>
      <c r="AB14" s="4">
        <v>20</v>
      </c>
      <c r="AC14" s="4">
        <v>10</v>
      </c>
      <c r="AD14" s="4">
        <v>10</v>
      </c>
      <c r="AE14" s="4">
        <v>34</v>
      </c>
      <c r="AF14" s="4">
        <v>34</v>
      </c>
      <c r="AG14" s="4"/>
      <c r="AH14" s="55"/>
      <c r="AI14" s="3">
        <f t="shared" si="2"/>
        <v>6</v>
      </c>
      <c r="AJ14" s="3">
        <f t="shared" si="3"/>
        <v>4</v>
      </c>
      <c r="AK14" s="3">
        <f t="shared" si="4"/>
        <v>6</v>
      </c>
      <c r="AL14" s="3">
        <f t="shared" si="5"/>
        <v>6</v>
      </c>
      <c r="AM14" s="3">
        <f t="shared" si="6"/>
        <v>338</v>
      </c>
      <c r="AN14" s="3">
        <f t="shared" si="7"/>
        <v>338</v>
      </c>
      <c r="AO14" s="3">
        <f t="shared" si="8"/>
        <v>338</v>
      </c>
      <c r="AP14" s="3">
        <f t="shared" si="9"/>
        <v>338</v>
      </c>
    </row>
    <row r="15" spans="1:42" ht="27" customHeight="1" x14ac:dyDescent="0.3">
      <c r="A15" s="4" t="s">
        <v>338</v>
      </c>
      <c r="B15" s="4" t="s">
        <v>336</v>
      </c>
      <c r="C15" s="4">
        <v>397</v>
      </c>
      <c r="D15" s="4">
        <v>800</v>
      </c>
      <c r="E15" s="4">
        <v>398</v>
      </c>
      <c r="F15" s="4">
        <v>1596</v>
      </c>
      <c r="G15" s="4">
        <v>338</v>
      </c>
      <c r="H15" s="4">
        <v>382</v>
      </c>
      <c r="I15" s="4">
        <v>338</v>
      </c>
      <c r="J15" s="4">
        <v>338</v>
      </c>
      <c r="K15" s="4">
        <v>338</v>
      </c>
      <c r="L15" s="4">
        <v>40</v>
      </c>
      <c r="M15" s="4">
        <v>40</v>
      </c>
      <c r="N15" s="4">
        <v>24</v>
      </c>
      <c r="O15" s="4">
        <v>19</v>
      </c>
      <c r="P15" s="4">
        <v>2300</v>
      </c>
      <c r="Q15" s="4">
        <v>2294</v>
      </c>
      <c r="R15" s="4">
        <v>2289</v>
      </c>
      <c r="S15" s="4">
        <v>2292</v>
      </c>
      <c r="T15" s="4">
        <v>40</v>
      </c>
      <c r="U15" s="4">
        <v>9</v>
      </c>
      <c r="V15" s="4">
        <v>30</v>
      </c>
      <c r="W15" s="4">
        <v>30</v>
      </c>
      <c r="X15" s="4">
        <v>4</v>
      </c>
      <c r="Y15" s="4">
        <v>4</v>
      </c>
      <c r="Z15" s="4">
        <v>4</v>
      </c>
      <c r="AA15" s="4">
        <v>4</v>
      </c>
      <c r="AB15" s="4">
        <v>20</v>
      </c>
      <c r="AC15" s="4">
        <v>10</v>
      </c>
      <c r="AD15" s="4">
        <v>10</v>
      </c>
      <c r="AE15" s="4">
        <v>34</v>
      </c>
      <c r="AF15" s="4">
        <v>35</v>
      </c>
      <c r="AG15" s="4"/>
      <c r="AH15" s="55"/>
      <c r="AI15" s="3">
        <f t="shared" si="2"/>
        <v>4</v>
      </c>
      <c r="AJ15" s="3">
        <f t="shared" si="3"/>
        <v>4</v>
      </c>
      <c r="AK15" s="3">
        <f t="shared" si="4"/>
        <v>4</v>
      </c>
      <c r="AL15" s="3">
        <f t="shared" si="5"/>
        <v>4</v>
      </c>
      <c r="AM15" s="3">
        <f t="shared" si="6"/>
        <v>338</v>
      </c>
      <c r="AN15" s="3">
        <f t="shared" si="7"/>
        <v>338</v>
      </c>
      <c r="AO15" s="3">
        <f t="shared" si="8"/>
        <v>338</v>
      </c>
      <c r="AP15" s="3">
        <f t="shared" si="9"/>
        <v>338</v>
      </c>
    </row>
    <row r="16" spans="1:42" ht="27" customHeight="1" x14ac:dyDescent="0.3">
      <c r="A16" s="4" t="s">
        <v>339</v>
      </c>
      <c r="B16" s="4">
        <v>9</v>
      </c>
      <c r="C16" s="4">
        <v>403</v>
      </c>
      <c r="D16" s="4">
        <v>800</v>
      </c>
      <c r="E16" s="4">
        <v>400</v>
      </c>
      <c r="F16" s="4">
        <v>1601</v>
      </c>
      <c r="G16" s="4">
        <v>335</v>
      </c>
      <c r="H16" s="4">
        <v>379</v>
      </c>
      <c r="I16" s="4">
        <v>335</v>
      </c>
      <c r="J16" s="4">
        <v>335</v>
      </c>
      <c r="K16" s="4">
        <v>335</v>
      </c>
      <c r="L16" s="4">
        <v>40</v>
      </c>
      <c r="M16" s="4">
        <v>40</v>
      </c>
      <c r="N16" s="4">
        <v>21</v>
      </c>
      <c r="O16" s="4">
        <v>21</v>
      </c>
      <c r="P16" s="4">
        <v>2305</v>
      </c>
      <c r="Q16" s="4">
        <v>2293</v>
      </c>
      <c r="R16" s="4">
        <v>2302</v>
      </c>
      <c r="S16" s="4">
        <v>2294</v>
      </c>
      <c r="T16" s="4">
        <v>40</v>
      </c>
      <c r="U16" s="4">
        <v>9</v>
      </c>
      <c r="V16" s="4">
        <v>30</v>
      </c>
      <c r="W16" s="4">
        <v>30</v>
      </c>
      <c r="X16" s="4">
        <v>6</v>
      </c>
      <c r="Y16" s="4">
        <v>5</v>
      </c>
      <c r="Z16" s="4">
        <v>7</v>
      </c>
      <c r="AA16" s="4">
        <v>6</v>
      </c>
      <c r="AB16" s="4">
        <v>20</v>
      </c>
      <c r="AC16" s="4">
        <v>10</v>
      </c>
      <c r="AD16" s="4">
        <v>10</v>
      </c>
      <c r="AE16" s="4">
        <v>36</v>
      </c>
      <c r="AF16" s="4">
        <v>34</v>
      </c>
      <c r="AG16" s="4"/>
      <c r="AH16" s="55"/>
      <c r="AI16" s="3">
        <f t="shared" si="2"/>
        <v>6</v>
      </c>
      <c r="AJ16" s="3">
        <f t="shared" si="3"/>
        <v>5</v>
      </c>
      <c r="AK16" s="3">
        <f t="shared" si="4"/>
        <v>7</v>
      </c>
      <c r="AL16" s="3">
        <f t="shared" si="5"/>
        <v>6</v>
      </c>
      <c r="AM16" s="3">
        <f t="shared" si="6"/>
        <v>335</v>
      </c>
      <c r="AN16" s="3">
        <f t="shared" si="7"/>
        <v>335</v>
      </c>
      <c r="AO16" s="3">
        <f t="shared" si="8"/>
        <v>335</v>
      </c>
      <c r="AP16" s="3">
        <f t="shared" si="9"/>
        <v>335</v>
      </c>
    </row>
    <row r="17" spans="1:42" ht="27" customHeight="1" x14ac:dyDescent="0.3">
      <c r="A17" s="4" t="s">
        <v>339</v>
      </c>
      <c r="B17" s="4">
        <v>8</v>
      </c>
      <c r="C17" s="4">
        <v>402</v>
      </c>
      <c r="D17" s="4">
        <v>800</v>
      </c>
      <c r="E17" s="4">
        <v>399</v>
      </c>
      <c r="F17" s="4">
        <v>1600</v>
      </c>
      <c r="G17" s="4">
        <v>345</v>
      </c>
      <c r="H17" s="4">
        <v>389</v>
      </c>
      <c r="I17" s="4">
        <v>345</v>
      </c>
      <c r="J17" s="4">
        <v>345</v>
      </c>
      <c r="K17" s="4">
        <v>345</v>
      </c>
      <c r="L17" s="4">
        <v>40</v>
      </c>
      <c r="M17" s="4">
        <v>40</v>
      </c>
      <c r="N17" s="4">
        <v>14</v>
      </c>
      <c r="O17" s="4">
        <v>21</v>
      </c>
      <c r="P17" s="4">
        <v>2099</v>
      </c>
      <c r="Q17" s="4">
        <v>2294</v>
      </c>
      <c r="R17" s="4">
        <v>2299</v>
      </c>
      <c r="S17" s="4">
        <v>2291</v>
      </c>
      <c r="T17" s="4">
        <v>40</v>
      </c>
      <c r="U17" s="4">
        <v>9</v>
      </c>
      <c r="V17" s="4">
        <v>30</v>
      </c>
      <c r="W17" s="4">
        <v>30</v>
      </c>
      <c r="X17" s="4">
        <v>6</v>
      </c>
      <c r="Y17" s="4">
        <v>6</v>
      </c>
      <c r="Z17" s="4">
        <v>5</v>
      </c>
      <c r="AA17" s="4">
        <v>5</v>
      </c>
      <c r="AB17" s="4">
        <v>20</v>
      </c>
      <c r="AC17" s="4">
        <v>10</v>
      </c>
      <c r="AD17" s="4">
        <v>10</v>
      </c>
      <c r="AE17" s="4">
        <v>35</v>
      </c>
      <c r="AF17" s="4">
        <v>34</v>
      </c>
      <c r="AG17" s="4"/>
      <c r="AH17" s="55"/>
      <c r="AI17" s="3">
        <f t="shared" si="2"/>
        <v>6</v>
      </c>
      <c r="AJ17" s="3">
        <f t="shared" si="3"/>
        <v>6</v>
      </c>
      <c r="AK17" s="3">
        <f t="shared" si="4"/>
        <v>5</v>
      </c>
      <c r="AL17" s="3">
        <f t="shared" si="5"/>
        <v>5</v>
      </c>
      <c r="AM17" s="3">
        <f t="shared" si="6"/>
        <v>345</v>
      </c>
      <c r="AN17" s="3">
        <f t="shared" si="7"/>
        <v>345</v>
      </c>
      <c r="AO17" s="3">
        <f t="shared" si="8"/>
        <v>345</v>
      </c>
      <c r="AP17" s="3">
        <f t="shared" si="9"/>
        <v>345</v>
      </c>
    </row>
    <row r="18" spans="1:42" ht="27" customHeight="1" x14ac:dyDescent="0.3">
      <c r="A18" s="4" t="s">
        <v>339</v>
      </c>
      <c r="B18" s="4">
        <v>7</v>
      </c>
      <c r="C18" s="4">
        <v>400</v>
      </c>
      <c r="D18" s="4">
        <v>800</v>
      </c>
      <c r="E18" s="4">
        <v>400</v>
      </c>
      <c r="F18" s="4">
        <v>1600</v>
      </c>
      <c r="G18" s="4">
        <v>350</v>
      </c>
      <c r="H18" s="4">
        <v>394</v>
      </c>
      <c r="I18" s="4">
        <v>350</v>
      </c>
      <c r="J18" s="4">
        <v>350</v>
      </c>
      <c r="K18" s="4">
        <v>350</v>
      </c>
      <c r="L18" s="4">
        <v>40</v>
      </c>
      <c r="M18" s="4">
        <v>40</v>
      </c>
      <c r="N18" s="4">
        <v>16</v>
      </c>
      <c r="O18" s="4">
        <v>17</v>
      </c>
      <c r="P18" s="4">
        <v>2299</v>
      </c>
      <c r="Q18" s="4">
        <v>2294</v>
      </c>
      <c r="R18" s="4">
        <v>2295</v>
      </c>
      <c r="S18" s="4">
        <v>2293</v>
      </c>
      <c r="T18" s="4">
        <v>40</v>
      </c>
      <c r="U18" s="4">
        <v>9</v>
      </c>
      <c r="V18" s="4">
        <v>30</v>
      </c>
      <c r="W18" s="4">
        <v>30</v>
      </c>
      <c r="X18" s="4">
        <v>8</v>
      </c>
      <c r="Y18" s="4">
        <v>6</v>
      </c>
      <c r="Z18" s="4">
        <v>6</v>
      </c>
      <c r="AA18" s="4">
        <v>6</v>
      </c>
      <c r="AB18" s="4">
        <v>20</v>
      </c>
      <c r="AC18" s="4">
        <v>10</v>
      </c>
      <c r="AD18" s="4">
        <v>10</v>
      </c>
      <c r="AE18" s="4">
        <v>43</v>
      </c>
      <c r="AF18" s="4">
        <v>39</v>
      </c>
      <c r="AG18" s="4"/>
      <c r="AH18" s="55"/>
      <c r="AI18" s="3">
        <f t="shared" si="2"/>
        <v>8</v>
      </c>
      <c r="AJ18" s="3">
        <f t="shared" si="3"/>
        <v>6</v>
      </c>
      <c r="AK18" s="3">
        <f t="shared" si="4"/>
        <v>6</v>
      </c>
      <c r="AL18" s="3">
        <f t="shared" si="5"/>
        <v>6</v>
      </c>
      <c r="AM18" s="3">
        <f t="shared" si="6"/>
        <v>350</v>
      </c>
      <c r="AN18" s="3">
        <f t="shared" si="7"/>
        <v>350</v>
      </c>
      <c r="AO18" s="3">
        <f t="shared" si="8"/>
        <v>350</v>
      </c>
      <c r="AP18" s="3">
        <f t="shared" si="9"/>
        <v>350</v>
      </c>
    </row>
    <row r="19" spans="1:42" ht="27" customHeight="1" x14ac:dyDescent="0.3">
      <c r="A19" s="4" t="s">
        <v>339</v>
      </c>
      <c r="B19" s="4">
        <v>6</v>
      </c>
      <c r="C19" s="4">
        <v>400</v>
      </c>
      <c r="D19" s="4">
        <v>800</v>
      </c>
      <c r="E19" s="4">
        <v>399</v>
      </c>
      <c r="F19" s="4">
        <v>1601</v>
      </c>
      <c r="G19" s="4">
        <v>340</v>
      </c>
      <c r="H19" s="4">
        <v>384</v>
      </c>
      <c r="I19" s="4">
        <v>340</v>
      </c>
      <c r="J19" s="4">
        <v>340</v>
      </c>
      <c r="K19" s="4">
        <v>340</v>
      </c>
      <c r="L19" s="4">
        <v>40</v>
      </c>
      <c r="M19" s="4">
        <v>40</v>
      </c>
      <c r="N19" s="4">
        <v>13</v>
      </c>
      <c r="O19" s="4">
        <v>14</v>
      </c>
      <c r="P19" s="4">
        <v>2299</v>
      </c>
      <c r="Q19" s="4">
        <v>2290</v>
      </c>
      <c r="R19" s="4">
        <v>2299</v>
      </c>
      <c r="S19" s="4">
        <v>2293</v>
      </c>
      <c r="T19" s="4">
        <v>40</v>
      </c>
      <c r="U19" s="4">
        <v>9</v>
      </c>
      <c r="V19" s="4">
        <v>30</v>
      </c>
      <c r="W19" s="4">
        <v>30</v>
      </c>
      <c r="X19" s="4">
        <v>8</v>
      </c>
      <c r="Y19" s="4">
        <v>6</v>
      </c>
      <c r="Z19" s="4">
        <v>6</v>
      </c>
      <c r="AA19" s="4">
        <v>9</v>
      </c>
      <c r="AB19" s="4">
        <v>20</v>
      </c>
      <c r="AC19" s="4">
        <v>10</v>
      </c>
      <c r="AD19" s="4">
        <v>10</v>
      </c>
      <c r="AE19" s="4">
        <v>39</v>
      </c>
      <c r="AF19" s="4">
        <v>39</v>
      </c>
      <c r="AG19" s="4"/>
      <c r="AH19" s="55"/>
      <c r="AI19" s="3">
        <f t="shared" si="2"/>
        <v>8</v>
      </c>
      <c r="AJ19" s="3">
        <f t="shared" si="3"/>
        <v>6</v>
      </c>
      <c r="AK19" s="3">
        <f t="shared" si="4"/>
        <v>6</v>
      </c>
      <c r="AL19" s="3">
        <f t="shared" si="5"/>
        <v>9</v>
      </c>
      <c r="AM19" s="3">
        <f t="shared" si="6"/>
        <v>340</v>
      </c>
      <c r="AN19" s="3">
        <f t="shared" si="7"/>
        <v>340</v>
      </c>
      <c r="AO19" s="3">
        <f t="shared" si="8"/>
        <v>340</v>
      </c>
      <c r="AP19" s="3">
        <f t="shared" si="9"/>
        <v>340</v>
      </c>
    </row>
    <row r="20" spans="1:42" ht="27" customHeight="1" x14ac:dyDescent="0.3">
      <c r="A20" s="4" t="s">
        <v>339</v>
      </c>
      <c r="B20" s="4">
        <v>5</v>
      </c>
      <c r="C20" s="4">
        <v>399</v>
      </c>
      <c r="D20" s="4">
        <v>800</v>
      </c>
      <c r="E20" s="4">
        <v>400</v>
      </c>
      <c r="F20" s="4">
        <v>1600</v>
      </c>
      <c r="G20" s="4">
        <v>335</v>
      </c>
      <c r="H20" s="4">
        <v>379</v>
      </c>
      <c r="I20" s="4">
        <v>335</v>
      </c>
      <c r="J20" s="4">
        <v>335</v>
      </c>
      <c r="K20" s="4">
        <v>335</v>
      </c>
      <c r="L20" s="4">
        <v>40</v>
      </c>
      <c r="M20" s="4">
        <v>40</v>
      </c>
      <c r="N20" s="4">
        <v>18</v>
      </c>
      <c r="O20" s="4">
        <v>24</v>
      </c>
      <c r="P20" s="4">
        <v>2309</v>
      </c>
      <c r="Q20" s="4">
        <v>2294</v>
      </c>
      <c r="R20" s="4">
        <v>2301</v>
      </c>
      <c r="S20" s="4">
        <v>2293</v>
      </c>
      <c r="T20" s="4">
        <v>40</v>
      </c>
      <c r="U20" s="4">
        <v>9</v>
      </c>
      <c r="V20" s="4">
        <v>30</v>
      </c>
      <c r="W20" s="4">
        <v>30</v>
      </c>
      <c r="X20" s="4">
        <v>7</v>
      </c>
      <c r="Y20" s="4">
        <v>6</v>
      </c>
      <c r="Z20" s="4">
        <v>6</v>
      </c>
      <c r="AA20" s="4">
        <v>6</v>
      </c>
      <c r="AB20" s="4">
        <v>20</v>
      </c>
      <c r="AC20" s="4">
        <v>10</v>
      </c>
      <c r="AD20" s="4">
        <v>10</v>
      </c>
      <c r="AE20" s="4">
        <v>35</v>
      </c>
      <c r="AF20" s="4">
        <v>35</v>
      </c>
      <c r="AG20" s="4"/>
      <c r="AH20" s="55"/>
      <c r="AI20" s="3">
        <f t="shared" si="2"/>
        <v>7</v>
      </c>
      <c r="AJ20" s="3">
        <f t="shared" si="3"/>
        <v>6</v>
      </c>
      <c r="AK20" s="3">
        <f t="shared" si="4"/>
        <v>6</v>
      </c>
      <c r="AL20" s="3">
        <f t="shared" si="5"/>
        <v>6</v>
      </c>
      <c r="AM20" s="3">
        <f t="shared" si="6"/>
        <v>335</v>
      </c>
      <c r="AN20" s="3">
        <f t="shared" si="7"/>
        <v>335</v>
      </c>
      <c r="AO20" s="3">
        <f t="shared" si="8"/>
        <v>335</v>
      </c>
      <c r="AP20" s="3">
        <f t="shared" si="9"/>
        <v>335</v>
      </c>
    </row>
    <row r="21" spans="1:42" ht="27" customHeight="1" x14ac:dyDescent="0.3">
      <c r="A21" s="4" t="s">
        <v>339</v>
      </c>
      <c r="B21" s="4">
        <v>4</v>
      </c>
      <c r="C21" s="4">
        <v>396</v>
      </c>
      <c r="D21" s="4">
        <v>803</v>
      </c>
      <c r="E21" s="4">
        <v>399</v>
      </c>
      <c r="F21" s="4">
        <v>1601</v>
      </c>
      <c r="G21" s="4">
        <v>333</v>
      </c>
      <c r="H21" s="4">
        <v>377</v>
      </c>
      <c r="I21" s="4">
        <v>333</v>
      </c>
      <c r="J21" s="4">
        <v>333</v>
      </c>
      <c r="K21" s="4">
        <v>333</v>
      </c>
      <c r="L21" s="4">
        <v>40</v>
      </c>
      <c r="M21" s="4">
        <v>40</v>
      </c>
      <c r="N21" s="4">
        <v>19</v>
      </c>
      <c r="O21" s="4">
        <v>28</v>
      </c>
      <c r="P21" s="4">
        <v>2299</v>
      </c>
      <c r="Q21" s="4">
        <v>2294</v>
      </c>
      <c r="R21" s="4">
        <v>2299</v>
      </c>
      <c r="S21" s="4">
        <v>2294</v>
      </c>
      <c r="T21" s="4">
        <v>40</v>
      </c>
      <c r="U21" s="4">
        <v>9</v>
      </c>
      <c r="V21" s="4">
        <v>30</v>
      </c>
      <c r="W21" s="4">
        <v>30</v>
      </c>
      <c r="X21" s="4">
        <v>6</v>
      </c>
      <c r="Y21" s="4">
        <v>6</v>
      </c>
      <c r="Z21" s="4">
        <v>6</v>
      </c>
      <c r="AA21" s="4">
        <v>6</v>
      </c>
      <c r="AB21" s="4">
        <v>20</v>
      </c>
      <c r="AC21" s="4">
        <v>10</v>
      </c>
      <c r="AD21" s="4">
        <v>10</v>
      </c>
      <c r="AE21" s="4">
        <v>34</v>
      </c>
      <c r="AF21" s="4">
        <v>34</v>
      </c>
      <c r="AG21" s="4"/>
      <c r="AH21" s="55"/>
      <c r="AI21" s="3">
        <f t="shared" si="2"/>
        <v>6</v>
      </c>
      <c r="AJ21" s="3">
        <f t="shared" si="3"/>
        <v>6</v>
      </c>
      <c r="AK21" s="3">
        <f t="shared" si="4"/>
        <v>6</v>
      </c>
      <c r="AL21" s="3">
        <f t="shared" si="5"/>
        <v>6</v>
      </c>
      <c r="AM21" s="3">
        <f t="shared" si="6"/>
        <v>333</v>
      </c>
      <c r="AN21" s="3">
        <f t="shared" si="7"/>
        <v>333</v>
      </c>
      <c r="AO21" s="3">
        <f t="shared" si="8"/>
        <v>333</v>
      </c>
      <c r="AP21" s="3">
        <f t="shared" si="9"/>
        <v>333</v>
      </c>
    </row>
    <row r="22" spans="1:42" ht="27" customHeight="1" x14ac:dyDescent="0.3">
      <c r="A22" s="4" t="s">
        <v>339</v>
      </c>
      <c r="B22" s="4">
        <v>3</v>
      </c>
      <c r="C22" s="4">
        <v>402</v>
      </c>
      <c r="D22" s="4">
        <v>800</v>
      </c>
      <c r="E22" s="4">
        <v>400</v>
      </c>
      <c r="F22" s="4">
        <v>1601</v>
      </c>
      <c r="G22" s="4">
        <v>333</v>
      </c>
      <c r="H22" s="4">
        <v>377</v>
      </c>
      <c r="I22" s="4">
        <v>333</v>
      </c>
      <c r="J22" s="4">
        <v>333</v>
      </c>
      <c r="K22" s="4">
        <v>333</v>
      </c>
      <c r="L22" s="4">
        <v>40</v>
      </c>
      <c r="M22" s="4">
        <v>40</v>
      </c>
      <c r="N22" s="4">
        <v>16</v>
      </c>
      <c r="O22" s="4">
        <v>21</v>
      </c>
      <c r="P22" s="4">
        <v>2306</v>
      </c>
      <c r="Q22" s="4">
        <v>2294</v>
      </c>
      <c r="R22" s="4">
        <v>2303</v>
      </c>
      <c r="S22" s="4">
        <v>2291</v>
      </c>
      <c r="T22" s="4">
        <v>40</v>
      </c>
      <c r="U22" s="4">
        <v>9</v>
      </c>
      <c r="V22" s="4">
        <v>30</v>
      </c>
      <c r="W22" s="4">
        <v>30</v>
      </c>
      <c r="X22" s="4">
        <v>6</v>
      </c>
      <c r="Y22" s="4">
        <v>6</v>
      </c>
      <c r="Z22" s="4">
        <v>6</v>
      </c>
      <c r="AA22" s="4">
        <v>6</v>
      </c>
      <c r="AB22" s="4">
        <v>20</v>
      </c>
      <c r="AC22" s="4">
        <v>10</v>
      </c>
      <c r="AD22" s="4">
        <v>10</v>
      </c>
      <c r="AE22" s="4">
        <v>38</v>
      </c>
      <c r="AF22" s="4">
        <v>34</v>
      </c>
      <c r="AG22" s="4"/>
      <c r="AH22" s="55"/>
      <c r="AI22" s="3">
        <f t="shared" si="2"/>
        <v>6</v>
      </c>
      <c r="AJ22" s="3">
        <f t="shared" si="3"/>
        <v>6</v>
      </c>
      <c r="AK22" s="3">
        <f t="shared" si="4"/>
        <v>6</v>
      </c>
      <c r="AL22" s="3">
        <f t="shared" si="5"/>
        <v>6</v>
      </c>
      <c r="AM22" s="3">
        <f t="shared" si="6"/>
        <v>333</v>
      </c>
      <c r="AN22" s="3">
        <f t="shared" si="7"/>
        <v>333</v>
      </c>
      <c r="AO22" s="3">
        <f t="shared" si="8"/>
        <v>333</v>
      </c>
      <c r="AP22" s="3">
        <f t="shared" si="9"/>
        <v>333</v>
      </c>
    </row>
    <row r="23" spans="1:42" ht="27" customHeight="1" x14ac:dyDescent="0.3">
      <c r="A23" s="4" t="s">
        <v>339</v>
      </c>
      <c r="B23" s="4">
        <v>2</v>
      </c>
      <c r="C23" s="4">
        <v>400</v>
      </c>
      <c r="D23" s="4">
        <v>800</v>
      </c>
      <c r="E23" s="4">
        <v>400</v>
      </c>
      <c r="F23" s="4">
        <v>1600</v>
      </c>
      <c r="G23" s="4">
        <v>330</v>
      </c>
      <c r="H23" s="4">
        <v>374</v>
      </c>
      <c r="I23" s="4">
        <v>330</v>
      </c>
      <c r="J23" s="4">
        <v>330</v>
      </c>
      <c r="K23" s="4">
        <v>330</v>
      </c>
      <c r="L23" s="4">
        <v>40</v>
      </c>
      <c r="M23" s="4">
        <v>40</v>
      </c>
      <c r="N23" s="4">
        <v>18</v>
      </c>
      <c r="O23" s="4">
        <v>18</v>
      </c>
      <c r="P23" s="4">
        <v>2300</v>
      </c>
      <c r="Q23" s="4">
        <v>2294</v>
      </c>
      <c r="R23" s="4">
        <v>2299</v>
      </c>
      <c r="S23" s="4">
        <v>2294</v>
      </c>
      <c r="T23" s="4">
        <v>40</v>
      </c>
      <c r="U23" s="4">
        <v>9</v>
      </c>
      <c r="V23" s="4">
        <v>30</v>
      </c>
      <c r="W23" s="4">
        <v>30</v>
      </c>
      <c r="X23" s="4">
        <v>6</v>
      </c>
      <c r="Y23" s="4">
        <v>6</v>
      </c>
      <c r="Z23" s="4">
        <v>6</v>
      </c>
      <c r="AA23" s="4">
        <v>6</v>
      </c>
      <c r="AB23" s="4">
        <v>20</v>
      </c>
      <c r="AC23" s="4">
        <v>10</v>
      </c>
      <c r="AD23" s="4">
        <v>10</v>
      </c>
      <c r="AE23" s="4">
        <v>34</v>
      </c>
      <c r="AF23" s="4">
        <v>35</v>
      </c>
      <c r="AG23" s="4"/>
      <c r="AH23" s="55"/>
      <c r="AI23" s="3">
        <f t="shared" si="2"/>
        <v>6</v>
      </c>
      <c r="AJ23" s="3">
        <f t="shared" si="3"/>
        <v>6</v>
      </c>
      <c r="AK23" s="3">
        <f t="shared" si="4"/>
        <v>6</v>
      </c>
      <c r="AL23" s="3">
        <f t="shared" si="5"/>
        <v>6</v>
      </c>
      <c r="AM23" s="3">
        <f t="shared" si="6"/>
        <v>330</v>
      </c>
      <c r="AN23" s="3">
        <f t="shared" si="7"/>
        <v>330</v>
      </c>
      <c r="AO23" s="3">
        <f t="shared" si="8"/>
        <v>330</v>
      </c>
      <c r="AP23" s="3">
        <f t="shared" si="9"/>
        <v>330</v>
      </c>
    </row>
    <row r="24" spans="1:42" ht="27" customHeight="1" x14ac:dyDescent="0.3">
      <c r="A24" s="4" t="s">
        <v>339</v>
      </c>
      <c r="B24" s="4" t="s">
        <v>336</v>
      </c>
      <c r="C24" s="4">
        <v>399</v>
      </c>
      <c r="D24" s="4">
        <v>800</v>
      </c>
      <c r="E24" s="4">
        <v>399</v>
      </c>
      <c r="F24" s="4">
        <v>1600</v>
      </c>
      <c r="G24" s="4">
        <v>350</v>
      </c>
      <c r="H24" s="4">
        <v>394</v>
      </c>
      <c r="I24" s="4">
        <v>350</v>
      </c>
      <c r="J24" s="4">
        <v>350</v>
      </c>
      <c r="K24" s="4">
        <v>350</v>
      </c>
      <c r="L24" s="4">
        <v>40</v>
      </c>
      <c r="M24" s="4">
        <v>40</v>
      </c>
      <c r="N24" s="4">
        <v>13</v>
      </c>
      <c r="O24" s="4">
        <v>15</v>
      </c>
      <c r="P24" s="4">
        <v>2314</v>
      </c>
      <c r="Q24" s="4">
        <v>2294</v>
      </c>
      <c r="R24" s="4">
        <v>2306</v>
      </c>
      <c r="S24" s="4">
        <v>2295</v>
      </c>
      <c r="T24" s="4">
        <v>40</v>
      </c>
      <c r="U24" s="4">
        <v>9</v>
      </c>
      <c r="V24" s="4">
        <v>30</v>
      </c>
      <c r="W24" s="4">
        <v>30</v>
      </c>
      <c r="X24" s="4">
        <v>6</v>
      </c>
      <c r="Y24" s="4">
        <v>6</v>
      </c>
      <c r="Z24" s="4">
        <v>6</v>
      </c>
      <c r="AA24" s="4">
        <v>6</v>
      </c>
      <c r="AB24" s="4">
        <v>20</v>
      </c>
      <c r="AC24" s="4">
        <v>10</v>
      </c>
      <c r="AD24" s="4">
        <v>10</v>
      </c>
      <c r="AE24" s="4">
        <v>36</v>
      </c>
      <c r="AF24" s="4">
        <v>38</v>
      </c>
      <c r="AG24" s="4"/>
      <c r="AH24" s="55"/>
      <c r="AI24" s="3">
        <f t="shared" si="2"/>
        <v>6</v>
      </c>
      <c r="AJ24" s="3">
        <f t="shared" si="3"/>
        <v>6</v>
      </c>
      <c r="AK24" s="3">
        <f t="shared" si="4"/>
        <v>6</v>
      </c>
      <c r="AL24" s="3">
        <f t="shared" si="5"/>
        <v>6</v>
      </c>
      <c r="AM24" s="3">
        <f t="shared" si="6"/>
        <v>350</v>
      </c>
      <c r="AN24" s="3">
        <f t="shared" si="7"/>
        <v>350</v>
      </c>
      <c r="AO24" s="3">
        <f t="shared" si="8"/>
        <v>350</v>
      </c>
      <c r="AP24" s="3">
        <f t="shared" si="9"/>
        <v>350</v>
      </c>
    </row>
    <row r="25" spans="1:42" ht="27" customHeight="1" x14ac:dyDescent="0.3">
      <c r="A25" s="4" t="s">
        <v>340</v>
      </c>
      <c r="B25" s="4">
        <v>9</v>
      </c>
      <c r="C25" s="4">
        <v>409</v>
      </c>
      <c r="D25" s="4">
        <v>800</v>
      </c>
      <c r="E25" s="4">
        <v>389</v>
      </c>
      <c r="F25" s="4">
        <v>1599</v>
      </c>
      <c r="G25" s="4">
        <v>323</v>
      </c>
      <c r="H25" s="4">
        <v>367</v>
      </c>
      <c r="I25" s="4">
        <v>323</v>
      </c>
      <c r="J25" s="4">
        <v>323</v>
      </c>
      <c r="K25" s="4">
        <v>323</v>
      </c>
      <c r="L25" s="4">
        <v>40</v>
      </c>
      <c r="M25" s="4">
        <v>40</v>
      </c>
      <c r="N25" s="4">
        <v>26</v>
      </c>
      <c r="O25" s="4">
        <v>25</v>
      </c>
      <c r="P25" s="4">
        <v>2299</v>
      </c>
      <c r="Q25" s="4">
        <v>2290</v>
      </c>
      <c r="R25" s="4">
        <v>2294</v>
      </c>
      <c r="S25" s="4">
        <v>2285</v>
      </c>
      <c r="T25" s="4">
        <v>40</v>
      </c>
      <c r="U25" s="4">
        <v>9</v>
      </c>
      <c r="V25" s="4">
        <v>30</v>
      </c>
      <c r="W25" s="4">
        <v>30</v>
      </c>
      <c r="X25" s="4">
        <v>6</v>
      </c>
      <c r="Y25" s="4">
        <v>6</v>
      </c>
      <c r="Z25" s="4">
        <v>6</v>
      </c>
      <c r="AA25" s="4">
        <v>6</v>
      </c>
      <c r="AB25" s="4">
        <v>20</v>
      </c>
      <c r="AC25" s="4">
        <v>10</v>
      </c>
      <c r="AD25" s="4">
        <v>10</v>
      </c>
      <c r="AE25" s="4">
        <v>34</v>
      </c>
      <c r="AF25" s="4">
        <v>34</v>
      </c>
      <c r="AG25" s="4"/>
      <c r="AH25" s="55"/>
      <c r="AI25" s="3">
        <f t="shared" si="2"/>
        <v>6</v>
      </c>
      <c r="AJ25" s="3">
        <f t="shared" si="3"/>
        <v>6</v>
      </c>
      <c r="AK25" s="3">
        <f t="shared" si="4"/>
        <v>6</v>
      </c>
      <c r="AL25" s="3">
        <f t="shared" si="5"/>
        <v>6</v>
      </c>
      <c r="AM25" s="3">
        <f t="shared" si="6"/>
        <v>323</v>
      </c>
      <c r="AN25" s="3">
        <f t="shared" si="7"/>
        <v>323</v>
      </c>
      <c r="AO25" s="3">
        <f t="shared" si="8"/>
        <v>323</v>
      </c>
      <c r="AP25" s="3">
        <f t="shared" si="9"/>
        <v>323</v>
      </c>
    </row>
    <row r="26" spans="1:42" ht="27" customHeight="1" x14ac:dyDescent="0.3">
      <c r="A26" s="4" t="s">
        <v>340</v>
      </c>
      <c r="B26" s="4">
        <v>8</v>
      </c>
      <c r="C26" s="4">
        <v>404</v>
      </c>
      <c r="D26" s="4">
        <v>800</v>
      </c>
      <c r="E26" s="4">
        <v>394</v>
      </c>
      <c r="F26" s="4">
        <v>1598</v>
      </c>
      <c r="G26" s="4">
        <v>325</v>
      </c>
      <c r="H26" s="4">
        <v>369</v>
      </c>
      <c r="I26" s="4">
        <v>325</v>
      </c>
      <c r="J26" s="4">
        <v>325</v>
      </c>
      <c r="K26" s="4">
        <v>325</v>
      </c>
      <c r="L26" s="4">
        <v>40</v>
      </c>
      <c r="M26" s="4">
        <v>40</v>
      </c>
      <c r="N26" s="4">
        <v>21</v>
      </c>
      <c r="O26" s="4">
        <v>19</v>
      </c>
      <c r="P26" s="4">
        <v>2293</v>
      </c>
      <c r="Q26" s="4">
        <v>2289</v>
      </c>
      <c r="R26" s="4">
        <v>2294</v>
      </c>
      <c r="S26" s="4">
        <v>2286</v>
      </c>
      <c r="T26" s="4">
        <v>40</v>
      </c>
      <c r="U26" s="4">
        <v>9</v>
      </c>
      <c r="V26" s="4">
        <v>30</v>
      </c>
      <c r="W26" s="4">
        <v>30</v>
      </c>
      <c r="X26" s="4">
        <v>6</v>
      </c>
      <c r="Y26" s="4">
        <v>6</v>
      </c>
      <c r="Z26" s="4">
        <v>6</v>
      </c>
      <c r="AA26" s="4">
        <v>6</v>
      </c>
      <c r="AB26" s="4">
        <v>20</v>
      </c>
      <c r="AC26" s="4">
        <v>10</v>
      </c>
      <c r="AD26" s="4">
        <v>10</v>
      </c>
      <c r="AE26" s="4">
        <v>34</v>
      </c>
      <c r="AF26" s="4">
        <v>34</v>
      </c>
      <c r="AG26" s="4"/>
      <c r="AH26" s="55"/>
      <c r="AI26" s="3">
        <f t="shared" si="2"/>
        <v>6</v>
      </c>
      <c r="AJ26" s="3">
        <f t="shared" si="3"/>
        <v>6</v>
      </c>
      <c r="AK26" s="3">
        <f t="shared" si="4"/>
        <v>6</v>
      </c>
      <c r="AL26" s="3">
        <f t="shared" si="5"/>
        <v>6</v>
      </c>
      <c r="AM26" s="3">
        <f t="shared" si="6"/>
        <v>325</v>
      </c>
      <c r="AN26" s="3">
        <f t="shared" si="7"/>
        <v>325</v>
      </c>
      <c r="AO26" s="3">
        <f t="shared" si="8"/>
        <v>325</v>
      </c>
      <c r="AP26" s="3">
        <f t="shared" si="9"/>
        <v>325</v>
      </c>
    </row>
    <row r="27" spans="1:42" ht="27" customHeight="1" x14ac:dyDescent="0.3">
      <c r="A27" s="4" t="s">
        <v>340</v>
      </c>
      <c r="B27" s="4">
        <v>7</v>
      </c>
      <c r="C27" s="4">
        <v>404</v>
      </c>
      <c r="D27" s="4">
        <v>800</v>
      </c>
      <c r="E27" s="4">
        <v>394</v>
      </c>
      <c r="F27" s="4">
        <v>1598</v>
      </c>
      <c r="G27" s="4">
        <v>325</v>
      </c>
      <c r="H27" s="4">
        <v>369</v>
      </c>
      <c r="I27" s="4">
        <v>325</v>
      </c>
      <c r="J27" s="4">
        <v>325</v>
      </c>
      <c r="K27" s="4">
        <v>325</v>
      </c>
      <c r="L27" s="4">
        <v>40</v>
      </c>
      <c r="M27" s="4">
        <v>40</v>
      </c>
      <c r="N27" s="4">
        <v>18</v>
      </c>
      <c r="O27" s="4">
        <v>18</v>
      </c>
      <c r="P27" s="4">
        <v>2296</v>
      </c>
      <c r="Q27" s="4">
        <v>2292</v>
      </c>
      <c r="R27" s="4">
        <v>2294</v>
      </c>
      <c r="S27" s="4">
        <v>2290</v>
      </c>
      <c r="T27" s="4">
        <v>40</v>
      </c>
      <c r="U27" s="4">
        <v>9</v>
      </c>
      <c r="V27" s="4">
        <v>30</v>
      </c>
      <c r="W27" s="4">
        <v>30</v>
      </c>
      <c r="X27" s="4">
        <v>6</v>
      </c>
      <c r="Y27" s="4">
        <v>6</v>
      </c>
      <c r="Z27" s="4">
        <v>6</v>
      </c>
      <c r="AA27" s="4">
        <v>6</v>
      </c>
      <c r="AB27" s="4">
        <v>20</v>
      </c>
      <c r="AC27" s="4">
        <v>10</v>
      </c>
      <c r="AD27" s="4">
        <v>10</v>
      </c>
      <c r="AE27" s="4">
        <v>34</v>
      </c>
      <c r="AF27" s="4">
        <v>34</v>
      </c>
      <c r="AG27" s="4"/>
      <c r="AH27" s="55"/>
      <c r="AI27" s="3">
        <f t="shared" si="2"/>
        <v>6</v>
      </c>
      <c r="AJ27" s="3">
        <f t="shared" si="3"/>
        <v>6</v>
      </c>
      <c r="AK27" s="3">
        <f t="shared" si="4"/>
        <v>6</v>
      </c>
      <c r="AL27" s="3">
        <f t="shared" si="5"/>
        <v>6</v>
      </c>
      <c r="AM27" s="3">
        <f t="shared" si="6"/>
        <v>325</v>
      </c>
      <c r="AN27" s="3">
        <f t="shared" si="7"/>
        <v>325</v>
      </c>
      <c r="AO27" s="3">
        <f t="shared" si="8"/>
        <v>325</v>
      </c>
      <c r="AP27" s="3">
        <f t="shared" si="9"/>
        <v>325</v>
      </c>
    </row>
    <row r="28" spans="1:42" ht="27" customHeight="1" x14ac:dyDescent="0.3">
      <c r="A28" s="4" t="s">
        <v>340</v>
      </c>
      <c r="B28" s="4">
        <v>6</v>
      </c>
      <c r="C28" s="4">
        <v>405</v>
      </c>
      <c r="D28" s="4">
        <v>800</v>
      </c>
      <c r="E28" s="4">
        <v>394</v>
      </c>
      <c r="F28" s="4">
        <v>1600</v>
      </c>
      <c r="G28" s="4">
        <v>330</v>
      </c>
      <c r="H28" s="4">
        <v>374</v>
      </c>
      <c r="I28" s="4">
        <v>330</v>
      </c>
      <c r="J28" s="4">
        <v>330</v>
      </c>
      <c r="K28" s="4">
        <v>330</v>
      </c>
      <c r="L28" s="4">
        <v>40</v>
      </c>
      <c r="M28" s="4">
        <v>40</v>
      </c>
      <c r="N28" s="4">
        <v>16</v>
      </c>
      <c r="O28" s="4">
        <v>18</v>
      </c>
      <c r="P28" s="4">
        <v>2296</v>
      </c>
      <c r="Q28" s="4">
        <v>2286</v>
      </c>
      <c r="R28" s="4">
        <v>2300</v>
      </c>
      <c r="S28" s="4">
        <v>2292</v>
      </c>
      <c r="T28" s="4">
        <v>40</v>
      </c>
      <c r="U28" s="4">
        <v>9</v>
      </c>
      <c r="V28" s="4">
        <v>30</v>
      </c>
      <c r="W28" s="4">
        <v>30</v>
      </c>
      <c r="X28" s="4">
        <v>6</v>
      </c>
      <c r="Y28" s="4">
        <v>6</v>
      </c>
      <c r="Z28" s="4">
        <v>6</v>
      </c>
      <c r="AA28" s="4">
        <v>6</v>
      </c>
      <c r="AB28" s="4">
        <v>20</v>
      </c>
      <c r="AC28" s="4">
        <v>10</v>
      </c>
      <c r="AD28" s="4">
        <v>10</v>
      </c>
      <c r="AE28" s="4">
        <v>34</v>
      </c>
      <c r="AF28" s="4">
        <v>34</v>
      </c>
      <c r="AG28" s="4"/>
      <c r="AH28" s="55"/>
      <c r="AI28" s="3">
        <f t="shared" si="2"/>
        <v>6</v>
      </c>
      <c r="AJ28" s="3">
        <f t="shared" si="3"/>
        <v>6</v>
      </c>
      <c r="AK28" s="3">
        <f t="shared" si="4"/>
        <v>6</v>
      </c>
      <c r="AL28" s="3">
        <f t="shared" si="5"/>
        <v>6</v>
      </c>
      <c r="AM28" s="3">
        <f t="shared" si="6"/>
        <v>330</v>
      </c>
      <c r="AN28" s="3">
        <f t="shared" si="7"/>
        <v>330</v>
      </c>
      <c r="AO28" s="3">
        <f t="shared" si="8"/>
        <v>330</v>
      </c>
      <c r="AP28" s="3">
        <f t="shared" si="9"/>
        <v>330</v>
      </c>
    </row>
    <row r="29" spans="1:42" ht="27" customHeight="1" x14ac:dyDescent="0.3">
      <c r="A29" s="4" t="s">
        <v>340</v>
      </c>
      <c r="B29" s="4">
        <v>5</v>
      </c>
      <c r="C29" s="4">
        <v>408</v>
      </c>
      <c r="D29" s="4">
        <v>795</v>
      </c>
      <c r="E29" s="4">
        <v>394</v>
      </c>
      <c r="F29" s="4">
        <v>1599</v>
      </c>
      <c r="G29" s="4">
        <v>328</v>
      </c>
      <c r="H29" s="4">
        <v>372</v>
      </c>
      <c r="I29" s="4">
        <v>328</v>
      </c>
      <c r="J29" s="4">
        <v>328</v>
      </c>
      <c r="K29" s="4">
        <v>328</v>
      </c>
      <c r="L29" s="4">
        <v>40</v>
      </c>
      <c r="M29" s="4">
        <v>40</v>
      </c>
      <c r="N29" s="4">
        <v>23</v>
      </c>
      <c r="O29" s="4">
        <v>20</v>
      </c>
      <c r="P29" s="4">
        <v>2299</v>
      </c>
      <c r="Q29" s="4">
        <v>2291</v>
      </c>
      <c r="R29" s="4">
        <v>2294</v>
      </c>
      <c r="S29" s="4">
        <v>2290</v>
      </c>
      <c r="T29" s="4">
        <v>40</v>
      </c>
      <c r="U29" s="4">
        <v>9</v>
      </c>
      <c r="V29" s="4">
        <v>30</v>
      </c>
      <c r="W29" s="4">
        <v>30</v>
      </c>
      <c r="X29" s="4">
        <v>5</v>
      </c>
      <c r="Y29" s="4">
        <v>5</v>
      </c>
      <c r="Z29" s="4">
        <v>5</v>
      </c>
      <c r="AA29" s="4">
        <v>6</v>
      </c>
      <c r="AB29" s="4">
        <v>20</v>
      </c>
      <c r="AC29" s="4">
        <v>10</v>
      </c>
      <c r="AD29" s="4">
        <v>10</v>
      </c>
      <c r="AE29" s="4">
        <v>34</v>
      </c>
      <c r="AF29" s="4">
        <v>34</v>
      </c>
      <c r="AG29" s="4"/>
      <c r="AH29" s="55"/>
      <c r="AI29" s="3">
        <f t="shared" si="2"/>
        <v>5</v>
      </c>
      <c r="AJ29" s="3">
        <f t="shared" si="3"/>
        <v>5</v>
      </c>
      <c r="AK29" s="3">
        <f t="shared" si="4"/>
        <v>5</v>
      </c>
      <c r="AL29" s="3">
        <f t="shared" si="5"/>
        <v>6</v>
      </c>
      <c r="AM29" s="3">
        <f t="shared" si="6"/>
        <v>328</v>
      </c>
      <c r="AN29" s="3">
        <f t="shared" si="7"/>
        <v>328</v>
      </c>
      <c r="AO29" s="3">
        <f t="shared" si="8"/>
        <v>328</v>
      </c>
      <c r="AP29" s="3">
        <f t="shared" si="9"/>
        <v>328</v>
      </c>
    </row>
    <row r="30" spans="1:42" ht="27" customHeight="1" x14ac:dyDescent="0.3">
      <c r="A30" s="4" t="s">
        <v>340</v>
      </c>
      <c r="B30" s="4">
        <v>4</v>
      </c>
      <c r="C30" s="4">
        <v>404</v>
      </c>
      <c r="D30" s="4">
        <v>800</v>
      </c>
      <c r="E30" s="4">
        <v>394</v>
      </c>
      <c r="F30" s="4">
        <v>1598</v>
      </c>
      <c r="G30" s="4">
        <v>318</v>
      </c>
      <c r="H30" s="4">
        <v>362</v>
      </c>
      <c r="I30" s="4">
        <v>318</v>
      </c>
      <c r="J30" s="4">
        <v>318</v>
      </c>
      <c r="K30" s="4">
        <v>318</v>
      </c>
      <c r="L30" s="4">
        <v>40</v>
      </c>
      <c r="M30" s="4">
        <v>40</v>
      </c>
      <c r="N30" s="4">
        <v>23</v>
      </c>
      <c r="O30" s="4">
        <v>23</v>
      </c>
      <c r="P30" s="4">
        <v>2294</v>
      </c>
      <c r="Q30" s="4">
        <v>2290</v>
      </c>
      <c r="R30" s="4">
        <v>2293</v>
      </c>
      <c r="S30" s="4">
        <v>2290</v>
      </c>
      <c r="T30" s="4">
        <v>40</v>
      </c>
      <c r="U30" s="4">
        <v>9</v>
      </c>
      <c r="V30" s="4">
        <v>30</v>
      </c>
      <c r="W30" s="4">
        <v>30</v>
      </c>
      <c r="X30" s="4">
        <v>5</v>
      </c>
      <c r="Y30" s="4">
        <v>6</v>
      </c>
      <c r="Z30" s="4">
        <v>5</v>
      </c>
      <c r="AA30" s="4">
        <v>6</v>
      </c>
      <c r="AB30" s="4">
        <v>20</v>
      </c>
      <c r="AC30" s="4">
        <v>10</v>
      </c>
      <c r="AD30" s="4">
        <v>10</v>
      </c>
      <c r="AE30" s="4">
        <v>34</v>
      </c>
      <c r="AF30" s="4">
        <v>34</v>
      </c>
      <c r="AG30" s="4"/>
      <c r="AH30" s="55"/>
      <c r="AI30" s="3">
        <f t="shared" si="2"/>
        <v>5</v>
      </c>
      <c r="AJ30" s="3">
        <f t="shared" si="3"/>
        <v>6</v>
      </c>
      <c r="AK30" s="3">
        <f t="shared" si="4"/>
        <v>5</v>
      </c>
      <c r="AL30" s="3">
        <f t="shared" si="5"/>
        <v>6</v>
      </c>
      <c r="AM30" s="3">
        <f t="shared" si="6"/>
        <v>318</v>
      </c>
      <c r="AN30" s="3">
        <f t="shared" si="7"/>
        <v>318</v>
      </c>
      <c r="AO30" s="3">
        <f t="shared" si="8"/>
        <v>318</v>
      </c>
      <c r="AP30" s="3">
        <f t="shared" si="9"/>
        <v>318</v>
      </c>
    </row>
    <row r="31" spans="1:42" ht="27" customHeight="1" x14ac:dyDescent="0.3">
      <c r="A31" s="4" t="s">
        <v>340</v>
      </c>
      <c r="B31" s="4">
        <v>3</v>
      </c>
      <c r="C31" s="4">
        <v>404</v>
      </c>
      <c r="D31" s="4">
        <v>800</v>
      </c>
      <c r="E31" s="4">
        <v>394</v>
      </c>
      <c r="F31" s="4">
        <v>1598</v>
      </c>
      <c r="G31" s="4">
        <v>328</v>
      </c>
      <c r="H31" s="4">
        <v>372</v>
      </c>
      <c r="I31" s="4">
        <v>328</v>
      </c>
      <c r="J31" s="4">
        <v>328</v>
      </c>
      <c r="K31" s="4">
        <v>328</v>
      </c>
      <c r="L31" s="4">
        <v>40</v>
      </c>
      <c r="M31" s="4">
        <v>40</v>
      </c>
      <c r="N31" s="4">
        <v>21</v>
      </c>
      <c r="O31" s="4">
        <v>21</v>
      </c>
      <c r="P31" s="4">
        <v>2285</v>
      </c>
      <c r="Q31" s="4">
        <v>2290</v>
      </c>
      <c r="R31" s="4">
        <v>2294</v>
      </c>
      <c r="S31" s="4">
        <v>2290</v>
      </c>
      <c r="T31" s="4">
        <v>40</v>
      </c>
      <c r="U31" s="4">
        <v>9</v>
      </c>
      <c r="V31" s="4">
        <v>30</v>
      </c>
      <c r="W31" s="4">
        <v>30</v>
      </c>
      <c r="X31" s="4">
        <v>6</v>
      </c>
      <c r="Y31" s="4">
        <v>6</v>
      </c>
      <c r="Z31" s="4">
        <v>5</v>
      </c>
      <c r="AA31" s="4">
        <v>6</v>
      </c>
      <c r="AB31" s="4">
        <v>20</v>
      </c>
      <c r="AC31" s="4">
        <v>10</v>
      </c>
      <c r="AD31" s="4">
        <v>10</v>
      </c>
      <c r="AE31" s="4">
        <v>34</v>
      </c>
      <c r="AF31" s="4">
        <v>34</v>
      </c>
      <c r="AG31" s="4"/>
      <c r="AH31" s="55"/>
      <c r="AI31" s="3">
        <f t="shared" si="2"/>
        <v>6</v>
      </c>
      <c r="AJ31" s="3">
        <f t="shared" si="3"/>
        <v>6</v>
      </c>
      <c r="AK31" s="3">
        <f t="shared" si="4"/>
        <v>5</v>
      </c>
      <c r="AL31" s="3">
        <f t="shared" si="5"/>
        <v>6</v>
      </c>
      <c r="AM31" s="3">
        <f t="shared" si="6"/>
        <v>328</v>
      </c>
      <c r="AN31" s="3">
        <f t="shared" si="7"/>
        <v>328</v>
      </c>
      <c r="AO31" s="3">
        <f t="shared" si="8"/>
        <v>328</v>
      </c>
      <c r="AP31" s="3">
        <f t="shared" si="9"/>
        <v>328</v>
      </c>
    </row>
    <row r="32" spans="1:42" ht="27" customHeight="1" x14ac:dyDescent="0.3">
      <c r="A32" s="4" t="s">
        <v>340</v>
      </c>
      <c r="B32" s="4">
        <v>2</v>
      </c>
      <c r="C32" s="4">
        <v>404</v>
      </c>
      <c r="D32" s="4">
        <v>800</v>
      </c>
      <c r="E32" s="4">
        <v>394</v>
      </c>
      <c r="F32" s="4">
        <v>1599</v>
      </c>
      <c r="G32" s="4">
        <v>318</v>
      </c>
      <c r="H32" s="4">
        <v>362</v>
      </c>
      <c r="I32" s="4">
        <v>318</v>
      </c>
      <c r="J32" s="4">
        <v>318</v>
      </c>
      <c r="K32" s="4">
        <v>318</v>
      </c>
      <c r="L32" s="4">
        <v>40</v>
      </c>
      <c r="M32" s="4">
        <v>40</v>
      </c>
      <c r="N32" s="4">
        <v>14</v>
      </c>
      <c r="O32" s="4">
        <v>16</v>
      </c>
      <c r="P32" s="4">
        <v>2299</v>
      </c>
      <c r="Q32" s="4">
        <v>2294</v>
      </c>
      <c r="R32" s="4">
        <v>2294</v>
      </c>
      <c r="S32" s="4">
        <v>2290</v>
      </c>
      <c r="T32" s="4">
        <v>40</v>
      </c>
      <c r="U32" s="4">
        <v>9</v>
      </c>
      <c r="V32" s="4">
        <v>30</v>
      </c>
      <c r="W32" s="4">
        <v>30</v>
      </c>
      <c r="X32" s="4">
        <v>6</v>
      </c>
      <c r="Y32" s="4">
        <v>6</v>
      </c>
      <c r="Z32" s="4">
        <v>6</v>
      </c>
      <c r="AA32" s="4">
        <v>6</v>
      </c>
      <c r="AB32" s="4">
        <v>20</v>
      </c>
      <c r="AC32" s="4">
        <v>10</v>
      </c>
      <c r="AD32" s="4">
        <v>10</v>
      </c>
      <c r="AE32" s="4">
        <v>34</v>
      </c>
      <c r="AF32" s="4">
        <v>34</v>
      </c>
      <c r="AG32" s="4"/>
      <c r="AH32" s="55"/>
      <c r="AI32" s="3">
        <f t="shared" si="2"/>
        <v>6</v>
      </c>
      <c r="AJ32" s="3">
        <f t="shared" si="3"/>
        <v>6</v>
      </c>
      <c r="AK32" s="3">
        <f t="shared" si="4"/>
        <v>6</v>
      </c>
      <c r="AL32" s="3">
        <f t="shared" si="5"/>
        <v>6</v>
      </c>
      <c r="AM32" s="3">
        <f t="shared" si="6"/>
        <v>318</v>
      </c>
      <c r="AN32" s="3">
        <f t="shared" si="7"/>
        <v>318</v>
      </c>
      <c r="AO32" s="3">
        <f t="shared" si="8"/>
        <v>318</v>
      </c>
      <c r="AP32" s="3">
        <f t="shared" si="9"/>
        <v>318</v>
      </c>
    </row>
    <row r="33" spans="1:42" ht="27" customHeight="1" x14ac:dyDescent="0.3">
      <c r="A33" s="4" t="s">
        <v>340</v>
      </c>
      <c r="B33" s="4" t="s">
        <v>336</v>
      </c>
      <c r="C33" s="4">
        <v>409</v>
      </c>
      <c r="D33" s="4">
        <v>795</v>
      </c>
      <c r="E33" s="4">
        <v>394</v>
      </c>
      <c r="F33" s="4">
        <v>1598</v>
      </c>
      <c r="G33" s="4">
        <v>325</v>
      </c>
      <c r="H33" s="4">
        <v>369</v>
      </c>
      <c r="I33" s="4">
        <v>325</v>
      </c>
      <c r="J33" s="4">
        <v>325</v>
      </c>
      <c r="K33" s="4">
        <v>325</v>
      </c>
      <c r="L33" s="4">
        <v>40</v>
      </c>
      <c r="M33" s="4">
        <v>40</v>
      </c>
      <c r="N33" s="4">
        <v>13</v>
      </c>
      <c r="O33" s="4">
        <v>13</v>
      </c>
      <c r="P33" s="4">
        <v>2299</v>
      </c>
      <c r="Q33" s="4">
        <v>2289</v>
      </c>
      <c r="R33" s="4">
        <v>2298</v>
      </c>
      <c r="S33" s="4">
        <v>2290</v>
      </c>
      <c r="T33" s="4">
        <v>40</v>
      </c>
      <c r="U33" s="4">
        <v>9</v>
      </c>
      <c r="V33" s="4">
        <v>30</v>
      </c>
      <c r="W33" s="4">
        <v>30</v>
      </c>
      <c r="X33" s="4">
        <v>5</v>
      </c>
      <c r="Y33" s="4">
        <v>6</v>
      </c>
      <c r="Z33" s="4">
        <v>5</v>
      </c>
      <c r="AA33" s="4">
        <v>6</v>
      </c>
      <c r="AB33" s="4">
        <v>20</v>
      </c>
      <c r="AC33" s="4">
        <v>10</v>
      </c>
      <c r="AD33" s="4">
        <v>10</v>
      </c>
      <c r="AE33" s="4">
        <v>34</v>
      </c>
      <c r="AF33" s="4">
        <v>34</v>
      </c>
      <c r="AG33" s="4"/>
      <c r="AH33" s="55"/>
      <c r="AI33" s="3">
        <f t="shared" si="2"/>
        <v>5</v>
      </c>
      <c r="AJ33" s="3">
        <f t="shared" si="3"/>
        <v>6</v>
      </c>
      <c r="AK33" s="3">
        <f t="shared" si="4"/>
        <v>5</v>
      </c>
      <c r="AL33" s="3">
        <f t="shared" si="5"/>
        <v>6</v>
      </c>
      <c r="AM33" s="3">
        <f t="shared" si="6"/>
        <v>325</v>
      </c>
      <c r="AN33" s="3">
        <f t="shared" si="7"/>
        <v>325</v>
      </c>
      <c r="AO33" s="3">
        <f t="shared" si="8"/>
        <v>325</v>
      </c>
      <c r="AP33" s="3">
        <f t="shared" si="9"/>
        <v>325</v>
      </c>
    </row>
    <row r="34" spans="1:42" ht="27" customHeight="1" x14ac:dyDescent="0.3">
      <c r="A34" s="4"/>
      <c r="B34" s="4"/>
      <c r="C34" s="4"/>
      <c r="D34" s="4"/>
      <c r="E34" s="4"/>
      <c r="F34" s="4"/>
      <c r="G34" s="4"/>
      <c r="H34" s="4">
        <f t="shared" ref="H8:H71" si="10">G34+44</f>
        <v>44</v>
      </c>
      <c r="I34" s="4"/>
      <c r="J34" s="4">
        <v>3</v>
      </c>
      <c r="K34" s="4">
        <v>3</v>
      </c>
      <c r="L34" s="4"/>
      <c r="M34" s="4"/>
      <c r="N34" s="4"/>
      <c r="O34" s="4"/>
      <c r="P34" s="4"/>
      <c r="Q34" s="4"/>
      <c r="R34" s="4"/>
      <c r="S34" s="4"/>
      <c r="T34" s="4"/>
      <c r="U34" s="4"/>
      <c r="V34" s="4">
        <v>30</v>
      </c>
      <c r="W34" s="4">
        <v>30</v>
      </c>
      <c r="X34" s="4"/>
      <c r="Y34" s="4"/>
      <c r="Z34" s="4"/>
      <c r="AA34" s="4"/>
      <c r="AB34" s="4">
        <v>20</v>
      </c>
      <c r="AC34" s="4">
        <v>10</v>
      </c>
      <c r="AD34" s="4">
        <v>10</v>
      </c>
      <c r="AE34" s="4"/>
      <c r="AF34" s="4"/>
      <c r="AG34" s="4"/>
      <c r="AH34" s="55"/>
      <c r="AI34" s="3">
        <f t="shared" si="2"/>
        <v>0</v>
      </c>
      <c r="AJ34" s="3">
        <f t="shared" si="3"/>
        <v>0</v>
      </c>
      <c r="AK34" s="3">
        <f t="shared" si="4"/>
        <v>0</v>
      </c>
      <c r="AL34" s="3">
        <f t="shared" si="5"/>
        <v>0</v>
      </c>
      <c r="AM34" s="3">
        <f t="shared" si="6"/>
        <v>0</v>
      </c>
      <c r="AN34" s="3">
        <f t="shared" si="7"/>
        <v>0</v>
      </c>
      <c r="AO34" s="3">
        <f t="shared" si="8"/>
        <v>3</v>
      </c>
      <c r="AP34" s="3">
        <f t="shared" si="9"/>
        <v>3</v>
      </c>
    </row>
    <row r="35" spans="1:42" ht="27" customHeight="1" x14ac:dyDescent="0.3">
      <c r="A35" s="4"/>
      <c r="B35" s="4"/>
      <c r="C35" s="4"/>
      <c r="D35" s="4"/>
      <c r="E35" s="4"/>
      <c r="F35" s="4"/>
      <c r="G35" s="4"/>
      <c r="H35" s="4">
        <f t="shared" si="10"/>
        <v>44</v>
      </c>
      <c r="I35" s="4"/>
      <c r="J35" s="4">
        <v>341</v>
      </c>
      <c r="K35" s="4">
        <v>341</v>
      </c>
      <c r="L35" s="4"/>
      <c r="M35" s="4"/>
      <c r="N35" s="4"/>
      <c r="O35" s="4"/>
      <c r="P35" s="4"/>
      <c r="Q35" s="4"/>
      <c r="R35" s="4"/>
      <c r="S35" s="4"/>
      <c r="T35" s="4"/>
      <c r="U35" s="4"/>
      <c r="V35" s="4">
        <v>30</v>
      </c>
      <c r="W35" s="4">
        <v>30</v>
      </c>
      <c r="X35" s="4"/>
      <c r="Y35" s="4"/>
      <c r="Z35" s="4"/>
      <c r="AA35" s="4"/>
      <c r="AB35" s="4">
        <v>20</v>
      </c>
      <c r="AC35" s="4">
        <v>10</v>
      </c>
      <c r="AD35" s="4">
        <v>10</v>
      </c>
      <c r="AE35" s="4"/>
      <c r="AF35" s="4"/>
      <c r="AG35" s="4"/>
      <c r="AH35" s="55"/>
      <c r="AI35" s="3">
        <f t="shared" si="2"/>
        <v>0</v>
      </c>
      <c r="AJ35" s="3">
        <f t="shared" si="3"/>
        <v>0</v>
      </c>
      <c r="AK35" s="3">
        <f t="shared" si="4"/>
        <v>0</v>
      </c>
      <c r="AL35" s="3">
        <f t="shared" si="5"/>
        <v>0</v>
      </c>
      <c r="AM35" s="3">
        <f t="shared" si="6"/>
        <v>0</v>
      </c>
      <c r="AN35" s="3">
        <f t="shared" si="7"/>
        <v>0</v>
      </c>
      <c r="AO35" s="3">
        <f t="shared" si="8"/>
        <v>341</v>
      </c>
      <c r="AP35" s="3">
        <f t="shared" si="9"/>
        <v>341</v>
      </c>
    </row>
    <row r="36" spans="1:42" ht="27" customHeight="1" x14ac:dyDescent="0.3">
      <c r="A36" s="4"/>
      <c r="B36" s="4"/>
      <c r="C36" s="4"/>
      <c r="D36" s="4"/>
      <c r="E36" s="4"/>
      <c r="F36" s="4"/>
      <c r="G36" s="4"/>
      <c r="H36" s="4">
        <f t="shared" si="10"/>
        <v>44</v>
      </c>
      <c r="I36" s="4"/>
      <c r="J36" s="4">
        <v>341</v>
      </c>
      <c r="K36" s="4">
        <v>341</v>
      </c>
      <c r="L36" s="4"/>
      <c r="M36" s="4"/>
      <c r="N36" s="4"/>
      <c r="O36" s="4"/>
      <c r="P36" s="4"/>
      <c r="Q36" s="4"/>
      <c r="R36" s="4"/>
      <c r="S36" s="4"/>
      <c r="T36" s="4"/>
      <c r="U36" s="4"/>
      <c r="V36" s="4">
        <v>30</v>
      </c>
      <c r="W36" s="4">
        <v>30</v>
      </c>
      <c r="X36" s="4"/>
      <c r="Y36" s="4"/>
      <c r="Z36" s="4"/>
      <c r="AA36" s="4"/>
      <c r="AB36" s="4">
        <v>20</v>
      </c>
      <c r="AC36" s="4">
        <v>10</v>
      </c>
      <c r="AD36" s="4">
        <v>10</v>
      </c>
      <c r="AE36" s="4"/>
      <c r="AF36" s="4"/>
      <c r="AG36" s="4"/>
      <c r="AH36" s="55"/>
      <c r="AI36" s="3">
        <f t="shared" si="2"/>
        <v>0</v>
      </c>
      <c r="AJ36" s="3">
        <f t="shared" si="3"/>
        <v>0</v>
      </c>
      <c r="AK36" s="3">
        <f t="shared" si="4"/>
        <v>0</v>
      </c>
      <c r="AL36" s="3">
        <f t="shared" si="5"/>
        <v>0</v>
      </c>
      <c r="AM36" s="3">
        <f t="shared" si="6"/>
        <v>0</v>
      </c>
      <c r="AN36" s="3">
        <f t="shared" si="7"/>
        <v>0</v>
      </c>
      <c r="AO36" s="3">
        <f t="shared" si="8"/>
        <v>341</v>
      </c>
      <c r="AP36" s="3">
        <f t="shared" si="9"/>
        <v>341</v>
      </c>
    </row>
    <row r="37" spans="1:42" ht="27" customHeight="1" x14ac:dyDescent="0.3">
      <c r="A37" s="4"/>
      <c r="B37" s="4"/>
      <c r="C37" s="4"/>
      <c r="D37" s="4"/>
      <c r="E37" s="4"/>
      <c r="F37" s="4"/>
      <c r="G37" s="4"/>
      <c r="H37" s="4">
        <f t="shared" si="10"/>
        <v>44</v>
      </c>
      <c r="I37" s="4"/>
      <c r="J37" s="4">
        <v>341</v>
      </c>
      <c r="K37" s="4">
        <v>341</v>
      </c>
      <c r="L37" s="4"/>
      <c r="M37" s="4"/>
      <c r="N37" s="4"/>
      <c r="O37" s="4"/>
      <c r="P37" s="4"/>
      <c r="Q37" s="4"/>
      <c r="R37" s="4"/>
      <c r="S37" s="4"/>
      <c r="T37" s="4"/>
      <c r="U37" s="4"/>
      <c r="V37" s="4">
        <v>30</v>
      </c>
      <c r="W37" s="4">
        <v>30</v>
      </c>
      <c r="X37" s="4"/>
      <c r="Y37" s="4"/>
      <c r="Z37" s="4"/>
      <c r="AA37" s="4"/>
      <c r="AB37" s="4">
        <v>20</v>
      </c>
      <c r="AC37" s="4">
        <v>10</v>
      </c>
      <c r="AD37" s="4">
        <v>10</v>
      </c>
      <c r="AE37" s="4"/>
      <c r="AF37" s="4"/>
      <c r="AG37" s="4"/>
      <c r="AH37" s="55"/>
      <c r="AI37" s="3">
        <f t="shared" si="2"/>
        <v>0</v>
      </c>
      <c r="AJ37" s="3">
        <f t="shared" si="3"/>
        <v>0</v>
      </c>
      <c r="AK37" s="3">
        <f t="shared" si="4"/>
        <v>0</v>
      </c>
      <c r="AL37" s="3">
        <f t="shared" si="5"/>
        <v>0</v>
      </c>
      <c r="AM37" s="3">
        <f t="shared" si="6"/>
        <v>0</v>
      </c>
      <c r="AN37" s="3">
        <f t="shared" si="7"/>
        <v>0</v>
      </c>
      <c r="AO37" s="3">
        <f t="shared" si="8"/>
        <v>341</v>
      </c>
      <c r="AP37" s="3">
        <f t="shared" si="9"/>
        <v>341</v>
      </c>
    </row>
    <row r="38" spans="1:42" ht="27" customHeight="1" x14ac:dyDescent="0.3">
      <c r="A38" s="4"/>
      <c r="B38" s="4"/>
      <c r="C38" s="4"/>
      <c r="D38" s="4"/>
      <c r="E38" s="4"/>
      <c r="F38" s="4"/>
      <c r="G38" s="4"/>
      <c r="H38" s="4">
        <f t="shared" si="10"/>
        <v>44</v>
      </c>
      <c r="I38" s="4"/>
      <c r="J38" s="4">
        <v>341</v>
      </c>
      <c r="K38" s="4">
        <v>341</v>
      </c>
      <c r="L38" s="4"/>
      <c r="M38" s="4"/>
      <c r="N38" s="4"/>
      <c r="O38" s="4"/>
      <c r="P38" s="4"/>
      <c r="Q38" s="4"/>
      <c r="R38" s="4"/>
      <c r="S38" s="4"/>
      <c r="T38" s="4"/>
      <c r="U38" s="4"/>
      <c r="V38" s="4">
        <v>30</v>
      </c>
      <c r="W38" s="4">
        <v>30</v>
      </c>
      <c r="X38" s="4"/>
      <c r="Y38" s="4"/>
      <c r="Z38" s="4"/>
      <c r="AA38" s="4"/>
      <c r="AB38" s="4">
        <v>20</v>
      </c>
      <c r="AC38" s="4">
        <v>10</v>
      </c>
      <c r="AD38" s="4">
        <v>10</v>
      </c>
      <c r="AE38" s="4"/>
      <c r="AF38" s="4"/>
      <c r="AG38" s="4"/>
      <c r="AH38" s="55"/>
      <c r="AI38" s="3">
        <f t="shared" si="2"/>
        <v>0</v>
      </c>
      <c r="AJ38" s="3">
        <f t="shared" si="3"/>
        <v>0</v>
      </c>
      <c r="AK38" s="3">
        <f t="shared" si="4"/>
        <v>0</v>
      </c>
      <c r="AL38" s="3">
        <f t="shared" si="5"/>
        <v>0</v>
      </c>
      <c r="AM38" s="3">
        <f t="shared" si="6"/>
        <v>0</v>
      </c>
      <c r="AN38" s="3">
        <f t="shared" si="7"/>
        <v>0</v>
      </c>
      <c r="AO38" s="3">
        <f t="shared" si="8"/>
        <v>341</v>
      </c>
      <c r="AP38" s="3">
        <f t="shared" si="9"/>
        <v>341</v>
      </c>
    </row>
    <row r="39" spans="1:42" ht="27" customHeight="1" x14ac:dyDescent="0.3">
      <c r="A39" s="4"/>
      <c r="B39" s="4"/>
      <c r="C39" s="4"/>
      <c r="D39" s="4"/>
      <c r="E39" s="4"/>
      <c r="F39" s="4"/>
      <c r="G39" s="4"/>
      <c r="H39" s="4">
        <f t="shared" si="10"/>
        <v>44</v>
      </c>
      <c r="I39" s="4"/>
      <c r="J39" s="4">
        <v>321</v>
      </c>
      <c r="K39" s="4">
        <v>321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>
        <v>30</v>
      </c>
      <c r="W39" s="4">
        <v>30</v>
      </c>
      <c r="X39" s="4"/>
      <c r="Y39" s="4"/>
      <c r="Z39" s="4"/>
      <c r="AA39" s="4"/>
      <c r="AB39" s="4">
        <v>20</v>
      </c>
      <c r="AC39" s="4">
        <v>10</v>
      </c>
      <c r="AD39" s="4">
        <v>10</v>
      </c>
      <c r="AE39" s="4"/>
      <c r="AF39" s="4"/>
      <c r="AG39" s="4"/>
      <c r="AH39" s="55"/>
      <c r="AI39" s="3">
        <f t="shared" si="2"/>
        <v>0</v>
      </c>
      <c r="AJ39" s="3">
        <f t="shared" si="3"/>
        <v>0</v>
      </c>
      <c r="AK39" s="3">
        <f t="shared" si="4"/>
        <v>0</v>
      </c>
      <c r="AL39" s="3">
        <f t="shared" si="5"/>
        <v>0</v>
      </c>
      <c r="AM39" s="3">
        <f t="shared" si="6"/>
        <v>0</v>
      </c>
      <c r="AN39" s="3">
        <f t="shared" si="7"/>
        <v>0</v>
      </c>
      <c r="AO39" s="3">
        <f t="shared" si="8"/>
        <v>321</v>
      </c>
      <c r="AP39" s="3">
        <f t="shared" si="9"/>
        <v>321</v>
      </c>
    </row>
    <row r="40" spans="1:42" ht="27" customHeight="1" x14ac:dyDescent="0.3">
      <c r="A40" s="4"/>
      <c r="B40" s="4"/>
      <c r="C40" s="4"/>
      <c r="D40" s="4"/>
      <c r="E40" s="4"/>
      <c r="F40" s="4"/>
      <c r="G40" s="4"/>
      <c r="H40" s="4">
        <f t="shared" si="10"/>
        <v>44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>
        <v>30</v>
      </c>
      <c r="W40" s="4">
        <v>30</v>
      </c>
      <c r="X40" s="4"/>
      <c r="Y40" s="4"/>
      <c r="Z40" s="4"/>
      <c r="AA40" s="4"/>
      <c r="AB40" s="4">
        <v>20</v>
      </c>
      <c r="AC40" s="4">
        <v>10</v>
      </c>
      <c r="AD40" s="4">
        <v>10</v>
      </c>
      <c r="AE40" s="4"/>
      <c r="AF40" s="4"/>
      <c r="AG40" s="4"/>
      <c r="AH40" s="55"/>
      <c r="AI40" s="3">
        <f t="shared" si="2"/>
        <v>0</v>
      </c>
      <c r="AJ40" s="3">
        <f t="shared" si="3"/>
        <v>0</v>
      </c>
      <c r="AK40" s="3">
        <f t="shared" si="4"/>
        <v>0</v>
      </c>
      <c r="AL40" s="3">
        <f t="shared" si="5"/>
        <v>0</v>
      </c>
      <c r="AM40" s="3">
        <f t="shared" si="6"/>
        <v>0</v>
      </c>
      <c r="AN40" s="3">
        <f t="shared" si="7"/>
        <v>0</v>
      </c>
      <c r="AO40" s="3">
        <f t="shared" si="8"/>
        <v>0</v>
      </c>
      <c r="AP40" s="3">
        <f t="shared" si="9"/>
        <v>0</v>
      </c>
    </row>
    <row r="41" spans="1:42" ht="27" customHeight="1" x14ac:dyDescent="0.3">
      <c r="A41" s="4"/>
      <c r="B41" s="4"/>
      <c r="C41" s="4"/>
      <c r="D41" s="4"/>
      <c r="E41" s="4"/>
      <c r="F41" s="4"/>
      <c r="G41" s="4"/>
      <c r="H41" s="4">
        <f t="shared" si="10"/>
        <v>44</v>
      </c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>
        <v>30</v>
      </c>
      <c r="W41" s="4">
        <v>30</v>
      </c>
      <c r="X41" s="4"/>
      <c r="Y41" s="4"/>
      <c r="Z41" s="4"/>
      <c r="AA41" s="4"/>
      <c r="AB41" s="4">
        <v>20</v>
      </c>
      <c r="AC41" s="4">
        <v>10</v>
      </c>
      <c r="AD41" s="4">
        <v>10</v>
      </c>
      <c r="AE41" s="4"/>
      <c r="AF41" s="4"/>
      <c r="AG41" s="4"/>
      <c r="AH41" s="55"/>
      <c r="AI41" s="3">
        <f t="shared" si="2"/>
        <v>0</v>
      </c>
      <c r="AJ41" s="3">
        <f t="shared" si="3"/>
        <v>0</v>
      </c>
      <c r="AK41" s="3">
        <f t="shared" si="4"/>
        <v>0</v>
      </c>
      <c r="AL41" s="3">
        <f t="shared" si="5"/>
        <v>0</v>
      </c>
      <c r="AM41" s="3">
        <f t="shared" si="6"/>
        <v>0</v>
      </c>
      <c r="AN41" s="3">
        <f t="shared" si="7"/>
        <v>0</v>
      </c>
      <c r="AO41" s="3">
        <f t="shared" si="8"/>
        <v>0</v>
      </c>
      <c r="AP41" s="3">
        <f t="shared" si="9"/>
        <v>0</v>
      </c>
    </row>
    <row r="42" spans="1:42" ht="27" customHeight="1" x14ac:dyDescent="0.3">
      <c r="A42" s="4"/>
      <c r="B42" s="4"/>
      <c r="C42" s="4"/>
      <c r="D42" s="4"/>
      <c r="E42" s="4"/>
      <c r="F42" s="4"/>
      <c r="G42" s="4"/>
      <c r="H42" s="4">
        <f t="shared" si="10"/>
        <v>44</v>
      </c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>
        <v>30</v>
      </c>
      <c r="W42" s="4">
        <v>30</v>
      </c>
      <c r="X42" s="4"/>
      <c r="Y42" s="4"/>
      <c r="Z42" s="4"/>
      <c r="AA42" s="4"/>
      <c r="AB42" s="4">
        <v>20</v>
      </c>
      <c r="AC42" s="4">
        <v>10</v>
      </c>
      <c r="AD42" s="4">
        <v>10</v>
      </c>
      <c r="AE42" s="4"/>
      <c r="AF42" s="4"/>
      <c r="AG42" s="4"/>
      <c r="AH42" s="55"/>
      <c r="AI42" s="3">
        <f t="shared" si="2"/>
        <v>0</v>
      </c>
      <c r="AJ42" s="3">
        <f t="shared" si="3"/>
        <v>0</v>
      </c>
      <c r="AK42" s="3">
        <f t="shared" si="4"/>
        <v>0</v>
      </c>
      <c r="AL42" s="3">
        <f t="shared" si="5"/>
        <v>0</v>
      </c>
      <c r="AM42" s="3">
        <f t="shared" si="6"/>
        <v>0</v>
      </c>
      <c r="AN42" s="3">
        <f t="shared" si="7"/>
        <v>0</v>
      </c>
      <c r="AO42" s="3">
        <f t="shared" si="8"/>
        <v>0</v>
      </c>
      <c r="AP42" s="3">
        <f t="shared" si="9"/>
        <v>0</v>
      </c>
    </row>
    <row r="43" spans="1:42" ht="27" customHeight="1" x14ac:dyDescent="0.3">
      <c r="A43" s="4"/>
      <c r="B43" s="4"/>
      <c r="C43" s="4"/>
      <c r="D43" s="4"/>
      <c r="E43" s="4"/>
      <c r="F43" s="4"/>
      <c r="G43" s="4"/>
      <c r="H43" s="4">
        <f t="shared" si="10"/>
        <v>44</v>
      </c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>
        <v>30</v>
      </c>
      <c r="W43" s="4">
        <v>30</v>
      </c>
      <c r="X43" s="4"/>
      <c r="Y43" s="4"/>
      <c r="Z43" s="4"/>
      <c r="AA43" s="4"/>
      <c r="AB43" s="4">
        <v>20</v>
      </c>
      <c r="AC43" s="4">
        <v>10</v>
      </c>
      <c r="AD43" s="4">
        <v>10</v>
      </c>
      <c r="AE43" s="4"/>
      <c r="AF43" s="4"/>
      <c r="AG43" s="4"/>
      <c r="AH43" s="55"/>
      <c r="AI43" s="3">
        <f t="shared" si="2"/>
        <v>0</v>
      </c>
      <c r="AJ43" s="3">
        <f t="shared" si="3"/>
        <v>0</v>
      </c>
      <c r="AK43" s="3">
        <f t="shared" si="4"/>
        <v>0</v>
      </c>
      <c r="AL43" s="3">
        <f t="shared" si="5"/>
        <v>0</v>
      </c>
      <c r="AM43" s="3">
        <f t="shared" si="6"/>
        <v>0</v>
      </c>
      <c r="AN43" s="3">
        <f t="shared" si="7"/>
        <v>0</v>
      </c>
      <c r="AO43" s="3">
        <f t="shared" si="8"/>
        <v>0</v>
      </c>
      <c r="AP43" s="3">
        <f t="shared" si="9"/>
        <v>0</v>
      </c>
    </row>
    <row r="44" spans="1:42" ht="27" customHeight="1" x14ac:dyDescent="0.3">
      <c r="A44" s="4"/>
      <c r="B44" s="4"/>
      <c r="C44" s="4"/>
      <c r="D44" s="4"/>
      <c r="E44" s="4"/>
      <c r="F44" s="4"/>
      <c r="G44" s="4"/>
      <c r="H44" s="4">
        <f t="shared" si="10"/>
        <v>44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>
        <v>30</v>
      </c>
      <c r="W44" s="4">
        <v>30</v>
      </c>
      <c r="X44" s="4"/>
      <c r="Y44" s="4"/>
      <c r="Z44" s="4"/>
      <c r="AA44" s="4"/>
      <c r="AB44" s="4">
        <v>20</v>
      </c>
      <c r="AC44" s="4">
        <v>10</v>
      </c>
      <c r="AD44" s="4">
        <v>10</v>
      </c>
      <c r="AE44" s="4"/>
      <c r="AF44" s="4"/>
      <c r="AG44" s="4"/>
      <c r="AH44" s="55"/>
      <c r="AI44" s="3">
        <f t="shared" si="2"/>
        <v>0</v>
      </c>
      <c r="AJ44" s="3">
        <f t="shared" si="3"/>
        <v>0</v>
      </c>
      <c r="AK44" s="3">
        <f t="shared" si="4"/>
        <v>0</v>
      </c>
      <c r="AL44" s="3">
        <f t="shared" si="5"/>
        <v>0</v>
      </c>
      <c r="AM44" s="3">
        <f t="shared" si="6"/>
        <v>0</v>
      </c>
      <c r="AN44" s="3">
        <f t="shared" si="7"/>
        <v>0</v>
      </c>
      <c r="AO44" s="3">
        <f t="shared" si="8"/>
        <v>0</v>
      </c>
      <c r="AP44" s="3">
        <f t="shared" si="9"/>
        <v>0</v>
      </c>
    </row>
    <row r="45" spans="1:42" ht="27" customHeight="1" x14ac:dyDescent="0.3">
      <c r="A45" s="4"/>
      <c r="B45" s="4"/>
      <c r="C45" s="4"/>
      <c r="D45" s="4"/>
      <c r="E45" s="4"/>
      <c r="F45" s="4"/>
      <c r="G45" s="4"/>
      <c r="H45" s="4">
        <f t="shared" si="10"/>
        <v>44</v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>
        <v>30</v>
      </c>
      <c r="W45" s="4">
        <v>30</v>
      </c>
      <c r="X45" s="4"/>
      <c r="Y45" s="4"/>
      <c r="Z45" s="4"/>
      <c r="AA45" s="4"/>
      <c r="AB45" s="4">
        <v>20</v>
      </c>
      <c r="AC45" s="4">
        <v>10</v>
      </c>
      <c r="AD45" s="4">
        <v>10</v>
      </c>
      <c r="AE45" s="4"/>
      <c r="AF45" s="4"/>
      <c r="AG45" s="4"/>
      <c r="AH45" s="55"/>
      <c r="AI45" s="3">
        <f t="shared" si="2"/>
        <v>0</v>
      </c>
      <c r="AJ45" s="3">
        <f t="shared" si="3"/>
        <v>0</v>
      </c>
      <c r="AK45" s="3">
        <f t="shared" si="4"/>
        <v>0</v>
      </c>
      <c r="AL45" s="3">
        <f t="shared" si="5"/>
        <v>0</v>
      </c>
      <c r="AM45" s="3">
        <f t="shared" si="6"/>
        <v>0</v>
      </c>
      <c r="AN45" s="3">
        <f t="shared" si="7"/>
        <v>0</v>
      </c>
      <c r="AO45" s="3">
        <f t="shared" si="8"/>
        <v>0</v>
      </c>
      <c r="AP45" s="3">
        <f t="shared" si="9"/>
        <v>0</v>
      </c>
    </row>
    <row r="46" spans="1:42" ht="27" customHeight="1" x14ac:dyDescent="0.3">
      <c r="A46" s="4"/>
      <c r="B46" s="4"/>
      <c r="C46" s="4"/>
      <c r="D46" s="4"/>
      <c r="E46" s="4"/>
      <c r="F46" s="4"/>
      <c r="G46" s="4"/>
      <c r="H46" s="4">
        <f t="shared" si="10"/>
        <v>44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>
        <v>30</v>
      </c>
      <c r="W46" s="4">
        <v>30</v>
      </c>
      <c r="X46" s="4"/>
      <c r="Y46" s="4"/>
      <c r="Z46" s="4"/>
      <c r="AA46" s="4"/>
      <c r="AB46" s="4">
        <v>20</v>
      </c>
      <c r="AC46" s="4">
        <v>10</v>
      </c>
      <c r="AD46" s="4">
        <v>10</v>
      </c>
      <c r="AE46" s="4"/>
      <c r="AF46" s="4"/>
      <c r="AG46" s="4"/>
      <c r="AH46" s="55"/>
      <c r="AI46" s="3">
        <f t="shared" si="2"/>
        <v>0</v>
      </c>
      <c r="AJ46" s="3">
        <f t="shared" si="3"/>
        <v>0</v>
      </c>
      <c r="AK46" s="3">
        <f t="shared" si="4"/>
        <v>0</v>
      </c>
      <c r="AL46" s="3">
        <f t="shared" si="5"/>
        <v>0</v>
      </c>
      <c r="AM46" s="3">
        <f t="shared" si="6"/>
        <v>0</v>
      </c>
      <c r="AN46" s="3">
        <f t="shared" si="7"/>
        <v>0</v>
      </c>
      <c r="AO46" s="3">
        <f t="shared" si="8"/>
        <v>0</v>
      </c>
      <c r="AP46" s="3">
        <f t="shared" si="9"/>
        <v>0</v>
      </c>
    </row>
    <row r="47" spans="1:42" ht="27" customHeight="1" x14ac:dyDescent="0.3">
      <c r="A47" s="4"/>
      <c r="B47" s="4"/>
      <c r="C47" s="4"/>
      <c r="D47" s="4"/>
      <c r="E47" s="4"/>
      <c r="F47" s="4"/>
      <c r="G47" s="4"/>
      <c r="H47" s="4">
        <f t="shared" si="10"/>
        <v>44</v>
      </c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>
        <v>30</v>
      </c>
      <c r="W47" s="4">
        <v>30</v>
      </c>
      <c r="X47" s="4"/>
      <c r="Y47" s="4"/>
      <c r="Z47" s="4"/>
      <c r="AA47" s="4"/>
      <c r="AB47" s="4">
        <v>20</v>
      </c>
      <c r="AC47" s="4">
        <v>10</v>
      </c>
      <c r="AD47" s="4">
        <v>10</v>
      </c>
      <c r="AE47" s="4"/>
      <c r="AF47" s="4"/>
      <c r="AG47" s="4"/>
      <c r="AH47" s="55"/>
      <c r="AI47" s="3">
        <f t="shared" si="2"/>
        <v>0</v>
      </c>
      <c r="AJ47" s="3">
        <f t="shared" si="3"/>
        <v>0</v>
      </c>
      <c r="AK47" s="3">
        <f t="shared" si="4"/>
        <v>0</v>
      </c>
      <c r="AL47" s="3">
        <f t="shared" si="5"/>
        <v>0</v>
      </c>
      <c r="AM47" s="3">
        <f t="shared" si="6"/>
        <v>0</v>
      </c>
      <c r="AN47" s="3">
        <f t="shared" si="7"/>
        <v>0</v>
      </c>
      <c r="AO47" s="3">
        <f t="shared" si="8"/>
        <v>0</v>
      </c>
      <c r="AP47" s="3">
        <f t="shared" si="9"/>
        <v>0</v>
      </c>
    </row>
    <row r="48" spans="1:42" ht="27" customHeight="1" x14ac:dyDescent="0.3">
      <c r="A48" s="4"/>
      <c r="B48" s="4"/>
      <c r="C48" s="4"/>
      <c r="D48" s="4"/>
      <c r="E48" s="4"/>
      <c r="F48" s="4"/>
      <c r="G48" s="4"/>
      <c r="H48" s="4">
        <f t="shared" si="10"/>
        <v>44</v>
      </c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>
        <v>30</v>
      </c>
      <c r="W48" s="4">
        <v>30</v>
      </c>
      <c r="X48" s="4"/>
      <c r="Y48" s="4"/>
      <c r="Z48" s="4"/>
      <c r="AA48" s="4"/>
      <c r="AB48" s="4">
        <v>20</v>
      </c>
      <c r="AC48" s="4">
        <v>10</v>
      </c>
      <c r="AD48" s="4">
        <v>10</v>
      </c>
      <c r="AE48" s="4"/>
      <c r="AF48" s="4"/>
      <c r="AG48" s="4"/>
      <c r="AH48" s="55"/>
      <c r="AI48" s="3">
        <f t="shared" si="2"/>
        <v>0</v>
      </c>
      <c r="AJ48" s="3">
        <f t="shared" si="3"/>
        <v>0</v>
      </c>
      <c r="AK48" s="3">
        <f t="shared" si="4"/>
        <v>0</v>
      </c>
      <c r="AL48" s="3">
        <f t="shared" si="5"/>
        <v>0</v>
      </c>
      <c r="AM48" s="3">
        <f t="shared" si="6"/>
        <v>0</v>
      </c>
      <c r="AN48" s="3">
        <f t="shared" si="7"/>
        <v>0</v>
      </c>
      <c r="AO48" s="3">
        <f t="shared" si="8"/>
        <v>0</v>
      </c>
      <c r="AP48" s="3">
        <f t="shared" si="9"/>
        <v>0</v>
      </c>
    </row>
    <row r="49" spans="1:42" ht="27" customHeight="1" x14ac:dyDescent="0.3">
      <c r="A49" s="4"/>
      <c r="B49" s="4"/>
      <c r="C49" s="4"/>
      <c r="D49" s="4"/>
      <c r="E49" s="4"/>
      <c r="F49" s="4"/>
      <c r="G49" s="4"/>
      <c r="H49" s="4">
        <f t="shared" si="10"/>
        <v>44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30</v>
      </c>
      <c r="W49" s="4">
        <v>30</v>
      </c>
      <c r="X49" s="4"/>
      <c r="Y49" s="4"/>
      <c r="Z49" s="4"/>
      <c r="AA49" s="4"/>
      <c r="AB49" s="4">
        <v>20</v>
      </c>
      <c r="AC49" s="4">
        <v>10</v>
      </c>
      <c r="AD49" s="4">
        <v>10</v>
      </c>
      <c r="AE49" s="4"/>
      <c r="AF49" s="4"/>
      <c r="AG49" s="4"/>
      <c r="AH49" s="55"/>
      <c r="AI49" s="3">
        <f t="shared" si="2"/>
        <v>0</v>
      </c>
      <c r="AJ49" s="3">
        <f t="shared" si="3"/>
        <v>0</v>
      </c>
      <c r="AK49" s="3">
        <f t="shared" si="4"/>
        <v>0</v>
      </c>
      <c r="AL49" s="3">
        <f t="shared" si="5"/>
        <v>0</v>
      </c>
      <c r="AM49" s="3">
        <f t="shared" si="6"/>
        <v>0</v>
      </c>
      <c r="AN49" s="3">
        <f t="shared" si="7"/>
        <v>0</v>
      </c>
      <c r="AO49" s="3">
        <f t="shared" si="8"/>
        <v>0</v>
      </c>
      <c r="AP49" s="3">
        <f t="shared" si="9"/>
        <v>0</v>
      </c>
    </row>
    <row r="50" spans="1:42" ht="27" customHeight="1" x14ac:dyDescent="0.3">
      <c r="A50" s="4"/>
      <c r="B50" s="4"/>
      <c r="C50" s="4"/>
      <c r="D50" s="4"/>
      <c r="E50" s="4"/>
      <c r="F50" s="4"/>
      <c r="G50" s="4"/>
      <c r="H50" s="4">
        <f t="shared" si="10"/>
        <v>44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>
        <v>30</v>
      </c>
      <c r="W50" s="4">
        <v>30</v>
      </c>
      <c r="X50" s="4"/>
      <c r="Y50" s="4"/>
      <c r="Z50" s="4"/>
      <c r="AA50" s="4"/>
      <c r="AB50" s="4">
        <v>20</v>
      </c>
      <c r="AC50" s="4">
        <v>10</v>
      </c>
      <c r="AD50" s="4">
        <v>10</v>
      </c>
      <c r="AE50" s="4"/>
      <c r="AF50" s="4"/>
      <c r="AG50" s="4"/>
      <c r="AH50" s="55"/>
      <c r="AI50" s="3">
        <f t="shared" si="2"/>
        <v>0</v>
      </c>
      <c r="AJ50" s="3">
        <f t="shared" si="3"/>
        <v>0</v>
      </c>
      <c r="AK50" s="3">
        <f t="shared" si="4"/>
        <v>0</v>
      </c>
      <c r="AL50" s="3">
        <f t="shared" si="5"/>
        <v>0</v>
      </c>
      <c r="AM50" s="3">
        <f t="shared" si="6"/>
        <v>0</v>
      </c>
      <c r="AN50" s="3">
        <f t="shared" si="7"/>
        <v>0</v>
      </c>
      <c r="AO50" s="3">
        <f t="shared" si="8"/>
        <v>0</v>
      </c>
      <c r="AP50" s="3">
        <f t="shared" si="9"/>
        <v>0</v>
      </c>
    </row>
    <row r="51" spans="1:42" ht="27" customHeight="1" x14ac:dyDescent="0.3">
      <c r="A51" s="4"/>
      <c r="B51" s="4"/>
      <c r="C51" s="4"/>
      <c r="D51" s="4"/>
      <c r="E51" s="4"/>
      <c r="F51" s="4"/>
      <c r="G51" s="4"/>
      <c r="H51" s="4">
        <f t="shared" si="10"/>
        <v>44</v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>
        <v>30</v>
      </c>
      <c r="W51" s="4">
        <v>30</v>
      </c>
      <c r="X51" s="4"/>
      <c r="Y51" s="4"/>
      <c r="Z51" s="4"/>
      <c r="AA51" s="4"/>
      <c r="AB51" s="4">
        <v>20</v>
      </c>
      <c r="AC51" s="4">
        <v>10</v>
      </c>
      <c r="AD51" s="4">
        <v>10</v>
      </c>
      <c r="AE51" s="4"/>
      <c r="AF51" s="4"/>
      <c r="AG51" s="4"/>
      <c r="AH51" s="55"/>
      <c r="AI51" s="3">
        <f t="shared" si="2"/>
        <v>0</v>
      </c>
      <c r="AJ51" s="3">
        <f t="shared" si="3"/>
        <v>0</v>
      </c>
      <c r="AK51" s="3">
        <f t="shared" si="4"/>
        <v>0</v>
      </c>
      <c r="AL51" s="3">
        <f t="shared" si="5"/>
        <v>0</v>
      </c>
      <c r="AM51" s="3">
        <f t="shared" si="6"/>
        <v>0</v>
      </c>
      <c r="AN51" s="3">
        <f t="shared" si="7"/>
        <v>0</v>
      </c>
      <c r="AO51" s="3">
        <f t="shared" si="8"/>
        <v>0</v>
      </c>
      <c r="AP51" s="3">
        <f t="shared" si="9"/>
        <v>0</v>
      </c>
    </row>
    <row r="52" spans="1:42" ht="27" customHeight="1" x14ac:dyDescent="0.3">
      <c r="A52" s="4"/>
      <c r="B52" s="4"/>
      <c r="C52" s="4"/>
      <c r="D52" s="4"/>
      <c r="E52" s="4"/>
      <c r="F52" s="4"/>
      <c r="G52" s="4"/>
      <c r="H52" s="4">
        <f t="shared" si="10"/>
        <v>44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>
        <v>30</v>
      </c>
      <c r="W52" s="4">
        <v>30</v>
      </c>
      <c r="X52" s="4"/>
      <c r="Y52" s="4"/>
      <c r="Z52" s="4"/>
      <c r="AA52" s="4"/>
      <c r="AB52" s="4">
        <v>20</v>
      </c>
      <c r="AC52" s="4">
        <v>10</v>
      </c>
      <c r="AD52" s="4">
        <v>10</v>
      </c>
      <c r="AE52" s="4"/>
      <c r="AF52" s="4"/>
      <c r="AG52" s="4"/>
      <c r="AH52" s="55"/>
      <c r="AI52" s="3">
        <f t="shared" si="2"/>
        <v>0</v>
      </c>
      <c r="AJ52" s="3">
        <f t="shared" si="3"/>
        <v>0</v>
      </c>
      <c r="AK52" s="3">
        <f t="shared" si="4"/>
        <v>0</v>
      </c>
      <c r="AL52" s="3">
        <f t="shared" si="5"/>
        <v>0</v>
      </c>
      <c r="AM52" s="3">
        <f t="shared" si="6"/>
        <v>0</v>
      </c>
      <c r="AN52" s="3">
        <f t="shared" si="7"/>
        <v>0</v>
      </c>
      <c r="AO52" s="3">
        <f t="shared" si="8"/>
        <v>0</v>
      </c>
      <c r="AP52" s="3">
        <f t="shared" si="9"/>
        <v>0</v>
      </c>
    </row>
    <row r="53" spans="1:42" ht="27" customHeight="1" x14ac:dyDescent="0.3">
      <c r="A53" s="4"/>
      <c r="B53" s="4"/>
      <c r="C53" s="4"/>
      <c r="D53" s="4"/>
      <c r="E53" s="4"/>
      <c r="F53" s="4"/>
      <c r="G53" s="4"/>
      <c r="H53" s="4">
        <f t="shared" si="10"/>
        <v>44</v>
      </c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>
        <v>30</v>
      </c>
      <c r="W53" s="4">
        <v>30</v>
      </c>
      <c r="X53" s="4"/>
      <c r="Y53" s="4"/>
      <c r="Z53" s="4"/>
      <c r="AA53" s="4"/>
      <c r="AB53" s="4">
        <v>20</v>
      </c>
      <c r="AC53" s="4">
        <v>10</v>
      </c>
      <c r="AD53" s="4">
        <v>10</v>
      </c>
      <c r="AE53" s="4"/>
      <c r="AF53" s="4"/>
      <c r="AG53" s="4"/>
      <c r="AH53" s="55"/>
      <c r="AI53" s="3">
        <f t="shared" si="2"/>
        <v>0</v>
      </c>
      <c r="AJ53" s="3">
        <f t="shared" si="3"/>
        <v>0</v>
      </c>
      <c r="AK53" s="3">
        <f t="shared" si="4"/>
        <v>0</v>
      </c>
      <c r="AL53" s="3">
        <f t="shared" si="5"/>
        <v>0</v>
      </c>
      <c r="AM53" s="3">
        <f t="shared" si="6"/>
        <v>0</v>
      </c>
      <c r="AN53" s="3">
        <f t="shared" si="7"/>
        <v>0</v>
      </c>
      <c r="AO53" s="3">
        <f t="shared" si="8"/>
        <v>0</v>
      </c>
      <c r="AP53" s="3">
        <f t="shared" si="9"/>
        <v>0</v>
      </c>
    </row>
    <row r="54" spans="1:42" ht="27" customHeight="1" x14ac:dyDescent="0.3">
      <c r="A54" s="4"/>
      <c r="B54" s="4"/>
      <c r="C54" s="4"/>
      <c r="D54" s="4"/>
      <c r="E54" s="4"/>
      <c r="F54" s="4"/>
      <c r="G54" s="4"/>
      <c r="H54" s="4">
        <f t="shared" si="10"/>
        <v>44</v>
      </c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>
        <v>30</v>
      </c>
      <c r="W54" s="4">
        <v>30</v>
      </c>
      <c r="X54" s="4"/>
      <c r="Y54" s="4"/>
      <c r="Z54" s="4"/>
      <c r="AA54" s="4"/>
      <c r="AB54" s="4">
        <v>20</v>
      </c>
      <c r="AC54" s="4">
        <v>10</v>
      </c>
      <c r="AD54" s="4">
        <v>10</v>
      </c>
      <c r="AE54" s="4"/>
      <c r="AF54" s="4"/>
      <c r="AG54" s="4"/>
      <c r="AH54" s="55"/>
      <c r="AI54" s="3">
        <f t="shared" si="2"/>
        <v>0</v>
      </c>
      <c r="AJ54" s="3">
        <f t="shared" si="3"/>
        <v>0</v>
      </c>
      <c r="AK54" s="3">
        <f t="shared" si="4"/>
        <v>0</v>
      </c>
      <c r="AL54" s="3">
        <f t="shared" si="5"/>
        <v>0</v>
      </c>
      <c r="AM54" s="3">
        <f t="shared" si="6"/>
        <v>0</v>
      </c>
      <c r="AN54" s="3">
        <f t="shared" si="7"/>
        <v>0</v>
      </c>
      <c r="AO54" s="3">
        <f t="shared" si="8"/>
        <v>0</v>
      </c>
      <c r="AP54" s="3">
        <f t="shared" si="9"/>
        <v>0</v>
      </c>
    </row>
    <row r="55" spans="1:42" ht="27" customHeight="1" x14ac:dyDescent="0.3">
      <c r="A55" s="4"/>
      <c r="B55" s="4"/>
      <c r="C55" s="4"/>
      <c r="D55" s="4"/>
      <c r="E55" s="4"/>
      <c r="F55" s="4"/>
      <c r="G55" s="4"/>
      <c r="H55" s="4">
        <f t="shared" si="10"/>
        <v>44</v>
      </c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>
        <v>30</v>
      </c>
      <c r="W55" s="4">
        <v>30</v>
      </c>
      <c r="X55" s="4"/>
      <c r="Y55" s="4"/>
      <c r="Z55" s="4"/>
      <c r="AA55" s="4"/>
      <c r="AB55" s="4">
        <v>20</v>
      </c>
      <c r="AC55" s="4">
        <v>10</v>
      </c>
      <c r="AD55" s="4">
        <v>10</v>
      </c>
      <c r="AE55" s="4"/>
      <c r="AF55" s="4"/>
      <c r="AG55" s="4"/>
      <c r="AH55" s="55"/>
      <c r="AI55" s="3">
        <f t="shared" si="2"/>
        <v>0</v>
      </c>
      <c r="AJ55" s="3">
        <f t="shared" si="3"/>
        <v>0</v>
      </c>
      <c r="AK55" s="3">
        <f t="shared" si="4"/>
        <v>0</v>
      </c>
      <c r="AL55" s="3">
        <f t="shared" si="5"/>
        <v>0</v>
      </c>
      <c r="AM55" s="3">
        <f t="shared" si="6"/>
        <v>0</v>
      </c>
      <c r="AN55" s="3">
        <f t="shared" si="7"/>
        <v>0</v>
      </c>
      <c r="AO55" s="3">
        <f t="shared" si="8"/>
        <v>0</v>
      </c>
      <c r="AP55" s="3">
        <f t="shared" si="9"/>
        <v>0</v>
      </c>
    </row>
    <row r="56" spans="1:42" ht="27" customHeight="1" x14ac:dyDescent="0.3">
      <c r="A56" s="4"/>
      <c r="B56" s="4"/>
      <c r="C56" s="4"/>
      <c r="D56" s="4"/>
      <c r="E56" s="4"/>
      <c r="F56" s="4"/>
      <c r="G56" s="4"/>
      <c r="H56" s="4">
        <f t="shared" si="10"/>
        <v>44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>
        <v>30</v>
      </c>
      <c r="W56" s="4">
        <v>30</v>
      </c>
      <c r="X56" s="4"/>
      <c r="Y56" s="4"/>
      <c r="Z56" s="4"/>
      <c r="AA56" s="4"/>
      <c r="AB56" s="4">
        <v>20</v>
      </c>
      <c r="AC56" s="4">
        <v>10</v>
      </c>
      <c r="AD56" s="4">
        <v>10</v>
      </c>
      <c r="AE56" s="4"/>
      <c r="AF56" s="4"/>
      <c r="AG56" s="4"/>
      <c r="AH56" s="55"/>
      <c r="AI56" s="3">
        <f t="shared" si="2"/>
        <v>0</v>
      </c>
      <c r="AJ56" s="3">
        <f t="shared" si="3"/>
        <v>0</v>
      </c>
      <c r="AK56" s="3">
        <f t="shared" si="4"/>
        <v>0</v>
      </c>
      <c r="AL56" s="3">
        <f t="shared" si="5"/>
        <v>0</v>
      </c>
      <c r="AM56" s="3">
        <f t="shared" si="6"/>
        <v>0</v>
      </c>
      <c r="AN56" s="3">
        <f t="shared" si="7"/>
        <v>0</v>
      </c>
      <c r="AO56" s="3">
        <f t="shared" si="8"/>
        <v>0</v>
      </c>
      <c r="AP56" s="3">
        <f t="shared" si="9"/>
        <v>0</v>
      </c>
    </row>
    <row r="57" spans="1:42" ht="27" customHeight="1" x14ac:dyDescent="0.3">
      <c r="A57" s="4"/>
      <c r="B57" s="4"/>
      <c r="C57" s="4"/>
      <c r="D57" s="4"/>
      <c r="E57" s="4"/>
      <c r="F57" s="4"/>
      <c r="G57" s="4"/>
      <c r="H57" s="4">
        <f t="shared" si="10"/>
        <v>44</v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>
        <v>30</v>
      </c>
      <c r="W57" s="4">
        <v>30</v>
      </c>
      <c r="X57" s="4"/>
      <c r="Y57" s="4"/>
      <c r="Z57" s="4"/>
      <c r="AA57" s="4"/>
      <c r="AB57" s="4">
        <v>20</v>
      </c>
      <c r="AC57" s="4">
        <v>10</v>
      </c>
      <c r="AD57" s="4">
        <v>10</v>
      </c>
      <c r="AE57" s="4"/>
      <c r="AF57" s="4"/>
      <c r="AG57" s="4"/>
      <c r="AH57" s="55"/>
      <c r="AI57" s="3">
        <f t="shared" si="2"/>
        <v>0</v>
      </c>
      <c r="AJ57" s="3">
        <f t="shared" si="3"/>
        <v>0</v>
      </c>
      <c r="AK57" s="3">
        <f t="shared" si="4"/>
        <v>0</v>
      </c>
      <c r="AL57" s="3">
        <f t="shared" si="5"/>
        <v>0</v>
      </c>
      <c r="AM57" s="3">
        <f t="shared" si="6"/>
        <v>0</v>
      </c>
      <c r="AN57" s="3">
        <f t="shared" si="7"/>
        <v>0</v>
      </c>
      <c r="AO57" s="3">
        <f t="shared" si="8"/>
        <v>0</v>
      </c>
      <c r="AP57" s="3">
        <f t="shared" si="9"/>
        <v>0</v>
      </c>
    </row>
    <row r="58" spans="1:42" ht="27" customHeight="1" x14ac:dyDescent="0.3">
      <c r="A58" s="4"/>
      <c r="B58" s="4"/>
      <c r="C58" s="4"/>
      <c r="D58" s="4"/>
      <c r="E58" s="4"/>
      <c r="F58" s="4"/>
      <c r="G58" s="4"/>
      <c r="H58" s="4">
        <f t="shared" si="10"/>
        <v>44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>
        <v>30</v>
      </c>
      <c r="W58" s="4">
        <v>30</v>
      </c>
      <c r="X58" s="4"/>
      <c r="Y58" s="4"/>
      <c r="Z58" s="4"/>
      <c r="AA58" s="4"/>
      <c r="AB58" s="4">
        <v>20</v>
      </c>
      <c r="AC58" s="4">
        <v>10</v>
      </c>
      <c r="AD58" s="4">
        <v>10</v>
      </c>
      <c r="AE58" s="4"/>
      <c r="AF58" s="4"/>
      <c r="AG58" s="4"/>
      <c r="AH58" s="55"/>
      <c r="AI58" s="3">
        <f t="shared" si="2"/>
        <v>0</v>
      </c>
      <c r="AJ58" s="3">
        <f t="shared" si="3"/>
        <v>0</v>
      </c>
      <c r="AK58" s="3">
        <f t="shared" si="4"/>
        <v>0</v>
      </c>
      <c r="AL58" s="3">
        <f t="shared" si="5"/>
        <v>0</v>
      </c>
      <c r="AM58" s="3">
        <f t="shared" si="6"/>
        <v>0</v>
      </c>
      <c r="AN58" s="3">
        <f t="shared" si="7"/>
        <v>0</v>
      </c>
      <c r="AO58" s="3">
        <f t="shared" si="8"/>
        <v>0</v>
      </c>
      <c r="AP58" s="3">
        <f t="shared" si="9"/>
        <v>0</v>
      </c>
    </row>
    <row r="59" spans="1:42" ht="27" customHeight="1" x14ac:dyDescent="0.3">
      <c r="A59" s="4"/>
      <c r="B59" s="4"/>
      <c r="C59" s="4"/>
      <c r="D59" s="4"/>
      <c r="E59" s="4"/>
      <c r="F59" s="4"/>
      <c r="G59" s="4"/>
      <c r="H59" s="4">
        <f t="shared" si="10"/>
        <v>44</v>
      </c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>
        <v>30</v>
      </c>
      <c r="W59" s="4">
        <v>30</v>
      </c>
      <c r="X59" s="4"/>
      <c r="Y59" s="4"/>
      <c r="Z59" s="4"/>
      <c r="AA59" s="4"/>
      <c r="AB59" s="4">
        <v>20</v>
      </c>
      <c r="AC59" s="4">
        <v>10</v>
      </c>
      <c r="AD59" s="4">
        <v>10</v>
      </c>
      <c r="AE59" s="4"/>
      <c r="AF59" s="4"/>
      <c r="AG59" s="4"/>
      <c r="AH59" s="55"/>
      <c r="AI59" s="3">
        <f t="shared" si="2"/>
        <v>0</v>
      </c>
      <c r="AJ59" s="3">
        <f t="shared" si="3"/>
        <v>0</v>
      </c>
      <c r="AK59" s="3">
        <f t="shared" si="4"/>
        <v>0</v>
      </c>
      <c r="AL59" s="3">
        <f t="shared" si="5"/>
        <v>0</v>
      </c>
      <c r="AM59" s="3">
        <f t="shared" si="6"/>
        <v>0</v>
      </c>
      <c r="AN59" s="3">
        <f t="shared" si="7"/>
        <v>0</v>
      </c>
      <c r="AO59" s="3">
        <f t="shared" si="8"/>
        <v>0</v>
      </c>
      <c r="AP59" s="3">
        <f t="shared" si="9"/>
        <v>0</v>
      </c>
    </row>
    <row r="60" spans="1:42" ht="27" customHeight="1" x14ac:dyDescent="0.3">
      <c r="A60" s="4"/>
      <c r="B60" s="4"/>
      <c r="C60" s="4"/>
      <c r="D60" s="4"/>
      <c r="E60" s="4"/>
      <c r="F60" s="4"/>
      <c r="G60" s="4"/>
      <c r="H60" s="4">
        <f t="shared" si="10"/>
        <v>44</v>
      </c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>
        <v>30</v>
      </c>
      <c r="W60" s="4">
        <v>30</v>
      </c>
      <c r="X60" s="4"/>
      <c r="Y60" s="4"/>
      <c r="Z60" s="4"/>
      <c r="AA60" s="4"/>
      <c r="AB60" s="4">
        <v>20</v>
      </c>
      <c r="AC60" s="4">
        <v>10</v>
      </c>
      <c r="AD60" s="4">
        <v>10</v>
      </c>
      <c r="AE60" s="4"/>
      <c r="AF60" s="4"/>
      <c r="AG60" s="4"/>
      <c r="AH60" s="55"/>
      <c r="AI60" s="3">
        <f t="shared" si="2"/>
        <v>0</v>
      </c>
      <c r="AJ60" s="3">
        <f t="shared" si="3"/>
        <v>0</v>
      </c>
      <c r="AK60" s="3">
        <f t="shared" si="4"/>
        <v>0</v>
      </c>
      <c r="AL60" s="3">
        <f t="shared" si="5"/>
        <v>0</v>
      </c>
      <c r="AM60" s="3">
        <f t="shared" si="6"/>
        <v>0</v>
      </c>
      <c r="AN60" s="3">
        <f t="shared" si="7"/>
        <v>0</v>
      </c>
      <c r="AO60" s="3">
        <f t="shared" si="8"/>
        <v>0</v>
      </c>
      <c r="AP60" s="3">
        <f t="shared" si="9"/>
        <v>0</v>
      </c>
    </row>
    <row r="61" spans="1:42" ht="27" customHeight="1" x14ac:dyDescent="0.3">
      <c r="A61" s="4"/>
      <c r="B61" s="4"/>
      <c r="C61" s="4"/>
      <c r="D61" s="4"/>
      <c r="E61" s="4"/>
      <c r="F61" s="4"/>
      <c r="G61" s="4"/>
      <c r="H61" s="4">
        <f t="shared" si="10"/>
        <v>44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>
        <v>30</v>
      </c>
      <c r="W61" s="4">
        <v>30</v>
      </c>
      <c r="X61" s="4"/>
      <c r="Y61" s="4"/>
      <c r="Z61" s="4"/>
      <c r="AA61" s="4"/>
      <c r="AB61" s="4">
        <v>20</v>
      </c>
      <c r="AC61" s="4">
        <v>10</v>
      </c>
      <c r="AD61" s="4">
        <v>10</v>
      </c>
      <c r="AE61" s="4"/>
      <c r="AF61" s="4"/>
      <c r="AG61" s="4"/>
      <c r="AH61" s="55"/>
      <c r="AI61" s="3">
        <f t="shared" si="2"/>
        <v>0</v>
      </c>
      <c r="AJ61" s="3">
        <f t="shared" si="3"/>
        <v>0</v>
      </c>
      <c r="AK61" s="3">
        <f t="shared" si="4"/>
        <v>0</v>
      </c>
      <c r="AL61" s="3">
        <f t="shared" si="5"/>
        <v>0</v>
      </c>
      <c r="AM61" s="3">
        <f t="shared" si="6"/>
        <v>0</v>
      </c>
      <c r="AN61" s="3">
        <f t="shared" si="7"/>
        <v>0</v>
      </c>
      <c r="AO61" s="3">
        <f t="shared" si="8"/>
        <v>0</v>
      </c>
      <c r="AP61" s="3">
        <f t="shared" si="9"/>
        <v>0</v>
      </c>
    </row>
    <row r="62" spans="1:42" ht="27" customHeight="1" x14ac:dyDescent="0.3">
      <c r="A62" s="4"/>
      <c r="B62" s="4"/>
      <c r="C62" s="4"/>
      <c r="D62" s="4"/>
      <c r="E62" s="4"/>
      <c r="F62" s="4"/>
      <c r="G62" s="4"/>
      <c r="H62" s="4">
        <f t="shared" si="10"/>
        <v>44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>
        <v>30</v>
      </c>
      <c r="W62" s="4">
        <v>30</v>
      </c>
      <c r="X62" s="4"/>
      <c r="Y62" s="4"/>
      <c r="Z62" s="4"/>
      <c r="AA62" s="4"/>
      <c r="AB62" s="4">
        <v>20</v>
      </c>
      <c r="AC62" s="4">
        <v>10</v>
      </c>
      <c r="AD62" s="4">
        <v>10</v>
      </c>
      <c r="AE62" s="4"/>
      <c r="AF62" s="4"/>
      <c r="AG62" s="4"/>
      <c r="AH62" s="55"/>
      <c r="AI62" s="3">
        <f t="shared" si="2"/>
        <v>0</v>
      </c>
      <c r="AJ62" s="3">
        <f t="shared" si="3"/>
        <v>0</v>
      </c>
      <c r="AK62" s="3">
        <f t="shared" si="4"/>
        <v>0</v>
      </c>
      <c r="AL62" s="3">
        <f t="shared" si="5"/>
        <v>0</v>
      </c>
      <c r="AM62" s="3">
        <f t="shared" si="6"/>
        <v>0</v>
      </c>
      <c r="AN62" s="3">
        <f t="shared" si="7"/>
        <v>0</v>
      </c>
      <c r="AO62" s="3">
        <f t="shared" si="8"/>
        <v>0</v>
      </c>
      <c r="AP62" s="3">
        <f t="shared" si="9"/>
        <v>0</v>
      </c>
    </row>
    <row r="63" spans="1:42" ht="27" customHeight="1" x14ac:dyDescent="0.3">
      <c r="A63" s="4"/>
      <c r="B63" s="4"/>
      <c r="C63" s="4"/>
      <c r="D63" s="4"/>
      <c r="E63" s="4"/>
      <c r="F63" s="4"/>
      <c r="G63" s="4"/>
      <c r="H63" s="4">
        <f t="shared" si="10"/>
        <v>44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>
        <v>30</v>
      </c>
      <c r="W63" s="4">
        <v>30</v>
      </c>
      <c r="X63" s="4"/>
      <c r="Y63" s="4"/>
      <c r="Z63" s="4"/>
      <c r="AA63" s="4"/>
      <c r="AB63" s="4">
        <v>20</v>
      </c>
      <c r="AC63" s="4">
        <v>10</v>
      </c>
      <c r="AD63" s="4">
        <v>10</v>
      </c>
      <c r="AE63" s="4"/>
      <c r="AF63" s="4"/>
      <c r="AG63" s="4"/>
      <c r="AH63" s="55"/>
      <c r="AI63" s="3">
        <f t="shared" si="2"/>
        <v>0</v>
      </c>
      <c r="AJ63" s="3">
        <f t="shared" si="3"/>
        <v>0</v>
      </c>
      <c r="AK63" s="3">
        <f t="shared" si="4"/>
        <v>0</v>
      </c>
      <c r="AL63" s="3">
        <f t="shared" si="5"/>
        <v>0</v>
      </c>
      <c r="AM63" s="3">
        <f t="shared" si="6"/>
        <v>0</v>
      </c>
      <c r="AN63" s="3">
        <f t="shared" si="7"/>
        <v>0</v>
      </c>
      <c r="AO63" s="3">
        <f t="shared" si="8"/>
        <v>0</v>
      </c>
      <c r="AP63" s="3">
        <f t="shared" si="9"/>
        <v>0</v>
      </c>
    </row>
    <row r="64" spans="1:42" ht="27" customHeight="1" x14ac:dyDescent="0.3">
      <c r="A64" s="4"/>
      <c r="B64" s="4"/>
      <c r="C64" s="4"/>
      <c r="D64" s="4"/>
      <c r="E64" s="4"/>
      <c r="F64" s="4"/>
      <c r="G64" s="4"/>
      <c r="H64" s="4">
        <f t="shared" si="10"/>
        <v>44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>
        <v>30</v>
      </c>
      <c r="W64" s="4">
        <v>30</v>
      </c>
      <c r="X64" s="4"/>
      <c r="Y64" s="4"/>
      <c r="Z64" s="4"/>
      <c r="AA64" s="4"/>
      <c r="AB64" s="4">
        <v>20</v>
      </c>
      <c r="AC64" s="4">
        <v>10</v>
      </c>
      <c r="AD64" s="4">
        <v>10</v>
      </c>
      <c r="AE64" s="4"/>
      <c r="AF64" s="4"/>
      <c r="AG64" s="4"/>
      <c r="AH64" s="55"/>
      <c r="AI64" s="3">
        <f t="shared" si="2"/>
        <v>0</v>
      </c>
      <c r="AJ64" s="3">
        <f t="shared" si="3"/>
        <v>0</v>
      </c>
      <c r="AK64" s="3">
        <f t="shared" si="4"/>
        <v>0</v>
      </c>
      <c r="AL64" s="3">
        <f t="shared" si="5"/>
        <v>0</v>
      </c>
      <c r="AM64" s="3">
        <f t="shared" si="6"/>
        <v>0</v>
      </c>
      <c r="AN64" s="3">
        <f t="shared" si="7"/>
        <v>0</v>
      </c>
      <c r="AO64" s="3">
        <f t="shared" si="8"/>
        <v>0</v>
      </c>
      <c r="AP64" s="3">
        <f t="shared" si="9"/>
        <v>0</v>
      </c>
    </row>
    <row r="65" spans="1:42" ht="27" customHeight="1" x14ac:dyDescent="0.3">
      <c r="A65" s="4"/>
      <c r="B65" s="4"/>
      <c r="C65" s="4"/>
      <c r="D65" s="4"/>
      <c r="E65" s="4"/>
      <c r="F65" s="4"/>
      <c r="G65" s="4"/>
      <c r="H65" s="4">
        <f t="shared" si="10"/>
        <v>44</v>
      </c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>
        <v>30</v>
      </c>
      <c r="W65" s="4">
        <v>30</v>
      </c>
      <c r="X65" s="4"/>
      <c r="Y65" s="4"/>
      <c r="Z65" s="4"/>
      <c r="AA65" s="4"/>
      <c r="AB65" s="4">
        <v>20</v>
      </c>
      <c r="AC65" s="4">
        <v>10</v>
      </c>
      <c r="AD65" s="4">
        <v>10</v>
      </c>
      <c r="AE65" s="4"/>
      <c r="AF65" s="4"/>
      <c r="AG65" s="4"/>
      <c r="AH65" s="55"/>
      <c r="AI65" s="3">
        <f t="shared" si="2"/>
        <v>0</v>
      </c>
      <c r="AJ65" s="3">
        <f t="shared" si="3"/>
        <v>0</v>
      </c>
      <c r="AK65" s="3">
        <f t="shared" si="4"/>
        <v>0</v>
      </c>
      <c r="AL65" s="3">
        <f t="shared" si="5"/>
        <v>0</v>
      </c>
      <c r="AM65" s="3">
        <f t="shared" si="6"/>
        <v>0</v>
      </c>
      <c r="AN65" s="3">
        <f t="shared" si="7"/>
        <v>0</v>
      </c>
      <c r="AO65" s="3">
        <f t="shared" si="8"/>
        <v>0</v>
      </c>
      <c r="AP65" s="3">
        <f t="shared" si="9"/>
        <v>0</v>
      </c>
    </row>
    <row r="66" spans="1:42" ht="27" customHeight="1" x14ac:dyDescent="0.3">
      <c r="A66" s="4"/>
      <c r="B66" s="4"/>
      <c r="C66" s="4"/>
      <c r="D66" s="4"/>
      <c r="E66" s="4"/>
      <c r="F66" s="4"/>
      <c r="G66" s="4"/>
      <c r="H66" s="4">
        <f t="shared" si="10"/>
        <v>44</v>
      </c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>
        <v>30</v>
      </c>
      <c r="W66" s="4">
        <v>30</v>
      </c>
      <c r="X66" s="4"/>
      <c r="Y66" s="4"/>
      <c r="Z66" s="4"/>
      <c r="AA66" s="4"/>
      <c r="AB66" s="4">
        <v>20</v>
      </c>
      <c r="AC66" s="4">
        <v>10</v>
      </c>
      <c r="AD66" s="4">
        <v>10</v>
      </c>
      <c r="AE66" s="4"/>
      <c r="AF66" s="4"/>
      <c r="AG66" s="4"/>
      <c r="AH66" s="55"/>
      <c r="AI66" s="3">
        <f t="shared" si="2"/>
        <v>0</v>
      </c>
      <c r="AJ66" s="3">
        <f t="shared" si="3"/>
        <v>0</v>
      </c>
      <c r="AK66" s="3">
        <f t="shared" si="4"/>
        <v>0</v>
      </c>
      <c r="AL66" s="3">
        <f t="shared" si="5"/>
        <v>0</v>
      </c>
      <c r="AM66" s="3">
        <f t="shared" si="6"/>
        <v>0</v>
      </c>
      <c r="AN66" s="3">
        <f t="shared" si="7"/>
        <v>0</v>
      </c>
      <c r="AO66" s="3">
        <f t="shared" si="8"/>
        <v>0</v>
      </c>
      <c r="AP66" s="3">
        <f t="shared" si="9"/>
        <v>0</v>
      </c>
    </row>
    <row r="67" spans="1:42" ht="27" customHeight="1" x14ac:dyDescent="0.3">
      <c r="A67" s="4"/>
      <c r="B67" s="4"/>
      <c r="C67" s="4"/>
      <c r="D67" s="4"/>
      <c r="E67" s="4"/>
      <c r="F67" s="4"/>
      <c r="G67" s="4"/>
      <c r="H67" s="4">
        <f t="shared" si="10"/>
        <v>44</v>
      </c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>
        <v>30</v>
      </c>
      <c r="W67" s="4">
        <v>30</v>
      </c>
      <c r="X67" s="4"/>
      <c r="Y67" s="4"/>
      <c r="Z67" s="4"/>
      <c r="AA67" s="4"/>
      <c r="AB67" s="4">
        <v>20</v>
      </c>
      <c r="AC67" s="4">
        <v>10</v>
      </c>
      <c r="AD67" s="4">
        <v>10</v>
      </c>
      <c r="AE67" s="4"/>
      <c r="AF67" s="4"/>
      <c r="AG67" s="4"/>
      <c r="AH67" s="55"/>
      <c r="AI67" s="3">
        <f t="shared" si="2"/>
        <v>0</v>
      </c>
      <c r="AJ67" s="3">
        <f t="shared" si="3"/>
        <v>0</v>
      </c>
      <c r="AK67" s="3">
        <f t="shared" si="4"/>
        <v>0</v>
      </c>
      <c r="AL67" s="3">
        <f t="shared" si="5"/>
        <v>0</v>
      </c>
      <c r="AM67" s="3">
        <f t="shared" si="6"/>
        <v>0</v>
      </c>
      <c r="AN67" s="3">
        <f t="shared" si="7"/>
        <v>0</v>
      </c>
      <c r="AO67" s="3">
        <f t="shared" si="8"/>
        <v>0</v>
      </c>
      <c r="AP67" s="3">
        <f t="shared" si="9"/>
        <v>0</v>
      </c>
    </row>
    <row r="68" spans="1:42" ht="27" customHeight="1" x14ac:dyDescent="0.3">
      <c r="A68" s="4"/>
      <c r="B68" s="4"/>
      <c r="C68" s="4"/>
      <c r="D68" s="4"/>
      <c r="E68" s="4"/>
      <c r="F68" s="4"/>
      <c r="G68" s="4"/>
      <c r="H68" s="4">
        <f t="shared" si="10"/>
        <v>44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>
        <v>30</v>
      </c>
      <c r="W68" s="4">
        <v>30</v>
      </c>
      <c r="X68" s="4"/>
      <c r="Y68" s="4"/>
      <c r="Z68" s="4"/>
      <c r="AA68" s="4"/>
      <c r="AB68" s="4">
        <v>20</v>
      </c>
      <c r="AC68" s="4">
        <v>10</v>
      </c>
      <c r="AD68" s="4">
        <v>10</v>
      </c>
      <c r="AE68" s="4"/>
      <c r="AF68" s="4"/>
      <c r="AG68" s="4"/>
      <c r="AH68" s="55"/>
      <c r="AI68" s="3">
        <f t="shared" si="2"/>
        <v>0</v>
      </c>
      <c r="AJ68" s="3">
        <f t="shared" si="3"/>
        <v>0</v>
      </c>
      <c r="AK68" s="3">
        <f t="shared" si="4"/>
        <v>0</v>
      </c>
      <c r="AL68" s="3">
        <f t="shared" si="5"/>
        <v>0</v>
      </c>
      <c r="AM68" s="3">
        <f t="shared" si="6"/>
        <v>0</v>
      </c>
      <c r="AN68" s="3">
        <f t="shared" si="7"/>
        <v>0</v>
      </c>
      <c r="AO68" s="3">
        <f t="shared" si="8"/>
        <v>0</v>
      </c>
      <c r="AP68" s="3">
        <f t="shared" si="9"/>
        <v>0</v>
      </c>
    </row>
    <row r="69" spans="1:42" ht="27" customHeight="1" x14ac:dyDescent="0.3">
      <c r="A69" s="4"/>
      <c r="B69" s="4"/>
      <c r="C69" s="4"/>
      <c r="D69" s="4"/>
      <c r="E69" s="4"/>
      <c r="F69" s="4"/>
      <c r="G69" s="4"/>
      <c r="H69" s="4">
        <f t="shared" si="10"/>
        <v>44</v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>
        <v>30</v>
      </c>
      <c r="W69" s="4">
        <v>30</v>
      </c>
      <c r="X69" s="4"/>
      <c r="Y69" s="4"/>
      <c r="Z69" s="4"/>
      <c r="AA69" s="4"/>
      <c r="AB69" s="4">
        <v>20</v>
      </c>
      <c r="AC69" s="4">
        <v>10</v>
      </c>
      <c r="AD69" s="4">
        <v>10</v>
      </c>
      <c r="AE69" s="4"/>
      <c r="AF69" s="4"/>
      <c r="AG69" s="4"/>
      <c r="AH69" s="55"/>
      <c r="AI69" s="3">
        <f t="shared" si="2"/>
        <v>0</v>
      </c>
      <c r="AJ69" s="3">
        <f t="shared" si="3"/>
        <v>0</v>
      </c>
      <c r="AK69" s="3">
        <f t="shared" si="4"/>
        <v>0</v>
      </c>
      <c r="AL69" s="3">
        <f t="shared" si="5"/>
        <v>0</v>
      </c>
      <c r="AM69" s="3">
        <f t="shared" si="6"/>
        <v>0</v>
      </c>
      <c r="AN69" s="3">
        <f t="shared" si="7"/>
        <v>0</v>
      </c>
      <c r="AO69" s="3">
        <f t="shared" si="8"/>
        <v>0</v>
      </c>
      <c r="AP69" s="3">
        <f t="shared" si="9"/>
        <v>0</v>
      </c>
    </row>
    <row r="70" spans="1:42" ht="27" customHeight="1" x14ac:dyDescent="0.3">
      <c r="A70" s="4"/>
      <c r="B70" s="4"/>
      <c r="C70" s="4"/>
      <c r="D70" s="4"/>
      <c r="E70" s="4"/>
      <c r="F70" s="4"/>
      <c r="G70" s="4"/>
      <c r="H70" s="4">
        <f t="shared" si="10"/>
        <v>44</v>
      </c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>
        <v>30</v>
      </c>
      <c r="W70" s="4">
        <v>30</v>
      </c>
      <c r="X70" s="4"/>
      <c r="Y70" s="4"/>
      <c r="Z70" s="4"/>
      <c r="AA70" s="4"/>
      <c r="AB70" s="4">
        <v>20</v>
      </c>
      <c r="AC70" s="4">
        <v>10</v>
      </c>
      <c r="AD70" s="4">
        <v>10</v>
      </c>
      <c r="AE70" s="4"/>
      <c r="AF70" s="4"/>
      <c r="AG70" s="4"/>
      <c r="AH70" s="55"/>
      <c r="AI70" s="3">
        <f t="shared" si="2"/>
        <v>0</v>
      </c>
      <c r="AJ70" s="3">
        <f t="shared" si="3"/>
        <v>0</v>
      </c>
      <c r="AK70" s="3">
        <f t="shared" si="4"/>
        <v>0</v>
      </c>
      <c r="AL70" s="3">
        <f t="shared" si="5"/>
        <v>0</v>
      </c>
      <c r="AM70" s="3">
        <f t="shared" si="6"/>
        <v>0</v>
      </c>
      <c r="AN70" s="3">
        <f t="shared" si="7"/>
        <v>0</v>
      </c>
      <c r="AO70" s="3">
        <f t="shared" si="8"/>
        <v>0</v>
      </c>
      <c r="AP70" s="3">
        <f t="shared" si="9"/>
        <v>0</v>
      </c>
    </row>
    <row r="71" spans="1:42" ht="27" customHeight="1" x14ac:dyDescent="0.3">
      <c r="A71" s="4"/>
      <c r="B71" s="4"/>
      <c r="C71" s="4"/>
      <c r="D71" s="4"/>
      <c r="E71" s="4"/>
      <c r="F71" s="4"/>
      <c r="G71" s="4"/>
      <c r="H71" s="4">
        <f t="shared" si="10"/>
        <v>44</v>
      </c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>
        <v>30</v>
      </c>
      <c r="W71" s="4">
        <v>30</v>
      </c>
      <c r="X71" s="4"/>
      <c r="Y71" s="4"/>
      <c r="Z71" s="4"/>
      <c r="AA71" s="4"/>
      <c r="AB71" s="4">
        <v>20</v>
      </c>
      <c r="AC71" s="4">
        <v>10</v>
      </c>
      <c r="AD71" s="4">
        <v>10</v>
      </c>
      <c r="AE71" s="4"/>
      <c r="AF71" s="4"/>
      <c r="AG71" s="4"/>
      <c r="AH71" s="55"/>
      <c r="AI71" s="3">
        <f t="shared" si="2"/>
        <v>0</v>
      </c>
      <c r="AJ71" s="3">
        <f t="shared" si="3"/>
        <v>0</v>
      </c>
      <c r="AK71" s="3">
        <f t="shared" si="4"/>
        <v>0</v>
      </c>
      <c r="AL71" s="3">
        <f t="shared" si="5"/>
        <v>0</v>
      </c>
      <c r="AM71" s="3">
        <f t="shared" si="6"/>
        <v>0</v>
      </c>
      <c r="AN71" s="3">
        <f t="shared" si="7"/>
        <v>0</v>
      </c>
      <c r="AO71" s="3">
        <f t="shared" si="8"/>
        <v>0</v>
      </c>
      <c r="AP71" s="3">
        <f t="shared" si="9"/>
        <v>0</v>
      </c>
    </row>
    <row r="72" spans="1:42" ht="27" customHeight="1" x14ac:dyDescent="0.3">
      <c r="A72" s="4"/>
      <c r="B72" s="4"/>
      <c r="C72" s="4"/>
      <c r="D72" s="4"/>
      <c r="E72" s="4"/>
      <c r="F72" s="4"/>
      <c r="G72" s="4"/>
      <c r="H72" s="4">
        <f t="shared" ref="H72:H129" si="11">G72+44</f>
        <v>44</v>
      </c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>
        <v>30</v>
      </c>
      <c r="W72" s="4">
        <v>30</v>
      </c>
      <c r="X72" s="4"/>
      <c r="Y72" s="4"/>
      <c r="Z72" s="4"/>
      <c r="AA72" s="4"/>
      <c r="AB72" s="4">
        <v>20</v>
      </c>
      <c r="AC72" s="4">
        <v>10</v>
      </c>
      <c r="AD72" s="4">
        <v>10</v>
      </c>
      <c r="AE72" s="4"/>
      <c r="AF72" s="4"/>
      <c r="AG72" s="4"/>
      <c r="AH72" s="55"/>
      <c r="AI72" s="3">
        <f t="shared" si="2"/>
        <v>0</v>
      </c>
      <c r="AJ72" s="3">
        <f t="shared" si="3"/>
        <v>0</v>
      </c>
      <c r="AK72" s="3">
        <f t="shared" si="4"/>
        <v>0</v>
      </c>
      <c r="AL72" s="3">
        <f t="shared" si="5"/>
        <v>0</v>
      </c>
      <c r="AM72" s="3">
        <f t="shared" si="6"/>
        <v>0</v>
      </c>
      <c r="AN72" s="3">
        <f t="shared" si="7"/>
        <v>0</v>
      </c>
      <c r="AO72" s="3">
        <f t="shared" si="8"/>
        <v>0</v>
      </c>
      <c r="AP72" s="3">
        <f t="shared" si="9"/>
        <v>0</v>
      </c>
    </row>
    <row r="73" spans="1:42" ht="27" customHeight="1" x14ac:dyDescent="0.3">
      <c r="A73" s="4"/>
      <c r="B73" s="4"/>
      <c r="C73" s="4"/>
      <c r="D73" s="4"/>
      <c r="E73" s="4"/>
      <c r="F73" s="4"/>
      <c r="G73" s="4"/>
      <c r="H73" s="4">
        <f t="shared" si="11"/>
        <v>44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>
        <v>30</v>
      </c>
      <c r="W73" s="4">
        <v>30</v>
      </c>
      <c r="X73" s="4"/>
      <c r="Y73" s="4"/>
      <c r="Z73" s="4"/>
      <c r="AA73" s="4"/>
      <c r="AB73" s="4">
        <v>20</v>
      </c>
      <c r="AC73" s="4">
        <v>10</v>
      </c>
      <c r="AD73" s="4">
        <v>10</v>
      </c>
      <c r="AE73" s="4"/>
      <c r="AF73" s="4"/>
      <c r="AG73" s="4"/>
      <c r="AH73" s="55"/>
      <c r="AI73" s="3">
        <f t="shared" si="2"/>
        <v>0</v>
      </c>
      <c r="AJ73" s="3">
        <f t="shared" si="3"/>
        <v>0</v>
      </c>
      <c r="AK73" s="3">
        <f t="shared" si="4"/>
        <v>0</v>
      </c>
      <c r="AL73" s="3">
        <f t="shared" si="5"/>
        <v>0</v>
      </c>
      <c r="AM73" s="3">
        <f t="shared" si="6"/>
        <v>0</v>
      </c>
      <c r="AN73" s="3">
        <f t="shared" si="7"/>
        <v>0</v>
      </c>
      <c r="AO73" s="3">
        <f t="shared" si="8"/>
        <v>0</v>
      </c>
      <c r="AP73" s="3">
        <f t="shared" si="9"/>
        <v>0</v>
      </c>
    </row>
    <row r="74" spans="1:42" ht="27" customHeight="1" x14ac:dyDescent="0.3">
      <c r="A74" s="4"/>
      <c r="B74" s="4"/>
      <c r="C74" s="4"/>
      <c r="D74" s="4"/>
      <c r="E74" s="4"/>
      <c r="F74" s="4"/>
      <c r="G74" s="4"/>
      <c r="H74" s="4">
        <f t="shared" si="11"/>
        <v>44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>
        <v>30</v>
      </c>
      <c r="W74" s="4">
        <v>30</v>
      </c>
      <c r="X74" s="4"/>
      <c r="Y74" s="4"/>
      <c r="Z74" s="4"/>
      <c r="AA74" s="4"/>
      <c r="AB74" s="4">
        <v>20</v>
      </c>
      <c r="AC74" s="4">
        <v>10</v>
      </c>
      <c r="AD74" s="4">
        <v>10</v>
      </c>
      <c r="AE74" s="4"/>
      <c r="AF74" s="4"/>
      <c r="AG74" s="4"/>
      <c r="AH74" s="55"/>
      <c r="AI74" s="3">
        <f t="shared" si="2"/>
        <v>0</v>
      </c>
      <c r="AJ74" s="3">
        <f t="shared" si="3"/>
        <v>0</v>
      </c>
      <c r="AK74" s="3">
        <f t="shared" si="4"/>
        <v>0</v>
      </c>
      <c r="AL74" s="3">
        <f t="shared" si="5"/>
        <v>0</v>
      </c>
      <c r="AM74" s="3">
        <f t="shared" si="6"/>
        <v>0</v>
      </c>
      <c r="AN74" s="3">
        <f t="shared" si="7"/>
        <v>0</v>
      </c>
      <c r="AO74" s="3">
        <f t="shared" si="8"/>
        <v>0</v>
      </c>
      <c r="AP74" s="3">
        <f t="shared" si="9"/>
        <v>0</v>
      </c>
    </row>
    <row r="75" spans="1:42" ht="27" customHeight="1" x14ac:dyDescent="0.3">
      <c r="A75" s="4"/>
      <c r="B75" s="4"/>
      <c r="C75" s="4"/>
      <c r="D75" s="4"/>
      <c r="E75" s="4"/>
      <c r="F75" s="4"/>
      <c r="G75" s="4"/>
      <c r="H75" s="4">
        <f t="shared" si="11"/>
        <v>44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>
        <v>30</v>
      </c>
      <c r="W75" s="4">
        <v>30</v>
      </c>
      <c r="X75" s="4"/>
      <c r="Y75" s="4"/>
      <c r="Z75" s="4"/>
      <c r="AA75" s="4"/>
      <c r="AB75" s="4">
        <v>20</v>
      </c>
      <c r="AC75" s="4">
        <v>10</v>
      </c>
      <c r="AD75" s="4">
        <v>10</v>
      </c>
      <c r="AE75" s="4"/>
      <c r="AF75" s="4"/>
      <c r="AG75" s="4"/>
      <c r="AH75" s="55"/>
      <c r="AI75" s="3">
        <f t="shared" si="2"/>
        <v>0</v>
      </c>
      <c r="AJ75" s="3">
        <f t="shared" si="3"/>
        <v>0</v>
      </c>
      <c r="AK75" s="3">
        <f t="shared" si="4"/>
        <v>0</v>
      </c>
      <c r="AL75" s="3">
        <f t="shared" si="5"/>
        <v>0</v>
      </c>
      <c r="AM75" s="3">
        <f t="shared" si="6"/>
        <v>0</v>
      </c>
      <c r="AN75" s="3">
        <f t="shared" si="7"/>
        <v>0</v>
      </c>
      <c r="AO75" s="3">
        <f t="shared" si="8"/>
        <v>0</v>
      </c>
      <c r="AP75" s="3">
        <f t="shared" si="9"/>
        <v>0</v>
      </c>
    </row>
    <row r="76" spans="1:42" ht="27" customHeight="1" x14ac:dyDescent="0.3">
      <c r="A76" s="4"/>
      <c r="B76" s="4"/>
      <c r="C76" s="4"/>
      <c r="D76" s="4"/>
      <c r="E76" s="4"/>
      <c r="F76" s="4"/>
      <c r="G76" s="4"/>
      <c r="H76" s="4">
        <f t="shared" si="11"/>
        <v>44</v>
      </c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>
        <v>30</v>
      </c>
      <c r="W76" s="4">
        <v>30</v>
      </c>
      <c r="X76" s="4"/>
      <c r="Y76" s="4"/>
      <c r="Z76" s="4"/>
      <c r="AA76" s="4"/>
      <c r="AB76" s="4">
        <v>20</v>
      </c>
      <c r="AC76" s="4">
        <v>10</v>
      </c>
      <c r="AD76" s="4">
        <v>10</v>
      </c>
      <c r="AE76" s="4"/>
      <c r="AF76" s="4"/>
      <c r="AG76" s="4"/>
      <c r="AH76" s="55"/>
      <c r="AI76" s="3">
        <f t="shared" ref="AI76:AI129" si="12">X76+$AH76</f>
        <v>0</v>
      </c>
      <c r="AJ76" s="3">
        <f t="shared" ref="AJ76:AJ129" si="13">Y76+$AH76</f>
        <v>0</v>
      </c>
      <c r="AK76" s="3">
        <f t="shared" ref="AK76:AK129" si="14">Z76+$AH76</f>
        <v>0</v>
      </c>
      <c r="AL76" s="3">
        <f t="shared" ref="AL76:AL129" si="15">AA76+$AH76</f>
        <v>0</v>
      </c>
      <c r="AM76" s="3">
        <f t="shared" ref="AM76:AM129" si="16">G76-$AH76</f>
        <v>0</v>
      </c>
      <c r="AN76" s="3">
        <f t="shared" ref="AN76:AN129" si="17">I76-$AH76</f>
        <v>0</v>
      </c>
      <c r="AO76" s="3">
        <f t="shared" ref="AO76:AO129" si="18">J76-$AH76</f>
        <v>0</v>
      </c>
      <c r="AP76" s="3">
        <f t="shared" ref="AP76:AP129" si="19">K76-$AH76</f>
        <v>0</v>
      </c>
    </row>
    <row r="77" spans="1:42" ht="27" customHeight="1" x14ac:dyDescent="0.3">
      <c r="A77" s="4"/>
      <c r="B77" s="4"/>
      <c r="C77" s="4"/>
      <c r="D77" s="4"/>
      <c r="E77" s="4"/>
      <c r="F77" s="4"/>
      <c r="G77" s="4"/>
      <c r="H77" s="4">
        <f t="shared" si="11"/>
        <v>44</v>
      </c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>
        <v>30</v>
      </c>
      <c r="W77" s="4">
        <v>30</v>
      </c>
      <c r="X77" s="4"/>
      <c r="Y77" s="4"/>
      <c r="Z77" s="4"/>
      <c r="AA77" s="4"/>
      <c r="AB77" s="4">
        <v>20</v>
      </c>
      <c r="AC77" s="4">
        <v>10</v>
      </c>
      <c r="AD77" s="4">
        <v>10</v>
      </c>
      <c r="AE77" s="4"/>
      <c r="AF77" s="4"/>
      <c r="AG77" s="4"/>
      <c r="AH77" s="55"/>
      <c r="AI77" s="3">
        <f t="shared" si="12"/>
        <v>0</v>
      </c>
      <c r="AJ77" s="3">
        <f t="shared" si="13"/>
        <v>0</v>
      </c>
      <c r="AK77" s="3">
        <f t="shared" si="14"/>
        <v>0</v>
      </c>
      <c r="AL77" s="3">
        <f t="shared" si="15"/>
        <v>0</v>
      </c>
      <c r="AM77" s="3">
        <f t="shared" si="16"/>
        <v>0</v>
      </c>
      <c r="AN77" s="3">
        <f t="shared" si="17"/>
        <v>0</v>
      </c>
      <c r="AO77" s="3">
        <f t="shared" si="18"/>
        <v>0</v>
      </c>
      <c r="AP77" s="3">
        <f t="shared" si="19"/>
        <v>0</v>
      </c>
    </row>
    <row r="78" spans="1:42" ht="27" customHeight="1" x14ac:dyDescent="0.3">
      <c r="A78" s="4"/>
      <c r="B78" s="4"/>
      <c r="C78" s="4"/>
      <c r="D78" s="4"/>
      <c r="E78" s="4"/>
      <c r="F78" s="4"/>
      <c r="G78" s="4"/>
      <c r="H78" s="4">
        <f t="shared" si="11"/>
        <v>44</v>
      </c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>
        <v>30</v>
      </c>
      <c r="W78" s="4">
        <v>30</v>
      </c>
      <c r="X78" s="4"/>
      <c r="Y78" s="4"/>
      <c r="Z78" s="4"/>
      <c r="AA78" s="4"/>
      <c r="AB78" s="4">
        <v>20</v>
      </c>
      <c r="AC78" s="4">
        <v>10</v>
      </c>
      <c r="AD78" s="4">
        <v>10</v>
      </c>
      <c r="AE78" s="4"/>
      <c r="AF78" s="4"/>
      <c r="AG78" s="4"/>
      <c r="AH78" s="55"/>
      <c r="AI78" s="3">
        <f t="shared" si="12"/>
        <v>0</v>
      </c>
      <c r="AJ78" s="3">
        <f t="shared" si="13"/>
        <v>0</v>
      </c>
      <c r="AK78" s="3">
        <f t="shared" si="14"/>
        <v>0</v>
      </c>
      <c r="AL78" s="3">
        <f t="shared" si="15"/>
        <v>0</v>
      </c>
      <c r="AM78" s="3">
        <f t="shared" si="16"/>
        <v>0</v>
      </c>
      <c r="AN78" s="3">
        <f t="shared" si="17"/>
        <v>0</v>
      </c>
      <c r="AO78" s="3">
        <f t="shared" si="18"/>
        <v>0</v>
      </c>
      <c r="AP78" s="3">
        <f t="shared" si="19"/>
        <v>0</v>
      </c>
    </row>
    <row r="79" spans="1:42" ht="27" customHeight="1" x14ac:dyDescent="0.3">
      <c r="A79" s="4"/>
      <c r="B79" s="4"/>
      <c r="C79" s="4"/>
      <c r="D79" s="4"/>
      <c r="E79" s="4"/>
      <c r="F79" s="4"/>
      <c r="G79" s="4"/>
      <c r="H79" s="4">
        <f t="shared" si="11"/>
        <v>44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>
        <v>30</v>
      </c>
      <c r="W79" s="4">
        <v>30</v>
      </c>
      <c r="X79" s="4"/>
      <c r="Y79" s="4"/>
      <c r="Z79" s="4"/>
      <c r="AA79" s="4"/>
      <c r="AB79" s="4">
        <v>20</v>
      </c>
      <c r="AC79" s="4">
        <v>10</v>
      </c>
      <c r="AD79" s="4">
        <v>10</v>
      </c>
      <c r="AE79" s="4"/>
      <c r="AF79" s="4"/>
      <c r="AG79" s="4"/>
      <c r="AH79" s="55"/>
      <c r="AI79" s="3">
        <f t="shared" si="12"/>
        <v>0</v>
      </c>
      <c r="AJ79" s="3">
        <f t="shared" si="13"/>
        <v>0</v>
      </c>
      <c r="AK79" s="3">
        <f t="shared" si="14"/>
        <v>0</v>
      </c>
      <c r="AL79" s="3">
        <f t="shared" si="15"/>
        <v>0</v>
      </c>
      <c r="AM79" s="3">
        <f t="shared" si="16"/>
        <v>0</v>
      </c>
      <c r="AN79" s="3">
        <f t="shared" si="17"/>
        <v>0</v>
      </c>
      <c r="AO79" s="3">
        <f t="shared" si="18"/>
        <v>0</v>
      </c>
      <c r="AP79" s="3">
        <f t="shared" si="19"/>
        <v>0</v>
      </c>
    </row>
    <row r="80" spans="1:42" ht="27" customHeight="1" x14ac:dyDescent="0.3">
      <c r="A80" s="4"/>
      <c r="B80" s="4"/>
      <c r="C80" s="4"/>
      <c r="D80" s="4"/>
      <c r="E80" s="4"/>
      <c r="F80" s="4"/>
      <c r="G80" s="4"/>
      <c r="H80" s="4">
        <f t="shared" si="11"/>
        <v>44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>
        <v>30</v>
      </c>
      <c r="W80" s="4">
        <v>30</v>
      </c>
      <c r="X80" s="4"/>
      <c r="Y80" s="4"/>
      <c r="Z80" s="4"/>
      <c r="AA80" s="4"/>
      <c r="AB80" s="4">
        <v>20</v>
      </c>
      <c r="AC80" s="4">
        <v>10</v>
      </c>
      <c r="AD80" s="4">
        <v>10</v>
      </c>
      <c r="AE80" s="4"/>
      <c r="AF80" s="4"/>
      <c r="AG80" s="4"/>
      <c r="AH80" s="55"/>
      <c r="AI80" s="3">
        <f t="shared" si="12"/>
        <v>0</v>
      </c>
      <c r="AJ80" s="3">
        <f t="shared" si="13"/>
        <v>0</v>
      </c>
      <c r="AK80" s="3">
        <f t="shared" si="14"/>
        <v>0</v>
      </c>
      <c r="AL80" s="3">
        <f t="shared" si="15"/>
        <v>0</v>
      </c>
      <c r="AM80" s="3">
        <f t="shared" si="16"/>
        <v>0</v>
      </c>
      <c r="AN80" s="3">
        <f t="shared" si="17"/>
        <v>0</v>
      </c>
      <c r="AO80" s="3">
        <f t="shared" si="18"/>
        <v>0</v>
      </c>
      <c r="AP80" s="3">
        <f t="shared" si="19"/>
        <v>0</v>
      </c>
    </row>
    <row r="81" spans="1:42" ht="27" customHeight="1" x14ac:dyDescent="0.3">
      <c r="A81" s="4"/>
      <c r="B81" s="4"/>
      <c r="C81" s="4"/>
      <c r="D81" s="4"/>
      <c r="E81" s="4"/>
      <c r="F81" s="4"/>
      <c r="G81" s="4"/>
      <c r="H81" s="4">
        <f t="shared" si="11"/>
        <v>44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>
        <v>30</v>
      </c>
      <c r="W81" s="4">
        <v>30</v>
      </c>
      <c r="X81" s="4"/>
      <c r="Y81" s="4"/>
      <c r="Z81" s="4"/>
      <c r="AA81" s="4"/>
      <c r="AB81" s="4">
        <v>20</v>
      </c>
      <c r="AC81" s="4">
        <v>10</v>
      </c>
      <c r="AD81" s="4">
        <v>10</v>
      </c>
      <c r="AE81" s="4"/>
      <c r="AF81" s="4"/>
      <c r="AG81" s="4"/>
      <c r="AH81" s="55"/>
      <c r="AI81" s="3">
        <f t="shared" si="12"/>
        <v>0</v>
      </c>
      <c r="AJ81" s="3">
        <f t="shared" si="13"/>
        <v>0</v>
      </c>
      <c r="AK81" s="3">
        <f t="shared" si="14"/>
        <v>0</v>
      </c>
      <c r="AL81" s="3">
        <f t="shared" si="15"/>
        <v>0</v>
      </c>
      <c r="AM81" s="3">
        <f t="shared" si="16"/>
        <v>0</v>
      </c>
      <c r="AN81" s="3">
        <f t="shared" si="17"/>
        <v>0</v>
      </c>
      <c r="AO81" s="3">
        <f t="shared" si="18"/>
        <v>0</v>
      </c>
      <c r="AP81" s="3">
        <f t="shared" si="19"/>
        <v>0</v>
      </c>
    </row>
    <row r="82" spans="1:42" ht="27" customHeight="1" x14ac:dyDescent="0.3">
      <c r="A82" s="4"/>
      <c r="B82" s="4"/>
      <c r="C82" s="4"/>
      <c r="D82" s="4"/>
      <c r="E82" s="4"/>
      <c r="F82" s="4"/>
      <c r="G82" s="4"/>
      <c r="H82" s="4">
        <f t="shared" si="11"/>
        <v>44</v>
      </c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>
        <v>30</v>
      </c>
      <c r="W82" s="4">
        <v>30</v>
      </c>
      <c r="X82" s="4"/>
      <c r="Y82" s="4"/>
      <c r="Z82" s="4"/>
      <c r="AA82" s="4"/>
      <c r="AB82" s="4">
        <v>20</v>
      </c>
      <c r="AC82" s="4">
        <v>10</v>
      </c>
      <c r="AD82" s="4">
        <v>10</v>
      </c>
      <c r="AE82" s="4"/>
      <c r="AF82" s="4"/>
      <c r="AG82" s="4"/>
      <c r="AH82" s="55"/>
      <c r="AI82" s="3">
        <f t="shared" si="12"/>
        <v>0</v>
      </c>
      <c r="AJ82" s="3">
        <f t="shared" si="13"/>
        <v>0</v>
      </c>
      <c r="AK82" s="3">
        <f t="shared" si="14"/>
        <v>0</v>
      </c>
      <c r="AL82" s="3">
        <f t="shared" si="15"/>
        <v>0</v>
      </c>
      <c r="AM82" s="3">
        <f t="shared" si="16"/>
        <v>0</v>
      </c>
      <c r="AN82" s="3">
        <f t="shared" si="17"/>
        <v>0</v>
      </c>
      <c r="AO82" s="3">
        <f t="shared" si="18"/>
        <v>0</v>
      </c>
      <c r="AP82" s="3">
        <f t="shared" si="19"/>
        <v>0</v>
      </c>
    </row>
    <row r="83" spans="1:42" ht="27" customHeight="1" x14ac:dyDescent="0.3">
      <c r="A83" s="4"/>
      <c r="B83" s="4"/>
      <c r="C83" s="4"/>
      <c r="D83" s="4"/>
      <c r="E83" s="4"/>
      <c r="F83" s="4"/>
      <c r="G83" s="4"/>
      <c r="H83" s="4">
        <f t="shared" si="11"/>
        <v>44</v>
      </c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>
        <v>30</v>
      </c>
      <c r="W83" s="4">
        <v>30</v>
      </c>
      <c r="X83" s="4"/>
      <c r="Y83" s="4"/>
      <c r="Z83" s="4"/>
      <c r="AA83" s="4"/>
      <c r="AB83" s="4">
        <v>20</v>
      </c>
      <c r="AC83" s="4">
        <v>10</v>
      </c>
      <c r="AD83" s="4">
        <v>10</v>
      </c>
      <c r="AE83" s="4"/>
      <c r="AF83" s="4"/>
      <c r="AG83" s="4"/>
      <c r="AH83" s="55"/>
      <c r="AI83" s="3">
        <f t="shared" si="12"/>
        <v>0</v>
      </c>
      <c r="AJ83" s="3">
        <f t="shared" si="13"/>
        <v>0</v>
      </c>
      <c r="AK83" s="3">
        <f t="shared" si="14"/>
        <v>0</v>
      </c>
      <c r="AL83" s="3">
        <f t="shared" si="15"/>
        <v>0</v>
      </c>
      <c r="AM83" s="3">
        <f t="shared" si="16"/>
        <v>0</v>
      </c>
      <c r="AN83" s="3">
        <f t="shared" si="17"/>
        <v>0</v>
      </c>
      <c r="AO83" s="3">
        <f t="shared" si="18"/>
        <v>0</v>
      </c>
      <c r="AP83" s="3">
        <f t="shared" si="19"/>
        <v>0</v>
      </c>
    </row>
    <row r="84" spans="1:42" ht="27" customHeight="1" x14ac:dyDescent="0.3">
      <c r="A84" s="4"/>
      <c r="B84" s="4"/>
      <c r="C84" s="4"/>
      <c r="D84" s="4"/>
      <c r="E84" s="4"/>
      <c r="F84" s="4"/>
      <c r="G84" s="4"/>
      <c r="H84" s="4">
        <f t="shared" si="11"/>
        <v>44</v>
      </c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>
        <v>30</v>
      </c>
      <c r="W84" s="4">
        <v>30</v>
      </c>
      <c r="X84" s="4"/>
      <c r="Y84" s="4"/>
      <c r="Z84" s="4"/>
      <c r="AA84" s="4"/>
      <c r="AB84" s="4">
        <v>20</v>
      </c>
      <c r="AC84" s="4">
        <v>10</v>
      </c>
      <c r="AD84" s="4">
        <v>10</v>
      </c>
      <c r="AE84" s="4"/>
      <c r="AF84" s="4"/>
      <c r="AG84" s="4"/>
      <c r="AH84" s="55"/>
      <c r="AI84" s="3">
        <f t="shared" si="12"/>
        <v>0</v>
      </c>
      <c r="AJ84" s="3">
        <f t="shared" si="13"/>
        <v>0</v>
      </c>
      <c r="AK84" s="3">
        <f t="shared" si="14"/>
        <v>0</v>
      </c>
      <c r="AL84" s="3">
        <f t="shared" si="15"/>
        <v>0</v>
      </c>
      <c r="AM84" s="3">
        <f t="shared" si="16"/>
        <v>0</v>
      </c>
      <c r="AN84" s="3">
        <f t="shared" si="17"/>
        <v>0</v>
      </c>
      <c r="AO84" s="3">
        <f t="shared" si="18"/>
        <v>0</v>
      </c>
      <c r="AP84" s="3">
        <f t="shared" si="19"/>
        <v>0</v>
      </c>
    </row>
    <row r="85" spans="1:42" ht="27" customHeight="1" x14ac:dyDescent="0.3">
      <c r="A85" s="4"/>
      <c r="B85" s="4"/>
      <c r="C85" s="4"/>
      <c r="D85" s="4"/>
      <c r="E85" s="4"/>
      <c r="F85" s="4"/>
      <c r="G85" s="4"/>
      <c r="H85" s="4">
        <f t="shared" si="11"/>
        <v>44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>
        <v>30</v>
      </c>
      <c r="W85" s="4">
        <v>30</v>
      </c>
      <c r="X85" s="4"/>
      <c r="Y85" s="4"/>
      <c r="Z85" s="4"/>
      <c r="AA85" s="4"/>
      <c r="AB85" s="4">
        <v>20</v>
      </c>
      <c r="AC85" s="4">
        <v>10</v>
      </c>
      <c r="AD85" s="4">
        <v>10</v>
      </c>
      <c r="AE85" s="4"/>
      <c r="AF85" s="4"/>
      <c r="AG85" s="4"/>
      <c r="AH85" s="55"/>
      <c r="AI85" s="3">
        <f t="shared" si="12"/>
        <v>0</v>
      </c>
      <c r="AJ85" s="3">
        <f t="shared" si="13"/>
        <v>0</v>
      </c>
      <c r="AK85" s="3">
        <f t="shared" si="14"/>
        <v>0</v>
      </c>
      <c r="AL85" s="3">
        <f t="shared" si="15"/>
        <v>0</v>
      </c>
      <c r="AM85" s="3">
        <f t="shared" si="16"/>
        <v>0</v>
      </c>
      <c r="AN85" s="3">
        <f t="shared" si="17"/>
        <v>0</v>
      </c>
      <c r="AO85" s="3">
        <f t="shared" si="18"/>
        <v>0</v>
      </c>
      <c r="AP85" s="3">
        <f t="shared" si="19"/>
        <v>0</v>
      </c>
    </row>
    <row r="86" spans="1:42" ht="27" customHeight="1" x14ac:dyDescent="0.3">
      <c r="A86" s="4"/>
      <c r="B86" s="4"/>
      <c r="C86" s="4"/>
      <c r="D86" s="4"/>
      <c r="E86" s="4"/>
      <c r="F86" s="4"/>
      <c r="G86" s="4"/>
      <c r="H86" s="4">
        <f t="shared" si="11"/>
        <v>44</v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>
        <v>30</v>
      </c>
      <c r="W86" s="4">
        <v>30</v>
      </c>
      <c r="X86" s="4"/>
      <c r="Y86" s="4"/>
      <c r="Z86" s="4"/>
      <c r="AA86" s="4"/>
      <c r="AB86" s="4">
        <v>20</v>
      </c>
      <c r="AC86" s="4">
        <v>10</v>
      </c>
      <c r="AD86" s="4">
        <v>10</v>
      </c>
      <c r="AE86" s="4"/>
      <c r="AF86" s="4"/>
      <c r="AG86" s="4"/>
      <c r="AH86" s="55"/>
      <c r="AI86" s="3">
        <f t="shared" si="12"/>
        <v>0</v>
      </c>
      <c r="AJ86" s="3">
        <f t="shared" si="13"/>
        <v>0</v>
      </c>
      <c r="AK86" s="3">
        <f t="shared" si="14"/>
        <v>0</v>
      </c>
      <c r="AL86" s="3">
        <f t="shared" si="15"/>
        <v>0</v>
      </c>
      <c r="AM86" s="3">
        <f t="shared" si="16"/>
        <v>0</v>
      </c>
      <c r="AN86" s="3">
        <f t="shared" si="17"/>
        <v>0</v>
      </c>
      <c r="AO86" s="3">
        <f t="shared" si="18"/>
        <v>0</v>
      </c>
      <c r="AP86" s="3">
        <f t="shared" si="19"/>
        <v>0</v>
      </c>
    </row>
    <row r="87" spans="1:42" ht="27" customHeight="1" x14ac:dyDescent="0.3">
      <c r="A87" s="4"/>
      <c r="B87" s="4"/>
      <c r="C87" s="4"/>
      <c r="D87" s="4"/>
      <c r="E87" s="4"/>
      <c r="F87" s="4"/>
      <c r="G87" s="4"/>
      <c r="H87" s="4">
        <f t="shared" si="11"/>
        <v>44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>
        <v>30</v>
      </c>
      <c r="W87" s="4">
        <v>30</v>
      </c>
      <c r="X87" s="4"/>
      <c r="Y87" s="4"/>
      <c r="Z87" s="4"/>
      <c r="AA87" s="4"/>
      <c r="AB87" s="4">
        <v>20</v>
      </c>
      <c r="AC87" s="4">
        <v>10</v>
      </c>
      <c r="AD87" s="4">
        <v>10</v>
      </c>
      <c r="AE87" s="4"/>
      <c r="AF87" s="4"/>
      <c r="AG87" s="4"/>
      <c r="AH87" s="55"/>
      <c r="AI87" s="3">
        <f t="shared" si="12"/>
        <v>0</v>
      </c>
      <c r="AJ87" s="3">
        <f t="shared" si="13"/>
        <v>0</v>
      </c>
      <c r="AK87" s="3">
        <f t="shared" si="14"/>
        <v>0</v>
      </c>
      <c r="AL87" s="3">
        <f t="shared" si="15"/>
        <v>0</v>
      </c>
      <c r="AM87" s="3">
        <f t="shared" si="16"/>
        <v>0</v>
      </c>
      <c r="AN87" s="3">
        <f t="shared" si="17"/>
        <v>0</v>
      </c>
      <c r="AO87" s="3">
        <f t="shared" si="18"/>
        <v>0</v>
      </c>
      <c r="AP87" s="3">
        <f t="shared" si="19"/>
        <v>0</v>
      </c>
    </row>
    <row r="88" spans="1:42" ht="27" customHeight="1" x14ac:dyDescent="0.3">
      <c r="A88" s="4"/>
      <c r="B88" s="4"/>
      <c r="C88" s="4"/>
      <c r="D88" s="4"/>
      <c r="E88" s="4"/>
      <c r="F88" s="4"/>
      <c r="G88" s="4"/>
      <c r="H88" s="4">
        <f t="shared" si="11"/>
        <v>44</v>
      </c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>
        <v>30</v>
      </c>
      <c r="W88" s="4">
        <v>30</v>
      </c>
      <c r="X88" s="4"/>
      <c r="Y88" s="4"/>
      <c r="Z88" s="4"/>
      <c r="AA88" s="4"/>
      <c r="AB88" s="4">
        <v>20</v>
      </c>
      <c r="AC88" s="4">
        <v>10</v>
      </c>
      <c r="AD88" s="4">
        <v>10</v>
      </c>
      <c r="AE88" s="4"/>
      <c r="AF88" s="4"/>
      <c r="AG88" s="4"/>
      <c r="AH88" s="55"/>
      <c r="AI88" s="3">
        <f t="shared" si="12"/>
        <v>0</v>
      </c>
      <c r="AJ88" s="3">
        <f t="shared" si="13"/>
        <v>0</v>
      </c>
      <c r="AK88" s="3">
        <f t="shared" si="14"/>
        <v>0</v>
      </c>
      <c r="AL88" s="3">
        <f t="shared" si="15"/>
        <v>0</v>
      </c>
      <c r="AM88" s="3">
        <f t="shared" si="16"/>
        <v>0</v>
      </c>
      <c r="AN88" s="3">
        <f t="shared" si="17"/>
        <v>0</v>
      </c>
      <c r="AO88" s="3">
        <f t="shared" si="18"/>
        <v>0</v>
      </c>
      <c r="AP88" s="3">
        <f t="shared" si="19"/>
        <v>0</v>
      </c>
    </row>
    <row r="89" spans="1:42" ht="27" customHeight="1" x14ac:dyDescent="0.3">
      <c r="A89" s="4"/>
      <c r="B89" s="4"/>
      <c r="C89" s="4"/>
      <c r="D89" s="4"/>
      <c r="E89" s="4"/>
      <c r="F89" s="4"/>
      <c r="G89" s="4"/>
      <c r="H89" s="4">
        <f t="shared" si="11"/>
        <v>44</v>
      </c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>
        <v>30</v>
      </c>
      <c r="W89" s="4">
        <v>30</v>
      </c>
      <c r="X89" s="4"/>
      <c r="Y89" s="4"/>
      <c r="Z89" s="4"/>
      <c r="AA89" s="4"/>
      <c r="AB89" s="4">
        <v>20</v>
      </c>
      <c r="AC89" s="4">
        <v>10</v>
      </c>
      <c r="AD89" s="4">
        <v>10</v>
      </c>
      <c r="AE89" s="4"/>
      <c r="AF89" s="4"/>
      <c r="AG89" s="4"/>
      <c r="AH89" s="55"/>
      <c r="AI89" s="3">
        <f t="shared" si="12"/>
        <v>0</v>
      </c>
      <c r="AJ89" s="3">
        <f t="shared" si="13"/>
        <v>0</v>
      </c>
      <c r="AK89" s="3">
        <f t="shared" si="14"/>
        <v>0</v>
      </c>
      <c r="AL89" s="3">
        <f t="shared" si="15"/>
        <v>0</v>
      </c>
      <c r="AM89" s="3">
        <f t="shared" si="16"/>
        <v>0</v>
      </c>
      <c r="AN89" s="3">
        <f t="shared" si="17"/>
        <v>0</v>
      </c>
      <c r="AO89" s="3">
        <f t="shared" si="18"/>
        <v>0</v>
      </c>
      <c r="AP89" s="3">
        <f t="shared" si="19"/>
        <v>0</v>
      </c>
    </row>
    <row r="90" spans="1:42" ht="27" customHeight="1" x14ac:dyDescent="0.3">
      <c r="A90" s="4"/>
      <c r="B90" s="4"/>
      <c r="C90" s="4"/>
      <c r="D90" s="4"/>
      <c r="E90" s="4"/>
      <c r="F90" s="4"/>
      <c r="G90" s="4"/>
      <c r="H90" s="4">
        <f t="shared" si="11"/>
        <v>44</v>
      </c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>
        <v>30</v>
      </c>
      <c r="W90" s="4">
        <v>30</v>
      </c>
      <c r="X90" s="4"/>
      <c r="Y90" s="4"/>
      <c r="Z90" s="4"/>
      <c r="AA90" s="4"/>
      <c r="AB90" s="4">
        <v>20</v>
      </c>
      <c r="AC90" s="4">
        <v>10</v>
      </c>
      <c r="AD90" s="4">
        <v>10</v>
      </c>
      <c r="AE90" s="4"/>
      <c r="AF90" s="4"/>
      <c r="AG90" s="4"/>
      <c r="AH90" s="55"/>
      <c r="AI90" s="3">
        <f t="shared" si="12"/>
        <v>0</v>
      </c>
      <c r="AJ90" s="3">
        <f t="shared" si="13"/>
        <v>0</v>
      </c>
      <c r="AK90" s="3">
        <f t="shared" si="14"/>
        <v>0</v>
      </c>
      <c r="AL90" s="3">
        <f t="shared" si="15"/>
        <v>0</v>
      </c>
      <c r="AM90" s="3">
        <f t="shared" si="16"/>
        <v>0</v>
      </c>
      <c r="AN90" s="3">
        <f t="shared" si="17"/>
        <v>0</v>
      </c>
      <c r="AO90" s="3">
        <f t="shared" si="18"/>
        <v>0</v>
      </c>
      <c r="AP90" s="3">
        <f t="shared" si="19"/>
        <v>0</v>
      </c>
    </row>
    <row r="91" spans="1:42" ht="27" customHeight="1" x14ac:dyDescent="0.3">
      <c r="A91" s="4"/>
      <c r="B91" s="4"/>
      <c r="C91" s="4"/>
      <c r="D91" s="4"/>
      <c r="E91" s="4"/>
      <c r="F91" s="4"/>
      <c r="G91" s="4"/>
      <c r="H91" s="4">
        <f t="shared" si="11"/>
        <v>44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>
        <v>30</v>
      </c>
      <c r="W91" s="4">
        <v>30</v>
      </c>
      <c r="X91" s="4"/>
      <c r="Y91" s="4"/>
      <c r="Z91" s="4"/>
      <c r="AA91" s="4"/>
      <c r="AB91" s="4">
        <v>20</v>
      </c>
      <c r="AC91" s="4">
        <v>10</v>
      </c>
      <c r="AD91" s="4">
        <v>10</v>
      </c>
      <c r="AE91" s="4"/>
      <c r="AF91" s="4"/>
      <c r="AG91" s="4"/>
      <c r="AH91" s="55"/>
      <c r="AI91" s="3">
        <f t="shared" si="12"/>
        <v>0</v>
      </c>
      <c r="AJ91" s="3">
        <f t="shared" si="13"/>
        <v>0</v>
      </c>
      <c r="AK91" s="3">
        <f t="shared" si="14"/>
        <v>0</v>
      </c>
      <c r="AL91" s="3">
        <f t="shared" si="15"/>
        <v>0</v>
      </c>
      <c r="AM91" s="3">
        <f t="shared" si="16"/>
        <v>0</v>
      </c>
      <c r="AN91" s="3">
        <f t="shared" si="17"/>
        <v>0</v>
      </c>
      <c r="AO91" s="3">
        <f t="shared" si="18"/>
        <v>0</v>
      </c>
      <c r="AP91" s="3">
        <f t="shared" si="19"/>
        <v>0</v>
      </c>
    </row>
    <row r="92" spans="1:42" ht="27" customHeight="1" x14ac:dyDescent="0.3">
      <c r="A92" s="4"/>
      <c r="B92" s="4"/>
      <c r="C92" s="4"/>
      <c r="D92" s="4"/>
      <c r="E92" s="4"/>
      <c r="F92" s="4"/>
      <c r="G92" s="4"/>
      <c r="H92" s="4">
        <f t="shared" si="11"/>
        <v>44</v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>
        <v>30</v>
      </c>
      <c r="W92" s="4">
        <v>30</v>
      </c>
      <c r="X92" s="4"/>
      <c r="Y92" s="4"/>
      <c r="Z92" s="4"/>
      <c r="AA92" s="4"/>
      <c r="AB92" s="4">
        <v>20</v>
      </c>
      <c r="AC92" s="4">
        <v>10</v>
      </c>
      <c r="AD92" s="4">
        <v>10</v>
      </c>
      <c r="AE92" s="4"/>
      <c r="AF92" s="4"/>
      <c r="AG92" s="4"/>
      <c r="AH92" s="55"/>
      <c r="AI92" s="3">
        <f t="shared" si="12"/>
        <v>0</v>
      </c>
      <c r="AJ92" s="3">
        <f t="shared" si="13"/>
        <v>0</v>
      </c>
      <c r="AK92" s="3">
        <f t="shared" si="14"/>
        <v>0</v>
      </c>
      <c r="AL92" s="3">
        <f t="shared" si="15"/>
        <v>0</v>
      </c>
      <c r="AM92" s="3">
        <f t="shared" si="16"/>
        <v>0</v>
      </c>
      <c r="AN92" s="3">
        <f t="shared" si="17"/>
        <v>0</v>
      </c>
      <c r="AO92" s="3">
        <f t="shared" si="18"/>
        <v>0</v>
      </c>
      <c r="AP92" s="3">
        <f t="shared" si="19"/>
        <v>0</v>
      </c>
    </row>
    <row r="93" spans="1:42" ht="27" customHeight="1" x14ac:dyDescent="0.3">
      <c r="A93" s="4"/>
      <c r="B93" s="4"/>
      <c r="C93" s="4"/>
      <c r="D93" s="4"/>
      <c r="E93" s="4"/>
      <c r="F93" s="4"/>
      <c r="G93" s="4"/>
      <c r="H93" s="4">
        <f t="shared" si="11"/>
        <v>44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>
        <v>30</v>
      </c>
      <c r="W93" s="4">
        <v>30</v>
      </c>
      <c r="X93" s="4"/>
      <c r="Y93" s="4"/>
      <c r="Z93" s="4"/>
      <c r="AA93" s="4"/>
      <c r="AB93" s="4">
        <v>20</v>
      </c>
      <c r="AC93" s="4">
        <v>10</v>
      </c>
      <c r="AD93" s="4">
        <v>10</v>
      </c>
      <c r="AE93" s="4"/>
      <c r="AF93" s="4"/>
      <c r="AG93" s="4"/>
      <c r="AH93" s="55"/>
      <c r="AI93" s="3">
        <f t="shared" si="12"/>
        <v>0</v>
      </c>
      <c r="AJ93" s="3">
        <f t="shared" si="13"/>
        <v>0</v>
      </c>
      <c r="AK93" s="3">
        <f t="shared" si="14"/>
        <v>0</v>
      </c>
      <c r="AL93" s="3">
        <f t="shared" si="15"/>
        <v>0</v>
      </c>
      <c r="AM93" s="3">
        <f t="shared" si="16"/>
        <v>0</v>
      </c>
      <c r="AN93" s="3">
        <f t="shared" si="17"/>
        <v>0</v>
      </c>
      <c r="AO93" s="3">
        <f t="shared" si="18"/>
        <v>0</v>
      </c>
      <c r="AP93" s="3">
        <f t="shared" si="19"/>
        <v>0</v>
      </c>
    </row>
    <row r="94" spans="1:42" ht="27" customHeight="1" x14ac:dyDescent="0.3">
      <c r="A94" s="4"/>
      <c r="B94" s="4"/>
      <c r="C94" s="4"/>
      <c r="D94" s="4"/>
      <c r="E94" s="4"/>
      <c r="F94" s="4"/>
      <c r="G94" s="4"/>
      <c r="H94" s="4">
        <f t="shared" si="11"/>
        <v>44</v>
      </c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>
        <v>30</v>
      </c>
      <c r="W94" s="4">
        <v>30</v>
      </c>
      <c r="X94" s="4"/>
      <c r="Y94" s="4"/>
      <c r="Z94" s="4"/>
      <c r="AA94" s="4"/>
      <c r="AB94" s="4">
        <v>20</v>
      </c>
      <c r="AC94" s="4">
        <v>10</v>
      </c>
      <c r="AD94" s="4">
        <v>10</v>
      </c>
      <c r="AE94" s="4"/>
      <c r="AF94" s="4"/>
      <c r="AG94" s="4"/>
      <c r="AH94" s="55"/>
      <c r="AI94" s="3">
        <f t="shared" si="12"/>
        <v>0</v>
      </c>
      <c r="AJ94" s="3">
        <f t="shared" si="13"/>
        <v>0</v>
      </c>
      <c r="AK94" s="3">
        <f t="shared" si="14"/>
        <v>0</v>
      </c>
      <c r="AL94" s="3">
        <f t="shared" si="15"/>
        <v>0</v>
      </c>
      <c r="AM94" s="3">
        <f t="shared" si="16"/>
        <v>0</v>
      </c>
      <c r="AN94" s="3">
        <f t="shared" si="17"/>
        <v>0</v>
      </c>
      <c r="AO94" s="3">
        <f t="shared" si="18"/>
        <v>0</v>
      </c>
      <c r="AP94" s="3">
        <f t="shared" si="19"/>
        <v>0</v>
      </c>
    </row>
    <row r="95" spans="1:42" ht="27" customHeight="1" x14ac:dyDescent="0.3">
      <c r="A95" s="4"/>
      <c r="B95" s="4"/>
      <c r="C95" s="4"/>
      <c r="D95" s="4"/>
      <c r="E95" s="4"/>
      <c r="F95" s="4"/>
      <c r="G95" s="4"/>
      <c r="H95" s="4">
        <f t="shared" si="11"/>
        <v>44</v>
      </c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>
        <v>30</v>
      </c>
      <c r="W95" s="4">
        <v>30</v>
      </c>
      <c r="X95" s="4"/>
      <c r="Y95" s="4"/>
      <c r="Z95" s="4"/>
      <c r="AA95" s="4"/>
      <c r="AB95" s="4">
        <v>20</v>
      </c>
      <c r="AC95" s="4">
        <v>10</v>
      </c>
      <c r="AD95" s="4">
        <v>10</v>
      </c>
      <c r="AE95" s="4"/>
      <c r="AF95" s="4"/>
      <c r="AG95" s="4"/>
      <c r="AH95" s="55"/>
      <c r="AI95" s="3">
        <f t="shared" si="12"/>
        <v>0</v>
      </c>
      <c r="AJ95" s="3">
        <f t="shared" si="13"/>
        <v>0</v>
      </c>
      <c r="AK95" s="3">
        <f t="shared" si="14"/>
        <v>0</v>
      </c>
      <c r="AL95" s="3">
        <f t="shared" si="15"/>
        <v>0</v>
      </c>
      <c r="AM95" s="3">
        <f t="shared" si="16"/>
        <v>0</v>
      </c>
      <c r="AN95" s="3">
        <f t="shared" si="17"/>
        <v>0</v>
      </c>
      <c r="AO95" s="3">
        <f t="shared" si="18"/>
        <v>0</v>
      </c>
      <c r="AP95" s="3">
        <f t="shared" si="19"/>
        <v>0</v>
      </c>
    </row>
    <row r="96" spans="1:42" ht="27" customHeight="1" x14ac:dyDescent="0.3">
      <c r="A96" s="4"/>
      <c r="B96" s="4"/>
      <c r="C96" s="4"/>
      <c r="D96" s="4"/>
      <c r="E96" s="4"/>
      <c r="F96" s="4"/>
      <c r="G96" s="4"/>
      <c r="H96" s="4">
        <f t="shared" si="11"/>
        <v>44</v>
      </c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>
        <v>30</v>
      </c>
      <c r="W96" s="4">
        <v>30</v>
      </c>
      <c r="X96" s="4"/>
      <c r="Y96" s="4"/>
      <c r="Z96" s="4"/>
      <c r="AA96" s="4"/>
      <c r="AB96" s="4">
        <v>20</v>
      </c>
      <c r="AC96" s="4">
        <v>10</v>
      </c>
      <c r="AD96" s="4">
        <v>10</v>
      </c>
      <c r="AE96" s="4"/>
      <c r="AF96" s="4"/>
      <c r="AG96" s="4"/>
      <c r="AH96" s="55"/>
      <c r="AI96" s="3">
        <f t="shared" si="12"/>
        <v>0</v>
      </c>
      <c r="AJ96" s="3">
        <f t="shared" si="13"/>
        <v>0</v>
      </c>
      <c r="AK96" s="3">
        <f t="shared" si="14"/>
        <v>0</v>
      </c>
      <c r="AL96" s="3">
        <f t="shared" si="15"/>
        <v>0</v>
      </c>
      <c r="AM96" s="3">
        <f t="shared" si="16"/>
        <v>0</v>
      </c>
      <c r="AN96" s="3">
        <f t="shared" si="17"/>
        <v>0</v>
      </c>
      <c r="AO96" s="3">
        <f t="shared" si="18"/>
        <v>0</v>
      </c>
      <c r="AP96" s="3">
        <f t="shared" si="19"/>
        <v>0</v>
      </c>
    </row>
    <row r="97" spans="1:42" ht="27" customHeight="1" x14ac:dyDescent="0.3">
      <c r="A97" s="4"/>
      <c r="B97" s="4"/>
      <c r="C97" s="4"/>
      <c r="D97" s="4"/>
      <c r="E97" s="4"/>
      <c r="F97" s="4"/>
      <c r="G97" s="4"/>
      <c r="H97" s="4">
        <f t="shared" si="11"/>
        <v>44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>
        <v>30</v>
      </c>
      <c r="W97" s="4">
        <v>30</v>
      </c>
      <c r="X97" s="4"/>
      <c r="Y97" s="4"/>
      <c r="Z97" s="4"/>
      <c r="AA97" s="4"/>
      <c r="AB97" s="4">
        <v>20</v>
      </c>
      <c r="AC97" s="4">
        <v>10</v>
      </c>
      <c r="AD97" s="4">
        <v>10</v>
      </c>
      <c r="AE97" s="4"/>
      <c r="AF97" s="4"/>
      <c r="AG97" s="4"/>
      <c r="AH97" s="55"/>
      <c r="AI97" s="3">
        <f t="shared" si="12"/>
        <v>0</v>
      </c>
      <c r="AJ97" s="3">
        <f t="shared" si="13"/>
        <v>0</v>
      </c>
      <c r="AK97" s="3">
        <f t="shared" si="14"/>
        <v>0</v>
      </c>
      <c r="AL97" s="3">
        <f t="shared" si="15"/>
        <v>0</v>
      </c>
      <c r="AM97" s="3">
        <f t="shared" si="16"/>
        <v>0</v>
      </c>
      <c r="AN97" s="3">
        <f t="shared" si="17"/>
        <v>0</v>
      </c>
      <c r="AO97" s="3">
        <f t="shared" si="18"/>
        <v>0</v>
      </c>
      <c r="AP97" s="3">
        <f t="shared" si="19"/>
        <v>0</v>
      </c>
    </row>
    <row r="98" spans="1:42" ht="27" customHeight="1" x14ac:dyDescent="0.3">
      <c r="A98" s="4"/>
      <c r="B98" s="4"/>
      <c r="C98" s="4"/>
      <c r="D98" s="4"/>
      <c r="E98" s="4"/>
      <c r="F98" s="4"/>
      <c r="G98" s="4"/>
      <c r="H98" s="4">
        <f t="shared" si="11"/>
        <v>44</v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>
        <v>30</v>
      </c>
      <c r="W98" s="4">
        <v>30</v>
      </c>
      <c r="X98" s="4"/>
      <c r="Y98" s="4"/>
      <c r="Z98" s="4"/>
      <c r="AA98" s="4"/>
      <c r="AB98" s="4">
        <v>20</v>
      </c>
      <c r="AC98" s="4">
        <v>10</v>
      </c>
      <c r="AD98" s="4">
        <v>10</v>
      </c>
      <c r="AE98" s="4"/>
      <c r="AF98" s="4"/>
      <c r="AG98" s="4"/>
      <c r="AH98" s="55"/>
      <c r="AI98" s="3">
        <f t="shared" si="12"/>
        <v>0</v>
      </c>
      <c r="AJ98" s="3">
        <f t="shared" si="13"/>
        <v>0</v>
      </c>
      <c r="AK98" s="3">
        <f t="shared" si="14"/>
        <v>0</v>
      </c>
      <c r="AL98" s="3">
        <f t="shared" si="15"/>
        <v>0</v>
      </c>
      <c r="AM98" s="3">
        <f t="shared" si="16"/>
        <v>0</v>
      </c>
      <c r="AN98" s="3">
        <f t="shared" si="17"/>
        <v>0</v>
      </c>
      <c r="AO98" s="3">
        <f t="shared" si="18"/>
        <v>0</v>
      </c>
      <c r="AP98" s="3">
        <f t="shared" si="19"/>
        <v>0</v>
      </c>
    </row>
    <row r="99" spans="1:42" ht="27" customHeight="1" x14ac:dyDescent="0.3">
      <c r="A99" s="4"/>
      <c r="B99" s="4"/>
      <c r="C99" s="4"/>
      <c r="D99" s="4"/>
      <c r="E99" s="4"/>
      <c r="F99" s="4"/>
      <c r="G99" s="4"/>
      <c r="H99" s="4">
        <f t="shared" si="11"/>
        <v>44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>
        <v>30</v>
      </c>
      <c r="W99" s="4">
        <v>30</v>
      </c>
      <c r="X99" s="4"/>
      <c r="Y99" s="4"/>
      <c r="Z99" s="4"/>
      <c r="AA99" s="4"/>
      <c r="AB99" s="4">
        <v>20</v>
      </c>
      <c r="AC99" s="4">
        <v>10</v>
      </c>
      <c r="AD99" s="4">
        <v>10</v>
      </c>
      <c r="AE99" s="4"/>
      <c r="AF99" s="4"/>
      <c r="AG99" s="4"/>
      <c r="AH99" s="55"/>
      <c r="AI99" s="3">
        <f t="shared" si="12"/>
        <v>0</v>
      </c>
      <c r="AJ99" s="3">
        <f t="shared" si="13"/>
        <v>0</v>
      </c>
      <c r="AK99" s="3">
        <f t="shared" si="14"/>
        <v>0</v>
      </c>
      <c r="AL99" s="3">
        <f t="shared" si="15"/>
        <v>0</v>
      </c>
      <c r="AM99" s="3">
        <f t="shared" si="16"/>
        <v>0</v>
      </c>
      <c r="AN99" s="3">
        <f t="shared" si="17"/>
        <v>0</v>
      </c>
      <c r="AO99" s="3">
        <f t="shared" si="18"/>
        <v>0</v>
      </c>
      <c r="AP99" s="3">
        <f t="shared" si="19"/>
        <v>0</v>
      </c>
    </row>
    <row r="100" spans="1:42" ht="27" customHeight="1" x14ac:dyDescent="0.3">
      <c r="A100" s="4"/>
      <c r="B100" s="4"/>
      <c r="C100" s="4"/>
      <c r="D100" s="4"/>
      <c r="E100" s="4"/>
      <c r="F100" s="4"/>
      <c r="G100" s="4"/>
      <c r="H100" s="4">
        <f t="shared" si="11"/>
        <v>44</v>
      </c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>
        <v>30</v>
      </c>
      <c r="W100" s="4">
        <v>30</v>
      </c>
      <c r="X100" s="4"/>
      <c r="Y100" s="4"/>
      <c r="Z100" s="4"/>
      <c r="AA100" s="4"/>
      <c r="AB100" s="4">
        <v>20</v>
      </c>
      <c r="AC100" s="4">
        <v>10</v>
      </c>
      <c r="AD100" s="4">
        <v>10</v>
      </c>
      <c r="AE100" s="4"/>
      <c r="AF100" s="4"/>
      <c r="AG100" s="4"/>
      <c r="AH100" s="55"/>
      <c r="AI100" s="3">
        <f t="shared" si="12"/>
        <v>0</v>
      </c>
      <c r="AJ100" s="3">
        <f t="shared" si="13"/>
        <v>0</v>
      </c>
      <c r="AK100" s="3">
        <f t="shared" si="14"/>
        <v>0</v>
      </c>
      <c r="AL100" s="3">
        <f t="shared" si="15"/>
        <v>0</v>
      </c>
      <c r="AM100" s="3">
        <f t="shared" si="16"/>
        <v>0</v>
      </c>
      <c r="AN100" s="3">
        <f t="shared" si="17"/>
        <v>0</v>
      </c>
      <c r="AO100" s="3">
        <f t="shared" si="18"/>
        <v>0</v>
      </c>
      <c r="AP100" s="3">
        <f t="shared" si="19"/>
        <v>0</v>
      </c>
    </row>
    <row r="101" spans="1:42" ht="27" customHeight="1" x14ac:dyDescent="0.3">
      <c r="A101" s="4"/>
      <c r="B101" s="4"/>
      <c r="C101" s="4"/>
      <c r="D101" s="4"/>
      <c r="E101" s="4"/>
      <c r="F101" s="4"/>
      <c r="G101" s="4"/>
      <c r="H101" s="4">
        <f t="shared" si="11"/>
        <v>44</v>
      </c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>
        <v>30</v>
      </c>
      <c r="W101" s="4">
        <v>30</v>
      </c>
      <c r="X101" s="4"/>
      <c r="Y101" s="4"/>
      <c r="Z101" s="4"/>
      <c r="AA101" s="4"/>
      <c r="AB101" s="4">
        <v>20</v>
      </c>
      <c r="AC101" s="4">
        <v>10</v>
      </c>
      <c r="AD101" s="4">
        <v>10</v>
      </c>
      <c r="AE101" s="4"/>
      <c r="AF101" s="4"/>
      <c r="AG101" s="4"/>
      <c r="AH101" s="55"/>
      <c r="AI101" s="3">
        <f t="shared" si="12"/>
        <v>0</v>
      </c>
      <c r="AJ101" s="3">
        <f t="shared" si="13"/>
        <v>0</v>
      </c>
      <c r="AK101" s="3">
        <f t="shared" si="14"/>
        <v>0</v>
      </c>
      <c r="AL101" s="3">
        <f t="shared" si="15"/>
        <v>0</v>
      </c>
      <c r="AM101" s="3">
        <f t="shared" si="16"/>
        <v>0</v>
      </c>
      <c r="AN101" s="3">
        <f t="shared" si="17"/>
        <v>0</v>
      </c>
      <c r="AO101" s="3">
        <f t="shared" si="18"/>
        <v>0</v>
      </c>
      <c r="AP101" s="3">
        <f t="shared" si="19"/>
        <v>0</v>
      </c>
    </row>
    <row r="102" spans="1:42" ht="27" customHeight="1" x14ac:dyDescent="0.3">
      <c r="A102" s="4"/>
      <c r="B102" s="4"/>
      <c r="C102" s="4"/>
      <c r="D102" s="4"/>
      <c r="E102" s="4"/>
      <c r="F102" s="4"/>
      <c r="G102" s="4"/>
      <c r="H102" s="4">
        <f t="shared" si="11"/>
        <v>44</v>
      </c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>
        <v>30</v>
      </c>
      <c r="W102" s="4">
        <v>30</v>
      </c>
      <c r="X102" s="4"/>
      <c r="Y102" s="4"/>
      <c r="Z102" s="4"/>
      <c r="AA102" s="4"/>
      <c r="AB102" s="4">
        <v>20</v>
      </c>
      <c r="AC102" s="4">
        <v>10</v>
      </c>
      <c r="AD102" s="4">
        <v>10</v>
      </c>
      <c r="AE102" s="4"/>
      <c r="AF102" s="4"/>
      <c r="AG102" s="4"/>
      <c r="AH102" s="55"/>
      <c r="AI102" s="3">
        <f t="shared" si="12"/>
        <v>0</v>
      </c>
      <c r="AJ102" s="3">
        <f t="shared" si="13"/>
        <v>0</v>
      </c>
      <c r="AK102" s="3">
        <f t="shared" si="14"/>
        <v>0</v>
      </c>
      <c r="AL102" s="3">
        <f t="shared" si="15"/>
        <v>0</v>
      </c>
      <c r="AM102" s="3">
        <f t="shared" si="16"/>
        <v>0</v>
      </c>
      <c r="AN102" s="3">
        <f t="shared" si="17"/>
        <v>0</v>
      </c>
      <c r="AO102" s="3">
        <f t="shared" si="18"/>
        <v>0</v>
      </c>
      <c r="AP102" s="3">
        <f t="shared" si="19"/>
        <v>0</v>
      </c>
    </row>
    <row r="103" spans="1:42" ht="27" customHeight="1" x14ac:dyDescent="0.3">
      <c r="A103" s="4"/>
      <c r="B103" s="4"/>
      <c r="C103" s="4"/>
      <c r="D103" s="4"/>
      <c r="E103" s="4"/>
      <c r="F103" s="4"/>
      <c r="G103" s="4"/>
      <c r="H103" s="4">
        <f t="shared" si="11"/>
        <v>44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>
        <v>30</v>
      </c>
      <c r="W103" s="4">
        <v>30</v>
      </c>
      <c r="X103" s="4"/>
      <c r="Y103" s="4"/>
      <c r="Z103" s="4"/>
      <c r="AA103" s="4"/>
      <c r="AB103" s="4">
        <v>20</v>
      </c>
      <c r="AC103" s="4">
        <v>10</v>
      </c>
      <c r="AD103" s="4">
        <v>10</v>
      </c>
      <c r="AE103" s="4"/>
      <c r="AF103" s="4"/>
      <c r="AG103" s="4"/>
      <c r="AH103" s="55"/>
      <c r="AI103" s="3">
        <f t="shared" si="12"/>
        <v>0</v>
      </c>
      <c r="AJ103" s="3">
        <f t="shared" si="13"/>
        <v>0</v>
      </c>
      <c r="AK103" s="3">
        <f t="shared" si="14"/>
        <v>0</v>
      </c>
      <c r="AL103" s="3">
        <f t="shared" si="15"/>
        <v>0</v>
      </c>
      <c r="AM103" s="3">
        <f t="shared" si="16"/>
        <v>0</v>
      </c>
      <c r="AN103" s="3">
        <f t="shared" si="17"/>
        <v>0</v>
      </c>
      <c r="AO103" s="3">
        <f t="shared" si="18"/>
        <v>0</v>
      </c>
      <c r="AP103" s="3">
        <f t="shared" si="19"/>
        <v>0</v>
      </c>
    </row>
    <row r="104" spans="1:42" ht="27" customHeight="1" x14ac:dyDescent="0.3">
      <c r="A104" s="4"/>
      <c r="B104" s="4"/>
      <c r="C104" s="4"/>
      <c r="D104" s="4"/>
      <c r="E104" s="4"/>
      <c r="F104" s="4"/>
      <c r="G104" s="4"/>
      <c r="H104" s="4">
        <f t="shared" si="11"/>
        <v>44</v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>
        <v>30</v>
      </c>
      <c r="W104" s="4">
        <v>30</v>
      </c>
      <c r="X104" s="4"/>
      <c r="Y104" s="4"/>
      <c r="Z104" s="4"/>
      <c r="AA104" s="4"/>
      <c r="AB104" s="4">
        <v>20</v>
      </c>
      <c r="AC104" s="4">
        <v>10</v>
      </c>
      <c r="AD104" s="4">
        <v>10</v>
      </c>
      <c r="AE104" s="4"/>
      <c r="AF104" s="4"/>
      <c r="AG104" s="4"/>
      <c r="AH104" s="55"/>
      <c r="AI104" s="3">
        <f t="shared" si="12"/>
        <v>0</v>
      </c>
      <c r="AJ104" s="3">
        <f t="shared" si="13"/>
        <v>0</v>
      </c>
      <c r="AK104" s="3">
        <f t="shared" si="14"/>
        <v>0</v>
      </c>
      <c r="AL104" s="3">
        <f t="shared" si="15"/>
        <v>0</v>
      </c>
      <c r="AM104" s="3">
        <f t="shared" si="16"/>
        <v>0</v>
      </c>
      <c r="AN104" s="3">
        <f t="shared" si="17"/>
        <v>0</v>
      </c>
      <c r="AO104" s="3">
        <f t="shared" si="18"/>
        <v>0</v>
      </c>
      <c r="AP104" s="3">
        <f t="shared" si="19"/>
        <v>0</v>
      </c>
    </row>
    <row r="105" spans="1:42" ht="27" customHeight="1" x14ac:dyDescent="0.3">
      <c r="A105" s="4"/>
      <c r="B105" s="4"/>
      <c r="C105" s="4"/>
      <c r="D105" s="4"/>
      <c r="E105" s="4"/>
      <c r="F105" s="4"/>
      <c r="G105" s="4"/>
      <c r="H105" s="4">
        <f t="shared" si="11"/>
        <v>44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>
        <v>30</v>
      </c>
      <c r="W105" s="4">
        <v>30</v>
      </c>
      <c r="X105" s="4"/>
      <c r="Y105" s="4"/>
      <c r="Z105" s="4"/>
      <c r="AA105" s="4"/>
      <c r="AB105" s="4">
        <v>20</v>
      </c>
      <c r="AC105" s="4">
        <v>10</v>
      </c>
      <c r="AD105" s="4">
        <v>10</v>
      </c>
      <c r="AE105" s="4"/>
      <c r="AF105" s="4"/>
      <c r="AG105" s="4"/>
      <c r="AH105" s="55"/>
      <c r="AI105" s="3">
        <f t="shared" si="12"/>
        <v>0</v>
      </c>
      <c r="AJ105" s="3">
        <f t="shared" si="13"/>
        <v>0</v>
      </c>
      <c r="AK105" s="3">
        <f t="shared" si="14"/>
        <v>0</v>
      </c>
      <c r="AL105" s="3">
        <f t="shared" si="15"/>
        <v>0</v>
      </c>
      <c r="AM105" s="3">
        <f t="shared" si="16"/>
        <v>0</v>
      </c>
      <c r="AN105" s="3">
        <f t="shared" si="17"/>
        <v>0</v>
      </c>
      <c r="AO105" s="3">
        <f t="shared" si="18"/>
        <v>0</v>
      </c>
      <c r="AP105" s="3">
        <f t="shared" si="19"/>
        <v>0</v>
      </c>
    </row>
    <row r="106" spans="1:42" ht="27" customHeight="1" x14ac:dyDescent="0.3">
      <c r="A106" s="4"/>
      <c r="B106" s="4"/>
      <c r="C106" s="4"/>
      <c r="D106" s="4"/>
      <c r="E106" s="4"/>
      <c r="F106" s="4"/>
      <c r="G106" s="4"/>
      <c r="H106" s="4">
        <f t="shared" si="11"/>
        <v>44</v>
      </c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>
        <v>30</v>
      </c>
      <c r="W106" s="4">
        <v>30</v>
      </c>
      <c r="X106" s="4"/>
      <c r="Y106" s="4"/>
      <c r="Z106" s="4"/>
      <c r="AA106" s="4"/>
      <c r="AB106" s="4">
        <v>20</v>
      </c>
      <c r="AC106" s="4">
        <v>10</v>
      </c>
      <c r="AD106" s="4">
        <v>10</v>
      </c>
      <c r="AE106" s="4"/>
      <c r="AF106" s="4"/>
      <c r="AG106" s="4"/>
      <c r="AH106" s="55"/>
      <c r="AI106" s="3">
        <f t="shared" si="12"/>
        <v>0</v>
      </c>
      <c r="AJ106" s="3">
        <f t="shared" si="13"/>
        <v>0</v>
      </c>
      <c r="AK106" s="3">
        <f t="shared" si="14"/>
        <v>0</v>
      </c>
      <c r="AL106" s="3">
        <f t="shared" si="15"/>
        <v>0</v>
      </c>
      <c r="AM106" s="3">
        <f t="shared" si="16"/>
        <v>0</v>
      </c>
      <c r="AN106" s="3">
        <f t="shared" si="17"/>
        <v>0</v>
      </c>
      <c r="AO106" s="3">
        <f t="shared" si="18"/>
        <v>0</v>
      </c>
      <c r="AP106" s="3">
        <f t="shared" si="19"/>
        <v>0</v>
      </c>
    </row>
    <row r="107" spans="1:42" ht="27" customHeight="1" x14ac:dyDescent="0.3">
      <c r="A107" s="4"/>
      <c r="B107" s="4"/>
      <c r="C107" s="4"/>
      <c r="D107" s="4"/>
      <c r="E107" s="4"/>
      <c r="F107" s="4"/>
      <c r="G107" s="4"/>
      <c r="H107" s="4">
        <f t="shared" si="11"/>
        <v>44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>
        <v>30</v>
      </c>
      <c r="W107" s="4">
        <v>30</v>
      </c>
      <c r="X107" s="4"/>
      <c r="Y107" s="4"/>
      <c r="Z107" s="4"/>
      <c r="AA107" s="4"/>
      <c r="AB107" s="4">
        <v>20</v>
      </c>
      <c r="AC107" s="4">
        <v>10</v>
      </c>
      <c r="AD107" s="4">
        <v>10</v>
      </c>
      <c r="AE107" s="4"/>
      <c r="AF107" s="4"/>
      <c r="AG107" s="4"/>
      <c r="AH107" s="55"/>
      <c r="AI107" s="3">
        <f t="shared" si="12"/>
        <v>0</v>
      </c>
      <c r="AJ107" s="3">
        <f t="shared" si="13"/>
        <v>0</v>
      </c>
      <c r="AK107" s="3">
        <f t="shared" si="14"/>
        <v>0</v>
      </c>
      <c r="AL107" s="3">
        <f t="shared" si="15"/>
        <v>0</v>
      </c>
      <c r="AM107" s="3">
        <f t="shared" si="16"/>
        <v>0</v>
      </c>
      <c r="AN107" s="3">
        <f t="shared" si="17"/>
        <v>0</v>
      </c>
      <c r="AO107" s="3">
        <f t="shared" si="18"/>
        <v>0</v>
      </c>
      <c r="AP107" s="3">
        <f t="shared" si="19"/>
        <v>0</v>
      </c>
    </row>
    <row r="108" spans="1:42" ht="27" customHeight="1" x14ac:dyDescent="0.3">
      <c r="A108" s="4"/>
      <c r="B108" s="4"/>
      <c r="C108" s="4"/>
      <c r="D108" s="4"/>
      <c r="E108" s="4"/>
      <c r="F108" s="4"/>
      <c r="G108" s="4"/>
      <c r="H108" s="4">
        <f t="shared" si="11"/>
        <v>44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>
        <v>30</v>
      </c>
      <c r="W108" s="4">
        <v>30</v>
      </c>
      <c r="X108" s="4"/>
      <c r="Y108" s="4"/>
      <c r="Z108" s="4"/>
      <c r="AA108" s="4"/>
      <c r="AB108" s="4">
        <v>20</v>
      </c>
      <c r="AC108" s="4">
        <v>10</v>
      </c>
      <c r="AD108" s="4">
        <v>10</v>
      </c>
      <c r="AE108" s="4"/>
      <c r="AF108" s="4"/>
      <c r="AG108" s="4"/>
      <c r="AH108" s="55"/>
      <c r="AI108" s="3">
        <f t="shared" si="12"/>
        <v>0</v>
      </c>
      <c r="AJ108" s="3">
        <f t="shared" si="13"/>
        <v>0</v>
      </c>
      <c r="AK108" s="3">
        <f t="shared" si="14"/>
        <v>0</v>
      </c>
      <c r="AL108" s="3">
        <f t="shared" si="15"/>
        <v>0</v>
      </c>
      <c r="AM108" s="3">
        <f t="shared" si="16"/>
        <v>0</v>
      </c>
      <c r="AN108" s="3">
        <f t="shared" si="17"/>
        <v>0</v>
      </c>
      <c r="AO108" s="3">
        <f t="shared" si="18"/>
        <v>0</v>
      </c>
      <c r="AP108" s="3">
        <f t="shared" si="19"/>
        <v>0</v>
      </c>
    </row>
    <row r="109" spans="1:42" ht="27" customHeight="1" x14ac:dyDescent="0.3">
      <c r="A109" s="4"/>
      <c r="B109" s="4"/>
      <c r="C109" s="4"/>
      <c r="D109" s="4"/>
      <c r="E109" s="4"/>
      <c r="F109" s="4"/>
      <c r="G109" s="4"/>
      <c r="H109" s="4">
        <f t="shared" si="11"/>
        <v>44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>
        <v>30</v>
      </c>
      <c r="W109" s="4">
        <v>30</v>
      </c>
      <c r="X109" s="4"/>
      <c r="Y109" s="4"/>
      <c r="Z109" s="4"/>
      <c r="AA109" s="4"/>
      <c r="AB109" s="4">
        <v>20</v>
      </c>
      <c r="AC109" s="4">
        <v>10</v>
      </c>
      <c r="AD109" s="4">
        <v>10</v>
      </c>
      <c r="AE109" s="4"/>
      <c r="AF109" s="4"/>
      <c r="AG109" s="4"/>
      <c r="AH109" s="55"/>
      <c r="AI109" s="3">
        <f t="shared" si="12"/>
        <v>0</v>
      </c>
      <c r="AJ109" s="3">
        <f t="shared" si="13"/>
        <v>0</v>
      </c>
      <c r="AK109" s="3">
        <f t="shared" si="14"/>
        <v>0</v>
      </c>
      <c r="AL109" s="3">
        <f t="shared" si="15"/>
        <v>0</v>
      </c>
      <c r="AM109" s="3">
        <f t="shared" si="16"/>
        <v>0</v>
      </c>
      <c r="AN109" s="3">
        <f t="shared" si="17"/>
        <v>0</v>
      </c>
      <c r="AO109" s="3">
        <f t="shared" si="18"/>
        <v>0</v>
      </c>
      <c r="AP109" s="3">
        <f t="shared" si="19"/>
        <v>0</v>
      </c>
    </row>
    <row r="110" spans="1:42" ht="27" customHeight="1" x14ac:dyDescent="0.3">
      <c r="A110" s="4"/>
      <c r="B110" s="4"/>
      <c r="C110" s="4"/>
      <c r="D110" s="4"/>
      <c r="E110" s="4"/>
      <c r="F110" s="4"/>
      <c r="G110" s="4"/>
      <c r="H110" s="4">
        <f t="shared" si="11"/>
        <v>44</v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>
        <v>30</v>
      </c>
      <c r="W110" s="4">
        <v>30</v>
      </c>
      <c r="X110" s="4"/>
      <c r="Y110" s="4"/>
      <c r="Z110" s="4"/>
      <c r="AA110" s="4"/>
      <c r="AB110" s="4">
        <v>20</v>
      </c>
      <c r="AC110" s="4">
        <v>10</v>
      </c>
      <c r="AD110" s="4">
        <v>10</v>
      </c>
      <c r="AE110" s="4"/>
      <c r="AF110" s="4"/>
      <c r="AG110" s="4"/>
      <c r="AH110" s="55"/>
      <c r="AI110" s="3">
        <f t="shared" si="12"/>
        <v>0</v>
      </c>
      <c r="AJ110" s="3">
        <f t="shared" si="13"/>
        <v>0</v>
      </c>
      <c r="AK110" s="3">
        <f t="shared" si="14"/>
        <v>0</v>
      </c>
      <c r="AL110" s="3">
        <f t="shared" si="15"/>
        <v>0</v>
      </c>
      <c r="AM110" s="3">
        <f t="shared" si="16"/>
        <v>0</v>
      </c>
      <c r="AN110" s="3">
        <f t="shared" si="17"/>
        <v>0</v>
      </c>
      <c r="AO110" s="3">
        <f t="shared" si="18"/>
        <v>0</v>
      </c>
      <c r="AP110" s="3">
        <f t="shared" si="19"/>
        <v>0</v>
      </c>
    </row>
    <row r="111" spans="1:42" ht="27" customHeight="1" x14ac:dyDescent="0.3">
      <c r="A111" s="4"/>
      <c r="B111" s="4"/>
      <c r="C111" s="4"/>
      <c r="D111" s="4"/>
      <c r="E111" s="4"/>
      <c r="F111" s="4"/>
      <c r="G111" s="4"/>
      <c r="H111" s="4">
        <f t="shared" si="11"/>
        <v>44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>
        <v>30</v>
      </c>
      <c r="W111" s="4">
        <v>30</v>
      </c>
      <c r="X111" s="4"/>
      <c r="Y111" s="4"/>
      <c r="Z111" s="4"/>
      <c r="AA111" s="4"/>
      <c r="AB111" s="4">
        <v>20</v>
      </c>
      <c r="AC111" s="4">
        <v>10</v>
      </c>
      <c r="AD111" s="4">
        <v>10</v>
      </c>
      <c r="AE111" s="4"/>
      <c r="AF111" s="4"/>
      <c r="AG111" s="4"/>
      <c r="AH111" s="55"/>
      <c r="AI111" s="3">
        <f t="shared" si="12"/>
        <v>0</v>
      </c>
      <c r="AJ111" s="3">
        <f t="shared" si="13"/>
        <v>0</v>
      </c>
      <c r="AK111" s="3">
        <f t="shared" si="14"/>
        <v>0</v>
      </c>
      <c r="AL111" s="3">
        <f t="shared" si="15"/>
        <v>0</v>
      </c>
      <c r="AM111" s="3">
        <f t="shared" si="16"/>
        <v>0</v>
      </c>
      <c r="AN111" s="3">
        <f t="shared" si="17"/>
        <v>0</v>
      </c>
      <c r="AO111" s="3">
        <f t="shared" si="18"/>
        <v>0</v>
      </c>
      <c r="AP111" s="3">
        <f t="shared" si="19"/>
        <v>0</v>
      </c>
    </row>
    <row r="112" spans="1:42" ht="27" customHeight="1" x14ac:dyDescent="0.3">
      <c r="A112" s="4"/>
      <c r="B112" s="4"/>
      <c r="C112" s="4"/>
      <c r="D112" s="4"/>
      <c r="E112" s="4"/>
      <c r="F112" s="4"/>
      <c r="G112" s="4"/>
      <c r="H112" s="4">
        <f t="shared" si="11"/>
        <v>44</v>
      </c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>
        <v>30</v>
      </c>
      <c r="W112" s="4">
        <v>30</v>
      </c>
      <c r="X112" s="4"/>
      <c r="Y112" s="4"/>
      <c r="Z112" s="4"/>
      <c r="AA112" s="4"/>
      <c r="AB112" s="4">
        <v>20</v>
      </c>
      <c r="AC112" s="4">
        <v>10</v>
      </c>
      <c r="AD112" s="4">
        <v>10</v>
      </c>
      <c r="AE112" s="4"/>
      <c r="AF112" s="4"/>
      <c r="AG112" s="4"/>
      <c r="AH112" s="55"/>
      <c r="AI112" s="3">
        <f t="shared" si="12"/>
        <v>0</v>
      </c>
      <c r="AJ112" s="3">
        <f t="shared" si="13"/>
        <v>0</v>
      </c>
      <c r="AK112" s="3">
        <f t="shared" si="14"/>
        <v>0</v>
      </c>
      <c r="AL112" s="3">
        <f t="shared" si="15"/>
        <v>0</v>
      </c>
      <c r="AM112" s="3">
        <f t="shared" si="16"/>
        <v>0</v>
      </c>
      <c r="AN112" s="3">
        <f t="shared" si="17"/>
        <v>0</v>
      </c>
      <c r="AO112" s="3">
        <f t="shared" si="18"/>
        <v>0</v>
      </c>
      <c r="AP112" s="3">
        <f t="shared" si="19"/>
        <v>0</v>
      </c>
    </row>
    <row r="113" spans="1:42" ht="27" customHeight="1" x14ac:dyDescent="0.3">
      <c r="A113" s="4"/>
      <c r="B113" s="4"/>
      <c r="C113" s="4"/>
      <c r="D113" s="4"/>
      <c r="E113" s="4"/>
      <c r="F113" s="4"/>
      <c r="G113" s="4"/>
      <c r="H113" s="4">
        <f t="shared" si="11"/>
        <v>44</v>
      </c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>
        <v>30</v>
      </c>
      <c r="W113" s="4">
        <v>30</v>
      </c>
      <c r="X113" s="4"/>
      <c r="Y113" s="4"/>
      <c r="Z113" s="4"/>
      <c r="AA113" s="4"/>
      <c r="AB113" s="4">
        <v>20</v>
      </c>
      <c r="AC113" s="4">
        <v>10</v>
      </c>
      <c r="AD113" s="4">
        <v>10</v>
      </c>
      <c r="AE113" s="4"/>
      <c r="AF113" s="4"/>
      <c r="AG113" s="4"/>
      <c r="AH113" s="55"/>
      <c r="AI113" s="3">
        <f t="shared" si="12"/>
        <v>0</v>
      </c>
      <c r="AJ113" s="3">
        <f t="shared" si="13"/>
        <v>0</v>
      </c>
      <c r="AK113" s="3">
        <f t="shared" si="14"/>
        <v>0</v>
      </c>
      <c r="AL113" s="3">
        <f t="shared" si="15"/>
        <v>0</v>
      </c>
      <c r="AM113" s="3">
        <f t="shared" si="16"/>
        <v>0</v>
      </c>
      <c r="AN113" s="3">
        <f t="shared" si="17"/>
        <v>0</v>
      </c>
      <c r="AO113" s="3">
        <f t="shared" si="18"/>
        <v>0</v>
      </c>
      <c r="AP113" s="3">
        <f t="shared" si="19"/>
        <v>0</v>
      </c>
    </row>
    <row r="114" spans="1:42" ht="27" customHeight="1" x14ac:dyDescent="0.3">
      <c r="A114" s="4"/>
      <c r="B114" s="4"/>
      <c r="C114" s="4"/>
      <c r="D114" s="4"/>
      <c r="E114" s="4"/>
      <c r="F114" s="4"/>
      <c r="G114" s="4"/>
      <c r="H114" s="4">
        <f t="shared" si="11"/>
        <v>44</v>
      </c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>
        <v>30</v>
      </c>
      <c r="W114" s="4">
        <v>30</v>
      </c>
      <c r="X114" s="4"/>
      <c r="Y114" s="4"/>
      <c r="Z114" s="4"/>
      <c r="AA114" s="4"/>
      <c r="AB114" s="4">
        <v>20</v>
      </c>
      <c r="AC114" s="4">
        <v>10</v>
      </c>
      <c r="AD114" s="4">
        <v>10</v>
      </c>
      <c r="AE114" s="4"/>
      <c r="AF114" s="4"/>
      <c r="AG114" s="4"/>
      <c r="AH114" s="55"/>
      <c r="AI114" s="3">
        <f t="shared" si="12"/>
        <v>0</v>
      </c>
      <c r="AJ114" s="3">
        <f t="shared" si="13"/>
        <v>0</v>
      </c>
      <c r="AK114" s="3">
        <f t="shared" si="14"/>
        <v>0</v>
      </c>
      <c r="AL114" s="3">
        <f t="shared" si="15"/>
        <v>0</v>
      </c>
      <c r="AM114" s="3">
        <f t="shared" si="16"/>
        <v>0</v>
      </c>
      <c r="AN114" s="3">
        <f t="shared" si="17"/>
        <v>0</v>
      </c>
      <c r="AO114" s="3">
        <f t="shared" si="18"/>
        <v>0</v>
      </c>
      <c r="AP114" s="3">
        <f t="shared" si="19"/>
        <v>0</v>
      </c>
    </row>
    <row r="115" spans="1:42" ht="27" customHeight="1" x14ac:dyDescent="0.3">
      <c r="A115" s="4"/>
      <c r="B115" s="4"/>
      <c r="C115" s="4"/>
      <c r="D115" s="4"/>
      <c r="E115" s="4"/>
      <c r="F115" s="4"/>
      <c r="G115" s="4"/>
      <c r="H115" s="4">
        <f t="shared" si="11"/>
        <v>44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>
        <v>30</v>
      </c>
      <c r="W115" s="4">
        <v>30</v>
      </c>
      <c r="X115" s="4"/>
      <c r="Y115" s="4"/>
      <c r="Z115" s="4"/>
      <c r="AA115" s="4"/>
      <c r="AB115" s="4">
        <v>20</v>
      </c>
      <c r="AC115" s="4">
        <v>10</v>
      </c>
      <c r="AD115" s="4">
        <v>10</v>
      </c>
      <c r="AE115" s="4"/>
      <c r="AF115" s="4"/>
      <c r="AG115" s="4"/>
      <c r="AH115" s="55"/>
      <c r="AI115" s="3">
        <f t="shared" si="12"/>
        <v>0</v>
      </c>
      <c r="AJ115" s="3">
        <f t="shared" si="13"/>
        <v>0</v>
      </c>
      <c r="AK115" s="3">
        <f t="shared" si="14"/>
        <v>0</v>
      </c>
      <c r="AL115" s="3">
        <f t="shared" si="15"/>
        <v>0</v>
      </c>
      <c r="AM115" s="3">
        <f t="shared" si="16"/>
        <v>0</v>
      </c>
      <c r="AN115" s="3">
        <f t="shared" si="17"/>
        <v>0</v>
      </c>
      <c r="AO115" s="3">
        <f t="shared" si="18"/>
        <v>0</v>
      </c>
      <c r="AP115" s="3">
        <f t="shared" si="19"/>
        <v>0</v>
      </c>
    </row>
    <row r="116" spans="1:42" ht="27" customHeight="1" x14ac:dyDescent="0.3">
      <c r="A116" s="4"/>
      <c r="B116" s="4"/>
      <c r="C116" s="4"/>
      <c r="D116" s="4"/>
      <c r="E116" s="4"/>
      <c r="F116" s="4"/>
      <c r="G116" s="4"/>
      <c r="H116" s="4">
        <f t="shared" si="11"/>
        <v>44</v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>
        <v>30</v>
      </c>
      <c r="W116" s="4">
        <v>30</v>
      </c>
      <c r="X116" s="4"/>
      <c r="Y116" s="4"/>
      <c r="Z116" s="4"/>
      <c r="AA116" s="4"/>
      <c r="AB116" s="4">
        <v>20</v>
      </c>
      <c r="AC116" s="4">
        <v>10</v>
      </c>
      <c r="AD116" s="4">
        <v>10</v>
      </c>
      <c r="AE116" s="4"/>
      <c r="AF116" s="4"/>
      <c r="AG116" s="4"/>
      <c r="AH116" s="55"/>
      <c r="AI116" s="3">
        <f t="shared" si="12"/>
        <v>0</v>
      </c>
      <c r="AJ116" s="3">
        <f t="shared" si="13"/>
        <v>0</v>
      </c>
      <c r="AK116" s="3">
        <f t="shared" si="14"/>
        <v>0</v>
      </c>
      <c r="AL116" s="3">
        <f t="shared" si="15"/>
        <v>0</v>
      </c>
      <c r="AM116" s="3">
        <f t="shared" si="16"/>
        <v>0</v>
      </c>
      <c r="AN116" s="3">
        <f t="shared" si="17"/>
        <v>0</v>
      </c>
      <c r="AO116" s="3">
        <f t="shared" si="18"/>
        <v>0</v>
      </c>
      <c r="AP116" s="3">
        <f t="shared" si="19"/>
        <v>0</v>
      </c>
    </row>
    <row r="117" spans="1:42" ht="27" customHeight="1" x14ac:dyDescent="0.3">
      <c r="A117" s="4"/>
      <c r="B117" s="4"/>
      <c r="C117" s="4"/>
      <c r="D117" s="4"/>
      <c r="E117" s="4"/>
      <c r="F117" s="4"/>
      <c r="G117" s="4"/>
      <c r="H117" s="4">
        <f t="shared" si="11"/>
        <v>44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>
        <v>30</v>
      </c>
      <c r="W117" s="4">
        <v>30</v>
      </c>
      <c r="X117" s="4"/>
      <c r="Y117" s="4"/>
      <c r="Z117" s="4"/>
      <c r="AA117" s="4"/>
      <c r="AB117" s="4">
        <v>20</v>
      </c>
      <c r="AC117" s="4">
        <v>10</v>
      </c>
      <c r="AD117" s="4">
        <v>10</v>
      </c>
      <c r="AE117" s="4"/>
      <c r="AF117" s="4"/>
      <c r="AG117" s="4"/>
      <c r="AH117" s="55"/>
      <c r="AI117" s="3">
        <f t="shared" si="12"/>
        <v>0</v>
      </c>
      <c r="AJ117" s="3">
        <f t="shared" si="13"/>
        <v>0</v>
      </c>
      <c r="AK117" s="3">
        <f t="shared" si="14"/>
        <v>0</v>
      </c>
      <c r="AL117" s="3">
        <f t="shared" si="15"/>
        <v>0</v>
      </c>
      <c r="AM117" s="3">
        <f t="shared" si="16"/>
        <v>0</v>
      </c>
      <c r="AN117" s="3">
        <f t="shared" si="17"/>
        <v>0</v>
      </c>
      <c r="AO117" s="3">
        <f t="shared" si="18"/>
        <v>0</v>
      </c>
      <c r="AP117" s="3">
        <f t="shared" si="19"/>
        <v>0</v>
      </c>
    </row>
    <row r="118" spans="1:42" ht="27" customHeight="1" x14ac:dyDescent="0.3">
      <c r="A118" s="4"/>
      <c r="B118" s="4"/>
      <c r="C118" s="4"/>
      <c r="D118" s="4"/>
      <c r="E118" s="4"/>
      <c r="F118" s="4"/>
      <c r="G118" s="4"/>
      <c r="H118" s="4">
        <f t="shared" si="11"/>
        <v>44</v>
      </c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>
        <v>30</v>
      </c>
      <c r="W118" s="4">
        <v>30</v>
      </c>
      <c r="X118" s="4"/>
      <c r="Y118" s="4"/>
      <c r="Z118" s="4"/>
      <c r="AA118" s="4"/>
      <c r="AB118" s="4">
        <v>20</v>
      </c>
      <c r="AC118" s="4">
        <v>10</v>
      </c>
      <c r="AD118" s="4">
        <v>10</v>
      </c>
      <c r="AE118" s="4"/>
      <c r="AF118" s="4"/>
      <c r="AG118" s="4"/>
      <c r="AH118" s="55"/>
      <c r="AI118" s="3">
        <f t="shared" si="12"/>
        <v>0</v>
      </c>
      <c r="AJ118" s="3">
        <f t="shared" si="13"/>
        <v>0</v>
      </c>
      <c r="AK118" s="3">
        <f t="shared" si="14"/>
        <v>0</v>
      </c>
      <c r="AL118" s="3">
        <f t="shared" si="15"/>
        <v>0</v>
      </c>
      <c r="AM118" s="3">
        <f t="shared" si="16"/>
        <v>0</v>
      </c>
      <c r="AN118" s="3">
        <f t="shared" si="17"/>
        <v>0</v>
      </c>
      <c r="AO118" s="3">
        <f t="shared" si="18"/>
        <v>0</v>
      </c>
      <c r="AP118" s="3">
        <f t="shared" si="19"/>
        <v>0</v>
      </c>
    </row>
    <row r="119" spans="1:42" ht="27" customHeight="1" x14ac:dyDescent="0.3">
      <c r="A119" s="4"/>
      <c r="B119" s="4"/>
      <c r="C119" s="4"/>
      <c r="D119" s="4"/>
      <c r="E119" s="4"/>
      <c r="F119" s="4"/>
      <c r="G119" s="4"/>
      <c r="H119" s="4">
        <f t="shared" si="11"/>
        <v>44</v>
      </c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>
        <v>30</v>
      </c>
      <c r="W119" s="4">
        <v>30</v>
      </c>
      <c r="X119" s="4"/>
      <c r="Y119" s="4"/>
      <c r="Z119" s="4"/>
      <c r="AA119" s="4"/>
      <c r="AB119" s="4">
        <v>20</v>
      </c>
      <c r="AC119" s="4">
        <v>10</v>
      </c>
      <c r="AD119" s="4">
        <v>10</v>
      </c>
      <c r="AE119" s="4"/>
      <c r="AF119" s="4"/>
      <c r="AG119" s="4"/>
      <c r="AH119" s="55"/>
      <c r="AI119" s="3">
        <f t="shared" si="12"/>
        <v>0</v>
      </c>
      <c r="AJ119" s="3">
        <f t="shared" si="13"/>
        <v>0</v>
      </c>
      <c r="AK119" s="3">
        <f t="shared" si="14"/>
        <v>0</v>
      </c>
      <c r="AL119" s="3">
        <f t="shared" si="15"/>
        <v>0</v>
      </c>
      <c r="AM119" s="3">
        <f t="shared" si="16"/>
        <v>0</v>
      </c>
      <c r="AN119" s="3">
        <f t="shared" si="17"/>
        <v>0</v>
      </c>
      <c r="AO119" s="3">
        <f t="shared" si="18"/>
        <v>0</v>
      </c>
      <c r="AP119" s="3">
        <f t="shared" si="19"/>
        <v>0</v>
      </c>
    </row>
    <row r="120" spans="1:42" ht="27" customHeight="1" x14ac:dyDescent="0.3">
      <c r="A120" s="4"/>
      <c r="B120" s="4"/>
      <c r="C120" s="4"/>
      <c r="D120" s="4"/>
      <c r="E120" s="4"/>
      <c r="F120" s="4"/>
      <c r="G120" s="4"/>
      <c r="H120" s="4">
        <f t="shared" si="11"/>
        <v>44</v>
      </c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>
        <v>30</v>
      </c>
      <c r="W120" s="4">
        <v>30</v>
      </c>
      <c r="X120" s="4"/>
      <c r="Y120" s="4"/>
      <c r="Z120" s="4"/>
      <c r="AA120" s="4"/>
      <c r="AB120" s="4">
        <v>20</v>
      </c>
      <c r="AC120" s="4">
        <v>10</v>
      </c>
      <c r="AD120" s="4">
        <v>10</v>
      </c>
      <c r="AE120" s="4"/>
      <c r="AF120" s="4"/>
      <c r="AG120" s="4"/>
      <c r="AH120" s="55"/>
      <c r="AI120" s="3">
        <f t="shared" si="12"/>
        <v>0</v>
      </c>
      <c r="AJ120" s="3">
        <f t="shared" si="13"/>
        <v>0</v>
      </c>
      <c r="AK120" s="3">
        <f t="shared" si="14"/>
        <v>0</v>
      </c>
      <c r="AL120" s="3">
        <f t="shared" si="15"/>
        <v>0</v>
      </c>
      <c r="AM120" s="3">
        <f t="shared" si="16"/>
        <v>0</v>
      </c>
      <c r="AN120" s="3">
        <f t="shared" si="17"/>
        <v>0</v>
      </c>
      <c r="AO120" s="3">
        <f t="shared" si="18"/>
        <v>0</v>
      </c>
      <c r="AP120" s="3">
        <f t="shared" si="19"/>
        <v>0</v>
      </c>
    </row>
    <row r="121" spans="1:42" ht="27" customHeight="1" x14ac:dyDescent="0.3">
      <c r="A121" s="4"/>
      <c r="B121" s="4"/>
      <c r="C121" s="4"/>
      <c r="D121" s="4"/>
      <c r="E121" s="4"/>
      <c r="F121" s="4"/>
      <c r="G121" s="4"/>
      <c r="H121" s="4">
        <f t="shared" si="11"/>
        <v>44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>
        <v>30</v>
      </c>
      <c r="W121" s="4">
        <v>30</v>
      </c>
      <c r="X121" s="4"/>
      <c r="Y121" s="4"/>
      <c r="Z121" s="4"/>
      <c r="AA121" s="4"/>
      <c r="AB121" s="4">
        <v>20</v>
      </c>
      <c r="AC121" s="4">
        <v>10</v>
      </c>
      <c r="AD121" s="4">
        <v>10</v>
      </c>
      <c r="AE121" s="4"/>
      <c r="AF121" s="4"/>
      <c r="AG121" s="4"/>
      <c r="AH121" s="55"/>
      <c r="AI121" s="3">
        <f t="shared" si="12"/>
        <v>0</v>
      </c>
      <c r="AJ121" s="3">
        <f t="shared" si="13"/>
        <v>0</v>
      </c>
      <c r="AK121" s="3">
        <f t="shared" si="14"/>
        <v>0</v>
      </c>
      <c r="AL121" s="3">
        <f t="shared" si="15"/>
        <v>0</v>
      </c>
      <c r="AM121" s="3">
        <f t="shared" si="16"/>
        <v>0</v>
      </c>
      <c r="AN121" s="3">
        <f t="shared" si="17"/>
        <v>0</v>
      </c>
      <c r="AO121" s="3">
        <f t="shared" si="18"/>
        <v>0</v>
      </c>
      <c r="AP121" s="3">
        <f t="shared" si="19"/>
        <v>0</v>
      </c>
    </row>
    <row r="122" spans="1:42" ht="27" customHeight="1" x14ac:dyDescent="0.3">
      <c r="A122" s="4"/>
      <c r="B122" s="4"/>
      <c r="C122" s="4"/>
      <c r="D122" s="4"/>
      <c r="E122" s="4"/>
      <c r="F122" s="4"/>
      <c r="G122" s="4"/>
      <c r="H122" s="4">
        <f t="shared" si="11"/>
        <v>44</v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>
        <v>30</v>
      </c>
      <c r="W122" s="4">
        <v>30</v>
      </c>
      <c r="X122" s="4"/>
      <c r="Y122" s="4"/>
      <c r="Z122" s="4"/>
      <c r="AA122" s="4"/>
      <c r="AB122" s="4">
        <v>20</v>
      </c>
      <c r="AC122" s="4">
        <v>10</v>
      </c>
      <c r="AD122" s="4">
        <v>10</v>
      </c>
      <c r="AE122" s="4"/>
      <c r="AF122" s="4"/>
      <c r="AG122" s="4"/>
      <c r="AH122" s="55"/>
      <c r="AI122" s="3">
        <f t="shared" si="12"/>
        <v>0</v>
      </c>
      <c r="AJ122" s="3">
        <f t="shared" si="13"/>
        <v>0</v>
      </c>
      <c r="AK122" s="3">
        <f t="shared" si="14"/>
        <v>0</v>
      </c>
      <c r="AL122" s="3">
        <f t="shared" si="15"/>
        <v>0</v>
      </c>
      <c r="AM122" s="3">
        <f t="shared" si="16"/>
        <v>0</v>
      </c>
      <c r="AN122" s="3">
        <f t="shared" si="17"/>
        <v>0</v>
      </c>
      <c r="AO122" s="3">
        <f t="shared" si="18"/>
        <v>0</v>
      </c>
      <c r="AP122" s="3">
        <f t="shared" si="19"/>
        <v>0</v>
      </c>
    </row>
    <row r="123" spans="1:42" ht="27" customHeight="1" x14ac:dyDescent="0.3">
      <c r="A123" s="4"/>
      <c r="B123" s="4"/>
      <c r="C123" s="4"/>
      <c r="D123" s="4"/>
      <c r="E123" s="4"/>
      <c r="F123" s="4"/>
      <c r="G123" s="4"/>
      <c r="H123" s="4">
        <f t="shared" si="11"/>
        <v>44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>
        <v>30</v>
      </c>
      <c r="W123" s="4">
        <v>30</v>
      </c>
      <c r="X123" s="4"/>
      <c r="Y123" s="4"/>
      <c r="Z123" s="4"/>
      <c r="AA123" s="4"/>
      <c r="AB123" s="4">
        <v>20</v>
      </c>
      <c r="AC123" s="4">
        <v>10</v>
      </c>
      <c r="AD123" s="4">
        <v>10</v>
      </c>
      <c r="AE123" s="4"/>
      <c r="AF123" s="4"/>
      <c r="AG123" s="4"/>
      <c r="AH123" s="55"/>
      <c r="AI123" s="3">
        <f t="shared" si="12"/>
        <v>0</v>
      </c>
      <c r="AJ123" s="3">
        <f t="shared" si="13"/>
        <v>0</v>
      </c>
      <c r="AK123" s="3">
        <f t="shared" si="14"/>
        <v>0</v>
      </c>
      <c r="AL123" s="3">
        <f t="shared" si="15"/>
        <v>0</v>
      </c>
      <c r="AM123" s="3">
        <f t="shared" si="16"/>
        <v>0</v>
      </c>
      <c r="AN123" s="3">
        <f t="shared" si="17"/>
        <v>0</v>
      </c>
      <c r="AO123" s="3">
        <f t="shared" si="18"/>
        <v>0</v>
      </c>
      <c r="AP123" s="3">
        <f t="shared" si="19"/>
        <v>0</v>
      </c>
    </row>
    <row r="124" spans="1:42" ht="27" customHeight="1" x14ac:dyDescent="0.3">
      <c r="A124" s="4"/>
      <c r="B124" s="4"/>
      <c r="C124" s="4"/>
      <c r="D124" s="4"/>
      <c r="E124" s="4"/>
      <c r="F124" s="4"/>
      <c r="G124" s="4"/>
      <c r="H124" s="4">
        <f t="shared" si="11"/>
        <v>44</v>
      </c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>
        <v>30</v>
      </c>
      <c r="W124" s="4">
        <v>30</v>
      </c>
      <c r="X124" s="4"/>
      <c r="Y124" s="4"/>
      <c r="Z124" s="4"/>
      <c r="AA124" s="4"/>
      <c r="AB124" s="4">
        <v>20</v>
      </c>
      <c r="AC124" s="4">
        <v>10</v>
      </c>
      <c r="AD124" s="4">
        <v>10</v>
      </c>
      <c r="AE124" s="4"/>
      <c r="AF124" s="4"/>
      <c r="AG124" s="4"/>
      <c r="AH124" s="55"/>
      <c r="AI124" s="3">
        <f t="shared" si="12"/>
        <v>0</v>
      </c>
      <c r="AJ124" s="3">
        <f t="shared" si="13"/>
        <v>0</v>
      </c>
      <c r="AK124" s="3">
        <f t="shared" si="14"/>
        <v>0</v>
      </c>
      <c r="AL124" s="3">
        <f t="shared" si="15"/>
        <v>0</v>
      </c>
      <c r="AM124" s="3">
        <f t="shared" si="16"/>
        <v>0</v>
      </c>
      <c r="AN124" s="3">
        <f t="shared" si="17"/>
        <v>0</v>
      </c>
      <c r="AO124" s="3">
        <f t="shared" si="18"/>
        <v>0</v>
      </c>
      <c r="AP124" s="3">
        <f t="shared" si="19"/>
        <v>0</v>
      </c>
    </row>
    <row r="125" spans="1:42" ht="27" customHeight="1" x14ac:dyDescent="0.3">
      <c r="A125" s="4"/>
      <c r="B125" s="4"/>
      <c r="C125" s="4"/>
      <c r="D125" s="4"/>
      <c r="E125" s="4"/>
      <c r="F125" s="4"/>
      <c r="G125" s="4"/>
      <c r="H125" s="4">
        <f t="shared" si="11"/>
        <v>44</v>
      </c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>
        <v>30</v>
      </c>
      <c r="W125" s="4">
        <v>30</v>
      </c>
      <c r="X125" s="4"/>
      <c r="Y125" s="4"/>
      <c r="Z125" s="4"/>
      <c r="AA125" s="4"/>
      <c r="AB125" s="4">
        <v>20</v>
      </c>
      <c r="AC125" s="4">
        <v>10</v>
      </c>
      <c r="AD125" s="4">
        <v>10</v>
      </c>
      <c r="AE125" s="4"/>
      <c r="AF125" s="4"/>
      <c r="AG125" s="4"/>
      <c r="AH125" s="55"/>
      <c r="AI125" s="3">
        <f t="shared" si="12"/>
        <v>0</v>
      </c>
      <c r="AJ125" s="3">
        <f t="shared" si="13"/>
        <v>0</v>
      </c>
      <c r="AK125" s="3">
        <f t="shared" si="14"/>
        <v>0</v>
      </c>
      <c r="AL125" s="3">
        <f t="shared" si="15"/>
        <v>0</v>
      </c>
      <c r="AM125" s="3">
        <f t="shared" si="16"/>
        <v>0</v>
      </c>
      <c r="AN125" s="3">
        <f t="shared" si="17"/>
        <v>0</v>
      </c>
      <c r="AO125" s="3">
        <f t="shared" si="18"/>
        <v>0</v>
      </c>
      <c r="AP125" s="3">
        <f t="shared" si="19"/>
        <v>0</v>
      </c>
    </row>
    <row r="126" spans="1:42" ht="27" customHeight="1" x14ac:dyDescent="0.3">
      <c r="A126" s="4"/>
      <c r="B126" s="4"/>
      <c r="C126" s="4"/>
      <c r="D126" s="4"/>
      <c r="E126" s="4"/>
      <c r="F126" s="4"/>
      <c r="G126" s="4"/>
      <c r="H126" s="4">
        <f t="shared" si="11"/>
        <v>44</v>
      </c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>
        <v>30</v>
      </c>
      <c r="W126" s="4">
        <v>30</v>
      </c>
      <c r="X126" s="4"/>
      <c r="Y126" s="4"/>
      <c r="Z126" s="4"/>
      <c r="AA126" s="4"/>
      <c r="AB126" s="4">
        <v>20</v>
      </c>
      <c r="AC126" s="4">
        <v>10</v>
      </c>
      <c r="AD126" s="4">
        <v>10</v>
      </c>
      <c r="AE126" s="4"/>
      <c r="AF126" s="4"/>
      <c r="AG126" s="4"/>
      <c r="AH126" s="55"/>
      <c r="AI126" s="3">
        <f t="shared" si="12"/>
        <v>0</v>
      </c>
      <c r="AJ126" s="3">
        <f t="shared" si="13"/>
        <v>0</v>
      </c>
      <c r="AK126" s="3">
        <f t="shared" si="14"/>
        <v>0</v>
      </c>
      <c r="AL126" s="3">
        <f t="shared" si="15"/>
        <v>0</v>
      </c>
      <c r="AM126" s="3">
        <f t="shared" si="16"/>
        <v>0</v>
      </c>
      <c r="AN126" s="3">
        <f t="shared" si="17"/>
        <v>0</v>
      </c>
      <c r="AO126" s="3">
        <f t="shared" si="18"/>
        <v>0</v>
      </c>
      <c r="AP126" s="3">
        <f t="shared" si="19"/>
        <v>0</v>
      </c>
    </row>
    <row r="127" spans="1:42" ht="27" customHeight="1" x14ac:dyDescent="0.3">
      <c r="A127" s="4"/>
      <c r="B127" s="4"/>
      <c r="C127" s="4"/>
      <c r="D127" s="4"/>
      <c r="E127" s="4"/>
      <c r="F127" s="4"/>
      <c r="G127" s="4"/>
      <c r="H127" s="4">
        <f t="shared" si="11"/>
        <v>44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>
        <v>30</v>
      </c>
      <c r="W127" s="4">
        <v>30</v>
      </c>
      <c r="X127" s="4"/>
      <c r="Y127" s="4"/>
      <c r="Z127" s="4"/>
      <c r="AA127" s="4"/>
      <c r="AB127" s="4">
        <v>20</v>
      </c>
      <c r="AC127" s="4">
        <v>10</v>
      </c>
      <c r="AD127" s="4">
        <v>10</v>
      </c>
      <c r="AE127" s="4"/>
      <c r="AF127" s="4"/>
      <c r="AG127" s="4"/>
      <c r="AH127" s="55"/>
      <c r="AI127" s="3">
        <f t="shared" si="12"/>
        <v>0</v>
      </c>
      <c r="AJ127" s="3">
        <f t="shared" si="13"/>
        <v>0</v>
      </c>
      <c r="AK127" s="3">
        <f t="shared" si="14"/>
        <v>0</v>
      </c>
      <c r="AL127" s="3">
        <f t="shared" si="15"/>
        <v>0</v>
      </c>
      <c r="AM127" s="3">
        <f t="shared" si="16"/>
        <v>0</v>
      </c>
      <c r="AN127" s="3">
        <f t="shared" si="17"/>
        <v>0</v>
      </c>
      <c r="AO127" s="3">
        <f t="shared" si="18"/>
        <v>0</v>
      </c>
      <c r="AP127" s="3">
        <f t="shared" si="19"/>
        <v>0</v>
      </c>
    </row>
    <row r="128" spans="1:42" ht="27" customHeight="1" x14ac:dyDescent="0.3">
      <c r="A128" s="4"/>
      <c r="B128" s="4"/>
      <c r="C128" s="4"/>
      <c r="D128" s="4"/>
      <c r="E128" s="4"/>
      <c r="F128" s="4"/>
      <c r="G128" s="4"/>
      <c r="H128" s="4">
        <f t="shared" si="11"/>
        <v>44</v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>
        <v>30</v>
      </c>
      <c r="W128" s="4">
        <v>30</v>
      </c>
      <c r="X128" s="4"/>
      <c r="Y128" s="4"/>
      <c r="Z128" s="4"/>
      <c r="AA128" s="4"/>
      <c r="AB128" s="4">
        <v>20</v>
      </c>
      <c r="AC128" s="4">
        <v>10</v>
      </c>
      <c r="AD128" s="4">
        <v>10</v>
      </c>
      <c r="AE128" s="4"/>
      <c r="AF128" s="4"/>
      <c r="AG128" s="4"/>
      <c r="AH128" s="55"/>
      <c r="AI128" s="3">
        <f t="shared" si="12"/>
        <v>0</v>
      </c>
      <c r="AJ128" s="3">
        <f t="shared" si="13"/>
        <v>0</v>
      </c>
      <c r="AK128" s="3">
        <f t="shared" si="14"/>
        <v>0</v>
      </c>
      <c r="AL128" s="3">
        <f t="shared" si="15"/>
        <v>0</v>
      </c>
      <c r="AM128" s="3">
        <f t="shared" si="16"/>
        <v>0</v>
      </c>
      <c r="AN128" s="3">
        <f t="shared" si="17"/>
        <v>0</v>
      </c>
      <c r="AO128" s="3">
        <f t="shared" si="18"/>
        <v>0</v>
      </c>
      <c r="AP128" s="3">
        <f t="shared" si="19"/>
        <v>0</v>
      </c>
    </row>
    <row r="129" spans="1:42" ht="27" customHeight="1" x14ac:dyDescent="0.3">
      <c r="A129" s="4"/>
      <c r="B129" s="4"/>
      <c r="C129" s="4"/>
      <c r="D129" s="4"/>
      <c r="E129" s="4"/>
      <c r="F129" s="4"/>
      <c r="G129" s="4"/>
      <c r="H129" s="4">
        <f t="shared" si="11"/>
        <v>44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>
        <v>30</v>
      </c>
      <c r="W129" s="4">
        <v>30</v>
      </c>
      <c r="X129" s="4"/>
      <c r="Y129" s="4"/>
      <c r="Z129" s="4"/>
      <c r="AA129" s="4"/>
      <c r="AB129" s="4">
        <v>20</v>
      </c>
      <c r="AC129" s="4">
        <v>10</v>
      </c>
      <c r="AD129" s="4">
        <v>10</v>
      </c>
      <c r="AE129" s="4"/>
      <c r="AF129" s="4"/>
      <c r="AG129" s="4"/>
      <c r="AH129" s="55"/>
      <c r="AI129" s="3">
        <f t="shared" si="12"/>
        <v>0</v>
      </c>
      <c r="AJ129" s="3">
        <f t="shared" si="13"/>
        <v>0</v>
      </c>
      <c r="AK129" s="3">
        <f t="shared" si="14"/>
        <v>0</v>
      </c>
      <c r="AL129" s="3">
        <f t="shared" si="15"/>
        <v>0</v>
      </c>
      <c r="AM129" s="3">
        <f t="shared" si="16"/>
        <v>0</v>
      </c>
      <c r="AN129" s="3">
        <f t="shared" si="17"/>
        <v>0</v>
      </c>
      <c r="AO129" s="3">
        <f t="shared" si="18"/>
        <v>0</v>
      </c>
      <c r="AP129" s="3">
        <f t="shared" si="19"/>
        <v>0</v>
      </c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33"/>
  <sheetViews>
    <sheetView tabSelected="1" zoomScale="70" zoomScaleNormal="70" workbookViewId="0">
      <selection activeCell="J13" sqref="J13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정보!I3</f>
        <v>(4CO멍텅구리) 제작변환 ( 경기도 부천테크노파크 1단지 4co-2차 ) _추영덕소장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"/>
      <c r="AO1" s="1"/>
      <c r="AP1" s="273" t="s">
        <v>75</v>
      </c>
      <c r="AQ1" s="273"/>
      <c r="AR1" s="273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00" t="s">
        <v>302</v>
      </c>
      <c r="K2" s="200"/>
      <c r="L2" s="200"/>
      <c r="M2" s="107">
        <v>0</v>
      </c>
      <c r="N2" s="99"/>
      <c r="O2" s="99"/>
      <c r="P2" s="99"/>
      <c r="Q2" s="271" t="s">
        <v>113</v>
      </c>
      <c r="R2" s="271"/>
      <c r="S2" s="271"/>
      <c r="T2" s="271"/>
      <c r="U2" s="281">
        <v>1</v>
      </c>
      <c r="V2" s="281"/>
      <c r="W2" s="267" t="s">
        <v>103</v>
      </c>
      <c r="X2" s="268"/>
      <c r="Y2" s="95">
        <v>0</v>
      </c>
      <c r="Z2" s="267" t="s">
        <v>88</v>
      </c>
      <c r="AA2" s="268"/>
      <c r="AB2" s="94">
        <v>0</v>
      </c>
      <c r="AC2" s="69"/>
      <c r="AD2" s="258" t="s">
        <v>82</v>
      </c>
      <c r="AE2" s="275"/>
      <c r="AF2" s="344">
        <v>4</v>
      </c>
      <c r="AG2" s="344"/>
      <c r="AH2" s="98" t="s">
        <v>114</v>
      </c>
      <c r="AI2" s="345">
        <v>0</v>
      </c>
      <c r="AJ2" s="345"/>
      <c r="AK2" s="1"/>
      <c r="AL2" s="1"/>
      <c r="AM2" s="1"/>
      <c r="AN2" s="1"/>
      <c r="AO2" s="1"/>
      <c r="AP2" s="273"/>
      <c r="AQ2" s="273"/>
      <c r="AR2" s="273"/>
      <c r="AW2" s="24"/>
    </row>
    <row r="3" spans="1:58" ht="33" customHeight="1" x14ac:dyDescent="0.3">
      <c r="A3" s="33" t="str">
        <f>'4CO멍텅(실측)'!A3</f>
        <v>현장명 : 경기도 부천테크노파크 1단지 4co-2차,   (재질) : HL 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0</v>
      </c>
      <c r="N3" s="100"/>
      <c r="O3" s="100"/>
      <c r="P3" s="100"/>
      <c r="Q3" s="258" t="s">
        <v>77</v>
      </c>
      <c r="R3" s="258"/>
      <c r="S3" s="270">
        <v>0</v>
      </c>
      <c r="T3" s="270"/>
      <c r="U3" s="271" t="s">
        <v>227</v>
      </c>
      <c r="V3" s="271"/>
      <c r="W3" s="271"/>
      <c r="X3" s="272">
        <f>BE7</f>
        <v>1</v>
      </c>
      <c r="Y3" s="272"/>
      <c r="Z3" s="282" t="s">
        <v>78</v>
      </c>
      <c r="AA3" s="282"/>
      <c r="AB3" s="93">
        <v>0</v>
      </c>
      <c r="AC3" s="101"/>
      <c r="AF3" s="213" t="s">
        <v>73</v>
      </c>
      <c r="AG3" s="213"/>
      <c r="AH3" s="114">
        <v>4</v>
      </c>
      <c r="AI3" s="4" t="s">
        <v>74</v>
      </c>
      <c r="AJ3" s="115">
        <v>4</v>
      </c>
      <c r="AK3" s="251" t="s">
        <v>324</v>
      </c>
      <c r="AL3" s="199"/>
      <c r="AM3" s="159">
        <f>AS7</f>
        <v>0</v>
      </c>
      <c r="AN3" s="14"/>
      <c r="AO3" s="14"/>
      <c r="AP3" s="25"/>
      <c r="AQ3" s="25"/>
      <c r="AR3" s="24"/>
      <c r="AW3" s="24"/>
    </row>
    <row r="4" spans="1:58" ht="33" customHeight="1" x14ac:dyDescent="0.3">
      <c r="A4" s="172" t="str">
        <f>'4CO멍텅(실측)'!A4:AB4</f>
        <v>제작치수 반영 : JB/JD +(0 ),  늘어난치수K -(0),  C + (0),  U +(0), OP1/OP3 - (0), R - (0),  기둥차감 - (4),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341" t="s">
        <v>307</v>
      </c>
      <c r="AE4" s="341"/>
      <c r="AF4" s="341">
        <f>'4CO멍텅(실측)'!X7</f>
        <v>4</v>
      </c>
      <c r="AG4" s="341"/>
      <c r="AH4" s="9"/>
      <c r="AI4" s="185">
        <f ca="1">TODAY()</f>
        <v>45622</v>
      </c>
      <c r="AJ4" s="171"/>
      <c r="AK4" s="249" t="s">
        <v>235</v>
      </c>
      <c r="AL4" s="249"/>
      <c r="AM4" s="250"/>
      <c r="AN4" s="162" t="s">
        <v>215</v>
      </c>
      <c r="AO4" s="162"/>
      <c r="AP4" s="25"/>
      <c r="AQ4" s="25"/>
      <c r="AR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267</v>
      </c>
      <c r="D5" s="166" t="s">
        <v>261</v>
      </c>
      <c r="E5" s="165" t="s">
        <v>268</v>
      </c>
      <c r="F5" s="165" t="s">
        <v>18</v>
      </c>
      <c r="G5" s="166" t="s">
        <v>58</v>
      </c>
      <c r="H5" s="166" t="s">
        <v>269</v>
      </c>
      <c r="I5" s="166" t="s">
        <v>270</v>
      </c>
      <c r="J5" s="264" t="s">
        <v>60</v>
      </c>
      <c r="K5" s="264" t="s">
        <v>64</v>
      </c>
      <c r="L5" s="339" t="s">
        <v>65</v>
      </c>
      <c r="M5" s="339" t="s">
        <v>66</v>
      </c>
      <c r="N5" s="316" t="s">
        <v>331</v>
      </c>
      <c r="O5" s="316" t="s">
        <v>332</v>
      </c>
      <c r="P5" s="238" t="s">
        <v>62</v>
      </c>
      <c r="Q5" s="238" t="s">
        <v>63</v>
      </c>
      <c r="R5" s="165" t="s">
        <v>8</v>
      </c>
      <c r="S5" s="165" t="s">
        <v>9</v>
      </c>
      <c r="T5" s="165" t="s">
        <v>10</v>
      </c>
      <c r="U5" s="165" t="s">
        <v>11</v>
      </c>
      <c r="V5" s="165" t="s">
        <v>14</v>
      </c>
      <c r="W5" s="165" t="s">
        <v>15</v>
      </c>
      <c r="X5" s="165" t="s">
        <v>16</v>
      </c>
      <c r="Y5" s="165" t="s">
        <v>17</v>
      </c>
      <c r="Z5" s="165" t="s">
        <v>19</v>
      </c>
      <c r="AA5" s="165" t="s">
        <v>20</v>
      </c>
      <c r="AB5" s="238" t="s">
        <v>22</v>
      </c>
      <c r="AC5" s="238" t="s">
        <v>23</v>
      </c>
      <c r="AD5" s="240" t="s">
        <v>21</v>
      </c>
      <c r="AE5" s="241"/>
      <c r="AF5" s="241"/>
      <c r="AG5" s="242"/>
      <c r="AH5" s="166" t="s">
        <v>25</v>
      </c>
      <c r="AI5" s="262" t="s">
        <v>34</v>
      </c>
      <c r="AJ5" s="166" t="s">
        <v>35</v>
      </c>
      <c r="AK5" s="322" t="s">
        <v>203</v>
      </c>
      <c r="AL5" s="322"/>
      <c r="AM5" s="322"/>
      <c r="AN5" s="169" t="s">
        <v>212</v>
      </c>
      <c r="AO5" s="170"/>
      <c r="AP5" s="178" t="s">
        <v>300</v>
      </c>
      <c r="AQ5" s="178" t="s">
        <v>301</v>
      </c>
      <c r="AR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265"/>
      <c r="K6" s="265"/>
      <c r="L6" s="340"/>
      <c r="M6" s="340"/>
      <c r="N6" s="317"/>
      <c r="O6" s="317"/>
      <c r="P6" s="239"/>
      <c r="Q6" s="239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239"/>
      <c r="AC6" s="239"/>
      <c r="AD6" s="8" t="s">
        <v>56</v>
      </c>
      <c r="AE6" s="8" t="s">
        <v>57</v>
      </c>
      <c r="AF6" s="8" t="s">
        <v>54</v>
      </c>
      <c r="AG6" s="8" t="s">
        <v>55</v>
      </c>
      <c r="AH6" s="165"/>
      <c r="AI6" s="263"/>
      <c r="AJ6" s="165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9"/>
      <c r="AQ6" s="179"/>
      <c r="AR6" s="261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 t="str">
        <f>'4CO멍텅(실측)'!A7</f>
        <v>101-2</v>
      </c>
      <c r="B7" s="4" t="str">
        <f>'4CO멍텅(실측)'!B7&amp;"F"</f>
        <v>9F</v>
      </c>
      <c r="C7" s="4">
        <f>'4CO멍텅(실측)'!C7-CO4멍텅OP/2</f>
        <v>399</v>
      </c>
      <c r="D7" s="4">
        <f>'4CO멍텅(실측)'!D7</f>
        <v>800</v>
      </c>
      <c r="E7" s="4">
        <f>'4CO멍텅(실측)'!E7-CO4멍텅OP/2</f>
        <v>397</v>
      </c>
      <c r="F7" s="4">
        <f>'4CO멍텅(실측)'!F7-CO4멍텅R</f>
        <v>1596</v>
      </c>
      <c r="G7" s="4">
        <f>'4CO멍텅(실측)'!G7+MAX(AP7,AQ7)+IF(BE7=1,AD7,0)+CO4멍텅JBJD늘림치수</f>
        <v>342</v>
      </c>
      <c r="H7" s="4">
        <f>'4CO멍텅(실측)'!H7+MAX(AP7,AQ7)+IF(BE7=1,MAX(AD7,AF7),0)+CO4멍텅JBJD늘림치수</f>
        <v>386</v>
      </c>
      <c r="I7" s="4">
        <f>'4CO멍텅(실측)'!I7+MAX(AP7,AQ7)+IF(BE7=1,AF7,0)+CO4멍텅JBJD늘림치수</f>
        <v>342</v>
      </c>
      <c r="J7" s="4">
        <f>'4CO멍텅(실측)'!J7+AP7+IF(BE7=1,AD7,0)+CO4멍텅JB강제키움+CO4멍텅JBJD늘림치수</f>
        <v>342</v>
      </c>
      <c r="K7" s="4">
        <f>'4CO멍텅(실측)'!J7+AP7+IF(BE7=1,AE7,0)+CO4멍텅JB강제키움+CO4멍텅JBJD늘림치수-IF(CO4멍텅JB하부늘치=1,'4CO멍텅(실측)'!X7-'4CO멍텅(실측)'!Y7,0)</f>
        <v>342</v>
      </c>
      <c r="L7" s="4">
        <f>'4CO멍텅(실측)'!K7+AQ7+IF(BE7=1,AF7,0)+CO4멍텅JB강제키움+CO4멍텅JBJD늘림치수</f>
        <v>342</v>
      </c>
      <c r="M7" s="4">
        <f>'4CO멍텅(실측)'!K7+AQ7+IF(BE7=1,AG7,0)+CO4멍텅JB강제키움+CO4멍텅JBJD늘림치수-IF(CO4멍텅JB하부늘치=1,'4CO멍텅(실측)'!Z7-'4CO멍텅(실측)'!AA7,0)</f>
        <v>342</v>
      </c>
      <c r="N7" s="73">
        <f>IF(BE7=0,H7+AD7-(G7+AD7),H7-G7)</f>
        <v>44</v>
      </c>
      <c r="O7" s="73">
        <f>IF(BE7=0,H7+AF7-(I7+AF7),H7-I7)</f>
        <v>44</v>
      </c>
      <c r="P7" s="4">
        <f t="shared" ref="P7:Q7" si="0">R7+IF(소장="손상민",0,-1.5)</f>
        <v>38.5</v>
      </c>
      <c r="Q7" s="4">
        <f t="shared" si="0"/>
        <v>38.5</v>
      </c>
      <c r="R7" s="4">
        <f>IF(T7&gt;0,'4CO멍텅(실측)'!L7+CO4멍텅C늘림,'4CO멍텅(실측)'!L7+1)</f>
        <v>40</v>
      </c>
      <c r="S7" s="4">
        <f>IF(U7&gt;0,'4CO멍텅(실측)'!M7+CO4멍텅C늘림,'4CO멍텅(실측)'!M7+1)</f>
        <v>40</v>
      </c>
      <c r="T7" s="4">
        <f>IF(ISNUMBER('4CO멍텅(실측)'!N7),'4CO멍텅(실측)'!N7+'4CO멍텅제작'!AP7+멍텅A늘림,0)</f>
        <v>16</v>
      </c>
      <c r="U7" s="4">
        <f>IF(ISNUMBER('4CO멍텅(실측)'!O7),'4CO멍텅(실측)'!O7+'4CO멍텅제작'!AQ7+멍텅A늘림,0)</f>
        <v>19</v>
      </c>
      <c r="V7" s="4">
        <f>'4CO멍텅(실측)'!P7-CO4멍텅기둥차감</f>
        <v>2293</v>
      </c>
      <c r="W7" s="4">
        <f>'4CO멍텅(실측)'!Q7-CO4멍텅기둥차감</f>
        <v>2288</v>
      </c>
      <c r="X7" s="4">
        <f>'4CO멍텅(실측)'!R7-CO4멍텅기둥차감</f>
        <v>2290</v>
      </c>
      <c r="Y7" s="4">
        <f>'4CO멍텅(실측)'!S7-CO4멍텅기둥차감</f>
        <v>2289</v>
      </c>
      <c r="Z7" s="4">
        <f>IF(ISNUMBER('4CO멍텅(실측)'!T7),IF(AA7&gt;0,'4CO멍텅(실측)'!T7+CO4멍텅U늘림,'4CO멍텅(실측)'!T7+1.2),0)</f>
        <v>40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9</v>
      </c>
      <c r="AB7" s="4">
        <f>'4CO멍텅(실측)'!V7+뒷날개치수더함</f>
        <v>30</v>
      </c>
      <c r="AC7" s="4">
        <f>'4CO멍텅(실측)'!W7+뒷날개치수더함</f>
        <v>30</v>
      </c>
      <c r="AD7" s="13">
        <f>'4CO멍텅(실측)'!X7-CO4멍텅늘치차감</f>
        <v>4</v>
      </c>
      <c r="AE7" s="13">
        <f>IF(CO4멍텅JB하부늘치=1,AD7,'4CO멍텅(실측)'!Y7-CO4멍텅늘치차감)</f>
        <v>4</v>
      </c>
      <c r="AF7" s="13">
        <f>'4CO멍텅(실측)'!Z7-CO4멍텅늘치차감</f>
        <v>4</v>
      </c>
      <c r="AG7" s="13">
        <f>IF(CO4멍텅JB하부늘치=1,AF7,'4CO멍텅(실측)'!AA7-CO4멍텅늘치차감)</f>
        <v>4</v>
      </c>
      <c r="AH7" s="11" t="str">
        <f t="shared" ref="AH7" si="1">AW7&amp;"*"&amp;AX7</f>
        <v>1673*460.2</v>
      </c>
      <c r="AI7" s="12" t="str">
        <f t="shared" ref="AI7" si="2">AZ7&amp;"*"&amp;AY7</f>
        <v>2293*423.2</v>
      </c>
      <c r="AJ7" s="10" t="str">
        <f t="shared" ref="AJ7" si="3">BB7&amp;"*"&amp;BA7</f>
        <v>2290*426.2</v>
      </c>
      <c r="AK7" s="4">
        <f>IF('4CO멍텅(실측)'!AB7&gt;5,'4CO멍텅(실측)'!AB7+뒷날개치수더함,'4CO멍텅(실측)'!AB7)</f>
        <v>20</v>
      </c>
      <c r="AL7" s="4">
        <f>'4CO멍텅(실측)'!AC7</f>
        <v>10</v>
      </c>
      <c r="AM7" s="4">
        <f>'4CO멍텅(실측)'!AD7</f>
        <v>10</v>
      </c>
      <c r="AN7" s="31">
        <f>IF('4CO멍텅(실측)'!AE7&gt;0,'4CO멍텅(실측)'!AE7-'4CO멍텅(실측)'!V7+1.2,0)</f>
        <v>5.2</v>
      </c>
      <c r="AO7" s="31">
        <f>IF('4CO멍텅(실측)'!AF7&gt;0,'4CO멍텅(실측)'!AF7-'4CO멍텅(실측)'!V7+1.2,0)</f>
        <v>5.2</v>
      </c>
      <c r="AP7" s="3">
        <f>IF(AND(ISNUMBER('4CO멍텅(실측)'!O7),ISNUMBER('4CO멍텅(실측)'!N7)),IF(ISNUMBER('4CO멍텅(실측)'!N7),IF(9-MIN('4CO멍텅(실측)'!N7+멍텅A늘림,'4CO멍텅(실측)'!O7+멍텅A늘림)+AR7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+AR7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0</v>
      </c>
      <c r="AT7" s="36">
        <f t="shared" ref="AT7" si="4">G7-COS(RADIANS(AS7))*J7</f>
        <v>0</v>
      </c>
      <c r="AU7" s="36">
        <f t="shared" ref="AU7" si="5">I7-COS(RADIANS(AS7))*L7</f>
        <v>0</v>
      </c>
      <c r="AV7" s="46" t="str">
        <f t="shared" ref="AV7" si="6">IF(G7+AD7&lt;&gt;I7+AF7,"JD비대칭","")</f>
        <v/>
      </c>
      <c r="AW7" s="3">
        <f>F7 + IF(Z7+AA7&gt;0, P7+Q7,0)</f>
        <v>1673</v>
      </c>
      <c r="AX7" s="3">
        <f>Z7+H7+AB7+AA7-1.2*$AH$3+IF(BE7=0,MAX(AD7,AF7))+IF(AA7=0,1.2,0)</f>
        <v>460.2</v>
      </c>
      <c r="AY7" s="3">
        <f>T7+R7+MAX(J7,K7)+AC7-1.2*$AJ$3+IF(BE7=0,MAX(AD7,AE7))+IF(T7=0,1.2,0)-IF(AM7=90,2.4,0)</f>
        <v>423.2</v>
      </c>
      <c r="AZ7" s="3">
        <f t="shared" ref="AZ7" si="7">MAX(V7,W7)</f>
        <v>2293</v>
      </c>
      <c r="BA7" s="3">
        <f>U7+S7+MAX(L7,M7)+AC7-1.2*$AJ$3+IF(BE7=0,MAX(AF7,AG7))+IF(U7=0,1.2,0)-IF(AM7=90,2.4,0)</f>
        <v>426.2</v>
      </c>
      <c r="BB7" s="3">
        <f t="shared" ref="BB7" si="8">MAX(X7,Y7)</f>
        <v>2290</v>
      </c>
      <c r="BC7">
        <f t="shared" ref="BC7" si="9">J7-G7</f>
        <v>0</v>
      </c>
      <c r="BD7">
        <f t="shared" ref="BD7" si="10">9-AA7</f>
        <v>0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ht="26.25" customHeight="1" x14ac:dyDescent="0.3">
      <c r="A8" s="4" t="str">
        <f>'4CO멍텅(실측)'!A8</f>
        <v>101-2</v>
      </c>
      <c r="B8" s="4" t="str">
        <f>'4CO멍텅(실측)'!B8&amp;"F"</f>
        <v>8F</v>
      </c>
      <c r="C8" s="4">
        <f>'4CO멍텅(실측)'!C8-CO4멍텅OP/2</f>
        <v>395</v>
      </c>
      <c r="D8" s="4">
        <f>'4CO멍텅(실측)'!D8</f>
        <v>800</v>
      </c>
      <c r="E8" s="4">
        <f>'4CO멍텅(실측)'!E8-CO4멍텅OP/2</f>
        <v>398</v>
      </c>
      <c r="F8" s="4">
        <f>'4CO멍텅(실측)'!F8-CO4멍텅R</f>
        <v>1595</v>
      </c>
      <c r="G8" s="4">
        <f>'4CO멍텅(실측)'!G8+MAX(AP8,AQ8)+IF(BE8=1,AD8,0)+CO4멍텅JBJD늘림치수</f>
        <v>344</v>
      </c>
      <c r="H8" s="4">
        <f>'4CO멍텅(실측)'!H8+MAX(AP8,AQ8)+IF(BE8=1,MAX(AD8,AF8),0)+CO4멍텅JBJD늘림치수</f>
        <v>388</v>
      </c>
      <c r="I8" s="4">
        <f>'4CO멍텅(실측)'!I8+MAX(AP8,AQ8)+IF(BE8=1,AF8,0)+CO4멍텅JBJD늘림치수</f>
        <v>342</v>
      </c>
      <c r="J8" s="4">
        <f>'4CO멍텅(실측)'!J8+AP8+IF(BE8=1,AD8,0)+CO4멍텅JB강제키움+CO4멍텅JBJD늘림치수</f>
        <v>344</v>
      </c>
      <c r="K8" s="4">
        <f>'4CO멍텅(실측)'!J8+AP8+IF(BE8=1,AE8,0)+CO4멍텅JB강제키움+CO4멍텅JBJD늘림치수-IF(CO4멍텅JB하부늘치=1,'4CO멍텅(실측)'!X8-'4CO멍텅(실측)'!Y8,0)</f>
        <v>342</v>
      </c>
      <c r="L8" s="4">
        <f>'4CO멍텅(실측)'!K8+AQ8+IF(BE8=1,AF8,0)+CO4멍텅JB강제키움+CO4멍텅JBJD늘림치수</f>
        <v>342</v>
      </c>
      <c r="M8" s="4">
        <f>'4CO멍텅(실측)'!K8+AQ8+IF(BE8=1,AG8,0)+CO4멍텅JB강제키움+CO4멍텅JBJD늘림치수-IF(CO4멍텅JB하부늘치=1,'4CO멍텅(실측)'!Z8-'4CO멍텅(실측)'!AA8,0)</f>
        <v>342</v>
      </c>
      <c r="N8" s="73">
        <f t="shared" ref="N8:N33" si="11">IF(BE8=0,H8+AD8-(G8+AD8),H8-G8)</f>
        <v>44</v>
      </c>
      <c r="O8" s="73">
        <f t="shared" ref="O8:O33" si="12">IF(BE8=0,H8+AF8-(I8+AF8),H8-I8)</f>
        <v>46</v>
      </c>
      <c r="P8" s="4">
        <f t="shared" ref="P8:P33" si="13">R8+IF(소장="손상민",0,-1.5)</f>
        <v>38.5</v>
      </c>
      <c r="Q8" s="4">
        <f t="shared" ref="Q8:Q33" si="14">S8+IF(소장="손상민",0,-1.5)</f>
        <v>38.5</v>
      </c>
      <c r="R8" s="4">
        <f>IF(T8&gt;0,'4CO멍텅(실측)'!L8+CO4멍텅C늘림,'4CO멍텅(실측)'!L8+1)</f>
        <v>40</v>
      </c>
      <c r="S8" s="4">
        <f>IF(U8&gt;0,'4CO멍텅(실측)'!M8+CO4멍텅C늘림,'4CO멍텅(실측)'!M8+1)</f>
        <v>40</v>
      </c>
      <c r="T8" s="4">
        <f>IF(ISNUMBER('4CO멍텅(실측)'!N8),'4CO멍텅(실측)'!N8+'4CO멍텅제작'!AP8+멍텅A늘림,0)</f>
        <v>16</v>
      </c>
      <c r="U8" s="4">
        <f>IF(ISNUMBER('4CO멍텅(실측)'!O8),'4CO멍텅(실측)'!O8+'4CO멍텅제작'!AQ8+멍텅A늘림,0)</f>
        <v>19</v>
      </c>
      <c r="V8" s="4">
        <f>'4CO멍텅(실측)'!P8-CO4멍텅기둥차감</f>
        <v>2293</v>
      </c>
      <c r="W8" s="4">
        <f>'4CO멍텅(실측)'!Q8-CO4멍텅기둥차감</f>
        <v>2287</v>
      </c>
      <c r="X8" s="4">
        <f>'4CO멍텅(실측)'!R8-CO4멍텅기둥차감</f>
        <v>2291</v>
      </c>
      <c r="Y8" s="4">
        <f>'4CO멍텅(실측)'!S8-CO4멍텅기둥차감</f>
        <v>2289</v>
      </c>
      <c r="Z8" s="4">
        <f>IF(ISNUMBER('4CO멍텅(실측)'!T8),IF(AA8&gt;0,'4CO멍텅(실측)'!T8+CO4멍텅U늘림,'4CO멍텅(실측)'!T8+1.2),0)</f>
        <v>40</v>
      </c>
      <c r="AA8" s="4">
        <f>IF(OR(CO4멍텅G="", CO4멍텅G=0),IF(ISNUMBER('4CO멍텅(실측)'!U8),IF('4CO멍텅(실측)'!U8+멍텅A늘림+MAX(AP8,AQ8)&gt;9,'4CO멍텅(실측)'!U8+멍텅A늘림+MAX(AP8,AQ8),'4CO멍텅(실측)'!U8+멍텅A늘림+MAX(AP8,AQ8)),0),CO4멍텅G)</f>
        <v>9</v>
      </c>
      <c r="AB8" s="4">
        <f>'4CO멍텅(실측)'!V8+뒷날개치수더함</f>
        <v>30</v>
      </c>
      <c r="AC8" s="4">
        <f>'4CO멍텅(실측)'!W8+뒷날개치수더함</f>
        <v>30</v>
      </c>
      <c r="AD8" s="13">
        <f>'4CO멍텅(실측)'!X8-CO4멍텅늘치차감</f>
        <v>6</v>
      </c>
      <c r="AE8" s="13">
        <f>IF(CO4멍텅JB하부늘치=1,AD8,'4CO멍텅(실측)'!Y8-CO4멍텅늘치차감)</f>
        <v>6</v>
      </c>
      <c r="AF8" s="13">
        <f>'4CO멍텅(실측)'!Z8-CO4멍텅늘치차감</f>
        <v>4</v>
      </c>
      <c r="AG8" s="13">
        <f>IF(CO4멍텅JB하부늘치=1,AF8,'4CO멍텅(실측)'!AA8-CO4멍텅늘치차감)</f>
        <v>4</v>
      </c>
      <c r="AH8" s="11" t="str">
        <f t="shared" ref="AH8:AH33" si="15">AW8&amp;"*"&amp;AX8</f>
        <v>1672*462.2</v>
      </c>
      <c r="AI8" s="12" t="str">
        <f t="shared" ref="AI8:AI33" si="16">AZ8&amp;"*"&amp;AY8</f>
        <v>2293*425.2</v>
      </c>
      <c r="AJ8" s="10" t="str">
        <f t="shared" ref="AJ8:AJ33" si="17">BB8&amp;"*"&amp;BA8</f>
        <v>2291*426.2</v>
      </c>
      <c r="AK8" s="4">
        <f>IF('4CO멍텅(실측)'!AB8&gt;5,'4CO멍텅(실측)'!AB8+뒷날개치수더함,'4CO멍텅(실측)'!AB8)</f>
        <v>20</v>
      </c>
      <c r="AL8" s="4">
        <f>'4CO멍텅(실측)'!AC8</f>
        <v>10</v>
      </c>
      <c r="AM8" s="4">
        <f>'4CO멍텅(실측)'!AD8</f>
        <v>10</v>
      </c>
      <c r="AN8" s="31">
        <f>IF('4CO멍텅(실측)'!AE8&gt;0,'4CO멍텅(실측)'!AE8-'4CO멍텅(실측)'!V8+1.2,0)</f>
        <v>5.2</v>
      </c>
      <c r="AO8" s="31">
        <f>IF('4CO멍텅(실측)'!AF8&gt;0,'4CO멍텅(실측)'!AF8-'4CO멍텅(실측)'!V8+1.2,0)</f>
        <v>5.2</v>
      </c>
      <c r="AP8" s="3">
        <f>IF(AND(ISNUMBER('4CO멍텅(실측)'!O8),ISNUMBER('4CO멍텅(실측)'!N8)),IF(ISNUMBER('4CO멍텅(실측)'!N8),IF(9-MIN('4CO멍텅(실측)'!N8+멍텅A늘림,'4CO멍텅(실측)'!O8+멍텅A늘림)+AR8&lt;AR8,AR8,9-MIN('4CO멍텅(실측)'!N8+멍텅A늘림,'4CO멍텅(실측)'!O8+멍텅A늘림) + AR8 ),0),IF(ISNUMBER('4CO멍텅(실측)'!N8),IF(9-'4CO멍텅(실측)'!N8-멍텅A늘림+AR8&lt;AR8,AR8,9-'4CO멍텅(실측)'!N8-멍텅A늘림+AR8),0))</f>
        <v>0</v>
      </c>
      <c r="AQ8" s="3">
        <f>IF(AND(ISNUMBER('4CO멍텅(실측)'!N8),ISNUMBER('4CO멍텅(실측)'!O8)),IF(ISNUMBER('4CO멍텅(실측)'!O8),IF(9-MIN('4CO멍텅(실측)'!O8+멍텅A늘림,'4CO멍텅(실측)'!N8+멍텅A늘림)+AR8&lt;AR8,AR8,9-MIN('4CO멍텅(실측)'!O8+멍텅A늘림,'4CO멍텅(실측)'!N8+멍텅A늘림) + AR8 ),0),IF(ISNUMBER('4CO멍텅(실측)'!O8),IF(9-'4CO멍텅(실측)'!O8-멍텅A늘림+AR8&lt;AR8,AR8,9-'4CO멍텅(실측)'!O8-멍텅A늘림+AR8),0))</f>
        <v>0</v>
      </c>
      <c r="AR8" s="16"/>
      <c r="AS8" s="17">
        <f t="shared" ref="AS8:AS33" si="18">DEGREES(ATAN((F8-(C8+D8+E8))/2/(G8)))</f>
        <v>0.16655702942144082</v>
      </c>
      <c r="AT8" s="36">
        <f t="shared" ref="AT8:AT33" si="19">G8-COS(RADIANS(AS8))*J8</f>
        <v>1.4534791600908648E-3</v>
      </c>
      <c r="AU8" s="36">
        <f t="shared" ref="AU8:AU33" si="20">I8-COS(RADIANS(AS8))*L8</f>
        <v>1.4450286998908268E-3</v>
      </c>
      <c r="AV8" s="46" t="str">
        <f t="shared" ref="AV8:AV33" si="21">IF(G8+AD8&lt;&gt;I8+AF8,"JD비대칭","")</f>
        <v>JD비대칭</v>
      </c>
      <c r="AW8" s="3">
        <f t="shared" ref="AW8:AW33" si="22">F8 + IF(Z8+AA8&gt;0, P8+Q8,0)</f>
        <v>1672</v>
      </c>
      <c r="AX8" s="3">
        <f t="shared" ref="AX8:AX33" si="23">Z8+H8+AB8+AA8-1.2*$AH$3+IF(BE8=0,MAX(AD8,AF8))+IF(AA8=0,1.2,0)</f>
        <v>462.2</v>
      </c>
      <c r="AY8" s="3">
        <f t="shared" ref="AY8:AY33" si="24">T8+R8+MAX(J8,K8)+AC8-1.2*$AJ$3+IF(BE8=0,MAX(AD8,AE8))+IF(T8=0,1.2,0)-IF(AM8=90,2.4,0)</f>
        <v>425.2</v>
      </c>
      <c r="AZ8" s="3">
        <f t="shared" ref="AZ8:AZ33" si="25">MAX(V8,W8)</f>
        <v>2293</v>
      </c>
      <c r="BA8" s="3">
        <f t="shared" ref="BA8:BA33" si="26">U8+S8+MAX(L8,M8)+AC8-1.2*$AJ$3+IF(BE8=0,MAX(AF8,AG8))+IF(U8=0,1.2,0)-IF(AM8=90,2.4,0)</f>
        <v>426.2</v>
      </c>
      <c r="BB8" s="3">
        <f t="shared" ref="BB8:BB33" si="27">MAX(X8,Y8)</f>
        <v>2291</v>
      </c>
      <c r="BC8">
        <f t="shared" ref="BC8:BC33" si="28">J8-G8</f>
        <v>0</v>
      </c>
      <c r="BD8">
        <f t="shared" ref="BD8:BD33" si="29">9-AA8</f>
        <v>0</v>
      </c>
      <c r="BE8" s="79">
        <f t="shared" ref="BE8:BE33" si="30">IF(AND(MIN(AD8,AF8)&gt;=9.2,F8-(C8+D8+E8)&gt;15),0,1)</f>
        <v>1</v>
      </c>
      <c r="BF8" s="83">
        <f>IF(소장="손상민",'4CO멍텅(실측)'!AG8,0)</f>
        <v>0</v>
      </c>
    </row>
    <row r="9" spans="1:58" ht="26.25" customHeight="1" x14ac:dyDescent="0.3">
      <c r="A9" s="4" t="str">
        <f>'4CO멍텅(실측)'!A9</f>
        <v>101-2</v>
      </c>
      <c r="B9" s="4" t="str">
        <f>'4CO멍텅(실측)'!B9&amp;"F"</f>
        <v>7F</v>
      </c>
      <c r="C9" s="4">
        <f>'4CO멍텅(실측)'!C9-CO4멍텅OP/2</f>
        <v>398</v>
      </c>
      <c r="D9" s="4">
        <f>'4CO멍텅(실측)'!D9</f>
        <v>800</v>
      </c>
      <c r="E9" s="4">
        <f>'4CO멍텅(실측)'!E9-CO4멍텅OP/2</f>
        <v>398</v>
      </c>
      <c r="F9" s="4">
        <f>'4CO멍텅(실측)'!F9-CO4멍텅R</f>
        <v>1596</v>
      </c>
      <c r="G9" s="4">
        <f>'4CO멍텅(실측)'!G9+MAX(AP9,AQ9)+IF(BE9=1,AD9,0)+CO4멍텅JBJD늘림치수</f>
        <v>342</v>
      </c>
      <c r="H9" s="4">
        <f>'4CO멍텅(실측)'!H9+MAX(AP9,AQ9)+IF(BE9=1,MAX(AD9,AF9),0)+CO4멍텅JBJD늘림치수</f>
        <v>386</v>
      </c>
      <c r="I9" s="4">
        <f>'4CO멍텅(실측)'!I9+MAX(AP9,AQ9)+IF(BE9=1,AF9,0)+CO4멍텅JBJD늘림치수</f>
        <v>342</v>
      </c>
      <c r="J9" s="4">
        <f>'4CO멍텅(실측)'!J9+AP9+IF(BE9=1,AD9,0)+CO4멍텅JB강제키움+CO4멍텅JBJD늘림치수</f>
        <v>342</v>
      </c>
      <c r="K9" s="4">
        <f>'4CO멍텅(실측)'!J9+AP9+IF(BE9=1,AE9,0)+CO4멍텅JB강제키움+CO4멍텅JBJD늘림치수-IF(CO4멍텅JB하부늘치=1,'4CO멍텅(실측)'!X9-'4CO멍텅(실측)'!Y9,0)</f>
        <v>342</v>
      </c>
      <c r="L9" s="4">
        <f>'4CO멍텅(실측)'!K9+AQ9+IF(BE9=1,AF9,0)+CO4멍텅JB강제키움+CO4멍텅JBJD늘림치수</f>
        <v>342</v>
      </c>
      <c r="M9" s="4">
        <f>'4CO멍텅(실측)'!K9+AQ9+IF(BE9=1,AG9,0)+CO4멍텅JB강제키움+CO4멍텅JBJD늘림치수-IF(CO4멍텅JB하부늘치=1,'4CO멍텅(실측)'!Z9-'4CO멍텅(실측)'!AA9,0)</f>
        <v>342</v>
      </c>
      <c r="N9" s="73">
        <f t="shared" si="11"/>
        <v>44</v>
      </c>
      <c r="O9" s="73">
        <f t="shared" si="12"/>
        <v>44</v>
      </c>
      <c r="P9" s="4">
        <f t="shared" si="13"/>
        <v>38.5</v>
      </c>
      <c r="Q9" s="4">
        <f t="shared" si="14"/>
        <v>38.5</v>
      </c>
      <c r="R9" s="4">
        <f>IF(T9&gt;0,'4CO멍텅(실측)'!L9+CO4멍텅C늘림,'4CO멍텅(실측)'!L9+1)</f>
        <v>40</v>
      </c>
      <c r="S9" s="4">
        <f>IF(U9&gt;0,'4CO멍텅(실측)'!M9+CO4멍텅C늘림,'4CO멍텅(실측)'!M9+1)</f>
        <v>40</v>
      </c>
      <c r="T9" s="4">
        <f>IF(ISNUMBER('4CO멍텅(실측)'!N9),'4CO멍텅(실측)'!N9+'4CO멍텅제작'!AP9+멍텅A늘림,0)</f>
        <v>21</v>
      </c>
      <c r="U9" s="4">
        <f>IF(ISNUMBER('4CO멍텅(실측)'!O9),'4CO멍텅(실측)'!O9+'4CO멍텅제작'!AQ9+멍텅A늘림,0)</f>
        <v>21</v>
      </c>
      <c r="V9" s="4">
        <f>'4CO멍텅(실측)'!P9-CO4멍텅기둥차감</f>
        <v>2295</v>
      </c>
      <c r="W9" s="4">
        <f>'4CO멍텅(실측)'!Q9-CO4멍텅기둥차감</f>
        <v>2286</v>
      </c>
      <c r="X9" s="4">
        <f>'4CO멍텅(실측)'!R9-CO4멍텅기둥차감</f>
        <v>2290</v>
      </c>
      <c r="Y9" s="4">
        <f>'4CO멍텅(실측)'!S9-CO4멍텅기둥차감</f>
        <v>2290</v>
      </c>
      <c r="Z9" s="4">
        <f>IF(ISNUMBER('4CO멍텅(실측)'!T9),IF(AA9&gt;0,'4CO멍텅(실측)'!T9+CO4멍텅U늘림,'4CO멍텅(실측)'!T9+1.2),0)</f>
        <v>40</v>
      </c>
      <c r="AA9" s="4">
        <f>IF(OR(CO4멍텅G="", CO4멍텅G=0),IF(ISNUMBER('4CO멍텅(실측)'!U9),IF('4CO멍텅(실측)'!U9+멍텅A늘림+MAX(AP9,AQ9)&gt;9,'4CO멍텅(실측)'!U9+멍텅A늘림+MAX(AP9,AQ9),'4CO멍텅(실측)'!U9+멍텅A늘림+MAX(AP9,AQ9)),0),CO4멍텅G)</f>
        <v>9</v>
      </c>
      <c r="AB9" s="4">
        <f>'4CO멍텅(실측)'!V9+뒷날개치수더함</f>
        <v>30</v>
      </c>
      <c r="AC9" s="4">
        <f>'4CO멍텅(실측)'!W9+뒷날개치수더함</f>
        <v>30</v>
      </c>
      <c r="AD9" s="13">
        <f>'4CO멍텅(실측)'!X9-CO4멍텅늘치차감</f>
        <v>4</v>
      </c>
      <c r="AE9" s="13">
        <f>IF(CO4멍텅JB하부늘치=1,AD9,'4CO멍텅(실측)'!Y9-CO4멍텅늘치차감)</f>
        <v>4</v>
      </c>
      <c r="AF9" s="13">
        <f>'4CO멍텅(실측)'!Z9-CO4멍텅늘치차감</f>
        <v>4</v>
      </c>
      <c r="AG9" s="13">
        <f>IF(CO4멍텅JB하부늘치=1,AF9,'4CO멍텅(실측)'!AA9-CO4멍텅늘치차감)</f>
        <v>4</v>
      </c>
      <c r="AH9" s="11" t="str">
        <f t="shared" si="15"/>
        <v>1673*460.2</v>
      </c>
      <c r="AI9" s="12" t="str">
        <f t="shared" si="16"/>
        <v>2295*428.2</v>
      </c>
      <c r="AJ9" s="10" t="str">
        <f t="shared" si="17"/>
        <v>2290*428.2</v>
      </c>
      <c r="AK9" s="4">
        <f>IF('4CO멍텅(실측)'!AB9&gt;5,'4CO멍텅(실측)'!AB9+뒷날개치수더함,'4CO멍텅(실측)'!AB9)</f>
        <v>20</v>
      </c>
      <c r="AL9" s="4">
        <f>'4CO멍텅(실측)'!AC9</f>
        <v>10</v>
      </c>
      <c r="AM9" s="4">
        <f>'4CO멍텅(실측)'!AD9</f>
        <v>10</v>
      </c>
      <c r="AN9" s="31">
        <f>IF('4CO멍텅(실측)'!AE9&gt;0,'4CO멍텅(실측)'!AE9-'4CO멍텅(실측)'!V9+1.2,0)</f>
        <v>5.2</v>
      </c>
      <c r="AO9" s="31">
        <f>IF('4CO멍텅(실측)'!AF9&gt;0,'4CO멍텅(실측)'!AF9-'4CO멍텅(실측)'!V9+1.2,0)</f>
        <v>5.2</v>
      </c>
      <c r="AP9" s="3">
        <f>IF(AND(ISNUMBER('4CO멍텅(실측)'!O9),ISNUMBER('4CO멍텅(실측)'!N9)),IF(ISNUMBER('4CO멍텅(실측)'!N9),IF(9-MIN('4CO멍텅(실측)'!N9+멍텅A늘림,'4CO멍텅(실측)'!O9+멍텅A늘림)+AR9&lt;AR9,AR9,9-MIN('4CO멍텅(실측)'!N9+멍텅A늘림,'4CO멍텅(실측)'!O9+멍텅A늘림) + AR9 ),0),IF(ISNUMBER('4CO멍텅(실측)'!N9),IF(9-'4CO멍텅(실측)'!N9-멍텅A늘림+AR9&lt;AR9,AR9,9-'4CO멍텅(실측)'!N9-멍텅A늘림+AR9),0))</f>
        <v>0</v>
      </c>
      <c r="AQ9" s="3">
        <f>IF(AND(ISNUMBER('4CO멍텅(실측)'!N9),ISNUMBER('4CO멍텅(실측)'!O9)),IF(ISNUMBER('4CO멍텅(실측)'!O9),IF(9-MIN('4CO멍텅(실측)'!O9+멍텅A늘림,'4CO멍텅(실측)'!N9+멍텅A늘림)+AR9&lt;AR9,AR9,9-MIN('4CO멍텅(실측)'!O9+멍텅A늘림,'4CO멍텅(실측)'!N9+멍텅A늘림) + AR9 ),0),IF(ISNUMBER('4CO멍텅(실측)'!O9),IF(9-'4CO멍텅(실측)'!O9-멍텅A늘림+AR9&lt;AR9,AR9,9-'4CO멍텅(실측)'!O9-멍텅A늘림+AR9),0))</f>
        <v>0</v>
      </c>
      <c r="AR9" s="16"/>
      <c r="AS9" s="17">
        <f t="shared" si="18"/>
        <v>0</v>
      </c>
      <c r="AT9" s="36">
        <f t="shared" si="19"/>
        <v>0</v>
      </c>
      <c r="AU9" s="36">
        <f t="shared" si="20"/>
        <v>0</v>
      </c>
      <c r="AV9" s="46" t="str">
        <f t="shared" si="21"/>
        <v/>
      </c>
      <c r="AW9" s="3">
        <f t="shared" si="22"/>
        <v>1673</v>
      </c>
      <c r="AX9" s="3">
        <f t="shared" si="23"/>
        <v>460.2</v>
      </c>
      <c r="AY9" s="3">
        <f t="shared" si="24"/>
        <v>428.2</v>
      </c>
      <c r="AZ9" s="3">
        <f t="shared" si="25"/>
        <v>2295</v>
      </c>
      <c r="BA9" s="3">
        <f t="shared" si="26"/>
        <v>428.2</v>
      </c>
      <c r="BB9" s="3">
        <f t="shared" si="27"/>
        <v>2290</v>
      </c>
      <c r="BC9">
        <f t="shared" si="28"/>
        <v>0</v>
      </c>
      <c r="BD9">
        <f t="shared" si="29"/>
        <v>0</v>
      </c>
      <c r="BE9" s="79">
        <f t="shared" si="30"/>
        <v>1</v>
      </c>
      <c r="BF9" s="83">
        <f>IF(소장="손상민",'4CO멍텅(실측)'!AG9,0)</f>
        <v>0</v>
      </c>
    </row>
    <row r="10" spans="1:58" ht="26.25" customHeight="1" x14ac:dyDescent="0.3">
      <c r="A10" s="4" t="str">
        <f>'4CO멍텅(실측)'!A10</f>
        <v>101-2</v>
      </c>
      <c r="B10" s="4" t="str">
        <f>'4CO멍텅(실측)'!B10&amp;"F"</f>
        <v>6F</v>
      </c>
      <c r="C10" s="4">
        <f>'4CO멍텅(실측)'!C10-CO4멍텅OP/2</f>
        <v>387</v>
      </c>
      <c r="D10" s="4">
        <f>'4CO멍텅(실측)'!D10</f>
        <v>812</v>
      </c>
      <c r="E10" s="4">
        <f>'4CO멍텅(실측)'!E10-CO4멍텅OP/2</f>
        <v>399</v>
      </c>
      <c r="F10" s="4">
        <f>'4CO멍텅(실측)'!F10-CO4멍텅R</f>
        <v>1598</v>
      </c>
      <c r="G10" s="4">
        <f>'4CO멍텅(실측)'!G10+MAX(AP10,AQ10)+IF(BE10=1,AD10,0)+CO4멍텅JBJD늘림치수</f>
        <v>342</v>
      </c>
      <c r="H10" s="4">
        <f>'4CO멍텅(실측)'!H10+MAX(AP10,AQ10)+IF(BE10=1,MAX(AD10,AF10),0)+CO4멍텅JBJD늘림치수</f>
        <v>386</v>
      </c>
      <c r="I10" s="4">
        <f>'4CO멍텅(실측)'!I10+MAX(AP10,AQ10)+IF(BE10=1,AF10,0)+CO4멍텅JBJD늘림치수</f>
        <v>342</v>
      </c>
      <c r="J10" s="4">
        <f>'4CO멍텅(실측)'!J10+AP10+IF(BE10=1,AD10,0)+CO4멍텅JB강제키움+CO4멍텅JBJD늘림치수</f>
        <v>342</v>
      </c>
      <c r="K10" s="4">
        <f>'4CO멍텅(실측)'!J10+AP10+IF(BE10=1,AE10,0)+CO4멍텅JB강제키움+CO4멍텅JBJD늘림치수-IF(CO4멍텅JB하부늘치=1,'4CO멍텅(실측)'!X10-'4CO멍텅(실측)'!Y10,0)</f>
        <v>342</v>
      </c>
      <c r="L10" s="4">
        <f>'4CO멍텅(실측)'!K10+AQ10+IF(BE10=1,AF10,0)+CO4멍텅JB강제키움+CO4멍텅JBJD늘림치수</f>
        <v>342</v>
      </c>
      <c r="M10" s="4">
        <f>'4CO멍텅(실측)'!K10+AQ10+IF(BE10=1,AG10,0)+CO4멍텅JB강제키움+CO4멍텅JBJD늘림치수-IF(CO4멍텅JB하부늘치=1,'4CO멍텅(실측)'!Z10-'4CO멍텅(실측)'!AA10,0)</f>
        <v>342</v>
      </c>
      <c r="N10" s="73">
        <f t="shared" si="11"/>
        <v>44</v>
      </c>
      <c r="O10" s="73">
        <f t="shared" si="12"/>
        <v>44</v>
      </c>
      <c r="P10" s="4">
        <f t="shared" si="13"/>
        <v>38.5</v>
      </c>
      <c r="Q10" s="4">
        <f t="shared" si="14"/>
        <v>38.5</v>
      </c>
      <c r="R10" s="4">
        <f>IF(T10&gt;0,'4CO멍텅(실측)'!L10+CO4멍텅C늘림,'4CO멍텅(실측)'!L10+1)</f>
        <v>40</v>
      </c>
      <c r="S10" s="4">
        <f>IF(U10&gt;0,'4CO멍텅(실측)'!M10+CO4멍텅C늘림,'4CO멍텅(실측)'!M10+1)</f>
        <v>40</v>
      </c>
      <c r="T10" s="4">
        <f>IF(ISNUMBER('4CO멍텅(실측)'!N10),'4CO멍텅(실측)'!N10+'4CO멍텅제작'!AP10+멍텅A늘림,0)</f>
        <v>21</v>
      </c>
      <c r="U10" s="4">
        <f>IF(ISNUMBER('4CO멍텅(실측)'!O10),'4CO멍텅(실측)'!O10+'4CO멍텅제작'!AQ10+멍텅A늘림,0)</f>
        <v>25</v>
      </c>
      <c r="V10" s="4">
        <f>'4CO멍텅(실측)'!P10-CO4멍텅기둥차감</f>
        <v>2296</v>
      </c>
      <c r="W10" s="4">
        <f>'4CO멍텅(실측)'!Q10-CO4멍텅기둥차감</f>
        <v>2286</v>
      </c>
      <c r="X10" s="4">
        <f>'4CO멍텅(실측)'!R10-CO4멍텅기둥차감</f>
        <v>2296</v>
      </c>
      <c r="Y10" s="4">
        <f>'4CO멍텅(실측)'!S10-CO4멍텅기둥차감</f>
        <v>2286</v>
      </c>
      <c r="Z10" s="4">
        <f>IF(ISNUMBER('4CO멍텅(실측)'!T10),IF(AA10&gt;0,'4CO멍텅(실측)'!T10+CO4멍텅U늘림,'4CO멍텅(실측)'!T10+1.2),0)</f>
        <v>40</v>
      </c>
      <c r="AA10" s="4">
        <f>IF(OR(CO4멍텅G="", CO4멍텅G=0),IF(ISNUMBER('4CO멍텅(실측)'!U10),IF('4CO멍텅(실측)'!U10+멍텅A늘림+MAX(AP10,AQ10)&gt;9,'4CO멍텅(실측)'!U10+멍텅A늘림+MAX(AP10,AQ10),'4CO멍텅(실측)'!U10+멍텅A늘림+MAX(AP10,AQ10)),0),CO4멍텅G)</f>
        <v>9</v>
      </c>
      <c r="AB10" s="4">
        <f>'4CO멍텅(실측)'!V10+뒷날개치수더함</f>
        <v>30</v>
      </c>
      <c r="AC10" s="4">
        <f>'4CO멍텅(실측)'!W10+뒷날개치수더함</f>
        <v>30</v>
      </c>
      <c r="AD10" s="13">
        <f>'4CO멍텅(실측)'!X10-CO4멍텅늘치차감</f>
        <v>4</v>
      </c>
      <c r="AE10" s="13">
        <f>IF(CO4멍텅JB하부늘치=1,AD10,'4CO멍텅(실측)'!Y10-CO4멍텅늘치차감)</f>
        <v>4</v>
      </c>
      <c r="AF10" s="13">
        <f>'4CO멍텅(실측)'!Z10-CO4멍텅늘치차감</f>
        <v>4</v>
      </c>
      <c r="AG10" s="13">
        <f>IF(CO4멍텅JB하부늘치=1,AF10,'4CO멍텅(실측)'!AA10-CO4멍텅늘치차감)</f>
        <v>4</v>
      </c>
      <c r="AH10" s="11" t="str">
        <f t="shared" si="15"/>
        <v>1675*460.2</v>
      </c>
      <c r="AI10" s="12" t="str">
        <f t="shared" si="16"/>
        <v>2296*428.2</v>
      </c>
      <c r="AJ10" s="10" t="str">
        <f t="shared" si="17"/>
        <v>2296*432.2</v>
      </c>
      <c r="AK10" s="4">
        <f>IF('4CO멍텅(실측)'!AB10&gt;5,'4CO멍텅(실측)'!AB10+뒷날개치수더함,'4CO멍텅(실측)'!AB10)</f>
        <v>20</v>
      </c>
      <c r="AL10" s="4">
        <f>'4CO멍텅(실측)'!AC10</f>
        <v>10</v>
      </c>
      <c r="AM10" s="4">
        <f>'4CO멍텅(실측)'!AD10</f>
        <v>10</v>
      </c>
      <c r="AN10" s="31">
        <f>IF('4CO멍텅(실측)'!AE10&gt;0,'4CO멍텅(실측)'!AE10-'4CO멍텅(실측)'!V10+1.2,0)</f>
        <v>5.2</v>
      </c>
      <c r="AO10" s="31">
        <f>IF('4CO멍텅(실측)'!AF10&gt;0,'4CO멍텅(실측)'!AF10-'4CO멍텅(실측)'!V10+1.2,0)</f>
        <v>5.2</v>
      </c>
      <c r="AP10" s="3">
        <f>IF(AND(ISNUMBER('4CO멍텅(실측)'!O10),ISNUMBER('4CO멍텅(실측)'!N10)),IF(ISNUMBER('4CO멍텅(실측)'!N10),IF(9-MIN('4CO멍텅(실측)'!N10+멍텅A늘림,'4CO멍텅(실측)'!O10+멍텅A늘림)+AR10&lt;AR10,AR10,9-MIN('4CO멍텅(실측)'!N10+멍텅A늘림,'4CO멍텅(실측)'!O10+멍텅A늘림) + AR10 ),0),IF(ISNUMBER('4CO멍텅(실측)'!N10),IF(9-'4CO멍텅(실측)'!N10-멍텅A늘림+AR10&lt;AR10,AR10,9-'4CO멍텅(실측)'!N10-멍텅A늘림+AR10),0))</f>
        <v>0</v>
      </c>
      <c r="AQ10" s="3">
        <f>IF(AND(ISNUMBER('4CO멍텅(실측)'!N10),ISNUMBER('4CO멍텅(실측)'!O10)),IF(ISNUMBER('4CO멍텅(실측)'!O10),IF(9-MIN('4CO멍텅(실측)'!O10+멍텅A늘림,'4CO멍텅(실측)'!N10+멍텅A늘림)+AR10&lt;AR10,AR10,9-MIN('4CO멍텅(실측)'!O10+멍텅A늘림,'4CO멍텅(실측)'!N10+멍텅A늘림) + AR10 ),0),IF(ISNUMBER('4CO멍텅(실측)'!O10),IF(9-'4CO멍텅(실측)'!O10-멍텅A늘림+AR10&lt;AR10,AR10,9-'4CO멍텅(실측)'!O10-멍텅A늘림+AR10),0))</f>
        <v>0</v>
      </c>
      <c r="AR10" s="16"/>
      <c r="AS10" s="17">
        <f t="shared" si="18"/>
        <v>0</v>
      </c>
      <c r="AT10" s="36">
        <f t="shared" si="19"/>
        <v>0</v>
      </c>
      <c r="AU10" s="36">
        <f t="shared" si="20"/>
        <v>0</v>
      </c>
      <c r="AV10" s="46" t="str">
        <f t="shared" si="21"/>
        <v/>
      </c>
      <c r="AW10" s="3">
        <f t="shared" si="22"/>
        <v>1675</v>
      </c>
      <c r="AX10" s="3">
        <f t="shared" si="23"/>
        <v>460.2</v>
      </c>
      <c r="AY10" s="3">
        <f t="shared" si="24"/>
        <v>428.2</v>
      </c>
      <c r="AZ10" s="3">
        <f t="shared" si="25"/>
        <v>2296</v>
      </c>
      <c r="BA10" s="3">
        <f t="shared" si="26"/>
        <v>432.2</v>
      </c>
      <c r="BB10" s="3">
        <f t="shared" si="27"/>
        <v>2296</v>
      </c>
      <c r="BC10">
        <f t="shared" si="28"/>
        <v>0</v>
      </c>
      <c r="BD10">
        <f t="shared" si="29"/>
        <v>0</v>
      </c>
      <c r="BE10" s="79">
        <f t="shared" si="30"/>
        <v>1</v>
      </c>
      <c r="BF10" s="83">
        <f>IF(소장="손상민",'4CO멍텅(실측)'!AG10,0)</f>
        <v>0</v>
      </c>
    </row>
    <row r="11" spans="1:58" ht="26.25" customHeight="1" x14ac:dyDescent="0.3">
      <c r="A11" s="4" t="str">
        <f>'4CO멍텅(실측)'!A11</f>
        <v>101-2</v>
      </c>
      <c r="B11" s="4" t="str">
        <f>'4CO멍텅(실측)'!B11&amp;"F"</f>
        <v>5F</v>
      </c>
      <c r="C11" s="4">
        <f>'4CO멍텅(실측)'!C11-CO4멍텅OP/2</f>
        <v>398</v>
      </c>
      <c r="D11" s="4">
        <f>'4CO멍텅(실측)'!D11</f>
        <v>800</v>
      </c>
      <c r="E11" s="4">
        <f>'4CO멍텅(실측)'!E11-CO4멍텅OP/2</f>
        <v>398</v>
      </c>
      <c r="F11" s="4">
        <f>'4CO멍텅(실측)'!F11-CO4멍텅R</f>
        <v>1597</v>
      </c>
      <c r="G11" s="4">
        <f>'4CO멍텅(실측)'!G11+MAX(AP11,AQ11)+IF(BE11=1,AD11,0)+CO4멍텅JBJD늘림치수</f>
        <v>326</v>
      </c>
      <c r="H11" s="4">
        <f>'4CO멍텅(실측)'!H11+MAX(AP11,AQ11)+IF(BE11=1,MAX(AD11,AF11),0)+CO4멍텅JBJD늘림치수</f>
        <v>370</v>
      </c>
      <c r="I11" s="4">
        <f>'4CO멍텅(실측)'!I11+MAX(AP11,AQ11)+IF(BE11=1,AF11,0)+CO4멍텅JBJD늘림치수</f>
        <v>322</v>
      </c>
      <c r="J11" s="4">
        <f>'4CO멍텅(실측)'!J11+AP11+IF(BE11=1,AD11,0)+CO4멍텅JB강제키움+CO4멍텅JBJD늘림치수</f>
        <v>326</v>
      </c>
      <c r="K11" s="4">
        <f>'4CO멍텅(실측)'!J11+AP11+IF(BE11=1,AE11,0)+CO4멍텅JB강제키움+CO4멍텅JBJD늘림치수-IF(CO4멍텅JB하부늘치=1,'4CO멍텅(실측)'!X11-'4CO멍텅(실측)'!Y11,0)</f>
        <v>324</v>
      </c>
      <c r="L11" s="4">
        <f>'4CO멍텅(실측)'!K11+AQ11+IF(BE11=1,AF11,0)+CO4멍텅JB강제키움+CO4멍텅JBJD늘림치수</f>
        <v>322</v>
      </c>
      <c r="M11" s="4">
        <f>'4CO멍텅(실측)'!K11+AQ11+IF(BE11=1,AG11,0)+CO4멍텅JB강제키움+CO4멍텅JBJD늘림치수-IF(CO4멍텅JB하부늘치=1,'4CO멍텅(실측)'!Z11-'4CO멍텅(실측)'!AA11,0)</f>
        <v>322</v>
      </c>
      <c r="N11" s="73">
        <f t="shared" si="11"/>
        <v>44</v>
      </c>
      <c r="O11" s="73">
        <f t="shared" si="12"/>
        <v>48</v>
      </c>
      <c r="P11" s="4">
        <f t="shared" si="13"/>
        <v>38.5</v>
      </c>
      <c r="Q11" s="4">
        <f t="shared" si="14"/>
        <v>38.5</v>
      </c>
      <c r="R11" s="4">
        <f>IF(T11&gt;0,'4CO멍텅(실측)'!L11+CO4멍텅C늘림,'4CO멍텅(실측)'!L11+1)</f>
        <v>40</v>
      </c>
      <c r="S11" s="4">
        <f>IF(U11&gt;0,'4CO멍텅(실측)'!M11+CO4멍텅C늘림,'4CO멍텅(실측)'!M11+1)</f>
        <v>40</v>
      </c>
      <c r="T11" s="4">
        <f>IF(ISNUMBER('4CO멍텅(실측)'!N11),'4CO멍텅(실측)'!N11+'4CO멍텅제작'!AP11+멍텅A늘림,0)</f>
        <v>16</v>
      </c>
      <c r="U11" s="4">
        <f>IF(ISNUMBER('4CO멍텅(실측)'!O11),'4CO멍텅(실측)'!O11+'4CO멍텅제작'!AQ11+멍텅A늘림,0)</f>
        <v>15</v>
      </c>
      <c r="V11" s="4">
        <f>'4CO멍텅(실측)'!P11-CO4멍텅기둥차감</f>
        <v>2293</v>
      </c>
      <c r="W11" s="4">
        <f>'4CO멍텅(실측)'!Q11-CO4멍텅기둥차감</f>
        <v>2286</v>
      </c>
      <c r="X11" s="4">
        <f>'4CO멍텅(실측)'!R11-CO4멍텅기둥차감</f>
        <v>2300</v>
      </c>
      <c r="Y11" s="4">
        <f>'4CO멍텅(실측)'!S11-CO4멍텅기둥차감</f>
        <v>2286</v>
      </c>
      <c r="Z11" s="4">
        <f>IF(ISNUMBER('4CO멍텅(실측)'!T11),IF(AA11&gt;0,'4CO멍텅(실측)'!T11+CO4멍텅U늘림,'4CO멍텅(실측)'!T11+1.2),0)</f>
        <v>40</v>
      </c>
      <c r="AA11" s="4">
        <f>IF(OR(CO4멍텅G="", CO4멍텅G=0),IF(ISNUMBER('4CO멍텅(실측)'!U11),IF('4CO멍텅(실측)'!U11+멍텅A늘림+MAX(AP11,AQ11)&gt;9,'4CO멍텅(실측)'!U11+멍텅A늘림+MAX(AP11,AQ11),'4CO멍텅(실측)'!U11+멍텅A늘림+MAX(AP11,AQ11)),0),CO4멍텅G)</f>
        <v>9</v>
      </c>
      <c r="AB11" s="4">
        <f>'4CO멍텅(실측)'!V11+뒷날개치수더함</f>
        <v>30</v>
      </c>
      <c r="AC11" s="4">
        <f>'4CO멍텅(실측)'!W11+뒷날개치수더함</f>
        <v>30</v>
      </c>
      <c r="AD11" s="13">
        <f>'4CO멍텅(실측)'!X11-CO4멍텅늘치차감</f>
        <v>8</v>
      </c>
      <c r="AE11" s="13">
        <f>IF(CO4멍텅JB하부늘치=1,AD11,'4CO멍텅(실측)'!Y11-CO4멍텅늘치차감)</f>
        <v>8</v>
      </c>
      <c r="AF11" s="13">
        <f>'4CO멍텅(실측)'!Z11-CO4멍텅늘치차감</f>
        <v>4</v>
      </c>
      <c r="AG11" s="13">
        <f>IF(CO4멍텅JB하부늘치=1,AF11,'4CO멍텅(실측)'!AA11-CO4멍텅늘치차감)</f>
        <v>4</v>
      </c>
      <c r="AH11" s="11" t="str">
        <f t="shared" si="15"/>
        <v>1674*444.2</v>
      </c>
      <c r="AI11" s="12" t="str">
        <f t="shared" si="16"/>
        <v>2293*407.2</v>
      </c>
      <c r="AJ11" s="10" t="str">
        <f t="shared" si="17"/>
        <v>2300*402.2</v>
      </c>
      <c r="AK11" s="4">
        <f>IF('4CO멍텅(실측)'!AB11&gt;5,'4CO멍텅(실측)'!AB11+뒷날개치수더함,'4CO멍텅(실측)'!AB11)</f>
        <v>20</v>
      </c>
      <c r="AL11" s="4">
        <f>'4CO멍텅(실측)'!AC11</f>
        <v>10</v>
      </c>
      <c r="AM11" s="4">
        <f>'4CO멍텅(실측)'!AD11</f>
        <v>10</v>
      </c>
      <c r="AN11" s="31">
        <f>IF('4CO멍텅(실측)'!AE11&gt;0,'4CO멍텅(실측)'!AE11-'4CO멍텅(실측)'!V11+1.2,0)</f>
        <v>5.2</v>
      </c>
      <c r="AO11" s="31">
        <f>IF('4CO멍텅(실측)'!AF11&gt;0,'4CO멍텅(실측)'!AF11-'4CO멍텅(실측)'!V11+1.2,0)</f>
        <v>5.2</v>
      </c>
      <c r="AP11" s="3">
        <f>IF(AND(ISNUMBER('4CO멍텅(실측)'!O11),ISNUMBER('4CO멍텅(실측)'!N11)),IF(ISNUMBER('4CO멍텅(실측)'!N11),IF(9-MIN('4CO멍텅(실측)'!N11+멍텅A늘림,'4CO멍텅(실측)'!O11+멍텅A늘림)+AR11&lt;AR11,AR11,9-MIN('4CO멍텅(실측)'!N11+멍텅A늘림,'4CO멍텅(실측)'!O11+멍텅A늘림) + AR11 ),0),IF(ISNUMBER('4CO멍텅(실측)'!N11),IF(9-'4CO멍텅(실측)'!N11-멍텅A늘림+AR11&lt;AR11,AR11,9-'4CO멍텅(실측)'!N11-멍텅A늘림+AR11),0))</f>
        <v>0</v>
      </c>
      <c r="AQ11" s="3">
        <f>IF(AND(ISNUMBER('4CO멍텅(실측)'!N11),ISNUMBER('4CO멍텅(실측)'!O11)),IF(ISNUMBER('4CO멍텅(실측)'!O11),IF(9-MIN('4CO멍텅(실측)'!O11+멍텅A늘림,'4CO멍텅(실측)'!N11+멍텅A늘림)+AR11&lt;AR11,AR11,9-MIN('4CO멍텅(실측)'!O11+멍텅A늘림,'4CO멍텅(실측)'!N11+멍텅A늘림) + AR11 ),0),IF(ISNUMBER('4CO멍텅(실측)'!O11),IF(9-'4CO멍텅(실측)'!O11-멍텅A늘림+AR11&lt;AR11,AR11,9-'4CO멍텅(실측)'!O11-멍텅A늘림+AR11),0))</f>
        <v>0</v>
      </c>
      <c r="AR11" s="16"/>
      <c r="AS11" s="17">
        <f t="shared" si="18"/>
        <v>8.7876893537229023E-2</v>
      </c>
      <c r="AT11" s="36">
        <f t="shared" si="19"/>
        <v>3.8343490632541943E-4</v>
      </c>
      <c r="AU11" s="36">
        <f t="shared" si="20"/>
        <v>3.7873018357004185E-4</v>
      </c>
      <c r="AV11" s="46" t="str">
        <f t="shared" si="21"/>
        <v>JD비대칭</v>
      </c>
      <c r="AW11" s="3">
        <f t="shared" si="22"/>
        <v>1674</v>
      </c>
      <c r="AX11" s="3">
        <f t="shared" si="23"/>
        <v>444.2</v>
      </c>
      <c r="AY11" s="3">
        <f t="shared" si="24"/>
        <v>407.2</v>
      </c>
      <c r="AZ11" s="3">
        <f t="shared" si="25"/>
        <v>2293</v>
      </c>
      <c r="BA11" s="3">
        <f t="shared" si="26"/>
        <v>402.2</v>
      </c>
      <c r="BB11" s="3">
        <f t="shared" si="27"/>
        <v>2300</v>
      </c>
      <c r="BC11">
        <f t="shared" si="28"/>
        <v>0</v>
      </c>
      <c r="BD11">
        <f t="shared" si="29"/>
        <v>0</v>
      </c>
      <c r="BE11" s="79">
        <f t="shared" si="30"/>
        <v>1</v>
      </c>
      <c r="BF11" s="83">
        <f>IF(소장="손상민",'4CO멍텅(실측)'!AG11,0)</f>
        <v>0</v>
      </c>
    </row>
    <row r="12" spans="1:58" ht="26.25" customHeight="1" x14ac:dyDescent="0.3">
      <c r="A12" s="4" t="str">
        <f>'4CO멍텅(실측)'!A12</f>
        <v>101-2</v>
      </c>
      <c r="B12" s="4" t="str">
        <f>'4CO멍텅(실측)'!B12&amp;"F"</f>
        <v>4F</v>
      </c>
      <c r="C12" s="4">
        <f>'4CO멍텅(실측)'!C12-CO4멍텅OP/2</f>
        <v>398</v>
      </c>
      <c r="D12" s="4">
        <f>'4CO멍텅(실측)'!D12</f>
        <v>800</v>
      </c>
      <c r="E12" s="4">
        <f>'4CO멍텅(실측)'!E12-CO4멍텅OP/2</f>
        <v>399</v>
      </c>
      <c r="F12" s="4">
        <f>'4CO멍텅(실측)'!F12-CO4멍텅R</f>
        <v>1598</v>
      </c>
      <c r="G12" s="4">
        <f>'4CO멍텅(실측)'!G12+MAX(AP12,AQ12)+IF(BE12=1,AD12,0)+CO4멍텅JBJD늘림치수</f>
        <v>329</v>
      </c>
      <c r="H12" s="4">
        <f>'4CO멍텅(실측)'!H12+MAX(AP12,AQ12)+IF(BE12=1,MAX(AD12,AF12),0)+CO4멍텅JBJD늘림치수</f>
        <v>373</v>
      </c>
      <c r="I12" s="4">
        <f>'4CO멍텅(실측)'!I12+MAX(AP12,AQ12)+IF(BE12=1,AF12,0)+CO4멍텅JBJD늘림치수</f>
        <v>329</v>
      </c>
      <c r="J12" s="4">
        <f>'4CO멍텅(실측)'!J12+AP12+IF(BE12=1,AD12,0)+CO4멍텅JB강제키움+CO4멍텅JBJD늘림치수</f>
        <v>329</v>
      </c>
      <c r="K12" s="4">
        <f>'4CO멍텅(실측)'!J12+AP12+IF(BE12=1,AE12,0)+CO4멍텅JB강제키움+CO4멍텅JBJD늘림치수-IF(CO4멍텅JB하부늘치=1,'4CO멍텅(실측)'!X12-'4CO멍텅(실측)'!Y12,0)</f>
        <v>327</v>
      </c>
      <c r="L12" s="4">
        <f>'4CO멍텅(실측)'!K12+AQ12+IF(BE12=1,AF12,0)+CO4멍텅JB강제키움+CO4멍텅JBJD늘림치수</f>
        <v>329</v>
      </c>
      <c r="M12" s="4">
        <f>'4CO멍텅(실측)'!K12+AQ12+IF(BE12=1,AG12,0)+CO4멍텅JB강제키움+CO4멍텅JBJD늘림치수-IF(CO4멍텅JB하부늘치=1,'4CO멍텅(실측)'!Z12-'4CO멍텅(실측)'!AA12,0)</f>
        <v>327</v>
      </c>
      <c r="N12" s="73">
        <f t="shared" si="11"/>
        <v>44</v>
      </c>
      <c r="O12" s="73">
        <f t="shared" si="12"/>
        <v>44</v>
      </c>
      <c r="P12" s="4">
        <f t="shared" si="13"/>
        <v>38.5</v>
      </c>
      <c r="Q12" s="4">
        <f t="shared" si="14"/>
        <v>38.5</v>
      </c>
      <c r="R12" s="4">
        <f>IF(T12&gt;0,'4CO멍텅(실측)'!L12+CO4멍텅C늘림,'4CO멍텅(실측)'!L12+1)</f>
        <v>40</v>
      </c>
      <c r="S12" s="4">
        <f>IF(U12&gt;0,'4CO멍텅(실측)'!M12+CO4멍텅C늘림,'4CO멍텅(실측)'!M12+1)</f>
        <v>40</v>
      </c>
      <c r="T12" s="4">
        <f>IF(ISNUMBER('4CO멍텅(실측)'!N12),'4CO멍텅(실측)'!N12+'4CO멍텅제작'!AP12+멍텅A늘림,0)</f>
        <v>21</v>
      </c>
      <c r="U12" s="4">
        <f>IF(ISNUMBER('4CO멍텅(실측)'!O12),'4CO멍텅(실측)'!O12+'4CO멍텅제작'!AQ12+멍텅A늘림,0)</f>
        <v>21</v>
      </c>
      <c r="V12" s="4">
        <f>'4CO멍텅(실측)'!P12-CO4멍텅기둥차감</f>
        <v>2295</v>
      </c>
      <c r="W12" s="4">
        <f>'4CO멍텅(실측)'!Q12-CO4멍텅기둥차감</f>
        <v>2286</v>
      </c>
      <c r="X12" s="4">
        <f>'4CO멍텅(실측)'!R12-CO4멍텅기둥차감</f>
        <v>2290</v>
      </c>
      <c r="Y12" s="4">
        <f>'4CO멍텅(실측)'!S12-CO4멍텅기둥차감</f>
        <v>2286</v>
      </c>
      <c r="Z12" s="4">
        <f>IF(ISNUMBER('4CO멍텅(실측)'!T12),IF(AA12&gt;0,'4CO멍텅(실측)'!T12+CO4멍텅U늘림,'4CO멍텅(실측)'!T12+1.2),0)</f>
        <v>40</v>
      </c>
      <c r="AA12" s="4">
        <f>IF(OR(CO4멍텅G="", CO4멍텅G=0),IF(ISNUMBER('4CO멍텅(실측)'!U12),IF('4CO멍텅(실측)'!U12+멍텅A늘림+MAX(AP12,AQ12)&gt;9,'4CO멍텅(실측)'!U12+멍텅A늘림+MAX(AP12,AQ12),'4CO멍텅(실측)'!U12+멍텅A늘림+MAX(AP12,AQ12)),0),CO4멍텅G)</f>
        <v>9</v>
      </c>
      <c r="AB12" s="4">
        <f>'4CO멍텅(실측)'!V12+뒷날개치수더함</f>
        <v>30</v>
      </c>
      <c r="AC12" s="4">
        <f>'4CO멍텅(실측)'!W12+뒷날개치수더함</f>
        <v>30</v>
      </c>
      <c r="AD12" s="13">
        <f>'4CO멍텅(실측)'!X12-CO4멍텅늘치차감</f>
        <v>6</v>
      </c>
      <c r="AE12" s="13">
        <f>IF(CO4멍텅JB하부늘치=1,AD12,'4CO멍텅(실측)'!Y12-CO4멍텅늘치차감)</f>
        <v>6</v>
      </c>
      <c r="AF12" s="13">
        <f>'4CO멍텅(실측)'!Z12-CO4멍텅늘치차감</f>
        <v>6</v>
      </c>
      <c r="AG12" s="13">
        <f>IF(CO4멍텅JB하부늘치=1,AF12,'4CO멍텅(실측)'!AA12-CO4멍텅늘치차감)</f>
        <v>6</v>
      </c>
      <c r="AH12" s="11" t="str">
        <f t="shared" si="15"/>
        <v>1675*447.2</v>
      </c>
      <c r="AI12" s="12" t="str">
        <f t="shared" si="16"/>
        <v>2295*415.2</v>
      </c>
      <c r="AJ12" s="10" t="str">
        <f t="shared" si="17"/>
        <v>2290*415.2</v>
      </c>
      <c r="AK12" s="4">
        <f>IF('4CO멍텅(실측)'!AB12&gt;5,'4CO멍텅(실측)'!AB12+뒷날개치수더함,'4CO멍텅(실측)'!AB12)</f>
        <v>20</v>
      </c>
      <c r="AL12" s="4">
        <f>'4CO멍텅(실측)'!AC12</f>
        <v>10</v>
      </c>
      <c r="AM12" s="4">
        <f>'4CO멍텅(실측)'!AD12</f>
        <v>10</v>
      </c>
      <c r="AN12" s="31">
        <f>IF('4CO멍텅(실측)'!AE12&gt;0,'4CO멍텅(실측)'!AE12-'4CO멍텅(실측)'!V12+1.2,0)</f>
        <v>5.2</v>
      </c>
      <c r="AO12" s="31">
        <f>IF('4CO멍텅(실측)'!AF12&gt;0,'4CO멍텅(실측)'!AF12-'4CO멍텅(실측)'!V12+1.2,0)</f>
        <v>5.2</v>
      </c>
      <c r="AP12" s="3">
        <f>IF(AND(ISNUMBER('4CO멍텅(실측)'!O12),ISNUMBER('4CO멍텅(실측)'!N12)),IF(ISNUMBER('4CO멍텅(실측)'!N12),IF(9-MIN('4CO멍텅(실측)'!N12+멍텅A늘림,'4CO멍텅(실측)'!O12+멍텅A늘림)+AR12&lt;AR12,AR12,9-MIN('4CO멍텅(실측)'!N12+멍텅A늘림,'4CO멍텅(실측)'!O12+멍텅A늘림) + AR12 ),0),IF(ISNUMBER('4CO멍텅(실측)'!N12),IF(9-'4CO멍텅(실측)'!N12-멍텅A늘림+AR12&lt;AR12,AR12,9-'4CO멍텅(실측)'!N12-멍텅A늘림+AR12),0))</f>
        <v>0</v>
      </c>
      <c r="AQ12" s="3">
        <f>IF(AND(ISNUMBER('4CO멍텅(실측)'!N12),ISNUMBER('4CO멍텅(실측)'!O12)),IF(ISNUMBER('4CO멍텅(실측)'!O12),IF(9-MIN('4CO멍텅(실측)'!O12+멍텅A늘림,'4CO멍텅(실측)'!N12+멍텅A늘림)+AR12&lt;AR12,AR12,9-MIN('4CO멍텅(실측)'!O12+멍텅A늘림,'4CO멍텅(실측)'!N12+멍텅A늘림) + AR12 ),0),IF(ISNUMBER('4CO멍텅(실측)'!O12),IF(9-'4CO멍텅(실측)'!O12-멍텅A늘림+AR12&lt;AR12,AR12,9-'4CO멍텅(실측)'!O12-멍텅A늘림+AR12),0))</f>
        <v>0</v>
      </c>
      <c r="AR12" s="16"/>
      <c r="AS12" s="17">
        <f t="shared" si="18"/>
        <v>8.7075585717128465E-2</v>
      </c>
      <c r="AT12" s="36">
        <f t="shared" si="19"/>
        <v>3.7993855158902079E-4</v>
      </c>
      <c r="AU12" s="36">
        <f t="shared" si="20"/>
        <v>3.7993855158902079E-4</v>
      </c>
      <c r="AV12" s="46" t="str">
        <f t="shared" si="21"/>
        <v/>
      </c>
      <c r="AW12" s="3">
        <f t="shared" si="22"/>
        <v>1675</v>
      </c>
      <c r="AX12" s="3">
        <f t="shared" si="23"/>
        <v>447.2</v>
      </c>
      <c r="AY12" s="3">
        <f t="shared" si="24"/>
        <v>415.2</v>
      </c>
      <c r="AZ12" s="3">
        <f t="shared" si="25"/>
        <v>2295</v>
      </c>
      <c r="BA12" s="3">
        <f t="shared" si="26"/>
        <v>415.2</v>
      </c>
      <c r="BB12" s="3">
        <f t="shared" si="27"/>
        <v>2290</v>
      </c>
      <c r="BC12">
        <f t="shared" si="28"/>
        <v>0</v>
      </c>
      <c r="BD12">
        <f t="shared" si="29"/>
        <v>0</v>
      </c>
      <c r="BE12" s="79">
        <f t="shared" si="30"/>
        <v>1</v>
      </c>
      <c r="BF12" s="83">
        <f>IF(소장="손상민",'4CO멍텅(실측)'!AG12,0)</f>
        <v>0</v>
      </c>
    </row>
    <row r="13" spans="1:58" ht="26.25" customHeight="1" x14ac:dyDescent="0.3">
      <c r="A13" s="4" t="str">
        <f>'4CO멍텅(실측)'!A13</f>
        <v>101-2</v>
      </c>
      <c r="B13" s="4" t="str">
        <f>'4CO멍텅(실측)'!B13&amp;"F"</f>
        <v>3F</v>
      </c>
      <c r="C13" s="4">
        <f>'4CO멍텅(실측)'!C13-CO4멍텅OP/2</f>
        <v>399</v>
      </c>
      <c r="D13" s="4">
        <f>'4CO멍텅(실측)'!D13</f>
        <v>800</v>
      </c>
      <c r="E13" s="4">
        <f>'4CO멍텅(실측)'!E13-CO4멍텅OP/2</f>
        <v>399</v>
      </c>
      <c r="F13" s="4">
        <f>'4CO멍텅(실측)'!F13-CO4멍텅R</f>
        <v>1598</v>
      </c>
      <c r="G13" s="4">
        <f>'4CO멍텅(실측)'!G13+MAX(AP13,AQ13)+IF(BE13=1,AD13,0)+CO4멍텅JBJD늘림치수</f>
        <v>345</v>
      </c>
      <c r="H13" s="4">
        <f>'4CO멍텅(실측)'!H13+MAX(AP13,AQ13)+IF(BE13=1,MAX(AD13,AF13),0)+CO4멍텅JBJD늘림치수</f>
        <v>390</v>
      </c>
      <c r="I13" s="4">
        <f>'4CO멍텅(실측)'!I13+MAX(AP13,AQ13)+IF(BE13=1,AF13,0)+CO4멍텅JBJD늘림치수</f>
        <v>346</v>
      </c>
      <c r="J13" s="4">
        <f>'4CO멍텅(실측)'!J13+AP13+IF(BE13=1,AD13,0)+CO4멍텅JB강제키움+CO4멍텅JBJD늘림치수</f>
        <v>345</v>
      </c>
      <c r="K13" s="4">
        <f>'4CO멍텅(실측)'!J13+AP13+IF(BE13=1,AE13,0)+CO4멍텅JB강제키움+CO4멍텅JBJD늘림치수-IF(CO4멍텅JB하부늘치=1,'4CO멍텅(실측)'!X13-'4CO멍텅(실측)'!Y13,0)</f>
        <v>342</v>
      </c>
      <c r="L13" s="4">
        <f>'4CO멍텅(실측)'!K13+AQ13+IF(BE13=1,AF13,0)+CO4멍텅JB강제키움+CO4멍텅JBJD늘림치수</f>
        <v>346</v>
      </c>
      <c r="M13" s="4">
        <f>'4CO멍텅(실측)'!K13+AQ13+IF(BE13=1,AG13,0)+CO4멍텅JB강제키움+CO4멍텅JBJD늘림치수-IF(CO4멍텅JB하부늘치=1,'4CO멍텅(실측)'!Z13-'4CO멍텅(실측)'!AA13,0)</f>
        <v>342</v>
      </c>
      <c r="N13" s="73">
        <f t="shared" si="11"/>
        <v>45</v>
      </c>
      <c r="O13" s="73">
        <f t="shared" si="12"/>
        <v>44</v>
      </c>
      <c r="P13" s="4">
        <f t="shared" si="13"/>
        <v>43.5</v>
      </c>
      <c r="Q13" s="4">
        <f t="shared" si="14"/>
        <v>43.5</v>
      </c>
      <c r="R13" s="4">
        <f>IF(T13&gt;0,'4CO멍텅(실측)'!L13+CO4멍텅C늘림,'4CO멍텅(실측)'!L13+1)</f>
        <v>45</v>
      </c>
      <c r="S13" s="4">
        <f>IF(U13&gt;0,'4CO멍텅(실측)'!M13+CO4멍텅C늘림,'4CO멍텅(실측)'!M13+1)</f>
        <v>45</v>
      </c>
      <c r="T13" s="4">
        <f>IF(ISNUMBER('4CO멍텅(실측)'!N13),'4CO멍텅(실측)'!N13+'4CO멍텅제작'!AP13+멍텅A늘림,0)</f>
        <v>24</v>
      </c>
      <c r="U13" s="4">
        <f>IF(ISNUMBER('4CO멍텅(실측)'!O13),'4CO멍텅(실측)'!O13+'4CO멍텅제작'!AQ13+멍텅A늘림,0)</f>
        <v>24</v>
      </c>
      <c r="V13" s="4">
        <f>'4CO멍텅(실측)'!P13-CO4멍텅기둥차감</f>
        <v>2295</v>
      </c>
      <c r="W13" s="4">
        <f>'4CO멍텅(실측)'!Q13-CO4멍텅기둥차감</f>
        <v>2286</v>
      </c>
      <c r="X13" s="4">
        <f>'4CO멍텅(실측)'!R13-CO4멍텅기둥차감</f>
        <v>2293</v>
      </c>
      <c r="Y13" s="4">
        <f>'4CO멍텅(실측)'!S13-CO4멍텅기둥차감</f>
        <v>2286</v>
      </c>
      <c r="Z13" s="4">
        <f>IF(ISNUMBER('4CO멍텅(실측)'!T13),IF(AA13&gt;0,'4CO멍텅(실측)'!T13+CO4멍텅U늘림,'4CO멍텅(실측)'!T13+1.2),0)</f>
        <v>40</v>
      </c>
      <c r="AA13" s="4">
        <f>IF(OR(CO4멍텅G="", CO4멍텅G=0),IF(ISNUMBER('4CO멍텅(실측)'!U13),IF('4CO멍텅(실측)'!U13+멍텅A늘림+MAX(AP13,AQ13)&gt;9,'4CO멍텅(실측)'!U13+멍텅A늘림+MAX(AP13,AQ13),'4CO멍텅(실측)'!U13+멍텅A늘림+MAX(AP13,AQ13)),0),CO4멍텅G)</f>
        <v>9</v>
      </c>
      <c r="AB13" s="4">
        <f>'4CO멍텅(실측)'!V13+뒷날개치수더함</f>
        <v>30</v>
      </c>
      <c r="AC13" s="4">
        <f>'4CO멍텅(실측)'!W13+뒷날개치수더함</f>
        <v>30</v>
      </c>
      <c r="AD13" s="13">
        <f>'4CO멍텅(실측)'!X13-CO4멍텅늘치차감</f>
        <v>7</v>
      </c>
      <c r="AE13" s="13">
        <f>IF(CO4멍텅JB하부늘치=1,AD13,'4CO멍텅(실측)'!Y13-CO4멍텅늘치차감)</f>
        <v>7</v>
      </c>
      <c r="AF13" s="13">
        <f>'4CO멍텅(실측)'!Z13-CO4멍텅늘치차감</f>
        <v>8</v>
      </c>
      <c r="AG13" s="13">
        <f>IF(CO4멍텅JB하부늘치=1,AF13,'4CO멍텅(실측)'!AA13-CO4멍텅늘치차감)</f>
        <v>8</v>
      </c>
      <c r="AH13" s="11" t="str">
        <f t="shared" si="15"/>
        <v>1685*464.2</v>
      </c>
      <c r="AI13" s="12" t="str">
        <f t="shared" si="16"/>
        <v>2295*439.2</v>
      </c>
      <c r="AJ13" s="10" t="str">
        <f t="shared" si="17"/>
        <v>2293*440.2</v>
      </c>
      <c r="AK13" s="4">
        <f>IF('4CO멍텅(실측)'!AB13&gt;5,'4CO멍텅(실측)'!AB13+뒷날개치수더함,'4CO멍텅(실측)'!AB13)</f>
        <v>20</v>
      </c>
      <c r="AL13" s="4">
        <f>'4CO멍텅(실측)'!AC13</f>
        <v>10</v>
      </c>
      <c r="AM13" s="4">
        <f>'4CO멍텅(실측)'!AD13</f>
        <v>10</v>
      </c>
      <c r="AN13" s="31">
        <f>IF('4CO멍텅(실측)'!AE13&gt;0,'4CO멍텅(실측)'!AE13-'4CO멍텅(실측)'!V13+1.2,0)</f>
        <v>5.2</v>
      </c>
      <c r="AO13" s="31">
        <f>IF('4CO멍텅(실측)'!AF13&gt;0,'4CO멍텅(실측)'!AF13-'4CO멍텅(실측)'!V13+1.2,0)</f>
        <v>5.2</v>
      </c>
      <c r="AP13" s="3">
        <f>IF(AND(ISNUMBER('4CO멍텅(실측)'!O13),ISNUMBER('4CO멍텅(실측)'!N13)),IF(ISNUMBER('4CO멍텅(실측)'!N13),IF(9-MIN('4CO멍텅(실측)'!N13+멍텅A늘림,'4CO멍텅(실측)'!O13+멍텅A늘림)+AR13&lt;AR13,AR13,9-MIN('4CO멍텅(실측)'!N13+멍텅A늘림,'4CO멍텅(실측)'!O13+멍텅A늘림) + AR13 ),0),IF(ISNUMBER('4CO멍텅(실측)'!N13),IF(9-'4CO멍텅(실측)'!N13-멍텅A늘림+AR13&lt;AR13,AR13,9-'4CO멍텅(실측)'!N13-멍텅A늘림+AR13),0))</f>
        <v>0</v>
      </c>
      <c r="AQ13" s="3">
        <f>IF(AND(ISNUMBER('4CO멍텅(실측)'!N13),ISNUMBER('4CO멍텅(실측)'!O13)),IF(ISNUMBER('4CO멍텅(실측)'!O13),IF(9-MIN('4CO멍텅(실측)'!O13+멍텅A늘림,'4CO멍텅(실측)'!N13+멍텅A늘림)+AR13&lt;AR13,AR13,9-MIN('4CO멍텅(실측)'!O13+멍텅A늘림,'4CO멍텅(실측)'!N13+멍텅A늘림) + AR13 ),0),IF(ISNUMBER('4CO멍텅(실측)'!O13),IF(9-'4CO멍텅(실측)'!O13-멍텅A늘림+AR13&lt;AR13,AR13,9-'4CO멍텅(실측)'!O13-멍텅A늘림+AR13),0))</f>
        <v>0</v>
      </c>
      <c r="AR13" s="16"/>
      <c r="AS13" s="17">
        <f t="shared" si="18"/>
        <v>0</v>
      </c>
      <c r="AT13" s="36">
        <f t="shared" si="19"/>
        <v>0</v>
      </c>
      <c r="AU13" s="36">
        <f t="shared" si="20"/>
        <v>0</v>
      </c>
      <c r="AV13" s="46" t="str">
        <f t="shared" si="21"/>
        <v>JD비대칭</v>
      </c>
      <c r="AW13" s="3">
        <f t="shared" si="22"/>
        <v>1685</v>
      </c>
      <c r="AX13" s="3">
        <f t="shared" si="23"/>
        <v>464.2</v>
      </c>
      <c r="AY13" s="3">
        <f t="shared" si="24"/>
        <v>439.2</v>
      </c>
      <c r="AZ13" s="3">
        <f t="shared" si="25"/>
        <v>2295</v>
      </c>
      <c r="BA13" s="3">
        <f t="shared" si="26"/>
        <v>440.2</v>
      </c>
      <c r="BB13" s="3">
        <f t="shared" si="27"/>
        <v>2293</v>
      </c>
      <c r="BC13">
        <f t="shared" si="28"/>
        <v>0</v>
      </c>
      <c r="BD13">
        <f t="shared" si="29"/>
        <v>0</v>
      </c>
      <c r="BE13" s="79">
        <f t="shared" si="30"/>
        <v>1</v>
      </c>
      <c r="BF13" s="83">
        <f>IF(소장="손상민",'4CO멍텅(실측)'!AG13,0)</f>
        <v>0</v>
      </c>
    </row>
    <row r="14" spans="1:58" ht="26.25" customHeight="1" x14ac:dyDescent="0.3">
      <c r="A14" s="4" t="str">
        <f>'4CO멍텅(실측)'!A14</f>
        <v>101-2</v>
      </c>
      <c r="B14" s="4" t="str">
        <f>'4CO멍텅(실측)'!B14&amp;"F"</f>
        <v>2F</v>
      </c>
      <c r="C14" s="4">
        <f>'4CO멍텅(실측)'!C14-CO4멍텅OP/2</f>
        <v>397</v>
      </c>
      <c r="D14" s="4">
        <f>'4CO멍텅(실측)'!D14</f>
        <v>800</v>
      </c>
      <c r="E14" s="4">
        <f>'4CO멍텅(실측)'!E14-CO4멍텅OP/2</f>
        <v>398</v>
      </c>
      <c r="F14" s="4">
        <f>'4CO멍텅(실측)'!F14-CO4멍텅R</f>
        <v>1594</v>
      </c>
      <c r="G14" s="4">
        <f>'4CO멍텅(실측)'!G14+MAX(AP14,AQ14)+IF(BE14=1,AD14,0)+CO4멍텅JBJD늘림치수</f>
        <v>344</v>
      </c>
      <c r="H14" s="4">
        <f>'4CO멍텅(실측)'!H14+MAX(AP14,AQ14)+IF(BE14=1,MAX(AD14,AF14),0)+CO4멍텅JBJD늘림치수</f>
        <v>388</v>
      </c>
      <c r="I14" s="4">
        <f>'4CO멍텅(실측)'!I14+MAX(AP14,AQ14)+IF(BE14=1,AF14,0)+CO4멍텅JBJD늘림치수</f>
        <v>344</v>
      </c>
      <c r="J14" s="4">
        <f>'4CO멍텅(실측)'!J14+AP14+IF(BE14=1,AD14,0)+CO4멍텅JB강제키움+CO4멍텅JBJD늘림치수</f>
        <v>344</v>
      </c>
      <c r="K14" s="4">
        <f>'4CO멍텅(실측)'!J14+AP14+IF(BE14=1,AE14,0)+CO4멍텅JB강제키움+CO4멍텅JBJD늘림치수-IF(CO4멍텅JB하부늘치=1,'4CO멍텅(실측)'!X14-'4CO멍텅(실측)'!Y14,0)</f>
        <v>342</v>
      </c>
      <c r="L14" s="4">
        <f>'4CO멍텅(실측)'!K14+AQ14+IF(BE14=1,AF14,0)+CO4멍텅JB강제키움+CO4멍텅JBJD늘림치수</f>
        <v>344</v>
      </c>
      <c r="M14" s="4">
        <f>'4CO멍텅(실측)'!K14+AQ14+IF(BE14=1,AG14,0)+CO4멍텅JB강제키움+CO4멍텅JBJD늘림치수-IF(CO4멍텅JB하부늘치=1,'4CO멍텅(실측)'!Z14-'4CO멍텅(실측)'!AA14,0)</f>
        <v>344</v>
      </c>
      <c r="N14" s="73">
        <f t="shared" si="11"/>
        <v>44</v>
      </c>
      <c r="O14" s="73">
        <f t="shared" si="12"/>
        <v>44</v>
      </c>
      <c r="P14" s="4">
        <f t="shared" si="13"/>
        <v>38.5</v>
      </c>
      <c r="Q14" s="4">
        <f t="shared" si="14"/>
        <v>38.5</v>
      </c>
      <c r="R14" s="4">
        <f>IF(T14&gt;0,'4CO멍텅(실측)'!L14+CO4멍텅C늘림,'4CO멍텅(실측)'!L14+1)</f>
        <v>40</v>
      </c>
      <c r="S14" s="4">
        <f>IF(U14&gt;0,'4CO멍텅(실측)'!M14+CO4멍텅C늘림,'4CO멍텅(실측)'!M14+1)</f>
        <v>40</v>
      </c>
      <c r="T14" s="4">
        <f>IF(ISNUMBER('4CO멍텅(실측)'!N14),'4CO멍텅(실측)'!N14+'4CO멍텅제작'!AP14+멍텅A늘림,0)</f>
        <v>23</v>
      </c>
      <c r="U14" s="4">
        <f>IF(ISNUMBER('4CO멍텅(실측)'!O14),'4CO멍텅(실측)'!O14+'4CO멍텅제작'!AQ14+멍텅A늘림,0)</f>
        <v>18</v>
      </c>
      <c r="V14" s="4">
        <f>'4CO멍텅(실측)'!P14-CO4멍텅기둥차감</f>
        <v>2286</v>
      </c>
      <c r="W14" s="4">
        <f>'4CO멍텅(실측)'!Q14-CO4멍텅기둥차감</f>
        <v>2281</v>
      </c>
      <c r="X14" s="4">
        <f>'4CO멍텅(실측)'!R14-CO4멍텅기둥차감</f>
        <v>2296</v>
      </c>
      <c r="Y14" s="4">
        <f>'4CO멍텅(실측)'!S14-CO4멍텅기둥차감</f>
        <v>2291</v>
      </c>
      <c r="Z14" s="4">
        <f>IF(ISNUMBER('4CO멍텅(실측)'!T14),IF(AA14&gt;0,'4CO멍텅(실측)'!T14+CO4멍텅U늘림,'4CO멍텅(실측)'!T14+1.2),0)</f>
        <v>40</v>
      </c>
      <c r="AA14" s="4">
        <f>IF(OR(CO4멍텅G="", CO4멍텅G=0),IF(ISNUMBER('4CO멍텅(실측)'!U14),IF('4CO멍텅(실측)'!U14+멍텅A늘림+MAX(AP14,AQ14)&gt;9,'4CO멍텅(실측)'!U14+멍텅A늘림+MAX(AP14,AQ14),'4CO멍텅(실측)'!U14+멍텅A늘림+MAX(AP14,AQ14)),0),CO4멍텅G)</f>
        <v>9</v>
      </c>
      <c r="AB14" s="4">
        <f>'4CO멍텅(실측)'!V14+뒷날개치수더함</f>
        <v>30</v>
      </c>
      <c r="AC14" s="4">
        <f>'4CO멍텅(실측)'!W14+뒷날개치수더함</f>
        <v>30</v>
      </c>
      <c r="AD14" s="13">
        <f>'4CO멍텅(실측)'!X14-CO4멍텅늘치차감</f>
        <v>6</v>
      </c>
      <c r="AE14" s="13">
        <f>IF(CO4멍텅JB하부늘치=1,AD14,'4CO멍텅(실측)'!Y14-CO4멍텅늘치차감)</f>
        <v>6</v>
      </c>
      <c r="AF14" s="13">
        <f>'4CO멍텅(실측)'!Z14-CO4멍텅늘치차감</f>
        <v>6</v>
      </c>
      <c r="AG14" s="13">
        <f>IF(CO4멍텅JB하부늘치=1,AF14,'4CO멍텅(실측)'!AA14-CO4멍텅늘치차감)</f>
        <v>6</v>
      </c>
      <c r="AH14" s="11" t="str">
        <f t="shared" si="15"/>
        <v>1671*462.2</v>
      </c>
      <c r="AI14" s="12" t="str">
        <f t="shared" si="16"/>
        <v>2286*432.2</v>
      </c>
      <c r="AJ14" s="10" t="str">
        <f t="shared" si="17"/>
        <v>2296*427.2</v>
      </c>
      <c r="AK14" s="4">
        <f>IF('4CO멍텅(실측)'!AB14&gt;5,'4CO멍텅(실측)'!AB14+뒷날개치수더함,'4CO멍텅(실측)'!AB14)</f>
        <v>20</v>
      </c>
      <c r="AL14" s="4">
        <f>'4CO멍텅(실측)'!AC14</f>
        <v>10</v>
      </c>
      <c r="AM14" s="4">
        <f>'4CO멍텅(실측)'!AD14</f>
        <v>10</v>
      </c>
      <c r="AN14" s="31">
        <f>IF('4CO멍텅(실측)'!AE14&gt;0,'4CO멍텅(실측)'!AE14-'4CO멍텅(실측)'!V14+1.2,0)</f>
        <v>5.2</v>
      </c>
      <c r="AO14" s="31">
        <f>IF('4CO멍텅(실측)'!AF14&gt;0,'4CO멍텅(실측)'!AF14-'4CO멍텅(실측)'!V14+1.2,0)</f>
        <v>5.2</v>
      </c>
      <c r="AP14" s="3">
        <f>IF(AND(ISNUMBER('4CO멍텅(실측)'!O14),ISNUMBER('4CO멍텅(실측)'!N14)),IF(ISNUMBER('4CO멍텅(실측)'!N14),IF(9-MIN('4CO멍텅(실측)'!N14+멍텅A늘림,'4CO멍텅(실측)'!O14+멍텅A늘림)+AR14&lt;AR14,AR14,9-MIN('4CO멍텅(실측)'!N14+멍텅A늘림,'4CO멍텅(실측)'!O14+멍텅A늘림) + AR14 ),0),IF(ISNUMBER('4CO멍텅(실측)'!N14),IF(9-'4CO멍텅(실측)'!N14-멍텅A늘림+AR14&lt;AR14,AR14,9-'4CO멍텅(실측)'!N14-멍텅A늘림+AR14),0))</f>
        <v>0</v>
      </c>
      <c r="AQ14" s="3">
        <f>IF(AND(ISNUMBER('4CO멍텅(실측)'!N14),ISNUMBER('4CO멍텅(실측)'!O14)),IF(ISNUMBER('4CO멍텅(실측)'!O14),IF(9-MIN('4CO멍텅(실측)'!O14+멍텅A늘림,'4CO멍텅(실측)'!N14+멍텅A늘림)+AR14&lt;AR14,AR14,9-MIN('4CO멍텅(실측)'!O14+멍텅A늘림,'4CO멍텅(실측)'!N14+멍텅A늘림) + AR14 ),0),IF(ISNUMBER('4CO멍텅(실측)'!O14),IF(9-'4CO멍텅(실측)'!O14-멍텅A늘림+AR14&lt;AR14,AR14,9-'4CO멍텅(실측)'!O14-멍텅A늘림+AR14),0))</f>
        <v>0</v>
      </c>
      <c r="AR14" s="16"/>
      <c r="AS14" s="17">
        <f t="shared" si="18"/>
        <v>-8.32786906466602E-2</v>
      </c>
      <c r="AT14" s="36">
        <f t="shared" si="19"/>
        <v>3.6337151726684169E-4</v>
      </c>
      <c r="AU14" s="36">
        <f t="shared" si="20"/>
        <v>3.6337151726684169E-4</v>
      </c>
      <c r="AV14" s="46" t="str">
        <f t="shared" si="21"/>
        <v/>
      </c>
      <c r="AW14" s="3">
        <f t="shared" si="22"/>
        <v>1671</v>
      </c>
      <c r="AX14" s="3">
        <f t="shared" si="23"/>
        <v>462.2</v>
      </c>
      <c r="AY14" s="3">
        <f t="shared" si="24"/>
        <v>432.2</v>
      </c>
      <c r="AZ14" s="3">
        <f t="shared" si="25"/>
        <v>2286</v>
      </c>
      <c r="BA14" s="3">
        <f t="shared" si="26"/>
        <v>427.2</v>
      </c>
      <c r="BB14" s="3">
        <f t="shared" si="27"/>
        <v>2296</v>
      </c>
      <c r="BC14">
        <f t="shared" si="28"/>
        <v>0</v>
      </c>
      <c r="BD14">
        <f t="shared" si="29"/>
        <v>0</v>
      </c>
      <c r="BE14" s="79">
        <f t="shared" si="30"/>
        <v>1</v>
      </c>
      <c r="BF14" s="83">
        <f>IF(소장="손상민",'4CO멍텅(실측)'!AG14,0)</f>
        <v>0</v>
      </c>
    </row>
    <row r="15" spans="1:58" ht="26.25" customHeight="1" x14ac:dyDescent="0.3">
      <c r="A15" s="4" t="str">
        <f>'4CO멍텅(실측)'!A15</f>
        <v>101-2</v>
      </c>
      <c r="B15" s="4" t="str">
        <f>'4CO멍텅(실측)'!B15&amp;"F"</f>
        <v>B1F</v>
      </c>
      <c r="C15" s="4">
        <f>'4CO멍텅(실측)'!C15-CO4멍텅OP/2</f>
        <v>397</v>
      </c>
      <c r="D15" s="4">
        <f>'4CO멍텅(실측)'!D15</f>
        <v>800</v>
      </c>
      <c r="E15" s="4">
        <f>'4CO멍텅(실측)'!E15-CO4멍텅OP/2</f>
        <v>398</v>
      </c>
      <c r="F15" s="4">
        <f>'4CO멍텅(실측)'!F15-CO4멍텅R</f>
        <v>1596</v>
      </c>
      <c r="G15" s="4">
        <f>'4CO멍텅(실측)'!G15+MAX(AP15,AQ15)+IF(BE15=1,AD15,0)+CO4멍텅JBJD늘림치수</f>
        <v>342</v>
      </c>
      <c r="H15" s="4">
        <f>'4CO멍텅(실측)'!H15+MAX(AP15,AQ15)+IF(BE15=1,MAX(AD15,AF15),0)+CO4멍텅JBJD늘림치수</f>
        <v>386</v>
      </c>
      <c r="I15" s="4">
        <f>'4CO멍텅(실측)'!I15+MAX(AP15,AQ15)+IF(BE15=1,AF15,0)+CO4멍텅JBJD늘림치수</f>
        <v>342</v>
      </c>
      <c r="J15" s="4">
        <f>'4CO멍텅(실측)'!J15+AP15+IF(BE15=1,AD15,0)+CO4멍텅JB강제키움+CO4멍텅JBJD늘림치수</f>
        <v>342</v>
      </c>
      <c r="K15" s="4">
        <f>'4CO멍텅(실측)'!J15+AP15+IF(BE15=1,AE15,0)+CO4멍텅JB강제키움+CO4멍텅JBJD늘림치수-IF(CO4멍텅JB하부늘치=1,'4CO멍텅(실측)'!X15-'4CO멍텅(실측)'!Y15,0)</f>
        <v>342</v>
      </c>
      <c r="L15" s="4">
        <f>'4CO멍텅(실측)'!K15+AQ15+IF(BE15=1,AF15,0)+CO4멍텅JB강제키움+CO4멍텅JBJD늘림치수</f>
        <v>342</v>
      </c>
      <c r="M15" s="4">
        <f>'4CO멍텅(실측)'!K15+AQ15+IF(BE15=1,AG15,0)+CO4멍텅JB강제키움+CO4멍텅JBJD늘림치수-IF(CO4멍텅JB하부늘치=1,'4CO멍텅(실측)'!Z15-'4CO멍텅(실측)'!AA15,0)</f>
        <v>342</v>
      </c>
      <c r="N15" s="73">
        <f t="shared" si="11"/>
        <v>44</v>
      </c>
      <c r="O15" s="73">
        <f t="shared" si="12"/>
        <v>44</v>
      </c>
      <c r="P15" s="4">
        <f t="shared" si="13"/>
        <v>38.5</v>
      </c>
      <c r="Q15" s="4">
        <f t="shared" si="14"/>
        <v>38.5</v>
      </c>
      <c r="R15" s="4">
        <f>IF(T15&gt;0,'4CO멍텅(실측)'!L15+CO4멍텅C늘림,'4CO멍텅(실측)'!L15+1)</f>
        <v>40</v>
      </c>
      <c r="S15" s="4">
        <f>IF(U15&gt;0,'4CO멍텅(실측)'!M15+CO4멍텅C늘림,'4CO멍텅(실측)'!M15+1)</f>
        <v>40</v>
      </c>
      <c r="T15" s="4">
        <f>IF(ISNUMBER('4CO멍텅(실측)'!N15),'4CO멍텅(실측)'!N15+'4CO멍텅제작'!AP15+멍텅A늘림,0)</f>
        <v>24</v>
      </c>
      <c r="U15" s="4">
        <f>IF(ISNUMBER('4CO멍텅(실측)'!O15),'4CO멍텅(실측)'!O15+'4CO멍텅제작'!AQ15+멍텅A늘림,0)</f>
        <v>19</v>
      </c>
      <c r="V15" s="4">
        <f>'4CO멍텅(실측)'!P15-CO4멍텅기둥차감</f>
        <v>2296</v>
      </c>
      <c r="W15" s="4">
        <f>'4CO멍텅(실측)'!Q15-CO4멍텅기둥차감</f>
        <v>2290</v>
      </c>
      <c r="X15" s="4">
        <f>'4CO멍텅(실측)'!R15-CO4멍텅기둥차감</f>
        <v>2285</v>
      </c>
      <c r="Y15" s="4">
        <f>'4CO멍텅(실측)'!S15-CO4멍텅기둥차감</f>
        <v>2288</v>
      </c>
      <c r="Z15" s="4">
        <f>IF(ISNUMBER('4CO멍텅(실측)'!T15),IF(AA15&gt;0,'4CO멍텅(실측)'!T15+CO4멍텅U늘림,'4CO멍텅(실측)'!T15+1.2),0)</f>
        <v>40</v>
      </c>
      <c r="AA15" s="4">
        <f>IF(OR(CO4멍텅G="", CO4멍텅G=0),IF(ISNUMBER('4CO멍텅(실측)'!U15),IF('4CO멍텅(실측)'!U15+멍텅A늘림+MAX(AP15,AQ15)&gt;9,'4CO멍텅(실측)'!U15+멍텅A늘림+MAX(AP15,AQ15),'4CO멍텅(실측)'!U15+멍텅A늘림+MAX(AP15,AQ15)),0),CO4멍텅G)</f>
        <v>9</v>
      </c>
      <c r="AB15" s="4">
        <f>'4CO멍텅(실측)'!V15+뒷날개치수더함</f>
        <v>30</v>
      </c>
      <c r="AC15" s="4">
        <f>'4CO멍텅(실측)'!W15+뒷날개치수더함</f>
        <v>30</v>
      </c>
      <c r="AD15" s="13">
        <f>'4CO멍텅(실측)'!X15-CO4멍텅늘치차감</f>
        <v>4</v>
      </c>
      <c r="AE15" s="13">
        <f>IF(CO4멍텅JB하부늘치=1,AD15,'4CO멍텅(실측)'!Y15-CO4멍텅늘치차감)</f>
        <v>4</v>
      </c>
      <c r="AF15" s="13">
        <f>'4CO멍텅(실측)'!Z15-CO4멍텅늘치차감</f>
        <v>4</v>
      </c>
      <c r="AG15" s="13">
        <f>IF(CO4멍텅JB하부늘치=1,AF15,'4CO멍텅(실측)'!AA15-CO4멍텅늘치차감)</f>
        <v>4</v>
      </c>
      <c r="AH15" s="11" t="str">
        <f t="shared" si="15"/>
        <v>1673*460.2</v>
      </c>
      <c r="AI15" s="12" t="str">
        <f t="shared" si="16"/>
        <v>2296*431.2</v>
      </c>
      <c r="AJ15" s="10" t="str">
        <f t="shared" si="17"/>
        <v>2288*426.2</v>
      </c>
      <c r="AK15" s="4">
        <f>IF('4CO멍텅(실측)'!AB15&gt;5,'4CO멍텅(실측)'!AB15+뒷날개치수더함,'4CO멍텅(실측)'!AB15)</f>
        <v>20</v>
      </c>
      <c r="AL15" s="4">
        <f>'4CO멍텅(실측)'!AC15</f>
        <v>10</v>
      </c>
      <c r="AM15" s="4">
        <f>'4CO멍텅(실측)'!AD15</f>
        <v>10</v>
      </c>
      <c r="AN15" s="31">
        <f>IF('4CO멍텅(실측)'!AE15&gt;0,'4CO멍텅(실측)'!AE15-'4CO멍텅(실측)'!V15+1.2,0)</f>
        <v>5.2</v>
      </c>
      <c r="AO15" s="31">
        <f>IF('4CO멍텅(실측)'!AF15&gt;0,'4CO멍텅(실측)'!AF15-'4CO멍텅(실측)'!V15+1.2,0)</f>
        <v>6.2</v>
      </c>
      <c r="AP15" s="3">
        <f>IF(AND(ISNUMBER('4CO멍텅(실측)'!O15),ISNUMBER('4CO멍텅(실측)'!N15)),IF(ISNUMBER('4CO멍텅(실측)'!N15),IF(9-MIN('4CO멍텅(실측)'!N15+멍텅A늘림,'4CO멍텅(실측)'!O15+멍텅A늘림)+AR15&lt;AR15,AR15,9-MIN('4CO멍텅(실측)'!N15+멍텅A늘림,'4CO멍텅(실측)'!O15+멍텅A늘림) + AR15 ),0),IF(ISNUMBER('4CO멍텅(실측)'!N15),IF(9-'4CO멍텅(실측)'!N15-멍텅A늘림+AR15&lt;AR15,AR15,9-'4CO멍텅(실측)'!N15-멍텅A늘림+AR15),0))</f>
        <v>0</v>
      </c>
      <c r="AQ15" s="3">
        <f>IF(AND(ISNUMBER('4CO멍텅(실측)'!N15),ISNUMBER('4CO멍텅(실측)'!O15)),IF(ISNUMBER('4CO멍텅(실측)'!O15),IF(9-MIN('4CO멍텅(실측)'!O15+멍텅A늘림,'4CO멍텅(실측)'!N15+멍텅A늘림)+AR15&lt;AR15,AR15,9-MIN('4CO멍텅(실측)'!O15+멍텅A늘림,'4CO멍텅(실측)'!N15+멍텅A늘림) + AR15 ),0),IF(ISNUMBER('4CO멍텅(실측)'!O15),IF(9-'4CO멍텅(실측)'!O15-멍텅A늘림+AR15&lt;AR15,AR15,9-'4CO멍텅(실측)'!O15-멍텅A늘림+AR15),0))</f>
        <v>0</v>
      </c>
      <c r="AR15" s="16"/>
      <c r="AS15" s="17">
        <f t="shared" si="18"/>
        <v>8.3765699841541572E-2</v>
      </c>
      <c r="AT15" s="36">
        <f t="shared" si="19"/>
        <v>3.6549649013295493E-4</v>
      </c>
      <c r="AU15" s="36">
        <f t="shared" si="20"/>
        <v>3.6549649013295493E-4</v>
      </c>
      <c r="AV15" s="46" t="str">
        <f t="shared" si="21"/>
        <v/>
      </c>
      <c r="AW15" s="3">
        <f t="shared" si="22"/>
        <v>1673</v>
      </c>
      <c r="AX15" s="3">
        <f t="shared" si="23"/>
        <v>460.2</v>
      </c>
      <c r="AY15" s="3">
        <f t="shared" si="24"/>
        <v>431.2</v>
      </c>
      <c r="AZ15" s="3">
        <f t="shared" si="25"/>
        <v>2296</v>
      </c>
      <c r="BA15" s="3">
        <f t="shared" si="26"/>
        <v>426.2</v>
      </c>
      <c r="BB15" s="3">
        <f t="shared" si="27"/>
        <v>2288</v>
      </c>
      <c r="BC15">
        <f t="shared" si="28"/>
        <v>0</v>
      </c>
      <c r="BD15">
        <f t="shared" si="29"/>
        <v>0</v>
      </c>
      <c r="BE15" s="79">
        <f t="shared" si="30"/>
        <v>1</v>
      </c>
      <c r="BF15" s="83">
        <f>IF(소장="손상민",'4CO멍텅(실측)'!AG15,0)</f>
        <v>0</v>
      </c>
    </row>
    <row r="16" spans="1:58" ht="26.25" customHeight="1" x14ac:dyDescent="0.3">
      <c r="A16" s="4" t="str">
        <f>'4CO멍텅(실측)'!A16</f>
        <v>102-2</v>
      </c>
      <c r="B16" s="4" t="str">
        <f>'4CO멍텅(실측)'!B16&amp;"F"</f>
        <v>9F</v>
      </c>
      <c r="C16" s="4">
        <f>'4CO멍텅(실측)'!C16-CO4멍텅OP/2</f>
        <v>403</v>
      </c>
      <c r="D16" s="4">
        <f>'4CO멍텅(실측)'!D16</f>
        <v>800</v>
      </c>
      <c r="E16" s="4">
        <f>'4CO멍텅(실측)'!E16-CO4멍텅OP/2</f>
        <v>400</v>
      </c>
      <c r="F16" s="4">
        <f>'4CO멍텅(실측)'!F16-CO4멍텅R</f>
        <v>1601</v>
      </c>
      <c r="G16" s="4">
        <f>'4CO멍텅(실측)'!G16+MAX(AP16,AQ16)+IF(BE16=1,AD16,0)+CO4멍텅JBJD늘림치수</f>
        <v>341</v>
      </c>
      <c r="H16" s="4">
        <f>'4CO멍텅(실측)'!H16+MAX(AP16,AQ16)+IF(BE16=1,MAX(AD16,AF16),0)+CO4멍텅JBJD늘림치수</f>
        <v>386</v>
      </c>
      <c r="I16" s="4">
        <f>'4CO멍텅(실측)'!I16+MAX(AP16,AQ16)+IF(BE16=1,AF16,0)+CO4멍텅JBJD늘림치수</f>
        <v>342</v>
      </c>
      <c r="J16" s="4">
        <f>'4CO멍텅(실측)'!J16+AP16+IF(BE16=1,AD16,0)+CO4멍텅JB강제키움+CO4멍텅JBJD늘림치수</f>
        <v>341</v>
      </c>
      <c r="K16" s="4">
        <f>'4CO멍텅(실측)'!J16+AP16+IF(BE16=1,AE16,0)+CO4멍텅JB강제키움+CO4멍텅JBJD늘림치수-IF(CO4멍텅JB하부늘치=1,'4CO멍텅(실측)'!X16-'4CO멍텅(실측)'!Y16,0)</f>
        <v>340</v>
      </c>
      <c r="L16" s="4">
        <f>'4CO멍텅(실측)'!K16+AQ16+IF(BE16=1,AF16,0)+CO4멍텅JB강제키움+CO4멍텅JBJD늘림치수</f>
        <v>342</v>
      </c>
      <c r="M16" s="4">
        <f>'4CO멍텅(실측)'!K16+AQ16+IF(BE16=1,AG16,0)+CO4멍텅JB강제키움+CO4멍텅JBJD늘림치수-IF(CO4멍텅JB하부늘치=1,'4CO멍텅(실측)'!Z16-'4CO멍텅(실측)'!AA16,0)</f>
        <v>341</v>
      </c>
      <c r="N16" s="73">
        <f t="shared" si="11"/>
        <v>45</v>
      </c>
      <c r="O16" s="73">
        <f t="shared" si="12"/>
        <v>44</v>
      </c>
      <c r="P16" s="4">
        <f t="shared" si="13"/>
        <v>38.5</v>
      </c>
      <c r="Q16" s="4">
        <f t="shared" si="14"/>
        <v>38.5</v>
      </c>
      <c r="R16" s="4">
        <f>IF(T16&gt;0,'4CO멍텅(실측)'!L16+CO4멍텅C늘림,'4CO멍텅(실측)'!L16+1)</f>
        <v>40</v>
      </c>
      <c r="S16" s="4">
        <f>IF(U16&gt;0,'4CO멍텅(실측)'!M16+CO4멍텅C늘림,'4CO멍텅(실측)'!M16+1)</f>
        <v>40</v>
      </c>
      <c r="T16" s="4">
        <f>IF(ISNUMBER('4CO멍텅(실측)'!N16),'4CO멍텅(실측)'!N16+'4CO멍텅제작'!AP16+멍텅A늘림,0)</f>
        <v>21</v>
      </c>
      <c r="U16" s="4">
        <f>IF(ISNUMBER('4CO멍텅(실측)'!O16),'4CO멍텅(실측)'!O16+'4CO멍텅제작'!AQ16+멍텅A늘림,0)</f>
        <v>21</v>
      </c>
      <c r="V16" s="4">
        <f>'4CO멍텅(실측)'!P16-CO4멍텅기둥차감</f>
        <v>2301</v>
      </c>
      <c r="W16" s="4">
        <f>'4CO멍텅(실측)'!Q16-CO4멍텅기둥차감</f>
        <v>2289</v>
      </c>
      <c r="X16" s="4">
        <f>'4CO멍텅(실측)'!R16-CO4멍텅기둥차감</f>
        <v>2298</v>
      </c>
      <c r="Y16" s="4">
        <f>'4CO멍텅(실측)'!S16-CO4멍텅기둥차감</f>
        <v>2290</v>
      </c>
      <c r="Z16" s="4">
        <f>IF(ISNUMBER('4CO멍텅(실측)'!T16),IF(AA16&gt;0,'4CO멍텅(실측)'!T16+CO4멍텅U늘림,'4CO멍텅(실측)'!T16+1.2),0)</f>
        <v>40</v>
      </c>
      <c r="AA16" s="4">
        <f>IF(OR(CO4멍텅G="", CO4멍텅G=0),IF(ISNUMBER('4CO멍텅(실측)'!U16),IF('4CO멍텅(실측)'!U16+멍텅A늘림+MAX(AP16,AQ16)&gt;9,'4CO멍텅(실측)'!U16+멍텅A늘림+MAX(AP16,AQ16),'4CO멍텅(실측)'!U16+멍텅A늘림+MAX(AP16,AQ16)),0),CO4멍텅G)</f>
        <v>9</v>
      </c>
      <c r="AB16" s="4">
        <f>'4CO멍텅(실측)'!V16+뒷날개치수더함</f>
        <v>30</v>
      </c>
      <c r="AC16" s="4">
        <f>'4CO멍텅(실측)'!W16+뒷날개치수더함</f>
        <v>30</v>
      </c>
      <c r="AD16" s="13">
        <f>'4CO멍텅(실측)'!X16-CO4멍텅늘치차감</f>
        <v>6</v>
      </c>
      <c r="AE16" s="13">
        <f>IF(CO4멍텅JB하부늘치=1,AD16,'4CO멍텅(실측)'!Y16-CO4멍텅늘치차감)</f>
        <v>6</v>
      </c>
      <c r="AF16" s="13">
        <f>'4CO멍텅(실측)'!Z16-CO4멍텅늘치차감</f>
        <v>7</v>
      </c>
      <c r="AG16" s="13">
        <f>IF(CO4멍텅JB하부늘치=1,AF16,'4CO멍텅(실측)'!AA16-CO4멍텅늘치차감)</f>
        <v>7</v>
      </c>
      <c r="AH16" s="11" t="str">
        <f t="shared" si="15"/>
        <v>1678*460.2</v>
      </c>
      <c r="AI16" s="12" t="str">
        <f t="shared" si="16"/>
        <v>2301*427.2</v>
      </c>
      <c r="AJ16" s="10" t="str">
        <f t="shared" si="17"/>
        <v>2298*428.2</v>
      </c>
      <c r="AK16" s="4">
        <f>IF('4CO멍텅(실측)'!AB16&gt;5,'4CO멍텅(실측)'!AB16+뒷날개치수더함,'4CO멍텅(실측)'!AB16)</f>
        <v>20</v>
      </c>
      <c r="AL16" s="4">
        <f>'4CO멍텅(실측)'!AC16</f>
        <v>10</v>
      </c>
      <c r="AM16" s="4">
        <f>'4CO멍텅(실측)'!AD16</f>
        <v>10</v>
      </c>
      <c r="AN16" s="31">
        <f>IF('4CO멍텅(실측)'!AE16&gt;0,'4CO멍텅(실측)'!AE16-'4CO멍텅(실측)'!V16+1.2,0)</f>
        <v>7.2</v>
      </c>
      <c r="AO16" s="31">
        <f>IF('4CO멍텅(실측)'!AF16&gt;0,'4CO멍텅(실측)'!AF16-'4CO멍텅(실측)'!V16+1.2,0)</f>
        <v>5.2</v>
      </c>
      <c r="AP16" s="3">
        <f>IF(AND(ISNUMBER('4CO멍텅(실측)'!O16),ISNUMBER('4CO멍텅(실측)'!N16)),IF(ISNUMBER('4CO멍텅(실측)'!N16),IF(9-MIN('4CO멍텅(실측)'!N16+멍텅A늘림,'4CO멍텅(실측)'!O16+멍텅A늘림)+AR16&lt;AR16,AR16,9-MIN('4CO멍텅(실측)'!N16+멍텅A늘림,'4CO멍텅(실측)'!O16+멍텅A늘림) + AR16 ),0),IF(ISNUMBER('4CO멍텅(실측)'!N16),IF(9-'4CO멍텅(실측)'!N16-멍텅A늘림+AR16&lt;AR16,AR16,9-'4CO멍텅(실측)'!N16-멍텅A늘림+AR16),0))</f>
        <v>0</v>
      </c>
      <c r="AQ16" s="3">
        <f>IF(AND(ISNUMBER('4CO멍텅(실측)'!N16),ISNUMBER('4CO멍텅(실측)'!O16)),IF(ISNUMBER('4CO멍텅(실측)'!O16),IF(9-MIN('4CO멍텅(실측)'!O16+멍텅A늘림,'4CO멍텅(실측)'!N16+멍텅A늘림)+AR16&lt;AR16,AR16,9-MIN('4CO멍텅(실측)'!O16+멍텅A늘림,'4CO멍텅(실측)'!N16+멍텅A늘림) + AR16 ),0),IF(ISNUMBER('4CO멍텅(실측)'!O16),IF(9-'4CO멍텅(실측)'!O16-멍텅A늘림+AR16&lt;AR16,AR16,9-'4CO멍텅(실측)'!O16-멍텅A늘림+AR16),0))</f>
        <v>0</v>
      </c>
      <c r="AR16" s="16"/>
      <c r="AS16" s="17">
        <f t="shared" si="18"/>
        <v>-0.16802233216643697</v>
      </c>
      <c r="AT16" s="36">
        <f t="shared" si="19"/>
        <v>1.4662662026125872E-3</v>
      </c>
      <c r="AU16" s="36">
        <f t="shared" si="20"/>
        <v>1.470566103478177E-3</v>
      </c>
      <c r="AV16" s="46" t="str">
        <f t="shared" si="21"/>
        <v>JD비대칭</v>
      </c>
      <c r="AW16" s="3">
        <f t="shared" si="22"/>
        <v>1678</v>
      </c>
      <c r="AX16" s="3">
        <f t="shared" si="23"/>
        <v>460.2</v>
      </c>
      <c r="AY16" s="3">
        <f t="shared" si="24"/>
        <v>427.2</v>
      </c>
      <c r="AZ16" s="3">
        <f t="shared" si="25"/>
        <v>2301</v>
      </c>
      <c r="BA16" s="3">
        <f t="shared" si="26"/>
        <v>428.2</v>
      </c>
      <c r="BB16" s="3">
        <f t="shared" si="27"/>
        <v>2298</v>
      </c>
      <c r="BC16">
        <f t="shared" si="28"/>
        <v>0</v>
      </c>
      <c r="BD16">
        <f t="shared" si="29"/>
        <v>0</v>
      </c>
      <c r="BE16" s="79">
        <f t="shared" si="30"/>
        <v>1</v>
      </c>
      <c r="BF16" s="83">
        <f>IF(소장="손상민",'4CO멍텅(실측)'!AG16,0)</f>
        <v>0</v>
      </c>
    </row>
    <row r="17" spans="1:58" ht="26.25" customHeight="1" x14ac:dyDescent="0.3">
      <c r="A17" s="4" t="str">
        <f>'4CO멍텅(실측)'!A17</f>
        <v>102-2</v>
      </c>
      <c r="B17" s="4" t="str">
        <f>'4CO멍텅(실측)'!B17&amp;"F"</f>
        <v>8F</v>
      </c>
      <c r="C17" s="4">
        <f>'4CO멍텅(실측)'!C17-CO4멍텅OP/2</f>
        <v>402</v>
      </c>
      <c r="D17" s="4">
        <f>'4CO멍텅(실측)'!D17</f>
        <v>800</v>
      </c>
      <c r="E17" s="4">
        <f>'4CO멍텅(실측)'!E17-CO4멍텅OP/2</f>
        <v>399</v>
      </c>
      <c r="F17" s="4">
        <f>'4CO멍텅(실측)'!F17-CO4멍텅R</f>
        <v>1600</v>
      </c>
      <c r="G17" s="4">
        <f>'4CO멍텅(실측)'!G17+MAX(AP17,AQ17)+IF(BE17=1,AD17,0)+CO4멍텅JBJD늘림치수</f>
        <v>351</v>
      </c>
      <c r="H17" s="4">
        <f>'4CO멍텅(실측)'!H17+MAX(AP17,AQ17)+IF(BE17=1,MAX(AD17,AF17),0)+CO4멍텅JBJD늘림치수</f>
        <v>395</v>
      </c>
      <c r="I17" s="4">
        <f>'4CO멍텅(실측)'!I17+MAX(AP17,AQ17)+IF(BE17=1,AF17,0)+CO4멍텅JBJD늘림치수</f>
        <v>350</v>
      </c>
      <c r="J17" s="4">
        <f>'4CO멍텅(실측)'!J17+AP17+IF(BE17=1,AD17,0)+CO4멍텅JB강제키움+CO4멍텅JBJD늘림치수</f>
        <v>351</v>
      </c>
      <c r="K17" s="4">
        <f>'4CO멍텅(실측)'!J17+AP17+IF(BE17=1,AE17,0)+CO4멍텅JB강제키움+CO4멍텅JBJD늘림치수-IF(CO4멍텅JB하부늘치=1,'4CO멍텅(실측)'!X17-'4CO멍텅(실측)'!Y17,0)</f>
        <v>351</v>
      </c>
      <c r="L17" s="4">
        <f>'4CO멍텅(실측)'!K17+AQ17+IF(BE17=1,AF17,0)+CO4멍텅JB강제키움+CO4멍텅JBJD늘림치수</f>
        <v>350</v>
      </c>
      <c r="M17" s="4">
        <f>'4CO멍텅(실측)'!K17+AQ17+IF(BE17=1,AG17,0)+CO4멍텅JB강제키움+CO4멍텅JBJD늘림치수-IF(CO4멍텅JB하부늘치=1,'4CO멍텅(실측)'!Z17-'4CO멍텅(실측)'!AA17,0)</f>
        <v>350</v>
      </c>
      <c r="N17" s="73">
        <f t="shared" si="11"/>
        <v>44</v>
      </c>
      <c r="O17" s="73">
        <f t="shared" si="12"/>
        <v>45</v>
      </c>
      <c r="P17" s="4">
        <f t="shared" si="13"/>
        <v>38.5</v>
      </c>
      <c r="Q17" s="4">
        <f t="shared" si="14"/>
        <v>38.5</v>
      </c>
      <c r="R17" s="4">
        <f>IF(T17&gt;0,'4CO멍텅(실측)'!L17+CO4멍텅C늘림,'4CO멍텅(실측)'!L17+1)</f>
        <v>40</v>
      </c>
      <c r="S17" s="4">
        <f>IF(U17&gt;0,'4CO멍텅(실측)'!M17+CO4멍텅C늘림,'4CO멍텅(실측)'!M17+1)</f>
        <v>40</v>
      </c>
      <c r="T17" s="4">
        <f>IF(ISNUMBER('4CO멍텅(실측)'!N17),'4CO멍텅(실측)'!N17+'4CO멍텅제작'!AP17+멍텅A늘림,0)</f>
        <v>14</v>
      </c>
      <c r="U17" s="4">
        <f>IF(ISNUMBER('4CO멍텅(실측)'!O17),'4CO멍텅(실측)'!O17+'4CO멍텅제작'!AQ17+멍텅A늘림,0)</f>
        <v>21</v>
      </c>
      <c r="V17" s="4">
        <f>'4CO멍텅(실측)'!P17-CO4멍텅기둥차감</f>
        <v>2095</v>
      </c>
      <c r="W17" s="4">
        <f>'4CO멍텅(실측)'!Q17-CO4멍텅기둥차감</f>
        <v>2290</v>
      </c>
      <c r="X17" s="4">
        <f>'4CO멍텅(실측)'!R17-CO4멍텅기둥차감</f>
        <v>2295</v>
      </c>
      <c r="Y17" s="4">
        <f>'4CO멍텅(실측)'!S17-CO4멍텅기둥차감</f>
        <v>2287</v>
      </c>
      <c r="Z17" s="4">
        <f>IF(ISNUMBER('4CO멍텅(실측)'!T17),IF(AA17&gt;0,'4CO멍텅(실측)'!T17+CO4멍텅U늘림,'4CO멍텅(실측)'!T17+1.2),0)</f>
        <v>40</v>
      </c>
      <c r="AA17" s="4">
        <f>IF(OR(CO4멍텅G="", CO4멍텅G=0),IF(ISNUMBER('4CO멍텅(실측)'!U17),IF('4CO멍텅(실측)'!U17+멍텅A늘림+MAX(AP17,AQ17)&gt;9,'4CO멍텅(실측)'!U17+멍텅A늘림+MAX(AP17,AQ17),'4CO멍텅(실측)'!U17+멍텅A늘림+MAX(AP17,AQ17)),0),CO4멍텅G)</f>
        <v>9</v>
      </c>
      <c r="AB17" s="4">
        <f>'4CO멍텅(실측)'!V17+뒷날개치수더함</f>
        <v>30</v>
      </c>
      <c r="AC17" s="4">
        <f>'4CO멍텅(실측)'!W17+뒷날개치수더함</f>
        <v>30</v>
      </c>
      <c r="AD17" s="13">
        <f>'4CO멍텅(실측)'!X17-CO4멍텅늘치차감</f>
        <v>6</v>
      </c>
      <c r="AE17" s="13">
        <f>IF(CO4멍텅JB하부늘치=1,AD17,'4CO멍텅(실측)'!Y17-CO4멍텅늘치차감)</f>
        <v>6</v>
      </c>
      <c r="AF17" s="13">
        <f>'4CO멍텅(실측)'!Z17-CO4멍텅늘치차감</f>
        <v>5</v>
      </c>
      <c r="AG17" s="13">
        <f>IF(CO4멍텅JB하부늘치=1,AF17,'4CO멍텅(실측)'!AA17-CO4멍텅늘치차감)</f>
        <v>5</v>
      </c>
      <c r="AH17" s="11" t="str">
        <f t="shared" si="15"/>
        <v>1677*469.2</v>
      </c>
      <c r="AI17" s="12" t="str">
        <f t="shared" si="16"/>
        <v>2290*430.2</v>
      </c>
      <c r="AJ17" s="10" t="str">
        <f t="shared" si="17"/>
        <v>2295*436.2</v>
      </c>
      <c r="AK17" s="4">
        <f>IF('4CO멍텅(실측)'!AB17&gt;5,'4CO멍텅(실측)'!AB17+뒷날개치수더함,'4CO멍텅(실측)'!AB17)</f>
        <v>20</v>
      </c>
      <c r="AL17" s="4">
        <f>'4CO멍텅(실측)'!AC17</f>
        <v>10</v>
      </c>
      <c r="AM17" s="4">
        <f>'4CO멍텅(실측)'!AD17</f>
        <v>10</v>
      </c>
      <c r="AN17" s="31">
        <f>IF('4CO멍텅(실측)'!AE17&gt;0,'4CO멍텅(실측)'!AE17-'4CO멍텅(실측)'!V17+1.2,0)</f>
        <v>6.2</v>
      </c>
      <c r="AO17" s="31">
        <f>IF('4CO멍텅(실측)'!AF17&gt;0,'4CO멍텅(실측)'!AF17-'4CO멍텅(실측)'!V17+1.2,0)</f>
        <v>5.2</v>
      </c>
      <c r="AP17" s="3">
        <f>IF(AND(ISNUMBER('4CO멍텅(실측)'!O17),ISNUMBER('4CO멍텅(실측)'!N17)),IF(ISNUMBER('4CO멍텅(실측)'!N17),IF(9-MIN('4CO멍텅(실측)'!N17+멍텅A늘림,'4CO멍텅(실측)'!O17+멍텅A늘림)+AR17&lt;AR17,AR17,9-MIN('4CO멍텅(실측)'!N17+멍텅A늘림,'4CO멍텅(실측)'!O17+멍텅A늘림) + AR17 ),0),IF(ISNUMBER('4CO멍텅(실측)'!N17),IF(9-'4CO멍텅(실측)'!N17-멍텅A늘림+AR17&lt;AR17,AR17,9-'4CO멍텅(실측)'!N17-멍텅A늘림+AR17),0))</f>
        <v>0</v>
      </c>
      <c r="AQ17" s="3">
        <f>IF(AND(ISNUMBER('4CO멍텅(실측)'!N17),ISNUMBER('4CO멍텅(실측)'!O17)),IF(ISNUMBER('4CO멍텅(실측)'!O17),IF(9-MIN('4CO멍텅(실측)'!O17+멍텅A늘림,'4CO멍텅(실측)'!N17+멍텅A늘림)+AR17&lt;AR17,AR17,9-MIN('4CO멍텅(실측)'!O17+멍텅A늘림,'4CO멍텅(실측)'!N17+멍텅A늘림) + AR17 ),0),IF(ISNUMBER('4CO멍텅(실측)'!O17),IF(9-'4CO멍텅(실측)'!O17-멍텅A늘림+AR17&lt;AR17,AR17,9-'4CO멍텅(실측)'!O17-멍텅A늘림+AR17),0))</f>
        <v>0</v>
      </c>
      <c r="AR17" s="16"/>
      <c r="AS17" s="17">
        <f t="shared" si="18"/>
        <v>-8.1617864327894543E-2</v>
      </c>
      <c r="AT17" s="36">
        <f t="shared" si="19"/>
        <v>3.5612481411817498E-4</v>
      </c>
      <c r="AU17" s="36">
        <f t="shared" si="20"/>
        <v>3.5511021354750483E-4</v>
      </c>
      <c r="AV17" s="46" t="str">
        <f t="shared" si="21"/>
        <v>JD비대칭</v>
      </c>
      <c r="AW17" s="3">
        <f t="shared" si="22"/>
        <v>1677</v>
      </c>
      <c r="AX17" s="3">
        <f t="shared" si="23"/>
        <v>469.2</v>
      </c>
      <c r="AY17" s="3">
        <f t="shared" si="24"/>
        <v>430.2</v>
      </c>
      <c r="AZ17" s="3">
        <f t="shared" si="25"/>
        <v>2290</v>
      </c>
      <c r="BA17" s="3">
        <f t="shared" si="26"/>
        <v>436.2</v>
      </c>
      <c r="BB17" s="3">
        <f t="shared" si="27"/>
        <v>2295</v>
      </c>
      <c r="BC17">
        <f t="shared" si="28"/>
        <v>0</v>
      </c>
      <c r="BD17">
        <f t="shared" si="29"/>
        <v>0</v>
      </c>
      <c r="BE17" s="79">
        <f t="shared" si="30"/>
        <v>1</v>
      </c>
      <c r="BF17" s="83">
        <f>IF(소장="손상민",'4CO멍텅(실측)'!AG17,0)</f>
        <v>0</v>
      </c>
    </row>
    <row r="18" spans="1:58" ht="26.25" customHeight="1" x14ac:dyDescent="0.3">
      <c r="A18" s="4" t="str">
        <f>'4CO멍텅(실측)'!A18</f>
        <v>102-2</v>
      </c>
      <c r="B18" s="4" t="str">
        <f>'4CO멍텅(실측)'!B18&amp;"F"</f>
        <v>7F</v>
      </c>
      <c r="C18" s="4">
        <f>'4CO멍텅(실측)'!C18-CO4멍텅OP/2</f>
        <v>400</v>
      </c>
      <c r="D18" s="4">
        <f>'4CO멍텅(실측)'!D18</f>
        <v>800</v>
      </c>
      <c r="E18" s="4">
        <f>'4CO멍텅(실측)'!E18-CO4멍텅OP/2</f>
        <v>400</v>
      </c>
      <c r="F18" s="4">
        <f>'4CO멍텅(실측)'!F18-CO4멍텅R</f>
        <v>1600</v>
      </c>
      <c r="G18" s="4">
        <f>'4CO멍텅(실측)'!G18+MAX(AP18,AQ18)+IF(BE18=1,AD18,0)+CO4멍텅JBJD늘림치수</f>
        <v>358</v>
      </c>
      <c r="H18" s="4">
        <f>'4CO멍텅(실측)'!H18+MAX(AP18,AQ18)+IF(BE18=1,MAX(AD18,AF18),0)+CO4멍텅JBJD늘림치수</f>
        <v>402</v>
      </c>
      <c r="I18" s="4">
        <f>'4CO멍텅(실측)'!I18+MAX(AP18,AQ18)+IF(BE18=1,AF18,0)+CO4멍텅JBJD늘림치수</f>
        <v>356</v>
      </c>
      <c r="J18" s="4">
        <f>'4CO멍텅(실측)'!J18+AP18+IF(BE18=1,AD18,0)+CO4멍텅JB강제키움+CO4멍텅JBJD늘림치수</f>
        <v>358</v>
      </c>
      <c r="K18" s="4">
        <f>'4CO멍텅(실측)'!J18+AP18+IF(BE18=1,AE18,0)+CO4멍텅JB강제키움+CO4멍텅JBJD늘림치수-IF(CO4멍텅JB하부늘치=1,'4CO멍텅(실측)'!X18-'4CO멍텅(실측)'!Y18,0)</f>
        <v>356</v>
      </c>
      <c r="L18" s="4">
        <f>'4CO멍텅(실측)'!K18+AQ18+IF(BE18=1,AF18,0)+CO4멍텅JB강제키움+CO4멍텅JBJD늘림치수</f>
        <v>356</v>
      </c>
      <c r="M18" s="4">
        <f>'4CO멍텅(실측)'!K18+AQ18+IF(BE18=1,AG18,0)+CO4멍텅JB강제키움+CO4멍텅JBJD늘림치수-IF(CO4멍텅JB하부늘치=1,'4CO멍텅(실측)'!Z18-'4CO멍텅(실측)'!AA18,0)</f>
        <v>356</v>
      </c>
      <c r="N18" s="73">
        <f t="shared" si="11"/>
        <v>44</v>
      </c>
      <c r="O18" s="73">
        <f t="shared" si="12"/>
        <v>46</v>
      </c>
      <c r="P18" s="4">
        <f t="shared" si="13"/>
        <v>38.5</v>
      </c>
      <c r="Q18" s="4">
        <f t="shared" si="14"/>
        <v>38.5</v>
      </c>
      <c r="R18" s="4">
        <f>IF(T18&gt;0,'4CO멍텅(실측)'!L18+CO4멍텅C늘림,'4CO멍텅(실측)'!L18+1)</f>
        <v>40</v>
      </c>
      <c r="S18" s="4">
        <f>IF(U18&gt;0,'4CO멍텅(실측)'!M18+CO4멍텅C늘림,'4CO멍텅(실측)'!M18+1)</f>
        <v>40</v>
      </c>
      <c r="T18" s="4">
        <f>IF(ISNUMBER('4CO멍텅(실측)'!N18),'4CO멍텅(실측)'!N18+'4CO멍텅제작'!AP18+멍텅A늘림,0)</f>
        <v>16</v>
      </c>
      <c r="U18" s="4">
        <f>IF(ISNUMBER('4CO멍텅(실측)'!O18),'4CO멍텅(실측)'!O18+'4CO멍텅제작'!AQ18+멍텅A늘림,0)</f>
        <v>17</v>
      </c>
      <c r="V18" s="4">
        <f>'4CO멍텅(실측)'!P18-CO4멍텅기둥차감</f>
        <v>2295</v>
      </c>
      <c r="W18" s="4">
        <f>'4CO멍텅(실측)'!Q18-CO4멍텅기둥차감</f>
        <v>2290</v>
      </c>
      <c r="X18" s="4">
        <f>'4CO멍텅(실측)'!R18-CO4멍텅기둥차감</f>
        <v>2291</v>
      </c>
      <c r="Y18" s="4">
        <f>'4CO멍텅(실측)'!S18-CO4멍텅기둥차감</f>
        <v>2289</v>
      </c>
      <c r="Z18" s="4">
        <f>IF(ISNUMBER('4CO멍텅(실측)'!T18),IF(AA18&gt;0,'4CO멍텅(실측)'!T18+CO4멍텅U늘림,'4CO멍텅(실측)'!T18+1.2),0)</f>
        <v>40</v>
      </c>
      <c r="AA18" s="4">
        <f>IF(OR(CO4멍텅G="", CO4멍텅G=0),IF(ISNUMBER('4CO멍텅(실측)'!U18),IF('4CO멍텅(실측)'!U18+멍텅A늘림+MAX(AP18,AQ18)&gt;9,'4CO멍텅(실측)'!U18+멍텅A늘림+MAX(AP18,AQ18),'4CO멍텅(실측)'!U18+멍텅A늘림+MAX(AP18,AQ18)),0),CO4멍텅G)</f>
        <v>9</v>
      </c>
      <c r="AB18" s="4">
        <f>'4CO멍텅(실측)'!V18+뒷날개치수더함</f>
        <v>30</v>
      </c>
      <c r="AC18" s="4">
        <f>'4CO멍텅(실측)'!W18+뒷날개치수더함</f>
        <v>30</v>
      </c>
      <c r="AD18" s="13">
        <f>'4CO멍텅(실측)'!X18-CO4멍텅늘치차감</f>
        <v>8</v>
      </c>
      <c r="AE18" s="13">
        <f>IF(CO4멍텅JB하부늘치=1,AD18,'4CO멍텅(실측)'!Y18-CO4멍텅늘치차감)</f>
        <v>8</v>
      </c>
      <c r="AF18" s="13">
        <f>'4CO멍텅(실측)'!Z18-CO4멍텅늘치차감</f>
        <v>6</v>
      </c>
      <c r="AG18" s="13">
        <f>IF(CO4멍텅JB하부늘치=1,AF18,'4CO멍텅(실측)'!AA18-CO4멍텅늘치차감)</f>
        <v>6</v>
      </c>
      <c r="AH18" s="11" t="str">
        <f t="shared" si="15"/>
        <v>1677*476.2</v>
      </c>
      <c r="AI18" s="12" t="str">
        <f t="shared" si="16"/>
        <v>2295*439.2</v>
      </c>
      <c r="AJ18" s="10" t="str">
        <f t="shared" si="17"/>
        <v>2291*438.2</v>
      </c>
      <c r="AK18" s="4">
        <f>IF('4CO멍텅(실측)'!AB18&gt;5,'4CO멍텅(실측)'!AB18+뒷날개치수더함,'4CO멍텅(실측)'!AB18)</f>
        <v>20</v>
      </c>
      <c r="AL18" s="4">
        <f>'4CO멍텅(실측)'!AC18</f>
        <v>10</v>
      </c>
      <c r="AM18" s="4">
        <f>'4CO멍텅(실측)'!AD18</f>
        <v>10</v>
      </c>
      <c r="AN18" s="31">
        <f>IF('4CO멍텅(실측)'!AE18&gt;0,'4CO멍텅(실측)'!AE18-'4CO멍텅(실측)'!V18+1.2,0)</f>
        <v>14.2</v>
      </c>
      <c r="AO18" s="31">
        <f>IF('4CO멍텅(실측)'!AF18&gt;0,'4CO멍텅(실측)'!AF18-'4CO멍텅(실측)'!V18+1.2,0)</f>
        <v>10.199999999999999</v>
      </c>
      <c r="AP18" s="3">
        <f>IF(AND(ISNUMBER('4CO멍텅(실측)'!O18),ISNUMBER('4CO멍텅(실측)'!N18)),IF(ISNUMBER('4CO멍텅(실측)'!N18),IF(9-MIN('4CO멍텅(실측)'!N18+멍텅A늘림,'4CO멍텅(실측)'!O18+멍텅A늘림)+AR18&lt;AR18,AR18,9-MIN('4CO멍텅(실측)'!N18+멍텅A늘림,'4CO멍텅(실측)'!O18+멍텅A늘림) + AR18 ),0),IF(ISNUMBER('4CO멍텅(실측)'!N18),IF(9-'4CO멍텅(실측)'!N18-멍텅A늘림+AR18&lt;AR18,AR18,9-'4CO멍텅(실측)'!N18-멍텅A늘림+AR18),0))</f>
        <v>0</v>
      </c>
      <c r="AQ18" s="3">
        <f>IF(AND(ISNUMBER('4CO멍텅(실측)'!N18),ISNUMBER('4CO멍텅(실측)'!O18)),IF(ISNUMBER('4CO멍텅(실측)'!O18),IF(9-MIN('4CO멍텅(실측)'!O18+멍텅A늘림,'4CO멍텅(실측)'!N18+멍텅A늘림)+AR18&lt;AR18,AR18,9-MIN('4CO멍텅(실측)'!O18+멍텅A늘림,'4CO멍텅(실측)'!N18+멍텅A늘림) + AR18 ),0),IF(ISNUMBER('4CO멍텅(실측)'!O18),IF(9-'4CO멍텅(실측)'!O18-멍텅A늘림+AR18&lt;AR18,AR18,9-'4CO멍텅(실측)'!O18-멍텅A늘림+AR18),0))</f>
        <v>0</v>
      </c>
      <c r="AR18" s="16"/>
      <c r="AS18" s="17">
        <f t="shared" si="18"/>
        <v>0</v>
      </c>
      <c r="AT18" s="36">
        <f t="shared" si="19"/>
        <v>0</v>
      </c>
      <c r="AU18" s="36">
        <f t="shared" si="20"/>
        <v>0</v>
      </c>
      <c r="AV18" s="46" t="str">
        <f t="shared" si="21"/>
        <v>JD비대칭</v>
      </c>
      <c r="AW18" s="3">
        <f t="shared" si="22"/>
        <v>1677</v>
      </c>
      <c r="AX18" s="3">
        <f t="shared" si="23"/>
        <v>476.2</v>
      </c>
      <c r="AY18" s="3">
        <f t="shared" si="24"/>
        <v>439.2</v>
      </c>
      <c r="AZ18" s="3">
        <f t="shared" si="25"/>
        <v>2295</v>
      </c>
      <c r="BA18" s="3">
        <f t="shared" si="26"/>
        <v>438.2</v>
      </c>
      <c r="BB18" s="3">
        <f t="shared" si="27"/>
        <v>2291</v>
      </c>
      <c r="BC18">
        <f t="shared" si="28"/>
        <v>0</v>
      </c>
      <c r="BD18">
        <f t="shared" si="29"/>
        <v>0</v>
      </c>
      <c r="BE18" s="79">
        <f t="shared" si="30"/>
        <v>1</v>
      </c>
      <c r="BF18" s="83">
        <f>IF(소장="손상민",'4CO멍텅(실측)'!AG18,0)</f>
        <v>0</v>
      </c>
    </row>
    <row r="19" spans="1:58" ht="26.25" customHeight="1" x14ac:dyDescent="0.3">
      <c r="A19" s="4" t="str">
        <f>'4CO멍텅(실측)'!A19</f>
        <v>102-2</v>
      </c>
      <c r="B19" s="4" t="str">
        <f>'4CO멍텅(실측)'!B19&amp;"F"</f>
        <v>6F</v>
      </c>
      <c r="C19" s="4">
        <f>'4CO멍텅(실측)'!C19-CO4멍텅OP/2</f>
        <v>400</v>
      </c>
      <c r="D19" s="4">
        <f>'4CO멍텅(실측)'!D19</f>
        <v>800</v>
      </c>
      <c r="E19" s="4">
        <f>'4CO멍텅(실측)'!E19-CO4멍텅OP/2</f>
        <v>399</v>
      </c>
      <c r="F19" s="4">
        <f>'4CO멍텅(실측)'!F19-CO4멍텅R</f>
        <v>1601</v>
      </c>
      <c r="G19" s="4">
        <f>'4CO멍텅(실측)'!G19+MAX(AP19,AQ19)+IF(BE19=1,AD19,0)+CO4멍텅JBJD늘림치수</f>
        <v>348</v>
      </c>
      <c r="H19" s="4">
        <f>'4CO멍텅(실측)'!H19+MAX(AP19,AQ19)+IF(BE19=1,MAX(AD19,AF19),0)+CO4멍텅JBJD늘림치수</f>
        <v>392</v>
      </c>
      <c r="I19" s="4">
        <f>'4CO멍텅(실측)'!I19+MAX(AP19,AQ19)+IF(BE19=1,AF19,0)+CO4멍텅JBJD늘림치수</f>
        <v>346</v>
      </c>
      <c r="J19" s="4">
        <f>'4CO멍텅(실측)'!J19+AP19+IF(BE19=1,AD19,0)+CO4멍텅JB강제키움+CO4멍텅JBJD늘림치수</f>
        <v>348</v>
      </c>
      <c r="K19" s="4">
        <f>'4CO멍텅(실측)'!J19+AP19+IF(BE19=1,AE19,0)+CO4멍텅JB강제키움+CO4멍텅JBJD늘림치수-IF(CO4멍텅JB하부늘치=1,'4CO멍텅(실측)'!X19-'4CO멍텅(실측)'!Y19,0)</f>
        <v>346</v>
      </c>
      <c r="L19" s="4">
        <f>'4CO멍텅(실측)'!K19+AQ19+IF(BE19=1,AF19,0)+CO4멍텅JB강제키움+CO4멍텅JBJD늘림치수</f>
        <v>346</v>
      </c>
      <c r="M19" s="4">
        <f>'4CO멍텅(실측)'!K19+AQ19+IF(BE19=1,AG19,0)+CO4멍텅JB강제키움+CO4멍텅JBJD늘림치수-IF(CO4멍텅JB하부늘치=1,'4CO멍텅(실측)'!Z19-'4CO멍텅(실측)'!AA19,0)</f>
        <v>349</v>
      </c>
      <c r="N19" s="73">
        <f t="shared" si="11"/>
        <v>44</v>
      </c>
      <c r="O19" s="73">
        <f t="shared" si="12"/>
        <v>46</v>
      </c>
      <c r="P19" s="4">
        <f t="shared" si="13"/>
        <v>38.5</v>
      </c>
      <c r="Q19" s="4">
        <f t="shared" si="14"/>
        <v>38.5</v>
      </c>
      <c r="R19" s="4">
        <f>IF(T19&gt;0,'4CO멍텅(실측)'!L19+CO4멍텅C늘림,'4CO멍텅(실측)'!L19+1)</f>
        <v>40</v>
      </c>
      <c r="S19" s="4">
        <f>IF(U19&gt;0,'4CO멍텅(실측)'!M19+CO4멍텅C늘림,'4CO멍텅(실측)'!M19+1)</f>
        <v>40</v>
      </c>
      <c r="T19" s="4">
        <f>IF(ISNUMBER('4CO멍텅(실측)'!N19),'4CO멍텅(실측)'!N19+'4CO멍텅제작'!AP19+멍텅A늘림,0)</f>
        <v>13</v>
      </c>
      <c r="U19" s="4">
        <f>IF(ISNUMBER('4CO멍텅(실측)'!O19),'4CO멍텅(실측)'!O19+'4CO멍텅제작'!AQ19+멍텅A늘림,0)</f>
        <v>14</v>
      </c>
      <c r="V19" s="4">
        <f>'4CO멍텅(실측)'!P19-CO4멍텅기둥차감</f>
        <v>2295</v>
      </c>
      <c r="W19" s="4">
        <f>'4CO멍텅(실측)'!Q19-CO4멍텅기둥차감</f>
        <v>2286</v>
      </c>
      <c r="X19" s="4">
        <f>'4CO멍텅(실측)'!R19-CO4멍텅기둥차감</f>
        <v>2295</v>
      </c>
      <c r="Y19" s="4">
        <f>'4CO멍텅(실측)'!S19-CO4멍텅기둥차감</f>
        <v>2289</v>
      </c>
      <c r="Z19" s="4">
        <f>IF(ISNUMBER('4CO멍텅(실측)'!T19),IF(AA19&gt;0,'4CO멍텅(실측)'!T19+CO4멍텅U늘림,'4CO멍텅(실측)'!T19+1.2),0)</f>
        <v>40</v>
      </c>
      <c r="AA19" s="4">
        <f>IF(OR(CO4멍텅G="", CO4멍텅G=0),IF(ISNUMBER('4CO멍텅(실측)'!U19),IF('4CO멍텅(실측)'!U19+멍텅A늘림+MAX(AP19,AQ19)&gt;9,'4CO멍텅(실측)'!U19+멍텅A늘림+MAX(AP19,AQ19),'4CO멍텅(실측)'!U19+멍텅A늘림+MAX(AP19,AQ19)),0),CO4멍텅G)</f>
        <v>9</v>
      </c>
      <c r="AB19" s="4">
        <f>'4CO멍텅(실측)'!V19+뒷날개치수더함</f>
        <v>30</v>
      </c>
      <c r="AC19" s="4">
        <f>'4CO멍텅(실측)'!W19+뒷날개치수더함</f>
        <v>30</v>
      </c>
      <c r="AD19" s="13">
        <f>'4CO멍텅(실측)'!X19-CO4멍텅늘치차감</f>
        <v>8</v>
      </c>
      <c r="AE19" s="13">
        <f>IF(CO4멍텅JB하부늘치=1,AD19,'4CO멍텅(실측)'!Y19-CO4멍텅늘치차감)</f>
        <v>8</v>
      </c>
      <c r="AF19" s="13">
        <f>'4CO멍텅(실측)'!Z19-CO4멍텅늘치차감</f>
        <v>6</v>
      </c>
      <c r="AG19" s="13">
        <f>IF(CO4멍텅JB하부늘치=1,AF19,'4CO멍텅(실측)'!AA19-CO4멍텅늘치차감)</f>
        <v>6</v>
      </c>
      <c r="AH19" s="11" t="str">
        <f t="shared" si="15"/>
        <v>1678*466.2</v>
      </c>
      <c r="AI19" s="12" t="str">
        <f t="shared" si="16"/>
        <v>2295*426.2</v>
      </c>
      <c r="AJ19" s="10" t="str">
        <f t="shared" si="17"/>
        <v>2295*428.2</v>
      </c>
      <c r="AK19" s="4">
        <f>IF('4CO멍텅(실측)'!AB19&gt;5,'4CO멍텅(실측)'!AB19+뒷날개치수더함,'4CO멍텅(실측)'!AB19)</f>
        <v>20</v>
      </c>
      <c r="AL19" s="4">
        <f>'4CO멍텅(실측)'!AC19</f>
        <v>10</v>
      </c>
      <c r="AM19" s="4">
        <f>'4CO멍텅(실측)'!AD19</f>
        <v>10</v>
      </c>
      <c r="AN19" s="31">
        <f>IF('4CO멍텅(실측)'!AE19&gt;0,'4CO멍텅(실측)'!AE19-'4CO멍텅(실측)'!V19+1.2,0)</f>
        <v>10.199999999999999</v>
      </c>
      <c r="AO19" s="31">
        <f>IF('4CO멍텅(실측)'!AF19&gt;0,'4CO멍텅(실측)'!AF19-'4CO멍텅(실측)'!V19+1.2,0)</f>
        <v>10.199999999999999</v>
      </c>
      <c r="AP19" s="3">
        <f>IF(AND(ISNUMBER('4CO멍텅(실측)'!O19),ISNUMBER('4CO멍텅(실측)'!N19)),IF(ISNUMBER('4CO멍텅(실측)'!N19),IF(9-MIN('4CO멍텅(실측)'!N19+멍텅A늘림,'4CO멍텅(실측)'!O19+멍텅A늘림)+AR19&lt;AR19,AR19,9-MIN('4CO멍텅(실측)'!N19+멍텅A늘림,'4CO멍텅(실측)'!O19+멍텅A늘림) + AR19 ),0),IF(ISNUMBER('4CO멍텅(실측)'!N19),IF(9-'4CO멍텅(실측)'!N19-멍텅A늘림+AR19&lt;AR19,AR19,9-'4CO멍텅(실측)'!N19-멍텅A늘림+AR19),0))</f>
        <v>0</v>
      </c>
      <c r="AQ19" s="3">
        <f>IF(AND(ISNUMBER('4CO멍텅(실측)'!N19),ISNUMBER('4CO멍텅(실측)'!O19)),IF(ISNUMBER('4CO멍텅(실측)'!O19),IF(9-MIN('4CO멍텅(실측)'!O19+멍텅A늘림,'4CO멍텅(실측)'!N19+멍텅A늘림)+AR19&lt;AR19,AR19,9-MIN('4CO멍텅(실측)'!O19+멍텅A늘림,'4CO멍텅(실측)'!N19+멍텅A늘림) + AR19 ),0),IF(ISNUMBER('4CO멍텅(실측)'!O19),IF(9-'4CO멍텅(실측)'!O19-멍텅A늘림+AR19&lt;AR19,AR19,9-'4CO멍텅(실측)'!O19-멍텅A늘림+AR19),0))</f>
        <v>0</v>
      </c>
      <c r="AR19" s="16"/>
      <c r="AS19" s="17">
        <f t="shared" si="18"/>
        <v>0.16464259140746543</v>
      </c>
      <c r="AT19" s="36">
        <f t="shared" si="19"/>
        <v>1.4367727112585271E-3</v>
      </c>
      <c r="AU19" s="36">
        <f t="shared" si="20"/>
        <v>1.4285153968103259E-3</v>
      </c>
      <c r="AV19" s="46" t="str">
        <f t="shared" si="21"/>
        <v>JD비대칭</v>
      </c>
      <c r="AW19" s="3">
        <f t="shared" si="22"/>
        <v>1678</v>
      </c>
      <c r="AX19" s="3">
        <f t="shared" si="23"/>
        <v>466.2</v>
      </c>
      <c r="AY19" s="3">
        <f t="shared" si="24"/>
        <v>426.2</v>
      </c>
      <c r="AZ19" s="3">
        <f t="shared" si="25"/>
        <v>2295</v>
      </c>
      <c r="BA19" s="3">
        <f t="shared" si="26"/>
        <v>428.2</v>
      </c>
      <c r="BB19" s="3">
        <f t="shared" si="27"/>
        <v>2295</v>
      </c>
      <c r="BC19">
        <f t="shared" si="28"/>
        <v>0</v>
      </c>
      <c r="BD19">
        <f t="shared" si="29"/>
        <v>0</v>
      </c>
      <c r="BE19" s="79">
        <f t="shared" si="30"/>
        <v>1</v>
      </c>
      <c r="BF19" s="83">
        <f>IF(소장="손상민",'4CO멍텅(실측)'!AG19,0)</f>
        <v>0</v>
      </c>
    </row>
    <row r="20" spans="1:58" ht="26.25" customHeight="1" x14ac:dyDescent="0.3">
      <c r="A20" s="4" t="str">
        <f>'4CO멍텅(실측)'!A20</f>
        <v>102-2</v>
      </c>
      <c r="B20" s="4" t="str">
        <f>'4CO멍텅(실측)'!B20&amp;"F"</f>
        <v>5F</v>
      </c>
      <c r="C20" s="4">
        <f>'4CO멍텅(실측)'!C20-CO4멍텅OP/2</f>
        <v>399</v>
      </c>
      <c r="D20" s="4">
        <f>'4CO멍텅(실측)'!D20</f>
        <v>800</v>
      </c>
      <c r="E20" s="4">
        <f>'4CO멍텅(실측)'!E20-CO4멍텅OP/2</f>
        <v>400</v>
      </c>
      <c r="F20" s="4">
        <f>'4CO멍텅(실측)'!F20-CO4멍텅R</f>
        <v>1600</v>
      </c>
      <c r="G20" s="4">
        <f>'4CO멍텅(실측)'!G20+MAX(AP20,AQ20)+IF(BE20=1,AD20,0)+CO4멍텅JBJD늘림치수</f>
        <v>342</v>
      </c>
      <c r="H20" s="4">
        <f>'4CO멍텅(실측)'!H20+MAX(AP20,AQ20)+IF(BE20=1,MAX(AD20,AF20),0)+CO4멍텅JBJD늘림치수</f>
        <v>386</v>
      </c>
      <c r="I20" s="4">
        <f>'4CO멍텅(실측)'!I20+MAX(AP20,AQ20)+IF(BE20=1,AF20,0)+CO4멍텅JBJD늘림치수</f>
        <v>341</v>
      </c>
      <c r="J20" s="4">
        <f>'4CO멍텅(실측)'!J20+AP20+IF(BE20=1,AD20,0)+CO4멍텅JB강제키움+CO4멍텅JBJD늘림치수</f>
        <v>342</v>
      </c>
      <c r="K20" s="4">
        <f>'4CO멍텅(실측)'!J20+AP20+IF(BE20=1,AE20,0)+CO4멍텅JB강제키움+CO4멍텅JBJD늘림치수-IF(CO4멍텅JB하부늘치=1,'4CO멍텅(실측)'!X20-'4CO멍텅(실측)'!Y20,0)</f>
        <v>341</v>
      </c>
      <c r="L20" s="4">
        <f>'4CO멍텅(실측)'!K20+AQ20+IF(BE20=1,AF20,0)+CO4멍텅JB강제키움+CO4멍텅JBJD늘림치수</f>
        <v>341</v>
      </c>
      <c r="M20" s="4">
        <f>'4CO멍텅(실측)'!K20+AQ20+IF(BE20=1,AG20,0)+CO4멍텅JB강제키움+CO4멍텅JBJD늘림치수-IF(CO4멍텅JB하부늘치=1,'4CO멍텅(실측)'!Z20-'4CO멍텅(실측)'!AA20,0)</f>
        <v>341</v>
      </c>
      <c r="N20" s="73">
        <f t="shared" si="11"/>
        <v>44</v>
      </c>
      <c r="O20" s="73">
        <f t="shared" si="12"/>
        <v>45</v>
      </c>
      <c r="P20" s="4">
        <f t="shared" si="13"/>
        <v>38.5</v>
      </c>
      <c r="Q20" s="4">
        <f t="shared" si="14"/>
        <v>38.5</v>
      </c>
      <c r="R20" s="4">
        <f>IF(T20&gt;0,'4CO멍텅(실측)'!L20+CO4멍텅C늘림,'4CO멍텅(실측)'!L20+1)</f>
        <v>40</v>
      </c>
      <c r="S20" s="4">
        <f>IF(U20&gt;0,'4CO멍텅(실측)'!M20+CO4멍텅C늘림,'4CO멍텅(실측)'!M20+1)</f>
        <v>40</v>
      </c>
      <c r="T20" s="4">
        <f>IF(ISNUMBER('4CO멍텅(실측)'!N20),'4CO멍텅(실측)'!N20+'4CO멍텅제작'!AP20+멍텅A늘림,0)</f>
        <v>18</v>
      </c>
      <c r="U20" s="4">
        <f>IF(ISNUMBER('4CO멍텅(실측)'!O20),'4CO멍텅(실측)'!O20+'4CO멍텅제작'!AQ20+멍텅A늘림,0)</f>
        <v>24</v>
      </c>
      <c r="V20" s="4">
        <f>'4CO멍텅(실측)'!P20-CO4멍텅기둥차감</f>
        <v>2305</v>
      </c>
      <c r="W20" s="4">
        <f>'4CO멍텅(실측)'!Q20-CO4멍텅기둥차감</f>
        <v>2290</v>
      </c>
      <c r="X20" s="4">
        <f>'4CO멍텅(실측)'!R20-CO4멍텅기둥차감</f>
        <v>2297</v>
      </c>
      <c r="Y20" s="4">
        <f>'4CO멍텅(실측)'!S20-CO4멍텅기둥차감</f>
        <v>2289</v>
      </c>
      <c r="Z20" s="4">
        <f>IF(ISNUMBER('4CO멍텅(실측)'!T20),IF(AA20&gt;0,'4CO멍텅(실측)'!T20+CO4멍텅U늘림,'4CO멍텅(실측)'!T20+1.2),0)</f>
        <v>40</v>
      </c>
      <c r="AA20" s="4">
        <f>IF(OR(CO4멍텅G="", CO4멍텅G=0),IF(ISNUMBER('4CO멍텅(실측)'!U20),IF('4CO멍텅(실측)'!U20+멍텅A늘림+MAX(AP20,AQ20)&gt;9,'4CO멍텅(실측)'!U20+멍텅A늘림+MAX(AP20,AQ20),'4CO멍텅(실측)'!U20+멍텅A늘림+MAX(AP20,AQ20)),0),CO4멍텅G)</f>
        <v>9</v>
      </c>
      <c r="AB20" s="4">
        <f>'4CO멍텅(실측)'!V20+뒷날개치수더함</f>
        <v>30</v>
      </c>
      <c r="AC20" s="4">
        <f>'4CO멍텅(실측)'!W20+뒷날개치수더함</f>
        <v>30</v>
      </c>
      <c r="AD20" s="13">
        <f>'4CO멍텅(실측)'!X20-CO4멍텅늘치차감</f>
        <v>7</v>
      </c>
      <c r="AE20" s="13">
        <f>IF(CO4멍텅JB하부늘치=1,AD20,'4CO멍텅(실측)'!Y20-CO4멍텅늘치차감)</f>
        <v>7</v>
      </c>
      <c r="AF20" s="13">
        <f>'4CO멍텅(실측)'!Z20-CO4멍텅늘치차감</f>
        <v>6</v>
      </c>
      <c r="AG20" s="13">
        <f>IF(CO4멍텅JB하부늘치=1,AF20,'4CO멍텅(실측)'!AA20-CO4멍텅늘치차감)</f>
        <v>6</v>
      </c>
      <c r="AH20" s="11" t="str">
        <f t="shared" si="15"/>
        <v>1677*460.2</v>
      </c>
      <c r="AI20" s="12" t="str">
        <f t="shared" si="16"/>
        <v>2305*425.2</v>
      </c>
      <c r="AJ20" s="10" t="str">
        <f t="shared" si="17"/>
        <v>2297*430.2</v>
      </c>
      <c r="AK20" s="4">
        <f>IF('4CO멍텅(실측)'!AB20&gt;5,'4CO멍텅(실측)'!AB20+뒷날개치수더함,'4CO멍텅(실측)'!AB20)</f>
        <v>20</v>
      </c>
      <c r="AL20" s="4">
        <f>'4CO멍텅(실측)'!AC20</f>
        <v>10</v>
      </c>
      <c r="AM20" s="4">
        <f>'4CO멍텅(실측)'!AD20</f>
        <v>10</v>
      </c>
      <c r="AN20" s="31">
        <f>IF('4CO멍텅(실측)'!AE20&gt;0,'4CO멍텅(실측)'!AE20-'4CO멍텅(실측)'!V20+1.2,0)</f>
        <v>6.2</v>
      </c>
      <c r="AO20" s="31">
        <f>IF('4CO멍텅(실측)'!AF20&gt;0,'4CO멍텅(실측)'!AF20-'4CO멍텅(실측)'!V20+1.2,0)</f>
        <v>6.2</v>
      </c>
      <c r="AP20" s="3">
        <f>IF(AND(ISNUMBER('4CO멍텅(실측)'!O20),ISNUMBER('4CO멍텅(실측)'!N20)),IF(ISNUMBER('4CO멍텅(실측)'!N20),IF(9-MIN('4CO멍텅(실측)'!N20+멍텅A늘림,'4CO멍텅(실측)'!O20+멍텅A늘림)+AR20&lt;AR20,AR20,9-MIN('4CO멍텅(실측)'!N20+멍텅A늘림,'4CO멍텅(실측)'!O20+멍텅A늘림) + AR20 ),0),IF(ISNUMBER('4CO멍텅(실측)'!N20),IF(9-'4CO멍텅(실측)'!N20-멍텅A늘림+AR20&lt;AR20,AR20,9-'4CO멍텅(실측)'!N20-멍텅A늘림+AR20),0))</f>
        <v>0</v>
      </c>
      <c r="AQ20" s="3">
        <f>IF(AND(ISNUMBER('4CO멍텅(실측)'!N20),ISNUMBER('4CO멍텅(실측)'!O20)),IF(ISNUMBER('4CO멍텅(실측)'!O20),IF(9-MIN('4CO멍텅(실측)'!O20+멍텅A늘림,'4CO멍텅(실측)'!N20+멍텅A늘림)+AR20&lt;AR20,AR20,9-MIN('4CO멍텅(실측)'!O20+멍텅A늘림,'4CO멍텅(실측)'!N20+멍텅A늘림) + AR20 ),0),IF(ISNUMBER('4CO멍텅(실측)'!O20),IF(9-'4CO멍텅(실측)'!O20-멍텅A늘림+AR20&lt;AR20,AR20,9-'4CO멍텅(실측)'!O20-멍텅A늘림+AR20),0))</f>
        <v>0</v>
      </c>
      <c r="AR20" s="16"/>
      <c r="AS20" s="17">
        <f t="shared" si="18"/>
        <v>8.3765699841541572E-2</v>
      </c>
      <c r="AT20" s="36">
        <f t="shared" si="19"/>
        <v>3.6549649013295493E-4</v>
      </c>
      <c r="AU20" s="36">
        <f t="shared" si="20"/>
        <v>3.6442778696255118E-4</v>
      </c>
      <c r="AV20" s="46" t="str">
        <f t="shared" si="21"/>
        <v>JD비대칭</v>
      </c>
      <c r="AW20" s="3">
        <f t="shared" si="22"/>
        <v>1677</v>
      </c>
      <c r="AX20" s="3">
        <f t="shared" si="23"/>
        <v>460.2</v>
      </c>
      <c r="AY20" s="3">
        <f t="shared" si="24"/>
        <v>425.2</v>
      </c>
      <c r="AZ20" s="3">
        <f t="shared" si="25"/>
        <v>2305</v>
      </c>
      <c r="BA20" s="3">
        <f t="shared" si="26"/>
        <v>430.2</v>
      </c>
      <c r="BB20" s="3">
        <f t="shared" si="27"/>
        <v>2297</v>
      </c>
      <c r="BC20">
        <f t="shared" si="28"/>
        <v>0</v>
      </c>
      <c r="BD20">
        <f t="shared" si="29"/>
        <v>0</v>
      </c>
      <c r="BE20" s="79">
        <f t="shared" si="30"/>
        <v>1</v>
      </c>
      <c r="BF20" s="83">
        <f>IF(소장="손상민",'4CO멍텅(실측)'!AG20,0)</f>
        <v>0</v>
      </c>
    </row>
    <row r="21" spans="1:58" ht="26.25" customHeight="1" x14ac:dyDescent="0.3">
      <c r="A21" s="4" t="str">
        <f>'4CO멍텅(실측)'!A21</f>
        <v>102-2</v>
      </c>
      <c r="B21" s="4" t="str">
        <f>'4CO멍텅(실측)'!B21&amp;"F"</f>
        <v>4F</v>
      </c>
      <c r="C21" s="4">
        <f>'4CO멍텅(실측)'!C21-CO4멍텅OP/2</f>
        <v>396</v>
      </c>
      <c r="D21" s="4">
        <f>'4CO멍텅(실측)'!D21</f>
        <v>803</v>
      </c>
      <c r="E21" s="4">
        <f>'4CO멍텅(실측)'!E21-CO4멍텅OP/2</f>
        <v>399</v>
      </c>
      <c r="F21" s="4">
        <f>'4CO멍텅(실측)'!F21-CO4멍텅R</f>
        <v>1601</v>
      </c>
      <c r="G21" s="4">
        <f>'4CO멍텅(실측)'!G21+MAX(AP21,AQ21)+IF(BE21=1,AD21,0)+CO4멍텅JBJD늘림치수</f>
        <v>339</v>
      </c>
      <c r="H21" s="4">
        <f>'4CO멍텅(실측)'!H21+MAX(AP21,AQ21)+IF(BE21=1,MAX(AD21,AF21),0)+CO4멍텅JBJD늘림치수</f>
        <v>383</v>
      </c>
      <c r="I21" s="4">
        <f>'4CO멍텅(실측)'!I21+MAX(AP21,AQ21)+IF(BE21=1,AF21,0)+CO4멍텅JBJD늘림치수</f>
        <v>339</v>
      </c>
      <c r="J21" s="4">
        <f>'4CO멍텅(실측)'!J21+AP21+IF(BE21=1,AD21,0)+CO4멍텅JB강제키움+CO4멍텅JBJD늘림치수</f>
        <v>339</v>
      </c>
      <c r="K21" s="4">
        <f>'4CO멍텅(실측)'!J21+AP21+IF(BE21=1,AE21,0)+CO4멍텅JB강제키움+CO4멍텅JBJD늘림치수-IF(CO4멍텅JB하부늘치=1,'4CO멍텅(실측)'!X21-'4CO멍텅(실측)'!Y21,0)</f>
        <v>339</v>
      </c>
      <c r="L21" s="4">
        <f>'4CO멍텅(실측)'!K21+AQ21+IF(BE21=1,AF21,0)+CO4멍텅JB강제키움+CO4멍텅JBJD늘림치수</f>
        <v>339</v>
      </c>
      <c r="M21" s="4">
        <f>'4CO멍텅(실측)'!K21+AQ21+IF(BE21=1,AG21,0)+CO4멍텅JB강제키움+CO4멍텅JBJD늘림치수-IF(CO4멍텅JB하부늘치=1,'4CO멍텅(실측)'!Z21-'4CO멍텅(실측)'!AA21,0)</f>
        <v>339</v>
      </c>
      <c r="N21" s="73">
        <f t="shared" si="11"/>
        <v>44</v>
      </c>
      <c r="O21" s="73">
        <f t="shared" si="12"/>
        <v>44</v>
      </c>
      <c r="P21" s="4">
        <f t="shared" si="13"/>
        <v>38.5</v>
      </c>
      <c r="Q21" s="4">
        <f t="shared" si="14"/>
        <v>38.5</v>
      </c>
      <c r="R21" s="4">
        <f>IF(T21&gt;0,'4CO멍텅(실측)'!L21+CO4멍텅C늘림,'4CO멍텅(실측)'!L21+1)</f>
        <v>40</v>
      </c>
      <c r="S21" s="4">
        <f>IF(U21&gt;0,'4CO멍텅(실측)'!M21+CO4멍텅C늘림,'4CO멍텅(실측)'!M21+1)</f>
        <v>40</v>
      </c>
      <c r="T21" s="4">
        <f>IF(ISNUMBER('4CO멍텅(실측)'!N21),'4CO멍텅(실측)'!N21+'4CO멍텅제작'!AP21+멍텅A늘림,0)</f>
        <v>19</v>
      </c>
      <c r="U21" s="4">
        <f>IF(ISNUMBER('4CO멍텅(실측)'!O21),'4CO멍텅(실측)'!O21+'4CO멍텅제작'!AQ21+멍텅A늘림,0)</f>
        <v>28</v>
      </c>
      <c r="V21" s="4">
        <f>'4CO멍텅(실측)'!P21-CO4멍텅기둥차감</f>
        <v>2295</v>
      </c>
      <c r="W21" s="4">
        <f>'4CO멍텅(실측)'!Q21-CO4멍텅기둥차감</f>
        <v>2290</v>
      </c>
      <c r="X21" s="4">
        <f>'4CO멍텅(실측)'!R21-CO4멍텅기둥차감</f>
        <v>2295</v>
      </c>
      <c r="Y21" s="4">
        <f>'4CO멍텅(실측)'!S21-CO4멍텅기둥차감</f>
        <v>2290</v>
      </c>
      <c r="Z21" s="4">
        <f>IF(ISNUMBER('4CO멍텅(실측)'!T21),IF(AA21&gt;0,'4CO멍텅(실측)'!T21+CO4멍텅U늘림,'4CO멍텅(실측)'!T21+1.2),0)</f>
        <v>40</v>
      </c>
      <c r="AA21" s="4">
        <f>IF(OR(CO4멍텅G="", CO4멍텅G=0),IF(ISNUMBER('4CO멍텅(실측)'!U21),IF('4CO멍텅(실측)'!U21+멍텅A늘림+MAX(AP21,AQ21)&gt;9,'4CO멍텅(실측)'!U21+멍텅A늘림+MAX(AP21,AQ21),'4CO멍텅(실측)'!U21+멍텅A늘림+MAX(AP21,AQ21)),0),CO4멍텅G)</f>
        <v>9</v>
      </c>
      <c r="AB21" s="4">
        <f>'4CO멍텅(실측)'!V21+뒷날개치수더함</f>
        <v>30</v>
      </c>
      <c r="AC21" s="4">
        <f>'4CO멍텅(실측)'!W21+뒷날개치수더함</f>
        <v>30</v>
      </c>
      <c r="AD21" s="13">
        <f>'4CO멍텅(실측)'!X21-CO4멍텅늘치차감</f>
        <v>6</v>
      </c>
      <c r="AE21" s="13">
        <f>IF(CO4멍텅JB하부늘치=1,AD21,'4CO멍텅(실측)'!Y21-CO4멍텅늘치차감)</f>
        <v>6</v>
      </c>
      <c r="AF21" s="13">
        <f>'4CO멍텅(실측)'!Z21-CO4멍텅늘치차감</f>
        <v>6</v>
      </c>
      <c r="AG21" s="13">
        <f>IF(CO4멍텅JB하부늘치=1,AF21,'4CO멍텅(실측)'!AA21-CO4멍텅늘치차감)</f>
        <v>6</v>
      </c>
      <c r="AH21" s="11" t="str">
        <f t="shared" si="15"/>
        <v>1678*457.2</v>
      </c>
      <c r="AI21" s="12" t="str">
        <f t="shared" si="16"/>
        <v>2295*423.2</v>
      </c>
      <c r="AJ21" s="10" t="str">
        <f t="shared" si="17"/>
        <v>2295*432.2</v>
      </c>
      <c r="AK21" s="4">
        <f>IF('4CO멍텅(실측)'!AB21&gt;5,'4CO멍텅(실측)'!AB21+뒷날개치수더함,'4CO멍텅(실측)'!AB21)</f>
        <v>20</v>
      </c>
      <c r="AL21" s="4">
        <f>'4CO멍텅(실측)'!AC21</f>
        <v>10</v>
      </c>
      <c r="AM21" s="4">
        <f>'4CO멍텅(실측)'!AD21</f>
        <v>10</v>
      </c>
      <c r="AN21" s="31">
        <f>IF('4CO멍텅(실측)'!AE21&gt;0,'4CO멍텅(실측)'!AE21-'4CO멍텅(실측)'!V21+1.2,0)</f>
        <v>5.2</v>
      </c>
      <c r="AO21" s="31">
        <f>IF('4CO멍텅(실측)'!AF21&gt;0,'4CO멍텅(실측)'!AF21-'4CO멍텅(실측)'!V21+1.2,0)</f>
        <v>5.2</v>
      </c>
      <c r="AP21" s="3">
        <f>IF(AND(ISNUMBER('4CO멍텅(실측)'!O21),ISNUMBER('4CO멍텅(실측)'!N21)),IF(ISNUMBER('4CO멍텅(실측)'!N21),IF(9-MIN('4CO멍텅(실측)'!N21+멍텅A늘림,'4CO멍텅(실측)'!O21+멍텅A늘림)+AR21&lt;AR21,AR21,9-MIN('4CO멍텅(실측)'!N21+멍텅A늘림,'4CO멍텅(실측)'!O21+멍텅A늘림) + AR21 ),0),IF(ISNUMBER('4CO멍텅(실측)'!N21),IF(9-'4CO멍텅(실측)'!N21-멍텅A늘림+AR21&lt;AR21,AR21,9-'4CO멍텅(실측)'!N21-멍텅A늘림+AR21),0))</f>
        <v>0</v>
      </c>
      <c r="AQ21" s="3">
        <f>IF(AND(ISNUMBER('4CO멍텅(실측)'!N21),ISNUMBER('4CO멍텅(실측)'!O21)),IF(ISNUMBER('4CO멍텅(실측)'!O21),IF(9-MIN('4CO멍텅(실측)'!O21+멍텅A늘림,'4CO멍텅(실측)'!N21+멍텅A늘림)+AR21&lt;AR21,AR21,9-MIN('4CO멍텅(실측)'!O21+멍텅A늘림,'4CO멍텅(실측)'!N21+멍텅A늘림) + AR21 ),0),IF(ISNUMBER('4CO멍텅(실측)'!O21),IF(9-'4CO멍텅(실측)'!O21-멍텅A늘림+AR21&lt;AR21,AR21,9-'4CO멍텅(실측)'!O21-멍텅A늘림+AR21),0))</f>
        <v>0</v>
      </c>
      <c r="AR21" s="16"/>
      <c r="AS21" s="17">
        <f t="shared" si="18"/>
        <v>0.25351949377202371</v>
      </c>
      <c r="AT21" s="36">
        <f t="shared" si="19"/>
        <v>3.3185353415206009E-3</v>
      </c>
      <c r="AU21" s="36">
        <f t="shared" si="20"/>
        <v>3.3185353415206009E-3</v>
      </c>
      <c r="AV21" s="46" t="str">
        <f t="shared" si="21"/>
        <v/>
      </c>
      <c r="AW21" s="3">
        <f t="shared" si="22"/>
        <v>1678</v>
      </c>
      <c r="AX21" s="3">
        <f t="shared" si="23"/>
        <v>457.2</v>
      </c>
      <c r="AY21" s="3">
        <f t="shared" si="24"/>
        <v>423.2</v>
      </c>
      <c r="AZ21" s="3">
        <f t="shared" si="25"/>
        <v>2295</v>
      </c>
      <c r="BA21" s="3">
        <f t="shared" si="26"/>
        <v>432.2</v>
      </c>
      <c r="BB21" s="3">
        <f t="shared" si="27"/>
        <v>2295</v>
      </c>
      <c r="BC21">
        <f t="shared" si="28"/>
        <v>0</v>
      </c>
      <c r="BD21">
        <f t="shared" si="29"/>
        <v>0</v>
      </c>
      <c r="BE21" s="79">
        <f t="shared" si="30"/>
        <v>1</v>
      </c>
      <c r="BF21" s="83">
        <f>IF(소장="손상민",'4CO멍텅(실측)'!AG21,0)</f>
        <v>0</v>
      </c>
    </row>
    <row r="22" spans="1:58" ht="26.25" customHeight="1" x14ac:dyDescent="0.3">
      <c r="A22" s="4" t="str">
        <f>'4CO멍텅(실측)'!A22</f>
        <v>102-2</v>
      </c>
      <c r="B22" s="4" t="str">
        <f>'4CO멍텅(실측)'!B22&amp;"F"</f>
        <v>3F</v>
      </c>
      <c r="C22" s="4">
        <f>'4CO멍텅(실측)'!C22-CO4멍텅OP/2</f>
        <v>402</v>
      </c>
      <c r="D22" s="4">
        <f>'4CO멍텅(실측)'!D22</f>
        <v>800</v>
      </c>
      <c r="E22" s="4">
        <f>'4CO멍텅(실측)'!E22-CO4멍텅OP/2</f>
        <v>400</v>
      </c>
      <c r="F22" s="4">
        <f>'4CO멍텅(실측)'!F22-CO4멍텅R</f>
        <v>1601</v>
      </c>
      <c r="G22" s="4">
        <f>'4CO멍텅(실측)'!G22+MAX(AP22,AQ22)+IF(BE22=1,AD22,0)+CO4멍텅JBJD늘림치수</f>
        <v>339</v>
      </c>
      <c r="H22" s="4">
        <f>'4CO멍텅(실측)'!H22+MAX(AP22,AQ22)+IF(BE22=1,MAX(AD22,AF22),0)+CO4멍텅JBJD늘림치수</f>
        <v>383</v>
      </c>
      <c r="I22" s="4">
        <f>'4CO멍텅(실측)'!I22+MAX(AP22,AQ22)+IF(BE22=1,AF22,0)+CO4멍텅JBJD늘림치수</f>
        <v>339</v>
      </c>
      <c r="J22" s="4">
        <f>'4CO멍텅(실측)'!J22+AP22+IF(BE22=1,AD22,0)+CO4멍텅JB강제키움+CO4멍텅JBJD늘림치수</f>
        <v>339</v>
      </c>
      <c r="K22" s="4">
        <f>'4CO멍텅(실측)'!J22+AP22+IF(BE22=1,AE22,0)+CO4멍텅JB강제키움+CO4멍텅JBJD늘림치수-IF(CO4멍텅JB하부늘치=1,'4CO멍텅(실측)'!X22-'4CO멍텅(실측)'!Y22,0)</f>
        <v>339</v>
      </c>
      <c r="L22" s="4">
        <f>'4CO멍텅(실측)'!K22+AQ22+IF(BE22=1,AF22,0)+CO4멍텅JB강제키움+CO4멍텅JBJD늘림치수</f>
        <v>339</v>
      </c>
      <c r="M22" s="4">
        <f>'4CO멍텅(실측)'!K22+AQ22+IF(BE22=1,AG22,0)+CO4멍텅JB강제키움+CO4멍텅JBJD늘림치수-IF(CO4멍텅JB하부늘치=1,'4CO멍텅(실측)'!Z22-'4CO멍텅(실측)'!AA22,0)</f>
        <v>339</v>
      </c>
      <c r="N22" s="73">
        <f t="shared" si="11"/>
        <v>44</v>
      </c>
      <c r="O22" s="73">
        <f t="shared" si="12"/>
        <v>44</v>
      </c>
      <c r="P22" s="4">
        <f t="shared" si="13"/>
        <v>38.5</v>
      </c>
      <c r="Q22" s="4">
        <f t="shared" si="14"/>
        <v>38.5</v>
      </c>
      <c r="R22" s="4">
        <f>IF(T22&gt;0,'4CO멍텅(실측)'!L22+CO4멍텅C늘림,'4CO멍텅(실측)'!L22+1)</f>
        <v>40</v>
      </c>
      <c r="S22" s="4">
        <f>IF(U22&gt;0,'4CO멍텅(실측)'!M22+CO4멍텅C늘림,'4CO멍텅(실측)'!M22+1)</f>
        <v>40</v>
      </c>
      <c r="T22" s="4">
        <f>IF(ISNUMBER('4CO멍텅(실측)'!N22),'4CO멍텅(실측)'!N22+'4CO멍텅제작'!AP22+멍텅A늘림,0)</f>
        <v>16</v>
      </c>
      <c r="U22" s="4">
        <f>IF(ISNUMBER('4CO멍텅(실측)'!O22),'4CO멍텅(실측)'!O22+'4CO멍텅제작'!AQ22+멍텅A늘림,0)</f>
        <v>21</v>
      </c>
      <c r="V22" s="4">
        <f>'4CO멍텅(실측)'!P22-CO4멍텅기둥차감</f>
        <v>2302</v>
      </c>
      <c r="W22" s="4">
        <f>'4CO멍텅(실측)'!Q22-CO4멍텅기둥차감</f>
        <v>2290</v>
      </c>
      <c r="X22" s="4">
        <f>'4CO멍텅(실측)'!R22-CO4멍텅기둥차감</f>
        <v>2299</v>
      </c>
      <c r="Y22" s="4">
        <f>'4CO멍텅(실측)'!S22-CO4멍텅기둥차감</f>
        <v>2287</v>
      </c>
      <c r="Z22" s="4">
        <f>IF(ISNUMBER('4CO멍텅(실측)'!T22),IF(AA22&gt;0,'4CO멍텅(실측)'!T22+CO4멍텅U늘림,'4CO멍텅(실측)'!T22+1.2),0)</f>
        <v>40</v>
      </c>
      <c r="AA22" s="4">
        <f>IF(OR(CO4멍텅G="", CO4멍텅G=0),IF(ISNUMBER('4CO멍텅(실측)'!U22),IF('4CO멍텅(실측)'!U22+멍텅A늘림+MAX(AP22,AQ22)&gt;9,'4CO멍텅(실측)'!U22+멍텅A늘림+MAX(AP22,AQ22),'4CO멍텅(실측)'!U22+멍텅A늘림+MAX(AP22,AQ22)),0),CO4멍텅G)</f>
        <v>9</v>
      </c>
      <c r="AB22" s="4">
        <f>'4CO멍텅(실측)'!V22+뒷날개치수더함</f>
        <v>30</v>
      </c>
      <c r="AC22" s="4">
        <f>'4CO멍텅(실측)'!W22+뒷날개치수더함</f>
        <v>30</v>
      </c>
      <c r="AD22" s="13">
        <f>'4CO멍텅(실측)'!X22-CO4멍텅늘치차감</f>
        <v>6</v>
      </c>
      <c r="AE22" s="13">
        <f>IF(CO4멍텅JB하부늘치=1,AD22,'4CO멍텅(실측)'!Y22-CO4멍텅늘치차감)</f>
        <v>6</v>
      </c>
      <c r="AF22" s="13">
        <f>'4CO멍텅(실측)'!Z22-CO4멍텅늘치차감</f>
        <v>6</v>
      </c>
      <c r="AG22" s="13">
        <f>IF(CO4멍텅JB하부늘치=1,AF22,'4CO멍텅(실측)'!AA22-CO4멍텅늘치차감)</f>
        <v>6</v>
      </c>
      <c r="AH22" s="11" t="str">
        <f t="shared" si="15"/>
        <v>1678*457.2</v>
      </c>
      <c r="AI22" s="12" t="str">
        <f t="shared" si="16"/>
        <v>2302*420.2</v>
      </c>
      <c r="AJ22" s="10" t="str">
        <f t="shared" si="17"/>
        <v>2299*425.2</v>
      </c>
      <c r="AK22" s="4">
        <f>IF('4CO멍텅(실측)'!AB22&gt;5,'4CO멍텅(실측)'!AB22+뒷날개치수더함,'4CO멍텅(실측)'!AB22)</f>
        <v>20</v>
      </c>
      <c r="AL22" s="4">
        <f>'4CO멍텅(실측)'!AC22</f>
        <v>10</v>
      </c>
      <c r="AM22" s="4">
        <f>'4CO멍텅(실측)'!AD22</f>
        <v>10</v>
      </c>
      <c r="AN22" s="31">
        <f>IF('4CO멍텅(실측)'!AE22&gt;0,'4CO멍텅(실측)'!AE22-'4CO멍텅(실측)'!V22+1.2,0)</f>
        <v>9.1999999999999993</v>
      </c>
      <c r="AO22" s="31">
        <f>IF('4CO멍텅(실측)'!AF22&gt;0,'4CO멍텅(실측)'!AF22-'4CO멍텅(실측)'!V22+1.2,0)</f>
        <v>5.2</v>
      </c>
      <c r="AP22" s="3">
        <f>IF(AND(ISNUMBER('4CO멍텅(실측)'!O22),ISNUMBER('4CO멍텅(실측)'!N22)),IF(ISNUMBER('4CO멍텅(실측)'!N22),IF(9-MIN('4CO멍텅(실측)'!N22+멍텅A늘림,'4CO멍텅(실측)'!O22+멍텅A늘림)+AR22&lt;AR22,AR22,9-MIN('4CO멍텅(실측)'!N22+멍텅A늘림,'4CO멍텅(실측)'!O22+멍텅A늘림) + AR22 ),0),IF(ISNUMBER('4CO멍텅(실측)'!N22),IF(9-'4CO멍텅(실측)'!N22-멍텅A늘림+AR22&lt;AR22,AR22,9-'4CO멍텅(실측)'!N22-멍텅A늘림+AR22),0))</f>
        <v>0</v>
      </c>
      <c r="AQ22" s="3">
        <f>IF(AND(ISNUMBER('4CO멍텅(실측)'!N22),ISNUMBER('4CO멍텅(실측)'!O22)),IF(ISNUMBER('4CO멍텅(실측)'!O22),IF(9-MIN('4CO멍텅(실측)'!O22+멍텅A늘림,'4CO멍텅(실측)'!N22+멍텅A늘림)+AR22&lt;AR22,AR22,9-MIN('4CO멍텅(실측)'!O22+멍텅A늘림,'4CO멍텅(실측)'!N22+멍텅A늘림) + AR22 ),0),IF(ISNUMBER('4CO멍텅(실측)'!O22),IF(9-'4CO멍텅(실측)'!O22-멍텅A늘림+AR22&lt;AR22,AR22,9-'4CO멍텅(실측)'!O22-멍텅A늘림+AR22),0))</f>
        <v>0</v>
      </c>
      <c r="AR22" s="16"/>
      <c r="AS22" s="17">
        <f t="shared" si="18"/>
        <v>-8.4506988150316528E-2</v>
      </c>
      <c r="AT22" s="36">
        <f t="shared" si="19"/>
        <v>3.6873096183853704E-4</v>
      </c>
      <c r="AU22" s="36">
        <f t="shared" si="20"/>
        <v>3.6873096183853704E-4</v>
      </c>
      <c r="AV22" s="46" t="str">
        <f t="shared" si="21"/>
        <v/>
      </c>
      <c r="AW22" s="3">
        <f t="shared" si="22"/>
        <v>1678</v>
      </c>
      <c r="AX22" s="3">
        <f t="shared" si="23"/>
        <v>457.2</v>
      </c>
      <c r="AY22" s="3">
        <f t="shared" si="24"/>
        <v>420.2</v>
      </c>
      <c r="AZ22" s="3">
        <f t="shared" si="25"/>
        <v>2302</v>
      </c>
      <c r="BA22" s="3">
        <f t="shared" si="26"/>
        <v>425.2</v>
      </c>
      <c r="BB22" s="3">
        <f t="shared" si="27"/>
        <v>2299</v>
      </c>
      <c r="BC22">
        <f t="shared" si="28"/>
        <v>0</v>
      </c>
      <c r="BD22">
        <f t="shared" si="29"/>
        <v>0</v>
      </c>
      <c r="BE22" s="79">
        <f t="shared" si="30"/>
        <v>1</v>
      </c>
      <c r="BF22" s="83">
        <f>IF(소장="손상민",'4CO멍텅(실측)'!AG22,0)</f>
        <v>0</v>
      </c>
    </row>
    <row r="23" spans="1:58" ht="26.25" customHeight="1" x14ac:dyDescent="0.3">
      <c r="A23" s="4" t="str">
        <f>'4CO멍텅(실측)'!A23</f>
        <v>102-2</v>
      </c>
      <c r="B23" s="4" t="str">
        <f>'4CO멍텅(실측)'!B23&amp;"F"</f>
        <v>2F</v>
      </c>
      <c r="C23" s="4">
        <f>'4CO멍텅(실측)'!C23-CO4멍텅OP/2</f>
        <v>400</v>
      </c>
      <c r="D23" s="4">
        <f>'4CO멍텅(실측)'!D23</f>
        <v>800</v>
      </c>
      <c r="E23" s="4">
        <f>'4CO멍텅(실측)'!E23-CO4멍텅OP/2</f>
        <v>400</v>
      </c>
      <c r="F23" s="4">
        <f>'4CO멍텅(실측)'!F23-CO4멍텅R</f>
        <v>1600</v>
      </c>
      <c r="G23" s="4">
        <f>'4CO멍텅(실측)'!G23+MAX(AP23,AQ23)+IF(BE23=1,AD23,0)+CO4멍텅JBJD늘림치수</f>
        <v>336</v>
      </c>
      <c r="H23" s="4">
        <f>'4CO멍텅(실측)'!H23+MAX(AP23,AQ23)+IF(BE23=1,MAX(AD23,AF23),0)+CO4멍텅JBJD늘림치수</f>
        <v>380</v>
      </c>
      <c r="I23" s="4">
        <f>'4CO멍텅(실측)'!I23+MAX(AP23,AQ23)+IF(BE23=1,AF23,0)+CO4멍텅JBJD늘림치수</f>
        <v>336</v>
      </c>
      <c r="J23" s="4">
        <f>'4CO멍텅(실측)'!J23+AP23+IF(BE23=1,AD23,0)+CO4멍텅JB강제키움+CO4멍텅JBJD늘림치수</f>
        <v>336</v>
      </c>
      <c r="K23" s="4">
        <f>'4CO멍텅(실측)'!J23+AP23+IF(BE23=1,AE23,0)+CO4멍텅JB강제키움+CO4멍텅JBJD늘림치수-IF(CO4멍텅JB하부늘치=1,'4CO멍텅(실측)'!X23-'4CO멍텅(실측)'!Y23,0)</f>
        <v>336</v>
      </c>
      <c r="L23" s="4">
        <f>'4CO멍텅(실측)'!K23+AQ23+IF(BE23=1,AF23,0)+CO4멍텅JB강제키움+CO4멍텅JBJD늘림치수</f>
        <v>336</v>
      </c>
      <c r="M23" s="4">
        <f>'4CO멍텅(실측)'!K23+AQ23+IF(BE23=1,AG23,0)+CO4멍텅JB강제키움+CO4멍텅JBJD늘림치수-IF(CO4멍텅JB하부늘치=1,'4CO멍텅(실측)'!Z23-'4CO멍텅(실측)'!AA23,0)</f>
        <v>336</v>
      </c>
      <c r="N23" s="73">
        <f t="shared" si="11"/>
        <v>44</v>
      </c>
      <c r="O23" s="73">
        <f t="shared" si="12"/>
        <v>44</v>
      </c>
      <c r="P23" s="4">
        <f t="shared" si="13"/>
        <v>38.5</v>
      </c>
      <c r="Q23" s="4">
        <f t="shared" si="14"/>
        <v>38.5</v>
      </c>
      <c r="R23" s="4">
        <f>IF(T23&gt;0,'4CO멍텅(실측)'!L23+CO4멍텅C늘림,'4CO멍텅(실측)'!L23+1)</f>
        <v>40</v>
      </c>
      <c r="S23" s="4">
        <f>IF(U23&gt;0,'4CO멍텅(실측)'!M23+CO4멍텅C늘림,'4CO멍텅(실측)'!M23+1)</f>
        <v>40</v>
      </c>
      <c r="T23" s="4">
        <f>IF(ISNUMBER('4CO멍텅(실측)'!N23),'4CO멍텅(실측)'!N23+'4CO멍텅제작'!AP23+멍텅A늘림,0)</f>
        <v>18</v>
      </c>
      <c r="U23" s="4">
        <f>IF(ISNUMBER('4CO멍텅(실측)'!O23),'4CO멍텅(실측)'!O23+'4CO멍텅제작'!AQ23+멍텅A늘림,0)</f>
        <v>18</v>
      </c>
      <c r="V23" s="4">
        <f>'4CO멍텅(실측)'!P23-CO4멍텅기둥차감</f>
        <v>2296</v>
      </c>
      <c r="W23" s="4">
        <f>'4CO멍텅(실측)'!Q23-CO4멍텅기둥차감</f>
        <v>2290</v>
      </c>
      <c r="X23" s="4">
        <f>'4CO멍텅(실측)'!R23-CO4멍텅기둥차감</f>
        <v>2295</v>
      </c>
      <c r="Y23" s="4">
        <f>'4CO멍텅(실측)'!S23-CO4멍텅기둥차감</f>
        <v>2290</v>
      </c>
      <c r="Z23" s="4">
        <f>IF(ISNUMBER('4CO멍텅(실측)'!T23),IF(AA23&gt;0,'4CO멍텅(실측)'!T23+CO4멍텅U늘림,'4CO멍텅(실측)'!T23+1.2),0)</f>
        <v>40</v>
      </c>
      <c r="AA23" s="4">
        <f>IF(OR(CO4멍텅G="", CO4멍텅G=0),IF(ISNUMBER('4CO멍텅(실측)'!U23),IF('4CO멍텅(실측)'!U23+멍텅A늘림+MAX(AP23,AQ23)&gt;9,'4CO멍텅(실측)'!U23+멍텅A늘림+MAX(AP23,AQ23),'4CO멍텅(실측)'!U23+멍텅A늘림+MAX(AP23,AQ23)),0),CO4멍텅G)</f>
        <v>9</v>
      </c>
      <c r="AB23" s="4">
        <f>'4CO멍텅(실측)'!V23+뒷날개치수더함</f>
        <v>30</v>
      </c>
      <c r="AC23" s="4">
        <f>'4CO멍텅(실측)'!W23+뒷날개치수더함</f>
        <v>30</v>
      </c>
      <c r="AD23" s="13">
        <f>'4CO멍텅(실측)'!X23-CO4멍텅늘치차감</f>
        <v>6</v>
      </c>
      <c r="AE23" s="13">
        <f>IF(CO4멍텅JB하부늘치=1,AD23,'4CO멍텅(실측)'!Y23-CO4멍텅늘치차감)</f>
        <v>6</v>
      </c>
      <c r="AF23" s="13">
        <f>'4CO멍텅(실측)'!Z23-CO4멍텅늘치차감</f>
        <v>6</v>
      </c>
      <c r="AG23" s="13">
        <f>IF(CO4멍텅JB하부늘치=1,AF23,'4CO멍텅(실측)'!AA23-CO4멍텅늘치차감)</f>
        <v>6</v>
      </c>
      <c r="AH23" s="11" t="str">
        <f t="shared" si="15"/>
        <v>1677*454.2</v>
      </c>
      <c r="AI23" s="12" t="str">
        <f t="shared" si="16"/>
        <v>2296*419.2</v>
      </c>
      <c r="AJ23" s="10" t="str">
        <f t="shared" si="17"/>
        <v>2295*419.2</v>
      </c>
      <c r="AK23" s="4">
        <f>IF('4CO멍텅(실측)'!AB23&gt;5,'4CO멍텅(실측)'!AB23+뒷날개치수더함,'4CO멍텅(실측)'!AB23)</f>
        <v>20</v>
      </c>
      <c r="AL23" s="4">
        <f>'4CO멍텅(실측)'!AC23</f>
        <v>10</v>
      </c>
      <c r="AM23" s="4">
        <f>'4CO멍텅(실측)'!AD23</f>
        <v>10</v>
      </c>
      <c r="AN23" s="31">
        <f>IF('4CO멍텅(실측)'!AE23&gt;0,'4CO멍텅(실측)'!AE23-'4CO멍텅(실측)'!V23+1.2,0)</f>
        <v>5.2</v>
      </c>
      <c r="AO23" s="31">
        <f>IF('4CO멍텅(실측)'!AF23&gt;0,'4CO멍텅(실측)'!AF23-'4CO멍텅(실측)'!V23+1.2,0)</f>
        <v>6.2</v>
      </c>
      <c r="AP23" s="3">
        <f>IF(AND(ISNUMBER('4CO멍텅(실측)'!O23),ISNUMBER('4CO멍텅(실측)'!N23)),IF(ISNUMBER('4CO멍텅(실측)'!N23),IF(9-MIN('4CO멍텅(실측)'!N23+멍텅A늘림,'4CO멍텅(실측)'!O23+멍텅A늘림)+AR23&lt;AR23,AR23,9-MIN('4CO멍텅(실측)'!N23+멍텅A늘림,'4CO멍텅(실측)'!O23+멍텅A늘림) + AR23 ),0),IF(ISNUMBER('4CO멍텅(실측)'!N23),IF(9-'4CO멍텅(실측)'!N23-멍텅A늘림+AR23&lt;AR23,AR23,9-'4CO멍텅(실측)'!N23-멍텅A늘림+AR23),0))</f>
        <v>0</v>
      </c>
      <c r="AQ23" s="3">
        <f>IF(AND(ISNUMBER('4CO멍텅(실측)'!N23),ISNUMBER('4CO멍텅(실측)'!O23)),IF(ISNUMBER('4CO멍텅(실측)'!O23),IF(9-MIN('4CO멍텅(실측)'!O23+멍텅A늘림,'4CO멍텅(실측)'!N23+멍텅A늘림)+AR23&lt;AR23,AR23,9-MIN('4CO멍텅(실측)'!O23+멍텅A늘림,'4CO멍텅(실측)'!N23+멍텅A늘림) + AR23 ),0),IF(ISNUMBER('4CO멍텅(실측)'!O23),IF(9-'4CO멍텅(실측)'!O23-멍텅A늘림+AR23&lt;AR23,AR23,9-'4CO멍텅(실측)'!O23-멍텅A늘림+AR23),0))</f>
        <v>0</v>
      </c>
      <c r="AR23" s="16"/>
      <c r="AS23" s="17">
        <f t="shared" si="18"/>
        <v>0</v>
      </c>
      <c r="AT23" s="36">
        <f t="shared" si="19"/>
        <v>0</v>
      </c>
      <c r="AU23" s="36">
        <f t="shared" si="20"/>
        <v>0</v>
      </c>
      <c r="AV23" s="46" t="str">
        <f t="shared" si="21"/>
        <v/>
      </c>
      <c r="AW23" s="3">
        <f t="shared" si="22"/>
        <v>1677</v>
      </c>
      <c r="AX23" s="3">
        <f t="shared" si="23"/>
        <v>454.2</v>
      </c>
      <c r="AY23" s="3">
        <f t="shared" si="24"/>
        <v>419.2</v>
      </c>
      <c r="AZ23" s="3">
        <f t="shared" si="25"/>
        <v>2296</v>
      </c>
      <c r="BA23" s="3">
        <f t="shared" si="26"/>
        <v>419.2</v>
      </c>
      <c r="BB23" s="3">
        <f t="shared" si="27"/>
        <v>2295</v>
      </c>
      <c r="BC23">
        <f t="shared" si="28"/>
        <v>0</v>
      </c>
      <c r="BD23">
        <f t="shared" si="29"/>
        <v>0</v>
      </c>
      <c r="BE23" s="79">
        <f t="shared" si="30"/>
        <v>1</v>
      </c>
      <c r="BF23" s="83">
        <f>IF(소장="손상민",'4CO멍텅(실측)'!AG23,0)</f>
        <v>0</v>
      </c>
    </row>
    <row r="24" spans="1:58" ht="26.25" customHeight="1" x14ac:dyDescent="0.3">
      <c r="A24" s="4" t="str">
        <f>'4CO멍텅(실측)'!A24</f>
        <v>102-2</v>
      </c>
      <c r="B24" s="4" t="str">
        <f>'4CO멍텅(실측)'!B24&amp;"F"</f>
        <v>B1F</v>
      </c>
      <c r="C24" s="4">
        <f>'4CO멍텅(실측)'!C24-CO4멍텅OP/2</f>
        <v>399</v>
      </c>
      <c r="D24" s="4">
        <f>'4CO멍텅(실측)'!D24</f>
        <v>800</v>
      </c>
      <c r="E24" s="4">
        <f>'4CO멍텅(실측)'!E24-CO4멍텅OP/2</f>
        <v>399</v>
      </c>
      <c r="F24" s="4">
        <f>'4CO멍텅(실측)'!F24-CO4멍텅R</f>
        <v>1600</v>
      </c>
      <c r="G24" s="4">
        <f>'4CO멍텅(실측)'!G24+MAX(AP24,AQ24)+IF(BE24=1,AD24,0)+CO4멍텅JBJD늘림치수</f>
        <v>356</v>
      </c>
      <c r="H24" s="4">
        <f>'4CO멍텅(실측)'!H24+MAX(AP24,AQ24)+IF(BE24=1,MAX(AD24,AF24),0)+CO4멍텅JBJD늘림치수</f>
        <v>400</v>
      </c>
      <c r="I24" s="4">
        <f>'4CO멍텅(실측)'!I24+MAX(AP24,AQ24)+IF(BE24=1,AF24,0)+CO4멍텅JBJD늘림치수</f>
        <v>356</v>
      </c>
      <c r="J24" s="4">
        <f>'4CO멍텅(실측)'!J24+AP24+IF(BE24=1,AD24,0)+CO4멍텅JB강제키움+CO4멍텅JBJD늘림치수</f>
        <v>356</v>
      </c>
      <c r="K24" s="4">
        <f>'4CO멍텅(실측)'!J24+AP24+IF(BE24=1,AE24,0)+CO4멍텅JB강제키움+CO4멍텅JBJD늘림치수-IF(CO4멍텅JB하부늘치=1,'4CO멍텅(실측)'!X24-'4CO멍텅(실측)'!Y24,0)</f>
        <v>356</v>
      </c>
      <c r="L24" s="4">
        <f>'4CO멍텅(실측)'!K24+AQ24+IF(BE24=1,AF24,0)+CO4멍텅JB강제키움+CO4멍텅JBJD늘림치수</f>
        <v>356</v>
      </c>
      <c r="M24" s="4">
        <f>'4CO멍텅(실측)'!K24+AQ24+IF(BE24=1,AG24,0)+CO4멍텅JB강제키움+CO4멍텅JBJD늘림치수-IF(CO4멍텅JB하부늘치=1,'4CO멍텅(실측)'!Z24-'4CO멍텅(실측)'!AA24,0)</f>
        <v>356</v>
      </c>
      <c r="N24" s="73">
        <f t="shared" si="11"/>
        <v>44</v>
      </c>
      <c r="O24" s="73">
        <f t="shared" si="12"/>
        <v>44</v>
      </c>
      <c r="P24" s="4">
        <f t="shared" si="13"/>
        <v>38.5</v>
      </c>
      <c r="Q24" s="4">
        <f t="shared" si="14"/>
        <v>38.5</v>
      </c>
      <c r="R24" s="4">
        <f>IF(T24&gt;0,'4CO멍텅(실측)'!L24+CO4멍텅C늘림,'4CO멍텅(실측)'!L24+1)</f>
        <v>40</v>
      </c>
      <c r="S24" s="4">
        <f>IF(U24&gt;0,'4CO멍텅(실측)'!M24+CO4멍텅C늘림,'4CO멍텅(실측)'!M24+1)</f>
        <v>40</v>
      </c>
      <c r="T24" s="4">
        <f>IF(ISNUMBER('4CO멍텅(실측)'!N24),'4CO멍텅(실측)'!N24+'4CO멍텅제작'!AP24+멍텅A늘림,0)</f>
        <v>13</v>
      </c>
      <c r="U24" s="4">
        <f>IF(ISNUMBER('4CO멍텅(실측)'!O24),'4CO멍텅(실측)'!O24+'4CO멍텅제작'!AQ24+멍텅A늘림,0)</f>
        <v>15</v>
      </c>
      <c r="V24" s="4">
        <f>'4CO멍텅(실측)'!P24-CO4멍텅기둥차감</f>
        <v>2310</v>
      </c>
      <c r="W24" s="4">
        <f>'4CO멍텅(실측)'!Q24-CO4멍텅기둥차감</f>
        <v>2290</v>
      </c>
      <c r="X24" s="4">
        <f>'4CO멍텅(실측)'!R24-CO4멍텅기둥차감</f>
        <v>2302</v>
      </c>
      <c r="Y24" s="4">
        <f>'4CO멍텅(실측)'!S24-CO4멍텅기둥차감</f>
        <v>2291</v>
      </c>
      <c r="Z24" s="4">
        <f>IF(ISNUMBER('4CO멍텅(실측)'!T24),IF(AA24&gt;0,'4CO멍텅(실측)'!T24+CO4멍텅U늘림,'4CO멍텅(실측)'!T24+1.2),0)</f>
        <v>40</v>
      </c>
      <c r="AA24" s="4">
        <f>IF(OR(CO4멍텅G="", CO4멍텅G=0),IF(ISNUMBER('4CO멍텅(실측)'!U24),IF('4CO멍텅(실측)'!U24+멍텅A늘림+MAX(AP24,AQ24)&gt;9,'4CO멍텅(실측)'!U24+멍텅A늘림+MAX(AP24,AQ24),'4CO멍텅(실측)'!U24+멍텅A늘림+MAX(AP24,AQ24)),0),CO4멍텅G)</f>
        <v>9</v>
      </c>
      <c r="AB24" s="4">
        <f>'4CO멍텅(실측)'!V24+뒷날개치수더함</f>
        <v>30</v>
      </c>
      <c r="AC24" s="4">
        <f>'4CO멍텅(실측)'!W24+뒷날개치수더함</f>
        <v>30</v>
      </c>
      <c r="AD24" s="13">
        <f>'4CO멍텅(실측)'!X24-CO4멍텅늘치차감</f>
        <v>6</v>
      </c>
      <c r="AE24" s="13">
        <f>IF(CO4멍텅JB하부늘치=1,AD24,'4CO멍텅(실측)'!Y24-CO4멍텅늘치차감)</f>
        <v>6</v>
      </c>
      <c r="AF24" s="13">
        <f>'4CO멍텅(실측)'!Z24-CO4멍텅늘치차감</f>
        <v>6</v>
      </c>
      <c r="AG24" s="13">
        <f>IF(CO4멍텅JB하부늘치=1,AF24,'4CO멍텅(실측)'!AA24-CO4멍텅늘치차감)</f>
        <v>6</v>
      </c>
      <c r="AH24" s="11" t="str">
        <f t="shared" si="15"/>
        <v>1677*474.2</v>
      </c>
      <c r="AI24" s="12" t="str">
        <f t="shared" si="16"/>
        <v>2310*434.2</v>
      </c>
      <c r="AJ24" s="10" t="str">
        <f t="shared" si="17"/>
        <v>2302*436.2</v>
      </c>
      <c r="AK24" s="4">
        <f>IF('4CO멍텅(실측)'!AB24&gt;5,'4CO멍텅(실측)'!AB24+뒷날개치수더함,'4CO멍텅(실측)'!AB24)</f>
        <v>20</v>
      </c>
      <c r="AL24" s="4">
        <f>'4CO멍텅(실측)'!AC24</f>
        <v>10</v>
      </c>
      <c r="AM24" s="4">
        <f>'4CO멍텅(실측)'!AD24</f>
        <v>10</v>
      </c>
      <c r="AN24" s="31">
        <f>IF('4CO멍텅(실측)'!AE24&gt;0,'4CO멍텅(실측)'!AE24-'4CO멍텅(실측)'!V24+1.2,0)</f>
        <v>7.2</v>
      </c>
      <c r="AO24" s="31">
        <f>IF('4CO멍텅(실측)'!AF24&gt;0,'4CO멍텅(실측)'!AF24-'4CO멍텅(실측)'!V24+1.2,0)</f>
        <v>9.1999999999999993</v>
      </c>
      <c r="AP24" s="3">
        <f>IF(AND(ISNUMBER('4CO멍텅(실측)'!O24),ISNUMBER('4CO멍텅(실측)'!N24)),IF(ISNUMBER('4CO멍텅(실측)'!N24),IF(9-MIN('4CO멍텅(실측)'!N24+멍텅A늘림,'4CO멍텅(실측)'!O24+멍텅A늘림)+AR24&lt;AR24,AR24,9-MIN('4CO멍텅(실측)'!N24+멍텅A늘림,'4CO멍텅(실측)'!O24+멍텅A늘림) + AR24 ),0),IF(ISNUMBER('4CO멍텅(실측)'!N24),IF(9-'4CO멍텅(실측)'!N24-멍텅A늘림+AR24&lt;AR24,AR24,9-'4CO멍텅(실측)'!N24-멍텅A늘림+AR24),0))</f>
        <v>0</v>
      </c>
      <c r="AQ24" s="3">
        <f>IF(AND(ISNUMBER('4CO멍텅(실측)'!N24),ISNUMBER('4CO멍텅(실측)'!O24)),IF(ISNUMBER('4CO멍텅(실측)'!O24),IF(9-MIN('4CO멍텅(실측)'!O24+멍텅A늘림,'4CO멍텅(실측)'!N24+멍텅A늘림)+AR24&lt;AR24,AR24,9-MIN('4CO멍텅(실측)'!O24+멍텅A늘림,'4CO멍텅(실측)'!N24+멍텅A늘림) + AR24 ),0),IF(ISNUMBER('4CO멍텅(실측)'!O24),IF(9-'4CO멍텅(실측)'!O24-멍텅A늘림+AR24&lt;AR24,AR24,9-'4CO멍텅(실측)'!O24-멍텅A늘림+AR24),0))</f>
        <v>0</v>
      </c>
      <c r="AR24" s="16"/>
      <c r="AS24" s="17">
        <f t="shared" si="18"/>
        <v>0.1609427775784123</v>
      </c>
      <c r="AT24" s="36">
        <f t="shared" si="19"/>
        <v>1.4044860705553219E-3</v>
      </c>
      <c r="AU24" s="36">
        <f t="shared" si="20"/>
        <v>1.4044860705553219E-3</v>
      </c>
      <c r="AV24" s="46" t="str">
        <f t="shared" si="21"/>
        <v/>
      </c>
      <c r="AW24" s="3">
        <f t="shared" si="22"/>
        <v>1677</v>
      </c>
      <c r="AX24" s="3">
        <f t="shared" si="23"/>
        <v>474.2</v>
      </c>
      <c r="AY24" s="3">
        <f t="shared" si="24"/>
        <v>434.2</v>
      </c>
      <c r="AZ24" s="3">
        <f t="shared" si="25"/>
        <v>2310</v>
      </c>
      <c r="BA24" s="3">
        <f t="shared" si="26"/>
        <v>436.2</v>
      </c>
      <c r="BB24" s="3">
        <f t="shared" si="27"/>
        <v>2302</v>
      </c>
      <c r="BC24">
        <f t="shared" si="28"/>
        <v>0</v>
      </c>
      <c r="BD24">
        <f t="shared" si="29"/>
        <v>0</v>
      </c>
      <c r="BE24" s="79">
        <f t="shared" si="30"/>
        <v>1</v>
      </c>
      <c r="BF24" s="83">
        <f>IF(소장="손상민",'4CO멍텅(실측)'!AG24,0)</f>
        <v>0</v>
      </c>
    </row>
    <row r="25" spans="1:58" ht="26.25" customHeight="1" x14ac:dyDescent="0.3">
      <c r="A25" s="4" t="str">
        <f>'4CO멍텅(실측)'!A25</f>
        <v>103-2</v>
      </c>
      <c r="B25" s="4" t="str">
        <f>'4CO멍텅(실측)'!B25&amp;"F"</f>
        <v>9F</v>
      </c>
      <c r="C25" s="4">
        <f>'4CO멍텅(실측)'!C25-CO4멍텅OP/2</f>
        <v>409</v>
      </c>
      <c r="D25" s="4">
        <f>'4CO멍텅(실측)'!D25</f>
        <v>800</v>
      </c>
      <c r="E25" s="4">
        <f>'4CO멍텅(실측)'!E25-CO4멍텅OP/2</f>
        <v>389</v>
      </c>
      <c r="F25" s="4">
        <f>'4CO멍텅(실측)'!F25-CO4멍텅R</f>
        <v>1599</v>
      </c>
      <c r="G25" s="4">
        <f>'4CO멍텅(실측)'!G25+MAX(AP25,AQ25)+IF(BE25=1,AD25,0)+CO4멍텅JBJD늘림치수</f>
        <v>329</v>
      </c>
      <c r="H25" s="4">
        <f>'4CO멍텅(실측)'!H25+MAX(AP25,AQ25)+IF(BE25=1,MAX(AD25,AF25),0)+CO4멍텅JBJD늘림치수</f>
        <v>373</v>
      </c>
      <c r="I25" s="4">
        <f>'4CO멍텅(실측)'!I25+MAX(AP25,AQ25)+IF(BE25=1,AF25,0)+CO4멍텅JBJD늘림치수</f>
        <v>329</v>
      </c>
      <c r="J25" s="4">
        <f>'4CO멍텅(실측)'!J25+AP25+IF(BE25=1,AD25,0)+CO4멍텅JB강제키움+CO4멍텅JBJD늘림치수</f>
        <v>329</v>
      </c>
      <c r="K25" s="4">
        <f>'4CO멍텅(실측)'!J25+AP25+IF(BE25=1,AE25,0)+CO4멍텅JB강제키움+CO4멍텅JBJD늘림치수-IF(CO4멍텅JB하부늘치=1,'4CO멍텅(실측)'!X25-'4CO멍텅(실측)'!Y25,0)</f>
        <v>329</v>
      </c>
      <c r="L25" s="4">
        <f>'4CO멍텅(실측)'!K25+AQ25+IF(BE25=1,AF25,0)+CO4멍텅JB강제키움+CO4멍텅JBJD늘림치수</f>
        <v>329</v>
      </c>
      <c r="M25" s="4">
        <f>'4CO멍텅(실측)'!K25+AQ25+IF(BE25=1,AG25,0)+CO4멍텅JB강제키움+CO4멍텅JBJD늘림치수-IF(CO4멍텅JB하부늘치=1,'4CO멍텅(실측)'!Z25-'4CO멍텅(실측)'!AA25,0)</f>
        <v>329</v>
      </c>
      <c r="N25" s="73">
        <f t="shared" si="11"/>
        <v>44</v>
      </c>
      <c r="O25" s="73">
        <f t="shared" si="12"/>
        <v>44</v>
      </c>
      <c r="P25" s="4">
        <f t="shared" si="13"/>
        <v>38.5</v>
      </c>
      <c r="Q25" s="4">
        <f t="shared" si="14"/>
        <v>38.5</v>
      </c>
      <c r="R25" s="4">
        <f>IF(T25&gt;0,'4CO멍텅(실측)'!L25+CO4멍텅C늘림,'4CO멍텅(실측)'!L25+1)</f>
        <v>40</v>
      </c>
      <c r="S25" s="4">
        <f>IF(U25&gt;0,'4CO멍텅(실측)'!M25+CO4멍텅C늘림,'4CO멍텅(실측)'!M25+1)</f>
        <v>40</v>
      </c>
      <c r="T25" s="4">
        <f>IF(ISNUMBER('4CO멍텅(실측)'!N25),'4CO멍텅(실측)'!N25+'4CO멍텅제작'!AP25+멍텅A늘림,0)</f>
        <v>26</v>
      </c>
      <c r="U25" s="4">
        <f>IF(ISNUMBER('4CO멍텅(실측)'!O25),'4CO멍텅(실측)'!O25+'4CO멍텅제작'!AQ25+멍텅A늘림,0)</f>
        <v>25</v>
      </c>
      <c r="V25" s="4">
        <f>'4CO멍텅(실측)'!P25-CO4멍텅기둥차감</f>
        <v>2295</v>
      </c>
      <c r="W25" s="4">
        <f>'4CO멍텅(실측)'!Q25-CO4멍텅기둥차감</f>
        <v>2286</v>
      </c>
      <c r="X25" s="4">
        <f>'4CO멍텅(실측)'!R25-CO4멍텅기둥차감</f>
        <v>2290</v>
      </c>
      <c r="Y25" s="4">
        <f>'4CO멍텅(실측)'!S25-CO4멍텅기둥차감</f>
        <v>2281</v>
      </c>
      <c r="Z25" s="4">
        <f>IF(ISNUMBER('4CO멍텅(실측)'!T25),IF(AA25&gt;0,'4CO멍텅(실측)'!T25+CO4멍텅U늘림,'4CO멍텅(실측)'!T25+1.2),0)</f>
        <v>40</v>
      </c>
      <c r="AA25" s="4">
        <f>IF(OR(CO4멍텅G="", CO4멍텅G=0),IF(ISNUMBER('4CO멍텅(실측)'!U25),IF('4CO멍텅(실측)'!U25+멍텅A늘림+MAX(AP25,AQ25)&gt;9,'4CO멍텅(실측)'!U25+멍텅A늘림+MAX(AP25,AQ25),'4CO멍텅(실측)'!U25+멍텅A늘림+MAX(AP25,AQ25)),0),CO4멍텅G)</f>
        <v>9</v>
      </c>
      <c r="AB25" s="4">
        <f>'4CO멍텅(실측)'!V25+뒷날개치수더함</f>
        <v>30</v>
      </c>
      <c r="AC25" s="4">
        <f>'4CO멍텅(실측)'!W25+뒷날개치수더함</f>
        <v>30</v>
      </c>
      <c r="AD25" s="13">
        <f>'4CO멍텅(실측)'!X25-CO4멍텅늘치차감</f>
        <v>6</v>
      </c>
      <c r="AE25" s="13">
        <f>IF(CO4멍텅JB하부늘치=1,AD25,'4CO멍텅(실측)'!Y25-CO4멍텅늘치차감)</f>
        <v>6</v>
      </c>
      <c r="AF25" s="13">
        <f>'4CO멍텅(실측)'!Z25-CO4멍텅늘치차감</f>
        <v>6</v>
      </c>
      <c r="AG25" s="13">
        <f>IF(CO4멍텅JB하부늘치=1,AF25,'4CO멍텅(실측)'!AA25-CO4멍텅늘치차감)</f>
        <v>6</v>
      </c>
      <c r="AH25" s="11" t="str">
        <f t="shared" si="15"/>
        <v>1676*447.2</v>
      </c>
      <c r="AI25" s="12" t="str">
        <f t="shared" si="16"/>
        <v>2295*420.2</v>
      </c>
      <c r="AJ25" s="10" t="str">
        <f t="shared" si="17"/>
        <v>2290*419.2</v>
      </c>
      <c r="AK25" s="4">
        <f>IF('4CO멍텅(실측)'!AB25&gt;5,'4CO멍텅(실측)'!AB25+뒷날개치수더함,'4CO멍텅(실측)'!AB25)</f>
        <v>20</v>
      </c>
      <c r="AL25" s="4">
        <f>'4CO멍텅(실측)'!AC25</f>
        <v>10</v>
      </c>
      <c r="AM25" s="4">
        <f>'4CO멍텅(실측)'!AD25</f>
        <v>10</v>
      </c>
      <c r="AN25" s="31">
        <f>IF('4CO멍텅(실측)'!AE25&gt;0,'4CO멍텅(실측)'!AE25-'4CO멍텅(실측)'!V25+1.2,0)</f>
        <v>5.2</v>
      </c>
      <c r="AO25" s="31">
        <f>IF('4CO멍텅(실측)'!AF25&gt;0,'4CO멍텅(실측)'!AF25-'4CO멍텅(실측)'!V25+1.2,0)</f>
        <v>5.2</v>
      </c>
      <c r="AP25" s="3">
        <f>IF(AND(ISNUMBER('4CO멍텅(실측)'!O25),ISNUMBER('4CO멍텅(실측)'!N25)),IF(ISNUMBER('4CO멍텅(실측)'!N25),IF(9-MIN('4CO멍텅(실측)'!N25+멍텅A늘림,'4CO멍텅(실측)'!O25+멍텅A늘림)+AR25&lt;AR25,AR25,9-MIN('4CO멍텅(실측)'!N25+멍텅A늘림,'4CO멍텅(실측)'!O25+멍텅A늘림) + AR25 ),0),IF(ISNUMBER('4CO멍텅(실측)'!N25),IF(9-'4CO멍텅(실측)'!N25-멍텅A늘림+AR25&lt;AR25,AR25,9-'4CO멍텅(실측)'!N25-멍텅A늘림+AR25),0))</f>
        <v>0</v>
      </c>
      <c r="AQ25" s="3">
        <f>IF(AND(ISNUMBER('4CO멍텅(실측)'!N25),ISNUMBER('4CO멍텅(실측)'!O25)),IF(ISNUMBER('4CO멍텅(실측)'!O25),IF(9-MIN('4CO멍텅(실측)'!O25+멍텅A늘림,'4CO멍텅(실측)'!N25+멍텅A늘림)+AR25&lt;AR25,AR25,9-MIN('4CO멍텅(실측)'!O25+멍텅A늘림,'4CO멍텅(실측)'!N25+멍텅A늘림) + AR25 ),0),IF(ISNUMBER('4CO멍텅(실측)'!O25),IF(9-'4CO멍텅(실측)'!O25-멍텅A늘림+AR25&lt;AR25,AR25,9-'4CO멍텅(실측)'!O25-멍텅A늘림+AR25),0))</f>
        <v>0</v>
      </c>
      <c r="AR25" s="16"/>
      <c r="AS25" s="17">
        <f t="shared" si="18"/>
        <v>8.7075585717128465E-2</v>
      </c>
      <c r="AT25" s="36">
        <f t="shared" si="19"/>
        <v>3.7993855158902079E-4</v>
      </c>
      <c r="AU25" s="36">
        <f t="shared" si="20"/>
        <v>3.7993855158902079E-4</v>
      </c>
      <c r="AV25" s="46" t="str">
        <f t="shared" si="21"/>
        <v/>
      </c>
      <c r="AW25" s="3">
        <f t="shared" si="22"/>
        <v>1676</v>
      </c>
      <c r="AX25" s="3">
        <f t="shared" si="23"/>
        <v>447.2</v>
      </c>
      <c r="AY25" s="3">
        <f t="shared" si="24"/>
        <v>420.2</v>
      </c>
      <c r="AZ25" s="3">
        <f t="shared" si="25"/>
        <v>2295</v>
      </c>
      <c r="BA25" s="3">
        <f t="shared" si="26"/>
        <v>419.2</v>
      </c>
      <c r="BB25" s="3">
        <f t="shared" si="27"/>
        <v>2290</v>
      </c>
      <c r="BC25">
        <f t="shared" si="28"/>
        <v>0</v>
      </c>
      <c r="BD25">
        <f t="shared" si="29"/>
        <v>0</v>
      </c>
      <c r="BE25" s="79">
        <f t="shared" si="30"/>
        <v>1</v>
      </c>
      <c r="BF25" s="83">
        <f>IF(소장="손상민",'4CO멍텅(실측)'!AG25,0)</f>
        <v>0</v>
      </c>
    </row>
    <row r="26" spans="1:58" ht="26.25" customHeight="1" x14ac:dyDescent="0.3">
      <c r="A26" s="4" t="str">
        <f>'4CO멍텅(실측)'!A26</f>
        <v>103-2</v>
      </c>
      <c r="B26" s="4" t="str">
        <f>'4CO멍텅(실측)'!B26&amp;"F"</f>
        <v>8F</v>
      </c>
      <c r="C26" s="4">
        <f>'4CO멍텅(실측)'!C26-CO4멍텅OP/2</f>
        <v>404</v>
      </c>
      <c r="D26" s="4">
        <f>'4CO멍텅(실측)'!D26</f>
        <v>800</v>
      </c>
      <c r="E26" s="4">
        <f>'4CO멍텅(실측)'!E26-CO4멍텅OP/2</f>
        <v>394</v>
      </c>
      <c r="F26" s="4">
        <f>'4CO멍텅(실측)'!F26-CO4멍텅R</f>
        <v>1598</v>
      </c>
      <c r="G26" s="4">
        <f>'4CO멍텅(실측)'!G26+MAX(AP26,AQ26)+IF(BE26=1,AD26,0)+CO4멍텅JBJD늘림치수</f>
        <v>331</v>
      </c>
      <c r="H26" s="4">
        <f>'4CO멍텅(실측)'!H26+MAX(AP26,AQ26)+IF(BE26=1,MAX(AD26,AF26),0)+CO4멍텅JBJD늘림치수</f>
        <v>375</v>
      </c>
      <c r="I26" s="4">
        <f>'4CO멍텅(실측)'!I26+MAX(AP26,AQ26)+IF(BE26=1,AF26,0)+CO4멍텅JBJD늘림치수</f>
        <v>331</v>
      </c>
      <c r="J26" s="4">
        <f>'4CO멍텅(실측)'!J26+AP26+IF(BE26=1,AD26,0)+CO4멍텅JB강제키움+CO4멍텅JBJD늘림치수</f>
        <v>331</v>
      </c>
      <c r="K26" s="4">
        <f>'4CO멍텅(실측)'!J26+AP26+IF(BE26=1,AE26,0)+CO4멍텅JB강제키움+CO4멍텅JBJD늘림치수-IF(CO4멍텅JB하부늘치=1,'4CO멍텅(실측)'!X26-'4CO멍텅(실측)'!Y26,0)</f>
        <v>331</v>
      </c>
      <c r="L26" s="4">
        <f>'4CO멍텅(실측)'!K26+AQ26+IF(BE26=1,AF26,0)+CO4멍텅JB강제키움+CO4멍텅JBJD늘림치수</f>
        <v>331</v>
      </c>
      <c r="M26" s="4">
        <f>'4CO멍텅(실측)'!K26+AQ26+IF(BE26=1,AG26,0)+CO4멍텅JB강제키움+CO4멍텅JBJD늘림치수-IF(CO4멍텅JB하부늘치=1,'4CO멍텅(실측)'!Z26-'4CO멍텅(실측)'!AA26,0)</f>
        <v>331</v>
      </c>
      <c r="N26" s="73">
        <f t="shared" si="11"/>
        <v>44</v>
      </c>
      <c r="O26" s="73">
        <f t="shared" si="12"/>
        <v>44</v>
      </c>
      <c r="P26" s="4">
        <f t="shared" si="13"/>
        <v>38.5</v>
      </c>
      <c r="Q26" s="4">
        <f t="shared" si="14"/>
        <v>38.5</v>
      </c>
      <c r="R26" s="4">
        <f>IF(T26&gt;0,'4CO멍텅(실측)'!L26+CO4멍텅C늘림,'4CO멍텅(실측)'!L26+1)</f>
        <v>40</v>
      </c>
      <c r="S26" s="4">
        <f>IF(U26&gt;0,'4CO멍텅(실측)'!M26+CO4멍텅C늘림,'4CO멍텅(실측)'!M26+1)</f>
        <v>40</v>
      </c>
      <c r="T26" s="4">
        <f>IF(ISNUMBER('4CO멍텅(실측)'!N26),'4CO멍텅(실측)'!N26+'4CO멍텅제작'!AP26+멍텅A늘림,0)</f>
        <v>21</v>
      </c>
      <c r="U26" s="4">
        <f>IF(ISNUMBER('4CO멍텅(실측)'!O26),'4CO멍텅(실측)'!O26+'4CO멍텅제작'!AQ26+멍텅A늘림,0)</f>
        <v>19</v>
      </c>
      <c r="V26" s="4">
        <f>'4CO멍텅(실측)'!P26-CO4멍텅기둥차감</f>
        <v>2289</v>
      </c>
      <c r="W26" s="4">
        <f>'4CO멍텅(실측)'!Q26-CO4멍텅기둥차감</f>
        <v>2285</v>
      </c>
      <c r="X26" s="4">
        <f>'4CO멍텅(실측)'!R26-CO4멍텅기둥차감</f>
        <v>2290</v>
      </c>
      <c r="Y26" s="4">
        <f>'4CO멍텅(실측)'!S26-CO4멍텅기둥차감</f>
        <v>2282</v>
      </c>
      <c r="Z26" s="4">
        <f>IF(ISNUMBER('4CO멍텅(실측)'!T26),IF(AA26&gt;0,'4CO멍텅(실측)'!T26+CO4멍텅U늘림,'4CO멍텅(실측)'!T26+1.2),0)</f>
        <v>40</v>
      </c>
      <c r="AA26" s="4">
        <f>IF(OR(CO4멍텅G="", CO4멍텅G=0),IF(ISNUMBER('4CO멍텅(실측)'!U26),IF('4CO멍텅(실측)'!U26+멍텅A늘림+MAX(AP26,AQ26)&gt;9,'4CO멍텅(실측)'!U26+멍텅A늘림+MAX(AP26,AQ26),'4CO멍텅(실측)'!U26+멍텅A늘림+MAX(AP26,AQ26)),0),CO4멍텅G)</f>
        <v>9</v>
      </c>
      <c r="AB26" s="4">
        <f>'4CO멍텅(실측)'!V26+뒷날개치수더함</f>
        <v>30</v>
      </c>
      <c r="AC26" s="4">
        <f>'4CO멍텅(실측)'!W26+뒷날개치수더함</f>
        <v>30</v>
      </c>
      <c r="AD26" s="13">
        <f>'4CO멍텅(실측)'!X26-CO4멍텅늘치차감</f>
        <v>6</v>
      </c>
      <c r="AE26" s="13">
        <f>IF(CO4멍텅JB하부늘치=1,AD26,'4CO멍텅(실측)'!Y26-CO4멍텅늘치차감)</f>
        <v>6</v>
      </c>
      <c r="AF26" s="13">
        <f>'4CO멍텅(실측)'!Z26-CO4멍텅늘치차감</f>
        <v>6</v>
      </c>
      <c r="AG26" s="13">
        <f>IF(CO4멍텅JB하부늘치=1,AF26,'4CO멍텅(실측)'!AA26-CO4멍텅늘치차감)</f>
        <v>6</v>
      </c>
      <c r="AH26" s="11" t="str">
        <f t="shared" si="15"/>
        <v>1675*449.2</v>
      </c>
      <c r="AI26" s="12" t="str">
        <f t="shared" si="16"/>
        <v>2289*417.2</v>
      </c>
      <c r="AJ26" s="10" t="str">
        <f t="shared" si="17"/>
        <v>2290*415.2</v>
      </c>
      <c r="AK26" s="4">
        <f>IF('4CO멍텅(실측)'!AB26&gt;5,'4CO멍텅(실측)'!AB26+뒷날개치수더함,'4CO멍텅(실측)'!AB26)</f>
        <v>20</v>
      </c>
      <c r="AL26" s="4">
        <f>'4CO멍텅(실측)'!AC26</f>
        <v>10</v>
      </c>
      <c r="AM26" s="4">
        <f>'4CO멍텅(실측)'!AD26</f>
        <v>10</v>
      </c>
      <c r="AN26" s="31">
        <f>IF('4CO멍텅(실측)'!AE26&gt;0,'4CO멍텅(실측)'!AE26-'4CO멍텅(실측)'!V26+1.2,0)</f>
        <v>5.2</v>
      </c>
      <c r="AO26" s="31">
        <f>IF('4CO멍텅(실측)'!AF26&gt;0,'4CO멍텅(실측)'!AF26-'4CO멍텅(실측)'!V26+1.2,0)</f>
        <v>5.2</v>
      </c>
      <c r="AP26" s="3">
        <f>IF(AND(ISNUMBER('4CO멍텅(실측)'!O26),ISNUMBER('4CO멍텅(실측)'!N26)),IF(ISNUMBER('4CO멍텅(실측)'!N26),IF(9-MIN('4CO멍텅(실측)'!N26+멍텅A늘림,'4CO멍텅(실측)'!O26+멍텅A늘림)+AR26&lt;AR26,AR26,9-MIN('4CO멍텅(실측)'!N26+멍텅A늘림,'4CO멍텅(실측)'!O26+멍텅A늘림) + AR26 ),0),IF(ISNUMBER('4CO멍텅(실측)'!N26),IF(9-'4CO멍텅(실측)'!N26-멍텅A늘림+AR26&lt;AR26,AR26,9-'4CO멍텅(실측)'!N26-멍텅A늘림+AR26),0))</f>
        <v>0</v>
      </c>
      <c r="AQ26" s="3">
        <f>IF(AND(ISNUMBER('4CO멍텅(실측)'!N26),ISNUMBER('4CO멍텅(실측)'!O26)),IF(ISNUMBER('4CO멍텅(실측)'!O26),IF(9-MIN('4CO멍텅(실측)'!O26+멍텅A늘림,'4CO멍텅(실측)'!N26+멍텅A늘림)+AR26&lt;AR26,AR26,9-MIN('4CO멍텅(실측)'!O26+멍텅A늘림,'4CO멍텅(실측)'!N26+멍텅A늘림) + AR26 ),0),IF(ISNUMBER('4CO멍텅(실측)'!O26),IF(9-'4CO멍텅(실측)'!O26-멍텅A늘림+AR26&lt;AR26,AR26,9-'4CO멍텅(실측)'!O26-멍텅A늘림+AR26),0))</f>
        <v>0</v>
      </c>
      <c r="AR26" s="16"/>
      <c r="AS26" s="17">
        <f t="shared" si="18"/>
        <v>0</v>
      </c>
      <c r="AT26" s="36">
        <f t="shared" si="19"/>
        <v>0</v>
      </c>
      <c r="AU26" s="36">
        <f t="shared" si="20"/>
        <v>0</v>
      </c>
      <c r="AV26" s="46" t="str">
        <f t="shared" si="21"/>
        <v/>
      </c>
      <c r="AW26" s="3">
        <f t="shared" si="22"/>
        <v>1675</v>
      </c>
      <c r="AX26" s="3">
        <f t="shared" si="23"/>
        <v>449.2</v>
      </c>
      <c r="AY26" s="3">
        <f t="shared" si="24"/>
        <v>417.2</v>
      </c>
      <c r="AZ26" s="3">
        <f t="shared" si="25"/>
        <v>2289</v>
      </c>
      <c r="BA26" s="3">
        <f t="shared" si="26"/>
        <v>415.2</v>
      </c>
      <c r="BB26" s="3">
        <f t="shared" si="27"/>
        <v>2290</v>
      </c>
      <c r="BC26">
        <f t="shared" si="28"/>
        <v>0</v>
      </c>
      <c r="BD26">
        <f t="shared" si="29"/>
        <v>0</v>
      </c>
      <c r="BE26" s="79">
        <f t="shared" si="30"/>
        <v>1</v>
      </c>
      <c r="BF26" s="83">
        <f>IF(소장="손상민",'4CO멍텅(실측)'!AG26,0)</f>
        <v>0</v>
      </c>
    </row>
    <row r="27" spans="1:58" ht="26.25" customHeight="1" x14ac:dyDescent="0.3">
      <c r="A27" s="4" t="str">
        <f>'4CO멍텅(실측)'!A27</f>
        <v>103-2</v>
      </c>
      <c r="B27" s="4" t="str">
        <f>'4CO멍텅(실측)'!B27&amp;"F"</f>
        <v>7F</v>
      </c>
      <c r="C27" s="4">
        <f>'4CO멍텅(실측)'!C27-CO4멍텅OP/2</f>
        <v>404</v>
      </c>
      <c r="D27" s="4">
        <f>'4CO멍텅(실측)'!D27</f>
        <v>800</v>
      </c>
      <c r="E27" s="4">
        <f>'4CO멍텅(실측)'!E27-CO4멍텅OP/2</f>
        <v>394</v>
      </c>
      <c r="F27" s="4">
        <f>'4CO멍텅(실측)'!F27-CO4멍텅R</f>
        <v>1598</v>
      </c>
      <c r="G27" s="4">
        <f>'4CO멍텅(실측)'!G27+MAX(AP27,AQ27)+IF(BE27=1,AD27,0)+CO4멍텅JBJD늘림치수</f>
        <v>331</v>
      </c>
      <c r="H27" s="4">
        <f>'4CO멍텅(실측)'!H27+MAX(AP27,AQ27)+IF(BE27=1,MAX(AD27,AF27),0)+CO4멍텅JBJD늘림치수</f>
        <v>375</v>
      </c>
      <c r="I27" s="4">
        <f>'4CO멍텅(실측)'!I27+MAX(AP27,AQ27)+IF(BE27=1,AF27,0)+CO4멍텅JBJD늘림치수</f>
        <v>331</v>
      </c>
      <c r="J27" s="4">
        <f>'4CO멍텅(실측)'!J27+AP27+IF(BE27=1,AD27,0)+CO4멍텅JB강제키움+CO4멍텅JBJD늘림치수</f>
        <v>331</v>
      </c>
      <c r="K27" s="4">
        <f>'4CO멍텅(실측)'!J27+AP27+IF(BE27=1,AE27,0)+CO4멍텅JB강제키움+CO4멍텅JBJD늘림치수-IF(CO4멍텅JB하부늘치=1,'4CO멍텅(실측)'!X27-'4CO멍텅(실측)'!Y27,0)</f>
        <v>331</v>
      </c>
      <c r="L27" s="4">
        <f>'4CO멍텅(실측)'!K27+AQ27+IF(BE27=1,AF27,0)+CO4멍텅JB강제키움+CO4멍텅JBJD늘림치수</f>
        <v>331</v>
      </c>
      <c r="M27" s="4">
        <f>'4CO멍텅(실측)'!K27+AQ27+IF(BE27=1,AG27,0)+CO4멍텅JB강제키움+CO4멍텅JBJD늘림치수-IF(CO4멍텅JB하부늘치=1,'4CO멍텅(실측)'!Z27-'4CO멍텅(실측)'!AA27,0)</f>
        <v>331</v>
      </c>
      <c r="N27" s="73">
        <f t="shared" si="11"/>
        <v>44</v>
      </c>
      <c r="O27" s="73">
        <f t="shared" si="12"/>
        <v>44</v>
      </c>
      <c r="P27" s="4">
        <f t="shared" si="13"/>
        <v>38.5</v>
      </c>
      <c r="Q27" s="4">
        <f t="shared" si="14"/>
        <v>38.5</v>
      </c>
      <c r="R27" s="4">
        <f>IF(T27&gt;0,'4CO멍텅(실측)'!L27+CO4멍텅C늘림,'4CO멍텅(실측)'!L27+1)</f>
        <v>40</v>
      </c>
      <c r="S27" s="4">
        <f>IF(U27&gt;0,'4CO멍텅(실측)'!M27+CO4멍텅C늘림,'4CO멍텅(실측)'!M27+1)</f>
        <v>40</v>
      </c>
      <c r="T27" s="4">
        <f>IF(ISNUMBER('4CO멍텅(실측)'!N27),'4CO멍텅(실측)'!N27+'4CO멍텅제작'!AP27+멍텅A늘림,0)</f>
        <v>18</v>
      </c>
      <c r="U27" s="4">
        <f>IF(ISNUMBER('4CO멍텅(실측)'!O27),'4CO멍텅(실측)'!O27+'4CO멍텅제작'!AQ27+멍텅A늘림,0)</f>
        <v>18</v>
      </c>
      <c r="V27" s="4">
        <f>'4CO멍텅(실측)'!P27-CO4멍텅기둥차감</f>
        <v>2292</v>
      </c>
      <c r="W27" s="4">
        <f>'4CO멍텅(실측)'!Q27-CO4멍텅기둥차감</f>
        <v>2288</v>
      </c>
      <c r="X27" s="4">
        <f>'4CO멍텅(실측)'!R27-CO4멍텅기둥차감</f>
        <v>2290</v>
      </c>
      <c r="Y27" s="4">
        <f>'4CO멍텅(실측)'!S27-CO4멍텅기둥차감</f>
        <v>2286</v>
      </c>
      <c r="Z27" s="4">
        <f>IF(ISNUMBER('4CO멍텅(실측)'!T27),IF(AA27&gt;0,'4CO멍텅(실측)'!T27+CO4멍텅U늘림,'4CO멍텅(실측)'!T27+1.2),0)</f>
        <v>40</v>
      </c>
      <c r="AA27" s="4">
        <f>IF(OR(CO4멍텅G="", CO4멍텅G=0),IF(ISNUMBER('4CO멍텅(실측)'!U27),IF('4CO멍텅(실측)'!U27+멍텅A늘림+MAX(AP27,AQ27)&gt;9,'4CO멍텅(실측)'!U27+멍텅A늘림+MAX(AP27,AQ27),'4CO멍텅(실측)'!U27+멍텅A늘림+MAX(AP27,AQ27)),0),CO4멍텅G)</f>
        <v>9</v>
      </c>
      <c r="AB27" s="4">
        <f>'4CO멍텅(실측)'!V27+뒷날개치수더함</f>
        <v>30</v>
      </c>
      <c r="AC27" s="4">
        <f>'4CO멍텅(실측)'!W27+뒷날개치수더함</f>
        <v>30</v>
      </c>
      <c r="AD27" s="13">
        <f>'4CO멍텅(실측)'!X27-CO4멍텅늘치차감</f>
        <v>6</v>
      </c>
      <c r="AE27" s="13">
        <f>IF(CO4멍텅JB하부늘치=1,AD27,'4CO멍텅(실측)'!Y27-CO4멍텅늘치차감)</f>
        <v>6</v>
      </c>
      <c r="AF27" s="13">
        <f>'4CO멍텅(실측)'!Z27-CO4멍텅늘치차감</f>
        <v>6</v>
      </c>
      <c r="AG27" s="13">
        <f>IF(CO4멍텅JB하부늘치=1,AF27,'4CO멍텅(실측)'!AA27-CO4멍텅늘치차감)</f>
        <v>6</v>
      </c>
      <c r="AH27" s="11" t="str">
        <f t="shared" si="15"/>
        <v>1675*449.2</v>
      </c>
      <c r="AI27" s="12" t="str">
        <f t="shared" si="16"/>
        <v>2292*414.2</v>
      </c>
      <c r="AJ27" s="10" t="str">
        <f t="shared" si="17"/>
        <v>2290*414.2</v>
      </c>
      <c r="AK27" s="4">
        <f>IF('4CO멍텅(실측)'!AB27&gt;5,'4CO멍텅(실측)'!AB27+뒷날개치수더함,'4CO멍텅(실측)'!AB27)</f>
        <v>20</v>
      </c>
      <c r="AL27" s="4">
        <f>'4CO멍텅(실측)'!AC27</f>
        <v>10</v>
      </c>
      <c r="AM27" s="4">
        <f>'4CO멍텅(실측)'!AD27</f>
        <v>10</v>
      </c>
      <c r="AN27" s="31">
        <f>IF('4CO멍텅(실측)'!AE27&gt;0,'4CO멍텅(실측)'!AE27-'4CO멍텅(실측)'!V27+1.2,0)</f>
        <v>5.2</v>
      </c>
      <c r="AO27" s="31">
        <f>IF('4CO멍텅(실측)'!AF27&gt;0,'4CO멍텅(실측)'!AF27-'4CO멍텅(실측)'!V27+1.2,0)</f>
        <v>5.2</v>
      </c>
      <c r="AP27" s="3">
        <f>IF(AND(ISNUMBER('4CO멍텅(실측)'!O27),ISNUMBER('4CO멍텅(실측)'!N27)),IF(ISNUMBER('4CO멍텅(실측)'!N27),IF(9-MIN('4CO멍텅(실측)'!N27+멍텅A늘림,'4CO멍텅(실측)'!O27+멍텅A늘림)+AR27&lt;AR27,AR27,9-MIN('4CO멍텅(실측)'!N27+멍텅A늘림,'4CO멍텅(실측)'!O27+멍텅A늘림) + AR27 ),0),IF(ISNUMBER('4CO멍텅(실측)'!N27),IF(9-'4CO멍텅(실측)'!N27-멍텅A늘림+AR27&lt;AR27,AR27,9-'4CO멍텅(실측)'!N27-멍텅A늘림+AR27),0))</f>
        <v>0</v>
      </c>
      <c r="AQ27" s="3">
        <f>IF(AND(ISNUMBER('4CO멍텅(실측)'!N27),ISNUMBER('4CO멍텅(실측)'!O27)),IF(ISNUMBER('4CO멍텅(실측)'!O27),IF(9-MIN('4CO멍텅(실측)'!O27+멍텅A늘림,'4CO멍텅(실측)'!N27+멍텅A늘림)+AR27&lt;AR27,AR27,9-MIN('4CO멍텅(실측)'!O27+멍텅A늘림,'4CO멍텅(실측)'!N27+멍텅A늘림) + AR27 ),0),IF(ISNUMBER('4CO멍텅(실측)'!O27),IF(9-'4CO멍텅(실측)'!O27-멍텅A늘림+AR27&lt;AR27,AR27,9-'4CO멍텅(실측)'!O27-멍텅A늘림+AR27),0))</f>
        <v>0</v>
      </c>
      <c r="AR27" s="16"/>
      <c r="AS27" s="17">
        <f t="shared" si="18"/>
        <v>0</v>
      </c>
      <c r="AT27" s="36">
        <f t="shared" si="19"/>
        <v>0</v>
      </c>
      <c r="AU27" s="36">
        <f t="shared" si="20"/>
        <v>0</v>
      </c>
      <c r="AV27" s="46" t="str">
        <f t="shared" si="21"/>
        <v/>
      </c>
      <c r="AW27" s="3">
        <f t="shared" si="22"/>
        <v>1675</v>
      </c>
      <c r="AX27" s="3">
        <f t="shared" si="23"/>
        <v>449.2</v>
      </c>
      <c r="AY27" s="3">
        <f t="shared" si="24"/>
        <v>414.2</v>
      </c>
      <c r="AZ27" s="3">
        <f t="shared" si="25"/>
        <v>2292</v>
      </c>
      <c r="BA27" s="3">
        <f t="shared" si="26"/>
        <v>414.2</v>
      </c>
      <c r="BB27" s="3">
        <f t="shared" si="27"/>
        <v>2290</v>
      </c>
      <c r="BC27">
        <f t="shared" si="28"/>
        <v>0</v>
      </c>
      <c r="BD27">
        <f t="shared" si="29"/>
        <v>0</v>
      </c>
      <c r="BE27" s="79">
        <f t="shared" si="30"/>
        <v>1</v>
      </c>
      <c r="BF27" s="83">
        <f>IF(소장="손상민",'4CO멍텅(실측)'!AG27,0)</f>
        <v>0</v>
      </c>
    </row>
    <row r="28" spans="1:58" ht="26.25" customHeight="1" x14ac:dyDescent="0.3">
      <c r="A28" s="4" t="str">
        <f>'4CO멍텅(실측)'!A28</f>
        <v>103-2</v>
      </c>
      <c r="B28" s="4" t="str">
        <f>'4CO멍텅(실측)'!B28&amp;"F"</f>
        <v>6F</v>
      </c>
      <c r="C28" s="4">
        <f>'4CO멍텅(실측)'!C28-CO4멍텅OP/2</f>
        <v>405</v>
      </c>
      <c r="D28" s="4">
        <f>'4CO멍텅(실측)'!D28</f>
        <v>800</v>
      </c>
      <c r="E28" s="4">
        <f>'4CO멍텅(실측)'!E28-CO4멍텅OP/2</f>
        <v>394</v>
      </c>
      <c r="F28" s="4">
        <f>'4CO멍텅(실측)'!F28-CO4멍텅R</f>
        <v>1600</v>
      </c>
      <c r="G28" s="4">
        <f>'4CO멍텅(실측)'!G28+MAX(AP28,AQ28)+IF(BE28=1,AD28,0)+CO4멍텅JBJD늘림치수</f>
        <v>336</v>
      </c>
      <c r="H28" s="4">
        <f>'4CO멍텅(실측)'!H28+MAX(AP28,AQ28)+IF(BE28=1,MAX(AD28,AF28),0)+CO4멍텅JBJD늘림치수</f>
        <v>380</v>
      </c>
      <c r="I28" s="4">
        <f>'4CO멍텅(실측)'!I28+MAX(AP28,AQ28)+IF(BE28=1,AF28,0)+CO4멍텅JBJD늘림치수</f>
        <v>336</v>
      </c>
      <c r="J28" s="4">
        <f>'4CO멍텅(실측)'!J28+AP28+IF(BE28=1,AD28,0)+CO4멍텅JB강제키움+CO4멍텅JBJD늘림치수</f>
        <v>336</v>
      </c>
      <c r="K28" s="4">
        <f>'4CO멍텅(실측)'!J28+AP28+IF(BE28=1,AE28,0)+CO4멍텅JB강제키움+CO4멍텅JBJD늘림치수-IF(CO4멍텅JB하부늘치=1,'4CO멍텅(실측)'!X28-'4CO멍텅(실측)'!Y28,0)</f>
        <v>336</v>
      </c>
      <c r="L28" s="4">
        <f>'4CO멍텅(실측)'!K28+AQ28+IF(BE28=1,AF28,0)+CO4멍텅JB강제키움+CO4멍텅JBJD늘림치수</f>
        <v>336</v>
      </c>
      <c r="M28" s="4">
        <f>'4CO멍텅(실측)'!K28+AQ28+IF(BE28=1,AG28,0)+CO4멍텅JB강제키움+CO4멍텅JBJD늘림치수-IF(CO4멍텅JB하부늘치=1,'4CO멍텅(실측)'!Z28-'4CO멍텅(실측)'!AA28,0)</f>
        <v>336</v>
      </c>
      <c r="N28" s="73">
        <f t="shared" si="11"/>
        <v>44</v>
      </c>
      <c r="O28" s="73">
        <f t="shared" si="12"/>
        <v>44</v>
      </c>
      <c r="P28" s="4">
        <f t="shared" si="13"/>
        <v>38.5</v>
      </c>
      <c r="Q28" s="4">
        <f t="shared" si="14"/>
        <v>38.5</v>
      </c>
      <c r="R28" s="4">
        <f>IF(T28&gt;0,'4CO멍텅(실측)'!L28+CO4멍텅C늘림,'4CO멍텅(실측)'!L28+1)</f>
        <v>40</v>
      </c>
      <c r="S28" s="4">
        <f>IF(U28&gt;0,'4CO멍텅(실측)'!M28+CO4멍텅C늘림,'4CO멍텅(실측)'!M28+1)</f>
        <v>40</v>
      </c>
      <c r="T28" s="4">
        <f>IF(ISNUMBER('4CO멍텅(실측)'!N28),'4CO멍텅(실측)'!N28+'4CO멍텅제작'!AP28+멍텅A늘림,0)</f>
        <v>16</v>
      </c>
      <c r="U28" s="4">
        <f>IF(ISNUMBER('4CO멍텅(실측)'!O28),'4CO멍텅(실측)'!O28+'4CO멍텅제작'!AQ28+멍텅A늘림,0)</f>
        <v>18</v>
      </c>
      <c r="V28" s="4">
        <f>'4CO멍텅(실측)'!P28-CO4멍텅기둥차감</f>
        <v>2292</v>
      </c>
      <c r="W28" s="4">
        <f>'4CO멍텅(실측)'!Q28-CO4멍텅기둥차감</f>
        <v>2282</v>
      </c>
      <c r="X28" s="4">
        <f>'4CO멍텅(실측)'!R28-CO4멍텅기둥차감</f>
        <v>2296</v>
      </c>
      <c r="Y28" s="4">
        <f>'4CO멍텅(실측)'!S28-CO4멍텅기둥차감</f>
        <v>2288</v>
      </c>
      <c r="Z28" s="4">
        <f>IF(ISNUMBER('4CO멍텅(실측)'!T28),IF(AA28&gt;0,'4CO멍텅(실측)'!T28+CO4멍텅U늘림,'4CO멍텅(실측)'!T28+1.2),0)</f>
        <v>40</v>
      </c>
      <c r="AA28" s="4">
        <f>IF(OR(CO4멍텅G="", CO4멍텅G=0),IF(ISNUMBER('4CO멍텅(실측)'!U28),IF('4CO멍텅(실측)'!U28+멍텅A늘림+MAX(AP28,AQ28)&gt;9,'4CO멍텅(실측)'!U28+멍텅A늘림+MAX(AP28,AQ28),'4CO멍텅(실측)'!U28+멍텅A늘림+MAX(AP28,AQ28)),0),CO4멍텅G)</f>
        <v>9</v>
      </c>
      <c r="AB28" s="4">
        <f>'4CO멍텅(실측)'!V28+뒷날개치수더함</f>
        <v>30</v>
      </c>
      <c r="AC28" s="4">
        <f>'4CO멍텅(실측)'!W28+뒷날개치수더함</f>
        <v>30</v>
      </c>
      <c r="AD28" s="13">
        <f>'4CO멍텅(실측)'!X28-CO4멍텅늘치차감</f>
        <v>6</v>
      </c>
      <c r="AE28" s="13">
        <f>IF(CO4멍텅JB하부늘치=1,AD28,'4CO멍텅(실측)'!Y28-CO4멍텅늘치차감)</f>
        <v>6</v>
      </c>
      <c r="AF28" s="13">
        <f>'4CO멍텅(실측)'!Z28-CO4멍텅늘치차감</f>
        <v>6</v>
      </c>
      <c r="AG28" s="13">
        <f>IF(CO4멍텅JB하부늘치=1,AF28,'4CO멍텅(실측)'!AA28-CO4멍텅늘치차감)</f>
        <v>6</v>
      </c>
      <c r="AH28" s="11" t="str">
        <f t="shared" si="15"/>
        <v>1677*454.2</v>
      </c>
      <c r="AI28" s="12" t="str">
        <f t="shared" si="16"/>
        <v>2292*417.2</v>
      </c>
      <c r="AJ28" s="10" t="str">
        <f t="shared" si="17"/>
        <v>2296*419.2</v>
      </c>
      <c r="AK28" s="4">
        <f>IF('4CO멍텅(실측)'!AB28&gt;5,'4CO멍텅(실측)'!AB28+뒷날개치수더함,'4CO멍텅(실측)'!AB28)</f>
        <v>20</v>
      </c>
      <c r="AL28" s="4">
        <f>'4CO멍텅(실측)'!AC28</f>
        <v>10</v>
      </c>
      <c r="AM28" s="4">
        <f>'4CO멍텅(실측)'!AD28</f>
        <v>10</v>
      </c>
      <c r="AN28" s="31">
        <f>IF('4CO멍텅(실측)'!AE28&gt;0,'4CO멍텅(실측)'!AE28-'4CO멍텅(실측)'!V28+1.2,0)</f>
        <v>5.2</v>
      </c>
      <c r="AO28" s="31">
        <f>IF('4CO멍텅(실측)'!AF28&gt;0,'4CO멍텅(실측)'!AF28-'4CO멍텅(실측)'!V28+1.2,0)</f>
        <v>5.2</v>
      </c>
      <c r="AP28" s="3">
        <f>IF(AND(ISNUMBER('4CO멍텅(실측)'!O28),ISNUMBER('4CO멍텅(실측)'!N28)),IF(ISNUMBER('4CO멍텅(실측)'!N28),IF(9-MIN('4CO멍텅(실측)'!N28+멍텅A늘림,'4CO멍텅(실측)'!O28+멍텅A늘림)+AR28&lt;AR28,AR28,9-MIN('4CO멍텅(실측)'!N28+멍텅A늘림,'4CO멍텅(실측)'!O28+멍텅A늘림) + AR28 ),0),IF(ISNUMBER('4CO멍텅(실측)'!N28),IF(9-'4CO멍텅(실측)'!N28-멍텅A늘림+AR28&lt;AR28,AR28,9-'4CO멍텅(실측)'!N28-멍텅A늘림+AR28),0))</f>
        <v>0</v>
      </c>
      <c r="AQ28" s="3">
        <f>IF(AND(ISNUMBER('4CO멍텅(실측)'!N28),ISNUMBER('4CO멍텅(실측)'!O28)),IF(ISNUMBER('4CO멍텅(실측)'!O28),IF(9-MIN('4CO멍텅(실측)'!O28+멍텅A늘림,'4CO멍텅(실측)'!N28+멍텅A늘림)+AR28&lt;AR28,AR28,9-MIN('4CO멍텅(실측)'!O28+멍텅A늘림,'4CO멍텅(실측)'!N28+멍텅A늘림) + AR28 ),0),IF(ISNUMBER('4CO멍텅(실측)'!O28),IF(9-'4CO멍텅(실측)'!O28-멍텅A늘림+AR28&lt;AR28,AR28,9-'4CO멍텅(실측)'!O28-멍텅A늘림+AR28),0))</f>
        <v>0</v>
      </c>
      <c r="AR28" s="16"/>
      <c r="AS28" s="17">
        <f t="shared" si="18"/>
        <v>8.5261513721264545E-2</v>
      </c>
      <c r="AT28" s="36">
        <f t="shared" si="19"/>
        <v>3.7202319168727627E-4</v>
      </c>
      <c r="AU28" s="36">
        <f t="shared" si="20"/>
        <v>3.7202319168727627E-4</v>
      </c>
      <c r="AV28" s="46" t="str">
        <f t="shared" si="21"/>
        <v/>
      </c>
      <c r="AW28" s="3">
        <f t="shared" si="22"/>
        <v>1677</v>
      </c>
      <c r="AX28" s="3">
        <f t="shared" si="23"/>
        <v>454.2</v>
      </c>
      <c r="AY28" s="3">
        <f t="shared" si="24"/>
        <v>417.2</v>
      </c>
      <c r="AZ28" s="3">
        <f t="shared" si="25"/>
        <v>2292</v>
      </c>
      <c r="BA28" s="3">
        <f t="shared" si="26"/>
        <v>419.2</v>
      </c>
      <c r="BB28" s="3">
        <f t="shared" si="27"/>
        <v>2296</v>
      </c>
      <c r="BC28">
        <f t="shared" si="28"/>
        <v>0</v>
      </c>
      <c r="BD28">
        <f t="shared" si="29"/>
        <v>0</v>
      </c>
      <c r="BE28" s="79">
        <f t="shared" si="30"/>
        <v>1</v>
      </c>
      <c r="BF28" s="83">
        <f>IF(소장="손상민",'4CO멍텅(실측)'!AG28,0)</f>
        <v>0</v>
      </c>
    </row>
    <row r="29" spans="1:58" ht="26.25" customHeight="1" x14ac:dyDescent="0.3">
      <c r="A29" s="4" t="str">
        <f>'4CO멍텅(실측)'!A29</f>
        <v>103-2</v>
      </c>
      <c r="B29" s="4" t="str">
        <f>'4CO멍텅(실측)'!B29&amp;"F"</f>
        <v>5F</v>
      </c>
      <c r="C29" s="4">
        <f>'4CO멍텅(실측)'!C29-CO4멍텅OP/2</f>
        <v>408</v>
      </c>
      <c r="D29" s="4">
        <f>'4CO멍텅(실측)'!D29</f>
        <v>795</v>
      </c>
      <c r="E29" s="4">
        <f>'4CO멍텅(실측)'!E29-CO4멍텅OP/2</f>
        <v>394</v>
      </c>
      <c r="F29" s="4">
        <f>'4CO멍텅(실측)'!F29-CO4멍텅R</f>
        <v>1599</v>
      </c>
      <c r="G29" s="4">
        <f>'4CO멍텅(실측)'!G29+MAX(AP29,AQ29)+IF(BE29=1,AD29,0)+CO4멍텅JBJD늘림치수</f>
        <v>333</v>
      </c>
      <c r="H29" s="4">
        <f>'4CO멍텅(실측)'!H29+MAX(AP29,AQ29)+IF(BE29=1,MAX(AD29,AF29),0)+CO4멍텅JBJD늘림치수</f>
        <v>377</v>
      </c>
      <c r="I29" s="4">
        <f>'4CO멍텅(실측)'!I29+MAX(AP29,AQ29)+IF(BE29=1,AF29,0)+CO4멍텅JBJD늘림치수</f>
        <v>333</v>
      </c>
      <c r="J29" s="4">
        <f>'4CO멍텅(실측)'!J29+AP29+IF(BE29=1,AD29,0)+CO4멍텅JB강제키움+CO4멍텅JBJD늘림치수</f>
        <v>333</v>
      </c>
      <c r="K29" s="4">
        <f>'4CO멍텅(실측)'!J29+AP29+IF(BE29=1,AE29,0)+CO4멍텅JB강제키움+CO4멍텅JBJD늘림치수-IF(CO4멍텅JB하부늘치=1,'4CO멍텅(실측)'!X29-'4CO멍텅(실측)'!Y29,0)</f>
        <v>333</v>
      </c>
      <c r="L29" s="4">
        <f>'4CO멍텅(실측)'!K29+AQ29+IF(BE29=1,AF29,0)+CO4멍텅JB강제키움+CO4멍텅JBJD늘림치수</f>
        <v>333</v>
      </c>
      <c r="M29" s="4">
        <f>'4CO멍텅(실측)'!K29+AQ29+IF(BE29=1,AG29,0)+CO4멍텅JB강제키움+CO4멍텅JBJD늘림치수-IF(CO4멍텅JB하부늘치=1,'4CO멍텅(실측)'!Z29-'4CO멍텅(실측)'!AA29,0)</f>
        <v>334</v>
      </c>
      <c r="N29" s="73">
        <f t="shared" si="11"/>
        <v>44</v>
      </c>
      <c r="O29" s="73">
        <f t="shared" si="12"/>
        <v>44</v>
      </c>
      <c r="P29" s="4">
        <f t="shared" si="13"/>
        <v>38.5</v>
      </c>
      <c r="Q29" s="4">
        <f t="shared" si="14"/>
        <v>38.5</v>
      </c>
      <c r="R29" s="4">
        <f>IF(T29&gt;0,'4CO멍텅(실측)'!L29+CO4멍텅C늘림,'4CO멍텅(실측)'!L29+1)</f>
        <v>40</v>
      </c>
      <c r="S29" s="4">
        <f>IF(U29&gt;0,'4CO멍텅(실측)'!M29+CO4멍텅C늘림,'4CO멍텅(실측)'!M29+1)</f>
        <v>40</v>
      </c>
      <c r="T29" s="4">
        <f>IF(ISNUMBER('4CO멍텅(실측)'!N29),'4CO멍텅(실측)'!N29+'4CO멍텅제작'!AP29+멍텅A늘림,0)</f>
        <v>23</v>
      </c>
      <c r="U29" s="4">
        <f>IF(ISNUMBER('4CO멍텅(실측)'!O29),'4CO멍텅(실측)'!O29+'4CO멍텅제작'!AQ29+멍텅A늘림,0)</f>
        <v>20</v>
      </c>
      <c r="V29" s="4">
        <f>'4CO멍텅(실측)'!P29-CO4멍텅기둥차감</f>
        <v>2295</v>
      </c>
      <c r="W29" s="4">
        <f>'4CO멍텅(실측)'!Q29-CO4멍텅기둥차감</f>
        <v>2287</v>
      </c>
      <c r="X29" s="4">
        <f>'4CO멍텅(실측)'!R29-CO4멍텅기둥차감</f>
        <v>2290</v>
      </c>
      <c r="Y29" s="4">
        <f>'4CO멍텅(실측)'!S29-CO4멍텅기둥차감</f>
        <v>2286</v>
      </c>
      <c r="Z29" s="4">
        <f>IF(ISNUMBER('4CO멍텅(실측)'!T29),IF(AA29&gt;0,'4CO멍텅(실측)'!T29+CO4멍텅U늘림,'4CO멍텅(실측)'!T29+1.2),0)</f>
        <v>40</v>
      </c>
      <c r="AA29" s="4">
        <f>IF(OR(CO4멍텅G="", CO4멍텅G=0),IF(ISNUMBER('4CO멍텅(실측)'!U29),IF('4CO멍텅(실측)'!U29+멍텅A늘림+MAX(AP29,AQ29)&gt;9,'4CO멍텅(실측)'!U29+멍텅A늘림+MAX(AP29,AQ29),'4CO멍텅(실측)'!U29+멍텅A늘림+MAX(AP29,AQ29)),0),CO4멍텅G)</f>
        <v>9</v>
      </c>
      <c r="AB29" s="4">
        <f>'4CO멍텅(실측)'!V29+뒷날개치수더함</f>
        <v>30</v>
      </c>
      <c r="AC29" s="4">
        <f>'4CO멍텅(실측)'!W29+뒷날개치수더함</f>
        <v>30</v>
      </c>
      <c r="AD29" s="13">
        <f>'4CO멍텅(실측)'!X29-CO4멍텅늘치차감</f>
        <v>5</v>
      </c>
      <c r="AE29" s="13">
        <f>IF(CO4멍텅JB하부늘치=1,AD29,'4CO멍텅(실측)'!Y29-CO4멍텅늘치차감)</f>
        <v>5</v>
      </c>
      <c r="AF29" s="13">
        <f>'4CO멍텅(실측)'!Z29-CO4멍텅늘치차감</f>
        <v>5</v>
      </c>
      <c r="AG29" s="13">
        <f>IF(CO4멍텅JB하부늘치=1,AF29,'4CO멍텅(실측)'!AA29-CO4멍텅늘치차감)</f>
        <v>5</v>
      </c>
      <c r="AH29" s="11" t="str">
        <f t="shared" si="15"/>
        <v>1676*451.2</v>
      </c>
      <c r="AI29" s="12" t="str">
        <f t="shared" si="16"/>
        <v>2295*421.2</v>
      </c>
      <c r="AJ29" s="10" t="str">
        <f t="shared" si="17"/>
        <v>2290*419.2</v>
      </c>
      <c r="AK29" s="4">
        <f>IF('4CO멍텅(실측)'!AB29&gt;5,'4CO멍텅(실측)'!AB29+뒷날개치수더함,'4CO멍텅(실측)'!AB29)</f>
        <v>20</v>
      </c>
      <c r="AL29" s="4">
        <f>'4CO멍텅(실측)'!AC29</f>
        <v>10</v>
      </c>
      <c r="AM29" s="4">
        <f>'4CO멍텅(실측)'!AD29</f>
        <v>10</v>
      </c>
      <c r="AN29" s="31">
        <f>IF('4CO멍텅(실측)'!AE29&gt;0,'4CO멍텅(실측)'!AE29-'4CO멍텅(실측)'!V29+1.2,0)</f>
        <v>5.2</v>
      </c>
      <c r="AO29" s="31">
        <f>IF('4CO멍텅(실측)'!AF29&gt;0,'4CO멍텅(실측)'!AF29-'4CO멍텅(실측)'!V29+1.2,0)</f>
        <v>5.2</v>
      </c>
      <c r="AP29" s="3">
        <f>IF(AND(ISNUMBER('4CO멍텅(실측)'!O29),ISNUMBER('4CO멍텅(실측)'!N29)),IF(ISNUMBER('4CO멍텅(실측)'!N29),IF(9-MIN('4CO멍텅(실측)'!N29+멍텅A늘림,'4CO멍텅(실측)'!O29+멍텅A늘림)+AR29&lt;AR29,AR29,9-MIN('4CO멍텅(실측)'!N29+멍텅A늘림,'4CO멍텅(실측)'!O29+멍텅A늘림) + AR29 ),0),IF(ISNUMBER('4CO멍텅(실측)'!N29),IF(9-'4CO멍텅(실측)'!N29-멍텅A늘림+AR29&lt;AR29,AR29,9-'4CO멍텅(실측)'!N29-멍텅A늘림+AR29),0))</f>
        <v>0</v>
      </c>
      <c r="AQ29" s="3">
        <f>IF(AND(ISNUMBER('4CO멍텅(실측)'!N29),ISNUMBER('4CO멍텅(실측)'!O29)),IF(ISNUMBER('4CO멍텅(실측)'!O29),IF(9-MIN('4CO멍텅(실측)'!O29+멍텅A늘림,'4CO멍텅(실측)'!N29+멍텅A늘림)+AR29&lt;AR29,AR29,9-MIN('4CO멍텅(실측)'!O29+멍텅A늘림,'4CO멍텅(실측)'!N29+멍텅A늘림) + AR29 ),0),IF(ISNUMBER('4CO멍텅(실측)'!O29),IF(9-'4CO멍텅(실측)'!O29-멍텅A늘림+AR29&lt;AR29,AR29,9-'4CO멍텅(실측)'!O29-멍텅A늘림+AR29),0))</f>
        <v>0</v>
      </c>
      <c r="AR29" s="16"/>
      <c r="AS29" s="17">
        <f t="shared" si="18"/>
        <v>0.17205888072788189</v>
      </c>
      <c r="AT29" s="36">
        <f t="shared" si="19"/>
        <v>1.5014913461186552E-3</v>
      </c>
      <c r="AU29" s="36">
        <f t="shared" si="20"/>
        <v>1.5014913461186552E-3</v>
      </c>
      <c r="AV29" s="46" t="str">
        <f t="shared" si="21"/>
        <v/>
      </c>
      <c r="AW29" s="3">
        <f t="shared" si="22"/>
        <v>1676</v>
      </c>
      <c r="AX29" s="3">
        <f t="shared" si="23"/>
        <v>451.2</v>
      </c>
      <c r="AY29" s="3">
        <f t="shared" si="24"/>
        <v>421.2</v>
      </c>
      <c r="AZ29" s="3">
        <f t="shared" si="25"/>
        <v>2295</v>
      </c>
      <c r="BA29" s="3">
        <f t="shared" si="26"/>
        <v>419.2</v>
      </c>
      <c r="BB29" s="3">
        <f t="shared" si="27"/>
        <v>2290</v>
      </c>
      <c r="BC29">
        <f t="shared" si="28"/>
        <v>0</v>
      </c>
      <c r="BD29">
        <f t="shared" si="29"/>
        <v>0</v>
      </c>
      <c r="BE29" s="79">
        <f t="shared" si="30"/>
        <v>1</v>
      </c>
      <c r="BF29" s="83">
        <f>IF(소장="손상민",'4CO멍텅(실측)'!AG29,0)</f>
        <v>0</v>
      </c>
    </row>
    <row r="30" spans="1:58" ht="26.25" customHeight="1" x14ac:dyDescent="0.3">
      <c r="A30" s="4" t="str">
        <f>'4CO멍텅(실측)'!A30</f>
        <v>103-2</v>
      </c>
      <c r="B30" s="4" t="str">
        <f>'4CO멍텅(실측)'!B30&amp;"F"</f>
        <v>4F</v>
      </c>
      <c r="C30" s="4">
        <f>'4CO멍텅(실측)'!C30-CO4멍텅OP/2</f>
        <v>404</v>
      </c>
      <c r="D30" s="4">
        <f>'4CO멍텅(실측)'!D30</f>
        <v>800</v>
      </c>
      <c r="E30" s="4">
        <f>'4CO멍텅(실측)'!E30-CO4멍텅OP/2</f>
        <v>394</v>
      </c>
      <c r="F30" s="4">
        <f>'4CO멍텅(실측)'!F30-CO4멍텅R</f>
        <v>1598</v>
      </c>
      <c r="G30" s="4">
        <f>'4CO멍텅(실측)'!G30+MAX(AP30,AQ30)+IF(BE30=1,AD30,0)+CO4멍텅JBJD늘림치수</f>
        <v>323</v>
      </c>
      <c r="H30" s="4">
        <f>'4CO멍텅(실측)'!H30+MAX(AP30,AQ30)+IF(BE30=1,MAX(AD30,AF30),0)+CO4멍텅JBJD늘림치수</f>
        <v>367</v>
      </c>
      <c r="I30" s="4">
        <f>'4CO멍텅(실측)'!I30+MAX(AP30,AQ30)+IF(BE30=1,AF30,0)+CO4멍텅JBJD늘림치수</f>
        <v>323</v>
      </c>
      <c r="J30" s="4">
        <f>'4CO멍텅(실측)'!J30+AP30+IF(BE30=1,AD30,0)+CO4멍텅JB강제키움+CO4멍텅JBJD늘림치수</f>
        <v>323</v>
      </c>
      <c r="K30" s="4">
        <f>'4CO멍텅(실측)'!J30+AP30+IF(BE30=1,AE30,0)+CO4멍텅JB강제키움+CO4멍텅JBJD늘림치수-IF(CO4멍텅JB하부늘치=1,'4CO멍텅(실측)'!X30-'4CO멍텅(실측)'!Y30,0)</f>
        <v>324</v>
      </c>
      <c r="L30" s="4">
        <f>'4CO멍텅(실측)'!K30+AQ30+IF(BE30=1,AF30,0)+CO4멍텅JB강제키움+CO4멍텅JBJD늘림치수</f>
        <v>323</v>
      </c>
      <c r="M30" s="4">
        <f>'4CO멍텅(실측)'!K30+AQ30+IF(BE30=1,AG30,0)+CO4멍텅JB강제키움+CO4멍텅JBJD늘림치수-IF(CO4멍텅JB하부늘치=1,'4CO멍텅(실측)'!Z30-'4CO멍텅(실측)'!AA30,0)</f>
        <v>324</v>
      </c>
      <c r="N30" s="73">
        <f t="shared" si="11"/>
        <v>44</v>
      </c>
      <c r="O30" s="73">
        <f t="shared" si="12"/>
        <v>44</v>
      </c>
      <c r="P30" s="4">
        <f t="shared" si="13"/>
        <v>38.5</v>
      </c>
      <c r="Q30" s="4">
        <f t="shared" si="14"/>
        <v>38.5</v>
      </c>
      <c r="R30" s="4">
        <f>IF(T30&gt;0,'4CO멍텅(실측)'!L30+CO4멍텅C늘림,'4CO멍텅(실측)'!L30+1)</f>
        <v>40</v>
      </c>
      <c r="S30" s="4">
        <f>IF(U30&gt;0,'4CO멍텅(실측)'!M30+CO4멍텅C늘림,'4CO멍텅(실측)'!M30+1)</f>
        <v>40</v>
      </c>
      <c r="T30" s="4">
        <f>IF(ISNUMBER('4CO멍텅(실측)'!N30),'4CO멍텅(실측)'!N30+'4CO멍텅제작'!AP30+멍텅A늘림,0)</f>
        <v>23</v>
      </c>
      <c r="U30" s="4">
        <f>IF(ISNUMBER('4CO멍텅(실측)'!O30),'4CO멍텅(실측)'!O30+'4CO멍텅제작'!AQ30+멍텅A늘림,0)</f>
        <v>23</v>
      </c>
      <c r="V30" s="4">
        <f>'4CO멍텅(실측)'!P30-CO4멍텅기둥차감</f>
        <v>2290</v>
      </c>
      <c r="W30" s="4">
        <f>'4CO멍텅(실측)'!Q30-CO4멍텅기둥차감</f>
        <v>2286</v>
      </c>
      <c r="X30" s="4">
        <f>'4CO멍텅(실측)'!R30-CO4멍텅기둥차감</f>
        <v>2289</v>
      </c>
      <c r="Y30" s="4">
        <f>'4CO멍텅(실측)'!S30-CO4멍텅기둥차감</f>
        <v>2286</v>
      </c>
      <c r="Z30" s="4">
        <f>IF(ISNUMBER('4CO멍텅(실측)'!T30),IF(AA30&gt;0,'4CO멍텅(실측)'!T30+CO4멍텅U늘림,'4CO멍텅(실측)'!T30+1.2),0)</f>
        <v>40</v>
      </c>
      <c r="AA30" s="4">
        <f>IF(OR(CO4멍텅G="", CO4멍텅G=0),IF(ISNUMBER('4CO멍텅(실측)'!U30),IF('4CO멍텅(실측)'!U30+멍텅A늘림+MAX(AP30,AQ30)&gt;9,'4CO멍텅(실측)'!U30+멍텅A늘림+MAX(AP30,AQ30),'4CO멍텅(실측)'!U30+멍텅A늘림+MAX(AP30,AQ30)),0),CO4멍텅G)</f>
        <v>9</v>
      </c>
      <c r="AB30" s="4">
        <f>'4CO멍텅(실측)'!V30+뒷날개치수더함</f>
        <v>30</v>
      </c>
      <c r="AC30" s="4">
        <f>'4CO멍텅(실측)'!W30+뒷날개치수더함</f>
        <v>30</v>
      </c>
      <c r="AD30" s="13">
        <f>'4CO멍텅(실측)'!X30-CO4멍텅늘치차감</f>
        <v>5</v>
      </c>
      <c r="AE30" s="13">
        <f>IF(CO4멍텅JB하부늘치=1,AD30,'4CO멍텅(실측)'!Y30-CO4멍텅늘치차감)</f>
        <v>5</v>
      </c>
      <c r="AF30" s="13">
        <f>'4CO멍텅(실측)'!Z30-CO4멍텅늘치차감</f>
        <v>5</v>
      </c>
      <c r="AG30" s="13">
        <f>IF(CO4멍텅JB하부늘치=1,AF30,'4CO멍텅(실측)'!AA30-CO4멍텅늘치차감)</f>
        <v>5</v>
      </c>
      <c r="AH30" s="11" t="str">
        <f t="shared" si="15"/>
        <v>1675*441.2</v>
      </c>
      <c r="AI30" s="12" t="str">
        <f t="shared" si="16"/>
        <v>2290*412.2</v>
      </c>
      <c r="AJ30" s="10" t="str">
        <f t="shared" si="17"/>
        <v>2289*412.2</v>
      </c>
      <c r="AK30" s="4">
        <f>IF('4CO멍텅(실측)'!AB30&gt;5,'4CO멍텅(실측)'!AB30+뒷날개치수더함,'4CO멍텅(실측)'!AB30)</f>
        <v>20</v>
      </c>
      <c r="AL30" s="4">
        <f>'4CO멍텅(실측)'!AC30</f>
        <v>10</v>
      </c>
      <c r="AM30" s="4">
        <f>'4CO멍텅(실측)'!AD30</f>
        <v>10</v>
      </c>
      <c r="AN30" s="31">
        <f>IF('4CO멍텅(실측)'!AE30&gt;0,'4CO멍텅(실측)'!AE30-'4CO멍텅(실측)'!V30+1.2,0)</f>
        <v>5.2</v>
      </c>
      <c r="AO30" s="31">
        <f>IF('4CO멍텅(실측)'!AF30&gt;0,'4CO멍텅(실측)'!AF30-'4CO멍텅(실측)'!V30+1.2,0)</f>
        <v>5.2</v>
      </c>
      <c r="AP30" s="3">
        <f>IF(AND(ISNUMBER('4CO멍텅(실측)'!O30),ISNUMBER('4CO멍텅(실측)'!N30)),IF(ISNUMBER('4CO멍텅(실측)'!N30),IF(9-MIN('4CO멍텅(실측)'!N30+멍텅A늘림,'4CO멍텅(실측)'!O30+멍텅A늘림)+AR30&lt;AR30,AR30,9-MIN('4CO멍텅(실측)'!N30+멍텅A늘림,'4CO멍텅(실측)'!O30+멍텅A늘림) + AR30 ),0),IF(ISNUMBER('4CO멍텅(실측)'!N30),IF(9-'4CO멍텅(실측)'!N30-멍텅A늘림+AR30&lt;AR30,AR30,9-'4CO멍텅(실측)'!N30-멍텅A늘림+AR30),0))</f>
        <v>0</v>
      </c>
      <c r="AQ30" s="3">
        <f>IF(AND(ISNUMBER('4CO멍텅(실측)'!N30),ISNUMBER('4CO멍텅(실측)'!O30)),IF(ISNUMBER('4CO멍텅(실측)'!O30),IF(9-MIN('4CO멍텅(실측)'!O30+멍텅A늘림,'4CO멍텅(실측)'!N30+멍텅A늘림)+AR30&lt;AR30,AR30,9-MIN('4CO멍텅(실측)'!O30+멍텅A늘림,'4CO멍텅(실측)'!N30+멍텅A늘림) + AR30 ),0),IF(ISNUMBER('4CO멍텅(실측)'!O30),IF(9-'4CO멍텅(실측)'!O30-멍텅A늘림+AR30&lt;AR30,AR30,9-'4CO멍텅(실측)'!O30-멍텅A늘림+AR30),0))</f>
        <v>0</v>
      </c>
      <c r="AR30" s="16"/>
      <c r="AS30" s="17">
        <f t="shared" si="18"/>
        <v>0</v>
      </c>
      <c r="AT30" s="36">
        <f t="shared" si="19"/>
        <v>0</v>
      </c>
      <c r="AU30" s="36">
        <f t="shared" si="20"/>
        <v>0</v>
      </c>
      <c r="AV30" s="46" t="str">
        <f t="shared" si="21"/>
        <v/>
      </c>
      <c r="AW30" s="3">
        <f t="shared" si="22"/>
        <v>1675</v>
      </c>
      <c r="AX30" s="3">
        <f t="shared" si="23"/>
        <v>441.2</v>
      </c>
      <c r="AY30" s="3">
        <f t="shared" si="24"/>
        <v>412.2</v>
      </c>
      <c r="AZ30" s="3">
        <f t="shared" si="25"/>
        <v>2290</v>
      </c>
      <c r="BA30" s="3">
        <f t="shared" si="26"/>
        <v>412.2</v>
      </c>
      <c r="BB30" s="3">
        <f t="shared" si="27"/>
        <v>2289</v>
      </c>
      <c r="BC30">
        <f t="shared" si="28"/>
        <v>0</v>
      </c>
      <c r="BD30">
        <f t="shared" si="29"/>
        <v>0</v>
      </c>
      <c r="BE30" s="79">
        <f t="shared" si="30"/>
        <v>1</v>
      </c>
      <c r="BF30" s="83">
        <f>IF(소장="손상민",'4CO멍텅(실측)'!AG30,0)</f>
        <v>0</v>
      </c>
    </row>
    <row r="31" spans="1:58" ht="26.25" customHeight="1" x14ac:dyDescent="0.3">
      <c r="A31" s="4" t="str">
        <f>'4CO멍텅(실측)'!A31</f>
        <v>103-2</v>
      </c>
      <c r="B31" s="4" t="str">
        <f>'4CO멍텅(실측)'!B31&amp;"F"</f>
        <v>3F</v>
      </c>
      <c r="C31" s="4">
        <f>'4CO멍텅(실측)'!C31-CO4멍텅OP/2</f>
        <v>404</v>
      </c>
      <c r="D31" s="4">
        <f>'4CO멍텅(실측)'!D31</f>
        <v>800</v>
      </c>
      <c r="E31" s="4">
        <f>'4CO멍텅(실측)'!E31-CO4멍텅OP/2</f>
        <v>394</v>
      </c>
      <c r="F31" s="4">
        <f>'4CO멍텅(실측)'!F31-CO4멍텅R</f>
        <v>1598</v>
      </c>
      <c r="G31" s="4">
        <f>'4CO멍텅(실측)'!G31+MAX(AP31,AQ31)+IF(BE31=1,AD31,0)+CO4멍텅JBJD늘림치수</f>
        <v>334</v>
      </c>
      <c r="H31" s="4">
        <f>'4CO멍텅(실측)'!H31+MAX(AP31,AQ31)+IF(BE31=1,MAX(AD31,AF31),0)+CO4멍텅JBJD늘림치수</f>
        <v>378</v>
      </c>
      <c r="I31" s="4">
        <f>'4CO멍텅(실측)'!I31+MAX(AP31,AQ31)+IF(BE31=1,AF31,0)+CO4멍텅JBJD늘림치수</f>
        <v>333</v>
      </c>
      <c r="J31" s="4">
        <f>'4CO멍텅(실측)'!J31+AP31+IF(BE31=1,AD31,0)+CO4멍텅JB강제키움+CO4멍텅JBJD늘림치수</f>
        <v>334</v>
      </c>
      <c r="K31" s="4">
        <f>'4CO멍텅(실측)'!J31+AP31+IF(BE31=1,AE31,0)+CO4멍텅JB강제키움+CO4멍텅JBJD늘림치수-IF(CO4멍텅JB하부늘치=1,'4CO멍텅(실측)'!X31-'4CO멍텅(실측)'!Y31,0)</f>
        <v>334</v>
      </c>
      <c r="L31" s="4">
        <f>'4CO멍텅(실측)'!K31+AQ31+IF(BE31=1,AF31,0)+CO4멍텅JB강제키움+CO4멍텅JBJD늘림치수</f>
        <v>333</v>
      </c>
      <c r="M31" s="4">
        <f>'4CO멍텅(실측)'!K31+AQ31+IF(BE31=1,AG31,0)+CO4멍텅JB강제키움+CO4멍텅JBJD늘림치수-IF(CO4멍텅JB하부늘치=1,'4CO멍텅(실측)'!Z31-'4CO멍텅(실측)'!AA31,0)</f>
        <v>334</v>
      </c>
      <c r="N31" s="73">
        <f t="shared" si="11"/>
        <v>44</v>
      </c>
      <c r="O31" s="73">
        <f t="shared" si="12"/>
        <v>45</v>
      </c>
      <c r="P31" s="4">
        <f t="shared" si="13"/>
        <v>38.5</v>
      </c>
      <c r="Q31" s="4">
        <f t="shared" si="14"/>
        <v>38.5</v>
      </c>
      <c r="R31" s="4">
        <f>IF(T31&gt;0,'4CO멍텅(실측)'!L31+CO4멍텅C늘림,'4CO멍텅(실측)'!L31+1)</f>
        <v>40</v>
      </c>
      <c r="S31" s="4">
        <f>IF(U31&gt;0,'4CO멍텅(실측)'!M31+CO4멍텅C늘림,'4CO멍텅(실측)'!M31+1)</f>
        <v>40</v>
      </c>
      <c r="T31" s="4">
        <f>IF(ISNUMBER('4CO멍텅(실측)'!N31),'4CO멍텅(실측)'!N31+'4CO멍텅제작'!AP31+멍텅A늘림,0)</f>
        <v>21</v>
      </c>
      <c r="U31" s="4">
        <f>IF(ISNUMBER('4CO멍텅(실측)'!O31),'4CO멍텅(실측)'!O31+'4CO멍텅제작'!AQ31+멍텅A늘림,0)</f>
        <v>21</v>
      </c>
      <c r="V31" s="4">
        <f>'4CO멍텅(실측)'!P31-CO4멍텅기둥차감</f>
        <v>2281</v>
      </c>
      <c r="W31" s="4">
        <f>'4CO멍텅(실측)'!Q31-CO4멍텅기둥차감</f>
        <v>2286</v>
      </c>
      <c r="X31" s="4">
        <f>'4CO멍텅(실측)'!R31-CO4멍텅기둥차감</f>
        <v>2290</v>
      </c>
      <c r="Y31" s="4">
        <f>'4CO멍텅(실측)'!S31-CO4멍텅기둥차감</f>
        <v>2286</v>
      </c>
      <c r="Z31" s="4">
        <f>IF(ISNUMBER('4CO멍텅(실측)'!T31),IF(AA31&gt;0,'4CO멍텅(실측)'!T31+CO4멍텅U늘림,'4CO멍텅(실측)'!T31+1.2),0)</f>
        <v>40</v>
      </c>
      <c r="AA31" s="4">
        <f>IF(OR(CO4멍텅G="", CO4멍텅G=0),IF(ISNUMBER('4CO멍텅(실측)'!U31),IF('4CO멍텅(실측)'!U31+멍텅A늘림+MAX(AP31,AQ31)&gt;9,'4CO멍텅(실측)'!U31+멍텅A늘림+MAX(AP31,AQ31),'4CO멍텅(실측)'!U31+멍텅A늘림+MAX(AP31,AQ31)),0),CO4멍텅G)</f>
        <v>9</v>
      </c>
      <c r="AB31" s="4">
        <f>'4CO멍텅(실측)'!V31+뒷날개치수더함</f>
        <v>30</v>
      </c>
      <c r="AC31" s="4">
        <f>'4CO멍텅(실측)'!W31+뒷날개치수더함</f>
        <v>30</v>
      </c>
      <c r="AD31" s="13">
        <f>'4CO멍텅(실측)'!X31-CO4멍텅늘치차감</f>
        <v>6</v>
      </c>
      <c r="AE31" s="13">
        <f>IF(CO4멍텅JB하부늘치=1,AD31,'4CO멍텅(실측)'!Y31-CO4멍텅늘치차감)</f>
        <v>6</v>
      </c>
      <c r="AF31" s="13">
        <f>'4CO멍텅(실측)'!Z31-CO4멍텅늘치차감</f>
        <v>5</v>
      </c>
      <c r="AG31" s="13">
        <f>IF(CO4멍텅JB하부늘치=1,AF31,'4CO멍텅(실측)'!AA31-CO4멍텅늘치차감)</f>
        <v>5</v>
      </c>
      <c r="AH31" s="11" t="str">
        <f t="shared" si="15"/>
        <v>1675*452.2</v>
      </c>
      <c r="AI31" s="12" t="str">
        <f t="shared" si="16"/>
        <v>2286*420.2</v>
      </c>
      <c r="AJ31" s="10" t="str">
        <f t="shared" si="17"/>
        <v>2290*420.2</v>
      </c>
      <c r="AK31" s="4">
        <f>IF('4CO멍텅(실측)'!AB31&gt;5,'4CO멍텅(실측)'!AB31+뒷날개치수더함,'4CO멍텅(실측)'!AB31)</f>
        <v>20</v>
      </c>
      <c r="AL31" s="4">
        <f>'4CO멍텅(실측)'!AC31</f>
        <v>10</v>
      </c>
      <c r="AM31" s="4">
        <f>'4CO멍텅(실측)'!AD31</f>
        <v>10</v>
      </c>
      <c r="AN31" s="31">
        <f>IF('4CO멍텅(실측)'!AE31&gt;0,'4CO멍텅(실측)'!AE31-'4CO멍텅(실측)'!V31+1.2,0)</f>
        <v>5.2</v>
      </c>
      <c r="AO31" s="31">
        <f>IF('4CO멍텅(실측)'!AF31&gt;0,'4CO멍텅(실측)'!AF31-'4CO멍텅(실측)'!V31+1.2,0)</f>
        <v>5.2</v>
      </c>
      <c r="AP31" s="3">
        <f>IF(AND(ISNUMBER('4CO멍텅(실측)'!O31),ISNUMBER('4CO멍텅(실측)'!N31)),IF(ISNUMBER('4CO멍텅(실측)'!N31),IF(9-MIN('4CO멍텅(실측)'!N31+멍텅A늘림,'4CO멍텅(실측)'!O31+멍텅A늘림)+AR31&lt;AR31,AR31,9-MIN('4CO멍텅(실측)'!N31+멍텅A늘림,'4CO멍텅(실측)'!O31+멍텅A늘림) + AR31 ),0),IF(ISNUMBER('4CO멍텅(실측)'!N31),IF(9-'4CO멍텅(실측)'!N31-멍텅A늘림+AR31&lt;AR31,AR31,9-'4CO멍텅(실측)'!N31-멍텅A늘림+AR31),0))</f>
        <v>0</v>
      </c>
      <c r="AQ31" s="3">
        <f>IF(AND(ISNUMBER('4CO멍텅(실측)'!N31),ISNUMBER('4CO멍텅(실측)'!O31)),IF(ISNUMBER('4CO멍텅(실측)'!O31),IF(9-MIN('4CO멍텅(실측)'!O31+멍텅A늘림,'4CO멍텅(실측)'!N31+멍텅A늘림)+AR31&lt;AR31,AR31,9-MIN('4CO멍텅(실측)'!O31+멍텅A늘림,'4CO멍텅(실측)'!N31+멍텅A늘림) + AR31 ),0),IF(ISNUMBER('4CO멍텅(실측)'!O31),IF(9-'4CO멍텅(실측)'!O31-멍텅A늘림+AR31&lt;AR31,AR31,9-'4CO멍텅(실측)'!O31-멍텅A늘림+AR31),0))</f>
        <v>0</v>
      </c>
      <c r="AR31" s="16"/>
      <c r="AS31" s="17">
        <f t="shared" si="18"/>
        <v>0</v>
      </c>
      <c r="AT31" s="36">
        <f t="shared" si="19"/>
        <v>0</v>
      </c>
      <c r="AU31" s="36">
        <f t="shared" si="20"/>
        <v>0</v>
      </c>
      <c r="AV31" s="46" t="str">
        <f t="shared" si="21"/>
        <v>JD비대칭</v>
      </c>
      <c r="AW31" s="3">
        <f t="shared" si="22"/>
        <v>1675</v>
      </c>
      <c r="AX31" s="3">
        <f t="shared" si="23"/>
        <v>452.2</v>
      </c>
      <c r="AY31" s="3">
        <f t="shared" si="24"/>
        <v>420.2</v>
      </c>
      <c r="AZ31" s="3">
        <f t="shared" si="25"/>
        <v>2286</v>
      </c>
      <c r="BA31" s="3">
        <f t="shared" si="26"/>
        <v>420.2</v>
      </c>
      <c r="BB31" s="3">
        <f t="shared" si="27"/>
        <v>2290</v>
      </c>
      <c r="BC31">
        <f t="shared" si="28"/>
        <v>0</v>
      </c>
      <c r="BD31">
        <f t="shared" si="29"/>
        <v>0</v>
      </c>
      <c r="BE31" s="79">
        <f t="shared" si="30"/>
        <v>1</v>
      </c>
      <c r="BF31" s="83">
        <f>IF(소장="손상민",'4CO멍텅(실측)'!AG31,0)</f>
        <v>0</v>
      </c>
    </row>
    <row r="32" spans="1:58" ht="26.25" customHeight="1" x14ac:dyDescent="0.3">
      <c r="A32" s="4" t="str">
        <f>'4CO멍텅(실측)'!A32</f>
        <v>103-2</v>
      </c>
      <c r="B32" s="4" t="str">
        <f>'4CO멍텅(실측)'!B32&amp;"F"</f>
        <v>2F</v>
      </c>
      <c r="C32" s="4">
        <f>'4CO멍텅(실측)'!C32-CO4멍텅OP/2</f>
        <v>404</v>
      </c>
      <c r="D32" s="4">
        <f>'4CO멍텅(실측)'!D32</f>
        <v>800</v>
      </c>
      <c r="E32" s="4">
        <f>'4CO멍텅(실측)'!E32-CO4멍텅OP/2</f>
        <v>394</v>
      </c>
      <c r="F32" s="4">
        <f>'4CO멍텅(실측)'!F32-CO4멍텅R</f>
        <v>1599</v>
      </c>
      <c r="G32" s="4">
        <f>'4CO멍텅(실측)'!G32+MAX(AP32,AQ32)+IF(BE32=1,AD32,0)+CO4멍텅JBJD늘림치수</f>
        <v>324</v>
      </c>
      <c r="H32" s="4">
        <f>'4CO멍텅(실측)'!H32+MAX(AP32,AQ32)+IF(BE32=1,MAX(AD32,AF32),0)+CO4멍텅JBJD늘림치수</f>
        <v>368</v>
      </c>
      <c r="I32" s="4">
        <f>'4CO멍텅(실측)'!I32+MAX(AP32,AQ32)+IF(BE32=1,AF32,0)+CO4멍텅JBJD늘림치수</f>
        <v>324</v>
      </c>
      <c r="J32" s="4">
        <f>'4CO멍텅(실측)'!J32+AP32+IF(BE32=1,AD32,0)+CO4멍텅JB강제키움+CO4멍텅JBJD늘림치수</f>
        <v>324</v>
      </c>
      <c r="K32" s="4">
        <f>'4CO멍텅(실측)'!J32+AP32+IF(BE32=1,AE32,0)+CO4멍텅JB강제키움+CO4멍텅JBJD늘림치수-IF(CO4멍텅JB하부늘치=1,'4CO멍텅(실측)'!X32-'4CO멍텅(실측)'!Y32,0)</f>
        <v>324</v>
      </c>
      <c r="L32" s="4">
        <f>'4CO멍텅(실측)'!K32+AQ32+IF(BE32=1,AF32,0)+CO4멍텅JB강제키움+CO4멍텅JBJD늘림치수</f>
        <v>324</v>
      </c>
      <c r="M32" s="4">
        <f>'4CO멍텅(실측)'!K32+AQ32+IF(BE32=1,AG32,0)+CO4멍텅JB강제키움+CO4멍텅JBJD늘림치수-IF(CO4멍텅JB하부늘치=1,'4CO멍텅(실측)'!Z32-'4CO멍텅(실측)'!AA32,0)</f>
        <v>324</v>
      </c>
      <c r="N32" s="73">
        <f t="shared" si="11"/>
        <v>44</v>
      </c>
      <c r="O32" s="73">
        <f t="shared" si="12"/>
        <v>44</v>
      </c>
      <c r="P32" s="4">
        <f t="shared" si="13"/>
        <v>38.5</v>
      </c>
      <c r="Q32" s="4">
        <f t="shared" si="14"/>
        <v>38.5</v>
      </c>
      <c r="R32" s="4">
        <f>IF(T32&gt;0,'4CO멍텅(실측)'!L32+CO4멍텅C늘림,'4CO멍텅(실측)'!L32+1)</f>
        <v>40</v>
      </c>
      <c r="S32" s="4">
        <f>IF(U32&gt;0,'4CO멍텅(실측)'!M32+CO4멍텅C늘림,'4CO멍텅(실측)'!M32+1)</f>
        <v>40</v>
      </c>
      <c r="T32" s="4">
        <f>IF(ISNUMBER('4CO멍텅(실측)'!N32),'4CO멍텅(실측)'!N32+'4CO멍텅제작'!AP32+멍텅A늘림,0)</f>
        <v>14</v>
      </c>
      <c r="U32" s="4">
        <f>IF(ISNUMBER('4CO멍텅(실측)'!O32),'4CO멍텅(실측)'!O32+'4CO멍텅제작'!AQ32+멍텅A늘림,0)</f>
        <v>16</v>
      </c>
      <c r="V32" s="4">
        <f>'4CO멍텅(실측)'!P32-CO4멍텅기둥차감</f>
        <v>2295</v>
      </c>
      <c r="W32" s="4">
        <f>'4CO멍텅(실측)'!Q32-CO4멍텅기둥차감</f>
        <v>2290</v>
      </c>
      <c r="X32" s="4">
        <f>'4CO멍텅(실측)'!R32-CO4멍텅기둥차감</f>
        <v>2290</v>
      </c>
      <c r="Y32" s="4">
        <f>'4CO멍텅(실측)'!S32-CO4멍텅기둥차감</f>
        <v>2286</v>
      </c>
      <c r="Z32" s="4">
        <f>IF(ISNUMBER('4CO멍텅(실측)'!T32),IF(AA32&gt;0,'4CO멍텅(실측)'!T32+CO4멍텅U늘림,'4CO멍텅(실측)'!T32+1.2),0)</f>
        <v>40</v>
      </c>
      <c r="AA32" s="4">
        <f>IF(OR(CO4멍텅G="", CO4멍텅G=0),IF(ISNUMBER('4CO멍텅(실측)'!U32),IF('4CO멍텅(실측)'!U32+멍텅A늘림+MAX(AP32,AQ32)&gt;9,'4CO멍텅(실측)'!U32+멍텅A늘림+MAX(AP32,AQ32),'4CO멍텅(실측)'!U32+멍텅A늘림+MAX(AP32,AQ32)),0),CO4멍텅G)</f>
        <v>9</v>
      </c>
      <c r="AB32" s="4">
        <f>'4CO멍텅(실측)'!V32+뒷날개치수더함</f>
        <v>30</v>
      </c>
      <c r="AC32" s="4">
        <f>'4CO멍텅(실측)'!W32+뒷날개치수더함</f>
        <v>30</v>
      </c>
      <c r="AD32" s="13">
        <f>'4CO멍텅(실측)'!X32-CO4멍텅늘치차감</f>
        <v>6</v>
      </c>
      <c r="AE32" s="13">
        <f>IF(CO4멍텅JB하부늘치=1,AD32,'4CO멍텅(실측)'!Y32-CO4멍텅늘치차감)</f>
        <v>6</v>
      </c>
      <c r="AF32" s="13">
        <f>'4CO멍텅(실측)'!Z32-CO4멍텅늘치차감</f>
        <v>6</v>
      </c>
      <c r="AG32" s="13">
        <f>IF(CO4멍텅JB하부늘치=1,AF32,'4CO멍텅(실측)'!AA32-CO4멍텅늘치차감)</f>
        <v>6</v>
      </c>
      <c r="AH32" s="11" t="str">
        <f t="shared" si="15"/>
        <v>1676*442.2</v>
      </c>
      <c r="AI32" s="12" t="str">
        <f t="shared" si="16"/>
        <v>2295*403.2</v>
      </c>
      <c r="AJ32" s="10" t="str">
        <f t="shared" si="17"/>
        <v>2290*405.2</v>
      </c>
      <c r="AK32" s="4">
        <f>IF('4CO멍텅(실측)'!AB32&gt;5,'4CO멍텅(실측)'!AB32+뒷날개치수더함,'4CO멍텅(실측)'!AB32)</f>
        <v>20</v>
      </c>
      <c r="AL32" s="4">
        <f>'4CO멍텅(실측)'!AC32</f>
        <v>10</v>
      </c>
      <c r="AM32" s="4">
        <f>'4CO멍텅(실측)'!AD32</f>
        <v>10</v>
      </c>
      <c r="AN32" s="31">
        <f>IF('4CO멍텅(실측)'!AE32&gt;0,'4CO멍텅(실측)'!AE32-'4CO멍텅(실측)'!V32+1.2,0)</f>
        <v>5.2</v>
      </c>
      <c r="AO32" s="31">
        <f>IF('4CO멍텅(실측)'!AF32&gt;0,'4CO멍텅(실측)'!AF32-'4CO멍텅(실측)'!V32+1.2,0)</f>
        <v>5.2</v>
      </c>
      <c r="AP32" s="3">
        <f>IF(AND(ISNUMBER('4CO멍텅(실측)'!O32),ISNUMBER('4CO멍텅(실측)'!N32)),IF(ISNUMBER('4CO멍텅(실측)'!N32),IF(9-MIN('4CO멍텅(실측)'!N32+멍텅A늘림,'4CO멍텅(실측)'!O32+멍텅A늘림)+AR32&lt;AR32,AR32,9-MIN('4CO멍텅(실측)'!N32+멍텅A늘림,'4CO멍텅(실측)'!O32+멍텅A늘림) + AR32 ),0),IF(ISNUMBER('4CO멍텅(실측)'!N32),IF(9-'4CO멍텅(실측)'!N32-멍텅A늘림+AR32&lt;AR32,AR32,9-'4CO멍텅(실측)'!N32-멍텅A늘림+AR32),0))</f>
        <v>0</v>
      </c>
      <c r="AQ32" s="3">
        <f>IF(AND(ISNUMBER('4CO멍텅(실측)'!N32),ISNUMBER('4CO멍텅(실측)'!O32)),IF(ISNUMBER('4CO멍텅(실측)'!O32),IF(9-MIN('4CO멍텅(실측)'!O32+멍텅A늘림,'4CO멍텅(실측)'!N32+멍텅A늘림)+AR32&lt;AR32,AR32,9-MIN('4CO멍텅(실측)'!O32+멍텅A늘림,'4CO멍텅(실측)'!N32+멍텅A늘림) + AR32 ),0),IF(ISNUMBER('4CO멍텅(실측)'!O32),IF(9-'4CO멍텅(실측)'!O32-멍텅A늘림+AR32&lt;AR32,AR32,9-'4CO멍텅(실측)'!O32-멍텅A늘림+AR32),0))</f>
        <v>0</v>
      </c>
      <c r="AR32" s="16"/>
      <c r="AS32" s="17">
        <f t="shared" si="18"/>
        <v>8.8419342638750398E-2</v>
      </c>
      <c r="AT32" s="36">
        <f t="shared" si="19"/>
        <v>3.8580178005531707E-4</v>
      </c>
      <c r="AU32" s="36">
        <f t="shared" si="20"/>
        <v>3.8580178005531707E-4</v>
      </c>
      <c r="AV32" s="46" t="str">
        <f t="shared" si="21"/>
        <v/>
      </c>
      <c r="AW32" s="3">
        <f t="shared" si="22"/>
        <v>1676</v>
      </c>
      <c r="AX32" s="3">
        <f t="shared" si="23"/>
        <v>442.2</v>
      </c>
      <c r="AY32" s="3">
        <f t="shared" si="24"/>
        <v>403.2</v>
      </c>
      <c r="AZ32" s="3">
        <f t="shared" si="25"/>
        <v>2295</v>
      </c>
      <c r="BA32" s="3">
        <f t="shared" si="26"/>
        <v>405.2</v>
      </c>
      <c r="BB32" s="3">
        <f t="shared" si="27"/>
        <v>2290</v>
      </c>
      <c r="BC32">
        <f t="shared" si="28"/>
        <v>0</v>
      </c>
      <c r="BD32">
        <f t="shared" si="29"/>
        <v>0</v>
      </c>
      <c r="BE32" s="79">
        <f t="shared" si="30"/>
        <v>1</v>
      </c>
      <c r="BF32" s="83">
        <f>IF(소장="손상민",'4CO멍텅(실측)'!AG32,0)</f>
        <v>0</v>
      </c>
    </row>
    <row r="33" spans="1:58" ht="26.25" customHeight="1" x14ac:dyDescent="0.3">
      <c r="A33" s="4" t="str">
        <f>'4CO멍텅(실측)'!A33</f>
        <v>103-2</v>
      </c>
      <c r="B33" s="4" t="str">
        <f>'4CO멍텅(실측)'!B33&amp;"F"</f>
        <v>B1F</v>
      </c>
      <c r="C33" s="4">
        <f>'4CO멍텅(실측)'!C33-CO4멍텅OP/2</f>
        <v>409</v>
      </c>
      <c r="D33" s="4">
        <f>'4CO멍텅(실측)'!D33</f>
        <v>795</v>
      </c>
      <c r="E33" s="4">
        <f>'4CO멍텅(실측)'!E33-CO4멍텅OP/2</f>
        <v>394</v>
      </c>
      <c r="F33" s="4">
        <f>'4CO멍텅(실측)'!F33-CO4멍텅R</f>
        <v>1598</v>
      </c>
      <c r="G33" s="4">
        <f>'4CO멍텅(실측)'!G33+MAX(AP33,AQ33)+IF(BE33=1,AD33,0)+CO4멍텅JBJD늘림치수</f>
        <v>330</v>
      </c>
      <c r="H33" s="4">
        <f>'4CO멍텅(실측)'!H33+MAX(AP33,AQ33)+IF(BE33=1,MAX(AD33,AF33),0)+CO4멍텅JBJD늘림치수</f>
        <v>374</v>
      </c>
      <c r="I33" s="4">
        <f>'4CO멍텅(실측)'!I33+MAX(AP33,AQ33)+IF(BE33=1,AF33,0)+CO4멍텅JBJD늘림치수</f>
        <v>330</v>
      </c>
      <c r="J33" s="4">
        <f>'4CO멍텅(실측)'!J33+AP33+IF(BE33=1,AD33,0)+CO4멍텅JB강제키움+CO4멍텅JBJD늘림치수</f>
        <v>330</v>
      </c>
      <c r="K33" s="4">
        <f>'4CO멍텅(실측)'!J33+AP33+IF(BE33=1,AE33,0)+CO4멍텅JB강제키움+CO4멍텅JBJD늘림치수-IF(CO4멍텅JB하부늘치=1,'4CO멍텅(실측)'!X33-'4CO멍텅(실측)'!Y33,0)</f>
        <v>331</v>
      </c>
      <c r="L33" s="4">
        <f>'4CO멍텅(실측)'!K33+AQ33+IF(BE33=1,AF33,0)+CO4멍텅JB강제키움+CO4멍텅JBJD늘림치수</f>
        <v>330</v>
      </c>
      <c r="M33" s="4">
        <f>'4CO멍텅(실측)'!K33+AQ33+IF(BE33=1,AG33,0)+CO4멍텅JB강제키움+CO4멍텅JBJD늘림치수-IF(CO4멍텅JB하부늘치=1,'4CO멍텅(실측)'!Z33-'4CO멍텅(실측)'!AA33,0)</f>
        <v>331</v>
      </c>
      <c r="N33" s="73">
        <f t="shared" si="11"/>
        <v>44</v>
      </c>
      <c r="O33" s="73">
        <f t="shared" si="12"/>
        <v>44</v>
      </c>
      <c r="P33" s="4">
        <f t="shared" si="13"/>
        <v>38.5</v>
      </c>
      <c r="Q33" s="4">
        <f t="shared" si="14"/>
        <v>38.5</v>
      </c>
      <c r="R33" s="4">
        <f>IF(T33&gt;0,'4CO멍텅(실측)'!L33+CO4멍텅C늘림,'4CO멍텅(실측)'!L33+1)</f>
        <v>40</v>
      </c>
      <c r="S33" s="4">
        <f>IF(U33&gt;0,'4CO멍텅(실측)'!M33+CO4멍텅C늘림,'4CO멍텅(실측)'!M33+1)</f>
        <v>40</v>
      </c>
      <c r="T33" s="4">
        <f>IF(ISNUMBER('4CO멍텅(실측)'!N33),'4CO멍텅(실측)'!N33+'4CO멍텅제작'!AP33+멍텅A늘림,0)</f>
        <v>13</v>
      </c>
      <c r="U33" s="4">
        <f>IF(ISNUMBER('4CO멍텅(실측)'!O33),'4CO멍텅(실측)'!O33+'4CO멍텅제작'!AQ33+멍텅A늘림,0)</f>
        <v>13</v>
      </c>
      <c r="V33" s="4">
        <f>'4CO멍텅(실측)'!P33-CO4멍텅기둥차감</f>
        <v>2295</v>
      </c>
      <c r="W33" s="4">
        <f>'4CO멍텅(실측)'!Q33-CO4멍텅기둥차감</f>
        <v>2285</v>
      </c>
      <c r="X33" s="4">
        <f>'4CO멍텅(실측)'!R33-CO4멍텅기둥차감</f>
        <v>2294</v>
      </c>
      <c r="Y33" s="4">
        <f>'4CO멍텅(실측)'!S33-CO4멍텅기둥차감</f>
        <v>2286</v>
      </c>
      <c r="Z33" s="4">
        <f>IF(ISNUMBER('4CO멍텅(실측)'!T33),IF(AA33&gt;0,'4CO멍텅(실측)'!T33+CO4멍텅U늘림,'4CO멍텅(실측)'!T33+1.2),0)</f>
        <v>40</v>
      </c>
      <c r="AA33" s="4">
        <f>IF(OR(CO4멍텅G="", CO4멍텅G=0),IF(ISNUMBER('4CO멍텅(실측)'!U33),IF('4CO멍텅(실측)'!U33+멍텅A늘림+MAX(AP33,AQ33)&gt;9,'4CO멍텅(실측)'!U33+멍텅A늘림+MAX(AP33,AQ33),'4CO멍텅(실측)'!U33+멍텅A늘림+MAX(AP33,AQ33)),0),CO4멍텅G)</f>
        <v>9</v>
      </c>
      <c r="AB33" s="4">
        <f>'4CO멍텅(실측)'!V33+뒷날개치수더함</f>
        <v>30</v>
      </c>
      <c r="AC33" s="4">
        <f>'4CO멍텅(실측)'!W33+뒷날개치수더함</f>
        <v>30</v>
      </c>
      <c r="AD33" s="13">
        <f>'4CO멍텅(실측)'!X33-CO4멍텅늘치차감</f>
        <v>5</v>
      </c>
      <c r="AE33" s="13">
        <f>IF(CO4멍텅JB하부늘치=1,AD33,'4CO멍텅(실측)'!Y33-CO4멍텅늘치차감)</f>
        <v>5</v>
      </c>
      <c r="AF33" s="13">
        <f>'4CO멍텅(실측)'!Z33-CO4멍텅늘치차감</f>
        <v>5</v>
      </c>
      <c r="AG33" s="13">
        <f>IF(CO4멍텅JB하부늘치=1,AF33,'4CO멍텅(실측)'!AA33-CO4멍텅늘치차감)</f>
        <v>5</v>
      </c>
      <c r="AH33" s="11" t="str">
        <f t="shared" si="15"/>
        <v>1675*448.2</v>
      </c>
      <c r="AI33" s="12" t="str">
        <f t="shared" si="16"/>
        <v>2295*409.2</v>
      </c>
      <c r="AJ33" s="10" t="str">
        <f t="shared" si="17"/>
        <v>2294*409.2</v>
      </c>
      <c r="AK33" s="4">
        <f>IF('4CO멍텅(실측)'!AB33&gt;5,'4CO멍텅(실측)'!AB33+뒷날개치수더함,'4CO멍텅(실측)'!AB33)</f>
        <v>20</v>
      </c>
      <c r="AL33" s="4">
        <f>'4CO멍텅(실측)'!AC33</f>
        <v>10</v>
      </c>
      <c r="AM33" s="4">
        <f>'4CO멍텅(실측)'!AD33</f>
        <v>10</v>
      </c>
      <c r="AN33" s="31">
        <f>IF('4CO멍텅(실측)'!AE33&gt;0,'4CO멍텅(실측)'!AE33-'4CO멍텅(실측)'!V33+1.2,0)</f>
        <v>5.2</v>
      </c>
      <c r="AO33" s="31">
        <f>IF('4CO멍텅(실측)'!AF33&gt;0,'4CO멍텅(실측)'!AF33-'4CO멍텅(실측)'!V33+1.2,0)</f>
        <v>5.2</v>
      </c>
      <c r="AP33" s="3">
        <f>IF(AND(ISNUMBER('4CO멍텅(실측)'!O33),ISNUMBER('4CO멍텅(실측)'!N33)),IF(ISNUMBER('4CO멍텅(실측)'!N33),IF(9-MIN('4CO멍텅(실측)'!N33+멍텅A늘림,'4CO멍텅(실측)'!O33+멍텅A늘림)+AR33&lt;AR33,AR33,9-MIN('4CO멍텅(실측)'!N33+멍텅A늘림,'4CO멍텅(실측)'!O33+멍텅A늘림) + AR33 ),0),IF(ISNUMBER('4CO멍텅(실측)'!N33),IF(9-'4CO멍텅(실측)'!N33-멍텅A늘림+AR33&lt;AR33,AR33,9-'4CO멍텅(실측)'!N33-멍텅A늘림+AR33),0))</f>
        <v>0</v>
      </c>
      <c r="AQ33" s="3">
        <f>IF(AND(ISNUMBER('4CO멍텅(실측)'!N33),ISNUMBER('4CO멍텅(실측)'!O33)),IF(ISNUMBER('4CO멍텅(실측)'!O33),IF(9-MIN('4CO멍텅(실측)'!O33+멍텅A늘림,'4CO멍텅(실측)'!N33+멍텅A늘림)+AR33&lt;AR33,AR33,9-MIN('4CO멍텅(실측)'!O33+멍텅A늘림,'4CO멍텅(실측)'!N33+멍텅A늘림) + AR33 ),0),IF(ISNUMBER('4CO멍텅(실측)'!O33),IF(9-'4CO멍텅(실측)'!O33-멍텅A늘림+AR33&lt;AR33,AR33,9-'4CO멍텅(실측)'!O33-멍텅A늘림+AR33),0))</f>
        <v>0</v>
      </c>
      <c r="AR33" s="16"/>
      <c r="AS33" s="17">
        <f t="shared" si="18"/>
        <v>0</v>
      </c>
      <c r="AT33" s="36">
        <f t="shared" si="19"/>
        <v>0</v>
      </c>
      <c r="AU33" s="36">
        <f t="shared" si="20"/>
        <v>0</v>
      </c>
      <c r="AV33" s="46" t="str">
        <f t="shared" si="21"/>
        <v/>
      </c>
      <c r="AW33" s="3">
        <f t="shared" si="22"/>
        <v>1675</v>
      </c>
      <c r="AX33" s="3">
        <f t="shared" si="23"/>
        <v>448.2</v>
      </c>
      <c r="AY33" s="3">
        <f t="shared" si="24"/>
        <v>409.2</v>
      </c>
      <c r="AZ33" s="3">
        <f t="shared" si="25"/>
        <v>2295</v>
      </c>
      <c r="BA33" s="3">
        <f t="shared" si="26"/>
        <v>409.2</v>
      </c>
      <c r="BB33" s="3">
        <f t="shared" si="27"/>
        <v>2294</v>
      </c>
      <c r="BC33">
        <f t="shared" si="28"/>
        <v>0</v>
      </c>
      <c r="BD33">
        <f t="shared" si="29"/>
        <v>0</v>
      </c>
      <c r="BE33" s="79">
        <f t="shared" si="30"/>
        <v>1</v>
      </c>
      <c r="BF33" s="83">
        <f>IF(소장="손상민",'4CO멍텅(실측)'!AG33,0)</f>
        <v>0</v>
      </c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33">
    <cfRule type="cellIs" dxfId="14" priority="9" operator="greaterThan">
      <formula>1.2</formula>
    </cfRule>
  </conditionalFormatting>
  <conditionalFormatting sqref="K7:K33">
    <cfRule type="cellIs" dxfId="13" priority="6" operator="notEqual">
      <formula>J7</formula>
    </cfRule>
  </conditionalFormatting>
  <conditionalFormatting sqref="L7:L33">
    <cfRule type="cellIs" dxfId="12" priority="5" operator="notEqual">
      <formula>M7</formula>
    </cfRule>
  </conditionalFormatting>
  <conditionalFormatting sqref="M7:M33">
    <cfRule type="cellIs" dxfId="11" priority="4" operator="notEqual">
      <formula>L7</formula>
    </cfRule>
  </conditionalFormatting>
  <conditionalFormatting sqref="AD7:AG33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4" t="str">
        <f>정보!K2</f>
        <v>(2UP) 실측서 ( 경기도 부천테크노파크 1단지 4co-2차 ) _추영덕소장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경기도 부천테크노파크 1단지 4co-2차,   (재질) : HL 1.2T</v>
      </c>
      <c r="B3" s="2"/>
      <c r="C3" s="2"/>
      <c r="D3" s="2"/>
      <c r="E3" s="2"/>
      <c r="F3" s="2"/>
      <c r="G3" s="237"/>
      <c r="H3" s="237"/>
      <c r="I3" s="237"/>
      <c r="J3" s="23"/>
      <c r="K3" s="246"/>
      <c r="L3" s="246"/>
      <c r="M3" s="247"/>
      <c r="N3" s="247"/>
      <c r="O3" s="248"/>
      <c r="P3" s="248"/>
      <c r="Q3" s="248"/>
      <c r="R3" s="120"/>
      <c r="S3" s="243" t="s">
        <v>97</v>
      </c>
      <c r="T3" s="243"/>
      <c r="U3" s="243"/>
      <c r="V3" s="244"/>
      <c r="W3" s="244"/>
      <c r="X3" s="245"/>
      <c r="Y3" s="245"/>
    </row>
    <row r="4" spans="1:40" ht="33" customHeight="1" x14ac:dyDescent="0.3">
      <c r="A4" s="172" t="str">
        <f>정보!B17</f>
        <v>제작치수 반영 : JB/JD +(0 ),  늘어난치수K -(0),  C + (0),   U + (0), OP - (0), R - (0),  기둥차감 - (4),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62" t="s">
        <v>215</v>
      </c>
      <c r="AD4" s="162"/>
      <c r="AE4" s="81" t="s">
        <v>234</v>
      </c>
    </row>
    <row r="5" spans="1:4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275</v>
      </c>
      <c r="I5" s="339" t="s">
        <v>276</v>
      </c>
      <c r="J5" s="339" t="s">
        <v>277</v>
      </c>
      <c r="K5" s="165" t="s">
        <v>8</v>
      </c>
      <c r="L5" s="165" t="s">
        <v>9</v>
      </c>
      <c r="M5" s="165" t="s">
        <v>10</v>
      </c>
      <c r="N5" s="165" t="s">
        <v>11</v>
      </c>
      <c r="O5" s="348" t="s">
        <v>14</v>
      </c>
      <c r="P5" s="346" t="s">
        <v>282</v>
      </c>
      <c r="Q5" s="346" t="s">
        <v>283</v>
      </c>
      <c r="R5" s="339" t="s">
        <v>129</v>
      </c>
      <c r="S5" s="339" t="s">
        <v>280</v>
      </c>
      <c r="T5" s="339" t="s">
        <v>281</v>
      </c>
      <c r="U5" s="165" t="s">
        <v>19</v>
      </c>
      <c r="V5" s="165" t="s">
        <v>20</v>
      </c>
      <c r="W5" s="238" t="s">
        <v>22</v>
      </c>
      <c r="X5" s="238" t="s">
        <v>23</v>
      </c>
      <c r="Y5" s="240" t="s">
        <v>21</v>
      </c>
      <c r="Z5" s="241"/>
      <c r="AA5" s="241"/>
      <c r="AB5" s="242"/>
      <c r="AC5" s="169" t="s">
        <v>212</v>
      </c>
      <c r="AD5" s="170"/>
      <c r="AE5" s="80" t="s">
        <v>231</v>
      </c>
    </row>
    <row r="6" spans="1:40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340"/>
      <c r="J6" s="340"/>
      <c r="K6" s="165"/>
      <c r="L6" s="165"/>
      <c r="M6" s="165"/>
      <c r="N6" s="165"/>
      <c r="O6" s="347"/>
      <c r="P6" s="347"/>
      <c r="Q6" s="347"/>
      <c r="R6" s="340"/>
      <c r="S6" s="340"/>
      <c r="T6" s="340"/>
      <c r="U6" s="165"/>
      <c r="V6" s="165"/>
      <c r="W6" s="239"/>
      <c r="X6" s="239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K5" sqref="K5:K6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4" t="str">
        <f>정보!L2</f>
        <v>(2UP) 제작변환 ( 경기도 부천테크노파크 1단지 4co-2차 ) _추영덕소장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"/>
      <c r="AK1" s="1"/>
      <c r="AL1" s="273" t="s">
        <v>75</v>
      </c>
      <c r="AM1" s="273"/>
      <c r="AN1" s="273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00" t="s">
        <v>303</v>
      </c>
      <c r="H2" s="200"/>
      <c r="I2" s="200"/>
      <c r="J2" s="266">
        <v>0</v>
      </c>
      <c r="K2" s="266"/>
      <c r="L2" s="266"/>
      <c r="M2" s="266"/>
      <c r="N2" s="356" t="s">
        <v>113</v>
      </c>
      <c r="O2" s="356"/>
      <c r="P2" s="356"/>
      <c r="Q2" s="356"/>
      <c r="R2" s="281">
        <v>1</v>
      </c>
      <c r="S2" s="281"/>
      <c r="T2" s="357" t="s">
        <v>103</v>
      </c>
      <c r="U2" s="358"/>
      <c r="V2" s="359"/>
      <c r="W2" s="108">
        <v>0</v>
      </c>
      <c r="X2" s="121"/>
      <c r="Y2" s="267" t="s">
        <v>88</v>
      </c>
      <c r="Z2" s="268"/>
      <c r="AA2" s="278">
        <v>0</v>
      </c>
      <c r="AB2" s="278"/>
      <c r="AC2" s="258" t="s">
        <v>82</v>
      </c>
      <c r="AD2" s="275"/>
      <c r="AE2" s="276">
        <v>4</v>
      </c>
      <c r="AF2" s="276"/>
      <c r="AG2" s="98" t="s">
        <v>114</v>
      </c>
      <c r="AH2" s="274">
        <v>0</v>
      </c>
      <c r="AI2" s="274"/>
      <c r="AJ2" s="1"/>
      <c r="AK2" s="1"/>
      <c r="AL2" s="273"/>
      <c r="AM2" s="273"/>
      <c r="AN2" s="273"/>
      <c r="AS2" s="24"/>
    </row>
    <row r="3" spans="1:54" ht="33" customHeight="1" x14ac:dyDescent="0.3">
      <c r="A3" s="33" t="str">
        <f>'2UP(실측)'!A3</f>
        <v>현장명 : 경기도 부천테크노파크 1단지 4co-2차,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0</v>
      </c>
      <c r="K3" s="269"/>
      <c r="L3" s="269"/>
      <c r="M3" s="269"/>
      <c r="N3" s="258" t="s">
        <v>77</v>
      </c>
      <c r="O3" s="258"/>
      <c r="P3" s="270">
        <v>0</v>
      </c>
      <c r="Q3" s="270"/>
      <c r="R3" s="205" t="s">
        <v>227</v>
      </c>
      <c r="S3" s="205"/>
      <c r="T3" s="205"/>
      <c r="U3" s="272">
        <f>BA7</f>
        <v>1</v>
      </c>
      <c r="V3" s="272"/>
      <c r="W3" s="272"/>
      <c r="X3" s="122"/>
      <c r="Y3" s="282" t="s">
        <v>78</v>
      </c>
      <c r="Z3" s="282"/>
      <c r="AA3" s="277">
        <v>0</v>
      </c>
      <c r="AB3" s="277"/>
      <c r="AE3" s="165" t="s">
        <v>73</v>
      </c>
      <c r="AF3" s="165"/>
      <c r="AG3" s="106">
        <v>3</v>
      </c>
      <c r="AH3" s="4" t="s">
        <v>74</v>
      </c>
      <c r="AI3" s="138">
        <v>4</v>
      </c>
      <c r="AJ3" s="251" t="s">
        <v>325</v>
      </c>
      <c r="AK3" s="199"/>
      <c r="AL3" s="160" t="e">
        <f>AO7</f>
        <v>#DIV/0!</v>
      </c>
      <c r="AM3" s="25"/>
      <c r="AN3" s="24"/>
      <c r="AS3" s="24"/>
    </row>
    <row r="4" spans="1:54" ht="33" customHeight="1" x14ac:dyDescent="0.3">
      <c r="A4" s="349" t="str">
        <f>'2UP(실측)'!A4:AB4</f>
        <v>제작치수 반영 : JB/JD +(0 ),  늘어난치수K -(0),  C + (0),   U + (0), OP - (0), R - (0),  기둥차감 - (4), A + (0)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75"/>
      <c r="Y4" s="350" t="s">
        <v>326</v>
      </c>
      <c r="Z4" s="351"/>
      <c r="AA4" s="352">
        <f>AC7</f>
        <v>0</v>
      </c>
      <c r="AB4" s="353"/>
      <c r="AC4" s="75"/>
      <c r="AD4" s="75"/>
      <c r="AE4" s="75"/>
      <c r="AF4" s="75"/>
      <c r="AG4" s="9"/>
      <c r="AH4" s="185">
        <f ca="1">TODAY()</f>
        <v>45622</v>
      </c>
      <c r="AI4" s="171"/>
      <c r="AJ4" s="162" t="s">
        <v>215</v>
      </c>
      <c r="AK4" s="162"/>
      <c r="AL4" s="25"/>
      <c r="AM4" s="25"/>
      <c r="AN4" s="24"/>
      <c r="AS4" s="24"/>
      <c r="BA4" s="178" t="s">
        <v>253</v>
      </c>
    </row>
    <row r="5" spans="1:54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354" t="s">
        <v>278</v>
      </c>
      <c r="L5" s="354" t="s">
        <v>279</v>
      </c>
      <c r="M5" s="238" t="s">
        <v>62</v>
      </c>
      <c r="N5" s="238" t="s">
        <v>63</v>
      </c>
      <c r="O5" s="165" t="s">
        <v>8</v>
      </c>
      <c r="P5" s="165" t="s">
        <v>9</v>
      </c>
      <c r="Q5" s="165" t="s">
        <v>10</v>
      </c>
      <c r="R5" s="165" t="s">
        <v>11</v>
      </c>
      <c r="S5" s="348" t="s">
        <v>14</v>
      </c>
      <c r="T5" s="346" t="s">
        <v>282</v>
      </c>
      <c r="U5" s="346" t="s">
        <v>283</v>
      </c>
      <c r="V5" s="339" t="s">
        <v>129</v>
      </c>
      <c r="W5" s="339" t="s">
        <v>280</v>
      </c>
      <c r="X5" s="339" t="s">
        <v>281</v>
      </c>
      <c r="Y5" s="165" t="s">
        <v>19</v>
      </c>
      <c r="Z5" s="260" t="s">
        <v>20</v>
      </c>
      <c r="AA5" s="238" t="s">
        <v>22</v>
      </c>
      <c r="AB5" s="238" t="s">
        <v>23</v>
      </c>
      <c r="AC5" s="240" t="s">
        <v>21</v>
      </c>
      <c r="AD5" s="241"/>
      <c r="AE5" s="241"/>
      <c r="AF5" s="242"/>
      <c r="AG5" s="166" t="s">
        <v>25</v>
      </c>
      <c r="AH5" s="262" t="s">
        <v>34</v>
      </c>
      <c r="AI5" s="166" t="s">
        <v>35</v>
      </c>
      <c r="AJ5" s="169" t="s">
        <v>212</v>
      </c>
      <c r="AK5" s="170"/>
      <c r="AL5" s="178" t="s">
        <v>300</v>
      </c>
      <c r="AM5" s="178" t="s">
        <v>301</v>
      </c>
      <c r="AN5" s="261" t="s">
        <v>51</v>
      </c>
      <c r="AU5" s="179" t="s">
        <v>28</v>
      </c>
      <c r="AV5" s="179"/>
      <c r="AW5" s="179" t="s">
        <v>29</v>
      </c>
      <c r="AX5" s="179"/>
      <c r="BA5" s="179"/>
    </row>
    <row r="6" spans="1:54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355"/>
      <c r="L6" s="355"/>
      <c r="M6" s="239"/>
      <c r="N6" s="239"/>
      <c r="O6" s="165"/>
      <c r="P6" s="165"/>
      <c r="Q6" s="165"/>
      <c r="R6" s="165"/>
      <c r="S6" s="347"/>
      <c r="T6" s="347"/>
      <c r="U6" s="347"/>
      <c r="V6" s="340"/>
      <c r="W6" s="340"/>
      <c r="X6" s="340"/>
      <c r="Y6" s="165"/>
      <c r="Z6" s="260"/>
      <c r="AA6" s="239"/>
      <c r="AB6" s="239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74" t="s">
        <v>213</v>
      </c>
      <c r="AK6" s="74" t="s">
        <v>214</v>
      </c>
      <c r="AL6" s="179"/>
      <c r="AM6" s="179"/>
      <c r="AN6" s="261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0</v>
      </c>
      <c r="F7" s="4">
        <f>'2UP(실측)'!F7+MAX(AL7,AM7)+IF(BA7=1,AE7,0)+UP2멍텅JBJD늘림치수</f>
        <v>0</v>
      </c>
      <c r="G7" s="4">
        <f>'2UP(실측)'!G7+AL7+IF(BA7=1,AC7,0)+UP2멍텅JB강제키움+UP2멍텅JBJD늘림치수</f>
        <v>0</v>
      </c>
      <c r="H7" s="4">
        <f>'2UP(실측)'!H7+AL7+IF(BA7=1,AD7,0)+UP2멍텅JB강제키움+UP2멍텅JBJD늘림치수-IF(UP2멍텅JB하부늘치=1,'2UP(실측)'!Y7-'2UP(실측)'!Z7,0)</f>
        <v>0</v>
      </c>
      <c r="I7" s="4">
        <f>'2UP(실측)'!I7+AM7+IF(BA7=1,AE7,0)+UP2멍텅JB강제키움+UP2멍텅JBJD늘림치수</f>
        <v>0</v>
      </c>
      <c r="J7" s="4">
        <f>'2UP(실측)'!J7+AM7+IF(BA7=1,AF7,0)+UP2멍텅JB강제키움+UP2멍텅JBJD늘림치수-IF(UP2멍텅JB하부늘치=1,'2UP(실측)'!AA7-'2UP(실측)'!AB7,0)</f>
        <v>0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-4</v>
      </c>
      <c r="T7" s="4">
        <f>'2UP(실측)'!P7</f>
        <v>0</v>
      </c>
      <c r="U7" s="4">
        <f>'2UP(실측)'!Q7-UP2멍텅기둥차감</f>
        <v>-4</v>
      </c>
      <c r="V7" s="4">
        <f>'2UP(실측)'!R7-UP2멍텅기둥차감</f>
        <v>-4</v>
      </c>
      <c r="W7" s="4">
        <f>'2UP(실측)'!S7</f>
        <v>0</v>
      </c>
      <c r="X7" s="4">
        <f>'2UP(실측)'!T7-UP2멍텅기둥차감</f>
        <v>-4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0*-2.4</v>
      </c>
      <c r="AH7" s="12" t="str">
        <f t="shared" ref="AH7" si="2">AV7&amp;"*"&amp;AU7</f>
        <v>-4*-2.6</v>
      </c>
      <c r="AI7" s="10" t="str">
        <f t="shared" ref="AI7" si="3">AX7&amp;"*"&amp;AW7</f>
        <v>-4*-2.6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 t="e">
        <f>DEGREES(ATAN((D7-C7)/2/(E7)))</f>
        <v>#DIV/0!</v>
      </c>
      <c r="AP7" s="36" t="e">
        <f>E7-COS(RADIANS(AO7))*G7</f>
        <v>#DIV/0!</v>
      </c>
      <c r="AQ7" s="36" t="e">
        <f>F7-COS(RADIANS(AO7))*I7</f>
        <v>#DIV/0!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-2.3999999999999995</v>
      </c>
      <c r="AU7" s="3">
        <f>Q7+O7+MAX(G7,H7)+AB7-1.2*$AI$3+IF(BA7=0,MAX(AC7,AD7))+IF(Q7=0,1.2,0)</f>
        <v>-2.5999999999999996</v>
      </c>
      <c r="AV7" s="3">
        <f>MAX(S7,T7+U7)</f>
        <v>-4</v>
      </c>
      <c r="AW7" s="3">
        <f>R7+P7+MAX(I7,J7)+AB7-1.2*$AI$3+IF(BA7=0,MAX(AE7,AF7))+IF(R7=0,1.2,0)</f>
        <v>-2.5999999999999996</v>
      </c>
      <c r="AX7" s="3">
        <f>MAX(V7,W7+X7)</f>
        <v>-4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경기도 부천테크노파크 1단지 4co-2차 ) _추영덕소장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경기도 부천테크노파크 1단지 4co-2차,   (재질) : HL 1.2T</v>
      </c>
      <c r="B3" s="2"/>
      <c r="C3" s="2"/>
      <c r="D3" s="2"/>
      <c r="E3" s="2"/>
      <c r="F3" s="2"/>
      <c r="G3" s="237"/>
      <c r="H3" s="237"/>
      <c r="I3" s="237"/>
      <c r="J3" s="237"/>
      <c r="K3" s="23"/>
      <c r="L3" s="23"/>
      <c r="M3" s="246"/>
      <c r="N3" s="246"/>
      <c r="O3" s="247"/>
      <c r="P3" s="247"/>
      <c r="Q3" s="248"/>
      <c r="R3" s="248"/>
      <c r="S3" s="248"/>
      <c r="T3" s="248"/>
      <c r="U3" s="120"/>
      <c r="V3" s="243" t="s">
        <v>97</v>
      </c>
      <c r="W3" s="243"/>
      <c r="X3" s="243"/>
      <c r="Y3" s="243"/>
      <c r="Z3" s="244"/>
      <c r="AA3" s="244"/>
      <c r="AB3" s="245"/>
      <c r="AC3" s="245"/>
    </row>
    <row r="4" spans="1:46" ht="33" customHeight="1" x14ac:dyDescent="0.3">
      <c r="A4" s="172" t="str">
        <f>정보!B18</f>
        <v>제작치수 반영 : JB/JD +(0 ),  늘어난치수K -(0),  C + (0),   U + (0), OP - (0), R - (0),  기둥차감 - (4),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62" t="s">
        <v>215</v>
      </c>
      <c r="AJ4" s="162"/>
      <c r="AK4" s="81" t="s">
        <v>234</v>
      </c>
    </row>
    <row r="5" spans="1:46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165" t="s">
        <v>8</v>
      </c>
      <c r="N5" s="165" t="s">
        <v>9</v>
      </c>
      <c r="O5" s="165" t="s">
        <v>10</v>
      </c>
      <c r="P5" s="165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39" t="s">
        <v>129</v>
      </c>
      <c r="V5" s="339" t="s">
        <v>280</v>
      </c>
      <c r="W5" s="339" t="s">
        <v>287</v>
      </c>
      <c r="X5" s="339" t="s">
        <v>281</v>
      </c>
      <c r="Y5" s="165" t="s">
        <v>19</v>
      </c>
      <c r="Z5" s="165" t="s">
        <v>20</v>
      </c>
      <c r="AA5" s="238" t="s">
        <v>22</v>
      </c>
      <c r="AB5" s="238" t="s">
        <v>23</v>
      </c>
      <c r="AC5" s="240" t="s">
        <v>21</v>
      </c>
      <c r="AD5" s="241"/>
      <c r="AE5" s="241"/>
      <c r="AF5" s="241"/>
      <c r="AG5" s="241"/>
      <c r="AH5" s="242"/>
      <c r="AI5" s="169" t="s">
        <v>212</v>
      </c>
      <c r="AJ5" s="170"/>
      <c r="AK5" s="80" t="s">
        <v>231</v>
      </c>
    </row>
    <row r="6" spans="1:46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165"/>
      <c r="N6" s="165"/>
      <c r="O6" s="165"/>
      <c r="P6" s="165"/>
      <c r="Q6" s="347"/>
      <c r="R6" s="347"/>
      <c r="S6" s="347"/>
      <c r="T6" s="347"/>
      <c r="U6" s="340"/>
      <c r="V6" s="340"/>
      <c r="W6" s="340"/>
      <c r="X6" s="340"/>
      <c r="Y6" s="165"/>
      <c r="Z6" s="165"/>
      <c r="AA6" s="239"/>
      <c r="AB6" s="239"/>
      <c r="AC6" s="8" t="s">
        <v>52</v>
      </c>
      <c r="AD6" s="8" t="s">
        <v>298</v>
      </c>
      <c r="AE6" s="8" t="s">
        <v>53</v>
      </c>
      <c r="AF6" s="8" t="s">
        <v>54</v>
      </c>
      <c r="AG6" s="8" t="s">
        <v>299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4" t="str">
        <f>정보!L3</f>
        <v>(3UP) 제작변환 ( 경기도 부천테크노파크 1단지 4co-2차 ) _추영덕소장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"/>
      <c r="AQ1" s="1"/>
      <c r="AR1" s="273" t="s">
        <v>75</v>
      </c>
      <c r="AS1" s="273"/>
      <c r="AT1" s="273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0" t="s">
        <v>304</v>
      </c>
      <c r="H2" s="372"/>
      <c r="I2" s="372"/>
      <c r="J2" s="372"/>
      <c r="K2" s="351"/>
      <c r="L2" s="266">
        <v>0</v>
      </c>
      <c r="M2" s="266"/>
      <c r="N2" s="266"/>
      <c r="O2" s="266"/>
      <c r="P2" s="280" t="s">
        <v>113</v>
      </c>
      <c r="Q2" s="280"/>
      <c r="R2" s="280"/>
      <c r="S2" s="280"/>
      <c r="T2" s="281">
        <v>1</v>
      </c>
      <c r="U2" s="281"/>
      <c r="V2" s="267" t="s">
        <v>103</v>
      </c>
      <c r="W2" s="267"/>
      <c r="X2" s="268"/>
      <c r="Y2" s="373">
        <v>0</v>
      </c>
      <c r="Z2" s="374"/>
      <c r="AA2" s="370"/>
      <c r="AB2" s="371"/>
      <c r="AC2" s="267" t="s">
        <v>88</v>
      </c>
      <c r="AD2" s="268"/>
      <c r="AE2" s="278">
        <v>0</v>
      </c>
      <c r="AF2" s="278"/>
      <c r="AG2" s="258" t="s">
        <v>82</v>
      </c>
      <c r="AH2" s="258"/>
      <c r="AI2" s="275"/>
      <c r="AJ2" s="276">
        <v>4</v>
      </c>
      <c r="AK2" s="276"/>
      <c r="AL2" s="276"/>
      <c r="AM2" s="98" t="s">
        <v>114</v>
      </c>
      <c r="AN2" s="274">
        <v>0</v>
      </c>
      <c r="AO2" s="274"/>
      <c r="AP2" s="1"/>
      <c r="AQ2" s="1"/>
      <c r="AR2" s="273"/>
      <c r="AS2" s="273"/>
      <c r="AT2" s="273"/>
      <c r="AY2" s="24"/>
    </row>
    <row r="3" spans="1:60" ht="33" customHeight="1" x14ac:dyDescent="0.3">
      <c r="A3" s="33" t="str">
        <f>'3UP(실측)'!A3</f>
        <v>현장명 : 경기도 부천테크노파크 1단지 4co-2차,   (재질) : HL 1.2T</v>
      </c>
      <c r="B3" s="2"/>
      <c r="C3" s="2"/>
      <c r="D3" s="2"/>
      <c r="E3" s="2"/>
      <c r="F3" s="2"/>
      <c r="G3" s="357" t="s">
        <v>76</v>
      </c>
      <c r="H3" s="365"/>
      <c r="I3" s="365"/>
      <c r="J3" s="365"/>
      <c r="K3" s="366"/>
      <c r="L3" s="269">
        <v>0</v>
      </c>
      <c r="M3" s="269"/>
      <c r="N3" s="269"/>
      <c r="O3" s="269"/>
      <c r="P3" s="258" t="s">
        <v>77</v>
      </c>
      <c r="Q3" s="258"/>
      <c r="R3" s="270">
        <v>0</v>
      </c>
      <c r="S3" s="270"/>
      <c r="T3" s="367" t="s">
        <v>289</v>
      </c>
      <c r="U3" s="368"/>
      <c r="V3" s="368"/>
      <c r="W3" s="369"/>
      <c r="X3" s="272">
        <f>BG7</f>
        <v>1</v>
      </c>
      <c r="Y3" s="272"/>
      <c r="Z3" s="272"/>
      <c r="AA3" s="363"/>
      <c r="AB3" s="364"/>
      <c r="AC3" s="282" t="s">
        <v>78</v>
      </c>
      <c r="AD3" s="282"/>
      <c r="AE3" s="277">
        <v>0</v>
      </c>
      <c r="AF3" s="277"/>
      <c r="AJ3" s="165" t="s">
        <v>73</v>
      </c>
      <c r="AK3" s="165"/>
      <c r="AL3" s="165"/>
      <c r="AM3" s="106">
        <v>3</v>
      </c>
      <c r="AN3" s="4" t="s">
        <v>74</v>
      </c>
      <c r="AO3" s="138">
        <v>4</v>
      </c>
      <c r="AP3" s="361" t="s">
        <v>321</v>
      </c>
      <c r="AQ3" s="362"/>
      <c r="AR3" s="160" t="e">
        <f>AU7</f>
        <v>#DIV/0!</v>
      </c>
      <c r="AS3" s="25"/>
      <c r="AT3" s="24"/>
      <c r="AY3" s="24"/>
    </row>
    <row r="4" spans="1:60" ht="33" customHeight="1" x14ac:dyDescent="0.3">
      <c r="A4" s="349" t="str">
        <f>'3UP(실측)'!A4:AH4</f>
        <v>제작치수 반영 : JB/JD +(0 ),  늘어난치수K -(0),  C + (0),   U + (0), OP - (0), R - (0),  기둥차감 - (4), A + (0)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75"/>
      <c r="AB4" s="75"/>
      <c r="AC4" s="352" t="s">
        <v>327</v>
      </c>
      <c r="AD4" s="259"/>
      <c r="AE4" s="259">
        <f>AG7</f>
        <v>0</v>
      </c>
      <c r="AF4" s="353"/>
      <c r="AG4" s="75"/>
      <c r="AH4" s="75"/>
      <c r="AI4" s="75"/>
      <c r="AJ4" s="75"/>
      <c r="AK4" s="75"/>
      <c r="AL4" s="75"/>
      <c r="AM4" s="9"/>
      <c r="AN4" s="185">
        <f ca="1">TODAY()</f>
        <v>45622</v>
      </c>
      <c r="AO4" s="171"/>
      <c r="AP4" s="162" t="s">
        <v>215</v>
      </c>
      <c r="AQ4" s="162"/>
      <c r="AR4" s="25"/>
      <c r="AS4" s="25"/>
      <c r="AT4" s="24"/>
      <c r="AY4" s="24"/>
      <c r="BG4" s="178" t="s">
        <v>253</v>
      </c>
    </row>
    <row r="5" spans="1:6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354" t="s">
        <v>278</v>
      </c>
      <c r="N5" s="354" t="s">
        <v>288</v>
      </c>
      <c r="O5" s="238" t="s">
        <v>62</v>
      </c>
      <c r="P5" s="238" t="s">
        <v>63</v>
      </c>
      <c r="Q5" s="165" t="s">
        <v>8</v>
      </c>
      <c r="R5" s="165" t="s">
        <v>9</v>
      </c>
      <c r="S5" s="165" t="s">
        <v>10</v>
      </c>
      <c r="T5" s="165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39" t="s">
        <v>129</v>
      </c>
      <c r="Z5" s="339" t="s">
        <v>280</v>
      </c>
      <c r="AA5" s="339" t="s">
        <v>287</v>
      </c>
      <c r="AB5" s="339" t="s">
        <v>281</v>
      </c>
      <c r="AC5" s="165" t="s">
        <v>19</v>
      </c>
      <c r="AD5" s="260" t="s">
        <v>20</v>
      </c>
      <c r="AE5" s="238" t="s">
        <v>22</v>
      </c>
      <c r="AF5" s="238" t="s">
        <v>23</v>
      </c>
      <c r="AG5" s="240" t="s">
        <v>21</v>
      </c>
      <c r="AH5" s="241"/>
      <c r="AI5" s="241"/>
      <c r="AJ5" s="241"/>
      <c r="AK5" s="241"/>
      <c r="AL5" s="242"/>
      <c r="AM5" s="166" t="s">
        <v>25</v>
      </c>
      <c r="AN5" s="262" t="s">
        <v>34</v>
      </c>
      <c r="AO5" s="166" t="s">
        <v>35</v>
      </c>
      <c r="AP5" s="169" t="s">
        <v>212</v>
      </c>
      <c r="AQ5" s="170"/>
      <c r="AR5" s="178" t="s">
        <v>300</v>
      </c>
      <c r="AS5" s="178" t="s">
        <v>301</v>
      </c>
      <c r="AT5" s="261" t="s">
        <v>51</v>
      </c>
      <c r="BA5" s="179" t="s">
        <v>28</v>
      </c>
      <c r="BB5" s="179"/>
      <c r="BC5" s="179" t="s">
        <v>29</v>
      </c>
      <c r="BD5" s="179"/>
      <c r="BG5" s="179"/>
    </row>
    <row r="6" spans="1:60" ht="48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355"/>
      <c r="N6" s="355"/>
      <c r="O6" s="239"/>
      <c r="P6" s="239"/>
      <c r="Q6" s="165"/>
      <c r="R6" s="165"/>
      <c r="S6" s="165"/>
      <c r="T6" s="165"/>
      <c r="U6" s="347"/>
      <c r="V6" s="347"/>
      <c r="W6" s="347"/>
      <c r="X6" s="347"/>
      <c r="Y6" s="340"/>
      <c r="Z6" s="340"/>
      <c r="AA6" s="340"/>
      <c r="AB6" s="340"/>
      <c r="AC6" s="165"/>
      <c r="AD6" s="260"/>
      <c r="AE6" s="239"/>
      <c r="AF6" s="239"/>
      <c r="AG6" s="8" t="s">
        <v>56</v>
      </c>
      <c r="AH6" s="8" t="s">
        <v>298</v>
      </c>
      <c r="AI6" s="8" t="s">
        <v>57</v>
      </c>
      <c r="AJ6" s="8" t="s">
        <v>54</v>
      </c>
      <c r="AK6" s="8" t="s">
        <v>299</v>
      </c>
      <c r="AL6" s="8" t="s">
        <v>55</v>
      </c>
      <c r="AM6" s="165"/>
      <c r="AN6" s="263"/>
      <c r="AO6" s="165"/>
      <c r="AP6" s="74" t="s">
        <v>213</v>
      </c>
      <c r="AQ6" s="74" t="s">
        <v>214</v>
      </c>
      <c r="AR6" s="179"/>
      <c r="AS6" s="179"/>
      <c r="AT6" s="261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0</v>
      </c>
      <c r="F7" s="4">
        <f>'3UP(실측)'!F7+MAX(AR7,AS7)+IF(BG7=1,AJ7,0)+UP3멍텅JBJD늘림치수</f>
        <v>0</v>
      </c>
      <c r="G7" s="4">
        <f>'3UP(실측)'!G7+AR7+IF(BG7=1,AG7,0)+UP3멍텅JB강제키움+UP3멍텅JBJD늘림치수</f>
        <v>0</v>
      </c>
      <c r="H7" s="4">
        <f>'3UP(실측)'!H7+AR7+IF(BG7=1,AH7,0)+UP3멍텅JB강제키움+UP3멍텅JBJD늘림치수-IF(UP3멍텅JB하부늘치=1,'3UP(실측)'!AC7-'3UP(실측)'!AD7,0)</f>
        <v>0</v>
      </c>
      <c r="I7" s="4">
        <f>'3UP(실측)'!I7+AR7+IF(BG7=1,AI7,0)+UP3멍텅JB강제키움+UP3멍텅JBJD늘림치수-IF(UP3멍텅JB하부늘치=1,'3UP(실측)'!AC7-'3UP(실측)'!AE7,0)</f>
        <v>0</v>
      </c>
      <c r="J7" s="4">
        <f>'3UP(실측)'!J7+AS7+IF(BG7=1,AJ7,0)+UP3멍텅JB강제키움+UP3멍텅JBJD늘림치수</f>
        <v>0</v>
      </c>
      <c r="K7" s="4">
        <f>'3UP(실측)'!K7+AS7+IF(BG7=1,AK7,0)+UP3멍텅JB강제키움+UP3멍텅JBJD늘림치수-IF(UP3멍텅JB하부늘치=1,'3UP(실측)'!AF7-'3UP(실측)'!AG7,0)</f>
        <v>0</v>
      </c>
      <c r="L7" s="4">
        <f>'3UP(실측)'!L7+AS7+IF(BG7=1,AL7,0)+UP3멍텅JB강제키움+UP3멍텅JBJD늘림치수-IF(UP3멍텅JB하부늘치=1,'3UP(실측)'!AF7-'3UP(실측)'!AH7,0)</f>
        <v>0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-4</v>
      </c>
      <c r="V7" s="4">
        <f>'3UP(실측)'!R7</f>
        <v>0</v>
      </c>
      <c r="W7" s="4">
        <f>'3UP(실측)'!S7</f>
        <v>0</v>
      </c>
      <c r="X7" s="4">
        <f>'3UP(실측)'!T7-UP3멍텅기둥차감</f>
        <v>-4</v>
      </c>
      <c r="Y7" s="4">
        <f>'3UP(실측)'!U7-UP3멍텅기둥차감</f>
        <v>-4</v>
      </c>
      <c r="Z7" s="4">
        <f>'3UP(실측)'!V7</f>
        <v>0</v>
      </c>
      <c r="AA7" s="4">
        <f>'3UP(실측)'!W7</f>
        <v>0</v>
      </c>
      <c r="AB7" s="4">
        <f>'3UP(실측)'!X7-UP3멍텅기둥차감</f>
        <v>-4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0*-2.4</v>
      </c>
      <c r="AN7" s="12" t="str">
        <f t="shared" ref="AN7" si="2">BB7&amp;"*"&amp;BA7</f>
        <v>-4*-2.6</v>
      </c>
      <c r="AO7" s="10" t="str">
        <f t="shared" ref="AO7" si="3">BD7&amp;"*"&amp;BC7</f>
        <v>-4*-2.6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 t="e">
        <f>DEGREES(ATAN((D7-C7)/2/(E7)))</f>
        <v>#DIV/0!</v>
      </c>
      <c r="AV7" s="36" t="e">
        <f>E7-COS(RADIANS(AU7))*G7</f>
        <v>#DIV/0!</v>
      </c>
      <c r="AW7" s="36" t="e">
        <f>F7-COS(RADIANS(AU7))*J7</f>
        <v>#DIV/0!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-2.3999999999999995</v>
      </c>
      <c r="BA7" s="3">
        <f>S7+Q7+MAX(G7,I7)+AF7-1.2*$AO$3+IF(BG7=0,MAX(AG7,AI7))+IF(S7=0,1.2,0)</f>
        <v>-2.5999999999999996</v>
      </c>
      <c r="BB7" s="3">
        <f>MAX(U7,V7+W7+X7)</f>
        <v>-4</v>
      </c>
      <c r="BC7" s="3">
        <f>T7+R7+MAX(J7,L7)+AF7-1.2*$AO$3+IF(BG7=0,MAX(AJ7,AL7))+IF(T7=0,1.2,0)</f>
        <v>-2.5999999999999996</v>
      </c>
      <c r="BD7" s="3">
        <f>MAX(Y7,Z7+AA7+AB7)</f>
        <v>-4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Mirae Lee</cp:lastModifiedBy>
  <cp:lastPrinted>2022-12-02T03:36:41Z</cp:lastPrinted>
  <dcterms:created xsi:type="dcterms:W3CDTF">2020-01-09T06:39:51Z</dcterms:created>
  <dcterms:modified xsi:type="dcterms:W3CDTF">2024-11-26T00:29:19Z</dcterms:modified>
</cp:coreProperties>
</file>