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28680" yWindow="765" windowWidth="29040" windowHeight="15840" tabRatio="947" activeTab="7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B8" i="10"/>
  <c r="C8" i="10"/>
  <c r="D8" i="10"/>
  <c r="O8" i="10"/>
  <c r="M8" i="10" s="1"/>
  <c r="K8" i="10" s="1"/>
  <c r="Q8" i="10"/>
  <c r="R8" i="10"/>
  <c r="AU8" i="10" s="1"/>
  <c r="S8" i="10"/>
  <c r="T8" i="10"/>
  <c r="W8" i="10"/>
  <c r="X8" i="10"/>
  <c r="Y8" i="10"/>
  <c r="Z8" i="10" s="1"/>
  <c r="AA8" i="10"/>
  <c r="AB8" i="10"/>
  <c r="AF8" i="10"/>
  <c r="AG8" i="10"/>
  <c r="AH8" i="10"/>
  <c r="AI8" i="10"/>
  <c r="AJ8" i="10"/>
  <c r="AK8" i="10"/>
  <c r="V8" i="10" s="1"/>
  <c r="AL8" i="10"/>
  <c r="AW8" i="10"/>
  <c r="BA8" i="10"/>
  <c r="A9" i="10"/>
  <c r="B9" i="10"/>
  <c r="C9" i="10"/>
  <c r="D9" i="10"/>
  <c r="Q9" i="10"/>
  <c r="AU9" i="10" s="1"/>
  <c r="R9" i="10"/>
  <c r="S9" i="10"/>
  <c r="T9" i="10"/>
  <c r="W9" i="10"/>
  <c r="X9" i="10"/>
  <c r="Y9" i="10"/>
  <c r="Z9" i="10" s="1"/>
  <c r="AA9" i="10"/>
  <c r="AB9" i="10" s="1"/>
  <c r="AF9" i="10"/>
  <c r="AG9" i="10"/>
  <c r="AH9" i="10"/>
  <c r="AI9" i="10"/>
  <c r="AJ9" i="10"/>
  <c r="AK9" i="10"/>
  <c r="AL9" i="10"/>
  <c r="BA9" i="10"/>
  <c r="A8" i="8"/>
  <c r="B8" i="8"/>
  <c r="E8" i="8"/>
  <c r="F8" i="8"/>
  <c r="U8" i="8"/>
  <c r="V8" i="8"/>
  <c r="W8" i="8"/>
  <c r="BF8" i="8" s="1"/>
  <c r="X8" i="8"/>
  <c r="Y8" i="8"/>
  <c r="C8" i="8" s="1"/>
  <c r="Z8" i="8"/>
  <c r="AA8" i="8"/>
  <c r="AB8" i="8"/>
  <c r="AC8" i="8"/>
  <c r="AD8" i="8"/>
  <c r="AE8" i="8"/>
  <c r="BI8" i="8" s="1"/>
  <c r="AG8" i="8"/>
  <c r="AH8" i="8"/>
  <c r="AI8" i="8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BI9" i="8" s="1"/>
  <c r="L9" i="8" s="1"/>
  <c r="U9" i="8"/>
  <c r="V9" i="8"/>
  <c r="W9" i="8"/>
  <c r="X9" i="8"/>
  <c r="Y9" i="8"/>
  <c r="D9" i="8" s="1"/>
  <c r="Z9" i="8"/>
  <c r="AA9" i="8"/>
  <c r="AB9" i="8"/>
  <c r="AC9" i="8"/>
  <c r="AD9" i="8" s="1"/>
  <c r="AE9" i="8"/>
  <c r="AF9" i="8" s="1"/>
  <c r="AG9" i="8"/>
  <c r="AH9" i="8"/>
  <c r="AM9" i="8"/>
  <c r="AN9" i="8"/>
  <c r="AO9" i="8"/>
  <c r="AP9" i="8"/>
  <c r="AQ9" i="8"/>
  <c r="AR9" i="8"/>
  <c r="AS9" i="8"/>
  <c r="S9" i="8" s="1"/>
  <c r="AT9" i="8"/>
  <c r="T9" i="8" s="1"/>
  <c r="AX9" i="8"/>
  <c r="BD9" i="8"/>
  <c r="BF9" i="8"/>
  <c r="A10" i="8"/>
  <c r="B10" i="8"/>
  <c r="E10" i="8"/>
  <c r="F10" i="8"/>
  <c r="U10" i="8"/>
  <c r="BD10" i="8" s="1"/>
  <c r="V10" i="8"/>
  <c r="W10" i="8"/>
  <c r="X10" i="8"/>
  <c r="Y10" i="8"/>
  <c r="D10" i="8" s="1"/>
  <c r="Z10" i="8"/>
  <c r="AI10" i="8" s="1"/>
  <c r="AA10" i="8"/>
  <c r="AB10" i="8"/>
  <c r="AC10" i="8"/>
  <c r="AD10" i="8" s="1"/>
  <c r="AE10" i="8"/>
  <c r="AF10" i="8"/>
  <c r="AG10" i="8"/>
  <c r="AH10" i="8"/>
  <c r="AM10" i="8"/>
  <c r="AN10" i="8"/>
  <c r="AO10" i="8"/>
  <c r="AP10" i="8"/>
  <c r="AQ10" i="8"/>
  <c r="AR10" i="8"/>
  <c r="AS10" i="8"/>
  <c r="AX10" i="8" s="1"/>
  <c r="AT10" i="8"/>
  <c r="T10" i="8" s="1"/>
  <c r="P10" i="8" s="1"/>
  <c r="BA10" i="8"/>
  <c r="A11" i="8"/>
  <c r="B11" i="8"/>
  <c r="E11" i="8"/>
  <c r="F11" i="8"/>
  <c r="BA11" i="8" s="1"/>
  <c r="U11" i="8"/>
  <c r="V11" i="8"/>
  <c r="W11" i="8"/>
  <c r="X11" i="8"/>
  <c r="Y11" i="8"/>
  <c r="C11" i="8" s="1"/>
  <c r="Z11" i="8"/>
  <c r="AA11" i="8"/>
  <c r="AB11" i="8"/>
  <c r="AC11" i="8"/>
  <c r="AD11" i="8"/>
  <c r="AE11" i="8"/>
  <c r="AF11" i="8"/>
  <c r="AG11" i="8"/>
  <c r="BD11" i="8" s="1"/>
  <c r="AH11" i="8"/>
  <c r="AI11" i="8"/>
  <c r="AM11" i="8"/>
  <c r="AN11" i="8"/>
  <c r="AO11" i="8"/>
  <c r="AP11" i="8"/>
  <c r="AQ11" i="8"/>
  <c r="AR11" i="8"/>
  <c r="AS11" i="8"/>
  <c r="AX11" i="8" s="1"/>
  <c r="AT11" i="8"/>
  <c r="T11" i="8" s="1"/>
  <c r="AY11" i="8"/>
  <c r="A12" i="8"/>
  <c r="B12" i="8"/>
  <c r="E12" i="8"/>
  <c r="F12" i="8"/>
  <c r="BA12" i="8" s="1"/>
  <c r="U12" i="8"/>
  <c r="V12" i="8"/>
  <c r="W12" i="8"/>
  <c r="X12" i="8"/>
  <c r="Y12" i="8"/>
  <c r="D12" i="8" s="1"/>
  <c r="Z12" i="8"/>
  <c r="AA12" i="8"/>
  <c r="AB12" i="8"/>
  <c r="AC12" i="8"/>
  <c r="AD12" i="8" s="1"/>
  <c r="AE12" i="8"/>
  <c r="AF12" i="8"/>
  <c r="AG12" i="8"/>
  <c r="BD12" i="8" s="1"/>
  <c r="AH12" i="8"/>
  <c r="AI12" i="8"/>
  <c r="AM12" i="8"/>
  <c r="AN12" i="8"/>
  <c r="AO12" i="8"/>
  <c r="AP12" i="8"/>
  <c r="AQ12" i="8"/>
  <c r="AR12" i="8"/>
  <c r="AS12" i="8"/>
  <c r="AY12" i="8" s="1"/>
  <c r="AT12" i="8"/>
  <c r="T12" i="8" s="1"/>
  <c r="A13" i="8"/>
  <c r="B13" i="8"/>
  <c r="E13" i="8"/>
  <c r="F13" i="8"/>
  <c r="BA13" i="8" s="1"/>
  <c r="S13" i="8"/>
  <c r="O13" i="8" s="1"/>
  <c r="M13" i="8" s="1"/>
  <c r="U13" i="8"/>
  <c r="V13" i="8"/>
  <c r="W13" i="8"/>
  <c r="X13" i="8"/>
  <c r="BF13" i="8" s="1"/>
  <c r="Y13" i="8"/>
  <c r="C13" i="8" s="1"/>
  <c r="Z13" i="8"/>
  <c r="AA13" i="8"/>
  <c r="AB13" i="8"/>
  <c r="AC13" i="8"/>
  <c r="AD13" i="8"/>
  <c r="AE13" i="8"/>
  <c r="AF13" i="8"/>
  <c r="AG13" i="8"/>
  <c r="BD13" i="8" s="1"/>
  <c r="AH13" i="8"/>
  <c r="AI13" i="8"/>
  <c r="AM13" i="8"/>
  <c r="AN13" i="8"/>
  <c r="AO13" i="8"/>
  <c r="AP13" i="8"/>
  <c r="AQ13" i="8"/>
  <c r="AR13" i="8"/>
  <c r="AS13" i="8"/>
  <c r="AX13" i="8" s="1"/>
  <c r="AT13" i="8"/>
  <c r="T13" i="8" s="1"/>
  <c r="AY13" i="8"/>
  <c r="A14" i="8"/>
  <c r="B14" i="8"/>
  <c r="E14" i="8"/>
  <c r="F14" i="8"/>
  <c r="U14" i="8"/>
  <c r="V14" i="8"/>
  <c r="W14" i="8"/>
  <c r="X14" i="8"/>
  <c r="Y14" i="8"/>
  <c r="C14" i="8" s="1"/>
  <c r="Z14" i="8"/>
  <c r="AA14" i="8"/>
  <c r="AB14" i="8"/>
  <c r="AC14" i="8"/>
  <c r="BI14" i="8" s="1"/>
  <c r="AD14" i="8"/>
  <c r="AE14" i="8"/>
  <c r="AF14" i="8" s="1"/>
  <c r="AG14" i="8"/>
  <c r="AH14" i="8"/>
  <c r="AI14" i="8"/>
  <c r="AM14" i="8"/>
  <c r="AN14" i="8"/>
  <c r="AO14" i="8"/>
  <c r="AP14" i="8"/>
  <c r="AQ14" i="8"/>
  <c r="AR14" i="8"/>
  <c r="AS14" i="8"/>
  <c r="S14" i="8" s="1"/>
  <c r="AT14" i="8"/>
  <c r="T14" i="8" s="1"/>
  <c r="A15" i="8"/>
  <c r="B15" i="8"/>
  <c r="D15" i="8"/>
  <c r="E15" i="8"/>
  <c r="F15" i="8"/>
  <c r="U15" i="8"/>
  <c r="V15" i="8"/>
  <c r="W15" i="8"/>
  <c r="BF15" i="8" s="1"/>
  <c r="X15" i="8"/>
  <c r="Y15" i="8"/>
  <c r="C15" i="8" s="1"/>
  <c r="BH15" i="8" s="1"/>
  <c r="Z15" i="8"/>
  <c r="AI15" i="8" s="1"/>
  <c r="AA15" i="8"/>
  <c r="AB15" i="8"/>
  <c r="AC15" i="8"/>
  <c r="AD15" i="8"/>
  <c r="AE15" i="8"/>
  <c r="BI15" i="8" s="1"/>
  <c r="AG15" i="8"/>
  <c r="AH15" i="8"/>
  <c r="AM15" i="8"/>
  <c r="AN15" i="8"/>
  <c r="AO15" i="8"/>
  <c r="AP15" i="8"/>
  <c r="AQ15" i="8"/>
  <c r="AR15" i="8"/>
  <c r="AS15" i="8"/>
  <c r="S15" i="8" s="1"/>
  <c r="O15" i="8" s="1"/>
  <c r="AT15" i="8"/>
  <c r="T15" i="8" s="1"/>
  <c r="P15" i="8" s="1"/>
  <c r="N15" i="8" s="1"/>
  <c r="AY15" i="8"/>
  <c r="A16" i="8"/>
  <c r="B16" i="8"/>
  <c r="E16" i="8"/>
  <c r="F16" i="8"/>
  <c r="U16" i="8"/>
  <c r="V16" i="8"/>
  <c r="W16" i="8"/>
  <c r="BF16" i="8" s="1"/>
  <c r="X16" i="8"/>
  <c r="Y16" i="8"/>
  <c r="D16" i="8" s="1"/>
  <c r="Z16" i="8"/>
  <c r="AA16" i="8"/>
  <c r="AB16" i="8"/>
  <c r="AC16" i="8"/>
  <c r="AD16" i="8" s="1"/>
  <c r="AE16" i="8"/>
  <c r="BI16" i="8" s="1"/>
  <c r="AG16" i="8"/>
  <c r="BD16" i="8" s="1"/>
  <c r="AH16" i="8"/>
  <c r="AI16" i="8"/>
  <c r="AM16" i="8"/>
  <c r="AN16" i="8"/>
  <c r="AO16" i="8"/>
  <c r="AP16" i="8"/>
  <c r="AQ16" i="8"/>
  <c r="AR16" i="8"/>
  <c r="AS16" i="8"/>
  <c r="AX16" i="8" s="1"/>
  <c r="AT16" i="8"/>
  <c r="T16" i="8" s="1"/>
  <c r="BA16" i="8"/>
  <c r="A17" i="8"/>
  <c r="B17" i="8"/>
  <c r="E17" i="8"/>
  <c r="F17" i="8"/>
  <c r="U17" i="8"/>
  <c r="V17" i="8"/>
  <c r="W17" i="8"/>
  <c r="X17" i="8"/>
  <c r="Y17" i="8"/>
  <c r="D17" i="8" s="1"/>
  <c r="Z17" i="8"/>
  <c r="AA17" i="8"/>
  <c r="AB17" i="8"/>
  <c r="AC17" i="8"/>
  <c r="AD17" i="8" s="1"/>
  <c r="AE17" i="8"/>
  <c r="AG17" i="8"/>
  <c r="AH17" i="8"/>
  <c r="AM17" i="8"/>
  <c r="AN17" i="8"/>
  <c r="AO17" i="8"/>
  <c r="AP17" i="8"/>
  <c r="AQ17" i="8"/>
  <c r="AR17" i="8"/>
  <c r="AS17" i="8"/>
  <c r="S17" i="8" s="1"/>
  <c r="AT17" i="8"/>
  <c r="T17" i="8" s="1"/>
  <c r="BD17" i="8"/>
  <c r="A18" i="8"/>
  <c r="B18" i="8"/>
  <c r="E18" i="8"/>
  <c r="F18" i="8"/>
  <c r="U18" i="8"/>
  <c r="V18" i="8"/>
  <c r="W18" i="8"/>
  <c r="BF18" i="8" s="1"/>
  <c r="X18" i="8"/>
  <c r="Y18" i="8"/>
  <c r="C18" i="8" s="1"/>
  <c r="Z18" i="8"/>
  <c r="AI18" i="8" s="1"/>
  <c r="AA18" i="8"/>
  <c r="AB18" i="8"/>
  <c r="AC18" i="8"/>
  <c r="AD18" i="8" s="1"/>
  <c r="AE18" i="8"/>
  <c r="AF18" i="8"/>
  <c r="AG18" i="8"/>
  <c r="BD18" i="8" s="1"/>
  <c r="AH18" i="8"/>
  <c r="AM18" i="8"/>
  <c r="AN18" i="8"/>
  <c r="AO18" i="8"/>
  <c r="AP18" i="8"/>
  <c r="AQ18" i="8"/>
  <c r="AR18" i="8"/>
  <c r="AS18" i="8"/>
  <c r="AX18" i="8" s="1"/>
  <c r="AT18" i="8"/>
  <c r="T18" i="8" s="1"/>
  <c r="AL8" i="2"/>
  <c r="AM8" i="2"/>
  <c r="AN8" i="2"/>
  <c r="AO8" i="2"/>
  <c r="AP8" i="2"/>
  <c r="AQ8" i="2"/>
  <c r="AR8" i="2"/>
  <c r="AS8" i="2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L12" i="2"/>
  <c r="AM12" i="2"/>
  <c r="AN12" i="2"/>
  <c r="AO12" i="2"/>
  <c r="AP12" i="2"/>
  <c r="AQ12" i="2"/>
  <c r="AR12" i="2"/>
  <c r="AS12" i="2"/>
  <c r="AL13" i="2"/>
  <c r="AM13" i="2"/>
  <c r="AN13" i="2"/>
  <c r="AO13" i="2"/>
  <c r="AP13" i="2"/>
  <c r="AQ13" i="2"/>
  <c r="AR13" i="2"/>
  <c r="AS13" i="2"/>
  <c r="AL14" i="2"/>
  <c r="AM14" i="2"/>
  <c r="AN14" i="2"/>
  <c r="AO14" i="2"/>
  <c r="AP14" i="2"/>
  <c r="AQ14" i="2"/>
  <c r="AR14" i="2"/>
  <c r="AS14" i="2"/>
  <c r="AL15" i="2"/>
  <c r="AM15" i="2"/>
  <c r="AN15" i="2"/>
  <c r="AO15" i="2"/>
  <c r="AP15" i="2"/>
  <c r="AQ15" i="2"/>
  <c r="AR15" i="2"/>
  <c r="AS15" i="2"/>
  <c r="AL16" i="2"/>
  <c r="AM16" i="2"/>
  <c r="AN16" i="2"/>
  <c r="AO16" i="2"/>
  <c r="AP16" i="2"/>
  <c r="AQ16" i="2"/>
  <c r="AR16" i="2"/>
  <c r="AS16" i="2"/>
  <c r="AL17" i="2"/>
  <c r="AM17" i="2"/>
  <c r="AN17" i="2"/>
  <c r="AO17" i="2"/>
  <c r="AP17" i="2"/>
  <c r="AQ17" i="2"/>
  <c r="AR17" i="2"/>
  <c r="AS17" i="2"/>
  <c r="AL18" i="2"/>
  <c r="AM18" i="2"/>
  <c r="AN18" i="2"/>
  <c r="AO18" i="2"/>
  <c r="AP18" i="2"/>
  <c r="AQ18" i="2"/>
  <c r="AR18" i="2"/>
  <c r="AS18" i="2"/>
  <c r="D7" i="14"/>
  <c r="P7" i="14"/>
  <c r="Q7" i="14"/>
  <c r="R7" i="14"/>
  <c r="O7" i="14"/>
  <c r="V7" i="8"/>
  <c r="W7" i="8"/>
  <c r="X7" i="8"/>
  <c r="U7" i="8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W9" i="10" l="1"/>
  <c r="AZ8" i="10"/>
  <c r="V9" i="10"/>
  <c r="U9" i="10" s="1"/>
  <c r="I8" i="10"/>
  <c r="P8" i="10"/>
  <c r="AY8" i="10"/>
  <c r="U8" i="10"/>
  <c r="N8" i="10"/>
  <c r="L8" i="10" s="1"/>
  <c r="F8" i="10"/>
  <c r="AZ9" i="10"/>
  <c r="I9" i="10" s="1"/>
  <c r="P9" i="10"/>
  <c r="O9" i="10"/>
  <c r="K14" i="8"/>
  <c r="I14" i="8"/>
  <c r="BA18" i="8"/>
  <c r="BA9" i="8"/>
  <c r="C16" i="8"/>
  <c r="BH16" i="8" s="1"/>
  <c r="AF15" i="8"/>
  <c r="BF14" i="8"/>
  <c r="AX12" i="8"/>
  <c r="S12" i="8"/>
  <c r="O12" i="8" s="1"/>
  <c r="M12" i="8" s="1"/>
  <c r="BI10" i="8"/>
  <c r="G10" i="8" s="1"/>
  <c r="J9" i="8"/>
  <c r="BD8" i="8"/>
  <c r="BA17" i="8"/>
  <c r="C12" i="8"/>
  <c r="AX17" i="8"/>
  <c r="BF12" i="8"/>
  <c r="D11" i="8"/>
  <c r="BH11" i="8" s="1"/>
  <c r="BF10" i="8"/>
  <c r="C10" i="8"/>
  <c r="BH10" i="8" s="1"/>
  <c r="BF17" i="8"/>
  <c r="AX15" i="8"/>
  <c r="BF11" i="8"/>
  <c r="BA8" i="8"/>
  <c r="BD14" i="8"/>
  <c r="BI11" i="8"/>
  <c r="BI18" i="8"/>
  <c r="G18" i="8" s="1"/>
  <c r="BI17" i="8"/>
  <c r="K17" i="8" s="1"/>
  <c r="BD15" i="8"/>
  <c r="L15" i="8"/>
  <c r="G15" i="8"/>
  <c r="H15" i="8"/>
  <c r="I15" i="8"/>
  <c r="J15" i="8"/>
  <c r="K15" i="8"/>
  <c r="P12" i="8"/>
  <c r="N12" i="8" s="1"/>
  <c r="I8" i="8"/>
  <c r="J8" i="8"/>
  <c r="K8" i="8"/>
  <c r="L8" i="8"/>
  <c r="G8" i="8"/>
  <c r="H8" i="8"/>
  <c r="P18" i="8"/>
  <c r="N18" i="8" s="1"/>
  <c r="I16" i="8"/>
  <c r="J16" i="8"/>
  <c r="K16" i="8"/>
  <c r="L16" i="8"/>
  <c r="G16" i="8"/>
  <c r="H16" i="8"/>
  <c r="P13" i="8"/>
  <c r="N13" i="8" s="1"/>
  <c r="P11" i="8"/>
  <c r="N11" i="8" s="1"/>
  <c r="P9" i="8"/>
  <c r="N9" i="8" s="1"/>
  <c r="P14" i="8"/>
  <c r="N14" i="8" s="1"/>
  <c r="O9" i="8"/>
  <c r="M9" i="8" s="1"/>
  <c r="P17" i="8"/>
  <c r="N17" i="8" s="1"/>
  <c r="BB15" i="8"/>
  <c r="BC15" i="8"/>
  <c r="AK15" i="8" s="1"/>
  <c r="M15" i="8"/>
  <c r="O14" i="8"/>
  <c r="M14" i="8" s="1"/>
  <c r="BH12" i="8"/>
  <c r="O17" i="8"/>
  <c r="M17" i="8" s="1"/>
  <c r="P8" i="8"/>
  <c r="N8" i="8" s="1"/>
  <c r="AY17" i="8"/>
  <c r="AI17" i="8"/>
  <c r="C17" i="8"/>
  <c r="BH17" i="8" s="1"/>
  <c r="AF16" i="8"/>
  <c r="P16" i="8"/>
  <c r="N16" i="8" s="1"/>
  <c r="BA15" i="8"/>
  <c r="AX14" i="8"/>
  <c r="J14" i="8"/>
  <c r="I11" i="8"/>
  <c r="N10" i="8"/>
  <c r="AY9" i="8"/>
  <c r="AI9" i="8"/>
  <c r="K9" i="8"/>
  <c r="C9" i="8"/>
  <c r="BH9" i="8" s="1"/>
  <c r="AF8" i="8"/>
  <c r="D18" i="8"/>
  <c r="H14" i="8"/>
  <c r="BI13" i="8"/>
  <c r="G11" i="8"/>
  <c r="L10" i="8"/>
  <c r="I9" i="8"/>
  <c r="AY18" i="8"/>
  <c r="S18" i="8"/>
  <c r="AF17" i="8"/>
  <c r="G14" i="8"/>
  <c r="D13" i="8"/>
  <c r="BH13" i="8" s="1"/>
  <c r="AY10" i="8"/>
  <c r="S10" i="8"/>
  <c r="K10" i="8"/>
  <c r="BE10" i="8" s="1"/>
  <c r="AL10" i="8" s="1"/>
  <c r="H9" i="8"/>
  <c r="AU9" i="8" s="1"/>
  <c r="BE15" i="8"/>
  <c r="AL15" i="8" s="1"/>
  <c r="BB14" i="8"/>
  <c r="J10" i="8"/>
  <c r="G9" i="8"/>
  <c r="D8" i="8"/>
  <c r="BB8" i="8" s="1"/>
  <c r="AJ8" i="8" s="1"/>
  <c r="AY16" i="8"/>
  <c r="S16" i="8"/>
  <c r="BA14" i="8"/>
  <c r="L11" i="8"/>
  <c r="I10" i="8"/>
  <c r="AY8" i="8"/>
  <c r="S8" i="8"/>
  <c r="L14" i="8"/>
  <c r="D14" i="8"/>
  <c r="BH14" i="8" s="1"/>
  <c r="S11" i="8"/>
  <c r="K11" i="8"/>
  <c r="H10" i="8"/>
  <c r="AY14" i="8"/>
  <c r="BI12" i="8"/>
  <c r="C7" i="26"/>
  <c r="E7" i="26"/>
  <c r="AF4" i="26"/>
  <c r="AJ4" i="24"/>
  <c r="AE4" i="22"/>
  <c r="AI4" i="19"/>
  <c r="AA4" i="10"/>
  <c r="AE3" i="8"/>
  <c r="H17" i="8" l="1"/>
  <c r="AY9" i="10"/>
  <c r="E8" i="10"/>
  <c r="H8" i="10"/>
  <c r="J8" i="10"/>
  <c r="AV8" i="10" s="1"/>
  <c r="AE8" i="10" s="1"/>
  <c r="G8" i="10"/>
  <c r="E9" i="10"/>
  <c r="AS9" i="10" s="1"/>
  <c r="F9" i="10"/>
  <c r="AR8" i="10"/>
  <c r="G9" i="10"/>
  <c r="H9" i="10"/>
  <c r="AT9" i="10" s="1"/>
  <c r="AD9" i="10" s="1"/>
  <c r="J9" i="10"/>
  <c r="N9" i="10"/>
  <c r="L9" i="10" s="1"/>
  <c r="M9" i="10"/>
  <c r="K9" i="10" s="1"/>
  <c r="BE9" i="8"/>
  <c r="AL9" i="8" s="1"/>
  <c r="I17" i="8"/>
  <c r="BC17" i="8" s="1"/>
  <c r="AK17" i="8" s="1"/>
  <c r="BE16" i="8"/>
  <c r="AL16" i="8" s="1"/>
  <c r="G17" i="8"/>
  <c r="BB17" i="8" s="1"/>
  <c r="AJ17" i="8" s="1"/>
  <c r="J18" i="8"/>
  <c r="L17" i="8"/>
  <c r="BB16" i="8"/>
  <c r="AJ16" i="8" s="1"/>
  <c r="J11" i="8"/>
  <c r="H11" i="8"/>
  <c r="AU11" i="8" s="1"/>
  <c r="K18" i="8"/>
  <c r="AW11" i="8"/>
  <c r="R11" i="8" s="1"/>
  <c r="L18" i="8"/>
  <c r="I18" i="8"/>
  <c r="AV11" i="8"/>
  <c r="H18" i="8"/>
  <c r="AU18" i="8" s="1"/>
  <c r="AV18" i="8" s="1"/>
  <c r="Q18" i="8" s="1"/>
  <c r="BG18" i="8" s="1"/>
  <c r="J17" i="8"/>
  <c r="AZ18" i="8"/>
  <c r="AU8" i="8"/>
  <c r="AW8" i="8" s="1"/>
  <c r="R8" i="8" s="1"/>
  <c r="BH8" i="8"/>
  <c r="BH18" i="8"/>
  <c r="AJ15" i="8"/>
  <c r="AU10" i="8"/>
  <c r="AV10" i="8" s="1"/>
  <c r="BE18" i="8"/>
  <c r="AL18" i="8" s="1"/>
  <c r="O8" i="8"/>
  <c r="M8" i="8" s="1"/>
  <c r="O16" i="8"/>
  <c r="M16" i="8" s="1"/>
  <c r="BC16" i="8"/>
  <c r="AK16" i="8" s="1"/>
  <c r="AU16" i="8"/>
  <c r="AW16" i="8" s="1"/>
  <c r="R16" i="8" s="1"/>
  <c r="AU15" i="8"/>
  <c r="AV15" i="8" s="1"/>
  <c r="AW15" i="8"/>
  <c r="R15" i="8" s="1"/>
  <c r="BB10" i="8"/>
  <c r="AJ10" i="8" s="1"/>
  <c r="O11" i="8"/>
  <c r="M11" i="8" s="1"/>
  <c r="AJ14" i="8"/>
  <c r="BE17" i="8"/>
  <c r="AL17" i="8" s="1"/>
  <c r="AU17" i="8"/>
  <c r="AW9" i="8"/>
  <c r="R9" i="8" s="1"/>
  <c r="BC14" i="8"/>
  <c r="AK14" i="8" s="1"/>
  <c r="AU14" i="8"/>
  <c r="AV14" i="8" s="1"/>
  <c r="AW18" i="8"/>
  <c r="R18" i="8" s="1"/>
  <c r="AZ11" i="8"/>
  <c r="Q11" i="8"/>
  <c r="BG11" i="8" s="1"/>
  <c r="BC9" i="8"/>
  <c r="AK9" i="8" s="1"/>
  <c r="BE11" i="8"/>
  <c r="AL11" i="8" s="1"/>
  <c r="BB9" i="8"/>
  <c r="AJ9" i="8" s="1"/>
  <c r="G12" i="8"/>
  <c r="H12" i="8"/>
  <c r="I12" i="8"/>
  <c r="J12" i="8"/>
  <c r="K12" i="8"/>
  <c r="L12" i="8"/>
  <c r="AV9" i="8"/>
  <c r="O18" i="8"/>
  <c r="M18" i="8" s="1"/>
  <c r="O10" i="8"/>
  <c r="M10" i="8" s="1"/>
  <c r="H13" i="8"/>
  <c r="I13" i="8"/>
  <c r="J13" i="8"/>
  <c r="K13" i="8"/>
  <c r="L13" i="8"/>
  <c r="G13" i="8"/>
  <c r="BB13" i="8" s="1"/>
  <c r="AJ13" i="8" s="1"/>
  <c r="BC13" i="8"/>
  <c r="AK13" i="8" s="1"/>
  <c r="BE8" i="8"/>
  <c r="AL8" i="8" s="1"/>
  <c r="BE14" i="8"/>
  <c r="AL14" i="8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V17" i="8" l="1"/>
  <c r="AT8" i="10"/>
  <c r="AD8" i="10" s="1"/>
  <c r="AX8" i="10"/>
  <c r="AX9" i="10"/>
  <c r="AN8" i="10"/>
  <c r="AP8" i="10" s="1"/>
  <c r="AS8" i="10"/>
  <c r="AC8" i="10" s="1"/>
  <c r="AR9" i="10"/>
  <c r="AC9" i="10" s="1"/>
  <c r="AQ8" i="10"/>
  <c r="AV9" i="10"/>
  <c r="AE9" i="10" s="1"/>
  <c r="AQ9" i="10"/>
  <c r="AN9" i="10"/>
  <c r="AP9" i="10" s="1"/>
  <c r="BC10" i="8"/>
  <c r="AK10" i="8" s="1"/>
  <c r="AW14" i="8"/>
  <c r="R14" i="8" s="1"/>
  <c r="BC8" i="8"/>
  <c r="AK8" i="8" s="1"/>
  <c r="BB18" i="8"/>
  <c r="AJ18" i="8" s="1"/>
  <c r="BE13" i="8"/>
  <c r="AL13" i="8" s="1"/>
  <c r="BE12" i="8"/>
  <c r="AL12" i="8" s="1"/>
  <c r="AV8" i="8"/>
  <c r="Q8" i="8" s="1"/>
  <c r="BG8" i="8" s="1"/>
  <c r="BB11" i="8"/>
  <c r="AJ11" i="8" s="1"/>
  <c r="AZ17" i="8"/>
  <c r="Q17" i="8"/>
  <c r="BG17" i="8" s="1"/>
  <c r="Q15" i="8"/>
  <c r="BG15" i="8" s="1"/>
  <c r="AZ15" i="8"/>
  <c r="BC12" i="8"/>
  <c r="AK12" i="8" s="1"/>
  <c r="AU13" i="8"/>
  <c r="AW13" i="8" s="1"/>
  <c r="R13" i="8" s="1"/>
  <c r="AV16" i="8"/>
  <c r="AU12" i="8"/>
  <c r="AV12" i="8" s="1"/>
  <c r="AZ14" i="8"/>
  <c r="Q14" i="8"/>
  <c r="BG14" i="8" s="1"/>
  <c r="BC18" i="8"/>
  <c r="AK18" i="8" s="1"/>
  <c r="AW17" i="8"/>
  <c r="R17" i="8" s="1"/>
  <c r="Q10" i="8"/>
  <c r="BG10" i="8" s="1"/>
  <c r="AZ10" i="8"/>
  <c r="BB12" i="8"/>
  <c r="AJ12" i="8" s="1"/>
  <c r="AW10" i="8"/>
  <c r="R10" i="8" s="1"/>
  <c r="AZ9" i="8"/>
  <c r="Q9" i="8"/>
  <c r="BG9" i="8" s="1"/>
  <c r="BC11" i="8"/>
  <c r="AK11" i="8" s="1"/>
  <c r="AI7" i="32"/>
  <c r="AE4" i="32"/>
  <c r="AD7" i="28"/>
  <c r="AA4" i="28"/>
  <c r="AH7" i="32"/>
  <c r="AE7" i="26"/>
  <c r="AK7" i="32"/>
  <c r="C7" i="19"/>
  <c r="D7" i="24"/>
  <c r="AO8" i="10" l="1"/>
  <c r="AO9" i="10"/>
  <c r="AV13" i="8"/>
  <c r="AZ8" i="8"/>
  <c r="Q12" i="8"/>
  <c r="BG12" i="8" s="1"/>
  <c r="AZ12" i="8"/>
  <c r="AW12" i="8"/>
  <c r="R12" i="8" s="1"/>
  <c r="Q13" i="8"/>
  <c r="BG13" i="8" s="1"/>
  <c r="AZ13" i="8"/>
  <c r="Q16" i="8"/>
  <c r="BG16" i="8" s="1"/>
  <c r="AZ16" i="8"/>
  <c r="AS7" i="32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H8" i="15" l="1"/>
  <c r="G8" i="15"/>
  <c r="AM7" i="32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7" i="2" l="1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<sst xmlns="http://schemas.openxmlformats.org/spreadsheetml/2006/main" count="1199" uniqueCount="344">
  <si>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</si>
  <si>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</si>
  <si>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</si>
  <si>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</si>
  <si>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</si>
  <si>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</si>
  <si>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</si>
  <si>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</si>
  <si>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</si>
  <si>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</si>
  <si>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</si>
  <si>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</si>
  <si>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</si>
  <si>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</si>
  <si>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</si>
  <si>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</si>
  <si>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</si>
  <si>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</si>
  <si>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</si>
  <si>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</si>
  <si>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</si>
  <si>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</si>
  <si>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</si>
  <si>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</si>
  <si>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</si>
  <si>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</si>
  <si>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</si>
  <si>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</si>
  <si>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</si>
  <si>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</si>
  <si>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</si>
  <si>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</si>
  <si>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</si>
  <si>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</si>
  <si>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</si>
  <si>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</si>
  <si>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</si>
  <si>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</si>
  <si>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</si>
  <si>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</si>
  <si>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</si>
  <si>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</si>
  <si>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</si>
  <si>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</si>
  <si>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</si>
  <si>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</si>
  <si>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</si>
  <si>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</si>
  <si>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</si>
  <si>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</si>
  <si>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</si>
  <si>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</si>
  <si>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</si>
  <si>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</si>
  <si>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</si>
  <si>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</si>
  <si>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</si>
  <si>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</si>
  <si>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</si>
  <si>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</si>
  <si>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</si>
  <si>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</si>
  <si>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</si>
  <si>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</si>
  <si>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</si>
  <si>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</si>
  <si>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</si>
  <si>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</si>
  <si>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</si>
  <si>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</si>
  <si>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</si>
  <si>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</si>
  <si>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</si>
  <si>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</si>
  <si>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</si>
  <si>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</si>
  <si>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</si>
  <si>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</si>
  <si>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</si>
  <si>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</si>
  <si>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</si>
  <si>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</si>
  <si>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</si>
  <si>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</si>
  <si>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</si>
  <si>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</si>
  <si>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</si>
  <si>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</si>
  <si>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</si>
  <si>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</si>
  <si>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</si>
  <si>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</si>
  <si>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</si>
  <si>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</si>
  <si>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</si>
  <si>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</si>
  <si>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</si>
  <si>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</si>
  <si>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</si>
  <si>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</si>
  <si>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</si>
  <si>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</si>
  <si>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</si>
  <si>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</si>
  <si>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</si>
  <si>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</si>
  <si>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</si>
  <si>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</si>
  <si>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</si>
  <si>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</si>
  <si>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</si>
  <si>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</si>
  <si>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</si>
  <si>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</si>
  <si>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</si>
  <si>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</si>
  <si>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</si>
  <si>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</si>
  <si>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</si>
  <si>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</si>
  <si>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</si>
  <si>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</si>
  <si>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</si>
  <si>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</si>
  <si>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</si>
  <si>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</si>
  <si>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</si>
  <si>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</si>
  <si>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</si>
  <si>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</si>
  <si>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</si>
  <si>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</si>
  <si>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</si>
  <si>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</si>
  <si>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</si>
  <si>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</si>
  <si>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</si>
  <si>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</si>
  <si>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</si>
  <si>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</si>
  <si>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</si>
  <si>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</si>
  <si>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</si>
  <si>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</si>
  <si>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</si>
  <si>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</si>
  <si>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</si>
  <si>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</si>
  <si>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</si>
  <si>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</si>
  <si>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</si>
  <si>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</si>
  <si>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</si>
  <si>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</si>
  <si>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</si>
  <si>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</si>
  <si>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</si>
  <si>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</si>
  <si>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</si>
  <si>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</si>
  <si>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</si>
  <si>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</si>
  <si>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</si>
  <si>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</si>
  <si>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</si>
  <si>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</si>
  <si>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</si>
  <si>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</si>
  <si>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</si>
  <si>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</si>
  <si>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</si>
  <si>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</si>
  <si>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</si>
  <si>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</si>
  <si>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</si>
  <si>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</si>
  <si>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</si>
  <si>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</si>
  <si>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</si>
  <si>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</si>
  <si>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</si>
  <si>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</si>
  <si>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</si>
  <si>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</si>
  <si>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</si>
  <si>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</si>
  <si>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</si>
  <si>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</si>
  <si>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</si>
  <si>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</si>
  <si>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</si>
  <si>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</si>
  <si>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</si>
  <si>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</si>
  <si>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</si>
  <si>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</si>
  <si>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</si>
  <si>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</si>
  <si>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</si>
  <si>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</si>
  <si>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</si>
  <si>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</si>
  <si>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</si>
  <si>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</si>
  <si>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</si>
  <si>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</si>
  <si>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</si>
  <si>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</si>
  <si>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</si>
  <si>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</si>
  <si>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</si>
  <si>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</si>
  <si>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</si>
  <si>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</si>
  <si>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</si>
  <si>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</si>
  <si>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</si>
  <si>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</si>
  <si>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</si>
  <si>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</si>
  <si>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</si>
  <si>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</si>
  <si>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</si>
  <si>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</si>
  <si>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</si>
  <si>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</si>
  <si>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</si>
  <si>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</si>
  <si>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</si>
  <si>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</si>
  <si>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</si>
  <si>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</si>
  <si>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</si>
  <si>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</si>
  <si>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</si>
  <si>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</si>
  <si>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</si>
  <si>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</si>
  <si>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</si>
  <si>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</si>
  <si>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</si>
  <si>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</si>
  <si>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</si>
  <si>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</si>
  <si>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</si>
  <si>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</si>
  <si>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</si>
  <si>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</si>
  <si>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</si>
  <si>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</si>
  <si>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</si>
  <si>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</si>
  <si>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</si>
  <si>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</si>
  <si>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</si>
  <si>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</si>
  <si>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</si>
  <si>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</si>
  <si>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</si>
  <si>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</si>
  <si>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</si>
  <si>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</si>
  <si>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</si>
  <si>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</si>
  <si>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</si>
  <si>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</si>
  <si>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</si>
  <si>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</si>
  <si>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</si>
  <si>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</si>
  <si>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</si>
  <si>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</si>
  <si>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</si>
  <si>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</si>
  <si>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</si>
  <si>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</si>
  <si>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</si>
  <si>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</si>
  <si>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</si>
  <si>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</si>
  <si>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</si>
  <si>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</si>
  <si>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</si>
  <si>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</si>
  <si>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</si>
  <si>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</si>
  <si>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</si>
  <si>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</si>
  <si>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</si>
  <si>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</si>
  <si>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</si>
  <si>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</si>
  <si>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</si>
  <si>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</si>
  <si>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</si>
  <si>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</si>
  <si>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</si>
  <si>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</si>
  <si>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</si>
  <si>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</si>
  <si>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</si>
  <si>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</si>
  <si>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</si>
  <si>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</si>
  <si>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</si>
  <si>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</si>
  <si>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</si>
  <si>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</si>
  <si>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</si>
  <si>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</si>
  <si>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</si>
  <si>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</si>
  <si>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</si>
  <si>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</si>
  <si>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</si>
  <si>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</si>
  <si>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</si>
  <si>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</si>
  <si>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</si>
  <si>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</si>
  <si>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</si>
  <si>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</si>
  <si>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</si>
  <si>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</si>
  <si>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</si>
  <si>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</si>
  <si>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</si>
  <si>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</si>
  <si>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</si>
  <si>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</si>
  <si>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</si>
  <si>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</si>
  <si>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</si>
  <si>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</si>
  <si>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</si>
  <si>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서울 강남구 두산위브센티움</t>
  </si>
  <si>
    <t>TKEK HD S20D-OR</t>
  </si>
  <si>
    <t>이인종</t>
  </si>
  <si>
    <t>X</t>
  </si>
  <si>
    <t>B1</t>
  </si>
  <si>
    <t>X</t>
    <phoneticPr fontId="1" type="noConversion"/>
  </si>
  <si>
    <t>B2</t>
  </si>
  <si>
    <t>B3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</si>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</sst>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7" sqref="B7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335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서울 강남구 두산위브센티움 ) _이인종소장</v>
      </c>
      <c r="C2" s="39" t="str">
        <f>"(와이드) 제작변환 자료( "&amp;B1&amp;" ) _"&amp;소장 &amp;"소장"</f>
        <v>(와이드) 제작변환 자료( 서울 강남구 두산위브센티움 ) _이인종소장</v>
      </c>
      <c r="D2" s="154" t="s">
        <v>318</v>
      </c>
      <c r="E2" s="150" t="str">
        <f>"(SO와이드) 실측서 ( " &amp; B1 &amp; " ) _"&amp;소장 &amp;"소장"</f>
        <v>(SO와이드) 실측서 ( 서울 강남구 두산위브센티움 ) _이인종소장</v>
      </c>
      <c r="F2" s="150" t="str">
        <f>"(SO와이드) 제작변환 ( " &amp; B1 &amp; " ) _"&amp;소장 &amp;"소장"</f>
        <v>(SO와이드) 제작변환 ( 서울 강남구 두산위브센티움 ) _이인종소장</v>
      </c>
      <c r="G2" s="152" t="s">
        <v>320</v>
      </c>
      <c r="H2" s="147" t="str">
        <f>"(4CO와이드) 실측서 ( " &amp; B1 &amp; " ) _"&amp;소장 &amp;"소장"</f>
        <v>(4CO와이드) 실측서 ( 서울 강남구 두산위브센티움 ) _이인종소장</v>
      </c>
      <c r="I2" s="147" t="str">
        <f>"(4CO와이드) 제작변환 ( " &amp; B1 &amp; " ) _"&amp;소장 &amp;"소장"</f>
        <v>(4CO와이드) 제작변환 ( 서울 강남구 두산위브센티움 ) _이인종소장</v>
      </c>
      <c r="J2" s="152" t="s">
        <v>322</v>
      </c>
      <c r="K2" s="153" t="str">
        <f>"(2UP) 실측서 ( " &amp; B1 &amp; " ) _"&amp;소장 &amp;"소장"</f>
        <v>(2UP) 실측서 ( 서울 강남구 두산위브센티움 ) _이인종소장</v>
      </c>
      <c r="L2" s="153" t="str">
        <f>"(2UP) 제작변환 ( " &amp; B1 &amp; " ) _"&amp;소장 &amp;"소장"</f>
        <v>(2UP) 제작변환 ( 서울 강남구 두산위브센티움 ) _이인종소장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서울 강남구 두산위브센티움 ) _이인종소장</v>
      </c>
      <c r="C3" s="39" t="str">
        <f>"(멍텅구리) 제작변환 자료( "&amp;B1&amp;" ) _"&amp;소장 &amp;"소장"</f>
        <v>(멍텅구리) 제작변환 자료( 서울 강남구 두산위브센티움 ) _이인종소장</v>
      </c>
      <c r="D3" s="154" t="s">
        <v>319</v>
      </c>
      <c r="E3" s="150" t="str">
        <f>"(SO멍텅구리) 실측서 ( " &amp; B1 &amp; " ) _"&amp;소장 &amp;"소장"</f>
        <v>(SO멍텅구리) 실측서 ( 서울 강남구 두산위브센티움 ) _이인종소장</v>
      </c>
      <c r="F3" s="150" t="str">
        <f>"(SO멍텅구리) 제작변환 ( " &amp; B1 &amp; " ) _"&amp;소장 &amp;"소장"</f>
        <v>(SO멍텅구리) 제작변환 ( 서울 강남구 두산위브센티움 ) _이인종소장</v>
      </c>
      <c r="G3" s="152" t="s">
        <v>321</v>
      </c>
      <c r="H3" s="147" t="str">
        <f>"(4CO멍텅구리) 실측서 ( " &amp; B1 &amp; " ) _"&amp;소장 &amp;"소장"</f>
        <v>(4CO멍텅구리) 실측서 ( 서울 강남구 두산위브센티움 ) _이인종소장</v>
      </c>
      <c r="I3" s="147" t="str">
        <f>"(4CO멍텅구리) 제작변환 ( " &amp; B1 &amp; " ) _"&amp;소장 &amp;"소장"</f>
        <v>(4CO멍텅구리) 제작변환 ( 서울 강남구 두산위브센티움 ) _이인종소장</v>
      </c>
      <c r="J3" s="152" t="s">
        <v>323</v>
      </c>
      <c r="K3" s="153" t="str">
        <f>"(3UP) 실측서 ( " &amp; B1 &amp; " ) _"&amp;소장 &amp;"소장"</f>
        <v>(3UP) 실측서 ( 서울 강남구 두산위브센티움 ) _이인종소장</v>
      </c>
      <c r="L3" s="153" t="str">
        <f>"(3UP) 제작변환 ( " &amp; B1 &amp; " ) _"&amp;소장 &amp;"소장"</f>
        <v>(3UP) 제작변환 ( 서울 강남구 두산위브센티움 ) _이인종소장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서울 강남구 두산위브센티움 ) _이인종소장</v>
      </c>
      <c r="C4" s="39" t="str">
        <f>"(쪽쟘) 제작변환 자료( "&amp;B1&amp;" ) _"&amp;소장 &amp;"소장"</f>
        <v>(쪽쟘) 제작변환 자료( 서울 강남구 두산위브센티움 ) _이인종소장</v>
      </c>
      <c r="D4" s="151"/>
      <c r="E4" s="151"/>
      <c r="F4" s="151"/>
      <c r="G4" s="151"/>
    </row>
    <row r="5" spans="1:12" ht="84" customHeight="1">
      <c r="A5" s="1" t="s">
        <v>292</v>
      </c>
      <c r="B5" s="69" t="s">
        <v>336</v>
      </c>
      <c r="D5" s="145" t="s">
        <v>324</v>
      </c>
    </row>
    <row r="6" spans="1:12" ht="27.75" customHeight="1">
      <c r="A6" s="144" t="s">
        <v>40</v>
      </c>
      <c r="B6" s="146" t="s">
        <v>337</v>
      </c>
    </row>
    <row r="7" spans="1:12" ht="16.5" customHeight="1">
      <c r="A7" s="72" t="s">
        <v>193</v>
      </c>
      <c r="B7" s="118" t="s">
        <v>293</v>
      </c>
    </row>
    <row r="8" spans="1:12" ht="16.5" customHeight="1">
      <c r="A8" s="76" t="s">
        <v>194</v>
      </c>
      <c r="B8" s="118" t="s">
        <v>293</v>
      </c>
    </row>
    <row r="9" spans="1:12" ht="16.5" customHeight="1">
      <c r="A9" s="71" t="s">
        <v>195</v>
      </c>
      <c r="B9" s="118" t="s">
        <v>293</v>
      </c>
    </row>
    <row r="10" spans="1:12" ht="16.5" customHeight="1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-(0),  C + (0),   U + (0), OP - (3), R - (2),  기둥차감 - (0), A + (3)</v>
      </c>
      <c r="C10" s="161"/>
    </row>
    <row r="11" spans="1:12" ht="16.5" customHeight="1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-(0),  C + (0),  U +(0), OP - (3), R - (2),  기둥차감 - (0),  A + (3)</v>
      </c>
      <c r="C11" s="161"/>
    </row>
    <row r="12" spans="1:12" ht="16.5" customHeight="1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-(0),  C + (0),   U + (0), OP - (3), R - (2),  기둥차감 - (0),  A + (3)</v>
      </c>
      <c r="C13" s="161"/>
    </row>
    <row r="14" spans="1:12" ht="16.5" customHeight="1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-(0),  C + (0),  U +(0), OP1/OP2 - (3), R - (2),  기둥차감 - (0), A + (3)</v>
      </c>
      <c r="C14" s="161"/>
    </row>
    <row r="15" spans="1:12" ht="16.5" customHeight="1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-(0),  C + (0),   U + (0), OP1/OP3 - (3), R - (2),  기둥차감 - (0), A + (3)</v>
      </c>
      <c r="C15" s="161"/>
    </row>
    <row r="16" spans="1:12" ht="16.5" customHeight="1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-(0),  C + (0),  U +(0), OP1/OP3 - (3), R - (2),  기둥차감 - (0), A + (3)</v>
      </c>
      <c r="C16" s="161"/>
    </row>
    <row r="17" spans="1:3" ht="16.5" customHeight="1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-(0),  C + (0),   U + (0), OP - (2), R - (2),  기둥차감 - (0), A + (3)</v>
      </c>
      <c r="C17" s="161"/>
    </row>
    <row r="18" spans="1:3" ht="16.5" customHeight="1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-(0),  C + (0),   U + (0), OP - (2), R - (2),  기둥차감 - (0), A + (3)</v>
      </c>
      <c r="C18" s="161"/>
    </row>
    <row r="21" spans="1:3">
      <c r="B21" t="s">
        <v>271</v>
      </c>
    </row>
    <row r="23" spans="1:3" ht="37.5" customHeight="1">
      <c r="A23" s="22" t="s">
        <v>299</v>
      </c>
      <c r="B23" s="124" t="s">
        <v>310</v>
      </c>
    </row>
    <row r="26" spans="1: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1</v>
      </c>
      <c r="D2" s="3" t="str">
        <f>정보!B1</f>
        <v>서울 강남구 두산위브센티움</v>
      </c>
      <c r="E2" s="3" t="str">
        <f>정보!B6</f>
        <v>이인종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45287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/>
    <row r="4" spans="1:17" ht="60.75" customHeight="1">
      <c r="D4" t="s">
        <v>206</v>
      </c>
      <c r="E4" t="s">
        <v>217</v>
      </c>
    </row>
    <row r="5" spans="1:17" ht="60.75" customHeight="1">
      <c r="D5" t="s">
        <v>298</v>
      </c>
      <c r="E5" t="s">
        <v>218</v>
      </c>
      <c r="G5" t="s">
        <v>300</v>
      </c>
    </row>
    <row r="6" spans="1:17" ht="60.75" customHeight="1">
      <c r="D6" t="s">
        <v>209</v>
      </c>
      <c r="E6" t="s">
        <v>219</v>
      </c>
      <c r="G6" t="s">
        <v>301</v>
      </c>
    </row>
    <row r="7" spans="1:17" ht="60.75" customHeight="1">
      <c r="D7" t="s">
        <v>210</v>
      </c>
      <c r="E7" t="s">
        <v>220</v>
      </c>
    </row>
    <row r="8" spans="1:17" ht="67.5" customHeight="1">
      <c r="D8" t="s">
        <v>211</v>
      </c>
      <c r="E8" t="s">
        <v>221</v>
      </c>
    </row>
    <row r="9" spans="1:17" ht="62.25" customHeight="1">
      <c r="D9" t="s">
        <v>291</v>
      </c>
      <c r="E9" t="s">
        <v>222</v>
      </c>
    </row>
    <row r="10" spans="1:17" ht="62.25" customHeight="1">
      <c r="D10" t="s">
        <v>216</v>
      </c>
      <c r="E10" t="s">
        <v>223</v>
      </c>
    </row>
    <row r="11" spans="1:17" ht="71.25" customHeight="1">
      <c r="E11" t="s">
        <v>224</v>
      </c>
    </row>
    <row r="12" spans="1:17" ht="62.25" customHeight="1">
      <c r="E12" t="s">
        <v>316</v>
      </c>
    </row>
    <row r="13" spans="1:17" ht="62.25" customHeight="1">
      <c r="E13" t="s">
        <v>302</v>
      </c>
    </row>
    <row r="14" spans="1:17" ht="62.25" customHeight="1">
      <c r="E14" t="s">
        <v>317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G26" sqref="G26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66" t="str">
        <f>정보!B2</f>
        <v>(와이드) 실측서 ( 서울 강남구 두산위브센티움 ) _이인종소장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>
      <c r="A4" s="163" t="str">
        <f>정보!B10</f>
        <v>제작치수 반영 : MH + (2), JB/JD +(5 ),  늘어난치수K -(0),  C + (0),   U + (0), OP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>
      <c r="A7" s="127"/>
      <c r="B7" s="4">
        <v>12</v>
      </c>
      <c r="C7" s="4">
        <v>205</v>
      </c>
      <c r="D7" s="4">
        <v>205</v>
      </c>
      <c r="E7" s="4">
        <v>1100</v>
      </c>
      <c r="F7" s="4">
        <v>1194</v>
      </c>
      <c r="G7" s="4">
        <v>261</v>
      </c>
      <c r="H7" s="4">
        <v>261</v>
      </c>
      <c r="I7" s="4">
        <v>275</v>
      </c>
      <c r="J7" s="4">
        <v>275</v>
      </c>
      <c r="K7" s="13">
        <v>40</v>
      </c>
      <c r="L7" s="13">
        <v>40</v>
      </c>
      <c r="M7" s="4">
        <v>10</v>
      </c>
      <c r="N7" s="4">
        <v>10</v>
      </c>
      <c r="O7" s="4">
        <v>5</v>
      </c>
      <c r="P7" s="4">
        <v>5</v>
      </c>
      <c r="Q7" s="4">
        <v>2093</v>
      </c>
      <c r="R7" s="4">
        <v>2089</v>
      </c>
      <c r="S7" s="4">
        <v>2094</v>
      </c>
      <c r="T7" s="4">
        <v>2088</v>
      </c>
      <c r="U7" s="4" t="s">
        <v>338</v>
      </c>
      <c r="V7" s="4" t="s">
        <v>340</v>
      </c>
      <c r="W7" s="4">
        <v>50</v>
      </c>
      <c r="X7" s="4">
        <v>30</v>
      </c>
      <c r="Y7" s="4">
        <v>10</v>
      </c>
      <c r="Z7" s="4">
        <v>11</v>
      </c>
      <c r="AA7" s="4">
        <v>10</v>
      </c>
      <c r="AB7" s="4">
        <v>10</v>
      </c>
      <c r="AC7" s="4">
        <v>205</v>
      </c>
      <c r="AD7" s="4">
        <v>205</v>
      </c>
      <c r="AE7" s="4"/>
      <c r="AF7" s="4"/>
      <c r="AG7" s="4">
        <v>90</v>
      </c>
      <c r="AH7" s="4">
        <v>20</v>
      </c>
      <c r="AI7" s="4">
        <v>10</v>
      </c>
      <c r="AJ7" s="4">
        <v>10</v>
      </c>
      <c r="AK7" s="53"/>
      <c r="AL7" s="3">
        <f>Y7+$AK7</f>
        <v>10</v>
      </c>
      <c r="AM7" s="3">
        <f>Z7+$AK7</f>
        <v>11</v>
      </c>
      <c r="AN7" s="3">
        <f>AA7+$AK7</f>
        <v>10</v>
      </c>
      <c r="AO7" s="3">
        <f>AB7+$AK7</f>
        <v>10</v>
      </c>
      <c r="AP7" s="3">
        <f>G7-$AK7</f>
        <v>261</v>
      </c>
      <c r="AQ7" s="3">
        <f>H7-$AK7</f>
        <v>261</v>
      </c>
      <c r="AR7" s="3">
        <f>I7-$AK7</f>
        <v>275</v>
      </c>
      <c r="AS7" s="3">
        <f>J7-$AK7</f>
        <v>275</v>
      </c>
    </row>
    <row r="8" spans="1:45" ht="23.25" customHeight="1">
      <c r="A8" s="127"/>
      <c r="B8" s="4">
        <v>11</v>
      </c>
      <c r="C8" s="4">
        <v>211</v>
      </c>
      <c r="D8" s="4">
        <v>211</v>
      </c>
      <c r="E8" s="4">
        <v>1100</v>
      </c>
      <c r="F8" s="4">
        <v>1193</v>
      </c>
      <c r="G8" s="4">
        <v>257</v>
      </c>
      <c r="H8" s="4">
        <v>257</v>
      </c>
      <c r="I8" s="4">
        <v>271</v>
      </c>
      <c r="J8" s="4">
        <v>271</v>
      </c>
      <c r="K8" s="13">
        <v>40</v>
      </c>
      <c r="L8" s="13">
        <v>40</v>
      </c>
      <c r="M8" s="4">
        <v>10</v>
      </c>
      <c r="N8" s="4">
        <v>10</v>
      </c>
      <c r="O8" s="4">
        <v>5</v>
      </c>
      <c r="P8" s="4">
        <v>5</v>
      </c>
      <c r="Q8" s="4">
        <v>2094</v>
      </c>
      <c r="R8" s="4">
        <v>2090</v>
      </c>
      <c r="S8" s="4">
        <v>2094</v>
      </c>
      <c r="T8" s="4">
        <v>2090</v>
      </c>
      <c r="U8" s="4" t="s">
        <v>338</v>
      </c>
      <c r="V8" s="4" t="s">
        <v>340</v>
      </c>
      <c r="W8" s="4">
        <v>50</v>
      </c>
      <c r="X8" s="4">
        <v>30</v>
      </c>
      <c r="Y8" s="4">
        <v>10</v>
      </c>
      <c r="Z8" s="4">
        <v>11</v>
      </c>
      <c r="AA8" s="4">
        <v>10</v>
      </c>
      <c r="AB8" s="4">
        <v>12</v>
      </c>
      <c r="AC8" s="4">
        <v>206</v>
      </c>
      <c r="AD8" s="4">
        <v>201</v>
      </c>
      <c r="AE8" s="4"/>
      <c r="AF8" s="4"/>
      <c r="AG8" s="4">
        <v>90</v>
      </c>
      <c r="AH8" s="4">
        <v>20</v>
      </c>
      <c r="AI8" s="4">
        <v>10</v>
      </c>
      <c r="AJ8" s="4">
        <v>10</v>
      </c>
      <c r="AK8" s="53">
        <v>1</v>
      </c>
      <c r="AL8" s="3">
        <f t="shared" ref="AL8:AL18" si="0">Y8+$AK8</f>
        <v>11</v>
      </c>
      <c r="AM8" s="3">
        <f t="shared" ref="AM8:AM18" si="1">Z8+$AK8</f>
        <v>12</v>
      </c>
      <c r="AN8" s="3">
        <f t="shared" ref="AN8:AN18" si="2">AA8+$AK8</f>
        <v>11</v>
      </c>
      <c r="AO8" s="3">
        <f t="shared" ref="AO8:AO18" si="3">AB8+$AK8</f>
        <v>13</v>
      </c>
      <c r="AP8" s="3">
        <f t="shared" ref="AP8:AP18" si="4">G8-$AK8</f>
        <v>256</v>
      </c>
      <c r="AQ8" s="3">
        <f t="shared" ref="AQ8:AQ18" si="5">H8-$AK8</f>
        <v>256</v>
      </c>
      <c r="AR8" s="3">
        <f t="shared" ref="AR8:AR18" si="6">I8-$AK8</f>
        <v>270</v>
      </c>
      <c r="AS8" s="3">
        <f t="shared" ref="AS8:AS18" si="7">J8-$AK8</f>
        <v>270</v>
      </c>
    </row>
    <row r="9" spans="1:45" ht="23.25" customHeight="1">
      <c r="A9" s="127"/>
      <c r="B9" s="4">
        <v>10</v>
      </c>
      <c r="C9" s="4">
        <v>203</v>
      </c>
      <c r="D9" s="4">
        <v>203</v>
      </c>
      <c r="E9" s="4">
        <v>1100</v>
      </c>
      <c r="F9" s="4">
        <v>1191</v>
      </c>
      <c r="G9" s="4">
        <v>250</v>
      </c>
      <c r="H9" s="4">
        <v>250</v>
      </c>
      <c r="I9" s="4">
        <v>265</v>
      </c>
      <c r="J9" s="4">
        <v>265</v>
      </c>
      <c r="K9" s="13">
        <v>40</v>
      </c>
      <c r="L9" s="13">
        <v>40</v>
      </c>
      <c r="M9" s="4">
        <v>10</v>
      </c>
      <c r="N9" s="4">
        <v>10</v>
      </c>
      <c r="O9" s="4">
        <v>5</v>
      </c>
      <c r="P9" s="4">
        <v>4</v>
      </c>
      <c r="Q9" s="4">
        <v>2096</v>
      </c>
      <c r="R9" s="4">
        <v>2091</v>
      </c>
      <c r="S9" s="4">
        <v>2096</v>
      </c>
      <c r="T9" s="4">
        <v>2089</v>
      </c>
      <c r="U9" s="4" t="s">
        <v>338</v>
      </c>
      <c r="V9" s="4" t="s">
        <v>340</v>
      </c>
      <c r="W9" s="4">
        <v>50</v>
      </c>
      <c r="X9" s="4">
        <v>30</v>
      </c>
      <c r="Y9" s="4">
        <v>10</v>
      </c>
      <c r="Z9" s="4">
        <v>12</v>
      </c>
      <c r="AA9" s="4">
        <v>11</v>
      </c>
      <c r="AB9" s="4">
        <v>11</v>
      </c>
      <c r="AC9" s="4">
        <v>195</v>
      </c>
      <c r="AD9" s="4">
        <v>195</v>
      </c>
      <c r="AE9" s="4"/>
      <c r="AF9" s="4"/>
      <c r="AG9" s="4">
        <v>90</v>
      </c>
      <c r="AH9" s="4">
        <v>20</v>
      </c>
      <c r="AI9" s="4">
        <v>10</v>
      </c>
      <c r="AJ9" s="4">
        <v>10</v>
      </c>
      <c r="AK9" s="53"/>
      <c r="AL9" s="3">
        <f t="shared" si="0"/>
        <v>10</v>
      </c>
      <c r="AM9" s="3">
        <f t="shared" si="1"/>
        <v>12</v>
      </c>
      <c r="AN9" s="3">
        <f t="shared" si="2"/>
        <v>11</v>
      </c>
      <c r="AO9" s="3">
        <f t="shared" si="3"/>
        <v>11</v>
      </c>
      <c r="AP9" s="3">
        <f t="shared" si="4"/>
        <v>250</v>
      </c>
      <c r="AQ9" s="3">
        <f t="shared" si="5"/>
        <v>250</v>
      </c>
      <c r="AR9" s="3">
        <f t="shared" si="6"/>
        <v>265</v>
      </c>
      <c r="AS9" s="3">
        <f t="shared" si="7"/>
        <v>265</v>
      </c>
    </row>
    <row r="10" spans="1:45" ht="23.25" customHeight="1">
      <c r="A10" s="127"/>
      <c r="B10" s="4">
        <v>9</v>
      </c>
      <c r="C10" s="4">
        <v>211</v>
      </c>
      <c r="D10" s="4">
        <v>211</v>
      </c>
      <c r="E10" s="4">
        <v>1100</v>
      </c>
      <c r="F10" s="4">
        <v>1192</v>
      </c>
      <c r="G10" s="4">
        <v>258</v>
      </c>
      <c r="H10" s="4">
        <v>258</v>
      </c>
      <c r="I10" s="4">
        <v>272</v>
      </c>
      <c r="J10" s="4">
        <v>272</v>
      </c>
      <c r="K10" s="13">
        <v>40</v>
      </c>
      <c r="L10" s="13">
        <v>40</v>
      </c>
      <c r="M10" s="4">
        <v>10</v>
      </c>
      <c r="N10" s="4">
        <v>10</v>
      </c>
      <c r="O10" s="4">
        <v>4</v>
      </c>
      <c r="P10" s="4">
        <v>4</v>
      </c>
      <c r="Q10" s="4">
        <v>2091</v>
      </c>
      <c r="R10" s="4">
        <v>2091</v>
      </c>
      <c r="S10" s="4">
        <v>2095</v>
      </c>
      <c r="T10" s="4">
        <v>2091</v>
      </c>
      <c r="U10" s="4" t="s">
        <v>338</v>
      </c>
      <c r="V10" s="4" t="s">
        <v>340</v>
      </c>
      <c r="W10" s="4">
        <v>50</v>
      </c>
      <c r="X10" s="4">
        <v>30</v>
      </c>
      <c r="Y10" s="4">
        <v>12</v>
      </c>
      <c r="Z10" s="4">
        <v>12</v>
      </c>
      <c r="AA10" s="4">
        <v>11</v>
      </c>
      <c r="AB10" s="4">
        <v>12</v>
      </c>
      <c r="AC10" s="4">
        <v>205</v>
      </c>
      <c r="AD10" s="4">
        <v>202</v>
      </c>
      <c r="AE10" s="4"/>
      <c r="AF10" s="4"/>
      <c r="AG10" s="4">
        <v>90</v>
      </c>
      <c r="AH10" s="4">
        <v>20</v>
      </c>
      <c r="AI10" s="4">
        <v>10</v>
      </c>
      <c r="AJ10" s="4">
        <v>10</v>
      </c>
      <c r="AK10" s="53"/>
      <c r="AL10" s="3">
        <f t="shared" si="0"/>
        <v>12</v>
      </c>
      <c r="AM10" s="3">
        <f t="shared" si="1"/>
        <v>12</v>
      </c>
      <c r="AN10" s="3">
        <f t="shared" si="2"/>
        <v>11</v>
      </c>
      <c r="AO10" s="3">
        <f t="shared" si="3"/>
        <v>12</v>
      </c>
      <c r="AP10" s="3">
        <f t="shared" si="4"/>
        <v>258</v>
      </c>
      <c r="AQ10" s="3">
        <f t="shared" si="5"/>
        <v>258</v>
      </c>
      <c r="AR10" s="3">
        <f t="shared" si="6"/>
        <v>272</v>
      </c>
      <c r="AS10" s="3">
        <f t="shared" si="7"/>
        <v>272</v>
      </c>
    </row>
    <row r="11" spans="1:45" ht="23.25" customHeight="1">
      <c r="A11" s="127"/>
      <c r="B11" s="4">
        <v>8</v>
      </c>
      <c r="C11" s="4">
        <v>206</v>
      </c>
      <c r="D11" s="4">
        <v>206</v>
      </c>
      <c r="E11" s="4">
        <v>1102</v>
      </c>
      <c r="F11" s="4">
        <v>1195</v>
      </c>
      <c r="G11" s="4">
        <v>263</v>
      </c>
      <c r="H11" s="4">
        <v>263</v>
      </c>
      <c r="I11" s="4">
        <v>277</v>
      </c>
      <c r="J11" s="4">
        <v>277</v>
      </c>
      <c r="K11" s="13">
        <v>40</v>
      </c>
      <c r="L11" s="13">
        <v>40</v>
      </c>
      <c r="M11" s="4">
        <v>10</v>
      </c>
      <c r="N11" s="4">
        <v>10</v>
      </c>
      <c r="O11" s="4">
        <v>4</v>
      </c>
      <c r="P11" s="4">
        <v>4</v>
      </c>
      <c r="Q11" s="4">
        <v>2098</v>
      </c>
      <c r="R11" s="4">
        <v>2090</v>
      </c>
      <c r="S11" s="4">
        <v>2098</v>
      </c>
      <c r="T11" s="4">
        <v>2090</v>
      </c>
      <c r="U11" s="4" t="s">
        <v>338</v>
      </c>
      <c r="V11" s="4" t="s">
        <v>340</v>
      </c>
      <c r="W11" s="4">
        <v>50</v>
      </c>
      <c r="X11" s="4">
        <v>30</v>
      </c>
      <c r="Y11" s="4">
        <v>11</v>
      </c>
      <c r="Z11" s="4">
        <v>14</v>
      </c>
      <c r="AA11" s="4">
        <v>12</v>
      </c>
      <c r="AB11" s="4">
        <v>13</v>
      </c>
      <c r="AC11" s="4">
        <v>198</v>
      </c>
      <c r="AD11" s="4">
        <v>197</v>
      </c>
      <c r="AE11" s="4"/>
      <c r="AF11" s="4"/>
      <c r="AG11" s="4">
        <v>90</v>
      </c>
      <c r="AH11" s="4">
        <v>20</v>
      </c>
      <c r="AI11" s="4">
        <v>10</v>
      </c>
      <c r="AJ11" s="4">
        <v>10</v>
      </c>
      <c r="AK11" s="53"/>
      <c r="AL11" s="3">
        <f t="shared" si="0"/>
        <v>11</v>
      </c>
      <c r="AM11" s="3">
        <f t="shared" si="1"/>
        <v>14</v>
      </c>
      <c r="AN11" s="3">
        <f t="shared" si="2"/>
        <v>12</v>
      </c>
      <c r="AO11" s="3">
        <f t="shared" si="3"/>
        <v>13</v>
      </c>
      <c r="AP11" s="3">
        <f t="shared" si="4"/>
        <v>263</v>
      </c>
      <c r="AQ11" s="3">
        <f t="shared" si="5"/>
        <v>263</v>
      </c>
      <c r="AR11" s="3">
        <f t="shared" si="6"/>
        <v>277</v>
      </c>
      <c r="AS11" s="3">
        <f t="shared" si="7"/>
        <v>277</v>
      </c>
    </row>
    <row r="12" spans="1:45" ht="23.25" customHeight="1">
      <c r="A12" s="127"/>
      <c r="B12" s="4">
        <v>7</v>
      </c>
      <c r="C12" s="4">
        <v>206</v>
      </c>
      <c r="D12" s="4">
        <v>206</v>
      </c>
      <c r="E12" s="4">
        <v>1101</v>
      </c>
      <c r="F12" s="4">
        <v>1190</v>
      </c>
      <c r="G12" s="4">
        <v>253</v>
      </c>
      <c r="H12" s="4">
        <v>253</v>
      </c>
      <c r="I12" s="4">
        <v>267</v>
      </c>
      <c r="J12" s="4">
        <v>267</v>
      </c>
      <c r="K12" s="13">
        <v>40</v>
      </c>
      <c r="L12" s="13">
        <v>40</v>
      </c>
      <c r="M12" s="4">
        <v>10</v>
      </c>
      <c r="N12" s="4">
        <v>10</v>
      </c>
      <c r="O12" s="4">
        <v>5</v>
      </c>
      <c r="P12" s="4">
        <v>5</v>
      </c>
      <c r="Q12" s="4">
        <v>2100</v>
      </c>
      <c r="R12" s="4">
        <v>2091</v>
      </c>
      <c r="S12" s="4">
        <v>2097</v>
      </c>
      <c r="T12" s="4">
        <v>2091</v>
      </c>
      <c r="U12" s="4" t="s">
        <v>338</v>
      </c>
      <c r="V12" s="4" t="s">
        <v>340</v>
      </c>
      <c r="W12" s="4">
        <v>50</v>
      </c>
      <c r="X12" s="4">
        <v>30</v>
      </c>
      <c r="Y12" s="4">
        <v>11</v>
      </c>
      <c r="Z12" s="4">
        <v>13</v>
      </c>
      <c r="AA12" s="4">
        <v>12</v>
      </c>
      <c r="AB12" s="4">
        <v>12</v>
      </c>
      <c r="AC12" s="4">
        <v>199</v>
      </c>
      <c r="AD12" s="4">
        <v>197</v>
      </c>
      <c r="AE12" s="4"/>
      <c r="AF12" s="4"/>
      <c r="AG12" s="4">
        <v>90</v>
      </c>
      <c r="AH12" s="4">
        <v>20</v>
      </c>
      <c r="AI12" s="4">
        <v>10</v>
      </c>
      <c r="AJ12" s="4">
        <v>10</v>
      </c>
      <c r="AK12" s="53"/>
      <c r="AL12" s="3">
        <f t="shared" si="0"/>
        <v>11</v>
      </c>
      <c r="AM12" s="3">
        <f t="shared" si="1"/>
        <v>13</v>
      </c>
      <c r="AN12" s="3">
        <f t="shared" si="2"/>
        <v>12</v>
      </c>
      <c r="AO12" s="3">
        <f t="shared" si="3"/>
        <v>12</v>
      </c>
      <c r="AP12" s="3">
        <f t="shared" si="4"/>
        <v>253</v>
      </c>
      <c r="AQ12" s="3">
        <f t="shared" si="5"/>
        <v>253</v>
      </c>
      <c r="AR12" s="3">
        <f t="shared" si="6"/>
        <v>267</v>
      </c>
      <c r="AS12" s="3">
        <f t="shared" si="7"/>
        <v>267</v>
      </c>
    </row>
    <row r="13" spans="1:45" ht="23.25" customHeight="1">
      <c r="A13" s="127"/>
      <c r="B13" s="4">
        <v>6</v>
      </c>
      <c r="C13" s="4">
        <v>200</v>
      </c>
      <c r="D13" s="4">
        <v>200</v>
      </c>
      <c r="E13" s="4">
        <v>1099</v>
      </c>
      <c r="F13" s="4">
        <v>1191</v>
      </c>
      <c r="G13" s="4">
        <v>253</v>
      </c>
      <c r="H13" s="4">
        <v>253</v>
      </c>
      <c r="I13" s="4">
        <v>267</v>
      </c>
      <c r="J13" s="4">
        <v>267</v>
      </c>
      <c r="K13" s="13">
        <v>40</v>
      </c>
      <c r="L13" s="13">
        <v>40</v>
      </c>
      <c r="M13" s="4">
        <v>10</v>
      </c>
      <c r="N13" s="4">
        <v>10</v>
      </c>
      <c r="O13" s="4">
        <v>5</v>
      </c>
      <c r="P13" s="4">
        <v>5</v>
      </c>
      <c r="Q13" s="4">
        <v>2093</v>
      </c>
      <c r="R13" s="4">
        <v>2090</v>
      </c>
      <c r="S13" s="4">
        <v>2097</v>
      </c>
      <c r="T13" s="4">
        <v>2090</v>
      </c>
      <c r="U13" s="4" t="s">
        <v>338</v>
      </c>
      <c r="V13" s="4" t="s">
        <v>340</v>
      </c>
      <c r="W13" s="4">
        <v>50</v>
      </c>
      <c r="X13" s="4">
        <v>30</v>
      </c>
      <c r="Y13" s="4">
        <v>12</v>
      </c>
      <c r="Z13" s="4">
        <v>14</v>
      </c>
      <c r="AA13" s="4">
        <v>12</v>
      </c>
      <c r="AB13" s="4">
        <v>13</v>
      </c>
      <c r="AC13" s="4">
        <v>196</v>
      </c>
      <c r="AD13" s="4">
        <v>187</v>
      </c>
      <c r="AE13" s="4"/>
      <c r="AF13" s="4"/>
      <c r="AG13" s="4">
        <v>90</v>
      </c>
      <c r="AH13" s="4">
        <v>20</v>
      </c>
      <c r="AI13" s="4">
        <v>10</v>
      </c>
      <c r="AJ13" s="4">
        <v>10</v>
      </c>
      <c r="AK13" s="53"/>
      <c r="AL13" s="3">
        <f t="shared" si="0"/>
        <v>12</v>
      </c>
      <c r="AM13" s="3">
        <f t="shared" si="1"/>
        <v>14</v>
      </c>
      <c r="AN13" s="3">
        <f t="shared" si="2"/>
        <v>12</v>
      </c>
      <c r="AO13" s="3">
        <f t="shared" si="3"/>
        <v>13</v>
      </c>
      <c r="AP13" s="3">
        <f t="shared" si="4"/>
        <v>253</v>
      </c>
      <c r="AQ13" s="3">
        <f t="shared" si="5"/>
        <v>253</v>
      </c>
      <c r="AR13" s="3">
        <f t="shared" si="6"/>
        <v>267</v>
      </c>
      <c r="AS13" s="3">
        <f t="shared" si="7"/>
        <v>267</v>
      </c>
    </row>
    <row r="14" spans="1:45" ht="23.25" customHeight="1">
      <c r="A14" s="127"/>
      <c r="B14" s="4">
        <v>5</v>
      </c>
      <c r="C14" s="4">
        <v>207</v>
      </c>
      <c r="D14" s="4">
        <v>207</v>
      </c>
      <c r="E14" s="4">
        <v>1099</v>
      </c>
      <c r="F14" s="4">
        <v>1189</v>
      </c>
      <c r="G14" s="4">
        <v>252</v>
      </c>
      <c r="H14" s="4">
        <v>252</v>
      </c>
      <c r="I14" s="4">
        <v>267</v>
      </c>
      <c r="J14" s="4">
        <v>267</v>
      </c>
      <c r="K14" s="13">
        <v>40</v>
      </c>
      <c r="L14" s="13">
        <v>40</v>
      </c>
      <c r="M14" s="4">
        <v>10</v>
      </c>
      <c r="N14" s="4">
        <v>10</v>
      </c>
      <c r="O14" s="4">
        <v>4</v>
      </c>
      <c r="P14" s="4">
        <v>4</v>
      </c>
      <c r="Q14" s="4">
        <v>2097</v>
      </c>
      <c r="R14" s="4">
        <v>2091</v>
      </c>
      <c r="S14" s="4">
        <v>2096</v>
      </c>
      <c r="T14" s="4">
        <v>2090</v>
      </c>
      <c r="U14" s="4" t="s">
        <v>338</v>
      </c>
      <c r="V14" s="4" t="s">
        <v>340</v>
      </c>
      <c r="W14" s="4">
        <v>50</v>
      </c>
      <c r="X14" s="4">
        <v>30</v>
      </c>
      <c r="Y14" s="4">
        <v>11</v>
      </c>
      <c r="Z14" s="4">
        <v>14</v>
      </c>
      <c r="AA14" s="4">
        <v>13</v>
      </c>
      <c r="AB14" s="4">
        <v>13</v>
      </c>
      <c r="AC14" s="4">
        <v>196</v>
      </c>
      <c r="AD14" s="4">
        <v>196</v>
      </c>
      <c r="AE14" s="4"/>
      <c r="AF14" s="4"/>
      <c r="AG14" s="4">
        <v>90</v>
      </c>
      <c r="AH14" s="4">
        <v>20</v>
      </c>
      <c r="AI14" s="4">
        <v>10</v>
      </c>
      <c r="AJ14" s="4">
        <v>10</v>
      </c>
      <c r="AK14" s="53"/>
      <c r="AL14" s="3">
        <f t="shared" si="0"/>
        <v>11</v>
      </c>
      <c r="AM14" s="3">
        <f t="shared" si="1"/>
        <v>14</v>
      </c>
      <c r="AN14" s="3">
        <f t="shared" si="2"/>
        <v>13</v>
      </c>
      <c r="AO14" s="3">
        <f t="shared" si="3"/>
        <v>13</v>
      </c>
      <c r="AP14" s="3">
        <f t="shared" si="4"/>
        <v>252</v>
      </c>
      <c r="AQ14" s="3">
        <f t="shared" si="5"/>
        <v>252</v>
      </c>
      <c r="AR14" s="3">
        <f t="shared" si="6"/>
        <v>267</v>
      </c>
      <c r="AS14" s="3">
        <f t="shared" si="7"/>
        <v>267</v>
      </c>
    </row>
    <row r="15" spans="1:45" ht="23.25" customHeight="1">
      <c r="A15" s="127"/>
      <c r="B15" s="4">
        <v>4</v>
      </c>
      <c r="C15" s="4">
        <v>205</v>
      </c>
      <c r="D15" s="4">
        <v>205</v>
      </c>
      <c r="E15" s="4">
        <v>1099</v>
      </c>
      <c r="F15" s="4">
        <v>1187</v>
      </c>
      <c r="G15" s="4">
        <v>248</v>
      </c>
      <c r="H15" s="4">
        <v>248</v>
      </c>
      <c r="I15" s="4">
        <v>262</v>
      </c>
      <c r="J15" s="4">
        <v>262</v>
      </c>
      <c r="K15" s="13">
        <v>40</v>
      </c>
      <c r="L15" s="13">
        <v>40</v>
      </c>
      <c r="M15" s="4">
        <v>10</v>
      </c>
      <c r="N15" s="4">
        <v>10</v>
      </c>
      <c r="O15" s="4">
        <v>4</v>
      </c>
      <c r="P15" s="4">
        <v>4</v>
      </c>
      <c r="Q15" s="4">
        <v>2096</v>
      </c>
      <c r="R15" s="4">
        <v>2091</v>
      </c>
      <c r="S15" s="4">
        <v>2096</v>
      </c>
      <c r="T15" s="4">
        <v>2090</v>
      </c>
      <c r="U15" s="4" t="s">
        <v>338</v>
      </c>
      <c r="V15" s="4" t="s">
        <v>340</v>
      </c>
      <c r="W15" s="4">
        <v>50</v>
      </c>
      <c r="X15" s="4">
        <v>30</v>
      </c>
      <c r="Y15" s="4">
        <v>12</v>
      </c>
      <c r="Z15" s="4">
        <v>12</v>
      </c>
      <c r="AA15" s="4">
        <v>11</v>
      </c>
      <c r="AB15" s="4">
        <v>12</v>
      </c>
      <c r="AC15" s="4">
        <v>196</v>
      </c>
      <c r="AD15" s="4">
        <v>196</v>
      </c>
      <c r="AE15" s="4"/>
      <c r="AF15" s="4"/>
      <c r="AG15" s="4">
        <v>90</v>
      </c>
      <c r="AH15" s="4">
        <v>20</v>
      </c>
      <c r="AI15" s="4">
        <v>10</v>
      </c>
      <c r="AJ15" s="4">
        <v>10</v>
      </c>
      <c r="AK15" s="53"/>
      <c r="AL15" s="3">
        <f t="shared" si="0"/>
        <v>12</v>
      </c>
      <c r="AM15" s="3">
        <f t="shared" si="1"/>
        <v>12</v>
      </c>
      <c r="AN15" s="3">
        <f t="shared" si="2"/>
        <v>11</v>
      </c>
      <c r="AO15" s="3">
        <f t="shared" si="3"/>
        <v>12</v>
      </c>
      <c r="AP15" s="3">
        <f t="shared" si="4"/>
        <v>248</v>
      </c>
      <c r="AQ15" s="3">
        <f t="shared" si="5"/>
        <v>248</v>
      </c>
      <c r="AR15" s="3">
        <f t="shared" si="6"/>
        <v>262</v>
      </c>
      <c r="AS15" s="3">
        <f t="shared" si="7"/>
        <v>262</v>
      </c>
    </row>
    <row r="16" spans="1:45" ht="23.25" customHeight="1">
      <c r="A16" s="127"/>
      <c r="B16" s="4">
        <v>3</v>
      </c>
      <c r="C16" s="4">
        <v>205</v>
      </c>
      <c r="D16" s="4">
        <v>205</v>
      </c>
      <c r="E16" s="4">
        <v>1098</v>
      </c>
      <c r="F16" s="4">
        <v>1191</v>
      </c>
      <c r="G16" s="4">
        <v>252</v>
      </c>
      <c r="H16" s="4">
        <v>252</v>
      </c>
      <c r="I16" s="4">
        <v>267</v>
      </c>
      <c r="J16" s="4">
        <v>267</v>
      </c>
      <c r="K16" s="13">
        <v>40</v>
      </c>
      <c r="L16" s="13">
        <v>40</v>
      </c>
      <c r="M16" s="4">
        <v>10</v>
      </c>
      <c r="N16" s="4">
        <v>10</v>
      </c>
      <c r="O16" s="4">
        <v>5</v>
      </c>
      <c r="P16" s="4">
        <v>4</v>
      </c>
      <c r="Q16" s="4">
        <v>2091</v>
      </c>
      <c r="R16" s="4">
        <v>2089</v>
      </c>
      <c r="S16" s="4">
        <v>2092</v>
      </c>
      <c r="T16" s="4">
        <v>2090</v>
      </c>
      <c r="U16" s="4" t="s">
        <v>338</v>
      </c>
      <c r="V16" s="4" t="s">
        <v>340</v>
      </c>
      <c r="W16" s="4">
        <v>50</v>
      </c>
      <c r="X16" s="4">
        <v>30</v>
      </c>
      <c r="Y16" s="4">
        <v>12</v>
      </c>
      <c r="Z16" s="4">
        <v>12</v>
      </c>
      <c r="AA16" s="4">
        <v>14</v>
      </c>
      <c r="AB16" s="4">
        <v>14</v>
      </c>
      <c r="AC16" s="4">
        <v>198</v>
      </c>
      <c r="AD16" s="4">
        <v>194</v>
      </c>
      <c r="AE16" s="4"/>
      <c r="AF16" s="4"/>
      <c r="AG16" s="4">
        <v>90</v>
      </c>
      <c r="AH16" s="4">
        <v>20</v>
      </c>
      <c r="AI16" s="4">
        <v>10</v>
      </c>
      <c r="AJ16" s="4">
        <v>10</v>
      </c>
      <c r="AK16" s="53"/>
      <c r="AL16" s="3">
        <f t="shared" si="0"/>
        <v>12</v>
      </c>
      <c r="AM16" s="3">
        <f t="shared" si="1"/>
        <v>12</v>
      </c>
      <c r="AN16" s="3">
        <f t="shared" si="2"/>
        <v>14</v>
      </c>
      <c r="AO16" s="3">
        <f t="shared" si="3"/>
        <v>14</v>
      </c>
      <c r="AP16" s="3">
        <f t="shared" si="4"/>
        <v>252</v>
      </c>
      <c r="AQ16" s="3">
        <f t="shared" si="5"/>
        <v>252</v>
      </c>
      <c r="AR16" s="3">
        <f t="shared" si="6"/>
        <v>267</v>
      </c>
      <c r="AS16" s="3">
        <f t="shared" si="7"/>
        <v>267</v>
      </c>
    </row>
    <row r="17" spans="1:45" ht="23.25" customHeight="1">
      <c r="A17" s="127"/>
      <c r="B17" s="4">
        <v>2</v>
      </c>
      <c r="C17" s="4">
        <v>213</v>
      </c>
      <c r="D17" s="4">
        <v>213</v>
      </c>
      <c r="E17" s="4">
        <v>1099</v>
      </c>
      <c r="F17" s="4">
        <v>1192</v>
      </c>
      <c r="G17" s="4">
        <v>258</v>
      </c>
      <c r="H17" s="4">
        <v>258</v>
      </c>
      <c r="I17" s="4">
        <v>272</v>
      </c>
      <c r="J17" s="4">
        <v>272</v>
      </c>
      <c r="K17" s="13">
        <v>40</v>
      </c>
      <c r="L17" s="13">
        <v>40</v>
      </c>
      <c r="M17" s="4">
        <v>10</v>
      </c>
      <c r="N17" s="4">
        <v>10</v>
      </c>
      <c r="O17" s="4">
        <v>5</v>
      </c>
      <c r="P17" s="4">
        <v>5</v>
      </c>
      <c r="Q17" s="4">
        <v>2098</v>
      </c>
      <c r="R17" s="4">
        <v>2092</v>
      </c>
      <c r="S17" s="4">
        <v>2099</v>
      </c>
      <c r="T17" s="4">
        <v>2091</v>
      </c>
      <c r="U17" s="4" t="s">
        <v>338</v>
      </c>
      <c r="V17" s="4" t="s">
        <v>340</v>
      </c>
      <c r="W17" s="4">
        <v>50</v>
      </c>
      <c r="X17" s="4">
        <v>30</v>
      </c>
      <c r="Y17" s="4">
        <v>10</v>
      </c>
      <c r="Z17" s="4">
        <v>13</v>
      </c>
      <c r="AA17" s="4">
        <v>12</v>
      </c>
      <c r="AB17" s="4">
        <v>12</v>
      </c>
      <c r="AC17" s="4">
        <v>204</v>
      </c>
      <c r="AD17" s="4">
        <v>204</v>
      </c>
      <c r="AE17" s="4"/>
      <c r="AF17" s="4"/>
      <c r="AG17" s="4">
        <v>90</v>
      </c>
      <c r="AH17" s="4">
        <v>20</v>
      </c>
      <c r="AI17" s="4">
        <v>10</v>
      </c>
      <c r="AJ17" s="4">
        <v>10</v>
      </c>
      <c r="AK17" s="53"/>
      <c r="AL17" s="3">
        <f t="shared" si="0"/>
        <v>10</v>
      </c>
      <c r="AM17" s="3">
        <f t="shared" si="1"/>
        <v>13</v>
      </c>
      <c r="AN17" s="3">
        <f t="shared" si="2"/>
        <v>12</v>
      </c>
      <c r="AO17" s="3">
        <f t="shared" si="3"/>
        <v>12</v>
      </c>
      <c r="AP17" s="3">
        <f t="shared" si="4"/>
        <v>258</v>
      </c>
      <c r="AQ17" s="3">
        <f t="shared" si="5"/>
        <v>258</v>
      </c>
      <c r="AR17" s="3">
        <f t="shared" si="6"/>
        <v>272</v>
      </c>
      <c r="AS17" s="3">
        <f t="shared" si="7"/>
        <v>272</v>
      </c>
    </row>
    <row r="18" spans="1:45" ht="23.25" customHeight="1">
      <c r="A18" s="127"/>
      <c r="B18" s="4" t="s">
        <v>339</v>
      </c>
      <c r="C18" s="4">
        <v>362</v>
      </c>
      <c r="D18" s="4">
        <v>362</v>
      </c>
      <c r="E18" s="4">
        <v>1098</v>
      </c>
      <c r="F18" s="4">
        <v>1237</v>
      </c>
      <c r="G18" s="4">
        <v>260</v>
      </c>
      <c r="H18" s="4">
        <v>260</v>
      </c>
      <c r="I18" s="4">
        <v>276</v>
      </c>
      <c r="J18" s="4">
        <v>276</v>
      </c>
      <c r="K18" s="13">
        <v>40</v>
      </c>
      <c r="L18" s="13">
        <v>40</v>
      </c>
      <c r="M18" s="4">
        <v>8</v>
      </c>
      <c r="N18" s="4">
        <v>8</v>
      </c>
      <c r="O18" s="4">
        <v>4</v>
      </c>
      <c r="P18" s="4">
        <v>4</v>
      </c>
      <c r="Q18" s="4">
        <v>2100</v>
      </c>
      <c r="R18" s="4">
        <v>2092</v>
      </c>
      <c r="S18" s="4">
        <v>2091</v>
      </c>
      <c r="T18" s="4">
        <v>2088</v>
      </c>
      <c r="U18" s="4" t="s">
        <v>338</v>
      </c>
      <c r="V18" s="4" t="s">
        <v>340</v>
      </c>
      <c r="W18" s="4">
        <v>50</v>
      </c>
      <c r="X18" s="4">
        <v>30</v>
      </c>
      <c r="Y18" s="4">
        <v>134</v>
      </c>
      <c r="Z18" s="4">
        <v>133</v>
      </c>
      <c r="AA18" s="4">
        <v>133</v>
      </c>
      <c r="AB18" s="4">
        <v>134</v>
      </c>
      <c r="AC18" s="4">
        <v>351</v>
      </c>
      <c r="AD18" s="4">
        <v>353</v>
      </c>
      <c r="AE18" s="4"/>
      <c r="AF18" s="4"/>
      <c r="AG18" s="4">
        <v>90</v>
      </c>
      <c r="AH18" s="4">
        <v>20</v>
      </c>
      <c r="AI18" s="4">
        <v>10</v>
      </c>
      <c r="AJ18" s="4">
        <v>10</v>
      </c>
      <c r="AK18" s="53"/>
      <c r="AL18" s="3">
        <f t="shared" si="0"/>
        <v>134</v>
      </c>
      <c r="AM18" s="3">
        <f t="shared" si="1"/>
        <v>133</v>
      </c>
      <c r="AN18" s="3">
        <f t="shared" si="2"/>
        <v>133</v>
      </c>
      <c r="AO18" s="3">
        <f t="shared" si="3"/>
        <v>134</v>
      </c>
      <c r="AP18" s="3">
        <f t="shared" si="4"/>
        <v>260</v>
      </c>
      <c r="AQ18" s="3">
        <f t="shared" si="5"/>
        <v>260</v>
      </c>
      <c r="AR18" s="3">
        <f t="shared" si="6"/>
        <v>276</v>
      </c>
      <c r="AS18" s="3">
        <f t="shared" si="7"/>
        <v>276</v>
      </c>
    </row>
    <row r="19" spans="1:45" ht="23.25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45" ht="23.25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45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45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45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45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45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45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45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18"/>
  <sheetViews>
    <sheetView zoomScale="85" zoomScaleNormal="85" workbookViewId="0">
      <selection activeCell="F17" sqref="F17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176" t="str">
        <f>정보!C2</f>
        <v>(와이드) 제작변환 자료( 서울 강남구 두산위브센티움 ) _이인종소장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>
      <c r="A2" s="23" t="s">
        <v>96</v>
      </c>
      <c r="B2" s="105">
        <v>3</v>
      </c>
      <c r="C2" s="27" t="s">
        <v>86</v>
      </c>
      <c r="D2" s="29">
        <v>2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 t="str">
        <f>정보!B5</f>
        <v>TKEK HD S20D-OR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>
      <c r="A3" s="28" t="str">
        <f>'와이드(실측)'!A3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5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0</v>
      </c>
      <c r="W3" s="199"/>
      <c r="X3" s="192" t="s">
        <v>78</v>
      </c>
      <c r="Y3" s="192"/>
      <c r="Z3" s="200">
        <v>3</v>
      </c>
      <c r="AA3" s="200"/>
      <c r="AC3" s="201" t="s">
        <v>311</v>
      </c>
      <c r="AD3" s="201"/>
      <c r="AE3" s="201">
        <f>'와이드(실측)'!Y7</f>
        <v>10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>
        <f>AU7</f>
        <v>10.124671655397817</v>
      </c>
      <c r="AR3" s="232"/>
      <c r="BI3" s="177" t="s">
        <v>253</v>
      </c>
    </row>
    <row r="4" spans="1:61" ht="33" customHeight="1">
      <c r="A4" s="202" t="str">
        <f>정보!B10</f>
        <v>제작치수 반영 : MH + (2), JB/JD +(5 ),  늘어난치수K -(0),  C + (0),   U + (0), OP - (3), R - (2),  기둥차감 - (0), A + (3)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45287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>
      <c r="A7" s="31">
        <f>'와이드(실측)'!A7</f>
        <v>0</v>
      </c>
      <c r="B7" s="31" t="str">
        <f>'와이드(실측)'!B7&amp;"F"</f>
        <v>12F</v>
      </c>
      <c r="C7" s="31">
        <f>'와이드(실측)'!C7+와이드MH더함-IF(AND(소장="추영덕",Y7=0),1.2)</f>
        <v>207</v>
      </c>
      <c r="D7" s="31">
        <f>'와이드(실측)'!D7+와이드MH더함-IF(AND(소장="추영덕",Y7=0),1.2)</f>
        <v>207</v>
      </c>
      <c r="E7" s="135">
        <f>'와이드(실측)'!E7-와이드OP</f>
        <v>1097</v>
      </c>
      <c r="F7" s="31">
        <f>'와이드(실측)'!F7-와이드R</f>
        <v>1192</v>
      </c>
      <c r="G7" s="50">
        <f>'와이드(실측)'!G7+와이드JBJD키움치수+IF(BI7=1,AC7,0)</f>
        <v>266</v>
      </c>
      <c r="H7" s="50">
        <f>'와이드(실측)'!H7+와이드JBJD키움치수+IF(BI7=1,AE7,0)</f>
        <v>266</v>
      </c>
      <c r="I7" s="50">
        <f>'와이드(실측)'!I7+MAX(AS7,AT7)+와이드JBJD키움치수+IF(BI7=1,AC7,0)</f>
        <v>281</v>
      </c>
      <c r="J7" s="50">
        <f>'와이드(실측)'!I7+MAX(AS7,AT7)+와이드JBJD키움치수+IF(BI7=1,AD7,0)-IF(와이드JB하부늘치=1,'와이드(실측)'!Y7-'와이드(실측)'!Z7,0)</f>
        <v>282</v>
      </c>
      <c r="K7" s="50">
        <f>'와이드(실측)'!J7+MAX(AS7,AT7)+와이드JBJD키움치수+IF(BI7=1,AE7,0)</f>
        <v>281</v>
      </c>
      <c r="L7" s="50">
        <f>'와이드(실측)'!J7+MAX(AS7,AT7)+와이드JBJD키움치수+IF(BI7=1,AF7,0)-IF(와이드JB하부늘치=1,'와이드(실측)'!AA7-'와이드(실측)'!AB7,0)</f>
        <v>281</v>
      </c>
      <c r="M7" s="31">
        <f t="shared" ref="M7:N7" si="0">IF(소장="손상민",0,O7-1.5)</f>
        <v>38.5</v>
      </c>
      <c r="N7" s="31">
        <f t="shared" si="0"/>
        <v>38.5</v>
      </c>
      <c r="O7" s="31">
        <f>IF(S7&lt;9,'와이드(실측)'!K7+1.2,IF(ISNUMBER('와이드(실측)'!K7),'와이드(실측)'!K7+와이드C값,0))</f>
        <v>40</v>
      </c>
      <c r="P7" s="31">
        <f>IF(T7&lt;9,'와이드(실측)'!L7+1.2,IF(ISNUMBER('와이드(실측)'!L7),'와이드(실측)'!L7+와이드C값,0))</f>
        <v>40</v>
      </c>
      <c r="Q7" s="32">
        <f>ROUNDUP(AV7,1)</f>
        <v>10.7</v>
      </c>
      <c r="R7" s="38">
        <f>ROUNDUP(AW7,1)</f>
        <v>10.7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9</v>
      </c>
      <c r="U7" s="31">
        <f>'와이드(실측)'!Q7-와이드기둥차감</f>
        <v>2093</v>
      </c>
      <c r="V7" s="31">
        <f>'와이드(실측)'!R7-와이드기둥차감</f>
        <v>2089</v>
      </c>
      <c r="W7" s="31">
        <f>'와이드(실측)'!S7-와이드기둥차감</f>
        <v>2094</v>
      </c>
      <c r="X7" s="31">
        <f>'와이드(실측)'!T7-와이드기둥차감</f>
        <v>2088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50</v>
      </c>
      <c r="AB7" s="31">
        <f>'와이드(실측)'!X7+뒷날개치수더함</f>
        <v>30</v>
      </c>
      <c r="AC7" s="31">
        <f>'와이드(실측)'!Y7-와이드늘치</f>
        <v>10</v>
      </c>
      <c r="AD7" s="31">
        <f>IF(와이드JB하부늘치=1,AC7,'와이드(실측)'!Z7-와이드늘치)</f>
        <v>10</v>
      </c>
      <c r="AE7" s="31">
        <f>'와이드(실측)'!AA7-와이드늘치</f>
        <v>10</v>
      </c>
      <c r="AF7" s="31">
        <f>IF(와이드JB하부늘치=1,AE7,'와이드(실측)'!AB7-와이드늘치)</f>
        <v>10</v>
      </c>
      <c r="AG7" s="31">
        <f xml:space="preserve"> IF(소장&lt;&gt;"손상민",IF('와이드(실측)'!AC7&gt;0,'와이드(실측)'!AC7,C7-1.2),IF('와이드(실측)'!AC7&gt;0,'와이드(실측)'!AC7+1.2,C7) )</f>
        <v>205</v>
      </c>
      <c r="AH7" s="31">
        <f xml:space="preserve"> IF(소장&lt;&gt;"손상민",IF('와이드(실측)'!AD7&gt;0,'와이드(실측)'!AD7,D7-1.2),IF('와이드(실측)'!AD7&gt;0,'와이드(실측)'!AD7+1.2,D7))</f>
        <v>205</v>
      </c>
      <c r="AI7" s="51">
        <f>IF(Z7&gt;0,Z7-MAX(Q7,R7),0)</f>
        <v>0</v>
      </c>
      <c r="AJ7" s="31" t="str">
        <f t="shared" ref="AJ7" si="1">BA7&amp;"*"&amp;BB7</f>
        <v>1192*530.6</v>
      </c>
      <c r="AK7" s="31" t="str">
        <f t="shared" ref="AK7" si="2">BD7&amp;"*"&amp;BC7</f>
        <v>2298*366.2</v>
      </c>
      <c r="AL7" s="31" t="str">
        <f t="shared" ref="AL7" si="3">BF7&amp;"*"&amp;BE7</f>
        <v>2299*365.2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90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1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1</v>
      </c>
      <c r="AU7" s="20">
        <f>DEGREES(ATAN((F7-E7)/2/(H7)))</f>
        <v>10.124671655397817</v>
      </c>
      <c r="AV7" s="21">
        <f>ABS(G7-COS(RADIANS(AU7))*I7)</f>
        <v>10.624148717883429</v>
      </c>
      <c r="AW7" s="21">
        <f>ABS(H7-COS(RADIANS(AU7))*K7)</f>
        <v>10.624148717883429</v>
      </c>
      <c r="AX7" s="21">
        <f>'와이드(실측)'!M7+AS7</f>
        <v>11</v>
      </c>
      <c r="AY7" s="21">
        <f>'와이드(실측)'!N7+AS7</f>
        <v>11</v>
      </c>
      <c r="AZ7" s="20">
        <f>AV7-MAX(AX7,AY7)</f>
        <v>-0.37585128211657093</v>
      </c>
      <c r="BA7" s="41">
        <f t="shared" ref="BA7:BA18" si="4">IF(소장&lt;&gt;"손상민",F7+IF(Y7+Z7&gt;0,N7+M7,0),F7)</f>
        <v>1192</v>
      </c>
      <c r="BB7" s="42">
        <f>MAX(C7,D7)+MAX(G7,H7)+AA7-1.2*$AJ$3+IF(BI7=0,MAX(AE7,AC7),0)+IF(Y7=0,1.2,0)+IF(Z7=0,1.2,0)+IF(소장&lt;&gt;"손상민", Y7+Z7,IF('와이드(실측)'!U7=0,0,2.4))</f>
        <v>530.60000000000014</v>
      </c>
      <c r="BC7" s="41">
        <f>S7+O7+MAX(I7,J7)+AB7-1.2*$AL$3+IF(BI7=0,MAX(AD7,AC7),0)+IF(S7=0,1.2,0)-IF(AR7=90,2.4,0)</f>
        <v>366.2</v>
      </c>
      <c r="BD7" s="41">
        <f>MAX(U7,V7)+AG7</f>
        <v>2298</v>
      </c>
      <c r="BE7" s="41">
        <f>T7+P7+MAX(K7,L7)+AB7-1.2*$AL$3+IF(BI7=0,MAX(AE7,AF7),0)+IF(T7=0,1.2,0)-IF(AR7=90,2.4,0)</f>
        <v>365.2</v>
      </c>
      <c r="BF7" s="41">
        <f>MAX(W7,X7)+AH7</f>
        <v>2299</v>
      </c>
      <c r="BG7" s="6">
        <f t="shared" ref="BG7" si="5">I7-G7-Q7</f>
        <v>4.3000000000000007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>
      <c r="A8" s="31">
        <f>'와이드(실측)'!A8</f>
        <v>0</v>
      </c>
      <c r="B8" s="31" t="str">
        <f>'와이드(실측)'!B8&amp;"F"</f>
        <v>11F</v>
      </c>
      <c r="C8" s="31">
        <f>'와이드(실측)'!C8+와이드MH더함-IF(AND(소장="추영덕",Y8=0),1.2)</f>
        <v>213</v>
      </c>
      <c r="D8" s="31">
        <f>'와이드(실측)'!D8+와이드MH더함-IF(AND(소장="추영덕",Y8=0),1.2)</f>
        <v>213</v>
      </c>
      <c r="E8" s="135">
        <f>'와이드(실측)'!E8-와이드OP</f>
        <v>1097</v>
      </c>
      <c r="F8" s="31">
        <f>'와이드(실측)'!F8-와이드R</f>
        <v>1191</v>
      </c>
      <c r="G8" s="50">
        <f>'와이드(실측)'!G8+와이드JBJD키움치수+IF(BI8=1,AC8,0)</f>
        <v>262</v>
      </c>
      <c r="H8" s="50">
        <f>'와이드(실측)'!H8+와이드JBJD키움치수+IF(BI8=1,AE8,0)</f>
        <v>262</v>
      </c>
      <c r="I8" s="50">
        <f>'와이드(실측)'!I8+MAX(AS8,AT8)+와이드JBJD키움치수+IF(BI8=1,AC8,0)</f>
        <v>277</v>
      </c>
      <c r="J8" s="50">
        <f>'와이드(실측)'!I8+MAX(AS8,AT8)+와이드JBJD키움치수+IF(BI8=1,AD8,0)-IF(와이드JB하부늘치=1,'와이드(실측)'!Y8-'와이드(실측)'!Z8,0)</f>
        <v>278</v>
      </c>
      <c r="K8" s="50">
        <f>'와이드(실측)'!J8+MAX(AS8,AT8)+와이드JBJD키움치수+IF(BI8=1,AE8,0)</f>
        <v>277</v>
      </c>
      <c r="L8" s="50">
        <f>'와이드(실측)'!J8+MAX(AS8,AT8)+와이드JBJD키움치수+IF(BI8=1,AF8,0)-IF(와이드JB하부늘치=1,'와이드(실측)'!AA8-'와이드(실측)'!AB8,0)</f>
        <v>279</v>
      </c>
      <c r="M8" s="31">
        <f t="shared" ref="M8:M18" si="6">IF(소장="손상민",0,O8-1.5)</f>
        <v>38.5</v>
      </c>
      <c r="N8" s="31">
        <f t="shared" ref="N8:N18" si="7">IF(소장="손상민",0,P8-1.5)</f>
        <v>38.5</v>
      </c>
      <c r="O8" s="31">
        <f>IF(S8&lt;9,'와이드(실측)'!K8+1.2,IF(ISNUMBER('와이드(실측)'!K8),'와이드(실측)'!K8+와이드C값,0))</f>
        <v>40</v>
      </c>
      <c r="P8" s="31">
        <f>IF(T8&lt;9,'와이드(실측)'!L8+1.2,IF(ISNUMBER('와이드(실측)'!L8),'와이드(실측)'!L8+와이드C값,0))</f>
        <v>40</v>
      </c>
      <c r="Q8" s="32">
        <f t="shared" ref="Q8:Q18" si="8">ROUNDUP(AV8,1)</f>
        <v>10.7</v>
      </c>
      <c r="R8" s="38">
        <f t="shared" ref="R8:R18" si="9">ROUNDUP(AW8,1)</f>
        <v>10.7</v>
      </c>
      <c r="S8" s="31">
        <f>IF(ISNUMBER('와이드(실측)'!O8),'와이드(실측)'!O8+와이드제작!AS8+와이드A늘림,0)</f>
        <v>9</v>
      </c>
      <c r="T8" s="31">
        <f>IF(ISNUMBER('와이드(실측)'!P8),'와이드(실측)'!P8+와이드제작!AT8+와이드A늘림,0)</f>
        <v>9</v>
      </c>
      <c r="U8" s="31">
        <f>'와이드(실측)'!Q8-와이드기둥차감</f>
        <v>2094</v>
      </c>
      <c r="V8" s="31">
        <f>'와이드(실측)'!R8-와이드기둥차감</f>
        <v>2090</v>
      </c>
      <c r="W8" s="31">
        <f>'와이드(실측)'!S8-와이드기둥차감</f>
        <v>2094</v>
      </c>
      <c r="X8" s="31">
        <f>'와이드(실측)'!T8-와이드기둥차감</f>
        <v>2090</v>
      </c>
      <c r="Y8" s="31">
        <f>IF(소장="손상민",IF(ISNUMBER('와이드(실측)'!U8),'와이드(실측)'!U8+1.2,0),IF(ISNUMBER('와이드(실측)'!U8),'와이드(실측)'!U8+와이드U,0))</f>
        <v>0</v>
      </c>
      <c r="Z8" s="31">
        <f>IF(소장="손상민",MAX(Q8,R8)+3.2,IF(ISNUMBER('와이드(실측)'!V8),'와이드(실측)'!V8+1.5+와이드제작!Q8+1,0))</f>
        <v>0</v>
      </c>
      <c r="AA8" s="31">
        <f>'와이드(실측)'!W8+뒷날개치수더함</f>
        <v>50</v>
      </c>
      <c r="AB8" s="31">
        <f>'와이드(실측)'!X8+뒷날개치수더함</f>
        <v>30</v>
      </c>
      <c r="AC8" s="31">
        <f>'와이드(실측)'!Y8-와이드늘치</f>
        <v>10</v>
      </c>
      <c r="AD8" s="31">
        <f>IF(와이드JB하부늘치=1,AC8,'와이드(실측)'!Z8-와이드늘치)</f>
        <v>10</v>
      </c>
      <c r="AE8" s="31">
        <f>'와이드(실측)'!AA8-와이드늘치</f>
        <v>10</v>
      </c>
      <c r="AF8" s="31">
        <f>IF(와이드JB하부늘치=1,AE8,'와이드(실측)'!AB8-와이드늘치)</f>
        <v>10</v>
      </c>
      <c r="AG8" s="31">
        <f xml:space="preserve"> IF(소장&lt;&gt;"손상민",IF('와이드(실측)'!AC8&gt;0,'와이드(실측)'!AC8,C8-1.2),IF('와이드(실측)'!AC8&gt;0,'와이드(실측)'!AC8+1.2,C8) )</f>
        <v>206</v>
      </c>
      <c r="AH8" s="31">
        <f xml:space="preserve"> IF(소장&lt;&gt;"손상민",IF('와이드(실측)'!AD8&gt;0,'와이드(실측)'!AD8,D8-1.2),IF('와이드(실측)'!AD8&gt;0,'와이드(실측)'!AD8+1.2,D8))</f>
        <v>201</v>
      </c>
      <c r="AI8" s="51">
        <f t="shared" ref="AI8:AI18" si="10">IF(Z8&gt;0,Z8-MAX(Q8,R8),0)</f>
        <v>0</v>
      </c>
      <c r="AJ8" s="31" t="str">
        <f t="shared" ref="AJ8:AJ18" si="11">BA8&amp;"*"&amp;BB8</f>
        <v>1191*532.6</v>
      </c>
      <c r="AK8" s="31" t="str">
        <f t="shared" ref="AK8:AK18" si="12">BD8&amp;"*"&amp;BC8</f>
        <v>2300*362.2</v>
      </c>
      <c r="AL8" s="31" t="str">
        <f t="shared" ref="AL8:AL18" si="13">BF8&amp;"*"&amp;BE8</f>
        <v>2295*363.2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90</v>
      </c>
      <c r="AP8" s="31">
        <f>IF('와이드(실측)'!AH8&gt;5,'와이드(실측)'!AH8+뒷날개치수더함,'와이드(실측)'!AH8)</f>
        <v>20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1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1</v>
      </c>
      <c r="AU8" s="20">
        <f t="shared" ref="AU8:AU18" si="14">DEGREES(ATAN((F8-E8)/2/(H8)))</f>
        <v>10.170078418719569</v>
      </c>
      <c r="AV8" s="21">
        <f t="shared" ref="AV8:AV18" si="15">ABS(G8-COS(RADIANS(AU8))*I8)</f>
        <v>10.647762909413927</v>
      </c>
      <c r="AW8" s="21">
        <f t="shared" ref="AW8:AW18" si="16">ABS(H8-COS(RADIANS(AU8))*K8)</f>
        <v>10.647762909413927</v>
      </c>
      <c r="AX8" s="21">
        <f>'와이드(실측)'!M8+AS8</f>
        <v>11</v>
      </c>
      <c r="AY8" s="21">
        <f>'와이드(실측)'!N8+AS8</f>
        <v>11</v>
      </c>
      <c r="AZ8" s="20">
        <f t="shared" ref="AZ8:AZ18" si="17">AV8-MAX(AX8,AY8)</f>
        <v>-0.35223709058607255</v>
      </c>
      <c r="BA8" s="41">
        <f t="shared" si="4"/>
        <v>1191</v>
      </c>
      <c r="BB8" s="42">
        <f>MAX(C8,D8)+MAX(G8,H8)+AA8-1.2*$AJ$3+IF(BI8=0,MAX(AE8,AC8),0)+IF(Y8=0,1.2,0)+IF(Z8=0,1.2,0)+IF(소장&lt;&gt;"손상민", Y8+Z8,IF('와이드(실측)'!U8=0,0,2.4))</f>
        <v>532.60000000000014</v>
      </c>
      <c r="BC8" s="41">
        <f t="shared" ref="BC8:BC18" si="18">S8+O8+MAX(I8,J8)+AB8-1.2*$AL$3+IF(BI8=0,MAX(AD8,AC8),0)+IF(S8=0,1.2,0)-IF(AR8=90,2.4,0)</f>
        <v>362.2</v>
      </c>
      <c r="BD8" s="41">
        <f t="shared" ref="BD8:BD18" si="19">MAX(U8,V8)+AG8</f>
        <v>2300</v>
      </c>
      <c r="BE8" s="41">
        <f t="shared" ref="BE8:BE18" si="20">T8+P8+MAX(K8,L8)+AB8-1.2*$AL$3+IF(BI8=0,MAX(AE8,AF8),0)+IF(T8=0,1.2,0)-IF(AR8=90,2.4,0)</f>
        <v>363.2</v>
      </c>
      <c r="BF8" s="41">
        <f t="shared" ref="BF8:BF18" si="21">MAX(W8,X8)+AH8</f>
        <v>2295</v>
      </c>
      <c r="BG8" s="6">
        <f t="shared" ref="BG8:BG18" si="22">I8-G8-Q8</f>
        <v>4.3000000000000007</v>
      </c>
      <c r="BH8" s="43" t="str">
        <f t="shared" ref="BH8:BH18" si="23">IF(AND(C8&lt;&gt;D8,Y8&gt;0),"NG","")</f>
        <v/>
      </c>
      <c r="BI8" s="77">
        <f t="shared" ref="BI8:BI18" si="24">IF(AND(MIN(AC8,AE8)&gt;=9.2,ABS(F8-E8)&gt;15),0,1)</f>
        <v>0</v>
      </c>
    </row>
    <row r="9" spans="1:61" ht="26.25" customHeight="1">
      <c r="A9" s="31">
        <f>'와이드(실측)'!A9</f>
        <v>0</v>
      </c>
      <c r="B9" s="31" t="str">
        <f>'와이드(실측)'!B9&amp;"F"</f>
        <v>10F</v>
      </c>
      <c r="C9" s="31">
        <f>'와이드(실측)'!C9+와이드MH더함-IF(AND(소장="추영덕",Y9=0),1.2)</f>
        <v>205</v>
      </c>
      <c r="D9" s="31">
        <f>'와이드(실측)'!D9+와이드MH더함-IF(AND(소장="추영덕",Y9=0),1.2)</f>
        <v>205</v>
      </c>
      <c r="E9" s="135">
        <f>'와이드(실측)'!E9-와이드OP</f>
        <v>1097</v>
      </c>
      <c r="F9" s="31">
        <f>'와이드(실측)'!F9-와이드R</f>
        <v>1189</v>
      </c>
      <c r="G9" s="50">
        <f>'와이드(실측)'!G9+와이드JBJD키움치수+IF(BI9=1,AC9,0)</f>
        <v>255</v>
      </c>
      <c r="H9" s="50">
        <f>'와이드(실측)'!H9+와이드JBJD키움치수+IF(BI9=1,AE9,0)</f>
        <v>255</v>
      </c>
      <c r="I9" s="50">
        <f>'와이드(실측)'!I9+MAX(AS9,AT9)+와이드JBJD키움치수+IF(BI9=1,AC9,0)</f>
        <v>272</v>
      </c>
      <c r="J9" s="50">
        <f>'와이드(실측)'!I9+MAX(AS9,AT9)+와이드JBJD키움치수+IF(BI9=1,AD9,0)-IF(와이드JB하부늘치=1,'와이드(실측)'!Y9-'와이드(실측)'!Z9,0)</f>
        <v>274</v>
      </c>
      <c r="K9" s="50">
        <f>'와이드(실측)'!J9+MAX(AS9,AT9)+와이드JBJD키움치수+IF(BI9=1,AE9,0)</f>
        <v>272</v>
      </c>
      <c r="L9" s="50">
        <f>'와이드(실측)'!J9+MAX(AS9,AT9)+와이드JBJD키움치수+IF(BI9=1,AF9,0)-IF(와이드JB하부늘치=1,'와이드(실측)'!AA9-'와이드(실측)'!AB9,0)</f>
        <v>272</v>
      </c>
      <c r="M9" s="31">
        <f t="shared" si="6"/>
        <v>38.5</v>
      </c>
      <c r="N9" s="31">
        <f t="shared" si="7"/>
        <v>38.5</v>
      </c>
      <c r="O9" s="31">
        <f>IF(S9&lt;9,'와이드(실측)'!K9+1.2,IF(ISNUMBER('와이드(실측)'!K9),'와이드(실측)'!K9+와이드C값,0))</f>
        <v>40</v>
      </c>
      <c r="P9" s="31">
        <f>IF(T9&lt;9,'와이드(실측)'!L9+1.2,IF(ISNUMBER('와이드(실측)'!L9),'와이드(실측)'!L9+와이드C값,0))</f>
        <v>40</v>
      </c>
      <c r="Q9" s="32">
        <f t="shared" si="8"/>
        <v>12.7</v>
      </c>
      <c r="R9" s="38">
        <f t="shared" si="9"/>
        <v>12.7</v>
      </c>
      <c r="S9" s="31">
        <f>IF(ISNUMBER('와이드(실측)'!O9),'와이드(실측)'!O9+와이드제작!AS9+와이드A늘림,0)</f>
        <v>10</v>
      </c>
      <c r="T9" s="31">
        <f>IF(ISNUMBER('와이드(실측)'!P9),'와이드(실측)'!P9+와이드제작!AT9+와이드A늘림,0)</f>
        <v>9</v>
      </c>
      <c r="U9" s="31">
        <f>'와이드(실측)'!Q9-와이드기둥차감</f>
        <v>2096</v>
      </c>
      <c r="V9" s="31">
        <f>'와이드(실측)'!R9-와이드기둥차감</f>
        <v>2091</v>
      </c>
      <c r="W9" s="31">
        <f>'와이드(실측)'!S9-와이드기둥차감</f>
        <v>2096</v>
      </c>
      <c r="X9" s="31">
        <f>'와이드(실측)'!T9-와이드기둥차감</f>
        <v>2089</v>
      </c>
      <c r="Y9" s="31">
        <f>IF(소장="손상민",IF(ISNUMBER('와이드(실측)'!U9),'와이드(실측)'!U9+1.2,0),IF(ISNUMBER('와이드(실측)'!U9),'와이드(실측)'!U9+와이드U,0))</f>
        <v>0</v>
      </c>
      <c r="Z9" s="31">
        <f>IF(소장="손상민",MAX(Q9,R9)+3.2,IF(ISNUMBER('와이드(실측)'!V9),'와이드(실측)'!V9+1.5+와이드제작!Q9+1,0))</f>
        <v>0</v>
      </c>
      <c r="AA9" s="31">
        <f>'와이드(실측)'!W9+뒷날개치수더함</f>
        <v>50</v>
      </c>
      <c r="AB9" s="31">
        <f>'와이드(실측)'!X9+뒷날개치수더함</f>
        <v>30</v>
      </c>
      <c r="AC9" s="31">
        <f>'와이드(실측)'!Y9-와이드늘치</f>
        <v>10</v>
      </c>
      <c r="AD9" s="31">
        <f>IF(와이드JB하부늘치=1,AC9,'와이드(실측)'!Z9-와이드늘치)</f>
        <v>10</v>
      </c>
      <c r="AE9" s="31">
        <f>'와이드(실측)'!AA9-와이드늘치</f>
        <v>11</v>
      </c>
      <c r="AF9" s="31">
        <f>IF(와이드JB하부늘치=1,AE9,'와이드(실측)'!AB9-와이드늘치)</f>
        <v>11</v>
      </c>
      <c r="AG9" s="31">
        <f xml:space="preserve"> IF(소장&lt;&gt;"손상민",IF('와이드(실측)'!AC9&gt;0,'와이드(실측)'!AC9,C9-1.2),IF('와이드(실측)'!AC9&gt;0,'와이드(실측)'!AC9+1.2,C9) )</f>
        <v>195</v>
      </c>
      <c r="AH9" s="31">
        <f xml:space="preserve"> IF(소장&lt;&gt;"손상민",IF('와이드(실측)'!AD9&gt;0,'와이드(실측)'!AD9,D9-1.2),IF('와이드(실측)'!AD9&gt;0,'와이드(실측)'!AD9+1.2,D9))</f>
        <v>195</v>
      </c>
      <c r="AI9" s="51">
        <f t="shared" si="10"/>
        <v>0</v>
      </c>
      <c r="AJ9" s="31" t="str">
        <f t="shared" si="11"/>
        <v>1189*518.6</v>
      </c>
      <c r="AK9" s="31" t="str">
        <f t="shared" si="12"/>
        <v>2291*359.2</v>
      </c>
      <c r="AL9" s="31" t="str">
        <f t="shared" si="13"/>
        <v>2291*357.2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90</v>
      </c>
      <c r="AP9" s="31">
        <f>IF('와이드(실측)'!AH9&gt;5,'와이드(실측)'!AH9+뒷날개치수더함,'와이드(실측)'!AH9)</f>
        <v>20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2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2</v>
      </c>
      <c r="AU9" s="20">
        <f t="shared" si="14"/>
        <v>10.225736019193626</v>
      </c>
      <c r="AV9" s="21">
        <f t="shared" si="15"/>
        <v>12.679542770546846</v>
      </c>
      <c r="AW9" s="21">
        <f t="shared" si="16"/>
        <v>12.679542770546846</v>
      </c>
      <c r="AX9" s="21">
        <f>'와이드(실측)'!M9+AS9</f>
        <v>12</v>
      </c>
      <c r="AY9" s="21">
        <f>'와이드(실측)'!N9+AS9</f>
        <v>12</v>
      </c>
      <c r="AZ9" s="20">
        <f t="shared" si="17"/>
        <v>0.67954277054684553</v>
      </c>
      <c r="BA9" s="41">
        <f t="shared" si="4"/>
        <v>1189</v>
      </c>
      <c r="BB9" s="42">
        <f>MAX(C9,D9)+MAX(G9,H9)+AA9-1.2*$AJ$3+IF(BI9=0,MAX(AE9,AC9),0)+IF(Y9=0,1.2,0)+IF(Z9=0,1.2,0)+IF(소장&lt;&gt;"손상민", Y9+Z9,IF('와이드(실측)'!U9=0,0,2.4))</f>
        <v>518.60000000000014</v>
      </c>
      <c r="BC9" s="41">
        <f t="shared" si="18"/>
        <v>359.2</v>
      </c>
      <c r="BD9" s="41">
        <f t="shared" si="19"/>
        <v>2291</v>
      </c>
      <c r="BE9" s="41">
        <f t="shared" si="20"/>
        <v>357.2</v>
      </c>
      <c r="BF9" s="41">
        <f t="shared" si="21"/>
        <v>2291</v>
      </c>
      <c r="BG9" s="6">
        <f t="shared" si="22"/>
        <v>4.3000000000000007</v>
      </c>
      <c r="BH9" s="43" t="str">
        <f t="shared" si="23"/>
        <v/>
      </c>
      <c r="BI9" s="77">
        <f t="shared" si="24"/>
        <v>0</v>
      </c>
    </row>
    <row r="10" spans="1:61" ht="26.25" customHeight="1">
      <c r="A10" s="31">
        <f>'와이드(실측)'!A10</f>
        <v>0</v>
      </c>
      <c r="B10" s="31" t="str">
        <f>'와이드(실측)'!B10&amp;"F"</f>
        <v>9F</v>
      </c>
      <c r="C10" s="31">
        <f>'와이드(실측)'!C10+와이드MH더함-IF(AND(소장="추영덕",Y10=0),1.2)</f>
        <v>213</v>
      </c>
      <c r="D10" s="31">
        <f>'와이드(실측)'!D10+와이드MH더함-IF(AND(소장="추영덕",Y10=0),1.2)</f>
        <v>213</v>
      </c>
      <c r="E10" s="135">
        <f>'와이드(실측)'!E10-와이드OP</f>
        <v>1097</v>
      </c>
      <c r="F10" s="31">
        <f>'와이드(실측)'!F10-와이드R</f>
        <v>1190</v>
      </c>
      <c r="G10" s="50">
        <f>'와이드(실측)'!G10+와이드JBJD키움치수+IF(BI10=1,AC10,0)</f>
        <v>263</v>
      </c>
      <c r="H10" s="50">
        <f>'와이드(실측)'!H10+와이드JBJD키움치수+IF(BI10=1,AE10,0)</f>
        <v>263</v>
      </c>
      <c r="I10" s="50">
        <f>'와이드(실측)'!I10+MAX(AS10,AT10)+와이드JBJD키움치수+IF(BI10=1,AC10,0)</f>
        <v>279</v>
      </c>
      <c r="J10" s="50">
        <f>'와이드(실측)'!I10+MAX(AS10,AT10)+와이드JBJD키움치수+IF(BI10=1,AD10,0)-IF(와이드JB하부늘치=1,'와이드(실측)'!Y10-'와이드(실측)'!Z10,0)</f>
        <v>279</v>
      </c>
      <c r="K10" s="50">
        <f>'와이드(실측)'!J10+MAX(AS10,AT10)+와이드JBJD키움치수+IF(BI10=1,AE10,0)</f>
        <v>279</v>
      </c>
      <c r="L10" s="50">
        <f>'와이드(실측)'!J10+MAX(AS10,AT10)+와이드JBJD키움치수+IF(BI10=1,AF10,0)-IF(와이드JB하부늘치=1,'와이드(실측)'!AA10-'와이드(실측)'!AB10,0)</f>
        <v>280</v>
      </c>
      <c r="M10" s="31">
        <f t="shared" si="6"/>
        <v>38.5</v>
      </c>
      <c r="N10" s="31">
        <f t="shared" si="7"/>
        <v>38.5</v>
      </c>
      <c r="O10" s="31">
        <f>IF(S10&lt;9,'와이드(실측)'!K10+1.2,IF(ISNUMBER('와이드(실측)'!K10),'와이드(실측)'!K10+와이드C값,0))</f>
        <v>40</v>
      </c>
      <c r="P10" s="31">
        <f>IF(T10&lt;9,'와이드(실측)'!L10+1.2,IF(ISNUMBER('와이드(실측)'!L10),'와이드(실측)'!L10+와이드C값,0))</f>
        <v>40</v>
      </c>
      <c r="Q10" s="32">
        <f t="shared" si="8"/>
        <v>11.799999999999999</v>
      </c>
      <c r="R10" s="38">
        <f t="shared" si="9"/>
        <v>11.799999999999999</v>
      </c>
      <c r="S10" s="31">
        <f>IF(ISNUMBER('와이드(실측)'!O10),'와이드(실측)'!O10+와이드제작!AS10+와이드A늘림,0)</f>
        <v>9</v>
      </c>
      <c r="T10" s="31">
        <f>IF(ISNUMBER('와이드(실측)'!P10),'와이드(실측)'!P10+와이드제작!AT10+와이드A늘림,0)</f>
        <v>9</v>
      </c>
      <c r="U10" s="31">
        <f>'와이드(실측)'!Q10-와이드기둥차감</f>
        <v>2091</v>
      </c>
      <c r="V10" s="31">
        <f>'와이드(실측)'!R10-와이드기둥차감</f>
        <v>2091</v>
      </c>
      <c r="W10" s="31">
        <f>'와이드(실측)'!S10-와이드기둥차감</f>
        <v>2095</v>
      </c>
      <c r="X10" s="31">
        <f>'와이드(실측)'!T10-와이드기둥차감</f>
        <v>2091</v>
      </c>
      <c r="Y10" s="31">
        <f>IF(소장="손상민",IF(ISNUMBER('와이드(실측)'!U10),'와이드(실측)'!U10+1.2,0),IF(ISNUMBER('와이드(실측)'!U10),'와이드(실측)'!U10+와이드U,0))</f>
        <v>0</v>
      </c>
      <c r="Z10" s="31">
        <f>IF(소장="손상민",MAX(Q10,R10)+3.2,IF(ISNUMBER('와이드(실측)'!V10),'와이드(실측)'!V10+1.5+와이드제작!Q10+1,0))</f>
        <v>0</v>
      </c>
      <c r="AA10" s="31">
        <f>'와이드(실측)'!W10+뒷날개치수더함</f>
        <v>50</v>
      </c>
      <c r="AB10" s="31">
        <f>'와이드(실측)'!X10+뒷날개치수더함</f>
        <v>30</v>
      </c>
      <c r="AC10" s="31">
        <f>'와이드(실측)'!Y10-와이드늘치</f>
        <v>12</v>
      </c>
      <c r="AD10" s="31">
        <f>IF(와이드JB하부늘치=1,AC10,'와이드(실측)'!Z10-와이드늘치)</f>
        <v>12</v>
      </c>
      <c r="AE10" s="31">
        <f>'와이드(실측)'!AA10-와이드늘치</f>
        <v>11</v>
      </c>
      <c r="AF10" s="31">
        <f>IF(와이드JB하부늘치=1,AE10,'와이드(실측)'!AB10-와이드늘치)</f>
        <v>11</v>
      </c>
      <c r="AG10" s="31">
        <f xml:space="preserve"> IF(소장&lt;&gt;"손상민",IF('와이드(실측)'!AC10&gt;0,'와이드(실측)'!AC10,C10-1.2),IF('와이드(실측)'!AC10&gt;0,'와이드(실측)'!AC10+1.2,C10) )</f>
        <v>205</v>
      </c>
      <c r="AH10" s="31">
        <f xml:space="preserve"> IF(소장&lt;&gt;"손상민",IF('와이드(실측)'!AD10&gt;0,'와이드(실측)'!AD10,D10-1.2),IF('와이드(실측)'!AD10&gt;0,'와이드(실측)'!AD10+1.2,D10))</f>
        <v>202</v>
      </c>
      <c r="AI10" s="51">
        <f t="shared" si="10"/>
        <v>0</v>
      </c>
      <c r="AJ10" s="31" t="str">
        <f t="shared" si="11"/>
        <v>1190*535.6</v>
      </c>
      <c r="AK10" s="31" t="str">
        <f t="shared" si="12"/>
        <v>2296*365.2</v>
      </c>
      <c r="AL10" s="31" t="str">
        <f t="shared" si="13"/>
        <v>2297*365.2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90</v>
      </c>
      <c r="AP10" s="31">
        <f>IF('와이드(실측)'!AH10&gt;5,'와이드(실측)'!AH10+뒷날개치수더함,'와이드(실측)'!AH10)</f>
        <v>20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2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2</v>
      </c>
      <c r="AU10" s="20">
        <f t="shared" si="14"/>
        <v>10.026620657365267</v>
      </c>
      <c r="AV10" s="21">
        <f t="shared" si="15"/>
        <v>11.73882368977786</v>
      </c>
      <c r="AW10" s="21">
        <f t="shared" si="16"/>
        <v>11.73882368977786</v>
      </c>
      <c r="AX10" s="21">
        <f>'와이드(실측)'!M10+AS10</f>
        <v>12</v>
      </c>
      <c r="AY10" s="21">
        <f>'와이드(실측)'!N10+AS10</f>
        <v>12</v>
      </c>
      <c r="AZ10" s="20">
        <f t="shared" si="17"/>
        <v>-0.26117631022214027</v>
      </c>
      <c r="BA10" s="41">
        <f t="shared" si="4"/>
        <v>1190</v>
      </c>
      <c r="BB10" s="42">
        <f>MAX(C10,D10)+MAX(G10,H10)+AA10-1.2*$AJ$3+IF(BI10=0,MAX(AE10,AC10),0)+IF(Y10=0,1.2,0)+IF(Z10=0,1.2,0)+IF(소장&lt;&gt;"손상민", Y10+Z10,IF('와이드(실측)'!U10=0,0,2.4))</f>
        <v>535.60000000000014</v>
      </c>
      <c r="BC10" s="41">
        <f t="shared" si="18"/>
        <v>365.2</v>
      </c>
      <c r="BD10" s="41">
        <f t="shared" si="19"/>
        <v>2296</v>
      </c>
      <c r="BE10" s="41">
        <f t="shared" si="20"/>
        <v>365.2</v>
      </c>
      <c r="BF10" s="41">
        <f t="shared" si="21"/>
        <v>2297</v>
      </c>
      <c r="BG10" s="6">
        <f t="shared" si="22"/>
        <v>4.2000000000000011</v>
      </c>
      <c r="BH10" s="43" t="str">
        <f t="shared" si="23"/>
        <v/>
      </c>
      <c r="BI10" s="77">
        <f t="shared" si="24"/>
        <v>0</v>
      </c>
    </row>
    <row r="11" spans="1:61" ht="26.25" customHeight="1">
      <c r="A11" s="31">
        <f>'와이드(실측)'!A11</f>
        <v>0</v>
      </c>
      <c r="B11" s="31" t="str">
        <f>'와이드(실측)'!B11&amp;"F"</f>
        <v>8F</v>
      </c>
      <c r="C11" s="31">
        <f>'와이드(실측)'!C11+와이드MH더함-IF(AND(소장="추영덕",Y11=0),1.2)</f>
        <v>208</v>
      </c>
      <c r="D11" s="31">
        <f>'와이드(실측)'!D11+와이드MH더함-IF(AND(소장="추영덕",Y11=0),1.2)</f>
        <v>208</v>
      </c>
      <c r="E11" s="135">
        <f>'와이드(실측)'!E11-와이드OP</f>
        <v>1099</v>
      </c>
      <c r="F11" s="31">
        <f>'와이드(실측)'!F11-와이드R</f>
        <v>1193</v>
      </c>
      <c r="G11" s="50">
        <f>'와이드(실측)'!G11+와이드JBJD키움치수+IF(BI11=1,AC11,0)</f>
        <v>268</v>
      </c>
      <c r="H11" s="50">
        <f>'와이드(실측)'!H11+와이드JBJD키움치수+IF(BI11=1,AE11,0)</f>
        <v>268</v>
      </c>
      <c r="I11" s="50">
        <f>'와이드(실측)'!I11+MAX(AS11,AT11)+와이드JBJD키움치수+IF(BI11=1,AC11,0)</f>
        <v>284</v>
      </c>
      <c r="J11" s="50">
        <f>'와이드(실측)'!I11+MAX(AS11,AT11)+와이드JBJD키움치수+IF(BI11=1,AD11,0)-IF(와이드JB하부늘치=1,'와이드(실측)'!Y11-'와이드(실측)'!Z11,0)</f>
        <v>287</v>
      </c>
      <c r="K11" s="50">
        <f>'와이드(실측)'!J11+MAX(AS11,AT11)+와이드JBJD키움치수+IF(BI11=1,AE11,0)</f>
        <v>284</v>
      </c>
      <c r="L11" s="50">
        <f>'와이드(실측)'!J11+MAX(AS11,AT11)+와이드JBJD키움치수+IF(BI11=1,AF11,0)-IF(와이드JB하부늘치=1,'와이드(실측)'!AA11-'와이드(실측)'!AB11,0)</f>
        <v>285</v>
      </c>
      <c r="M11" s="31">
        <f t="shared" si="6"/>
        <v>38.5</v>
      </c>
      <c r="N11" s="31">
        <f t="shared" si="7"/>
        <v>38.5</v>
      </c>
      <c r="O11" s="31">
        <f>IF(S11&lt;9,'와이드(실측)'!K11+1.2,IF(ISNUMBER('와이드(실측)'!K11),'와이드(실측)'!K11+와이드C값,0))</f>
        <v>40</v>
      </c>
      <c r="P11" s="31">
        <f>IF(T11&lt;9,'와이드(실측)'!L11+1.2,IF(ISNUMBER('와이드(실측)'!L11),'와이드(실측)'!L11+와이드C값,0))</f>
        <v>40</v>
      </c>
      <c r="Q11" s="32">
        <f t="shared" si="8"/>
        <v>11.799999999999999</v>
      </c>
      <c r="R11" s="38">
        <f t="shared" si="9"/>
        <v>11.799999999999999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9</v>
      </c>
      <c r="U11" s="31">
        <f>'와이드(실측)'!Q11-와이드기둥차감</f>
        <v>2098</v>
      </c>
      <c r="V11" s="31">
        <f>'와이드(실측)'!R11-와이드기둥차감</f>
        <v>2090</v>
      </c>
      <c r="W11" s="31">
        <f>'와이드(실측)'!S11-와이드기둥차감</f>
        <v>2098</v>
      </c>
      <c r="X11" s="31">
        <f>'와이드(실측)'!T11-와이드기둥차감</f>
        <v>2090</v>
      </c>
      <c r="Y11" s="31">
        <f>IF(소장="손상민",IF(ISNUMBER('와이드(실측)'!U11),'와이드(실측)'!U11+1.2,0),IF(ISNUMBER('와이드(실측)'!U11),'와이드(실측)'!U11+와이드U,0))</f>
        <v>0</v>
      </c>
      <c r="Z11" s="31">
        <f>IF(소장="손상민",MAX(Q11,R11)+3.2,IF(ISNUMBER('와이드(실측)'!V11),'와이드(실측)'!V11+1.5+와이드제작!Q11+1,0))</f>
        <v>0</v>
      </c>
      <c r="AA11" s="31">
        <f>'와이드(실측)'!W11+뒷날개치수더함</f>
        <v>50</v>
      </c>
      <c r="AB11" s="31">
        <f>'와이드(실측)'!X11+뒷날개치수더함</f>
        <v>30</v>
      </c>
      <c r="AC11" s="31">
        <f>'와이드(실측)'!Y11-와이드늘치</f>
        <v>11</v>
      </c>
      <c r="AD11" s="31">
        <f>IF(와이드JB하부늘치=1,AC11,'와이드(실측)'!Z11-와이드늘치)</f>
        <v>11</v>
      </c>
      <c r="AE11" s="31">
        <f>'와이드(실측)'!AA11-와이드늘치</f>
        <v>12</v>
      </c>
      <c r="AF11" s="31">
        <f>IF(와이드JB하부늘치=1,AE11,'와이드(실측)'!AB11-와이드늘치)</f>
        <v>12</v>
      </c>
      <c r="AG11" s="31">
        <f xml:space="preserve"> IF(소장&lt;&gt;"손상민",IF('와이드(실측)'!AC11&gt;0,'와이드(실측)'!AC11,C11-1.2),IF('와이드(실측)'!AC11&gt;0,'와이드(실측)'!AC11+1.2,C11) )</f>
        <v>198</v>
      </c>
      <c r="AH11" s="31">
        <f xml:space="preserve"> IF(소장&lt;&gt;"손상민",IF('와이드(실측)'!AD11&gt;0,'와이드(실측)'!AD11,D11-1.2),IF('와이드(실측)'!AD11&gt;0,'와이드(실측)'!AD11+1.2,D11))</f>
        <v>197</v>
      </c>
      <c r="AI11" s="51">
        <f t="shared" si="10"/>
        <v>0</v>
      </c>
      <c r="AJ11" s="31" t="str">
        <f t="shared" si="11"/>
        <v>1193*535.6</v>
      </c>
      <c r="AK11" s="31" t="str">
        <f t="shared" si="12"/>
        <v>2296*372.2</v>
      </c>
      <c r="AL11" s="31" t="str">
        <f t="shared" si="13"/>
        <v>2295*371.2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90</v>
      </c>
      <c r="AP11" s="31">
        <f>IF('와이드(실측)'!AH11&gt;5,'와이드(실측)'!AH11+뒷날개치수더함,'와이드(실측)'!AH11)</f>
        <v>20</v>
      </c>
      <c r="AQ11" s="31">
        <f>'와이드(실측)'!AI11</f>
        <v>10</v>
      </c>
      <c r="AR11" s="31">
        <f>'와이드(실측)'!AJ11</f>
        <v>10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2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2</v>
      </c>
      <c r="AU11" s="20">
        <f t="shared" si="14"/>
        <v>9.9469879365584841</v>
      </c>
      <c r="AV11" s="21">
        <f t="shared" si="15"/>
        <v>11.730911103271694</v>
      </c>
      <c r="AW11" s="21">
        <f t="shared" si="16"/>
        <v>11.730911103271694</v>
      </c>
      <c r="AX11" s="21">
        <f>'와이드(실측)'!M11+AS11</f>
        <v>12</v>
      </c>
      <c r="AY11" s="21">
        <f>'와이드(실측)'!N11+AS11</f>
        <v>12</v>
      </c>
      <c r="AZ11" s="20">
        <f t="shared" si="17"/>
        <v>-0.26908889672830583</v>
      </c>
      <c r="BA11" s="41">
        <f t="shared" si="4"/>
        <v>1193</v>
      </c>
      <c r="BB11" s="42">
        <f>MAX(C11,D11)+MAX(G11,H11)+AA11-1.2*$AJ$3+IF(BI11=0,MAX(AE11,AC11),0)+IF(Y11=0,1.2,0)+IF(Z11=0,1.2,0)+IF(소장&lt;&gt;"손상민", Y11+Z11,IF('와이드(실측)'!U11=0,0,2.4))</f>
        <v>535.60000000000014</v>
      </c>
      <c r="BC11" s="41">
        <f t="shared" si="18"/>
        <v>372.2</v>
      </c>
      <c r="BD11" s="41">
        <f t="shared" si="19"/>
        <v>2296</v>
      </c>
      <c r="BE11" s="41">
        <f t="shared" si="20"/>
        <v>371.2</v>
      </c>
      <c r="BF11" s="41">
        <f t="shared" si="21"/>
        <v>2295</v>
      </c>
      <c r="BG11" s="6">
        <f t="shared" si="22"/>
        <v>4.2000000000000011</v>
      </c>
      <c r="BH11" s="43" t="str">
        <f t="shared" si="23"/>
        <v/>
      </c>
      <c r="BI11" s="77">
        <f t="shared" si="24"/>
        <v>0</v>
      </c>
    </row>
    <row r="12" spans="1:61" ht="26.25" customHeight="1">
      <c r="A12" s="31">
        <f>'와이드(실측)'!A12</f>
        <v>0</v>
      </c>
      <c r="B12" s="31" t="str">
        <f>'와이드(실측)'!B12&amp;"F"</f>
        <v>7F</v>
      </c>
      <c r="C12" s="31">
        <f>'와이드(실측)'!C12+와이드MH더함-IF(AND(소장="추영덕",Y12=0),1.2)</f>
        <v>208</v>
      </c>
      <c r="D12" s="31">
        <f>'와이드(실측)'!D12+와이드MH더함-IF(AND(소장="추영덕",Y12=0),1.2)</f>
        <v>208</v>
      </c>
      <c r="E12" s="135">
        <f>'와이드(실측)'!E12-와이드OP</f>
        <v>1098</v>
      </c>
      <c r="F12" s="31">
        <f>'와이드(실측)'!F12-와이드R</f>
        <v>1188</v>
      </c>
      <c r="G12" s="50">
        <f>'와이드(실측)'!G12+와이드JBJD키움치수+IF(BI12=1,AC12,0)</f>
        <v>258</v>
      </c>
      <c r="H12" s="50">
        <f>'와이드(실측)'!H12+와이드JBJD키움치수+IF(BI12=1,AE12,0)</f>
        <v>258</v>
      </c>
      <c r="I12" s="50">
        <f>'와이드(실측)'!I12+MAX(AS12,AT12)+와이드JBJD키움치수+IF(BI12=1,AC12,0)</f>
        <v>273</v>
      </c>
      <c r="J12" s="50">
        <f>'와이드(실측)'!I12+MAX(AS12,AT12)+와이드JBJD키움치수+IF(BI12=1,AD12,0)-IF(와이드JB하부늘치=1,'와이드(실측)'!Y12-'와이드(실측)'!Z12,0)</f>
        <v>275</v>
      </c>
      <c r="K12" s="50">
        <f>'와이드(실측)'!J12+MAX(AS12,AT12)+와이드JBJD키움치수+IF(BI12=1,AE12,0)</f>
        <v>273</v>
      </c>
      <c r="L12" s="50">
        <f>'와이드(실측)'!J12+MAX(AS12,AT12)+와이드JBJD키움치수+IF(BI12=1,AF12,0)-IF(와이드JB하부늘치=1,'와이드(실측)'!AA12-'와이드(실측)'!AB12,0)</f>
        <v>273</v>
      </c>
      <c r="M12" s="31">
        <f t="shared" si="6"/>
        <v>38.5</v>
      </c>
      <c r="N12" s="31">
        <f t="shared" si="7"/>
        <v>38.5</v>
      </c>
      <c r="O12" s="31">
        <f>IF(S12&lt;9,'와이드(실측)'!K12+1.2,IF(ISNUMBER('와이드(실측)'!K12),'와이드(실측)'!K12+와이드C값,0))</f>
        <v>40</v>
      </c>
      <c r="P12" s="31">
        <f>IF(T12&lt;9,'와이드(실측)'!L12+1.2,IF(ISNUMBER('와이드(실측)'!L12),'와이드(실측)'!L12+와이드C값,0))</f>
        <v>40</v>
      </c>
      <c r="Q12" s="32">
        <f t="shared" si="8"/>
        <v>11</v>
      </c>
      <c r="R12" s="38">
        <f t="shared" si="9"/>
        <v>11</v>
      </c>
      <c r="S12" s="31">
        <f>IF(ISNUMBER('와이드(실측)'!O12),'와이드(실측)'!O12+와이드제작!AS12+와이드A늘림,0)</f>
        <v>9</v>
      </c>
      <c r="T12" s="31">
        <f>IF(ISNUMBER('와이드(실측)'!P12),'와이드(실측)'!P12+와이드제작!AT12+와이드A늘림,0)</f>
        <v>9</v>
      </c>
      <c r="U12" s="31">
        <f>'와이드(실측)'!Q12-와이드기둥차감</f>
        <v>2100</v>
      </c>
      <c r="V12" s="31">
        <f>'와이드(실측)'!R12-와이드기둥차감</f>
        <v>2091</v>
      </c>
      <c r="W12" s="31">
        <f>'와이드(실측)'!S12-와이드기둥차감</f>
        <v>2097</v>
      </c>
      <c r="X12" s="31">
        <f>'와이드(실측)'!T12-와이드기둥차감</f>
        <v>2091</v>
      </c>
      <c r="Y12" s="31">
        <f>IF(소장="손상민",IF(ISNUMBER('와이드(실측)'!U12),'와이드(실측)'!U12+1.2,0),IF(ISNUMBER('와이드(실측)'!U12),'와이드(실측)'!U12+와이드U,0))</f>
        <v>0</v>
      </c>
      <c r="Z12" s="31">
        <f>IF(소장="손상민",MAX(Q12,R12)+3.2,IF(ISNUMBER('와이드(실측)'!V12),'와이드(실측)'!V12+1.5+와이드제작!Q12+1,0))</f>
        <v>0</v>
      </c>
      <c r="AA12" s="31">
        <f>'와이드(실측)'!W12+뒷날개치수더함</f>
        <v>50</v>
      </c>
      <c r="AB12" s="31">
        <f>'와이드(실측)'!X12+뒷날개치수더함</f>
        <v>30</v>
      </c>
      <c r="AC12" s="31">
        <f>'와이드(실측)'!Y12-와이드늘치</f>
        <v>11</v>
      </c>
      <c r="AD12" s="31">
        <f>IF(와이드JB하부늘치=1,AC12,'와이드(실측)'!Z12-와이드늘치)</f>
        <v>11</v>
      </c>
      <c r="AE12" s="31">
        <f>'와이드(실측)'!AA12-와이드늘치</f>
        <v>12</v>
      </c>
      <c r="AF12" s="31">
        <f>IF(와이드JB하부늘치=1,AE12,'와이드(실측)'!AB12-와이드늘치)</f>
        <v>12</v>
      </c>
      <c r="AG12" s="31">
        <f xml:space="preserve"> IF(소장&lt;&gt;"손상민",IF('와이드(실측)'!AC12&gt;0,'와이드(실측)'!AC12,C12-1.2),IF('와이드(실측)'!AC12&gt;0,'와이드(실측)'!AC12+1.2,C12) )</f>
        <v>199</v>
      </c>
      <c r="AH12" s="31">
        <f xml:space="preserve"> IF(소장&lt;&gt;"손상민",IF('와이드(실측)'!AD12&gt;0,'와이드(실측)'!AD12,D12-1.2),IF('와이드(실측)'!AD12&gt;0,'와이드(실측)'!AD12+1.2,D12))</f>
        <v>197</v>
      </c>
      <c r="AI12" s="51">
        <f t="shared" si="10"/>
        <v>0</v>
      </c>
      <c r="AJ12" s="31" t="str">
        <f t="shared" si="11"/>
        <v>1188*525.6</v>
      </c>
      <c r="AK12" s="31" t="str">
        <f t="shared" si="12"/>
        <v>2299*360.2</v>
      </c>
      <c r="AL12" s="31" t="str">
        <f t="shared" si="13"/>
        <v>2294*359.2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90</v>
      </c>
      <c r="AP12" s="31">
        <f>IF('와이드(실측)'!AH12&gt;5,'와이드(실측)'!AH12+뒷날개치수더함,'와이드(실측)'!AH12)</f>
        <v>20</v>
      </c>
      <c r="AQ12" s="31">
        <f>'와이드(실측)'!AI12</f>
        <v>10</v>
      </c>
      <c r="AR12" s="31">
        <f>'와이드(실측)'!AJ12</f>
        <v>10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1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1</v>
      </c>
      <c r="AU12" s="20">
        <f t="shared" si="14"/>
        <v>9.8939206697354134</v>
      </c>
      <c r="AV12" s="21">
        <f t="shared" si="15"/>
        <v>10.939824707569755</v>
      </c>
      <c r="AW12" s="21">
        <f t="shared" si="16"/>
        <v>10.939824707569755</v>
      </c>
      <c r="AX12" s="21">
        <f>'와이드(실측)'!M12+AS12</f>
        <v>11</v>
      </c>
      <c r="AY12" s="21">
        <f>'와이드(실측)'!N12+AS12</f>
        <v>11</v>
      </c>
      <c r="AZ12" s="20">
        <f t="shared" si="17"/>
        <v>-6.0175292430244554E-2</v>
      </c>
      <c r="BA12" s="41">
        <f t="shared" si="4"/>
        <v>1188</v>
      </c>
      <c r="BB12" s="42">
        <f>MAX(C12,D12)+MAX(G12,H12)+AA12-1.2*$AJ$3+IF(BI12=0,MAX(AE12,AC12),0)+IF(Y12=0,1.2,0)+IF(Z12=0,1.2,0)+IF(소장&lt;&gt;"손상민", Y12+Z12,IF('와이드(실측)'!U12=0,0,2.4))</f>
        <v>525.60000000000014</v>
      </c>
      <c r="BC12" s="41">
        <f t="shared" si="18"/>
        <v>360.2</v>
      </c>
      <c r="BD12" s="41">
        <f t="shared" si="19"/>
        <v>2299</v>
      </c>
      <c r="BE12" s="41">
        <f t="shared" si="20"/>
        <v>359.2</v>
      </c>
      <c r="BF12" s="41">
        <f t="shared" si="21"/>
        <v>2294</v>
      </c>
      <c r="BG12" s="6">
        <f t="shared" si="22"/>
        <v>4</v>
      </c>
      <c r="BH12" s="43" t="str">
        <f t="shared" si="23"/>
        <v/>
      </c>
      <c r="BI12" s="77">
        <f t="shared" si="24"/>
        <v>0</v>
      </c>
    </row>
    <row r="13" spans="1:61" ht="26.25" customHeight="1">
      <c r="A13" s="31">
        <f>'와이드(실측)'!A13</f>
        <v>0</v>
      </c>
      <c r="B13" s="31" t="str">
        <f>'와이드(실측)'!B13&amp;"F"</f>
        <v>6F</v>
      </c>
      <c r="C13" s="31">
        <f>'와이드(실측)'!C13+와이드MH더함-IF(AND(소장="추영덕",Y13=0),1.2)</f>
        <v>202</v>
      </c>
      <c r="D13" s="31">
        <f>'와이드(실측)'!D13+와이드MH더함-IF(AND(소장="추영덕",Y13=0),1.2)</f>
        <v>202</v>
      </c>
      <c r="E13" s="135">
        <f>'와이드(실측)'!E13-와이드OP</f>
        <v>1096</v>
      </c>
      <c r="F13" s="31">
        <f>'와이드(실측)'!F13-와이드R</f>
        <v>1189</v>
      </c>
      <c r="G13" s="50">
        <f>'와이드(실측)'!G13+와이드JBJD키움치수+IF(BI13=1,AC13,0)</f>
        <v>258</v>
      </c>
      <c r="H13" s="50">
        <f>'와이드(실측)'!H13+와이드JBJD키움치수+IF(BI13=1,AE13,0)</f>
        <v>258</v>
      </c>
      <c r="I13" s="50">
        <f>'와이드(실측)'!I13+MAX(AS13,AT13)+와이드JBJD키움치수+IF(BI13=1,AC13,0)</f>
        <v>273</v>
      </c>
      <c r="J13" s="50">
        <f>'와이드(실측)'!I13+MAX(AS13,AT13)+와이드JBJD키움치수+IF(BI13=1,AD13,0)-IF(와이드JB하부늘치=1,'와이드(실측)'!Y13-'와이드(실측)'!Z13,0)</f>
        <v>275</v>
      </c>
      <c r="K13" s="50">
        <f>'와이드(실측)'!J13+MAX(AS13,AT13)+와이드JBJD키움치수+IF(BI13=1,AE13,0)</f>
        <v>273</v>
      </c>
      <c r="L13" s="50">
        <f>'와이드(실측)'!J13+MAX(AS13,AT13)+와이드JBJD키움치수+IF(BI13=1,AF13,0)-IF(와이드JB하부늘치=1,'와이드(실측)'!AA13-'와이드(실측)'!AB13,0)</f>
        <v>274</v>
      </c>
      <c r="M13" s="31">
        <f t="shared" si="6"/>
        <v>38.5</v>
      </c>
      <c r="N13" s="31">
        <f t="shared" si="7"/>
        <v>38.5</v>
      </c>
      <c r="O13" s="31">
        <f>IF(S13&lt;9,'와이드(실측)'!K13+1.2,IF(ISNUMBER('와이드(실측)'!K13),'와이드(실측)'!K13+와이드C값,0))</f>
        <v>40</v>
      </c>
      <c r="P13" s="31">
        <f>IF(T13&lt;9,'와이드(실측)'!L13+1.2,IF(ISNUMBER('와이드(실측)'!L13),'와이드(실측)'!L13+와이드C값,0))</f>
        <v>40</v>
      </c>
      <c r="Q13" s="32">
        <f t="shared" si="8"/>
        <v>10.7</v>
      </c>
      <c r="R13" s="38">
        <f t="shared" si="9"/>
        <v>10.7</v>
      </c>
      <c r="S13" s="31">
        <f>IF(ISNUMBER('와이드(실측)'!O13),'와이드(실측)'!O13+와이드제작!AS13+와이드A늘림,0)</f>
        <v>9</v>
      </c>
      <c r="T13" s="31">
        <f>IF(ISNUMBER('와이드(실측)'!P13),'와이드(실측)'!P13+와이드제작!AT13+와이드A늘림,0)</f>
        <v>9</v>
      </c>
      <c r="U13" s="31">
        <f>'와이드(실측)'!Q13-와이드기둥차감</f>
        <v>2093</v>
      </c>
      <c r="V13" s="31">
        <f>'와이드(실측)'!R13-와이드기둥차감</f>
        <v>2090</v>
      </c>
      <c r="W13" s="31">
        <f>'와이드(실측)'!S13-와이드기둥차감</f>
        <v>2097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0</v>
      </c>
      <c r="Z13" s="31">
        <f>IF(소장="손상민",MAX(Q13,R13)+3.2,IF(ISNUMBER('와이드(실측)'!V13),'와이드(실측)'!V13+1.5+와이드제작!Q13+1,0))</f>
        <v>0</v>
      </c>
      <c r="AA13" s="31">
        <f>'와이드(실측)'!W13+뒷날개치수더함</f>
        <v>50</v>
      </c>
      <c r="AB13" s="31">
        <f>'와이드(실측)'!X13+뒷날개치수더함</f>
        <v>30</v>
      </c>
      <c r="AC13" s="31">
        <f>'와이드(실측)'!Y13-와이드늘치</f>
        <v>12</v>
      </c>
      <c r="AD13" s="31">
        <f>IF(와이드JB하부늘치=1,AC13,'와이드(실측)'!Z13-와이드늘치)</f>
        <v>12</v>
      </c>
      <c r="AE13" s="31">
        <f>'와이드(실측)'!AA13-와이드늘치</f>
        <v>12</v>
      </c>
      <c r="AF13" s="31">
        <f>IF(와이드JB하부늘치=1,AE13,'와이드(실측)'!AB13-와이드늘치)</f>
        <v>12</v>
      </c>
      <c r="AG13" s="31">
        <f xml:space="preserve"> IF(소장&lt;&gt;"손상민",IF('와이드(실측)'!AC13&gt;0,'와이드(실측)'!AC13,C13-1.2),IF('와이드(실측)'!AC13&gt;0,'와이드(실측)'!AC13+1.2,C13) )</f>
        <v>196</v>
      </c>
      <c r="AH13" s="31">
        <f xml:space="preserve"> IF(소장&lt;&gt;"손상민",IF('와이드(실측)'!AD13&gt;0,'와이드(실측)'!AD13,D13-1.2),IF('와이드(실측)'!AD13&gt;0,'와이드(실측)'!AD13+1.2,D13))</f>
        <v>187</v>
      </c>
      <c r="AI13" s="51">
        <f t="shared" si="10"/>
        <v>0</v>
      </c>
      <c r="AJ13" s="31" t="str">
        <f t="shared" si="11"/>
        <v>1189*519.6</v>
      </c>
      <c r="AK13" s="31" t="str">
        <f t="shared" si="12"/>
        <v>2289*361.2</v>
      </c>
      <c r="AL13" s="31" t="str">
        <f t="shared" si="13"/>
        <v>2284*360.2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90</v>
      </c>
      <c r="AP13" s="31">
        <f>IF('와이드(실측)'!AH13&gt;5,'와이드(실측)'!AH13+뒷날개치수더함,'와이드(실측)'!AH13)</f>
        <v>20</v>
      </c>
      <c r="AQ13" s="31">
        <f>'와이드(실측)'!AI13</f>
        <v>10</v>
      </c>
      <c r="AR13" s="31">
        <f>'와이드(실측)'!AJ13</f>
        <v>10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1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1</v>
      </c>
      <c r="AU13" s="20">
        <f t="shared" si="14"/>
        <v>10.216879629726741</v>
      </c>
      <c r="AV13" s="21">
        <f t="shared" si="15"/>
        <v>10.671146886713814</v>
      </c>
      <c r="AW13" s="21">
        <f t="shared" si="16"/>
        <v>10.671146886713814</v>
      </c>
      <c r="AX13" s="21">
        <f>'와이드(실측)'!M13+AS13</f>
        <v>11</v>
      </c>
      <c r="AY13" s="21">
        <f>'와이드(실측)'!N13+AS13</f>
        <v>11</v>
      </c>
      <c r="AZ13" s="20">
        <f t="shared" si="17"/>
        <v>-0.32885311328618627</v>
      </c>
      <c r="BA13" s="41">
        <f t="shared" si="4"/>
        <v>1189</v>
      </c>
      <c r="BB13" s="42">
        <f>MAX(C13,D13)+MAX(G13,H13)+AA13-1.2*$AJ$3+IF(BI13=0,MAX(AE13,AC13),0)+IF(Y13=0,1.2,0)+IF(Z13=0,1.2,0)+IF(소장&lt;&gt;"손상민", Y13+Z13,IF('와이드(실측)'!U13=0,0,2.4))</f>
        <v>519.60000000000014</v>
      </c>
      <c r="BC13" s="41">
        <f t="shared" si="18"/>
        <v>361.2</v>
      </c>
      <c r="BD13" s="41">
        <f t="shared" si="19"/>
        <v>2289</v>
      </c>
      <c r="BE13" s="41">
        <f t="shared" si="20"/>
        <v>360.2</v>
      </c>
      <c r="BF13" s="41">
        <f t="shared" si="21"/>
        <v>2284</v>
      </c>
      <c r="BG13" s="6">
        <f t="shared" si="22"/>
        <v>4.3000000000000007</v>
      </c>
      <c r="BH13" s="43" t="str">
        <f t="shared" si="23"/>
        <v/>
      </c>
      <c r="BI13" s="77">
        <f t="shared" si="24"/>
        <v>0</v>
      </c>
    </row>
    <row r="14" spans="1:61" ht="26.25" customHeight="1">
      <c r="A14" s="31">
        <f>'와이드(실측)'!A14</f>
        <v>0</v>
      </c>
      <c r="B14" s="31" t="str">
        <f>'와이드(실측)'!B14&amp;"F"</f>
        <v>5F</v>
      </c>
      <c r="C14" s="31">
        <f>'와이드(실측)'!C14+와이드MH더함-IF(AND(소장="추영덕",Y14=0),1.2)</f>
        <v>209</v>
      </c>
      <c r="D14" s="31">
        <f>'와이드(실측)'!D14+와이드MH더함-IF(AND(소장="추영덕",Y14=0),1.2)</f>
        <v>209</v>
      </c>
      <c r="E14" s="135">
        <f>'와이드(실측)'!E14-와이드OP</f>
        <v>1096</v>
      </c>
      <c r="F14" s="31">
        <f>'와이드(실측)'!F14-와이드R</f>
        <v>1187</v>
      </c>
      <c r="G14" s="50">
        <f>'와이드(실측)'!G14+와이드JBJD키움치수+IF(BI14=1,AC14,0)</f>
        <v>257</v>
      </c>
      <c r="H14" s="50">
        <f>'와이드(실측)'!H14+와이드JBJD키움치수+IF(BI14=1,AE14,0)</f>
        <v>257</v>
      </c>
      <c r="I14" s="50">
        <f>'와이드(실측)'!I14+MAX(AS14,AT14)+와이드JBJD키움치수+IF(BI14=1,AC14,0)</f>
        <v>274</v>
      </c>
      <c r="J14" s="50">
        <f>'와이드(실측)'!I14+MAX(AS14,AT14)+와이드JBJD키움치수+IF(BI14=1,AD14,0)-IF(와이드JB하부늘치=1,'와이드(실측)'!Y14-'와이드(실측)'!Z14,0)</f>
        <v>277</v>
      </c>
      <c r="K14" s="50">
        <f>'와이드(실측)'!J14+MAX(AS14,AT14)+와이드JBJD키움치수+IF(BI14=1,AE14,0)</f>
        <v>274</v>
      </c>
      <c r="L14" s="50">
        <f>'와이드(실측)'!J14+MAX(AS14,AT14)+와이드JBJD키움치수+IF(BI14=1,AF14,0)-IF(와이드JB하부늘치=1,'와이드(실측)'!AA14-'와이드(실측)'!AB14,0)</f>
        <v>274</v>
      </c>
      <c r="M14" s="31">
        <f t="shared" si="6"/>
        <v>38.5</v>
      </c>
      <c r="N14" s="31">
        <f t="shared" si="7"/>
        <v>38.5</v>
      </c>
      <c r="O14" s="31">
        <f>IF(S14&lt;9,'와이드(실측)'!K14+1.2,IF(ISNUMBER('와이드(실측)'!K14),'와이드(실측)'!K14+와이드C값,0))</f>
        <v>40</v>
      </c>
      <c r="P14" s="31">
        <f>IF(T14&lt;9,'와이드(실측)'!L14+1.2,IF(ISNUMBER('와이드(실측)'!L14),'와이드(실측)'!L14+와이드C값,0))</f>
        <v>40</v>
      </c>
      <c r="Q14" s="32">
        <f t="shared" si="8"/>
        <v>12.9</v>
      </c>
      <c r="R14" s="38">
        <f t="shared" si="9"/>
        <v>12.9</v>
      </c>
      <c r="S14" s="31">
        <f>IF(ISNUMBER('와이드(실측)'!O14),'와이드(실측)'!O14+와이드제작!AS14+와이드A늘림,0)</f>
        <v>9</v>
      </c>
      <c r="T14" s="31">
        <f>IF(ISNUMBER('와이드(실측)'!P14),'와이드(실측)'!P14+와이드제작!AT14+와이드A늘림,0)</f>
        <v>9</v>
      </c>
      <c r="U14" s="31">
        <f>'와이드(실측)'!Q14-와이드기둥차감</f>
        <v>2097</v>
      </c>
      <c r="V14" s="31">
        <f>'와이드(실측)'!R14-와이드기둥차감</f>
        <v>2091</v>
      </c>
      <c r="W14" s="31">
        <f>'와이드(실측)'!S14-와이드기둥차감</f>
        <v>2096</v>
      </c>
      <c r="X14" s="31">
        <f>'와이드(실측)'!T14-와이드기둥차감</f>
        <v>2090</v>
      </c>
      <c r="Y14" s="31">
        <f>IF(소장="손상민",IF(ISNUMBER('와이드(실측)'!U14),'와이드(실측)'!U14+1.2,0),IF(ISNUMBER('와이드(실측)'!U14),'와이드(실측)'!U14+와이드U,0))</f>
        <v>0</v>
      </c>
      <c r="Z14" s="31">
        <f>IF(소장="손상민",MAX(Q14,R14)+3.2,IF(ISNUMBER('와이드(실측)'!V14),'와이드(실측)'!V14+1.5+와이드제작!Q14+1,0))</f>
        <v>0</v>
      </c>
      <c r="AA14" s="31">
        <f>'와이드(실측)'!W14+뒷날개치수더함</f>
        <v>50</v>
      </c>
      <c r="AB14" s="31">
        <f>'와이드(실측)'!X14+뒷날개치수더함</f>
        <v>30</v>
      </c>
      <c r="AC14" s="31">
        <f>'와이드(실측)'!Y14-와이드늘치</f>
        <v>11</v>
      </c>
      <c r="AD14" s="31">
        <f>IF(와이드JB하부늘치=1,AC14,'와이드(실측)'!Z14-와이드늘치)</f>
        <v>11</v>
      </c>
      <c r="AE14" s="31">
        <f>'와이드(실측)'!AA14-와이드늘치</f>
        <v>13</v>
      </c>
      <c r="AF14" s="31">
        <f>IF(와이드JB하부늘치=1,AE14,'와이드(실측)'!AB14-와이드늘치)</f>
        <v>13</v>
      </c>
      <c r="AG14" s="31">
        <f xml:space="preserve"> IF(소장&lt;&gt;"손상민",IF('와이드(실측)'!AC14&gt;0,'와이드(실측)'!AC14,C14-1.2),IF('와이드(실측)'!AC14&gt;0,'와이드(실측)'!AC14+1.2,C14) )</f>
        <v>196</v>
      </c>
      <c r="AH14" s="31">
        <f xml:space="preserve"> IF(소장&lt;&gt;"손상민",IF('와이드(실측)'!AD14&gt;0,'와이드(실측)'!AD14,D14-1.2),IF('와이드(실측)'!AD14&gt;0,'와이드(실측)'!AD14+1.2,D14))</f>
        <v>196</v>
      </c>
      <c r="AI14" s="51">
        <f t="shared" si="10"/>
        <v>0</v>
      </c>
      <c r="AJ14" s="31" t="str">
        <f t="shared" si="11"/>
        <v>1187*526.6</v>
      </c>
      <c r="AK14" s="31" t="str">
        <f t="shared" si="12"/>
        <v>2293*362.2</v>
      </c>
      <c r="AL14" s="31" t="str">
        <f t="shared" si="13"/>
        <v>2292*361.2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90</v>
      </c>
      <c r="AP14" s="31">
        <f>IF('와이드(실측)'!AH14&gt;5,'와이드(실측)'!AH14+뒷날개치수더함,'와이드(실측)'!AH14)</f>
        <v>20</v>
      </c>
      <c r="AQ14" s="31">
        <f>'와이드(실측)'!AI14</f>
        <v>10</v>
      </c>
      <c r="AR14" s="31">
        <f>'와이드(실측)'!AJ14</f>
        <v>10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2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2</v>
      </c>
      <c r="AU14" s="20">
        <f t="shared" si="14"/>
        <v>10.039771929747209</v>
      </c>
      <c r="AV14" s="21">
        <f t="shared" si="15"/>
        <v>12.804231884721446</v>
      </c>
      <c r="AW14" s="21">
        <f t="shared" si="16"/>
        <v>12.804231884721446</v>
      </c>
      <c r="AX14" s="21">
        <f>'와이드(실측)'!M14+AS14</f>
        <v>12</v>
      </c>
      <c r="AY14" s="21">
        <f>'와이드(실측)'!N14+AS14</f>
        <v>12</v>
      </c>
      <c r="AZ14" s="20">
        <f t="shared" si="17"/>
        <v>0.80423188472144602</v>
      </c>
      <c r="BA14" s="41">
        <f t="shared" si="4"/>
        <v>1187</v>
      </c>
      <c r="BB14" s="42">
        <f>MAX(C14,D14)+MAX(G14,H14)+AA14-1.2*$AJ$3+IF(BI14=0,MAX(AE14,AC14),0)+IF(Y14=0,1.2,0)+IF(Z14=0,1.2,0)+IF(소장&lt;&gt;"손상민", Y14+Z14,IF('와이드(실측)'!U14=0,0,2.4))</f>
        <v>526.60000000000014</v>
      </c>
      <c r="BC14" s="41">
        <f t="shared" si="18"/>
        <v>362.2</v>
      </c>
      <c r="BD14" s="41">
        <f t="shared" si="19"/>
        <v>2293</v>
      </c>
      <c r="BE14" s="41">
        <f t="shared" si="20"/>
        <v>361.2</v>
      </c>
      <c r="BF14" s="41">
        <f t="shared" si="21"/>
        <v>2292</v>
      </c>
      <c r="BG14" s="6">
        <f t="shared" si="22"/>
        <v>4.0999999999999996</v>
      </c>
      <c r="BH14" s="43" t="str">
        <f t="shared" si="23"/>
        <v/>
      </c>
      <c r="BI14" s="77">
        <f t="shared" si="24"/>
        <v>0</v>
      </c>
    </row>
    <row r="15" spans="1:61" ht="26.25" customHeight="1">
      <c r="A15" s="31">
        <f>'와이드(실측)'!A15</f>
        <v>0</v>
      </c>
      <c r="B15" s="31" t="str">
        <f>'와이드(실측)'!B15&amp;"F"</f>
        <v>4F</v>
      </c>
      <c r="C15" s="31">
        <f>'와이드(실측)'!C15+와이드MH더함-IF(AND(소장="추영덕",Y15=0),1.2)</f>
        <v>207</v>
      </c>
      <c r="D15" s="31">
        <f>'와이드(실측)'!D15+와이드MH더함-IF(AND(소장="추영덕",Y15=0),1.2)</f>
        <v>207</v>
      </c>
      <c r="E15" s="135">
        <f>'와이드(실측)'!E15-와이드OP</f>
        <v>1096</v>
      </c>
      <c r="F15" s="31">
        <f>'와이드(실측)'!F15-와이드R</f>
        <v>1185</v>
      </c>
      <c r="G15" s="50">
        <f>'와이드(실측)'!G15+와이드JBJD키움치수+IF(BI15=1,AC15,0)</f>
        <v>253</v>
      </c>
      <c r="H15" s="50">
        <f>'와이드(실측)'!H15+와이드JBJD키움치수+IF(BI15=1,AE15,0)</f>
        <v>253</v>
      </c>
      <c r="I15" s="50">
        <f>'와이드(실측)'!I15+MAX(AS15,AT15)+와이드JBJD키움치수+IF(BI15=1,AC15,0)</f>
        <v>269</v>
      </c>
      <c r="J15" s="50">
        <f>'와이드(실측)'!I15+MAX(AS15,AT15)+와이드JBJD키움치수+IF(BI15=1,AD15,0)-IF(와이드JB하부늘치=1,'와이드(실측)'!Y15-'와이드(실측)'!Z15,0)</f>
        <v>269</v>
      </c>
      <c r="K15" s="50">
        <f>'와이드(실측)'!J15+MAX(AS15,AT15)+와이드JBJD키움치수+IF(BI15=1,AE15,0)</f>
        <v>269</v>
      </c>
      <c r="L15" s="50">
        <f>'와이드(실측)'!J15+MAX(AS15,AT15)+와이드JBJD키움치수+IF(BI15=1,AF15,0)-IF(와이드JB하부늘치=1,'와이드(실측)'!AA15-'와이드(실측)'!AB15,0)</f>
        <v>270</v>
      </c>
      <c r="M15" s="31">
        <f t="shared" si="6"/>
        <v>38.5</v>
      </c>
      <c r="N15" s="31">
        <f t="shared" si="7"/>
        <v>38.5</v>
      </c>
      <c r="O15" s="31">
        <f>IF(S15&lt;9,'와이드(실측)'!K15+1.2,IF(ISNUMBER('와이드(실측)'!K15),'와이드(실측)'!K15+와이드C값,0))</f>
        <v>40</v>
      </c>
      <c r="P15" s="31">
        <f>IF(T15&lt;9,'와이드(실측)'!L15+1.2,IF(ISNUMBER('와이드(실측)'!L15),'와이드(실측)'!L15+와이드C값,0))</f>
        <v>40</v>
      </c>
      <c r="Q15" s="32">
        <f t="shared" si="8"/>
        <v>12</v>
      </c>
      <c r="R15" s="38">
        <f t="shared" si="9"/>
        <v>12</v>
      </c>
      <c r="S15" s="31">
        <f>IF(ISNUMBER('와이드(실측)'!O15),'와이드(실측)'!O15+와이드제작!AS15+와이드A늘림,0)</f>
        <v>9</v>
      </c>
      <c r="T15" s="31">
        <f>IF(ISNUMBER('와이드(실측)'!P15),'와이드(실측)'!P15+와이드제작!AT15+와이드A늘림,0)</f>
        <v>9</v>
      </c>
      <c r="U15" s="31">
        <f>'와이드(실측)'!Q15-와이드기둥차감</f>
        <v>2096</v>
      </c>
      <c r="V15" s="31">
        <f>'와이드(실측)'!R15-와이드기둥차감</f>
        <v>2091</v>
      </c>
      <c r="W15" s="31">
        <f>'와이드(실측)'!S15-와이드기둥차감</f>
        <v>2096</v>
      </c>
      <c r="X15" s="31">
        <f>'와이드(실측)'!T15-와이드기둥차감</f>
        <v>2090</v>
      </c>
      <c r="Y15" s="31">
        <f>IF(소장="손상민",IF(ISNUMBER('와이드(실측)'!U15),'와이드(실측)'!U15+1.2,0),IF(ISNUMBER('와이드(실측)'!U15),'와이드(실측)'!U15+와이드U,0))</f>
        <v>0</v>
      </c>
      <c r="Z15" s="31">
        <f>IF(소장="손상민",MAX(Q15,R15)+3.2,IF(ISNUMBER('와이드(실측)'!V15),'와이드(실측)'!V15+1.5+와이드제작!Q15+1,0))</f>
        <v>0</v>
      </c>
      <c r="AA15" s="31">
        <f>'와이드(실측)'!W15+뒷날개치수더함</f>
        <v>50</v>
      </c>
      <c r="AB15" s="31">
        <f>'와이드(실측)'!X15+뒷날개치수더함</f>
        <v>30</v>
      </c>
      <c r="AC15" s="31">
        <f>'와이드(실측)'!Y15-와이드늘치</f>
        <v>12</v>
      </c>
      <c r="AD15" s="31">
        <f>IF(와이드JB하부늘치=1,AC15,'와이드(실측)'!Z15-와이드늘치)</f>
        <v>12</v>
      </c>
      <c r="AE15" s="31">
        <f>'와이드(실측)'!AA15-와이드늘치</f>
        <v>11</v>
      </c>
      <c r="AF15" s="31">
        <f>IF(와이드JB하부늘치=1,AE15,'와이드(실측)'!AB15-와이드늘치)</f>
        <v>11</v>
      </c>
      <c r="AG15" s="31">
        <f xml:space="preserve"> IF(소장&lt;&gt;"손상민",IF('와이드(실측)'!AC15&gt;0,'와이드(실측)'!AC15,C15-1.2),IF('와이드(실측)'!AC15&gt;0,'와이드(실측)'!AC15+1.2,C15) )</f>
        <v>196</v>
      </c>
      <c r="AH15" s="31">
        <f xml:space="preserve"> IF(소장&lt;&gt;"손상민",IF('와이드(실측)'!AD15&gt;0,'와이드(실측)'!AD15,D15-1.2),IF('와이드(실측)'!AD15&gt;0,'와이드(실측)'!AD15+1.2,D15))</f>
        <v>196</v>
      </c>
      <c r="AI15" s="51">
        <f t="shared" si="10"/>
        <v>0</v>
      </c>
      <c r="AJ15" s="31" t="str">
        <f t="shared" si="11"/>
        <v>1185*519.6</v>
      </c>
      <c r="AK15" s="31" t="str">
        <f t="shared" si="12"/>
        <v>2292*355.2</v>
      </c>
      <c r="AL15" s="31" t="str">
        <f t="shared" si="13"/>
        <v>2292*355.2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90</v>
      </c>
      <c r="AP15" s="31">
        <f>IF('와이드(실측)'!AH15&gt;5,'와이드(실측)'!AH15+뒷날개치수더함,'와이드(실측)'!AH15)</f>
        <v>20</v>
      </c>
      <c r="AQ15" s="31">
        <f>'와이드(실측)'!AI15</f>
        <v>10</v>
      </c>
      <c r="AR15" s="31">
        <f>'와이드(실측)'!AJ15</f>
        <v>10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2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2</v>
      </c>
      <c r="AU15" s="20">
        <f t="shared" si="14"/>
        <v>9.9756786550646126</v>
      </c>
      <c r="AV15" s="21">
        <f t="shared" si="15"/>
        <v>11.933090082934029</v>
      </c>
      <c r="AW15" s="21">
        <f t="shared" si="16"/>
        <v>11.933090082934029</v>
      </c>
      <c r="AX15" s="21">
        <f>'와이드(실측)'!M15+AS15</f>
        <v>12</v>
      </c>
      <c r="AY15" s="21">
        <f>'와이드(실측)'!N15+AS15</f>
        <v>12</v>
      </c>
      <c r="AZ15" s="20">
        <f t="shared" si="17"/>
        <v>-6.6909917065970603E-2</v>
      </c>
      <c r="BA15" s="41">
        <f t="shared" si="4"/>
        <v>1185</v>
      </c>
      <c r="BB15" s="42">
        <f>MAX(C15,D15)+MAX(G15,H15)+AA15-1.2*$AJ$3+IF(BI15=0,MAX(AE15,AC15),0)+IF(Y15=0,1.2,0)+IF(Z15=0,1.2,0)+IF(소장&lt;&gt;"손상민", Y15+Z15,IF('와이드(실측)'!U15=0,0,2.4))</f>
        <v>519.60000000000014</v>
      </c>
      <c r="BC15" s="41">
        <f t="shared" si="18"/>
        <v>355.2</v>
      </c>
      <c r="BD15" s="41">
        <f t="shared" si="19"/>
        <v>2292</v>
      </c>
      <c r="BE15" s="41">
        <f t="shared" si="20"/>
        <v>355.2</v>
      </c>
      <c r="BF15" s="41">
        <f t="shared" si="21"/>
        <v>2292</v>
      </c>
      <c r="BG15" s="6">
        <f t="shared" si="22"/>
        <v>4</v>
      </c>
      <c r="BH15" s="43" t="str">
        <f t="shared" si="23"/>
        <v/>
      </c>
      <c r="BI15" s="77">
        <f t="shared" si="24"/>
        <v>0</v>
      </c>
    </row>
    <row r="16" spans="1:61" ht="26.25" customHeight="1">
      <c r="A16" s="31">
        <f>'와이드(실측)'!A16</f>
        <v>0</v>
      </c>
      <c r="B16" s="31" t="str">
        <f>'와이드(실측)'!B16&amp;"F"</f>
        <v>3F</v>
      </c>
      <c r="C16" s="31">
        <f>'와이드(실측)'!C16+와이드MH더함-IF(AND(소장="추영덕",Y16=0),1.2)</f>
        <v>207</v>
      </c>
      <c r="D16" s="31">
        <f>'와이드(실측)'!D16+와이드MH더함-IF(AND(소장="추영덕",Y16=0),1.2)</f>
        <v>207</v>
      </c>
      <c r="E16" s="135">
        <f>'와이드(실측)'!E16-와이드OP</f>
        <v>1095</v>
      </c>
      <c r="F16" s="31">
        <f>'와이드(실측)'!F16-와이드R</f>
        <v>1189</v>
      </c>
      <c r="G16" s="50">
        <f>'와이드(실측)'!G16+와이드JBJD키움치수+IF(BI16=1,AC16,0)</f>
        <v>257</v>
      </c>
      <c r="H16" s="50">
        <f>'와이드(실측)'!H16+와이드JBJD키움치수+IF(BI16=1,AE16,0)</f>
        <v>257</v>
      </c>
      <c r="I16" s="50">
        <f>'와이드(실측)'!I16+MAX(AS16,AT16)+와이드JBJD키움치수+IF(BI16=1,AC16,0)</f>
        <v>274</v>
      </c>
      <c r="J16" s="50">
        <f>'와이드(실측)'!I16+MAX(AS16,AT16)+와이드JBJD키움치수+IF(BI16=1,AD16,0)-IF(와이드JB하부늘치=1,'와이드(실측)'!Y16-'와이드(실측)'!Z16,0)</f>
        <v>274</v>
      </c>
      <c r="K16" s="50">
        <f>'와이드(실측)'!J16+MAX(AS16,AT16)+와이드JBJD키움치수+IF(BI16=1,AE16,0)</f>
        <v>274</v>
      </c>
      <c r="L16" s="50">
        <f>'와이드(실측)'!J16+MAX(AS16,AT16)+와이드JBJD키움치수+IF(BI16=1,AF16,0)-IF(와이드JB하부늘치=1,'와이드(실측)'!AA16-'와이드(실측)'!AB16,0)</f>
        <v>274</v>
      </c>
      <c r="M16" s="31">
        <f t="shared" si="6"/>
        <v>38.5</v>
      </c>
      <c r="N16" s="31">
        <f t="shared" si="7"/>
        <v>38.5</v>
      </c>
      <c r="O16" s="31">
        <f>IF(S16&lt;9,'와이드(실측)'!K16+1.2,IF(ISNUMBER('와이드(실측)'!K16),'와이드(실측)'!K16+와이드C값,0))</f>
        <v>40</v>
      </c>
      <c r="P16" s="31">
        <f>IF(T16&lt;9,'와이드(실측)'!L16+1.2,IF(ISNUMBER('와이드(실측)'!L16),'와이드(실측)'!L16+와이드C값,0))</f>
        <v>40</v>
      </c>
      <c r="Q16" s="32">
        <f t="shared" si="8"/>
        <v>12.6</v>
      </c>
      <c r="R16" s="38">
        <f t="shared" si="9"/>
        <v>12.6</v>
      </c>
      <c r="S16" s="31">
        <f>IF(ISNUMBER('와이드(실측)'!O16),'와이드(실측)'!O16+와이드제작!AS16+와이드A늘림,0)</f>
        <v>10</v>
      </c>
      <c r="T16" s="31">
        <f>IF(ISNUMBER('와이드(실측)'!P16),'와이드(실측)'!P16+와이드제작!AT16+와이드A늘림,0)</f>
        <v>9</v>
      </c>
      <c r="U16" s="31">
        <f>'와이드(실측)'!Q16-와이드기둥차감</f>
        <v>2091</v>
      </c>
      <c r="V16" s="31">
        <f>'와이드(실측)'!R16-와이드기둥차감</f>
        <v>2089</v>
      </c>
      <c r="W16" s="31">
        <f>'와이드(실측)'!S16-와이드기둥차감</f>
        <v>2092</v>
      </c>
      <c r="X16" s="31">
        <f>'와이드(실측)'!T16-와이드기둥차감</f>
        <v>2090</v>
      </c>
      <c r="Y16" s="31">
        <f>IF(소장="손상민",IF(ISNUMBER('와이드(실측)'!U16),'와이드(실측)'!U16+1.2,0),IF(ISNUMBER('와이드(실측)'!U16),'와이드(실측)'!U16+와이드U,0))</f>
        <v>0</v>
      </c>
      <c r="Z16" s="31">
        <f>IF(소장="손상민",MAX(Q16,R16)+3.2,IF(ISNUMBER('와이드(실측)'!V16),'와이드(실측)'!V16+1.5+와이드제작!Q16+1,0))</f>
        <v>0</v>
      </c>
      <c r="AA16" s="31">
        <f>'와이드(실측)'!W16+뒷날개치수더함</f>
        <v>50</v>
      </c>
      <c r="AB16" s="31">
        <f>'와이드(실측)'!X16+뒷날개치수더함</f>
        <v>30</v>
      </c>
      <c r="AC16" s="31">
        <f>'와이드(실측)'!Y16-와이드늘치</f>
        <v>12</v>
      </c>
      <c r="AD16" s="31">
        <f>IF(와이드JB하부늘치=1,AC16,'와이드(실측)'!Z16-와이드늘치)</f>
        <v>12</v>
      </c>
      <c r="AE16" s="31">
        <f>'와이드(실측)'!AA16-와이드늘치</f>
        <v>14</v>
      </c>
      <c r="AF16" s="31">
        <f>IF(와이드JB하부늘치=1,AE16,'와이드(실측)'!AB16-와이드늘치)</f>
        <v>14</v>
      </c>
      <c r="AG16" s="31">
        <f xml:space="preserve"> IF(소장&lt;&gt;"손상민",IF('와이드(실측)'!AC16&gt;0,'와이드(실측)'!AC16,C16-1.2),IF('와이드(실측)'!AC16&gt;0,'와이드(실측)'!AC16+1.2,C16) )</f>
        <v>198</v>
      </c>
      <c r="AH16" s="31">
        <f xml:space="preserve"> IF(소장&lt;&gt;"손상민",IF('와이드(실측)'!AD16&gt;0,'와이드(실측)'!AD16,D16-1.2),IF('와이드(실측)'!AD16&gt;0,'와이드(실측)'!AD16+1.2,D16))</f>
        <v>194</v>
      </c>
      <c r="AI16" s="51">
        <f t="shared" si="10"/>
        <v>0</v>
      </c>
      <c r="AJ16" s="31" t="str">
        <f t="shared" si="11"/>
        <v>1189*525.6</v>
      </c>
      <c r="AK16" s="31" t="str">
        <f t="shared" si="12"/>
        <v>2289*361.2</v>
      </c>
      <c r="AL16" s="31" t="str">
        <f t="shared" si="13"/>
        <v>2286*362.2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90</v>
      </c>
      <c r="AP16" s="31">
        <f>IF('와이드(실측)'!AH16&gt;5,'와이드(실측)'!AH16+뒷날개치수더함,'와이드(실측)'!AH16)</f>
        <v>20</v>
      </c>
      <c r="AQ16" s="31">
        <f>'와이드(실측)'!AI16</f>
        <v>10</v>
      </c>
      <c r="AR16" s="31">
        <f>'와이드(실측)'!AJ16</f>
        <v>10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2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2</v>
      </c>
      <c r="AU16" s="20">
        <f t="shared" si="14"/>
        <v>10.363691822447102</v>
      </c>
      <c r="AV16" s="21">
        <f t="shared" si="15"/>
        <v>12.529872978032358</v>
      </c>
      <c r="AW16" s="21">
        <f t="shared" si="16"/>
        <v>12.529872978032358</v>
      </c>
      <c r="AX16" s="21">
        <f>'와이드(실측)'!M16+AS16</f>
        <v>12</v>
      </c>
      <c r="AY16" s="21">
        <f>'와이드(실측)'!N16+AS16</f>
        <v>12</v>
      </c>
      <c r="AZ16" s="20">
        <f t="shared" si="17"/>
        <v>0.52987297803235833</v>
      </c>
      <c r="BA16" s="41">
        <f t="shared" si="4"/>
        <v>1189</v>
      </c>
      <c r="BB16" s="42">
        <f>MAX(C16,D16)+MAX(G16,H16)+AA16-1.2*$AJ$3+IF(BI16=0,MAX(AE16,AC16),0)+IF(Y16=0,1.2,0)+IF(Z16=0,1.2,0)+IF(소장&lt;&gt;"손상민", Y16+Z16,IF('와이드(실측)'!U16=0,0,2.4))</f>
        <v>525.60000000000014</v>
      </c>
      <c r="BC16" s="41">
        <f t="shared" si="18"/>
        <v>361.2</v>
      </c>
      <c r="BD16" s="41">
        <f t="shared" si="19"/>
        <v>2289</v>
      </c>
      <c r="BE16" s="41">
        <f t="shared" si="20"/>
        <v>362.2</v>
      </c>
      <c r="BF16" s="41">
        <f t="shared" si="21"/>
        <v>2286</v>
      </c>
      <c r="BG16" s="6">
        <f t="shared" si="22"/>
        <v>4.4000000000000004</v>
      </c>
      <c r="BH16" s="43" t="str">
        <f t="shared" si="23"/>
        <v/>
      </c>
      <c r="BI16" s="77">
        <f t="shared" si="24"/>
        <v>0</v>
      </c>
    </row>
    <row r="17" spans="1:61" ht="26.25" customHeight="1">
      <c r="A17" s="31">
        <f>'와이드(실측)'!A17</f>
        <v>0</v>
      </c>
      <c r="B17" s="31" t="str">
        <f>'와이드(실측)'!B17&amp;"F"</f>
        <v>2F</v>
      </c>
      <c r="C17" s="31">
        <f>'와이드(실측)'!C17+와이드MH더함-IF(AND(소장="추영덕",Y17=0),1.2)</f>
        <v>215</v>
      </c>
      <c r="D17" s="31">
        <f>'와이드(실측)'!D17+와이드MH더함-IF(AND(소장="추영덕",Y17=0),1.2)</f>
        <v>215</v>
      </c>
      <c r="E17" s="135">
        <f>'와이드(실측)'!E17-와이드OP</f>
        <v>1096</v>
      </c>
      <c r="F17" s="31">
        <f>'와이드(실측)'!F17-와이드R</f>
        <v>1190</v>
      </c>
      <c r="G17" s="50">
        <f>'와이드(실측)'!G17+와이드JBJD키움치수+IF(BI17=1,AC17,0)</f>
        <v>263</v>
      </c>
      <c r="H17" s="50">
        <f>'와이드(실측)'!H17+와이드JBJD키움치수+IF(BI17=1,AE17,0)</f>
        <v>263</v>
      </c>
      <c r="I17" s="50">
        <f>'와이드(실측)'!I17+MAX(AS17,AT17)+와이드JBJD키움치수+IF(BI17=1,AC17,0)</f>
        <v>278</v>
      </c>
      <c r="J17" s="50">
        <f>'와이드(실측)'!I17+MAX(AS17,AT17)+와이드JBJD키움치수+IF(BI17=1,AD17,0)-IF(와이드JB하부늘치=1,'와이드(실측)'!Y17-'와이드(실측)'!Z17,0)</f>
        <v>281</v>
      </c>
      <c r="K17" s="50">
        <f>'와이드(실측)'!J17+MAX(AS17,AT17)+와이드JBJD키움치수+IF(BI17=1,AE17,0)</f>
        <v>278</v>
      </c>
      <c r="L17" s="50">
        <f>'와이드(실측)'!J17+MAX(AS17,AT17)+와이드JBJD키움치수+IF(BI17=1,AF17,0)-IF(와이드JB하부늘치=1,'와이드(실측)'!AA17-'와이드(실측)'!AB17,0)</f>
        <v>278</v>
      </c>
      <c r="M17" s="31">
        <f t="shared" si="6"/>
        <v>38.5</v>
      </c>
      <c r="N17" s="31">
        <f t="shared" si="7"/>
        <v>38.5</v>
      </c>
      <c r="O17" s="31">
        <f>IF(S17&lt;9,'와이드(실측)'!K17+1.2,IF(ISNUMBER('와이드(실측)'!K17),'와이드(실측)'!K17+와이드C값,0))</f>
        <v>40</v>
      </c>
      <c r="P17" s="31">
        <f>IF(T17&lt;9,'와이드(실측)'!L17+1.2,IF(ISNUMBER('와이드(실측)'!L17),'와이드(실측)'!L17+와이드C값,0))</f>
        <v>40</v>
      </c>
      <c r="Q17" s="32">
        <f t="shared" si="8"/>
        <v>10.7</v>
      </c>
      <c r="R17" s="38">
        <f t="shared" si="9"/>
        <v>10.7</v>
      </c>
      <c r="S17" s="31">
        <f>IF(ISNUMBER('와이드(실측)'!O17),'와이드(실측)'!O17+와이드제작!AS17+와이드A늘림,0)</f>
        <v>9</v>
      </c>
      <c r="T17" s="31">
        <f>IF(ISNUMBER('와이드(실측)'!P17),'와이드(실측)'!P17+와이드제작!AT17+와이드A늘림,0)</f>
        <v>9</v>
      </c>
      <c r="U17" s="31">
        <f>'와이드(실측)'!Q17-와이드기둥차감</f>
        <v>2098</v>
      </c>
      <c r="V17" s="31">
        <f>'와이드(실측)'!R17-와이드기둥차감</f>
        <v>2092</v>
      </c>
      <c r="W17" s="31">
        <f>'와이드(실측)'!S17-와이드기둥차감</f>
        <v>2099</v>
      </c>
      <c r="X17" s="31">
        <f>'와이드(실측)'!T17-와이드기둥차감</f>
        <v>2091</v>
      </c>
      <c r="Y17" s="31">
        <f>IF(소장="손상민",IF(ISNUMBER('와이드(실측)'!U17),'와이드(실측)'!U17+1.2,0),IF(ISNUMBER('와이드(실측)'!U17),'와이드(실측)'!U17+와이드U,0))</f>
        <v>0</v>
      </c>
      <c r="Z17" s="31">
        <f>IF(소장="손상민",MAX(Q17,R17)+3.2,IF(ISNUMBER('와이드(실측)'!V17),'와이드(실측)'!V17+1.5+와이드제작!Q17+1,0))</f>
        <v>0</v>
      </c>
      <c r="AA17" s="31">
        <f>'와이드(실측)'!W17+뒷날개치수더함</f>
        <v>50</v>
      </c>
      <c r="AB17" s="31">
        <f>'와이드(실측)'!X17+뒷날개치수더함</f>
        <v>30</v>
      </c>
      <c r="AC17" s="31">
        <f>'와이드(실측)'!Y17-와이드늘치</f>
        <v>10</v>
      </c>
      <c r="AD17" s="31">
        <f>IF(와이드JB하부늘치=1,AC17,'와이드(실측)'!Z17-와이드늘치)</f>
        <v>10</v>
      </c>
      <c r="AE17" s="31">
        <f>'와이드(실측)'!AA17-와이드늘치</f>
        <v>12</v>
      </c>
      <c r="AF17" s="31">
        <f>IF(와이드JB하부늘치=1,AE17,'와이드(실측)'!AB17-와이드늘치)</f>
        <v>12</v>
      </c>
      <c r="AG17" s="31">
        <f xml:space="preserve"> IF(소장&lt;&gt;"손상민",IF('와이드(실측)'!AC17&gt;0,'와이드(실측)'!AC17,C17-1.2),IF('와이드(실측)'!AC17&gt;0,'와이드(실측)'!AC17+1.2,C17) )</f>
        <v>204</v>
      </c>
      <c r="AH17" s="31">
        <f xml:space="preserve"> IF(소장&lt;&gt;"손상민",IF('와이드(실측)'!AD17&gt;0,'와이드(실측)'!AD17,D17-1.2),IF('와이드(실측)'!AD17&gt;0,'와이드(실측)'!AD17+1.2,D17))</f>
        <v>204</v>
      </c>
      <c r="AI17" s="51">
        <f t="shared" si="10"/>
        <v>0</v>
      </c>
      <c r="AJ17" s="31" t="str">
        <f t="shared" si="11"/>
        <v>1190*537.6</v>
      </c>
      <c r="AK17" s="31" t="str">
        <f t="shared" si="12"/>
        <v>2302*365.2</v>
      </c>
      <c r="AL17" s="31" t="str">
        <f t="shared" si="13"/>
        <v>2303*364.2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90</v>
      </c>
      <c r="AP17" s="31">
        <f>IF('와이드(실측)'!AH17&gt;5,'와이드(실측)'!AH17+뒷날개치수더함,'와이드(실측)'!AH17)</f>
        <v>20</v>
      </c>
      <c r="AQ17" s="31">
        <f>'와이드(실측)'!AI17</f>
        <v>10</v>
      </c>
      <c r="AR17" s="31">
        <f>'와이드(실측)'!AJ17</f>
        <v>10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1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1</v>
      </c>
      <c r="AU17" s="20">
        <f t="shared" si="14"/>
        <v>10.132211565804758</v>
      </c>
      <c r="AV17" s="21">
        <f t="shared" si="15"/>
        <v>10.664432539047596</v>
      </c>
      <c r="AW17" s="21">
        <f t="shared" si="16"/>
        <v>10.664432539047596</v>
      </c>
      <c r="AX17" s="21">
        <f>'와이드(실측)'!M17+AS17</f>
        <v>11</v>
      </c>
      <c r="AY17" s="21">
        <f>'와이드(실측)'!N17+AS17</f>
        <v>11</v>
      </c>
      <c r="AZ17" s="20">
        <f t="shared" si="17"/>
        <v>-0.33556746095240442</v>
      </c>
      <c r="BA17" s="41">
        <f t="shared" si="4"/>
        <v>1190</v>
      </c>
      <c r="BB17" s="42">
        <f>MAX(C17,D17)+MAX(G17,H17)+AA17-1.2*$AJ$3+IF(BI17=0,MAX(AE17,AC17),0)+IF(Y17=0,1.2,0)+IF(Z17=0,1.2,0)+IF(소장&lt;&gt;"손상민", Y17+Z17,IF('와이드(실측)'!U17=0,0,2.4))</f>
        <v>537.60000000000014</v>
      </c>
      <c r="BC17" s="41">
        <f t="shared" si="18"/>
        <v>365.2</v>
      </c>
      <c r="BD17" s="41">
        <f t="shared" si="19"/>
        <v>2302</v>
      </c>
      <c r="BE17" s="41">
        <f t="shared" si="20"/>
        <v>364.2</v>
      </c>
      <c r="BF17" s="41">
        <f t="shared" si="21"/>
        <v>2303</v>
      </c>
      <c r="BG17" s="6">
        <f t="shared" si="22"/>
        <v>4.3000000000000007</v>
      </c>
      <c r="BH17" s="43" t="str">
        <f t="shared" si="23"/>
        <v/>
      </c>
      <c r="BI17" s="77">
        <f t="shared" si="24"/>
        <v>0</v>
      </c>
    </row>
    <row r="18" spans="1:61" ht="26.25" customHeight="1">
      <c r="A18" s="31">
        <f>'와이드(실측)'!A18</f>
        <v>0</v>
      </c>
      <c r="B18" s="31" t="str">
        <f>'와이드(실측)'!B18&amp;"F"</f>
        <v>B1F</v>
      </c>
      <c r="C18" s="31">
        <f>'와이드(실측)'!C18+와이드MH더함-IF(AND(소장="추영덕",Y18=0),1.2)</f>
        <v>364</v>
      </c>
      <c r="D18" s="31">
        <f>'와이드(실측)'!D18+와이드MH더함-IF(AND(소장="추영덕",Y18=0),1.2)</f>
        <v>364</v>
      </c>
      <c r="E18" s="135">
        <f>'와이드(실측)'!E18-와이드OP</f>
        <v>1095</v>
      </c>
      <c r="F18" s="31">
        <f>'와이드(실측)'!F18-와이드R</f>
        <v>1235</v>
      </c>
      <c r="G18" s="50">
        <f>'와이드(실측)'!G18+와이드JBJD키움치수+IF(BI18=1,AC18,0)</f>
        <v>265</v>
      </c>
      <c r="H18" s="50">
        <f>'와이드(실측)'!H18+와이드JBJD키움치수+IF(BI18=1,AE18,0)</f>
        <v>265</v>
      </c>
      <c r="I18" s="50">
        <f>'와이드(실측)'!I18+MAX(AS18,AT18)+와이드JBJD키움치수+IF(BI18=1,AC18,0)</f>
        <v>283</v>
      </c>
      <c r="J18" s="50">
        <f>'와이드(실측)'!I18+MAX(AS18,AT18)+와이드JBJD키움치수+IF(BI18=1,AD18,0)-IF(와이드JB하부늘치=1,'와이드(실측)'!Y18-'와이드(실측)'!Z18,0)</f>
        <v>282</v>
      </c>
      <c r="K18" s="50">
        <f>'와이드(실측)'!J18+MAX(AS18,AT18)+와이드JBJD키움치수+IF(BI18=1,AE18,0)</f>
        <v>283</v>
      </c>
      <c r="L18" s="50">
        <f>'와이드(실측)'!J18+MAX(AS18,AT18)+와이드JBJD키움치수+IF(BI18=1,AF18,0)-IF(와이드JB하부늘치=1,'와이드(실측)'!AA18-'와이드(실측)'!AB18,0)</f>
        <v>284</v>
      </c>
      <c r="M18" s="31">
        <f t="shared" si="6"/>
        <v>38.5</v>
      </c>
      <c r="N18" s="31">
        <f t="shared" si="7"/>
        <v>38.5</v>
      </c>
      <c r="O18" s="31">
        <f>IF(S18&lt;9,'와이드(실측)'!K18+1.2,IF(ISNUMBER('와이드(실측)'!K18),'와이드(실측)'!K18+와이드C값,0))</f>
        <v>40</v>
      </c>
      <c r="P18" s="31">
        <f>IF(T18&lt;9,'와이드(실측)'!L18+1.2,IF(ISNUMBER('와이드(실측)'!L18),'와이드(실측)'!L18+와이드C값,0))</f>
        <v>40</v>
      </c>
      <c r="Q18" s="32">
        <f t="shared" si="8"/>
        <v>8.6999999999999993</v>
      </c>
      <c r="R18" s="38">
        <f t="shared" si="9"/>
        <v>8.6999999999999993</v>
      </c>
      <c r="S18" s="31">
        <f>IF(ISNUMBER('와이드(실측)'!O18),'와이드(실측)'!O18+와이드제작!AS18+와이드A늘림,0)</f>
        <v>9</v>
      </c>
      <c r="T18" s="31">
        <f>IF(ISNUMBER('와이드(실측)'!P18),'와이드(실측)'!P18+와이드제작!AT18+와이드A늘림,0)</f>
        <v>9</v>
      </c>
      <c r="U18" s="31">
        <f>'와이드(실측)'!Q18-와이드기둥차감</f>
        <v>2100</v>
      </c>
      <c r="V18" s="31">
        <f>'와이드(실측)'!R18-와이드기둥차감</f>
        <v>2092</v>
      </c>
      <c r="W18" s="31">
        <f>'와이드(실측)'!S18-와이드기둥차감</f>
        <v>2091</v>
      </c>
      <c r="X18" s="31">
        <f>'와이드(실측)'!T18-와이드기둥차감</f>
        <v>2088</v>
      </c>
      <c r="Y18" s="31">
        <f>IF(소장="손상민",IF(ISNUMBER('와이드(실측)'!U18),'와이드(실측)'!U18+1.2,0),IF(ISNUMBER('와이드(실측)'!U18),'와이드(실측)'!U18+와이드U,0))</f>
        <v>0</v>
      </c>
      <c r="Z18" s="31">
        <f>IF(소장="손상민",MAX(Q18,R18)+3.2,IF(ISNUMBER('와이드(실측)'!V18),'와이드(실측)'!V18+1.5+와이드제작!Q18+1,0))</f>
        <v>0</v>
      </c>
      <c r="AA18" s="31">
        <f>'와이드(실측)'!W18+뒷날개치수더함</f>
        <v>50</v>
      </c>
      <c r="AB18" s="31">
        <f>'와이드(실측)'!X18+뒷날개치수더함</f>
        <v>30</v>
      </c>
      <c r="AC18" s="31">
        <f>'와이드(실측)'!Y18-와이드늘치</f>
        <v>134</v>
      </c>
      <c r="AD18" s="31">
        <f>IF(와이드JB하부늘치=1,AC18,'와이드(실측)'!Z18-와이드늘치)</f>
        <v>134</v>
      </c>
      <c r="AE18" s="31">
        <f>'와이드(실측)'!AA18-와이드늘치</f>
        <v>133</v>
      </c>
      <c r="AF18" s="31">
        <f>IF(와이드JB하부늘치=1,AE18,'와이드(실측)'!AB18-와이드늘치)</f>
        <v>133</v>
      </c>
      <c r="AG18" s="31">
        <f xml:space="preserve"> IF(소장&lt;&gt;"손상민",IF('와이드(실측)'!AC18&gt;0,'와이드(실측)'!AC18,C18-1.2),IF('와이드(실측)'!AC18&gt;0,'와이드(실측)'!AC18+1.2,C18) )</f>
        <v>351</v>
      </c>
      <c r="AH18" s="31">
        <f xml:space="preserve"> IF(소장&lt;&gt;"손상민",IF('와이드(실측)'!AD18&gt;0,'와이드(실측)'!AD18,D18-1.2),IF('와이드(실측)'!AD18&gt;0,'와이드(실측)'!AD18+1.2,D18))</f>
        <v>353</v>
      </c>
      <c r="AI18" s="51">
        <f t="shared" si="10"/>
        <v>0</v>
      </c>
      <c r="AJ18" s="31" t="str">
        <f t="shared" si="11"/>
        <v>1235*810.6</v>
      </c>
      <c r="AK18" s="31" t="str">
        <f t="shared" si="12"/>
        <v>2451*491.2</v>
      </c>
      <c r="AL18" s="31" t="str">
        <f t="shared" si="13"/>
        <v>2444*491.2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90</v>
      </c>
      <c r="AP18" s="31">
        <f>IF('와이드(실측)'!AH18&gt;5,'와이드(실측)'!AH18+뒷날개치수더함,'와이드(실측)'!AH18)</f>
        <v>20</v>
      </c>
      <c r="AQ18" s="31">
        <f>'와이드(실측)'!AI18</f>
        <v>10</v>
      </c>
      <c r="AR18" s="31">
        <f>'와이드(실측)'!AJ18</f>
        <v>10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2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2</v>
      </c>
      <c r="AU18" s="20">
        <f t="shared" si="14"/>
        <v>14.796762245057346</v>
      </c>
      <c r="AV18" s="21">
        <f t="shared" si="15"/>
        <v>8.6151036737604159</v>
      </c>
      <c r="AW18" s="21">
        <f t="shared" si="16"/>
        <v>8.6151036737604159</v>
      </c>
      <c r="AX18" s="21">
        <f>'와이드(실측)'!M18+AS18</f>
        <v>10</v>
      </c>
      <c r="AY18" s="21">
        <f>'와이드(실측)'!N18+AS18</f>
        <v>10</v>
      </c>
      <c r="AZ18" s="20">
        <f t="shared" si="17"/>
        <v>-1.3848963262395841</v>
      </c>
      <c r="BA18" s="41">
        <f t="shared" si="4"/>
        <v>1235</v>
      </c>
      <c r="BB18" s="42">
        <f>MAX(C18,D18)+MAX(G18,H18)+AA18-1.2*$AJ$3+IF(BI18=0,MAX(AE18,AC18),0)+IF(Y18=0,1.2,0)+IF(Z18=0,1.2,0)+IF(소장&lt;&gt;"손상민", Y18+Z18,IF('와이드(실측)'!U18=0,0,2.4))</f>
        <v>810.60000000000014</v>
      </c>
      <c r="BC18" s="41">
        <f t="shared" si="18"/>
        <v>491.2</v>
      </c>
      <c r="BD18" s="41">
        <f t="shared" si="19"/>
        <v>2451</v>
      </c>
      <c r="BE18" s="41">
        <f t="shared" si="20"/>
        <v>491.2</v>
      </c>
      <c r="BF18" s="41">
        <f t="shared" si="21"/>
        <v>2444</v>
      </c>
      <c r="BG18" s="6">
        <f t="shared" si="22"/>
        <v>9.3000000000000007</v>
      </c>
      <c r="BH18" s="43" t="str">
        <f t="shared" si="23"/>
        <v/>
      </c>
      <c r="BI18" s="77">
        <f t="shared" si="24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8">
    <cfRule type="cellIs" dxfId="85" priority="52" operator="greaterThan">
      <formula>3</formula>
    </cfRule>
  </conditionalFormatting>
  <conditionalFormatting sqref="F7:F18">
    <cfRule type="cellIs" dxfId="84" priority="39" operator="greaterThan">
      <formula>1210</formula>
    </cfRule>
  </conditionalFormatting>
  <conditionalFormatting sqref="I7:L18 C7:D18">
    <cfRule type="cellIs" dxfId="83" priority="38" operator="greaterThan">
      <formula>500</formula>
    </cfRule>
  </conditionalFormatting>
  <conditionalFormatting sqref="C7:D18">
    <cfRule type="cellIs" dxfId="82" priority="36" operator="notEqual">
      <formula>$D7</formula>
    </cfRule>
  </conditionalFormatting>
  <conditionalFormatting sqref="D7:D18">
    <cfRule type="cellIs" dxfId="81" priority="35" operator="notEqual">
      <formula>$C7</formula>
    </cfRule>
  </conditionalFormatting>
  <conditionalFormatting sqref="AO7:AR18">
    <cfRule type="cellIs" dxfId="80" priority="17" operator="greaterThan">
      <formula>1.2</formula>
    </cfRule>
  </conditionalFormatting>
  <conditionalFormatting sqref="AO7:AO18">
    <cfRule type="cellIs" dxfId="79" priority="16" operator="greaterThan">
      <formula>0</formula>
    </cfRule>
  </conditionalFormatting>
  <conditionalFormatting sqref="G7:G18">
    <cfRule type="cellIs" dxfId="78" priority="14" operator="notEqual">
      <formula>H7</formula>
    </cfRule>
  </conditionalFormatting>
  <conditionalFormatting sqref="H7:H18">
    <cfRule type="cellIs" dxfId="77" priority="13" operator="notEqual">
      <formula>G7</formula>
    </cfRule>
  </conditionalFormatting>
  <conditionalFormatting sqref="I7:I18">
    <cfRule type="cellIs" dxfId="76" priority="12" operator="notEqual">
      <formula>J7</formula>
    </cfRule>
  </conditionalFormatting>
  <conditionalFormatting sqref="J7:J18">
    <cfRule type="cellIs" dxfId="75" priority="11" operator="notEqual">
      <formula>I7</formula>
    </cfRule>
  </conditionalFormatting>
  <conditionalFormatting sqref="K7:K18">
    <cfRule type="cellIs" dxfId="74" priority="10" operator="notEqual">
      <formula>L7</formula>
    </cfRule>
  </conditionalFormatting>
  <conditionalFormatting sqref="L7:L18">
    <cfRule type="cellIs" dxfId="73" priority="9" operator="notEqual">
      <formula>K7</formula>
    </cfRule>
  </conditionalFormatting>
  <conditionalFormatting sqref="AG7:AG18">
    <cfRule type="cellIs" dxfId="72" priority="8" operator="notEqual">
      <formula>AH7</formula>
    </cfRule>
  </conditionalFormatting>
  <conditionalFormatting sqref="AH7:AH18">
    <cfRule type="cellIs" dxfId="71" priority="7" operator="notEqual">
      <formula>AG7</formula>
    </cfRule>
  </conditionalFormatting>
  <conditionalFormatting sqref="AC7:AF18">
    <cfRule type="expression" dxfId="70" priority="6">
      <formula>$BI7</formula>
    </cfRule>
  </conditionalFormatting>
  <conditionalFormatting sqref="Y7:Y18">
    <cfRule type="expression" dxfId="69" priority="2">
      <formula>소장="손상민"</formula>
    </cfRule>
  </conditionalFormatting>
  <conditionalFormatting sqref="Z7:Z18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activeCell="Y7" sqref="Y7:AA9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65" t="str">
        <f>정보!B3</f>
        <v>(멍텅구리) 실측서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서울 강남구 두산위브센티움,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>
      <c r="A4" s="163" t="str">
        <f>정보!B11</f>
        <v>제작치수 반영 : JB/JD +(5 ),  늘어난치수K -(0),  C + (0),  U +(0), OP - (3), R - (2),  기둥차감 - (0), 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>
      <c r="A7" s="127"/>
      <c r="B7" s="4" t="s">
        <v>341</v>
      </c>
      <c r="C7" s="4">
        <v>1099</v>
      </c>
      <c r="D7" s="4">
        <v>1200</v>
      </c>
      <c r="E7" s="4">
        <v>272</v>
      </c>
      <c r="F7" s="4">
        <v>272</v>
      </c>
      <c r="G7" s="4">
        <v>273</v>
      </c>
      <c r="H7" s="4">
        <v>273</v>
      </c>
      <c r="I7" s="4">
        <v>60</v>
      </c>
      <c r="J7" s="4">
        <v>60</v>
      </c>
      <c r="K7" s="4">
        <v>4</v>
      </c>
      <c r="L7" s="4">
        <v>4</v>
      </c>
      <c r="M7" s="4">
        <v>2094</v>
      </c>
      <c r="N7" s="4">
        <v>2090</v>
      </c>
      <c r="O7" s="4">
        <v>2092</v>
      </c>
      <c r="P7" s="4">
        <v>2091</v>
      </c>
      <c r="Q7" s="4">
        <v>60</v>
      </c>
      <c r="R7" s="4">
        <v>9</v>
      </c>
      <c r="S7" s="4">
        <v>50</v>
      </c>
      <c r="T7" s="4">
        <v>30</v>
      </c>
      <c r="U7" s="4">
        <v>133</v>
      </c>
      <c r="V7" s="4">
        <v>134</v>
      </c>
      <c r="W7" s="4">
        <v>133</v>
      </c>
      <c r="X7" s="4">
        <v>135</v>
      </c>
      <c r="Y7" s="4">
        <v>20</v>
      </c>
      <c r="Z7" s="4">
        <v>10</v>
      </c>
      <c r="AA7" s="4">
        <v>10</v>
      </c>
      <c r="AB7" s="4"/>
      <c r="AC7" s="4"/>
      <c r="AD7" s="4"/>
      <c r="AE7" s="55"/>
      <c r="AF7" s="3">
        <f t="shared" ref="AF7:AI11" si="0">U7+$AE7</f>
        <v>133</v>
      </c>
      <c r="AG7" s="3">
        <f t="shared" si="0"/>
        <v>134</v>
      </c>
      <c r="AH7" s="3">
        <f t="shared" si="0"/>
        <v>133</v>
      </c>
      <c r="AI7" s="3">
        <f t="shared" si="0"/>
        <v>135</v>
      </c>
      <c r="AJ7" s="3">
        <f t="shared" ref="AJ7:AM11" si="1">E7-$AE7</f>
        <v>272</v>
      </c>
      <c r="AK7" s="3">
        <f t="shared" si="1"/>
        <v>272</v>
      </c>
      <c r="AL7" s="3">
        <f t="shared" si="1"/>
        <v>273</v>
      </c>
      <c r="AM7" s="3">
        <f t="shared" si="1"/>
        <v>273</v>
      </c>
    </row>
    <row r="8" spans="1:39" ht="27" customHeight="1">
      <c r="A8" s="127"/>
      <c r="B8" s="4" t="s">
        <v>342</v>
      </c>
      <c r="C8" s="4">
        <v>1097</v>
      </c>
      <c r="D8" s="4">
        <v>1194</v>
      </c>
      <c r="E8" s="4">
        <v>258</v>
      </c>
      <c r="F8" s="4">
        <v>258</v>
      </c>
      <c r="G8" s="4">
        <v>258</v>
      </c>
      <c r="H8" s="4">
        <v>258</v>
      </c>
      <c r="I8" s="4">
        <v>60</v>
      </c>
      <c r="J8" s="4">
        <v>60</v>
      </c>
      <c r="K8" s="4">
        <v>5</v>
      </c>
      <c r="L8" s="4">
        <v>3</v>
      </c>
      <c r="M8" s="4">
        <v>2105</v>
      </c>
      <c r="N8" s="4">
        <v>2093</v>
      </c>
      <c r="O8" s="4">
        <v>2096</v>
      </c>
      <c r="P8" s="4">
        <v>2093</v>
      </c>
      <c r="Q8" s="4">
        <v>60</v>
      </c>
      <c r="R8" s="4">
        <v>9</v>
      </c>
      <c r="S8" s="4">
        <v>50</v>
      </c>
      <c r="T8" s="4">
        <v>30</v>
      </c>
      <c r="U8" s="4">
        <v>133</v>
      </c>
      <c r="V8" s="4">
        <v>135</v>
      </c>
      <c r="W8" s="4">
        <v>134</v>
      </c>
      <c r="X8" s="4">
        <v>135</v>
      </c>
      <c r="Y8" s="4">
        <v>20</v>
      </c>
      <c r="Z8" s="4">
        <v>10</v>
      </c>
      <c r="AA8" s="4">
        <v>10</v>
      </c>
      <c r="AB8" s="4"/>
      <c r="AC8" s="4"/>
      <c r="AD8" s="4"/>
      <c r="AE8" s="55"/>
      <c r="AF8" s="3">
        <f t="shared" si="0"/>
        <v>133</v>
      </c>
      <c r="AG8" s="3">
        <f t="shared" si="0"/>
        <v>135</v>
      </c>
      <c r="AH8" s="3">
        <f t="shared" si="0"/>
        <v>134</v>
      </c>
      <c r="AI8" s="3">
        <f t="shared" si="0"/>
        <v>135</v>
      </c>
      <c r="AJ8" s="3">
        <f t="shared" si="1"/>
        <v>258</v>
      </c>
      <c r="AK8" s="3">
        <f t="shared" si="1"/>
        <v>258</v>
      </c>
      <c r="AL8" s="3">
        <f t="shared" si="1"/>
        <v>258</v>
      </c>
      <c r="AM8" s="3">
        <f t="shared" si="1"/>
        <v>258</v>
      </c>
    </row>
    <row r="9" spans="1:39" ht="27" customHeight="1">
      <c r="A9" s="127"/>
      <c r="B9" s="4" t="s">
        <v>343</v>
      </c>
      <c r="C9" s="4">
        <v>1099</v>
      </c>
      <c r="D9" s="4">
        <v>1204</v>
      </c>
      <c r="E9" s="4">
        <v>306</v>
      </c>
      <c r="F9" s="4">
        <v>306</v>
      </c>
      <c r="G9" s="4">
        <v>308</v>
      </c>
      <c r="H9" s="4">
        <v>302</v>
      </c>
      <c r="I9" s="4">
        <v>60</v>
      </c>
      <c r="J9" s="4">
        <v>60</v>
      </c>
      <c r="K9" s="4">
        <v>4</v>
      </c>
      <c r="L9" s="4">
        <v>3</v>
      </c>
      <c r="M9" s="4">
        <v>2102</v>
      </c>
      <c r="N9" s="4">
        <v>2089</v>
      </c>
      <c r="O9" s="4">
        <v>2106</v>
      </c>
      <c r="P9" s="4">
        <v>2089</v>
      </c>
      <c r="Q9" s="4">
        <v>60</v>
      </c>
      <c r="R9" s="4">
        <v>9</v>
      </c>
      <c r="S9" s="4">
        <v>50</v>
      </c>
      <c r="T9" s="4">
        <v>30</v>
      </c>
      <c r="U9" s="4">
        <v>134</v>
      </c>
      <c r="V9" s="4">
        <v>133</v>
      </c>
      <c r="W9" s="4">
        <v>134</v>
      </c>
      <c r="X9" s="4">
        <v>133</v>
      </c>
      <c r="Y9" s="4">
        <v>20</v>
      </c>
      <c r="Z9" s="4">
        <v>10</v>
      </c>
      <c r="AA9" s="4">
        <v>10</v>
      </c>
      <c r="AB9" s="4"/>
      <c r="AC9" s="4"/>
      <c r="AD9" s="4"/>
      <c r="AF9" s="3">
        <f t="shared" si="0"/>
        <v>134</v>
      </c>
      <c r="AG9" s="3">
        <f t="shared" si="0"/>
        <v>133</v>
      </c>
      <c r="AH9" s="3">
        <f t="shared" si="0"/>
        <v>134</v>
      </c>
      <c r="AI9" s="3">
        <f t="shared" si="0"/>
        <v>133</v>
      </c>
      <c r="AJ9" s="3">
        <f t="shared" si="1"/>
        <v>306</v>
      </c>
      <c r="AK9" s="3">
        <f t="shared" si="1"/>
        <v>306</v>
      </c>
      <c r="AL9" s="3">
        <f t="shared" si="1"/>
        <v>308</v>
      </c>
      <c r="AM9" s="3">
        <f t="shared" si="1"/>
        <v>302</v>
      </c>
    </row>
    <row r="10" spans="1:39" ht="27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  <mergeCell ref="N5:N6"/>
    <mergeCell ref="J5:J6"/>
    <mergeCell ref="O5:O6"/>
    <mergeCell ref="R5:R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9"/>
  <sheetViews>
    <sheetView zoomScale="85" zoomScaleNormal="85" workbookViewId="0">
      <selection activeCell="B7" sqref="B7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65" t="str">
        <f>정보!C3</f>
        <v>(멍텅구리) 제작변환 자료(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>
      <c r="A2" s="23" t="s">
        <v>85</v>
      </c>
      <c r="B2" s="49">
        <v>3</v>
      </c>
      <c r="C2" s="22" t="s">
        <v>86</v>
      </c>
      <c r="D2" s="48">
        <v>2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9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>
      <c r="A3" s="33" t="str">
        <f>'멍텅(실측)'!A3</f>
        <v>현장명 : 서울 강남구 두산위브센티움,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0</v>
      </c>
      <c r="T3" s="266"/>
      <c r="U3" s="261" t="s">
        <v>78</v>
      </c>
      <c r="V3" s="261"/>
      <c r="W3" s="254">
        <v>3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>
        <f>AN7</f>
        <v>10.359052488083712</v>
      </c>
      <c r="AJ3" s="229"/>
      <c r="AK3" s="25"/>
      <c r="AL3" s="25"/>
      <c r="AM3" s="24"/>
      <c r="AR3" s="24"/>
    </row>
    <row r="4" spans="1:53" ht="33" customHeight="1">
      <c r="A4" s="277" t="str">
        <f>'멍텅(실측)'!A4:Y4</f>
        <v>제작치수 반영 : JB/JD +(5 ),  늘어난치수K -(0),  C + (0),  U +(0), OP - (3), R - (2),  기둥차감 - (0),  A + (3)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133</v>
      </c>
      <c r="AB4" s="276"/>
      <c r="AC4" s="9"/>
      <c r="AD4" s="222">
        <f ca="1">TODAY()</f>
        <v>45287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>
      <c r="A7" s="4">
        <f>'멍텅(실측)'!A7</f>
        <v>0</v>
      </c>
      <c r="B7" s="4" t="str">
        <f>'멍텅(실측)'!B7&amp;"F"</f>
        <v>B2F</v>
      </c>
      <c r="C7" s="4">
        <f>'멍텅(실측)'!C7-멍텅OP</f>
        <v>1096</v>
      </c>
      <c r="D7" s="4">
        <f>'멍텅(실측)'!D7-멍텅R</f>
        <v>1198</v>
      </c>
      <c r="E7" s="50">
        <f>'멍텅(실측)'!E7+MAX(AK7,AL7)+IF(AZ7=1,Y7,0)+멍텅JBJD늘림치수</f>
        <v>279</v>
      </c>
      <c r="F7" s="50">
        <f>'멍텅(실측)'!F7+MAX(AK7,AL7)+IF(AZ7=1,AA7,0)+멍텅JBJD늘림치수</f>
        <v>279</v>
      </c>
      <c r="G7" s="50">
        <f>'멍텅(실측)'!G7+AK7+IF(AZ7=1,Y7,0)+멍텅JB강제키움+멍텅JBJD늘림치수</f>
        <v>280</v>
      </c>
      <c r="H7" s="50">
        <f>'멍텅(실측)'!G7+AK7+IF(AZ7=1,Z7,0)+멍텅JB강제키움+멍텅JBJD늘림치수-IF(멍텅JB하부늘치=1,'멍텅(실측)'!U7-'멍텅(실측)'!V7,0)</f>
        <v>281</v>
      </c>
      <c r="I7" s="50">
        <f>'멍텅(실측)'!H7+AL7+IF(AZ7=1,AA7,0)+멍텅JB강제키움+멍텅JBJD늘림치수</f>
        <v>280</v>
      </c>
      <c r="J7" s="50">
        <f>'멍텅(실측)'!H7+AL7+IF(AZ7=1,AB7,0)+멍텅JB강제키움+멍텅JBJD늘림치수-IF(멍텅JB하부늘치=1,'멍텅(실측)'!W7-'멍텅(실측)'!X7,0)</f>
        <v>282</v>
      </c>
      <c r="K7" s="4">
        <f t="shared" ref="K7:L7" si="0">M7+IF(소장="손상민",0,-1.5)</f>
        <v>58.5</v>
      </c>
      <c r="L7" s="4">
        <f t="shared" si="0"/>
        <v>58.5</v>
      </c>
      <c r="M7" s="4">
        <f>IF(O7&gt;0,'멍텅(실측)'!I7+멍텅C늘림,'멍텅(실측)'!I7+1)</f>
        <v>60</v>
      </c>
      <c r="N7" s="4">
        <f>IF(P7&gt;0,'멍텅(실측)'!J7+멍텅C늘림,'멍텅(실측)'!J7+1)</f>
        <v>60</v>
      </c>
      <c r="O7" s="4">
        <f>IF(ISNUMBER('멍텅(실측)'!K7),'멍텅(실측)'!K7+멍텅제작!AK7+멍텅A늘림,0)</f>
        <v>9</v>
      </c>
      <c r="P7" s="4">
        <f>IF(ISNUMBER('멍텅(실측)'!L7),'멍텅(실측)'!L7+멍텅제작!AL7+멍텅A늘림,0)</f>
        <v>9</v>
      </c>
      <c r="Q7" s="4">
        <f>'멍텅(실측)'!M7-멍텅기둥차감</f>
        <v>2094</v>
      </c>
      <c r="R7" s="4">
        <f>'멍텅(실측)'!N7-멍텅기둥차감</f>
        <v>2090</v>
      </c>
      <c r="S7" s="4">
        <f>'멍텅(실측)'!O7-멍텅기둥차감</f>
        <v>2092</v>
      </c>
      <c r="T7" s="4">
        <f>'멍텅(실측)'!P7-멍텅기둥차감</f>
        <v>2091</v>
      </c>
      <c r="U7" s="4">
        <f>IF(ISNUMBER('멍텅(실측)'!Q7),IF(V7&gt;0,'멍텅(실측)'!Q7+멍텅U늘림,'멍텅(실측)'!Q7+1.2),0)</f>
        <v>60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9</v>
      </c>
      <c r="W7" s="4">
        <f>'멍텅(실측)'!S7+뒷날개치수더함</f>
        <v>50</v>
      </c>
      <c r="X7" s="4">
        <f>'멍텅(실측)'!T7+뒷날개치수더함</f>
        <v>30</v>
      </c>
      <c r="Y7" s="13">
        <f>'멍텅(실측)'!U7-멍텅늘치차감</f>
        <v>133</v>
      </c>
      <c r="Z7" s="13">
        <f>IF(멍텅JB하부늘치=1,Y7,'멍텅(실측)'!V7-멍텅늘치차감)</f>
        <v>133</v>
      </c>
      <c r="AA7" s="13">
        <f>'멍텅(실측)'!W7-멍텅늘치차감</f>
        <v>133</v>
      </c>
      <c r="AB7" s="13">
        <f>IF(멍텅JB하부늘치=1,AA7,'멍텅(실측)'!X7-멍텅늘치차감)</f>
        <v>133</v>
      </c>
      <c r="AC7" s="11" t="str">
        <f t="shared" ref="AC7" si="1">AR7&amp;"*"&amp;AS7</f>
        <v>1315*527.4</v>
      </c>
      <c r="AD7" s="12" t="str">
        <f t="shared" ref="AD7" si="2">AU7&amp;"*"&amp;AT7</f>
        <v>2094*508.2</v>
      </c>
      <c r="AE7" s="10" t="str">
        <f t="shared" ref="AE7" si="3">AW7&amp;"*"&amp;AV7</f>
        <v>2092*509.2</v>
      </c>
      <c r="AF7" s="4">
        <f>IF('멍텅(실측)'!Y7&gt;5,'멍텅(실측)'!Y7+뒷날개치수더함,'멍텅(실측)'!Y7)</f>
        <v>20</v>
      </c>
      <c r="AG7" s="4">
        <f>'멍텅(실측)'!Z7</f>
        <v>10</v>
      </c>
      <c r="AH7" s="4">
        <f>'멍텅(실측)'!AA7</f>
        <v>10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2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2</v>
      </c>
      <c r="AM7" s="16"/>
      <c r="AN7" s="17">
        <f t="shared" ref="AN7" si="4">DEGREES(ATAN((D7-C7)/2/(E7)))</f>
        <v>10.359052488083712</v>
      </c>
      <c r="AO7" s="36">
        <f>IF(소장="박철우",E7-COS(RADIANS(AN7))*G7+2,E7-COS(RADIANS(AN7))*G7)</f>
        <v>3.5639353083439573</v>
      </c>
      <c r="AP7" s="36">
        <f>IF(소장="박철우",F7-COS(RADIANS(AN7))*I7+2,F7-COS(RADIANS(AN7))*I7)</f>
        <v>3.5639353083439573</v>
      </c>
      <c r="AQ7" s="46" t="str">
        <f t="shared" ref="AQ7" si="5">IF(E7+Y7&lt;&gt;F7+AA7,"JD비대칭","")</f>
        <v/>
      </c>
      <c r="AR7" s="3">
        <f>D7 + IF(U7+V7&gt;0, K7+L7,0)</f>
        <v>1315</v>
      </c>
      <c r="AS7" s="3">
        <f>U7+MAX(E7,F7)+W7+V7-1.2*$AC$3+IF(AZ7=0,MAX(Y7,AA7))+IF(V7=0,1.2,0)</f>
        <v>527.4</v>
      </c>
      <c r="AT7" s="3">
        <f>O7+M7+MAX(G7,H7)+X7-1.2*$AE$3+IF(AZ7=0,MAX(Y7,Z7))+IF(O7=0,1.2,0)-IF(AH7=90,2.4,0)</f>
        <v>508.2</v>
      </c>
      <c r="AU7" s="3">
        <f t="shared" ref="AU7" si="6">MAX(Q7,R7)</f>
        <v>2094</v>
      </c>
      <c r="AV7" s="3">
        <f>P7+N7+MAX(I7,J7)+X7-1.2*$AE$3+IF(AZ7=0,MAX(AA7,AB7))+IF(P7=0,1.2,0)-IF(AH7=90,2.4,0)</f>
        <v>509.2</v>
      </c>
      <c r="AW7" s="3">
        <f t="shared" ref="AW7" si="7">MAX(S7,T7)</f>
        <v>2092</v>
      </c>
      <c r="AX7">
        <f t="shared" ref="AX7" si="8">G7-E7</f>
        <v>1</v>
      </c>
      <c r="AY7">
        <f t="shared" ref="AY7" si="9">9-V7</f>
        <v>0</v>
      </c>
      <c r="AZ7" s="79">
        <f>IF(AND(MIN(Y7,AA7)&gt;=9.2,D7-C7&gt;15),0,1)</f>
        <v>0</v>
      </c>
      <c r="BA7" s="83">
        <f>IF(소장="손상민",'멍텅(실측)'!AD7,0)</f>
        <v>0</v>
      </c>
    </row>
    <row r="8" spans="1:53" ht="26.25" customHeight="1">
      <c r="A8" s="4">
        <f>'멍텅(실측)'!A8</f>
        <v>0</v>
      </c>
      <c r="B8" s="4" t="str">
        <f>'멍텅(실측)'!B8&amp;"F"</f>
        <v>B3F</v>
      </c>
      <c r="C8" s="4">
        <f>'멍텅(실측)'!C8-멍텅OP</f>
        <v>1094</v>
      </c>
      <c r="D8" s="4">
        <f>'멍텅(실측)'!D8-멍텅R</f>
        <v>1192</v>
      </c>
      <c r="E8" s="50">
        <f>'멍텅(실측)'!E8+MAX(AK8,AL8)+IF(AZ8=1,Y8,0)+멍텅JBJD늘림치수</f>
        <v>266</v>
      </c>
      <c r="F8" s="50">
        <f>'멍텅(실측)'!F8+MAX(AK8,AL8)+IF(AZ8=1,AA8,0)+멍텅JBJD늘림치수</f>
        <v>266</v>
      </c>
      <c r="G8" s="50">
        <f>'멍텅(실측)'!G8+AK8+IF(AZ8=1,Y8,0)+멍텅JB강제키움+멍텅JBJD늘림치수</f>
        <v>266</v>
      </c>
      <c r="H8" s="50">
        <f>'멍텅(실측)'!G8+AK8+IF(AZ8=1,Z8,0)+멍텅JB강제키움+멍텅JBJD늘림치수-IF(멍텅JB하부늘치=1,'멍텅(실측)'!U8-'멍텅(실측)'!V8,0)</f>
        <v>268</v>
      </c>
      <c r="I8" s="50">
        <f>'멍텅(실측)'!H8+AL8+IF(AZ8=1,AA8,0)+멍텅JB강제키움+멍텅JBJD늘림치수</f>
        <v>266</v>
      </c>
      <c r="J8" s="50">
        <f>'멍텅(실측)'!H8+AL8+IF(AZ8=1,AB8,0)+멍텅JB강제키움+멍텅JBJD늘림치수-IF(멍텅JB하부늘치=1,'멍텅(실측)'!W8-'멍텅(실측)'!X8,0)</f>
        <v>267</v>
      </c>
      <c r="K8" s="4">
        <f t="shared" ref="K8:K9" si="10">M8+IF(소장="손상민",0,-1.5)</f>
        <v>58.5</v>
      </c>
      <c r="L8" s="4">
        <f t="shared" ref="L8:L9" si="11">N8+IF(소장="손상민",0,-1.5)</f>
        <v>58.5</v>
      </c>
      <c r="M8" s="4">
        <f>IF(O8&gt;0,'멍텅(실측)'!I8+멍텅C늘림,'멍텅(실측)'!I8+1)</f>
        <v>60</v>
      </c>
      <c r="N8" s="4">
        <f>IF(P8&gt;0,'멍텅(실측)'!J8+멍텅C늘림,'멍텅(실측)'!J8+1)</f>
        <v>60</v>
      </c>
      <c r="O8" s="4">
        <f>IF(ISNUMBER('멍텅(실측)'!K8),'멍텅(실측)'!K8+멍텅제작!AK8+멍텅A늘림,0)</f>
        <v>11</v>
      </c>
      <c r="P8" s="4">
        <f>IF(ISNUMBER('멍텅(실측)'!L8),'멍텅(실측)'!L8+멍텅제작!AL8+멍텅A늘림,0)</f>
        <v>9</v>
      </c>
      <c r="Q8" s="4">
        <f>'멍텅(실측)'!M8-멍텅기둥차감</f>
        <v>2105</v>
      </c>
      <c r="R8" s="4">
        <f>'멍텅(실측)'!N8-멍텅기둥차감</f>
        <v>2093</v>
      </c>
      <c r="S8" s="4">
        <f>'멍텅(실측)'!O8-멍텅기둥차감</f>
        <v>2096</v>
      </c>
      <c r="T8" s="4">
        <f>'멍텅(실측)'!P8-멍텅기둥차감</f>
        <v>2093</v>
      </c>
      <c r="U8" s="4">
        <f>IF(ISNUMBER('멍텅(실측)'!Q8),IF(V8&gt;0,'멍텅(실측)'!Q8+멍텅U늘림,'멍텅(실측)'!Q8+1.2),0)</f>
        <v>60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9</v>
      </c>
      <c r="W8" s="4">
        <f>'멍텅(실측)'!S8+뒷날개치수더함</f>
        <v>50</v>
      </c>
      <c r="X8" s="4">
        <f>'멍텅(실측)'!T8+뒷날개치수더함</f>
        <v>30</v>
      </c>
      <c r="Y8" s="13">
        <f>'멍텅(실측)'!U8-멍텅늘치차감</f>
        <v>133</v>
      </c>
      <c r="Z8" s="13">
        <f>IF(멍텅JB하부늘치=1,Y8,'멍텅(실측)'!V8-멍텅늘치차감)</f>
        <v>133</v>
      </c>
      <c r="AA8" s="13">
        <f>'멍텅(실측)'!W8-멍텅늘치차감</f>
        <v>134</v>
      </c>
      <c r="AB8" s="13">
        <f>IF(멍텅JB하부늘치=1,AA8,'멍텅(실측)'!X8-멍텅늘치차감)</f>
        <v>134</v>
      </c>
      <c r="AC8" s="11" t="str">
        <f t="shared" ref="AC8:AC9" si="12">AR8&amp;"*"&amp;AS8</f>
        <v>1309*515.4</v>
      </c>
      <c r="AD8" s="12" t="str">
        <f t="shared" ref="AD8:AD9" si="13">AU8&amp;"*"&amp;AT8</f>
        <v>2105*497.2</v>
      </c>
      <c r="AE8" s="10" t="str">
        <f t="shared" ref="AE8:AE9" si="14">AW8&amp;"*"&amp;AV8</f>
        <v>2096*495.2</v>
      </c>
      <c r="AF8" s="4">
        <f>IF('멍텅(실측)'!Y8&gt;5,'멍텅(실측)'!Y8+뒷날개치수더함,'멍텅(실측)'!Y8)</f>
        <v>20</v>
      </c>
      <c r="AG8" s="4">
        <f>'멍텅(실측)'!Z8</f>
        <v>10</v>
      </c>
      <c r="AH8" s="4">
        <f>'멍텅(실측)'!AA8</f>
        <v>10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3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3</v>
      </c>
      <c r="AM8" s="16"/>
      <c r="AN8" s="17">
        <f t="shared" ref="AN8:AN9" si="15">DEGREES(ATAN((D8-C8)/2/(E8)))</f>
        <v>10.437475351118179</v>
      </c>
      <c r="AO8" s="36">
        <f>IF(소장="박철우",E8-COS(RADIANS(AN8))*G8+2,E8-COS(RADIANS(AN8))*G8)</f>
        <v>4.4014518353066023</v>
      </c>
      <c r="AP8" s="36">
        <f>IF(소장="박철우",F8-COS(RADIANS(AN8))*I8+2,F8-COS(RADIANS(AN8))*I8)</f>
        <v>4.4014518353066023</v>
      </c>
      <c r="AQ8" s="46" t="str">
        <f t="shared" ref="AQ8:AQ9" si="16">IF(E8+Y8&lt;&gt;F8+AA8,"JD비대칭","")</f>
        <v>JD비대칭</v>
      </c>
      <c r="AR8" s="3">
        <f t="shared" ref="AR8:AR9" si="17">D8 + IF(U8+V8&gt;0, K8+L8,0)</f>
        <v>1309</v>
      </c>
      <c r="AS8" s="3">
        <f t="shared" ref="AS8:AS9" si="18">U8+MAX(E8,F8)+W8+V8-1.2*$AC$3+IF(AZ8=0,MAX(Y8,AA8))+IF(V8=0,1.2,0)</f>
        <v>515.4</v>
      </c>
      <c r="AT8" s="3">
        <f t="shared" ref="AT8:AT9" si="19">O8+M8+MAX(G8,H8)+X8-1.2*$AE$3+IF(AZ8=0,MAX(Y8,Z8))+IF(O8=0,1.2,0)-IF(AH8=90,2.4,0)</f>
        <v>497.2</v>
      </c>
      <c r="AU8" s="3">
        <f t="shared" ref="AU8:AU9" si="20">MAX(Q8,R8)</f>
        <v>2105</v>
      </c>
      <c r="AV8" s="3">
        <f t="shared" ref="AV8:AV9" si="21">P8+N8+MAX(I8,J8)+X8-1.2*$AE$3+IF(AZ8=0,MAX(AA8,AB8))+IF(P8=0,1.2,0)-IF(AH8=90,2.4,0)</f>
        <v>495.2</v>
      </c>
      <c r="AW8" s="3">
        <f t="shared" ref="AW8:AW9" si="22">MAX(S8,T8)</f>
        <v>2096</v>
      </c>
      <c r="AX8">
        <f t="shared" ref="AX8:AX9" si="23">G8-E8</f>
        <v>0</v>
      </c>
      <c r="AY8">
        <f t="shared" ref="AY8:AY9" si="24">9-V8</f>
        <v>0</v>
      </c>
      <c r="AZ8" s="79">
        <f t="shared" ref="AZ8:AZ9" si="25">IF(AND(MIN(Y8,AA8)&gt;=9.2,D8-C8&gt;15),0,1)</f>
        <v>0</v>
      </c>
      <c r="BA8" s="83">
        <f>IF(소장="손상민",'멍텅(실측)'!AD8,0)</f>
        <v>0</v>
      </c>
    </row>
    <row r="9" spans="1:53" ht="26.25" customHeight="1">
      <c r="A9" s="4">
        <f>'멍텅(실측)'!A9</f>
        <v>0</v>
      </c>
      <c r="B9" s="4" t="str">
        <f>'멍텅(실측)'!B9&amp;"F"</f>
        <v>B4F</v>
      </c>
      <c r="C9" s="4">
        <f>'멍텅(실측)'!C9-멍텅OP</f>
        <v>1096</v>
      </c>
      <c r="D9" s="4">
        <f>'멍텅(실측)'!D9-멍텅R</f>
        <v>1202</v>
      </c>
      <c r="E9" s="50">
        <f>'멍텅(실측)'!E9+MAX(AK9,AL9)+IF(AZ9=1,Y9,0)+멍텅JBJD늘림치수</f>
        <v>314</v>
      </c>
      <c r="F9" s="50">
        <f>'멍텅(실측)'!F9+MAX(AK9,AL9)+IF(AZ9=1,AA9,0)+멍텅JBJD늘림치수</f>
        <v>314</v>
      </c>
      <c r="G9" s="50">
        <f>'멍텅(실측)'!G9+AK9+IF(AZ9=1,Y9,0)+멍텅JB강제키움+멍텅JBJD늘림치수</f>
        <v>316</v>
      </c>
      <c r="H9" s="50">
        <f>'멍텅(실측)'!G9+AK9+IF(AZ9=1,Z9,0)+멍텅JB강제키움+멍텅JBJD늘림치수-IF(멍텅JB하부늘치=1,'멍텅(실측)'!U9-'멍텅(실측)'!V9,0)</f>
        <v>315</v>
      </c>
      <c r="I9" s="50">
        <f>'멍텅(실측)'!H9+AL9+IF(AZ9=1,AA9,0)+멍텅JB강제키움+멍텅JBJD늘림치수</f>
        <v>310</v>
      </c>
      <c r="J9" s="50">
        <f>'멍텅(실측)'!H9+AL9+IF(AZ9=1,AB9,0)+멍텅JB강제키움+멍텅JBJD늘림치수-IF(멍텅JB하부늘치=1,'멍텅(실측)'!W9-'멍텅(실측)'!X9,0)</f>
        <v>309</v>
      </c>
      <c r="K9" s="4">
        <f t="shared" si="10"/>
        <v>58.5</v>
      </c>
      <c r="L9" s="4">
        <f t="shared" si="11"/>
        <v>58.5</v>
      </c>
      <c r="M9" s="4">
        <f>IF(O9&gt;0,'멍텅(실측)'!I9+멍텅C늘림,'멍텅(실측)'!I9+1)</f>
        <v>60</v>
      </c>
      <c r="N9" s="4">
        <f>IF(P9&gt;0,'멍텅(실측)'!J9+멍텅C늘림,'멍텅(실측)'!J9+1)</f>
        <v>60</v>
      </c>
      <c r="O9" s="4">
        <f>IF(ISNUMBER('멍텅(실측)'!K9),'멍텅(실측)'!K9+멍텅제작!AK9+멍텅A늘림,0)</f>
        <v>10</v>
      </c>
      <c r="P9" s="4">
        <f>IF(ISNUMBER('멍텅(실측)'!L9),'멍텅(실측)'!L9+멍텅제작!AL9+멍텅A늘림,0)</f>
        <v>9</v>
      </c>
      <c r="Q9" s="4">
        <f>'멍텅(실측)'!M9-멍텅기둥차감</f>
        <v>2102</v>
      </c>
      <c r="R9" s="4">
        <f>'멍텅(실측)'!N9-멍텅기둥차감</f>
        <v>2089</v>
      </c>
      <c r="S9" s="4">
        <f>'멍텅(실측)'!O9-멍텅기둥차감</f>
        <v>2106</v>
      </c>
      <c r="T9" s="4">
        <f>'멍텅(실측)'!P9-멍텅기둥차감</f>
        <v>2089</v>
      </c>
      <c r="U9" s="4">
        <f>IF(ISNUMBER('멍텅(실측)'!Q9),IF(V9&gt;0,'멍텅(실측)'!Q9+멍텅U늘림,'멍텅(실측)'!Q9+1.2),0)</f>
        <v>60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9</v>
      </c>
      <c r="W9" s="4">
        <f>'멍텅(실측)'!S9+뒷날개치수더함</f>
        <v>50</v>
      </c>
      <c r="X9" s="4">
        <f>'멍텅(실측)'!T9+뒷날개치수더함</f>
        <v>30</v>
      </c>
      <c r="Y9" s="13">
        <f>'멍텅(실측)'!U9-멍텅늘치차감</f>
        <v>134</v>
      </c>
      <c r="Z9" s="13">
        <f>IF(멍텅JB하부늘치=1,Y9,'멍텅(실측)'!V9-멍텅늘치차감)</f>
        <v>134</v>
      </c>
      <c r="AA9" s="13">
        <f>'멍텅(실측)'!W9-멍텅늘치차감</f>
        <v>134</v>
      </c>
      <c r="AB9" s="13">
        <f>IF(멍텅JB하부늘치=1,AA9,'멍텅(실측)'!X9-멍텅늘치차감)</f>
        <v>134</v>
      </c>
      <c r="AC9" s="11" t="str">
        <f t="shared" si="12"/>
        <v>1319*563.4</v>
      </c>
      <c r="AD9" s="12" t="str">
        <f t="shared" si="13"/>
        <v>2102*545.2</v>
      </c>
      <c r="AE9" s="10" t="str">
        <f t="shared" si="14"/>
        <v>2106*538.2</v>
      </c>
      <c r="AF9" s="4">
        <f>IF('멍텅(실측)'!Y9&gt;5,'멍텅(실측)'!Y9+뒷날개치수더함,'멍텅(실측)'!Y9)</f>
        <v>20</v>
      </c>
      <c r="AG9" s="4">
        <f>'멍텅(실측)'!Z9</f>
        <v>10</v>
      </c>
      <c r="AH9" s="4">
        <f>'멍텅(실측)'!AA9</f>
        <v>10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3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3</v>
      </c>
      <c r="AM9" s="16"/>
      <c r="AN9" s="17">
        <f t="shared" si="15"/>
        <v>9.5806406346001634</v>
      </c>
      <c r="AO9" s="36">
        <f>IF(소장="박철우",E9-COS(RADIANS(AN9))*G9+2,E9-COS(RADIANS(AN9))*G9)</f>
        <v>2.407463913296624</v>
      </c>
      <c r="AP9" s="36">
        <f>IF(소장="박철우",F9-COS(RADIANS(AN9))*I9+2,F9-COS(RADIANS(AN9))*I9)</f>
        <v>8.3237778896264558</v>
      </c>
      <c r="AQ9" s="46" t="str">
        <f t="shared" si="16"/>
        <v/>
      </c>
      <c r="AR9" s="3">
        <f t="shared" si="17"/>
        <v>1319</v>
      </c>
      <c r="AS9" s="3">
        <f t="shared" si="18"/>
        <v>563.4</v>
      </c>
      <c r="AT9" s="3">
        <f t="shared" si="19"/>
        <v>545.20000000000005</v>
      </c>
      <c r="AU9" s="3">
        <f t="shared" si="20"/>
        <v>2102</v>
      </c>
      <c r="AV9" s="3">
        <f t="shared" si="21"/>
        <v>538.20000000000005</v>
      </c>
      <c r="AW9" s="3">
        <f t="shared" si="22"/>
        <v>2106</v>
      </c>
      <c r="AX9">
        <f t="shared" si="23"/>
        <v>2</v>
      </c>
      <c r="AY9">
        <f t="shared" si="24"/>
        <v>0</v>
      </c>
      <c r="AZ9" s="79">
        <f t="shared" si="25"/>
        <v>0</v>
      </c>
      <c r="BA9" s="83">
        <f>IF(소장="손상민",'멍텅(실측)'!AD9,0)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:D9">
    <cfRule type="cellIs" dxfId="67" priority="26" operator="greaterThan">
      <formula>1210</formula>
    </cfRule>
  </conditionalFormatting>
  <conditionalFormatting sqref="AF7:AH9">
    <cfRule type="cellIs" dxfId="66" priority="13" operator="greaterThan">
      <formula>1.2</formula>
    </cfRule>
  </conditionalFormatting>
  <conditionalFormatting sqref="G7:J9">
    <cfRule type="cellIs" dxfId="65" priority="11" operator="greaterThan">
      <formula>500</formula>
    </cfRule>
  </conditionalFormatting>
  <conditionalFormatting sqref="E7:E9">
    <cfRule type="cellIs" dxfId="64" priority="10" operator="notEqual">
      <formula>F7</formula>
    </cfRule>
  </conditionalFormatting>
  <conditionalFormatting sqref="F7:F9">
    <cfRule type="cellIs" dxfId="63" priority="9" operator="notEqual">
      <formula>E7</formula>
    </cfRule>
  </conditionalFormatting>
  <conditionalFormatting sqref="I7:I9">
    <cfRule type="cellIs" dxfId="62" priority="6" operator="notEqual">
      <formula>J7</formula>
    </cfRule>
  </conditionalFormatting>
  <conditionalFormatting sqref="J7:J9 H7:H9">
    <cfRule type="cellIs" dxfId="61" priority="4" operator="notEqual">
      <formula>G7</formula>
    </cfRule>
  </conditionalFormatting>
  <conditionalFormatting sqref="G7:G9">
    <cfRule type="cellIs" dxfId="60" priority="3" operator="notEqual">
      <formula>H7</formula>
    </cfRule>
  </conditionalFormatting>
  <conditionalFormatting sqref="Y7:AB9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zoomScaleNormal="100" workbookViewId="0">
      <selection activeCell="L7" sqref="L7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83" t="str">
        <f>정보!B4</f>
        <v>(쪽쟘) 실측서 ( 서울 강남구 두산위브센티움 ) _이인종소장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서울 강남구 두산위브센티움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87" t="s">
        <v>118</v>
      </c>
      <c r="B5" s="284" t="s">
        <v>119</v>
      </c>
      <c r="C5" s="284" t="s">
        <v>120</v>
      </c>
      <c r="D5" s="284" t="s">
        <v>121</v>
      </c>
      <c r="E5" s="284" t="s">
        <v>122</v>
      </c>
      <c r="F5" s="284" t="s">
        <v>123</v>
      </c>
      <c r="G5" s="284" t="s">
        <v>124</v>
      </c>
      <c r="H5" s="284" t="s">
        <v>125</v>
      </c>
      <c r="I5" s="284" t="s">
        <v>126</v>
      </c>
      <c r="J5" s="284" t="s">
        <v>128</v>
      </c>
      <c r="K5" s="284" t="s">
        <v>15</v>
      </c>
      <c r="L5" s="284" t="s">
        <v>129</v>
      </c>
      <c r="M5" s="284" t="s">
        <v>130</v>
      </c>
      <c r="N5" s="284" t="s">
        <v>131</v>
      </c>
      <c r="O5" s="284" t="s">
        <v>132</v>
      </c>
      <c r="P5" s="285" t="s">
        <v>133</v>
      </c>
      <c r="Q5" s="285" t="s">
        <v>134</v>
      </c>
      <c r="R5" s="284" t="s">
        <v>135</v>
      </c>
      <c r="S5" s="284"/>
      <c r="T5" s="168" t="s">
        <v>203</v>
      </c>
      <c r="U5" s="168"/>
      <c r="V5" s="168"/>
    </row>
    <row r="6" spans="1:22" ht="25.9" customHeight="1">
      <c r="A6" s="287"/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>
      <c r="A7" s="60"/>
      <c r="B7" s="60">
        <v>1</v>
      </c>
      <c r="C7" s="60">
        <v>1097</v>
      </c>
      <c r="D7" s="60">
        <v>76</v>
      </c>
      <c r="E7" s="60">
        <v>74</v>
      </c>
      <c r="F7" s="60">
        <v>0</v>
      </c>
      <c r="G7" s="60">
        <v>0</v>
      </c>
      <c r="H7" s="60">
        <v>0</v>
      </c>
      <c r="I7" s="60">
        <v>0</v>
      </c>
      <c r="J7" s="119">
        <v>2089</v>
      </c>
      <c r="K7" s="119">
        <v>2089</v>
      </c>
      <c r="L7" s="119">
        <v>2089</v>
      </c>
      <c r="M7" s="119">
        <v>2089</v>
      </c>
      <c r="N7" s="119">
        <v>9</v>
      </c>
      <c r="O7" s="119">
        <v>9</v>
      </c>
      <c r="P7" s="119">
        <v>50</v>
      </c>
      <c r="Q7" s="119">
        <v>30</v>
      </c>
      <c r="R7" s="60"/>
      <c r="S7" s="60"/>
      <c r="T7" s="4">
        <v>20</v>
      </c>
      <c r="U7" s="4">
        <v>10</v>
      </c>
      <c r="V7" s="4">
        <v>10</v>
      </c>
    </row>
    <row r="8" spans="1:22" ht="18" customHeight="1">
      <c r="A8" s="60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7"/>
  <sheetViews>
    <sheetView tabSelected="1" zoomScale="85" zoomScaleNormal="85" workbookViewId="0">
      <selection activeCell="P17" sqref="P17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>
      <c r="A1" s="165" t="str">
        <f>정보!B1 &amp; " (쪽쟘제작치수)  " &amp; 정보!B6 &amp;" 소장"</f>
        <v>서울 강남구 두산위브센티움 (쪽쟘제작치수)  이인종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>
      <c r="A2" s="1"/>
      <c r="B2" s="1"/>
      <c r="C2" s="288" t="str">
        <f>"총 : " &amp; COUNTA(A7:A133) &amp;" (SET)"</f>
        <v>총 : 1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>
      <c r="A7" s="50">
        <f>'쪽쟘(실측)'!A7</f>
        <v>0</v>
      </c>
      <c r="B7" s="50" t="str">
        <f>'쪽쟘(실측)'!B7&amp;"F"</f>
        <v>1F</v>
      </c>
      <c r="C7" s="50" t="str">
        <f>AC7&amp;"*"&amp;AD7</f>
        <v>1099*131.4</v>
      </c>
      <c r="D7" s="50">
        <f>'쪽쟘(실측)'!C7-쪽쟘OP차감</f>
        <v>1097</v>
      </c>
      <c r="E7" s="50">
        <f>'쪽쟘(실측)'!D7+쪽쟘J늘림+MAX(W7:X7)</f>
        <v>76</v>
      </c>
      <c r="F7" s="50">
        <f>'쪽쟘(실측)'!E7+쪽쟘J늘림+MAX(W7:X7)</f>
        <v>74</v>
      </c>
      <c r="G7" s="67" t="str">
        <f>AF7&amp;"*"&amp;AE7</f>
        <v>2089*101.4</v>
      </c>
      <c r="H7" s="68" t="str">
        <f>AH7&amp;"*"&amp;AG7</f>
        <v>2089*101.4</v>
      </c>
      <c r="I7" s="50">
        <v>1</v>
      </c>
      <c r="J7" s="50">
        <v>1</v>
      </c>
      <c r="K7" s="50">
        <v>1</v>
      </c>
      <c r="L7" s="50">
        <v>1</v>
      </c>
      <c r="M7" s="50">
        <v>1</v>
      </c>
      <c r="N7" s="50">
        <v>1</v>
      </c>
      <c r="O7" s="50">
        <f>'쪽쟘(실측)'!J7-쪽쟘기둥차감</f>
        <v>2089</v>
      </c>
      <c r="P7" s="50">
        <f>'쪽쟘(실측)'!K7-쪽쟘기둥차감</f>
        <v>2089</v>
      </c>
      <c r="Q7" s="50">
        <f>'쪽쟘(실측)'!L7-쪽쟘기둥차감</f>
        <v>2089</v>
      </c>
      <c r="R7" s="50">
        <f>'쪽쟘(실측)'!M7-쪽쟘기둥차감</f>
        <v>2089</v>
      </c>
      <c r="S7" s="50">
        <f>'쪽쟘(실측)'!N7+뒷날개치수더함</f>
        <v>9</v>
      </c>
      <c r="T7" s="50">
        <f>'쪽쟘(실측)'!O7+뒷날개치수더함</f>
        <v>9</v>
      </c>
      <c r="U7" s="50">
        <f>'쪽쟘(실측)'!P7+뒷날개치수더함</f>
        <v>50</v>
      </c>
      <c r="V7" s="50">
        <f>'쪽쟘(실측)'!Q7+뒷날개치수더함</f>
        <v>30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20</v>
      </c>
      <c r="Z7" s="4">
        <f>'쪽쟘(실측)'!U7</f>
        <v>10</v>
      </c>
      <c r="AA7" s="4">
        <f>'쪽쟘(실측)'!V7</f>
        <v>10</v>
      </c>
      <c r="AC7">
        <f t="shared" ref="AC7" si="0">D7+I7+J7</f>
        <v>1099</v>
      </c>
      <c r="AD7">
        <f t="shared" ref="AD7" si="1">U7+E7+MAX(S7,T7)-쪽쟘소재t*3+IF(S7=0,S7*쪽쟘소재t,0)</f>
        <v>131.4</v>
      </c>
      <c r="AE7">
        <f t="shared" ref="AE7" si="2">MAX(K7,L7)+F7+V7-쪽쟘소재t*3+IF(K7=0,쪽쟘소재t)-IF(AA7=90,2.4,0)</f>
        <v>101.4</v>
      </c>
      <c r="AF7">
        <f t="shared" ref="AF7" si="3">MAX(O7,P7)</f>
        <v>2089</v>
      </c>
      <c r="AG7">
        <f t="shared" ref="AG7" si="4">MAX(M7,N7)+F7+V7-쪽쟘소재t*3+IF(M7=0,쪽쟘소재t)-IF(AA7=90,2.4,0)</f>
        <v>101.4</v>
      </c>
      <c r="AH7">
        <f>MAX(Q7,R7)</f>
        <v>2089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 M7 S7">
    <cfRule type="cellIs" dxfId="58" priority="4" operator="notEqual">
      <formula>L7</formula>
    </cfRule>
  </conditionalFormatting>
  <conditionalFormatting sqref="L7 N7 T7">
    <cfRule type="cellIs" dxfId="57" priority="3" operator="notEqual">
      <formula>K7</formula>
    </cfRule>
  </conditionalFormatting>
  <conditionalFormatting sqref="Y7:AA7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299" t="str">
        <f>정보!B1&amp;" (제작치수 샤링작지) "&amp;정보!B6&amp;" 소장"</f>
        <v>서울 강남구 두산위브센티움 (제작치수 샤링작지) 이인종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0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>
      <c r="A7" s="50">
        <f>'쪽쟘(실측)'!A7</f>
        <v>0</v>
      </c>
      <c r="B7" s="50" t="str">
        <f>'쪽쟘(실측)'!B7&amp;"F"</f>
        <v>1F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>*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10.199999999999999</v>
      </c>
      <c r="T7" s="50">
        <f>'쪽쟘(실측)'!O7+1.2</f>
        <v>10.199999999999999</v>
      </c>
      <c r="U7" s="50">
        <f>'쪽쟘(실측)'!P7</f>
        <v>50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e">
        <f>IF(쪽쟘제작!#REF!&lt;&gt;쪽쟘제작!#REF!,"",AC8&amp;"*"&amp;AB8)</f>
        <v>#REF!</v>
      </c>
      <c r="H8" s="68" t="e">
        <f>IF(쪽쟘제작!#REF!&lt;&gt;쪽쟘제작!#REF!,"",AE8&amp;"*"&amp;AD8)</f>
        <v>#REF!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66" t="str">
        <f>정보!E2</f>
        <v>(SO와이드) 실측서 ( 서울 강남구 두산위브센티움 ) _이인종소장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>
      <c r="A4" s="303" t="str">
        <f>정보!B10</f>
        <v>제작치수 반영 : MH + (2), JB/JD +(5 ),  늘어난치수K -(0),  C + (0),   U + (0), OP - (3), R - (2),  기둥차감 - (0), A + (3)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17" t="str">
        <f>정보!F2</f>
        <v>(SO와이드) 제작변환 ( 서울 강남구 두산위브센티움 ) _이인종소장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>
      <c r="A2" s="97" t="s">
        <v>85</v>
      </c>
      <c r="B2" s="139">
        <v>3</v>
      </c>
      <c r="C2" s="98" t="s">
        <v>86</v>
      </c>
      <c r="D2" s="112">
        <v>2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 t="str">
        <f>정보!B5</f>
        <v>TKEK HD S20D-OR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>
      <c r="A3" s="28" t="str">
        <f>'SO와이드(실측)'!A3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5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3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>
        <f>AY7</f>
        <v>21.801409486351812</v>
      </c>
      <c r="AV3" s="232"/>
      <c r="BN3" s="177" t="s">
        <v>253</v>
      </c>
    </row>
    <row r="4" spans="1:66" ht="33" customHeight="1">
      <c r="A4" s="163" t="str">
        <f>정보!B10</f>
        <v>제작치수 반영 : MH + (2), JB/JD +(5 ),  늘어난치수K -(0),  C + (0),   U + (0), OP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0</v>
      </c>
      <c r="AJ4" s="275"/>
      <c r="AK4" s="222">
        <f ca="1">TODAY()</f>
        <v>45287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-3</v>
      </c>
      <c r="F7" s="31">
        <f>'SO와이드(실측)'!F7-SO와이드OP</f>
        <v>-3</v>
      </c>
      <c r="G7" s="31">
        <f>'SO와이드(실측)'!G7-SO와이드R</f>
        <v>-2</v>
      </c>
      <c r="H7" s="50">
        <f>'SO와이드(실측)'!H7+SO와이드JBJD키움치수+IF(BN7=1,AG7,0)</f>
        <v>5</v>
      </c>
      <c r="I7" s="50">
        <f>'SO와이드(실측)'!I7+SO와이드JBJD키움치수+IF(BN7=1,AI7,0)</f>
        <v>5</v>
      </c>
      <c r="J7" s="50">
        <f>'SO와이드(실측)'!J7+MAX(AW7,AX7)+SO와이드JBJD키움치수+IF(BN7=1,AG7,0)</f>
        <v>5</v>
      </c>
      <c r="K7" s="50">
        <f>'SO와이드(실측)'!J7+MAX(AW7,AX7)+SO와이드JBJD키움치수+IF(BN7=1,AH7,0)-IF(SO와이드JB하부늘치=1,'SO와이드(실측)'!AA7-'SO와이드(실측)'!AB7,0)</f>
        <v>5</v>
      </c>
      <c r="L7" s="50">
        <f>'SO와이드(실측)'!K7+MAX(AW7,AX7)+SO와이드JBJD키움치수+IF(BN7=1,AI7,0)</f>
        <v>5</v>
      </c>
      <c r="M7" s="50">
        <f>'SO와이드(실측)'!K7+MAX(AW7,AX7)+SO와이드JBJD키움치수+IF(BN7=1,AJ7,0)-IF(SO와이드JB하부늘치=1,'SO와이드(실측)'!AC7-'SO와이드(실측)'!AD7,0)</f>
        <v>5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0.3</v>
      </c>
      <c r="U7" s="137">
        <f>ROUNDUP(BB7,1)</f>
        <v>0.3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-2*3.4</v>
      </c>
      <c r="AO7" s="31" t="str">
        <f t="shared" ref="AO7" si="2">BI7&amp;"*"&amp;BH7</f>
        <v>0.8*2.6</v>
      </c>
      <c r="AP7" s="31" t="str">
        <f t="shared" ref="AP7" si="3">BK7&amp;"*"&amp;BJ7</f>
        <v>0.8*2.6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21.801409486351812</v>
      </c>
      <c r="AZ7" s="20">
        <f>DEGREES(ATAN((G7-(E7+F7))/2/(I7)))</f>
        <v>21.801409486351812</v>
      </c>
      <c r="BA7" s="21">
        <f>INT(ABS(H7-COS(RADIANS(AY7))*J7)*10)/10</f>
        <v>0.3</v>
      </c>
      <c r="BB7" s="21">
        <f>INT(ABS(I7-COS(RADIANS(AZ7))*L7)*10)/10</f>
        <v>0.3</v>
      </c>
      <c r="BC7" s="21">
        <f>'SO와이드(실측)'!N7+AW7</f>
        <v>0</v>
      </c>
      <c r="BD7" s="21">
        <f>'SO와이드(실측)'!O7+AW7</f>
        <v>0</v>
      </c>
      <c r="BE7" s="20">
        <f>BA7-MAX(BC7,BD7)</f>
        <v>0.3</v>
      </c>
      <c r="BF7" s="41">
        <f>IF(소장&lt;&gt;"손상민",G7+IF(AB7+AC7&gt;0,P7+Q7,0),G7)</f>
        <v>-2</v>
      </c>
      <c r="BG7" s="42">
        <f>MAX(C7,D7)+MAX(H7,I7)+AD7-1.2*$AN$3+IF(BN7=0,MAX(AI7,AG7),0)+IF(AB7=0,1.2,0)+IF(AC7=0,1.2,0)+IF(소장&lt;&gt;"손상민", AB7+AC7,IF('SO와이드(실측)'!V7=0,0,2.4))</f>
        <v>3.4000000000000004</v>
      </c>
      <c r="BH7" s="41">
        <f>V7+R7+MAX(J7,K7)+AE7-1.2*$AP$3+IF(BN7=0,MAX(AH7,AG7),0)+IF(V7=0,1.2,0)-IF(AV7=90,2.4,0)</f>
        <v>2.6000000000000005</v>
      </c>
      <c r="BI7" s="41">
        <f>MAX(X7,Y7)+AK7</f>
        <v>0.8</v>
      </c>
      <c r="BJ7" s="41">
        <f>W7+S7+MAX(L7,M7)+AF7-1.2*$AP$3+IF(BN7=0,MAX(AI7,AJ7),0)+IF(W7=0,1.2,0)-IF(AV7=90,2.4,0)</f>
        <v>2.6000000000000005</v>
      </c>
      <c r="BK7" s="41">
        <f>MAX(Z7,AA7)+AL7</f>
        <v>0.8</v>
      </c>
      <c r="BL7" s="6">
        <f t="shared" ref="BL7" si="4">J7-H7-T7</f>
        <v>-0.3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65" t="str">
        <f>정보!E3</f>
        <v>(SO멍텅구리) 실측서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서울 강남구 두산위브센티움,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>
      <c r="A4" s="163" t="str">
        <f>정보!B14</f>
        <v>제작치수 반영 : JB/JD +(5 ),  늘어난치수K -(0),  C + (0),  U +(0), OP1/OP2 -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65" t="str">
        <f>정보!F3</f>
        <v>(SO멍텅구리) 제작변환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>
      <c r="A2" s="97" t="s">
        <v>85</v>
      </c>
      <c r="B2" s="140">
        <v>3</v>
      </c>
      <c r="C2" s="340" t="s">
        <v>290</v>
      </c>
      <c r="D2" s="340"/>
      <c r="E2" s="116">
        <v>2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>
      <c r="A3" s="33" t="str">
        <f>'SO멍텅(실측)'!A3</f>
        <v>현장명 : 서울 강남구 두산위브센티움,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5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f>BE7</f>
        <v>1</v>
      </c>
      <c r="W3" s="330"/>
      <c r="X3" s="218" t="s">
        <v>78</v>
      </c>
      <c r="Y3" s="218"/>
      <c r="Z3" s="334">
        <v>3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>
        <f>AR7</f>
        <v>21.801409486351812</v>
      </c>
      <c r="AN3" s="162"/>
      <c r="AO3" s="25"/>
      <c r="AP3" s="25"/>
      <c r="AQ3" s="24"/>
      <c r="AW3" s="24"/>
    </row>
    <row r="4" spans="1:58" ht="33" customHeight="1">
      <c r="A4" s="163" t="str">
        <f>'SO멍텅(실측)'!A4:AA4</f>
        <v>제작치수 반영 : JB/JD +(5 ),  늘어난치수K -(0),  C + (0),  U +(0), OP1/OP2 -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0</v>
      </c>
      <c r="AF4" s="332"/>
      <c r="AG4" s="158"/>
      <c r="AH4" s="329">
        <f ca="1">TODAY()</f>
        <v>45287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>
      <c r="A7" s="4">
        <f>'SO멍텅(실측)'!A7</f>
        <v>0</v>
      </c>
      <c r="B7" s="4" t="str">
        <f>'SO멍텅(실측)'!B7&amp;"F"</f>
        <v>F</v>
      </c>
      <c r="C7" s="4">
        <f>'SO멍텅(실측)'!C7-SO멍텅OP</f>
        <v>-3</v>
      </c>
      <c r="D7" s="4">
        <f>'SO멍텅(실측)'!D7-SO멍텅OP</f>
        <v>-3</v>
      </c>
      <c r="E7" s="4">
        <f>'SO멍텅(실측)'!E7-SO멍텅R</f>
        <v>-2</v>
      </c>
      <c r="F7" s="4">
        <f>'SO멍텅(실측)'!F7+MAX(AO7,AP7)+IF(BE7=1,AC7,0)+SO멍텅JBJD늘림치수</f>
        <v>5</v>
      </c>
      <c r="G7" s="4">
        <f>'SO멍텅(실측)'!G7+MAX(AO7,AP7)+IF(BE7=1,AE7,0)+SO멍텅JBJD늘림치수</f>
        <v>5</v>
      </c>
      <c r="H7" s="4">
        <f>'SO멍텅(실측)'!H7+AO7+IF(BE7=1,AC7,0)+SO멍텅JB강제키움+SO멍텅JBJD늘림치수</f>
        <v>5</v>
      </c>
      <c r="I7" s="4">
        <f>'SO멍텅(실측)'!H7+AO7+IF(BE7=1,AD7,0)+SO멍텅JB강제키움+SO멍텅JBJD늘림치수-IF(SO멍텅JB하부늘치=1,'SO멍텅(실측)'!W7-'SO멍텅(실측)'!X7,0)</f>
        <v>5</v>
      </c>
      <c r="J7" s="4">
        <f>'SO멍텅(실측)'!I7+AP7+IF(BE7=1,AE7,0)+SO멍텅JB강제키움+SO멍텅JBJD늘림치수</f>
        <v>5</v>
      </c>
      <c r="K7" s="4">
        <f>'SO멍텅(실측)'!I7+AP7+IF(BE7=1,AF7,0)+SO멍텅JB강제키움+SO멍텅JBJD늘림치수-IF(SO멍텅JB하부늘치=1,'SO멍텅(실측)'!Y7-'SO멍텅(실측)'!Z7,0)</f>
        <v>5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-2*1.4</v>
      </c>
      <c r="AH7" s="12" t="str">
        <f t="shared" ref="AH7" si="2">AZ7&amp;"*"&amp;AY7</f>
        <v>0*2.4</v>
      </c>
      <c r="AI7" s="10" t="str">
        <f t="shared" ref="AI7" si="3">BB7&amp;"*"&amp;BA7</f>
        <v>0*2.4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21.801409486351812</v>
      </c>
      <c r="AS7" s="17">
        <f>DEGREES(ATAN((E7-(C7+D7))/2/(G7)))</f>
        <v>21.801409486351812</v>
      </c>
      <c r="AT7" s="36">
        <f>ABS(F7-COS(RADIANS(AR7))*H7)</f>
        <v>0.3576165455737037</v>
      </c>
      <c r="AU7" s="36">
        <f>G7-COS(RADIANS(AS7))*J7</f>
        <v>0.3576165455737037</v>
      </c>
      <c r="AV7" s="46" t="str">
        <f t="shared" ref="AV7" si="4">IF(F7+AC7&lt;&gt;G7+AE7,"JD비대칭","")</f>
        <v/>
      </c>
      <c r="AW7" s="3">
        <f>E7 + IF(X7+Y7&gt;0, N7+O7,0)</f>
        <v>-2</v>
      </c>
      <c r="AX7" s="3">
        <f>X7+MAX(F7,G7)+Z7+Y7-1.2*$AG$3+IF(BE7=0,MAX(AC7,AE7))+IF(Y7=0,1.2,0)</f>
        <v>1.4000000000000001</v>
      </c>
      <c r="AY7" s="3">
        <f>R7+P7+MAX(H7,I7)+AA7-1.2*$AI$3+IF(BE7=0,MAX(AC7,AD7))+IF(R7=0,1.2,0)-IF(AL7=90,2.4,0)</f>
        <v>2.4000000000000004</v>
      </c>
      <c r="AZ7" s="3">
        <f t="shared" ref="AZ7" si="5">MAX(T7,U7)</f>
        <v>0</v>
      </c>
      <c r="BA7" s="3">
        <f>S7+Q7+MAX(J7,K7)+AB7-1.2*$AI$3+IF(BE7=0,MAX(AE7,AF7))+IF(S7=0,1.2,0)-IF(AL7=90,2.4,0)</f>
        <v>2.4000000000000004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66" t="str">
        <f>정보!H2</f>
        <v>(4CO와이드) 실측서 ( 서울 강남구 두산위브센티움 ) _이인종소장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>
      <c r="A4" s="303" t="str">
        <f>정보!B15</f>
        <v>제작치수 반영 : MH + (2), JB/JD +(5 ),  늘어난치수K -(0),  C + (0),   U + (0), OP1/OP3 - (3), R - (2),  기둥차감 - (0), A + (3)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176" t="str">
        <f>정보!I2</f>
        <v>(4CO와이드) 제작변환 ( 서울 강남구 두산위브센티움 ) _이인종소장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>
      <c r="A2" s="97" t="s">
        <v>96</v>
      </c>
      <c r="B2" s="139">
        <v>3</v>
      </c>
      <c r="C2" s="98" t="s">
        <v>86</v>
      </c>
      <c r="D2" s="112">
        <v>2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4" t="s">
        <v>83</v>
      </c>
      <c r="Y2" s="198"/>
      <c r="Z2" s="198"/>
      <c r="AA2" s="194">
        <v>0</v>
      </c>
      <c r="AB2" s="194"/>
      <c r="AC2" s="322" t="str">
        <f>정보!B5</f>
        <v>TKEK HD S20D-OR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>
      <c r="A3" s="28" t="str">
        <f>'4CO와이드(실측)'!A3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5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3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>
        <f>AZ7</f>
        <v>5.710593137499643</v>
      </c>
      <c r="AW3" s="232"/>
      <c r="BN3" s="177" t="s">
        <v>253</v>
      </c>
    </row>
    <row r="4" spans="1:66" ht="33" customHeight="1">
      <c r="A4" s="163" t="str">
        <f>정보!B15</f>
        <v>제작치수 반영 : MH + (2), JB/JD +(5 ),  늘어난치수K -(0),  C + (0),   U + (0), OP1/OP3 -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45287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-1.5</v>
      </c>
      <c r="F7" s="31">
        <f>'4CO와이드(실측)'!F7</f>
        <v>0</v>
      </c>
      <c r="G7" s="31">
        <f>'4CO와이드(실측)'!G7-CO4와이드OP/2</f>
        <v>-1.5</v>
      </c>
      <c r="H7" s="31">
        <f>'4CO와이드(실측)'!H7-CO4와이드R</f>
        <v>-2</v>
      </c>
      <c r="I7" s="50">
        <f>'4CO와이드(실측)'!I7+CO4와이드JBJD키움치수+IF(BN7=1,AH7,0)</f>
        <v>5</v>
      </c>
      <c r="J7" s="50">
        <f>'4CO와이드(실측)'!J7+CO4와이드JBJD키움치수+IF(BN7=1,MAX(AH7,AJ7),0)</f>
        <v>5</v>
      </c>
      <c r="K7" s="50">
        <f>'4CO와이드(실측)'!K7+CO4와이드JBJD키움치수+IF(BN7=1,AJ7,0)</f>
        <v>5</v>
      </c>
      <c r="L7" s="50">
        <f>'4CO와이드(실측)'!L7+MAX(AX7,AY7)+CO4와이드JBJD키움치수+IF(BN7=1,AH7,0)</f>
        <v>5</v>
      </c>
      <c r="M7" s="50">
        <f>'4CO와이드(실측)'!L7+MAX(AX7,AY7)+CO4와이드JBJD키움치수+IF(BN7=1,AI7,0)-IF(CO4와이드JB하부늘치=1,'4CO와이드(실측)'!AB7-'4CO와이드(실측)'!AC7,0)</f>
        <v>5</v>
      </c>
      <c r="N7" s="50">
        <f>'4CO와이드(실측)'!M7+MAX(AX7,AY7)+CO4와이드JBJD키움치수+IF(BN7=1,AJ7,0)</f>
        <v>5</v>
      </c>
      <c r="O7" s="50">
        <f>'4CO와이드(실측)'!M7+MAX(AX7,AY7)+CO4와이드JBJD키움치수+IF(BN7=1,AK7,0)-IF(CO4와이드JB하부늘치=1,'4CO와이드(실측)'!AD7-'4CO와이드(실측)'!AE7,0)</f>
        <v>5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0.1</v>
      </c>
      <c r="W7" s="137">
        <f>ROUNDUP(BB7,1)</f>
        <v>0.1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-2*3.4</v>
      </c>
      <c r="AP7" s="31" t="str">
        <f t="shared" ref="AP7" si="2">BI7&amp;"*"&amp;BH7</f>
        <v>0.8*2.6</v>
      </c>
      <c r="AQ7" s="31" t="str">
        <f t="shared" ref="AQ7" si="3">BK7&amp;"*"&amp;BJ7</f>
        <v>0.8*2.6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5.710593137499643</v>
      </c>
      <c r="BA7" s="21">
        <f>ABS(I7-COS(RADIANS(AZ7))*L7)</f>
        <v>2.4814048950053902E-2</v>
      </c>
      <c r="BB7" s="21">
        <f>ABS(K7-COS(RADIANS(AZ7))*N7)</f>
        <v>2.4814048950053902E-2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2.4814048950053902E-2</v>
      </c>
      <c r="BF7" s="41">
        <f>IF(소장&lt;&gt;"손상민",H7+IF(AD7+AE7&gt;0,R7+S7,0),H7)</f>
        <v>-2</v>
      </c>
      <c r="BG7" s="42">
        <f>MAX(C7,D7)+MAX(I7,J7)+AF7-1.2*$AO$3+IF(BN7=0,MAX(AJ7,AH7),0)+IF(AD7=0,1.2,0)+IF(AE7=0,1.2,0)+IF(소장&lt;&gt;"손상민", AD7+AE7, IF('4CO와이드(실측)'!X7=0,0,2.4))</f>
        <v>3.4000000000000004</v>
      </c>
      <c r="BH7" s="41">
        <f>X7+T7+MAX(L7,M7)+AG7-1.2*$AQ$3+IF(BN7=0,MAX(AI7,AH7),0)+IF(X7=0,1.2,0)-IF(AW7=90,2.4,0)</f>
        <v>2.6000000000000005</v>
      </c>
      <c r="BI7" s="41">
        <f>MAX(Z7,AA7)+AL7</f>
        <v>0.8</v>
      </c>
      <c r="BJ7" s="41">
        <f>Y7+U7+MAX(N7,O7)+AG7-1.2*$AQ$3+IF(BN7=0,MAX(AJ7,AK7),0)+IF(Y7=0,1.2,0)-IF(AW7=90,2.4,0)</f>
        <v>2.6000000000000005</v>
      </c>
      <c r="BK7" s="41">
        <f>MAX(AB7,AC7)+AM7</f>
        <v>0.8</v>
      </c>
      <c r="BL7" s="6">
        <f>L7-I7-V7</f>
        <v>-0.1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65" t="str">
        <f>정보!H3</f>
        <v>(4CO멍텅구리) 실측서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>
      <c r="A4" s="163" t="str">
        <f>정보!B16</f>
        <v>제작치수 반영 : JB/JD +(5 ),  늘어난치수K -(0),  C + (0),  U +(0), OP1/OP3 -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65" t="str">
        <f>정보!I3</f>
        <v>(4CO멍텅구리) 제작변환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>
      <c r="A2" s="97" t="s">
        <v>85</v>
      </c>
      <c r="B2" s="140">
        <v>3</v>
      </c>
      <c r="C2" s="22"/>
      <c r="D2" s="22"/>
      <c r="E2" s="96" t="s">
        <v>86</v>
      </c>
      <c r="F2" s="116">
        <v>2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>
      <c r="A3" s="33" t="str">
        <f>'4CO멍텅(실측)'!A3</f>
        <v>현장명 : 서울 강남구 두산위브센티움,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5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3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>
        <f>AS7</f>
        <v>5.710593137499643</v>
      </c>
      <c r="AN3" s="14"/>
      <c r="AO3" s="14"/>
      <c r="AP3" s="25"/>
      <c r="AQ3" s="25"/>
      <c r="AR3" s="24"/>
      <c r="AW3" s="24"/>
    </row>
    <row r="4" spans="1:58" ht="33" customHeight="1">
      <c r="A4" s="163" t="str">
        <f>'4CO멍텅(실측)'!A4:AB4</f>
        <v>제작치수 반영 : JB/JD +(5 ),  늘어난치수K -(0),  C + (0),  U +(0), OP1/OP3 - (3),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45287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-1.5</v>
      </c>
      <c r="D7" s="4">
        <f>'4CO멍텅(실측)'!D7</f>
        <v>0</v>
      </c>
      <c r="E7" s="4">
        <f>'4CO멍텅(실측)'!E7-CO4멍텅OP/2</f>
        <v>-1.5</v>
      </c>
      <c r="F7" s="4">
        <f>'4CO멍텅(실측)'!F7-CO4멍텅R</f>
        <v>-2</v>
      </c>
      <c r="G7" s="4">
        <f>'4CO멍텅(실측)'!G7+MAX(AP7,AQ7)+IF(BE7=1,AD7,0)+CO4멍텅JBJD늘림치수</f>
        <v>5</v>
      </c>
      <c r="H7" s="4">
        <f>'4CO멍텅(실측)'!H7+MAX(AP7,AQ7)+IF(BE7=1,MAX(AD7,AF7),0)+CO4멍텅JBJD늘림치수</f>
        <v>5</v>
      </c>
      <c r="I7" s="4">
        <f>'4CO멍텅(실측)'!I7+MAX(AP7,AQ7)+IF(BE7=1,AF7,0)+CO4멍텅JBJD늘림치수</f>
        <v>5</v>
      </c>
      <c r="J7" s="4">
        <f>'4CO멍텅(실측)'!J7+AP7+IF(BE7=1,AD7,0)+CO4멍텅JB강제키움+CO4멍텅JBJD늘림치수</f>
        <v>5</v>
      </c>
      <c r="K7" s="4">
        <f>'4CO멍텅(실측)'!J7+AP7+IF(BE7=1,AE7,0)+CO4멍텅JB강제키움+CO4멍텅JBJD늘림치수-IF(CO4멍텅JB하부늘치=1,'4CO멍텅(실측)'!X7-'4CO멍텅(실측)'!Y7,0)</f>
        <v>5</v>
      </c>
      <c r="L7" s="4">
        <f>'4CO멍텅(실측)'!K7+AQ7+IF(BE7=1,AF7,0)+CO4멍텅JB강제키움+CO4멍텅JBJD늘림치수</f>
        <v>5</v>
      </c>
      <c r="M7" s="4">
        <f>'4CO멍텅(실측)'!K7+AQ7+IF(BE7=1,AG7,0)+CO4멍텅JB강제키움+CO4멍텅JBJD늘림치수-IF(CO4멍텅JB하부늘치=1,'4CO멍텅(실측)'!Z7-'4CO멍텅(실측)'!AA7,0)</f>
        <v>5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-2*1.4</v>
      </c>
      <c r="AI7" s="12" t="str">
        <f t="shared" ref="AI7" si="2">AZ7&amp;"*"&amp;AY7</f>
        <v>0*2.4</v>
      </c>
      <c r="AJ7" s="10" t="str">
        <f t="shared" ref="AJ7" si="3">BB7&amp;"*"&amp;BA7</f>
        <v>0*2.4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5.710593137499643</v>
      </c>
      <c r="AT7" s="36">
        <f t="shared" ref="AT7" si="4">G7-COS(RADIANS(AS7))*J7</f>
        <v>2.4814048950053902E-2</v>
      </c>
      <c r="AU7" s="36">
        <f t="shared" ref="AU7" si="5">I7-COS(RADIANS(AS7))*L7</f>
        <v>2.4814048950053902E-2</v>
      </c>
      <c r="AV7" s="46" t="str">
        <f t="shared" ref="AV7" si="6">IF(G7+AD7&lt;&gt;I7+AF7,"JD비대칭","")</f>
        <v/>
      </c>
      <c r="AW7" s="3">
        <f>F7 + IF(Z7+AA7&gt;0, P7+Q7,0)</f>
        <v>-2</v>
      </c>
      <c r="AX7" s="3">
        <f>Z7+H7+AB7+AA7-1.2*$AH$3+IF(BE7=0,MAX(AD7,AF7))+IF(AA7=0,1.2,0)</f>
        <v>1.4000000000000001</v>
      </c>
      <c r="AY7" s="3">
        <f>T7+R7+MAX(J7,K7)+AC7-1.2*$AJ$3+IF(BE7=0,MAX(AD7,AE7))+IF(T7=0,1.2,0)-IF(AM7=90,2.4,0)</f>
        <v>2.4000000000000004</v>
      </c>
      <c r="AZ7" s="3">
        <f t="shared" ref="AZ7" si="7">MAX(V7,W7)</f>
        <v>0</v>
      </c>
      <c r="BA7" s="3">
        <f>U7+S7+MAX(L7,M7)+AC7-1.2*$AJ$3+IF(BE7=0,MAX(AF7,AG7))+IF(U7=0,1.2,0)-IF(AM7=90,2.4,0)</f>
        <v>2.4000000000000004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65" t="str">
        <f>정보!K2</f>
        <v>(2UP) 실측서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서울 강남구 두산위브센티움,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>
      <c r="A4" s="163" t="str">
        <f>정보!B17</f>
        <v>제작치수 반영 : JB/JD +(5 ),  늘어난치수K -(0),  C + (0),   U + (0), OP - (2),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65" t="str">
        <f>정보!L2</f>
        <v>(2UP) 제작변환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>
      <c r="A3" s="33" t="str">
        <f>'2UP(실측)'!A3</f>
        <v>현장명 : 서울 강남구 두산위브센티움,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3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>
        <f>AO7</f>
        <v>0</v>
      </c>
      <c r="AM3" s="25"/>
      <c r="AN3" s="24"/>
      <c r="AS3" s="24"/>
    </row>
    <row r="4" spans="1:54" ht="33" customHeight="1">
      <c r="A4" s="353" t="str">
        <f>'2UP(실측)'!A4:AB4</f>
        <v>제작치수 반영 : JB/JD +(5 ),  늘어난치수K -(0),  C + (0),   U + (0), OP - (2), R - (2),  기둥차감 - (0), A + (3)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45287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-2</v>
      </c>
      <c r="E7" s="4">
        <f>'2UP(실측)'!E7+MAX(AL7,AM7)+IF(BA7=1,AC7,0)+UP2멍텅JBJD늘림치수</f>
        <v>5</v>
      </c>
      <c r="F7" s="4">
        <f>'2UP(실측)'!F7+MAX(AL7,AM7)+IF(BA7=1,AE7,0)+UP2멍텅JBJD늘림치수</f>
        <v>5</v>
      </c>
      <c r="G7" s="4">
        <f>'2UP(실측)'!G7+AL7+IF(BA7=1,AC7,0)+UP2멍텅JB강제키움+UP2멍텅JBJD늘림치수</f>
        <v>5</v>
      </c>
      <c r="H7" s="4">
        <f>'2UP(실측)'!H7+AL7+IF(BA7=1,AD7,0)+UP2멍텅JB강제키움+UP2멍텅JBJD늘림치수-IF(UP2멍텅JB하부늘치=1,'2UP(실측)'!Y7-'2UP(실측)'!Z7,0)</f>
        <v>5</v>
      </c>
      <c r="I7" s="4">
        <f>'2UP(실측)'!I7+AM7+IF(BA7=1,AE7,0)+UP2멍텅JB강제키움+UP2멍텅JBJD늘림치수</f>
        <v>5</v>
      </c>
      <c r="J7" s="4">
        <f>'2UP(실측)'!J7+AM7+IF(BA7=1,AF7,0)+UP2멍텅JB강제키움+UP2멍텅JBJD늘림치수-IF(UP2멍텅JB하부늘치=1,'2UP(실측)'!AA7-'2UP(실측)'!AB7,0)</f>
        <v>5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-2*2.6</v>
      </c>
      <c r="AH7" s="12" t="str">
        <f t="shared" ref="AH7" si="2">AV7&amp;"*"&amp;AU7</f>
        <v>0*2.4</v>
      </c>
      <c r="AI7" s="10" t="str">
        <f t="shared" ref="AI7" si="3">AX7&amp;"*"&amp;AW7</f>
        <v>0*2.4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-2</v>
      </c>
      <c r="AT7" s="3">
        <f>Y7+MAX(E7,F7)+AA7+Z7-1.2*$AG$3+IF(BA7=0,MAX(AC7,AE7))+IF(Z7=0,1.2,0)</f>
        <v>2.6000000000000005</v>
      </c>
      <c r="AU7" s="3">
        <f>Q7+O7+MAX(G7,H7)+AB7-1.2*$AI$3+IF(BA7=0,MAX(AC7,AD7))+IF(Q7=0,1.2,0)</f>
        <v>2.4000000000000004</v>
      </c>
      <c r="AV7" s="3">
        <f>MAX(S7,T7+U7)</f>
        <v>0</v>
      </c>
      <c r="AW7" s="3">
        <f>R7+P7+MAX(I7,J7)+AB7-1.2*$AI$3+IF(BA7=0,MAX(AE7,AF7))+IF(R7=0,1.2,0)</f>
        <v>2.4000000000000004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0" t="str">
        <f>정보!K3</f>
        <v>(3UP) 실측서 ( 서울 강남구 두산위브센티움 ) _이인종소장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서울 강남구 두산위브센티움,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>
      <c r="A4" s="163" t="str">
        <f>정보!B18</f>
        <v>제작치수 반영 : JB/JD +(5 ),  늘어난치수K -(0),  C + (0),   U + (0), OP - (2), R - (2),  기둥차감 - (0), A + (3)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65" t="str">
        <f>정보!L3</f>
        <v>(3UP) 제작변환 ( 서울 강남구 두산위브센티움 ) _이인종소장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>
      <c r="A3" s="33" t="str">
        <f>'3UP(실측)'!A3</f>
        <v>현장명 : 서울 강남구 두산위브센티움,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5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3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>
        <f>AU7</f>
        <v>0</v>
      </c>
      <c r="AS3" s="25"/>
      <c r="AT3" s="24"/>
      <c r="AY3" s="24"/>
    </row>
    <row r="4" spans="1:60" ht="33" customHeight="1">
      <c r="A4" s="353" t="str">
        <f>'3UP(실측)'!A4:AH4</f>
        <v>제작치수 반영 : JB/JD +(5 ),  늘어난치수K -(0),  C + (0),   U + (0), OP - (2), R - (2),  기둥차감 - (0), A + (3)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45287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-2</v>
      </c>
      <c r="E7" s="4">
        <f>'3UP(실측)'!E7+MAX(AR7,AS7)+IF(BG7=1,AG7,0)+UP3멍텅JBJD늘림치수</f>
        <v>5</v>
      </c>
      <c r="F7" s="4">
        <f>'3UP(실측)'!F7+MAX(AR7,AS7)+IF(BG7=1,AJ7,0)+UP3멍텅JBJD늘림치수</f>
        <v>5</v>
      </c>
      <c r="G7" s="4">
        <f>'3UP(실측)'!G7+AR7+IF(BG7=1,AG7,0)+UP3멍텅JB강제키움+UP3멍텅JBJD늘림치수</f>
        <v>5</v>
      </c>
      <c r="H7" s="4">
        <f>'3UP(실측)'!H7+AR7+IF(BG7=1,AH7,0)+UP3멍텅JB강제키움+UP3멍텅JBJD늘림치수-IF(UP3멍텅JB하부늘치=1,'3UP(실측)'!AC7-'3UP(실측)'!AD7,0)</f>
        <v>5</v>
      </c>
      <c r="I7" s="4">
        <f>'3UP(실측)'!I7+AR7+IF(BG7=1,AI7,0)+UP3멍텅JB강제키움+UP3멍텅JBJD늘림치수-IF(UP3멍텅JB하부늘치=1,'3UP(실측)'!AC7-'3UP(실측)'!AE7,0)</f>
        <v>5</v>
      </c>
      <c r="J7" s="4">
        <f>'3UP(실측)'!J7+AS7+IF(BG7=1,AJ7,0)+UP3멍텅JB강제키움+UP3멍텅JBJD늘림치수</f>
        <v>5</v>
      </c>
      <c r="K7" s="4">
        <f>'3UP(실측)'!K7+AS7+IF(BG7=1,AK7,0)+UP3멍텅JB강제키움+UP3멍텅JBJD늘림치수-IF(UP3멍텅JB하부늘치=1,'3UP(실측)'!AF7-'3UP(실측)'!AG7,0)</f>
        <v>5</v>
      </c>
      <c r="L7" s="4">
        <f>'3UP(실측)'!L7+AS7+IF(BG7=1,AL7,0)+UP3멍텅JB강제키움+UP3멍텅JBJD늘림치수-IF(UP3멍텅JB하부늘치=1,'3UP(실측)'!AF7-'3UP(실측)'!AH7,0)</f>
        <v>5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-2*2.6</v>
      </c>
      <c r="AN7" s="12" t="str">
        <f t="shared" ref="AN7" si="2">BB7&amp;"*"&amp;BA7</f>
        <v>0*2.4</v>
      </c>
      <c r="AO7" s="10" t="str">
        <f t="shared" ref="AO7" si="3">BD7&amp;"*"&amp;BC7</f>
        <v>0*2.4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-2</v>
      </c>
      <c r="AZ7" s="3">
        <f>AC7+MAX(E7,F7)+AE7+AD7-1.2*$AM$3+IF(BG7=0,MAX(AG7,AJ7))+IF(AD7=0,1.2,0)</f>
        <v>2.6000000000000005</v>
      </c>
      <c r="BA7" s="3">
        <f>S7+Q7+MAX(G7,I7)+AF7-1.2*$AO$3+IF(BG7=0,MAX(AG7,AI7))+IF(S7=0,1.2,0)</f>
        <v>2.4000000000000004</v>
      </c>
      <c r="BB7" s="3">
        <f>MAX(U7,V7+W7+X7)</f>
        <v>0</v>
      </c>
      <c r="BC7" s="3">
        <f>T7+R7+MAX(J7,L7)+AF7-1.2*$AO$3+IF(BG7=0,MAX(AJ7,AL7))+IF(T7=0,1.2,0)</f>
        <v>2.4000000000000004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2023-12-27T01:22:21Z</dcterms:modified>
</cp:coreProperties>
</file>