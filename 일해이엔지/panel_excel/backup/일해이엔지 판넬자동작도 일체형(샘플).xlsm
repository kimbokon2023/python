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일해이엔지\panel_excel\"/>
    </mc:Choice>
  </mc:AlternateContent>
  <xr:revisionPtr revIDLastSave="0" documentId="13_ncr:1_{8EB3A473-24DC-4A55-9BE7-6D983EE0616E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58" r:id="rId1"/>
    <sheet name="자재청구서" sheetId="54" r:id="rId2"/>
    <sheet name="DATA" sheetId="49" r:id="rId3"/>
  </sheets>
  <definedNames>
    <definedName name="BottomThick">'발주(수정)'!$V$6</definedName>
    <definedName name="CD">'발주(수정)'!$D$12</definedName>
    <definedName name="CH">'발주(수정)'!$G$12</definedName>
    <definedName name="ColThick">'발주(수정)'!$D$47</definedName>
    <definedName name="colWidth">'발주(수정)'!$G$47</definedName>
    <definedName name="CPH">'발주(수정)'!$A$47</definedName>
    <definedName name="CW">'발주(수정)'!$A$12</definedName>
    <definedName name="FirstHole">'발주(수정)'!$O$17</definedName>
    <definedName name="KH">'발주(수정)'!$S$6</definedName>
    <definedName name="KPH">'발주(수정)'!$A$39</definedName>
    <definedName name="makenum">'발주(수정)'!$J$6</definedName>
    <definedName name="material">'발주(수정)'!$D$7</definedName>
    <definedName name="OP">'발주(수정)'!$M$6</definedName>
    <definedName name="OPH">'발주(수정)'!$P$6</definedName>
    <definedName name="PopNut">'발주(수정)'!$J$12</definedName>
    <definedName name="thick">'발주(수정)'!$D$8</definedName>
    <definedName name="TRH">'발주(수정)'!$C$43</definedName>
    <definedName name="vcut여부">'발주(수정)'!$J$8</definedName>
    <definedName name="WF">'발주(수정)'!$H$17</definedName>
    <definedName name="WR">'발주(수정)'!$H$21</definedName>
    <definedName name="WRM">'발주(수정)'!$H$22</definedName>
    <definedName name="WS">'발주(수정)'!$H$18</definedName>
    <definedName name="WSM">'발주(수정)'!$H$19</definedName>
    <definedName name="가로연신율">DATA!$B$18</definedName>
    <definedName name="세로연신율">DATA!$C$18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58" l="1"/>
  <c r="M12" i="58"/>
  <c r="N58" i="54"/>
  <c r="N54" i="54"/>
  <c r="N50" i="54"/>
  <c r="N46" i="54"/>
  <c r="N42" i="54"/>
  <c r="S33" i="54" l="1"/>
  <c r="S36" i="54" l="1"/>
  <c r="H27" i="58" l="1"/>
  <c r="AK34" i="54" s="1"/>
  <c r="H17" i="58"/>
  <c r="F34" i="54" l="1"/>
  <c r="B18" i="49"/>
  <c r="C18" i="49"/>
  <c r="E19" i="49" l="1"/>
  <c r="D12" i="58" l="1"/>
  <c r="A12" i="58"/>
  <c r="J47" i="58"/>
  <c r="A47" i="58"/>
  <c r="A43" i="58"/>
  <c r="G39" i="58"/>
  <c r="D39" i="58"/>
  <c r="H26" i="58" l="1"/>
  <c r="AP27" i="54" s="1"/>
  <c r="H25" i="58"/>
  <c r="AP18" i="54" s="1"/>
  <c r="H24" i="58"/>
  <c r="AP10" i="54" s="1"/>
  <c r="H23" i="58"/>
  <c r="AG5" i="54" s="1"/>
  <c r="H22" i="58"/>
  <c r="E27" i="49" s="1"/>
  <c r="H21" i="58"/>
  <c r="E23" i="49" s="1"/>
  <c r="H20" i="58"/>
  <c r="B9" i="54" s="1"/>
  <c r="H19" i="58"/>
  <c r="E25" i="49" s="1"/>
  <c r="H18" i="58"/>
  <c r="E21" i="49" s="1"/>
  <c r="F5" i="54" l="1"/>
  <c r="B27" i="54"/>
  <c r="B17" i="54"/>
  <c r="S5" i="54"/>
  <c r="A39" i="58"/>
  <c r="P3" i="58" l="1"/>
  <c r="S10" i="54" l="1"/>
  <c r="S13" i="54"/>
  <c r="AD25" i="54" l="1"/>
  <c r="P35" i="54"/>
  <c r="M32" i="54"/>
  <c r="C60" i="54"/>
  <c r="C56" i="54"/>
  <c r="C52" i="54"/>
  <c r="C48" i="54"/>
  <c r="C44" i="54"/>
  <c r="A19" i="49"/>
  <c r="AD22" i="54"/>
  <c r="AD19" i="54"/>
  <c r="AD16" i="54"/>
  <c r="AD13" i="54"/>
  <c r="AD10" i="54"/>
  <c r="S28" i="54"/>
  <c r="S25" i="54"/>
  <c r="S22" i="54"/>
  <c r="S19" i="54"/>
  <c r="S16" i="54"/>
  <c r="AD28" i="54" l="1"/>
  <c r="N59" i="54"/>
  <c r="E26" i="49" l="1"/>
  <c r="N56" i="54" s="1"/>
  <c r="N55" i="54"/>
  <c r="N43" i="54"/>
  <c r="E20" i="49"/>
  <c r="E22" i="49"/>
  <c r="N48" i="54" s="1"/>
  <c r="N47" i="54"/>
  <c r="E24" i="49"/>
  <c r="N52" i="54" s="1"/>
  <c r="N51" i="54"/>
  <c r="N44" i="54" l="1"/>
  <c r="S42" i="58"/>
  <c r="W42" i="58"/>
  <c r="Q42" i="58"/>
  <c r="AE32" i="54"/>
  <c r="AC35" i="54"/>
  <c r="AL3" i="54" l="1"/>
</calcChain>
</file>

<file path=xl/sharedStrings.xml><?xml version="1.0" encoding="utf-8"?>
<sst xmlns="http://schemas.openxmlformats.org/spreadsheetml/2006/main" count="250" uniqueCount="213">
  <si>
    <t>CW</t>
    <phoneticPr fontId="1" type="noConversion"/>
  </si>
  <si>
    <t>CD</t>
    <phoneticPr fontId="1" type="noConversion"/>
  </si>
  <si>
    <t>WF</t>
    <phoneticPr fontId="1" type="noConversion"/>
  </si>
  <si>
    <t>WS</t>
    <phoneticPr fontId="1" type="noConversion"/>
  </si>
  <si>
    <t>CH</t>
    <phoneticPr fontId="1" type="noConversion"/>
  </si>
  <si>
    <t>WSM</t>
    <phoneticPr fontId="1" type="noConversion"/>
  </si>
  <si>
    <t>팝너트높이</t>
    <phoneticPr fontId="1" type="noConversion"/>
  </si>
  <si>
    <t>WR</t>
    <phoneticPr fontId="1" type="noConversion"/>
  </si>
  <si>
    <t>WRM</t>
    <phoneticPr fontId="1" type="noConversion"/>
  </si>
  <si>
    <t>CPH</t>
    <phoneticPr fontId="1" type="noConversion"/>
  </si>
  <si>
    <t>REAR</t>
    <phoneticPr fontId="1" type="noConversion"/>
  </si>
  <si>
    <t>OP</t>
    <phoneticPr fontId="1" type="noConversion"/>
  </si>
  <si>
    <t>TRH</t>
    <phoneticPr fontId="1" type="noConversion"/>
  </si>
  <si>
    <t>COLUMN 두께</t>
    <phoneticPr fontId="1" type="noConversion"/>
  </si>
  <si>
    <t>KPH</t>
    <phoneticPr fontId="1" type="noConversion"/>
  </si>
  <si>
    <t>COLUMN 폭</t>
    <phoneticPr fontId="1" type="noConversion"/>
  </si>
  <si>
    <t>2CO</t>
    <phoneticPr fontId="1" type="noConversion"/>
  </si>
  <si>
    <t>방화도어</t>
    <phoneticPr fontId="1" type="noConversion"/>
  </si>
  <si>
    <t>일반도어</t>
    <phoneticPr fontId="1" type="noConversion"/>
  </si>
  <si>
    <t>OPH
(출입구 높이)</t>
    <phoneticPr fontId="1" type="noConversion"/>
  </si>
  <si>
    <t>COLUMN두께</t>
    <phoneticPr fontId="1" type="noConversion"/>
  </si>
  <si>
    <t>WS</t>
    <phoneticPr fontId="1" type="noConversion"/>
  </si>
  <si>
    <t>WSM</t>
    <phoneticPr fontId="1" type="noConversion"/>
  </si>
  <si>
    <t>V-CUT</t>
    <phoneticPr fontId="1" type="noConversion"/>
  </si>
  <si>
    <t>CW
(카내부 폭)</t>
    <phoneticPr fontId="1" type="noConversion"/>
  </si>
  <si>
    <t>CD
(카내부 깊이)</t>
    <phoneticPr fontId="1" type="noConversion"/>
  </si>
  <si>
    <t>CH
(카내부 높이)</t>
    <phoneticPr fontId="1" type="noConversion"/>
  </si>
  <si>
    <t>OP
(출입구 폭)</t>
    <phoneticPr fontId="1" type="noConversion"/>
  </si>
  <si>
    <t>KH
(킥플레이트)</t>
    <phoneticPr fontId="1" type="noConversion"/>
  </si>
  <si>
    <t>WF</t>
    <phoneticPr fontId="1" type="noConversion"/>
  </si>
  <si>
    <t>WR</t>
    <phoneticPr fontId="1" type="noConversion"/>
  </si>
  <si>
    <t>WRM</t>
    <phoneticPr fontId="1" type="noConversion"/>
  </si>
  <si>
    <t>자 재  청 구 서</t>
    <phoneticPr fontId="1" type="noConversion"/>
  </si>
  <si>
    <t>&lt;1,11&gt;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</si>
  <si>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</si>
  <si>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</si>
  <si>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</si>
  <si>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&lt;기타 소재&gt;</t>
    <phoneticPr fontId="1" type="noConversion"/>
  </si>
  <si>
    <t>1공장 절단</t>
    <phoneticPr fontId="1" type="noConversion"/>
  </si>
  <si>
    <t>V-CUT "유"일때 적용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</si>
  <si>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</si>
  <si>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</si>
  <si>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</si>
  <si>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</si>
  <si>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홀간격</t>
    <phoneticPr fontId="1" type="noConversion"/>
  </si>
  <si>
    <t>CPI Type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</si>
  <si>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</si>
  <si>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</si>
  <si>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</si>
  <si>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</si>
  <si>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</si>
  <si>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</si>
  <si>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</si>
  <si>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</si>
  <si>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</si>
  <si>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</si>
  <si>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</si>
  <si>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</si>
  <si>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</si>
  <si>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</si>
  <si>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</si>
  <si>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</si>
  <si>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</si>
  <si>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</si>
  <si>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막판타공
(가로x세로)</t>
    <phoneticPr fontId="1" type="noConversion"/>
  </si>
  <si>
    <t>&lt;2,4,8,12&gt;</t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</si>
  <si>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</si>
  <si>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</si>
  <si>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</si>
  <si>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</si>
  <si>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</si>
  <si>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</si>
  <si>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세로 타공</t>
    <phoneticPr fontId="1" type="noConversion"/>
  </si>
  <si>
    <t>V-CUT</t>
    <phoneticPr fontId="1" type="noConversion"/>
  </si>
  <si>
    <t>제작 사양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</si>
  <si>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</si>
  <si>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</si>
  <si>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</si>
  <si>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</si>
  <si>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기본 Spec</t>
    <phoneticPr fontId="1" type="noConversion"/>
  </si>
  <si>
    <t>무</t>
    <phoneticPr fontId="1" type="noConversion"/>
  </si>
  <si>
    <t>P01</t>
    <phoneticPr fontId="1" type="noConversion"/>
  </si>
  <si>
    <t>P02</t>
    <phoneticPr fontId="1" type="noConversion"/>
  </si>
  <si>
    <t>P03</t>
    <phoneticPr fontId="1" type="noConversion"/>
  </si>
  <si>
    <t>P04</t>
  </si>
  <si>
    <t>P05</t>
  </si>
  <si>
    <t>P06</t>
  </si>
  <si>
    <t>P07</t>
  </si>
  <si>
    <t>P08</t>
  </si>
  <si>
    <t>P09</t>
  </si>
  <si>
    <t>P10</t>
  </si>
  <si>
    <t>P11</t>
  </si>
  <si>
    <t>의장면에서
홀까지 간격</t>
    <phoneticPr fontId="1" type="noConversion"/>
  </si>
  <si>
    <t>판넬 폭</t>
    <phoneticPr fontId="1" type="noConversion"/>
  </si>
  <si>
    <t>OPB 적용</t>
    <phoneticPr fontId="1" type="noConversion"/>
  </si>
  <si>
    <t>핸드레일 타입</t>
    <phoneticPr fontId="1" type="noConversion"/>
  </si>
  <si>
    <t>핸드레일 높이</t>
    <phoneticPr fontId="1" type="noConversion"/>
  </si>
  <si>
    <t>REAR 측 간격 (5번 판넬 끝단 기준)</t>
    <phoneticPr fontId="1" type="noConversion"/>
  </si>
  <si>
    <t>SIDE 측 간격 (전면부 기준)</t>
    <phoneticPr fontId="1" type="noConversion"/>
  </si>
  <si>
    <t>PANEL NO.</t>
    <phoneticPr fontId="1" type="noConversion"/>
  </si>
  <si>
    <t>적용 소재</t>
    <phoneticPr fontId="1" type="noConversion"/>
  </si>
  <si>
    <t>MIRROR</t>
    <phoneticPr fontId="1" type="noConversion"/>
  </si>
  <si>
    <t>수량 (대수)</t>
    <phoneticPr fontId="1" type="noConversion"/>
  </si>
  <si>
    <t>보강 타입</t>
    <phoneticPr fontId="1" type="noConversion"/>
  </si>
  <si>
    <t>A타입</t>
    <phoneticPr fontId="1" type="noConversion"/>
  </si>
  <si>
    <t>판넬 첫홀
(우측 기준)</t>
    <phoneticPr fontId="1" type="noConversion"/>
  </si>
  <si>
    <t>두번 째홀
(우측 기준)</t>
    <phoneticPr fontId="1" type="noConversion"/>
  </si>
  <si>
    <t>두번 째홀
(좌측 기준)</t>
    <phoneticPr fontId="1" type="noConversion"/>
  </si>
  <si>
    <t>판넬 첫홀
(좌측 기준)</t>
    <phoneticPr fontId="1" type="noConversion"/>
  </si>
  <si>
    <t>첫번째 홀
(좌측 기준)</t>
    <phoneticPr fontId="1" type="noConversion"/>
  </si>
  <si>
    <t>두번째 홀
(좌측 기준)</t>
    <phoneticPr fontId="1" type="noConversion"/>
  </si>
  <si>
    <t>두번째 홀
(우측 기준)</t>
    <phoneticPr fontId="1" type="noConversion"/>
  </si>
  <si>
    <t>첫번째 홀
(우측 기준)</t>
    <phoneticPr fontId="1" type="noConversion"/>
  </si>
  <si>
    <t>TRANSOM</t>
    <phoneticPr fontId="1" type="noConversion"/>
  </si>
  <si>
    <t>TRANSOM 상부 타공 간격 (승강장 기준)</t>
    <phoneticPr fontId="1" type="noConversion"/>
  </si>
  <si>
    <t>FH (바닥재 두께)</t>
    <phoneticPr fontId="1" type="noConversion"/>
  </si>
  <si>
    <t>COLUMN 길이</t>
    <phoneticPr fontId="1" type="noConversion"/>
  </si>
  <si>
    <t>COLUMN 하부 HOLE 거리</t>
    <phoneticPr fontId="1" type="noConversion"/>
  </si>
  <si>
    <t>COLUMN 하부 HOLE 가로 거리</t>
    <phoneticPr fontId="1" type="noConversion"/>
  </si>
  <si>
    <t>CAR PANEL 규격 (판넬 두께 = 25mm / 조립 볼트 M6)</t>
    <phoneticPr fontId="1" type="noConversion"/>
  </si>
  <si>
    <t>엘리베이터
기본 사양</t>
    <phoneticPr fontId="1" type="noConversion"/>
  </si>
  <si>
    <t>KH</t>
    <phoneticPr fontId="1" type="noConversion"/>
  </si>
  <si>
    <t>KH
(킥플레이트 높이)</t>
    <phoneticPr fontId="1" type="noConversion"/>
  </si>
  <si>
    <t>OP
(출입구 폭)</t>
    <phoneticPr fontId="1" type="noConversion"/>
  </si>
  <si>
    <t>OPH
(출입구 높이)</t>
    <phoneticPr fontId="1" type="noConversion"/>
  </si>
  <si>
    <t>FH
(바닥재 두께)</t>
    <phoneticPr fontId="1" type="noConversion"/>
  </si>
  <si>
    <t>판넬 폭
수정시 기록</t>
    <phoneticPr fontId="1" type="noConversion"/>
  </si>
  <si>
    <t>CPI 막판타공
수정시 기록</t>
    <phoneticPr fontId="1" type="noConversion"/>
  </si>
  <si>
    <t>세로 거리</t>
    <phoneticPr fontId="1" type="noConversion"/>
  </si>
  <si>
    <t>TR1</t>
    <phoneticPr fontId="1" type="noConversion"/>
  </si>
  <si>
    <t>TR2</t>
    <phoneticPr fontId="1" type="noConversion"/>
  </si>
  <si>
    <t>TR3</t>
    <phoneticPr fontId="1" type="noConversion"/>
  </si>
  <si>
    <t>TR4</t>
    <phoneticPr fontId="1" type="noConversion"/>
  </si>
  <si>
    <t>TR5</t>
    <phoneticPr fontId="1" type="noConversion"/>
  </si>
  <si>
    <t>TR6</t>
    <phoneticPr fontId="1" type="noConversion"/>
  </si>
  <si>
    <t>카벽 분할</t>
    <phoneticPr fontId="1" type="noConversion"/>
  </si>
  <si>
    <t>용 도</t>
    <phoneticPr fontId="1" type="noConversion"/>
  </si>
  <si>
    <t>TRIM
적용 시</t>
    <phoneticPr fontId="1" type="noConversion"/>
  </si>
  <si>
    <t>적용 소재</t>
    <phoneticPr fontId="1" type="noConversion"/>
  </si>
  <si>
    <t>KICK PLATE (V-CUT 미적용)</t>
    <phoneticPr fontId="1" type="noConversion"/>
  </si>
  <si>
    <t>핸드레일 사양 (높이는 판넬 하단 기준)</t>
    <phoneticPr fontId="1" type="noConversion"/>
  </si>
  <si>
    <t>타공 하단 높이</t>
    <phoneticPr fontId="1" type="noConversion"/>
  </si>
  <si>
    <t>SIDE</t>
    <phoneticPr fontId="1" type="noConversion"/>
  </si>
  <si>
    <t>HOP 타공 사이즈 (높이는 판넬 하단 기준)</t>
    <phoneticPr fontId="1" type="noConversion"/>
  </si>
  <si>
    <t xml:space="preserve">가로 타공 </t>
    <phoneticPr fontId="1" type="noConversion"/>
  </si>
  <si>
    <t>카트보호대 타입</t>
    <phoneticPr fontId="1" type="noConversion"/>
  </si>
  <si>
    <t>카트보호대 높이</t>
    <phoneticPr fontId="1" type="noConversion"/>
  </si>
  <si>
    <t>P11 판넬 비상사다리함 타공 사이즈 (높이는 판넬 하단 기준)</t>
    <phoneticPr fontId="1" type="noConversion"/>
  </si>
  <si>
    <t>A타입</t>
    <phoneticPr fontId="1" type="noConversion"/>
  </si>
  <si>
    <t>H/L</t>
    <phoneticPr fontId="1" type="noConversion"/>
  </si>
  <si>
    <t>COLUMN (5mm 돌출 제외)</t>
    <phoneticPr fontId="1" type="noConversion"/>
  </si>
  <si>
    <t>COP 타공 사이즈 (높이는 판넬 하단 기준)</t>
    <phoneticPr fontId="1" type="noConversion"/>
  </si>
  <si>
    <t>비상사다리함 적용시 추가 가공 (비상용) -  (높이는 판넬 하단 기준)</t>
    <phoneticPr fontId="1" type="noConversion"/>
  </si>
  <si>
    <t>카트보호대 적용시 추가 가공 (높이는 판넬 하단 기준)</t>
    <phoneticPr fontId="1" type="noConversion"/>
  </si>
  <si>
    <t>타공 간격</t>
    <phoneticPr fontId="1" type="noConversion"/>
  </si>
  <si>
    <t>일반용</t>
    <phoneticPr fontId="1" type="noConversion"/>
  </si>
  <si>
    <t>비상용</t>
    <phoneticPr fontId="1" type="noConversion"/>
  </si>
  <si>
    <t>카트보호대 적용</t>
    <phoneticPr fontId="1" type="noConversion"/>
  </si>
  <si>
    <t>비상용 / 카트보호대 적용</t>
    <phoneticPr fontId="1" type="noConversion"/>
  </si>
  <si>
    <t>LH / SH용 (종보강 2T 적용)</t>
    <phoneticPr fontId="1" type="noConversion"/>
  </si>
  <si>
    <t>LH / SH용 (종보강 2T 적용) / 비상용</t>
    <phoneticPr fontId="1" type="noConversion"/>
  </si>
  <si>
    <t>LH / SH용 (종보강 2T 적용) / 카트보호대 적용</t>
    <phoneticPr fontId="1" type="noConversion"/>
  </si>
  <si>
    <t>LH / SH용 (종보강 2T 적용) / 비상용 / 카트보호대 적용</t>
    <phoneticPr fontId="1" type="noConversion"/>
  </si>
  <si>
    <t>적용</t>
    <phoneticPr fontId="1" type="noConversion"/>
  </si>
  <si>
    <t>미적용</t>
    <phoneticPr fontId="1" type="noConversion"/>
  </si>
  <si>
    <t>이노에스템 표준</t>
    <phoneticPr fontId="1" type="noConversion"/>
  </si>
  <si>
    <t>이노에스템 전면부 일체형</t>
    <phoneticPr fontId="1" type="noConversion"/>
  </si>
  <si>
    <t>세화정공 표준</t>
    <phoneticPr fontId="1" type="noConversion"/>
  </si>
  <si>
    <t>세화정공 전면부 일체형</t>
    <phoneticPr fontId="1" type="noConversion"/>
  </si>
  <si>
    <t>에이스코리아 표준</t>
    <phoneticPr fontId="1" type="noConversion"/>
  </si>
  <si>
    <t>에이스코리아 전면부 일체형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</si>
  <si>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</si>
  <si>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</si>
  <si>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</si>
  <si>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</si>
  <si>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</si>
  <si>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</si>
  <si>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</si>
  <si>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</si>
  <si>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</si>
  <si>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</si>
  <si>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타공 HOLE(Ø)</t>
    <phoneticPr fontId="1" type="noConversion"/>
  </si>
  <si>
    <t>무</t>
  </si>
  <si>
    <t>COP 적용</t>
    <phoneticPr fontId="1" type="noConversion"/>
  </si>
  <si>
    <t>HOP 적용</t>
    <phoneticPr fontId="1" type="noConversion"/>
  </si>
  <si>
    <t>COP 적용</t>
  </si>
  <si>
    <t>BAR TYPE</t>
    <phoneticPr fontId="1" type="noConversion"/>
  </si>
  <si>
    <t>타공 HOLE(Ø)</t>
    <phoneticPr fontId="1" type="noConversion"/>
  </si>
  <si>
    <t>핸드레일홀</t>
    <phoneticPr fontId="1" type="noConversion"/>
  </si>
  <si>
    <t>마리솔루션 타입</t>
    <phoneticPr fontId="1" type="noConversion"/>
  </si>
  <si>
    <t>KPH
(킥플레이트 높이)</t>
    <phoneticPr fontId="1" type="noConversion"/>
  </si>
  <si>
    <t>일렬봉</t>
  </si>
  <si>
    <t>D366C003_CPI-DD03_막판형</t>
    <phoneticPr fontId="1" type="noConversion"/>
  </si>
  <si>
    <t>높이</t>
    <phoneticPr fontId="1" type="noConversion"/>
  </si>
  <si>
    <t>일반용</t>
  </si>
  <si>
    <t>HOP 적용</t>
  </si>
  <si>
    <t>STS304</t>
    <phoneticPr fontId="1" type="noConversion"/>
  </si>
  <si>
    <t>D366C003_CPI-DD03_막판형</t>
  </si>
  <si>
    <t>미적용</t>
  </si>
  <si>
    <t>Mr. Honggildong</t>
    <phoneticPr fontId="1" type="noConversion"/>
  </si>
  <si>
    <t>우성스틸</t>
    <phoneticPr fontId="1" type="noConversion"/>
  </si>
  <si>
    <t>304 H/L</t>
    <phoneticPr fontId="1" type="noConversion"/>
  </si>
  <si>
    <t>1.2T</t>
  </si>
  <si>
    <t>인승(P)</t>
    <phoneticPr fontId="1" type="noConversion"/>
  </si>
  <si>
    <t>VP005/HL</t>
    <phoneticPr fontId="1" type="noConversion"/>
  </si>
  <si>
    <t>VP005</t>
    <phoneticPr fontId="1" type="noConversion"/>
  </si>
  <si>
    <t>일해이엔지</t>
    <phoneticPr fontId="1" type="noConversion"/>
  </si>
  <si>
    <t>판넬 철판 두께</t>
    <phoneticPr fontId="1" type="noConversion"/>
  </si>
  <si>
    <t>판넬두께(25~35)</t>
    <phoneticPr fontId="1" type="noConversion"/>
  </si>
  <si>
    <t>타공하단H</t>
    <phoneticPr fontId="1" type="noConversion"/>
  </si>
  <si>
    <t>출입구기준
중심거리</t>
    <phoneticPr fontId="1" type="noConversion"/>
  </si>
  <si>
    <t>우성-1800-1350</t>
    <phoneticPr fontId="1" type="noConversion"/>
  </si>
  <si>
    <t>세화정공 전면부 일체형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</si>
</sst>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u/>
      <sz val="24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vertical="center" wrapText="1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7" fillId="0" borderId="0" xfId="0" applyFont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4" fontId="9" fillId="5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0" fontId="9" fillId="3" borderId="1" xfId="0" quotePrefix="1" applyFont="1" applyFill="1" applyBorder="1" applyAlignment="1">
      <alignment horizontal="center" vertical="center"/>
    </xf>
    <xf numFmtId="0" fontId="11" fillId="3" borderId="1" xfId="0" quotePrefix="1" applyFont="1" applyFill="1" applyBorder="1" applyAlignment="1">
      <alignment horizontal="center" vertical="center" wrapText="1"/>
    </xf>
    <xf numFmtId="0" fontId="9" fillId="3" borderId="1" xfId="0" quotePrefix="1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24" xfId="0" applyFont="1" applyFill="1" applyBorder="1" applyAlignment="1">
      <alignment horizontal="center" vertical="center" wrapText="1"/>
    </xf>
    <xf numFmtId="0" fontId="9" fillId="3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1" fontId="0" fillId="0" borderId="20" xfId="0" applyNumberForma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30</xdr:row>
      <xdr:rowOff>38100</xdr:rowOff>
    </xdr:from>
    <xdr:to>
      <xdr:col>8</xdr:col>
      <xdr:colOff>76200</xdr:colOff>
      <xdr:row>32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5876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P01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26</xdr:row>
      <xdr:rowOff>95250</xdr:rowOff>
    </xdr:from>
    <xdr:to>
      <xdr:col>5</xdr:col>
      <xdr:colOff>161925</xdr:colOff>
      <xdr:row>29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2950" y="52863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P02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17</xdr:row>
      <xdr:rowOff>114300</xdr:rowOff>
    </xdr:from>
    <xdr:to>
      <xdr:col>5</xdr:col>
      <xdr:colOff>161925</xdr:colOff>
      <xdr:row>19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0" y="3590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P03</a:t>
          </a:r>
          <a:endParaRPr lang="ko-KR" altLang="en-US" sz="16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5</xdr:col>
      <xdr:colOff>152400</xdr:colOff>
      <xdr:row>11</xdr:row>
      <xdr:rowOff>85725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33425" y="20288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P04</a:t>
          </a:r>
          <a:endParaRPr lang="ko-KR" altLang="en-US" sz="1600"/>
        </a:p>
      </xdr:txBody>
    </xdr:sp>
    <xdr:clientData/>
  </xdr:twoCellAnchor>
  <xdr:twoCellAnchor>
    <xdr:from>
      <xdr:col>7</xdr:col>
      <xdr:colOff>76200</xdr:colOff>
      <xdr:row>6</xdr:row>
      <xdr:rowOff>47625</xdr:rowOff>
    </xdr:from>
    <xdr:to>
      <xdr:col>9</xdr:col>
      <xdr:colOff>180975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62100" y="15430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P05</a:t>
          </a:r>
          <a:endParaRPr lang="ko-KR" altLang="en-US" sz="1600"/>
        </a:p>
      </xdr:txBody>
    </xdr:sp>
    <xdr:clientData/>
  </xdr:twoCellAnchor>
  <xdr:twoCellAnchor>
    <xdr:from>
      <xdr:col>20</xdr:col>
      <xdr:colOff>38100</xdr:colOff>
      <xdr:row>6</xdr:row>
      <xdr:rowOff>38100</xdr:rowOff>
    </xdr:from>
    <xdr:to>
      <xdr:col>22</xdr:col>
      <xdr:colOff>142875</xdr:colOff>
      <xdr:row>8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12432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P06</a:t>
          </a:r>
          <a:endParaRPr lang="ko-KR" altLang="en-US" sz="1600"/>
        </a:p>
      </xdr:txBody>
    </xdr:sp>
    <xdr:clientData/>
  </xdr:twoCellAnchor>
  <xdr:twoCellAnchor>
    <xdr:from>
      <xdr:col>33</xdr:col>
      <xdr:colOff>161925</xdr:colOff>
      <xdr:row>6</xdr:row>
      <xdr:rowOff>38100</xdr:rowOff>
    </xdr:from>
    <xdr:to>
      <xdr:col>36</xdr:col>
      <xdr:colOff>66675</xdr:colOff>
      <xdr:row>8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84847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P07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9</xdr:row>
      <xdr:rowOff>104775</xdr:rowOff>
    </xdr:from>
    <xdr:to>
      <xdr:col>40</xdr:col>
      <xdr:colOff>152400</xdr:colOff>
      <xdr:row>11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34300" y="2085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P08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17</xdr:row>
      <xdr:rowOff>133350</xdr:rowOff>
    </xdr:from>
    <xdr:to>
      <xdr:col>40</xdr:col>
      <xdr:colOff>152400</xdr:colOff>
      <xdr:row>19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734300" y="3609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P09</a:t>
          </a:r>
          <a:endParaRPr lang="ko-KR" altLang="en-US" sz="1600"/>
        </a:p>
      </xdr:txBody>
    </xdr:sp>
    <xdr:clientData/>
  </xdr:twoCellAnchor>
  <xdr:twoCellAnchor>
    <xdr:from>
      <xdr:col>38</xdr:col>
      <xdr:colOff>28575</xdr:colOff>
      <xdr:row>26</xdr:row>
      <xdr:rowOff>85725</xdr:rowOff>
    </xdr:from>
    <xdr:to>
      <xdr:col>40</xdr:col>
      <xdr:colOff>133350</xdr:colOff>
      <xdr:row>28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15250" y="52768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P10</a:t>
          </a:r>
          <a:endParaRPr lang="ko-KR" altLang="en-US" sz="1600"/>
        </a:p>
      </xdr:txBody>
    </xdr:sp>
    <xdr:clientData/>
  </xdr:twoCellAnchor>
  <xdr:twoCellAnchor>
    <xdr:from>
      <xdr:col>35</xdr:col>
      <xdr:colOff>123825</xdr:colOff>
      <xdr:row>30</xdr:row>
      <xdr:rowOff>47625</xdr:rowOff>
    </xdr:from>
    <xdr:to>
      <xdr:col>38</xdr:col>
      <xdr:colOff>28575</xdr:colOff>
      <xdr:row>32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210425" y="58864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P11</a:t>
          </a:r>
          <a:endParaRPr lang="ko-KR" altLang="en-US" sz="1600"/>
        </a:p>
      </xdr:txBody>
    </xdr:sp>
    <xdr:clientData/>
  </xdr:twoCellAnchor>
  <xdr:twoCellAnchor>
    <xdr:from>
      <xdr:col>31</xdr:col>
      <xdr:colOff>104775</xdr:colOff>
      <xdr:row>57</xdr:row>
      <xdr:rowOff>190500</xdr:rowOff>
    </xdr:from>
    <xdr:to>
      <xdr:col>43</xdr:col>
      <xdr:colOff>95250</xdr:colOff>
      <xdr:row>58</xdr:row>
      <xdr:rowOff>114300</xdr:rowOff>
    </xdr:to>
    <xdr:grpSp>
      <xdr:nvGrpSpPr>
        <xdr:cNvPr id="16" name="vcutima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391275" y="11706225"/>
          <a:ext cx="2457450" cy="180975"/>
          <a:chOff x="6391275" y="11696700"/>
          <a:chExt cx="2457450" cy="180975"/>
        </a:xfrm>
      </xdr:grpSpPr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91275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타원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8667750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52"/>
  <sheetViews>
    <sheetView tabSelected="1" zoomScaleNormal="100" workbookViewId="0">
      <selection activeCell="P7" sqref="P7:Y7"/>
    </sheetView>
  </sheetViews>
  <sheetFormatPr defaultRowHeight="13.5" x14ac:dyDescent="0.3"/>
  <cols>
    <col min="1" max="2" width="4.375" style="34" customWidth="1"/>
    <col min="3" max="3" width="7.75" style="34" customWidth="1"/>
    <col min="4" max="22" width="5.125" style="34" customWidth="1"/>
    <col min="23" max="23" width="8.875" style="34" customWidth="1"/>
    <col min="24" max="25" width="7.875" style="34" customWidth="1"/>
    <col min="26" max="16384" width="9" style="34"/>
  </cols>
  <sheetData>
    <row r="1" spans="1:25" ht="9.75" customHeight="1" x14ac:dyDescent="0.3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ht="20.100000000000001" customHeight="1" x14ac:dyDescent="0.3">
      <c r="A2" s="40" t="s">
        <v>76</v>
      </c>
      <c r="B2" s="40"/>
      <c r="C2" s="40"/>
      <c r="D2" s="51" t="s">
        <v>200</v>
      </c>
      <c r="E2" s="51"/>
      <c r="F2" s="51"/>
      <c r="G2" s="51"/>
      <c r="H2" s="51"/>
      <c r="I2" s="51"/>
      <c r="J2" s="51"/>
      <c r="K2" s="51"/>
      <c r="L2" s="51"/>
      <c r="M2" s="40" t="s">
        <v>42</v>
      </c>
      <c r="N2" s="40"/>
      <c r="O2" s="40"/>
      <c r="P2" s="51" t="s">
        <v>199</v>
      </c>
      <c r="Q2" s="51"/>
      <c r="R2" s="51"/>
      <c r="S2" s="51"/>
      <c r="T2" s="51"/>
      <c r="U2" s="60" t="s">
        <v>136</v>
      </c>
      <c r="V2" s="60"/>
      <c r="W2" s="41" t="s">
        <v>194</v>
      </c>
      <c r="X2" s="41"/>
      <c r="Y2" s="41"/>
    </row>
    <row r="3" spans="1:25" ht="20.100000000000001" customHeight="1" x14ac:dyDescent="0.3">
      <c r="A3" s="40" t="s">
        <v>77</v>
      </c>
      <c r="B3" s="40"/>
      <c r="C3" s="40"/>
      <c r="D3" s="59" t="s">
        <v>211</v>
      </c>
      <c r="E3" s="59"/>
      <c r="F3" s="59"/>
      <c r="G3" s="59"/>
      <c r="H3" s="59"/>
      <c r="I3" s="59"/>
      <c r="J3" s="59"/>
      <c r="K3" s="59"/>
      <c r="L3" s="59"/>
      <c r="M3" s="40" t="s">
        <v>43</v>
      </c>
      <c r="N3" s="40"/>
      <c r="O3" s="40"/>
      <c r="P3" s="41">
        <f ca="1">TODAY()</f>
        <v>45414</v>
      </c>
      <c r="Q3" s="41"/>
      <c r="R3" s="41"/>
      <c r="S3" s="41"/>
      <c r="T3" s="41"/>
      <c r="U3" s="60"/>
      <c r="V3" s="60"/>
      <c r="W3" s="41"/>
      <c r="X3" s="41"/>
      <c r="Y3" s="41"/>
    </row>
    <row r="4" spans="1:25" ht="9.9499999999999993" customHeight="1" x14ac:dyDescent="0.3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:25" ht="30" customHeight="1" x14ac:dyDescent="0.3">
      <c r="A5" s="42" t="s">
        <v>120</v>
      </c>
      <c r="B5" s="40"/>
      <c r="C5" s="40"/>
      <c r="D5" s="40" t="s">
        <v>75</v>
      </c>
      <c r="E5" s="40"/>
      <c r="F5" s="40"/>
      <c r="G5" s="40" t="s">
        <v>203</v>
      </c>
      <c r="H5" s="40"/>
      <c r="I5" s="40"/>
      <c r="J5" s="42" t="s">
        <v>102</v>
      </c>
      <c r="K5" s="40"/>
      <c r="L5" s="40"/>
      <c r="M5" s="42" t="s">
        <v>123</v>
      </c>
      <c r="N5" s="40"/>
      <c r="O5" s="40"/>
      <c r="P5" s="42" t="s">
        <v>124</v>
      </c>
      <c r="Q5" s="40"/>
      <c r="R5" s="40"/>
      <c r="S5" s="42" t="s">
        <v>122</v>
      </c>
      <c r="T5" s="40"/>
      <c r="U5" s="40"/>
      <c r="V5" s="61" t="s">
        <v>125</v>
      </c>
      <c r="W5" s="62"/>
      <c r="X5" s="61" t="s">
        <v>208</v>
      </c>
      <c r="Y5" s="62"/>
    </row>
    <row r="6" spans="1:25" ht="20.100000000000001" customHeight="1" x14ac:dyDescent="0.3">
      <c r="A6" s="40"/>
      <c r="B6" s="40"/>
      <c r="C6" s="40"/>
      <c r="D6" s="39" t="s">
        <v>16</v>
      </c>
      <c r="E6" s="39"/>
      <c r="F6" s="39"/>
      <c r="G6" s="39">
        <v>15</v>
      </c>
      <c r="H6" s="39"/>
      <c r="I6" s="39"/>
      <c r="J6" s="39">
        <v>1</v>
      </c>
      <c r="K6" s="39"/>
      <c r="L6" s="39"/>
      <c r="M6" s="39">
        <v>900</v>
      </c>
      <c r="N6" s="39"/>
      <c r="O6" s="39"/>
      <c r="P6" s="39">
        <v>2100</v>
      </c>
      <c r="Q6" s="39"/>
      <c r="R6" s="39"/>
      <c r="S6" s="39">
        <v>83</v>
      </c>
      <c r="T6" s="39"/>
      <c r="U6" s="39"/>
      <c r="V6" s="48">
        <v>5</v>
      </c>
      <c r="W6" s="49"/>
      <c r="X6" s="48">
        <v>25</v>
      </c>
      <c r="Y6" s="49"/>
    </row>
    <row r="7" spans="1:25" ht="20.100000000000001" customHeight="1" x14ac:dyDescent="0.3">
      <c r="A7" s="40" t="s">
        <v>78</v>
      </c>
      <c r="B7" s="40"/>
      <c r="C7" s="40"/>
      <c r="D7" s="51" t="s">
        <v>196</v>
      </c>
      <c r="E7" s="51"/>
      <c r="F7" s="51"/>
      <c r="G7" s="51"/>
      <c r="H7" s="51"/>
      <c r="I7" s="51"/>
      <c r="J7" s="51"/>
      <c r="K7" s="51"/>
      <c r="L7" s="51"/>
      <c r="M7" s="40" t="s">
        <v>79</v>
      </c>
      <c r="N7" s="40"/>
      <c r="O7" s="40"/>
      <c r="P7" s="41" t="s">
        <v>204</v>
      </c>
      <c r="Q7" s="41"/>
      <c r="R7" s="41"/>
      <c r="S7" s="41"/>
      <c r="T7" s="41"/>
      <c r="U7" s="41"/>
      <c r="V7" s="41"/>
      <c r="W7" s="41"/>
      <c r="X7" s="41"/>
      <c r="Y7" s="41"/>
    </row>
    <row r="8" spans="1:25" ht="20.100000000000001" customHeight="1" x14ac:dyDescent="0.3">
      <c r="A8" s="40" t="s">
        <v>207</v>
      </c>
      <c r="B8" s="40"/>
      <c r="C8" s="40"/>
      <c r="D8" s="51" t="s">
        <v>202</v>
      </c>
      <c r="E8" s="51"/>
      <c r="F8" s="51"/>
      <c r="G8" s="52" t="s">
        <v>73</v>
      </c>
      <c r="H8" s="52"/>
      <c r="I8" s="52"/>
      <c r="J8" s="51" t="s">
        <v>198</v>
      </c>
      <c r="K8" s="51"/>
      <c r="L8" s="51"/>
      <c r="M8" s="40" t="s">
        <v>74</v>
      </c>
      <c r="N8" s="40"/>
      <c r="O8" s="40"/>
      <c r="P8" s="41" t="s">
        <v>212</v>
      </c>
      <c r="Q8" s="41"/>
      <c r="R8" s="41"/>
      <c r="S8" s="41"/>
      <c r="T8" s="41"/>
      <c r="U8" s="41"/>
      <c r="V8" s="41"/>
      <c r="W8" s="41"/>
      <c r="X8" s="41"/>
      <c r="Y8" s="41"/>
    </row>
    <row r="9" spans="1:25" ht="9.9499999999999993" customHeight="1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</row>
    <row r="10" spans="1:25" ht="20.100000000000001" customHeight="1" x14ac:dyDescent="0.3">
      <c r="A10" s="40" t="s">
        <v>119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</row>
    <row r="11" spans="1:25" ht="20.100000000000001" customHeight="1" x14ac:dyDescent="0.3">
      <c r="A11" s="40" t="s">
        <v>0</v>
      </c>
      <c r="B11" s="40"/>
      <c r="C11" s="40"/>
      <c r="D11" s="40" t="s">
        <v>1</v>
      </c>
      <c r="E11" s="40"/>
      <c r="F11" s="40"/>
      <c r="G11" s="40" t="s">
        <v>4</v>
      </c>
      <c r="H11" s="40"/>
      <c r="I11" s="40"/>
      <c r="J11" s="40" t="s">
        <v>6</v>
      </c>
      <c r="K11" s="40"/>
      <c r="L11" s="40"/>
      <c r="M11" s="40" t="s">
        <v>9</v>
      </c>
      <c r="N11" s="40"/>
      <c r="O11" s="40"/>
      <c r="P11" s="40" t="s">
        <v>135</v>
      </c>
      <c r="Q11" s="40"/>
      <c r="R11" s="40"/>
      <c r="S11" s="40" t="s">
        <v>142</v>
      </c>
      <c r="T11" s="40"/>
      <c r="U11" s="40"/>
      <c r="V11" s="39">
        <v>3</v>
      </c>
      <c r="W11" s="39"/>
      <c r="X11" s="39"/>
      <c r="Y11" s="39"/>
    </row>
    <row r="12" spans="1:25" ht="20.100000000000001" customHeight="1" x14ac:dyDescent="0.3">
      <c r="A12" s="40">
        <f>(J14*2+M14+U14+V14)-50</f>
        <v>1800</v>
      </c>
      <c r="B12" s="40"/>
      <c r="C12" s="40"/>
      <c r="D12" s="40">
        <f>D14*2+G14+S14+T14</f>
        <v>1350</v>
      </c>
      <c r="E12" s="40"/>
      <c r="F12" s="40"/>
      <c r="G12" s="39">
        <v>2450</v>
      </c>
      <c r="H12" s="39"/>
      <c r="I12" s="39"/>
      <c r="J12" s="39">
        <v>5</v>
      </c>
      <c r="K12" s="39"/>
      <c r="L12" s="39"/>
      <c r="M12" s="40">
        <f>G12-KPH-J12*2</f>
        <v>2352</v>
      </c>
      <c r="N12" s="40"/>
      <c r="O12" s="40"/>
      <c r="P12" s="40"/>
      <c r="Q12" s="40"/>
      <c r="R12" s="40"/>
      <c r="S12" s="40" t="s">
        <v>10</v>
      </c>
      <c r="T12" s="40"/>
      <c r="U12" s="40"/>
      <c r="V12" s="39">
        <v>3</v>
      </c>
      <c r="W12" s="39"/>
      <c r="X12" s="39"/>
      <c r="Y12" s="39"/>
    </row>
    <row r="13" spans="1:25" ht="20.100000000000001" customHeight="1" x14ac:dyDescent="0.3">
      <c r="A13" s="40" t="s">
        <v>2</v>
      </c>
      <c r="B13" s="40"/>
      <c r="C13" s="40"/>
      <c r="D13" s="40" t="s">
        <v>3</v>
      </c>
      <c r="E13" s="40"/>
      <c r="F13" s="40"/>
      <c r="G13" s="40" t="s">
        <v>5</v>
      </c>
      <c r="H13" s="40"/>
      <c r="I13" s="40"/>
      <c r="J13" s="40" t="s">
        <v>7</v>
      </c>
      <c r="K13" s="40"/>
      <c r="L13" s="40"/>
      <c r="M13" s="40" t="s">
        <v>8</v>
      </c>
      <c r="N13" s="40"/>
      <c r="O13" s="40"/>
      <c r="P13" s="42" t="s">
        <v>137</v>
      </c>
      <c r="Q13" s="40" t="s">
        <v>138</v>
      </c>
      <c r="R13" s="40"/>
      <c r="S13" s="35" t="s">
        <v>129</v>
      </c>
      <c r="T13" s="35" t="s">
        <v>130</v>
      </c>
      <c r="U13" s="35" t="s">
        <v>131</v>
      </c>
      <c r="V13" s="35" t="s">
        <v>132</v>
      </c>
      <c r="W13" s="35" t="s">
        <v>133</v>
      </c>
      <c r="X13" s="40" t="s">
        <v>134</v>
      </c>
      <c r="Y13" s="40"/>
    </row>
    <row r="14" spans="1:25" ht="20.100000000000001" customHeight="1" x14ac:dyDescent="0.3">
      <c r="A14" s="39">
        <v>475</v>
      </c>
      <c r="B14" s="39"/>
      <c r="C14" s="39"/>
      <c r="D14" s="39">
        <v>325</v>
      </c>
      <c r="E14" s="39"/>
      <c r="F14" s="39"/>
      <c r="G14" s="39">
        <v>700</v>
      </c>
      <c r="H14" s="39"/>
      <c r="I14" s="39"/>
      <c r="J14" s="39">
        <v>475</v>
      </c>
      <c r="K14" s="39"/>
      <c r="L14" s="39"/>
      <c r="M14" s="39">
        <v>900</v>
      </c>
      <c r="N14" s="39"/>
      <c r="O14" s="39"/>
      <c r="P14" s="42"/>
      <c r="Q14" s="43" t="s">
        <v>101</v>
      </c>
      <c r="R14" s="39"/>
      <c r="S14" s="36"/>
      <c r="T14" s="36"/>
      <c r="U14" s="36"/>
      <c r="V14" s="36"/>
      <c r="W14" s="36"/>
      <c r="X14" s="39"/>
      <c r="Y14" s="39"/>
    </row>
    <row r="15" spans="1:25" ht="9.9499999999999993" customHeight="1" x14ac:dyDescent="0.3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</row>
    <row r="16" spans="1:25" ht="30" customHeight="1" x14ac:dyDescent="0.3">
      <c r="A16" s="40" t="s">
        <v>99</v>
      </c>
      <c r="B16" s="40"/>
      <c r="C16" s="40"/>
      <c r="D16" s="42" t="s">
        <v>100</v>
      </c>
      <c r="E16" s="42"/>
      <c r="F16" s="42"/>
      <c r="G16" s="42"/>
      <c r="H16" s="42" t="s">
        <v>93</v>
      </c>
      <c r="I16" s="42"/>
      <c r="J16" s="50" t="s">
        <v>126</v>
      </c>
      <c r="K16" s="50"/>
      <c r="L16" s="42" t="s">
        <v>92</v>
      </c>
      <c r="M16" s="42"/>
      <c r="N16" s="42"/>
      <c r="O16" s="42" t="s">
        <v>108</v>
      </c>
      <c r="P16" s="42"/>
      <c r="Q16" s="42" t="s">
        <v>107</v>
      </c>
      <c r="R16" s="42"/>
      <c r="S16" s="42" t="s">
        <v>106</v>
      </c>
      <c r="T16" s="42"/>
      <c r="U16" s="42" t="s">
        <v>105</v>
      </c>
      <c r="V16" s="42"/>
      <c r="W16" s="40" t="s">
        <v>94</v>
      </c>
      <c r="X16" s="40"/>
      <c r="Y16" s="40"/>
    </row>
    <row r="17" spans="1:25" ht="20.100000000000001" customHeight="1" x14ac:dyDescent="0.3">
      <c r="A17" s="40" t="s">
        <v>81</v>
      </c>
      <c r="B17" s="40"/>
      <c r="C17" s="40"/>
      <c r="D17" s="39" t="s">
        <v>201</v>
      </c>
      <c r="E17" s="39"/>
      <c r="F17" s="39"/>
      <c r="G17" s="39"/>
      <c r="H17" s="40">
        <f>A14</f>
        <v>475</v>
      </c>
      <c r="I17" s="40"/>
      <c r="J17" s="45"/>
      <c r="K17" s="45"/>
      <c r="L17" s="48">
        <v>12</v>
      </c>
      <c r="M17" s="54"/>
      <c r="N17" s="49"/>
      <c r="O17" s="39">
        <v>75</v>
      </c>
      <c r="P17" s="39"/>
      <c r="Q17" s="39">
        <v>0</v>
      </c>
      <c r="R17" s="39"/>
      <c r="S17" s="39">
        <v>0</v>
      </c>
      <c r="T17" s="39"/>
      <c r="U17" s="39">
        <v>50</v>
      </c>
      <c r="V17" s="39"/>
      <c r="W17" s="39" t="s">
        <v>185</v>
      </c>
      <c r="X17" s="39"/>
      <c r="Y17" s="39"/>
    </row>
    <row r="18" spans="1:25" ht="20.100000000000001" customHeight="1" x14ac:dyDescent="0.3">
      <c r="A18" s="40" t="s">
        <v>82</v>
      </c>
      <c r="B18" s="40"/>
      <c r="C18" s="40"/>
      <c r="D18" s="39" t="s">
        <v>201</v>
      </c>
      <c r="E18" s="39"/>
      <c r="F18" s="39"/>
      <c r="G18" s="39"/>
      <c r="H18" s="40">
        <f>D14</f>
        <v>325</v>
      </c>
      <c r="I18" s="40"/>
      <c r="J18" s="45"/>
      <c r="K18" s="45"/>
      <c r="L18" s="48">
        <v>12</v>
      </c>
      <c r="M18" s="54"/>
      <c r="N18" s="49"/>
      <c r="O18" s="39">
        <v>50</v>
      </c>
      <c r="P18" s="39"/>
      <c r="Q18" s="39">
        <v>0</v>
      </c>
      <c r="R18" s="39"/>
      <c r="S18" s="39">
        <v>0</v>
      </c>
      <c r="T18" s="39"/>
      <c r="U18" s="39">
        <v>50</v>
      </c>
      <c r="V18" s="39"/>
      <c r="W18" s="39" t="s">
        <v>182</v>
      </c>
      <c r="X18" s="39"/>
      <c r="Y18" s="39"/>
    </row>
    <row r="19" spans="1:25" ht="20.100000000000001" customHeight="1" x14ac:dyDescent="0.3">
      <c r="A19" s="40" t="s">
        <v>83</v>
      </c>
      <c r="B19" s="40"/>
      <c r="C19" s="40"/>
      <c r="D19" s="39" t="s">
        <v>205</v>
      </c>
      <c r="E19" s="39"/>
      <c r="F19" s="39"/>
      <c r="G19" s="39"/>
      <c r="H19" s="40">
        <f>G14</f>
        <v>700</v>
      </c>
      <c r="I19" s="40"/>
      <c r="J19" s="45"/>
      <c r="K19" s="45"/>
      <c r="L19" s="48">
        <v>12</v>
      </c>
      <c r="M19" s="54"/>
      <c r="N19" s="49"/>
      <c r="O19" s="39">
        <v>50</v>
      </c>
      <c r="P19" s="39"/>
      <c r="Q19" s="39">
        <v>0</v>
      </c>
      <c r="R19" s="39"/>
      <c r="S19" s="39">
        <v>0</v>
      </c>
      <c r="T19" s="39"/>
      <c r="U19" s="39">
        <v>50</v>
      </c>
      <c r="V19" s="39"/>
      <c r="W19" s="39" t="s">
        <v>182</v>
      </c>
      <c r="X19" s="39"/>
      <c r="Y19" s="39"/>
    </row>
    <row r="20" spans="1:25" ht="20.100000000000001" customHeight="1" x14ac:dyDescent="0.3">
      <c r="A20" s="40" t="s">
        <v>84</v>
      </c>
      <c r="B20" s="40"/>
      <c r="C20" s="40"/>
      <c r="D20" s="39" t="s">
        <v>201</v>
      </c>
      <c r="E20" s="39"/>
      <c r="F20" s="39"/>
      <c r="G20" s="39"/>
      <c r="H20" s="40">
        <f>D14</f>
        <v>325</v>
      </c>
      <c r="I20" s="40"/>
      <c r="J20" s="45"/>
      <c r="K20" s="45"/>
      <c r="L20" s="48">
        <v>12</v>
      </c>
      <c r="M20" s="54"/>
      <c r="N20" s="49"/>
      <c r="O20" s="39">
        <v>50</v>
      </c>
      <c r="P20" s="39"/>
      <c r="Q20" s="39">
        <v>0</v>
      </c>
      <c r="R20" s="39"/>
      <c r="S20" s="39">
        <v>0</v>
      </c>
      <c r="T20" s="39"/>
      <c r="U20" s="39">
        <v>50</v>
      </c>
      <c r="V20" s="39"/>
      <c r="W20" s="39" t="s">
        <v>80</v>
      </c>
      <c r="X20" s="39"/>
      <c r="Y20" s="39"/>
    </row>
    <row r="21" spans="1:25" ht="20.100000000000001" customHeight="1" x14ac:dyDescent="0.3">
      <c r="A21" s="40" t="s">
        <v>85</v>
      </c>
      <c r="B21" s="40"/>
      <c r="C21" s="40"/>
      <c r="D21" s="39" t="s">
        <v>201</v>
      </c>
      <c r="E21" s="39"/>
      <c r="F21" s="39"/>
      <c r="G21" s="39"/>
      <c r="H21" s="40">
        <f>J14</f>
        <v>475</v>
      </c>
      <c r="I21" s="40"/>
      <c r="J21" s="45"/>
      <c r="K21" s="45"/>
      <c r="L21" s="48">
        <v>12</v>
      </c>
      <c r="M21" s="54"/>
      <c r="N21" s="49"/>
      <c r="O21" s="39">
        <v>50</v>
      </c>
      <c r="P21" s="39"/>
      <c r="Q21" s="39">
        <v>0</v>
      </c>
      <c r="R21" s="39"/>
      <c r="S21" s="39">
        <v>0</v>
      </c>
      <c r="T21" s="39"/>
      <c r="U21" s="39">
        <v>50</v>
      </c>
      <c r="V21" s="39"/>
      <c r="W21" s="39" t="s">
        <v>80</v>
      </c>
      <c r="X21" s="39"/>
      <c r="Y21" s="39"/>
    </row>
    <row r="22" spans="1:25" ht="20.100000000000001" customHeight="1" x14ac:dyDescent="0.3">
      <c r="A22" s="40" t="s">
        <v>86</v>
      </c>
      <c r="B22" s="40"/>
      <c r="C22" s="40"/>
      <c r="D22" s="39" t="s">
        <v>205</v>
      </c>
      <c r="E22" s="39"/>
      <c r="F22" s="39"/>
      <c r="G22" s="39"/>
      <c r="H22" s="40">
        <f>M14</f>
        <v>900</v>
      </c>
      <c r="I22" s="40"/>
      <c r="J22" s="45"/>
      <c r="K22" s="45"/>
      <c r="L22" s="48">
        <v>12</v>
      </c>
      <c r="M22" s="54"/>
      <c r="N22" s="49"/>
      <c r="O22" s="39">
        <v>50</v>
      </c>
      <c r="P22" s="39"/>
      <c r="Q22" s="39">
        <v>0</v>
      </c>
      <c r="R22" s="39"/>
      <c r="S22" s="39">
        <v>0</v>
      </c>
      <c r="T22" s="39"/>
      <c r="U22" s="39">
        <v>50</v>
      </c>
      <c r="V22" s="39"/>
      <c r="W22" s="39" t="s">
        <v>80</v>
      </c>
      <c r="X22" s="39"/>
      <c r="Y22" s="39"/>
    </row>
    <row r="23" spans="1:25" ht="20.100000000000001" customHeight="1" x14ac:dyDescent="0.3">
      <c r="A23" s="40" t="s">
        <v>87</v>
      </c>
      <c r="B23" s="40"/>
      <c r="C23" s="40"/>
      <c r="D23" s="39" t="s">
        <v>201</v>
      </c>
      <c r="E23" s="39"/>
      <c r="F23" s="39"/>
      <c r="G23" s="39"/>
      <c r="H23" s="40">
        <f>J14</f>
        <v>475</v>
      </c>
      <c r="I23" s="40"/>
      <c r="J23" s="45"/>
      <c r="K23" s="45"/>
      <c r="L23" s="48">
        <v>12</v>
      </c>
      <c r="M23" s="54"/>
      <c r="N23" s="49"/>
      <c r="O23" s="39">
        <v>50</v>
      </c>
      <c r="P23" s="39"/>
      <c r="Q23" s="39">
        <v>0</v>
      </c>
      <c r="R23" s="39"/>
      <c r="S23" s="39">
        <v>0</v>
      </c>
      <c r="T23" s="39"/>
      <c r="U23" s="39">
        <v>50</v>
      </c>
      <c r="V23" s="39"/>
      <c r="W23" s="39" t="s">
        <v>80</v>
      </c>
      <c r="X23" s="39"/>
      <c r="Y23" s="39"/>
    </row>
    <row r="24" spans="1:25" ht="20.100000000000001" customHeight="1" x14ac:dyDescent="0.3">
      <c r="A24" s="40" t="s">
        <v>88</v>
      </c>
      <c r="B24" s="40"/>
      <c r="C24" s="40"/>
      <c r="D24" s="39" t="s">
        <v>201</v>
      </c>
      <c r="E24" s="39"/>
      <c r="F24" s="39"/>
      <c r="G24" s="39"/>
      <c r="H24" s="40">
        <f>D14</f>
        <v>325</v>
      </c>
      <c r="I24" s="40"/>
      <c r="J24" s="45"/>
      <c r="K24" s="45"/>
      <c r="L24" s="48">
        <v>12</v>
      </c>
      <c r="M24" s="54"/>
      <c r="N24" s="49"/>
      <c r="O24" s="39">
        <v>50</v>
      </c>
      <c r="P24" s="39"/>
      <c r="Q24" s="39">
        <v>0</v>
      </c>
      <c r="R24" s="39"/>
      <c r="S24" s="39">
        <v>0</v>
      </c>
      <c r="T24" s="39"/>
      <c r="U24" s="39">
        <v>50</v>
      </c>
      <c r="V24" s="39"/>
      <c r="W24" s="39" t="s">
        <v>80</v>
      </c>
      <c r="X24" s="39"/>
      <c r="Y24" s="39"/>
    </row>
    <row r="25" spans="1:25" ht="20.100000000000001" customHeight="1" x14ac:dyDescent="0.3">
      <c r="A25" s="40" t="s">
        <v>89</v>
      </c>
      <c r="B25" s="40"/>
      <c r="C25" s="40"/>
      <c r="D25" s="39" t="s">
        <v>205</v>
      </c>
      <c r="E25" s="39"/>
      <c r="F25" s="39"/>
      <c r="G25" s="39"/>
      <c r="H25" s="40">
        <f>G14</f>
        <v>700</v>
      </c>
      <c r="I25" s="40"/>
      <c r="J25" s="45"/>
      <c r="K25" s="45"/>
      <c r="L25" s="48">
        <v>12</v>
      </c>
      <c r="M25" s="54"/>
      <c r="N25" s="49"/>
      <c r="O25" s="39">
        <v>50</v>
      </c>
      <c r="P25" s="39"/>
      <c r="Q25" s="39">
        <v>0</v>
      </c>
      <c r="R25" s="39"/>
      <c r="S25" s="39">
        <v>0</v>
      </c>
      <c r="T25" s="39"/>
      <c r="U25" s="39">
        <v>50</v>
      </c>
      <c r="V25" s="39"/>
      <c r="W25" s="39" t="s">
        <v>195</v>
      </c>
      <c r="X25" s="39"/>
      <c r="Y25" s="39"/>
    </row>
    <row r="26" spans="1:25" ht="20.100000000000001" customHeight="1" x14ac:dyDescent="0.3">
      <c r="A26" s="40" t="s">
        <v>90</v>
      </c>
      <c r="B26" s="40"/>
      <c r="C26" s="40"/>
      <c r="D26" s="39" t="s">
        <v>201</v>
      </c>
      <c r="E26" s="39"/>
      <c r="F26" s="39"/>
      <c r="G26" s="39"/>
      <c r="H26" s="40">
        <f>D14</f>
        <v>325</v>
      </c>
      <c r="I26" s="40"/>
      <c r="J26" s="45"/>
      <c r="K26" s="45"/>
      <c r="L26" s="48">
        <v>12</v>
      </c>
      <c r="M26" s="54"/>
      <c r="N26" s="49"/>
      <c r="O26" s="39">
        <v>50</v>
      </c>
      <c r="P26" s="39"/>
      <c r="Q26" s="39">
        <v>0</v>
      </c>
      <c r="R26" s="39"/>
      <c r="S26" s="39">
        <v>0</v>
      </c>
      <c r="T26" s="39"/>
      <c r="U26" s="39">
        <v>50</v>
      </c>
      <c r="V26" s="39"/>
      <c r="W26" s="39" t="s">
        <v>80</v>
      </c>
      <c r="X26" s="39"/>
      <c r="Y26" s="39"/>
    </row>
    <row r="27" spans="1:25" ht="20.100000000000001" customHeight="1" x14ac:dyDescent="0.3">
      <c r="A27" s="40" t="s">
        <v>91</v>
      </c>
      <c r="B27" s="40"/>
      <c r="C27" s="40"/>
      <c r="D27" s="39" t="s">
        <v>201</v>
      </c>
      <c r="E27" s="39"/>
      <c r="F27" s="39"/>
      <c r="G27" s="39"/>
      <c r="H27" s="40">
        <f>A14</f>
        <v>475</v>
      </c>
      <c r="I27" s="40"/>
      <c r="J27" s="45"/>
      <c r="K27" s="45"/>
      <c r="L27" s="48">
        <v>12</v>
      </c>
      <c r="M27" s="54"/>
      <c r="N27" s="49"/>
      <c r="O27" s="39">
        <v>50</v>
      </c>
      <c r="P27" s="39"/>
      <c r="Q27" s="39">
        <v>0</v>
      </c>
      <c r="R27" s="39"/>
      <c r="S27" s="39">
        <v>0</v>
      </c>
      <c r="T27" s="39"/>
      <c r="U27" s="39">
        <v>75</v>
      </c>
      <c r="V27" s="39"/>
      <c r="W27" s="39" t="s">
        <v>182</v>
      </c>
      <c r="X27" s="39"/>
      <c r="Y27" s="39"/>
    </row>
    <row r="28" spans="1:25" ht="7.5" customHeight="1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</row>
    <row r="29" spans="1:25" ht="7.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</row>
    <row r="30" spans="1:25" ht="24.95" customHeight="1" x14ac:dyDescent="0.3">
      <c r="A30" s="40" t="s">
        <v>151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 t="s">
        <v>140</v>
      </c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</row>
    <row r="31" spans="1:25" ht="35.25" customHeight="1" x14ac:dyDescent="0.3">
      <c r="A31" s="46" t="s">
        <v>209</v>
      </c>
      <c r="B31" s="47"/>
      <c r="C31" s="38" t="s">
        <v>210</v>
      </c>
      <c r="D31" s="46" t="s">
        <v>144</v>
      </c>
      <c r="E31" s="47"/>
      <c r="F31" s="40" t="s">
        <v>72</v>
      </c>
      <c r="G31" s="40"/>
      <c r="H31" s="40" t="s">
        <v>154</v>
      </c>
      <c r="I31" s="40"/>
      <c r="J31" s="40" t="s">
        <v>103</v>
      </c>
      <c r="K31" s="40"/>
      <c r="L31" s="40"/>
      <c r="M31" s="40" t="s">
        <v>95</v>
      </c>
      <c r="N31" s="40"/>
      <c r="O31" s="40"/>
      <c r="P31" s="39" t="s">
        <v>191</v>
      </c>
      <c r="Q31" s="39"/>
      <c r="R31" s="39"/>
      <c r="S31" s="40" t="s">
        <v>96</v>
      </c>
      <c r="T31" s="40"/>
      <c r="U31" s="40"/>
      <c r="V31" s="39">
        <v>710</v>
      </c>
      <c r="W31" s="39"/>
      <c r="X31" s="39"/>
      <c r="Y31" s="39"/>
    </row>
    <row r="32" spans="1:25" ht="24.95" customHeight="1" x14ac:dyDescent="0.3">
      <c r="A32" s="48">
        <v>670</v>
      </c>
      <c r="B32" s="49"/>
      <c r="C32" s="36">
        <v>225</v>
      </c>
      <c r="D32" s="39">
        <v>166</v>
      </c>
      <c r="E32" s="39"/>
      <c r="F32" s="39">
        <v>1182</v>
      </c>
      <c r="G32" s="39"/>
      <c r="H32" s="39">
        <v>100</v>
      </c>
      <c r="I32" s="39"/>
      <c r="J32" s="39" t="s">
        <v>148</v>
      </c>
      <c r="K32" s="39"/>
      <c r="L32" s="39"/>
      <c r="M32" s="40" t="s">
        <v>98</v>
      </c>
      <c r="N32" s="40"/>
      <c r="O32" s="40"/>
      <c r="P32" s="40"/>
      <c r="Q32" s="40"/>
      <c r="R32" s="40"/>
      <c r="S32" s="40"/>
      <c r="T32" s="40"/>
      <c r="U32" s="40"/>
      <c r="V32" s="40"/>
      <c r="W32" s="42" t="s">
        <v>181</v>
      </c>
      <c r="X32" s="42"/>
      <c r="Y32" s="42"/>
    </row>
    <row r="33" spans="1:25" ht="24.95" customHeight="1" x14ac:dyDescent="0.3">
      <c r="A33" s="40" t="s">
        <v>143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39">
        <v>200</v>
      </c>
      <c r="N33" s="39"/>
      <c r="O33" s="39">
        <v>475</v>
      </c>
      <c r="P33" s="39"/>
      <c r="Q33" s="39">
        <v>475</v>
      </c>
      <c r="R33" s="39"/>
      <c r="S33" s="39">
        <v>200</v>
      </c>
      <c r="T33" s="39"/>
      <c r="U33" s="39"/>
      <c r="V33" s="39"/>
      <c r="W33" s="39">
        <v>10</v>
      </c>
      <c r="X33" s="39"/>
      <c r="Y33" s="39"/>
    </row>
    <row r="34" spans="1:25" ht="24.95" customHeight="1" x14ac:dyDescent="0.3">
      <c r="A34" s="40" t="s">
        <v>141</v>
      </c>
      <c r="B34" s="40"/>
      <c r="C34" s="40"/>
      <c r="D34" s="40" t="s">
        <v>144</v>
      </c>
      <c r="E34" s="40"/>
      <c r="F34" s="40" t="s">
        <v>72</v>
      </c>
      <c r="G34" s="40"/>
      <c r="H34" s="40" t="s">
        <v>154</v>
      </c>
      <c r="I34" s="40"/>
      <c r="J34" s="40" t="s">
        <v>103</v>
      </c>
      <c r="K34" s="40"/>
      <c r="L34" s="40"/>
      <c r="M34" s="40" t="s">
        <v>97</v>
      </c>
      <c r="N34" s="40"/>
      <c r="O34" s="40"/>
      <c r="P34" s="40"/>
      <c r="Q34" s="40"/>
      <c r="R34" s="40"/>
      <c r="S34" s="40"/>
      <c r="T34" s="40"/>
      <c r="U34" s="40"/>
      <c r="V34" s="40"/>
      <c r="W34" s="42" t="s">
        <v>181</v>
      </c>
      <c r="X34" s="42"/>
      <c r="Y34" s="42"/>
    </row>
    <row r="35" spans="1:25" ht="24.95" customHeight="1" x14ac:dyDescent="0.3">
      <c r="A35" s="39">
        <v>785</v>
      </c>
      <c r="B35" s="39"/>
      <c r="C35" s="39"/>
      <c r="D35" s="39">
        <v>436</v>
      </c>
      <c r="E35" s="39"/>
      <c r="F35" s="39">
        <v>276</v>
      </c>
      <c r="G35" s="39"/>
      <c r="H35" s="39">
        <v>300</v>
      </c>
      <c r="I35" s="39"/>
      <c r="J35" s="39" t="s">
        <v>104</v>
      </c>
      <c r="K35" s="39"/>
      <c r="L35" s="39"/>
      <c r="M35" s="39">
        <v>225</v>
      </c>
      <c r="N35" s="39"/>
      <c r="O35" s="39">
        <v>700</v>
      </c>
      <c r="P35" s="39"/>
      <c r="Q35" s="39">
        <v>700</v>
      </c>
      <c r="R35" s="39"/>
      <c r="S35" s="39">
        <v>225</v>
      </c>
      <c r="T35" s="39"/>
      <c r="U35" s="39"/>
      <c r="V35" s="39"/>
      <c r="W35" s="39">
        <v>10</v>
      </c>
      <c r="X35" s="39"/>
      <c r="Y35" s="39"/>
    </row>
    <row r="36" spans="1:25" ht="9.9499999999999993" customHeight="1" x14ac:dyDescent="0.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</row>
    <row r="37" spans="1:25" ht="24.95" customHeight="1" x14ac:dyDescent="0.3">
      <c r="A37" s="40" t="s">
        <v>139</v>
      </c>
      <c r="B37" s="40"/>
      <c r="C37" s="40"/>
      <c r="D37" s="40"/>
      <c r="E37" s="40"/>
      <c r="F37" s="40"/>
      <c r="G37" s="40"/>
      <c r="H37" s="40"/>
      <c r="I37" s="40"/>
      <c r="J37" s="40" t="s">
        <v>100</v>
      </c>
      <c r="K37" s="40"/>
      <c r="L37" s="40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</row>
    <row r="38" spans="1:25" ht="24.95" customHeight="1" x14ac:dyDescent="0.3">
      <c r="A38" s="40" t="s">
        <v>14</v>
      </c>
      <c r="B38" s="40"/>
      <c r="C38" s="40"/>
      <c r="D38" s="40" t="s">
        <v>121</v>
      </c>
      <c r="E38" s="40"/>
      <c r="F38" s="40"/>
      <c r="G38" s="40" t="s">
        <v>115</v>
      </c>
      <c r="H38" s="40"/>
      <c r="I38" s="40"/>
      <c r="J38" s="43" t="s">
        <v>149</v>
      </c>
      <c r="K38" s="43"/>
      <c r="L38" s="4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</row>
    <row r="39" spans="1:25" ht="24.95" customHeight="1" x14ac:dyDescent="0.3">
      <c r="A39" s="40">
        <f>D39+G39</f>
        <v>88</v>
      </c>
      <c r="B39" s="40"/>
      <c r="C39" s="40"/>
      <c r="D39" s="40">
        <f>S6</f>
        <v>83</v>
      </c>
      <c r="E39" s="40"/>
      <c r="F39" s="40"/>
      <c r="G39" s="40">
        <f>V6</f>
        <v>5</v>
      </c>
      <c r="H39" s="40"/>
      <c r="I39" s="40"/>
      <c r="J39" s="43"/>
      <c r="K39" s="43"/>
      <c r="L39" s="4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</row>
    <row r="40" spans="1:25" ht="9.9499999999999993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</row>
    <row r="41" spans="1:25" ht="24.95" customHeight="1" x14ac:dyDescent="0.3">
      <c r="A41" s="40" t="s">
        <v>113</v>
      </c>
      <c r="B41" s="40"/>
      <c r="C41" s="40"/>
      <c r="D41" s="40"/>
      <c r="E41" s="40" t="s">
        <v>114</v>
      </c>
      <c r="F41" s="40"/>
      <c r="G41" s="40"/>
      <c r="H41" s="40"/>
      <c r="I41" s="40"/>
      <c r="J41" s="40"/>
      <c r="K41" s="40"/>
      <c r="L41" s="40"/>
      <c r="M41" s="40" t="s">
        <v>100</v>
      </c>
      <c r="N41" s="40"/>
      <c r="O41" s="40" t="s">
        <v>45</v>
      </c>
      <c r="P41" s="40"/>
      <c r="Q41" s="41" t="s">
        <v>197</v>
      </c>
      <c r="R41" s="41"/>
      <c r="S41" s="41"/>
      <c r="T41" s="41"/>
      <c r="U41" s="41"/>
      <c r="V41" s="41"/>
      <c r="W41" s="41"/>
      <c r="X41" s="41"/>
      <c r="Y41" s="41"/>
    </row>
    <row r="42" spans="1:25" ht="30" customHeight="1" x14ac:dyDescent="0.3">
      <c r="A42" s="40" t="s">
        <v>11</v>
      </c>
      <c r="B42" s="40"/>
      <c r="C42" s="40" t="s">
        <v>12</v>
      </c>
      <c r="D42" s="40"/>
      <c r="E42" s="42" t="s">
        <v>109</v>
      </c>
      <c r="F42" s="40"/>
      <c r="G42" s="42" t="s">
        <v>110</v>
      </c>
      <c r="H42" s="40"/>
      <c r="I42" s="42" t="s">
        <v>111</v>
      </c>
      <c r="J42" s="40"/>
      <c r="K42" s="42" t="s">
        <v>112</v>
      </c>
      <c r="L42" s="40"/>
      <c r="M42" s="43" t="s">
        <v>101</v>
      </c>
      <c r="N42" s="39"/>
      <c r="O42" s="57" t="s">
        <v>64</v>
      </c>
      <c r="P42" s="57"/>
      <c r="Q42" s="55">
        <f>VLOOKUP(Q41,DATA!$E2:$H92,2,FALSE)</f>
        <v>300</v>
      </c>
      <c r="R42" s="55"/>
      <c r="S42" s="40">
        <f>VLOOKUP(Q41,DATA!$E2:$H92,3,FALSE)</f>
        <v>70</v>
      </c>
      <c r="T42" s="40"/>
      <c r="U42" s="40" t="s">
        <v>44</v>
      </c>
      <c r="V42" s="40"/>
      <c r="W42" s="35">
        <f>VLOOKUP(Q41,DATA!$E2:$H92,4,FALSE)</f>
        <v>0</v>
      </c>
      <c r="X42" s="35" t="s">
        <v>193</v>
      </c>
      <c r="Y42" s="35">
        <v>90</v>
      </c>
    </row>
    <row r="43" spans="1:25" ht="30" customHeight="1" x14ac:dyDescent="0.3">
      <c r="A43" s="40">
        <f>M6</f>
        <v>900</v>
      </c>
      <c r="B43" s="40"/>
      <c r="C43" s="40">
        <f>G12-P6-PopNut</f>
        <v>345</v>
      </c>
      <c r="D43" s="40"/>
      <c r="E43" s="39">
        <v>50</v>
      </c>
      <c r="F43" s="39"/>
      <c r="G43" s="39">
        <v>400</v>
      </c>
      <c r="H43" s="39"/>
      <c r="I43" s="39">
        <v>400</v>
      </c>
      <c r="J43" s="39"/>
      <c r="K43" s="39">
        <v>50</v>
      </c>
      <c r="L43" s="39"/>
      <c r="M43" s="39"/>
      <c r="N43" s="39"/>
      <c r="O43" s="56" t="s">
        <v>127</v>
      </c>
      <c r="P43" s="56"/>
      <c r="Q43" s="45"/>
      <c r="R43" s="45"/>
      <c r="S43" s="45"/>
      <c r="T43" s="45"/>
      <c r="U43" s="45" t="s">
        <v>44</v>
      </c>
      <c r="V43" s="45"/>
      <c r="W43" s="37"/>
      <c r="X43" s="37" t="s">
        <v>193</v>
      </c>
      <c r="Y43" s="37"/>
    </row>
    <row r="44" spans="1:25" ht="9.9499999999999993" customHeight="1" x14ac:dyDescent="0.3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</row>
    <row r="45" spans="1:25" ht="24.95" customHeight="1" x14ac:dyDescent="0.3">
      <c r="A45" s="40" t="s">
        <v>150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 t="s">
        <v>100</v>
      </c>
      <c r="N45" s="40"/>
      <c r="O45" s="40" t="s">
        <v>117</v>
      </c>
      <c r="P45" s="40"/>
      <c r="Q45" s="40"/>
      <c r="R45" s="40"/>
      <c r="S45" s="40"/>
      <c r="T45" s="40"/>
      <c r="U45" s="40"/>
      <c r="V45" s="40"/>
      <c r="W45" s="40"/>
      <c r="X45" s="40"/>
      <c r="Y45" s="40"/>
    </row>
    <row r="46" spans="1:25" ht="24.95" customHeight="1" x14ac:dyDescent="0.3">
      <c r="A46" s="40" t="s">
        <v>116</v>
      </c>
      <c r="B46" s="40"/>
      <c r="C46" s="40"/>
      <c r="D46" s="40" t="s">
        <v>13</v>
      </c>
      <c r="E46" s="40"/>
      <c r="F46" s="40"/>
      <c r="G46" s="40" t="s">
        <v>15</v>
      </c>
      <c r="H46" s="40"/>
      <c r="I46" s="40"/>
      <c r="J46" s="40" t="s">
        <v>115</v>
      </c>
      <c r="K46" s="40"/>
      <c r="L46" s="40"/>
      <c r="M46" s="43" t="s">
        <v>101</v>
      </c>
      <c r="N46" s="39"/>
      <c r="O46" s="40" t="s">
        <v>118</v>
      </c>
      <c r="P46" s="40"/>
      <c r="Q46" s="40"/>
      <c r="R46" s="40"/>
      <c r="S46" s="40"/>
      <c r="T46" s="40"/>
      <c r="U46" s="40" t="s">
        <v>128</v>
      </c>
      <c r="V46" s="40"/>
      <c r="W46" s="40"/>
      <c r="X46" s="40"/>
      <c r="Y46" s="40"/>
    </row>
    <row r="47" spans="1:25" ht="24.95" customHeight="1" x14ac:dyDescent="0.3">
      <c r="A47" s="40">
        <f>G12+V6</f>
        <v>2455</v>
      </c>
      <c r="B47" s="40"/>
      <c r="C47" s="40"/>
      <c r="D47" s="39">
        <v>40</v>
      </c>
      <c r="E47" s="39"/>
      <c r="F47" s="39"/>
      <c r="G47" s="39">
        <v>80</v>
      </c>
      <c r="H47" s="39"/>
      <c r="I47" s="39"/>
      <c r="J47" s="40">
        <f>V6</f>
        <v>5</v>
      </c>
      <c r="K47" s="40"/>
      <c r="L47" s="40"/>
      <c r="M47" s="39"/>
      <c r="N47" s="39"/>
      <c r="O47" s="39">
        <v>15</v>
      </c>
      <c r="P47" s="39"/>
      <c r="Q47" s="39"/>
      <c r="R47" s="39"/>
      <c r="S47" s="39"/>
      <c r="T47" s="39"/>
      <c r="U47" s="39">
        <v>50</v>
      </c>
      <c r="V47" s="39"/>
      <c r="W47" s="39"/>
      <c r="X47" s="39"/>
      <c r="Y47" s="39"/>
    </row>
    <row r="48" spans="1:25" ht="9.9499999999999993" customHeight="1" x14ac:dyDescent="0.3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</row>
    <row r="49" spans="1:25" ht="24.95" customHeight="1" x14ac:dyDescent="0.3">
      <c r="A49" s="44" t="s">
        <v>152</v>
      </c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 t="s">
        <v>153</v>
      </c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</row>
    <row r="50" spans="1:25" ht="24.95" customHeight="1" x14ac:dyDescent="0.3">
      <c r="A50" s="40" t="s">
        <v>147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 t="s">
        <v>145</v>
      </c>
      <c r="N50" s="40"/>
      <c r="O50" s="40"/>
      <c r="P50" s="39" t="s">
        <v>186</v>
      </c>
      <c r="Q50" s="39"/>
      <c r="R50" s="39"/>
      <c r="S50" s="40" t="s">
        <v>146</v>
      </c>
      <c r="T50" s="40"/>
      <c r="U50" s="40"/>
      <c r="V50" s="39">
        <v>200</v>
      </c>
      <c r="W50" s="39"/>
      <c r="X50" s="39"/>
      <c r="Y50" s="39"/>
    </row>
    <row r="51" spans="1:25" ht="24.95" customHeight="1" x14ac:dyDescent="0.3">
      <c r="A51" s="40" t="s">
        <v>141</v>
      </c>
      <c r="B51" s="40"/>
      <c r="C51" s="40"/>
      <c r="D51" s="40" t="s">
        <v>144</v>
      </c>
      <c r="E51" s="40"/>
      <c r="F51" s="40"/>
      <c r="G51" s="40" t="s">
        <v>72</v>
      </c>
      <c r="H51" s="40"/>
      <c r="I51" s="40"/>
      <c r="J51" s="40" t="s">
        <v>103</v>
      </c>
      <c r="K51" s="40"/>
      <c r="L51" s="40"/>
      <c r="M51" s="40" t="s">
        <v>97</v>
      </c>
      <c r="N51" s="40"/>
      <c r="O51" s="40"/>
      <c r="P51" s="40"/>
      <c r="Q51" s="40"/>
      <c r="R51" s="40"/>
      <c r="S51" s="40"/>
      <c r="T51" s="40"/>
      <c r="U51" s="40"/>
      <c r="V51" s="40"/>
      <c r="W51" s="40" t="s">
        <v>187</v>
      </c>
      <c r="X51" s="40"/>
      <c r="Y51" s="40"/>
    </row>
    <row r="52" spans="1:25" ht="24.95" customHeight="1" x14ac:dyDescent="0.3">
      <c r="A52" s="39"/>
      <c r="B52" s="39"/>
      <c r="C52" s="39"/>
      <c r="D52" s="39"/>
      <c r="E52" s="39"/>
      <c r="F52" s="39"/>
      <c r="G52" s="39"/>
      <c r="H52" s="39"/>
      <c r="I52" s="39"/>
      <c r="J52" s="39" t="s">
        <v>189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>
        <v>10</v>
      </c>
      <c r="X52" s="39"/>
      <c r="Y52" s="39"/>
    </row>
  </sheetData>
  <mergeCells count="316">
    <mergeCell ref="A27:C27"/>
    <mergeCell ref="A22:C22"/>
    <mergeCell ref="A23:C23"/>
    <mergeCell ref="A24:C24"/>
    <mergeCell ref="A25:C25"/>
    <mergeCell ref="A26:C26"/>
    <mergeCell ref="A14:C14"/>
    <mergeCell ref="W21:Y21"/>
    <mergeCell ref="W20:Y20"/>
    <mergeCell ref="J21:K21"/>
    <mergeCell ref="J22:K22"/>
    <mergeCell ref="J23:K23"/>
    <mergeCell ref="D25:G25"/>
    <mergeCell ref="D26:G26"/>
    <mergeCell ref="D27:G27"/>
    <mergeCell ref="H25:I25"/>
    <mergeCell ref="H26:I26"/>
    <mergeCell ref="H24:I24"/>
    <mergeCell ref="L22:N22"/>
    <mergeCell ref="D24:G24"/>
    <mergeCell ref="D23:G23"/>
    <mergeCell ref="D21:G21"/>
    <mergeCell ref="D22:G22"/>
    <mergeCell ref="H21:I21"/>
    <mergeCell ref="A1:Y1"/>
    <mergeCell ref="A2:C2"/>
    <mergeCell ref="A3:C3"/>
    <mergeCell ref="D2:L2"/>
    <mergeCell ref="D3:L3"/>
    <mergeCell ref="J5:L5"/>
    <mergeCell ref="G5:I5"/>
    <mergeCell ref="D5:F5"/>
    <mergeCell ref="M2:O2"/>
    <mergeCell ref="M3:O3"/>
    <mergeCell ref="M5:O5"/>
    <mergeCell ref="A5:C6"/>
    <mergeCell ref="D6:F6"/>
    <mergeCell ref="P2:T2"/>
    <mergeCell ref="P3:T3"/>
    <mergeCell ref="U2:V3"/>
    <mergeCell ref="P5:R5"/>
    <mergeCell ref="J6:L6"/>
    <mergeCell ref="S5:U5"/>
    <mergeCell ref="A4:Y4"/>
    <mergeCell ref="W2:Y3"/>
    <mergeCell ref="V5:W5"/>
    <mergeCell ref="V6:W6"/>
    <mergeCell ref="X5:Y5"/>
    <mergeCell ref="H22:I22"/>
    <mergeCell ref="S22:T22"/>
    <mergeCell ref="Q21:R21"/>
    <mergeCell ref="W35:Y35"/>
    <mergeCell ref="W34:Y34"/>
    <mergeCell ref="W33:Y33"/>
    <mergeCell ref="W32:Y32"/>
    <mergeCell ref="V31:Y31"/>
    <mergeCell ref="H31:I31"/>
    <mergeCell ref="H23:I23"/>
    <mergeCell ref="O26:P26"/>
    <mergeCell ref="O27:P27"/>
    <mergeCell ref="S31:U31"/>
    <mergeCell ref="P31:R31"/>
    <mergeCell ref="M31:O31"/>
    <mergeCell ref="L23:N23"/>
    <mergeCell ref="L24:N24"/>
    <mergeCell ref="L25:N25"/>
    <mergeCell ref="L26:N26"/>
    <mergeCell ref="L27:N27"/>
    <mergeCell ref="A29:Y29"/>
    <mergeCell ref="A28:Y28"/>
    <mergeCell ref="J31:L31"/>
    <mergeCell ref="D31:E31"/>
    <mergeCell ref="F31:G31"/>
    <mergeCell ref="H27:I27"/>
    <mergeCell ref="W23:Y23"/>
    <mergeCell ref="M30:Y30"/>
    <mergeCell ref="W27:Y27"/>
    <mergeCell ref="W26:Y26"/>
    <mergeCell ref="W25:Y25"/>
    <mergeCell ref="W24:Y24"/>
    <mergeCell ref="U22:V22"/>
    <mergeCell ref="Q27:R27"/>
    <mergeCell ref="O25:P25"/>
    <mergeCell ref="J27:K27"/>
    <mergeCell ref="U27:V27"/>
    <mergeCell ref="S26:T26"/>
    <mergeCell ref="S27:T27"/>
    <mergeCell ref="Q26:R26"/>
    <mergeCell ref="S23:T23"/>
    <mergeCell ref="S24:T24"/>
    <mergeCell ref="S25:T25"/>
    <mergeCell ref="W22:Y22"/>
    <mergeCell ref="U26:V26"/>
    <mergeCell ref="Q22:R22"/>
    <mergeCell ref="U23:V23"/>
    <mergeCell ref="U24:V24"/>
    <mergeCell ref="H32:I32"/>
    <mergeCell ref="H34:I34"/>
    <mergeCell ref="H35:I35"/>
    <mergeCell ref="D39:F39"/>
    <mergeCell ref="Q35:R35"/>
    <mergeCell ref="S35:T35"/>
    <mergeCell ref="U35:V35"/>
    <mergeCell ref="U42:V42"/>
    <mergeCell ref="S42:T42"/>
    <mergeCell ref="D32:E32"/>
    <mergeCell ref="M41:N41"/>
    <mergeCell ref="Q23:R23"/>
    <mergeCell ref="Q24:R24"/>
    <mergeCell ref="Q25:R25"/>
    <mergeCell ref="A40:Y40"/>
    <mergeCell ref="M37:Y39"/>
    <mergeCell ref="A36:Y36"/>
    <mergeCell ref="M42:N43"/>
    <mergeCell ref="U43:V43"/>
    <mergeCell ref="S43:T43"/>
    <mergeCell ref="Q43:R43"/>
    <mergeCell ref="O43:P43"/>
    <mergeCell ref="O35:P35"/>
    <mergeCell ref="O41:P41"/>
    <mergeCell ref="O42:P42"/>
    <mergeCell ref="K43:L43"/>
    <mergeCell ref="J37:L37"/>
    <mergeCell ref="J38:L39"/>
    <mergeCell ref="A33:L33"/>
    <mergeCell ref="M33:N33"/>
    <mergeCell ref="O33:P33"/>
    <mergeCell ref="Q33:R33"/>
    <mergeCell ref="S33:T33"/>
    <mergeCell ref="U25:V25"/>
    <mergeCell ref="F32:G32"/>
    <mergeCell ref="J26:K26"/>
    <mergeCell ref="S17:T17"/>
    <mergeCell ref="S18:T18"/>
    <mergeCell ref="S19:T19"/>
    <mergeCell ref="S20:T20"/>
    <mergeCell ref="S21:T21"/>
    <mergeCell ref="A21:C21"/>
    <mergeCell ref="L17:N17"/>
    <mergeCell ref="L18:N18"/>
    <mergeCell ref="L19:N19"/>
    <mergeCell ref="H17:I17"/>
    <mergeCell ref="H18:I18"/>
    <mergeCell ref="H19:I19"/>
    <mergeCell ref="A17:C17"/>
    <mergeCell ref="A18:C18"/>
    <mergeCell ref="A20:C20"/>
    <mergeCell ref="H20:I20"/>
    <mergeCell ref="J20:K20"/>
    <mergeCell ref="L20:N20"/>
    <mergeCell ref="L21:N21"/>
    <mergeCell ref="J18:K18"/>
    <mergeCell ref="J19:K19"/>
    <mergeCell ref="J17:K17"/>
    <mergeCell ref="O17:P17"/>
    <mergeCell ref="U17:V17"/>
    <mergeCell ref="U18:V18"/>
    <mergeCell ref="U19:V19"/>
    <mergeCell ref="U21:V21"/>
    <mergeCell ref="Q17:R17"/>
    <mergeCell ref="Q18:R18"/>
    <mergeCell ref="Q19:R19"/>
    <mergeCell ref="Q20:R20"/>
    <mergeCell ref="U20:V20"/>
    <mergeCell ref="G6:I6"/>
    <mergeCell ref="D11:F11"/>
    <mergeCell ref="G11:I11"/>
    <mergeCell ref="J11:L11"/>
    <mergeCell ref="A13:C13"/>
    <mergeCell ref="A12:C12"/>
    <mergeCell ref="D12:F12"/>
    <mergeCell ref="G12:I12"/>
    <mergeCell ref="J12:L12"/>
    <mergeCell ref="M6:O6"/>
    <mergeCell ref="P13:P14"/>
    <mergeCell ref="Q13:R13"/>
    <mergeCell ref="Q14:R14"/>
    <mergeCell ref="P6:R6"/>
    <mergeCell ref="S6:U6"/>
    <mergeCell ref="M11:O11"/>
    <mergeCell ref="P11:R12"/>
    <mergeCell ref="S11:U11"/>
    <mergeCell ref="S12:U12"/>
    <mergeCell ref="P8:Y8"/>
    <mergeCell ref="P7:Y7"/>
    <mergeCell ref="X6:Y6"/>
    <mergeCell ref="J16:K16"/>
    <mergeCell ref="A7:C7"/>
    <mergeCell ref="D7:L7"/>
    <mergeCell ref="A8:C8"/>
    <mergeCell ref="D8:F8"/>
    <mergeCell ref="G8:I8"/>
    <mergeCell ref="J8:L8"/>
    <mergeCell ref="D16:G16"/>
    <mergeCell ref="A16:C16"/>
    <mergeCell ref="A15:Y15"/>
    <mergeCell ref="X14:Y14"/>
    <mergeCell ref="M7:O7"/>
    <mergeCell ref="M8:O8"/>
    <mergeCell ref="J13:L13"/>
    <mergeCell ref="J14:L14"/>
    <mergeCell ref="M13:O13"/>
    <mergeCell ref="M14:O14"/>
    <mergeCell ref="O16:P16"/>
    <mergeCell ref="A10:Y10"/>
    <mergeCell ref="A9:Y9"/>
    <mergeCell ref="U16:V16"/>
    <mergeCell ref="Q16:R16"/>
    <mergeCell ref="W17:Y17"/>
    <mergeCell ref="W16:Y16"/>
    <mergeCell ref="W19:Y19"/>
    <mergeCell ref="W18:Y18"/>
    <mergeCell ref="S16:T16"/>
    <mergeCell ref="M12:O12"/>
    <mergeCell ref="A11:C11"/>
    <mergeCell ref="J35:L35"/>
    <mergeCell ref="K42:L42"/>
    <mergeCell ref="A38:C38"/>
    <mergeCell ref="D38:F38"/>
    <mergeCell ref="X13:Y13"/>
    <mergeCell ref="V12:Y12"/>
    <mergeCell ref="V11:Y11"/>
    <mergeCell ref="D17:G17"/>
    <mergeCell ref="D18:G18"/>
    <mergeCell ref="A19:C19"/>
    <mergeCell ref="L16:N16"/>
    <mergeCell ref="D20:G20"/>
    <mergeCell ref="H16:I16"/>
    <mergeCell ref="D13:F13"/>
    <mergeCell ref="D14:F14"/>
    <mergeCell ref="G13:I13"/>
    <mergeCell ref="G14:I14"/>
    <mergeCell ref="O18:P18"/>
    <mergeCell ref="O19:P19"/>
    <mergeCell ref="D19:G19"/>
    <mergeCell ref="A50:L50"/>
    <mergeCell ref="M50:O50"/>
    <mergeCell ref="P50:R50"/>
    <mergeCell ref="J24:K24"/>
    <mergeCell ref="J25:K25"/>
    <mergeCell ref="O20:P20"/>
    <mergeCell ref="O21:P21"/>
    <mergeCell ref="O22:P22"/>
    <mergeCell ref="O23:P23"/>
    <mergeCell ref="O24:P24"/>
    <mergeCell ref="A39:C39"/>
    <mergeCell ref="A37:I37"/>
    <mergeCell ref="A41:D41"/>
    <mergeCell ref="E41:L41"/>
    <mergeCell ref="A31:B31"/>
    <mergeCell ref="A32:B32"/>
    <mergeCell ref="A30:L30"/>
    <mergeCell ref="J32:L32"/>
    <mergeCell ref="M32:V32"/>
    <mergeCell ref="U33:V33"/>
    <mergeCell ref="A34:C34"/>
    <mergeCell ref="W52:Y52"/>
    <mergeCell ref="W51:Y51"/>
    <mergeCell ref="A43:B43"/>
    <mergeCell ref="E42:F42"/>
    <mergeCell ref="A49:L49"/>
    <mergeCell ref="E43:F43"/>
    <mergeCell ref="G42:H42"/>
    <mergeCell ref="G43:H43"/>
    <mergeCell ref="A51:C51"/>
    <mergeCell ref="D51:F51"/>
    <mergeCell ref="G51:I51"/>
    <mergeCell ref="J51:L51"/>
    <mergeCell ref="M51:V51"/>
    <mergeCell ref="J46:L46"/>
    <mergeCell ref="A45:L45"/>
    <mergeCell ref="G46:I46"/>
    <mergeCell ref="D46:F46"/>
    <mergeCell ref="A46:C46"/>
    <mergeCell ref="A52:C52"/>
    <mergeCell ref="D52:F52"/>
    <mergeCell ref="G52:I52"/>
    <mergeCell ref="J52:L52"/>
    <mergeCell ref="S50:U50"/>
    <mergeCell ref="M45:N45"/>
    <mergeCell ref="J34:L34"/>
    <mergeCell ref="M34:V34"/>
    <mergeCell ref="M52:N52"/>
    <mergeCell ref="O52:P52"/>
    <mergeCell ref="Q52:R52"/>
    <mergeCell ref="S52:T52"/>
    <mergeCell ref="U52:V52"/>
    <mergeCell ref="M46:N47"/>
    <mergeCell ref="O46:T46"/>
    <mergeCell ref="O47:T47"/>
    <mergeCell ref="M35:N35"/>
    <mergeCell ref="Q42:R42"/>
    <mergeCell ref="V50:Y50"/>
    <mergeCell ref="M49:Y49"/>
    <mergeCell ref="A48:Y48"/>
    <mergeCell ref="U47:Y47"/>
    <mergeCell ref="U46:Y46"/>
    <mergeCell ref="O45:Y45"/>
    <mergeCell ref="A44:Y44"/>
    <mergeCell ref="D34:E34"/>
    <mergeCell ref="F34:G34"/>
    <mergeCell ref="F35:G35"/>
    <mergeCell ref="D35:E35"/>
    <mergeCell ref="A35:C35"/>
    <mergeCell ref="G38:I38"/>
    <mergeCell ref="G39:I39"/>
    <mergeCell ref="Q41:Y41"/>
    <mergeCell ref="A42:B42"/>
    <mergeCell ref="C42:D42"/>
    <mergeCell ref="C43:D43"/>
    <mergeCell ref="J47:L47"/>
    <mergeCell ref="G47:I47"/>
    <mergeCell ref="D47:F47"/>
    <mergeCell ref="A47:C47"/>
    <mergeCell ref="I43:J43"/>
    <mergeCell ref="I42:J4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6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0000000}">
          <x14:formula1>
            <xm:f>DATA!$C$1:$C$3</xm:f>
          </x14:formula1>
          <xm:sqref>D8:E8</xm:sqref>
        </x14:dataValidation>
        <x14:dataValidation type="list" allowBlank="1" showInputMessage="1" showErrorMessage="1" xr:uid="{00000000-0002-0000-0000-000001000000}">
          <x14:formula1>
            <xm:f>DATA!$A$29:$A$36</xm:f>
          </x14:formula1>
          <xm:sqref>W2</xm:sqref>
        </x14:dataValidation>
        <x14:dataValidation type="list" allowBlank="1" showInputMessage="1" showErrorMessage="1" xr:uid="{00000000-0002-0000-0000-000002000000}">
          <x14:formula1>
            <xm:f>DATA!$A$39:$A$40</xm:f>
          </x14:formula1>
          <xm:sqref>J8:L8</xm:sqref>
        </x14:dataValidation>
        <x14:dataValidation type="list" allowBlank="1" showInputMessage="1" showErrorMessage="1" xr:uid="{00000000-0002-0000-0000-000003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4000000}">
          <x14:formula1>
            <xm:f>DATA!$A$49:$A$51</xm:f>
          </x14:formula1>
          <xm:sqref>V11:V12</xm:sqref>
        </x14:dataValidation>
        <x14:dataValidation type="list" allowBlank="1" showInputMessage="1" showErrorMessage="1" xr:uid="{00000000-0002-0000-0000-000005000000}">
          <x14:formula1>
            <xm:f>DATA!$A$53:$A$54</xm:f>
          </x14:formula1>
          <xm:sqref>W26:W27 W17:W18</xm:sqref>
        </x14:dataValidation>
        <x14:dataValidation type="list" allowBlank="1" showInputMessage="1" showErrorMessage="1" xr:uid="{00000000-0002-0000-0000-000006000000}">
          <x14:formula1>
            <xm:f>DATA!$A$56:$A$57</xm:f>
          </x14:formula1>
          <xm:sqref>W19:W25</xm:sqref>
        </x14:dataValidation>
        <x14:dataValidation type="list" allowBlank="1" showInputMessage="1" showErrorMessage="1" xr:uid="{00000000-0002-0000-0000-000007000000}">
          <x14:formula1>
            <xm:f>DATA!$A$59:$A$60</xm:f>
          </x14:formula1>
          <xm:sqref>J32:L32</xm:sqref>
        </x14:dataValidation>
        <x14:dataValidation type="list" allowBlank="1" showInputMessage="1" showErrorMessage="1" xr:uid="{00000000-0002-0000-0000-000008000000}">
          <x14:formula1>
            <xm:f>DATA!$A$62:$A$64</xm:f>
          </x14:formula1>
          <xm:sqref>J35:L35</xm:sqref>
        </x14:dataValidation>
        <x14:dataValidation type="list" allowBlank="1" showInputMessage="1" showErrorMessage="1" xr:uid="{00000000-0002-0000-0000-000009000000}">
          <x14:formula1>
            <xm:f>DATA!$A$66:$A$68</xm:f>
          </x14:formula1>
          <xm:sqref>P31:R31</xm:sqref>
        </x14:dataValidation>
        <x14:dataValidation type="list" allowBlank="1" showInputMessage="1" showErrorMessage="1" xr:uid="{00000000-0002-0000-0000-00000A000000}">
          <x14:formula1>
            <xm:f>DATA!$A$70:$A$71</xm:f>
          </x14:formula1>
          <xm:sqref>J52:L52</xm:sqref>
        </x14:dataValidation>
        <x14:dataValidation type="list" allowBlank="1" showInputMessage="1" showErrorMessage="1" xr:uid="{00000000-0002-0000-0000-00000B000000}">
          <x14:formula1>
            <xm:f>DATA!$E$1:$E$15</xm:f>
          </x14:formula1>
          <xm:sqref>Q41</xm:sqref>
        </x14:dataValidation>
        <x14:dataValidation type="list" allowBlank="1" showInputMessage="1" showErrorMessage="1" xr:uid="{00000000-0002-0000-0000-00000C000000}">
          <x14:formula1>
            <xm:f>DATA!$A$74:$A$78</xm:f>
          </x14:formula1>
          <xm:sqref>W35 W52 W33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59999389629810485"/>
    <pageSetUpPr fitToPage="1"/>
  </sheetPr>
  <dimension ref="A1:AR63"/>
  <sheetViews>
    <sheetView workbookViewId="0">
      <selection sqref="A1:AR1"/>
    </sheetView>
  </sheetViews>
  <sheetFormatPr defaultColWidth="2.875" defaultRowHeight="16.5" x14ac:dyDescent="0.3"/>
  <cols>
    <col min="2" max="2" width="3.5" bestFit="1" customWidth="1"/>
    <col min="3" max="42" width="2.625" customWidth="1"/>
    <col min="43" max="43" width="3.5" bestFit="1" customWidth="1"/>
  </cols>
  <sheetData>
    <row r="1" spans="1:44" ht="38.25" x14ac:dyDescent="0.3">
      <c r="A1" s="76" t="s">
        <v>32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</row>
    <row r="2" spans="1:44" ht="10.5" customHeight="1" x14ac:dyDescent="0.3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</row>
    <row r="3" spans="1:44" ht="17.25" thickBot="1" x14ac:dyDescent="0.35">
      <c r="A3" s="24" t="s">
        <v>206</v>
      </c>
      <c r="AL3" s="77">
        <f ca="1">TODAY()</f>
        <v>45414</v>
      </c>
      <c r="AM3" s="77"/>
      <c r="AN3" s="77"/>
      <c r="AO3" s="77"/>
      <c r="AP3" s="77"/>
      <c r="AQ3" s="77"/>
      <c r="AR3" s="77"/>
    </row>
    <row r="4" spans="1:44" ht="17.25" thickTop="1" x14ac:dyDescent="0.3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8"/>
    </row>
    <row r="5" spans="1:44" ht="17.25" thickBot="1" x14ac:dyDescent="0.35">
      <c r="A5" s="19"/>
      <c r="C5" s="27">
        <v>12</v>
      </c>
      <c r="F5" s="79">
        <f>'발주(수정)'!H21</f>
        <v>475</v>
      </c>
      <c r="G5" s="79"/>
      <c r="H5" s="79"/>
      <c r="I5" s="79"/>
      <c r="J5" s="79"/>
      <c r="K5" s="79"/>
      <c r="L5" s="79"/>
      <c r="S5" s="79">
        <f>'발주(수정)'!H22</f>
        <v>900</v>
      </c>
      <c r="T5" s="79"/>
      <c r="U5" s="79"/>
      <c r="V5" s="79"/>
      <c r="W5" s="79"/>
      <c r="X5" s="79"/>
      <c r="Y5" s="79"/>
      <c r="AG5" s="79">
        <f>'발주(수정)'!H23</f>
        <v>475</v>
      </c>
      <c r="AH5" s="79"/>
      <c r="AI5" s="79"/>
      <c r="AJ5" s="79"/>
      <c r="AK5" s="79"/>
      <c r="AL5" s="79"/>
      <c r="AP5" s="27">
        <v>12</v>
      </c>
      <c r="AR5" s="20"/>
    </row>
    <row r="6" spans="1:44" ht="17.25" thickBot="1" x14ac:dyDescent="0.35">
      <c r="A6" s="19"/>
      <c r="B6">
        <v>25</v>
      </c>
      <c r="C6" s="1"/>
      <c r="D6" s="13"/>
      <c r="E6" s="13"/>
      <c r="F6" s="81"/>
      <c r="G6" s="81"/>
      <c r="H6" s="81"/>
      <c r="I6" s="81"/>
      <c r="J6" s="81"/>
      <c r="K6" s="81"/>
      <c r="L6" s="81"/>
      <c r="M6" s="13"/>
      <c r="N6" s="13"/>
      <c r="O6" s="3"/>
      <c r="P6" s="1"/>
      <c r="Q6" s="13"/>
      <c r="R6" s="13"/>
      <c r="S6" s="81"/>
      <c r="T6" s="81"/>
      <c r="U6" s="81"/>
      <c r="V6" s="81"/>
      <c r="W6" s="81"/>
      <c r="X6" s="81"/>
      <c r="Y6" s="81"/>
      <c r="Z6" s="13"/>
      <c r="AA6" s="13"/>
      <c r="AB6" s="3"/>
      <c r="AC6" s="1"/>
      <c r="AD6" s="13"/>
      <c r="AE6" s="13"/>
      <c r="AF6" s="13"/>
      <c r="AG6" s="81"/>
      <c r="AH6" s="81"/>
      <c r="AI6" s="81"/>
      <c r="AJ6" s="81"/>
      <c r="AK6" s="81"/>
      <c r="AL6" s="81"/>
      <c r="AM6" s="13"/>
      <c r="AN6" s="13"/>
      <c r="AO6" s="13"/>
      <c r="AP6" s="3"/>
      <c r="AQ6">
        <v>25</v>
      </c>
      <c r="AR6" s="20"/>
    </row>
    <row r="7" spans="1:44" ht="12.75" customHeight="1" x14ac:dyDescent="0.3">
      <c r="A7" s="19"/>
      <c r="C7" s="4"/>
      <c r="AP7" s="4"/>
      <c r="AR7" s="20"/>
    </row>
    <row r="8" spans="1:44" ht="12.75" customHeight="1" x14ac:dyDescent="0.3">
      <c r="A8" s="19"/>
      <c r="C8" s="11"/>
      <c r="AP8" s="10"/>
      <c r="AR8" s="20"/>
    </row>
    <row r="9" spans="1:44" ht="12.75" customHeight="1" x14ac:dyDescent="0.3">
      <c r="A9" s="19"/>
      <c r="B9" s="79">
        <f>'발주(수정)'!H20</f>
        <v>325</v>
      </c>
      <c r="C9" s="80"/>
      <c r="AP9" s="10"/>
      <c r="AR9" s="20"/>
    </row>
    <row r="10" spans="1:44" ht="12.75" customHeight="1" x14ac:dyDescent="0.3">
      <c r="A10" s="19"/>
      <c r="B10" s="79"/>
      <c r="C10" s="80"/>
      <c r="L10" s="67" t="s">
        <v>24</v>
      </c>
      <c r="M10" s="67"/>
      <c r="N10" s="67"/>
      <c r="O10" s="67"/>
      <c r="P10" s="67"/>
      <c r="Q10" s="67"/>
      <c r="R10" s="67"/>
      <c r="S10" s="68">
        <f>CW</f>
        <v>1800</v>
      </c>
      <c r="T10" s="68"/>
      <c r="U10" s="68"/>
      <c r="V10" s="68"/>
      <c r="W10" s="69" t="s">
        <v>29</v>
      </c>
      <c r="X10" s="69"/>
      <c r="Y10" s="69"/>
      <c r="Z10" s="69"/>
      <c r="AA10" s="69"/>
      <c r="AB10" s="69"/>
      <c r="AC10" s="69"/>
      <c r="AD10" s="68">
        <f>WF</f>
        <v>475</v>
      </c>
      <c r="AE10" s="68"/>
      <c r="AF10" s="68"/>
      <c r="AG10" s="68"/>
      <c r="AP10" s="82">
        <f>'발주(수정)'!H24</f>
        <v>325</v>
      </c>
      <c r="AQ10" s="79"/>
      <c r="AR10" s="20"/>
    </row>
    <row r="11" spans="1:44" ht="15" customHeight="1" x14ac:dyDescent="0.3">
      <c r="A11" s="19"/>
      <c r="B11" s="79"/>
      <c r="C11" s="80"/>
      <c r="L11" s="67"/>
      <c r="M11" s="67"/>
      <c r="N11" s="67"/>
      <c r="O11" s="67"/>
      <c r="P11" s="67"/>
      <c r="Q11" s="67"/>
      <c r="R11" s="67"/>
      <c r="S11" s="68"/>
      <c r="T11" s="68"/>
      <c r="U11" s="68"/>
      <c r="V11" s="68"/>
      <c r="W11" s="69"/>
      <c r="X11" s="69"/>
      <c r="Y11" s="69"/>
      <c r="Z11" s="69"/>
      <c r="AA11" s="69"/>
      <c r="AB11" s="69"/>
      <c r="AC11" s="69"/>
      <c r="AD11" s="68"/>
      <c r="AE11" s="68"/>
      <c r="AF11" s="68"/>
      <c r="AG11" s="68"/>
      <c r="AP11" s="82"/>
      <c r="AQ11" s="79"/>
      <c r="AR11" s="20"/>
    </row>
    <row r="12" spans="1:44" ht="15" customHeight="1" x14ac:dyDescent="0.3">
      <c r="A12" s="19"/>
      <c r="B12" s="79"/>
      <c r="C12" s="80"/>
      <c r="L12" s="67"/>
      <c r="M12" s="67"/>
      <c r="N12" s="67"/>
      <c r="O12" s="67"/>
      <c r="P12" s="67"/>
      <c r="Q12" s="67"/>
      <c r="R12" s="67"/>
      <c r="S12" s="68"/>
      <c r="T12" s="68"/>
      <c r="U12" s="68"/>
      <c r="V12" s="68"/>
      <c r="W12" s="69"/>
      <c r="X12" s="69"/>
      <c r="Y12" s="69"/>
      <c r="Z12" s="69"/>
      <c r="AA12" s="69"/>
      <c r="AB12" s="69"/>
      <c r="AC12" s="69"/>
      <c r="AD12" s="68"/>
      <c r="AE12" s="68"/>
      <c r="AF12" s="68"/>
      <c r="AG12" s="68"/>
      <c r="AP12" s="82"/>
      <c r="AQ12" s="79"/>
      <c r="AR12" s="20"/>
    </row>
    <row r="13" spans="1:44" ht="15" customHeight="1" x14ac:dyDescent="0.3">
      <c r="A13" s="19"/>
      <c r="C13" s="11"/>
      <c r="L13" s="67" t="s">
        <v>25</v>
      </c>
      <c r="M13" s="67"/>
      <c r="N13" s="67"/>
      <c r="O13" s="67"/>
      <c r="P13" s="67"/>
      <c r="Q13" s="67"/>
      <c r="R13" s="67"/>
      <c r="S13" s="68">
        <f>CD</f>
        <v>1350</v>
      </c>
      <c r="T13" s="68"/>
      <c r="U13" s="68"/>
      <c r="V13" s="68"/>
      <c r="W13" s="69" t="s">
        <v>21</v>
      </c>
      <c r="X13" s="69"/>
      <c r="Y13" s="69"/>
      <c r="Z13" s="69"/>
      <c r="AA13" s="69"/>
      <c r="AB13" s="69"/>
      <c r="AC13" s="69"/>
      <c r="AD13" s="68">
        <f>WS</f>
        <v>325</v>
      </c>
      <c r="AE13" s="68"/>
      <c r="AF13" s="68"/>
      <c r="AG13" s="68"/>
      <c r="AP13" s="10"/>
      <c r="AR13" s="20"/>
    </row>
    <row r="14" spans="1:44" ht="15" customHeight="1" thickBot="1" x14ac:dyDescent="0.35">
      <c r="A14" s="19"/>
      <c r="C14" s="6"/>
      <c r="L14" s="67"/>
      <c r="M14" s="67"/>
      <c r="N14" s="67"/>
      <c r="O14" s="67"/>
      <c r="P14" s="67"/>
      <c r="Q14" s="67"/>
      <c r="R14" s="67"/>
      <c r="S14" s="68"/>
      <c r="T14" s="68"/>
      <c r="U14" s="68"/>
      <c r="V14" s="68"/>
      <c r="W14" s="69"/>
      <c r="X14" s="69"/>
      <c r="Y14" s="69"/>
      <c r="Z14" s="69"/>
      <c r="AA14" s="69"/>
      <c r="AB14" s="69"/>
      <c r="AC14" s="69"/>
      <c r="AD14" s="68"/>
      <c r="AE14" s="68"/>
      <c r="AF14" s="68"/>
      <c r="AG14" s="68"/>
      <c r="AP14" s="6"/>
      <c r="AR14" s="20"/>
    </row>
    <row r="15" spans="1:44" ht="15" customHeight="1" x14ac:dyDescent="0.3">
      <c r="A15" s="19"/>
      <c r="C15" s="4"/>
      <c r="L15" s="67"/>
      <c r="M15" s="67"/>
      <c r="N15" s="67"/>
      <c r="O15" s="67"/>
      <c r="P15" s="67"/>
      <c r="Q15" s="67"/>
      <c r="R15" s="67"/>
      <c r="S15" s="68"/>
      <c r="T15" s="68"/>
      <c r="U15" s="68"/>
      <c r="V15" s="68"/>
      <c r="W15" s="69"/>
      <c r="X15" s="69"/>
      <c r="Y15" s="69"/>
      <c r="Z15" s="69"/>
      <c r="AA15" s="69"/>
      <c r="AB15" s="69"/>
      <c r="AC15" s="69"/>
      <c r="AD15" s="68"/>
      <c r="AE15" s="68"/>
      <c r="AF15" s="68"/>
      <c r="AG15" s="68"/>
      <c r="AP15" s="4"/>
      <c r="AR15" s="20"/>
    </row>
    <row r="16" spans="1:44" ht="15" customHeight="1" x14ac:dyDescent="0.3">
      <c r="A16" s="19"/>
      <c r="C16" s="11"/>
      <c r="L16" s="67" t="s">
        <v>26</v>
      </c>
      <c r="M16" s="67"/>
      <c r="N16" s="67"/>
      <c r="O16" s="67"/>
      <c r="P16" s="67"/>
      <c r="Q16" s="67"/>
      <c r="R16" s="67"/>
      <c r="S16" s="68">
        <f>CH</f>
        <v>2450</v>
      </c>
      <c r="T16" s="68"/>
      <c r="U16" s="68"/>
      <c r="V16" s="68"/>
      <c r="W16" s="69" t="s">
        <v>22</v>
      </c>
      <c r="X16" s="69"/>
      <c r="Y16" s="69"/>
      <c r="Z16" s="69"/>
      <c r="AA16" s="69"/>
      <c r="AB16" s="69"/>
      <c r="AC16" s="69"/>
      <c r="AD16" s="68">
        <f>WSM</f>
        <v>700</v>
      </c>
      <c r="AE16" s="68"/>
      <c r="AF16" s="68"/>
      <c r="AG16" s="68"/>
      <c r="AP16" s="10"/>
      <c r="AR16" s="20"/>
    </row>
    <row r="17" spans="1:44" ht="15" customHeight="1" x14ac:dyDescent="0.3">
      <c r="A17" s="19"/>
      <c r="B17" s="79">
        <f>'발주(수정)'!H19</f>
        <v>700</v>
      </c>
      <c r="C17" s="80"/>
      <c r="L17" s="67"/>
      <c r="M17" s="67"/>
      <c r="N17" s="67"/>
      <c r="O17" s="67"/>
      <c r="P17" s="67"/>
      <c r="Q17" s="67"/>
      <c r="R17" s="67"/>
      <c r="S17" s="68"/>
      <c r="T17" s="68"/>
      <c r="U17" s="68"/>
      <c r="V17" s="68"/>
      <c r="W17" s="69"/>
      <c r="X17" s="69"/>
      <c r="Y17" s="69"/>
      <c r="Z17" s="69"/>
      <c r="AA17" s="69"/>
      <c r="AB17" s="69"/>
      <c r="AC17" s="69"/>
      <c r="AD17" s="68"/>
      <c r="AE17" s="68"/>
      <c r="AF17" s="68"/>
      <c r="AG17" s="68"/>
      <c r="AP17" s="10"/>
      <c r="AR17" s="20"/>
    </row>
    <row r="18" spans="1:44" ht="15" customHeight="1" x14ac:dyDescent="0.3">
      <c r="A18" s="19"/>
      <c r="B18" s="79"/>
      <c r="C18" s="80"/>
      <c r="L18" s="67"/>
      <c r="M18" s="67"/>
      <c r="N18" s="67"/>
      <c r="O18" s="67"/>
      <c r="P18" s="67"/>
      <c r="Q18" s="67"/>
      <c r="R18" s="67"/>
      <c r="S18" s="68"/>
      <c r="T18" s="68"/>
      <c r="U18" s="68"/>
      <c r="V18" s="68"/>
      <c r="W18" s="69"/>
      <c r="X18" s="69"/>
      <c r="Y18" s="69"/>
      <c r="Z18" s="69"/>
      <c r="AA18" s="69"/>
      <c r="AB18" s="69"/>
      <c r="AC18" s="69"/>
      <c r="AD18" s="68"/>
      <c r="AE18" s="68"/>
      <c r="AF18" s="68"/>
      <c r="AG18" s="68"/>
      <c r="AP18" s="82">
        <f>'발주(수정)'!H25</f>
        <v>700</v>
      </c>
      <c r="AQ18" s="79"/>
      <c r="AR18" s="20"/>
    </row>
    <row r="19" spans="1:44" ht="15" customHeight="1" x14ac:dyDescent="0.3">
      <c r="A19" s="19"/>
      <c r="B19" s="79"/>
      <c r="C19" s="80"/>
      <c r="L19" s="67" t="s">
        <v>27</v>
      </c>
      <c r="M19" s="67"/>
      <c r="N19" s="67"/>
      <c r="O19" s="67"/>
      <c r="P19" s="67"/>
      <c r="Q19" s="67"/>
      <c r="R19" s="67"/>
      <c r="S19" s="68">
        <f>OP</f>
        <v>900</v>
      </c>
      <c r="T19" s="68"/>
      <c r="U19" s="68"/>
      <c r="V19" s="68"/>
      <c r="W19" s="69" t="s">
        <v>30</v>
      </c>
      <c r="X19" s="69"/>
      <c r="Y19" s="69"/>
      <c r="Z19" s="69"/>
      <c r="AA19" s="69"/>
      <c r="AB19" s="69"/>
      <c r="AC19" s="69"/>
      <c r="AD19" s="68">
        <f>WR</f>
        <v>475</v>
      </c>
      <c r="AE19" s="68"/>
      <c r="AF19" s="68"/>
      <c r="AG19" s="68"/>
      <c r="AP19" s="82"/>
      <c r="AQ19" s="79"/>
      <c r="AR19" s="20"/>
    </row>
    <row r="20" spans="1:44" ht="15" customHeight="1" x14ac:dyDescent="0.3">
      <c r="A20" s="19"/>
      <c r="B20" s="79"/>
      <c r="C20" s="80"/>
      <c r="L20" s="67"/>
      <c r="M20" s="67"/>
      <c r="N20" s="67"/>
      <c r="O20" s="67"/>
      <c r="P20" s="67"/>
      <c r="Q20" s="67"/>
      <c r="R20" s="67"/>
      <c r="S20" s="68"/>
      <c r="T20" s="68"/>
      <c r="U20" s="68"/>
      <c r="V20" s="68"/>
      <c r="W20" s="69"/>
      <c r="X20" s="69"/>
      <c r="Y20" s="69"/>
      <c r="Z20" s="69"/>
      <c r="AA20" s="69"/>
      <c r="AB20" s="69"/>
      <c r="AC20" s="69"/>
      <c r="AD20" s="68"/>
      <c r="AE20" s="68"/>
      <c r="AF20" s="68"/>
      <c r="AG20" s="68"/>
      <c r="AP20" s="82"/>
      <c r="AQ20" s="79"/>
      <c r="AR20" s="20"/>
    </row>
    <row r="21" spans="1:44" ht="15" customHeight="1" x14ac:dyDescent="0.3">
      <c r="A21" s="19"/>
      <c r="B21" s="79"/>
      <c r="C21" s="80"/>
      <c r="L21" s="67"/>
      <c r="M21" s="67"/>
      <c r="N21" s="67"/>
      <c r="O21" s="67"/>
      <c r="P21" s="67"/>
      <c r="Q21" s="67"/>
      <c r="R21" s="67"/>
      <c r="S21" s="68"/>
      <c r="T21" s="68"/>
      <c r="U21" s="68"/>
      <c r="V21" s="68"/>
      <c r="W21" s="69"/>
      <c r="X21" s="69"/>
      <c r="Y21" s="69"/>
      <c r="Z21" s="69"/>
      <c r="AA21" s="69"/>
      <c r="AB21" s="69"/>
      <c r="AC21" s="69"/>
      <c r="AD21" s="68"/>
      <c r="AE21" s="68"/>
      <c r="AF21" s="68"/>
      <c r="AG21" s="68"/>
      <c r="AP21" s="10"/>
      <c r="AR21" s="20"/>
    </row>
    <row r="22" spans="1:44" ht="15" customHeight="1" x14ac:dyDescent="0.3">
      <c r="A22" s="19"/>
      <c r="C22" s="11"/>
      <c r="L22" s="67" t="s">
        <v>19</v>
      </c>
      <c r="M22" s="67"/>
      <c r="N22" s="67"/>
      <c r="O22" s="67"/>
      <c r="P22" s="67"/>
      <c r="Q22" s="67"/>
      <c r="R22" s="67"/>
      <c r="S22" s="68">
        <f>OPH</f>
        <v>2100</v>
      </c>
      <c r="T22" s="68"/>
      <c r="U22" s="68"/>
      <c r="V22" s="68"/>
      <c r="W22" s="69" t="s">
        <v>31</v>
      </c>
      <c r="X22" s="69"/>
      <c r="Y22" s="69"/>
      <c r="Z22" s="69"/>
      <c r="AA22" s="69"/>
      <c r="AB22" s="69"/>
      <c r="AC22" s="69"/>
      <c r="AD22" s="68">
        <f>WRM</f>
        <v>900</v>
      </c>
      <c r="AE22" s="68"/>
      <c r="AF22" s="68"/>
      <c r="AG22" s="68"/>
      <c r="AP22" s="10"/>
      <c r="AR22" s="20"/>
    </row>
    <row r="23" spans="1:44" ht="15" customHeight="1" thickBot="1" x14ac:dyDescent="0.35">
      <c r="A23" s="19"/>
      <c r="C23" s="6"/>
      <c r="L23" s="67"/>
      <c r="M23" s="67"/>
      <c r="N23" s="67"/>
      <c r="O23" s="67"/>
      <c r="P23" s="67"/>
      <c r="Q23" s="67"/>
      <c r="R23" s="67"/>
      <c r="S23" s="68"/>
      <c r="T23" s="68"/>
      <c r="U23" s="68"/>
      <c r="V23" s="68"/>
      <c r="W23" s="69"/>
      <c r="X23" s="69"/>
      <c r="Y23" s="69"/>
      <c r="Z23" s="69"/>
      <c r="AA23" s="69"/>
      <c r="AB23" s="69"/>
      <c r="AC23" s="69"/>
      <c r="AD23" s="68"/>
      <c r="AE23" s="68"/>
      <c r="AF23" s="68"/>
      <c r="AG23" s="68"/>
      <c r="AP23" s="6"/>
      <c r="AR23" s="20"/>
    </row>
    <row r="24" spans="1:44" ht="15" customHeight="1" x14ac:dyDescent="0.3">
      <c r="A24" s="19"/>
      <c r="C24" s="4"/>
      <c r="L24" s="67"/>
      <c r="M24" s="67"/>
      <c r="N24" s="67"/>
      <c r="O24" s="67"/>
      <c r="P24" s="67"/>
      <c r="Q24" s="67"/>
      <c r="R24" s="67"/>
      <c r="S24" s="68"/>
      <c r="T24" s="68"/>
      <c r="U24" s="68"/>
      <c r="V24" s="68"/>
      <c r="W24" s="69"/>
      <c r="X24" s="69"/>
      <c r="Y24" s="69"/>
      <c r="Z24" s="69"/>
      <c r="AA24" s="69"/>
      <c r="AB24" s="69"/>
      <c r="AC24" s="69"/>
      <c r="AD24" s="68"/>
      <c r="AE24" s="68"/>
      <c r="AF24" s="68"/>
      <c r="AG24" s="68"/>
      <c r="AP24" s="4"/>
      <c r="AR24" s="20"/>
    </row>
    <row r="25" spans="1:44" ht="15" customHeight="1" x14ac:dyDescent="0.3">
      <c r="A25" s="19"/>
      <c r="C25" s="11"/>
      <c r="L25" s="67" t="s">
        <v>20</v>
      </c>
      <c r="M25" s="67"/>
      <c r="N25" s="67"/>
      <c r="O25" s="67"/>
      <c r="P25" s="67"/>
      <c r="Q25" s="67"/>
      <c r="R25" s="67"/>
      <c r="S25" s="68">
        <f>ColThick</f>
        <v>40</v>
      </c>
      <c r="T25" s="68"/>
      <c r="U25" s="68"/>
      <c r="V25" s="68"/>
      <c r="W25" s="69" t="s">
        <v>23</v>
      </c>
      <c r="X25" s="69"/>
      <c r="Y25" s="69"/>
      <c r="Z25" s="69"/>
      <c r="AA25" s="69"/>
      <c r="AB25" s="69"/>
      <c r="AC25" s="69"/>
      <c r="AD25" s="68" t="str">
        <f>vcut여부</f>
        <v>미적용</v>
      </c>
      <c r="AE25" s="68"/>
      <c r="AF25" s="68"/>
      <c r="AG25" s="68"/>
      <c r="AP25" s="10"/>
      <c r="AR25" s="20"/>
    </row>
    <row r="26" spans="1:44" ht="15" customHeight="1" x14ac:dyDescent="0.3">
      <c r="A26" s="19"/>
      <c r="C26" s="11"/>
      <c r="L26" s="67"/>
      <c r="M26" s="67"/>
      <c r="N26" s="67"/>
      <c r="O26" s="67"/>
      <c r="P26" s="67"/>
      <c r="Q26" s="67"/>
      <c r="R26" s="67"/>
      <c r="S26" s="68"/>
      <c r="T26" s="68"/>
      <c r="U26" s="68"/>
      <c r="V26" s="68"/>
      <c r="W26" s="69"/>
      <c r="X26" s="69"/>
      <c r="Y26" s="69"/>
      <c r="Z26" s="69"/>
      <c r="AA26" s="69"/>
      <c r="AB26" s="69"/>
      <c r="AC26" s="69"/>
      <c r="AD26" s="68"/>
      <c r="AE26" s="68"/>
      <c r="AF26" s="68"/>
      <c r="AG26" s="68"/>
      <c r="AP26" s="10"/>
      <c r="AR26" s="20"/>
    </row>
    <row r="27" spans="1:44" ht="12.75" customHeight="1" x14ac:dyDescent="0.3">
      <c r="A27" s="19"/>
      <c r="B27" s="79">
        <f>'발주(수정)'!H18</f>
        <v>325</v>
      </c>
      <c r="C27" s="80"/>
      <c r="L27" s="67"/>
      <c r="M27" s="67"/>
      <c r="N27" s="67"/>
      <c r="O27" s="67"/>
      <c r="P27" s="67"/>
      <c r="Q27" s="67"/>
      <c r="R27" s="67"/>
      <c r="S27" s="68"/>
      <c r="T27" s="68"/>
      <c r="U27" s="68"/>
      <c r="V27" s="68"/>
      <c r="W27" s="69"/>
      <c r="X27" s="69"/>
      <c r="Y27" s="69"/>
      <c r="Z27" s="69"/>
      <c r="AA27" s="69"/>
      <c r="AB27" s="69"/>
      <c r="AC27" s="69"/>
      <c r="AD27" s="68"/>
      <c r="AE27" s="68"/>
      <c r="AF27" s="68"/>
      <c r="AG27" s="68"/>
      <c r="AP27" s="82">
        <f>'발주(수정)'!H26</f>
        <v>325</v>
      </c>
      <c r="AQ27" s="79"/>
      <c r="AR27" s="20"/>
    </row>
    <row r="28" spans="1:44" ht="12.75" customHeight="1" x14ac:dyDescent="0.3">
      <c r="A28" s="19"/>
      <c r="B28" s="79"/>
      <c r="C28" s="80"/>
      <c r="L28" s="67" t="s">
        <v>28</v>
      </c>
      <c r="M28" s="67"/>
      <c r="N28" s="67"/>
      <c r="O28" s="67"/>
      <c r="P28" s="67"/>
      <c r="Q28" s="67"/>
      <c r="R28" s="67"/>
      <c r="S28" s="68">
        <f>KH</f>
        <v>83</v>
      </c>
      <c r="T28" s="68"/>
      <c r="U28" s="68"/>
      <c r="V28" s="68"/>
      <c r="W28" s="67" t="s">
        <v>190</v>
      </c>
      <c r="X28" s="67"/>
      <c r="Y28" s="67"/>
      <c r="Z28" s="67"/>
      <c r="AA28" s="67"/>
      <c r="AB28" s="67"/>
      <c r="AC28" s="67"/>
      <c r="AD28" s="68">
        <f>KPH</f>
        <v>88</v>
      </c>
      <c r="AE28" s="68"/>
      <c r="AF28" s="68"/>
      <c r="AG28" s="68"/>
      <c r="AP28" s="82"/>
      <c r="AQ28" s="79"/>
      <c r="AR28" s="20"/>
    </row>
    <row r="29" spans="1:44" ht="12.75" customHeight="1" x14ac:dyDescent="0.3">
      <c r="A29" s="19"/>
      <c r="B29" s="79"/>
      <c r="C29" s="80"/>
      <c r="L29" s="67"/>
      <c r="M29" s="67"/>
      <c r="N29" s="67"/>
      <c r="O29" s="67"/>
      <c r="P29" s="67"/>
      <c r="Q29" s="67"/>
      <c r="R29" s="67"/>
      <c r="S29" s="68"/>
      <c r="T29" s="68"/>
      <c r="U29" s="68"/>
      <c r="V29" s="68"/>
      <c r="W29" s="67"/>
      <c r="X29" s="67"/>
      <c r="Y29" s="67"/>
      <c r="Z29" s="67"/>
      <c r="AA29" s="67"/>
      <c r="AB29" s="67"/>
      <c r="AC29" s="67"/>
      <c r="AD29" s="68"/>
      <c r="AE29" s="68"/>
      <c r="AF29" s="68"/>
      <c r="AG29" s="68"/>
      <c r="AP29" s="82"/>
      <c r="AQ29" s="79"/>
      <c r="AR29" s="20"/>
    </row>
    <row r="30" spans="1:44" ht="12.75" customHeight="1" x14ac:dyDescent="0.3">
      <c r="A30" s="19"/>
      <c r="B30" s="79"/>
      <c r="C30" s="80"/>
      <c r="L30" s="67"/>
      <c r="M30" s="67"/>
      <c r="N30" s="67"/>
      <c r="O30" s="67"/>
      <c r="P30" s="67"/>
      <c r="Q30" s="67"/>
      <c r="R30" s="67"/>
      <c r="S30" s="68"/>
      <c r="T30" s="68"/>
      <c r="U30" s="68"/>
      <c r="V30" s="68"/>
      <c r="W30" s="67"/>
      <c r="X30" s="67"/>
      <c r="Y30" s="67"/>
      <c r="Z30" s="67"/>
      <c r="AA30" s="67"/>
      <c r="AB30" s="67"/>
      <c r="AC30" s="67"/>
      <c r="AD30" s="68"/>
      <c r="AE30" s="68"/>
      <c r="AF30" s="68"/>
      <c r="AG30" s="68"/>
      <c r="AP30" s="82"/>
      <c r="AQ30" s="79"/>
      <c r="AR30" s="20"/>
    </row>
    <row r="31" spans="1:44" ht="12.75" customHeight="1" x14ac:dyDescent="0.3">
      <c r="A31" s="19"/>
      <c r="C31" s="11"/>
      <c r="L31" s="15"/>
      <c r="M31" s="15"/>
      <c r="N31" s="15"/>
      <c r="O31" s="15"/>
      <c r="P31" s="15"/>
      <c r="Q31" s="15"/>
      <c r="R31" s="15"/>
      <c r="AP31" s="10"/>
      <c r="AR31" s="20"/>
    </row>
    <row r="32" spans="1:44" ht="12.75" customHeight="1" thickBot="1" x14ac:dyDescent="0.35">
      <c r="A32" s="19"/>
      <c r="C32" s="11"/>
      <c r="M32" s="63">
        <f>ColThick</f>
        <v>40</v>
      </c>
      <c r="N32" s="63"/>
      <c r="O32" s="63"/>
      <c r="AE32" s="63">
        <f>M32</f>
        <v>40</v>
      </c>
      <c r="AF32" s="63"/>
      <c r="AG32" s="63"/>
      <c r="AP32" s="10"/>
      <c r="AR32" s="20"/>
    </row>
    <row r="33" spans="1:44" ht="12.75" customHeight="1" thickTop="1" thickBot="1" x14ac:dyDescent="0.35">
      <c r="A33" s="19"/>
      <c r="C33" s="5"/>
      <c r="M33" s="64"/>
      <c r="N33" s="64"/>
      <c r="O33" s="64"/>
      <c r="S33" s="70" t="str">
        <f>"소재두께(t) = " &amp; thick</f>
        <v>소재두께(t) = 1.2T</v>
      </c>
      <c r="T33" s="71"/>
      <c r="U33" s="71"/>
      <c r="V33" s="71"/>
      <c r="W33" s="71"/>
      <c r="X33" s="71"/>
      <c r="Y33" s="71"/>
      <c r="Z33" s="71"/>
      <c r="AA33" s="72"/>
      <c r="AE33" s="64"/>
      <c r="AF33" s="64"/>
      <c r="AG33" s="64"/>
      <c r="AP33" s="5"/>
      <c r="AR33" s="20"/>
    </row>
    <row r="34" spans="1:44" ht="17.25" thickBot="1" x14ac:dyDescent="0.35">
      <c r="A34" s="19"/>
      <c r="B34">
        <v>25</v>
      </c>
      <c r="C34" s="1"/>
      <c r="D34" s="8"/>
      <c r="E34" s="8"/>
      <c r="F34" s="78">
        <f>'발주(수정)'!H17</f>
        <v>475</v>
      </c>
      <c r="G34" s="78"/>
      <c r="H34" s="78"/>
      <c r="I34" s="78"/>
      <c r="J34" s="8"/>
      <c r="K34" s="8"/>
      <c r="L34" s="2"/>
      <c r="M34" s="7"/>
      <c r="N34" s="8"/>
      <c r="O34" s="9"/>
      <c r="S34" s="73"/>
      <c r="T34" s="74"/>
      <c r="U34" s="74"/>
      <c r="V34" s="74"/>
      <c r="W34" s="74"/>
      <c r="X34" s="74"/>
      <c r="Y34" s="74"/>
      <c r="Z34" s="74"/>
      <c r="AA34" s="75"/>
      <c r="AE34" s="7"/>
      <c r="AF34" s="8"/>
      <c r="AG34" s="9"/>
      <c r="AH34" s="2"/>
      <c r="AI34" s="8"/>
      <c r="AJ34" s="8"/>
      <c r="AK34" s="78">
        <f>'발주(수정)'!H27</f>
        <v>475</v>
      </c>
      <c r="AL34" s="78"/>
      <c r="AM34" s="78"/>
      <c r="AN34" s="8"/>
      <c r="AO34" s="8"/>
      <c r="AP34" s="3"/>
      <c r="AQ34">
        <v>25</v>
      </c>
      <c r="AR34" s="20"/>
    </row>
    <row r="35" spans="1:44" ht="17.25" thickBot="1" x14ac:dyDescent="0.35">
      <c r="A35" s="19"/>
      <c r="C35" s="27">
        <v>12</v>
      </c>
      <c r="F35" s="79"/>
      <c r="G35" s="79"/>
      <c r="H35" s="79"/>
      <c r="I35" s="79"/>
      <c r="O35" s="11"/>
      <c r="P35" s="65">
        <f>colWidth</f>
        <v>80</v>
      </c>
      <c r="Q35" s="63"/>
      <c r="AC35" s="63">
        <f>P35</f>
        <v>80</v>
      </c>
      <c r="AD35" s="66"/>
      <c r="AE35" s="10"/>
      <c r="AK35" s="79"/>
      <c r="AL35" s="79"/>
      <c r="AM35" s="79"/>
      <c r="AP35" s="27">
        <v>12</v>
      </c>
      <c r="AR35" s="20"/>
    </row>
    <row r="36" spans="1:44" ht="17.25" thickTop="1" x14ac:dyDescent="0.3">
      <c r="A36" s="19"/>
      <c r="O36" s="11"/>
      <c r="P36" s="65"/>
      <c r="Q36" s="63"/>
      <c r="S36" s="70">
        <f>'발주(수정)'!M6</f>
        <v>900</v>
      </c>
      <c r="T36" s="71"/>
      <c r="U36" s="71"/>
      <c r="V36" s="71"/>
      <c r="W36" s="71"/>
      <c r="X36" s="71"/>
      <c r="Y36" s="71"/>
      <c r="Z36" s="71"/>
      <c r="AA36" s="72"/>
      <c r="AC36" s="63"/>
      <c r="AD36" s="66"/>
      <c r="AE36" s="10"/>
      <c r="AR36" s="20"/>
    </row>
    <row r="37" spans="1:44" ht="17.25" thickBot="1" x14ac:dyDescent="0.35">
      <c r="A37" s="19"/>
      <c r="O37" s="11"/>
      <c r="P37" s="65"/>
      <c r="Q37" s="63"/>
      <c r="S37" s="73"/>
      <c r="T37" s="74"/>
      <c r="U37" s="74"/>
      <c r="V37" s="74"/>
      <c r="W37" s="74"/>
      <c r="X37" s="74"/>
      <c r="Y37" s="74"/>
      <c r="Z37" s="74"/>
      <c r="AA37" s="75"/>
      <c r="AC37" s="63"/>
      <c r="AD37" s="66"/>
      <c r="AE37" s="10"/>
      <c r="AR37" s="20"/>
    </row>
    <row r="38" spans="1:44" ht="18" thickTop="1" thickBot="1" x14ac:dyDescent="0.35">
      <c r="A38" s="19"/>
      <c r="M38" s="12"/>
      <c r="N38" s="13"/>
      <c r="O38" s="14"/>
      <c r="AE38" s="12"/>
      <c r="AF38" s="13"/>
      <c r="AG38" s="14"/>
      <c r="AR38" s="20"/>
    </row>
    <row r="39" spans="1:44" ht="17.25" thickBot="1" x14ac:dyDescent="0.3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</row>
    <row r="40" spans="1:44" ht="10.5" customHeight="1" thickTop="1" thickBot="1" x14ac:dyDescent="0.3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</row>
    <row r="41" spans="1:44" ht="18" thickTop="1" thickBot="1" x14ac:dyDescent="0.35">
      <c r="A41" s="16"/>
      <c r="B41" s="71"/>
      <c r="C41" s="71"/>
      <c r="D41" s="71"/>
      <c r="E41" s="71"/>
      <c r="F41" s="71"/>
      <c r="G41" s="71"/>
      <c r="H41" s="71"/>
      <c r="I41" s="71"/>
      <c r="J41" s="71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8"/>
    </row>
    <row r="42" spans="1:44" ht="20.25" customHeight="1" thickBot="1" x14ac:dyDescent="0.35">
      <c r="A42" s="19"/>
      <c r="C42" s="27">
        <v>12</v>
      </c>
      <c r="D42" s="63"/>
      <c r="E42" s="63"/>
      <c r="F42" s="63"/>
      <c r="G42" s="63"/>
      <c r="H42" s="63"/>
      <c r="I42" s="63"/>
      <c r="J42" s="27">
        <v>12</v>
      </c>
      <c r="N42" s="83" t="str">
        <f>material &amp; " " &amp; IF(ISNUMBER(FIND("+", '발주(수정)'!D17)), LEFT('발주(수정)'!D17, FIND("+", '발주(수정)'!D17)-1) &amp; thick &amp; " +" &amp; MID('발주(수정)'!D17, FIND("+", '발주(수정)'!D17)+1, LEN('발주(수정)'!D17)), '발주(수정)'!D17 &amp; " " &amp; thick)</f>
        <v>STS304 304 H/L 1.2T</v>
      </c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7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9"/>
      <c r="AR42" s="20"/>
    </row>
    <row r="43" spans="1:44" ht="20.25" customHeight="1" thickBot="1" x14ac:dyDescent="0.35">
      <c r="A43" s="19"/>
      <c r="B43">
        <v>25</v>
      </c>
      <c r="C43" s="1"/>
      <c r="D43" s="64" t="s">
        <v>33</v>
      </c>
      <c r="E43" s="64"/>
      <c r="F43" s="64"/>
      <c r="G43" s="64"/>
      <c r="H43" s="64"/>
      <c r="I43" s="64"/>
      <c r="J43" s="3"/>
      <c r="K43" s="27">
        <v>25</v>
      </c>
      <c r="N43" s="83" t="str">
        <f>DATA!E19</f>
        <v>541 X 2419 =  본도 동일 1 EA</v>
      </c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10"/>
      <c r="AI43" s="25" t="s">
        <v>37</v>
      </c>
      <c r="AJ43" s="25"/>
      <c r="AK43" s="25"/>
      <c r="AL43" s="25"/>
      <c r="AM43" s="25"/>
      <c r="AN43" s="25"/>
      <c r="AO43" s="25"/>
      <c r="AQ43" s="11"/>
      <c r="AR43" s="20"/>
    </row>
    <row r="44" spans="1:44" ht="18.75" customHeight="1" thickBot="1" x14ac:dyDescent="0.35">
      <c r="A44" s="19"/>
      <c r="C44" s="85">
        <f>WF</f>
        <v>475</v>
      </c>
      <c r="D44" s="84"/>
      <c r="E44" s="84"/>
      <c r="F44" s="84"/>
      <c r="G44" s="84"/>
      <c r="H44" s="84"/>
      <c r="I44" s="84"/>
      <c r="J44" s="84"/>
      <c r="N44" s="83" t="str">
        <f>DATA!E20</f>
        <v>541 X 2419 =  본도 반대 1 EA</v>
      </c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10"/>
      <c r="AQ44" s="11"/>
      <c r="AR44" s="20"/>
    </row>
    <row r="45" spans="1:44" ht="9.75" customHeight="1" x14ac:dyDescent="0.3">
      <c r="A45" s="19"/>
      <c r="AE45" s="10"/>
      <c r="AG45" s="90" t="s">
        <v>38</v>
      </c>
      <c r="AH45" s="91"/>
      <c r="AI45" s="91"/>
      <c r="AJ45" s="91"/>
      <c r="AK45" s="91"/>
      <c r="AL45" s="91"/>
      <c r="AM45" s="91"/>
      <c r="AN45" s="91"/>
      <c r="AO45" s="91"/>
      <c r="AP45" s="92"/>
      <c r="AQ45" s="26"/>
      <c r="AR45" s="20"/>
    </row>
    <row r="46" spans="1:44" ht="20.25" customHeight="1" thickBot="1" x14ac:dyDescent="0.35">
      <c r="A46" s="19"/>
      <c r="C46" s="27">
        <v>12</v>
      </c>
      <c r="D46" s="63"/>
      <c r="E46" s="63"/>
      <c r="F46" s="63"/>
      <c r="G46" s="63"/>
      <c r="H46" s="63"/>
      <c r="I46" s="63"/>
      <c r="J46" s="27">
        <v>12</v>
      </c>
      <c r="N46" s="83" t="str">
        <f>material &amp; " " &amp; IF(ISNUMBER(FIND("+", '발주(수정)'!D18)), LEFT('발주(수정)'!D18, FIND("+", '발주(수정)'!D18)-1) &amp; thick &amp; " +" &amp; MID('발주(수정)'!D18, FIND("+", '발주(수정)'!D18)+1, LEN('발주(수정)'!D18)), '발주(수정)'!D18 &amp; " " &amp; thick)</f>
        <v>STS304 304 H/L 1.2T</v>
      </c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10"/>
      <c r="AG46" s="93"/>
      <c r="AH46" s="94"/>
      <c r="AI46" s="94"/>
      <c r="AJ46" s="94"/>
      <c r="AK46" s="94"/>
      <c r="AL46" s="94"/>
      <c r="AM46" s="94"/>
      <c r="AN46" s="94"/>
      <c r="AO46" s="94"/>
      <c r="AP46" s="95"/>
      <c r="AQ46" s="26"/>
      <c r="AR46" s="20"/>
    </row>
    <row r="47" spans="1:44" ht="20.25" customHeight="1" thickBot="1" x14ac:dyDescent="0.35">
      <c r="A47" s="19"/>
      <c r="B47">
        <v>25</v>
      </c>
      <c r="C47" s="1"/>
      <c r="D47" s="64" t="s">
        <v>65</v>
      </c>
      <c r="E47" s="64"/>
      <c r="F47" s="64"/>
      <c r="G47" s="64"/>
      <c r="H47" s="64"/>
      <c r="I47" s="64"/>
      <c r="J47" s="3"/>
      <c r="K47" s="27">
        <v>25</v>
      </c>
      <c r="N47" s="83" t="str">
        <f>DATA!E21</f>
        <v>391 X 2419 =  본도 동일 2 EA</v>
      </c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10"/>
      <c r="AG47" s="96"/>
      <c r="AH47" s="97"/>
      <c r="AI47" s="97"/>
      <c r="AJ47" s="97"/>
      <c r="AK47" s="97"/>
      <c r="AL47" s="97"/>
      <c r="AM47" s="97"/>
      <c r="AN47" s="97"/>
      <c r="AO47" s="97"/>
      <c r="AP47" s="98"/>
      <c r="AQ47" s="26"/>
      <c r="AR47" s="20"/>
    </row>
    <row r="48" spans="1:44" ht="18.75" customHeight="1" x14ac:dyDescent="0.3">
      <c r="A48" s="19"/>
      <c r="C48" s="84">
        <f>WS</f>
        <v>325</v>
      </c>
      <c r="D48" s="84"/>
      <c r="E48" s="84"/>
      <c r="F48" s="84"/>
      <c r="G48" s="84"/>
      <c r="H48" s="84"/>
      <c r="I48" s="84"/>
      <c r="J48" s="84"/>
      <c r="N48" s="83" t="str">
        <f>DATA!E22</f>
        <v>391 X 2419 =  본도 반대 2 EA</v>
      </c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10"/>
      <c r="AQ48" s="11"/>
      <c r="AR48" s="20"/>
    </row>
    <row r="49" spans="1:44" ht="9.75" customHeight="1" x14ac:dyDescent="0.3">
      <c r="A49" s="19"/>
      <c r="AE49" s="10"/>
      <c r="AQ49" s="11"/>
      <c r="AR49" s="20"/>
    </row>
    <row r="50" spans="1:44" ht="20.25" customHeight="1" thickBot="1" x14ac:dyDescent="0.35">
      <c r="A50" s="19"/>
      <c r="C50" s="27">
        <v>12</v>
      </c>
      <c r="D50" s="63"/>
      <c r="E50" s="63"/>
      <c r="F50" s="63"/>
      <c r="G50" s="63"/>
      <c r="H50" s="63"/>
      <c r="I50" s="63"/>
      <c r="J50" s="27">
        <v>12</v>
      </c>
      <c r="N50" s="83" t="str">
        <f>material &amp; " " &amp; IF(ISNUMBER(FIND("+", '발주(수정)'!D21)), LEFT('발주(수정)'!D21, FIND("+", '발주(수정)'!D21)-1) &amp; thick &amp; " +" &amp; MID('발주(수정)'!D21, FIND("+", '발주(수정)'!D21)+1, LEN('발주(수정)'!D21)), '발주(수정)'!D21 &amp; " " &amp; thick)</f>
        <v>STS304 304 H/L 1.2T</v>
      </c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10"/>
      <c r="AQ50" s="11"/>
      <c r="AR50" s="20"/>
    </row>
    <row r="51" spans="1:44" ht="20.25" customHeight="1" thickBot="1" x14ac:dyDescent="0.35">
      <c r="A51" s="19"/>
      <c r="B51">
        <v>25</v>
      </c>
      <c r="C51" s="1"/>
      <c r="D51" s="64" t="s">
        <v>34</v>
      </c>
      <c r="E51" s="64"/>
      <c r="F51" s="64"/>
      <c r="G51" s="64"/>
      <c r="H51" s="64"/>
      <c r="I51" s="64"/>
      <c r="J51" s="3"/>
      <c r="K51" s="27">
        <v>25</v>
      </c>
      <c r="N51" s="83" t="str">
        <f>DATA!E23</f>
        <v>541 X 2419 =  본도 동일 1 EA</v>
      </c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10"/>
      <c r="AQ51" s="11"/>
      <c r="AR51" s="20"/>
    </row>
    <row r="52" spans="1:44" ht="18.75" customHeight="1" x14ac:dyDescent="0.3">
      <c r="A52" s="19"/>
      <c r="C52" s="84">
        <f>WR</f>
        <v>475</v>
      </c>
      <c r="D52" s="84"/>
      <c r="E52" s="84"/>
      <c r="F52" s="84"/>
      <c r="G52" s="84"/>
      <c r="H52" s="84"/>
      <c r="I52" s="84"/>
      <c r="J52" s="84"/>
      <c r="N52" s="83" t="str">
        <f>DATA!E24</f>
        <v>541 X 2419 =  본도 반대 1 EA</v>
      </c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10"/>
      <c r="AQ52" s="11"/>
      <c r="AR52" s="20"/>
    </row>
    <row r="53" spans="1:44" ht="9.75" customHeight="1" x14ac:dyDescent="0.3">
      <c r="A53" s="19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0"/>
      <c r="AQ53" s="11"/>
      <c r="AR53" s="20"/>
    </row>
    <row r="54" spans="1:44" ht="20.25" customHeight="1" thickBot="1" x14ac:dyDescent="0.35">
      <c r="A54" s="19"/>
      <c r="C54" s="27">
        <v>12</v>
      </c>
      <c r="D54" s="63"/>
      <c r="E54" s="63"/>
      <c r="F54" s="63"/>
      <c r="G54" s="63"/>
      <c r="H54" s="63"/>
      <c r="I54" s="63"/>
      <c r="J54" s="27">
        <v>12</v>
      </c>
      <c r="N54" s="83" t="str">
        <f>material &amp; " " &amp; IF(ISNUMBER(FIND("+", '발주(수정)'!D19)), LEFT('발주(수정)'!D19, FIND("+", '발주(수정)'!D19)-1) &amp; thick &amp; " +" &amp; MID('발주(수정)'!D19, FIND("+", '발주(수정)'!D19)+1, LEN('발주(수정)'!D19)), '발주(수정)'!D19 &amp; " " &amp; thick)</f>
        <v>STS304 VP005 1.2T</v>
      </c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10"/>
      <c r="AQ54" s="11"/>
      <c r="AR54" s="20"/>
    </row>
    <row r="55" spans="1:44" ht="20.25" customHeight="1" thickBot="1" x14ac:dyDescent="0.35">
      <c r="A55" s="19"/>
      <c r="B55">
        <v>25</v>
      </c>
      <c r="C55" s="1"/>
      <c r="D55" s="64" t="s">
        <v>35</v>
      </c>
      <c r="E55" s="64"/>
      <c r="F55" s="64"/>
      <c r="G55" s="64"/>
      <c r="H55" s="64"/>
      <c r="I55" s="64"/>
      <c r="J55" s="3"/>
      <c r="K55" s="27">
        <v>25</v>
      </c>
      <c r="N55" s="83" t="str">
        <f>DATA!E25</f>
        <v>766 X 2419 =  본도 동일 1 EA</v>
      </c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12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4"/>
      <c r="AR55" s="20"/>
    </row>
    <row r="56" spans="1:44" ht="18.75" customHeight="1" x14ac:dyDescent="0.3">
      <c r="A56" s="19"/>
      <c r="C56" s="84">
        <f>WSM</f>
        <v>700</v>
      </c>
      <c r="D56" s="84"/>
      <c r="E56" s="84"/>
      <c r="F56" s="84"/>
      <c r="G56" s="84"/>
      <c r="H56" s="84"/>
      <c r="I56" s="84"/>
      <c r="J56" s="84"/>
      <c r="N56" s="83" t="str">
        <f>DATA!E26</f>
        <v>766 X 2419 =  본도 반대 1 EA</v>
      </c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R56" s="20"/>
    </row>
    <row r="57" spans="1:44" ht="9.75" customHeight="1" thickBot="1" x14ac:dyDescent="0.35">
      <c r="A57" s="19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R57" s="20"/>
    </row>
    <row r="58" spans="1:44" ht="20.25" customHeight="1" thickBot="1" x14ac:dyDescent="0.35">
      <c r="A58" s="19"/>
      <c r="C58" s="27">
        <v>12</v>
      </c>
      <c r="D58" s="63"/>
      <c r="E58" s="63"/>
      <c r="F58" s="63"/>
      <c r="G58" s="63"/>
      <c r="H58" s="63"/>
      <c r="I58" s="63"/>
      <c r="J58" s="27">
        <v>12</v>
      </c>
      <c r="N58" s="83" t="str">
        <f>material &amp; " " &amp; IF(ISNUMBER(FIND("+", '발주(수정)'!D22)), LEFT('발주(수정)'!D22, FIND("+", '발주(수정)'!D22)-1) &amp; thick &amp; " +" &amp; MID('발주(수정)'!D22, FIND("+", '발주(수정)'!D22)+1, LEN('발주(수정)'!D22)), '발주(수정)'!D22 &amp; " " &amp; thick)</f>
        <v>STS304 VP005 1.2T</v>
      </c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G58" s="1"/>
      <c r="AH58" s="13"/>
      <c r="AI58" s="13"/>
      <c r="AJ58" s="13"/>
      <c r="AK58" s="13"/>
      <c r="AL58" s="13"/>
      <c r="AM58" s="13"/>
      <c r="AN58" s="13"/>
      <c r="AO58" s="13"/>
      <c r="AP58" s="13"/>
      <c r="AQ58" s="3"/>
      <c r="AR58" s="20"/>
    </row>
    <row r="59" spans="1:44" ht="20.25" customHeight="1" thickBot="1" x14ac:dyDescent="0.35">
      <c r="A59" s="19"/>
      <c r="B59">
        <v>25</v>
      </c>
      <c r="C59" s="1"/>
      <c r="D59" s="64" t="s">
        <v>36</v>
      </c>
      <c r="E59" s="64"/>
      <c r="F59" s="64"/>
      <c r="G59" s="64"/>
      <c r="H59" s="64"/>
      <c r="I59" s="64"/>
      <c r="J59" s="3"/>
      <c r="K59" s="27">
        <v>25</v>
      </c>
      <c r="N59" s="83" t="str">
        <f>DATA!E27</f>
        <v>966 X 2419 =  본도 동일 1 EA</v>
      </c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R59" s="20"/>
    </row>
    <row r="60" spans="1:44" ht="18.75" customHeight="1" x14ac:dyDescent="0.3">
      <c r="A60" s="19"/>
      <c r="C60" s="84">
        <f>WRM</f>
        <v>900</v>
      </c>
      <c r="D60" s="84"/>
      <c r="E60" s="84"/>
      <c r="F60" s="84"/>
      <c r="G60" s="84"/>
      <c r="H60" s="84"/>
      <c r="I60" s="84"/>
      <c r="J60" s="84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G60" s="86" t="s">
        <v>39</v>
      </c>
      <c r="AH60" s="84"/>
      <c r="AI60" s="84"/>
      <c r="AJ60" s="84"/>
      <c r="AK60" s="84"/>
      <c r="AL60" s="84"/>
      <c r="AM60" s="84"/>
      <c r="AN60" s="84"/>
      <c r="AO60" s="84"/>
      <c r="AP60" s="84"/>
      <c r="AQ60" s="87"/>
      <c r="AR60" s="20"/>
    </row>
    <row r="61" spans="1:44" ht="9.75" customHeight="1" thickBot="1" x14ac:dyDescent="0.35">
      <c r="A61" s="19"/>
      <c r="AG61" s="88"/>
      <c r="AH61" s="64"/>
      <c r="AI61" s="64"/>
      <c r="AJ61" s="64"/>
      <c r="AK61" s="64"/>
      <c r="AL61" s="64"/>
      <c r="AM61" s="64"/>
      <c r="AN61" s="64"/>
      <c r="AO61" s="64"/>
      <c r="AP61" s="64"/>
      <c r="AQ61" s="89"/>
      <c r="AR61" s="20"/>
    </row>
    <row r="62" spans="1:44" ht="8.25" customHeight="1" thickBot="1" x14ac:dyDescent="0.3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3"/>
    </row>
    <row r="63" spans="1:44" ht="17.25" thickTop="1" x14ac:dyDescent="0.3"/>
  </sheetData>
  <mergeCells count="82">
    <mergeCell ref="AG60:AQ61"/>
    <mergeCell ref="AG45:AP47"/>
    <mergeCell ref="D58:I58"/>
    <mergeCell ref="N58:AD58"/>
    <mergeCell ref="D59:I59"/>
    <mergeCell ref="N59:AD59"/>
    <mergeCell ref="C60:J60"/>
    <mergeCell ref="N60:AD60"/>
    <mergeCell ref="D54:I54"/>
    <mergeCell ref="N54:AD54"/>
    <mergeCell ref="D55:I55"/>
    <mergeCell ref="N55:AD55"/>
    <mergeCell ref="C56:J56"/>
    <mergeCell ref="N56:AD56"/>
    <mergeCell ref="D50:I50"/>
    <mergeCell ref="N50:AD50"/>
    <mergeCell ref="D51:I51"/>
    <mergeCell ref="N51:AD51"/>
    <mergeCell ref="C52:J52"/>
    <mergeCell ref="N52:AD52"/>
    <mergeCell ref="A40:AR40"/>
    <mergeCell ref="D46:I46"/>
    <mergeCell ref="N46:AD46"/>
    <mergeCell ref="D47:I47"/>
    <mergeCell ref="N47:AD47"/>
    <mergeCell ref="C48:J48"/>
    <mergeCell ref="N48:AD48"/>
    <mergeCell ref="B41:J41"/>
    <mergeCell ref="N42:AD42"/>
    <mergeCell ref="N43:AD43"/>
    <mergeCell ref="N44:AD44"/>
    <mergeCell ref="C44:J44"/>
    <mergeCell ref="D43:I43"/>
    <mergeCell ref="D42:I42"/>
    <mergeCell ref="S5:Y6"/>
    <mergeCell ref="AG5:AL6"/>
    <mergeCell ref="AP10:AQ12"/>
    <mergeCell ref="AP18:AQ20"/>
    <mergeCell ref="AP27:AQ30"/>
    <mergeCell ref="AK34:AM35"/>
    <mergeCell ref="W28:AC30"/>
    <mergeCell ref="AD28:AG30"/>
    <mergeCell ref="S13:V15"/>
    <mergeCell ref="W13:AC15"/>
    <mergeCell ref="AD13:AG15"/>
    <mergeCell ref="L16:R18"/>
    <mergeCell ref="S16:V18"/>
    <mergeCell ref="W16:AC18"/>
    <mergeCell ref="W22:AC24"/>
    <mergeCell ref="AD22:AG24"/>
    <mergeCell ref="L25:R27"/>
    <mergeCell ref="S25:V27"/>
    <mergeCell ref="W25:AC27"/>
    <mergeCell ref="AD25:AG27"/>
    <mergeCell ref="F34:I35"/>
    <mergeCell ref="B27:C30"/>
    <mergeCell ref="B17:C21"/>
    <mergeCell ref="B9:C12"/>
    <mergeCell ref="F5:L6"/>
    <mergeCell ref="L13:R15"/>
    <mergeCell ref="W19:AC21"/>
    <mergeCell ref="AD19:AG21"/>
    <mergeCell ref="A1:AR1"/>
    <mergeCell ref="A2:AR2"/>
    <mergeCell ref="AL3:AR3"/>
    <mergeCell ref="AD10:AG12"/>
    <mergeCell ref="AE32:AG33"/>
    <mergeCell ref="P35:Q37"/>
    <mergeCell ref="AC35:AD37"/>
    <mergeCell ref="L10:R12"/>
    <mergeCell ref="S10:V12"/>
    <mergeCell ref="W10:AC12"/>
    <mergeCell ref="S33:AA34"/>
    <mergeCell ref="S36:AA37"/>
    <mergeCell ref="L22:R24"/>
    <mergeCell ref="S22:V24"/>
    <mergeCell ref="M32:O33"/>
    <mergeCell ref="AD16:AG18"/>
    <mergeCell ref="L28:R30"/>
    <mergeCell ref="S28:V30"/>
    <mergeCell ref="L19:R21"/>
    <mergeCell ref="S19:V21"/>
  </mergeCells>
  <phoneticPr fontId="1" type="noConversion"/>
  <pageMargins left="0.23622047244094491" right="0.23622047244094491" top="0.19685039370078741" bottom="0.19685039370078741" header="0.31496062992125984" footer="0.31496062992125984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78"/>
  <sheetViews>
    <sheetView workbookViewId="0">
      <selection activeCell="A19" sqref="A19"/>
    </sheetView>
  </sheetViews>
  <sheetFormatPr defaultRowHeight="16.5" x14ac:dyDescent="0.3"/>
  <cols>
    <col min="1" max="1" width="52.625" style="30" customWidth="1"/>
    <col min="2" max="2" width="14.5" customWidth="1"/>
    <col min="5" max="5" width="39.125" bestFit="1" customWidth="1"/>
  </cols>
  <sheetData>
    <row r="1" spans="1:9" x14ac:dyDescent="0.3">
      <c r="A1" s="30" t="s">
        <v>16</v>
      </c>
      <c r="B1" t="s">
        <v>17</v>
      </c>
      <c r="C1" t="s">
        <v>40</v>
      </c>
      <c r="D1" t="s">
        <v>62</v>
      </c>
      <c r="E1" s="29"/>
      <c r="F1" s="28"/>
      <c r="G1" s="28"/>
      <c r="H1" s="28"/>
    </row>
    <row r="2" spans="1:9" x14ac:dyDescent="0.3">
      <c r="B2" t="s">
        <v>18</v>
      </c>
      <c r="C2" t="s">
        <v>41</v>
      </c>
      <c r="D2" t="s">
        <v>63</v>
      </c>
      <c r="E2" s="29" t="s">
        <v>192</v>
      </c>
      <c r="F2" s="28">
        <v>300</v>
      </c>
      <c r="G2" s="28">
        <v>70</v>
      </c>
      <c r="H2" s="28"/>
    </row>
    <row r="3" spans="1:9" x14ac:dyDescent="0.3">
      <c r="E3" s="29" t="s">
        <v>46</v>
      </c>
      <c r="F3" s="28">
        <v>301</v>
      </c>
      <c r="G3" s="28">
        <v>58</v>
      </c>
      <c r="H3" s="28">
        <v>420</v>
      </c>
    </row>
    <row r="4" spans="1:9" x14ac:dyDescent="0.3">
      <c r="B4" t="s">
        <v>59</v>
      </c>
      <c r="E4" s="29" t="s">
        <v>47</v>
      </c>
      <c r="F4" s="28">
        <v>301</v>
      </c>
      <c r="G4" s="28">
        <v>60</v>
      </c>
      <c r="H4" s="28">
        <v>420</v>
      </c>
    </row>
    <row r="5" spans="1:9" x14ac:dyDescent="0.3">
      <c r="B5" t="s">
        <v>60</v>
      </c>
      <c r="E5" s="29" t="s">
        <v>48</v>
      </c>
      <c r="F5" s="28">
        <v>412</v>
      </c>
      <c r="G5" s="28">
        <v>83</v>
      </c>
      <c r="H5" s="28"/>
    </row>
    <row r="6" spans="1:9" x14ac:dyDescent="0.3">
      <c r="B6" t="s">
        <v>61</v>
      </c>
      <c r="E6" s="29" t="s">
        <v>49</v>
      </c>
      <c r="F6" s="28">
        <v>505</v>
      </c>
      <c r="G6" s="28">
        <v>128</v>
      </c>
      <c r="H6" s="28"/>
    </row>
    <row r="7" spans="1:9" x14ac:dyDescent="0.3">
      <c r="E7" s="29" t="s">
        <v>50</v>
      </c>
      <c r="F7" s="28">
        <v>290</v>
      </c>
      <c r="G7" s="28">
        <v>80</v>
      </c>
      <c r="H7" s="28">
        <v>337</v>
      </c>
      <c r="I7" t="s">
        <v>58</v>
      </c>
    </row>
    <row r="8" spans="1:9" x14ac:dyDescent="0.3">
      <c r="E8" s="29" t="s">
        <v>51</v>
      </c>
      <c r="F8" s="28">
        <v>302</v>
      </c>
      <c r="G8" s="28">
        <v>62</v>
      </c>
      <c r="H8" s="28"/>
    </row>
    <row r="9" spans="1:9" x14ac:dyDescent="0.3">
      <c r="E9" s="29" t="s">
        <v>52</v>
      </c>
      <c r="F9" s="28">
        <v>240</v>
      </c>
      <c r="G9" s="28">
        <v>55</v>
      </c>
      <c r="H9" s="28">
        <v>370</v>
      </c>
    </row>
    <row r="10" spans="1:9" x14ac:dyDescent="0.3">
      <c r="E10" s="29" t="s">
        <v>53</v>
      </c>
      <c r="F10" s="28">
        <v>250</v>
      </c>
      <c r="G10" s="28">
        <v>55</v>
      </c>
      <c r="H10" s="28">
        <v>370</v>
      </c>
    </row>
    <row r="11" spans="1:9" x14ac:dyDescent="0.3">
      <c r="E11" s="29" t="s">
        <v>54</v>
      </c>
      <c r="F11" s="28">
        <v>260</v>
      </c>
      <c r="G11" s="28">
        <v>80</v>
      </c>
      <c r="H11" s="28">
        <v>420</v>
      </c>
    </row>
    <row r="12" spans="1:9" x14ac:dyDescent="0.3">
      <c r="E12" s="29" t="s">
        <v>55</v>
      </c>
      <c r="F12" s="28">
        <v>260</v>
      </c>
      <c r="G12" s="28">
        <v>60</v>
      </c>
      <c r="H12" s="28">
        <v>420</v>
      </c>
    </row>
    <row r="13" spans="1:9" x14ac:dyDescent="0.3">
      <c r="E13" s="29" t="s">
        <v>56</v>
      </c>
      <c r="F13" s="28">
        <v>190</v>
      </c>
      <c r="G13" s="28">
        <v>50</v>
      </c>
      <c r="H13" s="28">
        <v>440</v>
      </c>
    </row>
    <row r="14" spans="1:9" x14ac:dyDescent="0.3">
      <c r="E14" s="29" t="s">
        <v>57</v>
      </c>
      <c r="F14" s="28">
        <v>250</v>
      </c>
      <c r="G14" s="28">
        <v>60</v>
      </c>
      <c r="H14" s="28">
        <v>440</v>
      </c>
    </row>
    <row r="17" spans="1:5" x14ac:dyDescent="0.3">
      <c r="B17" s="30" t="s">
        <v>70</v>
      </c>
      <c r="C17" s="30" t="s">
        <v>71</v>
      </c>
    </row>
    <row r="18" spans="1:5" x14ac:dyDescent="0.3">
      <c r="B18" s="32">
        <f>IF(thick="1.2T", 8, IF(vcut여부="미적용",11.2,8.4))</f>
        <v>8</v>
      </c>
      <c r="C18" s="32">
        <f>IF(thick="1.2T",8,IF(vcut여부="미적용",11.2,11.2))</f>
        <v>8</v>
      </c>
      <c r="E18" s="31"/>
    </row>
    <row r="19" spans="1:5" x14ac:dyDescent="0.3">
      <c r="A19" s="30" t="str">
        <f>"&lt;1, 11&gt;"</f>
        <v>&lt;1, 11&gt;</v>
      </c>
      <c r="E19" t="str">
        <f xml:space="preserve"> WF + (25+12)*2 - 가로연신율  &amp;" X " &amp;CH - KH - PopNut*2 + (23+12)*2 - 세로연신율 &amp; " =  본도 동일 " &amp; makenum &amp; " EA"</f>
        <v>541 X 2419 =  본도 동일 1 EA</v>
      </c>
    </row>
    <row r="20" spans="1:5" x14ac:dyDescent="0.3">
      <c r="E20" t="str">
        <f>SUBSTITUTE(E19,"동일","반대")</f>
        <v>541 X 2419 =  본도 반대 1 EA</v>
      </c>
    </row>
    <row r="21" spans="1:5" x14ac:dyDescent="0.3">
      <c r="A21" s="30" t="s">
        <v>66</v>
      </c>
      <c r="E21" t="str">
        <f xml:space="preserve"> WS + (25+12)*2 - 가로연신율  &amp;" X " &amp; CH - KH - PopNut*2 + (23+12)*2 - 세로연신율 &amp; " =  본도 동일 " &amp; makenum* 2 &amp; " EA"</f>
        <v>391 X 2419 =  본도 동일 2 EA</v>
      </c>
    </row>
    <row r="22" spans="1:5" x14ac:dyDescent="0.3">
      <c r="E22" t="str">
        <f>SUBSTITUTE(E21,"동일","반대")</f>
        <v>391 X 2419 =  본도 반대 2 EA</v>
      </c>
    </row>
    <row r="23" spans="1:5" x14ac:dyDescent="0.3">
      <c r="A23" s="30" t="s">
        <v>67</v>
      </c>
      <c r="E23" t="str">
        <f xml:space="preserve"> WR + (25+12)*2 - 가로연신율  &amp;" X " &amp;CH - KH - PopNut*2 + (23+12)*2 - 세로연신율 &amp; " =  본도 동일 " &amp; makenum &amp; " EA"</f>
        <v>541 X 2419 =  본도 동일 1 EA</v>
      </c>
    </row>
    <row r="24" spans="1:5" x14ac:dyDescent="0.3">
      <c r="E24" t="str">
        <f t="shared" ref="E24" si="0">SUBSTITUTE(E23,"동일","반대")</f>
        <v>541 X 2419 =  본도 반대 1 EA</v>
      </c>
    </row>
    <row r="25" spans="1:5" x14ac:dyDescent="0.3">
      <c r="A25" s="30" t="s">
        <v>68</v>
      </c>
      <c r="E25" t="str">
        <f xml:space="preserve"> WSM + (25+12)*2 - 가로연신율  &amp;" X " &amp;CH - KH - PopNut*2 + (23+12)*2 - 세로연신율 &amp; " =  본도 동일 " &amp; makenum &amp; " EA"</f>
        <v>766 X 2419 =  본도 동일 1 EA</v>
      </c>
    </row>
    <row r="26" spans="1:5" x14ac:dyDescent="0.3">
      <c r="E26" t="str">
        <f t="shared" ref="E26" si="1">SUBSTITUTE(E25,"동일","반대")</f>
        <v>766 X 2419 =  본도 반대 1 EA</v>
      </c>
    </row>
    <row r="27" spans="1:5" x14ac:dyDescent="0.3">
      <c r="A27" s="30" t="s">
        <v>69</v>
      </c>
      <c r="E27" t="str">
        <f xml:space="preserve"> WRM + (25+12)*2 - 가로연신율  &amp;" X " &amp;CH - KH - PopNut*2 + (23+12)*2 - 세로연신율 &amp; " =  본도 동일 " &amp; makenum &amp; " EA"</f>
        <v>966 X 2419 =  본도 동일 1 EA</v>
      </c>
    </row>
    <row r="29" spans="1:5" x14ac:dyDescent="0.3">
      <c r="A29" s="30" t="s">
        <v>155</v>
      </c>
    </row>
    <row r="30" spans="1:5" x14ac:dyDescent="0.3">
      <c r="A30" s="30" t="s">
        <v>156</v>
      </c>
    </row>
    <row r="31" spans="1:5" x14ac:dyDescent="0.3">
      <c r="A31" s="30" t="s">
        <v>157</v>
      </c>
    </row>
    <row r="32" spans="1:5" x14ac:dyDescent="0.3">
      <c r="A32" s="30" t="s">
        <v>158</v>
      </c>
    </row>
    <row r="33" spans="1:1" x14ac:dyDescent="0.3">
      <c r="A33" s="30" t="s">
        <v>159</v>
      </c>
    </row>
    <row r="34" spans="1:1" x14ac:dyDescent="0.3">
      <c r="A34" s="30" t="s">
        <v>160</v>
      </c>
    </row>
    <row r="35" spans="1:1" x14ac:dyDescent="0.3">
      <c r="A35" s="30" t="s">
        <v>161</v>
      </c>
    </row>
    <row r="36" spans="1:1" x14ac:dyDescent="0.3">
      <c r="A36" s="30" t="s">
        <v>162</v>
      </c>
    </row>
    <row r="39" spans="1:1" x14ac:dyDescent="0.3">
      <c r="A39" s="30" t="s">
        <v>163</v>
      </c>
    </row>
    <row r="40" spans="1:1" x14ac:dyDescent="0.3">
      <c r="A40" s="30" t="s">
        <v>164</v>
      </c>
    </row>
    <row r="42" spans="1:1" x14ac:dyDescent="0.3">
      <c r="A42" s="30" t="s">
        <v>165</v>
      </c>
    </row>
    <row r="43" spans="1:1" x14ac:dyDescent="0.3">
      <c r="A43" s="30" t="s">
        <v>166</v>
      </c>
    </row>
    <row r="44" spans="1:1" x14ac:dyDescent="0.3">
      <c r="A44" s="30" t="s">
        <v>167</v>
      </c>
    </row>
    <row r="45" spans="1:1" x14ac:dyDescent="0.3">
      <c r="A45" s="30" t="s">
        <v>168</v>
      </c>
    </row>
    <row r="46" spans="1:1" x14ac:dyDescent="0.3">
      <c r="A46" s="30" t="s">
        <v>169</v>
      </c>
    </row>
    <row r="47" spans="1:1" x14ac:dyDescent="0.3">
      <c r="A47" s="30" t="s">
        <v>170</v>
      </c>
    </row>
    <row r="49" spans="1:1" x14ac:dyDescent="0.3">
      <c r="A49" s="30">
        <v>1</v>
      </c>
    </row>
    <row r="50" spans="1:1" x14ac:dyDescent="0.3">
      <c r="A50" s="30">
        <v>2</v>
      </c>
    </row>
    <row r="51" spans="1:1" x14ac:dyDescent="0.3">
      <c r="A51" s="30">
        <v>3</v>
      </c>
    </row>
    <row r="53" spans="1:1" x14ac:dyDescent="0.3">
      <c r="A53" s="30" t="s">
        <v>171</v>
      </c>
    </row>
    <row r="54" spans="1:1" x14ac:dyDescent="0.3">
      <c r="A54" s="30" t="s">
        <v>183</v>
      </c>
    </row>
    <row r="56" spans="1:1" x14ac:dyDescent="0.3">
      <c r="A56" s="30" t="s">
        <v>172</v>
      </c>
    </row>
    <row r="57" spans="1:1" x14ac:dyDescent="0.3">
      <c r="A57" s="30" t="s">
        <v>184</v>
      </c>
    </row>
    <row r="59" spans="1:1" x14ac:dyDescent="0.3">
      <c r="A59" s="30" t="s">
        <v>173</v>
      </c>
    </row>
    <row r="60" spans="1:1" x14ac:dyDescent="0.3">
      <c r="A60" s="30" t="s">
        <v>174</v>
      </c>
    </row>
    <row r="62" spans="1:1" x14ac:dyDescent="0.3">
      <c r="A62" s="30" t="s">
        <v>173</v>
      </c>
    </row>
    <row r="63" spans="1:1" x14ac:dyDescent="0.3">
      <c r="A63" s="30" t="s">
        <v>174</v>
      </c>
    </row>
    <row r="64" spans="1:1" x14ac:dyDescent="0.3">
      <c r="A64" s="30" t="s">
        <v>175</v>
      </c>
    </row>
    <row r="66" spans="1:2" x14ac:dyDescent="0.3">
      <c r="A66" s="30" t="s">
        <v>176</v>
      </c>
    </row>
    <row r="67" spans="1:2" x14ac:dyDescent="0.3">
      <c r="A67" s="30" t="s">
        <v>177</v>
      </c>
    </row>
    <row r="68" spans="1:2" x14ac:dyDescent="0.3">
      <c r="A68" s="30" t="s">
        <v>178</v>
      </c>
    </row>
    <row r="70" spans="1:2" x14ac:dyDescent="0.3">
      <c r="A70" s="30" t="s">
        <v>179</v>
      </c>
    </row>
    <row r="71" spans="1:2" x14ac:dyDescent="0.3">
      <c r="A71" s="30" t="s">
        <v>180</v>
      </c>
    </row>
    <row r="74" spans="1:2" x14ac:dyDescent="0.3">
      <c r="A74" s="30">
        <v>8</v>
      </c>
      <c r="B74" t="s">
        <v>188</v>
      </c>
    </row>
    <row r="75" spans="1:2" x14ac:dyDescent="0.3">
      <c r="A75" s="30">
        <v>9</v>
      </c>
    </row>
    <row r="76" spans="1:2" x14ac:dyDescent="0.3">
      <c r="A76" s="30">
        <v>10</v>
      </c>
    </row>
    <row r="77" spans="1:2" x14ac:dyDescent="0.3">
      <c r="A77" s="30">
        <v>11</v>
      </c>
    </row>
    <row r="78" spans="1:2" x14ac:dyDescent="0.3">
      <c r="A78" s="30">
        <v>12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25</vt:i4>
      </vt:variant>
    </vt:vector>
  </HeadingPairs>
  <TitlesOfParts>
    <vt:vector size="28" baseType="lpstr">
      <vt:lpstr>발주(수정)</vt:lpstr>
      <vt:lpstr>자재청구서</vt:lpstr>
      <vt:lpstr>DATA</vt:lpstr>
      <vt:lpstr>BottomThick</vt:lpstr>
      <vt:lpstr>CD</vt:lpstr>
      <vt:lpstr>CH</vt:lpstr>
      <vt:lpstr>ColThick</vt:lpstr>
      <vt:lpstr>colWidth</vt:lpstr>
      <vt:lpstr>CPH</vt:lpstr>
      <vt:lpstr>CW</vt:lpstr>
      <vt:lpstr>FirstHole</vt:lpstr>
      <vt:lpstr>KH</vt:lpstr>
      <vt:lpstr>KPH</vt:lpstr>
      <vt:lpstr>makenum</vt:lpstr>
      <vt:lpstr>material</vt:lpstr>
      <vt:lpstr>OP</vt:lpstr>
      <vt:lpstr>OPH</vt:lpstr>
      <vt:lpstr>PopNut</vt:lpstr>
      <vt:lpstr>thick</vt:lpstr>
      <vt:lpstr>TRH</vt:lpstr>
      <vt:lpstr>vcut여부</vt:lpstr>
      <vt:lpstr>WF</vt:lpstr>
      <vt:lpstr>WR</vt:lpstr>
      <vt:lpstr>WRM</vt:lpstr>
      <vt:lpstr>WS</vt:lpstr>
      <vt:lpstr>WSM</vt:lpstr>
      <vt:lpstr>가로연신율</vt:lpstr>
      <vt:lpstr>세로연신율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2024-03-26T00:36:56Z</cp:lastPrinted>
  <dcterms:created xsi:type="dcterms:W3CDTF">2020-01-09T06:39:51Z</dcterms:created>
  <dcterms:modified xsi:type="dcterms:W3CDTF">2024-05-02T04:36:02Z</dcterms:modified>
</cp:coreProperties>
</file>