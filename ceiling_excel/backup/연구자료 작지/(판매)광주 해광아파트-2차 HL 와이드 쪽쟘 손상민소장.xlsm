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7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4" l="1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7" i="14"/>
  <c r="O8" i="14" l="1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P7" i="14"/>
  <c r="Q7" i="14"/>
  <c r="R7" i="14"/>
  <c r="O7" i="14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7" i="13"/>
  <c r="V7" i="8" l="1"/>
  <c r="W7" i="8"/>
  <c r="X7" i="8"/>
  <c r="U7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H8" i="15" l="1"/>
  <c r="G8" i="15"/>
  <c r="AM7" i="32"/>
  <c r="AF8" i="14"/>
  <c r="AF11" i="14"/>
  <c r="AH10" i="14"/>
  <c r="AH9" i="14"/>
  <c r="AF17" i="14"/>
  <c r="AH14" i="14"/>
  <c r="E9" i="14"/>
  <c r="AD9" i="14" s="1"/>
  <c r="AH8" i="14"/>
  <c r="AH11" i="14"/>
  <c r="E10" i="14"/>
  <c r="AD10" i="14" s="1"/>
  <c r="AH13" i="14"/>
  <c r="AH15" i="14"/>
  <c r="F18" i="14"/>
  <c r="AG18" i="14" s="1"/>
  <c r="AF19" i="14"/>
  <c r="E15" i="14"/>
  <c r="AD15" i="14" s="1"/>
  <c r="E12" i="14"/>
  <c r="AD12" i="14" s="1"/>
  <c r="AF13" i="14"/>
  <c r="AC23" i="14"/>
  <c r="AF23" i="14"/>
  <c r="AF12" i="14"/>
  <c r="AC12" i="14"/>
  <c r="E22" i="14"/>
  <c r="AD22" i="14" s="1"/>
  <c r="E14" i="14"/>
  <c r="AD14" i="14" s="1"/>
  <c r="E19" i="14"/>
  <c r="AD19" i="14" s="1"/>
  <c r="AH23" i="14"/>
  <c r="AF18" i="14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G17" i="14"/>
  <c r="H17" i="14" s="1"/>
  <c r="AG21" i="14"/>
  <c r="H21" i="14" s="1"/>
  <c r="AG19" i="14"/>
  <c r="H19" i="14" s="1"/>
  <c r="AE20" i="14"/>
  <c r="G20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<sst xmlns="http://schemas.openxmlformats.org/spreadsheetml/2006/main" count="1170" uniqueCount="337">
  <si>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</si>
  <si>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</si>
  <si>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</si>
  <si>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</si>
  <si>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</si>
  <si>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</si>
  <si>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</si>
  <si>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</si>
  <si>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</si>
  <si>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</si>
  <si>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</si>
  <si>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</si>
  <si>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</si>
  <si>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</si>
  <si>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</si>
  <si>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</si>
  <si>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</si>
  <si>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</si>
  <si>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</si>
  <si>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</si>
  <si>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</si>
  <si>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</si>
  <si>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</si>
  <si>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</si>
  <si>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</si>
  <si>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</si>
  <si>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</si>
  <si>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</si>
  <si>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</si>
  <si>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</si>
  <si>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</si>
  <si>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</si>
  <si>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</si>
  <si>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</si>
  <si>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</si>
  <si>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</si>
  <si>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</si>
  <si>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</si>
  <si>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</si>
  <si>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</si>
  <si>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</si>
  <si>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</si>
  <si>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</si>
  <si>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</si>
  <si>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</si>
  <si>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</si>
  <si>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</si>
  <si>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</si>
  <si>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</si>
  <si>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</si>
  <si>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</si>
  <si>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</si>
  <si>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</si>
  <si>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</si>
  <si>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</si>
  <si>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</si>
  <si>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</si>
  <si>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</si>
  <si>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</si>
  <si>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</si>
  <si>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</si>
  <si>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</si>
  <si>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</si>
  <si>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</si>
  <si>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</si>
  <si>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</si>
  <si>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</si>
  <si>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</si>
  <si>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</si>
  <si>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</si>
  <si>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</si>
  <si>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</si>
  <si>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</si>
  <si>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</si>
  <si>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</si>
  <si>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</si>
  <si>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</si>
  <si>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</si>
  <si>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</si>
  <si>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</si>
  <si>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</si>
  <si>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</si>
  <si>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</si>
  <si>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</si>
  <si>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</si>
  <si>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</si>
  <si>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</si>
  <si>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</si>
  <si>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</si>
  <si>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</si>
  <si>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</si>
  <si>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</si>
  <si>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</si>
  <si>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</si>
  <si>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</si>
  <si>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</si>
  <si>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</si>
  <si>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</si>
  <si>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</si>
  <si>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</si>
  <si>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</si>
  <si>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</si>
  <si>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</si>
  <si>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</si>
  <si>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</si>
  <si>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</si>
  <si>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</si>
  <si>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</si>
  <si>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</si>
  <si>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</si>
  <si>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</si>
  <si>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</si>
  <si>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</si>
  <si>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</si>
  <si>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</si>
  <si>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</si>
  <si>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</si>
  <si>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</si>
  <si>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</si>
  <si>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</si>
  <si>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</si>
  <si>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</si>
  <si>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</si>
  <si>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</si>
  <si>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</si>
  <si>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</si>
  <si>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</si>
  <si>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</si>
  <si>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</si>
  <si>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</si>
  <si>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</si>
  <si>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</si>
  <si>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</si>
  <si>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</si>
  <si>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</si>
  <si>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</si>
  <si>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</si>
  <si>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</si>
  <si>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</si>
  <si>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</si>
  <si>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</si>
  <si>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</si>
  <si>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</si>
  <si>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</si>
  <si>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</si>
  <si>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</si>
  <si>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</si>
  <si>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</si>
  <si>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</si>
  <si>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</si>
  <si>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</si>
  <si>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</si>
  <si>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</si>
  <si>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</si>
  <si>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</si>
  <si>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</si>
  <si>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</si>
  <si>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</si>
  <si>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</si>
  <si>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</si>
  <si>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</si>
  <si>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</si>
  <si>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</si>
  <si>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</si>
  <si>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</si>
  <si>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</si>
  <si>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</si>
  <si>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</si>
  <si>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</si>
  <si>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</si>
  <si>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</si>
  <si>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</si>
  <si>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</si>
  <si>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</si>
  <si>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</si>
  <si>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</si>
  <si>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</si>
  <si>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</si>
  <si>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</si>
  <si>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</si>
  <si>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</si>
  <si>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</si>
  <si>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</si>
  <si>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</si>
  <si>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</si>
  <si>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</si>
  <si>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</si>
  <si>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</si>
  <si>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</si>
  <si>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</si>
  <si>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</si>
  <si>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</si>
  <si>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</si>
  <si>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</si>
  <si>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</si>
  <si>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</si>
  <si>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</si>
  <si>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</si>
  <si>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</si>
  <si>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</si>
  <si>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</si>
  <si>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</si>
  <si>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</si>
  <si>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</si>
  <si>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</si>
  <si>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</si>
  <si>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</si>
  <si>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</si>
  <si>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</si>
  <si>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</si>
  <si>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</si>
  <si>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</si>
  <si>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</si>
  <si>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</si>
  <si>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</si>
  <si>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</si>
  <si>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</si>
  <si>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</si>
  <si>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</si>
  <si>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</si>
  <si>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</si>
  <si>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</si>
  <si>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</si>
  <si>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</si>
  <si>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</si>
  <si>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</si>
  <si>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</si>
  <si>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</si>
  <si>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</si>
  <si>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</si>
  <si>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</si>
  <si>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</si>
  <si>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</si>
  <si>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</si>
  <si>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</si>
  <si>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</si>
  <si>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</si>
  <si>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</si>
  <si>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</si>
  <si>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</si>
  <si>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</si>
  <si>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</si>
  <si>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</si>
  <si>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</si>
  <si>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</si>
  <si>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</si>
  <si>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</si>
  <si>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</si>
  <si>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</si>
  <si>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</si>
  <si>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</si>
  <si>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</si>
  <si>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</si>
  <si>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</si>
  <si>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</si>
  <si>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</si>
  <si>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</si>
  <si>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</si>
  <si>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</si>
  <si>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</si>
  <si>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</si>
  <si>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</si>
  <si>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</si>
  <si>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</si>
  <si>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</si>
  <si>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</si>
  <si>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</si>
  <si>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</si>
  <si>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</si>
  <si>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</si>
  <si>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</si>
  <si>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</si>
  <si>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</si>
  <si>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</si>
  <si>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</si>
  <si>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</si>
  <si>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</si>
  <si>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</si>
  <si>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</si>
  <si>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</si>
  <si>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</si>
  <si>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</si>
  <si>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</si>
  <si>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</si>
  <si>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</si>
  <si>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</si>
  <si>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</si>
  <si>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</si>
  <si>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</si>
  <si>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</si>
  <si>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</si>
  <si>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</si>
  <si>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</si>
  <si>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</si>
  <si>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</si>
  <si>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</si>
  <si>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</si>
  <si>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</si>
  <si>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</si>
  <si>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</si>
  <si>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</si>
  <si>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</si>
  <si>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</si>
  <si>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</si>
  <si>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</si>
  <si>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</si>
  <si>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</si>
  <si>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</si>
  <si>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</si>
  <si>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</si>
  <si>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</si>
  <si>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</si>
  <si>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</si>
  <si>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</si>
  <si>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</si>
  <si>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</si>
  <si>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</si>
  <si>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</si>
  <si>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</si>
  <si>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</si>
  <si>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</si>
  <si>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</si>
  <si>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</si>
  <si>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</si>
  <si>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</si>
  <si>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</si>
  <si>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</si>
  <si>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</si>
  <si>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</si>
  <si>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</si>
  <si>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</si>
  <si>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</si>
  <si>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</si>
  <si>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</si>
  <si>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</si>
  <si>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(판매)광주 해광아파트-2차</t>
  </si>
  <si>
    <t>손상민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</si>
</sst>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6" sqref="B6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335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(판매)광주 해광아파트-2차 ) _손상민소장</v>
      </c>
      <c r="C2" s="39" t="str">
        <f>"(와이드) 제작변환 자료( "&amp;B1&amp;" ) _"&amp;소장 &amp;"소장"</f>
        <v>(와이드) 제작변환 자료( (판매)광주 해광아파트-2차 ) _손상민소장</v>
      </c>
      <c r="D2" s="154" t="s">
        <v>318</v>
      </c>
      <c r="E2" s="150" t="str">
        <f>"(SO와이드) 실측서 ( " &amp; B1 &amp; " ) _"&amp;소장 &amp;"소장"</f>
        <v>(SO와이드) 실측서 ( (판매)광주 해광아파트-2차 ) _손상민소장</v>
      </c>
      <c r="F2" s="150" t="str">
        <f>"(SO와이드) 제작변환 ( " &amp; B1 &amp; " ) _"&amp;소장 &amp;"소장"</f>
        <v>(SO와이드) 제작변환 ( (판매)광주 해광아파트-2차 ) _손상민소장</v>
      </c>
      <c r="G2" s="152" t="s">
        <v>320</v>
      </c>
      <c r="H2" s="147" t="str">
        <f>"(4CO와이드) 실측서 ( " &amp; B1 &amp; " ) _"&amp;소장 &amp;"소장"</f>
        <v>(4CO와이드) 실측서 ( (판매)광주 해광아파트-2차 ) _손상민소장</v>
      </c>
      <c r="I2" s="147" t="str">
        <f>"(4CO와이드) 제작변환 ( " &amp; B1 &amp; " ) _"&amp;소장 &amp;"소장"</f>
        <v>(4CO와이드) 제작변환 ( (판매)광주 해광아파트-2차 ) _손상민소장</v>
      </c>
      <c r="J2" s="152" t="s">
        <v>322</v>
      </c>
      <c r="K2" s="153" t="str">
        <f>"(2UP) 실측서 ( " &amp; B1 &amp; " ) _"&amp;소장 &amp;"소장"</f>
        <v>(2UP) 실측서 ( (판매)광주 해광아파트-2차 ) _손상민소장</v>
      </c>
      <c r="L2" s="153" t="str">
        <f>"(2UP) 제작변환 ( " &amp; B1 &amp; " ) _"&amp;소장 &amp;"소장"</f>
        <v>(2UP) 제작변환 ( (판매)광주 해광아파트-2차 ) _손상민소장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(판매)광주 해광아파트-2차 ) _손상민소장</v>
      </c>
      <c r="C3" s="39" t="str">
        <f>"(멍텅구리) 제작변환 자료( "&amp;B1&amp;" ) _"&amp;소장 &amp;"소장"</f>
        <v>(멍텅구리) 제작변환 자료( (판매)광주 해광아파트-2차 ) _손상민소장</v>
      </c>
      <c r="D3" s="154" t="s">
        <v>319</v>
      </c>
      <c r="E3" s="150" t="str">
        <f>"(SO멍텅구리) 실측서 ( " &amp; B1 &amp; " ) _"&amp;소장 &amp;"소장"</f>
        <v>(SO멍텅구리) 실측서 ( (판매)광주 해광아파트-2차 ) _손상민소장</v>
      </c>
      <c r="F3" s="150" t="str">
        <f>"(SO멍텅구리) 제작변환 ( " &amp; B1 &amp; " ) _"&amp;소장 &amp;"소장"</f>
        <v>(SO멍텅구리) 제작변환 ( (판매)광주 해광아파트-2차 ) _손상민소장</v>
      </c>
      <c r="G3" s="152" t="s">
        <v>321</v>
      </c>
      <c r="H3" s="147" t="str">
        <f>"(4CO멍텅구리) 실측서 ( " &amp; B1 &amp; " ) _"&amp;소장 &amp;"소장"</f>
        <v>(4CO멍텅구리) 실측서 ( (판매)광주 해광아파트-2차 ) _손상민소장</v>
      </c>
      <c r="I3" s="147" t="str">
        <f>"(4CO멍텅구리) 제작변환 ( " &amp; B1 &amp; " ) _"&amp;소장 &amp;"소장"</f>
        <v>(4CO멍텅구리) 제작변환 ( (판매)광주 해광아파트-2차 ) _손상민소장</v>
      </c>
      <c r="J3" s="152" t="s">
        <v>323</v>
      </c>
      <c r="K3" s="153" t="str">
        <f>"(3UP) 실측서 ( " &amp; B1 &amp; " ) _"&amp;소장 &amp;"소장"</f>
        <v>(3UP) 실측서 ( (판매)광주 해광아파트-2차 ) _손상민소장</v>
      </c>
      <c r="L3" s="153" t="str">
        <f>"(3UP) 제작변환 ( " &amp; B1 &amp; " ) _"&amp;소장 &amp;"소장"</f>
        <v>(3UP) 제작변환 ( (판매)광주 해광아파트-2차 ) _손상민소장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(판매)광주 해광아파트-2차 ) _손상민소장</v>
      </c>
      <c r="C4" s="39" t="str">
        <f>"(쪽쟘) 제작변환 자료( "&amp;B1&amp;" ) _"&amp;소장 &amp;"소장"</f>
        <v>(쪽쟘) 제작변환 자료( (판매)광주 해광아파트-2차 ) _손상민소장</v>
      </c>
      <c r="D4" s="151"/>
      <c r="E4" s="151"/>
      <c r="F4" s="151"/>
      <c r="G4" s="151"/>
    </row>
    <row r="5" spans="1:12" ht="84" customHeight="1">
      <c r="A5" s="1" t="s">
        <v>292</v>
      </c>
      <c r="B5" s="69"/>
      <c r="D5" s="145" t="s">
        <v>324</v>
      </c>
    </row>
    <row r="6" spans="1:12" ht="27.75" customHeight="1">
      <c r="A6" s="144" t="s">
        <v>40</v>
      </c>
      <c r="B6" s="146" t="s">
        <v>336</v>
      </c>
    </row>
    <row r="7" spans="1:12" ht="16.5" customHeight="1">
      <c r="A7" s="72" t="s">
        <v>193</v>
      </c>
      <c r="B7" s="118" t="s">
        <v>293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+(2.2 ),  늘어난치수K -(-2.2),  C + (4.4),   U + (4.4), OP - (0), R - (0),  기둥차감 - (0), A + (1.2)</v>
      </c>
      <c r="C10" s="161"/>
    </row>
    <row r="11" spans="1:12" ht="16.5" customHeight="1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+(4.4 ),  늘어난치수K -(0),  C + (4.4),  U +(4.4), OP - (0), R - (0),  기둥차감 - (0),  A + (1.2)</v>
      </c>
      <c r="C11" s="161"/>
    </row>
    <row r="12" spans="1:12" ht="16.5" customHeight="1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+(4.4 ),  늘어난치수K -(0), OP - (0),  기둥차감 - (0)</v>
      </c>
      <c r="C12" s="161"/>
    </row>
    <row r="13" spans="1:12" ht="16.5" customHeight="1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+(4.4 ),  늘어난치수K -(0),  C + (4.4),   U + (4.4), OP - (0), R - (0),  기둥차감 - (0),  A + (1.2)</v>
      </c>
      <c r="C13" s="161"/>
    </row>
    <row r="14" spans="1:12" ht="16.5" customHeight="1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+(4.4 ),  늘어난치수K -(0),  C + (4.4),  U +(4.4), OP1/OP2 - (0), R - (0),  기둥차감 - (0), A + (1.2)</v>
      </c>
      <c r="C14" s="161"/>
    </row>
    <row r="15" spans="1:12" ht="16.5" customHeight="1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+(4.4 ),  늘어난치수K -(0),  C + (4.4),   U + (4.4), OP1/OP3 - (0), R - (0),  기둥차감 - (0), A + (1.2)</v>
      </c>
      <c r="C15" s="161"/>
    </row>
    <row r="16" spans="1:12" ht="16.5" customHeight="1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+(4.4 ),  늘어난치수K -(0),  C + (4.4),  U +(4.4), OP1/OP3 - (0), R - (0),  기둥차감 - (0), A + (1.2)</v>
      </c>
      <c r="C16" s="161"/>
    </row>
    <row r="17" spans="1:3" ht="16.5" customHeight="1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+(4.4 ),  늘어난치수K -(0),  C + (4.4),   U + (4.4), OP - (0), R - (0),  기둥차감 - (0), A + (1.2)</v>
      </c>
      <c r="C17" s="161"/>
    </row>
    <row r="18" spans="1:3" ht="16.5" customHeight="1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+(4.4 ),  늘어난치수K -(0),  C + (4.4),   U + (4.4), OP - (0), R - (0),  기둥차감 - (0), A + (1.2)</v>
      </c>
      <c r="C18" s="161"/>
    </row>
    <row r="21" spans="1:3">
      <c r="B21" t="s">
        <v>271</v>
      </c>
    </row>
    <row r="23" spans="1:3" ht="37.5" customHeight="1">
      <c r="A23" s="22" t="s">
        <v>299</v>
      </c>
      <c r="B23" s="124" t="s">
        <v>310</v>
      </c>
    </row>
    <row r="26" spans="1: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(판매)광주 해광아파트-2차</v>
      </c>
      <c r="E2" s="3" t="str">
        <f>정보!B6</f>
        <v>손상민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45273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E11" t="s">
        <v>224</v>
      </c>
    </row>
    <row r="12" spans="1:17" ht="62.25" customHeight="1">
      <c r="E12" t="s">
        <v>316</v>
      </c>
    </row>
    <row r="13" spans="1:17" ht="62.25" customHeight="1">
      <c r="E13" t="s">
        <v>302</v>
      </c>
    </row>
    <row r="14" spans="1:17" ht="62.25" customHeight="1">
      <c r="E14" t="s">
        <v>317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C10" sqref="AC10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75" t="str">
        <f>정보!B2</f>
        <v>(와이드) 실측서 ( (판매)광주 해광아파트-2차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>
      <c r="A4" s="172" t="str">
        <f>정보!B10</f>
        <v>제작치수 반영 : MH + (1.2), JB/JD +(2.2 ),  늘어난치수K -(-2.2),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/>
      <c r="B7" s="4">
        <v>1</v>
      </c>
      <c r="C7" s="4">
        <v>228</v>
      </c>
      <c r="D7" s="4">
        <v>228</v>
      </c>
      <c r="E7" s="4">
        <v>799</v>
      </c>
      <c r="F7" s="4">
        <v>997</v>
      </c>
      <c r="G7" s="4">
        <v>575</v>
      </c>
      <c r="H7" s="4">
        <v>575</v>
      </c>
      <c r="I7" s="4">
        <v>600</v>
      </c>
      <c r="J7" s="4">
        <v>600</v>
      </c>
      <c r="K7" s="13">
        <v>34</v>
      </c>
      <c r="L7" s="13">
        <v>34</v>
      </c>
      <c r="M7" s="4"/>
      <c r="N7" s="4"/>
      <c r="O7" s="4">
        <v>16</v>
      </c>
      <c r="P7" s="4">
        <v>15</v>
      </c>
      <c r="Q7" s="4">
        <v>2124</v>
      </c>
      <c r="R7" s="4">
        <v>2105</v>
      </c>
      <c r="S7" s="4">
        <v>2122</v>
      </c>
      <c r="T7" s="4">
        <v>2102</v>
      </c>
      <c r="U7" s="4">
        <v>38</v>
      </c>
      <c r="V7" s="4">
        <v>0</v>
      </c>
      <c r="W7" s="4">
        <v>25</v>
      </c>
      <c r="X7" s="4">
        <v>25</v>
      </c>
      <c r="Y7" s="4">
        <v>8</v>
      </c>
      <c r="Z7" s="4">
        <v>10</v>
      </c>
      <c r="AA7" s="4">
        <v>10</v>
      </c>
      <c r="AB7" s="4">
        <v>10</v>
      </c>
      <c r="AC7" s="4"/>
      <c r="AD7" s="4"/>
      <c r="AE7" s="4"/>
      <c r="AF7" s="4"/>
      <c r="AG7" s="4"/>
      <c r="AH7" s="4">
        <v>15</v>
      </c>
      <c r="AI7" s="4">
        <v>10</v>
      </c>
      <c r="AJ7" s="4">
        <v>10</v>
      </c>
      <c r="AK7" s="53"/>
      <c r="AL7" s="3">
        <f>Y7+$AK7</f>
        <v>8</v>
      </c>
      <c r="AM7" s="3">
        <f>Z7+$AK7</f>
        <v>10</v>
      </c>
      <c r="AN7" s="3">
        <f>AA7+$AK7</f>
        <v>10</v>
      </c>
      <c r="AO7" s="3">
        <f>AB7+$AK7</f>
        <v>10</v>
      </c>
      <c r="AP7" s="3">
        <f>G7-$AK7</f>
        <v>575</v>
      </c>
      <c r="AQ7" s="3">
        <f>H7-$AK7</f>
        <v>575</v>
      </c>
      <c r="AR7" s="3">
        <f>I7-$AK7</f>
        <v>600</v>
      </c>
      <c r="AS7" s="3">
        <f>J7-$AK7</f>
        <v>600</v>
      </c>
    </row>
    <row r="8" spans="1:45" ht="23.25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7"/>
  <sheetViews>
    <sheetView zoomScale="85" zoomScaleNormal="85" workbookViewId="0">
      <selection activeCell="A4" sqref="A4:AF4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229" t="str">
        <f>정보!C2</f>
        <v>(와이드) 제작변환 자료( (판매)광주 해광아파트-2차 ) _손상민소장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4.4000000000000004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>
        <f>정보!B5</f>
        <v>0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-2.2000000000000002</v>
      </c>
      <c r="AK2" s="190"/>
      <c r="AL2" s="1"/>
      <c r="AM2" s="186" t="s">
        <v>229</v>
      </c>
      <c r="AN2" s="187"/>
      <c r="AO2" s="188">
        <v>1.2</v>
      </c>
      <c r="AP2" s="188"/>
      <c r="AQ2" s="1"/>
      <c r="AR2" s="1"/>
    </row>
    <row r="3" spans="1:61" ht="24.75" customHeight="1">
      <c r="A3" s="28" t="str">
        <f>'와이드(실측)'!A3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2.2000000000000002</v>
      </c>
      <c r="N3" s="207"/>
      <c r="O3" s="217" t="s">
        <v>77</v>
      </c>
      <c r="P3" s="217"/>
      <c r="Q3" s="224">
        <v>4.4000000000000004</v>
      </c>
      <c r="R3" s="224"/>
      <c r="S3" s="225" t="s">
        <v>227</v>
      </c>
      <c r="T3" s="225"/>
      <c r="U3" s="225"/>
      <c r="V3" s="226">
        <f>BI7</f>
        <v>0</v>
      </c>
      <c r="W3" s="226"/>
      <c r="X3" s="219" t="s">
        <v>78</v>
      </c>
      <c r="Y3" s="219"/>
      <c r="Z3" s="227">
        <v>1.2</v>
      </c>
      <c r="AA3" s="227"/>
      <c r="AC3" s="208" t="s">
        <v>311</v>
      </c>
      <c r="AD3" s="208"/>
      <c r="AE3" s="208">
        <f>'와이드(실측)'!Y7</f>
        <v>8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325</v>
      </c>
      <c r="AP3" s="192"/>
      <c r="AQ3" s="195">
        <f>AU7</f>
        <v>9.732537793701372</v>
      </c>
      <c r="AR3" s="196"/>
      <c r="BI3" s="178" t="s">
        <v>253</v>
      </c>
    </row>
    <row r="4" spans="1:61" ht="33" customHeight="1">
      <c r="A4" s="228" t="str">
        <f>정보!B10</f>
        <v>제작치수 반영 : MH + (1.2), JB/JD +(2.2 ),  늘어난치수K -(-2.2),  C + (4.4),   U + (4.4), OP - (0), R - (0),  기둥차감 - (0), A + (1.2)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45273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229.2</v>
      </c>
      <c r="D7" s="31">
        <f>'와이드(실측)'!D7+와이드MH더함-IF(AND(소장="추영덕",Y7=0),1.2)</f>
        <v>229.2</v>
      </c>
      <c r="E7" s="135">
        <f>'와이드(실측)'!E7-와이드OP</f>
        <v>799</v>
      </c>
      <c r="F7" s="31">
        <f>'와이드(실측)'!F7-와이드R</f>
        <v>997</v>
      </c>
      <c r="G7" s="50">
        <f>'와이드(실측)'!G7+와이드JBJD키움치수+IF(BI7=1,AC7,0)</f>
        <v>577.20000000000005</v>
      </c>
      <c r="H7" s="50">
        <f>'와이드(실측)'!H7+와이드JBJD키움치수+IF(BI7=1,AE7,0)</f>
        <v>577.20000000000005</v>
      </c>
      <c r="I7" s="50">
        <f>'와이드(실측)'!I7+MAX(AS7,AT7)+와이드JBJD키움치수+IF(BI7=1,AC7,0)</f>
        <v>602.20000000000005</v>
      </c>
      <c r="J7" s="50">
        <f>'와이드(실측)'!I7+MAX(AS7,AT7)+와이드JBJD키움치수+IF(BI7=1,AD7,0)-IF(와이드JB하부늘치=1,'와이드(실측)'!Y7-'와이드(실측)'!Z7,0)</f>
        <v>604.20000000000005</v>
      </c>
      <c r="K7" s="50">
        <f>'와이드(실측)'!J7+MAX(AS7,AT7)+와이드JBJD키움치수+IF(BI7=1,AE7,0)</f>
        <v>602.20000000000005</v>
      </c>
      <c r="L7" s="50">
        <f>'와이드(실측)'!J7+MAX(AS7,AT7)+와이드JBJD키움치수+IF(BI7=1,AF7,0)-IF(와이드JB하부늘치=1,'와이드(실측)'!AA7-'와이드(실측)'!AB7,0)</f>
        <v>602.20000000000005</v>
      </c>
      <c r="M7" s="31">
        <f t="shared" ref="M7:N7" si="0">IF(소장="손상민",0,O7-1.5)</f>
        <v>0</v>
      </c>
      <c r="N7" s="31">
        <f t="shared" si="0"/>
        <v>0</v>
      </c>
      <c r="O7" s="31">
        <f>IF(S7&lt;9,'와이드(실측)'!K7+1.2,IF(ISNUMBER('와이드(실측)'!K7),'와이드(실측)'!K7+와이드C값,0))</f>
        <v>38.4</v>
      </c>
      <c r="P7" s="31">
        <f>IF(T7&lt;9,'와이드(실측)'!L7+1.2,IF(ISNUMBER('와이드(실측)'!L7),'와이드(실측)'!L7+와이드C값,0))</f>
        <v>38.4</v>
      </c>
      <c r="Q7" s="32">
        <f>ROUNDUP(AV7,1)</f>
        <v>16.400000000000002</v>
      </c>
      <c r="R7" s="38">
        <f>ROUNDUP(AW7,1)</f>
        <v>16.400000000000002</v>
      </c>
      <c r="S7" s="31">
        <f>IF(ISNUMBER('와이드(실측)'!O7),'와이드(실측)'!O7+와이드제작!AS7+와이드A늘림,0)</f>
        <v>17.2</v>
      </c>
      <c r="T7" s="31">
        <f>IF(ISNUMBER('와이드(실측)'!P7),'와이드(실측)'!P7+와이드제작!AT7+와이드A늘림,0)</f>
        <v>16.2</v>
      </c>
      <c r="U7" s="31">
        <f>'와이드(실측)'!Q7-와이드기둥차감</f>
        <v>2124</v>
      </c>
      <c r="V7" s="31">
        <f>'와이드(실측)'!R7-와이드기둥차감</f>
        <v>2105</v>
      </c>
      <c r="W7" s="31">
        <f>'와이드(실측)'!S7-와이드기둥차감</f>
        <v>2122</v>
      </c>
      <c r="X7" s="31">
        <f>'와이드(실측)'!T7-와이드기둥차감</f>
        <v>2102</v>
      </c>
      <c r="Y7" s="31">
        <f>IF(소장="손상민",IF(ISNUMBER('와이드(실측)'!U7),'와이드(실측)'!U7+1.2,0),IF(ISNUMBER('와이드(실측)'!U7),'와이드(실측)'!U7+와이드U,0))</f>
        <v>39.200000000000003</v>
      </c>
      <c r="Z7" s="31">
        <f>IF(소장="손상민",MAX(Q7,R7)+3.2,IF(ISNUMBER('와이드(실측)'!V7),'와이드(실측)'!V7+1.5+와이드제작!Q7+1,0))</f>
        <v>19.600000000000001</v>
      </c>
      <c r="AA7" s="31">
        <f>'와이드(실측)'!W7+뒷날개치수더함</f>
        <v>26.2</v>
      </c>
      <c r="AB7" s="31">
        <f>'와이드(실측)'!X7+뒷날개치수더함</f>
        <v>26.2</v>
      </c>
      <c r="AC7" s="31">
        <f>'와이드(실측)'!Y7-와이드늘치</f>
        <v>10.199999999999999</v>
      </c>
      <c r="AD7" s="31">
        <f>IF(와이드JB하부늘치=1,AC7,'와이드(실측)'!Z7-와이드늘치)</f>
        <v>10.199999999999999</v>
      </c>
      <c r="AE7" s="31">
        <f>'와이드(실측)'!AA7-와이드늘치</f>
        <v>12.2</v>
      </c>
      <c r="AF7" s="31">
        <f>IF(와이드JB하부늘치=1,AE7,'와이드(실측)'!AB7-와이드늘치)</f>
        <v>12.2</v>
      </c>
      <c r="AG7" s="31">
        <f xml:space="preserve"> IF(소장&lt;&gt;"손상민",IF('와이드(실측)'!AC7&gt;0,'와이드(실측)'!AC7,C7-1.2),IF('와이드(실측)'!AC7&gt;0,'와이드(실측)'!AC7+1.2,C7) )</f>
        <v>229.2</v>
      </c>
      <c r="AH7" s="31">
        <f xml:space="preserve"> IF(소장&lt;&gt;"손상민",IF('와이드(실측)'!AD7&gt;0,'와이드(실측)'!AD7,D7-1.2),IF('와이드(실측)'!AD7&gt;0,'와이드(실측)'!AD7+1.2,D7))</f>
        <v>229.2</v>
      </c>
      <c r="AI7" s="51">
        <f>IF(Z7&gt;0,Z7-MAX(Q7,R7),0)</f>
        <v>3.1999999999999993</v>
      </c>
      <c r="AJ7" s="31" t="str">
        <f t="shared" ref="AJ7" si="1">BA7&amp;"*"&amp;BB7</f>
        <v>997*842.4</v>
      </c>
      <c r="AK7" s="31" t="str">
        <f t="shared" ref="AK7" si="2">BD7&amp;"*"&amp;BC7</f>
        <v>2353.2*691.4</v>
      </c>
      <c r="AL7" s="31" t="str">
        <f t="shared" ref="AL7" si="3">BF7&amp;"*"&amp;BE7</f>
        <v>2351.2*690.4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16.2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9.732537793701372</v>
      </c>
      <c r="AV7" s="21">
        <f>ABS(G7-COS(RADIANS(AU7))*I7)</f>
        <v>16.332912642307519</v>
      </c>
      <c r="AW7" s="21">
        <f>ABS(H7-COS(RADIANS(AU7))*K7)</f>
        <v>16.332912642307519</v>
      </c>
      <c r="AX7" s="21">
        <f>'와이드(실측)'!M7+AS7</f>
        <v>0</v>
      </c>
      <c r="AY7" s="21">
        <f>'와이드(실측)'!N7+AS7</f>
        <v>0</v>
      </c>
      <c r="AZ7" s="20">
        <f>AV7-MAX(AX7,AY7)</f>
        <v>16.332912642307519</v>
      </c>
      <c r="BA7" s="41">
        <f>IF(소장&lt;&gt;"손상민",F7+IF(Y7+Z7&gt;0,N7+M7,0),F7)</f>
        <v>997</v>
      </c>
      <c r="BB7" s="42">
        <f>MAX(C7,D7)+MAX(G7,H7)+AA7-1.2*$AJ$3+IF(BI7=0,MAX(AE7,AC7),0)+IF(Y7=0,1.2,0)+IF(Z7=0,1.2,0)+IF(소장&lt;&gt;"손상민", Y7+Z7,IF('와이드(실측)'!U7=0,0,2.4))</f>
        <v>842.4000000000002</v>
      </c>
      <c r="BC7" s="41">
        <f>S7+O7+MAX(I7,J7)+AB7-1.2*$AL$3+IF(BI7=0,MAX(AD7,AC7),0)+IF(S7=0,1.2,0)-IF(AR7=90,2.4,0)</f>
        <v>691.4000000000002</v>
      </c>
      <c r="BD7" s="41">
        <f>MAX(U7,V7)+AG7</f>
        <v>2353.1999999999998</v>
      </c>
      <c r="BE7" s="41">
        <f>T7+P7+MAX(K7,L7)+AB7-1.2*$AL$3+IF(BI7=0,MAX(AE7,AF7),0)+IF(T7=0,1.2,0)-IF(AR7=90,2.4,0)</f>
        <v>690.4000000000002</v>
      </c>
      <c r="BF7" s="41">
        <f>MAX(W7,X7)+AH7</f>
        <v>2351.1999999999998</v>
      </c>
      <c r="BG7" s="6">
        <f t="shared" ref="BG7" si="4">I7-G7-Q7</f>
        <v>8.5999999999999979</v>
      </c>
      <c r="BH7" s="43" t="str">
        <f>IF(AND(C7&lt;&gt;D7,Y7&gt;0),"NG","")</f>
        <v/>
      </c>
      <c r="BI7" s="77">
        <f>IF(AND(MIN(AC7,AE7)&gt;=9.2,ABS(F7-E7)&gt;15),0,1)</f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74" t="str">
        <f>정보!B3</f>
        <v>(멍텅구리) 실측서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(판매)광주 해광아파트-2차,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>
      <c r="A4" s="172" t="str">
        <f>정보!B11</f>
        <v>제작치수 반영 : JB/JD +(4.4 ),  늘어난치수K -(0),  C + (4.4),  U +(4.4), OP - (0), R - (0),  기둥차감 - (0), 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74" t="str">
        <f>정보!C3</f>
        <v>(멍텅구리) 제작변환 자료(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4.4000000000000004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0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>
      <c r="A3" s="33" t="str">
        <f>'멍텅(실측)'!A3</f>
        <v>현장명 : (판매)광주 해광아파트-2차,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4.4000000000000004</v>
      </c>
      <c r="K3" s="269"/>
      <c r="L3" s="258" t="s">
        <v>77</v>
      </c>
      <c r="M3" s="258"/>
      <c r="N3" s="270">
        <v>4.4000000000000004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1.2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326</v>
      </c>
      <c r="AG3" s="252"/>
      <c r="AH3" s="199"/>
      <c r="AI3" s="253">
        <f>AN7</f>
        <v>0</v>
      </c>
      <c r="AJ3" s="193"/>
      <c r="AK3" s="25"/>
      <c r="AL3" s="25"/>
      <c r="AM3" s="24"/>
      <c r="AR3" s="24"/>
    </row>
    <row r="4" spans="1:53" ht="33" customHeight="1">
      <c r="A4" s="259" t="str">
        <f>'멍텅(실측)'!A4:Y4</f>
        <v>제작치수 반영 : JB/JD +(4.4 ),  늘어난치수K -(0),  C + (4.4),  U +(4.4), OP - (0), R - (0),  기둥차감 - (0),  A + (1.2)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312</v>
      </c>
      <c r="Z4" s="256"/>
      <c r="AA4" s="257">
        <f>'멍텅(실측)'!U7</f>
        <v>0</v>
      </c>
      <c r="AB4" s="257"/>
      <c r="AC4" s="9"/>
      <c r="AD4" s="185">
        <f ca="1">TODAY()</f>
        <v>45273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4.4000000000000004</v>
      </c>
      <c r="F7" s="50">
        <f>'멍텅(실측)'!F7+MAX(AK7,AL7)+IF(AZ7=1,AA7,0)+멍텅JBJD늘림치수</f>
        <v>4.4000000000000004</v>
      </c>
      <c r="G7" s="50">
        <f>'멍텅(실측)'!G7+AK7+IF(AZ7=1,Y7,0)+멍텅JB강제키움+멍텅JBJD늘림치수</f>
        <v>4.4000000000000004</v>
      </c>
      <c r="H7" s="50">
        <f>'멍텅(실측)'!G7+AK7+IF(AZ7=1,Z7,0)+멍텅JB강제키움+멍텅JBJD늘림치수-IF(멍텅JB하부늘치=1,'멍텅(실측)'!U7-'멍텅(실측)'!V7,0)</f>
        <v>4.4000000000000004</v>
      </c>
      <c r="I7" s="50">
        <f>'멍텅(실측)'!H7+AL7+IF(AZ7=1,AA7,0)+멍텅JB강제키움+멍텅JBJD늘림치수</f>
        <v>4.4000000000000004</v>
      </c>
      <c r="J7" s="50">
        <f>'멍텅(실측)'!H7+AL7+IF(AZ7=1,AB7,0)+멍텅JB강제키움+멍텅JBJD늘림치수-IF(멍텅JB하부늘치=1,'멍텅(실측)'!W7-'멍텅(실측)'!X7,0)</f>
        <v>4.4000000000000004</v>
      </c>
      <c r="K7" s="4">
        <f t="shared" ref="K7:L7" si="0">M7+IF(소장="손상민",0,-1.5)</f>
        <v>1</v>
      </c>
      <c r="L7" s="4">
        <f t="shared" si="0"/>
        <v>1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1.2</v>
      </c>
      <c r="X7" s="4">
        <f>'멍텅(실측)'!T7+뒷날개치수더함</f>
        <v>1.2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0*3.2</v>
      </c>
      <c r="AD7" s="12" t="str">
        <f t="shared" ref="AD7" si="2">AU7&amp;"*"&amp;AT7</f>
        <v>0*3</v>
      </c>
      <c r="AE7" s="10" t="str">
        <f t="shared" ref="AE7" si="3">AW7&amp;"*"&amp;AV7</f>
        <v>0*3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0</v>
      </c>
      <c r="AO7" s="36">
        <f>IF(소장="박철우",E7-COS(RADIANS(AN7))*G7+2,E7-COS(RADIANS(AN7))*G7)</f>
        <v>0</v>
      </c>
      <c r="AP7" s="36">
        <f>IF(소장="박철우",F7-COS(RADIANS(AN7))*I7+2,F7-COS(RADIANS(AN7))*I7)</f>
        <v>0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3.2000000000000011</v>
      </c>
      <c r="AT7" s="3">
        <f>O7+M7+MAX(G7,H7)+X7-1.2*$AE$3+IF(AZ7=0,MAX(Y7,Z7))+IF(O7=0,1.2,0)-IF(AH7=90,2.4,0)</f>
        <v>3.0000000000000009</v>
      </c>
      <c r="AU7" s="3">
        <f t="shared" ref="AU7" si="6">MAX(Q7,R7)</f>
        <v>0</v>
      </c>
      <c r="AV7" s="3">
        <f>P7+N7+MAX(I7,J7)+X7-1.2*$AE$3+IF(AZ7=0,MAX(AA7,AB7))+IF(P7=0,1.2,0)-IF(AH7=90,2.4,0)</f>
        <v>3.0000000000000009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zoomScaleNormal="100" workbookViewId="0">
      <selection activeCell="V7" sqref="V7:V23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84" t="str">
        <f>정보!B4</f>
        <v>(쪽쟘) 실측서 ( (판매)광주 해광아파트-2차 ) _손상민소장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(판매)광주 해광아파트-2차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+(4.4 ),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60"/>
      <c r="B7" s="60">
        <v>2</v>
      </c>
      <c r="C7" s="60">
        <v>6</v>
      </c>
      <c r="D7" s="60">
        <v>66</v>
      </c>
      <c r="E7" s="60">
        <f>D7-1</f>
        <v>65</v>
      </c>
      <c r="F7" s="60">
        <v>18</v>
      </c>
      <c r="G7" s="60">
        <v>18</v>
      </c>
      <c r="H7" s="60">
        <v>16</v>
      </c>
      <c r="I7" s="60">
        <v>16</v>
      </c>
      <c r="J7" s="119">
        <v>102</v>
      </c>
      <c r="K7" s="119">
        <v>93</v>
      </c>
      <c r="L7" s="119">
        <v>100</v>
      </c>
      <c r="M7" s="119">
        <v>93</v>
      </c>
      <c r="N7" s="119">
        <v>23</v>
      </c>
      <c r="O7" s="119">
        <v>23</v>
      </c>
      <c r="P7" s="119">
        <v>25</v>
      </c>
      <c r="Q7" s="119">
        <v>25</v>
      </c>
      <c r="R7" s="60">
        <v>10</v>
      </c>
      <c r="S7" s="60">
        <v>10</v>
      </c>
      <c r="T7" s="4">
        <v>15</v>
      </c>
      <c r="U7" s="4">
        <v>10</v>
      </c>
      <c r="V7" s="4">
        <v>10</v>
      </c>
    </row>
    <row r="8" spans="1:22" ht="18" customHeight="1">
      <c r="A8" s="60"/>
      <c r="B8" s="60">
        <v>3</v>
      </c>
      <c r="C8" s="60">
        <v>5</v>
      </c>
      <c r="D8" s="60">
        <v>66</v>
      </c>
      <c r="E8" s="60">
        <f t="shared" ref="E8:E23" si="0">D8-1</f>
        <v>65</v>
      </c>
      <c r="F8" s="60">
        <v>10</v>
      </c>
      <c r="G8" s="60">
        <v>10</v>
      </c>
      <c r="H8" s="60">
        <v>19</v>
      </c>
      <c r="I8" s="60">
        <v>12</v>
      </c>
      <c r="J8" s="119">
        <v>96</v>
      </c>
      <c r="K8" s="119">
        <v>93</v>
      </c>
      <c r="L8" s="119">
        <v>93</v>
      </c>
      <c r="M8" s="119">
        <v>93</v>
      </c>
      <c r="N8" s="119">
        <v>24</v>
      </c>
      <c r="O8" s="119">
        <v>18</v>
      </c>
      <c r="P8" s="119">
        <v>25</v>
      </c>
      <c r="Q8" s="119">
        <v>25</v>
      </c>
      <c r="R8" s="60">
        <v>10</v>
      </c>
      <c r="S8" s="60">
        <v>10</v>
      </c>
      <c r="T8" s="4">
        <v>15</v>
      </c>
      <c r="U8" s="4">
        <v>10</v>
      </c>
      <c r="V8" s="4">
        <v>10</v>
      </c>
    </row>
    <row r="9" spans="1:22">
      <c r="A9" s="60"/>
      <c r="B9" s="60">
        <v>4</v>
      </c>
      <c r="C9" s="60">
        <v>3</v>
      </c>
      <c r="D9" s="60">
        <v>66</v>
      </c>
      <c r="E9" s="60">
        <f t="shared" si="0"/>
        <v>65</v>
      </c>
      <c r="F9" s="60">
        <v>14</v>
      </c>
      <c r="G9" s="60">
        <v>11</v>
      </c>
      <c r="H9" s="60">
        <v>17</v>
      </c>
      <c r="I9" s="60">
        <v>13</v>
      </c>
      <c r="J9" s="119">
        <v>100</v>
      </c>
      <c r="K9" s="119">
        <v>93</v>
      </c>
      <c r="L9" s="119">
        <v>98</v>
      </c>
      <c r="M9" s="119">
        <v>93</v>
      </c>
      <c r="N9" s="119">
        <v>18</v>
      </c>
      <c r="O9" s="119">
        <v>18</v>
      </c>
      <c r="P9" s="119">
        <v>25</v>
      </c>
      <c r="Q9" s="119">
        <v>25</v>
      </c>
      <c r="R9" s="60">
        <v>10</v>
      </c>
      <c r="S9" s="60">
        <v>10</v>
      </c>
      <c r="T9" s="4">
        <v>15</v>
      </c>
      <c r="U9" s="4">
        <v>10</v>
      </c>
      <c r="V9" s="4">
        <v>10</v>
      </c>
    </row>
    <row r="10" spans="1:22">
      <c r="A10" s="60"/>
      <c r="B10" s="60">
        <v>5</v>
      </c>
      <c r="C10" s="60">
        <v>4</v>
      </c>
      <c r="D10" s="60">
        <v>66</v>
      </c>
      <c r="E10" s="60">
        <f t="shared" si="0"/>
        <v>65</v>
      </c>
      <c r="F10" s="60">
        <v>18</v>
      </c>
      <c r="G10" s="60">
        <v>14</v>
      </c>
      <c r="H10" s="60">
        <v>18</v>
      </c>
      <c r="I10" s="60">
        <v>14</v>
      </c>
      <c r="J10" s="119">
        <v>103</v>
      </c>
      <c r="K10" s="119">
        <v>93</v>
      </c>
      <c r="L10" s="119">
        <v>103</v>
      </c>
      <c r="M10" s="119">
        <v>93</v>
      </c>
      <c r="N10" s="119">
        <v>20</v>
      </c>
      <c r="O10" s="119">
        <v>14</v>
      </c>
      <c r="P10" s="119">
        <v>25</v>
      </c>
      <c r="Q10" s="119">
        <v>25</v>
      </c>
      <c r="R10" s="60">
        <v>10</v>
      </c>
      <c r="S10" s="60">
        <v>10</v>
      </c>
      <c r="T10" s="4">
        <v>15</v>
      </c>
      <c r="U10" s="4">
        <v>10</v>
      </c>
      <c r="V10" s="4">
        <v>10</v>
      </c>
    </row>
    <row r="11" spans="1:22">
      <c r="A11" s="60"/>
      <c r="B11" s="60">
        <v>6</v>
      </c>
      <c r="C11" s="60">
        <v>5</v>
      </c>
      <c r="D11" s="60">
        <v>66</v>
      </c>
      <c r="E11" s="60">
        <f t="shared" si="0"/>
        <v>65</v>
      </c>
      <c r="F11" s="60">
        <v>14</v>
      </c>
      <c r="G11" s="60">
        <v>8</v>
      </c>
      <c r="H11" s="60">
        <v>13</v>
      </c>
      <c r="I11" s="60">
        <v>13</v>
      </c>
      <c r="J11" s="119">
        <v>98</v>
      </c>
      <c r="K11" s="119">
        <v>93</v>
      </c>
      <c r="L11" s="119">
        <v>98</v>
      </c>
      <c r="M11" s="119">
        <v>93</v>
      </c>
      <c r="N11" s="119">
        <v>20</v>
      </c>
      <c r="O11" s="119">
        <v>20</v>
      </c>
      <c r="P11" s="119">
        <v>25</v>
      </c>
      <c r="Q11" s="119">
        <v>25</v>
      </c>
      <c r="R11" s="60">
        <v>10</v>
      </c>
      <c r="S11" s="60">
        <v>10</v>
      </c>
      <c r="T11" s="4">
        <v>15</v>
      </c>
      <c r="U11" s="4">
        <v>10</v>
      </c>
      <c r="V11" s="4">
        <v>10</v>
      </c>
    </row>
    <row r="12" spans="1:22" ht="17.25" customHeight="1">
      <c r="A12" s="60"/>
      <c r="B12" s="60">
        <v>7</v>
      </c>
      <c r="C12" s="60">
        <v>4</v>
      </c>
      <c r="D12" s="60">
        <v>66</v>
      </c>
      <c r="E12" s="60">
        <f t="shared" si="0"/>
        <v>65</v>
      </c>
      <c r="F12" s="60">
        <v>17</v>
      </c>
      <c r="G12" s="60">
        <v>12</v>
      </c>
      <c r="H12" s="60">
        <v>17</v>
      </c>
      <c r="I12" s="60">
        <v>12</v>
      </c>
      <c r="J12" s="119">
        <v>94</v>
      </c>
      <c r="K12" s="119">
        <v>93</v>
      </c>
      <c r="L12" s="119">
        <v>100</v>
      </c>
      <c r="M12" s="119">
        <v>93</v>
      </c>
      <c r="N12" s="119">
        <v>24</v>
      </c>
      <c r="O12" s="119">
        <v>20</v>
      </c>
      <c r="P12" s="119">
        <v>25</v>
      </c>
      <c r="Q12" s="119">
        <v>25</v>
      </c>
      <c r="R12" s="60">
        <v>10</v>
      </c>
      <c r="S12" s="60">
        <v>10</v>
      </c>
      <c r="T12" s="4">
        <v>15</v>
      </c>
      <c r="U12" s="4">
        <v>10</v>
      </c>
      <c r="V12" s="4">
        <v>10</v>
      </c>
    </row>
    <row r="13" spans="1:22">
      <c r="A13" s="60"/>
      <c r="B13" s="60">
        <v>8</v>
      </c>
      <c r="C13" s="60">
        <v>5</v>
      </c>
      <c r="D13" s="60">
        <v>66</v>
      </c>
      <c r="E13" s="60">
        <f t="shared" si="0"/>
        <v>65</v>
      </c>
      <c r="F13" s="60">
        <v>15</v>
      </c>
      <c r="G13" s="60">
        <v>10</v>
      </c>
      <c r="H13" s="60">
        <v>20</v>
      </c>
      <c r="I13" s="60">
        <v>16</v>
      </c>
      <c r="J13" s="119">
        <v>98</v>
      </c>
      <c r="K13" s="119">
        <v>93</v>
      </c>
      <c r="L13" s="119">
        <v>95</v>
      </c>
      <c r="M13" s="119">
        <v>93</v>
      </c>
      <c r="N13" s="119">
        <v>22</v>
      </c>
      <c r="O13" s="119">
        <v>22</v>
      </c>
      <c r="P13" s="119">
        <v>25</v>
      </c>
      <c r="Q13" s="119">
        <v>25</v>
      </c>
      <c r="R13" s="60">
        <v>10</v>
      </c>
      <c r="S13" s="60">
        <v>10</v>
      </c>
      <c r="T13" s="4">
        <v>15</v>
      </c>
      <c r="U13" s="4">
        <v>10</v>
      </c>
      <c r="V13" s="4">
        <v>10</v>
      </c>
    </row>
    <row r="14" spans="1:22">
      <c r="A14" s="60"/>
      <c r="B14" s="60">
        <v>9</v>
      </c>
      <c r="C14" s="60">
        <v>5</v>
      </c>
      <c r="D14" s="60">
        <v>100</v>
      </c>
      <c r="E14" s="60">
        <f t="shared" si="0"/>
        <v>99</v>
      </c>
      <c r="F14" s="60">
        <v>26</v>
      </c>
      <c r="G14" s="60">
        <v>23</v>
      </c>
      <c r="H14" s="60">
        <v>19</v>
      </c>
      <c r="I14" s="60">
        <v>19</v>
      </c>
      <c r="J14" s="119">
        <v>92</v>
      </c>
      <c r="K14" s="119">
        <v>93</v>
      </c>
      <c r="L14" s="119">
        <v>92</v>
      </c>
      <c r="M14" s="119">
        <v>93</v>
      </c>
      <c r="N14" s="119">
        <v>32</v>
      </c>
      <c r="O14" s="119">
        <v>32</v>
      </c>
      <c r="P14" s="119">
        <v>25</v>
      </c>
      <c r="Q14" s="119">
        <v>25</v>
      </c>
      <c r="R14" s="60">
        <v>10</v>
      </c>
      <c r="S14" s="60">
        <v>10</v>
      </c>
      <c r="T14" s="4">
        <v>15</v>
      </c>
      <c r="U14" s="4">
        <v>10</v>
      </c>
      <c r="V14" s="4">
        <v>10</v>
      </c>
    </row>
    <row r="15" spans="1:22">
      <c r="A15" s="60"/>
      <c r="B15" s="60">
        <v>10</v>
      </c>
      <c r="C15" s="60">
        <v>5</v>
      </c>
      <c r="D15" s="60">
        <v>85</v>
      </c>
      <c r="E15" s="60">
        <f t="shared" si="0"/>
        <v>84</v>
      </c>
      <c r="F15" s="60">
        <v>18</v>
      </c>
      <c r="G15" s="60">
        <v>13</v>
      </c>
      <c r="H15" s="60">
        <v>16</v>
      </c>
      <c r="I15" s="60">
        <v>16</v>
      </c>
      <c r="J15" s="119">
        <v>99</v>
      </c>
      <c r="K15" s="119">
        <v>93</v>
      </c>
      <c r="L15" s="119">
        <v>99</v>
      </c>
      <c r="M15" s="119">
        <v>93</v>
      </c>
      <c r="N15" s="119">
        <v>24</v>
      </c>
      <c r="O15" s="119">
        <v>24</v>
      </c>
      <c r="P15" s="119">
        <v>25</v>
      </c>
      <c r="Q15" s="119">
        <v>25</v>
      </c>
      <c r="R15" s="60">
        <v>10</v>
      </c>
      <c r="S15" s="60">
        <v>10</v>
      </c>
      <c r="T15" s="4">
        <v>15</v>
      </c>
      <c r="U15" s="4">
        <v>10</v>
      </c>
      <c r="V15" s="4">
        <v>10</v>
      </c>
    </row>
    <row r="16" spans="1:22">
      <c r="A16" s="60"/>
      <c r="B16" s="60">
        <v>11</v>
      </c>
      <c r="C16" s="60">
        <v>5</v>
      </c>
      <c r="D16" s="60">
        <v>66</v>
      </c>
      <c r="E16" s="60">
        <f t="shared" si="0"/>
        <v>65</v>
      </c>
      <c r="F16" s="60">
        <v>24</v>
      </c>
      <c r="G16" s="60">
        <v>19</v>
      </c>
      <c r="H16" s="60">
        <v>13</v>
      </c>
      <c r="I16" s="60">
        <v>13</v>
      </c>
      <c r="J16" s="119">
        <v>100</v>
      </c>
      <c r="K16" s="119">
        <v>93</v>
      </c>
      <c r="L16" s="119">
        <v>97</v>
      </c>
      <c r="M16" s="119">
        <v>93</v>
      </c>
      <c r="N16" s="119">
        <v>19</v>
      </c>
      <c r="O16" s="119">
        <v>19</v>
      </c>
      <c r="P16" s="119">
        <v>25</v>
      </c>
      <c r="Q16" s="119">
        <v>25</v>
      </c>
      <c r="R16" s="60">
        <v>10</v>
      </c>
      <c r="S16" s="60">
        <v>10</v>
      </c>
      <c r="T16" s="4">
        <v>15</v>
      </c>
      <c r="U16" s="4">
        <v>10</v>
      </c>
      <c r="V16" s="4">
        <v>10</v>
      </c>
    </row>
    <row r="17" spans="1:22">
      <c r="A17" s="60"/>
      <c r="B17" s="60">
        <v>12</v>
      </c>
      <c r="C17" s="60">
        <v>5</v>
      </c>
      <c r="D17" s="60">
        <v>66</v>
      </c>
      <c r="E17" s="60">
        <f t="shared" si="0"/>
        <v>65</v>
      </c>
      <c r="F17" s="60">
        <v>23</v>
      </c>
      <c r="G17" s="60">
        <v>20</v>
      </c>
      <c r="H17" s="60">
        <v>14</v>
      </c>
      <c r="I17" s="60">
        <v>14</v>
      </c>
      <c r="J17" s="119">
        <v>100</v>
      </c>
      <c r="K17" s="119">
        <v>93</v>
      </c>
      <c r="L17" s="119">
        <v>100</v>
      </c>
      <c r="M17" s="119">
        <v>93</v>
      </c>
      <c r="N17" s="119">
        <v>17</v>
      </c>
      <c r="O17" s="119">
        <v>17</v>
      </c>
      <c r="P17" s="119">
        <v>25</v>
      </c>
      <c r="Q17" s="119">
        <v>25</v>
      </c>
      <c r="R17" s="60">
        <v>10</v>
      </c>
      <c r="S17" s="60">
        <v>10</v>
      </c>
      <c r="T17" s="4">
        <v>15</v>
      </c>
      <c r="U17" s="4">
        <v>10</v>
      </c>
      <c r="V17" s="4">
        <v>10</v>
      </c>
    </row>
    <row r="18" spans="1:22">
      <c r="A18" s="60"/>
      <c r="B18" s="60">
        <v>13</v>
      </c>
      <c r="C18" s="60">
        <v>5</v>
      </c>
      <c r="D18" s="60">
        <v>66</v>
      </c>
      <c r="E18" s="60">
        <f t="shared" si="0"/>
        <v>65</v>
      </c>
      <c r="F18" s="60">
        <v>14</v>
      </c>
      <c r="G18" s="60">
        <v>18</v>
      </c>
      <c r="H18" s="60">
        <v>20</v>
      </c>
      <c r="I18" s="60">
        <v>17</v>
      </c>
      <c r="J18" s="119">
        <v>93</v>
      </c>
      <c r="K18" s="119">
        <v>93</v>
      </c>
      <c r="L18" s="119">
        <v>93</v>
      </c>
      <c r="M18" s="119">
        <v>93</v>
      </c>
      <c r="N18" s="119">
        <v>17</v>
      </c>
      <c r="O18" s="119">
        <v>17</v>
      </c>
      <c r="P18" s="119">
        <v>25</v>
      </c>
      <c r="Q18" s="119">
        <v>25</v>
      </c>
      <c r="R18" s="60">
        <v>10</v>
      </c>
      <c r="S18" s="60">
        <v>10</v>
      </c>
      <c r="T18" s="4">
        <v>15</v>
      </c>
      <c r="U18" s="4">
        <v>10</v>
      </c>
      <c r="V18" s="4">
        <v>10</v>
      </c>
    </row>
    <row r="19" spans="1:22">
      <c r="A19" s="60"/>
      <c r="B19" s="60">
        <v>14</v>
      </c>
      <c r="C19" s="60">
        <v>5</v>
      </c>
      <c r="D19" s="60">
        <v>66</v>
      </c>
      <c r="E19" s="60">
        <f t="shared" si="0"/>
        <v>65</v>
      </c>
      <c r="F19" s="60">
        <v>18</v>
      </c>
      <c r="G19" s="60">
        <v>14</v>
      </c>
      <c r="H19" s="60">
        <v>14</v>
      </c>
      <c r="I19" s="60">
        <v>14</v>
      </c>
      <c r="J19" s="119">
        <v>100</v>
      </c>
      <c r="K19" s="119">
        <v>93</v>
      </c>
      <c r="L19" s="119">
        <v>100</v>
      </c>
      <c r="M19" s="119">
        <v>93</v>
      </c>
      <c r="N19" s="119">
        <v>17</v>
      </c>
      <c r="O19" s="119">
        <v>17</v>
      </c>
      <c r="P19" s="119">
        <v>25</v>
      </c>
      <c r="Q19" s="119">
        <v>25</v>
      </c>
      <c r="R19" s="60">
        <v>10</v>
      </c>
      <c r="S19" s="60">
        <v>10</v>
      </c>
      <c r="T19" s="4">
        <v>15</v>
      </c>
      <c r="U19" s="4">
        <v>10</v>
      </c>
      <c r="V19" s="4">
        <v>10</v>
      </c>
    </row>
    <row r="20" spans="1:22">
      <c r="A20" s="60"/>
      <c r="B20" s="60">
        <v>15</v>
      </c>
      <c r="C20" s="60">
        <v>5</v>
      </c>
      <c r="D20" s="60">
        <v>66</v>
      </c>
      <c r="E20" s="60">
        <f t="shared" si="0"/>
        <v>65</v>
      </c>
      <c r="F20" s="60">
        <v>16</v>
      </c>
      <c r="G20" s="60">
        <v>19</v>
      </c>
      <c r="H20" s="60">
        <v>12</v>
      </c>
      <c r="I20" s="60">
        <v>15</v>
      </c>
      <c r="J20" s="119">
        <v>99</v>
      </c>
      <c r="K20" s="119">
        <v>93</v>
      </c>
      <c r="L20" s="119">
        <v>99</v>
      </c>
      <c r="M20" s="119">
        <v>93</v>
      </c>
      <c r="N20" s="119">
        <v>21</v>
      </c>
      <c r="O20" s="119">
        <v>21</v>
      </c>
      <c r="P20" s="119">
        <v>25</v>
      </c>
      <c r="Q20" s="119">
        <v>25</v>
      </c>
      <c r="R20" s="60">
        <v>10</v>
      </c>
      <c r="S20" s="60">
        <v>10</v>
      </c>
      <c r="T20" s="4">
        <v>15</v>
      </c>
      <c r="U20" s="4">
        <v>10</v>
      </c>
      <c r="V20" s="4">
        <v>10</v>
      </c>
    </row>
    <row r="21" spans="1:22">
      <c r="A21" s="60"/>
      <c r="B21" s="60">
        <v>16</v>
      </c>
      <c r="C21" s="60">
        <v>5</v>
      </c>
      <c r="D21" s="60">
        <v>70</v>
      </c>
      <c r="E21" s="60">
        <f t="shared" si="0"/>
        <v>69</v>
      </c>
      <c r="F21" s="60">
        <v>17</v>
      </c>
      <c r="G21" s="60">
        <v>17</v>
      </c>
      <c r="H21" s="60">
        <v>14</v>
      </c>
      <c r="I21" s="60">
        <v>14</v>
      </c>
      <c r="J21" s="119">
        <v>93</v>
      </c>
      <c r="K21" s="119">
        <v>93</v>
      </c>
      <c r="L21" s="119">
        <v>93</v>
      </c>
      <c r="M21" s="119">
        <v>93</v>
      </c>
      <c r="N21" s="119">
        <v>19</v>
      </c>
      <c r="O21" s="119">
        <v>19</v>
      </c>
      <c r="P21" s="119">
        <v>25</v>
      </c>
      <c r="Q21" s="119">
        <v>25</v>
      </c>
      <c r="R21" s="60">
        <v>10</v>
      </c>
      <c r="S21" s="60">
        <v>10</v>
      </c>
      <c r="T21" s="4">
        <v>15</v>
      </c>
      <c r="U21" s="4">
        <v>10</v>
      </c>
      <c r="V21" s="4">
        <v>10</v>
      </c>
    </row>
    <row r="22" spans="1:22">
      <c r="A22" s="60"/>
      <c r="B22" s="60">
        <v>17</v>
      </c>
      <c r="C22" s="60">
        <v>5</v>
      </c>
      <c r="D22" s="60">
        <v>80</v>
      </c>
      <c r="E22" s="60">
        <f t="shared" si="0"/>
        <v>79</v>
      </c>
      <c r="F22" s="60">
        <v>25</v>
      </c>
      <c r="G22" s="60">
        <v>16</v>
      </c>
      <c r="H22" s="60">
        <v>15</v>
      </c>
      <c r="I22" s="60">
        <v>15</v>
      </c>
      <c r="J22" s="119">
        <v>96</v>
      </c>
      <c r="K22" s="119">
        <v>93</v>
      </c>
      <c r="L22" s="119">
        <v>96</v>
      </c>
      <c r="M22" s="119">
        <v>93</v>
      </c>
      <c r="N22" s="119">
        <v>22</v>
      </c>
      <c r="O22" s="119">
        <v>22</v>
      </c>
      <c r="P22" s="119">
        <v>25</v>
      </c>
      <c r="Q22" s="119">
        <v>25</v>
      </c>
      <c r="R22" s="60">
        <v>10</v>
      </c>
      <c r="S22" s="60">
        <v>10</v>
      </c>
      <c r="T22" s="4">
        <v>15</v>
      </c>
      <c r="U22" s="4">
        <v>10</v>
      </c>
      <c r="V22" s="4">
        <v>10</v>
      </c>
    </row>
    <row r="23" spans="1:22">
      <c r="A23" s="60"/>
      <c r="B23" s="60">
        <v>18</v>
      </c>
      <c r="C23" s="60">
        <v>5</v>
      </c>
      <c r="D23" s="60">
        <v>68</v>
      </c>
      <c r="E23" s="60">
        <f t="shared" si="0"/>
        <v>67</v>
      </c>
      <c r="F23" s="60">
        <v>22</v>
      </c>
      <c r="G23" s="60">
        <v>16</v>
      </c>
      <c r="H23" s="60">
        <v>15</v>
      </c>
      <c r="I23" s="60">
        <v>15</v>
      </c>
      <c r="J23" s="119">
        <v>95</v>
      </c>
      <c r="K23" s="119">
        <v>93</v>
      </c>
      <c r="L23" s="119">
        <v>95</v>
      </c>
      <c r="M23" s="119">
        <v>93</v>
      </c>
      <c r="N23" s="119">
        <v>22</v>
      </c>
      <c r="O23" s="119">
        <v>22</v>
      </c>
      <c r="P23" s="119">
        <v>25</v>
      </c>
      <c r="Q23" s="119">
        <v>25</v>
      </c>
      <c r="R23" s="60">
        <v>10</v>
      </c>
      <c r="S23" s="60">
        <v>10</v>
      </c>
      <c r="T23" s="4">
        <v>15</v>
      </c>
      <c r="U23" s="4">
        <v>10</v>
      </c>
      <c r="V23" s="4">
        <v>10</v>
      </c>
    </row>
    <row r="24" spans="1:22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23"/>
  <sheetViews>
    <sheetView tabSelected="1" zoomScale="85" zoomScaleNormal="85" workbookViewId="0">
      <selection activeCell="A8" sqref="A8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>
      <c r="A1" s="174" t="str">
        <f>정보!B1 &amp; " (쪽쟘제작치수)  " &amp; 정보!B6 &amp;" 소장"</f>
        <v>(판매)광주 해광아파트-2차 (쪽쟘제작치수)  손상민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>
      <c r="A2" s="1"/>
      <c r="B2" s="1"/>
      <c r="C2" s="292" t="str">
        <f>"총 : " &amp; COUNTA(A7:A147) &amp;" (SET)"</f>
        <v>총 : 17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4.4000000000000004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>
      <c r="A4" s="172" t="str">
        <f>정보!B12</f>
        <v>제작치수 반영 : JB/JD +(4.4 ),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>
      <c r="A7" s="50">
        <f>'쪽쟘(실측)'!A7</f>
        <v>0</v>
      </c>
      <c r="B7" s="50" t="str">
        <f>'쪽쟘(실측)'!B7&amp;"F"</f>
        <v>2F</v>
      </c>
      <c r="C7" s="50" t="str">
        <f>AC7&amp;"*"&amp;AD7</f>
        <v>829.4*127.2</v>
      </c>
      <c r="D7" s="50">
        <f>'쪽쟘(실측)'!C7-쪽쟘OP차감+790</f>
        <v>796</v>
      </c>
      <c r="E7" s="50">
        <f>'쪽쟘(실측)'!D7+쪽쟘J늘림+MAX(W7:X7)</f>
        <v>80.400000000000006</v>
      </c>
      <c r="F7" s="50">
        <f>'쪽쟘(실측)'!E7+쪽쟘J늘림+MAX(W7:X7)</f>
        <v>79.400000000000006</v>
      </c>
      <c r="G7" s="67" t="str">
        <f>AF7&amp;"*"&amp;AE7</f>
        <v>2102*121.2</v>
      </c>
      <c r="H7" s="68" t="str">
        <f>AH7&amp;"*"&amp;AG7</f>
        <v>2100*119.2</v>
      </c>
      <c r="I7" s="50">
        <f>IF('쪽쟘(실측)'!F7&gt;0,'쪽쟘(실측)'!F7-1.5,0)+뒷날개치수더함</f>
        <v>17.7</v>
      </c>
      <c r="J7" s="50">
        <f>IF('쪽쟘(실측)'!H7&gt;0,'쪽쟘(실측)'!H7-1.5,0)+뒷날개치수더함</f>
        <v>15.7</v>
      </c>
      <c r="K7" s="50">
        <f>IF('쪽쟘(실측)'!F7&gt;0,'쪽쟘(실측)'!F7+0,0)+뒷날개치수더함</f>
        <v>19.2</v>
      </c>
      <c r="L7" s="50">
        <f>IF('쪽쟘(실측)'!G7&gt;0,'쪽쟘(실측)'!G7+0,0)+뒷날개치수더함</f>
        <v>19.2</v>
      </c>
      <c r="M7" s="50">
        <f>IF('쪽쟘(실측)'!H7&gt;0,'쪽쟘(실측)'!H7+0,0)+뒷날개치수더함</f>
        <v>17.2</v>
      </c>
      <c r="N7" s="50">
        <f>IF('쪽쟘(실측)'!I7&gt;0,'쪽쟘(실측)'!I7+0,0)+뒷날개치수더함</f>
        <v>17.2</v>
      </c>
      <c r="O7" s="50">
        <f>'쪽쟘(실측)'!J7-쪽쟘기둥차감+2000</f>
        <v>2102</v>
      </c>
      <c r="P7" s="50">
        <f>'쪽쟘(실측)'!K7-쪽쟘기둥차감+2000</f>
        <v>2093</v>
      </c>
      <c r="Q7" s="50">
        <f>'쪽쟘(실측)'!L7-쪽쟘기둥차감+2000</f>
        <v>2100</v>
      </c>
      <c r="R7" s="50">
        <f>'쪽쟘(실측)'!M7-쪽쟘기둥차감+2000</f>
        <v>2093</v>
      </c>
      <c r="S7" s="50">
        <f>'쪽쟘(실측)'!N7+뒷날개치수더함</f>
        <v>24.2</v>
      </c>
      <c r="T7" s="50">
        <f>'쪽쟘(실측)'!O7+뒷날개치수더함</f>
        <v>24.2</v>
      </c>
      <c r="U7" s="50">
        <f>'쪽쟘(실측)'!P7+뒷날개치수더함</f>
        <v>26.2</v>
      </c>
      <c r="V7" s="50">
        <f>'쪽쟘(실측)'!Q7+뒷날개치수더함</f>
        <v>26.2</v>
      </c>
      <c r="W7" s="50">
        <f>'쪽쟘(실측)'!R7-쪽쟘늘치차감</f>
        <v>10</v>
      </c>
      <c r="X7" s="50">
        <f>'쪽쟘(실측)'!S7-쪽쟘늘치차감</f>
        <v>10</v>
      </c>
      <c r="Y7" s="4">
        <f>IF('쪽쟘(실측)'!T7&gt;5,'쪽쟘(실측)'!T7+뒷날개치수더함,0)</f>
        <v>16.2</v>
      </c>
      <c r="Z7" s="4">
        <f>'쪽쟘(실측)'!U7</f>
        <v>10</v>
      </c>
      <c r="AA7" s="4">
        <f>'쪽쟘(실측)'!V7</f>
        <v>10</v>
      </c>
      <c r="AC7">
        <f t="shared" ref="AC7" si="0">D7+I7+J7</f>
        <v>829.40000000000009</v>
      </c>
      <c r="AD7">
        <f t="shared" ref="AD7" si="1">U7+E7+MAX(S7,T7)-쪽쟘소재t*3+IF(S7=0,S7*쪽쟘소재t,0)</f>
        <v>127.20000000000002</v>
      </c>
      <c r="AE7">
        <f t="shared" ref="AE7:AE23" si="2">MAX(K7,L7)+F7+V7-쪽쟘소재t*3+IF(K7=0,쪽쟘소재t)-IF(AA7=90,2.4,0)</f>
        <v>121.20000000000002</v>
      </c>
      <c r="AF7">
        <f t="shared" ref="AF7" si="3">MAX(O7,P7)</f>
        <v>2102</v>
      </c>
      <c r="AG7">
        <f t="shared" ref="AG7:AG23" si="4">MAX(M7,N7)+F7+V7-쪽쟘소재t*3+IF(M7=0,쪽쟘소재t)-IF(AA7=90,2.4,0)</f>
        <v>119.20000000000002</v>
      </c>
      <c r="AH7">
        <f>MAX(Q7,R7)</f>
        <v>2100</v>
      </c>
    </row>
    <row r="8" spans="1:34" ht="19.5" customHeight="1">
      <c r="A8" s="50">
        <f>'쪽쟘(실측)'!A8</f>
        <v>0</v>
      </c>
      <c r="B8" s="50" t="str">
        <f>'쪽쟘(실측)'!B8&amp;"F"</f>
        <v>3F</v>
      </c>
      <c r="C8" s="50" t="str">
        <f t="shared" ref="C8:C23" si="5">AC8&amp;"*"&amp;AD8</f>
        <v>823.4*128.2</v>
      </c>
      <c r="D8" s="50">
        <f>'쪽쟘(실측)'!C8-쪽쟘OP차감+790</f>
        <v>795</v>
      </c>
      <c r="E8" s="50">
        <f>'쪽쟘(실측)'!D8+쪽쟘J늘림+MAX(W8:X8)</f>
        <v>80.400000000000006</v>
      </c>
      <c r="F8" s="50">
        <f>'쪽쟘(실측)'!E8+쪽쟘J늘림+MAX(W8:X8)</f>
        <v>79.400000000000006</v>
      </c>
      <c r="G8" s="67" t="str">
        <f t="shared" ref="G8:G23" si="6">AF8&amp;"*"&amp;AE8</f>
        <v>2096*113.2</v>
      </c>
      <c r="H8" s="68" t="str">
        <f t="shared" ref="H8:H23" si="7">AH8&amp;"*"&amp;AG8</f>
        <v>2093*122.2</v>
      </c>
      <c r="I8" s="50">
        <f>IF('쪽쟘(실측)'!F8&gt;0,'쪽쟘(실측)'!F8-1.5,0)+뒷날개치수더함</f>
        <v>9.6999999999999993</v>
      </c>
      <c r="J8" s="50">
        <f>IF('쪽쟘(실측)'!H8&gt;0,'쪽쟘(실측)'!H8-1.5,0)+뒷날개치수더함</f>
        <v>18.7</v>
      </c>
      <c r="K8" s="50">
        <f>IF('쪽쟘(실측)'!F8&gt;0,'쪽쟘(실측)'!F8+0,0)+뒷날개치수더함</f>
        <v>11.2</v>
      </c>
      <c r="L8" s="50">
        <f>IF('쪽쟘(실측)'!G8&gt;0,'쪽쟘(실측)'!G8+0,0)+뒷날개치수더함</f>
        <v>11.2</v>
      </c>
      <c r="M8" s="50">
        <f>IF('쪽쟘(실측)'!H8&gt;0,'쪽쟘(실측)'!H8+0,0)+뒷날개치수더함</f>
        <v>20.2</v>
      </c>
      <c r="N8" s="50">
        <f>IF('쪽쟘(실측)'!I8&gt;0,'쪽쟘(실측)'!I8+0,0)+뒷날개치수더함</f>
        <v>13.2</v>
      </c>
      <c r="O8" s="50">
        <f>'쪽쟘(실측)'!J8-쪽쟘기둥차감+2000</f>
        <v>2096</v>
      </c>
      <c r="P8" s="50">
        <f>'쪽쟘(실측)'!K8-쪽쟘기둥차감+2000</f>
        <v>2093</v>
      </c>
      <c r="Q8" s="50">
        <f>'쪽쟘(실측)'!L8-쪽쟘기둥차감+2000</f>
        <v>2093</v>
      </c>
      <c r="R8" s="50">
        <f>'쪽쟘(실측)'!M8-쪽쟘기둥차감+2000</f>
        <v>2093</v>
      </c>
      <c r="S8" s="50">
        <f>'쪽쟘(실측)'!N8+뒷날개치수더함</f>
        <v>25.2</v>
      </c>
      <c r="T8" s="50">
        <f>'쪽쟘(실측)'!O8+뒷날개치수더함</f>
        <v>19.2</v>
      </c>
      <c r="U8" s="50">
        <f>'쪽쟘(실측)'!P8+뒷날개치수더함</f>
        <v>26.2</v>
      </c>
      <c r="V8" s="50">
        <f>'쪽쟘(실측)'!Q8+뒷날개치수더함</f>
        <v>26.2</v>
      </c>
      <c r="W8" s="50">
        <f>'쪽쟘(실측)'!R8-쪽쟘늘치차감</f>
        <v>10</v>
      </c>
      <c r="X8" s="50">
        <f>'쪽쟘(실측)'!S8-쪽쟘늘치차감</f>
        <v>10</v>
      </c>
      <c r="Y8" s="4">
        <f>IF('쪽쟘(실측)'!T8&gt;5,'쪽쟘(실측)'!T8+뒷날개치수더함,0)</f>
        <v>16.2</v>
      </c>
      <c r="Z8" s="4">
        <f>'쪽쟘(실측)'!U8</f>
        <v>10</v>
      </c>
      <c r="AA8" s="4">
        <f>'쪽쟘(실측)'!V8</f>
        <v>10</v>
      </c>
      <c r="AC8">
        <f t="shared" ref="AC8:AC23" si="8">D8+I8+J8</f>
        <v>823.40000000000009</v>
      </c>
      <c r="AD8">
        <f t="shared" ref="AD8:AD23" si="9">U8+E8+MAX(S8,T8)-쪽쟘소재t*3+IF(S8=0,S8*쪽쟘소재t,0)</f>
        <v>128.20000000000002</v>
      </c>
      <c r="AE8">
        <f t="shared" si="2"/>
        <v>113.20000000000002</v>
      </c>
      <c r="AF8">
        <f t="shared" ref="AF8:AF23" si="10">MAX(O8,P8)</f>
        <v>2096</v>
      </c>
      <c r="AG8">
        <f t="shared" si="4"/>
        <v>122.20000000000002</v>
      </c>
      <c r="AH8">
        <f t="shared" ref="AH8:AH23" si="11">MAX(Q8,R8)</f>
        <v>2093</v>
      </c>
    </row>
    <row r="9" spans="1:34" ht="19.5" customHeight="1">
      <c r="A9" s="50">
        <f>'쪽쟘(실측)'!A9</f>
        <v>0</v>
      </c>
      <c r="B9" s="50" t="str">
        <f>'쪽쟘(실측)'!B9&amp;"F"</f>
        <v>4F</v>
      </c>
      <c r="C9" s="50" t="str">
        <f t="shared" si="5"/>
        <v>823.4*122.2</v>
      </c>
      <c r="D9" s="50">
        <f>'쪽쟘(실측)'!C9-쪽쟘OP차감+790</f>
        <v>793</v>
      </c>
      <c r="E9" s="50">
        <f>'쪽쟘(실측)'!D9+쪽쟘J늘림+MAX(W9:X9)</f>
        <v>80.400000000000006</v>
      </c>
      <c r="F9" s="50">
        <f>'쪽쟘(실측)'!E9+쪽쟘J늘림+MAX(W9:X9)</f>
        <v>79.400000000000006</v>
      </c>
      <c r="G9" s="67" t="str">
        <f t="shared" si="6"/>
        <v>2100*117.2</v>
      </c>
      <c r="H9" s="68" t="str">
        <f t="shared" si="7"/>
        <v>2098*120.2</v>
      </c>
      <c r="I9" s="50">
        <f>IF('쪽쟘(실측)'!F9&gt;0,'쪽쟘(실측)'!F9-1.5,0)+뒷날개치수더함</f>
        <v>13.7</v>
      </c>
      <c r="J9" s="50">
        <f>IF('쪽쟘(실측)'!H9&gt;0,'쪽쟘(실측)'!H9-1.5,0)+뒷날개치수더함</f>
        <v>16.7</v>
      </c>
      <c r="K9" s="50">
        <f>IF('쪽쟘(실측)'!F9&gt;0,'쪽쟘(실측)'!F9+0,0)+뒷날개치수더함</f>
        <v>15.2</v>
      </c>
      <c r="L9" s="50">
        <f>IF('쪽쟘(실측)'!G9&gt;0,'쪽쟘(실측)'!G9+0,0)+뒷날개치수더함</f>
        <v>12.2</v>
      </c>
      <c r="M9" s="50">
        <f>IF('쪽쟘(실측)'!H9&gt;0,'쪽쟘(실측)'!H9+0,0)+뒷날개치수더함</f>
        <v>18.2</v>
      </c>
      <c r="N9" s="50">
        <f>IF('쪽쟘(실측)'!I9&gt;0,'쪽쟘(실측)'!I9+0,0)+뒷날개치수더함</f>
        <v>14.2</v>
      </c>
      <c r="O9" s="50">
        <f>'쪽쟘(실측)'!J9-쪽쟘기둥차감+2000</f>
        <v>2100</v>
      </c>
      <c r="P9" s="50">
        <f>'쪽쟘(실측)'!K9-쪽쟘기둥차감+2000</f>
        <v>2093</v>
      </c>
      <c r="Q9" s="50">
        <f>'쪽쟘(실측)'!L9-쪽쟘기둥차감+2000</f>
        <v>2098</v>
      </c>
      <c r="R9" s="50">
        <f>'쪽쟘(실측)'!M9-쪽쟘기둥차감+2000</f>
        <v>2093</v>
      </c>
      <c r="S9" s="50">
        <f>'쪽쟘(실측)'!N9+뒷날개치수더함</f>
        <v>19.2</v>
      </c>
      <c r="T9" s="50">
        <f>'쪽쟘(실측)'!O9+뒷날개치수더함</f>
        <v>19.2</v>
      </c>
      <c r="U9" s="50">
        <f>'쪽쟘(실측)'!P9+뒷날개치수더함</f>
        <v>26.2</v>
      </c>
      <c r="V9" s="50">
        <f>'쪽쟘(실측)'!Q9+뒷날개치수더함</f>
        <v>26.2</v>
      </c>
      <c r="W9" s="50">
        <f>'쪽쟘(실측)'!R9-쪽쟘늘치차감</f>
        <v>10</v>
      </c>
      <c r="X9" s="50">
        <f>'쪽쟘(실측)'!S9-쪽쟘늘치차감</f>
        <v>10</v>
      </c>
      <c r="Y9" s="4">
        <f>IF('쪽쟘(실측)'!T9&gt;5,'쪽쟘(실측)'!T9+뒷날개치수더함,0)</f>
        <v>16.2</v>
      </c>
      <c r="Z9" s="4">
        <f>'쪽쟘(실측)'!U9</f>
        <v>10</v>
      </c>
      <c r="AA9" s="4">
        <f>'쪽쟘(실측)'!V9</f>
        <v>10</v>
      </c>
      <c r="AC9">
        <f t="shared" si="8"/>
        <v>823.40000000000009</v>
      </c>
      <c r="AD9">
        <f t="shared" si="9"/>
        <v>122.20000000000002</v>
      </c>
      <c r="AE9">
        <f t="shared" si="2"/>
        <v>117.20000000000002</v>
      </c>
      <c r="AF9">
        <f t="shared" si="10"/>
        <v>2100</v>
      </c>
      <c r="AG9">
        <f t="shared" si="4"/>
        <v>120.20000000000002</v>
      </c>
      <c r="AH9">
        <f t="shared" si="11"/>
        <v>2098</v>
      </c>
    </row>
    <row r="10" spans="1:34" ht="19.5" customHeight="1">
      <c r="A10" s="50">
        <f>'쪽쟘(실측)'!A10</f>
        <v>0</v>
      </c>
      <c r="B10" s="50" t="str">
        <f>'쪽쟘(실측)'!B10&amp;"F"</f>
        <v>5F</v>
      </c>
      <c r="C10" s="50" t="str">
        <f t="shared" si="5"/>
        <v>829.4*124.2</v>
      </c>
      <c r="D10" s="50">
        <f>'쪽쟘(실측)'!C10-쪽쟘OP차감+790</f>
        <v>794</v>
      </c>
      <c r="E10" s="50">
        <f>'쪽쟘(실측)'!D10+쪽쟘J늘림+MAX(W10:X10)</f>
        <v>80.400000000000006</v>
      </c>
      <c r="F10" s="50">
        <f>'쪽쟘(실측)'!E10+쪽쟘J늘림+MAX(W10:X10)</f>
        <v>79.400000000000006</v>
      </c>
      <c r="G10" s="67" t="str">
        <f t="shared" si="6"/>
        <v>2103*121.2</v>
      </c>
      <c r="H10" s="68" t="str">
        <f t="shared" si="7"/>
        <v>2103*121.2</v>
      </c>
      <c r="I10" s="50">
        <f>IF('쪽쟘(실측)'!F10&gt;0,'쪽쟘(실측)'!F10-1.5,0)+뒷날개치수더함</f>
        <v>17.7</v>
      </c>
      <c r="J10" s="50">
        <f>IF('쪽쟘(실측)'!H10&gt;0,'쪽쟘(실측)'!H10-1.5,0)+뒷날개치수더함</f>
        <v>17.7</v>
      </c>
      <c r="K10" s="50">
        <f>IF('쪽쟘(실측)'!F10&gt;0,'쪽쟘(실측)'!F10+0,0)+뒷날개치수더함</f>
        <v>19.2</v>
      </c>
      <c r="L10" s="50">
        <f>IF('쪽쟘(실측)'!G10&gt;0,'쪽쟘(실측)'!G10+0,0)+뒷날개치수더함</f>
        <v>15.2</v>
      </c>
      <c r="M10" s="50">
        <f>IF('쪽쟘(실측)'!H10&gt;0,'쪽쟘(실측)'!H10+0,0)+뒷날개치수더함</f>
        <v>19.2</v>
      </c>
      <c r="N10" s="50">
        <f>IF('쪽쟘(실측)'!I10&gt;0,'쪽쟘(실측)'!I10+0,0)+뒷날개치수더함</f>
        <v>15.2</v>
      </c>
      <c r="O10" s="50">
        <f>'쪽쟘(실측)'!J10-쪽쟘기둥차감+2000</f>
        <v>2103</v>
      </c>
      <c r="P10" s="50">
        <f>'쪽쟘(실측)'!K10-쪽쟘기둥차감+2000</f>
        <v>2093</v>
      </c>
      <c r="Q10" s="50">
        <f>'쪽쟘(실측)'!L10-쪽쟘기둥차감+2000</f>
        <v>2103</v>
      </c>
      <c r="R10" s="50">
        <f>'쪽쟘(실측)'!M10-쪽쟘기둥차감+2000</f>
        <v>2093</v>
      </c>
      <c r="S10" s="50">
        <f>'쪽쟘(실측)'!N10+뒷날개치수더함</f>
        <v>21.2</v>
      </c>
      <c r="T10" s="50">
        <f>'쪽쟘(실측)'!O10+뒷날개치수더함</f>
        <v>15.2</v>
      </c>
      <c r="U10" s="50">
        <f>'쪽쟘(실측)'!P10+뒷날개치수더함</f>
        <v>26.2</v>
      </c>
      <c r="V10" s="50">
        <f>'쪽쟘(실측)'!Q10+뒷날개치수더함</f>
        <v>26.2</v>
      </c>
      <c r="W10" s="50">
        <f>'쪽쟘(실측)'!R10-쪽쟘늘치차감</f>
        <v>10</v>
      </c>
      <c r="X10" s="50">
        <f>'쪽쟘(실측)'!S10-쪽쟘늘치차감</f>
        <v>10</v>
      </c>
      <c r="Y10" s="4">
        <f>IF('쪽쟘(실측)'!T10&gt;5,'쪽쟘(실측)'!T10+뒷날개치수더함,0)</f>
        <v>16.2</v>
      </c>
      <c r="Z10" s="4">
        <f>'쪽쟘(실측)'!U10</f>
        <v>10</v>
      </c>
      <c r="AA10" s="4">
        <f>'쪽쟘(실측)'!V10</f>
        <v>10</v>
      </c>
      <c r="AC10">
        <f t="shared" si="8"/>
        <v>829.40000000000009</v>
      </c>
      <c r="AD10">
        <f t="shared" si="9"/>
        <v>124.20000000000002</v>
      </c>
      <c r="AE10">
        <f t="shared" si="2"/>
        <v>121.20000000000002</v>
      </c>
      <c r="AF10">
        <f t="shared" si="10"/>
        <v>2103</v>
      </c>
      <c r="AG10">
        <f t="shared" si="4"/>
        <v>121.20000000000002</v>
      </c>
      <c r="AH10">
        <f t="shared" si="11"/>
        <v>2103</v>
      </c>
    </row>
    <row r="11" spans="1:34" ht="19.5" customHeight="1">
      <c r="A11" s="50">
        <f>'쪽쟘(실측)'!A11</f>
        <v>0</v>
      </c>
      <c r="B11" s="50" t="str">
        <f>'쪽쟘(실측)'!B11&amp;"F"</f>
        <v>6F</v>
      </c>
      <c r="C11" s="50" t="str">
        <f t="shared" si="5"/>
        <v>821.4*124.2</v>
      </c>
      <c r="D11" s="50">
        <f>'쪽쟘(실측)'!C11-쪽쟘OP차감+790</f>
        <v>795</v>
      </c>
      <c r="E11" s="50">
        <f>'쪽쟘(실측)'!D11+쪽쟘J늘림+MAX(W11:X11)</f>
        <v>80.400000000000006</v>
      </c>
      <c r="F11" s="50">
        <f>'쪽쟘(실측)'!E11+쪽쟘J늘림+MAX(W11:X11)</f>
        <v>79.400000000000006</v>
      </c>
      <c r="G11" s="67" t="str">
        <f t="shared" si="6"/>
        <v>2098*117.2</v>
      </c>
      <c r="H11" s="68" t="str">
        <f t="shared" si="7"/>
        <v>2098*116.2</v>
      </c>
      <c r="I11" s="50">
        <f>IF('쪽쟘(실측)'!F11&gt;0,'쪽쟘(실측)'!F11-1.5,0)+뒷날개치수더함</f>
        <v>13.7</v>
      </c>
      <c r="J11" s="50">
        <f>IF('쪽쟘(실측)'!H11&gt;0,'쪽쟘(실측)'!H11-1.5,0)+뒷날개치수더함</f>
        <v>12.7</v>
      </c>
      <c r="K11" s="50">
        <f>IF('쪽쟘(실측)'!F11&gt;0,'쪽쟘(실측)'!F11+0,0)+뒷날개치수더함</f>
        <v>15.2</v>
      </c>
      <c r="L11" s="50">
        <f>IF('쪽쟘(실측)'!G11&gt;0,'쪽쟘(실측)'!G11+0,0)+뒷날개치수더함</f>
        <v>9.1999999999999993</v>
      </c>
      <c r="M11" s="50">
        <f>IF('쪽쟘(실측)'!H11&gt;0,'쪽쟘(실측)'!H11+0,0)+뒷날개치수더함</f>
        <v>14.2</v>
      </c>
      <c r="N11" s="50">
        <f>IF('쪽쟘(실측)'!I11&gt;0,'쪽쟘(실측)'!I11+0,0)+뒷날개치수더함</f>
        <v>14.2</v>
      </c>
      <c r="O11" s="50">
        <f>'쪽쟘(실측)'!J11-쪽쟘기둥차감+2000</f>
        <v>2098</v>
      </c>
      <c r="P11" s="50">
        <f>'쪽쟘(실측)'!K11-쪽쟘기둥차감+2000</f>
        <v>2093</v>
      </c>
      <c r="Q11" s="50">
        <f>'쪽쟘(실측)'!L11-쪽쟘기둥차감+2000</f>
        <v>2098</v>
      </c>
      <c r="R11" s="50">
        <f>'쪽쟘(실측)'!M11-쪽쟘기둥차감+2000</f>
        <v>2093</v>
      </c>
      <c r="S11" s="50">
        <f>'쪽쟘(실측)'!N11+뒷날개치수더함</f>
        <v>21.2</v>
      </c>
      <c r="T11" s="50">
        <f>'쪽쟘(실측)'!O11+뒷날개치수더함</f>
        <v>21.2</v>
      </c>
      <c r="U11" s="50">
        <f>'쪽쟘(실측)'!P11+뒷날개치수더함</f>
        <v>26.2</v>
      </c>
      <c r="V11" s="50">
        <f>'쪽쟘(실측)'!Q11+뒷날개치수더함</f>
        <v>26.2</v>
      </c>
      <c r="W11" s="50">
        <f>'쪽쟘(실측)'!R11-쪽쟘늘치차감</f>
        <v>10</v>
      </c>
      <c r="X11" s="50">
        <f>'쪽쟘(실측)'!S11-쪽쟘늘치차감</f>
        <v>10</v>
      </c>
      <c r="Y11" s="4">
        <f>IF('쪽쟘(실측)'!T11&gt;5,'쪽쟘(실측)'!T11+뒷날개치수더함,0)</f>
        <v>16.2</v>
      </c>
      <c r="Z11" s="4">
        <f>'쪽쟘(실측)'!U11</f>
        <v>10</v>
      </c>
      <c r="AA11" s="4">
        <f>'쪽쟘(실측)'!V11</f>
        <v>10</v>
      </c>
      <c r="AC11">
        <f t="shared" si="8"/>
        <v>821.40000000000009</v>
      </c>
      <c r="AD11">
        <f t="shared" si="9"/>
        <v>124.20000000000002</v>
      </c>
      <c r="AE11">
        <f t="shared" si="2"/>
        <v>117.20000000000002</v>
      </c>
      <c r="AF11">
        <f t="shared" si="10"/>
        <v>2098</v>
      </c>
      <c r="AG11">
        <f t="shared" si="4"/>
        <v>116.20000000000002</v>
      </c>
      <c r="AH11">
        <f t="shared" si="11"/>
        <v>2098</v>
      </c>
    </row>
    <row r="12" spans="1:34" ht="19.5" customHeight="1">
      <c r="A12" s="50">
        <f>'쪽쟘(실측)'!A12</f>
        <v>0</v>
      </c>
      <c r="B12" s="50" t="str">
        <f>'쪽쟘(실측)'!B12&amp;"F"</f>
        <v>7F</v>
      </c>
      <c r="C12" s="50" t="str">
        <f t="shared" si="5"/>
        <v>827.4*128.2</v>
      </c>
      <c r="D12" s="50">
        <f>'쪽쟘(실측)'!C12-쪽쟘OP차감+790</f>
        <v>794</v>
      </c>
      <c r="E12" s="50">
        <f>'쪽쟘(실측)'!D12+쪽쟘J늘림+MAX(W12:X12)</f>
        <v>80.400000000000006</v>
      </c>
      <c r="F12" s="50">
        <f>'쪽쟘(실측)'!E12+쪽쟘J늘림+MAX(W12:X12)</f>
        <v>79.400000000000006</v>
      </c>
      <c r="G12" s="67" t="str">
        <f t="shared" si="6"/>
        <v>2094*120.2</v>
      </c>
      <c r="H12" s="68" t="str">
        <f t="shared" si="7"/>
        <v>2100*120.2</v>
      </c>
      <c r="I12" s="50">
        <f>IF('쪽쟘(실측)'!F12&gt;0,'쪽쟘(실측)'!F12-1.5,0)+뒷날개치수더함</f>
        <v>16.7</v>
      </c>
      <c r="J12" s="50">
        <f>IF('쪽쟘(실측)'!H12&gt;0,'쪽쟘(실측)'!H12-1.5,0)+뒷날개치수더함</f>
        <v>16.7</v>
      </c>
      <c r="K12" s="50">
        <f>IF('쪽쟘(실측)'!F12&gt;0,'쪽쟘(실측)'!F12+0,0)+뒷날개치수더함</f>
        <v>18.2</v>
      </c>
      <c r="L12" s="50">
        <f>IF('쪽쟘(실측)'!G12&gt;0,'쪽쟘(실측)'!G12+0,0)+뒷날개치수더함</f>
        <v>13.2</v>
      </c>
      <c r="M12" s="50">
        <f>IF('쪽쟘(실측)'!H12&gt;0,'쪽쟘(실측)'!H12+0,0)+뒷날개치수더함</f>
        <v>18.2</v>
      </c>
      <c r="N12" s="50">
        <f>IF('쪽쟘(실측)'!I12&gt;0,'쪽쟘(실측)'!I12+0,0)+뒷날개치수더함</f>
        <v>13.2</v>
      </c>
      <c r="O12" s="50">
        <f>'쪽쟘(실측)'!J12-쪽쟘기둥차감+2000</f>
        <v>2094</v>
      </c>
      <c r="P12" s="50">
        <f>'쪽쟘(실측)'!K12-쪽쟘기둥차감+2000</f>
        <v>2093</v>
      </c>
      <c r="Q12" s="50">
        <f>'쪽쟘(실측)'!L12-쪽쟘기둥차감+2000</f>
        <v>2100</v>
      </c>
      <c r="R12" s="50">
        <f>'쪽쟘(실측)'!M12-쪽쟘기둥차감+2000</f>
        <v>2093</v>
      </c>
      <c r="S12" s="50">
        <f>'쪽쟘(실측)'!N12+뒷날개치수더함</f>
        <v>25.2</v>
      </c>
      <c r="T12" s="50">
        <f>'쪽쟘(실측)'!O12+뒷날개치수더함</f>
        <v>21.2</v>
      </c>
      <c r="U12" s="50">
        <f>'쪽쟘(실측)'!P12+뒷날개치수더함</f>
        <v>26.2</v>
      </c>
      <c r="V12" s="50">
        <f>'쪽쟘(실측)'!Q12+뒷날개치수더함</f>
        <v>26.2</v>
      </c>
      <c r="W12" s="50">
        <f>'쪽쟘(실측)'!R12-쪽쟘늘치차감</f>
        <v>10</v>
      </c>
      <c r="X12" s="50">
        <f>'쪽쟘(실측)'!S12-쪽쟘늘치차감</f>
        <v>10</v>
      </c>
      <c r="Y12" s="4">
        <f>IF('쪽쟘(실측)'!T12&gt;5,'쪽쟘(실측)'!T12+뒷날개치수더함,0)</f>
        <v>16.2</v>
      </c>
      <c r="Z12" s="4">
        <f>'쪽쟘(실측)'!U12</f>
        <v>10</v>
      </c>
      <c r="AA12" s="4">
        <f>'쪽쟘(실측)'!V12</f>
        <v>10</v>
      </c>
      <c r="AC12">
        <f t="shared" si="8"/>
        <v>827.40000000000009</v>
      </c>
      <c r="AD12">
        <f t="shared" si="9"/>
        <v>128.20000000000002</v>
      </c>
      <c r="AE12">
        <f t="shared" si="2"/>
        <v>120.20000000000002</v>
      </c>
      <c r="AF12">
        <f t="shared" si="10"/>
        <v>2094</v>
      </c>
      <c r="AG12">
        <f t="shared" si="4"/>
        <v>120.20000000000002</v>
      </c>
      <c r="AH12">
        <f t="shared" si="11"/>
        <v>2100</v>
      </c>
    </row>
    <row r="13" spans="1:34" ht="19.5" customHeight="1">
      <c r="A13" s="50">
        <f>'쪽쟘(실측)'!A13</f>
        <v>0</v>
      </c>
      <c r="B13" s="50" t="str">
        <f>'쪽쟘(실측)'!B13&amp;"F"</f>
        <v>8F</v>
      </c>
      <c r="C13" s="50" t="str">
        <f t="shared" si="5"/>
        <v>829.4*126.2</v>
      </c>
      <c r="D13" s="50">
        <f>'쪽쟘(실측)'!C13-쪽쟘OP차감+790</f>
        <v>795</v>
      </c>
      <c r="E13" s="50">
        <f>'쪽쟘(실측)'!D13+쪽쟘J늘림+MAX(W13:X13)</f>
        <v>80.400000000000006</v>
      </c>
      <c r="F13" s="50">
        <f>'쪽쟘(실측)'!E13+쪽쟘J늘림+MAX(W13:X13)</f>
        <v>79.400000000000006</v>
      </c>
      <c r="G13" s="67" t="str">
        <f t="shared" si="6"/>
        <v>2098*118.2</v>
      </c>
      <c r="H13" s="68" t="str">
        <f t="shared" si="7"/>
        <v>2095*123.2</v>
      </c>
      <c r="I13" s="50">
        <f>IF('쪽쟘(실측)'!F13&gt;0,'쪽쟘(실측)'!F13-1.5,0)+뒷날개치수더함</f>
        <v>14.7</v>
      </c>
      <c r="J13" s="50">
        <f>IF('쪽쟘(실측)'!H13&gt;0,'쪽쟘(실측)'!H13-1.5,0)+뒷날개치수더함</f>
        <v>19.7</v>
      </c>
      <c r="K13" s="50">
        <f>IF('쪽쟘(실측)'!F13&gt;0,'쪽쟘(실측)'!F13+0,0)+뒷날개치수더함</f>
        <v>16.2</v>
      </c>
      <c r="L13" s="50">
        <f>IF('쪽쟘(실측)'!G13&gt;0,'쪽쟘(실측)'!G13+0,0)+뒷날개치수더함</f>
        <v>11.2</v>
      </c>
      <c r="M13" s="50">
        <f>IF('쪽쟘(실측)'!H13&gt;0,'쪽쟘(실측)'!H13+0,0)+뒷날개치수더함</f>
        <v>21.2</v>
      </c>
      <c r="N13" s="50">
        <f>IF('쪽쟘(실측)'!I13&gt;0,'쪽쟘(실측)'!I13+0,0)+뒷날개치수더함</f>
        <v>17.2</v>
      </c>
      <c r="O13" s="50">
        <f>'쪽쟘(실측)'!J13-쪽쟘기둥차감+2000</f>
        <v>2098</v>
      </c>
      <c r="P13" s="50">
        <f>'쪽쟘(실측)'!K13-쪽쟘기둥차감+2000</f>
        <v>2093</v>
      </c>
      <c r="Q13" s="50">
        <f>'쪽쟘(실측)'!L13-쪽쟘기둥차감+2000</f>
        <v>2095</v>
      </c>
      <c r="R13" s="50">
        <f>'쪽쟘(실측)'!M13-쪽쟘기둥차감+2000</f>
        <v>2093</v>
      </c>
      <c r="S13" s="50">
        <f>'쪽쟘(실측)'!N13+뒷날개치수더함</f>
        <v>23.2</v>
      </c>
      <c r="T13" s="50">
        <f>'쪽쟘(실측)'!O13+뒷날개치수더함</f>
        <v>23.2</v>
      </c>
      <c r="U13" s="50">
        <f>'쪽쟘(실측)'!P13+뒷날개치수더함</f>
        <v>26.2</v>
      </c>
      <c r="V13" s="50">
        <f>'쪽쟘(실측)'!Q13+뒷날개치수더함</f>
        <v>26.2</v>
      </c>
      <c r="W13" s="50">
        <f>'쪽쟘(실측)'!R13-쪽쟘늘치차감</f>
        <v>10</v>
      </c>
      <c r="X13" s="50">
        <f>'쪽쟘(실측)'!S13-쪽쟘늘치차감</f>
        <v>10</v>
      </c>
      <c r="Y13" s="4">
        <f>IF('쪽쟘(실측)'!T13&gt;5,'쪽쟘(실측)'!T13+뒷날개치수더함,0)</f>
        <v>16.2</v>
      </c>
      <c r="Z13" s="4">
        <f>'쪽쟘(실측)'!U13</f>
        <v>10</v>
      </c>
      <c r="AA13" s="4">
        <f>'쪽쟘(실측)'!V13</f>
        <v>10</v>
      </c>
      <c r="AC13">
        <f t="shared" si="8"/>
        <v>829.40000000000009</v>
      </c>
      <c r="AD13">
        <f t="shared" si="9"/>
        <v>126.20000000000002</v>
      </c>
      <c r="AE13">
        <f t="shared" si="2"/>
        <v>118.20000000000002</v>
      </c>
      <c r="AF13">
        <f t="shared" si="10"/>
        <v>2098</v>
      </c>
      <c r="AG13">
        <f t="shared" si="4"/>
        <v>123.20000000000002</v>
      </c>
      <c r="AH13">
        <f t="shared" si="11"/>
        <v>2095</v>
      </c>
    </row>
    <row r="14" spans="1:34" ht="19.5" customHeight="1">
      <c r="A14" s="50">
        <f>'쪽쟘(실측)'!A14</f>
        <v>0</v>
      </c>
      <c r="B14" s="50" t="str">
        <f>'쪽쟘(실측)'!B14&amp;"F"</f>
        <v>9F</v>
      </c>
      <c r="C14" s="50" t="str">
        <f t="shared" si="5"/>
        <v>839.4*170.2</v>
      </c>
      <c r="D14" s="50">
        <f>'쪽쟘(실측)'!C14-쪽쟘OP차감+790</f>
        <v>795</v>
      </c>
      <c r="E14" s="50">
        <f>'쪽쟘(실측)'!D14+쪽쟘J늘림+MAX(W14:X14)</f>
        <v>114.4</v>
      </c>
      <c r="F14" s="50">
        <f>'쪽쟘(실측)'!E14+쪽쟘J늘림+MAX(W14:X14)</f>
        <v>113.4</v>
      </c>
      <c r="G14" s="67" t="str">
        <f t="shared" si="6"/>
        <v>2093*163.2</v>
      </c>
      <c r="H14" s="68" t="str">
        <f t="shared" si="7"/>
        <v>2093*156.2</v>
      </c>
      <c r="I14" s="50">
        <f>IF('쪽쟘(실측)'!F14&gt;0,'쪽쟘(실측)'!F14-1.5,0)+뒷날개치수더함</f>
        <v>25.7</v>
      </c>
      <c r="J14" s="50">
        <f>IF('쪽쟘(실측)'!H14&gt;0,'쪽쟘(실측)'!H14-1.5,0)+뒷날개치수더함</f>
        <v>18.7</v>
      </c>
      <c r="K14" s="50">
        <f>IF('쪽쟘(실측)'!F14&gt;0,'쪽쟘(실측)'!F14+0,0)+뒷날개치수더함</f>
        <v>27.2</v>
      </c>
      <c r="L14" s="50">
        <f>IF('쪽쟘(실측)'!G14&gt;0,'쪽쟘(실측)'!G14+0,0)+뒷날개치수더함</f>
        <v>24.2</v>
      </c>
      <c r="M14" s="50">
        <f>IF('쪽쟘(실측)'!H14&gt;0,'쪽쟘(실측)'!H14+0,0)+뒷날개치수더함</f>
        <v>20.2</v>
      </c>
      <c r="N14" s="50">
        <f>IF('쪽쟘(실측)'!I14&gt;0,'쪽쟘(실측)'!I14+0,0)+뒷날개치수더함</f>
        <v>20.2</v>
      </c>
      <c r="O14" s="50">
        <f>'쪽쟘(실측)'!J14-쪽쟘기둥차감+2000</f>
        <v>2092</v>
      </c>
      <c r="P14" s="50">
        <f>'쪽쟘(실측)'!K14-쪽쟘기둥차감+2000</f>
        <v>2093</v>
      </c>
      <c r="Q14" s="50">
        <f>'쪽쟘(실측)'!L14-쪽쟘기둥차감+2000</f>
        <v>2092</v>
      </c>
      <c r="R14" s="50">
        <f>'쪽쟘(실측)'!M14-쪽쟘기둥차감+2000</f>
        <v>2093</v>
      </c>
      <c r="S14" s="50">
        <f>'쪽쟘(실측)'!N14+뒷날개치수더함</f>
        <v>33.200000000000003</v>
      </c>
      <c r="T14" s="50">
        <f>'쪽쟘(실측)'!O14+뒷날개치수더함</f>
        <v>33.200000000000003</v>
      </c>
      <c r="U14" s="50">
        <f>'쪽쟘(실측)'!P14+뒷날개치수더함</f>
        <v>26.2</v>
      </c>
      <c r="V14" s="50">
        <f>'쪽쟘(실측)'!Q14+뒷날개치수더함</f>
        <v>26.2</v>
      </c>
      <c r="W14" s="50">
        <f>'쪽쟘(실측)'!R14-쪽쟘늘치차감</f>
        <v>10</v>
      </c>
      <c r="X14" s="50">
        <f>'쪽쟘(실측)'!S14-쪽쟘늘치차감</f>
        <v>10</v>
      </c>
      <c r="Y14" s="4">
        <f>IF('쪽쟘(실측)'!T14&gt;5,'쪽쟘(실측)'!T14+뒷날개치수더함,0)</f>
        <v>16.2</v>
      </c>
      <c r="Z14" s="4">
        <f>'쪽쟘(실측)'!U14</f>
        <v>10</v>
      </c>
      <c r="AA14" s="4">
        <f>'쪽쟘(실측)'!V14</f>
        <v>10</v>
      </c>
      <c r="AC14">
        <f t="shared" si="8"/>
        <v>839.40000000000009</v>
      </c>
      <c r="AD14">
        <f t="shared" si="9"/>
        <v>170.20000000000002</v>
      </c>
      <c r="AE14">
        <f t="shared" si="2"/>
        <v>163.19999999999999</v>
      </c>
      <c r="AF14">
        <f t="shared" si="10"/>
        <v>2093</v>
      </c>
      <c r="AG14">
        <f t="shared" si="4"/>
        <v>156.19999999999999</v>
      </c>
      <c r="AH14">
        <f t="shared" si="11"/>
        <v>2093</v>
      </c>
    </row>
    <row r="15" spans="1:34" ht="19.5" customHeight="1">
      <c r="A15" s="50">
        <f>'쪽쟘(실측)'!A15</f>
        <v>0</v>
      </c>
      <c r="B15" s="50" t="str">
        <f>'쪽쟘(실측)'!B15&amp;"F"</f>
        <v>10F</v>
      </c>
      <c r="C15" s="50" t="str">
        <f t="shared" si="5"/>
        <v>828.4*147.2</v>
      </c>
      <c r="D15" s="50">
        <f>'쪽쟘(실측)'!C15-쪽쟘OP차감+790</f>
        <v>795</v>
      </c>
      <c r="E15" s="50">
        <f>'쪽쟘(실측)'!D15+쪽쟘J늘림+MAX(W15:X15)</f>
        <v>99.4</v>
      </c>
      <c r="F15" s="50">
        <f>'쪽쟘(실측)'!E15+쪽쟘J늘림+MAX(W15:X15)</f>
        <v>98.4</v>
      </c>
      <c r="G15" s="67" t="str">
        <f t="shared" si="6"/>
        <v>2099*140.2</v>
      </c>
      <c r="H15" s="68" t="str">
        <f t="shared" si="7"/>
        <v>2099*138.2</v>
      </c>
      <c r="I15" s="50">
        <f>IF('쪽쟘(실측)'!F15&gt;0,'쪽쟘(실측)'!F15-1.5,0)+뒷날개치수더함</f>
        <v>17.7</v>
      </c>
      <c r="J15" s="50">
        <f>IF('쪽쟘(실측)'!H15&gt;0,'쪽쟘(실측)'!H15-1.5,0)+뒷날개치수더함</f>
        <v>15.7</v>
      </c>
      <c r="K15" s="50">
        <f>IF('쪽쟘(실측)'!F15&gt;0,'쪽쟘(실측)'!F15+0,0)+뒷날개치수더함</f>
        <v>19.2</v>
      </c>
      <c r="L15" s="50">
        <f>IF('쪽쟘(실측)'!G15&gt;0,'쪽쟘(실측)'!G15+0,0)+뒷날개치수더함</f>
        <v>14.2</v>
      </c>
      <c r="M15" s="50">
        <f>IF('쪽쟘(실측)'!H15&gt;0,'쪽쟘(실측)'!H15+0,0)+뒷날개치수더함</f>
        <v>17.2</v>
      </c>
      <c r="N15" s="50">
        <f>IF('쪽쟘(실측)'!I15&gt;0,'쪽쟘(실측)'!I15+0,0)+뒷날개치수더함</f>
        <v>17.2</v>
      </c>
      <c r="O15" s="50">
        <f>'쪽쟘(실측)'!J15-쪽쟘기둥차감+2000</f>
        <v>2099</v>
      </c>
      <c r="P15" s="50">
        <f>'쪽쟘(실측)'!K15-쪽쟘기둥차감+2000</f>
        <v>2093</v>
      </c>
      <c r="Q15" s="50">
        <f>'쪽쟘(실측)'!L15-쪽쟘기둥차감+2000</f>
        <v>2099</v>
      </c>
      <c r="R15" s="50">
        <f>'쪽쟘(실측)'!M15-쪽쟘기둥차감+2000</f>
        <v>2093</v>
      </c>
      <c r="S15" s="50">
        <f>'쪽쟘(실측)'!N15+뒷날개치수더함</f>
        <v>25.2</v>
      </c>
      <c r="T15" s="50">
        <f>'쪽쟘(실측)'!O15+뒷날개치수더함</f>
        <v>25.2</v>
      </c>
      <c r="U15" s="50">
        <f>'쪽쟘(실측)'!P15+뒷날개치수더함</f>
        <v>26.2</v>
      </c>
      <c r="V15" s="50">
        <f>'쪽쟘(실측)'!Q15+뒷날개치수더함</f>
        <v>26.2</v>
      </c>
      <c r="W15" s="50">
        <f>'쪽쟘(실측)'!R15-쪽쟘늘치차감</f>
        <v>10</v>
      </c>
      <c r="X15" s="50">
        <f>'쪽쟘(실측)'!S15-쪽쟘늘치차감</f>
        <v>10</v>
      </c>
      <c r="Y15" s="4">
        <f>IF('쪽쟘(실측)'!T15&gt;5,'쪽쟘(실측)'!T15+뒷날개치수더함,0)</f>
        <v>16.2</v>
      </c>
      <c r="Z15" s="4">
        <f>'쪽쟘(실측)'!U15</f>
        <v>10</v>
      </c>
      <c r="AA15" s="4">
        <f>'쪽쟘(실측)'!V15</f>
        <v>10</v>
      </c>
      <c r="AC15">
        <f t="shared" si="8"/>
        <v>828.40000000000009</v>
      </c>
      <c r="AD15">
        <f t="shared" si="9"/>
        <v>147.20000000000002</v>
      </c>
      <c r="AE15">
        <f t="shared" si="2"/>
        <v>140.20000000000002</v>
      </c>
      <c r="AF15">
        <f t="shared" si="10"/>
        <v>2099</v>
      </c>
      <c r="AG15">
        <f t="shared" si="4"/>
        <v>138.20000000000002</v>
      </c>
      <c r="AH15">
        <f t="shared" si="11"/>
        <v>2099</v>
      </c>
    </row>
    <row r="16" spans="1:34" ht="19.5" customHeight="1">
      <c r="A16" s="50">
        <f>'쪽쟘(실측)'!A16</f>
        <v>0</v>
      </c>
      <c r="B16" s="50" t="str">
        <f>'쪽쟘(실측)'!B16&amp;"F"</f>
        <v>11F</v>
      </c>
      <c r="C16" s="50" t="str">
        <f t="shared" si="5"/>
        <v>831.4*123.2</v>
      </c>
      <c r="D16" s="50">
        <f>'쪽쟘(실측)'!C16-쪽쟘OP차감+790</f>
        <v>795</v>
      </c>
      <c r="E16" s="50">
        <f>'쪽쟘(실측)'!D16+쪽쟘J늘림+MAX(W16:X16)</f>
        <v>80.400000000000006</v>
      </c>
      <c r="F16" s="50">
        <f>'쪽쟘(실측)'!E16+쪽쟘J늘림+MAX(W16:X16)</f>
        <v>79.400000000000006</v>
      </c>
      <c r="G16" s="67" t="str">
        <f t="shared" si="6"/>
        <v>2100*127.2</v>
      </c>
      <c r="H16" s="68" t="str">
        <f t="shared" si="7"/>
        <v>2097*116.2</v>
      </c>
      <c r="I16" s="50">
        <f>IF('쪽쟘(실측)'!F16&gt;0,'쪽쟘(실측)'!F16-1.5,0)+뒷날개치수더함</f>
        <v>23.7</v>
      </c>
      <c r="J16" s="50">
        <f>IF('쪽쟘(실측)'!H16&gt;0,'쪽쟘(실측)'!H16-1.5,0)+뒷날개치수더함</f>
        <v>12.7</v>
      </c>
      <c r="K16" s="50">
        <f>IF('쪽쟘(실측)'!F16&gt;0,'쪽쟘(실측)'!F16+0,0)+뒷날개치수더함</f>
        <v>25.2</v>
      </c>
      <c r="L16" s="50">
        <f>IF('쪽쟘(실측)'!G16&gt;0,'쪽쟘(실측)'!G16+0,0)+뒷날개치수더함</f>
        <v>20.2</v>
      </c>
      <c r="M16" s="50">
        <f>IF('쪽쟘(실측)'!H16&gt;0,'쪽쟘(실측)'!H16+0,0)+뒷날개치수더함</f>
        <v>14.2</v>
      </c>
      <c r="N16" s="50">
        <f>IF('쪽쟘(실측)'!I16&gt;0,'쪽쟘(실측)'!I16+0,0)+뒷날개치수더함</f>
        <v>14.2</v>
      </c>
      <c r="O16" s="50">
        <f>'쪽쟘(실측)'!J16-쪽쟘기둥차감+2000</f>
        <v>2100</v>
      </c>
      <c r="P16" s="50">
        <f>'쪽쟘(실측)'!K16-쪽쟘기둥차감+2000</f>
        <v>2093</v>
      </c>
      <c r="Q16" s="50">
        <f>'쪽쟘(실측)'!L16-쪽쟘기둥차감+2000</f>
        <v>2097</v>
      </c>
      <c r="R16" s="50">
        <f>'쪽쟘(실측)'!M16-쪽쟘기둥차감+2000</f>
        <v>2093</v>
      </c>
      <c r="S16" s="50">
        <f>'쪽쟘(실측)'!N16+뒷날개치수더함</f>
        <v>20.2</v>
      </c>
      <c r="T16" s="50">
        <f>'쪽쟘(실측)'!O16+뒷날개치수더함</f>
        <v>20.2</v>
      </c>
      <c r="U16" s="50">
        <f>'쪽쟘(실측)'!P16+뒷날개치수더함</f>
        <v>26.2</v>
      </c>
      <c r="V16" s="50">
        <f>'쪽쟘(실측)'!Q16+뒷날개치수더함</f>
        <v>26.2</v>
      </c>
      <c r="W16" s="50">
        <f>'쪽쟘(실측)'!R16-쪽쟘늘치차감</f>
        <v>10</v>
      </c>
      <c r="X16" s="50">
        <f>'쪽쟘(실측)'!S16-쪽쟘늘치차감</f>
        <v>10</v>
      </c>
      <c r="Y16" s="4">
        <f>IF('쪽쟘(실측)'!T16&gt;5,'쪽쟘(실측)'!T16+뒷날개치수더함,0)</f>
        <v>16.2</v>
      </c>
      <c r="Z16" s="4">
        <f>'쪽쟘(실측)'!U16</f>
        <v>10</v>
      </c>
      <c r="AA16" s="4">
        <f>'쪽쟘(실측)'!V16</f>
        <v>10</v>
      </c>
      <c r="AC16">
        <f t="shared" si="8"/>
        <v>831.40000000000009</v>
      </c>
      <c r="AD16">
        <f t="shared" si="9"/>
        <v>123.20000000000002</v>
      </c>
      <c r="AE16">
        <f t="shared" si="2"/>
        <v>127.20000000000002</v>
      </c>
      <c r="AF16">
        <f t="shared" si="10"/>
        <v>2100</v>
      </c>
      <c r="AG16">
        <f t="shared" si="4"/>
        <v>116.20000000000002</v>
      </c>
      <c r="AH16">
        <f t="shared" si="11"/>
        <v>2097</v>
      </c>
    </row>
    <row r="17" spans="1:34" ht="19.5" customHeight="1">
      <c r="A17" s="50">
        <f>'쪽쟘(실측)'!A17</f>
        <v>0</v>
      </c>
      <c r="B17" s="50" t="str">
        <f>'쪽쟘(실측)'!B17&amp;"F"</f>
        <v>12F</v>
      </c>
      <c r="C17" s="50" t="str">
        <f t="shared" si="5"/>
        <v>831.4*121.2</v>
      </c>
      <c r="D17" s="50">
        <f>'쪽쟘(실측)'!C17-쪽쟘OP차감+790</f>
        <v>795</v>
      </c>
      <c r="E17" s="50">
        <f>'쪽쟘(실측)'!D17+쪽쟘J늘림+MAX(W17:X17)</f>
        <v>80.400000000000006</v>
      </c>
      <c r="F17" s="50">
        <f>'쪽쟘(실측)'!E17+쪽쟘J늘림+MAX(W17:X17)</f>
        <v>79.400000000000006</v>
      </c>
      <c r="G17" s="67" t="str">
        <f t="shared" si="6"/>
        <v>2100*126.2</v>
      </c>
      <c r="H17" s="68" t="str">
        <f t="shared" si="7"/>
        <v>2100*117.2</v>
      </c>
      <c r="I17" s="50">
        <f>IF('쪽쟘(실측)'!F17&gt;0,'쪽쟘(실측)'!F17-1.5,0)+뒷날개치수더함</f>
        <v>22.7</v>
      </c>
      <c r="J17" s="50">
        <f>IF('쪽쟘(실측)'!H17&gt;0,'쪽쟘(실측)'!H17-1.5,0)+뒷날개치수더함</f>
        <v>13.7</v>
      </c>
      <c r="K17" s="50">
        <f>IF('쪽쟘(실측)'!F17&gt;0,'쪽쟘(실측)'!F17+0,0)+뒷날개치수더함</f>
        <v>24.2</v>
      </c>
      <c r="L17" s="50">
        <f>IF('쪽쟘(실측)'!G17&gt;0,'쪽쟘(실측)'!G17+0,0)+뒷날개치수더함</f>
        <v>21.2</v>
      </c>
      <c r="M17" s="50">
        <f>IF('쪽쟘(실측)'!H17&gt;0,'쪽쟘(실측)'!H17+0,0)+뒷날개치수더함</f>
        <v>15.2</v>
      </c>
      <c r="N17" s="50">
        <f>IF('쪽쟘(실측)'!I17&gt;0,'쪽쟘(실측)'!I17+0,0)+뒷날개치수더함</f>
        <v>15.2</v>
      </c>
      <c r="O17" s="50">
        <f>'쪽쟘(실측)'!J17-쪽쟘기둥차감+2000</f>
        <v>2100</v>
      </c>
      <c r="P17" s="50">
        <f>'쪽쟘(실측)'!K17-쪽쟘기둥차감+2000</f>
        <v>2093</v>
      </c>
      <c r="Q17" s="50">
        <f>'쪽쟘(실측)'!L17-쪽쟘기둥차감+2000</f>
        <v>2100</v>
      </c>
      <c r="R17" s="50">
        <f>'쪽쟘(실측)'!M17-쪽쟘기둥차감+2000</f>
        <v>2093</v>
      </c>
      <c r="S17" s="50">
        <f>'쪽쟘(실측)'!N17+뒷날개치수더함</f>
        <v>18.2</v>
      </c>
      <c r="T17" s="50">
        <f>'쪽쟘(실측)'!O17+뒷날개치수더함</f>
        <v>18.2</v>
      </c>
      <c r="U17" s="50">
        <f>'쪽쟘(실측)'!P17+뒷날개치수더함</f>
        <v>26.2</v>
      </c>
      <c r="V17" s="50">
        <f>'쪽쟘(실측)'!Q17+뒷날개치수더함</f>
        <v>26.2</v>
      </c>
      <c r="W17" s="50">
        <f>'쪽쟘(실측)'!R17-쪽쟘늘치차감</f>
        <v>10</v>
      </c>
      <c r="X17" s="50">
        <f>'쪽쟘(실측)'!S17-쪽쟘늘치차감</f>
        <v>10</v>
      </c>
      <c r="Y17" s="4">
        <f>IF('쪽쟘(실측)'!T17&gt;5,'쪽쟘(실측)'!T17+뒷날개치수더함,0)</f>
        <v>16.2</v>
      </c>
      <c r="Z17" s="4">
        <f>'쪽쟘(실측)'!U17</f>
        <v>10</v>
      </c>
      <c r="AA17" s="4">
        <f>'쪽쟘(실측)'!V17</f>
        <v>10</v>
      </c>
      <c r="AC17">
        <f t="shared" si="8"/>
        <v>831.40000000000009</v>
      </c>
      <c r="AD17">
        <f t="shared" si="9"/>
        <v>121.20000000000002</v>
      </c>
      <c r="AE17">
        <f t="shared" si="2"/>
        <v>126.20000000000002</v>
      </c>
      <c r="AF17">
        <f t="shared" si="10"/>
        <v>2100</v>
      </c>
      <c r="AG17">
        <f t="shared" si="4"/>
        <v>117.20000000000002</v>
      </c>
      <c r="AH17">
        <f t="shared" si="11"/>
        <v>2100</v>
      </c>
    </row>
    <row r="18" spans="1:34" ht="19.5" customHeight="1">
      <c r="A18" s="50">
        <f>'쪽쟘(실측)'!A18</f>
        <v>0</v>
      </c>
      <c r="B18" s="50" t="str">
        <f>'쪽쟘(실측)'!B18&amp;"F"</f>
        <v>13F</v>
      </c>
      <c r="C18" s="50" t="str">
        <f t="shared" si="5"/>
        <v>828.4*121.2</v>
      </c>
      <c r="D18" s="50">
        <f>'쪽쟘(실측)'!C18-쪽쟘OP차감+790</f>
        <v>795</v>
      </c>
      <c r="E18" s="50">
        <f>'쪽쟘(실측)'!D18+쪽쟘J늘림+MAX(W18:X18)</f>
        <v>80.400000000000006</v>
      </c>
      <c r="F18" s="50">
        <f>'쪽쟘(실측)'!E18+쪽쟘J늘림+MAX(W18:X18)</f>
        <v>79.400000000000006</v>
      </c>
      <c r="G18" s="67" t="str">
        <f t="shared" si="6"/>
        <v>2093*121.2</v>
      </c>
      <c r="H18" s="68" t="str">
        <f t="shared" si="7"/>
        <v>2093*123.2</v>
      </c>
      <c r="I18" s="50">
        <f>IF('쪽쟘(실측)'!F18&gt;0,'쪽쟘(실측)'!F18-1.5,0)+뒷날개치수더함</f>
        <v>13.7</v>
      </c>
      <c r="J18" s="50">
        <f>IF('쪽쟘(실측)'!H18&gt;0,'쪽쟘(실측)'!H18-1.5,0)+뒷날개치수더함</f>
        <v>19.7</v>
      </c>
      <c r="K18" s="50">
        <f>IF('쪽쟘(실측)'!F18&gt;0,'쪽쟘(실측)'!F18+0,0)+뒷날개치수더함</f>
        <v>15.2</v>
      </c>
      <c r="L18" s="50">
        <f>IF('쪽쟘(실측)'!G18&gt;0,'쪽쟘(실측)'!G18+0,0)+뒷날개치수더함</f>
        <v>19.2</v>
      </c>
      <c r="M18" s="50">
        <f>IF('쪽쟘(실측)'!H18&gt;0,'쪽쟘(실측)'!H18+0,0)+뒷날개치수더함</f>
        <v>21.2</v>
      </c>
      <c r="N18" s="50">
        <f>IF('쪽쟘(실측)'!I18&gt;0,'쪽쟘(실측)'!I18+0,0)+뒷날개치수더함</f>
        <v>18.2</v>
      </c>
      <c r="O18" s="50">
        <f>'쪽쟘(실측)'!J18-쪽쟘기둥차감+2000</f>
        <v>2093</v>
      </c>
      <c r="P18" s="50">
        <f>'쪽쟘(실측)'!K18-쪽쟘기둥차감+2000</f>
        <v>2093</v>
      </c>
      <c r="Q18" s="50">
        <f>'쪽쟘(실측)'!L18-쪽쟘기둥차감+2000</f>
        <v>2093</v>
      </c>
      <c r="R18" s="50">
        <f>'쪽쟘(실측)'!M18-쪽쟘기둥차감+2000</f>
        <v>2093</v>
      </c>
      <c r="S18" s="50">
        <f>'쪽쟘(실측)'!N18+뒷날개치수더함</f>
        <v>18.2</v>
      </c>
      <c r="T18" s="50">
        <f>'쪽쟘(실측)'!O18+뒷날개치수더함</f>
        <v>18.2</v>
      </c>
      <c r="U18" s="50">
        <f>'쪽쟘(실측)'!P18+뒷날개치수더함</f>
        <v>26.2</v>
      </c>
      <c r="V18" s="50">
        <f>'쪽쟘(실측)'!Q18+뒷날개치수더함</f>
        <v>26.2</v>
      </c>
      <c r="W18" s="50">
        <f>'쪽쟘(실측)'!R18-쪽쟘늘치차감</f>
        <v>10</v>
      </c>
      <c r="X18" s="50">
        <f>'쪽쟘(실측)'!S18-쪽쟘늘치차감</f>
        <v>10</v>
      </c>
      <c r="Y18" s="4">
        <f>IF('쪽쟘(실측)'!T18&gt;5,'쪽쟘(실측)'!T18+뒷날개치수더함,0)</f>
        <v>16.2</v>
      </c>
      <c r="Z18" s="4">
        <f>'쪽쟘(실측)'!U18</f>
        <v>10</v>
      </c>
      <c r="AA18" s="4">
        <f>'쪽쟘(실측)'!V18</f>
        <v>10</v>
      </c>
      <c r="AC18">
        <f t="shared" si="8"/>
        <v>828.40000000000009</v>
      </c>
      <c r="AD18">
        <f t="shared" si="9"/>
        <v>121.20000000000002</v>
      </c>
      <c r="AE18">
        <f t="shared" si="2"/>
        <v>121.20000000000002</v>
      </c>
      <c r="AF18">
        <f t="shared" si="10"/>
        <v>2093</v>
      </c>
      <c r="AG18">
        <f t="shared" si="4"/>
        <v>123.20000000000002</v>
      </c>
      <c r="AH18">
        <f t="shared" si="11"/>
        <v>2093</v>
      </c>
    </row>
    <row r="19" spans="1:34" ht="19.5" customHeight="1">
      <c r="A19" s="50">
        <f>'쪽쟘(실측)'!A19</f>
        <v>0</v>
      </c>
      <c r="B19" s="50" t="str">
        <f>'쪽쟘(실측)'!B19&amp;"F"</f>
        <v>14F</v>
      </c>
      <c r="C19" s="50" t="str">
        <f t="shared" si="5"/>
        <v>826.4*121.2</v>
      </c>
      <c r="D19" s="50">
        <f>'쪽쟘(실측)'!C19-쪽쟘OP차감+790</f>
        <v>795</v>
      </c>
      <c r="E19" s="50">
        <f>'쪽쟘(실측)'!D19+쪽쟘J늘림+MAX(W19:X19)</f>
        <v>80.400000000000006</v>
      </c>
      <c r="F19" s="50">
        <f>'쪽쟘(실측)'!E19+쪽쟘J늘림+MAX(W19:X19)</f>
        <v>79.400000000000006</v>
      </c>
      <c r="G19" s="67" t="str">
        <f t="shared" si="6"/>
        <v>2100*121.2</v>
      </c>
      <c r="H19" s="68" t="str">
        <f t="shared" si="7"/>
        <v>2100*117.2</v>
      </c>
      <c r="I19" s="50">
        <f>IF('쪽쟘(실측)'!F19&gt;0,'쪽쟘(실측)'!F19-1.5,0)+뒷날개치수더함</f>
        <v>17.7</v>
      </c>
      <c r="J19" s="50">
        <f>IF('쪽쟘(실측)'!H19&gt;0,'쪽쟘(실측)'!H19-1.5,0)+뒷날개치수더함</f>
        <v>13.7</v>
      </c>
      <c r="K19" s="50">
        <f>IF('쪽쟘(실측)'!F19&gt;0,'쪽쟘(실측)'!F19+0,0)+뒷날개치수더함</f>
        <v>19.2</v>
      </c>
      <c r="L19" s="50">
        <f>IF('쪽쟘(실측)'!G19&gt;0,'쪽쟘(실측)'!G19+0,0)+뒷날개치수더함</f>
        <v>15.2</v>
      </c>
      <c r="M19" s="50">
        <f>IF('쪽쟘(실측)'!H19&gt;0,'쪽쟘(실측)'!H19+0,0)+뒷날개치수더함</f>
        <v>15.2</v>
      </c>
      <c r="N19" s="50">
        <f>IF('쪽쟘(실측)'!I19&gt;0,'쪽쟘(실측)'!I19+0,0)+뒷날개치수더함</f>
        <v>15.2</v>
      </c>
      <c r="O19" s="50">
        <f>'쪽쟘(실측)'!J19-쪽쟘기둥차감+2000</f>
        <v>2100</v>
      </c>
      <c r="P19" s="50">
        <f>'쪽쟘(실측)'!K19-쪽쟘기둥차감+2000</f>
        <v>2093</v>
      </c>
      <c r="Q19" s="50">
        <f>'쪽쟘(실측)'!L19-쪽쟘기둥차감+2000</f>
        <v>2100</v>
      </c>
      <c r="R19" s="50">
        <f>'쪽쟘(실측)'!M19-쪽쟘기둥차감+2000</f>
        <v>2093</v>
      </c>
      <c r="S19" s="50">
        <f>'쪽쟘(실측)'!N19+뒷날개치수더함</f>
        <v>18.2</v>
      </c>
      <c r="T19" s="50">
        <f>'쪽쟘(실측)'!O19+뒷날개치수더함</f>
        <v>18.2</v>
      </c>
      <c r="U19" s="50">
        <f>'쪽쟘(실측)'!P19+뒷날개치수더함</f>
        <v>26.2</v>
      </c>
      <c r="V19" s="50">
        <f>'쪽쟘(실측)'!Q19+뒷날개치수더함</f>
        <v>26.2</v>
      </c>
      <c r="W19" s="50">
        <f>'쪽쟘(실측)'!R19-쪽쟘늘치차감</f>
        <v>10</v>
      </c>
      <c r="X19" s="50">
        <f>'쪽쟘(실측)'!S19-쪽쟘늘치차감</f>
        <v>10</v>
      </c>
      <c r="Y19" s="4">
        <f>IF('쪽쟘(실측)'!T19&gt;5,'쪽쟘(실측)'!T19+뒷날개치수더함,0)</f>
        <v>16.2</v>
      </c>
      <c r="Z19" s="4">
        <f>'쪽쟘(실측)'!U19</f>
        <v>10</v>
      </c>
      <c r="AA19" s="4">
        <f>'쪽쟘(실측)'!V19</f>
        <v>10</v>
      </c>
      <c r="AC19">
        <f t="shared" si="8"/>
        <v>826.40000000000009</v>
      </c>
      <c r="AD19">
        <f t="shared" si="9"/>
        <v>121.20000000000002</v>
      </c>
      <c r="AE19">
        <f t="shared" si="2"/>
        <v>121.20000000000002</v>
      </c>
      <c r="AF19">
        <f t="shared" si="10"/>
        <v>2100</v>
      </c>
      <c r="AG19">
        <f t="shared" si="4"/>
        <v>117.20000000000002</v>
      </c>
      <c r="AH19">
        <f t="shared" si="11"/>
        <v>2100</v>
      </c>
    </row>
    <row r="20" spans="1:34" ht="19.5" customHeight="1">
      <c r="A20" s="50">
        <f>'쪽쟘(실측)'!A20</f>
        <v>0</v>
      </c>
      <c r="B20" s="50" t="str">
        <f>'쪽쟘(실측)'!B20&amp;"F"</f>
        <v>15F</v>
      </c>
      <c r="C20" s="50" t="str">
        <f t="shared" si="5"/>
        <v>822.4*125.2</v>
      </c>
      <c r="D20" s="50">
        <f>'쪽쟘(실측)'!C20-쪽쟘OP차감+790</f>
        <v>795</v>
      </c>
      <c r="E20" s="50">
        <f>'쪽쟘(실측)'!D20+쪽쟘J늘림+MAX(W20:X20)</f>
        <v>80.400000000000006</v>
      </c>
      <c r="F20" s="50">
        <f>'쪽쟘(실측)'!E20+쪽쟘J늘림+MAX(W20:X20)</f>
        <v>79.400000000000006</v>
      </c>
      <c r="G20" s="67" t="str">
        <f t="shared" si="6"/>
        <v>2099*122.2</v>
      </c>
      <c r="H20" s="68" t="str">
        <f t="shared" si="7"/>
        <v>2099*118.2</v>
      </c>
      <c r="I20" s="50">
        <f>IF('쪽쟘(실측)'!F20&gt;0,'쪽쟘(실측)'!F20-1.5,0)+뒷날개치수더함</f>
        <v>15.7</v>
      </c>
      <c r="J20" s="50">
        <f>IF('쪽쟘(실측)'!H20&gt;0,'쪽쟘(실측)'!H20-1.5,0)+뒷날개치수더함</f>
        <v>11.7</v>
      </c>
      <c r="K20" s="50">
        <f>IF('쪽쟘(실측)'!F20&gt;0,'쪽쟘(실측)'!F20+0,0)+뒷날개치수더함</f>
        <v>17.2</v>
      </c>
      <c r="L20" s="50">
        <f>IF('쪽쟘(실측)'!G20&gt;0,'쪽쟘(실측)'!G20+0,0)+뒷날개치수더함</f>
        <v>20.2</v>
      </c>
      <c r="M20" s="50">
        <f>IF('쪽쟘(실측)'!H20&gt;0,'쪽쟘(실측)'!H20+0,0)+뒷날개치수더함</f>
        <v>13.2</v>
      </c>
      <c r="N20" s="50">
        <f>IF('쪽쟘(실측)'!I20&gt;0,'쪽쟘(실측)'!I20+0,0)+뒷날개치수더함</f>
        <v>16.2</v>
      </c>
      <c r="O20" s="50">
        <f>'쪽쟘(실측)'!J20-쪽쟘기둥차감+2000</f>
        <v>2099</v>
      </c>
      <c r="P20" s="50">
        <f>'쪽쟘(실측)'!K20-쪽쟘기둥차감+2000</f>
        <v>2093</v>
      </c>
      <c r="Q20" s="50">
        <f>'쪽쟘(실측)'!L20-쪽쟘기둥차감+2000</f>
        <v>2099</v>
      </c>
      <c r="R20" s="50">
        <f>'쪽쟘(실측)'!M20-쪽쟘기둥차감+2000</f>
        <v>2093</v>
      </c>
      <c r="S20" s="50">
        <f>'쪽쟘(실측)'!N20+뒷날개치수더함</f>
        <v>22.2</v>
      </c>
      <c r="T20" s="50">
        <f>'쪽쟘(실측)'!O20+뒷날개치수더함</f>
        <v>22.2</v>
      </c>
      <c r="U20" s="50">
        <f>'쪽쟘(실측)'!P20+뒷날개치수더함</f>
        <v>26.2</v>
      </c>
      <c r="V20" s="50">
        <f>'쪽쟘(실측)'!Q20+뒷날개치수더함</f>
        <v>26.2</v>
      </c>
      <c r="W20" s="50">
        <f>'쪽쟘(실측)'!R20-쪽쟘늘치차감</f>
        <v>10</v>
      </c>
      <c r="X20" s="50">
        <f>'쪽쟘(실측)'!S20-쪽쟘늘치차감</f>
        <v>10</v>
      </c>
      <c r="Y20" s="4">
        <f>IF('쪽쟘(실측)'!T20&gt;5,'쪽쟘(실측)'!T20+뒷날개치수더함,0)</f>
        <v>16.2</v>
      </c>
      <c r="Z20" s="4">
        <f>'쪽쟘(실측)'!U20</f>
        <v>10</v>
      </c>
      <c r="AA20" s="4">
        <f>'쪽쟘(실측)'!V20</f>
        <v>10</v>
      </c>
      <c r="AC20">
        <f t="shared" si="8"/>
        <v>822.40000000000009</v>
      </c>
      <c r="AD20">
        <f t="shared" si="9"/>
        <v>125.20000000000002</v>
      </c>
      <c r="AE20">
        <f t="shared" si="2"/>
        <v>122.20000000000002</v>
      </c>
      <c r="AF20">
        <f t="shared" si="10"/>
        <v>2099</v>
      </c>
      <c r="AG20">
        <f t="shared" si="4"/>
        <v>118.20000000000002</v>
      </c>
      <c r="AH20">
        <f t="shared" si="11"/>
        <v>2099</v>
      </c>
    </row>
    <row r="21" spans="1:34" ht="19.5" customHeight="1">
      <c r="A21" s="50">
        <f>'쪽쟘(실측)'!A21</f>
        <v>0</v>
      </c>
      <c r="B21" s="50" t="str">
        <f>'쪽쟘(실측)'!B21&amp;"F"</f>
        <v>16F</v>
      </c>
      <c r="C21" s="50" t="str">
        <f t="shared" si="5"/>
        <v>825.4*127.2</v>
      </c>
      <c r="D21" s="50">
        <f>'쪽쟘(실측)'!C21-쪽쟘OP차감+790</f>
        <v>795</v>
      </c>
      <c r="E21" s="50">
        <f>'쪽쟘(실측)'!D21+쪽쟘J늘림+MAX(W21:X21)</f>
        <v>84.4</v>
      </c>
      <c r="F21" s="50">
        <f>'쪽쟘(실측)'!E21+쪽쟘J늘림+MAX(W21:X21)</f>
        <v>83.4</v>
      </c>
      <c r="G21" s="67" t="str">
        <f t="shared" si="6"/>
        <v>2093*124.2</v>
      </c>
      <c r="H21" s="68" t="str">
        <f t="shared" si="7"/>
        <v>2093*121.2</v>
      </c>
      <c r="I21" s="50">
        <f>IF('쪽쟘(실측)'!F21&gt;0,'쪽쟘(실측)'!F21-1.5,0)+뒷날개치수더함</f>
        <v>16.7</v>
      </c>
      <c r="J21" s="50">
        <f>IF('쪽쟘(실측)'!H21&gt;0,'쪽쟘(실측)'!H21-1.5,0)+뒷날개치수더함</f>
        <v>13.7</v>
      </c>
      <c r="K21" s="50">
        <f>IF('쪽쟘(실측)'!F21&gt;0,'쪽쟘(실측)'!F21+0,0)+뒷날개치수더함</f>
        <v>18.2</v>
      </c>
      <c r="L21" s="50">
        <f>IF('쪽쟘(실측)'!G21&gt;0,'쪽쟘(실측)'!G21+0,0)+뒷날개치수더함</f>
        <v>18.2</v>
      </c>
      <c r="M21" s="50">
        <f>IF('쪽쟘(실측)'!H21&gt;0,'쪽쟘(실측)'!H21+0,0)+뒷날개치수더함</f>
        <v>15.2</v>
      </c>
      <c r="N21" s="50">
        <f>IF('쪽쟘(실측)'!I21&gt;0,'쪽쟘(실측)'!I21+0,0)+뒷날개치수더함</f>
        <v>15.2</v>
      </c>
      <c r="O21" s="50">
        <f>'쪽쟘(실측)'!J21-쪽쟘기둥차감+2000</f>
        <v>2093</v>
      </c>
      <c r="P21" s="50">
        <f>'쪽쟘(실측)'!K21-쪽쟘기둥차감+2000</f>
        <v>2093</v>
      </c>
      <c r="Q21" s="50">
        <f>'쪽쟘(실측)'!L21-쪽쟘기둥차감+2000</f>
        <v>2093</v>
      </c>
      <c r="R21" s="50">
        <f>'쪽쟘(실측)'!M21-쪽쟘기둥차감+2000</f>
        <v>2093</v>
      </c>
      <c r="S21" s="50">
        <f>'쪽쟘(실측)'!N21+뒷날개치수더함</f>
        <v>20.2</v>
      </c>
      <c r="T21" s="50">
        <f>'쪽쟘(실측)'!O21+뒷날개치수더함</f>
        <v>20.2</v>
      </c>
      <c r="U21" s="50">
        <f>'쪽쟘(실측)'!P21+뒷날개치수더함</f>
        <v>26.2</v>
      </c>
      <c r="V21" s="50">
        <f>'쪽쟘(실측)'!Q21+뒷날개치수더함</f>
        <v>26.2</v>
      </c>
      <c r="W21" s="50">
        <f>'쪽쟘(실측)'!R21-쪽쟘늘치차감</f>
        <v>10</v>
      </c>
      <c r="X21" s="50">
        <f>'쪽쟘(실측)'!S21-쪽쟘늘치차감</f>
        <v>10</v>
      </c>
      <c r="Y21" s="4">
        <f>IF('쪽쟘(실측)'!T21&gt;5,'쪽쟘(실측)'!T21+뒷날개치수더함,0)</f>
        <v>16.2</v>
      </c>
      <c r="Z21" s="4">
        <f>'쪽쟘(실측)'!U21</f>
        <v>10</v>
      </c>
      <c r="AA21" s="4">
        <f>'쪽쟘(실측)'!V21</f>
        <v>10</v>
      </c>
      <c r="AC21">
        <f t="shared" si="8"/>
        <v>825.40000000000009</v>
      </c>
      <c r="AD21">
        <f t="shared" si="9"/>
        <v>127.20000000000002</v>
      </c>
      <c r="AE21">
        <f t="shared" si="2"/>
        <v>124.20000000000002</v>
      </c>
      <c r="AF21">
        <f t="shared" si="10"/>
        <v>2093</v>
      </c>
      <c r="AG21">
        <f t="shared" si="4"/>
        <v>121.20000000000002</v>
      </c>
      <c r="AH21">
        <f t="shared" si="11"/>
        <v>2093</v>
      </c>
    </row>
    <row r="22" spans="1:34" ht="19.5" customHeight="1">
      <c r="A22" s="50">
        <f>'쪽쟘(실측)'!A22</f>
        <v>0</v>
      </c>
      <c r="B22" s="50" t="str">
        <f>'쪽쟘(실측)'!B22&amp;"F"</f>
        <v>17F</v>
      </c>
      <c r="C22" s="50" t="str">
        <f t="shared" si="5"/>
        <v>834.4*140.2</v>
      </c>
      <c r="D22" s="50">
        <f>'쪽쟘(실측)'!C22-쪽쟘OP차감+790</f>
        <v>795</v>
      </c>
      <c r="E22" s="50">
        <f>'쪽쟘(실측)'!D22+쪽쟘J늘림+MAX(W22:X22)</f>
        <v>94.4</v>
      </c>
      <c r="F22" s="50">
        <f>'쪽쟘(실측)'!E22+쪽쟘J늘림+MAX(W22:X22)</f>
        <v>93.4</v>
      </c>
      <c r="G22" s="67" t="str">
        <f t="shared" si="6"/>
        <v>2096*142.2</v>
      </c>
      <c r="H22" s="68" t="str">
        <f t="shared" si="7"/>
        <v>2096*132.2</v>
      </c>
      <c r="I22" s="50">
        <f>IF('쪽쟘(실측)'!F22&gt;0,'쪽쟘(실측)'!F22-1.5,0)+뒷날개치수더함</f>
        <v>24.7</v>
      </c>
      <c r="J22" s="50">
        <f>IF('쪽쟘(실측)'!H22&gt;0,'쪽쟘(실측)'!H22-1.5,0)+뒷날개치수더함</f>
        <v>14.7</v>
      </c>
      <c r="K22" s="50">
        <f>IF('쪽쟘(실측)'!F22&gt;0,'쪽쟘(실측)'!F22+0,0)+뒷날개치수더함</f>
        <v>26.2</v>
      </c>
      <c r="L22" s="50">
        <f>IF('쪽쟘(실측)'!G22&gt;0,'쪽쟘(실측)'!G22+0,0)+뒷날개치수더함</f>
        <v>17.2</v>
      </c>
      <c r="M22" s="50">
        <f>IF('쪽쟘(실측)'!H22&gt;0,'쪽쟘(실측)'!H22+0,0)+뒷날개치수더함</f>
        <v>16.2</v>
      </c>
      <c r="N22" s="50">
        <f>IF('쪽쟘(실측)'!I22&gt;0,'쪽쟘(실측)'!I22+0,0)+뒷날개치수더함</f>
        <v>16.2</v>
      </c>
      <c r="O22" s="50">
        <f>'쪽쟘(실측)'!J22-쪽쟘기둥차감+2000</f>
        <v>2096</v>
      </c>
      <c r="P22" s="50">
        <f>'쪽쟘(실측)'!K22-쪽쟘기둥차감+2000</f>
        <v>2093</v>
      </c>
      <c r="Q22" s="50">
        <f>'쪽쟘(실측)'!L22-쪽쟘기둥차감+2000</f>
        <v>2096</v>
      </c>
      <c r="R22" s="50">
        <f>'쪽쟘(실측)'!M22-쪽쟘기둥차감+2000</f>
        <v>2093</v>
      </c>
      <c r="S22" s="50">
        <f>'쪽쟘(실측)'!N22+뒷날개치수더함</f>
        <v>23.2</v>
      </c>
      <c r="T22" s="50">
        <f>'쪽쟘(실측)'!O22+뒷날개치수더함</f>
        <v>23.2</v>
      </c>
      <c r="U22" s="50">
        <f>'쪽쟘(실측)'!P22+뒷날개치수더함</f>
        <v>26.2</v>
      </c>
      <c r="V22" s="50">
        <f>'쪽쟘(실측)'!Q22+뒷날개치수더함</f>
        <v>26.2</v>
      </c>
      <c r="W22" s="50">
        <f>'쪽쟘(실측)'!R22-쪽쟘늘치차감</f>
        <v>10</v>
      </c>
      <c r="X22" s="50">
        <f>'쪽쟘(실측)'!S22-쪽쟘늘치차감</f>
        <v>10</v>
      </c>
      <c r="Y22" s="4">
        <f>IF('쪽쟘(실측)'!T22&gt;5,'쪽쟘(실측)'!T22+뒷날개치수더함,0)</f>
        <v>16.2</v>
      </c>
      <c r="Z22" s="4">
        <f>'쪽쟘(실측)'!U22</f>
        <v>10</v>
      </c>
      <c r="AA22" s="4">
        <f>'쪽쟘(실측)'!V22</f>
        <v>10</v>
      </c>
      <c r="AC22">
        <f t="shared" si="8"/>
        <v>834.40000000000009</v>
      </c>
      <c r="AD22">
        <f t="shared" si="9"/>
        <v>140.20000000000002</v>
      </c>
      <c r="AE22">
        <f t="shared" si="2"/>
        <v>142.20000000000002</v>
      </c>
      <c r="AF22">
        <f t="shared" si="10"/>
        <v>2096</v>
      </c>
      <c r="AG22">
        <f t="shared" si="4"/>
        <v>132.20000000000002</v>
      </c>
      <c r="AH22">
        <f t="shared" si="11"/>
        <v>2096</v>
      </c>
    </row>
    <row r="23" spans="1:34" ht="19.5" customHeight="1">
      <c r="A23" s="50">
        <f>'쪽쟘(실측)'!A23</f>
        <v>0</v>
      </c>
      <c r="B23" s="50" t="str">
        <f>'쪽쟘(실측)'!B23&amp;"F"</f>
        <v>18F</v>
      </c>
      <c r="C23" s="50" t="str">
        <f t="shared" si="5"/>
        <v>831.4*128.2</v>
      </c>
      <c r="D23" s="50">
        <f>'쪽쟘(실측)'!C23-쪽쟘OP차감+790</f>
        <v>795</v>
      </c>
      <c r="E23" s="50">
        <f>'쪽쟘(실측)'!D23+쪽쟘J늘림+MAX(W23:X23)</f>
        <v>82.4</v>
      </c>
      <c r="F23" s="50">
        <f>'쪽쟘(실측)'!E23+쪽쟘J늘림+MAX(W23:X23)</f>
        <v>81.400000000000006</v>
      </c>
      <c r="G23" s="67" t="str">
        <f t="shared" si="6"/>
        <v>2095*127.2</v>
      </c>
      <c r="H23" s="68" t="str">
        <f t="shared" si="7"/>
        <v>2095*120.2</v>
      </c>
      <c r="I23" s="50">
        <f>IF('쪽쟘(실측)'!F23&gt;0,'쪽쟘(실측)'!F23-1.5,0)+뒷날개치수더함</f>
        <v>21.7</v>
      </c>
      <c r="J23" s="50">
        <f>IF('쪽쟘(실측)'!H23&gt;0,'쪽쟘(실측)'!H23-1.5,0)+뒷날개치수더함</f>
        <v>14.7</v>
      </c>
      <c r="K23" s="50">
        <f>IF('쪽쟘(실측)'!F23&gt;0,'쪽쟘(실측)'!F23+0,0)+뒷날개치수더함</f>
        <v>23.2</v>
      </c>
      <c r="L23" s="50">
        <f>IF('쪽쟘(실측)'!G23&gt;0,'쪽쟘(실측)'!G23+0,0)+뒷날개치수더함</f>
        <v>17.2</v>
      </c>
      <c r="M23" s="50">
        <f>IF('쪽쟘(실측)'!H23&gt;0,'쪽쟘(실측)'!H23+0,0)+뒷날개치수더함</f>
        <v>16.2</v>
      </c>
      <c r="N23" s="50">
        <f>IF('쪽쟘(실측)'!I23&gt;0,'쪽쟘(실측)'!I23+0,0)+뒷날개치수더함</f>
        <v>16.2</v>
      </c>
      <c r="O23" s="50">
        <f>'쪽쟘(실측)'!J23-쪽쟘기둥차감+2000</f>
        <v>2095</v>
      </c>
      <c r="P23" s="50">
        <f>'쪽쟘(실측)'!K23-쪽쟘기둥차감+2000</f>
        <v>2093</v>
      </c>
      <c r="Q23" s="50">
        <f>'쪽쟘(실측)'!L23-쪽쟘기둥차감+2000</f>
        <v>2095</v>
      </c>
      <c r="R23" s="50">
        <f>'쪽쟘(실측)'!M23-쪽쟘기둥차감+2000</f>
        <v>2093</v>
      </c>
      <c r="S23" s="50">
        <f>'쪽쟘(실측)'!N23+뒷날개치수더함</f>
        <v>23.2</v>
      </c>
      <c r="T23" s="50">
        <f>'쪽쟘(실측)'!O23+뒷날개치수더함</f>
        <v>23.2</v>
      </c>
      <c r="U23" s="50">
        <f>'쪽쟘(실측)'!P23+뒷날개치수더함</f>
        <v>26.2</v>
      </c>
      <c r="V23" s="50">
        <f>'쪽쟘(실측)'!Q23+뒷날개치수더함</f>
        <v>26.2</v>
      </c>
      <c r="W23" s="50">
        <f>'쪽쟘(실측)'!R23-쪽쟘늘치차감</f>
        <v>10</v>
      </c>
      <c r="X23" s="50">
        <f>'쪽쟘(실측)'!S23-쪽쟘늘치차감</f>
        <v>10</v>
      </c>
      <c r="Y23" s="4">
        <f>IF('쪽쟘(실측)'!T23&gt;5,'쪽쟘(실측)'!T23+뒷날개치수더함,0)</f>
        <v>16.2</v>
      </c>
      <c r="Z23" s="4">
        <f>'쪽쟘(실측)'!U23</f>
        <v>10</v>
      </c>
      <c r="AA23" s="4">
        <f>'쪽쟘(실측)'!V23</f>
        <v>10</v>
      </c>
      <c r="AC23">
        <f t="shared" si="8"/>
        <v>831.40000000000009</v>
      </c>
      <c r="AD23">
        <f t="shared" si="9"/>
        <v>128.20000000000002</v>
      </c>
      <c r="AE23">
        <f t="shared" si="2"/>
        <v>127.20000000000002</v>
      </c>
      <c r="AF23">
        <f t="shared" si="10"/>
        <v>2095</v>
      </c>
      <c r="AG23">
        <f t="shared" si="4"/>
        <v>120.20000000000002</v>
      </c>
      <c r="AH23">
        <f t="shared" si="11"/>
        <v>2095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3 M7:M23 S7:S23">
    <cfRule type="cellIs" dxfId="58" priority="4" operator="notEqual">
      <formula>L7</formula>
    </cfRule>
  </conditionalFormatting>
  <conditionalFormatting sqref="L7:L23 N7:N23 T7:T23">
    <cfRule type="cellIs" dxfId="57" priority="3" operator="notEqual">
      <formula>K7</formula>
    </cfRule>
  </conditionalFormatting>
  <conditionalFormatting sqref="Y7:AA23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301" t="str">
        <f>정보!B1&amp;" (제작치수 샤링작지) "&amp;정보!B6&amp;" 소장"</f>
        <v>(판매)광주 해광아파트-2차 (제작치수 샤링작지) 손상민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0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>
        <f>'쪽쟘(실측)'!A7</f>
        <v>0</v>
      </c>
      <c r="B7" s="50" t="str">
        <f>'쪽쟘(실측)'!B7&amp;"F"</f>
        <v>2F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/>
      </c>
      <c r="H7" s="68" t="str">
        <f>IF(OR(쪽쟘제작!N7&lt;&gt;쪽쟘제작!M7,쪽쟘제작!Q7&lt;&gt;쪽쟘제작!R7),"",AE7&amp;"*"&amp;AD7)</f>
        <v/>
      </c>
      <c r="I7" s="70">
        <f>IF('쪽쟘(실측)'!F7&gt;0,'쪽쟘(실측)'!F7+0.5,0)</f>
        <v>18.5</v>
      </c>
      <c r="J7" s="50">
        <f>IF('쪽쟘(실측)'!H7&gt;0,'쪽쟘(실측)'!H7+0.5,0)</f>
        <v>16.5</v>
      </c>
      <c r="K7" s="50">
        <f>IF('쪽쟘(실측)'!F7&gt;0,'쪽쟘(실측)'!F7+1.5,0)</f>
        <v>19.5</v>
      </c>
      <c r="L7" s="50">
        <f>IF('쪽쟘(실측)'!G7&gt;0,'쪽쟘(실측)'!G7+1.5,0)</f>
        <v>19.5</v>
      </c>
      <c r="M7" s="50">
        <f>IF('쪽쟘(실측)'!H7&gt;0,'쪽쟘(실측)'!H7+1.5,0)</f>
        <v>17.5</v>
      </c>
      <c r="N7" s="50">
        <f>IF('쪽쟘(실측)'!I7&gt;0,'쪽쟘(실측)'!I7+1.5,0)</f>
        <v>17.5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24.2</v>
      </c>
      <c r="T7" s="50">
        <f>'쪽쟘(실측)'!O7+1.2</f>
        <v>24.2</v>
      </c>
      <c r="U7" s="50">
        <f>'쪽쟘(실측)'!P7</f>
        <v>25</v>
      </c>
      <c r="V7" s="50">
        <f>'쪽쟘(실측)'!Q7</f>
        <v>25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>
      <c r="A8" s="50">
        <f>'쪽쟘(실측)'!A8</f>
        <v>0</v>
      </c>
      <c r="B8" s="50" t="str">
        <f>'쪽쟘(실측)'!B8&amp;"F"</f>
        <v>3F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/>
      </c>
      <c r="I8" s="70">
        <f>IF('쪽쟘(실측)'!F8&gt;0,'쪽쟘(실측)'!F8+0.5,0)</f>
        <v>10.5</v>
      </c>
      <c r="J8" s="50">
        <f>IF('쪽쟘(실측)'!H8&gt;0,'쪽쟘(실측)'!H8+0.5,0)</f>
        <v>19.5</v>
      </c>
      <c r="K8" s="50">
        <f>IF('쪽쟘(실측)'!F8&gt;0,'쪽쟘(실측)'!F8+1.5,0)</f>
        <v>11.5</v>
      </c>
      <c r="L8" s="50">
        <f>IF('쪽쟘(실측)'!G8&gt;0,'쪽쟘(실측)'!G8+1.5,0)</f>
        <v>11.5</v>
      </c>
      <c r="M8" s="50">
        <f>IF('쪽쟘(실측)'!H8&gt;0,'쪽쟘(실측)'!H8+1.5,0)</f>
        <v>20.5</v>
      </c>
      <c r="N8" s="50">
        <f>IF('쪽쟘(실측)'!I8&gt;0,'쪽쟘(실측)'!I8+1.5,0)</f>
        <v>13.5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25.2</v>
      </c>
      <c r="T8" s="50">
        <f>'쪽쟘(실측)'!O8+1.2</f>
        <v>19.2</v>
      </c>
      <c r="U8" s="50">
        <f>'쪽쟘(실측)'!P8</f>
        <v>25</v>
      </c>
      <c r="V8" s="50">
        <f>'쪽쟘(실측)'!Q8</f>
        <v>25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75" t="str">
        <f>정보!E2</f>
        <v>(SO와이드) 실측서 ( (판매)광주 해광아파트-2차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>
      <c r="A4" s="305" t="str">
        <f>정보!B10</f>
        <v>제작치수 반영 : MH + (1.2), JB/JD +(2.2 ),  늘어난치수K -(-2.2),  C + (4.4),   U + (4.4), OP - (0), R - (0),  기둥차감 - (0), A + (1.2)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07" t="str">
        <f>정보!F2</f>
        <v>(SO와이드) 제작변환 ( (판매)광주 해광아파트-2차 ) _손상민소장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4.4000000000000004</v>
      </c>
      <c r="U2" s="218"/>
      <c r="V2" s="165" t="s">
        <v>83</v>
      </c>
      <c r="W2" s="220"/>
      <c r="X2" s="220"/>
      <c r="Y2" s="221">
        <v>0</v>
      </c>
      <c r="Z2" s="221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0</v>
      </c>
      <c r="AO2" s="308"/>
      <c r="AP2" s="1"/>
      <c r="AQ2" s="309" t="s">
        <v>229</v>
      </c>
      <c r="AR2" s="310"/>
      <c r="AS2" s="311">
        <v>1.2</v>
      </c>
      <c r="AT2" s="311"/>
      <c r="AU2" s="1"/>
      <c r="AV2" s="1"/>
    </row>
    <row r="3" spans="1:66" ht="24.75" customHeight="1">
      <c r="A3" s="28" t="str">
        <f>'SO와이드(실측)'!A3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4.4000000000000004</v>
      </c>
      <c r="Q3" s="207"/>
      <c r="R3" s="217" t="s">
        <v>77</v>
      </c>
      <c r="S3" s="217"/>
      <c r="T3" s="224">
        <v>4.4000000000000004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1.2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327</v>
      </c>
      <c r="AT3" s="192"/>
      <c r="AU3" s="195">
        <f>AY7</f>
        <v>0</v>
      </c>
      <c r="AV3" s="196"/>
      <c r="BN3" s="178" t="s">
        <v>253</v>
      </c>
    </row>
    <row r="4" spans="1:66" ht="33" customHeight="1">
      <c r="A4" s="172" t="str">
        <f>정보!B10</f>
        <v>제작치수 반영 : MH + (1.2), JB/JD +(2.2 ),  늘어난치수K -(-2.2),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313</v>
      </c>
      <c r="AH4" s="306"/>
      <c r="AI4" s="256">
        <f>'SO와이드(실측)'!AA7</f>
        <v>0</v>
      </c>
      <c r="AJ4" s="256"/>
      <c r="AK4" s="185">
        <f ca="1">TODAY()</f>
        <v>45273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1.2</v>
      </c>
      <c r="D7" s="31">
        <f>'SO와이드(실측)'!D7+SO와이드MH더함-IF(AND(소장="추영덕",AB7=0),1.2)</f>
        <v>1.2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4.4000000000000004</v>
      </c>
      <c r="I7" s="50">
        <f>'SO와이드(실측)'!I7+SO와이드JBJD키움치수+IF(BN7=1,AI7,0)</f>
        <v>4.4000000000000004</v>
      </c>
      <c r="J7" s="50">
        <f>'SO와이드(실측)'!J7+MAX(AW7,AX7)+SO와이드JBJD키움치수+IF(BN7=1,AG7,0)</f>
        <v>4.4000000000000004</v>
      </c>
      <c r="K7" s="50">
        <f>'SO와이드(실측)'!J7+MAX(AW7,AX7)+SO와이드JBJD키움치수+IF(BN7=1,AH7,0)-IF(SO와이드JB하부늘치=1,'SO와이드(실측)'!AA7-'SO와이드(실측)'!AB7,0)</f>
        <v>4.4000000000000004</v>
      </c>
      <c r="L7" s="50">
        <f>'SO와이드(실측)'!K7+MAX(AW7,AX7)+SO와이드JBJD키움치수+IF(BN7=1,AI7,0)</f>
        <v>4.4000000000000004</v>
      </c>
      <c r="M7" s="50">
        <f>'SO와이드(실측)'!K7+MAX(AW7,AX7)+SO와이드JBJD키움치수+IF(BN7=1,AJ7,0)-IF(SO와이드JB하부늘치=1,'SO와이드(실측)'!AC7-'SO와이드(실측)'!AD7,0)</f>
        <v>4.4000000000000004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0</v>
      </c>
      <c r="Q7" s="31">
        <f t="shared" si="0"/>
        <v>0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</v>
      </c>
      <c r="U7" s="137">
        <f>ROUNDUP(BB7,1)</f>
        <v>0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3.2</v>
      </c>
      <c r="AD7" s="31">
        <f>'SO와이드(실측)'!X7+뒷날개치수더함</f>
        <v>1.2</v>
      </c>
      <c r="AE7" s="31">
        <f>'SO와이드(실측)'!Y7+뒷날개치수더함</f>
        <v>1.2</v>
      </c>
      <c r="AF7" s="31">
        <f>'SO와이드(실측)'!Z7+뒷날개치수더함</f>
        <v>1.2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1.2</v>
      </c>
      <c r="AL7" s="31">
        <f xml:space="preserve"> IF(소장&lt;&gt;"손상민",IF('SO와이드(실측)'!AF7&gt;0,'SO와이드(실측)'!AF7,D7-1.2),IF('SO와이드(실측)'!AF7&gt;0,'SO와이드(실측)'!AF7+1.2,D7) )</f>
        <v>1.2</v>
      </c>
      <c r="AM7" s="51">
        <f>IF(AC7&gt;0,AC7-MAX(T7,U7),0)</f>
        <v>3.2</v>
      </c>
      <c r="AN7" s="31" t="str">
        <f t="shared" ref="AN7" si="1">BF7&amp;"*"&amp;BG7</f>
        <v>0*2</v>
      </c>
      <c r="AO7" s="31" t="str">
        <f t="shared" ref="AO7" si="2">BI7&amp;"*"&amp;BH7</f>
        <v>1.2*3.2</v>
      </c>
      <c r="AP7" s="31" t="str">
        <f t="shared" ref="AP7" si="3">BK7&amp;"*"&amp;BJ7</f>
        <v>1.2*3.2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0</v>
      </c>
      <c r="AZ7" s="20">
        <f>DEGREES(ATAN((G7-(E7+F7))/2/(I7)))</f>
        <v>0</v>
      </c>
      <c r="BA7" s="21">
        <f>INT(ABS(H7-COS(RADIANS(AY7))*J7)*10)/10</f>
        <v>0</v>
      </c>
      <c r="BB7" s="21">
        <f>INT(ABS(I7-COS(RADIANS(AZ7))*L7)*10)/10</f>
        <v>0</v>
      </c>
      <c r="BC7" s="21">
        <f>'SO와이드(실측)'!N7+AW7</f>
        <v>0</v>
      </c>
      <c r="BD7" s="21">
        <f>'SO와이드(실측)'!O7+AW7</f>
        <v>0</v>
      </c>
      <c r="BE7" s="20">
        <f>BA7-MAX(BC7,BD7)</f>
        <v>0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2.0000000000000009</v>
      </c>
      <c r="BH7" s="41">
        <f>V7+R7+MAX(J7,K7)+AE7-1.2*$AP$3+IF(BN7=0,MAX(AH7,AG7),0)+IF(V7=0,1.2,0)-IF(AV7=90,2.4,0)</f>
        <v>3.2000000000000011</v>
      </c>
      <c r="BI7" s="41">
        <f>MAX(X7,Y7)+AK7</f>
        <v>1.2</v>
      </c>
      <c r="BJ7" s="41">
        <f>W7+S7+MAX(L7,M7)+AF7-1.2*$AP$3+IF(BN7=0,MAX(AI7,AJ7),0)+IF(W7=0,1.2,0)-IF(AV7=90,2.4,0)</f>
        <v>3.2000000000000011</v>
      </c>
      <c r="BK7" s="41">
        <f>MAX(Z7,AA7)+AL7</f>
        <v>1.2</v>
      </c>
      <c r="BL7" s="6">
        <f t="shared" ref="BL7" si="4">J7-H7-T7</f>
        <v>0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74" t="str">
        <f>정보!E3</f>
        <v>(SO멍텅구리) 실측서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(판매)광주 해광아파트-2차,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>
      <c r="A4" s="172" t="str">
        <f>정보!B14</f>
        <v>제작치수 반영 : JB/JD +(4.4 ),  늘어난치수K -(0),  C + (4.4),  U +(4.4), OP1/OP2 -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74" t="str">
        <f>정보!F3</f>
        <v>(SO멍텅구리) 제작변환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>
      <c r="A2" s="97" t="s">
        <v>85</v>
      </c>
      <c r="B2" s="140">
        <v>0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4.4000000000000004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0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>
      <c r="A3" s="33" t="str">
        <f>'SO멍텅(실측)'!A3</f>
        <v>현장명 : (판매)광주 해광아파트-2차,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4.4000000000000004</v>
      </c>
      <c r="L3" s="207"/>
      <c r="M3" s="207"/>
      <c r="N3" s="207"/>
      <c r="O3" s="217" t="s">
        <v>77</v>
      </c>
      <c r="P3" s="217"/>
      <c r="Q3" s="224">
        <v>4.4000000000000004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1.2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328</v>
      </c>
      <c r="AK3" s="252"/>
      <c r="AL3" s="199"/>
      <c r="AM3" s="338">
        <f>AR7</f>
        <v>0</v>
      </c>
      <c r="AN3" s="171"/>
      <c r="AO3" s="25"/>
      <c r="AP3" s="25"/>
      <c r="AQ3" s="24"/>
      <c r="AW3" s="24"/>
    </row>
    <row r="4" spans="1:58" ht="33" customHeight="1">
      <c r="A4" s="172" t="str">
        <f>'SO멍텅(실측)'!A4:AA4</f>
        <v>제작치수 반영 : JB/JD +(4.4 ),  늘어난치수K -(0),  C + (4.4),  U +(4.4), OP1/OP2 -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314</v>
      </c>
      <c r="AD4" s="336"/>
      <c r="AE4" s="337">
        <f>'SO멍텅(실측)'!W7</f>
        <v>0</v>
      </c>
      <c r="AF4" s="337"/>
      <c r="AG4" s="158"/>
      <c r="AH4" s="334">
        <f ca="1">TODAY()</f>
        <v>45273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4.4000000000000004</v>
      </c>
      <c r="G7" s="4">
        <f>'SO멍텅(실측)'!G7+MAX(AO7,AP7)+IF(BE7=1,AE7,0)+SO멍텅JBJD늘림치수</f>
        <v>4.4000000000000004</v>
      </c>
      <c r="H7" s="4">
        <f>'SO멍텅(실측)'!H7+AO7+IF(BE7=1,AC7,0)+SO멍텅JB강제키움+SO멍텅JBJD늘림치수</f>
        <v>4.4000000000000004</v>
      </c>
      <c r="I7" s="4">
        <f>'SO멍텅(실측)'!H7+AO7+IF(BE7=1,AD7,0)+SO멍텅JB강제키움+SO멍텅JBJD늘림치수-IF(SO멍텅JB하부늘치=1,'SO멍텅(실측)'!W7-'SO멍텅(실측)'!X7,0)</f>
        <v>4.4000000000000004</v>
      </c>
      <c r="J7" s="4">
        <f>'SO멍텅(실측)'!I7+AP7+IF(BE7=1,AE7,0)+SO멍텅JB강제키움+SO멍텅JBJD늘림치수</f>
        <v>4.4000000000000004</v>
      </c>
      <c r="K7" s="4">
        <f>'SO멍텅(실측)'!I7+AP7+IF(BE7=1,AF7,0)+SO멍텅JB강제키움+SO멍텅JBJD늘림치수-IF(SO멍텅JB하부늘치=1,'SO멍텅(실측)'!Y7-'SO멍텅(실측)'!Z7,0)</f>
        <v>4.4000000000000004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1</v>
      </c>
      <c r="O7" s="4">
        <f t="shared" si="0"/>
        <v>1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1.2</v>
      </c>
      <c r="AA7" s="4">
        <f>'SO멍텅(실측)'!U7+뒷날개치수더함</f>
        <v>1.2</v>
      </c>
      <c r="AB7" s="4">
        <f>'SO멍텅(실측)'!V7+뒷날개치수더함</f>
        <v>1.2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0*2</v>
      </c>
      <c r="AH7" s="12" t="str">
        <f t="shared" ref="AH7" si="2">AZ7&amp;"*"&amp;AY7</f>
        <v>0*3</v>
      </c>
      <c r="AI7" s="10" t="str">
        <f t="shared" ref="AI7" si="3">BB7&amp;"*"&amp;BA7</f>
        <v>0*3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0</v>
      </c>
      <c r="AS7" s="17">
        <f>DEGREES(ATAN((E7-(C7+D7))/2/(G7)))</f>
        <v>0</v>
      </c>
      <c r="AT7" s="36">
        <f>ABS(F7-COS(RADIANS(AR7))*H7)</f>
        <v>0</v>
      </c>
      <c r="AU7" s="36">
        <f>G7-COS(RADIANS(AS7))*J7</f>
        <v>0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2.0000000000000009</v>
      </c>
      <c r="AY7" s="3">
        <f>R7+P7+MAX(H7,I7)+AA7-1.2*$AI$3+IF(BE7=0,MAX(AC7,AD7))+IF(R7=0,1.2,0)-IF(AL7=90,2.4,0)</f>
        <v>3.0000000000000009</v>
      </c>
      <c r="AZ7" s="3">
        <f t="shared" ref="AZ7" si="5">MAX(T7,U7)</f>
        <v>0</v>
      </c>
      <c r="BA7" s="3">
        <f>S7+Q7+MAX(J7,K7)+AB7-1.2*$AI$3+IF(BE7=0,MAX(AE7,AF7))+IF(S7=0,1.2,0)-IF(AL7=90,2.4,0)</f>
        <v>3.0000000000000009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75" t="str">
        <f>정보!H2</f>
        <v>(4CO와이드) 실측서 ( (판매)광주 해광아파트-2차 ) _손상민소장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>
      <c r="A4" s="305" t="str">
        <f>정보!B15</f>
        <v>제작치수 반영 : MH + (1.2), JB/JD +(4.4 ),  늘어난치수K -(0),  C + (4.4),   U + (4.4), OP1/OP3 - (0), R - (0),  기둥차감 - (0), A + (1.2)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229" t="str">
        <f>정보!I2</f>
        <v>(4CO와이드) 제작변환 ( (판매)광주 해광아파트-2차 ) _손상민소장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4.4000000000000004</v>
      </c>
      <c r="W2" s="218"/>
      <c r="X2" s="283" t="s">
        <v>83</v>
      </c>
      <c r="Y2" s="225"/>
      <c r="Z2" s="225"/>
      <c r="AA2" s="221">
        <v>0</v>
      </c>
      <c r="AB2" s="221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0</v>
      </c>
      <c r="AP2" s="343"/>
      <c r="AQ2" s="1"/>
      <c r="AR2" s="309" t="s">
        <v>229</v>
      </c>
      <c r="AS2" s="310"/>
      <c r="AT2" s="311">
        <v>1.2</v>
      </c>
      <c r="AU2" s="311"/>
      <c r="AV2" s="1"/>
      <c r="AW2" s="1"/>
    </row>
    <row r="3" spans="1:66" ht="24.75" customHeight="1">
      <c r="A3" s="28" t="str">
        <f>'4CO와이드(실측)'!A3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4.4000000000000004</v>
      </c>
      <c r="S3" s="207"/>
      <c r="T3" s="217" t="s">
        <v>77</v>
      </c>
      <c r="U3" s="217"/>
      <c r="V3" s="224">
        <v>4.4000000000000004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1.2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329</v>
      </c>
      <c r="AU3" s="342"/>
      <c r="AV3" s="195">
        <f>AZ7</f>
        <v>0</v>
      </c>
      <c r="AW3" s="196"/>
      <c r="BN3" s="178" t="s">
        <v>253</v>
      </c>
    </row>
    <row r="4" spans="1:66" ht="33" customHeight="1">
      <c r="A4" s="172" t="str">
        <f>정보!B15</f>
        <v>제작치수 반영 : MH + (1.2), JB/JD +(4.4 ),  늘어난치수K -(0),  C + (4.4),   U + 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315</v>
      </c>
      <c r="AI4" s="341"/>
      <c r="AJ4" s="341">
        <f>'4CO와이드(실측)'!AB7</f>
        <v>0</v>
      </c>
      <c r="AK4" s="341"/>
      <c r="AL4" s="185">
        <f ca="1">TODAY()</f>
        <v>45273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1.2</v>
      </c>
      <c r="D7" s="31">
        <f>'4CO와이드(실측)'!D7+CO4와이드MH더함-IF(AND(소장="추영덕",AD7=0),1.2)</f>
        <v>1.2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4.4000000000000004</v>
      </c>
      <c r="J7" s="50">
        <f>'4CO와이드(실측)'!J7+CO4와이드JBJD키움치수+IF(BN7=1,MAX(AH7,AJ7),0)</f>
        <v>4.4000000000000004</v>
      </c>
      <c r="K7" s="50">
        <f>'4CO와이드(실측)'!K7+CO4와이드JBJD키움치수+IF(BN7=1,AJ7,0)</f>
        <v>4.4000000000000004</v>
      </c>
      <c r="L7" s="50">
        <f>'4CO와이드(실측)'!L7+MAX(AX7,AY7)+CO4와이드JBJD키움치수+IF(BN7=1,AH7,0)</f>
        <v>4.4000000000000004</v>
      </c>
      <c r="M7" s="50">
        <f>'4CO와이드(실측)'!L7+MAX(AX7,AY7)+CO4와이드JBJD키움치수+IF(BN7=1,AI7,0)-IF(CO4와이드JB하부늘치=1,'4CO와이드(실측)'!AB7-'4CO와이드(실측)'!AC7,0)</f>
        <v>4.4000000000000004</v>
      </c>
      <c r="N7" s="50">
        <f>'4CO와이드(실측)'!M7+MAX(AX7,AY7)+CO4와이드JBJD키움치수+IF(BN7=1,AJ7,0)</f>
        <v>4.4000000000000004</v>
      </c>
      <c r="O7" s="50">
        <f>'4CO와이드(실측)'!M7+MAX(AX7,AY7)+CO4와이드JBJD키움치수+IF(BN7=1,AK7,0)-IF(CO4와이드JB하부늘치=1,'4CO와이드(실측)'!AD7-'4CO와이드(실측)'!AE7,0)</f>
        <v>4.4000000000000004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0</v>
      </c>
      <c r="S7" s="31">
        <f t="shared" si="0"/>
        <v>0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3.2</v>
      </c>
      <c r="AF7" s="31">
        <f>'4CO와이드(실측)'!Z7+뒷날개치수더함</f>
        <v>1.2</v>
      </c>
      <c r="AG7" s="31">
        <f>'4CO와이드(실측)'!AA7+뒷날개치수더함</f>
        <v>1.2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1.2</v>
      </c>
      <c r="AM7" s="31">
        <f xml:space="preserve"> IF(소장&lt;&gt;"손상민",IF('4CO와이드(실측)'!AG7&gt;0,'4CO와이드(실측)'!AG7,D7-1.2),IF('4CO와이드(실측)'!AG7&gt;0,'4CO와이드(실측)'!AG7+1.2,D7))</f>
        <v>1.2</v>
      </c>
      <c r="AN7" s="51">
        <f>IF(AE7&gt;0,AE7-MAX(V7,W7),0)</f>
        <v>3.2</v>
      </c>
      <c r="AO7" s="31" t="str">
        <f t="shared" ref="AO7" si="1">BF7&amp;"*"&amp;BG7</f>
        <v>0*2</v>
      </c>
      <c r="AP7" s="31" t="str">
        <f t="shared" ref="AP7" si="2">BI7&amp;"*"&amp;BH7</f>
        <v>1.2*3.2</v>
      </c>
      <c r="AQ7" s="31" t="str">
        <f t="shared" ref="AQ7" si="3">BK7&amp;"*"&amp;BJ7</f>
        <v>1.2*3.2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2.0000000000000009</v>
      </c>
      <c r="BH7" s="41">
        <f>X7+T7+MAX(L7,M7)+AG7-1.2*$AQ$3+IF(BN7=0,MAX(AI7,AH7),0)+IF(X7=0,1.2,0)-IF(AW7=90,2.4,0)</f>
        <v>3.2000000000000011</v>
      </c>
      <c r="BI7" s="41">
        <f>MAX(Z7,AA7)+AL7</f>
        <v>1.2</v>
      </c>
      <c r="BJ7" s="41">
        <f>Y7+U7+MAX(N7,O7)+AG7-1.2*$AQ$3+IF(BN7=0,MAX(AJ7,AK7),0)+IF(Y7=0,1.2,0)-IF(AW7=90,2.4,0)</f>
        <v>3.2000000000000011</v>
      </c>
      <c r="BK7" s="41">
        <f>MAX(AB7,AC7)+AM7</f>
        <v>1.2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74" t="str">
        <f>정보!H3</f>
        <v>(4CO멍텅구리) 실측서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>
      <c r="A4" s="172" t="str">
        <f>정보!B16</f>
        <v>제작치수 반영 : JB/JD +(4.4 ),  늘어난치수K -(0),  C + (4.4),  U +(4.4),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74" t="str">
        <f>정보!I3</f>
        <v>(4CO멍텅구리) 제작변환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4.4000000000000004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>
      <c r="A3" s="33" t="str">
        <f>'4CO멍텅(실측)'!A3</f>
        <v>현장명 : (판매)광주 해광아파트-2차,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4.4000000000000004</v>
      </c>
      <c r="N3" s="100"/>
      <c r="O3" s="100"/>
      <c r="P3" s="100"/>
      <c r="Q3" s="258" t="s">
        <v>77</v>
      </c>
      <c r="R3" s="258"/>
      <c r="S3" s="270">
        <v>4.4000000000000004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1.2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330</v>
      </c>
      <c r="AL3" s="19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>
      <c r="A4" s="172" t="str">
        <f>'4CO멍텅(실측)'!A4:AB4</f>
        <v>제작치수 반영 : JB/JD +(4.4 ),  늘어난치수K -(0),  C + (4.4),  U +(4.4), OP1/OP3 -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313</v>
      </c>
      <c r="AE4" s="341"/>
      <c r="AF4" s="341">
        <f>'4CO멍텅(실측)'!X7</f>
        <v>0</v>
      </c>
      <c r="AG4" s="341"/>
      <c r="AH4" s="9"/>
      <c r="AI4" s="185">
        <f ca="1">TODAY()</f>
        <v>45273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4.4000000000000004</v>
      </c>
      <c r="H7" s="4">
        <f>'4CO멍텅(실측)'!H7+MAX(AP7,AQ7)+IF(BE7=1,MAX(AD7,AF7),0)+CO4멍텅JBJD늘림치수</f>
        <v>4.4000000000000004</v>
      </c>
      <c r="I7" s="4">
        <f>'4CO멍텅(실측)'!I7+MAX(AP7,AQ7)+IF(BE7=1,AF7,0)+CO4멍텅JBJD늘림치수</f>
        <v>4.4000000000000004</v>
      </c>
      <c r="J7" s="4">
        <f>'4CO멍텅(실측)'!J7+AP7+IF(BE7=1,AD7,0)+CO4멍텅JB강제키움+CO4멍텅JBJD늘림치수</f>
        <v>4.4000000000000004</v>
      </c>
      <c r="K7" s="4">
        <f>'4CO멍텅(실측)'!J7+AP7+IF(BE7=1,AE7,0)+CO4멍텅JB강제키움+CO4멍텅JBJD늘림치수-IF(CO4멍텅JB하부늘치=1,'4CO멍텅(실측)'!X7-'4CO멍텅(실측)'!Y7,0)</f>
        <v>4.4000000000000004</v>
      </c>
      <c r="L7" s="4">
        <f>'4CO멍텅(실측)'!K7+AQ7+IF(BE7=1,AF7,0)+CO4멍텅JB강제키움+CO4멍텅JBJD늘림치수</f>
        <v>4.4000000000000004</v>
      </c>
      <c r="M7" s="4">
        <f>'4CO멍텅(실측)'!K7+AQ7+IF(BE7=1,AG7,0)+CO4멍텅JB강제키움+CO4멍텅JBJD늘림치수-IF(CO4멍텅JB하부늘치=1,'4CO멍텅(실측)'!Z7-'4CO멍텅(실측)'!AA7,0)</f>
        <v>4.4000000000000004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1</v>
      </c>
      <c r="Q7" s="4">
        <f t="shared" si="0"/>
        <v>1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1.2</v>
      </c>
      <c r="AC7" s="4">
        <f>'4CO멍텅(실측)'!W7+뒷날개치수더함</f>
        <v>1.2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0*2</v>
      </c>
      <c r="AI7" s="12" t="str">
        <f t="shared" ref="AI7" si="2">AZ7&amp;"*"&amp;AY7</f>
        <v>0*3</v>
      </c>
      <c r="AJ7" s="10" t="str">
        <f t="shared" ref="AJ7" si="3">BB7&amp;"*"&amp;BA7</f>
        <v>0*3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2.0000000000000009</v>
      </c>
      <c r="AY7" s="3">
        <f>T7+R7+MAX(J7,K7)+AC7-1.2*$AJ$3+IF(BE7=0,MAX(AD7,AE7))+IF(T7=0,1.2,0)-IF(AM7=90,2.4,0)</f>
        <v>3.0000000000000009</v>
      </c>
      <c r="AZ7" s="3">
        <f t="shared" ref="AZ7" si="7">MAX(V7,W7)</f>
        <v>0</v>
      </c>
      <c r="BA7" s="3">
        <f>U7+S7+MAX(L7,M7)+AC7-1.2*$AJ$3+IF(BE7=0,MAX(AF7,AG7))+IF(U7=0,1.2,0)-IF(AM7=90,2.4,0)</f>
        <v>3.0000000000000009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74" t="str">
        <f>정보!K2</f>
        <v>(2UP) 실측서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(판매)광주 해광아파트-2차,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>
      <c r="A4" s="172" t="str">
        <f>정보!B17</f>
        <v>제작치수 반영 : JB/JD +(4.4 ),  늘어난치수K -(0),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74" t="str">
        <f>정보!L2</f>
        <v>(2UP) 제작변환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4.4000000000000004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>
      <c r="A3" s="33" t="str">
        <f>'2UP(실측)'!A3</f>
        <v>현장명 : (판매)광주 해광아파트-2차,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4.4000000000000004</v>
      </c>
      <c r="K3" s="269"/>
      <c r="L3" s="269"/>
      <c r="M3" s="269"/>
      <c r="N3" s="258" t="s">
        <v>77</v>
      </c>
      <c r="O3" s="258"/>
      <c r="P3" s="270">
        <v>4.4000000000000004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1.2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331</v>
      </c>
      <c r="AK3" s="199"/>
      <c r="AL3" s="160">
        <f>AO7</f>
        <v>0</v>
      </c>
      <c r="AM3" s="25"/>
      <c r="AN3" s="24"/>
      <c r="AS3" s="24"/>
    </row>
    <row r="4" spans="1:54" ht="33" customHeight="1">
      <c r="A4" s="349" t="str">
        <f>'2UP(실측)'!A4:AB4</f>
        <v>제작치수 반영 : JB/JD +(4.4 ),  늘어난치수K -(0),  C + (4.4),   U + (4.4), OP - (0), R - (0),  기둥차감 - (0), A + (1.2)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332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45273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4.4000000000000004</v>
      </c>
      <c r="F7" s="4">
        <f>'2UP(실측)'!F7+MAX(AL7,AM7)+IF(BA7=1,AE7,0)+UP2멍텅JBJD늘림치수</f>
        <v>4.4000000000000004</v>
      </c>
      <c r="G7" s="4">
        <f>'2UP(실측)'!G7+AL7+IF(BA7=1,AC7,0)+UP2멍텅JB강제키움+UP2멍텅JBJD늘림치수</f>
        <v>4.4000000000000004</v>
      </c>
      <c r="H7" s="4">
        <f>'2UP(실측)'!H7+AL7+IF(BA7=1,AD7,0)+UP2멍텅JB강제키움+UP2멍텅JBJD늘림치수-IF(UP2멍텅JB하부늘치=1,'2UP(실측)'!Y7-'2UP(실측)'!Z7,0)</f>
        <v>4.4000000000000004</v>
      </c>
      <c r="I7" s="4">
        <f>'2UP(실측)'!I7+AM7+IF(BA7=1,AE7,0)+UP2멍텅JB강제키움+UP2멍텅JBJD늘림치수</f>
        <v>4.4000000000000004</v>
      </c>
      <c r="J7" s="4">
        <f>'2UP(실측)'!J7+AM7+IF(BA7=1,AF7,0)+UP2멍텅JB강제키움+UP2멍텅JBJD늘림치수-IF(UP2멍텅JB하부늘치=1,'2UP(실측)'!AA7-'2UP(실측)'!AB7,0)</f>
        <v>4.4000000000000004</v>
      </c>
      <c r="K7" s="103">
        <f>H7-G7</f>
        <v>0</v>
      </c>
      <c r="L7" s="103">
        <f>J7-I7</f>
        <v>0</v>
      </c>
      <c r="M7" s="4">
        <f t="shared" ref="M7:N7" si="0">O7+IF(소장="손상민",0,-1.5)</f>
        <v>1</v>
      </c>
      <c r="N7" s="4">
        <f t="shared" si="0"/>
        <v>1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1.2</v>
      </c>
      <c r="AB7" s="4">
        <f>'2UP(실측)'!X7+뒷날개치수더함</f>
        <v>1.2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0*3.2</v>
      </c>
      <c r="AH7" s="12" t="str">
        <f t="shared" ref="AH7" si="2">AV7&amp;"*"&amp;AU7</f>
        <v>0*3</v>
      </c>
      <c r="AI7" s="10" t="str">
        <f t="shared" ref="AI7" si="3">AX7&amp;"*"&amp;AW7</f>
        <v>0*3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3.2000000000000011</v>
      </c>
      <c r="AU7" s="3">
        <f>Q7+O7+MAX(G7,H7)+AB7-1.2*$AI$3+IF(BA7=0,MAX(AC7,AD7))+IF(Q7=0,1.2,0)</f>
        <v>3.0000000000000009</v>
      </c>
      <c r="AV7" s="3">
        <f>MAX(S7,T7+U7)</f>
        <v>0</v>
      </c>
      <c r="AW7" s="3">
        <f>R7+P7+MAX(I7,J7)+AB7-1.2*$AI$3+IF(BA7=0,MAX(AE7,AF7))+IF(R7=0,1.2,0)</f>
        <v>3.0000000000000009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0" t="str">
        <f>정보!K3</f>
        <v>(3UP) 실측서 ( (판매)광주 해광아파트-2차 ) _손상민소장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(판매)광주 해광아파트-2차,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>
      <c r="A4" s="172" t="str">
        <f>정보!B18</f>
        <v>제작치수 반영 : JB/JD +(4.4 ),  늘어난치수K -(0),  C + (4.4),   U + (4.4), OP - (0), R - (0),  기둥차감 - (0), A + (1.2)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74" t="str">
        <f>정보!L3</f>
        <v>(3UP) 제작변환 ( (판매)광주 해광아파트-2차 ) _손상민소장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4.4000000000000004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>
      <c r="A3" s="33" t="str">
        <f>'3UP(실측)'!A3</f>
        <v>현장명 : (판매)광주 해광아파트-2차,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4.4000000000000004</v>
      </c>
      <c r="M3" s="269"/>
      <c r="N3" s="269"/>
      <c r="O3" s="269"/>
      <c r="P3" s="258" t="s">
        <v>77</v>
      </c>
      <c r="Q3" s="258"/>
      <c r="R3" s="270">
        <v>4.4000000000000004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1.2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327</v>
      </c>
      <c r="AQ3" s="362"/>
      <c r="AR3" s="160">
        <f>AU7</f>
        <v>0</v>
      </c>
      <c r="AS3" s="25"/>
      <c r="AT3" s="24"/>
      <c r="AY3" s="24"/>
    </row>
    <row r="4" spans="1:60" ht="33" customHeight="1">
      <c r="A4" s="349" t="str">
        <f>'3UP(실측)'!A4:AH4</f>
        <v>제작치수 반영 : JB/JD +(4.4 ),  늘어난치수K -(0),  C + (4.4),   U + (4.4), OP - (0), R - (0),  기둥차감 - (0), A + (1.2)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333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45273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4.4000000000000004</v>
      </c>
      <c r="F7" s="4">
        <f>'3UP(실측)'!F7+MAX(AR7,AS7)+IF(BG7=1,AJ7,0)+UP3멍텅JBJD늘림치수</f>
        <v>4.4000000000000004</v>
      </c>
      <c r="G7" s="4">
        <f>'3UP(실측)'!G7+AR7+IF(BG7=1,AG7,0)+UP3멍텅JB강제키움+UP3멍텅JBJD늘림치수</f>
        <v>4.4000000000000004</v>
      </c>
      <c r="H7" s="4">
        <f>'3UP(실측)'!H7+AR7+IF(BG7=1,AH7,0)+UP3멍텅JB강제키움+UP3멍텅JBJD늘림치수-IF(UP3멍텅JB하부늘치=1,'3UP(실측)'!AC7-'3UP(실측)'!AD7,0)</f>
        <v>4.4000000000000004</v>
      </c>
      <c r="I7" s="4">
        <f>'3UP(실측)'!I7+AR7+IF(BG7=1,AI7,0)+UP3멍텅JB강제키움+UP3멍텅JBJD늘림치수-IF(UP3멍텅JB하부늘치=1,'3UP(실측)'!AC7-'3UP(실측)'!AE7,0)</f>
        <v>4.4000000000000004</v>
      </c>
      <c r="J7" s="4">
        <f>'3UP(실측)'!J7+AS7+IF(BG7=1,AJ7,0)+UP3멍텅JB강제키움+UP3멍텅JBJD늘림치수</f>
        <v>4.4000000000000004</v>
      </c>
      <c r="K7" s="4">
        <f>'3UP(실측)'!K7+AS7+IF(BG7=1,AK7,0)+UP3멍텅JB강제키움+UP3멍텅JBJD늘림치수-IF(UP3멍텅JB하부늘치=1,'3UP(실측)'!AF7-'3UP(실측)'!AG7,0)</f>
        <v>4.4000000000000004</v>
      </c>
      <c r="L7" s="4">
        <f>'3UP(실측)'!L7+AS7+IF(BG7=1,AL7,0)+UP3멍텅JB강제키움+UP3멍텅JBJD늘림치수-IF(UP3멍텅JB하부늘치=1,'3UP(실측)'!AF7-'3UP(실측)'!AH7,0)</f>
        <v>4.4000000000000004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1</v>
      </c>
      <c r="P7" s="4">
        <f t="shared" si="0"/>
        <v>1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1.2</v>
      </c>
      <c r="AF7" s="4">
        <f>'3UP(실측)'!AB7+뒷날개치수더함</f>
        <v>1.2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0*3.2</v>
      </c>
      <c r="AN7" s="12" t="str">
        <f t="shared" ref="AN7" si="2">BB7&amp;"*"&amp;BA7</f>
        <v>0*3</v>
      </c>
      <c r="AO7" s="10" t="str">
        <f t="shared" ref="AO7" si="3">BD7&amp;"*"&amp;BC7</f>
        <v>0*3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3.2000000000000011</v>
      </c>
      <c r="BA7" s="3">
        <f>S7+Q7+MAX(G7,I7)+AF7-1.2*$AO$3+IF(BG7=0,MAX(AG7,AI7))+IF(S7=0,1.2,0)</f>
        <v>3.0000000000000009</v>
      </c>
      <c r="BB7" s="3">
        <f>MAX(U7,V7+W7+X7)</f>
        <v>0</v>
      </c>
      <c r="BC7" s="3">
        <f>T7+R7+MAX(J7,L7)+AF7-1.2*$AO$3+IF(BG7=0,MAX(AJ7,AL7))+IF(T7=0,1.2,0)</f>
        <v>3.0000000000000009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2023-12-13T08:56:38Z</dcterms:modified>
</cp:coreProperties>
</file>