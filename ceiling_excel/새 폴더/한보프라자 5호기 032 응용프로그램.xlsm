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7CA1D87D-F5C8-4D82-9102-F21E81736269}" xr6:coauthVersionLast="47" xr6:coauthVersionMax="47" xr10:uidLastSave="{00000000-0000-0000-0000-000000000000}"/>
  <bookViews>
    <workbookView xWindow="-28920" yWindow="-120" windowWidth="29040" windowHeight="15840" tabRatio="866" xr2:uid="{00000000-000D-0000-FFFF-FFFF00000000}"/>
  </bookViews>
  <sheets>
    <sheet name="발주(수정)" sheetId="1" r:id="rId1"/>
    <sheet name="DATA" sheetId="2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2" l="1"/>
  <c r="B44" i="2"/>
  <c r="B43" i="2"/>
  <c r="B42" i="2"/>
  <c r="A19" i="2"/>
  <c r="L16" i="1"/>
  <c r="G16" i="1"/>
  <c r="D16" i="1"/>
  <c r="A16" i="1"/>
  <c r="J8" i="1"/>
  <c r="V6" i="1"/>
  <c r="P3" i="1"/>
</calcChain>
</file>

<file path=xl/sharedStrings.xml><?xml version="1.0" encoding="utf-8"?>
<sst xmlns="http://schemas.openxmlformats.org/spreadsheetml/2006/main" count="130" uniqueCount="116">
  <si>
    <t>작성일</t>
  </si>
  <si>
    <t>노출형</t>
  </si>
  <si>
    <t>A타입</t>
  </si>
  <si>
    <t>적용</t>
  </si>
  <si>
    <t>미적용</t>
  </si>
  <si>
    <t>인승</t>
  </si>
  <si>
    <t>무</t>
  </si>
  <si>
    <t>B타입</t>
  </si>
  <si>
    <t>2CO</t>
  </si>
  <si>
    <t>C타입</t>
  </si>
  <si>
    <t>세로</t>
  </si>
  <si>
    <t>일렬봉</t>
  </si>
  <si>
    <t>기타</t>
  </si>
  <si>
    <t>바타입</t>
  </si>
  <si>
    <t>&lt;6&gt;</t>
  </si>
  <si>
    <t>안현섭</t>
  </si>
  <si>
    <t>AS</t>
  </si>
  <si>
    <t>EE</t>
  </si>
  <si>
    <t>작성자</t>
  </si>
  <si>
    <t>노컷</t>
  </si>
  <si>
    <t>측면부</t>
  </si>
  <si>
    <t>SO</t>
  </si>
  <si>
    <t>수량</t>
  </si>
  <si>
    <t>011</t>
  </si>
  <si>
    <t>012</t>
  </si>
  <si>
    <t>038</t>
  </si>
  <si>
    <t>관통</t>
  </si>
  <si>
    <t>일방</t>
  </si>
  <si>
    <t>LH</t>
  </si>
  <si>
    <t>아님</t>
  </si>
  <si>
    <t>037</t>
  </si>
  <si>
    <t>035</t>
  </si>
  <si>
    <t>후면부</t>
  </si>
  <si>
    <t>CW</t>
  </si>
  <si>
    <t>013</t>
  </si>
  <si>
    <t>있음</t>
  </si>
  <si>
    <t>전면부</t>
  </si>
  <si>
    <t>N20</t>
  </si>
  <si>
    <t>CD</t>
  </si>
  <si>
    <t>026</t>
  </si>
  <si>
    <t>017</t>
  </si>
  <si>
    <t>036</t>
  </si>
  <si>
    <t>034</t>
  </si>
  <si>
    <t>4CO</t>
  </si>
  <si>
    <t>031</t>
  </si>
  <si>
    <t>032</t>
  </si>
  <si>
    <t>납기</t>
  </si>
  <si>
    <t>&lt;2,4,8,10&gt;</t>
  </si>
  <si>
    <t>OP
(출입구 폭)</t>
  </si>
  <si>
    <t>기본 Material</t>
  </si>
  <si>
    <t>마리솔루션 타입</t>
  </si>
  <si>
    <t>연신율계산 가로</t>
  </si>
  <si>
    <t>엘리베이터
기본 사양</t>
  </si>
  <si>
    <t>장공위치(끝이격)</t>
  </si>
  <si>
    <t>L/C 중판 재질</t>
  </si>
  <si>
    <t>L/C 사양 설정</t>
  </si>
  <si>
    <t>전면, 후면은 좌에서 우 방향, 측면은 상부에서 하부방향으로 기록,
 비상등 위치 기준 좌우 40mm이격</t>
  </si>
  <si>
    <t>EMCC DOT 반매립형412x83</t>
  </si>
  <si>
    <t>EMCC매립형301x58x420간격</t>
  </si>
  <si>
    <t>EMCC매립형301x60x420간격</t>
  </si>
  <si>
    <t>세화정공 센터에서 따임위치(헤더)</t>
  </si>
  <si>
    <t>Inside에서 Sill 거리</t>
  </si>
  <si>
    <t>EMCC 반매립형 505x128</t>
  </si>
  <si>
    <t>세로 380, 가로 90 고정치수</t>
  </si>
  <si>
    <t>판넬 두께(25~30)</t>
  </si>
  <si>
    <t>목양산업 매립형302x62</t>
  </si>
  <si>
    <t>CAR inside 수동</t>
  </si>
  <si>
    <t>판넬 조립도 장공위치 지정</t>
  </si>
  <si>
    <t>아이엘리베이터 매립형 260 X 80 420간격</t>
  </si>
  <si>
    <t>이티에스원 매립형 250 X 60 440간격</t>
  </si>
  <si>
    <t>이티에스원 매립형 190 X 50 440간격</t>
  </si>
  <si>
    <t>아이엘리베이터 매립형 260 X 60 420간격</t>
  </si>
  <si>
    <t>신영기전 매립형 240 X 55 370간격</t>
  </si>
  <si>
    <t>주원테크 매립형 250 X 55 370간격</t>
  </si>
  <si>
    <t>목양산업 노출형 290 X 80 337간격</t>
  </si>
  <si>
    <t>D366C003_CPI-DD03_막판형</t>
  </si>
  <si>
    <t>미래기업 천장/LC 자동작도 프로그램 정보</t>
  </si>
  <si>
    <t>열림방식</t>
  </si>
  <si>
    <t>현 장 명</t>
  </si>
  <si>
    <t>&lt;5,7&gt;</t>
  </si>
  <si>
    <t>에이스코리아</t>
  </si>
  <si>
    <t>방화도어</t>
  </si>
  <si>
    <t>업 체 명</t>
  </si>
  <si>
    <t>수량 (대수)</t>
  </si>
  <si>
    <t>이노에스템</t>
  </si>
  <si>
    <t>헤더 사양</t>
  </si>
  <si>
    <t>COP 적용</t>
  </si>
  <si>
    <t>HOP 적용</t>
  </si>
  <si>
    <t>일반도어</t>
  </si>
  <si>
    <t>세화정공</t>
  </si>
  <si>
    <t>핸드레일홀</t>
  </si>
  <si>
    <t>1.5T</t>
  </si>
  <si>
    <t>1.2T</t>
  </si>
  <si>
    <t>PO 2.3T</t>
  </si>
  <si>
    <t>Vcut</t>
  </si>
  <si>
    <t>&lt;3,9&gt;</t>
  </si>
  <si>
    <t>판넬정보</t>
  </si>
  <si>
    <t>LH유무</t>
  </si>
  <si>
    <t>013D</t>
  </si>
  <si>
    <t>CW(후면)</t>
  </si>
  <si>
    <t>LC 모델</t>
  </si>
  <si>
    <t>CW(전면)</t>
  </si>
  <si>
    <t>비상구 가로</t>
  </si>
  <si>
    <t>상부이격 치수</t>
  </si>
  <si>
    <t>15인승</t>
  </si>
  <si>
    <t>비상구 세로</t>
  </si>
  <si>
    <t>일방/관통</t>
  </si>
  <si>
    <t>비상구 유무</t>
  </si>
  <si>
    <t>본천장분할</t>
  </si>
  <si>
    <t>좌측 이격치수</t>
  </si>
  <si>
    <t>정일산업</t>
  </si>
  <si>
    <t>펜 위치 정보</t>
  </si>
  <si>
    <t>비상등위치</t>
  </si>
  <si>
    <t>L/C 재질</t>
  </si>
  <si>
    <t>동양엘레베이터</t>
    <phoneticPr fontId="10" type="noConversion"/>
  </si>
  <si>
    <t>한보프라자 교체공사 N20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</si>
</sst>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11" x14ac:knownFonts="1">
    <font>
      <sz val="11"/>
      <color rgb="FF000000"/>
      <name val="맑은 고딕"/>
    </font>
    <font>
      <b/>
      <sz val="10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10"/>
      <color rgb="FF7030A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rgb="FF4472C4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8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C6E0B3"/>
        <bgColor indexed="64"/>
      </patternFill>
    </fill>
    <fill>
      <patternFill patternType="solid">
        <fgColor rgb="FFB4C6E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>
      <alignment vertical="center"/>
    </xf>
    <xf numFmtId="0" fontId="1" fillId="3" borderId="0" xfId="0" applyFont="1" applyFill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49" fontId="0" fillId="5" borderId="0" xfId="0" quotePrefix="1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14" fontId="1" fillId="0" borderId="7" xfId="0" applyNumberFormat="1" applyFont="1" applyBorder="1" applyAlignment="1" applyProtection="1">
      <alignment horizontal="center" vertical="center"/>
      <protection locked="0"/>
    </xf>
    <xf numFmtId="14" fontId="1" fillId="0" borderId="2" xfId="0" applyNumberFormat="1" applyFont="1" applyBorder="1" applyProtection="1">
      <alignment vertical="center"/>
      <protection locked="0"/>
    </xf>
    <xf numFmtId="0" fontId="1" fillId="6" borderId="1" xfId="0" applyFont="1" applyFill="1" applyBorder="1" applyProtection="1">
      <alignment vertical="center"/>
      <protection locked="0"/>
    </xf>
    <xf numFmtId="14" fontId="1" fillId="0" borderId="4" xfId="0" applyNumberFormat="1" applyFont="1" applyBorder="1" applyProtection="1">
      <alignment vertical="center"/>
      <protection locked="0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3" borderId="5" xfId="0" applyFont="1" applyFill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3" xfId="0" applyNumberFormat="1" applyFont="1" applyFill="1" applyBorder="1" applyAlignment="1" applyProtection="1">
      <alignment horizontal="center" vertical="center"/>
      <protection locked="0"/>
    </xf>
    <xf numFmtId="14" fontId="1" fillId="6" borderId="5" xfId="0" applyNumberFormat="1" applyFont="1" applyFill="1" applyBorder="1" applyAlignment="1" applyProtection="1">
      <alignment horizontal="center" vertical="center"/>
      <protection locked="0"/>
    </xf>
    <xf numFmtId="14" fontId="1" fillId="6" borderId="6" xfId="0" applyNumberFormat="1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14" fontId="1" fillId="6" borderId="10" xfId="0" applyNumberFormat="1" applyFont="1" applyFill="1" applyBorder="1" applyAlignment="1" applyProtection="1">
      <alignment horizontal="center" vertical="center"/>
      <protection locked="0"/>
    </xf>
    <xf numFmtId="14" fontId="1" fillId="6" borderId="11" xfId="0" applyNumberFormat="1" applyFont="1" applyFill="1" applyBorder="1" applyAlignment="1" applyProtection="1">
      <alignment horizontal="center" vertical="center"/>
      <protection locked="0"/>
    </xf>
    <xf numFmtId="14" fontId="1" fillId="6" borderId="12" xfId="0" applyNumberFormat="1" applyFont="1" applyFill="1" applyBorder="1" applyAlignment="1" applyProtection="1">
      <alignment horizontal="center" vertical="center"/>
      <protection locked="0"/>
    </xf>
    <xf numFmtId="14" fontId="1" fillId="6" borderId="13" xfId="0" applyNumberFormat="1" applyFont="1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/>
    </xf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6" fillId="3" borderId="20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14" fontId="7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8" fillId="3" borderId="20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70AD47"/>
    <pageSetUpPr fitToPage="1"/>
  </sheetPr>
  <dimension ref="A1:Y21"/>
  <sheetViews>
    <sheetView tabSelected="1" zoomScaleNormal="100" zoomScaleSheetLayoutView="75" workbookViewId="0">
      <selection activeCell="W7" sqref="W7:X7"/>
    </sheetView>
  </sheetViews>
  <sheetFormatPr defaultColWidth="9"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x14ac:dyDescent="0.3">
      <c r="A1" s="31" t="s">
        <v>76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34.5" customHeight="1" x14ac:dyDescent="0.3">
      <c r="A2" s="32" t="s">
        <v>82</v>
      </c>
      <c r="B2" s="24"/>
      <c r="C2" s="24"/>
      <c r="D2" s="34" t="s">
        <v>114</v>
      </c>
      <c r="E2" s="34"/>
      <c r="F2" s="34"/>
      <c r="G2" s="34"/>
      <c r="H2" s="34"/>
      <c r="I2" s="34"/>
      <c r="J2" s="34"/>
      <c r="K2" s="34"/>
      <c r="L2" s="34"/>
      <c r="M2" s="24" t="s">
        <v>18</v>
      </c>
      <c r="N2" s="24"/>
      <c r="O2" s="24"/>
      <c r="P2" s="40" t="s">
        <v>15</v>
      </c>
      <c r="Q2" s="41"/>
      <c r="R2" s="17"/>
      <c r="S2" s="40"/>
      <c r="T2" s="41"/>
      <c r="U2" s="22" t="s">
        <v>106</v>
      </c>
      <c r="V2" s="22"/>
      <c r="W2" s="26" t="s">
        <v>27</v>
      </c>
      <c r="X2" s="26"/>
      <c r="Y2" s="27"/>
    </row>
    <row r="3" spans="1:25" ht="34.5" customHeight="1" x14ac:dyDescent="0.3">
      <c r="A3" s="33" t="s">
        <v>78</v>
      </c>
      <c r="B3" s="30"/>
      <c r="C3" s="30"/>
      <c r="D3" s="35" t="s">
        <v>115</v>
      </c>
      <c r="E3" s="35"/>
      <c r="F3" s="35"/>
      <c r="G3" s="35"/>
      <c r="H3" s="35"/>
      <c r="I3" s="35"/>
      <c r="J3" s="35"/>
      <c r="K3" s="35"/>
      <c r="L3" s="35"/>
      <c r="M3" s="30" t="s">
        <v>0</v>
      </c>
      <c r="N3" s="30"/>
      <c r="O3" s="30"/>
      <c r="P3" s="36">
        <f ca="1">TODAY()</f>
        <v>45514</v>
      </c>
      <c r="Q3" s="37"/>
      <c r="R3" s="16" t="s">
        <v>46</v>
      </c>
      <c r="S3" s="38">
        <v>45481</v>
      </c>
      <c r="T3" s="39"/>
      <c r="U3" s="23"/>
      <c r="V3" s="23"/>
      <c r="W3" s="28"/>
      <c r="X3" s="28"/>
      <c r="Y3" s="29"/>
    </row>
    <row r="4" spans="1:25" ht="9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1:25" ht="37.5" customHeight="1" x14ac:dyDescent="0.3">
      <c r="A5" s="44" t="s">
        <v>52</v>
      </c>
      <c r="B5" s="24"/>
      <c r="C5" s="24"/>
      <c r="D5" s="24" t="s">
        <v>77</v>
      </c>
      <c r="E5" s="24"/>
      <c r="F5" s="24"/>
      <c r="G5" s="24" t="s">
        <v>5</v>
      </c>
      <c r="H5" s="24"/>
      <c r="I5" s="24"/>
      <c r="J5" s="20" t="s">
        <v>83</v>
      </c>
      <c r="K5" s="24"/>
      <c r="L5" s="24"/>
      <c r="M5" s="20" t="s">
        <v>48</v>
      </c>
      <c r="N5" s="24"/>
      <c r="O5" s="24"/>
      <c r="P5" s="20" t="s">
        <v>17</v>
      </c>
      <c r="Q5" s="24"/>
      <c r="R5" s="24"/>
      <c r="S5" s="20" t="s">
        <v>16</v>
      </c>
      <c r="T5" s="24"/>
      <c r="U5" s="24"/>
      <c r="V5" s="20" t="s">
        <v>60</v>
      </c>
      <c r="W5" s="20"/>
      <c r="X5" s="20"/>
      <c r="Y5" s="21"/>
    </row>
    <row r="6" spans="1:25" ht="37.5" customHeight="1" x14ac:dyDescent="0.3">
      <c r="A6" s="45"/>
      <c r="B6" s="43"/>
      <c r="C6" s="43"/>
      <c r="D6" s="42" t="s">
        <v>8</v>
      </c>
      <c r="E6" s="42"/>
      <c r="F6" s="42"/>
      <c r="G6" s="42" t="s">
        <v>104</v>
      </c>
      <c r="H6" s="42"/>
      <c r="I6" s="42"/>
      <c r="J6" s="42">
        <v>1</v>
      </c>
      <c r="K6" s="42"/>
      <c r="L6" s="42"/>
      <c r="M6" s="42">
        <v>900</v>
      </c>
      <c r="N6" s="42"/>
      <c r="O6" s="42"/>
      <c r="P6" s="42">
        <v>790</v>
      </c>
      <c r="Q6" s="42"/>
      <c r="R6" s="42"/>
      <c r="S6" s="42">
        <v>1670</v>
      </c>
      <c r="T6" s="42"/>
      <c r="U6" s="42"/>
      <c r="V6" s="42" t="str">
        <f>IF(ISERROR(SEARCH("세화",P8)),"",OP/2-23)</f>
        <v/>
      </c>
      <c r="W6" s="42"/>
      <c r="X6" s="42"/>
      <c r="Y6" s="68"/>
    </row>
    <row r="7" spans="1:25" ht="37.5" customHeight="1" x14ac:dyDescent="0.3">
      <c r="A7" s="45" t="s">
        <v>49</v>
      </c>
      <c r="B7" s="43"/>
      <c r="C7" s="43"/>
      <c r="D7" s="53" t="s">
        <v>93</v>
      </c>
      <c r="E7" s="53"/>
      <c r="F7" s="53"/>
      <c r="G7" s="43" t="s">
        <v>64</v>
      </c>
      <c r="H7" s="43"/>
      <c r="I7" s="43"/>
      <c r="J7" s="15">
        <v>25</v>
      </c>
      <c r="K7" s="54" t="s">
        <v>97</v>
      </c>
      <c r="L7" s="54"/>
      <c r="M7" s="15" t="s">
        <v>29</v>
      </c>
      <c r="N7" s="43" t="s">
        <v>107</v>
      </c>
      <c r="O7" s="43"/>
      <c r="P7" s="15"/>
      <c r="Q7" s="43" t="s">
        <v>102</v>
      </c>
      <c r="R7" s="43"/>
      <c r="S7" s="18">
        <v>700</v>
      </c>
      <c r="T7" s="43" t="s">
        <v>105</v>
      </c>
      <c r="U7" s="43"/>
      <c r="V7" s="18">
        <v>500</v>
      </c>
      <c r="W7" s="43"/>
      <c r="X7" s="43"/>
      <c r="Y7" s="19"/>
    </row>
    <row r="8" spans="1:25" ht="37.5" customHeight="1" x14ac:dyDescent="0.3">
      <c r="A8" s="33" t="s">
        <v>53</v>
      </c>
      <c r="B8" s="30"/>
      <c r="C8" s="30"/>
      <c r="D8" s="35">
        <v>12</v>
      </c>
      <c r="E8" s="35"/>
      <c r="F8" s="35"/>
      <c r="G8" s="30" t="s">
        <v>61</v>
      </c>
      <c r="H8" s="30"/>
      <c r="I8" s="30"/>
      <c r="J8" s="52">
        <f>IF(IFERROR(SEARCH("CO",D6),0)&gt;0,140,175)</f>
        <v>140</v>
      </c>
      <c r="K8" s="52"/>
      <c r="L8" s="52"/>
      <c r="M8" s="30" t="s">
        <v>85</v>
      </c>
      <c r="N8" s="30"/>
      <c r="O8" s="30"/>
      <c r="P8" s="28" t="s">
        <v>80</v>
      </c>
      <c r="Q8" s="28"/>
      <c r="R8" s="28"/>
      <c r="S8" s="46" t="s">
        <v>100</v>
      </c>
      <c r="T8" s="46"/>
      <c r="U8" s="46"/>
      <c r="V8" s="71" t="s">
        <v>39</v>
      </c>
      <c r="W8" s="71"/>
      <c r="X8" s="71"/>
      <c r="Y8" s="72"/>
    </row>
    <row r="9" spans="1:25" ht="9.75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ht="27.75" customHeight="1" x14ac:dyDescent="0.3">
      <c r="A10" s="49" t="s">
        <v>111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1"/>
      <c r="M10" s="49" t="s">
        <v>55</v>
      </c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1"/>
    </row>
    <row r="11" spans="1:25" ht="27.75" customHeight="1" x14ac:dyDescent="0.3">
      <c r="A11" s="45" t="s">
        <v>22</v>
      </c>
      <c r="B11" s="43"/>
      <c r="C11" s="43"/>
      <c r="D11" s="43" t="s">
        <v>103</v>
      </c>
      <c r="E11" s="43"/>
      <c r="F11" s="43"/>
      <c r="G11" s="43" t="s">
        <v>109</v>
      </c>
      <c r="H11" s="43"/>
      <c r="I11" s="43"/>
      <c r="J11" s="73" t="s">
        <v>63</v>
      </c>
      <c r="K11" s="74"/>
      <c r="L11" s="75"/>
      <c r="M11" s="79" t="s">
        <v>113</v>
      </c>
      <c r="N11" s="80"/>
      <c r="O11" s="80"/>
      <c r="P11" s="81"/>
      <c r="Q11" s="81"/>
      <c r="R11" s="81"/>
      <c r="S11" s="80" t="s">
        <v>54</v>
      </c>
      <c r="T11" s="80"/>
      <c r="U11" s="80"/>
      <c r="V11" s="81"/>
      <c r="W11" s="81"/>
      <c r="X11" s="81"/>
      <c r="Y11" s="82"/>
    </row>
    <row r="12" spans="1:25" ht="27.75" customHeight="1" x14ac:dyDescent="0.3">
      <c r="A12" s="69">
        <v>1</v>
      </c>
      <c r="B12" s="70"/>
      <c r="C12" s="70"/>
      <c r="D12" s="70">
        <v>140</v>
      </c>
      <c r="E12" s="70"/>
      <c r="F12" s="70"/>
      <c r="G12" s="70">
        <v>75</v>
      </c>
      <c r="H12" s="70"/>
      <c r="I12" s="70"/>
      <c r="J12" s="76"/>
      <c r="K12" s="77"/>
      <c r="L12" s="78"/>
      <c r="M12" s="83" t="s">
        <v>66</v>
      </c>
      <c r="N12" s="48"/>
      <c r="O12" s="48"/>
      <c r="P12" s="84" t="s">
        <v>33</v>
      </c>
      <c r="Q12" s="84"/>
      <c r="R12" s="85">
        <v>2150</v>
      </c>
      <c r="S12" s="85"/>
      <c r="T12" s="84" t="s">
        <v>38</v>
      </c>
      <c r="U12" s="84"/>
      <c r="V12" s="85">
        <v>1580</v>
      </c>
      <c r="W12" s="85"/>
      <c r="X12" s="85"/>
      <c r="Y12" s="86"/>
    </row>
    <row r="13" spans="1:25" ht="9.75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ht="27.75" customHeight="1" x14ac:dyDescent="0.3">
      <c r="A14" s="65" t="s">
        <v>67</v>
      </c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7"/>
    </row>
    <row r="15" spans="1:25" ht="27.75" customHeight="1" x14ac:dyDescent="0.3">
      <c r="A15" s="45" t="s">
        <v>101</v>
      </c>
      <c r="B15" s="43"/>
      <c r="C15" s="43"/>
      <c r="D15" s="43" t="s">
        <v>99</v>
      </c>
      <c r="E15" s="43"/>
      <c r="F15" s="43"/>
      <c r="G15" s="43" t="s">
        <v>38</v>
      </c>
      <c r="H15" s="43"/>
      <c r="I15" s="43"/>
      <c r="J15" s="47" t="s">
        <v>108</v>
      </c>
      <c r="K15" s="47"/>
      <c r="L15" s="61" t="s">
        <v>112</v>
      </c>
      <c r="M15" s="62"/>
      <c r="N15" s="55" t="s">
        <v>56</v>
      </c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7"/>
    </row>
    <row r="16" spans="1:25" ht="27.75" customHeight="1" x14ac:dyDescent="0.3">
      <c r="A16" s="33">
        <f>SUM(D19:Y19)</f>
        <v>1650</v>
      </c>
      <c r="B16" s="30"/>
      <c r="C16" s="30"/>
      <c r="D16" s="30">
        <f>SUM(D20:Y20)</f>
        <v>1650</v>
      </c>
      <c r="E16" s="30"/>
      <c r="F16" s="30"/>
      <c r="G16" s="30">
        <f>SUM(D21:Y21)</f>
        <v>1550</v>
      </c>
      <c r="H16" s="30"/>
      <c r="I16" s="30"/>
      <c r="J16" s="48">
        <v>2</v>
      </c>
      <c r="K16" s="48"/>
      <c r="L16" s="63">
        <f>VLOOKUP(P8,DATA!$A$42:$B$45,2,FALSE)</f>
        <v>227.5</v>
      </c>
      <c r="M16" s="64"/>
      <c r="N16" s="58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60"/>
    </row>
    <row r="17" spans="1:25" ht="9.9499999999999993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34.5" customHeight="1" x14ac:dyDescent="0.3">
      <c r="A18" s="32" t="s">
        <v>96</v>
      </c>
      <c r="B18" s="24"/>
      <c r="C18" s="24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3">
      <c r="A19" s="45" t="s">
        <v>36</v>
      </c>
      <c r="B19" s="43"/>
      <c r="C19" s="43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3">
      <c r="A20" s="45" t="s">
        <v>32</v>
      </c>
      <c r="B20" s="43"/>
      <c r="C20" s="43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x14ac:dyDescent="0.3">
      <c r="A21" s="33" t="s">
        <v>20</v>
      </c>
      <c r="B21" s="30"/>
      <c r="C21" s="30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82"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7:C7"/>
    <mergeCell ref="A16:C16"/>
    <mergeCell ref="D16:F16"/>
    <mergeCell ref="G16:I16"/>
    <mergeCell ref="N15:Y16"/>
    <mergeCell ref="L15:M15"/>
    <mergeCell ref="L16:M16"/>
    <mergeCell ref="A15:C15"/>
    <mergeCell ref="A8:C8"/>
    <mergeCell ref="G8:I8"/>
    <mergeCell ref="J8:L8"/>
    <mergeCell ref="D8:F8"/>
    <mergeCell ref="D7:F7"/>
    <mergeCell ref="G7:I7"/>
    <mergeCell ref="K7:L7"/>
    <mergeCell ref="N7:O7"/>
    <mergeCell ref="Q7:R7"/>
    <mergeCell ref="T7:U7"/>
    <mergeCell ref="W7:X7"/>
    <mergeCell ref="M10:Y10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0" type="noConversion"/>
  <printOptions horizontalCentered="1"/>
  <pageMargins left="0.2361111044883728" right="0.2361111044883728" top="0.31486111879348755" bottom="0.74791663885116577" header="0.31486111879348755" footer="0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3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4000000}">
          <x14:formula1>
            <xm:f>DATA!$E$17:$E$31</xm:f>
          </x14:formula1>
          <xm:sqref>V8:Y8</xm:sqref>
        </x14:dataValidation>
        <x14:dataValidation type="list" allowBlank="1" showInputMessage="1" showErrorMessage="1" xr:uid="{00000000-0002-0000-0000-000005000000}">
          <x14:formula1>
            <xm:f>DATA!$A$84:$A$85</xm:f>
          </x14:formula1>
          <xm:sqref>J7</xm:sqref>
        </x14:dataValidation>
        <x14:dataValidation type="list" allowBlank="1" showInputMessage="1" showErrorMessage="1" xr:uid="{00000000-0002-0000-0000-000006000000}">
          <x14:formula1>
            <xm:f>DATA!$A$92:$A$93</xm:f>
          </x14:formula1>
          <xm:sqref>P7</xm:sqref>
        </x14:dataValidation>
        <x14:dataValidation type="list" allowBlank="1" showInputMessage="1" showErrorMessage="1" xr:uid="{00000000-0002-0000-0000-000007000000}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6"/>
  <sheetViews>
    <sheetView topLeftCell="A76" zoomScaleNormal="100" zoomScaleSheetLayoutView="75" workbookViewId="0">
      <selection activeCell="A95" sqref="A95"/>
    </sheetView>
  </sheetViews>
  <sheetFormatPr defaultColWidth="8.75"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8</v>
      </c>
      <c r="B1" t="s">
        <v>81</v>
      </c>
      <c r="C1" t="s">
        <v>92</v>
      </c>
      <c r="D1" t="s">
        <v>94</v>
      </c>
      <c r="E1" s="2"/>
      <c r="F1" s="1"/>
      <c r="G1" s="1"/>
      <c r="H1" s="1"/>
    </row>
    <row r="2" spans="1:9" x14ac:dyDescent="0.3">
      <c r="B2" t="s">
        <v>88</v>
      </c>
      <c r="C2" t="s">
        <v>91</v>
      </c>
      <c r="D2" t="s">
        <v>19</v>
      </c>
      <c r="E2" s="2" t="s">
        <v>75</v>
      </c>
      <c r="F2" s="1">
        <v>300</v>
      </c>
      <c r="G2" s="1">
        <v>70</v>
      </c>
      <c r="H2" s="1"/>
    </row>
    <row r="3" spans="1:9" x14ac:dyDescent="0.3">
      <c r="E3" s="2" t="s">
        <v>58</v>
      </c>
      <c r="F3" s="1">
        <v>301</v>
      </c>
      <c r="G3" s="1">
        <v>58</v>
      </c>
      <c r="H3" s="1">
        <v>420</v>
      </c>
    </row>
    <row r="4" spans="1:9" x14ac:dyDescent="0.3">
      <c r="B4" t="s">
        <v>89</v>
      </c>
      <c r="E4" s="2" t="s">
        <v>59</v>
      </c>
      <c r="F4" s="1">
        <v>301</v>
      </c>
      <c r="G4" s="1">
        <v>60</v>
      </c>
      <c r="H4" s="1">
        <v>420</v>
      </c>
    </row>
    <row r="5" spans="1:9" x14ac:dyDescent="0.3">
      <c r="B5" t="s">
        <v>80</v>
      </c>
      <c r="E5" s="2" t="s">
        <v>57</v>
      </c>
      <c r="F5" s="1">
        <v>412</v>
      </c>
      <c r="G5" s="1">
        <v>83</v>
      </c>
      <c r="H5" s="1"/>
    </row>
    <row r="6" spans="1:9" x14ac:dyDescent="0.3">
      <c r="B6" t="s">
        <v>84</v>
      </c>
      <c r="E6" s="2" t="s">
        <v>62</v>
      </c>
      <c r="F6" s="1">
        <v>505</v>
      </c>
      <c r="G6" s="1">
        <v>128</v>
      </c>
      <c r="H6" s="1"/>
    </row>
    <row r="7" spans="1:9" x14ac:dyDescent="0.3">
      <c r="E7" s="2" t="s">
        <v>74</v>
      </c>
      <c r="F7" s="1">
        <v>290</v>
      </c>
      <c r="G7" s="1">
        <v>80</v>
      </c>
      <c r="H7" s="1">
        <v>337</v>
      </c>
      <c r="I7" t="s">
        <v>1</v>
      </c>
    </row>
    <row r="8" spans="1:9" x14ac:dyDescent="0.3">
      <c r="E8" s="2" t="s">
        <v>65</v>
      </c>
      <c r="F8" s="1">
        <v>302</v>
      </c>
      <c r="G8" s="1">
        <v>62</v>
      </c>
      <c r="H8" s="1"/>
    </row>
    <row r="9" spans="1:9" x14ac:dyDescent="0.3">
      <c r="E9" s="2" t="s">
        <v>72</v>
      </c>
      <c r="F9" s="1">
        <v>240</v>
      </c>
      <c r="G9" s="1">
        <v>55</v>
      </c>
      <c r="H9" s="1">
        <v>370</v>
      </c>
    </row>
    <row r="10" spans="1:9" x14ac:dyDescent="0.3">
      <c r="E10" s="2" t="s">
        <v>73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68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71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70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69</v>
      </c>
      <c r="F14" s="1">
        <v>250</v>
      </c>
      <c r="G14" s="1">
        <v>60</v>
      </c>
      <c r="H14" s="1">
        <v>440</v>
      </c>
    </row>
    <row r="17" spans="1:5" x14ac:dyDescent="0.3">
      <c r="B17" s="3" t="s">
        <v>51</v>
      </c>
      <c r="C17" s="3" t="s">
        <v>10</v>
      </c>
      <c r="E17" s="12" t="s">
        <v>23</v>
      </c>
    </row>
    <row r="18" spans="1:5" x14ac:dyDescent="0.3">
      <c r="B18" s="4"/>
      <c r="C18" s="4"/>
      <c r="E18" s="13" t="s">
        <v>24</v>
      </c>
    </row>
    <row r="19" spans="1:5" x14ac:dyDescent="0.3">
      <c r="A19" s="3" t="str">
        <f>"&lt;1, 11&gt;"</f>
        <v>&lt;1, 11&gt;</v>
      </c>
      <c r="E19" s="13" t="s">
        <v>34</v>
      </c>
    </row>
    <row r="20" spans="1:5" x14ac:dyDescent="0.3">
      <c r="E20" s="13" t="s">
        <v>98</v>
      </c>
    </row>
    <row r="21" spans="1:5" x14ac:dyDescent="0.3">
      <c r="A21" s="3" t="s">
        <v>47</v>
      </c>
      <c r="E21" s="13" t="s">
        <v>40</v>
      </c>
    </row>
    <row r="22" spans="1:5" x14ac:dyDescent="0.3">
      <c r="E22" s="13" t="s">
        <v>39</v>
      </c>
    </row>
    <row r="23" spans="1:5" x14ac:dyDescent="0.3">
      <c r="A23" s="3" t="s">
        <v>79</v>
      </c>
      <c r="E23" s="13" t="s">
        <v>37</v>
      </c>
    </row>
    <row r="24" spans="1:5" x14ac:dyDescent="0.3">
      <c r="E24" s="13" t="s">
        <v>44</v>
      </c>
    </row>
    <row r="25" spans="1:5" x14ac:dyDescent="0.3">
      <c r="A25" s="3" t="s">
        <v>95</v>
      </c>
      <c r="E25" s="13" t="s">
        <v>45</v>
      </c>
    </row>
    <row r="26" spans="1:5" x14ac:dyDescent="0.3">
      <c r="E26" s="13" t="s">
        <v>42</v>
      </c>
    </row>
    <row r="27" spans="1:5" x14ac:dyDescent="0.3">
      <c r="A27" s="3" t="s">
        <v>14</v>
      </c>
      <c r="E27" s="13" t="s">
        <v>31</v>
      </c>
    </row>
    <row r="28" spans="1:5" x14ac:dyDescent="0.3">
      <c r="E28" s="13" t="s">
        <v>41</v>
      </c>
    </row>
    <row r="29" spans="1:5" x14ac:dyDescent="0.3">
      <c r="A29" s="3" t="s">
        <v>27</v>
      </c>
      <c r="E29" s="13" t="s">
        <v>30</v>
      </c>
    </row>
    <row r="30" spans="1:5" x14ac:dyDescent="0.3">
      <c r="A30" s="3" t="s">
        <v>26</v>
      </c>
      <c r="E30" s="13" t="s">
        <v>25</v>
      </c>
    </row>
    <row r="31" spans="1:5" x14ac:dyDescent="0.3">
      <c r="E31" s="13"/>
    </row>
    <row r="32" spans="1:5" x14ac:dyDescent="0.3">
      <c r="E32" s="13"/>
    </row>
    <row r="33" spans="1:5" x14ac:dyDescent="0.3">
      <c r="E33" s="13"/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3</v>
      </c>
      <c r="E39" s="14"/>
    </row>
    <row r="40" spans="1:5" x14ac:dyDescent="0.3">
      <c r="A40" s="3" t="s">
        <v>4</v>
      </c>
    </row>
    <row r="42" spans="1:5" x14ac:dyDescent="0.3">
      <c r="A42" s="3" t="s">
        <v>84</v>
      </c>
      <c r="B42">
        <f>32.5+55+20+55+25+65</f>
        <v>252.5</v>
      </c>
    </row>
    <row r="43" spans="1:5" x14ac:dyDescent="0.3">
      <c r="A43" s="3" t="s">
        <v>89</v>
      </c>
      <c r="B43">
        <f>35+50+50+25+65</f>
        <v>225</v>
      </c>
    </row>
    <row r="44" spans="1:5" x14ac:dyDescent="0.3">
      <c r="A44" s="3" t="s">
        <v>110</v>
      </c>
      <c r="B44">
        <f>30+75+75+25+65</f>
        <v>270</v>
      </c>
    </row>
    <row r="45" spans="1:5" x14ac:dyDescent="0.3">
      <c r="A45" s="3" t="s">
        <v>80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6</v>
      </c>
    </row>
    <row r="54" spans="1:1" x14ac:dyDescent="0.3">
      <c r="A54" s="3" t="s">
        <v>86</v>
      </c>
    </row>
    <row r="56" spans="1:1" x14ac:dyDescent="0.3">
      <c r="A56" s="3" t="s">
        <v>6</v>
      </c>
    </row>
    <row r="57" spans="1:1" x14ac:dyDescent="0.3">
      <c r="A57" s="3" t="s">
        <v>87</v>
      </c>
    </row>
    <row r="59" spans="1:1" x14ac:dyDescent="0.3">
      <c r="A59" s="3" t="s">
        <v>2</v>
      </c>
    </row>
    <row r="60" spans="1:1" x14ac:dyDescent="0.3">
      <c r="A60" s="3" t="s">
        <v>7</v>
      </c>
    </row>
    <row r="62" spans="1:1" x14ac:dyDescent="0.3">
      <c r="A62" s="3" t="s">
        <v>2</v>
      </c>
    </row>
    <row r="63" spans="1:1" x14ac:dyDescent="0.3">
      <c r="A63" s="3" t="s">
        <v>7</v>
      </c>
    </row>
    <row r="64" spans="1:1" x14ac:dyDescent="0.3">
      <c r="A64" s="3" t="s">
        <v>9</v>
      </c>
    </row>
    <row r="66" spans="1:2" x14ac:dyDescent="0.3">
      <c r="A66" s="3" t="s">
        <v>11</v>
      </c>
    </row>
    <row r="67" spans="1:2" x14ac:dyDescent="0.3">
      <c r="A67" s="3" t="s">
        <v>13</v>
      </c>
    </row>
    <row r="68" spans="1:2" x14ac:dyDescent="0.3">
      <c r="A68" s="3" t="s">
        <v>12</v>
      </c>
    </row>
    <row r="70" spans="1:2" x14ac:dyDescent="0.3">
      <c r="A70" s="3" t="s">
        <v>50</v>
      </c>
    </row>
    <row r="71" spans="1:2" x14ac:dyDescent="0.3">
      <c r="A71" s="3" t="s">
        <v>12</v>
      </c>
    </row>
    <row r="74" spans="1:2" x14ac:dyDescent="0.3">
      <c r="A74" s="3">
        <v>8</v>
      </c>
      <c r="B74" t="s">
        <v>90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8</v>
      </c>
    </row>
    <row r="81" spans="1:1" x14ac:dyDescent="0.3">
      <c r="A81" s="3" t="s">
        <v>21</v>
      </c>
    </row>
    <row r="82" spans="1:1" x14ac:dyDescent="0.3">
      <c r="A82" s="3" t="s">
        <v>43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  <row r="93" spans="1:1" x14ac:dyDescent="0.3">
      <c r="A93" s="3" t="s">
        <v>35</v>
      </c>
    </row>
    <row r="95" spans="1:1" x14ac:dyDescent="0.3">
      <c r="A95" s="3" t="s">
        <v>28</v>
      </c>
    </row>
    <row r="96" spans="1:1" x14ac:dyDescent="0.3">
      <c r="A96" s="3" t="s">
        <v>29</v>
      </c>
    </row>
  </sheetData>
  <phoneticPr fontId="10" type="noConversion"/>
  <pageMargins left="0.25" right="0.25" top="0.75" bottom="0.75" header="0.30000001192092896" footer="0.30000001192092896"/>
  <pageSetup paperSize="9" scale="61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revision>1</cp:revision>
  <cp:lastPrinted>2023-08-30T05:42:53Z</cp:lastPrinted>
  <dcterms:created xsi:type="dcterms:W3CDTF">2020-01-09T06:39:51Z</dcterms:created>
  <dcterms:modified xsi:type="dcterms:W3CDTF">2024-08-10T07:39:54Z</dcterms:modified>
  <cp:version>1100.0100.01</cp:version>
</cp:coreProperties>
</file>