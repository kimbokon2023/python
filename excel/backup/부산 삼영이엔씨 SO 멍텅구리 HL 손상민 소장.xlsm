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C65CF0A6-403B-4CCE-88B8-932B9BD3AB33}" xr6:coauthVersionLast="47" xr6:coauthVersionMax="47" xr10:uidLastSave="{00000000-0000-0000-0000-000000000000}"/>
  <bookViews>
    <workbookView xWindow="-120" yWindow="-120" windowWidth="29040" windowHeight="15840" tabRatio="947" activeTab="1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2" l="1"/>
  <c r="B8" i="22"/>
  <c r="C8" i="22"/>
  <c r="D8" i="22"/>
  <c r="E8" i="22"/>
  <c r="T8" i="22"/>
  <c r="U8" i="22"/>
  <c r="AZ8" i="22" s="1"/>
  <c r="V8" i="22"/>
  <c r="W8" i="22"/>
  <c r="Z8" i="22"/>
  <c r="AA8" i="22"/>
  <c r="AB8" i="22"/>
  <c r="AC8" i="22"/>
  <c r="AD8" i="22" s="1"/>
  <c r="AE8" i="22"/>
  <c r="AF8" i="22" s="1"/>
  <c r="AJ8" i="22"/>
  <c r="AK8" i="22"/>
  <c r="AL8" i="22"/>
  <c r="AM8" i="22"/>
  <c r="AN8" i="22"/>
  <c r="AO8" i="22"/>
  <c r="AP8" i="22"/>
  <c r="BF8" i="22"/>
  <c r="A9" i="22"/>
  <c r="B9" i="22"/>
  <c r="C9" i="22"/>
  <c r="D9" i="22"/>
  <c r="E9" i="22"/>
  <c r="T9" i="22"/>
  <c r="U9" i="22"/>
  <c r="V9" i="22"/>
  <c r="W9" i="22"/>
  <c r="Z9" i="22"/>
  <c r="AA9" i="22"/>
  <c r="AB9" i="22"/>
  <c r="AC9" i="22"/>
  <c r="AD9" i="22" s="1"/>
  <c r="AE9" i="22"/>
  <c r="BE9" i="22" s="1"/>
  <c r="H9" i="22" s="1"/>
  <c r="AF9" i="22"/>
  <c r="AJ9" i="22"/>
  <c r="AK9" i="22"/>
  <c r="AL9" i="22"/>
  <c r="AM9" i="22"/>
  <c r="AN9" i="22"/>
  <c r="AO9" i="22"/>
  <c r="AP9" i="22"/>
  <c r="AZ9" i="22"/>
  <c r="BF9" i="22"/>
  <c r="A10" i="22"/>
  <c r="B10" i="22"/>
  <c r="C10" i="22"/>
  <c r="D10" i="22"/>
  <c r="E10" i="22"/>
  <c r="T10" i="22"/>
  <c r="U10" i="22"/>
  <c r="V10" i="22"/>
  <c r="BB10" i="22" s="1"/>
  <c r="W10" i="22"/>
  <c r="Z10" i="22"/>
  <c r="AA10" i="22"/>
  <c r="AB10" i="22"/>
  <c r="AC10" i="22"/>
  <c r="AD10" i="22" s="1"/>
  <c r="AE10" i="22"/>
  <c r="AF10" i="22" s="1"/>
  <c r="AJ10" i="22"/>
  <c r="AK10" i="22"/>
  <c r="AL10" i="22"/>
  <c r="AM10" i="22"/>
  <c r="AN10" i="22"/>
  <c r="AO10" i="22"/>
  <c r="AP10" i="22"/>
  <c r="BF10" i="22"/>
  <c r="A11" i="22"/>
  <c r="B11" i="22"/>
  <c r="C11" i="22"/>
  <c r="D11" i="22"/>
  <c r="E11" i="22"/>
  <c r="T11" i="22"/>
  <c r="U11" i="22"/>
  <c r="V11" i="22"/>
  <c r="W11" i="22"/>
  <c r="Z11" i="22"/>
  <c r="AA11" i="22"/>
  <c r="AB11" i="22"/>
  <c r="AC11" i="22"/>
  <c r="AD11" i="22"/>
  <c r="AE11" i="22"/>
  <c r="AF11" i="22" s="1"/>
  <c r="AJ11" i="22"/>
  <c r="AK11" i="22"/>
  <c r="AL11" i="22"/>
  <c r="AM11" i="22"/>
  <c r="AN11" i="22"/>
  <c r="AO11" i="22"/>
  <c r="AP11" i="22"/>
  <c r="BF11" i="22"/>
  <c r="A12" i="22"/>
  <c r="B12" i="22"/>
  <c r="C12" i="22"/>
  <c r="D12" i="22"/>
  <c r="E12" i="22"/>
  <c r="T12" i="22"/>
  <c r="U12" i="22"/>
  <c r="V12" i="22"/>
  <c r="BB12" i="22" s="1"/>
  <c r="W12" i="22"/>
  <c r="Z12" i="22"/>
  <c r="AA12" i="22"/>
  <c r="AB12" i="22"/>
  <c r="AC12" i="22"/>
  <c r="AD12" i="22" s="1"/>
  <c r="AE12" i="22"/>
  <c r="AF12" i="22" s="1"/>
  <c r="AJ12" i="22"/>
  <c r="AK12" i="22"/>
  <c r="AL12" i="22"/>
  <c r="AM12" i="22"/>
  <c r="AN12" i="22"/>
  <c r="AO12" i="22"/>
  <c r="AP12" i="22"/>
  <c r="AZ12" i="22"/>
  <c r="BF12" i="22"/>
  <c r="A13" i="22"/>
  <c r="B13" i="22"/>
  <c r="C13" i="22"/>
  <c r="D13" i="22"/>
  <c r="E13" i="22"/>
  <c r="T13" i="22"/>
  <c r="U13" i="22"/>
  <c r="V13" i="22"/>
  <c r="W13" i="22"/>
  <c r="BB13" i="22" s="1"/>
  <c r="Z13" i="22"/>
  <c r="AA13" i="22"/>
  <c r="AB13" i="22"/>
  <c r="AC13" i="22"/>
  <c r="AD13" i="22" s="1"/>
  <c r="AE13" i="22"/>
  <c r="AF13" i="22" s="1"/>
  <c r="AJ13" i="22"/>
  <c r="AK13" i="22"/>
  <c r="AL13" i="22"/>
  <c r="AM13" i="22"/>
  <c r="AN13" i="22"/>
  <c r="AO13" i="22"/>
  <c r="AP13" i="22"/>
  <c r="BF13" i="22"/>
  <c r="AK13" i="21"/>
  <c r="AJ13" i="21"/>
  <c r="AH13" i="21"/>
  <c r="AI13" i="21"/>
  <c r="AK12" i="21"/>
  <c r="AJ12" i="21"/>
  <c r="AI12" i="21"/>
  <c r="AH12" i="21"/>
  <c r="AN13" i="21"/>
  <c r="AN12" i="21"/>
  <c r="AL13" i="21"/>
  <c r="AL12" i="21"/>
  <c r="O7" i="19"/>
  <c r="AA7" i="15"/>
  <c r="AB7" i="15"/>
  <c r="AC7" i="15"/>
  <c r="AD7" i="15"/>
  <c r="AE7" i="15"/>
  <c r="Z7" i="15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BB9" i="22" l="1"/>
  <c r="BB11" i="22"/>
  <c r="AZ13" i="22"/>
  <c r="AZ11" i="22"/>
  <c r="J9" i="22"/>
  <c r="H12" i="22"/>
  <c r="BC12" i="22" s="1"/>
  <c r="I9" i="22"/>
  <c r="R13" i="22"/>
  <c r="P13" i="22" s="1"/>
  <c r="N13" i="22" s="1"/>
  <c r="BE11" i="22"/>
  <c r="H11" i="22" s="1"/>
  <c r="F9" i="22"/>
  <c r="AR9" i="22" s="1"/>
  <c r="BE12" i="22"/>
  <c r="J12" i="22" s="1"/>
  <c r="M12" i="22" s="1"/>
  <c r="BE13" i="22"/>
  <c r="H13" i="22" s="1"/>
  <c r="M13" i="22" s="1"/>
  <c r="S12" i="22"/>
  <c r="Q12" i="22" s="1"/>
  <c r="O12" i="22" s="1"/>
  <c r="AZ10" i="22"/>
  <c r="BB8" i="22"/>
  <c r="F12" i="22"/>
  <c r="G12" i="22"/>
  <c r="K12" i="22"/>
  <c r="L12" i="22"/>
  <c r="F13" i="22"/>
  <c r="G13" i="22"/>
  <c r="J13" i="22"/>
  <c r="BC9" i="22"/>
  <c r="M9" i="22"/>
  <c r="S13" i="22"/>
  <c r="K13" i="22"/>
  <c r="G9" i="22"/>
  <c r="AV9" i="22" s="1"/>
  <c r="BE8" i="22"/>
  <c r="Y13" i="22"/>
  <c r="I13" i="22"/>
  <c r="R12" i="22"/>
  <c r="S11" i="22"/>
  <c r="AT9" i="22"/>
  <c r="AR12" i="22"/>
  <c r="Y12" i="22"/>
  <c r="I12" i="22"/>
  <c r="R11" i="22"/>
  <c r="S10" i="22"/>
  <c r="Y11" i="22"/>
  <c r="I11" i="22"/>
  <c r="R10" i="22"/>
  <c r="S9" i="22"/>
  <c r="K9" i="22"/>
  <c r="Y10" i="22"/>
  <c r="R9" i="22"/>
  <c r="S8" i="22"/>
  <c r="BE10" i="22"/>
  <c r="J10" i="22" s="1"/>
  <c r="Y9" i="22"/>
  <c r="R8" i="22"/>
  <c r="Y8" i="22"/>
  <c r="C7" i="26"/>
  <c r="E7" i="26"/>
  <c r="AF4" i="26"/>
  <c r="AJ4" i="24"/>
  <c r="AE4" i="22"/>
  <c r="AI4" i="19"/>
  <c r="AA4" i="10"/>
  <c r="AE3" i="8"/>
  <c r="AY13" i="22" l="1"/>
  <c r="AH13" i="22" s="1"/>
  <c r="H10" i="22"/>
  <c r="J11" i="22"/>
  <c r="M11" i="22" s="1"/>
  <c r="L9" i="22"/>
  <c r="K11" i="22"/>
  <c r="G11" i="22"/>
  <c r="L11" i="22" s="1"/>
  <c r="K10" i="22"/>
  <c r="BA12" i="22"/>
  <c r="AI12" i="22" s="1"/>
  <c r="F11" i="22"/>
  <c r="AR11" i="22" s="1"/>
  <c r="G8" i="22"/>
  <c r="F8" i="22"/>
  <c r="Q10" i="22"/>
  <c r="O10" i="22" s="1"/>
  <c r="BA10" i="22"/>
  <c r="AI10" i="22" s="1"/>
  <c r="AS9" i="22"/>
  <c r="AU9" i="22" s="1"/>
  <c r="AS13" i="22"/>
  <c r="AU13" i="22" s="1"/>
  <c r="Q11" i="22"/>
  <c r="O11" i="22" s="1"/>
  <c r="BA11" i="22"/>
  <c r="AI11" i="22" s="1"/>
  <c r="P12" i="22"/>
  <c r="N12" i="22" s="1"/>
  <c r="AV13" i="22"/>
  <c r="J8" i="22"/>
  <c r="P11" i="22"/>
  <c r="N11" i="22" s="1"/>
  <c r="AY11" i="22"/>
  <c r="AH11" i="22" s="1"/>
  <c r="L13" i="22"/>
  <c r="I8" i="22"/>
  <c r="Q9" i="22"/>
  <c r="O9" i="22" s="1"/>
  <c r="K8" i="22"/>
  <c r="Q8" i="22"/>
  <c r="O8" i="22" s="1"/>
  <c r="BD13" i="22"/>
  <c r="X13" i="22"/>
  <c r="AS11" i="22"/>
  <c r="AU11" i="22" s="1"/>
  <c r="X9" i="22"/>
  <c r="BD9" i="22"/>
  <c r="G10" i="22"/>
  <c r="F10" i="22"/>
  <c r="BD11" i="22"/>
  <c r="X11" i="22"/>
  <c r="BD12" i="22"/>
  <c r="X12" i="22"/>
  <c r="Q13" i="22"/>
  <c r="O13" i="22" s="1"/>
  <c r="AT11" i="22"/>
  <c r="BC11" i="22"/>
  <c r="P10" i="22"/>
  <c r="N10" i="22" s="1"/>
  <c r="P9" i="22"/>
  <c r="N9" i="22" s="1"/>
  <c r="AY9" i="22"/>
  <c r="AH9" i="22" s="1"/>
  <c r="BD8" i="22"/>
  <c r="X8" i="22"/>
  <c r="I10" i="22"/>
  <c r="AS12" i="22"/>
  <c r="AU12" i="22" s="1"/>
  <c r="AR13" i="22"/>
  <c r="AT13" i="22" s="1"/>
  <c r="BC10" i="22"/>
  <c r="M10" i="22"/>
  <c r="P8" i="22"/>
  <c r="N8" i="22" s="1"/>
  <c r="BD10" i="22"/>
  <c r="X10" i="22"/>
  <c r="H8" i="22"/>
  <c r="AT12" i="22"/>
  <c r="AV12" i="22"/>
  <c r="BC13" i="22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R7" i="22" l="1"/>
  <c r="P7" i="22" s="1"/>
  <c r="Y7" i="22"/>
  <c r="X7" i="22" s="1"/>
  <c r="AY8" i="22"/>
  <c r="AH8" i="22" s="1"/>
  <c r="AV11" i="22"/>
  <c r="AY10" i="22"/>
  <c r="AH10" i="22" s="1"/>
  <c r="AS10" i="22"/>
  <c r="AU10" i="22" s="1"/>
  <c r="AY12" i="22"/>
  <c r="AH12" i="22" s="1"/>
  <c r="AW12" i="22"/>
  <c r="AX12" i="22"/>
  <c r="AW9" i="22"/>
  <c r="AX9" i="22"/>
  <c r="BA9" i="22"/>
  <c r="AI9" i="22" s="1"/>
  <c r="M8" i="22"/>
  <c r="BC8" i="22"/>
  <c r="AX8" i="22"/>
  <c r="AW8" i="22"/>
  <c r="AW11" i="22"/>
  <c r="AX11" i="22"/>
  <c r="AX10" i="22"/>
  <c r="AW10" i="22"/>
  <c r="AW13" i="22"/>
  <c r="AX13" i="22"/>
  <c r="AR8" i="22"/>
  <c r="AT8" i="22" s="1"/>
  <c r="AV8" i="22"/>
  <c r="AV10" i="22"/>
  <c r="AR10" i="22"/>
  <c r="AT10" i="22" s="1"/>
  <c r="L8" i="22"/>
  <c r="BA13" i="22"/>
  <c r="AI13" i="22" s="1"/>
  <c r="L10" i="22"/>
  <c r="BA8" i="22"/>
  <c r="AI8" i="22" s="1"/>
  <c r="AS8" i="22"/>
  <c r="AU8" i="22" s="1"/>
  <c r="AI7" i="32"/>
  <c r="AE4" i="32"/>
  <c r="AD7" i="28"/>
  <c r="AA4" i="28"/>
  <c r="AH7" i="32"/>
  <c r="AE7" i="26"/>
  <c r="AK7" i="32"/>
  <c r="C7" i="19"/>
  <c r="D7" i="24"/>
  <c r="AG11" i="22" l="1"/>
  <c r="AG9" i="22"/>
  <c r="AG8" i="22"/>
  <c r="AG12" i="22"/>
  <c r="AG13" i="22"/>
  <c r="AG10" i="22"/>
  <c r="AS7" i="32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M7" i="22" l="1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D7" i="14"/>
  <c r="B7" i="14"/>
  <c r="A7" i="14"/>
  <c r="G7" i="15" l="1"/>
  <c r="A2" i="15"/>
  <c r="AF7" i="14"/>
  <c r="E7" i="14"/>
  <c r="AD7" i="14" s="1"/>
  <c r="AH7" i="14"/>
  <c r="AC7" i="14"/>
  <c r="C2" i="14"/>
  <c r="F7" i="14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<sst xmlns="http://schemas.openxmlformats.org/spreadsheetml/2006/main" count="1170" uniqueCount="337">
  <si>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</si>
  <si>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</si>
  <si>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</si>
  <si>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</si>
  <si>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</si>
  <si>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</si>
  <si>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</si>
  <si>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</si>
  <si>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</si>
  <si>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</si>
  <si>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</si>
  <si>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</si>
  <si>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</si>
  <si>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</si>
  <si>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</si>
  <si>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</si>
  <si>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</si>
  <si>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</si>
  <si>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</si>
  <si>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</si>
  <si>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</si>
  <si>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</si>
  <si>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</si>
  <si>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</si>
  <si>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</si>
  <si>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</si>
  <si>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</si>
  <si>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</si>
  <si>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</si>
  <si>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</si>
  <si>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</si>
  <si>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</si>
  <si>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</si>
  <si>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</si>
  <si>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</si>
  <si>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</si>
  <si>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</si>
  <si>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</si>
  <si>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</si>
  <si>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</si>
  <si>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</si>
  <si>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</si>
  <si>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</si>
  <si>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</si>
  <si>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</si>
  <si>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</si>
  <si>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</si>
  <si>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</si>
  <si>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</si>
  <si>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</si>
  <si>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</si>
  <si>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</si>
  <si>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</si>
  <si>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</si>
  <si>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</si>
  <si>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</si>
  <si>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</si>
  <si>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</si>
  <si>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</si>
  <si>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</si>
  <si>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</si>
  <si>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</si>
  <si>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</si>
  <si>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</si>
  <si>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</si>
  <si>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</si>
  <si>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</si>
  <si>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</si>
  <si>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</si>
  <si>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</si>
  <si>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</si>
  <si>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</si>
  <si>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</si>
  <si>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</si>
  <si>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</si>
  <si>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</si>
  <si>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</si>
  <si>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</si>
  <si>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</si>
  <si>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</si>
  <si>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</si>
  <si>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</si>
  <si>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</si>
  <si>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</si>
  <si>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</si>
  <si>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</si>
  <si>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</si>
  <si>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</si>
  <si>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</si>
  <si>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</si>
  <si>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</si>
  <si>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</si>
  <si>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</si>
  <si>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</si>
  <si>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</si>
  <si>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</si>
  <si>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</si>
  <si>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</si>
  <si>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</si>
  <si>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</si>
  <si>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</si>
  <si>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</si>
  <si>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</si>
  <si>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</si>
  <si>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</si>
  <si>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</si>
  <si>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</si>
  <si>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</si>
  <si>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</si>
  <si>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</si>
  <si>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</si>
  <si>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</si>
  <si>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</si>
  <si>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</si>
  <si>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</si>
  <si>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</si>
  <si>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</si>
  <si>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</si>
  <si>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</si>
  <si>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</si>
  <si>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</si>
  <si>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</si>
  <si>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</si>
  <si>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</si>
  <si>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</si>
  <si>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</si>
  <si>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</si>
  <si>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</si>
  <si>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</si>
  <si>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</si>
  <si>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</si>
  <si>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</si>
  <si>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</si>
  <si>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</si>
  <si>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</si>
  <si>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</si>
  <si>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</si>
  <si>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</si>
  <si>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</si>
  <si>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</si>
  <si>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</si>
  <si>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</si>
  <si>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</si>
  <si>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</si>
  <si>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</si>
  <si>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</si>
  <si>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</si>
  <si>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</si>
  <si>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</si>
  <si>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</si>
  <si>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</si>
  <si>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</si>
  <si>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</si>
  <si>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</si>
  <si>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</si>
  <si>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</si>
  <si>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</si>
  <si>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</si>
  <si>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</si>
  <si>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</si>
  <si>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</si>
  <si>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</si>
  <si>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</si>
  <si>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</si>
  <si>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</si>
  <si>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</si>
  <si>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</si>
  <si>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</si>
  <si>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</si>
  <si>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</si>
  <si>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</si>
  <si>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</si>
  <si>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</si>
  <si>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</si>
  <si>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</si>
  <si>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</si>
  <si>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</si>
  <si>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</si>
  <si>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</si>
  <si>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</si>
  <si>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</si>
  <si>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</si>
  <si>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</si>
  <si>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</si>
  <si>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</si>
  <si>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</si>
  <si>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</si>
  <si>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</si>
  <si>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</si>
  <si>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</si>
  <si>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</si>
  <si>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</si>
  <si>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</si>
  <si>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</si>
  <si>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</si>
  <si>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</si>
  <si>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</si>
  <si>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</si>
  <si>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</si>
  <si>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</si>
  <si>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</si>
  <si>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</si>
  <si>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</si>
  <si>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</si>
  <si>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</si>
  <si>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</si>
  <si>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</si>
  <si>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</si>
  <si>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</si>
  <si>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</si>
  <si>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</si>
  <si>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</si>
  <si>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</si>
  <si>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</si>
  <si>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</si>
  <si>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</si>
  <si>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</si>
  <si>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</si>
  <si>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</si>
  <si>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</si>
  <si>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</si>
  <si>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</si>
  <si>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</si>
  <si>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</si>
  <si>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</si>
  <si>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</si>
  <si>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</si>
  <si>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</si>
  <si>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</si>
  <si>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</si>
  <si>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</si>
  <si>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</si>
  <si>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</si>
  <si>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</si>
  <si>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</si>
  <si>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</si>
  <si>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</si>
  <si>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</si>
  <si>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</si>
  <si>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</si>
  <si>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</si>
  <si>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</si>
  <si>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</si>
  <si>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</si>
  <si>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</si>
  <si>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</si>
  <si>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</si>
  <si>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</si>
  <si>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</si>
  <si>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</si>
  <si>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</si>
  <si>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</si>
  <si>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</si>
  <si>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</si>
  <si>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</si>
  <si>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</si>
  <si>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</si>
  <si>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</si>
  <si>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</si>
  <si>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</si>
  <si>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</si>
  <si>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</si>
  <si>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</si>
  <si>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</si>
  <si>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</si>
  <si>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</si>
  <si>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</si>
  <si>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</si>
  <si>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</si>
  <si>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</si>
  <si>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</si>
  <si>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</si>
  <si>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</si>
  <si>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</si>
  <si>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</si>
  <si>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</si>
  <si>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</si>
  <si>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</si>
  <si>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</si>
  <si>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</si>
  <si>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</si>
  <si>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</si>
  <si>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</si>
  <si>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</si>
  <si>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</si>
  <si>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</si>
  <si>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</si>
  <si>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</si>
  <si>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</si>
  <si>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</si>
  <si>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</si>
  <si>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</si>
  <si>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</si>
  <si>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</si>
  <si>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</si>
  <si>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</si>
  <si>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</si>
  <si>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</si>
  <si>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</si>
  <si>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</si>
  <si>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</si>
  <si>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</si>
  <si>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</si>
  <si>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</si>
  <si>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</si>
  <si>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</si>
  <si>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</si>
  <si>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</si>
  <si>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</si>
  <si>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</si>
  <si>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</si>
  <si>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</si>
  <si>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</si>
  <si>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</si>
  <si>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</si>
  <si>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</si>
  <si>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</si>
  <si>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</si>
  <si>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</si>
  <si>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</si>
  <si>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</si>
  <si>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</si>
  <si>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</si>
  <si>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</si>
  <si>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</si>
  <si>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</si>
  <si>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</si>
  <si>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</si>
  <si>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</si>
  <si>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</si>
  <si>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</si>
  <si>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</si>
  <si>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</si>
  <si>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</si>
  <si>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</si>
  <si>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손상민</t>
  </si>
  <si>
    <t>부산 삼영이엔씨 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</si>
</sst>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5" sqref="B5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336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부산 삼영이엔씨 SO ) _손상민소장</v>
      </c>
      <c r="C2" s="39" t="str">
        <f>"(와이드) 제작변환 자료( "&amp;B1&amp;" ) _"&amp;소장 &amp;"소장"</f>
        <v>(와이드) 제작변환 자료( 부산 삼영이엔씨 SO ) _손상민소장</v>
      </c>
      <c r="D2" s="154" t="s">
        <v>317</v>
      </c>
      <c r="E2" s="150" t="str">
        <f>"(SO와이드) 실측서 ( " &amp; B1 &amp; " ) _"&amp;소장 &amp;"소장"</f>
        <v>(SO와이드) 실측서 ( 부산 삼영이엔씨 SO ) _손상민소장</v>
      </c>
      <c r="F2" s="150" t="str">
        <f>"(SO와이드) 제작변환 ( " &amp; B1 &amp; " ) _"&amp;소장 &amp;"소장"</f>
        <v>(SO와이드) 제작변환 ( 부산 삼영이엔씨 SO ) _손상민소장</v>
      </c>
      <c r="G2" s="152" t="s">
        <v>319</v>
      </c>
      <c r="H2" s="147" t="str">
        <f>"(4CO와이드) 실측서 ( " &amp; B1 &amp; " ) _"&amp;소장 &amp;"소장"</f>
        <v>(4CO와이드) 실측서 ( 부산 삼영이엔씨 SO ) _손상민소장</v>
      </c>
      <c r="I2" s="147" t="str">
        <f>"(4CO와이드) 제작변환 ( " &amp; B1 &amp; " ) _"&amp;소장 &amp;"소장"</f>
        <v>(4CO와이드) 제작변환 ( 부산 삼영이엔씨 SO ) _손상민소장</v>
      </c>
      <c r="J2" s="152" t="s">
        <v>321</v>
      </c>
      <c r="K2" s="153" t="str">
        <f>"(2UP) 실측서 ( " &amp; B1 &amp; " ) _"&amp;소장 &amp;"소장"</f>
        <v>(2UP) 실측서 ( 부산 삼영이엔씨 SO ) _손상민소장</v>
      </c>
      <c r="L2" s="153" t="str">
        <f>"(2UP) 제작변환 ( " &amp; B1 &amp; " ) _"&amp;소장 &amp;"소장"</f>
        <v>(2UP) 제작변환 ( 부산 삼영이엔씨 SO ) _손상민소장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부산 삼영이엔씨 SO ) _손상민소장</v>
      </c>
      <c r="C3" s="39" t="str">
        <f>"(멍텅구리) 제작변환 자료( "&amp;B1&amp;" ) _"&amp;소장 &amp;"소장"</f>
        <v>(멍텅구리) 제작변환 자료( 부산 삼영이엔씨 SO ) _손상민소장</v>
      </c>
      <c r="D3" s="154" t="s">
        <v>318</v>
      </c>
      <c r="E3" s="150" t="str">
        <f>"(SO멍텅구리) 실측서 ( " &amp; B1 &amp; " ) _"&amp;소장 &amp;"소장"</f>
        <v>(SO멍텅구리) 실측서 ( 부산 삼영이엔씨 SO ) _손상민소장</v>
      </c>
      <c r="F3" s="150" t="str">
        <f>"(SO멍텅구리) 제작변환 ( " &amp; B1 &amp; " ) _"&amp;소장 &amp;"소장"</f>
        <v>(SO멍텅구리) 제작변환 ( 부산 삼영이엔씨 SO ) _손상민소장</v>
      </c>
      <c r="G3" s="152" t="s">
        <v>320</v>
      </c>
      <c r="H3" s="147" t="str">
        <f>"(4CO멍텅구리) 실측서 ( " &amp; B1 &amp; " ) _"&amp;소장 &amp;"소장"</f>
        <v>(4CO멍텅구리) 실측서 ( 부산 삼영이엔씨 SO ) _손상민소장</v>
      </c>
      <c r="I3" s="147" t="str">
        <f>"(4CO멍텅구리) 제작변환 ( " &amp; B1 &amp; " ) _"&amp;소장 &amp;"소장"</f>
        <v>(4CO멍텅구리) 제작변환 ( 부산 삼영이엔씨 SO ) _손상민소장</v>
      </c>
      <c r="J3" s="152" t="s">
        <v>322</v>
      </c>
      <c r="K3" s="153" t="str">
        <f>"(3UP) 실측서 ( " &amp; B1 &amp; " ) _"&amp;소장 &amp;"소장"</f>
        <v>(3UP) 실측서 ( 부산 삼영이엔씨 SO ) _손상민소장</v>
      </c>
      <c r="L3" s="153" t="str">
        <f>"(3UP) 제작변환 ( " &amp; B1 &amp; " ) _"&amp;소장 &amp;"소장"</f>
        <v>(3UP) 제작변환 ( 부산 삼영이엔씨 SO ) _손상민소장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부산 삼영이엔씨 SO ) _손상민소장</v>
      </c>
      <c r="C4" s="39" t="str">
        <f>"(쪽쟘) 제작변환 자료( "&amp;B1&amp;" ) _"&amp;소장 &amp;"소장"</f>
        <v>(쪽쟘) 제작변환 자료( 부산 삼영이엔씨 SO ) _손상민소장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323</v>
      </c>
    </row>
    <row r="6" spans="1:12" ht="27.75" customHeight="1" x14ac:dyDescent="0.3">
      <c r="A6" s="144" t="s">
        <v>40</v>
      </c>
      <c r="B6" s="146" t="s">
        <v>335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+(2.2 ),  늘어난치수K -(-2.2),  C + (4.4),   U + (4.4), OP - (0), R - (0),  기둥차감 - (0), A + (1.2)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+(2.2 ),  늘어난치수K -(-2.2),  C + (4.4),  U +(4.4), OP - (0), R - (0),  기둥차감 - (0),  A + (1.2)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+(4.4 ),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+(2.2 ),  늘어난치수K -(-2.2),  C + (4.4),   U + (4.4), OP - (0), R - (0),  기둥차감 - (0),  A + (1.2)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+(2.2 ),  늘어난치수K -(-2.2),  C + (4.4),  U +(4.4), OP1/OP2 - (0), R - (0),  기둥차감 - (-2000), A + (1.2)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+(2.2 ),  늘어난치수K -(-2.2),  C + (4.4),   U + (4.4), OP1/OP3 - (0), R - (0),  기둥차감 - (0), A + (1.2)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+(2.2 ),  늘어난치수K -(-2.2),  C + (4.4),  U +(4.4), OP1/OP3 - (0), R - (0),  기둥차감 - (0), A + (1.2)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+(4.4 ),  늘어난치수K -(0),  C + (4.4),   U + (4.4), OP - (0), R - (0),  기둥차감 - (0), A + (1.2)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+(4.4 ),  늘어난치수K -(0),  C + (4.4),   U + (4.4), OP - (0), R - (0),  기둥차감 - (0), A + (1.2)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334</v>
      </c>
    </row>
    <row r="26" spans="1:3" x14ac:dyDescent="0.3">
      <c r="A26">
        <v>20231101</v>
      </c>
      <c r="B26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부산 삼영이엔씨 SO</v>
      </c>
      <c r="E2" s="3" t="str">
        <f>정보!B6</f>
        <v>손상민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45446</v>
      </c>
      <c r="K2">
        <f>IF('SO와이드(실측)'!C7&gt;0,1,0)</f>
        <v>0</v>
      </c>
      <c r="L2">
        <f>IF('SO멍텅(실측)'!C7&gt;1,1,0)</f>
        <v>1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C7" sqref="C7:AC12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부산 삼영이엔씨 SO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부산 삼영이엔씨 SO,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(1.2), JB/JD +(2.2 ),  늘어난치수K -(-2.2),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부산 삼영이엔씨 SO ) _손상민소장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4.4000000000000004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>
        <f>정보!B5</f>
        <v>0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-2.2000000000000002</v>
      </c>
      <c r="AK2" s="226"/>
      <c r="AL2" s="1"/>
      <c r="AM2" s="181" t="s">
        <v>229</v>
      </c>
      <c r="AN2" s="223"/>
      <c r="AO2" s="224">
        <v>1.2</v>
      </c>
      <c r="AP2" s="224"/>
      <c r="AQ2" s="1"/>
      <c r="AR2" s="1"/>
    </row>
    <row r="3" spans="1:61" ht="24.75" customHeight="1" x14ac:dyDescent="0.3">
      <c r="A3" s="28" t="str">
        <f>'와이드(실측)'!A3</f>
        <v>현장명 : 부산 삼영이엔씨 SO,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2.2000000000000002</v>
      </c>
      <c r="N3" s="220"/>
      <c r="O3" s="190" t="s">
        <v>77</v>
      </c>
      <c r="P3" s="190"/>
      <c r="Q3" s="197">
        <v>4.4000000000000004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1.2</v>
      </c>
      <c r="AA3" s="200"/>
      <c r="AC3" s="201" t="s">
        <v>310</v>
      </c>
      <c r="AD3" s="201"/>
      <c r="AE3" s="201">
        <f>'와이드(실측)'!Y7</f>
        <v>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324</v>
      </c>
      <c r="AP3" s="228"/>
      <c r="AQ3" s="231">
        <f>AU7</f>
        <v>0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(1.2), JB/JD +(2.2 ),  늘어난치수K -(-2.2),  C + (4.4),   U + (4.4), OP - (0), R - (0),  기둥차감 - (0), A + (1.2)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45446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1.2</v>
      </c>
      <c r="D7" s="31">
        <f>'와이드(실측)'!D7+와이드MH더함-IF(AND(소장="추영덕",Y7=0),1.2)</f>
        <v>1.2</v>
      </c>
      <c r="E7" s="135">
        <f>'와이드(실측)'!E7-와이드OP</f>
        <v>0</v>
      </c>
      <c r="F7" s="31">
        <f>'와이드(실측)'!F7-와이드R</f>
        <v>0</v>
      </c>
      <c r="G7" s="50">
        <f>'와이드(실측)'!G7+와이드JBJD키움치수+IF(BI7=1,AC7,0)</f>
        <v>4.4000000000000004</v>
      </c>
      <c r="H7" s="50">
        <f>'와이드(실측)'!H7+와이드JBJD키움치수+IF(BI7=1,AE7,0)</f>
        <v>4.4000000000000004</v>
      </c>
      <c r="I7" s="50">
        <f>'와이드(실측)'!I7+MAX(AS7,AT7)+와이드JBJD키움치수+IF(BI7=1,AC7,0)</f>
        <v>4.4000000000000004</v>
      </c>
      <c r="J7" s="50">
        <f>'와이드(실측)'!I7+MAX(AS7,AT7)+와이드JBJD키움치수+IF(BI7=1,AD7,0)-IF(와이드JB하부늘치=1,'와이드(실측)'!Y7-'와이드(실측)'!Z7,0)</f>
        <v>4.4000000000000004</v>
      </c>
      <c r="K7" s="50">
        <f>'와이드(실측)'!J7+MAX(AS7,AT7)+와이드JBJD키움치수+IF(BI7=1,AE7,0)</f>
        <v>4.4000000000000004</v>
      </c>
      <c r="L7" s="50">
        <f>'와이드(실측)'!J7+MAX(AS7,AT7)+와이드JBJD키움치수+IF(BI7=1,AF7,0)-IF(와이드JB하부늘치=1,'와이드(실측)'!AA7-'와이드(실측)'!AB7,0)</f>
        <v>4.4000000000000004</v>
      </c>
      <c r="M7" s="31">
        <f t="shared" ref="M7:N7" si="0">IF(소장="손상민",0,O7-1.5)</f>
        <v>0</v>
      </c>
      <c r="N7" s="31">
        <f t="shared" si="0"/>
        <v>0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</v>
      </c>
      <c r="R7" s="38">
        <f>ROUNDUP(AW7,1)</f>
        <v>0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3.2</v>
      </c>
      <c r="AA7" s="31">
        <f>'와이드(실측)'!W7+뒷날개치수더함</f>
        <v>1.2</v>
      </c>
      <c r="AB7" s="31">
        <f>'와이드(실측)'!X7+뒷날개치수더함</f>
        <v>1.2</v>
      </c>
      <c r="AC7" s="31">
        <f>'와이드(실측)'!Y7-와이드늘치</f>
        <v>2.2000000000000002</v>
      </c>
      <c r="AD7" s="31">
        <f>IF(와이드JB하부늘치=1,AC7,'와이드(실측)'!Z7-와이드늘치)</f>
        <v>2.2000000000000002</v>
      </c>
      <c r="AE7" s="31">
        <f>'와이드(실측)'!AA7-와이드늘치</f>
        <v>2.2000000000000002</v>
      </c>
      <c r="AF7" s="31">
        <f>IF(와이드JB하부늘치=1,AE7,'와이드(실측)'!AB7-와이드늘치)</f>
        <v>2.2000000000000002</v>
      </c>
      <c r="AG7" s="31">
        <f xml:space="preserve"> IF(소장&lt;&gt;"손상민",IF('와이드(실측)'!AC7&gt;0,'와이드(실측)'!AC7,C7-1.2),IF('와이드(실측)'!AC7&gt;0,'와이드(실측)'!AC7+1.2,C7) )</f>
        <v>1.2</v>
      </c>
      <c r="AH7" s="31">
        <f xml:space="preserve"> IF(소장&lt;&gt;"손상민",IF('와이드(실측)'!AD7&gt;0,'와이드(실측)'!AD7,D7-1.2),IF('와이드(실측)'!AD7&gt;0,'와이드(실측)'!AD7+1.2,D7))</f>
        <v>1.2</v>
      </c>
      <c r="AI7" s="51">
        <f>IF(Z7&gt;0,Z7-MAX(Q7,R7),0)</f>
        <v>3.2</v>
      </c>
      <c r="AJ7" s="31" t="str">
        <f t="shared" ref="AJ7" si="1">BA7&amp;"*"&amp;BB7</f>
        <v>0*3.2</v>
      </c>
      <c r="AK7" s="31" t="str">
        <f t="shared" ref="AK7" si="2">BD7&amp;"*"&amp;BC7</f>
        <v>1.2*3.2</v>
      </c>
      <c r="AL7" s="31" t="str">
        <f t="shared" ref="AL7" si="3">BF7&amp;"*"&amp;BE7</f>
        <v>1.2*3.2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0</v>
      </c>
      <c r="AV7" s="21">
        <f>ABS(G7-COS(RADIANS(AU7))*I7)</f>
        <v>0</v>
      </c>
      <c r="AW7" s="21">
        <f>ABS(H7-COS(RADIANS(AU7))*K7)</f>
        <v>0</v>
      </c>
      <c r="AX7" s="21">
        <f>'와이드(실측)'!M7+AS7</f>
        <v>0</v>
      </c>
      <c r="AY7" s="21">
        <f>'와이드(실측)'!N7+AS7</f>
        <v>0</v>
      </c>
      <c r="AZ7" s="20">
        <f>AV7-MAX(AX7,AY7)</f>
        <v>0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3.2000000000000011</v>
      </c>
      <c r="BC7" s="41">
        <f>S7+O7+MAX(I7,J7)+AB7-1.2*$AL$3+IF(BI7=0,MAX(AD7,AC7),0)+IF(S7=0,1.2,0)-IF(AR7=90,2.4,0)</f>
        <v>3.2000000000000011</v>
      </c>
      <c r="BD7" s="41">
        <f>MAX(U7,V7)+AG7</f>
        <v>1.2</v>
      </c>
      <c r="BE7" s="41">
        <f>T7+P7+MAX(K7,L7)+AB7-1.2*$AL$3+IF(BI7=0,MAX(AE7,AF7),0)+IF(T7=0,1.2,0)-IF(AR7=90,2.4,0)</f>
        <v>3.2000000000000011</v>
      </c>
      <c r="BF7" s="41">
        <f>MAX(W7,X7)+AH7</f>
        <v>1.2</v>
      </c>
      <c r="BG7" s="6">
        <f t="shared" ref="BG7" si="4">I7-G7-Q7</f>
        <v>0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부산 삼영이엔씨 SO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부산 삼영이엔씨 SO,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+(2.2 ),  늘어난치수K -(-2.2),  C + (4.4),  U +(4.4), OP - (0), R - (0),  기둥차감 - (0), 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J5:J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activeCell="AD3" sqref="AD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부산 삼영이엔씨 SO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4.4000000000000004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-2.2000000000000002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부산 삼영이엔씨 SO,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2.2000000000000002</v>
      </c>
      <c r="K3" s="263"/>
      <c r="L3" s="251" t="s">
        <v>77</v>
      </c>
      <c r="M3" s="251"/>
      <c r="N3" s="264">
        <v>4.4000000000000004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1.2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325</v>
      </c>
      <c r="AG3" s="281"/>
      <c r="AH3" s="212"/>
      <c r="AI3" s="282">
        <f>AN7</f>
        <v>0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+(2.2 ),  늘어난치수K -(-2.2),  C + (4.4),  U +(4.4), OP - (0), R - (0),  기둥차감 - (0),  A + (1.2)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311</v>
      </c>
      <c r="Z4" s="275"/>
      <c r="AA4" s="276">
        <f>'멍텅(실측)'!U7</f>
        <v>0</v>
      </c>
      <c r="AB4" s="276"/>
      <c r="AC4" s="9"/>
      <c r="AD4" s="222">
        <f ca="1">TODAY()</f>
        <v>45446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4.4000000000000004</v>
      </c>
      <c r="F7" s="50">
        <f>'멍텅(실측)'!F7+MAX(AK7,AL7)+IF(AZ7=1,AA7,0)+멍텅JBJD늘림치수</f>
        <v>4.4000000000000004</v>
      </c>
      <c r="G7" s="50">
        <f>'멍텅(실측)'!G7+AK7+IF(AZ7=1,Y7,0)+멍텅JB강제키움+멍텅JBJD늘림치수</f>
        <v>4.4000000000000004</v>
      </c>
      <c r="H7" s="50">
        <f>'멍텅(실측)'!G7+AK7+IF(AZ7=1,Z7,0)+멍텅JB강제키움+멍텅JBJD늘림치수-IF(멍텅JB하부늘치=1,'멍텅(실측)'!U7-'멍텅(실측)'!V7,0)</f>
        <v>4.4000000000000004</v>
      </c>
      <c r="I7" s="50">
        <f>'멍텅(실측)'!H7+AL7+IF(AZ7=1,AA7,0)+멍텅JB강제키움+멍텅JBJD늘림치수</f>
        <v>4.4000000000000004</v>
      </c>
      <c r="J7" s="50">
        <f>'멍텅(실측)'!H7+AL7+IF(AZ7=1,AB7,0)+멍텅JB강제키움+멍텅JBJD늘림치수-IF(멍텅JB하부늘치=1,'멍텅(실측)'!W7-'멍텅(실측)'!X7,0)</f>
        <v>4.4000000000000004</v>
      </c>
      <c r="K7" s="4">
        <f t="shared" ref="K7:L7" si="0">M7+IF(소장="손상민",0,-1.5)</f>
        <v>1</v>
      </c>
      <c r="L7" s="4">
        <f t="shared" si="0"/>
        <v>1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1.2</v>
      </c>
      <c r="X7" s="4">
        <f>'멍텅(실측)'!T7+뒷날개치수더함</f>
        <v>1.2</v>
      </c>
      <c r="Y7" s="13">
        <f>'멍텅(실측)'!U7-멍텅늘치차감</f>
        <v>2.2000000000000002</v>
      </c>
      <c r="Z7" s="13">
        <f>IF(멍텅JB하부늘치=1,Y7,'멍텅(실측)'!V7-멍텅늘치차감)</f>
        <v>2.2000000000000002</v>
      </c>
      <c r="AA7" s="13">
        <f>'멍텅(실측)'!W7-멍텅늘치차감</f>
        <v>2.2000000000000002</v>
      </c>
      <c r="AB7" s="13">
        <f>IF(멍텅JB하부늘치=1,AA7,'멍텅(실측)'!X7-멍텅늘치차감)</f>
        <v>2.2000000000000002</v>
      </c>
      <c r="AC7" s="11" t="str">
        <f t="shared" ref="AC7" si="1">AR7&amp;"*"&amp;AS7</f>
        <v>0*3.2</v>
      </c>
      <c r="AD7" s="12" t="str">
        <f t="shared" ref="AD7" si="2">AU7&amp;"*"&amp;AT7</f>
        <v>0*3</v>
      </c>
      <c r="AE7" s="10" t="str">
        <f t="shared" ref="AE7" si="3">AW7&amp;"*"&amp;AV7</f>
        <v>0*3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0</v>
      </c>
      <c r="AP7" s="36">
        <f>IF(소장="박철우",F7-COS(RADIANS(AN7))*I7+2,F7-COS(RADIANS(AN7))*I7)</f>
        <v>0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3.2000000000000011</v>
      </c>
      <c r="AT7" s="3">
        <f>O7+M7+MAX(G7,H7)+X7-1.2*$AE$3+IF(AZ7=0,MAX(Y7,Z7))+IF(O7=0,1.2,0)-IF(AH7=90,2.4,0)</f>
        <v>3.0000000000000009</v>
      </c>
      <c r="AU7" s="3">
        <f t="shared" ref="AU7" si="6">MAX(Q7,R7)</f>
        <v>0</v>
      </c>
      <c r="AV7" s="3">
        <f>P7+N7+MAX(I7,J7)+X7-1.2*$AE$3+IF(AZ7=0,MAX(AA7,AB7))+IF(P7=0,1.2,0)-IF(AH7=90,2.4,0)</f>
        <v>3.0000000000000009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부산 삼영이엔씨 SO ) _손상민소장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부산 삼영이엔씨 SO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+(4.4 ),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Q7" sqref="Q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부산 삼영이엔씨 SO (쪽쟘제작치수)  손상민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COUNTA(A7:A168) &amp;" (SET)"</f>
        <v>총 : 19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4.4000000000000004</v>
      </c>
      <c r="H3" s="23" t="s">
        <v>141</v>
      </c>
      <c r="I3" s="292">
        <v>0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+(4.4 ),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2.4*3.2</v>
      </c>
      <c r="D7" s="50">
        <f>'쪽쟘(실측)'!C7-쪽쟘OP차감</f>
        <v>0</v>
      </c>
      <c r="E7" s="50">
        <f>'쪽쟘(실측)'!D7+쪽쟘J늘림+MAX(W7:X7)</f>
        <v>4.4000000000000004</v>
      </c>
      <c r="F7" s="50">
        <f>'쪽쟘(실측)'!E7+쪽쟘J늘림+MAX(W7:X7)</f>
        <v>4.4000000000000004</v>
      </c>
      <c r="G7" s="67" t="str">
        <f>AF7&amp;"*"&amp;AE7</f>
        <v>0*3.2</v>
      </c>
      <c r="H7" s="68" t="str">
        <f>AH7&amp;"*"&amp;AG7</f>
        <v>0*3.2</v>
      </c>
      <c r="I7" s="50">
        <f>IF('쪽쟘(실측)'!F7&gt;0,'쪽쟘(실측)'!F7-1.5,0)+뒷날개치수더함</f>
        <v>1.2</v>
      </c>
      <c r="J7" s="50">
        <f>IF('쪽쟘(실측)'!H7&gt;0,'쪽쟘(실측)'!H7-1.5,0)+뒷날개치수더함</f>
        <v>1.2</v>
      </c>
      <c r="K7" s="50">
        <f>IF('쪽쟘(실측)'!F7&gt;0,'쪽쟘(실측)'!F7+0,0)+뒷날개치수더함</f>
        <v>1.2</v>
      </c>
      <c r="L7" s="50">
        <f>IF('쪽쟘(실측)'!G7&gt;0,'쪽쟘(실측)'!G7+0,0)+뒷날개치수더함</f>
        <v>1.2</v>
      </c>
      <c r="M7" s="50">
        <f>IF('쪽쟘(실측)'!H7&gt;0,'쪽쟘(실측)'!H7+0,0)+뒷날개치수더함</f>
        <v>1.2</v>
      </c>
      <c r="N7" s="50">
        <f>IF('쪽쟘(실측)'!I7&gt;0,'쪽쟘(실측)'!I7+0,0)+뒷날개치수더함</f>
        <v>1.2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1.2</v>
      </c>
      <c r="T7" s="50">
        <f>'쪽쟘(실측)'!O7+뒷날개치수더함</f>
        <v>1.2</v>
      </c>
      <c r="U7" s="50">
        <f>'쪽쟘(실측)'!P7+뒷날개치수더함</f>
        <v>1.2</v>
      </c>
      <c r="V7" s="50">
        <f>'쪽쟘(실측)'!Q7+뒷날개치수더함</f>
        <v>1.2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2.4</v>
      </c>
      <c r="AD7">
        <f t="shared" ref="AD7" si="1">U7+E7+MAX(S7,T7)-쪽쟘소재t*3+IF(S7=0,S7*쪽쟘소재t,0)</f>
        <v>3.2000000000000011</v>
      </c>
      <c r="AE7">
        <f t="shared" ref="AE7:AE25" si="2">MAX(K7,L7)+F7+V7-쪽쟘소재t*3+IF(K7=0,쪽쟘소재t)-IF(AA7=90,2.4,0)</f>
        <v>3.2000000000000011</v>
      </c>
      <c r="AF7">
        <f t="shared" ref="AF7" si="3">MAX(O7,P7)</f>
        <v>0</v>
      </c>
      <c r="AG7">
        <f t="shared" ref="AG7:AG25" si="4">MAX(M7,N7)+F7+V7-쪽쟘소재t*3+IF(M7=0,쪽쟘소재t)-IF(AA7=90,2.4,0)</f>
        <v>3.2000000000000011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2.4*3.2</v>
      </c>
      <c r="D8" s="50">
        <f>'쪽쟘(실측)'!C8-쪽쟘OP차감</f>
        <v>0</v>
      </c>
      <c r="E8" s="50">
        <f>'쪽쟘(실측)'!D8+쪽쟘J늘림+MAX(W8:X8)</f>
        <v>4.4000000000000004</v>
      </c>
      <c r="F8" s="50">
        <f>'쪽쟘(실측)'!E8+쪽쟘J늘림+MAX(W8:X8)</f>
        <v>4.4000000000000004</v>
      </c>
      <c r="G8" s="67" t="str">
        <f t="shared" ref="G8:G25" si="6">AF8&amp;"*"&amp;AE8</f>
        <v>0*3.2</v>
      </c>
      <c r="H8" s="68" t="str">
        <f t="shared" ref="H8:H25" si="7">AH8&amp;"*"&amp;AG8</f>
        <v>0*3.2</v>
      </c>
      <c r="I8" s="50">
        <f>IF('쪽쟘(실측)'!F8&gt;0,'쪽쟘(실측)'!F8-1.5,0)+뒷날개치수더함</f>
        <v>1.2</v>
      </c>
      <c r="J8" s="50">
        <f>IF('쪽쟘(실측)'!H8&gt;0,'쪽쟘(실측)'!H8-1.5,0)+뒷날개치수더함</f>
        <v>1.2</v>
      </c>
      <c r="K8" s="50">
        <f>IF('쪽쟘(실측)'!F8&gt;0,'쪽쟘(실측)'!F8+0,0)+뒷날개치수더함</f>
        <v>1.2</v>
      </c>
      <c r="L8" s="50">
        <f>IF('쪽쟘(실측)'!G8&gt;0,'쪽쟘(실측)'!G8+0,0)+뒷날개치수더함</f>
        <v>1.2</v>
      </c>
      <c r="M8" s="50">
        <f>IF('쪽쟘(실측)'!H8&gt;0,'쪽쟘(실측)'!H8+0,0)+뒷날개치수더함</f>
        <v>1.2</v>
      </c>
      <c r="N8" s="50">
        <f>IF('쪽쟘(실측)'!I8&gt;0,'쪽쟘(실측)'!I8+0,0)+뒷날개치수더함</f>
        <v>1.2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1.2</v>
      </c>
      <c r="T8" s="50">
        <f>'쪽쟘(실측)'!O8+뒷날개치수더함</f>
        <v>1.2</v>
      </c>
      <c r="U8" s="50">
        <f>'쪽쟘(실측)'!P8+뒷날개치수더함</f>
        <v>1.2</v>
      </c>
      <c r="V8" s="50">
        <f>'쪽쟘(실측)'!Q8+뒷날개치수더함</f>
        <v>1.2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2.4</v>
      </c>
      <c r="AD8">
        <f t="shared" ref="AD8:AD25" si="9">U8+E8+MAX(S8,T8)-쪽쟘소재t*3+IF(S8=0,S8*쪽쟘소재t,0)</f>
        <v>3.2000000000000011</v>
      </c>
      <c r="AE8">
        <f t="shared" si="2"/>
        <v>3.2000000000000011</v>
      </c>
      <c r="AF8">
        <f t="shared" ref="AF8:AF25" si="10">MAX(O8,P8)</f>
        <v>0</v>
      </c>
      <c r="AG8">
        <f t="shared" si="4"/>
        <v>3.2000000000000011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2.4*3.2</v>
      </c>
      <c r="D9" s="50">
        <f>'쪽쟘(실측)'!C9-쪽쟘OP차감</f>
        <v>0</v>
      </c>
      <c r="E9" s="50">
        <f>'쪽쟘(실측)'!D9+쪽쟘J늘림+MAX(W9:X9)</f>
        <v>4.4000000000000004</v>
      </c>
      <c r="F9" s="50">
        <f>'쪽쟘(실측)'!E9+쪽쟘J늘림+MAX(W9:X9)</f>
        <v>4.4000000000000004</v>
      </c>
      <c r="G9" s="67" t="str">
        <f t="shared" si="6"/>
        <v>0*3.2</v>
      </c>
      <c r="H9" s="68" t="str">
        <f t="shared" si="7"/>
        <v>0*3.2</v>
      </c>
      <c r="I9" s="50">
        <f>IF('쪽쟘(실측)'!F9&gt;0,'쪽쟘(실측)'!F9-1.5,0)+뒷날개치수더함</f>
        <v>1.2</v>
      </c>
      <c r="J9" s="50">
        <f>IF('쪽쟘(실측)'!H9&gt;0,'쪽쟘(실측)'!H9-1.5,0)+뒷날개치수더함</f>
        <v>1.2</v>
      </c>
      <c r="K9" s="50">
        <f>IF('쪽쟘(실측)'!F9&gt;0,'쪽쟘(실측)'!F9+0,0)+뒷날개치수더함</f>
        <v>1.2</v>
      </c>
      <c r="L9" s="50">
        <f>IF('쪽쟘(실측)'!G9&gt;0,'쪽쟘(실측)'!G9+0,0)+뒷날개치수더함</f>
        <v>1.2</v>
      </c>
      <c r="M9" s="50">
        <f>IF('쪽쟘(실측)'!H9&gt;0,'쪽쟘(실측)'!H9+0,0)+뒷날개치수더함</f>
        <v>1.2</v>
      </c>
      <c r="N9" s="50">
        <f>IF('쪽쟘(실측)'!I9&gt;0,'쪽쟘(실측)'!I9+0,0)+뒷날개치수더함</f>
        <v>1.2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1.2</v>
      </c>
      <c r="T9" s="50">
        <f>'쪽쟘(실측)'!O9+뒷날개치수더함</f>
        <v>1.2</v>
      </c>
      <c r="U9" s="50">
        <f>'쪽쟘(실측)'!P9+뒷날개치수더함</f>
        <v>1.2</v>
      </c>
      <c r="V9" s="50">
        <f>'쪽쟘(실측)'!Q9+뒷날개치수더함</f>
        <v>1.2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2.4</v>
      </c>
      <c r="AD9">
        <f t="shared" si="9"/>
        <v>3.2000000000000011</v>
      </c>
      <c r="AE9">
        <f t="shared" si="2"/>
        <v>3.2000000000000011</v>
      </c>
      <c r="AF9">
        <f t="shared" si="10"/>
        <v>0</v>
      </c>
      <c r="AG9">
        <f t="shared" si="4"/>
        <v>3.2000000000000011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2.4*3.2</v>
      </c>
      <c r="D10" s="50">
        <f>'쪽쟘(실측)'!C10-쪽쟘OP차감</f>
        <v>0</v>
      </c>
      <c r="E10" s="50">
        <f>'쪽쟘(실측)'!D10+쪽쟘J늘림+MAX(W10:X10)</f>
        <v>4.4000000000000004</v>
      </c>
      <c r="F10" s="50">
        <f>'쪽쟘(실측)'!E10+쪽쟘J늘림+MAX(W10:X10)</f>
        <v>4.4000000000000004</v>
      </c>
      <c r="G10" s="67" t="str">
        <f t="shared" si="6"/>
        <v>0*3.2</v>
      </c>
      <c r="H10" s="68" t="str">
        <f t="shared" si="7"/>
        <v>0*3.2</v>
      </c>
      <c r="I10" s="50">
        <f>IF('쪽쟘(실측)'!F10&gt;0,'쪽쟘(실측)'!F10-1.5,0)+뒷날개치수더함</f>
        <v>1.2</v>
      </c>
      <c r="J10" s="50">
        <f>IF('쪽쟘(실측)'!H10&gt;0,'쪽쟘(실측)'!H10-1.5,0)+뒷날개치수더함</f>
        <v>1.2</v>
      </c>
      <c r="K10" s="50">
        <f>IF('쪽쟘(실측)'!F10&gt;0,'쪽쟘(실측)'!F10+0,0)+뒷날개치수더함</f>
        <v>1.2</v>
      </c>
      <c r="L10" s="50">
        <f>IF('쪽쟘(실측)'!G10&gt;0,'쪽쟘(실측)'!G10+0,0)+뒷날개치수더함</f>
        <v>1.2</v>
      </c>
      <c r="M10" s="50">
        <f>IF('쪽쟘(실측)'!H10&gt;0,'쪽쟘(실측)'!H10+0,0)+뒷날개치수더함</f>
        <v>1.2</v>
      </c>
      <c r="N10" s="50">
        <f>IF('쪽쟘(실측)'!I10&gt;0,'쪽쟘(실측)'!I10+0,0)+뒷날개치수더함</f>
        <v>1.2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1.2</v>
      </c>
      <c r="T10" s="50">
        <f>'쪽쟘(실측)'!O10+뒷날개치수더함</f>
        <v>1.2</v>
      </c>
      <c r="U10" s="50">
        <f>'쪽쟘(실측)'!P10+뒷날개치수더함</f>
        <v>1.2</v>
      </c>
      <c r="V10" s="50">
        <f>'쪽쟘(실측)'!Q10+뒷날개치수더함</f>
        <v>1.2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2.4</v>
      </c>
      <c r="AD10">
        <f t="shared" si="9"/>
        <v>3.2000000000000011</v>
      </c>
      <c r="AE10">
        <f t="shared" si="2"/>
        <v>3.2000000000000011</v>
      </c>
      <c r="AF10">
        <f t="shared" si="10"/>
        <v>0</v>
      </c>
      <c r="AG10">
        <f t="shared" si="4"/>
        <v>3.2000000000000011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2.4*3.2</v>
      </c>
      <c r="D11" s="50">
        <f>'쪽쟘(실측)'!C11-쪽쟘OP차감</f>
        <v>0</v>
      </c>
      <c r="E11" s="50">
        <f>'쪽쟘(실측)'!D11+쪽쟘J늘림+MAX(W11:X11)</f>
        <v>4.4000000000000004</v>
      </c>
      <c r="F11" s="50">
        <f>'쪽쟘(실측)'!E11+쪽쟘J늘림+MAX(W11:X11)</f>
        <v>4.4000000000000004</v>
      </c>
      <c r="G11" s="67" t="str">
        <f t="shared" si="6"/>
        <v>0*3.2</v>
      </c>
      <c r="H11" s="68" t="str">
        <f t="shared" si="7"/>
        <v>0*3.2</v>
      </c>
      <c r="I11" s="50">
        <f>IF('쪽쟘(실측)'!F11&gt;0,'쪽쟘(실측)'!F11-1.5,0)+뒷날개치수더함</f>
        <v>1.2</v>
      </c>
      <c r="J11" s="50">
        <f>IF('쪽쟘(실측)'!H11&gt;0,'쪽쟘(실측)'!H11-1.5,0)+뒷날개치수더함</f>
        <v>1.2</v>
      </c>
      <c r="K11" s="50">
        <f>IF('쪽쟘(실측)'!F11&gt;0,'쪽쟘(실측)'!F11+0,0)+뒷날개치수더함</f>
        <v>1.2</v>
      </c>
      <c r="L11" s="50">
        <f>IF('쪽쟘(실측)'!G11&gt;0,'쪽쟘(실측)'!G11+0,0)+뒷날개치수더함</f>
        <v>1.2</v>
      </c>
      <c r="M11" s="50">
        <f>IF('쪽쟘(실측)'!H11&gt;0,'쪽쟘(실측)'!H11+0,0)+뒷날개치수더함</f>
        <v>1.2</v>
      </c>
      <c r="N11" s="50">
        <f>IF('쪽쟘(실측)'!I11&gt;0,'쪽쟘(실측)'!I11+0,0)+뒷날개치수더함</f>
        <v>1.2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1.2</v>
      </c>
      <c r="T11" s="50">
        <f>'쪽쟘(실측)'!O11+뒷날개치수더함</f>
        <v>1.2</v>
      </c>
      <c r="U11" s="50">
        <f>'쪽쟘(실측)'!P11+뒷날개치수더함</f>
        <v>1.2</v>
      </c>
      <c r="V11" s="50">
        <f>'쪽쟘(실측)'!Q11+뒷날개치수더함</f>
        <v>1.2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2.4</v>
      </c>
      <c r="AD11">
        <f t="shared" si="9"/>
        <v>3.2000000000000011</v>
      </c>
      <c r="AE11">
        <f t="shared" si="2"/>
        <v>3.2000000000000011</v>
      </c>
      <c r="AF11">
        <f t="shared" si="10"/>
        <v>0</v>
      </c>
      <c r="AG11">
        <f t="shared" si="4"/>
        <v>3.2000000000000011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2.4*3.2</v>
      </c>
      <c r="D12" s="50">
        <f>'쪽쟘(실측)'!C12-쪽쟘OP차감</f>
        <v>0</v>
      </c>
      <c r="E12" s="50">
        <f>'쪽쟘(실측)'!D12+쪽쟘J늘림+MAX(W12:X12)</f>
        <v>4.4000000000000004</v>
      </c>
      <c r="F12" s="50">
        <f>'쪽쟘(실측)'!E12+쪽쟘J늘림+MAX(W12:X12)</f>
        <v>4.4000000000000004</v>
      </c>
      <c r="G12" s="67" t="str">
        <f t="shared" si="6"/>
        <v>0*3.2</v>
      </c>
      <c r="H12" s="68" t="str">
        <f t="shared" si="7"/>
        <v>0*3.2</v>
      </c>
      <c r="I12" s="50">
        <f>IF('쪽쟘(실측)'!F12&gt;0,'쪽쟘(실측)'!F12-1.5,0)+뒷날개치수더함</f>
        <v>1.2</v>
      </c>
      <c r="J12" s="50">
        <f>IF('쪽쟘(실측)'!H12&gt;0,'쪽쟘(실측)'!H12-1.5,0)+뒷날개치수더함</f>
        <v>1.2</v>
      </c>
      <c r="K12" s="50">
        <f>IF('쪽쟘(실측)'!F12&gt;0,'쪽쟘(실측)'!F12+0,0)+뒷날개치수더함</f>
        <v>1.2</v>
      </c>
      <c r="L12" s="50">
        <f>IF('쪽쟘(실측)'!G12&gt;0,'쪽쟘(실측)'!G12+0,0)+뒷날개치수더함</f>
        <v>1.2</v>
      </c>
      <c r="M12" s="50">
        <f>IF('쪽쟘(실측)'!H12&gt;0,'쪽쟘(실측)'!H12+0,0)+뒷날개치수더함</f>
        <v>1.2</v>
      </c>
      <c r="N12" s="50">
        <f>IF('쪽쟘(실측)'!I12&gt;0,'쪽쟘(실측)'!I12+0,0)+뒷날개치수더함</f>
        <v>1.2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1.2</v>
      </c>
      <c r="T12" s="50">
        <f>'쪽쟘(실측)'!O12+뒷날개치수더함</f>
        <v>1.2</v>
      </c>
      <c r="U12" s="50">
        <f>'쪽쟘(실측)'!P12+뒷날개치수더함</f>
        <v>1.2</v>
      </c>
      <c r="V12" s="50">
        <f>'쪽쟘(실측)'!Q12+뒷날개치수더함</f>
        <v>1.2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2.4</v>
      </c>
      <c r="AD12">
        <f t="shared" si="9"/>
        <v>3.2000000000000011</v>
      </c>
      <c r="AE12">
        <f t="shared" si="2"/>
        <v>3.2000000000000011</v>
      </c>
      <c r="AF12">
        <f t="shared" si="10"/>
        <v>0</v>
      </c>
      <c r="AG12">
        <f t="shared" si="4"/>
        <v>3.2000000000000011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2.4*3.2</v>
      </c>
      <c r="D13" s="50">
        <f>'쪽쟘(실측)'!C13-쪽쟘OP차감</f>
        <v>0</v>
      </c>
      <c r="E13" s="50">
        <f>'쪽쟘(실측)'!D13+쪽쟘J늘림+MAX(W13:X13)</f>
        <v>4.4000000000000004</v>
      </c>
      <c r="F13" s="50">
        <f>'쪽쟘(실측)'!E13+쪽쟘J늘림+MAX(W13:X13)</f>
        <v>4.4000000000000004</v>
      </c>
      <c r="G13" s="67" t="str">
        <f t="shared" si="6"/>
        <v>0*3.2</v>
      </c>
      <c r="H13" s="68" t="str">
        <f t="shared" si="7"/>
        <v>0*3.2</v>
      </c>
      <c r="I13" s="50">
        <f>IF('쪽쟘(실측)'!F13&gt;0,'쪽쟘(실측)'!F13-1.5,0)+뒷날개치수더함</f>
        <v>1.2</v>
      </c>
      <c r="J13" s="50">
        <f>IF('쪽쟘(실측)'!H13&gt;0,'쪽쟘(실측)'!H13-1.5,0)+뒷날개치수더함</f>
        <v>1.2</v>
      </c>
      <c r="K13" s="50">
        <f>IF('쪽쟘(실측)'!F13&gt;0,'쪽쟘(실측)'!F13+0,0)+뒷날개치수더함</f>
        <v>1.2</v>
      </c>
      <c r="L13" s="50">
        <f>IF('쪽쟘(실측)'!G13&gt;0,'쪽쟘(실측)'!G13+0,0)+뒷날개치수더함</f>
        <v>1.2</v>
      </c>
      <c r="M13" s="50">
        <f>IF('쪽쟘(실측)'!H13&gt;0,'쪽쟘(실측)'!H13+0,0)+뒷날개치수더함</f>
        <v>1.2</v>
      </c>
      <c r="N13" s="50">
        <f>IF('쪽쟘(실측)'!I13&gt;0,'쪽쟘(실측)'!I13+0,0)+뒷날개치수더함</f>
        <v>1.2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1.2</v>
      </c>
      <c r="T13" s="50">
        <f>'쪽쟘(실측)'!O13+뒷날개치수더함</f>
        <v>1.2</v>
      </c>
      <c r="U13" s="50">
        <f>'쪽쟘(실측)'!P13+뒷날개치수더함</f>
        <v>1.2</v>
      </c>
      <c r="V13" s="50">
        <f>'쪽쟘(실측)'!Q13+뒷날개치수더함</f>
        <v>1.2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2.4</v>
      </c>
      <c r="AD13">
        <f t="shared" si="9"/>
        <v>3.2000000000000011</v>
      </c>
      <c r="AE13">
        <f t="shared" si="2"/>
        <v>3.2000000000000011</v>
      </c>
      <c r="AF13">
        <f t="shared" si="10"/>
        <v>0</v>
      </c>
      <c r="AG13">
        <f t="shared" si="4"/>
        <v>3.2000000000000011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2.4*3.2</v>
      </c>
      <c r="D14" s="50">
        <f>'쪽쟘(실측)'!C14-쪽쟘OP차감</f>
        <v>0</v>
      </c>
      <c r="E14" s="50">
        <f>'쪽쟘(실측)'!D14+쪽쟘J늘림+MAX(W14:X14)</f>
        <v>4.4000000000000004</v>
      </c>
      <c r="F14" s="50">
        <f>'쪽쟘(실측)'!E14+쪽쟘J늘림+MAX(W14:X14)</f>
        <v>4.4000000000000004</v>
      </c>
      <c r="G14" s="67" t="str">
        <f t="shared" si="6"/>
        <v>0*3.2</v>
      </c>
      <c r="H14" s="68" t="str">
        <f t="shared" si="7"/>
        <v>0*3.2</v>
      </c>
      <c r="I14" s="50">
        <f>IF('쪽쟘(실측)'!F14&gt;0,'쪽쟘(실측)'!F14-1.5,0)+뒷날개치수더함</f>
        <v>1.2</v>
      </c>
      <c r="J14" s="50">
        <f>IF('쪽쟘(실측)'!H14&gt;0,'쪽쟘(실측)'!H14-1.5,0)+뒷날개치수더함</f>
        <v>1.2</v>
      </c>
      <c r="K14" s="50">
        <f>IF('쪽쟘(실측)'!F14&gt;0,'쪽쟘(실측)'!F14+0,0)+뒷날개치수더함</f>
        <v>1.2</v>
      </c>
      <c r="L14" s="50">
        <f>IF('쪽쟘(실측)'!G14&gt;0,'쪽쟘(실측)'!G14+0,0)+뒷날개치수더함</f>
        <v>1.2</v>
      </c>
      <c r="M14" s="50">
        <f>IF('쪽쟘(실측)'!H14&gt;0,'쪽쟘(실측)'!H14+0,0)+뒷날개치수더함</f>
        <v>1.2</v>
      </c>
      <c r="N14" s="50">
        <f>IF('쪽쟘(실측)'!I14&gt;0,'쪽쟘(실측)'!I14+0,0)+뒷날개치수더함</f>
        <v>1.2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1.2</v>
      </c>
      <c r="T14" s="50">
        <f>'쪽쟘(실측)'!O14+뒷날개치수더함</f>
        <v>1.2</v>
      </c>
      <c r="U14" s="50">
        <f>'쪽쟘(실측)'!P14+뒷날개치수더함</f>
        <v>1.2</v>
      </c>
      <c r="V14" s="50">
        <f>'쪽쟘(실측)'!Q14+뒷날개치수더함</f>
        <v>1.2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2.4</v>
      </c>
      <c r="AD14">
        <f t="shared" si="9"/>
        <v>3.2000000000000011</v>
      </c>
      <c r="AE14">
        <f t="shared" si="2"/>
        <v>3.2000000000000011</v>
      </c>
      <c r="AF14">
        <f t="shared" si="10"/>
        <v>0</v>
      </c>
      <c r="AG14">
        <f t="shared" si="4"/>
        <v>3.2000000000000011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2.4*3.2</v>
      </c>
      <c r="D15" s="50">
        <f>'쪽쟘(실측)'!C15-쪽쟘OP차감</f>
        <v>0</v>
      </c>
      <c r="E15" s="50">
        <f>'쪽쟘(실측)'!D15+쪽쟘J늘림+MAX(W15:X15)</f>
        <v>4.4000000000000004</v>
      </c>
      <c r="F15" s="50">
        <f>'쪽쟘(실측)'!E15+쪽쟘J늘림+MAX(W15:X15)</f>
        <v>4.4000000000000004</v>
      </c>
      <c r="G15" s="67" t="str">
        <f t="shared" si="6"/>
        <v>0*3.2</v>
      </c>
      <c r="H15" s="68" t="str">
        <f t="shared" si="7"/>
        <v>0*3.2</v>
      </c>
      <c r="I15" s="50">
        <f>IF('쪽쟘(실측)'!F15&gt;0,'쪽쟘(실측)'!F15-1.5,0)+뒷날개치수더함</f>
        <v>1.2</v>
      </c>
      <c r="J15" s="50">
        <f>IF('쪽쟘(실측)'!H15&gt;0,'쪽쟘(실측)'!H15-1.5,0)+뒷날개치수더함</f>
        <v>1.2</v>
      </c>
      <c r="K15" s="50">
        <f>IF('쪽쟘(실측)'!F15&gt;0,'쪽쟘(실측)'!F15+0,0)+뒷날개치수더함</f>
        <v>1.2</v>
      </c>
      <c r="L15" s="50">
        <f>IF('쪽쟘(실측)'!G15&gt;0,'쪽쟘(실측)'!G15+0,0)+뒷날개치수더함</f>
        <v>1.2</v>
      </c>
      <c r="M15" s="50">
        <f>IF('쪽쟘(실측)'!H15&gt;0,'쪽쟘(실측)'!H15+0,0)+뒷날개치수더함</f>
        <v>1.2</v>
      </c>
      <c r="N15" s="50">
        <f>IF('쪽쟘(실측)'!I15&gt;0,'쪽쟘(실측)'!I15+0,0)+뒷날개치수더함</f>
        <v>1.2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1.2</v>
      </c>
      <c r="T15" s="50">
        <f>'쪽쟘(실측)'!O15+뒷날개치수더함</f>
        <v>1.2</v>
      </c>
      <c r="U15" s="50">
        <f>'쪽쟘(실측)'!P15+뒷날개치수더함</f>
        <v>1.2</v>
      </c>
      <c r="V15" s="50">
        <f>'쪽쟘(실측)'!Q15+뒷날개치수더함</f>
        <v>1.2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2.4</v>
      </c>
      <c r="AD15">
        <f t="shared" si="9"/>
        <v>3.2000000000000011</v>
      </c>
      <c r="AE15">
        <f t="shared" si="2"/>
        <v>3.2000000000000011</v>
      </c>
      <c r="AF15">
        <f t="shared" si="10"/>
        <v>0</v>
      </c>
      <c r="AG15">
        <f t="shared" si="4"/>
        <v>3.2000000000000011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2.4*3.2</v>
      </c>
      <c r="D16" s="50">
        <f>'쪽쟘(실측)'!C16-쪽쟘OP차감</f>
        <v>0</v>
      </c>
      <c r="E16" s="50">
        <f>'쪽쟘(실측)'!D16+쪽쟘J늘림+MAX(W16:X16)</f>
        <v>4.4000000000000004</v>
      </c>
      <c r="F16" s="50">
        <f>'쪽쟘(실측)'!E16+쪽쟘J늘림+MAX(W16:X16)</f>
        <v>4.4000000000000004</v>
      </c>
      <c r="G16" s="67" t="str">
        <f t="shared" si="6"/>
        <v>0*3.2</v>
      </c>
      <c r="H16" s="68" t="str">
        <f t="shared" si="7"/>
        <v>0*3.2</v>
      </c>
      <c r="I16" s="50">
        <f>IF('쪽쟘(실측)'!F16&gt;0,'쪽쟘(실측)'!F16-1.5,0)+뒷날개치수더함</f>
        <v>1.2</v>
      </c>
      <c r="J16" s="50">
        <f>IF('쪽쟘(실측)'!H16&gt;0,'쪽쟘(실측)'!H16-1.5,0)+뒷날개치수더함</f>
        <v>1.2</v>
      </c>
      <c r="K16" s="50">
        <f>IF('쪽쟘(실측)'!F16&gt;0,'쪽쟘(실측)'!F16+0,0)+뒷날개치수더함</f>
        <v>1.2</v>
      </c>
      <c r="L16" s="50">
        <f>IF('쪽쟘(실측)'!G16&gt;0,'쪽쟘(실측)'!G16+0,0)+뒷날개치수더함</f>
        <v>1.2</v>
      </c>
      <c r="M16" s="50">
        <f>IF('쪽쟘(실측)'!H16&gt;0,'쪽쟘(실측)'!H16+0,0)+뒷날개치수더함</f>
        <v>1.2</v>
      </c>
      <c r="N16" s="50">
        <f>IF('쪽쟘(실측)'!I16&gt;0,'쪽쟘(실측)'!I16+0,0)+뒷날개치수더함</f>
        <v>1.2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1.2</v>
      </c>
      <c r="T16" s="50">
        <f>'쪽쟘(실측)'!O16+뒷날개치수더함</f>
        <v>1.2</v>
      </c>
      <c r="U16" s="50">
        <f>'쪽쟘(실측)'!P16+뒷날개치수더함</f>
        <v>1.2</v>
      </c>
      <c r="V16" s="50">
        <f>'쪽쟘(실측)'!Q16+뒷날개치수더함</f>
        <v>1.2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2.4</v>
      </c>
      <c r="AD16">
        <f t="shared" si="9"/>
        <v>3.2000000000000011</v>
      </c>
      <c r="AE16">
        <f t="shared" si="2"/>
        <v>3.2000000000000011</v>
      </c>
      <c r="AF16">
        <f t="shared" si="10"/>
        <v>0</v>
      </c>
      <c r="AG16">
        <f t="shared" si="4"/>
        <v>3.2000000000000011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2.4*3.2</v>
      </c>
      <c r="D17" s="50">
        <f>'쪽쟘(실측)'!C17-쪽쟘OP차감</f>
        <v>0</v>
      </c>
      <c r="E17" s="50">
        <f>'쪽쟘(실측)'!D17+쪽쟘J늘림+MAX(W17:X17)</f>
        <v>4.4000000000000004</v>
      </c>
      <c r="F17" s="50">
        <f>'쪽쟘(실측)'!E17+쪽쟘J늘림+MAX(W17:X17)</f>
        <v>4.4000000000000004</v>
      </c>
      <c r="G17" s="67" t="str">
        <f t="shared" si="6"/>
        <v>0*3.2</v>
      </c>
      <c r="H17" s="68" t="str">
        <f t="shared" si="7"/>
        <v>0*3.2</v>
      </c>
      <c r="I17" s="50">
        <f>IF('쪽쟘(실측)'!F17&gt;0,'쪽쟘(실측)'!F17-1.5,0)+뒷날개치수더함</f>
        <v>1.2</v>
      </c>
      <c r="J17" s="50">
        <f>IF('쪽쟘(실측)'!H17&gt;0,'쪽쟘(실측)'!H17-1.5,0)+뒷날개치수더함</f>
        <v>1.2</v>
      </c>
      <c r="K17" s="50">
        <f>IF('쪽쟘(실측)'!F17&gt;0,'쪽쟘(실측)'!F17+0,0)+뒷날개치수더함</f>
        <v>1.2</v>
      </c>
      <c r="L17" s="50">
        <f>IF('쪽쟘(실측)'!G17&gt;0,'쪽쟘(실측)'!G17+0,0)+뒷날개치수더함</f>
        <v>1.2</v>
      </c>
      <c r="M17" s="50">
        <f>IF('쪽쟘(실측)'!H17&gt;0,'쪽쟘(실측)'!H17+0,0)+뒷날개치수더함</f>
        <v>1.2</v>
      </c>
      <c r="N17" s="50">
        <f>IF('쪽쟘(실측)'!I17&gt;0,'쪽쟘(실측)'!I17+0,0)+뒷날개치수더함</f>
        <v>1.2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1.2</v>
      </c>
      <c r="T17" s="50">
        <f>'쪽쟘(실측)'!O17+뒷날개치수더함</f>
        <v>1.2</v>
      </c>
      <c r="U17" s="50">
        <f>'쪽쟘(실측)'!P17+뒷날개치수더함</f>
        <v>1.2</v>
      </c>
      <c r="V17" s="50">
        <f>'쪽쟘(실측)'!Q17+뒷날개치수더함</f>
        <v>1.2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2.4</v>
      </c>
      <c r="AD17">
        <f t="shared" si="9"/>
        <v>3.2000000000000011</v>
      </c>
      <c r="AE17">
        <f t="shared" si="2"/>
        <v>3.2000000000000011</v>
      </c>
      <c r="AF17">
        <f t="shared" si="10"/>
        <v>0</v>
      </c>
      <c r="AG17">
        <f t="shared" si="4"/>
        <v>3.2000000000000011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2.4*3.2</v>
      </c>
      <c r="D18" s="50">
        <f>'쪽쟘(실측)'!C18-쪽쟘OP차감</f>
        <v>0</v>
      </c>
      <c r="E18" s="50">
        <f>'쪽쟘(실측)'!D18+쪽쟘J늘림+MAX(W18:X18)</f>
        <v>4.4000000000000004</v>
      </c>
      <c r="F18" s="50">
        <f>'쪽쟘(실측)'!E18+쪽쟘J늘림+MAX(W18:X18)</f>
        <v>4.4000000000000004</v>
      </c>
      <c r="G18" s="67" t="str">
        <f t="shared" si="6"/>
        <v>0*3.2</v>
      </c>
      <c r="H18" s="68" t="str">
        <f t="shared" si="7"/>
        <v>0*3.2</v>
      </c>
      <c r="I18" s="50">
        <f>IF('쪽쟘(실측)'!F18&gt;0,'쪽쟘(실측)'!F18-1.5,0)+뒷날개치수더함</f>
        <v>1.2</v>
      </c>
      <c r="J18" s="50">
        <f>IF('쪽쟘(실측)'!H18&gt;0,'쪽쟘(실측)'!H18-1.5,0)+뒷날개치수더함</f>
        <v>1.2</v>
      </c>
      <c r="K18" s="50">
        <f>IF('쪽쟘(실측)'!F18&gt;0,'쪽쟘(실측)'!F18+0,0)+뒷날개치수더함</f>
        <v>1.2</v>
      </c>
      <c r="L18" s="50">
        <f>IF('쪽쟘(실측)'!G18&gt;0,'쪽쟘(실측)'!G18+0,0)+뒷날개치수더함</f>
        <v>1.2</v>
      </c>
      <c r="M18" s="50">
        <f>IF('쪽쟘(실측)'!H18&gt;0,'쪽쟘(실측)'!H18+0,0)+뒷날개치수더함</f>
        <v>1.2</v>
      </c>
      <c r="N18" s="50">
        <f>IF('쪽쟘(실측)'!I18&gt;0,'쪽쟘(실측)'!I18+0,0)+뒷날개치수더함</f>
        <v>1.2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1.2</v>
      </c>
      <c r="T18" s="50">
        <f>'쪽쟘(실측)'!O18+뒷날개치수더함</f>
        <v>1.2</v>
      </c>
      <c r="U18" s="50">
        <f>'쪽쟘(실측)'!P18+뒷날개치수더함</f>
        <v>1.2</v>
      </c>
      <c r="V18" s="50">
        <f>'쪽쟘(실측)'!Q18+뒷날개치수더함</f>
        <v>1.2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2.4</v>
      </c>
      <c r="AD18">
        <f t="shared" si="9"/>
        <v>3.2000000000000011</v>
      </c>
      <c r="AE18">
        <f t="shared" si="2"/>
        <v>3.2000000000000011</v>
      </c>
      <c r="AF18">
        <f t="shared" si="10"/>
        <v>0</v>
      </c>
      <c r="AG18">
        <f t="shared" si="4"/>
        <v>3.2000000000000011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2.4*3.2</v>
      </c>
      <c r="D19" s="50">
        <f>'쪽쟘(실측)'!C19-쪽쟘OP차감</f>
        <v>0</v>
      </c>
      <c r="E19" s="50">
        <f>'쪽쟘(실측)'!D19+쪽쟘J늘림+MAX(W19:X19)</f>
        <v>4.4000000000000004</v>
      </c>
      <c r="F19" s="50">
        <f>'쪽쟘(실측)'!E19+쪽쟘J늘림+MAX(W19:X19)</f>
        <v>4.4000000000000004</v>
      </c>
      <c r="G19" s="67" t="str">
        <f t="shared" si="6"/>
        <v>0*3.2</v>
      </c>
      <c r="H19" s="68" t="str">
        <f t="shared" si="7"/>
        <v>0*3.2</v>
      </c>
      <c r="I19" s="50">
        <f>IF('쪽쟘(실측)'!F19&gt;0,'쪽쟘(실측)'!F19-1.5,0)+뒷날개치수더함</f>
        <v>1.2</v>
      </c>
      <c r="J19" s="50">
        <f>IF('쪽쟘(실측)'!H19&gt;0,'쪽쟘(실측)'!H19-1.5,0)+뒷날개치수더함</f>
        <v>1.2</v>
      </c>
      <c r="K19" s="50">
        <f>IF('쪽쟘(실측)'!F19&gt;0,'쪽쟘(실측)'!F19+0,0)+뒷날개치수더함</f>
        <v>1.2</v>
      </c>
      <c r="L19" s="50">
        <f>IF('쪽쟘(실측)'!G19&gt;0,'쪽쟘(실측)'!G19+0,0)+뒷날개치수더함</f>
        <v>1.2</v>
      </c>
      <c r="M19" s="50">
        <f>IF('쪽쟘(실측)'!H19&gt;0,'쪽쟘(실측)'!H19+0,0)+뒷날개치수더함</f>
        <v>1.2</v>
      </c>
      <c r="N19" s="50">
        <f>IF('쪽쟘(실측)'!I19&gt;0,'쪽쟘(실측)'!I19+0,0)+뒷날개치수더함</f>
        <v>1.2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1.2</v>
      </c>
      <c r="T19" s="50">
        <f>'쪽쟘(실측)'!O19+뒷날개치수더함</f>
        <v>1.2</v>
      </c>
      <c r="U19" s="50">
        <f>'쪽쟘(실측)'!P19+뒷날개치수더함</f>
        <v>1.2</v>
      </c>
      <c r="V19" s="50">
        <f>'쪽쟘(실측)'!Q19+뒷날개치수더함</f>
        <v>1.2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2.4</v>
      </c>
      <c r="AD19">
        <f t="shared" si="9"/>
        <v>3.2000000000000011</v>
      </c>
      <c r="AE19">
        <f t="shared" si="2"/>
        <v>3.2000000000000011</v>
      </c>
      <c r="AF19">
        <f t="shared" si="10"/>
        <v>0</v>
      </c>
      <c r="AG19">
        <f t="shared" si="4"/>
        <v>3.2000000000000011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2.4*3.2</v>
      </c>
      <c r="D20" s="50">
        <f>'쪽쟘(실측)'!C20-쪽쟘OP차감</f>
        <v>0</v>
      </c>
      <c r="E20" s="50">
        <f>'쪽쟘(실측)'!D20+쪽쟘J늘림+MAX(W20:X20)</f>
        <v>4.4000000000000004</v>
      </c>
      <c r="F20" s="50">
        <f>'쪽쟘(실측)'!E20+쪽쟘J늘림+MAX(W20:X20)</f>
        <v>4.4000000000000004</v>
      </c>
      <c r="G20" s="67" t="str">
        <f t="shared" si="6"/>
        <v>0*3.2</v>
      </c>
      <c r="H20" s="68" t="str">
        <f t="shared" si="7"/>
        <v>0*3.2</v>
      </c>
      <c r="I20" s="50">
        <f>IF('쪽쟘(실측)'!F20&gt;0,'쪽쟘(실측)'!F20-1.5,0)+뒷날개치수더함</f>
        <v>1.2</v>
      </c>
      <c r="J20" s="50">
        <f>IF('쪽쟘(실측)'!H20&gt;0,'쪽쟘(실측)'!H20-1.5,0)+뒷날개치수더함</f>
        <v>1.2</v>
      </c>
      <c r="K20" s="50">
        <f>IF('쪽쟘(실측)'!F20&gt;0,'쪽쟘(실측)'!F20+0,0)+뒷날개치수더함</f>
        <v>1.2</v>
      </c>
      <c r="L20" s="50">
        <f>IF('쪽쟘(실측)'!G20&gt;0,'쪽쟘(실측)'!G20+0,0)+뒷날개치수더함</f>
        <v>1.2</v>
      </c>
      <c r="M20" s="50">
        <f>IF('쪽쟘(실측)'!H20&gt;0,'쪽쟘(실측)'!H20+0,0)+뒷날개치수더함</f>
        <v>1.2</v>
      </c>
      <c r="N20" s="50">
        <f>IF('쪽쟘(실측)'!I20&gt;0,'쪽쟘(실측)'!I20+0,0)+뒷날개치수더함</f>
        <v>1.2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1.2</v>
      </c>
      <c r="T20" s="50">
        <f>'쪽쟘(실측)'!O20+뒷날개치수더함</f>
        <v>1.2</v>
      </c>
      <c r="U20" s="50">
        <f>'쪽쟘(실측)'!P20+뒷날개치수더함</f>
        <v>1.2</v>
      </c>
      <c r="V20" s="50">
        <f>'쪽쟘(실측)'!Q20+뒷날개치수더함</f>
        <v>1.2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2.4</v>
      </c>
      <c r="AD20">
        <f t="shared" si="9"/>
        <v>3.2000000000000011</v>
      </c>
      <c r="AE20">
        <f t="shared" si="2"/>
        <v>3.2000000000000011</v>
      </c>
      <c r="AF20">
        <f t="shared" si="10"/>
        <v>0</v>
      </c>
      <c r="AG20">
        <f t="shared" si="4"/>
        <v>3.2000000000000011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2.4*3.2</v>
      </c>
      <c r="D21" s="50">
        <f>'쪽쟘(실측)'!C21-쪽쟘OP차감</f>
        <v>0</v>
      </c>
      <c r="E21" s="50">
        <f>'쪽쟘(실측)'!D21+쪽쟘J늘림+MAX(W21:X21)</f>
        <v>4.4000000000000004</v>
      </c>
      <c r="F21" s="50">
        <f>'쪽쟘(실측)'!E21+쪽쟘J늘림+MAX(W21:X21)</f>
        <v>4.4000000000000004</v>
      </c>
      <c r="G21" s="67" t="str">
        <f t="shared" si="6"/>
        <v>0*3.2</v>
      </c>
      <c r="H21" s="68" t="str">
        <f t="shared" si="7"/>
        <v>0*3.2</v>
      </c>
      <c r="I21" s="50">
        <f>IF('쪽쟘(실측)'!F21&gt;0,'쪽쟘(실측)'!F21-1.5,0)+뒷날개치수더함</f>
        <v>1.2</v>
      </c>
      <c r="J21" s="50">
        <f>IF('쪽쟘(실측)'!H21&gt;0,'쪽쟘(실측)'!H21-1.5,0)+뒷날개치수더함</f>
        <v>1.2</v>
      </c>
      <c r="K21" s="50">
        <f>IF('쪽쟘(실측)'!F21&gt;0,'쪽쟘(실측)'!F21+0,0)+뒷날개치수더함</f>
        <v>1.2</v>
      </c>
      <c r="L21" s="50">
        <f>IF('쪽쟘(실측)'!G21&gt;0,'쪽쟘(실측)'!G21+0,0)+뒷날개치수더함</f>
        <v>1.2</v>
      </c>
      <c r="M21" s="50">
        <f>IF('쪽쟘(실측)'!H21&gt;0,'쪽쟘(실측)'!H21+0,0)+뒷날개치수더함</f>
        <v>1.2</v>
      </c>
      <c r="N21" s="50">
        <f>IF('쪽쟘(실측)'!I21&gt;0,'쪽쟘(실측)'!I21+0,0)+뒷날개치수더함</f>
        <v>1.2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1.2</v>
      </c>
      <c r="T21" s="50">
        <f>'쪽쟘(실측)'!O21+뒷날개치수더함</f>
        <v>1.2</v>
      </c>
      <c r="U21" s="50">
        <f>'쪽쟘(실측)'!P21+뒷날개치수더함</f>
        <v>1.2</v>
      </c>
      <c r="V21" s="50">
        <f>'쪽쟘(실측)'!Q21+뒷날개치수더함</f>
        <v>1.2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2.4</v>
      </c>
      <c r="AD21">
        <f t="shared" si="9"/>
        <v>3.2000000000000011</v>
      </c>
      <c r="AE21">
        <f t="shared" si="2"/>
        <v>3.2000000000000011</v>
      </c>
      <c r="AF21">
        <f t="shared" si="10"/>
        <v>0</v>
      </c>
      <c r="AG21">
        <f t="shared" si="4"/>
        <v>3.2000000000000011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2.4*3.2</v>
      </c>
      <c r="D22" s="50">
        <f>'쪽쟘(실측)'!C22-쪽쟘OP차감</f>
        <v>0</v>
      </c>
      <c r="E22" s="50">
        <f>'쪽쟘(실측)'!D22+쪽쟘J늘림+MAX(W22:X22)</f>
        <v>4.4000000000000004</v>
      </c>
      <c r="F22" s="50">
        <f>'쪽쟘(실측)'!E22+쪽쟘J늘림+MAX(W22:X22)</f>
        <v>4.4000000000000004</v>
      </c>
      <c r="G22" s="67" t="str">
        <f t="shared" si="6"/>
        <v>0*3.2</v>
      </c>
      <c r="H22" s="68" t="str">
        <f t="shared" si="7"/>
        <v>0*3.2</v>
      </c>
      <c r="I22" s="50">
        <f>IF('쪽쟘(실측)'!F22&gt;0,'쪽쟘(실측)'!F22-1.5,0)+뒷날개치수더함</f>
        <v>1.2</v>
      </c>
      <c r="J22" s="50">
        <f>IF('쪽쟘(실측)'!H22&gt;0,'쪽쟘(실측)'!H22-1.5,0)+뒷날개치수더함</f>
        <v>1.2</v>
      </c>
      <c r="K22" s="50">
        <f>IF('쪽쟘(실측)'!F22&gt;0,'쪽쟘(실측)'!F22+0,0)+뒷날개치수더함</f>
        <v>1.2</v>
      </c>
      <c r="L22" s="50">
        <f>IF('쪽쟘(실측)'!G22&gt;0,'쪽쟘(실측)'!G22+0,0)+뒷날개치수더함</f>
        <v>1.2</v>
      </c>
      <c r="M22" s="50">
        <f>IF('쪽쟘(실측)'!H22&gt;0,'쪽쟘(실측)'!H22+0,0)+뒷날개치수더함</f>
        <v>1.2</v>
      </c>
      <c r="N22" s="50">
        <f>IF('쪽쟘(실측)'!I22&gt;0,'쪽쟘(실측)'!I22+0,0)+뒷날개치수더함</f>
        <v>1.2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1.2</v>
      </c>
      <c r="T22" s="50">
        <f>'쪽쟘(실측)'!O22+뒷날개치수더함</f>
        <v>1.2</v>
      </c>
      <c r="U22" s="50">
        <f>'쪽쟘(실측)'!P22+뒷날개치수더함</f>
        <v>1.2</v>
      </c>
      <c r="V22" s="50">
        <f>'쪽쟘(실측)'!Q22+뒷날개치수더함</f>
        <v>1.2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2.4</v>
      </c>
      <c r="AD22">
        <f t="shared" si="9"/>
        <v>3.2000000000000011</v>
      </c>
      <c r="AE22">
        <f t="shared" si="2"/>
        <v>3.2000000000000011</v>
      </c>
      <c r="AF22">
        <f t="shared" si="10"/>
        <v>0</v>
      </c>
      <c r="AG22">
        <f t="shared" si="4"/>
        <v>3.2000000000000011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2.4*3.2</v>
      </c>
      <c r="D23" s="50">
        <f>'쪽쟘(실측)'!C23-쪽쟘OP차감</f>
        <v>0</v>
      </c>
      <c r="E23" s="50">
        <f>'쪽쟘(실측)'!D23+쪽쟘J늘림+MAX(W23:X23)</f>
        <v>4.4000000000000004</v>
      </c>
      <c r="F23" s="50">
        <f>'쪽쟘(실측)'!E23+쪽쟘J늘림+MAX(W23:X23)</f>
        <v>4.4000000000000004</v>
      </c>
      <c r="G23" s="67" t="str">
        <f t="shared" si="6"/>
        <v>0*3.2</v>
      </c>
      <c r="H23" s="68" t="str">
        <f t="shared" si="7"/>
        <v>0*3.2</v>
      </c>
      <c r="I23" s="50">
        <f>IF('쪽쟘(실측)'!F23&gt;0,'쪽쟘(실측)'!F23-1.5,0)+뒷날개치수더함</f>
        <v>1.2</v>
      </c>
      <c r="J23" s="50">
        <f>IF('쪽쟘(실측)'!H23&gt;0,'쪽쟘(실측)'!H23-1.5,0)+뒷날개치수더함</f>
        <v>1.2</v>
      </c>
      <c r="K23" s="50">
        <f>IF('쪽쟘(실측)'!F23&gt;0,'쪽쟘(실측)'!F23+0,0)+뒷날개치수더함</f>
        <v>1.2</v>
      </c>
      <c r="L23" s="50">
        <f>IF('쪽쟘(실측)'!G23&gt;0,'쪽쟘(실측)'!G23+0,0)+뒷날개치수더함</f>
        <v>1.2</v>
      </c>
      <c r="M23" s="50">
        <f>IF('쪽쟘(실측)'!H23&gt;0,'쪽쟘(실측)'!H23+0,0)+뒷날개치수더함</f>
        <v>1.2</v>
      </c>
      <c r="N23" s="50">
        <f>IF('쪽쟘(실측)'!I23&gt;0,'쪽쟘(실측)'!I23+0,0)+뒷날개치수더함</f>
        <v>1.2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1.2</v>
      </c>
      <c r="T23" s="50">
        <f>'쪽쟘(실측)'!O23+뒷날개치수더함</f>
        <v>1.2</v>
      </c>
      <c r="U23" s="50">
        <f>'쪽쟘(실측)'!P23+뒷날개치수더함</f>
        <v>1.2</v>
      </c>
      <c r="V23" s="50">
        <f>'쪽쟘(실측)'!Q23+뒷날개치수더함</f>
        <v>1.2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2.4</v>
      </c>
      <c r="AD23">
        <f t="shared" si="9"/>
        <v>3.2000000000000011</v>
      </c>
      <c r="AE23">
        <f t="shared" si="2"/>
        <v>3.2000000000000011</v>
      </c>
      <c r="AF23">
        <f t="shared" si="10"/>
        <v>0</v>
      </c>
      <c r="AG23">
        <f t="shared" si="4"/>
        <v>3.2000000000000011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2.4*3.2</v>
      </c>
      <c r="D24" s="50">
        <f>'쪽쟘(실측)'!C24-쪽쟘OP차감</f>
        <v>0</v>
      </c>
      <c r="E24" s="50">
        <f>'쪽쟘(실측)'!D24+쪽쟘J늘림+MAX(W24:X24)</f>
        <v>4.4000000000000004</v>
      </c>
      <c r="F24" s="50">
        <f>'쪽쟘(실측)'!E24+쪽쟘J늘림+MAX(W24:X24)</f>
        <v>4.4000000000000004</v>
      </c>
      <c r="G24" s="67" t="str">
        <f t="shared" si="6"/>
        <v>0*3.2</v>
      </c>
      <c r="H24" s="68" t="str">
        <f t="shared" si="7"/>
        <v>0*3.2</v>
      </c>
      <c r="I24" s="50">
        <f>IF('쪽쟘(실측)'!F24&gt;0,'쪽쟘(실측)'!F24-1.5,0)+뒷날개치수더함</f>
        <v>1.2</v>
      </c>
      <c r="J24" s="50">
        <f>IF('쪽쟘(실측)'!H24&gt;0,'쪽쟘(실측)'!H24-1.5,0)+뒷날개치수더함</f>
        <v>1.2</v>
      </c>
      <c r="K24" s="50">
        <f>IF('쪽쟘(실측)'!F24&gt;0,'쪽쟘(실측)'!F24+0,0)+뒷날개치수더함</f>
        <v>1.2</v>
      </c>
      <c r="L24" s="50">
        <f>IF('쪽쟘(실측)'!G24&gt;0,'쪽쟘(실측)'!G24+0,0)+뒷날개치수더함</f>
        <v>1.2</v>
      </c>
      <c r="M24" s="50">
        <f>IF('쪽쟘(실측)'!H24&gt;0,'쪽쟘(실측)'!H24+0,0)+뒷날개치수더함</f>
        <v>1.2</v>
      </c>
      <c r="N24" s="50">
        <f>IF('쪽쟘(실측)'!I24&gt;0,'쪽쟘(실측)'!I24+0,0)+뒷날개치수더함</f>
        <v>1.2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1.2</v>
      </c>
      <c r="T24" s="50">
        <f>'쪽쟘(실측)'!O24+뒷날개치수더함</f>
        <v>1.2</v>
      </c>
      <c r="U24" s="50">
        <f>'쪽쟘(실측)'!P24+뒷날개치수더함</f>
        <v>1.2</v>
      </c>
      <c r="V24" s="50">
        <f>'쪽쟘(실측)'!Q24+뒷날개치수더함</f>
        <v>1.2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2.4</v>
      </c>
      <c r="AD24">
        <f t="shared" si="9"/>
        <v>3.2000000000000011</v>
      </c>
      <c r="AE24">
        <f t="shared" si="2"/>
        <v>3.2000000000000011</v>
      </c>
      <c r="AF24">
        <f t="shared" si="10"/>
        <v>0</v>
      </c>
      <c r="AG24">
        <f t="shared" si="4"/>
        <v>3.2000000000000011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2.4*3.2</v>
      </c>
      <c r="D25" s="50">
        <f>'쪽쟘(실측)'!C25-쪽쟘OP차감</f>
        <v>0</v>
      </c>
      <c r="E25" s="50">
        <f>'쪽쟘(실측)'!D25+쪽쟘J늘림+MAX(W25:X25)</f>
        <v>4.4000000000000004</v>
      </c>
      <c r="F25" s="50">
        <f>'쪽쟘(실측)'!E25+쪽쟘J늘림+MAX(W25:X25)</f>
        <v>4.4000000000000004</v>
      </c>
      <c r="G25" s="67" t="str">
        <f t="shared" si="6"/>
        <v>0*3.2</v>
      </c>
      <c r="H25" s="68" t="str">
        <f t="shared" si="7"/>
        <v>0*3.2</v>
      </c>
      <c r="I25" s="50">
        <f>IF('쪽쟘(실측)'!F25&gt;0,'쪽쟘(실측)'!F25-1.5,0)+뒷날개치수더함</f>
        <v>1.2</v>
      </c>
      <c r="J25" s="50">
        <f>IF('쪽쟘(실측)'!H25&gt;0,'쪽쟘(실측)'!H25-1.5,0)+뒷날개치수더함</f>
        <v>1.2</v>
      </c>
      <c r="K25" s="50">
        <f>IF('쪽쟘(실측)'!F25&gt;0,'쪽쟘(실측)'!F25+0,0)+뒷날개치수더함</f>
        <v>1.2</v>
      </c>
      <c r="L25" s="50">
        <f>IF('쪽쟘(실측)'!G25&gt;0,'쪽쟘(실측)'!G25+0,0)+뒷날개치수더함</f>
        <v>1.2</v>
      </c>
      <c r="M25" s="50">
        <f>IF('쪽쟘(실측)'!H25&gt;0,'쪽쟘(실측)'!H25+0,0)+뒷날개치수더함</f>
        <v>1.2</v>
      </c>
      <c r="N25" s="50">
        <f>IF('쪽쟘(실측)'!I25&gt;0,'쪽쟘(실측)'!I25+0,0)+뒷날개치수더함</f>
        <v>1.2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1.2</v>
      </c>
      <c r="T25" s="50">
        <f>'쪽쟘(실측)'!O25+뒷날개치수더함</f>
        <v>1.2</v>
      </c>
      <c r="U25" s="50">
        <f>'쪽쟘(실측)'!P25+뒷날개치수더함</f>
        <v>1.2</v>
      </c>
      <c r="V25" s="50">
        <f>'쪽쟘(실측)'!Q25+뒷날개치수더함</f>
        <v>1.2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2.4</v>
      </c>
      <c r="AD25">
        <f t="shared" si="9"/>
        <v>3.2000000000000011</v>
      </c>
      <c r="AE25">
        <f t="shared" si="2"/>
        <v>3.2000000000000011</v>
      </c>
      <c r="AF25">
        <f t="shared" si="10"/>
        <v>0</v>
      </c>
      <c r="AG25">
        <f t="shared" si="4"/>
        <v>3.2000000000000011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Y19" sqref="Y19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부산 삼영이엔씨 SO (제작치수 샤링작지) 손상민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1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1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2.4*3.2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0*3.2</v>
      </c>
      <c r="H7" s="68" t="str">
        <f>IF(OR(쪽쟘제작!N7&lt;&gt;쪽쟘제작!M7,쪽쟘제작!Q7&lt;&gt;쪽쟘제작!R7),"",AE7&amp;"*"&amp;AD7)</f>
        <v>0*3.2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2.4</v>
      </c>
      <c r="AA7">
        <f>쪽쟘제작!AD7</f>
        <v>3.2000000000000011</v>
      </c>
      <c r="AB7">
        <f>쪽쟘제작!AE7</f>
        <v>3.2000000000000011</v>
      </c>
      <c r="AC7">
        <f>쪽쟘제작!AF7</f>
        <v>0</v>
      </c>
      <c r="AD7">
        <f>쪽쟘제작!AG7</f>
        <v>3.2000000000000011</v>
      </c>
      <c r="AE7">
        <f>쪽쟘제작!AH7</f>
        <v>0</v>
      </c>
    </row>
    <row r="8" spans="1:31" ht="18.75" customHeight="1" x14ac:dyDescent="0.3">
      <c r="A8" s="50"/>
      <c r="B8" s="50"/>
      <c r="C8" s="50"/>
      <c r="D8" s="50"/>
      <c r="E8" s="50"/>
      <c r="F8" s="50"/>
      <c r="G8" s="67"/>
      <c r="H8" s="68"/>
      <c r="I8" s="7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부산 삼영이엔씨 SO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부산 삼영이엔씨 SO,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(1.2), JB/JD +(2.2 ),  늘어난치수K -(-2.2),  C + (4.4),   U + (4.4), OP - (0), R - (0),  기둥차감 - (0), A + (1.2)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O8" sqref="O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부산 삼영이엔씨 SO ) _손상민소장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4.4000000000000004</v>
      </c>
      <c r="U2" s="191"/>
      <c r="V2" s="167" t="s">
        <v>83</v>
      </c>
      <c r="W2" s="193"/>
      <c r="X2" s="193"/>
      <c r="Y2" s="194">
        <v>0</v>
      </c>
      <c r="Z2" s="194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-2.2000000000000002</v>
      </c>
      <c r="AO2" s="318"/>
      <c r="AP2" s="1"/>
      <c r="AQ2" s="319" t="s">
        <v>229</v>
      </c>
      <c r="AR2" s="320"/>
      <c r="AS2" s="321">
        <v>1.2</v>
      </c>
      <c r="AT2" s="321"/>
      <c r="AU2" s="1"/>
      <c r="AV2" s="1"/>
    </row>
    <row r="3" spans="1:66" ht="24.75" customHeight="1" x14ac:dyDescent="0.3">
      <c r="A3" s="28" t="str">
        <f>'SO와이드(실측)'!A3</f>
        <v>현장명 : 부산 삼영이엔씨 SO,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2.2000000000000002</v>
      </c>
      <c r="Q3" s="220"/>
      <c r="R3" s="190" t="s">
        <v>77</v>
      </c>
      <c r="S3" s="190"/>
      <c r="T3" s="197">
        <v>4.4000000000000004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1.2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326</v>
      </c>
      <c r="AT3" s="228"/>
      <c r="AU3" s="231">
        <f>AY7</f>
        <v>0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(1.2), JB/JD +(2.2 ),  늘어난치수K -(-2.2),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312</v>
      </c>
      <c r="AH4" s="316"/>
      <c r="AI4" s="275">
        <f>'SO와이드(실측)'!AA7</f>
        <v>0</v>
      </c>
      <c r="AJ4" s="275"/>
      <c r="AK4" s="222">
        <f ca="1">TODAY()</f>
        <v>45446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1.2</v>
      </c>
      <c r="D7" s="31">
        <f>'SO와이드(실측)'!D7+SO와이드MH더함-IF(AND(소장="추영덕",AB7=0),1.2)</f>
        <v>1.2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4.4000000000000004</v>
      </c>
      <c r="I7" s="50">
        <f>'SO와이드(실측)'!I7+SO와이드JBJD키움치수+IF(BN7=1,AI7,0)</f>
        <v>4.4000000000000004</v>
      </c>
      <c r="J7" s="50">
        <f>'SO와이드(실측)'!J7+MAX(AW7,AX7)+SO와이드JBJD키움치수+IF(BN7=1,AG7,0)</f>
        <v>4.4000000000000004</v>
      </c>
      <c r="K7" s="50">
        <f>'SO와이드(실측)'!J7+MAX(AW7,AX7)+SO와이드JBJD키움치수+IF(BN7=1,AH7,0)-IF(SO와이드JB하부늘치=1,'SO와이드(실측)'!AA7-'SO와이드(실측)'!AB7,0)</f>
        <v>4.4000000000000004</v>
      </c>
      <c r="L7" s="50">
        <f>'SO와이드(실측)'!K7+MAX(AW7,AX7)+SO와이드JBJD키움치수+IF(BN7=1,AI7,0)</f>
        <v>4.4000000000000004</v>
      </c>
      <c r="M7" s="50">
        <f>'SO와이드(실측)'!K7+MAX(AW7,AX7)+SO와이드JBJD키움치수+IF(BN7=1,AJ7,0)-IF(SO와이드JB하부늘치=1,'SO와이드(실측)'!AC7-'SO와이드(실측)'!AD7,0)</f>
        <v>4.4000000000000004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0</v>
      </c>
      <c r="Q7" s="31">
        <f t="shared" si="0"/>
        <v>0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</v>
      </c>
      <c r="U7" s="137">
        <f>ROUNDUP(BB7,1)</f>
        <v>0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3.2</v>
      </c>
      <c r="AD7" s="31">
        <f>'SO와이드(실측)'!X7+뒷날개치수더함</f>
        <v>1.2</v>
      </c>
      <c r="AE7" s="31">
        <f>'SO와이드(실측)'!Y7+뒷날개치수더함</f>
        <v>1.2</v>
      </c>
      <c r="AF7" s="31">
        <f>'SO와이드(실측)'!Z7+뒷날개치수더함</f>
        <v>1.2</v>
      </c>
      <c r="AG7" s="31">
        <f>'SO와이드(실측)'!AA7-SO와이드늘치</f>
        <v>2.2000000000000002</v>
      </c>
      <c r="AH7" s="31">
        <f>IF(SO와이드JB하부늘치=1,AG7,'SO와이드(실측)'!AB7-SO와이드늘치)</f>
        <v>2.2000000000000002</v>
      </c>
      <c r="AI7" s="31">
        <f>'SO와이드(실측)'!AC7-SO와이드늘치</f>
        <v>2.2000000000000002</v>
      </c>
      <c r="AJ7" s="31">
        <f>IF(SO와이드JB하부늘치=1,AI7,'SO와이드(실측)'!AD7-SO와이드늘치)</f>
        <v>2.2000000000000002</v>
      </c>
      <c r="AK7" s="31">
        <f xml:space="preserve"> IF(소장&lt;&gt;"손상민",IF('SO와이드(실측)'!AE7&gt;0,'SO와이드(실측)'!AE7,C7-1.2),IF('SO와이드(실측)'!AE7&gt;0,'SO와이드(실측)'!AE7+1.2,C7))</f>
        <v>1.2</v>
      </c>
      <c r="AL7" s="31">
        <f xml:space="preserve"> IF(소장&lt;&gt;"손상민",IF('SO와이드(실측)'!AF7&gt;0,'SO와이드(실측)'!AF7,D7-1.2),IF('SO와이드(실측)'!AF7&gt;0,'SO와이드(실측)'!AF7+1.2,D7) )</f>
        <v>1.2</v>
      </c>
      <c r="AM7" s="51">
        <f>IF(AC7&gt;0,AC7-MAX(T7,U7),0)</f>
        <v>3.2</v>
      </c>
      <c r="AN7" s="31" t="str">
        <f t="shared" ref="AN7" si="1">BF7&amp;"*"&amp;BG7</f>
        <v>0*2</v>
      </c>
      <c r="AO7" s="31" t="str">
        <f t="shared" ref="AO7" si="2">BI7&amp;"*"&amp;BH7</f>
        <v>1.2*3.2</v>
      </c>
      <c r="AP7" s="31" t="str">
        <f t="shared" ref="AP7" si="3">BK7&amp;"*"&amp;BJ7</f>
        <v>1.2*3.2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0</v>
      </c>
      <c r="AZ7" s="20">
        <f>DEGREES(ATAN((G7-(E7+F7))/2/(I7)))</f>
        <v>0</v>
      </c>
      <c r="BA7" s="21">
        <f>INT(ABS(H7-COS(RADIANS(AY7))*J7)*10)/10</f>
        <v>0</v>
      </c>
      <c r="BB7" s="21">
        <f>INT(ABS(I7-COS(RADIANS(AZ7))*L7)*10)/10</f>
        <v>0</v>
      </c>
      <c r="BC7" s="21">
        <f>'SO와이드(실측)'!N7+AW7</f>
        <v>0</v>
      </c>
      <c r="BD7" s="21">
        <f>'SO와이드(실측)'!O7+AW7</f>
        <v>0</v>
      </c>
      <c r="BE7" s="20">
        <f>BA7-MAX(BC7,BD7)</f>
        <v>0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2.0000000000000009</v>
      </c>
      <c r="BH7" s="41">
        <f>V7+R7+MAX(J7,K7)+AE7-1.2*$AP$3+IF(BN7=0,MAX(AH7,AG7),0)+IF(V7=0,1.2,0)-IF(AV7=90,2.4,0)</f>
        <v>3.2000000000000011</v>
      </c>
      <c r="BI7" s="41">
        <f>MAX(X7,Y7)+AK7</f>
        <v>1.2</v>
      </c>
      <c r="BJ7" s="41">
        <f>W7+S7+MAX(L7,M7)+AF7-1.2*$AP$3+IF(BN7=0,MAX(AI7,AJ7),0)+IF(W7=0,1.2,0)-IF(AV7=90,2.4,0)</f>
        <v>3.2000000000000011</v>
      </c>
      <c r="BK7" s="41">
        <f>MAX(Z7,AA7)+AL7</f>
        <v>1.2</v>
      </c>
      <c r="BL7" s="6">
        <f t="shared" ref="BL7" si="4">J7-H7-T7</f>
        <v>0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F14" sqref="AF14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부산 삼영이엔씨 SO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부산 삼영이엔씨 SO,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+(2.2 ),  늘어난치수K -(-2.2),  C + (4.4),  U +(4.4), OP1/OP2 - (0), R - (0),  기둥차감 - (-2000),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7</v>
      </c>
      <c r="C7" s="4">
        <v>763</v>
      </c>
      <c r="D7" s="4">
        <v>734</v>
      </c>
      <c r="E7" s="4">
        <v>1600</v>
      </c>
      <c r="F7" s="4">
        <v>300</v>
      </c>
      <c r="G7" s="4">
        <v>300</v>
      </c>
      <c r="H7" s="4">
        <v>302</v>
      </c>
      <c r="I7" s="4">
        <v>302</v>
      </c>
      <c r="J7" s="4">
        <v>76</v>
      </c>
      <c r="K7" s="4">
        <v>76</v>
      </c>
      <c r="L7" s="4">
        <v>11</v>
      </c>
      <c r="M7" s="4">
        <v>10</v>
      </c>
      <c r="N7" s="4">
        <v>94</v>
      </c>
      <c r="O7" s="4">
        <v>91</v>
      </c>
      <c r="P7" s="4">
        <v>99</v>
      </c>
      <c r="Q7" s="4">
        <v>93</v>
      </c>
      <c r="R7" s="4">
        <v>78</v>
      </c>
      <c r="S7" s="4">
        <v>7</v>
      </c>
      <c r="T7" s="4">
        <v>15</v>
      </c>
      <c r="U7" s="4">
        <v>30</v>
      </c>
      <c r="V7" s="4">
        <v>30</v>
      </c>
      <c r="W7" s="4">
        <v>39</v>
      </c>
      <c r="X7" s="4">
        <v>42</v>
      </c>
      <c r="Y7" s="4">
        <v>83</v>
      </c>
      <c r="Z7" s="4">
        <v>86</v>
      </c>
      <c r="AA7" s="4">
        <v>20</v>
      </c>
      <c r="AB7" s="4">
        <v>10</v>
      </c>
      <c r="AC7" s="4">
        <v>10</v>
      </c>
      <c r="AD7" s="4"/>
      <c r="AE7" s="4"/>
      <c r="AF7" s="4">
        <v>5</v>
      </c>
      <c r="AG7" s="55"/>
      <c r="AH7" s="3">
        <f t="shared" ref="AH7:AK13" si="0">W7+$AG7</f>
        <v>39</v>
      </c>
      <c r="AI7" s="3">
        <f t="shared" si="0"/>
        <v>42</v>
      </c>
      <c r="AJ7" s="3">
        <f t="shared" si="0"/>
        <v>83</v>
      </c>
      <c r="AK7" s="3">
        <f t="shared" si="0"/>
        <v>86</v>
      </c>
      <c r="AL7" s="3">
        <f t="shared" ref="AL7:AO13" si="1">F7-$AG7</f>
        <v>300</v>
      </c>
      <c r="AM7" s="3">
        <f t="shared" si="1"/>
        <v>300</v>
      </c>
      <c r="AN7" s="3">
        <f t="shared" si="1"/>
        <v>302</v>
      </c>
      <c r="AO7" s="3">
        <f t="shared" si="1"/>
        <v>302</v>
      </c>
    </row>
    <row r="8" spans="1:41" ht="27" customHeight="1" x14ac:dyDescent="0.3">
      <c r="A8" s="4"/>
      <c r="B8" s="4">
        <v>6</v>
      </c>
      <c r="C8" s="4">
        <v>763</v>
      </c>
      <c r="D8" s="4">
        <v>733</v>
      </c>
      <c r="E8" s="4">
        <v>1599</v>
      </c>
      <c r="F8" s="4">
        <v>289</v>
      </c>
      <c r="G8" s="4">
        <v>289</v>
      </c>
      <c r="H8" s="4">
        <v>292</v>
      </c>
      <c r="I8" s="4">
        <v>292</v>
      </c>
      <c r="J8" s="4">
        <v>26</v>
      </c>
      <c r="K8" s="4">
        <v>26</v>
      </c>
      <c r="L8" s="4">
        <v>7</v>
      </c>
      <c r="M8" s="4">
        <v>7</v>
      </c>
      <c r="N8" s="4">
        <v>102</v>
      </c>
      <c r="O8" s="4">
        <v>98</v>
      </c>
      <c r="P8" s="4">
        <v>103</v>
      </c>
      <c r="Q8" s="4">
        <v>100</v>
      </c>
      <c r="R8" s="4">
        <v>27</v>
      </c>
      <c r="S8" s="4">
        <v>7</v>
      </c>
      <c r="T8" s="4">
        <v>15</v>
      </c>
      <c r="U8" s="4">
        <v>30</v>
      </c>
      <c r="V8" s="4">
        <v>30</v>
      </c>
      <c r="W8" s="4">
        <v>39</v>
      </c>
      <c r="X8" s="4">
        <v>43</v>
      </c>
      <c r="Y8" s="4">
        <v>83</v>
      </c>
      <c r="Z8" s="4">
        <v>85</v>
      </c>
      <c r="AA8" s="4">
        <v>20</v>
      </c>
      <c r="AB8" s="4">
        <v>10</v>
      </c>
      <c r="AC8" s="4">
        <v>10</v>
      </c>
      <c r="AD8" s="4"/>
      <c r="AE8" s="4"/>
      <c r="AF8" s="4">
        <v>8</v>
      </c>
      <c r="AG8" s="55"/>
      <c r="AH8" s="3">
        <f t="shared" si="0"/>
        <v>39</v>
      </c>
      <c r="AI8" s="3">
        <f t="shared" si="0"/>
        <v>43</v>
      </c>
      <c r="AJ8" s="3">
        <f t="shared" si="0"/>
        <v>83</v>
      </c>
      <c r="AK8" s="3">
        <f t="shared" si="0"/>
        <v>85</v>
      </c>
      <c r="AL8" s="3">
        <f t="shared" si="1"/>
        <v>289</v>
      </c>
      <c r="AM8" s="3">
        <f t="shared" si="1"/>
        <v>289</v>
      </c>
      <c r="AN8" s="3">
        <f t="shared" si="1"/>
        <v>292</v>
      </c>
      <c r="AO8" s="3">
        <f t="shared" si="1"/>
        <v>292</v>
      </c>
    </row>
    <row r="9" spans="1:41" ht="27" customHeight="1" x14ac:dyDescent="0.3">
      <c r="A9" s="4"/>
      <c r="B9" s="4">
        <v>5</v>
      </c>
      <c r="C9" s="4">
        <v>765</v>
      </c>
      <c r="D9" s="4">
        <v>733</v>
      </c>
      <c r="E9" s="4">
        <v>1599</v>
      </c>
      <c r="F9" s="4">
        <v>292</v>
      </c>
      <c r="G9" s="4">
        <v>292</v>
      </c>
      <c r="H9" s="4">
        <v>295</v>
      </c>
      <c r="I9" s="4">
        <v>295</v>
      </c>
      <c r="J9" s="4">
        <v>28</v>
      </c>
      <c r="K9" s="4">
        <v>28</v>
      </c>
      <c r="L9" s="4">
        <v>9</v>
      </c>
      <c r="M9" s="4">
        <v>10</v>
      </c>
      <c r="N9" s="4">
        <v>95</v>
      </c>
      <c r="O9" s="4">
        <v>96</v>
      </c>
      <c r="P9" s="4">
        <v>97</v>
      </c>
      <c r="Q9" s="4">
        <v>97</v>
      </c>
      <c r="R9" s="4">
        <v>28</v>
      </c>
      <c r="S9" s="4">
        <v>7</v>
      </c>
      <c r="T9" s="4">
        <v>15</v>
      </c>
      <c r="U9" s="4">
        <v>30</v>
      </c>
      <c r="V9" s="4">
        <v>30</v>
      </c>
      <c r="W9" s="4">
        <v>39</v>
      </c>
      <c r="X9" s="4">
        <v>41</v>
      </c>
      <c r="Y9" s="4">
        <v>87</v>
      </c>
      <c r="Z9" s="4">
        <v>87</v>
      </c>
      <c r="AA9" s="4">
        <v>20</v>
      </c>
      <c r="AB9" s="4">
        <v>10</v>
      </c>
      <c r="AC9" s="4">
        <v>10</v>
      </c>
      <c r="AD9" s="4"/>
      <c r="AE9" s="4"/>
      <c r="AF9" s="4">
        <v>7</v>
      </c>
      <c r="AG9" s="55"/>
      <c r="AH9" s="3">
        <f t="shared" si="0"/>
        <v>39</v>
      </c>
      <c r="AI9" s="3">
        <f t="shared" si="0"/>
        <v>41</v>
      </c>
      <c r="AJ9" s="3">
        <f t="shared" si="0"/>
        <v>87</v>
      </c>
      <c r="AK9" s="3">
        <f t="shared" si="0"/>
        <v>87</v>
      </c>
      <c r="AL9" s="3">
        <f t="shared" si="1"/>
        <v>292</v>
      </c>
      <c r="AM9" s="3">
        <f t="shared" si="1"/>
        <v>292</v>
      </c>
      <c r="AN9" s="3">
        <f t="shared" si="1"/>
        <v>295</v>
      </c>
      <c r="AO9" s="3">
        <f t="shared" si="1"/>
        <v>295</v>
      </c>
    </row>
    <row r="10" spans="1:41" ht="27" customHeight="1" x14ac:dyDescent="0.3">
      <c r="A10" s="4"/>
      <c r="B10" s="4">
        <v>4</v>
      </c>
      <c r="C10" s="4">
        <v>770</v>
      </c>
      <c r="D10" s="4">
        <v>729</v>
      </c>
      <c r="E10" s="4">
        <v>1603</v>
      </c>
      <c r="F10" s="4">
        <v>295</v>
      </c>
      <c r="G10" s="4">
        <v>295</v>
      </c>
      <c r="H10" s="4">
        <v>298</v>
      </c>
      <c r="I10" s="4">
        <v>298</v>
      </c>
      <c r="J10" s="4">
        <v>27</v>
      </c>
      <c r="K10" s="4">
        <v>27</v>
      </c>
      <c r="L10" s="4">
        <v>12</v>
      </c>
      <c r="M10" s="4">
        <v>12</v>
      </c>
      <c r="N10" s="4">
        <v>97</v>
      </c>
      <c r="O10" s="4">
        <v>96</v>
      </c>
      <c r="P10" s="4">
        <v>105</v>
      </c>
      <c r="Q10" s="4">
        <v>93</v>
      </c>
      <c r="R10" s="4">
        <v>27</v>
      </c>
      <c r="S10" s="4">
        <v>7</v>
      </c>
      <c r="T10" s="4">
        <v>15</v>
      </c>
      <c r="U10" s="4">
        <v>30</v>
      </c>
      <c r="V10" s="4">
        <v>30</v>
      </c>
      <c r="W10" s="4">
        <v>39</v>
      </c>
      <c r="X10" s="4">
        <v>41</v>
      </c>
      <c r="Y10" s="4">
        <v>81</v>
      </c>
      <c r="Z10" s="4">
        <v>79</v>
      </c>
      <c r="AA10" s="4">
        <v>20</v>
      </c>
      <c r="AB10" s="4">
        <v>10</v>
      </c>
      <c r="AC10" s="4">
        <v>10</v>
      </c>
      <c r="AD10" s="4"/>
      <c r="AE10" s="4"/>
      <c r="AF10" s="4">
        <v>4</v>
      </c>
      <c r="AG10" s="55"/>
      <c r="AH10" s="3">
        <f t="shared" si="0"/>
        <v>39</v>
      </c>
      <c r="AI10" s="3">
        <f t="shared" si="0"/>
        <v>41</v>
      </c>
      <c r="AJ10" s="3">
        <f t="shared" si="0"/>
        <v>81</v>
      </c>
      <c r="AK10" s="3">
        <f t="shared" si="0"/>
        <v>79</v>
      </c>
      <c r="AL10" s="3">
        <f t="shared" si="1"/>
        <v>295</v>
      </c>
      <c r="AM10" s="3">
        <f t="shared" si="1"/>
        <v>295</v>
      </c>
      <c r="AN10" s="3">
        <f t="shared" si="1"/>
        <v>298</v>
      </c>
      <c r="AO10" s="3">
        <f t="shared" si="1"/>
        <v>298</v>
      </c>
    </row>
    <row r="11" spans="1:41" ht="27" customHeight="1" x14ac:dyDescent="0.3">
      <c r="A11" s="4"/>
      <c r="B11" s="4">
        <v>3</v>
      </c>
      <c r="C11" s="4">
        <v>768</v>
      </c>
      <c r="D11" s="4">
        <v>729</v>
      </c>
      <c r="E11" s="4">
        <v>1597</v>
      </c>
      <c r="F11" s="4">
        <v>285</v>
      </c>
      <c r="G11" s="4">
        <v>285</v>
      </c>
      <c r="H11" s="4">
        <v>288</v>
      </c>
      <c r="I11" s="4">
        <v>288</v>
      </c>
      <c r="J11" s="4">
        <v>26</v>
      </c>
      <c r="K11" s="4">
        <v>26</v>
      </c>
      <c r="L11" s="4">
        <v>9</v>
      </c>
      <c r="M11" s="4">
        <v>7</v>
      </c>
      <c r="N11" s="4">
        <v>93</v>
      </c>
      <c r="O11" s="4">
        <v>95</v>
      </c>
      <c r="P11" s="4">
        <v>98</v>
      </c>
      <c r="Q11" s="4">
        <v>95</v>
      </c>
      <c r="R11" s="4">
        <v>27</v>
      </c>
      <c r="S11" s="4">
        <v>7</v>
      </c>
      <c r="T11" s="4">
        <v>15</v>
      </c>
      <c r="U11" s="4">
        <v>30</v>
      </c>
      <c r="V11" s="4">
        <v>30</v>
      </c>
      <c r="W11" s="4">
        <v>40</v>
      </c>
      <c r="X11" s="4">
        <v>43</v>
      </c>
      <c r="Y11" s="4">
        <v>85</v>
      </c>
      <c r="Z11" s="4">
        <v>85</v>
      </c>
      <c r="AA11" s="4">
        <v>20</v>
      </c>
      <c r="AB11" s="4">
        <v>10</v>
      </c>
      <c r="AC11" s="4">
        <v>10</v>
      </c>
      <c r="AD11" s="4"/>
      <c r="AE11" s="4"/>
      <c r="AF11" s="4">
        <v>5</v>
      </c>
      <c r="AG11" s="55"/>
      <c r="AH11" s="3">
        <f t="shared" si="0"/>
        <v>40</v>
      </c>
      <c r="AI11" s="3">
        <f t="shared" si="0"/>
        <v>43</v>
      </c>
      <c r="AJ11" s="3">
        <f t="shared" si="0"/>
        <v>85</v>
      </c>
      <c r="AK11" s="3">
        <f t="shared" si="0"/>
        <v>85</v>
      </c>
      <c r="AL11" s="3">
        <f t="shared" si="1"/>
        <v>285</v>
      </c>
      <c r="AM11" s="3">
        <f t="shared" si="1"/>
        <v>285</v>
      </c>
      <c r="AN11" s="3">
        <f t="shared" si="1"/>
        <v>288</v>
      </c>
      <c r="AO11" s="3">
        <f t="shared" si="1"/>
        <v>288</v>
      </c>
    </row>
    <row r="12" spans="1:41" ht="27" customHeight="1" x14ac:dyDescent="0.3">
      <c r="A12" s="4"/>
      <c r="B12" s="4">
        <v>2</v>
      </c>
      <c r="C12" s="4">
        <v>762</v>
      </c>
      <c r="D12" s="4">
        <v>733</v>
      </c>
      <c r="E12" s="4">
        <v>1599</v>
      </c>
      <c r="F12" s="4">
        <v>284</v>
      </c>
      <c r="G12" s="4">
        <v>284</v>
      </c>
      <c r="H12" s="4">
        <v>288</v>
      </c>
      <c r="I12" s="4">
        <v>288</v>
      </c>
      <c r="J12" s="4">
        <v>27</v>
      </c>
      <c r="K12" s="4">
        <v>27</v>
      </c>
      <c r="L12" s="4">
        <v>12</v>
      </c>
      <c r="M12" s="4">
        <v>10</v>
      </c>
      <c r="N12" s="4">
        <v>96</v>
      </c>
      <c r="O12" s="4">
        <v>97</v>
      </c>
      <c r="P12" s="4">
        <v>106</v>
      </c>
      <c r="Q12" s="4">
        <v>96</v>
      </c>
      <c r="R12" s="4">
        <v>27</v>
      </c>
      <c r="S12" s="4">
        <v>7</v>
      </c>
      <c r="T12" s="4">
        <v>15</v>
      </c>
      <c r="U12" s="4">
        <v>30</v>
      </c>
      <c r="V12" s="4">
        <v>30</v>
      </c>
      <c r="W12" s="4">
        <v>41</v>
      </c>
      <c r="X12" s="4">
        <v>41</v>
      </c>
      <c r="Y12" s="4">
        <v>83</v>
      </c>
      <c r="Z12" s="4">
        <v>83</v>
      </c>
      <c r="AA12" s="4">
        <v>20</v>
      </c>
      <c r="AB12" s="4">
        <v>10</v>
      </c>
      <c r="AC12" s="4">
        <v>10</v>
      </c>
      <c r="AD12" s="4"/>
      <c r="AE12" s="4"/>
      <c r="AF12" s="4">
        <v>5</v>
      </c>
      <c r="AG12" s="55"/>
      <c r="AH12" s="3">
        <f t="shared" si="0"/>
        <v>41</v>
      </c>
      <c r="AI12" s="3">
        <f t="shared" si="0"/>
        <v>41</v>
      </c>
      <c r="AJ12" s="3">
        <f t="shared" si="0"/>
        <v>83</v>
      </c>
      <c r="AK12" s="3">
        <f t="shared" si="0"/>
        <v>83</v>
      </c>
      <c r="AL12" s="3">
        <f t="shared" si="1"/>
        <v>284</v>
      </c>
      <c r="AM12" s="3"/>
      <c r="AN12" s="3">
        <f t="shared" si="1"/>
        <v>288</v>
      </c>
      <c r="AO12" s="3"/>
    </row>
    <row r="13" spans="1:41" ht="27" customHeight="1" x14ac:dyDescent="0.3">
      <c r="A13" s="4"/>
      <c r="B13" s="4">
        <v>1</v>
      </c>
      <c r="C13" s="4">
        <v>766</v>
      </c>
      <c r="D13" s="4">
        <v>731</v>
      </c>
      <c r="E13" s="4">
        <v>1600</v>
      </c>
      <c r="F13" s="4">
        <v>285</v>
      </c>
      <c r="G13" s="4">
        <v>285</v>
      </c>
      <c r="H13" s="4">
        <v>287</v>
      </c>
      <c r="I13" s="4">
        <v>287</v>
      </c>
      <c r="J13" s="4">
        <v>26</v>
      </c>
      <c r="K13" s="4">
        <v>26</v>
      </c>
      <c r="L13" s="4">
        <v>7</v>
      </c>
      <c r="M13" s="4">
        <v>7</v>
      </c>
      <c r="N13" s="4">
        <v>97</v>
      </c>
      <c r="O13" s="4">
        <v>95</v>
      </c>
      <c r="P13" s="4">
        <v>96</v>
      </c>
      <c r="Q13" s="4">
        <v>95</v>
      </c>
      <c r="R13" s="4">
        <v>27</v>
      </c>
      <c r="S13" s="4">
        <v>7</v>
      </c>
      <c r="T13" s="4">
        <v>15</v>
      </c>
      <c r="U13" s="4">
        <v>30</v>
      </c>
      <c r="V13" s="4">
        <v>30</v>
      </c>
      <c r="W13" s="4">
        <v>42</v>
      </c>
      <c r="X13" s="4">
        <v>42</v>
      </c>
      <c r="Y13" s="4">
        <v>85</v>
      </c>
      <c r="Z13" s="4">
        <v>87</v>
      </c>
      <c r="AA13" s="4">
        <v>20</v>
      </c>
      <c r="AB13" s="4">
        <v>10</v>
      </c>
      <c r="AC13" s="4">
        <v>10</v>
      </c>
      <c r="AD13" s="4"/>
      <c r="AE13" s="4"/>
      <c r="AF13" s="4">
        <v>5</v>
      </c>
      <c r="AG13" s="55"/>
      <c r="AH13" s="3">
        <f t="shared" si="0"/>
        <v>42</v>
      </c>
      <c r="AI13" s="3">
        <f t="shared" si="0"/>
        <v>42</v>
      </c>
      <c r="AJ13" s="3">
        <f t="shared" si="0"/>
        <v>85</v>
      </c>
      <c r="AK13" s="3">
        <f t="shared" si="0"/>
        <v>87</v>
      </c>
      <c r="AL13" s="3">
        <f t="shared" si="1"/>
        <v>285</v>
      </c>
      <c r="AM13" s="3"/>
      <c r="AN13" s="3">
        <f t="shared" si="1"/>
        <v>287</v>
      </c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13"/>
  <sheetViews>
    <sheetView tabSelected="1" topLeftCell="E1" zoomScale="85" zoomScaleNormal="85" workbookViewId="0">
      <selection activeCell="AL8" sqref="AL8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부산 삼영이엔씨 SO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0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4.4000000000000004</v>
      </c>
      <c r="AA2" s="337"/>
      <c r="AB2" s="22"/>
      <c r="AC2" s="189" t="s">
        <v>82</v>
      </c>
      <c r="AD2" s="190"/>
      <c r="AE2" s="338">
        <v>-2000</v>
      </c>
      <c r="AF2" s="338"/>
      <c r="AG2" s="142" t="s">
        <v>90</v>
      </c>
      <c r="AH2" s="339">
        <v>-2.2000000000000002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부산 삼영이엔씨 SO,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2.2000000000000002</v>
      </c>
      <c r="L3" s="220"/>
      <c r="M3" s="220"/>
      <c r="N3" s="220"/>
      <c r="O3" s="190" t="s">
        <v>77</v>
      </c>
      <c r="P3" s="190"/>
      <c r="Q3" s="197">
        <v>4.4000000000000004</v>
      </c>
      <c r="R3" s="197"/>
      <c r="S3" s="218" t="s">
        <v>227</v>
      </c>
      <c r="T3" s="218"/>
      <c r="U3" s="218"/>
      <c r="V3" s="330">
        <f>BE7</f>
        <v>0</v>
      </c>
      <c r="W3" s="330"/>
      <c r="X3" s="218" t="s">
        <v>78</v>
      </c>
      <c r="Y3" s="218"/>
      <c r="Z3" s="334">
        <v>1.2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327</v>
      </c>
      <c r="AK3" s="281"/>
      <c r="AL3" s="212"/>
      <c r="AM3" s="333">
        <f>AR7</f>
        <v>9.671261755208441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+(2.2 ),  늘어난치수K -(-2.2),  C + (4.4),  U +(4.4), OP1/OP2 - (0), R - (0),  기둥차감 - (-2000),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313</v>
      </c>
      <c r="AD4" s="331"/>
      <c r="AE4" s="332">
        <f>'SO멍텅(실측)'!W7</f>
        <v>39</v>
      </c>
      <c r="AF4" s="332"/>
      <c r="AG4" s="158"/>
      <c r="AH4" s="329">
        <f ca="1">TODAY()</f>
        <v>45446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7F</v>
      </c>
      <c r="C7" s="4">
        <f>'SO멍텅(실측)'!C7-SO멍텅OP</f>
        <v>763</v>
      </c>
      <c r="D7" s="4">
        <f>'SO멍텅(실측)'!D7-SO멍텅OP</f>
        <v>734</v>
      </c>
      <c r="E7" s="4">
        <f>'SO멍텅(실측)'!E7-SO멍텅R</f>
        <v>1600</v>
      </c>
      <c r="F7" s="4">
        <f>'SO멍텅(실측)'!F7+MAX(AO7,AP7)+IF(BE7=1,AC7,0)+SO멍텅JBJD늘림치수</f>
        <v>302.2</v>
      </c>
      <c r="G7" s="4">
        <f>'SO멍텅(실측)'!G7+MAX(AO7,AP7)+IF(BE7=1,AE7,0)+SO멍텅JBJD늘림치수</f>
        <v>302.2</v>
      </c>
      <c r="H7" s="4">
        <f>'SO멍텅(실측)'!H7+AO7+IF(BE7=1,AC7,0)+SO멍텅JB강제키움+SO멍텅JBJD늘림치수</f>
        <v>304.2</v>
      </c>
      <c r="I7" s="4">
        <f>'SO멍텅(실측)'!H7+AO7+IF(BE7=1,AD7,0)+SO멍텅JB강제키움+SO멍텅JBJD늘림치수-IF(SO멍텅JB하부늘치=1,'SO멍텅(실측)'!W7-'SO멍텅(실측)'!X7,0)</f>
        <v>307.2</v>
      </c>
      <c r="J7" s="4">
        <f>'SO멍텅(실측)'!I7+AP7+IF(BE7=1,AE7,0)+SO멍텅JB강제키움+SO멍텅JBJD늘림치수</f>
        <v>304.2</v>
      </c>
      <c r="K7" s="4">
        <f>'SO멍텅(실측)'!I7+AP7+IF(BE7=1,AF7,0)+SO멍텅JB강제키움+SO멍텅JBJD늘림치수-IF(SO멍텅JB하부늘치=1,'SO멍텅(실측)'!Y7-'SO멍텅(실측)'!Z7,0)</f>
        <v>307.2</v>
      </c>
      <c r="L7" s="91">
        <f>IF(BE7=0,F7+AC7-(G7+AE7),F7-G7)</f>
        <v>-44</v>
      </c>
      <c r="M7" s="88">
        <f>IF(BM7=0,H7+AC7-(J7+AE7),H7-J7)</f>
        <v>-44</v>
      </c>
      <c r="N7" s="4">
        <f t="shared" ref="N7:O7" si="0">P7+IF(소장="손상민",0,-1.5)</f>
        <v>80.400000000000006</v>
      </c>
      <c r="O7" s="4">
        <f t="shared" si="0"/>
        <v>80.400000000000006</v>
      </c>
      <c r="P7" s="4">
        <f>IF(R7&gt;0,'SO멍텅(실측)'!J7+SO멍텅C늘림,'SO멍텅(실측)'!J7+1)</f>
        <v>80.400000000000006</v>
      </c>
      <c r="Q7" s="4">
        <f>IF(S7&gt;0,'SO멍텅(실측)'!K7+SO멍텅C늘림,'SO멍텅(실측)'!K7+1)</f>
        <v>80.400000000000006</v>
      </c>
      <c r="R7" s="4">
        <f>IF(ISNUMBER('SO멍텅(실측)'!L7),'SO멍텅(실측)'!L7+SO멍텅제작!AO7+SO멍텅A늘림,0)</f>
        <v>12.2</v>
      </c>
      <c r="S7" s="4">
        <f>IF(ISNUMBER('SO멍텅(실측)'!M7),'SO멍텅(실측)'!M7+SO멍텅제작!AP7+SO멍텅A늘림,0)</f>
        <v>11.2</v>
      </c>
      <c r="T7" s="4">
        <f>'SO멍텅(실측)'!N7-SO멍텅기둥차감</f>
        <v>2094</v>
      </c>
      <c r="U7" s="4">
        <f>'SO멍텅(실측)'!O7-SO멍텅기둥차감</f>
        <v>2091</v>
      </c>
      <c r="V7" s="4">
        <f>'SO멍텅(실측)'!P7-SO멍텅기둥차감</f>
        <v>2099</v>
      </c>
      <c r="W7" s="4">
        <f>'SO멍텅(실측)'!Q7-SO멍텅기둥차감</f>
        <v>2093</v>
      </c>
      <c r="X7" s="4">
        <f>IF(ISNUMBER('SO멍텅(실측)'!R7),IF(Y7&gt;0,'SO멍텅(실측)'!R7+SO멍텅U늘림,'SO멍텅(실측)'!R7+1.2),0)</f>
        <v>82.4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8.1999999999999993</v>
      </c>
      <c r="Z7" s="4">
        <f>'SO멍텅(실측)'!T7+뒷날개치수더함</f>
        <v>16.2</v>
      </c>
      <c r="AA7" s="4">
        <f>'SO멍텅(실측)'!U7+뒷날개치수더함</f>
        <v>31.2</v>
      </c>
      <c r="AB7" s="4">
        <f>'SO멍텅(실측)'!V7+뒷날개치수더함</f>
        <v>31.2</v>
      </c>
      <c r="AC7" s="13">
        <f>'SO멍텅(실측)'!W7-SO멍텅늘치차감</f>
        <v>41.2</v>
      </c>
      <c r="AD7" s="13">
        <f>IF(SO멍텅JB하부늘치=1,AC7,'SO멍텅(실측)'!X7-SO멍텅늘치차감)</f>
        <v>41.2</v>
      </c>
      <c r="AE7" s="13">
        <f>'SO멍텅(실측)'!Y7-SO멍텅늘치차감</f>
        <v>85.2</v>
      </c>
      <c r="AF7" s="13">
        <f>IF(SO멍텅JB하부늘치=1,AE7,'SO멍텅(실측)'!Z7-SO멍텅늘치차감)</f>
        <v>85.2</v>
      </c>
      <c r="AG7" s="11" t="str">
        <f t="shared" ref="AG7" si="1">AW7&amp;"*"&amp;AX7</f>
        <v>1760.8*489.4</v>
      </c>
      <c r="AH7" s="12" t="str">
        <f t="shared" ref="AH7" si="2">AZ7&amp;"*"&amp;AY7</f>
        <v>2094*467.4</v>
      </c>
      <c r="AI7" s="10" t="str">
        <f t="shared" ref="AI7" si="3">BB7&amp;"*"&amp;BA7</f>
        <v>2099*510.4</v>
      </c>
      <c r="AJ7" s="4">
        <f>IF('SO멍텅(실측)'!AA7&gt;5,'SO멍텅(실측)'!AA7+뒷날개치수더함,'SO멍텅(실측)'!AA7)</f>
        <v>21.2</v>
      </c>
      <c r="AK7" s="4">
        <f>'SO멍텅(실측)'!AB7</f>
        <v>10</v>
      </c>
      <c r="AL7" s="4">
        <f>'SO멍텅(실측)'!AC7</f>
        <v>10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9.671261755208441</v>
      </c>
      <c r="AS7" s="17">
        <f>DEGREES(ATAN((E7-(C7+D7))/2/(G7)))</f>
        <v>9.671261755208441</v>
      </c>
      <c r="AT7" s="36">
        <f>ABS(F7-COS(RADIANS(AR7))*H7)</f>
        <v>2.3233343598628835</v>
      </c>
      <c r="AU7" s="36">
        <f>G7-COS(RADIANS(AS7))*J7</f>
        <v>2.3233343598628835</v>
      </c>
      <c r="AV7" s="46" t="str">
        <f t="shared" ref="AV7" si="4">IF(F7+AC7&lt;&gt;G7+AE7,"JD비대칭","")</f>
        <v>JD비대칭</v>
      </c>
      <c r="AW7" s="3">
        <f>E7 + IF(X7+Y7&gt;0, N7+O7,0)</f>
        <v>1760.8</v>
      </c>
      <c r="AX7" s="3">
        <f>X7+MAX(F7,G7)+Z7+Y7-1.2*$AG$3+IF(BE7=0,MAX(AC7,AE7))+IF(Y7=0,1.2,0)</f>
        <v>489.4</v>
      </c>
      <c r="AY7" s="3">
        <f>R7+P7+MAX(H7,I7)+AA7-1.2*$AI$3+IF(BE7=0,MAX(AC7,AD7))+IF(R7=0,1.2,0)-IF(AL7=90,2.4,0)</f>
        <v>467.4</v>
      </c>
      <c r="AZ7" s="3">
        <f t="shared" ref="AZ7" si="5">MAX(T7,U7)</f>
        <v>2094</v>
      </c>
      <c r="BA7" s="3">
        <f>S7+Q7+MAX(J7,K7)+AB7-1.2*$AI$3+IF(BE7=0,MAX(AE7,AF7))+IF(S7=0,1.2,0)-IF(AL7=90,2.4,0)</f>
        <v>510.4</v>
      </c>
      <c r="BB7" s="3">
        <f t="shared" ref="BB7" si="6">MAX(V7,W7)</f>
        <v>2099</v>
      </c>
      <c r="BC7">
        <f t="shared" ref="BC7" si="7">H7-F7</f>
        <v>2</v>
      </c>
      <c r="BD7">
        <f t="shared" ref="BD7" si="8">9-Y7</f>
        <v>0.80000000000000071</v>
      </c>
      <c r="BE7" s="79">
        <f>IF(AND(MIN(AC7,AE7)&gt;=9.2,E7-(C7+D7)&gt;15),0,1)</f>
        <v>0</v>
      </c>
      <c r="BF7" s="83">
        <f>IF(소장="손상민",'SO멍텅(실측)'!AF7,0)</f>
        <v>5</v>
      </c>
    </row>
    <row r="8" spans="1:58" ht="30.75" customHeight="1" x14ac:dyDescent="0.3">
      <c r="A8" s="4">
        <f>'SO멍텅(실측)'!A8</f>
        <v>0</v>
      </c>
      <c r="B8" s="4" t="str">
        <f>'SO멍텅(실측)'!B8&amp;"F"</f>
        <v>6F</v>
      </c>
      <c r="C8" s="4">
        <f>'SO멍텅(실측)'!C8-SO멍텅OP</f>
        <v>763</v>
      </c>
      <c r="D8" s="4">
        <f>'SO멍텅(실측)'!D8-SO멍텅OP</f>
        <v>733</v>
      </c>
      <c r="E8" s="4">
        <f>'SO멍텅(실측)'!E8-SO멍텅R</f>
        <v>1599</v>
      </c>
      <c r="F8" s="4">
        <f>'SO멍텅(실측)'!F8+MAX(AO8,AP8)+IF(BE8=1,AC8,0)+SO멍텅JBJD늘림치수</f>
        <v>292</v>
      </c>
      <c r="G8" s="4">
        <f>'SO멍텅(실측)'!G8+MAX(AO8,AP8)+IF(BE8=1,AE8,0)+SO멍텅JBJD늘림치수</f>
        <v>292</v>
      </c>
      <c r="H8" s="4">
        <f>'SO멍텅(실측)'!H8+AO8+IF(BE8=1,AC8,0)+SO멍텅JB강제키움+SO멍텅JBJD늘림치수</f>
        <v>295</v>
      </c>
      <c r="I8" s="4">
        <f>'SO멍텅(실측)'!H8+AO8+IF(BE8=1,AD8,0)+SO멍텅JB강제키움+SO멍텅JBJD늘림치수-IF(SO멍텅JB하부늘치=1,'SO멍텅(실측)'!W8-'SO멍텅(실측)'!X8,0)</f>
        <v>299</v>
      </c>
      <c r="J8" s="4">
        <f>'SO멍텅(실측)'!I8+AP8+IF(BE8=1,AE8,0)+SO멍텅JB강제키움+SO멍텅JBJD늘림치수</f>
        <v>295</v>
      </c>
      <c r="K8" s="4">
        <f>'SO멍텅(실측)'!I8+AP8+IF(BE8=1,AF8,0)+SO멍텅JB강제키움+SO멍텅JBJD늘림치수-IF(SO멍텅JB하부늘치=1,'SO멍텅(실측)'!Y8-'SO멍텅(실측)'!Z8,0)</f>
        <v>297</v>
      </c>
      <c r="L8" s="91">
        <f t="shared" ref="L8:L13" si="9">IF(BE8=0,F8+AC8-(G8+AE8),F8-G8)</f>
        <v>-44</v>
      </c>
      <c r="M8" s="88">
        <f t="shared" ref="M8:M13" si="10">IF(BM8=0,H8+AC8-(J8+AE8),H8-J8)</f>
        <v>-44</v>
      </c>
      <c r="N8" s="4">
        <f t="shared" ref="N8:N13" si="11">P8+IF(소장="손상민",0,-1.5)</f>
        <v>30.4</v>
      </c>
      <c r="O8" s="4">
        <f t="shared" ref="O8:O13" si="12">Q8+IF(소장="손상민",0,-1.5)</f>
        <v>30.4</v>
      </c>
      <c r="P8" s="4">
        <f>IF(R8&gt;0,'SO멍텅(실측)'!J8+SO멍텅C늘림,'SO멍텅(실측)'!J8+1)</f>
        <v>30.4</v>
      </c>
      <c r="Q8" s="4">
        <f>IF(S8&gt;0,'SO멍텅(실측)'!K8+SO멍텅C늘림,'SO멍텅(실측)'!K8+1)</f>
        <v>30.4</v>
      </c>
      <c r="R8" s="4">
        <f>IF(ISNUMBER('SO멍텅(실측)'!L8),'SO멍텅(실측)'!L8+SO멍텅제작!AO8+SO멍텅A늘림,0)</f>
        <v>9</v>
      </c>
      <c r="S8" s="4">
        <f>IF(ISNUMBER('SO멍텅(실측)'!M8),'SO멍텅(실측)'!M8+SO멍텅제작!AP8+SO멍텅A늘림,0)</f>
        <v>9</v>
      </c>
      <c r="T8" s="4">
        <f>'SO멍텅(실측)'!N8-SO멍텅기둥차감</f>
        <v>2102</v>
      </c>
      <c r="U8" s="4">
        <f>'SO멍텅(실측)'!O8-SO멍텅기둥차감</f>
        <v>2098</v>
      </c>
      <c r="V8" s="4">
        <f>'SO멍텅(실측)'!P8-SO멍텅기둥차감</f>
        <v>2103</v>
      </c>
      <c r="W8" s="4">
        <f>'SO멍텅(실측)'!Q8-SO멍텅기둥차감</f>
        <v>2100</v>
      </c>
      <c r="X8" s="4">
        <f>IF(ISNUMBER('SO멍텅(실측)'!R8),IF(Y8&gt;0,'SO멍텅(실측)'!R8+SO멍텅U늘림,'SO멍텅(실측)'!R8+1.2),0)</f>
        <v>31.4</v>
      </c>
      <c r="Y8" s="4">
        <f>IF(OR(SO멍텅G="", SO멍텅G=0),IF(ISNUMBER('SO멍텅(실측)'!S8),IF('SO멍텅(실측)'!S8+SO멍텅A늘림+MAX(AO8,AP8)&gt;9,'SO멍텅(실측)'!S8+SO멍텅A늘림+MAX(AO8,AP8),'SO멍텅(실측)'!S8+SO멍텅A늘림+MAX(AO8,AP8)),0),SO멍텅G)</f>
        <v>9</v>
      </c>
      <c r="Z8" s="4">
        <f>'SO멍텅(실측)'!T8+뒷날개치수더함</f>
        <v>16.2</v>
      </c>
      <c r="AA8" s="4">
        <f>'SO멍텅(실측)'!U8+뒷날개치수더함</f>
        <v>31.2</v>
      </c>
      <c r="AB8" s="4">
        <f>'SO멍텅(실측)'!V8+뒷날개치수더함</f>
        <v>31.2</v>
      </c>
      <c r="AC8" s="13">
        <f>'SO멍텅(실측)'!W8-SO멍텅늘치차감</f>
        <v>41.2</v>
      </c>
      <c r="AD8" s="13">
        <f>IF(SO멍텅JB하부늘치=1,AC8,'SO멍텅(실측)'!X8-SO멍텅늘치차감)</f>
        <v>41.2</v>
      </c>
      <c r="AE8" s="13">
        <f>'SO멍텅(실측)'!Y8-SO멍텅늘치차감</f>
        <v>85.2</v>
      </c>
      <c r="AF8" s="13">
        <f>IF(SO멍텅JB하부늘치=1,AE8,'SO멍텅(실측)'!Z8-SO멍텅늘치차감)</f>
        <v>85.2</v>
      </c>
      <c r="AG8" s="11" t="str">
        <f t="shared" ref="AG8:AG13" si="13">AW8&amp;"*"&amp;AX8</f>
        <v>1659.8*429</v>
      </c>
      <c r="AH8" s="12" t="str">
        <f t="shared" ref="AH8:AH13" si="14">AZ8&amp;"*"&amp;AY8</f>
        <v>2102*406</v>
      </c>
      <c r="AI8" s="10" t="str">
        <f t="shared" ref="AI8:AI13" si="15">BB8&amp;"*"&amp;BA8</f>
        <v>2103*448</v>
      </c>
      <c r="AJ8" s="4">
        <f>IF('SO멍텅(실측)'!AA8&gt;5,'SO멍텅(실측)'!AA8+뒷날개치수더함,'SO멍텅(실측)'!AA8)</f>
        <v>21.2</v>
      </c>
      <c r="AK8" s="4">
        <f>'SO멍텅(실측)'!AB8</f>
        <v>10</v>
      </c>
      <c r="AL8" s="4">
        <f>'SO멍텅(실측)'!AC8</f>
        <v>10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&lt;AQ8,AQ8,9-MIN('SO멍텅(실측)'!L8+SO멍텅A늘림,'SO멍텅(실측)'!M8+SO멍텅A늘림) + AQ8 ),0),IF(ISNUMBER('SO멍텅(실측)'!L8),IF(9-'SO멍텅(실측)'!L8-SO멍텅A늘림+AQ8&lt;AQ8,AQ8,9-'SO멍텅(실측)'!L8-SO멍텅A늘림+AQ8),0))</f>
        <v>0.80000000000000071</v>
      </c>
      <c r="AP8" s="3">
        <f>IF(AND(ISNUMBER('SO멍텅(실측)'!L8),ISNUMBER('SO멍텅(실측)'!M8)),IF(ISNUMBER('SO멍텅(실측)'!M8),IF(9-MIN('SO멍텅(실측)'!M8+SO멍텅A늘림,'SO멍텅(실측)'!L8+SO멍텅A늘림)&lt;AQ8,AQ8,9-MIN('SO멍텅(실측)'!M8+SO멍텅A늘림,'SO멍텅(실측)'!L8+SO멍텅A늘림) + AQ8 ),0),IF(ISNUMBER('SO멍텅(실측)'!M8),IF(9-'SO멍텅(실측)'!M8-SO멍텅A늘림+AQ8&lt;AQ8,AQ8,9-'SO멍텅(실측)'!M8-SO멍텅A늘림+AQ8),0))</f>
        <v>0.80000000000000071</v>
      </c>
      <c r="AQ8" s="16"/>
      <c r="AR8" s="17">
        <f t="shared" ref="AR8:AR13" si="16">DEGREES(ATAN((E8-(C8+D8))/2/(F8)))</f>
        <v>10.002382870765278</v>
      </c>
      <c r="AS8" s="17">
        <f t="shared" ref="AS8:AS13" si="17">DEGREES(ATAN((E8-(C8+D8))/2/(G8)))</f>
        <v>10.002382870765278</v>
      </c>
      <c r="AT8" s="36">
        <f t="shared" ref="AT8:AT13" si="18">ABS(F8-COS(RADIANS(AR8))*H8)</f>
        <v>1.4838435565442296</v>
      </c>
      <c r="AU8" s="36">
        <f t="shared" ref="AU8:AU13" si="19">G8-COS(RADIANS(AS8))*J8</f>
        <v>1.4838435565442296</v>
      </c>
      <c r="AV8" s="46" t="str">
        <f t="shared" ref="AV8:AV13" si="20">IF(F8+AC8&lt;&gt;G8+AE8,"JD비대칭","")</f>
        <v>JD비대칭</v>
      </c>
      <c r="AW8" s="3">
        <f t="shared" ref="AW8:AW13" si="21">E8 + IF(X8+Y8&gt;0, N8+O8,0)</f>
        <v>1659.8</v>
      </c>
      <c r="AX8" s="3">
        <f t="shared" ref="AX8:AX13" si="22">X8+MAX(F8,G8)+Z8+Y8-1.2*$AG$3+IF(BE8=0,MAX(AC8,AE8))+IF(Y8=0,1.2,0)</f>
        <v>428.99999999999994</v>
      </c>
      <c r="AY8" s="3">
        <f t="shared" ref="AY8:AY13" si="23">R8+P8+MAX(H8,I8)+AA8-1.2*$AI$3+IF(BE8=0,MAX(AC8,AD8))+IF(R8=0,1.2,0)-IF(AL8=90,2.4,0)</f>
        <v>405.99999999999994</v>
      </c>
      <c r="AZ8" s="3">
        <f t="shared" ref="AZ8:AZ13" si="24">MAX(T8,U8)</f>
        <v>2102</v>
      </c>
      <c r="BA8" s="3">
        <f t="shared" ref="BA8:BA13" si="25">S8+Q8+MAX(J8,K8)+AB8-1.2*$AI$3+IF(BE8=0,MAX(AE8,AF8))+IF(S8=0,1.2,0)-IF(AL8=90,2.4,0)</f>
        <v>447.99999999999994</v>
      </c>
      <c r="BB8" s="3">
        <f t="shared" ref="BB8:BB13" si="26">MAX(V8,W8)</f>
        <v>2103</v>
      </c>
      <c r="BC8">
        <f t="shared" ref="BC8:BC13" si="27">H8-F8</f>
        <v>3</v>
      </c>
      <c r="BD8">
        <f t="shared" ref="BD8:BD13" si="28">9-Y8</f>
        <v>0</v>
      </c>
      <c r="BE8" s="79">
        <f t="shared" ref="BE8:BE13" si="29">IF(AND(MIN(AC8,AE8)&gt;=9.2,E8-(C8+D8)&gt;15),0,1)</f>
        <v>0</v>
      </c>
      <c r="BF8" s="83">
        <f>IF(소장="손상민",'SO멍텅(실측)'!AF8,0)</f>
        <v>8</v>
      </c>
    </row>
    <row r="9" spans="1:58" ht="30.75" customHeight="1" x14ac:dyDescent="0.3">
      <c r="A9" s="4">
        <f>'SO멍텅(실측)'!A9</f>
        <v>0</v>
      </c>
      <c r="B9" s="4" t="str">
        <f>'SO멍텅(실측)'!B9&amp;"F"</f>
        <v>5F</v>
      </c>
      <c r="C9" s="4">
        <f>'SO멍텅(실측)'!C9-SO멍텅OP</f>
        <v>765</v>
      </c>
      <c r="D9" s="4">
        <f>'SO멍텅(실측)'!D9-SO멍텅OP</f>
        <v>733</v>
      </c>
      <c r="E9" s="4">
        <f>'SO멍텅(실측)'!E9-SO멍텅R</f>
        <v>1599</v>
      </c>
      <c r="F9" s="4">
        <f>'SO멍텅(실측)'!F9+MAX(AO9,AP9)+IF(BE9=1,AC9,0)+SO멍텅JBJD늘림치수</f>
        <v>294.2</v>
      </c>
      <c r="G9" s="4">
        <f>'SO멍텅(실측)'!G9+MAX(AO9,AP9)+IF(BE9=1,AE9,0)+SO멍텅JBJD늘림치수</f>
        <v>294.2</v>
      </c>
      <c r="H9" s="4">
        <f>'SO멍텅(실측)'!H9+AO9+IF(BE9=1,AC9,0)+SO멍텅JB강제키움+SO멍텅JBJD늘림치수</f>
        <v>297.2</v>
      </c>
      <c r="I9" s="4">
        <f>'SO멍텅(실측)'!H9+AO9+IF(BE9=1,AD9,0)+SO멍텅JB강제키움+SO멍텅JBJD늘림치수-IF(SO멍텅JB하부늘치=1,'SO멍텅(실측)'!W9-'SO멍텅(실측)'!X9,0)</f>
        <v>299.2</v>
      </c>
      <c r="J9" s="4">
        <f>'SO멍텅(실측)'!I9+AP9+IF(BE9=1,AE9,0)+SO멍텅JB강제키움+SO멍텅JBJD늘림치수</f>
        <v>297.2</v>
      </c>
      <c r="K9" s="4">
        <f>'SO멍텅(실측)'!I9+AP9+IF(BE9=1,AF9,0)+SO멍텅JB강제키움+SO멍텅JBJD늘림치수-IF(SO멍텅JB하부늘치=1,'SO멍텅(실측)'!Y9-'SO멍텅(실측)'!Z9,0)</f>
        <v>297.2</v>
      </c>
      <c r="L9" s="91">
        <f t="shared" si="9"/>
        <v>-48</v>
      </c>
      <c r="M9" s="88">
        <f t="shared" si="10"/>
        <v>-48</v>
      </c>
      <c r="N9" s="4">
        <f t="shared" si="11"/>
        <v>32.4</v>
      </c>
      <c r="O9" s="4">
        <f t="shared" si="12"/>
        <v>32.4</v>
      </c>
      <c r="P9" s="4">
        <f>IF(R9&gt;0,'SO멍텅(실측)'!J9+SO멍텅C늘림,'SO멍텅(실측)'!J9+1)</f>
        <v>32.4</v>
      </c>
      <c r="Q9" s="4">
        <f>IF(S9&gt;0,'SO멍텅(실측)'!K9+SO멍텅C늘림,'SO멍텅(실측)'!K9+1)</f>
        <v>32.4</v>
      </c>
      <c r="R9" s="4">
        <f>IF(ISNUMBER('SO멍텅(실측)'!L9),'SO멍텅(실측)'!L9+SO멍텅제작!AO9+SO멍텅A늘림,0)</f>
        <v>10.199999999999999</v>
      </c>
      <c r="S9" s="4">
        <f>IF(ISNUMBER('SO멍텅(실측)'!M9),'SO멍텅(실측)'!M9+SO멍텅제작!AP9+SO멍텅A늘림,0)</f>
        <v>11.2</v>
      </c>
      <c r="T9" s="4">
        <f>'SO멍텅(실측)'!N9-SO멍텅기둥차감</f>
        <v>2095</v>
      </c>
      <c r="U9" s="4">
        <f>'SO멍텅(실측)'!O9-SO멍텅기둥차감</f>
        <v>2096</v>
      </c>
      <c r="V9" s="4">
        <f>'SO멍텅(실측)'!P9-SO멍텅기둥차감</f>
        <v>2097</v>
      </c>
      <c r="W9" s="4">
        <f>'SO멍텅(실측)'!Q9-SO멍텅기둥차감</f>
        <v>2097</v>
      </c>
      <c r="X9" s="4">
        <f>IF(ISNUMBER('SO멍텅(실측)'!R9),IF(Y9&gt;0,'SO멍텅(실측)'!R9+SO멍텅U늘림,'SO멍텅(실측)'!R9+1.2),0)</f>
        <v>32.4</v>
      </c>
      <c r="Y9" s="4">
        <f>IF(OR(SO멍텅G="", SO멍텅G=0),IF(ISNUMBER('SO멍텅(실측)'!S9),IF('SO멍텅(실측)'!S9+SO멍텅A늘림+MAX(AO9,AP9)&gt;9,'SO멍텅(실측)'!S9+SO멍텅A늘림+MAX(AO9,AP9),'SO멍텅(실측)'!S9+SO멍텅A늘림+MAX(AO9,AP9)),0),SO멍텅G)</f>
        <v>8.1999999999999993</v>
      </c>
      <c r="Z9" s="4">
        <f>'SO멍텅(실측)'!T9+뒷날개치수더함</f>
        <v>16.2</v>
      </c>
      <c r="AA9" s="4">
        <f>'SO멍텅(실측)'!U9+뒷날개치수더함</f>
        <v>31.2</v>
      </c>
      <c r="AB9" s="4">
        <f>'SO멍텅(실측)'!V9+뒷날개치수더함</f>
        <v>31.2</v>
      </c>
      <c r="AC9" s="13">
        <f>'SO멍텅(실측)'!W9-SO멍텅늘치차감</f>
        <v>41.2</v>
      </c>
      <c r="AD9" s="13">
        <f>IF(SO멍텅JB하부늘치=1,AC9,'SO멍텅(실측)'!X9-SO멍텅늘치차감)</f>
        <v>41.2</v>
      </c>
      <c r="AE9" s="13">
        <f>'SO멍텅(실측)'!Y9-SO멍텅늘치차감</f>
        <v>89.2</v>
      </c>
      <c r="AF9" s="13">
        <f>IF(SO멍텅JB하부늘치=1,AE9,'SO멍텅(실측)'!Z9-SO멍텅늘치차감)</f>
        <v>89.2</v>
      </c>
      <c r="AG9" s="11" t="str">
        <f t="shared" si="13"/>
        <v>1663.8*435.4</v>
      </c>
      <c r="AH9" s="12" t="str">
        <f t="shared" si="14"/>
        <v>2096*409.4</v>
      </c>
      <c r="AI9" s="10" t="str">
        <f t="shared" si="15"/>
        <v>2097*456.4</v>
      </c>
      <c r="AJ9" s="4">
        <f>IF('SO멍텅(실측)'!AA9&gt;5,'SO멍텅(실측)'!AA9+뒷날개치수더함,'SO멍텅(실측)'!AA9)</f>
        <v>21.2</v>
      </c>
      <c r="AK9" s="4">
        <f>'SO멍텅(실측)'!AB9</f>
        <v>10</v>
      </c>
      <c r="AL9" s="4">
        <f>'SO멍텅(실측)'!AC9</f>
        <v>10</v>
      </c>
      <c r="AM9" s="31">
        <f>IF('SO멍텅(실측)'!AD9&gt;0,'SO멍텅(실측)'!AD9-'SO멍텅(실측)'!T9+1.2,0)</f>
        <v>0</v>
      </c>
      <c r="AN9" s="31">
        <f>IF('SO멍텅(실측)'!AE9&gt;0,'SO멍텅(실측)'!AE9-'SO멍텅(실측)'!T9+1.2,0)</f>
        <v>0</v>
      </c>
      <c r="AO9" s="3">
        <f>IF(AND(ISNUMBER('SO멍텅(실측)'!M9),ISNUMBER('SO멍텅(실측)'!L9)),IF(ISNUMBER('SO멍텅(실측)'!L9),IF(9-MIN('SO멍텅(실측)'!L9+SO멍텅A늘림,'SO멍텅(실측)'!M9+SO멍텅A늘림)&lt;AQ9,AQ9,9-MIN('SO멍텅(실측)'!L9+SO멍텅A늘림,'SO멍텅(실측)'!M9+SO멍텅A늘림) + AQ9 ),0),IF(ISNUMBER('SO멍텅(실측)'!L9),IF(9-'SO멍텅(실측)'!L9-SO멍텅A늘림+AQ9&lt;AQ9,AQ9,9-'SO멍텅(실측)'!L9-SO멍텅A늘림+AQ9),0))</f>
        <v>0</v>
      </c>
      <c r="AP9" s="3">
        <f>IF(AND(ISNUMBER('SO멍텅(실측)'!L9),ISNUMBER('SO멍텅(실측)'!M9)),IF(ISNUMBER('SO멍텅(실측)'!M9),IF(9-MIN('SO멍텅(실측)'!M9+SO멍텅A늘림,'SO멍텅(실측)'!L9+SO멍텅A늘림)&lt;AQ9,AQ9,9-MIN('SO멍텅(실측)'!M9+SO멍텅A늘림,'SO멍텅(실측)'!L9+SO멍텅A늘림) + AQ9 ),0),IF(ISNUMBER('SO멍텅(실측)'!M9),IF(9-'SO멍텅(실측)'!M9-SO멍텅A늘림+AQ9&lt;AQ9,AQ9,9-'SO멍텅(실측)'!M9-SO멍텅A늘림+AQ9),0))</f>
        <v>0</v>
      </c>
      <c r="AQ9" s="16"/>
      <c r="AR9" s="17">
        <f t="shared" si="16"/>
        <v>9.740010654308394</v>
      </c>
      <c r="AS9" s="17">
        <f t="shared" si="17"/>
        <v>9.740010654308394</v>
      </c>
      <c r="AT9" s="36">
        <f t="shared" si="18"/>
        <v>1.2839686993364126</v>
      </c>
      <c r="AU9" s="36">
        <f t="shared" si="19"/>
        <v>1.2839686993364126</v>
      </c>
      <c r="AV9" s="46" t="str">
        <f t="shared" si="20"/>
        <v>JD비대칭</v>
      </c>
      <c r="AW9" s="3">
        <f t="shared" si="21"/>
        <v>1663.8</v>
      </c>
      <c r="AX9" s="3">
        <f t="shared" si="22"/>
        <v>435.39999999999992</v>
      </c>
      <c r="AY9" s="3">
        <f t="shared" si="23"/>
        <v>409.39999999999992</v>
      </c>
      <c r="AZ9" s="3">
        <f t="shared" si="24"/>
        <v>2096</v>
      </c>
      <c r="BA9" s="3">
        <f t="shared" si="25"/>
        <v>456.39999999999992</v>
      </c>
      <c r="BB9" s="3">
        <f t="shared" si="26"/>
        <v>2097</v>
      </c>
      <c r="BC9">
        <f t="shared" si="27"/>
        <v>3</v>
      </c>
      <c r="BD9">
        <f t="shared" si="28"/>
        <v>0.80000000000000071</v>
      </c>
      <c r="BE9" s="79">
        <f t="shared" si="29"/>
        <v>0</v>
      </c>
      <c r="BF9" s="83">
        <f>IF(소장="손상민",'SO멍텅(실측)'!AF9,0)</f>
        <v>7</v>
      </c>
    </row>
    <row r="10" spans="1:58" ht="30.75" customHeight="1" x14ac:dyDescent="0.3">
      <c r="A10" s="4">
        <f>'SO멍텅(실측)'!A10</f>
        <v>0</v>
      </c>
      <c r="B10" s="4" t="str">
        <f>'SO멍텅(실측)'!B10&amp;"F"</f>
        <v>4F</v>
      </c>
      <c r="C10" s="4">
        <f>'SO멍텅(실측)'!C10-SO멍텅OP</f>
        <v>770</v>
      </c>
      <c r="D10" s="4">
        <f>'SO멍텅(실측)'!D10-SO멍텅OP</f>
        <v>729</v>
      </c>
      <c r="E10" s="4">
        <f>'SO멍텅(실측)'!E10-SO멍텅R</f>
        <v>1603</v>
      </c>
      <c r="F10" s="4">
        <f>'SO멍텅(실측)'!F10+MAX(AO10,AP10)+IF(BE10=1,AC10,0)+SO멍텅JBJD늘림치수</f>
        <v>297.2</v>
      </c>
      <c r="G10" s="4">
        <f>'SO멍텅(실측)'!G10+MAX(AO10,AP10)+IF(BE10=1,AE10,0)+SO멍텅JBJD늘림치수</f>
        <v>297.2</v>
      </c>
      <c r="H10" s="4">
        <f>'SO멍텅(실측)'!H10+AO10+IF(BE10=1,AC10,0)+SO멍텅JB강제키움+SO멍텅JBJD늘림치수</f>
        <v>300.2</v>
      </c>
      <c r="I10" s="4">
        <f>'SO멍텅(실측)'!H10+AO10+IF(BE10=1,AD10,0)+SO멍텅JB강제키움+SO멍텅JBJD늘림치수-IF(SO멍텅JB하부늘치=1,'SO멍텅(실측)'!W10-'SO멍텅(실측)'!X10,0)</f>
        <v>302.2</v>
      </c>
      <c r="J10" s="4">
        <f>'SO멍텅(실측)'!I10+AP10+IF(BE10=1,AE10,0)+SO멍텅JB강제키움+SO멍텅JBJD늘림치수</f>
        <v>300.2</v>
      </c>
      <c r="K10" s="4">
        <f>'SO멍텅(실측)'!I10+AP10+IF(BE10=1,AF10,0)+SO멍텅JB강제키움+SO멍텅JBJD늘림치수-IF(SO멍텅JB하부늘치=1,'SO멍텅(실측)'!Y10-'SO멍텅(실측)'!Z10,0)</f>
        <v>298.2</v>
      </c>
      <c r="L10" s="91">
        <f t="shared" si="9"/>
        <v>-42</v>
      </c>
      <c r="M10" s="88">
        <f t="shared" si="10"/>
        <v>-42</v>
      </c>
      <c r="N10" s="4">
        <f t="shared" si="11"/>
        <v>31.4</v>
      </c>
      <c r="O10" s="4">
        <f t="shared" si="12"/>
        <v>31.4</v>
      </c>
      <c r="P10" s="4">
        <f>IF(R10&gt;0,'SO멍텅(실측)'!J10+SO멍텅C늘림,'SO멍텅(실측)'!J10+1)</f>
        <v>31.4</v>
      </c>
      <c r="Q10" s="4">
        <f>IF(S10&gt;0,'SO멍텅(실측)'!K10+SO멍텅C늘림,'SO멍텅(실측)'!K10+1)</f>
        <v>31.4</v>
      </c>
      <c r="R10" s="4">
        <f>IF(ISNUMBER('SO멍텅(실측)'!L10),'SO멍텅(실측)'!L10+SO멍텅제작!AO10+SO멍텅A늘림,0)</f>
        <v>13.2</v>
      </c>
      <c r="S10" s="4">
        <f>IF(ISNUMBER('SO멍텅(실측)'!M10),'SO멍텅(실측)'!M10+SO멍텅제작!AP10+SO멍텅A늘림,0)</f>
        <v>13.2</v>
      </c>
      <c r="T10" s="4">
        <f>'SO멍텅(실측)'!N10-SO멍텅기둥차감</f>
        <v>2097</v>
      </c>
      <c r="U10" s="4">
        <f>'SO멍텅(실측)'!O10-SO멍텅기둥차감</f>
        <v>2096</v>
      </c>
      <c r="V10" s="4">
        <f>'SO멍텅(실측)'!P10-SO멍텅기둥차감</f>
        <v>2105</v>
      </c>
      <c r="W10" s="4">
        <f>'SO멍텅(실측)'!Q10-SO멍텅기둥차감</f>
        <v>2093</v>
      </c>
      <c r="X10" s="4">
        <f>IF(ISNUMBER('SO멍텅(실측)'!R10),IF(Y10&gt;0,'SO멍텅(실측)'!R10+SO멍텅U늘림,'SO멍텅(실측)'!R10+1.2),0)</f>
        <v>31.4</v>
      </c>
      <c r="Y10" s="4">
        <f>IF(OR(SO멍텅G="", SO멍텅G=0),IF(ISNUMBER('SO멍텅(실측)'!S10),IF('SO멍텅(실측)'!S10+SO멍텅A늘림+MAX(AO10,AP10)&gt;9,'SO멍텅(실측)'!S10+SO멍텅A늘림+MAX(AO10,AP10),'SO멍텅(실측)'!S10+SO멍텅A늘림+MAX(AO10,AP10)),0),SO멍텅G)</f>
        <v>8.1999999999999993</v>
      </c>
      <c r="Z10" s="4">
        <f>'SO멍텅(실측)'!T10+뒷날개치수더함</f>
        <v>16.2</v>
      </c>
      <c r="AA10" s="4">
        <f>'SO멍텅(실측)'!U10+뒷날개치수더함</f>
        <v>31.2</v>
      </c>
      <c r="AB10" s="4">
        <f>'SO멍텅(실측)'!V10+뒷날개치수더함</f>
        <v>31.2</v>
      </c>
      <c r="AC10" s="13">
        <f>'SO멍텅(실측)'!W10-SO멍텅늘치차감</f>
        <v>41.2</v>
      </c>
      <c r="AD10" s="13">
        <f>IF(SO멍텅JB하부늘치=1,AC10,'SO멍텅(실측)'!X10-SO멍텅늘치차감)</f>
        <v>41.2</v>
      </c>
      <c r="AE10" s="13">
        <f>'SO멍텅(실측)'!Y10-SO멍텅늘치차감</f>
        <v>83.2</v>
      </c>
      <c r="AF10" s="13">
        <f>IF(SO멍텅JB하부늘치=1,AE10,'SO멍텅(실측)'!Z10-SO멍텅늘치차감)</f>
        <v>83.2</v>
      </c>
      <c r="AG10" s="11" t="str">
        <f t="shared" si="13"/>
        <v>1665.8*431.4</v>
      </c>
      <c r="AH10" s="12" t="str">
        <f t="shared" si="14"/>
        <v>2097*414.4</v>
      </c>
      <c r="AI10" s="10" t="str">
        <f t="shared" si="15"/>
        <v>2105*454.4</v>
      </c>
      <c r="AJ10" s="4">
        <f>IF('SO멍텅(실측)'!AA10&gt;5,'SO멍텅(실측)'!AA10+뒷날개치수더함,'SO멍텅(실측)'!AA10)</f>
        <v>21.2</v>
      </c>
      <c r="AK10" s="4">
        <f>'SO멍텅(실측)'!AB10</f>
        <v>10</v>
      </c>
      <c r="AL10" s="4">
        <f>'SO멍텅(실측)'!AC10</f>
        <v>10</v>
      </c>
      <c r="AM10" s="31">
        <f>IF('SO멍텅(실측)'!AD10&gt;0,'SO멍텅(실측)'!AD10-'SO멍텅(실측)'!T10+1.2,0)</f>
        <v>0</v>
      </c>
      <c r="AN10" s="31">
        <f>IF('SO멍텅(실측)'!AE10&gt;0,'SO멍텅(실측)'!AE10-'SO멍텅(실측)'!T10+1.2,0)</f>
        <v>0</v>
      </c>
      <c r="AO10" s="3">
        <f>IF(AND(ISNUMBER('SO멍텅(실측)'!M10),ISNUMBER('SO멍텅(실측)'!L10)),IF(ISNUMBER('SO멍텅(실측)'!L10),IF(9-MIN('SO멍텅(실측)'!L10+SO멍텅A늘림,'SO멍텅(실측)'!M10+SO멍텅A늘림)&lt;AQ10,AQ10,9-MIN('SO멍텅(실측)'!L10+SO멍텅A늘림,'SO멍텅(실측)'!M10+SO멍텅A늘림) + AQ10 ),0),IF(ISNUMBER('SO멍텅(실측)'!L10),IF(9-'SO멍텅(실측)'!L10-SO멍텅A늘림+AQ10&lt;AQ10,AQ10,9-'SO멍텅(실측)'!L10-SO멍텅A늘림+AQ10),0))</f>
        <v>0</v>
      </c>
      <c r="AP10" s="3">
        <f>IF(AND(ISNUMBER('SO멍텅(실측)'!L10),ISNUMBER('SO멍텅(실측)'!M10)),IF(ISNUMBER('SO멍텅(실측)'!M10),IF(9-MIN('SO멍텅(실측)'!M10+SO멍텅A늘림,'SO멍텅(실측)'!L10+SO멍텅A늘림)&lt;AQ10,AQ10,9-MIN('SO멍텅(실측)'!M10+SO멍텅A늘림,'SO멍텅(실측)'!L10+SO멍텅A늘림) + AQ10 ),0),IF(ISNUMBER('SO멍텅(실측)'!M10),IF(9-'SO멍텅(실측)'!M10-SO멍텅A늘림+AQ10&lt;AQ10,AQ10,9-'SO멍텅(실측)'!M10-SO멍텅A늘림+AQ10),0))</f>
        <v>0</v>
      </c>
      <c r="AQ10" s="16"/>
      <c r="AR10" s="17">
        <f t="shared" si="16"/>
        <v>9.9243749294563823</v>
      </c>
      <c r="AS10" s="17">
        <f t="shared" si="17"/>
        <v>9.9243749294563823</v>
      </c>
      <c r="AT10" s="36">
        <f t="shared" si="18"/>
        <v>1.492164443876618</v>
      </c>
      <c r="AU10" s="36">
        <f t="shared" si="19"/>
        <v>1.492164443876618</v>
      </c>
      <c r="AV10" s="46" t="str">
        <f t="shared" si="20"/>
        <v>JD비대칭</v>
      </c>
      <c r="AW10" s="3">
        <f t="shared" si="21"/>
        <v>1665.8</v>
      </c>
      <c r="AX10" s="3">
        <f t="shared" si="22"/>
        <v>431.39999999999992</v>
      </c>
      <c r="AY10" s="3">
        <f t="shared" si="23"/>
        <v>414.39999999999992</v>
      </c>
      <c r="AZ10" s="3">
        <f t="shared" si="24"/>
        <v>2097</v>
      </c>
      <c r="BA10" s="3">
        <f t="shared" si="25"/>
        <v>454.39999999999992</v>
      </c>
      <c r="BB10" s="3">
        <f t="shared" si="26"/>
        <v>2105</v>
      </c>
      <c r="BC10">
        <f t="shared" si="27"/>
        <v>3</v>
      </c>
      <c r="BD10">
        <f t="shared" si="28"/>
        <v>0.80000000000000071</v>
      </c>
      <c r="BE10" s="79">
        <f t="shared" si="29"/>
        <v>0</v>
      </c>
      <c r="BF10" s="83">
        <f>IF(소장="손상민",'SO멍텅(실측)'!AF10,0)</f>
        <v>4</v>
      </c>
    </row>
    <row r="11" spans="1:58" ht="30.75" customHeight="1" x14ac:dyDescent="0.3">
      <c r="A11" s="4">
        <f>'SO멍텅(실측)'!A11</f>
        <v>0</v>
      </c>
      <c r="B11" s="4" t="str">
        <f>'SO멍텅(실측)'!B11&amp;"F"</f>
        <v>3F</v>
      </c>
      <c r="C11" s="4">
        <f>'SO멍텅(실측)'!C11-SO멍텅OP</f>
        <v>768</v>
      </c>
      <c r="D11" s="4">
        <f>'SO멍텅(실측)'!D11-SO멍텅OP</f>
        <v>729</v>
      </c>
      <c r="E11" s="4">
        <f>'SO멍텅(실측)'!E11-SO멍텅R</f>
        <v>1597</v>
      </c>
      <c r="F11" s="4">
        <f>'SO멍텅(실측)'!F11+MAX(AO11,AP11)+IF(BE11=1,AC11,0)+SO멍텅JBJD늘림치수</f>
        <v>288</v>
      </c>
      <c r="G11" s="4">
        <f>'SO멍텅(실측)'!G11+MAX(AO11,AP11)+IF(BE11=1,AE11,0)+SO멍텅JBJD늘림치수</f>
        <v>288</v>
      </c>
      <c r="H11" s="4">
        <f>'SO멍텅(실측)'!H11+AO11+IF(BE11=1,AC11,0)+SO멍텅JB강제키움+SO멍텅JBJD늘림치수</f>
        <v>291</v>
      </c>
      <c r="I11" s="4">
        <f>'SO멍텅(실측)'!H11+AO11+IF(BE11=1,AD11,0)+SO멍텅JB강제키움+SO멍텅JBJD늘림치수-IF(SO멍텅JB하부늘치=1,'SO멍텅(실측)'!W11-'SO멍텅(실측)'!X11,0)</f>
        <v>294</v>
      </c>
      <c r="J11" s="4">
        <f>'SO멍텅(실측)'!I11+AP11+IF(BE11=1,AE11,0)+SO멍텅JB강제키움+SO멍텅JBJD늘림치수</f>
        <v>291</v>
      </c>
      <c r="K11" s="4">
        <f>'SO멍텅(실측)'!I11+AP11+IF(BE11=1,AF11,0)+SO멍텅JB강제키움+SO멍텅JBJD늘림치수-IF(SO멍텅JB하부늘치=1,'SO멍텅(실측)'!Y11-'SO멍텅(실측)'!Z11,0)</f>
        <v>291</v>
      </c>
      <c r="L11" s="91">
        <f t="shared" si="9"/>
        <v>-45</v>
      </c>
      <c r="M11" s="88">
        <f t="shared" si="10"/>
        <v>-45</v>
      </c>
      <c r="N11" s="4">
        <f t="shared" si="11"/>
        <v>30.4</v>
      </c>
      <c r="O11" s="4">
        <f t="shared" si="12"/>
        <v>30.4</v>
      </c>
      <c r="P11" s="4">
        <f>IF(R11&gt;0,'SO멍텅(실측)'!J11+SO멍텅C늘림,'SO멍텅(실측)'!J11+1)</f>
        <v>30.4</v>
      </c>
      <c r="Q11" s="4">
        <f>IF(S11&gt;0,'SO멍텅(실측)'!K11+SO멍텅C늘림,'SO멍텅(실측)'!K11+1)</f>
        <v>30.4</v>
      </c>
      <c r="R11" s="4">
        <f>IF(ISNUMBER('SO멍텅(실측)'!L11),'SO멍텅(실측)'!L11+SO멍텅제작!AO11+SO멍텅A늘림,0)</f>
        <v>11</v>
      </c>
      <c r="S11" s="4">
        <f>IF(ISNUMBER('SO멍텅(실측)'!M11),'SO멍텅(실측)'!M11+SO멍텅제작!AP11+SO멍텅A늘림,0)</f>
        <v>9</v>
      </c>
      <c r="T11" s="4">
        <f>'SO멍텅(실측)'!N11-SO멍텅기둥차감</f>
        <v>2093</v>
      </c>
      <c r="U11" s="4">
        <f>'SO멍텅(실측)'!O11-SO멍텅기둥차감</f>
        <v>2095</v>
      </c>
      <c r="V11" s="4">
        <f>'SO멍텅(실측)'!P11-SO멍텅기둥차감</f>
        <v>2098</v>
      </c>
      <c r="W11" s="4">
        <f>'SO멍텅(실측)'!Q11-SO멍텅기둥차감</f>
        <v>2095</v>
      </c>
      <c r="X11" s="4">
        <f>IF(ISNUMBER('SO멍텅(실측)'!R11),IF(Y11&gt;0,'SO멍텅(실측)'!R11+SO멍텅U늘림,'SO멍텅(실측)'!R11+1.2),0)</f>
        <v>31.4</v>
      </c>
      <c r="Y11" s="4">
        <f>IF(OR(SO멍텅G="", SO멍텅G=0),IF(ISNUMBER('SO멍텅(실측)'!S11),IF('SO멍텅(실측)'!S11+SO멍텅A늘림+MAX(AO11,AP11)&gt;9,'SO멍텅(실측)'!S11+SO멍텅A늘림+MAX(AO11,AP11),'SO멍텅(실측)'!S11+SO멍텅A늘림+MAX(AO11,AP11)),0),SO멍텅G)</f>
        <v>9</v>
      </c>
      <c r="Z11" s="4">
        <f>'SO멍텅(실측)'!T11+뒷날개치수더함</f>
        <v>16.2</v>
      </c>
      <c r="AA11" s="4">
        <f>'SO멍텅(실측)'!U11+뒷날개치수더함</f>
        <v>31.2</v>
      </c>
      <c r="AB11" s="4">
        <f>'SO멍텅(실측)'!V11+뒷날개치수더함</f>
        <v>31.2</v>
      </c>
      <c r="AC11" s="13">
        <f>'SO멍텅(실측)'!W11-SO멍텅늘치차감</f>
        <v>42.2</v>
      </c>
      <c r="AD11" s="13">
        <f>IF(SO멍텅JB하부늘치=1,AC11,'SO멍텅(실측)'!X11-SO멍텅늘치차감)</f>
        <v>42.2</v>
      </c>
      <c r="AE11" s="13">
        <f>'SO멍텅(실측)'!Y11-SO멍텅늘치차감</f>
        <v>87.2</v>
      </c>
      <c r="AF11" s="13">
        <f>IF(SO멍텅JB하부늘치=1,AE11,'SO멍텅(실측)'!Z11-SO멍텅늘치차감)</f>
        <v>87.2</v>
      </c>
      <c r="AG11" s="11" t="str">
        <f t="shared" si="13"/>
        <v>1657.8*427</v>
      </c>
      <c r="AH11" s="12" t="str">
        <f t="shared" si="14"/>
        <v>2095*404</v>
      </c>
      <c r="AI11" s="10" t="str">
        <f t="shared" si="15"/>
        <v>2098*444</v>
      </c>
      <c r="AJ11" s="4">
        <f>IF('SO멍텅(실측)'!AA11&gt;5,'SO멍텅(실측)'!AA11+뒷날개치수더함,'SO멍텅(실측)'!AA11)</f>
        <v>21.2</v>
      </c>
      <c r="AK11" s="4">
        <f>'SO멍텅(실측)'!AB11</f>
        <v>10</v>
      </c>
      <c r="AL11" s="4">
        <f>'SO멍텅(실측)'!AC11</f>
        <v>10</v>
      </c>
      <c r="AM11" s="31">
        <f>IF('SO멍텅(실측)'!AD11&gt;0,'SO멍텅(실측)'!AD11-'SO멍텅(실측)'!T11+1.2,0)</f>
        <v>0</v>
      </c>
      <c r="AN11" s="31">
        <f>IF('SO멍텅(실측)'!AE11&gt;0,'SO멍텅(실측)'!AE11-'SO멍텅(실측)'!T11+1.2,0)</f>
        <v>0</v>
      </c>
      <c r="AO11" s="3">
        <f>IF(AND(ISNUMBER('SO멍텅(실측)'!M11),ISNUMBER('SO멍텅(실측)'!L11)),IF(ISNUMBER('SO멍텅(실측)'!L11),IF(9-MIN('SO멍텅(실측)'!L11+SO멍텅A늘림,'SO멍텅(실측)'!M11+SO멍텅A늘림)&lt;AQ11,AQ11,9-MIN('SO멍텅(실측)'!L11+SO멍텅A늘림,'SO멍텅(실측)'!M11+SO멍텅A늘림) + AQ11 ),0),IF(ISNUMBER('SO멍텅(실측)'!L11),IF(9-'SO멍텅(실측)'!L11-SO멍텅A늘림+AQ11&lt;AQ11,AQ11,9-'SO멍텅(실측)'!L11-SO멍텅A늘림+AQ11),0))</f>
        <v>0.80000000000000071</v>
      </c>
      <c r="AP11" s="3">
        <f>IF(AND(ISNUMBER('SO멍텅(실측)'!L11),ISNUMBER('SO멍텅(실측)'!M11)),IF(ISNUMBER('SO멍텅(실측)'!M11),IF(9-MIN('SO멍텅(실측)'!M11+SO멍텅A늘림,'SO멍텅(실측)'!L11+SO멍텅A늘림)&lt;AQ11,AQ11,9-MIN('SO멍텅(실측)'!M11+SO멍텅A늘림,'SO멍텅(실측)'!L11+SO멍텅A늘림) + AQ11 ),0),IF(ISNUMBER('SO멍텅(실측)'!M11),IF(9-'SO멍텅(실측)'!M11-SO멍텅A늘림+AQ11&lt;AQ11,AQ11,9-'SO멍텅(실측)'!M11-SO멍텅A늘림+AQ11),0))</f>
        <v>0.80000000000000071</v>
      </c>
      <c r="AQ11" s="16"/>
      <c r="AR11" s="17">
        <f t="shared" si="16"/>
        <v>9.84901451111703</v>
      </c>
      <c r="AS11" s="17">
        <f t="shared" si="17"/>
        <v>9.84901451111703</v>
      </c>
      <c r="AT11" s="36">
        <f t="shared" si="18"/>
        <v>1.2887784486683813</v>
      </c>
      <c r="AU11" s="36">
        <f t="shared" si="19"/>
        <v>1.2887784486683813</v>
      </c>
      <c r="AV11" s="46" t="str">
        <f t="shared" si="20"/>
        <v>JD비대칭</v>
      </c>
      <c r="AW11" s="3">
        <f t="shared" si="21"/>
        <v>1657.8</v>
      </c>
      <c r="AX11" s="3">
        <f t="shared" si="22"/>
        <v>426.99999999999994</v>
      </c>
      <c r="AY11" s="3">
        <f t="shared" si="23"/>
        <v>403.99999999999994</v>
      </c>
      <c r="AZ11" s="3">
        <f t="shared" si="24"/>
        <v>2095</v>
      </c>
      <c r="BA11" s="3">
        <f t="shared" si="25"/>
        <v>443.99999999999994</v>
      </c>
      <c r="BB11" s="3">
        <f t="shared" si="26"/>
        <v>2098</v>
      </c>
      <c r="BC11">
        <f t="shared" si="27"/>
        <v>3</v>
      </c>
      <c r="BD11">
        <f t="shared" si="28"/>
        <v>0</v>
      </c>
      <c r="BE11" s="79">
        <f t="shared" si="29"/>
        <v>0</v>
      </c>
      <c r="BF11" s="83">
        <f>IF(소장="손상민",'SO멍텅(실측)'!AF11,0)</f>
        <v>5</v>
      </c>
    </row>
    <row r="12" spans="1:58" ht="30.75" customHeight="1" x14ac:dyDescent="0.3">
      <c r="A12" s="4">
        <f>'SO멍텅(실측)'!A12</f>
        <v>0</v>
      </c>
      <c r="B12" s="4" t="str">
        <f>'SO멍텅(실측)'!B12&amp;"F"</f>
        <v>2F</v>
      </c>
      <c r="C12" s="4">
        <f>'SO멍텅(실측)'!C12-SO멍텅OP</f>
        <v>762</v>
      </c>
      <c r="D12" s="4">
        <f>'SO멍텅(실측)'!D12-SO멍텅OP</f>
        <v>733</v>
      </c>
      <c r="E12" s="4">
        <f>'SO멍텅(실측)'!E12-SO멍텅R</f>
        <v>1599</v>
      </c>
      <c r="F12" s="4">
        <f>'SO멍텅(실측)'!F12+MAX(AO12,AP12)+IF(BE12=1,AC12,0)+SO멍텅JBJD늘림치수</f>
        <v>286.2</v>
      </c>
      <c r="G12" s="4">
        <f>'SO멍텅(실측)'!G12+MAX(AO12,AP12)+IF(BE12=1,AE12,0)+SO멍텅JBJD늘림치수</f>
        <v>286.2</v>
      </c>
      <c r="H12" s="4">
        <f>'SO멍텅(실측)'!H12+AO12+IF(BE12=1,AC12,0)+SO멍텅JB강제키움+SO멍텅JBJD늘림치수</f>
        <v>290.2</v>
      </c>
      <c r="I12" s="4">
        <f>'SO멍텅(실측)'!H12+AO12+IF(BE12=1,AD12,0)+SO멍텅JB강제키움+SO멍텅JBJD늘림치수-IF(SO멍텅JB하부늘치=1,'SO멍텅(실측)'!W12-'SO멍텅(실측)'!X12,0)</f>
        <v>290.2</v>
      </c>
      <c r="J12" s="4">
        <f>'SO멍텅(실측)'!I12+AP12+IF(BE12=1,AE12,0)+SO멍텅JB강제키움+SO멍텅JBJD늘림치수</f>
        <v>290.2</v>
      </c>
      <c r="K12" s="4">
        <f>'SO멍텅(실측)'!I12+AP12+IF(BE12=1,AF12,0)+SO멍텅JB강제키움+SO멍텅JBJD늘림치수-IF(SO멍텅JB하부늘치=1,'SO멍텅(실측)'!Y12-'SO멍텅(실측)'!Z12,0)</f>
        <v>290.2</v>
      </c>
      <c r="L12" s="91">
        <f t="shared" si="9"/>
        <v>-42</v>
      </c>
      <c r="M12" s="88">
        <f t="shared" si="10"/>
        <v>-42</v>
      </c>
      <c r="N12" s="4">
        <f t="shared" si="11"/>
        <v>31.4</v>
      </c>
      <c r="O12" s="4">
        <f t="shared" si="12"/>
        <v>31.4</v>
      </c>
      <c r="P12" s="4">
        <f>IF(R12&gt;0,'SO멍텅(실측)'!J12+SO멍텅C늘림,'SO멍텅(실측)'!J12+1)</f>
        <v>31.4</v>
      </c>
      <c r="Q12" s="4">
        <f>IF(S12&gt;0,'SO멍텅(실측)'!K12+SO멍텅C늘림,'SO멍텅(실측)'!K12+1)</f>
        <v>31.4</v>
      </c>
      <c r="R12" s="4">
        <f>IF(ISNUMBER('SO멍텅(실측)'!L12),'SO멍텅(실측)'!L12+SO멍텅제작!AO12+SO멍텅A늘림,0)</f>
        <v>13.2</v>
      </c>
      <c r="S12" s="4">
        <f>IF(ISNUMBER('SO멍텅(실측)'!M12),'SO멍텅(실측)'!M12+SO멍텅제작!AP12+SO멍텅A늘림,0)</f>
        <v>11.2</v>
      </c>
      <c r="T12" s="4">
        <f>'SO멍텅(실측)'!N12-SO멍텅기둥차감</f>
        <v>2096</v>
      </c>
      <c r="U12" s="4">
        <f>'SO멍텅(실측)'!O12-SO멍텅기둥차감</f>
        <v>2097</v>
      </c>
      <c r="V12" s="4">
        <f>'SO멍텅(실측)'!P12-SO멍텅기둥차감</f>
        <v>2106</v>
      </c>
      <c r="W12" s="4">
        <f>'SO멍텅(실측)'!Q12-SO멍텅기둥차감</f>
        <v>2096</v>
      </c>
      <c r="X12" s="4">
        <f>IF(ISNUMBER('SO멍텅(실측)'!R12),IF(Y12&gt;0,'SO멍텅(실측)'!R12+SO멍텅U늘림,'SO멍텅(실측)'!R12+1.2),0)</f>
        <v>31.4</v>
      </c>
      <c r="Y12" s="4">
        <f>IF(OR(SO멍텅G="", SO멍텅G=0),IF(ISNUMBER('SO멍텅(실측)'!S12),IF('SO멍텅(실측)'!S12+SO멍텅A늘림+MAX(AO12,AP12)&gt;9,'SO멍텅(실측)'!S12+SO멍텅A늘림+MAX(AO12,AP12),'SO멍텅(실측)'!S12+SO멍텅A늘림+MAX(AO12,AP12)),0),SO멍텅G)</f>
        <v>8.1999999999999993</v>
      </c>
      <c r="Z12" s="4">
        <f>'SO멍텅(실측)'!T12+뒷날개치수더함</f>
        <v>16.2</v>
      </c>
      <c r="AA12" s="4">
        <f>'SO멍텅(실측)'!U12+뒷날개치수더함</f>
        <v>31.2</v>
      </c>
      <c r="AB12" s="4">
        <f>'SO멍텅(실측)'!V12+뒷날개치수더함</f>
        <v>31.2</v>
      </c>
      <c r="AC12" s="13">
        <f>'SO멍텅(실측)'!W12-SO멍텅늘치차감</f>
        <v>43.2</v>
      </c>
      <c r="AD12" s="13">
        <f>IF(SO멍텅JB하부늘치=1,AC12,'SO멍텅(실측)'!X12-SO멍텅늘치차감)</f>
        <v>43.2</v>
      </c>
      <c r="AE12" s="13">
        <f>'SO멍텅(실측)'!Y12-SO멍텅늘치차감</f>
        <v>85.2</v>
      </c>
      <c r="AF12" s="13">
        <f>IF(SO멍텅JB하부늘치=1,AE12,'SO멍텅(실측)'!Z12-SO멍텅늘치차감)</f>
        <v>85.2</v>
      </c>
      <c r="AG12" s="11" t="str">
        <f t="shared" si="13"/>
        <v>1661.8*422.4</v>
      </c>
      <c r="AH12" s="12" t="str">
        <f t="shared" si="14"/>
        <v>2097*404.4</v>
      </c>
      <c r="AI12" s="10" t="str">
        <f t="shared" si="15"/>
        <v>2106*444.4</v>
      </c>
      <c r="AJ12" s="4">
        <f>IF('SO멍텅(실측)'!AA12&gt;5,'SO멍텅(실측)'!AA12+뒷날개치수더함,'SO멍텅(실측)'!AA12)</f>
        <v>21.2</v>
      </c>
      <c r="AK12" s="4">
        <f>'SO멍텅(실측)'!AB12</f>
        <v>10</v>
      </c>
      <c r="AL12" s="4">
        <f>'SO멍텅(실측)'!AC12</f>
        <v>10</v>
      </c>
      <c r="AM12" s="31">
        <f>IF('SO멍텅(실측)'!AD12&gt;0,'SO멍텅(실측)'!AD12-'SO멍텅(실측)'!T12+1.2,0)</f>
        <v>0</v>
      </c>
      <c r="AN12" s="31">
        <f>IF('SO멍텅(실측)'!AE12&gt;0,'SO멍텅(실측)'!AE12-'SO멍텅(실측)'!T12+1.2,0)</f>
        <v>0</v>
      </c>
      <c r="AO12" s="3">
        <f>IF(AND(ISNUMBER('SO멍텅(실측)'!M12),ISNUMBER('SO멍텅(실측)'!L12)),IF(ISNUMBER('SO멍텅(실측)'!L12),IF(9-MIN('SO멍텅(실측)'!L12+SO멍텅A늘림,'SO멍텅(실측)'!M12+SO멍텅A늘림)&lt;AQ12,AQ12,9-MIN('SO멍텅(실측)'!L12+SO멍텅A늘림,'SO멍텅(실측)'!M12+SO멍텅A늘림) + AQ12 ),0),IF(ISNUMBER('SO멍텅(실측)'!L12),IF(9-'SO멍텅(실측)'!L12-SO멍텅A늘림+AQ12&lt;AQ12,AQ12,9-'SO멍텅(실측)'!L12-SO멍텅A늘림+AQ12),0))</f>
        <v>0</v>
      </c>
      <c r="AP12" s="3">
        <f>IF(AND(ISNUMBER('SO멍텅(실측)'!L12),ISNUMBER('SO멍텅(실측)'!M12)),IF(ISNUMBER('SO멍텅(실측)'!M12),IF(9-MIN('SO멍텅(실측)'!M12+SO멍텅A늘림,'SO멍텅(실측)'!L12+SO멍텅A늘림)&lt;AQ12,AQ12,9-MIN('SO멍텅(실측)'!M12+SO멍텅A늘림,'SO멍텅(실측)'!L12+SO멍텅A늘림) + AQ12 ),0),IF(ISNUMBER('SO멍텅(실측)'!M12),IF(9-'SO멍텅(실측)'!M12-SO멍텅A늘림+AQ12&lt;AQ12,AQ12,9-'SO멍텅(실측)'!M12-SO멍텅A늘림+AQ12),0))</f>
        <v>0</v>
      </c>
      <c r="AQ12" s="16"/>
      <c r="AR12" s="17">
        <f t="shared" si="16"/>
        <v>10.297799450842883</v>
      </c>
      <c r="AS12" s="17">
        <f t="shared" si="17"/>
        <v>10.297799450842883</v>
      </c>
      <c r="AT12" s="36">
        <f t="shared" si="18"/>
        <v>0.67456933330225866</v>
      </c>
      <c r="AU12" s="36">
        <f t="shared" si="19"/>
        <v>0.67456933330225866</v>
      </c>
      <c r="AV12" s="46" t="str">
        <f t="shared" si="20"/>
        <v>JD비대칭</v>
      </c>
      <c r="AW12" s="3">
        <f t="shared" si="21"/>
        <v>1661.8</v>
      </c>
      <c r="AX12" s="3">
        <f t="shared" si="22"/>
        <v>422.39999999999992</v>
      </c>
      <c r="AY12" s="3">
        <f t="shared" si="23"/>
        <v>404.39999999999992</v>
      </c>
      <c r="AZ12" s="3">
        <f t="shared" si="24"/>
        <v>2097</v>
      </c>
      <c r="BA12" s="3">
        <f t="shared" si="25"/>
        <v>444.39999999999992</v>
      </c>
      <c r="BB12" s="3">
        <f t="shared" si="26"/>
        <v>2106</v>
      </c>
      <c r="BC12">
        <f t="shared" si="27"/>
        <v>4</v>
      </c>
      <c r="BD12">
        <f t="shared" si="28"/>
        <v>0.80000000000000071</v>
      </c>
      <c r="BE12" s="79">
        <f t="shared" si="29"/>
        <v>0</v>
      </c>
      <c r="BF12" s="83">
        <f>IF(소장="손상민",'SO멍텅(실측)'!AF12,0)</f>
        <v>5</v>
      </c>
    </row>
    <row r="13" spans="1:58" ht="30.75" customHeight="1" x14ac:dyDescent="0.3">
      <c r="A13" s="4">
        <f>'SO멍텅(실측)'!A13</f>
        <v>0</v>
      </c>
      <c r="B13" s="4" t="str">
        <f>'SO멍텅(실측)'!B13&amp;"F"</f>
        <v>1F</v>
      </c>
      <c r="C13" s="4">
        <f>'SO멍텅(실측)'!C13-SO멍텅OP</f>
        <v>766</v>
      </c>
      <c r="D13" s="4">
        <f>'SO멍텅(실측)'!D13-SO멍텅OP</f>
        <v>731</v>
      </c>
      <c r="E13" s="4">
        <f>'SO멍텅(실측)'!E13-SO멍텅R</f>
        <v>1600</v>
      </c>
      <c r="F13" s="4">
        <f>'SO멍텅(실측)'!F13+MAX(AO13,AP13)+IF(BE13=1,AC13,0)+SO멍텅JBJD늘림치수</f>
        <v>288</v>
      </c>
      <c r="G13" s="4">
        <f>'SO멍텅(실측)'!G13+MAX(AO13,AP13)+IF(BE13=1,AE13,0)+SO멍텅JBJD늘림치수</f>
        <v>288</v>
      </c>
      <c r="H13" s="4">
        <f>'SO멍텅(실측)'!H13+AO13+IF(BE13=1,AC13,0)+SO멍텅JB강제키움+SO멍텅JBJD늘림치수</f>
        <v>290</v>
      </c>
      <c r="I13" s="4">
        <f>'SO멍텅(실측)'!H13+AO13+IF(BE13=1,AD13,0)+SO멍텅JB강제키움+SO멍텅JBJD늘림치수-IF(SO멍텅JB하부늘치=1,'SO멍텅(실측)'!W13-'SO멍텅(실측)'!X13,0)</f>
        <v>290</v>
      </c>
      <c r="J13" s="4">
        <f>'SO멍텅(실측)'!I13+AP13+IF(BE13=1,AE13,0)+SO멍텅JB강제키움+SO멍텅JBJD늘림치수</f>
        <v>290</v>
      </c>
      <c r="K13" s="4">
        <f>'SO멍텅(실측)'!I13+AP13+IF(BE13=1,AF13,0)+SO멍텅JB강제키움+SO멍텅JBJD늘림치수-IF(SO멍텅JB하부늘치=1,'SO멍텅(실측)'!Y13-'SO멍텅(실측)'!Z13,0)</f>
        <v>292</v>
      </c>
      <c r="L13" s="91">
        <f t="shared" si="9"/>
        <v>-43</v>
      </c>
      <c r="M13" s="88">
        <f t="shared" si="10"/>
        <v>-43</v>
      </c>
      <c r="N13" s="4">
        <f t="shared" si="11"/>
        <v>30.4</v>
      </c>
      <c r="O13" s="4">
        <f t="shared" si="12"/>
        <v>30.4</v>
      </c>
      <c r="P13" s="4">
        <f>IF(R13&gt;0,'SO멍텅(실측)'!J13+SO멍텅C늘림,'SO멍텅(실측)'!J13+1)</f>
        <v>30.4</v>
      </c>
      <c r="Q13" s="4">
        <f>IF(S13&gt;0,'SO멍텅(실측)'!K13+SO멍텅C늘림,'SO멍텅(실측)'!K13+1)</f>
        <v>30.4</v>
      </c>
      <c r="R13" s="4">
        <f>IF(ISNUMBER('SO멍텅(실측)'!L13),'SO멍텅(실측)'!L13+SO멍텅제작!AO13+SO멍텅A늘림,0)</f>
        <v>9</v>
      </c>
      <c r="S13" s="4">
        <f>IF(ISNUMBER('SO멍텅(실측)'!M13),'SO멍텅(실측)'!M13+SO멍텅제작!AP13+SO멍텅A늘림,0)</f>
        <v>9</v>
      </c>
      <c r="T13" s="4">
        <f>'SO멍텅(실측)'!N13-SO멍텅기둥차감</f>
        <v>2097</v>
      </c>
      <c r="U13" s="4">
        <f>'SO멍텅(실측)'!O13-SO멍텅기둥차감</f>
        <v>2095</v>
      </c>
      <c r="V13" s="4">
        <f>'SO멍텅(실측)'!P13-SO멍텅기둥차감</f>
        <v>2096</v>
      </c>
      <c r="W13" s="4">
        <f>'SO멍텅(실측)'!Q13-SO멍텅기둥차감</f>
        <v>2095</v>
      </c>
      <c r="X13" s="4">
        <f>IF(ISNUMBER('SO멍텅(실측)'!R13),IF(Y13&gt;0,'SO멍텅(실측)'!R13+SO멍텅U늘림,'SO멍텅(실측)'!R13+1.2),0)</f>
        <v>31.4</v>
      </c>
      <c r="Y13" s="4">
        <f>IF(OR(SO멍텅G="", SO멍텅G=0),IF(ISNUMBER('SO멍텅(실측)'!S13),IF('SO멍텅(실측)'!S13+SO멍텅A늘림+MAX(AO13,AP13)&gt;9,'SO멍텅(실측)'!S13+SO멍텅A늘림+MAX(AO13,AP13),'SO멍텅(실측)'!S13+SO멍텅A늘림+MAX(AO13,AP13)),0),SO멍텅G)</f>
        <v>9</v>
      </c>
      <c r="Z13" s="4">
        <f>'SO멍텅(실측)'!T13+뒷날개치수더함</f>
        <v>16.2</v>
      </c>
      <c r="AA13" s="4">
        <f>'SO멍텅(실측)'!U13+뒷날개치수더함</f>
        <v>31.2</v>
      </c>
      <c r="AB13" s="4">
        <f>'SO멍텅(실측)'!V13+뒷날개치수더함</f>
        <v>31.2</v>
      </c>
      <c r="AC13" s="13">
        <f>'SO멍텅(실측)'!W13-SO멍텅늘치차감</f>
        <v>44.2</v>
      </c>
      <c r="AD13" s="13">
        <f>IF(SO멍텅JB하부늘치=1,AC13,'SO멍텅(실측)'!X13-SO멍텅늘치차감)</f>
        <v>44.2</v>
      </c>
      <c r="AE13" s="13">
        <f>'SO멍텅(실측)'!Y13-SO멍텅늘치차감</f>
        <v>87.2</v>
      </c>
      <c r="AF13" s="13">
        <f>IF(SO멍텅JB하부늘치=1,AE13,'SO멍텅(실측)'!Z13-SO멍텅늘치차감)</f>
        <v>87.2</v>
      </c>
      <c r="AG13" s="11" t="str">
        <f t="shared" si="13"/>
        <v>1660.8*427</v>
      </c>
      <c r="AH13" s="12" t="str">
        <f t="shared" si="14"/>
        <v>2097*400</v>
      </c>
      <c r="AI13" s="10" t="str">
        <f t="shared" si="15"/>
        <v>2096*445</v>
      </c>
      <c r="AJ13" s="4">
        <f>IF('SO멍텅(실측)'!AA13&gt;5,'SO멍텅(실측)'!AA13+뒷날개치수더함,'SO멍텅(실측)'!AA13)</f>
        <v>21.2</v>
      </c>
      <c r="AK13" s="4">
        <f>'SO멍텅(실측)'!AB13</f>
        <v>10</v>
      </c>
      <c r="AL13" s="4">
        <f>'SO멍텅(실측)'!AC13</f>
        <v>10</v>
      </c>
      <c r="AM13" s="31">
        <f>IF('SO멍텅(실측)'!AD13&gt;0,'SO멍텅(실측)'!AD13-'SO멍텅(실측)'!T13+1.2,0)</f>
        <v>0</v>
      </c>
      <c r="AN13" s="31">
        <f>IF('SO멍텅(실측)'!AE13&gt;0,'SO멍텅(실측)'!AE13-'SO멍텅(실측)'!T13+1.2,0)</f>
        <v>0</v>
      </c>
      <c r="AO13" s="3">
        <f>IF(AND(ISNUMBER('SO멍텅(실측)'!M13),ISNUMBER('SO멍텅(실측)'!L13)),IF(ISNUMBER('SO멍텅(실측)'!L13),IF(9-MIN('SO멍텅(실측)'!L13+SO멍텅A늘림,'SO멍텅(실측)'!M13+SO멍텅A늘림)&lt;AQ13,AQ13,9-MIN('SO멍텅(실측)'!L13+SO멍텅A늘림,'SO멍텅(실측)'!M13+SO멍텅A늘림) + AQ13 ),0),IF(ISNUMBER('SO멍텅(실측)'!L13),IF(9-'SO멍텅(실측)'!L13-SO멍텅A늘림+AQ13&lt;AQ13,AQ13,9-'SO멍텅(실측)'!L13-SO멍텅A늘림+AQ13),0))</f>
        <v>0.80000000000000071</v>
      </c>
      <c r="AP13" s="3">
        <f>IF(AND(ISNUMBER('SO멍텅(실측)'!L13),ISNUMBER('SO멍텅(실측)'!M13)),IF(ISNUMBER('SO멍텅(실측)'!M13),IF(9-MIN('SO멍텅(실측)'!M13+SO멍텅A늘림,'SO멍텅(실측)'!L13+SO멍텅A늘림)&lt;AQ13,AQ13,9-MIN('SO멍텅(실측)'!M13+SO멍텅A늘림,'SO멍텅(실측)'!L13+SO멍텅A늘림) + AQ13 ),0),IF(ISNUMBER('SO멍텅(실측)'!M13),IF(9-'SO멍텅(실측)'!M13-SO멍텅A늘림+AQ13&lt;AQ13,AQ13,9-'SO멍텅(실측)'!M13-SO멍텅A늘림+AQ13),0))</f>
        <v>0.80000000000000071</v>
      </c>
      <c r="AQ13" s="16"/>
      <c r="AR13" s="17">
        <f t="shared" si="16"/>
        <v>10.138442196384387</v>
      </c>
      <c r="AS13" s="17">
        <f t="shared" si="17"/>
        <v>10.138442196384387</v>
      </c>
      <c r="AT13" s="36">
        <f t="shared" si="18"/>
        <v>2.5282637744098793</v>
      </c>
      <c r="AU13" s="36">
        <f t="shared" si="19"/>
        <v>2.5282637744098793</v>
      </c>
      <c r="AV13" s="46" t="str">
        <f t="shared" si="20"/>
        <v>JD비대칭</v>
      </c>
      <c r="AW13" s="3">
        <f t="shared" si="21"/>
        <v>1660.8</v>
      </c>
      <c r="AX13" s="3">
        <f t="shared" si="22"/>
        <v>426.99999999999994</v>
      </c>
      <c r="AY13" s="3">
        <f t="shared" si="23"/>
        <v>399.99999999999994</v>
      </c>
      <c r="AZ13" s="3">
        <f t="shared" si="24"/>
        <v>2097</v>
      </c>
      <c r="BA13" s="3">
        <f t="shared" si="25"/>
        <v>444.99999999999994</v>
      </c>
      <c r="BB13" s="3">
        <f t="shared" si="26"/>
        <v>2096</v>
      </c>
      <c r="BC13">
        <f t="shared" si="27"/>
        <v>2</v>
      </c>
      <c r="BD13">
        <f t="shared" si="28"/>
        <v>0</v>
      </c>
      <c r="BE13" s="79">
        <f t="shared" si="29"/>
        <v>0</v>
      </c>
      <c r="BF13" s="83">
        <f>IF(소장="손상민",'SO멍텅(실측)'!AF13,0)</f>
        <v>5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:E13">
    <cfRule type="cellIs" dxfId="35" priority="23" operator="greaterThan">
      <formula>1210</formula>
    </cfRule>
  </conditionalFormatting>
  <conditionalFormatting sqref="F7:F13">
    <cfRule type="cellIs" dxfId="34" priority="21" operator="notEqual">
      <formula>G7</formula>
    </cfRule>
  </conditionalFormatting>
  <conditionalFormatting sqref="G7:G13">
    <cfRule type="cellIs" dxfId="33" priority="20" operator="notEqual">
      <formula>F7</formula>
    </cfRule>
  </conditionalFormatting>
  <conditionalFormatting sqref="AJ7:AL13">
    <cfRule type="cellIs" dxfId="32" priority="11" operator="greaterThan">
      <formula>1.2</formula>
    </cfRule>
  </conditionalFormatting>
  <conditionalFormatting sqref="L7:M13">
    <cfRule type="cellIs" dxfId="31" priority="7" operator="greaterThan">
      <formula>500</formula>
    </cfRule>
  </conditionalFormatting>
  <conditionalFormatting sqref="J7:J13">
    <cfRule type="cellIs" dxfId="30" priority="5" operator="notEqual">
      <formula>K7</formula>
    </cfRule>
  </conditionalFormatting>
  <conditionalFormatting sqref="K7:K13 I7:I13">
    <cfRule type="cellIs" dxfId="29" priority="4" operator="notEqual">
      <formula>H7</formula>
    </cfRule>
  </conditionalFormatting>
  <conditionalFormatting sqref="H7:H13">
    <cfRule type="cellIs" dxfId="28" priority="3" operator="notEqual">
      <formula>I7</formula>
    </cfRule>
  </conditionalFormatting>
  <conditionalFormatting sqref="AC7:AF13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부산 삼영이엔씨 SO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부산 삼영이엔씨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(1.2), JB/JD +(2.2 ),  늘어난치수K -(-2.2),  C + (4.4),   U + (4.4), OP1/OP3 - (0), R - (0),  기둥차감 - (0), A + (1.2)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부산 삼영이엔씨 SO ) _손상민소장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4.4000000000000004</v>
      </c>
      <c r="W2" s="191"/>
      <c r="X2" s="283" t="s">
        <v>83</v>
      </c>
      <c r="Y2" s="198"/>
      <c r="Z2" s="198"/>
      <c r="AA2" s="194">
        <v>0</v>
      </c>
      <c r="AB2" s="194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-2.2000000000000002</v>
      </c>
      <c r="AP2" s="341"/>
      <c r="AQ2" s="1"/>
      <c r="AR2" s="319" t="s">
        <v>229</v>
      </c>
      <c r="AS2" s="320"/>
      <c r="AT2" s="321">
        <v>1.2</v>
      </c>
      <c r="AU2" s="321"/>
      <c r="AV2" s="1"/>
      <c r="AW2" s="1"/>
    </row>
    <row r="3" spans="1:66" ht="24.75" customHeight="1" x14ac:dyDescent="0.3">
      <c r="A3" s="28" t="str">
        <f>'4CO와이드(실측)'!A3</f>
        <v>현장명 : 부산 삼영이엔씨 SO,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2.2000000000000002</v>
      </c>
      <c r="S3" s="220"/>
      <c r="T3" s="190" t="s">
        <v>77</v>
      </c>
      <c r="U3" s="190"/>
      <c r="V3" s="197">
        <v>4.4000000000000004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1.2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328</v>
      </c>
      <c r="AU3" s="342"/>
      <c r="AV3" s="231">
        <f>AZ7</f>
        <v>0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(1.2), JB/JD +(2.2 ),  늘어난치수K -(-2.2),  C + (4.4),   U + 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314</v>
      </c>
      <c r="AI4" s="343"/>
      <c r="AJ4" s="343">
        <f>'4CO와이드(실측)'!AB7</f>
        <v>0</v>
      </c>
      <c r="AK4" s="343"/>
      <c r="AL4" s="222">
        <f ca="1">TODAY()</f>
        <v>45446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1.2</v>
      </c>
      <c r="D7" s="31">
        <f>'4CO와이드(실측)'!D7+CO4와이드MH더함-IF(AND(소장="추영덕",AD7=0),1.2)</f>
        <v>1.2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4.4000000000000004</v>
      </c>
      <c r="J7" s="50">
        <f>'4CO와이드(실측)'!J7+CO4와이드JBJD키움치수+IF(BN7=1,MAX(AH7,AJ7),0)</f>
        <v>4.4000000000000004</v>
      </c>
      <c r="K7" s="50">
        <f>'4CO와이드(실측)'!K7+CO4와이드JBJD키움치수+IF(BN7=1,AJ7,0)</f>
        <v>4.4000000000000004</v>
      </c>
      <c r="L7" s="50">
        <f>'4CO와이드(실측)'!L7+MAX(AX7,AY7)+CO4와이드JBJD키움치수+IF(BN7=1,AH7,0)</f>
        <v>4.4000000000000004</v>
      </c>
      <c r="M7" s="50">
        <f>'4CO와이드(실측)'!L7+MAX(AX7,AY7)+CO4와이드JBJD키움치수+IF(BN7=1,AI7,0)-IF(CO4와이드JB하부늘치=1,'4CO와이드(실측)'!AB7-'4CO와이드(실측)'!AC7,0)</f>
        <v>4.4000000000000004</v>
      </c>
      <c r="N7" s="50">
        <f>'4CO와이드(실측)'!M7+MAX(AX7,AY7)+CO4와이드JBJD키움치수+IF(BN7=1,AJ7,0)</f>
        <v>4.4000000000000004</v>
      </c>
      <c r="O7" s="50">
        <f>'4CO와이드(실측)'!M7+MAX(AX7,AY7)+CO4와이드JBJD키움치수+IF(BN7=1,AK7,0)-IF(CO4와이드JB하부늘치=1,'4CO와이드(실측)'!AD7-'4CO와이드(실측)'!AE7,0)</f>
        <v>4.4000000000000004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0</v>
      </c>
      <c r="S7" s="31">
        <f t="shared" si="0"/>
        <v>0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3.2</v>
      </c>
      <c r="AF7" s="31">
        <f>'4CO와이드(실측)'!Z7+뒷날개치수더함</f>
        <v>1.2</v>
      </c>
      <c r="AG7" s="31">
        <f>'4CO와이드(실측)'!AA7+뒷날개치수더함</f>
        <v>1.2</v>
      </c>
      <c r="AH7" s="31">
        <f>'4CO와이드(실측)'!AB7-CO4와이드늘치</f>
        <v>2.2000000000000002</v>
      </c>
      <c r="AI7" s="31">
        <f>IF(CO4와이드JB하부늘치=1,AH7,'4CO와이드(실측)'!AC7-CO4와이드늘치)</f>
        <v>2.2000000000000002</v>
      </c>
      <c r="AJ7" s="31">
        <f>'4CO와이드(실측)'!AD7-CO4와이드늘치</f>
        <v>2.2000000000000002</v>
      </c>
      <c r="AK7" s="31">
        <f>IF(CO4와이드JB하부늘치=1,AJ7,'4CO와이드(실측)'!AE7-CO4와이드늘치)</f>
        <v>2.2000000000000002</v>
      </c>
      <c r="AL7" s="31">
        <f xml:space="preserve"> IF(소장&lt;&gt;"손상민",IF('4CO와이드(실측)'!AF7&gt;0,'4CO와이드(실측)'!AF7,C7-1.2),IF('4CO와이드(실측)'!AF7&gt;0,'4CO와이드(실측)'!AF7+1.2,C7) )</f>
        <v>1.2</v>
      </c>
      <c r="AM7" s="31">
        <f xml:space="preserve"> IF(소장&lt;&gt;"손상민",IF('4CO와이드(실측)'!AG7&gt;0,'4CO와이드(실측)'!AG7,D7-1.2),IF('4CO와이드(실측)'!AG7&gt;0,'4CO와이드(실측)'!AG7+1.2,D7))</f>
        <v>1.2</v>
      </c>
      <c r="AN7" s="51">
        <f>IF(AE7&gt;0,AE7-MAX(V7,W7),0)</f>
        <v>3.2</v>
      </c>
      <c r="AO7" s="31" t="str">
        <f t="shared" ref="AO7" si="1">BF7&amp;"*"&amp;BG7</f>
        <v>0*2</v>
      </c>
      <c r="AP7" s="31" t="str">
        <f t="shared" ref="AP7" si="2">BI7&amp;"*"&amp;BH7</f>
        <v>1.2*3.2</v>
      </c>
      <c r="AQ7" s="31" t="str">
        <f t="shared" ref="AQ7" si="3">BK7&amp;"*"&amp;BJ7</f>
        <v>1.2*3.2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2.0000000000000009</v>
      </c>
      <c r="BH7" s="41">
        <f>X7+T7+MAX(L7,M7)+AG7-1.2*$AQ$3+IF(BN7=0,MAX(AI7,AH7),0)+IF(X7=0,1.2,0)-IF(AW7=90,2.4,0)</f>
        <v>3.2000000000000011</v>
      </c>
      <c r="BI7" s="41">
        <f>MAX(Z7,AA7)+AL7</f>
        <v>1.2</v>
      </c>
      <c r="BJ7" s="41">
        <f>Y7+U7+MAX(N7,O7)+AG7-1.2*$AQ$3+IF(BN7=0,MAX(AJ7,AK7),0)+IF(Y7=0,1.2,0)-IF(AW7=90,2.4,0)</f>
        <v>3.2000000000000011</v>
      </c>
      <c r="BK7" s="41">
        <f>MAX(AB7,AC7)+AM7</f>
        <v>1.2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부산 삼영이엔씨 SO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부산 삼영이엔씨 SO,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+(2.2 ),  늘어난치수K -(-2.2),  C + (4.4),  U +(4.4),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부산 삼영이엔씨 SO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4.4000000000000004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-2.2000000000000002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부산 삼영이엔씨 SO,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2.2000000000000002</v>
      </c>
      <c r="N3" s="100"/>
      <c r="O3" s="100"/>
      <c r="P3" s="100"/>
      <c r="Q3" s="251" t="s">
        <v>77</v>
      </c>
      <c r="R3" s="251"/>
      <c r="S3" s="264">
        <v>4.4000000000000004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1.2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329</v>
      </c>
      <c r="AL3" s="212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+(2.2 ),  늘어난치수K -(-2.2),  C + (4.4),  U +(4.4),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312</v>
      </c>
      <c r="AE4" s="343"/>
      <c r="AF4" s="343">
        <f>'4CO멍텅(실측)'!X7</f>
        <v>0</v>
      </c>
      <c r="AG4" s="343"/>
      <c r="AH4" s="9"/>
      <c r="AI4" s="222">
        <f ca="1">TODAY()</f>
        <v>45446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4.4000000000000004</v>
      </c>
      <c r="H7" s="4">
        <f>'4CO멍텅(실측)'!H7+MAX(AP7,AQ7)+IF(BE7=1,MAX(AD7,AF7),0)+CO4멍텅JBJD늘림치수</f>
        <v>4.4000000000000004</v>
      </c>
      <c r="I7" s="4">
        <f>'4CO멍텅(실측)'!I7+MAX(AP7,AQ7)+IF(BE7=1,AF7,0)+CO4멍텅JBJD늘림치수</f>
        <v>4.4000000000000004</v>
      </c>
      <c r="J7" s="4">
        <f>'4CO멍텅(실측)'!J7+AP7+IF(BE7=1,AD7,0)+CO4멍텅JB강제키움+CO4멍텅JBJD늘림치수</f>
        <v>4.4000000000000004</v>
      </c>
      <c r="K7" s="4">
        <f>'4CO멍텅(실측)'!J7+AP7+IF(BE7=1,AE7,0)+CO4멍텅JB강제키움+CO4멍텅JBJD늘림치수-IF(CO4멍텅JB하부늘치=1,'4CO멍텅(실측)'!X7-'4CO멍텅(실측)'!Y7,0)</f>
        <v>4.4000000000000004</v>
      </c>
      <c r="L7" s="4">
        <f>'4CO멍텅(실측)'!K7+AQ7+IF(BE7=1,AF7,0)+CO4멍텅JB강제키움+CO4멍텅JBJD늘림치수</f>
        <v>4.4000000000000004</v>
      </c>
      <c r="M7" s="4">
        <f>'4CO멍텅(실측)'!K7+AQ7+IF(BE7=1,AG7,0)+CO4멍텅JB강제키움+CO4멍텅JBJD늘림치수-IF(CO4멍텅JB하부늘치=1,'4CO멍텅(실측)'!Z7-'4CO멍텅(실측)'!AA7,0)</f>
        <v>4.4000000000000004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1</v>
      </c>
      <c r="Q7" s="4">
        <f t="shared" si="0"/>
        <v>1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1.2</v>
      </c>
      <c r="AC7" s="4">
        <f>'4CO멍텅(실측)'!W7+뒷날개치수더함</f>
        <v>1.2</v>
      </c>
      <c r="AD7" s="13">
        <f>'4CO멍텅(실측)'!X7-CO4멍텅늘치차감</f>
        <v>2.2000000000000002</v>
      </c>
      <c r="AE7" s="13">
        <f>IF(CO4멍텅JB하부늘치=1,AD7,'4CO멍텅(실측)'!Y7-CO4멍텅늘치차감)</f>
        <v>2.2000000000000002</v>
      </c>
      <c r="AF7" s="13">
        <f>'4CO멍텅(실측)'!Z7-CO4멍텅늘치차감</f>
        <v>2.2000000000000002</v>
      </c>
      <c r="AG7" s="13">
        <f>IF(CO4멍텅JB하부늘치=1,AF7,'4CO멍텅(실측)'!AA7-CO4멍텅늘치차감)</f>
        <v>2.2000000000000002</v>
      </c>
      <c r="AH7" s="11" t="str">
        <f t="shared" ref="AH7" si="1">AW7&amp;"*"&amp;AX7</f>
        <v>0*2</v>
      </c>
      <c r="AI7" s="12" t="str">
        <f t="shared" ref="AI7" si="2">AZ7&amp;"*"&amp;AY7</f>
        <v>0*3</v>
      </c>
      <c r="AJ7" s="10" t="str">
        <f t="shared" ref="AJ7" si="3">BB7&amp;"*"&amp;BA7</f>
        <v>0*3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2.0000000000000009</v>
      </c>
      <c r="AY7" s="3">
        <f>T7+R7+MAX(J7,K7)+AC7-1.2*$AJ$3+IF(BE7=0,MAX(AD7,AE7))+IF(T7=0,1.2,0)-IF(AM7=90,2.4,0)</f>
        <v>3.0000000000000009</v>
      </c>
      <c r="AZ7" s="3">
        <f t="shared" ref="AZ7" si="7">MAX(V7,W7)</f>
        <v>0</v>
      </c>
      <c r="BA7" s="3">
        <f>U7+S7+MAX(L7,M7)+AC7-1.2*$AJ$3+IF(BE7=0,MAX(AF7,AG7))+IF(U7=0,1.2,0)-IF(AM7=90,2.4,0)</f>
        <v>3.0000000000000009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부산 삼영이엔씨 SO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부산 삼영이엔씨 SO,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+(4.4 ),  늘어난치수K -(0),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부산 삼영이엔씨 SO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4.4000000000000004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부산 삼영이엔씨 SO,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4.4000000000000004</v>
      </c>
      <c r="K3" s="263"/>
      <c r="L3" s="263"/>
      <c r="M3" s="263"/>
      <c r="N3" s="251" t="s">
        <v>77</v>
      </c>
      <c r="O3" s="251"/>
      <c r="P3" s="264">
        <v>4.4000000000000004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1.2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330</v>
      </c>
      <c r="AK3" s="212"/>
      <c r="AL3" s="160">
        <f>AO7</f>
        <v>0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+(4.4 ),  늘어난치수K -(0),  C + (4.4),   U + (4.4), OP - (0), R - (0),  기둥차감 - (0), A + (1.2)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331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45446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4.4000000000000004</v>
      </c>
      <c r="F7" s="4">
        <f>'2UP(실측)'!F7+MAX(AL7,AM7)+IF(BA7=1,AE7,0)+UP2멍텅JBJD늘림치수</f>
        <v>4.4000000000000004</v>
      </c>
      <c r="G7" s="4">
        <f>'2UP(실측)'!G7+AL7+IF(BA7=1,AC7,0)+UP2멍텅JB강제키움+UP2멍텅JBJD늘림치수</f>
        <v>4.4000000000000004</v>
      </c>
      <c r="H7" s="4">
        <f>'2UP(실측)'!H7+AL7+IF(BA7=1,AD7,0)+UP2멍텅JB강제키움+UP2멍텅JBJD늘림치수-IF(UP2멍텅JB하부늘치=1,'2UP(실측)'!Y7-'2UP(실측)'!Z7,0)</f>
        <v>4.4000000000000004</v>
      </c>
      <c r="I7" s="4">
        <f>'2UP(실측)'!I7+AM7+IF(BA7=1,AE7,0)+UP2멍텅JB강제키움+UP2멍텅JBJD늘림치수</f>
        <v>4.4000000000000004</v>
      </c>
      <c r="J7" s="4">
        <f>'2UP(실측)'!J7+AM7+IF(BA7=1,AF7,0)+UP2멍텅JB강제키움+UP2멍텅JBJD늘림치수-IF(UP2멍텅JB하부늘치=1,'2UP(실측)'!AA7-'2UP(실측)'!AB7,0)</f>
        <v>4.4000000000000004</v>
      </c>
      <c r="K7" s="103">
        <f>H7-G7</f>
        <v>0</v>
      </c>
      <c r="L7" s="103">
        <f>J7-I7</f>
        <v>0</v>
      </c>
      <c r="M7" s="4">
        <f t="shared" ref="M7:N7" si="0">O7+IF(소장="손상민",0,-1.5)</f>
        <v>1</v>
      </c>
      <c r="N7" s="4">
        <f t="shared" si="0"/>
        <v>1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1.2</v>
      </c>
      <c r="AB7" s="4">
        <f>'2UP(실측)'!X7+뒷날개치수더함</f>
        <v>1.2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0*3.2</v>
      </c>
      <c r="AH7" s="12" t="str">
        <f t="shared" ref="AH7" si="2">AV7&amp;"*"&amp;AU7</f>
        <v>0*3</v>
      </c>
      <c r="AI7" s="10" t="str">
        <f t="shared" ref="AI7" si="3">AX7&amp;"*"&amp;AW7</f>
        <v>0*3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3.2000000000000011</v>
      </c>
      <c r="AU7" s="3">
        <f>Q7+O7+MAX(G7,H7)+AB7-1.2*$AI$3+IF(BA7=0,MAX(AC7,AD7))+IF(Q7=0,1.2,0)</f>
        <v>3.0000000000000009</v>
      </c>
      <c r="AV7" s="3">
        <f>MAX(S7,T7+U7)</f>
        <v>0</v>
      </c>
      <c r="AW7" s="3">
        <f>R7+P7+MAX(I7,J7)+AB7-1.2*$AI$3+IF(BA7=0,MAX(AE7,AF7))+IF(R7=0,1.2,0)</f>
        <v>3.0000000000000009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부산 삼영이엔씨 SO ) _손상민소장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부산 삼영이엔씨 SO,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+(4.4 ),  늘어난치수K -(0),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부산 삼영이엔씨 SO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4.4000000000000004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부산 삼영이엔씨 SO,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4.4000000000000004</v>
      </c>
      <c r="M3" s="263"/>
      <c r="N3" s="263"/>
      <c r="O3" s="263"/>
      <c r="P3" s="251" t="s">
        <v>77</v>
      </c>
      <c r="Q3" s="251"/>
      <c r="R3" s="264">
        <v>4.4000000000000004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1.2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326</v>
      </c>
      <c r="AQ3" s="374"/>
      <c r="AR3" s="160">
        <f>AU7</f>
        <v>0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+(4.4 ),  늘어난치수K -(0),  C + (4.4),   U + (4.4), OP - (0), R - (0),  기둥차감 - (0), A + (1.2)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332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45446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4.4000000000000004</v>
      </c>
      <c r="F7" s="4">
        <f>'3UP(실측)'!F7+MAX(AR7,AS7)+IF(BG7=1,AJ7,0)+UP3멍텅JBJD늘림치수</f>
        <v>4.4000000000000004</v>
      </c>
      <c r="G7" s="4">
        <f>'3UP(실측)'!G7+AR7+IF(BG7=1,AG7,0)+UP3멍텅JB강제키움+UP3멍텅JBJD늘림치수</f>
        <v>4.4000000000000004</v>
      </c>
      <c r="H7" s="4">
        <f>'3UP(실측)'!H7+AR7+IF(BG7=1,AH7,0)+UP3멍텅JB강제키움+UP3멍텅JBJD늘림치수-IF(UP3멍텅JB하부늘치=1,'3UP(실측)'!AC7-'3UP(실측)'!AD7,0)</f>
        <v>4.4000000000000004</v>
      </c>
      <c r="I7" s="4">
        <f>'3UP(실측)'!I7+AR7+IF(BG7=1,AI7,0)+UP3멍텅JB강제키움+UP3멍텅JBJD늘림치수-IF(UP3멍텅JB하부늘치=1,'3UP(실측)'!AC7-'3UP(실측)'!AE7,0)</f>
        <v>4.4000000000000004</v>
      </c>
      <c r="J7" s="4">
        <f>'3UP(실측)'!J7+AS7+IF(BG7=1,AJ7,0)+UP3멍텅JB강제키움+UP3멍텅JBJD늘림치수</f>
        <v>4.4000000000000004</v>
      </c>
      <c r="K7" s="4">
        <f>'3UP(실측)'!K7+AS7+IF(BG7=1,AK7,0)+UP3멍텅JB강제키움+UP3멍텅JBJD늘림치수-IF(UP3멍텅JB하부늘치=1,'3UP(실측)'!AF7-'3UP(실측)'!AG7,0)</f>
        <v>4.4000000000000004</v>
      </c>
      <c r="L7" s="4">
        <f>'3UP(실측)'!L7+AS7+IF(BG7=1,AL7,0)+UP3멍텅JB강제키움+UP3멍텅JBJD늘림치수-IF(UP3멍텅JB하부늘치=1,'3UP(실측)'!AF7-'3UP(실측)'!AH7,0)</f>
        <v>4.4000000000000004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1</v>
      </c>
      <c r="P7" s="4">
        <f t="shared" si="0"/>
        <v>1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1.2</v>
      </c>
      <c r="AF7" s="4">
        <f>'3UP(실측)'!AB7+뒷날개치수더함</f>
        <v>1.2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0*3.2</v>
      </c>
      <c r="AN7" s="12" t="str">
        <f t="shared" ref="AN7" si="2">BB7&amp;"*"&amp;BA7</f>
        <v>0*3</v>
      </c>
      <c r="AO7" s="10" t="str">
        <f t="shared" ref="AO7" si="3">BD7&amp;"*"&amp;BC7</f>
        <v>0*3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3.2000000000000011</v>
      </c>
      <c r="BA7" s="3">
        <f>S7+Q7+MAX(G7,I7)+AF7-1.2*$AO$3+IF(BG7=0,MAX(AG7,AI7))+IF(S7=0,1.2,0)</f>
        <v>3.0000000000000009</v>
      </c>
      <c r="BB7" s="3">
        <f>MAX(U7,V7+W7+X7)</f>
        <v>0</v>
      </c>
      <c r="BC7" s="3">
        <f>T7+R7+MAX(J7,L7)+AF7-1.2*$AO$3+IF(BG7=0,MAX(AJ7,AL7))+IF(T7=0,1.2,0)</f>
        <v>3.0000000000000009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2024-06-03T08:48:48Z</dcterms:modified>
</cp:coreProperties>
</file>