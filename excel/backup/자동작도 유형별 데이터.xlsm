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D3608C94-C565-45FA-9186-DF94031CCAFB}" xr6:coauthVersionLast="47" xr6:coauthVersionMax="47" xr10:uidLastSave="{00000000-0000-0000-0000-000000000000}"/>
  <bookViews>
    <workbookView xWindow="-120" yWindow="-120" windowWidth="29040" windowHeight="15840" tabRatio="947" activeTab="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9" i="14" l="1"/>
  <c r="A8" i="19"/>
  <c r="B8" i="19"/>
  <c r="E8" i="19"/>
  <c r="F8" i="19"/>
  <c r="G8" i="19"/>
  <c r="X8" i="19"/>
  <c r="Y8" i="19"/>
  <c r="Z8" i="19"/>
  <c r="AA8" i="19"/>
  <c r="AB8" i="19"/>
  <c r="C8" i="19" s="1"/>
  <c r="AD8" i="19"/>
  <c r="AE8" i="19"/>
  <c r="AF8" i="19"/>
  <c r="AG8" i="19"/>
  <c r="AH8" i="19" s="1"/>
  <c r="AI8" i="19"/>
  <c r="AJ8" i="19" s="1"/>
  <c r="AK8" i="19"/>
  <c r="AL8" i="19"/>
  <c r="AQ8" i="19"/>
  <c r="AR8" i="19"/>
  <c r="AS8" i="19"/>
  <c r="AT8" i="19"/>
  <c r="AU8" i="19"/>
  <c r="AV8" i="19"/>
  <c r="AW8" i="19"/>
  <c r="V8" i="19" s="1"/>
  <c r="AX8" i="19"/>
  <c r="W8" i="19" s="1"/>
  <c r="A9" i="19"/>
  <c r="B9" i="19"/>
  <c r="E9" i="19"/>
  <c r="F9" i="19"/>
  <c r="G9" i="19"/>
  <c r="X9" i="19"/>
  <c r="Y9" i="19"/>
  <c r="Z9" i="19"/>
  <c r="AA9" i="19"/>
  <c r="AB9" i="19"/>
  <c r="C9" i="19" s="1"/>
  <c r="AD9" i="19"/>
  <c r="AE9" i="19"/>
  <c r="AF9" i="19"/>
  <c r="AG9" i="19"/>
  <c r="AH9" i="19" s="1"/>
  <c r="AI9" i="19"/>
  <c r="AJ9" i="19" s="1"/>
  <c r="AK9" i="19"/>
  <c r="AL9" i="19"/>
  <c r="BK9" i="19" s="1"/>
  <c r="AQ9" i="19"/>
  <c r="AR9" i="19"/>
  <c r="AS9" i="19"/>
  <c r="AT9" i="19"/>
  <c r="AU9" i="19"/>
  <c r="AV9" i="19"/>
  <c r="AW9" i="19"/>
  <c r="V9" i="19" s="1"/>
  <c r="AX9" i="19"/>
  <c r="W9" i="19" s="1"/>
  <c r="A10" i="19"/>
  <c r="B10" i="19"/>
  <c r="E10" i="19"/>
  <c r="F10" i="19"/>
  <c r="G10" i="19"/>
  <c r="X10" i="19"/>
  <c r="Y10" i="19"/>
  <c r="Z10" i="19"/>
  <c r="AA10" i="19"/>
  <c r="AB10" i="19"/>
  <c r="C10" i="19" s="1"/>
  <c r="AD10" i="19"/>
  <c r="AE10" i="19"/>
  <c r="AF10" i="19"/>
  <c r="AG10" i="19"/>
  <c r="AH10" i="19" s="1"/>
  <c r="AI10" i="19"/>
  <c r="AJ10" i="19" s="1"/>
  <c r="AK10" i="19"/>
  <c r="AL10" i="19"/>
  <c r="AQ10" i="19"/>
  <c r="AR10" i="19"/>
  <c r="AS10" i="19"/>
  <c r="AT10" i="19"/>
  <c r="AU10" i="19"/>
  <c r="AV10" i="19"/>
  <c r="AW10" i="19"/>
  <c r="V10" i="19" s="1"/>
  <c r="AX10" i="19"/>
  <c r="W10" i="19" s="1"/>
  <c r="A11" i="19"/>
  <c r="B11" i="19"/>
  <c r="E11" i="19"/>
  <c r="F11" i="19"/>
  <c r="G11" i="19"/>
  <c r="X11" i="19"/>
  <c r="Y11" i="19"/>
  <c r="Z11" i="19"/>
  <c r="AA11" i="19"/>
  <c r="AB11" i="19"/>
  <c r="C11" i="19" s="1"/>
  <c r="AD11" i="19"/>
  <c r="AE11" i="19"/>
  <c r="AF11" i="19"/>
  <c r="AG11" i="19"/>
  <c r="AH11" i="19" s="1"/>
  <c r="AI11" i="19"/>
  <c r="AJ11" i="19" s="1"/>
  <c r="AK11" i="19"/>
  <c r="AL11" i="19"/>
  <c r="AQ11" i="19"/>
  <c r="AR11" i="19"/>
  <c r="AS11" i="19"/>
  <c r="AT11" i="19"/>
  <c r="AU11" i="19"/>
  <c r="AV11" i="19"/>
  <c r="AW11" i="19"/>
  <c r="V11" i="19" s="1"/>
  <c r="R11" i="19" s="1"/>
  <c r="P11" i="19" s="1"/>
  <c r="AX11" i="19"/>
  <c r="W11" i="19" s="1"/>
  <c r="S11" i="19" s="1"/>
  <c r="Q11" i="19" s="1"/>
  <c r="A12" i="19"/>
  <c r="B12" i="19"/>
  <c r="E12" i="19"/>
  <c r="F12" i="19"/>
  <c r="G12" i="19"/>
  <c r="X12" i="19"/>
  <c r="Y12" i="19"/>
  <c r="Z12" i="19"/>
  <c r="AA12" i="19"/>
  <c r="AB12" i="19"/>
  <c r="C12" i="19" s="1"/>
  <c r="AD12" i="19"/>
  <c r="AE12" i="19"/>
  <c r="AF12" i="19"/>
  <c r="AG12" i="19"/>
  <c r="AH12" i="19" s="1"/>
  <c r="AI12" i="19"/>
  <c r="AJ12" i="19" s="1"/>
  <c r="AK12" i="19"/>
  <c r="AL12" i="19"/>
  <c r="AQ12" i="19"/>
  <c r="AR12" i="19"/>
  <c r="AS12" i="19"/>
  <c r="AT12" i="19"/>
  <c r="AU12" i="19"/>
  <c r="AV12" i="19"/>
  <c r="AW12" i="19"/>
  <c r="BC12" i="19" s="1"/>
  <c r="AX12" i="19"/>
  <c r="W12" i="19" s="1"/>
  <c r="A13" i="19"/>
  <c r="B13" i="19"/>
  <c r="E13" i="19"/>
  <c r="F13" i="19"/>
  <c r="G13" i="19"/>
  <c r="X13" i="19"/>
  <c r="Y13" i="19"/>
  <c r="Z13" i="19"/>
  <c r="AA13" i="19"/>
  <c r="AB13" i="19"/>
  <c r="C13" i="19" s="1"/>
  <c r="AD13" i="19"/>
  <c r="AE13" i="19"/>
  <c r="AF13" i="19"/>
  <c r="AG13" i="19"/>
  <c r="AH13" i="19" s="1"/>
  <c r="AI13" i="19"/>
  <c r="AJ13" i="19" s="1"/>
  <c r="AK13" i="19"/>
  <c r="AL13" i="19"/>
  <c r="AQ13" i="19"/>
  <c r="AR13" i="19"/>
  <c r="AS13" i="19"/>
  <c r="AT13" i="19"/>
  <c r="AU13" i="19"/>
  <c r="AV13" i="19"/>
  <c r="AW13" i="19"/>
  <c r="BC13" i="19" s="1"/>
  <c r="AX13" i="19"/>
  <c r="W13" i="19" s="1"/>
  <c r="A14" i="19"/>
  <c r="B14" i="19"/>
  <c r="E14" i="19"/>
  <c r="F14" i="19"/>
  <c r="G14" i="19"/>
  <c r="X14" i="19"/>
  <c r="Y14" i="19"/>
  <c r="Z14" i="19"/>
  <c r="AA14" i="19"/>
  <c r="AB14" i="19"/>
  <c r="C14" i="19" s="1"/>
  <c r="AD14" i="19"/>
  <c r="AE14" i="19"/>
  <c r="AF14" i="19"/>
  <c r="AG14" i="19"/>
  <c r="AH14" i="19" s="1"/>
  <c r="AI14" i="19"/>
  <c r="AJ14" i="19" s="1"/>
  <c r="AK14" i="19"/>
  <c r="AL14" i="19"/>
  <c r="AQ14" i="19"/>
  <c r="AR14" i="19"/>
  <c r="AS14" i="19"/>
  <c r="AT14" i="19"/>
  <c r="AU14" i="19"/>
  <c r="AV14" i="19"/>
  <c r="AW14" i="19"/>
  <c r="BC14" i="19" s="1"/>
  <c r="AX14" i="19"/>
  <c r="W14" i="19" s="1"/>
  <c r="A15" i="19"/>
  <c r="B15" i="19"/>
  <c r="E15" i="19"/>
  <c r="F15" i="19"/>
  <c r="G15" i="19"/>
  <c r="X15" i="19"/>
  <c r="Y15" i="19"/>
  <c r="Z15" i="19"/>
  <c r="AA15" i="19"/>
  <c r="AB15" i="19"/>
  <c r="C15" i="19" s="1"/>
  <c r="AD15" i="19"/>
  <c r="AE15" i="19"/>
  <c r="AF15" i="19"/>
  <c r="AG15" i="19"/>
  <c r="AH15" i="19" s="1"/>
  <c r="AI15" i="19"/>
  <c r="AJ15" i="19" s="1"/>
  <c r="AK15" i="19"/>
  <c r="AL15" i="19"/>
  <c r="AQ15" i="19"/>
  <c r="AR15" i="19"/>
  <c r="AS15" i="19"/>
  <c r="AT15" i="19"/>
  <c r="AU15" i="19"/>
  <c r="AV15" i="19"/>
  <c r="AW15" i="19"/>
  <c r="BC15" i="19" s="1"/>
  <c r="AX15" i="19"/>
  <c r="W15" i="19" s="1"/>
  <c r="A16" i="19"/>
  <c r="B16" i="19"/>
  <c r="E16" i="19"/>
  <c r="F16" i="19"/>
  <c r="G16" i="19"/>
  <c r="X16" i="19"/>
  <c r="Y16" i="19"/>
  <c r="Z16" i="19"/>
  <c r="AA16" i="19"/>
  <c r="AB16" i="19"/>
  <c r="C16" i="19" s="1"/>
  <c r="AD16" i="19"/>
  <c r="AE16" i="19"/>
  <c r="AF16" i="19"/>
  <c r="AG16" i="19"/>
  <c r="AH16" i="19" s="1"/>
  <c r="AI16" i="19"/>
  <c r="AJ16" i="19" s="1"/>
  <c r="AK16" i="19"/>
  <c r="AL16" i="19"/>
  <c r="BK16" i="19" s="1"/>
  <c r="AQ16" i="19"/>
  <c r="AR16" i="19"/>
  <c r="AS16" i="19"/>
  <c r="AT16" i="19"/>
  <c r="AU16" i="19"/>
  <c r="AV16" i="19"/>
  <c r="AW16" i="19"/>
  <c r="BC16" i="19" s="1"/>
  <c r="AX16" i="19"/>
  <c r="W16" i="19" s="1"/>
  <c r="A17" i="19"/>
  <c r="B17" i="19"/>
  <c r="E17" i="19"/>
  <c r="F17" i="19"/>
  <c r="G17" i="19"/>
  <c r="X17" i="19"/>
  <c r="Y17" i="19"/>
  <c r="Z17" i="19"/>
  <c r="AA17" i="19"/>
  <c r="AB17" i="19"/>
  <c r="C17" i="19" s="1"/>
  <c r="AD17" i="19"/>
  <c r="AE17" i="19"/>
  <c r="AF17" i="19"/>
  <c r="AG17" i="19"/>
  <c r="AH17" i="19" s="1"/>
  <c r="AI17" i="19"/>
  <c r="AJ17" i="19" s="1"/>
  <c r="AK17" i="19"/>
  <c r="AL17" i="19"/>
  <c r="AQ17" i="19"/>
  <c r="AR17" i="19"/>
  <c r="AS17" i="19"/>
  <c r="AT17" i="19"/>
  <c r="AU17" i="19"/>
  <c r="AV17" i="19"/>
  <c r="AW17" i="19"/>
  <c r="V17" i="19" s="1"/>
  <c r="AX17" i="19"/>
  <c r="W17" i="19" s="1"/>
  <c r="A18" i="19"/>
  <c r="B18" i="19"/>
  <c r="E18" i="19"/>
  <c r="F18" i="19"/>
  <c r="G18" i="19"/>
  <c r="X18" i="19"/>
  <c r="Y18" i="19"/>
  <c r="Z18" i="19"/>
  <c r="AA18" i="19"/>
  <c r="AB18" i="19"/>
  <c r="C18" i="19" s="1"/>
  <c r="AD18" i="19"/>
  <c r="AE18" i="19"/>
  <c r="AF18" i="19"/>
  <c r="AG18" i="19"/>
  <c r="AH18" i="19" s="1"/>
  <c r="AI18" i="19"/>
  <c r="AJ18" i="19"/>
  <c r="AK18" i="19"/>
  <c r="AL18" i="19"/>
  <c r="AQ18" i="19"/>
  <c r="AR18" i="19"/>
  <c r="AS18" i="19"/>
  <c r="AT18" i="19"/>
  <c r="AU18" i="19"/>
  <c r="AV18" i="19"/>
  <c r="AW18" i="19"/>
  <c r="V18" i="19" s="1"/>
  <c r="AX18" i="19"/>
  <c r="W18" i="19" s="1"/>
  <c r="A19" i="19"/>
  <c r="B19" i="19"/>
  <c r="E19" i="19"/>
  <c r="F19" i="19"/>
  <c r="G19" i="19"/>
  <c r="X19" i="19"/>
  <c r="Y19" i="19"/>
  <c r="Z19" i="19"/>
  <c r="AA19" i="19"/>
  <c r="AB19" i="19"/>
  <c r="C19" i="19" s="1"/>
  <c r="AD19" i="19"/>
  <c r="AE19" i="19"/>
  <c r="AF19" i="19"/>
  <c r="AG19" i="19"/>
  <c r="AH19" i="19" s="1"/>
  <c r="AI19" i="19"/>
  <c r="AJ19" i="19" s="1"/>
  <c r="AQ19" i="19"/>
  <c r="AR19" i="19"/>
  <c r="AS19" i="19"/>
  <c r="AT19" i="19"/>
  <c r="AU19" i="19"/>
  <c r="AV19" i="19"/>
  <c r="AW19" i="19"/>
  <c r="BC19" i="19" s="1"/>
  <c r="AX19" i="19"/>
  <c r="W19" i="19" s="1"/>
  <c r="S19" i="19" s="1"/>
  <c r="Q19" i="19" s="1"/>
  <c r="V12" i="19" l="1"/>
  <c r="R12" i="19" s="1"/>
  <c r="P12" i="19" s="1"/>
  <c r="BD14" i="19"/>
  <c r="BI15" i="19"/>
  <c r="BI10" i="19"/>
  <c r="BI12" i="19"/>
  <c r="BK10" i="19"/>
  <c r="D16" i="19"/>
  <c r="BM16" i="19" s="1"/>
  <c r="BK11" i="19"/>
  <c r="BI9" i="19"/>
  <c r="BI11" i="19"/>
  <c r="D14" i="19"/>
  <c r="BM14" i="19" s="1"/>
  <c r="BI17" i="19"/>
  <c r="BK8" i="19"/>
  <c r="V14" i="19"/>
  <c r="R14" i="19" s="1"/>
  <c r="P14" i="19" s="1"/>
  <c r="BI8" i="19"/>
  <c r="BI13" i="19"/>
  <c r="V15" i="19"/>
  <c r="R15" i="19" s="1"/>
  <c r="P15" i="19" s="1"/>
  <c r="BC11" i="19"/>
  <c r="BN17" i="19"/>
  <c r="H17" i="19" s="1"/>
  <c r="BN8" i="19"/>
  <c r="H8" i="19" s="1"/>
  <c r="AY8" i="19" s="1"/>
  <c r="BN15" i="19"/>
  <c r="H15" i="19" s="1"/>
  <c r="AY15" i="19" s="1"/>
  <c r="V19" i="19"/>
  <c r="R19" i="19" s="1"/>
  <c r="P19" i="19" s="1"/>
  <c r="BI18" i="19"/>
  <c r="BD11" i="19"/>
  <c r="BI16" i="19"/>
  <c r="BN19" i="19"/>
  <c r="K19" i="19" s="1"/>
  <c r="BN16" i="19"/>
  <c r="I16" i="19" s="1"/>
  <c r="BK15" i="19"/>
  <c r="D17" i="19"/>
  <c r="BM17" i="19" s="1"/>
  <c r="BN18" i="19"/>
  <c r="H18" i="19" s="1"/>
  <c r="BK14" i="19"/>
  <c r="V13" i="19"/>
  <c r="R13" i="19" s="1"/>
  <c r="P13" i="19" s="1"/>
  <c r="BI14" i="19"/>
  <c r="BK12" i="19"/>
  <c r="D15" i="19"/>
  <c r="BM15" i="19" s="1"/>
  <c r="BN14" i="19"/>
  <c r="L14" i="19" s="1"/>
  <c r="BK13" i="19"/>
  <c r="BD19" i="19"/>
  <c r="BD18" i="19"/>
  <c r="BD15" i="19"/>
  <c r="BN13" i="19"/>
  <c r="M13" i="19" s="1"/>
  <c r="BC18" i="19"/>
  <c r="BN12" i="19"/>
  <c r="I12" i="19" s="1"/>
  <c r="BK17" i="19"/>
  <c r="BK18" i="19"/>
  <c r="BD13" i="19"/>
  <c r="BD12" i="19"/>
  <c r="BN11" i="19"/>
  <c r="K11" i="19" s="1"/>
  <c r="BN10" i="19"/>
  <c r="I10" i="19" s="1"/>
  <c r="BN9" i="19"/>
  <c r="K9" i="19" s="1"/>
  <c r="V16" i="19"/>
  <c r="R16" i="19" s="1"/>
  <c r="P16" i="19" s="1"/>
  <c r="D9" i="19"/>
  <c r="BM9" i="19" s="1"/>
  <c r="S16" i="19"/>
  <c r="Q16" i="19" s="1"/>
  <c r="R10" i="19"/>
  <c r="P10" i="19" s="1"/>
  <c r="S10" i="19"/>
  <c r="Q10" i="19" s="1"/>
  <c r="S9" i="19"/>
  <c r="Q9" i="19" s="1"/>
  <c r="S13" i="19"/>
  <c r="Q13" i="19" s="1"/>
  <c r="R8" i="19"/>
  <c r="P8" i="19" s="1"/>
  <c r="S8" i="19"/>
  <c r="Q8" i="19" s="1"/>
  <c r="S12" i="19"/>
  <c r="Q12" i="19" s="1"/>
  <c r="R9" i="19"/>
  <c r="P9" i="19" s="1"/>
  <c r="S14" i="19"/>
  <c r="Q14" i="19" s="1"/>
  <c r="AK19" i="19"/>
  <c r="BI19" i="19" s="1"/>
  <c r="S18" i="19"/>
  <c r="Q18" i="19" s="1"/>
  <c r="R17" i="19"/>
  <c r="P17" i="19" s="1"/>
  <c r="S17" i="19"/>
  <c r="Q17" i="19" s="1"/>
  <c r="R18" i="19"/>
  <c r="P18" i="19" s="1"/>
  <c r="S15" i="19"/>
  <c r="Q15" i="19" s="1"/>
  <c r="D13" i="19"/>
  <c r="BM13" i="19" s="1"/>
  <c r="D12" i="19"/>
  <c r="BM12" i="19" s="1"/>
  <c r="BD10" i="19"/>
  <c r="BC10" i="19"/>
  <c r="BD17" i="19"/>
  <c r="D11" i="19"/>
  <c r="BM11" i="19" s="1"/>
  <c r="BD9" i="19"/>
  <c r="D19" i="19"/>
  <c r="AL19" i="19" s="1"/>
  <c r="BK19" i="19" s="1"/>
  <c r="BC17" i="19"/>
  <c r="BC9" i="19"/>
  <c r="D18" i="19"/>
  <c r="BM18" i="19" s="1"/>
  <c r="BD16" i="19"/>
  <c r="D10" i="19"/>
  <c r="BM10" i="19" s="1"/>
  <c r="BD8" i="19"/>
  <c r="BC8" i="19"/>
  <c r="D8" i="19"/>
  <c r="BM8" i="19" s="1"/>
  <c r="A19" i="8"/>
  <c r="B19" i="8"/>
  <c r="E19" i="8"/>
  <c r="F19" i="8"/>
  <c r="U19" i="8"/>
  <c r="V19" i="8"/>
  <c r="W19" i="8"/>
  <c r="X19" i="8"/>
  <c r="Y19" i="8"/>
  <c r="C19" i="8" s="1"/>
  <c r="AA19" i="8"/>
  <c r="AB19" i="8"/>
  <c r="AC19" i="8"/>
  <c r="AD19" i="8"/>
  <c r="AE19" i="8"/>
  <c r="AF19" i="8" s="1"/>
  <c r="AM19" i="8"/>
  <c r="AN19" i="8"/>
  <c r="AO19" i="8"/>
  <c r="AP19" i="8"/>
  <c r="AQ19" i="8"/>
  <c r="AR19" i="8"/>
  <c r="AS19" i="8"/>
  <c r="AX19" i="8" s="1"/>
  <c r="AT19" i="8"/>
  <c r="T19" i="8" s="1"/>
  <c r="A20" i="8"/>
  <c r="B20" i="8"/>
  <c r="E20" i="8"/>
  <c r="F20" i="8"/>
  <c r="U20" i="8"/>
  <c r="V20" i="8"/>
  <c r="W20" i="8"/>
  <c r="X20" i="8"/>
  <c r="Y20" i="8"/>
  <c r="D20" i="8" s="1"/>
  <c r="AH20" i="8" s="1"/>
  <c r="AA20" i="8"/>
  <c r="AB20" i="8"/>
  <c r="AC20" i="8"/>
  <c r="AD20" i="8" s="1"/>
  <c r="AE20" i="8"/>
  <c r="AF20" i="8" s="1"/>
  <c r="AM20" i="8"/>
  <c r="AN20" i="8"/>
  <c r="AO20" i="8"/>
  <c r="AP20" i="8"/>
  <c r="AQ20" i="8"/>
  <c r="AR20" i="8"/>
  <c r="AS20" i="8"/>
  <c r="AX20" i="8" s="1"/>
  <c r="AT20" i="8"/>
  <c r="T20" i="8" s="1"/>
  <c r="C20" i="8" l="1"/>
  <c r="AG20" i="8" s="1"/>
  <c r="BD20" i="8" s="1"/>
  <c r="BI20" i="8"/>
  <c r="L20" i="8" s="1"/>
  <c r="BF20" i="8"/>
  <c r="L8" i="19"/>
  <c r="I17" i="19"/>
  <c r="AZ17" i="19" s="1"/>
  <c r="K17" i="19"/>
  <c r="M8" i="19"/>
  <c r="I15" i="19"/>
  <c r="N15" i="19" s="1"/>
  <c r="L15" i="19"/>
  <c r="J17" i="19"/>
  <c r="K15" i="19"/>
  <c r="L17" i="19"/>
  <c r="L12" i="19"/>
  <c r="J8" i="19"/>
  <c r="BA8" i="19" s="1"/>
  <c r="T8" i="19" s="1"/>
  <c r="BL8" i="19" s="1"/>
  <c r="J12" i="19"/>
  <c r="K12" i="19"/>
  <c r="J16" i="19"/>
  <c r="K16" i="19"/>
  <c r="M17" i="19"/>
  <c r="M16" i="19"/>
  <c r="I18" i="19"/>
  <c r="AZ18" i="19" s="1"/>
  <c r="M12" i="19"/>
  <c r="J13" i="19"/>
  <c r="I13" i="19"/>
  <c r="AZ13" i="19" s="1"/>
  <c r="H13" i="19"/>
  <c r="AY13" i="19" s="1"/>
  <c r="M19" i="19"/>
  <c r="L19" i="19"/>
  <c r="I19" i="19"/>
  <c r="AZ19" i="19" s="1"/>
  <c r="I14" i="19"/>
  <c r="AZ14" i="19" s="1"/>
  <c r="BB14" i="19" s="1"/>
  <c r="U14" i="19" s="1"/>
  <c r="H19" i="19"/>
  <c r="AY19" i="19" s="1"/>
  <c r="K14" i="19"/>
  <c r="L9" i="19"/>
  <c r="J9" i="19"/>
  <c r="K8" i="19"/>
  <c r="I9" i="19"/>
  <c r="AZ9" i="19" s="1"/>
  <c r="J18" i="19"/>
  <c r="I8" i="19"/>
  <c r="N8" i="19" s="1"/>
  <c r="M15" i="19"/>
  <c r="H16" i="19"/>
  <c r="AY16" i="19" s="1"/>
  <c r="H12" i="19"/>
  <c r="AY12" i="19" s="1"/>
  <c r="L13" i="19"/>
  <c r="BJ13" i="19" s="1"/>
  <c r="AP13" i="19" s="1"/>
  <c r="M14" i="19"/>
  <c r="BJ14" i="19" s="1"/>
  <c r="AP14" i="19" s="1"/>
  <c r="K13" i="19"/>
  <c r="AZ12" i="19"/>
  <c r="L10" i="19"/>
  <c r="M10" i="19"/>
  <c r="M9" i="19"/>
  <c r="J14" i="19"/>
  <c r="O14" i="19" s="1"/>
  <c r="H14" i="19"/>
  <c r="AY14" i="19" s="1"/>
  <c r="H10" i="19"/>
  <c r="AY10" i="19" s="1"/>
  <c r="H9" i="19"/>
  <c r="K10" i="19"/>
  <c r="K18" i="19"/>
  <c r="J19" i="19"/>
  <c r="BH19" i="19" s="1"/>
  <c r="AO19" i="19" s="1"/>
  <c r="L18" i="19"/>
  <c r="J10" i="19"/>
  <c r="M18" i="19"/>
  <c r="J15" i="19"/>
  <c r="O15" i="19" s="1"/>
  <c r="L16" i="19"/>
  <c r="M11" i="19"/>
  <c r="L11" i="19"/>
  <c r="J11" i="19"/>
  <c r="H11" i="19"/>
  <c r="AY11" i="19" s="1"/>
  <c r="I11" i="19"/>
  <c r="AZ11" i="19" s="1"/>
  <c r="AY17" i="19"/>
  <c r="AZ16" i="19"/>
  <c r="AY18" i="19"/>
  <c r="BM19" i="19"/>
  <c r="AZ15" i="19"/>
  <c r="BB15" i="19" s="1"/>
  <c r="U15" i="19" s="1"/>
  <c r="AZ10" i="19"/>
  <c r="BI19" i="8"/>
  <c r="H19" i="8" s="1"/>
  <c r="AU19" i="8" s="1"/>
  <c r="AY20" i="8"/>
  <c r="S20" i="8"/>
  <c r="O20" i="8" s="1"/>
  <c r="M20" i="8" s="1"/>
  <c r="AG19" i="8"/>
  <c r="BD19" i="8" s="1"/>
  <c r="P19" i="8"/>
  <c r="N19" i="8" s="1"/>
  <c r="P20" i="8"/>
  <c r="N20" i="8" s="1"/>
  <c r="D19" i="8"/>
  <c r="AH19" i="8" s="1"/>
  <c r="BF19" i="8" s="1"/>
  <c r="AY19" i="8"/>
  <c r="S19" i="8"/>
  <c r="A15" i="8"/>
  <c r="B15" i="8"/>
  <c r="E15" i="8"/>
  <c r="F15" i="8"/>
  <c r="U15" i="8"/>
  <c r="V15" i="8"/>
  <c r="W15" i="8"/>
  <c r="X15" i="8"/>
  <c r="Y15" i="8"/>
  <c r="C15" i="8" s="1"/>
  <c r="AA15" i="8"/>
  <c r="AB15" i="8"/>
  <c r="AC15" i="8"/>
  <c r="AD15" i="8" s="1"/>
  <c r="AE15" i="8"/>
  <c r="AM15" i="8"/>
  <c r="AN15" i="8"/>
  <c r="AO15" i="8"/>
  <c r="AP15" i="8"/>
  <c r="AQ15" i="8"/>
  <c r="AR15" i="8"/>
  <c r="AS15" i="8"/>
  <c r="AX15" i="8" s="1"/>
  <c r="AT15" i="8"/>
  <c r="T15" i="8" s="1"/>
  <c r="A16" i="8"/>
  <c r="B16" i="8"/>
  <c r="E16" i="8"/>
  <c r="F16" i="8"/>
  <c r="U16" i="8"/>
  <c r="V16" i="8"/>
  <c r="W16" i="8"/>
  <c r="X16" i="8"/>
  <c r="Y16" i="8"/>
  <c r="C16" i="8" s="1"/>
  <c r="AA16" i="8"/>
  <c r="AB16" i="8"/>
  <c r="AC16" i="8"/>
  <c r="AD16" i="8" s="1"/>
  <c r="AE16" i="8"/>
  <c r="AF16" i="8" s="1"/>
  <c r="AM16" i="8"/>
  <c r="AN16" i="8"/>
  <c r="AO16" i="8"/>
  <c r="AP16" i="8"/>
  <c r="AQ16" i="8"/>
  <c r="AR16" i="8"/>
  <c r="AS16" i="8"/>
  <c r="S16" i="8" s="1"/>
  <c r="AT16" i="8"/>
  <c r="T16" i="8" s="1"/>
  <c r="A17" i="8"/>
  <c r="B17" i="8"/>
  <c r="E17" i="8"/>
  <c r="F17" i="8"/>
  <c r="U17" i="8"/>
  <c r="V17" i="8"/>
  <c r="W17" i="8"/>
  <c r="X17" i="8"/>
  <c r="Y17" i="8"/>
  <c r="C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X17" i="8" s="1"/>
  <c r="AT17" i="8"/>
  <c r="T17" i="8" s="1"/>
  <c r="A18" i="8"/>
  <c r="B18" i="8"/>
  <c r="E18" i="8"/>
  <c r="F18" i="8"/>
  <c r="U18" i="8"/>
  <c r="V18" i="8"/>
  <c r="W18" i="8"/>
  <c r="X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J8" i="19" l="1"/>
  <c r="AP8" i="19" s="1"/>
  <c r="BB12" i="19"/>
  <c r="U12" i="19" s="1"/>
  <c r="N17" i="19"/>
  <c r="BH20" i="8"/>
  <c r="O17" i="19"/>
  <c r="O8" i="19"/>
  <c r="BH12" i="19"/>
  <c r="AO12" i="19" s="1"/>
  <c r="BB17" i="19"/>
  <c r="U17" i="19" s="1"/>
  <c r="O12" i="19"/>
  <c r="H20" i="8"/>
  <c r="AU20" i="8" s="1"/>
  <c r="I20" i="8"/>
  <c r="J20" i="8"/>
  <c r="K20" i="8"/>
  <c r="BE20" i="8" s="1"/>
  <c r="AL20" i="8" s="1"/>
  <c r="G20" i="8"/>
  <c r="BA17" i="19"/>
  <c r="BE17" i="19" s="1"/>
  <c r="N18" i="19"/>
  <c r="BB10" i="19"/>
  <c r="U10" i="19" s="1"/>
  <c r="BJ17" i="19"/>
  <c r="AP17" i="19" s="1"/>
  <c r="BJ9" i="19"/>
  <c r="AP9" i="19" s="1"/>
  <c r="BH17" i="19"/>
  <c r="AO17" i="19" s="1"/>
  <c r="BJ15" i="19"/>
  <c r="AP15" i="19" s="1"/>
  <c r="BH16" i="19"/>
  <c r="AO16" i="19" s="1"/>
  <c r="BJ12" i="19"/>
  <c r="AP12" i="19" s="1"/>
  <c r="N13" i="19"/>
  <c r="BH8" i="19"/>
  <c r="AO8" i="19" s="1"/>
  <c r="BA18" i="19"/>
  <c r="O16" i="19"/>
  <c r="BH13" i="19"/>
  <c r="AO13" i="19" s="1"/>
  <c r="BA12" i="19"/>
  <c r="T12" i="19" s="1"/>
  <c r="BH18" i="19"/>
  <c r="AO18" i="19" s="1"/>
  <c r="BA16" i="19"/>
  <c r="BE16" i="19" s="1"/>
  <c r="BB19" i="19"/>
  <c r="U19" i="19" s="1"/>
  <c r="BJ10" i="19"/>
  <c r="AP10" i="19" s="1"/>
  <c r="N19" i="19"/>
  <c r="O9" i="19"/>
  <c r="BA13" i="19"/>
  <c r="T13" i="19" s="1"/>
  <c r="BJ18" i="19"/>
  <c r="AP18" i="19" s="1"/>
  <c r="BH9" i="19"/>
  <c r="AO9" i="19" s="1"/>
  <c r="O10" i="19"/>
  <c r="BJ16" i="19"/>
  <c r="AP16" i="19" s="1"/>
  <c r="BJ19" i="19"/>
  <c r="AP19" i="19" s="1"/>
  <c r="AZ8" i="19"/>
  <c r="BB8" i="19" s="1"/>
  <c r="U8" i="19" s="1"/>
  <c r="AC8" i="19" s="1"/>
  <c r="BF8" i="19" s="1"/>
  <c r="BB16" i="19"/>
  <c r="U16" i="19" s="1"/>
  <c r="BA11" i="19"/>
  <c r="T11" i="19" s="1"/>
  <c r="BL11" i="19" s="1"/>
  <c r="N12" i="19"/>
  <c r="BB11" i="19"/>
  <c r="U11" i="19" s="1"/>
  <c r="BE8" i="19"/>
  <c r="BA10" i="19"/>
  <c r="T10" i="19" s="1"/>
  <c r="BB9" i="19"/>
  <c r="U9" i="19" s="1"/>
  <c r="BA14" i="19"/>
  <c r="O11" i="19"/>
  <c r="O19" i="19"/>
  <c r="BB18" i="19"/>
  <c r="U18" i="19" s="1"/>
  <c r="BH10" i="19"/>
  <c r="AO10" i="19" s="1"/>
  <c r="N9" i="19"/>
  <c r="O13" i="19"/>
  <c r="N14" i="19"/>
  <c r="N16" i="19"/>
  <c r="BA19" i="19"/>
  <c r="T19" i="19" s="1"/>
  <c r="O18" i="19"/>
  <c r="BB13" i="19"/>
  <c r="U13" i="19" s="1"/>
  <c r="N10" i="19"/>
  <c r="BA15" i="19"/>
  <c r="BJ11" i="19"/>
  <c r="AP11" i="19" s="1"/>
  <c r="BH11" i="19"/>
  <c r="AO11" i="19" s="1"/>
  <c r="BH14" i="19"/>
  <c r="AO14" i="19" s="1"/>
  <c r="N11" i="19"/>
  <c r="AY9" i="19"/>
  <c r="BA9" i="19" s="1"/>
  <c r="BE9" i="19" s="1"/>
  <c r="BH15" i="19"/>
  <c r="AO15" i="19" s="1"/>
  <c r="T18" i="19"/>
  <c r="BE18" i="19"/>
  <c r="K19" i="8"/>
  <c r="AW19" i="8" s="1"/>
  <c r="R19" i="8" s="1"/>
  <c r="G19" i="8"/>
  <c r="I19" i="8"/>
  <c r="J19" i="8"/>
  <c r="L19" i="8"/>
  <c r="AX16" i="8"/>
  <c r="BH19" i="8"/>
  <c r="O19" i="8"/>
  <c r="M19" i="8" s="1"/>
  <c r="AY18" i="8"/>
  <c r="S18" i="8"/>
  <c r="O18" i="8" s="1"/>
  <c r="M18" i="8" s="1"/>
  <c r="AY17" i="8"/>
  <c r="BI15" i="8"/>
  <c r="G15" i="8" s="1"/>
  <c r="BI16" i="8"/>
  <c r="I16" i="8" s="1"/>
  <c r="BI18" i="8"/>
  <c r="J18" i="8" s="1"/>
  <c r="AY16" i="8"/>
  <c r="S17" i="8"/>
  <c r="O17" i="8" s="1"/>
  <c r="M17" i="8" s="1"/>
  <c r="D16" i="8"/>
  <c r="AH16" i="8" s="1"/>
  <c r="BF16" i="8" s="1"/>
  <c r="D17" i="8"/>
  <c r="AH17" i="8" s="1"/>
  <c r="BF17" i="8" s="1"/>
  <c r="AG15" i="8"/>
  <c r="BD15" i="8" s="1"/>
  <c r="AG18" i="8"/>
  <c r="BD18" i="8" s="1"/>
  <c r="P15" i="8"/>
  <c r="N15" i="8" s="1"/>
  <c r="N18" i="8"/>
  <c r="AG16" i="8"/>
  <c r="BD16" i="8" s="1"/>
  <c r="AF15" i="8"/>
  <c r="P16" i="8"/>
  <c r="N16" i="8" s="1"/>
  <c r="O16" i="8"/>
  <c r="M16" i="8" s="1"/>
  <c r="D18" i="8"/>
  <c r="AH18" i="8" s="1"/>
  <c r="BF18" i="8" s="1"/>
  <c r="AG17" i="8"/>
  <c r="BD17" i="8" s="1"/>
  <c r="P17" i="8"/>
  <c r="N17" i="8" s="1"/>
  <c r="BI17" i="8"/>
  <c r="D15" i="8"/>
  <c r="AH15" i="8" s="1"/>
  <c r="BF15" i="8" s="1"/>
  <c r="AY15" i="8"/>
  <c r="S15" i="8"/>
  <c r="T17" i="19" l="1"/>
  <c r="T16" i="19"/>
  <c r="BL16" i="19" s="1"/>
  <c r="BE12" i="19"/>
  <c r="BC20" i="8"/>
  <c r="AK20" i="8" s="1"/>
  <c r="AW20" i="8"/>
  <c r="R20" i="8" s="1"/>
  <c r="AV19" i="8"/>
  <c r="Q19" i="8" s="1"/>
  <c r="BE19" i="8"/>
  <c r="AL19" i="8" s="1"/>
  <c r="BE13" i="19"/>
  <c r="AC11" i="19"/>
  <c r="BE11" i="19"/>
  <c r="BE10" i="19"/>
  <c r="BE14" i="19"/>
  <c r="T14" i="19"/>
  <c r="BE19" i="19"/>
  <c r="T9" i="19"/>
  <c r="BL9" i="19" s="1"/>
  <c r="BE15" i="19"/>
  <c r="T15" i="19"/>
  <c r="AC19" i="19"/>
  <c r="BF19" i="19" s="1"/>
  <c r="BL19" i="19"/>
  <c r="AC16" i="19"/>
  <c r="BF16" i="19" s="1"/>
  <c r="AC13" i="19"/>
  <c r="BF13" i="19" s="1"/>
  <c r="BL13" i="19"/>
  <c r="AC12" i="19"/>
  <c r="BF12" i="19" s="1"/>
  <c r="BL12" i="19"/>
  <c r="AC18" i="19"/>
  <c r="BF18" i="19" s="1"/>
  <c r="BL18" i="19"/>
  <c r="AM8" i="19"/>
  <c r="BG8" i="19"/>
  <c r="AN8" i="19" s="1"/>
  <c r="AC10" i="19"/>
  <c r="BF10" i="19" s="1"/>
  <c r="BL10" i="19"/>
  <c r="AC17" i="19"/>
  <c r="BF17" i="19" s="1"/>
  <c r="BL17" i="19"/>
  <c r="BC19" i="8"/>
  <c r="AK19" i="8" s="1"/>
  <c r="AV20" i="8"/>
  <c r="J16" i="8"/>
  <c r="BC16" i="8" s="1"/>
  <c r="AK16" i="8" s="1"/>
  <c r="I18" i="8"/>
  <c r="BC18" i="8" s="1"/>
  <c r="AK18" i="8" s="1"/>
  <c r="K18" i="8"/>
  <c r="I15" i="8"/>
  <c r="H16" i="8"/>
  <c r="AU16" i="8" s="1"/>
  <c r="G18" i="8"/>
  <c r="K16" i="8"/>
  <c r="L18" i="8"/>
  <c r="L16" i="8"/>
  <c r="L15" i="8"/>
  <c r="K15" i="8"/>
  <c r="J15" i="8"/>
  <c r="H15" i="8"/>
  <c r="AU15" i="8" s="1"/>
  <c r="G16" i="8"/>
  <c r="BH16" i="8"/>
  <c r="BH18" i="8"/>
  <c r="H18" i="8"/>
  <c r="AU18" i="8" s="1"/>
  <c r="BH17" i="8"/>
  <c r="BH15" i="8"/>
  <c r="O15" i="8"/>
  <c r="M15" i="8" s="1"/>
  <c r="H17" i="8"/>
  <c r="I17" i="8"/>
  <c r="J17" i="8"/>
  <c r="K17" i="8"/>
  <c r="L17" i="8"/>
  <c r="G17" i="8"/>
  <c r="AC9" i="19" l="1"/>
  <c r="BF9" i="19" s="1"/>
  <c r="AZ19" i="8"/>
  <c r="AM11" i="19"/>
  <c r="BF11" i="19"/>
  <c r="BG11" i="19"/>
  <c r="AC14" i="19"/>
  <c r="BF14" i="19" s="1"/>
  <c r="BL14" i="19"/>
  <c r="BL15" i="19"/>
  <c r="AC15" i="19"/>
  <c r="BF15" i="19" s="1"/>
  <c r="AM12" i="19"/>
  <c r="BG12" i="19"/>
  <c r="AN12" i="19" s="1"/>
  <c r="AM10" i="19"/>
  <c r="BG10" i="19"/>
  <c r="AN10" i="19" s="1"/>
  <c r="AM13" i="19"/>
  <c r="BG13" i="19"/>
  <c r="AN13" i="19" s="1"/>
  <c r="AM16" i="19"/>
  <c r="BG16" i="19"/>
  <c r="AN16" i="19" s="1"/>
  <c r="AM19" i="19"/>
  <c r="BG19" i="19"/>
  <c r="AN19" i="19" s="1"/>
  <c r="AM18" i="19"/>
  <c r="BG18" i="19"/>
  <c r="AN18" i="19" s="1"/>
  <c r="AM17" i="19"/>
  <c r="BG17" i="19"/>
  <c r="AN17" i="19" s="1"/>
  <c r="AZ20" i="8"/>
  <c r="Q20" i="8"/>
  <c r="Z19" i="8"/>
  <c r="BA19" i="8" s="1"/>
  <c r="BG19" i="8"/>
  <c r="BE15" i="8"/>
  <c r="AL15" i="8" s="1"/>
  <c r="AW16" i="8"/>
  <c r="R16" i="8" s="1"/>
  <c r="AV16" i="8"/>
  <c r="AZ16" i="8" s="1"/>
  <c r="BE16" i="8"/>
  <c r="AL16" i="8" s="1"/>
  <c r="AV18" i="8"/>
  <c r="Q18" i="8" s="1"/>
  <c r="AW18" i="8"/>
  <c r="R18" i="8" s="1"/>
  <c r="BE18" i="8"/>
  <c r="AL18" i="8" s="1"/>
  <c r="AW15" i="8"/>
  <c r="R15" i="8" s="1"/>
  <c r="BE17" i="8"/>
  <c r="AL17" i="8" s="1"/>
  <c r="AU17" i="8"/>
  <c r="AV17" i="8" s="1"/>
  <c r="AV15" i="8"/>
  <c r="BC15" i="8"/>
  <c r="AK15" i="8" s="1"/>
  <c r="BC17" i="8"/>
  <c r="AK17" i="8" s="1"/>
  <c r="BG9" i="19" l="1"/>
  <c r="AN9" i="19" s="1"/>
  <c r="AM9" i="19"/>
  <c r="AN11" i="19"/>
  <c r="AM14" i="19"/>
  <c r="BG14" i="19"/>
  <c r="AN14" i="19" s="1"/>
  <c r="AM15" i="19"/>
  <c r="BG15" i="19"/>
  <c r="AN15" i="19" s="1"/>
  <c r="Q16" i="8"/>
  <c r="BG16" i="8" s="1"/>
  <c r="Z20" i="8"/>
  <c r="BA20" i="8" s="1"/>
  <c r="BG20" i="8"/>
  <c r="AI19" i="8"/>
  <c r="BB19" i="8"/>
  <c r="AJ19" i="8" s="1"/>
  <c r="AZ18" i="8"/>
  <c r="Q17" i="8"/>
  <c r="AZ17" i="8"/>
  <c r="Q15" i="8"/>
  <c r="AZ15" i="8"/>
  <c r="Z18" i="8"/>
  <c r="BG18" i="8"/>
  <c r="AW17" i="8"/>
  <c r="R17" i="8" s="1"/>
  <c r="Z16" i="8" l="1"/>
  <c r="BB16" i="8" s="1"/>
  <c r="AI20" i="8"/>
  <c r="BB20" i="8"/>
  <c r="AJ20" i="8" s="1"/>
  <c r="AI18" i="8"/>
  <c r="BA18" i="8"/>
  <c r="BB18" i="8"/>
  <c r="Z17" i="8"/>
  <c r="BG17" i="8"/>
  <c r="Z15" i="8"/>
  <c r="BG15" i="8"/>
  <c r="BA16" i="8" l="1"/>
  <c r="AJ16" i="8" s="1"/>
  <c r="AI16" i="8"/>
  <c r="AI15" i="8"/>
  <c r="BB15" i="8"/>
  <c r="BA15" i="8"/>
  <c r="AI17" i="8"/>
  <c r="BA17" i="8"/>
  <c r="BB17" i="8"/>
  <c r="AJ18" i="8"/>
  <c r="AJ15" i="8" l="1"/>
  <c r="AJ17" i="8"/>
  <c r="A8" i="10" l="1"/>
  <c r="B8" i="10"/>
  <c r="C8" i="10"/>
  <c r="D8" i="10"/>
  <c r="Q8" i="10"/>
  <c r="R8" i="10"/>
  <c r="S8" i="10"/>
  <c r="T8" i="10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L8" i="10" s="1"/>
  <c r="BA8" i="10"/>
  <c r="A9" i="10"/>
  <c r="B9" i="10"/>
  <c r="C9" i="10"/>
  <c r="D9" i="10"/>
  <c r="O9" i="10"/>
  <c r="M9" i="10" s="1"/>
  <c r="K9" i="10" s="1"/>
  <c r="P9" i="10"/>
  <c r="N9" i="10" s="1"/>
  <c r="L9" i="10" s="1"/>
  <c r="Q9" i="10"/>
  <c r="R9" i="10"/>
  <c r="S9" i="10"/>
  <c r="T9" i="10"/>
  <c r="W9" i="10"/>
  <c r="X9" i="10"/>
  <c r="Y9" i="10"/>
  <c r="Z9" i="10" s="1"/>
  <c r="AA9" i="10"/>
  <c r="AB9" i="10"/>
  <c r="AF9" i="10"/>
  <c r="AG9" i="10"/>
  <c r="AH9" i="10"/>
  <c r="AI9" i="10"/>
  <c r="AJ9" i="10"/>
  <c r="AK9" i="10"/>
  <c r="AL9" i="10"/>
  <c r="BA9" i="10"/>
  <c r="A10" i="10"/>
  <c r="B10" i="10"/>
  <c r="C10" i="10"/>
  <c r="D10" i="10"/>
  <c r="O10" i="10"/>
  <c r="M10" i="10" s="1"/>
  <c r="K10" i="10" s="1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P12" i="10"/>
  <c r="N12" i="10" s="1"/>
  <c r="L12" i="10" s="1"/>
  <c r="Q12" i="10"/>
  <c r="R12" i="10"/>
  <c r="AU12" i="10" s="1"/>
  <c r="S12" i="10"/>
  <c r="T12" i="10"/>
  <c r="V12" i="10"/>
  <c r="AY12" i="10" s="1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AW13" i="10" s="1"/>
  <c r="W13" i="10"/>
  <c r="X13" i="10"/>
  <c r="Y13" i="10"/>
  <c r="Z13" i="10" s="1"/>
  <c r="AA13" i="10"/>
  <c r="AB13" i="10" s="1"/>
  <c r="AF13" i="10"/>
  <c r="AG13" i="10"/>
  <c r="AH13" i="10"/>
  <c r="AI13" i="10"/>
  <c r="AJ13" i="10"/>
  <c r="AK13" i="10"/>
  <c r="O13" i="10" s="1"/>
  <c r="AL13" i="10"/>
  <c r="P13" i="10" s="1"/>
  <c r="BA13" i="10"/>
  <c r="A14" i="10"/>
  <c r="B14" i="10"/>
  <c r="C14" i="10"/>
  <c r="D14" i="10"/>
  <c r="O14" i="10"/>
  <c r="M14" i="10" s="1"/>
  <c r="K14" i="10" s="1"/>
  <c r="P14" i="10"/>
  <c r="N14" i="10" s="1"/>
  <c r="L14" i="10" s="1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BA14" i="10"/>
  <c r="A15" i="10"/>
  <c r="B15" i="10"/>
  <c r="C15" i="10"/>
  <c r="D15" i="10"/>
  <c r="O15" i="10"/>
  <c r="M15" i="10" s="1"/>
  <c r="K15" i="10" s="1"/>
  <c r="P15" i="10"/>
  <c r="N15" i="10" s="1"/>
  <c r="L15" i="10" s="1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BA15" i="10"/>
  <c r="A16" i="10"/>
  <c r="B16" i="10"/>
  <c r="C16" i="10"/>
  <c r="D16" i="10"/>
  <c r="Q16" i="10"/>
  <c r="R16" i="10"/>
  <c r="AU16" i="10" s="1"/>
  <c r="S16" i="10"/>
  <c r="T16" i="10"/>
  <c r="V16" i="10"/>
  <c r="AY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AL16" i="10"/>
  <c r="P16" i="10" s="1"/>
  <c r="N16" i="10" s="1"/>
  <c r="L16" i="10" s="1"/>
  <c r="BA16" i="10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14" i="9"/>
  <c r="AG14" i="9"/>
  <c r="AH14" i="9"/>
  <c r="AI14" i="9"/>
  <c r="AJ14" i="9"/>
  <c r="AK14" i="9"/>
  <c r="AL14" i="9"/>
  <c r="AM14" i="9"/>
  <c r="AF15" i="9"/>
  <c r="AG15" i="9"/>
  <c r="AH15" i="9"/>
  <c r="AI15" i="9"/>
  <c r="AJ15" i="9"/>
  <c r="AK15" i="9"/>
  <c r="AL15" i="9"/>
  <c r="AM15" i="9"/>
  <c r="AF16" i="9"/>
  <c r="AG16" i="9"/>
  <c r="AH16" i="9"/>
  <c r="AI16" i="9"/>
  <c r="AJ16" i="9"/>
  <c r="AK16" i="9"/>
  <c r="AL16" i="9"/>
  <c r="AM16" i="9"/>
  <c r="AU14" i="10" l="1"/>
  <c r="AW8" i="10"/>
  <c r="AW11" i="10"/>
  <c r="AU8" i="10"/>
  <c r="AW12" i="10"/>
  <c r="AW16" i="10"/>
  <c r="V13" i="10"/>
  <c r="AY13" i="10" s="1"/>
  <c r="AZ8" i="10"/>
  <c r="E8" i="10" s="1"/>
  <c r="AN8" i="10" s="1"/>
  <c r="AU10" i="10"/>
  <c r="AW9" i="10"/>
  <c r="AZ9" i="10"/>
  <c r="G9" i="10" s="1"/>
  <c r="AW15" i="10"/>
  <c r="AW10" i="10"/>
  <c r="AU15" i="10"/>
  <c r="V15" i="10"/>
  <c r="AY15" i="10" s="1"/>
  <c r="AZ12" i="10"/>
  <c r="H12" i="10" s="1"/>
  <c r="AU13" i="10"/>
  <c r="AW14" i="10"/>
  <c r="AZ13" i="10"/>
  <c r="I13" i="10" s="1"/>
  <c r="AU11" i="10"/>
  <c r="V11" i="10"/>
  <c r="U11" i="10" s="1"/>
  <c r="AZ16" i="10"/>
  <c r="I16" i="10" s="1"/>
  <c r="V9" i="10"/>
  <c r="AY9" i="10" s="1"/>
  <c r="AU9" i="10"/>
  <c r="N13" i="10"/>
  <c r="L13" i="10" s="1"/>
  <c r="M13" i="10"/>
  <c r="K13" i="10" s="1"/>
  <c r="AY8" i="10"/>
  <c r="U8" i="10"/>
  <c r="O16" i="10"/>
  <c r="AZ15" i="10"/>
  <c r="G15" i="10" s="1"/>
  <c r="AZ11" i="10"/>
  <c r="G11" i="10" s="1"/>
  <c r="O8" i="10"/>
  <c r="V10" i="10"/>
  <c r="V14" i="10"/>
  <c r="AZ14" i="10"/>
  <c r="O11" i="10"/>
  <c r="AZ10" i="10"/>
  <c r="J10" i="10" s="1"/>
  <c r="U16" i="10"/>
  <c r="U12" i="10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G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A8" i="15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J7" i="14"/>
  <c r="I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H8" i="14" l="1"/>
  <c r="E12" i="14"/>
  <c r="AF14" i="14"/>
  <c r="BD10" i="8"/>
  <c r="AF8" i="14"/>
  <c r="U13" i="10"/>
  <c r="AR13" i="10" s="1"/>
  <c r="J9" i="10"/>
  <c r="I8" i="10"/>
  <c r="F8" i="10"/>
  <c r="AS8" i="10" s="1"/>
  <c r="G8" i="10"/>
  <c r="AX8" i="10" s="1"/>
  <c r="H8" i="10"/>
  <c r="F9" i="10"/>
  <c r="J8" i="10"/>
  <c r="F11" i="14"/>
  <c r="AE11" i="14" s="1"/>
  <c r="AF16" i="14"/>
  <c r="U15" i="10"/>
  <c r="AR15" i="10" s="1"/>
  <c r="I9" i="10"/>
  <c r="H9" i="10"/>
  <c r="AT9" i="10" s="1"/>
  <c r="AD9" i="10" s="1"/>
  <c r="E9" i="10"/>
  <c r="AN9" i="10" s="1"/>
  <c r="AO9" i="10" s="1"/>
  <c r="I12" i="10"/>
  <c r="J13" i="10"/>
  <c r="AV13" i="10" s="1"/>
  <c r="AE13" i="10" s="1"/>
  <c r="E13" i="10"/>
  <c r="AN13" i="10" s="1"/>
  <c r="G13" i="10"/>
  <c r="H13" i="10"/>
  <c r="F13" i="10"/>
  <c r="E12" i="10"/>
  <c r="AN12" i="10" s="1"/>
  <c r="AY12" i="8"/>
  <c r="S12" i="8"/>
  <c r="O12" i="8" s="1"/>
  <c r="M12" i="8" s="1"/>
  <c r="AX9" i="8"/>
  <c r="AH11" i="14"/>
  <c r="AH16" i="14"/>
  <c r="AC9" i="14"/>
  <c r="AH10" i="14"/>
  <c r="AH15" i="14"/>
  <c r="AF9" i="14"/>
  <c r="AF11" i="14"/>
  <c r="E9" i="14"/>
  <c r="AD9" i="14" s="1"/>
  <c r="AF15" i="14"/>
  <c r="AF12" i="14"/>
  <c r="AH9" i="14"/>
  <c r="AH14" i="14"/>
  <c r="AC10" i="14"/>
  <c r="H16" i="10"/>
  <c r="U9" i="10"/>
  <c r="J16" i="10"/>
  <c r="AV16" i="10" s="1"/>
  <c r="AE16" i="10" s="1"/>
  <c r="E16" i="10"/>
  <c r="AN16" i="10" s="1"/>
  <c r="F12" i="10"/>
  <c r="G12" i="10"/>
  <c r="F16" i="10"/>
  <c r="G16" i="10"/>
  <c r="AY11" i="10"/>
  <c r="J12" i="10"/>
  <c r="M8" i="10"/>
  <c r="K8" i="10" s="1"/>
  <c r="AR8" i="10" s="1"/>
  <c r="E14" i="10"/>
  <c r="F14" i="10"/>
  <c r="H14" i="10"/>
  <c r="E11" i="10"/>
  <c r="AX11" i="10" s="1"/>
  <c r="J11" i="10"/>
  <c r="F11" i="10"/>
  <c r="H11" i="10"/>
  <c r="I11" i="10"/>
  <c r="I14" i="10"/>
  <c r="G10" i="10"/>
  <c r="E15" i="10"/>
  <c r="F15" i="10"/>
  <c r="H15" i="10"/>
  <c r="AT15" i="10" s="1"/>
  <c r="AD15" i="10" s="1"/>
  <c r="J15" i="10"/>
  <c r="I15" i="10"/>
  <c r="M16" i="10"/>
  <c r="K16" i="10" s="1"/>
  <c r="AR16" i="10" s="1"/>
  <c r="G14" i="10"/>
  <c r="J14" i="10"/>
  <c r="E10" i="10"/>
  <c r="F10" i="10"/>
  <c r="H10" i="10"/>
  <c r="AY14" i="10"/>
  <c r="U14" i="10"/>
  <c r="AQ8" i="10"/>
  <c r="M11" i="10"/>
  <c r="K11" i="10" s="1"/>
  <c r="AR11" i="10" s="1"/>
  <c r="AR12" i="10"/>
  <c r="AY10" i="10"/>
  <c r="U10" i="10"/>
  <c r="I10" i="10"/>
  <c r="AV10" i="10" s="1"/>
  <c r="AE10" i="10" s="1"/>
  <c r="AG11" i="8"/>
  <c r="BD11" i="8" s="1"/>
  <c r="AC15" i="14"/>
  <c r="BI9" i="8"/>
  <c r="L9" i="8" s="1"/>
  <c r="AC11" i="14"/>
  <c r="F10" i="14"/>
  <c r="AE10" i="14" s="1"/>
  <c r="AY11" i="8"/>
  <c r="D11" i="8"/>
  <c r="AH11" i="8" s="1"/>
  <c r="BF11" i="8" s="1"/>
  <c r="BI14" i="8"/>
  <c r="G14" i="8" s="1"/>
  <c r="D13" i="8"/>
  <c r="AH13" i="8" s="1"/>
  <c r="BF13" i="8" s="1"/>
  <c r="D10" i="8"/>
  <c r="BH10" i="8" s="1"/>
  <c r="AC8" i="14"/>
  <c r="BF12" i="8"/>
  <c r="C12" i="8"/>
  <c r="AG12" i="8" s="1"/>
  <c r="BD12" i="8" s="1"/>
  <c r="S11" i="8"/>
  <c r="O11" i="8" s="1"/>
  <c r="M11" i="8" s="1"/>
  <c r="BI10" i="8"/>
  <c r="G10" i="8" s="1"/>
  <c r="AC14" i="14"/>
  <c r="F13" i="14"/>
  <c r="AE13" i="14" s="1"/>
  <c r="BF9" i="8"/>
  <c r="P12" i="8"/>
  <c r="N12" i="8" s="1"/>
  <c r="P8" i="8"/>
  <c r="N8" i="8" s="1"/>
  <c r="P11" i="8"/>
  <c r="N11" i="8" s="1"/>
  <c r="O9" i="8"/>
  <c r="M9" i="8" s="1"/>
  <c r="AG14" i="8"/>
  <c r="BD14" i="8" s="1"/>
  <c r="P9" i="8"/>
  <c r="N9" i="8" s="1"/>
  <c r="AG13" i="8"/>
  <c r="BD13" i="8" s="1"/>
  <c r="O14" i="8"/>
  <c r="M14" i="8" s="1"/>
  <c r="P13" i="8"/>
  <c r="N13" i="8" s="1"/>
  <c r="AG8" i="8"/>
  <c r="BD8" i="8" s="1"/>
  <c r="BI13" i="8"/>
  <c r="AX14" i="8"/>
  <c r="AY9" i="8"/>
  <c r="C9" i="8"/>
  <c r="AY10" i="8"/>
  <c r="S10" i="8"/>
  <c r="BI8" i="8"/>
  <c r="AY13" i="8"/>
  <c r="S13" i="8"/>
  <c r="BI11" i="8"/>
  <c r="D8" i="8"/>
  <c r="AH8" i="8" s="1"/>
  <c r="BF8" i="8" s="1"/>
  <c r="AY8" i="8"/>
  <c r="S8" i="8"/>
  <c r="D14" i="8"/>
  <c r="AH14" i="8" s="1"/>
  <c r="BF14" i="8" s="1"/>
  <c r="AY14" i="8"/>
  <c r="BI12" i="8"/>
  <c r="E13" i="14"/>
  <c r="AD13" i="14" s="1"/>
  <c r="AF13" i="14"/>
  <c r="AF10" i="14"/>
  <c r="E10" i="14"/>
  <c r="AD10" i="14" s="1"/>
  <c r="E14" i="14"/>
  <c r="AD14" i="14" s="1"/>
  <c r="F9" i="14"/>
  <c r="AE9" i="14" s="1"/>
  <c r="AC16" i="14"/>
  <c r="E15" i="14"/>
  <c r="AD15" i="14" s="1"/>
  <c r="AH12" i="14"/>
  <c r="AH13" i="14"/>
  <c r="AC12" i="14"/>
  <c r="AC13" i="14"/>
  <c r="F12" i="14"/>
  <c r="AG12" i="14" s="1"/>
  <c r="H12" i="14" s="1"/>
  <c r="E16" i="14"/>
  <c r="AD16" i="14" s="1"/>
  <c r="F16" i="14"/>
  <c r="AD12" i="14"/>
  <c r="E8" i="14"/>
  <c r="AD8" i="14" s="1"/>
  <c r="F8" i="14"/>
  <c r="E11" i="14"/>
  <c r="AD11" i="14" s="1"/>
  <c r="F15" i="14"/>
  <c r="F14" i="14"/>
  <c r="C7" i="26"/>
  <c r="E7" i="26"/>
  <c r="AF4" i="26"/>
  <c r="AJ4" i="24"/>
  <c r="AE4" i="22"/>
  <c r="AI4" i="19"/>
  <c r="AA4" i="10"/>
  <c r="AE3" i="8"/>
  <c r="AO8" i="10" l="1"/>
  <c r="AV9" i="10"/>
  <c r="AE9" i="10" s="1"/>
  <c r="C15" i="14"/>
  <c r="AP8" i="10"/>
  <c r="J14" i="8"/>
  <c r="AG11" i="14"/>
  <c r="H11" i="14" s="1"/>
  <c r="AV12" i="10"/>
  <c r="AE12" i="10" s="1"/>
  <c r="AP9" i="10"/>
  <c r="AQ9" i="10"/>
  <c r="AT10" i="10"/>
  <c r="AD10" i="10" s="1"/>
  <c r="AV8" i="10"/>
  <c r="AE8" i="10" s="1"/>
  <c r="AX13" i="10"/>
  <c r="AP13" i="10"/>
  <c r="AO13" i="10"/>
  <c r="AS13" i="10"/>
  <c r="AC13" i="10" s="1"/>
  <c r="C9" i="14"/>
  <c r="L14" i="8"/>
  <c r="G9" i="14"/>
  <c r="G11" i="14"/>
  <c r="G13" i="14"/>
  <c r="C11" i="14"/>
  <c r="AQ13" i="10"/>
  <c r="AS11" i="10"/>
  <c r="AC11" i="10" s="1"/>
  <c r="AX9" i="10"/>
  <c r="AO12" i="10"/>
  <c r="AQ12" i="10"/>
  <c r="AT13" i="10"/>
  <c r="AD13" i="10" s="1"/>
  <c r="AP12" i="10"/>
  <c r="AT14" i="10"/>
  <c r="AD14" i="10" s="1"/>
  <c r="AS15" i="10"/>
  <c r="AC15" i="10" s="1"/>
  <c r="AS12" i="10"/>
  <c r="AC12" i="10" s="1"/>
  <c r="AX12" i="10"/>
  <c r="AT12" i="10"/>
  <c r="AD12" i="10" s="1"/>
  <c r="AX14" i="10"/>
  <c r="AX16" i="10"/>
  <c r="AH10" i="8"/>
  <c r="BF10" i="8" s="1"/>
  <c r="I10" i="8"/>
  <c r="J10" i="8"/>
  <c r="BH13" i="8"/>
  <c r="L10" i="8"/>
  <c r="K10" i="8"/>
  <c r="H10" i="8"/>
  <c r="AU10" i="8" s="1"/>
  <c r="AG13" i="14"/>
  <c r="H13" i="14" s="1"/>
  <c r="C10" i="14"/>
  <c r="C12" i="14"/>
  <c r="C14" i="14"/>
  <c r="AG9" i="14"/>
  <c r="H9" i="14" s="1"/>
  <c r="C16" i="14"/>
  <c r="G10" i="14"/>
  <c r="AG10" i="14"/>
  <c r="H10" i="14" s="1"/>
  <c r="C13" i="14"/>
  <c r="C8" i="14"/>
  <c r="AV11" i="10"/>
  <c r="AE11" i="10" s="1"/>
  <c r="AP16" i="10"/>
  <c r="AT11" i="10"/>
  <c r="AD11" i="10" s="1"/>
  <c r="AT16" i="10"/>
  <c r="AD16" i="10" s="1"/>
  <c r="AV15" i="10"/>
  <c r="AE15" i="10" s="1"/>
  <c r="AS16" i="10"/>
  <c r="AC16" i="10" s="1"/>
  <c r="AQ16" i="10"/>
  <c r="AS9" i="10"/>
  <c r="AR9" i="10"/>
  <c r="AO16" i="10"/>
  <c r="AV14" i="10"/>
  <c r="AE14" i="10" s="1"/>
  <c r="AS14" i="10"/>
  <c r="AR14" i="10"/>
  <c r="AQ15" i="10"/>
  <c r="AN15" i="10"/>
  <c r="AP15" i="10" s="1"/>
  <c r="AQ10" i="10"/>
  <c r="AN10" i="10"/>
  <c r="AP10" i="10" s="1"/>
  <c r="AS10" i="10"/>
  <c r="AR10" i="10"/>
  <c r="AQ14" i="10"/>
  <c r="AN14" i="10"/>
  <c r="AP14" i="10" s="1"/>
  <c r="AX15" i="10"/>
  <c r="AX10" i="10"/>
  <c r="AT8" i="10"/>
  <c r="AD8" i="10" s="1"/>
  <c r="AC8" i="10"/>
  <c r="AQ11" i="10"/>
  <c r="AN11" i="10"/>
  <c r="AP11" i="10" s="1"/>
  <c r="K9" i="8"/>
  <c r="BE9" i="8" s="1"/>
  <c r="AL9" i="8" s="1"/>
  <c r="BH8" i="8"/>
  <c r="G9" i="8"/>
  <c r="H9" i="8"/>
  <c r="AU9" i="8" s="1"/>
  <c r="BH12" i="8"/>
  <c r="J9" i="8"/>
  <c r="AE12" i="14"/>
  <c r="G12" i="14" s="1"/>
  <c r="I9" i="8"/>
  <c r="BH11" i="8"/>
  <c r="K14" i="8"/>
  <c r="H14" i="8"/>
  <c r="AU14" i="8" s="1"/>
  <c r="I14" i="8"/>
  <c r="J11" i="8"/>
  <c r="K11" i="8"/>
  <c r="G11" i="8"/>
  <c r="H11" i="8"/>
  <c r="L11" i="8"/>
  <c r="I11" i="8"/>
  <c r="BH9" i="8"/>
  <c r="AG9" i="8"/>
  <c r="BD9" i="8" s="1"/>
  <c r="I8" i="8"/>
  <c r="J8" i="8"/>
  <c r="K8" i="8"/>
  <c r="G8" i="8"/>
  <c r="L8" i="8"/>
  <c r="H8" i="8"/>
  <c r="J12" i="8"/>
  <c r="K12" i="8"/>
  <c r="G12" i="8"/>
  <c r="H12" i="8"/>
  <c r="I12" i="8"/>
  <c r="L12" i="8"/>
  <c r="O8" i="8"/>
  <c r="M8" i="8" s="1"/>
  <c r="O10" i="8"/>
  <c r="M10" i="8" s="1"/>
  <c r="H13" i="8"/>
  <c r="I13" i="8"/>
  <c r="J13" i="8"/>
  <c r="K13" i="8"/>
  <c r="L13" i="8"/>
  <c r="G13" i="8"/>
  <c r="O13" i="8"/>
  <c r="M13" i="8" s="1"/>
  <c r="BH14" i="8"/>
  <c r="AE14" i="14"/>
  <c r="G14" i="14" s="1"/>
  <c r="AG14" i="14"/>
  <c r="H14" i="14" s="1"/>
  <c r="AE8" i="14"/>
  <c r="G8" i="14" s="1"/>
  <c r="AG8" i="14"/>
  <c r="H8" i="14" s="1"/>
  <c r="AE16" i="14"/>
  <c r="G16" i="14" s="1"/>
  <c r="AG16" i="14"/>
  <c r="H16" i="14" s="1"/>
  <c r="AE15" i="14"/>
  <c r="G15" i="14" s="1"/>
  <c r="AG15" i="14"/>
  <c r="H15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BC14" i="8" l="1"/>
  <c r="AK14" i="8" s="1"/>
  <c r="AV10" i="8"/>
  <c r="Q10" i="8" s="1"/>
  <c r="BE14" i="8"/>
  <c r="AL14" i="8" s="1"/>
  <c r="AO15" i="10"/>
  <c r="BE10" i="8"/>
  <c r="AL10" i="8" s="1"/>
  <c r="AW10" i="8"/>
  <c r="R10" i="8" s="1"/>
  <c r="BC11" i="8"/>
  <c r="AK11" i="8" s="1"/>
  <c r="AC9" i="10"/>
  <c r="AW14" i="8"/>
  <c r="R14" i="8" s="1"/>
  <c r="BE13" i="8"/>
  <c r="AL13" i="8" s="1"/>
  <c r="BE8" i="8"/>
  <c r="AL8" i="8" s="1"/>
  <c r="AV9" i="8"/>
  <c r="AZ9" i="8" s="1"/>
  <c r="AC10" i="10"/>
  <c r="AW9" i="8"/>
  <c r="R9" i="8" s="1"/>
  <c r="BC10" i="8"/>
  <c r="AK10" i="8" s="1"/>
  <c r="BC9" i="8"/>
  <c r="AK9" i="8" s="1"/>
  <c r="BE12" i="8"/>
  <c r="AL12" i="8" s="1"/>
  <c r="BE11" i="8"/>
  <c r="AL11" i="8" s="1"/>
  <c r="AO14" i="10"/>
  <c r="AO10" i="10"/>
  <c r="AO11" i="10"/>
  <c r="AC14" i="10"/>
  <c r="AV14" i="8"/>
  <c r="BC13" i="8"/>
  <c r="AK13" i="8" s="1"/>
  <c r="BC8" i="8"/>
  <c r="AK8" i="8" s="1"/>
  <c r="AU8" i="8"/>
  <c r="AW8" i="8" s="1"/>
  <c r="R8" i="8" s="1"/>
  <c r="AU13" i="8"/>
  <c r="AW13" i="8" s="1"/>
  <c r="R13" i="8" s="1"/>
  <c r="BC12" i="8"/>
  <c r="AK12" i="8" s="1"/>
  <c r="AU12" i="8"/>
  <c r="AV12" i="8" s="1"/>
  <c r="AU11" i="8"/>
  <c r="AV11" i="8" s="1"/>
  <c r="AI7" i="32"/>
  <c r="AE4" i="32"/>
  <c r="AD7" i="28"/>
  <c r="AA4" i="28"/>
  <c r="AH7" i="32"/>
  <c r="AE7" i="26"/>
  <c r="AK7" i="32"/>
  <c r="C7" i="19"/>
  <c r="D7" i="24"/>
  <c r="AZ10" i="8" l="1"/>
  <c r="Z10" i="8"/>
  <c r="BB10" i="8" s="1"/>
  <c r="Q9" i="8"/>
  <c r="BG9" i="8" s="1"/>
  <c r="BG10" i="8"/>
  <c r="AV13" i="8"/>
  <c r="AZ13" i="8" s="1"/>
  <c r="AV8" i="8"/>
  <c r="AZ8" i="8" s="1"/>
  <c r="AW12" i="8"/>
  <c r="R12" i="8" s="1"/>
  <c r="AZ14" i="8"/>
  <c r="Q14" i="8"/>
  <c r="Q12" i="8"/>
  <c r="AZ12" i="8"/>
  <c r="AZ11" i="8"/>
  <c r="Q11" i="8"/>
  <c r="AW11" i="8"/>
  <c r="R11" i="8" s="1"/>
  <c r="Z9" i="8"/>
  <c r="AS7" i="32"/>
  <c r="T7" i="32" s="1"/>
  <c r="AR7" i="32"/>
  <c r="BA10" i="8" l="1"/>
  <c r="AJ10" i="8" s="1"/>
  <c r="AI10" i="8"/>
  <c r="Q13" i="8"/>
  <c r="BG13" i="8" s="1"/>
  <c r="Q8" i="8"/>
  <c r="BG8" i="8" s="1"/>
  <c r="Z14" i="8"/>
  <c r="BG14" i="8"/>
  <c r="Z11" i="8"/>
  <c r="BG11" i="8"/>
  <c r="AI9" i="8"/>
  <c r="BB9" i="8"/>
  <c r="BA9" i="8"/>
  <c r="Z12" i="8"/>
  <c r="BG12" i="8"/>
  <c r="S7" i="32"/>
  <c r="Q7" i="32" s="1"/>
  <c r="AD7" i="32"/>
  <c r="AC7" i="32" s="1"/>
  <c r="R7" i="32"/>
  <c r="AQ7" i="26"/>
  <c r="U7" i="26" s="1"/>
  <c r="S7" i="26" s="1"/>
  <c r="AP7" i="26"/>
  <c r="Z13" i="8" l="1"/>
  <c r="AI13" i="8" s="1"/>
  <c r="Z8" i="8"/>
  <c r="AI8" i="8" s="1"/>
  <c r="AI14" i="8"/>
  <c r="BA14" i="8"/>
  <c r="BB14" i="8"/>
  <c r="BA13" i="8"/>
  <c r="AI12" i="8"/>
  <c r="BA12" i="8"/>
  <c r="BB12" i="8"/>
  <c r="AJ9" i="8"/>
  <c r="AI11" i="8"/>
  <c r="BA11" i="8"/>
  <c r="BB11" i="8"/>
  <c r="AL7" i="10"/>
  <c r="AK7" i="10"/>
  <c r="BB13" i="8" l="1"/>
  <c r="AJ13" i="8" s="1"/>
  <c r="BA8" i="8"/>
  <c r="BB8" i="8"/>
  <c r="AJ11" i="8"/>
  <c r="AJ14" i="8"/>
  <c r="AJ12" i="8"/>
  <c r="W7" i="32"/>
  <c r="AA7" i="32"/>
  <c r="Y7" i="8"/>
  <c r="AJ8" i="8" l="1"/>
  <c r="Q2" i="16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T7" i="26"/>
  <c r="AE7" i="24" l="1"/>
  <c r="BG7" i="24" s="1"/>
  <c r="BE7" i="24"/>
  <c r="BL7" i="24"/>
  <c r="BF7" i="24" l="1"/>
  <c r="AN7" i="24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AE7" i="14" s="1"/>
  <c r="F7" i="15"/>
  <c r="E7" i="15"/>
  <c r="AG7" i="14" l="1"/>
  <c r="H7" i="14" s="1"/>
  <c r="G7" i="14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<sst xmlns="http://schemas.openxmlformats.org/spreadsheetml/2006/main" count="1242" uniqueCount="357">
  <si>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</si>
  <si>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</si>
  <si>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</si>
  <si>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</si>
  <si>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</si>
  <si>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</si>
  <si>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</si>
  <si>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</si>
  <si>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</si>
  <si>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</si>
  <si>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</si>
  <si>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</si>
  <si>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</si>
  <si>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</si>
  <si>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</si>
  <si>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</si>
  <si>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</si>
  <si>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</si>
  <si>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</si>
  <si>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</si>
  <si>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</si>
  <si>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</si>
  <si>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</si>
  <si>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</si>
  <si>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</si>
  <si>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</si>
  <si>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</si>
  <si>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</si>
  <si>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</si>
  <si>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</si>
  <si>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</si>
  <si>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</si>
  <si>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</si>
  <si>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</si>
  <si>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</si>
  <si>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</si>
  <si>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</si>
  <si>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</si>
  <si>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</si>
  <si>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</si>
  <si>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</si>
  <si>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</si>
  <si>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</si>
  <si>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</si>
  <si>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</si>
  <si>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</si>
  <si>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</si>
  <si>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</si>
  <si>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</si>
  <si>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</si>
  <si>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</si>
  <si>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</si>
  <si>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</si>
  <si>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</si>
  <si>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</si>
  <si>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</si>
  <si>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</si>
  <si>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</si>
  <si>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</si>
  <si>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</si>
  <si>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</si>
  <si>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</si>
  <si>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</si>
  <si>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</si>
  <si>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</si>
  <si>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</si>
  <si>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</si>
  <si>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</si>
  <si>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</si>
  <si>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</si>
  <si>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</si>
  <si>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</si>
  <si>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</si>
  <si>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</si>
  <si>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</si>
  <si>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</si>
  <si>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</si>
  <si>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</si>
  <si>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</si>
  <si>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</si>
  <si>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</si>
  <si>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</si>
  <si>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</si>
  <si>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</si>
  <si>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</si>
  <si>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</si>
  <si>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</si>
  <si>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</si>
  <si>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</si>
  <si>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</si>
  <si>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</si>
  <si>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</si>
  <si>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</si>
  <si>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</si>
  <si>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</si>
  <si>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</si>
  <si>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</si>
  <si>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</si>
  <si>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</si>
  <si>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</si>
  <si>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</si>
  <si>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</si>
  <si>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</si>
  <si>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</si>
  <si>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</si>
  <si>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</si>
  <si>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</si>
  <si>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</si>
  <si>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</si>
  <si>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</si>
  <si>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</si>
  <si>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</si>
  <si>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</si>
  <si>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</si>
  <si>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</si>
  <si>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</si>
  <si>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</si>
  <si>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</si>
  <si>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</si>
  <si>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</si>
  <si>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</si>
  <si>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</si>
  <si>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</si>
  <si>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</si>
  <si>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</si>
  <si>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</si>
  <si>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</si>
  <si>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</si>
  <si>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</si>
  <si>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</si>
  <si>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</si>
  <si>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</si>
  <si>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</si>
  <si>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</si>
  <si>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</si>
  <si>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</si>
  <si>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</si>
  <si>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</si>
  <si>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</si>
  <si>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</si>
  <si>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</si>
  <si>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</si>
  <si>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</si>
  <si>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</si>
  <si>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</si>
  <si>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</si>
  <si>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</si>
  <si>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</si>
  <si>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</si>
  <si>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</si>
  <si>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</si>
  <si>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</si>
  <si>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</si>
  <si>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</si>
  <si>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</si>
  <si>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</si>
  <si>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</si>
  <si>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</si>
  <si>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</si>
  <si>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</si>
  <si>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</si>
  <si>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</si>
  <si>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</si>
  <si>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</si>
  <si>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</si>
  <si>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</si>
  <si>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</si>
  <si>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</si>
  <si>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</si>
  <si>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</si>
  <si>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</si>
  <si>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</si>
  <si>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</si>
  <si>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</si>
  <si>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</si>
  <si>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</si>
  <si>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</si>
  <si>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</si>
  <si>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</si>
  <si>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</si>
  <si>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</si>
  <si>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</si>
  <si>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</si>
  <si>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</si>
  <si>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</si>
  <si>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</si>
  <si>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</si>
  <si>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</si>
  <si>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</si>
  <si>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</si>
  <si>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</si>
  <si>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</si>
  <si>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</si>
  <si>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</si>
  <si>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</si>
  <si>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</si>
  <si>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</si>
  <si>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</si>
  <si>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</si>
  <si>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</si>
  <si>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</si>
  <si>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</si>
  <si>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</si>
  <si>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</si>
  <si>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</si>
  <si>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</si>
  <si>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</si>
  <si>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</si>
  <si>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</si>
  <si>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</si>
  <si>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</si>
  <si>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</si>
  <si>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</si>
  <si>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</si>
  <si>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</si>
  <si>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</si>
  <si>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</si>
  <si>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</si>
  <si>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</si>
  <si>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</si>
  <si>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</si>
  <si>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</si>
  <si>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</si>
  <si>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</si>
  <si>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</si>
  <si>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</si>
  <si>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</si>
  <si>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</si>
  <si>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</si>
  <si>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</si>
  <si>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</si>
  <si>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</si>
  <si>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</si>
  <si>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</si>
  <si>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</si>
  <si>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</si>
  <si>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</si>
  <si>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</si>
  <si>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</si>
  <si>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</si>
  <si>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</si>
  <si>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</si>
  <si>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</si>
  <si>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</si>
  <si>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</si>
  <si>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</si>
  <si>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</si>
  <si>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</si>
  <si>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</si>
  <si>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</si>
  <si>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</si>
  <si>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</si>
  <si>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</si>
  <si>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</si>
  <si>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</si>
  <si>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</si>
  <si>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</si>
  <si>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</si>
  <si>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</si>
  <si>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</si>
  <si>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</si>
  <si>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</si>
  <si>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</si>
  <si>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</si>
  <si>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</si>
  <si>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</si>
  <si>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</si>
  <si>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</si>
  <si>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</si>
  <si>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</si>
  <si>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</si>
  <si>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</si>
  <si>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</si>
  <si>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</si>
  <si>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</si>
  <si>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</si>
  <si>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</si>
  <si>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</si>
  <si>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</si>
  <si>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</si>
  <si>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</si>
  <si>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</si>
  <si>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</si>
  <si>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</si>
  <si>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</si>
  <si>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</si>
  <si>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</si>
  <si>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</si>
  <si>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</si>
  <si>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</si>
  <si>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</si>
  <si>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</si>
  <si>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</si>
  <si>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</si>
  <si>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</si>
  <si>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</si>
  <si>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</si>
  <si>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</si>
  <si>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</si>
  <si>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</si>
  <si>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</si>
  <si>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</si>
  <si>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</si>
  <si>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</si>
  <si>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</si>
  <si>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</si>
  <si>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</si>
  <si>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</si>
  <si>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</si>
  <si>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</si>
  <si>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</si>
  <si>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</si>
  <si>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</si>
  <si>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</si>
  <si>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</si>
  <si>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</si>
  <si>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</si>
  <si>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</si>
  <si>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</si>
  <si>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</si>
  <si>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</si>
  <si>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</si>
  <si>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</si>
  <si>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</si>
  <si>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</si>
  <si>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</si>
  <si>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</si>
  <si>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</si>
  <si>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</si>
  <si>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</si>
  <si>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</si>
  <si>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</si>
  <si>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</si>
  <si>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이미래</t>
  </si>
  <si>
    <t>사급 VIB 1.2T</t>
    <phoneticPr fontId="1" type="noConversion"/>
  </si>
  <si>
    <t>601-2</t>
  </si>
  <si>
    <t>602-2</t>
  </si>
  <si>
    <t>603-2</t>
  </si>
  <si>
    <t>606-2</t>
  </si>
  <si>
    <t>607-3</t>
  </si>
  <si>
    <t>609-1</t>
  </si>
  <si>
    <t>610-1</t>
  </si>
  <si>
    <t>611-1</t>
  </si>
  <si>
    <t>x</t>
  </si>
  <si>
    <t>B1</t>
  </si>
  <si>
    <t>추영덕소장 따임</t>
    <phoneticPr fontId="1" type="noConversion"/>
  </si>
  <si>
    <t>좌SIDE</t>
  </si>
  <si>
    <t>우SIDE</t>
  </si>
  <si>
    <t>610-2</t>
  </si>
  <si>
    <t>611-2</t>
  </si>
  <si>
    <t>610-3</t>
  </si>
  <si>
    <t>611-3</t>
  </si>
  <si>
    <t>X</t>
  </si>
  <si>
    <t>x</t>
    <phoneticPr fontId="1" type="noConversion"/>
  </si>
  <si>
    <t>자동작도테스트</t>
    <phoneticPr fontId="1" type="noConversion"/>
  </si>
  <si>
    <t>손상민</t>
  </si>
  <si>
    <t>HPI무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</si>
</sst>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8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354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자동작도테스트 ) _손상민소장</v>
      </c>
      <c r="C2" s="39" t="str">
        <f>"(와이드) 제작변환 자료( "&amp;B1&amp;" ) _"&amp;소장 &amp;"소장"</f>
        <v>(와이드) 제작변환 자료( 자동작도테스트 ) _손상민소장</v>
      </c>
      <c r="D2" s="154" t="s">
        <v>317</v>
      </c>
      <c r="E2" s="150" t="str">
        <f>"(SO와이드) 실측서 ( " &amp; B1 &amp; " ) _"&amp;소장 &amp;"소장"</f>
        <v>(SO와이드) 실측서 ( 자동작도테스트 ) _손상민소장</v>
      </c>
      <c r="F2" s="150" t="str">
        <f>"(SO와이드) 제작변환 ( " &amp; B1 &amp; " ) _"&amp;소장 &amp;"소장"</f>
        <v>(SO와이드) 제작변환 ( 자동작도테스트 ) _손상민소장</v>
      </c>
      <c r="G2" s="152" t="s">
        <v>319</v>
      </c>
      <c r="H2" s="147" t="str">
        <f>"(4CO와이드) 실측서 ( " &amp; B1 &amp; " ) _"&amp;소장 &amp;"소장"</f>
        <v>(4CO와이드) 실측서 ( 자동작도테스트 ) _손상민소장</v>
      </c>
      <c r="I2" s="147" t="str">
        <f>"(4CO와이드) 제작변환 ( " &amp; B1 &amp; " ) _"&amp;소장 &amp;"소장"</f>
        <v>(4CO와이드) 제작변환 ( 자동작도테스트 ) _손상민소장</v>
      </c>
      <c r="J2" s="152" t="s">
        <v>321</v>
      </c>
      <c r="K2" s="153" t="str">
        <f>"(2UP) 실측서 ( " &amp; B1 &amp; " ) _"&amp;소장 &amp;"소장"</f>
        <v>(2UP) 실측서 ( 자동작도테스트 ) _손상민소장</v>
      </c>
      <c r="L2" s="153" t="str">
        <f>"(2UP) 제작변환 ( " &amp; B1 &amp; " ) _"&amp;소장 &amp;"소장"</f>
        <v>(2UP) 제작변환 ( 자동작도테스트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자동작도테스트 ) _손상민소장</v>
      </c>
      <c r="C3" s="39" t="str">
        <f>"(멍텅구리) 제작변환 자료( "&amp;B1&amp;" ) _"&amp;소장 &amp;"소장"</f>
        <v>(멍텅구리) 제작변환 자료( 자동작도테스트 ) _손상민소장</v>
      </c>
      <c r="D3" s="154" t="s">
        <v>318</v>
      </c>
      <c r="E3" s="150" t="str">
        <f>"(SO멍텅구리) 실측서 ( " &amp; B1 &amp; " ) _"&amp;소장 &amp;"소장"</f>
        <v>(SO멍텅구리) 실측서 ( 자동작도테스트 ) _손상민소장</v>
      </c>
      <c r="F3" s="150" t="str">
        <f>"(SO멍텅구리) 제작변환 ( " &amp; B1 &amp; " ) _"&amp;소장 &amp;"소장"</f>
        <v>(SO멍텅구리) 제작변환 ( 자동작도테스트 ) _손상민소장</v>
      </c>
      <c r="G3" s="152" t="s">
        <v>320</v>
      </c>
      <c r="H3" s="147" t="str">
        <f>"(4CO멍텅구리) 실측서 ( " &amp; B1 &amp; " ) _"&amp;소장 &amp;"소장"</f>
        <v>(4CO멍텅구리) 실측서 ( 자동작도테스트 ) _손상민소장</v>
      </c>
      <c r="I3" s="147" t="str">
        <f>"(4CO멍텅구리) 제작변환 ( " &amp; B1 &amp; " ) _"&amp;소장 &amp;"소장"</f>
        <v>(4CO멍텅구리) 제작변환 ( 자동작도테스트 ) _손상민소장</v>
      </c>
      <c r="J3" s="152" t="s">
        <v>322</v>
      </c>
      <c r="K3" s="153" t="str">
        <f>"(3UP) 실측서 ( " &amp; B1 &amp; " ) _"&amp;소장 &amp;"소장"</f>
        <v>(3UP) 실측서 ( 자동작도테스트 ) _손상민소장</v>
      </c>
      <c r="L3" s="153" t="str">
        <f>"(3UP) 제작변환 ( " &amp; B1 &amp; " ) _"&amp;소장 &amp;"소장"</f>
        <v>(3UP) 제작변환 ( 자동작도테스트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자동작도테스트 ) _손상민소장</v>
      </c>
      <c r="C4" s="39" t="str">
        <f>"(쪽쟘) 제작변환 자료( "&amp;B1&amp;" ) _"&amp;소장 &amp;"소장"</f>
        <v>(쪽쟘) 제작변환 자료( 자동작도테스트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355</v>
      </c>
    </row>
    <row r="7" spans="1:12" ht="16.5" customHeight="1" x14ac:dyDescent="0.3">
      <c r="A7" s="72" t="s">
        <v>193</v>
      </c>
      <c r="B7" s="118" t="s">
        <v>334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8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+(4.4 ),  늘어난치수K -(0),  C + (4.4),   U + (4.4), OP - (0), R - (0),  기둥차감 - (0), A + (1.2)</v>
      </c>
      <c r="C10" s="168"/>
    </row>
    <row r="11" spans="1:12" ht="16.5" customHeight="1" x14ac:dyDescent="0.3">
      <c r="A11" s="90" t="s">
        <v>197</v>
      </c>
      <c r="B11" s="168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8"/>
    </row>
    <row r="12" spans="1:12" ht="16.5" customHeight="1" x14ac:dyDescent="0.3">
      <c r="A12" s="90" t="s">
        <v>198</v>
      </c>
      <c r="B12" s="168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8"/>
    </row>
    <row r="13" spans="1:12" ht="16.5" customHeight="1" x14ac:dyDescent="0.3">
      <c r="A13" s="90" t="s">
        <v>251</v>
      </c>
      <c r="B13" s="168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8"/>
    </row>
    <row r="14" spans="1:12" ht="16.5" customHeight="1" x14ac:dyDescent="0.3">
      <c r="A14" s="90" t="s">
        <v>252</v>
      </c>
      <c r="B14" s="168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8"/>
    </row>
    <row r="15" spans="1:12" ht="16.5" customHeight="1" x14ac:dyDescent="0.3">
      <c r="A15" s="90" t="s">
        <v>257</v>
      </c>
      <c r="B15" s="168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8"/>
    </row>
    <row r="16" spans="1:12" ht="16.5" customHeight="1" x14ac:dyDescent="0.3">
      <c r="A16" s="90" t="s">
        <v>258</v>
      </c>
      <c r="B16" s="168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8"/>
    </row>
    <row r="17" spans="1:3" ht="16.5" customHeight="1" x14ac:dyDescent="0.3">
      <c r="A17" s="90" t="s">
        <v>272</v>
      </c>
      <c r="B17" s="168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8"/>
    </row>
    <row r="18" spans="1:3" ht="16.5" customHeight="1" x14ac:dyDescent="0.3">
      <c r="A18" s="90" t="s">
        <v>273</v>
      </c>
      <c r="B18" s="168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8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12" sqref="D12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자동작도테스트</v>
      </c>
      <c r="E2" s="3" t="str">
        <f>정보!B6</f>
        <v>손상민</v>
      </c>
      <c r="F2" s="3" t="str">
        <f>정보!B7</f>
        <v>사급 VIB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45321</v>
      </c>
      <c r="K2">
        <f>IF('SO와이드(실측)'!C7&gt;0,1,0)</f>
        <v>1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D11" t="s">
        <v>356</v>
      </c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abSelected="1" zoomScale="85" zoomScaleNormal="85" workbookViewId="0">
      <selection activeCell="AH10" sqref="AH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3" t="str">
        <f>정보!B2</f>
        <v>(와이드) 실측서 ( 자동작도테스트 ) _손상민소장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1" t="s">
        <v>98</v>
      </c>
      <c r="M3" s="181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34"/>
      <c r="AF3" s="34"/>
      <c r="AG3" s="34"/>
      <c r="AH3" s="34"/>
      <c r="AI3" s="34"/>
      <c r="AJ3" s="34"/>
    </row>
    <row r="4" spans="1:45" ht="33" customHeight="1" x14ac:dyDescent="0.3">
      <c r="A4" s="170" t="str">
        <f>정보!B10</f>
        <v>제작치수 반영 : MH + (1.2), JB/JD +(4.4 ),  늘어난치수K -(0),  C + (4.4),   U + (4.4), OP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69"/>
      <c r="W4" s="169"/>
      <c r="X4" s="169"/>
      <c r="Y4" s="169"/>
      <c r="Z4" s="169"/>
      <c r="AA4" s="169"/>
      <c r="AB4" s="169"/>
      <c r="AC4" s="169"/>
      <c r="AD4" s="171"/>
      <c r="AE4" s="180" t="s">
        <v>215</v>
      </c>
      <c r="AF4" s="180"/>
      <c r="AG4" s="75"/>
      <c r="AH4" s="9"/>
      <c r="AI4" s="9"/>
      <c r="AJ4" s="9"/>
    </row>
    <row r="5" spans="1:45" ht="25.9" customHeight="1" x14ac:dyDescent="0.3">
      <c r="A5" s="182" t="s">
        <v>0</v>
      </c>
      <c r="B5" s="174" t="s">
        <v>1</v>
      </c>
      <c r="C5" s="174" t="s">
        <v>2</v>
      </c>
      <c r="D5" s="174" t="s">
        <v>24</v>
      </c>
      <c r="E5" s="174" t="s">
        <v>3</v>
      </c>
      <c r="F5" s="174" t="s">
        <v>18</v>
      </c>
      <c r="G5" s="174" t="s">
        <v>4</v>
      </c>
      <c r="H5" s="174" t="s">
        <v>5</v>
      </c>
      <c r="I5" s="174" t="s">
        <v>6</v>
      </c>
      <c r="J5" s="174" t="s">
        <v>7</v>
      </c>
      <c r="K5" s="174" t="s">
        <v>47</v>
      </c>
      <c r="L5" s="174" t="s">
        <v>9</v>
      </c>
      <c r="M5" s="174" t="s">
        <v>12</v>
      </c>
      <c r="N5" s="174" t="s">
        <v>13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175" t="s">
        <v>48</v>
      </c>
      <c r="W5" s="175" t="s">
        <v>22</v>
      </c>
      <c r="X5" s="175" t="s">
        <v>23</v>
      </c>
      <c r="Y5" s="174" t="s">
        <v>21</v>
      </c>
      <c r="Z5" s="174"/>
      <c r="AA5" s="174"/>
      <c r="AB5" s="174"/>
      <c r="AC5" s="176" t="s">
        <v>91</v>
      </c>
      <c r="AD5" s="176" t="s">
        <v>92</v>
      </c>
      <c r="AE5" s="178" t="s">
        <v>212</v>
      </c>
      <c r="AF5" s="179"/>
      <c r="AG5" s="175" t="s">
        <v>199</v>
      </c>
      <c r="AH5" s="175" t="s">
        <v>203</v>
      </c>
      <c r="AI5" s="175"/>
      <c r="AJ5" s="175"/>
    </row>
    <row r="6" spans="1:45" ht="44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5"/>
      <c r="X6" s="175"/>
      <c r="Y6" s="8" t="s">
        <v>43</v>
      </c>
      <c r="Z6" s="8" t="s">
        <v>44</v>
      </c>
      <c r="AA6" s="8" t="s">
        <v>45</v>
      </c>
      <c r="AB6" s="8" t="s">
        <v>46</v>
      </c>
      <c r="AC6" s="177"/>
      <c r="AD6" s="177"/>
      <c r="AE6" s="74" t="s">
        <v>213</v>
      </c>
      <c r="AF6" s="74" t="s">
        <v>214</v>
      </c>
      <c r="AG6" s="174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335</v>
      </c>
      <c r="B7" s="4">
        <v>1</v>
      </c>
      <c r="C7" s="4">
        <v>243</v>
      </c>
      <c r="D7" s="4">
        <v>243</v>
      </c>
      <c r="E7" s="4">
        <v>900</v>
      </c>
      <c r="F7" s="4">
        <v>985</v>
      </c>
      <c r="G7" s="4">
        <v>247</v>
      </c>
      <c r="H7" s="4">
        <v>235</v>
      </c>
      <c r="I7" s="4">
        <v>267</v>
      </c>
      <c r="J7" s="4">
        <v>267</v>
      </c>
      <c r="K7" s="13">
        <v>38</v>
      </c>
      <c r="L7" s="13">
        <v>38</v>
      </c>
      <c r="M7" s="4"/>
      <c r="N7" s="4"/>
      <c r="O7" s="4" t="s">
        <v>353</v>
      </c>
      <c r="P7" s="4" t="s">
        <v>353</v>
      </c>
      <c r="Q7" s="4">
        <v>2117</v>
      </c>
      <c r="R7" s="4">
        <v>2093</v>
      </c>
      <c r="S7" s="4">
        <v>2120</v>
      </c>
      <c r="T7" s="4">
        <v>2093</v>
      </c>
      <c r="U7" s="4">
        <v>35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15</v>
      </c>
      <c r="AI7" s="4">
        <v>10</v>
      </c>
      <c r="AJ7" s="4">
        <v>90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247</v>
      </c>
      <c r="AQ7" s="3">
        <f>H7-$AK7</f>
        <v>235</v>
      </c>
      <c r="AR7" s="3">
        <f>I7-$AK7</f>
        <v>267</v>
      </c>
      <c r="AS7" s="3">
        <f>J7-$AK7</f>
        <v>267</v>
      </c>
    </row>
    <row r="8" spans="1:45" ht="23.25" customHeight="1" x14ac:dyDescent="0.3">
      <c r="A8" s="127" t="s">
        <v>336</v>
      </c>
      <c r="B8" s="4">
        <v>2</v>
      </c>
      <c r="C8" s="4">
        <v>273</v>
      </c>
      <c r="D8" s="4">
        <v>273</v>
      </c>
      <c r="E8" s="4">
        <v>900</v>
      </c>
      <c r="F8" s="4">
        <v>990</v>
      </c>
      <c r="G8" s="4">
        <v>256</v>
      </c>
      <c r="H8" s="4">
        <v>250</v>
      </c>
      <c r="I8" s="4">
        <v>277</v>
      </c>
      <c r="J8" s="4">
        <v>277</v>
      </c>
      <c r="K8" s="13">
        <v>38</v>
      </c>
      <c r="L8" s="13">
        <v>38</v>
      </c>
      <c r="M8" s="4"/>
      <c r="N8" s="4"/>
      <c r="O8" s="4">
        <v>21</v>
      </c>
      <c r="P8" s="4">
        <v>22</v>
      </c>
      <c r="Q8" s="4">
        <v>2093</v>
      </c>
      <c r="R8" s="4">
        <v>2089</v>
      </c>
      <c r="S8" s="4">
        <v>2089</v>
      </c>
      <c r="T8" s="4">
        <v>2090</v>
      </c>
      <c r="U8" s="4">
        <v>35</v>
      </c>
      <c r="V8" s="4">
        <v>0</v>
      </c>
      <c r="W8" s="4">
        <v>25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15</v>
      </c>
      <c r="AI8" s="4">
        <v>10</v>
      </c>
      <c r="AJ8" s="4">
        <v>90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256</v>
      </c>
      <c r="AQ8" s="3">
        <f>H8-$AK8</f>
        <v>250</v>
      </c>
      <c r="AR8" s="3">
        <f>I8-$AK8</f>
        <v>277</v>
      </c>
      <c r="AS8" s="3">
        <f>J8-$AK8</f>
        <v>277</v>
      </c>
    </row>
    <row r="9" spans="1:45" ht="23.25" customHeight="1" x14ac:dyDescent="0.3">
      <c r="A9" s="127" t="s">
        <v>337</v>
      </c>
      <c r="B9" s="4">
        <v>3</v>
      </c>
      <c r="C9" s="4">
        <v>283</v>
      </c>
      <c r="D9" s="4">
        <v>283</v>
      </c>
      <c r="E9" s="4">
        <v>900</v>
      </c>
      <c r="F9" s="4">
        <v>989</v>
      </c>
      <c r="G9" s="4">
        <v>252</v>
      </c>
      <c r="H9" s="4">
        <v>256</v>
      </c>
      <c r="I9" s="4">
        <v>277</v>
      </c>
      <c r="J9" s="4">
        <v>277</v>
      </c>
      <c r="K9" s="13">
        <v>30</v>
      </c>
      <c r="L9" s="13">
        <v>15</v>
      </c>
      <c r="M9" s="4"/>
      <c r="N9" s="4"/>
      <c r="O9" s="4">
        <v>15</v>
      </c>
      <c r="P9" s="4">
        <v>9</v>
      </c>
      <c r="Q9" s="4">
        <v>2108</v>
      </c>
      <c r="R9" s="4">
        <v>2090</v>
      </c>
      <c r="S9" s="4">
        <v>2104</v>
      </c>
      <c r="T9" s="4">
        <v>2090</v>
      </c>
      <c r="U9" s="4">
        <v>37</v>
      </c>
      <c r="V9" s="4">
        <v>0</v>
      </c>
      <c r="W9" s="4">
        <v>25</v>
      </c>
      <c r="X9" s="4">
        <v>30</v>
      </c>
      <c r="Y9" s="4">
        <v>35</v>
      </c>
      <c r="Z9" s="4">
        <v>38</v>
      </c>
      <c r="AA9" s="4">
        <v>35</v>
      </c>
      <c r="AB9" s="4">
        <v>38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90</v>
      </c>
    </row>
    <row r="10" spans="1:45" ht="23.25" customHeight="1" x14ac:dyDescent="0.3">
      <c r="A10" s="127" t="s">
        <v>338</v>
      </c>
      <c r="B10" s="4">
        <v>4</v>
      </c>
      <c r="C10" s="4">
        <v>278</v>
      </c>
      <c r="D10" s="4">
        <v>278</v>
      </c>
      <c r="E10" s="4">
        <v>900</v>
      </c>
      <c r="F10" s="4">
        <v>992</v>
      </c>
      <c r="G10" s="4">
        <v>266</v>
      </c>
      <c r="H10" s="4">
        <v>266</v>
      </c>
      <c r="I10" s="4">
        <v>286</v>
      </c>
      <c r="J10" s="4">
        <v>286</v>
      </c>
      <c r="K10" s="13">
        <v>20</v>
      </c>
      <c r="L10" s="13">
        <v>15</v>
      </c>
      <c r="M10" s="4"/>
      <c r="N10" s="4"/>
      <c r="O10" s="4">
        <v>17</v>
      </c>
      <c r="P10" s="4">
        <v>16</v>
      </c>
      <c r="Q10" s="4">
        <v>2090</v>
      </c>
      <c r="R10" s="4">
        <v>2089</v>
      </c>
      <c r="S10" s="4">
        <v>2089</v>
      </c>
      <c r="T10" s="4">
        <v>2089</v>
      </c>
      <c r="U10" s="4">
        <v>30</v>
      </c>
      <c r="V10" s="4">
        <v>0</v>
      </c>
      <c r="W10" s="4">
        <v>25</v>
      </c>
      <c r="X10" s="4">
        <v>30</v>
      </c>
      <c r="Y10" s="4">
        <v>35</v>
      </c>
      <c r="Z10" s="4">
        <v>31</v>
      </c>
      <c r="AA10" s="4">
        <v>35</v>
      </c>
      <c r="AB10" s="4">
        <v>31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90</v>
      </c>
    </row>
    <row r="11" spans="1:45" ht="23.25" customHeight="1" x14ac:dyDescent="0.3">
      <c r="A11" s="127" t="s">
        <v>339</v>
      </c>
      <c r="B11" s="4">
        <v>5</v>
      </c>
      <c r="C11" s="4">
        <v>278</v>
      </c>
      <c r="D11" s="4">
        <v>278</v>
      </c>
      <c r="E11" s="4">
        <v>900</v>
      </c>
      <c r="F11" s="4">
        <v>985</v>
      </c>
      <c r="G11" s="4">
        <v>246</v>
      </c>
      <c r="H11" s="4">
        <v>246</v>
      </c>
      <c r="I11" s="4">
        <v>266</v>
      </c>
      <c r="J11" s="4">
        <v>266</v>
      </c>
      <c r="K11" s="13">
        <v>38</v>
      </c>
      <c r="L11" s="13">
        <v>38</v>
      </c>
      <c r="M11" s="4"/>
      <c r="N11" s="4"/>
      <c r="O11" s="4">
        <v>16</v>
      </c>
      <c r="P11" s="4">
        <v>16</v>
      </c>
      <c r="Q11" s="4">
        <v>2095</v>
      </c>
      <c r="R11" s="4">
        <v>2090</v>
      </c>
      <c r="S11" s="4">
        <v>2095</v>
      </c>
      <c r="T11" s="4">
        <v>2090</v>
      </c>
      <c r="U11" s="4">
        <v>40</v>
      </c>
      <c r="V11" s="4">
        <v>0</v>
      </c>
      <c r="W11" s="4">
        <v>25</v>
      </c>
      <c r="X11" s="4">
        <v>30</v>
      </c>
      <c r="Y11" s="4">
        <v>35</v>
      </c>
      <c r="Z11" s="4">
        <v>35</v>
      </c>
      <c r="AA11" s="4">
        <v>35</v>
      </c>
      <c r="AB11" s="4">
        <v>35</v>
      </c>
      <c r="AC11" s="4"/>
      <c r="AD11" s="4"/>
      <c r="AE11" s="4"/>
      <c r="AF11" s="4"/>
      <c r="AG11" s="4">
        <v>100</v>
      </c>
      <c r="AH11" s="4"/>
      <c r="AI11" s="4"/>
      <c r="AJ11" s="4"/>
    </row>
    <row r="12" spans="1:45" ht="23.25" customHeight="1" x14ac:dyDescent="0.3">
      <c r="A12" s="127" t="s">
        <v>340</v>
      </c>
      <c r="B12" s="4">
        <v>6</v>
      </c>
      <c r="C12" s="4">
        <v>268</v>
      </c>
      <c r="D12" s="4">
        <v>268</v>
      </c>
      <c r="E12" s="4">
        <v>900</v>
      </c>
      <c r="F12" s="4">
        <v>988</v>
      </c>
      <c r="G12" s="4">
        <v>251</v>
      </c>
      <c r="H12" s="4">
        <v>251</v>
      </c>
      <c r="I12" s="4">
        <v>271</v>
      </c>
      <c r="J12" s="4">
        <v>271</v>
      </c>
      <c r="K12" s="13">
        <v>38</v>
      </c>
      <c r="L12" s="13">
        <v>38</v>
      </c>
      <c r="M12" s="4"/>
      <c r="N12" s="4"/>
      <c r="O12" s="4">
        <v>10</v>
      </c>
      <c r="P12" s="4">
        <v>11</v>
      </c>
      <c r="Q12" s="4">
        <v>2105</v>
      </c>
      <c r="R12" s="4">
        <v>2093</v>
      </c>
      <c r="S12" s="4">
        <v>2110</v>
      </c>
      <c r="T12" s="4">
        <v>2090</v>
      </c>
      <c r="U12" s="4">
        <v>45</v>
      </c>
      <c r="V12" s="4">
        <v>0</v>
      </c>
      <c r="W12" s="4">
        <v>25</v>
      </c>
      <c r="X12" s="4">
        <v>15</v>
      </c>
      <c r="Y12" s="4">
        <v>35</v>
      </c>
      <c r="Z12" s="4">
        <v>35</v>
      </c>
      <c r="AA12" s="4">
        <v>35</v>
      </c>
      <c r="AB12" s="4">
        <v>35</v>
      </c>
      <c r="AC12" s="4"/>
      <c r="AD12" s="4"/>
      <c r="AE12" s="4"/>
      <c r="AF12" s="4"/>
      <c r="AG12" s="4">
        <v>100</v>
      </c>
      <c r="AH12" s="4"/>
      <c r="AI12" s="4"/>
      <c r="AJ12" s="4"/>
    </row>
    <row r="13" spans="1:45" ht="23.25" customHeight="1" x14ac:dyDescent="0.3">
      <c r="A13" s="127" t="s">
        <v>341</v>
      </c>
      <c r="B13" s="4">
        <v>7</v>
      </c>
      <c r="C13" s="4">
        <v>268</v>
      </c>
      <c r="D13" s="4">
        <v>268</v>
      </c>
      <c r="E13" s="4">
        <v>900</v>
      </c>
      <c r="F13" s="4">
        <v>988</v>
      </c>
      <c r="G13" s="4">
        <v>247</v>
      </c>
      <c r="H13" s="4">
        <v>235</v>
      </c>
      <c r="I13" s="4">
        <v>266</v>
      </c>
      <c r="J13" s="4">
        <v>266</v>
      </c>
      <c r="K13" s="13">
        <v>38</v>
      </c>
      <c r="L13" s="13">
        <v>38</v>
      </c>
      <c r="M13" s="4"/>
      <c r="N13" s="4"/>
      <c r="O13" s="4">
        <v>12</v>
      </c>
      <c r="P13" s="4">
        <v>9</v>
      </c>
      <c r="Q13" s="4">
        <v>2109</v>
      </c>
      <c r="R13" s="4">
        <v>2091</v>
      </c>
      <c r="S13" s="4">
        <v>2111</v>
      </c>
      <c r="T13" s="4">
        <v>2090</v>
      </c>
      <c r="U13" s="4">
        <v>35</v>
      </c>
      <c r="V13" s="4">
        <v>0</v>
      </c>
      <c r="W13" s="4">
        <v>25</v>
      </c>
      <c r="X13" s="4">
        <v>30</v>
      </c>
      <c r="Y13" s="4"/>
      <c r="Z13" s="4"/>
      <c r="AA13" s="4"/>
      <c r="AB13" s="4"/>
      <c r="AC13" s="4"/>
      <c r="AD13" s="4"/>
      <c r="AE13" s="4"/>
      <c r="AF13" s="4"/>
      <c r="AG13" s="4">
        <v>100</v>
      </c>
      <c r="AH13" s="4">
        <v>20</v>
      </c>
      <c r="AI13" s="4">
        <v>10</v>
      </c>
      <c r="AJ13" s="4">
        <v>10</v>
      </c>
    </row>
    <row r="14" spans="1:45" ht="23.25" customHeight="1" x14ac:dyDescent="0.3">
      <c r="A14" s="127" t="s">
        <v>342</v>
      </c>
      <c r="B14" s="4">
        <v>8</v>
      </c>
      <c r="C14" s="4">
        <v>258</v>
      </c>
      <c r="D14" s="4">
        <v>258</v>
      </c>
      <c r="E14" s="4">
        <v>899</v>
      </c>
      <c r="F14" s="4">
        <v>992</v>
      </c>
      <c r="G14" s="4">
        <v>256</v>
      </c>
      <c r="H14" s="4">
        <v>250</v>
      </c>
      <c r="I14" s="4">
        <v>287</v>
      </c>
      <c r="J14" s="4">
        <v>287</v>
      </c>
      <c r="K14" s="13">
        <v>38</v>
      </c>
      <c r="L14" s="13">
        <v>38</v>
      </c>
      <c r="M14" s="4"/>
      <c r="N14" s="4"/>
      <c r="O14" s="4">
        <v>9</v>
      </c>
      <c r="P14" s="4">
        <v>9</v>
      </c>
      <c r="Q14" s="4">
        <v>2098</v>
      </c>
      <c r="R14" s="4">
        <v>2091</v>
      </c>
      <c r="S14" s="4">
        <v>2100</v>
      </c>
      <c r="T14" s="4">
        <v>2090</v>
      </c>
      <c r="U14" s="4">
        <v>33</v>
      </c>
      <c r="V14" s="4">
        <v>0</v>
      </c>
      <c r="W14" s="4">
        <v>25</v>
      </c>
      <c r="X14" s="4">
        <v>30</v>
      </c>
      <c r="Y14" s="4"/>
      <c r="Z14" s="4"/>
      <c r="AA14" s="4"/>
      <c r="AB14" s="4"/>
      <c r="AC14" s="4"/>
      <c r="AD14" s="4"/>
      <c r="AE14" s="4"/>
      <c r="AF14" s="4"/>
      <c r="AG14" s="4">
        <v>100</v>
      </c>
      <c r="AH14" s="4">
        <v>20</v>
      </c>
      <c r="AI14" s="4">
        <v>10</v>
      </c>
      <c r="AJ14" s="4">
        <v>10</v>
      </c>
    </row>
    <row r="15" spans="1:45" ht="23.25" customHeight="1" x14ac:dyDescent="0.3">
      <c r="A15" s="127" t="s">
        <v>348</v>
      </c>
      <c r="B15" s="4">
        <v>9</v>
      </c>
      <c r="C15" s="4">
        <v>278</v>
      </c>
      <c r="D15" s="4">
        <v>278</v>
      </c>
      <c r="E15" s="4">
        <v>900</v>
      </c>
      <c r="F15" s="4">
        <v>985</v>
      </c>
      <c r="G15" s="4">
        <v>252</v>
      </c>
      <c r="H15" s="4">
        <v>256</v>
      </c>
      <c r="I15" s="4">
        <v>266</v>
      </c>
      <c r="J15" s="4">
        <v>266</v>
      </c>
      <c r="K15" s="13">
        <v>38</v>
      </c>
      <c r="L15" s="13">
        <v>38</v>
      </c>
      <c r="M15" s="4"/>
      <c r="N15" s="4"/>
      <c r="O15" s="4">
        <v>16</v>
      </c>
      <c r="P15" s="4">
        <v>16</v>
      </c>
      <c r="Q15" s="4">
        <v>2095</v>
      </c>
      <c r="R15" s="4">
        <v>2090</v>
      </c>
      <c r="S15" s="4">
        <v>2095</v>
      </c>
      <c r="T15" s="4">
        <v>2090</v>
      </c>
      <c r="U15" s="4">
        <v>40</v>
      </c>
      <c r="V15" s="4">
        <v>0</v>
      </c>
      <c r="W15" s="4">
        <v>25</v>
      </c>
      <c r="X15" s="4">
        <v>15</v>
      </c>
      <c r="Y15" s="4">
        <v>35</v>
      </c>
      <c r="Z15" s="4">
        <v>35</v>
      </c>
      <c r="AA15" s="4">
        <v>35</v>
      </c>
      <c r="AB15" s="4">
        <v>35</v>
      </c>
      <c r="AC15" s="4"/>
      <c r="AD15" s="4"/>
      <c r="AE15" s="4"/>
      <c r="AF15" s="4"/>
      <c r="AG15" s="4">
        <v>100</v>
      </c>
      <c r="AH15" s="4">
        <v>20</v>
      </c>
      <c r="AI15" s="4">
        <v>10</v>
      </c>
      <c r="AJ15" s="4">
        <v>15</v>
      </c>
    </row>
    <row r="16" spans="1:45" ht="23.25" customHeight="1" x14ac:dyDescent="0.3">
      <c r="A16" s="127" t="s">
        <v>349</v>
      </c>
      <c r="B16" s="4">
        <v>10</v>
      </c>
      <c r="C16" s="4">
        <v>268</v>
      </c>
      <c r="D16" s="4">
        <v>268</v>
      </c>
      <c r="E16" s="4">
        <v>900</v>
      </c>
      <c r="F16" s="4">
        <v>988</v>
      </c>
      <c r="G16" s="4">
        <v>266</v>
      </c>
      <c r="H16" s="4">
        <v>266</v>
      </c>
      <c r="I16" s="4">
        <v>271</v>
      </c>
      <c r="J16" s="4">
        <v>271</v>
      </c>
      <c r="K16" s="13">
        <v>38</v>
      </c>
      <c r="L16" s="13">
        <v>38</v>
      </c>
      <c r="M16" s="4"/>
      <c r="N16" s="4"/>
      <c r="O16" s="4">
        <v>10</v>
      </c>
      <c r="P16" s="4">
        <v>11</v>
      </c>
      <c r="Q16" s="4">
        <v>2105</v>
      </c>
      <c r="R16" s="4">
        <v>2093</v>
      </c>
      <c r="S16" s="4">
        <v>2110</v>
      </c>
      <c r="T16" s="4">
        <v>2090</v>
      </c>
      <c r="U16" s="4">
        <v>45</v>
      </c>
      <c r="V16" s="4">
        <v>0</v>
      </c>
      <c r="W16" s="4">
        <v>25</v>
      </c>
      <c r="X16" s="4">
        <v>30</v>
      </c>
      <c r="Y16" s="4">
        <v>35</v>
      </c>
      <c r="Z16" s="4">
        <v>35</v>
      </c>
      <c r="AA16" s="4">
        <v>35</v>
      </c>
      <c r="AB16" s="4">
        <v>35</v>
      </c>
      <c r="AC16" s="4"/>
      <c r="AD16" s="4"/>
      <c r="AE16" s="4"/>
      <c r="AF16" s="4"/>
      <c r="AG16" s="4">
        <v>100</v>
      </c>
      <c r="AH16" s="4">
        <v>20</v>
      </c>
      <c r="AI16" s="4">
        <v>10</v>
      </c>
      <c r="AJ16" s="4">
        <v>15</v>
      </c>
    </row>
    <row r="17" spans="1:36" ht="23.25" customHeight="1" x14ac:dyDescent="0.3">
      <c r="A17" s="127" t="s">
        <v>350</v>
      </c>
      <c r="B17" s="4">
        <v>11</v>
      </c>
      <c r="C17" s="4">
        <v>268</v>
      </c>
      <c r="D17" s="4">
        <v>268</v>
      </c>
      <c r="E17" s="4">
        <v>900</v>
      </c>
      <c r="F17" s="4">
        <v>988</v>
      </c>
      <c r="G17" s="4">
        <v>246</v>
      </c>
      <c r="H17" s="4">
        <v>246</v>
      </c>
      <c r="I17" s="4">
        <v>266</v>
      </c>
      <c r="J17" s="4">
        <v>266</v>
      </c>
      <c r="K17" s="13">
        <v>38</v>
      </c>
      <c r="L17" s="13">
        <v>38</v>
      </c>
      <c r="M17" s="4"/>
      <c r="N17" s="4"/>
      <c r="O17" s="4">
        <v>12</v>
      </c>
      <c r="P17" s="4">
        <v>9</v>
      </c>
      <c r="Q17" s="4">
        <v>2109</v>
      </c>
      <c r="R17" s="4">
        <v>2091</v>
      </c>
      <c r="S17" s="4">
        <v>2111</v>
      </c>
      <c r="T17" s="4">
        <v>2090</v>
      </c>
      <c r="U17" s="4">
        <v>35</v>
      </c>
      <c r="V17" s="4">
        <v>0</v>
      </c>
      <c r="W17" s="4">
        <v>25</v>
      </c>
      <c r="X17" s="4">
        <v>30</v>
      </c>
      <c r="Y17" s="4">
        <v>35</v>
      </c>
      <c r="Z17" s="4">
        <v>32</v>
      </c>
      <c r="AA17" s="4">
        <v>30</v>
      </c>
      <c r="AB17" s="4">
        <v>25</v>
      </c>
      <c r="AC17" s="4"/>
      <c r="AD17" s="4"/>
      <c r="AE17" s="4"/>
      <c r="AF17" s="4"/>
      <c r="AG17" s="4">
        <v>100</v>
      </c>
      <c r="AH17" s="4">
        <v>20</v>
      </c>
      <c r="AI17" s="4">
        <v>10</v>
      </c>
      <c r="AJ17" s="4">
        <v>10</v>
      </c>
    </row>
    <row r="18" spans="1:36" ht="23.25" customHeight="1" x14ac:dyDescent="0.3">
      <c r="A18" s="127" t="s">
        <v>351</v>
      </c>
      <c r="B18" s="4">
        <v>12</v>
      </c>
      <c r="C18" s="4">
        <v>258</v>
      </c>
      <c r="D18" s="4">
        <v>258</v>
      </c>
      <c r="E18" s="4">
        <v>899</v>
      </c>
      <c r="F18" s="4">
        <v>992</v>
      </c>
      <c r="G18" s="4">
        <v>251</v>
      </c>
      <c r="H18" s="4">
        <v>251</v>
      </c>
      <c r="I18" s="4">
        <v>287</v>
      </c>
      <c r="J18" s="4">
        <v>287</v>
      </c>
      <c r="K18" s="13">
        <v>38</v>
      </c>
      <c r="L18" s="13">
        <v>38</v>
      </c>
      <c r="M18" s="4"/>
      <c r="N18" s="4"/>
      <c r="O18" s="4">
        <v>9</v>
      </c>
      <c r="P18" s="4">
        <v>9</v>
      </c>
      <c r="Q18" s="4">
        <v>2098</v>
      </c>
      <c r="R18" s="4">
        <v>2091</v>
      </c>
      <c r="S18" s="4">
        <v>2100</v>
      </c>
      <c r="T18" s="4">
        <v>2090</v>
      </c>
      <c r="U18" s="4">
        <v>33</v>
      </c>
      <c r="V18" s="4">
        <v>0</v>
      </c>
      <c r="W18" s="4">
        <v>25</v>
      </c>
      <c r="X18" s="4">
        <v>30</v>
      </c>
      <c r="Y18" s="4">
        <v>30</v>
      </c>
      <c r="Z18" s="4">
        <v>35</v>
      </c>
      <c r="AA18" s="4">
        <v>35</v>
      </c>
      <c r="AB18" s="4">
        <v>20</v>
      </c>
      <c r="AC18" s="4"/>
      <c r="AD18" s="4"/>
      <c r="AE18" s="4"/>
      <c r="AF18" s="4"/>
      <c r="AG18" s="4">
        <v>100</v>
      </c>
      <c r="AH18" s="4">
        <v>20</v>
      </c>
      <c r="AI18" s="4">
        <v>10</v>
      </c>
      <c r="AJ18" s="4">
        <v>10</v>
      </c>
    </row>
    <row r="19" spans="1:36" ht="23.25" customHeight="1" x14ac:dyDescent="0.3">
      <c r="A19" s="127" t="s">
        <v>350</v>
      </c>
      <c r="B19" s="4">
        <v>11</v>
      </c>
      <c r="C19" s="4">
        <v>268</v>
      </c>
      <c r="D19" s="4">
        <v>268</v>
      </c>
      <c r="E19" s="4">
        <v>900</v>
      </c>
      <c r="F19" s="4">
        <v>988</v>
      </c>
      <c r="G19" s="4">
        <v>246</v>
      </c>
      <c r="H19" s="4">
        <v>246</v>
      </c>
      <c r="I19" s="4">
        <v>266</v>
      </c>
      <c r="J19" s="4">
        <v>266</v>
      </c>
      <c r="K19" s="13">
        <v>38</v>
      </c>
      <c r="L19" s="13">
        <v>38</v>
      </c>
      <c r="M19" s="4"/>
      <c r="N19" s="4"/>
      <c r="O19" s="4">
        <v>12</v>
      </c>
      <c r="P19" s="4">
        <v>9</v>
      </c>
      <c r="Q19" s="4">
        <v>2109</v>
      </c>
      <c r="R19" s="4">
        <v>2091</v>
      </c>
      <c r="S19" s="4">
        <v>2111</v>
      </c>
      <c r="T19" s="4">
        <v>2090</v>
      </c>
      <c r="U19" s="4">
        <v>35</v>
      </c>
      <c r="V19" s="4">
        <v>0</v>
      </c>
      <c r="W19" s="4">
        <v>25</v>
      </c>
      <c r="X19" s="4">
        <v>30</v>
      </c>
      <c r="Y19" s="4">
        <v>35</v>
      </c>
      <c r="Z19" s="4">
        <v>32</v>
      </c>
      <c r="AA19" s="4">
        <v>30</v>
      </c>
      <c r="AB19" s="4">
        <v>25</v>
      </c>
      <c r="AC19" s="4"/>
      <c r="AD19" s="4"/>
      <c r="AE19" s="4">
        <v>80</v>
      </c>
      <c r="AF19" s="4">
        <v>83</v>
      </c>
      <c r="AG19" s="4">
        <v>100</v>
      </c>
      <c r="AH19" s="4">
        <v>20</v>
      </c>
      <c r="AI19" s="4">
        <v>10</v>
      </c>
      <c r="AJ19" s="4">
        <v>10</v>
      </c>
    </row>
    <row r="20" spans="1:36" ht="23.25" customHeight="1" x14ac:dyDescent="0.3">
      <c r="A20" s="127" t="s">
        <v>351</v>
      </c>
      <c r="B20" s="4">
        <v>12</v>
      </c>
      <c r="C20" s="4">
        <v>258</v>
      </c>
      <c r="D20" s="4">
        <v>258</v>
      </c>
      <c r="E20" s="4">
        <v>899</v>
      </c>
      <c r="F20" s="4">
        <v>992</v>
      </c>
      <c r="G20" s="4">
        <v>251</v>
      </c>
      <c r="H20" s="4">
        <v>251</v>
      </c>
      <c r="I20" s="4">
        <v>287</v>
      </c>
      <c r="J20" s="4">
        <v>287</v>
      </c>
      <c r="K20" s="13">
        <v>38</v>
      </c>
      <c r="L20" s="13">
        <v>38</v>
      </c>
      <c r="M20" s="4"/>
      <c r="N20" s="4"/>
      <c r="O20" s="4">
        <v>9</v>
      </c>
      <c r="P20" s="4">
        <v>9</v>
      </c>
      <c r="Q20" s="4">
        <v>2098</v>
      </c>
      <c r="R20" s="4">
        <v>2091</v>
      </c>
      <c r="S20" s="4">
        <v>2100</v>
      </c>
      <c r="T20" s="4">
        <v>2090</v>
      </c>
      <c r="U20" s="4">
        <v>33</v>
      </c>
      <c r="V20" s="4">
        <v>0</v>
      </c>
      <c r="W20" s="4">
        <v>25</v>
      </c>
      <c r="X20" s="4">
        <v>30</v>
      </c>
      <c r="Y20" s="4">
        <v>30</v>
      </c>
      <c r="Z20" s="4">
        <v>35</v>
      </c>
      <c r="AA20" s="4">
        <v>35</v>
      </c>
      <c r="AB20" s="4">
        <v>20</v>
      </c>
      <c r="AC20" s="4"/>
      <c r="AD20" s="4"/>
      <c r="AE20" s="4">
        <v>81</v>
      </c>
      <c r="AF20" s="4">
        <v>82</v>
      </c>
      <c r="AG20" s="4">
        <v>100</v>
      </c>
      <c r="AH20" s="4">
        <v>20</v>
      </c>
      <c r="AI20" s="4">
        <v>10</v>
      </c>
      <c r="AJ20" s="4">
        <v>10</v>
      </c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20"/>
  <sheetViews>
    <sheetView topLeftCell="B1"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3" t="str">
        <f>정보!C2</f>
        <v>(와이드) 제작변환 자료( 자동작도테스트 ) _손상민소장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24" t="s">
        <v>113</v>
      </c>
      <c r="J2" s="225"/>
      <c r="K2" s="225"/>
      <c r="L2" s="225"/>
      <c r="M2" s="226">
        <v>1</v>
      </c>
      <c r="N2" s="226"/>
      <c r="O2" s="196" t="s">
        <v>89</v>
      </c>
      <c r="P2" s="197"/>
      <c r="Q2" s="198">
        <v>4.4000000000000004</v>
      </c>
      <c r="R2" s="198"/>
      <c r="S2" s="174" t="s">
        <v>83</v>
      </c>
      <c r="T2" s="200"/>
      <c r="U2" s="200"/>
      <c r="V2" s="201">
        <v>0</v>
      </c>
      <c r="W2" s="201"/>
      <c r="X2" s="219" t="s">
        <v>205</v>
      </c>
      <c r="Y2" s="220"/>
      <c r="Z2" s="223">
        <f>정보!B5</f>
        <v>0</v>
      </c>
      <c r="AA2" s="223"/>
      <c r="AB2" s="223"/>
      <c r="AC2" s="223"/>
      <c r="AD2" s="223"/>
      <c r="AE2" s="223"/>
      <c r="AF2" s="223"/>
      <c r="AG2" s="223"/>
      <c r="AH2" s="221" t="s">
        <v>90</v>
      </c>
      <c r="AI2" s="222"/>
      <c r="AJ2" s="233">
        <v>0</v>
      </c>
      <c r="AK2" s="233"/>
      <c r="AL2" s="1"/>
      <c r="AM2" s="188" t="s">
        <v>229</v>
      </c>
      <c r="AN2" s="230"/>
      <c r="AO2" s="231">
        <v>1.2</v>
      </c>
      <c r="AP2" s="231"/>
      <c r="AQ2" s="1"/>
      <c r="AR2" s="1"/>
    </row>
    <row r="3" spans="1:61" ht="24.75" customHeight="1" x14ac:dyDescent="0.3">
      <c r="A3" s="28" t="str">
        <f>'와이드(실측)'!A3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27">
        <v>4.4000000000000004</v>
      </c>
      <c r="N3" s="227"/>
      <c r="O3" s="197" t="s">
        <v>77</v>
      </c>
      <c r="P3" s="197"/>
      <c r="Q3" s="204">
        <v>4.4000000000000004</v>
      </c>
      <c r="R3" s="204"/>
      <c r="S3" s="205" t="s">
        <v>227</v>
      </c>
      <c r="T3" s="205"/>
      <c r="U3" s="205"/>
      <c r="V3" s="206">
        <f>BI7</f>
        <v>1</v>
      </c>
      <c r="W3" s="206"/>
      <c r="X3" s="199" t="s">
        <v>78</v>
      </c>
      <c r="Y3" s="199"/>
      <c r="Z3" s="207">
        <v>1.2</v>
      </c>
      <c r="AA3" s="207"/>
      <c r="AC3" s="208" t="s">
        <v>310</v>
      </c>
      <c r="AD3" s="208"/>
      <c r="AE3" s="208">
        <f>'와이드(실측)'!Y7</f>
        <v>0</v>
      </c>
      <c r="AF3" s="208"/>
      <c r="AG3" s="3"/>
      <c r="AH3" s="218" t="s">
        <v>73</v>
      </c>
      <c r="AI3" s="218"/>
      <c r="AJ3" s="26">
        <v>4</v>
      </c>
      <c r="AK3" s="15" t="s">
        <v>74</v>
      </c>
      <c r="AL3" s="14">
        <v>4</v>
      </c>
      <c r="AM3" s="232" t="s">
        <v>230</v>
      </c>
      <c r="AN3" s="232"/>
      <c r="AO3" s="234" t="s">
        <v>324</v>
      </c>
      <c r="AP3" s="235"/>
      <c r="AQ3" s="238">
        <f>AU7</f>
        <v>10.066677479880896</v>
      </c>
      <c r="AR3" s="239"/>
      <c r="BI3" s="184" t="s">
        <v>253</v>
      </c>
    </row>
    <row r="4" spans="1:61" ht="33" customHeight="1" x14ac:dyDescent="0.3">
      <c r="A4" s="209" t="str">
        <f>정보!B10</f>
        <v>제작치수 반영 : MH + (1.2), JB/JD +(4.4 ),  늘어난치수K -(0),  C + (4.4),   U + (4.4), OP - (0), R - (0),  기둥차감 - (0), A + (1.2)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29">
        <f ca="1">TODAY()</f>
        <v>45321</v>
      </c>
      <c r="AH4" s="169"/>
      <c r="AI4" s="169"/>
      <c r="AJ4" s="9"/>
      <c r="AK4" s="228" t="s">
        <v>117</v>
      </c>
      <c r="AL4" s="228"/>
      <c r="AM4" s="180" t="s">
        <v>215</v>
      </c>
      <c r="AN4" s="180"/>
      <c r="AO4" s="84"/>
      <c r="AP4" s="236" t="s">
        <v>235</v>
      </c>
      <c r="AQ4" s="236"/>
      <c r="AR4" s="237"/>
      <c r="BI4" s="185"/>
    </row>
    <row r="5" spans="1:61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3</v>
      </c>
      <c r="F5" s="174" t="s">
        <v>18</v>
      </c>
      <c r="G5" s="174" t="s">
        <v>41</v>
      </c>
      <c r="H5" s="174" t="s">
        <v>42</v>
      </c>
      <c r="I5" s="210" t="s">
        <v>105</v>
      </c>
      <c r="J5" s="210" t="s">
        <v>106</v>
      </c>
      <c r="K5" s="214" t="s">
        <v>107</v>
      </c>
      <c r="L5" s="214" t="s">
        <v>108</v>
      </c>
      <c r="M5" s="216" t="s">
        <v>71</v>
      </c>
      <c r="N5" s="216" t="s">
        <v>72</v>
      </c>
      <c r="O5" s="174" t="s">
        <v>8</v>
      </c>
      <c r="P5" s="174" t="s">
        <v>9</v>
      </c>
      <c r="Q5" s="174" t="s">
        <v>12</v>
      </c>
      <c r="R5" s="174" t="s">
        <v>13</v>
      </c>
      <c r="S5" s="174" t="s">
        <v>10</v>
      </c>
      <c r="T5" s="174" t="s">
        <v>11</v>
      </c>
      <c r="U5" s="212" t="s">
        <v>14</v>
      </c>
      <c r="V5" s="212" t="s">
        <v>15</v>
      </c>
      <c r="W5" s="213" t="s">
        <v>16</v>
      </c>
      <c r="X5" s="213" t="s">
        <v>17</v>
      </c>
      <c r="Y5" s="174" t="s">
        <v>19</v>
      </c>
      <c r="Z5" s="174" t="s">
        <v>20</v>
      </c>
      <c r="AA5" s="175" t="s">
        <v>22</v>
      </c>
      <c r="AB5" s="175" t="s">
        <v>23</v>
      </c>
      <c r="AC5" s="202" t="s">
        <v>79</v>
      </c>
      <c r="AD5" s="203"/>
      <c r="AE5" s="203"/>
      <c r="AF5" s="203"/>
      <c r="AG5" s="194" t="s">
        <v>91</v>
      </c>
      <c r="AH5" s="194" t="s">
        <v>92</v>
      </c>
      <c r="AI5" s="186" t="s">
        <v>99</v>
      </c>
      <c r="AJ5" s="175" t="s">
        <v>61</v>
      </c>
      <c r="AK5" s="175" t="s">
        <v>34</v>
      </c>
      <c r="AL5" s="175" t="s">
        <v>35</v>
      </c>
      <c r="AM5" s="178" t="s">
        <v>212</v>
      </c>
      <c r="AN5" s="179"/>
      <c r="AO5" s="242" t="s">
        <v>199</v>
      </c>
      <c r="AP5" s="242" t="s">
        <v>204</v>
      </c>
      <c r="AQ5" s="242"/>
      <c r="AR5" s="242"/>
      <c r="AS5" s="184" t="s">
        <v>100</v>
      </c>
      <c r="AT5" s="184" t="s">
        <v>101</v>
      </c>
      <c r="AU5" s="185" t="s">
        <v>80</v>
      </c>
      <c r="AV5" s="189" t="s">
        <v>84</v>
      </c>
      <c r="AW5" s="192" t="s">
        <v>102</v>
      </c>
      <c r="AX5" s="191" t="s">
        <v>94</v>
      </c>
      <c r="AY5" s="191" t="s">
        <v>95</v>
      </c>
      <c r="AZ5" s="184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241" t="s">
        <v>104</v>
      </c>
      <c r="BI5" s="240" t="s">
        <v>226</v>
      </c>
    </row>
    <row r="6" spans="1:61" ht="48" customHeight="1" x14ac:dyDescent="0.3">
      <c r="A6" s="174"/>
      <c r="B6" s="174"/>
      <c r="C6" s="174"/>
      <c r="D6" s="174"/>
      <c r="E6" s="174"/>
      <c r="F6" s="174"/>
      <c r="G6" s="174"/>
      <c r="H6" s="174"/>
      <c r="I6" s="211"/>
      <c r="J6" s="211"/>
      <c r="K6" s="215"/>
      <c r="L6" s="215"/>
      <c r="M6" s="217"/>
      <c r="N6" s="217"/>
      <c r="O6" s="174"/>
      <c r="P6" s="174"/>
      <c r="Q6" s="174"/>
      <c r="R6" s="174"/>
      <c r="S6" s="174"/>
      <c r="T6" s="174"/>
      <c r="U6" s="212"/>
      <c r="V6" s="212"/>
      <c r="W6" s="213"/>
      <c r="X6" s="213"/>
      <c r="Y6" s="174"/>
      <c r="Z6" s="174"/>
      <c r="AA6" s="175"/>
      <c r="AB6" s="175"/>
      <c r="AC6" s="8" t="s">
        <v>67</v>
      </c>
      <c r="AD6" s="8" t="s">
        <v>68</v>
      </c>
      <c r="AE6" s="8" t="s">
        <v>69</v>
      </c>
      <c r="AF6" s="8" t="s">
        <v>70</v>
      </c>
      <c r="AG6" s="195"/>
      <c r="AH6" s="195"/>
      <c r="AI6" s="187"/>
      <c r="AJ6" s="175"/>
      <c r="AK6" s="174"/>
      <c r="AL6" s="174"/>
      <c r="AM6" s="74" t="s">
        <v>213</v>
      </c>
      <c r="AN6" s="74" t="s">
        <v>214</v>
      </c>
      <c r="AO6" s="243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190"/>
      <c r="AW6" s="193"/>
      <c r="AX6" s="191"/>
      <c r="AY6" s="191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1"/>
      <c r="BI6" s="240"/>
    </row>
    <row r="7" spans="1:61" ht="25.5" customHeight="1" x14ac:dyDescent="0.3">
      <c r="A7" s="31" t="str">
        <f>'와이드(실측)'!A7</f>
        <v>601-2</v>
      </c>
      <c r="B7" s="31" t="str">
        <f>'와이드(실측)'!B7&amp;"F"</f>
        <v>1F</v>
      </c>
      <c r="C7" s="31">
        <f>'와이드(실측)'!C7+와이드MH더함-IF(AND(소장="추영덕",Y7=0),1.2)</f>
        <v>244.2</v>
      </c>
      <c r="D7" s="31">
        <f>'와이드(실측)'!D7+와이드MH더함-IF(AND(소장="추영덕",Y7=0),1.2)</f>
        <v>244.2</v>
      </c>
      <c r="E7" s="135">
        <f>'와이드(실측)'!E7-와이드OP</f>
        <v>900</v>
      </c>
      <c r="F7" s="31">
        <f>'와이드(실측)'!F7-와이드R</f>
        <v>985</v>
      </c>
      <c r="G7" s="50">
        <f>'와이드(실측)'!G7+와이드JBJD키움치수+IF(BI7=1,AC7,0)</f>
        <v>251.4</v>
      </c>
      <c r="H7" s="50">
        <f>'와이드(실측)'!H7+와이드JBJD키움치수+IF(BI7=1,AE7,0)</f>
        <v>239.4</v>
      </c>
      <c r="I7" s="50">
        <f>'와이드(실측)'!I7+MAX(AS7,AT7)+와이드JBJD키움치수+IF(BI7=1,AC7,0)</f>
        <v>271.39999999999998</v>
      </c>
      <c r="J7" s="50">
        <f>'와이드(실측)'!I7+MAX(AS7,AT7)+와이드JBJD키움치수+IF(BI7=1,AD7,0)-IF(와이드JB하부늘치=1,'와이드(실측)'!Y7-'와이드(실측)'!Z7,0)</f>
        <v>271.39999999999998</v>
      </c>
      <c r="K7" s="50">
        <f>'와이드(실측)'!J7+MAX(AS7,AT7)+와이드JBJD키움치수+IF(BI7=1,AE7,0)</f>
        <v>271.39999999999998</v>
      </c>
      <c r="L7" s="50">
        <f>'와이드(실측)'!J7+MAX(AS7,AT7)+와이드JBJD키움치수+IF(BI7=1,AF7,0)-IF(와이드JB하부늘치=1,'와이드(실측)'!AA7-'와이드(실측)'!AB7,0)</f>
        <v>271.39999999999998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39.200000000000003</v>
      </c>
      <c r="P7" s="31">
        <f>IF(T7&lt;9,'와이드(실측)'!L7+1.2,IF(ISNUMBER('와이드(실측)'!L7),'와이드(실측)'!L7+와이드C값,0))</f>
        <v>39.200000000000003</v>
      </c>
      <c r="Q7" s="32">
        <f>ROUNDUP(AV7,1)</f>
        <v>15.9</v>
      </c>
      <c r="R7" s="38">
        <f>ROUNDUP(AW7,1)</f>
        <v>27.900000000000002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2117</v>
      </c>
      <c r="V7" s="31">
        <f>'와이드(실측)'!R7-와이드기둥차감</f>
        <v>2093</v>
      </c>
      <c r="W7" s="31">
        <f>'와이드(실측)'!S7-와이드기둥차감</f>
        <v>2120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36.200000000000003</v>
      </c>
      <c r="Z7" s="31">
        <f>IF(소장="손상민",MAX(Q7,R7)+3.2,IF(ISNUMBER('와이드(실측)'!V7),'와이드(실측)'!V7+1.5+와이드제작!Q7+1,0))</f>
        <v>31.1</v>
      </c>
      <c r="AA7" s="31">
        <f>'와이드(실측)'!W7+뒷날개치수더함</f>
        <v>26.2</v>
      </c>
      <c r="AB7" s="31">
        <f>'와이드(실측)'!X7+뒷날개치수더함</f>
        <v>31.2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244.2</v>
      </c>
      <c r="AH7" s="31">
        <f xml:space="preserve"> IF(소장&lt;&gt;"손상민",IF('와이드(실측)'!AD7&gt;0,'와이드(실측)'!AD7,D7-1.2),IF('와이드(실측)'!AD7&gt;0,'와이드(실측)'!AD7+1.2,D7))</f>
        <v>244.2</v>
      </c>
      <c r="AI7" s="51">
        <f>IF(Z7&gt;0,Z7-MAX(Q7,R7),0)</f>
        <v>3.1999999999999993</v>
      </c>
      <c r="AJ7" s="31" t="str">
        <f t="shared" ref="AJ7" si="1">BA7&amp;"*"&amp;BB7</f>
        <v>985*519.4</v>
      </c>
      <c r="AK7" s="31" t="str">
        <f t="shared" ref="AK7" si="2">BD7&amp;"*"&amp;BC7</f>
        <v>2361.2*335.8</v>
      </c>
      <c r="AL7" s="31" t="str">
        <f t="shared" ref="AL7" si="3">BF7&amp;"*"&amp;BE7</f>
        <v>2364.2*335.8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16.2</v>
      </c>
      <c r="AQ7" s="31">
        <f>'와이드(실측)'!AI7</f>
        <v>10</v>
      </c>
      <c r="AR7" s="31">
        <f>'와이드(실측)'!AJ7</f>
        <v>90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10.066677479880896</v>
      </c>
      <c r="AV7" s="21">
        <f>ABS(G7-COS(RADIANS(AU7))*I7)</f>
        <v>15.821798247559599</v>
      </c>
      <c r="AW7" s="21">
        <f>ABS(H7-COS(RADIANS(AU7))*K7)</f>
        <v>27.821798247559599</v>
      </c>
      <c r="AX7" s="21">
        <f>'와이드(실측)'!M7+AS7</f>
        <v>0</v>
      </c>
      <c r="AY7" s="21">
        <f>'와이드(실측)'!N7+AS7</f>
        <v>0</v>
      </c>
      <c r="AZ7" s="20">
        <f>AV7-MAX(AX7,AY7)</f>
        <v>15.821798247559599</v>
      </c>
      <c r="BA7" s="41">
        <f t="shared" ref="BA7:BA14" si="4">IF(소장&lt;&gt;"손상민",F7+IF(Y7+Z7&gt;0,N7+M7,0),F7)</f>
        <v>985</v>
      </c>
      <c r="BB7" s="42">
        <f>MAX(C7,D7)+MAX(G7,H7)+AA7-1.2*$AJ$3+IF(BI7=0,MAX(AE7,AC7),0)+IF(Y7=0,1.2,0)+IF(Z7=0,1.2,0)+IF(소장&lt;&gt;"손상민", Y7+Z7,IF('와이드(실측)'!U7=0,0,2.4))</f>
        <v>519.40000000000009</v>
      </c>
      <c r="BC7" s="41">
        <f>S7+O7+MAX(I7,J7)+AB7-1.2*$AL$3+IF(BI7=0,MAX(AD7,AC7),0)+IF(S7=0,1.2,0)-IF(AR7=90,2.4,0)</f>
        <v>335.79999999999995</v>
      </c>
      <c r="BD7" s="41">
        <f>MAX(U7,V7)+AG7</f>
        <v>2361.1999999999998</v>
      </c>
      <c r="BE7" s="41">
        <f>T7+P7+MAX(K7,L7)+AB7-1.2*$AL$3+IF(BI7=0,MAX(AE7,AF7),0)+IF(T7=0,1.2,0)-IF(AR7=90,2.4,0)</f>
        <v>335.79999999999995</v>
      </c>
      <c r="BF7" s="41">
        <f>MAX(W7,X7)+AH7</f>
        <v>2364.1999999999998</v>
      </c>
      <c r="BG7" s="6">
        <f t="shared" ref="BG7" si="5">I7-G7-Q7</f>
        <v>4.0999999999999712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5.5" customHeight="1" x14ac:dyDescent="0.3">
      <c r="A8" s="31" t="str">
        <f>'와이드(실측)'!A8</f>
        <v>602-2</v>
      </c>
      <c r="B8" s="31" t="str">
        <f>'와이드(실측)'!B8&amp;"F"</f>
        <v>2F</v>
      </c>
      <c r="C8" s="31">
        <f>'와이드(실측)'!C8+와이드MH더함-IF(AND(소장="추영덕",Y8=0),1.2)</f>
        <v>274.2</v>
      </c>
      <c r="D8" s="31">
        <f>'와이드(실측)'!D8+와이드MH더함-IF(AND(소장="추영덕",Y8=0),1.2)</f>
        <v>274.2</v>
      </c>
      <c r="E8" s="135">
        <f>'와이드(실측)'!E8-와이드OP</f>
        <v>900</v>
      </c>
      <c r="F8" s="31">
        <f>'와이드(실측)'!F8-와이드R</f>
        <v>990</v>
      </c>
      <c r="G8" s="50">
        <f>'와이드(실측)'!G8+와이드JBJD키움치수+IF(BI8=1,AC8,0)</f>
        <v>260.39999999999998</v>
      </c>
      <c r="H8" s="50">
        <f>'와이드(실측)'!H8+와이드JBJD키움치수+IF(BI8=1,AE8,0)</f>
        <v>254.4</v>
      </c>
      <c r="I8" s="50">
        <f>'와이드(실측)'!I8+MAX(AS8,AT8)+와이드JBJD키움치수+IF(BI8=1,AC8,0)</f>
        <v>281.39999999999998</v>
      </c>
      <c r="J8" s="50">
        <f>'와이드(실측)'!I8+MAX(AS8,AT8)+와이드JBJD키움치수+IF(BI8=1,AD8,0)-IF(와이드JB하부늘치=1,'와이드(실측)'!Y8-'와이드(실측)'!Z8,0)</f>
        <v>281.39999999999998</v>
      </c>
      <c r="K8" s="50">
        <f>'와이드(실측)'!J8+MAX(AS8,AT8)+와이드JBJD키움치수+IF(BI8=1,AE8,0)</f>
        <v>281.39999999999998</v>
      </c>
      <c r="L8" s="50">
        <f>'와이드(실측)'!J8+MAX(AS8,AT8)+와이드JBJD키움치수+IF(BI8=1,AF8,0)-IF(와이드JB하부늘치=1,'와이드(실측)'!AA8-'와이드(실측)'!AB8,0)</f>
        <v>281.39999999999998</v>
      </c>
      <c r="M8" s="31">
        <f t="shared" ref="M8:M14" si="6">IF(소장="손상민",0,O8-1.5)</f>
        <v>0</v>
      </c>
      <c r="N8" s="31">
        <f t="shared" ref="N8:N14" si="7">IF(소장="손상민",0,P8-1.5)</f>
        <v>0</v>
      </c>
      <c r="O8" s="31">
        <f>IF(S8&lt;9,'와이드(실측)'!K8+1.2,IF(ISNUMBER('와이드(실측)'!K8),'와이드(실측)'!K8+와이드C값,0))</f>
        <v>42.4</v>
      </c>
      <c r="P8" s="31">
        <f>IF(T8&lt;9,'와이드(실측)'!L8+1.2,IF(ISNUMBER('와이드(실측)'!L8),'와이드(실측)'!L8+와이드C값,0))</f>
        <v>42.4</v>
      </c>
      <c r="Q8" s="32">
        <f t="shared" ref="Q8:Q14" si="8">ROUNDUP(AV8,1)</f>
        <v>16.700000000000003</v>
      </c>
      <c r="R8" s="38">
        <f t="shared" ref="R8:R14" si="9">ROUNDUP(AW8,1)</f>
        <v>22.700000000000003</v>
      </c>
      <c r="S8" s="31">
        <f>IF(ISNUMBER('와이드(실측)'!O8),'와이드(실측)'!O8+와이드제작!AS8+와이드A늘림,0)</f>
        <v>22.2</v>
      </c>
      <c r="T8" s="31">
        <f>IF(ISNUMBER('와이드(실측)'!P8),'와이드(실측)'!P8+와이드제작!AT8+와이드A늘림,0)</f>
        <v>23.2</v>
      </c>
      <c r="U8" s="31">
        <f>'와이드(실측)'!Q8-와이드기둥차감</f>
        <v>2093</v>
      </c>
      <c r="V8" s="31">
        <f>'와이드(실측)'!R8-와이드기둥차감</f>
        <v>2089</v>
      </c>
      <c r="W8" s="31">
        <f>'와이드(실측)'!S8-와이드기둥차감</f>
        <v>2089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36.200000000000003</v>
      </c>
      <c r="Z8" s="31">
        <f>IF(소장="손상민",MAX(Q8,R8)+3.2,IF(ISNUMBER('와이드(실측)'!V8),'와이드(실측)'!V8+1.5+와이드제작!Q8+1,0))</f>
        <v>25.900000000000002</v>
      </c>
      <c r="AA8" s="31">
        <f>'와이드(실측)'!W8+뒷날개치수더함</f>
        <v>26.2</v>
      </c>
      <c r="AB8" s="31">
        <f>'와이드(실측)'!X8+뒷날개치수더함</f>
        <v>31.2</v>
      </c>
      <c r="AC8" s="31">
        <f>'와이드(실측)'!Y8-와이드늘치</f>
        <v>0</v>
      </c>
      <c r="AD8" s="31">
        <f>IF(와이드JB하부늘치=1,AC8,'와이드(실측)'!Z8-와이드늘치)</f>
        <v>0</v>
      </c>
      <c r="AE8" s="31">
        <f>'와이드(실측)'!AA8-와이드늘치</f>
        <v>0</v>
      </c>
      <c r="AF8" s="31">
        <f>IF(와이드JB하부늘치=1,AE8,'와이드(실측)'!AB8-와이드늘치)</f>
        <v>0</v>
      </c>
      <c r="AG8" s="31">
        <f xml:space="preserve"> IF(소장&lt;&gt;"손상민",IF('와이드(실측)'!AC8&gt;0,'와이드(실측)'!AC8,C8-1.2),IF('와이드(실측)'!AC8&gt;0,'와이드(실측)'!AC8+1.2,C8) )</f>
        <v>274.2</v>
      </c>
      <c r="AH8" s="31">
        <f xml:space="preserve"> IF(소장&lt;&gt;"손상민",IF('와이드(실측)'!AD8&gt;0,'와이드(실측)'!AD8,D8-1.2),IF('와이드(실측)'!AD8&gt;0,'와이드(실측)'!AD8+1.2,D8))</f>
        <v>274.2</v>
      </c>
      <c r="AI8" s="51">
        <f t="shared" ref="AI8:AI14" si="10">IF(Z8&gt;0,Z8-MAX(Q8,R8),0)</f>
        <v>3.1999999999999993</v>
      </c>
      <c r="AJ8" s="31" t="str">
        <f t="shared" ref="AJ8:AJ14" si="11">BA8&amp;"*"&amp;BB8</f>
        <v>990*558.4</v>
      </c>
      <c r="AK8" s="31" t="str">
        <f t="shared" ref="AK8:AK14" si="12">BD8&amp;"*"&amp;BC8</f>
        <v>2367.2*370</v>
      </c>
      <c r="AL8" s="31" t="str">
        <f t="shared" ref="AL8:AL14" si="13">BF8&amp;"*"&amp;BE8</f>
        <v>2364.2*371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16.2</v>
      </c>
      <c r="AQ8" s="31">
        <f>'와이드(실측)'!AI8</f>
        <v>10</v>
      </c>
      <c r="AR8" s="31">
        <f>'와이드(실측)'!AJ8</f>
        <v>90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4" si="14">DEGREES(ATAN((F8-E8)/2/(H8)))</f>
        <v>10.031104694379037</v>
      </c>
      <c r="AV8" s="21">
        <f t="shared" ref="AV8:AV14" si="15">ABS(G8-COS(RADIANS(AU8))*I8)</f>
        <v>16.698333282322096</v>
      </c>
      <c r="AW8" s="21">
        <f t="shared" ref="AW8:AW14" si="16">ABS(H8-COS(RADIANS(AU8))*K8)</f>
        <v>22.698333282322068</v>
      </c>
      <c r="AX8" s="21">
        <f>'와이드(실측)'!M8+AS8</f>
        <v>0</v>
      </c>
      <c r="AY8" s="21">
        <f>'와이드(실측)'!N8+AS8</f>
        <v>0</v>
      </c>
      <c r="AZ8" s="20">
        <f t="shared" ref="AZ8:AZ14" si="17">AV8-MAX(AX8,AY8)</f>
        <v>16.698333282322096</v>
      </c>
      <c r="BA8" s="41">
        <f t="shared" si="4"/>
        <v>990</v>
      </c>
      <c r="BB8" s="42">
        <f>MAX(C8,D8)+MAX(G8,H8)+AA8-1.2*$AJ$3+IF(BI8=0,MAX(AE8,AC8),0)+IF(Y8=0,1.2,0)+IF(Z8=0,1.2,0)+IF(소장&lt;&gt;"손상민", Y8+Z8,IF('와이드(실측)'!U8=0,0,2.4))</f>
        <v>558.4</v>
      </c>
      <c r="BC8" s="41">
        <f t="shared" ref="BC8:BC14" si="18">S8+O8+MAX(I8,J8)+AB8-1.2*$AL$3+IF(BI8=0,MAX(AD8,AC8),0)+IF(S8=0,1.2,0)-IF(AR8=90,2.4,0)</f>
        <v>370</v>
      </c>
      <c r="BD8" s="41">
        <f t="shared" ref="BD8:BD14" si="19">MAX(U8,V8)+AG8</f>
        <v>2367.1999999999998</v>
      </c>
      <c r="BE8" s="41">
        <f t="shared" ref="BE8:BE14" si="20">T8+P8+MAX(K8,L8)+AB8-1.2*$AL$3+IF(BI8=0,MAX(AE8,AF8),0)+IF(T8=0,1.2,0)-IF(AR8=90,2.4,0)</f>
        <v>371</v>
      </c>
      <c r="BF8" s="41">
        <f t="shared" ref="BF8:BF14" si="21">MAX(W8,X8)+AH8</f>
        <v>2364.1999999999998</v>
      </c>
      <c r="BG8" s="6">
        <f t="shared" ref="BG8:BG14" si="22">I8-G8-Q8</f>
        <v>4.2999999999999972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1</v>
      </c>
    </row>
    <row r="9" spans="1:61" ht="25.5" customHeight="1" x14ac:dyDescent="0.3">
      <c r="A9" s="31" t="str">
        <f>'와이드(실측)'!A9</f>
        <v>603-2</v>
      </c>
      <c r="B9" s="31" t="str">
        <f>'와이드(실측)'!B9&amp;"F"</f>
        <v>3F</v>
      </c>
      <c r="C9" s="31">
        <f>'와이드(실측)'!C9+와이드MH더함-IF(AND(소장="추영덕",Y9=0),1.2)</f>
        <v>284.2</v>
      </c>
      <c r="D9" s="31">
        <f>'와이드(실측)'!D9+와이드MH더함-IF(AND(소장="추영덕",Y9=0),1.2)</f>
        <v>284.2</v>
      </c>
      <c r="E9" s="135">
        <f>'와이드(실측)'!E9-와이드OP</f>
        <v>900</v>
      </c>
      <c r="F9" s="31">
        <f>'와이드(실측)'!F9-와이드R</f>
        <v>989</v>
      </c>
      <c r="G9" s="50">
        <f>'와이드(실측)'!G9+와이드JBJD키움치수+IF(BI9=1,AC9,0)</f>
        <v>256.39999999999998</v>
      </c>
      <c r="H9" s="50">
        <f>'와이드(실측)'!H9+와이드JBJD키움치수+IF(BI9=1,AE9,0)</f>
        <v>260.39999999999998</v>
      </c>
      <c r="I9" s="50">
        <f>'와이드(실측)'!I9+MAX(AS9,AT9)+와이드JBJD키움치수+IF(BI9=1,AC9,0)</f>
        <v>281.39999999999998</v>
      </c>
      <c r="J9" s="50">
        <f>'와이드(실측)'!I9+MAX(AS9,AT9)+와이드JBJD키움치수+IF(BI9=1,AD9,0)-IF(와이드JB하부늘치=1,'와이드(실측)'!Y9-'와이드(실측)'!Z9,0)</f>
        <v>284.39999999999998</v>
      </c>
      <c r="K9" s="50">
        <f>'와이드(실측)'!J9+MAX(AS9,AT9)+와이드JBJD키움치수+IF(BI9=1,AE9,0)</f>
        <v>281.39999999999998</v>
      </c>
      <c r="L9" s="50">
        <f>'와이드(실측)'!J9+MAX(AS9,AT9)+와이드JBJD키움치수+IF(BI9=1,AF9,0)-IF(와이드JB하부늘치=1,'와이드(실측)'!AA9-'와이드(실측)'!AB9,0)</f>
        <v>284.39999999999998</v>
      </c>
      <c r="M9" s="31">
        <f t="shared" si="6"/>
        <v>0</v>
      </c>
      <c r="N9" s="31">
        <f t="shared" si="7"/>
        <v>0</v>
      </c>
      <c r="O9" s="31">
        <f>IF(S9&lt;9,'와이드(실측)'!K9+1.2,IF(ISNUMBER('와이드(실측)'!K9),'와이드(실측)'!K9+와이드C값,0))</f>
        <v>34.4</v>
      </c>
      <c r="P9" s="31">
        <f>IF(T9&lt;9,'와이드(실측)'!L9+1.2,IF(ISNUMBER('와이드(실측)'!L9),'와이드(실측)'!L9+와이드C값,0))</f>
        <v>19.399999999999999</v>
      </c>
      <c r="Q9" s="32">
        <f t="shared" si="8"/>
        <v>21</v>
      </c>
      <c r="R9" s="38">
        <f t="shared" si="9"/>
        <v>17</v>
      </c>
      <c r="S9" s="31">
        <f>IF(ISNUMBER('와이드(실측)'!O9),'와이드(실측)'!O9+와이드제작!AS9+와이드A늘림,0)</f>
        <v>16.2</v>
      </c>
      <c r="T9" s="31">
        <f>IF(ISNUMBER('와이드(실측)'!P9),'와이드(실측)'!P9+와이드제작!AT9+와이드A늘림,0)</f>
        <v>10.199999999999999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2104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38.200000000000003</v>
      </c>
      <c r="Z9" s="31">
        <f>IF(소장="손상민",MAX(Q9,R9)+3.2,IF(ISNUMBER('와이드(실측)'!V9),'와이드(실측)'!V9+1.5+와이드제작!Q9+1,0))</f>
        <v>24.2</v>
      </c>
      <c r="AA9" s="31">
        <f>'와이드(실측)'!W9+뒷날개치수더함</f>
        <v>26.2</v>
      </c>
      <c r="AB9" s="31">
        <f>'와이드(실측)'!X9+뒷날개치수더함</f>
        <v>31.2</v>
      </c>
      <c r="AC9" s="31">
        <f>'와이드(실측)'!Y9-와이드늘치</f>
        <v>35</v>
      </c>
      <c r="AD9" s="31">
        <f>IF(와이드JB하부늘치=1,AC9,'와이드(실측)'!Z9-와이드늘치)</f>
        <v>35</v>
      </c>
      <c r="AE9" s="31">
        <f>'와이드(실측)'!AA9-와이드늘치</f>
        <v>35</v>
      </c>
      <c r="AF9" s="31">
        <f>IF(와이드JB하부늘치=1,AE9,'와이드(실측)'!AB9-와이드늘치)</f>
        <v>35</v>
      </c>
      <c r="AG9" s="31">
        <f xml:space="preserve"> IF(소장&lt;&gt;"손상민",IF('와이드(실측)'!AC9&gt;0,'와이드(실측)'!AC9,C9-1.2),IF('와이드(실측)'!AC9&gt;0,'와이드(실측)'!AC9+1.2,C9) )</f>
        <v>284.2</v>
      </c>
      <c r="AH9" s="31">
        <f xml:space="preserve"> IF(소장&lt;&gt;"손상민",IF('와이드(실측)'!AD9&gt;0,'와이드(실측)'!AD9,D9-1.2),IF('와이드(실측)'!AD9&gt;0,'와이드(실측)'!AD9+1.2,D9))</f>
        <v>284.2</v>
      </c>
      <c r="AI9" s="51">
        <f t="shared" si="10"/>
        <v>3.1999999999999993</v>
      </c>
      <c r="AJ9" s="31" t="str">
        <f t="shared" si="11"/>
        <v>989*603.4</v>
      </c>
      <c r="AK9" s="31" t="str">
        <f t="shared" si="12"/>
        <v>2392.2*394</v>
      </c>
      <c r="AL9" s="31" t="str">
        <f t="shared" si="13"/>
        <v>2388.2*373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16.2</v>
      </c>
      <c r="AQ9" s="31">
        <f>'와이드(실측)'!AI9</f>
        <v>10</v>
      </c>
      <c r="AR9" s="31">
        <f>'와이드(실측)'!AJ9</f>
        <v>90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9.6976511135930838</v>
      </c>
      <c r="AV9" s="21">
        <f t="shared" si="15"/>
        <v>20.978899698822602</v>
      </c>
      <c r="AW9" s="21">
        <f t="shared" si="16"/>
        <v>16.978899698822602</v>
      </c>
      <c r="AX9" s="21">
        <f>'와이드(실측)'!M9+AS9</f>
        <v>0</v>
      </c>
      <c r="AY9" s="21">
        <f>'와이드(실측)'!N9+AS9</f>
        <v>0</v>
      </c>
      <c r="AZ9" s="20">
        <f t="shared" si="17"/>
        <v>20.978899698822602</v>
      </c>
      <c r="BA9" s="41">
        <f t="shared" si="4"/>
        <v>989</v>
      </c>
      <c r="BB9" s="42">
        <f>MAX(C9,D9)+MAX(G9,H9)+AA9-1.2*$AJ$3+IF(BI9=0,MAX(AE9,AC9),0)+IF(Y9=0,1.2,0)+IF(Z9=0,1.2,0)+IF(소장&lt;&gt;"손상민", Y9+Z9,IF('와이드(실측)'!U9=0,0,2.4))</f>
        <v>603.4</v>
      </c>
      <c r="BC9" s="41">
        <f t="shared" si="18"/>
        <v>394</v>
      </c>
      <c r="BD9" s="41">
        <f t="shared" si="19"/>
        <v>2392.1999999999998</v>
      </c>
      <c r="BE9" s="41">
        <f t="shared" si="20"/>
        <v>373</v>
      </c>
      <c r="BF9" s="41">
        <f t="shared" si="21"/>
        <v>2388.1999999999998</v>
      </c>
      <c r="BG9" s="6">
        <f t="shared" si="22"/>
        <v>4</v>
      </c>
      <c r="BH9" s="43" t="str">
        <f t="shared" si="23"/>
        <v/>
      </c>
      <c r="BI9" s="77">
        <f t="shared" si="24"/>
        <v>0</v>
      </c>
    </row>
    <row r="10" spans="1:61" ht="25.5" customHeight="1" x14ac:dyDescent="0.3">
      <c r="A10" s="31" t="str">
        <f>'와이드(실측)'!A10</f>
        <v>606-2</v>
      </c>
      <c r="B10" s="31" t="str">
        <f>'와이드(실측)'!B10&amp;"F"</f>
        <v>4F</v>
      </c>
      <c r="C10" s="31">
        <f>'와이드(실측)'!C10+와이드MH더함-IF(AND(소장="추영덕",Y10=0),1.2)</f>
        <v>279.2</v>
      </c>
      <c r="D10" s="31">
        <f>'와이드(실측)'!D10+와이드MH더함-IF(AND(소장="추영덕",Y10=0),1.2)</f>
        <v>279.2</v>
      </c>
      <c r="E10" s="135">
        <f>'와이드(실측)'!E10-와이드OP</f>
        <v>900</v>
      </c>
      <c r="F10" s="31">
        <f>'와이드(실측)'!F10-와이드R</f>
        <v>992</v>
      </c>
      <c r="G10" s="50">
        <f>'와이드(실측)'!G10+와이드JBJD키움치수+IF(BI10=1,AC10,0)</f>
        <v>270.39999999999998</v>
      </c>
      <c r="H10" s="50">
        <f>'와이드(실측)'!H10+와이드JBJD키움치수+IF(BI10=1,AE10,0)</f>
        <v>270.39999999999998</v>
      </c>
      <c r="I10" s="50">
        <f>'와이드(실측)'!I10+MAX(AS10,AT10)+와이드JBJD키움치수+IF(BI10=1,AC10,0)</f>
        <v>290.39999999999998</v>
      </c>
      <c r="J10" s="50">
        <f>'와이드(실측)'!I10+MAX(AS10,AT10)+와이드JBJD키움치수+IF(BI10=1,AD10,0)-IF(와이드JB하부늘치=1,'와이드(실측)'!Y10-'와이드(실측)'!Z10,0)</f>
        <v>286.39999999999998</v>
      </c>
      <c r="K10" s="50">
        <f>'와이드(실측)'!J10+MAX(AS10,AT10)+와이드JBJD키움치수+IF(BI10=1,AE10,0)</f>
        <v>290.39999999999998</v>
      </c>
      <c r="L10" s="50">
        <f>'와이드(실측)'!J10+MAX(AS10,AT10)+와이드JBJD키움치수+IF(BI10=1,AF10,0)-IF(와이드JB하부늘치=1,'와이드(실측)'!AA10-'와이드(실측)'!AB10,0)</f>
        <v>286.39999999999998</v>
      </c>
      <c r="M10" s="31">
        <f t="shared" si="6"/>
        <v>0</v>
      </c>
      <c r="N10" s="31">
        <f t="shared" si="7"/>
        <v>0</v>
      </c>
      <c r="O10" s="31">
        <f>IF(S10&lt;9,'와이드(실측)'!K10+1.2,IF(ISNUMBER('와이드(실측)'!K10),'와이드(실측)'!K10+와이드C값,0))</f>
        <v>24.4</v>
      </c>
      <c r="P10" s="31">
        <f>IF(T10&lt;9,'와이드(실측)'!L10+1.2,IF(ISNUMBER('와이드(실측)'!L10),'와이드(실측)'!L10+와이드C값,0))</f>
        <v>19.399999999999999</v>
      </c>
      <c r="Q10" s="32">
        <f t="shared" si="8"/>
        <v>15.9</v>
      </c>
      <c r="R10" s="38">
        <f t="shared" si="9"/>
        <v>15.9</v>
      </c>
      <c r="S10" s="31">
        <f>IF(ISNUMBER('와이드(실측)'!O10),'와이드(실측)'!O10+와이드제작!AS10+와이드A늘림,0)</f>
        <v>18.2</v>
      </c>
      <c r="T10" s="31">
        <f>IF(ISNUMBER('와이드(실측)'!P10),'와이드(실측)'!P10+와이드제작!AT10+와이드A늘림,0)</f>
        <v>17.2</v>
      </c>
      <c r="U10" s="31">
        <f>'와이드(실측)'!Q10-와이드기둥차감</f>
        <v>2090</v>
      </c>
      <c r="V10" s="31">
        <f>'와이드(실측)'!R10-와이드기둥차감</f>
        <v>2089</v>
      </c>
      <c r="W10" s="31">
        <f>'와이드(실측)'!S10-와이드기둥차감</f>
        <v>2089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31.2</v>
      </c>
      <c r="Z10" s="31">
        <f>IF(소장="손상민",MAX(Q10,R10)+3.2,IF(ISNUMBER('와이드(실측)'!V10),'와이드(실측)'!V10+1.5+와이드제작!Q10+1,0))</f>
        <v>19.100000000000001</v>
      </c>
      <c r="AA10" s="31">
        <f>'와이드(실측)'!W10+뒷날개치수더함</f>
        <v>26.2</v>
      </c>
      <c r="AB10" s="31">
        <f>'와이드(실측)'!X10+뒷날개치수더함</f>
        <v>31.2</v>
      </c>
      <c r="AC10" s="31">
        <f>'와이드(실측)'!Y10-와이드늘치</f>
        <v>35</v>
      </c>
      <c r="AD10" s="31">
        <f>IF(와이드JB하부늘치=1,AC10,'와이드(실측)'!Z10-와이드늘치)</f>
        <v>35</v>
      </c>
      <c r="AE10" s="31">
        <f>'와이드(실측)'!AA10-와이드늘치</f>
        <v>35</v>
      </c>
      <c r="AF10" s="31">
        <f>IF(와이드JB하부늘치=1,AE10,'와이드(실측)'!AB10-와이드늘치)</f>
        <v>35</v>
      </c>
      <c r="AG10" s="31">
        <f xml:space="preserve"> IF(소장&lt;&gt;"손상민",IF('와이드(실측)'!AC10&gt;0,'와이드(실측)'!AC10,C10-1.2),IF('와이드(실측)'!AC10&gt;0,'와이드(실측)'!AC10+1.2,C10) )</f>
        <v>279.2</v>
      </c>
      <c r="AH10" s="31">
        <f xml:space="preserve"> IF(소장&lt;&gt;"손상민",IF('와이드(실측)'!AD10&gt;0,'와이드(실측)'!AD10,D10-1.2),IF('와이드(실측)'!AD10&gt;0,'와이드(실측)'!AD10+1.2,D10))</f>
        <v>279.2</v>
      </c>
      <c r="AI10" s="51">
        <f t="shared" si="10"/>
        <v>3.2000000000000011</v>
      </c>
      <c r="AJ10" s="31" t="str">
        <f t="shared" si="11"/>
        <v>992*608.4</v>
      </c>
      <c r="AK10" s="31" t="str">
        <f t="shared" si="12"/>
        <v>2369.2*392</v>
      </c>
      <c r="AL10" s="31" t="str">
        <f t="shared" si="13"/>
        <v>2368.2*386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16.2</v>
      </c>
      <c r="AQ10" s="31">
        <f>'와이드(실측)'!AI10</f>
        <v>10</v>
      </c>
      <c r="AR10" s="31">
        <f>'와이드(실측)'!AJ10</f>
        <v>90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9.6546352986167889</v>
      </c>
      <c r="AV10" s="21">
        <f t="shared" si="15"/>
        <v>15.886938137988011</v>
      </c>
      <c r="AW10" s="21">
        <f t="shared" si="16"/>
        <v>15.886938137988011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15.886938137988011</v>
      </c>
      <c r="BA10" s="41">
        <f t="shared" si="4"/>
        <v>992</v>
      </c>
      <c r="BB10" s="42">
        <f>MAX(C10,D10)+MAX(G10,H10)+AA10-1.2*$AJ$3+IF(BI10=0,MAX(AE10,AC10),0)+IF(Y10=0,1.2,0)+IF(Z10=0,1.2,0)+IF(소장&lt;&gt;"손상민", Y10+Z10,IF('와이드(실측)'!U10=0,0,2.4))</f>
        <v>608.4</v>
      </c>
      <c r="BC10" s="41">
        <f t="shared" si="18"/>
        <v>392</v>
      </c>
      <c r="BD10" s="41">
        <f t="shared" si="19"/>
        <v>2369.1999999999998</v>
      </c>
      <c r="BE10" s="41">
        <f t="shared" si="20"/>
        <v>386</v>
      </c>
      <c r="BF10" s="41">
        <f t="shared" si="21"/>
        <v>2368.1999999999998</v>
      </c>
      <c r="BG10" s="6">
        <f t="shared" si="22"/>
        <v>4.0999999999999996</v>
      </c>
      <c r="BH10" s="43" t="str">
        <f t="shared" si="23"/>
        <v/>
      </c>
      <c r="BI10" s="77">
        <f t="shared" si="24"/>
        <v>0</v>
      </c>
    </row>
    <row r="11" spans="1:61" ht="25.5" customHeight="1" x14ac:dyDescent="0.3">
      <c r="A11" s="31" t="str">
        <f>'와이드(실측)'!A11</f>
        <v>607-3</v>
      </c>
      <c r="B11" s="31" t="str">
        <f>'와이드(실측)'!B11&amp;"F"</f>
        <v>5F</v>
      </c>
      <c r="C11" s="31">
        <f>'와이드(실측)'!C11+와이드MH더함-IF(AND(소장="추영덕",Y11=0),1.2)</f>
        <v>279.2</v>
      </c>
      <c r="D11" s="31">
        <f>'와이드(실측)'!D11+와이드MH더함-IF(AND(소장="추영덕",Y11=0),1.2)</f>
        <v>279.2</v>
      </c>
      <c r="E11" s="135">
        <f>'와이드(실측)'!E11-와이드OP</f>
        <v>900</v>
      </c>
      <c r="F11" s="31">
        <f>'와이드(실측)'!F11-와이드R</f>
        <v>985</v>
      </c>
      <c r="G11" s="50">
        <f>'와이드(실측)'!G11+와이드JBJD키움치수+IF(BI11=1,AC11,0)</f>
        <v>250.4</v>
      </c>
      <c r="H11" s="50">
        <f>'와이드(실측)'!H11+와이드JBJD키움치수+IF(BI11=1,AE11,0)</f>
        <v>250.4</v>
      </c>
      <c r="I11" s="50">
        <f>'와이드(실측)'!I11+MAX(AS11,AT11)+와이드JBJD키움치수+IF(BI11=1,AC11,0)</f>
        <v>270.39999999999998</v>
      </c>
      <c r="J11" s="50">
        <f>'와이드(실측)'!I11+MAX(AS11,AT11)+와이드JBJD키움치수+IF(BI11=1,AD11,0)-IF(와이드JB하부늘치=1,'와이드(실측)'!Y11-'와이드(실측)'!Z11,0)</f>
        <v>270.39999999999998</v>
      </c>
      <c r="K11" s="50">
        <f>'와이드(실측)'!J11+MAX(AS11,AT11)+와이드JBJD키움치수+IF(BI11=1,AE11,0)</f>
        <v>270.39999999999998</v>
      </c>
      <c r="L11" s="50">
        <f>'와이드(실측)'!J11+MAX(AS11,AT11)+와이드JBJD키움치수+IF(BI11=1,AF11,0)-IF(와이드JB하부늘치=1,'와이드(실측)'!AA11-'와이드(실측)'!AB11,0)</f>
        <v>270.39999999999998</v>
      </c>
      <c r="M11" s="31">
        <f t="shared" si="6"/>
        <v>0</v>
      </c>
      <c r="N11" s="31">
        <f t="shared" si="7"/>
        <v>0</v>
      </c>
      <c r="O11" s="31">
        <f>IF(S11&lt;9,'와이드(실측)'!K11+1.2,IF(ISNUMBER('와이드(실측)'!K11),'와이드(실측)'!K11+와이드C값,0))</f>
        <v>42.4</v>
      </c>
      <c r="P11" s="31">
        <f>IF(T11&lt;9,'와이드(실측)'!L11+1.2,IF(ISNUMBER('와이드(실측)'!L11),'와이드(실측)'!L11+와이드C값,0))</f>
        <v>42.4</v>
      </c>
      <c r="Q11" s="32">
        <f t="shared" si="8"/>
        <v>16.200000000000003</v>
      </c>
      <c r="R11" s="38">
        <f t="shared" si="9"/>
        <v>16.200000000000003</v>
      </c>
      <c r="S11" s="31">
        <f>IF(ISNUMBER('와이드(실측)'!O11),'와이드(실측)'!O11+와이드제작!AS11+와이드A늘림,0)</f>
        <v>17.2</v>
      </c>
      <c r="T11" s="31">
        <f>IF(ISNUMBER('와이드(실측)'!P11),'와이드(실측)'!P11+와이드제작!AT11+와이드A늘림,0)</f>
        <v>17.2</v>
      </c>
      <c r="U11" s="31">
        <f>'와이드(실측)'!Q11-와이드기둥차감</f>
        <v>2095</v>
      </c>
      <c r="V11" s="31">
        <f>'와이드(실측)'!R11-와이드기둥차감</f>
        <v>2090</v>
      </c>
      <c r="W11" s="31">
        <f>'와이드(실측)'!S11-와이드기둥차감</f>
        <v>2095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41.2</v>
      </c>
      <c r="Z11" s="31">
        <f>IF(소장="손상민",MAX(Q11,R11)+3.2,IF(ISNUMBER('와이드(실측)'!V11),'와이드(실측)'!V11+1.5+와이드제작!Q11+1,0))</f>
        <v>19.400000000000002</v>
      </c>
      <c r="AA11" s="31">
        <f>'와이드(실측)'!W11+뒷날개치수더함</f>
        <v>26.2</v>
      </c>
      <c r="AB11" s="31">
        <f>'와이드(실측)'!X11+뒷날개치수더함</f>
        <v>31.2</v>
      </c>
      <c r="AC11" s="31">
        <f>'와이드(실측)'!Y11-와이드늘치</f>
        <v>35</v>
      </c>
      <c r="AD11" s="31">
        <f>IF(와이드JB하부늘치=1,AC11,'와이드(실측)'!Z11-와이드늘치)</f>
        <v>35</v>
      </c>
      <c r="AE11" s="31">
        <f>'와이드(실측)'!AA11-와이드늘치</f>
        <v>35</v>
      </c>
      <c r="AF11" s="31">
        <f>IF(와이드JB하부늘치=1,AE11,'와이드(실측)'!AB11-와이드늘치)</f>
        <v>35</v>
      </c>
      <c r="AG11" s="31">
        <f xml:space="preserve"> IF(소장&lt;&gt;"손상민",IF('와이드(실측)'!AC11&gt;0,'와이드(실측)'!AC11,C11-1.2),IF('와이드(실측)'!AC11&gt;0,'와이드(실측)'!AC11+1.2,C11) )</f>
        <v>279.2</v>
      </c>
      <c r="AH11" s="31">
        <f xml:space="preserve"> IF(소장&lt;&gt;"손상민",IF('와이드(실측)'!AD11&gt;0,'와이드(실측)'!AD11,D11-1.2),IF('와이드(실측)'!AD11&gt;0,'와이드(실측)'!AD11+1.2,D11))</f>
        <v>279.2</v>
      </c>
      <c r="AI11" s="51">
        <f t="shared" si="10"/>
        <v>3.1999999999999993</v>
      </c>
      <c r="AJ11" s="31" t="str">
        <f t="shared" si="11"/>
        <v>985*588.4</v>
      </c>
      <c r="AK11" s="31" t="str">
        <f t="shared" si="12"/>
        <v>2374.2*391.4</v>
      </c>
      <c r="AL11" s="31" t="str">
        <f t="shared" si="13"/>
        <v>2374.2*391.4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9.6329221218568772</v>
      </c>
      <c r="AV11" s="21">
        <f t="shared" si="15"/>
        <v>16.187373271144878</v>
      </c>
      <c r="AW11" s="21">
        <f t="shared" si="16"/>
        <v>16.187373271144878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16.187373271144878</v>
      </c>
      <c r="BA11" s="41">
        <f t="shared" si="4"/>
        <v>985</v>
      </c>
      <c r="BB11" s="42">
        <f>MAX(C11,D11)+MAX(G11,H11)+AA11-1.2*$AJ$3+IF(BI11=0,MAX(AE11,AC11),0)+IF(Y11=0,1.2,0)+IF(Z11=0,1.2,0)+IF(소장&lt;&gt;"손상민", Y11+Z11,IF('와이드(실측)'!U11=0,0,2.4))</f>
        <v>588.40000000000009</v>
      </c>
      <c r="BC11" s="41">
        <f t="shared" si="18"/>
        <v>391.4</v>
      </c>
      <c r="BD11" s="41">
        <f t="shared" si="19"/>
        <v>2374.1999999999998</v>
      </c>
      <c r="BE11" s="41">
        <f t="shared" si="20"/>
        <v>391.4</v>
      </c>
      <c r="BF11" s="41">
        <f t="shared" si="21"/>
        <v>2374.1999999999998</v>
      </c>
      <c r="BG11" s="6">
        <f t="shared" si="22"/>
        <v>3.7999999999999687</v>
      </c>
      <c r="BH11" s="43" t="str">
        <f t="shared" si="23"/>
        <v/>
      </c>
      <c r="BI11" s="77">
        <f t="shared" si="24"/>
        <v>0</v>
      </c>
    </row>
    <row r="12" spans="1:61" ht="25.5" customHeight="1" x14ac:dyDescent="0.3">
      <c r="A12" s="31" t="str">
        <f>'와이드(실측)'!A12</f>
        <v>609-1</v>
      </c>
      <c r="B12" s="31" t="str">
        <f>'와이드(실측)'!B12&amp;"F"</f>
        <v>6F</v>
      </c>
      <c r="C12" s="31">
        <f>'와이드(실측)'!C12+와이드MH더함-IF(AND(소장="추영덕",Y12=0),1.2)</f>
        <v>269.2</v>
      </c>
      <c r="D12" s="31">
        <f>'와이드(실측)'!D12+와이드MH더함-IF(AND(소장="추영덕",Y12=0),1.2)</f>
        <v>269.2</v>
      </c>
      <c r="E12" s="135">
        <f>'와이드(실측)'!E12-와이드OP</f>
        <v>900</v>
      </c>
      <c r="F12" s="31">
        <f>'와이드(실측)'!F12-와이드R</f>
        <v>988</v>
      </c>
      <c r="G12" s="50">
        <f>'와이드(실측)'!G12+와이드JBJD키움치수+IF(BI12=1,AC12,0)</f>
        <v>255.4</v>
      </c>
      <c r="H12" s="50">
        <f>'와이드(실측)'!H12+와이드JBJD키움치수+IF(BI12=1,AE12,0)</f>
        <v>255.4</v>
      </c>
      <c r="I12" s="50">
        <f>'와이드(실측)'!I12+MAX(AS12,AT12)+와이드JBJD키움치수+IF(BI12=1,AC12,0)</f>
        <v>275.39999999999998</v>
      </c>
      <c r="J12" s="50">
        <f>'와이드(실측)'!I12+MAX(AS12,AT12)+와이드JBJD키움치수+IF(BI12=1,AD12,0)-IF(와이드JB하부늘치=1,'와이드(실측)'!Y12-'와이드(실측)'!Z12,0)</f>
        <v>275.39999999999998</v>
      </c>
      <c r="K12" s="50">
        <f>'와이드(실측)'!J12+MAX(AS12,AT12)+와이드JBJD키움치수+IF(BI12=1,AE12,0)</f>
        <v>275.39999999999998</v>
      </c>
      <c r="L12" s="50">
        <f>'와이드(실측)'!J12+MAX(AS12,AT12)+와이드JBJD키움치수+IF(BI12=1,AF12,0)-IF(와이드JB하부늘치=1,'와이드(실측)'!AA12-'와이드(실측)'!AB12,0)</f>
        <v>275.39999999999998</v>
      </c>
      <c r="M12" s="31">
        <f t="shared" si="6"/>
        <v>0</v>
      </c>
      <c r="N12" s="31">
        <f t="shared" si="7"/>
        <v>0</v>
      </c>
      <c r="O12" s="31">
        <f>IF(S12&lt;9,'와이드(실측)'!K12+1.2,IF(ISNUMBER('와이드(실측)'!K12),'와이드(실측)'!K12+와이드C값,0))</f>
        <v>42.4</v>
      </c>
      <c r="P12" s="31">
        <f>IF(T12&lt;9,'와이드(실측)'!L12+1.2,IF(ISNUMBER('와이드(실측)'!L12),'와이드(실측)'!L12+와이드C값,0))</f>
        <v>42.4</v>
      </c>
      <c r="Q12" s="32">
        <f t="shared" si="8"/>
        <v>16.100000000000001</v>
      </c>
      <c r="R12" s="38">
        <f t="shared" si="9"/>
        <v>16.100000000000001</v>
      </c>
      <c r="S12" s="31">
        <f>IF(ISNUMBER('와이드(실측)'!O12),'와이드(실측)'!O12+와이드제작!AS12+와이드A늘림,0)</f>
        <v>11.2</v>
      </c>
      <c r="T12" s="31">
        <f>IF(ISNUMBER('와이드(실측)'!P12),'와이드(실측)'!P12+와이드제작!AT12+와이드A늘림,0)</f>
        <v>12.2</v>
      </c>
      <c r="U12" s="31">
        <f>'와이드(실측)'!Q12-와이드기둥차감</f>
        <v>2105</v>
      </c>
      <c r="V12" s="31">
        <f>'와이드(실측)'!R12-와이드기둥차감</f>
        <v>2093</v>
      </c>
      <c r="W12" s="31">
        <f>'와이드(실측)'!S12-와이드기둥차감</f>
        <v>2110</v>
      </c>
      <c r="X12" s="31">
        <f>'와이드(실측)'!T12-와이드기둥차감</f>
        <v>2090</v>
      </c>
      <c r="Y12" s="31">
        <f>IF(소장="손상민",IF(ISNUMBER('와이드(실측)'!U12),'와이드(실측)'!U12+1.2,0),IF(ISNUMBER('와이드(실측)'!U12),'와이드(실측)'!U12+와이드U,0))</f>
        <v>46.2</v>
      </c>
      <c r="Z12" s="31">
        <f>IF(소장="손상민",MAX(Q12,R12)+3.2,IF(ISNUMBER('와이드(실측)'!V12),'와이드(실측)'!V12+1.5+와이드제작!Q12+1,0))</f>
        <v>19.3</v>
      </c>
      <c r="AA12" s="31">
        <f>'와이드(실측)'!W12+뒷날개치수더함</f>
        <v>26.2</v>
      </c>
      <c r="AB12" s="31">
        <f>'와이드(실측)'!X12+뒷날개치수더함</f>
        <v>16.2</v>
      </c>
      <c r="AC12" s="31">
        <f>'와이드(실측)'!Y12-와이드늘치</f>
        <v>35</v>
      </c>
      <c r="AD12" s="31">
        <f>IF(와이드JB하부늘치=1,AC12,'와이드(실측)'!Z12-와이드늘치)</f>
        <v>35</v>
      </c>
      <c r="AE12" s="31">
        <f>'와이드(실측)'!AA12-와이드늘치</f>
        <v>35</v>
      </c>
      <c r="AF12" s="31">
        <f>IF(와이드JB하부늘치=1,AE12,'와이드(실측)'!AB12-와이드늘치)</f>
        <v>35</v>
      </c>
      <c r="AG12" s="31">
        <f xml:space="preserve"> IF(소장&lt;&gt;"손상민",IF('와이드(실측)'!AC12&gt;0,'와이드(실측)'!AC12,C12-1.2),IF('와이드(실측)'!AC12&gt;0,'와이드(실측)'!AC12+1.2,C12) )</f>
        <v>269.2</v>
      </c>
      <c r="AH12" s="31">
        <f xml:space="preserve"> IF(소장&lt;&gt;"손상민",IF('와이드(실측)'!AD12&gt;0,'와이드(실측)'!AD12,D12-1.2),IF('와이드(실측)'!AD12&gt;0,'와이드(실측)'!AD12+1.2,D12))</f>
        <v>269.2</v>
      </c>
      <c r="AI12" s="51">
        <f t="shared" si="10"/>
        <v>3.1999999999999993</v>
      </c>
      <c r="AJ12" s="31" t="str">
        <f t="shared" si="11"/>
        <v>988*583.4</v>
      </c>
      <c r="AK12" s="31" t="str">
        <f t="shared" si="12"/>
        <v>2374.2*375.4</v>
      </c>
      <c r="AL12" s="31" t="str">
        <f t="shared" si="13"/>
        <v>2379.2*376.4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9.7748944076779587</v>
      </c>
      <c r="AV12" s="21">
        <f t="shared" si="15"/>
        <v>16.001848959110049</v>
      </c>
      <c r="AW12" s="21">
        <f t="shared" si="16"/>
        <v>16.001848959110049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16.001848959110049</v>
      </c>
      <c r="BA12" s="41">
        <f t="shared" si="4"/>
        <v>988</v>
      </c>
      <c r="BB12" s="42">
        <f>MAX(C12,D12)+MAX(G12,H12)+AA12-1.2*$AJ$3+IF(BI12=0,MAX(AE12,AC12),0)+IF(Y12=0,1.2,0)+IF(Z12=0,1.2,0)+IF(소장&lt;&gt;"손상민", Y12+Z12,IF('와이드(실측)'!U12=0,0,2.4))</f>
        <v>583.40000000000009</v>
      </c>
      <c r="BC12" s="41">
        <f t="shared" si="18"/>
        <v>375.4</v>
      </c>
      <c r="BD12" s="41">
        <f t="shared" si="19"/>
        <v>2374.1999999999998</v>
      </c>
      <c r="BE12" s="41">
        <f t="shared" si="20"/>
        <v>376.4</v>
      </c>
      <c r="BF12" s="41">
        <f t="shared" si="21"/>
        <v>2379.1999999999998</v>
      </c>
      <c r="BG12" s="6">
        <f t="shared" si="22"/>
        <v>3.8999999999999702</v>
      </c>
      <c r="BH12" s="43" t="str">
        <f t="shared" si="23"/>
        <v/>
      </c>
      <c r="BI12" s="77">
        <f t="shared" si="24"/>
        <v>0</v>
      </c>
    </row>
    <row r="13" spans="1:61" ht="25.5" customHeight="1" x14ac:dyDescent="0.3">
      <c r="A13" s="31" t="str">
        <f>'와이드(실측)'!A13</f>
        <v>610-1</v>
      </c>
      <c r="B13" s="31" t="str">
        <f>'와이드(실측)'!B13&amp;"F"</f>
        <v>7F</v>
      </c>
      <c r="C13" s="31">
        <f>'와이드(실측)'!C13+와이드MH더함-IF(AND(소장="추영덕",Y13=0),1.2)</f>
        <v>269.2</v>
      </c>
      <c r="D13" s="31">
        <f>'와이드(실측)'!D13+와이드MH더함-IF(AND(소장="추영덕",Y13=0),1.2)</f>
        <v>269.2</v>
      </c>
      <c r="E13" s="135">
        <f>'와이드(실측)'!E13-와이드OP</f>
        <v>900</v>
      </c>
      <c r="F13" s="31">
        <f>'와이드(실측)'!F13-와이드R</f>
        <v>988</v>
      </c>
      <c r="G13" s="50">
        <f>'와이드(실측)'!G13+와이드JBJD키움치수+IF(BI13=1,AC13,0)</f>
        <v>251.4</v>
      </c>
      <c r="H13" s="50">
        <f>'와이드(실측)'!H13+와이드JBJD키움치수+IF(BI13=1,AE13,0)</f>
        <v>239.4</v>
      </c>
      <c r="I13" s="50">
        <f>'와이드(실측)'!I13+MAX(AS13,AT13)+와이드JBJD키움치수+IF(BI13=1,AC13,0)</f>
        <v>270.39999999999998</v>
      </c>
      <c r="J13" s="50">
        <f>'와이드(실측)'!I13+MAX(AS13,AT13)+와이드JBJD키움치수+IF(BI13=1,AD13,0)-IF(와이드JB하부늘치=1,'와이드(실측)'!Y13-'와이드(실측)'!Z13,0)</f>
        <v>270.39999999999998</v>
      </c>
      <c r="K13" s="50">
        <f>'와이드(실측)'!J13+MAX(AS13,AT13)+와이드JBJD키움치수+IF(BI13=1,AE13,0)</f>
        <v>270.39999999999998</v>
      </c>
      <c r="L13" s="50">
        <f>'와이드(실측)'!J13+MAX(AS13,AT13)+와이드JBJD키움치수+IF(BI13=1,AF13,0)-IF(와이드JB하부늘치=1,'와이드(실측)'!AA13-'와이드(실측)'!AB13,0)</f>
        <v>270.39999999999998</v>
      </c>
      <c r="M13" s="31">
        <f t="shared" si="6"/>
        <v>0</v>
      </c>
      <c r="N13" s="31">
        <f t="shared" si="7"/>
        <v>0</v>
      </c>
      <c r="O13" s="31">
        <f>IF(S13&lt;9,'와이드(실측)'!K13+1.2,IF(ISNUMBER('와이드(실측)'!K13),'와이드(실측)'!K13+와이드C값,0))</f>
        <v>42.4</v>
      </c>
      <c r="P13" s="31">
        <f>IF(T13&lt;9,'와이드(실측)'!L13+1.2,IF(ISNUMBER('와이드(실측)'!L13),'와이드(실측)'!L13+와이드C값,0))</f>
        <v>42.4</v>
      </c>
      <c r="Q13" s="32">
        <f t="shared" si="8"/>
        <v>14.6</v>
      </c>
      <c r="R13" s="38">
        <f t="shared" si="9"/>
        <v>26.6</v>
      </c>
      <c r="S13" s="31">
        <f>IF(ISNUMBER('와이드(실측)'!O13),'와이드(실측)'!O13+와이드제작!AS13+와이드A늘림,0)</f>
        <v>13.2</v>
      </c>
      <c r="T13" s="31">
        <f>IF(ISNUMBER('와이드(실측)'!P13),'와이드(실측)'!P13+와이드제작!AT13+와이드A늘림,0)</f>
        <v>10.199999999999999</v>
      </c>
      <c r="U13" s="31">
        <f>'와이드(실측)'!Q13-와이드기둥차감</f>
        <v>2109</v>
      </c>
      <c r="V13" s="31">
        <f>'와이드(실측)'!R13-와이드기둥차감</f>
        <v>2091</v>
      </c>
      <c r="W13" s="31">
        <f>'와이드(실측)'!S13-와이드기둥차감</f>
        <v>2111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36.200000000000003</v>
      </c>
      <c r="Z13" s="31">
        <f>IF(소장="손상민",MAX(Q13,R13)+3.2,IF(ISNUMBER('와이드(실측)'!V13),'와이드(실측)'!V13+1.5+와이드제작!Q13+1,0))</f>
        <v>29.8</v>
      </c>
      <c r="AA13" s="31">
        <f>'와이드(실측)'!W13+뒷날개치수더함</f>
        <v>26.2</v>
      </c>
      <c r="AB13" s="31">
        <f>'와이드(실측)'!X13+뒷날개치수더함</f>
        <v>31.2</v>
      </c>
      <c r="AC13" s="31">
        <f>'와이드(실측)'!Y13-와이드늘치</f>
        <v>0</v>
      </c>
      <c r="AD13" s="31">
        <f>IF(와이드JB하부늘치=1,AC13,'와이드(실측)'!Z13-와이드늘치)</f>
        <v>0</v>
      </c>
      <c r="AE13" s="31">
        <f>'와이드(실측)'!AA13-와이드늘치</f>
        <v>0</v>
      </c>
      <c r="AF13" s="31">
        <f>IF(와이드JB하부늘치=1,AE13,'와이드(실측)'!AB13-와이드늘치)</f>
        <v>0</v>
      </c>
      <c r="AG13" s="31">
        <f xml:space="preserve"> IF(소장&lt;&gt;"손상민",IF('와이드(실측)'!AC13&gt;0,'와이드(실측)'!AC13,C13-1.2),IF('와이드(실측)'!AC13&gt;0,'와이드(실측)'!AC13+1.2,C13) )</f>
        <v>269.2</v>
      </c>
      <c r="AH13" s="31">
        <f xml:space="preserve"> IF(소장&lt;&gt;"손상민",IF('와이드(실측)'!AD13&gt;0,'와이드(실측)'!AD13,D13-1.2),IF('와이드(실측)'!AD13&gt;0,'와이드(실측)'!AD13+1.2,D13))</f>
        <v>269.2</v>
      </c>
      <c r="AI13" s="51">
        <f t="shared" si="10"/>
        <v>3.1999999999999993</v>
      </c>
      <c r="AJ13" s="31" t="str">
        <f t="shared" si="11"/>
        <v>988*544.4</v>
      </c>
      <c r="AK13" s="31" t="str">
        <f t="shared" si="12"/>
        <v>2378.2*352.4</v>
      </c>
      <c r="AL13" s="31" t="str">
        <f t="shared" si="13"/>
        <v>2380.2*349.4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21.2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10.414326034750372</v>
      </c>
      <c r="AV13" s="21">
        <f t="shared" si="15"/>
        <v>14.54551251980476</v>
      </c>
      <c r="AW13" s="21">
        <f t="shared" si="16"/>
        <v>26.54551251980476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14.54551251980476</v>
      </c>
      <c r="BA13" s="41">
        <f t="shared" si="4"/>
        <v>988</v>
      </c>
      <c r="BB13" s="42">
        <f>MAX(C13,D13)+MAX(G13,H13)+AA13-1.2*$AJ$3+IF(BI13=0,MAX(AE13,AC13),0)+IF(Y13=0,1.2,0)+IF(Z13=0,1.2,0)+IF(소장&lt;&gt;"손상민", Y13+Z13,IF('와이드(실측)'!U13=0,0,2.4))</f>
        <v>544.40000000000009</v>
      </c>
      <c r="BC13" s="41">
        <f t="shared" si="18"/>
        <v>352.4</v>
      </c>
      <c r="BD13" s="41">
        <f t="shared" si="19"/>
        <v>2378.1999999999998</v>
      </c>
      <c r="BE13" s="41">
        <f t="shared" si="20"/>
        <v>349.4</v>
      </c>
      <c r="BF13" s="41">
        <f t="shared" si="21"/>
        <v>2380.1999999999998</v>
      </c>
      <c r="BG13" s="6">
        <f t="shared" si="22"/>
        <v>4.3999999999999719</v>
      </c>
      <c r="BH13" s="43" t="str">
        <f t="shared" si="23"/>
        <v/>
      </c>
      <c r="BI13" s="77">
        <f t="shared" si="24"/>
        <v>1</v>
      </c>
    </row>
    <row r="14" spans="1:61" ht="25.5" customHeight="1" x14ac:dyDescent="0.3">
      <c r="A14" s="31" t="str">
        <f>'와이드(실측)'!A14</f>
        <v>611-1</v>
      </c>
      <c r="B14" s="31" t="str">
        <f>'와이드(실측)'!B14&amp;"F"</f>
        <v>8F</v>
      </c>
      <c r="C14" s="31">
        <f>'와이드(실측)'!C14+와이드MH더함-IF(AND(소장="추영덕",Y14=0),1.2)</f>
        <v>259.2</v>
      </c>
      <c r="D14" s="31">
        <f>'와이드(실측)'!D14+와이드MH더함-IF(AND(소장="추영덕",Y14=0),1.2)</f>
        <v>259.2</v>
      </c>
      <c r="E14" s="135">
        <f>'와이드(실측)'!E14-와이드OP</f>
        <v>899</v>
      </c>
      <c r="F14" s="31">
        <f>'와이드(실측)'!F14-와이드R</f>
        <v>992</v>
      </c>
      <c r="G14" s="50">
        <f>'와이드(실측)'!G14+와이드JBJD키움치수+IF(BI14=1,AC14,0)</f>
        <v>260.39999999999998</v>
      </c>
      <c r="H14" s="50">
        <f>'와이드(실측)'!H14+와이드JBJD키움치수+IF(BI14=1,AE14,0)</f>
        <v>254.4</v>
      </c>
      <c r="I14" s="50">
        <f>'와이드(실측)'!I14+MAX(AS14,AT14)+와이드JBJD키움치수+IF(BI14=1,AC14,0)</f>
        <v>291.39999999999998</v>
      </c>
      <c r="J14" s="50">
        <f>'와이드(실측)'!I14+MAX(AS14,AT14)+와이드JBJD키움치수+IF(BI14=1,AD14,0)-IF(와이드JB하부늘치=1,'와이드(실측)'!Y14-'와이드(실측)'!Z14,0)</f>
        <v>291.39999999999998</v>
      </c>
      <c r="K14" s="50">
        <f>'와이드(실측)'!J14+MAX(AS14,AT14)+와이드JBJD키움치수+IF(BI14=1,AE14,0)</f>
        <v>291.39999999999998</v>
      </c>
      <c r="L14" s="50">
        <f>'와이드(실측)'!J14+MAX(AS14,AT14)+와이드JBJD키움치수+IF(BI14=1,AF14,0)-IF(와이드JB하부늘치=1,'와이드(실측)'!AA14-'와이드(실측)'!AB14,0)</f>
        <v>291.39999999999998</v>
      </c>
      <c r="M14" s="31">
        <f t="shared" si="6"/>
        <v>0</v>
      </c>
      <c r="N14" s="31">
        <f t="shared" si="7"/>
        <v>0</v>
      </c>
      <c r="O14" s="31">
        <f>IF(S14&lt;9,'와이드(실측)'!K14+1.2,IF(ISNUMBER('와이드(실측)'!K14),'와이드(실측)'!K14+와이드C값,0))</f>
        <v>42.4</v>
      </c>
      <c r="P14" s="31">
        <f>IF(T14&lt;9,'와이드(실측)'!L14+1.2,IF(ISNUMBER('와이드(실측)'!L14),'와이드(실측)'!L14+와이드C값,0))</f>
        <v>42.4</v>
      </c>
      <c r="Q14" s="32">
        <f t="shared" si="8"/>
        <v>26.3</v>
      </c>
      <c r="R14" s="38">
        <f t="shared" si="9"/>
        <v>32.300000000000004</v>
      </c>
      <c r="S14" s="31">
        <f>IF(ISNUMBER('와이드(실측)'!O14),'와이드(실측)'!O14+와이드제작!AS14+와이드A늘림,0)</f>
        <v>10.199999999999999</v>
      </c>
      <c r="T14" s="31">
        <f>IF(ISNUMBER('와이드(실측)'!P14),'와이드(실측)'!P14+와이드제작!AT14+와이드A늘림,0)</f>
        <v>10.199999999999999</v>
      </c>
      <c r="U14" s="31">
        <f>'와이드(실측)'!Q14-와이드기둥차감</f>
        <v>2098</v>
      </c>
      <c r="V14" s="31">
        <f>'와이드(실측)'!R14-와이드기둥차감</f>
        <v>2091</v>
      </c>
      <c r="W14" s="31">
        <f>'와이드(실측)'!S14-와이드기둥차감</f>
        <v>2100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34.200000000000003</v>
      </c>
      <c r="Z14" s="31">
        <f>IF(소장="손상민",MAX(Q14,R14)+3.2,IF(ISNUMBER('와이드(실측)'!V14),'와이드(실측)'!V14+1.5+와이드제작!Q14+1,0))</f>
        <v>35.500000000000007</v>
      </c>
      <c r="AA14" s="31">
        <f>'와이드(실측)'!W14+뒷날개치수더함</f>
        <v>26.2</v>
      </c>
      <c r="AB14" s="31">
        <f>'와이드(실측)'!X14+뒷날개치수더함</f>
        <v>31.2</v>
      </c>
      <c r="AC14" s="31">
        <f>'와이드(실측)'!Y14-와이드늘치</f>
        <v>0</v>
      </c>
      <c r="AD14" s="31">
        <f>IF(와이드JB하부늘치=1,AC14,'와이드(실측)'!Z14-와이드늘치)</f>
        <v>0</v>
      </c>
      <c r="AE14" s="31">
        <f>'와이드(실측)'!AA14-와이드늘치</f>
        <v>0</v>
      </c>
      <c r="AF14" s="31">
        <f>IF(와이드JB하부늘치=1,AE14,'와이드(실측)'!AB14-와이드늘치)</f>
        <v>0</v>
      </c>
      <c r="AG14" s="31">
        <f xml:space="preserve"> IF(소장&lt;&gt;"손상민",IF('와이드(실측)'!AC14&gt;0,'와이드(실측)'!AC14,C14-1.2),IF('와이드(실측)'!AC14&gt;0,'와이드(실측)'!AC14+1.2,C14) )</f>
        <v>259.2</v>
      </c>
      <c r="AH14" s="31">
        <f xml:space="preserve"> IF(소장&lt;&gt;"손상민",IF('와이드(실측)'!AD14&gt;0,'와이드(실측)'!AD14,D14-1.2),IF('와이드(실측)'!AD14&gt;0,'와이드(실측)'!AD14+1.2,D14))</f>
        <v>259.2</v>
      </c>
      <c r="AI14" s="51">
        <f t="shared" si="10"/>
        <v>3.2000000000000028</v>
      </c>
      <c r="AJ14" s="31" t="str">
        <f t="shared" si="11"/>
        <v>992*543.4</v>
      </c>
      <c r="AK14" s="31" t="str">
        <f t="shared" si="12"/>
        <v>2357.2*370.4</v>
      </c>
      <c r="AL14" s="31" t="str">
        <f t="shared" si="13"/>
        <v>2359.2*370.4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21.2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4"/>
        <v>10.358349463758136</v>
      </c>
      <c r="AV14" s="21">
        <f t="shared" si="15"/>
        <v>26.250890237390763</v>
      </c>
      <c r="AW14" s="21">
        <f t="shared" si="16"/>
        <v>32.250890237390735</v>
      </c>
      <c r="AX14" s="21">
        <f>'와이드(실측)'!M14+AS14</f>
        <v>0</v>
      </c>
      <c r="AY14" s="21">
        <f>'와이드(실측)'!N14+AS14</f>
        <v>0</v>
      </c>
      <c r="AZ14" s="20">
        <f t="shared" si="17"/>
        <v>26.250890237390763</v>
      </c>
      <c r="BA14" s="41">
        <f t="shared" si="4"/>
        <v>992</v>
      </c>
      <c r="BB14" s="42">
        <f>MAX(C14,D14)+MAX(G14,H14)+AA14-1.2*$AJ$3+IF(BI14=0,MAX(AE14,AC14),0)+IF(Y14=0,1.2,0)+IF(Z14=0,1.2,0)+IF(소장&lt;&gt;"손상민", Y14+Z14,IF('와이드(실측)'!U14=0,0,2.4))</f>
        <v>543.4</v>
      </c>
      <c r="BC14" s="41">
        <f t="shared" si="18"/>
        <v>370.4</v>
      </c>
      <c r="BD14" s="41">
        <f t="shared" si="19"/>
        <v>2357.1999999999998</v>
      </c>
      <c r="BE14" s="41">
        <f t="shared" si="20"/>
        <v>370.4</v>
      </c>
      <c r="BF14" s="41">
        <f t="shared" si="21"/>
        <v>2359.1999999999998</v>
      </c>
      <c r="BG14" s="6">
        <f t="shared" si="22"/>
        <v>4.6999999999999993</v>
      </c>
      <c r="BH14" s="43" t="str">
        <f t="shared" si="23"/>
        <v/>
      </c>
      <c r="BI14" s="77">
        <f t="shared" si="24"/>
        <v>1</v>
      </c>
    </row>
    <row r="15" spans="1:61" ht="25.5" customHeight="1" x14ac:dyDescent="0.3">
      <c r="A15" s="31" t="str">
        <f>'와이드(실측)'!A15</f>
        <v>610-2</v>
      </c>
      <c r="B15" s="31" t="str">
        <f>'와이드(실측)'!B15&amp;"F"</f>
        <v>9F</v>
      </c>
      <c r="C15" s="31">
        <f>'와이드(실측)'!C15+와이드MH더함-IF(AND(소장="추영덕",Y15=0),1.2)</f>
        <v>279.2</v>
      </c>
      <c r="D15" s="31">
        <f>'와이드(실측)'!D15+와이드MH더함-IF(AND(소장="추영덕",Y15=0),1.2)</f>
        <v>279.2</v>
      </c>
      <c r="E15" s="135">
        <f>'와이드(실측)'!E15-와이드OP</f>
        <v>900</v>
      </c>
      <c r="F15" s="31">
        <f>'와이드(실측)'!F15-와이드R</f>
        <v>985</v>
      </c>
      <c r="G15" s="50">
        <f>'와이드(실측)'!G15+와이드JBJD키움치수+IF(BI15=1,AC15,0)</f>
        <v>256.39999999999998</v>
      </c>
      <c r="H15" s="50">
        <f>'와이드(실측)'!H15+와이드JBJD키움치수+IF(BI15=1,AE15,0)</f>
        <v>260.39999999999998</v>
      </c>
      <c r="I15" s="50">
        <f>'와이드(실측)'!I15+MAX(AS15,AT15)+와이드JBJD키움치수+IF(BI15=1,AC15,0)</f>
        <v>270.39999999999998</v>
      </c>
      <c r="J15" s="50">
        <f>'와이드(실측)'!I15+MAX(AS15,AT15)+와이드JBJD키움치수+IF(BI15=1,AD15,0)-IF(와이드JB하부늘치=1,'와이드(실측)'!Y15-'와이드(실측)'!Z15,0)</f>
        <v>270.39999999999998</v>
      </c>
      <c r="K15" s="50">
        <f>'와이드(실측)'!J15+MAX(AS15,AT15)+와이드JBJD키움치수+IF(BI15=1,AE15,0)</f>
        <v>270.39999999999998</v>
      </c>
      <c r="L15" s="50">
        <f>'와이드(실측)'!J15+MAX(AS15,AT15)+와이드JBJD키움치수+IF(BI15=1,AF15,0)-IF(와이드JB하부늘치=1,'와이드(실측)'!AA15-'와이드(실측)'!AB15,0)</f>
        <v>270.39999999999998</v>
      </c>
      <c r="M15" s="31">
        <f t="shared" ref="M15:M18" si="25">IF(소장="손상민",0,O15-1.5)</f>
        <v>0</v>
      </c>
      <c r="N15" s="31">
        <f t="shared" ref="N15:N18" si="26">IF(소장="손상민",0,P15-1.5)</f>
        <v>0</v>
      </c>
      <c r="O15" s="31">
        <f>IF(S15&lt;9,'와이드(실측)'!K15+1.2,IF(ISNUMBER('와이드(실측)'!K15),'와이드(실측)'!K15+와이드C값,0))</f>
        <v>42.4</v>
      </c>
      <c r="P15" s="31">
        <f>IF(T15&lt;9,'와이드(실측)'!L15+1.2,IF(ISNUMBER('와이드(실측)'!L15),'와이드(실측)'!L15+와이드C값,0))</f>
        <v>42.4</v>
      </c>
      <c r="Q15" s="32">
        <f t="shared" ref="Q15:Q18" si="27">ROUNDUP(AV15,1)</f>
        <v>10.5</v>
      </c>
      <c r="R15" s="38">
        <f t="shared" ref="R15:R18" si="28">ROUNDUP(AW15,1)</f>
        <v>6.5</v>
      </c>
      <c r="S15" s="31">
        <f>IF(ISNUMBER('와이드(실측)'!O15),'와이드(실측)'!O15+와이드제작!AS15+와이드A늘림,0)</f>
        <v>17.2</v>
      </c>
      <c r="T15" s="31">
        <f>IF(ISNUMBER('와이드(실측)'!P15),'와이드(실측)'!P15+와이드제작!AT15+와이드A늘림,0)</f>
        <v>17.2</v>
      </c>
      <c r="U15" s="31">
        <f>'와이드(실측)'!Q15-와이드기둥차감</f>
        <v>2095</v>
      </c>
      <c r="V15" s="31">
        <f>'와이드(실측)'!R15-와이드기둥차감</f>
        <v>2090</v>
      </c>
      <c r="W15" s="31">
        <f>'와이드(실측)'!S15-와이드기둥차감</f>
        <v>2095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41.2</v>
      </c>
      <c r="Z15" s="31">
        <f>IF(소장="손상민",MAX(Q15,R15)+3.2,IF(ISNUMBER('와이드(실측)'!V15),'와이드(실측)'!V15+1.5+와이드제작!Q15+1,0))</f>
        <v>13.7</v>
      </c>
      <c r="AA15" s="31">
        <f>'와이드(실측)'!W15+뒷날개치수더함</f>
        <v>26.2</v>
      </c>
      <c r="AB15" s="31">
        <f>'와이드(실측)'!X15+뒷날개치수더함</f>
        <v>16.2</v>
      </c>
      <c r="AC15" s="31">
        <f>'와이드(실측)'!Y15-와이드늘치</f>
        <v>35</v>
      </c>
      <c r="AD15" s="31">
        <f>IF(와이드JB하부늘치=1,AC15,'와이드(실측)'!Z15-와이드늘치)</f>
        <v>35</v>
      </c>
      <c r="AE15" s="31">
        <f>'와이드(실측)'!AA15-와이드늘치</f>
        <v>35</v>
      </c>
      <c r="AF15" s="31">
        <f>IF(와이드JB하부늘치=1,AE15,'와이드(실측)'!AB15-와이드늘치)</f>
        <v>35</v>
      </c>
      <c r="AG15" s="31">
        <f xml:space="preserve"> IF(소장&lt;&gt;"손상민",IF('와이드(실측)'!AC15&gt;0,'와이드(실측)'!AC15,C15-1.2),IF('와이드(실측)'!AC15&gt;0,'와이드(실측)'!AC15+1.2,C15) )</f>
        <v>279.2</v>
      </c>
      <c r="AH15" s="31">
        <f xml:space="preserve"> IF(소장&lt;&gt;"손상민",IF('와이드(실측)'!AD15&gt;0,'와이드(실측)'!AD15,D15-1.2),IF('와이드(실측)'!AD15&gt;0,'와이드(실측)'!AD15+1.2,D15))</f>
        <v>279.2</v>
      </c>
      <c r="AI15" s="51">
        <f t="shared" ref="AI15:AI18" si="29">IF(Z15&gt;0,Z15-MAX(Q15,R15),0)</f>
        <v>3.1999999999999993</v>
      </c>
      <c r="AJ15" s="31" t="str">
        <f t="shared" ref="AJ15:AJ18" si="30">BA15&amp;"*"&amp;BB15</f>
        <v>985*598.4</v>
      </c>
      <c r="AK15" s="31" t="str">
        <f t="shared" ref="AK15:AK18" si="31">BD15&amp;"*"&amp;BC15</f>
        <v>2374.2*376.4</v>
      </c>
      <c r="AL15" s="31" t="str">
        <f t="shared" ref="AL15:AL18" si="32">BF15&amp;"*"&amp;BE15</f>
        <v>2374.2*376.4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100</v>
      </c>
      <c r="AP15" s="31">
        <f>IF('와이드(실측)'!AH15&gt;5,'와이드(실측)'!AH15+뒷날개치수더함,'와이드(실측)'!AH15)</f>
        <v>21.2</v>
      </c>
      <c r="AQ15" s="31">
        <f>'와이드(실측)'!AI15</f>
        <v>10</v>
      </c>
      <c r="AR15" s="31">
        <f>'와이드(실측)'!AJ15</f>
        <v>15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ref="AU15:AU18" si="33">DEGREES(ATAN((F15-E15)/2/(H15)))</f>
        <v>9.2695400771773251</v>
      </c>
      <c r="AV15" s="21">
        <f t="shared" ref="AV15:AV18" si="34">ABS(G15-COS(RADIANS(AU15))*I15)</f>
        <v>10.468978823252485</v>
      </c>
      <c r="AW15" s="21">
        <f t="shared" ref="AW15:AW18" si="35">ABS(H15-COS(RADIANS(AU15))*K15)</f>
        <v>6.4689788232524847</v>
      </c>
      <c r="AX15" s="21">
        <f>'와이드(실측)'!M15+AS15</f>
        <v>0</v>
      </c>
      <c r="AY15" s="21">
        <f>'와이드(실측)'!N15+AS15</f>
        <v>0</v>
      </c>
      <c r="AZ15" s="20">
        <f t="shared" ref="AZ15:AZ18" si="36">AV15-MAX(AX15,AY15)</f>
        <v>10.468978823252485</v>
      </c>
      <c r="BA15" s="41">
        <f t="shared" ref="BA15:BA18" si="37">IF(소장&lt;&gt;"손상민",F15+IF(Y15+Z15&gt;0,N15+M15,0),F15)</f>
        <v>985</v>
      </c>
      <c r="BB15" s="42">
        <f>MAX(C15,D15)+MAX(G15,H15)+AA15-1.2*$AJ$3+IF(BI15=0,MAX(AE15,AC15),0)+IF(Y15=0,1.2,0)+IF(Z15=0,1.2,0)+IF(소장&lt;&gt;"손상민", Y15+Z15,IF('와이드(실측)'!U15=0,0,2.4))</f>
        <v>598.4</v>
      </c>
      <c r="BC15" s="41">
        <f t="shared" ref="BC15:BC18" si="38">S15+O15+MAX(I15,J15)+AB15-1.2*$AL$3+IF(BI15=0,MAX(AD15,AC15),0)+IF(S15=0,1.2,0)-IF(AR15=90,2.4,0)</f>
        <v>376.4</v>
      </c>
      <c r="BD15" s="41">
        <f t="shared" ref="BD15:BD18" si="39">MAX(U15,V15)+AG15</f>
        <v>2374.1999999999998</v>
      </c>
      <c r="BE15" s="41">
        <f t="shared" ref="BE15:BE18" si="40">T15+P15+MAX(K15,L15)+AB15-1.2*$AL$3+IF(BI15=0,MAX(AE15,AF15),0)+IF(T15=0,1.2,0)-IF(AR15=90,2.4,0)</f>
        <v>376.4</v>
      </c>
      <c r="BF15" s="41">
        <f t="shared" ref="BF15:BF18" si="41">MAX(W15,X15)+AH15</f>
        <v>2374.1999999999998</v>
      </c>
      <c r="BG15" s="6">
        <f t="shared" ref="BG15:BG18" si="42">I15-G15-Q15</f>
        <v>3.5</v>
      </c>
      <c r="BH15" s="43" t="str">
        <f t="shared" ref="BH15:BH18" si="43">IF(AND(C15&lt;&gt;D15,Y15&gt;0),"NG","")</f>
        <v/>
      </c>
      <c r="BI15" s="77">
        <f t="shared" ref="BI15:BI18" si="44">IF(AND(MIN(AC15,AE15)&gt;=9.2,ABS(F15-E15)&gt;15),0,1)</f>
        <v>0</v>
      </c>
    </row>
    <row r="16" spans="1:61" ht="25.5" customHeight="1" x14ac:dyDescent="0.3">
      <c r="A16" s="31" t="str">
        <f>'와이드(실측)'!A16</f>
        <v>611-2</v>
      </c>
      <c r="B16" s="31" t="str">
        <f>'와이드(실측)'!B16&amp;"F"</f>
        <v>10F</v>
      </c>
      <c r="C16" s="31">
        <f>'와이드(실측)'!C16+와이드MH더함-IF(AND(소장="추영덕",Y16=0),1.2)</f>
        <v>269.2</v>
      </c>
      <c r="D16" s="31">
        <f>'와이드(실측)'!D16+와이드MH더함-IF(AND(소장="추영덕",Y16=0),1.2)</f>
        <v>269.2</v>
      </c>
      <c r="E16" s="135">
        <f>'와이드(실측)'!E16-와이드OP</f>
        <v>900</v>
      </c>
      <c r="F16" s="31">
        <f>'와이드(실측)'!F16-와이드R</f>
        <v>988</v>
      </c>
      <c r="G16" s="50">
        <f>'와이드(실측)'!G16+와이드JBJD키움치수+IF(BI16=1,AC16,0)</f>
        <v>270.39999999999998</v>
      </c>
      <c r="H16" s="50">
        <f>'와이드(실측)'!H16+와이드JBJD키움치수+IF(BI16=1,AE16,0)</f>
        <v>270.39999999999998</v>
      </c>
      <c r="I16" s="50">
        <f>'와이드(실측)'!I16+MAX(AS16,AT16)+와이드JBJD키움치수+IF(BI16=1,AC16,0)</f>
        <v>275.39999999999998</v>
      </c>
      <c r="J16" s="50">
        <f>'와이드(실측)'!I16+MAX(AS16,AT16)+와이드JBJD키움치수+IF(BI16=1,AD16,0)-IF(와이드JB하부늘치=1,'와이드(실측)'!Y16-'와이드(실측)'!Z16,0)</f>
        <v>275.39999999999998</v>
      </c>
      <c r="K16" s="50">
        <f>'와이드(실측)'!J16+MAX(AS16,AT16)+와이드JBJD키움치수+IF(BI16=1,AE16,0)</f>
        <v>275.39999999999998</v>
      </c>
      <c r="L16" s="50">
        <f>'와이드(실측)'!J16+MAX(AS16,AT16)+와이드JBJD키움치수+IF(BI16=1,AF16,0)-IF(와이드JB하부늘치=1,'와이드(실측)'!AA16-'와이드(실측)'!AB16,0)</f>
        <v>275.39999999999998</v>
      </c>
      <c r="M16" s="31">
        <f t="shared" si="25"/>
        <v>0</v>
      </c>
      <c r="N16" s="31">
        <f t="shared" si="26"/>
        <v>0</v>
      </c>
      <c r="O16" s="31">
        <f>IF(S16&lt;9,'와이드(실측)'!K16+1.2,IF(ISNUMBER('와이드(실측)'!K16),'와이드(실측)'!K16+와이드C값,0))</f>
        <v>42.4</v>
      </c>
      <c r="P16" s="31">
        <f>IF(T16&lt;9,'와이드(실측)'!L16+1.2,IF(ISNUMBER('와이드(실측)'!L16),'와이드(실측)'!L16+와이드C값,0))</f>
        <v>42.4</v>
      </c>
      <c r="Q16" s="32">
        <f t="shared" si="27"/>
        <v>1.5</v>
      </c>
      <c r="R16" s="38">
        <f t="shared" si="28"/>
        <v>1.5</v>
      </c>
      <c r="S16" s="31">
        <f>IF(ISNUMBER('와이드(실측)'!O16),'와이드(실측)'!O16+와이드제작!AS16+와이드A늘림,0)</f>
        <v>11.2</v>
      </c>
      <c r="T16" s="31">
        <f>IF(ISNUMBER('와이드(실측)'!P16),'와이드(실측)'!P16+와이드제작!AT16+와이드A늘림,0)</f>
        <v>12.2</v>
      </c>
      <c r="U16" s="31">
        <f>'와이드(실측)'!Q16-와이드기둥차감</f>
        <v>2105</v>
      </c>
      <c r="V16" s="31">
        <f>'와이드(실측)'!R16-와이드기둥차감</f>
        <v>2093</v>
      </c>
      <c r="W16" s="31">
        <f>'와이드(실측)'!S16-와이드기둥차감</f>
        <v>2110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46.2</v>
      </c>
      <c r="Z16" s="31">
        <f>IF(소장="손상민",MAX(Q16,R16)+3.2,IF(ISNUMBER('와이드(실측)'!V16),'와이드(실측)'!V16+1.5+와이드제작!Q16+1,0))</f>
        <v>4.7</v>
      </c>
      <c r="AA16" s="31">
        <f>'와이드(실측)'!W16+뒷날개치수더함</f>
        <v>26.2</v>
      </c>
      <c r="AB16" s="31">
        <f>'와이드(실측)'!X16+뒷날개치수더함</f>
        <v>31.2</v>
      </c>
      <c r="AC16" s="31">
        <f>'와이드(실측)'!Y16-와이드늘치</f>
        <v>35</v>
      </c>
      <c r="AD16" s="31">
        <f>IF(와이드JB하부늘치=1,AC16,'와이드(실측)'!Z16-와이드늘치)</f>
        <v>35</v>
      </c>
      <c r="AE16" s="31">
        <f>'와이드(실측)'!AA16-와이드늘치</f>
        <v>35</v>
      </c>
      <c r="AF16" s="31">
        <f>IF(와이드JB하부늘치=1,AE16,'와이드(실측)'!AB16-와이드늘치)</f>
        <v>35</v>
      </c>
      <c r="AG16" s="31">
        <f xml:space="preserve"> IF(소장&lt;&gt;"손상민",IF('와이드(실측)'!AC16&gt;0,'와이드(실측)'!AC16,C16-1.2),IF('와이드(실측)'!AC16&gt;0,'와이드(실측)'!AC16+1.2,C16) )</f>
        <v>269.2</v>
      </c>
      <c r="AH16" s="31">
        <f xml:space="preserve"> IF(소장&lt;&gt;"손상민",IF('와이드(실측)'!AD16&gt;0,'와이드(실측)'!AD16,D16-1.2),IF('와이드(실측)'!AD16&gt;0,'와이드(실측)'!AD16+1.2,D16))</f>
        <v>269.2</v>
      </c>
      <c r="AI16" s="51">
        <f t="shared" si="29"/>
        <v>3.2</v>
      </c>
      <c r="AJ16" s="31" t="str">
        <f t="shared" si="30"/>
        <v>988*598.4</v>
      </c>
      <c r="AK16" s="31" t="str">
        <f t="shared" si="31"/>
        <v>2374.2*390.4</v>
      </c>
      <c r="AL16" s="31" t="str">
        <f t="shared" si="32"/>
        <v>2379.2*391.4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100</v>
      </c>
      <c r="AP16" s="31">
        <f>IF('와이드(실측)'!AH16&gt;5,'와이드(실측)'!AH16+뒷날개치수더함,'와이드(실측)'!AH16)</f>
        <v>21.2</v>
      </c>
      <c r="AQ16" s="31">
        <f>'와이드(실측)'!AI16</f>
        <v>10</v>
      </c>
      <c r="AR16" s="31">
        <f>'와이드(실측)'!AJ16</f>
        <v>15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33"/>
        <v>9.2422722884664452</v>
      </c>
      <c r="AV16" s="21">
        <f t="shared" si="34"/>
        <v>1.4247675487958418</v>
      </c>
      <c r="AW16" s="21">
        <f t="shared" si="35"/>
        <v>1.4247675487958418</v>
      </c>
      <c r="AX16" s="21">
        <f>'와이드(실측)'!M16+AS16</f>
        <v>0</v>
      </c>
      <c r="AY16" s="21">
        <f>'와이드(실측)'!N16+AS16</f>
        <v>0</v>
      </c>
      <c r="AZ16" s="20">
        <f t="shared" si="36"/>
        <v>1.4247675487958418</v>
      </c>
      <c r="BA16" s="41">
        <f t="shared" si="37"/>
        <v>988</v>
      </c>
      <c r="BB16" s="42">
        <f>MAX(C16,D16)+MAX(G16,H16)+AA16-1.2*$AJ$3+IF(BI16=0,MAX(AE16,AC16),0)+IF(Y16=0,1.2,0)+IF(Z16=0,1.2,0)+IF(소장&lt;&gt;"손상민", Y16+Z16,IF('와이드(실측)'!U16=0,0,2.4))</f>
        <v>598.4</v>
      </c>
      <c r="BC16" s="41">
        <f t="shared" si="38"/>
        <v>390.4</v>
      </c>
      <c r="BD16" s="41">
        <f t="shared" si="39"/>
        <v>2374.1999999999998</v>
      </c>
      <c r="BE16" s="41">
        <f t="shared" si="40"/>
        <v>391.4</v>
      </c>
      <c r="BF16" s="41">
        <f t="shared" si="41"/>
        <v>2379.1999999999998</v>
      </c>
      <c r="BG16" s="6">
        <f t="shared" si="42"/>
        <v>3.5</v>
      </c>
      <c r="BH16" s="43" t="str">
        <f t="shared" si="43"/>
        <v/>
      </c>
      <c r="BI16" s="77">
        <f t="shared" si="44"/>
        <v>0</v>
      </c>
    </row>
    <row r="17" spans="1:61" ht="25.5" customHeight="1" x14ac:dyDescent="0.3">
      <c r="A17" s="31" t="str">
        <f>'와이드(실측)'!A17</f>
        <v>610-3</v>
      </c>
      <c r="B17" s="31" t="str">
        <f>'와이드(실측)'!B17&amp;"F"</f>
        <v>11F</v>
      </c>
      <c r="C17" s="31">
        <f>'와이드(실측)'!C17+와이드MH더함-IF(AND(소장="추영덕",Y17=0),1.2)</f>
        <v>269.2</v>
      </c>
      <c r="D17" s="31">
        <f>'와이드(실측)'!D17+와이드MH더함-IF(AND(소장="추영덕",Y17=0),1.2)</f>
        <v>269.2</v>
      </c>
      <c r="E17" s="135">
        <f>'와이드(실측)'!E17-와이드OP</f>
        <v>900</v>
      </c>
      <c r="F17" s="31">
        <f>'와이드(실측)'!F17-와이드R</f>
        <v>988</v>
      </c>
      <c r="G17" s="50">
        <f>'와이드(실측)'!G17+와이드JBJD키움치수+IF(BI17=1,AC17,0)</f>
        <v>250.4</v>
      </c>
      <c r="H17" s="50">
        <f>'와이드(실측)'!H17+와이드JBJD키움치수+IF(BI17=1,AE17,0)</f>
        <v>250.4</v>
      </c>
      <c r="I17" s="50">
        <f>'와이드(실측)'!I17+MAX(AS17,AT17)+와이드JBJD키움치수+IF(BI17=1,AC17,0)</f>
        <v>270.39999999999998</v>
      </c>
      <c r="J17" s="50">
        <f>'와이드(실측)'!I17+MAX(AS17,AT17)+와이드JBJD키움치수+IF(BI17=1,AD17,0)-IF(와이드JB하부늘치=1,'와이드(실측)'!Y17-'와이드(실측)'!Z17,0)</f>
        <v>267.39999999999998</v>
      </c>
      <c r="K17" s="50">
        <f>'와이드(실측)'!J17+MAX(AS17,AT17)+와이드JBJD키움치수+IF(BI17=1,AE17,0)</f>
        <v>270.39999999999998</v>
      </c>
      <c r="L17" s="50">
        <f>'와이드(실측)'!J17+MAX(AS17,AT17)+와이드JBJD키움치수+IF(BI17=1,AF17,0)-IF(와이드JB하부늘치=1,'와이드(실측)'!AA17-'와이드(실측)'!AB17,0)</f>
        <v>265.39999999999998</v>
      </c>
      <c r="M17" s="31">
        <f t="shared" si="25"/>
        <v>0</v>
      </c>
      <c r="N17" s="31">
        <f t="shared" si="26"/>
        <v>0</v>
      </c>
      <c r="O17" s="31">
        <f>IF(S17&lt;9,'와이드(실측)'!K17+1.2,IF(ISNUMBER('와이드(실측)'!K17),'와이드(실측)'!K17+와이드C값,0))</f>
        <v>42.4</v>
      </c>
      <c r="P17" s="31">
        <f>IF(T17&lt;9,'와이드(실측)'!L17+1.2,IF(ISNUMBER('와이드(실측)'!L17),'와이드(실측)'!L17+와이드C값,0))</f>
        <v>42.4</v>
      </c>
      <c r="Q17" s="32">
        <f t="shared" si="27"/>
        <v>16</v>
      </c>
      <c r="R17" s="38">
        <f t="shared" si="28"/>
        <v>16</v>
      </c>
      <c r="S17" s="31">
        <f>IF(ISNUMBER('와이드(실측)'!O17),'와이드(실측)'!O17+와이드제작!AS17+와이드A늘림,0)</f>
        <v>13.2</v>
      </c>
      <c r="T17" s="31">
        <f>IF(ISNUMBER('와이드(실측)'!P17),'와이드(실측)'!P17+와이드제작!AT17+와이드A늘림,0)</f>
        <v>10.199999999999999</v>
      </c>
      <c r="U17" s="31">
        <f>'와이드(실측)'!Q17-와이드기둥차감</f>
        <v>2109</v>
      </c>
      <c r="V17" s="31">
        <f>'와이드(실측)'!R17-와이드기둥차감</f>
        <v>2091</v>
      </c>
      <c r="W17" s="31">
        <f>'와이드(실측)'!S17-와이드기둥차감</f>
        <v>2111</v>
      </c>
      <c r="X17" s="31">
        <f>'와이드(실측)'!T17-와이드기둥차감</f>
        <v>2090</v>
      </c>
      <c r="Y17" s="31">
        <f>IF(소장="손상민",IF(ISNUMBER('와이드(실측)'!U17),'와이드(실측)'!U17+1.2,0),IF(ISNUMBER('와이드(실측)'!U17),'와이드(실측)'!U17+와이드U,0))</f>
        <v>36.200000000000003</v>
      </c>
      <c r="Z17" s="31">
        <f>IF(소장="손상민",MAX(Q17,R17)+3.2,IF(ISNUMBER('와이드(실측)'!V17),'와이드(실측)'!V17+1.5+와이드제작!Q17+1,0))</f>
        <v>19.2</v>
      </c>
      <c r="AA17" s="31">
        <f>'와이드(실측)'!W17+뒷날개치수더함</f>
        <v>26.2</v>
      </c>
      <c r="AB17" s="31">
        <f>'와이드(실측)'!X17+뒷날개치수더함</f>
        <v>31.2</v>
      </c>
      <c r="AC17" s="31">
        <f>'와이드(실측)'!Y17-와이드늘치</f>
        <v>35</v>
      </c>
      <c r="AD17" s="31">
        <f>IF(와이드JB하부늘치=1,AC17,'와이드(실측)'!Z17-와이드늘치)</f>
        <v>35</v>
      </c>
      <c r="AE17" s="31">
        <f>'와이드(실측)'!AA17-와이드늘치</f>
        <v>30</v>
      </c>
      <c r="AF17" s="31">
        <f>IF(와이드JB하부늘치=1,AE17,'와이드(실측)'!AB17-와이드늘치)</f>
        <v>30</v>
      </c>
      <c r="AG17" s="31">
        <f xml:space="preserve"> IF(소장&lt;&gt;"손상민",IF('와이드(실측)'!AC17&gt;0,'와이드(실측)'!AC17,C17-1.2),IF('와이드(실측)'!AC17&gt;0,'와이드(실측)'!AC17+1.2,C17) )</f>
        <v>269.2</v>
      </c>
      <c r="AH17" s="31">
        <f xml:space="preserve"> IF(소장&lt;&gt;"손상민",IF('와이드(실측)'!AD17&gt;0,'와이드(실측)'!AD17,D17-1.2),IF('와이드(실측)'!AD17&gt;0,'와이드(실측)'!AD17+1.2,D17))</f>
        <v>269.2</v>
      </c>
      <c r="AI17" s="51">
        <f t="shared" si="29"/>
        <v>3.1999999999999993</v>
      </c>
      <c r="AJ17" s="31" t="str">
        <f t="shared" si="30"/>
        <v>988*578.4</v>
      </c>
      <c r="AK17" s="31" t="str">
        <f t="shared" si="31"/>
        <v>2378.2*387.4</v>
      </c>
      <c r="AL17" s="31" t="str">
        <f t="shared" si="32"/>
        <v>2380.2*379.4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100</v>
      </c>
      <c r="AP17" s="31">
        <f>IF('와이드(실측)'!AH17&gt;5,'와이드(실측)'!AH17+뒷날개치수더함,'와이드(실측)'!AH17)</f>
        <v>21.2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33"/>
        <v>9.9662038121159817</v>
      </c>
      <c r="AV17" s="21">
        <f t="shared" si="34"/>
        <v>15.919666403274192</v>
      </c>
      <c r="AW17" s="21">
        <f t="shared" si="35"/>
        <v>15.919666403274192</v>
      </c>
      <c r="AX17" s="21">
        <f>'와이드(실측)'!M17+AS17</f>
        <v>0</v>
      </c>
      <c r="AY17" s="21">
        <f>'와이드(실측)'!N17+AS17</f>
        <v>0</v>
      </c>
      <c r="AZ17" s="20">
        <f t="shared" si="36"/>
        <v>15.919666403274192</v>
      </c>
      <c r="BA17" s="41">
        <f t="shared" si="37"/>
        <v>988</v>
      </c>
      <c r="BB17" s="42">
        <f>MAX(C17,D17)+MAX(G17,H17)+AA17-1.2*$AJ$3+IF(BI17=0,MAX(AE17,AC17),0)+IF(Y17=0,1.2,0)+IF(Z17=0,1.2,0)+IF(소장&lt;&gt;"손상민", Y17+Z17,IF('와이드(실측)'!U17=0,0,2.4))</f>
        <v>578.40000000000009</v>
      </c>
      <c r="BC17" s="41">
        <f t="shared" si="38"/>
        <v>387.4</v>
      </c>
      <c r="BD17" s="41">
        <f t="shared" si="39"/>
        <v>2378.1999999999998</v>
      </c>
      <c r="BE17" s="41">
        <f t="shared" si="40"/>
        <v>379.4</v>
      </c>
      <c r="BF17" s="41">
        <f t="shared" si="41"/>
        <v>2380.1999999999998</v>
      </c>
      <c r="BG17" s="6">
        <f t="shared" si="42"/>
        <v>3.9999999999999716</v>
      </c>
      <c r="BH17" s="43" t="str">
        <f t="shared" si="43"/>
        <v/>
      </c>
      <c r="BI17" s="77">
        <f t="shared" si="44"/>
        <v>0</v>
      </c>
    </row>
    <row r="18" spans="1:61" ht="25.5" customHeight="1" x14ac:dyDescent="0.3">
      <c r="A18" s="31" t="str">
        <f>'와이드(실측)'!A18</f>
        <v>611-3</v>
      </c>
      <c r="B18" s="31" t="str">
        <f>'와이드(실측)'!B18&amp;"F"</f>
        <v>12F</v>
      </c>
      <c r="C18" s="31">
        <f>'와이드(실측)'!C18+와이드MH더함-IF(AND(소장="추영덕",Y18=0),1.2)</f>
        <v>259.2</v>
      </c>
      <c r="D18" s="31">
        <f>'와이드(실측)'!D18+와이드MH더함-IF(AND(소장="추영덕",Y18=0),1.2)</f>
        <v>259.2</v>
      </c>
      <c r="E18" s="135">
        <f>'와이드(실측)'!E18-와이드OP</f>
        <v>899</v>
      </c>
      <c r="F18" s="31">
        <f>'와이드(실측)'!F18-와이드R</f>
        <v>992</v>
      </c>
      <c r="G18" s="50">
        <f>'와이드(실측)'!G18+와이드JBJD키움치수+IF(BI18=1,AC18,0)</f>
        <v>255.4</v>
      </c>
      <c r="H18" s="50">
        <f>'와이드(실측)'!H18+와이드JBJD키움치수+IF(BI18=1,AE18,0)</f>
        <v>255.4</v>
      </c>
      <c r="I18" s="50">
        <f>'와이드(실측)'!I18+MAX(AS18,AT18)+와이드JBJD키움치수+IF(BI18=1,AC18,0)</f>
        <v>291.39999999999998</v>
      </c>
      <c r="J18" s="50">
        <f>'와이드(실측)'!I18+MAX(AS18,AT18)+와이드JBJD키움치수+IF(BI18=1,AD18,0)-IF(와이드JB하부늘치=1,'와이드(실측)'!Y18-'와이드(실측)'!Z18,0)</f>
        <v>296.39999999999998</v>
      </c>
      <c r="K18" s="50">
        <f>'와이드(실측)'!J18+MAX(AS18,AT18)+와이드JBJD키움치수+IF(BI18=1,AE18,0)</f>
        <v>291.39999999999998</v>
      </c>
      <c r="L18" s="50">
        <f>'와이드(실측)'!J18+MAX(AS18,AT18)+와이드JBJD키움치수+IF(BI18=1,AF18,0)-IF(와이드JB하부늘치=1,'와이드(실측)'!AA18-'와이드(실측)'!AB18,0)</f>
        <v>276.39999999999998</v>
      </c>
      <c r="M18" s="31">
        <f t="shared" si="25"/>
        <v>0</v>
      </c>
      <c r="N18" s="31">
        <f t="shared" si="26"/>
        <v>0</v>
      </c>
      <c r="O18" s="31">
        <f>IF(S18&lt;9,'와이드(실측)'!K18+1.2,IF(ISNUMBER('와이드(실측)'!K18),'와이드(실측)'!K18+와이드C값,0))</f>
        <v>42.4</v>
      </c>
      <c r="P18" s="31">
        <f>IF(T18&lt;9,'와이드(실측)'!L18+1.2,IF(ISNUMBER('와이드(실측)'!L18),'와이드(실측)'!L18+와이드C값,0))</f>
        <v>42.4</v>
      </c>
      <c r="Q18" s="32">
        <f t="shared" si="27"/>
        <v>31.3</v>
      </c>
      <c r="R18" s="38">
        <f t="shared" si="28"/>
        <v>31.3</v>
      </c>
      <c r="S18" s="31">
        <f>IF(ISNUMBER('와이드(실측)'!O18),'와이드(실측)'!O18+와이드제작!AS18+와이드A늘림,0)</f>
        <v>10.199999999999999</v>
      </c>
      <c r="T18" s="31">
        <f>IF(ISNUMBER('와이드(실측)'!P18),'와이드(실측)'!P18+와이드제작!AT18+와이드A늘림,0)</f>
        <v>10.199999999999999</v>
      </c>
      <c r="U18" s="31">
        <f>'와이드(실측)'!Q18-와이드기둥차감</f>
        <v>2098</v>
      </c>
      <c r="V18" s="31">
        <f>'와이드(실측)'!R18-와이드기둥차감</f>
        <v>2091</v>
      </c>
      <c r="W18" s="31">
        <f>'와이드(실측)'!S18-와이드기둥차감</f>
        <v>2100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34.200000000000003</v>
      </c>
      <c r="Z18" s="31">
        <f>IF(소장="손상민",MAX(Q18,R18)+3.2,IF(ISNUMBER('와이드(실측)'!V18),'와이드(실측)'!V18+1.5+와이드제작!Q18+1,0))</f>
        <v>34.5</v>
      </c>
      <c r="AA18" s="31">
        <f>'와이드(실측)'!W18+뒷날개치수더함</f>
        <v>26.2</v>
      </c>
      <c r="AB18" s="31">
        <f>'와이드(실측)'!X18+뒷날개치수더함</f>
        <v>31.2</v>
      </c>
      <c r="AC18" s="31">
        <f>'와이드(실측)'!Y18-와이드늘치</f>
        <v>30</v>
      </c>
      <c r="AD18" s="31">
        <f>IF(와이드JB하부늘치=1,AC18,'와이드(실측)'!Z18-와이드늘치)</f>
        <v>30</v>
      </c>
      <c r="AE18" s="31">
        <f>'와이드(실측)'!AA18-와이드늘치</f>
        <v>35</v>
      </c>
      <c r="AF18" s="31">
        <f>IF(와이드JB하부늘치=1,AE18,'와이드(실측)'!AB18-와이드늘치)</f>
        <v>35</v>
      </c>
      <c r="AG18" s="31">
        <f xml:space="preserve"> IF(소장&lt;&gt;"손상민",IF('와이드(실측)'!AC18&gt;0,'와이드(실측)'!AC18,C18-1.2),IF('와이드(실측)'!AC18&gt;0,'와이드(실측)'!AC18+1.2,C18) )</f>
        <v>259.2</v>
      </c>
      <c r="AH18" s="31">
        <f xml:space="preserve"> IF(소장&lt;&gt;"손상민",IF('와이드(실측)'!AD18&gt;0,'와이드(실측)'!AD18,D18-1.2),IF('와이드(실측)'!AD18&gt;0,'와이드(실측)'!AD18+1.2,D18))</f>
        <v>259.2</v>
      </c>
      <c r="AI18" s="51">
        <f t="shared" si="29"/>
        <v>3.1999999999999993</v>
      </c>
      <c r="AJ18" s="31" t="str">
        <f t="shared" si="30"/>
        <v>992*573.4</v>
      </c>
      <c r="AK18" s="31" t="str">
        <f t="shared" si="31"/>
        <v>2357.2*405.4</v>
      </c>
      <c r="AL18" s="31" t="str">
        <f t="shared" si="32"/>
        <v>2359.2*405.4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100</v>
      </c>
      <c r="AP18" s="31">
        <f>IF('와이드(실측)'!AH18&gt;5,'와이드(실측)'!AH18+뒷날개치수더함,'와이드(실측)'!AH18)</f>
        <v>21.2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33"/>
        <v>10.318665048176697</v>
      </c>
      <c r="AV18" s="21">
        <f t="shared" si="34"/>
        <v>31.287111437975881</v>
      </c>
      <c r="AW18" s="21">
        <f t="shared" si="35"/>
        <v>31.287111437975881</v>
      </c>
      <c r="AX18" s="21">
        <f>'와이드(실측)'!M18+AS18</f>
        <v>0</v>
      </c>
      <c r="AY18" s="21">
        <f>'와이드(실측)'!N18+AS18</f>
        <v>0</v>
      </c>
      <c r="AZ18" s="20">
        <f t="shared" si="36"/>
        <v>31.287111437975881</v>
      </c>
      <c r="BA18" s="41">
        <f t="shared" si="37"/>
        <v>992</v>
      </c>
      <c r="BB18" s="42">
        <f>MAX(C18,D18)+MAX(G18,H18)+AA18-1.2*$AJ$3+IF(BI18=0,MAX(AE18,AC18),0)+IF(Y18=0,1.2,0)+IF(Z18=0,1.2,0)+IF(소장&lt;&gt;"손상민", Y18+Z18,IF('와이드(실측)'!U18=0,0,2.4))</f>
        <v>573.40000000000009</v>
      </c>
      <c r="BC18" s="41">
        <f t="shared" si="38"/>
        <v>405.4</v>
      </c>
      <c r="BD18" s="41">
        <f t="shared" si="39"/>
        <v>2357.1999999999998</v>
      </c>
      <c r="BE18" s="41">
        <f t="shared" si="40"/>
        <v>405.4</v>
      </c>
      <c r="BF18" s="41">
        <f t="shared" si="41"/>
        <v>2359.1999999999998</v>
      </c>
      <c r="BG18" s="6">
        <f t="shared" si="42"/>
        <v>4.6999999999999709</v>
      </c>
      <c r="BH18" s="43" t="str">
        <f t="shared" si="43"/>
        <v/>
      </c>
      <c r="BI18" s="77">
        <f t="shared" si="44"/>
        <v>0</v>
      </c>
    </row>
    <row r="19" spans="1:61" ht="25.5" customHeight="1" x14ac:dyDescent="0.3">
      <c r="A19" s="31" t="str">
        <f>'와이드(실측)'!A19</f>
        <v>610-3</v>
      </c>
      <c r="B19" s="31" t="str">
        <f>'와이드(실측)'!B19&amp;"F"</f>
        <v>11F</v>
      </c>
      <c r="C19" s="31">
        <f>'와이드(실측)'!C19+와이드MH더함-IF(AND(소장="추영덕",Y19=0),1.2)</f>
        <v>269.2</v>
      </c>
      <c r="D19" s="31">
        <f>'와이드(실측)'!D19+와이드MH더함-IF(AND(소장="추영덕",Y19=0),1.2)</f>
        <v>269.2</v>
      </c>
      <c r="E19" s="135">
        <f>'와이드(실측)'!E19-와이드OP</f>
        <v>900</v>
      </c>
      <c r="F19" s="31">
        <f>'와이드(실측)'!F19-와이드R</f>
        <v>988</v>
      </c>
      <c r="G19" s="50">
        <f>'와이드(실측)'!G19+와이드JBJD키움치수+IF(BI19=1,AC19,0)</f>
        <v>250.4</v>
      </c>
      <c r="H19" s="50">
        <f>'와이드(실측)'!H19+와이드JBJD키움치수+IF(BI19=1,AE19,0)</f>
        <v>250.4</v>
      </c>
      <c r="I19" s="50">
        <f>'와이드(실측)'!I19+MAX(AS19,AT19)+와이드JBJD키움치수+IF(BI19=1,AC19,0)</f>
        <v>270.39999999999998</v>
      </c>
      <c r="J19" s="50">
        <f>'와이드(실측)'!I19+MAX(AS19,AT19)+와이드JBJD키움치수+IF(BI19=1,AD19,0)-IF(와이드JB하부늘치=1,'와이드(실측)'!Y19-'와이드(실측)'!Z19,0)</f>
        <v>267.39999999999998</v>
      </c>
      <c r="K19" s="50">
        <f>'와이드(실측)'!J19+MAX(AS19,AT19)+와이드JBJD키움치수+IF(BI19=1,AE19,0)</f>
        <v>270.39999999999998</v>
      </c>
      <c r="L19" s="50">
        <f>'와이드(실측)'!J19+MAX(AS19,AT19)+와이드JBJD키움치수+IF(BI19=1,AF19,0)-IF(와이드JB하부늘치=1,'와이드(실측)'!AA19-'와이드(실측)'!AB19,0)</f>
        <v>265.39999999999998</v>
      </c>
      <c r="M19" s="31">
        <f t="shared" ref="M19:M20" si="45">IF(소장="손상민",0,O19-1.5)</f>
        <v>0</v>
      </c>
      <c r="N19" s="31">
        <f t="shared" ref="N19:N20" si="46">IF(소장="손상민",0,P19-1.5)</f>
        <v>0</v>
      </c>
      <c r="O19" s="31">
        <f>IF(S19&lt;9,'와이드(실측)'!K19+1.2,IF(ISNUMBER('와이드(실측)'!K19),'와이드(실측)'!K19+와이드C값,0))</f>
        <v>42.4</v>
      </c>
      <c r="P19" s="31">
        <f>IF(T19&lt;9,'와이드(실측)'!L19+1.2,IF(ISNUMBER('와이드(실측)'!L19),'와이드(실측)'!L19+와이드C값,0))</f>
        <v>42.4</v>
      </c>
      <c r="Q19" s="32">
        <f t="shared" ref="Q19:Q20" si="47">ROUNDUP(AV19,1)</f>
        <v>16</v>
      </c>
      <c r="R19" s="38">
        <f t="shared" ref="R19:R20" si="48">ROUNDUP(AW19,1)</f>
        <v>16</v>
      </c>
      <c r="S19" s="31">
        <f>IF(ISNUMBER('와이드(실측)'!O19),'와이드(실측)'!O19+와이드제작!AS19+와이드A늘림,0)</f>
        <v>13.2</v>
      </c>
      <c r="T19" s="31">
        <f>IF(ISNUMBER('와이드(실측)'!P19),'와이드(실측)'!P19+와이드제작!AT19+와이드A늘림,0)</f>
        <v>10.199999999999999</v>
      </c>
      <c r="U19" s="31">
        <f>'와이드(실측)'!Q19-와이드기둥차감</f>
        <v>2109</v>
      </c>
      <c r="V19" s="31">
        <f>'와이드(실측)'!R19-와이드기둥차감</f>
        <v>2091</v>
      </c>
      <c r="W19" s="31">
        <f>'와이드(실측)'!S19-와이드기둥차감</f>
        <v>2111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36.200000000000003</v>
      </c>
      <c r="Z19" s="31">
        <f>IF(소장="손상민",MAX(Q19,R19)+3.2,IF(ISNUMBER('와이드(실측)'!V19),'와이드(실측)'!V19+1.5+와이드제작!Q19+1,0))</f>
        <v>19.2</v>
      </c>
      <c r="AA19" s="31">
        <f>'와이드(실측)'!W19+뒷날개치수더함</f>
        <v>26.2</v>
      </c>
      <c r="AB19" s="31">
        <f>'와이드(실측)'!X19+뒷날개치수더함</f>
        <v>31.2</v>
      </c>
      <c r="AC19" s="31">
        <f>'와이드(실측)'!Y19-와이드늘치</f>
        <v>35</v>
      </c>
      <c r="AD19" s="31">
        <f>IF(와이드JB하부늘치=1,AC19,'와이드(실측)'!Z19-와이드늘치)</f>
        <v>35</v>
      </c>
      <c r="AE19" s="31">
        <f>'와이드(실측)'!AA19-와이드늘치</f>
        <v>30</v>
      </c>
      <c r="AF19" s="31">
        <f>IF(와이드JB하부늘치=1,AE19,'와이드(실측)'!AB19-와이드늘치)</f>
        <v>30</v>
      </c>
      <c r="AG19" s="31">
        <f xml:space="preserve"> IF(소장&lt;&gt;"손상민",IF('와이드(실측)'!AC19&gt;0,'와이드(실측)'!AC19,C19-1.2),IF('와이드(실측)'!AC19&gt;0,'와이드(실측)'!AC19+1.2,C19) )</f>
        <v>269.2</v>
      </c>
      <c r="AH19" s="31">
        <f xml:space="preserve"> IF(소장&lt;&gt;"손상민",IF('와이드(실측)'!AD19&gt;0,'와이드(실측)'!AD19,D19-1.2),IF('와이드(실측)'!AD19&gt;0,'와이드(실측)'!AD19+1.2,D19))</f>
        <v>269.2</v>
      </c>
      <c r="AI19" s="51">
        <f t="shared" ref="AI19:AI20" si="49">IF(Z19&gt;0,Z19-MAX(Q19,R19),0)</f>
        <v>3.1999999999999993</v>
      </c>
      <c r="AJ19" s="31" t="str">
        <f t="shared" ref="AJ19:AJ20" si="50">BA19&amp;"*"&amp;BB19</f>
        <v>988*578.4</v>
      </c>
      <c r="AK19" s="31" t="str">
        <f t="shared" ref="AK19:AK20" si="51">BD19&amp;"*"&amp;BC19</f>
        <v>2378.2*387.4</v>
      </c>
      <c r="AL19" s="31" t="str">
        <f t="shared" ref="AL19:AL20" si="52">BF19&amp;"*"&amp;BE19</f>
        <v>2380.2*379.4</v>
      </c>
      <c r="AM19" s="31">
        <f>IF('와이드(실측)'!AE19&gt;0,'와이드(실측)'!AE19-'와이드(실측)'!W19+1.2,0)</f>
        <v>56.2</v>
      </c>
      <c r="AN19" s="31">
        <f>IF('와이드(실측)'!AF19&gt;0,'와이드(실측)'!AF19-'와이드(실측)'!W19+1.2,0)</f>
        <v>59.2</v>
      </c>
      <c r="AO19" s="31">
        <f>'와이드(실측)'!AG19</f>
        <v>100</v>
      </c>
      <c r="AP19" s="31">
        <f>IF('와이드(실측)'!AH19&gt;5,'와이드(실측)'!AH19+뒷날개치수더함,'와이드(실측)'!AH19)</f>
        <v>21.2</v>
      </c>
      <c r="AQ19" s="31">
        <f>'와이드(실측)'!AI19</f>
        <v>10</v>
      </c>
      <c r="AR19" s="31">
        <f>'와이드(실측)'!AJ19</f>
        <v>10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0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0</v>
      </c>
      <c r="AU19" s="20">
        <f t="shared" ref="AU19:AU20" si="53">DEGREES(ATAN((F19-E19)/2/(H19)))</f>
        <v>9.9662038121159817</v>
      </c>
      <c r="AV19" s="21">
        <f t="shared" ref="AV19:AV20" si="54">ABS(G19-COS(RADIANS(AU19))*I19)</f>
        <v>15.919666403274192</v>
      </c>
      <c r="AW19" s="21">
        <f t="shared" ref="AW19:AW20" si="55">ABS(H19-COS(RADIANS(AU19))*K19)</f>
        <v>15.919666403274192</v>
      </c>
      <c r="AX19" s="21">
        <f>'와이드(실측)'!M19+AS19</f>
        <v>0</v>
      </c>
      <c r="AY19" s="21">
        <f>'와이드(실측)'!N19+AS19</f>
        <v>0</v>
      </c>
      <c r="AZ19" s="20">
        <f t="shared" ref="AZ19:AZ20" si="56">AV19-MAX(AX19,AY19)</f>
        <v>15.919666403274192</v>
      </c>
      <c r="BA19" s="41">
        <f t="shared" ref="BA19:BA20" si="57">IF(소장&lt;&gt;"손상민",F19+IF(Y19+Z19&gt;0,N19+M19,0),F19)</f>
        <v>988</v>
      </c>
      <c r="BB19" s="42">
        <f>MAX(C19,D19)+MAX(G19,H19)+AA19-1.2*$AJ$3+IF(BI19=0,MAX(AE19,AC19),0)+IF(Y19=0,1.2,0)+IF(Z19=0,1.2,0)+IF(소장&lt;&gt;"손상민", Y19+Z19,IF('와이드(실측)'!U19=0,0,2.4))</f>
        <v>578.40000000000009</v>
      </c>
      <c r="BC19" s="41">
        <f t="shared" ref="BC19:BC20" si="58">S19+O19+MAX(I19,J19)+AB19-1.2*$AL$3+IF(BI19=0,MAX(AD19,AC19),0)+IF(S19=0,1.2,0)-IF(AR19=90,2.4,0)</f>
        <v>387.4</v>
      </c>
      <c r="BD19" s="41">
        <f t="shared" ref="BD19:BD20" si="59">MAX(U19,V19)+AG19</f>
        <v>2378.1999999999998</v>
      </c>
      <c r="BE19" s="41">
        <f t="shared" ref="BE19:BE20" si="60">T19+P19+MAX(K19,L19)+AB19-1.2*$AL$3+IF(BI19=0,MAX(AE19,AF19),0)+IF(T19=0,1.2,0)-IF(AR19=90,2.4,0)</f>
        <v>379.4</v>
      </c>
      <c r="BF19" s="41">
        <f t="shared" ref="BF19:BF20" si="61">MAX(W19,X19)+AH19</f>
        <v>2380.1999999999998</v>
      </c>
      <c r="BG19" s="6">
        <f t="shared" ref="BG19:BG20" si="62">I19-G19-Q19</f>
        <v>3.9999999999999716</v>
      </c>
      <c r="BH19" s="43" t="str">
        <f t="shared" ref="BH19:BH20" si="63">IF(AND(C19&lt;&gt;D19,Y19&gt;0),"NG","")</f>
        <v/>
      </c>
      <c r="BI19" s="77">
        <f t="shared" ref="BI19:BI20" si="64">IF(AND(MIN(AC19,AE19)&gt;=9.2,ABS(F19-E19)&gt;15),0,1)</f>
        <v>0</v>
      </c>
    </row>
    <row r="20" spans="1:61" ht="25.5" customHeight="1" x14ac:dyDescent="0.3">
      <c r="A20" s="31" t="str">
        <f>'와이드(실측)'!A20</f>
        <v>611-3</v>
      </c>
      <c r="B20" s="31" t="str">
        <f>'와이드(실측)'!B20&amp;"F"</f>
        <v>12F</v>
      </c>
      <c r="C20" s="31">
        <f>'와이드(실측)'!C20+와이드MH더함-IF(AND(소장="추영덕",Y20=0),1.2)</f>
        <v>259.2</v>
      </c>
      <c r="D20" s="31">
        <f>'와이드(실측)'!D20+와이드MH더함-IF(AND(소장="추영덕",Y20=0),1.2)</f>
        <v>259.2</v>
      </c>
      <c r="E20" s="135">
        <f>'와이드(실측)'!E20-와이드OP</f>
        <v>899</v>
      </c>
      <c r="F20" s="31">
        <f>'와이드(실측)'!F20-와이드R</f>
        <v>992</v>
      </c>
      <c r="G20" s="50">
        <f>'와이드(실측)'!G20+와이드JBJD키움치수+IF(BI20=1,AC20,0)</f>
        <v>255.4</v>
      </c>
      <c r="H20" s="50">
        <f>'와이드(실측)'!H20+와이드JBJD키움치수+IF(BI20=1,AE20,0)</f>
        <v>255.4</v>
      </c>
      <c r="I20" s="50">
        <f>'와이드(실측)'!I20+MAX(AS20,AT20)+와이드JBJD키움치수+IF(BI20=1,AC20,0)</f>
        <v>291.39999999999998</v>
      </c>
      <c r="J20" s="50">
        <f>'와이드(실측)'!I20+MAX(AS20,AT20)+와이드JBJD키움치수+IF(BI20=1,AD20,0)-IF(와이드JB하부늘치=1,'와이드(실측)'!Y20-'와이드(실측)'!Z20,0)</f>
        <v>296.39999999999998</v>
      </c>
      <c r="K20" s="50">
        <f>'와이드(실측)'!J20+MAX(AS20,AT20)+와이드JBJD키움치수+IF(BI20=1,AE20,0)</f>
        <v>291.39999999999998</v>
      </c>
      <c r="L20" s="50">
        <f>'와이드(실측)'!J20+MAX(AS20,AT20)+와이드JBJD키움치수+IF(BI20=1,AF20,0)-IF(와이드JB하부늘치=1,'와이드(실측)'!AA20-'와이드(실측)'!AB20,0)</f>
        <v>276.39999999999998</v>
      </c>
      <c r="M20" s="31">
        <f t="shared" si="45"/>
        <v>0</v>
      </c>
      <c r="N20" s="31">
        <f t="shared" si="46"/>
        <v>0</v>
      </c>
      <c r="O20" s="31">
        <f>IF(S20&lt;9,'와이드(실측)'!K20+1.2,IF(ISNUMBER('와이드(실측)'!K20),'와이드(실측)'!K20+와이드C값,0))</f>
        <v>42.4</v>
      </c>
      <c r="P20" s="31">
        <f>IF(T20&lt;9,'와이드(실측)'!L20+1.2,IF(ISNUMBER('와이드(실측)'!L20),'와이드(실측)'!L20+와이드C값,0))</f>
        <v>42.4</v>
      </c>
      <c r="Q20" s="32">
        <f t="shared" si="47"/>
        <v>31.3</v>
      </c>
      <c r="R20" s="38">
        <f t="shared" si="48"/>
        <v>31.3</v>
      </c>
      <c r="S20" s="31">
        <f>IF(ISNUMBER('와이드(실측)'!O20),'와이드(실측)'!O20+와이드제작!AS20+와이드A늘림,0)</f>
        <v>10.199999999999999</v>
      </c>
      <c r="T20" s="31">
        <f>IF(ISNUMBER('와이드(실측)'!P20),'와이드(실측)'!P20+와이드제작!AT20+와이드A늘림,0)</f>
        <v>10.199999999999999</v>
      </c>
      <c r="U20" s="31">
        <f>'와이드(실측)'!Q20-와이드기둥차감</f>
        <v>2098</v>
      </c>
      <c r="V20" s="31">
        <f>'와이드(실측)'!R20-와이드기둥차감</f>
        <v>2091</v>
      </c>
      <c r="W20" s="31">
        <f>'와이드(실측)'!S20-와이드기둥차감</f>
        <v>2100</v>
      </c>
      <c r="X20" s="31">
        <f>'와이드(실측)'!T20-와이드기둥차감</f>
        <v>2090</v>
      </c>
      <c r="Y20" s="31">
        <f>IF(소장="손상민",IF(ISNUMBER('와이드(실측)'!U20),'와이드(실측)'!U20+1.2,0),IF(ISNUMBER('와이드(실측)'!U20),'와이드(실측)'!U20+와이드U,0))</f>
        <v>34.200000000000003</v>
      </c>
      <c r="Z20" s="31">
        <f>IF(소장="손상민",MAX(Q20,R20)+3.2,IF(ISNUMBER('와이드(실측)'!V20),'와이드(실측)'!V20+1.5+와이드제작!Q20+1,0))</f>
        <v>34.5</v>
      </c>
      <c r="AA20" s="31">
        <f>'와이드(실측)'!W20+뒷날개치수더함</f>
        <v>26.2</v>
      </c>
      <c r="AB20" s="31">
        <f>'와이드(실측)'!X20+뒷날개치수더함</f>
        <v>31.2</v>
      </c>
      <c r="AC20" s="31">
        <f>'와이드(실측)'!Y20-와이드늘치</f>
        <v>30</v>
      </c>
      <c r="AD20" s="31">
        <f>IF(와이드JB하부늘치=1,AC20,'와이드(실측)'!Z20-와이드늘치)</f>
        <v>30</v>
      </c>
      <c r="AE20" s="31">
        <f>'와이드(실측)'!AA20-와이드늘치</f>
        <v>35</v>
      </c>
      <c r="AF20" s="31">
        <f>IF(와이드JB하부늘치=1,AE20,'와이드(실측)'!AB20-와이드늘치)</f>
        <v>35</v>
      </c>
      <c r="AG20" s="31">
        <f xml:space="preserve"> IF(소장&lt;&gt;"손상민",IF('와이드(실측)'!AC20&gt;0,'와이드(실측)'!AC20,C20-1.2),IF('와이드(실측)'!AC20&gt;0,'와이드(실측)'!AC20+1.2,C20) )</f>
        <v>259.2</v>
      </c>
      <c r="AH20" s="31">
        <f xml:space="preserve"> IF(소장&lt;&gt;"손상민",IF('와이드(실측)'!AD20&gt;0,'와이드(실측)'!AD20,D20-1.2),IF('와이드(실측)'!AD20&gt;0,'와이드(실측)'!AD20+1.2,D20))</f>
        <v>259.2</v>
      </c>
      <c r="AI20" s="51">
        <f t="shared" si="49"/>
        <v>3.1999999999999993</v>
      </c>
      <c r="AJ20" s="31" t="str">
        <f t="shared" si="50"/>
        <v>992*573.4</v>
      </c>
      <c r="AK20" s="31" t="str">
        <f t="shared" si="51"/>
        <v>2357.2*405.4</v>
      </c>
      <c r="AL20" s="31" t="str">
        <f t="shared" si="52"/>
        <v>2359.2*405.4</v>
      </c>
      <c r="AM20" s="31">
        <f>IF('와이드(실측)'!AE20&gt;0,'와이드(실측)'!AE20-'와이드(실측)'!W20+1.2,0)</f>
        <v>57.2</v>
      </c>
      <c r="AN20" s="31">
        <f>IF('와이드(실측)'!AF20&gt;0,'와이드(실측)'!AF20-'와이드(실측)'!W20+1.2,0)</f>
        <v>58.2</v>
      </c>
      <c r="AO20" s="31">
        <f>'와이드(실측)'!AG20</f>
        <v>100</v>
      </c>
      <c r="AP20" s="31">
        <f>IF('와이드(실측)'!AH20&gt;5,'와이드(실측)'!AH20+뒷날개치수더함,'와이드(실측)'!AH20)</f>
        <v>21.2</v>
      </c>
      <c r="AQ20" s="31">
        <f>'와이드(실측)'!AI20</f>
        <v>10</v>
      </c>
      <c r="AR20" s="31">
        <f>'와이드(실측)'!AJ20</f>
        <v>10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0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0</v>
      </c>
      <c r="AU20" s="20">
        <f t="shared" si="53"/>
        <v>10.318665048176697</v>
      </c>
      <c r="AV20" s="21">
        <f t="shared" si="54"/>
        <v>31.287111437975881</v>
      </c>
      <c r="AW20" s="21">
        <f t="shared" si="55"/>
        <v>31.287111437975881</v>
      </c>
      <c r="AX20" s="21">
        <f>'와이드(실측)'!M20+AS20</f>
        <v>0</v>
      </c>
      <c r="AY20" s="21">
        <f>'와이드(실측)'!N20+AS20</f>
        <v>0</v>
      </c>
      <c r="AZ20" s="20">
        <f t="shared" si="56"/>
        <v>31.287111437975881</v>
      </c>
      <c r="BA20" s="41">
        <f t="shared" si="57"/>
        <v>992</v>
      </c>
      <c r="BB20" s="42">
        <f>MAX(C20,D20)+MAX(G20,H20)+AA20-1.2*$AJ$3+IF(BI20=0,MAX(AE20,AC20),0)+IF(Y20=0,1.2,0)+IF(Z20=0,1.2,0)+IF(소장&lt;&gt;"손상민", Y20+Z20,IF('와이드(실측)'!U20=0,0,2.4))</f>
        <v>573.40000000000009</v>
      </c>
      <c r="BC20" s="41">
        <f t="shared" si="58"/>
        <v>405.4</v>
      </c>
      <c r="BD20" s="41">
        <f t="shared" si="59"/>
        <v>2357.1999999999998</v>
      </c>
      <c r="BE20" s="41">
        <f t="shared" si="60"/>
        <v>405.4</v>
      </c>
      <c r="BF20" s="41">
        <f t="shared" si="61"/>
        <v>2359.1999999999998</v>
      </c>
      <c r="BG20" s="6">
        <f t="shared" si="62"/>
        <v>4.6999999999999709</v>
      </c>
      <c r="BH20" s="43" t="str">
        <f t="shared" si="63"/>
        <v/>
      </c>
      <c r="BI20" s="77">
        <f t="shared" si="6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20">
    <cfRule type="cellIs" dxfId="83" priority="52" operator="greaterThan">
      <formula>3</formula>
    </cfRule>
  </conditionalFormatting>
  <conditionalFormatting sqref="F7:F20">
    <cfRule type="cellIs" dxfId="82" priority="39" operator="greaterThan">
      <formula>1210</formula>
    </cfRule>
  </conditionalFormatting>
  <conditionalFormatting sqref="I7:L20 C7:D20">
    <cfRule type="cellIs" dxfId="81" priority="38" operator="greaterThan">
      <formula>500</formula>
    </cfRule>
  </conditionalFormatting>
  <conditionalFormatting sqref="C7:D20">
    <cfRule type="cellIs" dxfId="80" priority="36" operator="notEqual">
      <formula>$D7</formula>
    </cfRule>
  </conditionalFormatting>
  <conditionalFormatting sqref="D7:D20">
    <cfRule type="cellIs" dxfId="79" priority="35" operator="notEqual">
      <formula>$C7</formula>
    </cfRule>
  </conditionalFormatting>
  <conditionalFormatting sqref="AO7:AR20">
    <cfRule type="cellIs" dxfId="78" priority="17" operator="greaterThan">
      <formula>1.2</formula>
    </cfRule>
  </conditionalFormatting>
  <conditionalFormatting sqref="AO7:AO20">
    <cfRule type="cellIs" dxfId="77" priority="16" operator="greaterThan">
      <formula>0</formula>
    </cfRule>
  </conditionalFormatting>
  <conditionalFormatting sqref="G7:G20">
    <cfRule type="cellIs" dxfId="76" priority="14" operator="notEqual">
      <formula>H7</formula>
    </cfRule>
  </conditionalFormatting>
  <conditionalFormatting sqref="H7:H20">
    <cfRule type="cellIs" dxfId="75" priority="13" operator="notEqual">
      <formula>G7</formula>
    </cfRule>
  </conditionalFormatting>
  <conditionalFormatting sqref="I7:I20">
    <cfRule type="cellIs" dxfId="74" priority="12" operator="notEqual">
      <formula>J7</formula>
    </cfRule>
  </conditionalFormatting>
  <conditionalFormatting sqref="J7:J20">
    <cfRule type="cellIs" dxfId="73" priority="11" operator="notEqual">
      <formula>I7</formula>
    </cfRule>
  </conditionalFormatting>
  <conditionalFormatting sqref="K7:K20">
    <cfRule type="cellIs" dxfId="72" priority="10" operator="notEqual">
      <formula>L7</formula>
    </cfRule>
  </conditionalFormatting>
  <conditionalFormatting sqref="L7:L20">
    <cfRule type="cellIs" dxfId="71" priority="9" operator="notEqual">
      <formula>K7</formula>
    </cfRule>
  </conditionalFormatting>
  <conditionalFormatting sqref="AG7:AG20">
    <cfRule type="cellIs" dxfId="70" priority="8" operator="notEqual">
      <formula>AH7</formula>
    </cfRule>
  </conditionalFormatting>
  <conditionalFormatting sqref="AH7:AH20">
    <cfRule type="cellIs" dxfId="69" priority="7" operator="notEqual">
      <formula>AG7</formula>
    </cfRule>
  </conditionalFormatting>
  <conditionalFormatting sqref="AC7:AF20">
    <cfRule type="expression" dxfId="68" priority="6">
      <formula>$BI7</formula>
    </cfRule>
  </conditionalFormatting>
  <conditionalFormatting sqref="Y7:Y20">
    <cfRule type="expression" dxfId="67" priority="2">
      <formula>소장="손상민"</formula>
    </cfRule>
  </conditionalFormatting>
  <conditionalFormatting sqref="Z7:Z20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opLeftCell="A4"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2" t="str">
        <f>정보!B3</f>
        <v>(멍텅구리) 실측서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6"/>
      <c r="H3" s="246"/>
      <c r="I3" s="253"/>
      <c r="J3" s="253"/>
      <c r="K3" s="254"/>
      <c r="L3" s="254"/>
      <c r="M3" s="255"/>
      <c r="N3" s="255"/>
      <c r="O3" s="255"/>
      <c r="P3" s="250" t="s">
        <v>97</v>
      </c>
      <c r="Q3" s="250"/>
      <c r="R3" s="251"/>
      <c r="S3" s="251"/>
      <c r="T3" s="252"/>
      <c r="U3" s="252"/>
    </row>
    <row r="4" spans="1:39" ht="33" customHeight="1" x14ac:dyDescent="0.3">
      <c r="A4" s="170" t="str">
        <f>정보!B11</f>
        <v>제작치수 반영 : JB/JD +(4.4 ),  늘어난치수K -(0),  C + (4.4),  U +(4.4), OP - (0), R - (0),  기둥차감 - (0), 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9"/>
      <c r="AA4" s="9"/>
      <c r="AB4" s="180" t="s">
        <v>215</v>
      </c>
      <c r="AC4" s="180"/>
      <c r="AD4" s="81" t="s">
        <v>234</v>
      </c>
    </row>
    <row r="5" spans="1:39" ht="25.9" customHeight="1" x14ac:dyDescent="0.3">
      <c r="A5" s="182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174" t="s">
        <v>6</v>
      </c>
      <c r="H5" s="174" t="s">
        <v>7</v>
      </c>
      <c r="I5" s="174" t="s">
        <v>8</v>
      </c>
      <c r="J5" s="174" t="s">
        <v>9</v>
      </c>
      <c r="K5" s="174" t="s">
        <v>10</v>
      </c>
      <c r="L5" s="174" t="s">
        <v>11</v>
      </c>
      <c r="M5" s="174" t="s">
        <v>14</v>
      </c>
      <c r="N5" s="174" t="s">
        <v>15</v>
      </c>
      <c r="O5" s="174" t="s">
        <v>16</v>
      </c>
      <c r="P5" s="174" t="s">
        <v>17</v>
      </c>
      <c r="Q5" s="174" t="s">
        <v>19</v>
      </c>
      <c r="R5" s="174" t="s">
        <v>20</v>
      </c>
      <c r="S5" s="244" t="s">
        <v>22</v>
      </c>
      <c r="T5" s="244" t="s">
        <v>23</v>
      </c>
      <c r="U5" s="247" t="s">
        <v>21</v>
      </c>
      <c r="V5" s="248"/>
      <c r="W5" s="248"/>
      <c r="X5" s="249"/>
      <c r="Y5" s="175" t="s">
        <v>203</v>
      </c>
      <c r="Z5" s="175"/>
      <c r="AA5" s="175"/>
      <c r="AB5" s="178" t="s">
        <v>212</v>
      </c>
      <c r="AC5" s="179"/>
      <c r="AD5" s="80" t="s">
        <v>231</v>
      </c>
    </row>
    <row r="6" spans="1:39" ht="47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245"/>
      <c r="T6" s="245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343</v>
      </c>
      <c r="L7" s="4" t="s">
        <v>343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 t="s">
        <v>343</v>
      </c>
      <c r="S7" s="4">
        <v>30</v>
      </c>
      <c r="T7" s="4">
        <v>25</v>
      </c>
      <c r="U7" s="4"/>
      <c r="V7" s="4"/>
      <c r="W7" s="4"/>
      <c r="X7" s="4"/>
      <c r="Y7" s="4">
        <v>15</v>
      </c>
      <c r="Z7" s="4">
        <v>10</v>
      </c>
      <c r="AA7" s="4">
        <v>90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>
        <v>9</v>
      </c>
      <c r="S8" s="4">
        <v>30</v>
      </c>
      <c r="T8" s="4">
        <v>25</v>
      </c>
      <c r="U8" s="4"/>
      <c r="V8" s="4"/>
      <c r="W8" s="4"/>
      <c r="X8" s="4"/>
      <c r="Y8" s="4">
        <v>15</v>
      </c>
      <c r="Z8" s="4">
        <v>10</v>
      </c>
      <c r="AA8" s="4">
        <v>90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343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90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343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47</v>
      </c>
      <c r="V10" s="4">
        <v>47</v>
      </c>
      <c r="W10" s="4">
        <v>47</v>
      </c>
      <c r="X10" s="4">
        <v>47</v>
      </c>
      <c r="Y10" s="4">
        <v>15</v>
      </c>
      <c r="Z10" s="4">
        <v>10</v>
      </c>
      <c r="AA10" s="4">
        <v>90</v>
      </c>
      <c r="AB10" s="4"/>
      <c r="AC10" s="4"/>
      <c r="AD10" s="4"/>
      <c r="AF10" s="3">
        <f t="shared" si="0"/>
        <v>47</v>
      </c>
      <c r="AG10" s="3">
        <f t="shared" si="0"/>
        <v>47</v>
      </c>
      <c r="AH10" s="3">
        <f t="shared" si="0"/>
        <v>47</v>
      </c>
      <c r="AI10" s="3">
        <f t="shared" si="0"/>
        <v>47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4">
        <v>790</v>
      </c>
      <c r="D12" s="4">
        <v>891</v>
      </c>
      <c r="E12" s="4">
        <v>285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 t="s">
        <v>343</v>
      </c>
      <c r="L12" s="4" t="s">
        <v>343</v>
      </c>
      <c r="M12" s="4">
        <v>2089</v>
      </c>
      <c r="N12" s="4">
        <v>2089</v>
      </c>
      <c r="O12" s="4">
        <v>2089</v>
      </c>
      <c r="P12" s="4">
        <v>2089</v>
      </c>
      <c r="Q12" s="4">
        <v>40</v>
      </c>
      <c r="R12" s="4" t="s">
        <v>343</v>
      </c>
      <c r="S12" s="4">
        <v>30</v>
      </c>
      <c r="T12" s="4">
        <v>25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F12" s="3">
        <f t="shared" ref="AF12:AF16" si="2">U12+$AE12</f>
        <v>0</v>
      </c>
      <c r="AG12" s="3">
        <f t="shared" ref="AG12:AG16" si="3">V12+$AE12</f>
        <v>0</v>
      </c>
      <c r="AH12" s="3">
        <f t="shared" ref="AH12:AH16" si="4">W12+$AE12</f>
        <v>0</v>
      </c>
      <c r="AI12" s="3">
        <f t="shared" ref="AI12:AI16" si="5">X12+$AE12</f>
        <v>0</v>
      </c>
      <c r="AJ12" s="3">
        <f t="shared" ref="AJ12:AJ16" si="6">E12-$AE12</f>
        <v>285</v>
      </c>
      <c r="AK12" s="3">
        <f t="shared" ref="AK12:AK16" si="7">F12-$AE12</f>
        <v>282</v>
      </c>
      <c r="AL12" s="3">
        <f t="shared" ref="AL12:AL16" si="8">G12-$AE12</f>
        <v>281</v>
      </c>
      <c r="AM12" s="3">
        <f t="shared" ref="AM12:AM16" si="9">H12-$AE12</f>
        <v>281</v>
      </c>
    </row>
    <row r="13" spans="1:39" ht="27" customHeight="1" x14ac:dyDescent="0.3">
      <c r="A13" s="127"/>
      <c r="B13" s="4">
        <v>4</v>
      </c>
      <c r="C13" s="4">
        <v>791</v>
      </c>
      <c r="D13" s="4">
        <v>890</v>
      </c>
      <c r="E13" s="4">
        <v>285</v>
      </c>
      <c r="F13" s="4">
        <v>281</v>
      </c>
      <c r="G13" s="4">
        <v>285</v>
      </c>
      <c r="H13" s="4">
        <v>280</v>
      </c>
      <c r="I13" s="4">
        <v>35</v>
      </c>
      <c r="J13" s="4">
        <v>35</v>
      </c>
      <c r="K13" s="4">
        <v>17</v>
      </c>
      <c r="L13" s="4">
        <v>17</v>
      </c>
      <c r="M13" s="4">
        <v>2090</v>
      </c>
      <c r="N13" s="4">
        <v>2090</v>
      </c>
      <c r="O13" s="4">
        <v>2090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30</v>
      </c>
      <c r="V13" s="4">
        <v>20</v>
      </c>
      <c r="W13" s="4">
        <v>40</v>
      </c>
      <c r="X13" s="4">
        <v>20</v>
      </c>
      <c r="Y13" s="4">
        <v>15</v>
      </c>
      <c r="Z13" s="4">
        <v>10</v>
      </c>
      <c r="AA13" s="4">
        <v>10</v>
      </c>
      <c r="AB13" s="4"/>
      <c r="AC13" s="4"/>
      <c r="AD13" s="4"/>
      <c r="AF13" s="3">
        <f t="shared" si="2"/>
        <v>30</v>
      </c>
      <c r="AG13" s="3">
        <f t="shared" si="3"/>
        <v>20</v>
      </c>
      <c r="AH13" s="3">
        <f t="shared" si="4"/>
        <v>40</v>
      </c>
      <c r="AI13" s="3">
        <f t="shared" si="5"/>
        <v>20</v>
      </c>
      <c r="AJ13" s="3">
        <f t="shared" si="6"/>
        <v>285</v>
      </c>
      <c r="AK13" s="3">
        <f t="shared" si="7"/>
        <v>281</v>
      </c>
      <c r="AL13" s="3">
        <f t="shared" si="8"/>
        <v>285</v>
      </c>
      <c r="AM13" s="3">
        <f t="shared" si="9"/>
        <v>280</v>
      </c>
    </row>
    <row r="14" spans="1:39" ht="27" customHeight="1" x14ac:dyDescent="0.3">
      <c r="A14" s="127"/>
      <c r="B14" s="4">
        <v>3</v>
      </c>
      <c r="C14" s="4">
        <v>792</v>
      </c>
      <c r="D14" s="4">
        <v>891</v>
      </c>
      <c r="E14" s="4">
        <v>278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 t="s">
        <v>343</v>
      </c>
      <c r="L14" s="4" t="s">
        <v>343</v>
      </c>
      <c r="M14" s="4">
        <v>2096</v>
      </c>
      <c r="N14" s="4">
        <v>2092</v>
      </c>
      <c r="O14" s="4">
        <v>2079</v>
      </c>
      <c r="P14" s="4">
        <v>2091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/>
      <c r="Z14" s="4"/>
      <c r="AA14" s="4"/>
      <c r="AB14" s="4"/>
      <c r="AC14" s="4"/>
      <c r="AD14" s="4"/>
      <c r="AF14" s="3">
        <f t="shared" si="2"/>
        <v>47</v>
      </c>
      <c r="AG14" s="3">
        <f t="shared" si="3"/>
        <v>47</v>
      </c>
      <c r="AH14" s="3">
        <f t="shared" si="4"/>
        <v>47</v>
      </c>
      <c r="AI14" s="3">
        <f t="shared" si="5"/>
        <v>47</v>
      </c>
      <c r="AJ14" s="3">
        <f t="shared" si="6"/>
        <v>278</v>
      </c>
      <c r="AK14" s="3">
        <f t="shared" si="7"/>
        <v>281</v>
      </c>
      <c r="AL14" s="3">
        <f t="shared" si="8"/>
        <v>280</v>
      </c>
      <c r="AM14" s="3">
        <f t="shared" si="9"/>
        <v>280</v>
      </c>
    </row>
    <row r="15" spans="1:39" ht="27" customHeight="1" x14ac:dyDescent="0.3">
      <c r="A15" s="127"/>
      <c r="B15" s="4">
        <v>2</v>
      </c>
      <c r="C15" s="4">
        <v>792</v>
      </c>
      <c r="D15" s="4">
        <v>891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 t="s">
        <v>343</v>
      </c>
      <c r="L15" s="4" t="s">
        <v>343</v>
      </c>
      <c r="M15" s="4">
        <v>2090</v>
      </c>
      <c r="N15" s="4">
        <v>2090</v>
      </c>
      <c r="O15" s="4">
        <v>2095</v>
      </c>
      <c r="P15" s="4">
        <v>2090</v>
      </c>
      <c r="Q15" s="4">
        <v>40</v>
      </c>
      <c r="R15" s="4">
        <v>9</v>
      </c>
      <c r="S15" s="4">
        <v>30</v>
      </c>
      <c r="T15" s="4">
        <v>25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F15" s="3">
        <f t="shared" si="2"/>
        <v>0</v>
      </c>
      <c r="AG15" s="3">
        <f t="shared" si="3"/>
        <v>0</v>
      </c>
      <c r="AH15" s="3">
        <f t="shared" si="4"/>
        <v>0</v>
      </c>
      <c r="AI15" s="3">
        <f t="shared" si="5"/>
        <v>0</v>
      </c>
      <c r="AJ15" s="3">
        <f t="shared" si="6"/>
        <v>281</v>
      </c>
      <c r="AK15" s="3">
        <f t="shared" si="7"/>
        <v>281</v>
      </c>
      <c r="AL15" s="3">
        <f t="shared" si="8"/>
        <v>280</v>
      </c>
      <c r="AM15" s="3">
        <f t="shared" si="9"/>
        <v>280</v>
      </c>
    </row>
    <row r="16" spans="1:39" ht="27" customHeight="1" x14ac:dyDescent="0.3">
      <c r="A16" s="127"/>
      <c r="B16" s="4" t="s">
        <v>344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343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  <c r="AF16" s="3">
        <f t="shared" si="2"/>
        <v>47</v>
      </c>
      <c r="AG16" s="3">
        <f t="shared" si="3"/>
        <v>40</v>
      </c>
      <c r="AH16" s="3">
        <f t="shared" si="4"/>
        <v>47</v>
      </c>
      <c r="AI16" s="3">
        <f t="shared" si="5"/>
        <v>40</v>
      </c>
      <c r="AJ16" s="3">
        <f t="shared" si="6"/>
        <v>285</v>
      </c>
      <c r="AK16" s="3">
        <f t="shared" si="7"/>
        <v>285</v>
      </c>
      <c r="AL16" s="3">
        <f t="shared" si="8"/>
        <v>284</v>
      </c>
      <c r="AM16" s="3">
        <f t="shared" si="9"/>
        <v>284</v>
      </c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G3:H3"/>
    <mergeCell ref="J5:J6"/>
    <mergeCell ref="K5:K6"/>
    <mergeCell ref="L5:L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N5:N6"/>
    <mergeCell ref="I5:I6"/>
    <mergeCell ref="O5:O6"/>
    <mergeCell ref="S5:S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6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2" t="str">
        <f>정보!C3</f>
        <v>(멍텅구리) 제작변환 자료(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"/>
      <c r="AJ1" s="1"/>
      <c r="AK1" s="256" t="s">
        <v>75</v>
      </c>
      <c r="AL1" s="256"/>
      <c r="AM1" s="256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63" t="s">
        <v>81</v>
      </c>
      <c r="H2" s="263"/>
      <c r="I2" s="263"/>
      <c r="J2" s="269">
        <v>0</v>
      </c>
      <c r="K2" s="269"/>
      <c r="L2" s="266" t="s">
        <v>113</v>
      </c>
      <c r="M2" s="266"/>
      <c r="N2" s="266"/>
      <c r="O2" s="266"/>
      <c r="P2" s="267">
        <v>1</v>
      </c>
      <c r="Q2" s="267"/>
      <c r="R2" s="264" t="s">
        <v>103</v>
      </c>
      <c r="S2" s="265"/>
      <c r="T2" s="108">
        <v>0</v>
      </c>
      <c r="U2" s="264" t="s">
        <v>88</v>
      </c>
      <c r="V2" s="265"/>
      <c r="W2" s="262">
        <v>4.4000000000000004</v>
      </c>
      <c r="X2" s="262"/>
      <c r="Y2" s="258" t="s">
        <v>82</v>
      </c>
      <c r="Z2" s="259"/>
      <c r="AA2" s="260">
        <v>0</v>
      </c>
      <c r="AB2" s="260"/>
      <c r="AC2" s="98" t="s">
        <v>114</v>
      </c>
      <c r="AD2" s="257">
        <v>0</v>
      </c>
      <c r="AE2" s="257"/>
      <c r="AF2" s="1"/>
      <c r="AG2" s="1"/>
      <c r="AH2" s="1"/>
      <c r="AI2" s="1"/>
      <c r="AJ2" s="1"/>
      <c r="AK2" s="256"/>
      <c r="AL2" s="256"/>
      <c r="AM2" s="256"/>
      <c r="AR2" s="24"/>
    </row>
    <row r="3" spans="1:53" ht="33" customHeight="1" x14ac:dyDescent="0.3">
      <c r="A3" s="33" t="str">
        <f>'멍텅(실측)'!A3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4.4000000000000004</v>
      </c>
      <c r="K3" s="270"/>
      <c r="L3" s="258" t="s">
        <v>77</v>
      </c>
      <c r="M3" s="258"/>
      <c r="N3" s="271">
        <v>4.4000000000000004</v>
      </c>
      <c r="O3" s="271"/>
      <c r="P3" s="272" t="s">
        <v>227</v>
      </c>
      <c r="Q3" s="272"/>
      <c r="R3" s="272"/>
      <c r="S3" s="273">
        <f>AZ7</f>
        <v>1</v>
      </c>
      <c r="T3" s="273"/>
      <c r="U3" s="268" t="s">
        <v>78</v>
      </c>
      <c r="V3" s="268"/>
      <c r="W3" s="261">
        <v>1.2</v>
      </c>
      <c r="X3" s="261"/>
      <c r="AA3" s="216" t="s">
        <v>73</v>
      </c>
      <c r="AB3" s="216"/>
      <c r="AC3" s="102">
        <v>3</v>
      </c>
      <c r="AD3" s="4" t="s">
        <v>74</v>
      </c>
      <c r="AE3" s="104">
        <v>4</v>
      </c>
      <c r="AF3" s="287" t="s">
        <v>325</v>
      </c>
      <c r="AG3" s="288"/>
      <c r="AH3" s="219"/>
      <c r="AI3" s="289">
        <f>AN7</f>
        <v>9.8983888911194882</v>
      </c>
      <c r="AJ3" s="236"/>
      <c r="AK3" s="25"/>
      <c r="AL3" s="25"/>
      <c r="AM3" s="24"/>
      <c r="AR3" s="24"/>
    </row>
    <row r="4" spans="1:53" ht="33" customHeight="1" x14ac:dyDescent="0.3">
      <c r="A4" s="284" t="str">
        <f>'멍텅(실측)'!A4:Y4</f>
        <v>제작치수 반영 : JB/JD +(4.4 ),  늘어난치수K -(0),  C + (4.4),  U +(4.4), OP - (0), R - (0),  기둥차감 - (0),  A + (1.2)</v>
      </c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2" t="s">
        <v>311</v>
      </c>
      <c r="Z4" s="282"/>
      <c r="AA4" s="283">
        <f>'멍텅(실측)'!U7</f>
        <v>0</v>
      </c>
      <c r="AB4" s="283"/>
      <c r="AC4" s="9"/>
      <c r="AD4" s="229">
        <f ca="1">TODAY()</f>
        <v>45321</v>
      </c>
      <c r="AE4" s="169"/>
      <c r="AF4" s="285" t="s">
        <v>235</v>
      </c>
      <c r="AG4" s="285"/>
      <c r="AH4" s="286"/>
      <c r="AI4" s="180" t="s">
        <v>215</v>
      </c>
      <c r="AJ4" s="180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244" t="s">
        <v>62</v>
      </c>
      <c r="L5" s="244" t="s">
        <v>63</v>
      </c>
      <c r="M5" s="174" t="s">
        <v>8</v>
      </c>
      <c r="N5" s="174" t="s">
        <v>9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278" t="s">
        <v>20</v>
      </c>
      <c r="W5" s="244" t="s">
        <v>22</v>
      </c>
      <c r="X5" s="244" t="s">
        <v>23</v>
      </c>
      <c r="Y5" s="247" t="s">
        <v>21</v>
      </c>
      <c r="Z5" s="248"/>
      <c r="AA5" s="248"/>
      <c r="AB5" s="249"/>
      <c r="AC5" s="175" t="s">
        <v>25</v>
      </c>
      <c r="AD5" s="280" t="s">
        <v>34</v>
      </c>
      <c r="AE5" s="175" t="s">
        <v>35</v>
      </c>
      <c r="AF5" s="242" t="s">
        <v>203</v>
      </c>
      <c r="AG5" s="242"/>
      <c r="AH5" s="242"/>
      <c r="AI5" s="178" t="s">
        <v>212</v>
      </c>
      <c r="AJ5" s="179"/>
      <c r="AK5" s="184" t="s">
        <v>305</v>
      </c>
      <c r="AL5" s="184" t="s">
        <v>306</v>
      </c>
      <c r="AM5" s="279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245"/>
      <c r="L6" s="245"/>
      <c r="M6" s="174"/>
      <c r="N6" s="174"/>
      <c r="O6" s="174"/>
      <c r="P6" s="174"/>
      <c r="Q6" s="174"/>
      <c r="R6" s="174"/>
      <c r="S6" s="174"/>
      <c r="T6" s="174"/>
      <c r="U6" s="174"/>
      <c r="V6" s="278"/>
      <c r="W6" s="245"/>
      <c r="X6" s="245"/>
      <c r="Y6" s="8" t="s">
        <v>56</v>
      </c>
      <c r="Z6" s="8" t="s">
        <v>57</v>
      </c>
      <c r="AA6" s="8" t="s">
        <v>54</v>
      </c>
      <c r="AB6" s="8" t="s">
        <v>55</v>
      </c>
      <c r="AC6" s="174"/>
      <c r="AD6" s="281"/>
      <c r="AE6" s="174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79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790</v>
      </c>
      <c r="D7" s="4">
        <f>'멍텅(실측)'!D7-멍텅R</f>
        <v>891</v>
      </c>
      <c r="E7" s="50">
        <f>'멍텅(실측)'!E7+MAX(AK7,AL7)+IF(AZ7=1,Y7,0)+멍텅JBJD늘림치수</f>
        <v>289.39999999999998</v>
      </c>
      <c r="F7" s="50">
        <f>'멍텅(실측)'!F7+MAX(AK7,AL7)+IF(AZ7=1,AA7,0)+멍텅JBJD늘림치수</f>
        <v>286.39999999999998</v>
      </c>
      <c r="G7" s="50">
        <f>'멍텅(실측)'!G7+AK7+IF(AZ7=1,Y7,0)+멍텅JB강제키움+멍텅JBJD늘림치수</f>
        <v>287.39999999999998</v>
      </c>
      <c r="H7" s="50">
        <f>'멍텅(실측)'!G7+AK7+IF(AZ7=1,Z7,0)+멍텅JB강제키움+멍텅JBJD늘림치수-IF(멍텅JB하부늘치=1,'멍텅(실측)'!U7-'멍텅(실측)'!V7,0)</f>
        <v>287.39999999999998</v>
      </c>
      <c r="I7" s="50">
        <f>'멍텅(실측)'!H7+AL7+IF(AZ7=1,AA7,0)+멍텅JB강제키움+멍텅JBJD늘림치수</f>
        <v>274.39999999999998</v>
      </c>
      <c r="J7" s="50">
        <f>'멍텅(실측)'!H7+AL7+IF(AZ7=1,AB7,0)+멍텅JB강제키움+멍텅JBJD늘림치수-IF(멍텅JB하부늘치=1,'멍텅(실측)'!W7-'멍텅(실측)'!X7,0)</f>
        <v>274.39999999999998</v>
      </c>
      <c r="K7" s="4">
        <f t="shared" ref="K7:L7" si="0">M7+IF(소장="손상민",0,-1.5)</f>
        <v>36</v>
      </c>
      <c r="L7" s="4">
        <f t="shared" si="0"/>
        <v>36</v>
      </c>
      <c r="M7" s="4">
        <f>IF(O7&gt;0,'멍텅(실측)'!I7+멍텅C늘림,'멍텅(실측)'!I7+1)</f>
        <v>36</v>
      </c>
      <c r="N7" s="4">
        <f>IF(P7&gt;0,'멍텅(실측)'!J7+멍텅C늘림,'멍텅(실측)'!J7+1)</f>
        <v>36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31.2</v>
      </c>
      <c r="X7" s="4">
        <f>'멍텅(실측)'!T7+뒷날개치수더함</f>
        <v>26.2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963*359.4</v>
      </c>
      <c r="AD7" s="12" t="str">
        <f t="shared" ref="AD7" si="2">AU7&amp;"*"&amp;AT7</f>
        <v>2089*343.6</v>
      </c>
      <c r="AE7" s="10" t="str">
        <f t="shared" ref="AE7" si="3">AW7&amp;"*"&amp;AV7</f>
        <v>2089*330.6</v>
      </c>
      <c r="AF7" s="4">
        <f>IF('멍텅(실측)'!Y7&gt;5,'멍텅(실측)'!Y7+뒷날개치수더함,'멍텅(실측)'!Y7)</f>
        <v>16.2</v>
      </c>
      <c r="AG7" s="4">
        <f>'멍텅(실측)'!Z7</f>
        <v>10</v>
      </c>
      <c r="AH7" s="4">
        <f>'멍텅(실측)'!AA7</f>
        <v>90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9.8983888911194882</v>
      </c>
      <c r="AO7" s="36">
        <f t="shared" ref="AO7:AO16" si="5">IF(소장="박철우",E7-COS(RADIANS(AN7))*G7+2,E7-COS(RADIANS(AN7))*G7)</f>
        <v>6.2781903394759411</v>
      </c>
      <c r="AP7" s="36">
        <f t="shared" ref="AP7:AP16" si="6">IF(소장="박철우",F7-COS(RADIANS(AN7))*I7+2,F7-COS(RADIANS(AN7))*I7)</f>
        <v>16.084674422937383</v>
      </c>
      <c r="AQ7" s="46" t="str">
        <f t="shared" ref="AQ7" si="7">IF(E7+Y7&lt;&gt;F7+AA7,"JD비대칭","")</f>
        <v>JD비대칭</v>
      </c>
      <c r="AR7" s="3">
        <f>D7 + IF(U7+V7&gt;0, K7+L7,0)</f>
        <v>963</v>
      </c>
      <c r="AS7" s="3">
        <f>U7+MAX(E7,F7)+W7+V7-1.2*$AC$3+IF(AZ7=0,MAX(Y7,AA7))+IF(V7=0,1.2,0)</f>
        <v>359.39999999999992</v>
      </c>
      <c r="AT7" s="3">
        <f>O7+M7+MAX(G7,H7)+X7-1.2*$AE$3+IF(AZ7=0,MAX(Y7,Z7))+IF(O7=0,1.2,0)-IF(AH7=90,2.4,0)</f>
        <v>343.59999999999997</v>
      </c>
      <c r="AU7" s="3">
        <f t="shared" ref="AU7" si="8">MAX(Q7,R7)</f>
        <v>2089</v>
      </c>
      <c r="AV7" s="3">
        <f>P7+N7+MAX(I7,J7)+X7-1.2*$AE$3+IF(AZ7=0,MAX(AA7,AB7))+IF(P7=0,1.2,0)-IF(AH7=90,2.4,0)</f>
        <v>330.59999999999997</v>
      </c>
      <c r="AW7" s="3">
        <f t="shared" ref="AW7" si="9">MAX(S7,T7)</f>
        <v>2089</v>
      </c>
      <c r="AX7">
        <f t="shared" ref="AX7" si="10">G7-E7</f>
        <v>-2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791</v>
      </c>
      <c r="D8" s="4">
        <f>'멍텅(실측)'!D8-멍텅R</f>
        <v>890</v>
      </c>
      <c r="E8" s="50">
        <f>'멍텅(실측)'!E8+MAX(AK8,AL8)+IF(AZ8=1,Y8,0)+멍텅JBJD늘림치수</f>
        <v>289.39999999999998</v>
      </c>
      <c r="F8" s="50">
        <f>'멍텅(실측)'!F8+MAX(AK8,AL8)+IF(AZ8=1,AA8,0)+멍텅JBJD늘림치수</f>
        <v>285.39999999999998</v>
      </c>
      <c r="G8" s="50">
        <f>'멍텅(실측)'!G8+AK8+IF(AZ8=1,Y8,0)+멍텅JB강제키움+멍텅JBJD늘림치수</f>
        <v>289.39999999999998</v>
      </c>
      <c r="H8" s="50">
        <f>'멍텅(실측)'!G8+AK8+IF(AZ8=1,Z8,0)+멍텅JB강제키움+멍텅JBJD늘림치수-IF(멍텅JB하부늘치=1,'멍텅(실측)'!U8-'멍텅(실측)'!V8,0)</f>
        <v>289.39999999999998</v>
      </c>
      <c r="I8" s="50">
        <f>'멍텅(실측)'!H8+AL8+IF(AZ8=1,AA8,0)+멍텅JB강제키움+멍텅JBJD늘림치수</f>
        <v>279.39999999999998</v>
      </c>
      <c r="J8" s="50">
        <f>'멍텅(실측)'!H8+AL8+IF(AZ8=1,AB8,0)+멍텅JB강제키움+멍텅JBJD늘림치수-IF(멍텅JB하부늘치=1,'멍텅(실측)'!W8-'멍텅(실측)'!X8,0)</f>
        <v>279.39999999999998</v>
      </c>
      <c r="K8" s="4">
        <f t="shared" ref="K8:K16" si="12">M8+IF(소장="손상민",0,-1.5)</f>
        <v>24.4</v>
      </c>
      <c r="L8" s="4">
        <f t="shared" ref="L8:L16" si="13">N8+IF(소장="손상민",0,-1.5)</f>
        <v>30.4</v>
      </c>
      <c r="M8" s="4">
        <f>IF(O8&gt;0,'멍텅(실측)'!I8+멍텅C늘림,'멍텅(실측)'!I8+1)</f>
        <v>24.4</v>
      </c>
      <c r="N8" s="4">
        <f>IF(P8&gt;0,'멍텅(실측)'!J8+멍텅C늘림,'멍텅(실측)'!J8+1)</f>
        <v>30.4</v>
      </c>
      <c r="O8" s="4">
        <f>IF(ISNUMBER('멍텅(실측)'!K8),'멍텅(실측)'!K8+멍텅제작!AK8+멍텅A늘림,0)</f>
        <v>16.2</v>
      </c>
      <c r="P8" s="4">
        <f>IF(ISNUMBER('멍텅(실측)'!L8),'멍텅(실측)'!L8+멍텅제작!AL8+멍텅A늘림,0)</f>
        <v>18.2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44.4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10.199999999999999</v>
      </c>
      <c r="W8" s="4">
        <f>'멍텅(실측)'!S8+뒷날개치수더함</f>
        <v>31.2</v>
      </c>
      <c r="X8" s="4">
        <f>'멍텅(실측)'!T8+뒷날개치수더함</f>
        <v>26.2</v>
      </c>
      <c r="Y8" s="13">
        <f>'멍텅(실측)'!U8-멍텅늘치차감</f>
        <v>0</v>
      </c>
      <c r="Z8" s="13">
        <f>IF(멍텅JB하부늘치=1,Y8,'멍텅(실측)'!V8-멍텅늘치차감)</f>
        <v>0</v>
      </c>
      <c r="AA8" s="13">
        <f>'멍텅(실측)'!W8-멍텅늘치차감</f>
        <v>0</v>
      </c>
      <c r="AB8" s="13">
        <f>IF(멍텅JB하부늘치=1,AA8,'멍텅(실측)'!X8-멍텅늘치차감)</f>
        <v>0</v>
      </c>
      <c r="AC8" s="11" t="str">
        <f t="shared" ref="AC8:AC16" si="14">AR8&amp;"*"&amp;AS8</f>
        <v>944.8*371.6</v>
      </c>
      <c r="AD8" s="12" t="str">
        <f t="shared" ref="AD8:AD16" si="15">AU8&amp;"*"&amp;AT8</f>
        <v>2090*349</v>
      </c>
      <c r="AE8" s="10" t="str">
        <f t="shared" ref="AE8:AE16" si="16">AW8&amp;"*"&amp;AV8</f>
        <v>2090*347</v>
      </c>
      <c r="AF8" s="4">
        <f>IF('멍텅(실측)'!Y8&gt;5,'멍텅(실측)'!Y8+뒷날개치수더함,'멍텅(실측)'!Y8)</f>
        <v>16.2</v>
      </c>
      <c r="AG8" s="4">
        <f>'멍텅(실측)'!Z8</f>
        <v>10</v>
      </c>
      <c r="AH8" s="4">
        <f>'멍텅(실측)'!AA8</f>
        <v>90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9.7061462159250258</v>
      </c>
      <c r="AO8" s="36">
        <f t="shared" si="5"/>
        <v>4.142648343927533</v>
      </c>
      <c r="AP8" s="36">
        <f t="shared" si="6"/>
        <v>9.9995022366736066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944.8</v>
      </c>
      <c r="AS8" s="3">
        <f t="shared" ref="AS8:AS16" si="20">U8+MAX(E8,F8)+W8+V8-1.2*$AC$3+IF(AZ8=0,MAX(Y8,AA8))+IF(V8=0,1.2,0)</f>
        <v>371.59999999999991</v>
      </c>
      <c r="AT8" s="3">
        <f t="shared" ref="AT8:AT16" si="21">O8+M8+MAX(G8,H8)+X8-1.2*$AE$3+IF(AZ8=0,MAX(Y8,Z8))+IF(O8=0,1.2,0)-IF(AH8=90,2.4,0)</f>
        <v>349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347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-1.1999999999999993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792</v>
      </c>
      <c r="D9" s="4">
        <f>'멍텅(실측)'!D9-멍텅R</f>
        <v>891</v>
      </c>
      <c r="E9" s="50">
        <f>'멍텅(실측)'!E9+MAX(AK9,AL9)+IF(AZ9=1,Y9,0)+멍텅JBJD늘림치수</f>
        <v>282.39999999999998</v>
      </c>
      <c r="F9" s="50">
        <f>'멍텅(실측)'!F9+MAX(AK9,AL9)+IF(AZ9=1,AA9,0)+멍텅JBJD늘림치수</f>
        <v>285.39999999999998</v>
      </c>
      <c r="G9" s="50">
        <f>'멍텅(실측)'!G9+AK9+IF(AZ9=1,Y9,0)+멍텅JB강제키움+멍텅JBJD늘림치수</f>
        <v>284.39999999999998</v>
      </c>
      <c r="H9" s="50">
        <f>'멍텅(실측)'!G9+AK9+IF(AZ9=1,Z9,0)+멍텅JB강제키움+멍텅JBJD늘림치수-IF(멍텅JB하부늘치=1,'멍텅(실측)'!U9-'멍텅(실측)'!V9,0)</f>
        <v>284.39999999999998</v>
      </c>
      <c r="I9" s="50">
        <f>'멍텅(실측)'!H9+AL9+IF(AZ9=1,AA9,0)+멍텅JB강제키움+멍텅JBJD늘림치수</f>
        <v>279.39999999999998</v>
      </c>
      <c r="J9" s="50">
        <f>'멍텅(실측)'!H9+AL9+IF(AZ9=1,AB9,0)+멍텅JB강제키움+멍텅JBJD늘림치수-IF(멍텅JB하부늘치=1,'멍텅(실측)'!W9-'멍텅(실측)'!X9,0)</f>
        <v>279.39999999999998</v>
      </c>
      <c r="K9" s="4">
        <f t="shared" si="12"/>
        <v>36</v>
      </c>
      <c r="L9" s="4">
        <f t="shared" si="13"/>
        <v>36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44.4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10.199999999999999</v>
      </c>
      <c r="W9" s="4">
        <f>'멍텅(실측)'!S9+뒷날개치수더함</f>
        <v>31.2</v>
      </c>
      <c r="X9" s="4">
        <f>'멍텅(실측)'!T9+뒷날개치수더함</f>
        <v>26.2</v>
      </c>
      <c r="Y9" s="13">
        <f>'멍텅(실측)'!U9-멍텅늘치차감</f>
        <v>47</v>
      </c>
      <c r="Z9" s="13">
        <f>IF(멍텅JB하부늘치=1,Y9,'멍텅(실측)'!V9-멍텅늘치차감)</f>
        <v>47</v>
      </c>
      <c r="AA9" s="13">
        <f>'멍텅(실측)'!W9-멍텅늘치차감</f>
        <v>47</v>
      </c>
      <c r="AB9" s="13">
        <f>IF(멍텅JB하부늘치=1,AA9,'멍텅(실측)'!X9-멍텅늘치차감)</f>
        <v>47</v>
      </c>
      <c r="AC9" s="11" t="str">
        <f t="shared" si="14"/>
        <v>963*414.6</v>
      </c>
      <c r="AD9" s="12" t="str">
        <f t="shared" si="15"/>
        <v>2096*387.6</v>
      </c>
      <c r="AE9" s="10" t="str">
        <f t="shared" si="16"/>
        <v>2091*382.6</v>
      </c>
      <c r="AF9" s="4">
        <f>IF('멍텅(실측)'!Y9&gt;5,'멍텅(실측)'!Y9+뒷날개치수더함,'멍텅(실측)'!Y9)</f>
        <v>16.2</v>
      </c>
      <c r="AG9" s="4">
        <f>'멍텅(실측)'!Z9</f>
        <v>10</v>
      </c>
      <c r="AH9" s="4">
        <f>'멍텅(실측)'!AA9</f>
        <v>90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9.9419935409935469</v>
      </c>
      <c r="AO9" s="36">
        <f t="shared" si="5"/>
        <v>2.2708204820552282</v>
      </c>
      <c r="AP9" s="36">
        <f t="shared" si="6"/>
        <v>10.195735733777155</v>
      </c>
      <c r="AQ9" s="46" t="str">
        <f t="shared" si="18"/>
        <v>JD비대칭</v>
      </c>
      <c r="AR9" s="3">
        <f t="shared" si="19"/>
        <v>963</v>
      </c>
      <c r="AS9" s="3">
        <f t="shared" si="20"/>
        <v>414.59999999999991</v>
      </c>
      <c r="AT9" s="3">
        <f t="shared" si="21"/>
        <v>387.59999999999997</v>
      </c>
      <c r="AU9" s="3">
        <f t="shared" si="22"/>
        <v>2096</v>
      </c>
      <c r="AV9" s="3">
        <f t="shared" si="23"/>
        <v>382.59999999999997</v>
      </c>
      <c r="AW9" s="3">
        <f t="shared" si="24"/>
        <v>2091</v>
      </c>
      <c r="AX9">
        <f t="shared" si="25"/>
        <v>2</v>
      </c>
      <c r="AY9">
        <f t="shared" si="26"/>
        <v>-1.1999999999999993</v>
      </c>
      <c r="AZ9" s="79">
        <f t="shared" si="27"/>
        <v>0</v>
      </c>
      <c r="BA9" s="83">
        <f>IF(소장="손상민",'멍텅(실측)'!AD9,0)</f>
        <v>0</v>
      </c>
    </row>
    <row r="10" spans="1:53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792</v>
      </c>
      <c r="D10" s="4">
        <f>'멍텅(실측)'!D10-멍텅R</f>
        <v>891</v>
      </c>
      <c r="E10" s="50">
        <f>'멍텅(실측)'!E10+MAX(AK10,AL10)+IF(AZ10=1,Y10,0)+멍텅JBJD늘림치수</f>
        <v>285.39999999999998</v>
      </c>
      <c r="F10" s="50">
        <f>'멍텅(실측)'!F10+MAX(AK10,AL10)+IF(AZ10=1,AA10,0)+멍텅JBJD늘림치수</f>
        <v>285.39999999999998</v>
      </c>
      <c r="G10" s="50">
        <f>'멍텅(실측)'!G10+AK10+IF(AZ10=1,Y10,0)+멍텅JB강제키움+멍텅JBJD늘림치수</f>
        <v>284.39999999999998</v>
      </c>
      <c r="H10" s="50">
        <f>'멍텅(실측)'!G10+AK10+IF(AZ10=1,Z10,0)+멍텅JB강제키움+멍텅JBJD늘림치수-IF(멍텅JB하부늘치=1,'멍텅(실측)'!U10-'멍텅(실측)'!V10,0)</f>
        <v>284.39999999999998</v>
      </c>
      <c r="I10" s="50">
        <f>'멍텅(실측)'!H10+AL10+IF(AZ10=1,AA10,0)+멍텅JB강제키움+멍텅JBJD늘림치수</f>
        <v>284.39999999999998</v>
      </c>
      <c r="J10" s="50">
        <f>'멍텅(실측)'!H10+AL10+IF(AZ10=1,AB10,0)+멍텅JB강제키움+멍텅JBJD늘림치수-IF(멍텅JB하부늘치=1,'멍텅(실측)'!W10-'멍텅(실측)'!X10,0)</f>
        <v>284.39999999999998</v>
      </c>
      <c r="K10" s="4">
        <f t="shared" si="12"/>
        <v>36</v>
      </c>
      <c r="L10" s="4">
        <f t="shared" si="13"/>
        <v>36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44.4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10.199999999999999</v>
      </c>
      <c r="W10" s="4">
        <f>'멍텅(실측)'!S10+뒷날개치수더함</f>
        <v>31.2</v>
      </c>
      <c r="X10" s="4">
        <f>'멍텅(실측)'!T10+뒷날개치수더함</f>
        <v>26.2</v>
      </c>
      <c r="Y10" s="13">
        <f>'멍텅(실측)'!U10-멍텅늘치차감</f>
        <v>47</v>
      </c>
      <c r="Z10" s="13">
        <f>IF(멍텅JB하부늘치=1,Y10,'멍텅(실측)'!V10-멍텅늘치차감)</f>
        <v>47</v>
      </c>
      <c r="AA10" s="13">
        <f>'멍텅(실측)'!W10-멍텅늘치차감</f>
        <v>47</v>
      </c>
      <c r="AB10" s="13">
        <f>IF(멍텅JB하부늘치=1,AA10,'멍텅(실측)'!X10-멍텅늘치차감)</f>
        <v>47</v>
      </c>
      <c r="AC10" s="11" t="str">
        <f t="shared" si="14"/>
        <v>963*414.6</v>
      </c>
      <c r="AD10" s="12" t="str">
        <f t="shared" si="15"/>
        <v>2090*387.6</v>
      </c>
      <c r="AE10" s="10" t="str">
        <f t="shared" si="16"/>
        <v>2095*387.6</v>
      </c>
      <c r="AF10" s="4">
        <f>IF('멍텅(실측)'!Y10&gt;5,'멍텅(실측)'!Y10+뒷날개치수더함,'멍텅(실측)'!Y10)</f>
        <v>16.2</v>
      </c>
      <c r="AG10" s="4">
        <f>'멍텅(실측)'!Z10</f>
        <v>10</v>
      </c>
      <c r="AH10" s="4">
        <f>'멍텅(실측)'!AA10</f>
        <v>90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9.8395408012890986</v>
      </c>
      <c r="AO10" s="36">
        <f t="shared" si="5"/>
        <v>5.1834673080757625</v>
      </c>
      <c r="AP10" s="36">
        <f t="shared" si="6"/>
        <v>5.1834673080757625</v>
      </c>
      <c r="AQ10" s="46" t="str">
        <f t="shared" si="18"/>
        <v/>
      </c>
      <c r="AR10" s="3">
        <f t="shared" si="19"/>
        <v>963</v>
      </c>
      <c r="AS10" s="3">
        <f t="shared" si="20"/>
        <v>414.59999999999991</v>
      </c>
      <c r="AT10" s="3">
        <f t="shared" si="21"/>
        <v>387.59999999999997</v>
      </c>
      <c r="AU10" s="3">
        <f t="shared" si="22"/>
        <v>2090</v>
      </c>
      <c r="AV10" s="3">
        <f t="shared" si="23"/>
        <v>387.59999999999997</v>
      </c>
      <c r="AW10" s="3">
        <f t="shared" si="24"/>
        <v>2095</v>
      </c>
      <c r="AX10">
        <f t="shared" si="25"/>
        <v>-1</v>
      </c>
      <c r="AY10">
        <f t="shared" si="26"/>
        <v>-1.1999999999999993</v>
      </c>
      <c r="AZ10" s="79">
        <f t="shared" si="27"/>
        <v>0</v>
      </c>
      <c r="BA10" s="83">
        <f>IF(소장="손상민",'멍텅(실측)'!AD10,0)</f>
        <v>0</v>
      </c>
    </row>
    <row r="11" spans="1:53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790</v>
      </c>
      <c r="D11" s="4">
        <f>'멍텅(실측)'!D11-멍텅R</f>
        <v>889</v>
      </c>
      <c r="E11" s="50">
        <f>'멍텅(실측)'!E11+MAX(AK11,AL11)+IF(AZ11=1,Y11,0)+멍텅JBJD늘림치수</f>
        <v>286.39999999999998</v>
      </c>
      <c r="F11" s="50">
        <f>'멍텅(실측)'!F11+MAX(AK11,AL11)+IF(AZ11=1,AA11,0)+멍텅JBJD늘림치수</f>
        <v>286.39999999999998</v>
      </c>
      <c r="G11" s="50">
        <f>'멍텅(실측)'!G11+AK11+IF(AZ11=1,Y11,0)+멍텅JB강제키움+멍텅JBJD늘림치수</f>
        <v>285.39999999999998</v>
      </c>
      <c r="H11" s="50">
        <f>'멍텅(실측)'!G11+AK11+IF(AZ11=1,Z11,0)+멍텅JB강제키움+멍텅JBJD늘림치수-IF(멍텅JB하부늘치=1,'멍텅(실측)'!U11-'멍텅(실측)'!V11,0)</f>
        <v>285.39999999999998</v>
      </c>
      <c r="I11" s="50">
        <f>'멍텅(실측)'!H11+AL11+IF(AZ11=1,AA11,0)+멍텅JB강제키움+멍텅JBJD늘림치수</f>
        <v>285.39999999999998</v>
      </c>
      <c r="J11" s="50">
        <f>'멍텅(실측)'!H11+AL11+IF(AZ11=1,AB11,0)+멍텅JB강제키움+멍텅JBJD늘림치수-IF(멍텅JB하부늘치=1,'멍텅(실측)'!W11-'멍텅(실측)'!X11,0)</f>
        <v>285.39999999999998</v>
      </c>
      <c r="K11" s="4">
        <f t="shared" si="12"/>
        <v>39.4</v>
      </c>
      <c r="L11" s="4">
        <f t="shared" si="13"/>
        <v>39.4</v>
      </c>
      <c r="M11" s="4">
        <f>IF(O11&gt;0,'멍텅(실측)'!I11+멍텅C늘림,'멍텅(실측)'!I11+1)</f>
        <v>39.4</v>
      </c>
      <c r="N11" s="4">
        <f>IF(P11&gt;0,'멍텅(실측)'!J11+멍텅C늘림,'멍텅(실측)'!J11+1)</f>
        <v>39.4</v>
      </c>
      <c r="O11" s="4">
        <f>IF(ISNUMBER('멍텅(실측)'!K11),'멍텅(실측)'!K11+멍텅제작!AK11+멍텅A늘림,0)</f>
        <v>16.2</v>
      </c>
      <c r="P11" s="4">
        <f>IF(ISNUMBER('멍텅(실측)'!L11),'멍텅(실측)'!L11+멍텅제작!AL11+멍텅A늘림,0)</f>
        <v>16.2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44.4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10.199999999999999</v>
      </c>
      <c r="W11" s="4">
        <f>'멍텅(실측)'!S11+뒷날개치수더함</f>
        <v>31.2</v>
      </c>
      <c r="X11" s="4">
        <f>'멍텅(실측)'!T11+뒷날개치수더함</f>
        <v>26.2</v>
      </c>
      <c r="Y11" s="13">
        <f>'멍텅(실측)'!U11-멍텅늘치차감</f>
        <v>45</v>
      </c>
      <c r="Z11" s="13">
        <f>IF(멍텅JB하부늘치=1,Y11,'멍텅(실측)'!V11-멍텅늘치차감)</f>
        <v>45</v>
      </c>
      <c r="AA11" s="13">
        <f>'멍텅(실측)'!W11-멍텅늘치차감</f>
        <v>45</v>
      </c>
      <c r="AB11" s="13">
        <f>IF(멍텅JB하부늘치=1,AA11,'멍텅(실측)'!X11-멍텅늘치차감)</f>
        <v>45</v>
      </c>
      <c r="AC11" s="11" t="str">
        <f t="shared" si="14"/>
        <v>967.8*413.6</v>
      </c>
      <c r="AD11" s="12" t="str">
        <f t="shared" si="15"/>
        <v>2086*407.4</v>
      </c>
      <c r="AE11" s="10" t="str">
        <f t="shared" si="16"/>
        <v>2086*407.4</v>
      </c>
      <c r="AF11" s="4">
        <f>IF('멍텅(실측)'!Y11&gt;5,'멍텅(실측)'!Y11+뒷날개치수더함,'멍텅(실측)'!Y11)</f>
        <v>16.2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9.8058529423078635</v>
      </c>
      <c r="AO11" s="36">
        <f t="shared" si="5"/>
        <v>5.1695496128234595</v>
      </c>
      <c r="AP11" s="36">
        <f t="shared" si="6"/>
        <v>5.1695496128234595</v>
      </c>
      <c r="AQ11" s="46" t="str">
        <f t="shared" si="18"/>
        <v/>
      </c>
      <c r="AR11" s="3">
        <f t="shared" si="19"/>
        <v>967.8</v>
      </c>
      <c r="AS11" s="3">
        <f t="shared" si="20"/>
        <v>413.59999999999991</v>
      </c>
      <c r="AT11" s="3">
        <f t="shared" si="21"/>
        <v>407.4</v>
      </c>
      <c r="AU11" s="3">
        <f t="shared" si="22"/>
        <v>2086</v>
      </c>
      <c r="AV11" s="3">
        <f t="shared" si="23"/>
        <v>407.4</v>
      </c>
      <c r="AW11" s="3">
        <f t="shared" si="24"/>
        <v>2086</v>
      </c>
      <c r="AX11">
        <f t="shared" si="25"/>
        <v>-1</v>
      </c>
      <c r="AY11">
        <f t="shared" si="26"/>
        <v>-1.1999999999999993</v>
      </c>
      <c r="AZ11" s="79">
        <f t="shared" si="27"/>
        <v>0</v>
      </c>
      <c r="BA11" s="83">
        <f>IF(소장="손상민",'멍텅(실측)'!AD11,0)</f>
        <v>0</v>
      </c>
    </row>
    <row r="12" spans="1:53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790</v>
      </c>
      <c r="D12" s="4">
        <f>'멍텅(실측)'!D12-멍텅R</f>
        <v>891</v>
      </c>
      <c r="E12" s="50">
        <f>'멍텅(실측)'!E12+MAX(AK12,AL12)+IF(AZ12=1,Y12,0)+멍텅JBJD늘림치수</f>
        <v>289.39999999999998</v>
      </c>
      <c r="F12" s="50">
        <f>'멍텅(실측)'!F12+MAX(AK12,AL12)+IF(AZ12=1,AA12,0)+멍텅JBJD늘림치수</f>
        <v>286.39999999999998</v>
      </c>
      <c r="G12" s="50">
        <f>'멍텅(실측)'!G12+AK12+IF(AZ12=1,Y12,0)+멍텅JB강제키움+멍텅JBJD늘림치수</f>
        <v>285.39999999999998</v>
      </c>
      <c r="H12" s="50">
        <f>'멍텅(실측)'!G12+AK12+IF(AZ12=1,Z12,0)+멍텅JB강제키움+멍텅JBJD늘림치수-IF(멍텅JB하부늘치=1,'멍텅(실측)'!U12-'멍텅(실측)'!V12,0)</f>
        <v>285.39999999999998</v>
      </c>
      <c r="I12" s="50">
        <f>'멍텅(실측)'!H12+AL12+IF(AZ12=1,AA12,0)+멍텅JB강제키움+멍텅JBJD늘림치수</f>
        <v>285.39999999999998</v>
      </c>
      <c r="J12" s="50">
        <f>'멍텅(실측)'!H12+AL12+IF(AZ12=1,AB12,0)+멍텅JB강제키움+멍텅JBJD늘림치수-IF(멍텅JB하부늘치=1,'멍텅(실측)'!W12-'멍텅(실측)'!X12,0)</f>
        <v>285.39999999999998</v>
      </c>
      <c r="K12" s="4">
        <f t="shared" si="12"/>
        <v>36</v>
      </c>
      <c r="L12" s="4">
        <f t="shared" si="13"/>
        <v>36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31.2</v>
      </c>
      <c r="X12" s="4">
        <f>'멍텅(실측)'!T12+뒷날개치수더함</f>
        <v>26.2</v>
      </c>
      <c r="Y12" s="13">
        <f>'멍텅(실측)'!U12-멍텅늘치차감</f>
        <v>0</v>
      </c>
      <c r="Z12" s="13">
        <f>IF(멍텅JB하부늘치=1,Y12,'멍텅(실측)'!V12-멍텅늘치차감)</f>
        <v>0</v>
      </c>
      <c r="AA12" s="13">
        <f>'멍텅(실측)'!W12-멍텅늘치차감</f>
        <v>0</v>
      </c>
      <c r="AB12" s="13">
        <f>IF(멍텅JB하부늘치=1,AA12,'멍텅(실측)'!X12-멍텅늘치차감)</f>
        <v>0</v>
      </c>
      <c r="AC12" s="11" t="str">
        <f t="shared" si="14"/>
        <v>963*359.4</v>
      </c>
      <c r="AD12" s="12" t="str">
        <f t="shared" si="15"/>
        <v>2089*344</v>
      </c>
      <c r="AE12" s="10" t="str">
        <f t="shared" si="16"/>
        <v>2089*344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9.8983888911194882</v>
      </c>
      <c r="AO12" s="36">
        <f t="shared" si="5"/>
        <v>8.2484186600084968</v>
      </c>
      <c r="AP12" s="36">
        <f t="shared" si="6"/>
        <v>5.2484186600084968</v>
      </c>
      <c r="AQ12" s="46" t="str">
        <f t="shared" si="18"/>
        <v>JD비대칭</v>
      </c>
      <c r="AR12" s="3">
        <f t="shared" si="19"/>
        <v>963</v>
      </c>
      <c r="AS12" s="3">
        <f t="shared" si="20"/>
        <v>359.39999999999992</v>
      </c>
      <c r="AT12" s="3">
        <f t="shared" si="21"/>
        <v>343.99999999999994</v>
      </c>
      <c r="AU12" s="3">
        <f t="shared" si="22"/>
        <v>2089</v>
      </c>
      <c r="AV12" s="3">
        <f t="shared" si="23"/>
        <v>343.99999999999994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791</v>
      </c>
      <c r="D13" s="4">
        <f>'멍텅(실측)'!D13-멍텅R</f>
        <v>890</v>
      </c>
      <c r="E13" s="50">
        <f>'멍텅(실측)'!E13+MAX(AK13,AL13)+IF(AZ13=1,Y13,0)+멍텅JBJD늘림치수</f>
        <v>289.39999999999998</v>
      </c>
      <c r="F13" s="50">
        <f>'멍텅(실측)'!F13+MAX(AK13,AL13)+IF(AZ13=1,AA13,0)+멍텅JBJD늘림치수</f>
        <v>285.39999999999998</v>
      </c>
      <c r="G13" s="50">
        <f>'멍텅(실측)'!G13+AK13+IF(AZ13=1,Y13,0)+멍텅JB강제키움+멍텅JBJD늘림치수</f>
        <v>289.39999999999998</v>
      </c>
      <c r="H13" s="50">
        <f>'멍텅(실측)'!G13+AK13+IF(AZ13=1,Z13,0)+멍텅JB강제키움+멍텅JBJD늘림치수-IF(멍텅JB하부늘치=1,'멍텅(실측)'!U13-'멍텅(실측)'!V13,0)</f>
        <v>279.39999999999998</v>
      </c>
      <c r="I13" s="50">
        <f>'멍텅(실측)'!H13+AL13+IF(AZ13=1,AA13,0)+멍텅JB강제키움+멍텅JBJD늘림치수</f>
        <v>284.39999999999998</v>
      </c>
      <c r="J13" s="50">
        <f>'멍텅(실측)'!H13+AL13+IF(AZ13=1,AB13,0)+멍텅JB강제키움+멍텅JBJD늘림치수-IF(멍텅JB하부늘치=1,'멍텅(실측)'!W13-'멍텅(실측)'!X13,0)</f>
        <v>264.39999999999998</v>
      </c>
      <c r="K13" s="4">
        <f t="shared" si="12"/>
        <v>39.4</v>
      </c>
      <c r="L13" s="4">
        <f t="shared" si="13"/>
        <v>39.4</v>
      </c>
      <c r="M13" s="4">
        <f>IF(O13&gt;0,'멍텅(실측)'!I13+멍텅C늘림,'멍텅(실측)'!I13+1)</f>
        <v>39.4</v>
      </c>
      <c r="N13" s="4">
        <f>IF(P13&gt;0,'멍텅(실측)'!J13+멍텅C늘림,'멍텅(실측)'!J13+1)</f>
        <v>39.4</v>
      </c>
      <c r="O13" s="4">
        <f>IF(ISNUMBER('멍텅(실측)'!K13),'멍텅(실측)'!K13+멍텅제작!AK13+멍텅A늘림,0)</f>
        <v>18.2</v>
      </c>
      <c r="P13" s="4">
        <f>IF(ISNUMBER('멍텅(실측)'!L13),'멍텅(실측)'!L13+멍텅제작!AL13+멍텅A늘림,0)</f>
        <v>18.2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44.4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10.199999999999999</v>
      </c>
      <c r="W13" s="4">
        <f>'멍텅(실측)'!S13+뒷날개치수더함</f>
        <v>31.2</v>
      </c>
      <c r="X13" s="4">
        <f>'멍텅(실측)'!T13+뒷날개치수더함</f>
        <v>26.2</v>
      </c>
      <c r="Y13" s="13">
        <f>'멍텅(실측)'!U13-멍텅늘치차감</f>
        <v>30</v>
      </c>
      <c r="Z13" s="13">
        <f>IF(멍텅JB하부늘치=1,Y13,'멍텅(실측)'!V13-멍텅늘치차감)</f>
        <v>30</v>
      </c>
      <c r="AA13" s="13">
        <f>'멍텅(실측)'!W13-멍텅늘치차감</f>
        <v>40</v>
      </c>
      <c r="AB13" s="13">
        <f>IF(멍텅JB하부늘치=1,AA13,'멍텅(실측)'!X13-멍텅늘치차감)</f>
        <v>40</v>
      </c>
      <c r="AC13" s="11" t="str">
        <f t="shared" si="14"/>
        <v>968.8*411.6</v>
      </c>
      <c r="AD13" s="12" t="str">
        <f t="shared" si="15"/>
        <v>2090*398.4</v>
      </c>
      <c r="AE13" s="10" t="str">
        <f t="shared" si="16"/>
        <v>2090*403.4</v>
      </c>
      <c r="AF13" s="4">
        <f>IF('멍텅(실측)'!Y13&gt;5,'멍텅(실측)'!Y13+뒷날개치수더함,'멍텅(실측)'!Y13)</f>
        <v>16.2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9.7061462159250258</v>
      </c>
      <c r="AO13" s="36">
        <f t="shared" si="5"/>
        <v>4.142648343927533</v>
      </c>
      <c r="AP13" s="36">
        <f t="shared" si="6"/>
        <v>5.0710752903005414</v>
      </c>
      <c r="AQ13" s="46" t="str">
        <f t="shared" si="18"/>
        <v>JD비대칭</v>
      </c>
      <c r="AR13" s="3">
        <f t="shared" si="19"/>
        <v>968.8</v>
      </c>
      <c r="AS13" s="3">
        <f t="shared" si="20"/>
        <v>411.59999999999991</v>
      </c>
      <c r="AT13" s="3">
        <f t="shared" si="21"/>
        <v>398.4</v>
      </c>
      <c r="AU13" s="3">
        <f t="shared" si="22"/>
        <v>2090</v>
      </c>
      <c r="AV13" s="3">
        <f t="shared" si="23"/>
        <v>403.4</v>
      </c>
      <c r="AW13" s="3">
        <f t="shared" si="24"/>
        <v>2090</v>
      </c>
      <c r="AX13">
        <f t="shared" si="25"/>
        <v>0</v>
      </c>
      <c r="AY13">
        <f t="shared" si="26"/>
        <v>-1.1999999999999993</v>
      </c>
      <c r="AZ13" s="79">
        <f t="shared" si="27"/>
        <v>0</v>
      </c>
      <c r="BA13" s="83">
        <f>IF(소장="손상민",'멍텅(실측)'!AD13,0)</f>
        <v>0</v>
      </c>
    </row>
    <row r="14" spans="1:53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792</v>
      </c>
      <c r="D14" s="4">
        <f>'멍텅(실측)'!D14-멍텅R</f>
        <v>891</v>
      </c>
      <c r="E14" s="50">
        <f>'멍텅(실측)'!E14+MAX(AK14,AL14)+IF(AZ14=1,Y14,0)+멍텅JBJD늘림치수</f>
        <v>282.39999999999998</v>
      </c>
      <c r="F14" s="50">
        <f>'멍텅(실측)'!F14+MAX(AK14,AL14)+IF(AZ14=1,AA14,0)+멍텅JBJD늘림치수</f>
        <v>285.39999999999998</v>
      </c>
      <c r="G14" s="50">
        <f>'멍텅(실측)'!G14+AK14+IF(AZ14=1,Y14,0)+멍텅JB강제키움+멍텅JBJD늘림치수</f>
        <v>284.39999999999998</v>
      </c>
      <c r="H14" s="50">
        <f>'멍텅(실측)'!G14+AK14+IF(AZ14=1,Z14,0)+멍텅JB강제키움+멍텅JBJD늘림치수-IF(멍텅JB하부늘치=1,'멍텅(실측)'!U14-'멍텅(실측)'!V14,0)</f>
        <v>284.39999999999998</v>
      </c>
      <c r="I14" s="50">
        <f>'멍텅(실측)'!H14+AL14+IF(AZ14=1,AA14,0)+멍텅JB강제키움+멍텅JBJD늘림치수</f>
        <v>284.39999999999998</v>
      </c>
      <c r="J14" s="50">
        <f>'멍텅(실측)'!H14+AL14+IF(AZ14=1,AB14,0)+멍텅JB강제키움+멍텅JBJD늘림치수-IF(멍텅JB하부늘치=1,'멍텅(실측)'!W14-'멍텅(실측)'!X14,0)</f>
        <v>284.39999999999998</v>
      </c>
      <c r="K14" s="4">
        <f t="shared" si="12"/>
        <v>36</v>
      </c>
      <c r="L14" s="4">
        <f t="shared" si="13"/>
        <v>36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44.4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10.199999999999999</v>
      </c>
      <c r="W14" s="4">
        <f>'멍텅(실측)'!S14+뒷날개치수더함</f>
        <v>31.2</v>
      </c>
      <c r="X14" s="4">
        <f>'멍텅(실측)'!T14+뒷날개치수더함</f>
        <v>26.2</v>
      </c>
      <c r="Y14" s="13">
        <f>'멍텅(실측)'!U14-멍텅늘치차감</f>
        <v>47</v>
      </c>
      <c r="Z14" s="13">
        <f>IF(멍텅JB하부늘치=1,Y14,'멍텅(실측)'!V14-멍텅늘치차감)</f>
        <v>47</v>
      </c>
      <c r="AA14" s="13">
        <f>'멍텅(실측)'!W14-멍텅늘치차감</f>
        <v>47</v>
      </c>
      <c r="AB14" s="13">
        <f>IF(멍텅JB하부늘치=1,AA14,'멍텅(실측)'!X14-멍텅늘치차감)</f>
        <v>47</v>
      </c>
      <c r="AC14" s="11" t="str">
        <f t="shared" si="14"/>
        <v>963*414.6</v>
      </c>
      <c r="AD14" s="12" t="str">
        <f t="shared" si="15"/>
        <v>2096*390</v>
      </c>
      <c r="AE14" s="10" t="str">
        <f t="shared" si="16"/>
        <v>2091*390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9.9419935409935469</v>
      </c>
      <c r="AO14" s="36">
        <f t="shared" si="5"/>
        <v>2.2708204820552282</v>
      </c>
      <c r="AP14" s="36">
        <f t="shared" si="6"/>
        <v>5.2708204820552282</v>
      </c>
      <c r="AQ14" s="46" t="str">
        <f t="shared" si="18"/>
        <v>JD비대칭</v>
      </c>
      <c r="AR14" s="3">
        <f t="shared" si="19"/>
        <v>963</v>
      </c>
      <c r="AS14" s="3">
        <f t="shared" si="20"/>
        <v>414.59999999999991</v>
      </c>
      <c r="AT14" s="3">
        <f t="shared" si="21"/>
        <v>389.99999999999994</v>
      </c>
      <c r="AU14" s="3">
        <f t="shared" si="22"/>
        <v>2096</v>
      </c>
      <c r="AV14" s="3">
        <f t="shared" si="23"/>
        <v>389.99999999999994</v>
      </c>
      <c r="AW14" s="3">
        <f t="shared" si="24"/>
        <v>2091</v>
      </c>
      <c r="AX14">
        <f t="shared" si="25"/>
        <v>2</v>
      </c>
      <c r="AY14">
        <f t="shared" si="26"/>
        <v>-1.1999999999999993</v>
      </c>
      <c r="AZ14" s="79">
        <f t="shared" si="27"/>
        <v>0</v>
      </c>
      <c r="BA14" s="83">
        <f>IF(소장="손상민",'멍텅(실측)'!AD14,0)</f>
        <v>0</v>
      </c>
    </row>
    <row r="15" spans="1:53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792</v>
      </c>
      <c r="D15" s="4">
        <f>'멍텅(실측)'!D15-멍텅R</f>
        <v>891</v>
      </c>
      <c r="E15" s="50">
        <f>'멍텅(실측)'!E15+MAX(AK15,AL15)+IF(AZ15=1,Y15,0)+멍텅JBJD늘림치수</f>
        <v>285.39999999999998</v>
      </c>
      <c r="F15" s="50">
        <f>'멍텅(실측)'!F15+MAX(AK15,AL15)+IF(AZ15=1,AA15,0)+멍텅JBJD늘림치수</f>
        <v>285.39999999999998</v>
      </c>
      <c r="G15" s="50">
        <f>'멍텅(실측)'!G15+AK15+IF(AZ15=1,Y15,0)+멍텅JB강제키움+멍텅JBJD늘림치수</f>
        <v>284.39999999999998</v>
      </c>
      <c r="H15" s="50">
        <f>'멍텅(실측)'!G15+AK15+IF(AZ15=1,Z15,0)+멍텅JB강제키움+멍텅JBJD늘림치수-IF(멍텅JB하부늘치=1,'멍텅(실측)'!U15-'멍텅(실측)'!V15,0)</f>
        <v>284.39999999999998</v>
      </c>
      <c r="I15" s="50">
        <f>'멍텅(실측)'!H15+AL15+IF(AZ15=1,AA15,0)+멍텅JB강제키움+멍텅JBJD늘림치수</f>
        <v>284.39999999999998</v>
      </c>
      <c r="J15" s="50">
        <f>'멍텅(실측)'!H15+AL15+IF(AZ15=1,AB15,0)+멍텅JB강제키움+멍텅JBJD늘림치수-IF(멍텅JB하부늘치=1,'멍텅(실측)'!W15-'멍텅(실측)'!X15,0)</f>
        <v>284.39999999999998</v>
      </c>
      <c r="K15" s="4">
        <f t="shared" si="12"/>
        <v>36</v>
      </c>
      <c r="L15" s="4">
        <f t="shared" si="13"/>
        <v>36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44.4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10.199999999999999</v>
      </c>
      <c r="W15" s="4">
        <f>'멍텅(실측)'!S15+뒷날개치수더함</f>
        <v>31.2</v>
      </c>
      <c r="X15" s="4">
        <f>'멍텅(실측)'!T15+뒷날개치수더함</f>
        <v>26.2</v>
      </c>
      <c r="Y15" s="13">
        <f>'멍텅(실측)'!U15-멍텅늘치차감</f>
        <v>0</v>
      </c>
      <c r="Z15" s="13">
        <f>IF(멍텅JB하부늘치=1,Y15,'멍텅(실측)'!V15-멍텅늘치차감)</f>
        <v>0</v>
      </c>
      <c r="AA15" s="13">
        <f>'멍텅(실측)'!W15-멍텅늘치차감</f>
        <v>0</v>
      </c>
      <c r="AB15" s="13">
        <f>IF(멍텅JB하부늘치=1,AA15,'멍텅(실측)'!X15-멍텅늘치차감)</f>
        <v>0</v>
      </c>
      <c r="AC15" s="11" t="str">
        <f t="shared" si="14"/>
        <v>963*367.6</v>
      </c>
      <c r="AD15" s="12" t="str">
        <f t="shared" si="15"/>
        <v>2090*343</v>
      </c>
      <c r="AE15" s="10" t="str">
        <f t="shared" si="16"/>
        <v>2095*343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9.8395408012890986</v>
      </c>
      <c r="AO15" s="36">
        <f t="shared" si="5"/>
        <v>5.1834673080757625</v>
      </c>
      <c r="AP15" s="36">
        <f t="shared" si="6"/>
        <v>5.1834673080757625</v>
      </c>
      <c r="AQ15" s="46" t="str">
        <f t="shared" si="18"/>
        <v/>
      </c>
      <c r="AR15" s="3">
        <f t="shared" si="19"/>
        <v>963</v>
      </c>
      <c r="AS15" s="3">
        <f t="shared" si="20"/>
        <v>367.59999999999991</v>
      </c>
      <c r="AT15" s="3">
        <f t="shared" si="21"/>
        <v>342.99999999999994</v>
      </c>
      <c r="AU15" s="3">
        <f t="shared" si="22"/>
        <v>2090</v>
      </c>
      <c r="AV15" s="3">
        <f t="shared" si="23"/>
        <v>342.99999999999994</v>
      </c>
      <c r="AW15" s="3">
        <f t="shared" si="24"/>
        <v>2095</v>
      </c>
      <c r="AX15">
        <f t="shared" si="25"/>
        <v>-1</v>
      </c>
      <c r="AY15">
        <f t="shared" si="26"/>
        <v>-1.1999999999999993</v>
      </c>
      <c r="AZ15" s="79">
        <f t="shared" si="27"/>
        <v>1</v>
      </c>
      <c r="BA15" s="83">
        <f>IF(소장="손상민",'멍텅(실측)'!AD15,0)</f>
        <v>0</v>
      </c>
    </row>
    <row r="16" spans="1:53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790</v>
      </c>
      <c r="D16" s="4">
        <f>'멍텅(실측)'!D16-멍텅R</f>
        <v>888</v>
      </c>
      <c r="E16" s="50">
        <f>'멍텅(실측)'!E16+MAX(AK16,AL16)+IF(AZ16=1,Y16,0)+멍텅JBJD늘림치수</f>
        <v>289.39999999999998</v>
      </c>
      <c r="F16" s="50">
        <f>'멍텅(실측)'!F16+MAX(AK16,AL16)+IF(AZ16=1,AA16,0)+멍텅JBJD늘림치수</f>
        <v>289.39999999999998</v>
      </c>
      <c r="G16" s="50">
        <f>'멍텅(실측)'!G16+AK16+IF(AZ16=1,Y16,0)+멍텅JB강제키움+멍텅JBJD늘림치수</f>
        <v>288.39999999999998</v>
      </c>
      <c r="H16" s="50">
        <f>'멍텅(실측)'!G16+AK16+IF(AZ16=1,Z16,0)+멍텅JB강제키움+멍텅JBJD늘림치수-IF(멍텅JB하부늘치=1,'멍텅(실측)'!U16-'멍텅(실측)'!V16,0)</f>
        <v>281.39999999999998</v>
      </c>
      <c r="I16" s="50">
        <f>'멍텅(실측)'!H16+AL16+IF(AZ16=1,AA16,0)+멍텅JB강제키움+멍텅JBJD늘림치수</f>
        <v>288.39999999999998</v>
      </c>
      <c r="J16" s="50">
        <f>'멍텅(실측)'!H16+AL16+IF(AZ16=1,AB16,0)+멍텅JB강제키움+멍텅JBJD늘림치수-IF(멍텅JB하부늘치=1,'멍텅(실측)'!W16-'멍텅(실측)'!X16,0)</f>
        <v>281.39999999999998</v>
      </c>
      <c r="K16" s="4">
        <f t="shared" si="12"/>
        <v>39.4</v>
      </c>
      <c r="L16" s="4">
        <f t="shared" si="13"/>
        <v>34.4</v>
      </c>
      <c r="M16" s="4">
        <f>IF(O16&gt;0,'멍텅(실측)'!I16+멍텅C늘림,'멍텅(실측)'!I16+1)</f>
        <v>39.4</v>
      </c>
      <c r="N16" s="4">
        <f>IF(P16&gt;0,'멍텅(실측)'!J16+멍텅C늘림,'멍텅(실측)'!J16+1)</f>
        <v>34.4</v>
      </c>
      <c r="O16" s="4">
        <f>IF(ISNUMBER('멍텅(실측)'!K16),'멍텅(실측)'!K16+멍텅제작!AK16+멍텅A늘림,0)</f>
        <v>15.2</v>
      </c>
      <c r="P16" s="4">
        <f>IF(ISNUMBER('멍텅(실측)'!L16),'멍텅(실측)'!L16+멍텅제작!AL16+멍텅A늘림,0)</f>
        <v>15.2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31.2</v>
      </c>
      <c r="X16" s="4">
        <f>'멍텅(실측)'!T16+뒷날개치수더함</f>
        <v>26.2</v>
      </c>
      <c r="Y16" s="13">
        <f>'멍텅(실측)'!U16-멍텅늘치차감</f>
        <v>47</v>
      </c>
      <c r="Z16" s="13">
        <f>IF(멍텅JB하부늘치=1,Y16,'멍텅(실측)'!V16-멍텅늘치차감)</f>
        <v>47</v>
      </c>
      <c r="AA16" s="13">
        <f>'멍텅(실측)'!W16-멍텅늘치차감</f>
        <v>47</v>
      </c>
      <c r="AB16" s="13">
        <f>IF(멍텅JB하부늘치=1,AA16,'멍텅(실측)'!X16-멍텅늘치차감)</f>
        <v>47</v>
      </c>
      <c r="AC16" s="11" t="str">
        <f t="shared" si="14"/>
        <v>961.8*406.4</v>
      </c>
      <c r="AD16" s="12" t="str">
        <f t="shared" si="15"/>
        <v>2090*411.4</v>
      </c>
      <c r="AE16" s="10" t="str">
        <f t="shared" si="16"/>
        <v>2095*406.4</v>
      </c>
      <c r="AF16" s="4">
        <f>IF('멍텅(실측)'!Y16&gt;5,'멍텅(실측)'!Y16+뒷날개치수더함,'멍텅(실측)'!Y16)</f>
        <v>16.2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9.6099417905174427</v>
      </c>
      <c r="AO16" s="36">
        <f t="shared" si="5"/>
        <v>5.0470926806851253</v>
      </c>
      <c r="AP16" s="36">
        <f t="shared" si="6"/>
        <v>5.0470926806851253</v>
      </c>
      <c r="AQ16" s="46" t="str">
        <f t="shared" si="18"/>
        <v/>
      </c>
      <c r="AR16" s="3">
        <f t="shared" si="19"/>
        <v>961.8</v>
      </c>
      <c r="AS16" s="3">
        <f t="shared" si="20"/>
        <v>406.39999999999992</v>
      </c>
      <c r="AT16" s="3">
        <f t="shared" si="21"/>
        <v>411.4</v>
      </c>
      <c r="AU16" s="3">
        <f t="shared" si="22"/>
        <v>2090</v>
      </c>
      <c r="AV16" s="3">
        <f t="shared" si="23"/>
        <v>406.4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6">
    <cfRule type="cellIs" dxfId="65" priority="26" operator="greaterThan">
      <formula>1210</formula>
    </cfRule>
  </conditionalFormatting>
  <conditionalFormatting sqref="AF7:AH16">
    <cfRule type="cellIs" dxfId="64" priority="13" operator="greaterThan">
      <formula>1.2</formula>
    </cfRule>
  </conditionalFormatting>
  <conditionalFormatting sqref="G7:J16">
    <cfRule type="cellIs" dxfId="63" priority="11" operator="greaterThan">
      <formula>500</formula>
    </cfRule>
  </conditionalFormatting>
  <conditionalFormatting sqref="E7:E16">
    <cfRule type="cellIs" dxfId="62" priority="10" operator="notEqual">
      <formula>F7</formula>
    </cfRule>
  </conditionalFormatting>
  <conditionalFormatting sqref="F7:F16">
    <cfRule type="cellIs" dxfId="61" priority="9" operator="notEqual">
      <formula>E7</formula>
    </cfRule>
  </conditionalFormatting>
  <conditionalFormatting sqref="I7:I16">
    <cfRule type="cellIs" dxfId="60" priority="6" operator="notEqual">
      <formula>J7</formula>
    </cfRule>
  </conditionalFormatting>
  <conditionalFormatting sqref="J7:J16 H7:H16">
    <cfRule type="cellIs" dxfId="59" priority="4" operator="notEqual">
      <formula>G7</formula>
    </cfRule>
  </conditionalFormatting>
  <conditionalFormatting sqref="G7:G16">
    <cfRule type="cellIs" dxfId="58" priority="3" operator="notEqual">
      <formula>H7</formula>
    </cfRule>
  </conditionalFormatting>
  <conditionalFormatting sqref="Y7:AB16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V7" sqref="V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1" t="str">
        <f>정보!B4</f>
        <v>(쪽쟘) 실측서 ( 자동작도테스트 ) _손상민소장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자동작도테스트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4" t="s">
        <v>118</v>
      </c>
      <c r="B5" s="290" t="s">
        <v>119</v>
      </c>
      <c r="C5" s="290" t="s">
        <v>120</v>
      </c>
      <c r="D5" s="290" t="s">
        <v>121</v>
      </c>
      <c r="E5" s="290" t="s">
        <v>122</v>
      </c>
      <c r="F5" s="290" t="s">
        <v>123</v>
      </c>
      <c r="G5" s="290" t="s">
        <v>124</v>
      </c>
      <c r="H5" s="290" t="s">
        <v>125</v>
      </c>
      <c r="I5" s="290" t="s">
        <v>126</v>
      </c>
      <c r="J5" s="290" t="s">
        <v>128</v>
      </c>
      <c r="K5" s="290" t="s">
        <v>15</v>
      </c>
      <c r="L5" s="290" t="s">
        <v>129</v>
      </c>
      <c r="M5" s="290" t="s">
        <v>130</v>
      </c>
      <c r="N5" s="290" t="s">
        <v>131</v>
      </c>
      <c r="O5" s="290" t="s">
        <v>132</v>
      </c>
      <c r="P5" s="292" t="s">
        <v>133</v>
      </c>
      <c r="Q5" s="292" t="s">
        <v>134</v>
      </c>
      <c r="R5" s="290" t="s">
        <v>135</v>
      </c>
      <c r="S5" s="290"/>
      <c r="T5" s="175" t="s">
        <v>203</v>
      </c>
      <c r="U5" s="175"/>
      <c r="V5" s="175"/>
    </row>
    <row r="6" spans="1:22" ht="25.9" customHeight="1" x14ac:dyDescent="0.3">
      <c r="A6" s="294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3"/>
      <c r="Q6" s="293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335</v>
      </c>
      <c r="B7" s="60">
        <v>15</v>
      </c>
      <c r="C7" s="161">
        <v>898</v>
      </c>
      <c r="D7" s="60">
        <v>102</v>
      </c>
      <c r="E7" s="60">
        <v>100</v>
      </c>
      <c r="F7" s="60">
        <v>25</v>
      </c>
      <c r="G7" s="60">
        <v>25</v>
      </c>
      <c r="H7" s="60">
        <v>28</v>
      </c>
      <c r="I7" s="60">
        <v>24</v>
      </c>
      <c r="J7" s="119">
        <v>2090</v>
      </c>
      <c r="K7" s="119">
        <v>2090</v>
      </c>
      <c r="L7" s="119">
        <v>2090</v>
      </c>
      <c r="M7" s="119">
        <v>2090</v>
      </c>
      <c r="N7" s="119">
        <v>0</v>
      </c>
      <c r="O7" s="119">
        <v>0</v>
      </c>
      <c r="P7" s="119">
        <v>25</v>
      </c>
      <c r="Q7" s="119">
        <v>29</v>
      </c>
      <c r="R7" s="60"/>
      <c r="S7" s="60"/>
      <c r="T7" s="4"/>
      <c r="U7" s="4"/>
      <c r="V7" s="4"/>
    </row>
    <row r="8" spans="1:22" ht="18" customHeight="1" x14ac:dyDescent="0.3">
      <c r="A8" s="133" t="s">
        <v>335</v>
      </c>
      <c r="B8" s="60">
        <v>14</v>
      </c>
      <c r="C8" s="161">
        <v>898</v>
      </c>
      <c r="D8" s="60">
        <v>102</v>
      </c>
      <c r="E8" s="60">
        <v>100</v>
      </c>
      <c r="F8" s="60">
        <v>20</v>
      </c>
      <c r="G8" s="60">
        <v>26</v>
      </c>
      <c r="H8" s="60">
        <v>27</v>
      </c>
      <c r="I8" s="60">
        <v>29</v>
      </c>
      <c r="J8" s="119">
        <v>2090</v>
      </c>
      <c r="K8" s="119">
        <v>2095</v>
      </c>
      <c r="L8" s="119">
        <v>2091</v>
      </c>
      <c r="M8" s="119">
        <v>2090</v>
      </c>
      <c r="N8" s="119">
        <v>0</v>
      </c>
      <c r="O8" s="119">
        <v>0</v>
      </c>
      <c r="P8" s="119">
        <v>25</v>
      </c>
      <c r="Q8" s="119">
        <v>29</v>
      </c>
      <c r="R8" s="60"/>
      <c r="S8" s="60"/>
      <c r="T8" s="4"/>
      <c r="U8" s="4"/>
      <c r="V8" s="4"/>
    </row>
    <row r="9" spans="1:22" x14ac:dyDescent="0.3">
      <c r="A9" s="133" t="s">
        <v>335</v>
      </c>
      <c r="B9" s="60">
        <v>13</v>
      </c>
      <c r="C9" s="161">
        <v>898</v>
      </c>
      <c r="D9" s="60">
        <v>102</v>
      </c>
      <c r="E9" s="60">
        <v>100</v>
      </c>
      <c r="F9" s="60">
        <v>24</v>
      </c>
      <c r="G9" s="60">
        <v>24</v>
      </c>
      <c r="H9" s="60">
        <v>27</v>
      </c>
      <c r="I9" s="60">
        <v>27</v>
      </c>
      <c r="J9" s="119">
        <v>2090</v>
      </c>
      <c r="K9" s="119">
        <v>2090</v>
      </c>
      <c r="L9" s="119">
        <v>2090</v>
      </c>
      <c r="M9" s="119">
        <v>2090</v>
      </c>
      <c r="N9" s="119">
        <v>28</v>
      </c>
      <c r="O9" s="119">
        <v>28</v>
      </c>
      <c r="P9" s="119">
        <v>25</v>
      </c>
      <c r="Q9" s="119">
        <v>29</v>
      </c>
      <c r="R9" s="60"/>
      <c r="S9" s="60"/>
      <c r="T9" s="4">
        <v>20</v>
      </c>
      <c r="U9" s="4">
        <v>9</v>
      </c>
      <c r="V9" s="4">
        <v>90</v>
      </c>
    </row>
    <row r="10" spans="1:22" x14ac:dyDescent="0.3">
      <c r="A10" s="133" t="s">
        <v>335</v>
      </c>
      <c r="B10" s="60">
        <v>12</v>
      </c>
      <c r="C10" s="161">
        <v>898</v>
      </c>
      <c r="D10" s="60">
        <v>102</v>
      </c>
      <c r="E10" s="60">
        <v>100</v>
      </c>
      <c r="F10" s="60">
        <v>25</v>
      </c>
      <c r="G10" s="60">
        <v>25</v>
      </c>
      <c r="H10" s="60">
        <v>24</v>
      </c>
      <c r="I10" s="60">
        <v>24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21</v>
      </c>
      <c r="O10" s="119">
        <v>26</v>
      </c>
      <c r="P10" s="119">
        <v>25</v>
      </c>
      <c r="Q10" s="119">
        <v>29</v>
      </c>
      <c r="R10" s="60"/>
      <c r="S10" s="60"/>
      <c r="T10" s="4">
        <v>20</v>
      </c>
      <c r="U10" s="4">
        <v>9</v>
      </c>
      <c r="V10" s="4">
        <v>90</v>
      </c>
    </row>
    <row r="11" spans="1:22" x14ac:dyDescent="0.3">
      <c r="A11" s="133" t="s">
        <v>335</v>
      </c>
      <c r="B11" s="60">
        <v>11</v>
      </c>
      <c r="C11" s="161">
        <v>898</v>
      </c>
      <c r="D11" s="60">
        <v>102</v>
      </c>
      <c r="E11" s="60">
        <v>100</v>
      </c>
      <c r="F11" s="60">
        <v>25</v>
      </c>
      <c r="G11" s="60">
        <v>25</v>
      </c>
      <c r="H11" s="60">
        <v>26</v>
      </c>
      <c r="I11" s="60">
        <v>26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29</v>
      </c>
      <c r="O11" s="119">
        <v>24</v>
      </c>
      <c r="P11" s="119">
        <v>25</v>
      </c>
      <c r="Q11" s="119">
        <v>29</v>
      </c>
      <c r="R11" s="60"/>
      <c r="S11" s="60"/>
      <c r="T11" s="4">
        <v>20</v>
      </c>
      <c r="U11" s="4">
        <v>9</v>
      </c>
      <c r="V11" s="4">
        <v>20</v>
      </c>
    </row>
    <row r="12" spans="1:22" x14ac:dyDescent="0.3">
      <c r="A12" s="133" t="s">
        <v>335</v>
      </c>
      <c r="B12" s="60">
        <v>10</v>
      </c>
      <c r="C12" s="161">
        <v>898</v>
      </c>
      <c r="D12" s="60">
        <v>102</v>
      </c>
      <c r="E12" s="60">
        <v>100</v>
      </c>
      <c r="F12" s="60">
        <v>24</v>
      </c>
      <c r="G12" s="60">
        <v>24</v>
      </c>
      <c r="H12" s="60">
        <v>25</v>
      </c>
      <c r="I12" s="60">
        <v>25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25</v>
      </c>
      <c r="O12" s="119">
        <v>21</v>
      </c>
      <c r="P12" s="119">
        <v>25</v>
      </c>
      <c r="Q12" s="119">
        <v>29</v>
      </c>
      <c r="R12" s="60"/>
      <c r="S12" s="60"/>
      <c r="T12" s="4">
        <v>20</v>
      </c>
      <c r="U12" s="4">
        <v>9</v>
      </c>
      <c r="V12" s="4">
        <v>20</v>
      </c>
    </row>
    <row r="13" spans="1:22" x14ac:dyDescent="0.3">
      <c r="A13" s="133" t="s">
        <v>335</v>
      </c>
      <c r="B13" s="60">
        <v>9</v>
      </c>
      <c r="C13" s="161">
        <v>898</v>
      </c>
      <c r="D13" s="60">
        <v>102</v>
      </c>
      <c r="E13" s="60">
        <v>100</v>
      </c>
      <c r="F13" s="60">
        <v>24</v>
      </c>
      <c r="G13" s="60">
        <v>24</v>
      </c>
      <c r="H13" s="60">
        <v>24</v>
      </c>
      <c r="I13" s="60">
        <v>24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25</v>
      </c>
      <c r="Q13" s="119">
        <v>29</v>
      </c>
      <c r="R13" s="60"/>
      <c r="S13" s="60"/>
      <c r="T13" s="4">
        <v>20</v>
      </c>
      <c r="U13" s="4">
        <v>9</v>
      </c>
      <c r="V13" s="4">
        <v>30</v>
      </c>
    </row>
    <row r="14" spans="1:22" x14ac:dyDescent="0.3">
      <c r="A14" s="133" t="s">
        <v>335</v>
      </c>
      <c r="B14" s="60">
        <v>8</v>
      </c>
      <c r="C14" s="161">
        <v>898</v>
      </c>
      <c r="D14" s="60">
        <v>102</v>
      </c>
      <c r="E14" s="60">
        <v>100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24</v>
      </c>
      <c r="O14" s="119">
        <v>29</v>
      </c>
      <c r="P14" s="119">
        <v>25</v>
      </c>
      <c r="Q14" s="119">
        <v>29</v>
      </c>
      <c r="R14" s="60"/>
      <c r="S14" s="60"/>
      <c r="T14" s="4">
        <v>20</v>
      </c>
      <c r="U14" s="4">
        <v>9</v>
      </c>
      <c r="V14" s="4">
        <v>30</v>
      </c>
    </row>
    <row r="15" spans="1:22" x14ac:dyDescent="0.3">
      <c r="A15" s="133" t="s">
        <v>335</v>
      </c>
      <c r="B15" s="60">
        <v>7</v>
      </c>
      <c r="C15" s="161">
        <v>898</v>
      </c>
      <c r="D15" s="60">
        <v>102</v>
      </c>
      <c r="E15" s="60">
        <v>100</v>
      </c>
      <c r="F15" s="60">
        <v>24</v>
      </c>
      <c r="G15" s="60">
        <v>24</v>
      </c>
      <c r="H15" s="60">
        <v>22</v>
      </c>
      <c r="I15" s="60">
        <v>22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23</v>
      </c>
      <c r="O15" s="119">
        <v>26</v>
      </c>
      <c r="P15" s="119">
        <v>25</v>
      </c>
      <c r="Q15" s="119">
        <v>29</v>
      </c>
      <c r="R15" s="60"/>
      <c r="S15" s="60"/>
      <c r="T15" s="4">
        <v>20</v>
      </c>
      <c r="U15" s="4">
        <v>9</v>
      </c>
      <c r="V15" s="4">
        <v>90</v>
      </c>
    </row>
    <row r="16" spans="1:22" x14ac:dyDescent="0.3">
      <c r="A16" s="133" t="s">
        <v>335</v>
      </c>
      <c r="B16" s="60">
        <v>6</v>
      </c>
      <c r="C16" s="161">
        <v>898</v>
      </c>
      <c r="D16" s="60">
        <v>102</v>
      </c>
      <c r="E16" s="60">
        <v>100</v>
      </c>
      <c r="F16" s="60">
        <v>25</v>
      </c>
      <c r="G16" s="60">
        <v>25</v>
      </c>
      <c r="H16" s="60">
        <v>24</v>
      </c>
      <c r="I16" s="60">
        <v>24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22</v>
      </c>
      <c r="O16" s="119">
        <v>25</v>
      </c>
      <c r="P16" s="119">
        <v>25</v>
      </c>
      <c r="Q16" s="119">
        <v>29</v>
      </c>
      <c r="R16" s="60"/>
      <c r="S16" s="60"/>
      <c r="T16" s="4">
        <v>20</v>
      </c>
      <c r="U16" s="4">
        <v>9</v>
      </c>
      <c r="V16" s="4">
        <v>90</v>
      </c>
    </row>
    <row r="17" spans="1:22" x14ac:dyDescent="0.3">
      <c r="A17" s="133"/>
      <c r="B17" s="60"/>
      <c r="C17" s="161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161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161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161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161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161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161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161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161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161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161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161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161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161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161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161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161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161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161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161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161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161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161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161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161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161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161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161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161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161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161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161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161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161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161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161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161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161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161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161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161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161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161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161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161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161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161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161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161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161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161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161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161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161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161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161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161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161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161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161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161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161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161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161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161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161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161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161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161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161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161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161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161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161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161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161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161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161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161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161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161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161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161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161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161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161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161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161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161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161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161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161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161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161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161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161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161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161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161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161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161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161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L16"/>
  <sheetViews>
    <sheetView zoomScale="85" zoomScaleNormal="85" workbookViewId="0">
      <selection activeCell="AA9" sqref="AA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8" ht="75.75" customHeight="1" x14ac:dyDescent="0.3">
      <c r="A1" s="172" t="str">
        <f>정보!B1 &amp; " (쪽쟘제작치수)  " &amp; 정보!B6 &amp;" 소장"</f>
        <v>자동작도테스트 (쪽쟘제작치수)  손상민 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38" ht="30.75" customHeight="1" x14ac:dyDescent="0.3">
      <c r="A2" s="1"/>
      <c r="B2" s="1"/>
      <c r="C2" s="297" t="str">
        <f>"총 : " &amp; COUNTA(A7:A41) &amp;" (SET)"</f>
        <v>총 : 10 (SET)</v>
      </c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8" t="s">
        <v>139</v>
      </c>
      <c r="Q2" s="299"/>
      <c r="R2" s="299"/>
      <c r="S2" s="299"/>
      <c r="T2" s="61"/>
      <c r="U2" s="300">
        <v>1.2</v>
      </c>
      <c r="V2" s="300"/>
      <c r="W2" s="1"/>
      <c r="X2" s="1"/>
      <c r="Y2" s="1"/>
      <c r="Z2" s="1"/>
      <c r="AA2" s="1"/>
    </row>
    <row r="3" spans="1:38" ht="33" customHeight="1" x14ac:dyDescent="0.3">
      <c r="A3" s="33" t="str">
        <f>정보!B9</f>
        <v>HL 1.2T</v>
      </c>
      <c r="B3" s="2"/>
      <c r="C3" s="2"/>
      <c r="D3" s="2"/>
      <c r="E3" s="246" t="s">
        <v>140</v>
      </c>
      <c r="F3" s="246"/>
      <c r="G3" s="62">
        <v>4.4000000000000004</v>
      </c>
      <c r="H3" s="23" t="s">
        <v>141</v>
      </c>
      <c r="I3" s="301">
        <v>0</v>
      </c>
      <c r="J3" s="301"/>
      <c r="K3" s="63"/>
      <c r="L3" s="63"/>
      <c r="M3" s="254" t="s">
        <v>82</v>
      </c>
      <c r="N3" s="254"/>
      <c r="O3" s="254"/>
      <c r="P3" s="302">
        <v>0</v>
      </c>
      <c r="Q3" s="302"/>
      <c r="R3" s="251" t="s">
        <v>90</v>
      </c>
      <c r="S3" s="251"/>
      <c r="T3" s="64"/>
      <c r="U3" s="303">
        <v>0</v>
      </c>
      <c r="V3" s="303"/>
      <c r="W3" s="65"/>
      <c r="X3" s="65"/>
      <c r="Y3" s="65"/>
      <c r="Z3" s="65"/>
      <c r="AA3" s="65"/>
    </row>
    <row r="4" spans="1:38" ht="33" customHeight="1" x14ac:dyDescent="0.3">
      <c r="A4" s="170" t="str">
        <f>정보!B12</f>
        <v>제작치수 반영 : JB/JD +(4.4 ),  늘어난치수K -(0), OP - (0),  기둥차감 - (0)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236" t="s">
        <v>235</v>
      </c>
      <c r="Z4" s="236"/>
      <c r="AA4" s="237"/>
    </row>
    <row r="5" spans="1:38" ht="25.9" customHeight="1" x14ac:dyDescent="0.3">
      <c r="A5" s="174" t="s">
        <v>0</v>
      </c>
      <c r="B5" s="174" t="s">
        <v>119</v>
      </c>
      <c r="C5" s="175" t="s">
        <v>142</v>
      </c>
      <c r="D5" s="174" t="s">
        <v>120</v>
      </c>
      <c r="E5" s="175" t="s">
        <v>143</v>
      </c>
      <c r="F5" s="175" t="s">
        <v>144</v>
      </c>
      <c r="G5" s="175" t="s">
        <v>34</v>
      </c>
      <c r="H5" s="175" t="s">
        <v>145</v>
      </c>
      <c r="I5" s="175" t="s">
        <v>207</v>
      </c>
      <c r="J5" s="175" t="s">
        <v>208</v>
      </c>
      <c r="K5" s="175" t="s">
        <v>146</v>
      </c>
      <c r="L5" s="175" t="s">
        <v>147</v>
      </c>
      <c r="M5" s="304" t="s">
        <v>148</v>
      </c>
      <c r="N5" s="304" t="s">
        <v>149</v>
      </c>
      <c r="O5" s="174" t="s">
        <v>127</v>
      </c>
      <c r="P5" s="174" t="s">
        <v>15</v>
      </c>
      <c r="Q5" s="174" t="s">
        <v>129</v>
      </c>
      <c r="R5" s="174" t="s">
        <v>130</v>
      </c>
      <c r="S5" s="175" t="s">
        <v>150</v>
      </c>
      <c r="T5" s="304" t="s">
        <v>151</v>
      </c>
      <c r="U5" s="175" t="s">
        <v>133</v>
      </c>
      <c r="V5" s="175" t="s">
        <v>152</v>
      </c>
      <c r="W5" s="174" t="s">
        <v>135</v>
      </c>
      <c r="X5" s="174"/>
      <c r="Y5" s="307" t="s">
        <v>203</v>
      </c>
      <c r="Z5" s="307"/>
      <c r="AA5" s="307"/>
      <c r="AE5" s="185" t="s">
        <v>153</v>
      </c>
      <c r="AF5" s="185"/>
      <c r="AG5" s="185" t="s">
        <v>154</v>
      </c>
      <c r="AH5" s="185"/>
      <c r="AI5" s="295" t="s">
        <v>345</v>
      </c>
      <c r="AJ5" s="296"/>
      <c r="AK5" s="296"/>
      <c r="AL5" s="296"/>
    </row>
    <row r="6" spans="1:38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  <c r="AI6" s="247" t="s">
        <v>346</v>
      </c>
      <c r="AJ6" s="249"/>
      <c r="AK6" s="247" t="s">
        <v>347</v>
      </c>
      <c r="AL6" s="249"/>
    </row>
    <row r="7" spans="1:38" ht="19.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AC7&amp;"*"&amp;AD7</f>
        <v>945.4*130.2</v>
      </c>
      <c r="D7" s="50">
        <f>'쪽쟘(실측)'!C7-쪽쟘OP차감</f>
        <v>898</v>
      </c>
      <c r="E7" s="50">
        <f>'쪽쟘(실측)'!D7+쪽쟘J늘림+MAX(W7:X7)</f>
        <v>106.4</v>
      </c>
      <c r="F7" s="50">
        <f>'쪽쟘(실측)'!E7+쪽쟘J늘림+MAX(W7:X7)</f>
        <v>104.4</v>
      </c>
      <c r="G7" s="67" t="str">
        <f>AF7&amp;"*"&amp;AE7</f>
        <v>2090*157.2</v>
      </c>
      <c r="H7" s="68" t="str">
        <f>AH7&amp;"*"&amp;AG7</f>
        <v>2090*160.2</v>
      </c>
      <c r="I7" s="50">
        <f>IF('쪽쟘(실측)'!F7&gt;0,'쪽쟘(실측)'!F7-4,0)+뒷날개치수더함</f>
        <v>22.2</v>
      </c>
      <c r="J7" s="50">
        <f>IF('쪽쟘(실측)'!H7&gt;0,'쪽쟘(실측)'!H7-4,0)+뒷날개치수더함</f>
        <v>25.2</v>
      </c>
      <c r="K7" s="50">
        <f>IF('쪽쟘(실측)'!F7&gt;0,'쪽쟘(실측)'!F7+0,0)+뒷날개치수더함</f>
        <v>26.2</v>
      </c>
      <c r="L7" s="50">
        <f>IF('쪽쟘(실측)'!G7&gt;0,'쪽쟘(실측)'!G7+0,0)+뒷날개치수더함</f>
        <v>26.2</v>
      </c>
      <c r="M7" s="50">
        <f>IF('쪽쟘(실측)'!H7&gt;0,'쪽쟘(실측)'!H7+0,0)+뒷날개치수더함</f>
        <v>29.2</v>
      </c>
      <c r="N7" s="50">
        <f>IF('쪽쟘(실측)'!I7&gt;0,'쪽쟘(실측)'!I7+0,0)+뒷날개치수더함</f>
        <v>25.2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26.2</v>
      </c>
      <c r="V7" s="50">
        <f>'쪽쟘(실측)'!Q7+뒷날개치수더함</f>
        <v>30.2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945.40000000000009</v>
      </c>
      <c r="AD7">
        <f t="shared" ref="AD7" si="1">U7+E7+MAX(S7,T7)-쪽쟘소재t*3+IF(S7=0,S7*쪽쟘소재t,0)</f>
        <v>130.19999999999999</v>
      </c>
      <c r="AE7">
        <f>MAX(K7,L7)+F7+V7-쪽쟘소재t*3+IF(K7=0,쪽쟘소재t)-IF(AA7=90,2.4,0)</f>
        <v>157.19999999999999</v>
      </c>
      <c r="AF7">
        <f t="shared" ref="AF7" si="2">MAX(O7,P7)</f>
        <v>2090</v>
      </c>
      <c r="AG7">
        <f t="shared" ref="AG7" si="3">MAX(M7,N7)+F7+V7-쪽쟘소재t*3+IF(M7=0,쪽쟘소재t)-IF(AA7=90,2.4,0)</f>
        <v>160.19999999999999</v>
      </c>
      <c r="AH7">
        <f>MAX(Q7,R7)</f>
        <v>2090</v>
      </c>
      <c r="AI7" s="4">
        <v>10</v>
      </c>
      <c r="AJ7" s="4">
        <v>125</v>
      </c>
      <c r="AK7" s="4">
        <v>10</v>
      </c>
      <c r="AL7" s="4">
        <v>125</v>
      </c>
    </row>
    <row r="8" spans="1:38" ht="19.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16" si="4">AC8&amp;"*"&amp;AD8</f>
        <v>939.4*130.2</v>
      </c>
      <c r="D8" s="50">
        <f>'쪽쟘(실측)'!C8-쪽쟘OP차감</f>
        <v>898</v>
      </c>
      <c r="E8" s="50">
        <f>'쪽쟘(실측)'!D8+쪽쟘J늘림+MAX(W8:X8)</f>
        <v>106.4</v>
      </c>
      <c r="F8" s="50">
        <f>'쪽쟘(실측)'!E8+쪽쟘J늘림+MAX(W8:X8)</f>
        <v>104.4</v>
      </c>
      <c r="G8" s="67" t="str">
        <f t="shared" ref="G8:G16" si="5">AF8&amp;"*"&amp;AE8</f>
        <v>2095*158.2</v>
      </c>
      <c r="H8" s="68" t="str">
        <f t="shared" ref="H8:H16" si="6">AH8&amp;"*"&amp;AG8</f>
        <v>2091*161.2</v>
      </c>
      <c r="I8" s="50">
        <f>IF('쪽쟘(실측)'!F8&gt;0,'쪽쟘(실측)'!F8-4,0)+뒷날개치수더함</f>
        <v>17.2</v>
      </c>
      <c r="J8" s="50">
        <f>IF('쪽쟘(실측)'!H8&gt;0,'쪽쟘(실측)'!H8-4,0)+뒷날개치수더함</f>
        <v>24.2</v>
      </c>
      <c r="K8" s="50">
        <f>IF('쪽쟘(실측)'!F8&gt;0,'쪽쟘(실측)'!F8+0,0)+뒷날개치수더함</f>
        <v>21.2</v>
      </c>
      <c r="L8" s="50">
        <f>IF('쪽쟘(실측)'!G8&gt;0,'쪽쟘(실측)'!G8+0,0)+뒷날개치수더함</f>
        <v>27.2</v>
      </c>
      <c r="M8" s="50">
        <f>IF('쪽쟘(실측)'!H8&gt;0,'쪽쟘(실측)'!H8+0,0)+뒷날개치수더함</f>
        <v>28.2</v>
      </c>
      <c r="N8" s="50">
        <f>IF('쪽쟘(실측)'!I8&gt;0,'쪽쟘(실측)'!I8+0,0)+뒷날개치수더함</f>
        <v>30.2</v>
      </c>
      <c r="O8" s="50">
        <f>'쪽쟘(실측)'!J8-쪽쟘기둥차감</f>
        <v>2090</v>
      </c>
      <c r="P8" s="50">
        <f>'쪽쟘(실측)'!K8-쪽쟘기둥차감</f>
        <v>2095</v>
      </c>
      <c r="Q8" s="50">
        <f>'쪽쟘(실측)'!L8-쪽쟘기둥차감</f>
        <v>2091</v>
      </c>
      <c r="R8" s="50">
        <f>'쪽쟘(실측)'!M8-쪽쟘기둥차감</f>
        <v>2090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26.2</v>
      </c>
      <c r="V8" s="50">
        <f>'쪽쟘(실측)'!Q8+뒷날개치수더함</f>
        <v>30.2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6" si="7">D8+I8+J8</f>
        <v>939.40000000000009</v>
      </c>
      <c r="AD8">
        <f t="shared" ref="AD8:AD16" si="8">U8+E8+MAX(S8,T8)-쪽쟘소재t*3+IF(S8=0,S8*쪽쟘소재t,0)</f>
        <v>130.19999999999999</v>
      </c>
      <c r="AE8">
        <f t="shared" ref="AE8:AE16" si="9">MAX(K8,L8)+F8+V8-쪽쟘소재t*3+IF(K8=0,쪽쟘소재t)-IF(AA8=90,2.4,0)</f>
        <v>158.19999999999999</v>
      </c>
      <c r="AF8">
        <f t="shared" ref="AF8:AF16" si="10">MAX(O8,P8)</f>
        <v>2095</v>
      </c>
      <c r="AG8">
        <f t="shared" ref="AG8:AG16" si="11">MAX(M8,N8)+F8+V8-쪽쟘소재t*3+IF(M8=0,쪽쟘소재t)-IF(AA8=90,2.4,0)</f>
        <v>161.19999999999999</v>
      </c>
      <c r="AH8">
        <f t="shared" ref="AH8:AH16" si="12">MAX(Q8,R8)</f>
        <v>2091</v>
      </c>
      <c r="AI8" s="4">
        <v>10</v>
      </c>
      <c r="AJ8" s="4">
        <v>115</v>
      </c>
      <c r="AK8" s="4">
        <v>10</v>
      </c>
      <c r="AL8" s="4">
        <v>125</v>
      </c>
    </row>
    <row r="9" spans="1:38" ht="19.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4"/>
        <v>943.4*158.2</v>
      </c>
      <c r="D9" s="50">
        <f>'쪽쟘(실측)'!C9-쪽쟘OP차감</f>
        <v>898</v>
      </c>
      <c r="E9" s="50">
        <f>'쪽쟘(실측)'!D9+쪽쟘J늘림+MAX(W9:X9)</f>
        <v>106.4</v>
      </c>
      <c r="F9" s="50">
        <f>'쪽쟘(실측)'!E9+쪽쟘J늘림+MAX(W9:X9)</f>
        <v>104.4</v>
      </c>
      <c r="G9" s="67" t="str">
        <f t="shared" si="5"/>
        <v>2090*153.8</v>
      </c>
      <c r="H9" s="68" t="str">
        <f t="shared" si="6"/>
        <v>2090*156.8</v>
      </c>
      <c r="I9" s="50">
        <f>IF('쪽쟘(실측)'!F9&gt;0,'쪽쟘(실측)'!F9-4,0)+뒷날개치수더함</f>
        <v>21.2</v>
      </c>
      <c r="J9" s="50">
        <f>IF('쪽쟘(실측)'!H9&gt;0,'쪽쟘(실측)'!H9-4,0)+뒷날개치수더함</f>
        <v>24.2</v>
      </c>
      <c r="K9" s="50">
        <f>IF('쪽쟘(실측)'!F9&gt;0,'쪽쟘(실측)'!F9+0,0)+뒷날개치수더함</f>
        <v>25.2</v>
      </c>
      <c r="L9" s="50">
        <f>IF('쪽쟘(실측)'!G9&gt;0,'쪽쟘(실측)'!G9+0,0)+뒷날개치수더함</f>
        <v>25.2</v>
      </c>
      <c r="M9" s="50">
        <f>IF('쪽쟘(실측)'!H9&gt;0,'쪽쟘(실측)'!H9+0,0)+뒷날개치수더함</f>
        <v>28.2</v>
      </c>
      <c r="N9" s="50">
        <f>IF('쪽쟘(실측)'!I9&gt;0,'쪽쟘(실측)'!I9+0,0)+뒷날개치수더함</f>
        <v>28.2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29.2</v>
      </c>
      <c r="T9" s="50">
        <f>'쪽쟘(실측)'!O9+뒷날개치수더함</f>
        <v>29.2</v>
      </c>
      <c r="U9" s="50">
        <f>'쪽쟘(실측)'!P9+뒷날개치수더함</f>
        <v>26.2</v>
      </c>
      <c r="V9" s="50">
        <f>'쪽쟘(실측)'!Q9+뒷날개치수더함</f>
        <v>30.2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21.2</v>
      </c>
      <c r="Z9" s="4">
        <f>'쪽쟘(실측)'!U9</f>
        <v>9</v>
      </c>
      <c r="AA9" s="4">
        <f>'쪽쟘(실측)'!V9</f>
        <v>90</v>
      </c>
      <c r="AC9">
        <f t="shared" si="7"/>
        <v>943.40000000000009</v>
      </c>
      <c r="AD9">
        <f t="shared" si="8"/>
        <v>158.19999999999999</v>
      </c>
      <c r="AE9">
        <f t="shared" si="9"/>
        <v>153.79999999999998</v>
      </c>
      <c r="AF9">
        <f t="shared" si="10"/>
        <v>2090</v>
      </c>
      <c r="AG9">
        <f t="shared" si="11"/>
        <v>156.79999999999998</v>
      </c>
      <c r="AH9">
        <f t="shared" si="12"/>
        <v>2090</v>
      </c>
      <c r="AI9" s="4">
        <v>10</v>
      </c>
      <c r="AJ9" s="4">
        <v>125</v>
      </c>
      <c r="AK9" s="4">
        <v>10</v>
      </c>
      <c r="AL9" s="4">
        <v>125</v>
      </c>
    </row>
    <row r="10" spans="1:38" ht="19.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4"/>
        <v>941.4*156.2</v>
      </c>
      <c r="D10" s="50">
        <f>'쪽쟘(실측)'!C10-쪽쟘OP차감</f>
        <v>898</v>
      </c>
      <c r="E10" s="50">
        <f>'쪽쟘(실측)'!D10+쪽쟘J늘림+MAX(W10:X10)</f>
        <v>106.4</v>
      </c>
      <c r="F10" s="50">
        <f>'쪽쟘(실측)'!E10+쪽쟘J늘림+MAX(W10:X10)</f>
        <v>104.4</v>
      </c>
      <c r="G10" s="67" t="str">
        <f t="shared" si="5"/>
        <v>2090*154.8</v>
      </c>
      <c r="H10" s="68" t="str">
        <f t="shared" si="6"/>
        <v>2090*153.8</v>
      </c>
      <c r="I10" s="50">
        <f>IF('쪽쟘(실측)'!F10&gt;0,'쪽쟘(실측)'!F10-4,0)+뒷날개치수더함</f>
        <v>22.2</v>
      </c>
      <c r="J10" s="50">
        <f>IF('쪽쟘(실측)'!H10&gt;0,'쪽쟘(실측)'!H10-4,0)+뒷날개치수더함</f>
        <v>21.2</v>
      </c>
      <c r="K10" s="50">
        <f>IF('쪽쟘(실측)'!F10&gt;0,'쪽쟘(실측)'!F10+0,0)+뒷날개치수더함</f>
        <v>26.2</v>
      </c>
      <c r="L10" s="50">
        <f>IF('쪽쟘(실측)'!G10&gt;0,'쪽쟘(실측)'!G10+0,0)+뒷날개치수더함</f>
        <v>26.2</v>
      </c>
      <c r="M10" s="50">
        <f>IF('쪽쟘(실측)'!H10&gt;0,'쪽쟘(실측)'!H10+0,0)+뒷날개치수더함</f>
        <v>25.2</v>
      </c>
      <c r="N10" s="50">
        <f>IF('쪽쟘(실측)'!I10&gt;0,'쪽쟘(실측)'!I10+0,0)+뒷날개치수더함</f>
        <v>25.2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22.2</v>
      </c>
      <c r="T10" s="50">
        <f>'쪽쟘(실측)'!O10+뒷날개치수더함</f>
        <v>27.2</v>
      </c>
      <c r="U10" s="50">
        <f>'쪽쟘(실측)'!P10+뒷날개치수더함</f>
        <v>26.2</v>
      </c>
      <c r="V10" s="50">
        <f>'쪽쟘(실측)'!Q10+뒷날개치수더함</f>
        <v>30.2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21.2</v>
      </c>
      <c r="Z10" s="4">
        <f>'쪽쟘(실측)'!U10</f>
        <v>9</v>
      </c>
      <c r="AA10" s="4">
        <f>'쪽쟘(실측)'!V10</f>
        <v>90</v>
      </c>
      <c r="AC10">
        <f t="shared" si="7"/>
        <v>941.40000000000009</v>
      </c>
      <c r="AD10">
        <f t="shared" si="8"/>
        <v>156.19999999999999</v>
      </c>
      <c r="AE10">
        <f t="shared" si="9"/>
        <v>154.79999999999998</v>
      </c>
      <c r="AF10">
        <f t="shared" si="10"/>
        <v>2090</v>
      </c>
      <c r="AG10">
        <f t="shared" si="11"/>
        <v>153.79999999999998</v>
      </c>
      <c r="AH10">
        <f t="shared" si="12"/>
        <v>2090</v>
      </c>
      <c r="AI10" s="4">
        <v>10</v>
      </c>
      <c r="AJ10" s="4">
        <v>110</v>
      </c>
      <c r="AK10" s="4">
        <v>10</v>
      </c>
      <c r="AL10" s="4">
        <v>120</v>
      </c>
    </row>
    <row r="11" spans="1:38" ht="19.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4"/>
        <v>943.4*159.2</v>
      </c>
      <c r="D11" s="50">
        <f>'쪽쟘(실측)'!C11-쪽쟘OP차감</f>
        <v>898</v>
      </c>
      <c r="E11" s="50">
        <f>'쪽쟘(실측)'!D11+쪽쟘J늘림+MAX(W11:X11)</f>
        <v>106.4</v>
      </c>
      <c r="F11" s="50">
        <f>'쪽쟘(실측)'!E11+쪽쟘J늘림+MAX(W11:X11)</f>
        <v>104.4</v>
      </c>
      <c r="G11" s="67" t="str">
        <f t="shared" si="5"/>
        <v>2090*157.2</v>
      </c>
      <c r="H11" s="68" t="str">
        <f t="shared" si="6"/>
        <v>2090*158.2</v>
      </c>
      <c r="I11" s="50">
        <f>IF('쪽쟘(실측)'!F11&gt;0,'쪽쟘(실측)'!F11-4,0)+뒷날개치수더함</f>
        <v>22.2</v>
      </c>
      <c r="J11" s="50">
        <f>IF('쪽쟘(실측)'!H11&gt;0,'쪽쟘(실측)'!H11-4,0)+뒷날개치수더함</f>
        <v>23.2</v>
      </c>
      <c r="K11" s="50">
        <f>IF('쪽쟘(실측)'!F11&gt;0,'쪽쟘(실측)'!F11+0,0)+뒷날개치수더함</f>
        <v>26.2</v>
      </c>
      <c r="L11" s="50">
        <f>IF('쪽쟘(실측)'!G11&gt;0,'쪽쟘(실측)'!G11+0,0)+뒷날개치수더함</f>
        <v>26.2</v>
      </c>
      <c r="M11" s="50">
        <f>IF('쪽쟘(실측)'!H11&gt;0,'쪽쟘(실측)'!H11+0,0)+뒷날개치수더함</f>
        <v>27.2</v>
      </c>
      <c r="N11" s="50">
        <f>IF('쪽쟘(실측)'!I11&gt;0,'쪽쟘(실측)'!I11+0,0)+뒷날개치수더함</f>
        <v>27.2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30.2</v>
      </c>
      <c r="T11" s="50">
        <f>'쪽쟘(실측)'!O11+뒷날개치수더함</f>
        <v>25.2</v>
      </c>
      <c r="U11" s="50">
        <f>'쪽쟘(실측)'!P11+뒷날개치수더함</f>
        <v>26.2</v>
      </c>
      <c r="V11" s="50">
        <f>'쪽쟘(실측)'!Q11+뒷날개치수더함</f>
        <v>30.2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21.2</v>
      </c>
      <c r="Z11" s="4">
        <f>'쪽쟘(실측)'!U11</f>
        <v>9</v>
      </c>
      <c r="AA11" s="4">
        <f>'쪽쟘(실측)'!V11</f>
        <v>20</v>
      </c>
      <c r="AC11">
        <f t="shared" si="7"/>
        <v>943.40000000000009</v>
      </c>
      <c r="AD11">
        <f t="shared" si="8"/>
        <v>159.19999999999999</v>
      </c>
      <c r="AE11">
        <f t="shared" si="9"/>
        <v>157.19999999999999</v>
      </c>
      <c r="AF11">
        <f t="shared" si="10"/>
        <v>2090</v>
      </c>
      <c r="AG11">
        <f t="shared" si="11"/>
        <v>158.19999999999999</v>
      </c>
      <c r="AH11">
        <f t="shared" si="12"/>
        <v>2090</v>
      </c>
      <c r="AI11" s="4">
        <v>10</v>
      </c>
      <c r="AJ11" s="4">
        <v>105</v>
      </c>
      <c r="AK11" s="4">
        <v>10</v>
      </c>
      <c r="AL11" s="4">
        <v>105</v>
      </c>
    </row>
    <row r="12" spans="1:38" ht="19.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4"/>
        <v>941.4*155.2</v>
      </c>
      <c r="D12" s="50">
        <f>'쪽쟘(실측)'!C12-쪽쟘OP차감</f>
        <v>898</v>
      </c>
      <c r="E12" s="50">
        <f>'쪽쟘(실측)'!D12+쪽쟘J늘림+MAX(W12:X12)</f>
        <v>106.4</v>
      </c>
      <c r="F12" s="50">
        <f>'쪽쟘(실측)'!E12+쪽쟘J늘림+MAX(W12:X12)</f>
        <v>104.4</v>
      </c>
      <c r="G12" s="67" t="str">
        <f t="shared" si="5"/>
        <v>2090*156.2</v>
      </c>
      <c r="H12" s="68" t="str">
        <f t="shared" si="6"/>
        <v>2090*157.2</v>
      </c>
      <c r="I12" s="50">
        <f>IF('쪽쟘(실측)'!F12&gt;0,'쪽쟘(실측)'!F12-4,0)+뒷날개치수더함</f>
        <v>21.2</v>
      </c>
      <c r="J12" s="50">
        <f>IF('쪽쟘(실측)'!H12&gt;0,'쪽쟘(실측)'!H12-4,0)+뒷날개치수더함</f>
        <v>22.2</v>
      </c>
      <c r="K12" s="50">
        <f>IF('쪽쟘(실측)'!F12&gt;0,'쪽쟘(실측)'!F12+0,0)+뒷날개치수더함</f>
        <v>25.2</v>
      </c>
      <c r="L12" s="50">
        <f>IF('쪽쟘(실측)'!G12&gt;0,'쪽쟘(실측)'!G12+0,0)+뒷날개치수더함</f>
        <v>25.2</v>
      </c>
      <c r="M12" s="50">
        <f>IF('쪽쟘(실측)'!H12&gt;0,'쪽쟘(실측)'!H12+0,0)+뒷날개치수더함</f>
        <v>26.2</v>
      </c>
      <c r="N12" s="50">
        <f>IF('쪽쟘(실측)'!I12&gt;0,'쪽쟘(실측)'!I12+0,0)+뒷날개치수더함</f>
        <v>26.2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26.2</v>
      </c>
      <c r="T12" s="50">
        <f>'쪽쟘(실측)'!O12+뒷날개치수더함</f>
        <v>22.2</v>
      </c>
      <c r="U12" s="50">
        <f>'쪽쟘(실측)'!P12+뒷날개치수더함</f>
        <v>26.2</v>
      </c>
      <c r="V12" s="50">
        <f>'쪽쟘(실측)'!Q12+뒷날개치수더함</f>
        <v>30.2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21.2</v>
      </c>
      <c r="Z12" s="4">
        <f>'쪽쟘(실측)'!U12</f>
        <v>9</v>
      </c>
      <c r="AA12" s="4">
        <f>'쪽쟘(실측)'!V12</f>
        <v>20</v>
      </c>
      <c r="AC12">
        <f t="shared" si="7"/>
        <v>941.40000000000009</v>
      </c>
      <c r="AD12">
        <f t="shared" si="8"/>
        <v>155.19999999999999</v>
      </c>
      <c r="AE12">
        <f t="shared" si="9"/>
        <v>156.19999999999999</v>
      </c>
      <c r="AF12">
        <f t="shared" si="10"/>
        <v>2090</v>
      </c>
      <c r="AG12">
        <f t="shared" si="11"/>
        <v>157.19999999999999</v>
      </c>
      <c r="AH12">
        <f t="shared" si="12"/>
        <v>2090</v>
      </c>
      <c r="AI12" s="4">
        <v>14</v>
      </c>
      <c r="AJ12" s="4">
        <v>120</v>
      </c>
      <c r="AK12" s="4">
        <v>14</v>
      </c>
      <c r="AL12" s="4">
        <v>130</v>
      </c>
    </row>
    <row r="13" spans="1:38" ht="19.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4"/>
        <v>940.4*155.2</v>
      </c>
      <c r="D13" s="50">
        <f>'쪽쟘(실측)'!C13-쪽쟘OP차감</f>
        <v>898</v>
      </c>
      <c r="E13" s="50">
        <f>'쪽쟘(실측)'!D13+쪽쟘J늘림+MAX(W13:X13)</f>
        <v>106.4</v>
      </c>
      <c r="F13" s="50">
        <f>'쪽쟘(실측)'!E13+쪽쟘J늘림+MAX(W13:X13)</f>
        <v>104.4</v>
      </c>
      <c r="G13" s="67" t="str">
        <f t="shared" si="5"/>
        <v>2090*156.2</v>
      </c>
      <c r="H13" s="68" t="str">
        <f t="shared" si="6"/>
        <v>2090*156.2</v>
      </c>
      <c r="I13" s="50">
        <f>IF('쪽쟘(실측)'!F13&gt;0,'쪽쟘(실측)'!F13-4,0)+뒷날개치수더함</f>
        <v>21.2</v>
      </c>
      <c r="J13" s="50">
        <f>IF('쪽쟘(실측)'!H13&gt;0,'쪽쟘(실측)'!H13-4,0)+뒷날개치수더함</f>
        <v>21.2</v>
      </c>
      <c r="K13" s="50">
        <f>IF('쪽쟘(실측)'!F13&gt;0,'쪽쟘(실측)'!F13+0,0)+뒷날개치수더함</f>
        <v>25.2</v>
      </c>
      <c r="L13" s="50">
        <f>IF('쪽쟘(실측)'!G13&gt;0,'쪽쟘(실측)'!G13+0,0)+뒷날개치수더함</f>
        <v>25.2</v>
      </c>
      <c r="M13" s="50">
        <f>IF('쪽쟘(실측)'!H13&gt;0,'쪽쟘(실측)'!H13+0,0)+뒷날개치수더함</f>
        <v>25.2</v>
      </c>
      <c r="N13" s="50">
        <f>IF('쪽쟘(실측)'!I13&gt;0,'쪽쟘(실측)'!I13+0,0)+뒷날개치수더함</f>
        <v>25.2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26.2</v>
      </c>
      <c r="T13" s="50">
        <f>'쪽쟘(실측)'!O13+뒷날개치수더함</f>
        <v>26.2</v>
      </c>
      <c r="U13" s="50">
        <f>'쪽쟘(실측)'!P13+뒷날개치수더함</f>
        <v>26.2</v>
      </c>
      <c r="V13" s="50">
        <f>'쪽쟘(실측)'!Q13+뒷날개치수더함</f>
        <v>30.2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21.2</v>
      </c>
      <c r="Z13" s="4">
        <f>'쪽쟘(실측)'!U13</f>
        <v>9</v>
      </c>
      <c r="AA13" s="4">
        <f>'쪽쟘(실측)'!V13</f>
        <v>30</v>
      </c>
      <c r="AC13">
        <f t="shared" si="7"/>
        <v>940.40000000000009</v>
      </c>
      <c r="AD13">
        <f t="shared" si="8"/>
        <v>155.19999999999999</v>
      </c>
      <c r="AE13">
        <f t="shared" si="9"/>
        <v>156.19999999999999</v>
      </c>
      <c r="AF13">
        <f t="shared" si="10"/>
        <v>2090</v>
      </c>
      <c r="AG13">
        <f t="shared" si="11"/>
        <v>156.19999999999999</v>
      </c>
      <c r="AH13">
        <f t="shared" si="12"/>
        <v>2090</v>
      </c>
      <c r="AI13" s="4">
        <v>12</v>
      </c>
      <c r="AJ13" s="4">
        <v>115</v>
      </c>
      <c r="AK13" s="4">
        <v>15</v>
      </c>
      <c r="AL13" s="4">
        <v>115</v>
      </c>
    </row>
    <row r="14" spans="1:38" ht="19.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4"/>
        <v>940.4*159.2</v>
      </c>
      <c r="D14" s="50">
        <f>'쪽쟘(실측)'!C14-쪽쟘OP차감</f>
        <v>898</v>
      </c>
      <c r="E14" s="50">
        <f>'쪽쟘(실측)'!D14+쪽쟘J늘림+MAX(W14:X14)</f>
        <v>106.4</v>
      </c>
      <c r="F14" s="50">
        <f>'쪽쟘(실측)'!E14+쪽쟘J늘림+MAX(W14:X14)</f>
        <v>104.4</v>
      </c>
      <c r="G14" s="67" t="str">
        <f t="shared" si="5"/>
        <v>2090*156.2</v>
      </c>
      <c r="H14" s="68" t="str">
        <f t="shared" si="6"/>
        <v>2090*156.2</v>
      </c>
      <c r="I14" s="50">
        <f>IF('쪽쟘(실측)'!F14&gt;0,'쪽쟘(실측)'!F14-4,0)+뒷날개치수더함</f>
        <v>21.2</v>
      </c>
      <c r="J14" s="50">
        <f>IF('쪽쟘(실측)'!H14&gt;0,'쪽쟘(실측)'!H14-4,0)+뒷날개치수더함</f>
        <v>21.2</v>
      </c>
      <c r="K14" s="50">
        <f>IF('쪽쟘(실측)'!F14&gt;0,'쪽쟘(실측)'!F14+0,0)+뒷날개치수더함</f>
        <v>25.2</v>
      </c>
      <c r="L14" s="50">
        <f>IF('쪽쟘(실측)'!G14&gt;0,'쪽쟘(실측)'!G14+0,0)+뒷날개치수더함</f>
        <v>25.2</v>
      </c>
      <c r="M14" s="50">
        <f>IF('쪽쟘(실측)'!H14&gt;0,'쪽쟘(실측)'!H14+0,0)+뒷날개치수더함</f>
        <v>25.2</v>
      </c>
      <c r="N14" s="50">
        <f>IF('쪽쟘(실측)'!I14&gt;0,'쪽쟘(실측)'!I14+0,0)+뒷날개치수더함</f>
        <v>25.2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25.2</v>
      </c>
      <c r="T14" s="50">
        <f>'쪽쟘(실측)'!O14+뒷날개치수더함</f>
        <v>30.2</v>
      </c>
      <c r="U14" s="50">
        <f>'쪽쟘(실측)'!P14+뒷날개치수더함</f>
        <v>26.2</v>
      </c>
      <c r="V14" s="50">
        <f>'쪽쟘(실측)'!Q14+뒷날개치수더함</f>
        <v>30.2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21.2</v>
      </c>
      <c r="Z14" s="4">
        <f>'쪽쟘(실측)'!U14</f>
        <v>9</v>
      </c>
      <c r="AA14" s="4">
        <f>'쪽쟘(실측)'!V14</f>
        <v>30</v>
      </c>
      <c r="AC14">
        <f t="shared" si="7"/>
        <v>940.40000000000009</v>
      </c>
      <c r="AD14">
        <f t="shared" si="8"/>
        <v>159.19999999999999</v>
      </c>
      <c r="AE14">
        <f t="shared" si="9"/>
        <v>156.19999999999999</v>
      </c>
      <c r="AF14">
        <f t="shared" si="10"/>
        <v>2090</v>
      </c>
      <c r="AG14">
        <f t="shared" si="11"/>
        <v>156.19999999999999</v>
      </c>
      <c r="AH14">
        <f t="shared" si="12"/>
        <v>2090</v>
      </c>
      <c r="AI14" s="4">
        <v>14</v>
      </c>
      <c r="AJ14" s="4">
        <v>105</v>
      </c>
      <c r="AK14" s="4">
        <v>14</v>
      </c>
      <c r="AL14" s="4">
        <v>120</v>
      </c>
    </row>
    <row r="15" spans="1:38" ht="19.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4"/>
        <v>938.4*156.2</v>
      </c>
      <c r="D15" s="50">
        <f>'쪽쟘(실측)'!C15-쪽쟘OP차감</f>
        <v>898</v>
      </c>
      <c r="E15" s="50">
        <f>'쪽쟘(실측)'!D15+쪽쟘J늘림+MAX(W15:X15)</f>
        <v>106.4</v>
      </c>
      <c r="F15" s="50">
        <f>'쪽쟘(실측)'!E15+쪽쟘J늘림+MAX(W15:X15)</f>
        <v>104.4</v>
      </c>
      <c r="G15" s="67" t="str">
        <f t="shared" si="5"/>
        <v>2090*153.8</v>
      </c>
      <c r="H15" s="68" t="str">
        <f t="shared" si="6"/>
        <v>2090*151.8</v>
      </c>
      <c r="I15" s="50">
        <f>IF('쪽쟘(실측)'!F15&gt;0,'쪽쟘(실측)'!F15-4,0)+뒷날개치수더함</f>
        <v>21.2</v>
      </c>
      <c r="J15" s="50">
        <f>IF('쪽쟘(실측)'!H15&gt;0,'쪽쟘(실측)'!H15-4,0)+뒷날개치수더함</f>
        <v>19.2</v>
      </c>
      <c r="K15" s="50">
        <f>IF('쪽쟘(실측)'!F15&gt;0,'쪽쟘(실측)'!F15+0,0)+뒷날개치수더함</f>
        <v>25.2</v>
      </c>
      <c r="L15" s="50">
        <f>IF('쪽쟘(실측)'!G15&gt;0,'쪽쟘(실측)'!G15+0,0)+뒷날개치수더함</f>
        <v>25.2</v>
      </c>
      <c r="M15" s="50">
        <f>IF('쪽쟘(실측)'!H15&gt;0,'쪽쟘(실측)'!H15+0,0)+뒷날개치수더함</f>
        <v>23.2</v>
      </c>
      <c r="N15" s="50">
        <f>IF('쪽쟘(실측)'!I15&gt;0,'쪽쟘(실측)'!I15+0,0)+뒷날개치수더함</f>
        <v>23.2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24.2</v>
      </c>
      <c r="T15" s="50">
        <f>'쪽쟘(실측)'!O15+뒷날개치수더함</f>
        <v>27.2</v>
      </c>
      <c r="U15" s="50">
        <f>'쪽쟘(실측)'!P15+뒷날개치수더함</f>
        <v>26.2</v>
      </c>
      <c r="V15" s="50">
        <f>'쪽쟘(실측)'!Q15+뒷날개치수더함</f>
        <v>30.2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21.2</v>
      </c>
      <c r="Z15" s="4">
        <f>'쪽쟘(실측)'!U15</f>
        <v>9</v>
      </c>
      <c r="AA15" s="4">
        <f>'쪽쟘(실측)'!V15</f>
        <v>90</v>
      </c>
      <c r="AC15">
        <f t="shared" si="7"/>
        <v>938.40000000000009</v>
      </c>
      <c r="AD15">
        <f t="shared" si="8"/>
        <v>156.19999999999999</v>
      </c>
      <c r="AE15">
        <f t="shared" si="9"/>
        <v>153.79999999999998</v>
      </c>
      <c r="AF15">
        <f t="shared" si="10"/>
        <v>2090</v>
      </c>
      <c r="AG15">
        <f t="shared" si="11"/>
        <v>151.80000000000001</v>
      </c>
      <c r="AH15">
        <f t="shared" si="12"/>
        <v>2090</v>
      </c>
      <c r="AI15" s="4">
        <v>12</v>
      </c>
      <c r="AJ15" s="4">
        <v>115</v>
      </c>
      <c r="AK15" s="4">
        <v>12</v>
      </c>
      <c r="AL15" s="4">
        <v>115</v>
      </c>
    </row>
    <row r="16" spans="1:38" ht="19.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4"/>
        <v>941.4*155.2</v>
      </c>
      <c r="D16" s="50">
        <f>'쪽쟘(실측)'!C16-쪽쟘OP차감</f>
        <v>898</v>
      </c>
      <c r="E16" s="50">
        <f>'쪽쟘(실측)'!D16+쪽쟘J늘림+MAX(W16:X16)</f>
        <v>106.4</v>
      </c>
      <c r="F16" s="50">
        <f>'쪽쟘(실측)'!E16+쪽쟘J늘림+MAX(W16:X16)</f>
        <v>104.4</v>
      </c>
      <c r="G16" s="67" t="str">
        <f t="shared" si="5"/>
        <v>2090*154.8</v>
      </c>
      <c r="H16" s="68" t="str">
        <f t="shared" si="6"/>
        <v>2090*153.8</v>
      </c>
      <c r="I16" s="50">
        <f>IF('쪽쟘(실측)'!F16&gt;0,'쪽쟘(실측)'!F16-4,0)+뒷날개치수더함</f>
        <v>22.2</v>
      </c>
      <c r="J16" s="50">
        <f>IF('쪽쟘(실측)'!H16&gt;0,'쪽쟘(실측)'!H16-4,0)+뒷날개치수더함</f>
        <v>21.2</v>
      </c>
      <c r="K16" s="50">
        <f>IF('쪽쟘(실측)'!F16&gt;0,'쪽쟘(실측)'!F16+0,0)+뒷날개치수더함</f>
        <v>26.2</v>
      </c>
      <c r="L16" s="50">
        <f>IF('쪽쟘(실측)'!G16&gt;0,'쪽쟘(실측)'!G16+0,0)+뒷날개치수더함</f>
        <v>26.2</v>
      </c>
      <c r="M16" s="50">
        <f>IF('쪽쟘(실측)'!H16&gt;0,'쪽쟘(실측)'!H16+0,0)+뒷날개치수더함</f>
        <v>25.2</v>
      </c>
      <c r="N16" s="50">
        <f>IF('쪽쟘(실측)'!I16&gt;0,'쪽쟘(실측)'!I16+0,0)+뒷날개치수더함</f>
        <v>25.2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23.2</v>
      </c>
      <c r="T16" s="50">
        <f>'쪽쟘(실측)'!O16+뒷날개치수더함</f>
        <v>26.2</v>
      </c>
      <c r="U16" s="50">
        <f>'쪽쟘(실측)'!P16+뒷날개치수더함</f>
        <v>26.2</v>
      </c>
      <c r="V16" s="50">
        <f>'쪽쟘(실측)'!Q16+뒷날개치수더함</f>
        <v>30.2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21.2</v>
      </c>
      <c r="Z16" s="4">
        <f>'쪽쟘(실측)'!U16</f>
        <v>9</v>
      </c>
      <c r="AA16" s="4">
        <f>'쪽쟘(실측)'!V16</f>
        <v>90</v>
      </c>
      <c r="AC16">
        <f t="shared" si="7"/>
        <v>941.40000000000009</v>
      </c>
      <c r="AD16">
        <f t="shared" si="8"/>
        <v>155.19999999999999</v>
      </c>
      <c r="AE16">
        <f t="shared" si="9"/>
        <v>154.79999999999998</v>
      </c>
      <c r="AF16">
        <f t="shared" si="10"/>
        <v>2090</v>
      </c>
      <c r="AG16">
        <f t="shared" si="11"/>
        <v>153.79999999999998</v>
      </c>
      <c r="AH16">
        <f t="shared" si="12"/>
        <v>2090</v>
      </c>
      <c r="AI16" s="4">
        <v>12</v>
      </c>
      <c r="AJ16" s="4">
        <v>105</v>
      </c>
      <c r="AK16" s="4">
        <v>13</v>
      </c>
      <c r="AL16" s="4">
        <v>110</v>
      </c>
    </row>
  </sheetData>
  <mergeCells count="41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I5:AL5"/>
    <mergeCell ref="AI6:AJ6"/>
    <mergeCell ref="AK6:AL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</mergeCells>
  <phoneticPr fontId="1" type="noConversion"/>
  <conditionalFormatting sqref="K7:K16 M7:M16 S7:S16">
    <cfRule type="cellIs" dxfId="56" priority="4" operator="notEqual">
      <formula>L7</formula>
    </cfRule>
  </conditionalFormatting>
  <conditionalFormatting sqref="L7:L16 N7:N16 T7:T16">
    <cfRule type="cellIs" dxfId="55" priority="3" operator="notEqual">
      <formula>K7</formula>
    </cfRule>
  </conditionalFormatting>
  <conditionalFormatting sqref="Y7:AA16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AC7" sqref="AC7:AD118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8" t="str">
        <f>정보!B1&amp;" (제작치수 샤링작지) "&amp;정보!B6&amp;" 소장"</f>
        <v>자동작도테스트 (제작치수 샤링작지) 손상민 소장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</row>
    <row r="2" spans="1:31" ht="30.75" customHeight="1" x14ac:dyDescent="0.3">
      <c r="A2" s="309" t="str">
        <f>"총 : " &amp; COUNTA(A7:A184) &amp;" (SET)"</f>
        <v>총 : 112 (SET)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298" t="s">
        <v>160</v>
      </c>
      <c r="Q2" s="299"/>
      <c r="R2" s="299"/>
      <c r="S2" s="299"/>
      <c r="T2" s="61"/>
      <c r="U2" s="300">
        <v>1.2</v>
      </c>
      <c r="V2" s="300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8" t="str">
        <f>"예상매수 : " &amp; ROUNDUP((SUM(AB7:AB184)+SUM(AD7:AD184))/1200,0) &amp;" 매"</f>
        <v>예상매수 : 26 매</v>
      </c>
      <c r="H3" s="298"/>
      <c r="I3" s="301">
        <v>0</v>
      </c>
      <c r="J3" s="301"/>
      <c r="K3" s="63"/>
      <c r="L3" s="63"/>
      <c r="M3" s="254" t="s">
        <v>161</v>
      </c>
      <c r="N3" s="254"/>
      <c r="O3" s="254"/>
      <c r="P3" s="302">
        <v>0</v>
      </c>
      <c r="Q3" s="302"/>
      <c r="R3" s="251" t="s">
        <v>162</v>
      </c>
      <c r="S3" s="251"/>
      <c r="T3" s="64"/>
      <c r="U3" s="303">
        <v>4</v>
      </c>
      <c r="V3" s="303"/>
      <c r="W3" s="65"/>
      <c r="X3" s="65"/>
    </row>
    <row r="4" spans="1:31" ht="9.75" customHeight="1" x14ac:dyDescent="0.3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</row>
    <row r="5" spans="1:31" ht="25.9" customHeight="1" x14ac:dyDescent="0.3">
      <c r="A5" s="174" t="s">
        <v>163</v>
      </c>
      <c r="B5" s="174" t="s">
        <v>164</v>
      </c>
      <c r="C5" s="175" t="s">
        <v>165</v>
      </c>
      <c r="D5" s="174" t="s">
        <v>166</v>
      </c>
      <c r="E5" s="175" t="s">
        <v>167</v>
      </c>
      <c r="F5" s="175" t="s">
        <v>168</v>
      </c>
      <c r="G5" s="175" t="s">
        <v>169</v>
      </c>
      <c r="H5" s="175" t="s">
        <v>170</v>
      </c>
      <c r="I5" s="310" t="s">
        <v>171</v>
      </c>
      <c r="J5" s="175" t="s">
        <v>172</v>
      </c>
      <c r="K5" s="175" t="s">
        <v>173</v>
      </c>
      <c r="L5" s="175" t="s">
        <v>147</v>
      </c>
      <c r="M5" s="304" t="s">
        <v>174</v>
      </c>
      <c r="N5" s="304" t="s">
        <v>175</v>
      </c>
      <c r="O5" s="174" t="s">
        <v>176</v>
      </c>
      <c r="P5" s="174" t="s">
        <v>177</v>
      </c>
      <c r="Q5" s="174" t="s">
        <v>178</v>
      </c>
      <c r="R5" s="174" t="s">
        <v>179</v>
      </c>
      <c r="S5" s="175" t="s">
        <v>180</v>
      </c>
      <c r="T5" s="304" t="s">
        <v>151</v>
      </c>
      <c r="U5" s="175" t="s">
        <v>181</v>
      </c>
      <c r="V5" s="175" t="s">
        <v>182</v>
      </c>
      <c r="W5" s="174" t="s">
        <v>183</v>
      </c>
      <c r="X5" s="174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311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Z7&amp;"*"&amp;AA7</f>
        <v>943*144.4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2090*148</v>
      </c>
      <c r="H7" s="68" t="str">
        <f>AE7&amp;"*"&amp;AD7</f>
        <v>*</v>
      </c>
      <c r="I7" s="70">
        <f>IF('쪽쟘(실측)'!F7&gt;0,'쪽쟘(실측)'!F7+0.5,0)</f>
        <v>25.5</v>
      </c>
      <c r="J7" s="50">
        <f>IF('쪽쟘(실측)'!H7&gt;0,'쪽쟘(실측)'!H7+0.5,0)</f>
        <v>28.5</v>
      </c>
      <c r="K7" s="50">
        <f>IF('쪽쟘(실측)'!F7&gt;0,'쪽쟘(실측)'!F7+1.5,0)</f>
        <v>26.5</v>
      </c>
      <c r="L7" s="50">
        <f>IF('쪽쟘(실측)'!G7&gt;0,'쪽쟘(실측)'!G7+1.5,0)</f>
        <v>26.5</v>
      </c>
      <c r="M7" s="50">
        <f>IF('쪽쟘(실측)'!H7&gt;0,'쪽쟘(실측)'!H7+1.5,0)</f>
        <v>29.5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29</v>
      </c>
      <c r="W7" s="50" t="e">
        <f>'쪽쟘(실측)'!R7-늘치차감</f>
        <v>#NAME?</v>
      </c>
      <c r="X7" s="50" t="e">
        <f>'쪽쟘(실측)'!S7-늘치차감</f>
        <v>#NAME?</v>
      </c>
      <c r="Z7">
        <v>943</v>
      </c>
      <c r="AA7">
        <v>144.4</v>
      </c>
      <c r="AB7">
        <v>148</v>
      </c>
      <c r="AC7">
        <v>2090</v>
      </c>
    </row>
    <row r="8" spans="1:31" ht="18.7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71" si="0">Z8&amp;"*"&amp;AA8</f>
        <v>943*149.4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:G71" si="1">AC8&amp;"*"&amp;AB8</f>
        <v>2090*149</v>
      </c>
      <c r="H8" s="68" t="str">
        <f t="shared" ref="H8:H71" si="2">AE8&amp;"*"&amp;AD8</f>
        <v>2090*150</v>
      </c>
      <c r="I8" s="70">
        <f>IF('쪽쟘(실측)'!F8&gt;0,'쪽쟘(실측)'!F8+0.5,0)</f>
        <v>20.5</v>
      </c>
      <c r="J8" s="50">
        <f>IF('쪽쟘(실측)'!H8&gt;0,'쪽쟘(실측)'!H8+0.5,0)</f>
        <v>27.5</v>
      </c>
      <c r="K8" s="50">
        <f>IF('쪽쟘(실측)'!F8&gt;0,'쪽쟘(실측)'!F8+1.5,0)</f>
        <v>21.5</v>
      </c>
      <c r="L8" s="50">
        <f>IF('쪽쟘(실측)'!G8&gt;0,'쪽쟘(실측)'!G8+1.5,0)</f>
        <v>27.5</v>
      </c>
      <c r="M8" s="50">
        <f>IF('쪽쟘(실측)'!H8&gt;0,'쪽쟘(실측)'!H8+1.5,0)</f>
        <v>28.5</v>
      </c>
      <c r="N8" s="50">
        <f>IF('쪽쟘(실측)'!I8&gt;0,'쪽쟘(실측)'!I8+1.5,0)</f>
        <v>30.5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25</v>
      </c>
      <c r="V8" s="50">
        <f>'쪽쟘(실측)'!Q8</f>
        <v>29</v>
      </c>
      <c r="W8" s="50" t="e">
        <f>'쪽쟘(실측)'!R8-늘치차감</f>
        <v>#NAME?</v>
      </c>
      <c r="X8" s="50" t="e">
        <f>'쪽쟘(실측)'!S8-늘치차감</f>
        <v>#NAME?</v>
      </c>
      <c r="Z8">
        <v>943</v>
      </c>
      <c r="AA8">
        <v>149.4</v>
      </c>
      <c r="AB8">
        <v>149</v>
      </c>
      <c r="AC8">
        <v>2090</v>
      </c>
      <c r="AD8">
        <v>150</v>
      </c>
      <c r="AE8">
        <v>2090</v>
      </c>
    </row>
    <row r="9" spans="1:31" ht="18.7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0"/>
        <v>941*151.4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 t="shared" si="1"/>
        <v>2090*147</v>
      </c>
      <c r="H9" s="68" t="str">
        <f t="shared" si="2"/>
        <v>2090*150</v>
      </c>
      <c r="I9" s="70">
        <f>IF('쪽쟘(실측)'!F9&gt;0,'쪽쟘(실측)'!F9+0.5,0)</f>
        <v>24.5</v>
      </c>
      <c r="J9" s="50">
        <f>IF('쪽쟘(실측)'!H9&gt;0,'쪽쟘(실측)'!H9+0.5,0)</f>
        <v>27.5</v>
      </c>
      <c r="K9" s="50">
        <f>IF('쪽쟘(실측)'!F9&gt;0,'쪽쟘(실측)'!F9+1.5,0)</f>
        <v>25.5</v>
      </c>
      <c r="L9" s="50">
        <f>IF('쪽쟘(실측)'!G9&gt;0,'쪽쟘(실측)'!G9+1.5,0)</f>
        <v>25.5</v>
      </c>
      <c r="M9" s="50">
        <f>IF('쪽쟘(실측)'!H9&gt;0,'쪽쟘(실측)'!H9+1.5,0)</f>
        <v>28.5</v>
      </c>
      <c r="N9" s="50">
        <f>IF('쪽쟘(실측)'!I9&gt;0,'쪽쟘(실측)'!I9+1.5,0)</f>
        <v>28.5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29.2</v>
      </c>
      <c r="T9" s="50">
        <f>'쪽쟘(실측)'!O9+1.2</f>
        <v>29.2</v>
      </c>
      <c r="U9" s="50">
        <f>'쪽쟘(실측)'!P9</f>
        <v>25</v>
      </c>
      <c r="V9" s="50">
        <f>'쪽쟘(실측)'!Q9</f>
        <v>29</v>
      </c>
      <c r="W9" s="50" t="e">
        <f>'쪽쟘(실측)'!R9-늘치차감</f>
        <v>#NAME?</v>
      </c>
      <c r="X9" s="50" t="e">
        <f>'쪽쟘(실측)'!S9-늘치차감</f>
        <v>#NAME?</v>
      </c>
      <c r="Z9">
        <v>941</v>
      </c>
      <c r="AA9">
        <v>151.4</v>
      </c>
      <c r="AB9">
        <v>147</v>
      </c>
      <c r="AC9">
        <v>2090</v>
      </c>
      <c r="AD9">
        <v>150</v>
      </c>
      <c r="AE9">
        <v>2090</v>
      </c>
    </row>
    <row r="10" spans="1:31" ht="18.7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0"/>
        <v>939*149.4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 t="shared" si="1"/>
        <v>2090*148</v>
      </c>
      <c r="H10" s="68" t="str">
        <f t="shared" si="2"/>
        <v>2090*147</v>
      </c>
      <c r="I10" s="70">
        <f>IF('쪽쟘(실측)'!F10&gt;0,'쪽쟘(실측)'!F10+0.5,0)</f>
        <v>25.5</v>
      </c>
      <c r="J10" s="50">
        <f>IF('쪽쟘(실측)'!H10&gt;0,'쪽쟘(실측)'!H10+0.5,0)</f>
        <v>24.5</v>
      </c>
      <c r="K10" s="50">
        <f>IF('쪽쟘(실측)'!F10&gt;0,'쪽쟘(실측)'!F10+1.5,0)</f>
        <v>26.5</v>
      </c>
      <c r="L10" s="50">
        <f>IF('쪽쟘(실측)'!G10&gt;0,'쪽쟘(실측)'!G10+1.5,0)</f>
        <v>26.5</v>
      </c>
      <c r="M10" s="50">
        <f>IF('쪽쟘(실측)'!H10&gt;0,'쪽쟘(실측)'!H10+1.5,0)</f>
        <v>25.5</v>
      </c>
      <c r="N10" s="50">
        <f>IF('쪽쟘(실측)'!I10&gt;0,'쪽쟘(실측)'!I10+1.5,0)</f>
        <v>25.5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22.2</v>
      </c>
      <c r="T10" s="50">
        <f>'쪽쟘(실측)'!O10+1.2</f>
        <v>27.2</v>
      </c>
      <c r="U10" s="50">
        <f>'쪽쟘(실측)'!P10</f>
        <v>25</v>
      </c>
      <c r="V10" s="50">
        <f>'쪽쟘(실측)'!Q10</f>
        <v>29</v>
      </c>
      <c r="W10" s="50" t="e">
        <f>'쪽쟘(실측)'!R10-늘치차감</f>
        <v>#NAME?</v>
      </c>
      <c r="X10" s="50" t="e">
        <f>'쪽쟘(실측)'!S10-늘치차감</f>
        <v>#NAME?</v>
      </c>
      <c r="Z10">
        <v>939</v>
      </c>
      <c r="AA10">
        <v>149.4</v>
      </c>
      <c r="AB10">
        <v>148</v>
      </c>
      <c r="AC10">
        <v>2090</v>
      </c>
      <c r="AD10">
        <v>147</v>
      </c>
      <c r="AE10">
        <v>2090</v>
      </c>
    </row>
    <row r="11" spans="1:31" ht="18.7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0"/>
        <v>941*152.4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 t="shared" si="1"/>
        <v>2090*148</v>
      </c>
      <c r="H11" s="68" t="str">
        <f t="shared" si="2"/>
        <v>2090*149</v>
      </c>
      <c r="I11" s="70">
        <f>IF('쪽쟘(실측)'!F11&gt;0,'쪽쟘(실측)'!F11+0.5,0)</f>
        <v>25.5</v>
      </c>
      <c r="J11" s="50">
        <f>IF('쪽쟘(실측)'!H11&gt;0,'쪽쟘(실측)'!H11+0.5,0)</f>
        <v>26.5</v>
      </c>
      <c r="K11" s="50">
        <f>IF('쪽쟘(실측)'!F11&gt;0,'쪽쟘(실측)'!F11+1.5,0)</f>
        <v>26.5</v>
      </c>
      <c r="L11" s="50">
        <f>IF('쪽쟘(실측)'!G11&gt;0,'쪽쟘(실측)'!G11+1.5,0)</f>
        <v>26.5</v>
      </c>
      <c r="M11" s="50">
        <f>IF('쪽쟘(실측)'!H11&gt;0,'쪽쟘(실측)'!H11+1.5,0)</f>
        <v>27.5</v>
      </c>
      <c r="N11" s="50">
        <f>IF('쪽쟘(실측)'!I11&gt;0,'쪽쟘(실측)'!I11+1.5,0)</f>
        <v>27.5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30.2</v>
      </c>
      <c r="T11" s="50">
        <f>'쪽쟘(실측)'!O11+1.2</f>
        <v>25.2</v>
      </c>
      <c r="U11" s="50">
        <f>'쪽쟘(실측)'!P11</f>
        <v>25</v>
      </c>
      <c r="V11" s="50">
        <f>'쪽쟘(실측)'!Q11</f>
        <v>29</v>
      </c>
      <c r="W11" s="50" t="e">
        <f>'쪽쟘(실측)'!R11-늘치차감</f>
        <v>#NAME?</v>
      </c>
      <c r="X11" s="50" t="e">
        <f>'쪽쟘(실측)'!S11-늘치차감</f>
        <v>#NAME?</v>
      </c>
      <c r="Z11">
        <v>941</v>
      </c>
      <c r="AA11">
        <v>152.4</v>
      </c>
      <c r="AB11">
        <v>148</v>
      </c>
      <c r="AC11">
        <v>2090</v>
      </c>
      <c r="AD11">
        <v>149</v>
      </c>
      <c r="AE11">
        <v>2090</v>
      </c>
    </row>
    <row r="12" spans="1:31" ht="18.7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0"/>
        <v>939*148.4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 t="shared" si="1"/>
        <v>2090*147</v>
      </c>
      <c r="H12" s="68" t="str">
        <f t="shared" si="2"/>
        <v>2090*148</v>
      </c>
      <c r="I12" s="70">
        <f>IF('쪽쟘(실측)'!F12&gt;0,'쪽쟘(실측)'!F12+0.5,0)</f>
        <v>24.5</v>
      </c>
      <c r="J12" s="50">
        <f>IF('쪽쟘(실측)'!H12&gt;0,'쪽쟘(실측)'!H12+0.5,0)</f>
        <v>25.5</v>
      </c>
      <c r="K12" s="50">
        <f>IF('쪽쟘(실측)'!F12&gt;0,'쪽쟘(실측)'!F12+1.5,0)</f>
        <v>25.5</v>
      </c>
      <c r="L12" s="50">
        <f>IF('쪽쟘(실측)'!G12&gt;0,'쪽쟘(실측)'!G12+1.5,0)</f>
        <v>25.5</v>
      </c>
      <c r="M12" s="50">
        <f>IF('쪽쟘(실측)'!H12&gt;0,'쪽쟘(실측)'!H12+1.5,0)</f>
        <v>26.5</v>
      </c>
      <c r="N12" s="50">
        <f>IF('쪽쟘(실측)'!I12&gt;0,'쪽쟘(실측)'!I12+1.5,0)</f>
        <v>26.5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26.2</v>
      </c>
      <c r="T12" s="50">
        <f>'쪽쟘(실측)'!O12+1.2</f>
        <v>22.2</v>
      </c>
      <c r="U12" s="50">
        <f>'쪽쟘(실측)'!P12</f>
        <v>25</v>
      </c>
      <c r="V12" s="50">
        <f>'쪽쟘(실측)'!Q12</f>
        <v>29</v>
      </c>
      <c r="W12" s="50" t="e">
        <f>'쪽쟘(실측)'!R12-늘치차감</f>
        <v>#NAME?</v>
      </c>
      <c r="X12" s="50" t="e">
        <f>'쪽쟘(실측)'!S12-늘치차감</f>
        <v>#NAME?</v>
      </c>
      <c r="Z12">
        <v>939</v>
      </c>
      <c r="AA12">
        <v>148.4</v>
      </c>
      <c r="AB12">
        <v>147</v>
      </c>
      <c r="AC12">
        <v>2090</v>
      </c>
      <c r="AD12">
        <v>148</v>
      </c>
      <c r="AE12">
        <v>2090</v>
      </c>
    </row>
    <row r="13" spans="1:31" ht="18.7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0"/>
        <v>938*148.4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 t="shared" si="1"/>
        <v>2090*147</v>
      </c>
      <c r="H13" s="68" t="str">
        <f t="shared" si="2"/>
        <v>2090*147</v>
      </c>
      <c r="I13" s="70">
        <f>IF('쪽쟘(실측)'!F13&gt;0,'쪽쟘(실측)'!F13+0.5,0)</f>
        <v>24.5</v>
      </c>
      <c r="J13" s="50">
        <f>IF('쪽쟘(실측)'!H13&gt;0,'쪽쟘(실측)'!H13+0.5,0)</f>
        <v>24.5</v>
      </c>
      <c r="K13" s="50">
        <f>IF('쪽쟘(실측)'!F13&gt;0,'쪽쟘(실측)'!F13+1.5,0)</f>
        <v>25.5</v>
      </c>
      <c r="L13" s="50">
        <f>IF('쪽쟘(실측)'!G13&gt;0,'쪽쟘(실측)'!G13+1.5,0)</f>
        <v>25.5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25</v>
      </c>
      <c r="V13" s="50">
        <f>'쪽쟘(실측)'!Q13</f>
        <v>29</v>
      </c>
      <c r="W13" s="50" t="e">
        <f>'쪽쟘(실측)'!R13-늘치차감</f>
        <v>#NAME?</v>
      </c>
      <c r="X13" s="50" t="e">
        <f>'쪽쟘(실측)'!S13-늘치차감</f>
        <v>#NAME?</v>
      </c>
      <c r="Z13">
        <v>938</v>
      </c>
      <c r="AA13">
        <v>148.4</v>
      </c>
      <c r="AB13">
        <v>147</v>
      </c>
      <c r="AC13">
        <v>2090</v>
      </c>
      <c r="AD13">
        <v>147</v>
      </c>
      <c r="AE13">
        <v>2090</v>
      </c>
    </row>
    <row r="14" spans="1:31" ht="18.7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0"/>
        <v>938*152.4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 t="shared" si="1"/>
        <v>2090*147</v>
      </c>
      <c r="H14" s="68" t="str">
        <f t="shared" si="2"/>
        <v>2090*147</v>
      </c>
      <c r="I14" s="70">
        <f>IF('쪽쟘(실측)'!F14&gt;0,'쪽쟘(실측)'!F14+0.5,0)</f>
        <v>24.5</v>
      </c>
      <c r="J14" s="50">
        <f>IF('쪽쟘(실측)'!H14&gt;0,'쪽쟘(실측)'!H14+0.5,0)</f>
        <v>24.5</v>
      </c>
      <c r="K14" s="50">
        <f>IF('쪽쟘(실측)'!F14&gt;0,'쪽쟘(실측)'!F14+1.5,0)</f>
        <v>25.5</v>
      </c>
      <c r="L14" s="50">
        <f>IF('쪽쟘(실측)'!G14&gt;0,'쪽쟘(실측)'!G14+1.5,0)</f>
        <v>25.5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25.2</v>
      </c>
      <c r="T14" s="50">
        <f>'쪽쟘(실측)'!O14+1.2</f>
        <v>30.2</v>
      </c>
      <c r="U14" s="50">
        <f>'쪽쟘(실측)'!P14</f>
        <v>25</v>
      </c>
      <c r="V14" s="50">
        <f>'쪽쟘(실측)'!Q14</f>
        <v>29</v>
      </c>
      <c r="W14" s="50" t="e">
        <f>'쪽쟘(실측)'!R14-늘치차감</f>
        <v>#NAME?</v>
      </c>
      <c r="X14" s="50" t="e">
        <f>'쪽쟘(실측)'!S14-늘치차감</f>
        <v>#NAME?</v>
      </c>
      <c r="Z14">
        <v>938</v>
      </c>
      <c r="AA14">
        <v>152.4</v>
      </c>
      <c r="AB14">
        <v>147</v>
      </c>
      <c r="AC14">
        <v>2090</v>
      </c>
      <c r="AD14">
        <v>147</v>
      </c>
      <c r="AE14">
        <v>2090</v>
      </c>
    </row>
    <row r="15" spans="1:31" ht="18.7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0"/>
        <v>936*149.4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 t="shared" si="1"/>
        <v>2090*147</v>
      </c>
      <c r="H15" s="68" t="str">
        <f t="shared" si="2"/>
        <v>2090*145</v>
      </c>
      <c r="I15" s="70">
        <f>IF('쪽쟘(실측)'!F15&gt;0,'쪽쟘(실측)'!F15+0.5,0)</f>
        <v>24.5</v>
      </c>
      <c r="J15" s="50">
        <f>IF('쪽쟘(실측)'!H15&gt;0,'쪽쟘(실측)'!H15+0.5,0)</f>
        <v>22.5</v>
      </c>
      <c r="K15" s="50">
        <f>IF('쪽쟘(실측)'!F15&gt;0,'쪽쟘(실측)'!F15+1.5,0)</f>
        <v>25.5</v>
      </c>
      <c r="L15" s="50">
        <f>IF('쪽쟘(실측)'!G15&gt;0,'쪽쟘(실측)'!G15+1.5,0)</f>
        <v>25.5</v>
      </c>
      <c r="M15" s="50">
        <f>IF('쪽쟘(실측)'!H15&gt;0,'쪽쟘(실측)'!H15+1.5,0)</f>
        <v>23.5</v>
      </c>
      <c r="N15" s="50">
        <f>IF('쪽쟘(실측)'!I15&gt;0,'쪽쟘(실측)'!I15+1.5,0)</f>
        <v>23.5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24.2</v>
      </c>
      <c r="T15" s="50">
        <f>'쪽쟘(실측)'!O15+1.2</f>
        <v>27.2</v>
      </c>
      <c r="U15" s="50">
        <f>'쪽쟘(실측)'!P15</f>
        <v>25</v>
      </c>
      <c r="V15" s="50">
        <f>'쪽쟘(실측)'!Q15</f>
        <v>29</v>
      </c>
      <c r="W15" s="50" t="e">
        <f>'쪽쟘(실측)'!R15-늘치차감</f>
        <v>#NAME?</v>
      </c>
      <c r="X15" s="50" t="e">
        <f>'쪽쟘(실측)'!S15-늘치차감</f>
        <v>#NAME?</v>
      </c>
      <c r="Z15">
        <v>936</v>
      </c>
      <c r="AA15">
        <v>149.4</v>
      </c>
      <c r="AB15">
        <v>147</v>
      </c>
      <c r="AC15">
        <v>2090</v>
      </c>
      <c r="AD15">
        <v>145</v>
      </c>
      <c r="AE15">
        <v>2090</v>
      </c>
    </row>
    <row r="16" spans="1:31" ht="18.7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0"/>
        <v>939*148.4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 t="shared" si="1"/>
        <v>2090*148</v>
      </c>
      <c r="H16" s="68" t="str">
        <f t="shared" si="2"/>
        <v>2090*147</v>
      </c>
      <c r="I16" s="70">
        <f>IF('쪽쟘(실측)'!F16&gt;0,'쪽쟘(실측)'!F16+0.5,0)</f>
        <v>25.5</v>
      </c>
      <c r="J16" s="50">
        <f>IF('쪽쟘(실측)'!H16&gt;0,'쪽쟘(실측)'!H16+0.5,0)</f>
        <v>24.5</v>
      </c>
      <c r="K16" s="50">
        <f>IF('쪽쟘(실측)'!F16&gt;0,'쪽쟘(실측)'!F16+1.5,0)</f>
        <v>26.5</v>
      </c>
      <c r="L16" s="50">
        <f>IF('쪽쟘(실측)'!G16&gt;0,'쪽쟘(실측)'!G16+1.5,0)</f>
        <v>26.5</v>
      </c>
      <c r="M16" s="50">
        <f>IF('쪽쟘(실측)'!H16&gt;0,'쪽쟘(실측)'!H16+1.5,0)</f>
        <v>25.5</v>
      </c>
      <c r="N16" s="50">
        <f>IF('쪽쟘(실측)'!I16&gt;0,'쪽쟘(실측)'!I16+1.5,0)</f>
        <v>25.5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23.2</v>
      </c>
      <c r="T16" s="50">
        <f>'쪽쟘(실측)'!O16+1.2</f>
        <v>26.2</v>
      </c>
      <c r="U16" s="50">
        <f>'쪽쟘(실측)'!P16</f>
        <v>25</v>
      </c>
      <c r="V16" s="50">
        <f>'쪽쟘(실측)'!Q16</f>
        <v>29</v>
      </c>
      <c r="W16" s="50" t="e">
        <f>'쪽쟘(실측)'!R16-늘치차감</f>
        <v>#NAME?</v>
      </c>
      <c r="X16" s="50" t="e">
        <f>'쪽쟘(실측)'!S16-늘치차감</f>
        <v>#NAME?</v>
      </c>
      <c r="Z16">
        <v>939</v>
      </c>
      <c r="AA16">
        <v>148.4</v>
      </c>
      <c r="AB16">
        <v>148</v>
      </c>
      <c r="AC16">
        <v>2090</v>
      </c>
      <c r="AD16">
        <v>147</v>
      </c>
      <c r="AE16">
        <v>2090</v>
      </c>
    </row>
    <row r="17" spans="1:31" ht="18.7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0"/>
        <v>940*145.4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 t="shared" si="1"/>
        <v>2090*148</v>
      </c>
      <c r="H17" s="68" t="str">
        <f t="shared" si="2"/>
        <v>2090*148</v>
      </c>
      <c r="I17" s="70">
        <f>IF('쪽쟘(실측)'!F17&gt;0,'쪽쟘(실측)'!F17+0.5,0)</f>
        <v>0</v>
      </c>
      <c r="J17" s="50">
        <f>IF('쪽쟘(실측)'!H17&gt;0,'쪽쟘(실측)'!H17+0.5,0)</f>
        <v>0</v>
      </c>
      <c r="K17" s="50">
        <f>IF('쪽쟘(실측)'!F17&gt;0,'쪽쟘(실측)'!F17+1.5,0)</f>
        <v>0</v>
      </c>
      <c r="L17" s="50">
        <f>IF('쪽쟘(실측)'!G17&gt;0,'쪽쟘(실측)'!G17+1.5,0)</f>
        <v>0</v>
      </c>
      <c r="M17" s="50">
        <f>IF('쪽쟘(실측)'!H17&gt;0,'쪽쟘(실측)'!H17+1.5,0)</f>
        <v>0</v>
      </c>
      <c r="N17" s="50">
        <f>IF('쪽쟘(실측)'!I17&gt;0,'쪽쟘(실측)'!I17+1.5,0)</f>
        <v>0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1.2</v>
      </c>
      <c r="T17" s="50">
        <f>'쪽쟘(실측)'!O17+1.2</f>
        <v>1.2</v>
      </c>
      <c r="U17" s="50">
        <f>'쪽쟘(실측)'!P17</f>
        <v>0</v>
      </c>
      <c r="V17" s="50">
        <f>'쪽쟘(실측)'!Q17</f>
        <v>0</v>
      </c>
      <c r="W17" s="50" t="e">
        <f>'쪽쟘(실측)'!R17-늘치차감</f>
        <v>#NAME?</v>
      </c>
      <c r="X17" s="50" t="e">
        <f>'쪽쟘(실측)'!S17-늘치차감</f>
        <v>#NAME?</v>
      </c>
      <c r="Z17">
        <v>940</v>
      </c>
      <c r="AA17">
        <v>145.4</v>
      </c>
      <c r="AB17">
        <v>148</v>
      </c>
      <c r="AC17">
        <v>2090</v>
      </c>
      <c r="AD17">
        <v>148</v>
      </c>
      <c r="AE17">
        <v>2090</v>
      </c>
    </row>
    <row r="18" spans="1:31" ht="18.7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0"/>
        <v>941*147.4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 t="shared" si="1"/>
        <v>2090*148</v>
      </c>
      <c r="H18" s="68" t="str">
        <f t="shared" si="2"/>
        <v>2090*149</v>
      </c>
      <c r="I18" s="70">
        <f>IF('쪽쟘(실측)'!F18&gt;0,'쪽쟘(실측)'!F18+0.5,0)</f>
        <v>0</v>
      </c>
      <c r="J18" s="50">
        <f>IF('쪽쟘(실측)'!H18&gt;0,'쪽쟘(실측)'!H18+0.5,0)</f>
        <v>0</v>
      </c>
      <c r="K18" s="50">
        <f>IF('쪽쟘(실측)'!F18&gt;0,'쪽쟘(실측)'!F18+1.5,0)</f>
        <v>0</v>
      </c>
      <c r="L18" s="50">
        <f>IF('쪽쟘(실측)'!G18&gt;0,'쪽쟘(실측)'!G18+1.5,0)</f>
        <v>0</v>
      </c>
      <c r="M18" s="50">
        <f>IF('쪽쟘(실측)'!H18&gt;0,'쪽쟘(실측)'!H18+1.5,0)</f>
        <v>0</v>
      </c>
      <c r="N18" s="50">
        <f>IF('쪽쟘(실측)'!I18&gt;0,'쪽쟘(실측)'!I18+1.5,0)</f>
        <v>0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1.2</v>
      </c>
      <c r="T18" s="50">
        <f>'쪽쟘(실측)'!O18+1.2</f>
        <v>1.2</v>
      </c>
      <c r="U18" s="50">
        <f>'쪽쟘(실측)'!P18</f>
        <v>0</v>
      </c>
      <c r="V18" s="50">
        <f>'쪽쟘(실측)'!Q18</f>
        <v>0</v>
      </c>
      <c r="W18" s="50" t="e">
        <f>'쪽쟘(실측)'!R18-늘치차감</f>
        <v>#NAME?</v>
      </c>
      <c r="X18" s="50" t="e">
        <f>'쪽쟘(실측)'!S18-늘치차감</f>
        <v>#NAME?</v>
      </c>
      <c r="Z18">
        <v>941</v>
      </c>
      <c r="AA18">
        <v>147.4</v>
      </c>
      <c r="AB18">
        <v>148</v>
      </c>
      <c r="AC18">
        <v>2090</v>
      </c>
      <c r="AD18">
        <v>149</v>
      </c>
      <c r="AE18">
        <v>2090</v>
      </c>
    </row>
    <row r="19" spans="1:31" ht="18.7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0"/>
        <v>943*144.4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 t="shared" si="1"/>
        <v>2090*148</v>
      </c>
      <c r="H19" s="68" t="str">
        <f t="shared" si="2"/>
        <v>*</v>
      </c>
      <c r="I19" s="70">
        <f>IF('쪽쟘(실측)'!F19&gt;0,'쪽쟘(실측)'!F19+0.5,0)</f>
        <v>0</v>
      </c>
      <c r="J19" s="50">
        <f>IF('쪽쟘(실측)'!H19&gt;0,'쪽쟘(실측)'!H19+0.5,0)</f>
        <v>0</v>
      </c>
      <c r="K19" s="50">
        <f>IF('쪽쟘(실측)'!F19&gt;0,'쪽쟘(실측)'!F19+1.5,0)</f>
        <v>0</v>
      </c>
      <c r="L19" s="50">
        <f>IF('쪽쟘(실측)'!G19&gt;0,'쪽쟘(실측)'!G19+1.5,0)</f>
        <v>0</v>
      </c>
      <c r="M19" s="50">
        <f>IF('쪽쟘(실측)'!H19&gt;0,'쪽쟘(실측)'!H19+1.5,0)</f>
        <v>0</v>
      </c>
      <c r="N19" s="50">
        <f>IF('쪽쟘(실측)'!I19&gt;0,'쪽쟘(실측)'!I19+1.5,0)</f>
        <v>0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1.2</v>
      </c>
      <c r="T19" s="50">
        <f>'쪽쟘(실측)'!O19+1.2</f>
        <v>1.2</v>
      </c>
      <c r="U19" s="50">
        <f>'쪽쟘(실측)'!P19</f>
        <v>0</v>
      </c>
      <c r="V19" s="50">
        <f>'쪽쟘(실측)'!Q19</f>
        <v>0</v>
      </c>
      <c r="W19" s="50" t="e">
        <f>'쪽쟘(실측)'!R19-늘치차감</f>
        <v>#NAME?</v>
      </c>
      <c r="X19" s="50" t="e">
        <f>'쪽쟘(실측)'!S19-늘치차감</f>
        <v>#NAME?</v>
      </c>
      <c r="Z19">
        <v>943</v>
      </c>
      <c r="AA19">
        <v>144.4</v>
      </c>
      <c r="AB19">
        <v>148</v>
      </c>
      <c r="AC19">
        <v>2090</v>
      </c>
    </row>
    <row r="20" spans="1:31" ht="18.75" customHeight="1" thickBot="1" x14ac:dyDescent="0.35">
      <c r="A20" s="165">
        <f>'쪽쟘(실측)'!A20</f>
        <v>0</v>
      </c>
      <c r="B20" s="165" t="str">
        <f>'쪽쟘(실측)'!B20&amp;"F"</f>
        <v>F</v>
      </c>
      <c r="C20" s="165" t="str">
        <f t="shared" si="0"/>
        <v>936*139.4</v>
      </c>
      <c r="D20" s="165" t="e">
        <f>'쪽쟘(실측)'!C20-OP차감</f>
        <v>#NAME?</v>
      </c>
      <c r="E20" s="165" t="e">
        <f>'쪽쟘(실측)'!D20+쪽쟘J늘림+MAX(W20:X20)</f>
        <v>#VALUE!</v>
      </c>
      <c r="F20" s="165" t="e">
        <f>'쪽쟘(실측)'!E20+쪽쟘J늘림+MAX(W20:X20)</f>
        <v>#VALUE!</v>
      </c>
      <c r="G20" s="166" t="str">
        <f t="shared" si="1"/>
        <v>2090*146</v>
      </c>
      <c r="H20" s="167" t="str">
        <f t="shared" si="2"/>
        <v>2090*146</v>
      </c>
      <c r="I20" s="70">
        <f>IF('쪽쟘(실측)'!F20&gt;0,'쪽쟘(실측)'!F20+0.5,0)</f>
        <v>0</v>
      </c>
      <c r="J20" s="50">
        <f>IF('쪽쟘(실측)'!H20&gt;0,'쪽쟘(실측)'!H20+0.5,0)</f>
        <v>0</v>
      </c>
      <c r="K20" s="50">
        <f>IF('쪽쟘(실측)'!F20&gt;0,'쪽쟘(실측)'!F20+1.5,0)</f>
        <v>0</v>
      </c>
      <c r="L20" s="50">
        <f>IF('쪽쟘(실측)'!G20&gt;0,'쪽쟘(실측)'!G20+1.5,0)</f>
        <v>0</v>
      </c>
      <c r="M20" s="50">
        <f>IF('쪽쟘(실측)'!H20&gt;0,'쪽쟘(실측)'!H20+1.5,0)</f>
        <v>0</v>
      </c>
      <c r="N20" s="50">
        <f>IF('쪽쟘(실측)'!I20&gt;0,'쪽쟘(실측)'!I20+1.5,0)</f>
        <v>0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1.2</v>
      </c>
      <c r="T20" s="50">
        <f>'쪽쟘(실측)'!O20+1.2</f>
        <v>1.2</v>
      </c>
      <c r="U20" s="50">
        <f>'쪽쟘(실측)'!P20</f>
        <v>0</v>
      </c>
      <c r="V20" s="50">
        <f>'쪽쟘(실측)'!Q20</f>
        <v>0</v>
      </c>
      <c r="W20" s="50" t="e">
        <f>'쪽쟘(실측)'!R20-늘치차감</f>
        <v>#NAME?</v>
      </c>
      <c r="X20" s="50" t="e">
        <f>'쪽쟘(실측)'!S20-늘치차감</f>
        <v>#NAME?</v>
      </c>
      <c r="Z20">
        <v>936</v>
      </c>
      <c r="AA20">
        <v>139.4</v>
      </c>
      <c r="AB20">
        <v>146</v>
      </c>
      <c r="AC20">
        <v>2090</v>
      </c>
      <c r="AD20">
        <v>146</v>
      </c>
      <c r="AE20">
        <v>2090</v>
      </c>
    </row>
    <row r="21" spans="1:31" ht="18.75" customHeight="1" x14ac:dyDescent="0.3">
      <c r="A21" s="162">
        <f>'쪽쟘(실측)'!A21</f>
        <v>0</v>
      </c>
      <c r="B21" s="162" t="str">
        <f>'쪽쟘(실측)'!B21&amp;"F"</f>
        <v>F</v>
      </c>
      <c r="C21" s="162" t="str">
        <f t="shared" si="0"/>
        <v>941*148.4</v>
      </c>
      <c r="D21" s="162" t="e">
        <f>'쪽쟘(실측)'!C21-OP차감</f>
        <v>#NAME?</v>
      </c>
      <c r="E21" s="162" t="e">
        <f>'쪽쟘(실측)'!D21+쪽쟘J늘림+MAX(W21:X21)</f>
        <v>#VALUE!</v>
      </c>
      <c r="F21" s="162" t="e">
        <f>'쪽쟘(실측)'!E21+쪽쟘J늘림+MAX(W21:X21)</f>
        <v>#VALUE!</v>
      </c>
      <c r="G21" s="163" t="str">
        <f t="shared" si="1"/>
        <v>2090*148</v>
      </c>
      <c r="H21" s="164" t="str">
        <f t="shared" si="2"/>
        <v>2090*149</v>
      </c>
      <c r="I21" s="70">
        <f>IF('쪽쟘(실측)'!F21&gt;0,'쪽쟘(실측)'!F21+0.5,0)</f>
        <v>0</v>
      </c>
      <c r="J21" s="50">
        <f>IF('쪽쟘(실측)'!H21&gt;0,'쪽쟘(실측)'!H21+0.5,0)</f>
        <v>0</v>
      </c>
      <c r="K21" s="50">
        <f>IF('쪽쟘(실측)'!F21&gt;0,'쪽쟘(실측)'!F21+1.5,0)</f>
        <v>0</v>
      </c>
      <c r="L21" s="50">
        <f>IF('쪽쟘(실측)'!G21&gt;0,'쪽쟘(실측)'!G21+1.5,0)</f>
        <v>0</v>
      </c>
      <c r="M21" s="50">
        <f>IF('쪽쟘(실측)'!H21&gt;0,'쪽쟘(실측)'!H21+1.5,0)</f>
        <v>0</v>
      </c>
      <c r="N21" s="50">
        <f>IF('쪽쟘(실측)'!I21&gt;0,'쪽쟘(실측)'!I21+1.5,0)</f>
        <v>0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1.2</v>
      </c>
      <c r="T21" s="50">
        <f>'쪽쟘(실측)'!O21+1.2</f>
        <v>1.2</v>
      </c>
      <c r="U21" s="50">
        <f>'쪽쟘(실측)'!P21</f>
        <v>0</v>
      </c>
      <c r="V21" s="50">
        <f>'쪽쟘(실측)'!Q21</f>
        <v>0</v>
      </c>
      <c r="W21" s="50" t="e">
        <f>'쪽쟘(실측)'!R21-늘치차감</f>
        <v>#NAME?</v>
      </c>
      <c r="X21" s="50" t="e">
        <f>'쪽쟘(실측)'!S21-늘치차감</f>
        <v>#NAME?</v>
      </c>
      <c r="Z21">
        <v>941</v>
      </c>
      <c r="AA21">
        <v>148.4</v>
      </c>
      <c r="AB21">
        <v>148</v>
      </c>
      <c r="AC21">
        <v>2090</v>
      </c>
      <c r="AD21">
        <v>149</v>
      </c>
      <c r="AE21">
        <v>2090</v>
      </c>
    </row>
    <row r="22" spans="1:31" ht="18.7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0"/>
        <v>941*149.4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 t="shared" si="1"/>
        <v>2090*149</v>
      </c>
      <c r="H22" s="68" t="str">
        <f t="shared" si="2"/>
        <v>2090*148</v>
      </c>
      <c r="I22" s="70">
        <f>IF('쪽쟘(실측)'!F22&gt;0,'쪽쟘(실측)'!F22+0.5,0)</f>
        <v>0</v>
      </c>
      <c r="J22" s="50">
        <f>IF('쪽쟘(실측)'!H22&gt;0,'쪽쟘(실측)'!H22+0.5,0)</f>
        <v>0</v>
      </c>
      <c r="K22" s="50">
        <f>IF('쪽쟘(실측)'!F22&gt;0,'쪽쟘(실측)'!F22+1.5,0)</f>
        <v>0</v>
      </c>
      <c r="L22" s="50">
        <f>IF('쪽쟘(실측)'!G22&gt;0,'쪽쟘(실측)'!G22+1.5,0)</f>
        <v>0</v>
      </c>
      <c r="M22" s="50">
        <f>IF('쪽쟘(실측)'!H22&gt;0,'쪽쟘(실측)'!H22+1.5,0)</f>
        <v>0</v>
      </c>
      <c r="N22" s="50">
        <f>IF('쪽쟘(실측)'!I22&gt;0,'쪽쟘(실측)'!I22+1.5,0)</f>
        <v>0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1.2</v>
      </c>
      <c r="T22" s="50">
        <f>'쪽쟘(실측)'!O22+1.2</f>
        <v>1.2</v>
      </c>
      <c r="U22" s="50">
        <f>'쪽쟘(실측)'!P22</f>
        <v>0</v>
      </c>
      <c r="V22" s="50">
        <f>'쪽쟘(실측)'!Q22</f>
        <v>0</v>
      </c>
      <c r="W22" s="50" t="e">
        <f>'쪽쟘(실측)'!R22-늘치차감</f>
        <v>#NAME?</v>
      </c>
      <c r="X22" s="50" t="e">
        <f>'쪽쟘(실측)'!S22-늘치차감</f>
        <v>#NAME?</v>
      </c>
      <c r="Z22">
        <v>941</v>
      </c>
      <c r="AA22">
        <v>149.4</v>
      </c>
      <c r="AB22">
        <v>149</v>
      </c>
      <c r="AC22">
        <v>2090</v>
      </c>
      <c r="AD22">
        <v>148</v>
      </c>
      <c r="AE22">
        <v>2090</v>
      </c>
    </row>
    <row r="23" spans="1:31" ht="18.7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0"/>
        <v>943*149.4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 t="shared" si="1"/>
        <v>2090*150</v>
      </c>
      <c r="H23" s="68" t="str">
        <f t="shared" si="2"/>
        <v>2090*149</v>
      </c>
      <c r="I23" s="70">
        <f>IF('쪽쟘(실측)'!F23&gt;0,'쪽쟘(실측)'!F23+0.5,0)</f>
        <v>0</v>
      </c>
      <c r="J23" s="50">
        <f>IF('쪽쟘(실측)'!H23&gt;0,'쪽쟘(실측)'!H23+0.5,0)</f>
        <v>0</v>
      </c>
      <c r="K23" s="50">
        <f>IF('쪽쟘(실측)'!F23&gt;0,'쪽쟘(실측)'!F23+1.5,0)</f>
        <v>0</v>
      </c>
      <c r="L23" s="50">
        <f>IF('쪽쟘(실측)'!G23&gt;0,'쪽쟘(실측)'!G23+1.5,0)</f>
        <v>0</v>
      </c>
      <c r="M23" s="50">
        <f>IF('쪽쟘(실측)'!H23&gt;0,'쪽쟘(실측)'!H23+1.5,0)</f>
        <v>0</v>
      </c>
      <c r="N23" s="50">
        <f>IF('쪽쟘(실측)'!I23&gt;0,'쪽쟘(실측)'!I23+1.5,0)</f>
        <v>0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1.2</v>
      </c>
      <c r="T23" s="50">
        <f>'쪽쟘(실측)'!O23+1.2</f>
        <v>1.2</v>
      </c>
      <c r="U23" s="50">
        <f>'쪽쟘(실측)'!P23</f>
        <v>0</v>
      </c>
      <c r="V23" s="50">
        <f>'쪽쟘(실측)'!Q23</f>
        <v>0</v>
      </c>
      <c r="W23" s="50" t="e">
        <f>'쪽쟘(실측)'!R23-늘치차감</f>
        <v>#NAME?</v>
      </c>
      <c r="X23" s="50" t="e">
        <f>'쪽쟘(실측)'!S23-늘치차감</f>
        <v>#NAME?</v>
      </c>
      <c r="Z23">
        <v>943</v>
      </c>
      <c r="AA23">
        <v>149.4</v>
      </c>
      <c r="AB23">
        <v>150</v>
      </c>
      <c r="AC23">
        <v>2090</v>
      </c>
      <c r="AD23">
        <v>149</v>
      </c>
      <c r="AE23">
        <v>2090</v>
      </c>
    </row>
    <row r="24" spans="1:31" ht="18.7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0"/>
        <v>937*150.4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 t="shared" si="1"/>
        <v>2090*146</v>
      </c>
      <c r="H24" s="68" t="str">
        <f t="shared" si="2"/>
        <v>2090*147</v>
      </c>
      <c r="I24" s="70">
        <f>IF('쪽쟘(실측)'!F24&gt;0,'쪽쟘(실측)'!F24+0.5,0)</f>
        <v>0</v>
      </c>
      <c r="J24" s="50">
        <f>IF('쪽쟘(실측)'!H24&gt;0,'쪽쟘(실측)'!H24+0.5,0)</f>
        <v>0</v>
      </c>
      <c r="K24" s="50">
        <f>IF('쪽쟘(실측)'!F24&gt;0,'쪽쟘(실측)'!F24+1.5,0)</f>
        <v>0</v>
      </c>
      <c r="L24" s="50">
        <f>IF('쪽쟘(실측)'!G24&gt;0,'쪽쟘(실측)'!G24+1.5,0)</f>
        <v>0</v>
      </c>
      <c r="M24" s="50">
        <f>IF('쪽쟘(실측)'!H24&gt;0,'쪽쟘(실측)'!H24+1.5,0)</f>
        <v>0</v>
      </c>
      <c r="N24" s="50">
        <f>IF('쪽쟘(실측)'!I24&gt;0,'쪽쟘(실측)'!I24+1.5,0)</f>
        <v>0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1.2</v>
      </c>
      <c r="T24" s="50">
        <f>'쪽쟘(실측)'!O24+1.2</f>
        <v>1.2</v>
      </c>
      <c r="U24" s="50">
        <f>'쪽쟘(실측)'!P24</f>
        <v>0</v>
      </c>
      <c r="V24" s="50">
        <f>'쪽쟘(실측)'!Q24</f>
        <v>0</v>
      </c>
      <c r="W24" s="50" t="e">
        <f>'쪽쟘(실측)'!R24-늘치차감</f>
        <v>#NAME?</v>
      </c>
      <c r="X24" s="50" t="e">
        <f>'쪽쟘(실측)'!S24-늘치차감</f>
        <v>#NAME?</v>
      </c>
      <c r="Z24">
        <v>937</v>
      </c>
      <c r="AA24">
        <v>150.4</v>
      </c>
      <c r="AB24">
        <v>146</v>
      </c>
      <c r="AC24">
        <v>2090</v>
      </c>
      <c r="AD24">
        <v>147</v>
      </c>
      <c r="AE24">
        <v>2090</v>
      </c>
    </row>
    <row r="25" spans="1:31" ht="18.7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0"/>
        <v>938*149.4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 t="shared" si="1"/>
        <v>2090*147</v>
      </c>
      <c r="H25" s="68" t="str">
        <f t="shared" si="2"/>
        <v>2090*147</v>
      </c>
      <c r="I25" s="70">
        <f>IF('쪽쟘(실측)'!F25&gt;0,'쪽쟘(실측)'!F25+0.5,0)</f>
        <v>0</v>
      </c>
      <c r="J25" s="50">
        <f>IF('쪽쟘(실측)'!H25&gt;0,'쪽쟘(실측)'!H25+0.5,0)</f>
        <v>0</v>
      </c>
      <c r="K25" s="50">
        <f>IF('쪽쟘(실측)'!F25&gt;0,'쪽쟘(실측)'!F25+1.5,0)</f>
        <v>0</v>
      </c>
      <c r="L25" s="50">
        <f>IF('쪽쟘(실측)'!G25&gt;0,'쪽쟘(실측)'!G25+1.5,0)</f>
        <v>0</v>
      </c>
      <c r="M25" s="50">
        <f>IF('쪽쟘(실측)'!H25&gt;0,'쪽쟘(실측)'!H25+1.5,0)</f>
        <v>0</v>
      </c>
      <c r="N25" s="50">
        <f>IF('쪽쟘(실측)'!I25&gt;0,'쪽쟘(실측)'!I25+1.5,0)</f>
        <v>0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1.2</v>
      </c>
      <c r="T25" s="50">
        <f>'쪽쟘(실측)'!O25+1.2</f>
        <v>1.2</v>
      </c>
      <c r="U25" s="50">
        <f>'쪽쟘(실측)'!P25</f>
        <v>0</v>
      </c>
      <c r="V25" s="50">
        <f>'쪽쟘(실측)'!Q25</f>
        <v>0</v>
      </c>
      <c r="W25" s="50" t="e">
        <f>'쪽쟘(실측)'!R25-늘치차감</f>
        <v>#NAME?</v>
      </c>
      <c r="X25" s="50" t="e">
        <f>'쪽쟘(실측)'!S25-늘치차감</f>
        <v>#NAME?</v>
      </c>
      <c r="Z25">
        <v>938</v>
      </c>
      <c r="AA25">
        <v>149.4</v>
      </c>
      <c r="AB25">
        <v>147</v>
      </c>
      <c r="AC25">
        <v>2090</v>
      </c>
      <c r="AD25">
        <v>147</v>
      </c>
      <c r="AE25">
        <v>2090</v>
      </c>
    </row>
    <row r="26" spans="1:31" ht="18.7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si="0"/>
        <v>938*149.4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 t="shared" si="1"/>
        <v>2090*147</v>
      </c>
      <c r="H26" s="68" t="str">
        <f t="shared" si="2"/>
        <v>2090*147</v>
      </c>
      <c r="I26" s="70">
        <f>IF('쪽쟘(실측)'!F26&gt;0,'쪽쟘(실측)'!F26+0.5,0)</f>
        <v>0</v>
      </c>
      <c r="J26" s="50">
        <f>IF('쪽쟘(실측)'!H26&gt;0,'쪽쟘(실측)'!H26+0.5,0)</f>
        <v>0</v>
      </c>
      <c r="K26" s="50">
        <f>IF('쪽쟘(실측)'!F26&gt;0,'쪽쟘(실측)'!F26+1.5,0)</f>
        <v>0</v>
      </c>
      <c r="L26" s="50">
        <f>IF('쪽쟘(실측)'!G26&gt;0,'쪽쟘(실측)'!G26+1.5,0)</f>
        <v>0</v>
      </c>
      <c r="M26" s="50">
        <f>IF('쪽쟘(실측)'!H26&gt;0,'쪽쟘(실측)'!H26+1.5,0)</f>
        <v>0</v>
      </c>
      <c r="N26" s="50">
        <f>IF('쪽쟘(실측)'!I26&gt;0,'쪽쟘(실측)'!I26+1.5,0)</f>
        <v>0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1.2</v>
      </c>
      <c r="T26" s="50">
        <f>'쪽쟘(실측)'!O26+1.2</f>
        <v>1.2</v>
      </c>
      <c r="U26" s="50">
        <f>'쪽쟘(실측)'!P26</f>
        <v>0</v>
      </c>
      <c r="V26" s="50">
        <f>'쪽쟘(실측)'!Q26</f>
        <v>0</v>
      </c>
      <c r="W26" s="50" t="e">
        <f>'쪽쟘(실측)'!R26-늘치차감</f>
        <v>#NAME?</v>
      </c>
      <c r="X26" s="50" t="e">
        <f>'쪽쟘(실측)'!S26-늘치차감</f>
        <v>#NAME?</v>
      </c>
      <c r="Z26">
        <v>938</v>
      </c>
      <c r="AA26">
        <v>149.4</v>
      </c>
      <c r="AB26">
        <v>147</v>
      </c>
      <c r="AC26">
        <v>2090</v>
      </c>
      <c r="AD26">
        <v>147</v>
      </c>
      <c r="AE26">
        <v>2090</v>
      </c>
    </row>
    <row r="27" spans="1:31" ht="18.7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0"/>
        <v>942*147.4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 t="shared" si="1"/>
        <v>2090*149</v>
      </c>
      <c r="H27" s="68" t="str">
        <f t="shared" si="2"/>
        <v>2090*149</v>
      </c>
      <c r="I27" s="70">
        <f>IF('쪽쟘(실측)'!F27&gt;0,'쪽쟘(실측)'!F27+0.5,0)</f>
        <v>0</v>
      </c>
      <c r="J27" s="50">
        <f>IF('쪽쟘(실측)'!H27&gt;0,'쪽쟘(실측)'!H27+0.5,0)</f>
        <v>0</v>
      </c>
      <c r="K27" s="50">
        <f>IF('쪽쟘(실측)'!F27&gt;0,'쪽쟘(실측)'!F27+1.5,0)</f>
        <v>0</v>
      </c>
      <c r="L27" s="50">
        <f>IF('쪽쟘(실측)'!G27&gt;0,'쪽쟘(실측)'!G27+1.5,0)</f>
        <v>0</v>
      </c>
      <c r="M27" s="50">
        <f>IF('쪽쟘(실측)'!H27&gt;0,'쪽쟘(실측)'!H27+1.5,0)</f>
        <v>0</v>
      </c>
      <c r="N27" s="50">
        <f>IF('쪽쟘(실측)'!I27&gt;0,'쪽쟘(실측)'!I27+1.5,0)</f>
        <v>0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1.2</v>
      </c>
      <c r="T27" s="50">
        <f>'쪽쟘(실측)'!O27+1.2</f>
        <v>1.2</v>
      </c>
      <c r="U27" s="50">
        <f>'쪽쟘(실측)'!P27</f>
        <v>0</v>
      </c>
      <c r="V27" s="50">
        <f>'쪽쟘(실측)'!Q27</f>
        <v>0</v>
      </c>
      <c r="W27" s="50" t="e">
        <f>'쪽쟘(실측)'!R27-늘치차감</f>
        <v>#NAME?</v>
      </c>
      <c r="X27" s="50" t="e">
        <f>'쪽쟘(실측)'!S27-늘치차감</f>
        <v>#NAME?</v>
      </c>
      <c r="Z27">
        <v>942</v>
      </c>
      <c r="AA27">
        <v>147.4</v>
      </c>
      <c r="AB27">
        <v>149</v>
      </c>
      <c r="AC27">
        <v>2090</v>
      </c>
      <c r="AD27">
        <v>149</v>
      </c>
      <c r="AE27">
        <v>2090</v>
      </c>
    </row>
    <row r="28" spans="1:31" ht="18.7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0"/>
        <v>940*143.4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 t="shared" si="1"/>
        <v>2090*148</v>
      </c>
      <c r="H28" s="68" t="str">
        <f t="shared" si="2"/>
        <v>2090*148</v>
      </c>
      <c r="I28" s="70">
        <f>IF('쪽쟘(실측)'!F28&gt;0,'쪽쟘(실측)'!F28+0.5,0)</f>
        <v>0</v>
      </c>
      <c r="J28" s="50">
        <f>IF('쪽쟘(실측)'!H28&gt;0,'쪽쟘(실측)'!H28+0.5,0)</f>
        <v>0</v>
      </c>
      <c r="K28" s="50">
        <f>IF('쪽쟘(실측)'!F28&gt;0,'쪽쟘(실측)'!F28+1.5,0)</f>
        <v>0</v>
      </c>
      <c r="L28" s="50">
        <f>IF('쪽쟘(실측)'!G28&gt;0,'쪽쟘(실측)'!G28+1.5,0)</f>
        <v>0</v>
      </c>
      <c r="M28" s="50">
        <f>IF('쪽쟘(실측)'!H28&gt;0,'쪽쟘(실측)'!H28+1.5,0)</f>
        <v>0</v>
      </c>
      <c r="N28" s="50">
        <f>IF('쪽쟘(실측)'!I28&gt;0,'쪽쟘(실측)'!I28+1.5,0)</f>
        <v>0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1.2</v>
      </c>
      <c r="T28" s="50">
        <f>'쪽쟘(실측)'!O28+1.2</f>
        <v>1.2</v>
      </c>
      <c r="U28" s="50">
        <f>'쪽쟘(실측)'!P28</f>
        <v>0</v>
      </c>
      <c r="V28" s="50">
        <f>'쪽쟘(실측)'!Q28</f>
        <v>0</v>
      </c>
      <c r="W28" s="50" t="e">
        <f>'쪽쟘(실측)'!R28-늘치차감</f>
        <v>#NAME?</v>
      </c>
      <c r="X28" s="50" t="e">
        <f>'쪽쟘(실측)'!S28-늘치차감</f>
        <v>#NAME?</v>
      </c>
      <c r="Z28">
        <v>940</v>
      </c>
      <c r="AA28">
        <v>143.4</v>
      </c>
      <c r="AB28">
        <v>148</v>
      </c>
      <c r="AC28">
        <v>2090</v>
      </c>
      <c r="AD28">
        <v>148</v>
      </c>
      <c r="AE28">
        <v>2090</v>
      </c>
    </row>
    <row r="29" spans="1:31" ht="18.7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0"/>
        <v>937*154.4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 t="shared" si="1"/>
        <v>2090*146</v>
      </c>
      <c r="H29" s="68" t="str">
        <f t="shared" si="2"/>
        <v>2090*147</v>
      </c>
      <c r="I29" s="70">
        <f>IF('쪽쟘(실측)'!F29&gt;0,'쪽쟘(실측)'!F29+0.5,0)</f>
        <v>0</v>
      </c>
      <c r="J29" s="50">
        <f>IF('쪽쟘(실측)'!H29&gt;0,'쪽쟘(실측)'!H29+0.5,0)</f>
        <v>0</v>
      </c>
      <c r="K29" s="50">
        <f>IF('쪽쟘(실측)'!F29&gt;0,'쪽쟘(실측)'!F29+1.5,0)</f>
        <v>0</v>
      </c>
      <c r="L29" s="50">
        <f>IF('쪽쟘(실측)'!G29&gt;0,'쪽쟘(실측)'!G29+1.5,0)</f>
        <v>0</v>
      </c>
      <c r="M29" s="50">
        <f>IF('쪽쟘(실측)'!H29&gt;0,'쪽쟘(실측)'!H29+1.5,0)</f>
        <v>0</v>
      </c>
      <c r="N29" s="50">
        <f>IF('쪽쟘(실측)'!I29&gt;0,'쪽쟘(실측)'!I29+1.5,0)</f>
        <v>0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1.2</v>
      </c>
      <c r="T29" s="50">
        <f>'쪽쟘(실측)'!O29+1.2</f>
        <v>1.2</v>
      </c>
      <c r="U29" s="50">
        <f>'쪽쟘(실측)'!P29</f>
        <v>0</v>
      </c>
      <c r="V29" s="50">
        <f>'쪽쟘(실측)'!Q29</f>
        <v>0</v>
      </c>
      <c r="W29" s="50" t="e">
        <f>'쪽쟘(실측)'!R29-늘치차감</f>
        <v>#NAME?</v>
      </c>
      <c r="X29" s="50" t="e">
        <f>'쪽쟘(실측)'!S29-늘치차감</f>
        <v>#NAME?</v>
      </c>
      <c r="Z29">
        <v>937</v>
      </c>
      <c r="AA29">
        <v>154.4</v>
      </c>
      <c r="AB29">
        <v>146</v>
      </c>
      <c r="AC29">
        <v>2090</v>
      </c>
      <c r="AD29">
        <v>147</v>
      </c>
      <c r="AE29">
        <v>2090</v>
      </c>
    </row>
    <row r="30" spans="1:31" ht="18.7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0"/>
        <v>939*154.4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 t="shared" si="1"/>
        <v>2090*148</v>
      </c>
      <c r="H30" s="68" t="str">
        <f t="shared" si="2"/>
        <v>2090*147</v>
      </c>
      <c r="I30" s="70">
        <f>IF('쪽쟘(실측)'!F30&gt;0,'쪽쟘(실측)'!F30+0.5,0)</f>
        <v>0</v>
      </c>
      <c r="J30" s="50">
        <f>IF('쪽쟘(실측)'!H30&gt;0,'쪽쟘(실측)'!H30+0.5,0)</f>
        <v>0</v>
      </c>
      <c r="K30" s="50">
        <f>IF('쪽쟘(실측)'!F30&gt;0,'쪽쟘(실측)'!F30+1.5,0)</f>
        <v>0</v>
      </c>
      <c r="L30" s="50">
        <f>IF('쪽쟘(실측)'!G30&gt;0,'쪽쟘(실측)'!G30+1.5,0)</f>
        <v>0</v>
      </c>
      <c r="M30" s="50">
        <f>IF('쪽쟘(실측)'!H30&gt;0,'쪽쟘(실측)'!H30+1.5,0)</f>
        <v>0</v>
      </c>
      <c r="N30" s="50">
        <f>IF('쪽쟘(실측)'!I30&gt;0,'쪽쟘(실측)'!I30+1.5,0)</f>
        <v>0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1.2</v>
      </c>
      <c r="T30" s="50">
        <f>'쪽쟘(실측)'!O30+1.2</f>
        <v>1.2</v>
      </c>
      <c r="U30" s="50">
        <f>'쪽쟘(실측)'!P30</f>
        <v>0</v>
      </c>
      <c r="V30" s="50">
        <f>'쪽쟘(실측)'!Q30</f>
        <v>0</v>
      </c>
      <c r="W30" s="50" t="e">
        <f>'쪽쟘(실측)'!R30-늘치차감</f>
        <v>#NAME?</v>
      </c>
      <c r="X30" s="50" t="e">
        <f>'쪽쟘(실측)'!S30-늘치차감</f>
        <v>#NAME?</v>
      </c>
      <c r="Z30">
        <v>939</v>
      </c>
      <c r="AA30">
        <v>154.4</v>
      </c>
      <c r="AB30">
        <v>148</v>
      </c>
      <c r="AC30">
        <v>2090</v>
      </c>
      <c r="AD30">
        <v>147</v>
      </c>
      <c r="AE30">
        <v>2090</v>
      </c>
    </row>
    <row r="31" spans="1:31" ht="18.7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0"/>
        <v>939*148.4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 t="shared" si="1"/>
        <v>2090*148</v>
      </c>
      <c r="H31" s="68" t="str">
        <f t="shared" si="2"/>
        <v>2090*147</v>
      </c>
      <c r="I31" s="70">
        <f>IF('쪽쟘(실측)'!F31&gt;0,'쪽쟘(실측)'!F31+0.5,0)</f>
        <v>0</v>
      </c>
      <c r="J31" s="50">
        <f>IF('쪽쟘(실측)'!H31&gt;0,'쪽쟘(실측)'!H31+0.5,0)</f>
        <v>0</v>
      </c>
      <c r="K31" s="50">
        <f>IF('쪽쟘(실측)'!F31&gt;0,'쪽쟘(실측)'!F31+1.5,0)</f>
        <v>0</v>
      </c>
      <c r="L31" s="50">
        <f>IF('쪽쟘(실측)'!G31&gt;0,'쪽쟘(실측)'!G31+1.5,0)</f>
        <v>0</v>
      </c>
      <c r="M31" s="50">
        <f>IF('쪽쟘(실측)'!H31&gt;0,'쪽쟘(실측)'!H31+1.5,0)</f>
        <v>0</v>
      </c>
      <c r="N31" s="50">
        <f>IF('쪽쟘(실측)'!I31&gt;0,'쪽쟘(실측)'!I31+1.5,0)</f>
        <v>0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1.2</v>
      </c>
      <c r="T31" s="50">
        <f>'쪽쟘(실측)'!O31+1.2</f>
        <v>1.2</v>
      </c>
      <c r="U31" s="50">
        <f>'쪽쟘(실측)'!P31</f>
        <v>0</v>
      </c>
      <c r="V31" s="50">
        <f>'쪽쟘(실측)'!Q31</f>
        <v>0</v>
      </c>
      <c r="W31" s="50" t="e">
        <f>'쪽쟘(실측)'!R31-늘치차감</f>
        <v>#NAME?</v>
      </c>
      <c r="X31" s="50" t="e">
        <f>'쪽쟘(실측)'!S31-늘치차감</f>
        <v>#NAME?</v>
      </c>
      <c r="Z31">
        <v>939</v>
      </c>
      <c r="AA31">
        <v>148.4</v>
      </c>
      <c r="AB31">
        <v>148</v>
      </c>
      <c r="AC31">
        <v>2090</v>
      </c>
      <c r="AD31">
        <v>147</v>
      </c>
      <c r="AE31">
        <v>2090</v>
      </c>
    </row>
    <row r="32" spans="1:31" ht="18.7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0"/>
        <v>938*150.4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 t="shared" si="1"/>
        <v>2090*147</v>
      </c>
      <c r="H32" s="68" t="str">
        <f t="shared" si="2"/>
        <v>2090*147</v>
      </c>
      <c r="I32" s="70">
        <f>IF('쪽쟘(실측)'!F32&gt;0,'쪽쟘(실측)'!F32+0.5,0)</f>
        <v>0</v>
      </c>
      <c r="J32" s="50">
        <f>IF('쪽쟘(실측)'!H32&gt;0,'쪽쟘(실측)'!H32+0.5,0)</f>
        <v>0</v>
      </c>
      <c r="K32" s="50">
        <f>IF('쪽쟘(실측)'!F32&gt;0,'쪽쟘(실측)'!F32+1.5,0)</f>
        <v>0</v>
      </c>
      <c r="L32" s="50">
        <f>IF('쪽쟘(실측)'!G32&gt;0,'쪽쟘(실측)'!G32+1.5,0)</f>
        <v>0</v>
      </c>
      <c r="M32" s="50">
        <f>IF('쪽쟘(실측)'!H32&gt;0,'쪽쟘(실측)'!H32+1.5,0)</f>
        <v>0</v>
      </c>
      <c r="N32" s="50">
        <f>IF('쪽쟘(실측)'!I32&gt;0,'쪽쟘(실측)'!I32+1.5,0)</f>
        <v>0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1.2</v>
      </c>
      <c r="T32" s="50">
        <f>'쪽쟘(실측)'!O32+1.2</f>
        <v>1.2</v>
      </c>
      <c r="U32" s="50">
        <f>'쪽쟘(실측)'!P32</f>
        <v>0</v>
      </c>
      <c r="V32" s="50">
        <f>'쪽쟘(실측)'!Q32</f>
        <v>0</v>
      </c>
      <c r="W32" s="50" t="e">
        <f>'쪽쟘(실측)'!R32-늘치차감</f>
        <v>#NAME?</v>
      </c>
      <c r="X32" s="50" t="e">
        <f>'쪽쟘(실측)'!S32-늘치차감</f>
        <v>#NAME?</v>
      </c>
      <c r="Z32">
        <v>938</v>
      </c>
      <c r="AA32">
        <v>150.4</v>
      </c>
      <c r="AB32">
        <v>147</v>
      </c>
      <c r="AC32">
        <v>2090</v>
      </c>
      <c r="AD32">
        <v>147</v>
      </c>
      <c r="AE32">
        <v>2090</v>
      </c>
    </row>
    <row r="33" spans="1:31" ht="18.7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0"/>
        <v>937*155.4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 t="shared" si="1"/>
        <v>2090*147</v>
      </c>
      <c r="H33" s="68" t="str">
        <f t="shared" si="2"/>
        <v>2090*146</v>
      </c>
      <c r="I33" s="70">
        <f>IF('쪽쟘(실측)'!F33&gt;0,'쪽쟘(실측)'!F33+0.5,0)</f>
        <v>0</v>
      </c>
      <c r="J33" s="50">
        <f>IF('쪽쟘(실측)'!H33&gt;0,'쪽쟘(실측)'!H33+0.5,0)</f>
        <v>0</v>
      </c>
      <c r="K33" s="50">
        <f>IF('쪽쟘(실측)'!F33&gt;0,'쪽쟘(실측)'!F33+1.5,0)</f>
        <v>0</v>
      </c>
      <c r="L33" s="50">
        <f>IF('쪽쟘(실측)'!G33&gt;0,'쪽쟘(실측)'!G33+1.5,0)</f>
        <v>0</v>
      </c>
      <c r="M33" s="50">
        <f>IF('쪽쟘(실측)'!H33&gt;0,'쪽쟘(실측)'!H33+1.5,0)</f>
        <v>0</v>
      </c>
      <c r="N33" s="50">
        <f>IF('쪽쟘(실측)'!I33&gt;0,'쪽쟘(실측)'!I33+1.5,0)</f>
        <v>0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1.2</v>
      </c>
      <c r="T33" s="50">
        <f>'쪽쟘(실측)'!O33+1.2</f>
        <v>1.2</v>
      </c>
      <c r="U33" s="50">
        <f>'쪽쟘(실측)'!P33</f>
        <v>0</v>
      </c>
      <c r="V33" s="50">
        <f>'쪽쟘(실측)'!Q33</f>
        <v>0</v>
      </c>
      <c r="W33" s="50" t="e">
        <f>'쪽쟘(실측)'!R33-늘치차감</f>
        <v>#NAME?</v>
      </c>
      <c r="X33" s="50" t="e">
        <f>'쪽쟘(실측)'!S33-늘치차감</f>
        <v>#NAME?</v>
      </c>
      <c r="Z33">
        <v>937</v>
      </c>
      <c r="AA33">
        <v>155.4</v>
      </c>
      <c r="AB33">
        <v>147</v>
      </c>
      <c r="AC33">
        <v>2090</v>
      </c>
      <c r="AD33">
        <v>146</v>
      </c>
      <c r="AE33">
        <v>2090</v>
      </c>
    </row>
    <row r="34" spans="1:31" ht="18.75" customHeight="1" thickBot="1" x14ac:dyDescent="0.35">
      <c r="A34" s="165">
        <f>'쪽쟘(실측)'!A34</f>
        <v>0</v>
      </c>
      <c r="B34" s="165" t="str">
        <f>'쪽쟘(실측)'!B34&amp;"F"</f>
        <v>F</v>
      </c>
      <c r="C34" s="165" t="str">
        <f t="shared" si="0"/>
        <v>944*148.4</v>
      </c>
      <c r="D34" s="165" t="e">
        <f>'쪽쟘(실측)'!C34-OP차감</f>
        <v>#NAME?</v>
      </c>
      <c r="E34" s="165" t="e">
        <f>'쪽쟘(실측)'!D34+쪽쟘J늘림+MAX(W34:X34)</f>
        <v>#VALUE!</v>
      </c>
      <c r="F34" s="165" t="e">
        <f>'쪽쟘(실측)'!E34+쪽쟘J늘림+MAX(W34:X34)</f>
        <v>#VALUE!</v>
      </c>
      <c r="G34" s="166" t="str">
        <f t="shared" si="1"/>
        <v>2090*150</v>
      </c>
      <c r="H34" s="167" t="str">
        <f t="shared" si="2"/>
        <v>2090*150</v>
      </c>
      <c r="I34" s="70">
        <f>IF('쪽쟘(실측)'!F34&gt;0,'쪽쟘(실측)'!F34+0.5,0)</f>
        <v>0</v>
      </c>
      <c r="J34" s="50">
        <f>IF('쪽쟘(실측)'!H34&gt;0,'쪽쟘(실측)'!H34+0.5,0)</f>
        <v>0</v>
      </c>
      <c r="K34" s="50">
        <f>IF('쪽쟘(실측)'!F34&gt;0,'쪽쟘(실측)'!F34+1.5,0)</f>
        <v>0</v>
      </c>
      <c r="L34" s="50">
        <f>IF('쪽쟘(실측)'!G34&gt;0,'쪽쟘(실측)'!G34+1.5,0)</f>
        <v>0</v>
      </c>
      <c r="M34" s="50">
        <f>IF('쪽쟘(실측)'!H34&gt;0,'쪽쟘(실측)'!H34+1.5,0)</f>
        <v>0</v>
      </c>
      <c r="N34" s="50">
        <f>IF('쪽쟘(실측)'!I34&gt;0,'쪽쟘(실측)'!I34+1.5,0)</f>
        <v>0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1.2</v>
      </c>
      <c r="T34" s="50">
        <f>'쪽쟘(실측)'!O34+1.2</f>
        <v>1.2</v>
      </c>
      <c r="U34" s="50">
        <f>'쪽쟘(실측)'!P34</f>
        <v>0</v>
      </c>
      <c r="V34" s="50">
        <f>'쪽쟘(실측)'!Q34</f>
        <v>0</v>
      </c>
      <c r="W34" s="50" t="e">
        <f>'쪽쟘(실측)'!R34-늘치차감</f>
        <v>#NAME?</v>
      </c>
      <c r="X34" s="50" t="e">
        <f>'쪽쟘(실측)'!S34-늘치차감</f>
        <v>#NAME?</v>
      </c>
      <c r="Z34">
        <v>944</v>
      </c>
      <c r="AA34">
        <v>148.4</v>
      </c>
      <c r="AB34">
        <v>150</v>
      </c>
      <c r="AC34">
        <v>2090</v>
      </c>
      <c r="AD34">
        <v>150</v>
      </c>
      <c r="AE34">
        <v>2090</v>
      </c>
    </row>
    <row r="35" spans="1:31" ht="18.75" customHeight="1" x14ac:dyDescent="0.3">
      <c r="A35" s="162">
        <f>'쪽쟘(실측)'!A35</f>
        <v>0</v>
      </c>
      <c r="B35" s="162" t="str">
        <f>'쪽쟘(실측)'!B35&amp;"F"</f>
        <v>F</v>
      </c>
      <c r="C35" s="162" t="str">
        <f t="shared" si="0"/>
        <v>944*144.4</v>
      </c>
      <c r="D35" s="162" t="e">
        <f>'쪽쟘(실측)'!C35-OP차감</f>
        <v>#NAME?</v>
      </c>
      <c r="E35" s="162" t="e">
        <f>'쪽쟘(실측)'!D35+쪽쟘J늘림+MAX(W35:X35)</f>
        <v>#VALUE!</v>
      </c>
      <c r="F35" s="162" t="e">
        <f>'쪽쟘(실측)'!E35+쪽쟘J늘림+MAX(W35:X35)</f>
        <v>#VALUE!</v>
      </c>
      <c r="G35" s="163" t="str">
        <f t="shared" si="1"/>
        <v>2090*150</v>
      </c>
      <c r="H35" s="164" t="str">
        <f t="shared" si="2"/>
        <v>2090*150</v>
      </c>
      <c r="I35" s="70">
        <f>IF('쪽쟘(실측)'!F35&gt;0,'쪽쟘(실측)'!F35+0.5,0)</f>
        <v>0</v>
      </c>
      <c r="J35" s="50">
        <f>IF('쪽쟘(실측)'!H35&gt;0,'쪽쟘(실측)'!H35+0.5,0)</f>
        <v>0</v>
      </c>
      <c r="K35" s="50">
        <f>IF('쪽쟘(실측)'!F35&gt;0,'쪽쟘(실측)'!F35+1.5,0)</f>
        <v>0</v>
      </c>
      <c r="L35" s="50">
        <f>IF('쪽쟘(실측)'!G35&gt;0,'쪽쟘(실측)'!G35+1.5,0)</f>
        <v>0</v>
      </c>
      <c r="M35" s="50">
        <f>IF('쪽쟘(실측)'!H35&gt;0,'쪽쟘(실측)'!H35+1.5,0)</f>
        <v>0</v>
      </c>
      <c r="N35" s="50">
        <f>IF('쪽쟘(실측)'!I35&gt;0,'쪽쟘(실측)'!I35+1.5,0)</f>
        <v>0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1.2</v>
      </c>
      <c r="T35" s="50">
        <f>'쪽쟘(실측)'!O35+1.2</f>
        <v>1.2</v>
      </c>
      <c r="U35" s="50">
        <f>'쪽쟘(실측)'!P35</f>
        <v>0</v>
      </c>
      <c r="V35" s="50">
        <f>'쪽쟘(실측)'!Q35</f>
        <v>0</v>
      </c>
      <c r="W35" s="50" t="e">
        <f>'쪽쟘(실측)'!R35-늘치차감</f>
        <v>#NAME?</v>
      </c>
      <c r="X35" s="50" t="e">
        <f>'쪽쟘(실측)'!S35-늘치차감</f>
        <v>#NAME?</v>
      </c>
      <c r="Z35">
        <v>944</v>
      </c>
      <c r="AA35">
        <v>144.4</v>
      </c>
      <c r="AB35">
        <v>150</v>
      </c>
      <c r="AC35">
        <v>2090</v>
      </c>
      <c r="AD35">
        <v>150</v>
      </c>
      <c r="AE35">
        <v>2090</v>
      </c>
    </row>
    <row r="36" spans="1:31" ht="18.75" customHeight="1" x14ac:dyDescent="0.3">
      <c r="A36" s="50">
        <f>'쪽쟘(실측)'!A36</f>
        <v>0</v>
      </c>
      <c r="B36" s="50" t="str">
        <f>'쪽쟘(실측)'!B36&amp;"F"</f>
        <v>F</v>
      </c>
      <c r="C36" s="50" t="str">
        <f t="shared" si="0"/>
        <v>944*148.4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 t="shared" si="1"/>
        <v>2090*150</v>
      </c>
      <c r="H36" s="68" t="str">
        <f t="shared" si="2"/>
        <v>2090*150</v>
      </c>
      <c r="I36" s="70">
        <f>IF('쪽쟘(실측)'!F36&gt;0,'쪽쟘(실측)'!F36+0.5,0)</f>
        <v>0</v>
      </c>
      <c r="J36" s="50">
        <f>IF('쪽쟘(실측)'!H36&gt;0,'쪽쟘(실측)'!H36+0.5,0)</f>
        <v>0</v>
      </c>
      <c r="K36" s="50">
        <f>IF('쪽쟘(실측)'!F36&gt;0,'쪽쟘(실측)'!F36+1.5,0)</f>
        <v>0</v>
      </c>
      <c r="L36" s="50">
        <f>IF('쪽쟘(실측)'!G36&gt;0,'쪽쟘(실측)'!G36+1.5,0)</f>
        <v>0</v>
      </c>
      <c r="M36" s="50">
        <f>IF('쪽쟘(실측)'!H36&gt;0,'쪽쟘(실측)'!H36+1.5,0)</f>
        <v>0</v>
      </c>
      <c r="N36" s="50">
        <f>IF('쪽쟘(실측)'!I36&gt;0,'쪽쟘(실측)'!I36+1.5,0)</f>
        <v>0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1.2</v>
      </c>
      <c r="T36" s="50">
        <f>'쪽쟘(실측)'!O36+1.2</f>
        <v>1.2</v>
      </c>
      <c r="U36" s="50">
        <f>'쪽쟘(실측)'!P36</f>
        <v>0</v>
      </c>
      <c r="V36" s="50">
        <f>'쪽쟘(실측)'!Q36</f>
        <v>0</v>
      </c>
      <c r="W36" s="50" t="e">
        <f>'쪽쟘(실측)'!R36-늘치차감</f>
        <v>#NAME?</v>
      </c>
      <c r="X36" s="50" t="e">
        <f>'쪽쟘(실측)'!S36-늘치차감</f>
        <v>#NAME?</v>
      </c>
      <c r="Z36">
        <v>944</v>
      </c>
      <c r="AA36">
        <v>148.4</v>
      </c>
      <c r="AB36">
        <v>150</v>
      </c>
      <c r="AC36">
        <v>2090</v>
      </c>
      <c r="AD36">
        <v>150</v>
      </c>
      <c r="AE36">
        <v>2090</v>
      </c>
    </row>
    <row r="37" spans="1:31" ht="18.75" customHeight="1" x14ac:dyDescent="0.3">
      <c r="A37" s="50">
        <f>'쪽쟘(실측)'!A37</f>
        <v>0</v>
      </c>
      <c r="B37" s="50" t="str">
        <f>'쪽쟘(실측)'!B37&amp;"F"</f>
        <v>F</v>
      </c>
      <c r="C37" s="50" t="str">
        <f t="shared" si="0"/>
        <v>937*147.4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 t="shared" si="1"/>
        <v>2090*147</v>
      </c>
      <c r="H37" s="68" t="str">
        <f t="shared" si="2"/>
        <v>2090*146</v>
      </c>
      <c r="I37" s="70">
        <f>IF('쪽쟘(실측)'!F37&gt;0,'쪽쟘(실측)'!F37+0.5,0)</f>
        <v>0</v>
      </c>
      <c r="J37" s="50">
        <f>IF('쪽쟘(실측)'!H37&gt;0,'쪽쟘(실측)'!H37+0.5,0)</f>
        <v>0</v>
      </c>
      <c r="K37" s="50">
        <f>IF('쪽쟘(실측)'!F37&gt;0,'쪽쟘(실측)'!F37+1.5,0)</f>
        <v>0</v>
      </c>
      <c r="L37" s="50">
        <f>IF('쪽쟘(실측)'!G37&gt;0,'쪽쟘(실측)'!G37+1.5,0)</f>
        <v>0</v>
      </c>
      <c r="M37" s="50">
        <f>IF('쪽쟘(실측)'!H37&gt;0,'쪽쟘(실측)'!H37+1.5,0)</f>
        <v>0</v>
      </c>
      <c r="N37" s="50">
        <f>IF('쪽쟘(실측)'!I37&gt;0,'쪽쟘(실측)'!I37+1.5,0)</f>
        <v>0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1.2</v>
      </c>
      <c r="T37" s="50">
        <f>'쪽쟘(실측)'!O37+1.2</f>
        <v>1.2</v>
      </c>
      <c r="U37" s="50">
        <f>'쪽쟘(실측)'!P37</f>
        <v>0</v>
      </c>
      <c r="V37" s="50">
        <f>'쪽쟘(실측)'!Q37</f>
        <v>0</v>
      </c>
      <c r="W37" s="50" t="e">
        <f>'쪽쟘(실측)'!R37-늘치차감</f>
        <v>#NAME?</v>
      </c>
      <c r="X37" s="50" t="e">
        <f>'쪽쟘(실측)'!S37-늘치차감</f>
        <v>#NAME?</v>
      </c>
      <c r="Z37">
        <v>937</v>
      </c>
      <c r="AA37">
        <v>147.4</v>
      </c>
      <c r="AB37">
        <v>147</v>
      </c>
      <c r="AC37">
        <v>2090</v>
      </c>
      <c r="AD37">
        <v>146</v>
      </c>
      <c r="AE37">
        <v>2090</v>
      </c>
    </row>
    <row r="38" spans="1:31" ht="18.75" customHeight="1" x14ac:dyDescent="0.3">
      <c r="A38" s="50">
        <f>'쪽쟘(실측)'!A38</f>
        <v>0</v>
      </c>
      <c r="B38" s="50" t="str">
        <f>'쪽쟘(실측)'!B38&amp;"F"</f>
        <v>F</v>
      </c>
      <c r="C38" s="50" t="str">
        <f t="shared" si="0"/>
        <v>935*148.4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 t="shared" si="1"/>
        <v>2090*145</v>
      </c>
      <c r="H38" s="68" t="str">
        <f t="shared" si="2"/>
        <v>2090*146</v>
      </c>
      <c r="I38" s="70">
        <f>IF('쪽쟘(실측)'!F38&gt;0,'쪽쟘(실측)'!F38+0.5,0)</f>
        <v>0</v>
      </c>
      <c r="J38" s="50">
        <f>IF('쪽쟘(실측)'!H38&gt;0,'쪽쟘(실측)'!H38+0.5,0)</f>
        <v>0</v>
      </c>
      <c r="K38" s="50">
        <f>IF('쪽쟘(실측)'!F38&gt;0,'쪽쟘(실측)'!F38+1.5,0)</f>
        <v>0</v>
      </c>
      <c r="L38" s="50">
        <f>IF('쪽쟘(실측)'!G38&gt;0,'쪽쟘(실측)'!G38+1.5,0)</f>
        <v>0</v>
      </c>
      <c r="M38" s="50">
        <f>IF('쪽쟘(실측)'!H38&gt;0,'쪽쟘(실측)'!H38+1.5,0)</f>
        <v>0</v>
      </c>
      <c r="N38" s="50">
        <f>IF('쪽쟘(실측)'!I38&gt;0,'쪽쟘(실측)'!I38+1.5,0)</f>
        <v>0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1.2</v>
      </c>
      <c r="T38" s="50">
        <f>'쪽쟘(실측)'!O38+1.2</f>
        <v>1.2</v>
      </c>
      <c r="U38" s="50">
        <f>'쪽쟘(실측)'!P38</f>
        <v>0</v>
      </c>
      <c r="V38" s="50">
        <f>'쪽쟘(실측)'!Q38</f>
        <v>0</v>
      </c>
      <c r="W38" s="50" t="e">
        <f>'쪽쟘(실측)'!R38-늘치차감</f>
        <v>#NAME?</v>
      </c>
      <c r="X38" s="50" t="e">
        <f>'쪽쟘(실측)'!S38-늘치차감</f>
        <v>#NAME?</v>
      </c>
      <c r="Z38">
        <v>935</v>
      </c>
      <c r="AA38">
        <v>148.4</v>
      </c>
      <c r="AB38">
        <v>145</v>
      </c>
      <c r="AC38">
        <v>2090</v>
      </c>
      <c r="AD38">
        <v>146</v>
      </c>
      <c r="AE38">
        <v>2090</v>
      </c>
    </row>
    <row r="39" spans="1:31" ht="18.75" customHeight="1" x14ac:dyDescent="0.3">
      <c r="A39" s="50">
        <f>'쪽쟘(실측)'!A39</f>
        <v>0</v>
      </c>
      <c r="B39" s="50" t="str">
        <f>'쪽쟘(실측)'!B39&amp;"F"</f>
        <v>F</v>
      </c>
      <c r="C39" s="50" t="str">
        <f t="shared" si="0"/>
        <v>933*144.4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 t="shared" si="1"/>
        <v>2090*145</v>
      </c>
      <c r="H39" s="68" t="str">
        <f t="shared" si="2"/>
        <v>2090*144</v>
      </c>
      <c r="I39" s="70">
        <f>IF('쪽쟘(실측)'!F39&gt;0,'쪽쟘(실측)'!F39+0.5,0)</f>
        <v>0</v>
      </c>
      <c r="J39" s="50">
        <f>IF('쪽쟘(실측)'!H39&gt;0,'쪽쟘(실측)'!H39+0.5,0)</f>
        <v>0</v>
      </c>
      <c r="K39" s="50">
        <f>IF('쪽쟘(실측)'!F39&gt;0,'쪽쟘(실측)'!F39+1.5,0)</f>
        <v>0</v>
      </c>
      <c r="L39" s="50">
        <f>IF('쪽쟘(실측)'!G39&gt;0,'쪽쟘(실측)'!G39+1.5,0)</f>
        <v>0</v>
      </c>
      <c r="M39" s="50">
        <f>IF('쪽쟘(실측)'!H39&gt;0,'쪽쟘(실측)'!H39+1.5,0)</f>
        <v>0</v>
      </c>
      <c r="N39" s="50">
        <f>IF('쪽쟘(실측)'!I39&gt;0,'쪽쟘(실측)'!I39+1.5,0)</f>
        <v>0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1.2</v>
      </c>
      <c r="T39" s="50">
        <f>'쪽쟘(실측)'!O39+1.2</f>
        <v>1.2</v>
      </c>
      <c r="U39" s="50">
        <f>'쪽쟘(실측)'!P39</f>
        <v>0</v>
      </c>
      <c r="V39" s="50">
        <f>'쪽쟘(실측)'!Q39</f>
        <v>0</v>
      </c>
      <c r="W39" s="50" t="e">
        <f>'쪽쟘(실측)'!R39-늘치차감</f>
        <v>#NAME?</v>
      </c>
      <c r="X39" s="50" t="e">
        <f>'쪽쟘(실측)'!S39-늘치차감</f>
        <v>#NAME?</v>
      </c>
      <c r="Z39">
        <v>933</v>
      </c>
      <c r="AA39">
        <v>144.4</v>
      </c>
      <c r="AB39">
        <v>145</v>
      </c>
      <c r="AC39">
        <v>2090</v>
      </c>
      <c r="AD39">
        <v>144</v>
      </c>
      <c r="AE39">
        <v>2090</v>
      </c>
    </row>
    <row r="40" spans="1:31" ht="18.75" customHeight="1" x14ac:dyDescent="0.3">
      <c r="A40" s="50">
        <f>'쪽쟘(실측)'!A40</f>
        <v>0</v>
      </c>
      <c r="B40" s="50" t="str">
        <f>'쪽쟘(실측)'!B40&amp;"F"</f>
        <v>F</v>
      </c>
      <c r="C40" s="50" t="str">
        <f t="shared" si="0"/>
        <v>937*148.4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 t="shared" si="1"/>
        <v>2090*146</v>
      </c>
      <c r="H40" s="68" t="str">
        <f t="shared" si="2"/>
        <v>2090*147</v>
      </c>
      <c r="I40" s="70">
        <f>IF('쪽쟘(실측)'!F40&gt;0,'쪽쟘(실측)'!F40+0.5,0)</f>
        <v>0</v>
      </c>
      <c r="J40" s="50">
        <f>IF('쪽쟘(실측)'!H40&gt;0,'쪽쟘(실측)'!H40+0.5,0)</f>
        <v>0</v>
      </c>
      <c r="K40" s="50">
        <f>IF('쪽쟘(실측)'!F40&gt;0,'쪽쟘(실측)'!F40+1.5,0)</f>
        <v>0</v>
      </c>
      <c r="L40" s="50">
        <f>IF('쪽쟘(실측)'!G40&gt;0,'쪽쟘(실측)'!G40+1.5,0)</f>
        <v>0</v>
      </c>
      <c r="M40" s="50">
        <f>IF('쪽쟘(실측)'!H40&gt;0,'쪽쟘(실측)'!H40+1.5,0)</f>
        <v>0</v>
      </c>
      <c r="N40" s="50">
        <f>IF('쪽쟘(실측)'!I40&gt;0,'쪽쟘(실측)'!I40+1.5,0)</f>
        <v>0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1.2</v>
      </c>
      <c r="T40" s="50">
        <f>'쪽쟘(실측)'!O40+1.2</f>
        <v>1.2</v>
      </c>
      <c r="U40" s="50">
        <f>'쪽쟘(실측)'!P40</f>
        <v>0</v>
      </c>
      <c r="V40" s="50">
        <f>'쪽쟘(실측)'!Q40</f>
        <v>0</v>
      </c>
      <c r="W40" s="50" t="e">
        <f>'쪽쟘(실측)'!R40-늘치차감</f>
        <v>#NAME?</v>
      </c>
      <c r="X40" s="50" t="e">
        <f>'쪽쟘(실측)'!S40-늘치차감</f>
        <v>#NAME?</v>
      </c>
      <c r="Z40">
        <v>937</v>
      </c>
      <c r="AA40">
        <v>148.4</v>
      </c>
      <c r="AB40">
        <v>146</v>
      </c>
      <c r="AC40">
        <v>2090</v>
      </c>
      <c r="AD40">
        <v>147</v>
      </c>
      <c r="AE40">
        <v>2090</v>
      </c>
    </row>
    <row r="41" spans="1:31" ht="18.75" customHeight="1" x14ac:dyDescent="0.3">
      <c r="A41" s="50">
        <f>'쪽쟘(실측)'!A41</f>
        <v>0</v>
      </c>
      <c r="B41" s="50" t="str">
        <f>'쪽쟘(실측)'!B41&amp;"F"</f>
        <v>F</v>
      </c>
      <c r="C41" s="50" t="str">
        <f t="shared" si="0"/>
        <v>941*147.4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 t="shared" si="1"/>
        <v>2090*148</v>
      </c>
      <c r="H41" s="68" t="str">
        <f t="shared" si="2"/>
        <v>2090*149</v>
      </c>
      <c r="I41" s="70">
        <f>IF('쪽쟘(실측)'!F41&gt;0,'쪽쟘(실측)'!F41+0.5,0)</f>
        <v>0</v>
      </c>
      <c r="J41" s="50">
        <f>IF('쪽쟘(실측)'!H41&gt;0,'쪽쟘(실측)'!H41+0.5,0)</f>
        <v>0</v>
      </c>
      <c r="K41" s="50">
        <f>IF('쪽쟘(실측)'!F41&gt;0,'쪽쟘(실측)'!F41+1.5,0)</f>
        <v>0</v>
      </c>
      <c r="L41" s="50">
        <f>IF('쪽쟘(실측)'!G41&gt;0,'쪽쟘(실측)'!G41+1.5,0)</f>
        <v>0</v>
      </c>
      <c r="M41" s="50">
        <f>IF('쪽쟘(실측)'!H41&gt;0,'쪽쟘(실측)'!H41+1.5,0)</f>
        <v>0</v>
      </c>
      <c r="N41" s="50">
        <f>IF('쪽쟘(실측)'!I41&gt;0,'쪽쟘(실측)'!I41+1.5,0)</f>
        <v>0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1.2</v>
      </c>
      <c r="T41" s="50">
        <f>'쪽쟘(실측)'!O41+1.2</f>
        <v>1.2</v>
      </c>
      <c r="U41" s="50">
        <f>'쪽쟘(실측)'!P41</f>
        <v>0</v>
      </c>
      <c r="V41" s="50">
        <f>'쪽쟘(실측)'!Q41</f>
        <v>0</v>
      </c>
      <c r="W41" s="50" t="e">
        <f>'쪽쟘(실측)'!R41-늘치차감</f>
        <v>#NAME?</v>
      </c>
      <c r="X41" s="50" t="e">
        <f>'쪽쟘(실측)'!S41-늘치차감</f>
        <v>#NAME?</v>
      </c>
      <c r="Z41">
        <v>941</v>
      </c>
      <c r="AA41">
        <v>147.4</v>
      </c>
      <c r="AB41">
        <v>148</v>
      </c>
      <c r="AC41">
        <v>2090</v>
      </c>
      <c r="AD41">
        <v>149</v>
      </c>
      <c r="AE41">
        <v>2090</v>
      </c>
    </row>
    <row r="42" spans="1:31" ht="18.75" customHeight="1" x14ac:dyDescent="0.3">
      <c r="A42" s="50">
        <f>'쪽쟘(실측)'!A42</f>
        <v>0</v>
      </c>
      <c r="B42" s="50" t="str">
        <f>'쪽쟘(실측)'!B42&amp;"F"</f>
        <v>F</v>
      </c>
      <c r="C42" s="50" t="str">
        <f t="shared" si="0"/>
        <v>937*146.4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 t="shared" si="1"/>
        <v>2090*147</v>
      </c>
      <c r="H42" s="68" t="str">
        <f t="shared" si="2"/>
        <v>2090*146</v>
      </c>
      <c r="I42" s="70">
        <f>IF('쪽쟘(실측)'!F42&gt;0,'쪽쟘(실측)'!F42+0.5,0)</f>
        <v>0</v>
      </c>
      <c r="J42" s="50">
        <f>IF('쪽쟘(실측)'!H42&gt;0,'쪽쟘(실측)'!H42+0.5,0)</f>
        <v>0</v>
      </c>
      <c r="K42" s="50">
        <f>IF('쪽쟘(실측)'!F42&gt;0,'쪽쟘(실측)'!F42+1.5,0)</f>
        <v>0</v>
      </c>
      <c r="L42" s="50">
        <f>IF('쪽쟘(실측)'!G42&gt;0,'쪽쟘(실측)'!G42+1.5,0)</f>
        <v>0</v>
      </c>
      <c r="M42" s="50">
        <f>IF('쪽쟘(실측)'!H42&gt;0,'쪽쟘(실측)'!H42+1.5,0)</f>
        <v>0</v>
      </c>
      <c r="N42" s="50">
        <f>IF('쪽쟘(실측)'!I42&gt;0,'쪽쟘(실측)'!I42+1.5,0)</f>
        <v>0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1.2</v>
      </c>
      <c r="T42" s="50">
        <f>'쪽쟘(실측)'!O42+1.2</f>
        <v>1.2</v>
      </c>
      <c r="U42" s="50">
        <f>'쪽쟘(실측)'!P42</f>
        <v>0</v>
      </c>
      <c r="V42" s="50">
        <f>'쪽쟘(실측)'!Q42</f>
        <v>0</v>
      </c>
      <c r="W42" s="50" t="e">
        <f>'쪽쟘(실측)'!R42-늘치차감</f>
        <v>#NAME?</v>
      </c>
      <c r="X42" s="50" t="e">
        <f>'쪽쟘(실측)'!S42-늘치차감</f>
        <v>#NAME?</v>
      </c>
      <c r="Z42">
        <v>937</v>
      </c>
      <c r="AA42">
        <v>146.4</v>
      </c>
      <c r="AB42">
        <v>147</v>
      </c>
      <c r="AC42">
        <v>2090</v>
      </c>
      <c r="AD42">
        <v>146</v>
      </c>
      <c r="AE42">
        <v>2090</v>
      </c>
    </row>
    <row r="43" spans="1:31" ht="18.75" customHeight="1" x14ac:dyDescent="0.3">
      <c r="A43" s="50">
        <f>'쪽쟘(실측)'!A43</f>
        <v>0</v>
      </c>
      <c r="B43" s="50" t="str">
        <f>'쪽쟘(실측)'!B43&amp;"F"</f>
        <v>F</v>
      </c>
      <c r="C43" s="50" t="str">
        <f t="shared" si="0"/>
        <v>934*148.4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 t="shared" si="1"/>
        <v>2090*145</v>
      </c>
      <c r="H43" s="68" t="str">
        <f t="shared" si="2"/>
        <v>2090*145</v>
      </c>
      <c r="I43" s="70">
        <f>IF('쪽쟘(실측)'!F43&gt;0,'쪽쟘(실측)'!F43+0.5,0)</f>
        <v>0</v>
      </c>
      <c r="J43" s="50">
        <f>IF('쪽쟘(실측)'!H43&gt;0,'쪽쟘(실측)'!H43+0.5,0)</f>
        <v>0</v>
      </c>
      <c r="K43" s="50">
        <f>IF('쪽쟘(실측)'!F43&gt;0,'쪽쟘(실측)'!F43+1.5,0)</f>
        <v>0</v>
      </c>
      <c r="L43" s="50">
        <f>IF('쪽쟘(실측)'!G43&gt;0,'쪽쟘(실측)'!G43+1.5,0)</f>
        <v>0</v>
      </c>
      <c r="M43" s="50">
        <f>IF('쪽쟘(실측)'!H43&gt;0,'쪽쟘(실측)'!H43+1.5,0)</f>
        <v>0</v>
      </c>
      <c r="N43" s="50">
        <f>IF('쪽쟘(실측)'!I43&gt;0,'쪽쟘(실측)'!I43+1.5,0)</f>
        <v>0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1.2</v>
      </c>
      <c r="T43" s="50">
        <f>'쪽쟘(실측)'!O43+1.2</f>
        <v>1.2</v>
      </c>
      <c r="U43" s="50">
        <f>'쪽쟘(실측)'!P43</f>
        <v>0</v>
      </c>
      <c r="V43" s="50">
        <f>'쪽쟘(실측)'!Q43</f>
        <v>0</v>
      </c>
      <c r="W43" s="50" t="e">
        <f>'쪽쟘(실측)'!R43-늘치차감</f>
        <v>#NAME?</v>
      </c>
      <c r="X43" s="50" t="e">
        <f>'쪽쟘(실측)'!S43-늘치차감</f>
        <v>#NAME?</v>
      </c>
      <c r="Z43">
        <v>934</v>
      </c>
      <c r="AA43">
        <v>148.4</v>
      </c>
      <c r="AB43">
        <v>145</v>
      </c>
      <c r="AC43">
        <v>2090</v>
      </c>
      <c r="AD43">
        <v>145</v>
      </c>
      <c r="AE43">
        <v>2090</v>
      </c>
    </row>
    <row r="44" spans="1:31" ht="18.75" customHeight="1" x14ac:dyDescent="0.3">
      <c r="A44" s="50">
        <f>'쪽쟘(실측)'!A44</f>
        <v>0</v>
      </c>
      <c r="B44" s="50" t="str">
        <f>'쪽쟘(실측)'!B44&amp;"F"</f>
        <v>F</v>
      </c>
      <c r="C44" s="50" t="str">
        <f t="shared" si="0"/>
        <v>937*148.4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 t="shared" si="1"/>
        <v>2090*145</v>
      </c>
      <c r="H44" s="68" t="str">
        <f t="shared" si="2"/>
        <v>2090*148</v>
      </c>
      <c r="I44" s="70">
        <f>IF('쪽쟘(실측)'!F44&gt;0,'쪽쟘(실측)'!F44+0.5,0)</f>
        <v>0</v>
      </c>
      <c r="J44" s="50">
        <f>IF('쪽쟘(실측)'!H44&gt;0,'쪽쟘(실측)'!H44+0.5,0)</f>
        <v>0</v>
      </c>
      <c r="K44" s="50">
        <f>IF('쪽쟘(실측)'!F44&gt;0,'쪽쟘(실측)'!F44+1.5,0)</f>
        <v>0</v>
      </c>
      <c r="L44" s="50">
        <f>IF('쪽쟘(실측)'!G44&gt;0,'쪽쟘(실측)'!G44+1.5,0)</f>
        <v>0</v>
      </c>
      <c r="M44" s="50">
        <f>IF('쪽쟘(실측)'!H44&gt;0,'쪽쟘(실측)'!H44+1.5,0)</f>
        <v>0</v>
      </c>
      <c r="N44" s="50">
        <f>IF('쪽쟘(실측)'!I44&gt;0,'쪽쟘(실측)'!I44+1.5,0)</f>
        <v>0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1.2</v>
      </c>
      <c r="T44" s="50">
        <f>'쪽쟘(실측)'!O44+1.2</f>
        <v>1.2</v>
      </c>
      <c r="U44" s="50">
        <f>'쪽쟘(실측)'!P44</f>
        <v>0</v>
      </c>
      <c r="V44" s="50">
        <f>'쪽쟘(실측)'!Q44</f>
        <v>0</v>
      </c>
      <c r="W44" s="50" t="e">
        <f>'쪽쟘(실측)'!R44-늘치차감</f>
        <v>#NAME?</v>
      </c>
      <c r="X44" s="50" t="e">
        <f>'쪽쟘(실측)'!S44-늘치차감</f>
        <v>#NAME?</v>
      </c>
      <c r="Z44">
        <v>937</v>
      </c>
      <c r="AA44">
        <v>148.4</v>
      </c>
      <c r="AB44">
        <v>145</v>
      </c>
      <c r="AC44">
        <v>2090</v>
      </c>
      <c r="AD44">
        <v>148</v>
      </c>
      <c r="AE44">
        <v>2090</v>
      </c>
    </row>
    <row r="45" spans="1:31" ht="18.75" customHeight="1" x14ac:dyDescent="0.3">
      <c r="A45" s="50">
        <f>'쪽쟘(실측)'!A45</f>
        <v>0</v>
      </c>
      <c r="B45" s="50" t="str">
        <f>'쪽쟘(실측)'!B45&amp;"F"</f>
        <v>F</v>
      </c>
      <c r="C45" s="50" t="str">
        <f t="shared" si="0"/>
        <v>936*149.4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 t="shared" si="1"/>
        <v>2090*146</v>
      </c>
      <c r="H45" s="68" t="str">
        <f t="shared" si="2"/>
        <v>2090*146</v>
      </c>
      <c r="I45" s="70">
        <f>IF('쪽쟘(실측)'!F45&gt;0,'쪽쟘(실측)'!F45+0.5,0)</f>
        <v>0</v>
      </c>
      <c r="J45" s="50">
        <f>IF('쪽쟘(실측)'!H45&gt;0,'쪽쟘(실측)'!H45+0.5,0)</f>
        <v>0</v>
      </c>
      <c r="K45" s="50">
        <f>IF('쪽쟘(실측)'!F45&gt;0,'쪽쟘(실측)'!F45+1.5,0)</f>
        <v>0</v>
      </c>
      <c r="L45" s="50">
        <f>IF('쪽쟘(실측)'!G45&gt;0,'쪽쟘(실측)'!G45+1.5,0)</f>
        <v>0</v>
      </c>
      <c r="M45" s="50">
        <f>IF('쪽쟘(실측)'!H45&gt;0,'쪽쟘(실측)'!H45+1.5,0)</f>
        <v>0</v>
      </c>
      <c r="N45" s="50">
        <f>IF('쪽쟘(실측)'!I45&gt;0,'쪽쟘(실측)'!I45+1.5,0)</f>
        <v>0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1.2</v>
      </c>
      <c r="T45" s="50">
        <f>'쪽쟘(실측)'!O45+1.2</f>
        <v>1.2</v>
      </c>
      <c r="U45" s="50">
        <f>'쪽쟘(실측)'!P45</f>
        <v>0</v>
      </c>
      <c r="V45" s="50">
        <f>'쪽쟘(실측)'!Q45</f>
        <v>0</v>
      </c>
      <c r="W45" s="50" t="e">
        <f>'쪽쟘(실측)'!R45-늘치차감</f>
        <v>#NAME?</v>
      </c>
      <c r="X45" s="50" t="e">
        <f>'쪽쟘(실측)'!S45-늘치차감</f>
        <v>#NAME?</v>
      </c>
      <c r="Z45">
        <v>936</v>
      </c>
      <c r="AA45">
        <v>149.4</v>
      </c>
      <c r="AB45">
        <v>146</v>
      </c>
      <c r="AC45">
        <v>2090</v>
      </c>
      <c r="AD45">
        <v>146</v>
      </c>
      <c r="AE45">
        <v>2090</v>
      </c>
    </row>
    <row r="46" spans="1:31" ht="18.75" customHeight="1" x14ac:dyDescent="0.3">
      <c r="A46" s="50">
        <f>'쪽쟘(실측)'!A46</f>
        <v>0</v>
      </c>
      <c r="B46" s="50" t="str">
        <f>'쪽쟘(실측)'!B46&amp;"F"</f>
        <v>F</v>
      </c>
      <c r="C46" s="50" t="str">
        <f t="shared" si="0"/>
        <v>939*149.4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 t="shared" si="1"/>
        <v>2090*146</v>
      </c>
      <c r="H46" s="68" t="str">
        <f t="shared" si="2"/>
        <v>2090*149</v>
      </c>
      <c r="I46" s="70">
        <f>IF('쪽쟘(실측)'!F46&gt;0,'쪽쟘(실측)'!F46+0.5,0)</f>
        <v>0</v>
      </c>
      <c r="J46" s="50">
        <f>IF('쪽쟘(실측)'!H46&gt;0,'쪽쟘(실측)'!H46+0.5,0)</f>
        <v>0</v>
      </c>
      <c r="K46" s="50">
        <f>IF('쪽쟘(실측)'!F46&gt;0,'쪽쟘(실측)'!F46+1.5,0)</f>
        <v>0</v>
      </c>
      <c r="L46" s="50">
        <f>IF('쪽쟘(실측)'!G46&gt;0,'쪽쟘(실측)'!G46+1.5,0)</f>
        <v>0</v>
      </c>
      <c r="M46" s="50">
        <f>IF('쪽쟘(실측)'!H46&gt;0,'쪽쟘(실측)'!H46+1.5,0)</f>
        <v>0</v>
      </c>
      <c r="N46" s="50">
        <f>IF('쪽쟘(실측)'!I46&gt;0,'쪽쟘(실측)'!I46+1.5,0)</f>
        <v>0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1.2</v>
      </c>
      <c r="T46" s="50">
        <f>'쪽쟘(실측)'!O46+1.2</f>
        <v>1.2</v>
      </c>
      <c r="U46" s="50">
        <f>'쪽쟘(실측)'!P46</f>
        <v>0</v>
      </c>
      <c r="V46" s="50">
        <f>'쪽쟘(실측)'!Q46</f>
        <v>0</v>
      </c>
      <c r="W46" s="50" t="e">
        <f>'쪽쟘(실측)'!R46-늘치차감</f>
        <v>#NAME?</v>
      </c>
      <c r="X46" s="50" t="e">
        <f>'쪽쟘(실측)'!S46-늘치차감</f>
        <v>#NAME?</v>
      </c>
      <c r="Z46">
        <v>939</v>
      </c>
      <c r="AA46">
        <v>149.4</v>
      </c>
      <c r="AB46">
        <v>146</v>
      </c>
      <c r="AC46">
        <v>2090</v>
      </c>
      <c r="AD46">
        <v>149</v>
      </c>
      <c r="AE46">
        <v>2090</v>
      </c>
    </row>
    <row r="47" spans="1:31" ht="18.75" customHeight="1" x14ac:dyDescent="0.3">
      <c r="A47" s="50">
        <f>'쪽쟘(실측)'!A47</f>
        <v>0</v>
      </c>
      <c r="B47" s="50" t="str">
        <f>'쪽쟘(실측)'!B47&amp;"F"</f>
        <v>F</v>
      </c>
      <c r="C47" s="50" t="str">
        <f t="shared" si="0"/>
        <v>938*148.4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 t="shared" si="1"/>
        <v>2090*147</v>
      </c>
      <c r="H47" s="68" t="str">
        <f t="shared" si="2"/>
        <v>2090*147</v>
      </c>
      <c r="I47" s="70">
        <f>IF('쪽쟘(실측)'!F47&gt;0,'쪽쟘(실측)'!F47+0.5,0)</f>
        <v>0</v>
      </c>
      <c r="J47" s="50">
        <f>IF('쪽쟘(실측)'!H47&gt;0,'쪽쟘(실측)'!H47+0.5,0)</f>
        <v>0</v>
      </c>
      <c r="K47" s="50">
        <f>IF('쪽쟘(실측)'!F47&gt;0,'쪽쟘(실측)'!F47+1.5,0)</f>
        <v>0</v>
      </c>
      <c r="L47" s="50">
        <f>IF('쪽쟘(실측)'!G47&gt;0,'쪽쟘(실측)'!G47+1.5,0)</f>
        <v>0</v>
      </c>
      <c r="M47" s="50">
        <f>IF('쪽쟘(실측)'!H47&gt;0,'쪽쟘(실측)'!H47+1.5,0)</f>
        <v>0</v>
      </c>
      <c r="N47" s="50">
        <f>IF('쪽쟘(실측)'!I47&gt;0,'쪽쟘(실측)'!I47+1.5,0)</f>
        <v>0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1.2</v>
      </c>
      <c r="T47" s="50">
        <f>'쪽쟘(실측)'!O47+1.2</f>
        <v>1.2</v>
      </c>
      <c r="U47" s="50">
        <f>'쪽쟘(실측)'!P47</f>
        <v>0</v>
      </c>
      <c r="V47" s="50">
        <f>'쪽쟘(실측)'!Q47</f>
        <v>0</v>
      </c>
      <c r="W47" s="50" t="e">
        <f>'쪽쟘(실측)'!R47-늘치차감</f>
        <v>#NAME?</v>
      </c>
      <c r="X47" s="50" t="e">
        <f>'쪽쟘(실측)'!S47-늘치차감</f>
        <v>#NAME?</v>
      </c>
      <c r="Z47">
        <v>938</v>
      </c>
      <c r="AA47">
        <v>148.4</v>
      </c>
      <c r="AB47">
        <v>147</v>
      </c>
      <c r="AC47">
        <v>2090</v>
      </c>
      <c r="AD47">
        <v>147</v>
      </c>
      <c r="AE47">
        <v>2090</v>
      </c>
    </row>
    <row r="48" spans="1:31" ht="18.75" customHeight="1" thickBot="1" x14ac:dyDescent="0.35">
      <c r="A48" s="165">
        <f>'쪽쟘(실측)'!A48</f>
        <v>0</v>
      </c>
      <c r="B48" s="165" t="str">
        <f>'쪽쟘(실측)'!B48&amp;"F"</f>
        <v>F</v>
      </c>
      <c r="C48" s="165" t="str">
        <f t="shared" si="0"/>
        <v>941*148.4</v>
      </c>
      <c r="D48" s="165" t="e">
        <f>'쪽쟘(실측)'!C48-OP차감</f>
        <v>#NAME?</v>
      </c>
      <c r="E48" s="165" t="e">
        <f>'쪽쟘(실측)'!D48+쪽쟘J늘림+MAX(W48:X48)</f>
        <v>#VALUE!</v>
      </c>
      <c r="F48" s="165" t="e">
        <f>'쪽쟘(실측)'!E48+쪽쟘J늘림+MAX(W48:X48)</f>
        <v>#VALUE!</v>
      </c>
      <c r="G48" s="166" t="str">
        <f t="shared" si="1"/>
        <v>2090*148</v>
      </c>
      <c r="H48" s="167" t="str">
        <f t="shared" si="2"/>
        <v>2090*149</v>
      </c>
      <c r="I48" s="70">
        <f>IF('쪽쟘(실측)'!F48&gt;0,'쪽쟘(실측)'!F48+0.5,0)</f>
        <v>0</v>
      </c>
      <c r="J48" s="50">
        <f>IF('쪽쟘(실측)'!H48&gt;0,'쪽쟘(실측)'!H48+0.5,0)</f>
        <v>0</v>
      </c>
      <c r="K48" s="50">
        <f>IF('쪽쟘(실측)'!F48&gt;0,'쪽쟘(실측)'!F48+1.5,0)</f>
        <v>0</v>
      </c>
      <c r="L48" s="50">
        <f>IF('쪽쟘(실측)'!G48&gt;0,'쪽쟘(실측)'!G48+1.5,0)</f>
        <v>0</v>
      </c>
      <c r="M48" s="50">
        <f>IF('쪽쟘(실측)'!H48&gt;0,'쪽쟘(실측)'!H48+1.5,0)</f>
        <v>0</v>
      </c>
      <c r="N48" s="50">
        <f>IF('쪽쟘(실측)'!I48&gt;0,'쪽쟘(실측)'!I48+1.5,0)</f>
        <v>0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1.2</v>
      </c>
      <c r="T48" s="50">
        <f>'쪽쟘(실측)'!O48+1.2</f>
        <v>1.2</v>
      </c>
      <c r="U48" s="50">
        <f>'쪽쟘(실측)'!P48</f>
        <v>0</v>
      </c>
      <c r="V48" s="50">
        <f>'쪽쟘(실측)'!Q48</f>
        <v>0</v>
      </c>
      <c r="W48" s="50" t="e">
        <f>'쪽쟘(실측)'!R48-늘치차감</f>
        <v>#NAME?</v>
      </c>
      <c r="X48" s="50" t="e">
        <f>'쪽쟘(실측)'!S48-늘치차감</f>
        <v>#NAME?</v>
      </c>
      <c r="Z48">
        <v>941</v>
      </c>
      <c r="AA48">
        <v>148.4</v>
      </c>
      <c r="AB48">
        <v>148</v>
      </c>
      <c r="AC48">
        <v>2090</v>
      </c>
      <c r="AD48">
        <v>149</v>
      </c>
      <c r="AE48">
        <v>2090</v>
      </c>
    </row>
    <row r="49" spans="1:31" ht="18.75" customHeight="1" x14ac:dyDescent="0.3">
      <c r="A49" s="162">
        <f>'쪽쟘(실측)'!A49</f>
        <v>0</v>
      </c>
      <c r="B49" s="162" t="str">
        <f>'쪽쟘(실측)'!B49&amp;"F"</f>
        <v>F</v>
      </c>
      <c r="C49" s="162" t="str">
        <f t="shared" si="0"/>
        <v>937*147.4</v>
      </c>
      <c r="D49" s="162" t="e">
        <f>'쪽쟘(실측)'!C49-OP차감</f>
        <v>#NAME?</v>
      </c>
      <c r="E49" s="162" t="e">
        <f>'쪽쟘(실측)'!D49+쪽쟘J늘림+MAX(W49:X49)</f>
        <v>#VALUE!</v>
      </c>
      <c r="F49" s="162" t="e">
        <f>'쪽쟘(실측)'!E49+쪽쟘J늘림+MAX(W49:X49)</f>
        <v>#VALUE!</v>
      </c>
      <c r="G49" s="163" t="str">
        <f t="shared" si="1"/>
        <v>2090*146</v>
      </c>
      <c r="H49" s="164" t="str">
        <f t="shared" si="2"/>
        <v>2090*147</v>
      </c>
      <c r="I49" s="70">
        <f>IF('쪽쟘(실측)'!F49&gt;0,'쪽쟘(실측)'!F49+0.5,0)</f>
        <v>0</v>
      </c>
      <c r="J49" s="50">
        <f>IF('쪽쟘(실측)'!H49&gt;0,'쪽쟘(실측)'!H49+0.5,0)</f>
        <v>0</v>
      </c>
      <c r="K49" s="50">
        <f>IF('쪽쟘(실측)'!F49&gt;0,'쪽쟘(실측)'!F49+1.5,0)</f>
        <v>0</v>
      </c>
      <c r="L49" s="50">
        <f>IF('쪽쟘(실측)'!G49&gt;0,'쪽쟘(실측)'!G49+1.5,0)</f>
        <v>0</v>
      </c>
      <c r="M49" s="50">
        <f>IF('쪽쟘(실측)'!H49&gt;0,'쪽쟘(실측)'!H49+1.5,0)</f>
        <v>0</v>
      </c>
      <c r="N49" s="50">
        <f>IF('쪽쟘(실측)'!I49&gt;0,'쪽쟘(실측)'!I49+1.5,0)</f>
        <v>0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1.2</v>
      </c>
      <c r="T49" s="50">
        <f>'쪽쟘(실측)'!O49+1.2</f>
        <v>1.2</v>
      </c>
      <c r="U49" s="50">
        <f>'쪽쟘(실측)'!P49</f>
        <v>0</v>
      </c>
      <c r="V49" s="50">
        <f>'쪽쟘(실측)'!Q49</f>
        <v>0</v>
      </c>
      <c r="W49" s="50" t="e">
        <f>'쪽쟘(실측)'!R49-늘치차감</f>
        <v>#NAME?</v>
      </c>
      <c r="X49" s="50" t="e">
        <f>'쪽쟘(실측)'!S49-늘치차감</f>
        <v>#NAME?</v>
      </c>
      <c r="Z49">
        <v>937</v>
      </c>
      <c r="AA49">
        <v>147.4</v>
      </c>
      <c r="AB49">
        <v>146</v>
      </c>
      <c r="AC49">
        <v>2090</v>
      </c>
      <c r="AD49">
        <v>147</v>
      </c>
      <c r="AE49">
        <v>2090</v>
      </c>
    </row>
    <row r="50" spans="1:31" ht="18.75" customHeight="1" x14ac:dyDescent="0.3">
      <c r="A50" s="50">
        <f>'쪽쟘(실측)'!A50</f>
        <v>0</v>
      </c>
      <c r="B50" s="50" t="str">
        <f>'쪽쟘(실측)'!B50&amp;"F"</f>
        <v>F</v>
      </c>
      <c r="C50" s="50" t="str">
        <f t="shared" si="0"/>
        <v>942*149.4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 t="shared" si="1"/>
        <v>2090*150</v>
      </c>
      <c r="H50" s="68" t="str">
        <f t="shared" si="2"/>
        <v>2090*148</v>
      </c>
      <c r="I50" s="70">
        <f>IF('쪽쟘(실측)'!F50&gt;0,'쪽쟘(실측)'!F50+0.5,0)</f>
        <v>0</v>
      </c>
      <c r="J50" s="50">
        <f>IF('쪽쟘(실측)'!H50&gt;0,'쪽쟘(실측)'!H50+0.5,0)</f>
        <v>0</v>
      </c>
      <c r="K50" s="50">
        <f>IF('쪽쟘(실측)'!F50&gt;0,'쪽쟘(실측)'!F50+1.5,0)</f>
        <v>0</v>
      </c>
      <c r="L50" s="50">
        <f>IF('쪽쟘(실측)'!G50&gt;0,'쪽쟘(실측)'!G50+1.5,0)</f>
        <v>0</v>
      </c>
      <c r="M50" s="50">
        <f>IF('쪽쟘(실측)'!H50&gt;0,'쪽쟘(실측)'!H50+1.5,0)</f>
        <v>0</v>
      </c>
      <c r="N50" s="50">
        <f>IF('쪽쟘(실측)'!I50&gt;0,'쪽쟘(실측)'!I50+1.5,0)</f>
        <v>0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1.2</v>
      </c>
      <c r="T50" s="50">
        <f>'쪽쟘(실측)'!O50+1.2</f>
        <v>1.2</v>
      </c>
      <c r="U50" s="50">
        <f>'쪽쟘(실측)'!P50</f>
        <v>0</v>
      </c>
      <c r="V50" s="50">
        <f>'쪽쟘(실측)'!Q50</f>
        <v>0</v>
      </c>
      <c r="W50" s="50" t="e">
        <f>'쪽쟘(실측)'!R50-늘치차감</f>
        <v>#NAME?</v>
      </c>
      <c r="X50" s="50" t="e">
        <f>'쪽쟘(실측)'!S50-늘치차감</f>
        <v>#NAME?</v>
      </c>
      <c r="Z50">
        <v>942</v>
      </c>
      <c r="AA50">
        <v>149.4</v>
      </c>
      <c r="AB50">
        <v>150</v>
      </c>
      <c r="AC50">
        <v>2090</v>
      </c>
      <c r="AD50">
        <v>148</v>
      </c>
      <c r="AE50">
        <v>2090</v>
      </c>
    </row>
    <row r="51" spans="1:31" ht="18.75" customHeight="1" x14ac:dyDescent="0.3">
      <c r="A51" s="50">
        <f>'쪽쟘(실측)'!A51</f>
        <v>0</v>
      </c>
      <c r="B51" s="50" t="str">
        <f>'쪽쟘(실측)'!B51&amp;"F"</f>
        <v>F</v>
      </c>
      <c r="C51" s="50" t="str">
        <f t="shared" si="0"/>
        <v>942*149.4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 t="shared" si="1"/>
        <v>2090*149</v>
      </c>
      <c r="H51" s="68" t="str">
        <f t="shared" si="2"/>
        <v>2090*149</v>
      </c>
      <c r="I51" s="70">
        <f>IF('쪽쟘(실측)'!F51&gt;0,'쪽쟘(실측)'!F51+0.5,0)</f>
        <v>0</v>
      </c>
      <c r="J51" s="50">
        <f>IF('쪽쟘(실측)'!H51&gt;0,'쪽쟘(실측)'!H51+0.5,0)</f>
        <v>0</v>
      </c>
      <c r="K51" s="50">
        <f>IF('쪽쟘(실측)'!F51&gt;0,'쪽쟘(실측)'!F51+1.5,0)</f>
        <v>0</v>
      </c>
      <c r="L51" s="50">
        <f>IF('쪽쟘(실측)'!G51&gt;0,'쪽쟘(실측)'!G51+1.5,0)</f>
        <v>0</v>
      </c>
      <c r="M51" s="50">
        <f>IF('쪽쟘(실측)'!H51&gt;0,'쪽쟘(실측)'!H51+1.5,0)</f>
        <v>0</v>
      </c>
      <c r="N51" s="50">
        <f>IF('쪽쟘(실측)'!I51&gt;0,'쪽쟘(실측)'!I51+1.5,0)</f>
        <v>0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1.2</v>
      </c>
      <c r="T51" s="50">
        <f>'쪽쟘(실측)'!O51+1.2</f>
        <v>1.2</v>
      </c>
      <c r="U51" s="50">
        <f>'쪽쟘(실측)'!P51</f>
        <v>0</v>
      </c>
      <c r="V51" s="50">
        <f>'쪽쟘(실측)'!Q51</f>
        <v>0</v>
      </c>
      <c r="W51" s="50" t="e">
        <f>'쪽쟘(실측)'!R51-늘치차감</f>
        <v>#NAME?</v>
      </c>
      <c r="X51" s="50" t="e">
        <f>'쪽쟘(실측)'!S51-늘치차감</f>
        <v>#NAME?</v>
      </c>
      <c r="Z51">
        <v>942</v>
      </c>
      <c r="AA51">
        <v>149.4</v>
      </c>
      <c r="AB51">
        <v>149</v>
      </c>
      <c r="AC51">
        <v>2090</v>
      </c>
      <c r="AD51">
        <v>149</v>
      </c>
      <c r="AE51">
        <v>2090</v>
      </c>
    </row>
    <row r="52" spans="1:31" ht="18.75" customHeight="1" x14ac:dyDescent="0.3">
      <c r="A52" s="50">
        <f>'쪽쟘(실측)'!A52</f>
        <v>0</v>
      </c>
      <c r="B52" s="50" t="str">
        <f>'쪽쟘(실측)'!B52&amp;"F"</f>
        <v>F</v>
      </c>
      <c r="C52" s="50" t="str">
        <f t="shared" si="0"/>
        <v>940*152.4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 t="shared" si="1"/>
        <v>2090*148</v>
      </c>
      <c r="H52" s="68" t="str">
        <f t="shared" si="2"/>
        <v>2090*148</v>
      </c>
      <c r="I52" s="70">
        <f>IF('쪽쟘(실측)'!F52&gt;0,'쪽쟘(실측)'!F52+0.5,0)</f>
        <v>0</v>
      </c>
      <c r="J52" s="50">
        <f>IF('쪽쟘(실측)'!H52&gt;0,'쪽쟘(실측)'!H52+0.5,0)</f>
        <v>0</v>
      </c>
      <c r="K52" s="50">
        <f>IF('쪽쟘(실측)'!F52&gt;0,'쪽쟘(실측)'!F52+1.5,0)</f>
        <v>0</v>
      </c>
      <c r="L52" s="50">
        <f>IF('쪽쟘(실측)'!G52&gt;0,'쪽쟘(실측)'!G52+1.5,0)</f>
        <v>0</v>
      </c>
      <c r="M52" s="50">
        <f>IF('쪽쟘(실측)'!H52&gt;0,'쪽쟘(실측)'!H52+1.5,0)</f>
        <v>0</v>
      </c>
      <c r="N52" s="50">
        <f>IF('쪽쟘(실측)'!I52&gt;0,'쪽쟘(실측)'!I52+1.5,0)</f>
        <v>0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1.2</v>
      </c>
      <c r="T52" s="50">
        <f>'쪽쟘(실측)'!O52+1.2</f>
        <v>1.2</v>
      </c>
      <c r="U52" s="50">
        <f>'쪽쟘(실측)'!P52</f>
        <v>0</v>
      </c>
      <c r="V52" s="50">
        <f>'쪽쟘(실측)'!Q52</f>
        <v>0</v>
      </c>
      <c r="W52" s="50" t="e">
        <f>'쪽쟘(실측)'!R52-늘치차감</f>
        <v>#NAME?</v>
      </c>
      <c r="X52" s="50" t="e">
        <f>'쪽쟘(실측)'!S52-늘치차감</f>
        <v>#NAME?</v>
      </c>
      <c r="Z52">
        <v>940</v>
      </c>
      <c r="AA52">
        <v>152.4</v>
      </c>
      <c r="AB52">
        <v>148</v>
      </c>
      <c r="AC52">
        <v>2090</v>
      </c>
      <c r="AD52">
        <v>148</v>
      </c>
      <c r="AE52">
        <v>2090</v>
      </c>
    </row>
    <row r="53" spans="1:31" ht="18.75" customHeight="1" x14ac:dyDescent="0.3">
      <c r="A53" s="50">
        <f>'쪽쟘(실측)'!A53</f>
        <v>0</v>
      </c>
      <c r="B53" s="50" t="str">
        <f>'쪽쟘(실측)'!B53&amp;"F"</f>
        <v>F</v>
      </c>
      <c r="C53" s="50" t="str">
        <f t="shared" si="0"/>
        <v>944*149.4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 t="shared" si="1"/>
        <v>2090*150</v>
      </c>
      <c r="H53" s="68" t="str">
        <f t="shared" si="2"/>
        <v>*</v>
      </c>
      <c r="I53" s="70">
        <f>IF('쪽쟘(실측)'!F53&gt;0,'쪽쟘(실측)'!F53+0.5,0)</f>
        <v>0</v>
      </c>
      <c r="J53" s="50">
        <f>IF('쪽쟘(실측)'!H53&gt;0,'쪽쟘(실측)'!H53+0.5,0)</f>
        <v>0</v>
      </c>
      <c r="K53" s="50">
        <f>IF('쪽쟘(실측)'!F53&gt;0,'쪽쟘(실측)'!F53+1.5,0)</f>
        <v>0</v>
      </c>
      <c r="L53" s="50">
        <f>IF('쪽쟘(실측)'!G53&gt;0,'쪽쟘(실측)'!G53+1.5,0)</f>
        <v>0</v>
      </c>
      <c r="M53" s="50">
        <f>IF('쪽쟘(실측)'!H53&gt;0,'쪽쟘(실측)'!H53+1.5,0)</f>
        <v>0</v>
      </c>
      <c r="N53" s="50">
        <f>IF('쪽쟘(실측)'!I53&gt;0,'쪽쟘(실측)'!I53+1.5,0)</f>
        <v>0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1.2</v>
      </c>
      <c r="T53" s="50">
        <f>'쪽쟘(실측)'!O53+1.2</f>
        <v>1.2</v>
      </c>
      <c r="U53" s="50">
        <f>'쪽쟘(실측)'!P53</f>
        <v>0</v>
      </c>
      <c r="V53" s="50">
        <f>'쪽쟘(실측)'!Q53</f>
        <v>0</v>
      </c>
      <c r="W53" s="50" t="e">
        <f>'쪽쟘(실측)'!R53-늘치차감</f>
        <v>#NAME?</v>
      </c>
      <c r="X53" s="50" t="e">
        <f>'쪽쟘(실측)'!S53-늘치차감</f>
        <v>#NAME?</v>
      </c>
      <c r="Z53">
        <v>944</v>
      </c>
      <c r="AA53">
        <v>149.4</v>
      </c>
      <c r="AB53">
        <v>150</v>
      </c>
      <c r="AC53">
        <v>2090</v>
      </c>
    </row>
    <row r="54" spans="1:31" ht="18.75" customHeight="1" x14ac:dyDescent="0.3">
      <c r="A54" s="50">
        <f>'쪽쟘(실측)'!A54</f>
        <v>0</v>
      </c>
      <c r="B54" s="50" t="str">
        <f>'쪽쟘(실측)'!B54&amp;"F"</f>
        <v>F</v>
      </c>
      <c r="C54" s="50" t="str">
        <f t="shared" si="0"/>
        <v>943*147.4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 t="shared" si="1"/>
        <v>2090*150</v>
      </c>
      <c r="H54" s="68" t="str">
        <f t="shared" si="2"/>
        <v>2090*149</v>
      </c>
      <c r="I54" s="70">
        <f>IF('쪽쟘(실측)'!F54&gt;0,'쪽쟘(실측)'!F54+0.5,0)</f>
        <v>0</v>
      </c>
      <c r="J54" s="50">
        <f>IF('쪽쟘(실측)'!H54&gt;0,'쪽쟘(실측)'!H54+0.5,0)</f>
        <v>0</v>
      </c>
      <c r="K54" s="50">
        <f>IF('쪽쟘(실측)'!F54&gt;0,'쪽쟘(실측)'!F54+1.5,0)</f>
        <v>0</v>
      </c>
      <c r="L54" s="50">
        <f>IF('쪽쟘(실측)'!G54&gt;0,'쪽쟘(실측)'!G54+1.5,0)</f>
        <v>0</v>
      </c>
      <c r="M54" s="50">
        <f>IF('쪽쟘(실측)'!H54&gt;0,'쪽쟘(실측)'!H54+1.5,0)</f>
        <v>0</v>
      </c>
      <c r="N54" s="50">
        <f>IF('쪽쟘(실측)'!I54&gt;0,'쪽쟘(실측)'!I54+1.5,0)</f>
        <v>0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1.2</v>
      </c>
      <c r="T54" s="50">
        <f>'쪽쟘(실측)'!O54+1.2</f>
        <v>1.2</v>
      </c>
      <c r="U54" s="50">
        <f>'쪽쟘(실측)'!P54</f>
        <v>0</v>
      </c>
      <c r="V54" s="50">
        <f>'쪽쟘(실측)'!Q54</f>
        <v>0</v>
      </c>
      <c r="W54" s="50" t="e">
        <f>'쪽쟘(실측)'!R54-늘치차감</f>
        <v>#NAME?</v>
      </c>
      <c r="X54" s="50" t="e">
        <f>'쪽쟘(실측)'!S54-늘치차감</f>
        <v>#NAME?</v>
      </c>
      <c r="Z54">
        <v>943</v>
      </c>
      <c r="AA54">
        <v>147.4</v>
      </c>
      <c r="AB54">
        <v>150</v>
      </c>
      <c r="AC54">
        <v>2090</v>
      </c>
      <c r="AD54">
        <v>149</v>
      </c>
      <c r="AE54">
        <v>2090</v>
      </c>
    </row>
    <row r="55" spans="1:31" ht="18.75" customHeight="1" x14ac:dyDescent="0.3">
      <c r="A55" s="50">
        <f>'쪽쟘(실측)'!A55</f>
        <v>0</v>
      </c>
      <c r="B55" s="50" t="str">
        <f>'쪽쟘(실측)'!B55&amp;"F"</f>
        <v>F</v>
      </c>
      <c r="C55" s="50" t="str">
        <f t="shared" si="0"/>
        <v>939*151.4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 t="shared" si="1"/>
        <v>2090*148</v>
      </c>
      <c r="H55" s="68" t="str">
        <f t="shared" si="2"/>
        <v>2090*147</v>
      </c>
      <c r="I55" s="70">
        <f>IF('쪽쟘(실측)'!F55&gt;0,'쪽쟘(실측)'!F55+0.5,0)</f>
        <v>0</v>
      </c>
      <c r="J55" s="50">
        <f>IF('쪽쟘(실측)'!H55&gt;0,'쪽쟘(실측)'!H55+0.5,0)</f>
        <v>0</v>
      </c>
      <c r="K55" s="50">
        <f>IF('쪽쟘(실측)'!F55&gt;0,'쪽쟘(실측)'!F55+1.5,0)</f>
        <v>0</v>
      </c>
      <c r="L55" s="50">
        <f>IF('쪽쟘(실측)'!G55&gt;0,'쪽쟘(실측)'!G55+1.5,0)</f>
        <v>0</v>
      </c>
      <c r="M55" s="50">
        <f>IF('쪽쟘(실측)'!H55&gt;0,'쪽쟘(실측)'!H55+1.5,0)</f>
        <v>0</v>
      </c>
      <c r="N55" s="50">
        <f>IF('쪽쟘(실측)'!I55&gt;0,'쪽쟘(실측)'!I55+1.5,0)</f>
        <v>0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1.2</v>
      </c>
      <c r="T55" s="50">
        <f>'쪽쟘(실측)'!O55+1.2</f>
        <v>1.2</v>
      </c>
      <c r="U55" s="50">
        <f>'쪽쟘(실측)'!P55</f>
        <v>0</v>
      </c>
      <c r="V55" s="50">
        <f>'쪽쟘(실측)'!Q55</f>
        <v>0</v>
      </c>
      <c r="W55" s="50" t="e">
        <f>'쪽쟘(실측)'!R55-늘치차감</f>
        <v>#NAME?</v>
      </c>
      <c r="X55" s="50" t="e">
        <f>'쪽쟘(실측)'!S55-늘치차감</f>
        <v>#NAME?</v>
      </c>
      <c r="Z55">
        <v>939</v>
      </c>
      <c r="AA55">
        <v>151.4</v>
      </c>
      <c r="AB55">
        <v>148</v>
      </c>
      <c r="AC55">
        <v>2090</v>
      </c>
      <c r="AD55">
        <v>147</v>
      </c>
      <c r="AE55">
        <v>2090</v>
      </c>
    </row>
    <row r="56" spans="1:31" ht="18.75" customHeight="1" x14ac:dyDescent="0.3">
      <c r="A56" s="50">
        <f>'쪽쟘(실측)'!A56</f>
        <v>0</v>
      </c>
      <c r="B56" s="50" t="str">
        <f>'쪽쟘(실측)'!B56&amp;"F"</f>
        <v>F</v>
      </c>
      <c r="C56" s="50" t="str">
        <f t="shared" si="0"/>
        <v>936*147.4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 t="shared" si="1"/>
        <v>2090*146</v>
      </c>
      <c r="H56" s="68" t="str">
        <f t="shared" si="2"/>
        <v>2090*146</v>
      </c>
      <c r="I56" s="70">
        <f>IF('쪽쟘(실측)'!F56&gt;0,'쪽쟘(실측)'!F56+0.5,0)</f>
        <v>0</v>
      </c>
      <c r="J56" s="50">
        <f>IF('쪽쟘(실측)'!H56&gt;0,'쪽쟘(실측)'!H56+0.5,0)</f>
        <v>0</v>
      </c>
      <c r="K56" s="50">
        <f>IF('쪽쟘(실측)'!F56&gt;0,'쪽쟘(실측)'!F56+1.5,0)</f>
        <v>0</v>
      </c>
      <c r="L56" s="50">
        <f>IF('쪽쟘(실측)'!G56&gt;0,'쪽쟘(실측)'!G56+1.5,0)</f>
        <v>0</v>
      </c>
      <c r="M56" s="50">
        <f>IF('쪽쟘(실측)'!H56&gt;0,'쪽쟘(실측)'!H56+1.5,0)</f>
        <v>0</v>
      </c>
      <c r="N56" s="50">
        <f>IF('쪽쟘(실측)'!I56&gt;0,'쪽쟘(실측)'!I56+1.5,0)</f>
        <v>0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1.2</v>
      </c>
      <c r="T56" s="50">
        <f>'쪽쟘(실측)'!O56+1.2</f>
        <v>1.2</v>
      </c>
      <c r="U56" s="50">
        <f>'쪽쟘(실측)'!P56</f>
        <v>0</v>
      </c>
      <c r="V56" s="50">
        <f>'쪽쟘(실측)'!Q56</f>
        <v>0</v>
      </c>
      <c r="W56" s="50" t="e">
        <f>'쪽쟘(실측)'!R56-늘치차감</f>
        <v>#NAME?</v>
      </c>
      <c r="X56" s="50" t="e">
        <f>'쪽쟘(실측)'!S56-늘치차감</f>
        <v>#NAME?</v>
      </c>
      <c r="Z56">
        <v>936</v>
      </c>
      <c r="AA56">
        <v>147.4</v>
      </c>
      <c r="AB56">
        <v>146</v>
      </c>
      <c r="AC56">
        <v>2090</v>
      </c>
      <c r="AD56">
        <v>146</v>
      </c>
      <c r="AE56">
        <v>2090</v>
      </c>
    </row>
    <row r="57" spans="1:31" ht="18.75" customHeight="1" x14ac:dyDescent="0.3">
      <c r="A57" s="50">
        <f>'쪽쟘(실측)'!A57</f>
        <v>0</v>
      </c>
      <c r="B57" s="50" t="str">
        <f>'쪽쟘(실측)'!B57&amp;"F"</f>
        <v>F</v>
      </c>
      <c r="C57" s="50" t="str">
        <f t="shared" si="0"/>
        <v>937*149.4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 t="shared" si="1"/>
        <v>2090*145</v>
      </c>
      <c r="H57" s="68" t="str">
        <f t="shared" si="2"/>
        <v>2090*148</v>
      </c>
      <c r="I57" s="70">
        <f>IF('쪽쟘(실측)'!F57&gt;0,'쪽쟘(실측)'!F57+0.5,0)</f>
        <v>0</v>
      </c>
      <c r="J57" s="50">
        <f>IF('쪽쟘(실측)'!H57&gt;0,'쪽쟘(실측)'!H57+0.5,0)</f>
        <v>0</v>
      </c>
      <c r="K57" s="50">
        <f>IF('쪽쟘(실측)'!F57&gt;0,'쪽쟘(실측)'!F57+1.5,0)</f>
        <v>0</v>
      </c>
      <c r="L57" s="50">
        <f>IF('쪽쟘(실측)'!G57&gt;0,'쪽쟘(실측)'!G57+1.5,0)</f>
        <v>0</v>
      </c>
      <c r="M57" s="50">
        <f>IF('쪽쟘(실측)'!H57&gt;0,'쪽쟘(실측)'!H57+1.5,0)</f>
        <v>0</v>
      </c>
      <c r="N57" s="50">
        <f>IF('쪽쟘(실측)'!I57&gt;0,'쪽쟘(실측)'!I57+1.5,0)</f>
        <v>0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1.2</v>
      </c>
      <c r="T57" s="50">
        <f>'쪽쟘(실측)'!O57+1.2</f>
        <v>1.2</v>
      </c>
      <c r="U57" s="50">
        <f>'쪽쟘(실측)'!P57</f>
        <v>0</v>
      </c>
      <c r="V57" s="50">
        <f>'쪽쟘(실측)'!Q57</f>
        <v>0</v>
      </c>
      <c r="W57" s="50" t="e">
        <f>'쪽쟘(실측)'!R57-늘치차감</f>
        <v>#NAME?</v>
      </c>
      <c r="X57" s="50" t="e">
        <f>'쪽쟘(실측)'!S57-늘치차감</f>
        <v>#NAME?</v>
      </c>
      <c r="Z57">
        <v>937</v>
      </c>
      <c r="AA57">
        <v>149.4</v>
      </c>
      <c r="AB57">
        <v>145</v>
      </c>
      <c r="AC57">
        <v>2090</v>
      </c>
      <c r="AD57">
        <v>148</v>
      </c>
      <c r="AE57">
        <v>2090</v>
      </c>
    </row>
    <row r="58" spans="1:31" ht="18.75" customHeight="1" x14ac:dyDescent="0.3">
      <c r="A58" s="50">
        <f>'쪽쟘(실측)'!A58</f>
        <v>0</v>
      </c>
      <c r="B58" s="50" t="str">
        <f>'쪽쟘(실측)'!B58&amp;"F"</f>
        <v>F</v>
      </c>
      <c r="C58" s="50" t="str">
        <f t="shared" si="0"/>
        <v>936*146.4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 t="shared" si="1"/>
        <v>2090*145</v>
      </c>
      <c r="H58" s="68" t="str">
        <f t="shared" si="2"/>
        <v>2090*147</v>
      </c>
      <c r="I58" s="70">
        <f>IF('쪽쟘(실측)'!F58&gt;0,'쪽쟘(실측)'!F58+0.5,0)</f>
        <v>0</v>
      </c>
      <c r="J58" s="50">
        <f>IF('쪽쟘(실측)'!H58&gt;0,'쪽쟘(실측)'!H58+0.5,0)</f>
        <v>0</v>
      </c>
      <c r="K58" s="50">
        <f>IF('쪽쟘(실측)'!F58&gt;0,'쪽쟘(실측)'!F58+1.5,0)</f>
        <v>0</v>
      </c>
      <c r="L58" s="50">
        <f>IF('쪽쟘(실측)'!G58&gt;0,'쪽쟘(실측)'!G58+1.5,0)</f>
        <v>0</v>
      </c>
      <c r="M58" s="50">
        <f>IF('쪽쟘(실측)'!H58&gt;0,'쪽쟘(실측)'!H58+1.5,0)</f>
        <v>0</v>
      </c>
      <c r="N58" s="50">
        <f>IF('쪽쟘(실측)'!I58&gt;0,'쪽쟘(실측)'!I58+1.5,0)</f>
        <v>0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1.2</v>
      </c>
      <c r="T58" s="50">
        <f>'쪽쟘(실측)'!O58+1.2</f>
        <v>1.2</v>
      </c>
      <c r="U58" s="50">
        <f>'쪽쟘(실측)'!P58</f>
        <v>0</v>
      </c>
      <c r="V58" s="50">
        <f>'쪽쟘(실측)'!Q58</f>
        <v>0</v>
      </c>
      <c r="W58" s="50" t="e">
        <f>'쪽쟘(실측)'!R58-늘치차감</f>
        <v>#NAME?</v>
      </c>
      <c r="X58" s="50" t="e">
        <f>'쪽쟘(실측)'!S58-늘치차감</f>
        <v>#NAME?</v>
      </c>
      <c r="Z58">
        <v>936</v>
      </c>
      <c r="AA58">
        <v>146.4</v>
      </c>
      <c r="AB58">
        <v>145</v>
      </c>
      <c r="AC58">
        <v>2090</v>
      </c>
      <c r="AD58">
        <v>147</v>
      </c>
      <c r="AE58">
        <v>2090</v>
      </c>
    </row>
    <row r="59" spans="1:31" ht="18.75" customHeight="1" x14ac:dyDescent="0.3">
      <c r="A59" s="50">
        <f>'쪽쟘(실측)'!A59</f>
        <v>0</v>
      </c>
      <c r="B59" s="50" t="str">
        <f>'쪽쟘(실측)'!B59&amp;"F"</f>
        <v>F</v>
      </c>
      <c r="C59" s="50" t="str">
        <f t="shared" si="0"/>
        <v>938*145.4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 t="shared" si="1"/>
        <v>2090*146</v>
      </c>
      <c r="H59" s="68" t="str">
        <f t="shared" si="2"/>
        <v>2090*148</v>
      </c>
      <c r="I59" s="70">
        <f>IF('쪽쟘(실측)'!F59&gt;0,'쪽쟘(실측)'!F59+0.5,0)</f>
        <v>0</v>
      </c>
      <c r="J59" s="50">
        <f>IF('쪽쟘(실측)'!H59&gt;0,'쪽쟘(실측)'!H59+0.5,0)</f>
        <v>0</v>
      </c>
      <c r="K59" s="50">
        <f>IF('쪽쟘(실측)'!F59&gt;0,'쪽쟘(실측)'!F59+1.5,0)</f>
        <v>0</v>
      </c>
      <c r="L59" s="50">
        <f>IF('쪽쟘(실측)'!G59&gt;0,'쪽쟘(실측)'!G59+1.5,0)</f>
        <v>0</v>
      </c>
      <c r="M59" s="50">
        <f>IF('쪽쟘(실측)'!H59&gt;0,'쪽쟘(실측)'!H59+1.5,0)</f>
        <v>0</v>
      </c>
      <c r="N59" s="50">
        <f>IF('쪽쟘(실측)'!I59&gt;0,'쪽쟘(실측)'!I59+1.5,0)</f>
        <v>0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1.2</v>
      </c>
      <c r="T59" s="50">
        <f>'쪽쟘(실측)'!O59+1.2</f>
        <v>1.2</v>
      </c>
      <c r="U59" s="50">
        <f>'쪽쟘(실측)'!P59</f>
        <v>0</v>
      </c>
      <c r="V59" s="50">
        <f>'쪽쟘(실측)'!Q59</f>
        <v>0</v>
      </c>
      <c r="W59" s="50" t="e">
        <f>'쪽쟘(실측)'!R59-늘치차감</f>
        <v>#NAME?</v>
      </c>
      <c r="X59" s="50" t="e">
        <f>'쪽쟘(실측)'!S59-늘치차감</f>
        <v>#NAME?</v>
      </c>
      <c r="Z59">
        <v>938</v>
      </c>
      <c r="AA59">
        <v>145.4</v>
      </c>
      <c r="AB59">
        <v>146</v>
      </c>
      <c r="AC59">
        <v>2090</v>
      </c>
      <c r="AD59">
        <v>148</v>
      </c>
      <c r="AE59">
        <v>2090</v>
      </c>
    </row>
    <row r="60" spans="1:31" ht="18.75" customHeight="1" x14ac:dyDescent="0.3">
      <c r="A60" s="50">
        <f>'쪽쟘(실측)'!A60</f>
        <v>0</v>
      </c>
      <c r="B60" s="50" t="str">
        <f>'쪽쟘(실측)'!B60&amp;"F"</f>
        <v>F</v>
      </c>
      <c r="C60" s="50" t="str">
        <f t="shared" si="0"/>
        <v>938*148.4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 t="shared" si="1"/>
        <v>2090*146</v>
      </c>
      <c r="H60" s="68" t="str">
        <f t="shared" si="2"/>
        <v>2090*148</v>
      </c>
      <c r="I60" s="70">
        <f>IF('쪽쟘(실측)'!F60&gt;0,'쪽쟘(실측)'!F60+0.5,0)</f>
        <v>0</v>
      </c>
      <c r="J60" s="50">
        <f>IF('쪽쟘(실측)'!H60&gt;0,'쪽쟘(실측)'!H60+0.5,0)</f>
        <v>0</v>
      </c>
      <c r="K60" s="50">
        <f>IF('쪽쟘(실측)'!F60&gt;0,'쪽쟘(실측)'!F60+1.5,0)</f>
        <v>0</v>
      </c>
      <c r="L60" s="50">
        <f>IF('쪽쟘(실측)'!G60&gt;0,'쪽쟘(실측)'!G60+1.5,0)</f>
        <v>0</v>
      </c>
      <c r="M60" s="50">
        <f>IF('쪽쟘(실측)'!H60&gt;0,'쪽쟘(실측)'!H60+1.5,0)</f>
        <v>0</v>
      </c>
      <c r="N60" s="50">
        <f>IF('쪽쟘(실측)'!I60&gt;0,'쪽쟘(실측)'!I60+1.5,0)</f>
        <v>0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1.2</v>
      </c>
      <c r="T60" s="50">
        <f>'쪽쟘(실측)'!O60+1.2</f>
        <v>1.2</v>
      </c>
      <c r="U60" s="50">
        <f>'쪽쟘(실측)'!P60</f>
        <v>0</v>
      </c>
      <c r="V60" s="50">
        <f>'쪽쟘(실측)'!Q60</f>
        <v>0</v>
      </c>
      <c r="W60" s="50" t="e">
        <f>'쪽쟘(실측)'!R60-늘치차감</f>
        <v>#NAME?</v>
      </c>
      <c r="X60" s="50" t="e">
        <f>'쪽쟘(실측)'!S60-늘치차감</f>
        <v>#NAME?</v>
      </c>
      <c r="Z60">
        <v>938</v>
      </c>
      <c r="AA60">
        <v>148.4</v>
      </c>
      <c r="AB60">
        <v>146</v>
      </c>
      <c r="AC60">
        <v>2090</v>
      </c>
      <c r="AD60">
        <v>148</v>
      </c>
      <c r="AE60">
        <v>2090</v>
      </c>
    </row>
    <row r="61" spans="1:31" ht="18.75" customHeight="1" x14ac:dyDescent="0.3">
      <c r="A61" s="50">
        <f>'쪽쟘(실측)'!A61</f>
        <v>0</v>
      </c>
      <c r="B61" s="50" t="str">
        <f>'쪽쟘(실측)'!B61&amp;"F"</f>
        <v>F</v>
      </c>
      <c r="C61" s="50" t="str">
        <f t="shared" si="0"/>
        <v>935*141.4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 t="shared" si="1"/>
        <v>2090*146</v>
      </c>
      <c r="H61" s="68" t="str">
        <f t="shared" si="2"/>
        <v>2090*145</v>
      </c>
      <c r="I61" s="70">
        <f>IF('쪽쟘(실측)'!F61&gt;0,'쪽쟘(실측)'!F61+0.5,0)</f>
        <v>0</v>
      </c>
      <c r="J61" s="50">
        <f>IF('쪽쟘(실측)'!H61&gt;0,'쪽쟘(실측)'!H61+0.5,0)</f>
        <v>0</v>
      </c>
      <c r="K61" s="50">
        <f>IF('쪽쟘(실측)'!F61&gt;0,'쪽쟘(실측)'!F61+1.5,0)</f>
        <v>0</v>
      </c>
      <c r="L61" s="50">
        <f>IF('쪽쟘(실측)'!G61&gt;0,'쪽쟘(실측)'!G61+1.5,0)</f>
        <v>0</v>
      </c>
      <c r="M61" s="50">
        <f>IF('쪽쟘(실측)'!H61&gt;0,'쪽쟘(실측)'!H61+1.5,0)</f>
        <v>0</v>
      </c>
      <c r="N61" s="50">
        <f>IF('쪽쟘(실측)'!I61&gt;0,'쪽쟘(실측)'!I61+1.5,0)</f>
        <v>0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1.2</v>
      </c>
      <c r="T61" s="50">
        <f>'쪽쟘(실측)'!O61+1.2</f>
        <v>1.2</v>
      </c>
      <c r="U61" s="50">
        <f>'쪽쟘(실측)'!P61</f>
        <v>0</v>
      </c>
      <c r="V61" s="50">
        <f>'쪽쟘(실측)'!Q61</f>
        <v>0</v>
      </c>
      <c r="W61" s="50" t="e">
        <f>'쪽쟘(실측)'!R61-늘치차감</f>
        <v>#NAME?</v>
      </c>
      <c r="X61" s="50" t="e">
        <f>'쪽쟘(실측)'!S61-늘치차감</f>
        <v>#NAME?</v>
      </c>
      <c r="Z61">
        <v>935</v>
      </c>
      <c r="AA61">
        <v>141.4</v>
      </c>
      <c r="AB61">
        <v>146</v>
      </c>
      <c r="AC61">
        <v>2090</v>
      </c>
      <c r="AD61">
        <v>145</v>
      </c>
      <c r="AE61">
        <v>2090</v>
      </c>
    </row>
    <row r="62" spans="1:31" ht="18.75" customHeight="1" thickBot="1" x14ac:dyDescent="0.35">
      <c r="A62" s="165">
        <f>'쪽쟘(실측)'!A62</f>
        <v>0</v>
      </c>
      <c r="B62" s="165" t="str">
        <f>'쪽쟘(실측)'!B62&amp;"F"</f>
        <v>F</v>
      </c>
      <c r="C62" s="165" t="str">
        <f t="shared" si="0"/>
        <v>932*145.4</v>
      </c>
      <c r="D62" s="165" t="e">
        <f>'쪽쟘(실측)'!C62-OP차감</f>
        <v>#NAME?</v>
      </c>
      <c r="E62" s="165" t="e">
        <f>'쪽쟘(실측)'!D62+쪽쟘J늘림+MAX(W62:X62)</f>
        <v>#VALUE!</v>
      </c>
      <c r="F62" s="165" t="e">
        <f>'쪽쟘(실측)'!E62+쪽쟘J늘림+MAX(W62:X62)</f>
        <v>#VALUE!</v>
      </c>
      <c r="G62" s="166" t="str">
        <f t="shared" si="1"/>
        <v>2090*143</v>
      </c>
      <c r="H62" s="167" t="str">
        <f t="shared" si="2"/>
        <v>2090*145</v>
      </c>
      <c r="I62" s="70">
        <f>IF('쪽쟘(실측)'!F62&gt;0,'쪽쟘(실측)'!F62+0.5,0)</f>
        <v>0</v>
      </c>
      <c r="J62" s="50">
        <f>IF('쪽쟘(실측)'!H62&gt;0,'쪽쟘(실측)'!H62+0.5,0)</f>
        <v>0</v>
      </c>
      <c r="K62" s="50">
        <f>IF('쪽쟘(실측)'!F62&gt;0,'쪽쟘(실측)'!F62+1.5,0)</f>
        <v>0</v>
      </c>
      <c r="L62" s="50">
        <f>IF('쪽쟘(실측)'!G62&gt;0,'쪽쟘(실측)'!G62+1.5,0)</f>
        <v>0</v>
      </c>
      <c r="M62" s="50">
        <f>IF('쪽쟘(실측)'!H62&gt;0,'쪽쟘(실측)'!H62+1.5,0)</f>
        <v>0</v>
      </c>
      <c r="N62" s="50">
        <f>IF('쪽쟘(실측)'!I62&gt;0,'쪽쟘(실측)'!I62+1.5,0)</f>
        <v>0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1.2</v>
      </c>
      <c r="T62" s="50">
        <f>'쪽쟘(실측)'!O62+1.2</f>
        <v>1.2</v>
      </c>
      <c r="U62" s="50">
        <f>'쪽쟘(실측)'!P62</f>
        <v>0</v>
      </c>
      <c r="V62" s="50">
        <f>'쪽쟘(실측)'!Q62</f>
        <v>0</v>
      </c>
      <c r="W62" s="50" t="e">
        <f>'쪽쟘(실측)'!R62-늘치차감</f>
        <v>#NAME?</v>
      </c>
      <c r="X62" s="50" t="e">
        <f>'쪽쟘(실측)'!S62-늘치차감</f>
        <v>#NAME?</v>
      </c>
      <c r="Z62">
        <v>932</v>
      </c>
      <c r="AA62">
        <v>145.4</v>
      </c>
      <c r="AB62">
        <v>143</v>
      </c>
      <c r="AC62">
        <v>2090</v>
      </c>
      <c r="AD62">
        <v>145</v>
      </c>
      <c r="AE62">
        <v>2090</v>
      </c>
    </row>
    <row r="63" spans="1:31" ht="18.75" customHeight="1" x14ac:dyDescent="0.3">
      <c r="A63" s="162">
        <f>'쪽쟘(실측)'!A63</f>
        <v>0</v>
      </c>
      <c r="B63" s="162" t="str">
        <f>'쪽쟘(실측)'!B63&amp;"F"</f>
        <v>F</v>
      </c>
      <c r="C63" s="162" t="str">
        <f t="shared" si="0"/>
        <v>940*149.4</v>
      </c>
      <c r="D63" s="162" t="e">
        <f>'쪽쟘(실측)'!C63-OP차감</f>
        <v>#NAME?</v>
      </c>
      <c r="E63" s="162" t="e">
        <f>'쪽쟘(실측)'!D63+쪽쟘J늘림+MAX(W63:X63)</f>
        <v>#VALUE!</v>
      </c>
      <c r="F63" s="162" t="e">
        <f>'쪽쟘(실측)'!E63+쪽쟘J늘림+MAX(W63:X63)</f>
        <v>#VALUE!</v>
      </c>
      <c r="G63" s="163" t="str">
        <f t="shared" si="1"/>
        <v>*</v>
      </c>
      <c r="H63" s="164" t="str">
        <f t="shared" si="2"/>
        <v>*</v>
      </c>
      <c r="I63" s="70">
        <f>IF('쪽쟘(실측)'!F63&gt;0,'쪽쟘(실측)'!F63+0.5,0)</f>
        <v>0</v>
      </c>
      <c r="J63" s="50">
        <f>IF('쪽쟘(실측)'!H63&gt;0,'쪽쟘(실측)'!H63+0.5,0)</f>
        <v>0</v>
      </c>
      <c r="K63" s="50">
        <f>IF('쪽쟘(실측)'!F63&gt;0,'쪽쟘(실측)'!F63+1.5,0)</f>
        <v>0</v>
      </c>
      <c r="L63" s="50">
        <f>IF('쪽쟘(실측)'!G63&gt;0,'쪽쟘(실측)'!G63+1.5,0)</f>
        <v>0</v>
      </c>
      <c r="M63" s="50">
        <f>IF('쪽쟘(실측)'!H63&gt;0,'쪽쟘(실측)'!H63+1.5,0)</f>
        <v>0</v>
      </c>
      <c r="N63" s="50">
        <f>IF('쪽쟘(실측)'!I63&gt;0,'쪽쟘(실측)'!I63+1.5,0)</f>
        <v>0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1.2</v>
      </c>
      <c r="T63" s="50">
        <f>'쪽쟘(실측)'!O63+1.2</f>
        <v>1.2</v>
      </c>
      <c r="U63" s="50">
        <f>'쪽쟘(실측)'!P63</f>
        <v>0</v>
      </c>
      <c r="V63" s="50">
        <f>'쪽쟘(실측)'!Q63</f>
        <v>0</v>
      </c>
      <c r="W63" s="50" t="e">
        <f>'쪽쟘(실측)'!R63-늘치차감</f>
        <v>#NAME?</v>
      </c>
      <c r="X63" s="50" t="e">
        <f>'쪽쟘(실측)'!S63-늘치차감</f>
        <v>#NAME?</v>
      </c>
      <c r="Z63">
        <v>940</v>
      </c>
      <c r="AA63">
        <v>149.4</v>
      </c>
    </row>
    <row r="64" spans="1:31" ht="18.75" customHeight="1" x14ac:dyDescent="0.3">
      <c r="A64" s="50">
        <f>'쪽쟘(실측)'!A64</f>
        <v>0</v>
      </c>
      <c r="B64" s="50" t="str">
        <f>'쪽쟘(실측)'!B64&amp;"F"</f>
        <v>F</v>
      </c>
      <c r="C64" s="50" t="str">
        <f t="shared" si="0"/>
        <v>942*152.4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 t="shared" si="1"/>
        <v>2090*150</v>
      </c>
      <c r="H64" s="68" t="str">
        <f t="shared" si="2"/>
        <v>2090*148</v>
      </c>
      <c r="I64" s="70">
        <f>IF('쪽쟘(실측)'!F64&gt;0,'쪽쟘(실측)'!F64+0.5,0)</f>
        <v>0</v>
      </c>
      <c r="J64" s="50">
        <f>IF('쪽쟘(실측)'!H64&gt;0,'쪽쟘(실측)'!H64+0.5,0)</f>
        <v>0</v>
      </c>
      <c r="K64" s="50">
        <f>IF('쪽쟘(실측)'!F64&gt;0,'쪽쟘(실측)'!F64+1.5,0)</f>
        <v>0</v>
      </c>
      <c r="L64" s="50">
        <f>IF('쪽쟘(실측)'!G64&gt;0,'쪽쟘(실측)'!G64+1.5,0)</f>
        <v>0</v>
      </c>
      <c r="M64" s="50">
        <f>IF('쪽쟘(실측)'!H64&gt;0,'쪽쟘(실측)'!H64+1.5,0)</f>
        <v>0</v>
      </c>
      <c r="N64" s="50">
        <f>IF('쪽쟘(실측)'!I64&gt;0,'쪽쟘(실측)'!I64+1.5,0)</f>
        <v>0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1.2</v>
      </c>
      <c r="T64" s="50">
        <f>'쪽쟘(실측)'!O64+1.2</f>
        <v>1.2</v>
      </c>
      <c r="U64" s="50">
        <f>'쪽쟘(실측)'!P64</f>
        <v>0</v>
      </c>
      <c r="V64" s="50">
        <f>'쪽쟘(실측)'!Q64</f>
        <v>0</v>
      </c>
      <c r="W64" s="50" t="e">
        <f>'쪽쟘(실측)'!R64-늘치차감</f>
        <v>#NAME?</v>
      </c>
      <c r="X64" s="50" t="e">
        <f>'쪽쟘(실측)'!S64-늘치차감</f>
        <v>#NAME?</v>
      </c>
      <c r="Z64">
        <v>942</v>
      </c>
      <c r="AA64">
        <v>152.4</v>
      </c>
      <c r="AB64">
        <v>150</v>
      </c>
      <c r="AC64">
        <v>2090</v>
      </c>
      <c r="AD64">
        <v>148</v>
      </c>
      <c r="AE64">
        <v>2090</v>
      </c>
    </row>
    <row r="65" spans="1:31" ht="18.75" customHeight="1" x14ac:dyDescent="0.3">
      <c r="A65" s="50">
        <f>'쪽쟘(실측)'!A65</f>
        <v>0</v>
      </c>
      <c r="B65" s="50" t="str">
        <f>'쪽쟘(실측)'!B65&amp;"F"</f>
        <v>F</v>
      </c>
      <c r="C65" s="50" t="str">
        <f t="shared" si="0"/>
        <v>933*146.4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 t="shared" si="1"/>
        <v>*</v>
      </c>
      <c r="H65" s="68" t="str">
        <f t="shared" si="2"/>
        <v>2090*145</v>
      </c>
      <c r="I65" s="70">
        <f>IF('쪽쟘(실측)'!F65&gt;0,'쪽쟘(실측)'!F65+0.5,0)</f>
        <v>0</v>
      </c>
      <c r="J65" s="50">
        <f>IF('쪽쟘(실측)'!H65&gt;0,'쪽쟘(실측)'!H65+0.5,0)</f>
        <v>0</v>
      </c>
      <c r="K65" s="50">
        <f>IF('쪽쟘(실측)'!F65&gt;0,'쪽쟘(실측)'!F65+1.5,0)</f>
        <v>0</v>
      </c>
      <c r="L65" s="50">
        <f>IF('쪽쟘(실측)'!G65&gt;0,'쪽쟘(실측)'!G65+1.5,0)</f>
        <v>0</v>
      </c>
      <c r="M65" s="50">
        <f>IF('쪽쟘(실측)'!H65&gt;0,'쪽쟘(실측)'!H65+1.5,0)</f>
        <v>0</v>
      </c>
      <c r="N65" s="50">
        <f>IF('쪽쟘(실측)'!I65&gt;0,'쪽쟘(실측)'!I65+1.5,0)</f>
        <v>0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1.2</v>
      </c>
      <c r="T65" s="50">
        <f>'쪽쟘(실측)'!O65+1.2</f>
        <v>1.2</v>
      </c>
      <c r="U65" s="50">
        <f>'쪽쟘(실측)'!P65</f>
        <v>0</v>
      </c>
      <c r="V65" s="50">
        <f>'쪽쟘(실측)'!Q65</f>
        <v>0</v>
      </c>
      <c r="W65" s="50" t="e">
        <f>'쪽쟘(실측)'!R65-늘치차감</f>
        <v>#NAME?</v>
      </c>
      <c r="X65" s="50" t="e">
        <f>'쪽쟘(실측)'!S65-늘치차감</f>
        <v>#NAME?</v>
      </c>
      <c r="Z65">
        <v>933</v>
      </c>
      <c r="AA65">
        <v>146.4</v>
      </c>
      <c r="AD65">
        <v>145</v>
      </c>
      <c r="AE65">
        <v>2090</v>
      </c>
    </row>
    <row r="66" spans="1:31" ht="18.75" customHeight="1" x14ac:dyDescent="0.3">
      <c r="A66" s="50">
        <f>'쪽쟘(실측)'!A66</f>
        <v>0</v>
      </c>
      <c r="B66" s="50" t="str">
        <f>'쪽쟘(실측)'!B66&amp;"F"</f>
        <v>F</v>
      </c>
      <c r="C66" s="50" t="str">
        <f t="shared" si="0"/>
        <v>943*149.4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 t="shared" si="1"/>
        <v>2090*150</v>
      </c>
      <c r="H66" s="68" t="str">
        <f t="shared" si="2"/>
        <v>2090*149</v>
      </c>
      <c r="I66" s="70">
        <f>IF('쪽쟘(실측)'!F66&gt;0,'쪽쟘(실측)'!F66+0.5,0)</f>
        <v>0</v>
      </c>
      <c r="J66" s="50">
        <f>IF('쪽쟘(실측)'!H66&gt;0,'쪽쟘(실측)'!H66+0.5,0)</f>
        <v>0</v>
      </c>
      <c r="K66" s="50">
        <f>IF('쪽쟘(실측)'!F66&gt;0,'쪽쟘(실측)'!F66+1.5,0)</f>
        <v>0</v>
      </c>
      <c r="L66" s="50">
        <f>IF('쪽쟘(실측)'!G66&gt;0,'쪽쟘(실측)'!G66+1.5,0)</f>
        <v>0</v>
      </c>
      <c r="M66" s="50">
        <f>IF('쪽쟘(실측)'!H66&gt;0,'쪽쟘(실측)'!H66+1.5,0)</f>
        <v>0</v>
      </c>
      <c r="N66" s="50">
        <f>IF('쪽쟘(실측)'!I66&gt;0,'쪽쟘(실측)'!I66+1.5,0)</f>
        <v>0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1.2</v>
      </c>
      <c r="T66" s="50">
        <f>'쪽쟘(실측)'!O66+1.2</f>
        <v>1.2</v>
      </c>
      <c r="U66" s="50">
        <f>'쪽쟘(실측)'!P66</f>
        <v>0</v>
      </c>
      <c r="V66" s="50">
        <f>'쪽쟘(실측)'!Q66</f>
        <v>0</v>
      </c>
      <c r="W66" s="50" t="e">
        <f>'쪽쟘(실측)'!R66-늘치차감</f>
        <v>#NAME?</v>
      </c>
      <c r="X66" s="50" t="e">
        <f>'쪽쟘(실측)'!S66-늘치차감</f>
        <v>#NAME?</v>
      </c>
      <c r="Z66">
        <v>943</v>
      </c>
      <c r="AA66">
        <v>149.4</v>
      </c>
      <c r="AB66">
        <v>150</v>
      </c>
      <c r="AC66">
        <v>2090</v>
      </c>
      <c r="AD66">
        <v>149</v>
      </c>
      <c r="AE66">
        <v>2090</v>
      </c>
    </row>
    <row r="67" spans="1:31" ht="18.75" customHeight="1" x14ac:dyDescent="0.3">
      <c r="A67" s="50">
        <f>'쪽쟘(실측)'!A67</f>
        <v>0</v>
      </c>
      <c r="B67" s="50" t="str">
        <f>'쪽쟘(실측)'!B67&amp;"F"</f>
        <v>F</v>
      </c>
      <c r="C67" s="50" t="str">
        <f t="shared" si="0"/>
        <v>941*150.4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 t="shared" si="1"/>
        <v>2090*147</v>
      </c>
      <c r="H67" s="68" t="str">
        <f t="shared" si="2"/>
        <v>2090*150</v>
      </c>
      <c r="I67" s="70">
        <f>IF('쪽쟘(실측)'!F67&gt;0,'쪽쟘(실측)'!F67+0.5,0)</f>
        <v>0</v>
      </c>
      <c r="J67" s="50">
        <f>IF('쪽쟘(실측)'!H67&gt;0,'쪽쟘(실측)'!H67+0.5,0)</f>
        <v>0</v>
      </c>
      <c r="K67" s="50">
        <f>IF('쪽쟘(실측)'!F67&gt;0,'쪽쟘(실측)'!F67+1.5,0)</f>
        <v>0</v>
      </c>
      <c r="L67" s="50">
        <f>IF('쪽쟘(실측)'!G67&gt;0,'쪽쟘(실측)'!G67+1.5,0)</f>
        <v>0</v>
      </c>
      <c r="M67" s="50">
        <f>IF('쪽쟘(실측)'!H67&gt;0,'쪽쟘(실측)'!H67+1.5,0)</f>
        <v>0</v>
      </c>
      <c r="N67" s="50">
        <f>IF('쪽쟘(실측)'!I67&gt;0,'쪽쟘(실측)'!I67+1.5,0)</f>
        <v>0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1.2</v>
      </c>
      <c r="T67" s="50">
        <f>'쪽쟘(실측)'!O67+1.2</f>
        <v>1.2</v>
      </c>
      <c r="U67" s="50">
        <f>'쪽쟘(실측)'!P67</f>
        <v>0</v>
      </c>
      <c r="V67" s="50">
        <f>'쪽쟘(실측)'!Q67</f>
        <v>0</v>
      </c>
      <c r="W67" s="50" t="e">
        <f>'쪽쟘(실측)'!R67-늘치차감</f>
        <v>#NAME?</v>
      </c>
      <c r="X67" s="50" t="e">
        <f>'쪽쟘(실측)'!S67-늘치차감</f>
        <v>#NAME?</v>
      </c>
      <c r="Z67">
        <v>941</v>
      </c>
      <c r="AA67">
        <v>150.4</v>
      </c>
      <c r="AB67">
        <v>147</v>
      </c>
      <c r="AC67">
        <v>2090</v>
      </c>
      <c r="AD67">
        <v>150</v>
      </c>
      <c r="AE67">
        <v>2090</v>
      </c>
    </row>
    <row r="68" spans="1:31" ht="18.75" customHeight="1" x14ac:dyDescent="0.3">
      <c r="A68" s="50">
        <f>'쪽쟘(실측)'!A68</f>
        <v>0</v>
      </c>
      <c r="B68" s="50" t="str">
        <f>'쪽쟘(실측)'!B68&amp;"F"</f>
        <v>F</v>
      </c>
      <c r="C68" s="50" t="str">
        <f t="shared" si="0"/>
        <v>941*149.4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 t="shared" si="1"/>
        <v>2090*148</v>
      </c>
      <c r="H68" s="68" t="str">
        <f t="shared" si="2"/>
        <v>2090*149</v>
      </c>
      <c r="I68" s="70">
        <f>IF('쪽쟘(실측)'!F68&gt;0,'쪽쟘(실측)'!F68+0.5,0)</f>
        <v>0</v>
      </c>
      <c r="J68" s="50">
        <f>IF('쪽쟘(실측)'!H68&gt;0,'쪽쟘(실측)'!H68+0.5,0)</f>
        <v>0</v>
      </c>
      <c r="K68" s="50">
        <f>IF('쪽쟘(실측)'!F68&gt;0,'쪽쟘(실측)'!F68+1.5,0)</f>
        <v>0</v>
      </c>
      <c r="L68" s="50">
        <f>IF('쪽쟘(실측)'!G68&gt;0,'쪽쟘(실측)'!G68+1.5,0)</f>
        <v>0</v>
      </c>
      <c r="M68" s="50">
        <f>IF('쪽쟘(실측)'!H68&gt;0,'쪽쟘(실측)'!H68+1.5,0)</f>
        <v>0</v>
      </c>
      <c r="N68" s="50">
        <f>IF('쪽쟘(실측)'!I68&gt;0,'쪽쟘(실측)'!I68+1.5,0)</f>
        <v>0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1.2</v>
      </c>
      <c r="T68" s="50">
        <f>'쪽쟘(실측)'!O68+1.2</f>
        <v>1.2</v>
      </c>
      <c r="U68" s="50">
        <f>'쪽쟘(실측)'!P68</f>
        <v>0</v>
      </c>
      <c r="V68" s="50">
        <f>'쪽쟘(실측)'!Q68</f>
        <v>0</v>
      </c>
      <c r="W68" s="50" t="e">
        <f>'쪽쟘(실측)'!R68-늘치차감</f>
        <v>#NAME?</v>
      </c>
      <c r="X68" s="50" t="e">
        <f>'쪽쟘(실측)'!S68-늘치차감</f>
        <v>#NAME?</v>
      </c>
      <c r="Z68">
        <v>941</v>
      </c>
      <c r="AA68">
        <v>149.4</v>
      </c>
      <c r="AB68">
        <v>148</v>
      </c>
      <c r="AC68">
        <v>2090</v>
      </c>
      <c r="AD68">
        <v>149</v>
      </c>
      <c r="AE68">
        <v>2090</v>
      </c>
    </row>
    <row r="69" spans="1:31" ht="18.75" customHeight="1" x14ac:dyDescent="0.3">
      <c r="A69" s="50">
        <f>'쪽쟘(실측)'!A69</f>
        <v>0</v>
      </c>
      <c r="B69" s="50" t="str">
        <f>'쪽쟘(실측)'!B69&amp;"F"</f>
        <v>F</v>
      </c>
      <c r="C69" s="50" t="str">
        <f t="shared" si="0"/>
        <v>944*149.4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 t="shared" si="1"/>
        <v>2090*150</v>
      </c>
      <c r="H69" s="68" t="str">
        <f t="shared" si="2"/>
        <v>*</v>
      </c>
      <c r="I69" s="70">
        <f>IF('쪽쟘(실측)'!F69&gt;0,'쪽쟘(실측)'!F69+0.5,0)</f>
        <v>0</v>
      </c>
      <c r="J69" s="50">
        <f>IF('쪽쟘(실측)'!H69&gt;0,'쪽쟘(실측)'!H69+0.5,0)</f>
        <v>0</v>
      </c>
      <c r="K69" s="50">
        <f>IF('쪽쟘(실측)'!F69&gt;0,'쪽쟘(실측)'!F69+1.5,0)</f>
        <v>0</v>
      </c>
      <c r="L69" s="50">
        <f>IF('쪽쟘(실측)'!G69&gt;0,'쪽쟘(실측)'!G69+1.5,0)</f>
        <v>0</v>
      </c>
      <c r="M69" s="50">
        <f>IF('쪽쟘(실측)'!H69&gt;0,'쪽쟘(실측)'!H69+1.5,0)</f>
        <v>0</v>
      </c>
      <c r="N69" s="50">
        <f>IF('쪽쟘(실측)'!I69&gt;0,'쪽쟘(실측)'!I69+1.5,0)</f>
        <v>0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1.2</v>
      </c>
      <c r="T69" s="50">
        <f>'쪽쟘(실측)'!O69+1.2</f>
        <v>1.2</v>
      </c>
      <c r="U69" s="50">
        <f>'쪽쟘(실측)'!P69</f>
        <v>0</v>
      </c>
      <c r="V69" s="50">
        <f>'쪽쟘(실측)'!Q69</f>
        <v>0</v>
      </c>
      <c r="W69" s="50" t="e">
        <f>'쪽쟘(실측)'!R69-늘치차감</f>
        <v>#NAME?</v>
      </c>
      <c r="X69" s="50" t="e">
        <f>'쪽쟘(실측)'!S69-늘치차감</f>
        <v>#NAME?</v>
      </c>
      <c r="Z69">
        <v>944</v>
      </c>
      <c r="AA69">
        <v>149.4</v>
      </c>
      <c r="AB69">
        <v>150</v>
      </c>
      <c r="AC69">
        <v>2090</v>
      </c>
    </row>
    <row r="70" spans="1:31" ht="18.75" customHeight="1" x14ac:dyDescent="0.3">
      <c r="A70" s="50">
        <f>'쪽쟘(실측)'!A70</f>
        <v>0</v>
      </c>
      <c r="B70" s="50" t="str">
        <f>'쪽쟘(실측)'!B70&amp;"F"</f>
        <v>F</v>
      </c>
      <c r="C70" s="50" t="str">
        <f t="shared" si="0"/>
        <v>938*154.4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 t="shared" si="1"/>
        <v>2090*148</v>
      </c>
      <c r="H70" s="68" t="str">
        <f t="shared" si="2"/>
        <v>2090*146</v>
      </c>
      <c r="I70" s="70">
        <f>IF('쪽쟘(실측)'!F70&gt;0,'쪽쟘(실측)'!F70+0.5,0)</f>
        <v>0</v>
      </c>
      <c r="J70" s="50">
        <f>IF('쪽쟘(실측)'!H70&gt;0,'쪽쟘(실측)'!H70+0.5,0)</f>
        <v>0</v>
      </c>
      <c r="K70" s="50">
        <f>IF('쪽쟘(실측)'!F70&gt;0,'쪽쟘(실측)'!F70+1.5,0)</f>
        <v>0</v>
      </c>
      <c r="L70" s="50">
        <f>IF('쪽쟘(실측)'!G70&gt;0,'쪽쟘(실측)'!G70+1.5,0)</f>
        <v>0</v>
      </c>
      <c r="M70" s="50">
        <f>IF('쪽쟘(실측)'!H70&gt;0,'쪽쟘(실측)'!H70+1.5,0)</f>
        <v>0</v>
      </c>
      <c r="N70" s="50">
        <f>IF('쪽쟘(실측)'!I70&gt;0,'쪽쟘(실측)'!I70+1.5,0)</f>
        <v>0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1.2</v>
      </c>
      <c r="T70" s="50">
        <f>'쪽쟘(실측)'!O70+1.2</f>
        <v>1.2</v>
      </c>
      <c r="U70" s="50">
        <f>'쪽쟘(실측)'!P70</f>
        <v>0</v>
      </c>
      <c r="V70" s="50">
        <f>'쪽쟘(실측)'!Q70</f>
        <v>0</v>
      </c>
      <c r="W70" s="50" t="e">
        <f>'쪽쟘(실측)'!R70-늘치차감</f>
        <v>#NAME?</v>
      </c>
      <c r="X70" s="50" t="e">
        <f>'쪽쟘(실측)'!S70-늘치차감</f>
        <v>#NAME?</v>
      </c>
      <c r="Z70">
        <v>938</v>
      </c>
      <c r="AA70">
        <v>154.4</v>
      </c>
      <c r="AB70">
        <v>148</v>
      </c>
      <c r="AC70">
        <v>2090</v>
      </c>
      <c r="AD70">
        <v>146</v>
      </c>
      <c r="AE70">
        <v>2090</v>
      </c>
    </row>
    <row r="71" spans="1:31" ht="18.75" customHeight="1" x14ac:dyDescent="0.3">
      <c r="A71" s="50">
        <f>'쪽쟘(실측)'!A71</f>
        <v>0</v>
      </c>
      <c r="B71" s="50" t="str">
        <f>'쪽쟘(실측)'!B71&amp;"F"</f>
        <v>F</v>
      </c>
      <c r="C71" s="50" t="str">
        <f t="shared" si="0"/>
        <v>938*154.4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 t="shared" si="1"/>
        <v>2090*149</v>
      </c>
      <c r="H71" s="68" t="str">
        <f t="shared" si="2"/>
        <v>2090*145</v>
      </c>
      <c r="I71" s="70">
        <f>IF('쪽쟘(실측)'!F71&gt;0,'쪽쟘(실측)'!F71+0.5,0)</f>
        <v>0</v>
      </c>
      <c r="J71" s="50">
        <f>IF('쪽쟘(실측)'!H71&gt;0,'쪽쟘(실측)'!H71+0.5,0)</f>
        <v>0</v>
      </c>
      <c r="K71" s="50">
        <f>IF('쪽쟘(실측)'!F71&gt;0,'쪽쟘(실측)'!F71+1.5,0)</f>
        <v>0</v>
      </c>
      <c r="L71" s="50">
        <f>IF('쪽쟘(실측)'!G71&gt;0,'쪽쟘(실측)'!G71+1.5,0)</f>
        <v>0</v>
      </c>
      <c r="M71" s="50">
        <f>IF('쪽쟘(실측)'!H71&gt;0,'쪽쟘(실측)'!H71+1.5,0)</f>
        <v>0</v>
      </c>
      <c r="N71" s="50">
        <f>IF('쪽쟘(실측)'!I71&gt;0,'쪽쟘(실측)'!I71+1.5,0)</f>
        <v>0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1.2</v>
      </c>
      <c r="T71" s="50">
        <f>'쪽쟘(실측)'!O71+1.2</f>
        <v>1.2</v>
      </c>
      <c r="U71" s="50">
        <f>'쪽쟘(실측)'!P71</f>
        <v>0</v>
      </c>
      <c r="V71" s="50">
        <f>'쪽쟘(실측)'!Q71</f>
        <v>0</v>
      </c>
      <c r="W71" s="50" t="e">
        <f>'쪽쟘(실측)'!R71-늘치차감</f>
        <v>#NAME?</v>
      </c>
      <c r="X71" s="50" t="e">
        <f>'쪽쟘(실측)'!S71-늘치차감</f>
        <v>#NAME?</v>
      </c>
      <c r="Z71">
        <v>938</v>
      </c>
      <c r="AA71">
        <v>154.4</v>
      </c>
      <c r="AB71">
        <v>149</v>
      </c>
      <c r="AC71">
        <v>2090</v>
      </c>
      <c r="AD71">
        <v>145</v>
      </c>
      <c r="AE71">
        <v>2090</v>
      </c>
    </row>
    <row r="72" spans="1:31" ht="18.75" customHeight="1" x14ac:dyDescent="0.3">
      <c r="A72" s="50">
        <f>'쪽쟘(실측)'!A72</f>
        <v>0</v>
      </c>
      <c r="B72" s="50" t="str">
        <f>'쪽쟘(실측)'!B72&amp;"F"</f>
        <v>F</v>
      </c>
      <c r="C72" s="50" t="str">
        <f t="shared" ref="C72:C118" si="3">Z72&amp;"*"&amp;AA72</f>
        <v>939*153.4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 t="shared" ref="G72:G118" si="4">AC72&amp;"*"&amp;AB72</f>
        <v>2090*148</v>
      </c>
      <c r="H72" s="68" t="str">
        <f t="shared" ref="H72:H118" si="5">AE72&amp;"*"&amp;AD72</f>
        <v>2090*147</v>
      </c>
      <c r="I72" s="70">
        <f>IF('쪽쟘(실측)'!F72&gt;0,'쪽쟘(실측)'!F72+0.5,0)</f>
        <v>0</v>
      </c>
      <c r="J72" s="50">
        <f>IF('쪽쟘(실측)'!H72&gt;0,'쪽쟘(실측)'!H72+0.5,0)</f>
        <v>0</v>
      </c>
      <c r="K72" s="50">
        <f>IF('쪽쟘(실측)'!F72&gt;0,'쪽쟘(실측)'!F72+1.5,0)</f>
        <v>0</v>
      </c>
      <c r="L72" s="50">
        <f>IF('쪽쟘(실측)'!G72&gt;0,'쪽쟘(실측)'!G72+1.5,0)</f>
        <v>0</v>
      </c>
      <c r="M72" s="50">
        <f>IF('쪽쟘(실측)'!H72&gt;0,'쪽쟘(실측)'!H72+1.5,0)</f>
        <v>0</v>
      </c>
      <c r="N72" s="50">
        <f>IF('쪽쟘(실측)'!I72&gt;0,'쪽쟘(실측)'!I72+1.5,0)</f>
        <v>0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1.2</v>
      </c>
      <c r="T72" s="50">
        <f>'쪽쟘(실측)'!O72+1.2</f>
        <v>1.2</v>
      </c>
      <c r="U72" s="50">
        <f>'쪽쟘(실측)'!P72</f>
        <v>0</v>
      </c>
      <c r="V72" s="50">
        <f>'쪽쟘(실측)'!Q72</f>
        <v>0</v>
      </c>
      <c r="W72" s="50" t="e">
        <f>'쪽쟘(실측)'!R72-늘치차감</f>
        <v>#NAME?</v>
      </c>
      <c r="X72" s="50" t="e">
        <f>'쪽쟘(실측)'!S72-늘치차감</f>
        <v>#NAME?</v>
      </c>
      <c r="Z72">
        <v>939</v>
      </c>
      <c r="AA72">
        <v>153.4</v>
      </c>
      <c r="AB72">
        <v>148</v>
      </c>
      <c r="AC72">
        <v>2090</v>
      </c>
      <c r="AD72">
        <v>147</v>
      </c>
      <c r="AE72">
        <v>2090</v>
      </c>
    </row>
    <row r="73" spans="1:31" ht="18.75" customHeight="1" x14ac:dyDescent="0.3">
      <c r="A73" s="50">
        <f>'쪽쟘(실측)'!A73</f>
        <v>0</v>
      </c>
      <c r="B73" s="50" t="str">
        <f>'쪽쟘(실측)'!B73&amp;"F"</f>
        <v>F</v>
      </c>
      <c r="C73" s="50" t="str">
        <f t="shared" si="3"/>
        <v>938*149.4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 t="shared" si="4"/>
        <v>*</v>
      </c>
      <c r="H73" s="68" t="str">
        <f t="shared" si="5"/>
        <v>2090*148</v>
      </c>
      <c r="I73" s="70">
        <f>IF('쪽쟘(실측)'!F73&gt;0,'쪽쟘(실측)'!F73+0.5,0)</f>
        <v>0</v>
      </c>
      <c r="J73" s="50">
        <f>IF('쪽쟘(실측)'!H73&gt;0,'쪽쟘(실측)'!H73+0.5,0)</f>
        <v>0</v>
      </c>
      <c r="K73" s="50">
        <f>IF('쪽쟘(실측)'!F73&gt;0,'쪽쟘(실측)'!F73+1.5,0)</f>
        <v>0</v>
      </c>
      <c r="L73" s="50">
        <f>IF('쪽쟘(실측)'!G73&gt;0,'쪽쟘(실측)'!G73+1.5,0)</f>
        <v>0</v>
      </c>
      <c r="M73" s="50">
        <f>IF('쪽쟘(실측)'!H73&gt;0,'쪽쟘(실측)'!H73+1.5,0)</f>
        <v>0</v>
      </c>
      <c r="N73" s="50">
        <f>IF('쪽쟘(실측)'!I73&gt;0,'쪽쟘(실측)'!I73+1.5,0)</f>
        <v>0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1.2</v>
      </c>
      <c r="T73" s="50">
        <f>'쪽쟘(실측)'!O73+1.2</f>
        <v>1.2</v>
      </c>
      <c r="U73" s="50">
        <f>'쪽쟘(실측)'!P73</f>
        <v>0</v>
      </c>
      <c r="V73" s="50">
        <f>'쪽쟘(실측)'!Q73</f>
        <v>0</v>
      </c>
      <c r="W73" s="50" t="e">
        <f>'쪽쟘(실측)'!R73-늘치차감</f>
        <v>#NAME?</v>
      </c>
      <c r="X73" s="50" t="e">
        <f>'쪽쟘(실측)'!S73-늘치차감</f>
        <v>#NAME?</v>
      </c>
      <c r="Z73">
        <v>938</v>
      </c>
      <c r="AA73">
        <v>149.4</v>
      </c>
      <c r="AD73">
        <v>148</v>
      </c>
      <c r="AE73">
        <v>2090</v>
      </c>
    </row>
    <row r="74" spans="1:31" ht="18.75" customHeight="1" x14ac:dyDescent="0.3">
      <c r="A74" s="50">
        <f>'쪽쟘(실측)'!A74</f>
        <v>0</v>
      </c>
      <c r="B74" s="50" t="str">
        <f>'쪽쟘(실측)'!B74&amp;"F"</f>
        <v>F</v>
      </c>
      <c r="C74" s="50" t="str">
        <f t="shared" si="3"/>
        <v>936*154.4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 t="shared" si="4"/>
        <v>*</v>
      </c>
      <c r="H74" s="68" t="str">
        <f t="shared" si="5"/>
        <v>2090*146</v>
      </c>
      <c r="I74" s="70">
        <f>IF('쪽쟘(실측)'!F74&gt;0,'쪽쟘(실측)'!F74+0.5,0)</f>
        <v>0</v>
      </c>
      <c r="J74" s="50">
        <f>IF('쪽쟘(실측)'!H74&gt;0,'쪽쟘(실측)'!H74+0.5,0)</f>
        <v>0</v>
      </c>
      <c r="K74" s="50">
        <f>IF('쪽쟘(실측)'!F74&gt;0,'쪽쟘(실측)'!F74+1.5,0)</f>
        <v>0</v>
      </c>
      <c r="L74" s="50">
        <f>IF('쪽쟘(실측)'!G74&gt;0,'쪽쟘(실측)'!G74+1.5,0)</f>
        <v>0</v>
      </c>
      <c r="M74" s="50">
        <f>IF('쪽쟘(실측)'!H74&gt;0,'쪽쟘(실측)'!H74+1.5,0)</f>
        <v>0</v>
      </c>
      <c r="N74" s="50">
        <f>IF('쪽쟘(실측)'!I74&gt;0,'쪽쟘(실측)'!I74+1.5,0)</f>
        <v>0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1.2</v>
      </c>
      <c r="T74" s="50">
        <f>'쪽쟘(실측)'!O74+1.2</f>
        <v>1.2</v>
      </c>
      <c r="U74" s="50">
        <f>'쪽쟘(실측)'!P74</f>
        <v>0</v>
      </c>
      <c r="V74" s="50">
        <f>'쪽쟘(실측)'!Q74</f>
        <v>0</v>
      </c>
      <c r="W74" s="50" t="e">
        <f>'쪽쟘(실측)'!R74-늘치차감</f>
        <v>#NAME?</v>
      </c>
      <c r="X74" s="50" t="e">
        <f>'쪽쟘(실측)'!S74-늘치차감</f>
        <v>#NAME?</v>
      </c>
      <c r="Z74">
        <v>936</v>
      </c>
      <c r="AA74">
        <v>154.4</v>
      </c>
      <c r="AD74">
        <v>146</v>
      </c>
      <c r="AE74">
        <v>2090</v>
      </c>
    </row>
    <row r="75" spans="1:31" ht="18.75" customHeight="1" x14ac:dyDescent="0.3">
      <c r="A75" s="50">
        <f>'쪽쟘(실측)'!A75</f>
        <v>0</v>
      </c>
      <c r="B75" s="50" t="str">
        <f>'쪽쟘(실측)'!B75&amp;"F"</f>
        <v>F</v>
      </c>
      <c r="C75" s="50" t="str">
        <f t="shared" si="3"/>
        <v>943*144.4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 t="shared" si="4"/>
        <v>2090*150</v>
      </c>
      <c r="H75" s="68" t="str">
        <f t="shared" si="5"/>
        <v>2090*149</v>
      </c>
      <c r="I75" s="70">
        <f>IF('쪽쟘(실측)'!F75&gt;0,'쪽쟘(실측)'!F75+0.5,0)</f>
        <v>0</v>
      </c>
      <c r="J75" s="50">
        <f>IF('쪽쟘(실측)'!H75&gt;0,'쪽쟘(실측)'!H75+0.5,0)</f>
        <v>0</v>
      </c>
      <c r="K75" s="50">
        <f>IF('쪽쟘(실측)'!F75&gt;0,'쪽쟘(실측)'!F75+1.5,0)</f>
        <v>0</v>
      </c>
      <c r="L75" s="50">
        <f>IF('쪽쟘(실측)'!G75&gt;0,'쪽쟘(실측)'!G75+1.5,0)</f>
        <v>0</v>
      </c>
      <c r="M75" s="50">
        <f>IF('쪽쟘(실측)'!H75&gt;0,'쪽쟘(실측)'!H75+1.5,0)</f>
        <v>0</v>
      </c>
      <c r="N75" s="50">
        <f>IF('쪽쟘(실측)'!I75&gt;0,'쪽쟘(실측)'!I75+1.5,0)</f>
        <v>0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1.2</v>
      </c>
      <c r="T75" s="50">
        <f>'쪽쟘(실측)'!O75+1.2</f>
        <v>1.2</v>
      </c>
      <c r="U75" s="50">
        <f>'쪽쟘(실측)'!P75</f>
        <v>0</v>
      </c>
      <c r="V75" s="50">
        <f>'쪽쟘(실측)'!Q75</f>
        <v>0</v>
      </c>
      <c r="W75" s="50" t="e">
        <f>'쪽쟘(실측)'!R75-늘치차감</f>
        <v>#NAME?</v>
      </c>
      <c r="X75" s="50" t="e">
        <f>'쪽쟘(실측)'!S75-늘치차감</f>
        <v>#NAME?</v>
      </c>
      <c r="Z75">
        <v>943</v>
      </c>
      <c r="AA75">
        <v>144.4</v>
      </c>
      <c r="AB75">
        <v>150</v>
      </c>
      <c r="AC75">
        <v>2090</v>
      </c>
      <c r="AD75">
        <v>149</v>
      </c>
      <c r="AE75">
        <v>2090</v>
      </c>
    </row>
    <row r="76" spans="1:31" ht="18.75" customHeight="1" thickBot="1" x14ac:dyDescent="0.35">
      <c r="A76" s="165">
        <f>'쪽쟘(실측)'!A76</f>
        <v>0</v>
      </c>
      <c r="B76" s="165" t="str">
        <f>'쪽쟘(실측)'!B76&amp;"F"</f>
        <v>F</v>
      </c>
      <c r="C76" s="165" t="str">
        <f t="shared" si="3"/>
        <v>938*153.4</v>
      </c>
      <c r="D76" s="165" t="e">
        <f>'쪽쟘(실측)'!C76-OP차감</f>
        <v>#NAME?</v>
      </c>
      <c r="E76" s="165" t="e">
        <f>'쪽쟘(실측)'!D76+쪽쟘J늘림+MAX(W76:X76)</f>
        <v>#VALUE!</v>
      </c>
      <c r="F76" s="165" t="e">
        <f>'쪽쟘(실측)'!E76+쪽쟘J늘림+MAX(W76:X76)</f>
        <v>#VALUE!</v>
      </c>
      <c r="G76" s="166" t="str">
        <f t="shared" si="4"/>
        <v>2090*147</v>
      </c>
      <c r="H76" s="167" t="str">
        <f t="shared" si="5"/>
        <v>2090*147</v>
      </c>
      <c r="I76" s="70">
        <f>IF('쪽쟘(실측)'!F76&gt;0,'쪽쟘(실측)'!F76+0.5,0)</f>
        <v>0</v>
      </c>
      <c r="J76" s="50">
        <f>IF('쪽쟘(실측)'!H76&gt;0,'쪽쟘(실측)'!H76+0.5,0)</f>
        <v>0</v>
      </c>
      <c r="K76" s="50">
        <f>IF('쪽쟘(실측)'!F76&gt;0,'쪽쟘(실측)'!F76+1.5,0)</f>
        <v>0</v>
      </c>
      <c r="L76" s="50">
        <f>IF('쪽쟘(실측)'!G76&gt;0,'쪽쟘(실측)'!G76+1.5,0)</f>
        <v>0</v>
      </c>
      <c r="M76" s="50">
        <f>IF('쪽쟘(실측)'!H76&gt;0,'쪽쟘(실측)'!H76+1.5,0)</f>
        <v>0</v>
      </c>
      <c r="N76" s="50">
        <f>IF('쪽쟘(실측)'!I76&gt;0,'쪽쟘(실측)'!I76+1.5,0)</f>
        <v>0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1.2</v>
      </c>
      <c r="T76" s="50">
        <f>'쪽쟘(실측)'!O76+1.2</f>
        <v>1.2</v>
      </c>
      <c r="U76" s="50">
        <f>'쪽쟘(실측)'!P76</f>
        <v>0</v>
      </c>
      <c r="V76" s="50">
        <f>'쪽쟘(실측)'!Q76</f>
        <v>0</v>
      </c>
      <c r="W76" s="50" t="e">
        <f>'쪽쟘(실측)'!R76-늘치차감</f>
        <v>#NAME?</v>
      </c>
      <c r="X76" s="50" t="e">
        <f>'쪽쟘(실측)'!S76-늘치차감</f>
        <v>#NAME?</v>
      </c>
      <c r="Z76">
        <v>938</v>
      </c>
      <c r="AA76">
        <v>153.4</v>
      </c>
      <c r="AB76">
        <v>147</v>
      </c>
      <c r="AC76">
        <v>2090</v>
      </c>
      <c r="AD76">
        <v>147</v>
      </c>
      <c r="AE76">
        <v>2090</v>
      </c>
    </row>
    <row r="77" spans="1:31" ht="18.75" customHeight="1" x14ac:dyDescent="0.3">
      <c r="A77" s="162">
        <f>'쪽쟘(실측)'!A77</f>
        <v>0</v>
      </c>
      <c r="B77" s="162" t="str">
        <f>'쪽쟘(실측)'!B77&amp;"F"</f>
        <v>F</v>
      </c>
      <c r="C77" s="162" t="str">
        <f t="shared" si="3"/>
        <v>941*154.4</v>
      </c>
      <c r="D77" s="162" t="e">
        <f>'쪽쟘(실측)'!C77-OP차감</f>
        <v>#NAME?</v>
      </c>
      <c r="E77" s="162" t="e">
        <f>'쪽쟘(실측)'!D77+쪽쟘J늘림+MAX(W77:X77)</f>
        <v>#VALUE!</v>
      </c>
      <c r="F77" s="162" t="e">
        <f>'쪽쟘(실측)'!E77+쪽쟘J늘림+MAX(W77:X77)</f>
        <v>#VALUE!</v>
      </c>
      <c r="G77" s="163" t="str">
        <f t="shared" si="4"/>
        <v>2090*149</v>
      </c>
      <c r="H77" s="164" t="str">
        <f t="shared" si="5"/>
        <v>2090*148</v>
      </c>
      <c r="I77" s="70">
        <f>IF('쪽쟘(실측)'!F77&gt;0,'쪽쟘(실측)'!F77+0.5,0)</f>
        <v>0</v>
      </c>
      <c r="J77" s="50">
        <f>IF('쪽쟘(실측)'!H77&gt;0,'쪽쟘(실측)'!H77+0.5,0)</f>
        <v>0</v>
      </c>
      <c r="K77" s="50">
        <f>IF('쪽쟘(실측)'!F77&gt;0,'쪽쟘(실측)'!F77+1.5,0)</f>
        <v>0</v>
      </c>
      <c r="L77" s="50">
        <f>IF('쪽쟘(실측)'!G77&gt;0,'쪽쟘(실측)'!G77+1.5,0)</f>
        <v>0</v>
      </c>
      <c r="M77" s="50">
        <f>IF('쪽쟘(실측)'!H77&gt;0,'쪽쟘(실측)'!H77+1.5,0)</f>
        <v>0</v>
      </c>
      <c r="N77" s="50">
        <f>IF('쪽쟘(실측)'!I77&gt;0,'쪽쟘(실측)'!I77+1.5,0)</f>
        <v>0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1.2</v>
      </c>
      <c r="T77" s="50">
        <f>'쪽쟘(실측)'!O77+1.2</f>
        <v>1.2</v>
      </c>
      <c r="U77" s="50">
        <f>'쪽쟘(실측)'!P77</f>
        <v>0</v>
      </c>
      <c r="V77" s="50">
        <f>'쪽쟘(실측)'!Q77</f>
        <v>0</v>
      </c>
      <c r="W77" s="50" t="e">
        <f>'쪽쟘(실측)'!R77-늘치차감</f>
        <v>#NAME?</v>
      </c>
      <c r="X77" s="50" t="e">
        <f>'쪽쟘(실측)'!S77-늘치차감</f>
        <v>#NAME?</v>
      </c>
      <c r="Z77">
        <v>941</v>
      </c>
      <c r="AA77">
        <v>154.4</v>
      </c>
      <c r="AB77">
        <v>149</v>
      </c>
      <c r="AC77">
        <v>2090</v>
      </c>
      <c r="AD77">
        <v>148</v>
      </c>
      <c r="AE77">
        <v>2090</v>
      </c>
    </row>
    <row r="78" spans="1:31" ht="18.75" customHeight="1" x14ac:dyDescent="0.3">
      <c r="A78" s="50">
        <f>'쪽쟘(실측)'!A78</f>
        <v>0</v>
      </c>
      <c r="B78" s="50" t="str">
        <f>'쪽쟘(실측)'!B78&amp;"F"</f>
        <v>F</v>
      </c>
      <c r="C78" s="50" t="str">
        <f t="shared" si="3"/>
        <v>940*144.4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 t="shared" si="4"/>
        <v>2090*149</v>
      </c>
      <c r="H78" s="68" t="str">
        <f t="shared" si="5"/>
        <v>2090*147</v>
      </c>
      <c r="I78" s="70">
        <f>IF('쪽쟘(실측)'!F78&gt;0,'쪽쟘(실측)'!F78+0.5,0)</f>
        <v>0</v>
      </c>
      <c r="J78" s="50">
        <f>IF('쪽쟘(실측)'!H78&gt;0,'쪽쟘(실측)'!H78+0.5,0)</f>
        <v>0</v>
      </c>
      <c r="K78" s="50">
        <f>IF('쪽쟘(실측)'!F78&gt;0,'쪽쟘(실측)'!F78+1.5,0)</f>
        <v>0</v>
      </c>
      <c r="L78" s="50">
        <f>IF('쪽쟘(실측)'!G78&gt;0,'쪽쟘(실측)'!G78+1.5,0)</f>
        <v>0</v>
      </c>
      <c r="M78" s="50">
        <f>IF('쪽쟘(실측)'!H78&gt;0,'쪽쟘(실측)'!H78+1.5,0)</f>
        <v>0</v>
      </c>
      <c r="N78" s="50">
        <f>IF('쪽쟘(실측)'!I78&gt;0,'쪽쟘(실측)'!I78+1.5,0)</f>
        <v>0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1.2</v>
      </c>
      <c r="T78" s="50">
        <f>'쪽쟘(실측)'!O78+1.2</f>
        <v>1.2</v>
      </c>
      <c r="U78" s="50">
        <f>'쪽쟘(실측)'!P78</f>
        <v>0</v>
      </c>
      <c r="V78" s="50">
        <f>'쪽쟘(실측)'!Q78</f>
        <v>0</v>
      </c>
      <c r="W78" s="50" t="e">
        <f>'쪽쟘(실측)'!R78-늘치차감</f>
        <v>#NAME?</v>
      </c>
      <c r="X78" s="50" t="e">
        <f>'쪽쟘(실측)'!S78-늘치차감</f>
        <v>#NAME?</v>
      </c>
      <c r="Z78">
        <v>940</v>
      </c>
      <c r="AA78">
        <v>144.4</v>
      </c>
      <c r="AB78">
        <v>149</v>
      </c>
      <c r="AC78">
        <v>2090</v>
      </c>
      <c r="AD78">
        <v>147</v>
      </c>
      <c r="AE78">
        <v>2090</v>
      </c>
    </row>
    <row r="79" spans="1:31" ht="18.75" customHeight="1" x14ac:dyDescent="0.3">
      <c r="A79" s="50">
        <f>'쪽쟘(실측)'!A79</f>
        <v>0</v>
      </c>
      <c r="B79" s="50" t="str">
        <f>'쪽쟘(실측)'!B79&amp;"F"</f>
        <v>F</v>
      </c>
      <c r="C79" s="50" t="str">
        <f t="shared" si="3"/>
        <v>938*143.4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 t="shared" si="4"/>
        <v>2090*148</v>
      </c>
      <c r="H79" s="68" t="str">
        <f t="shared" si="5"/>
        <v>2090*146</v>
      </c>
      <c r="I79" s="70">
        <f>IF('쪽쟘(실측)'!F79&gt;0,'쪽쟘(실측)'!F79+0.5,0)</f>
        <v>0</v>
      </c>
      <c r="J79" s="50">
        <f>IF('쪽쟘(실측)'!H79&gt;0,'쪽쟘(실측)'!H79+0.5,0)</f>
        <v>0</v>
      </c>
      <c r="K79" s="50">
        <f>IF('쪽쟘(실측)'!F79&gt;0,'쪽쟘(실측)'!F79+1.5,0)</f>
        <v>0</v>
      </c>
      <c r="L79" s="50">
        <f>IF('쪽쟘(실측)'!G79&gt;0,'쪽쟘(실측)'!G79+1.5,0)</f>
        <v>0</v>
      </c>
      <c r="M79" s="50">
        <f>IF('쪽쟘(실측)'!H79&gt;0,'쪽쟘(실측)'!H79+1.5,0)</f>
        <v>0</v>
      </c>
      <c r="N79" s="50">
        <f>IF('쪽쟘(실측)'!I79&gt;0,'쪽쟘(실측)'!I79+1.5,0)</f>
        <v>0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1.2</v>
      </c>
      <c r="T79" s="50">
        <f>'쪽쟘(실측)'!O79+1.2</f>
        <v>1.2</v>
      </c>
      <c r="U79" s="50">
        <f>'쪽쟘(실측)'!P79</f>
        <v>0</v>
      </c>
      <c r="V79" s="50">
        <f>'쪽쟘(실측)'!Q79</f>
        <v>0</v>
      </c>
      <c r="W79" s="50" t="e">
        <f>'쪽쟘(실측)'!R79-늘치차감</f>
        <v>#NAME?</v>
      </c>
      <c r="X79" s="50" t="e">
        <f>'쪽쟘(실측)'!S79-늘치차감</f>
        <v>#NAME?</v>
      </c>
      <c r="Z79">
        <v>938</v>
      </c>
      <c r="AA79">
        <v>143.4</v>
      </c>
      <c r="AB79">
        <v>148</v>
      </c>
      <c r="AC79">
        <v>2090</v>
      </c>
      <c r="AD79">
        <v>146</v>
      </c>
      <c r="AE79">
        <v>2090</v>
      </c>
    </row>
    <row r="80" spans="1:31" ht="18.75" customHeight="1" x14ac:dyDescent="0.3">
      <c r="A80" s="50">
        <f>'쪽쟘(실측)'!A80</f>
        <v>0</v>
      </c>
      <c r="B80" s="50" t="str">
        <f>'쪽쟘(실측)'!B80&amp;"F"</f>
        <v>F</v>
      </c>
      <c r="C80" s="50" t="str">
        <f t="shared" si="3"/>
        <v>937*148.4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 t="shared" si="4"/>
        <v>2090*148</v>
      </c>
      <c r="H80" s="68" t="str">
        <f t="shared" si="5"/>
        <v>2090*145</v>
      </c>
      <c r="I80" s="70">
        <f>IF('쪽쟘(실측)'!F80&gt;0,'쪽쟘(실측)'!F80+0.5,0)</f>
        <v>0</v>
      </c>
      <c r="J80" s="50">
        <f>IF('쪽쟘(실측)'!H80&gt;0,'쪽쟘(실측)'!H80+0.5,0)</f>
        <v>0</v>
      </c>
      <c r="K80" s="50">
        <f>IF('쪽쟘(실측)'!F80&gt;0,'쪽쟘(실측)'!F80+1.5,0)</f>
        <v>0</v>
      </c>
      <c r="L80" s="50">
        <f>IF('쪽쟘(실측)'!G80&gt;0,'쪽쟘(실측)'!G80+1.5,0)</f>
        <v>0</v>
      </c>
      <c r="M80" s="50">
        <f>IF('쪽쟘(실측)'!H80&gt;0,'쪽쟘(실측)'!H80+1.5,0)</f>
        <v>0</v>
      </c>
      <c r="N80" s="50">
        <f>IF('쪽쟘(실측)'!I80&gt;0,'쪽쟘(실측)'!I80+1.5,0)</f>
        <v>0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1.2</v>
      </c>
      <c r="T80" s="50">
        <f>'쪽쟘(실측)'!O80+1.2</f>
        <v>1.2</v>
      </c>
      <c r="U80" s="50">
        <f>'쪽쟘(실측)'!P80</f>
        <v>0</v>
      </c>
      <c r="V80" s="50">
        <f>'쪽쟘(실측)'!Q80</f>
        <v>0</v>
      </c>
      <c r="W80" s="50" t="e">
        <f>'쪽쟘(실측)'!R80-늘치차감</f>
        <v>#NAME?</v>
      </c>
      <c r="X80" s="50" t="e">
        <f>'쪽쟘(실측)'!S80-늘치차감</f>
        <v>#NAME?</v>
      </c>
      <c r="Z80">
        <v>937</v>
      </c>
      <c r="AA80">
        <v>148.4</v>
      </c>
      <c r="AB80">
        <v>148</v>
      </c>
      <c r="AC80">
        <v>2090</v>
      </c>
      <c r="AD80">
        <v>145</v>
      </c>
      <c r="AE80">
        <v>2090</v>
      </c>
    </row>
    <row r="81" spans="1:31" ht="18.75" customHeight="1" x14ac:dyDescent="0.3">
      <c r="A81" s="50">
        <f>'쪽쟘(실측)'!A81</f>
        <v>0</v>
      </c>
      <c r="B81" s="50" t="str">
        <f>'쪽쟘(실측)'!B81&amp;"F"</f>
        <v>F</v>
      </c>
      <c r="C81" s="50" t="str">
        <f t="shared" si="3"/>
        <v>940*143.4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 t="shared" si="4"/>
        <v>2090*150</v>
      </c>
      <c r="H81" s="68" t="str">
        <f t="shared" si="5"/>
        <v>2090*146</v>
      </c>
      <c r="I81" s="70">
        <f>IF('쪽쟘(실측)'!F81&gt;0,'쪽쟘(실측)'!F81+0.5,0)</f>
        <v>0</v>
      </c>
      <c r="J81" s="50">
        <f>IF('쪽쟘(실측)'!H81&gt;0,'쪽쟘(실측)'!H81+0.5,0)</f>
        <v>0</v>
      </c>
      <c r="K81" s="50">
        <f>IF('쪽쟘(실측)'!F81&gt;0,'쪽쟘(실측)'!F81+1.5,0)</f>
        <v>0</v>
      </c>
      <c r="L81" s="50">
        <f>IF('쪽쟘(실측)'!G81&gt;0,'쪽쟘(실측)'!G81+1.5,0)</f>
        <v>0</v>
      </c>
      <c r="M81" s="50">
        <f>IF('쪽쟘(실측)'!H81&gt;0,'쪽쟘(실측)'!H81+1.5,0)</f>
        <v>0</v>
      </c>
      <c r="N81" s="50">
        <f>IF('쪽쟘(실측)'!I81&gt;0,'쪽쟘(실측)'!I81+1.5,0)</f>
        <v>0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1.2</v>
      </c>
      <c r="T81" s="50">
        <f>'쪽쟘(실측)'!O81+1.2</f>
        <v>1.2</v>
      </c>
      <c r="U81" s="50">
        <f>'쪽쟘(실측)'!P81</f>
        <v>0</v>
      </c>
      <c r="V81" s="50">
        <f>'쪽쟘(실측)'!Q81</f>
        <v>0</v>
      </c>
      <c r="W81" s="50" t="e">
        <f>'쪽쟘(실측)'!R81-늘치차감</f>
        <v>#NAME?</v>
      </c>
      <c r="X81" s="50" t="e">
        <f>'쪽쟘(실측)'!S81-늘치차감</f>
        <v>#NAME?</v>
      </c>
      <c r="Z81">
        <v>940</v>
      </c>
      <c r="AA81">
        <v>143.4</v>
      </c>
      <c r="AB81">
        <v>150</v>
      </c>
      <c r="AC81">
        <v>2090</v>
      </c>
      <c r="AD81">
        <v>146</v>
      </c>
      <c r="AE81">
        <v>2090</v>
      </c>
    </row>
    <row r="82" spans="1:31" ht="18.75" customHeight="1" x14ac:dyDescent="0.3">
      <c r="A82" s="50">
        <f>'쪽쟘(실측)'!A82</f>
        <v>0</v>
      </c>
      <c r="B82" s="50" t="str">
        <f>'쪽쟘(실측)'!B82&amp;"F"</f>
        <v>F</v>
      </c>
      <c r="C82" s="50" t="str">
        <f t="shared" si="3"/>
        <v>931*149.4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 t="shared" si="4"/>
        <v>*</v>
      </c>
      <c r="H82" s="68" t="str">
        <f t="shared" si="5"/>
        <v>2090*145</v>
      </c>
      <c r="I82" s="70">
        <f>IF('쪽쟘(실측)'!F82&gt;0,'쪽쟘(실측)'!F82+0.5,0)</f>
        <v>0</v>
      </c>
      <c r="J82" s="50">
        <f>IF('쪽쟘(실측)'!H82&gt;0,'쪽쟘(실측)'!H82+0.5,0)</f>
        <v>0</v>
      </c>
      <c r="K82" s="50">
        <f>IF('쪽쟘(실측)'!F82&gt;0,'쪽쟘(실측)'!F82+1.5,0)</f>
        <v>0</v>
      </c>
      <c r="L82" s="50">
        <f>IF('쪽쟘(실측)'!G82&gt;0,'쪽쟘(실측)'!G82+1.5,0)</f>
        <v>0</v>
      </c>
      <c r="M82" s="50">
        <f>IF('쪽쟘(실측)'!H82&gt;0,'쪽쟘(실측)'!H82+1.5,0)</f>
        <v>0</v>
      </c>
      <c r="N82" s="50">
        <f>IF('쪽쟘(실측)'!I82&gt;0,'쪽쟘(실측)'!I82+1.5,0)</f>
        <v>0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1.2</v>
      </c>
      <c r="T82" s="50">
        <f>'쪽쟘(실측)'!O82+1.2</f>
        <v>1.2</v>
      </c>
      <c r="U82" s="50">
        <f>'쪽쟘(실측)'!P82</f>
        <v>0</v>
      </c>
      <c r="V82" s="50">
        <f>'쪽쟘(실측)'!Q82</f>
        <v>0</v>
      </c>
      <c r="W82" s="50" t="e">
        <f>'쪽쟘(실측)'!R82-늘치차감</f>
        <v>#NAME?</v>
      </c>
      <c r="X82" s="50" t="e">
        <f>'쪽쟘(실측)'!S82-늘치차감</f>
        <v>#NAME?</v>
      </c>
      <c r="Z82">
        <v>931</v>
      </c>
      <c r="AA82">
        <v>149.4</v>
      </c>
      <c r="AD82">
        <v>145</v>
      </c>
      <c r="AE82">
        <v>2090</v>
      </c>
    </row>
    <row r="83" spans="1:31" ht="18.75" customHeight="1" x14ac:dyDescent="0.3">
      <c r="A83" s="50">
        <f>'쪽쟘(실측)'!A83</f>
        <v>0</v>
      </c>
      <c r="B83" s="50" t="str">
        <f>'쪽쟘(실측)'!B83&amp;"F"</f>
        <v>F</v>
      </c>
      <c r="C83" s="50" t="str">
        <f t="shared" si="3"/>
        <v>932*145.4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 t="shared" si="4"/>
        <v>2090*146</v>
      </c>
      <c r="H83" s="68" t="str">
        <f t="shared" si="5"/>
        <v>*</v>
      </c>
      <c r="I83" s="70">
        <f>IF('쪽쟘(실측)'!F83&gt;0,'쪽쟘(실측)'!F83+0.5,0)</f>
        <v>0</v>
      </c>
      <c r="J83" s="50">
        <f>IF('쪽쟘(실측)'!H83&gt;0,'쪽쟘(실측)'!H83+0.5,0)</f>
        <v>0</v>
      </c>
      <c r="K83" s="50">
        <f>IF('쪽쟘(실측)'!F83&gt;0,'쪽쟘(실측)'!F83+1.5,0)</f>
        <v>0</v>
      </c>
      <c r="L83" s="50">
        <f>IF('쪽쟘(실측)'!G83&gt;0,'쪽쟘(실측)'!G83+1.5,0)</f>
        <v>0</v>
      </c>
      <c r="M83" s="50">
        <f>IF('쪽쟘(실측)'!H83&gt;0,'쪽쟘(실측)'!H83+1.5,0)</f>
        <v>0</v>
      </c>
      <c r="N83" s="50">
        <f>IF('쪽쟘(실측)'!I83&gt;0,'쪽쟘(실측)'!I83+1.5,0)</f>
        <v>0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1.2</v>
      </c>
      <c r="T83" s="50">
        <f>'쪽쟘(실측)'!O83+1.2</f>
        <v>1.2</v>
      </c>
      <c r="U83" s="50">
        <f>'쪽쟘(실측)'!P83</f>
        <v>0</v>
      </c>
      <c r="V83" s="50">
        <f>'쪽쟘(실측)'!Q83</f>
        <v>0</v>
      </c>
      <c r="W83" s="50" t="e">
        <f>'쪽쟘(실측)'!R83-늘치차감</f>
        <v>#NAME?</v>
      </c>
      <c r="X83" s="50" t="e">
        <f>'쪽쟘(실측)'!S83-늘치차감</f>
        <v>#NAME?</v>
      </c>
      <c r="Z83">
        <v>932</v>
      </c>
      <c r="AA83">
        <v>145.4</v>
      </c>
      <c r="AB83">
        <v>146</v>
      </c>
      <c r="AC83">
        <v>2090</v>
      </c>
    </row>
    <row r="84" spans="1:31" ht="18.75" customHeight="1" x14ac:dyDescent="0.3">
      <c r="A84" s="50">
        <f>'쪽쟘(실측)'!A84</f>
        <v>0</v>
      </c>
      <c r="B84" s="50" t="str">
        <f>'쪽쟘(실측)'!B84&amp;"F"</f>
        <v>F</v>
      </c>
      <c r="C84" s="50" t="str">
        <f t="shared" si="3"/>
        <v>932*149.4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 t="shared" si="4"/>
        <v>*</v>
      </c>
      <c r="H84" s="68" t="str">
        <f t="shared" si="5"/>
        <v>2090*147</v>
      </c>
      <c r="I84" s="70">
        <f>IF('쪽쟘(실측)'!F84&gt;0,'쪽쟘(실측)'!F84+0.5,0)</f>
        <v>0</v>
      </c>
      <c r="J84" s="50">
        <f>IF('쪽쟘(실측)'!H84&gt;0,'쪽쟘(실측)'!H84+0.5,0)</f>
        <v>0</v>
      </c>
      <c r="K84" s="50">
        <f>IF('쪽쟘(실측)'!F84&gt;0,'쪽쟘(실측)'!F84+1.5,0)</f>
        <v>0</v>
      </c>
      <c r="L84" s="50">
        <f>IF('쪽쟘(실측)'!G84&gt;0,'쪽쟘(실측)'!G84+1.5,0)</f>
        <v>0</v>
      </c>
      <c r="M84" s="50">
        <f>IF('쪽쟘(실측)'!H84&gt;0,'쪽쟘(실측)'!H84+1.5,0)</f>
        <v>0</v>
      </c>
      <c r="N84" s="50">
        <f>IF('쪽쟘(실측)'!I84&gt;0,'쪽쟘(실측)'!I84+1.5,0)</f>
        <v>0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1.2</v>
      </c>
      <c r="T84" s="50">
        <f>'쪽쟘(실측)'!O84+1.2</f>
        <v>1.2</v>
      </c>
      <c r="U84" s="50">
        <f>'쪽쟘(실측)'!P84</f>
        <v>0</v>
      </c>
      <c r="V84" s="50">
        <f>'쪽쟘(실측)'!Q84</f>
        <v>0</v>
      </c>
      <c r="W84" s="50" t="e">
        <f>'쪽쟘(실측)'!R84-늘치차감</f>
        <v>#NAME?</v>
      </c>
      <c r="X84" s="50" t="e">
        <f>'쪽쟘(실측)'!S84-늘치차감</f>
        <v>#NAME?</v>
      </c>
      <c r="Z84">
        <v>932</v>
      </c>
      <c r="AA84">
        <v>149.4</v>
      </c>
      <c r="AD84">
        <v>147</v>
      </c>
      <c r="AE84">
        <v>2090</v>
      </c>
    </row>
    <row r="85" spans="1:31" ht="18.75" customHeight="1" x14ac:dyDescent="0.3">
      <c r="A85" s="50">
        <f>'쪽쟘(실측)'!A85</f>
        <v>0</v>
      </c>
      <c r="B85" s="50" t="str">
        <f>'쪽쟘(실측)'!B85&amp;"F"</f>
        <v>F</v>
      </c>
      <c r="C85" s="50" t="str">
        <f t="shared" si="3"/>
        <v>941*150.4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 t="shared" si="4"/>
        <v>2090*148</v>
      </c>
      <c r="H85" s="68" t="str">
        <f t="shared" si="5"/>
        <v>2090*149</v>
      </c>
      <c r="I85" s="70">
        <f>IF('쪽쟘(실측)'!F85&gt;0,'쪽쟘(실측)'!F85+0.5,0)</f>
        <v>0</v>
      </c>
      <c r="J85" s="50">
        <f>IF('쪽쟘(실측)'!H85&gt;0,'쪽쟘(실측)'!H85+0.5,0)</f>
        <v>0</v>
      </c>
      <c r="K85" s="50">
        <f>IF('쪽쟘(실측)'!F85&gt;0,'쪽쟘(실측)'!F85+1.5,0)</f>
        <v>0</v>
      </c>
      <c r="L85" s="50">
        <f>IF('쪽쟘(실측)'!G85&gt;0,'쪽쟘(실측)'!G85+1.5,0)</f>
        <v>0</v>
      </c>
      <c r="M85" s="50">
        <f>IF('쪽쟘(실측)'!H85&gt;0,'쪽쟘(실측)'!H85+1.5,0)</f>
        <v>0</v>
      </c>
      <c r="N85" s="50">
        <f>IF('쪽쟘(실측)'!I85&gt;0,'쪽쟘(실측)'!I85+1.5,0)</f>
        <v>0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1.2</v>
      </c>
      <c r="T85" s="50">
        <f>'쪽쟘(실측)'!O85+1.2</f>
        <v>1.2</v>
      </c>
      <c r="U85" s="50">
        <f>'쪽쟘(실측)'!P85</f>
        <v>0</v>
      </c>
      <c r="V85" s="50">
        <f>'쪽쟘(실측)'!Q85</f>
        <v>0</v>
      </c>
      <c r="W85" s="50" t="e">
        <f>'쪽쟘(실측)'!R85-늘치차감</f>
        <v>#NAME?</v>
      </c>
      <c r="X85" s="50" t="e">
        <f>'쪽쟘(실측)'!S85-늘치차감</f>
        <v>#NAME?</v>
      </c>
      <c r="Z85">
        <v>941</v>
      </c>
      <c r="AA85">
        <v>150.4</v>
      </c>
      <c r="AB85">
        <v>148</v>
      </c>
      <c r="AC85">
        <v>2090</v>
      </c>
      <c r="AD85">
        <v>149</v>
      </c>
      <c r="AE85">
        <v>2090</v>
      </c>
    </row>
    <row r="86" spans="1:31" ht="18.75" customHeight="1" x14ac:dyDescent="0.3">
      <c r="A86" s="50">
        <f>'쪽쟘(실측)'!A86</f>
        <v>0</v>
      </c>
      <c r="B86" s="50" t="str">
        <f>'쪽쟘(실측)'!B86&amp;"F"</f>
        <v>F</v>
      </c>
      <c r="C86" s="50" t="str">
        <f t="shared" si="3"/>
        <v>942*148.4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 t="shared" si="4"/>
        <v>2090*150</v>
      </c>
      <c r="H86" s="68" t="str">
        <f t="shared" si="5"/>
        <v>2090*148</v>
      </c>
      <c r="I86" s="70">
        <f>IF('쪽쟘(실측)'!F86&gt;0,'쪽쟘(실측)'!F86+0.5,0)</f>
        <v>0</v>
      </c>
      <c r="J86" s="50">
        <f>IF('쪽쟘(실측)'!H86&gt;0,'쪽쟘(실측)'!H86+0.5,0)</f>
        <v>0</v>
      </c>
      <c r="K86" s="50">
        <f>IF('쪽쟘(실측)'!F86&gt;0,'쪽쟘(실측)'!F86+1.5,0)</f>
        <v>0</v>
      </c>
      <c r="L86" s="50">
        <f>IF('쪽쟘(실측)'!G86&gt;0,'쪽쟘(실측)'!G86+1.5,0)</f>
        <v>0</v>
      </c>
      <c r="M86" s="50">
        <f>IF('쪽쟘(실측)'!H86&gt;0,'쪽쟘(실측)'!H86+1.5,0)</f>
        <v>0</v>
      </c>
      <c r="N86" s="50">
        <f>IF('쪽쟘(실측)'!I86&gt;0,'쪽쟘(실측)'!I86+1.5,0)</f>
        <v>0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1.2</v>
      </c>
      <c r="T86" s="50">
        <f>'쪽쟘(실측)'!O86+1.2</f>
        <v>1.2</v>
      </c>
      <c r="U86" s="50">
        <f>'쪽쟘(실측)'!P86</f>
        <v>0</v>
      </c>
      <c r="V86" s="50">
        <f>'쪽쟘(실측)'!Q86</f>
        <v>0</v>
      </c>
      <c r="W86" s="50" t="e">
        <f>'쪽쟘(실측)'!R86-늘치차감</f>
        <v>#NAME?</v>
      </c>
      <c r="X86" s="50" t="e">
        <f>'쪽쟘(실측)'!S86-늘치차감</f>
        <v>#NAME?</v>
      </c>
      <c r="Z86">
        <v>942</v>
      </c>
      <c r="AA86">
        <v>148.4</v>
      </c>
      <c r="AB86">
        <v>150</v>
      </c>
      <c r="AC86">
        <v>2090</v>
      </c>
      <c r="AD86">
        <v>148</v>
      </c>
      <c r="AE86">
        <v>2090</v>
      </c>
    </row>
    <row r="87" spans="1:31" ht="18.75" customHeight="1" x14ac:dyDescent="0.3">
      <c r="A87" s="50">
        <f>'쪽쟘(실측)'!A87</f>
        <v>0</v>
      </c>
      <c r="B87" s="50" t="str">
        <f>'쪽쟘(실측)'!B87&amp;"F"</f>
        <v>F</v>
      </c>
      <c r="C87" s="50" t="str">
        <f t="shared" si="3"/>
        <v>937*145.4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 t="shared" si="4"/>
        <v>*</v>
      </c>
      <c r="H87" s="68" t="str">
        <f t="shared" si="5"/>
        <v>2090*148</v>
      </c>
      <c r="I87" s="70">
        <f>IF('쪽쟘(실측)'!F87&gt;0,'쪽쟘(실측)'!F87+0.5,0)</f>
        <v>0</v>
      </c>
      <c r="J87" s="50">
        <f>IF('쪽쟘(실측)'!H87&gt;0,'쪽쟘(실측)'!H87+0.5,0)</f>
        <v>0</v>
      </c>
      <c r="K87" s="50">
        <f>IF('쪽쟘(실측)'!F87&gt;0,'쪽쟘(실측)'!F87+1.5,0)</f>
        <v>0</v>
      </c>
      <c r="L87" s="50">
        <f>IF('쪽쟘(실측)'!G87&gt;0,'쪽쟘(실측)'!G87+1.5,0)</f>
        <v>0</v>
      </c>
      <c r="M87" s="50">
        <f>IF('쪽쟘(실측)'!H87&gt;0,'쪽쟘(실측)'!H87+1.5,0)</f>
        <v>0</v>
      </c>
      <c r="N87" s="50">
        <f>IF('쪽쟘(실측)'!I87&gt;0,'쪽쟘(실측)'!I87+1.5,0)</f>
        <v>0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1.2</v>
      </c>
      <c r="T87" s="50">
        <f>'쪽쟘(실측)'!O87+1.2</f>
        <v>1.2</v>
      </c>
      <c r="U87" s="50">
        <f>'쪽쟘(실측)'!P87</f>
        <v>0</v>
      </c>
      <c r="V87" s="50">
        <f>'쪽쟘(실측)'!Q87</f>
        <v>0</v>
      </c>
      <c r="W87" s="50" t="e">
        <f>'쪽쟘(실측)'!R87-늘치차감</f>
        <v>#NAME?</v>
      </c>
      <c r="X87" s="50" t="e">
        <f>'쪽쟘(실측)'!S87-늘치차감</f>
        <v>#NAME?</v>
      </c>
      <c r="Z87">
        <v>937</v>
      </c>
      <c r="AA87">
        <v>145.4</v>
      </c>
      <c r="AD87">
        <v>148</v>
      </c>
      <c r="AE87">
        <v>2090</v>
      </c>
    </row>
    <row r="88" spans="1:31" ht="18.75" customHeight="1" x14ac:dyDescent="0.3">
      <c r="A88" s="50">
        <f>'쪽쟘(실측)'!A88</f>
        <v>0</v>
      </c>
      <c r="B88" s="50" t="str">
        <f>'쪽쟘(실측)'!B88&amp;"F"</f>
        <v>F</v>
      </c>
      <c r="C88" s="50" t="str">
        <f t="shared" si="3"/>
        <v>943*149.4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 t="shared" si="4"/>
        <v>2090*151</v>
      </c>
      <c r="H88" s="68" t="str">
        <f t="shared" si="5"/>
        <v>2090*148</v>
      </c>
      <c r="I88" s="70">
        <f>IF('쪽쟘(실측)'!F88&gt;0,'쪽쟘(실측)'!F88+0.5,0)</f>
        <v>0</v>
      </c>
      <c r="J88" s="50">
        <f>IF('쪽쟘(실측)'!H88&gt;0,'쪽쟘(실측)'!H88+0.5,0)</f>
        <v>0</v>
      </c>
      <c r="K88" s="50">
        <f>IF('쪽쟘(실측)'!F88&gt;0,'쪽쟘(실측)'!F88+1.5,0)</f>
        <v>0</v>
      </c>
      <c r="L88" s="50">
        <f>IF('쪽쟘(실측)'!G88&gt;0,'쪽쟘(실측)'!G88+1.5,0)</f>
        <v>0</v>
      </c>
      <c r="M88" s="50">
        <f>IF('쪽쟘(실측)'!H88&gt;0,'쪽쟘(실측)'!H88+1.5,0)</f>
        <v>0</v>
      </c>
      <c r="N88" s="50">
        <f>IF('쪽쟘(실측)'!I88&gt;0,'쪽쟘(실측)'!I88+1.5,0)</f>
        <v>0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1.2</v>
      </c>
      <c r="T88" s="50">
        <f>'쪽쟘(실측)'!O88+1.2</f>
        <v>1.2</v>
      </c>
      <c r="U88" s="50">
        <f>'쪽쟘(실측)'!P88</f>
        <v>0</v>
      </c>
      <c r="V88" s="50">
        <f>'쪽쟘(실측)'!Q88</f>
        <v>0</v>
      </c>
      <c r="W88" s="50" t="e">
        <f>'쪽쟘(실측)'!R88-늘치차감</f>
        <v>#NAME?</v>
      </c>
      <c r="X88" s="50" t="e">
        <f>'쪽쟘(실측)'!S88-늘치차감</f>
        <v>#NAME?</v>
      </c>
      <c r="Z88">
        <v>943</v>
      </c>
      <c r="AA88">
        <v>149.4</v>
      </c>
      <c r="AB88">
        <v>151</v>
      </c>
      <c r="AC88">
        <v>2090</v>
      </c>
      <c r="AD88">
        <v>148</v>
      </c>
      <c r="AE88">
        <v>2090</v>
      </c>
    </row>
    <row r="89" spans="1:31" ht="18.75" customHeight="1" x14ac:dyDescent="0.3">
      <c r="A89" s="50">
        <f>'쪽쟘(실측)'!A89</f>
        <v>0</v>
      </c>
      <c r="B89" s="50" t="str">
        <f>'쪽쟘(실측)'!B89&amp;"F"</f>
        <v>F</v>
      </c>
      <c r="C89" s="50" t="str">
        <f t="shared" si="3"/>
        <v>939*149.4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 t="shared" si="4"/>
        <v>*</v>
      </c>
      <c r="H89" s="68" t="str">
        <f t="shared" si="5"/>
        <v>2090*149</v>
      </c>
      <c r="I89" s="70">
        <f>IF('쪽쟘(실측)'!F89&gt;0,'쪽쟘(실측)'!F89+0.5,0)</f>
        <v>0</v>
      </c>
      <c r="J89" s="50">
        <f>IF('쪽쟘(실측)'!H89&gt;0,'쪽쟘(실측)'!H89+0.5,0)</f>
        <v>0</v>
      </c>
      <c r="K89" s="50">
        <f>IF('쪽쟘(실측)'!F89&gt;0,'쪽쟘(실측)'!F89+1.5,0)</f>
        <v>0</v>
      </c>
      <c r="L89" s="50">
        <f>IF('쪽쟘(실측)'!G89&gt;0,'쪽쟘(실측)'!G89+1.5,0)</f>
        <v>0</v>
      </c>
      <c r="M89" s="50">
        <f>IF('쪽쟘(실측)'!H89&gt;0,'쪽쟘(실측)'!H89+1.5,0)</f>
        <v>0</v>
      </c>
      <c r="N89" s="50">
        <f>IF('쪽쟘(실측)'!I89&gt;0,'쪽쟘(실측)'!I89+1.5,0)</f>
        <v>0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1.2</v>
      </c>
      <c r="T89" s="50">
        <f>'쪽쟘(실측)'!O89+1.2</f>
        <v>1.2</v>
      </c>
      <c r="U89" s="50">
        <f>'쪽쟘(실측)'!P89</f>
        <v>0</v>
      </c>
      <c r="V89" s="50">
        <f>'쪽쟘(실측)'!Q89</f>
        <v>0</v>
      </c>
      <c r="W89" s="50" t="e">
        <f>'쪽쟘(실측)'!R89-늘치차감</f>
        <v>#NAME?</v>
      </c>
      <c r="X89" s="50" t="e">
        <f>'쪽쟘(실측)'!S89-늘치차감</f>
        <v>#NAME?</v>
      </c>
      <c r="Z89">
        <v>939</v>
      </c>
      <c r="AA89">
        <v>149.4</v>
      </c>
      <c r="AD89">
        <v>149</v>
      </c>
      <c r="AE89">
        <v>2090</v>
      </c>
    </row>
    <row r="90" spans="1:31" ht="18.75" customHeight="1" thickBot="1" x14ac:dyDescent="0.35">
      <c r="A90" s="165">
        <f>'쪽쟘(실측)'!A90</f>
        <v>0</v>
      </c>
      <c r="B90" s="165" t="str">
        <f>'쪽쟘(실측)'!B90&amp;"F"</f>
        <v>F</v>
      </c>
      <c r="C90" s="165" t="str">
        <f t="shared" si="3"/>
        <v>944*143.4</v>
      </c>
      <c r="D90" s="165" t="e">
        <f>'쪽쟘(실측)'!C90-OP차감</f>
        <v>#NAME?</v>
      </c>
      <c r="E90" s="165" t="e">
        <f>'쪽쟘(실측)'!D90+쪽쟘J늘림+MAX(W90:X90)</f>
        <v>#VALUE!</v>
      </c>
      <c r="F90" s="165" t="e">
        <f>'쪽쟘(실측)'!E90+쪽쟘J늘림+MAX(W90:X90)</f>
        <v>#VALUE!</v>
      </c>
      <c r="G90" s="166" t="str">
        <f t="shared" si="4"/>
        <v>2090*150</v>
      </c>
      <c r="H90" s="167" t="str">
        <f t="shared" si="5"/>
        <v>2090*150</v>
      </c>
      <c r="I90" s="70">
        <f>IF('쪽쟘(실측)'!F90&gt;0,'쪽쟘(실측)'!F90+0.5,0)</f>
        <v>0</v>
      </c>
      <c r="J90" s="50">
        <f>IF('쪽쟘(실측)'!H90&gt;0,'쪽쟘(실측)'!H90+0.5,0)</f>
        <v>0</v>
      </c>
      <c r="K90" s="50">
        <f>IF('쪽쟘(실측)'!F90&gt;0,'쪽쟘(실측)'!F90+1.5,0)</f>
        <v>0</v>
      </c>
      <c r="L90" s="50">
        <f>IF('쪽쟘(실측)'!G90&gt;0,'쪽쟘(실측)'!G90+1.5,0)</f>
        <v>0</v>
      </c>
      <c r="M90" s="50">
        <f>IF('쪽쟘(실측)'!H90&gt;0,'쪽쟘(실측)'!H90+1.5,0)</f>
        <v>0</v>
      </c>
      <c r="N90" s="50">
        <f>IF('쪽쟘(실측)'!I90&gt;0,'쪽쟘(실측)'!I90+1.5,0)</f>
        <v>0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1.2</v>
      </c>
      <c r="T90" s="50">
        <f>'쪽쟘(실측)'!O90+1.2</f>
        <v>1.2</v>
      </c>
      <c r="U90" s="50">
        <f>'쪽쟘(실측)'!P90</f>
        <v>0</v>
      </c>
      <c r="V90" s="50">
        <f>'쪽쟘(실측)'!Q90</f>
        <v>0</v>
      </c>
      <c r="W90" s="50" t="e">
        <f>'쪽쟘(실측)'!R90-늘치차감</f>
        <v>#NAME?</v>
      </c>
      <c r="X90" s="50" t="e">
        <f>'쪽쟘(실측)'!S90-늘치차감</f>
        <v>#NAME?</v>
      </c>
      <c r="Z90">
        <v>944</v>
      </c>
      <c r="AA90">
        <v>143.4</v>
      </c>
      <c r="AB90">
        <v>150</v>
      </c>
      <c r="AC90">
        <v>2090</v>
      </c>
      <c r="AD90">
        <v>150</v>
      </c>
      <c r="AE90">
        <v>2090</v>
      </c>
    </row>
    <row r="91" spans="1:31" ht="18.75" customHeight="1" x14ac:dyDescent="0.3">
      <c r="A91" s="162">
        <f>'쪽쟘(실측)'!A91</f>
        <v>0</v>
      </c>
      <c r="B91" s="162" t="str">
        <f>'쪽쟘(실측)'!B91&amp;"F"</f>
        <v>F</v>
      </c>
      <c r="C91" s="162" t="str">
        <f t="shared" si="3"/>
        <v>935*149.4</v>
      </c>
      <c r="D91" s="162" t="e">
        <f>'쪽쟘(실측)'!C91-OP차감</f>
        <v>#NAME?</v>
      </c>
      <c r="E91" s="162" t="e">
        <f>'쪽쟘(실측)'!D91+쪽쟘J늘림+MAX(W91:X91)</f>
        <v>#VALUE!</v>
      </c>
      <c r="F91" s="162" t="e">
        <f>'쪽쟘(실측)'!E91+쪽쟘J늘림+MAX(W91:X91)</f>
        <v>#VALUE!</v>
      </c>
      <c r="G91" s="163" t="str">
        <f t="shared" si="4"/>
        <v>2090*146</v>
      </c>
      <c r="H91" s="164" t="str">
        <f t="shared" si="5"/>
        <v>*</v>
      </c>
      <c r="I91" s="70">
        <f>IF('쪽쟘(실측)'!F91&gt;0,'쪽쟘(실측)'!F91+0.5,0)</f>
        <v>0</v>
      </c>
      <c r="J91" s="50">
        <f>IF('쪽쟘(실측)'!H91&gt;0,'쪽쟘(실측)'!H91+0.5,0)</f>
        <v>0</v>
      </c>
      <c r="K91" s="50">
        <f>IF('쪽쟘(실측)'!F91&gt;0,'쪽쟘(실측)'!F91+1.5,0)</f>
        <v>0</v>
      </c>
      <c r="L91" s="50">
        <f>IF('쪽쟘(실측)'!G91&gt;0,'쪽쟘(실측)'!G91+1.5,0)</f>
        <v>0</v>
      </c>
      <c r="M91" s="50">
        <f>IF('쪽쟘(실측)'!H91&gt;0,'쪽쟘(실측)'!H91+1.5,0)</f>
        <v>0</v>
      </c>
      <c r="N91" s="50">
        <f>IF('쪽쟘(실측)'!I91&gt;0,'쪽쟘(실측)'!I91+1.5,0)</f>
        <v>0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1.2</v>
      </c>
      <c r="T91" s="50">
        <f>'쪽쟘(실측)'!O91+1.2</f>
        <v>1.2</v>
      </c>
      <c r="U91" s="50">
        <f>'쪽쟘(실측)'!P91</f>
        <v>0</v>
      </c>
      <c r="V91" s="50">
        <f>'쪽쟘(실측)'!Q91</f>
        <v>0</v>
      </c>
      <c r="W91" s="50" t="e">
        <f>'쪽쟘(실측)'!R91-늘치차감</f>
        <v>#NAME?</v>
      </c>
      <c r="X91" s="50" t="e">
        <f>'쪽쟘(실측)'!S91-늘치차감</f>
        <v>#NAME?</v>
      </c>
      <c r="Z91">
        <v>935</v>
      </c>
      <c r="AA91">
        <v>149.4</v>
      </c>
      <c r="AB91">
        <v>146</v>
      </c>
      <c r="AC91">
        <v>2090</v>
      </c>
    </row>
    <row r="92" spans="1:31" ht="18.75" customHeight="1" x14ac:dyDescent="0.3">
      <c r="A92" s="50">
        <f>'쪽쟘(실측)'!A92</f>
        <v>0</v>
      </c>
      <c r="B92" s="50" t="str">
        <f>'쪽쟘(실측)'!B92&amp;"F"</f>
        <v>F</v>
      </c>
      <c r="C92" s="50" t="str">
        <f t="shared" si="3"/>
        <v>934*146.4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 t="shared" si="4"/>
        <v>2090*145</v>
      </c>
      <c r="H92" s="68" t="str">
        <f t="shared" si="5"/>
        <v>2090*145</v>
      </c>
      <c r="I92" s="70">
        <f>IF('쪽쟘(실측)'!F92&gt;0,'쪽쟘(실측)'!F92+0.5,0)</f>
        <v>0</v>
      </c>
      <c r="J92" s="50">
        <f>IF('쪽쟘(실측)'!H92&gt;0,'쪽쟘(실측)'!H92+0.5,0)</f>
        <v>0</v>
      </c>
      <c r="K92" s="50">
        <f>IF('쪽쟘(실측)'!F92&gt;0,'쪽쟘(실측)'!F92+1.5,0)</f>
        <v>0</v>
      </c>
      <c r="L92" s="50">
        <f>IF('쪽쟘(실측)'!G92&gt;0,'쪽쟘(실측)'!G92+1.5,0)</f>
        <v>0</v>
      </c>
      <c r="M92" s="50">
        <f>IF('쪽쟘(실측)'!H92&gt;0,'쪽쟘(실측)'!H92+1.5,0)</f>
        <v>0</v>
      </c>
      <c r="N92" s="50">
        <f>IF('쪽쟘(실측)'!I92&gt;0,'쪽쟘(실측)'!I92+1.5,0)</f>
        <v>0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1.2</v>
      </c>
      <c r="T92" s="50">
        <f>'쪽쟘(실측)'!O92+1.2</f>
        <v>1.2</v>
      </c>
      <c r="U92" s="50">
        <f>'쪽쟘(실측)'!P92</f>
        <v>0</v>
      </c>
      <c r="V92" s="50">
        <f>'쪽쟘(실측)'!Q92</f>
        <v>0</v>
      </c>
      <c r="W92" s="50" t="e">
        <f>'쪽쟘(실측)'!R92-늘치차감</f>
        <v>#NAME?</v>
      </c>
      <c r="X92" s="50" t="e">
        <f>'쪽쟘(실측)'!S92-늘치차감</f>
        <v>#NAME?</v>
      </c>
      <c r="Z92">
        <v>934</v>
      </c>
      <c r="AA92">
        <v>146.4</v>
      </c>
      <c r="AB92">
        <v>145</v>
      </c>
      <c r="AC92">
        <v>2090</v>
      </c>
      <c r="AD92">
        <v>145</v>
      </c>
      <c r="AE92">
        <v>2090</v>
      </c>
    </row>
    <row r="93" spans="1:31" ht="18.75" customHeight="1" x14ac:dyDescent="0.3">
      <c r="A93" s="50">
        <f>'쪽쟘(실측)'!A93</f>
        <v>0</v>
      </c>
      <c r="B93" s="50" t="str">
        <f>'쪽쟘(실측)'!B93&amp;"F"</f>
        <v>F</v>
      </c>
      <c r="C93" s="50" t="str">
        <f t="shared" si="3"/>
        <v>933*150.4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 t="shared" si="4"/>
        <v>2090*144</v>
      </c>
      <c r="H93" s="68" t="str">
        <f t="shared" si="5"/>
        <v>2090*145</v>
      </c>
      <c r="I93" s="70">
        <f>IF('쪽쟘(실측)'!F93&gt;0,'쪽쟘(실측)'!F93+0.5,0)</f>
        <v>0</v>
      </c>
      <c r="J93" s="50">
        <f>IF('쪽쟘(실측)'!H93&gt;0,'쪽쟘(실측)'!H93+0.5,0)</f>
        <v>0</v>
      </c>
      <c r="K93" s="50">
        <f>IF('쪽쟘(실측)'!F93&gt;0,'쪽쟘(실측)'!F93+1.5,0)</f>
        <v>0</v>
      </c>
      <c r="L93" s="50">
        <f>IF('쪽쟘(실측)'!G93&gt;0,'쪽쟘(실측)'!G93+1.5,0)</f>
        <v>0</v>
      </c>
      <c r="M93" s="50">
        <f>IF('쪽쟘(실측)'!H93&gt;0,'쪽쟘(실측)'!H93+1.5,0)</f>
        <v>0</v>
      </c>
      <c r="N93" s="50">
        <f>IF('쪽쟘(실측)'!I93&gt;0,'쪽쟘(실측)'!I93+1.5,0)</f>
        <v>0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1.2</v>
      </c>
      <c r="T93" s="50">
        <f>'쪽쟘(실측)'!O93+1.2</f>
        <v>1.2</v>
      </c>
      <c r="U93" s="50">
        <f>'쪽쟘(실측)'!P93</f>
        <v>0</v>
      </c>
      <c r="V93" s="50">
        <f>'쪽쟘(실측)'!Q93</f>
        <v>0</v>
      </c>
      <c r="W93" s="50" t="e">
        <f>'쪽쟘(실측)'!R93-늘치차감</f>
        <v>#NAME?</v>
      </c>
      <c r="X93" s="50" t="e">
        <f>'쪽쟘(실측)'!S93-늘치차감</f>
        <v>#NAME?</v>
      </c>
      <c r="Z93">
        <v>933</v>
      </c>
      <c r="AA93">
        <v>150.4</v>
      </c>
      <c r="AB93">
        <v>144</v>
      </c>
      <c r="AC93">
        <v>2090</v>
      </c>
      <c r="AD93">
        <v>145</v>
      </c>
      <c r="AE93">
        <v>2090</v>
      </c>
    </row>
    <row r="94" spans="1:31" ht="18.75" customHeight="1" x14ac:dyDescent="0.3">
      <c r="A94" s="50">
        <f>'쪽쟘(실측)'!A94</f>
        <v>0</v>
      </c>
      <c r="B94" s="50" t="str">
        <f>'쪽쟘(실측)'!B94&amp;"F"</f>
        <v>F</v>
      </c>
      <c r="C94" s="50" t="str">
        <f t="shared" si="3"/>
        <v>933*145.4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 t="shared" si="4"/>
        <v>2090*144</v>
      </c>
      <c r="H94" s="68" t="str">
        <f t="shared" si="5"/>
        <v>2090*145</v>
      </c>
      <c r="I94" s="70">
        <f>IF('쪽쟘(실측)'!F94&gt;0,'쪽쟘(실측)'!F94+0.5,0)</f>
        <v>0</v>
      </c>
      <c r="J94" s="50">
        <f>IF('쪽쟘(실측)'!H94&gt;0,'쪽쟘(실측)'!H94+0.5,0)</f>
        <v>0</v>
      </c>
      <c r="K94" s="50">
        <f>IF('쪽쟘(실측)'!F94&gt;0,'쪽쟘(실측)'!F94+1.5,0)</f>
        <v>0</v>
      </c>
      <c r="L94" s="50">
        <f>IF('쪽쟘(실측)'!G94&gt;0,'쪽쟘(실측)'!G94+1.5,0)</f>
        <v>0</v>
      </c>
      <c r="M94" s="50">
        <f>IF('쪽쟘(실측)'!H94&gt;0,'쪽쟘(실측)'!H94+1.5,0)</f>
        <v>0</v>
      </c>
      <c r="N94" s="50">
        <f>IF('쪽쟘(실측)'!I94&gt;0,'쪽쟘(실측)'!I94+1.5,0)</f>
        <v>0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1.2</v>
      </c>
      <c r="T94" s="50">
        <f>'쪽쟘(실측)'!O94+1.2</f>
        <v>1.2</v>
      </c>
      <c r="U94" s="50">
        <f>'쪽쟘(실측)'!P94</f>
        <v>0</v>
      </c>
      <c r="V94" s="50">
        <f>'쪽쟘(실측)'!Q94</f>
        <v>0</v>
      </c>
      <c r="W94" s="50" t="e">
        <f>'쪽쟘(실측)'!R94-늘치차감</f>
        <v>#NAME?</v>
      </c>
      <c r="X94" s="50" t="e">
        <f>'쪽쟘(실측)'!S94-늘치차감</f>
        <v>#NAME?</v>
      </c>
      <c r="Z94">
        <v>933</v>
      </c>
      <c r="AA94">
        <v>145.4</v>
      </c>
      <c r="AB94">
        <v>144</v>
      </c>
      <c r="AC94">
        <v>2090</v>
      </c>
      <c r="AD94">
        <v>145</v>
      </c>
      <c r="AE94">
        <v>2090</v>
      </c>
    </row>
    <row r="95" spans="1:31" ht="18.75" customHeight="1" x14ac:dyDescent="0.3">
      <c r="A95" s="50">
        <f>'쪽쟘(실측)'!A95</f>
        <v>0</v>
      </c>
      <c r="B95" s="50" t="str">
        <f>'쪽쟘(실측)'!B95&amp;"F"</f>
        <v>F</v>
      </c>
      <c r="C95" s="50" t="str">
        <f t="shared" si="3"/>
        <v>935*148.4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 t="shared" si="4"/>
        <v>2090*145</v>
      </c>
      <c r="H95" s="68" t="str">
        <f t="shared" si="5"/>
        <v>2090*146</v>
      </c>
      <c r="I95" s="70">
        <f>IF('쪽쟘(실측)'!F95&gt;0,'쪽쟘(실측)'!F95+0.5,0)</f>
        <v>0</v>
      </c>
      <c r="J95" s="50">
        <f>IF('쪽쟘(실측)'!H95&gt;0,'쪽쟘(실측)'!H95+0.5,0)</f>
        <v>0</v>
      </c>
      <c r="K95" s="50">
        <f>IF('쪽쟘(실측)'!F95&gt;0,'쪽쟘(실측)'!F95+1.5,0)</f>
        <v>0</v>
      </c>
      <c r="L95" s="50">
        <f>IF('쪽쟘(실측)'!G95&gt;0,'쪽쟘(실측)'!G95+1.5,0)</f>
        <v>0</v>
      </c>
      <c r="M95" s="50">
        <f>IF('쪽쟘(실측)'!H95&gt;0,'쪽쟘(실측)'!H95+1.5,0)</f>
        <v>0</v>
      </c>
      <c r="N95" s="50">
        <f>IF('쪽쟘(실측)'!I95&gt;0,'쪽쟘(실측)'!I95+1.5,0)</f>
        <v>0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1.2</v>
      </c>
      <c r="T95" s="50">
        <f>'쪽쟘(실측)'!O95+1.2</f>
        <v>1.2</v>
      </c>
      <c r="U95" s="50">
        <f>'쪽쟘(실측)'!P95</f>
        <v>0</v>
      </c>
      <c r="V95" s="50">
        <f>'쪽쟘(실측)'!Q95</f>
        <v>0</v>
      </c>
      <c r="W95" s="50" t="e">
        <f>'쪽쟘(실측)'!R95-늘치차감</f>
        <v>#NAME?</v>
      </c>
      <c r="X95" s="50" t="e">
        <f>'쪽쟘(실측)'!S95-늘치차감</f>
        <v>#NAME?</v>
      </c>
      <c r="Z95">
        <v>935</v>
      </c>
      <c r="AA95">
        <v>148.4</v>
      </c>
      <c r="AB95">
        <v>145</v>
      </c>
      <c r="AC95">
        <v>2090</v>
      </c>
      <c r="AD95">
        <v>146</v>
      </c>
      <c r="AE95">
        <v>2090</v>
      </c>
    </row>
    <row r="96" spans="1:31" ht="18.75" customHeight="1" x14ac:dyDescent="0.3">
      <c r="A96" s="50">
        <f>'쪽쟘(실측)'!A96</f>
        <v>0</v>
      </c>
      <c r="B96" s="50" t="str">
        <f>'쪽쟘(실측)'!B96&amp;"F"</f>
        <v>F</v>
      </c>
      <c r="C96" s="50" t="str">
        <f t="shared" si="3"/>
        <v>934*150.4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 t="shared" si="4"/>
        <v>2090*145</v>
      </c>
      <c r="H96" s="68" t="str">
        <f t="shared" si="5"/>
        <v>2090*145</v>
      </c>
      <c r="I96" s="70">
        <f>IF('쪽쟘(실측)'!F96&gt;0,'쪽쟘(실측)'!F96+0.5,0)</f>
        <v>0</v>
      </c>
      <c r="J96" s="50">
        <f>IF('쪽쟘(실측)'!H96&gt;0,'쪽쟘(실측)'!H96+0.5,0)</f>
        <v>0</v>
      </c>
      <c r="K96" s="50">
        <f>IF('쪽쟘(실측)'!F96&gt;0,'쪽쟘(실측)'!F96+1.5,0)</f>
        <v>0</v>
      </c>
      <c r="L96" s="50">
        <f>IF('쪽쟘(실측)'!G96&gt;0,'쪽쟘(실측)'!G96+1.5,0)</f>
        <v>0</v>
      </c>
      <c r="M96" s="50">
        <f>IF('쪽쟘(실측)'!H96&gt;0,'쪽쟘(실측)'!H96+1.5,0)</f>
        <v>0</v>
      </c>
      <c r="N96" s="50">
        <f>IF('쪽쟘(실측)'!I96&gt;0,'쪽쟘(실측)'!I96+1.5,0)</f>
        <v>0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1.2</v>
      </c>
      <c r="T96" s="50">
        <f>'쪽쟘(실측)'!O96+1.2</f>
        <v>1.2</v>
      </c>
      <c r="U96" s="50">
        <f>'쪽쟘(실측)'!P96</f>
        <v>0</v>
      </c>
      <c r="V96" s="50">
        <f>'쪽쟘(실측)'!Q96</f>
        <v>0</v>
      </c>
      <c r="W96" s="50" t="e">
        <f>'쪽쟘(실측)'!R96-늘치차감</f>
        <v>#NAME?</v>
      </c>
      <c r="X96" s="50" t="e">
        <f>'쪽쟘(실측)'!S96-늘치차감</f>
        <v>#NAME?</v>
      </c>
      <c r="Z96">
        <v>934</v>
      </c>
      <c r="AA96">
        <v>150.4</v>
      </c>
      <c r="AB96">
        <v>145</v>
      </c>
      <c r="AC96">
        <v>2090</v>
      </c>
      <c r="AD96">
        <v>145</v>
      </c>
      <c r="AE96">
        <v>2090</v>
      </c>
    </row>
    <row r="97" spans="1:31" ht="18.75" customHeight="1" x14ac:dyDescent="0.3">
      <c r="A97" s="50">
        <f>'쪽쟘(실측)'!A97</f>
        <v>0</v>
      </c>
      <c r="B97" s="50" t="str">
        <f>'쪽쟘(실측)'!B97&amp;"F"</f>
        <v>F</v>
      </c>
      <c r="C97" s="50" t="str">
        <f t="shared" si="3"/>
        <v>937*148.4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 t="shared" si="4"/>
        <v>2090*145</v>
      </c>
      <c r="H97" s="68" t="str">
        <f t="shared" si="5"/>
        <v>2090*148</v>
      </c>
      <c r="I97" s="70">
        <f>IF('쪽쟘(실측)'!F97&gt;0,'쪽쟘(실측)'!F97+0.5,0)</f>
        <v>0</v>
      </c>
      <c r="J97" s="50">
        <f>IF('쪽쟘(실측)'!H97&gt;0,'쪽쟘(실측)'!H97+0.5,0)</f>
        <v>0</v>
      </c>
      <c r="K97" s="50">
        <f>IF('쪽쟘(실측)'!F97&gt;0,'쪽쟘(실측)'!F97+1.5,0)</f>
        <v>0</v>
      </c>
      <c r="L97" s="50">
        <f>IF('쪽쟘(실측)'!G97&gt;0,'쪽쟘(실측)'!G97+1.5,0)</f>
        <v>0</v>
      </c>
      <c r="M97" s="50">
        <f>IF('쪽쟘(실측)'!H97&gt;0,'쪽쟘(실측)'!H97+1.5,0)</f>
        <v>0</v>
      </c>
      <c r="N97" s="50">
        <f>IF('쪽쟘(실측)'!I97&gt;0,'쪽쟘(실측)'!I97+1.5,0)</f>
        <v>0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1.2</v>
      </c>
      <c r="T97" s="50">
        <f>'쪽쟘(실측)'!O97+1.2</f>
        <v>1.2</v>
      </c>
      <c r="U97" s="50">
        <f>'쪽쟘(실측)'!P97</f>
        <v>0</v>
      </c>
      <c r="V97" s="50">
        <f>'쪽쟘(실측)'!Q97</f>
        <v>0</v>
      </c>
      <c r="W97" s="50" t="e">
        <f>'쪽쟘(실측)'!R97-늘치차감</f>
        <v>#NAME?</v>
      </c>
      <c r="X97" s="50" t="e">
        <f>'쪽쟘(실측)'!S97-늘치차감</f>
        <v>#NAME?</v>
      </c>
      <c r="Z97">
        <v>937</v>
      </c>
      <c r="AA97">
        <v>148.4</v>
      </c>
      <c r="AB97">
        <v>145</v>
      </c>
      <c r="AC97">
        <v>2090</v>
      </c>
      <c r="AD97">
        <v>148</v>
      </c>
      <c r="AE97">
        <v>2090</v>
      </c>
    </row>
    <row r="98" spans="1:31" ht="18.75" customHeight="1" x14ac:dyDescent="0.3">
      <c r="A98" s="50">
        <f>'쪽쟘(실측)'!A98</f>
        <v>0</v>
      </c>
      <c r="B98" s="50" t="str">
        <f>'쪽쟘(실측)'!B98&amp;"F"</f>
        <v>F</v>
      </c>
      <c r="C98" s="50" t="str">
        <f t="shared" si="3"/>
        <v>935*149.4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 t="shared" si="4"/>
        <v>2090*146</v>
      </c>
      <c r="H98" s="68" t="str">
        <f t="shared" si="5"/>
        <v>2090*145</v>
      </c>
      <c r="I98" s="70">
        <f>IF('쪽쟘(실측)'!F98&gt;0,'쪽쟘(실측)'!F98+0.5,0)</f>
        <v>0</v>
      </c>
      <c r="J98" s="50">
        <f>IF('쪽쟘(실측)'!H98&gt;0,'쪽쟘(실측)'!H98+0.5,0)</f>
        <v>0</v>
      </c>
      <c r="K98" s="50">
        <f>IF('쪽쟘(실측)'!F98&gt;0,'쪽쟘(실측)'!F98+1.5,0)</f>
        <v>0</v>
      </c>
      <c r="L98" s="50">
        <f>IF('쪽쟘(실측)'!G98&gt;0,'쪽쟘(실측)'!G98+1.5,0)</f>
        <v>0</v>
      </c>
      <c r="M98" s="50">
        <f>IF('쪽쟘(실측)'!H98&gt;0,'쪽쟘(실측)'!H98+1.5,0)</f>
        <v>0</v>
      </c>
      <c r="N98" s="50">
        <f>IF('쪽쟘(실측)'!I98&gt;0,'쪽쟘(실측)'!I98+1.5,0)</f>
        <v>0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1.2</v>
      </c>
      <c r="T98" s="50">
        <f>'쪽쟘(실측)'!O98+1.2</f>
        <v>1.2</v>
      </c>
      <c r="U98" s="50">
        <f>'쪽쟘(실측)'!P98</f>
        <v>0</v>
      </c>
      <c r="V98" s="50">
        <f>'쪽쟘(실측)'!Q98</f>
        <v>0</v>
      </c>
      <c r="W98" s="50" t="e">
        <f>'쪽쟘(실측)'!R98-늘치차감</f>
        <v>#NAME?</v>
      </c>
      <c r="X98" s="50" t="e">
        <f>'쪽쟘(실측)'!S98-늘치차감</f>
        <v>#NAME?</v>
      </c>
      <c r="Z98">
        <v>935</v>
      </c>
      <c r="AA98">
        <v>149.4</v>
      </c>
      <c r="AB98">
        <v>146</v>
      </c>
      <c r="AC98">
        <v>2090</v>
      </c>
      <c r="AD98">
        <v>145</v>
      </c>
      <c r="AE98">
        <v>2090</v>
      </c>
    </row>
    <row r="99" spans="1:31" ht="18.75" customHeight="1" x14ac:dyDescent="0.3">
      <c r="A99" s="50">
        <f>'쪽쟘(실측)'!A99</f>
        <v>0</v>
      </c>
      <c r="B99" s="50" t="str">
        <f>'쪽쟘(실측)'!B99&amp;"F"</f>
        <v>F</v>
      </c>
      <c r="C99" s="50" t="str">
        <f t="shared" si="3"/>
        <v>932*144.4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 t="shared" si="4"/>
        <v>2090*143</v>
      </c>
      <c r="H99" s="68" t="str">
        <f t="shared" si="5"/>
        <v>2090*145</v>
      </c>
      <c r="I99" s="70">
        <f>IF('쪽쟘(실측)'!F99&gt;0,'쪽쟘(실측)'!F99+0.5,0)</f>
        <v>0</v>
      </c>
      <c r="J99" s="50">
        <f>IF('쪽쟘(실측)'!H99&gt;0,'쪽쟘(실측)'!H99+0.5,0)</f>
        <v>0</v>
      </c>
      <c r="K99" s="50">
        <f>IF('쪽쟘(실측)'!F99&gt;0,'쪽쟘(실측)'!F99+1.5,0)</f>
        <v>0</v>
      </c>
      <c r="L99" s="50">
        <f>IF('쪽쟘(실측)'!G99&gt;0,'쪽쟘(실측)'!G99+1.5,0)</f>
        <v>0</v>
      </c>
      <c r="M99" s="50">
        <f>IF('쪽쟘(실측)'!H99&gt;0,'쪽쟘(실측)'!H99+1.5,0)</f>
        <v>0</v>
      </c>
      <c r="N99" s="50">
        <f>IF('쪽쟘(실측)'!I99&gt;0,'쪽쟘(실측)'!I99+1.5,0)</f>
        <v>0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1.2</v>
      </c>
      <c r="T99" s="50">
        <f>'쪽쟘(실측)'!O99+1.2</f>
        <v>1.2</v>
      </c>
      <c r="U99" s="50">
        <f>'쪽쟘(실측)'!P99</f>
        <v>0</v>
      </c>
      <c r="V99" s="50">
        <f>'쪽쟘(실측)'!Q99</f>
        <v>0</v>
      </c>
      <c r="W99" s="50" t="e">
        <f>'쪽쟘(실측)'!R99-늘치차감</f>
        <v>#NAME?</v>
      </c>
      <c r="X99" s="50" t="e">
        <f>'쪽쟘(실측)'!S99-늘치차감</f>
        <v>#NAME?</v>
      </c>
      <c r="Z99">
        <v>932</v>
      </c>
      <c r="AA99">
        <v>144.4</v>
      </c>
      <c r="AB99">
        <v>143</v>
      </c>
      <c r="AC99">
        <v>2090</v>
      </c>
      <c r="AD99">
        <v>145</v>
      </c>
      <c r="AE99">
        <v>2090</v>
      </c>
    </row>
    <row r="100" spans="1:31" ht="18.75" customHeight="1" x14ac:dyDescent="0.3">
      <c r="A100" s="50">
        <f>'쪽쟘(실측)'!A100</f>
        <v>0</v>
      </c>
      <c r="B100" s="50" t="str">
        <f>'쪽쟘(실측)'!B100&amp;"F"</f>
        <v>F</v>
      </c>
      <c r="C100" s="50" t="str">
        <f t="shared" si="3"/>
        <v>934*144.4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 t="shared" si="4"/>
        <v>2090*145</v>
      </c>
      <c r="H100" s="68" t="str">
        <f t="shared" si="5"/>
        <v>2090*145</v>
      </c>
      <c r="I100" s="70">
        <f>IF('쪽쟘(실측)'!F100&gt;0,'쪽쟘(실측)'!F100+0.5,0)</f>
        <v>0</v>
      </c>
      <c r="J100" s="50">
        <f>IF('쪽쟘(실측)'!H100&gt;0,'쪽쟘(실측)'!H100+0.5,0)</f>
        <v>0</v>
      </c>
      <c r="K100" s="50">
        <f>IF('쪽쟘(실측)'!F100&gt;0,'쪽쟘(실측)'!F100+1.5,0)</f>
        <v>0</v>
      </c>
      <c r="L100" s="50">
        <f>IF('쪽쟘(실측)'!G100&gt;0,'쪽쟘(실측)'!G100+1.5,0)</f>
        <v>0</v>
      </c>
      <c r="M100" s="50">
        <f>IF('쪽쟘(실측)'!H100&gt;0,'쪽쟘(실측)'!H100+1.5,0)</f>
        <v>0</v>
      </c>
      <c r="N100" s="50">
        <f>IF('쪽쟘(실측)'!I100&gt;0,'쪽쟘(실측)'!I100+1.5,0)</f>
        <v>0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1.2</v>
      </c>
      <c r="T100" s="50">
        <f>'쪽쟘(실측)'!O100+1.2</f>
        <v>1.2</v>
      </c>
      <c r="U100" s="50">
        <f>'쪽쟘(실측)'!P100</f>
        <v>0</v>
      </c>
      <c r="V100" s="50">
        <f>'쪽쟘(실측)'!Q100</f>
        <v>0</v>
      </c>
      <c r="W100" s="50" t="e">
        <f>'쪽쟘(실측)'!R100-늘치차감</f>
        <v>#NAME?</v>
      </c>
      <c r="X100" s="50" t="e">
        <f>'쪽쟘(실측)'!S100-늘치차감</f>
        <v>#NAME?</v>
      </c>
      <c r="Z100">
        <v>934</v>
      </c>
      <c r="AA100">
        <v>144.4</v>
      </c>
      <c r="AB100">
        <v>145</v>
      </c>
      <c r="AC100">
        <v>2090</v>
      </c>
      <c r="AD100">
        <v>145</v>
      </c>
      <c r="AE100">
        <v>2090</v>
      </c>
    </row>
    <row r="101" spans="1:31" ht="18.75" customHeight="1" x14ac:dyDescent="0.3">
      <c r="A101" s="50">
        <f>'쪽쟘(실측)'!A101</f>
        <v>0</v>
      </c>
      <c r="B101" s="50" t="str">
        <f>'쪽쟘(실측)'!B101&amp;"F"</f>
        <v>F</v>
      </c>
      <c r="C101" s="50" t="str">
        <f t="shared" si="3"/>
        <v>937*145.4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 t="shared" si="4"/>
        <v>2090*145</v>
      </c>
      <c r="H101" s="68" t="str">
        <f t="shared" si="5"/>
        <v>*</v>
      </c>
      <c r="I101" s="70">
        <f>IF('쪽쟘(실측)'!F101&gt;0,'쪽쟘(실측)'!F101+0.5,0)</f>
        <v>0</v>
      </c>
      <c r="J101" s="50">
        <f>IF('쪽쟘(실측)'!H101&gt;0,'쪽쟘(실측)'!H101+0.5,0)</f>
        <v>0</v>
      </c>
      <c r="K101" s="50">
        <f>IF('쪽쟘(실측)'!F101&gt;0,'쪽쟘(실측)'!F101+1.5,0)</f>
        <v>0</v>
      </c>
      <c r="L101" s="50">
        <f>IF('쪽쟘(실측)'!G101&gt;0,'쪽쟘(실측)'!G101+1.5,0)</f>
        <v>0</v>
      </c>
      <c r="M101" s="50">
        <f>IF('쪽쟘(실측)'!H101&gt;0,'쪽쟘(실측)'!H101+1.5,0)</f>
        <v>0</v>
      </c>
      <c r="N101" s="50">
        <f>IF('쪽쟘(실측)'!I101&gt;0,'쪽쟘(실측)'!I101+1.5,0)</f>
        <v>0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1.2</v>
      </c>
      <c r="T101" s="50">
        <f>'쪽쟘(실측)'!O101+1.2</f>
        <v>1.2</v>
      </c>
      <c r="U101" s="50">
        <f>'쪽쟘(실측)'!P101</f>
        <v>0</v>
      </c>
      <c r="V101" s="50">
        <f>'쪽쟘(실측)'!Q101</f>
        <v>0</v>
      </c>
      <c r="W101" s="50" t="e">
        <f>'쪽쟘(실측)'!R101-늘치차감</f>
        <v>#NAME?</v>
      </c>
      <c r="X101" s="50" t="e">
        <f>'쪽쟘(실측)'!S101-늘치차감</f>
        <v>#NAME?</v>
      </c>
      <c r="Z101">
        <v>937</v>
      </c>
      <c r="AA101">
        <v>145.4</v>
      </c>
      <c r="AB101">
        <v>145</v>
      </c>
      <c r="AC101">
        <v>2090</v>
      </c>
    </row>
    <row r="102" spans="1:31" ht="18.75" customHeight="1" x14ac:dyDescent="0.3">
      <c r="A102" s="50">
        <f>'쪽쟘(실측)'!A102</f>
        <v>0</v>
      </c>
      <c r="B102" s="50" t="str">
        <f>'쪽쟘(실측)'!B102&amp;"F"</f>
        <v>F</v>
      </c>
      <c r="C102" s="50" t="str">
        <f t="shared" si="3"/>
        <v>938*143.4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 t="shared" si="4"/>
        <v>2090*147</v>
      </c>
      <c r="H102" s="68" t="str">
        <f t="shared" si="5"/>
        <v>2090*147</v>
      </c>
      <c r="I102" s="70">
        <f>IF('쪽쟘(실측)'!F102&gt;0,'쪽쟘(실측)'!F102+0.5,0)</f>
        <v>0</v>
      </c>
      <c r="J102" s="50">
        <f>IF('쪽쟘(실측)'!H102&gt;0,'쪽쟘(실측)'!H102+0.5,0)</f>
        <v>0</v>
      </c>
      <c r="K102" s="50">
        <f>IF('쪽쟘(실측)'!F102&gt;0,'쪽쟘(실측)'!F102+1.5,0)</f>
        <v>0</v>
      </c>
      <c r="L102" s="50">
        <f>IF('쪽쟘(실측)'!G102&gt;0,'쪽쟘(실측)'!G102+1.5,0)</f>
        <v>0</v>
      </c>
      <c r="M102" s="50">
        <f>IF('쪽쟘(실측)'!H102&gt;0,'쪽쟘(실측)'!H102+1.5,0)</f>
        <v>0</v>
      </c>
      <c r="N102" s="50">
        <f>IF('쪽쟘(실측)'!I102&gt;0,'쪽쟘(실측)'!I102+1.5,0)</f>
        <v>0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1.2</v>
      </c>
      <c r="T102" s="50">
        <f>'쪽쟘(실측)'!O102+1.2</f>
        <v>1.2</v>
      </c>
      <c r="U102" s="50">
        <f>'쪽쟘(실측)'!P102</f>
        <v>0</v>
      </c>
      <c r="V102" s="50">
        <f>'쪽쟘(실측)'!Q102</f>
        <v>0</v>
      </c>
      <c r="W102" s="50" t="e">
        <f>'쪽쟘(실측)'!R102-늘치차감</f>
        <v>#NAME?</v>
      </c>
      <c r="X102" s="50" t="e">
        <f>'쪽쟘(실측)'!S102-늘치차감</f>
        <v>#NAME?</v>
      </c>
      <c r="Z102">
        <v>938</v>
      </c>
      <c r="AA102">
        <v>143.4</v>
      </c>
      <c r="AB102">
        <v>147</v>
      </c>
      <c r="AC102">
        <v>2090</v>
      </c>
      <c r="AD102">
        <v>147</v>
      </c>
      <c r="AE102">
        <v>2090</v>
      </c>
    </row>
    <row r="103" spans="1:31" ht="18.75" customHeight="1" x14ac:dyDescent="0.3">
      <c r="A103" s="50">
        <f>'쪽쟘(실측)'!A103</f>
        <v>0</v>
      </c>
      <c r="B103" s="50" t="str">
        <f>'쪽쟘(실측)'!B103&amp;"F"</f>
        <v>F</v>
      </c>
      <c r="C103" s="50" t="str">
        <f t="shared" si="3"/>
        <v>936*148.4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 t="shared" si="4"/>
        <v>2090*146</v>
      </c>
      <c r="H103" s="68" t="str">
        <f t="shared" si="5"/>
        <v>2090*146</v>
      </c>
      <c r="I103" s="70">
        <f>IF('쪽쟘(실측)'!F103&gt;0,'쪽쟘(실측)'!F103+0.5,0)</f>
        <v>0</v>
      </c>
      <c r="J103" s="50">
        <f>IF('쪽쟘(실측)'!H103&gt;0,'쪽쟘(실측)'!H103+0.5,0)</f>
        <v>0</v>
      </c>
      <c r="K103" s="50">
        <f>IF('쪽쟘(실측)'!F103&gt;0,'쪽쟘(실측)'!F103+1.5,0)</f>
        <v>0</v>
      </c>
      <c r="L103" s="50">
        <f>IF('쪽쟘(실측)'!G103&gt;0,'쪽쟘(실측)'!G103+1.5,0)</f>
        <v>0</v>
      </c>
      <c r="M103" s="50">
        <f>IF('쪽쟘(실측)'!H103&gt;0,'쪽쟘(실측)'!H103+1.5,0)</f>
        <v>0</v>
      </c>
      <c r="N103" s="50">
        <f>IF('쪽쟘(실측)'!I103&gt;0,'쪽쟘(실측)'!I103+1.5,0)</f>
        <v>0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1.2</v>
      </c>
      <c r="T103" s="50">
        <f>'쪽쟘(실측)'!O103+1.2</f>
        <v>1.2</v>
      </c>
      <c r="U103" s="50">
        <f>'쪽쟘(실측)'!P103</f>
        <v>0</v>
      </c>
      <c r="V103" s="50">
        <f>'쪽쟘(실측)'!Q103</f>
        <v>0</v>
      </c>
      <c r="W103" s="50" t="e">
        <f>'쪽쟘(실측)'!R103-늘치차감</f>
        <v>#NAME?</v>
      </c>
      <c r="X103" s="50" t="e">
        <f>'쪽쟘(실측)'!S103-늘치차감</f>
        <v>#NAME?</v>
      </c>
      <c r="Z103">
        <v>936</v>
      </c>
      <c r="AA103">
        <v>148.4</v>
      </c>
      <c r="AB103">
        <v>146</v>
      </c>
      <c r="AC103">
        <v>2090</v>
      </c>
      <c r="AD103">
        <v>146</v>
      </c>
      <c r="AE103">
        <v>2090</v>
      </c>
    </row>
    <row r="104" spans="1:31" ht="18.75" customHeight="1" thickBot="1" x14ac:dyDescent="0.35">
      <c r="A104" s="165">
        <f>'쪽쟘(실측)'!A104</f>
        <v>0</v>
      </c>
      <c r="B104" s="165" t="str">
        <f>'쪽쟘(실측)'!B104&amp;"F"</f>
        <v>F</v>
      </c>
      <c r="C104" s="165" t="str">
        <f t="shared" si="3"/>
        <v>933*147.4</v>
      </c>
      <c r="D104" s="165" t="e">
        <f>'쪽쟘(실측)'!C104-OP차감</f>
        <v>#NAME?</v>
      </c>
      <c r="E104" s="165" t="e">
        <f>'쪽쟘(실측)'!D104+쪽쟘J늘림+MAX(W104:X104)</f>
        <v>#VALUE!</v>
      </c>
      <c r="F104" s="165" t="e">
        <f>'쪽쟘(실측)'!E104+쪽쟘J늘림+MAX(W104:X104)</f>
        <v>#VALUE!</v>
      </c>
      <c r="G104" s="166" t="str">
        <f t="shared" si="4"/>
        <v>2090*144</v>
      </c>
      <c r="H104" s="167" t="str">
        <f t="shared" si="5"/>
        <v>2090*145</v>
      </c>
      <c r="I104" s="70">
        <f>IF('쪽쟘(실측)'!F104&gt;0,'쪽쟘(실측)'!F104+0.5,0)</f>
        <v>0</v>
      </c>
      <c r="J104" s="50">
        <f>IF('쪽쟘(실측)'!H104&gt;0,'쪽쟘(실측)'!H104+0.5,0)</f>
        <v>0</v>
      </c>
      <c r="K104" s="50">
        <f>IF('쪽쟘(실측)'!F104&gt;0,'쪽쟘(실측)'!F104+1.5,0)</f>
        <v>0</v>
      </c>
      <c r="L104" s="50">
        <f>IF('쪽쟘(실측)'!G104&gt;0,'쪽쟘(실측)'!G104+1.5,0)</f>
        <v>0</v>
      </c>
      <c r="M104" s="50">
        <f>IF('쪽쟘(실측)'!H104&gt;0,'쪽쟘(실측)'!H104+1.5,0)</f>
        <v>0</v>
      </c>
      <c r="N104" s="50">
        <f>IF('쪽쟘(실측)'!I104&gt;0,'쪽쟘(실측)'!I104+1.5,0)</f>
        <v>0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1.2</v>
      </c>
      <c r="T104" s="50">
        <f>'쪽쟘(실측)'!O104+1.2</f>
        <v>1.2</v>
      </c>
      <c r="U104" s="50">
        <f>'쪽쟘(실측)'!P104</f>
        <v>0</v>
      </c>
      <c r="V104" s="50">
        <f>'쪽쟘(실측)'!Q104</f>
        <v>0</v>
      </c>
      <c r="W104" s="50" t="e">
        <f>'쪽쟘(실측)'!R104-늘치차감</f>
        <v>#NAME?</v>
      </c>
      <c r="X104" s="50" t="e">
        <f>'쪽쟘(실측)'!S104-늘치차감</f>
        <v>#NAME?</v>
      </c>
      <c r="Z104">
        <v>933</v>
      </c>
      <c r="AA104">
        <v>147.4</v>
      </c>
      <c r="AB104">
        <v>144</v>
      </c>
      <c r="AC104">
        <v>2090</v>
      </c>
      <c r="AD104">
        <v>145</v>
      </c>
      <c r="AE104">
        <v>2090</v>
      </c>
    </row>
    <row r="105" spans="1:31" ht="18.75" customHeight="1" x14ac:dyDescent="0.3">
      <c r="A105" s="162">
        <f>'쪽쟘(실측)'!A105</f>
        <v>0</v>
      </c>
      <c r="B105" s="162" t="str">
        <f>'쪽쟘(실측)'!B105&amp;"F"</f>
        <v>F</v>
      </c>
      <c r="C105" s="162" t="str">
        <f t="shared" si="3"/>
        <v>942*144.4</v>
      </c>
      <c r="D105" s="162" t="e">
        <f>'쪽쟘(실측)'!C105-OP차감</f>
        <v>#NAME?</v>
      </c>
      <c r="E105" s="162" t="e">
        <f>'쪽쟘(실측)'!D105+쪽쟘J늘림+MAX(W105:X105)</f>
        <v>#VALUE!</v>
      </c>
      <c r="F105" s="162" t="e">
        <f>'쪽쟘(실측)'!E105+쪽쟘J늘림+MAX(W105:X105)</f>
        <v>#VALUE!</v>
      </c>
      <c r="G105" s="163" t="str">
        <f t="shared" si="4"/>
        <v>2090*148</v>
      </c>
      <c r="H105" s="164" t="str">
        <f t="shared" si="5"/>
        <v>2090*150</v>
      </c>
      <c r="I105" s="70">
        <f>IF('쪽쟘(실측)'!F105&gt;0,'쪽쟘(실측)'!F105+0.5,0)</f>
        <v>0</v>
      </c>
      <c r="J105" s="50">
        <f>IF('쪽쟘(실측)'!H105&gt;0,'쪽쟘(실측)'!H105+0.5,0)</f>
        <v>0</v>
      </c>
      <c r="K105" s="50">
        <f>IF('쪽쟘(실측)'!F105&gt;0,'쪽쟘(실측)'!F105+1.5,0)</f>
        <v>0</v>
      </c>
      <c r="L105" s="50">
        <f>IF('쪽쟘(실측)'!G105&gt;0,'쪽쟘(실측)'!G105+1.5,0)</f>
        <v>0</v>
      </c>
      <c r="M105" s="50">
        <f>IF('쪽쟘(실측)'!H105&gt;0,'쪽쟘(실측)'!H105+1.5,0)</f>
        <v>0</v>
      </c>
      <c r="N105" s="50">
        <f>IF('쪽쟘(실측)'!I105&gt;0,'쪽쟘(실측)'!I105+1.5,0)</f>
        <v>0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1.2</v>
      </c>
      <c r="T105" s="50">
        <f>'쪽쟘(실측)'!O105+1.2</f>
        <v>1.2</v>
      </c>
      <c r="U105" s="50">
        <f>'쪽쟘(실측)'!P105</f>
        <v>0</v>
      </c>
      <c r="V105" s="50">
        <f>'쪽쟘(실측)'!Q105</f>
        <v>0</v>
      </c>
      <c r="W105" s="50" t="e">
        <f>'쪽쟘(실측)'!R105-늘치차감</f>
        <v>#NAME?</v>
      </c>
      <c r="X105" s="50" t="e">
        <f>'쪽쟘(실측)'!S105-늘치차감</f>
        <v>#NAME?</v>
      </c>
      <c r="Z105">
        <v>942</v>
      </c>
      <c r="AA105">
        <v>144.4</v>
      </c>
      <c r="AB105">
        <v>148</v>
      </c>
      <c r="AC105">
        <v>2090</v>
      </c>
      <c r="AD105">
        <v>150</v>
      </c>
      <c r="AE105">
        <v>2090</v>
      </c>
    </row>
    <row r="106" spans="1:31" ht="18.75" customHeight="1" x14ac:dyDescent="0.3">
      <c r="A106" s="50">
        <f>'쪽쟘(실측)'!A106</f>
        <v>0</v>
      </c>
      <c r="B106" s="50" t="str">
        <f>'쪽쟘(실측)'!B106&amp;"F"</f>
        <v>F</v>
      </c>
      <c r="C106" s="50" t="str">
        <f t="shared" si="3"/>
        <v>936*149.4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 t="shared" si="4"/>
        <v>2090*144</v>
      </c>
      <c r="H106" s="68" t="str">
        <f t="shared" si="5"/>
        <v>*</v>
      </c>
      <c r="I106" s="70">
        <f>IF('쪽쟘(실측)'!F106&gt;0,'쪽쟘(실측)'!F106+0.5,0)</f>
        <v>0</v>
      </c>
      <c r="J106" s="50">
        <f>IF('쪽쟘(실측)'!H106&gt;0,'쪽쟘(실측)'!H106+0.5,0)</f>
        <v>0</v>
      </c>
      <c r="K106" s="50">
        <f>IF('쪽쟘(실측)'!F106&gt;0,'쪽쟘(실측)'!F106+1.5,0)</f>
        <v>0</v>
      </c>
      <c r="L106" s="50">
        <f>IF('쪽쟘(실측)'!G106&gt;0,'쪽쟘(실측)'!G106+1.5,0)</f>
        <v>0</v>
      </c>
      <c r="M106" s="50">
        <f>IF('쪽쟘(실측)'!H106&gt;0,'쪽쟘(실측)'!H106+1.5,0)</f>
        <v>0</v>
      </c>
      <c r="N106" s="50">
        <f>IF('쪽쟘(실측)'!I106&gt;0,'쪽쟘(실측)'!I106+1.5,0)</f>
        <v>0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1.2</v>
      </c>
      <c r="T106" s="50">
        <f>'쪽쟘(실측)'!O106+1.2</f>
        <v>1.2</v>
      </c>
      <c r="U106" s="50">
        <f>'쪽쟘(실측)'!P106</f>
        <v>0</v>
      </c>
      <c r="V106" s="50">
        <f>'쪽쟘(실측)'!Q106</f>
        <v>0</v>
      </c>
      <c r="W106" s="50" t="e">
        <f>'쪽쟘(실측)'!R106-늘치차감</f>
        <v>#NAME?</v>
      </c>
      <c r="X106" s="50" t="e">
        <f>'쪽쟘(실측)'!S106-늘치차감</f>
        <v>#NAME?</v>
      </c>
      <c r="Z106">
        <v>936</v>
      </c>
      <c r="AA106">
        <v>149.4</v>
      </c>
      <c r="AB106">
        <v>144</v>
      </c>
      <c r="AC106">
        <v>2090</v>
      </c>
    </row>
    <row r="107" spans="1:31" ht="18.75" customHeight="1" x14ac:dyDescent="0.3">
      <c r="A107" s="50">
        <f>'쪽쟘(실측)'!A107</f>
        <v>0</v>
      </c>
      <c r="B107" s="50" t="str">
        <f>'쪽쟘(실측)'!B107&amp;"F"</f>
        <v>F</v>
      </c>
      <c r="C107" s="50" t="str">
        <f t="shared" si="3"/>
        <v>937*150.4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 t="shared" si="4"/>
        <v>2090*146</v>
      </c>
      <c r="H107" s="68" t="str">
        <f t="shared" si="5"/>
        <v>2090*147</v>
      </c>
      <c r="I107" s="70">
        <f>IF('쪽쟘(실측)'!F107&gt;0,'쪽쟘(실측)'!F107+0.5,0)</f>
        <v>0</v>
      </c>
      <c r="J107" s="50">
        <f>IF('쪽쟘(실측)'!H107&gt;0,'쪽쟘(실측)'!H107+0.5,0)</f>
        <v>0</v>
      </c>
      <c r="K107" s="50">
        <f>IF('쪽쟘(실측)'!F107&gt;0,'쪽쟘(실측)'!F107+1.5,0)</f>
        <v>0</v>
      </c>
      <c r="L107" s="50">
        <f>IF('쪽쟘(실측)'!G107&gt;0,'쪽쟘(실측)'!G107+1.5,0)</f>
        <v>0</v>
      </c>
      <c r="M107" s="50">
        <f>IF('쪽쟘(실측)'!H107&gt;0,'쪽쟘(실측)'!H107+1.5,0)</f>
        <v>0</v>
      </c>
      <c r="N107" s="50">
        <f>IF('쪽쟘(실측)'!I107&gt;0,'쪽쟘(실측)'!I107+1.5,0)</f>
        <v>0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1.2</v>
      </c>
      <c r="T107" s="50">
        <f>'쪽쟘(실측)'!O107+1.2</f>
        <v>1.2</v>
      </c>
      <c r="U107" s="50">
        <f>'쪽쟘(실측)'!P107</f>
        <v>0</v>
      </c>
      <c r="V107" s="50">
        <f>'쪽쟘(실측)'!Q107</f>
        <v>0</v>
      </c>
      <c r="W107" s="50" t="e">
        <f>'쪽쟘(실측)'!R107-늘치차감</f>
        <v>#NAME?</v>
      </c>
      <c r="X107" s="50" t="e">
        <f>'쪽쟘(실측)'!S107-늘치차감</f>
        <v>#NAME?</v>
      </c>
      <c r="Z107">
        <v>937</v>
      </c>
      <c r="AA107">
        <v>150.4</v>
      </c>
      <c r="AB107">
        <v>146</v>
      </c>
      <c r="AC107">
        <v>2090</v>
      </c>
      <c r="AD107">
        <v>147</v>
      </c>
      <c r="AE107">
        <v>2090</v>
      </c>
    </row>
    <row r="108" spans="1:31" ht="18.75" customHeight="1" x14ac:dyDescent="0.3">
      <c r="A108" s="50">
        <f>'쪽쟘(실측)'!A108</f>
        <v>0</v>
      </c>
      <c r="B108" s="50" t="str">
        <f>'쪽쟘(실측)'!B108&amp;"F"</f>
        <v>F</v>
      </c>
      <c r="C108" s="50" t="str">
        <f t="shared" si="3"/>
        <v>941*150.4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 t="shared" si="4"/>
        <v>2090*147</v>
      </c>
      <c r="H108" s="68" t="str">
        <f t="shared" si="5"/>
        <v>*</v>
      </c>
      <c r="I108" s="70">
        <f>IF('쪽쟘(실측)'!F108&gt;0,'쪽쟘(실측)'!F108+0.5,0)</f>
        <v>0</v>
      </c>
      <c r="J108" s="50">
        <f>IF('쪽쟘(실측)'!H108&gt;0,'쪽쟘(실측)'!H108+0.5,0)</f>
        <v>0</v>
      </c>
      <c r="K108" s="50">
        <f>IF('쪽쟘(실측)'!F108&gt;0,'쪽쟘(실측)'!F108+1.5,0)</f>
        <v>0</v>
      </c>
      <c r="L108" s="50">
        <f>IF('쪽쟘(실측)'!G108&gt;0,'쪽쟘(실측)'!G108+1.5,0)</f>
        <v>0</v>
      </c>
      <c r="M108" s="50">
        <f>IF('쪽쟘(실측)'!H108&gt;0,'쪽쟘(실측)'!H108+1.5,0)</f>
        <v>0</v>
      </c>
      <c r="N108" s="50">
        <f>IF('쪽쟘(실측)'!I108&gt;0,'쪽쟘(실측)'!I108+1.5,0)</f>
        <v>0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1.2</v>
      </c>
      <c r="T108" s="50">
        <f>'쪽쟘(실측)'!O108+1.2</f>
        <v>1.2</v>
      </c>
      <c r="U108" s="50">
        <f>'쪽쟘(실측)'!P108</f>
        <v>0</v>
      </c>
      <c r="V108" s="50">
        <f>'쪽쟘(실측)'!Q108</f>
        <v>0</v>
      </c>
      <c r="W108" s="50" t="e">
        <f>'쪽쟘(실측)'!R108-늘치차감</f>
        <v>#NAME?</v>
      </c>
      <c r="X108" s="50" t="e">
        <f>'쪽쟘(실측)'!S108-늘치차감</f>
        <v>#NAME?</v>
      </c>
      <c r="Z108">
        <v>941</v>
      </c>
      <c r="AA108">
        <v>150.4</v>
      </c>
      <c r="AB108">
        <v>147</v>
      </c>
      <c r="AC108">
        <v>2090</v>
      </c>
    </row>
    <row r="109" spans="1:31" ht="18.75" customHeight="1" x14ac:dyDescent="0.3">
      <c r="A109" s="50">
        <f>'쪽쟘(실측)'!A109</f>
        <v>0</v>
      </c>
      <c r="B109" s="50" t="str">
        <f>'쪽쟘(실측)'!B109&amp;"F"</f>
        <v>F</v>
      </c>
      <c r="C109" s="50" t="str">
        <f t="shared" si="3"/>
        <v>927*148.4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 t="shared" si="4"/>
        <v>2090*140</v>
      </c>
      <c r="H109" s="68" t="str">
        <f t="shared" si="5"/>
        <v>2090*143</v>
      </c>
      <c r="I109" s="70">
        <f>IF('쪽쟘(실측)'!F109&gt;0,'쪽쟘(실측)'!F109+0.5,0)</f>
        <v>0</v>
      </c>
      <c r="J109" s="50">
        <f>IF('쪽쟘(실측)'!H109&gt;0,'쪽쟘(실측)'!H109+0.5,0)</f>
        <v>0</v>
      </c>
      <c r="K109" s="50">
        <f>IF('쪽쟘(실측)'!F109&gt;0,'쪽쟘(실측)'!F109+1.5,0)</f>
        <v>0</v>
      </c>
      <c r="L109" s="50">
        <f>IF('쪽쟘(실측)'!G109&gt;0,'쪽쟘(실측)'!G109+1.5,0)</f>
        <v>0</v>
      </c>
      <c r="M109" s="50">
        <f>IF('쪽쟘(실측)'!H109&gt;0,'쪽쟘(실측)'!H109+1.5,0)</f>
        <v>0</v>
      </c>
      <c r="N109" s="50">
        <f>IF('쪽쟘(실측)'!I109&gt;0,'쪽쟘(실측)'!I109+1.5,0)</f>
        <v>0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1.2</v>
      </c>
      <c r="T109" s="50">
        <f>'쪽쟘(실측)'!O109+1.2</f>
        <v>1.2</v>
      </c>
      <c r="U109" s="50">
        <f>'쪽쟘(실측)'!P109</f>
        <v>0</v>
      </c>
      <c r="V109" s="50">
        <f>'쪽쟘(실측)'!Q109</f>
        <v>0</v>
      </c>
      <c r="W109" s="50" t="e">
        <f>'쪽쟘(실측)'!R109-늘치차감</f>
        <v>#NAME?</v>
      </c>
      <c r="X109" s="50" t="e">
        <f>'쪽쟘(실측)'!S109-늘치차감</f>
        <v>#NAME?</v>
      </c>
      <c r="Z109">
        <v>927</v>
      </c>
      <c r="AA109">
        <v>148.4</v>
      </c>
      <c r="AB109">
        <v>140</v>
      </c>
      <c r="AC109">
        <v>2090</v>
      </c>
      <c r="AD109">
        <v>143</v>
      </c>
      <c r="AE109">
        <v>2090</v>
      </c>
    </row>
    <row r="110" spans="1:31" ht="18.75" customHeight="1" x14ac:dyDescent="0.3">
      <c r="A110" s="50">
        <f>'쪽쟘(실측)'!A110</f>
        <v>0</v>
      </c>
      <c r="B110" s="50" t="str">
        <f>'쪽쟘(실측)'!B110&amp;"F"</f>
        <v>F</v>
      </c>
      <c r="C110" s="50" t="str">
        <f t="shared" si="3"/>
        <v>933*144.4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 t="shared" si="4"/>
        <v>2090*145</v>
      </c>
      <c r="H110" s="68" t="str">
        <f t="shared" si="5"/>
        <v>2090*144</v>
      </c>
      <c r="I110" s="70">
        <f>IF('쪽쟘(실측)'!F110&gt;0,'쪽쟘(실측)'!F110+0.5,0)</f>
        <v>0</v>
      </c>
      <c r="J110" s="50">
        <f>IF('쪽쟘(실측)'!H110&gt;0,'쪽쟘(실측)'!H110+0.5,0)</f>
        <v>0</v>
      </c>
      <c r="K110" s="50">
        <f>IF('쪽쟘(실측)'!F110&gt;0,'쪽쟘(실측)'!F110+1.5,0)</f>
        <v>0</v>
      </c>
      <c r="L110" s="50">
        <f>IF('쪽쟘(실측)'!G110&gt;0,'쪽쟘(실측)'!G110+1.5,0)</f>
        <v>0</v>
      </c>
      <c r="M110" s="50">
        <f>IF('쪽쟘(실측)'!H110&gt;0,'쪽쟘(실측)'!H110+1.5,0)</f>
        <v>0</v>
      </c>
      <c r="N110" s="50">
        <f>IF('쪽쟘(실측)'!I110&gt;0,'쪽쟘(실측)'!I110+1.5,0)</f>
        <v>0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1.2</v>
      </c>
      <c r="T110" s="50">
        <f>'쪽쟘(실측)'!O110+1.2</f>
        <v>1.2</v>
      </c>
      <c r="U110" s="50">
        <f>'쪽쟘(실측)'!P110</f>
        <v>0</v>
      </c>
      <c r="V110" s="50">
        <f>'쪽쟘(실측)'!Q110</f>
        <v>0</v>
      </c>
      <c r="W110" s="50" t="e">
        <f>'쪽쟘(실측)'!R110-늘치차감</f>
        <v>#NAME?</v>
      </c>
      <c r="X110" s="50" t="e">
        <f>'쪽쟘(실측)'!S110-늘치차감</f>
        <v>#NAME?</v>
      </c>
      <c r="Z110">
        <v>933</v>
      </c>
      <c r="AA110">
        <v>144.4</v>
      </c>
      <c r="AB110">
        <v>145</v>
      </c>
      <c r="AC110">
        <v>2090</v>
      </c>
      <c r="AD110">
        <v>144</v>
      </c>
      <c r="AE110">
        <v>2090</v>
      </c>
    </row>
    <row r="111" spans="1:31" ht="18.75" customHeight="1" x14ac:dyDescent="0.3">
      <c r="A111" s="50">
        <f>'쪽쟘(실측)'!A111</f>
        <v>0</v>
      </c>
      <c r="B111" s="50" t="str">
        <f>'쪽쟘(실측)'!B111&amp;"F"</f>
        <v>F</v>
      </c>
      <c r="C111" s="50" t="str">
        <f t="shared" si="3"/>
        <v>929*144.4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 t="shared" si="4"/>
        <v>2090*141</v>
      </c>
      <c r="H111" s="68" t="str">
        <f t="shared" si="5"/>
        <v>2090*144</v>
      </c>
      <c r="I111" s="70">
        <f>IF('쪽쟘(실측)'!F111&gt;0,'쪽쟘(실측)'!F111+0.5,0)</f>
        <v>0</v>
      </c>
      <c r="J111" s="50">
        <f>IF('쪽쟘(실측)'!H111&gt;0,'쪽쟘(실측)'!H111+0.5,0)</f>
        <v>0</v>
      </c>
      <c r="K111" s="50">
        <f>IF('쪽쟘(실측)'!F111&gt;0,'쪽쟘(실측)'!F111+1.5,0)</f>
        <v>0</v>
      </c>
      <c r="L111" s="50">
        <f>IF('쪽쟘(실측)'!G111&gt;0,'쪽쟘(실측)'!G111+1.5,0)</f>
        <v>0</v>
      </c>
      <c r="M111" s="50">
        <f>IF('쪽쟘(실측)'!H111&gt;0,'쪽쟘(실측)'!H111+1.5,0)</f>
        <v>0</v>
      </c>
      <c r="N111" s="50">
        <f>IF('쪽쟘(실측)'!I111&gt;0,'쪽쟘(실측)'!I111+1.5,0)</f>
        <v>0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1.2</v>
      </c>
      <c r="T111" s="50">
        <f>'쪽쟘(실측)'!O111+1.2</f>
        <v>1.2</v>
      </c>
      <c r="U111" s="50">
        <f>'쪽쟘(실측)'!P111</f>
        <v>0</v>
      </c>
      <c r="V111" s="50">
        <f>'쪽쟘(실측)'!Q111</f>
        <v>0</v>
      </c>
      <c r="W111" s="50" t="e">
        <f>'쪽쟘(실측)'!R111-늘치차감</f>
        <v>#NAME?</v>
      </c>
      <c r="X111" s="50" t="e">
        <f>'쪽쟘(실측)'!S111-늘치차감</f>
        <v>#NAME?</v>
      </c>
      <c r="Z111">
        <v>929</v>
      </c>
      <c r="AA111">
        <v>144.4</v>
      </c>
      <c r="AB111">
        <v>141</v>
      </c>
      <c r="AC111">
        <v>2090</v>
      </c>
      <c r="AD111">
        <v>144</v>
      </c>
      <c r="AE111">
        <v>2090</v>
      </c>
    </row>
    <row r="112" spans="1:31" ht="18.75" customHeight="1" x14ac:dyDescent="0.3">
      <c r="A112" s="50">
        <f>'쪽쟘(실측)'!A112</f>
        <v>0</v>
      </c>
      <c r="B112" s="50" t="str">
        <f>'쪽쟘(실측)'!B112&amp;"F"</f>
        <v>F</v>
      </c>
      <c r="C112" s="50" t="str">
        <f t="shared" si="3"/>
        <v>932*148.4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 t="shared" si="4"/>
        <v>2090*144</v>
      </c>
      <c r="H112" s="68" t="str">
        <f t="shared" si="5"/>
        <v>2090*144</v>
      </c>
      <c r="I112" s="70">
        <f>IF('쪽쟘(실측)'!F112&gt;0,'쪽쟘(실측)'!F112+0.5,0)</f>
        <v>0</v>
      </c>
      <c r="J112" s="50">
        <f>IF('쪽쟘(실측)'!H112&gt;0,'쪽쟘(실측)'!H112+0.5,0)</f>
        <v>0</v>
      </c>
      <c r="K112" s="50">
        <f>IF('쪽쟘(실측)'!F112&gt;0,'쪽쟘(실측)'!F112+1.5,0)</f>
        <v>0</v>
      </c>
      <c r="L112" s="50">
        <f>IF('쪽쟘(실측)'!G112&gt;0,'쪽쟘(실측)'!G112+1.5,0)</f>
        <v>0</v>
      </c>
      <c r="M112" s="50">
        <f>IF('쪽쟘(실측)'!H112&gt;0,'쪽쟘(실측)'!H112+1.5,0)</f>
        <v>0</v>
      </c>
      <c r="N112" s="50">
        <f>IF('쪽쟘(실측)'!I112&gt;0,'쪽쟘(실측)'!I112+1.5,0)</f>
        <v>0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1.2</v>
      </c>
      <c r="T112" s="50">
        <f>'쪽쟘(실측)'!O112+1.2</f>
        <v>1.2</v>
      </c>
      <c r="U112" s="50">
        <f>'쪽쟘(실측)'!P112</f>
        <v>0</v>
      </c>
      <c r="V112" s="50">
        <f>'쪽쟘(실측)'!Q112</f>
        <v>0</v>
      </c>
      <c r="W112" s="50" t="e">
        <f>'쪽쟘(실측)'!R112-늘치차감</f>
        <v>#NAME?</v>
      </c>
      <c r="X112" s="50" t="e">
        <f>'쪽쟘(실측)'!S112-늘치차감</f>
        <v>#NAME?</v>
      </c>
      <c r="Z112">
        <v>932</v>
      </c>
      <c r="AA112">
        <v>148.4</v>
      </c>
      <c r="AB112">
        <v>144</v>
      </c>
      <c r="AC112">
        <v>2090</v>
      </c>
      <c r="AD112">
        <v>144</v>
      </c>
      <c r="AE112">
        <v>2090</v>
      </c>
    </row>
    <row r="113" spans="1:31" ht="18.75" customHeight="1" x14ac:dyDescent="0.3">
      <c r="A113" s="50">
        <f>'쪽쟘(실측)'!A113</f>
        <v>0</v>
      </c>
      <c r="B113" s="50" t="str">
        <f>'쪽쟘(실측)'!B113&amp;"F"</f>
        <v>F</v>
      </c>
      <c r="C113" s="50" t="str">
        <f t="shared" si="3"/>
        <v>926*148.4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 t="shared" si="4"/>
        <v>2090*141</v>
      </c>
      <c r="H113" s="68" t="str">
        <f t="shared" si="5"/>
        <v>2090*141</v>
      </c>
      <c r="I113" s="70">
        <f>IF('쪽쟘(실측)'!F113&gt;0,'쪽쟘(실측)'!F113+0.5,0)</f>
        <v>0</v>
      </c>
      <c r="J113" s="50">
        <f>IF('쪽쟘(실측)'!H113&gt;0,'쪽쟘(실측)'!H113+0.5,0)</f>
        <v>0</v>
      </c>
      <c r="K113" s="50">
        <f>IF('쪽쟘(실측)'!F113&gt;0,'쪽쟘(실측)'!F113+1.5,0)</f>
        <v>0</v>
      </c>
      <c r="L113" s="50">
        <f>IF('쪽쟘(실측)'!G113&gt;0,'쪽쟘(실측)'!G113+1.5,0)</f>
        <v>0</v>
      </c>
      <c r="M113" s="50">
        <f>IF('쪽쟘(실측)'!H113&gt;0,'쪽쟘(실측)'!H113+1.5,0)</f>
        <v>0</v>
      </c>
      <c r="N113" s="50">
        <f>IF('쪽쟘(실측)'!I113&gt;0,'쪽쟘(실측)'!I113+1.5,0)</f>
        <v>0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1.2</v>
      </c>
      <c r="T113" s="50">
        <f>'쪽쟘(실측)'!O113+1.2</f>
        <v>1.2</v>
      </c>
      <c r="U113" s="50">
        <f>'쪽쟘(실측)'!P113</f>
        <v>0</v>
      </c>
      <c r="V113" s="50">
        <f>'쪽쟘(실측)'!Q113</f>
        <v>0</v>
      </c>
      <c r="W113" s="50" t="e">
        <f>'쪽쟘(실측)'!R113-늘치차감</f>
        <v>#NAME?</v>
      </c>
      <c r="X113" s="50" t="e">
        <f>'쪽쟘(실측)'!S113-늘치차감</f>
        <v>#NAME?</v>
      </c>
      <c r="Z113">
        <v>926</v>
      </c>
      <c r="AA113">
        <v>148.4</v>
      </c>
      <c r="AB113">
        <v>141</v>
      </c>
      <c r="AC113">
        <v>2090</v>
      </c>
      <c r="AD113">
        <v>141</v>
      </c>
      <c r="AE113">
        <v>2090</v>
      </c>
    </row>
    <row r="114" spans="1:31" ht="18.75" customHeight="1" x14ac:dyDescent="0.3">
      <c r="A114" s="50">
        <f>'쪽쟘(실측)'!A114</f>
        <v>0</v>
      </c>
      <c r="B114" s="50" t="str">
        <f>'쪽쟘(실측)'!B114&amp;"F"</f>
        <v>F</v>
      </c>
      <c r="C114" s="50" t="str">
        <f t="shared" si="3"/>
        <v>930*145.4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 t="shared" si="4"/>
        <v>2090*141</v>
      </c>
      <c r="H114" s="68" t="str">
        <f t="shared" si="5"/>
        <v>2090*145</v>
      </c>
      <c r="I114" s="70">
        <f>IF('쪽쟘(실측)'!F114&gt;0,'쪽쟘(실측)'!F114+0.5,0)</f>
        <v>0</v>
      </c>
      <c r="J114" s="50">
        <f>IF('쪽쟘(실측)'!H114&gt;0,'쪽쟘(실측)'!H114+0.5,0)</f>
        <v>0</v>
      </c>
      <c r="K114" s="50">
        <f>IF('쪽쟘(실측)'!F114&gt;0,'쪽쟘(실측)'!F114+1.5,0)</f>
        <v>0</v>
      </c>
      <c r="L114" s="50">
        <f>IF('쪽쟘(실측)'!G114&gt;0,'쪽쟘(실측)'!G114+1.5,0)</f>
        <v>0</v>
      </c>
      <c r="M114" s="50">
        <f>IF('쪽쟘(실측)'!H114&gt;0,'쪽쟘(실측)'!H114+1.5,0)</f>
        <v>0</v>
      </c>
      <c r="N114" s="50">
        <f>IF('쪽쟘(실측)'!I114&gt;0,'쪽쟘(실측)'!I114+1.5,0)</f>
        <v>0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1.2</v>
      </c>
      <c r="T114" s="50">
        <f>'쪽쟘(실측)'!O114+1.2</f>
        <v>1.2</v>
      </c>
      <c r="U114" s="50">
        <f>'쪽쟘(실측)'!P114</f>
        <v>0</v>
      </c>
      <c r="V114" s="50">
        <f>'쪽쟘(실측)'!Q114</f>
        <v>0</v>
      </c>
      <c r="W114" s="50" t="e">
        <f>'쪽쟘(실측)'!R114-늘치차감</f>
        <v>#NAME?</v>
      </c>
      <c r="X114" s="50" t="e">
        <f>'쪽쟘(실측)'!S114-늘치차감</f>
        <v>#NAME?</v>
      </c>
      <c r="Z114">
        <v>930</v>
      </c>
      <c r="AA114">
        <v>145.4</v>
      </c>
      <c r="AB114">
        <v>141</v>
      </c>
      <c r="AC114">
        <v>2090</v>
      </c>
      <c r="AD114">
        <v>145</v>
      </c>
      <c r="AE114">
        <v>2090</v>
      </c>
    </row>
    <row r="115" spans="1:31" ht="18.75" customHeight="1" x14ac:dyDescent="0.3">
      <c r="A115" s="50">
        <f>'쪽쟘(실측)'!A115</f>
        <v>0</v>
      </c>
      <c r="B115" s="50" t="str">
        <f>'쪽쟘(실측)'!B115&amp;"F"</f>
        <v>F</v>
      </c>
      <c r="C115" s="50" t="str">
        <f t="shared" si="3"/>
        <v>930*143.4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 t="shared" si="4"/>
        <v>2090*141</v>
      </c>
      <c r="H115" s="68" t="str">
        <f t="shared" si="5"/>
        <v>2090*145</v>
      </c>
      <c r="I115" s="70">
        <f>IF('쪽쟘(실측)'!F115&gt;0,'쪽쟘(실측)'!F115+0.5,0)</f>
        <v>0</v>
      </c>
      <c r="J115" s="50">
        <f>IF('쪽쟘(실측)'!H115&gt;0,'쪽쟘(실측)'!H115+0.5,0)</f>
        <v>0</v>
      </c>
      <c r="K115" s="50">
        <f>IF('쪽쟘(실측)'!F115&gt;0,'쪽쟘(실측)'!F115+1.5,0)</f>
        <v>0</v>
      </c>
      <c r="L115" s="50">
        <f>IF('쪽쟘(실측)'!G115&gt;0,'쪽쟘(실측)'!G115+1.5,0)</f>
        <v>0</v>
      </c>
      <c r="M115" s="50">
        <f>IF('쪽쟘(실측)'!H115&gt;0,'쪽쟘(실측)'!H115+1.5,0)</f>
        <v>0</v>
      </c>
      <c r="N115" s="50">
        <f>IF('쪽쟘(실측)'!I115&gt;0,'쪽쟘(실측)'!I115+1.5,0)</f>
        <v>0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1.2</v>
      </c>
      <c r="T115" s="50">
        <f>'쪽쟘(실측)'!O115+1.2</f>
        <v>1.2</v>
      </c>
      <c r="U115" s="50">
        <f>'쪽쟘(실측)'!P115</f>
        <v>0</v>
      </c>
      <c r="V115" s="50">
        <f>'쪽쟘(실측)'!Q115</f>
        <v>0</v>
      </c>
      <c r="W115" s="50" t="e">
        <f>'쪽쟘(실측)'!R115-늘치차감</f>
        <v>#NAME?</v>
      </c>
      <c r="X115" s="50" t="e">
        <f>'쪽쟘(실측)'!S115-늘치차감</f>
        <v>#NAME?</v>
      </c>
      <c r="Z115">
        <v>930</v>
      </c>
      <c r="AA115">
        <v>143.4</v>
      </c>
      <c r="AB115">
        <v>141</v>
      </c>
      <c r="AC115">
        <v>2090</v>
      </c>
      <c r="AD115">
        <v>145</v>
      </c>
      <c r="AE115">
        <v>2090</v>
      </c>
    </row>
    <row r="116" spans="1:31" ht="18.75" customHeight="1" x14ac:dyDescent="0.3">
      <c r="A116" s="50">
        <f>'쪽쟘(실측)'!A116</f>
        <v>0</v>
      </c>
      <c r="B116" s="50" t="str">
        <f>'쪽쟘(실측)'!B116&amp;"F"</f>
        <v>F</v>
      </c>
      <c r="C116" s="50" t="str">
        <f t="shared" si="3"/>
        <v>930*147.4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 t="shared" si="4"/>
        <v>2090*141</v>
      </c>
      <c r="H116" s="68" t="str">
        <f t="shared" si="5"/>
        <v>2090*145</v>
      </c>
      <c r="I116" s="70">
        <f>IF('쪽쟘(실측)'!F116&gt;0,'쪽쟘(실측)'!F116+0.5,0)</f>
        <v>0</v>
      </c>
      <c r="J116" s="50">
        <f>IF('쪽쟘(실측)'!H116&gt;0,'쪽쟘(실측)'!H116+0.5,0)</f>
        <v>0</v>
      </c>
      <c r="K116" s="50">
        <f>IF('쪽쟘(실측)'!F116&gt;0,'쪽쟘(실측)'!F116+1.5,0)</f>
        <v>0</v>
      </c>
      <c r="L116" s="50">
        <f>IF('쪽쟘(실측)'!G116&gt;0,'쪽쟘(실측)'!G116+1.5,0)</f>
        <v>0</v>
      </c>
      <c r="M116" s="50">
        <f>IF('쪽쟘(실측)'!H116&gt;0,'쪽쟘(실측)'!H116+1.5,0)</f>
        <v>0</v>
      </c>
      <c r="N116" s="50">
        <f>IF('쪽쟘(실측)'!I116&gt;0,'쪽쟘(실측)'!I116+1.5,0)</f>
        <v>0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1.2</v>
      </c>
      <c r="T116" s="50">
        <f>'쪽쟘(실측)'!O116+1.2</f>
        <v>1.2</v>
      </c>
      <c r="U116" s="50">
        <f>'쪽쟘(실측)'!P116</f>
        <v>0</v>
      </c>
      <c r="V116" s="50">
        <f>'쪽쟘(실측)'!Q116</f>
        <v>0</v>
      </c>
      <c r="W116" s="50" t="e">
        <f>'쪽쟘(실측)'!R116-늘치차감</f>
        <v>#NAME?</v>
      </c>
      <c r="X116" s="50" t="e">
        <f>'쪽쟘(실측)'!S116-늘치차감</f>
        <v>#NAME?</v>
      </c>
      <c r="Z116">
        <v>930</v>
      </c>
      <c r="AA116">
        <v>147.4</v>
      </c>
      <c r="AB116">
        <v>141</v>
      </c>
      <c r="AC116">
        <v>2090</v>
      </c>
      <c r="AD116">
        <v>145</v>
      </c>
      <c r="AE116">
        <v>2090</v>
      </c>
    </row>
    <row r="117" spans="1:31" ht="18.75" customHeight="1" x14ac:dyDescent="0.3">
      <c r="A117" s="50">
        <f>'쪽쟘(실측)'!A117</f>
        <v>0</v>
      </c>
      <c r="B117" s="50" t="str">
        <f>'쪽쟘(실측)'!B117&amp;"F"</f>
        <v>F</v>
      </c>
      <c r="C117" s="50" t="str">
        <f t="shared" si="3"/>
        <v>927*139.4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 t="shared" si="4"/>
        <v>2090*140</v>
      </c>
      <c r="H117" s="68" t="str">
        <f t="shared" si="5"/>
        <v>2090*143</v>
      </c>
      <c r="I117" s="70">
        <f>IF('쪽쟘(실측)'!F117&gt;0,'쪽쟘(실측)'!F117+0.5,0)</f>
        <v>0</v>
      </c>
      <c r="J117" s="50">
        <f>IF('쪽쟘(실측)'!H117&gt;0,'쪽쟘(실측)'!H117+0.5,0)</f>
        <v>0</v>
      </c>
      <c r="K117" s="50">
        <f>IF('쪽쟘(실측)'!F117&gt;0,'쪽쟘(실측)'!F117+1.5,0)</f>
        <v>0</v>
      </c>
      <c r="L117" s="50">
        <f>IF('쪽쟘(실측)'!G117&gt;0,'쪽쟘(실측)'!G117+1.5,0)</f>
        <v>0</v>
      </c>
      <c r="M117" s="50">
        <f>IF('쪽쟘(실측)'!H117&gt;0,'쪽쟘(실측)'!H117+1.5,0)</f>
        <v>0</v>
      </c>
      <c r="N117" s="50">
        <f>IF('쪽쟘(실측)'!I117&gt;0,'쪽쟘(실측)'!I117+1.5,0)</f>
        <v>0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1.2</v>
      </c>
      <c r="T117" s="50">
        <f>'쪽쟘(실측)'!O117+1.2</f>
        <v>1.2</v>
      </c>
      <c r="U117" s="50">
        <f>'쪽쟘(실측)'!P117</f>
        <v>0</v>
      </c>
      <c r="V117" s="50">
        <f>'쪽쟘(실측)'!Q117</f>
        <v>0</v>
      </c>
      <c r="W117" s="50" t="e">
        <f>'쪽쟘(실측)'!R117-늘치차감</f>
        <v>#NAME?</v>
      </c>
      <c r="X117" s="50" t="e">
        <f>'쪽쟘(실측)'!S117-늘치차감</f>
        <v>#NAME?</v>
      </c>
      <c r="Z117">
        <v>927</v>
      </c>
      <c r="AA117">
        <v>139.4</v>
      </c>
      <c r="AB117">
        <v>140</v>
      </c>
      <c r="AC117">
        <v>2090</v>
      </c>
      <c r="AD117">
        <v>143</v>
      </c>
      <c r="AE117">
        <v>2090</v>
      </c>
    </row>
    <row r="118" spans="1:31" ht="18.75" customHeight="1" x14ac:dyDescent="0.3">
      <c r="A118" s="50">
        <f>'쪽쟘(실측)'!A118</f>
        <v>0</v>
      </c>
      <c r="B118" s="50" t="str">
        <f>'쪽쟘(실측)'!B118&amp;"F"</f>
        <v>F</v>
      </c>
      <c r="C118" s="50" t="str">
        <f t="shared" si="3"/>
        <v>925*144.4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 t="shared" si="4"/>
        <v>2090*140</v>
      </c>
      <c r="H118" s="68" t="str">
        <f t="shared" si="5"/>
        <v>2090*141</v>
      </c>
      <c r="I118" s="70">
        <f>IF('쪽쟘(실측)'!F118&gt;0,'쪽쟘(실측)'!F118+0.5,0)</f>
        <v>0</v>
      </c>
      <c r="J118" s="50">
        <f>IF('쪽쟘(실측)'!H118&gt;0,'쪽쟘(실측)'!H118+0.5,0)</f>
        <v>0</v>
      </c>
      <c r="K118" s="50">
        <f>IF('쪽쟘(실측)'!F118&gt;0,'쪽쟘(실측)'!F118+1.5,0)</f>
        <v>0</v>
      </c>
      <c r="L118" s="50">
        <f>IF('쪽쟘(실측)'!G118&gt;0,'쪽쟘(실측)'!G118+1.5,0)</f>
        <v>0</v>
      </c>
      <c r="M118" s="50">
        <f>IF('쪽쟘(실측)'!H118&gt;0,'쪽쟘(실측)'!H118+1.5,0)</f>
        <v>0</v>
      </c>
      <c r="N118" s="50">
        <f>IF('쪽쟘(실측)'!I118&gt;0,'쪽쟘(실측)'!I118+1.5,0)</f>
        <v>0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1.2</v>
      </c>
      <c r="T118" s="50">
        <f>'쪽쟘(실측)'!O118+1.2</f>
        <v>1.2</v>
      </c>
      <c r="U118" s="50">
        <f>'쪽쟘(실측)'!P118</f>
        <v>0</v>
      </c>
      <c r="V118" s="50">
        <f>'쪽쟘(실측)'!Q118</f>
        <v>0</v>
      </c>
      <c r="W118" s="50" t="e">
        <f>'쪽쟘(실측)'!R118-늘치차감</f>
        <v>#NAME?</v>
      </c>
      <c r="X118" s="50" t="e">
        <f>'쪽쟘(실측)'!S118-늘치차감</f>
        <v>#NAME?</v>
      </c>
      <c r="Z118">
        <v>925</v>
      </c>
      <c r="AA118">
        <v>144.4</v>
      </c>
      <c r="AB118">
        <v>140</v>
      </c>
      <c r="AC118">
        <v>2090</v>
      </c>
      <c r="AD118">
        <v>141</v>
      </c>
      <c r="AE118">
        <v>2090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118 K7:K118">
    <cfRule type="cellIs" dxfId="53" priority="3" operator="notEqual">
      <formula>L7</formula>
    </cfRule>
  </conditionalFormatting>
  <conditionalFormatting sqref="T7:T118 L7:L118">
    <cfRule type="cellIs" dxfId="52" priority="2" operator="notEqual">
      <formula>K7</formula>
    </cfRule>
  </conditionalFormatting>
  <conditionalFormatting sqref="M7:N11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9"/>
  <sheetViews>
    <sheetView zoomScale="85" zoomScaleNormal="85" workbookViewId="0">
      <selection activeCell="AF19" sqref="AF19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3" t="str">
        <f>정보!E2</f>
        <v>(SO와이드) 실측서 ( 자동작도테스트 ) _손상민소장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1" t="s">
        <v>98</v>
      </c>
      <c r="N3" s="181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34"/>
      <c r="AJ3" s="34"/>
      <c r="AK3" s="34"/>
      <c r="AL3" s="34"/>
    </row>
    <row r="4" spans="1:47" ht="33" customHeight="1" x14ac:dyDescent="0.3">
      <c r="A4" s="312" t="str">
        <f>정보!B10</f>
        <v>제작치수 반영 : MH + (1.2), JB/JD +(4.4 ),  늘어난치수K -(0),  C + (4.4),   U + (4.4), OP - (0), R - (0),  기둥차감 - (0), A + (1.2)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71"/>
      <c r="AG4" s="180" t="s">
        <v>215</v>
      </c>
      <c r="AH4" s="180"/>
      <c r="AI4" s="75"/>
      <c r="AJ4" s="9"/>
      <c r="AK4" s="9"/>
      <c r="AL4" s="9"/>
    </row>
    <row r="5" spans="1:47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236</v>
      </c>
      <c r="F5" s="174" t="s">
        <v>239</v>
      </c>
      <c r="G5" s="174" t="s">
        <v>18</v>
      </c>
      <c r="H5" s="174" t="s">
        <v>4</v>
      </c>
      <c r="I5" s="174" t="s">
        <v>5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12</v>
      </c>
      <c r="O5" s="174" t="s">
        <v>13</v>
      </c>
      <c r="P5" s="174" t="s">
        <v>10</v>
      </c>
      <c r="Q5" s="174" t="s">
        <v>11</v>
      </c>
      <c r="R5" s="174" t="s">
        <v>14</v>
      </c>
      <c r="S5" s="174" t="s">
        <v>15</v>
      </c>
      <c r="T5" s="174" t="s">
        <v>16</v>
      </c>
      <c r="U5" s="174" t="s">
        <v>17</v>
      </c>
      <c r="V5" s="174" t="s">
        <v>19</v>
      </c>
      <c r="W5" s="175" t="s">
        <v>48</v>
      </c>
      <c r="X5" s="175" t="s">
        <v>22</v>
      </c>
      <c r="Y5" s="313" t="s">
        <v>237</v>
      </c>
      <c r="Z5" s="314" t="s">
        <v>243</v>
      </c>
      <c r="AA5" s="174" t="s">
        <v>21</v>
      </c>
      <c r="AB5" s="174"/>
      <c r="AC5" s="174"/>
      <c r="AD5" s="174"/>
      <c r="AE5" s="176" t="s">
        <v>91</v>
      </c>
      <c r="AF5" s="176" t="s">
        <v>92</v>
      </c>
      <c r="AG5" s="178" t="s">
        <v>212</v>
      </c>
      <c r="AH5" s="179"/>
      <c r="AI5" s="175" t="s">
        <v>199</v>
      </c>
      <c r="AJ5" s="175" t="s">
        <v>203</v>
      </c>
      <c r="AK5" s="175"/>
      <c r="AL5" s="175"/>
    </row>
    <row r="6" spans="1:47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5"/>
      <c r="Y6" s="313"/>
      <c r="Z6" s="314"/>
      <c r="AA6" s="8" t="s">
        <v>43</v>
      </c>
      <c r="AB6" s="8" t="s">
        <v>44</v>
      </c>
      <c r="AC6" s="8" t="s">
        <v>45</v>
      </c>
      <c r="AD6" s="8" t="s">
        <v>46</v>
      </c>
      <c r="AE6" s="177"/>
      <c r="AF6" s="177"/>
      <c r="AG6" s="74" t="s">
        <v>213</v>
      </c>
      <c r="AH6" s="74" t="s">
        <v>214</v>
      </c>
      <c r="AI6" s="174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12</v>
      </c>
      <c r="C7" s="4">
        <v>340</v>
      </c>
      <c r="D7" s="4">
        <v>340</v>
      </c>
      <c r="E7" s="4">
        <v>540</v>
      </c>
      <c r="F7" s="4">
        <v>566</v>
      </c>
      <c r="G7" s="4">
        <v>1174</v>
      </c>
      <c r="H7" s="4">
        <v>400</v>
      </c>
      <c r="I7" s="4">
        <v>360</v>
      </c>
      <c r="J7" s="4">
        <v>413</v>
      </c>
      <c r="K7" s="4">
        <v>376</v>
      </c>
      <c r="L7" s="4">
        <v>40</v>
      </c>
      <c r="M7" s="4">
        <v>40</v>
      </c>
      <c r="N7" s="4">
        <v>14</v>
      </c>
      <c r="O7" s="4">
        <v>14</v>
      </c>
      <c r="P7" s="4">
        <v>2</v>
      </c>
      <c r="Q7" s="4">
        <v>2</v>
      </c>
      <c r="R7" s="4">
        <v>2295</v>
      </c>
      <c r="S7" s="4">
        <v>2297</v>
      </c>
      <c r="T7" s="4">
        <v>2295</v>
      </c>
      <c r="U7" s="4">
        <v>2296</v>
      </c>
      <c r="V7" s="4" t="s">
        <v>352</v>
      </c>
      <c r="W7" s="4" t="s">
        <v>352</v>
      </c>
      <c r="X7" s="4">
        <v>25</v>
      </c>
      <c r="Y7" s="4">
        <v>75</v>
      </c>
      <c r="Z7" s="4">
        <v>30</v>
      </c>
      <c r="AA7" s="4">
        <v>43</v>
      </c>
      <c r="AB7" s="4">
        <v>49</v>
      </c>
      <c r="AC7" s="4">
        <v>39</v>
      </c>
      <c r="AD7" s="4">
        <v>46</v>
      </c>
      <c r="AE7" s="4">
        <v>322</v>
      </c>
      <c r="AF7" s="4">
        <v>340</v>
      </c>
      <c r="AG7" s="4"/>
      <c r="AH7" s="4"/>
      <c r="AI7" s="4">
        <v>145</v>
      </c>
      <c r="AJ7" s="4">
        <v>20</v>
      </c>
      <c r="AK7" s="4">
        <v>10</v>
      </c>
      <c r="AL7" s="4">
        <v>20</v>
      </c>
      <c r="AM7" s="53"/>
      <c r="AN7" s="3">
        <f>AA7+$AM7</f>
        <v>43</v>
      </c>
      <c r="AO7" s="3">
        <f>AB7+$AM7</f>
        <v>49</v>
      </c>
      <c r="AP7" s="3">
        <f>AC7+$AM7</f>
        <v>39</v>
      </c>
      <c r="AQ7" s="3">
        <f>AD7+$AM7</f>
        <v>46</v>
      </c>
      <c r="AR7" s="3">
        <f>H7-$AM7</f>
        <v>400</v>
      </c>
      <c r="AS7" s="3">
        <f>I7-$AM7</f>
        <v>360</v>
      </c>
      <c r="AT7" s="3">
        <f>J7-$AM7</f>
        <v>413</v>
      </c>
      <c r="AU7" s="3">
        <f>K7-$AM7</f>
        <v>376</v>
      </c>
    </row>
    <row r="8" spans="1:47" ht="23.25" customHeight="1" x14ac:dyDescent="0.3">
      <c r="A8" s="4"/>
      <c r="B8" s="4">
        <v>11</v>
      </c>
      <c r="C8" s="4">
        <v>315</v>
      </c>
      <c r="D8" s="4">
        <v>315</v>
      </c>
      <c r="E8" s="4">
        <v>536</v>
      </c>
      <c r="F8" s="4">
        <v>568</v>
      </c>
      <c r="G8" s="4">
        <v>1174</v>
      </c>
      <c r="H8" s="4">
        <v>400</v>
      </c>
      <c r="I8" s="4">
        <v>360</v>
      </c>
      <c r="J8" s="4">
        <v>413</v>
      </c>
      <c r="K8" s="4">
        <v>376</v>
      </c>
      <c r="L8" s="4">
        <v>40</v>
      </c>
      <c r="M8" s="4">
        <v>40</v>
      </c>
      <c r="N8" s="4">
        <v>14</v>
      </c>
      <c r="O8" s="4">
        <v>14</v>
      </c>
      <c r="P8" s="4">
        <v>3</v>
      </c>
      <c r="Q8" s="4">
        <v>2</v>
      </c>
      <c r="R8" s="4">
        <v>2293</v>
      </c>
      <c r="S8" s="4">
        <v>2293</v>
      </c>
      <c r="T8" s="4">
        <v>2292</v>
      </c>
      <c r="U8" s="4">
        <v>2296</v>
      </c>
      <c r="V8" s="4" t="s">
        <v>352</v>
      </c>
      <c r="W8" s="4" t="s">
        <v>352</v>
      </c>
      <c r="X8" s="4">
        <v>25</v>
      </c>
      <c r="Y8" s="4">
        <v>75</v>
      </c>
      <c r="Z8" s="4">
        <v>30</v>
      </c>
      <c r="AA8" s="4">
        <v>45</v>
      </c>
      <c r="AB8" s="4">
        <v>48</v>
      </c>
      <c r="AC8" s="4">
        <v>37</v>
      </c>
      <c r="AD8" s="4">
        <v>45</v>
      </c>
      <c r="AE8" s="4">
        <v>299</v>
      </c>
      <c r="AF8" s="4">
        <v>302</v>
      </c>
      <c r="AG8" s="4"/>
      <c r="AH8" s="4"/>
      <c r="AI8" s="4">
        <v>145</v>
      </c>
      <c r="AJ8" s="4">
        <v>20</v>
      </c>
      <c r="AK8" s="4">
        <v>10</v>
      </c>
      <c r="AL8" s="4">
        <v>20</v>
      </c>
      <c r="AM8" s="53"/>
      <c r="AN8" s="3">
        <f t="shared" ref="AN8" si="0">AA8+$AM8</f>
        <v>45</v>
      </c>
      <c r="AO8" s="3">
        <f>AB8+$AM8</f>
        <v>48</v>
      </c>
      <c r="AP8" s="3">
        <f>AC8+$AM8</f>
        <v>37</v>
      </c>
      <c r="AQ8" s="3">
        <f>AD8+$AM8</f>
        <v>45</v>
      </c>
      <c r="AR8" s="3">
        <f t="shared" ref="AR8" si="1">H8-$AM8</f>
        <v>400</v>
      </c>
      <c r="AS8" s="3">
        <f>I8-$AM8</f>
        <v>360</v>
      </c>
      <c r="AT8" s="3">
        <f>J8-$AM8</f>
        <v>413</v>
      </c>
      <c r="AU8" s="3">
        <f>K8-$AM8</f>
        <v>376</v>
      </c>
    </row>
    <row r="9" spans="1:47" ht="23.25" customHeight="1" x14ac:dyDescent="0.3">
      <c r="A9" s="4"/>
      <c r="B9" s="4">
        <v>10</v>
      </c>
      <c r="C9" s="4">
        <v>320</v>
      </c>
      <c r="D9" s="4">
        <v>320</v>
      </c>
      <c r="E9" s="4">
        <v>538</v>
      </c>
      <c r="F9" s="4">
        <v>569</v>
      </c>
      <c r="G9" s="4">
        <v>1175</v>
      </c>
      <c r="H9" s="4">
        <v>400</v>
      </c>
      <c r="I9" s="4">
        <v>360</v>
      </c>
      <c r="J9" s="4">
        <v>413</v>
      </c>
      <c r="K9" s="4">
        <v>376</v>
      </c>
      <c r="L9" s="4">
        <v>40</v>
      </c>
      <c r="M9" s="4">
        <v>40</v>
      </c>
      <c r="N9" s="4">
        <v>14</v>
      </c>
      <c r="O9" s="4">
        <v>14</v>
      </c>
      <c r="P9" s="4">
        <v>1</v>
      </c>
      <c r="Q9" s="4">
        <v>1</v>
      </c>
      <c r="R9" s="4">
        <v>2293</v>
      </c>
      <c r="S9" s="4">
        <v>2295</v>
      </c>
      <c r="T9" s="4">
        <v>2297</v>
      </c>
      <c r="U9" s="4">
        <v>2296</v>
      </c>
      <c r="V9" s="4" t="s">
        <v>352</v>
      </c>
      <c r="W9" s="4" t="s">
        <v>352</v>
      </c>
      <c r="X9" s="4">
        <v>25</v>
      </c>
      <c r="Y9" s="4">
        <v>75</v>
      </c>
      <c r="Z9" s="4">
        <v>30</v>
      </c>
      <c r="AA9" s="4">
        <v>41</v>
      </c>
      <c r="AB9" s="4">
        <v>43</v>
      </c>
      <c r="AC9" s="4">
        <v>42</v>
      </c>
      <c r="AD9" s="4">
        <v>47</v>
      </c>
      <c r="AE9" s="4">
        <v>309</v>
      </c>
      <c r="AF9" s="4">
        <v>306</v>
      </c>
      <c r="AG9" s="4"/>
      <c r="AH9" s="4"/>
      <c r="AI9" s="4">
        <v>145</v>
      </c>
      <c r="AJ9" s="4">
        <v>20</v>
      </c>
      <c r="AK9" s="4">
        <v>10</v>
      </c>
      <c r="AL9" s="4">
        <v>20</v>
      </c>
    </row>
    <row r="10" spans="1:47" ht="23.25" customHeight="1" x14ac:dyDescent="0.3">
      <c r="A10" s="4"/>
      <c r="B10" s="4">
        <v>9</v>
      </c>
      <c r="C10" s="4">
        <v>330</v>
      </c>
      <c r="D10" s="4">
        <v>330</v>
      </c>
      <c r="E10" s="4">
        <v>536</v>
      </c>
      <c r="F10" s="4">
        <v>568</v>
      </c>
      <c r="G10" s="4">
        <v>1176</v>
      </c>
      <c r="H10" s="4">
        <v>400</v>
      </c>
      <c r="I10" s="4">
        <v>360</v>
      </c>
      <c r="J10" s="4">
        <v>413</v>
      </c>
      <c r="K10" s="4">
        <v>376</v>
      </c>
      <c r="L10" s="4">
        <v>40</v>
      </c>
      <c r="M10" s="4">
        <v>40</v>
      </c>
      <c r="N10" s="4">
        <v>14</v>
      </c>
      <c r="O10" s="4">
        <v>14</v>
      </c>
      <c r="P10" s="4">
        <v>1</v>
      </c>
      <c r="Q10" s="4">
        <v>2</v>
      </c>
      <c r="R10" s="4">
        <v>2292</v>
      </c>
      <c r="S10" s="4">
        <v>2290</v>
      </c>
      <c r="T10" s="4">
        <v>2293</v>
      </c>
      <c r="U10" s="4">
        <v>2294</v>
      </c>
      <c r="V10" s="4" t="s">
        <v>352</v>
      </c>
      <c r="W10" s="4" t="s">
        <v>352</v>
      </c>
      <c r="X10" s="4">
        <v>25</v>
      </c>
      <c r="Y10" s="4">
        <v>75</v>
      </c>
      <c r="Z10" s="4">
        <v>30</v>
      </c>
      <c r="AA10" s="4">
        <v>45</v>
      </c>
      <c r="AB10" s="4">
        <v>47</v>
      </c>
      <c r="AC10" s="4">
        <v>39</v>
      </c>
      <c r="AD10" s="4">
        <v>45</v>
      </c>
      <c r="AE10" s="4">
        <v>312</v>
      </c>
      <c r="AF10" s="4">
        <v>312</v>
      </c>
      <c r="AG10" s="4"/>
      <c r="AH10" s="4"/>
      <c r="AI10" s="4">
        <v>145</v>
      </c>
      <c r="AJ10" s="4">
        <v>20</v>
      </c>
      <c r="AK10" s="4">
        <v>10</v>
      </c>
      <c r="AL10" s="4">
        <v>20</v>
      </c>
    </row>
    <row r="11" spans="1:47" x14ac:dyDescent="0.3">
      <c r="A11" s="3"/>
      <c r="B11" s="3">
        <v>8</v>
      </c>
      <c r="C11" s="3">
        <v>330</v>
      </c>
      <c r="D11" s="3">
        <v>330</v>
      </c>
      <c r="E11" s="3">
        <v>538</v>
      </c>
      <c r="F11" s="3">
        <v>569</v>
      </c>
      <c r="G11" s="3">
        <v>1177</v>
      </c>
      <c r="H11" s="3">
        <v>400</v>
      </c>
      <c r="I11" s="3">
        <v>360</v>
      </c>
      <c r="J11" s="3">
        <v>413</v>
      </c>
      <c r="K11" s="3">
        <v>376</v>
      </c>
      <c r="L11" s="3">
        <v>40</v>
      </c>
      <c r="M11" s="3">
        <v>40</v>
      </c>
      <c r="N11" s="3">
        <v>14</v>
      </c>
      <c r="O11" s="3">
        <v>14</v>
      </c>
      <c r="P11" s="3">
        <v>2</v>
      </c>
      <c r="Q11" s="3">
        <v>3</v>
      </c>
      <c r="R11" s="3">
        <v>2292</v>
      </c>
      <c r="S11" s="3">
        <v>2290</v>
      </c>
      <c r="T11" s="3">
        <v>2296</v>
      </c>
      <c r="U11" s="3">
        <v>2294</v>
      </c>
      <c r="V11" s="3" t="s">
        <v>352</v>
      </c>
      <c r="W11" s="3" t="s">
        <v>352</v>
      </c>
      <c r="X11" s="3">
        <v>25</v>
      </c>
      <c r="Y11" s="3">
        <v>75</v>
      </c>
      <c r="Z11" s="3">
        <v>30</v>
      </c>
      <c r="AA11" s="3">
        <v>43</v>
      </c>
      <c r="AB11" s="3">
        <v>45</v>
      </c>
      <c r="AC11" s="3">
        <v>40</v>
      </c>
      <c r="AD11" s="3">
        <v>44</v>
      </c>
      <c r="AE11" s="3">
        <v>314</v>
      </c>
      <c r="AF11" s="3">
        <v>314</v>
      </c>
      <c r="AG11" s="3"/>
      <c r="AH11" s="3"/>
      <c r="AI11" s="3">
        <v>145</v>
      </c>
      <c r="AJ11" s="3">
        <v>20</v>
      </c>
      <c r="AK11" s="3">
        <v>10</v>
      </c>
      <c r="AL11" s="3">
        <v>20</v>
      </c>
    </row>
    <row r="12" spans="1:47" x14ac:dyDescent="0.3">
      <c r="A12" s="3"/>
      <c r="B12" s="3">
        <v>7</v>
      </c>
      <c r="C12" s="3">
        <v>318</v>
      </c>
      <c r="D12" s="3">
        <v>318</v>
      </c>
      <c r="E12" s="3">
        <v>535</v>
      </c>
      <c r="F12" s="3">
        <v>569</v>
      </c>
      <c r="G12" s="3">
        <v>1178</v>
      </c>
      <c r="H12" s="3">
        <v>400</v>
      </c>
      <c r="I12" s="3">
        <v>360</v>
      </c>
      <c r="J12" s="3">
        <v>413</v>
      </c>
      <c r="K12" s="3">
        <v>376</v>
      </c>
      <c r="L12" s="3">
        <v>40</v>
      </c>
      <c r="M12" s="3">
        <v>40</v>
      </c>
      <c r="N12" s="3">
        <v>14</v>
      </c>
      <c r="O12" s="3">
        <v>14</v>
      </c>
      <c r="P12" s="3">
        <v>0</v>
      </c>
      <c r="Q12" s="3">
        <v>1</v>
      </c>
      <c r="R12" s="3">
        <v>2297</v>
      </c>
      <c r="S12" s="3">
        <v>2293</v>
      </c>
      <c r="T12" s="3">
        <v>2297</v>
      </c>
      <c r="U12" s="3">
        <v>2295</v>
      </c>
      <c r="V12" s="3" t="s">
        <v>352</v>
      </c>
      <c r="W12" s="3" t="s">
        <v>352</v>
      </c>
      <c r="X12" s="3">
        <v>25</v>
      </c>
      <c r="Y12" s="3">
        <v>75</v>
      </c>
      <c r="Z12" s="3">
        <v>30</v>
      </c>
      <c r="AA12" s="3">
        <v>42</v>
      </c>
      <c r="AB12" s="3">
        <v>48</v>
      </c>
      <c r="AC12" s="3">
        <v>41</v>
      </c>
      <c r="AD12" s="3">
        <v>44</v>
      </c>
      <c r="AE12" s="3">
        <v>303</v>
      </c>
      <c r="AF12" s="3">
        <v>303</v>
      </c>
      <c r="AG12" s="3"/>
      <c r="AH12" s="3"/>
      <c r="AI12" s="3">
        <v>145</v>
      </c>
      <c r="AJ12" s="3">
        <v>20</v>
      </c>
      <c r="AK12" s="3">
        <v>10</v>
      </c>
      <c r="AL12" s="3">
        <v>20</v>
      </c>
    </row>
    <row r="13" spans="1:47" x14ac:dyDescent="0.3">
      <c r="A13" s="3"/>
      <c r="B13" s="3">
        <v>6</v>
      </c>
      <c r="C13" s="3">
        <v>320</v>
      </c>
      <c r="D13" s="3">
        <v>320</v>
      </c>
      <c r="E13" s="3">
        <v>536</v>
      </c>
      <c r="F13" s="3">
        <v>569</v>
      </c>
      <c r="G13" s="3">
        <v>1179</v>
      </c>
      <c r="H13" s="3">
        <v>400</v>
      </c>
      <c r="I13" s="3">
        <v>360</v>
      </c>
      <c r="J13" s="3">
        <v>413</v>
      </c>
      <c r="K13" s="3">
        <v>376</v>
      </c>
      <c r="L13" s="3">
        <v>40</v>
      </c>
      <c r="M13" s="3">
        <v>40</v>
      </c>
      <c r="N13" s="3">
        <v>14</v>
      </c>
      <c r="O13" s="3">
        <v>14</v>
      </c>
      <c r="P13" s="3">
        <v>1</v>
      </c>
      <c r="Q13" s="3">
        <v>1</v>
      </c>
      <c r="R13" s="3">
        <v>2296</v>
      </c>
      <c r="S13" s="3">
        <v>2296</v>
      </c>
      <c r="T13" s="3">
        <v>2295</v>
      </c>
      <c r="U13" s="3">
        <v>2295</v>
      </c>
      <c r="V13" s="3" t="s">
        <v>352</v>
      </c>
      <c r="W13" s="3" t="s">
        <v>352</v>
      </c>
      <c r="X13" s="3">
        <v>25</v>
      </c>
      <c r="Y13" s="3">
        <v>75</v>
      </c>
      <c r="Z13" s="3">
        <v>30</v>
      </c>
      <c r="AA13" s="3">
        <v>48</v>
      </c>
      <c r="AB13" s="3">
        <v>44</v>
      </c>
      <c r="AC13" s="3">
        <v>43</v>
      </c>
      <c r="AD13" s="3">
        <v>45</v>
      </c>
      <c r="AE13" s="3">
        <v>305</v>
      </c>
      <c r="AF13" s="3">
        <v>309</v>
      </c>
      <c r="AG13" s="3"/>
      <c r="AH13" s="3"/>
      <c r="AI13" s="3">
        <v>145</v>
      </c>
      <c r="AJ13" s="3">
        <v>20</v>
      </c>
      <c r="AK13" s="3">
        <v>10</v>
      </c>
      <c r="AL13" s="3">
        <v>20</v>
      </c>
    </row>
    <row r="14" spans="1:47" x14ac:dyDescent="0.3">
      <c r="A14" s="3"/>
      <c r="B14" s="3">
        <v>5</v>
      </c>
      <c r="C14" s="3">
        <v>320</v>
      </c>
      <c r="D14" s="3">
        <v>320</v>
      </c>
      <c r="E14" s="3">
        <v>536</v>
      </c>
      <c r="F14" s="3">
        <v>569</v>
      </c>
      <c r="G14" s="3">
        <v>1180</v>
      </c>
      <c r="H14" s="3">
        <v>400</v>
      </c>
      <c r="I14" s="3">
        <v>360</v>
      </c>
      <c r="J14" s="3">
        <v>413</v>
      </c>
      <c r="K14" s="3">
        <v>376</v>
      </c>
      <c r="L14" s="3">
        <v>40</v>
      </c>
      <c r="M14" s="3">
        <v>40</v>
      </c>
      <c r="N14" s="3">
        <v>14</v>
      </c>
      <c r="O14" s="3">
        <v>14</v>
      </c>
      <c r="P14" s="3">
        <v>5</v>
      </c>
      <c r="Q14" s="3">
        <v>4</v>
      </c>
      <c r="R14" s="3">
        <v>2288</v>
      </c>
      <c r="S14" s="3">
        <v>2290</v>
      </c>
      <c r="T14" s="3">
        <v>2287</v>
      </c>
      <c r="U14" s="3">
        <v>2292</v>
      </c>
      <c r="V14" s="3" t="s">
        <v>352</v>
      </c>
      <c r="W14" s="3" t="s">
        <v>352</v>
      </c>
      <c r="X14" s="3">
        <v>25</v>
      </c>
      <c r="Y14" s="3">
        <v>75</v>
      </c>
      <c r="Z14" s="3">
        <v>30</v>
      </c>
      <c r="AA14" s="3">
        <v>46</v>
      </c>
      <c r="AB14" s="3">
        <v>45</v>
      </c>
      <c r="AC14" s="3">
        <v>37</v>
      </c>
      <c r="AD14" s="3">
        <v>43</v>
      </c>
      <c r="AE14" s="3">
        <v>309</v>
      </c>
      <c r="AF14" s="3">
        <v>304</v>
      </c>
      <c r="AG14" s="3"/>
      <c r="AH14" s="3"/>
      <c r="AI14" s="3">
        <v>145</v>
      </c>
      <c r="AJ14" s="3">
        <v>20</v>
      </c>
      <c r="AK14" s="3">
        <v>10</v>
      </c>
      <c r="AL14" s="3">
        <v>20</v>
      </c>
    </row>
    <row r="15" spans="1:47" x14ac:dyDescent="0.3">
      <c r="A15" s="3"/>
      <c r="B15" s="3">
        <v>4</v>
      </c>
      <c r="C15" s="3">
        <v>675</v>
      </c>
      <c r="D15" s="3">
        <v>675</v>
      </c>
      <c r="E15" s="3">
        <v>533</v>
      </c>
      <c r="F15" s="3">
        <v>569</v>
      </c>
      <c r="G15" s="3">
        <v>1181</v>
      </c>
      <c r="H15" s="3">
        <v>400</v>
      </c>
      <c r="I15" s="3">
        <v>360</v>
      </c>
      <c r="J15" s="3">
        <v>413</v>
      </c>
      <c r="K15" s="3">
        <v>376</v>
      </c>
      <c r="L15" s="3">
        <v>40</v>
      </c>
      <c r="M15" s="3">
        <v>40</v>
      </c>
      <c r="N15" s="3">
        <v>14</v>
      </c>
      <c r="O15" s="3">
        <v>14</v>
      </c>
      <c r="P15" s="3">
        <v>3</v>
      </c>
      <c r="Q15" s="3">
        <v>3</v>
      </c>
      <c r="R15" s="3">
        <v>2293</v>
      </c>
      <c r="S15" s="3">
        <v>2294</v>
      </c>
      <c r="T15" s="3">
        <v>2293</v>
      </c>
      <c r="U15" s="3">
        <v>2295</v>
      </c>
      <c r="V15" s="3" t="s">
        <v>352</v>
      </c>
      <c r="W15" s="3" t="s">
        <v>352</v>
      </c>
      <c r="X15" s="3">
        <v>25</v>
      </c>
      <c r="Y15" s="3">
        <v>75</v>
      </c>
      <c r="Z15" s="3">
        <v>30</v>
      </c>
      <c r="AA15" s="3">
        <v>43</v>
      </c>
      <c r="AB15" s="3">
        <v>42</v>
      </c>
      <c r="AC15" s="3">
        <v>35</v>
      </c>
      <c r="AD15" s="3">
        <v>45</v>
      </c>
      <c r="AE15" s="3">
        <v>656</v>
      </c>
      <c r="AF15" s="3">
        <v>658</v>
      </c>
      <c r="AG15" s="3"/>
      <c r="AH15" s="3"/>
      <c r="AI15" s="3">
        <v>145</v>
      </c>
      <c r="AJ15" s="3">
        <v>20</v>
      </c>
      <c r="AK15" s="3">
        <v>10</v>
      </c>
      <c r="AL15" s="3">
        <v>20</v>
      </c>
    </row>
    <row r="16" spans="1:47" x14ac:dyDescent="0.3">
      <c r="A16" s="3"/>
      <c r="B16" s="3">
        <v>3</v>
      </c>
      <c r="C16" s="3">
        <v>710</v>
      </c>
      <c r="D16" s="3">
        <v>710</v>
      </c>
      <c r="E16" s="3">
        <v>537</v>
      </c>
      <c r="F16" s="3">
        <v>569</v>
      </c>
      <c r="G16" s="3">
        <v>1182</v>
      </c>
      <c r="H16" s="3">
        <v>400</v>
      </c>
      <c r="I16" s="3">
        <v>360</v>
      </c>
      <c r="J16" s="3">
        <v>413</v>
      </c>
      <c r="K16" s="3">
        <v>376</v>
      </c>
      <c r="L16" s="3">
        <v>40</v>
      </c>
      <c r="M16" s="3">
        <v>40</v>
      </c>
      <c r="N16" s="3">
        <v>14</v>
      </c>
      <c r="O16" s="3">
        <v>14</v>
      </c>
      <c r="P16" s="3">
        <v>5</v>
      </c>
      <c r="Q16" s="3">
        <v>3</v>
      </c>
      <c r="R16" s="3">
        <v>2297</v>
      </c>
      <c r="S16" s="3">
        <v>2293</v>
      </c>
      <c r="T16" s="3">
        <v>2290</v>
      </c>
      <c r="U16" s="3">
        <v>2294</v>
      </c>
      <c r="V16" s="3" t="s">
        <v>352</v>
      </c>
      <c r="W16" s="3" t="s">
        <v>352</v>
      </c>
      <c r="X16" s="3">
        <v>25</v>
      </c>
      <c r="Y16" s="3">
        <v>75</v>
      </c>
      <c r="Z16" s="3">
        <v>30</v>
      </c>
      <c r="AA16" s="3">
        <v>50</v>
      </c>
      <c r="AB16" s="3">
        <v>48</v>
      </c>
      <c r="AC16" s="3">
        <v>40</v>
      </c>
      <c r="AD16" s="3">
        <v>45</v>
      </c>
      <c r="AE16" s="3">
        <v>688</v>
      </c>
      <c r="AF16" s="3">
        <v>692</v>
      </c>
      <c r="AG16" s="3"/>
      <c r="AH16" s="3"/>
      <c r="AI16" s="3">
        <v>145</v>
      </c>
      <c r="AJ16" s="3">
        <v>20</v>
      </c>
      <c r="AK16" s="3">
        <v>10</v>
      </c>
      <c r="AL16" s="3">
        <v>20</v>
      </c>
    </row>
    <row r="17" spans="1:38" x14ac:dyDescent="0.3">
      <c r="A17" s="3"/>
      <c r="B17" s="3">
        <v>2</v>
      </c>
      <c r="C17" s="3">
        <v>678</v>
      </c>
      <c r="D17" s="3">
        <v>678</v>
      </c>
      <c r="E17" s="3">
        <v>532</v>
      </c>
      <c r="F17" s="3">
        <v>570</v>
      </c>
      <c r="G17" s="3">
        <v>1183</v>
      </c>
      <c r="H17" s="3">
        <v>400</v>
      </c>
      <c r="I17" s="3">
        <v>360</v>
      </c>
      <c r="J17" s="3">
        <v>413</v>
      </c>
      <c r="K17" s="3">
        <v>376</v>
      </c>
      <c r="L17" s="3">
        <v>40</v>
      </c>
      <c r="M17" s="3">
        <v>40</v>
      </c>
      <c r="N17" s="3">
        <v>14</v>
      </c>
      <c r="O17" s="3">
        <v>14</v>
      </c>
      <c r="P17" s="3">
        <v>0</v>
      </c>
      <c r="Q17" s="3">
        <v>1</v>
      </c>
      <c r="R17" s="3">
        <v>2294</v>
      </c>
      <c r="S17" s="3">
        <v>2293</v>
      </c>
      <c r="T17" s="3">
        <v>2296</v>
      </c>
      <c r="U17" s="3">
        <v>2293</v>
      </c>
      <c r="V17" s="3" t="s">
        <v>352</v>
      </c>
      <c r="W17" s="3" t="s">
        <v>352</v>
      </c>
      <c r="X17" s="3">
        <v>25</v>
      </c>
      <c r="Y17" s="3">
        <v>75</v>
      </c>
      <c r="Z17" s="3">
        <v>30</v>
      </c>
      <c r="AA17" s="3">
        <v>47</v>
      </c>
      <c r="AB17" s="3">
        <v>45</v>
      </c>
      <c r="AC17" s="3">
        <v>38</v>
      </c>
      <c r="AD17" s="3">
        <v>43</v>
      </c>
      <c r="AE17" s="3">
        <v>658</v>
      </c>
      <c r="AF17" s="3">
        <v>660</v>
      </c>
      <c r="AG17" s="3"/>
      <c r="AH17" s="3"/>
      <c r="AI17" s="3">
        <v>145</v>
      </c>
      <c r="AJ17" s="3">
        <v>20</v>
      </c>
      <c r="AK17" s="3">
        <v>10</v>
      </c>
      <c r="AL17" s="3">
        <v>20</v>
      </c>
    </row>
    <row r="18" spans="1:38" x14ac:dyDescent="0.3">
      <c r="A18" s="3"/>
      <c r="B18" s="3">
        <v>1</v>
      </c>
      <c r="C18" s="3">
        <v>545</v>
      </c>
      <c r="D18" s="3">
        <v>545</v>
      </c>
      <c r="E18" s="3">
        <v>533</v>
      </c>
      <c r="F18" s="3">
        <v>570</v>
      </c>
      <c r="G18" s="3">
        <v>1184</v>
      </c>
      <c r="H18" s="3">
        <v>400</v>
      </c>
      <c r="I18" s="3">
        <v>360</v>
      </c>
      <c r="J18" s="3">
        <v>413</v>
      </c>
      <c r="K18" s="3">
        <v>376</v>
      </c>
      <c r="L18" s="3">
        <v>40</v>
      </c>
      <c r="M18" s="3">
        <v>40</v>
      </c>
      <c r="N18" s="3">
        <v>14</v>
      </c>
      <c r="O18" s="3">
        <v>14</v>
      </c>
      <c r="P18" s="3">
        <v>6</v>
      </c>
      <c r="Q18" s="3">
        <v>4</v>
      </c>
      <c r="R18" s="3">
        <v>2291</v>
      </c>
      <c r="S18" s="3">
        <v>2293</v>
      </c>
      <c r="T18" s="3">
        <v>2293</v>
      </c>
      <c r="U18" s="3">
        <v>2293</v>
      </c>
      <c r="V18" s="3" t="s">
        <v>352</v>
      </c>
      <c r="W18" s="3" t="s">
        <v>352</v>
      </c>
      <c r="X18" s="3">
        <v>25</v>
      </c>
      <c r="Y18" s="3">
        <v>75</v>
      </c>
      <c r="Z18" s="3">
        <v>30</v>
      </c>
      <c r="AA18" s="3">
        <v>53</v>
      </c>
      <c r="AB18" s="3">
        <v>45</v>
      </c>
      <c r="AC18" s="3">
        <v>42</v>
      </c>
      <c r="AD18" s="3">
        <v>43</v>
      </c>
      <c r="AE18" s="3">
        <v>530</v>
      </c>
      <c r="AF18" s="3">
        <v>530</v>
      </c>
      <c r="AG18" s="3"/>
      <c r="AH18" s="3"/>
      <c r="AI18" s="3">
        <v>145</v>
      </c>
      <c r="AJ18" s="3">
        <v>20</v>
      </c>
      <c r="AK18" s="3">
        <v>10</v>
      </c>
      <c r="AL18" s="3">
        <v>20</v>
      </c>
    </row>
    <row r="19" spans="1:38" x14ac:dyDescent="0.3">
      <c r="A19" s="3"/>
      <c r="B19" s="3" t="s">
        <v>344</v>
      </c>
      <c r="C19" s="3">
        <v>408</v>
      </c>
      <c r="D19" s="3">
        <v>408</v>
      </c>
      <c r="E19" s="3">
        <v>536</v>
      </c>
      <c r="F19" s="3">
        <v>568</v>
      </c>
      <c r="G19" s="3">
        <v>1185</v>
      </c>
      <c r="H19" s="3">
        <v>400</v>
      </c>
      <c r="I19" s="3">
        <v>360</v>
      </c>
      <c r="J19" s="3">
        <v>413</v>
      </c>
      <c r="K19" s="3">
        <v>376</v>
      </c>
      <c r="L19" s="3">
        <v>40</v>
      </c>
      <c r="M19" s="3">
        <v>40</v>
      </c>
      <c r="N19" s="3">
        <v>14</v>
      </c>
      <c r="O19" s="3">
        <v>14</v>
      </c>
      <c r="P19" s="3">
        <v>1</v>
      </c>
      <c r="Q19" s="3">
        <v>1</v>
      </c>
      <c r="R19" s="3">
        <v>2297</v>
      </c>
      <c r="S19" s="3">
        <v>2296</v>
      </c>
      <c r="T19" s="3">
        <v>2297</v>
      </c>
      <c r="U19" s="3">
        <v>2297</v>
      </c>
      <c r="V19" s="3" t="s">
        <v>352</v>
      </c>
      <c r="W19" s="3" t="s">
        <v>352</v>
      </c>
      <c r="X19" s="3">
        <v>25</v>
      </c>
      <c r="Y19" s="3">
        <v>75</v>
      </c>
      <c r="Z19" s="3">
        <v>30</v>
      </c>
      <c r="AA19" s="3">
        <v>43</v>
      </c>
      <c r="AB19" s="3">
        <v>46</v>
      </c>
      <c r="AC19" s="3">
        <v>38</v>
      </c>
      <c r="AD19" s="3">
        <v>46</v>
      </c>
      <c r="AE19" s="3"/>
      <c r="AF19" s="3"/>
      <c r="AG19" s="3"/>
      <c r="AH19" s="3"/>
      <c r="AI19" s="3">
        <v>145</v>
      </c>
      <c r="AJ19" s="3">
        <v>20</v>
      </c>
      <c r="AK19" s="3">
        <v>10</v>
      </c>
      <c r="AL19" s="3">
        <v>20</v>
      </c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19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6" t="str">
        <f>정보!F2</f>
        <v>(SO와이드) 제작변환 ( 자동작도테스트 ) _손상민소장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24" t="s">
        <v>113</v>
      </c>
      <c r="K2" s="225"/>
      <c r="L2" s="225"/>
      <c r="M2" s="225"/>
      <c r="N2" s="225"/>
      <c r="O2" s="225"/>
      <c r="P2" s="226">
        <v>1</v>
      </c>
      <c r="Q2" s="226"/>
      <c r="R2" s="196" t="s">
        <v>89</v>
      </c>
      <c r="S2" s="197"/>
      <c r="T2" s="198">
        <v>4.4000000000000004</v>
      </c>
      <c r="U2" s="198"/>
      <c r="V2" s="174" t="s">
        <v>83</v>
      </c>
      <c r="W2" s="200"/>
      <c r="X2" s="200"/>
      <c r="Y2" s="201">
        <v>0</v>
      </c>
      <c r="Z2" s="201"/>
      <c r="AA2" s="331">
        <f>정보!B5</f>
        <v>0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3"/>
      <c r="AL2" s="196" t="s">
        <v>90</v>
      </c>
      <c r="AM2" s="197"/>
      <c r="AN2" s="327">
        <v>0</v>
      </c>
      <c r="AO2" s="327"/>
      <c r="AP2" s="1"/>
      <c r="AQ2" s="328" t="s">
        <v>229</v>
      </c>
      <c r="AR2" s="329"/>
      <c r="AS2" s="330">
        <v>1.2</v>
      </c>
      <c r="AT2" s="330"/>
      <c r="AU2" s="1"/>
      <c r="AV2" s="1"/>
    </row>
    <row r="3" spans="1:66" ht="24.75" customHeight="1" x14ac:dyDescent="0.3">
      <c r="A3" s="28" t="str">
        <f>'SO와이드(실측)'!A3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27">
        <v>4.4000000000000004</v>
      </c>
      <c r="Q3" s="227"/>
      <c r="R3" s="197" t="s">
        <v>77</v>
      </c>
      <c r="S3" s="197"/>
      <c r="T3" s="204">
        <v>4.4000000000000004</v>
      </c>
      <c r="U3" s="204"/>
      <c r="V3" s="205" t="s">
        <v>227</v>
      </c>
      <c r="W3" s="205"/>
      <c r="X3" s="205"/>
      <c r="Y3" s="206">
        <f>BN7</f>
        <v>0</v>
      </c>
      <c r="Z3" s="206"/>
      <c r="AA3" s="324" t="s">
        <v>78</v>
      </c>
      <c r="AB3" s="324"/>
      <c r="AC3" s="334">
        <v>1.2</v>
      </c>
      <c r="AD3" s="334"/>
      <c r="AL3" s="174" t="s">
        <v>73</v>
      </c>
      <c r="AM3" s="174"/>
      <c r="AN3" s="110">
        <v>5</v>
      </c>
      <c r="AO3" s="103" t="s">
        <v>74</v>
      </c>
      <c r="AP3" s="111">
        <v>4</v>
      </c>
      <c r="AQ3" s="232" t="s">
        <v>230</v>
      </c>
      <c r="AR3" s="232"/>
      <c r="AS3" s="234" t="s">
        <v>326</v>
      </c>
      <c r="AT3" s="235"/>
      <c r="AU3" s="238">
        <f>AY7</f>
        <v>4.8058502462091415</v>
      </c>
      <c r="AV3" s="239"/>
      <c r="BN3" s="184" t="s">
        <v>253</v>
      </c>
    </row>
    <row r="4" spans="1:66" ht="33" customHeight="1" x14ac:dyDescent="0.3">
      <c r="A4" s="170" t="str">
        <f>정보!B10</f>
        <v>제작치수 반영 : MH + (1.2), JB/JD +(4.4 ),  늘어난치수K -(0),  C + (4.4),   U + (4.4), OP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325" t="s">
        <v>312</v>
      </c>
      <c r="AH4" s="325"/>
      <c r="AI4" s="282">
        <f>'SO와이드(실측)'!AA7</f>
        <v>43</v>
      </c>
      <c r="AJ4" s="282"/>
      <c r="AK4" s="229">
        <f ca="1">TODAY()</f>
        <v>45321</v>
      </c>
      <c r="AL4" s="169"/>
      <c r="AM4" s="169"/>
      <c r="AN4" s="9"/>
      <c r="AO4" s="319" t="s">
        <v>117</v>
      </c>
      <c r="AP4" s="319"/>
      <c r="AQ4" s="180" t="s">
        <v>215</v>
      </c>
      <c r="AR4" s="180"/>
      <c r="AS4" s="84"/>
      <c r="AT4" s="236" t="s">
        <v>235</v>
      </c>
      <c r="AU4" s="236"/>
      <c r="AV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236</v>
      </c>
      <c r="F5" s="174" t="s">
        <v>246</v>
      </c>
      <c r="G5" s="174" t="s">
        <v>18</v>
      </c>
      <c r="H5" s="213" t="s">
        <v>4</v>
      </c>
      <c r="I5" s="277" t="s">
        <v>42</v>
      </c>
      <c r="J5" s="210" t="s">
        <v>105</v>
      </c>
      <c r="K5" s="210" t="s">
        <v>106</v>
      </c>
      <c r="L5" s="214" t="s">
        <v>107</v>
      </c>
      <c r="M5" s="214" t="s">
        <v>108</v>
      </c>
      <c r="N5" s="320" t="s">
        <v>240</v>
      </c>
      <c r="O5" s="322" t="s">
        <v>241</v>
      </c>
      <c r="P5" s="216" t="s">
        <v>71</v>
      </c>
      <c r="Q5" s="216" t="s">
        <v>72</v>
      </c>
      <c r="R5" s="174" t="s">
        <v>8</v>
      </c>
      <c r="S5" s="174" t="s">
        <v>9</v>
      </c>
      <c r="T5" s="174" t="s">
        <v>12</v>
      </c>
      <c r="U5" s="174" t="s">
        <v>13</v>
      </c>
      <c r="V5" s="174" t="s">
        <v>10</v>
      </c>
      <c r="W5" s="174" t="s">
        <v>11</v>
      </c>
      <c r="X5" s="212" t="s">
        <v>14</v>
      </c>
      <c r="Y5" s="212" t="s">
        <v>15</v>
      </c>
      <c r="Z5" s="213" t="s">
        <v>16</v>
      </c>
      <c r="AA5" s="213" t="s">
        <v>17</v>
      </c>
      <c r="AB5" s="174" t="s">
        <v>19</v>
      </c>
      <c r="AC5" s="174" t="s">
        <v>20</v>
      </c>
      <c r="AD5" s="175" t="s">
        <v>22</v>
      </c>
      <c r="AE5" s="313" t="s">
        <v>242</v>
      </c>
      <c r="AF5" s="314" t="s">
        <v>238</v>
      </c>
      <c r="AG5" s="202" t="s">
        <v>79</v>
      </c>
      <c r="AH5" s="203"/>
      <c r="AI5" s="203"/>
      <c r="AJ5" s="203"/>
      <c r="AK5" s="194" t="s">
        <v>91</v>
      </c>
      <c r="AL5" s="194" t="s">
        <v>92</v>
      </c>
      <c r="AM5" s="186" t="s">
        <v>99</v>
      </c>
      <c r="AN5" s="175" t="s">
        <v>61</v>
      </c>
      <c r="AO5" s="175" t="s">
        <v>34</v>
      </c>
      <c r="AP5" s="175" t="s">
        <v>35</v>
      </c>
      <c r="AQ5" s="178" t="s">
        <v>212</v>
      </c>
      <c r="AR5" s="179"/>
      <c r="AS5" s="317" t="s">
        <v>199</v>
      </c>
      <c r="AT5" s="317" t="s">
        <v>204</v>
      </c>
      <c r="AU5" s="317"/>
      <c r="AV5" s="317"/>
      <c r="AW5" s="184" t="s">
        <v>100</v>
      </c>
      <c r="AX5" s="184" t="s">
        <v>101</v>
      </c>
      <c r="AY5" s="316" t="s">
        <v>244</v>
      </c>
      <c r="AZ5" s="315" t="s">
        <v>245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213"/>
      <c r="I6" s="277"/>
      <c r="J6" s="211"/>
      <c r="K6" s="211"/>
      <c r="L6" s="215"/>
      <c r="M6" s="215"/>
      <c r="N6" s="321"/>
      <c r="O6" s="323"/>
      <c r="P6" s="217"/>
      <c r="Q6" s="217"/>
      <c r="R6" s="174"/>
      <c r="S6" s="174"/>
      <c r="T6" s="174"/>
      <c r="U6" s="174"/>
      <c r="V6" s="174"/>
      <c r="W6" s="174"/>
      <c r="X6" s="212"/>
      <c r="Y6" s="212"/>
      <c r="Z6" s="213"/>
      <c r="AA6" s="213"/>
      <c r="AB6" s="174"/>
      <c r="AC6" s="174"/>
      <c r="AD6" s="175"/>
      <c r="AE6" s="313"/>
      <c r="AF6" s="314"/>
      <c r="AG6" s="8" t="s">
        <v>52</v>
      </c>
      <c r="AH6" s="8" t="s">
        <v>68</v>
      </c>
      <c r="AI6" s="8" t="s">
        <v>69</v>
      </c>
      <c r="AJ6" s="8" t="s">
        <v>70</v>
      </c>
      <c r="AK6" s="195"/>
      <c r="AL6" s="195"/>
      <c r="AM6" s="187"/>
      <c r="AN6" s="175"/>
      <c r="AO6" s="174"/>
      <c r="AP6" s="174"/>
      <c r="AQ6" s="74" t="s">
        <v>213</v>
      </c>
      <c r="AR6" s="74" t="s">
        <v>214</v>
      </c>
      <c r="AS6" s="318"/>
      <c r="AT6" s="86" t="s">
        <v>200</v>
      </c>
      <c r="AU6" s="86" t="s">
        <v>201</v>
      </c>
      <c r="AV6" s="86" t="s">
        <v>80</v>
      </c>
      <c r="AW6" s="185"/>
      <c r="AX6" s="185"/>
      <c r="AY6" s="315"/>
      <c r="AZ6" s="31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'SO와이드(실측)'!A7</f>
        <v>0</v>
      </c>
      <c r="B7" s="31" t="str">
        <f>'SO와이드(실측)'!B7&amp;"F"</f>
        <v>12F</v>
      </c>
      <c r="C7" s="31">
        <f>'SO와이드(실측)'!C7+SO와이드MH더함-IF(AND(소장="추영덕",AB7=0),1.2)</f>
        <v>341.2</v>
      </c>
      <c r="D7" s="31">
        <f>'SO와이드(실측)'!D7+SO와이드MH더함-IF(AND(소장="추영덕",AB7=0),1.2)</f>
        <v>341.2</v>
      </c>
      <c r="E7" s="31">
        <f>'SO와이드(실측)'!E7-SO와이드OP</f>
        <v>540</v>
      </c>
      <c r="F7" s="31">
        <f>'SO와이드(실측)'!F7-SO와이드OP</f>
        <v>566</v>
      </c>
      <c r="G7" s="31">
        <f>'SO와이드(실측)'!G7-SO와이드R</f>
        <v>1174</v>
      </c>
      <c r="H7" s="50">
        <f>'SO와이드(실측)'!H7+SO와이드JBJD키움치수+IF(BN7=1,AG7,0)</f>
        <v>404.4</v>
      </c>
      <c r="I7" s="50">
        <f>'SO와이드(실측)'!I7+SO와이드JBJD키움치수+IF(BN7=1,AI7,0)</f>
        <v>364.4</v>
      </c>
      <c r="J7" s="50">
        <f>'SO와이드(실측)'!J7+MAX(AW7,AX7)+SO와이드JBJD키움치수+IF(BN7=1,AG7,0)</f>
        <v>423.2</v>
      </c>
      <c r="K7" s="50">
        <f>'SO와이드(실측)'!J7+MAX(AW7,AX7)+SO와이드JBJD키움치수+IF(BN7=1,AH7,0)-IF(SO와이드JB하부늘치=1,'SO와이드(실측)'!AA7-'SO와이드(실측)'!AB7,0)</f>
        <v>429.2</v>
      </c>
      <c r="L7" s="50">
        <f>'SO와이드(실측)'!K7+MAX(AW7,AX7)+SO와이드JBJD키움치수+IF(BN7=1,AI7,0)</f>
        <v>386.2</v>
      </c>
      <c r="M7" s="50">
        <f>'SO와이드(실측)'!K7+MAX(AW7,AX7)+SO와이드JBJD키움치수+IF(BN7=1,AJ7,0)-IF(SO와이드JB하부늘치=1,'SO와이드(실측)'!AC7-'SO와이드(실측)'!AD7,0)</f>
        <v>393.2</v>
      </c>
      <c r="N7" s="91">
        <f>IF(BN7=0,H7+AG7-(I7+AI7),H7-I7)</f>
        <v>44</v>
      </c>
      <c r="O7" s="88">
        <f>IF(BN7=0,J7+AG7-(L7+AI7),J7-L7)</f>
        <v>41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44.4</v>
      </c>
      <c r="S7" s="31">
        <f>IF(W7&lt;9,'SO와이드(실측)'!M7+1.2,IF(ISNUMBER('SO와이드(실측)'!M7),'SO와이드(실측)'!M7+SO와이드C값,0))</f>
        <v>44.4</v>
      </c>
      <c r="T7" s="136">
        <f>ROUNDUP(BA7,1)</f>
        <v>17.3</v>
      </c>
      <c r="U7" s="137">
        <f>ROUNDUP(BB7,1)</f>
        <v>20.100000000000001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2295</v>
      </c>
      <c r="Y7" s="31">
        <f>'SO와이드(실측)'!S7-SO와이드기둥차감</f>
        <v>2297</v>
      </c>
      <c r="Z7" s="31">
        <f>'SO와이드(실측)'!T7-SO와이드기둥차감</f>
        <v>2295</v>
      </c>
      <c r="AA7" s="31">
        <f>'SO와이드(실측)'!U7-SO와이드기둥차감</f>
        <v>2296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23.3</v>
      </c>
      <c r="AD7" s="31">
        <f>'SO와이드(실측)'!X7+뒷날개치수더함</f>
        <v>26.2</v>
      </c>
      <c r="AE7" s="31">
        <f>'SO와이드(실측)'!Y7+뒷날개치수더함</f>
        <v>76.2</v>
      </c>
      <c r="AF7" s="31">
        <f>'SO와이드(실측)'!Z7+뒷날개치수더함</f>
        <v>31.2</v>
      </c>
      <c r="AG7" s="31">
        <f>'SO와이드(실측)'!AA7-SO와이드늘치</f>
        <v>43</v>
      </c>
      <c r="AH7" s="31">
        <f>IF(SO와이드JB하부늘치=1,AG7,'SO와이드(실측)'!AB7-SO와이드늘치)</f>
        <v>43</v>
      </c>
      <c r="AI7" s="31">
        <f>'SO와이드(실측)'!AC7-SO와이드늘치</f>
        <v>39</v>
      </c>
      <c r="AJ7" s="31">
        <f>IF(SO와이드JB하부늘치=1,AI7,'SO와이드(실측)'!AD7-SO와이드늘치)</f>
        <v>39</v>
      </c>
      <c r="AK7" s="31">
        <f xml:space="preserve"> IF(소장&lt;&gt;"손상민",IF('SO와이드(실측)'!AE7&gt;0,'SO와이드(실측)'!AE7,C7-1.2),IF('SO와이드(실측)'!AE7&gt;0,'SO와이드(실측)'!AE7+1.2,C7))</f>
        <v>323.2</v>
      </c>
      <c r="AL7" s="31">
        <f xml:space="preserve"> IF(소장&lt;&gt;"손상민",IF('SO와이드(실측)'!AF7&gt;0,'SO와이드(실측)'!AF7,D7-1.2),IF('SO와이드(실측)'!AF7&gt;0,'SO와이드(실측)'!AF7+1.2,D7) )</f>
        <v>341.2</v>
      </c>
      <c r="AM7" s="51">
        <f>IF(AC7&gt;0,AC7-MAX(T7,U7),0)</f>
        <v>3.1999999999999993</v>
      </c>
      <c r="AN7" s="31" t="str">
        <f t="shared" ref="AN7" si="1">BF7&amp;"*"&amp;BG7</f>
        <v>1174*812.4</v>
      </c>
      <c r="AO7" s="31" t="str">
        <f t="shared" ref="AO7" si="2">BI7&amp;"*"&amp;BH7</f>
        <v>2620.2*597</v>
      </c>
      <c r="AP7" s="31" t="str">
        <f t="shared" ref="AP7" si="3">BK7&amp;"*"&amp;BJ7</f>
        <v>2637.2*512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145</v>
      </c>
      <c r="AT7" s="31">
        <f>IF('SO와이드(실측)'!AJ7&gt;5,'SO와이드(실측)'!AJ7+뒷날개치수더함,'SO와이드(실측)'!AJ7)</f>
        <v>21.2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5.8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5.8</v>
      </c>
      <c r="AY7" s="20">
        <f>DEGREES(ATAN((G7-(E7+F7))/2/(H7)))</f>
        <v>4.8058502462091415</v>
      </c>
      <c r="AZ7" s="20">
        <f>DEGREES(ATAN((G7-(E7+F7))/2/(I7)))</f>
        <v>5.3304962066886636</v>
      </c>
      <c r="BA7" s="21">
        <f>INT(ABS(H7-COS(RADIANS(AY7))*J7)*10)/10</f>
        <v>17.3</v>
      </c>
      <c r="BB7" s="21">
        <f>INT(ABS(I7-COS(RADIANS(AZ7))*L7)*10)/10</f>
        <v>20.100000000000001</v>
      </c>
      <c r="BC7" s="21">
        <f>'SO와이드(실측)'!N7+AW7</f>
        <v>19.8</v>
      </c>
      <c r="BD7" s="21">
        <f>'SO와이드(실측)'!O7+AW7</f>
        <v>19.8</v>
      </c>
      <c r="BE7" s="20">
        <f>BA7-MAX(BC7,BD7)</f>
        <v>-2.5</v>
      </c>
      <c r="BF7" s="41">
        <f t="shared" ref="BF7:BF19" si="4">IF(소장&lt;&gt;"손상민",G7+IF(AB7+AC7&gt;0,P7+Q7,0),G7)</f>
        <v>1174</v>
      </c>
      <c r="BG7" s="42">
        <f>MAX(C7,D7)+MAX(H7,I7)+AD7-1.2*$AN$3+IF(BN7=0,MAX(AI7,AG7),0)+IF(AB7=0,1.2,0)+IF(AC7=0,1.2,0)+IF(소장&lt;&gt;"손상민", AB7+AC7,IF('SO와이드(실측)'!V7=0,0,2.4))</f>
        <v>812.4</v>
      </c>
      <c r="BH7" s="41">
        <f>V7+R7+MAX(J7,K7)+AE7-1.2*$AP$3+IF(BN7=0,MAX(AH7,AG7),0)+IF(V7=0,1.2,0)-IF(AV7=90,2.4,0)</f>
        <v>597</v>
      </c>
      <c r="BI7" s="41">
        <f>MAX(X7,Y7)+AK7</f>
        <v>2620.1999999999998</v>
      </c>
      <c r="BJ7" s="41">
        <f>W7+S7+MAX(L7,M7)+AF7-1.2*$AP$3+IF(BN7=0,MAX(AI7,AJ7),0)+IF(W7=0,1.2,0)-IF(AV7=90,2.4,0)</f>
        <v>511.99999999999994</v>
      </c>
      <c r="BK7" s="41">
        <f>MAX(Z7,AA7)+AL7</f>
        <v>2637.2</v>
      </c>
      <c r="BL7" s="6">
        <f t="shared" ref="BL7" si="5">J7-H7-T7</f>
        <v>1.5000000000000107</v>
      </c>
      <c r="BM7" s="43" t="str">
        <f>IF(AND(C7&lt;&gt;D7,AB7&gt;0),"NG","")</f>
        <v/>
      </c>
      <c r="BN7" s="77">
        <f>IF(AND(MIN(AG7,AI7)&gt;=9.2,G7-E7-F7&gt;15),0,1)</f>
        <v>0</v>
      </c>
    </row>
    <row r="8" spans="1:66" x14ac:dyDescent="0.3">
      <c r="A8" s="31">
        <f>'SO와이드(실측)'!A8</f>
        <v>0</v>
      </c>
      <c r="B8" s="31" t="str">
        <f>'SO와이드(실측)'!B8&amp;"F"</f>
        <v>11F</v>
      </c>
      <c r="C8" s="31">
        <f>'SO와이드(실측)'!C8+SO와이드MH더함-IF(AND(소장="추영덕",AB8=0),1.2)</f>
        <v>316.2</v>
      </c>
      <c r="D8" s="31">
        <f>'SO와이드(실측)'!D8+SO와이드MH더함-IF(AND(소장="추영덕",AB8=0),1.2)</f>
        <v>316.2</v>
      </c>
      <c r="E8" s="31">
        <f>'SO와이드(실측)'!E8-SO와이드OP</f>
        <v>536</v>
      </c>
      <c r="F8" s="31">
        <f>'SO와이드(실측)'!F8-SO와이드OP</f>
        <v>568</v>
      </c>
      <c r="G8" s="31">
        <f>'SO와이드(실측)'!G8-SO와이드R</f>
        <v>1174</v>
      </c>
      <c r="H8" s="50">
        <f>'SO와이드(실측)'!H8+SO와이드JBJD키움치수+IF(BN8=1,AG8,0)</f>
        <v>404.4</v>
      </c>
      <c r="I8" s="50">
        <f>'SO와이드(실측)'!I8+SO와이드JBJD키움치수+IF(BN8=1,AI8,0)</f>
        <v>364.4</v>
      </c>
      <c r="J8" s="50">
        <f>'SO와이드(실측)'!J8+MAX(AW8,AX8)+SO와이드JBJD키움치수+IF(BN8=1,AG8,0)</f>
        <v>423.2</v>
      </c>
      <c r="K8" s="50">
        <f>'SO와이드(실측)'!J8+MAX(AW8,AX8)+SO와이드JBJD키움치수+IF(BN8=1,AH8,0)-IF(SO와이드JB하부늘치=1,'SO와이드(실측)'!AA8-'SO와이드(실측)'!AB8,0)</f>
        <v>426.2</v>
      </c>
      <c r="L8" s="50">
        <f>'SO와이드(실측)'!K8+MAX(AW8,AX8)+SO와이드JBJD키움치수+IF(BN8=1,AI8,0)</f>
        <v>386.2</v>
      </c>
      <c r="M8" s="50">
        <f>'SO와이드(실측)'!K8+MAX(AW8,AX8)+SO와이드JBJD키움치수+IF(BN8=1,AJ8,0)-IF(SO와이드JB하부늘치=1,'SO와이드(실측)'!AC8-'SO와이드(실측)'!AD8,0)</f>
        <v>394.2</v>
      </c>
      <c r="N8" s="91">
        <f t="shared" ref="N8:N19" si="6">IF(BN8=0,H8+AG8-(I8+AI8),H8-I8)</f>
        <v>48</v>
      </c>
      <c r="O8" s="88">
        <f t="shared" ref="O8:O19" si="7">IF(BN8=0,J8+AG8-(L8+AI8),J8-L8)</f>
        <v>45</v>
      </c>
      <c r="P8" s="31">
        <f t="shared" ref="P8:P19" si="8">IF(소장="손상민",0,R8-1.5)</f>
        <v>0</v>
      </c>
      <c r="Q8" s="31">
        <f t="shared" ref="Q8:Q19" si="9">IF(소장="손상민",0,S8-1.5)</f>
        <v>0</v>
      </c>
      <c r="R8" s="31">
        <f>IF(V8&lt;9,'SO와이드(실측)'!L8+1.2,IF(ISNUMBER('SO와이드(실측)'!L8),'SO와이드(실측)'!L8+SO와이드C값,0))</f>
        <v>44.4</v>
      </c>
      <c r="S8" s="31">
        <f>IF(W8&lt;9,'SO와이드(실측)'!M8+1.2,IF(ISNUMBER('SO와이드(실측)'!M8),'SO와이드(실측)'!M8+SO와이드C값,0))</f>
        <v>44.4</v>
      </c>
      <c r="T8" s="136">
        <f t="shared" ref="T8:T19" si="10">ROUNDUP(BA8,1)</f>
        <v>17.2</v>
      </c>
      <c r="U8" s="137">
        <f t="shared" ref="U8:U19" si="11">ROUNDUP(BB8,1)</f>
        <v>20</v>
      </c>
      <c r="V8" s="31">
        <f>IF(ISNUMBER('SO와이드(실측)'!P8),'SO와이드(실측)'!P8+SO와이드제작!AW8+SO와이드A늘림,0)</f>
        <v>10</v>
      </c>
      <c r="W8" s="31">
        <f>IF(ISNUMBER('SO와이드(실측)'!Q8),'SO와이드(실측)'!Q8+SO와이드제작!AX8+SO와이드A늘림,0)</f>
        <v>9</v>
      </c>
      <c r="X8" s="31">
        <f>'SO와이드(실측)'!R8-SO와이드기둥차감</f>
        <v>2293</v>
      </c>
      <c r="Y8" s="31">
        <f>'SO와이드(실측)'!S8-SO와이드기둥차감</f>
        <v>2293</v>
      </c>
      <c r="Z8" s="31">
        <f>'SO와이드(실측)'!T8-SO와이드기둥차감</f>
        <v>2292</v>
      </c>
      <c r="AA8" s="31">
        <f>'SO와이드(실측)'!U8-SO와이드기둥차감</f>
        <v>2296</v>
      </c>
      <c r="AB8" s="31">
        <f>IF(소장&lt;&gt;"손상민",IF(ISNUMBER('SO와이드(실측)'!V8),'SO와이드(실측)'!V8+SO와이드U,0),IF(ISNUMBER('SO와이드(실측)'!V8),'SO와이드(실측)'!V8+1.2,0))</f>
        <v>0</v>
      </c>
      <c r="AC8" s="31">
        <f>IF(소장="손상민",MAX(T8,U8)+3.2,IF(ISNUMBER('SO와이드(실측)'!W8),'SO와이드(실측)'!W8+1.5+SO와이드제작!T8+1,0))</f>
        <v>23.2</v>
      </c>
      <c r="AD8" s="31">
        <f>'SO와이드(실측)'!X8+뒷날개치수더함</f>
        <v>26.2</v>
      </c>
      <c r="AE8" s="31">
        <f>'SO와이드(실측)'!Y8+뒷날개치수더함</f>
        <v>76.2</v>
      </c>
      <c r="AF8" s="31">
        <f>'SO와이드(실측)'!Z8+뒷날개치수더함</f>
        <v>31.2</v>
      </c>
      <c r="AG8" s="31">
        <f>'SO와이드(실측)'!AA8-SO와이드늘치</f>
        <v>45</v>
      </c>
      <c r="AH8" s="31">
        <f>IF(SO와이드JB하부늘치=1,AG8,'SO와이드(실측)'!AB8-SO와이드늘치)</f>
        <v>45</v>
      </c>
      <c r="AI8" s="31">
        <f>'SO와이드(실측)'!AC8-SO와이드늘치</f>
        <v>37</v>
      </c>
      <c r="AJ8" s="31">
        <f>IF(SO와이드JB하부늘치=1,AI8,'SO와이드(실측)'!AD8-SO와이드늘치)</f>
        <v>37</v>
      </c>
      <c r="AK8" s="31">
        <f xml:space="preserve"> IF(소장&lt;&gt;"손상민",IF('SO와이드(실측)'!AE8&gt;0,'SO와이드(실측)'!AE8,C8-1.2),IF('SO와이드(실측)'!AE8&gt;0,'SO와이드(실측)'!AE8+1.2,C8))</f>
        <v>300.2</v>
      </c>
      <c r="AL8" s="31">
        <f xml:space="preserve"> IF(소장&lt;&gt;"손상민",IF('SO와이드(실측)'!AF8&gt;0,'SO와이드(실측)'!AF8,D8-1.2),IF('SO와이드(실측)'!AF8&gt;0,'SO와이드(실측)'!AF8+1.2,D8) )</f>
        <v>303.2</v>
      </c>
      <c r="AM8" s="51">
        <f t="shared" ref="AM8:AM19" si="12">IF(AC8&gt;0,AC8-MAX(T8,U8),0)</f>
        <v>3.1999999999999993</v>
      </c>
      <c r="AN8" s="31" t="str">
        <f t="shared" ref="AN8:AN19" si="13">BF8&amp;"*"&amp;BG8</f>
        <v>1174*789.4</v>
      </c>
      <c r="AO8" s="31" t="str">
        <f t="shared" ref="AO8:AO19" si="14">BI8&amp;"*"&amp;BH8</f>
        <v>2593.2*597</v>
      </c>
      <c r="AP8" s="31" t="str">
        <f t="shared" ref="AP8:AP19" si="15">BK8&amp;"*"&amp;BJ8</f>
        <v>2599.2*511</v>
      </c>
      <c r="AQ8" s="31">
        <f>IF('SO와이드(실측)'!AG8&gt;0,'SO와이드(실측)'!AG8-'SO와이드(실측)'!X8+1.2,0)</f>
        <v>0</v>
      </c>
      <c r="AR8" s="31">
        <f>IF('SO와이드(실측)'!AH8&gt;0,'SO와이드(실측)'!AH8-'SO와이드(실측)'!X8+1.2,0)</f>
        <v>0</v>
      </c>
      <c r="AS8" s="31">
        <f>'SO와이드(실측)'!AI8</f>
        <v>145</v>
      </c>
      <c r="AT8" s="31">
        <f>IF('SO와이드(실측)'!AJ8&gt;5,'SO와이드(실측)'!AJ8+뒷날개치수더함,'SO와이드(실측)'!AJ8)</f>
        <v>21.2</v>
      </c>
      <c r="AU8" s="31">
        <f>'SO와이드(실측)'!AK8</f>
        <v>10</v>
      </c>
      <c r="AV8" s="31">
        <f>'SO와이드(실측)'!AL8</f>
        <v>20</v>
      </c>
      <c r="AW8">
        <f>IF(AND(ISNUMBER('SO와이드(실측)'!Q8),ISNUMBER('SO와이드(실측)'!P8)),IF(ISNUMBER('SO와이드(실측)'!P8),IF(9-MIN('SO와이드(실측)'!P8+SO와이드A늘림,'SO와이드(실측)'!Q8+SO와이드A늘림)&lt;0,0,9-MIN('SO와이드(실측)'!P8+SO와이드A늘림,'SO와이드(실측)'!Q8+SO와이드A늘림)),0),IF(ISNUMBER('SO와이드(실측)'!P8),IF(9-'SO와이드(실측)'!P8-SO와이드A늘림&lt;0,0,9-'SO와이드(실측)'!P8-SO와이드A늘림),0))</f>
        <v>5.8</v>
      </c>
      <c r="AX8">
        <f>IF(AND(ISNUMBER('SO와이드(실측)'!P8),ISNUMBER('SO와이드(실측)'!Q8)),IF(ISNUMBER('SO와이드(실측)'!Q8),IF(9-MIN('SO와이드(실측)'!Q8+SO와이드A늘림,'SO와이드(실측)'!P8+SO와이드A늘림)&lt;0,0,9-MIN('SO와이드(실측)'!Q8+SO와이드A늘림,'SO와이드(실측)'!P8+SO와이드A늘림)),0),IF(ISNUMBER('SO와이드(실측)'!Q8),IF(9-'SO와이드(실측)'!Q8-SO와이드A늘림&lt;0,0,9-'SO와이드(실측)'!Q8-SO와이드A늘림),0))</f>
        <v>5.8</v>
      </c>
      <c r="AY8" s="20">
        <f t="shared" ref="AY8:AY19" si="16">DEGREES(ATAN((G8-(E8+F8))/2/(H8)))</f>
        <v>4.9465074228541601</v>
      </c>
      <c r="AZ8" s="20">
        <f t="shared" ref="AZ8:AZ19" si="17">DEGREES(ATAN((G8-(E8+F8))/2/(I8)))</f>
        <v>5.486332465670281</v>
      </c>
      <c r="BA8" s="21">
        <f t="shared" ref="BA8:BA19" si="18">INT(ABS(H8-COS(RADIANS(AY8))*J8)*10)/10</f>
        <v>17.2</v>
      </c>
      <c r="BB8" s="21">
        <f t="shared" ref="BB8:BB19" si="19">INT(ABS(I8-COS(RADIANS(AZ8))*L8)*10)/10</f>
        <v>20</v>
      </c>
      <c r="BC8" s="21">
        <f>'SO와이드(실측)'!N8+AW8</f>
        <v>19.8</v>
      </c>
      <c r="BD8" s="21">
        <f>'SO와이드(실측)'!O8+AW8</f>
        <v>19.8</v>
      </c>
      <c r="BE8" s="20">
        <f t="shared" ref="BE8:BE19" si="20">BA8-MAX(BC8,BD8)</f>
        <v>-2.6000000000000014</v>
      </c>
      <c r="BF8" s="41">
        <f t="shared" si="4"/>
        <v>1174</v>
      </c>
      <c r="BG8" s="42">
        <f>MAX(C8,D8)+MAX(H8,I8)+AD8-1.2*$AN$3+IF(BN8=0,MAX(AI8,AG8),0)+IF(AB8=0,1.2,0)+IF(AC8=0,1.2,0)+IF(소장&lt;&gt;"손상민", AB8+AC8,IF('SO와이드(실측)'!V8=0,0,2.4))</f>
        <v>789.4</v>
      </c>
      <c r="BH8" s="41">
        <f t="shared" ref="BH8:BH19" si="21">V8+R8+MAX(J8,K8)+AE8-1.2*$AP$3+IF(BN8=0,MAX(AH8,AG8),0)+IF(V8=0,1.2,0)-IF(AV8=90,2.4,0)</f>
        <v>597</v>
      </c>
      <c r="BI8" s="41">
        <f t="shared" ref="BI8:BI19" si="22">MAX(X8,Y8)+AK8</f>
        <v>2593.1999999999998</v>
      </c>
      <c r="BJ8" s="41">
        <f t="shared" ref="BJ8:BJ19" si="23">W8+S8+MAX(L8,M8)+AF8-1.2*$AP$3+IF(BN8=0,MAX(AI8,AJ8),0)+IF(W8=0,1.2,0)-IF(AV8=90,2.4,0)</f>
        <v>510.99999999999994</v>
      </c>
      <c r="BK8" s="41">
        <f t="shared" ref="BK8:BK19" si="24">MAX(Z8,AA8)+AL8</f>
        <v>2599.1999999999998</v>
      </c>
      <c r="BL8" s="6">
        <f t="shared" ref="BL8:BL19" si="25">J8-H8-T8</f>
        <v>1.6000000000000121</v>
      </c>
      <c r="BM8" s="43" t="str">
        <f t="shared" ref="BM8:BM19" si="26">IF(AND(C8&lt;&gt;D8,AB8&gt;0),"NG","")</f>
        <v/>
      </c>
      <c r="BN8" s="77">
        <f t="shared" ref="BN8:BN19" si="27">IF(AND(MIN(AG8,AI8)&gt;=9.2,G8-E8-F8&gt;15),0,1)</f>
        <v>0</v>
      </c>
    </row>
    <row r="9" spans="1:66" x14ac:dyDescent="0.3">
      <c r="A9" s="31">
        <f>'SO와이드(실측)'!A9</f>
        <v>0</v>
      </c>
      <c r="B9" s="31" t="str">
        <f>'SO와이드(실측)'!B9&amp;"F"</f>
        <v>10F</v>
      </c>
      <c r="C9" s="31">
        <f>'SO와이드(실측)'!C9+SO와이드MH더함-IF(AND(소장="추영덕",AB9=0),1.2)</f>
        <v>321.2</v>
      </c>
      <c r="D9" s="31">
        <f>'SO와이드(실측)'!D9+SO와이드MH더함-IF(AND(소장="추영덕",AB9=0),1.2)</f>
        <v>321.2</v>
      </c>
      <c r="E9" s="31">
        <f>'SO와이드(실측)'!E9-SO와이드OP</f>
        <v>538</v>
      </c>
      <c r="F9" s="31">
        <f>'SO와이드(실측)'!F9-SO와이드OP</f>
        <v>569</v>
      </c>
      <c r="G9" s="31">
        <f>'SO와이드(실측)'!G9-SO와이드R</f>
        <v>1175</v>
      </c>
      <c r="H9" s="50">
        <f>'SO와이드(실측)'!H9+SO와이드JBJD키움치수+IF(BN9=1,AG9,0)</f>
        <v>404.4</v>
      </c>
      <c r="I9" s="50">
        <f>'SO와이드(실측)'!I9+SO와이드JBJD키움치수+IF(BN9=1,AI9,0)</f>
        <v>364.4</v>
      </c>
      <c r="J9" s="50">
        <f>'SO와이드(실측)'!J9+MAX(AW9,AX9)+SO와이드JBJD키움치수+IF(BN9=1,AG9,0)</f>
        <v>424.2</v>
      </c>
      <c r="K9" s="50">
        <f>'SO와이드(실측)'!J9+MAX(AW9,AX9)+SO와이드JBJD키움치수+IF(BN9=1,AH9,0)-IF(SO와이드JB하부늘치=1,'SO와이드(실측)'!AA9-'SO와이드(실측)'!AB9,0)</f>
        <v>426.2</v>
      </c>
      <c r="L9" s="50">
        <f>'SO와이드(실측)'!K9+MAX(AW9,AX9)+SO와이드JBJD키움치수+IF(BN9=1,AI9,0)</f>
        <v>387.2</v>
      </c>
      <c r="M9" s="50">
        <f>'SO와이드(실측)'!K9+MAX(AW9,AX9)+SO와이드JBJD키움치수+IF(BN9=1,AJ9,0)-IF(SO와이드JB하부늘치=1,'SO와이드(실측)'!AC9-'SO와이드(실측)'!AD9,0)</f>
        <v>392.2</v>
      </c>
      <c r="N9" s="91">
        <f t="shared" si="6"/>
        <v>39</v>
      </c>
      <c r="O9" s="88">
        <f t="shared" si="7"/>
        <v>36</v>
      </c>
      <c r="P9" s="31">
        <f t="shared" si="8"/>
        <v>0</v>
      </c>
      <c r="Q9" s="31">
        <f t="shared" si="9"/>
        <v>0</v>
      </c>
      <c r="R9" s="31">
        <f>IF(V9&lt;9,'SO와이드(실측)'!L9+1.2,IF(ISNUMBER('SO와이드(실측)'!L9),'SO와이드(실측)'!L9+SO와이드C값,0))</f>
        <v>44.4</v>
      </c>
      <c r="S9" s="31">
        <f>IF(W9&lt;9,'SO와이드(실측)'!M9+1.2,IF(ISNUMBER('SO와이드(실측)'!M9),'SO와이드(실측)'!M9+SO와이드C값,0))</f>
        <v>44.4</v>
      </c>
      <c r="T9" s="136">
        <f t="shared" si="10"/>
        <v>18.3</v>
      </c>
      <c r="U9" s="137">
        <f t="shared" si="11"/>
        <v>21.1</v>
      </c>
      <c r="V9" s="31">
        <f>IF(ISNUMBER('SO와이드(실측)'!P9),'SO와이드(실측)'!P9+SO와이드제작!AW9+SO와이드A늘림,0)</f>
        <v>9</v>
      </c>
      <c r="W9" s="31">
        <f>IF(ISNUMBER('SO와이드(실측)'!Q9),'SO와이드(실측)'!Q9+SO와이드제작!AX9+SO와이드A늘림,0)</f>
        <v>9</v>
      </c>
      <c r="X9" s="31">
        <f>'SO와이드(실측)'!R9-SO와이드기둥차감</f>
        <v>2293</v>
      </c>
      <c r="Y9" s="31">
        <f>'SO와이드(실측)'!S9-SO와이드기둥차감</f>
        <v>2295</v>
      </c>
      <c r="Z9" s="31">
        <f>'SO와이드(실측)'!T9-SO와이드기둥차감</f>
        <v>2297</v>
      </c>
      <c r="AA9" s="31">
        <f>'SO와이드(실측)'!U9-SO와이드기둥차감</f>
        <v>2296</v>
      </c>
      <c r="AB9" s="31">
        <f>IF(소장&lt;&gt;"손상민",IF(ISNUMBER('SO와이드(실측)'!V9),'SO와이드(실측)'!V9+SO와이드U,0),IF(ISNUMBER('SO와이드(실측)'!V9),'SO와이드(실측)'!V9+1.2,0))</f>
        <v>0</v>
      </c>
      <c r="AC9" s="31">
        <f>IF(소장="손상민",MAX(T9,U9)+3.2,IF(ISNUMBER('SO와이드(실측)'!W9),'SO와이드(실측)'!W9+1.5+SO와이드제작!T9+1,0))</f>
        <v>24.3</v>
      </c>
      <c r="AD9" s="31">
        <f>'SO와이드(실측)'!X9+뒷날개치수더함</f>
        <v>26.2</v>
      </c>
      <c r="AE9" s="31">
        <f>'SO와이드(실측)'!Y9+뒷날개치수더함</f>
        <v>76.2</v>
      </c>
      <c r="AF9" s="31">
        <f>'SO와이드(실측)'!Z9+뒷날개치수더함</f>
        <v>31.2</v>
      </c>
      <c r="AG9" s="31">
        <f>'SO와이드(실측)'!AA9-SO와이드늘치</f>
        <v>41</v>
      </c>
      <c r="AH9" s="31">
        <f>IF(SO와이드JB하부늘치=1,AG9,'SO와이드(실측)'!AB9-SO와이드늘치)</f>
        <v>41</v>
      </c>
      <c r="AI9" s="31">
        <f>'SO와이드(실측)'!AC9-SO와이드늘치</f>
        <v>42</v>
      </c>
      <c r="AJ9" s="31">
        <f>IF(SO와이드JB하부늘치=1,AI9,'SO와이드(실측)'!AD9-SO와이드늘치)</f>
        <v>42</v>
      </c>
      <c r="AK9" s="31">
        <f xml:space="preserve"> IF(소장&lt;&gt;"손상민",IF('SO와이드(실측)'!AE9&gt;0,'SO와이드(실측)'!AE9,C9-1.2),IF('SO와이드(실측)'!AE9&gt;0,'SO와이드(실측)'!AE9+1.2,C9))</f>
        <v>310.2</v>
      </c>
      <c r="AL9" s="31">
        <f xml:space="preserve"> IF(소장&lt;&gt;"손상민",IF('SO와이드(실측)'!AF9&gt;0,'SO와이드(실측)'!AF9,D9-1.2),IF('SO와이드(실측)'!AF9&gt;0,'SO와이드(실측)'!AF9+1.2,D9) )</f>
        <v>307.2</v>
      </c>
      <c r="AM9" s="51">
        <f t="shared" si="12"/>
        <v>3.1999999999999993</v>
      </c>
      <c r="AN9" s="31" t="str">
        <f t="shared" si="13"/>
        <v>1175*791.4</v>
      </c>
      <c r="AO9" s="31" t="str">
        <f t="shared" si="14"/>
        <v>2605.2*592</v>
      </c>
      <c r="AP9" s="31" t="str">
        <f t="shared" si="15"/>
        <v>2604.2*514</v>
      </c>
      <c r="AQ9" s="31">
        <f>IF('SO와이드(실측)'!AG9&gt;0,'SO와이드(실측)'!AG9-'SO와이드(실측)'!X9+1.2,0)</f>
        <v>0</v>
      </c>
      <c r="AR9" s="31">
        <f>IF('SO와이드(실측)'!AH9&gt;0,'SO와이드(실측)'!AH9-'SO와이드(실측)'!X9+1.2,0)</f>
        <v>0</v>
      </c>
      <c r="AS9" s="31">
        <f>'SO와이드(실측)'!AI9</f>
        <v>145</v>
      </c>
      <c r="AT9" s="31">
        <f>IF('SO와이드(실측)'!AJ9&gt;5,'SO와이드(실측)'!AJ9+뒷날개치수더함,'SO와이드(실측)'!AJ9)</f>
        <v>21.2</v>
      </c>
      <c r="AU9" s="31">
        <f>'SO와이드(실측)'!AK9</f>
        <v>10</v>
      </c>
      <c r="AV9" s="31">
        <f>'SO와이드(실측)'!AL9</f>
        <v>20</v>
      </c>
      <c r="AW9">
        <f>IF(AND(ISNUMBER('SO와이드(실측)'!Q9),ISNUMBER('SO와이드(실측)'!P9)),IF(ISNUMBER('SO와이드(실측)'!P9),IF(9-MIN('SO와이드(실측)'!P9+SO와이드A늘림,'SO와이드(실측)'!Q9+SO와이드A늘림)&lt;0,0,9-MIN('SO와이드(실측)'!P9+SO와이드A늘림,'SO와이드(실측)'!Q9+SO와이드A늘림)),0),IF(ISNUMBER('SO와이드(실측)'!P9),IF(9-'SO와이드(실측)'!P9-SO와이드A늘림&lt;0,0,9-'SO와이드(실측)'!P9-SO와이드A늘림),0))</f>
        <v>6.8</v>
      </c>
      <c r="AX9">
        <f>IF(AND(ISNUMBER('SO와이드(실측)'!P9),ISNUMBER('SO와이드(실측)'!Q9)),IF(ISNUMBER('SO와이드(실측)'!Q9),IF(9-MIN('SO와이드(실측)'!Q9+SO와이드A늘림,'SO와이드(실측)'!P9+SO와이드A늘림)&lt;0,0,9-MIN('SO와이드(실측)'!Q9+SO와이드A늘림,'SO와이드(실측)'!P9+SO와이드A늘림)),0),IF(ISNUMBER('SO와이드(실측)'!Q9),IF(9-'SO와이드(실측)'!Q9-SO와이드A늘림&lt;0,0,9-'SO와이드(실측)'!Q9-SO와이드A늘림),0))</f>
        <v>6.8</v>
      </c>
      <c r="AY9" s="20">
        <f t="shared" si="16"/>
        <v>4.8058502462091415</v>
      </c>
      <c r="AZ9" s="20">
        <f t="shared" si="17"/>
        <v>5.3304962066886636</v>
      </c>
      <c r="BA9" s="21">
        <f t="shared" si="18"/>
        <v>18.3</v>
      </c>
      <c r="BB9" s="21">
        <f t="shared" si="19"/>
        <v>21.1</v>
      </c>
      <c r="BC9" s="21">
        <f>'SO와이드(실측)'!N9+AW9</f>
        <v>20.8</v>
      </c>
      <c r="BD9" s="21">
        <f>'SO와이드(실측)'!O9+AW9</f>
        <v>20.8</v>
      </c>
      <c r="BE9" s="20">
        <f t="shared" si="20"/>
        <v>-2.5</v>
      </c>
      <c r="BF9" s="41">
        <f t="shared" si="4"/>
        <v>1175</v>
      </c>
      <c r="BG9" s="42">
        <f>MAX(C9,D9)+MAX(H9,I9)+AD9-1.2*$AN$3+IF(BN9=0,MAX(AI9,AG9),0)+IF(AB9=0,1.2,0)+IF(AC9=0,1.2,0)+IF(소장&lt;&gt;"손상민", AB9+AC9,IF('SO와이드(실측)'!V9=0,0,2.4))</f>
        <v>791.4</v>
      </c>
      <c r="BH9" s="41">
        <f t="shared" si="21"/>
        <v>592</v>
      </c>
      <c r="BI9" s="41">
        <f t="shared" si="22"/>
        <v>2605.1999999999998</v>
      </c>
      <c r="BJ9" s="41">
        <f t="shared" si="23"/>
        <v>514</v>
      </c>
      <c r="BK9" s="41">
        <f t="shared" si="24"/>
        <v>2604.1999999999998</v>
      </c>
      <c r="BL9" s="6">
        <f t="shared" si="25"/>
        <v>1.5000000000000107</v>
      </c>
      <c r="BM9" s="43" t="str">
        <f t="shared" si="26"/>
        <v/>
      </c>
      <c r="BN9" s="77">
        <f t="shared" si="27"/>
        <v>0</v>
      </c>
    </row>
    <row r="10" spans="1:66" x14ac:dyDescent="0.3">
      <c r="A10" s="31">
        <f>'SO와이드(실측)'!A10</f>
        <v>0</v>
      </c>
      <c r="B10" s="31" t="str">
        <f>'SO와이드(실측)'!B10&amp;"F"</f>
        <v>9F</v>
      </c>
      <c r="C10" s="31">
        <f>'SO와이드(실측)'!C10+SO와이드MH더함-IF(AND(소장="추영덕",AB10=0),1.2)</f>
        <v>331.2</v>
      </c>
      <c r="D10" s="31">
        <f>'SO와이드(실측)'!D10+SO와이드MH더함-IF(AND(소장="추영덕",AB10=0),1.2)</f>
        <v>331.2</v>
      </c>
      <c r="E10" s="31">
        <f>'SO와이드(실측)'!E10-SO와이드OP</f>
        <v>536</v>
      </c>
      <c r="F10" s="31">
        <f>'SO와이드(실측)'!F10-SO와이드OP</f>
        <v>568</v>
      </c>
      <c r="G10" s="31">
        <f>'SO와이드(실측)'!G10-SO와이드R</f>
        <v>1176</v>
      </c>
      <c r="H10" s="50">
        <f>'SO와이드(실측)'!H10+SO와이드JBJD키움치수+IF(BN10=1,AG10,0)</f>
        <v>404.4</v>
      </c>
      <c r="I10" s="50">
        <f>'SO와이드(실측)'!I10+SO와이드JBJD키움치수+IF(BN10=1,AI10,0)</f>
        <v>364.4</v>
      </c>
      <c r="J10" s="50">
        <f>'SO와이드(실측)'!J10+MAX(AW10,AX10)+SO와이드JBJD키움치수+IF(BN10=1,AG10,0)</f>
        <v>424.2</v>
      </c>
      <c r="K10" s="50">
        <f>'SO와이드(실측)'!J10+MAX(AW10,AX10)+SO와이드JBJD키움치수+IF(BN10=1,AH10,0)-IF(SO와이드JB하부늘치=1,'SO와이드(실측)'!AA10-'SO와이드(실측)'!AB10,0)</f>
        <v>426.2</v>
      </c>
      <c r="L10" s="50">
        <f>'SO와이드(실측)'!K10+MAX(AW10,AX10)+SO와이드JBJD키움치수+IF(BN10=1,AI10,0)</f>
        <v>387.2</v>
      </c>
      <c r="M10" s="50">
        <f>'SO와이드(실측)'!K10+MAX(AW10,AX10)+SO와이드JBJD키움치수+IF(BN10=1,AJ10,0)-IF(SO와이드JB하부늘치=1,'SO와이드(실측)'!AC10-'SO와이드(실측)'!AD10,0)</f>
        <v>393.2</v>
      </c>
      <c r="N10" s="91">
        <f t="shared" si="6"/>
        <v>46</v>
      </c>
      <c r="O10" s="88">
        <f t="shared" si="7"/>
        <v>43</v>
      </c>
      <c r="P10" s="31">
        <f t="shared" si="8"/>
        <v>0</v>
      </c>
      <c r="Q10" s="31">
        <f t="shared" si="9"/>
        <v>0</v>
      </c>
      <c r="R10" s="31">
        <f>IF(V10&lt;9,'SO와이드(실측)'!L10+1.2,IF(ISNUMBER('SO와이드(실측)'!L10),'SO와이드(실측)'!L10+SO와이드C값,0))</f>
        <v>44.4</v>
      </c>
      <c r="S10" s="31">
        <f>IF(W10&lt;9,'SO와이드(실측)'!M10+1.2,IF(ISNUMBER('SO와이드(실측)'!M10),'SO와이드(실측)'!M10+SO와이드C값,0))</f>
        <v>44.4</v>
      </c>
      <c r="T10" s="136">
        <f t="shared" si="10"/>
        <v>18.100000000000001</v>
      </c>
      <c r="U10" s="137">
        <f t="shared" si="11"/>
        <v>20.9</v>
      </c>
      <c r="V10" s="31">
        <f>IF(ISNUMBER('SO와이드(실측)'!P10),'SO와이드(실측)'!P10+SO와이드제작!AW10+SO와이드A늘림,0)</f>
        <v>9</v>
      </c>
      <c r="W10" s="31">
        <f>IF(ISNUMBER('SO와이드(실측)'!Q10),'SO와이드(실측)'!Q10+SO와이드제작!AX10+SO와이드A늘림,0)</f>
        <v>10</v>
      </c>
      <c r="X10" s="31">
        <f>'SO와이드(실측)'!R10-SO와이드기둥차감</f>
        <v>2292</v>
      </c>
      <c r="Y10" s="31">
        <f>'SO와이드(실측)'!S10-SO와이드기둥차감</f>
        <v>2290</v>
      </c>
      <c r="Z10" s="31">
        <f>'SO와이드(실측)'!T10-SO와이드기둥차감</f>
        <v>2293</v>
      </c>
      <c r="AA10" s="31">
        <f>'SO와이드(실측)'!U10-SO와이드기둥차감</f>
        <v>2294</v>
      </c>
      <c r="AB10" s="31">
        <f>IF(소장&lt;&gt;"손상민",IF(ISNUMBER('SO와이드(실측)'!V10),'SO와이드(실측)'!V10+SO와이드U,0),IF(ISNUMBER('SO와이드(실측)'!V10),'SO와이드(실측)'!V10+1.2,0))</f>
        <v>0</v>
      </c>
      <c r="AC10" s="31">
        <f>IF(소장="손상민",MAX(T10,U10)+3.2,IF(ISNUMBER('SO와이드(실측)'!W10),'SO와이드(실측)'!W10+1.5+SO와이드제작!T10+1,0))</f>
        <v>24.099999999999998</v>
      </c>
      <c r="AD10" s="31">
        <f>'SO와이드(실측)'!X10+뒷날개치수더함</f>
        <v>26.2</v>
      </c>
      <c r="AE10" s="31">
        <f>'SO와이드(실측)'!Y10+뒷날개치수더함</f>
        <v>76.2</v>
      </c>
      <c r="AF10" s="31">
        <f>'SO와이드(실측)'!Z10+뒷날개치수더함</f>
        <v>31.2</v>
      </c>
      <c r="AG10" s="31">
        <f>'SO와이드(실측)'!AA10-SO와이드늘치</f>
        <v>45</v>
      </c>
      <c r="AH10" s="31">
        <f>IF(SO와이드JB하부늘치=1,AG10,'SO와이드(실측)'!AB10-SO와이드늘치)</f>
        <v>45</v>
      </c>
      <c r="AI10" s="31">
        <f>'SO와이드(실측)'!AC10-SO와이드늘치</f>
        <v>39</v>
      </c>
      <c r="AJ10" s="31">
        <f>IF(SO와이드JB하부늘치=1,AI10,'SO와이드(실측)'!AD10-SO와이드늘치)</f>
        <v>39</v>
      </c>
      <c r="AK10" s="31">
        <f xml:space="preserve"> IF(소장&lt;&gt;"손상민",IF('SO와이드(실측)'!AE10&gt;0,'SO와이드(실측)'!AE10,C10-1.2),IF('SO와이드(실측)'!AE10&gt;0,'SO와이드(실측)'!AE10+1.2,C10))</f>
        <v>313.2</v>
      </c>
      <c r="AL10" s="31">
        <f xml:space="preserve"> IF(소장&lt;&gt;"손상민",IF('SO와이드(실측)'!AF10&gt;0,'SO와이드(실측)'!AF10,D10-1.2),IF('SO와이드(실측)'!AF10&gt;0,'SO와이드(실측)'!AF10+1.2,D10) )</f>
        <v>313.2</v>
      </c>
      <c r="AM10" s="51">
        <f t="shared" si="12"/>
        <v>3.1999999999999993</v>
      </c>
      <c r="AN10" s="31" t="str">
        <f t="shared" si="13"/>
        <v>1176*804.4</v>
      </c>
      <c r="AO10" s="31" t="str">
        <f t="shared" si="14"/>
        <v>2605.2*596</v>
      </c>
      <c r="AP10" s="31" t="str">
        <f t="shared" si="15"/>
        <v>2607.2*513</v>
      </c>
      <c r="AQ10" s="31">
        <f>IF('SO와이드(실측)'!AG10&gt;0,'SO와이드(실측)'!AG10-'SO와이드(실측)'!X10+1.2,0)</f>
        <v>0</v>
      </c>
      <c r="AR10" s="31">
        <f>IF('SO와이드(실측)'!AH10&gt;0,'SO와이드(실측)'!AH10-'SO와이드(실측)'!X10+1.2,0)</f>
        <v>0</v>
      </c>
      <c r="AS10" s="31">
        <f>'SO와이드(실측)'!AI10</f>
        <v>145</v>
      </c>
      <c r="AT10" s="31">
        <f>IF('SO와이드(실측)'!AJ10&gt;5,'SO와이드(실측)'!AJ10+뒷날개치수더함,'SO와이드(실측)'!AJ10)</f>
        <v>21.2</v>
      </c>
      <c r="AU10" s="31">
        <f>'SO와이드(실측)'!AK10</f>
        <v>10</v>
      </c>
      <c r="AV10" s="31">
        <f>'SO와이드(실측)'!AL10</f>
        <v>20</v>
      </c>
      <c r="AW10">
        <f>IF(AND(ISNUMBER('SO와이드(실측)'!Q10),ISNUMBER('SO와이드(실측)'!P10)),IF(ISNUMBER('SO와이드(실측)'!P10),IF(9-MIN('SO와이드(실측)'!P10+SO와이드A늘림,'SO와이드(실측)'!Q10+SO와이드A늘림)&lt;0,0,9-MIN('SO와이드(실측)'!P10+SO와이드A늘림,'SO와이드(실측)'!Q10+SO와이드A늘림)),0),IF(ISNUMBER('SO와이드(실측)'!P10),IF(9-'SO와이드(실측)'!P10-SO와이드A늘림&lt;0,0,9-'SO와이드(실측)'!P10-SO와이드A늘림),0))</f>
        <v>6.8</v>
      </c>
      <c r="AX10">
        <f>IF(AND(ISNUMBER('SO와이드(실측)'!P10),ISNUMBER('SO와이드(실측)'!Q10)),IF(ISNUMBER('SO와이드(실측)'!Q10),IF(9-MIN('SO와이드(실측)'!Q10+SO와이드A늘림,'SO와이드(실측)'!P10+SO와이드A늘림)&lt;0,0,9-MIN('SO와이드(실측)'!Q10+SO와이드A늘림,'SO와이드(실측)'!P10+SO와이드A늘림)),0),IF(ISNUMBER('SO와이드(실측)'!Q10),IF(9-'SO와이드(실측)'!Q10-SO와이드A늘림&lt;0,0,9-'SO와이드(실측)'!Q10-SO와이드A늘림),0))</f>
        <v>6.8</v>
      </c>
      <c r="AY10" s="20">
        <f t="shared" si="16"/>
        <v>5.0871048543470661</v>
      </c>
      <c r="AZ10" s="20">
        <f t="shared" si="17"/>
        <v>5.6420873468137014</v>
      </c>
      <c r="BA10" s="21">
        <f t="shared" si="18"/>
        <v>18.100000000000001</v>
      </c>
      <c r="BB10" s="21">
        <f t="shared" si="19"/>
        <v>20.9</v>
      </c>
      <c r="BC10" s="21">
        <f>'SO와이드(실측)'!N10+AW10</f>
        <v>20.8</v>
      </c>
      <c r="BD10" s="21">
        <f>'SO와이드(실측)'!O10+AW10</f>
        <v>20.8</v>
      </c>
      <c r="BE10" s="20">
        <f t="shared" si="20"/>
        <v>-2.6999999999999993</v>
      </c>
      <c r="BF10" s="41">
        <f t="shared" si="4"/>
        <v>1176</v>
      </c>
      <c r="BG10" s="42">
        <f>MAX(C10,D10)+MAX(H10,I10)+AD10-1.2*$AN$3+IF(BN10=0,MAX(AI10,AG10),0)+IF(AB10=0,1.2,0)+IF(AC10=0,1.2,0)+IF(소장&lt;&gt;"손상민", AB10+AC10,IF('SO와이드(실측)'!V10=0,0,2.4))</f>
        <v>804.4</v>
      </c>
      <c r="BH10" s="41">
        <f t="shared" si="21"/>
        <v>596</v>
      </c>
      <c r="BI10" s="41">
        <f t="shared" si="22"/>
        <v>2605.1999999999998</v>
      </c>
      <c r="BJ10" s="41">
        <f t="shared" si="23"/>
        <v>513</v>
      </c>
      <c r="BK10" s="41">
        <f t="shared" si="24"/>
        <v>2607.1999999999998</v>
      </c>
      <c r="BL10" s="6">
        <f t="shared" si="25"/>
        <v>1.7000000000000099</v>
      </c>
      <c r="BM10" s="43" t="str">
        <f t="shared" si="26"/>
        <v/>
      </c>
      <c r="BN10" s="77">
        <f t="shared" si="27"/>
        <v>0</v>
      </c>
    </row>
    <row r="11" spans="1:66" x14ac:dyDescent="0.3">
      <c r="A11" s="31">
        <f>'SO와이드(실측)'!A11</f>
        <v>0</v>
      </c>
      <c r="B11" s="31" t="str">
        <f>'SO와이드(실측)'!B11&amp;"F"</f>
        <v>8F</v>
      </c>
      <c r="C11" s="31">
        <f>'SO와이드(실측)'!C11+SO와이드MH더함-IF(AND(소장="추영덕",AB11=0),1.2)</f>
        <v>331.2</v>
      </c>
      <c r="D11" s="31">
        <f>'SO와이드(실측)'!D11+SO와이드MH더함-IF(AND(소장="추영덕",AB11=0),1.2)</f>
        <v>331.2</v>
      </c>
      <c r="E11" s="31">
        <f>'SO와이드(실측)'!E11-SO와이드OP</f>
        <v>538</v>
      </c>
      <c r="F11" s="31">
        <f>'SO와이드(실측)'!F11-SO와이드OP</f>
        <v>569</v>
      </c>
      <c r="G11" s="31">
        <f>'SO와이드(실측)'!G11-SO와이드R</f>
        <v>1177</v>
      </c>
      <c r="H11" s="50">
        <f>'SO와이드(실측)'!H11+SO와이드JBJD키움치수+IF(BN11=1,AG11,0)</f>
        <v>404.4</v>
      </c>
      <c r="I11" s="50">
        <f>'SO와이드(실측)'!I11+SO와이드JBJD키움치수+IF(BN11=1,AI11,0)</f>
        <v>364.4</v>
      </c>
      <c r="J11" s="50">
        <f>'SO와이드(실측)'!J11+MAX(AW11,AX11)+SO와이드JBJD키움치수+IF(BN11=1,AG11,0)</f>
        <v>423.2</v>
      </c>
      <c r="K11" s="50">
        <f>'SO와이드(실측)'!J11+MAX(AW11,AX11)+SO와이드JBJD키움치수+IF(BN11=1,AH11,0)-IF(SO와이드JB하부늘치=1,'SO와이드(실측)'!AA11-'SO와이드(실측)'!AB11,0)</f>
        <v>425.2</v>
      </c>
      <c r="L11" s="50">
        <f>'SO와이드(실측)'!K11+MAX(AW11,AX11)+SO와이드JBJD키움치수+IF(BN11=1,AI11,0)</f>
        <v>386.2</v>
      </c>
      <c r="M11" s="50">
        <f>'SO와이드(실측)'!K11+MAX(AW11,AX11)+SO와이드JBJD키움치수+IF(BN11=1,AJ11,0)-IF(SO와이드JB하부늘치=1,'SO와이드(실측)'!AC11-'SO와이드(실측)'!AD11,0)</f>
        <v>390.2</v>
      </c>
      <c r="N11" s="91">
        <f t="shared" si="6"/>
        <v>43</v>
      </c>
      <c r="O11" s="88">
        <f t="shared" si="7"/>
        <v>40</v>
      </c>
      <c r="P11" s="31">
        <f t="shared" si="8"/>
        <v>0</v>
      </c>
      <c r="Q11" s="31">
        <f t="shared" si="9"/>
        <v>0</v>
      </c>
      <c r="R11" s="31">
        <f>IF(V11&lt;9,'SO와이드(실측)'!L11+1.2,IF(ISNUMBER('SO와이드(실측)'!L11),'SO와이드(실측)'!L11+SO와이드C값,0))</f>
        <v>44.4</v>
      </c>
      <c r="S11" s="31">
        <f>IF(W11&lt;9,'SO와이드(실측)'!M11+1.2,IF(ISNUMBER('SO와이드(실측)'!M11),'SO와이드(실측)'!M11+SO와이드C값,0))</f>
        <v>44.4</v>
      </c>
      <c r="T11" s="136">
        <f t="shared" si="10"/>
        <v>17.2</v>
      </c>
      <c r="U11" s="137">
        <f t="shared" si="11"/>
        <v>20</v>
      </c>
      <c r="V11" s="31">
        <f>IF(ISNUMBER('SO와이드(실측)'!P11),'SO와이드(실측)'!P11+SO와이드제작!AW11+SO와이드A늘림,0)</f>
        <v>9</v>
      </c>
      <c r="W11" s="31">
        <f>IF(ISNUMBER('SO와이드(실측)'!Q11),'SO와이드(실측)'!Q11+SO와이드제작!AX11+SO와이드A늘림,0)</f>
        <v>10</v>
      </c>
      <c r="X11" s="31">
        <f>'SO와이드(실측)'!R11-SO와이드기둥차감</f>
        <v>2292</v>
      </c>
      <c r="Y11" s="31">
        <f>'SO와이드(실측)'!S11-SO와이드기둥차감</f>
        <v>2290</v>
      </c>
      <c r="Z11" s="31">
        <f>'SO와이드(실측)'!T11-SO와이드기둥차감</f>
        <v>2296</v>
      </c>
      <c r="AA11" s="31">
        <f>'SO와이드(실측)'!U11-SO와이드기둥차감</f>
        <v>2294</v>
      </c>
      <c r="AB11" s="31">
        <f>IF(소장&lt;&gt;"손상민",IF(ISNUMBER('SO와이드(실측)'!V11),'SO와이드(실측)'!V11+SO와이드U,0),IF(ISNUMBER('SO와이드(실측)'!V11),'SO와이드(실측)'!V11+1.2,0))</f>
        <v>0</v>
      </c>
      <c r="AC11" s="31">
        <f>IF(소장="손상민",MAX(T11,U11)+3.2,IF(ISNUMBER('SO와이드(실측)'!W11),'SO와이드(실측)'!W11+1.5+SO와이드제작!T11+1,0))</f>
        <v>23.2</v>
      </c>
      <c r="AD11" s="31">
        <f>'SO와이드(실측)'!X11+뒷날개치수더함</f>
        <v>26.2</v>
      </c>
      <c r="AE11" s="31">
        <f>'SO와이드(실측)'!Y11+뒷날개치수더함</f>
        <v>76.2</v>
      </c>
      <c r="AF11" s="31">
        <f>'SO와이드(실측)'!Z11+뒷날개치수더함</f>
        <v>31.2</v>
      </c>
      <c r="AG11" s="31">
        <f>'SO와이드(실측)'!AA11-SO와이드늘치</f>
        <v>43</v>
      </c>
      <c r="AH11" s="31">
        <f>IF(SO와이드JB하부늘치=1,AG11,'SO와이드(실측)'!AB11-SO와이드늘치)</f>
        <v>43</v>
      </c>
      <c r="AI11" s="31">
        <f>'SO와이드(실측)'!AC11-SO와이드늘치</f>
        <v>40</v>
      </c>
      <c r="AJ11" s="31">
        <f>IF(SO와이드JB하부늘치=1,AI11,'SO와이드(실측)'!AD11-SO와이드늘치)</f>
        <v>40</v>
      </c>
      <c r="AK11" s="31">
        <f xml:space="preserve"> IF(소장&lt;&gt;"손상민",IF('SO와이드(실측)'!AE11&gt;0,'SO와이드(실측)'!AE11,C11-1.2),IF('SO와이드(실측)'!AE11&gt;0,'SO와이드(실측)'!AE11+1.2,C11))</f>
        <v>315.2</v>
      </c>
      <c r="AL11" s="31">
        <f xml:space="preserve"> IF(소장&lt;&gt;"손상민",IF('SO와이드(실측)'!AF11&gt;0,'SO와이드(실측)'!AF11,D11-1.2),IF('SO와이드(실측)'!AF11&gt;0,'SO와이드(실측)'!AF11+1.2,D11) )</f>
        <v>315.2</v>
      </c>
      <c r="AM11" s="51">
        <f t="shared" si="12"/>
        <v>3.1999999999999993</v>
      </c>
      <c r="AN11" s="31" t="str">
        <f t="shared" si="13"/>
        <v>1177*802.4</v>
      </c>
      <c r="AO11" s="31" t="str">
        <f t="shared" si="14"/>
        <v>2607.2*593</v>
      </c>
      <c r="AP11" s="31" t="str">
        <f t="shared" si="15"/>
        <v>2611.2*511</v>
      </c>
      <c r="AQ11" s="31">
        <f>IF('SO와이드(실측)'!AG11&gt;0,'SO와이드(실측)'!AG11-'SO와이드(실측)'!X11+1.2,0)</f>
        <v>0</v>
      </c>
      <c r="AR11" s="31">
        <f>IF('SO와이드(실측)'!AH11&gt;0,'SO와이드(실측)'!AH11-'SO와이드(실측)'!X11+1.2,0)</f>
        <v>0</v>
      </c>
      <c r="AS11" s="31">
        <f>'SO와이드(실측)'!AI11</f>
        <v>145</v>
      </c>
      <c r="AT11" s="31">
        <f>IF('SO와이드(실측)'!AJ11&gt;5,'SO와이드(실측)'!AJ11+뒷날개치수더함,'SO와이드(실측)'!AJ11)</f>
        <v>21.2</v>
      </c>
      <c r="AU11" s="31">
        <f>'SO와이드(실측)'!AK11</f>
        <v>10</v>
      </c>
      <c r="AV11" s="31">
        <f>'SO와이드(실측)'!AL11</f>
        <v>20</v>
      </c>
      <c r="AW11">
        <f>IF(AND(ISNUMBER('SO와이드(실측)'!Q11),ISNUMBER('SO와이드(실측)'!P11)),IF(ISNUMBER('SO와이드(실측)'!P11),IF(9-MIN('SO와이드(실측)'!P11+SO와이드A늘림,'SO와이드(실측)'!Q11+SO와이드A늘림)&lt;0,0,9-MIN('SO와이드(실측)'!P11+SO와이드A늘림,'SO와이드(실측)'!Q11+SO와이드A늘림)),0),IF(ISNUMBER('SO와이드(실측)'!P11),IF(9-'SO와이드(실측)'!P11-SO와이드A늘림&lt;0,0,9-'SO와이드(실측)'!P11-SO와이드A늘림),0))</f>
        <v>5.8</v>
      </c>
      <c r="AX11">
        <f>IF(AND(ISNUMBER('SO와이드(실측)'!P11),ISNUMBER('SO와이드(실측)'!Q11)),IF(ISNUMBER('SO와이드(실측)'!Q11),IF(9-MIN('SO와이드(실측)'!Q11+SO와이드A늘림,'SO와이드(실측)'!P11+SO와이드A늘림)&lt;0,0,9-MIN('SO와이드(실측)'!Q11+SO와이드A늘림,'SO와이드(실측)'!P11+SO와이드A늘림)),0),IF(ISNUMBER('SO와이드(실측)'!Q11),IF(9-'SO와이드(실측)'!Q11-SO와이드A늘림&lt;0,0,9-'SO와이드(실측)'!Q11-SO와이드A늘림),0))</f>
        <v>5.8</v>
      </c>
      <c r="AY11" s="20">
        <f t="shared" si="16"/>
        <v>4.9465074228541601</v>
      </c>
      <c r="AZ11" s="20">
        <f t="shared" si="17"/>
        <v>5.486332465670281</v>
      </c>
      <c r="BA11" s="21">
        <f t="shared" si="18"/>
        <v>17.2</v>
      </c>
      <c r="BB11" s="21">
        <f t="shared" si="19"/>
        <v>20</v>
      </c>
      <c r="BC11" s="21">
        <f>'SO와이드(실측)'!N11+AW11</f>
        <v>19.8</v>
      </c>
      <c r="BD11" s="21">
        <f>'SO와이드(실측)'!O11+AW11</f>
        <v>19.8</v>
      </c>
      <c r="BE11" s="20">
        <f t="shared" si="20"/>
        <v>-2.6000000000000014</v>
      </c>
      <c r="BF11" s="41">
        <f t="shared" si="4"/>
        <v>1177</v>
      </c>
      <c r="BG11" s="42">
        <f>MAX(C11,D11)+MAX(H11,I11)+AD11-1.2*$AN$3+IF(BN11=0,MAX(AI11,AG11),0)+IF(AB11=0,1.2,0)+IF(AC11=0,1.2,0)+IF(소장&lt;&gt;"손상민", AB11+AC11,IF('SO와이드(실측)'!V11=0,0,2.4))</f>
        <v>802.4</v>
      </c>
      <c r="BH11" s="41">
        <f t="shared" si="21"/>
        <v>593</v>
      </c>
      <c r="BI11" s="41">
        <f t="shared" si="22"/>
        <v>2607.1999999999998</v>
      </c>
      <c r="BJ11" s="41">
        <f t="shared" si="23"/>
        <v>510.99999999999994</v>
      </c>
      <c r="BK11" s="41">
        <f t="shared" si="24"/>
        <v>2611.1999999999998</v>
      </c>
      <c r="BL11" s="6">
        <f t="shared" si="25"/>
        <v>1.6000000000000121</v>
      </c>
      <c r="BM11" s="43" t="str">
        <f t="shared" si="26"/>
        <v/>
      </c>
      <c r="BN11" s="77">
        <f t="shared" si="27"/>
        <v>0</v>
      </c>
    </row>
    <row r="12" spans="1:66" x14ac:dyDescent="0.3">
      <c r="A12" s="31">
        <f>'SO와이드(실측)'!A12</f>
        <v>0</v>
      </c>
      <c r="B12" s="31" t="str">
        <f>'SO와이드(실측)'!B12&amp;"F"</f>
        <v>7F</v>
      </c>
      <c r="C12" s="31">
        <f>'SO와이드(실측)'!C12+SO와이드MH더함-IF(AND(소장="추영덕",AB12=0),1.2)</f>
        <v>319.2</v>
      </c>
      <c r="D12" s="31">
        <f>'SO와이드(실측)'!D12+SO와이드MH더함-IF(AND(소장="추영덕",AB12=0),1.2)</f>
        <v>319.2</v>
      </c>
      <c r="E12" s="31">
        <f>'SO와이드(실측)'!E12-SO와이드OP</f>
        <v>535</v>
      </c>
      <c r="F12" s="31">
        <f>'SO와이드(실측)'!F12-SO와이드OP</f>
        <v>569</v>
      </c>
      <c r="G12" s="31">
        <f>'SO와이드(실측)'!G12-SO와이드R</f>
        <v>1178</v>
      </c>
      <c r="H12" s="50">
        <f>'SO와이드(실측)'!H12+SO와이드JBJD키움치수+IF(BN12=1,AG12,0)</f>
        <v>404.4</v>
      </c>
      <c r="I12" s="50">
        <f>'SO와이드(실측)'!I12+SO와이드JBJD키움치수+IF(BN12=1,AI12,0)</f>
        <v>364.4</v>
      </c>
      <c r="J12" s="50">
        <f>'SO와이드(실측)'!J12+MAX(AW12,AX12)+SO와이드JBJD키움치수+IF(BN12=1,AG12,0)</f>
        <v>425.2</v>
      </c>
      <c r="K12" s="50">
        <f>'SO와이드(실측)'!J12+MAX(AW12,AX12)+SO와이드JBJD키움치수+IF(BN12=1,AH12,0)-IF(SO와이드JB하부늘치=1,'SO와이드(실측)'!AA12-'SO와이드(실측)'!AB12,0)</f>
        <v>431.2</v>
      </c>
      <c r="L12" s="50">
        <f>'SO와이드(실측)'!K12+MAX(AW12,AX12)+SO와이드JBJD키움치수+IF(BN12=1,AI12,0)</f>
        <v>388.2</v>
      </c>
      <c r="M12" s="50">
        <f>'SO와이드(실측)'!K12+MAX(AW12,AX12)+SO와이드JBJD키움치수+IF(BN12=1,AJ12,0)-IF(SO와이드JB하부늘치=1,'SO와이드(실측)'!AC12-'SO와이드(실측)'!AD12,0)</f>
        <v>391.2</v>
      </c>
      <c r="N12" s="91">
        <f t="shared" si="6"/>
        <v>41</v>
      </c>
      <c r="O12" s="88">
        <f t="shared" si="7"/>
        <v>38</v>
      </c>
      <c r="P12" s="31">
        <f t="shared" si="8"/>
        <v>0</v>
      </c>
      <c r="Q12" s="31">
        <f t="shared" si="9"/>
        <v>0</v>
      </c>
      <c r="R12" s="31">
        <f>IF(V12&lt;9,'SO와이드(실측)'!L12+1.2,IF(ISNUMBER('SO와이드(실측)'!L12),'SO와이드(실측)'!L12+SO와이드C값,0))</f>
        <v>44.4</v>
      </c>
      <c r="S12" s="31">
        <f>IF(W12&lt;9,'SO와이드(실측)'!M12+1.2,IF(ISNUMBER('SO와이드(실측)'!M12),'SO와이드(실측)'!M12+SO와이드C값,0))</f>
        <v>44.4</v>
      </c>
      <c r="T12" s="136">
        <f t="shared" si="10"/>
        <v>19</v>
      </c>
      <c r="U12" s="137">
        <f t="shared" si="11"/>
        <v>21.8</v>
      </c>
      <c r="V12" s="31">
        <f>IF(ISNUMBER('SO와이드(실측)'!P12),'SO와이드(실측)'!P12+SO와이드제작!AW12+SO와이드A늘림,0)</f>
        <v>9</v>
      </c>
      <c r="W12" s="31">
        <f>IF(ISNUMBER('SO와이드(실측)'!Q12),'SO와이드(실측)'!Q12+SO와이드제작!AX12+SO와이드A늘림,0)</f>
        <v>10</v>
      </c>
      <c r="X12" s="31">
        <f>'SO와이드(실측)'!R12-SO와이드기둥차감</f>
        <v>2297</v>
      </c>
      <c r="Y12" s="31">
        <f>'SO와이드(실측)'!S12-SO와이드기둥차감</f>
        <v>2293</v>
      </c>
      <c r="Z12" s="31">
        <f>'SO와이드(실측)'!T12-SO와이드기둥차감</f>
        <v>2297</v>
      </c>
      <c r="AA12" s="31">
        <f>'SO와이드(실측)'!U12-SO와이드기둥차감</f>
        <v>2295</v>
      </c>
      <c r="AB12" s="31">
        <f>IF(소장&lt;&gt;"손상민",IF(ISNUMBER('SO와이드(실측)'!V12),'SO와이드(실측)'!V12+SO와이드U,0),IF(ISNUMBER('SO와이드(실측)'!V12),'SO와이드(실측)'!V12+1.2,0))</f>
        <v>0</v>
      </c>
      <c r="AC12" s="31">
        <f>IF(소장="손상민",MAX(T12,U12)+3.2,IF(ISNUMBER('SO와이드(실측)'!W12),'SO와이드(실측)'!W12+1.5+SO와이드제작!T12+1,0))</f>
        <v>25</v>
      </c>
      <c r="AD12" s="31">
        <f>'SO와이드(실측)'!X12+뒷날개치수더함</f>
        <v>26.2</v>
      </c>
      <c r="AE12" s="31">
        <f>'SO와이드(실측)'!Y12+뒷날개치수더함</f>
        <v>76.2</v>
      </c>
      <c r="AF12" s="31">
        <f>'SO와이드(실측)'!Z12+뒷날개치수더함</f>
        <v>31.2</v>
      </c>
      <c r="AG12" s="31">
        <f>'SO와이드(실측)'!AA12-SO와이드늘치</f>
        <v>42</v>
      </c>
      <c r="AH12" s="31">
        <f>IF(SO와이드JB하부늘치=1,AG12,'SO와이드(실측)'!AB12-SO와이드늘치)</f>
        <v>42</v>
      </c>
      <c r="AI12" s="31">
        <f>'SO와이드(실측)'!AC12-SO와이드늘치</f>
        <v>41</v>
      </c>
      <c r="AJ12" s="31">
        <f>IF(SO와이드JB하부늘치=1,AI12,'SO와이드(실측)'!AD12-SO와이드늘치)</f>
        <v>41</v>
      </c>
      <c r="AK12" s="31">
        <f xml:space="preserve"> IF(소장&lt;&gt;"손상민",IF('SO와이드(실측)'!AE12&gt;0,'SO와이드(실측)'!AE12,C12-1.2),IF('SO와이드(실측)'!AE12&gt;0,'SO와이드(실측)'!AE12+1.2,C12))</f>
        <v>304.2</v>
      </c>
      <c r="AL12" s="31">
        <f xml:space="preserve"> IF(소장&lt;&gt;"손상민",IF('SO와이드(실측)'!AF12&gt;0,'SO와이드(실측)'!AF12,D12-1.2),IF('SO와이드(실측)'!AF12&gt;0,'SO와이드(실측)'!AF12+1.2,D12) )</f>
        <v>304.2</v>
      </c>
      <c r="AM12" s="51">
        <f t="shared" si="12"/>
        <v>3.1999999999999993</v>
      </c>
      <c r="AN12" s="31" t="str">
        <f t="shared" si="13"/>
        <v>1178*789.4</v>
      </c>
      <c r="AO12" s="31" t="str">
        <f t="shared" si="14"/>
        <v>2601.2*598</v>
      </c>
      <c r="AP12" s="31" t="str">
        <f t="shared" si="15"/>
        <v>2601.2*513</v>
      </c>
      <c r="AQ12" s="31">
        <f>IF('SO와이드(실측)'!AG12&gt;0,'SO와이드(실측)'!AG12-'SO와이드(실측)'!X12+1.2,0)</f>
        <v>0</v>
      </c>
      <c r="AR12" s="31">
        <f>IF('SO와이드(실측)'!AH12&gt;0,'SO와이드(실측)'!AH12-'SO와이드(실측)'!X12+1.2,0)</f>
        <v>0</v>
      </c>
      <c r="AS12" s="31">
        <f>'SO와이드(실측)'!AI12</f>
        <v>145</v>
      </c>
      <c r="AT12" s="31">
        <f>IF('SO와이드(실측)'!AJ12&gt;5,'SO와이드(실측)'!AJ12+뒷날개치수더함,'SO와이드(실측)'!AJ12)</f>
        <v>21.2</v>
      </c>
      <c r="AU12" s="31">
        <f>'SO와이드(실측)'!AK12</f>
        <v>10</v>
      </c>
      <c r="AV12" s="31">
        <f>'SO와이드(실측)'!AL12</f>
        <v>20</v>
      </c>
      <c r="AW12">
        <f>IF(AND(ISNUMBER('SO와이드(실측)'!Q12),ISNUMBER('SO와이드(실측)'!P12)),IF(ISNUMBER('SO와이드(실측)'!P12),IF(9-MIN('SO와이드(실측)'!P12+SO와이드A늘림,'SO와이드(실측)'!Q12+SO와이드A늘림)&lt;0,0,9-MIN('SO와이드(실측)'!P12+SO와이드A늘림,'SO와이드(실측)'!Q12+SO와이드A늘림)),0),IF(ISNUMBER('SO와이드(실측)'!P12),IF(9-'SO와이드(실측)'!P12-SO와이드A늘림&lt;0,0,9-'SO와이드(실측)'!P12-SO와이드A늘림),0))</f>
        <v>7.8</v>
      </c>
      <c r="AX12">
        <f>IF(AND(ISNUMBER('SO와이드(실측)'!P12),ISNUMBER('SO와이드(실측)'!Q12)),IF(ISNUMBER('SO와이드(실측)'!Q12),IF(9-MIN('SO와이드(실측)'!Q12+SO와이드A늘림,'SO와이드(실측)'!P12+SO와이드A늘림)&lt;0,0,9-MIN('SO와이드(실측)'!Q12+SO와이드A늘림,'SO와이드(실측)'!P12+SO와이드A늘림)),0),IF(ISNUMBER('SO와이드(실측)'!Q12),IF(9-'SO와이드(실측)'!Q12-SO와이드A늘림&lt;0,0,9-'SO와이드(실측)'!Q12-SO와이드A늘림),0))</f>
        <v>7.8</v>
      </c>
      <c r="AY12" s="20">
        <f t="shared" si="16"/>
        <v>5.2276408866105566</v>
      </c>
      <c r="AZ12" s="20">
        <f t="shared" si="17"/>
        <v>5.7977586136583481</v>
      </c>
      <c r="BA12" s="21">
        <f t="shared" si="18"/>
        <v>19</v>
      </c>
      <c r="BB12" s="21">
        <f t="shared" si="19"/>
        <v>21.8</v>
      </c>
      <c r="BC12" s="21">
        <f>'SO와이드(실측)'!N12+AW12</f>
        <v>21.8</v>
      </c>
      <c r="BD12" s="21">
        <f>'SO와이드(실측)'!O12+AW12</f>
        <v>21.8</v>
      </c>
      <c r="BE12" s="20">
        <f t="shared" si="20"/>
        <v>-2.8000000000000007</v>
      </c>
      <c r="BF12" s="41">
        <f t="shared" si="4"/>
        <v>1178</v>
      </c>
      <c r="BG12" s="42">
        <f>MAX(C12,D12)+MAX(H12,I12)+AD12-1.2*$AN$3+IF(BN12=0,MAX(AI12,AG12),0)+IF(AB12=0,1.2,0)+IF(AC12=0,1.2,0)+IF(소장&lt;&gt;"손상민", AB12+AC12,IF('SO와이드(실측)'!V12=0,0,2.4))</f>
        <v>789.4</v>
      </c>
      <c r="BH12" s="41">
        <f t="shared" si="21"/>
        <v>598</v>
      </c>
      <c r="BI12" s="41">
        <f t="shared" si="22"/>
        <v>2601.1999999999998</v>
      </c>
      <c r="BJ12" s="41">
        <f t="shared" si="23"/>
        <v>513</v>
      </c>
      <c r="BK12" s="41">
        <f t="shared" si="24"/>
        <v>2601.1999999999998</v>
      </c>
      <c r="BL12" s="6">
        <f t="shared" si="25"/>
        <v>1.8000000000000114</v>
      </c>
      <c r="BM12" s="43" t="str">
        <f t="shared" si="26"/>
        <v/>
      </c>
      <c r="BN12" s="77">
        <f t="shared" si="27"/>
        <v>0</v>
      </c>
    </row>
    <row r="13" spans="1:66" x14ac:dyDescent="0.3">
      <c r="A13" s="31">
        <f>'SO와이드(실측)'!A13</f>
        <v>0</v>
      </c>
      <c r="B13" s="31" t="str">
        <f>'SO와이드(실측)'!B13&amp;"F"</f>
        <v>6F</v>
      </c>
      <c r="C13" s="31">
        <f>'SO와이드(실측)'!C13+SO와이드MH더함-IF(AND(소장="추영덕",AB13=0),1.2)</f>
        <v>321.2</v>
      </c>
      <c r="D13" s="31">
        <f>'SO와이드(실측)'!D13+SO와이드MH더함-IF(AND(소장="추영덕",AB13=0),1.2)</f>
        <v>321.2</v>
      </c>
      <c r="E13" s="31">
        <f>'SO와이드(실측)'!E13-SO와이드OP</f>
        <v>536</v>
      </c>
      <c r="F13" s="31">
        <f>'SO와이드(실측)'!F13-SO와이드OP</f>
        <v>569</v>
      </c>
      <c r="G13" s="31">
        <f>'SO와이드(실측)'!G13-SO와이드R</f>
        <v>1179</v>
      </c>
      <c r="H13" s="50">
        <f>'SO와이드(실측)'!H13+SO와이드JBJD키움치수+IF(BN13=1,AG13,0)</f>
        <v>404.4</v>
      </c>
      <c r="I13" s="50">
        <f>'SO와이드(실측)'!I13+SO와이드JBJD키움치수+IF(BN13=1,AI13,0)</f>
        <v>364.4</v>
      </c>
      <c r="J13" s="50">
        <f>'SO와이드(실측)'!J13+MAX(AW13,AX13)+SO와이드JBJD키움치수+IF(BN13=1,AG13,0)</f>
        <v>424.2</v>
      </c>
      <c r="K13" s="50">
        <f>'SO와이드(실측)'!J13+MAX(AW13,AX13)+SO와이드JBJD키움치수+IF(BN13=1,AH13,0)-IF(SO와이드JB하부늘치=1,'SO와이드(실측)'!AA13-'SO와이드(실측)'!AB13,0)</f>
        <v>420.2</v>
      </c>
      <c r="L13" s="50">
        <f>'SO와이드(실측)'!K13+MAX(AW13,AX13)+SO와이드JBJD키움치수+IF(BN13=1,AI13,0)</f>
        <v>387.2</v>
      </c>
      <c r="M13" s="50">
        <f>'SO와이드(실측)'!K13+MAX(AW13,AX13)+SO와이드JBJD키움치수+IF(BN13=1,AJ13,0)-IF(SO와이드JB하부늘치=1,'SO와이드(실측)'!AC13-'SO와이드(실측)'!AD13,0)</f>
        <v>389.2</v>
      </c>
      <c r="N13" s="91">
        <f t="shared" si="6"/>
        <v>45</v>
      </c>
      <c r="O13" s="88">
        <f t="shared" si="7"/>
        <v>42</v>
      </c>
      <c r="P13" s="31">
        <f t="shared" si="8"/>
        <v>0</v>
      </c>
      <c r="Q13" s="31">
        <f t="shared" si="9"/>
        <v>0</v>
      </c>
      <c r="R13" s="31">
        <f>IF(V13&lt;9,'SO와이드(실측)'!L13+1.2,IF(ISNUMBER('SO와이드(실측)'!L13),'SO와이드(실측)'!L13+SO와이드C값,0))</f>
        <v>44.4</v>
      </c>
      <c r="S13" s="31">
        <f>IF(W13&lt;9,'SO와이드(실측)'!M13+1.2,IF(ISNUMBER('SO와이드(실측)'!M13),'SO와이드(실측)'!M13+SO와이드C값,0))</f>
        <v>44.4</v>
      </c>
      <c r="T13" s="136">
        <f t="shared" si="10"/>
        <v>18</v>
      </c>
      <c r="U13" s="137">
        <f t="shared" si="11"/>
        <v>20.8</v>
      </c>
      <c r="V13" s="31">
        <f>IF(ISNUMBER('SO와이드(실측)'!P13),'SO와이드(실측)'!P13+SO와이드제작!AW13+SO와이드A늘림,0)</f>
        <v>9</v>
      </c>
      <c r="W13" s="31">
        <f>IF(ISNUMBER('SO와이드(실측)'!Q13),'SO와이드(실측)'!Q13+SO와이드제작!AX13+SO와이드A늘림,0)</f>
        <v>9</v>
      </c>
      <c r="X13" s="31">
        <f>'SO와이드(실측)'!R13-SO와이드기둥차감</f>
        <v>2296</v>
      </c>
      <c r="Y13" s="31">
        <f>'SO와이드(실측)'!S13-SO와이드기둥차감</f>
        <v>2296</v>
      </c>
      <c r="Z13" s="31">
        <f>'SO와이드(실측)'!T13-SO와이드기둥차감</f>
        <v>2295</v>
      </c>
      <c r="AA13" s="31">
        <f>'SO와이드(실측)'!U13-SO와이드기둥차감</f>
        <v>2295</v>
      </c>
      <c r="AB13" s="31">
        <f>IF(소장&lt;&gt;"손상민",IF(ISNUMBER('SO와이드(실측)'!V13),'SO와이드(실측)'!V13+SO와이드U,0),IF(ISNUMBER('SO와이드(실측)'!V13),'SO와이드(실측)'!V13+1.2,0))</f>
        <v>0</v>
      </c>
      <c r="AC13" s="31">
        <f>IF(소장="손상민",MAX(T13,U13)+3.2,IF(ISNUMBER('SO와이드(실측)'!W13),'SO와이드(실측)'!W13+1.5+SO와이드제작!T13+1,0))</f>
        <v>24</v>
      </c>
      <c r="AD13" s="31">
        <f>'SO와이드(실측)'!X13+뒷날개치수더함</f>
        <v>26.2</v>
      </c>
      <c r="AE13" s="31">
        <f>'SO와이드(실측)'!Y13+뒷날개치수더함</f>
        <v>76.2</v>
      </c>
      <c r="AF13" s="31">
        <f>'SO와이드(실측)'!Z13+뒷날개치수더함</f>
        <v>31.2</v>
      </c>
      <c r="AG13" s="31">
        <f>'SO와이드(실측)'!AA13-SO와이드늘치</f>
        <v>48</v>
      </c>
      <c r="AH13" s="31">
        <f>IF(SO와이드JB하부늘치=1,AG13,'SO와이드(실측)'!AB13-SO와이드늘치)</f>
        <v>48</v>
      </c>
      <c r="AI13" s="31">
        <f>'SO와이드(실측)'!AC13-SO와이드늘치</f>
        <v>43</v>
      </c>
      <c r="AJ13" s="31">
        <f>IF(SO와이드JB하부늘치=1,AI13,'SO와이드(실측)'!AD13-SO와이드늘치)</f>
        <v>43</v>
      </c>
      <c r="AK13" s="31">
        <f xml:space="preserve"> IF(소장&lt;&gt;"손상민",IF('SO와이드(실측)'!AE13&gt;0,'SO와이드(실측)'!AE13,C13-1.2),IF('SO와이드(실측)'!AE13&gt;0,'SO와이드(실측)'!AE13+1.2,C13))</f>
        <v>306.2</v>
      </c>
      <c r="AL13" s="31">
        <f xml:space="preserve"> IF(소장&lt;&gt;"손상민",IF('SO와이드(실측)'!AF13&gt;0,'SO와이드(실측)'!AF13,D13-1.2),IF('SO와이드(실측)'!AF13&gt;0,'SO와이드(실측)'!AF13+1.2,D13) )</f>
        <v>310.2</v>
      </c>
      <c r="AM13" s="51">
        <f t="shared" si="12"/>
        <v>3.1999999999999993</v>
      </c>
      <c r="AN13" s="31" t="str">
        <f t="shared" si="13"/>
        <v>1179*797.4</v>
      </c>
      <c r="AO13" s="31" t="str">
        <f t="shared" si="14"/>
        <v>2602.2*597</v>
      </c>
      <c r="AP13" s="31" t="str">
        <f t="shared" si="15"/>
        <v>2605.2*512</v>
      </c>
      <c r="AQ13" s="31">
        <f>IF('SO와이드(실측)'!AG13&gt;0,'SO와이드(실측)'!AG13-'SO와이드(실측)'!X13+1.2,0)</f>
        <v>0</v>
      </c>
      <c r="AR13" s="31">
        <f>IF('SO와이드(실측)'!AH13&gt;0,'SO와이드(실측)'!AH13-'SO와이드(실측)'!X13+1.2,0)</f>
        <v>0</v>
      </c>
      <c r="AS13" s="31">
        <f>'SO와이드(실측)'!AI13</f>
        <v>145</v>
      </c>
      <c r="AT13" s="31">
        <f>IF('SO와이드(실측)'!AJ13&gt;5,'SO와이드(실측)'!AJ13+뒷날개치수더함,'SO와이드(실측)'!AJ13)</f>
        <v>21.2</v>
      </c>
      <c r="AU13" s="31">
        <f>'SO와이드(실측)'!AK13</f>
        <v>10</v>
      </c>
      <c r="AV13" s="31">
        <f>'SO와이드(실측)'!AL13</f>
        <v>20</v>
      </c>
      <c r="AW13">
        <f>IF(AND(ISNUMBER('SO와이드(실측)'!Q13),ISNUMBER('SO와이드(실측)'!P13)),IF(ISNUMBER('SO와이드(실측)'!P13),IF(9-MIN('SO와이드(실측)'!P13+SO와이드A늘림,'SO와이드(실측)'!Q13+SO와이드A늘림)&lt;0,0,9-MIN('SO와이드(실측)'!P13+SO와이드A늘림,'SO와이드(실측)'!Q13+SO와이드A늘림)),0),IF(ISNUMBER('SO와이드(실측)'!P13),IF(9-'SO와이드(실측)'!P13-SO와이드A늘림&lt;0,0,9-'SO와이드(실측)'!P13-SO와이드A늘림),0))</f>
        <v>6.8</v>
      </c>
      <c r="AX13">
        <f>IF(AND(ISNUMBER('SO와이드(실측)'!P13),ISNUMBER('SO와이드(실측)'!Q13)),IF(ISNUMBER('SO와이드(실측)'!Q13),IF(9-MIN('SO와이드(실측)'!Q13+SO와이드A늘림,'SO와이드(실측)'!P13+SO와이드A늘림)&lt;0,0,9-MIN('SO와이드(실측)'!Q13+SO와이드A늘림,'SO와이드(실측)'!P13+SO와이드A늘림)),0),IF(ISNUMBER('SO와이드(실측)'!Q13),IF(9-'SO와이드(실측)'!Q13-SO와이드A늘림&lt;0,0,9-'SO와이드(실측)'!Q13-SO와이드A늘림),0))</f>
        <v>6.8</v>
      </c>
      <c r="AY13" s="20">
        <f t="shared" si="16"/>
        <v>5.2276408866105566</v>
      </c>
      <c r="AZ13" s="20">
        <f t="shared" si="17"/>
        <v>5.7977586136583481</v>
      </c>
      <c r="BA13" s="21">
        <f t="shared" si="18"/>
        <v>18</v>
      </c>
      <c r="BB13" s="21">
        <f t="shared" si="19"/>
        <v>20.8</v>
      </c>
      <c r="BC13" s="21">
        <f>'SO와이드(실측)'!N13+AW13</f>
        <v>20.8</v>
      </c>
      <c r="BD13" s="21">
        <f>'SO와이드(실측)'!O13+AW13</f>
        <v>20.8</v>
      </c>
      <c r="BE13" s="20">
        <f t="shared" si="20"/>
        <v>-2.8000000000000007</v>
      </c>
      <c r="BF13" s="41">
        <f t="shared" si="4"/>
        <v>1179</v>
      </c>
      <c r="BG13" s="42">
        <f>MAX(C13,D13)+MAX(H13,I13)+AD13-1.2*$AN$3+IF(BN13=0,MAX(AI13,AG13),0)+IF(AB13=0,1.2,0)+IF(AC13=0,1.2,0)+IF(소장&lt;&gt;"손상민", AB13+AC13,IF('SO와이드(실측)'!V13=0,0,2.4))</f>
        <v>797.4</v>
      </c>
      <c r="BH13" s="41">
        <f t="shared" si="21"/>
        <v>597</v>
      </c>
      <c r="BI13" s="41">
        <f t="shared" si="22"/>
        <v>2602.1999999999998</v>
      </c>
      <c r="BJ13" s="41">
        <f t="shared" si="23"/>
        <v>511.99999999999994</v>
      </c>
      <c r="BK13" s="41">
        <f t="shared" si="24"/>
        <v>2605.1999999999998</v>
      </c>
      <c r="BL13" s="6">
        <f t="shared" si="25"/>
        <v>1.8000000000000114</v>
      </c>
      <c r="BM13" s="43" t="str">
        <f t="shared" si="26"/>
        <v/>
      </c>
      <c r="BN13" s="77">
        <f t="shared" si="27"/>
        <v>0</v>
      </c>
    </row>
    <row r="14" spans="1:66" x14ac:dyDescent="0.3">
      <c r="A14" s="31">
        <f>'SO와이드(실측)'!A14</f>
        <v>0</v>
      </c>
      <c r="B14" s="31" t="str">
        <f>'SO와이드(실측)'!B14&amp;"F"</f>
        <v>5F</v>
      </c>
      <c r="C14" s="31">
        <f>'SO와이드(실측)'!C14+SO와이드MH더함-IF(AND(소장="추영덕",AB14=0),1.2)</f>
        <v>321.2</v>
      </c>
      <c r="D14" s="31">
        <f>'SO와이드(실측)'!D14+SO와이드MH더함-IF(AND(소장="추영덕",AB14=0),1.2)</f>
        <v>321.2</v>
      </c>
      <c r="E14" s="31">
        <f>'SO와이드(실측)'!E14-SO와이드OP</f>
        <v>536</v>
      </c>
      <c r="F14" s="31">
        <f>'SO와이드(실측)'!F14-SO와이드OP</f>
        <v>569</v>
      </c>
      <c r="G14" s="31">
        <f>'SO와이드(실측)'!G14-SO와이드R</f>
        <v>1180</v>
      </c>
      <c r="H14" s="50">
        <f>'SO와이드(실측)'!H14+SO와이드JBJD키움치수+IF(BN14=1,AG14,0)</f>
        <v>404.4</v>
      </c>
      <c r="I14" s="50">
        <f>'SO와이드(실측)'!I14+SO와이드JBJD키움치수+IF(BN14=1,AI14,0)</f>
        <v>364.4</v>
      </c>
      <c r="J14" s="50">
        <f>'SO와이드(실측)'!J14+MAX(AW14,AX14)+SO와이드JBJD키움치수+IF(BN14=1,AG14,0)</f>
        <v>421.2</v>
      </c>
      <c r="K14" s="50">
        <f>'SO와이드(실측)'!J14+MAX(AW14,AX14)+SO와이드JBJD키움치수+IF(BN14=1,AH14,0)-IF(SO와이드JB하부늘치=1,'SO와이드(실측)'!AA14-'SO와이드(실측)'!AB14,0)</f>
        <v>420.2</v>
      </c>
      <c r="L14" s="50">
        <f>'SO와이드(실측)'!K14+MAX(AW14,AX14)+SO와이드JBJD키움치수+IF(BN14=1,AI14,0)</f>
        <v>384.2</v>
      </c>
      <c r="M14" s="50">
        <f>'SO와이드(실측)'!K14+MAX(AW14,AX14)+SO와이드JBJD키움치수+IF(BN14=1,AJ14,0)-IF(SO와이드JB하부늘치=1,'SO와이드(실측)'!AC14-'SO와이드(실측)'!AD14,0)</f>
        <v>390.2</v>
      </c>
      <c r="N14" s="91">
        <f t="shared" si="6"/>
        <v>49</v>
      </c>
      <c r="O14" s="88">
        <f t="shared" si="7"/>
        <v>46</v>
      </c>
      <c r="P14" s="31">
        <f t="shared" si="8"/>
        <v>0</v>
      </c>
      <c r="Q14" s="31">
        <f t="shared" si="9"/>
        <v>0</v>
      </c>
      <c r="R14" s="31">
        <f>IF(V14&lt;9,'SO와이드(실측)'!L14+1.2,IF(ISNUMBER('SO와이드(실측)'!L14),'SO와이드(실측)'!L14+SO와이드C값,0))</f>
        <v>44.4</v>
      </c>
      <c r="S14" s="31">
        <f>IF(W14&lt;9,'SO와이드(실측)'!M14+1.2,IF(ISNUMBER('SO와이드(실측)'!M14),'SO와이드(실측)'!M14+SO와이드C값,0))</f>
        <v>44.4</v>
      </c>
      <c r="T14" s="136">
        <f t="shared" si="10"/>
        <v>15</v>
      </c>
      <c r="U14" s="137">
        <f t="shared" si="11"/>
        <v>17.7</v>
      </c>
      <c r="V14" s="31">
        <f>IF(ISNUMBER('SO와이드(실측)'!P14),'SO와이드(실측)'!P14+SO와이드제작!AW14+SO와이드A늘림,0)</f>
        <v>10</v>
      </c>
      <c r="W14" s="31">
        <f>IF(ISNUMBER('SO와이드(실측)'!Q14),'SO와이드(실측)'!Q14+SO와이드제작!AX14+SO와이드A늘림,0)</f>
        <v>9</v>
      </c>
      <c r="X14" s="31">
        <f>'SO와이드(실측)'!R14-SO와이드기둥차감</f>
        <v>2288</v>
      </c>
      <c r="Y14" s="31">
        <f>'SO와이드(실측)'!S14-SO와이드기둥차감</f>
        <v>2290</v>
      </c>
      <c r="Z14" s="31">
        <f>'SO와이드(실측)'!T14-SO와이드기둥차감</f>
        <v>2287</v>
      </c>
      <c r="AA14" s="31">
        <f>'SO와이드(실측)'!U14-SO와이드기둥차감</f>
        <v>2292</v>
      </c>
      <c r="AB14" s="31">
        <f>IF(소장&lt;&gt;"손상민",IF(ISNUMBER('SO와이드(실측)'!V14),'SO와이드(실측)'!V14+SO와이드U,0),IF(ISNUMBER('SO와이드(실측)'!V14),'SO와이드(실측)'!V14+1.2,0))</f>
        <v>0</v>
      </c>
      <c r="AC14" s="31">
        <f>IF(소장="손상민",MAX(T14,U14)+3.2,IF(ISNUMBER('SO와이드(실측)'!W14),'SO와이드(실측)'!W14+1.5+SO와이드제작!T14+1,0))</f>
        <v>20.9</v>
      </c>
      <c r="AD14" s="31">
        <f>'SO와이드(실측)'!X14+뒷날개치수더함</f>
        <v>26.2</v>
      </c>
      <c r="AE14" s="31">
        <f>'SO와이드(실측)'!Y14+뒷날개치수더함</f>
        <v>76.2</v>
      </c>
      <c r="AF14" s="31">
        <f>'SO와이드(실측)'!Z14+뒷날개치수더함</f>
        <v>31.2</v>
      </c>
      <c r="AG14" s="31">
        <f>'SO와이드(실측)'!AA14-SO와이드늘치</f>
        <v>46</v>
      </c>
      <c r="AH14" s="31">
        <f>IF(SO와이드JB하부늘치=1,AG14,'SO와이드(실측)'!AB14-SO와이드늘치)</f>
        <v>46</v>
      </c>
      <c r="AI14" s="31">
        <f>'SO와이드(실측)'!AC14-SO와이드늘치</f>
        <v>37</v>
      </c>
      <c r="AJ14" s="31">
        <f>IF(SO와이드JB하부늘치=1,AI14,'SO와이드(실측)'!AD14-SO와이드늘치)</f>
        <v>37</v>
      </c>
      <c r="AK14" s="31">
        <f xml:space="preserve"> IF(소장&lt;&gt;"손상민",IF('SO와이드(실측)'!AE14&gt;0,'SO와이드(실측)'!AE14,C14-1.2),IF('SO와이드(실측)'!AE14&gt;0,'SO와이드(실측)'!AE14+1.2,C14))</f>
        <v>310.2</v>
      </c>
      <c r="AL14" s="31">
        <f xml:space="preserve"> IF(소장&lt;&gt;"손상민",IF('SO와이드(실측)'!AF14&gt;0,'SO와이드(실측)'!AF14,D14-1.2),IF('SO와이드(실측)'!AF14&gt;0,'SO와이드(실측)'!AF14+1.2,D14) )</f>
        <v>305.2</v>
      </c>
      <c r="AM14" s="51">
        <f t="shared" si="12"/>
        <v>3.1999999999999993</v>
      </c>
      <c r="AN14" s="31" t="str">
        <f t="shared" si="13"/>
        <v>1180*795.4</v>
      </c>
      <c r="AO14" s="31" t="str">
        <f t="shared" si="14"/>
        <v>2600.2*593</v>
      </c>
      <c r="AP14" s="31" t="str">
        <f t="shared" si="15"/>
        <v>2597.2*507</v>
      </c>
      <c r="AQ14" s="31">
        <f>IF('SO와이드(실측)'!AG14&gt;0,'SO와이드(실측)'!AG14-'SO와이드(실측)'!X14+1.2,0)</f>
        <v>0</v>
      </c>
      <c r="AR14" s="31">
        <f>IF('SO와이드(실측)'!AH14&gt;0,'SO와이드(실측)'!AH14-'SO와이드(실측)'!X14+1.2,0)</f>
        <v>0</v>
      </c>
      <c r="AS14" s="31">
        <f>'SO와이드(실측)'!AI14</f>
        <v>145</v>
      </c>
      <c r="AT14" s="31">
        <f>IF('SO와이드(실측)'!AJ14&gt;5,'SO와이드(실측)'!AJ14+뒷날개치수더함,'SO와이드(실측)'!AJ14)</f>
        <v>21.2</v>
      </c>
      <c r="AU14" s="31">
        <f>'SO와이드(실측)'!AK14</f>
        <v>10</v>
      </c>
      <c r="AV14" s="31">
        <f>'SO와이드(실측)'!AL14</f>
        <v>20</v>
      </c>
      <c r="AW14">
        <f>IF(AND(ISNUMBER('SO와이드(실측)'!Q14),ISNUMBER('SO와이드(실측)'!P14)),IF(ISNUMBER('SO와이드(실측)'!P14),IF(9-MIN('SO와이드(실측)'!P14+SO와이드A늘림,'SO와이드(실측)'!Q14+SO와이드A늘림)&lt;0,0,9-MIN('SO와이드(실측)'!P14+SO와이드A늘림,'SO와이드(실측)'!Q14+SO와이드A늘림)),0),IF(ISNUMBER('SO와이드(실측)'!P14),IF(9-'SO와이드(실측)'!P14-SO와이드A늘림&lt;0,0,9-'SO와이드(실측)'!P14-SO와이드A늘림),0))</f>
        <v>3.8</v>
      </c>
      <c r="AX14">
        <f>IF(AND(ISNUMBER('SO와이드(실측)'!P14),ISNUMBER('SO와이드(실측)'!Q14)),IF(ISNUMBER('SO와이드(실측)'!Q14),IF(9-MIN('SO와이드(실측)'!Q14+SO와이드A늘림,'SO와이드(실측)'!P14+SO와이드A늘림)&lt;0,0,9-MIN('SO와이드(실측)'!Q14+SO와이드A늘림,'SO와이드(실측)'!P14+SO와이드A늘림)),0),IF(ISNUMBER('SO와이드(실측)'!Q14),IF(9-'SO와이드(실측)'!Q14-SO와이드A늘림&lt;0,0,9-'SO와이드(실측)'!Q14-SO와이드A늘림),0))</f>
        <v>3.8</v>
      </c>
      <c r="AY14" s="20">
        <f t="shared" si="16"/>
        <v>5.2978853623320221</v>
      </c>
      <c r="AZ14" s="20">
        <f t="shared" si="17"/>
        <v>5.8755621948262524</v>
      </c>
      <c r="BA14" s="21">
        <f t="shared" si="18"/>
        <v>15</v>
      </c>
      <c r="BB14" s="21">
        <f t="shared" si="19"/>
        <v>17.7</v>
      </c>
      <c r="BC14" s="21">
        <f>'SO와이드(실측)'!N14+AW14</f>
        <v>17.8</v>
      </c>
      <c r="BD14" s="21">
        <f>'SO와이드(실측)'!O14+AW14</f>
        <v>17.8</v>
      </c>
      <c r="BE14" s="20">
        <f t="shared" si="20"/>
        <v>-2.8000000000000007</v>
      </c>
      <c r="BF14" s="41">
        <f t="shared" si="4"/>
        <v>1180</v>
      </c>
      <c r="BG14" s="42">
        <f>MAX(C14,D14)+MAX(H14,I14)+AD14-1.2*$AN$3+IF(BN14=0,MAX(AI14,AG14),0)+IF(AB14=0,1.2,0)+IF(AC14=0,1.2,0)+IF(소장&lt;&gt;"손상민", AB14+AC14,IF('SO와이드(실측)'!V14=0,0,2.4))</f>
        <v>795.4</v>
      </c>
      <c r="BH14" s="41">
        <f t="shared" si="21"/>
        <v>593</v>
      </c>
      <c r="BI14" s="41">
        <f t="shared" si="22"/>
        <v>2600.1999999999998</v>
      </c>
      <c r="BJ14" s="41">
        <f t="shared" si="23"/>
        <v>506.99999999999994</v>
      </c>
      <c r="BK14" s="41">
        <f t="shared" si="24"/>
        <v>2597.1999999999998</v>
      </c>
      <c r="BL14" s="6">
        <f t="shared" si="25"/>
        <v>1.8000000000000114</v>
      </c>
      <c r="BM14" s="43" t="str">
        <f t="shared" si="26"/>
        <v/>
      </c>
      <c r="BN14" s="77">
        <f t="shared" si="27"/>
        <v>0</v>
      </c>
    </row>
    <row r="15" spans="1:66" x14ac:dyDescent="0.3">
      <c r="A15" s="31">
        <f>'SO와이드(실측)'!A15</f>
        <v>0</v>
      </c>
      <c r="B15" s="31" t="str">
        <f>'SO와이드(실측)'!B15&amp;"F"</f>
        <v>4F</v>
      </c>
      <c r="C15" s="31">
        <f>'SO와이드(실측)'!C15+SO와이드MH더함-IF(AND(소장="추영덕",AB15=0),1.2)</f>
        <v>676.2</v>
      </c>
      <c r="D15" s="31">
        <f>'SO와이드(실측)'!D15+SO와이드MH더함-IF(AND(소장="추영덕",AB15=0),1.2)</f>
        <v>676.2</v>
      </c>
      <c r="E15" s="31">
        <f>'SO와이드(실측)'!E15-SO와이드OP</f>
        <v>533</v>
      </c>
      <c r="F15" s="31">
        <f>'SO와이드(실측)'!F15-SO와이드OP</f>
        <v>569</v>
      </c>
      <c r="G15" s="31">
        <f>'SO와이드(실측)'!G15-SO와이드R</f>
        <v>1181</v>
      </c>
      <c r="H15" s="50">
        <f>'SO와이드(실측)'!H15+SO와이드JBJD키움치수+IF(BN15=1,AG15,0)</f>
        <v>404.4</v>
      </c>
      <c r="I15" s="50">
        <f>'SO와이드(실측)'!I15+SO와이드JBJD키움치수+IF(BN15=1,AI15,0)</f>
        <v>364.4</v>
      </c>
      <c r="J15" s="50">
        <f>'SO와이드(실측)'!J15+MAX(AW15,AX15)+SO와이드JBJD키움치수+IF(BN15=1,AG15,0)</f>
        <v>422.2</v>
      </c>
      <c r="K15" s="50">
        <f>'SO와이드(실측)'!J15+MAX(AW15,AX15)+SO와이드JBJD키움치수+IF(BN15=1,AH15,0)-IF(SO와이드JB하부늘치=1,'SO와이드(실측)'!AA15-'SO와이드(실측)'!AB15,0)</f>
        <v>421.2</v>
      </c>
      <c r="L15" s="50">
        <f>'SO와이드(실측)'!K15+MAX(AW15,AX15)+SO와이드JBJD키움치수+IF(BN15=1,AI15,0)</f>
        <v>385.2</v>
      </c>
      <c r="M15" s="50">
        <f>'SO와이드(실측)'!K15+MAX(AW15,AX15)+SO와이드JBJD키움치수+IF(BN15=1,AJ15,0)-IF(SO와이드JB하부늘치=1,'SO와이드(실측)'!AC15-'SO와이드(실측)'!AD15,0)</f>
        <v>395.2</v>
      </c>
      <c r="N15" s="91">
        <f t="shared" si="6"/>
        <v>48</v>
      </c>
      <c r="O15" s="88">
        <f t="shared" si="7"/>
        <v>45</v>
      </c>
      <c r="P15" s="31">
        <f t="shared" si="8"/>
        <v>0</v>
      </c>
      <c r="Q15" s="31">
        <f t="shared" si="9"/>
        <v>0</v>
      </c>
      <c r="R15" s="31">
        <f>IF(V15&lt;9,'SO와이드(실측)'!L15+1.2,IF(ISNUMBER('SO와이드(실측)'!L15),'SO와이드(실측)'!L15+SO와이드C값,0))</f>
        <v>44.4</v>
      </c>
      <c r="S15" s="31">
        <f>IF(W15&lt;9,'SO와이드(실측)'!M15+1.2,IF(ISNUMBER('SO와이드(실측)'!M15),'SO와이드(실측)'!M15+SO와이드C값,0))</f>
        <v>44.4</v>
      </c>
      <c r="T15" s="136">
        <f t="shared" si="10"/>
        <v>15.8</v>
      </c>
      <c r="U15" s="137">
        <f t="shared" si="11"/>
        <v>18.5</v>
      </c>
      <c r="V15" s="31">
        <f>IF(ISNUMBER('SO와이드(실측)'!P15),'SO와이드(실측)'!P15+SO와이드제작!AW15+SO와이드A늘림,0)</f>
        <v>9</v>
      </c>
      <c r="W15" s="31">
        <f>IF(ISNUMBER('SO와이드(실측)'!Q15),'SO와이드(실측)'!Q15+SO와이드제작!AX15+SO와이드A늘림,0)</f>
        <v>9</v>
      </c>
      <c r="X15" s="31">
        <f>'SO와이드(실측)'!R15-SO와이드기둥차감</f>
        <v>2293</v>
      </c>
      <c r="Y15" s="31">
        <f>'SO와이드(실측)'!S15-SO와이드기둥차감</f>
        <v>2294</v>
      </c>
      <c r="Z15" s="31">
        <f>'SO와이드(실측)'!T15-SO와이드기둥차감</f>
        <v>2293</v>
      </c>
      <c r="AA15" s="31">
        <f>'SO와이드(실측)'!U15-SO와이드기둥차감</f>
        <v>2295</v>
      </c>
      <c r="AB15" s="31">
        <f>IF(소장&lt;&gt;"손상민",IF(ISNUMBER('SO와이드(실측)'!V15),'SO와이드(실측)'!V15+SO와이드U,0),IF(ISNUMBER('SO와이드(실측)'!V15),'SO와이드(실측)'!V15+1.2,0))</f>
        <v>0</v>
      </c>
      <c r="AC15" s="31">
        <f>IF(소장="손상민",MAX(T15,U15)+3.2,IF(ISNUMBER('SO와이드(실측)'!W15),'SO와이드(실측)'!W15+1.5+SO와이드제작!T15+1,0))</f>
        <v>21.7</v>
      </c>
      <c r="AD15" s="31">
        <f>'SO와이드(실측)'!X15+뒷날개치수더함</f>
        <v>26.2</v>
      </c>
      <c r="AE15" s="31">
        <f>'SO와이드(실측)'!Y15+뒷날개치수더함</f>
        <v>76.2</v>
      </c>
      <c r="AF15" s="31">
        <f>'SO와이드(실측)'!Z15+뒷날개치수더함</f>
        <v>31.2</v>
      </c>
      <c r="AG15" s="31">
        <f>'SO와이드(실측)'!AA15-SO와이드늘치</f>
        <v>43</v>
      </c>
      <c r="AH15" s="31">
        <f>IF(SO와이드JB하부늘치=1,AG15,'SO와이드(실측)'!AB15-SO와이드늘치)</f>
        <v>43</v>
      </c>
      <c r="AI15" s="31">
        <f>'SO와이드(실측)'!AC15-SO와이드늘치</f>
        <v>35</v>
      </c>
      <c r="AJ15" s="31">
        <f>IF(SO와이드JB하부늘치=1,AI15,'SO와이드(실측)'!AD15-SO와이드늘치)</f>
        <v>35</v>
      </c>
      <c r="AK15" s="31">
        <f xml:space="preserve"> IF(소장&lt;&gt;"손상민",IF('SO와이드(실측)'!AE15&gt;0,'SO와이드(실측)'!AE15,C15-1.2),IF('SO와이드(실측)'!AE15&gt;0,'SO와이드(실측)'!AE15+1.2,C15))</f>
        <v>657.2</v>
      </c>
      <c r="AL15" s="31">
        <f xml:space="preserve"> IF(소장&lt;&gt;"손상민",IF('SO와이드(실측)'!AF15&gt;0,'SO와이드(실측)'!AF15,D15-1.2),IF('SO와이드(실측)'!AF15&gt;0,'SO와이드(실측)'!AF15+1.2,D15) )</f>
        <v>659.2</v>
      </c>
      <c r="AM15" s="51">
        <f t="shared" si="12"/>
        <v>3.1999999999999993</v>
      </c>
      <c r="AN15" s="31" t="str">
        <f t="shared" si="13"/>
        <v>1181*1147.4</v>
      </c>
      <c r="AO15" s="31" t="str">
        <f t="shared" si="14"/>
        <v>2951.2*590</v>
      </c>
      <c r="AP15" s="31" t="str">
        <f t="shared" si="15"/>
        <v>2954.2*510</v>
      </c>
      <c r="AQ15" s="31">
        <f>IF('SO와이드(실측)'!AG15&gt;0,'SO와이드(실측)'!AG15-'SO와이드(실측)'!X15+1.2,0)</f>
        <v>0</v>
      </c>
      <c r="AR15" s="31">
        <f>IF('SO와이드(실측)'!AH15&gt;0,'SO와이드(실측)'!AH15-'SO와이드(실측)'!X15+1.2,0)</f>
        <v>0</v>
      </c>
      <c r="AS15" s="31">
        <f>'SO와이드(실측)'!AI15</f>
        <v>145</v>
      </c>
      <c r="AT15" s="31">
        <f>IF('SO와이드(실측)'!AJ15&gt;5,'SO와이드(실측)'!AJ15+뒷날개치수더함,'SO와이드(실측)'!AJ15)</f>
        <v>21.2</v>
      </c>
      <c r="AU15" s="31">
        <f>'SO와이드(실측)'!AK15</f>
        <v>10</v>
      </c>
      <c r="AV15" s="31">
        <f>'SO와이드(실측)'!AL15</f>
        <v>20</v>
      </c>
      <c r="AW15">
        <f>IF(AND(ISNUMBER('SO와이드(실측)'!Q15),ISNUMBER('SO와이드(실측)'!P15)),IF(ISNUMBER('SO와이드(실측)'!P15),IF(9-MIN('SO와이드(실측)'!P15+SO와이드A늘림,'SO와이드(실측)'!Q15+SO와이드A늘림)&lt;0,0,9-MIN('SO와이드(실측)'!P15+SO와이드A늘림,'SO와이드(실측)'!Q15+SO와이드A늘림)),0),IF(ISNUMBER('SO와이드(실측)'!P15),IF(9-'SO와이드(실측)'!P15-SO와이드A늘림&lt;0,0,9-'SO와이드(실측)'!P15-SO와이드A늘림),0))</f>
        <v>4.8</v>
      </c>
      <c r="AX15">
        <f>IF(AND(ISNUMBER('SO와이드(실측)'!P15),ISNUMBER('SO와이드(실측)'!Q15)),IF(ISNUMBER('SO와이드(실측)'!Q15),IF(9-MIN('SO와이드(실측)'!Q15+SO와이드A늘림,'SO와이드(실측)'!P15+SO와이드A늘림)&lt;0,0,9-MIN('SO와이드(실측)'!Q15+SO와이드A늘림,'SO와이드(실측)'!P15+SO와이드A늘림)),0),IF(ISNUMBER('SO와이드(실측)'!Q15),IF(9-'SO와이드(실측)'!Q15-SO와이드A늘림&lt;0,0,9-'SO와이드(실측)'!Q15-SO와이드A늘림),0))</f>
        <v>4.8</v>
      </c>
      <c r="AY15" s="20">
        <f t="shared" si="16"/>
        <v>5.5787015307601031</v>
      </c>
      <c r="AZ15" s="20">
        <f t="shared" si="17"/>
        <v>6.1865563581529193</v>
      </c>
      <c r="BA15" s="21">
        <f t="shared" si="18"/>
        <v>15.8</v>
      </c>
      <c r="BB15" s="21">
        <f t="shared" si="19"/>
        <v>18.5</v>
      </c>
      <c r="BC15" s="21">
        <f>'SO와이드(실측)'!N15+AW15</f>
        <v>18.8</v>
      </c>
      <c r="BD15" s="21">
        <f>'SO와이드(실측)'!O15+AW15</f>
        <v>18.8</v>
      </c>
      <c r="BE15" s="20">
        <f t="shared" si="20"/>
        <v>-3</v>
      </c>
      <c r="BF15" s="41">
        <f t="shared" si="4"/>
        <v>1181</v>
      </c>
      <c r="BG15" s="42">
        <f>MAX(C15,D15)+MAX(H15,I15)+AD15-1.2*$AN$3+IF(BN15=0,MAX(AI15,AG15),0)+IF(AB15=0,1.2,0)+IF(AC15=0,1.2,0)+IF(소장&lt;&gt;"손상민", AB15+AC15,IF('SO와이드(실측)'!V15=0,0,2.4))</f>
        <v>1147.4000000000001</v>
      </c>
      <c r="BH15" s="41">
        <f t="shared" si="21"/>
        <v>590</v>
      </c>
      <c r="BI15" s="41">
        <f t="shared" si="22"/>
        <v>2951.2</v>
      </c>
      <c r="BJ15" s="41">
        <f t="shared" si="23"/>
        <v>509.99999999999994</v>
      </c>
      <c r="BK15" s="41">
        <f t="shared" si="24"/>
        <v>2954.2</v>
      </c>
      <c r="BL15" s="6">
        <f t="shared" si="25"/>
        <v>2.0000000000000107</v>
      </c>
      <c r="BM15" s="43" t="str">
        <f t="shared" si="26"/>
        <v/>
      </c>
      <c r="BN15" s="77">
        <f t="shared" si="27"/>
        <v>0</v>
      </c>
    </row>
    <row r="16" spans="1:66" x14ac:dyDescent="0.3">
      <c r="A16" s="31">
        <f>'SO와이드(실측)'!A16</f>
        <v>0</v>
      </c>
      <c r="B16" s="31" t="str">
        <f>'SO와이드(실측)'!B16&amp;"F"</f>
        <v>3F</v>
      </c>
      <c r="C16" s="31">
        <f>'SO와이드(실측)'!C16+SO와이드MH더함-IF(AND(소장="추영덕",AB16=0),1.2)</f>
        <v>711.2</v>
      </c>
      <c r="D16" s="31">
        <f>'SO와이드(실측)'!D16+SO와이드MH더함-IF(AND(소장="추영덕",AB16=0),1.2)</f>
        <v>711.2</v>
      </c>
      <c r="E16" s="31">
        <f>'SO와이드(실측)'!E16-SO와이드OP</f>
        <v>537</v>
      </c>
      <c r="F16" s="31">
        <f>'SO와이드(실측)'!F16-SO와이드OP</f>
        <v>569</v>
      </c>
      <c r="G16" s="31">
        <f>'SO와이드(실측)'!G16-SO와이드R</f>
        <v>1182</v>
      </c>
      <c r="H16" s="50">
        <f>'SO와이드(실측)'!H16+SO와이드JBJD키움치수+IF(BN16=1,AG16,0)</f>
        <v>404.4</v>
      </c>
      <c r="I16" s="50">
        <f>'SO와이드(실측)'!I16+SO와이드JBJD키움치수+IF(BN16=1,AI16,0)</f>
        <v>364.4</v>
      </c>
      <c r="J16" s="50">
        <f>'SO와이드(실측)'!J16+MAX(AW16,AX16)+SO와이드JBJD키움치수+IF(BN16=1,AG16,0)</f>
        <v>422.2</v>
      </c>
      <c r="K16" s="50">
        <f>'SO와이드(실측)'!J16+MAX(AW16,AX16)+SO와이드JBJD키움치수+IF(BN16=1,AH16,0)-IF(SO와이드JB하부늘치=1,'SO와이드(실측)'!AA16-'SO와이드(실측)'!AB16,0)</f>
        <v>420.2</v>
      </c>
      <c r="L16" s="50">
        <f>'SO와이드(실측)'!K16+MAX(AW16,AX16)+SO와이드JBJD키움치수+IF(BN16=1,AI16,0)</f>
        <v>385.2</v>
      </c>
      <c r="M16" s="50">
        <f>'SO와이드(실측)'!K16+MAX(AW16,AX16)+SO와이드JBJD키움치수+IF(BN16=1,AJ16,0)-IF(SO와이드JB하부늘치=1,'SO와이드(실측)'!AC16-'SO와이드(실측)'!AD16,0)</f>
        <v>390.2</v>
      </c>
      <c r="N16" s="91">
        <f t="shared" si="6"/>
        <v>50</v>
      </c>
      <c r="O16" s="88">
        <f t="shared" si="7"/>
        <v>47</v>
      </c>
      <c r="P16" s="31">
        <f t="shared" si="8"/>
        <v>0</v>
      </c>
      <c r="Q16" s="31">
        <f t="shared" si="9"/>
        <v>0</v>
      </c>
      <c r="R16" s="31">
        <f>IF(V16&lt;9,'SO와이드(실측)'!L16+1.2,IF(ISNUMBER('SO와이드(실측)'!L16),'SO와이드(실측)'!L16+SO와이드C값,0))</f>
        <v>44.4</v>
      </c>
      <c r="S16" s="31">
        <f>IF(W16&lt;9,'SO와이드(실측)'!M16+1.2,IF(ISNUMBER('SO와이드(실측)'!M16),'SO와이드(실측)'!M16+SO와이드C값,0))</f>
        <v>44.4</v>
      </c>
      <c r="T16" s="136">
        <f t="shared" si="10"/>
        <v>15.9</v>
      </c>
      <c r="U16" s="137">
        <f t="shared" si="11"/>
        <v>18.7</v>
      </c>
      <c r="V16" s="31">
        <f>IF(ISNUMBER('SO와이드(실측)'!P16),'SO와이드(실측)'!P16+SO와이드제작!AW16+SO와이드A늘림,0)</f>
        <v>11</v>
      </c>
      <c r="W16" s="31">
        <f>IF(ISNUMBER('SO와이드(실측)'!Q16),'SO와이드(실측)'!Q16+SO와이드제작!AX16+SO와이드A늘림,0)</f>
        <v>9</v>
      </c>
      <c r="X16" s="31">
        <f>'SO와이드(실측)'!R16-SO와이드기둥차감</f>
        <v>2297</v>
      </c>
      <c r="Y16" s="31">
        <f>'SO와이드(실측)'!S16-SO와이드기둥차감</f>
        <v>2293</v>
      </c>
      <c r="Z16" s="31">
        <f>'SO와이드(실측)'!T16-SO와이드기둥차감</f>
        <v>2290</v>
      </c>
      <c r="AA16" s="31">
        <f>'SO와이드(실측)'!U16-SO와이드기둥차감</f>
        <v>2294</v>
      </c>
      <c r="AB16" s="31">
        <f>IF(소장&lt;&gt;"손상민",IF(ISNUMBER('SO와이드(실측)'!V16),'SO와이드(실측)'!V16+SO와이드U,0),IF(ISNUMBER('SO와이드(실측)'!V16),'SO와이드(실측)'!V16+1.2,0))</f>
        <v>0</v>
      </c>
      <c r="AC16" s="31">
        <f>IF(소장="손상민",MAX(T16,U16)+3.2,IF(ISNUMBER('SO와이드(실측)'!W16),'SO와이드(실측)'!W16+1.5+SO와이드제작!T16+1,0))</f>
        <v>21.9</v>
      </c>
      <c r="AD16" s="31">
        <f>'SO와이드(실측)'!X16+뒷날개치수더함</f>
        <v>26.2</v>
      </c>
      <c r="AE16" s="31">
        <f>'SO와이드(실측)'!Y16+뒷날개치수더함</f>
        <v>76.2</v>
      </c>
      <c r="AF16" s="31">
        <f>'SO와이드(실측)'!Z16+뒷날개치수더함</f>
        <v>31.2</v>
      </c>
      <c r="AG16" s="31">
        <f>'SO와이드(실측)'!AA16-SO와이드늘치</f>
        <v>50</v>
      </c>
      <c r="AH16" s="31">
        <f>IF(SO와이드JB하부늘치=1,AG16,'SO와이드(실측)'!AB16-SO와이드늘치)</f>
        <v>50</v>
      </c>
      <c r="AI16" s="31">
        <f>'SO와이드(실측)'!AC16-SO와이드늘치</f>
        <v>40</v>
      </c>
      <c r="AJ16" s="31">
        <f>IF(SO와이드JB하부늘치=1,AI16,'SO와이드(실측)'!AD16-SO와이드늘치)</f>
        <v>40</v>
      </c>
      <c r="AK16" s="31">
        <f xml:space="preserve"> IF(소장&lt;&gt;"손상민",IF('SO와이드(실측)'!AE16&gt;0,'SO와이드(실측)'!AE16,C16-1.2),IF('SO와이드(실측)'!AE16&gt;0,'SO와이드(실측)'!AE16+1.2,C16))</f>
        <v>689.2</v>
      </c>
      <c r="AL16" s="31">
        <f xml:space="preserve"> IF(소장&lt;&gt;"손상민",IF('SO와이드(실측)'!AF16&gt;0,'SO와이드(실측)'!AF16,D16-1.2),IF('SO와이드(실측)'!AF16&gt;0,'SO와이드(실측)'!AF16+1.2,D16) )</f>
        <v>693.2</v>
      </c>
      <c r="AM16" s="51">
        <f t="shared" si="12"/>
        <v>3.1999999999999993</v>
      </c>
      <c r="AN16" s="31" t="str">
        <f t="shared" si="13"/>
        <v>1182*1189.4</v>
      </c>
      <c r="AO16" s="31" t="str">
        <f t="shared" si="14"/>
        <v>2986.2*599</v>
      </c>
      <c r="AP16" s="31" t="str">
        <f t="shared" si="15"/>
        <v>2987.2*510</v>
      </c>
      <c r="AQ16" s="31">
        <f>IF('SO와이드(실측)'!AG16&gt;0,'SO와이드(실측)'!AG16-'SO와이드(실측)'!X16+1.2,0)</f>
        <v>0</v>
      </c>
      <c r="AR16" s="31">
        <f>IF('SO와이드(실측)'!AH16&gt;0,'SO와이드(실측)'!AH16-'SO와이드(실측)'!X16+1.2,0)</f>
        <v>0</v>
      </c>
      <c r="AS16" s="31">
        <f>'SO와이드(실측)'!AI16</f>
        <v>145</v>
      </c>
      <c r="AT16" s="31">
        <f>IF('SO와이드(실측)'!AJ16&gt;5,'SO와이드(실측)'!AJ16+뒷날개치수더함,'SO와이드(실측)'!AJ16)</f>
        <v>21.2</v>
      </c>
      <c r="AU16" s="31">
        <f>'SO와이드(실측)'!AK16</f>
        <v>10</v>
      </c>
      <c r="AV16" s="31">
        <f>'SO와이드(실측)'!AL16</f>
        <v>20</v>
      </c>
      <c r="AW16">
        <f>IF(AND(ISNUMBER('SO와이드(실측)'!Q16),ISNUMBER('SO와이드(실측)'!P16)),IF(ISNUMBER('SO와이드(실측)'!P16),IF(9-MIN('SO와이드(실측)'!P16+SO와이드A늘림,'SO와이드(실측)'!Q16+SO와이드A늘림)&lt;0,0,9-MIN('SO와이드(실측)'!P16+SO와이드A늘림,'SO와이드(실측)'!Q16+SO와이드A늘림)),0),IF(ISNUMBER('SO와이드(실측)'!P16),IF(9-'SO와이드(실측)'!P16-SO와이드A늘림&lt;0,0,9-'SO와이드(실측)'!P16-SO와이드A늘림),0))</f>
        <v>4.8</v>
      </c>
      <c r="AX16">
        <f>IF(AND(ISNUMBER('SO와이드(실측)'!P16),ISNUMBER('SO와이드(실측)'!Q16)),IF(ISNUMBER('SO와이드(실측)'!Q16),IF(9-MIN('SO와이드(실측)'!Q16+SO와이드A늘림,'SO와이드(실측)'!P16+SO와이드A늘림)&lt;0,0,9-MIN('SO와이드(실측)'!Q16+SO와이드A늘림,'SO와이드(실측)'!P16+SO와이드A늘림)),0),IF(ISNUMBER('SO와이드(실측)'!Q16),IF(9-'SO와이드(실측)'!Q16-SO와이드A늘림&lt;0,0,9-'SO와이드(실측)'!Q16-SO와이드A늘림),0))</f>
        <v>4.8</v>
      </c>
      <c r="AY16" s="20">
        <f t="shared" si="16"/>
        <v>5.3681138699667992</v>
      </c>
      <c r="AZ16" s="20">
        <f t="shared" si="17"/>
        <v>5.9533440370819681</v>
      </c>
      <c r="BA16" s="21">
        <f t="shared" si="18"/>
        <v>15.9</v>
      </c>
      <c r="BB16" s="21">
        <f t="shared" si="19"/>
        <v>18.7</v>
      </c>
      <c r="BC16" s="21">
        <f>'SO와이드(실측)'!N16+AW16</f>
        <v>18.8</v>
      </c>
      <c r="BD16" s="21">
        <f>'SO와이드(실측)'!O16+AW16</f>
        <v>18.8</v>
      </c>
      <c r="BE16" s="20">
        <f t="shared" si="20"/>
        <v>-2.9000000000000004</v>
      </c>
      <c r="BF16" s="41">
        <f t="shared" si="4"/>
        <v>1182</v>
      </c>
      <c r="BG16" s="42">
        <f>MAX(C16,D16)+MAX(H16,I16)+AD16-1.2*$AN$3+IF(BN16=0,MAX(AI16,AG16),0)+IF(AB16=0,1.2,0)+IF(AC16=0,1.2,0)+IF(소장&lt;&gt;"손상민", AB16+AC16,IF('SO와이드(실측)'!V16=0,0,2.4))</f>
        <v>1189.4000000000001</v>
      </c>
      <c r="BH16" s="41">
        <f t="shared" si="21"/>
        <v>599</v>
      </c>
      <c r="BI16" s="41">
        <f t="shared" si="22"/>
        <v>2986.2</v>
      </c>
      <c r="BJ16" s="41">
        <f t="shared" si="23"/>
        <v>509.99999999999994</v>
      </c>
      <c r="BK16" s="41">
        <f t="shared" si="24"/>
        <v>2987.2</v>
      </c>
      <c r="BL16" s="6">
        <f t="shared" si="25"/>
        <v>1.900000000000011</v>
      </c>
      <c r="BM16" s="43" t="str">
        <f t="shared" si="26"/>
        <v/>
      </c>
      <c r="BN16" s="77">
        <f t="shared" si="27"/>
        <v>0</v>
      </c>
    </row>
    <row r="17" spans="1:66" x14ac:dyDescent="0.3">
      <c r="A17" s="31">
        <f>'SO와이드(실측)'!A17</f>
        <v>0</v>
      </c>
      <c r="B17" s="31" t="str">
        <f>'SO와이드(실측)'!B17&amp;"F"</f>
        <v>2F</v>
      </c>
      <c r="C17" s="31">
        <f>'SO와이드(실측)'!C17+SO와이드MH더함-IF(AND(소장="추영덕",AB17=0),1.2)</f>
        <v>679.2</v>
      </c>
      <c r="D17" s="31">
        <f>'SO와이드(실측)'!D17+SO와이드MH더함-IF(AND(소장="추영덕",AB17=0),1.2)</f>
        <v>679.2</v>
      </c>
      <c r="E17" s="31">
        <f>'SO와이드(실측)'!E17-SO와이드OP</f>
        <v>532</v>
      </c>
      <c r="F17" s="31">
        <f>'SO와이드(실측)'!F17-SO와이드OP</f>
        <v>570</v>
      </c>
      <c r="G17" s="31">
        <f>'SO와이드(실측)'!G17-SO와이드R</f>
        <v>1183</v>
      </c>
      <c r="H17" s="50">
        <f>'SO와이드(실측)'!H17+SO와이드JBJD키움치수+IF(BN17=1,AG17,0)</f>
        <v>404.4</v>
      </c>
      <c r="I17" s="50">
        <f>'SO와이드(실측)'!I17+SO와이드JBJD키움치수+IF(BN17=1,AI17,0)</f>
        <v>364.4</v>
      </c>
      <c r="J17" s="50">
        <f>'SO와이드(실측)'!J17+MAX(AW17,AX17)+SO와이드JBJD키움치수+IF(BN17=1,AG17,0)</f>
        <v>425.2</v>
      </c>
      <c r="K17" s="50">
        <f>'SO와이드(실측)'!J17+MAX(AW17,AX17)+SO와이드JBJD키움치수+IF(BN17=1,AH17,0)-IF(SO와이드JB하부늘치=1,'SO와이드(실측)'!AA17-'SO와이드(실측)'!AB17,0)</f>
        <v>423.2</v>
      </c>
      <c r="L17" s="50">
        <f>'SO와이드(실측)'!K17+MAX(AW17,AX17)+SO와이드JBJD키움치수+IF(BN17=1,AI17,0)</f>
        <v>388.2</v>
      </c>
      <c r="M17" s="50">
        <f>'SO와이드(실측)'!K17+MAX(AW17,AX17)+SO와이드JBJD키움치수+IF(BN17=1,AJ17,0)-IF(SO와이드JB하부늘치=1,'SO와이드(실측)'!AC17-'SO와이드(실측)'!AD17,0)</f>
        <v>393.2</v>
      </c>
      <c r="N17" s="91">
        <f t="shared" si="6"/>
        <v>49</v>
      </c>
      <c r="O17" s="88">
        <f t="shared" si="7"/>
        <v>46</v>
      </c>
      <c r="P17" s="31">
        <f t="shared" si="8"/>
        <v>0</v>
      </c>
      <c r="Q17" s="31">
        <f t="shared" si="9"/>
        <v>0</v>
      </c>
      <c r="R17" s="31">
        <f>IF(V17&lt;9,'SO와이드(실측)'!L17+1.2,IF(ISNUMBER('SO와이드(실측)'!L17),'SO와이드(실측)'!L17+SO와이드C값,0))</f>
        <v>44.4</v>
      </c>
      <c r="S17" s="31">
        <f>IF(W17&lt;9,'SO와이드(실측)'!M17+1.2,IF(ISNUMBER('SO와이드(실측)'!M17),'SO와이드(실측)'!M17+SO와이드C값,0))</f>
        <v>44.4</v>
      </c>
      <c r="T17" s="136">
        <f t="shared" si="10"/>
        <v>18.600000000000001</v>
      </c>
      <c r="U17" s="137">
        <f t="shared" si="11"/>
        <v>21.4</v>
      </c>
      <c r="V17" s="31">
        <f>IF(ISNUMBER('SO와이드(실측)'!P17),'SO와이드(실측)'!P17+SO와이드제작!AW17+SO와이드A늘림,0)</f>
        <v>9</v>
      </c>
      <c r="W17" s="31">
        <f>IF(ISNUMBER('SO와이드(실측)'!Q17),'SO와이드(실측)'!Q17+SO와이드제작!AX17+SO와이드A늘림,0)</f>
        <v>10</v>
      </c>
      <c r="X17" s="31">
        <f>'SO와이드(실측)'!R17-SO와이드기둥차감</f>
        <v>2294</v>
      </c>
      <c r="Y17" s="31">
        <f>'SO와이드(실측)'!S17-SO와이드기둥차감</f>
        <v>2293</v>
      </c>
      <c r="Z17" s="31">
        <f>'SO와이드(실측)'!T17-SO와이드기둥차감</f>
        <v>2296</v>
      </c>
      <c r="AA17" s="31">
        <f>'SO와이드(실측)'!U17-SO와이드기둥차감</f>
        <v>2293</v>
      </c>
      <c r="AB17" s="31">
        <f>IF(소장&lt;&gt;"손상민",IF(ISNUMBER('SO와이드(실측)'!V17),'SO와이드(실측)'!V17+SO와이드U,0),IF(ISNUMBER('SO와이드(실측)'!V17),'SO와이드(실측)'!V17+1.2,0))</f>
        <v>0</v>
      </c>
      <c r="AC17" s="31">
        <f>IF(소장="손상민",MAX(T17,U17)+3.2,IF(ISNUMBER('SO와이드(실측)'!W17),'SO와이드(실측)'!W17+1.5+SO와이드제작!T17+1,0))</f>
        <v>24.599999999999998</v>
      </c>
      <c r="AD17" s="31">
        <f>'SO와이드(실측)'!X17+뒷날개치수더함</f>
        <v>26.2</v>
      </c>
      <c r="AE17" s="31">
        <f>'SO와이드(실측)'!Y17+뒷날개치수더함</f>
        <v>76.2</v>
      </c>
      <c r="AF17" s="31">
        <f>'SO와이드(실측)'!Z17+뒷날개치수더함</f>
        <v>31.2</v>
      </c>
      <c r="AG17" s="31">
        <f>'SO와이드(실측)'!AA17-SO와이드늘치</f>
        <v>47</v>
      </c>
      <c r="AH17" s="31">
        <f>IF(SO와이드JB하부늘치=1,AG17,'SO와이드(실측)'!AB17-SO와이드늘치)</f>
        <v>47</v>
      </c>
      <c r="AI17" s="31">
        <f>'SO와이드(실측)'!AC17-SO와이드늘치</f>
        <v>38</v>
      </c>
      <c r="AJ17" s="31">
        <f>IF(SO와이드JB하부늘치=1,AI17,'SO와이드(실측)'!AD17-SO와이드늘치)</f>
        <v>38</v>
      </c>
      <c r="AK17" s="31">
        <f xml:space="preserve"> IF(소장&lt;&gt;"손상민",IF('SO와이드(실측)'!AE17&gt;0,'SO와이드(실측)'!AE17,C17-1.2),IF('SO와이드(실측)'!AE17&gt;0,'SO와이드(실측)'!AE17+1.2,C17))</f>
        <v>659.2</v>
      </c>
      <c r="AL17" s="31">
        <f xml:space="preserve"> IF(소장&lt;&gt;"손상민",IF('SO와이드(실측)'!AF17&gt;0,'SO와이드(실측)'!AF17,D17-1.2),IF('SO와이드(실측)'!AF17&gt;0,'SO와이드(실측)'!AF17+1.2,D17) )</f>
        <v>661.2</v>
      </c>
      <c r="AM17" s="51">
        <f t="shared" si="12"/>
        <v>3.1999999999999993</v>
      </c>
      <c r="AN17" s="31" t="str">
        <f t="shared" si="13"/>
        <v>1183*1154.4</v>
      </c>
      <c r="AO17" s="31" t="str">
        <f t="shared" si="14"/>
        <v>2953.2*597</v>
      </c>
      <c r="AP17" s="31" t="str">
        <f t="shared" si="15"/>
        <v>2957.2*512</v>
      </c>
      <c r="AQ17" s="31">
        <f>IF('SO와이드(실측)'!AG17&gt;0,'SO와이드(실측)'!AG17-'SO와이드(실측)'!X17+1.2,0)</f>
        <v>0</v>
      </c>
      <c r="AR17" s="31">
        <f>IF('SO와이드(실측)'!AH17&gt;0,'SO와이드(실측)'!AH17-'SO와이드(실측)'!X17+1.2,0)</f>
        <v>0</v>
      </c>
      <c r="AS17" s="31">
        <f>'SO와이드(실측)'!AI17</f>
        <v>145</v>
      </c>
      <c r="AT17" s="31">
        <f>IF('SO와이드(실측)'!AJ17&gt;5,'SO와이드(실측)'!AJ17+뒷날개치수더함,'SO와이드(실측)'!AJ17)</f>
        <v>21.2</v>
      </c>
      <c r="AU17" s="31">
        <f>'SO와이드(실측)'!AK17</f>
        <v>10</v>
      </c>
      <c r="AV17" s="31">
        <f>'SO와이드(실측)'!AL17</f>
        <v>20</v>
      </c>
      <c r="AW17">
        <f>IF(AND(ISNUMBER('SO와이드(실측)'!Q17),ISNUMBER('SO와이드(실측)'!P17)),IF(ISNUMBER('SO와이드(실측)'!P17),IF(9-MIN('SO와이드(실측)'!P17+SO와이드A늘림,'SO와이드(실측)'!Q17+SO와이드A늘림)&lt;0,0,9-MIN('SO와이드(실측)'!P17+SO와이드A늘림,'SO와이드(실측)'!Q17+SO와이드A늘림)),0),IF(ISNUMBER('SO와이드(실측)'!P17),IF(9-'SO와이드(실측)'!P17-SO와이드A늘림&lt;0,0,9-'SO와이드(실측)'!P17-SO와이드A늘림),0))</f>
        <v>7.8</v>
      </c>
      <c r="AX17">
        <f>IF(AND(ISNUMBER('SO와이드(실측)'!P17),ISNUMBER('SO와이드(실측)'!Q17)),IF(ISNUMBER('SO와이드(실측)'!Q17),IF(9-MIN('SO와이드(실측)'!Q17+SO와이드A늘림,'SO와이드(실측)'!P17+SO와이드A늘림)&lt;0,0,9-MIN('SO와이드(실측)'!Q17+SO와이드A늘림,'SO와이드(실측)'!P17+SO와이드A늘림)),0),IF(ISNUMBER('SO와이드(실측)'!Q17),IF(9-'SO와이드(실측)'!Q17-SO와이드A늘림&lt;0,0,9-'SO와이드(실측)'!Q17-SO와이드A늘림),0))</f>
        <v>7.8</v>
      </c>
      <c r="AY17" s="20">
        <f t="shared" si="16"/>
        <v>5.7190097043892436</v>
      </c>
      <c r="AZ17" s="20">
        <f t="shared" si="17"/>
        <v>6.3419174704210919</v>
      </c>
      <c r="BA17" s="21">
        <f t="shared" si="18"/>
        <v>18.600000000000001</v>
      </c>
      <c r="BB17" s="21">
        <f t="shared" si="19"/>
        <v>21.4</v>
      </c>
      <c r="BC17" s="21">
        <f>'SO와이드(실측)'!N17+AW17</f>
        <v>21.8</v>
      </c>
      <c r="BD17" s="21">
        <f>'SO와이드(실측)'!O17+AW17</f>
        <v>21.8</v>
      </c>
      <c r="BE17" s="20">
        <f t="shared" si="20"/>
        <v>-3.1999999999999993</v>
      </c>
      <c r="BF17" s="41">
        <f t="shared" si="4"/>
        <v>1183</v>
      </c>
      <c r="BG17" s="42">
        <f>MAX(C17,D17)+MAX(H17,I17)+AD17-1.2*$AN$3+IF(BN17=0,MAX(AI17,AG17),0)+IF(AB17=0,1.2,0)+IF(AC17=0,1.2,0)+IF(소장&lt;&gt;"손상민", AB17+AC17,IF('SO와이드(실측)'!V17=0,0,2.4))</f>
        <v>1154.4000000000001</v>
      </c>
      <c r="BH17" s="41">
        <f t="shared" si="21"/>
        <v>597</v>
      </c>
      <c r="BI17" s="41">
        <f t="shared" si="22"/>
        <v>2953.2</v>
      </c>
      <c r="BJ17" s="41">
        <f t="shared" si="23"/>
        <v>511.99999999999994</v>
      </c>
      <c r="BK17" s="41">
        <f t="shared" si="24"/>
        <v>2957.2</v>
      </c>
      <c r="BL17" s="6">
        <f t="shared" si="25"/>
        <v>2.2000000000000099</v>
      </c>
      <c r="BM17" s="43" t="str">
        <f t="shared" si="26"/>
        <v/>
      </c>
      <c r="BN17" s="77">
        <f t="shared" si="27"/>
        <v>0</v>
      </c>
    </row>
    <row r="18" spans="1:66" x14ac:dyDescent="0.3">
      <c r="A18" s="31">
        <f>'SO와이드(실측)'!A18</f>
        <v>0</v>
      </c>
      <c r="B18" s="31" t="str">
        <f>'SO와이드(실측)'!B18&amp;"F"</f>
        <v>1F</v>
      </c>
      <c r="C18" s="31">
        <f>'SO와이드(실측)'!C18+SO와이드MH더함-IF(AND(소장="추영덕",AB18=0),1.2)</f>
        <v>546.20000000000005</v>
      </c>
      <c r="D18" s="31">
        <f>'SO와이드(실측)'!D18+SO와이드MH더함-IF(AND(소장="추영덕",AB18=0),1.2)</f>
        <v>546.20000000000005</v>
      </c>
      <c r="E18" s="31">
        <f>'SO와이드(실측)'!E18-SO와이드OP</f>
        <v>533</v>
      </c>
      <c r="F18" s="31">
        <f>'SO와이드(실측)'!F18-SO와이드OP</f>
        <v>570</v>
      </c>
      <c r="G18" s="31">
        <f>'SO와이드(실측)'!G18-SO와이드R</f>
        <v>1184</v>
      </c>
      <c r="H18" s="50">
        <f>'SO와이드(실측)'!H18+SO와이드JBJD키움치수+IF(BN18=1,AG18,0)</f>
        <v>404.4</v>
      </c>
      <c r="I18" s="50">
        <f>'SO와이드(실측)'!I18+SO와이드JBJD키움치수+IF(BN18=1,AI18,0)</f>
        <v>364.4</v>
      </c>
      <c r="J18" s="50">
        <f>'SO와이드(실측)'!J18+MAX(AW18,AX18)+SO와이드JBJD키움치수+IF(BN18=1,AG18,0)</f>
        <v>421.2</v>
      </c>
      <c r="K18" s="50">
        <f>'SO와이드(실측)'!J18+MAX(AW18,AX18)+SO와이드JBJD키움치수+IF(BN18=1,AH18,0)-IF(SO와이드JB하부늘치=1,'SO와이드(실측)'!AA18-'SO와이드(실측)'!AB18,0)</f>
        <v>413.2</v>
      </c>
      <c r="L18" s="50">
        <f>'SO와이드(실측)'!K18+MAX(AW18,AX18)+SO와이드JBJD키움치수+IF(BN18=1,AI18,0)</f>
        <v>384.2</v>
      </c>
      <c r="M18" s="50">
        <f>'SO와이드(실측)'!K18+MAX(AW18,AX18)+SO와이드JBJD키움치수+IF(BN18=1,AJ18,0)-IF(SO와이드JB하부늘치=1,'SO와이드(실측)'!AC18-'SO와이드(실측)'!AD18,0)</f>
        <v>385.2</v>
      </c>
      <c r="N18" s="91">
        <f t="shared" si="6"/>
        <v>51</v>
      </c>
      <c r="O18" s="88">
        <f t="shared" si="7"/>
        <v>48</v>
      </c>
      <c r="P18" s="31">
        <f t="shared" si="8"/>
        <v>0</v>
      </c>
      <c r="Q18" s="31">
        <f t="shared" si="9"/>
        <v>0</v>
      </c>
      <c r="R18" s="31">
        <f>IF(V18&lt;9,'SO와이드(실측)'!L18+1.2,IF(ISNUMBER('SO와이드(실측)'!L18),'SO와이드(실측)'!L18+SO와이드C값,0))</f>
        <v>44.4</v>
      </c>
      <c r="S18" s="31">
        <f>IF(W18&lt;9,'SO와이드(실측)'!M18+1.2,IF(ISNUMBER('SO와이드(실측)'!M18),'SO와이드(실측)'!M18+SO와이드C값,0))</f>
        <v>44.4</v>
      </c>
      <c r="T18" s="136">
        <f t="shared" si="10"/>
        <v>14.7</v>
      </c>
      <c r="U18" s="137">
        <f t="shared" si="11"/>
        <v>17.399999999999999</v>
      </c>
      <c r="V18" s="31">
        <f>IF(ISNUMBER('SO와이드(실측)'!P18),'SO와이드(실측)'!P18+SO와이드제작!AW18+SO와이드A늘림,0)</f>
        <v>11</v>
      </c>
      <c r="W18" s="31">
        <f>IF(ISNUMBER('SO와이드(실측)'!Q18),'SO와이드(실측)'!Q18+SO와이드제작!AX18+SO와이드A늘림,0)</f>
        <v>9</v>
      </c>
      <c r="X18" s="31">
        <f>'SO와이드(실측)'!R18-SO와이드기둥차감</f>
        <v>2291</v>
      </c>
      <c r="Y18" s="31">
        <f>'SO와이드(실측)'!S18-SO와이드기둥차감</f>
        <v>2293</v>
      </c>
      <c r="Z18" s="31">
        <f>'SO와이드(실측)'!T18-SO와이드기둥차감</f>
        <v>2293</v>
      </c>
      <c r="AA18" s="31">
        <f>'SO와이드(실측)'!U18-SO와이드기둥차감</f>
        <v>2293</v>
      </c>
      <c r="AB18" s="31">
        <f>IF(소장&lt;&gt;"손상민",IF(ISNUMBER('SO와이드(실측)'!V18),'SO와이드(실측)'!V18+SO와이드U,0),IF(ISNUMBER('SO와이드(실측)'!V18),'SO와이드(실측)'!V18+1.2,0))</f>
        <v>0</v>
      </c>
      <c r="AC18" s="31">
        <f>IF(소장="손상민",MAX(T18,U18)+3.2,IF(ISNUMBER('SO와이드(실측)'!W18),'SO와이드(실측)'!W18+1.5+SO와이드제작!T18+1,0))</f>
        <v>20.599999999999998</v>
      </c>
      <c r="AD18" s="31">
        <f>'SO와이드(실측)'!X18+뒷날개치수더함</f>
        <v>26.2</v>
      </c>
      <c r="AE18" s="31">
        <f>'SO와이드(실측)'!Y18+뒷날개치수더함</f>
        <v>76.2</v>
      </c>
      <c r="AF18" s="31">
        <f>'SO와이드(실측)'!Z18+뒷날개치수더함</f>
        <v>31.2</v>
      </c>
      <c r="AG18" s="31">
        <f>'SO와이드(실측)'!AA18-SO와이드늘치</f>
        <v>53</v>
      </c>
      <c r="AH18" s="31">
        <f>IF(SO와이드JB하부늘치=1,AG18,'SO와이드(실측)'!AB18-SO와이드늘치)</f>
        <v>53</v>
      </c>
      <c r="AI18" s="31">
        <f>'SO와이드(실측)'!AC18-SO와이드늘치</f>
        <v>42</v>
      </c>
      <c r="AJ18" s="31">
        <f>IF(SO와이드JB하부늘치=1,AI18,'SO와이드(실측)'!AD18-SO와이드늘치)</f>
        <v>42</v>
      </c>
      <c r="AK18" s="31">
        <f xml:space="preserve"> IF(소장&lt;&gt;"손상민",IF('SO와이드(실측)'!AE18&gt;0,'SO와이드(실측)'!AE18,C18-1.2),IF('SO와이드(실측)'!AE18&gt;0,'SO와이드(실측)'!AE18+1.2,C18))</f>
        <v>531.20000000000005</v>
      </c>
      <c r="AL18" s="31">
        <f xml:space="preserve"> IF(소장&lt;&gt;"손상민",IF('SO와이드(실측)'!AF18&gt;0,'SO와이드(실측)'!AF18,D18-1.2),IF('SO와이드(실측)'!AF18&gt;0,'SO와이드(실측)'!AF18+1.2,D18) )</f>
        <v>531.20000000000005</v>
      </c>
      <c r="AM18" s="51">
        <f t="shared" si="12"/>
        <v>3.1999999999999993</v>
      </c>
      <c r="AN18" s="31" t="str">
        <f t="shared" si="13"/>
        <v>1184*1027.4</v>
      </c>
      <c r="AO18" s="31" t="str">
        <f t="shared" si="14"/>
        <v>2824.2*601</v>
      </c>
      <c r="AP18" s="31" t="str">
        <f t="shared" si="15"/>
        <v>2824.2*507</v>
      </c>
      <c r="AQ18" s="31">
        <f>IF('SO와이드(실측)'!AG18&gt;0,'SO와이드(실측)'!AG18-'SO와이드(실측)'!X18+1.2,0)</f>
        <v>0</v>
      </c>
      <c r="AR18" s="31">
        <f>IF('SO와이드(실측)'!AH18&gt;0,'SO와이드(실측)'!AH18-'SO와이드(실측)'!X18+1.2,0)</f>
        <v>0</v>
      </c>
      <c r="AS18" s="31">
        <f>'SO와이드(실측)'!AI18</f>
        <v>145</v>
      </c>
      <c r="AT18" s="31">
        <f>IF('SO와이드(실측)'!AJ18&gt;5,'SO와이드(실측)'!AJ18+뒷날개치수더함,'SO와이드(실측)'!AJ18)</f>
        <v>21.2</v>
      </c>
      <c r="AU18" s="31">
        <f>'SO와이드(실측)'!AK18</f>
        <v>10</v>
      </c>
      <c r="AV18" s="31">
        <f>'SO와이드(실측)'!AL18</f>
        <v>20</v>
      </c>
      <c r="AW18">
        <f>IF(AND(ISNUMBER('SO와이드(실측)'!Q18),ISNUMBER('SO와이드(실측)'!P18)),IF(ISNUMBER('SO와이드(실측)'!P18),IF(9-MIN('SO와이드(실측)'!P18+SO와이드A늘림,'SO와이드(실측)'!Q18+SO와이드A늘림)&lt;0,0,9-MIN('SO와이드(실측)'!P18+SO와이드A늘림,'SO와이드(실측)'!Q18+SO와이드A늘림)),0),IF(ISNUMBER('SO와이드(실측)'!P18),IF(9-'SO와이드(실측)'!P18-SO와이드A늘림&lt;0,0,9-'SO와이드(실측)'!P18-SO와이드A늘림),0))</f>
        <v>3.8</v>
      </c>
      <c r="AX18">
        <f>IF(AND(ISNUMBER('SO와이드(실측)'!P18),ISNUMBER('SO와이드(실측)'!Q18)),IF(ISNUMBER('SO와이드(실측)'!Q18),IF(9-MIN('SO와이드(실측)'!Q18+SO와이드A늘림,'SO와이드(실측)'!P18+SO와이드A늘림)&lt;0,0,9-MIN('SO와이드(실측)'!Q18+SO와이드A늘림,'SO와이드(실측)'!P18+SO와이드A늘림)),0),IF(ISNUMBER('SO와이드(실측)'!Q18),IF(9-'SO와이드(실측)'!Q18-SO와이드A늘림&lt;0,0,9-'SO와이드(실측)'!Q18-SO와이드A늘림),0))</f>
        <v>3.8</v>
      </c>
      <c r="AY18" s="20">
        <f t="shared" si="16"/>
        <v>5.7190097043892436</v>
      </c>
      <c r="AZ18" s="20">
        <f t="shared" si="17"/>
        <v>6.3419174704210919</v>
      </c>
      <c r="BA18" s="21">
        <f t="shared" si="18"/>
        <v>14.7</v>
      </c>
      <c r="BB18" s="21">
        <f t="shared" si="19"/>
        <v>17.399999999999999</v>
      </c>
      <c r="BC18" s="21">
        <f>'SO와이드(실측)'!N18+AW18</f>
        <v>17.8</v>
      </c>
      <c r="BD18" s="21">
        <f>'SO와이드(실측)'!O18+AW18</f>
        <v>17.8</v>
      </c>
      <c r="BE18" s="20">
        <f t="shared" si="20"/>
        <v>-3.1000000000000014</v>
      </c>
      <c r="BF18" s="41">
        <f t="shared" si="4"/>
        <v>1184</v>
      </c>
      <c r="BG18" s="42">
        <f>MAX(C18,D18)+MAX(H18,I18)+AD18-1.2*$AN$3+IF(BN18=0,MAX(AI18,AG18),0)+IF(AB18=0,1.2,0)+IF(AC18=0,1.2,0)+IF(소장&lt;&gt;"손상민", AB18+AC18,IF('SO와이드(실측)'!V18=0,0,2.4))</f>
        <v>1027.4000000000001</v>
      </c>
      <c r="BH18" s="41">
        <f t="shared" si="21"/>
        <v>601</v>
      </c>
      <c r="BI18" s="41">
        <f t="shared" si="22"/>
        <v>2824.2</v>
      </c>
      <c r="BJ18" s="41">
        <f t="shared" si="23"/>
        <v>506.99999999999994</v>
      </c>
      <c r="BK18" s="41">
        <f t="shared" si="24"/>
        <v>2824.2</v>
      </c>
      <c r="BL18" s="6">
        <f t="shared" si="25"/>
        <v>2.1000000000000121</v>
      </c>
      <c r="BM18" s="43" t="str">
        <f t="shared" si="26"/>
        <v/>
      </c>
      <c r="BN18" s="77">
        <f t="shared" si="27"/>
        <v>0</v>
      </c>
    </row>
    <row r="19" spans="1:66" x14ac:dyDescent="0.3">
      <c r="A19" s="31">
        <f>'SO와이드(실측)'!A19</f>
        <v>0</v>
      </c>
      <c r="B19" s="31" t="str">
        <f>'SO와이드(실측)'!B19&amp;"F"</f>
        <v>B1F</v>
      </c>
      <c r="C19" s="31">
        <f>'SO와이드(실측)'!C19+SO와이드MH더함-IF(AND(소장="추영덕",AB19=0),1.2)</f>
        <v>409.2</v>
      </c>
      <c r="D19" s="31">
        <f>'SO와이드(실측)'!D19+SO와이드MH더함-IF(AND(소장="추영덕",AB19=0),1.2)</f>
        <v>409.2</v>
      </c>
      <c r="E19" s="31">
        <f>'SO와이드(실측)'!E19-SO와이드OP</f>
        <v>536</v>
      </c>
      <c r="F19" s="31">
        <f>'SO와이드(실측)'!F19-SO와이드OP</f>
        <v>568</v>
      </c>
      <c r="G19" s="31">
        <f>'SO와이드(실측)'!G19-SO와이드R</f>
        <v>1185</v>
      </c>
      <c r="H19" s="50">
        <f>'SO와이드(실측)'!H19+SO와이드JBJD키움치수+IF(BN19=1,AG19,0)</f>
        <v>404.4</v>
      </c>
      <c r="I19" s="50">
        <f>'SO와이드(실측)'!I19+SO와이드JBJD키움치수+IF(BN19=1,AI19,0)</f>
        <v>364.4</v>
      </c>
      <c r="J19" s="50">
        <f>'SO와이드(실측)'!J19+MAX(AW19,AX19)+SO와이드JBJD키움치수+IF(BN19=1,AG19,0)</f>
        <v>424.2</v>
      </c>
      <c r="K19" s="50">
        <f>'SO와이드(실측)'!J19+MAX(AW19,AX19)+SO와이드JBJD키움치수+IF(BN19=1,AH19,0)-IF(SO와이드JB하부늘치=1,'SO와이드(실측)'!AA19-'SO와이드(실측)'!AB19,0)</f>
        <v>427.2</v>
      </c>
      <c r="L19" s="50">
        <f>'SO와이드(실측)'!K19+MAX(AW19,AX19)+SO와이드JBJD키움치수+IF(BN19=1,AI19,0)</f>
        <v>387.2</v>
      </c>
      <c r="M19" s="50">
        <f>'SO와이드(실측)'!K19+MAX(AW19,AX19)+SO와이드JBJD키움치수+IF(BN19=1,AJ19,0)-IF(SO와이드JB하부늘치=1,'SO와이드(실측)'!AC19-'SO와이드(실측)'!AD19,0)</f>
        <v>395.2</v>
      </c>
      <c r="N19" s="91">
        <f t="shared" si="6"/>
        <v>45</v>
      </c>
      <c r="O19" s="88">
        <f t="shared" si="7"/>
        <v>42</v>
      </c>
      <c r="P19" s="31">
        <f t="shared" si="8"/>
        <v>0</v>
      </c>
      <c r="Q19" s="31">
        <f t="shared" si="9"/>
        <v>0</v>
      </c>
      <c r="R19" s="31">
        <f>IF(V19&lt;9,'SO와이드(실측)'!L19+1.2,IF(ISNUMBER('SO와이드(실측)'!L19),'SO와이드(실측)'!L19+SO와이드C값,0))</f>
        <v>44.4</v>
      </c>
      <c r="S19" s="31">
        <f>IF(W19&lt;9,'SO와이드(실측)'!M19+1.2,IF(ISNUMBER('SO와이드(실측)'!M19),'SO와이드(실측)'!M19+SO와이드C값,0))</f>
        <v>44.4</v>
      </c>
      <c r="T19" s="136">
        <f t="shared" si="10"/>
        <v>17.600000000000001</v>
      </c>
      <c r="U19" s="137">
        <f t="shared" si="11"/>
        <v>20.399999999999999</v>
      </c>
      <c r="V19" s="31">
        <f>IF(ISNUMBER('SO와이드(실측)'!P19),'SO와이드(실측)'!P19+SO와이드제작!AW19+SO와이드A늘림,0)</f>
        <v>9</v>
      </c>
      <c r="W19" s="31">
        <f>IF(ISNUMBER('SO와이드(실측)'!Q19),'SO와이드(실측)'!Q19+SO와이드제작!AX19+SO와이드A늘림,0)</f>
        <v>9</v>
      </c>
      <c r="X19" s="31">
        <f>'SO와이드(실측)'!R19-SO와이드기둥차감</f>
        <v>2297</v>
      </c>
      <c r="Y19" s="31">
        <f>'SO와이드(실측)'!S19-SO와이드기둥차감</f>
        <v>2296</v>
      </c>
      <c r="Z19" s="31">
        <f>'SO와이드(실측)'!T19-SO와이드기둥차감</f>
        <v>2297</v>
      </c>
      <c r="AA19" s="31">
        <f>'SO와이드(실측)'!U19-SO와이드기둥차감</f>
        <v>2297</v>
      </c>
      <c r="AB19" s="31">
        <f>IF(소장&lt;&gt;"손상민",IF(ISNUMBER('SO와이드(실측)'!V19),'SO와이드(실측)'!V19+SO와이드U,0),IF(ISNUMBER('SO와이드(실측)'!V19),'SO와이드(실측)'!V19+1.2,0))</f>
        <v>0</v>
      </c>
      <c r="AC19" s="31">
        <f>IF(소장="손상민",MAX(T19,U19)+3.2,IF(ISNUMBER('SO와이드(실측)'!W19),'SO와이드(실측)'!W19+1.5+SO와이드제작!T19+1,0))</f>
        <v>23.599999999999998</v>
      </c>
      <c r="AD19" s="31">
        <f>'SO와이드(실측)'!X19+뒷날개치수더함</f>
        <v>26.2</v>
      </c>
      <c r="AE19" s="31">
        <f>'SO와이드(실측)'!Y19+뒷날개치수더함</f>
        <v>76.2</v>
      </c>
      <c r="AF19" s="31">
        <f>'SO와이드(실측)'!Z19+뒷날개치수더함</f>
        <v>31.2</v>
      </c>
      <c r="AG19" s="31">
        <f>'SO와이드(실측)'!AA19-SO와이드늘치</f>
        <v>43</v>
      </c>
      <c r="AH19" s="31">
        <f>IF(SO와이드JB하부늘치=1,AG19,'SO와이드(실측)'!AB19-SO와이드늘치)</f>
        <v>43</v>
      </c>
      <c r="AI19" s="31">
        <f>'SO와이드(실측)'!AC19-SO와이드늘치</f>
        <v>38</v>
      </c>
      <c r="AJ19" s="31">
        <f>IF(SO와이드JB하부늘치=1,AI19,'SO와이드(실측)'!AD19-SO와이드늘치)</f>
        <v>38</v>
      </c>
      <c r="AK19" s="31">
        <f xml:space="preserve"> IF(소장&lt;&gt;"손상민",IF('SO와이드(실측)'!AE19&gt;0,'SO와이드(실측)'!AE19,C19-1.2),IF('SO와이드(실측)'!AE19&gt;0,'SO와이드(실측)'!AE19+1.2,C19))</f>
        <v>409.2</v>
      </c>
      <c r="AL19" s="31">
        <f xml:space="preserve"> IF(소장&lt;&gt;"손상민",IF('SO와이드(실측)'!AF19&gt;0,'SO와이드(실측)'!AF19,D19-1.2),IF('SO와이드(실측)'!AF19&gt;0,'SO와이드(실측)'!AF19+1.2,D19) )</f>
        <v>409.2</v>
      </c>
      <c r="AM19" s="51">
        <f t="shared" si="12"/>
        <v>3.1999999999999993</v>
      </c>
      <c r="AN19" s="31" t="str">
        <f t="shared" si="13"/>
        <v>1185*880.4</v>
      </c>
      <c r="AO19" s="31" t="str">
        <f t="shared" si="14"/>
        <v>2706.2*595</v>
      </c>
      <c r="AP19" s="31" t="str">
        <f t="shared" si="15"/>
        <v>2706.2*513</v>
      </c>
      <c r="AQ19" s="31">
        <f>IF('SO와이드(실측)'!AG19&gt;0,'SO와이드(실측)'!AG19-'SO와이드(실측)'!X19+1.2,0)</f>
        <v>0</v>
      </c>
      <c r="AR19" s="31">
        <f>IF('SO와이드(실측)'!AH19&gt;0,'SO와이드(실측)'!AH19-'SO와이드(실측)'!X19+1.2,0)</f>
        <v>0</v>
      </c>
      <c r="AS19" s="31">
        <f>'SO와이드(실측)'!AI19</f>
        <v>145</v>
      </c>
      <c r="AT19" s="31">
        <f>IF('SO와이드(실측)'!AJ19&gt;5,'SO와이드(실측)'!AJ19+뒷날개치수더함,'SO와이드(실측)'!AJ19)</f>
        <v>21.2</v>
      </c>
      <c r="AU19" s="31">
        <f>'SO와이드(실측)'!AK19</f>
        <v>10</v>
      </c>
      <c r="AV19" s="31">
        <f>'SO와이드(실측)'!AL19</f>
        <v>20</v>
      </c>
      <c r="AW19">
        <f>IF(AND(ISNUMBER('SO와이드(실측)'!Q19),ISNUMBER('SO와이드(실측)'!P19)),IF(ISNUMBER('SO와이드(실측)'!P19),IF(9-MIN('SO와이드(실측)'!P19+SO와이드A늘림,'SO와이드(실측)'!Q19+SO와이드A늘림)&lt;0,0,9-MIN('SO와이드(실측)'!P19+SO와이드A늘림,'SO와이드(실측)'!Q19+SO와이드A늘림)),0),IF(ISNUMBER('SO와이드(실측)'!P19),IF(9-'SO와이드(실측)'!P19-SO와이드A늘림&lt;0,0,9-'SO와이드(실측)'!P19-SO와이드A늘림),0))</f>
        <v>6.8</v>
      </c>
      <c r="AX19">
        <f>IF(AND(ISNUMBER('SO와이드(실측)'!P19),ISNUMBER('SO와이드(실측)'!Q19)),IF(ISNUMBER('SO와이드(실측)'!Q19),IF(9-MIN('SO와이드(실측)'!Q19+SO와이드A늘림,'SO와이드(실측)'!P19+SO와이드A늘림)&lt;0,0,9-MIN('SO와이드(실측)'!Q19+SO와이드A늘림,'SO와이드(실측)'!P19+SO와이드A늘림)),0),IF(ISNUMBER('SO와이드(실측)'!Q19),IF(9-'SO와이드(실측)'!Q19-SO와이드A늘림&lt;0,0,9-'SO와이드(실측)'!Q19-SO와이드A늘림),0))</f>
        <v>6.8</v>
      </c>
      <c r="AY19" s="20">
        <f t="shared" si="16"/>
        <v>5.7190097043892436</v>
      </c>
      <c r="AZ19" s="20">
        <f t="shared" si="17"/>
        <v>6.3419174704210919</v>
      </c>
      <c r="BA19" s="21">
        <f t="shared" si="18"/>
        <v>17.600000000000001</v>
      </c>
      <c r="BB19" s="21">
        <f t="shared" si="19"/>
        <v>20.399999999999999</v>
      </c>
      <c r="BC19" s="21">
        <f>'SO와이드(실측)'!N19+AW19</f>
        <v>20.8</v>
      </c>
      <c r="BD19" s="21">
        <f>'SO와이드(실측)'!O19+AW19</f>
        <v>20.8</v>
      </c>
      <c r="BE19" s="20">
        <f t="shared" si="20"/>
        <v>-3.1999999999999993</v>
      </c>
      <c r="BF19" s="41">
        <f t="shared" si="4"/>
        <v>1185</v>
      </c>
      <c r="BG19" s="42">
        <f>MAX(C19,D19)+MAX(H19,I19)+AD19-1.2*$AN$3+IF(BN19=0,MAX(AI19,AG19),0)+IF(AB19=0,1.2,0)+IF(AC19=0,1.2,0)+IF(소장&lt;&gt;"손상민", AB19+AC19,IF('SO와이드(실측)'!V19=0,0,2.4))</f>
        <v>880.4</v>
      </c>
      <c r="BH19" s="41">
        <f t="shared" si="21"/>
        <v>595</v>
      </c>
      <c r="BI19" s="41">
        <f t="shared" si="22"/>
        <v>2706.2</v>
      </c>
      <c r="BJ19" s="41">
        <f t="shared" si="23"/>
        <v>513</v>
      </c>
      <c r="BK19" s="41">
        <f t="shared" si="24"/>
        <v>2706.2</v>
      </c>
      <c r="BL19" s="6">
        <f t="shared" si="25"/>
        <v>2.2000000000000099</v>
      </c>
      <c r="BM19" s="43" t="str">
        <f t="shared" si="26"/>
        <v/>
      </c>
      <c r="BN19" s="77">
        <f t="shared" si="27"/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:AM19">
    <cfRule type="cellIs" dxfId="50" priority="34" operator="greaterThan">
      <formula>3</formula>
    </cfRule>
  </conditionalFormatting>
  <conditionalFormatting sqref="G7:G19">
    <cfRule type="cellIs" dxfId="49" priority="31" operator="greaterThan">
      <formula>1210</formula>
    </cfRule>
  </conditionalFormatting>
  <conditionalFormatting sqref="C7:D19">
    <cfRule type="cellIs" dxfId="48" priority="29" operator="notEqual">
      <formula>$D7</formula>
    </cfRule>
  </conditionalFormatting>
  <conditionalFormatting sqref="D7:D19">
    <cfRule type="cellIs" dxfId="47" priority="28" operator="notEqual">
      <formula>$C7</formula>
    </cfRule>
  </conditionalFormatting>
  <conditionalFormatting sqref="AS7:AV19">
    <cfRule type="cellIs" dxfId="46" priority="14" operator="greaterThan">
      <formula>1.2</formula>
    </cfRule>
  </conditionalFormatting>
  <conditionalFormatting sqref="AS7:AS19">
    <cfRule type="cellIs" dxfId="45" priority="13" operator="greaterThan">
      <formula>0</formula>
    </cfRule>
  </conditionalFormatting>
  <conditionalFormatting sqref="H7:H19 L7:L19">
    <cfRule type="cellIs" dxfId="44" priority="11" operator="notEqual">
      <formula>I7</formula>
    </cfRule>
  </conditionalFormatting>
  <conditionalFormatting sqref="I7:I19">
    <cfRule type="cellIs" dxfId="43" priority="10" operator="notEqual">
      <formula>$H$7</formula>
    </cfRule>
  </conditionalFormatting>
  <conditionalFormatting sqref="J7:J19">
    <cfRule type="cellIs" dxfId="42" priority="9" operator="notEqual">
      <formula>K7</formula>
    </cfRule>
  </conditionalFormatting>
  <conditionalFormatting sqref="K7:K19 M7:M19">
    <cfRule type="cellIs" dxfId="41" priority="8" operator="notEqual">
      <formula>J7</formula>
    </cfRule>
  </conditionalFormatting>
  <conditionalFormatting sqref="AK7:AK19">
    <cfRule type="cellIs" dxfId="40" priority="5" operator="notEqual">
      <formula>AL7</formula>
    </cfRule>
  </conditionalFormatting>
  <conditionalFormatting sqref="AL7:AL19">
    <cfRule type="cellIs" dxfId="39" priority="4" operator="notEqual">
      <formula>AK7</formula>
    </cfRule>
  </conditionalFormatting>
  <conditionalFormatting sqref="AG7:AJ19">
    <cfRule type="expression" dxfId="38" priority="3">
      <formula>$BN7</formula>
    </cfRule>
  </conditionalFormatting>
  <conditionalFormatting sqref="AB7:AB19">
    <cfRule type="expression" dxfId="37" priority="2">
      <formula>소장="손상민"</formula>
    </cfRule>
  </conditionalFormatting>
  <conditionalFormatting sqref="AC7:AC19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2" t="str">
        <f>정보!E3</f>
        <v>(SO멍텅구리) 실측서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46"/>
      <c r="I3" s="246"/>
      <c r="J3" s="253"/>
      <c r="K3" s="253"/>
      <c r="L3" s="254"/>
      <c r="M3" s="254"/>
      <c r="N3" s="255"/>
      <c r="O3" s="255"/>
      <c r="P3" s="255"/>
      <c r="Q3" s="250" t="s">
        <v>97</v>
      </c>
      <c r="R3" s="250"/>
      <c r="S3" s="251"/>
      <c r="T3" s="251"/>
      <c r="U3" s="252"/>
      <c r="V3" s="252"/>
      <c r="W3" s="252"/>
    </row>
    <row r="4" spans="1:41" ht="33" customHeight="1" x14ac:dyDescent="0.3">
      <c r="A4" s="170" t="str">
        <f>정보!B14</f>
        <v>제작치수 반영 : JB/JD +(4.4 ),  늘어난치수K -(0),  C + (4.4),  U +(4.4), OP1/OP2 -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69"/>
      <c r="X4" s="169"/>
      <c r="Y4" s="169"/>
      <c r="Z4" s="169"/>
      <c r="AA4" s="169"/>
      <c r="AB4" s="169"/>
      <c r="AC4" s="171"/>
      <c r="AD4" s="180" t="s">
        <v>215</v>
      </c>
      <c r="AE4" s="180"/>
      <c r="AF4" s="81" t="s">
        <v>234</v>
      </c>
    </row>
    <row r="5" spans="1:41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4" t="s">
        <v>4</v>
      </c>
      <c r="G5" s="174" t="s">
        <v>5</v>
      </c>
      <c r="H5" s="174" t="s">
        <v>6</v>
      </c>
      <c r="I5" s="174" t="s">
        <v>7</v>
      </c>
      <c r="J5" s="174" t="s">
        <v>8</v>
      </c>
      <c r="K5" s="174" t="s">
        <v>9</v>
      </c>
      <c r="L5" s="174" t="s">
        <v>10</v>
      </c>
      <c r="M5" s="174" t="s">
        <v>11</v>
      </c>
      <c r="N5" s="174" t="s">
        <v>14</v>
      </c>
      <c r="O5" s="174" t="s">
        <v>15</v>
      </c>
      <c r="P5" s="174" t="s">
        <v>16</v>
      </c>
      <c r="Q5" s="174" t="s">
        <v>17</v>
      </c>
      <c r="R5" s="174" t="s">
        <v>19</v>
      </c>
      <c r="S5" s="174" t="s">
        <v>20</v>
      </c>
      <c r="T5" s="244" t="s">
        <v>22</v>
      </c>
      <c r="U5" s="313" t="s">
        <v>242</v>
      </c>
      <c r="V5" s="314" t="s">
        <v>238</v>
      </c>
      <c r="W5" s="247" t="s">
        <v>21</v>
      </c>
      <c r="X5" s="248"/>
      <c r="Y5" s="248"/>
      <c r="Z5" s="249"/>
      <c r="AA5" s="175" t="s">
        <v>203</v>
      </c>
      <c r="AB5" s="175"/>
      <c r="AC5" s="175"/>
      <c r="AD5" s="178" t="s">
        <v>212</v>
      </c>
      <c r="AE5" s="179"/>
      <c r="AF5" s="80" t="s">
        <v>231</v>
      </c>
    </row>
    <row r="6" spans="1:41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245"/>
      <c r="U6" s="313"/>
      <c r="V6" s="31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>
        <v>7</v>
      </c>
      <c r="X7" s="4">
        <v>7</v>
      </c>
      <c r="Y7" s="4">
        <v>7</v>
      </c>
      <c r="Z7" s="4">
        <v>7</v>
      </c>
      <c r="AA7" s="4"/>
      <c r="AB7" s="4"/>
      <c r="AC7" s="4"/>
      <c r="AD7" s="4"/>
      <c r="AE7" s="4"/>
      <c r="AF7" s="4"/>
      <c r="AG7" s="55"/>
      <c r="AH7" s="3">
        <f t="shared" ref="AH7:AK11" si="0">W7+$AG7</f>
        <v>7</v>
      </c>
      <c r="AI7" s="3">
        <f t="shared" si="0"/>
        <v>7</v>
      </c>
      <c r="AJ7" s="3">
        <f t="shared" si="0"/>
        <v>7</v>
      </c>
      <c r="AK7" s="3">
        <f t="shared" si="0"/>
        <v>7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정보!F3</f>
        <v>(SO멍텅구리) 제작변환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"/>
      <c r="AN1" s="1"/>
      <c r="AO1" s="256" t="s">
        <v>75</v>
      </c>
      <c r="AP1" s="256"/>
      <c r="AQ1" s="256"/>
      <c r="AW1" s="24"/>
    </row>
    <row r="2" spans="1:58" ht="28.5" customHeight="1" x14ac:dyDescent="0.3">
      <c r="A2" s="97" t="s">
        <v>85</v>
      </c>
      <c r="B2" s="140">
        <v>0</v>
      </c>
      <c r="C2" s="349" t="s">
        <v>290</v>
      </c>
      <c r="D2" s="349"/>
      <c r="E2" s="116">
        <v>0</v>
      </c>
      <c r="F2" s="1"/>
      <c r="G2" s="1"/>
      <c r="H2" s="220" t="s">
        <v>81</v>
      </c>
      <c r="I2" s="220"/>
      <c r="J2" s="220"/>
      <c r="K2" s="344">
        <v>0</v>
      </c>
      <c r="L2" s="344"/>
      <c r="M2" s="344"/>
      <c r="N2" s="344"/>
      <c r="O2" s="225" t="s">
        <v>113</v>
      </c>
      <c r="P2" s="225"/>
      <c r="Q2" s="225"/>
      <c r="R2" s="225"/>
      <c r="S2" s="345">
        <v>1</v>
      </c>
      <c r="T2" s="345"/>
      <c r="U2" s="197" t="s">
        <v>103</v>
      </c>
      <c r="V2" s="197"/>
      <c r="W2" s="143">
        <v>0</v>
      </c>
      <c r="X2" s="225" t="s">
        <v>88</v>
      </c>
      <c r="Y2" s="225"/>
      <c r="Z2" s="346">
        <v>4.4000000000000004</v>
      </c>
      <c r="AA2" s="346"/>
      <c r="AB2" s="22"/>
      <c r="AC2" s="196" t="s">
        <v>82</v>
      </c>
      <c r="AD2" s="197"/>
      <c r="AE2" s="347">
        <v>0</v>
      </c>
      <c r="AF2" s="347"/>
      <c r="AG2" s="142" t="s">
        <v>90</v>
      </c>
      <c r="AH2" s="348">
        <v>0</v>
      </c>
      <c r="AI2" s="348"/>
      <c r="AJ2" s="141"/>
      <c r="AK2" s="141"/>
      <c r="AL2" s="141"/>
      <c r="AM2" s="1"/>
      <c r="AN2" s="1"/>
      <c r="AO2" s="256"/>
      <c r="AP2" s="256"/>
      <c r="AQ2" s="256"/>
      <c r="AW2" s="24"/>
    </row>
    <row r="3" spans="1:58" ht="33" customHeight="1" x14ac:dyDescent="0.3">
      <c r="A3" s="33" t="str">
        <f>'SO멍텅(실측)'!A3</f>
        <v>현장명 : 자동작도테스트,   (재질) : HL 1.2T</v>
      </c>
      <c r="B3" s="2"/>
      <c r="C3" s="2"/>
      <c r="D3" s="2"/>
      <c r="E3" s="2"/>
      <c r="F3" s="2"/>
      <c r="G3" s="2"/>
      <c r="H3" s="155"/>
      <c r="I3" s="197" t="s">
        <v>76</v>
      </c>
      <c r="J3" s="197"/>
      <c r="K3" s="227">
        <v>4.4000000000000004</v>
      </c>
      <c r="L3" s="227"/>
      <c r="M3" s="227"/>
      <c r="N3" s="227"/>
      <c r="O3" s="197" t="s">
        <v>77</v>
      </c>
      <c r="P3" s="197"/>
      <c r="Q3" s="204">
        <v>4.4000000000000004</v>
      </c>
      <c r="R3" s="204"/>
      <c r="S3" s="225" t="s">
        <v>227</v>
      </c>
      <c r="T3" s="225"/>
      <c r="U3" s="225"/>
      <c r="V3" s="339">
        <f>BE7</f>
        <v>1</v>
      </c>
      <c r="W3" s="339"/>
      <c r="X3" s="225" t="s">
        <v>78</v>
      </c>
      <c r="Y3" s="225"/>
      <c r="Z3" s="343">
        <v>1.2</v>
      </c>
      <c r="AA3" s="343"/>
      <c r="AB3" s="64"/>
      <c r="AC3" s="156"/>
      <c r="AD3" s="156"/>
      <c r="AE3" s="337" t="s">
        <v>73</v>
      </c>
      <c r="AF3" s="337"/>
      <c r="AG3" s="157">
        <v>4</v>
      </c>
      <c r="AH3" s="142" t="s">
        <v>74</v>
      </c>
      <c r="AI3" s="157">
        <v>4</v>
      </c>
      <c r="AJ3" s="287" t="s">
        <v>327</v>
      </c>
      <c r="AK3" s="288"/>
      <c r="AL3" s="219"/>
      <c r="AM3" s="342">
        <f>AR7</f>
        <v>0</v>
      </c>
      <c r="AN3" s="169"/>
      <c r="AO3" s="25"/>
      <c r="AP3" s="25"/>
      <c r="AQ3" s="24"/>
      <c r="AW3" s="24"/>
    </row>
    <row r="4" spans="1:58" ht="33" customHeight="1" x14ac:dyDescent="0.3">
      <c r="A4" s="170" t="str">
        <f>'SO멍텅(실측)'!A4:AA4</f>
        <v>제작치수 반영 : JB/JD +(4.4 ),  늘어난치수K -(0),  C + (4.4),  U +(4.4), OP1/OP2 -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340" t="s">
        <v>313</v>
      </c>
      <c r="AD4" s="340"/>
      <c r="AE4" s="341">
        <f>'SO멍텅(실측)'!W7</f>
        <v>7</v>
      </c>
      <c r="AF4" s="341"/>
      <c r="AG4" s="158"/>
      <c r="AH4" s="338">
        <f ca="1">TODAY()</f>
        <v>45321</v>
      </c>
      <c r="AI4" s="236"/>
      <c r="AJ4" s="236" t="s">
        <v>235</v>
      </c>
      <c r="AK4" s="236"/>
      <c r="AL4" s="237"/>
      <c r="AM4" s="180" t="s">
        <v>215</v>
      </c>
      <c r="AN4" s="180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5" t="s">
        <v>58</v>
      </c>
      <c r="G5" s="175" t="s">
        <v>59</v>
      </c>
      <c r="H5" s="276" t="s">
        <v>60</v>
      </c>
      <c r="I5" s="276" t="s">
        <v>64</v>
      </c>
      <c r="J5" s="335" t="s">
        <v>65</v>
      </c>
      <c r="K5" s="335" t="s">
        <v>66</v>
      </c>
      <c r="L5" s="320" t="s">
        <v>240</v>
      </c>
      <c r="M5" s="322" t="s">
        <v>241</v>
      </c>
      <c r="N5" s="244" t="s">
        <v>62</v>
      </c>
      <c r="O5" s="244" t="s">
        <v>63</v>
      </c>
      <c r="P5" s="174" t="s">
        <v>8</v>
      </c>
      <c r="Q5" s="174" t="s">
        <v>9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278" t="s">
        <v>20</v>
      </c>
      <c r="Z5" s="244" t="s">
        <v>22</v>
      </c>
      <c r="AA5" s="313" t="s">
        <v>242</v>
      </c>
      <c r="AB5" s="314" t="s">
        <v>238</v>
      </c>
      <c r="AC5" s="247" t="s">
        <v>21</v>
      </c>
      <c r="AD5" s="248"/>
      <c r="AE5" s="248"/>
      <c r="AF5" s="249"/>
      <c r="AG5" s="175" t="s">
        <v>25</v>
      </c>
      <c r="AH5" s="280" t="s">
        <v>34</v>
      </c>
      <c r="AI5" s="175" t="s">
        <v>35</v>
      </c>
      <c r="AJ5" s="317" t="s">
        <v>203</v>
      </c>
      <c r="AK5" s="317"/>
      <c r="AL5" s="317"/>
      <c r="AM5" s="178" t="s">
        <v>212</v>
      </c>
      <c r="AN5" s="179"/>
      <c r="AO5" s="184" t="s">
        <v>305</v>
      </c>
      <c r="AP5" s="184" t="s">
        <v>306</v>
      </c>
      <c r="AQ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277"/>
      <c r="I6" s="277"/>
      <c r="J6" s="336"/>
      <c r="K6" s="336"/>
      <c r="L6" s="321"/>
      <c r="M6" s="323"/>
      <c r="N6" s="245"/>
      <c r="O6" s="245"/>
      <c r="P6" s="174"/>
      <c r="Q6" s="174"/>
      <c r="R6" s="174"/>
      <c r="S6" s="174"/>
      <c r="T6" s="174"/>
      <c r="U6" s="174"/>
      <c r="V6" s="174"/>
      <c r="W6" s="174"/>
      <c r="X6" s="174"/>
      <c r="Y6" s="278"/>
      <c r="Z6" s="245"/>
      <c r="AA6" s="313"/>
      <c r="AB6" s="314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79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11.4</v>
      </c>
      <c r="G7" s="4">
        <f>'SO멍텅(실측)'!G7+MAX(AO7,AP7)+IF(BE7=1,AE7,0)+SO멍텅JBJD늘림치수</f>
        <v>11.4</v>
      </c>
      <c r="H7" s="4">
        <f>'SO멍텅(실측)'!H7+AO7+IF(BE7=1,AC7,0)+SO멍텅JB강제키움+SO멍텅JBJD늘림치수</f>
        <v>11.4</v>
      </c>
      <c r="I7" s="4">
        <f>'SO멍텅(실측)'!H7+AO7+IF(BE7=1,AD7,0)+SO멍텅JB강제키움+SO멍텅JBJD늘림치수-IF(SO멍텅JB하부늘치=1,'SO멍텅(실측)'!W7-'SO멍텅(실측)'!X7,0)</f>
        <v>11.4</v>
      </c>
      <c r="J7" s="4">
        <f>'SO멍텅(실측)'!I7+AP7+IF(BE7=1,AE7,0)+SO멍텅JB강제키움+SO멍텅JBJD늘림치수</f>
        <v>11.4</v>
      </c>
      <c r="K7" s="4">
        <f>'SO멍텅(실측)'!I7+AP7+IF(BE7=1,AF7,0)+SO멍텅JB강제키움+SO멍텅JBJD늘림치수-IF(SO멍텅JB하부늘치=1,'SO멍텅(실측)'!Y7-'SO멍텅(실측)'!Z7,0)</f>
        <v>11.4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7</v>
      </c>
      <c r="AD7" s="13">
        <f>IF(SO멍텅JB하부늘치=1,AC7,'SO멍텅(실측)'!X7-SO멍텅늘치차감)</f>
        <v>7</v>
      </c>
      <c r="AE7" s="13">
        <f>'SO멍텅(실측)'!Y7-SO멍텅늘치차감</f>
        <v>7</v>
      </c>
      <c r="AF7" s="13">
        <f>IF(SO멍텅JB하부늘치=1,AE7,'SO멍텅(실측)'!Z7-SO멍텅늘치차감)</f>
        <v>7</v>
      </c>
      <c r="AG7" s="11" t="str">
        <f t="shared" ref="AG7" si="1">AW7&amp;"*"&amp;AX7</f>
        <v>0*9</v>
      </c>
      <c r="AH7" s="12" t="str">
        <f t="shared" ref="AH7" si="2">AZ7&amp;"*"&amp;AY7</f>
        <v>0*10</v>
      </c>
      <c r="AI7" s="10" t="str">
        <f t="shared" ref="AI7" si="3">BB7&amp;"*"&amp;BA7</f>
        <v>0*10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9</v>
      </c>
      <c r="AY7" s="3">
        <f>R7+P7+MAX(H7,I7)+AA7-1.2*$AI$3+IF(BE7=0,MAX(AC7,AD7))+IF(R7=0,1.2,0)-IF(AL7=90,2.4,0)</f>
        <v>10</v>
      </c>
      <c r="AZ7" s="3">
        <f t="shared" ref="AZ7" si="5">MAX(T7,U7)</f>
        <v>0</v>
      </c>
      <c r="BA7" s="3">
        <f>S7+Q7+MAX(J7,K7)+AB7-1.2*$AI$3+IF(BE7=0,MAX(AE7,AF7))+IF(S7=0,1.2,0)-IF(AL7=90,2.4,0)</f>
        <v>10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3" t="str">
        <f>정보!H2</f>
        <v>(4CO와이드) 실측서 ( 자동작도테스트 ) _손상민소장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3"/>
      <c r="AC2" s="173"/>
      <c r="AD2" s="173"/>
      <c r="AE2" s="173"/>
      <c r="AF2" s="173"/>
      <c r="AG2" s="173"/>
      <c r="AH2" s="173"/>
      <c r="AI2" s="173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1" t="s">
        <v>98</v>
      </c>
      <c r="P3" s="181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3"/>
      <c r="AC3" s="173"/>
      <c r="AD3" s="173"/>
      <c r="AE3" s="173"/>
      <c r="AF3" s="173"/>
      <c r="AG3" s="173"/>
      <c r="AH3" s="173"/>
      <c r="AI3" s="173"/>
      <c r="AJ3" s="34"/>
      <c r="AK3" s="34"/>
      <c r="AL3" s="34"/>
      <c r="AM3" s="34"/>
    </row>
    <row r="4" spans="1:48" ht="33" customHeight="1" x14ac:dyDescent="0.3">
      <c r="A4" s="312" t="str">
        <f>정보!B15</f>
        <v>제작치수 반영 : MH + (1.2), JB/JD +(4.4 ),  늘어난치수K -(0),  C + (4.4),   U + (4.4), OP1/OP3 - (0), R - (0),  기둥차감 - (0), A + (1.2)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169"/>
      <c r="Y4" s="169"/>
      <c r="Z4" s="169"/>
      <c r="AA4" s="169"/>
      <c r="AB4" s="169"/>
      <c r="AC4" s="169"/>
      <c r="AD4" s="169"/>
      <c r="AE4" s="169"/>
      <c r="AF4" s="169"/>
      <c r="AG4" s="171"/>
      <c r="AH4" s="180" t="s">
        <v>215</v>
      </c>
      <c r="AI4" s="180"/>
      <c r="AJ4" s="75"/>
      <c r="AK4" s="9"/>
      <c r="AL4" s="9"/>
      <c r="AM4" s="9"/>
    </row>
    <row r="5" spans="1:48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254</v>
      </c>
      <c r="F5" s="174" t="s">
        <v>239</v>
      </c>
      <c r="G5" s="174" t="s">
        <v>255</v>
      </c>
      <c r="H5" s="174" t="s">
        <v>18</v>
      </c>
      <c r="I5" s="174" t="s">
        <v>4</v>
      </c>
      <c r="J5" s="174" t="s">
        <v>5</v>
      </c>
      <c r="K5" s="174" t="s">
        <v>256</v>
      </c>
      <c r="L5" s="174" t="s">
        <v>6</v>
      </c>
      <c r="M5" s="174" t="s">
        <v>7</v>
      </c>
      <c r="N5" s="174" t="s">
        <v>47</v>
      </c>
      <c r="O5" s="174" t="s">
        <v>9</v>
      </c>
      <c r="P5" s="174" t="s">
        <v>12</v>
      </c>
      <c r="Q5" s="174" t="s">
        <v>13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175" t="s">
        <v>48</v>
      </c>
      <c r="Z5" s="175" t="s">
        <v>22</v>
      </c>
      <c r="AA5" s="175" t="s">
        <v>23</v>
      </c>
      <c r="AB5" s="174" t="s">
        <v>21</v>
      </c>
      <c r="AC5" s="174"/>
      <c r="AD5" s="174"/>
      <c r="AE5" s="174"/>
      <c r="AF5" s="176" t="s">
        <v>91</v>
      </c>
      <c r="AG5" s="176" t="s">
        <v>92</v>
      </c>
      <c r="AH5" s="178" t="s">
        <v>212</v>
      </c>
      <c r="AI5" s="179"/>
      <c r="AJ5" s="175" t="s">
        <v>199</v>
      </c>
      <c r="AK5" s="175" t="s">
        <v>203</v>
      </c>
      <c r="AL5" s="175"/>
      <c r="AM5" s="175"/>
    </row>
    <row r="6" spans="1:48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5"/>
      <c r="AA6" s="175"/>
      <c r="AB6" s="8" t="s">
        <v>43</v>
      </c>
      <c r="AC6" s="8" t="s">
        <v>44</v>
      </c>
      <c r="AD6" s="8" t="s">
        <v>45</v>
      </c>
      <c r="AE6" s="8" t="s">
        <v>46</v>
      </c>
      <c r="AF6" s="177"/>
      <c r="AG6" s="177"/>
      <c r="AH6" s="74" t="s">
        <v>213</v>
      </c>
      <c r="AI6" s="74" t="s">
        <v>214</v>
      </c>
      <c r="AJ6" s="174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3" sqref="A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3" t="str">
        <f>정보!I2</f>
        <v>(4CO와이드) 제작변환 ( 자동작도테스트 ) _손상민소장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24" t="s">
        <v>113</v>
      </c>
      <c r="M2" s="225"/>
      <c r="N2" s="225"/>
      <c r="O2" s="225"/>
      <c r="P2" s="225"/>
      <c r="Q2" s="225"/>
      <c r="R2" s="226">
        <v>1</v>
      </c>
      <c r="S2" s="226"/>
      <c r="T2" s="196" t="s">
        <v>89</v>
      </c>
      <c r="U2" s="197"/>
      <c r="V2" s="198">
        <v>4.4000000000000004</v>
      </c>
      <c r="W2" s="198"/>
      <c r="X2" s="290" t="s">
        <v>83</v>
      </c>
      <c r="Y2" s="205"/>
      <c r="Z2" s="205"/>
      <c r="AA2" s="201">
        <v>0</v>
      </c>
      <c r="AB2" s="201"/>
      <c r="AC2" s="331">
        <f>정보!B5</f>
        <v>0</v>
      </c>
      <c r="AD2" s="332"/>
      <c r="AE2" s="332"/>
      <c r="AF2" s="332"/>
      <c r="AG2" s="332"/>
      <c r="AH2" s="332"/>
      <c r="AI2" s="332"/>
      <c r="AJ2" s="332"/>
      <c r="AK2" s="332"/>
      <c r="AL2" s="333"/>
      <c r="AM2" s="196" t="s">
        <v>90</v>
      </c>
      <c r="AN2" s="197"/>
      <c r="AO2" s="350">
        <v>0</v>
      </c>
      <c r="AP2" s="350"/>
      <c r="AQ2" s="1"/>
      <c r="AR2" s="328" t="s">
        <v>229</v>
      </c>
      <c r="AS2" s="329"/>
      <c r="AT2" s="330">
        <v>1.2</v>
      </c>
      <c r="AU2" s="330"/>
      <c r="AV2" s="1"/>
      <c r="AW2" s="1"/>
    </row>
    <row r="3" spans="1:66" ht="24.75" customHeight="1" x14ac:dyDescent="0.3">
      <c r="A3" s="28" t="str">
        <f>'4CO와이드(실측)'!A3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5" t="s">
        <v>228</v>
      </c>
      <c r="M3" s="225"/>
      <c r="N3" s="225"/>
      <c r="O3" s="225"/>
      <c r="P3" s="225"/>
      <c r="Q3" s="225"/>
      <c r="R3" s="227">
        <v>4.4000000000000004</v>
      </c>
      <c r="S3" s="227"/>
      <c r="T3" s="197" t="s">
        <v>77</v>
      </c>
      <c r="U3" s="197"/>
      <c r="V3" s="204">
        <v>4.4000000000000004</v>
      </c>
      <c r="W3" s="204"/>
      <c r="X3" s="205" t="s">
        <v>227</v>
      </c>
      <c r="Y3" s="205"/>
      <c r="Z3" s="205"/>
      <c r="AA3" s="206">
        <f>BN7</f>
        <v>1</v>
      </c>
      <c r="AB3" s="206"/>
      <c r="AC3" s="205" t="s">
        <v>78</v>
      </c>
      <c r="AD3" s="205"/>
      <c r="AE3" s="334">
        <v>1.2</v>
      </c>
      <c r="AF3" s="334"/>
      <c r="AJ3" s="185"/>
      <c r="AK3" s="185"/>
      <c r="AL3" s="3"/>
      <c r="AM3" s="174" t="s">
        <v>73</v>
      </c>
      <c r="AN3" s="174"/>
      <c r="AO3" s="114">
        <v>5</v>
      </c>
      <c r="AP3" s="4" t="s">
        <v>74</v>
      </c>
      <c r="AQ3" s="115">
        <v>4</v>
      </c>
      <c r="AR3" s="232" t="s">
        <v>230</v>
      </c>
      <c r="AS3" s="232"/>
      <c r="AT3" s="351" t="s">
        <v>328</v>
      </c>
      <c r="AU3" s="351"/>
      <c r="AV3" s="238">
        <f>AZ7</f>
        <v>0</v>
      </c>
      <c r="AW3" s="239"/>
      <c r="BN3" s="184" t="s">
        <v>253</v>
      </c>
    </row>
    <row r="4" spans="1:66" ht="33" customHeight="1" x14ac:dyDescent="0.3">
      <c r="A4" s="170" t="str">
        <f>정보!B15</f>
        <v>제작치수 반영 : MH + (1.2), JB/JD +(4.4 ),  늘어난치수K -(0),  C + (4.4),   U + (4.4), OP1/OP3 -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352" t="s">
        <v>314</v>
      </c>
      <c r="AI4" s="352"/>
      <c r="AJ4" s="352">
        <f>'4CO와이드(실측)'!AB7</f>
        <v>0</v>
      </c>
      <c r="AK4" s="352"/>
      <c r="AL4" s="229">
        <f ca="1">TODAY()</f>
        <v>45321</v>
      </c>
      <c r="AM4" s="169"/>
      <c r="AN4" s="169"/>
      <c r="AO4" s="9"/>
      <c r="AP4" s="228" t="s">
        <v>117</v>
      </c>
      <c r="AQ4" s="228"/>
      <c r="AR4" s="180" t="s">
        <v>215</v>
      </c>
      <c r="AS4" s="180"/>
      <c r="AT4" s="84"/>
      <c r="AU4" s="236" t="s">
        <v>235</v>
      </c>
      <c r="AV4" s="236"/>
      <c r="AW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259</v>
      </c>
      <c r="F5" s="175" t="s">
        <v>261</v>
      </c>
      <c r="G5" s="174" t="s">
        <v>260</v>
      </c>
      <c r="H5" s="174" t="s">
        <v>18</v>
      </c>
      <c r="I5" s="213" t="s">
        <v>41</v>
      </c>
      <c r="J5" s="277" t="s">
        <v>42</v>
      </c>
      <c r="K5" s="277" t="s">
        <v>262</v>
      </c>
      <c r="L5" s="210" t="s">
        <v>105</v>
      </c>
      <c r="M5" s="210" t="s">
        <v>106</v>
      </c>
      <c r="N5" s="214" t="s">
        <v>107</v>
      </c>
      <c r="O5" s="214" t="s">
        <v>108</v>
      </c>
      <c r="P5" s="320" t="s">
        <v>296</v>
      </c>
      <c r="Q5" s="320" t="s">
        <v>297</v>
      </c>
      <c r="R5" s="216" t="s">
        <v>71</v>
      </c>
      <c r="S5" s="216" t="s">
        <v>72</v>
      </c>
      <c r="T5" s="174" t="s">
        <v>8</v>
      </c>
      <c r="U5" s="174" t="s">
        <v>9</v>
      </c>
      <c r="V5" s="174" t="s">
        <v>12</v>
      </c>
      <c r="W5" s="174" t="s">
        <v>13</v>
      </c>
      <c r="X5" s="174" t="s">
        <v>10</v>
      </c>
      <c r="Y5" s="174" t="s">
        <v>11</v>
      </c>
      <c r="Z5" s="212" t="s">
        <v>14</v>
      </c>
      <c r="AA5" s="212" t="s">
        <v>15</v>
      </c>
      <c r="AB5" s="213" t="s">
        <v>16</v>
      </c>
      <c r="AC5" s="213" t="s">
        <v>17</v>
      </c>
      <c r="AD5" s="174" t="s">
        <v>19</v>
      </c>
      <c r="AE5" s="174" t="s">
        <v>20</v>
      </c>
      <c r="AF5" s="175" t="s">
        <v>22</v>
      </c>
      <c r="AG5" s="175" t="s">
        <v>23</v>
      </c>
      <c r="AH5" s="202" t="s">
        <v>79</v>
      </c>
      <c r="AI5" s="203"/>
      <c r="AJ5" s="203"/>
      <c r="AK5" s="203"/>
      <c r="AL5" s="194" t="s">
        <v>91</v>
      </c>
      <c r="AM5" s="194" t="s">
        <v>92</v>
      </c>
      <c r="AN5" s="186" t="s">
        <v>99</v>
      </c>
      <c r="AO5" s="175" t="s">
        <v>61</v>
      </c>
      <c r="AP5" s="175" t="s">
        <v>34</v>
      </c>
      <c r="AQ5" s="175" t="s">
        <v>35</v>
      </c>
      <c r="AR5" s="178" t="s">
        <v>212</v>
      </c>
      <c r="AS5" s="179"/>
      <c r="AT5" s="317" t="s">
        <v>199</v>
      </c>
      <c r="AU5" s="317" t="s">
        <v>204</v>
      </c>
      <c r="AV5" s="317"/>
      <c r="AW5" s="317"/>
      <c r="AX5" s="184" t="s">
        <v>100</v>
      </c>
      <c r="AY5" s="184" t="s">
        <v>101</v>
      </c>
      <c r="AZ5" s="185" t="s">
        <v>80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174"/>
      <c r="I6" s="213"/>
      <c r="J6" s="277"/>
      <c r="K6" s="277"/>
      <c r="L6" s="211"/>
      <c r="M6" s="211"/>
      <c r="N6" s="215"/>
      <c r="O6" s="215"/>
      <c r="P6" s="321"/>
      <c r="Q6" s="321"/>
      <c r="R6" s="217"/>
      <c r="S6" s="217"/>
      <c r="T6" s="174"/>
      <c r="U6" s="174"/>
      <c r="V6" s="174"/>
      <c r="W6" s="174"/>
      <c r="X6" s="174"/>
      <c r="Y6" s="174"/>
      <c r="Z6" s="212"/>
      <c r="AA6" s="212"/>
      <c r="AB6" s="213"/>
      <c r="AC6" s="213"/>
      <c r="AD6" s="174"/>
      <c r="AE6" s="174"/>
      <c r="AF6" s="175"/>
      <c r="AG6" s="175"/>
      <c r="AH6" s="8" t="s">
        <v>67</v>
      </c>
      <c r="AI6" s="8" t="s">
        <v>68</v>
      </c>
      <c r="AJ6" s="8" t="s">
        <v>69</v>
      </c>
      <c r="AK6" s="8" t="s">
        <v>70</v>
      </c>
      <c r="AL6" s="195"/>
      <c r="AM6" s="195"/>
      <c r="AN6" s="187"/>
      <c r="AO6" s="175"/>
      <c r="AP6" s="174"/>
      <c r="AQ6" s="174"/>
      <c r="AR6" s="74" t="s">
        <v>213</v>
      </c>
      <c r="AS6" s="74" t="s">
        <v>214</v>
      </c>
      <c r="AT6" s="318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2" t="str">
        <f>정보!H3</f>
        <v>(4CO멍텅구리) 실측서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46"/>
      <c r="K3" s="246"/>
      <c r="L3" s="253"/>
      <c r="M3" s="253"/>
      <c r="N3" s="254"/>
      <c r="O3" s="254"/>
      <c r="P3" s="255"/>
      <c r="Q3" s="255"/>
      <c r="R3" s="255"/>
      <c r="S3" s="250" t="s">
        <v>97</v>
      </c>
      <c r="T3" s="250"/>
      <c r="U3" s="251"/>
      <c r="V3" s="251"/>
      <c r="W3" s="252"/>
      <c r="X3" s="252"/>
    </row>
    <row r="4" spans="1:42" ht="33" customHeight="1" x14ac:dyDescent="0.3">
      <c r="A4" s="170" t="str">
        <f>정보!B16</f>
        <v>제작치수 반영 : JB/JD +(4.4 ),  늘어난치수K -(0),  C + (4.4),  U +(4.4), OP1/OP3 -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9"/>
      <c r="AD4" s="9"/>
      <c r="AE4" s="180" t="s">
        <v>215</v>
      </c>
      <c r="AF4" s="180"/>
      <c r="AG4" s="81" t="s">
        <v>234</v>
      </c>
    </row>
    <row r="5" spans="1:42" ht="25.9" customHeight="1" x14ac:dyDescent="0.3">
      <c r="A5" s="174" t="s">
        <v>0</v>
      </c>
      <c r="B5" s="174" t="s">
        <v>1</v>
      </c>
      <c r="C5" s="174" t="s">
        <v>263</v>
      </c>
      <c r="D5" s="174" t="s">
        <v>264</v>
      </c>
      <c r="E5" s="174" t="s">
        <v>255</v>
      </c>
      <c r="F5" s="174" t="s">
        <v>18</v>
      </c>
      <c r="G5" s="174" t="s">
        <v>4</v>
      </c>
      <c r="H5" s="174" t="s">
        <v>265</v>
      </c>
      <c r="I5" s="174" t="s">
        <v>266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10</v>
      </c>
      <c r="O5" s="174" t="s">
        <v>11</v>
      </c>
      <c r="P5" s="174" t="s">
        <v>14</v>
      </c>
      <c r="Q5" s="174" t="s">
        <v>15</v>
      </c>
      <c r="R5" s="174" t="s">
        <v>16</v>
      </c>
      <c r="S5" s="174" t="s">
        <v>17</v>
      </c>
      <c r="T5" s="174" t="s">
        <v>19</v>
      </c>
      <c r="U5" s="174" t="s">
        <v>20</v>
      </c>
      <c r="V5" s="244" t="s">
        <v>22</v>
      </c>
      <c r="W5" s="244" t="s">
        <v>23</v>
      </c>
      <c r="X5" s="247" t="s">
        <v>21</v>
      </c>
      <c r="Y5" s="248"/>
      <c r="Z5" s="248"/>
      <c r="AA5" s="249"/>
      <c r="AB5" s="175" t="s">
        <v>203</v>
      </c>
      <c r="AC5" s="175"/>
      <c r="AD5" s="175"/>
      <c r="AE5" s="178" t="s">
        <v>212</v>
      </c>
      <c r="AF5" s="179"/>
      <c r="AG5" s="80" t="s">
        <v>231</v>
      </c>
    </row>
    <row r="6" spans="1:42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245"/>
      <c r="W6" s="245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Z7" sqref="Z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정보!I3</f>
        <v>(4CO멍텅구리) 제작변환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"/>
      <c r="AO1" s="1"/>
      <c r="AP1" s="256" t="s">
        <v>75</v>
      </c>
      <c r="AQ1" s="256"/>
      <c r="AR1" s="256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20" t="s">
        <v>307</v>
      </c>
      <c r="K2" s="220"/>
      <c r="L2" s="220"/>
      <c r="M2" s="107">
        <v>0</v>
      </c>
      <c r="N2" s="99"/>
      <c r="O2" s="99"/>
      <c r="P2" s="99"/>
      <c r="Q2" s="272" t="s">
        <v>113</v>
      </c>
      <c r="R2" s="272"/>
      <c r="S2" s="272"/>
      <c r="T2" s="272"/>
      <c r="U2" s="267">
        <v>1</v>
      </c>
      <c r="V2" s="267"/>
      <c r="W2" s="264" t="s">
        <v>103</v>
      </c>
      <c r="X2" s="265"/>
      <c r="Y2" s="95">
        <v>0</v>
      </c>
      <c r="Z2" s="264" t="s">
        <v>88</v>
      </c>
      <c r="AA2" s="265"/>
      <c r="AB2" s="94">
        <v>4.4000000000000004</v>
      </c>
      <c r="AC2" s="69"/>
      <c r="AD2" s="258" t="s">
        <v>82</v>
      </c>
      <c r="AE2" s="259"/>
      <c r="AF2" s="353">
        <v>0</v>
      </c>
      <c r="AG2" s="353"/>
      <c r="AH2" s="98" t="s">
        <v>114</v>
      </c>
      <c r="AI2" s="354">
        <v>0</v>
      </c>
      <c r="AJ2" s="354"/>
      <c r="AK2" s="1"/>
      <c r="AL2" s="1"/>
      <c r="AM2" s="1"/>
      <c r="AN2" s="1"/>
      <c r="AO2" s="1"/>
      <c r="AP2" s="256"/>
      <c r="AQ2" s="256"/>
      <c r="AR2" s="256"/>
      <c r="AW2" s="24"/>
    </row>
    <row r="3" spans="1:58" ht="33" customHeight="1" x14ac:dyDescent="0.3">
      <c r="A3" s="33" t="str">
        <f>'4CO멍텅(실측)'!A3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4.4000000000000004</v>
      </c>
      <c r="N3" s="100"/>
      <c r="O3" s="100"/>
      <c r="P3" s="100"/>
      <c r="Q3" s="258" t="s">
        <v>77</v>
      </c>
      <c r="R3" s="258"/>
      <c r="S3" s="271">
        <v>4.4000000000000004</v>
      </c>
      <c r="T3" s="271"/>
      <c r="U3" s="272" t="s">
        <v>227</v>
      </c>
      <c r="V3" s="272"/>
      <c r="W3" s="272"/>
      <c r="X3" s="273">
        <f>BE7</f>
        <v>1</v>
      </c>
      <c r="Y3" s="273"/>
      <c r="Z3" s="268" t="s">
        <v>78</v>
      </c>
      <c r="AA3" s="268"/>
      <c r="AB3" s="93">
        <v>1.2</v>
      </c>
      <c r="AC3" s="101"/>
      <c r="AF3" s="216" t="s">
        <v>73</v>
      </c>
      <c r="AG3" s="216"/>
      <c r="AH3" s="114">
        <v>4</v>
      </c>
      <c r="AI3" s="4" t="s">
        <v>74</v>
      </c>
      <c r="AJ3" s="115">
        <v>4</v>
      </c>
      <c r="AK3" s="287" t="s">
        <v>329</v>
      </c>
      <c r="AL3" s="21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0" t="str">
        <f>'4CO멍텅(실측)'!A4:AB4</f>
        <v>제작치수 반영 : JB/JD +(4.4 ),  늘어난치수K -(0),  C + (4.4),  U +(4.4), OP1/OP3 -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352" t="s">
        <v>312</v>
      </c>
      <c r="AE4" s="352"/>
      <c r="AF4" s="352">
        <f>'4CO멍텅(실측)'!X7</f>
        <v>0</v>
      </c>
      <c r="AG4" s="352"/>
      <c r="AH4" s="9"/>
      <c r="AI4" s="229">
        <f ca="1">TODAY()</f>
        <v>45321</v>
      </c>
      <c r="AJ4" s="169"/>
      <c r="AK4" s="285" t="s">
        <v>235</v>
      </c>
      <c r="AL4" s="285"/>
      <c r="AM4" s="286"/>
      <c r="AN4" s="180" t="s">
        <v>215</v>
      </c>
      <c r="AO4" s="180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267</v>
      </c>
      <c r="D5" s="175" t="s">
        <v>261</v>
      </c>
      <c r="E5" s="174" t="s">
        <v>268</v>
      </c>
      <c r="F5" s="174" t="s">
        <v>18</v>
      </c>
      <c r="G5" s="175" t="s">
        <v>58</v>
      </c>
      <c r="H5" s="175" t="s">
        <v>269</v>
      </c>
      <c r="I5" s="175" t="s">
        <v>270</v>
      </c>
      <c r="J5" s="276" t="s">
        <v>60</v>
      </c>
      <c r="K5" s="276" t="s">
        <v>64</v>
      </c>
      <c r="L5" s="335" t="s">
        <v>65</v>
      </c>
      <c r="M5" s="335" t="s">
        <v>66</v>
      </c>
      <c r="N5" s="320" t="s">
        <v>294</v>
      </c>
      <c r="O5" s="320" t="s">
        <v>295</v>
      </c>
      <c r="P5" s="244" t="s">
        <v>62</v>
      </c>
      <c r="Q5" s="244" t="s">
        <v>63</v>
      </c>
      <c r="R5" s="174" t="s">
        <v>8</v>
      </c>
      <c r="S5" s="174" t="s">
        <v>9</v>
      </c>
      <c r="T5" s="174" t="s">
        <v>10</v>
      </c>
      <c r="U5" s="174" t="s">
        <v>11</v>
      </c>
      <c r="V5" s="174" t="s">
        <v>14</v>
      </c>
      <c r="W5" s="174" t="s">
        <v>15</v>
      </c>
      <c r="X5" s="174" t="s">
        <v>16</v>
      </c>
      <c r="Y5" s="174" t="s">
        <v>17</v>
      </c>
      <c r="Z5" s="174" t="s">
        <v>19</v>
      </c>
      <c r="AA5" s="174" t="s">
        <v>20</v>
      </c>
      <c r="AB5" s="244" t="s">
        <v>22</v>
      </c>
      <c r="AC5" s="244" t="s">
        <v>23</v>
      </c>
      <c r="AD5" s="247" t="s">
        <v>21</v>
      </c>
      <c r="AE5" s="248"/>
      <c r="AF5" s="248"/>
      <c r="AG5" s="249"/>
      <c r="AH5" s="175" t="s">
        <v>25</v>
      </c>
      <c r="AI5" s="280" t="s">
        <v>34</v>
      </c>
      <c r="AJ5" s="175" t="s">
        <v>35</v>
      </c>
      <c r="AK5" s="317" t="s">
        <v>203</v>
      </c>
      <c r="AL5" s="317"/>
      <c r="AM5" s="317"/>
      <c r="AN5" s="178" t="s">
        <v>212</v>
      </c>
      <c r="AO5" s="179"/>
      <c r="AP5" s="184" t="s">
        <v>305</v>
      </c>
      <c r="AQ5" s="184" t="s">
        <v>306</v>
      </c>
      <c r="AR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277"/>
      <c r="K6" s="277"/>
      <c r="L6" s="336"/>
      <c r="M6" s="336"/>
      <c r="N6" s="321"/>
      <c r="O6" s="321"/>
      <c r="P6" s="245"/>
      <c r="Q6" s="245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245"/>
      <c r="AC6" s="245"/>
      <c r="AD6" s="8" t="s">
        <v>56</v>
      </c>
      <c r="AE6" s="8" t="s">
        <v>57</v>
      </c>
      <c r="AF6" s="8" t="s">
        <v>54</v>
      </c>
      <c r="AG6" s="8" t="s">
        <v>55</v>
      </c>
      <c r="AH6" s="174"/>
      <c r="AI6" s="281"/>
      <c r="AJ6" s="174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79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IF(BE7=0,H7+AD7-(I7+AD7),H7-I7)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2" t="str">
        <f>정보!K2</f>
        <v>(2UP) 실측서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6"/>
      <c r="H3" s="246"/>
      <c r="I3" s="246"/>
      <c r="J3" s="23"/>
      <c r="K3" s="253"/>
      <c r="L3" s="253"/>
      <c r="M3" s="254"/>
      <c r="N3" s="254"/>
      <c r="O3" s="255"/>
      <c r="P3" s="255"/>
      <c r="Q3" s="255"/>
      <c r="R3" s="120"/>
      <c r="S3" s="250" t="s">
        <v>97</v>
      </c>
      <c r="T3" s="250"/>
      <c r="U3" s="250"/>
      <c r="V3" s="251"/>
      <c r="W3" s="251"/>
      <c r="X3" s="252"/>
      <c r="Y3" s="252"/>
    </row>
    <row r="4" spans="1:40" ht="33" customHeight="1" x14ac:dyDescent="0.3">
      <c r="A4" s="170" t="str">
        <f>정보!B17</f>
        <v>제작치수 반영 : JB/JD +(4.4 ),  늘어난치수K -(0),  C + (4.4),   U + (4.4), OP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80" t="s">
        <v>215</v>
      </c>
      <c r="AD4" s="180"/>
      <c r="AE4" s="81" t="s">
        <v>234</v>
      </c>
    </row>
    <row r="5" spans="1:4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275</v>
      </c>
      <c r="I5" s="335" t="s">
        <v>276</v>
      </c>
      <c r="J5" s="335" t="s">
        <v>277</v>
      </c>
      <c r="K5" s="174" t="s">
        <v>8</v>
      </c>
      <c r="L5" s="174" t="s">
        <v>9</v>
      </c>
      <c r="M5" s="174" t="s">
        <v>10</v>
      </c>
      <c r="N5" s="174" t="s">
        <v>11</v>
      </c>
      <c r="O5" s="357" t="s">
        <v>14</v>
      </c>
      <c r="P5" s="355" t="s">
        <v>282</v>
      </c>
      <c r="Q5" s="355" t="s">
        <v>283</v>
      </c>
      <c r="R5" s="335" t="s">
        <v>129</v>
      </c>
      <c r="S5" s="335" t="s">
        <v>280</v>
      </c>
      <c r="T5" s="335" t="s">
        <v>281</v>
      </c>
      <c r="U5" s="174" t="s">
        <v>19</v>
      </c>
      <c r="V5" s="174" t="s">
        <v>20</v>
      </c>
      <c r="W5" s="244" t="s">
        <v>22</v>
      </c>
      <c r="X5" s="244" t="s">
        <v>23</v>
      </c>
      <c r="Y5" s="247" t="s">
        <v>21</v>
      </c>
      <c r="Z5" s="248"/>
      <c r="AA5" s="248"/>
      <c r="AB5" s="249"/>
      <c r="AC5" s="178" t="s">
        <v>212</v>
      </c>
      <c r="AD5" s="179"/>
      <c r="AE5" s="80" t="s">
        <v>231</v>
      </c>
    </row>
    <row r="6" spans="1:40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336"/>
      <c r="J6" s="336"/>
      <c r="K6" s="174"/>
      <c r="L6" s="174"/>
      <c r="M6" s="174"/>
      <c r="N6" s="174"/>
      <c r="O6" s="356"/>
      <c r="P6" s="356"/>
      <c r="Q6" s="356"/>
      <c r="R6" s="336"/>
      <c r="S6" s="336"/>
      <c r="T6" s="336"/>
      <c r="U6" s="174"/>
      <c r="V6" s="174"/>
      <c r="W6" s="245"/>
      <c r="X6" s="245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2" t="str">
        <f>정보!L2</f>
        <v>(2UP) 제작변환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"/>
      <c r="AK1" s="1"/>
      <c r="AL1" s="256" t="s">
        <v>75</v>
      </c>
      <c r="AM1" s="256"/>
      <c r="AN1" s="256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20" t="s">
        <v>308</v>
      </c>
      <c r="H2" s="220"/>
      <c r="I2" s="220"/>
      <c r="J2" s="269">
        <v>0</v>
      </c>
      <c r="K2" s="269"/>
      <c r="L2" s="269"/>
      <c r="M2" s="269"/>
      <c r="N2" s="358" t="s">
        <v>113</v>
      </c>
      <c r="O2" s="358"/>
      <c r="P2" s="358"/>
      <c r="Q2" s="358"/>
      <c r="R2" s="267">
        <v>1</v>
      </c>
      <c r="S2" s="267"/>
      <c r="T2" s="359" t="s">
        <v>103</v>
      </c>
      <c r="U2" s="360"/>
      <c r="V2" s="361"/>
      <c r="W2" s="108">
        <v>0</v>
      </c>
      <c r="X2" s="121"/>
      <c r="Y2" s="264" t="s">
        <v>88</v>
      </c>
      <c r="Z2" s="265"/>
      <c r="AA2" s="262">
        <v>4.4000000000000004</v>
      </c>
      <c r="AB2" s="262"/>
      <c r="AC2" s="258" t="s">
        <v>82</v>
      </c>
      <c r="AD2" s="259"/>
      <c r="AE2" s="260">
        <v>0</v>
      </c>
      <c r="AF2" s="260"/>
      <c r="AG2" s="98" t="s">
        <v>114</v>
      </c>
      <c r="AH2" s="257">
        <v>0</v>
      </c>
      <c r="AI2" s="257"/>
      <c r="AJ2" s="1"/>
      <c r="AK2" s="1"/>
      <c r="AL2" s="256"/>
      <c r="AM2" s="256"/>
      <c r="AN2" s="256"/>
      <c r="AS2" s="24"/>
    </row>
    <row r="3" spans="1:54" ht="33" customHeight="1" x14ac:dyDescent="0.3">
      <c r="A3" s="33" t="str">
        <f>'2UP(실측)'!A3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4.4000000000000004</v>
      </c>
      <c r="K3" s="270"/>
      <c r="L3" s="270"/>
      <c r="M3" s="270"/>
      <c r="N3" s="258" t="s">
        <v>77</v>
      </c>
      <c r="O3" s="258"/>
      <c r="P3" s="271">
        <v>4.4000000000000004</v>
      </c>
      <c r="Q3" s="271"/>
      <c r="R3" s="225" t="s">
        <v>227</v>
      </c>
      <c r="S3" s="225"/>
      <c r="T3" s="225"/>
      <c r="U3" s="273">
        <f>BA7</f>
        <v>1</v>
      </c>
      <c r="V3" s="273"/>
      <c r="W3" s="273"/>
      <c r="X3" s="122"/>
      <c r="Y3" s="268" t="s">
        <v>78</v>
      </c>
      <c r="Z3" s="268"/>
      <c r="AA3" s="261">
        <v>1.2</v>
      </c>
      <c r="AB3" s="261"/>
      <c r="AE3" s="174" t="s">
        <v>73</v>
      </c>
      <c r="AF3" s="174"/>
      <c r="AG3" s="106">
        <v>3</v>
      </c>
      <c r="AH3" s="4" t="s">
        <v>74</v>
      </c>
      <c r="AI3" s="138">
        <v>4</v>
      </c>
      <c r="AJ3" s="287" t="s">
        <v>330</v>
      </c>
      <c r="AK3" s="219"/>
      <c r="AL3" s="160">
        <f>AO7</f>
        <v>0</v>
      </c>
      <c r="AM3" s="25"/>
      <c r="AN3" s="24"/>
      <c r="AS3" s="24"/>
    </row>
    <row r="4" spans="1:54" ht="33" customHeight="1" x14ac:dyDescent="0.3">
      <c r="A4" s="362" t="str">
        <f>'2UP(실측)'!A4:AB4</f>
        <v>제작치수 반영 : JB/JD +(4.4 ),  늘어난치수K -(0),  C + (4.4),   U + (4.4), OP - (0), R - (0),  기둥차감 - (0), A + (1.2)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75"/>
      <c r="Y4" s="363" t="s">
        <v>331</v>
      </c>
      <c r="Z4" s="364"/>
      <c r="AA4" s="365">
        <f>AC7</f>
        <v>0</v>
      </c>
      <c r="AB4" s="366"/>
      <c r="AC4" s="75"/>
      <c r="AD4" s="75"/>
      <c r="AE4" s="75"/>
      <c r="AF4" s="75"/>
      <c r="AG4" s="9"/>
      <c r="AH4" s="229">
        <f ca="1">TODAY()</f>
        <v>45321</v>
      </c>
      <c r="AI4" s="169"/>
      <c r="AJ4" s="180" t="s">
        <v>215</v>
      </c>
      <c r="AK4" s="180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367" t="s">
        <v>278</v>
      </c>
      <c r="L5" s="367" t="s">
        <v>279</v>
      </c>
      <c r="M5" s="244" t="s">
        <v>62</v>
      </c>
      <c r="N5" s="244" t="s">
        <v>63</v>
      </c>
      <c r="O5" s="174" t="s">
        <v>8</v>
      </c>
      <c r="P5" s="174" t="s">
        <v>9</v>
      </c>
      <c r="Q5" s="174" t="s">
        <v>10</v>
      </c>
      <c r="R5" s="174" t="s">
        <v>11</v>
      </c>
      <c r="S5" s="357" t="s">
        <v>14</v>
      </c>
      <c r="T5" s="355" t="s">
        <v>282</v>
      </c>
      <c r="U5" s="355" t="s">
        <v>283</v>
      </c>
      <c r="V5" s="335" t="s">
        <v>129</v>
      </c>
      <c r="W5" s="335" t="s">
        <v>280</v>
      </c>
      <c r="X5" s="335" t="s">
        <v>281</v>
      </c>
      <c r="Y5" s="174" t="s">
        <v>19</v>
      </c>
      <c r="Z5" s="278" t="s">
        <v>20</v>
      </c>
      <c r="AA5" s="244" t="s">
        <v>22</v>
      </c>
      <c r="AB5" s="244" t="s">
        <v>23</v>
      </c>
      <c r="AC5" s="247" t="s">
        <v>21</v>
      </c>
      <c r="AD5" s="248"/>
      <c r="AE5" s="248"/>
      <c r="AF5" s="249"/>
      <c r="AG5" s="175" t="s">
        <v>25</v>
      </c>
      <c r="AH5" s="280" t="s">
        <v>34</v>
      </c>
      <c r="AI5" s="175" t="s">
        <v>35</v>
      </c>
      <c r="AJ5" s="178" t="s">
        <v>212</v>
      </c>
      <c r="AK5" s="179"/>
      <c r="AL5" s="184" t="s">
        <v>305</v>
      </c>
      <c r="AM5" s="184" t="s">
        <v>306</v>
      </c>
      <c r="AN5" s="279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368"/>
      <c r="L6" s="368"/>
      <c r="M6" s="245"/>
      <c r="N6" s="245"/>
      <c r="O6" s="174"/>
      <c r="P6" s="174"/>
      <c r="Q6" s="174"/>
      <c r="R6" s="174"/>
      <c r="S6" s="356"/>
      <c r="T6" s="356"/>
      <c r="U6" s="356"/>
      <c r="V6" s="336"/>
      <c r="W6" s="336"/>
      <c r="X6" s="336"/>
      <c r="Y6" s="174"/>
      <c r="Z6" s="278"/>
      <c r="AA6" s="245"/>
      <c r="AB6" s="245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74" t="s">
        <v>213</v>
      </c>
      <c r="AK6" s="74" t="s">
        <v>214</v>
      </c>
      <c r="AL6" s="185"/>
      <c r="AM6" s="185"/>
      <c r="AN6" s="279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9" t="str">
        <f>정보!K3</f>
        <v>(3UP) 실측서 ( 자동작도테스트 ) _손상민소장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46"/>
      <c r="H3" s="246"/>
      <c r="I3" s="246"/>
      <c r="J3" s="246"/>
      <c r="K3" s="23"/>
      <c r="L3" s="23"/>
      <c r="M3" s="253"/>
      <c r="N3" s="253"/>
      <c r="O3" s="254"/>
      <c r="P3" s="254"/>
      <c r="Q3" s="255"/>
      <c r="R3" s="255"/>
      <c r="S3" s="255"/>
      <c r="T3" s="255"/>
      <c r="U3" s="120"/>
      <c r="V3" s="250" t="s">
        <v>97</v>
      </c>
      <c r="W3" s="250"/>
      <c r="X3" s="250"/>
      <c r="Y3" s="250"/>
      <c r="Z3" s="251"/>
      <c r="AA3" s="251"/>
      <c r="AB3" s="252"/>
      <c r="AC3" s="252"/>
    </row>
    <row r="4" spans="1:46" ht="33" customHeight="1" x14ac:dyDescent="0.3">
      <c r="A4" s="170" t="str">
        <f>정보!B18</f>
        <v>제작치수 반영 : JB/JD +(4.4 ),  늘어난치수K -(0),  C + (4.4),   U + (4.4), OP - (0), R - (0),  기둥차감 - (0), A + (1.2)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80" t="s">
        <v>215</v>
      </c>
      <c r="AJ4" s="180"/>
      <c r="AK4" s="81" t="s">
        <v>234</v>
      </c>
    </row>
    <row r="5" spans="1:46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174" t="s">
        <v>8</v>
      </c>
      <c r="N5" s="174" t="s">
        <v>9</v>
      </c>
      <c r="O5" s="174" t="s">
        <v>10</v>
      </c>
      <c r="P5" s="174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35" t="s">
        <v>129</v>
      </c>
      <c r="V5" s="335" t="s">
        <v>280</v>
      </c>
      <c r="W5" s="335" t="s">
        <v>287</v>
      </c>
      <c r="X5" s="335" t="s">
        <v>281</v>
      </c>
      <c r="Y5" s="174" t="s">
        <v>19</v>
      </c>
      <c r="Z5" s="174" t="s">
        <v>20</v>
      </c>
      <c r="AA5" s="244" t="s">
        <v>22</v>
      </c>
      <c r="AB5" s="244" t="s">
        <v>23</v>
      </c>
      <c r="AC5" s="247" t="s">
        <v>21</v>
      </c>
      <c r="AD5" s="248"/>
      <c r="AE5" s="248"/>
      <c r="AF5" s="248"/>
      <c r="AG5" s="248"/>
      <c r="AH5" s="249"/>
      <c r="AI5" s="178" t="s">
        <v>212</v>
      </c>
      <c r="AJ5" s="179"/>
      <c r="AK5" s="80" t="s">
        <v>231</v>
      </c>
    </row>
    <row r="6" spans="1:46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174"/>
      <c r="N6" s="174"/>
      <c r="O6" s="174"/>
      <c r="P6" s="174"/>
      <c r="Q6" s="356"/>
      <c r="R6" s="356"/>
      <c r="S6" s="356"/>
      <c r="T6" s="356"/>
      <c r="U6" s="336"/>
      <c r="V6" s="336"/>
      <c r="W6" s="336"/>
      <c r="X6" s="336"/>
      <c r="Y6" s="174"/>
      <c r="Z6" s="174"/>
      <c r="AA6" s="245"/>
      <c r="AB6" s="245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2" t="str">
        <f>정보!L3</f>
        <v>(3UP) 제작변환 ( 자동작도테스트 ) _손상민소장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"/>
      <c r="AQ1" s="1"/>
      <c r="AR1" s="256" t="s">
        <v>75</v>
      </c>
      <c r="AS1" s="256"/>
      <c r="AT1" s="256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63" t="s">
        <v>309</v>
      </c>
      <c r="H2" s="372"/>
      <c r="I2" s="372"/>
      <c r="J2" s="372"/>
      <c r="K2" s="364"/>
      <c r="L2" s="269">
        <v>0</v>
      </c>
      <c r="M2" s="269"/>
      <c r="N2" s="269"/>
      <c r="O2" s="269"/>
      <c r="P2" s="266" t="s">
        <v>113</v>
      </c>
      <c r="Q2" s="266"/>
      <c r="R2" s="266"/>
      <c r="S2" s="266"/>
      <c r="T2" s="267">
        <v>1</v>
      </c>
      <c r="U2" s="267"/>
      <c r="V2" s="264" t="s">
        <v>103</v>
      </c>
      <c r="W2" s="264"/>
      <c r="X2" s="265"/>
      <c r="Y2" s="373">
        <v>0</v>
      </c>
      <c r="Z2" s="374"/>
      <c r="AA2" s="370"/>
      <c r="AB2" s="371"/>
      <c r="AC2" s="264" t="s">
        <v>88</v>
      </c>
      <c r="AD2" s="265"/>
      <c r="AE2" s="262">
        <v>4.4000000000000004</v>
      </c>
      <c r="AF2" s="262"/>
      <c r="AG2" s="258" t="s">
        <v>82</v>
      </c>
      <c r="AH2" s="258"/>
      <c r="AI2" s="259"/>
      <c r="AJ2" s="260">
        <v>0</v>
      </c>
      <c r="AK2" s="260"/>
      <c r="AL2" s="260"/>
      <c r="AM2" s="98" t="s">
        <v>114</v>
      </c>
      <c r="AN2" s="257">
        <v>0</v>
      </c>
      <c r="AO2" s="257"/>
      <c r="AP2" s="1"/>
      <c r="AQ2" s="1"/>
      <c r="AR2" s="256"/>
      <c r="AS2" s="256"/>
      <c r="AT2" s="256"/>
      <c r="AY2" s="24"/>
    </row>
    <row r="3" spans="1:60" ht="33" customHeight="1" x14ac:dyDescent="0.3">
      <c r="A3" s="33" t="str">
        <f>'3UP(실측)'!A3</f>
        <v>현장명 : 자동작도테스트,   (재질) : HL 1.2T</v>
      </c>
      <c r="B3" s="2"/>
      <c r="C3" s="2"/>
      <c r="D3" s="2"/>
      <c r="E3" s="2"/>
      <c r="F3" s="2"/>
      <c r="G3" s="359" t="s">
        <v>76</v>
      </c>
      <c r="H3" s="377"/>
      <c r="I3" s="377"/>
      <c r="J3" s="377"/>
      <c r="K3" s="378"/>
      <c r="L3" s="270">
        <v>4.4000000000000004</v>
      </c>
      <c r="M3" s="270"/>
      <c r="N3" s="270"/>
      <c r="O3" s="270"/>
      <c r="P3" s="258" t="s">
        <v>77</v>
      </c>
      <c r="Q3" s="258"/>
      <c r="R3" s="271">
        <v>4.4000000000000004</v>
      </c>
      <c r="S3" s="271"/>
      <c r="T3" s="379" t="s">
        <v>289</v>
      </c>
      <c r="U3" s="380"/>
      <c r="V3" s="380"/>
      <c r="W3" s="381"/>
      <c r="X3" s="273">
        <f>BG7</f>
        <v>1</v>
      </c>
      <c r="Y3" s="273"/>
      <c r="Z3" s="273"/>
      <c r="AA3" s="375"/>
      <c r="AB3" s="376"/>
      <c r="AC3" s="268" t="s">
        <v>78</v>
      </c>
      <c r="AD3" s="268"/>
      <c r="AE3" s="261">
        <v>1.2</v>
      </c>
      <c r="AF3" s="261"/>
      <c r="AJ3" s="174" t="s">
        <v>73</v>
      </c>
      <c r="AK3" s="174"/>
      <c r="AL3" s="174"/>
      <c r="AM3" s="106">
        <v>3</v>
      </c>
      <c r="AN3" s="4" t="s">
        <v>74</v>
      </c>
      <c r="AO3" s="138">
        <v>4</v>
      </c>
      <c r="AP3" s="382" t="s">
        <v>326</v>
      </c>
      <c r="AQ3" s="383"/>
      <c r="AR3" s="160">
        <f>AU7</f>
        <v>0</v>
      </c>
      <c r="AS3" s="25"/>
      <c r="AT3" s="24"/>
      <c r="AY3" s="24"/>
    </row>
    <row r="4" spans="1:60" ht="33" customHeight="1" x14ac:dyDescent="0.3">
      <c r="A4" s="362" t="str">
        <f>'3UP(실측)'!A4:AH4</f>
        <v>제작치수 반영 : JB/JD +(4.4 ),  늘어난치수K -(0),  C + (4.4),   U + (4.4), OP - (0), R - (0),  기둥차감 - (0), A + (1.2)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75"/>
      <c r="AB4" s="75"/>
      <c r="AC4" s="365" t="s">
        <v>332</v>
      </c>
      <c r="AD4" s="284"/>
      <c r="AE4" s="284">
        <f>AG7</f>
        <v>0</v>
      </c>
      <c r="AF4" s="366"/>
      <c r="AG4" s="75"/>
      <c r="AH4" s="75"/>
      <c r="AI4" s="75"/>
      <c r="AJ4" s="75"/>
      <c r="AK4" s="75"/>
      <c r="AL4" s="75"/>
      <c r="AM4" s="9"/>
      <c r="AN4" s="229">
        <f ca="1">TODAY()</f>
        <v>45321</v>
      </c>
      <c r="AO4" s="169"/>
      <c r="AP4" s="180" t="s">
        <v>215</v>
      </c>
      <c r="AQ4" s="180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367" t="s">
        <v>278</v>
      </c>
      <c r="N5" s="367" t="s">
        <v>288</v>
      </c>
      <c r="O5" s="244" t="s">
        <v>62</v>
      </c>
      <c r="P5" s="244" t="s">
        <v>63</v>
      </c>
      <c r="Q5" s="174" t="s">
        <v>8</v>
      </c>
      <c r="R5" s="174" t="s">
        <v>9</v>
      </c>
      <c r="S5" s="174" t="s">
        <v>10</v>
      </c>
      <c r="T5" s="174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35" t="s">
        <v>129</v>
      </c>
      <c r="Z5" s="335" t="s">
        <v>280</v>
      </c>
      <c r="AA5" s="335" t="s">
        <v>287</v>
      </c>
      <c r="AB5" s="335" t="s">
        <v>281</v>
      </c>
      <c r="AC5" s="174" t="s">
        <v>19</v>
      </c>
      <c r="AD5" s="278" t="s">
        <v>20</v>
      </c>
      <c r="AE5" s="244" t="s">
        <v>22</v>
      </c>
      <c r="AF5" s="244" t="s">
        <v>23</v>
      </c>
      <c r="AG5" s="247" t="s">
        <v>21</v>
      </c>
      <c r="AH5" s="248"/>
      <c r="AI5" s="248"/>
      <c r="AJ5" s="248"/>
      <c r="AK5" s="248"/>
      <c r="AL5" s="249"/>
      <c r="AM5" s="175" t="s">
        <v>25</v>
      </c>
      <c r="AN5" s="280" t="s">
        <v>34</v>
      </c>
      <c r="AO5" s="175" t="s">
        <v>35</v>
      </c>
      <c r="AP5" s="178" t="s">
        <v>212</v>
      </c>
      <c r="AQ5" s="179"/>
      <c r="AR5" s="184" t="s">
        <v>305</v>
      </c>
      <c r="AS5" s="184" t="s">
        <v>306</v>
      </c>
      <c r="AT5" s="279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368"/>
      <c r="N6" s="368"/>
      <c r="O6" s="245"/>
      <c r="P6" s="245"/>
      <c r="Q6" s="174"/>
      <c r="R6" s="174"/>
      <c r="S6" s="174"/>
      <c r="T6" s="174"/>
      <c r="U6" s="356"/>
      <c r="V6" s="356"/>
      <c r="W6" s="356"/>
      <c r="X6" s="356"/>
      <c r="Y6" s="336"/>
      <c r="Z6" s="336"/>
      <c r="AA6" s="336"/>
      <c r="AB6" s="336"/>
      <c r="AC6" s="174"/>
      <c r="AD6" s="278"/>
      <c r="AE6" s="245"/>
      <c r="AF6" s="245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4"/>
      <c r="AN6" s="281"/>
      <c r="AO6" s="174"/>
      <c r="AP6" s="74" t="s">
        <v>213</v>
      </c>
      <c r="AQ6" s="74" t="s">
        <v>214</v>
      </c>
      <c r="AR6" s="185"/>
      <c r="AS6" s="185"/>
      <c r="AT6" s="279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2023-10-19T04:43:55Z</cp:lastPrinted>
  <dcterms:created xsi:type="dcterms:W3CDTF">2020-01-09T06:39:51Z</dcterms:created>
  <dcterms:modified xsi:type="dcterms:W3CDTF">2024-01-30T02:37:44Z</dcterms:modified>
</cp:coreProperties>
</file>