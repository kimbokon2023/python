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python\excel\backup\"/>
    </mc:Choice>
  </mc:AlternateContent>
  <bookViews>
    <workbookView xWindow="28680" yWindow="765" windowWidth="29040" windowHeight="15840" tabRatio="947" activeTab="7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" i="15" l="1"/>
  <c r="B23" i="15"/>
  <c r="C23" i="15"/>
  <c r="D23" i="15"/>
  <c r="G23" i="15"/>
  <c r="H23" i="15"/>
  <c r="A24" i="15"/>
  <c r="B24" i="15"/>
  <c r="C24" i="15"/>
  <c r="D24" i="15"/>
  <c r="G24" i="15"/>
  <c r="H24" i="15"/>
  <c r="A25" i="15"/>
  <c r="B25" i="15"/>
  <c r="C25" i="15"/>
  <c r="D25" i="15"/>
  <c r="G25" i="15"/>
  <c r="H25" i="15"/>
  <c r="A26" i="15"/>
  <c r="B26" i="15"/>
  <c r="C26" i="15"/>
  <c r="D26" i="15"/>
  <c r="G26" i="15"/>
  <c r="H26" i="15"/>
  <c r="A8" i="15"/>
  <c r="B8" i="15"/>
  <c r="C8" i="15"/>
  <c r="D8" i="15"/>
  <c r="G8" i="15"/>
  <c r="H8" i="15"/>
  <c r="A9" i="15"/>
  <c r="B9" i="15"/>
  <c r="C9" i="15"/>
  <c r="D9" i="15"/>
  <c r="G9" i="15"/>
  <c r="H9" i="15"/>
  <c r="A10" i="15"/>
  <c r="B10" i="15"/>
  <c r="C10" i="15"/>
  <c r="D10" i="15"/>
  <c r="G10" i="15"/>
  <c r="H10" i="15"/>
  <c r="A11" i="15"/>
  <c r="B11" i="15"/>
  <c r="C11" i="15"/>
  <c r="D11" i="15"/>
  <c r="G11" i="15"/>
  <c r="H11" i="15"/>
  <c r="A12" i="15"/>
  <c r="B12" i="15"/>
  <c r="C12" i="15"/>
  <c r="D12" i="15"/>
  <c r="G12" i="15"/>
  <c r="H12" i="15"/>
  <c r="A13" i="15"/>
  <c r="B13" i="15"/>
  <c r="C13" i="15"/>
  <c r="D13" i="15"/>
  <c r="G13" i="15"/>
  <c r="H13" i="15"/>
  <c r="A14" i="15"/>
  <c r="B14" i="15"/>
  <c r="C14" i="15"/>
  <c r="D14" i="15"/>
  <c r="G14" i="15"/>
  <c r="H14" i="15"/>
  <c r="A15" i="15"/>
  <c r="B15" i="15"/>
  <c r="C15" i="15"/>
  <c r="D15" i="15"/>
  <c r="G15" i="15"/>
  <c r="H15" i="15"/>
  <c r="A16" i="15"/>
  <c r="B16" i="15"/>
  <c r="C16" i="15"/>
  <c r="D16" i="15"/>
  <c r="G16" i="15"/>
  <c r="H16" i="15"/>
  <c r="A17" i="15"/>
  <c r="B17" i="15"/>
  <c r="C17" i="15"/>
  <c r="D17" i="15"/>
  <c r="G17" i="15"/>
  <c r="H17" i="15"/>
  <c r="A18" i="15"/>
  <c r="B18" i="15"/>
  <c r="C18" i="15"/>
  <c r="D18" i="15"/>
  <c r="G18" i="15"/>
  <c r="H18" i="15"/>
  <c r="A19" i="15"/>
  <c r="B19" i="15"/>
  <c r="C19" i="15"/>
  <c r="D19" i="15"/>
  <c r="G19" i="15"/>
  <c r="H19" i="15"/>
  <c r="A20" i="15"/>
  <c r="B20" i="15"/>
  <c r="C20" i="15"/>
  <c r="D20" i="15"/>
  <c r="G20" i="15"/>
  <c r="H20" i="15"/>
  <c r="A21" i="15"/>
  <c r="B21" i="15"/>
  <c r="C21" i="15"/>
  <c r="D21" i="15"/>
  <c r="G21" i="15"/>
  <c r="H21" i="15"/>
  <c r="A22" i="15"/>
  <c r="B22" i="15"/>
  <c r="C22" i="15"/>
  <c r="D22" i="15"/>
  <c r="G22" i="15"/>
  <c r="H22" i="15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7" i="14"/>
  <c r="A8" i="8"/>
  <c r="B8" i="8"/>
  <c r="E8" i="8"/>
  <c r="F8" i="8"/>
  <c r="U8" i="8"/>
  <c r="V8" i="8"/>
  <c r="W8" i="8"/>
  <c r="X8" i="8"/>
  <c r="Y8" i="8"/>
  <c r="C8" i="8" s="1"/>
  <c r="AA8" i="8"/>
  <c r="AB8" i="8"/>
  <c r="AC8" i="8"/>
  <c r="AD8" i="8" s="1"/>
  <c r="AE8" i="8"/>
  <c r="AF8" i="8"/>
  <c r="AM8" i="8"/>
  <c r="AN8" i="8"/>
  <c r="AO8" i="8"/>
  <c r="AP8" i="8"/>
  <c r="AQ8" i="8"/>
  <c r="AR8" i="8"/>
  <c r="AS8" i="8"/>
  <c r="AX8" i="8" s="1"/>
  <c r="AT8" i="8"/>
  <c r="T8" i="8" s="1"/>
  <c r="BI8" i="8"/>
  <c r="I8" i="8" s="1"/>
  <c r="A9" i="8"/>
  <c r="B9" i="8"/>
  <c r="E9" i="8"/>
  <c r="F9" i="8"/>
  <c r="S9" i="8"/>
  <c r="O9" i="8" s="1"/>
  <c r="M9" i="8" s="1"/>
  <c r="U9" i="8"/>
  <c r="V9" i="8"/>
  <c r="W9" i="8"/>
  <c r="X9" i="8"/>
  <c r="Y9" i="8"/>
  <c r="D9" i="8" s="1"/>
  <c r="AH9" i="8" s="1"/>
  <c r="BF9" i="8" s="1"/>
  <c r="AA9" i="8"/>
  <c r="AB9" i="8"/>
  <c r="AC9" i="8"/>
  <c r="AD9" i="8" s="1"/>
  <c r="AE9" i="8"/>
  <c r="AF9" i="8" s="1"/>
  <c r="AM9" i="8"/>
  <c r="AN9" i="8"/>
  <c r="AO9" i="8"/>
  <c r="AP9" i="8"/>
  <c r="AQ9" i="8"/>
  <c r="AR9" i="8"/>
  <c r="AS9" i="8"/>
  <c r="AX9" i="8" s="1"/>
  <c r="AT9" i="8"/>
  <c r="T9" i="8" s="1"/>
  <c r="A10" i="8"/>
  <c r="B10" i="8"/>
  <c r="C10" i="8"/>
  <c r="AG10" i="8" s="1"/>
  <c r="BD10" i="8" s="1"/>
  <c r="E10" i="8"/>
  <c r="F10" i="8"/>
  <c r="U10" i="8"/>
  <c r="V10" i="8"/>
  <c r="W10" i="8"/>
  <c r="X10" i="8"/>
  <c r="Y10" i="8"/>
  <c r="D10" i="8" s="1"/>
  <c r="AH10" i="8" s="1"/>
  <c r="BF10" i="8" s="1"/>
  <c r="AA10" i="8"/>
  <c r="AB10" i="8"/>
  <c r="AC10" i="8"/>
  <c r="AD10" i="8"/>
  <c r="AE10" i="8"/>
  <c r="AF10" i="8"/>
  <c r="AM10" i="8"/>
  <c r="AN10" i="8"/>
  <c r="AO10" i="8"/>
  <c r="AP10" i="8"/>
  <c r="AQ10" i="8"/>
  <c r="AR10" i="8"/>
  <c r="AS10" i="8"/>
  <c r="AX10" i="8" s="1"/>
  <c r="AT10" i="8"/>
  <c r="T10" i="8" s="1"/>
  <c r="AY10" i="8"/>
  <c r="H8" i="8" l="1"/>
  <c r="BI9" i="8"/>
  <c r="S10" i="8"/>
  <c r="O10" i="8" s="1"/>
  <c r="M10" i="8" s="1"/>
  <c r="AY9" i="8"/>
  <c r="C9" i="8"/>
  <c r="BH9" i="8" s="1"/>
  <c r="P10" i="8"/>
  <c r="N10" i="8" s="1"/>
  <c r="P9" i="8"/>
  <c r="N9" i="8" s="1"/>
  <c r="AG8" i="8"/>
  <c r="BD8" i="8" s="1"/>
  <c r="P8" i="8"/>
  <c r="N8" i="8" s="1"/>
  <c r="BI10" i="8"/>
  <c r="J9" i="8"/>
  <c r="AU8" i="8"/>
  <c r="AW8" i="8" s="1"/>
  <c r="R8" i="8" s="1"/>
  <c r="G8" i="8"/>
  <c r="AV8" i="8" s="1"/>
  <c r="BH10" i="8"/>
  <c r="AG9" i="8"/>
  <c r="BD9" i="8" s="1"/>
  <c r="I9" i="8"/>
  <c r="BC9" i="8" s="1"/>
  <c r="G9" i="8"/>
  <c r="L8" i="8"/>
  <c r="D8" i="8"/>
  <c r="AH8" i="8" s="1"/>
  <c r="BF8" i="8" s="1"/>
  <c r="AY8" i="8"/>
  <c r="S8" i="8"/>
  <c r="K8" i="8"/>
  <c r="J8" i="8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7" i="14"/>
  <c r="O8" i="14"/>
  <c r="P8" i="14"/>
  <c r="Q8" i="14"/>
  <c r="R8" i="14"/>
  <c r="O9" i="14"/>
  <c r="P9" i="14"/>
  <c r="Q9" i="14"/>
  <c r="R9" i="14"/>
  <c r="O10" i="14"/>
  <c r="P10" i="14"/>
  <c r="Q10" i="14"/>
  <c r="R10" i="14"/>
  <c r="O11" i="14"/>
  <c r="P11" i="14"/>
  <c r="Q11" i="14"/>
  <c r="R11" i="14"/>
  <c r="O12" i="14"/>
  <c r="P12" i="14"/>
  <c r="Q12" i="14"/>
  <c r="R12" i="14"/>
  <c r="O13" i="14"/>
  <c r="P13" i="14"/>
  <c r="Q13" i="14"/>
  <c r="R13" i="14"/>
  <c r="O14" i="14"/>
  <c r="P14" i="14"/>
  <c r="Q14" i="14"/>
  <c r="R14" i="14"/>
  <c r="O15" i="14"/>
  <c r="P15" i="14"/>
  <c r="Q15" i="14"/>
  <c r="R15" i="14"/>
  <c r="O16" i="14"/>
  <c r="P16" i="14"/>
  <c r="Q16" i="14"/>
  <c r="R16" i="14"/>
  <c r="O17" i="14"/>
  <c r="P17" i="14"/>
  <c r="Q17" i="14"/>
  <c r="R17" i="14"/>
  <c r="O18" i="14"/>
  <c r="P18" i="14"/>
  <c r="Q18" i="14"/>
  <c r="R18" i="14"/>
  <c r="O19" i="14"/>
  <c r="P19" i="14"/>
  <c r="Q19" i="14"/>
  <c r="R19" i="14"/>
  <c r="O20" i="14"/>
  <c r="P20" i="14"/>
  <c r="Q20" i="14"/>
  <c r="R20" i="14"/>
  <c r="O21" i="14"/>
  <c r="P21" i="14"/>
  <c r="Q21" i="14"/>
  <c r="R21" i="14"/>
  <c r="O22" i="14"/>
  <c r="P22" i="14"/>
  <c r="Q22" i="14"/>
  <c r="R22" i="14"/>
  <c r="O23" i="14"/>
  <c r="P23" i="14"/>
  <c r="Q23" i="14"/>
  <c r="R23" i="14"/>
  <c r="O24" i="14"/>
  <c r="P24" i="14"/>
  <c r="Q24" i="14"/>
  <c r="R24" i="14"/>
  <c r="O25" i="14"/>
  <c r="P25" i="14"/>
  <c r="Q25" i="14"/>
  <c r="R25" i="14"/>
  <c r="O26" i="14"/>
  <c r="P26" i="14"/>
  <c r="Q26" i="14"/>
  <c r="R26" i="14"/>
  <c r="AH26" i="14" s="1"/>
  <c r="P7" i="14"/>
  <c r="Q7" i="14"/>
  <c r="R7" i="14"/>
  <c r="O7" i="14"/>
  <c r="V7" i="8"/>
  <c r="W7" i="8"/>
  <c r="X7" i="8"/>
  <c r="U7" i="8"/>
  <c r="A26" i="14"/>
  <c r="B26" i="14"/>
  <c r="K26" i="14"/>
  <c r="L26" i="14"/>
  <c r="M26" i="14"/>
  <c r="N26" i="14"/>
  <c r="S26" i="14"/>
  <c r="T26" i="14"/>
  <c r="U26" i="14"/>
  <c r="V26" i="14"/>
  <c r="W26" i="14"/>
  <c r="X26" i="14"/>
  <c r="Y26" i="14"/>
  <c r="Z26" i="14"/>
  <c r="AA26" i="14"/>
  <c r="AF26" i="14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BE8" i="8" l="1"/>
  <c r="BH8" i="8"/>
  <c r="L9" i="8"/>
  <c r="K9" i="8"/>
  <c r="H9" i="8"/>
  <c r="AL8" i="8"/>
  <c r="Q8" i="8"/>
  <c r="Z8" i="8" s="1"/>
  <c r="AZ8" i="8"/>
  <c r="AK9" i="8"/>
  <c r="O8" i="8"/>
  <c r="M8" i="8" s="1"/>
  <c r="BC8" i="8"/>
  <c r="AK8" i="8" s="1"/>
  <c r="G10" i="8"/>
  <c r="H10" i="8"/>
  <c r="I10" i="8"/>
  <c r="J10" i="8"/>
  <c r="K10" i="8"/>
  <c r="L10" i="8"/>
  <c r="BE9" i="8"/>
  <c r="AL9" i="8" s="1"/>
  <c r="E26" i="14"/>
  <c r="AD26" i="14" s="1"/>
  <c r="AC26" i="14"/>
  <c r="F26" i="14"/>
  <c r="C7" i="26"/>
  <c r="E7" i="26"/>
  <c r="AF4" i="26"/>
  <c r="AJ4" i="24"/>
  <c r="AE4" i="22"/>
  <c r="AI4" i="19"/>
  <c r="AA4" i="10"/>
  <c r="AE3" i="8"/>
  <c r="C26" i="14" l="1"/>
  <c r="AU9" i="8"/>
  <c r="AV9" i="8" s="1"/>
  <c r="BE10" i="8"/>
  <c r="AL10" i="8" s="1"/>
  <c r="AI8" i="8"/>
  <c r="BA8" i="8"/>
  <c r="BB8" i="8"/>
  <c r="BC10" i="8"/>
  <c r="AK10" i="8" s="1"/>
  <c r="BG8" i="8"/>
  <c r="AU10" i="8"/>
  <c r="AV10" i="8" s="1"/>
  <c r="AE26" i="14"/>
  <c r="G26" i="14" s="1"/>
  <c r="AG26" i="14"/>
  <c r="H26" i="14" s="1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Y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AW10" i="8" l="1"/>
  <c r="R10" i="8" s="1"/>
  <c r="AW9" i="8"/>
  <c r="R9" i="8" s="1"/>
  <c r="AZ9" i="8"/>
  <c r="Q9" i="8"/>
  <c r="Q10" i="8"/>
  <c r="AZ10" i="8"/>
  <c r="AJ8" i="8"/>
  <c r="AI7" i="32"/>
  <c r="AE4" i="32"/>
  <c r="AD7" i="28"/>
  <c r="AA4" i="28"/>
  <c r="AH7" i="32"/>
  <c r="AE7" i="26"/>
  <c r="AK7" i="32"/>
  <c r="C7" i="19"/>
  <c r="D7" i="24"/>
  <c r="Z9" i="8" l="1"/>
  <c r="BG9" i="8"/>
  <c r="Z10" i="8"/>
  <c r="BG10" i="8"/>
  <c r="AS7" i="32"/>
  <c r="T7" i="32" s="1"/>
  <c r="AR7" i="32"/>
  <c r="AI9" i="8" l="1"/>
  <c r="BB9" i="8"/>
  <c r="BA9" i="8"/>
  <c r="AI10" i="8"/>
  <c r="BA10" i="8"/>
  <c r="BB10" i="8"/>
  <c r="S7" i="32"/>
  <c r="Q7" i="32" s="1"/>
  <c r="AD7" i="32"/>
  <c r="AC7" i="32" s="1"/>
  <c r="R7" i="32"/>
  <c r="AQ7" i="26"/>
  <c r="U7" i="26" s="1"/>
  <c r="S7" i="26" s="1"/>
  <c r="AP7" i="26"/>
  <c r="AJ9" i="8" l="1"/>
  <c r="AJ10" i="8"/>
  <c r="AL7" i="10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E23" i="15" l="1"/>
  <c r="E24" i="15"/>
  <c r="E25" i="15"/>
  <c r="E26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F23" i="15"/>
  <c r="F24" i="15"/>
  <c r="F25" i="15"/>
  <c r="F26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AV7" i="32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K8" i="14"/>
  <c r="L8" i="14"/>
  <c r="M8" i="14"/>
  <c r="N8" i="14"/>
  <c r="S8" i="14"/>
  <c r="T8" i="14"/>
  <c r="U8" i="14"/>
  <c r="V8" i="14"/>
  <c r="W8" i="14"/>
  <c r="X8" i="14"/>
  <c r="Y8" i="14"/>
  <c r="Z8" i="14"/>
  <c r="AA8" i="14"/>
  <c r="A9" i="14"/>
  <c r="B9" i="14"/>
  <c r="K9" i="14"/>
  <c r="L9" i="14"/>
  <c r="M9" i="14"/>
  <c r="N9" i="14"/>
  <c r="S9" i="14"/>
  <c r="T9" i="14"/>
  <c r="U9" i="14"/>
  <c r="V9" i="14"/>
  <c r="W9" i="14"/>
  <c r="X9" i="14"/>
  <c r="Y9" i="14"/>
  <c r="Z9" i="14"/>
  <c r="AA9" i="14"/>
  <c r="A10" i="14"/>
  <c r="B10" i="14"/>
  <c r="K10" i="14"/>
  <c r="L10" i="14"/>
  <c r="M10" i="14"/>
  <c r="N10" i="14"/>
  <c r="S10" i="14"/>
  <c r="T10" i="14"/>
  <c r="U10" i="14"/>
  <c r="V10" i="14"/>
  <c r="W10" i="14"/>
  <c r="X10" i="14"/>
  <c r="Y10" i="14"/>
  <c r="Z10" i="14"/>
  <c r="AA10" i="14"/>
  <c r="A11" i="14"/>
  <c r="B11" i="14"/>
  <c r="K11" i="14"/>
  <c r="L11" i="14"/>
  <c r="M11" i="14"/>
  <c r="N11" i="14"/>
  <c r="S11" i="14"/>
  <c r="T11" i="14"/>
  <c r="U11" i="14"/>
  <c r="V11" i="14"/>
  <c r="W11" i="14"/>
  <c r="X11" i="14"/>
  <c r="Y11" i="14"/>
  <c r="Z11" i="14"/>
  <c r="AA11" i="14"/>
  <c r="A12" i="14"/>
  <c r="B12" i="14"/>
  <c r="K12" i="14"/>
  <c r="L12" i="14"/>
  <c r="M12" i="14"/>
  <c r="N12" i="14"/>
  <c r="S12" i="14"/>
  <c r="T12" i="14"/>
  <c r="U12" i="14"/>
  <c r="V12" i="14"/>
  <c r="W12" i="14"/>
  <c r="X12" i="14"/>
  <c r="Y12" i="14"/>
  <c r="Z12" i="14"/>
  <c r="AA12" i="14"/>
  <c r="A13" i="14"/>
  <c r="B13" i="14"/>
  <c r="K13" i="14"/>
  <c r="L13" i="14"/>
  <c r="M13" i="14"/>
  <c r="N13" i="14"/>
  <c r="S13" i="14"/>
  <c r="T13" i="14"/>
  <c r="U13" i="14"/>
  <c r="V13" i="14"/>
  <c r="W13" i="14"/>
  <c r="X13" i="14"/>
  <c r="Y13" i="14"/>
  <c r="Z13" i="14"/>
  <c r="AA13" i="14"/>
  <c r="A14" i="14"/>
  <c r="B14" i="14"/>
  <c r="K14" i="14"/>
  <c r="L14" i="14"/>
  <c r="M14" i="14"/>
  <c r="N14" i="14"/>
  <c r="S14" i="14"/>
  <c r="T14" i="14"/>
  <c r="U14" i="14"/>
  <c r="V14" i="14"/>
  <c r="W14" i="14"/>
  <c r="X14" i="14"/>
  <c r="Y14" i="14"/>
  <c r="Z14" i="14"/>
  <c r="AA14" i="14"/>
  <c r="A15" i="14"/>
  <c r="B15" i="14"/>
  <c r="K15" i="14"/>
  <c r="L15" i="14"/>
  <c r="M15" i="14"/>
  <c r="N15" i="14"/>
  <c r="S15" i="14"/>
  <c r="T15" i="14"/>
  <c r="U15" i="14"/>
  <c r="V15" i="14"/>
  <c r="W15" i="14"/>
  <c r="X15" i="14"/>
  <c r="Y15" i="14"/>
  <c r="Z15" i="14"/>
  <c r="AA15" i="14"/>
  <c r="A16" i="14"/>
  <c r="B16" i="14"/>
  <c r="K16" i="14"/>
  <c r="L16" i="14"/>
  <c r="M16" i="14"/>
  <c r="N16" i="14"/>
  <c r="S16" i="14"/>
  <c r="T16" i="14"/>
  <c r="U16" i="14"/>
  <c r="V16" i="14"/>
  <c r="W16" i="14"/>
  <c r="X16" i="14"/>
  <c r="Y16" i="14"/>
  <c r="Z16" i="14"/>
  <c r="AA16" i="14"/>
  <c r="A17" i="14"/>
  <c r="B17" i="14"/>
  <c r="K17" i="14"/>
  <c r="L17" i="14"/>
  <c r="M17" i="14"/>
  <c r="N17" i="14"/>
  <c r="S17" i="14"/>
  <c r="T17" i="14"/>
  <c r="U17" i="14"/>
  <c r="V17" i="14"/>
  <c r="W17" i="14"/>
  <c r="X17" i="14"/>
  <c r="Y17" i="14"/>
  <c r="Z17" i="14"/>
  <c r="AA17" i="14"/>
  <c r="A18" i="14"/>
  <c r="B18" i="14"/>
  <c r="K18" i="14"/>
  <c r="L18" i="14"/>
  <c r="M18" i="14"/>
  <c r="N18" i="14"/>
  <c r="S18" i="14"/>
  <c r="T18" i="14"/>
  <c r="U18" i="14"/>
  <c r="V18" i="14"/>
  <c r="W18" i="14"/>
  <c r="X18" i="14"/>
  <c r="Y18" i="14"/>
  <c r="Z18" i="14"/>
  <c r="AA18" i="14"/>
  <c r="A19" i="14"/>
  <c r="B19" i="14"/>
  <c r="K19" i="14"/>
  <c r="L19" i="14"/>
  <c r="M19" i="14"/>
  <c r="N19" i="14"/>
  <c r="S19" i="14"/>
  <c r="T19" i="14"/>
  <c r="U19" i="14"/>
  <c r="V19" i="14"/>
  <c r="W19" i="14"/>
  <c r="X19" i="14"/>
  <c r="Y19" i="14"/>
  <c r="Z19" i="14"/>
  <c r="AA19" i="14"/>
  <c r="A20" i="14"/>
  <c r="B20" i="14"/>
  <c r="K20" i="14"/>
  <c r="L20" i="14"/>
  <c r="M20" i="14"/>
  <c r="N20" i="14"/>
  <c r="S20" i="14"/>
  <c r="T20" i="14"/>
  <c r="U20" i="14"/>
  <c r="V20" i="14"/>
  <c r="W20" i="14"/>
  <c r="X20" i="14"/>
  <c r="Y20" i="14"/>
  <c r="Z20" i="14"/>
  <c r="AA20" i="14"/>
  <c r="A21" i="14"/>
  <c r="B21" i="14"/>
  <c r="K21" i="14"/>
  <c r="L21" i="14"/>
  <c r="M21" i="14"/>
  <c r="N21" i="14"/>
  <c r="S21" i="14"/>
  <c r="T21" i="14"/>
  <c r="U21" i="14"/>
  <c r="V21" i="14"/>
  <c r="W21" i="14"/>
  <c r="X21" i="14"/>
  <c r="Y21" i="14"/>
  <c r="Z21" i="14"/>
  <c r="AA21" i="14"/>
  <c r="A22" i="14"/>
  <c r="B22" i="14"/>
  <c r="K22" i="14"/>
  <c r="L22" i="14"/>
  <c r="M22" i="14"/>
  <c r="N22" i="14"/>
  <c r="S22" i="14"/>
  <c r="T22" i="14"/>
  <c r="U22" i="14"/>
  <c r="V22" i="14"/>
  <c r="W22" i="14"/>
  <c r="X22" i="14"/>
  <c r="Y22" i="14"/>
  <c r="Z22" i="14"/>
  <c r="AA22" i="14"/>
  <c r="A23" i="14"/>
  <c r="B23" i="14"/>
  <c r="K23" i="14"/>
  <c r="L23" i="14"/>
  <c r="M23" i="14"/>
  <c r="N23" i="14"/>
  <c r="S23" i="14"/>
  <c r="T23" i="14"/>
  <c r="U23" i="14"/>
  <c r="V23" i="14"/>
  <c r="W23" i="14"/>
  <c r="X23" i="14"/>
  <c r="Y23" i="14"/>
  <c r="Z23" i="14"/>
  <c r="AA23" i="14"/>
  <c r="A24" i="14"/>
  <c r="B24" i="14"/>
  <c r="K24" i="14"/>
  <c r="L24" i="14"/>
  <c r="M24" i="14"/>
  <c r="N24" i="14"/>
  <c r="S24" i="14"/>
  <c r="T24" i="14"/>
  <c r="U24" i="14"/>
  <c r="V24" i="14"/>
  <c r="W24" i="14"/>
  <c r="X24" i="14"/>
  <c r="Y24" i="14"/>
  <c r="Z24" i="14"/>
  <c r="AA24" i="14"/>
  <c r="A25" i="14"/>
  <c r="B25" i="14"/>
  <c r="K25" i="14"/>
  <c r="L25" i="14"/>
  <c r="M25" i="14"/>
  <c r="N25" i="14"/>
  <c r="S25" i="14"/>
  <c r="T25" i="14"/>
  <c r="U25" i="14"/>
  <c r="V25" i="14"/>
  <c r="W25" i="14"/>
  <c r="X25" i="14"/>
  <c r="Y25" i="14"/>
  <c r="Z25" i="14"/>
  <c r="AA25" i="14"/>
  <c r="AM7" i="32" l="1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G8" i="14" s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G24" i="14" s="1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G22" i="14" s="1"/>
  <c r="AG14" i="14"/>
  <c r="H14" i="14" s="1"/>
  <c r="C25" i="14"/>
  <c r="C24" i="14"/>
  <c r="H25" i="14"/>
  <c r="C12" i="14"/>
  <c r="C21" i="14"/>
  <c r="G15" i="14"/>
  <c r="G13" i="14"/>
  <c r="C23" i="14"/>
  <c r="H18" i="14"/>
  <c r="C20" i="14"/>
  <c r="C9" i="14"/>
  <c r="C14" i="14"/>
  <c r="C15" i="14"/>
  <c r="C13" i="14"/>
  <c r="C18" i="14"/>
  <c r="C22" i="14"/>
  <c r="C10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B7" i="14"/>
  <c r="A7" i="14"/>
  <c r="F8" i="15" l="1"/>
  <c r="E8" i="15"/>
  <c r="H7" i="15"/>
  <c r="G7" i="15"/>
  <c r="A2" i="15"/>
  <c r="AF7" i="14"/>
  <c r="E7" i="14"/>
  <c r="AD7" i="14" s="1"/>
  <c r="AH7" i="14"/>
  <c r="AC7" i="14"/>
  <c r="C2" i="14"/>
  <c r="F7" i="14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 l="1"/>
  <c r="BA7" i="8" s="1"/>
  <c r="BB7" i="8" l="1"/>
  <c r="AJ7" i="8" s="1"/>
  <c r="AI7" i="8"/>
</calcChain>
</file>

<file path=xl/comments1.xml><?xml version="1.0" encoding="utf-8"?>
<comments xmlns="http://schemas.openxmlformats.org/spreadsheetml/2006/main">
  <authors>
    <author>ROG</author>
  </authors>
  <commentList>
    <comment ref="K1" authorId="0" shapeId="0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J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K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M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J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>
  <authors>
    <author>user</author>
  </authors>
  <commentList>
    <comment ref="L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<sst xmlns="http://schemas.openxmlformats.org/spreadsheetml/2006/main" count="1171" uniqueCount="338">
  <si>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</si>
  <si>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</si>
  <si>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</si>
  <si>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</si>
  <si>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</si>
  <si>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</si>
  <si>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</si>
  <si>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</si>
  <si>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</si>
  <si>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</si>
  <si>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</si>
  <si>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</si>
  <si>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</si>
  <si>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</si>
  <si>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</si>
  <si>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</si>
  <si>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</si>
  <si>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</si>
  <si>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</si>
  <si>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</si>
  <si>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</si>
  <si>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</si>
  <si>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</si>
  <si>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</si>
  <si>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</si>
  <si>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</si>
  <si>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</si>
  <si>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</si>
  <si>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</si>
  <si>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</si>
  <si>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</si>
  <si>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</si>
  <si>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</si>
  <si>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</si>
  <si>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</si>
  <si>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</si>
  <si>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</si>
  <si>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</si>
  <si>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</si>
  <si>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</si>
  <si>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</si>
  <si>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</si>
  <si>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</si>
  <si>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</si>
  <si>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</si>
  <si>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</si>
  <si>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</si>
  <si>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</si>
  <si>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</si>
  <si>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</si>
  <si>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</si>
  <si>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</si>
  <si>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</si>
  <si>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</si>
  <si>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</si>
  <si>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</si>
  <si>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</si>
  <si>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</si>
  <si>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</si>
  <si>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</si>
  <si>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</si>
  <si>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</si>
  <si>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</si>
  <si>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</si>
  <si>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</si>
  <si>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</si>
  <si>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</si>
  <si>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</si>
  <si>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</si>
  <si>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</si>
  <si>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</si>
  <si>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</si>
  <si>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</si>
  <si>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</si>
  <si>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</si>
  <si>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</si>
  <si>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</si>
  <si>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</si>
  <si>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</si>
  <si>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</si>
  <si>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</si>
  <si>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</si>
  <si>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</si>
  <si>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</si>
  <si>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</si>
  <si>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</si>
  <si>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</si>
  <si>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</si>
  <si>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</si>
  <si>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</si>
  <si>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</si>
  <si>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</si>
  <si>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</si>
  <si>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</si>
  <si>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</si>
  <si>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</si>
  <si>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</si>
  <si>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</si>
  <si>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</si>
  <si>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</si>
  <si>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</si>
  <si>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</si>
  <si>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</si>
  <si>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</si>
  <si>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</si>
  <si>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</si>
  <si>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</si>
  <si>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</si>
  <si>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</si>
  <si>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</si>
  <si>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</si>
  <si>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</si>
  <si>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</si>
  <si>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</si>
  <si>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</si>
  <si>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</si>
  <si>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</si>
  <si>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</si>
  <si>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</si>
  <si>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</si>
  <si>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</si>
  <si>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</si>
  <si>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</si>
  <si>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</si>
  <si>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</si>
  <si>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</si>
  <si>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</si>
  <si>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</si>
  <si>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</si>
  <si>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</si>
  <si>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</si>
  <si>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</si>
  <si>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</si>
  <si>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</si>
  <si>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</si>
  <si>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</si>
  <si>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</si>
  <si>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</si>
  <si>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</si>
  <si>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</si>
  <si>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</si>
  <si>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</si>
  <si>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</si>
  <si>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</si>
  <si>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</si>
  <si>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</si>
  <si>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</si>
  <si>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</si>
  <si>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</si>
  <si>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</si>
  <si>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</si>
  <si>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</si>
  <si>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</si>
  <si>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</si>
  <si>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</si>
  <si>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</si>
  <si>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</si>
  <si>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</si>
  <si>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</si>
  <si>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</si>
  <si>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</si>
  <si>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</si>
  <si>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</si>
  <si>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</si>
  <si>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</si>
  <si>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</si>
  <si>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</si>
  <si>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</si>
  <si>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</si>
  <si>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</si>
  <si>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</si>
  <si>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</si>
  <si>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</si>
  <si>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</si>
  <si>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</si>
  <si>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</si>
  <si>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</si>
  <si>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</si>
  <si>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</si>
  <si>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</si>
  <si>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</si>
  <si>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</si>
  <si>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</si>
  <si>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</si>
  <si>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</si>
  <si>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</si>
  <si>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</si>
  <si>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</si>
  <si>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</si>
  <si>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</si>
  <si>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</si>
  <si>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</si>
  <si>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</si>
  <si>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</si>
  <si>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</si>
  <si>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</si>
  <si>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</si>
  <si>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</si>
  <si>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</si>
  <si>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</si>
  <si>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</si>
  <si>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</si>
  <si>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</si>
  <si>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</si>
  <si>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</si>
  <si>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</si>
  <si>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</si>
  <si>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</si>
  <si>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</si>
  <si>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</si>
  <si>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</si>
  <si>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</si>
  <si>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</si>
  <si>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</si>
  <si>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</si>
  <si>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</si>
  <si>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</si>
  <si>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</si>
  <si>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</si>
  <si>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</si>
  <si>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</si>
  <si>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</si>
  <si>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</si>
  <si>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</si>
  <si>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</si>
  <si>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</si>
  <si>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</si>
  <si>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</si>
  <si>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</si>
  <si>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</si>
  <si>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</si>
  <si>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</si>
  <si>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</si>
  <si>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</si>
  <si>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</si>
  <si>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</si>
  <si>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</si>
  <si>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</si>
  <si>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</si>
  <si>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</si>
  <si>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</si>
  <si>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</si>
  <si>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</si>
  <si>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</si>
  <si>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</si>
  <si>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</si>
  <si>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</si>
  <si>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</si>
  <si>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</si>
  <si>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</si>
  <si>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</si>
  <si>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</si>
  <si>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</si>
  <si>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</si>
  <si>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</si>
  <si>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</si>
  <si>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</si>
  <si>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</si>
  <si>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</si>
  <si>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</si>
  <si>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</si>
  <si>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</si>
  <si>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</si>
  <si>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</si>
  <si>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</si>
  <si>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</si>
  <si>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</si>
  <si>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</si>
  <si>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</si>
  <si>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</si>
  <si>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</si>
  <si>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</si>
  <si>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</si>
  <si>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</si>
  <si>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</si>
  <si>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</si>
  <si>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</si>
  <si>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</si>
  <si>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</si>
  <si>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</si>
  <si>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</si>
  <si>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</si>
  <si>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</si>
  <si>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</si>
  <si>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</si>
  <si>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</si>
  <si>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</si>
  <si>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</si>
  <si>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</si>
  <si>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</si>
  <si>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</si>
  <si>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</si>
  <si>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</si>
  <si>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</si>
  <si>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</si>
  <si>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</si>
  <si>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</si>
  <si>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</si>
  <si>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</si>
  <si>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</si>
  <si>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</si>
  <si>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</si>
  <si>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</si>
  <si>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</si>
  <si>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</si>
  <si>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</si>
  <si>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</si>
  <si>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</si>
  <si>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</si>
  <si>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</si>
  <si>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김은비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</si>
  <si>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</si>
  <si>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</si>
  <si>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</si>
  <si>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</si>
  <si>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</si>
  <si>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</si>
  <si>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</si>
  <si>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</si>
  <si>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</si>
  <si>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</si>
  <si>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</si>
  <si>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</si>
  <si>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</si>
  <si>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</si>
  <si>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</si>
  <si>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</si>
  <si>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</si>
  <si>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</si>
  <si>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</si>
  <si>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</si>
  <si>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</si>
  <si>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</si>
  <si>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</si>
  <si>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</si>
  <si>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인천 연수구 동춘태평아파트-2차</t>
  </si>
  <si>
    <t>유영</t>
  </si>
  <si>
    <t>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</si>
</sst>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81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4" xfId="0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0" fontId="0" fillId="11" borderId="4" xfId="0" applyFill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9" borderId="15" xfId="0" applyFill="1" applyBorder="1" applyAlignment="1">
      <alignment horizontal="center" vertical="center" shrinkToFit="1"/>
    </xf>
    <xf numFmtId="0" fontId="0" fillId="11" borderId="15" xfId="0" applyFill="1" applyBorder="1" applyAlignment="1">
      <alignment horizontal="center" vertical="center" shrinkToFit="1"/>
    </xf>
    <xf numFmtId="0" fontId="0" fillId="0" borderId="1" xfId="0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</cellXfs>
  <cellStyles count="3">
    <cellStyle name="쉼표 [0]" xfId="1" builtinId="6"/>
    <cellStyle name="쉼표 [0] 2" xfId="2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4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fo">
    <tabColor rgb="FFFFFF00"/>
  </sheetPr>
  <dimension ref="A1:L26"/>
  <sheetViews>
    <sheetView workbookViewId="0">
      <selection activeCell="B6" sqref="B6"/>
    </sheetView>
  </sheetViews>
  <sheetFormatPr defaultRowHeight="16.5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>
      <c r="A1" s="148" t="s">
        <v>37</v>
      </c>
      <c r="B1" s="117" t="s">
        <v>335</v>
      </c>
    </row>
    <row r="2" spans="1:12" ht="20.25" customHeight="1">
      <c r="A2" s="149" t="s">
        <v>36</v>
      </c>
      <c r="B2" s="39" t="str">
        <f>"(와이드) 실측서 ( " &amp; B1 &amp; " ) _"&amp;소장 &amp;"소장"</f>
        <v>(와이드) 실측서 ( 인천 연수구 동춘태평아파트-2차 ) _유영소장</v>
      </c>
      <c r="C2" s="39" t="str">
        <f>"(와이드) 제작변환 자료( "&amp;B1&amp;" ) _"&amp;소장 &amp;"소장"</f>
        <v>(와이드) 제작변환 자료( 인천 연수구 동춘태평아파트-2차 ) _유영소장</v>
      </c>
      <c r="D2" s="154" t="s">
        <v>318</v>
      </c>
      <c r="E2" s="150" t="str">
        <f>"(SO와이드) 실측서 ( " &amp; B1 &amp; " ) _"&amp;소장 &amp;"소장"</f>
        <v>(SO와이드) 실측서 ( 인천 연수구 동춘태평아파트-2차 ) _유영소장</v>
      </c>
      <c r="F2" s="150" t="str">
        <f>"(SO와이드) 제작변환 ( " &amp; B1 &amp; " ) _"&amp;소장 &amp;"소장"</f>
        <v>(SO와이드) 제작변환 ( 인천 연수구 동춘태평아파트-2차 ) _유영소장</v>
      </c>
      <c r="G2" s="152" t="s">
        <v>320</v>
      </c>
      <c r="H2" s="147" t="str">
        <f>"(4CO와이드) 실측서 ( " &amp; B1 &amp; " ) _"&amp;소장 &amp;"소장"</f>
        <v>(4CO와이드) 실측서 ( 인천 연수구 동춘태평아파트-2차 ) _유영소장</v>
      </c>
      <c r="I2" s="147" t="str">
        <f>"(4CO와이드) 제작변환 ( " &amp; B1 &amp; " ) _"&amp;소장 &amp;"소장"</f>
        <v>(4CO와이드) 제작변환 ( 인천 연수구 동춘태평아파트-2차 ) _유영소장</v>
      </c>
      <c r="J2" s="152" t="s">
        <v>322</v>
      </c>
      <c r="K2" s="153" t="str">
        <f>"(2UP) 실측서 ( " &amp; B1 &amp; " ) _"&amp;소장 &amp;"소장"</f>
        <v>(2UP) 실측서 ( 인천 연수구 동춘태평아파트-2차 ) _유영소장</v>
      </c>
      <c r="L2" s="153" t="str">
        <f>"(2UP) 제작변환 ( " &amp; B1 &amp; " ) _"&amp;소장 &amp;"소장"</f>
        <v>(2UP) 제작변환 ( 인천 연수구 동춘태평아파트-2차 ) _유영소장</v>
      </c>
    </row>
    <row r="3" spans="1:12" ht="20.25" customHeight="1">
      <c r="A3" s="149" t="s">
        <v>38</v>
      </c>
      <c r="B3" s="39" t="str">
        <f>"(멍텅구리) 실측서 ( " &amp; B1 &amp; " ) _"&amp;소장 &amp;"소장"</f>
        <v>(멍텅구리) 실측서 ( 인천 연수구 동춘태평아파트-2차 ) _유영소장</v>
      </c>
      <c r="C3" s="39" t="str">
        <f>"(멍텅구리) 제작변환 자료( "&amp;B1&amp;" ) _"&amp;소장 &amp;"소장"</f>
        <v>(멍텅구리) 제작변환 자료( 인천 연수구 동춘태평아파트-2차 ) _유영소장</v>
      </c>
      <c r="D3" s="154" t="s">
        <v>319</v>
      </c>
      <c r="E3" s="150" t="str">
        <f>"(SO멍텅구리) 실측서 ( " &amp; B1 &amp; " ) _"&amp;소장 &amp;"소장"</f>
        <v>(SO멍텅구리) 실측서 ( 인천 연수구 동춘태평아파트-2차 ) _유영소장</v>
      </c>
      <c r="F3" s="150" t="str">
        <f>"(SO멍텅구리) 제작변환 ( " &amp; B1 &amp; " ) _"&amp;소장 &amp;"소장"</f>
        <v>(SO멍텅구리) 제작변환 ( 인천 연수구 동춘태평아파트-2차 ) _유영소장</v>
      </c>
      <c r="G3" s="152" t="s">
        <v>321</v>
      </c>
      <c r="H3" s="147" t="str">
        <f>"(4CO멍텅구리) 실측서 ( " &amp; B1 &amp; " ) _"&amp;소장 &amp;"소장"</f>
        <v>(4CO멍텅구리) 실측서 ( 인천 연수구 동춘태평아파트-2차 ) _유영소장</v>
      </c>
      <c r="I3" s="147" t="str">
        <f>"(4CO멍텅구리) 제작변환 ( " &amp; B1 &amp; " ) _"&amp;소장 &amp;"소장"</f>
        <v>(4CO멍텅구리) 제작변환 ( 인천 연수구 동춘태평아파트-2차 ) _유영소장</v>
      </c>
      <c r="J3" s="152" t="s">
        <v>323</v>
      </c>
      <c r="K3" s="153" t="str">
        <f>"(3UP) 실측서 ( " &amp; B1 &amp; " ) _"&amp;소장 &amp;"소장"</f>
        <v>(3UP) 실측서 ( 인천 연수구 동춘태평아파트-2차 ) _유영소장</v>
      </c>
      <c r="L3" s="153" t="str">
        <f>"(3UP) 제작변환 ( " &amp; B1 &amp; " ) _"&amp;소장 &amp;"소장"</f>
        <v>(3UP) 제작변환 ( 인천 연수구 동춘태평아파트-2차 ) _유영소장</v>
      </c>
    </row>
    <row r="4" spans="1:12" ht="20.25" customHeight="1">
      <c r="A4" s="149" t="s">
        <v>39</v>
      </c>
      <c r="B4" s="39" t="str">
        <f>"(쪽쟘) 실측서 ( " &amp; B1 &amp; " ) _"&amp;소장 &amp;"소장"</f>
        <v>(쪽쟘) 실측서 ( 인천 연수구 동춘태평아파트-2차 ) _유영소장</v>
      </c>
      <c r="C4" s="39" t="str">
        <f>"(쪽쟘) 제작변환 자료( "&amp;B1&amp;" ) _"&amp;소장 &amp;"소장"</f>
        <v>(쪽쟘) 제작변환 자료( 인천 연수구 동춘태평아파트-2차 ) _유영소장</v>
      </c>
      <c r="D4" s="151"/>
      <c r="E4" s="151"/>
      <c r="F4" s="151"/>
      <c r="G4" s="151"/>
    </row>
    <row r="5" spans="1:12" ht="84" customHeight="1">
      <c r="A5" s="1" t="s">
        <v>292</v>
      </c>
      <c r="B5" s="69"/>
      <c r="D5" s="145" t="s">
        <v>324</v>
      </c>
    </row>
    <row r="6" spans="1:12" ht="27.75" customHeight="1">
      <c r="A6" s="144" t="s">
        <v>40</v>
      </c>
      <c r="B6" s="146" t="s">
        <v>336</v>
      </c>
    </row>
    <row r="7" spans="1:12" ht="16.5" customHeight="1">
      <c r="A7" s="72" t="s">
        <v>193</v>
      </c>
      <c r="B7" s="118" t="s">
        <v>293</v>
      </c>
    </row>
    <row r="8" spans="1:12" ht="16.5" customHeight="1">
      <c r="A8" s="76" t="s">
        <v>194</v>
      </c>
      <c r="B8" s="118" t="s">
        <v>293</v>
      </c>
    </row>
    <row r="9" spans="1:12" ht="16.5" customHeight="1">
      <c r="A9" s="71" t="s">
        <v>195</v>
      </c>
      <c r="B9" s="118" t="s">
        <v>293</v>
      </c>
    </row>
    <row r="10" spans="1:12" ht="16.5" customHeight="1">
      <c r="A10" s="89" t="s">
        <v>196</v>
      </c>
      <c r="B10" s="167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(0), JB/JD +(0 ),  늘어난치수K -(0),  C + (0),   U + (0), OP - (0), R - (0),  기둥차감 - (0), A + (0)</v>
      </c>
      <c r="C10" s="167"/>
    </row>
    <row r="11" spans="1:12" ht="16.5" customHeight="1">
      <c r="A11" s="90" t="s">
        <v>197</v>
      </c>
      <c r="B11" s="167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+(0 ),  늘어난치수K -(0),  C + (0),  U +(0), OP - (0), R - (0),  기둥차감 - (0),  A + (0)</v>
      </c>
      <c r="C11" s="167"/>
    </row>
    <row r="12" spans="1:12" ht="16.5" customHeight="1">
      <c r="A12" s="90" t="s">
        <v>198</v>
      </c>
      <c r="B12" s="167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7"/>
    </row>
    <row r="13" spans="1:12" ht="16.5" customHeight="1">
      <c r="A13" s="90" t="s">
        <v>251</v>
      </c>
      <c r="B13" s="167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(0), JB/JD +(0 ),  늘어난치수K -(0),  C + (0),   U + (0), OP - (0), R - (0),  기둥차감 - (0),  A + (0)</v>
      </c>
      <c r="C13" s="167"/>
    </row>
    <row r="14" spans="1:12" ht="16.5" customHeight="1">
      <c r="A14" s="90" t="s">
        <v>252</v>
      </c>
      <c r="B14" s="167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+(0 ),  늘어난치수K -(0),  C + (0),  U +(0), OP1/OP2 - (0), R - (0),  기둥차감 - (0), A + (0)</v>
      </c>
      <c r="C14" s="167"/>
    </row>
    <row r="15" spans="1:12" ht="16.5" customHeight="1">
      <c r="A15" s="90" t="s">
        <v>257</v>
      </c>
      <c r="B15" s="167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(0), JB/JD +(0 ),  늘어난치수K -(0),  C + (0),   U + (0), OP1/OP3 - (0), R - (0),  기둥차감 - (0), A + (0)</v>
      </c>
      <c r="C15" s="167"/>
    </row>
    <row r="16" spans="1:12" ht="16.5" customHeight="1">
      <c r="A16" s="90" t="s">
        <v>258</v>
      </c>
      <c r="B16" s="167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+(0 ),  늘어난치수K -(0),  C + (0),  U +(0), OP1/OP3 - (0), R - (0),  기둥차감 - (0), A + (0)</v>
      </c>
      <c r="C16" s="167"/>
    </row>
    <row r="17" spans="1:3" ht="16.5" customHeight="1">
      <c r="A17" s="90" t="s">
        <v>272</v>
      </c>
      <c r="B17" s="167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+(0 ),  늘어난치수K -(0),  C + (0),   U + (0), OP - (0), R - (0),  기둥차감 - (0), A + (0)</v>
      </c>
      <c r="C17" s="167"/>
    </row>
    <row r="18" spans="1:3" ht="16.5" customHeight="1">
      <c r="A18" s="90" t="s">
        <v>273</v>
      </c>
      <c r="B18" s="167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+(0 ),  늘어난치수K -(0),  C + (0),   U + (0), OP - (0), R - (0),  기둥차감 - (0), A + (0)</v>
      </c>
      <c r="C18" s="167"/>
    </row>
    <row r="21" spans="1:3">
      <c r="B21" t="s">
        <v>271</v>
      </c>
    </row>
    <row r="23" spans="1:3" ht="37.5" customHeight="1">
      <c r="A23" s="22" t="s">
        <v>299</v>
      </c>
      <c r="B23" s="124" t="s">
        <v>310</v>
      </c>
    </row>
    <row r="26" spans="1:3">
      <c r="A26">
        <v>20231101</v>
      </c>
      <c r="B26" t="s">
        <v>334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data!$E$4:$E$14</xm:f>
          </x14:formula1>
          <xm:sqref>B6</xm:sqref>
        </x14:dataValidation>
        <x14:dataValidation type="list" showInputMessage="1" showErrorMessage="1">
          <x14:formula1>
            <xm:f>data!$D$3:$D$10</xm:f>
          </x14:formula1>
          <xm:sqref>B5</xm:sqref>
        </x14:dataValidation>
        <x14:dataValidation type="list" allowBlank="1" showInputMessage="1" showErrorMessage="1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Q16"/>
  <sheetViews>
    <sheetView workbookViewId="0">
      <selection activeCell="D5" sqref="D5"/>
    </sheetView>
  </sheetViews>
  <sheetFormatPr defaultRowHeight="16.5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>
      <c r="A2" s="3">
        <f>IF('와이드(실측)'!C7&gt;0,1,0)</f>
        <v>1</v>
      </c>
      <c r="B2" s="3">
        <f>IF('멍텅(실측)'!C7&gt;1,1,0)</f>
        <v>0</v>
      </c>
      <c r="C2" s="3">
        <f>IF('쪽쟘(실측)'!C7&gt;1,1,0)</f>
        <v>1</v>
      </c>
      <c r="D2" s="3" t="str">
        <f>정보!B1</f>
        <v>인천 연수구 동춘태평아파트-2차</v>
      </c>
      <c r="E2" s="3" t="str">
        <f>정보!B6</f>
        <v>유영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>
        <f>정보!B5</f>
        <v>0</v>
      </c>
      <c r="J2" s="87">
        <f ca="1">TODAY()</f>
        <v>45274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김은비</v>
      </c>
    </row>
    <row r="3" spans="1:17" ht="19.5" customHeight="1"/>
    <row r="4" spans="1:17" ht="60.75" customHeight="1">
      <c r="D4" t="s">
        <v>206</v>
      </c>
      <c r="E4" t="s">
        <v>217</v>
      </c>
    </row>
    <row r="5" spans="1:17" ht="60.75" customHeight="1">
      <c r="D5" t="s">
        <v>298</v>
      </c>
      <c r="E5" t="s">
        <v>218</v>
      </c>
      <c r="G5" t="s">
        <v>300</v>
      </c>
    </row>
    <row r="6" spans="1:17" ht="60.75" customHeight="1">
      <c r="D6" t="s">
        <v>209</v>
      </c>
      <c r="E6" t="s">
        <v>219</v>
      </c>
      <c r="G6" t="s">
        <v>301</v>
      </c>
    </row>
    <row r="7" spans="1:17" ht="60.75" customHeight="1">
      <c r="D7" t="s">
        <v>210</v>
      </c>
      <c r="E7" t="s">
        <v>220</v>
      </c>
    </row>
    <row r="8" spans="1:17" ht="67.5" customHeight="1">
      <c r="D8" t="s">
        <v>211</v>
      </c>
      <c r="E8" t="s">
        <v>221</v>
      </c>
    </row>
    <row r="9" spans="1:17" ht="62.25" customHeight="1">
      <c r="D9" t="s">
        <v>291</v>
      </c>
      <c r="E9" t="s">
        <v>222</v>
      </c>
    </row>
    <row r="10" spans="1:17" ht="62.25" customHeight="1">
      <c r="D10" t="s">
        <v>216</v>
      </c>
      <c r="E10" t="s">
        <v>223</v>
      </c>
    </row>
    <row r="11" spans="1:17" ht="71.25" customHeight="1">
      <c r="E11" t="s">
        <v>224</v>
      </c>
    </row>
    <row r="12" spans="1:17" ht="62.25" customHeight="1">
      <c r="E12" t="s">
        <v>316</v>
      </c>
    </row>
    <row r="13" spans="1:17" ht="62.25" customHeight="1">
      <c r="E13" t="s">
        <v>302</v>
      </c>
    </row>
    <row r="14" spans="1:17" ht="62.25" customHeight="1">
      <c r="E14" t="s">
        <v>317</v>
      </c>
    </row>
    <row r="15" spans="1:17" ht="66.75" customHeight="1"/>
    <row r="16" spans="1:17" ht="60.75" customHeight="1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idesheet">
    <pageSetUpPr fitToPage="1"/>
  </sheetPr>
  <dimension ref="A1:AS27"/>
  <sheetViews>
    <sheetView zoomScale="85" zoomScaleNormal="85" workbookViewId="0">
      <selection activeCell="A8" sqref="A8"/>
    </sheetView>
  </sheetViews>
  <sheetFormatPr defaultRowHeight="16.5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>
      <c r="A1" s="181" t="str">
        <f>정보!B2</f>
        <v>(와이드) 실측서 ( 인천 연수구 동춘태평아파트-2차 ) _유영소장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80"/>
      <c r="Z2" s="180"/>
      <c r="AA2" s="180"/>
      <c r="AB2" s="180"/>
      <c r="AC2" s="180"/>
      <c r="AD2" s="180"/>
      <c r="AE2" s="1"/>
      <c r="AF2" s="1"/>
      <c r="AG2" s="1"/>
      <c r="AH2" s="1"/>
      <c r="AI2" s="1"/>
      <c r="AJ2" s="1"/>
    </row>
    <row r="3" spans="1:45" ht="33" customHeight="1">
      <c r="A3" s="126" t="str">
        <f>"현장명 : " &amp; 정보!B1 &amp; ",   (재질) : " &amp; 정보!B7</f>
        <v>현장명 : 인천 연수구 동춘태평아파트-2차,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69" t="s">
        <v>98</v>
      </c>
      <c r="M3" s="169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80"/>
      <c r="Z3" s="180"/>
      <c r="AA3" s="180"/>
      <c r="AB3" s="180"/>
      <c r="AC3" s="180"/>
      <c r="AD3" s="180"/>
      <c r="AE3" s="34"/>
      <c r="AF3" s="34"/>
      <c r="AG3" s="34"/>
      <c r="AH3" s="34"/>
      <c r="AI3" s="34"/>
      <c r="AJ3" s="34"/>
    </row>
    <row r="4" spans="1:45" ht="33" customHeight="1">
      <c r="A4" s="178" t="str">
        <f>정보!B10</f>
        <v>제작치수 반영 : MH + (0), JB/JD +(0 ),  늘어난치수K -(0),  C + (0),   U + (0), OP - (0), R - (0),  기둥차감 - (0), A + (0)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7"/>
      <c r="W4" s="177"/>
      <c r="X4" s="177"/>
      <c r="Y4" s="177"/>
      <c r="Z4" s="177"/>
      <c r="AA4" s="177"/>
      <c r="AB4" s="177"/>
      <c r="AC4" s="177"/>
      <c r="AD4" s="179"/>
      <c r="AE4" s="168" t="s">
        <v>215</v>
      </c>
      <c r="AF4" s="168"/>
      <c r="AG4" s="75"/>
      <c r="AH4" s="9"/>
      <c r="AI4" s="9"/>
      <c r="AJ4" s="9"/>
    </row>
    <row r="5" spans="1:45" ht="25.9" customHeight="1">
      <c r="A5" s="170" t="s">
        <v>0</v>
      </c>
      <c r="B5" s="171" t="s">
        <v>1</v>
      </c>
      <c r="C5" s="171" t="s">
        <v>2</v>
      </c>
      <c r="D5" s="171" t="s">
        <v>24</v>
      </c>
      <c r="E5" s="171" t="s">
        <v>3</v>
      </c>
      <c r="F5" s="171" t="s">
        <v>18</v>
      </c>
      <c r="G5" s="171" t="s">
        <v>4</v>
      </c>
      <c r="H5" s="171" t="s">
        <v>5</v>
      </c>
      <c r="I5" s="171" t="s">
        <v>6</v>
      </c>
      <c r="J5" s="171" t="s">
        <v>7</v>
      </c>
      <c r="K5" s="171" t="s">
        <v>47</v>
      </c>
      <c r="L5" s="171" t="s">
        <v>9</v>
      </c>
      <c r="M5" s="171" t="s">
        <v>12</v>
      </c>
      <c r="N5" s="171" t="s">
        <v>13</v>
      </c>
      <c r="O5" s="171" t="s">
        <v>10</v>
      </c>
      <c r="P5" s="171" t="s">
        <v>11</v>
      </c>
      <c r="Q5" s="171" t="s">
        <v>14</v>
      </c>
      <c r="R5" s="171" t="s">
        <v>15</v>
      </c>
      <c r="S5" s="171" t="s">
        <v>16</v>
      </c>
      <c r="T5" s="171" t="s">
        <v>17</v>
      </c>
      <c r="U5" s="171" t="s">
        <v>19</v>
      </c>
      <c r="V5" s="172" t="s">
        <v>48</v>
      </c>
      <c r="W5" s="172" t="s">
        <v>22</v>
      </c>
      <c r="X5" s="172" t="s">
        <v>23</v>
      </c>
      <c r="Y5" s="171" t="s">
        <v>21</v>
      </c>
      <c r="Z5" s="171"/>
      <c r="AA5" s="171"/>
      <c r="AB5" s="171"/>
      <c r="AC5" s="173" t="s">
        <v>91</v>
      </c>
      <c r="AD5" s="173" t="s">
        <v>92</v>
      </c>
      <c r="AE5" s="175" t="s">
        <v>212</v>
      </c>
      <c r="AF5" s="176"/>
      <c r="AG5" s="172" t="s">
        <v>199</v>
      </c>
      <c r="AH5" s="172" t="s">
        <v>203</v>
      </c>
      <c r="AI5" s="172"/>
      <c r="AJ5" s="172"/>
    </row>
    <row r="6" spans="1:45" ht="44.25" customHeight="1">
      <c r="A6" s="170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2"/>
      <c r="X6" s="172"/>
      <c r="Y6" s="8" t="s">
        <v>43</v>
      </c>
      <c r="Z6" s="8" t="s">
        <v>44</v>
      </c>
      <c r="AA6" s="8" t="s">
        <v>45</v>
      </c>
      <c r="AB6" s="8" t="s">
        <v>46</v>
      </c>
      <c r="AC6" s="174"/>
      <c r="AD6" s="174"/>
      <c r="AE6" s="74" t="s">
        <v>213</v>
      </c>
      <c r="AF6" s="74" t="s">
        <v>214</v>
      </c>
      <c r="AG6" s="171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>
      <c r="A7" s="127" t="s">
        <v>337</v>
      </c>
      <c r="B7" s="4">
        <v>1</v>
      </c>
      <c r="C7" s="4">
        <v>295</v>
      </c>
      <c r="D7" s="4">
        <v>295</v>
      </c>
      <c r="E7" s="4">
        <v>798</v>
      </c>
      <c r="F7" s="4">
        <v>877</v>
      </c>
      <c r="G7" s="4">
        <v>242</v>
      </c>
      <c r="H7" s="4">
        <v>242</v>
      </c>
      <c r="I7" s="4">
        <v>257</v>
      </c>
      <c r="J7" s="4">
        <v>257</v>
      </c>
      <c r="K7" s="13">
        <v>45</v>
      </c>
      <c r="L7" s="13">
        <v>45</v>
      </c>
      <c r="M7" s="4"/>
      <c r="N7" s="4"/>
      <c r="O7" s="4">
        <v>15</v>
      </c>
      <c r="P7" s="4">
        <v>12</v>
      </c>
      <c r="Q7" s="4">
        <v>2095</v>
      </c>
      <c r="R7" s="4">
        <v>2095</v>
      </c>
      <c r="S7" s="4">
        <v>2095</v>
      </c>
      <c r="T7" s="4">
        <v>2095</v>
      </c>
      <c r="U7" s="4">
        <v>40</v>
      </c>
      <c r="V7" s="4">
        <v>0</v>
      </c>
      <c r="W7" s="4">
        <v>30</v>
      </c>
      <c r="X7" s="4">
        <v>30</v>
      </c>
      <c r="Y7" s="4"/>
      <c r="Z7" s="4"/>
      <c r="AA7" s="4"/>
      <c r="AB7" s="4"/>
      <c r="AC7" s="4"/>
      <c r="AD7" s="4"/>
      <c r="AE7" s="4"/>
      <c r="AF7" s="4"/>
      <c r="AG7" s="4"/>
      <c r="AH7" s="4">
        <v>20</v>
      </c>
      <c r="AI7" s="4">
        <v>10</v>
      </c>
      <c r="AJ7" s="4">
        <v>6</v>
      </c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242</v>
      </c>
      <c r="AQ7" s="3">
        <f>H7-$AK7</f>
        <v>242</v>
      </c>
      <c r="AR7" s="3">
        <f>I7-$AK7</f>
        <v>257</v>
      </c>
      <c r="AS7" s="3">
        <f>J7-$AK7</f>
        <v>257</v>
      </c>
    </row>
    <row r="8" spans="1:45" ht="23.25" customHeight="1">
      <c r="A8" s="127">
        <v>2</v>
      </c>
      <c r="B8" s="4">
        <v>1</v>
      </c>
      <c r="C8" s="4">
        <v>295</v>
      </c>
      <c r="D8" s="4">
        <v>295</v>
      </c>
      <c r="E8" s="4">
        <v>798</v>
      </c>
      <c r="F8" s="4">
        <v>882</v>
      </c>
      <c r="G8" s="4">
        <v>257</v>
      </c>
      <c r="H8" s="4">
        <v>257</v>
      </c>
      <c r="I8" s="4">
        <v>272</v>
      </c>
      <c r="J8" s="4">
        <v>272</v>
      </c>
      <c r="K8" s="13">
        <v>45</v>
      </c>
      <c r="L8" s="13">
        <v>45</v>
      </c>
      <c r="M8" s="4"/>
      <c r="N8" s="4"/>
      <c r="O8" s="4">
        <v>22</v>
      </c>
      <c r="P8" s="4">
        <v>15</v>
      </c>
      <c r="Q8" s="4">
        <v>2086</v>
      </c>
      <c r="R8" s="4">
        <v>2086</v>
      </c>
      <c r="S8" s="4">
        <v>2086</v>
      </c>
      <c r="T8" s="4">
        <v>2086</v>
      </c>
      <c r="U8" s="4">
        <v>40</v>
      </c>
      <c r="V8" s="4">
        <v>0</v>
      </c>
      <c r="W8" s="4">
        <v>30</v>
      </c>
      <c r="X8" s="4">
        <v>30</v>
      </c>
      <c r="Y8" s="4"/>
      <c r="Z8" s="4"/>
      <c r="AA8" s="4"/>
      <c r="AB8" s="4"/>
      <c r="AC8" s="4"/>
      <c r="AD8" s="4"/>
      <c r="AE8" s="4"/>
      <c r="AF8" s="4"/>
      <c r="AG8" s="4"/>
      <c r="AH8" s="4">
        <v>20</v>
      </c>
      <c r="AI8" s="4">
        <v>10</v>
      </c>
      <c r="AJ8" s="4">
        <v>6</v>
      </c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257</v>
      </c>
      <c r="AQ8" s="3">
        <f>H8-$AK8</f>
        <v>257</v>
      </c>
      <c r="AR8" s="3">
        <f>I8-$AK8</f>
        <v>272</v>
      </c>
      <c r="AS8" s="3">
        <f>J8-$AK8</f>
        <v>272</v>
      </c>
    </row>
    <row r="9" spans="1:45" ht="23.25" customHeight="1">
      <c r="A9" s="127">
        <v>5</v>
      </c>
      <c r="B9" s="4">
        <v>1</v>
      </c>
      <c r="C9" s="4">
        <v>295</v>
      </c>
      <c r="D9" s="4">
        <v>295</v>
      </c>
      <c r="E9" s="4">
        <v>798</v>
      </c>
      <c r="F9" s="4">
        <v>867</v>
      </c>
      <c r="G9" s="4">
        <v>222</v>
      </c>
      <c r="H9" s="4">
        <v>222</v>
      </c>
      <c r="I9" s="4">
        <v>237</v>
      </c>
      <c r="J9" s="4">
        <v>237</v>
      </c>
      <c r="K9" s="13">
        <v>45</v>
      </c>
      <c r="L9" s="13">
        <v>45</v>
      </c>
      <c r="M9" s="4"/>
      <c r="N9" s="4"/>
      <c r="O9" s="4">
        <v>15</v>
      </c>
      <c r="P9" s="4">
        <v>12</v>
      </c>
      <c r="Q9" s="4">
        <v>2076</v>
      </c>
      <c r="R9" s="4">
        <v>2080</v>
      </c>
      <c r="S9" s="4">
        <v>2076</v>
      </c>
      <c r="T9" s="4">
        <v>2080</v>
      </c>
      <c r="U9" s="4">
        <v>40</v>
      </c>
      <c r="V9" s="4">
        <v>0</v>
      </c>
      <c r="W9" s="4">
        <v>30</v>
      </c>
      <c r="X9" s="4">
        <v>30</v>
      </c>
      <c r="Y9" s="4"/>
      <c r="Z9" s="4"/>
      <c r="AA9" s="4"/>
      <c r="AB9" s="4"/>
      <c r="AC9" s="4"/>
      <c r="AD9" s="4"/>
      <c r="AE9" s="4"/>
      <c r="AF9" s="4"/>
      <c r="AG9" s="4"/>
      <c r="AH9" s="4">
        <v>20</v>
      </c>
      <c r="AI9" s="4">
        <v>10</v>
      </c>
      <c r="AJ9" s="4">
        <v>6</v>
      </c>
    </row>
    <row r="10" spans="1:45" ht="23.25" customHeight="1">
      <c r="A10" s="127">
        <v>6</v>
      </c>
      <c r="B10" s="4">
        <v>1</v>
      </c>
      <c r="C10" s="4">
        <v>295</v>
      </c>
      <c r="D10" s="4">
        <v>295</v>
      </c>
      <c r="E10" s="4">
        <v>798</v>
      </c>
      <c r="F10" s="4">
        <v>872</v>
      </c>
      <c r="G10" s="4">
        <v>222</v>
      </c>
      <c r="H10" s="4">
        <v>222</v>
      </c>
      <c r="I10" s="4">
        <v>237</v>
      </c>
      <c r="J10" s="4">
        <v>237</v>
      </c>
      <c r="K10" s="13">
        <v>45</v>
      </c>
      <c r="L10" s="13">
        <v>45</v>
      </c>
      <c r="M10" s="4"/>
      <c r="N10" s="4"/>
      <c r="O10" s="4">
        <v>17</v>
      </c>
      <c r="P10" s="4">
        <v>12</v>
      </c>
      <c r="Q10" s="4">
        <v>2090</v>
      </c>
      <c r="R10" s="4">
        <v>2090</v>
      </c>
      <c r="S10" s="4">
        <v>2090</v>
      </c>
      <c r="T10" s="4">
        <v>2090</v>
      </c>
      <c r="U10" s="4">
        <v>40</v>
      </c>
      <c r="V10" s="4">
        <v>0</v>
      </c>
      <c r="W10" s="4">
        <v>30</v>
      </c>
      <c r="X10" s="4">
        <v>30</v>
      </c>
      <c r="Y10" s="4"/>
      <c r="Z10" s="4"/>
      <c r="AA10" s="4"/>
      <c r="AB10" s="4"/>
      <c r="AC10" s="4"/>
      <c r="AD10" s="4"/>
      <c r="AE10" s="4"/>
      <c r="AF10" s="4"/>
      <c r="AG10" s="4"/>
      <c r="AH10" s="4">
        <v>20</v>
      </c>
      <c r="AI10" s="4">
        <v>10</v>
      </c>
      <c r="AJ10" s="4">
        <v>6</v>
      </c>
    </row>
    <row r="11" spans="1:45" ht="23.25" customHeight="1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V4:X4"/>
    <mergeCell ref="A4:U4"/>
    <mergeCell ref="Y4:AD4"/>
    <mergeCell ref="Y2:AD3"/>
    <mergeCell ref="A1:X1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idemake">
    <tabColor rgb="FF00B050"/>
    <pageSetUpPr fitToPage="1"/>
  </sheetPr>
  <dimension ref="A1:BI10"/>
  <sheetViews>
    <sheetView zoomScale="85" zoomScaleNormal="85" workbookViewId="0">
      <selection activeCell="A11" sqref="A11:XFD13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>
      <c r="A1" s="235" t="str">
        <f>정보!C2</f>
        <v>(와이드) 제작변환 자료( 인천 연수구 동춘태평아파트-2차 ) _유영소장</v>
      </c>
      <c r="B1" s="235"/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235"/>
      <c r="Y1" s="235"/>
      <c r="Z1" s="235"/>
      <c r="AA1" s="235"/>
      <c r="AB1" s="235"/>
      <c r="AC1" s="235"/>
      <c r="AD1" s="235"/>
      <c r="AE1" s="235"/>
      <c r="AF1" s="235"/>
      <c r="AG1" s="235"/>
      <c r="AH1" s="235"/>
      <c r="AI1" s="235"/>
      <c r="AJ1" s="235"/>
      <c r="AK1" s="235"/>
      <c r="AL1" s="235"/>
      <c r="AM1" s="235"/>
      <c r="AN1" s="235"/>
      <c r="AO1" s="235"/>
      <c r="AP1" s="235"/>
      <c r="AQ1" s="235"/>
      <c r="AR1" s="235"/>
      <c r="AS1" s="37"/>
      <c r="AT1" s="37"/>
    </row>
    <row r="2" spans="1:61" ht="29.25" customHeight="1">
      <c r="A2" s="23" t="s">
        <v>96</v>
      </c>
      <c r="B2" s="105">
        <v>0</v>
      </c>
      <c r="C2" s="27" t="s">
        <v>86</v>
      </c>
      <c r="D2" s="29">
        <v>0</v>
      </c>
      <c r="E2" s="27"/>
      <c r="F2" s="27" t="s">
        <v>87</v>
      </c>
      <c r="G2" s="30">
        <v>0</v>
      </c>
      <c r="H2" s="1"/>
      <c r="I2" s="210" t="s">
        <v>113</v>
      </c>
      <c r="J2" s="211"/>
      <c r="K2" s="211"/>
      <c r="L2" s="211"/>
      <c r="M2" s="212">
        <v>1</v>
      </c>
      <c r="N2" s="212"/>
      <c r="O2" s="203" t="s">
        <v>89</v>
      </c>
      <c r="P2" s="223"/>
      <c r="Q2" s="224">
        <v>0</v>
      </c>
      <c r="R2" s="224"/>
      <c r="S2" s="171" t="s">
        <v>83</v>
      </c>
      <c r="T2" s="226"/>
      <c r="U2" s="226"/>
      <c r="V2" s="227">
        <v>0</v>
      </c>
      <c r="W2" s="227"/>
      <c r="X2" s="205" t="s">
        <v>205</v>
      </c>
      <c r="Y2" s="206"/>
      <c r="Z2" s="209">
        <f>정보!B5</f>
        <v>0</v>
      </c>
      <c r="AA2" s="209"/>
      <c r="AB2" s="209"/>
      <c r="AC2" s="209"/>
      <c r="AD2" s="209"/>
      <c r="AE2" s="209"/>
      <c r="AF2" s="209"/>
      <c r="AG2" s="209"/>
      <c r="AH2" s="207" t="s">
        <v>90</v>
      </c>
      <c r="AI2" s="208"/>
      <c r="AJ2" s="196">
        <v>0</v>
      </c>
      <c r="AK2" s="196"/>
      <c r="AL2" s="1"/>
      <c r="AM2" s="192" t="s">
        <v>229</v>
      </c>
      <c r="AN2" s="193"/>
      <c r="AO2" s="194">
        <v>0</v>
      </c>
      <c r="AP2" s="194"/>
      <c r="AQ2" s="1"/>
      <c r="AR2" s="1"/>
    </row>
    <row r="3" spans="1:61" ht="24.75" customHeight="1">
      <c r="A3" s="28" t="str">
        <f>'와이드(실측)'!A3</f>
        <v>현장명 : 인천 연수구 동춘태평아파트-2차,   (재질) : HL 1.2T</v>
      </c>
      <c r="B3" s="2"/>
      <c r="C3" s="2"/>
      <c r="D3" s="2"/>
      <c r="E3" s="2"/>
      <c r="F3" s="2"/>
      <c r="G3" s="2"/>
      <c r="H3" s="2"/>
      <c r="I3" s="203" t="s">
        <v>228</v>
      </c>
      <c r="J3" s="203"/>
      <c r="K3" s="203"/>
      <c r="L3" s="203"/>
      <c r="M3" s="213">
        <v>0</v>
      </c>
      <c r="N3" s="213"/>
      <c r="O3" s="223" t="s">
        <v>77</v>
      </c>
      <c r="P3" s="223"/>
      <c r="Q3" s="230">
        <v>0</v>
      </c>
      <c r="R3" s="230"/>
      <c r="S3" s="231" t="s">
        <v>227</v>
      </c>
      <c r="T3" s="231"/>
      <c r="U3" s="231"/>
      <c r="V3" s="232">
        <f>BI7</f>
        <v>1</v>
      </c>
      <c r="W3" s="232"/>
      <c r="X3" s="225" t="s">
        <v>78</v>
      </c>
      <c r="Y3" s="225"/>
      <c r="Z3" s="233">
        <v>0</v>
      </c>
      <c r="AA3" s="233"/>
      <c r="AC3" s="214" t="s">
        <v>311</v>
      </c>
      <c r="AD3" s="214"/>
      <c r="AE3" s="214">
        <f>'와이드(실측)'!Y7</f>
        <v>0</v>
      </c>
      <c r="AF3" s="214"/>
      <c r="AG3" s="3"/>
      <c r="AH3" s="204" t="s">
        <v>73</v>
      </c>
      <c r="AI3" s="204"/>
      <c r="AJ3" s="26">
        <v>4</v>
      </c>
      <c r="AK3" s="15" t="s">
        <v>74</v>
      </c>
      <c r="AL3" s="14">
        <v>4</v>
      </c>
      <c r="AM3" s="195" t="s">
        <v>230</v>
      </c>
      <c r="AN3" s="195"/>
      <c r="AO3" s="197" t="s">
        <v>325</v>
      </c>
      <c r="AP3" s="198"/>
      <c r="AQ3" s="201">
        <f>AU7</f>
        <v>9.2702485744945005</v>
      </c>
      <c r="AR3" s="202"/>
      <c r="BI3" s="184" t="s">
        <v>253</v>
      </c>
    </row>
    <row r="4" spans="1:61" ht="33" customHeight="1">
      <c r="A4" s="234" t="str">
        <f>정보!B10</f>
        <v>제작치수 반영 : MH + (0), JB/JD +(0 ),  늘어난치수K -(0),  C + (0),   U + (0), OP - (0), R - (0),  기둥차감 - (0), A + (0)</v>
      </c>
      <c r="B4" s="234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  <c r="W4" s="234"/>
      <c r="X4" s="234"/>
      <c r="Y4" s="234"/>
      <c r="Z4" s="234"/>
      <c r="AA4" s="234"/>
      <c r="AB4" s="234"/>
      <c r="AC4" s="234"/>
      <c r="AD4" s="234"/>
      <c r="AE4" s="234"/>
      <c r="AF4" s="234"/>
      <c r="AG4" s="191">
        <f ca="1">TODAY()</f>
        <v>45274</v>
      </c>
      <c r="AH4" s="177"/>
      <c r="AI4" s="177"/>
      <c r="AJ4" s="9"/>
      <c r="AK4" s="190" t="s">
        <v>117</v>
      </c>
      <c r="AL4" s="190"/>
      <c r="AM4" s="168" t="s">
        <v>215</v>
      </c>
      <c r="AN4" s="168"/>
      <c r="AO4" s="84"/>
      <c r="AP4" s="199" t="s">
        <v>235</v>
      </c>
      <c r="AQ4" s="199"/>
      <c r="AR4" s="200"/>
      <c r="BI4" s="185"/>
    </row>
    <row r="5" spans="1:61" ht="25.9" customHeight="1">
      <c r="A5" s="171" t="s">
        <v>0</v>
      </c>
      <c r="B5" s="171" t="s">
        <v>1</v>
      </c>
      <c r="C5" s="171" t="s">
        <v>2</v>
      </c>
      <c r="D5" s="171" t="s">
        <v>2</v>
      </c>
      <c r="E5" s="171" t="s">
        <v>3</v>
      </c>
      <c r="F5" s="171" t="s">
        <v>18</v>
      </c>
      <c r="G5" s="171" t="s">
        <v>41</v>
      </c>
      <c r="H5" s="171" t="s">
        <v>42</v>
      </c>
      <c r="I5" s="215" t="s">
        <v>105</v>
      </c>
      <c r="J5" s="215" t="s">
        <v>106</v>
      </c>
      <c r="K5" s="188" t="s">
        <v>107</v>
      </c>
      <c r="L5" s="188" t="s">
        <v>108</v>
      </c>
      <c r="M5" s="219" t="s">
        <v>71</v>
      </c>
      <c r="N5" s="219" t="s">
        <v>72</v>
      </c>
      <c r="O5" s="171" t="s">
        <v>8</v>
      </c>
      <c r="P5" s="171" t="s">
        <v>9</v>
      </c>
      <c r="Q5" s="171" t="s">
        <v>12</v>
      </c>
      <c r="R5" s="171" t="s">
        <v>13</v>
      </c>
      <c r="S5" s="171" t="s">
        <v>10</v>
      </c>
      <c r="T5" s="171" t="s">
        <v>11</v>
      </c>
      <c r="U5" s="217" t="s">
        <v>14</v>
      </c>
      <c r="V5" s="217" t="s">
        <v>15</v>
      </c>
      <c r="W5" s="218" t="s">
        <v>16</v>
      </c>
      <c r="X5" s="218" t="s">
        <v>17</v>
      </c>
      <c r="Y5" s="171" t="s">
        <v>19</v>
      </c>
      <c r="Z5" s="171" t="s">
        <v>20</v>
      </c>
      <c r="AA5" s="172" t="s">
        <v>22</v>
      </c>
      <c r="AB5" s="172" t="s">
        <v>23</v>
      </c>
      <c r="AC5" s="228" t="s">
        <v>79</v>
      </c>
      <c r="AD5" s="229"/>
      <c r="AE5" s="229"/>
      <c r="AF5" s="229"/>
      <c r="AG5" s="221" t="s">
        <v>91</v>
      </c>
      <c r="AH5" s="221" t="s">
        <v>92</v>
      </c>
      <c r="AI5" s="236" t="s">
        <v>99</v>
      </c>
      <c r="AJ5" s="172" t="s">
        <v>61</v>
      </c>
      <c r="AK5" s="172" t="s">
        <v>34</v>
      </c>
      <c r="AL5" s="172" t="s">
        <v>35</v>
      </c>
      <c r="AM5" s="175" t="s">
        <v>212</v>
      </c>
      <c r="AN5" s="176"/>
      <c r="AO5" s="186" t="s">
        <v>199</v>
      </c>
      <c r="AP5" s="186" t="s">
        <v>204</v>
      </c>
      <c r="AQ5" s="186"/>
      <c r="AR5" s="186"/>
      <c r="AS5" s="184" t="s">
        <v>100</v>
      </c>
      <c r="AT5" s="184" t="s">
        <v>101</v>
      </c>
      <c r="AU5" s="185" t="s">
        <v>80</v>
      </c>
      <c r="AV5" s="238" t="s">
        <v>84</v>
      </c>
      <c r="AW5" s="241" t="s">
        <v>102</v>
      </c>
      <c r="AX5" s="240" t="s">
        <v>94</v>
      </c>
      <c r="AY5" s="240" t="s">
        <v>95</v>
      </c>
      <c r="AZ5" s="184" t="s">
        <v>93</v>
      </c>
      <c r="BC5" s="192" t="s">
        <v>28</v>
      </c>
      <c r="BD5" s="192"/>
      <c r="BE5" s="192" t="s">
        <v>29</v>
      </c>
      <c r="BF5" s="192"/>
      <c r="BG5" s="6" t="s">
        <v>50</v>
      </c>
      <c r="BH5" s="183" t="s">
        <v>104</v>
      </c>
      <c r="BI5" s="182" t="s">
        <v>226</v>
      </c>
    </row>
    <row r="6" spans="1:61" ht="48" customHeight="1">
      <c r="A6" s="171"/>
      <c r="B6" s="171"/>
      <c r="C6" s="171"/>
      <c r="D6" s="171"/>
      <c r="E6" s="171"/>
      <c r="F6" s="171"/>
      <c r="G6" s="171"/>
      <c r="H6" s="171"/>
      <c r="I6" s="216"/>
      <c r="J6" s="216"/>
      <c r="K6" s="189"/>
      <c r="L6" s="189"/>
      <c r="M6" s="220"/>
      <c r="N6" s="220"/>
      <c r="O6" s="171"/>
      <c r="P6" s="171"/>
      <c r="Q6" s="171"/>
      <c r="R6" s="171"/>
      <c r="S6" s="171"/>
      <c r="T6" s="171"/>
      <c r="U6" s="217"/>
      <c r="V6" s="217"/>
      <c r="W6" s="218"/>
      <c r="X6" s="218"/>
      <c r="Y6" s="171"/>
      <c r="Z6" s="171"/>
      <c r="AA6" s="172"/>
      <c r="AB6" s="172"/>
      <c r="AC6" s="8" t="s">
        <v>67</v>
      </c>
      <c r="AD6" s="8" t="s">
        <v>68</v>
      </c>
      <c r="AE6" s="8" t="s">
        <v>69</v>
      </c>
      <c r="AF6" s="8" t="s">
        <v>70</v>
      </c>
      <c r="AG6" s="222"/>
      <c r="AH6" s="222"/>
      <c r="AI6" s="237"/>
      <c r="AJ6" s="172"/>
      <c r="AK6" s="171"/>
      <c r="AL6" s="171"/>
      <c r="AM6" s="74" t="s">
        <v>213</v>
      </c>
      <c r="AN6" s="74" t="s">
        <v>214</v>
      </c>
      <c r="AO6" s="187"/>
      <c r="AP6" s="109" t="s">
        <v>200</v>
      </c>
      <c r="AQ6" s="109" t="s">
        <v>201</v>
      </c>
      <c r="AR6" s="109" t="s">
        <v>202</v>
      </c>
      <c r="AS6" s="185"/>
      <c r="AT6" s="185"/>
      <c r="AU6" s="185"/>
      <c r="AV6" s="239"/>
      <c r="AW6" s="242"/>
      <c r="AX6" s="240"/>
      <c r="AY6" s="240"/>
      <c r="AZ6" s="185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183"/>
      <c r="BI6" s="182"/>
    </row>
    <row r="7" spans="1:61" ht="26.25" customHeight="1">
      <c r="A7" s="31" t="str">
        <f>'와이드(실측)'!A7</f>
        <v>1</v>
      </c>
      <c r="B7" s="31" t="str">
        <f>'와이드(실측)'!B7&amp;"F"</f>
        <v>1F</v>
      </c>
      <c r="C7" s="31">
        <f>'와이드(실측)'!C7+와이드MH더함-IF(AND(소장="추영덕",Y7=0),1.2)</f>
        <v>295</v>
      </c>
      <c r="D7" s="31">
        <f>'와이드(실측)'!D7+와이드MH더함-IF(AND(소장="추영덕",Y7=0),1.2)</f>
        <v>295</v>
      </c>
      <c r="E7" s="135">
        <f>'와이드(실측)'!E7-와이드OP</f>
        <v>798</v>
      </c>
      <c r="F7" s="31">
        <f>'와이드(실측)'!F7-와이드R</f>
        <v>877</v>
      </c>
      <c r="G7" s="50">
        <f>'와이드(실측)'!G7+와이드JBJD키움치수+IF(BI7=1,AC7,0)</f>
        <v>242</v>
      </c>
      <c r="H7" s="50">
        <f>'와이드(실측)'!H7+와이드JBJD키움치수+IF(BI7=1,AE7,0)</f>
        <v>242</v>
      </c>
      <c r="I7" s="50">
        <f>'와이드(실측)'!I7+MAX(AS7,AT7)+와이드JBJD키움치수+IF(BI7=1,AC7,0)</f>
        <v>257</v>
      </c>
      <c r="J7" s="50">
        <f>'와이드(실측)'!I7+MAX(AS7,AT7)+와이드JBJD키움치수+IF(BI7=1,AD7,0)-IF(와이드JB하부늘치=1,'와이드(실측)'!Y7-'와이드(실측)'!Z7,0)</f>
        <v>257</v>
      </c>
      <c r="K7" s="50">
        <f>'와이드(실측)'!J7+MAX(AS7,AT7)+와이드JBJD키움치수+IF(BI7=1,AE7,0)</f>
        <v>257</v>
      </c>
      <c r="L7" s="50">
        <f>'와이드(실측)'!J7+MAX(AS7,AT7)+와이드JBJD키움치수+IF(BI7=1,AF7,0)-IF(와이드JB하부늘치=1,'와이드(실측)'!AA7-'와이드(실측)'!AB7,0)</f>
        <v>257</v>
      </c>
      <c r="M7" s="31">
        <f t="shared" ref="M7:N7" si="0">IF(소장="손상민",0,O7-1.5)</f>
        <v>43.5</v>
      </c>
      <c r="N7" s="31">
        <f t="shared" si="0"/>
        <v>43.5</v>
      </c>
      <c r="O7" s="31">
        <f>IF(S7&lt;9,'와이드(실측)'!K7+1.2,IF(ISNUMBER('와이드(실측)'!K7),'와이드(실측)'!K7+와이드C값,0))</f>
        <v>45</v>
      </c>
      <c r="P7" s="31">
        <f>IF(T7&lt;9,'와이드(실측)'!L7+1.2,IF(ISNUMBER('와이드(실측)'!L7),'와이드(실측)'!L7+와이드C값,0))</f>
        <v>45</v>
      </c>
      <c r="Q7" s="32">
        <f>ROUNDUP(AV7,1)</f>
        <v>11.7</v>
      </c>
      <c r="R7" s="38">
        <f>ROUNDUP(AW7,1)</f>
        <v>11.7</v>
      </c>
      <c r="S7" s="31">
        <f>IF(ISNUMBER('와이드(실측)'!O7),'와이드(실측)'!O7+와이드제작!AS7+와이드A늘림,0)</f>
        <v>15</v>
      </c>
      <c r="T7" s="31">
        <f>IF(ISNUMBER('와이드(실측)'!P7),'와이드(실측)'!P7+와이드제작!AT7+와이드A늘림,0)</f>
        <v>12</v>
      </c>
      <c r="U7" s="31">
        <f>'와이드(실측)'!Q7-와이드기둥차감</f>
        <v>2095</v>
      </c>
      <c r="V7" s="31">
        <f>'와이드(실측)'!R7-와이드기둥차감</f>
        <v>2095</v>
      </c>
      <c r="W7" s="31">
        <f>'와이드(실측)'!S7-와이드기둥차감</f>
        <v>2095</v>
      </c>
      <c r="X7" s="31">
        <f>'와이드(실측)'!T7-와이드기둥차감</f>
        <v>2095</v>
      </c>
      <c r="Y7" s="31">
        <f>IF(소장="손상민",IF(ISNUMBER('와이드(실측)'!U7),'와이드(실측)'!U7+1.2,0),IF(ISNUMBER('와이드(실측)'!U7),'와이드(실측)'!U7+와이드U,0))</f>
        <v>40</v>
      </c>
      <c r="Z7" s="31">
        <f>IF(소장="손상민",MAX(Q7,R7)+3.2,IF(ISNUMBER('와이드(실측)'!V7),'와이드(실측)'!V7+1.5+와이드제작!Q7+1,0))</f>
        <v>14.2</v>
      </c>
      <c r="AA7" s="31">
        <f>'와이드(실측)'!W7+뒷날개치수더함</f>
        <v>30</v>
      </c>
      <c r="AB7" s="31">
        <f>'와이드(실측)'!X7+뒷날개치수더함</f>
        <v>30</v>
      </c>
      <c r="AC7" s="31">
        <f>'와이드(실측)'!Y7-와이드늘치</f>
        <v>0</v>
      </c>
      <c r="AD7" s="31">
        <f>IF(와이드JB하부늘치=1,AC7,'와이드(실측)'!Z7-와이드늘치)</f>
        <v>0</v>
      </c>
      <c r="AE7" s="31">
        <f>'와이드(실측)'!AA7-와이드늘치</f>
        <v>0</v>
      </c>
      <c r="AF7" s="31">
        <f>IF(와이드JB하부늘치=1,AE7,'와이드(실측)'!AB7-와이드늘치)</f>
        <v>0</v>
      </c>
      <c r="AG7" s="31">
        <f xml:space="preserve"> IF(소장&lt;&gt;"손상민",IF('와이드(실측)'!AC7&gt;0,'와이드(실측)'!AC7,C7-1.2),IF('와이드(실측)'!AC7&gt;0,'와이드(실측)'!AC7+1.2,C7) )</f>
        <v>293.8</v>
      </c>
      <c r="AH7" s="31">
        <f xml:space="preserve"> IF(소장&lt;&gt;"손상민",IF('와이드(실측)'!AD7&gt;0,'와이드(실측)'!AD7,D7-1.2),IF('와이드(실측)'!AD7&gt;0,'와이드(실측)'!AD7+1.2,D7))</f>
        <v>293.8</v>
      </c>
      <c r="AI7" s="51">
        <f>IF(Z7&gt;0,Z7-MAX(Q7,R7),0)</f>
        <v>2.5</v>
      </c>
      <c r="AJ7" s="31" t="str">
        <f t="shared" ref="AJ7" si="1">BA7&amp;"*"&amp;BB7</f>
        <v>964*616.4</v>
      </c>
      <c r="AK7" s="31" t="str">
        <f t="shared" ref="AK7" si="2">BD7&amp;"*"&amp;BC7</f>
        <v>2388.8*342.2</v>
      </c>
      <c r="AL7" s="31" t="str">
        <f t="shared" ref="AL7" si="3">BF7&amp;"*"&amp;BE7</f>
        <v>2388.8*339.2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20</v>
      </c>
      <c r="AQ7" s="31">
        <f>'와이드(실측)'!AI7</f>
        <v>10</v>
      </c>
      <c r="AR7" s="31">
        <f>'와이드(실측)'!AJ7</f>
        <v>6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9.2702485744945005</v>
      </c>
      <c r="AV7" s="21">
        <f>ABS(G7-COS(RADIANS(AU7))*I7)</f>
        <v>11.64345093801407</v>
      </c>
      <c r="AW7" s="21">
        <f>ABS(H7-COS(RADIANS(AU7))*K7)</f>
        <v>11.64345093801407</v>
      </c>
      <c r="AX7" s="21">
        <f>'와이드(실측)'!M7+AS7</f>
        <v>0</v>
      </c>
      <c r="AY7" s="21">
        <f>'와이드(실측)'!N7+AS7</f>
        <v>0</v>
      </c>
      <c r="AZ7" s="20">
        <f>AV7-MAX(AX7,AY7)</f>
        <v>11.64345093801407</v>
      </c>
      <c r="BA7" s="41">
        <f>IF(소장&lt;&gt;"손상민",F7+IF(Y7+Z7&gt;0,N7+M7,0),F7)</f>
        <v>964</v>
      </c>
      <c r="BB7" s="42">
        <f>MAX(C7,D7)+MAX(G7,H7)+AA7-1.2*$AJ$3+IF(BI7=0,MAX(AE7,AC7),0)+IF(Y7=0,1.2,0)+IF(Z7=0,1.2,0)+IF(소장&lt;&gt;"손상민", Y7+Z7,IF('와이드(실측)'!U7=0,0,2.4))</f>
        <v>616.40000000000009</v>
      </c>
      <c r="BC7" s="41">
        <f>S7+O7+MAX(I7,J7)+AB7-1.2*$AL$3+IF(BI7=0,MAX(AD7,AC7),0)+IF(S7=0,1.2,0)-IF(AR7=90,2.4,0)</f>
        <v>342.2</v>
      </c>
      <c r="BD7" s="41">
        <f>MAX(U7,V7)+AG7</f>
        <v>2388.8000000000002</v>
      </c>
      <c r="BE7" s="41">
        <f>T7+P7+MAX(K7,L7)+AB7-1.2*$AL$3+IF(BI7=0,MAX(AE7,AF7),0)+IF(T7=0,1.2,0)-IF(AR7=90,2.4,0)</f>
        <v>339.2</v>
      </c>
      <c r="BF7" s="41">
        <f>MAX(W7,X7)+AH7</f>
        <v>2388.8000000000002</v>
      </c>
      <c r="BG7" s="6">
        <f t="shared" ref="BG7" si="4">I7-G7-Q7</f>
        <v>3.3000000000000007</v>
      </c>
      <c r="BH7" s="43" t="str">
        <f>IF(AND(C7&lt;&gt;D7,Y7&gt;0),"NG","")</f>
        <v/>
      </c>
      <c r="BI7" s="77">
        <f>IF(AND(MIN(AC7,AE7)&gt;=9.2,ABS(F7-E7)&gt;15),0,1)</f>
        <v>1</v>
      </c>
    </row>
    <row r="8" spans="1:61" ht="26.25" customHeight="1">
      <c r="A8" s="31">
        <f>'와이드(실측)'!A8</f>
        <v>2</v>
      </c>
      <c r="B8" s="31" t="str">
        <f>'와이드(실측)'!B8&amp;"F"</f>
        <v>1F</v>
      </c>
      <c r="C8" s="31">
        <f>'와이드(실측)'!C8+와이드MH더함-IF(AND(소장="추영덕",Y8=0),1.2)</f>
        <v>295</v>
      </c>
      <c r="D8" s="31">
        <f>'와이드(실측)'!D8+와이드MH더함-IF(AND(소장="추영덕",Y8=0),1.2)</f>
        <v>295</v>
      </c>
      <c r="E8" s="135">
        <f>'와이드(실측)'!E8-와이드OP</f>
        <v>798</v>
      </c>
      <c r="F8" s="31">
        <f>'와이드(실측)'!F8-와이드R</f>
        <v>882</v>
      </c>
      <c r="G8" s="50">
        <f>'와이드(실측)'!G8+와이드JBJD키움치수+IF(BI8=1,AC8,0)</f>
        <v>257</v>
      </c>
      <c r="H8" s="50">
        <f>'와이드(실측)'!H8+와이드JBJD키움치수+IF(BI8=1,AE8,0)</f>
        <v>257</v>
      </c>
      <c r="I8" s="50">
        <f>'와이드(실측)'!I8+MAX(AS8,AT8)+와이드JBJD키움치수+IF(BI8=1,AC8,0)</f>
        <v>272</v>
      </c>
      <c r="J8" s="50">
        <f>'와이드(실측)'!I8+MAX(AS8,AT8)+와이드JBJD키움치수+IF(BI8=1,AD8,0)-IF(와이드JB하부늘치=1,'와이드(실측)'!Y8-'와이드(실측)'!Z8,0)</f>
        <v>272</v>
      </c>
      <c r="K8" s="50">
        <f>'와이드(실측)'!J8+MAX(AS8,AT8)+와이드JBJD키움치수+IF(BI8=1,AE8,0)</f>
        <v>272</v>
      </c>
      <c r="L8" s="50">
        <f>'와이드(실측)'!J8+MAX(AS8,AT8)+와이드JBJD키움치수+IF(BI8=1,AF8,0)-IF(와이드JB하부늘치=1,'와이드(실측)'!AA8-'와이드(실측)'!AB8,0)</f>
        <v>272</v>
      </c>
      <c r="M8" s="31">
        <f t="shared" ref="M8:M10" si="5">IF(소장="손상민",0,O8-1.5)</f>
        <v>43.5</v>
      </c>
      <c r="N8" s="31">
        <f t="shared" ref="N8:N10" si="6">IF(소장="손상민",0,P8-1.5)</f>
        <v>43.5</v>
      </c>
      <c r="O8" s="31">
        <f>IF(S8&lt;9,'와이드(실측)'!K8+1.2,IF(ISNUMBER('와이드(실측)'!K8),'와이드(실측)'!K8+와이드C값,0))</f>
        <v>45</v>
      </c>
      <c r="P8" s="31">
        <f>IF(T8&lt;9,'와이드(실측)'!L8+1.2,IF(ISNUMBER('와이드(실측)'!L8),'와이드(실측)'!L8+와이드C값,0))</f>
        <v>45</v>
      </c>
      <c r="Q8" s="32">
        <f t="shared" ref="Q8:Q10" si="7">ROUNDUP(AV8,1)</f>
        <v>11.5</v>
      </c>
      <c r="R8" s="38">
        <f t="shared" ref="R8:R10" si="8">ROUNDUP(AW8,1)</f>
        <v>11.5</v>
      </c>
      <c r="S8" s="31">
        <f>IF(ISNUMBER('와이드(실측)'!O8),'와이드(실측)'!O8+와이드제작!AS8+와이드A늘림,0)</f>
        <v>22</v>
      </c>
      <c r="T8" s="31">
        <f>IF(ISNUMBER('와이드(실측)'!P8),'와이드(실측)'!P8+와이드제작!AT8+와이드A늘림,0)</f>
        <v>15</v>
      </c>
      <c r="U8" s="31">
        <f>'와이드(실측)'!Q8-와이드기둥차감</f>
        <v>2086</v>
      </c>
      <c r="V8" s="31">
        <f>'와이드(실측)'!R8-와이드기둥차감</f>
        <v>2086</v>
      </c>
      <c r="W8" s="31">
        <f>'와이드(실측)'!S8-와이드기둥차감</f>
        <v>2086</v>
      </c>
      <c r="X8" s="31">
        <f>'와이드(실측)'!T8-와이드기둥차감</f>
        <v>2086</v>
      </c>
      <c r="Y8" s="31">
        <f>IF(소장="손상민",IF(ISNUMBER('와이드(실측)'!U8),'와이드(실측)'!U8+1.2,0),IF(ISNUMBER('와이드(실측)'!U8),'와이드(실측)'!U8+와이드U,0))</f>
        <v>40</v>
      </c>
      <c r="Z8" s="31">
        <f>IF(소장="손상민",MAX(Q8,R8)+3.2,IF(ISNUMBER('와이드(실측)'!V8),'와이드(실측)'!V8+1.5+와이드제작!Q8+1,0))</f>
        <v>14</v>
      </c>
      <c r="AA8" s="31">
        <f>'와이드(실측)'!W8+뒷날개치수더함</f>
        <v>30</v>
      </c>
      <c r="AB8" s="31">
        <f>'와이드(실측)'!X8+뒷날개치수더함</f>
        <v>30</v>
      </c>
      <c r="AC8" s="31">
        <f>'와이드(실측)'!Y8-와이드늘치</f>
        <v>0</v>
      </c>
      <c r="AD8" s="31">
        <f>IF(와이드JB하부늘치=1,AC8,'와이드(실측)'!Z8-와이드늘치)</f>
        <v>0</v>
      </c>
      <c r="AE8" s="31">
        <f>'와이드(실측)'!AA8-와이드늘치</f>
        <v>0</v>
      </c>
      <c r="AF8" s="31">
        <f>IF(와이드JB하부늘치=1,AE8,'와이드(실측)'!AB8-와이드늘치)</f>
        <v>0</v>
      </c>
      <c r="AG8" s="31">
        <f xml:space="preserve"> IF(소장&lt;&gt;"손상민",IF('와이드(실측)'!AC8&gt;0,'와이드(실측)'!AC8,C8-1.2),IF('와이드(실측)'!AC8&gt;0,'와이드(실측)'!AC8+1.2,C8) )</f>
        <v>293.8</v>
      </c>
      <c r="AH8" s="31">
        <f xml:space="preserve"> IF(소장&lt;&gt;"손상민",IF('와이드(실측)'!AD8&gt;0,'와이드(실측)'!AD8,D8-1.2),IF('와이드(실측)'!AD8&gt;0,'와이드(실측)'!AD8+1.2,D8))</f>
        <v>293.8</v>
      </c>
      <c r="AI8" s="51">
        <f t="shared" ref="AI8:AI10" si="9">IF(Z8&gt;0,Z8-MAX(Q8,R8),0)</f>
        <v>2.5</v>
      </c>
      <c r="AJ8" s="31" t="str">
        <f t="shared" ref="AJ8:AJ10" si="10">BA8&amp;"*"&amp;BB8</f>
        <v>969*631.2</v>
      </c>
      <c r="AK8" s="31" t="str">
        <f t="shared" ref="AK8:AK10" si="11">BD8&amp;"*"&amp;BC8</f>
        <v>2379.8*364.2</v>
      </c>
      <c r="AL8" s="31" t="str">
        <f t="shared" ref="AL8:AL10" si="12">BF8&amp;"*"&amp;BE8</f>
        <v>2379.8*357.2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0</v>
      </c>
      <c r="AP8" s="31">
        <f>IF('와이드(실측)'!AH8&gt;5,'와이드(실측)'!AH8+뒷날개치수더함,'와이드(실측)'!AH8)</f>
        <v>20</v>
      </c>
      <c r="AQ8" s="31">
        <f>'와이드(실측)'!AI8</f>
        <v>10</v>
      </c>
      <c r="AR8" s="31">
        <f>'와이드(실측)'!AJ8</f>
        <v>6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0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0</v>
      </c>
      <c r="AU8" s="20">
        <f t="shared" ref="AU8:AU10" si="13">DEGREES(ATAN((F8-E8)/2/(H8)))</f>
        <v>9.2814649188285898</v>
      </c>
      <c r="AV8" s="21">
        <f t="shared" ref="AV8:AV10" si="14">ABS(G8-COS(RADIANS(AU8))*I8)</f>
        <v>11.438960580955722</v>
      </c>
      <c r="AW8" s="21">
        <f t="shared" ref="AW8:AW10" si="15">ABS(H8-COS(RADIANS(AU8))*K8)</f>
        <v>11.438960580955722</v>
      </c>
      <c r="AX8" s="21">
        <f>'와이드(실측)'!M8+AS8</f>
        <v>0</v>
      </c>
      <c r="AY8" s="21">
        <f>'와이드(실측)'!N8+AS8</f>
        <v>0</v>
      </c>
      <c r="AZ8" s="20">
        <f t="shared" ref="AZ8:AZ10" si="16">AV8-MAX(AX8,AY8)</f>
        <v>11.438960580955722</v>
      </c>
      <c r="BA8" s="41">
        <f>IF(소장&lt;&gt;"손상민",F8+IF(Y8+Z8&gt;0,N8+M8,0),F8)</f>
        <v>969</v>
      </c>
      <c r="BB8" s="42">
        <f>MAX(C8,D8)+MAX(G8,H8)+AA8-1.2*$AJ$3+IF(BI8=0,MAX(AE8,AC8),0)+IF(Y8=0,1.2,0)+IF(Z8=0,1.2,0)+IF(소장&lt;&gt;"손상민", Y8+Z8,IF('와이드(실측)'!U8=0,0,2.4))</f>
        <v>631.20000000000005</v>
      </c>
      <c r="BC8" s="41">
        <f t="shared" ref="BC8:BC10" si="17">S8+O8+MAX(I8,J8)+AB8-1.2*$AL$3+IF(BI8=0,MAX(AD8,AC8),0)+IF(S8=0,1.2,0)-IF(AR8=90,2.4,0)</f>
        <v>364.2</v>
      </c>
      <c r="BD8" s="41">
        <f t="shared" ref="BD8:BD10" si="18">MAX(U8,V8)+AG8</f>
        <v>2379.8000000000002</v>
      </c>
      <c r="BE8" s="41">
        <f t="shared" ref="BE8:BE10" si="19">T8+P8+MAX(K8,L8)+AB8-1.2*$AL$3+IF(BI8=0,MAX(AE8,AF8),0)+IF(T8=0,1.2,0)-IF(AR8=90,2.4,0)</f>
        <v>357.2</v>
      </c>
      <c r="BF8" s="41">
        <f t="shared" ref="BF8:BF10" si="20">MAX(W8,X8)+AH8</f>
        <v>2379.8000000000002</v>
      </c>
      <c r="BG8" s="6">
        <f t="shared" ref="BG8:BG10" si="21">I8-G8-Q8</f>
        <v>3.5</v>
      </c>
      <c r="BH8" s="43" t="str">
        <f t="shared" ref="BH8:BH10" si="22">IF(AND(C8&lt;&gt;D8,Y8&gt;0),"NG","")</f>
        <v/>
      </c>
      <c r="BI8" s="77">
        <f t="shared" ref="BI8:BI10" si="23">IF(AND(MIN(AC8,AE8)&gt;=9.2,ABS(F8-E8)&gt;15),0,1)</f>
        <v>1</v>
      </c>
    </row>
    <row r="9" spans="1:61" ht="26.25" customHeight="1">
      <c r="A9" s="31">
        <f>'와이드(실측)'!A9</f>
        <v>5</v>
      </c>
      <c r="B9" s="31" t="str">
        <f>'와이드(실측)'!B9&amp;"F"</f>
        <v>1F</v>
      </c>
      <c r="C9" s="31">
        <f>'와이드(실측)'!C9+와이드MH더함-IF(AND(소장="추영덕",Y9=0),1.2)</f>
        <v>295</v>
      </c>
      <c r="D9" s="31">
        <f>'와이드(실측)'!D9+와이드MH더함-IF(AND(소장="추영덕",Y9=0),1.2)</f>
        <v>295</v>
      </c>
      <c r="E9" s="135">
        <f>'와이드(실측)'!E9-와이드OP</f>
        <v>798</v>
      </c>
      <c r="F9" s="31">
        <f>'와이드(실측)'!F9-와이드R</f>
        <v>867</v>
      </c>
      <c r="G9" s="50">
        <f>'와이드(실측)'!G9+와이드JBJD키움치수+IF(BI9=1,AC9,0)</f>
        <v>222</v>
      </c>
      <c r="H9" s="50">
        <f>'와이드(실측)'!H9+와이드JBJD키움치수+IF(BI9=1,AE9,0)</f>
        <v>222</v>
      </c>
      <c r="I9" s="50">
        <f>'와이드(실측)'!I9+MAX(AS9,AT9)+와이드JBJD키움치수+IF(BI9=1,AC9,0)</f>
        <v>237</v>
      </c>
      <c r="J9" s="50">
        <f>'와이드(실측)'!I9+MAX(AS9,AT9)+와이드JBJD키움치수+IF(BI9=1,AD9,0)-IF(와이드JB하부늘치=1,'와이드(실측)'!Y9-'와이드(실측)'!Z9,0)</f>
        <v>237</v>
      </c>
      <c r="K9" s="50">
        <f>'와이드(실측)'!J9+MAX(AS9,AT9)+와이드JBJD키움치수+IF(BI9=1,AE9,0)</f>
        <v>237</v>
      </c>
      <c r="L9" s="50">
        <f>'와이드(실측)'!J9+MAX(AS9,AT9)+와이드JBJD키움치수+IF(BI9=1,AF9,0)-IF(와이드JB하부늘치=1,'와이드(실측)'!AA9-'와이드(실측)'!AB9,0)</f>
        <v>237</v>
      </c>
      <c r="M9" s="31">
        <f t="shared" si="5"/>
        <v>43.5</v>
      </c>
      <c r="N9" s="31">
        <f t="shared" si="6"/>
        <v>43.5</v>
      </c>
      <c r="O9" s="31">
        <f>IF(S9&lt;9,'와이드(실측)'!K9+1.2,IF(ISNUMBER('와이드(실측)'!K9),'와이드(실측)'!K9+와이드C값,0))</f>
        <v>45</v>
      </c>
      <c r="P9" s="31">
        <f>IF(T9&lt;9,'와이드(실측)'!L9+1.2,IF(ISNUMBER('와이드(실측)'!L9),'와이드(실측)'!L9+와이드C값,0))</f>
        <v>45</v>
      </c>
      <c r="Q9" s="32">
        <f t="shared" si="7"/>
        <v>12.2</v>
      </c>
      <c r="R9" s="38">
        <f t="shared" si="8"/>
        <v>12.2</v>
      </c>
      <c r="S9" s="31">
        <f>IF(ISNUMBER('와이드(실측)'!O9),'와이드(실측)'!O9+와이드제작!AS9+와이드A늘림,0)</f>
        <v>15</v>
      </c>
      <c r="T9" s="31">
        <f>IF(ISNUMBER('와이드(실측)'!P9),'와이드(실측)'!P9+와이드제작!AT9+와이드A늘림,0)</f>
        <v>12</v>
      </c>
      <c r="U9" s="31">
        <f>'와이드(실측)'!Q9-와이드기둥차감</f>
        <v>2076</v>
      </c>
      <c r="V9" s="31">
        <f>'와이드(실측)'!R9-와이드기둥차감</f>
        <v>2080</v>
      </c>
      <c r="W9" s="31">
        <f>'와이드(실측)'!S9-와이드기둥차감</f>
        <v>2076</v>
      </c>
      <c r="X9" s="31">
        <f>'와이드(실측)'!T9-와이드기둥차감</f>
        <v>2080</v>
      </c>
      <c r="Y9" s="31">
        <f>IF(소장="손상민",IF(ISNUMBER('와이드(실측)'!U9),'와이드(실측)'!U9+1.2,0),IF(ISNUMBER('와이드(실측)'!U9),'와이드(실측)'!U9+와이드U,0))</f>
        <v>40</v>
      </c>
      <c r="Z9" s="31">
        <f>IF(소장="손상민",MAX(Q9,R9)+3.2,IF(ISNUMBER('와이드(실측)'!V9),'와이드(실측)'!V9+1.5+와이드제작!Q9+1,0))</f>
        <v>14.7</v>
      </c>
      <c r="AA9" s="31">
        <f>'와이드(실측)'!W9+뒷날개치수더함</f>
        <v>30</v>
      </c>
      <c r="AB9" s="31">
        <f>'와이드(실측)'!X9+뒷날개치수더함</f>
        <v>30</v>
      </c>
      <c r="AC9" s="31">
        <f>'와이드(실측)'!Y9-와이드늘치</f>
        <v>0</v>
      </c>
      <c r="AD9" s="31">
        <f>IF(와이드JB하부늘치=1,AC9,'와이드(실측)'!Z9-와이드늘치)</f>
        <v>0</v>
      </c>
      <c r="AE9" s="31">
        <f>'와이드(실측)'!AA9-와이드늘치</f>
        <v>0</v>
      </c>
      <c r="AF9" s="31">
        <f>IF(와이드JB하부늘치=1,AE9,'와이드(실측)'!AB9-와이드늘치)</f>
        <v>0</v>
      </c>
      <c r="AG9" s="31">
        <f xml:space="preserve"> IF(소장&lt;&gt;"손상민",IF('와이드(실측)'!AC9&gt;0,'와이드(실측)'!AC9,C9-1.2),IF('와이드(실측)'!AC9&gt;0,'와이드(실측)'!AC9+1.2,C9) )</f>
        <v>293.8</v>
      </c>
      <c r="AH9" s="31">
        <f xml:space="preserve"> IF(소장&lt;&gt;"손상민",IF('와이드(실측)'!AD9&gt;0,'와이드(실측)'!AD9,D9-1.2),IF('와이드(실측)'!AD9&gt;0,'와이드(실측)'!AD9+1.2,D9))</f>
        <v>293.8</v>
      </c>
      <c r="AI9" s="51">
        <f t="shared" si="9"/>
        <v>2.5</v>
      </c>
      <c r="AJ9" s="31" t="str">
        <f t="shared" si="10"/>
        <v>954*596.9</v>
      </c>
      <c r="AK9" s="31" t="str">
        <f t="shared" si="11"/>
        <v>2373.8*322.2</v>
      </c>
      <c r="AL9" s="31" t="str">
        <f t="shared" si="12"/>
        <v>2373.8*319.2</v>
      </c>
      <c r="AM9" s="31">
        <f>IF('와이드(실측)'!AE9&gt;0,'와이드(실측)'!AE9-'와이드(실측)'!W9+1.2,0)</f>
        <v>0</v>
      </c>
      <c r="AN9" s="31">
        <f>IF('와이드(실측)'!AF9&gt;0,'와이드(실측)'!AF9-'와이드(실측)'!W9+1.2,0)</f>
        <v>0</v>
      </c>
      <c r="AO9" s="31">
        <f>'와이드(실측)'!AG9</f>
        <v>0</v>
      </c>
      <c r="AP9" s="31">
        <f>IF('와이드(실측)'!AH9&gt;5,'와이드(실측)'!AH9+뒷날개치수더함,'와이드(실측)'!AH9)</f>
        <v>20</v>
      </c>
      <c r="AQ9" s="31">
        <f>'와이드(실측)'!AI9</f>
        <v>10</v>
      </c>
      <c r="AR9" s="31">
        <f>'와이드(실측)'!AJ9</f>
        <v>6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0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0</v>
      </c>
      <c r="AU9" s="20">
        <f t="shared" si="13"/>
        <v>8.8334146512190017</v>
      </c>
      <c r="AV9" s="21">
        <f t="shared" si="14"/>
        <v>12.188941273626398</v>
      </c>
      <c r="AW9" s="21">
        <f t="shared" si="15"/>
        <v>12.188941273626398</v>
      </c>
      <c r="AX9" s="21">
        <f>'와이드(실측)'!M9+AS9</f>
        <v>0</v>
      </c>
      <c r="AY9" s="21">
        <f>'와이드(실측)'!N9+AS9</f>
        <v>0</v>
      </c>
      <c r="AZ9" s="20">
        <f t="shared" si="16"/>
        <v>12.188941273626398</v>
      </c>
      <c r="BA9" s="41">
        <f>IF(소장&lt;&gt;"손상민",F9+IF(Y9+Z9&gt;0,N9+M9,0),F9)</f>
        <v>954</v>
      </c>
      <c r="BB9" s="42">
        <f>MAX(C9,D9)+MAX(G9,H9)+AA9-1.2*$AJ$3+IF(BI9=0,MAX(AE9,AC9),0)+IF(Y9=0,1.2,0)+IF(Z9=0,1.2,0)+IF(소장&lt;&gt;"손상민", Y9+Z9,IF('와이드(실측)'!U9=0,0,2.4))</f>
        <v>596.90000000000009</v>
      </c>
      <c r="BC9" s="41">
        <f t="shared" si="17"/>
        <v>322.2</v>
      </c>
      <c r="BD9" s="41">
        <f t="shared" si="18"/>
        <v>2373.8000000000002</v>
      </c>
      <c r="BE9" s="41">
        <f t="shared" si="19"/>
        <v>319.2</v>
      </c>
      <c r="BF9" s="41">
        <f t="shared" si="20"/>
        <v>2373.8000000000002</v>
      </c>
      <c r="BG9" s="6">
        <f t="shared" si="21"/>
        <v>2.8000000000000007</v>
      </c>
      <c r="BH9" s="43" t="str">
        <f t="shared" si="22"/>
        <v/>
      </c>
      <c r="BI9" s="77">
        <f t="shared" si="23"/>
        <v>1</v>
      </c>
    </row>
    <row r="10" spans="1:61" ht="26.25" customHeight="1">
      <c r="A10" s="31">
        <f>'와이드(실측)'!A10</f>
        <v>6</v>
      </c>
      <c r="B10" s="31" t="str">
        <f>'와이드(실측)'!B10&amp;"F"</f>
        <v>1F</v>
      </c>
      <c r="C10" s="31">
        <f>'와이드(실측)'!C10+와이드MH더함-IF(AND(소장="추영덕",Y10=0),1.2)</f>
        <v>295</v>
      </c>
      <c r="D10" s="31">
        <f>'와이드(실측)'!D10+와이드MH더함-IF(AND(소장="추영덕",Y10=0),1.2)</f>
        <v>295</v>
      </c>
      <c r="E10" s="135">
        <f>'와이드(실측)'!E10-와이드OP</f>
        <v>798</v>
      </c>
      <c r="F10" s="31">
        <f>'와이드(실측)'!F10-와이드R</f>
        <v>872</v>
      </c>
      <c r="G10" s="50">
        <f>'와이드(실측)'!G10+와이드JBJD키움치수+IF(BI10=1,AC10,0)</f>
        <v>222</v>
      </c>
      <c r="H10" s="50">
        <f>'와이드(실측)'!H10+와이드JBJD키움치수+IF(BI10=1,AE10,0)</f>
        <v>222</v>
      </c>
      <c r="I10" s="50">
        <f>'와이드(실측)'!I10+MAX(AS10,AT10)+와이드JBJD키움치수+IF(BI10=1,AC10,0)</f>
        <v>237</v>
      </c>
      <c r="J10" s="50">
        <f>'와이드(실측)'!I10+MAX(AS10,AT10)+와이드JBJD키움치수+IF(BI10=1,AD10,0)-IF(와이드JB하부늘치=1,'와이드(실측)'!Y10-'와이드(실측)'!Z10,0)</f>
        <v>237</v>
      </c>
      <c r="K10" s="50">
        <f>'와이드(실측)'!J10+MAX(AS10,AT10)+와이드JBJD키움치수+IF(BI10=1,AE10,0)</f>
        <v>237</v>
      </c>
      <c r="L10" s="50">
        <f>'와이드(실측)'!J10+MAX(AS10,AT10)+와이드JBJD키움치수+IF(BI10=1,AF10,0)-IF(와이드JB하부늘치=1,'와이드(실측)'!AA10-'와이드(실측)'!AB10,0)</f>
        <v>237</v>
      </c>
      <c r="M10" s="31">
        <f t="shared" si="5"/>
        <v>43.5</v>
      </c>
      <c r="N10" s="31">
        <f t="shared" si="6"/>
        <v>43.5</v>
      </c>
      <c r="O10" s="31">
        <f>IF(S10&lt;9,'와이드(실측)'!K10+1.2,IF(ISNUMBER('와이드(실측)'!K10),'와이드(실측)'!K10+와이드C값,0))</f>
        <v>45</v>
      </c>
      <c r="P10" s="31">
        <f>IF(T10&lt;9,'와이드(실측)'!L10+1.2,IF(ISNUMBER('와이드(실측)'!L10),'와이드(실측)'!L10+와이드C값,0))</f>
        <v>45</v>
      </c>
      <c r="Q10" s="32">
        <f t="shared" si="7"/>
        <v>11.799999999999999</v>
      </c>
      <c r="R10" s="38">
        <f t="shared" si="8"/>
        <v>11.799999999999999</v>
      </c>
      <c r="S10" s="31">
        <f>IF(ISNUMBER('와이드(실측)'!O10),'와이드(실측)'!O10+와이드제작!AS10+와이드A늘림,0)</f>
        <v>17</v>
      </c>
      <c r="T10" s="31">
        <f>IF(ISNUMBER('와이드(실측)'!P10),'와이드(실측)'!P10+와이드제작!AT10+와이드A늘림,0)</f>
        <v>12</v>
      </c>
      <c r="U10" s="31">
        <f>'와이드(실측)'!Q10-와이드기둥차감</f>
        <v>2090</v>
      </c>
      <c r="V10" s="31">
        <f>'와이드(실측)'!R10-와이드기둥차감</f>
        <v>2090</v>
      </c>
      <c r="W10" s="31">
        <f>'와이드(실측)'!S10-와이드기둥차감</f>
        <v>2090</v>
      </c>
      <c r="X10" s="31">
        <f>'와이드(실측)'!T10-와이드기둥차감</f>
        <v>2090</v>
      </c>
      <c r="Y10" s="31">
        <f>IF(소장="손상민",IF(ISNUMBER('와이드(실측)'!U10),'와이드(실측)'!U10+1.2,0),IF(ISNUMBER('와이드(실측)'!U10),'와이드(실측)'!U10+와이드U,0))</f>
        <v>40</v>
      </c>
      <c r="Z10" s="31">
        <f>IF(소장="손상민",MAX(Q10,R10)+3.2,IF(ISNUMBER('와이드(실측)'!V10),'와이드(실측)'!V10+1.5+와이드제작!Q10+1,0))</f>
        <v>14.299999999999999</v>
      </c>
      <c r="AA10" s="31">
        <f>'와이드(실측)'!W10+뒷날개치수더함</f>
        <v>30</v>
      </c>
      <c r="AB10" s="31">
        <f>'와이드(실측)'!X10+뒷날개치수더함</f>
        <v>30</v>
      </c>
      <c r="AC10" s="31">
        <f>'와이드(실측)'!Y10-와이드늘치</f>
        <v>0</v>
      </c>
      <c r="AD10" s="31">
        <f>IF(와이드JB하부늘치=1,AC10,'와이드(실측)'!Z10-와이드늘치)</f>
        <v>0</v>
      </c>
      <c r="AE10" s="31">
        <f>'와이드(실측)'!AA10-와이드늘치</f>
        <v>0</v>
      </c>
      <c r="AF10" s="31">
        <f>IF(와이드JB하부늘치=1,AE10,'와이드(실측)'!AB10-와이드늘치)</f>
        <v>0</v>
      </c>
      <c r="AG10" s="31">
        <f xml:space="preserve"> IF(소장&lt;&gt;"손상민",IF('와이드(실측)'!AC10&gt;0,'와이드(실측)'!AC10,C10-1.2),IF('와이드(실측)'!AC10&gt;0,'와이드(실측)'!AC10+1.2,C10) )</f>
        <v>293.8</v>
      </c>
      <c r="AH10" s="31">
        <f xml:space="preserve"> IF(소장&lt;&gt;"손상민",IF('와이드(실측)'!AD10&gt;0,'와이드(실측)'!AD10,D10-1.2),IF('와이드(실측)'!AD10&gt;0,'와이드(실측)'!AD10+1.2,D10))</f>
        <v>293.8</v>
      </c>
      <c r="AI10" s="51">
        <f t="shared" si="9"/>
        <v>2.5</v>
      </c>
      <c r="AJ10" s="31" t="str">
        <f t="shared" si="10"/>
        <v>959*596.5</v>
      </c>
      <c r="AK10" s="31" t="str">
        <f t="shared" si="11"/>
        <v>2383.8*324.2</v>
      </c>
      <c r="AL10" s="31" t="str">
        <f t="shared" si="12"/>
        <v>2383.8*319.2</v>
      </c>
      <c r="AM10" s="31">
        <f>IF('와이드(실측)'!AE10&gt;0,'와이드(실측)'!AE10-'와이드(실측)'!W10+1.2,0)</f>
        <v>0</v>
      </c>
      <c r="AN10" s="31">
        <f>IF('와이드(실측)'!AF10&gt;0,'와이드(실측)'!AF10-'와이드(실측)'!W10+1.2,0)</f>
        <v>0</v>
      </c>
      <c r="AO10" s="31">
        <f>'와이드(실측)'!AG10</f>
        <v>0</v>
      </c>
      <c r="AP10" s="31">
        <f>IF('와이드(실측)'!AH10&gt;5,'와이드(실측)'!AH10+뒷날개치수더함,'와이드(실측)'!AH10)</f>
        <v>20</v>
      </c>
      <c r="AQ10" s="31">
        <f>'와이드(실측)'!AI10</f>
        <v>10</v>
      </c>
      <c r="AR10" s="31">
        <f>'와이드(실측)'!AJ10</f>
        <v>6</v>
      </c>
      <c r="AS10">
        <f>IF(AND(ISNUMBER('와이드(실측)'!P10),ISNUMBER('와이드(실측)'!O10)),IF(ISNUMBER('와이드(실측)'!O10),IF(9-MIN('와이드(실측)'!O10+와이드A늘림,'와이드(실측)'!P10+와이드A늘림)&lt;0,0,9-MIN('와이드(실측)'!O10+와이드A늘림,'와이드(실측)'!P10+와이드A늘림)),0),IF(ISNUMBER('와이드(실측)'!O10),IF(9-'와이드(실측)'!O10-와이드A늘림&lt;0,0,9-'와이드(실측)'!O10-와이드A늘림),0))</f>
        <v>0</v>
      </c>
      <c r="AT10">
        <f>IF(AND(ISNUMBER('와이드(실측)'!O10),ISNUMBER('와이드(실측)'!P10)),IF(ISNUMBER('와이드(실측)'!P10),IF(9-MIN('와이드(실측)'!P10+와이드A늘림,'와이드(실측)'!O10+와이드A늘림)&lt;0,0,9-MIN('와이드(실측)'!P10+와이드A늘림,'와이드(실측)'!O10+와이드A늘림)),0),IF(ISNUMBER('와이드(실측)'!P10),IF(9-'와이드(실측)'!P10-와이드A늘림&lt;0,0,9-'와이드(실측)'!P10-와이드A늘림),0))</f>
        <v>0</v>
      </c>
      <c r="AU10" s="20">
        <f t="shared" si="13"/>
        <v>9.4623222080256166</v>
      </c>
      <c r="AV10" s="21">
        <f t="shared" si="14"/>
        <v>11.775359948218068</v>
      </c>
      <c r="AW10" s="21">
        <f t="shared" si="15"/>
        <v>11.775359948218068</v>
      </c>
      <c r="AX10" s="21">
        <f>'와이드(실측)'!M10+AS10</f>
        <v>0</v>
      </c>
      <c r="AY10" s="21">
        <f>'와이드(실측)'!N10+AS10</f>
        <v>0</v>
      </c>
      <c r="AZ10" s="20">
        <f t="shared" si="16"/>
        <v>11.775359948218068</v>
      </c>
      <c r="BA10" s="41">
        <f>IF(소장&lt;&gt;"손상민",F10+IF(Y10+Z10&gt;0,N10+M10,0),F10)</f>
        <v>959</v>
      </c>
      <c r="BB10" s="42">
        <f>MAX(C10,D10)+MAX(G10,H10)+AA10-1.2*$AJ$3+IF(BI10=0,MAX(AE10,AC10),0)+IF(Y10=0,1.2,0)+IF(Z10=0,1.2,0)+IF(소장&lt;&gt;"손상민", Y10+Z10,IF('와이드(실측)'!U10=0,0,2.4))</f>
        <v>596.5</v>
      </c>
      <c r="BC10" s="41">
        <f t="shared" si="17"/>
        <v>324.2</v>
      </c>
      <c r="BD10" s="41">
        <f t="shared" si="18"/>
        <v>2383.8000000000002</v>
      </c>
      <c r="BE10" s="41">
        <f t="shared" si="19"/>
        <v>319.2</v>
      </c>
      <c r="BF10" s="41">
        <f t="shared" si="20"/>
        <v>2383.8000000000002</v>
      </c>
      <c r="BG10" s="6">
        <f t="shared" si="21"/>
        <v>3.2000000000000011</v>
      </c>
      <c r="BH10" s="43" t="str">
        <f t="shared" si="22"/>
        <v/>
      </c>
      <c r="BI10" s="77">
        <f t="shared" si="23"/>
        <v>1</v>
      </c>
    </row>
  </sheetData>
  <mergeCells count="84"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5:A6"/>
    <mergeCell ref="B5:B6"/>
    <mergeCell ref="C5:C6"/>
    <mergeCell ref="E5:E6"/>
    <mergeCell ref="F5:F6"/>
    <mergeCell ref="D5:D6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L5:L6"/>
    <mergeCell ref="Y5:Y6"/>
    <mergeCell ref="S5:S6"/>
    <mergeCell ref="T5:T6"/>
    <mergeCell ref="Z5:Z6"/>
    <mergeCell ref="BI5:BI6"/>
    <mergeCell ref="BH5:BH6"/>
    <mergeCell ref="AM4:AN4"/>
    <mergeCell ref="AM5:AN5"/>
    <mergeCell ref="AT5:AT6"/>
    <mergeCell ref="AO5:AO6"/>
    <mergeCell ref="AP5:AR5"/>
  </mergeCells>
  <phoneticPr fontId="1" type="noConversion"/>
  <conditionalFormatting sqref="AI7:AI10">
    <cfRule type="cellIs" dxfId="85" priority="52" operator="greaterThan">
      <formula>3</formula>
    </cfRule>
  </conditionalFormatting>
  <conditionalFormatting sqref="F7:F10">
    <cfRule type="cellIs" dxfId="84" priority="39" operator="greaterThan">
      <formula>1210</formula>
    </cfRule>
  </conditionalFormatting>
  <conditionalFormatting sqref="I7:L10 C7:D10">
    <cfRule type="cellIs" dxfId="83" priority="38" operator="greaterThan">
      <formula>500</formula>
    </cfRule>
  </conditionalFormatting>
  <conditionalFormatting sqref="C7:D10">
    <cfRule type="cellIs" dxfId="82" priority="36" operator="notEqual">
      <formula>$D7</formula>
    </cfRule>
  </conditionalFormatting>
  <conditionalFormatting sqref="D7:D10">
    <cfRule type="cellIs" dxfId="81" priority="35" operator="notEqual">
      <formula>$C7</formula>
    </cfRule>
  </conditionalFormatting>
  <conditionalFormatting sqref="AO7:AR10">
    <cfRule type="cellIs" dxfId="80" priority="17" operator="greaterThan">
      <formula>1.2</formula>
    </cfRule>
  </conditionalFormatting>
  <conditionalFormatting sqref="AO7:AO10">
    <cfRule type="cellIs" dxfId="79" priority="16" operator="greaterThan">
      <formula>0</formula>
    </cfRule>
  </conditionalFormatting>
  <conditionalFormatting sqref="G7:G10">
    <cfRule type="cellIs" dxfId="78" priority="14" operator="notEqual">
      <formula>H7</formula>
    </cfRule>
  </conditionalFormatting>
  <conditionalFormatting sqref="H7:H10">
    <cfRule type="cellIs" dxfId="77" priority="13" operator="notEqual">
      <formula>G7</formula>
    </cfRule>
  </conditionalFormatting>
  <conditionalFormatting sqref="I7:I10">
    <cfRule type="cellIs" dxfId="76" priority="12" operator="notEqual">
      <formula>J7</formula>
    </cfRule>
  </conditionalFormatting>
  <conditionalFormatting sqref="J7:J10">
    <cfRule type="cellIs" dxfId="75" priority="11" operator="notEqual">
      <formula>I7</formula>
    </cfRule>
  </conditionalFormatting>
  <conditionalFormatting sqref="K7:K10">
    <cfRule type="cellIs" dxfId="74" priority="10" operator="notEqual">
      <formula>L7</formula>
    </cfRule>
  </conditionalFormatting>
  <conditionalFormatting sqref="L7:L10">
    <cfRule type="cellIs" dxfId="73" priority="9" operator="notEqual">
      <formula>K7</formula>
    </cfRule>
  </conditionalFormatting>
  <conditionalFormatting sqref="AG7:AG10">
    <cfRule type="cellIs" dxfId="72" priority="8" operator="notEqual">
      <formula>AH7</formula>
    </cfRule>
  </conditionalFormatting>
  <conditionalFormatting sqref="AH7:AH10">
    <cfRule type="cellIs" dxfId="71" priority="7" operator="notEqual">
      <formula>AG7</formula>
    </cfRule>
  </conditionalFormatting>
  <conditionalFormatting sqref="AC7:AF10">
    <cfRule type="expression" dxfId="70" priority="6">
      <formula>$BI7</formula>
    </cfRule>
  </conditionalFormatting>
  <conditionalFormatting sqref="Y7:Y10">
    <cfRule type="expression" dxfId="69" priority="2">
      <formula>소장="손상민"</formula>
    </cfRule>
  </conditionalFormatting>
  <conditionalFormatting sqref="Z7:Z10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>
      <c r="A1" s="180" t="str">
        <f>정보!B3</f>
        <v>(멍텅구리) 실측서 ( 인천 연수구 동춘태평아파트-2차 ) _유영소장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"/>
      <c r="AC1" s="1"/>
      <c r="AD1" s="1"/>
    </row>
    <row r="2" spans="1:39" ht="15" customHeight="1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>
      <c r="A3" s="129" t="str">
        <f>"현장명 : " &amp; 정보!B1 &amp; ",   (재질) : " &amp; 정보!B8</f>
        <v>현장명 : 인천 연수구 동춘태평아파트-2차,   (재질) : HL 1.2T</v>
      </c>
      <c r="B3" s="2"/>
      <c r="C3" s="2"/>
      <c r="D3" s="2"/>
      <c r="E3" s="2"/>
      <c r="F3" s="2"/>
      <c r="G3" s="254"/>
      <c r="H3" s="254"/>
      <c r="I3" s="251"/>
      <c r="J3" s="251"/>
      <c r="K3" s="252"/>
      <c r="L3" s="252"/>
      <c r="M3" s="253"/>
      <c r="N3" s="253"/>
      <c r="O3" s="253"/>
      <c r="P3" s="248" t="s">
        <v>97</v>
      </c>
      <c r="Q3" s="248"/>
      <c r="R3" s="249"/>
      <c r="S3" s="249"/>
      <c r="T3" s="250"/>
      <c r="U3" s="250"/>
    </row>
    <row r="4" spans="1:39" ht="33" customHeight="1">
      <c r="A4" s="178" t="str">
        <f>정보!B11</f>
        <v>제작치수 반영 : JB/JD +(0 ),  늘어난치수K -(0),  C + (0),  U +(0), OP - (0), R - (0),  기둥차감 - (0),  A + (0)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9"/>
      <c r="AA4" s="9"/>
      <c r="AB4" s="168" t="s">
        <v>215</v>
      </c>
      <c r="AC4" s="168"/>
      <c r="AD4" s="81" t="s">
        <v>234</v>
      </c>
    </row>
    <row r="5" spans="1:39" ht="25.9" customHeight="1">
      <c r="A5" s="170" t="s">
        <v>0</v>
      </c>
      <c r="B5" s="171" t="s">
        <v>1</v>
      </c>
      <c r="C5" s="171" t="s">
        <v>3</v>
      </c>
      <c r="D5" s="171" t="s">
        <v>18</v>
      </c>
      <c r="E5" s="171" t="s">
        <v>4</v>
      </c>
      <c r="F5" s="171" t="s">
        <v>5</v>
      </c>
      <c r="G5" s="171" t="s">
        <v>6</v>
      </c>
      <c r="H5" s="171" t="s">
        <v>7</v>
      </c>
      <c r="I5" s="171" t="s">
        <v>8</v>
      </c>
      <c r="J5" s="171" t="s">
        <v>9</v>
      </c>
      <c r="K5" s="171" t="s">
        <v>10</v>
      </c>
      <c r="L5" s="171" t="s">
        <v>11</v>
      </c>
      <c r="M5" s="171" t="s">
        <v>14</v>
      </c>
      <c r="N5" s="171" t="s">
        <v>15</v>
      </c>
      <c r="O5" s="171" t="s">
        <v>16</v>
      </c>
      <c r="P5" s="171" t="s">
        <v>17</v>
      </c>
      <c r="Q5" s="171" t="s">
        <v>19</v>
      </c>
      <c r="R5" s="171" t="s">
        <v>20</v>
      </c>
      <c r="S5" s="243" t="s">
        <v>22</v>
      </c>
      <c r="T5" s="243" t="s">
        <v>23</v>
      </c>
      <c r="U5" s="245" t="s">
        <v>21</v>
      </c>
      <c r="V5" s="246"/>
      <c r="W5" s="246"/>
      <c r="X5" s="247"/>
      <c r="Y5" s="172" t="s">
        <v>203</v>
      </c>
      <c r="Z5" s="172"/>
      <c r="AA5" s="172"/>
      <c r="AB5" s="175" t="s">
        <v>212</v>
      </c>
      <c r="AC5" s="176"/>
      <c r="AD5" s="80" t="s">
        <v>231</v>
      </c>
    </row>
    <row r="6" spans="1:39" ht="47.25" customHeight="1">
      <c r="A6" s="170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244"/>
      <c r="T6" s="244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J5:J6"/>
    <mergeCell ref="O5:O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K5:K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  <mergeCell ref="N5:N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-0.249977111117893"/>
    <pageSetUpPr fitToPage="1"/>
  </sheetPr>
  <dimension ref="A1:BA7"/>
  <sheetViews>
    <sheetView zoomScale="85" zoomScaleNormal="85" workbookViewId="0">
      <selection sqref="A1:AH1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>
      <c r="A1" s="180" t="str">
        <f>정보!C3</f>
        <v>(멍텅구리) 제작변환 자료( 인천 연수구 동춘태평아파트-2차 ) _유영소장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"/>
      <c r="AJ1" s="1"/>
      <c r="AK1" s="279" t="s">
        <v>75</v>
      </c>
      <c r="AL1" s="279"/>
      <c r="AM1" s="279"/>
      <c r="AR1" s="24"/>
    </row>
    <row r="2" spans="1:53" ht="28.5" customHeight="1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85" t="s">
        <v>81</v>
      </c>
      <c r="H2" s="285"/>
      <c r="I2" s="285"/>
      <c r="J2" s="272">
        <v>0</v>
      </c>
      <c r="K2" s="272"/>
      <c r="L2" s="286" t="s">
        <v>113</v>
      </c>
      <c r="M2" s="286"/>
      <c r="N2" s="286"/>
      <c r="O2" s="286"/>
      <c r="P2" s="287">
        <v>1</v>
      </c>
      <c r="Q2" s="287"/>
      <c r="R2" s="273" t="s">
        <v>103</v>
      </c>
      <c r="S2" s="274"/>
      <c r="T2" s="108">
        <v>0</v>
      </c>
      <c r="U2" s="273" t="s">
        <v>88</v>
      </c>
      <c r="V2" s="274"/>
      <c r="W2" s="284">
        <v>0</v>
      </c>
      <c r="X2" s="284"/>
      <c r="Y2" s="264" t="s">
        <v>82</v>
      </c>
      <c r="Z2" s="281"/>
      <c r="AA2" s="282">
        <v>0</v>
      </c>
      <c r="AB2" s="282"/>
      <c r="AC2" s="98" t="s">
        <v>114</v>
      </c>
      <c r="AD2" s="280">
        <v>0</v>
      </c>
      <c r="AE2" s="280"/>
      <c r="AF2" s="1"/>
      <c r="AG2" s="1"/>
      <c r="AH2" s="1"/>
      <c r="AI2" s="1"/>
      <c r="AJ2" s="1"/>
      <c r="AK2" s="279"/>
      <c r="AL2" s="279"/>
      <c r="AM2" s="279"/>
      <c r="AR2" s="24"/>
    </row>
    <row r="3" spans="1:53" ht="33" customHeight="1">
      <c r="A3" s="33" t="str">
        <f>'멍텅(실측)'!A3</f>
        <v>현장명 : 인천 연수구 동춘태평아파트-2차,   (재질) : HL 1.2T</v>
      </c>
      <c r="B3" s="2"/>
      <c r="C3" s="2"/>
      <c r="D3" s="2"/>
      <c r="E3" s="2"/>
      <c r="F3" s="2"/>
      <c r="G3" s="264" t="s">
        <v>76</v>
      </c>
      <c r="H3" s="264"/>
      <c r="I3" s="264"/>
      <c r="J3" s="275">
        <v>0</v>
      </c>
      <c r="K3" s="275"/>
      <c r="L3" s="264" t="s">
        <v>77</v>
      </c>
      <c r="M3" s="264"/>
      <c r="N3" s="276">
        <v>0</v>
      </c>
      <c r="O3" s="276"/>
      <c r="P3" s="277" t="s">
        <v>227</v>
      </c>
      <c r="Q3" s="277"/>
      <c r="R3" s="277"/>
      <c r="S3" s="278">
        <f>AZ7</f>
        <v>1</v>
      </c>
      <c r="T3" s="278"/>
      <c r="U3" s="288" t="s">
        <v>78</v>
      </c>
      <c r="V3" s="288"/>
      <c r="W3" s="283">
        <v>0</v>
      </c>
      <c r="X3" s="283"/>
      <c r="AA3" s="219" t="s">
        <v>73</v>
      </c>
      <c r="AB3" s="219"/>
      <c r="AC3" s="102">
        <v>3</v>
      </c>
      <c r="AD3" s="4" t="s">
        <v>74</v>
      </c>
      <c r="AE3" s="104">
        <v>4</v>
      </c>
      <c r="AF3" s="257" t="s">
        <v>326</v>
      </c>
      <c r="AG3" s="258"/>
      <c r="AH3" s="205"/>
      <c r="AI3" s="259" t="e">
        <f>AN7</f>
        <v>#DIV/0!</v>
      </c>
      <c r="AJ3" s="199"/>
      <c r="AK3" s="25"/>
      <c r="AL3" s="25"/>
      <c r="AM3" s="24"/>
      <c r="AR3" s="24"/>
    </row>
    <row r="4" spans="1:53" ht="33" customHeight="1">
      <c r="A4" s="265" t="str">
        <f>'멍텅(실측)'!A4:Y4</f>
        <v>제작치수 반영 : JB/JD +(0 ),  늘어난치수K -(0),  C + (0),  U +(0), OP - (0), R - (0),  기둥차감 - (0),  A + (0)</v>
      </c>
      <c r="B4" s="265"/>
      <c r="C4" s="265"/>
      <c r="D4" s="265"/>
      <c r="E4" s="265"/>
      <c r="F4" s="265"/>
      <c r="G4" s="265"/>
      <c r="H4" s="265"/>
      <c r="I4" s="265"/>
      <c r="J4" s="265"/>
      <c r="K4" s="265"/>
      <c r="L4" s="265"/>
      <c r="M4" s="265"/>
      <c r="N4" s="265"/>
      <c r="O4" s="265"/>
      <c r="P4" s="265"/>
      <c r="Q4" s="265"/>
      <c r="R4" s="265"/>
      <c r="S4" s="265"/>
      <c r="T4" s="265"/>
      <c r="U4" s="265"/>
      <c r="V4" s="265"/>
      <c r="W4" s="265"/>
      <c r="X4" s="265"/>
      <c r="Y4" s="262" t="s">
        <v>312</v>
      </c>
      <c r="Z4" s="262"/>
      <c r="AA4" s="263">
        <f>'멍텅(실측)'!U7</f>
        <v>0</v>
      </c>
      <c r="AB4" s="263"/>
      <c r="AC4" s="9"/>
      <c r="AD4" s="191">
        <f ca="1">TODAY()</f>
        <v>45274</v>
      </c>
      <c r="AE4" s="177"/>
      <c r="AF4" s="255" t="s">
        <v>235</v>
      </c>
      <c r="AG4" s="255"/>
      <c r="AH4" s="256"/>
      <c r="AI4" s="168" t="s">
        <v>215</v>
      </c>
      <c r="AJ4" s="168"/>
      <c r="AK4" s="25"/>
      <c r="AL4" s="25"/>
      <c r="AM4" s="24"/>
      <c r="AR4" s="24"/>
      <c r="AZ4" s="184" t="s">
        <v>253</v>
      </c>
    </row>
    <row r="5" spans="1:53" ht="25.9" customHeight="1">
      <c r="A5" s="171" t="s">
        <v>0</v>
      </c>
      <c r="B5" s="171" t="s">
        <v>1</v>
      </c>
      <c r="C5" s="171" t="s">
        <v>3</v>
      </c>
      <c r="D5" s="171" t="s">
        <v>18</v>
      </c>
      <c r="E5" s="172" t="s">
        <v>58</v>
      </c>
      <c r="F5" s="172" t="s">
        <v>59</v>
      </c>
      <c r="G5" s="260" t="s">
        <v>60</v>
      </c>
      <c r="H5" s="260" t="s">
        <v>64</v>
      </c>
      <c r="I5" s="270" t="s">
        <v>65</v>
      </c>
      <c r="J5" s="270" t="s">
        <v>66</v>
      </c>
      <c r="K5" s="243" t="s">
        <v>62</v>
      </c>
      <c r="L5" s="243" t="s">
        <v>63</v>
      </c>
      <c r="M5" s="171" t="s">
        <v>8</v>
      </c>
      <c r="N5" s="171" t="s">
        <v>9</v>
      </c>
      <c r="O5" s="171" t="s">
        <v>10</v>
      </c>
      <c r="P5" s="171" t="s">
        <v>11</v>
      </c>
      <c r="Q5" s="171" t="s">
        <v>14</v>
      </c>
      <c r="R5" s="171" t="s">
        <v>15</v>
      </c>
      <c r="S5" s="171" t="s">
        <v>16</v>
      </c>
      <c r="T5" s="171" t="s">
        <v>17</v>
      </c>
      <c r="U5" s="171" t="s">
        <v>19</v>
      </c>
      <c r="V5" s="266" t="s">
        <v>20</v>
      </c>
      <c r="W5" s="243" t="s">
        <v>22</v>
      </c>
      <c r="X5" s="243" t="s">
        <v>23</v>
      </c>
      <c r="Y5" s="245" t="s">
        <v>21</v>
      </c>
      <c r="Z5" s="246"/>
      <c r="AA5" s="246"/>
      <c r="AB5" s="247"/>
      <c r="AC5" s="172" t="s">
        <v>25</v>
      </c>
      <c r="AD5" s="268" t="s">
        <v>34</v>
      </c>
      <c r="AE5" s="172" t="s">
        <v>35</v>
      </c>
      <c r="AF5" s="186" t="s">
        <v>203</v>
      </c>
      <c r="AG5" s="186"/>
      <c r="AH5" s="186"/>
      <c r="AI5" s="175" t="s">
        <v>212</v>
      </c>
      <c r="AJ5" s="176"/>
      <c r="AK5" s="184" t="s">
        <v>305</v>
      </c>
      <c r="AL5" s="184" t="s">
        <v>306</v>
      </c>
      <c r="AM5" s="267" t="s">
        <v>51</v>
      </c>
      <c r="AT5" s="185" t="s">
        <v>28</v>
      </c>
      <c r="AU5" s="185"/>
      <c r="AV5" s="185" t="s">
        <v>29</v>
      </c>
      <c r="AW5" s="185"/>
      <c r="AZ5" s="185"/>
    </row>
    <row r="6" spans="1:53" ht="48" customHeight="1">
      <c r="A6" s="171"/>
      <c r="B6" s="171"/>
      <c r="C6" s="171"/>
      <c r="D6" s="171"/>
      <c r="E6" s="171"/>
      <c r="F6" s="171"/>
      <c r="G6" s="261"/>
      <c r="H6" s="261"/>
      <c r="I6" s="271"/>
      <c r="J6" s="271"/>
      <c r="K6" s="244"/>
      <c r="L6" s="244"/>
      <c r="M6" s="171"/>
      <c r="N6" s="171"/>
      <c r="O6" s="171"/>
      <c r="P6" s="171"/>
      <c r="Q6" s="171"/>
      <c r="R6" s="171"/>
      <c r="S6" s="171"/>
      <c r="T6" s="171"/>
      <c r="U6" s="171"/>
      <c r="V6" s="266"/>
      <c r="W6" s="244"/>
      <c r="X6" s="244"/>
      <c r="Y6" s="8" t="s">
        <v>56</v>
      </c>
      <c r="Z6" s="8" t="s">
        <v>57</v>
      </c>
      <c r="AA6" s="8" t="s">
        <v>54</v>
      </c>
      <c r="AB6" s="8" t="s">
        <v>55</v>
      </c>
      <c r="AC6" s="171"/>
      <c r="AD6" s="269"/>
      <c r="AE6" s="171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85"/>
      <c r="AL6" s="185"/>
      <c r="AM6" s="267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>
      <c r="A7" s="4">
        <f>'멍텅(실측)'!A7</f>
        <v>0</v>
      </c>
      <c r="B7" s="4" t="str">
        <f>'멍텅(실측)'!B7&amp;"F"</f>
        <v>F</v>
      </c>
      <c r="C7" s="4">
        <f>'멍텅(실측)'!C7-멍텅OP</f>
        <v>0</v>
      </c>
      <c r="D7" s="4">
        <f>'멍텅(실측)'!D7-멍텅R</f>
        <v>0</v>
      </c>
      <c r="E7" s="50">
        <f>'멍텅(실측)'!E7+MAX(AK7,AL7)+IF(AZ7=1,Y7,0)+멍텅JBJD늘림치수</f>
        <v>0</v>
      </c>
      <c r="F7" s="50">
        <f>'멍텅(실측)'!F7+MAX(AK7,AL7)+IF(AZ7=1,AA7,0)+멍텅JBJD늘림치수</f>
        <v>0</v>
      </c>
      <c r="G7" s="50">
        <f>'멍텅(실측)'!G7+AK7+IF(AZ7=1,Y7,0)+멍텅JB강제키움+멍텅JBJD늘림치수</f>
        <v>0</v>
      </c>
      <c r="H7" s="50">
        <f>'멍텅(실측)'!G7+AK7+IF(AZ7=1,Z7,0)+멍텅JB강제키움+멍텅JBJD늘림치수-IF(멍텅JB하부늘치=1,'멍텅(실측)'!U7-'멍텅(실측)'!V7,0)</f>
        <v>0</v>
      </c>
      <c r="I7" s="50">
        <f>'멍텅(실측)'!H7+AL7+IF(AZ7=1,AA7,0)+멍텅JB강제키움+멍텅JBJD늘림치수</f>
        <v>0</v>
      </c>
      <c r="J7" s="50">
        <f>'멍텅(실측)'!H7+AL7+IF(AZ7=1,AB7,0)+멍텅JB강제키움+멍텅JBJD늘림치수-IF(멍텅JB하부늘치=1,'멍텅(실측)'!W7-'멍텅(실측)'!X7,0)</f>
        <v>0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0</v>
      </c>
      <c r="Z7" s="13">
        <f>IF(멍텅JB하부늘치=1,Y7,'멍텅(실측)'!V7-멍텅늘치차감)</f>
        <v>0</v>
      </c>
      <c r="AA7" s="13">
        <f>'멍텅(실측)'!W7-멍텅늘치차감</f>
        <v>0</v>
      </c>
      <c r="AB7" s="13">
        <f>IF(멍텅JB하부늘치=1,AA7,'멍텅(실측)'!X7-멍텅늘치차감)</f>
        <v>0</v>
      </c>
      <c r="AC7" s="11" t="str">
        <f t="shared" ref="AC7" si="1">AR7&amp;"*"&amp;AS7</f>
        <v>0*-2.4</v>
      </c>
      <c r="AD7" s="12" t="str">
        <f t="shared" ref="AD7" si="2">AU7&amp;"*"&amp;AT7</f>
        <v>0*-2.6</v>
      </c>
      <c r="AE7" s="10" t="str">
        <f t="shared" ref="AE7" si="3">AW7&amp;"*"&amp;AV7</f>
        <v>0*-2.6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 t="e">
        <f t="shared" ref="AN7" si="4">DEGREES(ATAN((D7-C7)/2/(E7)))</f>
        <v>#DIV/0!</v>
      </c>
      <c r="AO7" s="36" t="e">
        <f>IF(소장="박철우",E7-COS(RADIANS(AN7))*G7+2,E7-COS(RADIANS(AN7))*G7)</f>
        <v>#DIV/0!</v>
      </c>
      <c r="AP7" s="36" t="e">
        <f>IF(소장="박철우",F7-COS(RADIANS(AN7))*I7+2,F7-COS(RADIANS(AN7))*I7)</f>
        <v>#DIV/0!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-2.3999999999999995</v>
      </c>
      <c r="AT7" s="3">
        <f>O7+M7+MAX(G7,H7)+X7-1.2*$AE$3+IF(AZ7=0,MAX(Y7,Z7))+IF(O7=0,1.2,0)-IF(AH7=90,2.4,0)</f>
        <v>-2.5999999999999996</v>
      </c>
      <c r="AU7" s="3">
        <f t="shared" ref="AU7" si="6">MAX(Q7,R7)</f>
        <v>0</v>
      </c>
      <c r="AV7" s="3">
        <f>P7+N7+MAX(I7,J7)+X7-1.2*$AE$3+IF(AZ7=0,MAX(AA7,AB7))+IF(P7=0,1.2,0)-IF(AH7=90,2.4,0)</f>
        <v>-2.5999999999999996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  <mergeCell ref="J2:K2"/>
    <mergeCell ref="U2:V2"/>
    <mergeCell ref="J3:K3"/>
    <mergeCell ref="L3:M3"/>
    <mergeCell ref="N3:O3"/>
    <mergeCell ref="P3:R3"/>
    <mergeCell ref="S3:T3"/>
    <mergeCell ref="H5:H6"/>
    <mergeCell ref="R5:R6"/>
    <mergeCell ref="N5:N6"/>
    <mergeCell ref="I5:I6"/>
    <mergeCell ref="J5:J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F4:AH4"/>
    <mergeCell ref="AI4:AJ4"/>
    <mergeCell ref="AD4:AE4"/>
    <mergeCell ref="AF3:AH3"/>
    <mergeCell ref="AI3:AJ3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rrowsheet">
    <pageSetUpPr fitToPage="1"/>
  </sheetPr>
  <dimension ref="A1:V358"/>
  <sheetViews>
    <sheetView topLeftCell="A5" zoomScaleNormal="100" workbookViewId="0">
      <selection activeCell="E10" sqref="E10"/>
    </sheetView>
  </sheetViews>
  <sheetFormatPr defaultRowHeight="16.5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>
      <c r="A1" s="290" t="str">
        <f>정보!B4</f>
        <v>(쪽쟘) 실측서 ( 인천 연수구 동춘태평아파트-2차 ) _유영소장</v>
      </c>
      <c r="B1" s="290"/>
      <c r="C1" s="290"/>
      <c r="D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  <c r="R1" s="290"/>
      <c r="S1" s="290"/>
      <c r="T1" s="290"/>
      <c r="U1" s="290"/>
      <c r="V1" s="290"/>
    </row>
    <row r="2" spans="1:22" ht="15" customHeight="1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>
      <c r="A3" s="131" t="str">
        <f>"현장명 : " &amp;정보!B1&amp;" , 재질 : " &amp;정보!B9</f>
        <v>현장명 : 인천 연수구 동춘태평아파트-2차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>
      <c r="A5" s="293" t="s">
        <v>118</v>
      </c>
      <c r="B5" s="289" t="s">
        <v>119</v>
      </c>
      <c r="C5" s="289" t="s">
        <v>120</v>
      </c>
      <c r="D5" s="289" t="s">
        <v>121</v>
      </c>
      <c r="E5" s="289" t="s">
        <v>122</v>
      </c>
      <c r="F5" s="289" t="s">
        <v>123</v>
      </c>
      <c r="G5" s="289" t="s">
        <v>124</v>
      </c>
      <c r="H5" s="289" t="s">
        <v>125</v>
      </c>
      <c r="I5" s="289" t="s">
        <v>126</v>
      </c>
      <c r="J5" s="289" t="s">
        <v>128</v>
      </c>
      <c r="K5" s="289" t="s">
        <v>15</v>
      </c>
      <c r="L5" s="289" t="s">
        <v>129</v>
      </c>
      <c r="M5" s="289" t="s">
        <v>130</v>
      </c>
      <c r="N5" s="289" t="s">
        <v>131</v>
      </c>
      <c r="O5" s="289" t="s">
        <v>132</v>
      </c>
      <c r="P5" s="291" t="s">
        <v>133</v>
      </c>
      <c r="Q5" s="291" t="s">
        <v>134</v>
      </c>
      <c r="R5" s="289" t="s">
        <v>135</v>
      </c>
      <c r="S5" s="289"/>
      <c r="T5" s="172" t="s">
        <v>203</v>
      </c>
      <c r="U5" s="172"/>
      <c r="V5" s="172"/>
    </row>
    <row r="6" spans="1:22" ht="25.9" customHeight="1">
      <c r="A6" s="293"/>
      <c r="B6" s="289"/>
      <c r="C6" s="289"/>
      <c r="D6" s="289"/>
      <c r="E6" s="289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92"/>
      <c r="Q6" s="292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>
      <c r="A7" s="60">
        <v>1</v>
      </c>
      <c r="B7" s="60">
        <v>2</v>
      </c>
      <c r="C7" s="60">
        <v>798</v>
      </c>
      <c r="D7" s="60">
        <v>68</v>
      </c>
      <c r="E7" s="60">
        <v>65</v>
      </c>
      <c r="F7" s="60">
        <v>25</v>
      </c>
      <c r="G7" s="60">
        <v>15</v>
      </c>
      <c r="H7" s="60">
        <v>20</v>
      </c>
      <c r="I7" s="60">
        <v>20</v>
      </c>
      <c r="J7" s="119">
        <v>2090</v>
      </c>
      <c r="K7" s="119">
        <v>2090</v>
      </c>
      <c r="L7" s="119">
        <v>2090</v>
      </c>
      <c r="M7" s="119">
        <v>2090</v>
      </c>
      <c r="N7" s="119">
        <v>10</v>
      </c>
      <c r="O7" s="119">
        <v>10</v>
      </c>
      <c r="P7" s="119">
        <v>30</v>
      </c>
      <c r="Q7" s="119">
        <v>30</v>
      </c>
      <c r="R7" s="60"/>
      <c r="S7" s="60"/>
      <c r="T7" s="4">
        <v>20</v>
      </c>
      <c r="U7" s="4">
        <v>10</v>
      </c>
      <c r="V7" s="4">
        <v>6</v>
      </c>
    </row>
    <row r="8" spans="1:22" ht="18" customHeight="1">
      <c r="A8" s="60">
        <v>1</v>
      </c>
      <c r="B8" s="60">
        <v>3</v>
      </c>
      <c r="C8" s="60">
        <v>798</v>
      </c>
      <c r="D8" s="60">
        <v>68</v>
      </c>
      <c r="E8" s="60">
        <v>65</v>
      </c>
      <c r="F8" s="60">
        <v>15</v>
      </c>
      <c r="G8" s="60">
        <v>15</v>
      </c>
      <c r="H8" s="60">
        <v>12</v>
      </c>
      <c r="I8" s="60">
        <v>12</v>
      </c>
      <c r="J8" s="119">
        <v>2090</v>
      </c>
      <c r="K8" s="119">
        <v>2090</v>
      </c>
      <c r="L8" s="119">
        <v>2090</v>
      </c>
      <c r="M8" s="119">
        <v>2090</v>
      </c>
      <c r="N8" s="119">
        <v>10</v>
      </c>
      <c r="O8" s="119">
        <v>10</v>
      </c>
      <c r="P8" s="119">
        <v>30</v>
      </c>
      <c r="Q8" s="119">
        <v>30</v>
      </c>
      <c r="R8" s="60"/>
      <c r="S8" s="60"/>
      <c r="T8" s="4">
        <v>20</v>
      </c>
      <c r="U8" s="4">
        <v>10</v>
      </c>
      <c r="V8" s="4">
        <v>6</v>
      </c>
    </row>
    <row r="9" spans="1:22">
      <c r="A9" s="60">
        <v>1</v>
      </c>
      <c r="B9" s="60">
        <v>5</v>
      </c>
      <c r="C9" s="60">
        <v>798</v>
      </c>
      <c r="D9" s="60">
        <v>68</v>
      </c>
      <c r="E9" s="60">
        <v>65</v>
      </c>
      <c r="F9" s="60">
        <v>25</v>
      </c>
      <c r="G9" s="60">
        <v>25</v>
      </c>
      <c r="H9" s="60">
        <v>20</v>
      </c>
      <c r="I9" s="60">
        <v>20</v>
      </c>
      <c r="J9" s="119">
        <v>2090</v>
      </c>
      <c r="K9" s="119">
        <v>2090</v>
      </c>
      <c r="L9" s="119">
        <v>2090</v>
      </c>
      <c r="M9" s="119">
        <v>2090</v>
      </c>
      <c r="N9" s="119">
        <v>18</v>
      </c>
      <c r="O9" s="119">
        <v>18</v>
      </c>
      <c r="P9" s="119">
        <v>30</v>
      </c>
      <c r="Q9" s="119">
        <v>30</v>
      </c>
      <c r="R9" s="60"/>
      <c r="S9" s="60"/>
      <c r="T9" s="4">
        <v>20</v>
      </c>
      <c r="U9" s="4">
        <v>10</v>
      </c>
      <c r="V9" s="4">
        <v>6</v>
      </c>
    </row>
    <row r="10" spans="1:22">
      <c r="A10" s="60">
        <v>1</v>
      </c>
      <c r="B10" s="60">
        <v>6</v>
      </c>
      <c r="C10" s="60">
        <v>798</v>
      </c>
      <c r="D10" s="60">
        <v>68</v>
      </c>
      <c r="E10" s="60">
        <v>65</v>
      </c>
      <c r="F10" s="60">
        <v>12</v>
      </c>
      <c r="G10" s="60">
        <v>12</v>
      </c>
      <c r="H10" s="60">
        <v>15</v>
      </c>
      <c r="I10" s="60">
        <v>15</v>
      </c>
      <c r="J10" s="119">
        <v>2090</v>
      </c>
      <c r="K10" s="119">
        <v>2090</v>
      </c>
      <c r="L10" s="119">
        <v>2090</v>
      </c>
      <c r="M10" s="119">
        <v>2090</v>
      </c>
      <c r="N10" s="119">
        <v>15</v>
      </c>
      <c r="O10" s="119">
        <v>15</v>
      </c>
      <c r="P10" s="119">
        <v>30</v>
      </c>
      <c r="Q10" s="119">
        <v>30</v>
      </c>
      <c r="R10" s="60"/>
      <c r="S10" s="60"/>
      <c r="T10" s="4">
        <v>20</v>
      </c>
      <c r="U10" s="4">
        <v>10</v>
      </c>
      <c r="V10" s="4">
        <v>6</v>
      </c>
    </row>
    <row r="11" spans="1:22">
      <c r="A11" s="60">
        <v>1</v>
      </c>
      <c r="B11" s="60">
        <v>7</v>
      </c>
      <c r="C11" s="60">
        <v>798</v>
      </c>
      <c r="D11" s="60">
        <v>68</v>
      </c>
      <c r="E11" s="60">
        <v>65</v>
      </c>
      <c r="F11" s="60">
        <v>25</v>
      </c>
      <c r="G11" s="60">
        <v>25</v>
      </c>
      <c r="H11" s="60">
        <v>15</v>
      </c>
      <c r="I11" s="60">
        <v>15</v>
      </c>
      <c r="J11" s="119">
        <v>2090</v>
      </c>
      <c r="K11" s="119">
        <v>2090</v>
      </c>
      <c r="L11" s="119">
        <v>2090</v>
      </c>
      <c r="M11" s="119">
        <v>2090</v>
      </c>
      <c r="N11" s="119">
        <v>20</v>
      </c>
      <c r="O11" s="119">
        <v>20</v>
      </c>
      <c r="P11" s="119">
        <v>30</v>
      </c>
      <c r="Q11" s="119">
        <v>30</v>
      </c>
      <c r="R11" s="60"/>
      <c r="S11" s="60"/>
      <c r="T11" s="4">
        <v>20</v>
      </c>
      <c r="U11" s="4">
        <v>10</v>
      </c>
      <c r="V11" s="4">
        <v>6</v>
      </c>
    </row>
    <row r="12" spans="1:22">
      <c r="A12" s="60">
        <v>2</v>
      </c>
      <c r="B12" s="60">
        <v>2</v>
      </c>
      <c r="C12" s="60">
        <v>798</v>
      </c>
      <c r="D12" s="60">
        <v>68</v>
      </c>
      <c r="E12" s="60">
        <v>65</v>
      </c>
      <c r="F12" s="60">
        <v>17</v>
      </c>
      <c r="G12" s="60">
        <v>17</v>
      </c>
      <c r="H12" s="60">
        <v>17</v>
      </c>
      <c r="I12" s="60">
        <v>17</v>
      </c>
      <c r="J12" s="119">
        <v>2086</v>
      </c>
      <c r="K12" s="119">
        <v>2086</v>
      </c>
      <c r="L12" s="119">
        <v>2086</v>
      </c>
      <c r="M12" s="119">
        <v>2086</v>
      </c>
      <c r="N12" s="119">
        <v>27</v>
      </c>
      <c r="O12" s="119">
        <v>27</v>
      </c>
      <c r="P12" s="119">
        <v>30</v>
      </c>
      <c r="Q12" s="119">
        <v>30</v>
      </c>
      <c r="R12" s="60"/>
      <c r="S12" s="60"/>
      <c r="T12" s="4">
        <v>20</v>
      </c>
      <c r="U12" s="4">
        <v>10</v>
      </c>
      <c r="V12" s="4">
        <v>6</v>
      </c>
    </row>
    <row r="13" spans="1:22">
      <c r="A13" s="60">
        <v>2</v>
      </c>
      <c r="B13" s="60">
        <v>3</v>
      </c>
      <c r="C13" s="60">
        <v>798</v>
      </c>
      <c r="D13" s="60">
        <v>68</v>
      </c>
      <c r="E13" s="60">
        <v>65</v>
      </c>
      <c r="F13" s="60">
        <v>25</v>
      </c>
      <c r="G13" s="60">
        <v>25</v>
      </c>
      <c r="H13" s="60">
        <v>23</v>
      </c>
      <c r="I13" s="60">
        <v>23</v>
      </c>
      <c r="J13" s="119">
        <v>2086</v>
      </c>
      <c r="K13" s="119">
        <v>2086</v>
      </c>
      <c r="L13" s="119">
        <v>2086</v>
      </c>
      <c r="M13" s="119">
        <v>2086</v>
      </c>
      <c r="N13" s="119">
        <v>23</v>
      </c>
      <c r="O13" s="119">
        <v>23</v>
      </c>
      <c r="P13" s="119">
        <v>30</v>
      </c>
      <c r="Q13" s="119">
        <v>30</v>
      </c>
      <c r="R13" s="60"/>
      <c r="S13" s="60"/>
      <c r="T13" s="4">
        <v>20</v>
      </c>
      <c r="U13" s="4">
        <v>10</v>
      </c>
      <c r="V13" s="4">
        <v>6</v>
      </c>
    </row>
    <row r="14" spans="1:22">
      <c r="A14" s="60">
        <v>2</v>
      </c>
      <c r="B14" s="60">
        <v>5</v>
      </c>
      <c r="C14" s="60">
        <v>798</v>
      </c>
      <c r="D14" s="60">
        <v>68</v>
      </c>
      <c r="E14" s="60">
        <v>65</v>
      </c>
      <c r="F14" s="60">
        <v>15</v>
      </c>
      <c r="G14" s="60">
        <v>15</v>
      </c>
      <c r="H14" s="60">
        <v>15</v>
      </c>
      <c r="I14" s="60">
        <v>15</v>
      </c>
      <c r="J14" s="119">
        <v>2086</v>
      </c>
      <c r="K14" s="119">
        <v>2086</v>
      </c>
      <c r="L14" s="119">
        <v>2086</v>
      </c>
      <c r="M14" s="119">
        <v>2086</v>
      </c>
      <c r="N14" s="119">
        <v>25</v>
      </c>
      <c r="O14" s="119">
        <v>25</v>
      </c>
      <c r="P14" s="119">
        <v>30</v>
      </c>
      <c r="Q14" s="119">
        <v>30</v>
      </c>
      <c r="R14" s="60"/>
      <c r="S14" s="60"/>
      <c r="T14" s="4">
        <v>20</v>
      </c>
      <c r="U14" s="4">
        <v>10</v>
      </c>
      <c r="V14" s="4">
        <v>6</v>
      </c>
    </row>
    <row r="15" spans="1:22">
      <c r="A15" s="60">
        <v>2</v>
      </c>
      <c r="B15" s="60">
        <v>6</v>
      </c>
      <c r="C15" s="60">
        <v>798</v>
      </c>
      <c r="D15" s="60">
        <v>68</v>
      </c>
      <c r="E15" s="60">
        <v>65</v>
      </c>
      <c r="F15" s="60">
        <v>25</v>
      </c>
      <c r="G15" s="60">
        <v>25</v>
      </c>
      <c r="H15" s="60">
        <v>25</v>
      </c>
      <c r="I15" s="60">
        <v>25</v>
      </c>
      <c r="J15" s="119">
        <v>2086</v>
      </c>
      <c r="K15" s="119">
        <v>2086</v>
      </c>
      <c r="L15" s="119">
        <v>2086</v>
      </c>
      <c r="M15" s="119">
        <v>2086</v>
      </c>
      <c r="N15" s="119">
        <v>15</v>
      </c>
      <c r="O15" s="119">
        <v>15</v>
      </c>
      <c r="P15" s="119">
        <v>30</v>
      </c>
      <c r="Q15" s="119">
        <v>30</v>
      </c>
      <c r="R15" s="60"/>
      <c r="S15" s="60"/>
      <c r="T15" s="4">
        <v>20</v>
      </c>
      <c r="U15" s="4">
        <v>10</v>
      </c>
      <c r="V15" s="4">
        <v>6</v>
      </c>
    </row>
    <row r="16" spans="1:22">
      <c r="A16" s="60">
        <v>2</v>
      </c>
      <c r="B16" s="60">
        <v>7</v>
      </c>
      <c r="C16" s="60">
        <v>798</v>
      </c>
      <c r="D16" s="60">
        <v>68</v>
      </c>
      <c r="E16" s="60">
        <v>65</v>
      </c>
      <c r="F16" s="60">
        <v>15</v>
      </c>
      <c r="G16" s="60">
        <v>15</v>
      </c>
      <c r="H16" s="60">
        <v>15</v>
      </c>
      <c r="I16" s="60">
        <v>15</v>
      </c>
      <c r="J16" s="119">
        <v>2086</v>
      </c>
      <c r="K16" s="119">
        <v>2086</v>
      </c>
      <c r="L16" s="119">
        <v>2086</v>
      </c>
      <c r="M16" s="119">
        <v>2086</v>
      </c>
      <c r="N16" s="119">
        <v>17</v>
      </c>
      <c r="O16" s="119">
        <v>17</v>
      </c>
      <c r="P16" s="119">
        <v>30</v>
      </c>
      <c r="Q16" s="119">
        <v>30</v>
      </c>
      <c r="R16" s="60"/>
      <c r="S16" s="60"/>
      <c r="T16" s="4">
        <v>20</v>
      </c>
      <c r="U16" s="4">
        <v>10</v>
      </c>
      <c r="V16" s="4">
        <v>6</v>
      </c>
    </row>
    <row r="17" spans="1:22">
      <c r="A17" s="60">
        <v>5</v>
      </c>
      <c r="B17" s="60">
        <v>2</v>
      </c>
      <c r="C17" s="60">
        <v>798</v>
      </c>
      <c r="D17" s="60">
        <v>68</v>
      </c>
      <c r="E17" s="60">
        <v>65</v>
      </c>
      <c r="F17" s="60">
        <v>30</v>
      </c>
      <c r="G17" s="60">
        <v>20</v>
      </c>
      <c r="H17" s="60">
        <v>30</v>
      </c>
      <c r="I17" s="60">
        <v>20</v>
      </c>
      <c r="J17" s="119">
        <v>2086</v>
      </c>
      <c r="K17" s="119">
        <v>2086</v>
      </c>
      <c r="L17" s="119">
        <v>2086</v>
      </c>
      <c r="M17" s="119">
        <v>2086</v>
      </c>
      <c r="N17" s="119">
        <v>15</v>
      </c>
      <c r="O17" s="119">
        <v>15</v>
      </c>
      <c r="P17" s="119">
        <v>30</v>
      </c>
      <c r="Q17" s="119">
        <v>30</v>
      </c>
      <c r="R17" s="60"/>
      <c r="S17" s="60"/>
      <c r="T17" s="4">
        <v>20</v>
      </c>
      <c r="U17" s="4">
        <v>10</v>
      </c>
      <c r="V17" s="4">
        <v>6</v>
      </c>
    </row>
    <row r="18" spans="1:22">
      <c r="A18" s="60">
        <v>5</v>
      </c>
      <c r="B18" s="60">
        <v>3</v>
      </c>
      <c r="C18" s="60">
        <v>798</v>
      </c>
      <c r="D18" s="60">
        <v>68</v>
      </c>
      <c r="E18" s="60">
        <v>65</v>
      </c>
      <c r="F18" s="60">
        <v>18</v>
      </c>
      <c r="G18" s="60">
        <v>18</v>
      </c>
      <c r="H18" s="60">
        <v>13</v>
      </c>
      <c r="I18" s="60">
        <v>13</v>
      </c>
      <c r="J18" s="119">
        <v>2086</v>
      </c>
      <c r="K18" s="119">
        <v>2086</v>
      </c>
      <c r="L18" s="119">
        <v>2086</v>
      </c>
      <c r="M18" s="119">
        <v>2086</v>
      </c>
      <c r="N18" s="119">
        <v>22</v>
      </c>
      <c r="O18" s="119">
        <v>22</v>
      </c>
      <c r="P18" s="119">
        <v>30</v>
      </c>
      <c r="Q18" s="119">
        <v>30</v>
      </c>
      <c r="R18" s="60"/>
      <c r="S18" s="60"/>
      <c r="T18" s="4">
        <v>20</v>
      </c>
      <c r="U18" s="4">
        <v>10</v>
      </c>
      <c r="V18" s="4">
        <v>6</v>
      </c>
    </row>
    <row r="19" spans="1:22">
      <c r="A19" s="60">
        <v>5</v>
      </c>
      <c r="B19" s="60">
        <v>5</v>
      </c>
      <c r="C19" s="60">
        <v>798</v>
      </c>
      <c r="D19" s="60">
        <v>68</v>
      </c>
      <c r="E19" s="60">
        <v>65</v>
      </c>
      <c r="F19" s="60">
        <v>20</v>
      </c>
      <c r="G19" s="60">
        <v>20</v>
      </c>
      <c r="H19" s="60">
        <v>20</v>
      </c>
      <c r="I19" s="60">
        <v>20</v>
      </c>
      <c r="J19" s="119">
        <v>2086</v>
      </c>
      <c r="K19" s="119">
        <v>2086</v>
      </c>
      <c r="L19" s="119">
        <v>2086</v>
      </c>
      <c r="M19" s="119">
        <v>2086</v>
      </c>
      <c r="N19" s="119">
        <v>35</v>
      </c>
      <c r="O19" s="119">
        <v>35</v>
      </c>
      <c r="P19" s="119">
        <v>30</v>
      </c>
      <c r="Q19" s="119">
        <v>30</v>
      </c>
      <c r="R19" s="60"/>
      <c r="S19" s="60"/>
      <c r="T19" s="4">
        <v>20</v>
      </c>
      <c r="U19" s="4">
        <v>10</v>
      </c>
      <c r="V19" s="4">
        <v>6</v>
      </c>
    </row>
    <row r="20" spans="1:22">
      <c r="A20" s="60">
        <v>5</v>
      </c>
      <c r="B20" s="60">
        <v>6</v>
      </c>
      <c r="C20" s="60">
        <v>798</v>
      </c>
      <c r="D20" s="60">
        <v>68</v>
      </c>
      <c r="E20" s="60">
        <v>65</v>
      </c>
      <c r="F20" s="60">
        <v>18</v>
      </c>
      <c r="G20" s="60">
        <v>18</v>
      </c>
      <c r="H20" s="60">
        <v>13</v>
      </c>
      <c r="I20" s="60">
        <v>13</v>
      </c>
      <c r="J20" s="119">
        <v>2086</v>
      </c>
      <c r="K20" s="119">
        <v>2086</v>
      </c>
      <c r="L20" s="119">
        <v>2086</v>
      </c>
      <c r="M20" s="119">
        <v>2086</v>
      </c>
      <c r="N20" s="119">
        <v>30</v>
      </c>
      <c r="O20" s="119">
        <v>30</v>
      </c>
      <c r="P20" s="119">
        <v>30</v>
      </c>
      <c r="Q20" s="119">
        <v>30</v>
      </c>
      <c r="R20" s="60"/>
      <c r="S20" s="60"/>
      <c r="T20" s="4">
        <v>20</v>
      </c>
      <c r="U20" s="4">
        <v>10</v>
      </c>
      <c r="V20" s="4">
        <v>6</v>
      </c>
    </row>
    <row r="21" spans="1:22">
      <c r="A21" s="60">
        <v>5</v>
      </c>
      <c r="B21" s="60">
        <v>7</v>
      </c>
      <c r="C21" s="60">
        <v>798</v>
      </c>
      <c r="D21" s="60">
        <v>68</v>
      </c>
      <c r="E21" s="60">
        <v>65</v>
      </c>
      <c r="F21" s="60">
        <v>13</v>
      </c>
      <c r="G21" s="60">
        <v>13</v>
      </c>
      <c r="H21" s="60">
        <v>13</v>
      </c>
      <c r="I21" s="60">
        <v>13</v>
      </c>
      <c r="J21" s="119">
        <v>2086</v>
      </c>
      <c r="K21" s="119">
        <v>2086</v>
      </c>
      <c r="L21" s="119">
        <v>2086</v>
      </c>
      <c r="M21" s="119">
        <v>2086</v>
      </c>
      <c r="N21" s="119">
        <v>25</v>
      </c>
      <c r="O21" s="119">
        <v>25</v>
      </c>
      <c r="P21" s="119">
        <v>30</v>
      </c>
      <c r="Q21" s="119">
        <v>30</v>
      </c>
      <c r="R21" s="60"/>
      <c r="S21" s="60"/>
      <c r="T21" s="4">
        <v>20</v>
      </c>
      <c r="U21" s="4">
        <v>10</v>
      </c>
      <c r="V21" s="4">
        <v>6</v>
      </c>
    </row>
    <row r="22" spans="1:22">
      <c r="A22" s="60">
        <v>6</v>
      </c>
      <c r="B22" s="60">
        <v>2</v>
      </c>
      <c r="C22" s="60">
        <v>798</v>
      </c>
      <c r="D22" s="60">
        <v>68</v>
      </c>
      <c r="E22" s="60">
        <v>65</v>
      </c>
      <c r="F22" s="60">
        <v>12</v>
      </c>
      <c r="G22" s="60">
        <v>12</v>
      </c>
      <c r="H22" s="60">
        <v>18</v>
      </c>
      <c r="I22" s="60">
        <v>18</v>
      </c>
      <c r="J22" s="119">
        <v>2090</v>
      </c>
      <c r="K22" s="119">
        <v>2090</v>
      </c>
      <c r="L22" s="119">
        <v>2090</v>
      </c>
      <c r="M22" s="119">
        <v>2090</v>
      </c>
      <c r="N22" s="119">
        <v>10</v>
      </c>
      <c r="O22" s="119">
        <v>10</v>
      </c>
      <c r="P22" s="119">
        <v>30</v>
      </c>
      <c r="Q22" s="119">
        <v>30</v>
      </c>
      <c r="R22" s="60"/>
      <c r="S22" s="60"/>
      <c r="T22" s="4">
        <v>20</v>
      </c>
      <c r="U22" s="4">
        <v>10</v>
      </c>
      <c r="V22" s="4">
        <v>6</v>
      </c>
    </row>
    <row r="23" spans="1:22">
      <c r="A23" s="60">
        <v>6</v>
      </c>
      <c r="B23" s="60">
        <v>3</v>
      </c>
      <c r="C23" s="60">
        <v>798</v>
      </c>
      <c r="D23" s="60">
        <v>68</v>
      </c>
      <c r="E23" s="60">
        <v>65</v>
      </c>
      <c r="F23" s="60">
        <v>20</v>
      </c>
      <c r="G23" s="60">
        <v>20</v>
      </c>
      <c r="H23" s="60">
        <v>12</v>
      </c>
      <c r="I23" s="60">
        <v>12</v>
      </c>
      <c r="J23" s="119">
        <v>2090</v>
      </c>
      <c r="K23" s="119">
        <v>2090</v>
      </c>
      <c r="L23" s="119">
        <v>2090</v>
      </c>
      <c r="M23" s="119">
        <v>2090</v>
      </c>
      <c r="N23" s="119">
        <v>13</v>
      </c>
      <c r="O23" s="119">
        <v>13</v>
      </c>
      <c r="P23" s="119">
        <v>30</v>
      </c>
      <c r="Q23" s="119">
        <v>30</v>
      </c>
      <c r="R23" s="60"/>
      <c r="S23" s="60"/>
      <c r="T23" s="4">
        <v>20</v>
      </c>
      <c r="U23" s="4">
        <v>10</v>
      </c>
      <c r="V23" s="4">
        <v>6</v>
      </c>
    </row>
    <row r="24" spans="1:22">
      <c r="A24" s="60">
        <v>6</v>
      </c>
      <c r="B24" s="60">
        <v>5</v>
      </c>
      <c r="C24" s="60">
        <v>798</v>
      </c>
      <c r="D24" s="60">
        <v>68</v>
      </c>
      <c r="E24" s="60">
        <v>65</v>
      </c>
      <c r="F24" s="60">
        <v>12</v>
      </c>
      <c r="G24" s="60">
        <v>12</v>
      </c>
      <c r="H24" s="60">
        <v>12</v>
      </c>
      <c r="I24" s="60">
        <v>12</v>
      </c>
      <c r="J24" s="119">
        <v>2090</v>
      </c>
      <c r="K24" s="119">
        <v>2090</v>
      </c>
      <c r="L24" s="119">
        <v>2090</v>
      </c>
      <c r="M24" s="119">
        <v>2090</v>
      </c>
      <c r="N24" s="119">
        <v>25</v>
      </c>
      <c r="O24" s="119">
        <v>25</v>
      </c>
      <c r="P24" s="119">
        <v>30</v>
      </c>
      <c r="Q24" s="119">
        <v>30</v>
      </c>
      <c r="R24" s="60"/>
      <c r="S24" s="60"/>
      <c r="T24" s="4">
        <v>20</v>
      </c>
      <c r="U24" s="4">
        <v>10</v>
      </c>
      <c r="V24" s="4">
        <v>6</v>
      </c>
    </row>
    <row r="25" spans="1:22">
      <c r="A25" s="60">
        <v>6</v>
      </c>
      <c r="B25" s="60">
        <v>6</v>
      </c>
      <c r="C25" s="60">
        <v>798</v>
      </c>
      <c r="D25" s="60">
        <v>68</v>
      </c>
      <c r="E25" s="60">
        <v>65</v>
      </c>
      <c r="F25" s="60">
        <v>20</v>
      </c>
      <c r="G25" s="60">
        <v>20</v>
      </c>
      <c r="H25" s="60">
        <v>20</v>
      </c>
      <c r="I25" s="60">
        <v>20</v>
      </c>
      <c r="J25" s="119">
        <v>2090</v>
      </c>
      <c r="K25" s="119">
        <v>2090</v>
      </c>
      <c r="L25" s="119">
        <v>2090</v>
      </c>
      <c r="M25" s="119">
        <v>2090</v>
      </c>
      <c r="N25" s="119">
        <v>25</v>
      </c>
      <c r="O25" s="119">
        <v>25</v>
      </c>
      <c r="P25" s="119">
        <v>30</v>
      </c>
      <c r="Q25" s="119">
        <v>30</v>
      </c>
      <c r="R25" s="60"/>
      <c r="S25" s="60"/>
      <c r="T25" s="4">
        <v>20</v>
      </c>
      <c r="U25" s="4">
        <v>10</v>
      </c>
      <c r="V25" s="4">
        <v>6</v>
      </c>
    </row>
    <row r="26" spans="1:22" ht="18" customHeight="1">
      <c r="A26" s="60">
        <v>6</v>
      </c>
      <c r="B26" s="60">
        <v>7</v>
      </c>
      <c r="C26" s="60">
        <v>798</v>
      </c>
      <c r="D26" s="60">
        <v>68</v>
      </c>
      <c r="E26" s="60">
        <v>65</v>
      </c>
      <c r="F26" s="60">
        <v>20</v>
      </c>
      <c r="G26" s="60">
        <v>20</v>
      </c>
      <c r="H26" s="60">
        <v>20</v>
      </c>
      <c r="I26" s="60">
        <v>20</v>
      </c>
      <c r="J26" s="119">
        <v>2090</v>
      </c>
      <c r="K26" s="119">
        <v>2090</v>
      </c>
      <c r="L26" s="119">
        <v>2090</v>
      </c>
      <c r="M26" s="119">
        <v>2090</v>
      </c>
      <c r="N26" s="119">
        <v>23</v>
      </c>
      <c r="O26" s="119">
        <v>23</v>
      </c>
      <c r="P26" s="119">
        <v>30</v>
      </c>
      <c r="Q26" s="119">
        <v>30</v>
      </c>
      <c r="R26" s="60"/>
      <c r="S26" s="60"/>
      <c r="T26" s="4">
        <v>20</v>
      </c>
      <c r="U26" s="4">
        <v>10</v>
      </c>
      <c r="V26" s="4">
        <v>6</v>
      </c>
    </row>
    <row r="27" spans="1:22" ht="18" customHeight="1">
      <c r="A27" s="60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>
      <c r="A28" s="60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>
      <c r="A29" s="60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>
      <c r="A30" s="60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>
      <c r="A31" s="60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>
      <c r="A32" s="60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>
      <c r="A33" s="60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>
      <c r="A34" s="60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-0.249977111117893"/>
    <pageSetUpPr fitToPage="1"/>
  </sheetPr>
  <dimension ref="A1:AH26"/>
  <sheetViews>
    <sheetView tabSelected="1" zoomScale="85" zoomScaleNormal="85" workbookViewId="0">
      <selection activeCell="X11" sqref="X11"/>
    </sheetView>
  </sheetViews>
  <sheetFormatPr defaultRowHeight="16.5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>
      <c r="A1" s="180" t="str">
        <f>정보!B1 &amp; " (쪽쟘제작치수)  " &amp; 정보!B6 &amp;" 소장"</f>
        <v>인천 연수구 동춘태평아파트-2차 (쪽쟘제작치수)  유영 소장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</row>
    <row r="2" spans="1:34" ht="30.75" customHeight="1">
      <c r="A2" s="1"/>
      <c r="B2" s="1"/>
      <c r="C2" s="298" t="str">
        <f>"총 : " &amp; COUNTA(A7:A152) &amp;" (SET)"</f>
        <v>총 : 20 (SET)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9" t="s">
        <v>139</v>
      </c>
      <c r="Q2" s="300"/>
      <c r="R2" s="300"/>
      <c r="S2" s="300"/>
      <c r="T2" s="61"/>
      <c r="U2" s="301">
        <v>1.2</v>
      </c>
      <c r="V2" s="301"/>
      <c r="W2" s="1"/>
      <c r="X2" s="1"/>
      <c r="Y2" s="1"/>
      <c r="Z2" s="1"/>
      <c r="AA2" s="1"/>
    </row>
    <row r="3" spans="1:34" ht="33" customHeight="1">
      <c r="A3" s="33" t="str">
        <f>정보!B9</f>
        <v>HL 1.2T</v>
      </c>
      <c r="B3" s="2"/>
      <c r="C3" s="2"/>
      <c r="D3" s="2"/>
      <c r="E3" s="254" t="s">
        <v>140</v>
      </c>
      <c r="F3" s="254"/>
      <c r="G3" s="62">
        <v>0</v>
      </c>
      <c r="H3" s="23" t="s">
        <v>141</v>
      </c>
      <c r="I3" s="302">
        <v>0</v>
      </c>
      <c r="J3" s="302"/>
      <c r="K3" s="63"/>
      <c r="L3" s="63"/>
      <c r="M3" s="252" t="s">
        <v>82</v>
      </c>
      <c r="N3" s="252"/>
      <c r="O3" s="252"/>
      <c r="P3" s="303">
        <v>0</v>
      </c>
      <c r="Q3" s="303"/>
      <c r="R3" s="249" t="s">
        <v>90</v>
      </c>
      <c r="S3" s="249"/>
      <c r="T3" s="64"/>
      <c r="U3" s="304">
        <v>0</v>
      </c>
      <c r="V3" s="304"/>
      <c r="W3" s="65"/>
      <c r="X3" s="65"/>
      <c r="Y3" s="65"/>
      <c r="Z3" s="65"/>
      <c r="AA3" s="65"/>
    </row>
    <row r="4" spans="1:34" ht="33" customHeight="1">
      <c r="A4" s="178" t="str">
        <f>정보!B12</f>
        <v>제작치수 반영 : JB/JD +(0 ),  늘어난치수K -(0), OP - (0),  기둥차감 - (0)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99" t="s">
        <v>235</v>
      </c>
      <c r="Z4" s="199"/>
      <c r="AA4" s="200"/>
    </row>
    <row r="5" spans="1:34" ht="25.9" customHeight="1">
      <c r="A5" s="171" t="s">
        <v>0</v>
      </c>
      <c r="B5" s="171" t="s">
        <v>119</v>
      </c>
      <c r="C5" s="172" t="s">
        <v>142</v>
      </c>
      <c r="D5" s="171" t="s">
        <v>120</v>
      </c>
      <c r="E5" s="172" t="s">
        <v>143</v>
      </c>
      <c r="F5" s="172" t="s">
        <v>144</v>
      </c>
      <c r="G5" s="172" t="s">
        <v>34</v>
      </c>
      <c r="H5" s="172" t="s">
        <v>145</v>
      </c>
      <c r="I5" s="172" t="s">
        <v>207</v>
      </c>
      <c r="J5" s="172" t="s">
        <v>208</v>
      </c>
      <c r="K5" s="172" t="s">
        <v>146</v>
      </c>
      <c r="L5" s="172" t="s">
        <v>147</v>
      </c>
      <c r="M5" s="294" t="s">
        <v>148</v>
      </c>
      <c r="N5" s="294" t="s">
        <v>149</v>
      </c>
      <c r="O5" s="171" t="s">
        <v>127</v>
      </c>
      <c r="P5" s="171" t="s">
        <v>15</v>
      </c>
      <c r="Q5" s="171" t="s">
        <v>129</v>
      </c>
      <c r="R5" s="171" t="s">
        <v>130</v>
      </c>
      <c r="S5" s="172" t="s">
        <v>150</v>
      </c>
      <c r="T5" s="294" t="s">
        <v>151</v>
      </c>
      <c r="U5" s="172" t="s">
        <v>133</v>
      </c>
      <c r="V5" s="172" t="s">
        <v>152</v>
      </c>
      <c r="W5" s="171" t="s">
        <v>135</v>
      </c>
      <c r="X5" s="171"/>
      <c r="Y5" s="296" t="s">
        <v>203</v>
      </c>
      <c r="Z5" s="296"/>
      <c r="AA5" s="296"/>
      <c r="AE5" s="185" t="s">
        <v>153</v>
      </c>
      <c r="AF5" s="185"/>
      <c r="AG5" s="185" t="s">
        <v>154</v>
      </c>
      <c r="AH5" s="185"/>
    </row>
    <row r="6" spans="1:34" ht="36.75" customHeight="1">
      <c r="A6" s="219"/>
      <c r="B6" s="219"/>
      <c r="C6" s="219"/>
      <c r="D6" s="219"/>
      <c r="E6" s="219"/>
      <c r="F6" s="219"/>
      <c r="G6" s="219"/>
      <c r="H6" s="219"/>
      <c r="I6" s="219"/>
      <c r="J6" s="219"/>
      <c r="K6" s="243"/>
      <c r="L6" s="243"/>
      <c r="M6" s="297"/>
      <c r="N6" s="297"/>
      <c r="O6" s="219"/>
      <c r="P6" s="219"/>
      <c r="Q6" s="219"/>
      <c r="R6" s="219"/>
      <c r="S6" s="219"/>
      <c r="T6" s="295"/>
      <c r="U6" s="243"/>
      <c r="V6" s="243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>
      <c r="A7" s="50">
        <f>'쪽쟘(실측)'!A7</f>
        <v>1</v>
      </c>
      <c r="B7" s="50" t="str">
        <f>'쪽쟘(실측)'!B7&amp;"F"</f>
        <v>2F</v>
      </c>
      <c r="C7" s="50" t="str">
        <f>AC7&amp;"*"&amp;AD7</f>
        <v>839*104.4</v>
      </c>
      <c r="D7" s="50">
        <f>'쪽쟘(실측)'!C7-쪽쟘OP차감</f>
        <v>798</v>
      </c>
      <c r="E7" s="50">
        <f>'쪽쟘(실측)'!D7+쪽쟘J늘림+MAX(W7:X7)</f>
        <v>68</v>
      </c>
      <c r="F7" s="50">
        <f>'쪽쟘(실측)'!E7+쪽쟘J늘림+MAX(W7:X7)</f>
        <v>65</v>
      </c>
      <c r="G7" s="67" t="str">
        <f>AF7&amp;"*"&amp;AE7</f>
        <v>2090*116.4</v>
      </c>
      <c r="H7" s="68" t="str">
        <f>AH7&amp;"*"&amp;AG7</f>
        <v>2090*111.4</v>
      </c>
      <c r="I7" s="50">
        <f>IF('쪽쟘(실측)'!F7&gt;0,'쪽쟘(실측)'!F7-2,0)+뒷날개치수더함</f>
        <v>23</v>
      </c>
      <c r="J7" s="50">
        <f>IF('쪽쟘(실측)'!H7&gt;0,'쪽쟘(실측)'!H7-2,0)+뒷날개치수더함</f>
        <v>18</v>
      </c>
      <c r="K7" s="50">
        <f>IF('쪽쟘(실측)'!F7&gt;0,'쪽쟘(실측)'!F7+0,0)+뒷날개치수더함</f>
        <v>25</v>
      </c>
      <c r="L7" s="50">
        <f>IF('쪽쟘(실측)'!G7&gt;0,'쪽쟘(실측)'!G7+0,0)+뒷날개치수더함</f>
        <v>15</v>
      </c>
      <c r="M7" s="50">
        <f>IF('쪽쟘(실측)'!H7&gt;0,'쪽쟘(실측)'!H7+0,0)+뒷날개치수더함</f>
        <v>20</v>
      </c>
      <c r="N7" s="50">
        <f>IF('쪽쟘(실측)'!I7&gt;0,'쪽쟘(실측)'!I7+0,0)+뒷날개치수더함</f>
        <v>20</v>
      </c>
      <c r="O7" s="50">
        <f>'쪽쟘(실측)'!J7-쪽쟘기둥차감</f>
        <v>2090</v>
      </c>
      <c r="P7" s="50">
        <f>'쪽쟘(실측)'!K7-쪽쟘기둥차감</f>
        <v>2090</v>
      </c>
      <c r="Q7" s="50">
        <f>'쪽쟘(실측)'!L7-쪽쟘기둥차감</f>
        <v>2090</v>
      </c>
      <c r="R7" s="50">
        <f>'쪽쟘(실측)'!M7-쪽쟘기둥차감</f>
        <v>2090</v>
      </c>
      <c r="S7" s="50">
        <f>'쪽쟘(실측)'!N7+뒷날개치수더함</f>
        <v>10</v>
      </c>
      <c r="T7" s="50">
        <f>'쪽쟘(실측)'!O7+뒷날개치수더함</f>
        <v>10</v>
      </c>
      <c r="U7" s="50">
        <f>'쪽쟘(실측)'!P7+뒷날개치수더함</f>
        <v>30</v>
      </c>
      <c r="V7" s="50">
        <f>'쪽쟘(실측)'!Q7+뒷날개치수더함</f>
        <v>30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20</v>
      </c>
      <c r="Z7" s="4">
        <f>'쪽쟘(실측)'!U7</f>
        <v>10</v>
      </c>
      <c r="AA7" s="4">
        <f>'쪽쟘(실측)'!V7</f>
        <v>6</v>
      </c>
      <c r="AC7">
        <f t="shared" ref="AC7" si="0">D7+I7+J7</f>
        <v>839</v>
      </c>
      <c r="AD7">
        <f t="shared" ref="AD7" si="1">U7+E7+MAX(S7,T7)-쪽쟘소재t*3+IF(S7=0,S7*쪽쟘소재t,0)</f>
        <v>104.4</v>
      </c>
      <c r="AE7">
        <f t="shared" ref="AE7:AE25" si="2">MAX(K7,L7)+F7+V7-쪽쟘소재t*3+IF(K7=0,쪽쟘소재t)-IF(AA7=90,2.4,0)</f>
        <v>116.4</v>
      </c>
      <c r="AF7">
        <f t="shared" ref="AF7" si="3">MAX(O7,P7)</f>
        <v>2090</v>
      </c>
      <c r="AG7">
        <f t="shared" ref="AG7:AG25" si="4">MAX(M7,N7)+F7+V7-쪽쟘소재t*3+IF(M7=0,쪽쟘소재t)-IF(AA7=90,2.4,0)</f>
        <v>111.4</v>
      </c>
      <c r="AH7">
        <f>MAX(Q7,R7)</f>
        <v>2090</v>
      </c>
    </row>
    <row r="8" spans="1:34" ht="19.5" customHeight="1">
      <c r="A8" s="50">
        <f>'쪽쟘(실측)'!A8</f>
        <v>1</v>
      </c>
      <c r="B8" s="50" t="str">
        <f>'쪽쟘(실측)'!B8&amp;"F"</f>
        <v>3F</v>
      </c>
      <c r="C8" s="50" t="str">
        <f t="shared" ref="C8:C25" si="5">AC8&amp;"*"&amp;AD8</f>
        <v>821*104.4</v>
      </c>
      <c r="D8" s="50">
        <f>'쪽쟘(실측)'!C8-쪽쟘OP차감</f>
        <v>798</v>
      </c>
      <c r="E8" s="50">
        <f>'쪽쟘(실측)'!D8+쪽쟘J늘림+MAX(W8:X8)</f>
        <v>68</v>
      </c>
      <c r="F8" s="50">
        <f>'쪽쟘(실측)'!E8+쪽쟘J늘림+MAX(W8:X8)</f>
        <v>65</v>
      </c>
      <c r="G8" s="67" t="str">
        <f t="shared" ref="G8:G25" si="6">AF8&amp;"*"&amp;AE8</f>
        <v>2090*106.4</v>
      </c>
      <c r="H8" s="68" t="str">
        <f t="shared" ref="H8:H25" si="7">AH8&amp;"*"&amp;AG8</f>
        <v>2090*103.4</v>
      </c>
      <c r="I8" s="50">
        <f>IF('쪽쟘(실측)'!F8&gt;0,'쪽쟘(실측)'!F8-2,0)+뒷날개치수더함</f>
        <v>13</v>
      </c>
      <c r="J8" s="50">
        <f>IF('쪽쟘(실측)'!H8&gt;0,'쪽쟘(실측)'!H8-2,0)+뒷날개치수더함</f>
        <v>10</v>
      </c>
      <c r="K8" s="50">
        <f>IF('쪽쟘(실측)'!F8&gt;0,'쪽쟘(실측)'!F8+0,0)+뒷날개치수더함</f>
        <v>15</v>
      </c>
      <c r="L8" s="50">
        <f>IF('쪽쟘(실측)'!G8&gt;0,'쪽쟘(실측)'!G8+0,0)+뒷날개치수더함</f>
        <v>15</v>
      </c>
      <c r="M8" s="50">
        <f>IF('쪽쟘(실측)'!H8&gt;0,'쪽쟘(실측)'!H8+0,0)+뒷날개치수더함</f>
        <v>12</v>
      </c>
      <c r="N8" s="50">
        <f>IF('쪽쟘(실측)'!I8&gt;0,'쪽쟘(실측)'!I8+0,0)+뒷날개치수더함</f>
        <v>12</v>
      </c>
      <c r="O8" s="50">
        <f>'쪽쟘(실측)'!J8-쪽쟘기둥차감</f>
        <v>2090</v>
      </c>
      <c r="P8" s="50">
        <f>'쪽쟘(실측)'!K8-쪽쟘기둥차감</f>
        <v>2090</v>
      </c>
      <c r="Q8" s="50">
        <f>'쪽쟘(실측)'!L8-쪽쟘기둥차감</f>
        <v>2090</v>
      </c>
      <c r="R8" s="50">
        <f>'쪽쟘(실측)'!M8-쪽쟘기둥차감</f>
        <v>2090</v>
      </c>
      <c r="S8" s="50">
        <f>'쪽쟘(실측)'!N8+뒷날개치수더함</f>
        <v>10</v>
      </c>
      <c r="T8" s="50">
        <f>'쪽쟘(실측)'!O8+뒷날개치수더함</f>
        <v>10</v>
      </c>
      <c r="U8" s="50">
        <f>'쪽쟘(실측)'!P8+뒷날개치수더함</f>
        <v>30</v>
      </c>
      <c r="V8" s="50">
        <f>'쪽쟘(실측)'!Q8+뒷날개치수더함</f>
        <v>30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20</v>
      </c>
      <c r="Z8" s="4">
        <f>'쪽쟘(실측)'!U8</f>
        <v>10</v>
      </c>
      <c r="AA8" s="4">
        <f>'쪽쟘(실측)'!V8</f>
        <v>6</v>
      </c>
      <c r="AC8">
        <f t="shared" ref="AC8:AC25" si="8">D8+I8+J8</f>
        <v>821</v>
      </c>
      <c r="AD8">
        <f t="shared" ref="AD8:AD25" si="9">U8+E8+MAX(S8,T8)-쪽쟘소재t*3+IF(S8=0,S8*쪽쟘소재t,0)</f>
        <v>104.4</v>
      </c>
      <c r="AE8">
        <f t="shared" si="2"/>
        <v>106.4</v>
      </c>
      <c r="AF8">
        <f t="shared" ref="AF8:AF25" si="10">MAX(O8,P8)</f>
        <v>2090</v>
      </c>
      <c r="AG8">
        <f t="shared" si="4"/>
        <v>103.4</v>
      </c>
      <c r="AH8">
        <f t="shared" ref="AH8:AH25" si="11">MAX(Q8,R8)</f>
        <v>2090</v>
      </c>
    </row>
    <row r="9" spans="1:34" ht="19.5" customHeight="1">
      <c r="A9" s="50">
        <f>'쪽쟘(실측)'!A9</f>
        <v>1</v>
      </c>
      <c r="B9" s="50" t="str">
        <f>'쪽쟘(실측)'!B9&amp;"F"</f>
        <v>5F</v>
      </c>
      <c r="C9" s="50" t="str">
        <f t="shared" si="5"/>
        <v>839*112.4</v>
      </c>
      <c r="D9" s="50">
        <f>'쪽쟘(실측)'!C9-쪽쟘OP차감</f>
        <v>798</v>
      </c>
      <c r="E9" s="50">
        <f>'쪽쟘(실측)'!D9+쪽쟘J늘림+MAX(W9:X9)</f>
        <v>68</v>
      </c>
      <c r="F9" s="50">
        <f>'쪽쟘(실측)'!E9+쪽쟘J늘림+MAX(W9:X9)</f>
        <v>65</v>
      </c>
      <c r="G9" s="67" t="str">
        <f t="shared" si="6"/>
        <v>2090*116.4</v>
      </c>
      <c r="H9" s="68" t="str">
        <f t="shared" si="7"/>
        <v>2090*111.4</v>
      </c>
      <c r="I9" s="50">
        <f>IF('쪽쟘(실측)'!F9&gt;0,'쪽쟘(실측)'!F9-2,0)+뒷날개치수더함</f>
        <v>23</v>
      </c>
      <c r="J9" s="50">
        <f>IF('쪽쟘(실측)'!H9&gt;0,'쪽쟘(실측)'!H9-2,0)+뒷날개치수더함</f>
        <v>18</v>
      </c>
      <c r="K9" s="50">
        <f>IF('쪽쟘(실측)'!F9&gt;0,'쪽쟘(실측)'!F9+0,0)+뒷날개치수더함</f>
        <v>25</v>
      </c>
      <c r="L9" s="50">
        <f>IF('쪽쟘(실측)'!G9&gt;0,'쪽쟘(실측)'!G9+0,0)+뒷날개치수더함</f>
        <v>25</v>
      </c>
      <c r="M9" s="50">
        <f>IF('쪽쟘(실측)'!H9&gt;0,'쪽쟘(실측)'!H9+0,0)+뒷날개치수더함</f>
        <v>20</v>
      </c>
      <c r="N9" s="50">
        <f>IF('쪽쟘(실측)'!I9&gt;0,'쪽쟘(실측)'!I9+0,0)+뒷날개치수더함</f>
        <v>20</v>
      </c>
      <c r="O9" s="50">
        <f>'쪽쟘(실측)'!J9-쪽쟘기둥차감</f>
        <v>2090</v>
      </c>
      <c r="P9" s="50">
        <f>'쪽쟘(실측)'!K9-쪽쟘기둥차감</f>
        <v>2090</v>
      </c>
      <c r="Q9" s="50">
        <f>'쪽쟘(실측)'!L9-쪽쟘기둥차감</f>
        <v>2090</v>
      </c>
      <c r="R9" s="50">
        <f>'쪽쟘(실측)'!M9-쪽쟘기둥차감</f>
        <v>2090</v>
      </c>
      <c r="S9" s="50">
        <f>'쪽쟘(실측)'!N9+뒷날개치수더함</f>
        <v>18</v>
      </c>
      <c r="T9" s="50">
        <f>'쪽쟘(실측)'!O9+뒷날개치수더함</f>
        <v>18</v>
      </c>
      <c r="U9" s="50">
        <f>'쪽쟘(실측)'!P9+뒷날개치수더함</f>
        <v>30</v>
      </c>
      <c r="V9" s="50">
        <f>'쪽쟘(실측)'!Q9+뒷날개치수더함</f>
        <v>30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20</v>
      </c>
      <c r="Z9" s="4">
        <f>'쪽쟘(실측)'!U9</f>
        <v>10</v>
      </c>
      <c r="AA9" s="4">
        <f>'쪽쟘(실측)'!V9</f>
        <v>6</v>
      </c>
      <c r="AC9">
        <f t="shared" si="8"/>
        <v>839</v>
      </c>
      <c r="AD9">
        <f t="shared" si="9"/>
        <v>112.4</v>
      </c>
      <c r="AE9">
        <f t="shared" si="2"/>
        <v>116.4</v>
      </c>
      <c r="AF9">
        <f t="shared" si="10"/>
        <v>2090</v>
      </c>
      <c r="AG9">
        <f t="shared" si="4"/>
        <v>111.4</v>
      </c>
      <c r="AH9">
        <f t="shared" si="11"/>
        <v>2090</v>
      </c>
    </row>
    <row r="10" spans="1:34" ht="19.5" customHeight="1">
      <c r="A10" s="50">
        <f>'쪽쟘(실측)'!A10</f>
        <v>1</v>
      </c>
      <c r="B10" s="50" t="str">
        <f>'쪽쟘(실측)'!B10&amp;"F"</f>
        <v>6F</v>
      </c>
      <c r="C10" s="50" t="str">
        <f t="shared" si="5"/>
        <v>821*109.4</v>
      </c>
      <c r="D10" s="50">
        <f>'쪽쟘(실측)'!C10-쪽쟘OP차감</f>
        <v>798</v>
      </c>
      <c r="E10" s="50">
        <f>'쪽쟘(실측)'!D10+쪽쟘J늘림+MAX(W10:X10)</f>
        <v>68</v>
      </c>
      <c r="F10" s="50">
        <f>'쪽쟘(실측)'!E10+쪽쟘J늘림+MAX(W10:X10)</f>
        <v>65</v>
      </c>
      <c r="G10" s="67" t="str">
        <f t="shared" si="6"/>
        <v>2090*103.4</v>
      </c>
      <c r="H10" s="68" t="str">
        <f t="shared" si="7"/>
        <v>2090*106.4</v>
      </c>
      <c r="I10" s="50">
        <f>IF('쪽쟘(실측)'!F10&gt;0,'쪽쟘(실측)'!F10-2,0)+뒷날개치수더함</f>
        <v>10</v>
      </c>
      <c r="J10" s="50">
        <f>IF('쪽쟘(실측)'!H10&gt;0,'쪽쟘(실측)'!H10-2,0)+뒷날개치수더함</f>
        <v>13</v>
      </c>
      <c r="K10" s="50">
        <f>IF('쪽쟘(실측)'!F10&gt;0,'쪽쟘(실측)'!F10+0,0)+뒷날개치수더함</f>
        <v>12</v>
      </c>
      <c r="L10" s="50">
        <f>IF('쪽쟘(실측)'!G10&gt;0,'쪽쟘(실측)'!G10+0,0)+뒷날개치수더함</f>
        <v>12</v>
      </c>
      <c r="M10" s="50">
        <f>IF('쪽쟘(실측)'!H10&gt;0,'쪽쟘(실측)'!H10+0,0)+뒷날개치수더함</f>
        <v>15</v>
      </c>
      <c r="N10" s="50">
        <f>IF('쪽쟘(실측)'!I10&gt;0,'쪽쟘(실측)'!I10+0,0)+뒷날개치수더함</f>
        <v>15</v>
      </c>
      <c r="O10" s="50">
        <f>'쪽쟘(실측)'!J10-쪽쟘기둥차감</f>
        <v>2090</v>
      </c>
      <c r="P10" s="50">
        <f>'쪽쟘(실측)'!K10-쪽쟘기둥차감</f>
        <v>2090</v>
      </c>
      <c r="Q10" s="50">
        <f>'쪽쟘(실측)'!L10-쪽쟘기둥차감</f>
        <v>2090</v>
      </c>
      <c r="R10" s="50">
        <f>'쪽쟘(실측)'!M10-쪽쟘기둥차감</f>
        <v>2090</v>
      </c>
      <c r="S10" s="50">
        <f>'쪽쟘(실측)'!N10+뒷날개치수더함</f>
        <v>15</v>
      </c>
      <c r="T10" s="50">
        <f>'쪽쟘(실측)'!O10+뒷날개치수더함</f>
        <v>15</v>
      </c>
      <c r="U10" s="50">
        <f>'쪽쟘(실측)'!P10+뒷날개치수더함</f>
        <v>30</v>
      </c>
      <c r="V10" s="50">
        <f>'쪽쟘(실측)'!Q10+뒷날개치수더함</f>
        <v>30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20</v>
      </c>
      <c r="Z10" s="4">
        <f>'쪽쟘(실측)'!U10</f>
        <v>10</v>
      </c>
      <c r="AA10" s="4">
        <f>'쪽쟘(실측)'!V10</f>
        <v>6</v>
      </c>
      <c r="AC10">
        <f t="shared" si="8"/>
        <v>821</v>
      </c>
      <c r="AD10">
        <f t="shared" si="9"/>
        <v>109.4</v>
      </c>
      <c r="AE10">
        <f t="shared" si="2"/>
        <v>103.4</v>
      </c>
      <c r="AF10">
        <f t="shared" si="10"/>
        <v>2090</v>
      </c>
      <c r="AG10">
        <f t="shared" si="4"/>
        <v>106.4</v>
      </c>
      <c r="AH10">
        <f t="shared" si="11"/>
        <v>2090</v>
      </c>
    </row>
    <row r="11" spans="1:34" ht="19.5" customHeight="1">
      <c r="A11" s="50">
        <f>'쪽쟘(실측)'!A11</f>
        <v>1</v>
      </c>
      <c r="B11" s="50" t="str">
        <f>'쪽쟘(실측)'!B11&amp;"F"</f>
        <v>7F</v>
      </c>
      <c r="C11" s="50" t="str">
        <f t="shared" si="5"/>
        <v>834*114.4</v>
      </c>
      <c r="D11" s="50">
        <f>'쪽쟘(실측)'!C11-쪽쟘OP차감</f>
        <v>798</v>
      </c>
      <c r="E11" s="50">
        <f>'쪽쟘(실측)'!D11+쪽쟘J늘림+MAX(W11:X11)</f>
        <v>68</v>
      </c>
      <c r="F11" s="50">
        <f>'쪽쟘(실측)'!E11+쪽쟘J늘림+MAX(W11:X11)</f>
        <v>65</v>
      </c>
      <c r="G11" s="67" t="str">
        <f t="shared" si="6"/>
        <v>2090*116.4</v>
      </c>
      <c r="H11" s="68" t="str">
        <f t="shared" si="7"/>
        <v>2090*106.4</v>
      </c>
      <c r="I11" s="50">
        <f>IF('쪽쟘(실측)'!F11&gt;0,'쪽쟘(실측)'!F11-2,0)+뒷날개치수더함</f>
        <v>23</v>
      </c>
      <c r="J11" s="50">
        <f>IF('쪽쟘(실측)'!H11&gt;0,'쪽쟘(실측)'!H11-2,0)+뒷날개치수더함</f>
        <v>13</v>
      </c>
      <c r="K11" s="50">
        <f>IF('쪽쟘(실측)'!F11&gt;0,'쪽쟘(실측)'!F11+0,0)+뒷날개치수더함</f>
        <v>25</v>
      </c>
      <c r="L11" s="50">
        <f>IF('쪽쟘(실측)'!G11&gt;0,'쪽쟘(실측)'!G11+0,0)+뒷날개치수더함</f>
        <v>25</v>
      </c>
      <c r="M11" s="50">
        <f>IF('쪽쟘(실측)'!H11&gt;0,'쪽쟘(실측)'!H11+0,0)+뒷날개치수더함</f>
        <v>15</v>
      </c>
      <c r="N11" s="50">
        <f>IF('쪽쟘(실측)'!I11&gt;0,'쪽쟘(실측)'!I11+0,0)+뒷날개치수더함</f>
        <v>15</v>
      </c>
      <c r="O11" s="50">
        <f>'쪽쟘(실측)'!J11-쪽쟘기둥차감</f>
        <v>2090</v>
      </c>
      <c r="P11" s="50">
        <f>'쪽쟘(실측)'!K11-쪽쟘기둥차감</f>
        <v>2090</v>
      </c>
      <c r="Q11" s="50">
        <f>'쪽쟘(실측)'!L11-쪽쟘기둥차감</f>
        <v>2090</v>
      </c>
      <c r="R11" s="50">
        <f>'쪽쟘(실측)'!M11-쪽쟘기둥차감</f>
        <v>2090</v>
      </c>
      <c r="S11" s="50">
        <f>'쪽쟘(실측)'!N11+뒷날개치수더함</f>
        <v>20</v>
      </c>
      <c r="T11" s="50">
        <f>'쪽쟘(실측)'!O11+뒷날개치수더함</f>
        <v>20</v>
      </c>
      <c r="U11" s="50">
        <f>'쪽쟘(실측)'!P11+뒷날개치수더함</f>
        <v>30</v>
      </c>
      <c r="V11" s="50">
        <f>'쪽쟘(실측)'!Q11+뒷날개치수더함</f>
        <v>30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20</v>
      </c>
      <c r="Z11" s="4">
        <f>'쪽쟘(실측)'!U11</f>
        <v>10</v>
      </c>
      <c r="AA11" s="4">
        <f>'쪽쟘(실측)'!V11</f>
        <v>6</v>
      </c>
      <c r="AC11">
        <f t="shared" si="8"/>
        <v>834</v>
      </c>
      <c r="AD11">
        <f t="shared" si="9"/>
        <v>114.4</v>
      </c>
      <c r="AE11">
        <f t="shared" si="2"/>
        <v>116.4</v>
      </c>
      <c r="AF11">
        <f t="shared" si="10"/>
        <v>2090</v>
      </c>
      <c r="AG11">
        <f t="shared" si="4"/>
        <v>106.4</v>
      </c>
      <c r="AH11">
        <f t="shared" si="11"/>
        <v>2090</v>
      </c>
    </row>
    <row r="12" spans="1:34" ht="19.5" customHeight="1">
      <c r="A12" s="50">
        <f>'쪽쟘(실측)'!A12</f>
        <v>2</v>
      </c>
      <c r="B12" s="50" t="str">
        <f>'쪽쟘(실측)'!B12&amp;"F"</f>
        <v>2F</v>
      </c>
      <c r="C12" s="50" t="str">
        <f t="shared" si="5"/>
        <v>828*121.4</v>
      </c>
      <c r="D12" s="50">
        <f>'쪽쟘(실측)'!C12-쪽쟘OP차감</f>
        <v>798</v>
      </c>
      <c r="E12" s="50">
        <f>'쪽쟘(실측)'!D12+쪽쟘J늘림+MAX(W12:X12)</f>
        <v>68</v>
      </c>
      <c r="F12" s="50">
        <f>'쪽쟘(실측)'!E12+쪽쟘J늘림+MAX(W12:X12)</f>
        <v>65</v>
      </c>
      <c r="G12" s="67" t="str">
        <f t="shared" si="6"/>
        <v>2086*108.4</v>
      </c>
      <c r="H12" s="68" t="str">
        <f t="shared" si="7"/>
        <v>2086*108.4</v>
      </c>
      <c r="I12" s="50">
        <f>IF('쪽쟘(실측)'!F12&gt;0,'쪽쟘(실측)'!F12-2,0)+뒷날개치수더함</f>
        <v>15</v>
      </c>
      <c r="J12" s="50">
        <f>IF('쪽쟘(실측)'!H12&gt;0,'쪽쟘(실측)'!H12-2,0)+뒷날개치수더함</f>
        <v>15</v>
      </c>
      <c r="K12" s="50">
        <f>IF('쪽쟘(실측)'!F12&gt;0,'쪽쟘(실측)'!F12+0,0)+뒷날개치수더함</f>
        <v>17</v>
      </c>
      <c r="L12" s="50">
        <f>IF('쪽쟘(실측)'!G12&gt;0,'쪽쟘(실측)'!G12+0,0)+뒷날개치수더함</f>
        <v>17</v>
      </c>
      <c r="M12" s="50">
        <f>IF('쪽쟘(실측)'!H12&gt;0,'쪽쟘(실측)'!H12+0,0)+뒷날개치수더함</f>
        <v>17</v>
      </c>
      <c r="N12" s="50">
        <f>IF('쪽쟘(실측)'!I12&gt;0,'쪽쟘(실측)'!I12+0,0)+뒷날개치수더함</f>
        <v>17</v>
      </c>
      <c r="O12" s="50">
        <f>'쪽쟘(실측)'!J12-쪽쟘기둥차감</f>
        <v>2086</v>
      </c>
      <c r="P12" s="50">
        <f>'쪽쟘(실측)'!K12-쪽쟘기둥차감</f>
        <v>2086</v>
      </c>
      <c r="Q12" s="50">
        <f>'쪽쟘(실측)'!L12-쪽쟘기둥차감</f>
        <v>2086</v>
      </c>
      <c r="R12" s="50">
        <f>'쪽쟘(실측)'!M12-쪽쟘기둥차감</f>
        <v>2086</v>
      </c>
      <c r="S12" s="50">
        <f>'쪽쟘(실측)'!N12+뒷날개치수더함</f>
        <v>27</v>
      </c>
      <c r="T12" s="50">
        <f>'쪽쟘(실측)'!O12+뒷날개치수더함</f>
        <v>27</v>
      </c>
      <c r="U12" s="50">
        <f>'쪽쟘(실측)'!P12+뒷날개치수더함</f>
        <v>30</v>
      </c>
      <c r="V12" s="50">
        <f>'쪽쟘(실측)'!Q12+뒷날개치수더함</f>
        <v>30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20</v>
      </c>
      <c r="Z12" s="4">
        <f>'쪽쟘(실측)'!U12</f>
        <v>10</v>
      </c>
      <c r="AA12" s="4">
        <f>'쪽쟘(실측)'!V12</f>
        <v>6</v>
      </c>
      <c r="AC12">
        <f t="shared" si="8"/>
        <v>828</v>
      </c>
      <c r="AD12">
        <f t="shared" si="9"/>
        <v>121.4</v>
      </c>
      <c r="AE12">
        <f t="shared" si="2"/>
        <v>108.4</v>
      </c>
      <c r="AF12">
        <f t="shared" si="10"/>
        <v>2086</v>
      </c>
      <c r="AG12">
        <f t="shared" si="4"/>
        <v>108.4</v>
      </c>
      <c r="AH12">
        <f t="shared" si="11"/>
        <v>2086</v>
      </c>
    </row>
    <row r="13" spans="1:34" ht="19.5" customHeight="1">
      <c r="A13" s="50">
        <f>'쪽쟘(실측)'!A13</f>
        <v>2</v>
      </c>
      <c r="B13" s="50" t="str">
        <f>'쪽쟘(실측)'!B13&amp;"F"</f>
        <v>3F</v>
      </c>
      <c r="C13" s="50" t="str">
        <f t="shared" si="5"/>
        <v>842*117.4</v>
      </c>
      <c r="D13" s="50">
        <f>'쪽쟘(실측)'!C13-쪽쟘OP차감</f>
        <v>798</v>
      </c>
      <c r="E13" s="50">
        <f>'쪽쟘(실측)'!D13+쪽쟘J늘림+MAX(W13:X13)</f>
        <v>68</v>
      </c>
      <c r="F13" s="50">
        <f>'쪽쟘(실측)'!E13+쪽쟘J늘림+MAX(W13:X13)</f>
        <v>65</v>
      </c>
      <c r="G13" s="67" t="str">
        <f t="shared" si="6"/>
        <v>2086*116.4</v>
      </c>
      <c r="H13" s="68" t="str">
        <f t="shared" si="7"/>
        <v>2086*114.4</v>
      </c>
      <c r="I13" s="50">
        <f>IF('쪽쟘(실측)'!F13&gt;0,'쪽쟘(실측)'!F13-2,0)+뒷날개치수더함</f>
        <v>23</v>
      </c>
      <c r="J13" s="50">
        <f>IF('쪽쟘(실측)'!H13&gt;0,'쪽쟘(실측)'!H13-2,0)+뒷날개치수더함</f>
        <v>21</v>
      </c>
      <c r="K13" s="50">
        <f>IF('쪽쟘(실측)'!F13&gt;0,'쪽쟘(실측)'!F13+0,0)+뒷날개치수더함</f>
        <v>25</v>
      </c>
      <c r="L13" s="50">
        <f>IF('쪽쟘(실측)'!G13&gt;0,'쪽쟘(실측)'!G13+0,0)+뒷날개치수더함</f>
        <v>25</v>
      </c>
      <c r="M13" s="50">
        <f>IF('쪽쟘(실측)'!H13&gt;0,'쪽쟘(실측)'!H13+0,0)+뒷날개치수더함</f>
        <v>23</v>
      </c>
      <c r="N13" s="50">
        <f>IF('쪽쟘(실측)'!I13&gt;0,'쪽쟘(실측)'!I13+0,0)+뒷날개치수더함</f>
        <v>23</v>
      </c>
      <c r="O13" s="50">
        <f>'쪽쟘(실측)'!J13-쪽쟘기둥차감</f>
        <v>2086</v>
      </c>
      <c r="P13" s="50">
        <f>'쪽쟘(실측)'!K13-쪽쟘기둥차감</f>
        <v>2086</v>
      </c>
      <c r="Q13" s="50">
        <f>'쪽쟘(실측)'!L13-쪽쟘기둥차감</f>
        <v>2086</v>
      </c>
      <c r="R13" s="50">
        <f>'쪽쟘(실측)'!M13-쪽쟘기둥차감</f>
        <v>2086</v>
      </c>
      <c r="S13" s="50">
        <f>'쪽쟘(실측)'!N13+뒷날개치수더함</f>
        <v>23</v>
      </c>
      <c r="T13" s="50">
        <f>'쪽쟘(실측)'!O13+뒷날개치수더함</f>
        <v>23</v>
      </c>
      <c r="U13" s="50">
        <f>'쪽쟘(실측)'!P13+뒷날개치수더함</f>
        <v>30</v>
      </c>
      <c r="V13" s="50">
        <f>'쪽쟘(실측)'!Q13+뒷날개치수더함</f>
        <v>30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20</v>
      </c>
      <c r="Z13" s="4">
        <f>'쪽쟘(실측)'!U13</f>
        <v>10</v>
      </c>
      <c r="AA13" s="4">
        <f>'쪽쟘(실측)'!V13</f>
        <v>6</v>
      </c>
      <c r="AC13">
        <f t="shared" si="8"/>
        <v>842</v>
      </c>
      <c r="AD13">
        <f t="shared" si="9"/>
        <v>117.4</v>
      </c>
      <c r="AE13">
        <f t="shared" si="2"/>
        <v>116.4</v>
      </c>
      <c r="AF13">
        <f t="shared" si="10"/>
        <v>2086</v>
      </c>
      <c r="AG13">
        <f t="shared" si="4"/>
        <v>114.4</v>
      </c>
      <c r="AH13">
        <f t="shared" si="11"/>
        <v>2086</v>
      </c>
    </row>
    <row r="14" spans="1:34" ht="19.5" customHeight="1">
      <c r="A14" s="50">
        <f>'쪽쟘(실측)'!A14</f>
        <v>2</v>
      </c>
      <c r="B14" s="50" t="str">
        <f>'쪽쟘(실측)'!B14&amp;"F"</f>
        <v>5F</v>
      </c>
      <c r="C14" s="50" t="str">
        <f t="shared" si="5"/>
        <v>824*119.4</v>
      </c>
      <c r="D14" s="50">
        <f>'쪽쟘(실측)'!C14-쪽쟘OP차감</f>
        <v>798</v>
      </c>
      <c r="E14" s="50">
        <f>'쪽쟘(실측)'!D14+쪽쟘J늘림+MAX(W14:X14)</f>
        <v>68</v>
      </c>
      <c r="F14" s="50">
        <f>'쪽쟘(실측)'!E14+쪽쟘J늘림+MAX(W14:X14)</f>
        <v>65</v>
      </c>
      <c r="G14" s="67" t="str">
        <f t="shared" si="6"/>
        <v>2086*106.4</v>
      </c>
      <c r="H14" s="68" t="str">
        <f t="shared" si="7"/>
        <v>2086*106.4</v>
      </c>
      <c r="I14" s="50">
        <f>IF('쪽쟘(실측)'!F14&gt;0,'쪽쟘(실측)'!F14-2,0)+뒷날개치수더함</f>
        <v>13</v>
      </c>
      <c r="J14" s="50">
        <f>IF('쪽쟘(실측)'!H14&gt;0,'쪽쟘(실측)'!H14-2,0)+뒷날개치수더함</f>
        <v>13</v>
      </c>
      <c r="K14" s="50">
        <f>IF('쪽쟘(실측)'!F14&gt;0,'쪽쟘(실측)'!F14+0,0)+뒷날개치수더함</f>
        <v>15</v>
      </c>
      <c r="L14" s="50">
        <f>IF('쪽쟘(실측)'!G14&gt;0,'쪽쟘(실측)'!G14+0,0)+뒷날개치수더함</f>
        <v>15</v>
      </c>
      <c r="M14" s="50">
        <f>IF('쪽쟘(실측)'!H14&gt;0,'쪽쟘(실측)'!H14+0,0)+뒷날개치수더함</f>
        <v>15</v>
      </c>
      <c r="N14" s="50">
        <f>IF('쪽쟘(실측)'!I14&gt;0,'쪽쟘(실측)'!I14+0,0)+뒷날개치수더함</f>
        <v>15</v>
      </c>
      <c r="O14" s="50">
        <f>'쪽쟘(실측)'!J14-쪽쟘기둥차감</f>
        <v>2086</v>
      </c>
      <c r="P14" s="50">
        <f>'쪽쟘(실측)'!K14-쪽쟘기둥차감</f>
        <v>2086</v>
      </c>
      <c r="Q14" s="50">
        <f>'쪽쟘(실측)'!L14-쪽쟘기둥차감</f>
        <v>2086</v>
      </c>
      <c r="R14" s="50">
        <f>'쪽쟘(실측)'!M14-쪽쟘기둥차감</f>
        <v>2086</v>
      </c>
      <c r="S14" s="50">
        <f>'쪽쟘(실측)'!N14+뒷날개치수더함</f>
        <v>25</v>
      </c>
      <c r="T14" s="50">
        <f>'쪽쟘(실측)'!O14+뒷날개치수더함</f>
        <v>25</v>
      </c>
      <c r="U14" s="50">
        <f>'쪽쟘(실측)'!P14+뒷날개치수더함</f>
        <v>30</v>
      </c>
      <c r="V14" s="50">
        <f>'쪽쟘(실측)'!Q14+뒷날개치수더함</f>
        <v>30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20</v>
      </c>
      <c r="Z14" s="4">
        <f>'쪽쟘(실측)'!U14</f>
        <v>10</v>
      </c>
      <c r="AA14" s="4">
        <f>'쪽쟘(실측)'!V14</f>
        <v>6</v>
      </c>
      <c r="AC14">
        <f t="shared" si="8"/>
        <v>824</v>
      </c>
      <c r="AD14">
        <f t="shared" si="9"/>
        <v>119.4</v>
      </c>
      <c r="AE14">
        <f t="shared" si="2"/>
        <v>106.4</v>
      </c>
      <c r="AF14">
        <f t="shared" si="10"/>
        <v>2086</v>
      </c>
      <c r="AG14">
        <f t="shared" si="4"/>
        <v>106.4</v>
      </c>
      <c r="AH14">
        <f t="shared" si="11"/>
        <v>2086</v>
      </c>
    </row>
    <row r="15" spans="1:34" ht="19.5" customHeight="1">
      <c r="A15" s="50">
        <f>'쪽쟘(실측)'!A15</f>
        <v>2</v>
      </c>
      <c r="B15" s="50" t="str">
        <f>'쪽쟘(실측)'!B15&amp;"F"</f>
        <v>6F</v>
      </c>
      <c r="C15" s="50" t="str">
        <f t="shared" si="5"/>
        <v>844*109.4</v>
      </c>
      <c r="D15" s="50">
        <f>'쪽쟘(실측)'!C15-쪽쟘OP차감</f>
        <v>798</v>
      </c>
      <c r="E15" s="50">
        <f>'쪽쟘(실측)'!D15+쪽쟘J늘림+MAX(W15:X15)</f>
        <v>68</v>
      </c>
      <c r="F15" s="50">
        <f>'쪽쟘(실측)'!E15+쪽쟘J늘림+MAX(W15:X15)</f>
        <v>65</v>
      </c>
      <c r="G15" s="67" t="str">
        <f t="shared" si="6"/>
        <v>2086*116.4</v>
      </c>
      <c r="H15" s="68" t="str">
        <f t="shared" si="7"/>
        <v>2086*116.4</v>
      </c>
      <c r="I15" s="50">
        <f>IF('쪽쟘(실측)'!F15&gt;0,'쪽쟘(실측)'!F15-2,0)+뒷날개치수더함</f>
        <v>23</v>
      </c>
      <c r="J15" s="50">
        <f>IF('쪽쟘(실측)'!H15&gt;0,'쪽쟘(실측)'!H15-2,0)+뒷날개치수더함</f>
        <v>23</v>
      </c>
      <c r="K15" s="50">
        <f>IF('쪽쟘(실측)'!F15&gt;0,'쪽쟘(실측)'!F15+0,0)+뒷날개치수더함</f>
        <v>25</v>
      </c>
      <c r="L15" s="50">
        <f>IF('쪽쟘(실측)'!G15&gt;0,'쪽쟘(실측)'!G15+0,0)+뒷날개치수더함</f>
        <v>25</v>
      </c>
      <c r="M15" s="50">
        <f>IF('쪽쟘(실측)'!H15&gt;0,'쪽쟘(실측)'!H15+0,0)+뒷날개치수더함</f>
        <v>25</v>
      </c>
      <c r="N15" s="50">
        <f>IF('쪽쟘(실측)'!I15&gt;0,'쪽쟘(실측)'!I15+0,0)+뒷날개치수더함</f>
        <v>25</v>
      </c>
      <c r="O15" s="50">
        <f>'쪽쟘(실측)'!J15-쪽쟘기둥차감</f>
        <v>2086</v>
      </c>
      <c r="P15" s="50">
        <f>'쪽쟘(실측)'!K15-쪽쟘기둥차감</f>
        <v>2086</v>
      </c>
      <c r="Q15" s="50">
        <f>'쪽쟘(실측)'!L15-쪽쟘기둥차감</f>
        <v>2086</v>
      </c>
      <c r="R15" s="50">
        <f>'쪽쟘(실측)'!M15-쪽쟘기둥차감</f>
        <v>2086</v>
      </c>
      <c r="S15" s="50">
        <f>'쪽쟘(실측)'!N15+뒷날개치수더함</f>
        <v>15</v>
      </c>
      <c r="T15" s="50">
        <f>'쪽쟘(실측)'!O15+뒷날개치수더함</f>
        <v>15</v>
      </c>
      <c r="U15" s="50">
        <f>'쪽쟘(실측)'!P15+뒷날개치수더함</f>
        <v>30</v>
      </c>
      <c r="V15" s="50">
        <f>'쪽쟘(실측)'!Q15+뒷날개치수더함</f>
        <v>30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20</v>
      </c>
      <c r="Z15" s="4">
        <f>'쪽쟘(실측)'!U15</f>
        <v>10</v>
      </c>
      <c r="AA15" s="4">
        <f>'쪽쟘(실측)'!V15</f>
        <v>6</v>
      </c>
      <c r="AC15">
        <f t="shared" si="8"/>
        <v>844</v>
      </c>
      <c r="AD15">
        <f t="shared" si="9"/>
        <v>109.4</v>
      </c>
      <c r="AE15">
        <f t="shared" si="2"/>
        <v>116.4</v>
      </c>
      <c r="AF15">
        <f t="shared" si="10"/>
        <v>2086</v>
      </c>
      <c r="AG15">
        <f t="shared" si="4"/>
        <v>116.4</v>
      </c>
      <c r="AH15">
        <f t="shared" si="11"/>
        <v>2086</v>
      </c>
    </row>
    <row r="16" spans="1:34" ht="19.5" customHeight="1">
      <c r="A16" s="50">
        <f>'쪽쟘(실측)'!A16</f>
        <v>2</v>
      </c>
      <c r="B16" s="50" t="str">
        <f>'쪽쟘(실측)'!B16&amp;"F"</f>
        <v>7F</v>
      </c>
      <c r="C16" s="50" t="str">
        <f t="shared" si="5"/>
        <v>824*111.4</v>
      </c>
      <c r="D16" s="50">
        <f>'쪽쟘(실측)'!C16-쪽쟘OP차감</f>
        <v>798</v>
      </c>
      <c r="E16" s="50">
        <f>'쪽쟘(실측)'!D16+쪽쟘J늘림+MAX(W16:X16)</f>
        <v>68</v>
      </c>
      <c r="F16" s="50">
        <f>'쪽쟘(실측)'!E16+쪽쟘J늘림+MAX(W16:X16)</f>
        <v>65</v>
      </c>
      <c r="G16" s="67" t="str">
        <f t="shared" si="6"/>
        <v>2086*106.4</v>
      </c>
      <c r="H16" s="68" t="str">
        <f t="shared" si="7"/>
        <v>2086*106.4</v>
      </c>
      <c r="I16" s="50">
        <f>IF('쪽쟘(실측)'!F16&gt;0,'쪽쟘(실측)'!F16-2,0)+뒷날개치수더함</f>
        <v>13</v>
      </c>
      <c r="J16" s="50">
        <f>IF('쪽쟘(실측)'!H16&gt;0,'쪽쟘(실측)'!H16-2,0)+뒷날개치수더함</f>
        <v>13</v>
      </c>
      <c r="K16" s="50">
        <f>IF('쪽쟘(실측)'!F16&gt;0,'쪽쟘(실측)'!F16+0,0)+뒷날개치수더함</f>
        <v>15</v>
      </c>
      <c r="L16" s="50">
        <f>IF('쪽쟘(실측)'!G16&gt;0,'쪽쟘(실측)'!G16+0,0)+뒷날개치수더함</f>
        <v>15</v>
      </c>
      <c r="M16" s="50">
        <f>IF('쪽쟘(실측)'!H16&gt;0,'쪽쟘(실측)'!H16+0,0)+뒷날개치수더함</f>
        <v>15</v>
      </c>
      <c r="N16" s="50">
        <f>IF('쪽쟘(실측)'!I16&gt;0,'쪽쟘(실측)'!I16+0,0)+뒷날개치수더함</f>
        <v>15</v>
      </c>
      <c r="O16" s="50">
        <f>'쪽쟘(실측)'!J16-쪽쟘기둥차감</f>
        <v>2086</v>
      </c>
      <c r="P16" s="50">
        <f>'쪽쟘(실측)'!K16-쪽쟘기둥차감</f>
        <v>2086</v>
      </c>
      <c r="Q16" s="50">
        <f>'쪽쟘(실측)'!L16-쪽쟘기둥차감</f>
        <v>2086</v>
      </c>
      <c r="R16" s="50">
        <f>'쪽쟘(실측)'!M16-쪽쟘기둥차감</f>
        <v>2086</v>
      </c>
      <c r="S16" s="50">
        <f>'쪽쟘(실측)'!N16+뒷날개치수더함</f>
        <v>17</v>
      </c>
      <c r="T16" s="50">
        <f>'쪽쟘(실측)'!O16+뒷날개치수더함</f>
        <v>17</v>
      </c>
      <c r="U16" s="50">
        <f>'쪽쟘(실측)'!P16+뒷날개치수더함</f>
        <v>30</v>
      </c>
      <c r="V16" s="50">
        <f>'쪽쟘(실측)'!Q16+뒷날개치수더함</f>
        <v>30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20</v>
      </c>
      <c r="Z16" s="4">
        <f>'쪽쟘(실측)'!U16</f>
        <v>10</v>
      </c>
      <c r="AA16" s="4">
        <f>'쪽쟘(실측)'!V16</f>
        <v>6</v>
      </c>
      <c r="AC16">
        <f t="shared" si="8"/>
        <v>824</v>
      </c>
      <c r="AD16">
        <f t="shared" si="9"/>
        <v>111.4</v>
      </c>
      <c r="AE16">
        <f t="shared" si="2"/>
        <v>106.4</v>
      </c>
      <c r="AF16">
        <f t="shared" si="10"/>
        <v>2086</v>
      </c>
      <c r="AG16">
        <f t="shared" si="4"/>
        <v>106.4</v>
      </c>
      <c r="AH16">
        <f t="shared" si="11"/>
        <v>2086</v>
      </c>
    </row>
    <row r="17" spans="1:34" ht="19.5" customHeight="1">
      <c r="A17" s="50">
        <f>'쪽쟘(실측)'!A17</f>
        <v>5</v>
      </c>
      <c r="B17" s="50" t="str">
        <f>'쪽쟘(실측)'!B17&amp;"F"</f>
        <v>2F</v>
      </c>
      <c r="C17" s="50" t="str">
        <f t="shared" si="5"/>
        <v>854*109.4</v>
      </c>
      <c r="D17" s="50">
        <f>'쪽쟘(실측)'!C17-쪽쟘OP차감</f>
        <v>798</v>
      </c>
      <c r="E17" s="50">
        <f>'쪽쟘(실측)'!D17+쪽쟘J늘림+MAX(W17:X17)</f>
        <v>68</v>
      </c>
      <c r="F17" s="50">
        <f>'쪽쟘(실측)'!E17+쪽쟘J늘림+MAX(W17:X17)</f>
        <v>65</v>
      </c>
      <c r="G17" s="67" t="str">
        <f t="shared" si="6"/>
        <v>2086*121.4</v>
      </c>
      <c r="H17" s="68" t="str">
        <f t="shared" si="7"/>
        <v>2086*121.4</v>
      </c>
      <c r="I17" s="50">
        <f>IF('쪽쟘(실측)'!F17&gt;0,'쪽쟘(실측)'!F17-2,0)+뒷날개치수더함</f>
        <v>28</v>
      </c>
      <c r="J17" s="50">
        <f>IF('쪽쟘(실측)'!H17&gt;0,'쪽쟘(실측)'!H17-2,0)+뒷날개치수더함</f>
        <v>28</v>
      </c>
      <c r="K17" s="50">
        <f>IF('쪽쟘(실측)'!F17&gt;0,'쪽쟘(실측)'!F17+0,0)+뒷날개치수더함</f>
        <v>30</v>
      </c>
      <c r="L17" s="50">
        <f>IF('쪽쟘(실측)'!G17&gt;0,'쪽쟘(실측)'!G17+0,0)+뒷날개치수더함</f>
        <v>20</v>
      </c>
      <c r="M17" s="50">
        <f>IF('쪽쟘(실측)'!H17&gt;0,'쪽쟘(실측)'!H17+0,0)+뒷날개치수더함</f>
        <v>30</v>
      </c>
      <c r="N17" s="50">
        <f>IF('쪽쟘(실측)'!I17&gt;0,'쪽쟘(실측)'!I17+0,0)+뒷날개치수더함</f>
        <v>20</v>
      </c>
      <c r="O17" s="50">
        <f>'쪽쟘(실측)'!J17-쪽쟘기둥차감</f>
        <v>2086</v>
      </c>
      <c r="P17" s="50">
        <f>'쪽쟘(실측)'!K17-쪽쟘기둥차감</f>
        <v>2086</v>
      </c>
      <c r="Q17" s="50">
        <f>'쪽쟘(실측)'!L17-쪽쟘기둥차감</f>
        <v>2086</v>
      </c>
      <c r="R17" s="50">
        <f>'쪽쟘(실측)'!M17-쪽쟘기둥차감</f>
        <v>2086</v>
      </c>
      <c r="S17" s="50">
        <f>'쪽쟘(실측)'!N17+뒷날개치수더함</f>
        <v>15</v>
      </c>
      <c r="T17" s="50">
        <f>'쪽쟘(실측)'!O17+뒷날개치수더함</f>
        <v>15</v>
      </c>
      <c r="U17" s="50">
        <f>'쪽쟘(실측)'!P17+뒷날개치수더함</f>
        <v>30</v>
      </c>
      <c r="V17" s="50">
        <f>'쪽쟘(실측)'!Q17+뒷날개치수더함</f>
        <v>30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20</v>
      </c>
      <c r="Z17" s="4">
        <f>'쪽쟘(실측)'!U17</f>
        <v>10</v>
      </c>
      <c r="AA17" s="4">
        <f>'쪽쟘(실측)'!V17</f>
        <v>6</v>
      </c>
      <c r="AC17">
        <f t="shared" si="8"/>
        <v>854</v>
      </c>
      <c r="AD17">
        <f t="shared" si="9"/>
        <v>109.4</v>
      </c>
      <c r="AE17">
        <f t="shared" si="2"/>
        <v>121.4</v>
      </c>
      <c r="AF17">
        <f t="shared" si="10"/>
        <v>2086</v>
      </c>
      <c r="AG17">
        <f t="shared" si="4"/>
        <v>121.4</v>
      </c>
      <c r="AH17">
        <f t="shared" si="11"/>
        <v>2086</v>
      </c>
    </row>
    <row r="18" spans="1:34" ht="19.5" customHeight="1">
      <c r="A18" s="50">
        <f>'쪽쟘(실측)'!A18</f>
        <v>5</v>
      </c>
      <c r="B18" s="50" t="str">
        <f>'쪽쟘(실측)'!B18&amp;"F"</f>
        <v>3F</v>
      </c>
      <c r="C18" s="50" t="str">
        <f t="shared" si="5"/>
        <v>825*116.4</v>
      </c>
      <c r="D18" s="50">
        <f>'쪽쟘(실측)'!C18-쪽쟘OP차감</f>
        <v>798</v>
      </c>
      <c r="E18" s="50">
        <f>'쪽쟘(실측)'!D18+쪽쟘J늘림+MAX(W18:X18)</f>
        <v>68</v>
      </c>
      <c r="F18" s="50">
        <f>'쪽쟘(실측)'!E18+쪽쟘J늘림+MAX(W18:X18)</f>
        <v>65</v>
      </c>
      <c r="G18" s="67" t="str">
        <f t="shared" si="6"/>
        <v>2086*109.4</v>
      </c>
      <c r="H18" s="68" t="str">
        <f t="shared" si="7"/>
        <v>2086*104.4</v>
      </c>
      <c r="I18" s="50">
        <f>IF('쪽쟘(실측)'!F18&gt;0,'쪽쟘(실측)'!F18-2,0)+뒷날개치수더함</f>
        <v>16</v>
      </c>
      <c r="J18" s="50">
        <f>IF('쪽쟘(실측)'!H18&gt;0,'쪽쟘(실측)'!H18-2,0)+뒷날개치수더함</f>
        <v>11</v>
      </c>
      <c r="K18" s="50">
        <f>IF('쪽쟘(실측)'!F18&gt;0,'쪽쟘(실측)'!F18+0,0)+뒷날개치수더함</f>
        <v>18</v>
      </c>
      <c r="L18" s="50">
        <f>IF('쪽쟘(실측)'!G18&gt;0,'쪽쟘(실측)'!G18+0,0)+뒷날개치수더함</f>
        <v>18</v>
      </c>
      <c r="M18" s="50">
        <f>IF('쪽쟘(실측)'!H18&gt;0,'쪽쟘(실측)'!H18+0,0)+뒷날개치수더함</f>
        <v>13</v>
      </c>
      <c r="N18" s="50">
        <f>IF('쪽쟘(실측)'!I18&gt;0,'쪽쟘(실측)'!I18+0,0)+뒷날개치수더함</f>
        <v>13</v>
      </c>
      <c r="O18" s="50">
        <f>'쪽쟘(실측)'!J18-쪽쟘기둥차감</f>
        <v>2086</v>
      </c>
      <c r="P18" s="50">
        <f>'쪽쟘(실측)'!K18-쪽쟘기둥차감</f>
        <v>2086</v>
      </c>
      <c r="Q18" s="50">
        <f>'쪽쟘(실측)'!L18-쪽쟘기둥차감</f>
        <v>2086</v>
      </c>
      <c r="R18" s="50">
        <f>'쪽쟘(실측)'!M18-쪽쟘기둥차감</f>
        <v>2086</v>
      </c>
      <c r="S18" s="50">
        <f>'쪽쟘(실측)'!N18+뒷날개치수더함</f>
        <v>22</v>
      </c>
      <c r="T18" s="50">
        <f>'쪽쟘(실측)'!O18+뒷날개치수더함</f>
        <v>22</v>
      </c>
      <c r="U18" s="50">
        <f>'쪽쟘(실측)'!P18+뒷날개치수더함</f>
        <v>30</v>
      </c>
      <c r="V18" s="50">
        <f>'쪽쟘(실측)'!Q18+뒷날개치수더함</f>
        <v>30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20</v>
      </c>
      <c r="Z18" s="4">
        <f>'쪽쟘(실측)'!U18</f>
        <v>10</v>
      </c>
      <c r="AA18" s="4">
        <f>'쪽쟘(실측)'!V18</f>
        <v>6</v>
      </c>
      <c r="AC18">
        <f t="shared" si="8"/>
        <v>825</v>
      </c>
      <c r="AD18">
        <f t="shared" si="9"/>
        <v>116.4</v>
      </c>
      <c r="AE18">
        <f t="shared" si="2"/>
        <v>109.4</v>
      </c>
      <c r="AF18">
        <f t="shared" si="10"/>
        <v>2086</v>
      </c>
      <c r="AG18">
        <f t="shared" si="4"/>
        <v>104.4</v>
      </c>
      <c r="AH18">
        <f t="shared" si="11"/>
        <v>2086</v>
      </c>
    </row>
    <row r="19" spans="1:34" ht="19.5" customHeight="1">
      <c r="A19" s="50">
        <f>'쪽쟘(실측)'!A19</f>
        <v>5</v>
      </c>
      <c r="B19" s="50" t="str">
        <f>'쪽쟘(실측)'!B19&amp;"F"</f>
        <v>5F</v>
      </c>
      <c r="C19" s="50" t="str">
        <f t="shared" si="5"/>
        <v>834*129.4</v>
      </c>
      <c r="D19" s="50">
        <f>'쪽쟘(실측)'!C19-쪽쟘OP차감</f>
        <v>798</v>
      </c>
      <c r="E19" s="50">
        <f>'쪽쟘(실측)'!D19+쪽쟘J늘림+MAX(W19:X19)</f>
        <v>68</v>
      </c>
      <c r="F19" s="50">
        <f>'쪽쟘(실측)'!E19+쪽쟘J늘림+MAX(W19:X19)</f>
        <v>65</v>
      </c>
      <c r="G19" s="67" t="str">
        <f t="shared" si="6"/>
        <v>2086*111.4</v>
      </c>
      <c r="H19" s="68" t="str">
        <f t="shared" si="7"/>
        <v>2086*111.4</v>
      </c>
      <c r="I19" s="50">
        <f>IF('쪽쟘(실측)'!F19&gt;0,'쪽쟘(실측)'!F19-2,0)+뒷날개치수더함</f>
        <v>18</v>
      </c>
      <c r="J19" s="50">
        <f>IF('쪽쟘(실측)'!H19&gt;0,'쪽쟘(실측)'!H19-2,0)+뒷날개치수더함</f>
        <v>18</v>
      </c>
      <c r="K19" s="50">
        <f>IF('쪽쟘(실측)'!F19&gt;0,'쪽쟘(실측)'!F19+0,0)+뒷날개치수더함</f>
        <v>20</v>
      </c>
      <c r="L19" s="50">
        <f>IF('쪽쟘(실측)'!G19&gt;0,'쪽쟘(실측)'!G19+0,0)+뒷날개치수더함</f>
        <v>20</v>
      </c>
      <c r="M19" s="50">
        <f>IF('쪽쟘(실측)'!H19&gt;0,'쪽쟘(실측)'!H19+0,0)+뒷날개치수더함</f>
        <v>20</v>
      </c>
      <c r="N19" s="50">
        <f>IF('쪽쟘(실측)'!I19&gt;0,'쪽쟘(실측)'!I19+0,0)+뒷날개치수더함</f>
        <v>20</v>
      </c>
      <c r="O19" s="50">
        <f>'쪽쟘(실측)'!J19-쪽쟘기둥차감</f>
        <v>2086</v>
      </c>
      <c r="P19" s="50">
        <f>'쪽쟘(실측)'!K19-쪽쟘기둥차감</f>
        <v>2086</v>
      </c>
      <c r="Q19" s="50">
        <f>'쪽쟘(실측)'!L19-쪽쟘기둥차감</f>
        <v>2086</v>
      </c>
      <c r="R19" s="50">
        <f>'쪽쟘(실측)'!M19-쪽쟘기둥차감</f>
        <v>2086</v>
      </c>
      <c r="S19" s="50">
        <f>'쪽쟘(실측)'!N19+뒷날개치수더함</f>
        <v>35</v>
      </c>
      <c r="T19" s="50">
        <f>'쪽쟘(실측)'!O19+뒷날개치수더함</f>
        <v>35</v>
      </c>
      <c r="U19" s="50">
        <f>'쪽쟘(실측)'!P19+뒷날개치수더함</f>
        <v>30</v>
      </c>
      <c r="V19" s="50">
        <f>'쪽쟘(실측)'!Q19+뒷날개치수더함</f>
        <v>30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20</v>
      </c>
      <c r="Z19" s="4">
        <f>'쪽쟘(실측)'!U19</f>
        <v>10</v>
      </c>
      <c r="AA19" s="4">
        <f>'쪽쟘(실측)'!V19</f>
        <v>6</v>
      </c>
      <c r="AC19">
        <f t="shared" si="8"/>
        <v>834</v>
      </c>
      <c r="AD19">
        <f t="shared" si="9"/>
        <v>129.4</v>
      </c>
      <c r="AE19">
        <f t="shared" si="2"/>
        <v>111.4</v>
      </c>
      <c r="AF19">
        <f t="shared" si="10"/>
        <v>2086</v>
      </c>
      <c r="AG19">
        <f t="shared" si="4"/>
        <v>111.4</v>
      </c>
      <c r="AH19">
        <f t="shared" si="11"/>
        <v>2086</v>
      </c>
    </row>
    <row r="20" spans="1:34" ht="19.5" customHeight="1">
      <c r="A20" s="50">
        <f>'쪽쟘(실측)'!A20</f>
        <v>5</v>
      </c>
      <c r="B20" s="50" t="str">
        <f>'쪽쟘(실측)'!B20&amp;"F"</f>
        <v>6F</v>
      </c>
      <c r="C20" s="50" t="str">
        <f t="shared" si="5"/>
        <v>825*124.4</v>
      </c>
      <c r="D20" s="50">
        <f>'쪽쟘(실측)'!C20-쪽쟘OP차감</f>
        <v>798</v>
      </c>
      <c r="E20" s="50">
        <f>'쪽쟘(실측)'!D20+쪽쟘J늘림+MAX(W20:X20)</f>
        <v>68</v>
      </c>
      <c r="F20" s="50">
        <f>'쪽쟘(실측)'!E20+쪽쟘J늘림+MAX(W20:X20)</f>
        <v>65</v>
      </c>
      <c r="G20" s="67" t="str">
        <f t="shared" si="6"/>
        <v>2086*109.4</v>
      </c>
      <c r="H20" s="68" t="str">
        <f t="shared" si="7"/>
        <v>2086*104.4</v>
      </c>
      <c r="I20" s="50">
        <f>IF('쪽쟘(실측)'!F20&gt;0,'쪽쟘(실측)'!F20-2,0)+뒷날개치수더함</f>
        <v>16</v>
      </c>
      <c r="J20" s="50">
        <f>IF('쪽쟘(실측)'!H20&gt;0,'쪽쟘(실측)'!H20-2,0)+뒷날개치수더함</f>
        <v>11</v>
      </c>
      <c r="K20" s="50">
        <f>IF('쪽쟘(실측)'!F20&gt;0,'쪽쟘(실측)'!F20+0,0)+뒷날개치수더함</f>
        <v>18</v>
      </c>
      <c r="L20" s="50">
        <f>IF('쪽쟘(실측)'!G20&gt;0,'쪽쟘(실측)'!G20+0,0)+뒷날개치수더함</f>
        <v>18</v>
      </c>
      <c r="M20" s="50">
        <f>IF('쪽쟘(실측)'!H20&gt;0,'쪽쟘(실측)'!H20+0,0)+뒷날개치수더함</f>
        <v>13</v>
      </c>
      <c r="N20" s="50">
        <f>IF('쪽쟘(실측)'!I20&gt;0,'쪽쟘(실측)'!I20+0,0)+뒷날개치수더함</f>
        <v>13</v>
      </c>
      <c r="O20" s="50">
        <f>'쪽쟘(실측)'!J20-쪽쟘기둥차감</f>
        <v>2086</v>
      </c>
      <c r="P20" s="50">
        <f>'쪽쟘(실측)'!K20-쪽쟘기둥차감</f>
        <v>2086</v>
      </c>
      <c r="Q20" s="50">
        <f>'쪽쟘(실측)'!L20-쪽쟘기둥차감</f>
        <v>2086</v>
      </c>
      <c r="R20" s="50">
        <f>'쪽쟘(실측)'!M20-쪽쟘기둥차감</f>
        <v>2086</v>
      </c>
      <c r="S20" s="50">
        <f>'쪽쟘(실측)'!N20+뒷날개치수더함</f>
        <v>30</v>
      </c>
      <c r="T20" s="50">
        <f>'쪽쟘(실측)'!O20+뒷날개치수더함</f>
        <v>30</v>
      </c>
      <c r="U20" s="50">
        <f>'쪽쟘(실측)'!P20+뒷날개치수더함</f>
        <v>30</v>
      </c>
      <c r="V20" s="50">
        <f>'쪽쟘(실측)'!Q20+뒷날개치수더함</f>
        <v>30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20</v>
      </c>
      <c r="Z20" s="4">
        <f>'쪽쟘(실측)'!U20</f>
        <v>10</v>
      </c>
      <c r="AA20" s="4">
        <f>'쪽쟘(실측)'!V20</f>
        <v>6</v>
      </c>
      <c r="AC20">
        <f t="shared" si="8"/>
        <v>825</v>
      </c>
      <c r="AD20">
        <f t="shared" si="9"/>
        <v>124.4</v>
      </c>
      <c r="AE20">
        <f t="shared" si="2"/>
        <v>109.4</v>
      </c>
      <c r="AF20">
        <f t="shared" si="10"/>
        <v>2086</v>
      </c>
      <c r="AG20">
        <f t="shared" si="4"/>
        <v>104.4</v>
      </c>
      <c r="AH20">
        <f t="shared" si="11"/>
        <v>2086</v>
      </c>
    </row>
    <row r="21" spans="1:34" ht="19.5" customHeight="1">
      <c r="A21" s="50">
        <f>'쪽쟘(실측)'!A21</f>
        <v>5</v>
      </c>
      <c r="B21" s="50" t="str">
        <f>'쪽쟘(실측)'!B21&amp;"F"</f>
        <v>7F</v>
      </c>
      <c r="C21" s="50" t="str">
        <f t="shared" si="5"/>
        <v>820*119.4</v>
      </c>
      <c r="D21" s="50">
        <f>'쪽쟘(실측)'!C21-쪽쟘OP차감</f>
        <v>798</v>
      </c>
      <c r="E21" s="50">
        <f>'쪽쟘(실측)'!D21+쪽쟘J늘림+MAX(W21:X21)</f>
        <v>68</v>
      </c>
      <c r="F21" s="50">
        <f>'쪽쟘(실측)'!E21+쪽쟘J늘림+MAX(W21:X21)</f>
        <v>65</v>
      </c>
      <c r="G21" s="67" t="str">
        <f t="shared" si="6"/>
        <v>2086*104.4</v>
      </c>
      <c r="H21" s="68" t="str">
        <f t="shared" si="7"/>
        <v>2086*104.4</v>
      </c>
      <c r="I21" s="50">
        <f>IF('쪽쟘(실측)'!F21&gt;0,'쪽쟘(실측)'!F21-2,0)+뒷날개치수더함</f>
        <v>11</v>
      </c>
      <c r="J21" s="50">
        <f>IF('쪽쟘(실측)'!H21&gt;0,'쪽쟘(실측)'!H21-2,0)+뒷날개치수더함</f>
        <v>11</v>
      </c>
      <c r="K21" s="50">
        <f>IF('쪽쟘(실측)'!F21&gt;0,'쪽쟘(실측)'!F21+0,0)+뒷날개치수더함</f>
        <v>13</v>
      </c>
      <c r="L21" s="50">
        <f>IF('쪽쟘(실측)'!G21&gt;0,'쪽쟘(실측)'!G21+0,0)+뒷날개치수더함</f>
        <v>13</v>
      </c>
      <c r="M21" s="50">
        <f>IF('쪽쟘(실측)'!H21&gt;0,'쪽쟘(실측)'!H21+0,0)+뒷날개치수더함</f>
        <v>13</v>
      </c>
      <c r="N21" s="50">
        <f>IF('쪽쟘(실측)'!I21&gt;0,'쪽쟘(실측)'!I21+0,0)+뒷날개치수더함</f>
        <v>13</v>
      </c>
      <c r="O21" s="50">
        <f>'쪽쟘(실측)'!J21-쪽쟘기둥차감</f>
        <v>2086</v>
      </c>
      <c r="P21" s="50">
        <f>'쪽쟘(실측)'!K21-쪽쟘기둥차감</f>
        <v>2086</v>
      </c>
      <c r="Q21" s="50">
        <f>'쪽쟘(실측)'!L21-쪽쟘기둥차감</f>
        <v>2086</v>
      </c>
      <c r="R21" s="50">
        <f>'쪽쟘(실측)'!M21-쪽쟘기둥차감</f>
        <v>2086</v>
      </c>
      <c r="S21" s="50">
        <f>'쪽쟘(실측)'!N21+뒷날개치수더함</f>
        <v>25</v>
      </c>
      <c r="T21" s="50">
        <f>'쪽쟘(실측)'!O21+뒷날개치수더함</f>
        <v>25</v>
      </c>
      <c r="U21" s="50">
        <f>'쪽쟘(실측)'!P21+뒷날개치수더함</f>
        <v>30</v>
      </c>
      <c r="V21" s="50">
        <f>'쪽쟘(실측)'!Q21+뒷날개치수더함</f>
        <v>30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20</v>
      </c>
      <c r="Z21" s="4">
        <f>'쪽쟘(실측)'!U21</f>
        <v>10</v>
      </c>
      <c r="AA21" s="4">
        <f>'쪽쟘(실측)'!V21</f>
        <v>6</v>
      </c>
      <c r="AC21">
        <f t="shared" si="8"/>
        <v>820</v>
      </c>
      <c r="AD21">
        <f t="shared" si="9"/>
        <v>119.4</v>
      </c>
      <c r="AE21">
        <f t="shared" si="2"/>
        <v>104.4</v>
      </c>
      <c r="AF21">
        <f t="shared" si="10"/>
        <v>2086</v>
      </c>
      <c r="AG21">
        <f t="shared" si="4"/>
        <v>104.4</v>
      </c>
      <c r="AH21">
        <f t="shared" si="11"/>
        <v>2086</v>
      </c>
    </row>
    <row r="22" spans="1:34" ht="19.5" customHeight="1">
      <c r="A22" s="50">
        <f>'쪽쟘(실측)'!A22</f>
        <v>6</v>
      </c>
      <c r="B22" s="50" t="str">
        <f>'쪽쟘(실측)'!B22&amp;"F"</f>
        <v>2F</v>
      </c>
      <c r="C22" s="50" t="str">
        <f t="shared" si="5"/>
        <v>824*104.4</v>
      </c>
      <c r="D22" s="50">
        <f>'쪽쟘(실측)'!C22-쪽쟘OP차감</f>
        <v>798</v>
      </c>
      <c r="E22" s="50">
        <f>'쪽쟘(실측)'!D22+쪽쟘J늘림+MAX(W22:X22)</f>
        <v>68</v>
      </c>
      <c r="F22" s="50">
        <f>'쪽쟘(실측)'!E22+쪽쟘J늘림+MAX(W22:X22)</f>
        <v>65</v>
      </c>
      <c r="G22" s="67" t="str">
        <f t="shared" si="6"/>
        <v>2090*103.4</v>
      </c>
      <c r="H22" s="68" t="str">
        <f t="shared" si="7"/>
        <v>2090*109.4</v>
      </c>
      <c r="I22" s="50">
        <f>IF('쪽쟘(실측)'!F22&gt;0,'쪽쟘(실측)'!F22-2,0)+뒷날개치수더함</f>
        <v>10</v>
      </c>
      <c r="J22" s="50">
        <f>IF('쪽쟘(실측)'!H22&gt;0,'쪽쟘(실측)'!H22-2,0)+뒷날개치수더함</f>
        <v>16</v>
      </c>
      <c r="K22" s="50">
        <f>IF('쪽쟘(실측)'!F22&gt;0,'쪽쟘(실측)'!F22+0,0)+뒷날개치수더함</f>
        <v>12</v>
      </c>
      <c r="L22" s="50">
        <f>IF('쪽쟘(실측)'!G22&gt;0,'쪽쟘(실측)'!G22+0,0)+뒷날개치수더함</f>
        <v>12</v>
      </c>
      <c r="M22" s="50">
        <f>IF('쪽쟘(실측)'!H22&gt;0,'쪽쟘(실측)'!H22+0,0)+뒷날개치수더함</f>
        <v>18</v>
      </c>
      <c r="N22" s="50">
        <f>IF('쪽쟘(실측)'!I22&gt;0,'쪽쟘(실측)'!I22+0,0)+뒷날개치수더함</f>
        <v>18</v>
      </c>
      <c r="O22" s="50">
        <f>'쪽쟘(실측)'!J22-쪽쟘기둥차감</f>
        <v>2090</v>
      </c>
      <c r="P22" s="50">
        <f>'쪽쟘(실측)'!K22-쪽쟘기둥차감</f>
        <v>2090</v>
      </c>
      <c r="Q22" s="50">
        <f>'쪽쟘(실측)'!L22-쪽쟘기둥차감</f>
        <v>2090</v>
      </c>
      <c r="R22" s="50">
        <f>'쪽쟘(실측)'!M22-쪽쟘기둥차감</f>
        <v>2090</v>
      </c>
      <c r="S22" s="50">
        <f>'쪽쟘(실측)'!N22+뒷날개치수더함</f>
        <v>10</v>
      </c>
      <c r="T22" s="50">
        <f>'쪽쟘(실측)'!O22+뒷날개치수더함</f>
        <v>10</v>
      </c>
      <c r="U22" s="50">
        <f>'쪽쟘(실측)'!P22+뒷날개치수더함</f>
        <v>30</v>
      </c>
      <c r="V22" s="50">
        <f>'쪽쟘(실측)'!Q22+뒷날개치수더함</f>
        <v>30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20</v>
      </c>
      <c r="Z22" s="4">
        <f>'쪽쟘(실측)'!U22</f>
        <v>10</v>
      </c>
      <c r="AA22" s="4">
        <f>'쪽쟘(실측)'!V22</f>
        <v>6</v>
      </c>
      <c r="AC22">
        <f t="shared" si="8"/>
        <v>824</v>
      </c>
      <c r="AD22">
        <f t="shared" si="9"/>
        <v>104.4</v>
      </c>
      <c r="AE22">
        <f t="shared" si="2"/>
        <v>103.4</v>
      </c>
      <c r="AF22">
        <f t="shared" si="10"/>
        <v>2090</v>
      </c>
      <c r="AG22">
        <f t="shared" si="4"/>
        <v>109.4</v>
      </c>
      <c r="AH22">
        <f t="shared" si="11"/>
        <v>2090</v>
      </c>
    </row>
    <row r="23" spans="1:34" ht="19.5" customHeight="1">
      <c r="A23" s="50">
        <f>'쪽쟘(실측)'!A23</f>
        <v>6</v>
      </c>
      <c r="B23" s="50" t="str">
        <f>'쪽쟘(실측)'!B23&amp;"F"</f>
        <v>3F</v>
      </c>
      <c r="C23" s="50" t="str">
        <f t="shared" si="5"/>
        <v>826*107.4</v>
      </c>
      <c r="D23" s="50">
        <f>'쪽쟘(실측)'!C23-쪽쟘OP차감</f>
        <v>798</v>
      </c>
      <c r="E23" s="50">
        <f>'쪽쟘(실측)'!D23+쪽쟘J늘림+MAX(W23:X23)</f>
        <v>68</v>
      </c>
      <c r="F23" s="50">
        <f>'쪽쟘(실측)'!E23+쪽쟘J늘림+MAX(W23:X23)</f>
        <v>65</v>
      </c>
      <c r="G23" s="67" t="str">
        <f t="shared" si="6"/>
        <v>2090*111.4</v>
      </c>
      <c r="H23" s="68" t="str">
        <f t="shared" si="7"/>
        <v>2090*103.4</v>
      </c>
      <c r="I23" s="50">
        <f>IF('쪽쟘(실측)'!F23&gt;0,'쪽쟘(실측)'!F23-2,0)+뒷날개치수더함</f>
        <v>18</v>
      </c>
      <c r="J23" s="50">
        <f>IF('쪽쟘(실측)'!H23&gt;0,'쪽쟘(실측)'!H23-2,0)+뒷날개치수더함</f>
        <v>10</v>
      </c>
      <c r="K23" s="50">
        <f>IF('쪽쟘(실측)'!F23&gt;0,'쪽쟘(실측)'!F23+0,0)+뒷날개치수더함</f>
        <v>20</v>
      </c>
      <c r="L23" s="50">
        <f>IF('쪽쟘(실측)'!G23&gt;0,'쪽쟘(실측)'!G23+0,0)+뒷날개치수더함</f>
        <v>20</v>
      </c>
      <c r="M23" s="50">
        <f>IF('쪽쟘(실측)'!H23&gt;0,'쪽쟘(실측)'!H23+0,0)+뒷날개치수더함</f>
        <v>12</v>
      </c>
      <c r="N23" s="50">
        <f>IF('쪽쟘(실측)'!I23&gt;0,'쪽쟘(실측)'!I23+0,0)+뒷날개치수더함</f>
        <v>12</v>
      </c>
      <c r="O23" s="50">
        <f>'쪽쟘(실측)'!J23-쪽쟘기둥차감</f>
        <v>2090</v>
      </c>
      <c r="P23" s="50">
        <f>'쪽쟘(실측)'!K23-쪽쟘기둥차감</f>
        <v>2090</v>
      </c>
      <c r="Q23" s="50">
        <f>'쪽쟘(실측)'!L23-쪽쟘기둥차감</f>
        <v>2090</v>
      </c>
      <c r="R23" s="50">
        <f>'쪽쟘(실측)'!M23-쪽쟘기둥차감</f>
        <v>2090</v>
      </c>
      <c r="S23" s="50">
        <f>'쪽쟘(실측)'!N23+뒷날개치수더함</f>
        <v>13</v>
      </c>
      <c r="T23" s="50">
        <f>'쪽쟘(실측)'!O23+뒷날개치수더함</f>
        <v>13</v>
      </c>
      <c r="U23" s="50">
        <f>'쪽쟘(실측)'!P23+뒷날개치수더함</f>
        <v>30</v>
      </c>
      <c r="V23" s="50">
        <f>'쪽쟘(실측)'!Q23+뒷날개치수더함</f>
        <v>30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20</v>
      </c>
      <c r="Z23" s="4">
        <f>'쪽쟘(실측)'!U23</f>
        <v>10</v>
      </c>
      <c r="AA23" s="4">
        <f>'쪽쟘(실측)'!V23</f>
        <v>6</v>
      </c>
      <c r="AC23">
        <f t="shared" si="8"/>
        <v>826</v>
      </c>
      <c r="AD23">
        <f t="shared" si="9"/>
        <v>107.4</v>
      </c>
      <c r="AE23">
        <f t="shared" si="2"/>
        <v>111.4</v>
      </c>
      <c r="AF23">
        <f t="shared" si="10"/>
        <v>2090</v>
      </c>
      <c r="AG23">
        <f t="shared" si="4"/>
        <v>103.4</v>
      </c>
      <c r="AH23">
        <f t="shared" si="11"/>
        <v>2090</v>
      </c>
    </row>
    <row r="24" spans="1:34" ht="19.5" customHeight="1">
      <c r="A24" s="50">
        <f>'쪽쟘(실측)'!A24</f>
        <v>6</v>
      </c>
      <c r="B24" s="50" t="str">
        <f>'쪽쟘(실측)'!B24&amp;"F"</f>
        <v>5F</v>
      </c>
      <c r="C24" s="50" t="str">
        <f t="shared" si="5"/>
        <v>818*119.4</v>
      </c>
      <c r="D24" s="50">
        <f>'쪽쟘(실측)'!C24-쪽쟘OP차감</f>
        <v>798</v>
      </c>
      <c r="E24" s="50">
        <f>'쪽쟘(실측)'!D24+쪽쟘J늘림+MAX(W24:X24)</f>
        <v>68</v>
      </c>
      <c r="F24" s="50">
        <f>'쪽쟘(실측)'!E24+쪽쟘J늘림+MAX(W24:X24)</f>
        <v>65</v>
      </c>
      <c r="G24" s="67" t="str">
        <f t="shared" si="6"/>
        <v>2090*103.4</v>
      </c>
      <c r="H24" s="68" t="str">
        <f t="shared" si="7"/>
        <v>2090*103.4</v>
      </c>
      <c r="I24" s="50">
        <f>IF('쪽쟘(실측)'!F24&gt;0,'쪽쟘(실측)'!F24-2,0)+뒷날개치수더함</f>
        <v>10</v>
      </c>
      <c r="J24" s="50">
        <f>IF('쪽쟘(실측)'!H24&gt;0,'쪽쟘(실측)'!H24-2,0)+뒷날개치수더함</f>
        <v>10</v>
      </c>
      <c r="K24" s="50">
        <f>IF('쪽쟘(실측)'!F24&gt;0,'쪽쟘(실측)'!F24+0,0)+뒷날개치수더함</f>
        <v>12</v>
      </c>
      <c r="L24" s="50">
        <f>IF('쪽쟘(실측)'!G24&gt;0,'쪽쟘(실측)'!G24+0,0)+뒷날개치수더함</f>
        <v>12</v>
      </c>
      <c r="M24" s="50">
        <f>IF('쪽쟘(실측)'!H24&gt;0,'쪽쟘(실측)'!H24+0,0)+뒷날개치수더함</f>
        <v>12</v>
      </c>
      <c r="N24" s="50">
        <f>IF('쪽쟘(실측)'!I24&gt;0,'쪽쟘(실측)'!I24+0,0)+뒷날개치수더함</f>
        <v>12</v>
      </c>
      <c r="O24" s="50">
        <f>'쪽쟘(실측)'!J24-쪽쟘기둥차감</f>
        <v>2090</v>
      </c>
      <c r="P24" s="50">
        <f>'쪽쟘(실측)'!K24-쪽쟘기둥차감</f>
        <v>2090</v>
      </c>
      <c r="Q24" s="50">
        <f>'쪽쟘(실측)'!L24-쪽쟘기둥차감</f>
        <v>2090</v>
      </c>
      <c r="R24" s="50">
        <f>'쪽쟘(실측)'!M24-쪽쟘기둥차감</f>
        <v>2090</v>
      </c>
      <c r="S24" s="50">
        <f>'쪽쟘(실측)'!N24+뒷날개치수더함</f>
        <v>25</v>
      </c>
      <c r="T24" s="50">
        <f>'쪽쟘(실측)'!O24+뒷날개치수더함</f>
        <v>25</v>
      </c>
      <c r="U24" s="50">
        <f>'쪽쟘(실측)'!P24+뒷날개치수더함</f>
        <v>30</v>
      </c>
      <c r="V24" s="50">
        <f>'쪽쟘(실측)'!Q24+뒷날개치수더함</f>
        <v>30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20</v>
      </c>
      <c r="Z24" s="4">
        <f>'쪽쟘(실측)'!U24</f>
        <v>10</v>
      </c>
      <c r="AA24" s="4">
        <f>'쪽쟘(실측)'!V24</f>
        <v>6</v>
      </c>
      <c r="AC24">
        <f t="shared" si="8"/>
        <v>818</v>
      </c>
      <c r="AD24">
        <f t="shared" si="9"/>
        <v>119.4</v>
      </c>
      <c r="AE24">
        <f t="shared" si="2"/>
        <v>103.4</v>
      </c>
      <c r="AF24">
        <f t="shared" si="10"/>
        <v>2090</v>
      </c>
      <c r="AG24">
        <f t="shared" si="4"/>
        <v>103.4</v>
      </c>
      <c r="AH24">
        <f t="shared" si="11"/>
        <v>2090</v>
      </c>
    </row>
    <row r="25" spans="1:34" ht="19.5" customHeight="1">
      <c r="A25" s="50">
        <f>'쪽쟘(실측)'!A25</f>
        <v>6</v>
      </c>
      <c r="B25" s="50" t="str">
        <f>'쪽쟘(실측)'!B25&amp;"F"</f>
        <v>6F</v>
      </c>
      <c r="C25" s="50" t="str">
        <f t="shared" si="5"/>
        <v>834*119.4</v>
      </c>
      <c r="D25" s="50">
        <f>'쪽쟘(실측)'!C25-쪽쟘OP차감</f>
        <v>798</v>
      </c>
      <c r="E25" s="50">
        <f>'쪽쟘(실측)'!D25+쪽쟘J늘림+MAX(W25:X25)</f>
        <v>68</v>
      </c>
      <c r="F25" s="50">
        <f>'쪽쟘(실측)'!E25+쪽쟘J늘림+MAX(W25:X25)</f>
        <v>65</v>
      </c>
      <c r="G25" s="67" t="str">
        <f t="shared" si="6"/>
        <v>2090*111.4</v>
      </c>
      <c r="H25" s="68" t="str">
        <f t="shared" si="7"/>
        <v>2090*111.4</v>
      </c>
      <c r="I25" s="50">
        <f>IF('쪽쟘(실측)'!F25&gt;0,'쪽쟘(실측)'!F25-2,0)+뒷날개치수더함</f>
        <v>18</v>
      </c>
      <c r="J25" s="50">
        <f>IF('쪽쟘(실측)'!H25&gt;0,'쪽쟘(실측)'!H25-2,0)+뒷날개치수더함</f>
        <v>18</v>
      </c>
      <c r="K25" s="50">
        <f>IF('쪽쟘(실측)'!F25&gt;0,'쪽쟘(실측)'!F25+0,0)+뒷날개치수더함</f>
        <v>20</v>
      </c>
      <c r="L25" s="50">
        <f>IF('쪽쟘(실측)'!G25&gt;0,'쪽쟘(실측)'!G25+0,0)+뒷날개치수더함</f>
        <v>20</v>
      </c>
      <c r="M25" s="50">
        <f>IF('쪽쟘(실측)'!H25&gt;0,'쪽쟘(실측)'!H25+0,0)+뒷날개치수더함</f>
        <v>20</v>
      </c>
      <c r="N25" s="50">
        <f>IF('쪽쟘(실측)'!I25&gt;0,'쪽쟘(실측)'!I25+0,0)+뒷날개치수더함</f>
        <v>20</v>
      </c>
      <c r="O25" s="50">
        <f>'쪽쟘(실측)'!J25-쪽쟘기둥차감</f>
        <v>2090</v>
      </c>
      <c r="P25" s="50">
        <f>'쪽쟘(실측)'!K25-쪽쟘기둥차감</f>
        <v>2090</v>
      </c>
      <c r="Q25" s="50">
        <f>'쪽쟘(실측)'!L25-쪽쟘기둥차감</f>
        <v>2090</v>
      </c>
      <c r="R25" s="50">
        <f>'쪽쟘(실측)'!M25-쪽쟘기둥차감</f>
        <v>2090</v>
      </c>
      <c r="S25" s="50">
        <f>'쪽쟘(실측)'!N25+뒷날개치수더함</f>
        <v>25</v>
      </c>
      <c r="T25" s="50">
        <f>'쪽쟘(실측)'!O25+뒷날개치수더함</f>
        <v>25</v>
      </c>
      <c r="U25" s="50">
        <f>'쪽쟘(실측)'!P25+뒷날개치수더함</f>
        <v>30</v>
      </c>
      <c r="V25" s="50">
        <f>'쪽쟘(실측)'!Q25+뒷날개치수더함</f>
        <v>30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20</v>
      </c>
      <c r="Z25" s="4">
        <f>'쪽쟘(실측)'!U25</f>
        <v>10</v>
      </c>
      <c r="AA25" s="4">
        <f>'쪽쟘(실측)'!V25</f>
        <v>6</v>
      </c>
      <c r="AC25">
        <f t="shared" si="8"/>
        <v>834</v>
      </c>
      <c r="AD25">
        <f t="shared" si="9"/>
        <v>119.4</v>
      </c>
      <c r="AE25">
        <f t="shared" si="2"/>
        <v>111.4</v>
      </c>
      <c r="AF25">
        <f t="shared" si="10"/>
        <v>2090</v>
      </c>
      <c r="AG25">
        <f t="shared" si="4"/>
        <v>111.4</v>
      </c>
      <c r="AH25">
        <f t="shared" si="11"/>
        <v>2090</v>
      </c>
    </row>
    <row r="26" spans="1:34" ht="19.5" customHeight="1">
      <c r="A26" s="50">
        <f>'쪽쟘(실측)'!A26</f>
        <v>6</v>
      </c>
      <c r="B26" s="50" t="str">
        <f>'쪽쟘(실측)'!B26&amp;"F"</f>
        <v>7F</v>
      </c>
      <c r="C26" s="50" t="str">
        <f t="shared" ref="C26" si="12">AC26&amp;"*"&amp;AD26</f>
        <v>834*117.4</v>
      </c>
      <c r="D26" s="50">
        <f>'쪽쟘(실측)'!C26-쪽쟘OP차감</f>
        <v>798</v>
      </c>
      <c r="E26" s="50">
        <f>'쪽쟘(실측)'!D26+쪽쟘J늘림+MAX(W26:X26)</f>
        <v>68</v>
      </c>
      <c r="F26" s="50">
        <f>'쪽쟘(실측)'!E26+쪽쟘J늘림+MAX(W26:X26)</f>
        <v>65</v>
      </c>
      <c r="G26" s="67" t="str">
        <f t="shared" ref="G26" si="13">AF26&amp;"*"&amp;AE26</f>
        <v>2090*111.4</v>
      </c>
      <c r="H26" s="68" t="str">
        <f t="shared" ref="H26" si="14">AH26&amp;"*"&amp;AG26</f>
        <v>2090*111.4</v>
      </c>
      <c r="I26" s="50">
        <f>IF('쪽쟘(실측)'!F26&gt;0,'쪽쟘(실측)'!F26-2,0)+뒷날개치수더함</f>
        <v>18</v>
      </c>
      <c r="J26" s="50">
        <f>IF('쪽쟘(실측)'!H26&gt;0,'쪽쟘(실측)'!H26-2,0)+뒷날개치수더함</f>
        <v>18</v>
      </c>
      <c r="K26" s="50">
        <f>IF('쪽쟘(실측)'!F26&gt;0,'쪽쟘(실측)'!F26+0,0)+뒷날개치수더함</f>
        <v>20</v>
      </c>
      <c r="L26" s="50">
        <f>IF('쪽쟘(실측)'!G26&gt;0,'쪽쟘(실측)'!G26+0,0)+뒷날개치수더함</f>
        <v>20</v>
      </c>
      <c r="M26" s="50">
        <f>IF('쪽쟘(실측)'!H26&gt;0,'쪽쟘(실측)'!H26+0,0)+뒷날개치수더함</f>
        <v>20</v>
      </c>
      <c r="N26" s="50">
        <f>IF('쪽쟘(실측)'!I26&gt;0,'쪽쟘(실측)'!I26+0,0)+뒷날개치수더함</f>
        <v>20</v>
      </c>
      <c r="O26" s="50">
        <f>'쪽쟘(실측)'!J26-쪽쟘기둥차감</f>
        <v>2090</v>
      </c>
      <c r="P26" s="50">
        <f>'쪽쟘(실측)'!K26-쪽쟘기둥차감</f>
        <v>2090</v>
      </c>
      <c r="Q26" s="50">
        <f>'쪽쟘(실측)'!L26-쪽쟘기둥차감</f>
        <v>2090</v>
      </c>
      <c r="R26" s="50">
        <f>'쪽쟘(실측)'!M26-쪽쟘기둥차감</f>
        <v>2090</v>
      </c>
      <c r="S26" s="50">
        <f>'쪽쟘(실측)'!N26+뒷날개치수더함</f>
        <v>23</v>
      </c>
      <c r="T26" s="50">
        <f>'쪽쟘(실측)'!O26+뒷날개치수더함</f>
        <v>23</v>
      </c>
      <c r="U26" s="50">
        <f>'쪽쟘(실측)'!P26+뒷날개치수더함</f>
        <v>30</v>
      </c>
      <c r="V26" s="50">
        <f>'쪽쟘(실측)'!Q26+뒷날개치수더함</f>
        <v>30</v>
      </c>
      <c r="W26" s="50">
        <f>'쪽쟘(실측)'!R26-쪽쟘늘치차감</f>
        <v>0</v>
      </c>
      <c r="X26" s="50">
        <f>'쪽쟘(실측)'!S26-쪽쟘늘치차감</f>
        <v>0</v>
      </c>
      <c r="Y26" s="4">
        <f>IF('쪽쟘(실측)'!T26&gt;5,'쪽쟘(실측)'!T26+뒷날개치수더함,0)</f>
        <v>20</v>
      </c>
      <c r="Z26" s="4">
        <f>'쪽쟘(실측)'!U26</f>
        <v>10</v>
      </c>
      <c r="AA26" s="4">
        <f>'쪽쟘(실측)'!V26</f>
        <v>6</v>
      </c>
      <c r="AC26">
        <f t="shared" ref="AC26" si="15">D26+I26+J26</f>
        <v>834</v>
      </c>
      <c r="AD26">
        <f t="shared" ref="AD26" si="16">U26+E26+MAX(S26,T26)-쪽쟘소재t*3+IF(S26=0,S26*쪽쟘소재t,0)</f>
        <v>117.4</v>
      </c>
      <c r="AE26">
        <f t="shared" ref="AE26" si="17">MAX(K26,L26)+F26+V26-쪽쟘소재t*3+IF(K26=0,쪽쟘소재t)-IF(AA26=90,2.4,0)</f>
        <v>111.4</v>
      </c>
      <c r="AF26">
        <f t="shared" ref="AF26" si="18">MAX(O26,P26)</f>
        <v>2090</v>
      </c>
      <c r="AG26">
        <f t="shared" ref="AG26" si="19">MAX(M26,N26)+F26+V26-쪽쟘소재t*3+IF(M26=0,쪽쟘소재t)-IF(AA26=90,2.4,0)</f>
        <v>111.4</v>
      </c>
      <c r="AH26">
        <f t="shared" ref="AH26" si="20">MAX(Q26,R26)</f>
        <v>2090</v>
      </c>
    </row>
  </sheetData>
  <mergeCells count="38"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</mergeCells>
  <phoneticPr fontId="1" type="noConversion"/>
  <conditionalFormatting sqref="K7:K26 M7:M26 S7:S26">
    <cfRule type="cellIs" dxfId="58" priority="4" operator="notEqual">
      <formula>L7</formula>
    </cfRule>
  </conditionalFormatting>
  <conditionalFormatting sqref="L7:L26 N7:N26 T7:T26">
    <cfRule type="cellIs" dxfId="57" priority="3" operator="notEqual">
      <formula>K7</formula>
    </cfRule>
  </conditionalFormatting>
  <conditionalFormatting sqref="Y7:AA26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E26"/>
  <sheetViews>
    <sheetView zoomScaleNormal="100" workbookViewId="0">
      <selection activeCell="AA11" sqref="AA11"/>
    </sheetView>
  </sheetViews>
  <sheetFormatPr defaultRowHeight="16.5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>
      <c r="A1" s="307" t="str">
        <f>정보!B1&amp;" (제작치수 샤링작지) "&amp;정보!B6&amp;" 소장"</f>
        <v>인천 연수구 동춘태평아파트-2차 (제작치수 샤링작지) 유영 소장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</row>
    <row r="2" spans="1:31" ht="30.75" customHeight="1">
      <c r="A2" s="308" t="str">
        <f>"총 : " &amp; COUNTA(A7:A193) &amp;" (SET)"</f>
        <v>총 : 20 (SET)</v>
      </c>
      <c r="B2" s="308"/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299" t="s">
        <v>160</v>
      </c>
      <c r="Q2" s="300"/>
      <c r="R2" s="300"/>
      <c r="S2" s="300"/>
      <c r="T2" s="61"/>
      <c r="U2" s="301">
        <v>1.2</v>
      </c>
      <c r="V2" s="301"/>
      <c r="W2" s="1"/>
      <c r="X2" s="1"/>
    </row>
    <row r="3" spans="1:31" ht="33" customHeight="1">
      <c r="A3" s="69" t="str">
        <f>정보!B9</f>
        <v>HL 1.2T</v>
      </c>
      <c r="B3" s="69"/>
      <c r="C3" s="69"/>
      <c r="D3" s="69"/>
      <c r="E3" s="69"/>
      <c r="F3" s="69"/>
      <c r="G3" s="299" t="str">
        <f>"예상매수 : " &amp; ROUNDUP((SUM(AB7:AB193)+SUM(AD7:AD193))/1200,0) &amp;" 매"</f>
        <v>예상매수 : 4 매</v>
      </c>
      <c r="H3" s="299"/>
      <c r="I3" s="302">
        <v>0</v>
      </c>
      <c r="J3" s="302"/>
      <c r="K3" s="63"/>
      <c r="L3" s="63"/>
      <c r="M3" s="252" t="s">
        <v>161</v>
      </c>
      <c r="N3" s="252"/>
      <c r="O3" s="252"/>
      <c r="P3" s="303">
        <v>0</v>
      </c>
      <c r="Q3" s="303"/>
      <c r="R3" s="249" t="s">
        <v>162</v>
      </c>
      <c r="S3" s="249"/>
      <c r="T3" s="64"/>
      <c r="U3" s="304">
        <v>4</v>
      </c>
      <c r="V3" s="304"/>
      <c r="W3" s="65"/>
      <c r="X3" s="65"/>
    </row>
    <row r="4" spans="1:31" ht="9.75" customHeight="1">
      <c r="A4" s="178"/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</row>
    <row r="5" spans="1:31" ht="25.9" customHeight="1">
      <c r="A5" s="171" t="s">
        <v>163</v>
      </c>
      <c r="B5" s="171" t="s">
        <v>164</v>
      </c>
      <c r="C5" s="172" t="s">
        <v>165</v>
      </c>
      <c r="D5" s="171" t="s">
        <v>166</v>
      </c>
      <c r="E5" s="172" t="s">
        <v>167</v>
      </c>
      <c r="F5" s="172" t="s">
        <v>168</v>
      </c>
      <c r="G5" s="172" t="s">
        <v>169</v>
      </c>
      <c r="H5" s="172" t="s">
        <v>170</v>
      </c>
      <c r="I5" s="305" t="s">
        <v>171</v>
      </c>
      <c r="J5" s="172" t="s">
        <v>172</v>
      </c>
      <c r="K5" s="172" t="s">
        <v>173</v>
      </c>
      <c r="L5" s="172" t="s">
        <v>147</v>
      </c>
      <c r="M5" s="294" t="s">
        <v>174</v>
      </c>
      <c r="N5" s="294" t="s">
        <v>175</v>
      </c>
      <c r="O5" s="171" t="s">
        <v>176</v>
      </c>
      <c r="P5" s="171" t="s">
        <v>177</v>
      </c>
      <c r="Q5" s="171" t="s">
        <v>178</v>
      </c>
      <c r="R5" s="171" t="s">
        <v>179</v>
      </c>
      <c r="S5" s="172" t="s">
        <v>180</v>
      </c>
      <c r="T5" s="294" t="s">
        <v>151</v>
      </c>
      <c r="U5" s="172" t="s">
        <v>181</v>
      </c>
      <c r="V5" s="172" t="s">
        <v>182</v>
      </c>
      <c r="W5" s="171" t="s">
        <v>183</v>
      </c>
      <c r="X5" s="171"/>
      <c r="AB5" s="185" t="s">
        <v>184</v>
      </c>
      <c r="AC5" s="185"/>
      <c r="AD5" s="185" t="s">
        <v>185</v>
      </c>
      <c r="AE5" s="185"/>
    </row>
    <row r="6" spans="1:31" ht="36.75" customHeight="1">
      <c r="A6" s="219"/>
      <c r="B6" s="219"/>
      <c r="C6" s="219"/>
      <c r="D6" s="219"/>
      <c r="E6" s="219"/>
      <c r="F6" s="219"/>
      <c r="G6" s="219"/>
      <c r="H6" s="219"/>
      <c r="I6" s="306"/>
      <c r="J6" s="219"/>
      <c r="K6" s="243"/>
      <c r="L6" s="243"/>
      <c r="M6" s="297"/>
      <c r="N6" s="297"/>
      <c r="O6" s="219"/>
      <c r="P6" s="219"/>
      <c r="Q6" s="219"/>
      <c r="R6" s="219"/>
      <c r="S6" s="219"/>
      <c r="T6" s="295"/>
      <c r="U6" s="243"/>
      <c r="V6" s="243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>
      <c r="A7" s="50">
        <f>'쪽쟘(실측)'!A7</f>
        <v>1</v>
      </c>
      <c r="B7" s="50" t="str">
        <f>'쪽쟘(실측)'!B7&amp;"F"</f>
        <v>2F</v>
      </c>
      <c r="C7" s="50" t="str">
        <f>Z7&amp;"*"&amp;AA7</f>
        <v>839*104.4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/>
      </c>
      <c r="H7" s="68" t="str">
        <f>IF(OR(쪽쟘제작!N7&lt;&gt;쪽쟘제작!M7,쪽쟘제작!Q7&lt;&gt;쪽쟘제작!R7),"",AE7&amp;"*"&amp;AD7)</f>
        <v>2090*111.4</v>
      </c>
      <c r="I7" s="70">
        <f>IF('쪽쟘(실측)'!F7&gt;0,'쪽쟘(실측)'!F7+0.5,0)</f>
        <v>25.5</v>
      </c>
      <c r="J7" s="50">
        <f>IF('쪽쟘(실측)'!H7&gt;0,'쪽쟘(실측)'!H7+0.5,0)</f>
        <v>20.5</v>
      </c>
      <c r="K7" s="50">
        <f>IF('쪽쟘(실측)'!F7&gt;0,'쪽쟘(실측)'!F7+1.5,0)</f>
        <v>26.5</v>
      </c>
      <c r="L7" s="50">
        <f>IF('쪽쟘(실측)'!G7&gt;0,'쪽쟘(실측)'!G7+1.5,0)</f>
        <v>16.5</v>
      </c>
      <c r="M7" s="50">
        <f>IF('쪽쟘(실측)'!H7&gt;0,'쪽쟘(실측)'!H7+1.5,0)</f>
        <v>21.5</v>
      </c>
      <c r="N7" s="50">
        <f>IF('쪽쟘(실측)'!I7&gt;0,'쪽쟘(실측)'!I7+1.5,0)</f>
        <v>21.5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11.2</v>
      </c>
      <c r="T7" s="50">
        <f>'쪽쟘(실측)'!O7+1.2</f>
        <v>11.2</v>
      </c>
      <c r="U7" s="50">
        <f>'쪽쟘(실측)'!P7</f>
        <v>30</v>
      </c>
      <c r="V7" s="50">
        <f>'쪽쟘(실측)'!Q7</f>
        <v>30</v>
      </c>
      <c r="W7" s="50" t="e">
        <f>'쪽쟘(실측)'!R7-늘치차감</f>
        <v>#NAME?</v>
      </c>
      <c r="X7" s="50" t="e">
        <f>'쪽쟘(실측)'!S7-늘치차감</f>
        <v>#NAME?</v>
      </c>
      <c r="Z7">
        <v>839</v>
      </c>
      <c r="AA7">
        <v>104.4</v>
      </c>
      <c r="AB7">
        <v>116.4</v>
      </c>
      <c r="AC7">
        <v>2090</v>
      </c>
      <c r="AD7">
        <v>111.4</v>
      </c>
      <c r="AE7">
        <v>2090</v>
      </c>
    </row>
    <row r="8" spans="1:31" ht="18.75" customHeight="1">
      <c r="A8" s="50">
        <f>'쪽쟘(실측)'!A8</f>
        <v>1</v>
      </c>
      <c r="B8" s="50" t="str">
        <f>'쪽쟘(실측)'!B8&amp;"F"</f>
        <v>3F</v>
      </c>
      <c r="C8" s="50" t="str">
        <f t="shared" ref="C8:C22" si="0">Z8&amp;"*"&amp;AA8</f>
        <v>821*104.4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IF(OR(쪽쟘제작!K8&lt;&gt;쪽쟘제작!L8,쪽쟘제작!O8&lt;&gt;쪽쟘제작!P8),"",AC8&amp;"*"&amp;AB8)</f>
        <v>2090*106.4</v>
      </c>
      <c r="H8" s="68" t="str">
        <f>IF(OR(쪽쟘제작!N8&lt;&gt;쪽쟘제작!M8,쪽쟘제작!Q8&lt;&gt;쪽쟘제작!R8),"",AE8&amp;"*"&amp;AD8)</f>
        <v>2090*103.4</v>
      </c>
      <c r="I8" s="70">
        <f>IF('쪽쟘(실측)'!F8&gt;0,'쪽쟘(실측)'!F8+0.5,0)</f>
        <v>15.5</v>
      </c>
      <c r="J8" s="50">
        <f>IF('쪽쟘(실측)'!H8&gt;0,'쪽쟘(실측)'!H8+0.5,0)</f>
        <v>12.5</v>
      </c>
      <c r="K8" s="50">
        <f>IF('쪽쟘(실측)'!F8&gt;0,'쪽쟘(실측)'!F8+1.5,0)</f>
        <v>16.5</v>
      </c>
      <c r="L8" s="50">
        <f>IF('쪽쟘(실측)'!G8&gt;0,'쪽쟘(실측)'!G8+1.5,0)</f>
        <v>16.5</v>
      </c>
      <c r="M8" s="50">
        <f>IF('쪽쟘(실측)'!H8&gt;0,'쪽쟘(실측)'!H8+1.5,0)</f>
        <v>13.5</v>
      </c>
      <c r="N8" s="50">
        <f>IF('쪽쟘(실측)'!I8&gt;0,'쪽쟘(실측)'!I8+1.5,0)</f>
        <v>13.5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11.2</v>
      </c>
      <c r="T8" s="50">
        <f>'쪽쟘(실측)'!O8+1.2</f>
        <v>11.2</v>
      </c>
      <c r="U8" s="50">
        <f>'쪽쟘(실측)'!P8</f>
        <v>30</v>
      </c>
      <c r="V8" s="50">
        <f>'쪽쟘(실측)'!Q8</f>
        <v>30</v>
      </c>
      <c r="W8" s="50" t="e">
        <f>'쪽쟘(실측)'!R8-늘치차감</f>
        <v>#NAME?</v>
      </c>
      <c r="X8" s="50" t="e">
        <f>'쪽쟘(실측)'!S8-늘치차감</f>
        <v>#NAME?</v>
      </c>
      <c r="Z8">
        <v>821</v>
      </c>
      <c r="AA8">
        <v>104.4</v>
      </c>
      <c r="AB8">
        <v>106.4</v>
      </c>
      <c r="AC8">
        <v>2090</v>
      </c>
      <c r="AD8">
        <v>103.4</v>
      </c>
      <c r="AE8">
        <v>2090</v>
      </c>
    </row>
    <row r="9" spans="1:31">
      <c r="A9" s="50">
        <f>'쪽쟘(실측)'!A9</f>
        <v>1</v>
      </c>
      <c r="B9" s="50" t="str">
        <f>'쪽쟘(실측)'!B9&amp;"F"</f>
        <v>5F</v>
      </c>
      <c r="C9" s="50" t="str">
        <f t="shared" si="0"/>
        <v>839*112.4</v>
      </c>
      <c r="D9" s="50" t="e">
        <f>'쪽쟘(실측)'!C9-OP차감</f>
        <v>#NAME?</v>
      </c>
      <c r="E9" s="50" t="e">
        <f>'쪽쟘(실측)'!D9+쪽쟘J늘림+MAX(W9:X9)</f>
        <v>#VALUE!</v>
      </c>
      <c r="F9" s="50" t="e">
        <f>'쪽쟘(실측)'!E9+쪽쟘J늘림+MAX(W9:X9)</f>
        <v>#VALUE!</v>
      </c>
      <c r="G9" s="67" t="str">
        <f>IF(OR(쪽쟘제작!K9&lt;&gt;쪽쟘제작!L9,쪽쟘제작!O9&lt;&gt;쪽쟘제작!P9),"",AC9&amp;"*"&amp;AB9)</f>
        <v>2090*116.4</v>
      </c>
      <c r="H9" s="68" t="str">
        <f>IF(OR(쪽쟘제작!N9&lt;&gt;쪽쟘제작!M9,쪽쟘제작!Q9&lt;&gt;쪽쟘제작!R9),"",AE9&amp;"*"&amp;AD9)</f>
        <v>2090*111.4</v>
      </c>
      <c r="Z9">
        <v>839</v>
      </c>
      <c r="AA9">
        <v>112.4</v>
      </c>
      <c r="AB9">
        <v>116.4</v>
      </c>
      <c r="AC9">
        <v>2090</v>
      </c>
      <c r="AD9">
        <v>111.4</v>
      </c>
      <c r="AE9">
        <v>2090</v>
      </c>
    </row>
    <row r="10" spans="1:31">
      <c r="A10" s="50">
        <f>'쪽쟘(실측)'!A10</f>
        <v>1</v>
      </c>
      <c r="B10" s="50" t="str">
        <f>'쪽쟘(실측)'!B10&amp;"F"</f>
        <v>6F</v>
      </c>
      <c r="C10" s="50" t="str">
        <f t="shared" si="0"/>
        <v>821*109.4</v>
      </c>
      <c r="D10" s="50" t="e">
        <f>'쪽쟘(실측)'!C10-OP차감</f>
        <v>#NAME?</v>
      </c>
      <c r="E10" s="50" t="e">
        <f>'쪽쟘(실측)'!D10+쪽쟘J늘림+MAX(W10:X10)</f>
        <v>#VALUE!</v>
      </c>
      <c r="F10" s="50" t="e">
        <f>'쪽쟘(실측)'!E10+쪽쟘J늘림+MAX(W10:X10)</f>
        <v>#VALUE!</v>
      </c>
      <c r="G10" s="67" t="str">
        <f>IF(OR(쪽쟘제작!K10&lt;&gt;쪽쟘제작!L10,쪽쟘제작!O10&lt;&gt;쪽쟘제작!P10),"",AC10&amp;"*"&amp;AB10)</f>
        <v>2090*103.4</v>
      </c>
      <c r="H10" s="68" t="str">
        <f>IF(OR(쪽쟘제작!N10&lt;&gt;쪽쟘제작!M10,쪽쟘제작!Q10&lt;&gt;쪽쟘제작!R10),"",AE10&amp;"*"&amp;AD10)</f>
        <v>2090*106.4</v>
      </c>
      <c r="Z10">
        <v>821</v>
      </c>
      <c r="AA10">
        <v>109.4</v>
      </c>
      <c r="AB10">
        <v>103.4</v>
      </c>
      <c r="AC10">
        <v>2090</v>
      </c>
      <c r="AD10">
        <v>106.4</v>
      </c>
      <c r="AE10">
        <v>2090</v>
      </c>
    </row>
    <row r="11" spans="1:31" ht="17.25" thickBot="1">
      <c r="A11" s="164">
        <f>'쪽쟘(실측)'!A11</f>
        <v>1</v>
      </c>
      <c r="B11" s="164" t="str">
        <f>'쪽쟘(실측)'!B11&amp;"F"</f>
        <v>7F</v>
      </c>
      <c r="C11" s="164" t="str">
        <f t="shared" si="0"/>
        <v>834*114.4</v>
      </c>
      <c r="D11" s="164" t="e">
        <f>'쪽쟘(실측)'!C11-OP차감</f>
        <v>#NAME?</v>
      </c>
      <c r="E11" s="164" t="e">
        <f>'쪽쟘(실측)'!D11+쪽쟘J늘림+MAX(W11:X11)</f>
        <v>#VALUE!</v>
      </c>
      <c r="F11" s="164" t="e">
        <f>'쪽쟘(실측)'!E11+쪽쟘J늘림+MAX(W11:X11)</f>
        <v>#VALUE!</v>
      </c>
      <c r="G11" s="165" t="str">
        <f>IF(OR(쪽쟘제작!K11&lt;&gt;쪽쟘제작!L11,쪽쟘제작!O11&lt;&gt;쪽쟘제작!P11),"",AC11&amp;"*"&amp;AB11)</f>
        <v>2090*116.4</v>
      </c>
      <c r="H11" s="166" t="str">
        <f>IF(OR(쪽쟘제작!N11&lt;&gt;쪽쟘제작!M11,쪽쟘제작!Q11&lt;&gt;쪽쟘제작!R11),"",AE11&amp;"*"&amp;AD11)</f>
        <v>2090*106.4</v>
      </c>
      <c r="Z11">
        <v>834</v>
      </c>
      <c r="AA11">
        <v>114.4</v>
      </c>
      <c r="AB11">
        <v>116.4</v>
      </c>
      <c r="AC11">
        <v>2090</v>
      </c>
      <c r="AD11">
        <v>106.4</v>
      </c>
      <c r="AE11">
        <v>2090</v>
      </c>
    </row>
    <row r="12" spans="1:31">
      <c r="A12" s="161">
        <f>'쪽쟘(실측)'!A12</f>
        <v>2</v>
      </c>
      <c r="B12" s="161" t="str">
        <f>'쪽쟘(실측)'!B12&amp;"F"</f>
        <v>2F</v>
      </c>
      <c r="C12" s="161" t="str">
        <f t="shared" si="0"/>
        <v>828*121.4</v>
      </c>
      <c r="D12" s="161" t="e">
        <f>'쪽쟘(실측)'!C12-OP차감</f>
        <v>#NAME?</v>
      </c>
      <c r="E12" s="161" t="e">
        <f>'쪽쟘(실측)'!D12+쪽쟘J늘림+MAX(W12:X12)</f>
        <v>#VALUE!</v>
      </c>
      <c r="F12" s="161" t="e">
        <f>'쪽쟘(실측)'!E12+쪽쟘J늘림+MAX(W12:X12)</f>
        <v>#VALUE!</v>
      </c>
      <c r="G12" s="162" t="str">
        <f>IF(OR(쪽쟘제작!K12&lt;&gt;쪽쟘제작!L12,쪽쟘제작!O12&lt;&gt;쪽쟘제작!P12),"",AC12&amp;"*"&amp;AB12)</f>
        <v>2086*108.4</v>
      </c>
      <c r="H12" s="163" t="str">
        <f>IF(OR(쪽쟘제작!N12&lt;&gt;쪽쟘제작!M12,쪽쟘제작!Q12&lt;&gt;쪽쟘제작!R12),"",AE12&amp;"*"&amp;AD12)</f>
        <v>2086*108.4</v>
      </c>
      <c r="Z12">
        <v>828</v>
      </c>
      <c r="AA12">
        <v>121.4</v>
      </c>
      <c r="AB12">
        <v>108.4</v>
      </c>
      <c r="AC12">
        <v>2086</v>
      </c>
      <c r="AD12">
        <v>108.4</v>
      </c>
      <c r="AE12">
        <v>2086</v>
      </c>
    </row>
    <row r="13" spans="1:31">
      <c r="A13" s="50">
        <f>'쪽쟘(실측)'!A13</f>
        <v>2</v>
      </c>
      <c r="B13" s="50" t="str">
        <f>'쪽쟘(실측)'!B13&amp;"F"</f>
        <v>3F</v>
      </c>
      <c r="C13" s="50" t="str">
        <f t="shared" si="0"/>
        <v>842*117.4</v>
      </c>
      <c r="D13" s="50" t="e">
        <f>'쪽쟘(실측)'!C13-OP차감</f>
        <v>#NAME?</v>
      </c>
      <c r="E13" s="50" t="e">
        <f>'쪽쟘(실측)'!D13+쪽쟘J늘림+MAX(W13:X13)</f>
        <v>#VALUE!</v>
      </c>
      <c r="F13" s="50" t="e">
        <f>'쪽쟘(실측)'!E13+쪽쟘J늘림+MAX(W13:X13)</f>
        <v>#VALUE!</v>
      </c>
      <c r="G13" s="67" t="str">
        <f>IF(OR(쪽쟘제작!K13&lt;&gt;쪽쟘제작!L13,쪽쟘제작!O13&lt;&gt;쪽쟘제작!P13),"",AC13&amp;"*"&amp;AB13)</f>
        <v>2086*116.4</v>
      </c>
      <c r="H13" s="68" t="str">
        <f>IF(OR(쪽쟘제작!N13&lt;&gt;쪽쟘제작!M13,쪽쟘제작!Q13&lt;&gt;쪽쟘제작!R13),"",AE13&amp;"*"&amp;AD13)</f>
        <v>2086*114.4</v>
      </c>
      <c r="Z13">
        <v>842</v>
      </c>
      <c r="AA13">
        <v>117.4</v>
      </c>
      <c r="AB13">
        <v>116.4</v>
      </c>
      <c r="AC13">
        <v>2086</v>
      </c>
      <c r="AD13">
        <v>114.4</v>
      </c>
      <c r="AE13">
        <v>2086</v>
      </c>
    </row>
    <row r="14" spans="1:31">
      <c r="A14" s="50">
        <f>'쪽쟘(실측)'!A14</f>
        <v>2</v>
      </c>
      <c r="B14" s="50" t="str">
        <f>'쪽쟘(실측)'!B14&amp;"F"</f>
        <v>5F</v>
      </c>
      <c r="C14" s="50" t="str">
        <f t="shared" si="0"/>
        <v>824*119.4</v>
      </c>
      <c r="D14" s="50" t="e">
        <f>'쪽쟘(실측)'!C14-OP차감</f>
        <v>#NAME?</v>
      </c>
      <c r="E14" s="50" t="e">
        <f>'쪽쟘(실측)'!D14+쪽쟘J늘림+MAX(W14:X14)</f>
        <v>#VALUE!</v>
      </c>
      <c r="F14" s="50" t="e">
        <f>'쪽쟘(실측)'!E14+쪽쟘J늘림+MAX(W14:X14)</f>
        <v>#VALUE!</v>
      </c>
      <c r="G14" s="67" t="str">
        <f>IF(OR(쪽쟘제작!K14&lt;&gt;쪽쟘제작!L14,쪽쟘제작!O14&lt;&gt;쪽쟘제작!P14),"",AC14&amp;"*"&amp;AB14)</f>
        <v>2086*106.4</v>
      </c>
      <c r="H14" s="68" t="str">
        <f>IF(OR(쪽쟘제작!N14&lt;&gt;쪽쟘제작!M14,쪽쟘제작!Q14&lt;&gt;쪽쟘제작!R14),"",AE14&amp;"*"&amp;AD14)</f>
        <v>2086*106.4</v>
      </c>
      <c r="Z14">
        <v>824</v>
      </c>
      <c r="AA14">
        <v>119.4</v>
      </c>
      <c r="AB14">
        <v>106.4</v>
      </c>
      <c r="AC14">
        <v>2086</v>
      </c>
      <c r="AD14">
        <v>106.4</v>
      </c>
      <c r="AE14">
        <v>2086</v>
      </c>
    </row>
    <row r="15" spans="1:31">
      <c r="A15" s="50">
        <f>'쪽쟘(실측)'!A15</f>
        <v>2</v>
      </c>
      <c r="B15" s="50" t="str">
        <f>'쪽쟘(실측)'!B15&amp;"F"</f>
        <v>6F</v>
      </c>
      <c r="C15" s="50" t="str">
        <f t="shared" si="0"/>
        <v>844*109.4</v>
      </c>
      <c r="D15" s="50" t="e">
        <f>'쪽쟘(실측)'!C15-OP차감</f>
        <v>#NAME?</v>
      </c>
      <c r="E15" s="50" t="e">
        <f>'쪽쟘(실측)'!D15+쪽쟘J늘림+MAX(W15:X15)</f>
        <v>#VALUE!</v>
      </c>
      <c r="F15" s="50" t="e">
        <f>'쪽쟘(실측)'!E15+쪽쟘J늘림+MAX(W15:X15)</f>
        <v>#VALUE!</v>
      </c>
      <c r="G15" s="67" t="str">
        <f>IF(OR(쪽쟘제작!K15&lt;&gt;쪽쟘제작!L15,쪽쟘제작!O15&lt;&gt;쪽쟘제작!P15),"",AC15&amp;"*"&amp;AB15)</f>
        <v>2086*116.4</v>
      </c>
      <c r="H15" s="68" t="str">
        <f>IF(OR(쪽쟘제작!N15&lt;&gt;쪽쟘제작!M15,쪽쟘제작!Q15&lt;&gt;쪽쟘제작!R15),"",AE15&amp;"*"&amp;AD15)</f>
        <v>2086*116.4</v>
      </c>
      <c r="Z15">
        <v>844</v>
      </c>
      <c r="AA15">
        <v>109.4</v>
      </c>
      <c r="AB15">
        <v>116.4</v>
      </c>
      <c r="AC15">
        <v>2086</v>
      </c>
      <c r="AD15">
        <v>116.4</v>
      </c>
      <c r="AE15">
        <v>2086</v>
      </c>
    </row>
    <row r="16" spans="1:31" ht="17.25" thickBot="1">
      <c r="A16" s="164">
        <f>'쪽쟘(실측)'!A16</f>
        <v>2</v>
      </c>
      <c r="B16" s="164" t="str">
        <f>'쪽쟘(실측)'!B16&amp;"F"</f>
        <v>7F</v>
      </c>
      <c r="C16" s="164" t="str">
        <f t="shared" si="0"/>
        <v>824*111.4</v>
      </c>
      <c r="D16" s="164" t="e">
        <f>'쪽쟘(실측)'!C16-OP차감</f>
        <v>#NAME?</v>
      </c>
      <c r="E16" s="164" t="e">
        <f>'쪽쟘(실측)'!D16+쪽쟘J늘림+MAX(W16:X16)</f>
        <v>#VALUE!</v>
      </c>
      <c r="F16" s="164" t="e">
        <f>'쪽쟘(실측)'!E16+쪽쟘J늘림+MAX(W16:X16)</f>
        <v>#VALUE!</v>
      </c>
      <c r="G16" s="165" t="str">
        <f>IF(OR(쪽쟘제작!K16&lt;&gt;쪽쟘제작!L16,쪽쟘제작!O16&lt;&gt;쪽쟘제작!P16),"",AC16&amp;"*"&amp;AB16)</f>
        <v>2086*106.4</v>
      </c>
      <c r="H16" s="166" t="str">
        <f>IF(OR(쪽쟘제작!N16&lt;&gt;쪽쟘제작!M16,쪽쟘제작!Q16&lt;&gt;쪽쟘제작!R16),"",AE16&amp;"*"&amp;AD16)</f>
        <v>2086*106.4</v>
      </c>
      <c r="Z16">
        <v>824</v>
      </c>
      <c r="AA16">
        <v>111.4</v>
      </c>
      <c r="AB16">
        <v>106.4</v>
      </c>
      <c r="AC16">
        <v>2086</v>
      </c>
      <c r="AD16">
        <v>106.4</v>
      </c>
      <c r="AE16">
        <v>2086</v>
      </c>
    </row>
    <row r="17" spans="1:31">
      <c r="A17" s="161">
        <f>'쪽쟘(실측)'!A17</f>
        <v>5</v>
      </c>
      <c r="B17" s="161" t="str">
        <f>'쪽쟘(실측)'!B17&amp;"F"</f>
        <v>2F</v>
      </c>
      <c r="C17" s="161" t="str">
        <f t="shared" si="0"/>
        <v>854*109.4</v>
      </c>
      <c r="D17" s="161" t="e">
        <f>'쪽쟘(실측)'!C17-OP차감</f>
        <v>#NAME?</v>
      </c>
      <c r="E17" s="161" t="e">
        <f>'쪽쟘(실측)'!D17+쪽쟘J늘림+MAX(W17:X17)</f>
        <v>#VALUE!</v>
      </c>
      <c r="F17" s="161" t="e">
        <f>'쪽쟘(실측)'!E17+쪽쟘J늘림+MAX(W17:X17)</f>
        <v>#VALUE!</v>
      </c>
      <c r="G17" s="162" t="str">
        <f>IF(OR(쪽쟘제작!K17&lt;&gt;쪽쟘제작!L17,쪽쟘제작!O17&lt;&gt;쪽쟘제작!P17),"",AC17&amp;"*"&amp;AB17)</f>
        <v/>
      </c>
      <c r="H17" s="163" t="str">
        <f>IF(OR(쪽쟘제작!N17&lt;&gt;쪽쟘제작!M17,쪽쟘제작!Q17&lt;&gt;쪽쟘제작!R17),"",AE17&amp;"*"&amp;AD17)</f>
        <v/>
      </c>
      <c r="Z17">
        <v>854</v>
      </c>
      <c r="AA17">
        <v>109.4</v>
      </c>
      <c r="AB17">
        <v>121.4</v>
      </c>
      <c r="AC17">
        <v>2086</v>
      </c>
      <c r="AD17">
        <v>121.4</v>
      </c>
      <c r="AE17">
        <v>2086</v>
      </c>
    </row>
    <row r="18" spans="1:31">
      <c r="A18" s="50">
        <f>'쪽쟘(실측)'!A18</f>
        <v>5</v>
      </c>
      <c r="B18" s="50" t="str">
        <f>'쪽쟘(실측)'!B18&amp;"F"</f>
        <v>3F</v>
      </c>
      <c r="C18" s="50" t="str">
        <f t="shared" si="0"/>
        <v>825*116.4</v>
      </c>
      <c r="D18" s="50" t="e">
        <f>'쪽쟘(실측)'!C18-OP차감</f>
        <v>#NAME?</v>
      </c>
      <c r="E18" s="50" t="e">
        <f>'쪽쟘(실측)'!D18+쪽쟘J늘림+MAX(W18:X18)</f>
        <v>#VALUE!</v>
      </c>
      <c r="F18" s="50" t="e">
        <f>'쪽쟘(실측)'!E18+쪽쟘J늘림+MAX(W18:X18)</f>
        <v>#VALUE!</v>
      </c>
      <c r="G18" s="67" t="str">
        <f>IF(OR(쪽쟘제작!K18&lt;&gt;쪽쟘제작!L18,쪽쟘제작!O18&lt;&gt;쪽쟘제작!P18),"",AC18&amp;"*"&amp;AB18)</f>
        <v>2086*109.4</v>
      </c>
      <c r="H18" s="68" t="str">
        <f>IF(OR(쪽쟘제작!N18&lt;&gt;쪽쟘제작!M18,쪽쟘제작!Q18&lt;&gt;쪽쟘제작!R18),"",AE18&amp;"*"&amp;AD18)</f>
        <v>2086*104.4</v>
      </c>
      <c r="Z18">
        <v>825</v>
      </c>
      <c r="AA18">
        <v>116.4</v>
      </c>
      <c r="AB18">
        <v>109.4</v>
      </c>
      <c r="AC18">
        <v>2086</v>
      </c>
      <c r="AD18">
        <v>104.4</v>
      </c>
      <c r="AE18">
        <v>2086</v>
      </c>
    </row>
    <row r="19" spans="1:31">
      <c r="A19" s="50">
        <f>'쪽쟘(실측)'!A19</f>
        <v>5</v>
      </c>
      <c r="B19" s="50" t="str">
        <f>'쪽쟘(실측)'!B19&amp;"F"</f>
        <v>5F</v>
      </c>
      <c r="C19" s="50" t="str">
        <f t="shared" si="0"/>
        <v>834*129.4</v>
      </c>
      <c r="D19" s="50" t="e">
        <f>'쪽쟘(실측)'!C19-OP차감</f>
        <v>#NAME?</v>
      </c>
      <c r="E19" s="50" t="e">
        <f>'쪽쟘(실측)'!D19+쪽쟘J늘림+MAX(W19:X19)</f>
        <v>#VALUE!</v>
      </c>
      <c r="F19" s="50" t="e">
        <f>'쪽쟘(실측)'!E19+쪽쟘J늘림+MAX(W19:X19)</f>
        <v>#VALUE!</v>
      </c>
      <c r="G19" s="67" t="str">
        <f>IF(OR(쪽쟘제작!K19&lt;&gt;쪽쟘제작!L19,쪽쟘제작!O19&lt;&gt;쪽쟘제작!P19),"",AC19&amp;"*"&amp;AB19)</f>
        <v>2086*111.4</v>
      </c>
      <c r="H19" s="68" t="str">
        <f>IF(OR(쪽쟘제작!N19&lt;&gt;쪽쟘제작!M19,쪽쟘제작!Q19&lt;&gt;쪽쟘제작!R19),"",AE19&amp;"*"&amp;AD19)</f>
        <v>2086*111.4</v>
      </c>
      <c r="Z19">
        <v>834</v>
      </c>
      <c r="AA19">
        <v>129.4</v>
      </c>
      <c r="AB19">
        <v>111.4</v>
      </c>
      <c r="AC19">
        <v>2086</v>
      </c>
      <c r="AD19">
        <v>111.4</v>
      </c>
      <c r="AE19">
        <v>2086</v>
      </c>
    </row>
    <row r="20" spans="1:31">
      <c r="A20" s="50">
        <f>'쪽쟘(실측)'!A20</f>
        <v>5</v>
      </c>
      <c r="B20" s="50" t="str">
        <f>'쪽쟘(실측)'!B20&amp;"F"</f>
        <v>6F</v>
      </c>
      <c r="C20" s="50" t="str">
        <f t="shared" si="0"/>
        <v>825*124.4</v>
      </c>
      <c r="D20" s="50" t="e">
        <f>'쪽쟘(실측)'!C20-OP차감</f>
        <v>#NAME?</v>
      </c>
      <c r="E20" s="50" t="e">
        <f>'쪽쟘(실측)'!D20+쪽쟘J늘림+MAX(W20:X20)</f>
        <v>#VALUE!</v>
      </c>
      <c r="F20" s="50" t="e">
        <f>'쪽쟘(실측)'!E20+쪽쟘J늘림+MAX(W20:X20)</f>
        <v>#VALUE!</v>
      </c>
      <c r="G20" s="67" t="str">
        <f>IF(OR(쪽쟘제작!K20&lt;&gt;쪽쟘제작!L20,쪽쟘제작!O20&lt;&gt;쪽쟘제작!P20),"",AC20&amp;"*"&amp;AB20)</f>
        <v>2086*109.4</v>
      </c>
      <c r="H20" s="68" t="str">
        <f>IF(OR(쪽쟘제작!N20&lt;&gt;쪽쟘제작!M20,쪽쟘제작!Q20&lt;&gt;쪽쟘제작!R20),"",AE20&amp;"*"&amp;AD20)</f>
        <v>2086*104.4</v>
      </c>
      <c r="Z20">
        <v>825</v>
      </c>
      <c r="AA20">
        <v>124.4</v>
      </c>
      <c r="AB20">
        <v>109.4</v>
      </c>
      <c r="AC20">
        <v>2086</v>
      </c>
      <c r="AD20">
        <v>104.4</v>
      </c>
      <c r="AE20">
        <v>2086</v>
      </c>
    </row>
    <row r="21" spans="1:31" ht="17.25" thickBot="1">
      <c r="A21" s="164">
        <f>'쪽쟘(실측)'!A21</f>
        <v>5</v>
      </c>
      <c r="B21" s="164" t="str">
        <f>'쪽쟘(실측)'!B21&amp;"F"</f>
        <v>7F</v>
      </c>
      <c r="C21" s="164" t="str">
        <f t="shared" si="0"/>
        <v>820*119.4</v>
      </c>
      <c r="D21" s="164" t="e">
        <f>'쪽쟘(실측)'!C21-OP차감</f>
        <v>#NAME?</v>
      </c>
      <c r="E21" s="164" t="e">
        <f>'쪽쟘(실측)'!D21+쪽쟘J늘림+MAX(W21:X21)</f>
        <v>#VALUE!</v>
      </c>
      <c r="F21" s="164" t="e">
        <f>'쪽쟘(실측)'!E21+쪽쟘J늘림+MAX(W21:X21)</f>
        <v>#VALUE!</v>
      </c>
      <c r="G21" s="165" t="str">
        <f>IF(OR(쪽쟘제작!K21&lt;&gt;쪽쟘제작!L21,쪽쟘제작!O21&lt;&gt;쪽쟘제작!P21),"",AC21&amp;"*"&amp;AB21)</f>
        <v>2086*104.4</v>
      </c>
      <c r="H21" s="166" t="str">
        <f>IF(OR(쪽쟘제작!N21&lt;&gt;쪽쟘제작!M21,쪽쟘제작!Q21&lt;&gt;쪽쟘제작!R21),"",AE21&amp;"*"&amp;AD21)</f>
        <v>2086*104.4</v>
      </c>
      <c r="Z21">
        <v>820</v>
      </c>
      <c r="AA21">
        <v>119.4</v>
      </c>
      <c r="AB21">
        <v>104.4</v>
      </c>
      <c r="AC21">
        <v>2086</v>
      </c>
      <c r="AD21">
        <v>104.4</v>
      </c>
      <c r="AE21">
        <v>2086</v>
      </c>
    </row>
    <row r="22" spans="1:31">
      <c r="A22" s="161">
        <f>'쪽쟘(실측)'!A22</f>
        <v>6</v>
      </c>
      <c r="B22" s="161" t="str">
        <f>'쪽쟘(실측)'!B22&amp;"F"</f>
        <v>2F</v>
      </c>
      <c r="C22" s="161" t="str">
        <f t="shared" si="0"/>
        <v>824*104.4</v>
      </c>
      <c r="D22" s="161" t="e">
        <f>'쪽쟘(실측)'!C22-OP차감</f>
        <v>#NAME?</v>
      </c>
      <c r="E22" s="161" t="e">
        <f>'쪽쟘(실측)'!D22+쪽쟘J늘림+MAX(W22:X22)</f>
        <v>#VALUE!</v>
      </c>
      <c r="F22" s="161" t="e">
        <f>'쪽쟘(실측)'!E22+쪽쟘J늘림+MAX(W22:X22)</f>
        <v>#VALUE!</v>
      </c>
      <c r="G22" s="162" t="str">
        <f>IF(OR(쪽쟘제작!K22&lt;&gt;쪽쟘제작!L22,쪽쟘제작!O22&lt;&gt;쪽쟘제작!P22),"",AC22&amp;"*"&amp;AB22)</f>
        <v>2090*103.4</v>
      </c>
      <c r="H22" s="163" t="str">
        <f>IF(OR(쪽쟘제작!N22&lt;&gt;쪽쟘제작!M22,쪽쟘제작!Q22&lt;&gt;쪽쟘제작!R22),"",AE22&amp;"*"&amp;AD22)</f>
        <v>2090*109.4</v>
      </c>
      <c r="Z22">
        <v>824</v>
      </c>
      <c r="AA22">
        <v>104.4</v>
      </c>
      <c r="AB22">
        <v>103.4</v>
      </c>
      <c r="AC22">
        <v>2090</v>
      </c>
      <c r="AD22">
        <v>109.4</v>
      </c>
      <c r="AE22">
        <v>2090</v>
      </c>
    </row>
    <row r="23" spans="1:31">
      <c r="A23" s="50">
        <f>'쪽쟘(실측)'!A23</f>
        <v>6</v>
      </c>
      <c r="B23" s="50" t="str">
        <f>'쪽쟘(실측)'!B23&amp;"F"</f>
        <v>3F</v>
      </c>
      <c r="C23" s="50" t="str">
        <f>Z23&amp;"*"&amp;AA23</f>
        <v>826*107.4</v>
      </c>
      <c r="D23" s="50" t="e">
        <f>'쪽쟘(실측)'!C23-OP차감</f>
        <v>#NAME?</v>
      </c>
      <c r="E23" s="50" t="e">
        <f>'쪽쟘(실측)'!D23+쪽쟘J늘림+MAX(W23:X23)</f>
        <v>#VALUE!</v>
      </c>
      <c r="F23" s="50" t="e">
        <f>'쪽쟘(실측)'!E23+쪽쟘J늘림+MAX(W23:X23)</f>
        <v>#VALUE!</v>
      </c>
      <c r="G23" s="67" t="str">
        <f>IF(OR(쪽쟘제작!K23&lt;&gt;쪽쟘제작!L23,쪽쟘제작!O23&lt;&gt;쪽쟘제작!P23),"",AC23&amp;"*"&amp;AB23)</f>
        <v>2090*111.4</v>
      </c>
      <c r="H23" s="68" t="str">
        <f>IF(OR(쪽쟘제작!N23&lt;&gt;쪽쟘제작!M23,쪽쟘제작!Q23&lt;&gt;쪽쟘제작!R23),"",AE23&amp;"*"&amp;AD23)</f>
        <v>2090*103.4</v>
      </c>
      <c r="Z23">
        <v>826</v>
      </c>
      <c r="AA23">
        <v>107.4</v>
      </c>
      <c r="AB23">
        <v>111.4</v>
      </c>
      <c r="AC23">
        <v>2090</v>
      </c>
      <c r="AD23">
        <v>103.4</v>
      </c>
      <c r="AE23">
        <v>2090</v>
      </c>
    </row>
    <row r="24" spans="1:31">
      <c r="A24" s="50">
        <f>'쪽쟘(실측)'!A24</f>
        <v>6</v>
      </c>
      <c r="B24" s="50" t="str">
        <f>'쪽쟘(실측)'!B24&amp;"F"</f>
        <v>5F</v>
      </c>
      <c r="C24" s="50" t="str">
        <f t="shared" ref="C24:C26" si="1">Z24&amp;"*"&amp;AA24</f>
        <v>818*119.4</v>
      </c>
      <c r="D24" s="50" t="e">
        <f>'쪽쟘(실측)'!C24-OP차감</f>
        <v>#NAME?</v>
      </c>
      <c r="E24" s="50" t="e">
        <f>'쪽쟘(실측)'!D24+쪽쟘J늘림+MAX(W24:X24)</f>
        <v>#VALUE!</v>
      </c>
      <c r="F24" s="50" t="e">
        <f>'쪽쟘(실측)'!E24+쪽쟘J늘림+MAX(W24:X24)</f>
        <v>#VALUE!</v>
      </c>
      <c r="G24" s="67" t="str">
        <f>IF(OR(쪽쟘제작!K24&lt;&gt;쪽쟘제작!L24,쪽쟘제작!O24&lt;&gt;쪽쟘제작!P24),"",AC24&amp;"*"&amp;AB24)</f>
        <v>2090*103.4</v>
      </c>
      <c r="H24" s="68" t="str">
        <f>IF(OR(쪽쟘제작!N24&lt;&gt;쪽쟘제작!M24,쪽쟘제작!Q24&lt;&gt;쪽쟘제작!R24),"",AE24&amp;"*"&amp;AD24)</f>
        <v>2090*103.4</v>
      </c>
      <c r="Z24">
        <v>818</v>
      </c>
      <c r="AA24">
        <v>119.4</v>
      </c>
      <c r="AB24">
        <v>103.4</v>
      </c>
      <c r="AC24">
        <v>2090</v>
      </c>
      <c r="AD24">
        <v>103.4</v>
      </c>
      <c r="AE24">
        <v>2090</v>
      </c>
    </row>
    <row r="25" spans="1:31">
      <c r="A25" s="50">
        <f>'쪽쟘(실측)'!A25</f>
        <v>6</v>
      </c>
      <c r="B25" s="50" t="str">
        <f>'쪽쟘(실측)'!B25&amp;"F"</f>
        <v>6F</v>
      </c>
      <c r="C25" s="50" t="str">
        <f t="shared" si="1"/>
        <v>834*119.4</v>
      </c>
      <c r="D25" s="50" t="e">
        <f>'쪽쟘(실측)'!C25-OP차감</f>
        <v>#NAME?</v>
      </c>
      <c r="E25" s="50" t="e">
        <f>'쪽쟘(실측)'!D25+쪽쟘J늘림+MAX(W25:X25)</f>
        <v>#VALUE!</v>
      </c>
      <c r="F25" s="50" t="e">
        <f>'쪽쟘(실측)'!E25+쪽쟘J늘림+MAX(W25:X25)</f>
        <v>#VALUE!</v>
      </c>
      <c r="G25" s="67" t="str">
        <f>IF(OR(쪽쟘제작!K25&lt;&gt;쪽쟘제작!L25,쪽쟘제작!O25&lt;&gt;쪽쟘제작!P25),"",AC25&amp;"*"&amp;AB25)</f>
        <v>2090*111.4</v>
      </c>
      <c r="H25" s="68" t="str">
        <f>IF(OR(쪽쟘제작!N25&lt;&gt;쪽쟘제작!M25,쪽쟘제작!Q25&lt;&gt;쪽쟘제작!R25),"",AE25&amp;"*"&amp;AD25)</f>
        <v>2090*111.4</v>
      </c>
      <c r="Z25">
        <v>834</v>
      </c>
      <c r="AA25">
        <v>119.4</v>
      </c>
      <c r="AB25">
        <v>111.4</v>
      </c>
      <c r="AC25">
        <v>2090</v>
      </c>
      <c r="AD25">
        <v>111.4</v>
      </c>
      <c r="AE25">
        <v>2090</v>
      </c>
    </row>
    <row r="26" spans="1:31" ht="17.25" thickBot="1">
      <c r="A26" s="164">
        <f>'쪽쟘(실측)'!A26</f>
        <v>6</v>
      </c>
      <c r="B26" s="164" t="str">
        <f>'쪽쟘(실측)'!B26&amp;"F"</f>
        <v>7F</v>
      </c>
      <c r="C26" s="164" t="str">
        <f t="shared" si="1"/>
        <v>834*117.4</v>
      </c>
      <c r="D26" s="164" t="e">
        <f>'쪽쟘(실측)'!C26-OP차감</f>
        <v>#NAME?</v>
      </c>
      <c r="E26" s="164" t="e">
        <f>'쪽쟘(실측)'!D26+쪽쟘J늘림+MAX(W26:X26)</f>
        <v>#VALUE!</v>
      </c>
      <c r="F26" s="164" t="e">
        <f>'쪽쟘(실측)'!E26+쪽쟘J늘림+MAX(W26:X26)</f>
        <v>#VALUE!</v>
      </c>
      <c r="G26" s="165" t="str">
        <f>IF(OR(쪽쟘제작!K26&lt;&gt;쪽쟘제작!L26,쪽쟘제작!O26&lt;&gt;쪽쟘제작!P26),"",AC26&amp;"*"&amp;AB26)</f>
        <v>2090*111.4</v>
      </c>
      <c r="H26" s="166" t="str">
        <f>IF(OR(쪽쟘제작!N26&lt;&gt;쪽쟘제작!M26,쪽쟘제작!Q26&lt;&gt;쪽쟘제작!R26),"",AE26&amp;"*"&amp;AD26)</f>
        <v>2090*111.4</v>
      </c>
      <c r="Z26">
        <v>834</v>
      </c>
      <c r="AA26">
        <v>117.4</v>
      </c>
      <c r="AB26">
        <v>111.4</v>
      </c>
      <c r="AC26">
        <v>2090</v>
      </c>
      <c r="AD26">
        <v>111.4</v>
      </c>
      <c r="AE26">
        <v>2090</v>
      </c>
    </row>
  </sheetData>
  <mergeCells count="36"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>
      <c r="A1" s="181" t="str">
        <f>정보!E2</f>
        <v>(SO와이드) 실측서 ( 인천 연수구 동춘태평아파트-2차 ) _유영소장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23"/>
      <c r="AJ1" s="56"/>
      <c r="AK1" s="56"/>
      <c r="AL1" s="56"/>
    </row>
    <row r="2" spans="1:47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"/>
      <c r="AJ2" s="1"/>
      <c r="AK2" s="1"/>
      <c r="AL2" s="1"/>
    </row>
    <row r="3" spans="1:47" ht="33" customHeight="1">
      <c r="A3" s="2" t="str">
        <f>"현장명 : " &amp; 정보!B1 &amp; ",   (재질) : " &amp; 정보!B7</f>
        <v>현장명 : 인천 연수구 동춘태평아파트-2차,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69" t="s">
        <v>98</v>
      </c>
      <c r="N3" s="169"/>
      <c r="O3" s="34"/>
      <c r="P3" s="34"/>
      <c r="Q3" s="34"/>
      <c r="R3" s="34"/>
      <c r="S3" s="34"/>
      <c r="T3" s="34"/>
      <c r="U3" s="34"/>
      <c r="V3" s="34"/>
      <c r="W3" s="34"/>
      <c r="X3" s="34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34"/>
      <c r="AJ3" s="34"/>
      <c r="AK3" s="34"/>
      <c r="AL3" s="34"/>
    </row>
    <row r="4" spans="1:47" ht="33" customHeight="1">
      <c r="A4" s="311" t="str">
        <f>정보!B10</f>
        <v>제작치수 반영 : MH + (0), JB/JD +(0 ),  늘어난치수K -(0),  C + (0),   U + (0), OP - (0), R - (0),  기둥차감 - (0), A + (0)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  <c r="R4" s="311"/>
      <c r="S4" s="311"/>
      <c r="T4" s="311"/>
      <c r="U4" s="311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9"/>
      <c r="AG4" s="168" t="s">
        <v>215</v>
      </c>
      <c r="AH4" s="168"/>
      <c r="AI4" s="75"/>
      <c r="AJ4" s="9"/>
      <c r="AK4" s="9"/>
      <c r="AL4" s="9"/>
    </row>
    <row r="5" spans="1:47" ht="25.9" customHeight="1">
      <c r="A5" s="171" t="s">
        <v>0</v>
      </c>
      <c r="B5" s="171" t="s">
        <v>1</v>
      </c>
      <c r="C5" s="171" t="s">
        <v>2</v>
      </c>
      <c r="D5" s="171" t="s">
        <v>24</v>
      </c>
      <c r="E5" s="171" t="s">
        <v>236</v>
      </c>
      <c r="F5" s="171" t="s">
        <v>239</v>
      </c>
      <c r="G5" s="171" t="s">
        <v>18</v>
      </c>
      <c r="H5" s="171" t="s">
        <v>4</v>
      </c>
      <c r="I5" s="171" t="s">
        <v>5</v>
      </c>
      <c r="J5" s="171" t="s">
        <v>6</v>
      </c>
      <c r="K5" s="171" t="s">
        <v>7</v>
      </c>
      <c r="L5" s="171" t="s">
        <v>8</v>
      </c>
      <c r="M5" s="171" t="s">
        <v>9</v>
      </c>
      <c r="N5" s="171" t="s">
        <v>12</v>
      </c>
      <c r="O5" s="171" t="s">
        <v>13</v>
      </c>
      <c r="P5" s="171" t="s">
        <v>10</v>
      </c>
      <c r="Q5" s="171" t="s">
        <v>11</v>
      </c>
      <c r="R5" s="171" t="s">
        <v>14</v>
      </c>
      <c r="S5" s="171" t="s">
        <v>15</v>
      </c>
      <c r="T5" s="171" t="s">
        <v>16</v>
      </c>
      <c r="U5" s="171" t="s">
        <v>17</v>
      </c>
      <c r="V5" s="171" t="s">
        <v>19</v>
      </c>
      <c r="W5" s="172" t="s">
        <v>48</v>
      </c>
      <c r="X5" s="172" t="s">
        <v>22</v>
      </c>
      <c r="Y5" s="309" t="s">
        <v>237</v>
      </c>
      <c r="Z5" s="310" t="s">
        <v>243</v>
      </c>
      <c r="AA5" s="171" t="s">
        <v>21</v>
      </c>
      <c r="AB5" s="171"/>
      <c r="AC5" s="171"/>
      <c r="AD5" s="171"/>
      <c r="AE5" s="173" t="s">
        <v>91</v>
      </c>
      <c r="AF5" s="173" t="s">
        <v>92</v>
      </c>
      <c r="AG5" s="175" t="s">
        <v>212</v>
      </c>
      <c r="AH5" s="176"/>
      <c r="AI5" s="172" t="s">
        <v>199</v>
      </c>
      <c r="AJ5" s="172" t="s">
        <v>203</v>
      </c>
      <c r="AK5" s="172"/>
      <c r="AL5" s="172"/>
    </row>
    <row r="6" spans="1:47" ht="44.25" customHeight="1">
      <c r="A6" s="171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2"/>
      <c r="Y6" s="309"/>
      <c r="Z6" s="310"/>
      <c r="AA6" s="8" t="s">
        <v>43</v>
      </c>
      <c r="AB6" s="8" t="s">
        <v>44</v>
      </c>
      <c r="AC6" s="8" t="s">
        <v>45</v>
      </c>
      <c r="AD6" s="8" t="s">
        <v>46</v>
      </c>
      <c r="AE6" s="174"/>
      <c r="AF6" s="174"/>
      <c r="AG6" s="74" t="s">
        <v>213</v>
      </c>
      <c r="AH6" s="74" t="s">
        <v>214</v>
      </c>
      <c r="AI6" s="171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A4:U4"/>
    <mergeCell ref="V4:X4"/>
    <mergeCell ref="Y4:AF4"/>
    <mergeCell ref="A1:X1"/>
    <mergeCell ref="Y1:AH3"/>
    <mergeCell ref="M3:N3"/>
    <mergeCell ref="AG4:AH4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5:A6"/>
    <mergeCell ref="B5:B6"/>
    <mergeCell ref="C5:C6"/>
    <mergeCell ref="D5:D6"/>
    <mergeCell ref="E5:E6"/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-0.249977111117893"/>
    <pageSetUpPr fitToPage="1"/>
  </sheetPr>
  <dimension ref="A1:BN7"/>
  <sheetViews>
    <sheetView zoomScale="85" zoomScaleNormal="85" workbookViewId="0">
      <selection activeCell="B2" sqref="B2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>
      <c r="A1" s="313" t="str">
        <f>정보!F2</f>
        <v>(SO와이드) 제작변환 ( 인천 연수구 동춘태평아파트-2차 ) _유영소장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  <c r="M1" s="313"/>
      <c r="N1" s="313"/>
      <c r="O1" s="313"/>
      <c r="P1" s="313"/>
      <c r="Q1" s="313"/>
      <c r="R1" s="313"/>
      <c r="S1" s="313"/>
      <c r="T1" s="313"/>
      <c r="U1" s="313"/>
      <c r="V1" s="313"/>
      <c r="W1" s="313"/>
      <c r="X1" s="313"/>
      <c r="Y1" s="313"/>
      <c r="Z1" s="313"/>
      <c r="AA1" s="313"/>
      <c r="AB1" s="313"/>
      <c r="AC1" s="313"/>
      <c r="AD1" s="313"/>
      <c r="AE1" s="313"/>
      <c r="AF1" s="313"/>
      <c r="AG1" s="313"/>
      <c r="AH1" s="313"/>
      <c r="AI1" s="313"/>
      <c r="AJ1" s="313"/>
      <c r="AK1" s="313"/>
      <c r="AL1" s="313"/>
      <c r="AM1" s="313"/>
      <c r="AN1" s="313"/>
      <c r="AO1" s="313"/>
      <c r="AP1" s="313"/>
      <c r="AQ1" s="313"/>
      <c r="AR1" s="313"/>
      <c r="AS1" s="313"/>
      <c r="AT1" s="313"/>
      <c r="AU1" s="313"/>
      <c r="AV1" s="313"/>
      <c r="AW1" s="37"/>
      <c r="AX1" s="37"/>
    </row>
    <row r="2" spans="1:66" ht="29.25" customHeight="1">
      <c r="A2" s="97" t="s">
        <v>85</v>
      </c>
      <c r="B2" s="139">
        <v>0</v>
      </c>
      <c r="C2" s="98" t="s">
        <v>86</v>
      </c>
      <c r="D2" s="112">
        <v>0</v>
      </c>
      <c r="E2" s="27"/>
      <c r="F2" s="27"/>
      <c r="G2" s="98" t="s">
        <v>87</v>
      </c>
      <c r="H2" s="113">
        <v>0</v>
      </c>
      <c r="I2" s="1"/>
      <c r="J2" s="210" t="s">
        <v>113</v>
      </c>
      <c r="K2" s="211"/>
      <c r="L2" s="211"/>
      <c r="M2" s="211"/>
      <c r="N2" s="211"/>
      <c r="O2" s="211"/>
      <c r="P2" s="212">
        <v>1</v>
      </c>
      <c r="Q2" s="212"/>
      <c r="R2" s="203" t="s">
        <v>89</v>
      </c>
      <c r="S2" s="223"/>
      <c r="T2" s="224">
        <v>0</v>
      </c>
      <c r="U2" s="224"/>
      <c r="V2" s="171" t="s">
        <v>83</v>
      </c>
      <c r="W2" s="226"/>
      <c r="X2" s="226"/>
      <c r="Y2" s="227">
        <v>0</v>
      </c>
      <c r="Z2" s="227"/>
      <c r="AA2" s="318">
        <f>정보!B5</f>
        <v>0</v>
      </c>
      <c r="AB2" s="319"/>
      <c r="AC2" s="319"/>
      <c r="AD2" s="319"/>
      <c r="AE2" s="319"/>
      <c r="AF2" s="319"/>
      <c r="AG2" s="319"/>
      <c r="AH2" s="319"/>
      <c r="AI2" s="319"/>
      <c r="AJ2" s="319"/>
      <c r="AK2" s="320"/>
      <c r="AL2" s="203" t="s">
        <v>90</v>
      </c>
      <c r="AM2" s="223"/>
      <c r="AN2" s="314">
        <v>0</v>
      </c>
      <c r="AO2" s="314"/>
      <c r="AP2" s="1"/>
      <c r="AQ2" s="315" t="s">
        <v>229</v>
      </c>
      <c r="AR2" s="316"/>
      <c r="AS2" s="317">
        <v>0</v>
      </c>
      <c r="AT2" s="317"/>
      <c r="AU2" s="1"/>
      <c r="AV2" s="1"/>
    </row>
    <row r="3" spans="1:66" ht="24.75" customHeight="1">
      <c r="A3" s="28" t="str">
        <f>'SO와이드(실측)'!A3</f>
        <v>현장명 : 인천 연수구 동춘태평아파트-2차,   (재질) : HL 1.2T</v>
      </c>
      <c r="B3" s="2"/>
      <c r="C3" s="2"/>
      <c r="D3" s="2"/>
      <c r="E3" s="2"/>
      <c r="F3" s="2"/>
      <c r="G3" s="2"/>
      <c r="H3" s="2"/>
      <c r="I3" s="2"/>
      <c r="J3" s="203" t="s">
        <v>228</v>
      </c>
      <c r="K3" s="203"/>
      <c r="L3" s="203"/>
      <c r="M3" s="203"/>
      <c r="N3" s="203"/>
      <c r="O3" s="203"/>
      <c r="P3" s="213">
        <v>0</v>
      </c>
      <c r="Q3" s="213"/>
      <c r="R3" s="223" t="s">
        <v>77</v>
      </c>
      <c r="S3" s="223"/>
      <c r="T3" s="230">
        <v>0</v>
      </c>
      <c r="U3" s="230"/>
      <c r="V3" s="231" t="s">
        <v>227</v>
      </c>
      <c r="W3" s="231"/>
      <c r="X3" s="231"/>
      <c r="Y3" s="232">
        <f>BN7</f>
        <v>1</v>
      </c>
      <c r="Z3" s="232"/>
      <c r="AA3" s="326" t="s">
        <v>78</v>
      </c>
      <c r="AB3" s="326"/>
      <c r="AC3" s="321">
        <v>0</v>
      </c>
      <c r="AD3" s="321"/>
      <c r="AL3" s="171" t="s">
        <v>73</v>
      </c>
      <c r="AM3" s="171"/>
      <c r="AN3" s="110">
        <v>5</v>
      </c>
      <c r="AO3" s="103" t="s">
        <v>74</v>
      </c>
      <c r="AP3" s="111">
        <v>4</v>
      </c>
      <c r="AQ3" s="195" t="s">
        <v>230</v>
      </c>
      <c r="AR3" s="195"/>
      <c r="AS3" s="197" t="s">
        <v>327</v>
      </c>
      <c r="AT3" s="198"/>
      <c r="AU3" s="201" t="e">
        <f>AY7</f>
        <v>#DIV/0!</v>
      </c>
      <c r="AV3" s="202"/>
      <c r="BN3" s="184" t="s">
        <v>253</v>
      </c>
    </row>
    <row r="4" spans="1:66" ht="33" customHeight="1">
      <c r="A4" s="178" t="str">
        <f>정보!B10</f>
        <v>제작치수 반영 : MH + (0), JB/JD +(0 ),  늘어난치수K -(0),  C + (0),   U + (0), OP - (0), R - (0),  기둥차감 - (0), A + (0)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178"/>
      <c r="AD4" s="178"/>
      <c r="AE4" s="178"/>
      <c r="AF4" s="178"/>
      <c r="AG4" s="312" t="s">
        <v>313</v>
      </c>
      <c r="AH4" s="312"/>
      <c r="AI4" s="262">
        <f>'SO와이드(실측)'!AA7</f>
        <v>0</v>
      </c>
      <c r="AJ4" s="262"/>
      <c r="AK4" s="191">
        <f ca="1">TODAY()</f>
        <v>45274</v>
      </c>
      <c r="AL4" s="177"/>
      <c r="AM4" s="177"/>
      <c r="AN4" s="9"/>
      <c r="AO4" s="327" t="s">
        <v>117</v>
      </c>
      <c r="AP4" s="327"/>
      <c r="AQ4" s="168" t="s">
        <v>215</v>
      </c>
      <c r="AR4" s="168"/>
      <c r="AS4" s="84"/>
      <c r="AT4" s="199" t="s">
        <v>235</v>
      </c>
      <c r="AU4" s="199"/>
      <c r="AV4" s="200"/>
      <c r="BN4" s="185"/>
    </row>
    <row r="5" spans="1:66" ht="25.9" customHeight="1">
      <c r="A5" s="171" t="s">
        <v>0</v>
      </c>
      <c r="B5" s="171" t="s">
        <v>1</v>
      </c>
      <c r="C5" s="171" t="s">
        <v>2</v>
      </c>
      <c r="D5" s="171" t="s">
        <v>2</v>
      </c>
      <c r="E5" s="171" t="s">
        <v>236</v>
      </c>
      <c r="F5" s="171" t="s">
        <v>246</v>
      </c>
      <c r="G5" s="171" t="s">
        <v>18</v>
      </c>
      <c r="H5" s="218" t="s">
        <v>4</v>
      </c>
      <c r="I5" s="271" t="s">
        <v>42</v>
      </c>
      <c r="J5" s="215" t="s">
        <v>105</v>
      </c>
      <c r="K5" s="215" t="s">
        <v>106</v>
      </c>
      <c r="L5" s="188" t="s">
        <v>107</v>
      </c>
      <c r="M5" s="188" t="s">
        <v>108</v>
      </c>
      <c r="N5" s="322" t="s">
        <v>240</v>
      </c>
      <c r="O5" s="324" t="s">
        <v>241</v>
      </c>
      <c r="P5" s="219" t="s">
        <v>71</v>
      </c>
      <c r="Q5" s="219" t="s">
        <v>72</v>
      </c>
      <c r="R5" s="171" t="s">
        <v>8</v>
      </c>
      <c r="S5" s="171" t="s">
        <v>9</v>
      </c>
      <c r="T5" s="171" t="s">
        <v>12</v>
      </c>
      <c r="U5" s="171" t="s">
        <v>13</v>
      </c>
      <c r="V5" s="171" t="s">
        <v>10</v>
      </c>
      <c r="W5" s="171" t="s">
        <v>11</v>
      </c>
      <c r="X5" s="217" t="s">
        <v>14</v>
      </c>
      <c r="Y5" s="217" t="s">
        <v>15</v>
      </c>
      <c r="Z5" s="218" t="s">
        <v>16</v>
      </c>
      <c r="AA5" s="218" t="s">
        <v>17</v>
      </c>
      <c r="AB5" s="171" t="s">
        <v>19</v>
      </c>
      <c r="AC5" s="171" t="s">
        <v>20</v>
      </c>
      <c r="AD5" s="172" t="s">
        <v>22</v>
      </c>
      <c r="AE5" s="309" t="s">
        <v>242</v>
      </c>
      <c r="AF5" s="310" t="s">
        <v>238</v>
      </c>
      <c r="AG5" s="228" t="s">
        <v>79</v>
      </c>
      <c r="AH5" s="229"/>
      <c r="AI5" s="229"/>
      <c r="AJ5" s="229"/>
      <c r="AK5" s="221" t="s">
        <v>91</v>
      </c>
      <c r="AL5" s="221" t="s">
        <v>92</v>
      </c>
      <c r="AM5" s="236" t="s">
        <v>99</v>
      </c>
      <c r="AN5" s="172" t="s">
        <v>61</v>
      </c>
      <c r="AO5" s="172" t="s">
        <v>34</v>
      </c>
      <c r="AP5" s="172" t="s">
        <v>35</v>
      </c>
      <c r="AQ5" s="175" t="s">
        <v>212</v>
      </c>
      <c r="AR5" s="176"/>
      <c r="AS5" s="328" t="s">
        <v>199</v>
      </c>
      <c r="AT5" s="328" t="s">
        <v>204</v>
      </c>
      <c r="AU5" s="328"/>
      <c r="AV5" s="328"/>
      <c r="AW5" s="184" t="s">
        <v>100</v>
      </c>
      <c r="AX5" s="184" t="s">
        <v>101</v>
      </c>
      <c r="AY5" s="331" t="s">
        <v>244</v>
      </c>
      <c r="AZ5" s="330" t="s">
        <v>245</v>
      </c>
      <c r="BA5" s="238" t="s">
        <v>84</v>
      </c>
      <c r="BB5" s="241" t="s">
        <v>102</v>
      </c>
      <c r="BC5" s="240" t="s">
        <v>94</v>
      </c>
      <c r="BD5" s="240" t="s">
        <v>95</v>
      </c>
      <c r="BE5" s="184" t="s">
        <v>93</v>
      </c>
      <c r="BH5" s="192" t="s">
        <v>28</v>
      </c>
      <c r="BI5" s="192"/>
      <c r="BJ5" s="192" t="s">
        <v>29</v>
      </c>
      <c r="BK5" s="192"/>
      <c r="BL5" s="6" t="s">
        <v>50</v>
      </c>
      <c r="BM5" s="183" t="s">
        <v>104</v>
      </c>
      <c r="BN5" s="182" t="s">
        <v>226</v>
      </c>
    </row>
    <row r="6" spans="1:66" ht="48" customHeight="1">
      <c r="A6" s="171"/>
      <c r="B6" s="171"/>
      <c r="C6" s="171"/>
      <c r="D6" s="171"/>
      <c r="E6" s="171"/>
      <c r="F6" s="171"/>
      <c r="G6" s="171"/>
      <c r="H6" s="218"/>
      <c r="I6" s="271"/>
      <c r="J6" s="216"/>
      <c r="K6" s="216"/>
      <c r="L6" s="189"/>
      <c r="M6" s="189"/>
      <c r="N6" s="323"/>
      <c r="O6" s="325"/>
      <c r="P6" s="220"/>
      <c r="Q6" s="220"/>
      <c r="R6" s="171"/>
      <c r="S6" s="171"/>
      <c r="T6" s="171"/>
      <c r="U6" s="171"/>
      <c r="V6" s="171"/>
      <c r="W6" s="171"/>
      <c r="X6" s="217"/>
      <c r="Y6" s="217"/>
      <c r="Z6" s="218"/>
      <c r="AA6" s="218"/>
      <c r="AB6" s="171"/>
      <c r="AC6" s="171"/>
      <c r="AD6" s="172"/>
      <c r="AE6" s="309"/>
      <c r="AF6" s="310"/>
      <c r="AG6" s="8" t="s">
        <v>52</v>
      </c>
      <c r="AH6" s="8" t="s">
        <v>68</v>
      </c>
      <c r="AI6" s="8" t="s">
        <v>69</v>
      </c>
      <c r="AJ6" s="8" t="s">
        <v>70</v>
      </c>
      <c r="AK6" s="222"/>
      <c r="AL6" s="222"/>
      <c r="AM6" s="237"/>
      <c r="AN6" s="172"/>
      <c r="AO6" s="171"/>
      <c r="AP6" s="171"/>
      <c r="AQ6" s="74" t="s">
        <v>213</v>
      </c>
      <c r="AR6" s="74" t="s">
        <v>214</v>
      </c>
      <c r="AS6" s="329"/>
      <c r="AT6" s="86" t="s">
        <v>200</v>
      </c>
      <c r="AU6" s="86" t="s">
        <v>201</v>
      </c>
      <c r="AV6" s="86" t="s">
        <v>80</v>
      </c>
      <c r="AW6" s="185"/>
      <c r="AX6" s="185"/>
      <c r="AY6" s="330"/>
      <c r="AZ6" s="330"/>
      <c r="BA6" s="239"/>
      <c r="BB6" s="242"/>
      <c r="BC6" s="240"/>
      <c r="BD6" s="240"/>
      <c r="BE6" s="185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183"/>
      <c r="BN6" s="182"/>
    </row>
    <row r="7" spans="1:66" ht="25.5" customHeight="1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0</v>
      </c>
      <c r="D7" s="31">
        <f>'SO와이드(실측)'!D7+SO와이드MH더함-IF(AND(소장="추영덕",AB7=0),1.2)</f>
        <v>0</v>
      </c>
      <c r="E7" s="31">
        <f>'SO와이드(실측)'!E7-SO와이드OP</f>
        <v>0</v>
      </c>
      <c r="F7" s="31">
        <f>'SO와이드(실측)'!F7-SO와이드OP</f>
        <v>0</v>
      </c>
      <c r="G7" s="31">
        <f>'SO와이드(실측)'!G7-SO와이드R</f>
        <v>0</v>
      </c>
      <c r="H7" s="50">
        <f>'SO와이드(실측)'!H7+SO와이드JBJD키움치수+IF(BN7=1,AG7,0)</f>
        <v>0</v>
      </c>
      <c r="I7" s="50">
        <f>'SO와이드(실측)'!I7+SO와이드JBJD키움치수+IF(BN7=1,AI7,0)</f>
        <v>0</v>
      </c>
      <c r="J7" s="50">
        <f>'SO와이드(실측)'!J7+MAX(AW7,AX7)+SO와이드JBJD키움치수+IF(BN7=1,AG7,0)</f>
        <v>0</v>
      </c>
      <c r="K7" s="50">
        <f>'SO와이드(실측)'!J7+MAX(AW7,AX7)+SO와이드JBJD키움치수+IF(BN7=1,AH7,0)-IF(SO와이드JB하부늘치=1,'SO와이드(실측)'!AA7-'SO와이드(실측)'!AB7,0)</f>
        <v>0</v>
      </c>
      <c r="L7" s="50">
        <f>'SO와이드(실측)'!K7+MAX(AW7,AX7)+SO와이드JBJD키움치수+IF(BN7=1,AI7,0)</f>
        <v>0</v>
      </c>
      <c r="M7" s="50">
        <f>'SO와이드(실측)'!K7+MAX(AW7,AX7)+SO와이드JBJD키움치수+IF(BN7=1,AJ7,0)-IF(SO와이드JB하부늘치=1,'SO와이드(실측)'!AC7-'SO와이드(실측)'!AD7,0)</f>
        <v>0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 t="e">
        <f>ROUNDUP(BA7,1)</f>
        <v>#DIV/0!</v>
      </c>
      <c r="U7" s="137" t="e">
        <f>ROUNDUP(BB7,1)</f>
        <v>#DIV/0!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0</v>
      </c>
      <c r="AH7" s="31">
        <f>IF(SO와이드JB하부늘치=1,AG7,'SO와이드(실측)'!AB7-SO와이드늘치)</f>
        <v>0</v>
      </c>
      <c r="AI7" s="31">
        <f>'SO와이드(실측)'!AC7-SO와이드늘치</f>
        <v>0</v>
      </c>
      <c r="AJ7" s="31">
        <f>IF(SO와이드JB하부늘치=1,AI7,'SO와이드(실측)'!AD7-SO와이드늘치)</f>
        <v>0</v>
      </c>
      <c r="AK7" s="31">
        <f xml:space="preserve"> IF(소장&lt;&gt;"손상민",IF('SO와이드(실측)'!AE7&gt;0,'SO와이드(실측)'!AE7,C7-1.2),IF('SO와이드(실측)'!AE7&gt;0,'SO와이드(실측)'!AE7+1.2,C7))</f>
        <v>-1.2</v>
      </c>
      <c r="AL7" s="31">
        <f xml:space="preserve"> IF(소장&lt;&gt;"손상민",IF('SO와이드(실측)'!AF7&gt;0,'SO와이드(실측)'!AF7,D7-1.2),IF('SO와이드(실측)'!AF7&gt;0,'SO와이드(실측)'!AF7+1.2,D7) )</f>
        <v>-1.2</v>
      </c>
      <c r="AM7" s="51">
        <f>IF(AC7&gt;0,AC7-MAX(T7,U7),0)</f>
        <v>0</v>
      </c>
      <c r="AN7" s="31" t="str">
        <f t="shared" ref="AN7" si="1">BF7&amp;"*"&amp;BG7</f>
        <v>0*-3.6</v>
      </c>
      <c r="AO7" s="31" t="str">
        <f t="shared" ref="AO7" si="2">BI7&amp;"*"&amp;BH7</f>
        <v>-1.2*-2.4</v>
      </c>
      <c r="AP7" s="31" t="str">
        <f t="shared" ref="AP7" si="3">BK7&amp;"*"&amp;BJ7</f>
        <v>-1.2*-2.4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 t="e">
        <f>DEGREES(ATAN((G7-(E7+F7))/2/(H7)))</f>
        <v>#DIV/0!</v>
      </c>
      <c r="AZ7" s="20" t="e">
        <f>DEGREES(ATAN((G7-(E7+F7))/2/(I7)))</f>
        <v>#DIV/0!</v>
      </c>
      <c r="BA7" s="21" t="e">
        <f>INT(ABS(H7-COS(RADIANS(AY7))*J7)*10)/10</f>
        <v>#DIV/0!</v>
      </c>
      <c r="BB7" s="21" t="e">
        <f>INT(ABS(I7-COS(RADIANS(AZ7))*L7)*10)/10</f>
        <v>#DIV/0!</v>
      </c>
      <c r="BC7" s="21">
        <f>'SO와이드(실측)'!N7+AW7</f>
        <v>0</v>
      </c>
      <c r="BD7" s="21">
        <f>'SO와이드(실측)'!O7+AW7</f>
        <v>0</v>
      </c>
      <c r="BE7" s="20" t="e">
        <f>BA7-MAX(BC7,BD7)</f>
        <v>#DIV/0!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-3.5999999999999996</v>
      </c>
      <c r="BH7" s="41">
        <f>V7+R7+MAX(J7,K7)+AE7-1.2*$AP$3+IF(BN7=0,MAX(AH7,AG7),0)+IF(V7=0,1.2,0)-IF(AV7=90,2.4,0)</f>
        <v>-2.3999999999999995</v>
      </c>
      <c r="BI7" s="41">
        <f>MAX(X7,Y7)+AK7</f>
        <v>-1.2</v>
      </c>
      <c r="BJ7" s="41">
        <f>W7+S7+MAX(L7,M7)+AF7-1.2*$AP$3+IF(BN7=0,MAX(AI7,AJ7),0)+IF(W7=0,1.2,0)-IF(AV7=90,2.4,0)</f>
        <v>-2.3999999999999995</v>
      </c>
      <c r="BK7" s="41">
        <f>MAX(Z7,AA7)+AL7</f>
        <v>-1.2</v>
      </c>
      <c r="BL7" s="6" t="e">
        <f t="shared" ref="BL7" si="4">J7-H7-T7</f>
        <v>#DIV/0!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E5:AE6"/>
    <mergeCell ref="AG5:AJ5"/>
    <mergeCell ref="AK5:AK6"/>
    <mergeCell ref="AL5:AL6"/>
    <mergeCell ref="AM5:AM6"/>
    <mergeCell ref="AF5:AF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N5:AN6"/>
    <mergeCell ref="BA5:BA6"/>
    <mergeCell ref="AO5:AO6"/>
    <mergeCell ref="AP5:AP6"/>
    <mergeCell ref="AQ5:AR5"/>
    <mergeCell ref="AS5:AS6"/>
    <mergeCell ref="AT5:AV5"/>
    <mergeCell ref="AW5:AW6"/>
    <mergeCell ref="A5:A6"/>
    <mergeCell ref="B5:B6"/>
    <mergeCell ref="C5:C6"/>
    <mergeCell ref="D5:D6"/>
    <mergeCell ref="E5:E6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Q3:AR3"/>
    <mergeCell ref="AL3:AM3"/>
    <mergeCell ref="P3:Q3"/>
    <mergeCell ref="R3:S3"/>
    <mergeCell ref="T3:U3"/>
    <mergeCell ref="V3:X3"/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Normalsheet">
    <pageSetUpPr fitToPage="1"/>
  </sheetPr>
  <dimension ref="A1:AO17"/>
  <sheetViews>
    <sheetView zoomScale="85" zoomScaleNormal="85" workbookViewId="0">
      <selection activeCell="W7" sqref="W7:AA7"/>
    </sheetView>
  </sheetViews>
  <sheetFormatPr defaultRowHeight="16.5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>
      <c r="A1" s="180" t="str">
        <f>정보!E3</f>
        <v>(SO멍텅구리) 실측서 ( 인천 연수구 동춘태평아파트-2차 ) _유영소장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"/>
      <c r="AE1" s="1"/>
      <c r="AF1" s="1"/>
    </row>
    <row r="2" spans="1:41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>
      <c r="A3" s="5" t="str">
        <f>"현장명 : " &amp; 정보!B1 &amp; ",   (재질) : " &amp; 정보!B8</f>
        <v>현장명 : 인천 연수구 동춘태평아파트-2차,   (재질) : HL 1.2T</v>
      </c>
      <c r="B3" s="2"/>
      <c r="C3" s="2"/>
      <c r="D3" s="2"/>
      <c r="E3" s="2"/>
      <c r="F3" s="2"/>
      <c r="G3" s="2"/>
      <c r="H3" s="254"/>
      <c r="I3" s="254"/>
      <c r="J3" s="251"/>
      <c r="K3" s="251"/>
      <c r="L3" s="252"/>
      <c r="M3" s="252"/>
      <c r="N3" s="253"/>
      <c r="O3" s="253"/>
      <c r="P3" s="253"/>
      <c r="Q3" s="248" t="s">
        <v>97</v>
      </c>
      <c r="R3" s="248"/>
      <c r="S3" s="249"/>
      <c r="T3" s="249"/>
      <c r="U3" s="250"/>
      <c r="V3" s="250"/>
      <c r="W3" s="250"/>
    </row>
    <row r="4" spans="1:41" ht="33" customHeight="1">
      <c r="A4" s="178" t="str">
        <f>정보!B14</f>
        <v>제작치수 반영 : JB/JD +(0 ),  늘어난치수K -(0),  C + (0),  U +(0), OP1/OP2 - (0), R - (0),  기둥차감 - (0), A + (0)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7"/>
      <c r="X4" s="177"/>
      <c r="Y4" s="177"/>
      <c r="Z4" s="177"/>
      <c r="AA4" s="177"/>
      <c r="AB4" s="177"/>
      <c r="AC4" s="179"/>
      <c r="AD4" s="168" t="s">
        <v>215</v>
      </c>
      <c r="AE4" s="168"/>
      <c r="AF4" s="81" t="s">
        <v>234</v>
      </c>
    </row>
    <row r="5" spans="1:41" ht="25.9" customHeight="1">
      <c r="A5" s="171" t="s">
        <v>0</v>
      </c>
      <c r="B5" s="171" t="s">
        <v>1</v>
      </c>
      <c r="C5" s="171" t="s">
        <v>248</v>
      </c>
      <c r="D5" s="171" t="s">
        <v>247</v>
      </c>
      <c r="E5" s="171" t="s">
        <v>18</v>
      </c>
      <c r="F5" s="171" t="s">
        <v>4</v>
      </c>
      <c r="G5" s="171" t="s">
        <v>5</v>
      </c>
      <c r="H5" s="171" t="s">
        <v>6</v>
      </c>
      <c r="I5" s="171" t="s">
        <v>7</v>
      </c>
      <c r="J5" s="171" t="s">
        <v>8</v>
      </c>
      <c r="K5" s="171" t="s">
        <v>9</v>
      </c>
      <c r="L5" s="171" t="s">
        <v>10</v>
      </c>
      <c r="M5" s="171" t="s">
        <v>11</v>
      </c>
      <c r="N5" s="171" t="s">
        <v>14</v>
      </c>
      <c r="O5" s="171" t="s">
        <v>15</v>
      </c>
      <c r="P5" s="171" t="s">
        <v>16</v>
      </c>
      <c r="Q5" s="171" t="s">
        <v>17</v>
      </c>
      <c r="R5" s="171" t="s">
        <v>19</v>
      </c>
      <c r="S5" s="171" t="s">
        <v>20</v>
      </c>
      <c r="T5" s="243" t="s">
        <v>22</v>
      </c>
      <c r="U5" s="309" t="s">
        <v>242</v>
      </c>
      <c r="V5" s="310" t="s">
        <v>238</v>
      </c>
      <c r="W5" s="245" t="s">
        <v>21</v>
      </c>
      <c r="X5" s="246"/>
      <c r="Y5" s="246"/>
      <c r="Z5" s="247"/>
      <c r="AA5" s="172" t="s">
        <v>203</v>
      </c>
      <c r="AB5" s="172"/>
      <c r="AC5" s="172"/>
      <c r="AD5" s="175" t="s">
        <v>212</v>
      </c>
      <c r="AE5" s="176"/>
      <c r="AF5" s="80" t="s">
        <v>231</v>
      </c>
    </row>
    <row r="6" spans="1:41" ht="47.25" customHeight="1">
      <c r="A6" s="171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244"/>
      <c r="U6" s="309"/>
      <c r="V6" s="310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11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>
        <f t="shared" ref="AH12:AH17" si="2">W12+$AG12</f>
        <v>0</v>
      </c>
      <c r="AI12" s="3">
        <f t="shared" ref="AI12:AI17" si="3">X12+$AG12</f>
        <v>0</v>
      </c>
      <c r="AJ12" s="3">
        <f t="shared" ref="AJ12:AJ17" si="4">Y12+$AG12</f>
        <v>0</v>
      </c>
      <c r="AK12" s="3">
        <f t="shared" ref="AK12:AK17" si="5">Z12+$AG12</f>
        <v>0</v>
      </c>
      <c r="AL12" s="3">
        <f t="shared" ref="AL12:AL17" si="6">F12-$AG12</f>
        <v>0</v>
      </c>
      <c r="AM12" s="3">
        <f t="shared" ref="AM12:AM17" si="7">G12-$AG12</f>
        <v>0</v>
      </c>
      <c r="AN12" s="3">
        <f t="shared" ref="AN12:AN17" si="8">H12-$AG12</f>
        <v>0</v>
      </c>
      <c r="AO12" s="3">
        <f t="shared" ref="AO12:AO17" si="9">I12-$AG12</f>
        <v>0</v>
      </c>
    </row>
    <row r="13" spans="1:41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>
        <f t="shared" si="2"/>
        <v>0</v>
      </c>
      <c r="AI13" s="3">
        <f t="shared" si="3"/>
        <v>0</v>
      </c>
      <c r="AJ13" s="3">
        <f t="shared" si="4"/>
        <v>0</v>
      </c>
      <c r="AK13" s="3">
        <f t="shared" si="5"/>
        <v>0</v>
      </c>
      <c r="AL13" s="3">
        <f t="shared" si="6"/>
        <v>0</v>
      </c>
      <c r="AM13" s="3">
        <f t="shared" si="7"/>
        <v>0</v>
      </c>
      <c r="AN13" s="3">
        <f t="shared" si="8"/>
        <v>0</v>
      </c>
      <c r="AO13" s="3">
        <f t="shared" si="9"/>
        <v>0</v>
      </c>
    </row>
    <row r="14" spans="1:41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>
        <f t="shared" si="2"/>
        <v>0</v>
      </c>
      <c r="AI14" s="3">
        <f t="shared" si="3"/>
        <v>0</v>
      </c>
      <c r="AJ14" s="3">
        <f t="shared" si="4"/>
        <v>0</v>
      </c>
      <c r="AK14" s="3">
        <f t="shared" si="5"/>
        <v>0</v>
      </c>
      <c r="AL14" s="3">
        <f t="shared" si="6"/>
        <v>0</v>
      </c>
      <c r="AM14" s="3">
        <f t="shared" si="7"/>
        <v>0</v>
      </c>
      <c r="AN14" s="3">
        <f t="shared" si="8"/>
        <v>0</v>
      </c>
      <c r="AO14" s="3">
        <f t="shared" si="9"/>
        <v>0</v>
      </c>
    </row>
    <row r="15" spans="1:41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>
        <f t="shared" si="2"/>
        <v>0</v>
      </c>
      <c r="AI15" s="3">
        <f t="shared" si="3"/>
        <v>0</v>
      </c>
      <c r="AJ15" s="3">
        <f t="shared" si="4"/>
        <v>0</v>
      </c>
      <c r="AK15" s="3">
        <f t="shared" si="5"/>
        <v>0</v>
      </c>
      <c r="AL15" s="3">
        <f t="shared" si="6"/>
        <v>0</v>
      </c>
      <c r="AM15" s="3">
        <f t="shared" si="7"/>
        <v>0</v>
      </c>
      <c r="AN15" s="3">
        <f t="shared" si="8"/>
        <v>0</v>
      </c>
      <c r="AO15" s="3">
        <f t="shared" si="9"/>
        <v>0</v>
      </c>
    </row>
    <row r="16" spans="1:41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>
        <f t="shared" si="2"/>
        <v>0</v>
      </c>
      <c r="AI16" s="3">
        <f t="shared" si="3"/>
        <v>0</v>
      </c>
      <c r="AJ16" s="3">
        <f t="shared" si="4"/>
        <v>0</v>
      </c>
      <c r="AK16" s="3">
        <f t="shared" si="5"/>
        <v>0</v>
      </c>
      <c r="AL16" s="3">
        <f t="shared" si="6"/>
        <v>0</v>
      </c>
      <c r="AM16" s="3">
        <f t="shared" si="7"/>
        <v>0</v>
      </c>
      <c r="AN16" s="3">
        <f t="shared" si="8"/>
        <v>0</v>
      </c>
      <c r="AO16" s="3">
        <f t="shared" si="9"/>
        <v>0</v>
      </c>
    </row>
    <row r="17" spans="1:41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</sheetData>
  <mergeCells count="36">
    <mergeCell ref="O5:O6"/>
    <mergeCell ref="P5:P6"/>
    <mergeCell ref="Q5:Q6"/>
    <mergeCell ref="R5:R6"/>
    <mergeCell ref="S5:S6"/>
    <mergeCell ref="J5:J6"/>
    <mergeCell ref="K5:K6"/>
    <mergeCell ref="L5:L6"/>
    <mergeCell ref="M5:M6"/>
    <mergeCell ref="N5:N6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5" tint="-0.249977111117893"/>
    <pageSetUpPr fitToPage="1"/>
  </sheetPr>
  <dimension ref="A1:BF7"/>
  <sheetViews>
    <sheetView zoomScale="85" zoomScaleNormal="85" workbookViewId="0">
      <selection sqref="A1:AL1"/>
    </sheetView>
  </sheetViews>
  <sheetFormatPr defaultRowHeight="16.5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>
      <c r="A1" s="180" t="str">
        <f>정보!F3</f>
        <v>(SO멍텅구리) 제작변환 ( 인천 연수구 동춘태평아파트-2차 ) _유영소장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0"/>
      <c r="AJ1" s="180"/>
      <c r="AK1" s="180"/>
      <c r="AL1" s="180"/>
      <c r="AM1" s="1"/>
      <c r="AN1" s="1"/>
      <c r="AO1" s="279" t="s">
        <v>75</v>
      </c>
      <c r="AP1" s="279"/>
      <c r="AQ1" s="279"/>
      <c r="AW1" s="24"/>
    </row>
    <row r="2" spans="1:58" ht="28.5" customHeight="1">
      <c r="A2" s="97" t="s">
        <v>85</v>
      </c>
      <c r="B2" s="140">
        <v>0</v>
      </c>
      <c r="C2" s="338" t="s">
        <v>290</v>
      </c>
      <c r="D2" s="338"/>
      <c r="E2" s="116">
        <v>0</v>
      </c>
      <c r="F2" s="1"/>
      <c r="G2" s="1"/>
      <c r="H2" s="206" t="s">
        <v>81</v>
      </c>
      <c r="I2" s="206"/>
      <c r="J2" s="206"/>
      <c r="K2" s="333">
        <v>0</v>
      </c>
      <c r="L2" s="333"/>
      <c r="M2" s="333"/>
      <c r="N2" s="333"/>
      <c r="O2" s="211" t="s">
        <v>113</v>
      </c>
      <c r="P2" s="211"/>
      <c r="Q2" s="211"/>
      <c r="R2" s="211"/>
      <c r="S2" s="334">
        <v>1</v>
      </c>
      <c r="T2" s="334"/>
      <c r="U2" s="223" t="s">
        <v>103</v>
      </c>
      <c r="V2" s="223"/>
      <c r="W2" s="143">
        <v>0</v>
      </c>
      <c r="X2" s="211" t="s">
        <v>88</v>
      </c>
      <c r="Y2" s="211"/>
      <c r="Z2" s="335">
        <v>0</v>
      </c>
      <c r="AA2" s="335"/>
      <c r="AB2" s="22"/>
      <c r="AC2" s="203" t="s">
        <v>82</v>
      </c>
      <c r="AD2" s="223"/>
      <c r="AE2" s="336">
        <v>0</v>
      </c>
      <c r="AF2" s="336"/>
      <c r="AG2" s="142" t="s">
        <v>90</v>
      </c>
      <c r="AH2" s="337">
        <v>0</v>
      </c>
      <c r="AI2" s="337"/>
      <c r="AJ2" s="141"/>
      <c r="AK2" s="141"/>
      <c r="AL2" s="141"/>
      <c r="AM2" s="1"/>
      <c r="AN2" s="1"/>
      <c r="AO2" s="279"/>
      <c r="AP2" s="279"/>
      <c r="AQ2" s="279"/>
      <c r="AW2" s="24"/>
    </row>
    <row r="3" spans="1:58" ht="33" customHeight="1">
      <c r="A3" s="33" t="str">
        <f>'SO멍텅(실측)'!A3</f>
        <v>현장명 : 인천 연수구 동춘태평아파트-2차,   (재질) : HL 1.2T</v>
      </c>
      <c r="B3" s="2"/>
      <c r="C3" s="2"/>
      <c r="D3" s="2"/>
      <c r="E3" s="2"/>
      <c r="F3" s="2"/>
      <c r="G3" s="2"/>
      <c r="H3" s="155"/>
      <c r="I3" s="223" t="s">
        <v>76</v>
      </c>
      <c r="J3" s="223"/>
      <c r="K3" s="213">
        <v>0</v>
      </c>
      <c r="L3" s="213"/>
      <c r="M3" s="213"/>
      <c r="N3" s="213"/>
      <c r="O3" s="223" t="s">
        <v>77</v>
      </c>
      <c r="P3" s="223"/>
      <c r="Q3" s="230">
        <v>0</v>
      </c>
      <c r="R3" s="230"/>
      <c r="S3" s="211" t="s">
        <v>227</v>
      </c>
      <c r="T3" s="211"/>
      <c r="U3" s="211"/>
      <c r="V3" s="341">
        <f>BE7</f>
        <v>1</v>
      </c>
      <c r="W3" s="341"/>
      <c r="X3" s="211" t="s">
        <v>78</v>
      </c>
      <c r="Y3" s="211"/>
      <c r="Z3" s="332">
        <v>0</v>
      </c>
      <c r="AA3" s="332"/>
      <c r="AB3" s="64"/>
      <c r="AC3" s="156"/>
      <c r="AD3" s="156"/>
      <c r="AE3" s="339" t="s">
        <v>73</v>
      </c>
      <c r="AF3" s="339"/>
      <c r="AG3" s="157">
        <v>4</v>
      </c>
      <c r="AH3" s="142" t="s">
        <v>74</v>
      </c>
      <c r="AI3" s="157">
        <v>4</v>
      </c>
      <c r="AJ3" s="257" t="s">
        <v>328</v>
      </c>
      <c r="AK3" s="258"/>
      <c r="AL3" s="205"/>
      <c r="AM3" s="344" t="e">
        <f>AR7</f>
        <v>#DIV/0!</v>
      </c>
      <c r="AN3" s="177"/>
      <c r="AO3" s="25"/>
      <c r="AP3" s="25"/>
      <c r="AQ3" s="24"/>
      <c r="AW3" s="24"/>
    </row>
    <row r="4" spans="1:58" ht="33" customHeight="1">
      <c r="A4" s="178" t="str">
        <f>'SO멍텅(실측)'!A4:AA4</f>
        <v>제작치수 반영 : JB/JD +(0 ),  늘어난치수K -(0),  C + (0),  U +(0), OP1/OP2 - (0), R - (0),  기둥차감 - (0), A + (0)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342" t="s">
        <v>314</v>
      </c>
      <c r="AD4" s="342"/>
      <c r="AE4" s="343">
        <f>'SO멍텅(실측)'!W7</f>
        <v>0</v>
      </c>
      <c r="AF4" s="343"/>
      <c r="AG4" s="158"/>
      <c r="AH4" s="340">
        <f ca="1">TODAY()</f>
        <v>45274</v>
      </c>
      <c r="AI4" s="199"/>
      <c r="AJ4" s="199" t="s">
        <v>235</v>
      </c>
      <c r="AK4" s="199"/>
      <c r="AL4" s="200"/>
      <c r="AM4" s="168" t="s">
        <v>215</v>
      </c>
      <c r="AN4" s="168"/>
      <c r="AO4" s="25"/>
      <c r="AP4" s="25"/>
      <c r="AQ4" s="24"/>
      <c r="AW4" s="24"/>
      <c r="BE4" s="184" t="s">
        <v>253</v>
      </c>
    </row>
    <row r="5" spans="1:58" ht="25.9" customHeight="1">
      <c r="A5" s="171" t="s">
        <v>0</v>
      </c>
      <c r="B5" s="171" t="s">
        <v>1</v>
      </c>
      <c r="C5" s="171" t="s">
        <v>248</v>
      </c>
      <c r="D5" s="171" t="s">
        <v>247</v>
      </c>
      <c r="E5" s="171" t="s">
        <v>18</v>
      </c>
      <c r="F5" s="172" t="s">
        <v>58</v>
      </c>
      <c r="G5" s="172" t="s">
        <v>59</v>
      </c>
      <c r="H5" s="270" t="s">
        <v>60</v>
      </c>
      <c r="I5" s="270" t="s">
        <v>64</v>
      </c>
      <c r="J5" s="345" t="s">
        <v>65</v>
      </c>
      <c r="K5" s="345" t="s">
        <v>66</v>
      </c>
      <c r="L5" s="322" t="s">
        <v>240</v>
      </c>
      <c r="M5" s="324" t="s">
        <v>241</v>
      </c>
      <c r="N5" s="243" t="s">
        <v>62</v>
      </c>
      <c r="O5" s="243" t="s">
        <v>63</v>
      </c>
      <c r="P5" s="171" t="s">
        <v>8</v>
      </c>
      <c r="Q5" s="171" t="s">
        <v>9</v>
      </c>
      <c r="R5" s="171" t="s">
        <v>10</v>
      </c>
      <c r="S5" s="171" t="s">
        <v>11</v>
      </c>
      <c r="T5" s="171" t="s">
        <v>14</v>
      </c>
      <c r="U5" s="171" t="s">
        <v>15</v>
      </c>
      <c r="V5" s="171" t="s">
        <v>16</v>
      </c>
      <c r="W5" s="171" t="s">
        <v>17</v>
      </c>
      <c r="X5" s="171" t="s">
        <v>19</v>
      </c>
      <c r="Y5" s="266" t="s">
        <v>20</v>
      </c>
      <c r="Z5" s="243" t="s">
        <v>22</v>
      </c>
      <c r="AA5" s="309" t="s">
        <v>242</v>
      </c>
      <c r="AB5" s="310" t="s">
        <v>238</v>
      </c>
      <c r="AC5" s="245" t="s">
        <v>21</v>
      </c>
      <c r="AD5" s="246"/>
      <c r="AE5" s="246"/>
      <c r="AF5" s="247"/>
      <c r="AG5" s="172" t="s">
        <v>25</v>
      </c>
      <c r="AH5" s="268" t="s">
        <v>34</v>
      </c>
      <c r="AI5" s="172" t="s">
        <v>35</v>
      </c>
      <c r="AJ5" s="328" t="s">
        <v>203</v>
      </c>
      <c r="AK5" s="328"/>
      <c r="AL5" s="328"/>
      <c r="AM5" s="175" t="s">
        <v>212</v>
      </c>
      <c r="AN5" s="176"/>
      <c r="AO5" s="184" t="s">
        <v>305</v>
      </c>
      <c r="AP5" s="184" t="s">
        <v>306</v>
      </c>
      <c r="AQ5" s="267" t="s">
        <v>51</v>
      </c>
      <c r="AY5" s="185" t="s">
        <v>28</v>
      </c>
      <c r="AZ5" s="185"/>
      <c r="BA5" s="185" t="s">
        <v>29</v>
      </c>
      <c r="BB5" s="185"/>
      <c r="BE5" s="185"/>
    </row>
    <row r="6" spans="1:58" ht="48" customHeight="1">
      <c r="A6" s="171"/>
      <c r="B6" s="171"/>
      <c r="C6" s="171"/>
      <c r="D6" s="171"/>
      <c r="E6" s="171"/>
      <c r="F6" s="171"/>
      <c r="G6" s="171"/>
      <c r="H6" s="271"/>
      <c r="I6" s="271"/>
      <c r="J6" s="346"/>
      <c r="K6" s="346"/>
      <c r="L6" s="323"/>
      <c r="M6" s="325"/>
      <c r="N6" s="244"/>
      <c r="O6" s="244"/>
      <c r="P6" s="171"/>
      <c r="Q6" s="171"/>
      <c r="R6" s="171"/>
      <c r="S6" s="171"/>
      <c r="T6" s="171"/>
      <c r="U6" s="171"/>
      <c r="V6" s="171"/>
      <c r="W6" s="171"/>
      <c r="X6" s="171"/>
      <c r="Y6" s="266"/>
      <c r="Z6" s="244"/>
      <c r="AA6" s="309"/>
      <c r="AB6" s="310"/>
      <c r="AC6" s="8" t="s">
        <v>56</v>
      </c>
      <c r="AD6" s="8" t="s">
        <v>57</v>
      </c>
      <c r="AE6" s="8" t="s">
        <v>54</v>
      </c>
      <c r="AF6" s="8" t="s">
        <v>55</v>
      </c>
      <c r="AG6" s="171"/>
      <c r="AH6" s="269"/>
      <c r="AI6" s="171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85"/>
      <c r="AP6" s="185"/>
      <c r="AQ6" s="267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>
      <c r="A7" s="4">
        <f>'SO멍텅(실측)'!A7</f>
        <v>0</v>
      </c>
      <c r="B7" s="4" t="str">
        <f>'SO멍텅(실측)'!B7&amp;"F"</f>
        <v>F</v>
      </c>
      <c r="C7" s="4">
        <f>'SO멍텅(실측)'!C7-SO멍텅OP</f>
        <v>0</v>
      </c>
      <c r="D7" s="4">
        <f>'SO멍텅(실측)'!D7-SO멍텅OP</f>
        <v>0</v>
      </c>
      <c r="E7" s="4">
        <f>'SO멍텅(실측)'!E7-SO멍텅R</f>
        <v>0</v>
      </c>
      <c r="F7" s="4">
        <f>'SO멍텅(실측)'!F7+MAX(AO7,AP7)+IF(BE7=1,AC7,0)+SO멍텅JBJD늘림치수</f>
        <v>0</v>
      </c>
      <c r="G7" s="4">
        <f>'SO멍텅(실측)'!G7+MAX(AO7,AP7)+IF(BE7=1,AE7,0)+SO멍텅JBJD늘림치수</f>
        <v>0</v>
      </c>
      <c r="H7" s="4">
        <f>'SO멍텅(실측)'!H7+AO7+IF(BE7=1,AC7,0)+SO멍텅JB강제키움+SO멍텅JBJD늘림치수</f>
        <v>0</v>
      </c>
      <c r="I7" s="4">
        <f>'SO멍텅(실측)'!H7+AO7+IF(BE7=1,AD7,0)+SO멍텅JB강제키움+SO멍텅JBJD늘림치수-IF(SO멍텅JB하부늘치=1,'SO멍텅(실측)'!W7-'SO멍텅(실측)'!X7,0)</f>
        <v>0</v>
      </c>
      <c r="J7" s="4">
        <f>'SO멍텅(실측)'!I7+AP7+IF(BE7=1,AE7,0)+SO멍텅JB강제키움+SO멍텅JBJD늘림치수</f>
        <v>0</v>
      </c>
      <c r="K7" s="4">
        <f>'SO멍텅(실측)'!I7+AP7+IF(BE7=1,AF7,0)+SO멍텅JB강제키움+SO멍텅JBJD늘림치수-IF(SO멍텅JB하부늘치=1,'SO멍텅(실측)'!Y7-'SO멍텅(실측)'!Z7,0)</f>
        <v>0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IF(OR(멍텅G="", 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0</v>
      </c>
      <c r="AD7" s="13">
        <f>IF(SO멍텅JB하부늘치=1,AC7,'SO멍텅(실측)'!X7-SO멍텅늘치차감)</f>
        <v>0</v>
      </c>
      <c r="AE7" s="13">
        <f>'SO멍텅(실측)'!Y7-SO멍텅늘치차감</f>
        <v>0</v>
      </c>
      <c r="AF7" s="13">
        <f>IF(SO멍텅JB하부늘치=1,AE7,'SO멍텅(실측)'!Z7-SO멍텅늘치차감)</f>
        <v>0</v>
      </c>
      <c r="AG7" s="11" t="str">
        <f t="shared" ref="AG7" si="1">AW7&amp;"*"&amp;AX7</f>
        <v>0*-3.6</v>
      </c>
      <c r="AH7" s="12" t="str">
        <f t="shared" ref="AH7" si="2">AZ7&amp;"*"&amp;AY7</f>
        <v>0*-2.6</v>
      </c>
      <c r="AI7" s="10" t="str">
        <f t="shared" ref="AI7" si="3">BB7&amp;"*"&amp;BA7</f>
        <v>0*-2.6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 t="e">
        <f>DEGREES(ATAN((E7-(C7+D7))/2/(F7)))</f>
        <v>#DIV/0!</v>
      </c>
      <c r="AS7" s="17" t="e">
        <f>DEGREES(ATAN((E7-(C7+D7))/2/(G7)))</f>
        <v>#DIV/0!</v>
      </c>
      <c r="AT7" s="36" t="e">
        <f>ABS(F7-COS(RADIANS(AR7))*H7)</f>
        <v>#DIV/0!</v>
      </c>
      <c r="AU7" s="36" t="e">
        <f>G7-COS(RADIANS(AS7))*J7</f>
        <v>#DIV/0!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-3.5999999999999996</v>
      </c>
      <c r="AY7" s="3">
        <f>R7+P7+MAX(H7,I7)+AA7-1.2*$AI$3+IF(BE7=0,MAX(AC7,AD7))+IF(R7=0,1.2,0)-IF(AL7=90,2.4,0)</f>
        <v>-2.5999999999999996</v>
      </c>
      <c r="AZ7" s="3">
        <f t="shared" ref="AZ7" si="5">MAX(T7,U7)</f>
        <v>0</v>
      </c>
      <c r="BA7" s="3">
        <f>S7+Q7+MAX(J7,K7)+AB7-1.2*$AI$3+IF(BE7=0,MAX(AE7,AF7))+IF(S7=0,1.2,0)-IF(AL7=90,2.4,0)</f>
        <v>-2.5999999999999996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  <mergeCell ref="AH5:AH6"/>
    <mergeCell ref="AI5:AI6"/>
    <mergeCell ref="AB5:AB6"/>
    <mergeCell ref="AA5:AA6"/>
    <mergeCell ref="AC5:AF5"/>
    <mergeCell ref="AG5:AG6"/>
    <mergeCell ref="U5:U6"/>
    <mergeCell ref="V5:V6"/>
    <mergeCell ref="W5:W6"/>
    <mergeCell ref="X5:X6"/>
    <mergeCell ref="Y5:Y6"/>
    <mergeCell ref="A5:A6"/>
    <mergeCell ref="B5:B6"/>
    <mergeCell ref="C5:C6"/>
    <mergeCell ref="E5:E6"/>
    <mergeCell ref="F5:F6"/>
    <mergeCell ref="D5:D6"/>
    <mergeCell ref="L5:L6"/>
    <mergeCell ref="M5:M6"/>
    <mergeCell ref="G5:G6"/>
    <mergeCell ref="H5:H6"/>
    <mergeCell ref="I5:I6"/>
    <mergeCell ref="J5:J6"/>
    <mergeCell ref="K5:K6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4Widesheet">
    <pageSetUpPr fitToPage="1"/>
  </sheetPr>
  <dimension ref="A1:AV16"/>
  <sheetViews>
    <sheetView zoomScale="85" zoomScaleNormal="85" workbookViewId="0">
      <selection activeCell="AD29" sqref="AD29"/>
    </sheetView>
  </sheetViews>
  <sheetFormatPr defaultRowHeight="16.5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>
      <c r="A1" s="181" t="str">
        <f>정보!H2</f>
        <v>(4CO와이드) 실측서 ( 인천 연수구 동춘태평아파트-2차 ) _유영소장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23"/>
      <c r="AK1" s="56"/>
      <c r="AL1" s="56"/>
      <c r="AM1" s="56"/>
    </row>
    <row r="2" spans="1:48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81"/>
      <c r="AC2" s="181"/>
      <c r="AD2" s="181"/>
      <c r="AE2" s="181"/>
      <c r="AF2" s="181"/>
      <c r="AG2" s="181"/>
      <c r="AH2" s="181"/>
      <c r="AI2" s="181"/>
      <c r="AJ2" s="1"/>
      <c r="AK2" s="1"/>
      <c r="AL2" s="1"/>
      <c r="AM2" s="1"/>
    </row>
    <row r="3" spans="1:48" ht="33" customHeight="1">
      <c r="A3" s="2" t="str">
        <f>"현장명 : " &amp; 정보!B1 &amp; ",   (재질) : " &amp; 정보!B7</f>
        <v>현장명 : 인천 연수구 동춘태평아파트-2차,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69" t="s">
        <v>98</v>
      </c>
      <c r="P3" s="169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81"/>
      <c r="AC3" s="181"/>
      <c r="AD3" s="181"/>
      <c r="AE3" s="181"/>
      <c r="AF3" s="181"/>
      <c r="AG3" s="181"/>
      <c r="AH3" s="181"/>
      <c r="AI3" s="181"/>
      <c r="AJ3" s="34"/>
      <c r="AK3" s="34"/>
      <c r="AL3" s="34"/>
      <c r="AM3" s="34"/>
    </row>
    <row r="4" spans="1:48" ht="33" customHeight="1">
      <c r="A4" s="311" t="str">
        <f>정보!B15</f>
        <v>제작치수 반영 : MH + (0), JB/JD +(0 ),  늘어난치수K -(0),  C + (0),   U + (0), OP1/OP3 - (0), R - (0),  기둥차감 - (0), A + (0)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  <c r="R4" s="311"/>
      <c r="S4" s="311"/>
      <c r="T4" s="311"/>
      <c r="U4" s="311"/>
      <c r="V4" s="311"/>
      <c r="W4" s="311"/>
      <c r="X4" s="177"/>
      <c r="Y4" s="177"/>
      <c r="Z4" s="177"/>
      <c r="AA4" s="177"/>
      <c r="AB4" s="177"/>
      <c r="AC4" s="177"/>
      <c r="AD4" s="177"/>
      <c r="AE4" s="177"/>
      <c r="AF4" s="177"/>
      <c r="AG4" s="179"/>
      <c r="AH4" s="168" t="s">
        <v>215</v>
      </c>
      <c r="AI4" s="168"/>
      <c r="AJ4" s="75"/>
      <c r="AK4" s="9"/>
      <c r="AL4" s="9"/>
      <c r="AM4" s="9"/>
    </row>
    <row r="5" spans="1:48" ht="25.9" customHeight="1">
      <c r="A5" s="171" t="s">
        <v>0</v>
      </c>
      <c r="B5" s="171" t="s">
        <v>1</v>
      </c>
      <c r="C5" s="171" t="s">
        <v>2</v>
      </c>
      <c r="D5" s="171" t="s">
        <v>24</v>
      </c>
      <c r="E5" s="171" t="s">
        <v>254</v>
      </c>
      <c r="F5" s="171" t="s">
        <v>239</v>
      </c>
      <c r="G5" s="171" t="s">
        <v>255</v>
      </c>
      <c r="H5" s="171" t="s">
        <v>18</v>
      </c>
      <c r="I5" s="171" t="s">
        <v>4</v>
      </c>
      <c r="J5" s="171" t="s">
        <v>5</v>
      </c>
      <c r="K5" s="171" t="s">
        <v>256</v>
      </c>
      <c r="L5" s="171" t="s">
        <v>6</v>
      </c>
      <c r="M5" s="171" t="s">
        <v>7</v>
      </c>
      <c r="N5" s="171" t="s">
        <v>47</v>
      </c>
      <c r="O5" s="171" t="s">
        <v>9</v>
      </c>
      <c r="P5" s="171" t="s">
        <v>12</v>
      </c>
      <c r="Q5" s="171" t="s">
        <v>13</v>
      </c>
      <c r="R5" s="171" t="s">
        <v>10</v>
      </c>
      <c r="S5" s="171" t="s">
        <v>11</v>
      </c>
      <c r="T5" s="171" t="s">
        <v>14</v>
      </c>
      <c r="U5" s="171" t="s">
        <v>15</v>
      </c>
      <c r="V5" s="171" t="s">
        <v>16</v>
      </c>
      <c r="W5" s="171" t="s">
        <v>17</v>
      </c>
      <c r="X5" s="171" t="s">
        <v>19</v>
      </c>
      <c r="Y5" s="172" t="s">
        <v>48</v>
      </c>
      <c r="Z5" s="172" t="s">
        <v>22</v>
      </c>
      <c r="AA5" s="172" t="s">
        <v>23</v>
      </c>
      <c r="AB5" s="171" t="s">
        <v>21</v>
      </c>
      <c r="AC5" s="171"/>
      <c r="AD5" s="171"/>
      <c r="AE5" s="171"/>
      <c r="AF5" s="173" t="s">
        <v>91</v>
      </c>
      <c r="AG5" s="173" t="s">
        <v>92</v>
      </c>
      <c r="AH5" s="175" t="s">
        <v>212</v>
      </c>
      <c r="AI5" s="176"/>
      <c r="AJ5" s="172" t="s">
        <v>199</v>
      </c>
      <c r="AK5" s="172" t="s">
        <v>203</v>
      </c>
      <c r="AL5" s="172"/>
      <c r="AM5" s="172"/>
    </row>
    <row r="6" spans="1:48" ht="44.25" customHeight="1">
      <c r="A6" s="171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2"/>
      <c r="AA6" s="172"/>
      <c r="AB6" s="8" t="s">
        <v>43</v>
      </c>
      <c r="AC6" s="8" t="s">
        <v>44</v>
      </c>
      <c r="AD6" s="8" t="s">
        <v>45</v>
      </c>
      <c r="AE6" s="8" t="s">
        <v>46</v>
      </c>
      <c r="AF6" s="174"/>
      <c r="AG6" s="174"/>
      <c r="AH6" s="74" t="s">
        <v>213</v>
      </c>
      <c r="AI6" s="74" t="s">
        <v>214</v>
      </c>
      <c r="AJ6" s="171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A4:W4"/>
    <mergeCell ref="X4:Z4"/>
    <mergeCell ref="AA4:AG4"/>
    <mergeCell ref="A1:AA1"/>
    <mergeCell ref="AB1:AI3"/>
    <mergeCell ref="O3:P3"/>
    <mergeCell ref="AH4:AI4"/>
    <mergeCell ref="A5:A6"/>
    <mergeCell ref="B5:B6"/>
    <mergeCell ref="C5:C6"/>
    <mergeCell ref="D5:D6"/>
    <mergeCell ref="E5:E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B050"/>
    <pageSetUpPr fitToPage="1"/>
  </sheetPr>
  <dimension ref="A1:BN7"/>
  <sheetViews>
    <sheetView zoomScale="85" zoomScaleNormal="85" workbookViewId="0">
      <selection sqref="A1:AL1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>
      <c r="A1" s="235" t="str">
        <f>정보!I2</f>
        <v>(4CO와이드) 제작변환 ( 인천 연수구 동춘태평아파트-2차 ) _유영소장</v>
      </c>
      <c r="B1" s="235"/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235"/>
      <c r="Y1" s="235"/>
      <c r="Z1" s="235"/>
      <c r="AA1" s="235"/>
      <c r="AB1" s="235"/>
      <c r="AC1" s="235"/>
      <c r="AD1" s="235"/>
      <c r="AE1" s="235"/>
      <c r="AF1" s="235"/>
      <c r="AG1" s="235"/>
      <c r="AH1" s="235"/>
      <c r="AI1" s="235"/>
      <c r="AJ1" s="235"/>
      <c r="AK1" s="235"/>
      <c r="AL1" s="235"/>
      <c r="AM1" s="235"/>
      <c r="AN1" s="235"/>
      <c r="AO1" s="235"/>
      <c r="AP1" s="235"/>
      <c r="AQ1" s="235"/>
      <c r="AR1" s="235"/>
      <c r="AS1" s="235"/>
      <c r="AT1" s="235"/>
      <c r="AU1" s="235"/>
      <c r="AV1" s="235"/>
      <c r="AW1" s="235"/>
      <c r="AX1" s="37"/>
      <c r="AY1" s="37"/>
    </row>
    <row r="2" spans="1:66" ht="29.25" customHeight="1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0</v>
      </c>
      <c r="J2" s="1"/>
      <c r="K2" s="1"/>
      <c r="L2" s="210" t="s">
        <v>113</v>
      </c>
      <c r="M2" s="211"/>
      <c r="N2" s="211"/>
      <c r="O2" s="211"/>
      <c r="P2" s="211"/>
      <c r="Q2" s="211"/>
      <c r="R2" s="212">
        <v>1</v>
      </c>
      <c r="S2" s="212"/>
      <c r="T2" s="203" t="s">
        <v>89</v>
      </c>
      <c r="U2" s="223"/>
      <c r="V2" s="224">
        <v>0</v>
      </c>
      <c r="W2" s="224"/>
      <c r="X2" s="289" t="s">
        <v>83</v>
      </c>
      <c r="Y2" s="231"/>
      <c r="Z2" s="231"/>
      <c r="AA2" s="227">
        <v>0</v>
      </c>
      <c r="AB2" s="227"/>
      <c r="AC2" s="318">
        <f>정보!B5</f>
        <v>0</v>
      </c>
      <c r="AD2" s="319"/>
      <c r="AE2" s="319"/>
      <c r="AF2" s="319"/>
      <c r="AG2" s="319"/>
      <c r="AH2" s="319"/>
      <c r="AI2" s="319"/>
      <c r="AJ2" s="319"/>
      <c r="AK2" s="319"/>
      <c r="AL2" s="320"/>
      <c r="AM2" s="203" t="s">
        <v>90</v>
      </c>
      <c r="AN2" s="223"/>
      <c r="AO2" s="349">
        <v>0</v>
      </c>
      <c r="AP2" s="349"/>
      <c r="AQ2" s="1"/>
      <c r="AR2" s="315" t="s">
        <v>229</v>
      </c>
      <c r="AS2" s="316"/>
      <c r="AT2" s="317">
        <v>0</v>
      </c>
      <c r="AU2" s="317"/>
      <c r="AV2" s="1"/>
      <c r="AW2" s="1"/>
    </row>
    <row r="3" spans="1:66" ht="24.75" customHeight="1">
      <c r="A3" s="28" t="str">
        <f>'4CO와이드(실측)'!A3</f>
        <v>현장명 : 인천 연수구 동춘태평아파트-2차,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11" t="s">
        <v>228</v>
      </c>
      <c r="M3" s="211"/>
      <c r="N3" s="211"/>
      <c r="O3" s="211"/>
      <c r="P3" s="211"/>
      <c r="Q3" s="211"/>
      <c r="R3" s="213">
        <v>0</v>
      </c>
      <c r="S3" s="213"/>
      <c r="T3" s="223" t="s">
        <v>77</v>
      </c>
      <c r="U3" s="223"/>
      <c r="V3" s="230">
        <v>0</v>
      </c>
      <c r="W3" s="230"/>
      <c r="X3" s="231" t="s">
        <v>227</v>
      </c>
      <c r="Y3" s="231"/>
      <c r="Z3" s="231"/>
      <c r="AA3" s="232">
        <f>BN7</f>
        <v>1</v>
      </c>
      <c r="AB3" s="232"/>
      <c r="AC3" s="231" t="s">
        <v>78</v>
      </c>
      <c r="AD3" s="231"/>
      <c r="AE3" s="321">
        <v>0</v>
      </c>
      <c r="AF3" s="321"/>
      <c r="AJ3" s="185"/>
      <c r="AK3" s="185"/>
      <c r="AL3" s="3"/>
      <c r="AM3" s="171" t="s">
        <v>73</v>
      </c>
      <c r="AN3" s="171"/>
      <c r="AO3" s="114">
        <v>5</v>
      </c>
      <c r="AP3" s="4" t="s">
        <v>74</v>
      </c>
      <c r="AQ3" s="115">
        <v>4</v>
      </c>
      <c r="AR3" s="195" t="s">
        <v>230</v>
      </c>
      <c r="AS3" s="195"/>
      <c r="AT3" s="348" t="s">
        <v>329</v>
      </c>
      <c r="AU3" s="348"/>
      <c r="AV3" s="201" t="e">
        <f>AZ7</f>
        <v>#DIV/0!</v>
      </c>
      <c r="AW3" s="202"/>
      <c r="BN3" s="184" t="s">
        <v>253</v>
      </c>
    </row>
    <row r="4" spans="1:66" ht="33" customHeight="1">
      <c r="A4" s="178" t="str">
        <f>정보!B15</f>
        <v>제작치수 반영 : MH + (0), JB/JD +(0 ),  늘어난치수K -(0),  C + (0),   U + (0), OP1/OP3 - (0), R - (0),  기둥차감 - (0), A + (0)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178"/>
      <c r="AD4" s="178"/>
      <c r="AE4" s="178"/>
      <c r="AF4" s="178"/>
      <c r="AG4" s="178"/>
      <c r="AH4" s="347" t="s">
        <v>315</v>
      </c>
      <c r="AI4" s="347"/>
      <c r="AJ4" s="347">
        <f>'4CO와이드(실측)'!AB7</f>
        <v>0</v>
      </c>
      <c r="AK4" s="347"/>
      <c r="AL4" s="191">
        <f ca="1">TODAY()</f>
        <v>45274</v>
      </c>
      <c r="AM4" s="177"/>
      <c r="AN4" s="177"/>
      <c r="AO4" s="9"/>
      <c r="AP4" s="190" t="s">
        <v>117</v>
      </c>
      <c r="AQ4" s="190"/>
      <c r="AR4" s="168" t="s">
        <v>215</v>
      </c>
      <c r="AS4" s="168"/>
      <c r="AT4" s="84"/>
      <c r="AU4" s="199" t="s">
        <v>235</v>
      </c>
      <c r="AV4" s="199"/>
      <c r="AW4" s="200"/>
      <c r="BN4" s="185"/>
    </row>
    <row r="5" spans="1:66" ht="25.9" customHeight="1">
      <c r="A5" s="171" t="s">
        <v>0</v>
      </c>
      <c r="B5" s="171" t="s">
        <v>1</v>
      </c>
      <c r="C5" s="171" t="s">
        <v>2</v>
      </c>
      <c r="D5" s="171" t="s">
        <v>2</v>
      </c>
      <c r="E5" s="171" t="s">
        <v>259</v>
      </c>
      <c r="F5" s="172" t="s">
        <v>261</v>
      </c>
      <c r="G5" s="171" t="s">
        <v>260</v>
      </c>
      <c r="H5" s="171" t="s">
        <v>18</v>
      </c>
      <c r="I5" s="218" t="s">
        <v>41</v>
      </c>
      <c r="J5" s="271" t="s">
        <v>42</v>
      </c>
      <c r="K5" s="271" t="s">
        <v>262</v>
      </c>
      <c r="L5" s="215" t="s">
        <v>105</v>
      </c>
      <c r="M5" s="215" t="s">
        <v>106</v>
      </c>
      <c r="N5" s="188" t="s">
        <v>107</v>
      </c>
      <c r="O5" s="188" t="s">
        <v>108</v>
      </c>
      <c r="P5" s="322" t="s">
        <v>296</v>
      </c>
      <c r="Q5" s="322" t="s">
        <v>297</v>
      </c>
      <c r="R5" s="219" t="s">
        <v>71</v>
      </c>
      <c r="S5" s="219" t="s">
        <v>72</v>
      </c>
      <c r="T5" s="171" t="s">
        <v>8</v>
      </c>
      <c r="U5" s="171" t="s">
        <v>9</v>
      </c>
      <c r="V5" s="171" t="s">
        <v>12</v>
      </c>
      <c r="W5" s="171" t="s">
        <v>13</v>
      </c>
      <c r="X5" s="171" t="s">
        <v>10</v>
      </c>
      <c r="Y5" s="171" t="s">
        <v>11</v>
      </c>
      <c r="Z5" s="217" t="s">
        <v>14</v>
      </c>
      <c r="AA5" s="217" t="s">
        <v>15</v>
      </c>
      <c r="AB5" s="218" t="s">
        <v>16</v>
      </c>
      <c r="AC5" s="218" t="s">
        <v>17</v>
      </c>
      <c r="AD5" s="171" t="s">
        <v>19</v>
      </c>
      <c r="AE5" s="171" t="s">
        <v>20</v>
      </c>
      <c r="AF5" s="172" t="s">
        <v>22</v>
      </c>
      <c r="AG5" s="172" t="s">
        <v>23</v>
      </c>
      <c r="AH5" s="228" t="s">
        <v>79</v>
      </c>
      <c r="AI5" s="229"/>
      <c r="AJ5" s="229"/>
      <c r="AK5" s="229"/>
      <c r="AL5" s="221" t="s">
        <v>91</v>
      </c>
      <c r="AM5" s="221" t="s">
        <v>92</v>
      </c>
      <c r="AN5" s="236" t="s">
        <v>99</v>
      </c>
      <c r="AO5" s="172" t="s">
        <v>61</v>
      </c>
      <c r="AP5" s="172" t="s">
        <v>34</v>
      </c>
      <c r="AQ5" s="172" t="s">
        <v>35</v>
      </c>
      <c r="AR5" s="175" t="s">
        <v>212</v>
      </c>
      <c r="AS5" s="176"/>
      <c r="AT5" s="328" t="s">
        <v>199</v>
      </c>
      <c r="AU5" s="328" t="s">
        <v>204</v>
      </c>
      <c r="AV5" s="328"/>
      <c r="AW5" s="328"/>
      <c r="AX5" s="184" t="s">
        <v>100</v>
      </c>
      <c r="AY5" s="184" t="s">
        <v>101</v>
      </c>
      <c r="AZ5" s="185" t="s">
        <v>80</v>
      </c>
      <c r="BA5" s="238" t="s">
        <v>84</v>
      </c>
      <c r="BB5" s="241" t="s">
        <v>102</v>
      </c>
      <c r="BC5" s="240" t="s">
        <v>94</v>
      </c>
      <c r="BD5" s="240" t="s">
        <v>95</v>
      </c>
      <c r="BE5" s="184" t="s">
        <v>93</v>
      </c>
      <c r="BH5" s="192" t="s">
        <v>28</v>
      </c>
      <c r="BI5" s="192"/>
      <c r="BJ5" s="192" t="s">
        <v>29</v>
      </c>
      <c r="BK5" s="192"/>
      <c r="BL5" s="6" t="s">
        <v>50</v>
      </c>
      <c r="BM5" s="183" t="s">
        <v>104</v>
      </c>
      <c r="BN5" s="182" t="s">
        <v>226</v>
      </c>
    </row>
    <row r="6" spans="1:66" ht="48" customHeight="1">
      <c r="A6" s="171"/>
      <c r="B6" s="171"/>
      <c r="C6" s="171"/>
      <c r="D6" s="171"/>
      <c r="E6" s="171"/>
      <c r="F6" s="171"/>
      <c r="G6" s="171"/>
      <c r="H6" s="171"/>
      <c r="I6" s="218"/>
      <c r="J6" s="271"/>
      <c r="K6" s="271"/>
      <c r="L6" s="216"/>
      <c r="M6" s="216"/>
      <c r="N6" s="189"/>
      <c r="O6" s="189"/>
      <c r="P6" s="323"/>
      <c r="Q6" s="323"/>
      <c r="R6" s="220"/>
      <c r="S6" s="220"/>
      <c r="T6" s="171"/>
      <c r="U6" s="171"/>
      <c r="V6" s="171"/>
      <c r="W6" s="171"/>
      <c r="X6" s="171"/>
      <c r="Y6" s="171"/>
      <c r="Z6" s="217"/>
      <c r="AA6" s="217"/>
      <c r="AB6" s="218"/>
      <c r="AC6" s="218"/>
      <c r="AD6" s="171"/>
      <c r="AE6" s="171"/>
      <c r="AF6" s="172"/>
      <c r="AG6" s="172"/>
      <c r="AH6" s="8" t="s">
        <v>67</v>
      </c>
      <c r="AI6" s="8" t="s">
        <v>68</v>
      </c>
      <c r="AJ6" s="8" t="s">
        <v>69</v>
      </c>
      <c r="AK6" s="8" t="s">
        <v>70</v>
      </c>
      <c r="AL6" s="222"/>
      <c r="AM6" s="222"/>
      <c r="AN6" s="237"/>
      <c r="AO6" s="172"/>
      <c r="AP6" s="171"/>
      <c r="AQ6" s="171"/>
      <c r="AR6" s="74" t="s">
        <v>213</v>
      </c>
      <c r="AS6" s="74" t="s">
        <v>214</v>
      </c>
      <c r="AT6" s="329"/>
      <c r="AU6" s="86" t="s">
        <v>200</v>
      </c>
      <c r="AV6" s="86" t="s">
        <v>201</v>
      </c>
      <c r="AW6" s="86" t="s">
        <v>202</v>
      </c>
      <c r="AX6" s="185"/>
      <c r="AY6" s="185"/>
      <c r="AZ6" s="185"/>
      <c r="BA6" s="239"/>
      <c r="BB6" s="242"/>
      <c r="BC6" s="240"/>
      <c r="BD6" s="240"/>
      <c r="BE6" s="185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183"/>
      <c r="BN6" s="182"/>
    </row>
    <row r="7" spans="1:66" ht="25.5" customHeight="1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0</v>
      </c>
      <c r="D7" s="31">
        <f>'4CO와이드(실측)'!D7+CO4와이드MH더함-IF(AND(소장="추영덕",AD7=0),1.2)</f>
        <v>0</v>
      </c>
      <c r="E7" s="31">
        <f>'4CO와이드(실측)'!E7-CO4와이드OP/2</f>
        <v>0</v>
      </c>
      <c r="F7" s="31">
        <f>'4CO와이드(실측)'!F7</f>
        <v>0</v>
      </c>
      <c r="G7" s="31">
        <f>'4CO와이드(실측)'!G7-CO4와이드OP/2</f>
        <v>0</v>
      </c>
      <c r="H7" s="31">
        <f>'4CO와이드(실측)'!H7-CO4와이드R</f>
        <v>0</v>
      </c>
      <c r="I7" s="50">
        <f>'4CO와이드(실측)'!I7+CO4와이드JBJD키움치수+IF(BN7=1,AH7,0)</f>
        <v>0</v>
      </c>
      <c r="J7" s="50">
        <f>'4CO와이드(실측)'!J7+CO4와이드JBJD키움치수+IF(BN7=1,MAX(AH7,AJ7),0)</f>
        <v>0</v>
      </c>
      <c r="K7" s="50">
        <f>'4CO와이드(실측)'!K7+CO4와이드JBJD키움치수+IF(BN7=1,AJ7,0)</f>
        <v>0</v>
      </c>
      <c r="L7" s="50">
        <f>'4CO와이드(실측)'!L7+MAX(AX7,AY7)+CO4와이드JBJD키움치수+IF(BN7=1,AH7,0)</f>
        <v>0</v>
      </c>
      <c r="M7" s="50">
        <f>'4CO와이드(실측)'!L7+MAX(AX7,AY7)+CO4와이드JBJD키움치수+IF(BN7=1,AI7,0)-IF(CO4와이드JB하부늘치=1,'4CO와이드(실측)'!AB7-'4CO와이드(실측)'!AC7,0)</f>
        <v>0</v>
      </c>
      <c r="N7" s="50">
        <f>'4CO와이드(실측)'!M7+MAX(AX7,AY7)+CO4와이드JBJD키움치수+IF(BN7=1,AJ7,0)</f>
        <v>0</v>
      </c>
      <c r="O7" s="50">
        <f>'4CO와이드(실측)'!M7+MAX(AX7,AY7)+CO4와이드JBJD키움치수+IF(BN7=1,AK7,0)-IF(CO4와이드JB하부늘치=1,'4CO와이드(실측)'!AD7-'4CO와이드(실측)'!AE7,0)</f>
        <v>0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 t="e">
        <f>ROUNDUP(BA7,1)</f>
        <v>#DIV/0!</v>
      </c>
      <c r="W7" s="137" t="e">
        <f>ROUNDUP(BB7,1)</f>
        <v>#DIV/0!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-1.2</v>
      </c>
      <c r="AM7" s="31">
        <f xml:space="preserve"> IF(소장&lt;&gt;"손상민",IF('4CO와이드(실측)'!AG7&gt;0,'4CO와이드(실측)'!AG7,D7-1.2),IF('4CO와이드(실측)'!AG7&gt;0,'4CO와이드(실측)'!AG7+1.2,D7))</f>
        <v>-1.2</v>
      </c>
      <c r="AN7" s="51">
        <f>IF(AE7&gt;0,AE7-MAX(V7,W7),0)</f>
        <v>0</v>
      </c>
      <c r="AO7" s="31" t="str">
        <f t="shared" ref="AO7" si="1">BF7&amp;"*"&amp;BG7</f>
        <v>0*-3.6</v>
      </c>
      <c r="AP7" s="31" t="str">
        <f t="shared" ref="AP7" si="2">BI7&amp;"*"&amp;BH7</f>
        <v>-1.2*-2.4</v>
      </c>
      <c r="AQ7" s="31" t="str">
        <f t="shared" ref="AQ7" si="3">BK7&amp;"*"&amp;BJ7</f>
        <v>-1.2*-2.4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 t="e">
        <f>DEGREES(ATAN((H7-(E7+F7+G7))/2/(I7)))</f>
        <v>#DIV/0!</v>
      </c>
      <c r="BA7" s="21" t="e">
        <f>ABS(I7-COS(RADIANS(AZ7))*L7)</f>
        <v>#DIV/0!</v>
      </c>
      <c r="BB7" s="21" t="e">
        <f>ABS(K7-COS(RADIANS(AZ7))*N7)</f>
        <v>#DIV/0!</v>
      </c>
      <c r="BC7" s="21">
        <f>'4CO와이드(실측)'!P7+AX7</f>
        <v>0</v>
      </c>
      <c r="BD7" s="21">
        <f>'4CO와이드(실측)'!Q7+AX7</f>
        <v>0</v>
      </c>
      <c r="BE7" s="20" t="e">
        <f>BA7-MAX(BC7,BD7)</f>
        <v>#DIV/0!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-3.5999999999999996</v>
      </c>
      <c r="BH7" s="41">
        <f>X7+T7+MAX(L7,M7)+AG7-1.2*$AQ$3+IF(BN7=0,MAX(AI7,AH7),0)+IF(X7=0,1.2,0)-IF(AW7=90,2.4,0)</f>
        <v>-2.3999999999999995</v>
      </c>
      <c r="BI7" s="41">
        <f>MAX(Z7,AA7)+AL7</f>
        <v>-1.2</v>
      </c>
      <c r="BJ7" s="41">
        <f>Y7+U7+MAX(N7,O7)+AG7-1.2*$AQ$3+IF(BN7=0,MAX(AJ7,AK7),0)+IF(Y7=0,1.2,0)-IF(AW7=90,2.4,0)</f>
        <v>-2.3999999999999995</v>
      </c>
      <c r="BK7" s="41">
        <f>MAX(AB7,AC7)+AM7</f>
        <v>-1.2</v>
      </c>
      <c r="BL7" s="6" t="e">
        <f>L7-I7-V7</f>
        <v>#DIV/0!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O2:AP2"/>
    <mergeCell ref="AR2:AS2"/>
    <mergeCell ref="AT2:AU2"/>
    <mergeCell ref="L2:Q2"/>
    <mergeCell ref="R2:S2"/>
    <mergeCell ref="T2:U2"/>
    <mergeCell ref="V2:W2"/>
    <mergeCell ref="X2:Z2"/>
    <mergeCell ref="AA2:AB2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H5:AK5"/>
    <mergeCell ref="AE5:AE6"/>
    <mergeCell ref="AF5:AF6"/>
    <mergeCell ref="AG5:AG6"/>
    <mergeCell ref="AU5:AW5"/>
    <mergeCell ref="BN3:BN4"/>
    <mergeCell ref="AL4:AN4"/>
    <mergeCell ref="AP4:AQ4"/>
    <mergeCell ref="AR4:AS4"/>
    <mergeCell ref="AU4:AW4"/>
    <mergeCell ref="AM3:AN3"/>
    <mergeCell ref="AT3:AU3"/>
    <mergeCell ref="AV3:AW3"/>
    <mergeCell ref="A5:A6"/>
    <mergeCell ref="B5:B6"/>
    <mergeCell ref="C5:C6"/>
    <mergeCell ref="D5:D6"/>
    <mergeCell ref="E5:E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4Normalsheet">
    <pageSetUpPr fitToPage="1"/>
  </sheetPr>
  <dimension ref="A1:AP11"/>
  <sheetViews>
    <sheetView zoomScale="85" zoomScaleNormal="85" workbookViewId="0">
      <selection activeCell="K10" sqref="K10"/>
    </sheetView>
  </sheetViews>
  <sheetFormatPr defaultRowHeight="16.5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>
      <c r="A1" s="180" t="str">
        <f>정보!H3</f>
        <v>(4CO멍텅구리) 실측서 ( 인천 연수구 동춘태평아파트-2차 ) _유영소장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"/>
      <c r="AF1" s="1"/>
      <c r="AG1" s="1"/>
    </row>
    <row r="2" spans="1:42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>
      <c r="A3" s="5" t="str">
        <f>"현장명 : " &amp; 정보!B1 &amp; ",   (재질) : " &amp; 정보!B8</f>
        <v>현장명 : 인천 연수구 동춘태평아파트-2차,   (재질) : HL 1.2T</v>
      </c>
      <c r="B3" s="2"/>
      <c r="C3" s="2"/>
      <c r="D3" s="2"/>
      <c r="E3" s="2"/>
      <c r="F3" s="2"/>
      <c r="G3" s="2"/>
      <c r="H3" s="2"/>
      <c r="I3" s="2"/>
      <c r="J3" s="254"/>
      <c r="K3" s="254"/>
      <c r="L3" s="251"/>
      <c r="M3" s="251"/>
      <c r="N3" s="252"/>
      <c r="O3" s="252"/>
      <c r="P3" s="253"/>
      <c r="Q3" s="253"/>
      <c r="R3" s="253"/>
      <c r="S3" s="248" t="s">
        <v>97</v>
      </c>
      <c r="T3" s="248"/>
      <c r="U3" s="249"/>
      <c r="V3" s="249"/>
      <c r="W3" s="250"/>
      <c r="X3" s="250"/>
    </row>
    <row r="4" spans="1:42" ht="33" customHeight="1">
      <c r="A4" s="178" t="str">
        <f>정보!B16</f>
        <v>제작치수 반영 : JB/JD +(0 ),  늘어난치수K -(0),  C + (0),  U +(0), OP1/OP3 - (0), R - (0),  기둥차감 - (0), A + (0)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9"/>
      <c r="AD4" s="9"/>
      <c r="AE4" s="168" t="s">
        <v>215</v>
      </c>
      <c r="AF4" s="168"/>
      <c r="AG4" s="81" t="s">
        <v>234</v>
      </c>
    </row>
    <row r="5" spans="1:42" ht="25.9" customHeight="1">
      <c r="A5" s="171" t="s">
        <v>0</v>
      </c>
      <c r="B5" s="171" t="s">
        <v>1</v>
      </c>
      <c r="C5" s="171" t="s">
        <v>263</v>
      </c>
      <c r="D5" s="171" t="s">
        <v>264</v>
      </c>
      <c r="E5" s="171" t="s">
        <v>255</v>
      </c>
      <c r="F5" s="171" t="s">
        <v>18</v>
      </c>
      <c r="G5" s="171" t="s">
        <v>4</v>
      </c>
      <c r="H5" s="171" t="s">
        <v>265</v>
      </c>
      <c r="I5" s="171" t="s">
        <v>266</v>
      </c>
      <c r="J5" s="171" t="s">
        <v>6</v>
      </c>
      <c r="K5" s="171" t="s">
        <v>7</v>
      </c>
      <c r="L5" s="171" t="s">
        <v>8</v>
      </c>
      <c r="M5" s="171" t="s">
        <v>9</v>
      </c>
      <c r="N5" s="171" t="s">
        <v>10</v>
      </c>
      <c r="O5" s="171" t="s">
        <v>11</v>
      </c>
      <c r="P5" s="171" t="s">
        <v>14</v>
      </c>
      <c r="Q5" s="171" t="s">
        <v>15</v>
      </c>
      <c r="R5" s="171" t="s">
        <v>16</v>
      </c>
      <c r="S5" s="171" t="s">
        <v>17</v>
      </c>
      <c r="T5" s="171" t="s">
        <v>19</v>
      </c>
      <c r="U5" s="171" t="s">
        <v>20</v>
      </c>
      <c r="V5" s="243" t="s">
        <v>22</v>
      </c>
      <c r="W5" s="243" t="s">
        <v>23</v>
      </c>
      <c r="X5" s="245" t="s">
        <v>21</v>
      </c>
      <c r="Y5" s="246"/>
      <c r="Z5" s="246"/>
      <c r="AA5" s="247"/>
      <c r="AB5" s="172" t="s">
        <v>203</v>
      </c>
      <c r="AC5" s="172"/>
      <c r="AD5" s="172"/>
      <c r="AE5" s="175" t="s">
        <v>212</v>
      </c>
      <c r="AF5" s="176"/>
      <c r="AG5" s="80" t="s">
        <v>231</v>
      </c>
    </row>
    <row r="6" spans="1:42" ht="47.25" customHeight="1">
      <c r="A6" s="171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244"/>
      <c r="W6" s="244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1:AD1"/>
    <mergeCell ref="J3:K3"/>
    <mergeCell ref="L3:M3"/>
    <mergeCell ref="N3:O3"/>
    <mergeCell ref="P3:R3"/>
    <mergeCell ref="S3:T3"/>
    <mergeCell ref="U3:V3"/>
    <mergeCell ref="W3:X3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  <pageSetUpPr fitToPage="1"/>
  </sheetPr>
  <dimension ref="A1:BF8"/>
  <sheetViews>
    <sheetView zoomScale="70" zoomScaleNormal="70" workbookViewId="0">
      <selection activeCell="O7" sqref="O7"/>
    </sheetView>
  </sheetViews>
  <sheetFormatPr defaultRowHeight="16.5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>
      <c r="A1" s="180" t="str">
        <f>정보!I3</f>
        <v>(4CO멍텅구리) 제작변환 ( 인천 연수구 동춘태평아파트-2차 ) _유영소장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0"/>
      <c r="AJ1" s="180"/>
      <c r="AK1" s="180"/>
      <c r="AL1" s="180"/>
      <c r="AM1" s="180"/>
      <c r="AN1" s="1"/>
      <c r="AO1" s="1"/>
      <c r="AP1" s="279" t="s">
        <v>75</v>
      </c>
      <c r="AQ1" s="279"/>
      <c r="AR1" s="279"/>
      <c r="AW1" s="24"/>
    </row>
    <row r="2" spans="1:58" ht="28.5" customHeight="1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06" t="s">
        <v>307</v>
      </c>
      <c r="K2" s="206"/>
      <c r="L2" s="206"/>
      <c r="M2" s="107">
        <v>0</v>
      </c>
      <c r="N2" s="99"/>
      <c r="O2" s="99"/>
      <c r="P2" s="99"/>
      <c r="Q2" s="277" t="s">
        <v>113</v>
      </c>
      <c r="R2" s="277"/>
      <c r="S2" s="277"/>
      <c r="T2" s="277"/>
      <c r="U2" s="287">
        <v>1</v>
      </c>
      <c r="V2" s="287"/>
      <c r="W2" s="273" t="s">
        <v>103</v>
      </c>
      <c r="X2" s="274"/>
      <c r="Y2" s="95">
        <v>0</v>
      </c>
      <c r="Z2" s="273" t="s">
        <v>88</v>
      </c>
      <c r="AA2" s="274"/>
      <c r="AB2" s="94">
        <v>0</v>
      </c>
      <c r="AC2" s="69"/>
      <c r="AD2" s="264" t="s">
        <v>82</v>
      </c>
      <c r="AE2" s="281"/>
      <c r="AF2" s="350">
        <v>0</v>
      </c>
      <c r="AG2" s="350"/>
      <c r="AH2" s="98" t="s">
        <v>114</v>
      </c>
      <c r="AI2" s="351">
        <v>0</v>
      </c>
      <c r="AJ2" s="351"/>
      <c r="AK2" s="1"/>
      <c r="AL2" s="1"/>
      <c r="AM2" s="1"/>
      <c r="AN2" s="1"/>
      <c r="AO2" s="1"/>
      <c r="AP2" s="279"/>
      <c r="AQ2" s="279"/>
      <c r="AR2" s="279"/>
      <c r="AW2" s="24"/>
    </row>
    <row r="3" spans="1:58" ht="33" customHeight="1">
      <c r="A3" s="33" t="str">
        <f>'4CO멍텅(실측)'!A3</f>
        <v>현장명 : 인천 연수구 동춘태평아파트-2차,   (재질) : HL 1.2T</v>
      </c>
      <c r="B3" s="2"/>
      <c r="C3" s="2"/>
      <c r="D3" s="2"/>
      <c r="E3" s="2"/>
      <c r="F3" s="2"/>
      <c r="G3" s="2"/>
      <c r="H3" s="2"/>
      <c r="I3" s="2"/>
      <c r="J3" s="2"/>
      <c r="K3" s="264" t="s">
        <v>76</v>
      </c>
      <c r="L3" s="264"/>
      <c r="M3" s="106">
        <v>0</v>
      </c>
      <c r="N3" s="100"/>
      <c r="O3" s="100"/>
      <c r="P3" s="100"/>
      <c r="Q3" s="264" t="s">
        <v>77</v>
      </c>
      <c r="R3" s="264"/>
      <c r="S3" s="276">
        <v>0</v>
      </c>
      <c r="T3" s="276"/>
      <c r="U3" s="277" t="s">
        <v>227</v>
      </c>
      <c r="V3" s="277"/>
      <c r="W3" s="277"/>
      <c r="X3" s="278">
        <f>BE7</f>
        <v>1</v>
      </c>
      <c r="Y3" s="278"/>
      <c r="Z3" s="288" t="s">
        <v>78</v>
      </c>
      <c r="AA3" s="288"/>
      <c r="AB3" s="93">
        <v>0</v>
      </c>
      <c r="AC3" s="101"/>
      <c r="AF3" s="219" t="s">
        <v>73</v>
      </c>
      <c r="AG3" s="219"/>
      <c r="AH3" s="114">
        <v>4</v>
      </c>
      <c r="AI3" s="4" t="s">
        <v>74</v>
      </c>
      <c r="AJ3" s="115">
        <v>4</v>
      </c>
      <c r="AK3" s="257" t="s">
        <v>330</v>
      </c>
      <c r="AL3" s="205"/>
      <c r="AM3" s="159" t="e">
        <f>AS7</f>
        <v>#DIV/0!</v>
      </c>
      <c r="AN3" s="14"/>
      <c r="AO3" s="14"/>
      <c r="AP3" s="25"/>
      <c r="AQ3" s="25"/>
      <c r="AR3" s="24"/>
      <c r="AW3" s="24"/>
    </row>
    <row r="4" spans="1:58" ht="33" customHeight="1">
      <c r="A4" s="178" t="str">
        <f>'4CO멍텅(실측)'!A4:AB4</f>
        <v>제작치수 반영 : JB/JD +(0 ),  늘어난치수K -(0),  C + (0),  U +(0), OP1/OP3 - (0), R - (0),  기둥차감 - (0), A + (0)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178"/>
      <c r="AD4" s="347" t="s">
        <v>313</v>
      </c>
      <c r="AE4" s="347"/>
      <c r="AF4" s="347">
        <f>'4CO멍텅(실측)'!X7</f>
        <v>0</v>
      </c>
      <c r="AG4" s="347"/>
      <c r="AH4" s="9"/>
      <c r="AI4" s="191">
        <f ca="1">TODAY()</f>
        <v>45274</v>
      </c>
      <c r="AJ4" s="177"/>
      <c r="AK4" s="255" t="s">
        <v>235</v>
      </c>
      <c r="AL4" s="255"/>
      <c r="AM4" s="256"/>
      <c r="AN4" s="168" t="s">
        <v>215</v>
      </c>
      <c r="AO4" s="168"/>
      <c r="AP4" s="25"/>
      <c r="AQ4" s="25"/>
      <c r="AR4" s="24"/>
      <c r="AW4" s="24"/>
      <c r="BE4" s="184" t="s">
        <v>253</v>
      </c>
    </row>
    <row r="5" spans="1:58" ht="25.9" customHeight="1">
      <c r="A5" s="171" t="s">
        <v>0</v>
      </c>
      <c r="B5" s="171" t="s">
        <v>1</v>
      </c>
      <c r="C5" s="171" t="s">
        <v>267</v>
      </c>
      <c r="D5" s="172" t="s">
        <v>261</v>
      </c>
      <c r="E5" s="171" t="s">
        <v>268</v>
      </c>
      <c r="F5" s="171" t="s">
        <v>18</v>
      </c>
      <c r="G5" s="172" t="s">
        <v>58</v>
      </c>
      <c r="H5" s="172" t="s">
        <v>269</v>
      </c>
      <c r="I5" s="172" t="s">
        <v>270</v>
      </c>
      <c r="J5" s="270" t="s">
        <v>60</v>
      </c>
      <c r="K5" s="270" t="s">
        <v>64</v>
      </c>
      <c r="L5" s="345" t="s">
        <v>65</v>
      </c>
      <c r="M5" s="345" t="s">
        <v>66</v>
      </c>
      <c r="N5" s="322" t="s">
        <v>294</v>
      </c>
      <c r="O5" s="322" t="s">
        <v>295</v>
      </c>
      <c r="P5" s="243" t="s">
        <v>62</v>
      </c>
      <c r="Q5" s="243" t="s">
        <v>63</v>
      </c>
      <c r="R5" s="171" t="s">
        <v>8</v>
      </c>
      <c r="S5" s="171" t="s">
        <v>9</v>
      </c>
      <c r="T5" s="171" t="s">
        <v>10</v>
      </c>
      <c r="U5" s="171" t="s">
        <v>11</v>
      </c>
      <c r="V5" s="171" t="s">
        <v>14</v>
      </c>
      <c r="W5" s="171" t="s">
        <v>15</v>
      </c>
      <c r="X5" s="171" t="s">
        <v>16</v>
      </c>
      <c r="Y5" s="171" t="s">
        <v>17</v>
      </c>
      <c r="Z5" s="171" t="s">
        <v>19</v>
      </c>
      <c r="AA5" s="171" t="s">
        <v>20</v>
      </c>
      <c r="AB5" s="243" t="s">
        <v>22</v>
      </c>
      <c r="AC5" s="243" t="s">
        <v>23</v>
      </c>
      <c r="AD5" s="245" t="s">
        <v>21</v>
      </c>
      <c r="AE5" s="246"/>
      <c r="AF5" s="246"/>
      <c r="AG5" s="247"/>
      <c r="AH5" s="172" t="s">
        <v>25</v>
      </c>
      <c r="AI5" s="268" t="s">
        <v>34</v>
      </c>
      <c r="AJ5" s="172" t="s">
        <v>35</v>
      </c>
      <c r="AK5" s="328" t="s">
        <v>203</v>
      </c>
      <c r="AL5" s="328"/>
      <c r="AM5" s="328"/>
      <c r="AN5" s="175" t="s">
        <v>212</v>
      </c>
      <c r="AO5" s="176"/>
      <c r="AP5" s="184" t="s">
        <v>305</v>
      </c>
      <c r="AQ5" s="184" t="s">
        <v>306</v>
      </c>
      <c r="AR5" s="267" t="s">
        <v>51</v>
      </c>
      <c r="AY5" s="185" t="s">
        <v>28</v>
      </c>
      <c r="AZ5" s="185"/>
      <c r="BA5" s="185" t="s">
        <v>29</v>
      </c>
      <c r="BB5" s="185"/>
      <c r="BE5" s="185"/>
    </row>
    <row r="6" spans="1:58" ht="48" customHeight="1">
      <c r="A6" s="171"/>
      <c r="B6" s="171"/>
      <c r="C6" s="171"/>
      <c r="D6" s="171"/>
      <c r="E6" s="171"/>
      <c r="F6" s="171"/>
      <c r="G6" s="171"/>
      <c r="H6" s="171"/>
      <c r="I6" s="171"/>
      <c r="J6" s="271"/>
      <c r="K6" s="271"/>
      <c r="L6" s="346"/>
      <c r="M6" s="346"/>
      <c r="N6" s="323"/>
      <c r="O6" s="323"/>
      <c r="P6" s="244"/>
      <c r="Q6" s="244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244"/>
      <c r="AC6" s="244"/>
      <c r="AD6" s="8" t="s">
        <v>56</v>
      </c>
      <c r="AE6" s="8" t="s">
        <v>57</v>
      </c>
      <c r="AF6" s="8" t="s">
        <v>54</v>
      </c>
      <c r="AG6" s="8" t="s">
        <v>55</v>
      </c>
      <c r="AH6" s="171"/>
      <c r="AI6" s="269"/>
      <c r="AJ6" s="171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85"/>
      <c r="AQ6" s="185"/>
      <c r="AR6" s="267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0</v>
      </c>
      <c r="D7" s="4">
        <f>'4CO멍텅(실측)'!D7</f>
        <v>0</v>
      </c>
      <c r="E7" s="4">
        <f>'4CO멍텅(실측)'!E7-CO4멍텅OP/2</f>
        <v>0</v>
      </c>
      <c r="F7" s="4">
        <f>'4CO멍텅(실측)'!F7-CO4멍텅R</f>
        <v>0</v>
      </c>
      <c r="G7" s="4">
        <f>'4CO멍텅(실측)'!G7+MAX(AP7,AQ7)+IF(BE7=1,AD7,0)+CO4멍텅JBJD늘림치수</f>
        <v>0</v>
      </c>
      <c r="H7" s="4">
        <f>'4CO멍텅(실측)'!H7+MAX(AP7,AQ7)+IF(BE7=1,MAX(AD7,AF7),0)+CO4멍텅JBJD늘림치수</f>
        <v>0</v>
      </c>
      <c r="I7" s="4">
        <f>'4CO멍텅(실측)'!I7+MAX(AP7,AQ7)+IF(BE7=1,AF7,0)+CO4멍텅JBJD늘림치수</f>
        <v>0</v>
      </c>
      <c r="J7" s="4">
        <f>'4CO멍텅(실측)'!J7+AP7+IF(BE7=1,AD7,0)+CO4멍텅JB강제키움+CO4멍텅JBJD늘림치수</f>
        <v>0</v>
      </c>
      <c r="K7" s="4">
        <f>'4CO멍텅(실측)'!J7+AP7+IF(BE7=1,AE7,0)+CO4멍텅JB강제키움+CO4멍텅JBJD늘림치수-IF(CO4멍텅JB하부늘치=1,'4CO멍텅(실측)'!X7-'4CO멍텅(실측)'!Y7,0)</f>
        <v>0</v>
      </c>
      <c r="L7" s="4">
        <f>'4CO멍텅(실측)'!K7+AQ7+IF(BE7=1,AF7,0)+CO4멍텅JB강제키움+CO4멍텅JBJD늘림치수</f>
        <v>0</v>
      </c>
      <c r="M7" s="4">
        <f>'4CO멍텅(실측)'!K7+AQ7+IF(BE7=1,AG7,0)+CO4멍텅JB강제키움+CO4멍텅JBJD늘림치수-IF(CO4멍텅JB하부늘치=1,'4CO멍텅(실측)'!Z7-'4CO멍텅(실측)'!AA7,0)</f>
        <v>0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0</v>
      </c>
      <c r="AE7" s="13">
        <f>IF(CO4멍텅JB하부늘치=1,AD7,'4CO멍텅(실측)'!Y7-CO4멍텅늘치차감)</f>
        <v>0</v>
      </c>
      <c r="AF7" s="13">
        <f>'4CO멍텅(실측)'!Z7-CO4멍텅늘치차감</f>
        <v>0</v>
      </c>
      <c r="AG7" s="13">
        <f>IF(CO4멍텅JB하부늘치=1,AF7,'4CO멍텅(실측)'!AA7-CO4멍텅늘치차감)</f>
        <v>0</v>
      </c>
      <c r="AH7" s="11" t="str">
        <f t="shared" ref="AH7" si="1">AW7&amp;"*"&amp;AX7</f>
        <v>0*-3.6</v>
      </c>
      <c r="AI7" s="12" t="str">
        <f t="shared" ref="AI7" si="2">AZ7&amp;"*"&amp;AY7</f>
        <v>0*-2.6</v>
      </c>
      <c r="AJ7" s="10" t="str">
        <f t="shared" ref="AJ7" si="3">BB7&amp;"*"&amp;BA7</f>
        <v>0*-2.6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 t="e">
        <f>DEGREES(ATAN((F7-(C7+D7+E7))/2/(G7)))</f>
        <v>#DIV/0!</v>
      </c>
      <c r="AT7" s="36" t="e">
        <f t="shared" ref="AT7" si="4">G7-COS(RADIANS(AS7))*J7</f>
        <v>#DIV/0!</v>
      </c>
      <c r="AU7" s="36" t="e">
        <f t="shared" ref="AU7" si="5">I7-COS(RADIANS(AS7))*L7</f>
        <v>#DIV/0!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-3.5999999999999996</v>
      </c>
      <c r="AY7" s="3">
        <f>T7+R7+MAX(J7,K7)+AC7-1.2*$AJ$3+IF(BE7=0,MAX(AD7,AE7))+IF(T7=0,1.2,0)-IF(AM7=90,2.4,0)</f>
        <v>-2.5999999999999996</v>
      </c>
      <c r="AZ7" s="3">
        <f t="shared" ref="AZ7" si="7">MAX(V7,W7)</f>
        <v>0</v>
      </c>
      <c r="BA7" s="3">
        <f>U7+S7+MAX(L7,M7)+AC7-1.2*$AJ$3+IF(BE7=0,MAX(AF7,AG7))+IF(U7=0,1.2,0)-IF(AM7=90,2.4,0)</f>
        <v>-2.5999999999999996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>
      <c r="AP8"/>
      <c r="AQ8"/>
      <c r="AR8"/>
      <c r="AW8"/>
      <c r="AX8"/>
      <c r="AY8"/>
      <c r="AZ8"/>
      <c r="BA8"/>
      <c r="BB8"/>
    </row>
  </sheetData>
  <mergeCells count="65"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D4:AE4"/>
    <mergeCell ref="AF4:AG4"/>
    <mergeCell ref="Z5:Z6"/>
    <mergeCell ref="X5:X6"/>
    <mergeCell ref="Y5:Y6"/>
    <mergeCell ref="AA5:AA6"/>
    <mergeCell ref="AB5:AB6"/>
    <mergeCell ref="AC5:AC6"/>
    <mergeCell ref="AD5:AG5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>
      <c r="A1" s="180" t="str">
        <f>정보!K2</f>
        <v>(2UP) 실측서 ( 인천 연수구 동춘태평아파트-2차 ) _유영소장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"/>
      <c r="AD1" s="1"/>
      <c r="AE1" s="1"/>
    </row>
    <row r="2" spans="1:40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>
      <c r="A3" s="5" t="str">
        <f>"현장명 : " &amp; 정보!B1 &amp; ",   (재질) : " &amp; 정보!B8</f>
        <v>현장명 : 인천 연수구 동춘태평아파트-2차,   (재질) : HL 1.2T</v>
      </c>
      <c r="B3" s="2"/>
      <c r="C3" s="2"/>
      <c r="D3" s="2"/>
      <c r="E3" s="2"/>
      <c r="F3" s="2"/>
      <c r="G3" s="254"/>
      <c r="H3" s="254"/>
      <c r="I3" s="254"/>
      <c r="J3" s="23"/>
      <c r="K3" s="251"/>
      <c r="L3" s="251"/>
      <c r="M3" s="252"/>
      <c r="N3" s="252"/>
      <c r="O3" s="253"/>
      <c r="P3" s="253"/>
      <c r="Q3" s="253"/>
      <c r="R3" s="120"/>
      <c r="S3" s="248" t="s">
        <v>97</v>
      </c>
      <c r="T3" s="248"/>
      <c r="U3" s="248"/>
      <c r="V3" s="249"/>
      <c r="W3" s="249"/>
      <c r="X3" s="250"/>
      <c r="Y3" s="250"/>
    </row>
    <row r="4" spans="1:40" ht="33" customHeight="1">
      <c r="A4" s="178" t="str">
        <f>정보!B17</f>
        <v>제작치수 반영 : JB/JD +(0 ),  늘어난치수K -(0),  C + (0),   U + (0), OP - (0), R - (0),  기둥차감 - (0), A + (0)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168" t="s">
        <v>215</v>
      </c>
      <c r="AD4" s="168"/>
      <c r="AE4" s="81" t="s">
        <v>234</v>
      </c>
    </row>
    <row r="5" spans="1:40" ht="25.9" customHeight="1">
      <c r="A5" s="171" t="s">
        <v>0</v>
      </c>
      <c r="B5" s="171" t="s">
        <v>1</v>
      </c>
      <c r="C5" s="171" t="s">
        <v>3</v>
      </c>
      <c r="D5" s="171" t="s">
        <v>18</v>
      </c>
      <c r="E5" s="171" t="s">
        <v>4</v>
      </c>
      <c r="F5" s="171" t="s">
        <v>5</v>
      </c>
      <c r="G5" s="270" t="s">
        <v>274</v>
      </c>
      <c r="H5" s="270" t="s">
        <v>275</v>
      </c>
      <c r="I5" s="345" t="s">
        <v>276</v>
      </c>
      <c r="J5" s="345" t="s">
        <v>277</v>
      </c>
      <c r="K5" s="171" t="s">
        <v>8</v>
      </c>
      <c r="L5" s="171" t="s">
        <v>9</v>
      </c>
      <c r="M5" s="171" t="s">
        <v>10</v>
      </c>
      <c r="N5" s="171" t="s">
        <v>11</v>
      </c>
      <c r="O5" s="354" t="s">
        <v>14</v>
      </c>
      <c r="P5" s="352" t="s">
        <v>282</v>
      </c>
      <c r="Q5" s="352" t="s">
        <v>283</v>
      </c>
      <c r="R5" s="345" t="s">
        <v>129</v>
      </c>
      <c r="S5" s="345" t="s">
        <v>280</v>
      </c>
      <c r="T5" s="345" t="s">
        <v>281</v>
      </c>
      <c r="U5" s="171" t="s">
        <v>19</v>
      </c>
      <c r="V5" s="171" t="s">
        <v>20</v>
      </c>
      <c r="W5" s="243" t="s">
        <v>22</v>
      </c>
      <c r="X5" s="243" t="s">
        <v>23</v>
      </c>
      <c r="Y5" s="245" t="s">
        <v>21</v>
      </c>
      <c r="Z5" s="246"/>
      <c r="AA5" s="246"/>
      <c r="AB5" s="247"/>
      <c r="AC5" s="175" t="s">
        <v>212</v>
      </c>
      <c r="AD5" s="176"/>
      <c r="AE5" s="80" t="s">
        <v>231</v>
      </c>
    </row>
    <row r="6" spans="1:40" ht="47.25" customHeight="1">
      <c r="A6" s="171"/>
      <c r="B6" s="171"/>
      <c r="C6" s="171"/>
      <c r="D6" s="171"/>
      <c r="E6" s="171"/>
      <c r="F6" s="171"/>
      <c r="G6" s="271"/>
      <c r="H6" s="271"/>
      <c r="I6" s="346"/>
      <c r="J6" s="346"/>
      <c r="K6" s="171"/>
      <c r="L6" s="171"/>
      <c r="M6" s="171"/>
      <c r="N6" s="171"/>
      <c r="O6" s="353"/>
      <c r="P6" s="353"/>
      <c r="Q6" s="353"/>
      <c r="R6" s="346"/>
      <c r="S6" s="346"/>
      <c r="T6" s="346"/>
      <c r="U6" s="171"/>
      <c r="V6" s="171"/>
      <c r="W6" s="244"/>
      <c r="X6" s="244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A1:AB1"/>
    <mergeCell ref="G3:I3"/>
    <mergeCell ref="K3:L3"/>
    <mergeCell ref="M3:N3"/>
    <mergeCell ref="O3:Q3"/>
    <mergeCell ref="S3:U3"/>
    <mergeCell ref="V3:W3"/>
    <mergeCell ref="X3:Y3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>
      <c r="A1" s="180" t="str">
        <f>정보!L2</f>
        <v>(2UP) 제작변환 ( 인천 연수구 동춘태평아파트-2차 ) _유영소장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0"/>
      <c r="AJ1" s="1"/>
      <c r="AK1" s="1"/>
      <c r="AL1" s="279" t="s">
        <v>75</v>
      </c>
      <c r="AM1" s="279"/>
      <c r="AN1" s="279"/>
      <c r="AS1" s="24"/>
    </row>
    <row r="2" spans="1:54" ht="28.5" customHeight="1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06" t="s">
        <v>308</v>
      </c>
      <c r="H2" s="206"/>
      <c r="I2" s="206"/>
      <c r="J2" s="272">
        <v>0</v>
      </c>
      <c r="K2" s="272"/>
      <c r="L2" s="272"/>
      <c r="M2" s="272"/>
      <c r="N2" s="362" t="s">
        <v>113</v>
      </c>
      <c r="O2" s="362"/>
      <c r="P2" s="362"/>
      <c r="Q2" s="362"/>
      <c r="R2" s="287">
        <v>1</v>
      </c>
      <c r="S2" s="287"/>
      <c r="T2" s="363" t="s">
        <v>103</v>
      </c>
      <c r="U2" s="364"/>
      <c r="V2" s="365"/>
      <c r="W2" s="108">
        <v>0</v>
      </c>
      <c r="X2" s="121"/>
      <c r="Y2" s="273" t="s">
        <v>88</v>
      </c>
      <c r="Z2" s="274"/>
      <c r="AA2" s="284">
        <v>0</v>
      </c>
      <c r="AB2" s="284"/>
      <c r="AC2" s="264" t="s">
        <v>82</v>
      </c>
      <c r="AD2" s="281"/>
      <c r="AE2" s="282">
        <v>0</v>
      </c>
      <c r="AF2" s="282"/>
      <c r="AG2" s="98" t="s">
        <v>114</v>
      </c>
      <c r="AH2" s="280">
        <v>0</v>
      </c>
      <c r="AI2" s="280"/>
      <c r="AJ2" s="1"/>
      <c r="AK2" s="1"/>
      <c r="AL2" s="279"/>
      <c r="AM2" s="279"/>
      <c r="AN2" s="279"/>
      <c r="AS2" s="24"/>
    </row>
    <row r="3" spans="1:54" ht="33" customHeight="1">
      <c r="A3" s="33" t="str">
        <f>'2UP(실측)'!A3</f>
        <v>현장명 : 인천 연수구 동춘태평아파트-2차,   (재질) : HL 1.2T</v>
      </c>
      <c r="B3" s="2"/>
      <c r="C3" s="2"/>
      <c r="D3" s="2"/>
      <c r="E3" s="2"/>
      <c r="F3" s="2"/>
      <c r="G3" s="264" t="s">
        <v>76</v>
      </c>
      <c r="H3" s="264"/>
      <c r="I3" s="264"/>
      <c r="J3" s="275">
        <v>0</v>
      </c>
      <c r="K3" s="275"/>
      <c r="L3" s="275"/>
      <c r="M3" s="275"/>
      <c r="N3" s="264" t="s">
        <v>77</v>
      </c>
      <c r="O3" s="264"/>
      <c r="P3" s="276">
        <v>0</v>
      </c>
      <c r="Q3" s="276"/>
      <c r="R3" s="211" t="s">
        <v>227</v>
      </c>
      <c r="S3" s="211"/>
      <c r="T3" s="211"/>
      <c r="U3" s="278">
        <f>BA7</f>
        <v>1</v>
      </c>
      <c r="V3" s="278"/>
      <c r="W3" s="278"/>
      <c r="X3" s="122"/>
      <c r="Y3" s="288" t="s">
        <v>78</v>
      </c>
      <c r="Z3" s="288"/>
      <c r="AA3" s="283">
        <v>0</v>
      </c>
      <c r="AB3" s="283"/>
      <c r="AE3" s="171" t="s">
        <v>73</v>
      </c>
      <c r="AF3" s="171"/>
      <c r="AG3" s="106">
        <v>3</v>
      </c>
      <c r="AH3" s="4" t="s">
        <v>74</v>
      </c>
      <c r="AI3" s="138">
        <v>4</v>
      </c>
      <c r="AJ3" s="257" t="s">
        <v>331</v>
      </c>
      <c r="AK3" s="205"/>
      <c r="AL3" s="160" t="e">
        <f>AO7</f>
        <v>#DIV/0!</v>
      </c>
      <c r="AM3" s="25"/>
      <c r="AN3" s="24"/>
      <c r="AS3" s="24"/>
    </row>
    <row r="4" spans="1:54" ht="33" customHeight="1">
      <c r="A4" s="355" t="str">
        <f>'2UP(실측)'!A4:AB4</f>
        <v>제작치수 반영 : JB/JD +(0 ),  늘어난치수K -(0),  C + (0),   U + (0), OP - (0), R - (0),  기둥차감 - (0), A + (0)</v>
      </c>
      <c r="B4" s="355"/>
      <c r="C4" s="355"/>
      <c r="D4" s="355"/>
      <c r="E4" s="355"/>
      <c r="F4" s="355"/>
      <c r="G4" s="355"/>
      <c r="H4" s="355"/>
      <c r="I4" s="355"/>
      <c r="J4" s="355"/>
      <c r="K4" s="355"/>
      <c r="L4" s="355"/>
      <c r="M4" s="355"/>
      <c r="N4" s="355"/>
      <c r="O4" s="355"/>
      <c r="P4" s="355"/>
      <c r="Q4" s="355"/>
      <c r="R4" s="355"/>
      <c r="S4" s="355"/>
      <c r="T4" s="355"/>
      <c r="U4" s="355"/>
      <c r="V4" s="355"/>
      <c r="W4" s="355"/>
      <c r="X4" s="75"/>
      <c r="Y4" s="356" t="s">
        <v>332</v>
      </c>
      <c r="Z4" s="357"/>
      <c r="AA4" s="358">
        <f>AC7</f>
        <v>0</v>
      </c>
      <c r="AB4" s="359"/>
      <c r="AC4" s="75"/>
      <c r="AD4" s="75"/>
      <c r="AE4" s="75"/>
      <c r="AF4" s="75"/>
      <c r="AG4" s="9"/>
      <c r="AH4" s="191">
        <f ca="1">TODAY()</f>
        <v>45274</v>
      </c>
      <c r="AI4" s="177"/>
      <c r="AJ4" s="168" t="s">
        <v>215</v>
      </c>
      <c r="AK4" s="168"/>
      <c r="AL4" s="25"/>
      <c r="AM4" s="25"/>
      <c r="AN4" s="24"/>
      <c r="AS4" s="24"/>
      <c r="BA4" s="184" t="s">
        <v>253</v>
      </c>
    </row>
    <row r="5" spans="1:54" ht="25.9" customHeight="1">
      <c r="A5" s="171" t="s">
        <v>0</v>
      </c>
      <c r="B5" s="171" t="s">
        <v>1</v>
      </c>
      <c r="C5" s="171" t="s">
        <v>3</v>
      </c>
      <c r="D5" s="171" t="s">
        <v>18</v>
      </c>
      <c r="E5" s="172" t="s">
        <v>58</v>
      </c>
      <c r="F5" s="172" t="s">
        <v>59</v>
      </c>
      <c r="G5" s="260" t="s">
        <v>60</v>
      </c>
      <c r="H5" s="260" t="s">
        <v>64</v>
      </c>
      <c r="I5" s="270" t="s">
        <v>65</v>
      </c>
      <c r="J5" s="270" t="s">
        <v>66</v>
      </c>
      <c r="K5" s="360" t="s">
        <v>278</v>
      </c>
      <c r="L5" s="360" t="s">
        <v>279</v>
      </c>
      <c r="M5" s="243" t="s">
        <v>62</v>
      </c>
      <c r="N5" s="243" t="s">
        <v>63</v>
      </c>
      <c r="O5" s="171" t="s">
        <v>8</v>
      </c>
      <c r="P5" s="171" t="s">
        <v>9</v>
      </c>
      <c r="Q5" s="171" t="s">
        <v>10</v>
      </c>
      <c r="R5" s="171" t="s">
        <v>11</v>
      </c>
      <c r="S5" s="354" t="s">
        <v>14</v>
      </c>
      <c r="T5" s="352" t="s">
        <v>282</v>
      </c>
      <c r="U5" s="352" t="s">
        <v>283</v>
      </c>
      <c r="V5" s="345" t="s">
        <v>129</v>
      </c>
      <c r="W5" s="345" t="s">
        <v>280</v>
      </c>
      <c r="X5" s="345" t="s">
        <v>281</v>
      </c>
      <c r="Y5" s="171" t="s">
        <v>19</v>
      </c>
      <c r="Z5" s="266" t="s">
        <v>20</v>
      </c>
      <c r="AA5" s="243" t="s">
        <v>22</v>
      </c>
      <c r="AB5" s="243" t="s">
        <v>23</v>
      </c>
      <c r="AC5" s="245" t="s">
        <v>21</v>
      </c>
      <c r="AD5" s="246"/>
      <c r="AE5" s="246"/>
      <c r="AF5" s="247"/>
      <c r="AG5" s="172" t="s">
        <v>25</v>
      </c>
      <c r="AH5" s="268" t="s">
        <v>34</v>
      </c>
      <c r="AI5" s="172" t="s">
        <v>35</v>
      </c>
      <c r="AJ5" s="175" t="s">
        <v>212</v>
      </c>
      <c r="AK5" s="176"/>
      <c r="AL5" s="184" t="s">
        <v>305</v>
      </c>
      <c r="AM5" s="184" t="s">
        <v>306</v>
      </c>
      <c r="AN5" s="267" t="s">
        <v>51</v>
      </c>
      <c r="AU5" s="185" t="s">
        <v>28</v>
      </c>
      <c r="AV5" s="185"/>
      <c r="AW5" s="185" t="s">
        <v>29</v>
      </c>
      <c r="AX5" s="185"/>
      <c r="BA5" s="185"/>
    </row>
    <row r="6" spans="1:54" ht="48" customHeight="1">
      <c r="A6" s="171"/>
      <c r="B6" s="171"/>
      <c r="C6" s="171"/>
      <c r="D6" s="171"/>
      <c r="E6" s="171"/>
      <c r="F6" s="171"/>
      <c r="G6" s="261"/>
      <c r="H6" s="261"/>
      <c r="I6" s="271"/>
      <c r="J6" s="271"/>
      <c r="K6" s="361"/>
      <c r="L6" s="361"/>
      <c r="M6" s="244"/>
      <c r="N6" s="244"/>
      <c r="O6" s="171"/>
      <c r="P6" s="171"/>
      <c r="Q6" s="171"/>
      <c r="R6" s="171"/>
      <c r="S6" s="353"/>
      <c r="T6" s="353"/>
      <c r="U6" s="353"/>
      <c r="V6" s="346"/>
      <c r="W6" s="346"/>
      <c r="X6" s="346"/>
      <c r="Y6" s="171"/>
      <c r="Z6" s="266"/>
      <c r="AA6" s="244"/>
      <c r="AB6" s="244"/>
      <c r="AC6" s="8" t="s">
        <v>56</v>
      </c>
      <c r="AD6" s="8" t="s">
        <v>57</v>
      </c>
      <c r="AE6" s="8" t="s">
        <v>54</v>
      </c>
      <c r="AF6" s="8" t="s">
        <v>55</v>
      </c>
      <c r="AG6" s="171"/>
      <c r="AH6" s="269"/>
      <c r="AI6" s="171"/>
      <c r="AJ6" s="74" t="s">
        <v>213</v>
      </c>
      <c r="AK6" s="74" t="s">
        <v>214</v>
      </c>
      <c r="AL6" s="185"/>
      <c r="AM6" s="185"/>
      <c r="AN6" s="267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>
      <c r="A7" s="4">
        <f>'2UP(실측)'!A7</f>
        <v>0</v>
      </c>
      <c r="B7" s="4" t="str">
        <f>'2UP(실측)'!B7&amp;"F"</f>
        <v>F</v>
      </c>
      <c r="C7" s="4">
        <f>'2UP(실측)'!C7-UP2멍텅OP</f>
        <v>0</v>
      </c>
      <c r="D7" s="4">
        <f>'2UP(실측)'!D7-UP2멍텅R</f>
        <v>0</v>
      </c>
      <c r="E7" s="4">
        <f>'2UP(실측)'!E7+MAX(AL7,AM7)+IF(BA7=1,AC7,0)+UP2멍텅JBJD늘림치수</f>
        <v>0</v>
      </c>
      <c r="F7" s="4">
        <f>'2UP(실측)'!F7+MAX(AL7,AM7)+IF(BA7=1,AE7,0)+UP2멍텅JBJD늘림치수</f>
        <v>0</v>
      </c>
      <c r="G7" s="4">
        <f>'2UP(실측)'!G7+AL7+IF(BA7=1,AC7,0)+UP2멍텅JB강제키움+UP2멍텅JBJD늘림치수</f>
        <v>0</v>
      </c>
      <c r="H7" s="4">
        <f>'2UP(실측)'!H7+AL7+IF(BA7=1,AD7,0)+UP2멍텅JB강제키움+UP2멍텅JBJD늘림치수-IF(UP2멍텅JB하부늘치=1,'2UP(실측)'!Y7-'2UP(실측)'!Z7,0)</f>
        <v>0</v>
      </c>
      <c r="I7" s="4">
        <f>'2UP(실측)'!I7+AM7+IF(BA7=1,AE7,0)+UP2멍텅JB강제키움+UP2멍텅JBJD늘림치수</f>
        <v>0</v>
      </c>
      <c r="J7" s="4">
        <f>'2UP(실측)'!J7+AM7+IF(BA7=1,AF7,0)+UP2멍텅JB강제키움+UP2멍텅JBJD늘림치수-IF(UP2멍텅JB하부늘치=1,'2UP(실측)'!AA7-'2UP(실측)'!AB7,0)</f>
        <v>0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0*-2.4</v>
      </c>
      <c r="AH7" s="12" t="str">
        <f t="shared" ref="AH7" si="2">AV7&amp;"*"&amp;AU7</f>
        <v>0*-2.6</v>
      </c>
      <c r="AI7" s="10" t="str">
        <f t="shared" ref="AI7" si="3">AX7&amp;"*"&amp;AW7</f>
        <v>0*-2.6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 t="e">
        <f>DEGREES(ATAN((D7-C7)/2/(E7)))</f>
        <v>#DIV/0!</v>
      </c>
      <c r="AP7" s="36" t="e">
        <f>E7-COS(RADIANS(AO7))*G7</f>
        <v>#DIV/0!</v>
      </c>
      <c r="AQ7" s="36" t="e">
        <f>F7-COS(RADIANS(AO7))*I7</f>
        <v>#DIV/0!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-2.3999999999999995</v>
      </c>
      <c r="AU7" s="3">
        <f>Q7+O7+MAX(G7,H7)+AB7-1.2*$AI$3+IF(BA7=0,MAX(AC7,AD7))+IF(Q7=0,1.2,0)</f>
        <v>-2.5999999999999996</v>
      </c>
      <c r="AV7" s="3">
        <f>MAX(S7,T7+U7)</f>
        <v>0</v>
      </c>
      <c r="AW7" s="3">
        <f>R7+P7+MAX(I7,J7)+AB7-1.2*$AI$3+IF(BA7=0,MAX(AE7,AF7))+IF(R7=0,1.2,0)</f>
        <v>-2.5999999999999996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>
      <c r="AL8"/>
      <c r="AM8"/>
      <c r="AN8"/>
      <c r="AS8"/>
      <c r="AT8"/>
      <c r="AU8"/>
      <c r="AV8"/>
      <c r="AW8"/>
      <c r="AX8"/>
    </row>
  </sheetData>
  <mergeCells count="66"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AW5:AX5"/>
    <mergeCell ref="AA5:AA6"/>
    <mergeCell ref="AB5:AB6"/>
    <mergeCell ref="AC5:AF5"/>
    <mergeCell ref="AG5:AG6"/>
    <mergeCell ref="AH5:AH6"/>
    <mergeCell ref="AI5:AI6"/>
    <mergeCell ref="AM5:AM6"/>
    <mergeCell ref="N5:N6"/>
    <mergeCell ref="O5:O6"/>
    <mergeCell ref="P5:P6"/>
    <mergeCell ref="Q5:Q6"/>
    <mergeCell ref="AU5:AV5"/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>
      <c r="A1" s="366" t="str">
        <f>정보!K3</f>
        <v>(3UP) 실측서 ( 인천 연수구 동춘태평아파트-2차 ) _유영소장</v>
      </c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F1" s="366"/>
      <c r="AG1" s="366"/>
      <c r="AH1" s="366"/>
      <c r="AI1" s="1"/>
      <c r="AJ1" s="1"/>
      <c r="AK1" s="1"/>
    </row>
    <row r="2" spans="1:46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>
      <c r="A3" s="5" t="str">
        <f>"현장명 : " &amp; 정보!B1 &amp; ",   (재질) : " &amp; 정보!B8</f>
        <v>현장명 : 인천 연수구 동춘태평아파트-2차,   (재질) : HL 1.2T</v>
      </c>
      <c r="B3" s="2"/>
      <c r="C3" s="2"/>
      <c r="D3" s="2"/>
      <c r="E3" s="2"/>
      <c r="F3" s="2"/>
      <c r="G3" s="254"/>
      <c r="H3" s="254"/>
      <c r="I3" s="254"/>
      <c r="J3" s="254"/>
      <c r="K3" s="23"/>
      <c r="L3" s="23"/>
      <c r="M3" s="251"/>
      <c r="N3" s="251"/>
      <c r="O3" s="252"/>
      <c r="P3" s="252"/>
      <c r="Q3" s="253"/>
      <c r="R3" s="253"/>
      <c r="S3" s="253"/>
      <c r="T3" s="253"/>
      <c r="U3" s="120"/>
      <c r="V3" s="248" t="s">
        <v>97</v>
      </c>
      <c r="W3" s="248"/>
      <c r="X3" s="248"/>
      <c r="Y3" s="248"/>
      <c r="Z3" s="249"/>
      <c r="AA3" s="249"/>
      <c r="AB3" s="250"/>
      <c r="AC3" s="250"/>
    </row>
    <row r="4" spans="1:46" ht="33" customHeight="1">
      <c r="A4" s="178" t="str">
        <f>정보!B18</f>
        <v>제작치수 반영 : JB/JD +(0 ),  늘어난치수K -(0),  C + (0),   U + (0), OP - (0), R - (0),  기둥차감 - (0), A + (0)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178"/>
      <c r="AD4" s="178"/>
      <c r="AE4" s="178"/>
      <c r="AF4" s="178"/>
      <c r="AG4" s="178"/>
      <c r="AH4" s="178"/>
      <c r="AI4" s="168" t="s">
        <v>215</v>
      </c>
      <c r="AJ4" s="168"/>
      <c r="AK4" s="81" t="s">
        <v>234</v>
      </c>
    </row>
    <row r="5" spans="1:46" ht="25.9" customHeight="1">
      <c r="A5" s="171" t="s">
        <v>0</v>
      </c>
      <c r="B5" s="171" t="s">
        <v>1</v>
      </c>
      <c r="C5" s="171" t="s">
        <v>3</v>
      </c>
      <c r="D5" s="171" t="s">
        <v>18</v>
      </c>
      <c r="E5" s="171" t="s">
        <v>4</v>
      </c>
      <c r="F5" s="171" t="s">
        <v>5</v>
      </c>
      <c r="G5" s="270" t="s">
        <v>274</v>
      </c>
      <c r="H5" s="270" t="s">
        <v>284</v>
      </c>
      <c r="I5" s="270" t="s">
        <v>275</v>
      </c>
      <c r="J5" s="345" t="s">
        <v>276</v>
      </c>
      <c r="K5" s="345" t="s">
        <v>285</v>
      </c>
      <c r="L5" s="345" t="s">
        <v>277</v>
      </c>
      <c r="M5" s="171" t="s">
        <v>8</v>
      </c>
      <c r="N5" s="171" t="s">
        <v>9</v>
      </c>
      <c r="O5" s="171" t="s">
        <v>10</v>
      </c>
      <c r="P5" s="171" t="s">
        <v>11</v>
      </c>
      <c r="Q5" s="354" t="s">
        <v>14</v>
      </c>
      <c r="R5" s="352" t="s">
        <v>282</v>
      </c>
      <c r="S5" s="352" t="s">
        <v>286</v>
      </c>
      <c r="T5" s="352" t="s">
        <v>283</v>
      </c>
      <c r="U5" s="345" t="s">
        <v>129</v>
      </c>
      <c r="V5" s="345" t="s">
        <v>280</v>
      </c>
      <c r="W5" s="345" t="s">
        <v>287</v>
      </c>
      <c r="X5" s="345" t="s">
        <v>281</v>
      </c>
      <c r="Y5" s="171" t="s">
        <v>19</v>
      </c>
      <c r="Z5" s="171" t="s">
        <v>20</v>
      </c>
      <c r="AA5" s="243" t="s">
        <v>22</v>
      </c>
      <c r="AB5" s="243" t="s">
        <v>23</v>
      </c>
      <c r="AC5" s="245" t="s">
        <v>21</v>
      </c>
      <c r="AD5" s="246"/>
      <c r="AE5" s="246"/>
      <c r="AF5" s="246"/>
      <c r="AG5" s="246"/>
      <c r="AH5" s="247"/>
      <c r="AI5" s="175" t="s">
        <v>212</v>
      </c>
      <c r="AJ5" s="176"/>
      <c r="AK5" s="80" t="s">
        <v>231</v>
      </c>
    </row>
    <row r="6" spans="1:46" ht="47.25" customHeight="1">
      <c r="A6" s="171"/>
      <c r="B6" s="171"/>
      <c r="C6" s="171"/>
      <c r="D6" s="171"/>
      <c r="E6" s="171"/>
      <c r="F6" s="171"/>
      <c r="G6" s="271"/>
      <c r="H6" s="271"/>
      <c r="I6" s="271"/>
      <c r="J6" s="346"/>
      <c r="K6" s="346"/>
      <c r="L6" s="346"/>
      <c r="M6" s="171"/>
      <c r="N6" s="171"/>
      <c r="O6" s="171"/>
      <c r="P6" s="171"/>
      <c r="Q6" s="353"/>
      <c r="R6" s="353"/>
      <c r="S6" s="353"/>
      <c r="T6" s="353"/>
      <c r="U6" s="346"/>
      <c r="V6" s="346"/>
      <c r="W6" s="346"/>
      <c r="X6" s="346"/>
      <c r="Y6" s="171"/>
      <c r="Z6" s="171"/>
      <c r="AA6" s="244"/>
      <c r="AB6" s="244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A1:AH1"/>
    <mergeCell ref="G3:J3"/>
    <mergeCell ref="M3:N3"/>
    <mergeCell ref="O3:P3"/>
    <mergeCell ref="Q3:T3"/>
    <mergeCell ref="V3:Y3"/>
    <mergeCell ref="Z3:AA3"/>
    <mergeCell ref="AB3:AC3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>
      <c r="A1" s="180" t="str">
        <f>정보!L3</f>
        <v>(3UP) 제작변환 ( 인천 연수구 동춘태평아파트-2차 ) _유영소장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0"/>
      <c r="AJ1" s="180"/>
      <c r="AK1" s="180"/>
      <c r="AL1" s="180"/>
      <c r="AM1" s="180"/>
      <c r="AN1" s="180"/>
      <c r="AO1" s="180"/>
      <c r="AP1" s="1"/>
      <c r="AQ1" s="1"/>
      <c r="AR1" s="279" t="s">
        <v>75</v>
      </c>
      <c r="AS1" s="279"/>
      <c r="AT1" s="279"/>
      <c r="AY1" s="24"/>
    </row>
    <row r="2" spans="1:60" ht="28.5" customHeight="1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56" t="s">
        <v>309</v>
      </c>
      <c r="H2" s="378"/>
      <c r="I2" s="378"/>
      <c r="J2" s="378"/>
      <c r="K2" s="357"/>
      <c r="L2" s="272">
        <v>0</v>
      </c>
      <c r="M2" s="272"/>
      <c r="N2" s="272"/>
      <c r="O2" s="272"/>
      <c r="P2" s="286" t="s">
        <v>113</v>
      </c>
      <c r="Q2" s="286"/>
      <c r="R2" s="286"/>
      <c r="S2" s="286"/>
      <c r="T2" s="287">
        <v>1</v>
      </c>
      <c r="U2" s="287"/>
      <c r="V2" s="273" t="s">
        <v>103</v>
      </c>
      <c r="W2" s="273"/>
      <c r="X2" s="274"/>
      <c r="Y2" s="379">
        <v>0</v>
      </c>
      <c r="Z2" s="380"/>
      <c r="AA2" s="376"/>
      <c r="AB2" s="377"/>
      <c r="AC2" s="273" t="s">
        <v>88</v>
      </c>
      <c r="AD2" s="274"/>
      <c r="AE2" s="284">
        <v>0</v>
      </c>
      <c r="AF2" s="284"/>
      <c r="AG2" s="264" t="s">
        <v>82</v>
      </c>
      <c r="AH2" s="264"/>
      <c r="AI2" s="281"/>
      <c r="AJ2" s="282">
        <v>0</v>
      </c>
      <c r="AK2" s="282"/>
      <c r="AL2" s="282"/>
      <c r="AM2" s="98" t="s">
        <v>114</v>
      </c>
      <c r="AN2" s="280">
        <v>0</v>
      </c>
      <c r="AO2" s="280"/>
      <c r="AP2" s="1"/>
      <c r="AQ2" s="1"/>
      <c r="AR2" s="279"/>
      <c r="AS2" s="279"/>
      <c r="AT2" s="279"/>
      <c r="AY2" s="24"/>
    </row>
    <row r="3" spans="1:60" ht="33" customHeight="1">
      <c r="A3" s="33" t="str">
        <f>'3UP(실측)'!A3</f>
        <v>현장명 : 인천 연수구 동춘태평아파트-2차,   (재질) : HL 1.2T</v>
      </c>
      <c r="B3" s="2"/>
      <c r="C3" s="2"/>
      <c r="D3" s="2"/>
      <c r="E3" s="2"/>
      <c r="F3" s="2"/>
      <c r="G3" s="363" t="s">
        <v>76</v>
      </c>
      <c r="H3" s="371"/>
      <c r="I3" s="371"/>
      <c r="J3" s="371"/>
      <c r="K3" s="372"/>
      <c r="L3" s="275">
        <v>0</v>
      </c>
      <c r="M3" s="275"/>
      <c r="N3" s="275"/>
      <c r="O3" s="275"/>
      <c r="P3" s="264" t="s">
        <v>77</v>
      </c>
      <c r="Q3" s="264"/>
      <c r="R3" s="276">
        <v>0</v>
      </c>
      <c r="S3" s="276"/>
      <c r="T3" s="373" t="s">
        <v>289</v>
      </c>
      <c r="U3" s="374"/>
      <c r="V3" s="374"/>
      <c r="W3" s="375"/>
      <c r="X3" s="278">
        <f>BG7</f>
        <v>1</v>
      </c>
      <c r="Y3" s="278"/>
      <c r="Z3" s="278"/>
      <c r="AA3" s="369"/>
      <c r="AB3" s="370"/>
      <c r="AC3" s="288" t="s">
        <v>78</v>
      </c>
      <c r="AD3" s="288"/>
      <c r="AE3" s="283">
        <v>0</v>
      </c>
      <c r="AF3" s="283"/>
      <c r="AJ3" s="171" t="s">
        <v>73</v>
      </c>
      <c r="AK3" s="171"/>
      <c r="AL3" s="171"/>
      <c r="AM3" s="106">
        <v>3</v>
      </c>
      <c r="AN3" s="4" t="s">
        <v>74</v>
      </c>
      <c r="AO3" s="138">
        <v>4</v>
      </c>
      <c r="AP3" s="367" t="s">
        <v>327</v>
      </c>
      <c r="AQ3" s="368"/>
      <c r="AR3" s="160" t="e">
        <f>AU7</f>
        <v>#DIV/0!</v>
      </c>
      <c r="AS3" s="25"/>
      <c r="AT3" s="24"/>
      <c r="AY3" s="24"/>
    </row>
    <row r="4" spans="1:60" ht="33" customHeight="1">
      <c r="A4" s="355" t="str">
        <f>'3UP(실측)'!A4:AH4</f>
        <v>제작치수 반영 : JB/JD +(0 ),  늘어난치수K -(0),  C + (0),   U + (0), OP - (0), R - (0),  기둥차감 - (0), A + (0)</v>
      </c>
      <c r="B4" s="355"/>
      <c r="C4" s="355"/>
      <c r="D4" s="355"/>
      <c r="E4" s="355"/>
      <c r="F4" s="355"/>
      <c r="G4" s="355"/>
      <c r="H4" s="355"/>
      <c r="I4" s="355"/>
      <c r="J4" s="355"/>
      <c r="K4" s="355"/>
      <c r="L4" s="355"/>
      <c r="M4" s="355"/>
      <c r="N4" s="355"/>
      <c r="O4" s="355"/>
      <c r="P4" s="355"/>
      <c r="Q4" s="355"/>
      <c r="R4" s="355"/>
      <c r="S4" s="355"/>
      <c r="T4" s="355"/>
      <c r="U4" s="355"/>
      <c r="V4" s="355"/>
      <c r="W4" s="355"/>
      <c r="X4" s="355"/>
      <c r="Y4" s="355"/>
      <c r="Z4" s="355"/>
      <c r="AA4" s="75"/>
      <c r="AB4" s="75"/>
      <c r="AC4" s="358" t="s">
        <v>333</v>
      </c>
      <c r="AD4" s="265"/>
      <c r="AE4" s="265">
        <f>AG7</f>
        <v>0</v>
      </c>
      <c r="AF4" s="359"/>
      <c r="AG4" s="75"/>
      <c r="AH4" s="75"/>
      <c r="AI4" s="75"/>
      <c r="AJ4" s="75"/>
      <c r="AK4" s="75"/>
      <c r="AL4" s="75"/>
      <c r="AM4" s="9"/>
      <c r="AN4" s="191">
        <f ca="1">TODAY()</f>
        <v>45274</v>
      </c>
      <c r="AO4" s="177"/>
      <c r="AP4" s="168" t="s">
        <v>215</v>
      </c>
      <c r="AQ4" s="168"/>
      <c r="AR4" s="25"/>
      <c r="AS4" s="25"/>
      <c r="AT4" s="24"/>
      <c r="AY4" s="24"/>
      <c r="BG4" s="184" t="s">
        <v>253</v>
      </c>
    </row>
    <row r="5" spans="1:60" ht="25.9" customHeight="1">
      <c r="A5" s="171" t="s">
        <v>0</v>
      </c>
      <c r="B5" s="171" t="s">
        <v>1</v>
      </c>
      <c r="C5" s="171" t="s">
        <v>3</v>
      </c>
      <c r="D5" s="171" t="s">
        <v>18</v>
      </c>
      <c r="E5" s="172" t="s">
        <v>58</v>
      </c>
      <c r="F5" s="172" t="s">
        <v>59</v>
      </c>
      <c r="G5" s="270" t="s">
        <v>274</v>
      </c>
      <c r="H5" s="270" t="s">
        <v>284</v>
      </c>
      <c r="I5" s="270" t="s">
        <v>275</v>
      </c>
      <c r="J5" s="345" t="s">
        <v>276</v>
      </c>
      <c r="K5" s="345" t="s">
        <v>285</v>
      </c>
      <c r="L5" s="345" t="s">
        <v>277</v>
      </c>
      <c r="M5" s="360" t="s">
        <v>278</v>
      </c>
      <c r="N5" s="360" t="s">
        <v>288</v>
      </c>
      <c r="O5" s="243" t="s">
        <v>62</v>
      </c>
      <c r="P5" s="243" t="s">
        <v>63</v>
      </c>
      <c r="Q5" s="171" t="s">
        <v>8</v>
      </c>
      <c r="R5" s="171" t="s">
        <v>9</v>
      </c>
      <c r="S5" s="171" t="s">
        <v>10</v>
      </c>
      <c r="T5" s="171" t="s">
        <v>11</v>
      </c>
      <c r="U5" s="354" t="s">
        <v>14</v>
      </c>
      <c r="V5" s="352" t="s">
        <v>282</v>
      </c>
      <c r="W5" s="352" t="s">
        <v>286</v>
      </c>
      <c r="X5" s="352" t="s">
        <v>283</v>
      </c>
      <c r="Y5" s="345" t="s">
        <v>129</v>
      </c>
      <c r="Z5" s="345" t="s">
        <v>280</v>
      </c>
      <c r="AA5" s="345" t="s">
        <v>287</v>
      </c>
      <c r="AB5" s="345" t="s">
        <v>281</v>
      </c>
      <c r="AC5" s="171" t="s">
        <v>19</v>
      </c>
      <c r="AD5" s="266" t="s">
        <v>20</v>
      </c>
      <c r="AE5" s="243" t="s">
        <v>22</v>
      </c>
      <c r="AF5" s="243" t="s">
        <v>23</v>
      </c>
      <c r="AG5" s="245" t="s">
        <v>21</v>
      </c>
      <c r="AH5" s="246"/>
      <c r="AI5" s="246"/>
      <c r="AJ5" s="246"/>
      <c r="AK5" s="246"/>
      <c r="AL5" s="247"/>
      <c r="AM5" s="172" t="s">
        <v>25</v>
      </c>
      <c r="AN5" s="268" t="s">
        <v>34</v>
      </c>
      <c r="AO5" s="172" t="s">
        <v>35</v>
      </c>
      <c r="AP5" s="175" t="s">
        <v>212</v>
      </c>
      <c r="AQ5" s="176"/>
      <c r="AR5" s="184" t="s">
        <v>305</v>
      </c>
      <c r="AS5" s="184" t="s">
        <v>306</v>
      </c>
      <c r="AT5" s="267" t="s">
        <v>51</v>
      </c>
      <c r="BA5" s="185" t="s">
        <v>28</v>
      </c>
      <c r="BB5" s="185"/>
      <c r="BC5" s="185" t="s">
        <v>29</v>
      </c>
      <c r="BD5" s="185"/>
      <c r="BG5" s="185"/>
    </row>
    <row r="6" spans="1:60" ht="48" customHeight="1">
      <c r="A6" s="171"/>
      <c r="B6" s="171"/>
      <c r="C6" s="171"/>
      <c r="D6" s="171"/>
      <c r="E6" s="171"/>
      <c r="F6" s="171"/>
      <c r="G6" s="271"/>
      <c r="H6" s="271"/>
      <c r="I6" s="271"/>
      <c r="J6" s="346"/>
      <c r="K6" s="346"/>
      <c r="L6" s="346"/>
      <c r="M6" s="361"/>
      <c r="N6" s="361"/>
      <c r="O6" s="244"/>
      <c r="P6" s="244"/>
      <c r="Q6" s="171"/>
      <c r="R6" s="171"/>
      <c r="S6" s="171"/>
      <c r="T6" s="171"/>
      <c r="U6" s="353"/>
      <c r="V6" s="353"/>
      <c r="W6" s="353"/>
      <c r="X6" s="353"/>
      <c r="Y6" s="346"/>
      <c r="Z6" s="346"/>
      <c r="AA6" s="346"/>
      <c r="AB6" s="346"/>
      <c r="AC6" s="171"/>
      <c r="AD6" s="266"/>
      <c r="AE6" s="244"/>
      <c r="AF6" s="244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71"/>
      <c r="AN6" s="269"/>
      <c r="AO6" s="171"/>
      <c r="AP6" s="74" t="s">
        <v>213</v>
      </c>
      <c r="AQ6" s="74" t="s">
        <v>214</v>
      </c>
      <c r="AR6" s="185"/>
      <c r="AS6" s="185"/>
      <c r="AT6" s="267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>
      <c r="A7" s="4">
        <f>'3UP(실측)'!A7</f>
        <v>0</v>
      </c>
      <c r="B7" s="4" t="str">
        <f>'3UP(실측)'!B7&amp;"F"</f>
        <v>F</v>
      </c>
      <c r="C7" s="4">
        <f>'3UP(실측)'!C7-UP3멍텅OP</f>
        <v>0</v>
      </c>
      <c r="D7" s="4">
        <f>'3UP(실측)'!D7-UP3멍텅R</f>
        <v>0</v>
      </c>
      <c r="E7" s="4">
        <f>'3UP(실측)'!E7+MAX(AR7,AS7)+IF(BG7=1,AG7,0)+UP3멍텅JBJD늘림치수</f>
        <v>0</v>
      </c>
      <c r="F7" s="4">
        <f>'3UP(실측)'!F7+MAX(AR7,AS7)+IF(BG7=1,AJ7,0)+UP3멍텅JBJD늘림치수</f>
        <v>0</v>
      </c>
      <c r="G7" s="4">
        <f>'3UP(실측)'!G7+AR7+IF(BG7=1,AG7,0)+UP3멍텅JB강제키움+UP3멍텅JBJD늘림치수</f>
        <v>0</v>
      </c>
      <c r="H7" s="4">
        <f>'3UP(실측)'!H7+AR7+IF(BG7=1,AH7,0)+UP3멍텅JB강제키움+UP3멍텅JBJD늘림치수-IF(UP3멍텅JB하부늘치=1,'3UP(실측)'!AC7-'3UP(실측)'!AD7,0)</f>
        <v>0</v>
      </c>
      <c r="I7" s="4">
        <f>'3UP(실측)'!I7+AR7+IF(BG7=1,AI7,0)+UP3멍텅JB강제키움+UP3멍텅JBJD늘림치수-IF(UP3멍텅JB하부늘치=1,'3UP(실측)'!AC7-'3UP(실측)'!AE7,0)</f>
        <v>0</v>
      </c>
      <c r="J7" s="4">
        <f>'3UP(실측)'!J7+AS7+IF(BG7=1,AJ7,0)+UP3멍텅JB강제키움+UP3멍텅JBJD늘림치수</f>
        <v>0</v>
      </c>
      <c r="K7" s="4">
        <f>'3UP(실측)'!K7+AS7+IF(BG7=1,AK7,0)+UP3멍텅JB강제키움+UP3멍텅JBJD늘림치수-IF(UP3멍텅JB하부늘치=1,'3UP(실측)'!AF7-'3UP(실측)'!AG7,0)</f>
        <v>0</v>
      </c>
      <c r="L7" s="4">
        <f>'3UP(실측)'!L7+AS7+IF(BG7=1,AL7,0)+UP3멍텅JB강제키움+UP3멍텅JBJD늘림치수-IF(UP3멍텅JB하부늘치=1,'3UP(실측)'!AF7-'3UP(실측)'!AH7,0)</f>
        <v>0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0*-2.4</v>
      </c>
      <c r="AN7" s="12" t="str">
        <f t="shared" ref="AN7" si="2">BB7&amp;"*"&amp;BA7</f>
        <v>0*-2.6</v>
      </c>
      <c r="AO7" s="10" t="str">
        <f t="shared" ref="AO7" si="3">BD7&amp;"*"&amp;BC7</f>
        <v>0*-2.6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 t="e">
        <f>DEGREES(ATAN((D7-C7)/2/(E7)))</f>
        <v>#DIV/0!</v>
      </c>
      <c r="AV7" s="36" t="e">
        <f>E7-COS(RADIANS(AU7))*G7</f>
        <v>#DIV/0!</v>
      </c>
      <c r="AW7" s="36" t="e">
        <f>F7-COS(RADIANS(AU7))*J7</f>
        <v>#DIV/0!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-2.3999999999999995</v>
      </c>
      <c r="BA7" s="3">
        <f>S7+Q7+MAX(G7,I7)+AF7-1.2*$AO$3+IF(BG7=0,MAX(AG7,AI7))+IF(S7=0,1.2,0)</f>
        <v>-2.5999999999999996</v>
      </c>
      <c r="BB7" s="3">
        <f>MAX(U7,V7+W7+X7)</f>
        <v>0</v>
      </c>
      <c r="BC7" s="3">
        <f>T7+R7+MAX(J7,L7)+AF7-1.2*$AO$3+IF(BG7=0,MAX(AJ7,AL7))+IF(T7=0,1.2,0)</f>
        <v>-2.5999999999999996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I5:I6"/>
    <mergeCell ref="J5:J6"/>
    <mergeCell ref="L5:L6"/>
    <mergeCell ref="M5:M6"/>
    <mergeCell ref="AB5:AB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이름이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2023-12-14T00:38:48Z</cp:lastPrinted>
  <dcterms:created xsi:type="dcterms:W3CDTF">2020-01-09T06:39:51Z</dcterms:created>
  <dcterms:modified xsi:type="dcterms:W3CDTF">2023-12-14T06:20:25Z</dcterms:modified>
</cp:coreProperties>
</file>