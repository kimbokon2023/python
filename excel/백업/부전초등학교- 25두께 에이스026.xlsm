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auto_ceiling\천장(ceiling)작업리스트\"/>
    </mc:Choice>
  </mc:AlternateContent>
  <bookViews>
    <workbookView xWindow="-120" yWindow="-120" windowWidth="29040" windowHeight="15720" tabRatio="866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<sst xmlns="http://schemas.openxmlformats.org/spreadsheetml/2006/main" count="115" uniqueCount="112">
  <si>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</si>
  <si>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</si>
  <si>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</si>
  <si>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</si>
  <si>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</si>
  <si>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</si>
  <si>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</si>
  <si>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</si>
  <si>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</si>
  <si>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</si>
  <si>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</si>
  <si>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</si>
  <si>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</si>
  <si>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</si>
  <si>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</si>
  <si>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</si>
  <si>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</si>
  <si>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</si>
  <si>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</si>
  <si>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</si>
  <si>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</si>
  <si>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</si>
  <si>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</si>
  <si>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</si>
  <si>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</si>
  <si>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</si>
  <si>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</si>
  <si>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</si>
  <si>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</si>
  <si>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</si>
  <si>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</si>
  <si>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</si>
  <si>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</si>
  <si>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</si>
  <si>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</si>
  <si>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</si>
  <si>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</si>
  <si>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</si>
  <si>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</si>
  <si>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</si>
  <si>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</si>
  <si>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</si>
  <si>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</si>
  <si>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</si>
  <si>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</si>
  <si>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</si>
  <si>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</si>
  <si>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</si>
  <si>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</si>
  <si>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</si>
  <si>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</si>
  <si>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</si>
  <si>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</si>
  <si>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</si>
  <si>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</si>
  <si>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</si>
  <si>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</si>
  <si>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</si>
  <si>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</si>
  <si>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</si>
  <si>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</si>
  <si>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</si>
  <si>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</si>
  <si>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</si>
  <si>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</si>
  <si>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</si>
  <si>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</si>
  <si>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</si>
  <si>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</si>
  <si>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</si>
  <si>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</si>
  <si>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</si>
  <si>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</si>
  <si>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</si>
  <si>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CW(전면)</t>
    <phoneticPr fontId="1" type="noConversion"/>
  </si>
  <si>
    <t>CD</t>
    <phoneticPr fontId="1" type="noConversion"/>
  </si>
  <si>
    <t>CW(후면)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</si>
  <si>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</si>
  <si>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</si>
  <si>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</si>
  <si>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</si>
  <si>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미래기업 천장 자동작도 프로그램 정보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</si>
  <si>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</si>
  <si>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</si>
  <si>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</si>
  <si>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</si>
  <si>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</si>
  <si>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</si>
  <si>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</si>
  <si>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</si>
  <si>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</si>
  <si>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</si>
  <si>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</si>
  <si>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</si>
  <si>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</si>
  <si>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</si>
  <si>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</si>
  <si>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</si>
  <si>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</si>
  <si>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</si>
  <si>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</si>
  <si>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</si>
  <si>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</si>
  <si>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</si>
  <si>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</si>
  <si>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</si>
  <si>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승우엘테크</t>
    <phoneticPr fontId="1" type="noConversion"/>
  </si>
  <si>
    <t>15인승</t>
    <phoneticPr fontId="1" type="noConversion"/>
  </si>
  <si>
    <t>일방</t>
  </si>
  <si>
    <t>부전초등학교</t>
    <phoneticPr fontId="1" type="noConversion"/>
  </si>
  <si>
    <t>에이스코리아</t>
  </si>
  <si>
    <t>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</si>
</sst>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5" borderId="14" xfId="0" applyNumberFormat="1" applyFont="1" applyFill="1" applyBorder="1" applyAlignment="1" applyProtection="1">
      <alignment horizontal="center" vertical="center"/>
      <protection locked="0"/>
    </xf>
    <xf numFmtId="14" fontId="10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5" borderId="13" xfId="0" applyNumberFormat="1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  <pageSetUpPr fitToPage="1"/>
  </sheetPr>
  <dimension ref="A1:Y21"/>
  <sheetViews>
    <sheetView tabSelected="1" zoomScaleNormal="100" workbookViewId="0">
      <selection activeCell="N20" sqref="N20"/>
    </sheetView>
  </sheetViews>
  <sheetFormatPr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 x14ac:dyDescent="0.35">
      <c r="A1" s="67" t="s">
        <v>81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</row>
    <row r="2" spans="1:25" ht="34.5" customHeight="1" x14ac:dyDescent="0.3">
      <c r="A2" s="61" t="s">
        <v>32</v>
      </c>
      <c r="B2" s="62"/>
      <c r="C2" s="62"/>
      <c r="D2" s="68" t="s">
        <v>106</v>
      </c>
      <c r="E2" s="68"/>
      <c r="F2" s="68"/>
      <c r="G2" s="68"/>
      <c r="H2" s="68"/>
      <c r="I2" s="68"/>
      <c r="J2" s="68"/>
      <c r="K2" s="68"/>
      <c r="L2" s="68"/>
      <c r="M2" s="62" t="s">
        <v>5</v>
      </c>
      <c r="N2" s="62"/>
      <c r="O2" s="62"/>
      <c r="P2" s="68" t="s">
        <v>55</v>
      </c>
      <c r="Q2" s="68"/>
      <c r="R2" s="68"/>
      <c r="S2" s="68"/>
      <c r="T2" s="68"/>
      <c r="U2" s="73" t="s">
        <v>99</v>
      </c>
      <c r="V2" s="73"/>
      <c r="W2" s="75" t="s">
        <v>108</v>
      </c>
      <c r="X2" s="75"/>
      <c r="Y2" s="76"/>
    </row>
    <row r="3" spans="1:25" ht="34.5" customHeight="1" thickBot="1" x14ac:dyDescent="0.35">
      <c r="A3" s="42" t="s">
        <v>33</v>
      </c>
      <c r="B3" s="43"/>
      <c r="C3" s="43"/>
      <c r="D3" s="69" t="s">
        <v>109</v>
      </c>
      <c r="E3" s="69"/>
      <c r="F3" s="69"/>
      <c r="G3" s="69"/>
      <c r="H3" s="69"/>
      <c r="I3" s="69"/>
      <c r="J3" s="69"/>
      <c r="K3" s="69"/>
      <c r="L3" s="69"/>
      <c r="M3" s="43" t="s">
        <v>6</v>
      </c>
      <c r="N3" s="43"/>
      <c r="O3" s="43"/>
      <c r="P3" s="72">
        <f ca="1">TODAY()</f>
        <v>45343</v>
      </c>
      <c r="Q3" s="72"/>
      <c r="R3" s="72"/>
      <c r="S3" s="72"/>
      <c r="T3" s="72"/>
      <c r="U3" s="74"/>
      <c r="V3" s="74"/>
      <c r="W3" s="72"/>
      <c r="X3" s="72"/>
      <c r="Y3" s="77"/>
    </row>
    <row r="4" spans="1:25" ht="9" customHeight="1" thickBot="1" x14ac:dyDescent="0.3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</row>
    <row r="5" spans="1:25" ht="37.5" customHeight="1" x14ac:dyDescent="0.3">
      <c r="A5" s="63" t="s">
        <v>37</v>
      </c>
      <c r="B5" s="62"/>
      <c r="C5" s="62"/>
      <c r="D5" s="62" t="s">
        <v>31</v>
      </c>
      <c r="E5" s="62"/>
      <c r="F5" s="62"/>
      <c r="G5" s="62" t="s">
        <v>36</v>
      </c>
      <c r="H5" s="62"/>
      <c r="I5" s="62"/>
      <c r="J5" s="70" t="s">
        <v>35</v>
      </c>
      <c r="K5" s="62"/>
      <c r="L5" s="62"/>
      <c r="M5" s="70" t="s">
        <v>38</v>
      </c>
      <c r="N5" s="62"/>
      <c r="O5" s="62"/>
      <c r="P5" s="70" t="s">
        <v>58</v>
      </c>
      <c r="Q5" s="62"/>
      <c r="R5" s="62"/>
      <c r="S5" s="70" t="s">
        <v>59</v>
      </c>
      <c r="T5" s="62"/>
      <c r="U5" s="62"/>
      <c r="V5" s="70" t="s">
        <v>67</v>
      </c>
      <c r="W5" s="70"/>
      <c r="X5" s="70"/>
      <c r="Y5" s="71"/>
    </row>
    <row r="6" spans="1:25" ht="37.5" customHeight="1" x14ac:dyDescent="0.3">
      <c r="A6" s="23"/>
      <c r="B6" s="24"/>
      <c r="C6" s="24"/>
      <c r="D6" s="15" t="s">
        <v>60</v>
      </c>
      <c r="E6" s="15"/>
      <c r="F6" s="15"/>
      <c r="G6" s="15" t="s">
        <v>107</v>
      </c>
      <c r="H6" s="15"/>
      <c r="I6" s="15"/>
      <c r="J6" s="15">
        <v>1</v>
      </c>
      <c r="K6" s="15"/>
      <c r="L6" s="15"/>
      <c r="M6" s="15">
        <v>900</v>
      </c>
      <c r="N6" s="15"/>
      <c r="O6" s="15"/>
      <c r="P6" s="15">
        <v>790</v>
      </c>
      <c r="Q6" s="15"/>
      <c r="R6" s="15"/>
      <c r="S6" s="15">
        <v>1670</v>
      </c>
      <c r="T6" s="15"/>
      <c r="U6" s="15"/>
      <c r="V6" s="15" t="str">
        <f>IF(ISERROR(SEARCH("세화", P8)),"",OP/2-23)</f>
        <v/>
      </c>
      <c r="W6" s="15"/>
      <c r="X6" s="15"/>
      <c r="Y6" s="22"/>
    </row>
    <row r="7" spans="1:25" ht="37.5" customHeight="1" x14ac:dyDescent="0.3">
      <c r="A7" s="23" t="s">
        <v>34</v>
      </c>
      <c r="B7" s="24"/>
      <c r="C7" s="24"/>
      <c r="D7" s="20" t="s">
        <v>57</v>
      </c>
      <c r="E7" s="20"/>
      <c r="F7" s="20"/>
      <c r="G7" s="54"/>
      <c r="H7" s="54"/>
      <c r="I7" s="54"/>
      <c r="J7" s="20"/>
      <c r="K7" s="20"/>
      <c r="L7" s="20"/>
      <c r="M7" s="24" t="s">
        <v>68</v>
      </c>
      <c r="N7" s="24"/>
      <c r="O7" s="24"/>
      <c r="P7" s="20">
        <v>25</v>
      </c>
      <c r="Q7" s="20"/>
      <c r="R7" s="20"/>
      <c r="S7" s="20"/>
      <c r="T7" s="20"/>
      <c r="U7" s="20"/>
      <c r="V7" s="20"/>
      <c r="W7" s="20"/>
      <c r="X7" s="20"/>
      <c r="Y7" s="21"/>
    </row>
    <row r="8" spans="1:25" ht="37.5" customHeight="1" thickBot="1" x14ac:dyDescent="0.35">
      <c r="A8" s="42" t="s">
        <v>69</v>
      </c>
      <c r="B8" s="43"/>
      <c r="C8" s="43"/>
      <c r="D8" s="58">
        <v>12</v>
      </c>
      <c r="E8" s="59"/>
      <c r="F8" s="60"/>
      <c r="G8" s="43" t="s">
        <v>102</v>
      </c>
      <c r="H8" s="43"/>
      <c r="I8" s="43"/>
      <c r="J8" s="55">
        <f>IF(IFERROR(SEARCH("CO",D6),0) &gt; 0, 140, 175)</f>
        <v>140</v>
      </c>
      <c r="K8" s="56"/>
      <c r="L8" s="57"/>
      <c r="M8" s="33" t="s">
        <v>56</v>
      </c>
      <c r="N8" s="34"/>
      <c r="O8" s="35"/>
      <c r="P8" s="36" t="s">
        <v>110</v>
      </c>
      <c r="Q8" s="37"/>
      <c r="R8" s="38"/>
      <c r="S8" s="64" t="s">
        <v>84</v>
      </c>
      <c r="T8" s="64"/>
      <c r="U8" s="64"/>
      <c r="V8" s="39" t="s">
        <v>111</v>
      </c>
      <c r="W8" s="40"/>
      <c r="X8" s="40"/>
      <c r="Y8" s="41"/>
    </row>
    <row r="9" spans="1:25" ht="9.75" customHeight="1" thickBot="1" x14ac:dyDescent="0.3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</row>
    <row r="10" spans="1:25" ht="27.75" customHeight="1" x14ac:dyDescent="0.3">
      <c r="A10" s="16" t="s">
        <v>83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8"/>
    </row>
    <row r="11" spans="1:25" ht="27.75" customHeight="1" x14ac:dyDescent="0.3">
      <c r="A11" s="23" t="s">
        <v>77</v>
      </c>
      <c r="B11" s="24"/>
      <c r="C11" s="24"/>
      <c r="D11" s="24" t="s">
        <v>78</v>
      </c>
      <c r="E11" s="24"/>
      <c r="F11" s="24"/>
      <c r="G11" s="24" t="s">
        <v>79</v>
      </c>
      <c r="H11" s="24"/>
      <c r="I11" s="24"/>
      <c r="J11" s="25" t="s">
        <v>80</v>
      </c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7"/>
    </row>
    <row r="12" spans="1:25" ht="27.75" customHeight="1" thickBot="1" x14ac:dyDescent="0.35">
      <c r="A12" s="31">
        <v>1</v>
      </c>
      <c r="B12" s="32"/>
      <c r="C12" s="32"/>
      <c r="D12" s="32">
        <v>140</v>
      </c>
      <c r="E12" s="32"/>
      <c r="F12" s="32"/>
      <c r="G12" s="32">
        <v>75</v>
      </c>
      <c r="H12" s="32"/>
      <c r="I12" s="32"/>
      <c r="J12" s="28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30"/>
    </row>
    <row r="13" spans="1:25" ht="9.75" customHeight="1" thickBot="1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</row>
    <row r="14" spans="1:25" ht="27.75" customHeight="1" x14ac:dyDescent="0.3">
      <c r="A14" s="16" t="s">
        <v>61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8"/>
    </row>
    <row r="15" spans="1:25" ht="27.75" customHeight="1" x14ac:dyDescent="0.3">
      <c r="A15" s="23" t="s">
        <v>74</v>
      </c>
      <c r="B15" s="24"/>
      <c r="C15" s="24"/>
      <c r="D15" s="24" t="s">
        <v>76</v>
      </c>
      <c r="E15" s="24"/>
      <c r="F15" s="24"/>
      <c r="G15" s="24" t="s">
        <v>75</v>
      </c>
      <c r="H15" s="24"/>
      <c r="I15" s="24"/>
      <c r="J15" s="65" t="s">
        <v>82</v>
      </c>
      <c r="K15" s="65"/>
      <c r="L15" s="50" t="s">
        <v>97</v>
      </c>
      <c r="M15" s="51"/>
      <c r="N15" s="44" t="s">
        <v>98</v>
      </c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6"/>
    </row>
    <row r="16" spans="1:25" ht="27.75" customHeight="1" thickBot="1" x14ac:dyDescent="0.35">
      <c r="A16" s="42">
        <f>SUM(D19:Y19)</f>
        <v>1650</v>
      </c>
      <c r="B16" s="43"/>
      <c r="C16" s="43"/>
      <c r="D16" s="43">
        <f>SUM(D20:Y20)</f>
        <v>1650</v>
      </c>
      <c r="E16" s="43"/>
      <c r="F16" s="43"/>
      <c r="G16" s="43">
        <f>SUM(D21:Y21)</f>
        <v>1550</v>
      </c>
      <c r="H16" s="43"/>
      <c r="I16" s="43"/>
      <c r="J16" s="66">
        <v>2</v>
      </c>
      <c r="K16" s="66"/>
      <c r="L16" s="52">
        <f>VLOOKUP(P8,DATA!$A$42:$B$45,2,FALSE)</f>
        <v>227.5</v>
      </c>
      <c r="M16" s="53"/>
      <c r="N16" s="47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</row>
    <row r="17" spans="1:25" ht="9.9499999999999993" customHeight="1" thickBot="1" x14ac:dyDescent="0.3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ht="34.5" customHeight="1" x14ac:dyDescent="0.3">
      <c r="A18" s="61" t="s">
        <v>70</v>
      </c>
      <c r="B18" s="62"/>
      <c r="C18" s="62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23" t="s">
        <v>71</v>
      </c>
      <c r="B19" s="24"/>
      <c r="C19" s="24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23" t="s">
        <v>72</v>
      </c>
      <c r="B20" s="24"/>
      <c r="C20" s="24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 x14ac:dyDescent="0.35">
      <c r="A21" s="42" t="s">
        <v>73</v>
      </c>
      <c r="B21" s="43"/>
      <c r="C21" s="43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66">
    <mergeCell ref="V5:Y5"/>
    <mergeCell ref="P2:T2"/>
    <mergeCell ref="P3:T3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0:Y10"/>
    <mergeCell ref="A7:C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J11:Y12"/>
    <mergeCell ref="A12:C12"/>
    <mergeCell ref="D12:F12"/>
    <mergeCell ref="G12:I12"/>
    <mergeCell ref="M8:O8"/>
    <mergeCell ref="A9:Y9"/>
    <mergeCell ref="P8:R8"/>
    <mergeCell ref="V8:Y8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DATA!$A$42:$A$47</xm:f>
          </x14:formula1>
          <xm:sqref>P8</xm:sqref>
        </x14:dataValidation>
        <x14:dataValidation type="list" allowBlank="1" showInputMessage="1" showErrorMessage="1">
          <x14:formula1>
            <xm:f>DATA!$A$80:$A$82</xm:f>
          </x14:formula1>
          <xm:sqref>D6:F6</xm:sqref>
        </x14:dataValidation>
        <x14:dataValidation type="list" allowBlank="1" showInputMessage="1" showErrorMessage="1">
          <x14:formula1>
            <xm:f>DATA!$A$84:$A$86</xm:f>
          </x14:formula1>
          <xm:sqref>P7:Y7</xm:sqref>
        </x14:dataValidation>
        <x14:dataValidation type="list" allowBlank="1" showInputMessage="1" showErrorMessage="1">
          <x14:formula1>
            <xm:f>DATA!$A$88:$A$90</xm:f>
          </x14:formula1>
          <xm:sqref>J16:K16</xm:sqref>
        </x14:dataValidation>
        <x14:dataValidation type="list" allowBlank="1" showInputMessage="1" showErrorMessage="1">
          <x14:formula1>
            <xm:f>DATA!$A$29:$A$30</xm:f>
          </x14:formula1>
          <xm:sqref>W2:Y3</xm:sqref>
        </x14:dataValidation>
        <x14:dataValidation type="list" allowBlank="1" showInputMessage="1" showErrorMessage="1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 x14ac:dyDescent="0.3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 x14ac:dyDescent="0.3">
      <c r="E3" s="2" t="s">
        <v>7</v>
      </c>
      <c r="F3" s="1">
        <v>301</v>
      </c>
      <c r="G3" s="1">
        <v>58</v>
      </c>
      <c r="H3" s="1">
        <v>420</v>
      </c>
    </row>
    <row r="4" spans="1:9" x14ac:dyDescent="0.3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 x14ac:dyDescent="0.3">
      <c r="B5" t="s">
        <v>21</v>
      </c>
      <c r="E5" s="2" t="s">
        <v>9</v>
      </c>
      <c r="F5" s="1">
        <v>412</v>
      </c>
      <c r="G5" s="1">
        <v>83</v>
      </c>
      <c r="H5" s="1"/>
    </row>
    <row r="6" spans="1:9" x14ac:dyDescent="0.3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 x14ac:dyDescent="0.3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 x14ac:dyDescent="0.3">
      <c r="E8" s="2" t="s">
        <v>12</v>
      </c>
      <c r="F8" s="1">
        <v>302</v>
      </c>
      <c r="G8" s="1">
        <v>62</v>
      </c>
      <c r="H8" s="1"/>
    </row>
    <row r="9" spans="1:9" x14ac:dyDescent="0.3">
      <c r="E9" s="2" t="s">
        <v>13</v>
      </c>
      <c r="F9" s="1">
        <v>240</v>
      </c>
      <c r="G9" s="1">
        <v>55</v>
      </c>
      <c r="H9" s="1">
        <v>370</v>
      </c>
    </row>
    <row r="10" spans="1:9" x14ac:dyDescent="0.3">
      <c r="E10" s="2" t="s">
        <v>14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15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16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17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18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29</v>
      </c>
      <c r="C17" s="3" t="s">
        <v>30</v>
      </c>
      <c r="E17" s="12" t="s">
        <v>85</v>
      </c>
    </row>
    <row r="18" spans="1:5" x14ac:dyDescent="0.3">
      <c r="B18" s="4"/>
      <c r="C18" s="4"/>
      <c r="E18" s="13" t="s">
        <v>86</v>
      </c>
    </row>
    <row r="19" spans="1:5" x14ac:dyDescent="0.3">
      <c r="A19" s="3" t="str">
        <f>"&lt;1, 11&gt;"</f>
        <v>&lt;1, 11&gt;</v>
      </c>
      <c r="E19" s="13" t="s">
        <v>87</v>
      </c>
    </row>
    <row r="20" spans="1:5" x14ac:dyDescent="0.3">
      <c r="E20" s="13" t="s">
        <v>104</v>
      </c>
    </row>
    <row r="21" spans="1:5" x14ac:dyDescent="0.3">
      <c r="A21" s="3" t="s">
        <v>25</v>
      </c>
      <c r="E21" s="13" t="s">
        <v>88</v>
      </c>
    </row>
    <row r="22" spans="1:5" x14ac:dyDescent="0.3">
      <c r="E22" s="13" t="s">
        <v>94</v>
      </c>
    </row>
    <row r="23" spans="1:5" x14ac:dyDescent="0.3">
      <c r="A23" s="3" t="s">
        <v>26</v>
      </c>
      <c r="E23" s="13" t="s">
        <v>89</v>
      </c>
    </row>
    <row r="24" spans="1:5" x14ac:dyDescent="0.3">
      <c r="E24" s="13" t="s">
        <v>90</v>
      </c>
    </row>
    <row r="25" spans="1:5" x14ac:dyDescent="0.3">
      <c r="A25" s="3" t="s">
        <v>27</v>
      </c>
      <c r="E25" s="13" t="s">
        <v>91</v>
      </c>
    </row>
    <row r="26" spans="1:5" x14ac:dyDescent="0.3">
      <c r="E26" s="13" t="s">
        <v>92</v>
      </c>
    </row>
    <row r="27" spans="1:5" x14ac:dyDescent="0.3">
      <c r="A27" s="3" t="s">
        <v>28</v>
      </c>
      <c r="E27" s="13" t="s">
        <v>103</v>
      </c>
    </row>
    <row r="28" spans="1:5" x14ac:dyDescent="0.3">
      <c r="E28" s="13" t="s">
        <v>93</v>
      </c>
    </row>
    <row r="29" spans="1:5" x14ac:dyDescent="0.3">
      <c r="A29" s="3" t="s">
        <v>101</v>
      </c>
      <c r="E29" s="13" t="s">
        <v>95</v>
      </c>
    </row>
    <row r="30" spans="1:5" x14ac:dyDescent="0.3">
      <c r="A30" s="3" t="s">
        <v>100</v>
      </c>
      <c r="E30" s="13" t="s">
        <v>96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39</v>
      </c>
      <c r="E39" s="14"/>
    </row>
    <row r="40" spans="1:5" x14ac:dyDescent="0.3">
      <c r="A40" s="3" t="s">
        <v>40</v>
      </c>
    </row>
    <row r="42" spans="1:5" x14ac:dyDescent="0.3">
      <c r="A42" s="3" t="s">
        <v>65</v>
      </c>
      <c r="B42">
        <f>32.5+55+20+55+25+65</f>
        <v>252.5</v>
      </c>
    </row>
    <row r="43" spans="1:5" x14ac:dyDescent="0.3">
      <c r="A43" s="3" t="s">
        <v>20</v>
      </c>
      <c r="B43">
        <f>35+50+50+25+65</f>
        <v>225</v>
      </c>
    </row>
    <row r="44" spans="1:5" x14ac:dyDescent="0.3">
      <c r="A44" s="3" t="s">
        <v>66</v>
      </c>
      <c r="B44">
        <f>30+75+75+25+65</f>
        <v>270</v>
      </c>
    </row>
    <row r="45" spans="1:5" x14ac:dyDescent="0.3">
      <c r="A45" s="3" t="s">
        <v>105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41</v>
      </c>
    </row>
    <row r="54" spans="1:1" x14ac:dyDescent="0.3">
      <c r="A54" s="3" t="s">
        <v>51</v>
      </c>
    </row>
    <row r="56" spans="1:1" x14ac:dyDescent="0.3">
      <c r="A56" s="3" t="s">
        <v>42</v>
      </c>
    </row>
    <row r="57" spans="1:1" x14ac:dyDescent="0.3">
      <c r="A57" s="3" t="s">
        <v>52</v>
      </c>
    </row>
    <row r="59" spans="1:1" x14ac:dyDescent="0.3">
      <c r="A59" s="3" t="s">
        <v>43</v>
      </c>
    </row>
    <row r="60" spans="1:1" x14ac:dyDescent="0.3">
      <c r="A60" s="3" t="s">
        <v>44</v>
      </c>
    </row>
    <row r="62" spans="1:1" x14ac:dyDescent="0.3">
      <c r="A62" s="3" t="s">
        <v>43</v>
      </c>
    </row>
    <row r="63" spans="1:1" x14ac:dyDescent="0.3">
      <c r="A63" s="3" t="s">
        <v>44</v>
      </c>
    </row>
    <row r="64" spans="1:1" x14ac:dyDescent="0.3">
      <c r="A64" s="3" t="s">
        <v>45</v>
      </c>
    </row>
    <row r="66" spans="1:2" x14ac:dyDescent="0.3">
      <c r="A66" s="3" t="s">
        <v>46</v>
      </c>
    </row>
    <row r="67" spans="1:2" x14ac:dyDescent="0.3">
      <c r="A67" s="3" t="s">
        <v>47</v>
      </c>
    </row>
    <row r="68" spans="1:2" x14ac:dyDescent="0.3">
      <c r="A68" s="3" t="s">
        <v>48</v>
      </c>
    </row>
    <row r="70" spans="1:2" x14ac:dyDescent="0.3">
      <c r="A70" s="3" t="s">
        <v>49</v>
      </c>
    </row>
    <row r="71" spans="1:2" x14ac:dyDescent="0.3">
      <c r="A71" s="3" t="s">
        <v>50</v>
      </c>
    </row>
    <row r="74" spans="1:2" x14ac:dyDescent="0.3">
      <c r="A74" s="3">
        <v>8</v>
      </c>
      <c r="B74" t="s">
        <v>53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62</v>
      </c>
    </row>
    <row r="81" spans="1:1" x14ac:dyDescent="0.3">
      <c r="A81" s="3" t="s">
        <v>63</v>
      </c>
    </row>
    <row r="82" spans="1:1" x14ac:dyDescent="0.3">
      <c r="A82" s="3" t="s">
        <v>64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oem</cp:lastModifiedBy>
  <cp:lastPrinted>2023-08-30T05:42:53Z</cp:lastPrinted>
  <dcterms:created xsi:type="dcterms:W3CDTF">2020-01-09T06:39:51Z</dcterms:created>
  <dcterms:modified xsi:type="dcterms:W3CDTF">2024-02-21T01:43:24Z</dcterms:modified>
</cp:coreProperties>
</file>