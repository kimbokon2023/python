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F8BBB2FC-155A-49B8-A180-12DADB3A8026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<sst xmlns="http://schemas.openxmlformats.org/spreadsheetml/2006/main" count="130" uniqueCount="116">
  <si>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</si>
  <si>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</si>
  <si>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</si>
  <si>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</si>
  <si>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</si>
  <si>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</si>
  <si>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</si>
  <si>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</si>
  <si>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</si>
  <si>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</si>
  <si>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</si>
  <si>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</si>
  <si>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</si>
  <si>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</si>
  <si>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</si>
  <si>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</si>
  <si>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</si>
  <si>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</si>
  <si>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</si>
  <si>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</si>
  <si>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</si>
  <si>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</si>
  <si>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</si>
  <si>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</si>
  <si>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</si>
  <si>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</si>
  <si>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</si>
  <si>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</si>
  <si>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</si>
  <si>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</si>
  <si>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</si>
  <si>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</si>
  <si>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</si>
  <si>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</si>
  <si>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</si>
  <si>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</si>
  <si>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</si>
  <si>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</si>
  <si>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</si>
  <si>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</si>
  <si>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</si>
  <si>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</si>
  <si>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</si>
  <si>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</si>
  <si>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</si>
  <si>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</si>
  <si>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</si>
  <si>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</si>
  <si>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</si>
  <si>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</si>
  <si>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</si>
  <si>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</si>
  <si>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</si>
  <si>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</si>
  <si>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</si>
  <si>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</si>
  <si>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</si>
  <si>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</si>
  <si>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</si>
  <si>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</si>
  <si>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</si>
  <si>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</si>
  <si>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</si>
  <si>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</si>
  <si>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</si>
  <si>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</si>
  <si>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</si>
  <si>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</si>
  <si>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</si>
  <si>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</si>
  <si>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</si>
  <si>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</si>
  <si>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</si>
  <si>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</si>
  <si>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</si>
  <si>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</si>
  <si>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</si>
  <si>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</si>
  <si>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</si>
  <si>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</si>
  <si>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</si>
  <si>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</si>
  <si>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</si>
  <si>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</si>
  <si>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</si>
  <si>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</si>
  <si>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</si>
  <si>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</si>
  <si>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</si>
  <si>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</si>
  <si>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</si>
  <si>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</si>
  <si>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</si>
  <si>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</si>
  <si>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</si>
  <si>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</si>
  <si>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</si>
  <si>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</si>
  <si>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</si>
  <si>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</si>
  <si>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</si>
  <si>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</si>
  <si>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</si>
  <si>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</si>
  <si>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</si>
  <si>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</si>
  <si>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</si>
  <si>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</si>
  <si>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</si>
  <si>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</si>
  <si>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</si>
  <si>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</si>
  <si>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</si>
  <si>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</si>
  <si>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동양엘레베이터</t>
    <phoneticPr fontId="10" type="noConversion"/>
  </si>
  <si>
    <t>한보프라자 교체공사 5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</si>
</sst>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A13" sqref="A13:Y13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31" t="s">
        <v>76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3">
      <c r="A2" s="32" t="s">
        <v>82</v>
      </c>
      <c r="B2" s="24"/>
      <c r="C2" s="24"/>
      <c r="D2" s="34" t="s">
        <v>114</v>
      </c>
      <c r="E2" s="34"/>
      <c r="F2" s="34"/>
      <c r="G2" s="34"/>
      <c r="H2" s="34"/>
      <c r="I2" s="34"/>
      <c r="J2" s="34"/>
      <c r="K2" s="34"/>
      <c r="L2" s="34"/>
      <c r="M2" s="24" t="s">
        <v>18</v>
      </c>
      <c r="N2" s="24"/>
      <c r="O2" s="24"/>
      <c r="P2" s="40" t="s">
        <v>15</v>
      </c>
      <c r="Q2" s="41"/>
      <c r="R2" s="17"/>
      <c r="S2" s="40"/>
      <c r="T2" s="41"/>
      <c r="U2" s="22" t="s">
        <v>106</v>
      </c>
      <c r="V2" s="22"/>
      <c r="W2" s="26" t="s">
        <v>27</v>
      </c>
      <c r="X2" s="26"/>
      <c r="Y2" s="27"/>
    </row>
    <row r="3" spans="1:25" ht="34.5" customHeight="1" x14ac:dyDescent="0.3">
      <c r="A3" s="33" t="s">
        <v>78</v>
      </c>
      <c r="B3" s="30"/>
      <c r="C3" s="30"/>
      <c r="D3" s="35" t="s">
        <v>115</v>
      </c>
      <c r="E3" s="35"/>
      <c r="F3" s="35"/>
      <c r="G3" s="35"/>
      <c r="H3" s="35"/>
      <c r="I3" s="35"/>
      <c r="J3" s="35"/>
      <c r="K3" s="35"/>
      <c r="L3" s="35"/>
      <c r="M3" s="30" t="s">
        <v>0</v>
      </c>
      <c r="N3" s="30"/>
      <c r="O3" s="30"/>
      <c r="P3" s="36">
        <f ca="1">TODAY()</f>
        <v>45476</v>
      </c>
      <c r="Q3" s="37"/>
      <c r="R3" s="16" t="s">
        <v>46</v>
      </c>
      <c r="S3" s="38">
        <v>45481</v>
      </c>
      <c r="T3" s="39"/>
      <c r="U3" s="23"/>
      <c r="V3" s="23"/>
      <c r="W3" s="28"/>
      <c r="X3" s="28"/>
      <c r="Y3" s="29"/>
    </row>
    <row r="4" spans="1:25" ht="9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3">
      <c r="A5" s="44" t="s">
        <v>52</v>
      </c>
      <c r="B5" s="24"/>
      <c r="C5" s="24"/>
      <c r="D5" s="24" t="s">
        <v>77</v>
      </c>
      <c r="E5" s="24"/>
      <c r="F5" s="24"/>
      <c r="G5" s="24" t="s">
        <v>5</v>
      </c>
      <c r="H5" s="24"/>
      <c r="I5" s="24"/>
      <c r="J5" s="20" t="s">
        <v>83</v>
      </c>
      <c r="K5" s="24"/>
      <c r="L5" s="24"/>
      <c r="M5" s="20" t="s">
        <v>48</v>
      </c>
      <c r="N5" s="24"/>
      <c r="O5" s="24"/>
      <c r="P5" s="20" t="s">
        <v>17</v>
      </c>
      <c r="Q5" s="24"/>
      <c r="R5" s="24"/>
      <c r="S5" s="20" t="s">
        <v>16</v>
      </c>
      <c r="T5" s="24"/>
      <c r="U5" s="24"/>
      <c r="V5" s="20" t="s">
        <v>60</v>
      </c>
      <c r="W5" s="20"/>
      <c r="X5" s="20"/>
      <c r="Y5" s="21"/>
    </row>
    <row r="6" spans="1:25" ht="37.5" customHeight="1" x14ac:dyDescent="0.3">
      <c r="A6" s="45"/>
      <c r="B6" s="43"/>
      <c r="C6" s="43"/>
      <c r="D6" s="42" t="s">
        <v>8</v>
      </c>
      <c r="E6" s="42"/>
      <c r="F6" s="42"/>
      <c r="G6" s="42" t="s">
        <v>104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IF(ISERROR(SEARCH("세화",P8)),"",OP/2-23)</f>
        <v/>
      </c>
      <c r="W6" s="42"/>
      <c r="X6" s="42"/>
      <c r="Y6" s="68"/>
    </row>
    <row r="7" spans="1:25" ht="37.5" customHeight="1" x14ac:dyDescent="0.3">
      <c r="A7" s="45" t="s">
        <v>49</v>
      </c>
      <c r="B7" s="43"/>
      <c r="C7" s="43"/>
      <c r="D7" s="53" t="s">
        <v>93</v>
      </c>
      <c r="E7" s="53"/>
      <c r="F7" s="53"/>
      <c r="G7" s="43" t="s">
        <v>64</v>
      </c>
      <c r="H7" s="43"/>
      <c r="I7" s="43"/>
      <c r="J7" s="15">
        <v>25</v>
      </c>
      <c r="K7" s="54" t="s">
        <v>97</v>
      </c>
      <c r="L7" s="54"/>
      <c r="M7" s="15" t="s">
        <v>29</v>
      </c>
      <c r="N7" s="43" t="s">
        <v>107</v>
      </c>
      <c r="O7" s="43"/>
      <c r="P7" s="15"/>
      <c r="Q7" s="43" t="s">
        <v>102</v>
      </c>
      <c r="R7" s="43"/>
      <c r="S7" s="18">
        <v>700</v>
      </c>
      <c r="T7" s="43" t="s">
        <v>105</v>
      </c>
      <c r="U7" s="43"/>
      <c r="V7" s="18">
        <v>500</v>
      </c>
      <c r="W7" s="43"/>
      <c r="X7" s="43"/>
      <c r="Y7" s="19"/>
    </row>
    <row r="8" spans="1:25" ht="37.5" customHeight="1" x14ac:dyDescent="0.3">
      <c r="A8" s="33" t="s">
        <v>53</v>
      </c>
      <c r="B8" s="30"/>
      <c r="C8" s="30"/>
      <c r="D8" s="35">
        <v>12</v>
      </c>
      <c r="E8" s="35"/>
      <c r="F8" s="35"/>
      <c r="G8" s="30" t="s">
        <v>61</v>
      </c>
      <c r="H8" s="30"/>
      <c r="I8" s="30"/>
      <c r="J8" s="52">
        <f>IF(IFERROR(SEARCH("CO",D6),0)&gt;0,140,175)</f>
        <v>140</v>
      </c>
      <c r="K8" s="52"/>
      <c r="L8" s="52"/>
      <c r="M8" s="30" t="s">
        <v>85</v>
      </c>
      <c r="N8" s="30"/>
      <c r="O8" s="30"/>
      <c r="P8" s="28" t="s">
        <v>80</v>
      </c>
      <c r="Q8" s="28"/>
      <c r="R8" s="28"/>
      <c r="S8" s="46" t="s">
        <v>100</v>
      </c>
      <c r="T8" s="46"/>
      <c r="U8" s="46"/>
      <c r="V8" s="71" t="s">
        <v>44</v>
      </c>
      <c r="W8" s="71"/>
      <c r="X8" s="71"/>
      <c r="Y8" s="72"/>
    </row>
    <row r="9" spans="1:25" ht="9.75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3">
      <c r="A10" s="49" t="s">
        <v>111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  <c r="M10" s="49" t="s">
        <v>55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</row>
    <row r="11" spans="1:25" ht="27.75" customHeight="1" x14ac:dyDescent="0.3">
      <c r="A11" s="45" t="s">
        <v>22</v>
      </c>
      <c r="B11" s="43"/>
      <c r="C11" s="43"/>
      <c r="D11" s="43" t="s">
        <v>103</v>
      </c>
      <c r="E11" s="43"/>
      <c r="F11" s="43"/>
      <c r="G11" s="43" t="s">
        <v>109</v>
      </c>
      <c r="H11" s="43"/>
      <c r="I11" s="43"/>
      <c r="J11" s="73" t="s">
        <v>63</v>
      </c>
      <c r="K11" s="74"/>
      <c r="L11" s="75"/>
      <c r="M11" s="79" t="s">
        <v>113</v>
      </c>
      <c r="N11" s="80"/>
      <c r="O11" s="80"/>
      <c r="P11" s="81"/>
      <c r="Q11" s="81"/>
      <c r="R11" s="81"/>
      <c r="S11" s="80" t="s">
        <v>54</v>
      </c>
      <c r="T11" s="80"/>
      <c r="U11" s="80"/>
      <c r="V11" s="81"/>
      <c r="W11" s="81"/>
      <c r="X11" s="81"/>
      <c r="Y11" s="82"/>
    </row>
    <row r="12" spans="1:25" ht="27.75" customHeight="1" x14ac:dyDescent="0.3">
      <c r="A12" s="69">
        <v>1</v>
      </c>
      <c r="B12" s="70"/>
      <c r="C12" s="70"/>
      <c r="D12" s="70">
        <v>140</v>
      </c>
      <c r="E12" s="70"/>
      <c r="F12" s="70"/>
      <c r="G12" s="70">
        <v>75</v>
      </c>
      <c r="H12" s="70"/>
      <c r="I12" s="70"/>
      <c r="J12" s="76"/>
      <c r="K12" s="77"/>
      <c r="L12" s="78"/>
      <c r="M12" s="83" t="s">
        <v>66</v>
      </c>
      <c r="N12" s="48"/>
      <c r="O12" s="48"/>
      <c r="P12" s="84" t="s">
        <v>33</v>
      </c>
      <c r="Q12" s="84"/>
      <c r="R12" s="85">
        <v>1950</v>
      </c>
      <c r="S12" s="85"/>
      <c r="T12" s="84" t="s">
        <v>38</v>
      </c>
      <c r="U12" s="84"/>
      <c r="V12" s="85">
        <v>1580</v>
      </c>
      <c r="W12" s="85"/>
      <c r="X12" s="85"/>
      <c r="Y12" s="86"/>
    </row>
    <row r="13" spans="1:25" ht="9.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3">
      <c r="A14" s="65" t="s">
        <v>67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7"/>
    </row>
    <row r="15" spans="1:25" ht="27.75" customHeight="1" x14ac:dyDescent="0.3">
      <c r="A15" s="45" t="s">
        <v>101</v>
      </c>
      <c r="B15" s="43"/>
      <c r="C15" s="43"/>
      <c r="D15" s="43" t="s">
        <v>99</v>
      </c>
      <c r="E15" s="43"/>
      <c r="F15" s="43"/>
      <c r="G15" s="43" t="s">
        <v>38</v>
      </c>
      <c r="H15" s="43"/>
      <c r="I15" s="43"/>
      <c r="J15" s="47" t="s">
        <v>108</v>
      </c>
      <c r="K15" s="47"/>
      <c r="L15" s="61" t="s">
        <v>112</v>
      </c>
      <c r="M15" s="62"/>
      <c r="N15" s="55" t="s">
        <v>56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3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499999999999993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3">
      <c r="A18" s="32" t="s">
        <v>96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5" t="s">
        <v>36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5" t="s">
        <v>32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33" t="s">
        <v>20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51</v>
      </c>
      <c r="C17" s="3" t="s">
        <v>10</v>
      </c>
      <c r="E17" s="12" t="s">
        <v>23</v>
      </c>
    </row>
    <row r="18" spans="1:5" x14ac:dyDescent="0.3">
      <c r="B18" s="4"/>
      <c r="C18" s="4"/>
      <c r="E18" s="13" t="s">
        <v>24</v>
      </c>
    </row>
    <row r="19" spans="1:5" x14ac:dyDescent="0.3">
      <c r="A19" s="3" t="str">
        <f>"&lt;1, 11&gt;"</f>
        <v>&lt;1, 11&gt;</v>
      </c>
      <c r="E19" s="13" t="s">
        <v>34</v>
      </c>
    </row>
    <row r="20" spans="1:5" x14ac:dyDescent="0.3">
      <c r="E20" s="13" t="s">
        <v>98</v>
      </c>
    </row>
    <row r="21" spans="1:5" x14ac:dyDescent="0.3">
      <c r="A21" s="3" t="s">
        <v>47</v>
      </c>
      <c r="E21" s="13" t="s">
        <v>40</v>
      </c>
    </row>
    <row r="22" spans="1:5" x14ac:dyDescent="0.3">
      <c r="E22" s="13" t="s">
        <v>39</v>
      </c>
    </row>
    <row r="23" spans="1:5" x14ac:dyDescent="0.3">
      <c r="A23" s="3" t="s">
        <v>79</v>
      </c>
      <c r="E23" s="13" t="s">
        <v>37</v>
      </c>
    </row>
    <row r="24" spans="1:5" x14ac:dyDescent="0.3">
      <c r="E24" s="13" t="s">
        <v>44</v>
      </c>
    </row>
    <row r="25" spans="1:5" x14ac:dyDescent="0.3">
      <c r="A25" s="3" t="s">
        <v>95</v>
      </c>
      <c r="E25" s="13" t="s">
        <v>45</v>
      </c>
    </row>
    <row r="26" spans="1:5" x14ac:dyDescent="0.3">
      <c r="E26" s="13" t="s">
        <v>42</v>
      </c>
    </row>
    <row r="27" spans="1:5" x14ac:dyDescent="0.3">
      <c r="A27" s="3" t="s">
        <v>14</v>
      </c>
      <c r="E27" s="13" t="s">
        <v>31</v>
      </c>
    </row>
    <row r="28" spans="1:5" x14ac:dyDescent="0.3">
      <c r="E28" s="13" t="s">
        <v>41</v>
      </c>
    </row>
    <row r="29" spans="1:5" x14ac:dyDescent="0.3">
      <c r="A29" s="3" t="s">
        <v>27</v>
      </c>
      <c r="E29" s="13" t="s">
        <v>30</v>
      </c>
    </row>
    <row r="30" spans="1:5" x14ac:dyDescent="0.3">
      <c r="A30" s="3" t="s">
        <v>26</v>
      </c>
      <c r="E30" s="13" t="s">
        <v>25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110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2024-07-03T04:29:13Z</dcterms:modified>
  <cp:version>1100.0100.01</cp:version>
</cp:coreProperties>
</file>