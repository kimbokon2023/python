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서울 종로구 인산빌딩 SO HL  멍텅구리 김상훈소장\"/>
    </mc:Choice>
  </mc:AlternateContent>
  <xr:revisionPtr revIDLastSave="0" documentId="13_ncr:1_{F376B018-45CD-4502-A1D0-DA362DC6AA6F}" xr6:coauthVersionLast="47" xr6:coauthVersionMax="47" xr10:uidLastSave="{00000000-0000-0000-0000-000000000000}"/>
  <bookViews>
    <workbookView xWindow="-120" yWindow="-120" windowWidth="29040" windowHeight="15840" tabRatio="947" activeTab="12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5" i="22" l="1"/>
  <c r="O15" i="22"/>
  <c r="O14" i="22"/>
  <c r="N14" i="22"/>
  <c r="P15" i="22"/>
  <c r="Q15" i="22"/>
  <c r="Q14" i="22"/>
  <c r="P14" i="22"/>
  <c r="A8" i="22"/>
  <c r="B8" i="22"/>
  <c r="C8" i="22"/>
  <c r="D8" i="22"/>
  <c r="E8" i="22"/>
  <c r="T8" i="22"/>
  <c r="U8" i="22"/>
  <c r="AZ8" i="22" s="1"/>
  <c r="V8" i="22"/>
  <c r="BB8" i="22" s="1"/>
  <c r="W8" i="22"/>
  <c r="Z8" i="22"/>
  <c r="AA8" i="22"/>
  <c r="AB8" i="22"/>
  <c r="AC8" i="22"/>
  <c r="AD8" i="22"/>
  <c r="AE8" i="22"/>
  <c r="AF8" i="22" s="1"/>
  <c r="AJ8" i="22"/>
  <c r="AK8" i="22"/>
  <c r="AL8" i="22"/>
  <c r="AM8" i="22"/>
  <c r="AN8" i="22"/>
  <c r="AO8" i="22"/>
  <c r="AP8" i="22"/>
  <c r="BF8" i="22"/>
  <c r="A9" i="22"/>
  <c r="B9" i="22"/>
  <c r="C9" i="22"/>
  <c r="D9" i="22"/>
  <c r="E9" i="22"/>
  <c r="T9" i="22"/>
  <c r="U9" i="22"/>
  <c r="AZ9" i="22" s="1"/>
  <c r="V9" i="22"/>
  <c r="BB9" i="22" s="1"/>
  <c r="W9" i="22"/>
  <c r="Z9" i="22"/>
  <c r="AA9" i="22"/>
  <c r="AB9" i="22"/>
  <c r="AC9" i="22"/>
  <c r="AD9" i="22"/>
  <c r="AE9" i="22"/>
  <c r="AF9" i="22" s="1"/>
  <c r="AJ9" i="22"/>
  <c r="AK9" i="22"/>
  <c r="AL9" i="22"/>
  <c r="AM9" i="22"/>
  <c r="AN9" i="22"/>
  <c r="AO9" i="22"/>
  <c r="AP9" i="22"/>
  <c r="BF9" i="22"/>
  <c r="A10" i="22"/>
  <c r="B10" i="22"/>
  <c r="C10" i="22"/>
  <c r="D10" i="22"/>
  <c r="E10" i="22"/>
  <c r="T10" i="22"/>
  <c r="U10" i="22"/>
  <c r="V10" i="22"/>
  <c r="W10" i="22"/>
  <c r="Z10" i="22"/>
  <c r="AA10" i="22"/>
  <c r="AB10" i="22"/>
  <c r="AC10" i="22"/>
  <c r="AD10" i="22" s="1"/>
  <c r="AE10" i="22"/>
  <c r="AF10" i="22" s="1"/>
  <c r="AJ10" i="22"/>
  <c r="AK10" i="22"/>
  <c r="AL10" i="22"/>
  <c r="AM10" i="22"/>
  <c r="AN10" i="22"/>
  <c r="AO10" i="22"/>
  <c r="AP10" i="22"/>
  <c r="BB10" i="22"/>
  <c r="BF10" i="22"/>
  <c r="A11" i="22"/>
  <c r="B11" i="22"/>
  <c r="C11" i="22"/>
  <c r="D11" i="22"/>
  <c r="E11" i="22"/>
  <c r="T11" i="22"/>
  <c r="U11" i="22"/>
  <c r="V11" i="22"/>
  <c r="BB11" i="22" s="1"/>
  <c r="W11" i="22"/>
  <c r="Z11" i="22"/>
  <c r="AA11" i="22"/>
  <c r="AB11" i="22"/>
  <c r="AC11" i="22"/>
  <c r="AD11" i="22"/>
  <c r="AE11" i="22"/>
  <c r="AF11" i="22" s="1"/>
  <c r="AJ11" i="22"/>
  <c r="AK11" i="22"/>
  <c r="AL11" i="22"/>
  <c r="AM11" i="22"/>
  <c r="AN11" i="22"/>
  <c r="AO11" i="22"/>
  <c r="AP11" i="22"/>
  <c r="S11" i="22" s="1"/>
  <c r="Q11" i="22" s="1"/>
  <c r="BF11" i="22"/>
  <c r="A12" i="22"/>
  <c r="B12" i="22"/>
  <c r="C12" i="22"/>
  <c r="D12" i="22"/>
  <c r="E12" i="22"/>
  <c r="T12" i="22"/>
  <c r="U12" i="22"/>
  <c r="V12" i="22"/>
  <c r="W12" i="22"/>
  <c r="Z12" i="22"/>
  <c r="AA12" i="22"/>
  <c r="AB12" i="22"/>
  <c r="AC12" i="22"/>
  <c r="AD12" i="22" s="1"/>
  <c r="AE12" i="22"/>
  <c r="AF12" i="22" s="1"/>
  <c r="AJ12" i="22"/>
  <c r="AK12" i="22"/>
  <c r="AL12" i="22"/>
  <c r="AM12" i="22"/>
  <c r="AN12" i="22"/>
  <c r="AO12" i="22"/>
  <c r="R12" i="22" s="1"/>
  <c r="P12" i="22" s="1"/>
  <c r="N12" i="22" s="1"/>
  <c r="AP12" i="22"/>
  <c r="AZ12" i="22"/>
  <c r="BF12" i="22"/>
  <c r="A13" i="22"/>
  <c r="B13" i="22"/>
  <c r="C13" i="22"/>
  <c r="D13" i="22"/>
  <c r="E13" i="22"/>
  <c r="R13" i="22"/>
  <c r="T13" i="22"/>
  <c r="AZ13" i="22" s="1"/>
  <c r="U13" i="22"/>
  <c r="V13" i="22"/>
  <c r="W13" i="22"/>
  <c r="Z13" i="22"/>
  <c r="AA13" i="22"/>
  <c r="AB13" i="22"/>
  <c r="AC13" i="22"/>
  <c r="BE13" i="22" s="1"/>
  <c r="AE13" i="22"/>
  <c r="AF13" i="22"/>
  <c r="AJ13" i="22"/>
  <c r="AK13" i="22"/>
  <c r="AL13" i="22"/>
  <c r="AM13" i="22"/>
  <c r="AN13" i="22"/>
  <c r="AO13" i="22"/>
  <c r="Y13" i="22" s="1"/>
  <c r="AP13" i="22"/>
  <c r="BF13" i="22"/>
  <c r="A14" i="22"/>
  <c r="B14" i="22"/>
  <c r="C14" i="22"/>
  <c r="D14" i="22"/>
  <c r="E14" i="22"/>
  <c r="R14" i="22"/>
  <c r="S14" i="22"/>
  <c r="T14" i="22"/>
  <c r="U14" i="22"/>
  <c r="AZ14" i="22" s="1"/>
  <c r="V14" i="22"/>
  <c r="BB14" i="22" s="1"/>
  <c r="W14" i="22"/>
  <c r="X14" i="22"/>
  <c r="Y14" i="22"/>
  <c r="BD14" i="22" s="1"/>
  <c r="Z14" i="22"/>
  <c r="AA14" i="22"/>
  <c r="AB14" i="22"/>
  <c r="AC14" i="22"/>
  <c r="AD14" i="22" s="1"/>
  <c r="AE14" i="22"/>
  <c r="AF14" i="22" s="1"/>
  <c r="AJ14" i="22"/>
  <c r="AK14" i="22"/>
  <c r="AL14" i="22"/>
  <c r="AM14" i="22"/>
  <c r="AN14" i="22"/>
  <c r="AO14" i="22"/>
  <c r="AP14" i="22"/>
  <c r="BF14" i="22"/>
  <c r="A15" i="22"/>
  <c r="B15" i="22"/>
  <c r="C15" i="22"/>
  <c r="D15" i="22"/>
  <c r="E15" i="22"/>
  <c r="R15" i="22"/>
  <c r="S15" i="22"/>
  <c r="T15" i="22"/>
  <c r="AZ15" i="22" s="1"/>
  <c r="U15" i="22"/>
  <c r="V15" i="22"/>
  <c r="W15" i="22"/>
  <c r="X15" i="22"/>
  <c r="Y15" i="22"/>
  <c r="Z15" i="22"/>
  <c r="AA15" i="22"/>
  <c r="AB15" i="22"/>
  <c r="AC15" i="22"/>
  <c r="AD15" i="22"/>
  <c r="AE15" i="22"/>
  <c r="AF15" i="22"/>
  <c r="AJ15" i="22"/>
  <c r="AK15" i="22"/>
  <c r="AL15" i="22"/>
  <c r="AM15" i="22"/>
  <c r="AN15" i="22"/>
  <c r="AO15" i="22"/>
  <c r="AP15" i="22"/>
  <c r="AW15" i="22"/>
  <c r="BD15" i="22"/>
  <c r="BF15" i="22"/>
  <c r="A16" i="22"/>
  <c r="B16" i="22"/>
  <c r="C16" i="22"/>
  <c r="D16" i="22"/>
  <c r="E16" i="22"/>
  <c r="S16" i="22"/>
  <c r="Q16" i="22" s="1"/>
  <c r="O16" i="22" s="1"/>
  <c r="T16" i="22"/>
  <c r="U16" i="22"/>
  <c r="V16" i="22"/>
  <c r="BB16" i="22" s="1"/>
  <c r="W16" i="22"/>
  <c r="Z16" i="22"/>
  <c r="AA16" i="22"/>
  <c r="AB16" i="22"/>
  <c r="AC16" i="22"/>
  <c r="AD16" i="22" s="1"/>
  <c r="AE16" i="22"/>
  <c r="AF16" i="22" s="1"/>
  <c r="AJ16" i="22"/>
  <c r="AK16" i="22"/>
  <c r="AL16" i="22"/>
  <c r="AM16" i="22"/>
  <c r="AN16" i="22"/>
  <c r="AO16" i="22"/>
  <c r="AP16" i="22"/>
  <c r="AZ16" i="22"/>
  <c r="BF16" i="22"/>
  <c r="BE15" i="22" l="1"/>
  <c r="H15" i="22" s="1"/>
  <c r="AD13" i="22"/>
  <c r="AZ11" i="22"/>
  <c r="AZ10" i="22"/>
  <c r="BB15" i="22"/>
  <c r="BB12" i="22"/>
  <c r="BE12" i="22"/>
  <c r="J12" i="22" s="1"/>
  <c r="BB13" i="22"/>
  <c r="BE11" i="22"/>
  <c r="F11" i="22" s="1"/>
  <c r="S12" i="22"/>
  <c r="Q12" i="22" s="1"/>
  <c r="O12" i="22" s="1"/>
  <c r="J15" i="22"/>
  <c r="BE14" i="22"/>
  <c r="K14" i="22" s="1"/>
  <c r="J13" i="22"/>
  <c r="BD13" i="22"/>
  <c r="X13" i="22"/>
  <c r="O11" i="22"/>
  <c r="G11" i="22"/>
  <c r="K11" i="22"/>
  <c r="H11" i="22"/>
  <c r="M15" i="22"/>
  <c r="AW14" i="22"/>
  <c r="BE16" i="22"/>
  <c r="H16" i="22" s="1"/>
  <c r="S13" i="22"/>
  <c r="K13" i="22"/>
  <c r="BE8" i="22"/>
  <c r="J8" i="22" s="1"/>
  <c r="F15" i="22"/>
  <c r="AR15" i="22" s="1"/>
  <c r="P13" i="22"/>
  <c r="N13" i="22" s="1"/>
  <c r="H13" i="22"/>
  <c r="Y12" i="22"/>
  <c r="R11" i="22"/>
  <c r="S10" i="22"/>
  <c r="G15" i="22"/>
  <c r="I13" i="22"/>
  <c r="F14" i="22"/>
  <c r="G13" i="22"/>
  <c r="Y11" i="22"/>
  <c r="R10" i="22"/>
  <c r="S9" i="22"/>
  <c r="F13" i="22"/>
  <c r="AR13" i="22" s="1"/>
  <c r="Y10" i="22"/>
  <c r="R9" i="22"/>
  <c r="S8" i="22"/>
  <c r="R16" i="22"/>
  <c r="K15" i="22"/>
  <c r="BA15" i="22" s="1"/>
  <c r="AI15" i="22" s="1"/>
  <c r="BE10" i="22"/>
  <c r="K10" i="22" s="1"/>
  <c r="Y9" i="22"/>
  <c r="R8" i="22"/>
  <c r="Y16" i="22"/>
  <c r="BE9" i="22"/>
  <c r="I9" i="22" s="1"/>
  <c r="Y8" i="22"/>
  <c r="K12" i="22" l="1"/>
  <c r="G14" i="22"/>
  <c r="AS14" i="22" s="1"/>
  <c r="F12" i="22"/>
  <c r="I15" i="22"/>
  <c r="AY15" i="22" s="1"/>
  <c r="AH15" i="22" s="1"/>
  <c r="H14" i="22"/>
  <c r="J16" i="22"/>
  <c r="M16" i="22" s="1"/>
  <c r="BA12" i="22"/>
  <c r="AI12" i="22" s="1"/>
  <c r="G12" i="22"/>
  <c r="AS12" i="22" s="1"/>
  <c r="J9" i="22"/>
  <c r="H12" i="22"/>
  <c r="I12" i="22"/>
  <c r="J14" i="22"/>
  <c r="BA14" i="22" s="1"/>
  <c r="AI14" i="22" s="1"/>
  <c r="M12" i="22"/>
  <c r="H8" i="22"/>
  <c r="BC12" i="22"/>
  <c r="I10" i="22"/>
  <c r="I11" i="22"/>
  <c r="H10" i="22"/>
  <c r="J11" i="22"/>
  <c r="BA11" i="22" s="1"/>
  <c r="AI11" i="22" s="1"/>
  <c r="L13" i="22"/>
  <c r="I14" i="22"/>
  <c r="P9" i="22"/>
  <c r="N9" i="22" s="1"/>
  <c r="AV11" i="22"/>
  <c r="AX13" i="22"/>
  <c r="AS15" i="22"/>
  <c r="AU15" i="22"/>
  <c r="Q8" i="22"/>
  <c r="O8" i="22" s="1"/>
  <c r="AR11" i="22"/>
  <c r="AT11" i="22" s="1"/>
  <c r="AS11" i="22"/>
  <c r="I8" i="22"/>
  <c r="P8" i="22"/>
  <c r="N8" i="22" s="1"/>
  <c r="X9" i="22"/>
  <c r="BD9" i="22"/>
  <c r="F8" i="22"/>
  <c r="G8" i="22"/>
  <c r="BD10" i="22"/>
  <c r="X10" i="22"/>
  <c r="AS13" i="22"/>
  <c r="AU13" i="22" s="1"/>
  <c r="AY13" i="22"/>
  <c r="AH13" i="22" s="1"/>
  <c r="L12" i="22"/>
  <c r="J10" i="22"/>
  <c r="K16" i="22"/>
  <c r="G16" i="22"/>
  <c r="F16" i="22"/>
  <c r="AT13" i="22"/>
  <c r="AV13" i="22"/>
  <c r="AR14" i="22"/>
  <c r="AV14" i="22"/>
  <c r="AU14" i="22"/>
  <c r="M14" i="22"/>
  <c r="BC14" i="22"/>
  <c r="AU12" i="22"/>
  <c r="BD12" i="22"/>
  <c r="X12" i="22"/>
  <c r="M13" i="22"/>
  <c r="BC13" i="22"/>
  <c r="L11" i="22"/>
  <c r="I16" i="22"/>
  <c r="BD8" i="22"/>
  <c r="X8" i="22"/>
  <c r="AT15" i="22"/>
  <c r="AV15" i="22"/>
  <c r="P16" i="22"/>
  <c r="N16" i="22" s="1"/>
  <c r="Q13" i="22"/>
  <c r="O13" i="22" s="1"/>
  <c r="AW13" i="22" s="1"/>
  <c r="BC11" i="22"/>
  <c r="AR12" i="22"/>
  <c r="AT12" i="22" s="1"/>
  <c r="AV12" i="22"/>
  <c r="P10" i="22"/>
  <c r="N10" i="22" s="1"/>
  <c r="AY10" i="22"/>
  <c r="AH10" i="22" s="1"/>
  <c r="BD11" i="22"/>
  <c r="X11" i="22"/>
  <c r="G10" i="22"/>
  <c r="F10" i="22"/>
  <c r="BC10" i="22" s="1"/>
  <c r="L15" i="22"/>
  <c r="Q10" i="22"/>
  <c r="O10" i="22" s="1"/>
  <c r="H9" i="22"/>
  <c r="G9" i="22"/>
  <c r="F9" i="22"/>
  <c r="K9" i="22"/>
  <c r="BD16" i="22"/>
  <c r="X16" i="22"/>
  <c r="K8" i="22"/>
  <c r="Q9" i="22"/>
  <c r="O9" i="22" s="1"/>
  <c r="P11" i="22"/>
  <c r="N11" i="22" s="1"/>
  <c r="AY14" i="22"/>
  <c r="AH14" i="22" s="1"/>
  <c r="BC15" i="22"/>
  <c r="AX15" i="22"/>
  <c r="AG15" i="22" s="1"/>
  <c r="BC8" i="22" l="1"/>
  <c r="AY12" i="22"/>
  <c r="AH12" i="22" s="1"/>
  <c r="M10" i="22"/>
  <c r="BA16" i="22"/>
  <c r="AI16" i="22" s="1"/>
  <c r="M11" i="22"/>
  <c r="AT14" i="22"/>
  <c r="AX14" i="22"/>
  <c r="AG14" i="22" s="1"/>
  <c r="M8" i="22"/>
  <c r="AU11" i="22"/>
  <c r="AG13" i="22"/>
  <c r="L14" i="22"/>
  <c r="BA9" i="22"/>
  <c r="AI9" i="22" s="1"/>
  <c r="AY16" i="22"/>
  <c r="AH16" i="22" s="1"/>
  <c r="AS16" i="22"/>
  <c r="AU16" i="22" s="1"/>
  <c r="AV10" i="22"/>
  <c r="AR10" i="22"/>
  <c r="AT10" i="22" s="1"/>
  <c r="AS8" i="22"/>
  <c r="AU8" i="22" s="1"/>
  <c r="AY11" i="22"/>
  <c r="AH11" i="22" s="1"/>
  <c r="AV9" i="22"/>
  <c r="AR9" i="22"/>
  <c r="AT9" i="22" s="1"/>
  <c r="L10" i="22"/>
  <c r="AX12" i="22"/>
  <c r="AW12" i="22"/>
  <c r="AV8" i="22"/>
  <c r="AR8" i="22"/>
  <c r="AT8" i="22" s="1"/>
  <c r="AY9" i="22"/>
  <c r="AH9" i="22" s="1"/>
  <c r="AV16" i="22"/>
  <c r="AR16" i="22"/>
  <c r="AT16" i="22" s="1"/>
  <c r="BA13" i="22"/>
  <c r="AI13" i="22" s="1"/>
  <c r="AS9" i="22"/>
  <c r="AU9" i="22" s="1"/>
  <c r="L8" i="22"/>
  <c r="BA10" i="22"/>
  <c r="AI10" i="22" s="1"/>
  <c r="AX10" i="22"/>
  <c r="AW10" i="22"/>
  <c r="AG10" i="22" s="1"/>
  <c r="AW11" i="22"/>
  <c r="AX11" i="22"/>
  <c r="AX16" i="22"/>
  <c r="AW16" i="22"/>
  <c r="AX8" i="22"/>
  <c r="AW8" i="22"/>
  <c r="L16" i="22"/>
  <c r="AY8" i="22"/>
  <c r="AH8" i="22" s="1"/>
  <c r="AS10" i="22"/>
  <c r="AU10" i="22" s="1"/>
  <c r="L9" i="22"/>
  <c r="M9" i="22"/>
  <c r="BC9" i="22"/>
  <c r="AX9" i="22"/>
  <c r="AW9" i="22"/>
  <c r="BA8" i="22"/>
  <c r="AI8" i="22" s="1"/>
  <c r="BC16" i="22"/>
  <c r="AG9" i="22" l="1"/>
  <c r="AG16" i="22"/>
  <c r="AG12" i="22"/>
  <c r="AG11" i="22"/>
  <c r="AG8" i="22"/>
  <c r="B14" i="11" l="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C7" i="26" l="1"/>
  <c r="E7" i="26"/>
  <c r="AF4" i="26"/>
  <c r="AJ4" i="24"/>
  <c r="AE4" i="22"/>
  <c r="AI4" i="19"/>
  <c r="AA4" i="10"/>
  <c r="AE3" i="8"/>
  <c r="AJ7" i="32" l="1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S7" i="22" s="1"/>
  <c r="Q7" i="22" s="1"/>
  <c r="AO7" i="22"/>
  <c r="R7" i="22" s="1"/>
  <c r="P7" i="22" s="1"/>
  <c r="W7" i="22"/>
  <c r="V7" i="22"/>
  <c r="U7" i="22"/>
  <c r="T7" i="22"/>
  <c r="E7" i="22"/>
  <c r="D7" i="22"/>
  <c r="C7" i="22"/>
  <c r="AE7" i="22"/>
  <c r="AF7" i="22" s="1"/>
  <c r="AC7" i="22"/>
  <c r="AD7" i="22" s="1"/>
  <c r="E7" i="8"/>
  <c r="Y7" i="22" l="1"/>
  <c r="X7" i="22" s="1"/>
  <c r="AI7" i="32"/>
  <c r="AE4" i="32"/>
  <c r="AD7" i="28"/>
  <c r="AA4" i="28"/>
  <c r="AH7" i="32"/>
  <c r="AE7" i="26"/>
  <c r="AK7" i="32"/>
  <c r="C7" i="19"/>
  <c r="D7" i="24"/>
  <c r="AS7" i="32" l="1"/>
  <c r="T7" i="32" s="1"/>
  <c r="AR7" i="32"/>
  <c r="S7" i="32" l="1"/>
  <c r="Q7" i="32" s="1"/>
  <c r="AD7" i="32"/>
  <c r="AC7" i="32" s="1"/>
  <c r="R7" i="32"/>
  <c r="AQ7" i="26"/>
  <c r="U7" i="26" s="1"/>
  <c r="S7" i="26" s="1"/>
  <c r="AP7" i="26"/>
  <c r="AL7" i="10" l="1"/>
  <c r="AK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D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10" i="14"/>
  <c r="B10" i="14"/>
  <c r="D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17" i="14"/>
  <c r="B17" i="14"/>
  <c r="D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18" i="14"/>
  <c r="B18" i="14"/>
  <c r="D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19" i="14"/>
  <c r="B19" i="14"/>
  <c r="D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20" i="14"/>
  <c r="B20" i="14"/>
  <c r="D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21" i="14"/>
  <c r="B21" i="14"/>
  <c r="D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22" i="14"/>
  <c r="B22" i="14"/>
  <c r="D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23" i="14"/>
  <c r="B23" i="14"/>
  <c r="D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24" i="14"/>
  <c r="B24" i="14"/>
  <c r="D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25" i="14"/>
  <c r="B25" i="14"/>
  <c r="D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M7" i="32" l="1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AE8" i="14" l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AG14" i="14"/>
  <c r="H14" i="14" s="1"/>
  <c r="G8" i="14"/>
  <c r="C25" i="14"/>
  <c r="C24" i="14"/>
  <c r="H25" i="14"/>
  <c r="C12" i="14"/>
  <c r="C21" i="14"/>
  <c r="G15" i="14"/>
  <c r="G13" i="14"/>
  <c r="C23" i="14"/>
  <c r="H18" i="14"/>
  <c r="C20" i="14"/>
  <c r="G24" i="14"/>
  <c r="C9" i="14"/>
  <c r="C14" i="14"/>
  <c r="C15" i="14"/>
  <c r="C13" i="14"/>
  <c r="C18" i="14"/>
  <c r="C22" i="14"/>
  <c r="C10" i="14"/>
  <c r="G22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H12" i="21"/>
  <c r="AI12" i="21"/>
  <c r="AJ12" i="21"/>
  <c r="AK12" i="21"/>
  <c r="AL12" i="21"/>
  <c r="AM12" i="21"/>
  <c r="AN12" i="21"/>
  <c r="AO12" i="21"/>
  <c r="AH13" i="21"/>
  <c r="AI13" i="21"/>
  <c r="AJ13" i="21"/>
  <c r="AK13" i="21"/>
  <c r="AL13" i="21"/>
  <c r="AM13" i="21"/>
  <c r="AN13" i="21"/>
  <c r="AO13" i="21"/>
  <c r="AH14" i="21"/>
  <c r="AI14" i="21"/>
  <c r="AJ14" i="21"/>
  <c r="AK14" i="21"/>
  <c r="AL14" i="21"/>
  <c r="AM14" i="21"/>
  <c r="AN14" i="21"/>
  <c r="AO14" i="21"/>
  <c r="AH15" i="21"/>
  <c r="AI15" i="21"/>
  <c r="AJ15" i="21"/>
  <c r="AK15" i="21"/>
  <c r="AL15" i="21"/>
  <c r="AM15" i="21"/>
  <c r="AN15" i="21"/>
  <c r="AO15" i="21"/>
  <c r="AH16" i="21"/>
  <c r="AI16" i="21"/>
  <c r="AJ16" i="21"/>
  <c r="AK16" i="21"/>
  <c r="AL16" i="21"/>
  <c r="AM16" i="21"/>
  <c r="AN16" i="21"/>
  <c r="AO16" i="21"/>
  <c r="AH17" i="21"/>
  <c r="AI17" i="21"/>
  <c r="AJ17" i="21"/>
  <c r="AK17" i="21"/>
  <c r="AL17" i="21"/>
  <c r="AM17" i="21"/>
  <c r="AN17" i="21"/>
  <c r="AO17" i="2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X7" i="26" s="1"/>
  <c r="AA3" i="24"/>
  <c r="J7" i="24"/>
  <c r="K7" i="24"/>
  <c r="I7" i="24"/>
  <c r="L7" i="24"/>
  <c r="M7" i="24"/>
  <c r="N7" i="24"/>
  <c r="O7" i="24"/>
  <c r="X3" i="26"/>
  <c r="L2" i="16"/>
  <c r="K2" i="16"/>
  <c r="BH7" i="24" l="1"/>
  <c r="AP7" i="24" s="1"/>
  <c r="AY7" i="26"/>
  <c r="AI7" i="26" s="1"/>
  <c r="BA7" i="26"/>
  <c r="AJ7" i="26" s="1"/>
  <c r="AZ7" i="24"/>
  <c r="BJ7" i="24"/>
  <c r="AQ7" i="24" s="1"/>
  <c r="AH7" i="26"/>
  <c r="O7" i="26"/>
  <c r="N7" i="26"/>
  <c r="AV7" i="26"/>
  <c r="AU7" i="26"/>
  <c r="BC7" i="26"/>
  <c r="Q7" i="24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J7" i="14"/>
  <c r="I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H8" i="15"/>
  <c r="G8" i="15"/>
  <c r="D8" i="15"/>
  <c r="C8" i="15"/>
  <c r="B8" i="15"/>
  <c r="A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G7" i="15"/>
  <c r="D7" i="15"/>
  <c r="C7" i="15"/>
  <c r="B7" i="15"/>
  <c r="A7" i="15"/>
  <c r="X7" i="14"/>
  <c r="W7" i="14"/>
  <c r="R7" i="14"/>
  <c r="Q7" i="14"/>
  <c r="P7" i="14"/>
  <c r="O7" i="14"/>
  <c r="D7" i="14"/>
  <c r="B7" i="14"/>
  <c r="A7" i="14"/>
  <c r="A2" i="15" l="1"/>
  <c r="AF7" i="14"/>
  <c r="E7" i="14"/>
  <c r="AD7" i="14" s="1"/>
  <c r="AH7" i="14"/>
  <c r="AC7" i="14"/>
  <c r="C2" i="14"/>
  <c r="F7" i="14"/>
  <c r="F8" i="15"/>
  <c r="E8" i="15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/>
  <c r="BA7" i="8" s="1"/>
  <c r="AI7" i="8" l="1"/>
  <c r="BB7" i="8"/>
  <c r="AJ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<sst xmlns="http://schemas.openxmlformats.org/spreadsheetml/2006/main" count="1177" uniqueCount="336">
  <si>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</si>
  <si>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</si>
  <si>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</si>
  <si>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</si>
  <si>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</si>
  <si>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</si>
  <si>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</si>
  <si>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</si>
  <si>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</si>
  <si>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</si>
  <si>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</si>
  <si>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</si>
  <si>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</si>
  <si>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</si>
  <si>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</si>
  <si>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</si>
  <si>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</si>
  <si>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</si>
  <si>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</si>
  <si>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</si>
  <si>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</si>
  <si>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</si>
  <si>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</si>
  <si>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</si>
  <si>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</si>
  <si>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</si>
  <si>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</si>
  <si>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</si>
  <si>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</si>
  <si>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</si>
  <si>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</si>
  <si>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</si>
  <si>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</si>
  <si>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</si>
  <si>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</si>
  <si>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</si>
  <si>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</si>
  <si>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</si>
  <si>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</si>
  <si>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</si>
  <si>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</si>
  <si>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</si>
  <si>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</si>
  <si>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</si>
  <si>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</si>
  <si>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</si>
  <si>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</si>
  <si>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</si>
  <si>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</si>
  <si>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</si>
  <si>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</si>
  <si>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</si>
  <si>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</si>
  <si>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</si>
  <si>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</si>
  <si>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</si>
  <si>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</si>
  <si>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</si>
  <si>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</si>
  <si>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</si>
  <si>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</si>
  <si>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</si>
  <si>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</si>
  <si>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</si>
  <si>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</si>
  <si>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</si>
  <si>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</si>
  <si>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</si>
  <si>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</si>
  <si>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</si>
  <si>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</si>
  <si>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</si>
  <si>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</si>
  <si>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</si>
  <si>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</si>
  <si>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</si>
  <si>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</si>
  <si>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</si>
  <si>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</si>
  <si>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</si>
  <si>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</si>
  <si>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</si>
  <si>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</si>
  <si>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</si>
  <si>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</si>
  <si>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</si>
  <si>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</si>
  <si>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</si>
  <si>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</si>
  <si>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</si>
  <si>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</si>
  <si>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</si>
  <si>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</si>
  <si>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</si>
  <si>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</si>
  <si>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</si>
  <si>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</si>
  <si>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</si>
  <si>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</si>
  <si>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</si>
  <si>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</si>
  <si>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</si>
  <si>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</si>
  <si>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</si>
  <si>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</si>
  <si>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</si>
  <si>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</si>
  <si>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</si>
  <si>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</si>
  <si>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</si>
  <si>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</si>
  <si>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</si>
  <si>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</si>
  <si>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</si>
  <si>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</si>
  <si>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</si>
  <si>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</si>
  <si>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</si>
  <si>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</si>
  <si>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</si>
  <si>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</si>
  <si>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</si>
  <si>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</si>
  <si>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</si>
  <si>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</si>
  <si>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</si>
  <si>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</si>
  <si>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</si>
  <si>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</si>
  <si>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</si>
  <si>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</si>
  <si>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</si>
  <si>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</si>
  <si>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</si>
  <si>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</si>
  <si>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</si>
  <si>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</si>
  <si>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</si>
  <si>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</si>
  <si>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</si>
  <si>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</si>
  <si>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</si>
  <si>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</si>
  <si>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</si>
  <si>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</si>
  <si>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</si>
  <si>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</si>
  <si>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</si>
  <si>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</si>
  <si>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</si>
  <si>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</si>
  <si>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</si>
  <si>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</si>
  <si>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</si>
  <si>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</si>
  <si>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</si>
  <si>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</si>
  <si>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</si>
  <si>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</si>
  <si>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</si>
  <si>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</si>
  <si>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</si>
  <si>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</si>
  <si>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</si>
  <si>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</si>
  <si>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</si>
  <si>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</si>
  <si>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</si>
  <si>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</si>
  <si>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</si>
  <si>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</si>
  <si>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</si>
  <si>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</si>
  <si>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</si>
  <si>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</si>
  <si>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</si>
  <si>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</si>
  <si>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</si>
  <si>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</si>
  <si>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</si>
  <si>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</si>
  <si>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</si>
  <si>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</si>
  <si>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</si>
  <si>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</si>
  <si>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</si>
  <si>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</si>
  <si>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</si>
  <si>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</si>
  <si>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</si>
  <si>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</si>
  <si>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</si>
  <si>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</si>
  <si>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</si>
  <si>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</si>
  <si>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</si>
  <si>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</si>
  <si>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</si>
  <si>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</si>
  <si>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</si>
  <si>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</si>
  <si>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</si>
  <si>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</si>
  <si>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</si>
  <si>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</si>
  <si>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</si>
  <si>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</si>
  <si>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</si>
  <si>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</si>
  <si>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</si>
  <si>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</si>
  <si>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</si>
  <si>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</si>
  <si>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</si>
  <si>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</si>
  <si>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</si>
  <si>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</si>
  <si>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</si>
  <si>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</si>
  <si>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</si>
  <si>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</si>
  <si>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</si>
  <si>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</si>
  <si>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</si>
  <si>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</si>
  <si>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</si>
  <si>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</si>
  <si>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</si>
  <si>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</si>
  <si>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</si>
  <si>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</si>
  <si>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</si>
  <si>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</si>
  <si>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</si>
  <si>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</si>
  <si>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</si>
  <si>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</si>
  <si>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</si>
  <si>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</si>
  <si>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</si>
  <si>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</si>
  <si>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</si>
  <si>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</si>
  <si>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</si>
  <si>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</si>
  <si>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</si>
  <si>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</si>
  <si>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</si>
  <si>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</si>
  <si>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</si>
  <si>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</si>
  <si>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</si>
  <si>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</si>
  <si>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</si>
  <si>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</si>
  <si>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</si>
  <si>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</si>
  <si>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</si>
  <si>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</si>
  <si>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</si>
  <si>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</si>
  <si>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</si>
  <si>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</si>
  <si>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</si>
  <si>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</si>
  <si>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</si>
  <si>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</si>
  <si>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</si>
  <si>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</si>
  <si>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</si>
  <si>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</si>
  <si>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</si>
  <si>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</si>
  <si>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</si>
  <si>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</si>
  <si>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</si>
  <si>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</si>
  <si>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</si>
  <si>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</si>
  <si>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</si>
  <si>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</si>
  <si>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</si>
  <si>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</si>
  <si>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</si>
  <si>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</si>
  <si>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</si>
  <si>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</si>
  <si>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</si>
  <si>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</si>
  <si>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</si>
  <si>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</si>
  <si>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</si>
  <si>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</si>
  <si>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</si>
  <si>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</si>
  <si>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</si>
  <si>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</si>
  <si>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</si>
  <si>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</si>
  <si>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</si>
  <si>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</si>
  <si>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</si>
  <si>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</si>
  <si>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</si>
  <si>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</si>
  <si>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</si>
  <si>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</si>
  <si>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</si>
  <si>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</si>
  <si>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</si>
  <si>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</si>
  <si>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</si>
  <si>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</si>
  <si>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</si>
  <si>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</si>
  <si>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</si>
  <si>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</si>
  <si>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</si>
  <si>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</si>
  <si>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</si>
  <si>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</si>
  <si>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</si>
  <si>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</si>
  <si>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</si>
  <si>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</si>
  <si>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</si>
  <si>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</si>
  <si>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</si>
  <si>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</si>
  <si>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</si>
  <si>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</si>
  <si>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</si>
  <si>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</si>
  <si>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서울 종로구 인산빌딩 SO</t>
  </si>
  <si>
    <t>김상훈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</si>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</sst>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6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4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6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7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3"/>
  <sheetViews>
    <sheetView workbookViewId="0">
      <selection activeCell="B19" sqref="B19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333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서울 종로구 인산빌딩 SO ) _김상훈소장</v>
      </c>
      <c r="C2" s="39" t="str">
        <f>"(와이드) 제작변환 자료( "&amp;B1&amp;" ) _"&amp;소장 &amp;"소장"</f>
        <v>(와이드) 제작변환 자료( 서울 종로구 인산빌딩 SO ) _김상훈소장</v>
      </c>
      <c r="D2" s="154" t="s">
        <v>317</v>
      </c>
      <c r="E2" s="150" t="str">
        <f>"(SO와이드) 실측서 ( " &amp; B1 &amp; " ) _"&amp;소장 &amp;"소장"</f>
        <v>(SO와이드) 실측서 ( 서울 종로구 인산빌딩 SO ) _김상훈소장</v>
      </c>
      <c r="F2" s="150" t="str">
        <f>"(SO와이드) 제작변환 ( " &amp; B1 &amp; " ) _"&amp;소장 &amp;"소장"</f>
        <v>(SO와이드) 제작변환 ( 서울 종로구 인산빌딩 SO ) _김상훈소장</v>
      </c>
      <c r="G2" s="152" t="s">
        <v>319</v>
      </c>
      <c r="H2" s="147" t="str">
        <f>"(4CO와이드) 실측서 ( " &amp; B1 &amp; " ) _"&amp;소장 &amp;"소장"</f>
        <v>(4CO와이드) 실측서 ( 서울 종로구 인산빌딩 SO ) _김상훈소장</v>
      </c>
      <c r="I2" s="147" t="str">
        <f>"(4CO와이드) 제작변환 ( " &amp; B1 &amp; " ) _"&amp;소장 &amp;"소장"</f>
        <v>(4CO와이드) 제작변환 ( 서울 종로구 인산빌딩 SO ) _김상훈소장</v>
      </c>
      <c r="J2" s="152" t="s">
        <v>321</v>
      </c>
      <c r="K2" s="153" t="str">
        <f>"(2UP) 실측서 ( " &amp; B1 &amp; " ) _"&amp;소장 &amp;"소장"</f>
        <v>(2UP) 실측서 ( 서울 종로구 인산빌딩 SO ) _김상훈소장</v>
      </c>
      <c r="L2" s="153" t="str">
        <f>"(2UP) 제작변환 ( " &amp; B1 &amp; " ) _"&amp;소장 &amp;"소장"</f>
        <v>(2UP) 제작변환 ( 서울 종로구 인산빌딩 SO ) _김상훈소장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서울 종로구 인산빌딩 SO ) _김상훈소장</v>
      </c>
      <c r="C3" s="39" t="str">
        <f>"(멍텅구리) 제작변환 자료( "&amp;B1&amp;" ) _"&amp;소장 &amp;"소장"</f>
        <v>(멍텅구리) 제작변환 자료( 서울 종로구 인산빌딩 SO ) _김상훈소장</v>
      </c>
      <c r="D3" s="154" t="s">
        <v>318</v>
      </c>
      <c r="E3" s="150" t="str">
        <f>"(SO멍텅구리) 실측서 ( " &amp; B1 &amp; " ) _"&amp;소장 &amp;"소장"</f>
        <v>(SO멍텅구리) 실측서 ( 서울 종로구 인산빌딩 SO ) _김상훈소장</v>
      </c>
      <c r="F3" s="150" t="str">
        <f>"(SO멍텅구리) 제작변환 ( " &amp; B1 &amp; " ) _"&amp;소장 &amp;"소장"</f>
        <v>(SO멍텅구리) 제작변환 ( 서울 종로구 인산빌딩 SO ) _김상훈소장</v>
      </c>
      <c r="G3" s="152" t="s">
        <v>320</v>
      </c>
      <c r="H3" s="147" t="str">
        <f>"(4CO멍텅구리) 실측서 ( " &amp; B1 &amp; " ) _"&amp;소장 &amp;"소장"</f>
        <v>(4CO멍텅구리) 실측서 ( 서울 종로구 인산빌딩 SO ) _김상훈소장</v>
      </c>
      <c r="I3" s="147" t="str">
        <f>"(4CO멍텅구리) 제작변환 ( " &amp; B1 &amp; " ) _"&amp;소장 &amp;"소장"</f>
        <v>(4CO멍텅구리) 제작변환 ( 서울 종로구 인산빌딩 SO ) _김상훈소장</v>
      </c>
      <c r="J3" s="152" t="s">
        <v>322</v>
      </c>
      <c r="K3" s="153" t="str">
        <f>"(3UP) 실측서 ( " &amp; B1 &amp; " ) _"&amp;소장 &amp;"소장"</f>
        <v>(3UP) 실측서 ( 서울 종로구 인산빌딩 SO ) _김상훈소장</v>
      </c>
      <c r="L3" s="153" t="str">
        <f>"(3UP) 제작변환 ( " &amp; B1 &amp; " ) _"&amp;소장 &amp;"소장"</f>
        <v>(3UP) 제작변환 ( 서울 종로구 인산빌딩 SO ) _김상훈소장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서울 종로구 인산빌딩 SO ) _김상훈소장</v>
      </c>
      <c r="C4" s="39" t="str">
        <f>"(쪽쟘) 제작변환 자료( "&amp;B1&amp;" ) _"&amp;소장 &amp;"소장"</f>
        <v>(쪽쟘) 제작변환 자료( 서울 종로구 인산빌딩 SO ) _김상훈소장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/>
      <c r="D5" s="145" t="s">
        <v>323</v>
      </c>
    </row>
    <row r="6" spans="1:12" ht="27.75" customHeight="1" x14ac:dyDescent="0.3">
      <c r="A6" s="144" t="s">
        <v>40</v>
      </c>
      <c r="B6" s="146" t="s">
        <v>334</v>
      </c>
    </row>
    <row r="7" spans="1:12" ht="16.5" customHeight="1" x14ac:dyDescent="0.3">
      <c r="A7" s="72" t="s">
        <v>193</v>
      </c>
      <c r="B7" s="118" t="s">
        <v>293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2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(0), JB/JD +(5 ),  늘어난치수K -(0),  C + (0),   U + (0), OP - (0), R - (0),  기둥차감 - (0), A + (3)</v>
      </c>
      <c r="C10" s="162"/>
    </row>
    <row r="11" spans="1:12" ht="16.5" customHeight="1" x14ac:dyDescent="0.3">
      <c r="A11" s="90" t="s">
        <v>197</v>
      </c>
      <c r="B11" s="162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+(5 ),  늘어난치수K -(0),  C + (0),  U +(0), OP - (0), R - (0),  기둥차감 - (0),  A + (3)</v>
      </c>
      <c r="C11" s="162"/>
    </row>
    <row r="12" spans="1:12" ht="16.5" customHeight="1" x14ac:dyDescent="0.3">
      <c r="A12" s="90" t="s">
        <v>198</v>
      </c>
      <c r="B12" s="162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2"/>
    </row>
    <row r="13" spans="1:12" ht="16.5" customHeight="1" x14ac:dyDescent="0.3">
      <c r="A13" s="90" t="s">
        <v>251</v>
      </c>
      <c r="B13" s="162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(0), JB/JD +(5 ),  늘어난치수K -(0),  C + (0),   U + (0), OP - (0), R - (0),  기둥차감 - (0),  A + (3)</v>
      </c>
      <c r="C13" s="162"/>
    </row>
    <row r="14" spans="1:12" ht="16.5" customHeight="1" x14ac:dyDescent="0.3">
      <c r="A14" s="90" t="s">
        <v>252</v>
      </c>
      <c r="B14" s="162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+(5 ),  늘어난치수K -(0),  C + (0),  U +(0), OP1/OP2 - (0), R - (0),  기둥차감 - (0), A + (3)</v>
      </c>
      <c r="C14" s="162"/>
    </row>
    <row r="15" spans="1:12" ht="16.5" customHeight="1" x14ac:dyDescent="0.3">
      <c r="A15" s="90" t="s">
        <v>257</v>
      </c>
      <c r="B15" s="162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(0), JB/JD +(5 ),  늘어난치수K -(0),  C + (0),   U + (0), OP1/OP3 - (0), R - (0),  기둥차감 - (0), A + (3)</v>
      </c>
      <c r="C15" s="162"/>
    </row>
    <row r="16" spans="1:12" ht="16.5" customHeight="1" x14ac:dyDescent="0.3">
      <c r="A16" s="90" t="s">
        <v>258</v>
      </c>
      <c r="B16" s="162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+(5 ),  늘어난치수K -(0),  C + (0),  U +(0), OP1/OP3 - (0), R - (0),  기둥차감 - (0), A + (3)</v>
      </c>
      <c r="C16" s="162"/>
    </row>
    <row r="17" spans="1:3" ht="16.5" customHeight="1" x14ac:dyDescent="0.3">
      <c r="A17" s="90" t="s">
        <v>272</v>
      </c>
      <c r="B17" s="162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+(5 ),  늘어난치수K -(0),  C + (0),   U + (0), OP - (0), R - (0),  기둥차감 - (0), A + (3)</v>
      </c>
      <c r="C17" s="162"/>
    </row>
    <row r="18" spans="1:3" ht="16.5" customHeight="1" x14ac:dyDescent="0.3">
      <c r="A18" s="90" t="s">
        <v>273</v>
      </c>
      <c r="B18" s="162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+(5 ),  늘어난치수K -(0),  C + (0),   U + (0), OP - (0), R - (0),  기둥차감 - (0), A + (3)</v>
      </c>
      <c r="C18" s="162"/>
    </row>
    <row r="21" spans="1:3" x14ac:dyDescent="0.3">
      <c r="B21" t="s">
        <v>271</v>
      </c>
    </row>
    <row r="23" spans="1:3" ht="37.5" customHeight="1" x14ac:dyDescent="0.3">
      <c r="A23" s="22" t="s">
        <v>299</v>
      </c>
      <c r="B23" s="124" t="s">
        <v>301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topLeftCell="A3" workbookViewId="0">
      <selection activeCell="D5" sqref="D5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0</v>
      </c>
      <c r="B2" s="3">
        <f>IF('멍텅(실측)'!C7&gt;1,1,0)</f>
        <v>0</v>
      </c>
      <c r="C2" s="3">
        <f>IF('쪽쟘(실측)'!C7&gt;1,1,0)</f>
        <v>0</v>
      </c>
      <c r="D2" s="3" t="str">
        <f>정보!B1</f>
        <v>서울 종로구 인산빌딩 SO</v>
      </c>
      <c r="E2" s="3" t="str">
        <f>정보!B6</f>
        <v>김상훈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>
        <f>정보!B5</f>
        <v>0</v>
      </c>
      <c r="J2" s="87">
        <f ca="1">TODAY()</f>
        <v>45223</v>
      </c>
      <c r="K2">
        <f>IF('SO와이드(실측)'!C7&gt;0,1,0)</f>
        <v>0</v>
      </c>
      <c r="L2">
        <f>IF('SO멍텅(실측)'!C7&gt;1,1,0)</f>
        <v>1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김은비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298</v>
      </c>
      <c r="E5" t="s">
        <v>218</v>
      </c>
      <c r="G5" t="s">
        <v>300</v>
      </c>
    </row>
    <row r="6" spans="1:17" ht="60.75" customHeight="1" x14ac:dyDescent="0.3">
      <c r="D6" t="s">
        <v>209</v>
      </c>
      <c r="E6" t="s">
        <v>219</v>
      </c>
      <c r="G6" t="s">
        <v>301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315</v>
      </c>
    </row>
    <row r="13" spans="1:17" ht="62.25" customHeight="1" x14ac:dyDescent="0.3">
      <c r="E13" t="s">
        <v>302</v>
      </c>
    </row>
    <row r="14" spans="1:17" ht="62.25" customHeight="1" x14ac:dyDescent="0.3">
      <c r="E14" t="s">
        <v>316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sqref="A1:X1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67" t="str">
        <f>정보!B2</f>
        <v>(와이드) 실측서 ( 서울 종로구 인산빌딩 SO ) _김상훈소장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6"/>
      <c r="Z2" s="166"/>
      <c r="AA2" s="166"/>
      <c r="AB2" s="166"/>
      <c r="AC2" s="166"/>
      <c r="AD2" s="166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서울 종로구 인산빌딩 SO,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75" t="s">
        <v>98</v>
      </c>
      <c r="M3" s="175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66"/>
      <c r="Z3" s="166"/>
      <c r="AA3" s="166"/>
      <c r="AB3" s="166"/>
      <c r="AC3" s="166"/>
      <c r="AD3" s="166"/>
      <c r="AE3" s="34"/>
      <c r="AF3" s="34"/>
      <c r="AG3" s="34"/>
      <c r="AH3" s="34"/>
      <c r="AI3" s="34"/>
      <c r="AJ3" s="34"/>
    </row>
    <row r="4" spans="1:45" ht="33" customHeight="1" x14ac:dyDescent="0.3">
      <c r="A4" s="164" t="str">
        <f>정보!B10</f>
        <v>제작치수 반영 : MH + (0), JB/JD +(5 ),  늘어난치수K -(0),  C + (0),   U + (0), OP - (0), R - (0),  기둥차감 - (0), A + (3)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3"/>
      <c r="W4" s="163"/>
      <c r="X4" s="163"/>
      <c r="Y4" s="163"/>
      <c r="Z4" s="163"/>
      <c r="AA4" s="163"/>
      <c r="AB4" s="163"/>
      <c r="AC4" s="163"/>
      <c r="AD4" s="165"/>
      <c r="AE4" s="174" t="s">
        <v>215</v>
      </c>
      <c r="AF4" s="174"/>
      <c r="AG4" s="75"/>
      <c r="AH4" s="9"/>
      <c r="AI4" s="9"/>
      <c r="AJ4" s="9"/>
    </row>
    <row r="5" spans="1:45" ht="25.9" customHeight="1" x14ac:dyDescent="0.3">
      <c r="A5" s="176" t="s">
        <v>0</v>
      </c>
      <c r="B5" s="168" t="s">
        <v>1</v>
      </c>
      <c r="C5" s="168" t="s">
        <v>2</v>
      </c>
      <c r="D5" s="168" t="s">
        <v>24</v>
      </c>
      <c r="E5" s="168" t="s">
        <v>3</v>
      </c>
      <c r="F5" s="168" t="s">
        <v>18</v>
      </c>
      <c r="G5" s="168" t="s">
        <v>4</v>
      </c>
      <c r="H5" s="168" t="s">
        <v>5</v>
      </c>
      <c r="I5" s="168" t="s">
        <v>6</v>
      </c>
      <c r="J5" s="168" t="s">
        <v>7</v>
      </c>
      <c r="K5" s="168" t="s">
        <v>47</v>
      </c>
      <c r="L5" s="168" t="s">
        <v>9</v>
      </c>
      <c r="M5" s="168" t="s">
        <v>12</v>
      </c>
      <c r="N5" s="168" t="s">
        <v>13</v>
      </c>
      <c r="O5" s="168" t="s">
        <v>10</v>
      </c>
      <c r="P5" s="168" t="s">
        <v>11</v>
      </c>
      <c r="Q5" s="168" t="s">
        <v>14</v>
      </c>
      <c r="R5" s="168" t="s">
        <v>15</v>
      </c>
      <c r="S5" s="168" t="s">
        <v>16</v>
      </c>
      <c r="T5" s="168" t="s">
        <v>17</v>
      </c>
      <c r="U5" s="168" t="s">
        <v>19</v>
      </c>
      <c r="V5" s="169" t="s">
        <v>48</v>
      </c>
      <c r="W5" s="169" t="s">
        <v>22</v>
      </c>
      <c r="X5" s="169" t="s">
        <v>23</v>
      </c>
      <c r="Y5" s="168" t="s">
        <v>21</v>
      </c>
      <c r="Z5" s="168"/>
      <c r="AA5" s="168"/>
      <c r="AB5" s="168"/>
      <c r="AC5" s="170" t="s">
        <v>91</v>
      </c>
      <c r="AD5" s="170" t="s">
        <v>92</v>
      </c>
      <c r="AE5" s="172" t="s">
        <v>212</v>
      </c>
      <c r="AF5" s="173"/>
      <c r="AG5" s="169" t="s">
        <v>199</v>
      </c>
      <c r="AH5" s="169" t="s">
        <v>203</v>
      </c>
      <c r="AI5" s="169"/>
      <c r="AJ5" s="169"/>
    </row>
    <row r="6" spans="1:45" ht="44.25" customHeight="1" x14ac:dyDescent="0.3">
      <c r="A6" s="176"/>
      <c r="B6" s="168"/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9"/>
      <c r="X6" s="169"/>
      <c r="Y6" s="8" t="s">
        <v>43</v>
      </c>
      <c r="Z6" s="8" t="s">
        <v>44</v>
      </c>
      <c r="AA6" s="8" t="s">
        <v>45</v>
      </c>
      <c r="AB6" s="8" t="s">
        <v>46</v>
      </c>
      <c r="AC6" s="171"/>
      <c r="AD6" s="171"/>
      <c r="AE6" s="74" t="s">
        <v>213</v>
      </c>
      <c r="AF6" s="74" t="s">
        <v>214</v>
      </c>
      <c r="AG6" s="168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13"/>
      <c r="L7" s="13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3"/>
      <c r="AL7" s="3">
        <f>Y7+$AK7</f>
        <v>0</v>
      </c>
      <c r="AM7" s="3">
        <f>Z7+$AK7</f>
        <v>0</v>
      </c>
      <c r="AN7" s="3">
        <f>AA7+$AK7</f>
        <v>0</v>
      </c>
      <c r="AO7" s="3">
        <f>AB7+$AK7</f>
        <v>0</v>
      </c>
      <c r="AP7" s="3">
        <f>G7-$AK7</f>
        <v>0</v>
      </c>
      <c r="AQ7" s="3">
        <f>H7-$AK7</f>
        <v>0</v>
      </c>
      <c r="AR7" s="3">
        <f>I7-$AK7</f>
        <v>0</v>
      </c>
      <c r="AS7" s="3">
        <f>J7-$AK7</f>
        <v>0</v>
      </c>
    </row>
    <row r="8" spans="1:45" ht="23.25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13"/>
      <c r="L8" s="13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0</v>
      </c>
      <c r="AQ8" s="3">
        <f>H8-$AK8</f>
        <v>0</v>
      </c>
      <c r="AR8" s="3">
        <f>I8-$AK8</f>
        <v>0</v>
      </c>
      <c r="AS8" s="3">
        <f>J8-$AK8</f>
        <v>0</v>
      </c>
    </row>
    <row r="9" spans="1:45" ht="23.25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13"/>
      <c r="L9" s="13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</row>
    <row r="10" spans="1:45" ht="23.25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7"/>
  <sheetViews>
    <sheetView zoomScale="85" zoomScaleNormal="85" workbookViewId="0">
      <selection activeCell="AJ3" sqref="AJ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177" t="str">
        <f>정보!C2</f>
        <v>(와이드) 제작변환 자료( 서울 종로구 인산빌딩 SO ) _김상훈소장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 s="177"/>
      <c r="AS1" s="37"/>
      <c r="AT1" s="37"/>
    </row>
    <row r="2" spans="1:61" ht="29.25" customHeight="1" x14ac:dyDescent="0.3">
      <c r="A2" s="23" t="s">
        <v>96</v>
      </c>
      <c r="B2" s="105">
        <v>0</v>
      </c>
      <c r="C2" s="27" t="s">
        <v>86</v>
      </c>
      <c r="D2" s="29">
        <v>0</v>
      </c>
      <c r="E2" s="27"/>
      <c r="F2" s="27" t="s">
        <v>87</v>
      </c>
      <c r="G2" s="30">
        <v>0</v>
      </c>
      <c r="H2" s="1"/>
      <c r="I2" s="218" t="s">
        <v>113</v>
      </c>
      <c r="J2" s="219"/>
      <c r="K2" s="219"/>
      <c r="L2" s="219"/>
      <c r="M2" s="220">
        <v>1</v>
      </c>
      <c r="N2" s="220"/>
      <c r="O2" s="190" t="s">
        <v>89</v>
      </c>
      <c r="P2" s="191"/>
      <c r="Q2" s="192">
        <v>0</v>
      </c>
      <c r="R2" s="192"/>
      <c r="S2" s="168" t="s">
        <v>83</v>
      </c>
      <c r="T2" s="194"/>
      <c r="U2" s="194"/>
      <c r="V2" s="195">
        <v>0</v>
      </c>
      <c r="W2" s="195"/>
      <c r="X2" s="213" t="s">
        <v>205</v>
      </c>
      <c r="Y2" s="214"/>
      <c r="Z2" s="217">
        <f>정보!B5</f>
        <v>0</v>
      </c>
      <c r="AA2" s="217"/>
      <c r="AB2" s="217"/>
      <c r="AC2" s="217"/>
      <c r="AD2" s="217"/>
      <c r="AE2" s="217"/>
      <c r="AF2" s="217"/>
      <c r="AG2" s="217"/>
      <c r="AH2" s="215" t="s">
        <v>90</v>
      </c>
      <c r="AI2" s="216"/>
      <c r="AJ2" s="227">
        <v>0</v>
      </c>
      <c r="AK2" s="227"/>
      <c r="AL2" s="1"/>
      <c r="AM2" s="182" t="s">
        <v>229</v>
      </c>
      <c r="AN2" s="224"/>
      <c r="AO2" s="225">
        <v>0</v>
      </c>
      <c r="AP2" s="225"/>
      <c r="AQ2" s="1"/>
      <c r="AR2" s="1"/>
    </row>
    <row r="3" spans="1:61" ht="24.75" customHeight="1" x14ac:dyDescent="0.3">
      <c r="A3" s="28" t="str">
        <f>'와이드(실측)'!A3</f>
        <v>현장명 : 서울 종로구 인산빌딩 SO,   (재질) : HL 1.2T</v>
      </c>
      <c r="B3" s="2"/>
      <c r="C3" s="2"/>
      <c r="D3" s="2"/>
      <c r="E3" s="2"/>
      <c r="F3" s="2"/>
      <c r="G3" s="2"/>
      <c r="H3" s="2"/>
      <c r="I3" s="190" t="s">
        <v>228</v>
      </c>
      <c r="J3" s="190"/>
      <c r="K3" s="190"/>
      <c r="L3" s="190"/>
      <c r="M3" s="221">
        <v>5</v>
      </c>
      <c r="N3" s="221"/>
      <c r="O3" s="191" t="s">
        <v>77</v>
      </c>
      <c r="P3" s="191"/>
      <c r="Q3" s="198">
        <v>0</v>
      </c>
      <c r="R3" s="198"/>
      <c r="S3" s="199" t="s">
        <v>227</v>
      </c>
      <c r="T3" s="199"/>
      <c r="U3" s="199"/>
      <c r="V3" s="200">
        <f>BI7</f>
        <v>1</v>
      </c>
      <c r="W3" s="200"/>
      <c r="X3" s="193" t="s">
        <v>78</v>
      </c>
      <c r="Y3" s="193"/>
      <c r="Z3" s="201">
        <v>3</v>
      </c>
      <c r="AA3" s="201"/>
      <c r="AC3" s="202" t="s">
        <v>310</v>
      </c>
      <c r="AD3" s="202"/>
      <c r="AE3" s="202">
        <f>'와이드(실측)'!Y7</f>
        <v>0</v>
      </c>
      <c r="AF3" s="202"/>
      <c r="AG3" s="3"/>
      <c r="AH3" s="212" t="s">
        <v>73</v>
      </c>
      <c r="AI3" s="212"/>
      <c r="AJ3" s="26">
        <v>4</v>
      </c>
      <c r="AK3" s="15" t="s">
        <v>74</v>
      </c>
      <c r="AL3" s="14">
        <v>4</v>
      </c>
      <c r="AM3" s="226" t="s">
        <v>230</v>
      </c>
      <c r="AN3" s="226"/>
      <c r="AO3" s="228" t="s">
        <v>324</v>
      </c>
      <c r="AP3" s="229"/>
      <c r="AQ3" s="232">
        <f>AU7</f>
        <v>0</v>
      </c>
      <c r="AR3" s="233"/>
      <c r="BI3" s="178" t="s">
        <v>253</v>
      </c>
    </row>
    <row r="4" spans="1:61" ht="33" customHeight="1" x14ac:dyDescent="0.3">
      <c r="A4" s="203" t="str">
        <f>정보!B10</f>
        <v>제작치수 반영 : MH + (0), JB/JD +(5 ),  늘어난치수K -(0),  C + (0),   U + (0), OP - (0), R - (0),  기둥차감 - (0), A + (3)</v>
      </c>
      <c r="B4" s="203"/>
      <c r="C4" s="203"/>
      <c r="D4" s="203"/>
      <c r="E4" s="203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203"/>
      <c r="X4" s="203"/>
      <c r="Y4" s="203"/>
      <c r="Z4" s="203"/>
      <c r="AA4" s="203"/>
      <c r="AB4" s="203"/>
      <c r="AC4" s="203"/>
      <c r="AD4" s="203"/>
      <c r="AE4" s="203"/>
      <c r="AF4" s="203"/>
      <c r="AG4" s="223">
        <f ca="1">TODAY()</f>
        <v>45223</v>
      </c>
      <c r="AH4" s="163"/>
      <c r="AI4" s="163"/>
      <c r="AJ4" s="9"/>
      <c r="AK4" s="222" t="s">
        <v>117</v>
      </c>
      <c r="AL4" s="222"/>
      <c r="AM4" s="174" t="s">
        <v>215</v>
      </c>
      <c r="AN4" s="174"/>
      <c r="AO4" s="84"/>
      <c r="AP4" s="230" t="s">
        <v>235</v>
      </c>
      <c r="AQ4" s="230"/>
      <c r="AR4" s="231"/>
      <c r="BI4" s="179"/>
    </row>
    <row r="5" spans="1:61" ht="25.9" customHeight="1" x14ac:dyDescent="0.3">
      <c r="A5" s="168" t="s">
        <v>0</v>
      </c>
      <c r="B5" s="168" t="s">
        <v>1</v>
      </c>
      <c r="C5" s="168" t="s">
        <v>2</v>
      </c>
      <c r="D5" s="168" t="s">
        <v>2</v>
      </c>
      <c r="E5" s="168" t="s">
        <v>3</v>
      </c>
      <c r="F5" s="168" t="s">
        <v>18</v>
      </c>
      <c r="G5" s="168" t="s">
        <v>41</v>
      </c>
      <c r="H5" s="168" t="s">
        <v>42</v>
      </c>
      <c r="I5" s="204" t="s">
        <v>105</v>
      </c>
      <c r="J5" s="204" t="s">
        <v>106</v>
      </c>
      <c r="K5" s="208" t="s">
        <v>107</v>
      </c>
      <c r="L5" s="208" t="s">
        <v>108</v>
      </c>
      <c r="M5" s="210" t="s">
        <v>71</v>
      </c>
      <c r="N5" s="210" t="s">
        <v>72</v>
      </c>
      <c r="O5" s="168" t="s">
        <v>8</v>
      </c>
      <c r="P5" s="168" t="s">
        <v>9</v>
      </c>
      <c r="Q5" s="168" t="s">
        <v>12</v>
      </c>
      <c r="R5" s="168" t="s">
        <v>13</v>
      </c>
      <c r="S5" s="168" t="s">
        <v>10</v>
      </c>
      <c r="T5" s="168" t="s">
        <v>11</v>
      </c>
      <c r="U5" s="206" t="s">
        <v>14</v>
      </c>
      <c r="V5" s="206" t="s">
        <v>15</v>
      </c>
      <c r="W5" s="207" t="s">
        <v>16</v>
      </c>
      <c r="X5" s="207" t="s">
        <v>17</v>
      </c>
      <c r="Y5" s="168" t="s">
        <v>19</v>
      </c>
      <c r="Z5" s="168" t="s">
        <v>20</v>
      </c>
      <c r="AA5" s="169" t="s">
        <v>22</v>
      </c>
      <c r="AB5" s="169" t="s">
        <v>23</v>
      </c>
      <c r="AC5" s="196" t="s">
        <v>79</v>
      </c>
      <c r="AD5" s="197"/>
      <c r="AE5" s="197"/>
      <c r="AF5" s="197"/>
      <c r="AG5" s="188" t="s">
        <v>91</v>
      </c>
      <c r="AH5" s="188" t="s">
        <v>92</v>
      </c>
      <c r="AI5" s="180" t="s">
        <v>99</v>
      </c>
      <c r="AJ5" s="169" t="s">
        <v>61</v>
      </c>
      <c r="AK5" s="169" t="s">
        <v>34</v>
      </c>
      <c r="AL5" s="169" t="s">
        <v>35</v>
      </c>
      <c r="AM5" s="172" t="s">
        <v>212</v>
      </c>
      <c r="AN5" s="173"/>
      <c r="AO5" s="236" t="s">
        <v>199</v>
      </c>
      <c r="AP5" s="236" t="s">
        <v>204</v>
      </c>
      <c r="AQ5" s="236"/>
      <c r="AR5" s="236"/>
      <c r="AS5" s="178" t="s">
        <v>100</v>
      </c>
      <c r="AT5" s="178" t="s">
        <v>101</v>
      </c>
      <c r="AU5" s="179" t="s">
        <v>80</v>
      </c>
      <c r="AV5" s="183" t="s">
        <v>84</v>
      </c>
      <c r="AW5" s="186" t="s">
        <v>102</v>
      </c>
      <c r="AX5" s="185" t="s">
        <v>94</v>
      </c>
      <c r="AY5" s="185" t="s">
        <v>95</v>
      </c>
      <c r="AZ5" s="178" t="s">
        <v>93</v>
      </c>
      <c r="BC5" s="182" t="s">
        <v>28</v>
      </c>
      <c r="BD5" s="182"/>
      <c r="BE5" s="182" t="s">
        <v>29</v>
      </c>
      <c r="BF5" s="182"/>
      <c r="BG5" s="6" t="s">
        <v>50</v>
      </c>
      <c r="BH5" s="235" t="s">
        <v>104</v>
      </c>
      <c r="BI5" s="234" t="s">
        <v>226</v>
      </c>
    </row>
    <row r="6" spans="1:61" ht="48" customHeight="1" x14ac:dyDescent="0.3">
      <c r="A6" s="168"/>
      <c r="B6" s="168"/>
      <c r="C6" s="168"/>
      <c r="D6" s="168"/>
      <c r="E6" s="168"/>
      <c r="F6" s="168"/>
      <c r="G6" s="168"/>
      <c r="H6" s="168"/>
      <c r="I6" s="205"/>
      <c r="J6" s="205"/>
      <c r="K6" s="209"/>
      <c r="L6" s="209"/>
      <c r="M6" s="211"/>
      <c r="N6" s="211"/>
      <c r="O6" s="168"/>
      <c r="P6" s="168"/>
      <c r="Q6" s="168"/>
      <c r="R6" s="168"/>
      <c r="S6" s="168"/>
      <c r="T6" s="168"/>
      <c r="U6" s="206"/>
      <c r="V6" s="206"/>
      <c r="W6" s="207"/>
      <c r="X6" s="207"/>
      <c r="Y6" s="168"/>
      <c r="Z6" s="168"/>
      <c r="AA6" s="169"/>
      <c r="AB6" s="169"/>
      <c r="AC6" s="8" t="s">
        <v>67</v>
      </c>
      <c r="AD6" s="8" t="s">
        <v>68</v>
      </c>
      <c r="AE6" s="8" t="s">
        <v>69</v>
      </c>
      <c r="AF6" s="8" t="s">
        <v>70</v>
      </c>
      <c r="AG6" s="189"/>
      <c r="AH6" s="189"/>
      <c r="AI6" s="181"/>
      <c r="AJ6" s="169"/>
      <c r="AK6" s="168"/>
      <c r="AL6" s="168"/>
      <c r="AM6" s="74" t="s">
        <v>213</v>
      </c>
      <c r="AN6" s="74" t="s">
        <v>214</v>
      </c>
      <c r="AO6" s="237"/>
      <c r="AP6" s="109" t="s">
        <v>200</v>
      </c>
      <c r="AQ6" s="109" t="s">
        <v>201</v>
      </c>
      <c r="AR6" s="109" t="s">
        <v>202</v>
      </c>
      <c r="AS6" s="179"/>
      <c r="AT6" s="179"/>
      <c r="AU6" s="179"/>
      <c r="AV6" s="184"/>
      <c r="AW6" s="187"/>
      <c r="AX6" s="185"/>
      <c r="AY6" s="185"/>
      <c r="AZ6" s="179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35"/>
      <c r="BI6" s="234"/>
    </row>
    <row r="7" spans="1:61" ht="26.25" customHeight="1" x14ac:dyDescent="0.3">
      <c r="A7" s="31">
        <f>'와이드(실측)'!A7</f>
        <v>0</v>
      </c>
      <c r="B7" s="31" t="str">
        <f>'와이드(실측)'!B7&amp;"F"</f>
        <v>F</v>
      </c>
      <c r="C7" s="31">
        <f>'와이드(실측)'!C7+와이드MH더함-IF(AND(소장="추영덕",Y7=0),1.2)</f>
        <v>0</v>
      </c>
      <c r="D7" s="31">
        <f>'와이드(실측)'!D7+와이드MH더함-IF(AND(소장="추영덕",Y7=0),1.2)</f>
        <v>0</v>
      </c>
      <c r="E7" s="135">
        <f>'와이드(실측)'!E7-와이드OP</f>
        <v>0</v>
      </c>
      <c r="F7" s="31">
        <f>'와이드(실측)'!F7-와이드R</f>
        <v>0</v>
      </c>
      <c r="G7" s="50">
        <f>'와이드(실측)'!G7+와이드JBJD키움치수+IF(BI7=1,AC7,0)</f>
        <v>5</v>
      </c>
      <c r="H7" s="50">
        <f>'와이드(실측)'!H7+와이드JBJD키움치수+IF(BI7=1,AE7,0)</f>
        <v>5</v>
      </c>
      <c r="I7" s="50">
        <f>'와이드(실측)'!I7+MAX(AS7,AT7)+와이드JBJD키움치수+IF(BI7=1,AC7,0)</f>
        <v>5</v>
      </c>
      <c r="J7" s="50">
        <f>'와이드(실측)'!I7+MAX(AS7,AT7)+와이드JBJD키움치수+IF(BI7=1,AD7,0)-IF(와이드JB하부늘치=1,'와이드(실측)'!Y7-'와이드(실측)'!Z7,0)</f>
        <v>5</v>
      </c>
      <c r="K7" s="50">
        <f>'와이드(실측)'!J7+MAX(AS7,AT7)+와이드JBJD키움치수+IF(BI7=1,AE7,0)</f>
        <v>5</v>
      </c>
      <c r="L7" s="50">
        <f>'와이드(실측)'!J7+MAX(AS7,AT7)+와이드JBJD키움치수+IF(BI7=1,AF7,0)-IF(와이드JB하부늘치=1,'와이드(실측)'!AA7-'와이드(실측)'!AB7,0)</f>
        <v>5</v>
      </c>
      <c r="M7" s="31">
        <f t="shared" ref="M7:N7" si="0">IF(소장="손상민",0,O7-1.5)</f>
        <v>-0.30000000000000004</v>
      </c>
      <c r="N7" s="31">
        <f t="shared" si="0"/>
        <v>-0.30000000000000004</v>
      </c>
      <c r="O7" s="31">
        <f>IF(S7&lt;9,'와이드(실측)'!K7+1.2,IF(ISNUMBER('와이드(실측)'!K7),'와이드(실측)'!K7+와이드C값,0))</f>
        <v>1.2</v>
      </c>
      <c r="P7" s="31">
        <f>IF(T7&lt;9,'와이드(실측)'!L7+1.2,IF(ISNUMBER('와이드(실측)'!L7),'와이드(실측)'!L7+와이드C값,0))</f>
        <v>1.2</v>
      </c>
      <c r="Q7" s="32">
        <f>ROUNDUP(AV7,1)</f>
        <v>0</v>
      </c>
      <c r="R7" s="38">
        <f>ROUNDUP(AW7,1)</f>
        <v>0</v>
      </c>
      <c r="S7" s="31">
        <f>IF(ISNUMBER('와이드(실측)'!O7),'와이드(실측)'!O7+와이드제작!AS7+와이드A늘림,0)</f>
        <v>0</v>
      </c>
      <c r="T7" s="31">
        <f>IF(ISNUMBER('와이드(실측)'!P7),'와이드(실측)'!P7+와이드제작!AT7+와이드A늘림,0)</f>
        <v>0</v>
      </c>
      <c r="U7" s="31">
        <f>'와이드(실측)'!Q7-와이드기둥차감</f>
        <v>0</v>
      </c>
      <c r="V7" s="31">
        <f>'와이드(실측)'!R7-와이드기둥차감</f>
        <v>0</v>
      </c>
      <c r="W7" s="31">
        <f>'와이드(실측)'!S7-와이드기둥차감</f>
        <v>0</v>
      </c>
      <c r="X7" s="31">
        <f>'와이드(실측)'!T7-와이드기둥차감</f>
        <v>0</v>
      </c>
      <c r="Y7" s="31">
        <f>IF(소장="손상민",IF(ISNUMBER('와이드(실측)'!U7),'와이드(실측)'!U7+1.2,0),IF(ISNUMBER('와이드(실측)'!U7),'와이드(실측)'!U7+와이드U,0))</f>
        <v>0</v>
      </c>
      <c r="Z7" s="31">
        <f>IF(소장="손상민",MAX(Q7,R7)+3.2,IF(ISNUMBER('와이드(실측)'!V7),'와이드(실측)'!V7+1.5+와이드제작!Q7+1,0))</f>
        <v>0</v>
      </c>
      <c r="AA7" s="31">
        <f>'와이드(실측)'!W7+뒷날개치수더함</f>
        <v>0</v>
      </c>
      <c r="AB7" s="31">
        <f>'와이드(실측)'!X7+뒷날개치수더함</f>
        <v>0</v>
      </c>
      <c r="AC7" s="31">
        <f>'와이드(실측)'!Y7-와이드늘치</f>
        <v>0</v>
      </c>
      <c r="AD7" s="31">
        <f>IF(와이드JB하부늘치=1,AC7,'와이드(실측)'!Z7-와이드늘치)</f>
        <v>0</v>
      </c>
      <c r="AE7" s="31">
        <f>'와이드(실측)'!AA7-와이드늘치</f>
        <v>0</v>
      </c>
      <c r="AF7" s="31">
        <f>IF(와이드JB하부늘치=1,AE7,'와이드(실측)'!AB7-와이드늘치)</f>
        <v>0</v>
      </c>
      <c r="AG7" s="31">
        <f xml:space="preserve"> IF(소장&lt;&gt;"손상민",IF('와이드(실측)'!AC7&gt;0,'와이드(실측)'!AC7,C7-1.2),IF('와이드(실측)'!AC7&gt;0,'와이드(실측)'!AC7+1.2,C7) )</f>
        <v>-1.2</v>
      </c>
      <c r="AH7" s="31">
        <f xml:space="preserve"> IF(소장&lt;&gt;"손상민",IF('와이드(실측)'!AD7&gt;0,'와이드(실측)'!AD7,D7-1.2),IF('와이드(실측)'!AD7&gt;0,'와이드(실측)'!AD7+1.2,D7))</f>
        <v>-1.2</v>
      </c>
      <c r="AI7" s="51">
        <f>IF(Z7&gt;0,Z7-MAX(Q7,R7),0)</f>
        <v>0</v>
      </c>
      <c r="AJ7" s="31" t="str">
        <f t="shared" ref="AJ7" si="1">BA7&amp;"*"&amp;BB7</f>
        <v>0*2.6</v>
      </c>
      <c r="AK7" s="31" t="str">
        <f t="shared" ref="AK7" si="2">BD7&amp;"*"&amp;BC7</f>
        <v>-1.2*2.6</v>
      </c>
      <c r="AL7" s="31" t="str">
        <f t="shared" ref="AL7" si="3">BF7&amp;"*"&amp;BE7</f>
        <v>-1.2*2.6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0</v>
      </c>
      <c r="AQ7" s="31">
        <f>'와이드(실측)'!AI7</f>
        <v>0</v>
      </c>
      <c r="AR7" s="31">
        <f>'와이드(실측)'!AJ7</f>
        <v>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0</v>
      </c>
      <c r="AV7" s="21">
        <f>ABS(G7-COS(RADIANS(AU7))*I7)</f>
        <v>0</v>
      </c>
      <c r="AW7" s="21">
        <f>ABS(H7-COS(RADIANS(AU7))*K7)</f>
        <v>0</v>
      </c>
      <c r="AX7" s="21">
        <f>'와이드(실측)'!M7+AS7</f>
        <v>0</v>
      </c>
      <c r="AY7" s="21">
        <f>'와이드(실측)'!N7+AS7</f>
        <v>0</v>
      </c>
      <c r="AZ7" s="20">
        <f>AV7-MAX(AX7,AY7)</f>
        <v>0</v>
      </c>
      <c r="BA7" s="41">
        <f>IF(소장&lt;&gt;"손상민",F7+IF(Y7+Z7&gt;0,N7+M7,0),F7)</f>
        <v>0</v>
      </c>
      <c r="BB7" s="42">
        <f>MAX(C7,D7)+MAX(G7,H7)+AA7-1.2*$AJ$3+IF(BI7=0,MAX(AE7,AC7),0)+IF(Y7=0,1.2,0)+IF(Z7=0,1.2,0)+IF(소장&lt;&gt;"손상민", Y7+Z7,IF('와이드(실측)'!U7=0,0,2.4))</f>
        <v>2.6</v>
      </c>
      <c r="BC7" s="41">
        <f>S7+O7+MAX(I7,J7)+AB7-1.2*$AL$3+IF(BI7=0,MAX(AD7,AC7),0)+IF(S7=0,1.2,0)-IF(AR7=90,2.4,0)</f>
        <v>2.6000000000000005</v>
      </c>
      <c r="BD7" s="41">
        <f>MAX(U7,V7)+AG7</f>
        <v>-1.2</v>
      </c>
      <c r="BE7" s="41">
        <f>T7+P7+MAX(K7,L7)+AB7-1.2*$AL$3+IF(BI7=0,MAX(AE7,AF7),0)+IF(T7=0,1.2,0)-IF(AR7=90,2.4,0)</f>
        <v>2.6000000000000005</v>
      </c>
      <c r="BF7" s="41">
        <f>MAX(W7,X7)+AH7</f>
        <v>-1.2</v>
      </c>
      <c r="BG7" s="6">
        <f t="shared" ref="BG7" si="4">I7-G7-Q7</f>
        <v>0</v>
      </c>
      <c r="BH7" s="43" t="str">
        <f>IF(AND(C7&lt;&gt;D7,Y7&gt;0),"NG","")</f>
        <v/>
      </c>
      <c r="BI7" s="77">
        <f>IF(AND(MIN(AC7,AE7)&gt;=9.2,ABS(F7-E7)&gt;15),0,1)</f>
        <v>1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">
    <cfRule type="cellIs" dxfId="85" priority="52" operator="greaterThan">
      <formula>3</formula>
    </cfRule>
  </conditionalFormatting>
  <conditionalFormatting sqref="F7">
    <cfRule type="cellIs" dxfId="84" priority="39" operator="greaterThan">
      <formula>1210</formula>
    </cfRule>
  </conditionalFormatting>
  <conditionalFormatting sqref="I7:L7 C7:D7">
    <cfRule type="cellIs" dxfId="83" priority="38" operator="greaterThan">
      <formula>500</formula>
    </cfRule>
  </conditionalFormatting>
  <conditionalFormatting sqref="C7:D7">
    <cfRule type="cellIs" dxfId="82" priority="36" operator="notEqual">
      <formula>$D7</formula>
    </cfRule>
  </conditionalFormatting>
  <conditionalFormatting sqref="D7">
    <cfRule type="cellIs" dxfId="81" priority="35" operator="notEqual">
      <formula>$C7</formula>
    </cfRule>
  </conditionalFormatting>
  <conditionalFormatting sqref="AO7:AR7">
    <cfRule type="cellIs" dxfId="80" priority="17" operator="greaterThan">
      <formula>1.2</formula>
    </cfRule>
  </conditionalFormatting>
  <conditionalFormatting sqref="AO7">
    <cfRule type="cellIs" dxfId="79" priority="16" operator="greaterThan">
      <formula>0</formula>
    </cfRule>
  </conditionalFormatting>
  <conditionalFormatting sqref="G7">
    <cfRule type="cellIs" dxfId="78" priority="14" operator="notEqual">
      <formula>H7</formula>
    </cfRule>
  </conditionalFormatting>
  <conditionalFormatting sqref="H7">
    <cfRule type="cellIs" dxfId="77" priority="13" operator="notEqual">
      <formula>G7</formula>
    </cfRule>
  </conditionalFormatting>
  <conditionalFormatting sqref="I7">
    <cfRule type="cellIs" dxfId="76" priority="12" operator="notEqual">
      <formula>J7</formula>
    </cfRule>
  </conditionalFormatting>
  <conditionalFormatting sqref="J7">
    <cfRule type="cellIs" dxfId="75" priority="11" operator="notEqual">
      <formula>I7</formula>
    </cfRule>
  </conditionalFormatting>
  <conditionalFormatting sqref="K7">
    <cfRule type="cellIs" dxfId="74" priority="10" operator="notEqual">
      <formula>L7</formula>
    </cfRule>
  </conditionalFormatting>
  <conditionalFormatting sqref="L7">
    <cfRule type="cellIs" dxfId="73" priority="9" operator="notEqual">
      <formula>K7</formula>
    </cfRule>
  </conditionalFormatting>
  <conditionalFormatting sqref="AG7">
    <cfRule type="cellIs" dxfId="72" priority="8" operator="notEqual">
      <formula>AH7</formula>
    </cfRule>
  </conditionalFormatting>
  <conditionalFormatting sqref="AH7">
    <cfRule type="cellIs" dxfId="71" priority="7" operator="notEqual">
      <formula>AG7</formula>
    </cfRule>
  </conditionalFormatting>
  <conditionalFormatting sqref="AC7:AF7">
    <cfRule type="expression" dxfId="70" priority="6">
      <formula>$BI7</formula>
    </cfRule>
  </conditionalFormatting>
  <conditionalFormatting sqref="Y7">
    <cfRule type="expression" dxfId="69" priority="2">
      <formula>소장="손상민"</formula>
    </cfRule>
  </conditionalFormatting>
  <conditionalFormatting sqref="Z7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66" t="str">
        <f>정보!B3</f>
        <v>(멍텅구리) 실측서 ( 서울 종로구 인산빌딩 SO ) _김상훈소장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서울 종로구 인산빌딩 SO,   (재질) : HL 1.2T</v>
      </c>
      <c r="B3" s="2"/>
      <c r="C3" s="2"/>
      <c r="D3" s="2"/>
      <c r="E3" s="2"/>
      <c r="F3" s="2"/>
      <c r="G3" s="238"/>
      <c r="H3" s="238"/>
      <c r="I3" s="247"/>
      <c r="J3" s="247"/>
      <c r="K3" s="248"/>
      <c r="L3" s="248"/>
      <c r="M3" s="249"/>
      <c r="N3" s="249"/>
      <c r="O3" s="249"/>
      <c r="P3" s="244" t="s">
        <v>97</v>
      </c>
      <c r="Q3" s="244"/>
      <c r="R3" s="245"/>
      <c r="S3" s="245"/>
      <c r="T3" s="246"/>
      <c r="U3" s="246"/>
    </row>
    <row r="4" spans="1:39" ht="33" customHeight="1" x14ac:dyDescent="0.3">
      <c r="A4" s="164" t="str">
        <f>정보!B11</f>
        <v>제작치수 반영 : JB/JD +(5 ),  늘어난치수K -(0),  C + (0),  U +(0), OP - (0), R - (0),  기둥차감 - (0),  A + (3)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9"/>
      <c r="AA4" s="9"/>
      <c r="AB4" s="174" t="s">
        <v>215</v>
      </c>
      <c r="AC4" s="174"/>
      <c r="AD4" s="81" t="s">
        <v>234</v>
      </c>
    </row>
    <row r="5" spans="1:39" ht="25.9" customHeight="1" x14ac:dyDescent="0.3">
      <c r="A5" s="176" t="s">
        <v>0</v>
      </c>
      <c r="B5" s="168" t="s">
        <v>1</v>
      </c>
      <c r="C5" s="168" t="s">
        <v>3</v>
      </c>
      <c r="D5" s="168" t="s">
        <v>18</v>
      </c>
      <c r="E5" s="168" t="s">
        <v>4</v>
      </c>
      <c r="F5" s="168" t="s">
        <v>5</v>
      </c>
      <c r="G5" s="168" t="s">
        <v>6</v>
      </c>
      <c r="H5" s="168" t="s">
        <v>7</v>
      </c>
      <c r="I5" s="168" t="s">
        <v>8</v>
      </c>
      <c r="J5" s="168" t="s">
        <v>9</v>
      </c>
      <c r="K5" s="168" t="s">
        <v>10</v>
      </c>
      <c r="L5" s="168" t="s">
        <v>11</v>
      </c>
      <c r="M5" s="168" t="s">
        <v>14</v>
      </c>
      <c r="N5" s="168" t="s">
        <v>15</v>
      </c>
      <c r="O5" s="168" t="s">
        <v>16</v>
      </c>
      <c r="P5" s="168" t="s">
        <v>17</v>
      </c>
      <c r="Q5" s="168" t="s">
        <v>19</v>
      </c>
      <c r="R5" s="168" t="s">
        <v>20</v>
      </c>
      <c r="S5" s="239" t="s">
        <v>22</v>
      </c>
      <c r="T5" s="239" t="s">
        <v>23</v>
      </c>
      <c r="U5" s="241" t="s">
        <v>21</v>
      </c>
      <c r="V5" s="242"/>
      <c r="W5" s="242"/>
      <c r="X5" s="243"/>
      <c r="Y5" s="169" t="s">
        <v>203</v>
      </c>
      <c r="Z5" s="169"/>
      <c r="AA5" s="169"/>
      <c r="AB5" s="172" t="s">
        <v>212</v>
      </c>
      <c r="AC5" s="173"/>
      <c r="AD5" s="80" t="s">
        <v>231</v>
      </c>
    </row>
    <row r="6" spans="1:39" ht="47.25" customHeight="1" x14ac:dyDescent="0.3">
      <c r="A6" s="176"/>
      <c r="B6" s="168"/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240"/>
      <c r="T6" s="240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G3:H3"/>
    <mergeCell ref="N5:N6"/>
    <mergeCell ref="S5:S6"/>
    <mergeCell ref="O5:O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K5:K6"/>
    <mergeCell ref="J5:J6"/>
    <mergeCell ref="L5:L6"/>
    <mergeCell ref="R5:R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85" zoomScaleNormal="85" workbookViewId="0">
      <selection sqref="A1:AH1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66" t="str">
        <f>정보!C3</f>
        <v>(멍텅구리) 제작변환 자료( 서울 종로구 인산빌딩 SO ) _김상훈소장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"/>
      <c r="AJ1" s="1"/>
      <c r="AK1" s="250" t="s">
        <v>75</v>
      </c>
      <c r="AL1" s="250"/>
      <c r="AM1" s="250"/>
      <c r="AR1" s="24"/>
    </row>
    <row r="2" spans="1:53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57" t="s">
        <v>81</v>
      </c>
      <c r="H2" s="257"/>
      <c r="I2" s="257"/>
      <c r="J2" s="263">
        <v>0</v>
      </c>
      <c r="K2" s="263"/>
      <c r="L2" s="260" t="s">
        <v>113</v>
      </c>
      <c r="M2" s="260"/>
      <c r="N2" s="260"/>
      <c r="O2" s="260"/>
      <c r="P2" s="261">
        <v>1</v>
      </c>
      <c r="Q2" s="261"/>
      <c r="R2" s="258" t="s">
        <v>103</v>
      </c>
      <c r="S2" s="259"/>
      <c r="T2" s="108">
        <v>0</v>
      </c>
      <c r="U2" s="258" t="s">
        <v>88</v>
      </c>
      <c r="V2" s="259"/>
      <c r="W2" s="256">
        <v>0</v>
      </c>
      <c r="X2" s="256"/>
      <c r="Y2" s="252" t="s">
        <v>82</v>
      </c>
      <c r="Z2" s="253"/>
      <c r="AA2" s="254">
        <v>0</v>
      </c>
      <c r="AB2" s="254"/>
      <c r="AC2" s="98" t="s">
        <v>114</v>
      </c>
      <c r="AD2" s="251">
        <v>0</v>
      </c>
      <c r="AE2" s="251"/>
      <c r="AF2" s="1"/>
      <c r="AG2" s="1"/>
      <c r="AH2" s="1"/>
      <c r="AI2" s="1"/>
      <c r="AJ2" s="1"/>
      <c r="AK2" s="250"/>
      <c r="AL2" s="250"/>
      <c r="AM2" s="250"/>
      <c r="AR2" s="24"/>
    </row>
    <row r="3" spans="1:53" ht="33" customHeight="1" x14ac:dyDescent="0.3">
      <c r="A3" s="33" t="str">
        <f>'멍텅(실측)'!A3</f>
        <v>현장명 : 서울 종로구 인산빌딩 SO,   (재질) : HL 1.2T</v>
      </c>
      <c r="B3" s="2"/>
      <c r="C3" s="2"/>
      <c r="D3" s="2"/>
      <c r="E3" s="2"/>
      <c r="F3" s="2"/>
      <c r="G3" s="252" t="s">
        <v>76</v>
      </c>
      <c r="H3" s="252"/>
      <c r="I3" s="252"/>
      <c r="J3" s="264">
        <v>5</v>
      </c>
      <c r="K3" s="264"/>
      <c r="L3" s="252" t="s">
        <v>77</v>
      </c>
      <c r="M3" s="252"/>
      <c r="N3" s="265">
        <v>0</v>
      </c>
      <c r="O3" s="265"/>
      <c r="P3" s="266" t="s">
        <v>227</v>
      </c>
      <c r="Q3" s="266"/>
      <c r="R3" s="266"/>
      <c r="S3" s="267">
        <f>AZ7</f>
        <v>1</v>
      </c>
      <c r="T3" s="267"/>
      <c r="U3" s="262" t="s">
        <v>78</v>
      </c>
      <c r="V3" s="262"/>
      <c r="W3" s="255">
        <v>3</v>
      </c>
      <c r="X3" s="255"/>
      <c r="AA3" s="210" t="s">
        <v>73</v>
      </c>
      <c r="AB3" s="210"/>
      <c r="AC3" s="102">
        <v>3</v>
      </c>
      <c r="AD3" s="4" t="s">
        <v>74</v>
      </c>
      <c r="AE3" s="104">
        <v>4</v>
      </c>
      <c r="AF3" s="281" t="s">
        <v>325</v>
      </c>
      <c r="AG3" s="282"/>
      <c r="AH3" s="213"/>
      <c r="AI3" s="283">
        <f>AN7</f>
        <v>0</v>
      </c>
      <c r="AJ3" s="230"/>
      <c r="AK3" s="25"/>
      <c r="AL3" s="25"/>
      <c r="AM3" s="24"/>
      <c r="AR3" s="24"/>
    </row>
    <row r="4" spans="1:53" ht="33" customHeight="1" x14ac:dyDescent="0.3">
      <c r="A4" s="278" t="str">
        <f>'멍텅(실측)'!A4:Y4</f>
        <v>제작치수 반영 : JB/JD +(5 ),  늘어난치수K -(0),  C + (0),  U +(0), OP - (0), R - (0),  기둥차감 - (0),  A + (3)</v>
      </c>
      <c r="B4" s="278"/>
      <c r="C4" s="278"/>
      <c r="D4" s="278"/>
      <c r="E4" s="278"/>
      <c r="F4" s="278"/>
      <c r="G4" s="278"/>
      <c r="H4" s="278"/>
      <c r="I4" s="278"/>
      <c r="J4" s="278"/>
      <c r="K4" s="278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6" t="s">
        <v>311</v>
      </c>
      <c r="Z4" s="276"/>
      <c r="AA4" s="277">
        <f>'멍텅(실측)'!U7</f>
        <v>0</v>
      </c>
      <c r="AB4" s="277"/>
      <c r="AC4" s="9"/>
      <c r="AD4" s="223">
        <f ca="1">TODAY()</f>
        <v>45223</v>
      </c>
      <c r="AE4" s="163"/>
      <c r="AF4" s="279" t="s">
        <v>235</v>
      </c>
      <c r="AG4" s="279"/>
      <c r="AH4" s="280"/>
      <c r="AI4" s="174" t="s">
        <v>215</v>
      </c>
      <c r="AJ4" s="174"/>
      <c r="AK4" s="25"/>
      <c r="AL4" s="25"/>
      <c r="AM4" s="24"/>
      <c r="AR4" s="24"/>
      <c r="AZ4" s="178" t="s">
        <v>253</v>
      </c>
    </row>
    <row r="5" spans="1:53" ht="25.9" customHeight="1" x14ac:dyDescent="0.3">
      <c r="A5" s="168" t="s">
        <v>0</v>
      </c>
      <c r="B5" s="168" t="s">
        <v>1</v>
      </c>
      <c r="C5" s="168" t="s">
        <v>3</v>
      </c>
      <c r="D5" s="168" t="s">
        <v>18</v>
      </c>
      <c r="E5" s="169" t="s">
        <v>58</v>
      </c>
      <c r="F5" s="169" t="s">
        <v>59</v>
      </c>
      <c r="G5" s="268" t="s">
        <v>60</v>
      </c>
      <c r="H5" s="268" t="s">
        <v>64</v>
      </c>
      <c r="I5" s="270" t="s">
        <v>65</v>
      </c>
      <c r="J5" s="270" t="s">
        <v>66</v>
      </c>
      <c r="K5" s="239" t="s">
        <v>62</v>
      </c>
      <c r="L5" s="239" t="s">
        <v>63</v>
      </c>
      <c r="M5" s="168" t="s">
        <v>8</v>
      </c>
      <c r="N5" s="168" t="s">
        <v>9</v>
      </c>
      <c r="O5" s="168" t="s">
        <v>10</v>
      </c>
      <c r="P5" s="168" t="s">
        <v>11</v>
      </c>
      <c r="Q5" s="168" t="s">
        <v>14</v>
      </c>
      <c r="R5" s="168" t="s">
        <v>15</v>
      </c>
      <c r="S5" s="168" t="s">
        <v>16</v>
      </c>
      <c r="T5" s="168" t="s">
        <v>17</v>
      </c>
      <c r="U5" s="168" t="s">
        <v>19</v>
      </c>
      <c r="V5" s="272" t="s">
        <v>20</v>
      </c>
      <c r="W5" s="239" t="s">
        <v>22</v>
      </c>
      <c r="X5" s="239" t="s">
        <v>23</v>
      </c>
      <c r="Y5" s="241" t="s">
        <v>21</v>
      </c>
      <c r="Z5" s="242"/>
      <c r="AA5" s="242"/>
      <c r="AB5" s="243"/>
      <c r="AC5" s="169" t="s">
        <v>25</v>
      </c>
      <c r="AD5" s="274" t="s">
        <v>34</v>
      </c>
      <c r="AE5" s="169" t="s">
        <v>35</v>
      </c>
      <c r="AF5" s="236" t="s">
        <v>203</v>
      </c>
      <c r="AG5" s="236"/>
      <c r="AH5" s="236"/>
      <c r="AI5" s="172" t="s">
        <v>212</v>
      </c>
      <c r="AJ5" s="173"/>
      <c r="AK5" s="178" t="s">
        <v>305</v>
      </c>
      <c r="AL5" s="178" t="s">
        <v>306</v>
      </c>
      <c r="AM5" s="273" t="s">
        <v>51</v>
      </c>
      <c r="AT5" s="179" t="s">
        <v>28</v>
      </c>
      <c r="AU5" s="179"/>
      <c r="AV5" s="179" t="s">
        <v>29</v>
      </c>
      <c r="AW5" s="179"/>
      <c r="AZ5" s="179"/>
    </row>
    <row r="6" spans="1:53" ht="48" customHeight="1" x14ac:dyDescent="0.3">
      <c r="A6" s="168"/>
      <c r="B6" s="168"/>
      <c r="C6" s="168"/>
      <c r="D6" s="168"/>
      <c r="E6" s="168"/>
      <c r="F6" s="168"/>
      <c r="G6" s="269"/>
      <c r="H6" s="269"/>
      <c r="I6" s="271"/>
      <c r="J6" s="271"/>
      <c r="K6" s="240"/>
      <c r="L6" s="240"/>
      <c r="M6" s="168"/>
      <c r="N6" s="168"/>
      <c r="O6" s="168"/>
      <c r="P6" s="168"/>
      <c r="Q6" s="168"/>
      <c r="R6" s="168"/>
      <c r="S6" s="168"/>
      <c r="T6" s="168"/>
      <c r="U6" s="168"/>
      <c r="V6" s="272"/>
      <c r="W6" s="240"/>
      <c r="X6" s="240"/>
      <c r="Y6" s="8" t="s">
        <v>56</v>
      </c>
      <c r="Z6" s="8" t="s">
        <v>57</v>
      </c>
      <c r="AA6" s="8" t="s">
        <v>54</v>
      </c>
      <c r="AB6" s="8" t="s">
        <v>55</v>
      </c>
      <c r="AC6" s="168"/>
      <c r="AD6" s="275"/>
      <c r="AE6" s="168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9"/>
      <c r="AL6" s="179"/>
      <c r="AM6" s="273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0</v>
      </c>
      <c r="D7" s="4">
        <f>'멍텅(실측)'!D7-멍텅R</f>
        <v>0</v>
      </c>
      <c r="E7" s="50">
        <f>'멍텅(실측)'!E7+MAX(AK7,AL7)+IF(AZ7=1,Y7,0)+멍텅JBJD늘림치수</f>
        <v>5</v>
      </c>
      <c r="F7" s="50">
        <f>'멍텅(실측)'!F7+MAX(AK7,AL7)+IF(AZ7=1,AA7,0)+멍텅JBJD늘림치수</f>
        <v>5</v>
      </c>
      <c r="G7" s="50">
        <f>'멍텅(실측)'!G7+AK7+IF(AZ7=1,Y7,0)+멍텅JB강제키움+멍텅JBJD늘림치수</f>
        <v>5</v>
      </c>
      <c r="H7" s="50">
        <f>'멍텅(실측)'!G7+AK7+IF(AZ7=1,Z7,0)+멍텅JB강제키움+멍텅JBJD늘림치수-IF(멍텅JB하부늘치=1,'멍텅(실측)'!U7-'멍텅(실측)'!V7,0)</f>
        <v>5</v>
      </c>
      <c r="I7" s="50">
        <f>'멍텅(실측)'!H7+AL7+IF(AZ7=1,AA7,0)+멍텅JB강제키움+멍텅JBJD늘림치수</f>
        <v>5</v>
      </c>
      <c r="J7" s="50">
        <f>'멍텅(실측)'!H7+AL7+IF(AZ7=1,AB7,0)+멍텅JB강제키움+멍텅JBJD늘림치수-IF(멍텅JB하부늘치=1,'멍텅(실측)'!W7-'멍텅(실측)'!X7,0)</f>
        <v>5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0</v>
      </c>
      <c r="Z7" s="13">
        <f>IF(멍텅JB하부늘치=1,Y7,'멍텅(실측)'!V7-멍텅늘치차감)</f>
        <v>0</v>
      </c>
      <c r="AA7" s="13">
        <f>'멍텅(실측)'!W7-멍텅늘치차감</f>
        <v>0</v>
      </c>
      <c r="AB7" s="13">
        <f>IF(멍텅JB하부늘치=1,AA7,'멍텅(실측)'!X7-멍텅늘치차감)</f>
        <v>0</v>
      </c>
      <c r="AC7" s="11" t="str">
        <f t="shared" ref="AC7" si="1">AR7&amp;"*"&amp;AS7</f>
        <v>0*2.6</v>
      </c>
      <c r="AD7" s="12" t="str">
        <f t="shared" ref="AD7" si="2">AU7&amp;"*"&amp;AT7</f>
        <v>0*2.4</v>
      </c>
      <c r="AE7" s="10" t="str">
        <f t="shared" ref="AE7" si="3">AW7&amp;"*"&amp;AV7</f>
        <v>0*2.4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4">DEGREES(ATAN((D7-C7)/2/(E7)))</f>
        <v>0</v>
      </c>
      <c r="AO7" s="36">
        <f>IF(소장="박철우",E7-COS(RADIANS(AN7))*G7+2,E7-COS(RADIANS(AN7))*G7)</f>
        <v>0</v>
      </c>
      <c r="AP7" s="36">
        <f>IF(소장="박철우",F7-COS(RADIANS(AN7))*I7+2,F7-COS(RADIANS(AN7))*I7)</f>
        <v>0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2.6000000000000005</v>
      </c>
      <c r="AT7" s="3">
        <f>O7+M7+MAX(G7,H7)+X7-1.2*$AE$3+IF(AZ7=0,MAX(Y7,Z7))+IF(O7=0,1.2,0)-IF(AH7=90,2.4,0)</f>
        <v>2.4000000000000004</v>
      </c>
      <c r="AU7" s="3">
        <f t="shared" ref="AU7" si="6">MAX(Q7,R7)</f>
        <v>0</v>
      </c>
      <c r="AV7" s="3">
        <f>P7+N7+MAX(I7,J7)+X7-1.2*$AE$3+IF(AZ7=0,MAX(AA7,AB7))+IF(P7=0,1.2,0)-IF(AH7=90,2.4,0)</f>
        <v>2.4000000000000004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sqref="A1:V1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5" t="str">
        <f>정보!B4</f>
        <v>(쪽쟘) 실측서 ( 서울 종로구 인산빌딩 SO ) _김상훈소장</v>
      </c>
      <c r="B1" s="285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서울 종로구 인산빌딩 SO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8" t="s">
        <v>118</v>
      </c>
      <c r="B5" s="284" t="s">
        <v>119</v>
      </c>
      <c r="C5" s="284" t="s">
        <v>120</v>
      </c>
      <c r="D5" s="284" t="s">
        <v>121</v>
      </c>
      <c r="E5" s="284" t="s">
        <v>122</v>
      </c>
      <c r="F5" s="284" t="s">
        <v>123</v>
      </c>
      <c r="G5" s="284" t="s">
        <v>124</v>
      </c>
      <c r="H5" s="284" t="s">
        <v>125</v>
      </c>
      <c r="I5" s="284" t="s">
        <v>126</v>
      </c>
      <c r="J5" s="284" t="s">
        <v>128</v>
      </c>
      <c r="K5" s="284" t="s">
        <v>15</v>
      </c>
      <c r="L5" s="284" t="s">
        <v>129</v>
      </c>
      <c r="M5" s="284" t="s">
        <v>130</v>
      </c>
      <c r="N5" s="284" t="s">
        <v>131</v>
      </c>
      <c r="O5" s="284" t="s">
        <v>132</v>
      </c>
      <c r="P5" s="286" t="s">
        <v>133</v>
      </c>
      <c r="Q5" s="286" t="s">
        <v>134</v>
      </c>
      <c r="R5" s="284" t="s">
        <v>135</v>
      </c>
      <c r="S5" s="284"/>
      <c r="T5" s="169" t="s">
        <v>203</v>
      </c>
      <c r="U5" s="169"/>
      <c r="V5" s="169"/>
    </row>
    <row r="6" spans="1:22" ht="25.9" customHeight="1" x14ac:dyDescent="0.3">
      <c r="A6" s="288"/>
      <c r="B6" s="284"/>
      <c r="C6" s="284"/>
      <c r="D6" s="284"/>
      <c r="E6" s="284"/>
      <c r="F6" s="284"/>
      <c r="G6" s="284"/>
      <c r="H6" s="284"/>
      <c r="I6" s="284"/>
      <c r="J6" s="284"/>
      <c r="K6" s="284"/>
      <c r="L6" s="284"/>
      <c r="M6" s="284"/>
      <c r="N6" s="284"/>
      <c r="O6" s="284"/>
      <c r="P6" s="287"/>
      <c r="Q6" s="287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133"/>
      <c r="B7" s="60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133"/>
      <c r="B8" s="60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133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133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133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133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133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133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133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133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133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133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133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133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133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133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133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133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133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133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133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133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133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133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133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133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133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133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G5:G6"/>
    <mergeCell ref="H5:H6"/>
    <mergeCell ref="I5:I6"/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25"/>
  <sheetViews>
    <sheetView zoomScale="85" zoomScaleNormal="85" workbookViewId="0">
      <selection activeCell="P3" sqref="P3:Q3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66" t="str">
        <f>정보!B1 &amp; " (쪽쟘제작치수)  " &amp; 정보!B6 &amp;" 소장"</f>
        <v>서울 종로구 인산빌딩 SO (쪽쟘제작치수)  김상훈 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</row>
    <row r="2" spans="1:34" ht="30.75" customHeight="1" x14ac:dyDescent="0.3">
      <c r="A2" s="1"/>
      <c r="B2" s="1"/>
      <c r="C2" s="289" t="str">
        <f>"총 : " &amp; COUNTA(A7:A168) &amp;" (SET)"</f>
        <v>총 : 19 (SET)</v>
      </c>
      <c r="D2" s="289"/>
      <c r="E2" s="289"/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90" t="s">
        <v>139</v>
      </c>
      <c r="Q2" s="291"/>
      <c r="R2" s="291"/>
      <c r="S2" s="291"/>
      <c r="T2" s="61"/>
      <c r="U2" s="292">
        <v>1.2</v>
      </c>
      <c r="V2" s="292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38" t="s">
        <v>140</v>
      </c>
      <c r="F3" s="238"/>
      <c r="G3" s="62">
        <v>0</v>
      </c>
      <c r="H3" s="23" t="s">
        <v>141</v>
      </c>
      <c r="I3" s="293">
        <v>0</v>
      </c>
      <c r="J3" s="293"/>
      <c r="K3" s="63"/>
      <c r="L3" s="63"/>
      <c r="M3" s="248" t="s">
        <v>82</v>
      </c>
      <c r="N3" s="248"/>
      <c r="O3" s="248"/>
      <c r="P3" s="294">
        <v>0</v>
      </c>
      <c r="Q3" s="294"/>
      <c r="R3" s="245" t="s">
        <v>90</v>
      </c>
      <c r="S3" s="245"/>
      <c r="T3" s="64"/>
      <c r="U3" s="295">
        <v>0</v>
      </c>
      <c r="V3" s="295"/>
      <c r="W3" s="65"/>
      <c r="X3" s="65"/>
      <c r="Y3" s="65"/>
      <c r="Z3" s="65"/>
      <c r="AA3" s="65"/>
    </row>
    <row r="4" spans="1:34" ht="33" customHeight="1" x14ac:dyDescent="0.3">
      <c r="A4" s="164" t="str">
        <f>정보!B12</f>
        <v>제작치수 반영 : JB/JD +(0 ),  늘어난치수K -(0), OP - (0),  기둥차감 - (0)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230" t="s">
        <v>235</v>
      </c>
      <c r="Z4" s="230"/>
      <c r="AA4" s="231"/>
    </row>
    <row r="5" spans="1:34" ht="25.9" customHeight="1" x14ac:dyDescent="0.3">
      <c r="A5" s="168" t="s">
        <v>0</v>
      </c>
      <c r="B5" s="168" t="s">
        <v>119</v>
      </c>
      <c r="C5" s="169" t="s">
        <v>142</v>
      </c>
      <c r="D5" s="168" t="s">
        <v>120</v>
      </c>
      <c r="E5" s="169" t="s">
        <v>143</v>
      </c>
      <c r="F5" s="169" t="s">
        <v>144</v>
      </c>
      <c r="G5" s="169" t="s">
        <v>34</v>
      </c>
      <c r="H5" s="169" t="s">
        <v>145</v>
      </c>
      <c r="I5" s="169" t="s">
        <v>207</v>
      </c>
      <c r="J5" s="169" t="s">
        <v>208</v>
      </c>
      <c r="K5" s="169" t="s">
        <v>146</v>
      </c>
      <c r="L5" s="169" t="s">
        <v>147</v>
      </c>
      <c r="M5" s="296" t="s">
        <v>148</v>
      </c>
      <c r="N5" s="296" t="s">
        <v>149</v>
      </c>
      <c r="O5" s="168" t="s">
        <v>127</v>
      </c>
      <c r="P5" s="168" t="s">
        <v>15</v>
      </c>
      <c r="Q5" s="168" t="s">
        <v>129</v>
      </c>
      <c r="R5" s="168" t="s">
        <v>130</v>
      </c>
      <c r="S5" s="169" t="s">
        <v>150</v>
      </c>
      <c r="T5" s="296" t="s">
        <v>151</v>
      </c>
      <c r="U5" s="169" t="s">
        <v>133</v>
      </c>
      <c r="V5" s="169" t="s">
        <v>152</v>
      </c>
      <c r="W5" s="168" t="s">
        <v>135</v>
      </c>
      <c r="X5" s="168"/>
      <c r="Y5" s="299" t="s">
        <v>203</v>
      </c>
      <c r="Z5" s="299"/>
      <c r="AA5" s="299"/>
      <c r="AE5" s="179" t="s">
        <v>153</v>
      </c>
      <c r="AF5" s="179"/>
      <c r="AG5" s="179" t="s">
        <v>154</v>
      </c>
      <c r="AH5" s="179"/>
    </row>
    <row r="6" spans="1:34" ht="36.75" customHeight="1" x14ac:dyDescent="0.3">
      <c r="A6" s="210"/>
      <c r="B6" s="210"/>
      <c r="C6" s="210"/>
      <c r="D6" s="210"/>
      <c r="E6" s="210"/>
      <c r="F6" s="210"/>
      <c r="G6" s="210"/>
      <c r="H6" s="210"/>
      <c r="I6" s="210"/>
      <c r="J6" s="210"/>
      <c r="K6" s="239"/>
      <c r="L6" s="239"/>
      <c r="M6" s="297"/>
      <c r="N6" s="297"/>
      <c r="O6" s="210"/>
      <c r="P6" s="210"/>
      <c r="Q6" s="210"/>
      <c r="R6" s="210"/>
      <c r="S6" s="210"/>
      <c r="T6" s="298"/>
      <c r="U6" s="239"/>
      <c r="V6" s="239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0*-3.6</v>
      </c>
      <c r="D7" s="50">
        <f>'쪽쟘(실측)'!C7-쪽쟘OP차감</f>
        <v>0</v>
      </c>
      <c r="E7" s="50">
        <f>'쪽쟘(실측)'!D7+쪽쟘J늘림+MAX(W7:X7)</f>
        <v>0</v>
      </c>
      <c r="F7" s="50">
        <f>'쪽쟘(실측)'!E7+쪽쟘J늘림+MAX(W7:X7)</f>
        <v>0</v>
      </c>
      <c r="G7" s="67" t="str">
        <f>AF7&amp;"*"&amp;AE7</f>
        <v>0*-2.4</v>
      </c>
      <c r="H7" s="68" t="str">
        <f>AH7&amp;"*"&amp;AG7</f>
        <v>0*-2.4</v>
      </c>
      <c r="I7" s="50">
        <f>IF('쪽쟘(실측)'!F7&gt;0,'쪽쟘(실측)'!F7-1.5,0)+뒷날개치수더함</f>
        <v>0</v>
      </c>
      <c r="J7" s="50">
        <f>IF('쪽쟘(실측)'!H7&gt;0,'쪽쟘(실측)'!H7-1.5,0)+뒷날개치수더함</f>
        <v>0</v>
      </c>
      <c r="K7" s="50">
        <f>IF('쪽쟘(실측)'!F7&gt;0,'쪽쟘(실측)'!F7+0,0)+뒷날개치수더함</f>
        <v>0</v>
      </c>
      <c r="L7" s="50">
        <f>IF('쪽쟘(실측)'!G7&gt;0,'쪽쟘(실측)'!G7+0,0)+뒷날개치수더함</f>
        <v>0</v>
      </c>
      <c r="M7" s="50">
        <f>IF('쪽쟘(실측)'!H7&gt;0,'쪽쟘(실측)'!H7+0,0)+뒷날개치수더함</f>
        <v>0</v>
      </c>
      <c r="N7" s="50">
        <f>IF('쪽쟘(실측)'!I7&gt;0,'쪽쟘(실측)'!I7+0,0)+뒷날개치수더함</f>
        <v>0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0</v>
      </c>
      <c r="V7" s="50">
        <f>'쪽쟘(실측)'!Q7+뒷날개치수더함</f>
        <v>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0</v>
      </c>
      <c r="AD7">
        <f t="shared" ref="AD7" si="1">U7+E7+MAX(S7,T7)-쪽쟘소재t*3+IF(S7=0,S7*쪽쟘소재t,0)</f>
        <v>-3.5999999999999996</v>
      </c>
      <c r="AE7">
        <f t="shared" ref="AE7:AE25" si="2">MAX(K7,L7)+F7+V7-쪽쟘소재t*3+IF(K7=0,쪽쟘소재t)-IF(AA7=90,2.4,0)</f>
        <v>-2.3999999999999995</v>
      </c>
      <c r="AF7">
        <f t="shared" ref="AF7" si="3">MAX(O7,P7)</f>
        <v>0</v>
      </c>
      <c r="AG7">
        <f t="shared" ref="AG7:AG25" si="4">MAX(M7,N7)+F7+V7-쪽쟘소재t*3+IF(M7=0,쪽쟘소재t)-IF(AA7=90,2.4,0)</f>
        <v>-2.3999999999999995</v>
      </c>
      <c r="AH7">
        <f>MAX(Q7,R7)</f>
        <v>0</v>
      </c>
    </row>
    <row r="8" spans="1:34" ht="19.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:C25" si="5">AC8&amp;"*"&amp;AD8</f>
        <v>0*-3.6</v>
      </c>
      <c r="D8" s="50">
        <f>'쪽쟘(실측)'!C8-쪽쟘OP차감</f>
        <v>0</v>
      </c>
      <c r="E8" s="50">
        <f>'쪽쟘(실측)'!D8+쪽쟘J늘림+MAX(W8:X8)</f>
        <v>0</v>
      </c>
      <c r="F8" s="50">
        <f>'쪽쟘(실측)'!E8+쪽쟘J늘림+MAX(W8:X8)</f>
        <v>0</v>
      </c>
      <c r="G8" s="67" t="str">
        <f t="shared" ref="G8:G25" si="6">AF8&amp;"*"&amp;AE8</f>
        <v>0*-2.4</v>
      </c>
      <c r="H8" s="68" t="str">
        <f t="shared" ref="H8:H25" si="7">AH8&amp;"*"&amp;AG8</f>
        <v>0*-2.4</v>
      </c>
      <c r="I8" s="50">
        <f>IF('쪽쟘(실측)'!F8&gt;0,'쪽쟘(실측)'!F8-1.5,0)+뒷날개치수더함</f>
        <v>0</v>
      </c>
      <c r="J8" s="50">
        <f>IF('쪽쟘(실측)'!H8&gt;0,'쪽쟘(실측)'!H8-1.5,0)+뒷날개치수더함</f>
        <v>0</v>
      </c>
      <c r="K8" s="50">
        <f>IF('쪽쟘(실측)'!F8&gt;0,'쪽쟘(실측)'!F8+0,0)+뒷날개치수더함</f>
        <v>0</v>
      </c>
      <c r="L8" s="50">
        <f>IF('쪽쟘(실측)'!G8&gt;0,'쪽쟘(실측)'!G8+0,0)+뒷날개치수더함</f>
        <v>0</v>
      </c>
      <c r="M8" s="50">
        <f>IF('쪽쟘(실측)'!H8&gt;0,'쪽쟘(실측)'!H8+0,0)+뒷날개치수더함</f>
        <v>0</v>
      </c>
      <c r="N8" s="50">
        <f>IF('쪽쟘(실측)'!I8&gt;0,'쪽쟘(실측)'!I8+0,0)+뒷날개치수더함</f>
        <v>0</v>
      </c>
      <c r="O8" s="50">
        <f>'쪽쟘(실측)'!J8-쪽쟘기둥차감</f>
        <v>0</v>
      </c>
      <c r="P8" s="50">
        <f>'쪽쟘(실측)'!K8-쪽쟘기둥차감</f>
        <v>0</v>
      </c>
      <c r="Q8" s="50">
        <f>'쪽쟘(실측)'!L8-쪽쟘기둥차감</f>
        <v>0</v>
      </c>
      <c r="R8" s="50">
        <f>'쪽쟘(실측)'!M8-쪽쟘기둥차감</f>
        <v>0</v>
      </c>
      <c r="S8" s="50">
        <f>'쪽쟘(실측)'!N8+뒷날개치수더함</f>
        <v>0</v>
      </c>
      <c r="T8" s="50">
        <f>'쪽쟘(실측)'!O8+뒷날개치수더함</f>
        <v>0</v>
      </c>
      <c r="U8" s="50">
        <f>'쪽쟘(실측)'!P8+뒷날개치수더함</f>
        <v>0</v>
      </c>
      <c r="V8" s="50">
        <f>'쪽쟘(실측)'!Q8+뒷날개치수더함</f>
        <v>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5" si="8">D8+I8+J8</f>
        <v>0</v>
      </c>
      <c r="AD8">
        <f t="shared" ref="AD8:AD25" si="9">U8+E8+MAX(S8,T8)-쪽쟘소재t*3+IF(S8=0,S8*쪽쟘소재t,0)</f>
        <v>-3.5999999999999996</v>
      </c>
      <c r="AE8">
        <f t="shared" si="2"/>
        <v>-2.3999999999999995</v>
      </c>
      <c r="AF8">
        <f t="shared" ref="AF8:AF25" si="10">MAX(O8,P8)</f>
        <v>0</v>
      </c>
      <c r="AG8">
        <f t="shared" si="4"/>
        <v>-2.3999999999999995</v>
      </c>
      <c r="AH8">
        <f t="shared" ref="AH8:AH25" si="11">MAX(Q8,R8)</f>
        <v>0</v>
      </c>
    </row>
    <row r="9" spans="1:34" ht="19.5" customHeight="1" x14ac:dyDescent="0.3">
      <c r="A9" s="50">
        <f>'쪽쟘(실측)'!A9</f>
        <v>0</v>
      </c>
      <c r="B9" s="50" t="str">
        <f>'쪽쟘(실측)'!B9&amp;"F"</f>
        <v>F</v>
      </c>
      <c r="C9" s="50" t="str">
        <f t="shared" si="5"/>
        <v>0*-3.6</v>
      </c>
      <c r="D9" s="50">
        <f>'쪽쟘(실측)'!C9-쪽쟘OP차감</f>
        <v>0</v>
      </c>
      <c r="E9" s="50">
        <f>'쪽쟘(실측)'!D9+쪽쟘J늘림+MAX(W9:X9)</f>
        <v>0</v>
      </c>
      <c r="F9" s="50">
        <f>'쪽쟘(실측)'!E9+쪽쟘J늘림+MAX(W9:X9)</f>
        <v>0</v>
      </c>
      <c r="G9" s="67" t="str">
        <f t="shared" si="6"/>
        <v>0*-2.4</v>
      </c>
      <c r="H9" s="68" t="str">
        <f t="shared" si="7"/>
        <v>0*-2.4</v>
      </c>
      <c r="I9" s="50">
        <f>IF('쪽쟘(실측)'!F9&gt;0,'쪽쟘(실측)'!F9-1.5,0)+뒷날개치수더함</f>
        <v>0</v>
      </c>
      <c r="J9" s="50">
        <f>IF('쪽쟘(실측)'!H9&gt;0,'쪽쟘(실측)'!H9-1.5,0)+뒷날개치수더함</f>
        <v>0</v>
      </c>
      <c r="K9" s="50">
        <f>IF('쪽쟘(실측)'!F9&gt;0,'쪽쟘(실측)'!F9+0,0)+뒷날개치수더함</f>
        <v>0</v>
      </c>
      <c r="L9" s="50">
        <f>IF('쪽쟘(실측)'!G9&gt;0,'쪽쟘(실측)'!G9+0,0)+뒷날개치수더함</f>
        <v>0</v>
      </c>
      <c r="M9" s="50">
        <f>IF('쪽쟘(실측)'!H9&gt;0,'쪽쟘(실측)'!H9+0,0)+뒷날개치수더함</f>
        <v>0</v>
      </c>
      <c r="N9" s="50">
        <f>IF('쪽쟘(실측)'!I9&gt;0,'쪽쟘(실측)'!I9+0,0)+뒷날개치수더함</f>
        <v>0</v>
      </c>
      <c r="O9" s="50">
        <f>'쪽쟘(실측)'!J9-쪽쟘기둥차감</f>
        <v>0</v>
      </c>
      <c r="P9" s="50">
        <f>'쪽쟘(실측)'!K9-쪽쟘기둥차감</f>
        <v>0</v>
      </c>
      <c r="Q9" s="50">
        <f>'쪽쟘(실측)'!L9-쪽쟘기둥차감</f>
        <v>0</v>
      </c>
      <c r="R9" s="50">
        <f>'쪽쟘(실측)'!M9-쪽쟘기둥차감</f>
        <v>0</v>
      </c>
      <c r="S9" s="50">
        <f>'쪽쟘(실측)'!N9+뒷날개치수더함</f>
        <v>0</v>
      </c>
      <c r="T9" s="50">
        <f>'쪽쟘(실측)'!O9+뒷날개치수더함</f>
        <v>0</v>
      </c>
      <c r="U9" s="50">
        <f>'쪽쟘(실측)'!P9+뒷날개치수더함</f>
        <v>0</v>
      </c>
      <c r="V9" s="50">
        <f>'쪽쟘(실측)'!Q9+뒷날개치수더함</f>
        <v>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0</v>
      </c>
      <c r="AD9">
        <f t="shared" si="9"/>
        <v>-3.5999999999999996</v>
      </c>
      <c r="AE9">
        <f t="shared" si="2"/>
        <v>-2.3999999999999995</v>
      </c>
      <c r="AF9">
        <f t="shared" si="10"/>
        <v>0</v>
      </c>
      <c r="AG9">
        <f t="shared" si="4"/>
        <v>-2.3999999999999995</v>
      </c>
      <c r="AH9">
        <f t="shared" si="11"/>
        <v>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F</v>
      </c>
      <c r="C10" s="50" t="str">
        <f t="shared" si="5"/>
        <v>0*-3.6</v>
      </c>
      <c r="D10" s="50">
        <f>'쪽쟘(실측)'!C10-쪽쟘OP차감</f>
        <v>0</v>
      </c>
      <c r="E10" s="50">
        <f>'쪽쟘(실측)'!D10+쪽쟘J늘림+MAX(W10:X10)</f>
        <v>0</v>
      </c>
      <c r="F10" s="50">
        <f>'쪽쟘(실측)'!E10+쪽쟘J늘림+MAX(W10:X10)</f>
        <v>0</v>
      </c>
      <c r="G10" s="67" t="str">
        <f t="shared" si="6"/>
        <v>0*-2.4</v>
      </c>
      <c r="H10" s="68" t="str">
        <f t="shared" si="7"/>
        <v>0*-2.4</v>
      </c>
      <c r="I10" s="50">
        <f>IF('쪽쟘(실측)'!F10&gt;0,'쪽쟘(실측)'!F10-1.5,0)+뒷날개치수더함</f>
        <v>0</v>
      </c>
      <c r="J10" s="50">
        <f>IF('쪽쟘(실측)'!H10&gt;0,'쪽쟘(실측)'!H10-1.5,0)+뒷날개치수더함</f>
        <v>0</v>
      </c>
      <c r="K10" s="50">
        <f>IF('쪽쟘(실측)'!F10&gt;0,'쪽쟘(실측)'!F10+0,0)+뒷날개치수더함</f>
        <v>0</v>
      </c>
      <c r="L10" s="50">
        <f>IF('쪽쟘(실측)'!G10&gt;0,'쪽쟘(실측)'!G10+0,0)+뒷날개치수더함</f>
        <v>0</v>
      </c>
      <c r="M10" s="50">
        <f>IF('쪽쟘(실측)'!H10&gt;0,'쪽쟘(실측)'!H10+0,0)+뒷날개치수더함</f>
        <v>0</v>
      </c>
      <c r="N10" s="50">
        <f>IF('쪽쟘(실측)'!I10&gt;0,'쪽쟘(실측)'!I10+0,0)+뒷날개치수더함</f>
        <v>0</v>
      </c>
      <c r="O10" s="50">
        <f>'쪽쟘(실측)'!J10-쪽쟘기둥차감</f>
        <v>0</v>
      </c>
      <c r="P10" s="50">
        <f>'쪽쟘(실측)'!K10-쪽쟘기둥차감</f>
        <v>0</v>
      </c>
      <c r="Q10" s="50">
        <f>'쪽쟘(실측)'!L10-쪽쟘기둥차감</f>
        <v>0</v>
      </c>
      <c r="R10" s="50">
        <f>'쪽쟘(실측)'!M10-쪽쟘기둥차감</f>
        <v>0</v>
      </c>
      <c r="S10" s="50">
        <f>'쪽쟘(실측)'!N10+뒷날개치수더함</f>
        <v>0</v>
      </c>
      <c r="T10" s="50">
        <f>'쪽쟘(실측)'!O10+뒷날개치수더함</f>
        <v>0</v>
      </c>
      <c r="U10" s="50">
        <f>'쪽쟘(실측)'!P10+뒷날개치수더함</f>
        <v>0</v>
      </c>
      <c r="V10" s="50">
        <f>'쪽쟘(실측)'!Q10+뒷날개치수더함</f>
        <v>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0</v>
      </c>
      <c r="AD10">
        <f t="shared" si="9"/>
        <v>-3.5999999999999996</v>
      </c>
      <c r="AE10">
        <f t="shared" si="2"/>
        <v>-2.3999999999999995</v>
      </c>
      <c r="AF10">
        <f t="shared" si="10"/>
        <v>0</v>
      </c>
      <c r="AG10">
        <f t="shared" si="4"/>
        <v>-2.3999999999999995</v>
      </c>
      <c r="AH10">
        <f t="shared" si="11"/>
        <v>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F</v>
      </c>
      <c r="C11" s="50" t="str">
        <f t="shared" si="5"/>
        <v>0*-3.6</v>
      </c>
      <c r="D11" s="50">
        <f>'쪽쟘(실측)'!C11-쪽쟘OP차감</f>
        <v>0</v>
      </c>
      <c r="E11" s="50">
        <f>'쪽쟘(실측)'!D11+쪽쟘J늘림+MAX(W11:X11)</f>
        <v>0</v>
      </c>
      <c r="F11" s="50">
        <f>'쪽쟘(실측)'!E11+쪽쟘J늘림+MAX(W11:X11)</f>
        <v>0</v>
      </c>
      <c r="G11" s="67" t="str">
        <f t="shared" si="6"/>
        <v>0*-2.4</v>
      </c>
      <c r="H11" s="68" t="str">
        <f t="shared" si="7"/>
        <v>0*-2.4</v>
      </c>
      <c r="I11" s="50">
        <f>IF('쪽쟘(실측)'!F11&gt;0,'쪽쟘(실측)'!F11-1.5,0)+뒷날개치수더함</f>
        <v>0</v>
      </c>
      <c r="J11" s="50">
        <f>IF('쪽쟘(실측)'!H11&gt;0,'쪽쟘(실측)'!H11-1.5,0)+뒷날개치수더함</f>
        <v>0</v>
      </c>
      <c r="K11" s="50">
        <f>IF('쪽쟘(실측)'!F11&gt;0,'쪽쟘(실측)'!F11+0,0)+뒷날개치수더함</f>
        <v>0</v>
      </c>
      <c r="L11" s="50">
        <f>IF('쪽쟘(실측)'!G11&gt;0,'쪽쟘(실측)'!G11+0,0)+뒷날개치수더함</f>
        <v>0</v>
      </c>
      <c r="M11" s="50">
        <f>IF('쪽쟘(실측)'!H11&gt;0,'쪽쟘(실측)'!H11+0,0)+뒷날개치수더함</f>
        <v>0</v>
      </c>
      <c r="N11" s="50">
        <f>IF('쪽쟘(실측)'!I11&gt;0,'쪽쟘(실측)'!I11+0,0)+뒷날개치수더함</f>
        <v>0</v>
      </c>
      <c r="O11" s="50">
        <f>'쪽쟘(실측)'!J11-쪽쟘기둥차감</f>
        <v>0</v>
      </c>
      <c r="P11" s="50">
        <f>'쪽쟘(실측)'!K11-쪽쟘기둥차감</f>
        <v>0</v>
      </c>
      <c r="Q11" s="50">
        <f>'쪽쟘(실측)'!L11-쪽쟘기둥차감</f>
        <v>0</v>
      </c>
      <c r="R11" s="50">
        <f>'쪽쟘(실측)'!M11-쪽쟘기둥차감</f>
        <v>0</v>
      </c>
      <c r="S11" s="50">
        <f>'쪽쟘(실측)'!N11+뒷날개치수더함</f>
        <v>0</v>
      </c>
      <c r="T11" s="50">
        <f>'쪽쟘(실측)'!O11+뒷날개치수더함</f>
        <v>0</v>
      </c>
      <c r="U11" s="50">
        <f>'쪽쟘(실측)'!P11+뒷날개치수더함</f>
        <v>0</v>
      </c>
      <c r="V11" s="50">
        <f>'쪽쟘(실측)'!Q11+뒷날개치수더함</f>
        <v>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0</v>
      </c>
      <c r="AD11">
        <f t="shared" si="9"/>
        <v>-3.5999999999999996</v>
      </c>
      <c r="AE11">
        <f t="shared" si="2"/>
        <v>-2.3999999999999995</v>
      </c>
      <c r="AF11">
        <f t="shared" si="10"/>
        <v>0</v>
      </c>
      <c r="AG11">
        <f t="shared" si="4"/>
        <v>-2.3999999999999995</v>
      </c>
      <c r="AH11">
        <f t="shared" si="11"/>
        <v>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F</v>
      </c>
      <c r="C12" s="50" t="str">
        <f t="shared" si="5"/>
        <v>0*-3.6</v>
      </c>
      <c r="D12" s="50">
        <f>'쪽쟘(실측)'!C12-쪽쟘OP차감</f>
        <v>0</v>
      </c>
      <c r="E12" s="50">
        <f>'쪽쟘(실측)'!D12+쪽쟘J늘림+MAX(W12:X12)</f>
        <v>0</v>
      </c>
      <c r="F12" s="50">
        <f>'쪽쟘(실측)'!E12+쪽쟘J늘림+MAX(W12:X12)</f>
        <v>0</v>
      </c>
      <c r="G12" s="67" t="str">
        <f t="shared" si="6"/>
        <v>0*-2.4</v>
      </c>
      <c r="H12" s="68" t="str">
        <f t="shared" si="7"/>
        <v>0*-2.4</v>
      </c>
      <c r="I12" s="50">
        <f>IF('쪽쟘(실측)'!F12&gt;0,'쪽쟘(실측)'!F12-1.5,0)+뒷날개치수더함</f>
        <v>0</v>
      </c>
      <c r="J12" s="50">
        <f>IF('쪽쟘(실측)'!H12&gt;0,'쪽쟘(실측)'!H12-1.5,0)+뒷날개치수더함</f>
        <v>0</v>
      </c>
      <c r="K12" s="50">
        <f>IF('쪽쟘(실측)'!F12&gt;0,'쪽쟘(실측)'!F12+0,0)+뒷날개치수더함</f>
        <v>0</v>
      </c>
      <c r="L12" s="50">
        <f>IF('쪽쟘(실측)'!G12&gt;0,'쪽쟘(실측)'!G12+0,0)+뒷날개치수더함</f>
        <v>0</v>
      </c>
      <c r="M12" s="50">
        <f>IF('쪽쟘(실측)'!H12&gt;0,'쪽쟘(실측)'!H12+0,0)+뒷날개치수더함</f>
        <v>0</v>
      </c>
      <c r="N12" s="50">
        <f>IF('쪽쟘(실측)'!I12&gt;0,'쪽쟘(실측)'!I12+0,0)+뒷날개치수더함</f>
        <v>0</v>
      </c>
      <c r="O12" s="50">
        <f>'쪽쟘(실측)'!J12-쪽쟘기둥차감</f>
        <v>0</v>
      </c>
      <c r="P12" s="50">
        <f>'쪽쟘(실측)'!K12-쪽쟘기둥차감</f>
        <v>0</v>
      </c>
      <c r="Q12" s="50">
        <f>'쪽쟘(실측)'!L12-쪽쟘기둥차감</f>
        <v>0</v>
      </c>
      <c r="R12" s="50">
        <f>'쪽쟘(실측)'!M12-쪽쟘기둥차감</f>
        <v>0</v>
      </c>
      <c r="S12" s="50">
        <f>'쪽쟘(실측)'!N12+뒷날개치수더함</f>
        <v>0</v>
      </c>
      <c r="T12" s="50">
        <f>'쪽쟘(실측)'!O12+뒷날개치수더함</f>
        <v>0</v>
      </c>
      <c r="U12" s="50">
        <f>'쪽쟘(실측)'!P12+뒷날개치수더함</f>
        <v>0</v>
      </c>
      <c r="V12" s="50">
        <f>'쪽쟘(실측)'!Q12+뒷날개치수더함</f>
        <v>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0</v>
      </c>
      <c r="AD12">
        <f t="shared" si="9"/>
        <v>-3.5999999999999996</v>
      </c>
      <c r="AE12">
        <f t="shared" si="2"/>
        <v>-2.3999999999999995</v>
      </c>
      <c r="AF12">
        <f t="shared" si="10"/>
        <v>0</v>
      </c>
      <c r="AG12">
        <f t="shared" si="4"/>
        <v>-2.3999999999999995</v>
      </c>
      <c r="AH12">
        <f t="shared" si="11"/>
        <v>0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F</v>
      </c>
      <c r="C13" s="50" t="str">
        <f t="shared" si="5"/>
        <v>0*-3.6</v>
      </c>
      <c r="D13" s="50">
        <f>'쪽쟘(실측)'!C13-쪽쟘OP차감</f>
        <v>0</v>
      </c>
      <c r="E13" s="50">
        <f>'쪽쟘(실측)'!D13+쪽쟘J늘림+MAX(W13:X13)</f>
        <v>0</v>
      </c>
      <c r="F13" s="50">
        <f>'쪽쟘(실측)'!E13+쪽쟘J늘림+MAX(W13:X13)</f>
        <v>0</v>
      </c>
      <c r="G13" s="67" t="str">
        <f t="shared" si="6"/>
        <v>0*-2.4</v>
      </c>
      <c r="H13" s="68" t="str">
        <f t="shared" si="7"/>
        <v>0*-2.4</v>
      </c>
      <c r="I13" s="50">
        <f>IF('쪽쟘(실측)'!F13&gt;0,'쪽쟘(실측)'!F13-1.5,0)+뒷날개치수더함</f>
        <v>0</v>
      </c>
      <c r="J13" s="50">
        <f>IF('쪽쟘(실측)'!H13&gt;0,'쪽쟘(실측)'!H13-1.5,0)+뒷날개치수더함</f>
        <v>0</v>
      </c>
      <c r="K13" s="50">
        <f>IF('쪽쟘(실측)'!F13&gt;0,'쪽쟘(실측)'!F13+0,0)+뒷날개치수더함</f>
        <v>0</v>
      </c>
      <c r="L13" s="50">
        <f>IF('쪽쟘(실측)'!G13&gt;0,'쪽쟘(실측)'!G13+0,0)+뒷날개치수더함</f>
        <v>0</v>
      </c>
      <c r="M13" s="50">
        <f>IF('쪽쟘(실측)'!H13&gt;0,'쪽쟘(실측)'!H13+0,0)+뒷날개치수더함</f>
        <v>0</v>
      </c>
      <c r="N13" s="50">
        <f>IF('쪽쟘(실측)'!I13&gt;0,'쪽쟘(실측)'!I13+0,0)+뒷날개치수더함</f>
        <v>0</v>
      </c>
      <c r="O13" s="50">
        <f>'쪽쟘(실측)'!J13-쪽쟘기둥차감</f>
        <v>0</v>
      </c>
      <c r="P13" s="50">
        <f>'쪽쟘(실측)'!K13-쪽쟘기둥차감</f>
        <v>0</v>
      </c>
      <c r="Q13" s="50">
        <f>'쪽쟘(실측)'!L13-쪽쟘기둥차감</f>
        <v>0</v>
      </c>
      <c r="R13" s="50">
        <f>'쪽쟘(실측)'!M13-쪽쟘기둥차감</f>
        <v>0</v>
      </c>
      <c r="S13" s="50">
        <f>'쪽쟘(실측)'!N13+뒷날개치수더함</f>
        <v>0</v>
      </c>
      <c r="T13" s="50">
        <f>'쪽쟘(실측)'!O13+뒷날개치수더함</f>
        <v>0</v>
      </c>
      <c r="U13" s="50">
        <f>'쪽쟘(실측)'!P13+뒷날개치수더함</f>
        <v>0</v>
      </c>
      <c r="V13" s="50">
        <f>'쪽쟘(실측)'!Q13+뒷날개치수더함</f>
        <v>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0</v>
      </c>
      <c r="AD13">
        <f t="shared" si="9"/>
        <v>-3.5999999999999996</v>
      </c>
      <c r="AE13">
        <f t="shared" si="2"/>
        <v>-2.3999999999999995</v>
      </c>
      <c r="AF13">
        <f t="shared" si="10"/>
        <v>0</v>
      </c>
      <c r="AG13">
        <f t="shared" si="4"/>
        <v>-2.3999999999999995</v>
      </c>
      <c r="AH13">
        <f t="shared" si="11"/>
        <v>0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F</v>
      </c>
      <c r="C14" s="50" t="str">
        <f t="shared" si="5"/>
        <v>0*-3.6</v>
      </c>
      <c r="D14" s="50">
        <f>'쪽쟘(실측)'!C14-쪽쟘OP차감</f>
        <v>0</v>
      </c>
      <c r="E14" s="50">
        <f>'쪽쟘(실측)'!D14+쪽쟘J늘림+MAX(W14:X14)</f>
        <v>0</v>
      </c>
      <c r="F14" s="50">
        <f>'쪽쟘(실측)'!E14+쪽쟘J늘림+MAX(W14:X14)</f>
        <v>0</v>
      </c>
      <c r="G14" s="67" t="str">
        <f t="shared" si="6"/>
        <v>0*-2.4</v>
      </c>
      <c r="H14" s="68" t="str">
        <f t="shared" si="7"/>
        <v>0*-2.4</v>
      </c>
      <c r="I14" s="50">
        <f>IF('쪽쟘(실측)'!F14&gt;0,'쪽쟘(실측)'!F14-1.5,0)+뒷날개치수더함</f>
        <v>0</v>
      </c>
      <c r="J14" s="50">
        <f>IF('쪽쟘(실측)'!H14&gt;0,'쪽쟘(실측)'!H14-1.5,0)+뒷날개치수더함</f>
        <v>0</v>
      </c>
      <c r="K14" s="50">
        <f>IF('쪽쟘(실측)'!F14&gt;0,'쪽쟘(실측)'!F14+0,0)+뒷날개치수더함</f>
        <v>0</v>
      </c>
      <c r="L14" s="50">
        <f>IF('쪽쟘(실측)'!G14&gt;0,'쪽쟘(실측)'!G14+0,0)+뒷날개치수더함</f>
        <v>0</v>
      </c>
      <c r="M14" s="50">
        <f>IF('쪽쟘(실측)'!H14&gt;0,'쪽쟘(실측)'!H14+0,0)+뒷날개치수더함</f>
        <v>0</v>
      </c>
      <c r="N14" s="50">
        <f>IF('쪽쟘(실측)'!I14&gt;0,'쪽쟘(실측)'!I14+0,0)+뒷날개치수더함</f>
        <v>0</v>
      </c>
      <c r="O14" s="50">
        <f>'쪽쟘(실측)'!J14-쪽쟘기둥차감</f>
        <v>0</v>
      </c>
      <c r="P14" s="50">
        <f>'쪽쟘(실측)'!K14-쪽쟘기둥차감</f>
        <v>0</v>
      </c>
      <c r="Q14" s="50">
        <f>'쪽쟘(실측)'!L14-쪽쟘기둥차감</f>
        <v>0</v>
      </c>
      <c r="R14" s="50">
        <f>'쪽쟘(실측)'!M14-쪽쟘기둥차감</f>
        <v>0</v>
      </c>
      <c r="S14" s="50">
        <f>'쪽쟘(실측)'!N14+뒷날개치수더함</f>
        <v>0</v>
      </c>
      <c r="T14" s="50">
        <f>'쪽쟘(실측)'!O14+뒷날개치수더함</f>
        <v>0</v>
      </c>
      <c r="U14" s="50">
        <f>'쪽쟘(실측)'!P14+뒷날개치수더함</f>
        <v>0</v>
      </c>
      <c r="V14" s="50">
        <f>'쪽쟘(실측)'!Q14+뒷날개치수더함</f>
        <v>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0</v>
      </c>
      <c r="AD14">
        <f t="shared" si="9"/>
        <v>-3.5999999999999996</v>
      </c>
      <c r="AE14">
        <f t="shared" si="2"/>
        <v>-2.3999999999999995</v>
      </c>
      <c r="AF14">
        <f t="shared" si="10"/>
        <v>0</v>
      </c>
      <c r="AG14">
        <f t="shared" si="4"/>
        <v>-2.3999999999999995</v>
      </c>
      <c r="AH14">
        <f t="shared" si="11"/>
        <v>0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F</v>
      </c>
      <c r="C15" s="50" t="str">
        <f t="shared" si="5"/>
        <v>0*-3.6</v>
      </c>
      <c r="D15" s="50">
        <f>'쪽쟘(실측)'!C15-쪽쟘OP차감</f>
        <v>0</v>
      </c>
      <c r="E15" s="50">
        <f>'쪽쟘(실측)'!D15+쪽쟘J늘림+MAX(W15:X15)</f>
        <v>0</v>
      </c>
      <c r="F15" s="50">
        <f>'쪽쟘(실측)'!E15+쪽쟘J늘림+MAX(W15:X15)</f>
        <v>0</v>
      </c>
      <c r="G15" s="67" t="str">
        <f t="shared" si="6"/>
        <v>0*-2.4</v>
      </c>
      <c r="H15" s="68" t="str">
        <f t="shared" si="7"/>
        <v>0*-2.4</v>
      </c>
      <c r="I15" s="50">
        <f>IF('쪽쟘(실측)'!F15&gt;0,'쪽쟘(실측)'!F15-1.5,0)+뒷날개치수더함</f>
        <v>0</v>
      </c>
      <c r="J15" s="50">
        <f>IF('쪽쟘(실측)'!H15&gt;0,'쪽쟘(실측)'!H15-1.5,0)+뒷날개치수더함</f>
        <v>0</v>
      </c>
      <c r="K15" s="50">
        <f>IF('쪽쟘(실측)'!F15&gt;0,'쪽쟘(실측)'!F15+0,0)+뒷날개치수더함</f>
        <v>0</v>
      </c>
      <c r="L15" s="50">
        <f>IF('쪽쟘(실측)'!G15&gt;0,'쪽쟘(실측)'!G15+0,0)+뒷날개치수더함</f>
        <v>0</v>
      </c>
      <c r="M15" s="50">
        <f>IF('쪽쟘(실측)'!H15&gt;0,'쪽쟘(실측)'!H15+0,0)+뒷날개치수더함</f>
        <v>0</v>
      </c>
      <c r="N15" s="50">
        <f>IF('쪽쟘(실측)'!I15&gt;0,'쪽쟘(실측)'!I15+0,0)+뒷날개치수더함</f>
        <v>0</v>
      </c>
      <c r="O15" s="50">
        <f>'쪽쟘(실측)'!J15-쪽쟘기둥차감</f>
        <v>0</v>
      </c>
      <c r="P15" s="50">
        <f>'쪽쟘(실측)'!K15-쪽쟘기둥차감</f>
        <v>0</v>
      </c>
      <c r="Q15" s="50">
        <f>'쪽쟘(실측)'!L15-쪽쟘기둥차감</f>
        <v>0</v>
      </c>
      <c r="R15" s="50">
        <f>'쪽쟘(실측)'!M15-쪽쟘기둥차감</f>
        <v>0</v>
      </c>
      <c r="S15" s="50">
        <f>'쪽쟘(실측)'!N15+뒷날개치수더함</f>
        <v>0</v>
      </c>
      <c r="T15" s="50">
        <f>'쪽쟘(실측)'!O15+뒷날개치수더함</f>
        <v>0</v>
      </c>
      <c r="U15" s="50">
        <f>'쪽쟘(실측)'!P15+뒷날개치수더함</f>
        <v>0</v>
      </c>
      <c r="V15" s="50">
        <f>'쪽쟘(실측)'!Q15+뒷날개치수더함</f>
        <v>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0</v>
      </c>
      <c r="AD15">
        <f t="shared" si="9"/>
        <v>-3.5999999999999996</v>
      </c>
      <c r="AE15">
        <f t="shared" si="2"/>
        <v>-2.3999999999999995</v>
      </c>
      <c r="AF15">
        <f t="shared" si="10"/>
        <v>0</v>
      </c>
      <c r="AG15">
        <f t="shared" si="4"/>
        <v>-2.3999999999999995</v>
      </c>
      <c r="AH15">
        <f t="shared" si="11"/>
        <v>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F</v>
      </c>
      <c r="C16" s="50" t="str">
        <f t="shared" si="5"/>
        <v>0*-3.6</v>
      </c>
      <c r="D16" s="50">
        <f>'쪽쟘(실측)'!C16-쪽쟘OP차감</f>
        <v>0</v>
      </c>
      <c r="E16" s="50">
        <f>'쪽쟘(실측)'!D16+쪽쟘J늘림+MAX(W16:X16)</f>
        <v>0</v>
      </c>
      <c r="F16" s="50">
        <f>'쪽쟘(실측)'!E16+쪽쟘J늘림+MAX(W16:X16)</f>
        <v>0</v>
      </c>
      <c r="G16" s="67" t="str">
        <f t="shared" si="6"/>
        <v>0*-2.4</v>
      </c>
      <c r="H16" s="68" t="str">
        <f t="shared" si="7"/>
        <v>0*-2.4</v>
      </c>
      <c r="I16" s="50">
        <f>IF('쪽쟘(실측)'!F16&gt;0,'쪽쟘(실측)'!F16-1.5,0)+뒷날개치수더함</f>
        <v>0</v>
      </c>
      <c r="J16" s="50">
        <f>IF('쪽쟘(실측)'!H16&gt;0,'쪽쟘(실측)'!H16-1.5,0)+뒷날개치수더함</f>
        <v>0</v>
      </c>
      <c r="K16" s="50">
        <f>IF('쪽쟘(실측)'!F16&gt;0,'쪽쟘(실측)'!F16+0,0)+뒷날개치수더함</f>
        <v>0</v>
      </c>
      <c r="L16" s="50">
        <f>IF('쪽쟘(실측)'!G16&gt;0,'쪽쟘(실측)'!G16+0,0)+뒷날개치수더함</f>
        <v>0</v>
      </c>
      <c r="M16" s="50">
        <f>IF('쪽쟘(실측)'!H16&gt;0,'쪽쟘(실측)'!H16+0,0)+뒷날개치수더함</f>
        <v>0</v>
      </c>
      <c r="N16" s="50">
        <f>IF('쪽쟘(실측)'!I16&gt;0,'쪽쟘(실측)'!I16+0,0)+뒷날개치수더함</f>
        <v>0</v>
      </c>
      <c r="O16" s="50">
        <f>'쪽쟘(실측)'!J16-쪽쟘기둥차감</f>
        <v>0</v>
      </c>
      <c r="P16" s="50">
        <f>'쪽쟘(실측)'!K16-쪽쟘기둥차감</f>
        <v>0</v>
      </c>
      <c r="Q16" s="50">
        <f>'쪽쟘(실측)'!L16-쪽쟘기둥차감</f>
        <v>0</v>
      </c>
      <c r="R16" s="50">
        <f>'쪽쟘(실측)'!M16-쪽쟘기둥차감</f>
        <v>0</v>
      </c>
      <c r="S16" s="50">
        <f>'쪽쟘(실측)'!N16+뒷날개치수더함</f>
        <v>0</v>
      </c>
      <c r="T16" s="50">
        <f>'쪽쟘(실측)'!O16+뒷날개치수더함</f>
        <v>0</v>
      </c>
      <c r="U16" s="50">
        <f>'쪽쟘(실측)'!P16+뒷날개치수더함</f>
        <v>0</v>
      </c>
      <c r="V16" s="50">
        <f>'쪽쟘(실측)'!Q16+뒷날개치수더함</f>
        <v>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0</v>
      </c>
      <c r="AD16">
        <f t="shared" si="9"/>
        <v>-3.5999999999999996</v>
      </c>
      <c r="AE16">
        <f t="shared" si="2"/>
        <v>-2.3999999999999995</v>
      </c>
      <c r="AF16">
        <f t="shared" si="10"/>
        <v>0</v>
      </c>
      <c r="AG16">
        <f t="shared" si="4"/>
        <v>-2.3999999999999995</v>
      </c>
      <c r="AH16">
        <f t="shared" si="11"/>
        <v>0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5"/>
        <v>0*-3.6</v>
      </c>
      <c r="D17" s="50">
        <f>'쪽쟘(실측)'!C17-쪽쟘OP차감</f>
        <v>0</v>
      </c>
      <c r="E17" s="50">
        <f>'쪽쟘(실측)'!D17+쪽쟘J늘림+MAX(W17:X17)</f>
        <v>0</v>
      </c>
      <c r="F17" s="50">
        <f>'쪽쟘(실측)'!E17+쪽쟘J늘림+MAX(W17:X17)</f>
        <v>0</v>
      </c>
      <c r="G17" s="67" t="str">
        <f t="shared" si="6"/>
        <v>0*-2.4</v>
      </c>
      <c r="H17" s="68" t="str">
        <f t="shared" si="7"/>
        <v>0*-2.4</v>
      </c>
      <c r="I17" s="50">
        <f>IF('쪽쟘(실측)'!F17&gt;0,'쪽쟘(실측)'!F17-1.5,0)+뒷날개치수더함</f>
        <v>0</v>
      </c>
      <c r="J17" s="50">
        <f>IF('쪽쟘(실측)'!H17&gt;0,'쪽쟘(실측)'!H17-1.5,0)+뒷날개치수더함</f>
        <v>0</v>
      </c>
      <c r="K17" s="50">
        <f>IF('쪽쟘(실측)'!F17&gt;0,'쪽쟘(실측)'!F17+0,0)+뒷날개치수더함</f>
        <v>0</v>
      </c>
      <c r="L17" s="50">
        <f>IF('쪽쟘(실측)'!G17&gt;0,'쪽쟘(실측)'!G17+0,0)+뒷날개치수더함</f>
        <v>0</v>
      </c>
      <c r="M17" s="50">
        <f>IF('쪽쟘(실측)'!H17&gt;0,'쪽쟘(실측)'!H17+0,0)+뒷날개치수더함</f>
        <v>0</v>
      </c>
      <c r="N17" s="50">
        <f>IF('쪽쟘(실측)'!I17&gt;0,'쪽쟘(실측)'!I17+0,0)+뒷날개치수더함</f>
        <v>0</v>
      </c>
      <c r="O17" s="50">
        <f>'쪽쟘(실측)'!J17-쪽쟘기둥차감</f>
        <v>0</v>
      </c>
      <c r="P17" s="50">
        <f>'쪽쟘(실측)'!K17-쪽쟘기둥차감</f>
        <v>0</v>
      </c>
      <c r="Q17" s="50">
        <f>'쪽쟘(실측)'!L17-쪽쟘기둥차감</f>
        <v>0</v>
      </c>
      <c r="R17" s="50">
        <f>'쪽쟘(실측)'!M17-쪽쟘기둥차감</f>
        <v>0</v>
      </c>
      <c r="S17" s="50">
        <f>'쪽쟘(실측)'!N17+뒷날개치수더함</f>
        <v>0</v>
      </c>
      <c r="T17" s="50">
        <f>'쪽쟘(실측)'!O17+뒷날개치수더함</f>
        <v>0</v>
      </c>
      <c r="U17" s="50">
        <f>'쪽쟘(실측)'!P17+뒷날개치수더함</f>
        <v>0</v>
      </c>
      <c r="V17" s="50">
        <f>'쪽쟘(실측)'!Q17+뒷날개치수더함</f>
        <v>0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0</v>
      </c>
      <c r="AD17">
        <f t="shared" si="9"/>
        <v>-3.5999999999999996</v>
      </c>
      <c r="AE17">
        <f t="shared" si="2"/>
        <v>-2.3999999999999995</v>
      </c>
      <c r="AF17">
        <f t="shared" si="10"/>
        <v>0</v>
      </c>
      <c r="AG17">
        <f t="shared" si="4"/>
        <v>-2.3999999999999995</v>
      </c>
      <c r="AH17">
        <f t="shared" si="11"/>
        <v>0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5"/>
        <v>0*-3.6</v>
      </c>
      <c r="D18" s="50">
        <f>'쪽쟘(실측)'!C18-쪽쟘OP차감</f>
        <v>0</v>
      </c>
      <c r="E18" s="50">
        <f>'쪽쟘(실측)'!D18+쪽쟘J늘림+MAX(W18:X18)</f>
        <v>0</v>
      </c>
      <c r="F18" s="50">
        <f>'쪽쟘(실측)'!E18+쪽쟘J늘림+MAX(W18:X18)</f>
        <v>0</v>
      </c>
      <c r="G18" s="67" t="str">
        <f t="shared" si="6"/>
        <v>0*-2.4</v>
      </c>
      <c r="H18" s="68" t="str">
        <f t="shared" si="7"/>
        <v>0*-2.4</v>
      </c>
      <c r="I18" s="50">
        <f>IF('쪽쟘(실측)'!F18&gt;0,'쪽쟘(실측)'!F18-1.5,0)+뒷날개치수더함</f>
        <v>0</v>
      </c>
      <c r="J18" s="50">
        <f>IF('쪽쟘(실측)'!H18&gt;0,'쪽쟘(실측)'!H18-1.5,0)+뒷날개치수더함</f>
        <v>0</v>
      </c>
      <c r="K18" s="50">
        <f>IF('쪽쟘(실측)'!F18&gt;0,'쪽쟘(실측)'!F18+0,0)+뒷날개치수더함</f>
        <v>0</v>
      </c>
      <c r="L18" s="50">
        <f>IF('쪽쟘(실측)'!G18&gt;0,'쪽쟘(실측)'!G18+0,0)+뒷날개치수더함</f>
        <v>0</v>
      </c>
      <c r="M18" s="50">
        <f>IF('쪽쟘(실측)'!H18&gt;0,'쪽쟘(실측)'!H18+0,0)+뒷날개치수더함</f>
        <v>0</v>
      </c>
      <c r="N18" s="50">
        <f>IF('쪽쟘(실측)'!I18&gt;0,'쪽쟘(실측)'!I18+0,0)+뒷날개치수더함</f>
        <v>0</v>
      </c>
      <c r="O18" s="50">
        <f>'쪽쟘(실측)'!J18-쪽쟘기둥차감</f>
        <v>0</v>
      </c>
      <c r="P18" s="50">
        <f>'쪽쟘(실측)'!K18-쪽쟘기둥차감</f>
        <v>0</v>
      </c>
      <c r="Q18" s="50">
        <f>'쪽쟘(실측)'!L18-쪽쟘기둥차감</f>
        <v>0</v>
      </c>
      <c r="R18" s="50">
        <f>'쪽쟘(실측)'!M18-쪽쟘기둥차감</f>
        <v>0</v>
      </c>
      <c r="S18" s="50">
        <f>'쪽쟘(실측)'!N18+뒷날개치수더함</f>
        <v>0</v>
      </c>
      <c r="T18" s="50">
        <f>'쪽쟘(실측)'!O18+뒷날개치수더함</f>
        <v>0</v>
      </c>
      <c r="U18" s="50">
        <f>'쪽쟘(실측)'!P18+뒷날개치수더함</f>
        <v>0</v>
      </c>
      <c r="V18" s="50">
        <f>'쪽쟘(실측)'!Q18+뒷날개치수더함</f>
        <v>0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0</v>
      </c>
      <c r="AD18">
        <f t="shared" si="9"/>
        <v>-3.5999999999999996</v>
      </c>
      <c r="AE18">
        <f t="shared" si="2"/>
        <v>-2.3999999999999995</v>
      </c>
      <c r="AF18">
        <f t="shared" si="10"/>
        <v>0</v>
      </c>
      <c r="AG18">
        <f t="shared" si="4"/>
        <v>-2.3999999999999995</v>
      </c>
      <c r="AH18">
        <f t="shared" si="11"/>
        <v>0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5"/>
        <v>0*-3.6</v>
      </c>
      <c r="D19" s="50">
        <f>'쪽쟘(실측)'!C19-쪽쟘OP차감</f>
        <v>0</v>
      </c>
      <c r="E19" s="50">
        <f>'쪽쟘(실측)'!D19+쪽쟘J늘림+MAX(W19:X19)</f>
        <v>0</v>
      </c>
      <c r="F19" s="50">
        <f>'쪽쟘(실측)'!E19+쪽쟘J늘림+MAX(W19:X19)</f>
        <v>0</v>
      </c>
      <c r="G19" s="67" t="str">
        <f t="shared" si="6"/>
        <v>0*-2.4</v>
      </c>
      <c r="H19" s="68" t="str">
        <f t="shared" si="7"/>
        <v>0*-2.4</v>
      </c>
      <c r="I19" s="50">
        <f>IF('쪽쟘(실측)'!F19&gt;0,'쪽쟘(실측)'!F19-1.5,0)+뒷날개치수더함</f>
        <v>0</v>
      </c>
      <c r="J19" s="50">
        <f>IF('쪽쟘(실측)'!H19&gt;0,'쪽쟘(실측)'!H19-1.5,0)+뒷날개치수더함</f>
        <v>0</v>
      </c>
      <c r="K19" s="50">
        <f>IF('쪽쟘(실측)'!F19&gt;0,'쪽쟘(실측)'!F19+0,0)+뒷날개치수더함</f>
        <v>0</v>
      </c>
      <c r="L19" s="50">
        <f>IF('쪽쟘(실측)'!G19&gt;0,'쪽쟘(실측)'!G19+0,0)+뒷날개치수더함</f>
        <v>0</v>
      </c>
      <c r="M19" s="50">
        <f>IF('쪽쟘(실측)'!H19&gt;0,'쪽쟘(실측)'!H19+0,0)+뒷날개치수더함</f>
        <v>0</v>
      </c>
      <c r="N19" s="50">
        <f>IF('쪽쟘(실측)'!I19&gt;0,'쪽쟘(실측)'!I19+0,0)+뒷날개치수더함</f>
        <v>0</v>
      </c>
      <c r="O19" s="50">
        <f>'쪽쟘(실측)'!J19-쪽쟘기둥차감</f>
        <v>0</v>
      </c>
      <c r="P19" s="50">
        <f>'쪽쟘(실측)'!K19-쪽쟘기둥차감</f>
        <v>0</v>
      </c>
      <c r="Q19" s="50">
        <f>'쪽쟘(실측)'!L19-쪽쟘기둥차감</f>
        <v>0</v>
      </c>
      <c r="R19" s="50">
        <f>'쪽쟘(실측)'!M19-쪽쟘기둥차감</f>
        <v>0</v>
      </c>
      <c r="S19" s="50">
        <f>'쪽쟘(실측)'!N19+뒷날개치수더함</f>
        <v>0</v>
      </c>
      <c r="T19" s="50">
        <f>'쪽쟘(실측)'!O19+뒷날개치수더함</f>
        <v>0</v>
      </c>
      <c r="U19" s="50">
        <f>'쪽쟘(실측)'!P19+뒷날개치수더함</f>
        <v>0</v>
      </c>
      <c r="V19" s="50">
        <f>'쪽쟘(실측)'!Q19+뒷날개치수더함</f>
        <v>0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0</v>
      </c>
      <c r="AD19">
        <f t="shared" si="9"/>
        <v>-3.5999999999999996</v>
      </c>
      <c r="AE19">
        <f t="shared" si="2"/>
        <v>-2.3999999999999995</v>
      </c>
      <c r="AF19">
        <f t="shared" si="10"/>
        <v>0</v>
      </c>
      <c r="AG19">
        <f t="shared" si="4"/>
        <v>-2.3999999999999995</v>
      </c>
      <c r="AH19">
        <f t="shared" si="11"/>
        <v>0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F</v>
      </c>
      <c r="C20" s="50" t="str">
        <f t="shared" si="5"/>
        <v>0*-3.6</v>
      </c>
      <c r="D20" s="50">
        <f>'쪽쟘(실측)'!C20-쪽쟘OP차감</f>
        <v>0</v>
      </c>
      <c r="E20" s="50">
        <f>'쪽쟘(실측)'!D20+쪽쟘J늘림+MAX(W20:X20)</f>
        <v>0</v>
      </c>
      <c r="F20" s="50">
        <f>'쪽쟘(실측)'!E20+쪽쟘J늘림+MAX(W20:X20)</f>
        <v>0</v>
      </c>
      <c r="G20" s="67" t="str">
        <f t="shared" si="6"/>
        <v>0*-2.4</v>
      </c>
      <c r="H20" s="68" t="str">
        <f t="shared" si="7"/>
        <v>0*-2.4</v>
      </c>
      <c r="I20" s="50">
        <f>IF('쪽쟘(실측)'!F20&gt;0,'쪽쟘(실측)'!F20-1.5,0)+뒷날개치수더함</f>
        <v>0</v>
      </c>
      <c r="J20" s="50">
        <f>IF('쪽쟘(실측)'!H20&gt;0,'쪽쟘(실측)'!H20-1.5,0)+뒷날개치수더함</f>
        <v>0</v>
      </c>
      <c r="K20" s="50">
        <f>IF('쪽쟘(실측)'!F20&gt;0,'쪽쟘(실측)'!F20+0,0)+뒷날개치수더함</f>
        <v>0</v>
      </c>
      <c r="L20" s="50">
        <f>IF('쪽쟘(실측)'!G20&gt;0,'쪽쟘(실측)'!G20+0,0)+뒷날개치수더함</f>
        <v>0</v>
      </c>
      <c r="M20" s="50">
        <f>IF('쪽쟘(실측)'!H20&gt;0,'쪽쟘(실측)'!H20+0,0)+뒷날개치수더함</f>
        <v>0</v>
      </c>
      <c r="N20" s="50">
        <f>IF('쪽쟘(실측)'!I20&gt;0,'쪽쟘(실측)'!I20+0,0)+뒷날개치수더함</f>
        <v>0</v>
      </c>
      <c r="O20" s="50">
        <f>'쪽쟘(실측)'!J20-쪽쟘기둥차감</f>
        <v>0</v>
      </c>
      <c r="P20" s="50">
        <f>'쪽쟘(실측)'!K20-쪽쟘기둥차감</f>
        <v>0</v>
      </c>
      <c r="Q20" s="50">
        <f>'쪽쟘(실측)'!L20-쪽쟘기둥차감</f>
        <v>0</v>
      </c>
      <c r="R20" s="50">
        <f>'쪽쟘(실측)'!M20-쪽쟘기둥차감</f>
        <v>0</v>
      </c>
      <c r="S20" s="50">
        <f>'쪽쟘(실측)'!N20+뒷날개치수더함</f>
        <v>0</v>
      </c>
      <c r="T20" s="50">
        <f>'쪽쟘(실측)'!O20+뒷날개치수더함</f>
        <v>0</v>
      </c>
      <c r="U20" s="50">
        <f>'쪽쟘(실측)'!P20+뒷날개치수더함</f>
        <v>0</v>
      </c>
      <c r="V20" s="50">
        <f>'쪽쟘(실측)'!Q20+뒷날개치수더함</f>
        <v>0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0</v>
      </c>
      <c r="AD20">
        <f t="shared" si="9"/>
        <v>-3.5999999999999996</v>
      </c>
      <c r="AE20">
        <f t="shared" si="2"/>
        <v>-2.3999999999999995</v>
      </c>
      <c r="AF20">
        <f t="shared" si="10"/>
        <v>0</v>
      </c>
      <c r="AG20">
        <f t="shared" si="4"/>
        <v>-2.3999999999999995</v>
      </c>
      <c r="AH20">
        <f t="shared" si="11"/>
        <v>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F</v>
      </c>
      <c r="C21" s="50" t="str">
        <f t="shared" si="5"/>
        <v>0*-3.6</v>
      </c>
      <c r="D21" s="50">
        <f>'쪽쟘(실측)'!C21-쪽쟘OP차감</f>
        <v>0</v>
      </c>
      <c r="E21" s="50">
        <f>'쪽쟘(실측)'!D21+쪽쟘J늘림+MAX(W21:X21)</f>
        <v>0</v>
      </c>
      <c r="F21" s="50">
        <f>'쪽쟘(실측)'!E21+쪽쟘J늘림+MAX(W21:X21)</f>
        <v>0</v>
      </c>
      <c r="G21" s="67" t="str">
        <f t="shared" si="6"/>
        <v>0*-2.4</v>
      </c>
      <c r="H21" s="68" t="str">
        <f t="shared" si="7"/>
        <v>0*-2.4</v>
      </c>
      <c r="I21" s="50">
        <f>IF('쪽쟘(실측)'!F21&gt;0,'쪽쟘(실측)'!F21-1.5,0)+뒷날개치수더함</f>
        <v>0</v>
      </c>
      <c r="J21" s="50">
        <f>IF('쪽쟘(실측)'!H21&gt;0,'쪽쟘(실측)'!H21-1.5,0)+뒷날개치수더함</f>
        <v>0</v>
      </c>
      <c r="K21" s="50">
        <f>IF('쪽쟘(실측)'!F21&gt;0,'쪽쟘(실측)'!F21+0,0)+뒷날개치수더함</f>
        <v>0</v>
      </c>
      <c r="L21" s="50">
        <f>IF('쪽쟘(실측)'!G21&gt;0,'쪽쟘(실측)'!G21+0,0)+뒷날개치수더함</f>
        <v>0</v>
      </c>
      <c r="M21" s="50">
        <f>IF('쪽쟘(실측)'!H21&gt;0,'쪽쟘(실측)'!H21+0,0)+뒷날개치수더함</f>
        <v>0</v>
      </c>
      <c r="N21" s="50">
        <f>IF('쪽쟘(실측)'!I21&gt;0,'쪽쟘(실측)'!I21+0,0)+뒷날개치수더함</f>
        <v>0</v>
      </c>
      <c r="O21" s="50">
        <f>'쪽쟘(실측)'!J21-쪽쟘기둥차감</f>
        <v>0</v>
      </c>
      <c r="P21" s="50">
        <f>'쪽쟘(실측)'!K21-쪽쟘기둥차감</f>
        <v>0</v>
      </c>
      <c r="Q21" s="50">
        <f>'쪽쟘(실측)'!L21-쪽쟘기둥차감</f>
        <v>0</v>
      </c>
      <c r="R21" s="50">
        <f>'쪽쟘(실측)'!M21-쪽쟘기둥차감</f>
        <v>0</v>
      </c>
      <c r="S21" s="50">
        <f>'쪽쟘(실측)'!N21+뒷날개치수더함</f>
        <v>0</v>
      </c>
      <c r="T21" s="50">
        <f>'쪽쟘(실측)'!O21+뒷날개치수더함</f>
        <v>0</v>
      </c>
      <c r="U21" s="50">
        <f>'쪽쟘(실측)'!P21+뒷날개치수더함</f>
        <v>0</v>
      </c>
      <c r="V21" s="50">
        <f>'쪽쟘(실측)'!Q21+뒷날개치수더함</f>
        <v>0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0</v>
      </c>
      <c r="Z21" s="4">
        <f>'쪽쟘(실측)'!U21</f>
        <v>0</v>
      </c>
      <c r="AA21" s="4">
        <f>'쪽쟘(실측)'!V21</f>
        <v>0</v>
      </c>
      <c r="AC21">
        <f t="shared" si="8"/>
        <v>0</v>
      </c>
      <c r="AD21">
        <f t="shared" si="9"/>
        <v>-3.5999999999999996</v>
      </c>
      <c r="AE21">
        <f t="shared" si="2"/>
        <v>-2.3999999999999995</v>
      </c>
      <c r="AF21">
        <f t="shared" si="10"/>
        <v>0</v>
      </c>
      <c r="AG21">
        <f t="shared" si="4"/>
        <v>-2.3999999999999995</v>
      </c>
      <c r="AH21">
        <f t="shared" si="11"/>
        <v>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5"/>
        <v>0*-3.6</v>
      </c>
      <c r="D22" s="50">
        <f>'쪽쟘(실측)'!C22-쪽쟘OP차감</f>
        <v>0</v>
      </c>
      <c r="E22" s="50">
        <f>'쪽쟘(실측)'!D22+쪽쟘J늘림+MAX(W22:X22)</f>
        <v>0</v>
      </c>
      <c r="F22" s="50">
        <f>'쪽쟘(실측)'!E22+쪽쟘J늘림+MAX(W22:X22)</f>
        <v>0</v>
      </c>
      <c r="G22" s="67" t="str">
        <f t="shared" si="6"/>
        <v>0*-2.4</v>
      </c>
      <c r="H22" s="68" t="str">
        <f t="shared" si="7"/>
        <v>0*-2.4</v>
      </c>
      <c r="I22" s="50">
        <f>IF('쪽쟘(실측)'!F22&gt;0,'쪽쟘(실측)'!F22-1.5,0)+뒷날개치수더함</f>
        <v>0</v>
      </c>
      <c r="J22" s="50">
        <f>IF('쪽쟘(실측)'!H22&gt;0,'쪽쟘(실측)'!H22-1.5,0)+뒷날개치수더함</f>
        <v>0</v>
      </c>
      <c r="K22" s="50">
        <f>IF('쪽쟘(실측)'!F22&gt;0,'쪽쟘(실측)'!F22+0,0)+뒷날개치수더함</f>
        <v>0</v>
      </c>
      <c r="L22" s="50">
        <f>IF('쪽쟘(실측)'!G22&gt;0,'쪽쟘(실측)'!G22+0,0)+뒷날개치수더함</f>
        <v>0</v>
      </c>
      <c r="M22" s="50">
        <f>IF('쪽쟘(실측)'!H22&gt;0,'쪽쟘(실측)'!H22+0,0)+뒷날개치수더함</f>
        <v>0</v>
      </c>
      <c r="N22" s="50">
        <f>IF('쪽쟘(실측)'!I22&gt;0,'쪽쟘(실측)'!I22+0,0)+뒷날개치수더함</f>
        <v>0</v>
      </c>
      <c r="O22" s="50">
        <f>'쪽쟘(실측)'!J22-쪽쟘기둥차감</f>
        <v>0</v>
      </c>
      <c r="P22" s="50">
        <f>'쪽쟘(실측)'!K22-쪽쟘기둥차감</f>
        <v>0</v>
      </c>
      <c r="Q22" s="50">
        <f>'쪽쟘(실측)'!L22-쪽쟘기둥차감</f>
        <v>0</v>
      </c>
      <c r="R22" s="50">
        <f>'쪽쟘(실측)'!M22-쪽쟘기둥차감</f>
        <v>0</v>
      </c>
      <c r="S22" s="50">
        <f>'쪽쟘(실측)'!N22+뒷날개치수더함</f>
        <v>0</v>
      </c>
      <c r="T22" s="50">
        <f>'쪽쟘(실측)'!O22+뒷날개치수더함</f>
        <v>0</v>
      </c>
      <c r="U22" s="50">
        <f>'쪽쟘(실측)'!P22+뒷날개치수더함</f>
        <v>0</v>
      </c>
      <c r="V22" s="50">
        <f>'쪽쟘(실측)'!Q22+뒷날개치수더함</f>
        <v>0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0</v>
      </c>
      <c r="Z22" s="4">
        <f>'쪽쟘(실측)'!U22</f>
        <v>0</v>
      </c>
      <c r="AA22" s="4">
        <f>'쪽쟘(실측)'!V22</f>
        <v>0</v>
      </c>
      <c r="AC22">
        <f t="shared" si="8"/>
        <v>0</v>
      </c>
      <c r="AD22">
        <f t="shared" si="9"/>
        <v>-3.5999999999999996</v>
      </c>
      <c r="AE22">
        <f t="shared" si="2"/>
        <v>-2.3999999999999995</v>
      </c>
      <c r="AF22">
        <f t="shared" si="10"/>
        <v>0</v>
      </c>
      <c r="AG22">
        <f t="shared" si="4"/>
        <v>-2.3999999999999995</v>
      </c>
      <c r="AH22">
        <f t="shared" si="11"/>
        <v>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5"/>
        <v>0*-3.6</v>
      </c>
      <c r="D23" s="50">
        <f>'쪽쟘(실측)'!C23-쪽쟘OP차감</f>
        <v>0</v>
      </c>
      <c r="E23" s="50">
        <f>'쪽쟘(실측)'!D23+쪽쟘J늘림+MAX(W23:X23)</f>
        <v>0</v>
      </c>
      <c r="F23" s="50">
        <f>'쪽쟘(실측)'!E23+쪽쟘J늘림+MAX(W23:X23)</f>
        <v>0</v>
      </c>
      <c r="G23" s="67" t="str">
        <f t="shared" si="6"/>
        <v>0*-2.4</v>
      </c>
      <c r="H23" s="68" t="str">
        <f t="shared" si="7"/>
        <v>0*-2.4</v>
      </c>
      <c r="I23" s="50">
        <f>IF('쪽쟘(실측)'!F23&gt;0,'쪽쟘(실측)'!F23-1.5,0)+뒷날개치수더함</f>
        <v>0</v>
      </c>
      <c r="J23" s="50">
        <f>IF('쪽쟘(실측)'!H23&gt;0,'쪽쟘(실측)'!H23-1.5,0)+뒷날개치수더함</f>
        <v>0</v>
      </c>
      <c r="K23" s="50">
        <f>IF('쪽쟘(실측)'!F23&gt;0,'쪽쟘(실측)'!F23+0,0)+뒷날개치수더함</f>
        <v>0</v>
      </c>
      <c r="L23" s="50">
        <f>IF('쪽쟘(실측)'!G23&gt;0,'쪽쟘(실측)'!G23+0,0)+뒷날개치수더함</f>
        <v>0</v>
      </c>
      <c r="M23" s="50">
        <f>IF('쪽쟘(실측)'!H23&gt;0,'쪽쟘(실측)'!H23+0,0)+뒷날개치수더함</f>
        <v>0</v>
      </c>
      <c r="N23" s="50">
        <f>IF('쪽쟘(실측)'!I23&gt;0,'쪽쟘(실측)'!I23+0,0)+뒷날개치수더함</f>
        <v>0</v>
      </c>
      <c r="O23" s="50">
        <f>'쪽쟘(실측)'!J23-쪽쟘기둥차감</f>
        <v>0</v>
      </c>
      <c r="P23" s="50">
        <f>'쪽쟘(실측)'!K23-쪽쟘기둥차감</f>
        <v>0</v>
      </c>
      <c r="Q23" s="50">
        <f>'쪽쟘(실측)'!L23-쪽쟘기둥차감</f>
        <v>0</v>
      </c>
      <c r="R23" s="50">
        <f>'쪽쟘(실측)'!M23-쪽쟘기둥차감</f>
        <v>0</v>
      </c>
      <c r="S23" s="50">
        <f>'쪽쟘(실측)'!N23+뒷날개치수더함</f>
        <v>0</v>
      </c>
      <c r="T23" s="50">
        <f>'쪽쟘(실측)'!O23+뒷날개치수더함</f>
        <v>0</v>
      </c>
      <c r="U23" s="50">
        <f>'쪽쟘(실측)'!P23+뒷날개치수더함</f>
        <v>0</v>
      </c>
      <c r="V23" s="50">
        <f>'쪽쟘(실측)'!Q23+뒷날개치수더함</f>
        <v>0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0</v>
      </c>
      <c r="Z23" s="4">
        <f>'쪽쟘(실측)'!U23</f>
        <v>0</v>
      </c>
      <c r="AA23" s="4">
        <f>'쪽쟘(실측)'!V23</f>
        <v>0</v>
      </c>
      <c r="AC23">
        <f t="shared" si="8"/>
        <v>0</v>
      </c>
      <c r="AD23">
        <f t="shared" si="9"/>
        <v>-3.5999999999999996</v>
      </c>
      <c r="AE23">
        <f t="shared" si="2"/>
        <v>-2.3999999999999995</v>
      </c>
      <c r="AF23">
        <f t="shared" si="10"/>
        <v>0</v>
      </c>
      <c r="AG23">
        <f t="shared" si="4"/>
        <v>-2.3999999999999995</v>
      </c>
      <c r="AH23">
        <f t="shared" si="11"/>
        <v>0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5"/>
        <v>0*-3.6</v>
      </c>
      <c r="D24" s="50">
        <f>'쪽쟘(실측)'!C24-쪽쟘OP차감</f>
        <v>0</v>
      </c>
      <c r="E24" s="50">
        <f>'쪽쟘(실측)'!D24+쪽쟘J늘림+MAX(W24:X24)</f>
        <v>0</v>
      </c>
      <c r="F24" s="50">
        <f>'쪽쟘(실측)'!E24+쪽쟘J늘림+MAX(W24:X24)</f>
        <v>0</v>
      </c>
      <c r="G24" s="67" t="str">
        <f t="shared" si="6"/>
        <v>0*-2.4</v>
      </c>
      <c r="H24" s="68" t="str">
        <f t="shared" si="7"/>
        <v>0*-2.4</v>
      </c>
      <c r="I24" s="50">
        <f>IF('쪽쟘(실측)'!F24&gt;0,'쪽쟘(실측)'!F24-1.5,0)+뒷날개치수더함</f>
        <v>0</v>
      </c>
      <c r="J24" s="50">
        <f>IF('쪽쟘(실측)'!H24&gt;0,'쪽쟘(실측)'!H24-1.5,0)+뒷날개치수더함</f>
        <v>0</v>
      </c>
      <c r="K24" s="50">
        <f>IF('쪽쟘(실측)'!F24&gt;0,'쪽쟘(실측)'!F24+0,0)+뒷날개치수더함</f>
        <v>0</v>
      </c>
      <c r="L24" s="50">
        <f>IF('쪽쟘(실측)'!G24&gt;0,'쪽쟘(실측)'!G24+0,0)+뒷날개치수더함</f>
        <v>0</v>
      </c>
      <c r="M24" s="50">
        <f>IF('쪽쟘(실측)'!H24&gt;0,'쪽쟘(실측)'!H24+0,0)+뒷날개치수더함</f>
        <v>0</v>
      </c>
      <c r="N24" s="50">
        <f>IF('쪽쟘(실측)'!I24&gt;0,'쪽쟘(실측)'!I24+0,0)+뒷날개치수더함</f>
        <v>0</v>
      </c>
      <c r="O24" s="50">
        <f>'쪽쟘(실측)'!J24-쪽쟘기둥차감</f>
        <v>0</v>
      </c>
      <c r="P24" s="50">
        <f>'쪽쟘(실측)'!K24-쪽쟘기둥차감</f>
        <v>0</v>
      </c>
      <c r="Q24" s="50">
        <f>'쪽쟘(실측)'!L24-쪽쟘기둥차감</f>
        <v>0</v>
      </c>
      <c r="R24" s="50">
        <f>'쪽쟘(실측)'!M24-쪽쟘기둥차감</f>
        <v>0</v>
      </c>
      <c r="S24" s="50">
        <f>'쪽쟘(실측)'!N24+뒷날개치수더함</f>
        <v>0</v>
      </c>
      <c r="T24" s="50">
        <f>'쪽쟘(실측)'!O24+뒷날개치수더함</f>
        <v>0</v>
      </c>
      <c r="U24" s="50">
        <f>'쪽쟘(실측)'!P24+뒷날개치수더함</f>
        <v>0</v>
      </c>
      <c r="V24" s="50">
        <f>'쪽쟘(실측)'!Q24+뒷날개치수더함</f>
        <v>0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0</v>
      </c>
      <c r="Z24" s="4">
        <f>'쪽쟘(실측)'!U24</f>
        <v>0</v>
      </c>
      <c r="AA24" s="4">
        <f>'쪽쟘(실측)'!V24</f>
        <v>0</v>
      </c>
      <c r="AC24">
        <f t="shared" si="8"/>
        <v>0</v>
      </c>
      <c r="AD24">
        <f t="shared" si="9"/>
        <v>-3.5999999999999996</v>
      </c>
      <c r="AE24">
        <f t="shared" si="2"/>
        <v>-2.3999999999999995</v>
      </c>
      <c r="AF24">
        <f t="shared" si="10"/>
        <v>0</v>
      </c>
      <c r="AG24">
        <f t="shared" si="4"/>
        <v>-2.3999999999999995</v>
      </c>
      <c r="AH24">
        <f t="shared" si="11"/>
        <v>0</v>
      </c>
    </row>
    <row r="25" spans="1:34" ht="19.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5"/>
        <v>0*-3.6</v>
      </c>
      <c r="D25" s="50">
        <f>'쪽쟘(실측)'!C25-쪽쟘OP차감</f>
        <v>0</v>
      </c>
      <c r="E25" s="50">
        <f>'쪽쟘(실측)'!D25+쪽쟘J늘림+MAX(W25:X25)</f>
        <v>0</v>
      </c>
      <c r="F25" s="50">
        <f>'쪽쟘(실측)'!E25+쪽쟘J늘림+MAX(W25:X25)</f>
        <v>0</v>
      </c>
      <c r="G25" s="67" t="str">
        <f t="shared" si="6"/>
        <v>0*-2.4</v>
      </c>
      <c r="H25" s="68" t="str">
        <f t="shared" si="7"/>
        <v>0*-2.4</v>
      </c>
      <c r="I25" s="50">
        <f>IF('쪽쟘(실측)'!F25&gt;0,'쪽쟘(실측)'!F25-1.5,0)+뒷날개치수더함</f>
        <v>0</v>
      </c>
      <c r="J25" s="50">
        <f>IF('쪽쟘(실측)'!H25&gt;0,'쪽쟘(실측)'!H25-1.5,0)+뒷날개치수더함</f>
        <v>0</v>
      </c>
      <c r="K25" s="50">
        <f>IF('쪽쟘(실측)'!F25&gt;0,'쪽쟘(실측)'!F25+0,0)+뒷날개치수더함</f>
        <v>0</v>
      </c>
      <c r="L25" s="50">
        <f>IF('쪽쟘(실측)'!G25&gt;0,'쪽쟘(실측)'!G25+0,0)+뒷날개치수더함</f>
        <v>0</v>
      </c>
      <c r="M25" s="50">
        <f>IF('쪽쟘(실측)'!H25&gt;0,'쪽쟘(실측)'!H25+0,0)+뒷날개치수더함</f>
        <v>0</v>
      </c>
      <c r="N25" s="50">
        <f>IF('쪽쟘(실측)'!I25&gt;0,'쪽쟘(실측)'!I25+0,0)+뒷날개치수더함</f>
        <v>0</v>
      </c>
      <c r="O25" s="50">
        <f>'쪽쟘(실측)'!J25-쪽쟘기둥차감</f>
        <v>0</v>
      </c>
      <c r="P25" s="50">
        <f>'쪽쟘(실측)'!K25-쪽쟘기둥차감</f>
        <v>0</v>
      </c>
      <c r="Q25" s="50">
        <f>'쪽쟘(실측)'!L25-쪽쟘기둥차감</f>
        <v>0</v>
      </c>
      <c r="R25" s="50">
        <f>'쪽쟘(실측)'!M25-쪽쟘기둥차감</f>
        <v>0</v>
      </c>
      <c r="S25" s="50">
        <f>'쪽쟘(실측)'!N25+뒷날개치수더함</f>
        <v>0</v>
      </c>
      <c r="T25" s="50">
        <f>'쪽쟘(실측)'!O25+뒷날개치수더함</f>
        <v>0</v>
      </c>
      <c r="U25" s="50">
        <f>'쪽쟘(실측)'!P25+뒷날개치수더함</f>
        <v>0</v>
      </c>
      <c r="V25" s="50">
        <f>'쪽쟘(실측)'!Q25+뒷날개치수더함</f>
        <v>0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0</v>
      </c>
      <c r="Z25" s="4">
        <f>'쪽쟘(실측)'!U25</f>
        <v>0</v>
      </c>
      <c r="AA25" s="4">
        <f>'쪽쟘(실측)'!V25</f>
        <v>0</v>
      </c>
      <c r="AC25">
        <f t="shared" si="8"/>
        <v>0</v>
      </c>
      <c r="AD25">
        <f t="shared" si="9"/>
        <v>-3.5999999999999996</v>
      </c>
      <c r="AE25">
        <f t="shared" si="2"/>
        <v>-2.3999999999999995</v>
      </c>
      <c r="AF25">
        <f t="shared" si="10"/>
        <v>0</v>
      </c>
      <c r="AG25">
        <f t="shared" si="4"/>
        <v>-2.3999999999999995</v>
      </c>
      <c r="AH25">
        <f t="shared" si="11"/>
        <v>0</v>
      </c>
    </row>
  </sheetData>
  <mergeCells count="38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N5:N6"/>
    <mergeCell ref="O5:O6"/>
    <mergeCell ref="F5:F6"/>
    <mergeCell ref="G5:G6"/>
    <mergeCell ref="H5:H6"/>
    <mergeCell ref="I5:I6"/>
    <mergeCell ref="J5:J6"/>
    <mergeCell ref="A5:A6"/>
    <mergeCell ref="B5:B6"/>
    <mergeCell ref="C5:C6"/>
    <mergeCell ref="D5:D6"/>
    <mergeCell ref="E5:E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</mergeCells>
  <phoneticPr fontId="1" type="noConversion"/>
  <conditionalFormatting sqref="K7:K25 M7:M25 S7:S25">
    <cfRule type="cellIs" dxfId="58" priority="4" operator="notEqual">
      <formula>L7</formula>
    </cfRule>
  </conditionalFormatting>
  <conditionalFormatting sqref="L7:L25 N7:N25 T7:T25">
    <cfRule type="cellIs" dxfId="57" priority="3" operator="notEqual">
      <formula>K7</formula>
    </cfRule>
  </conditionalFormatting>
  <conditionalFormatting sqref="Y7:AA25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sqref="A1:X1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300" t="str">
        <f>정보!B1&amp;" (제작치수 샤링작지) "&amp;정보!B6&amp;" 소장"</f>
        <v>서울 종로구 인산빌딩 SO (제작치수 샤링작지) 김상훈 소장</v>
      </c>
      <c r="B1" s="300"/>
      <c r="C1" s="300"/>
      <c r="D1" s="300"/>
      <c r="E1" s="300"/>
      <c r="F1" s="300"/>
      <c r="G1" s="300"/>
      <c r="H1" s="300"/>
      <c r="I1" s="300"/>
      <c r="J1" s="300"/>
      <c r="K1" s="300"/>
      <c r="L1" s="300"/>
      <c r="M1" s="300"/>
      <c r="N1" s="300"/>
      <c r="O1" s="300"/>
      <c r="P1" s="300"/>
      <c r="Q1" s="300"/>
      <c r="R1" s="300"/>
      <c r="S1" s="300"/>
      <c r="T1" s="300"/>
      <c r="U1" s="300"/>
      <c r="V1" s="300"/>
      <c r="W1" s="300"/>
      <c r="X1" s="300"/>
    </row>
    <row r="2" spans="1:31" ht="30.75" customHeight="1" x14ac:dyDescent="0.3">
      <c r="A2" s="301" t="str">
        <f>"총 : " &amp; COUNTA(A7:A200) &amp;" (SET)"</f>
        <v>총 : 2 (SET)</v>
      </c>
      <c r="B2" s="301"/>
      <c r="C2" s="301"/>
      <c r="D2" s="301"/>
      <c r="E2" s="301"/>
      <c r="F2" s="301"/>
      <c r="G2" s="301"/>
      <c r="H2" s="301"/>
      <c r="I2" s="301"/>
      <c r="J2" s="301"/>
      <c r="K2" s="301"/>
      <c r="L2" s="301"/>
      <c r="M2" s="301"/>
      <c r="N2" s="301"/>
      <c r="O2" s="301"/>
      <c r="P2" s="290" t="s">
        <v>160</v>
      </c>
      <c r="Q2" s="291"/>
      <c r="R2" s="291"/>
      <c r="S2" s="291"/>
      <c r="T2" s="61"/>
      <c r="U2" s="292">
        <v>1.2</v>
      </c>
      <c r="V2" s="292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90" t="str">
        <f>"예상매수 : " &amp; ROUNDUP((SUM(AB7:AB200)+SUM(AD7:AD200))/1200,0) &amp;" 매"</f>
        <v>예상매수 : 1 매</v>
      </c>
      <c r="H3" s="290"/>
      <c r="I3" s="293">
        <v>0</v>
      </c>
      <c r="J3" s="293"/>
      <c r="K3" s="63"/>
      <c r="L3" s="63"/>
      <c r="M3" s="248" t="s">
        <v>161</v>
      </c>
      <c r="N3" s="248"/>
      <c r="O3" s="248"/>
      <c r="P3" s="294">
        <v>0</v>
      </c>
      <c r="Q3" s="294"/>
      <c r="R3" s="245" t="s">
        <v>162</v>
      </c>
      <c r="S3" s="245"/>
      <c r="T3" s="64"/>
      <c r="U3" s="295">
        <v>4</v>
      </c>
      <c r="V3" s="295"/>
      <c r="W3" s="65"/>
      <c r="X3" s="65"/>
    </row>
    <row r="4" spans="1:31" ht="9.75" customHeight="1" x14ac:dyDescent="0.3">
      <c r="A4" s="164"/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</row>
    <row r="5" spans="1:31" ht="25.9" customHeight="1" x14ac:dyDescent="0.3">
      <c r="A5" s="168" t="s">
        <v>163</v>
      </c>
      <c r="B5" s="168" t="s">
        <v>164</v>
      </c>
      <c r="C5" s="169" t="s">
        <v>165</v>
      </c>
      <c r="D5" s="168" t="s">
        <v>166</v>
      </c>
      <c r="E5" s="169" t="s">
        <v>167</v>
      </c>
      <c r="F5" s="169" t="s">
        <v>168</v>
      </c>
      <c r="G5" s="169" t="s">
        <v>169</v>
      </c>
      <c r="H5" s="169" t="s">
        <v>170</v>
      </c>
      <c r="I5" s="302" t="s">
        <v>171</v>
      </c>
      <c r="J5" s="169" t="s">
        <v>172</v>
      </c>
      <c r="K5" s="169" t="s">
        <v>173</v>
      </c>
      <c r="L5" s="169" t="s">
        <v>147</v>
      </c>
      <c r="M5" s="296" t="s">
        <v>174</v>
      </c>
      <c r="N5" s="296" t="s">
        <v>175</v>
      </c>
      <c r="O5" s="168" t="s">
        <v>176</v>
      </c>
      <c r="P5" s="168" t="s">
        <v>177</v>
      </c>
      <c r="Q5" s="168" t="s">
        <v>178</v>
      </c>
      <c r="R5" s="168" t="s">
        <v>179</v>
      </c>
      <c r="S5" s="169" t="s">
        <v>180</v>
      </c>
      <c r="T5" s="296" t="s">
        <v>151</v>
      </c>
      <c r="U5" s="169" t="s">
        <v>181</v>
      </c>
      <c r="V5" s="169" t="s">
        <v>182</v>
      </c>
      <c r="W5" s="168" t="s">
        <v>183</v>
      </c>
      <c r="X5" s="168"/>
      <c r="AB5" s="179" t="s">
        <v>184</v>
      </c>
      <c r="AC5" s="179"/>
      <c r="AD5" s="179" t="s">
        <v>185</v>
      </c>
      <c r="AE5" s="179"/>
    </row>
    <row r="6" spans="1:31" ht="36.75" customHeight="1" x14ac:dyDescent="0.3">
      <c r="A6" s="210"/>
      <c r="B6" s="210"/>
      <c r="C6" s="210"/>
      <c r="D6" s="210"/>
      <c r="E6" s="210"/>
      <c r="F6" s="210"/>
      <c r="G6" s="210"/>
      <c r="H6" s="210"/>
      <c r="I6" s="303"/>
      <c r="J6" s="210"/>
      <c r="K6" s="239"/>
      <c r="L6" s="239"/>
      <c r="M6" s="297"/>
      <c r="N6" s="297"/>
      <c r="O6" s="210"/>
      <c r="P6" s="210"/>
      <c r="Q6" s="210"/>
      <c r="R6" s="210"/>
      <c r="S6" s="210"/>
      <c r="T6" s="298"/>
      <c r="U6" s="239"/>
      <c r="V6" s="239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961*133.4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AC7&amp;"*"&amp;AB7</f>
        <v>2094*143.4</v>
      </c>
      <c r="H7" s="68" t="str">
        <f>AE7&amp;"*"&amp;AD7</f>
        <v>2094*141.4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  <c r="Z7">
        <v>961</v>
      </c>
      <c r="AA7">
        <v>133.4</v>
      </c>
      <c r="AB7">
        <v>143.4</v>
      </c>
      <c r="AC7">
        <v>2094</v>
      </c>
      <c r="AD7">
        <v>141.4</v>
      </c>
      <c r="AE7">
        <v>2094</v>
      </c>
    </row>
    <row r="8" spans="1:31" ht="18.7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" si="0">Z8&amp;"*"&amp;AA8</f>
        <v>953*121.4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 t="shared" ref="G8" si="1">AC8&amp;"*"&amp;AB8</f>
        <v>2094*121.4</v>
      </c>
      <c r="H8" s="68" t="str">
        <f t="shared" ref="H8" si="2">AE8&amp;"*"&amp;AD8</f>
        <v>2094*119.4</v>
      </c>
      <c r="I8" s="70">
        <f>IF('쪽쟘(실측)'!F8&gt;0,'쪽쟘(실측)'!F8+0.5,0)</f>
        <v>0</v>
      </c>
      <c r="J8" s="50">
        <f>IF('쪽쟘(실측)'!H8&gt;0,'쪽쟘(실측)'!H8+0.5,0)</f>
        <v>0</v>
      </c>
      <c r="K8" s="50">
        <f>IF('쪽쟘(실측)'!F8&gt;0,'쪽쟘(실측)'!F8+1.5,0)</f>
        <v>0</v>
      </c>
      <c r="L8" s="50">
        <f>IF('쪽쟘(실측)'!G8&gt;0,'쪽쟘(실측)'!G8+1.5,0)</f>
        <v>0</v>
      </c>
      <c r="M8" s="50">
        <f>IF('쪽쟘(실측)'!H8&gt;0,'쪽쟘(실측)'!H8+1.5,0)</f>
        <v>0</v>
      </c>
      <c r="N8" s="50">
        <f>IF('쪽쟘(실측)'!I8&gt;0,'쪽쟘(실측)'!I8+1.5,0)</f>
        <v>0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0</v>
      </c>
      <c r="V8" s="50">
        <f>'쪽쟘(실측)'!Q8</f>
        <v>0</v>
      </c>
      <c r="W8" s="50" t="e">
        <f>'쪽쟘(실측)'!R8-늘치차감</f>
        <v>#NAME?</v>
      </c>
      <c r="X8" s="50" t="e">
        <f>'쪽쟘(실측)'!S8-늘치차감</f>
        <v>#NAME?</v>
      </c>
      <c r="Z8">
        <v>953</v>
      </c>
      <c r="AA8">
        <v>121.4</v>
      </c>
      <c r="AB8">
        <v>121.4</v>
      </c>
      <c r="AC8">
        <v>2094</v>
      </c>
      <c r="AD8">
        <v>119.4</v>
      </c>
      <c r="AE8">
        <v>2094</v>
      </c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67" t="str">
        <f>정보!E2</f>
        <v>(SO와이드) 실측서 ( 서울 종로구 인산빌딩 SO ) _김상훈소장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7"/>
      <c r="Z2" s="167"/>
      <c r="AA2" s="167"/>
      <c r="AB2" s="167"/>
      <c r="AC2" s="167"/>
      <c r="AD2" s="167"/>
      <c r="AE2" s="167"/>
      <c r="AF2" s="167"/>
      <c r="AG2" s="167"/>
      <c r="AH2" s="167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서울 종로구 인산빌딩 SO,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75" t="s">
        <v>98</v>
      </c>
      <c r="N3" s="175"/>
      <c r="O3" s="34"/>
      <c r="P3" s="34"/>
      <c r="Q3" s="34"/>
      <c r="R3" s="34"/>
      <c r="S3" s="34"/>
      <c r="T3" s="34"/>
      <c r="U3" s="34"/>
      <c r="V3" s="34"/>
      <c r="W3" s="34"/>
      <c r="X3" s="34"/>
      <c r="Y3" s="167"/>
      <c r="Z3" s="167"/>
      <c r="AA3" s="167"/>
      <c r="AB3" s="167"/>
      <c r="AC3" s="167"/>
      <c r="AD3" s="167"/>
      <c r="AE3" s="167"/>
      <c r="AF3" s="167"/>
      <c r="AG3" s="167"/>
      <c r="AH3" s="167"/>
      <c r="AI3" s="34"/>
      <c r="AJ3" s="34"/>
      <c r="AK3" s="34"/>
      <c r="AL3" s="34"/>
    </row>
    <row r="4" spans="1:47" ht="33" customHeight="1" x14ac:dyDescent="0.3">
      <c r="A4" s="304" t="str">
        <f>정보!B10</f>
        <v>제작치수 반영 : MH + (0), JB/JD +(5 ),  늘어난치수K -(0),  C + (0),   U + (0), OP - (0), R - (0),  기둥차감 - (0), A + (3)</v>
      </c>
      <c r="B4" s="304"/>
      <c r="C4" s="304"/>
      <c r="D4" s="304"/>
      <c r="E4" s="304"/>
      <c r="F4" s="304"/>
      <c r="G4" s="304"/>
      <c r="H4" s="304"/>
      <c r="I4" s="304"/>
      <c r="J4" s="304"/>
      <c r="K4" s="304"/>
      <c r="L4" s="304"/>
      <c r="M4" s="304"/>
      <c r="N4" s="304"/>
      <c r="O4" s="304"/>
      <c r="P4" s="304"/>
      <c r="Q4" s="304"/>
      <c r="R4" s="304"/>
      <c r="S4" s="304"/>
      <c r="T4" s="304"/>
      <c r="U4" s="304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5"/>
      <c r="AG4" s="174" t="s">
        <v>215</v>
      </c>
      <c r="AH4" s="174"/>
      <c r="AI4" s="75"/>
      <c r="AJ4" s="9"/>
      <c r="AK4" s="9"/>
      <c r="AL4" s="9"/>
    </row>
    <row r="5" spans="1:47" ht="25.9" customHeight="1" x14ac:dyDescent="0.3">
      <c r="A5" s="168" t="s">
        <v>0</v>
      </c>
      <c r="B5" s="168" t="s">
        <v>1</v>
      </c>
      <c r="C5" s="168" t="s">
        <v>2</v>
      </c>
      <c r="D5" s="168" t="s">
        <v>24</v>
      </c>
      <c r="E5" s="168" t="s">
        <v>236</v>
      </c>
      <c r="F5" s="168" t="s">
        <v>239</v>
      </c>
      <c r="G5" s="168" t="s">
        <v>18</v>
      </c>
      <c r="H5" s="168" t="s">
        <v>4</v>
      </c>
      <c r="I5" s="168" t="s">
        <v>5</v>
      </c>
      <c r="J5" s="168" t="s">
        <v>6</v>
      </c>
      <c r="K5" s="168" t="s">
        <v>7</v>
      </c>
      <c r="L5" s="168" t="s">
        <v>8</v>
      </c>
      <c r="M5" s="168" t="s">
        <v>9</v>
      </c>
      <c r="N5" s="168" t="s">
        <v>12</v>
      </c>
      <c r="O5" s="168" t="s">
        <v>13</v>
      </c>
      <c r="P5" s="168" t="s">
        <v>10</v>
      </c>
      <c r="Q5" s="168" t="s">
        <v>11</v>
      </c>
      <c r="R5" s="168" t="s">
        <v>14</v>
      </c>
      <c r="S5" s="168" t="s">
        <v>15</v>
      </c>
      <c r="T5" s="168" t="s">
        <v>16</v>
      </c>
      <c r="U5" s="168" t="s">
        <v>17</v>
      </c>
      <c r="V5" s="168" t="s">
        <v>19</v>
      </c>
      <c r="W5" s="169" t="s">
        <v>48</v>
      </c>
      <c r="X5" s="169" t="s">
        <v>22</v>
      </c>
      <c r="Y5" s="305" t="s">
        <v>237</v>
      </c>
      <c r="Z5" s="306" t="s">
        <v>243</v>
      </c>
      <c r="AA5" s="168" t="s">
        <v>21</v>
      </c>
      <c r="AB5" s="168"/>
      <c r="AC5" s="168"/>
      <c r="AD5" s="168"/>
      <c r="AE5" s="170" t="s">
        <v>91</v>
      </c>
      <c r="AF5" s="170" t="s">
        <v>92</v>
      </c>
      <c r="AG5" s="172" t="s">
        <v>212</v>
      </c>
      <c r="AH5" s="173"/>
      <c r="AI5" s="169" t="s">
        <v>199</v>
      </c>
      <c r="AJ5" s="169" t="s">
        <v>203</v>
      </c>
      <c r="AK5" s="169"/>
      <c r="AL5" s="169"/>
    </row>
    <row r="6" spans="1:47" ht="44.25" customHeight="1" x14ac:dyDescent="0.3">
      <c r="A6" s="168"/>
      <c r="B6" s="168"/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/>
      <c r="X6" s="169"/>
      <c r="Y6" s="305"/>
      <c r="Z6" s="306"/>
      <c r="AA6" s="8" t="s">
        <v>43</v>
      </c>
      <c r="AB6" s="8" t="s">
        <v>44</v>
      </c>
      <c r="AC6" s="8" t="s">
        <v>45</v>
      </c>
      <c r="AD6" s="8" t="s">
        <v>46</v>
      </c>
      <c r="AE6" s="171"/>
      <c r="AF6" s="171"/>
      <c r="AG6" s="74" t="s">
        <v>213</v>
      </c>
      <c r="AH6" s="74" t="s">
        <v>214</v>
      </c>
      <c r="AI6" s="168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85" zoomScaleNormal="85" workbookViewId="0">
      <selection activeCell="B2" sqref="B2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18" t="str">
        <f>정보!F2</f>
        <v>(SO와이드) 제작변환 ( 서울 종로구 인산빌딩 SO ) _김상훈소장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318"/>
      <c r="P1" s="318"/>
      <c r="Q1" s="318"/>
      <c r="R1" s="318"/>
      <c r="S1" s="318"/>
      <c r="T1" s="318"/>
      <c r="U1" s="318"/>
      <c r="V1" s="318"/>
      <c r="W1" s="318"/>
      <c r="X1" s="318"/>
      <c r="Y1" s="318"/>
      <c r="Z1" s="318"/>
      <c r="AA1" s="318"/>
      <c r="AB1" s="318"/>
      <c r="AC1" s="318"/>
      <c r="AD1" s="318"/>
      <c r="AE1" s="318"/>
      <c r="AF1" s="318"/>
      <c r="AG1" s="318"/>
      <c r="AH1" s="318"/>
      <c r="AI1" s="318"/>
      <c r="AJ1" s="318"/>
      <c r="AK1" s="318"/>
      <c r="AL1" s="318"/>
      <c r="AM1" s="318"/>
      <c r="AN1" s="318"/>
      <c r="AO1" s="318"/>
      <c r="AP1" s="318"/>
      <c r="AQ1" s="318"/>
      <c r="AR1" s="318"/>
      <c r="AS1" s="318"/>
      <c r="AT1" s="318"/>
      <c r="AU1" s="318"/>
      <c r="AV1" s="318"/>
      <c r="AW1" s="37"/>
      <c r="AX1" s="37"/>
    </row>
    <row r="2" spans="1:66" ht="29.25" customHeight="1" x14ac:dyDescent="0.3">
      <c r="A2" s="97" t="s">
        <v>85</v>
      </c>
      <c r="B2" s="139">
        <v>0</v>
      </c>
      <c r="C2" s="98" t="s">
        <v>86</v>
      </c>
      <c r="D2" s="112">
        <v>0</v>
      </c>
      <c r="E2" s="27"/>
      <c r="F2" s="27"/>
      <c r="G2" s="98" t="s">
        <v>87</v>
      </c>
      <c r="H2" s="113">
        <v>0</v>
      </c>
      <c r="I2" s="1"/>
      <c r="J2" s="218" t="s">
        <v>113</v>
      </c>
      <c r="K2" s="219"/>
      <c r="L2" s="219"/>
      <c r="M2" s="219"/>
      <c r="N2" s="219"/>
      <c r="O2" s="219"/>
      <c r="P2" s="220">
        <v>1</v>
      </c>
      <c r="Q2" s="220"/>
      <c r="R2" s="190" t="s">
        <v>89</v>
      </c>
      <c r="S2" s="191"/>
      <c r="T2" s="192">
        <v>0</v>
      </c>
      <c r="U2" s="192"/>
      <c r="V2" s="168" t="s">
        <v>83</v>
      </c>
      <c r="W2" s="194"/>
      <c r="X2" s="194"/>
      <c r="Y2" s="195">
        <v>0</v>
      </c>
      <c r="Z2" s="195"/>
      <c r="AA2" s="323">
        <f>정보!B5</f>
        <v>0</v>
      </c>
      <c r="AB2" s="324"/>
      <c r="AC2" s="324"/>
      <c r="AD2" s="324"/>
      <c r="AE2" s="324"/>
      <c r="AF2" s="324"/>
      <c r="AG2" s="324"/>
      <c r="AH2" s="324"/>
      <c r="AI2" s="324"/>
      <c r="AJ2" s="324"/>
      <c r="AK2" s="325"/>
      <c r="AL2" s="190" t="s">
        <v>90</v>
      </c>
      <c r="AM2" s="191"/>
      <c r="AN2" s="319">
        <v>0</v>
      </c>
      <c r="AO2" s="319"/>
      <c r="AP2" s="1"/>
      <c r="AQ2" s="320" t="s">
        <v>229</v>
      </c>
      <c r="AR2" s="321"/>
      <c r="AS2" s="322">
        <v>0</v>
      </c>
      <c r="AT2" s="322"/>
      <c r="AU2" s="1"/>
      <c r="AV2" s="1"/>
    </row>
    <row r="3" spans="1:66" ht="24.75" customHeight="1" x14ac:dyDescent="0.3">
      <c r="A3" s="28" t="str">
        <f>'SO와이드(실측)'!A3</f>
        <v>현장명 : 서울 종로구 인산빌딩 SO,   (재질) : HL 1.2T</v>
      </c>
      <c r="B3" s="2"/>
      <c r="C3" s="2"/>
      <c r="D3" s="2"/>
      <c r="E3" s="2"/>
      <c r="F3" s="2"/>
      <c r="G3" s="2"/>
      <c r="H3" s="2"/>
      <c r="I3" s="2"/>
      <c r="J3" s="190" t="s">
        <v>228</v>
      </c>
      <c r="K3" s="190"/>
      <c r="L3" s="190"/>
      <c r="M3" s="190"/>
      <c r="N3" s="190"/>
      <c r="O3" s="190"/>
      <c r="P3" s="221">
        <v>5</v>
      </c>
      <c r="Q3" s="221"/>
      <c r="R3" s="191" t="s">
        <v>77</v>
      </c>
      <c r="S3" s="191"/>
      <c r="T3" s="198">
        <v>0</v>
      </c>
      <c r="U3" s="198"/>
      <c r="V3" s="199" t="s">
        <v>227</v>
      </c>
      <c r="W3" s="199"/>
      <c r="X3" s="199"/>
      <c r="Y3" s="200">
        <f>BN7</f>
        <v>1</v>
      </c>
      <c r="Z3" s="200"/>
      <c r="AA3" s="316" t="s">
        <v>78</v>
      </c>
      <c r="AB3" s="316"/>
      <c r="AC3" s="326">
        <v>3</v>
      </c>
      <c r="AD3" s="326"/>
      <c r="AL3" s="168" t="s">
        <v>73</v>
      </c>
      <c r="AM3" s="168"/>
      <c r="AN3" s="110">
        <v>5</v>
      </c>
      <c r="AO3" s="103" t="s">
        <v>74</v>
      </c>
      <c r="AP3" s="111">
        <v>4</v>
      </c>
      <c r="AQ3" s="226" t="s">
        <v>230</v>
      </c>
      <c r="AR3" s="226"/>
      <c r="AS3" s="228" t="s">
        <v>326</v>
      </c>
      <c r="AT3" s="229"/>
      <c r="AU3" s="232">
        <f>AY7</f>
        <v>0</v>
      </c>
      <c r="AV3" s="233"/>
      <c r="BN3" s="178" t="s">
        <v>253</v>
      </c>
    </row>
    <row r="4" spans="1:66" ht="33" customHeight="1" x14ac:dyDescent="0.3">
      <c r="A4" s="164" t="str">
        <f>정보!B10</f>
        <v>제작치수 반영 : MH + (0), JB/JD +(5 ),  늘어난치수K -(0),  C + (0),   U + (0), OP - (0), R - (0),  기둥차감 - (0), A + (3)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164"/>
      <c r="AG4" s="317" t="s">
        <v>312</v>
      </c>
      <c r="AH4" s="317"/>
      <c r="AI4" s="276">
        <f>'SO와이드(실측)'!AA7</f>
        <v>0</v>
      </c>
      <c r="AJ4" s="276"/>
      <c r="AK4" s="223">
        <f ca="1">TODAY()</f>
        <v>45223</v>
      </c>
      <c r="AL4" s="163"/>
      <c r="AM4" s="163"/>
      <c r="AN4" s="9"/>
      <c r="AO4" s="311" t="s">
        <v>117</v>
      </c>
      <c r="AP4" s="311"/>
      <c r="AQ4" s="174" t="s">
        <v>215</v>
      </c>
      <c r="AR4" s="174"/>
      <c r="AS4" s="84"/>
      <c r="AT4" s="230" t="s">
        <v>235</v>
      </c>
      <c r="AU4" s="230"/>
      <c r="AV4" s="231"/>
      <c r="BN4" s="179"/>
    </row>
    <row r="5" spans="1:66" ht="25.9" customHeight="1" x14ac:dyDescent="0.3">
      <c r="A5" s="168" t="s">
        <v>0</v>
      </c>
      <c r="B5" s="168" t="s">
        <v>1</v>
      </c>
      <c r="C5" s="168" t="s">
        <v>2</v>
      </c>
      <c r="D5" s="168" t="s">
        <v>2</v>
      </c>
      <c r="E5" s="168" t="s">
        <v>236</v>
      </c>
      <c r="F5" s="168" t="s">
        <v>246</v>
      </c>
      <c r="G5" s="168" t="s">
        <v>18</v>
      </c>
      <c r="H5" s="207" t="s">
        <v>4</v>
      </c>
      <c r="I5" s="271" t="s">
        <v>42</v>
      </c>
      <c r="J5" s="204" t="s">
        <v>105</v>
      </c>
      <c r="K5" s="204" t="s">
        <v>106</v>
      </c>
      <c r="L5" s="208" t="s">
        <v>107</v>
      </c>
      <c r="M5" s="208" t="s">
        <v>108</v>
      </c>
      <c r="N5" s="312" t="s">
        <v>240</v>
      </c>
      <c r="O5" s="314" t="s">
        <v>241</v>
      </c>
      <c r="P5" s="210" t="s">
        <v>71</v>
      </c>
      <c r="Q5" s="210" t="s">
        <v>72</v>
      </c>
      <c r="R5" s="168" t="s">
        <v>8</v>
      </c>
      <c r="S5" s="168" t="s">
        <v>9</v>
      </c>
      <c r="T5" s="168" t="s">
        <v>12</v>
      </c>
      <c r="U5" s="168" t="s">
        <v>13</v>
      </c>
      <c r="V5" s="168" t="s">
        <v>10</v>
      </c>
      <c r="W5" s="168" t="s">
        <v>11</v>
      </c>
      <c r="X5" s="206" t="s">
        <v>14</v>
      </c>
      <c r="Y5" s="206" t="s">
        <v>15</v>
      </c>
      <c r="Z5" s="207" t="s">
        <v>16</v>
      </c>
      <c r="AA5" s="207" t="s">
        <v>17</v>
      </c>
      <c r="AB5" s="168" t="s">
        <v>19</v>
      </c>
      <c r="AC5" s="168" t="s">
        <v>20</v>
      </c>
      <c r="AD5" s="169" t="s">
        <v>22</v>
      </c>
      <c r="AE5" s="305" t="s">
        <v>242</v>
      </c>
      <c r="AF5" s="306" t="s">
        <v>238</v>
      </c>
      <c r="AG5" s="196" t="s">
        <v>79</v>
      </c>
      <c r="AH5" s="197"/>
      <c r="AI5" s="197"/>
      <c r="AJ5" s="197"/>
      <c r="AK5" s="188" t="s">
        <v>91</v>
      </c>
      <c r="AL5" s="188" t="s">
        <v>92</v>
      </c>
      <c r="AM5" s="180" t="s">
        <v>99</v>
      </c>
      <c r="AN5" s="169" t="s">
        <v>61</v>
      </c>
      <c r="AO5" s="169" t="s">
        <v>34</v>
      </c>
      <c r="AP5" s="169" t="s">
        <v>35</v>
      </c>
      <c r="AQ5" s="172" t="s">
        <v>212</v>
      </c>
      <c r="AR5" s="173"/>
      <c r="AS5" s="309" t="s">
        <v>199</v>
      </c>
      <c r="AT5" s="309" t="s">
        <v>204</v>
      </c>
      <c r="AU5" s="309"/>
      <c r="AV5" s="309"/>
      <c r="AW5" s="178" t="s">
        <v>100</v>
      </c>
      <c r="AX5" s="178" t="s">
        <v>101</v>
      </c>
      <c r="AY5" s="308" t="s">
        <v>244</v>
      </c>
      <c r="AZ5" s="307" t="s">
        <v>245</v>
      </c>
      <c r="BA5" s="183" t="s">
        <v>84</v>
      </c>
      <c r="BB5" s="186" t="s">
        <v>102</v>
      </c>
      <c r="BC5" s="185" t="s">
        <v>94</v>
      </c>
      <c r="BD5" s="185" t="s">
        <v>95</v>
      </c>
      <c r="BE5" s="178" t="s">
        <v>93</v>
      </c>
      <c r="BH5" s="182" t="s">
        <v>28</v>
      </c>
      <c r="BI5" s="182"/>
      <c r="BJ5" s="182" t="s">
        <v>29</v>
      </c>
      <c r="BK5" s="182"/>
      <c r="BL5" s="6" t="s">
        <v>50</v>
      </c>
      <c r="BM5" s="235" t="s">
        <v>104</v>
      </c>
      <c r="BN5" s="234" t="s">
        <v>226</v>
      </c>
    </row>
    <row r="6" spans="1:66" ht="48" customHeight="1" x14ac:dyDescent="0.3">
      <c r="A6" s="168"/>
      <c r="B6" s="168"/>
      <c r="C6" s="168"/>
      <c r="D6" s="168"/>
      <c r="E6" s="168"/>
      <c r="F6" s="168"/>
      <c r="G6" s="168"/>
      <c r="H6" s="207"/>
      <c r="I6" s="271"/>
      <c r="J6" s="205"/>
      <c r="K6" s="205"/>
      <c r="L6" s="209"/>
      <c r="M6" s="209"/>
      <c r="N6" s="313"/>
      <c r="O6" s="315"/>
      <c r="P6" s="211"/>
      <c r="Q6" s="211"/>
      <c r="R6" s="168"/>
      <c r="S6" s="168"/>
      <c r="T6" s="168"/>
      <c r="U6" s="168"/>
      <c r="V6" s="168"/>
      <c r="W6" s="168"/>
      <c r="X6" s="206"/>
      <c r="Y6" s="206"/>
      <c r="Z6" s="207"/>
      <c r="AA6" s="207"/>
      <c r="AB6" s="168"/>
      <c r="AC6" s="168"/>
      <c r="AD6" s="169"/>
      <c r="AE6" s="305"/>
      <c r="AF6" s="306"/>
      <c r="AG6" s="8" t="s">
        <v>52</v>
      </c>
      <c r="AH6" s="8" t="s">
        <v>68</v>
      </c>
      <c r="AI6" s="8" t="s">
        <v>69</v>
      </c>
      <c r="AJ6" s="8" t="s">
        <v>70</v>
      </c>
      <c r="AK6" s="189"/>
      <c r="AL6" s="189"/>
      <c r="AM6" s="181"/>
      <c r="AN6" s="169"/>
      <c r="AO6" s="168"/>
      <c r="AP6" s="168"/>
      <c r="AQ6" s="74" t="s">
        <v>213</v>
      </c>
      <c r="AR6" s="74" t="s">
        <v>214</v>
      </c>
      <c r="AS6" s="310"/>
      <c r="AT6" s="86" t="s">
        <v>200</v>
      </c>
      <c r="AU6" s="86" t="s">
        <v>201</v>
      </c>
      <c r="AV6" s="86" t="s">
        <v>80</v>
      </c>
      <c r="AW6" s="179"/>
      <c r="AX6" s="179"/>
      <c r="AY6" s="307"/>
      <c r="AZ6" s="307"/>
      <c r="BA6" s="184"/>
      <c r="BB6" s="187"/>
      <c r="BC6" s="185"/>
      <c r="BD6" s="185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35"/>
      <c r="BN6" s="234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0</v>
      </c>
      <c r="D7" s="31">
        <f>'SO와이드(실측)'!D7+SO와이드MH더함-IF(AND(소장="추영덕",AB7=0),1.2)</f>
        <v>0</v>
      </c>
      <c r="E7" s="31">
        <f>'SO와이드(실측)'!E7-SO와이드OP</f>
        <v>0</v>
      </c>
      <c r="F7" s="31">
        <f>'SO와이드(실측)'!F7-SO와이드OP</f>
        <v>0</v>
      </c>
      <c r="G7" s="31">
        <f>'SO와이드(실측)'!G7-SO와이드R</f>
        <v>0</v>
      </c>
      <c r="H7" s="50">
        <f>'SO와이드(실측)'!H7+SO와이드JBJD키움치수+IF(BN7=1,AG7,0)</f>
        <v>5</v>
      </c>
      <c r="I7" s="50">
        <f>'SO와이드(실측)'!I7+SO와이드JBJD키움치수+IF(BN7=1,AI7,0)</f>
        <v>5</v>
      </c>
      <c r="J7" s="50">
        <f>'SO와이드(실측)'!J7+MAX(AW7,AX7)+SO와이드JBJD키움치수+IF(BN7=1,AG7,0)</f>
        <v>5</v>
      </c>
      <c r="K7" s="50">
        <f>'SO와이드(실측)'!J7+MAX(AW7,AX7)+SO와이드JBJD키움치수+IF(BN7=1,AH7,0)-IF(SO와이드JB하부늘치=1,'SO와이드(실측)'!AA7-'SO와이드(실측)'!AB7,0)</f>
        <v>5</v>
      </c>
      <c r="L7" s="50">
        <f>'SO와이드(실측)'!K7+MAX(AW7,AX7)+SO와이드JBJD키움치수+IF(BN7=1,AI7,0)</f>
        <v>5</v>
      </c>
      <c r="M7" s="50">
        <f>'SO와이드(실측)'!K7+MAX(AW7,AX7)+SO와이드JBJD키움치수+IF(BN7=1,AJ7,0)-IF(SO와이드JB하부늘치=1,'SO와이드(실측)'!AC7-'SO와이드(실측)'!AD7,0)</f>
        <v>5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>
        <f>ROUNDUP(BA7,1)</f>
        <v>0</v>
      </c>
      <c r="U7" s="137">
        <f>ROUNDUP(BB7,1)</f>
        <v>0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0</v>
      </c>
      <c r="AH7" s="31">
        <f>IF(SO와이드JB하부늘치=1,AG7,'SO와이드(실측)'!AB7-SO와이드늘치)</f>
        <v>0</v>
      </c>
      <c r="AI7" s="31">
        <f>'SO와이드(실측)'!AC7-SO와이드늘치</f>
        <v>0</v>
      </c>
      <c r="AJ7" s="31">
        <f>IF(SO와이드JB하부늘치=1,AI7,'SO와이드(실측)'!AD7-SO와이드늘치)</f>
        <v>0</v>
      </c>
      <c r="AK7" s="31">
        <f xml:space="preserve"> IF(소장&lt;&gt;"손상민",IF('SO와이드(실측)'!AE7&gt;0,'SO와이드(실측)'!AE7,C7-1.2),IF('SO와이드(실측)'!AE7&gt;0,'SO와이드(실측)'!AE7+1.2,C7))</f>
        <v>-1.2</v>
      </c>
      <c r="AL7" s="31">
        <f xml:space="preserve"> IF(소장&lt;&gt;"손상민",IF('SO와이드(실측)'!AF7&gt;0,'SO와이드(실측)'!AF7,D7-1.2),IF('SO와이드(실측)'!AF7&gt;0,'SO와이드(실측)'!AF7+1.2,D7) )</f>
        <v>-1.2</v>
      </c>
      <c r="AM7" s="51">
        <f>IF(AC7&gt;0,AC7-MAX(T7,U7),0)</f>
        <v>0</v>
      </c>
      <c r="AN7" s="31" t="str">
        <f t="shared" ref="AN7" si="1">BF7&amp;"*"&amp;BG7</f>
        <v>0*1.4</v>
      </c>
      <c r="AO7" s="31" t="str">
        <f t="shared" ref="AO7" si="2">BI7&amp;"*"&amp;BH7</f>
        <v>-1.2*2.6</v>
      </c>
      <c r="AP7" s="31" t="str">
        <f t="shared" ref="AP7" si="3">BK7&amp;"*"&amp;BJ7</f>
        <v>-1.2*2.6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>
        <f>DEGREES(ATAN((G7-(E7+F7))/2/(H7)))</f>
        <v>0</v>
      </c>
      <c r="AZ7" s="20">
        <f>DEGREES(ATAN((G7-(E7+F7))/2/(I7)))</f>
        <v>0</v>
      </c>
      <c r="BA7" s="21">
        <f>INT(ABS(H7-COS(RADIANS(AY7))*J7)*10)/10</f>
        <v>0</v>
      </c>
      <c r="BB7" s="21">
        <f>INT(ABS(I7-COS(RADIANS(AZ7))*L7)*10)/10</f>
        <v>0</v>
      </c>
      <c r="BC7" s="21">
        <f>'SO와이드(실측)'!N7+AW7</f>
        <v>0</v>
      </c>
      <c r="BD7" s="21">
        <f>'SO와이드(실측)'!O7+AW7</f>
        <v>0</v>
      </c>
      <c r="BE7" s="20">
        <f>BA7-MAX(BC7,BD7)</f>
        <v>0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1.4</v>
      </c>
      <c r="BH7" s="41">
        <f>V7+R7+MAX(J7,K7)+AE7-1.2*$AP$3+IF(BN7=0,MAX(AH7,AG7),0)+IF(V7=0,1.2,0)-IF(AV7=90,2.4,0)</f>
        <v>2.6000000000000005</v>
      </c>
      <c r="BI7" s="41">
        <f>MAX(X7,Y7)+AK7</f>
        <v>-1.2</v>
      </c>
      <c r="BJ7" s="41">
        <f>W7+S7+MAX(L7,M7)+AF7-1.2*$AP$3+IF(BN7=0,MAX(AI7,AJ7),0)+IF(W7=0,1.2,0)-IF(AV7=90,2.4,0)</f>
        <v>2.6000000000000005</v>
      </c>
      <c r="BK7" s="41">
        <f>MAX(Z7,AA7)+AL7</f>
        <v>-1.2</v>
      </c>
      <c r="BL7" s="6">
        <f t="shared" ref="BL7" si="4">J7-H7-T7</f>
        <v>0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topLeftCell="C1" zoomScale="85" zoomScaleNormal="85" workbookViewId="0">
      <selection activeCell="Y18" sqref="Y18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66" t="str">
        <f>정보!E3</f>
        <v>(SO멍텅구리) 실측서 ( 서울 종로구 인산빌딩 SO ) _김상훈소장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서울 종로구 인산빌딩 SO,   (재질) : HL 1.2T</v>
      </c>
      <c r="B3" s="2"/>
      <c r="C3" s="2"/>
      <c r="D3" s="2"/>
      <c r="E3" s="2"/>
      <c r="F3" s="2"/>
      <c r="G3" s="2"/>
      <c r="H3" s="238"/>
      <c r="I3" s="238"/>
      <c r="J3" s="247"/>
      <c r="K3" s="247"/>
      <c r="L3" s="248"/>
      <c r="M3" s="248"/>
      <c r="N3" s="249"/>
      <c r="O3" s="249"/>
      <c r="P3" s="249"/>
      <c r="Q3" s="244" t="s">
        <v>97</v>
      </c>
      <c r="R3" s="244"/>
      <c r="S3" s="245"/>
      <c r="T3" s="245"/>
      <c r="U3" s="246"/>
      <c r="V3" s="246"/>
      <c r="W3" s="246"/>
    </row>
    <row r="4" spans="1:41" ht="33" customHeight="1" x14ac:dyDescent="0.3">
      <c r="A4" s="164" t="str">
        <f>정보!B14</f>
        <v>제작치수 반영 : JB/JD +(5 ),  늘어난치수K -(0),  C + (0),  U +(0), OP1/OP2 - (0), R - (0),  기둥차감 - (0), A + (3)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3"/>
      <c r="X4" s="163"/>
      <c r="Y4" s="163"/>
      <c r="Z4" s="163"/>
      <c r="AA4" s="163"/>
      <c r="AB4" s="163"/>
      <c r="AC4" s="165"/>
      <c r="AD4" s="174" t="s">
        <v>215</v>
      </c>
      <c r="AE4" s="174"/>
      <c r="AF4" s="81" t="s">
        <v>234</v>
      </c>
    </row>
    <row r="5" spans="1:41" ht="25.9" customHeight="1" x14ac:dyDescent="0.3">
      <c r="A5" s="168" t="s">
        <v>0</v>
      </c>
      <c r="B5" s="168" t="s">
        <v>1</v>
      </c>
      <c r="C5" s="168" t="s">
        <v>248</v>
      </c>
      <c r="D5" s="168" t="s">
        <v>247</v>
      </c>
      <c r="E5" s="168" t="s">
        <v>18</v>
      </c>
      <c r="F5" s="168" t="s">
        <v>4</v>
      </c>
      <c r="G5" s="168" t="s">
        <v>5</v>
      </c>
      <c r="H5" s="168" t="s">
        <v>6</v>
      </c>
      <c r="I5" s="168" t="s">
        <v>7</v>
      </c>
      <c r="J5" s="168" t="s">
        <v>8</v>
      </c>
      <c r="K5" s="168" t="s">
        <v>9</v>
      </c>
      <c r="L5" s="168" t="s">
        <v>10</v>
      </c>
      <c r="M5" s="168" t="s">
        <v>11</v>
      </c>
      <c r="N5" s="168" t="s">
        <v>14</v>
      </c>
      <c r="O5" s="168" t="s">
        <v>15</v>
      </c>
      <c r="P5" s="168" t="s">
        <v>16</v>
      </c>
      <c r="Q5" s="168" t="s">
        <v>17</v>
      </c>
      <c r="R5" s="168" t="s">
        <v>19</v>
      </c>
      <c r="S5" s="168" t="s">
        <v>20</v>
      </c>
      <c r="T5" s="239" t="s">
        <v>22</v>
      </c>
      <c r="U5" s="305" t="s">
        <v>242</v>
      </c>
      <c r="V5" s="306" t="s">
        <v>238</v>
      </c>
      <c r="W5" s="241" t="s">
        <v>21</v>
      </c>
      <c r="X5" s="242"/>
      <c r="Y5" s="242"/>
      <c r="Z5" s="243"/>
      <c r="AA5" s="169" t="s">
        <v>203</v>
      </c>
      <c r="AB5" s="169"/>
      <c r="AC5" s="169"/>
      <c r="AD5" s="172" t="s">
        <v>212</v>
      </c>
      <c r="AE5" s="173"/>
      <c r="AF5" s="80" t="s">
        <v>231</v>
      </c>
    </row>
    <row r="6" spans="1:41" ht="47.25" customHeight="1" x14ac:dyDescent="0.3">
      <c r="A6" s="168"/>
      <c r="B6" s="168"/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240"/>
      <c r="U6" s="305"/>
      <c r="V6" s="306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>
        <v>10</v>
      </c>
      <c r="C7" s="4">
        <v>411</v>
      </c>
      <c r="D7" s="4">
        <v>384</v>
      </c>
      <c r="E7" s="4">
        <v>873</v>
      </c>
      <c r="F7" s="4">
        <v>471</v>
      </c>
      <c r="G7" s="4">
        <v>514</v>
      </c>
      <c r="H7" s="4">
        <v>473</v>
      </c>
      <c r="I7" s="4">
        <v>516</v>
      </c>
      <c r="J7" s="4">
        <v>40</v>
      </c>
      <c r="K7" s="4">
        <v>40</v>
      </c>
      <c r="L7" s="4">
        <v>8</v>
      </c>
      <c r="M7" s="4">
        <v>11</v>
      </c>
      <c r="N7" s="4">
        <v>2107</v>
      </c>
      <c r="O7" s="4">
        <v>2096</v>
      </c>
      <c r="P7" s="4">
        <v>2100</v>
      </c>
      <c r="Q7" s="4">
        <v>2095</v>
      </c>
      <c r="R7" s="4">
        <v>40</v>
      </c>
      <c r="S7" s="4">
        <v>18</v>
      </c>
      <c r="T7" s="4">
        <v>30</v>
      </c>
      <c r="U7" s="4">
        <v>30</v>
      </c>
      <c r="V7" s="4">
        <v>33</v>
      </c>
      <c r="W7" s="4">
        <v>15</v>
      </c>
      <c r="X7" s="4">
        <v>12</v>
      </c>
      <c r="Y7" s="4">
        <v>10</v>
      </c>
      <c r="Z7" s="4">
        <v>10</v>
      </c>
      <c r="AA7" s="4">
        <v>20</v>
      </c>
      <c r="AB7" s="4">
        <v>10</v>
      </c>
      <c r="AC7" s="4">
        <v>6</v>
      </c>
      <c r="AD7" s="4"/>
      <c r="AE7" s="4"/>
      <c r="AF7" s="4"/>
      <c r="AG7" s="55">
        <v>5</v>
      </c>
      <c r="AH7" s="3">
        <f t="shared" ref="AH7:AK11" si="0">W7+$AG7</f>
        <v>20</v>
      </c>
      <c r="AI7" s="3">
        <f t="shared" si="0"/>
        <v>17</v>
      </c>
      <c r="AJ7" s="3">
        <f t="shared" si="0"/>
        <v>15</v>
      </c>
      <c r="AK7" s="3">
        <f t="shared" si="0"/>
        <v>15</v>
      </c>
      <c r="AL7" s="3">
        <f t="shared" ref="AL7:AO11" si="1">F7-$AG7</f>
        <v>466</v>
      </c>
      <c r="AM7" s="3">
        <f t="shared" si="1"/>
        <v>509</v>
      </c>
      <c r="AN7" s="3">
        <f t="shared" si="1"/>
        <v>468</v>
      </c>
      <c r="AO7" s="3">
        <f t="shared" si="1"/>
        <v>511</v>
      </c>
    </row>
    <row r="8" spans="1:41" ht="27" customHeight="1" x14ac:dyDescent="0.3">
      <c r="A8" s="4"/>
      <c r="B8" s="4">
        <v>9</v>
      </c>
      <c r="C8" s="4">
        <v>410</v>
      </c>
      <c r="D8" s="4">
        <v>382</v>
      </c>
      <c r="E8" s="4">
        <v>875</v>
      </c>
      <c r="F8" s="4">
        <v>499</v>
      </c>
      <c r="G8" s="4">
        <v>544</v>
      </c>
      <c r="H8" s="4">
        <v>501</v>
      </c>
      <c r="I8" s="4">
        <v>546</v>
      </c>
      <c r="J8" s="4">
        <v>25</v>
      </c>
      <c r="K8" s="4">
        <v>25</v>
      </c>
      <c r="L8" s="4">
        <v>3</v>
      </c>
      <c r="M8" s="4">
        <v>4</v>
      </c>
      <c r="N8" s="4">
        <v>2105</v>
      </c>
      <c r="O8" s="4">
        <v>2094</v>
      </c>
      <c r="P8" s="4">
        <v>2102</v>
      </c>
      <c r="Q8" s="4">
        <v>2094</v>
      </c>
      <c r="R8" s="4">
        <v>25</v>
      </c>
      <c r="S8" s="4">
        <v>0</v>
      </c>
      <c r="T8" s="4">
        <v>30</v>
      </c>
      <c r="U8" s="4">
        <v>30</v>
      </c>
      <c r="V8" s="4">
        <v>33</v>
      </c>
      <c r="W8" s="4">
        <v>14</v>
      </c>
      <c r="X8" s="4">
        <v>14</v>
      </c>
      <c r="Y8" s="4">
        <v>10</v>
      </c>
      <c r="Z8" s="4">
        <v>10</v>
      </c>
      <c r="AA8" s="4">
        <v>20</v>
      </c>
      <c r="AB8" s="4">
        <v>10</v>
      </c>
      <c r="AC8" s="4">
        <v>10</v>
      </c>
      <c r="AD8" s="4"/>
      <c r="AE8" s="4"/>
      <c r="AF8" s="4"/>
      <c r="AG8" s="55">
        <v>2</v>
      </c>
      <c r="AH8" s="3">
        <f t="shared" si="0"/>
        <v>16</v>
      </c>
      <c r="AI8" s="3">
        <f t="shared" si="0"/>
        <v>16</v>
      </c>
      <c r="AJ8" s="3">
        <f t="shared" si="0"/>
        <v>12</v>
      </c>
      <c r="AK8" s="3">
        <f t="shared" si="0"/>
        <v>12</v>
      </c>
      <c r="AL8" s="3">
        <f t="shared" si="1"/>
        <v>497</v>
      </c>
      <c r="AM8" s="3">
        <f t="shared" si="1"/>
        <v>542</v>
      </c>
      <c r="AN8" s="3">
        <f t="shared" si="1"/>
        <v>499</v>
      </c>
      <c r="AO8" s="3">
        <f t="shared" si="1"/>
        <v>544</v>
      </c>
    </row>
    <row r="9" spans="1:41" ht="27" customHeight="1" x14ac:dyDescent="0.3">
      <c r="A9" s="4"/>
      <c r="B9" s="4">
        <v>8</v>
      </c>
      <c r="C9" s="4">
        <v>412</v>
      </c>
      <c r="D9" s="4">
        <v>382</v>
      </c>
      <c r="E9" s="4">
        <v>875</v>
      </c>
      <c r="F9" s="4">
        <v>446</v>
      </c>
      <c r="G9" s="4">
        <v>490</v>
      </c>
      <c r="H9" s="4">
        <v>448</v>
      </c>
      <c r="I9" s="4">
        <v>492</v>
      </c>
      <c r="J9" s="4">
        <v>15</v>
      </c>
      <c r="K9" s="4">
        <v>15</v>
      </c>
      <c r="L9" s="4">
        <v>0</v>
      </c>
      <c r="M9" s="4">
        <v>1</v>
      </c>
      <c r="N9" s="4">
        <v>2094</v>
      </c>
      <c r="O9" s="4">
        <v>2092</v>
      </c>
      <c r="P9" s="4">
        <v>2092</v>
      </c>
      <c r="Q9" s="4">
        <v>2094</v>
      </c>
      <c r="R9" s="4">
        <v>9</v>
      </c>
      <c r="S9" s="4">
        <v>0</v>
      </c>
      <c r="T9" s="4">
        <v>30</v>
      </c>
      <c r="U9" s="4">
        <v>30</v>
      </c>
      <c r="V9" s="4">
        <v>33</v>
      </c>
      <c r="W9" s="4">
        <v>14</v>
      </c>
      <c r="X9" s="4">
        <v>11</v>
      </c>
      <c r="Y9" s="4">
        <v>10</v>
      </c>
      <c r="Z9" s="4">
        <v>10</v>
      </c>
      <c r="AA9" s="4">
        <v>20</v>
      </c>
      <c r="AB9" s="4">
        <v>10</v>
      </c>
      <c r="AC9" s="4">
        <v>10</v>
      </c>
      <c r="AD9" s="4"/>
      <c r="AE9" s="4"/>
      <c r="AF9" s="4"/>
      <c r="AG9" s="55">
        <v>5</v>
      </c>
      <c r="AH9" s="3">
        <f t="shared" si="0"/>
        <v>19</v>
      </c>
      <c r="AI9" s="3">
        <f t="shared" si="0"/>
        <v>16</v>
      </c>
      <c r="AJ9" s="3">
        <f t="shared" si="0"/>
        <v>15</v>
      </c>
      <c r="AK9" s="3">
        <f t="shared" si="0"/>
        <v>15</v>
      </c>
      <c r="AL9" s="3">
        <f t="shared" si="1"/>
        <v>441</v>
      </c>
      <c r="AM9" s="3">
        <f t="shared" si="1"/>
        <v>485</v>
      </c>
      <c r="AN9" s="3">
        <f t="shared" si="1"/>
        <v>443</v>
      </c>
      <c r="AO9" s="3">
        <f t="shared" si="1"/>
        <v>487</v>
      </c>
    </row>
    <row r="10" spans="1:41" ht="27" customHeight="1" x14ac:dyDescent="0.3">
      <c r="A10" s="4"/>
      <c r="B10" s="4">
        <v>7</v>
      </c>
      <c r="C10" s="4">
        <v>411</v>
      </c>
      <c r="D10" s="4">
        <v>383</v>
      </c>
      <c r="E10" s="4">
        <v>875</v>
      </c>
      <c r="F10" s="4">
        <v>436</v>
      </c>
      <c r="G10" s="4">
        <v>479</v>
      </c>
      <c r="H10" s="4">
        <v>438</v>
      </c>
      <c r="I10" s="4">
        <v>481</v>
      </c>
      <c r="J10" s="4">
        <v>33</v>
      </c>
      <c r="K10" s="4">
        <v>33</v>
      </c>
      <c r="L10" s="4">
        <v>0</v>
      </c>
      <c r="M10" s="4">
        <v>0</v>
      </c>
      <c r="N10" s="4">
        <v>2094</v>
      </c>
      <c r="O10" s="4">
        <v>2090</v>
      </c>
      <c r="P10" s="4">
        <v>2091</v>
      </c>
      <c r="Q10" s="4">
        <v>2089</v>
      </c>
      <c r="R10" s="4">
        <v>27</v>
      </c>
      <c r="S10" s="4">
        <v>0</v>
      </c>
      <c r="T10" s="4">
        <v>30</v>
      </c>
      <c r="U10" s="4">
        <v>30</v>
      </c>
      <c r="V10" s="4">
        <v>33</v>
      </c>
      <c r="W10" s="4">
        <v>14</v>
      </c>
      <c r="X10" s="4">
        <v>9</v>
      </c>
      <c r="Y10" s="4">
        <v>10</v>
      </c>
      <c r="Z10" s="4">
        <v>10</v>
      </c>
      <c r="AA10" s="4">
        <v>20</v>
      </c>
      <c r="AB10" s="4">
        <v>10</v>
      </c>
      <c r="AC10" s="4">
        <v>6</v>
      </c>
      <c r="AD10" s="4"/>
      <c r="AE10" s="4"/>
      <c r="AF10" s="4"/>
      <c r="AG10" s="55">
        <v>4</v>
      </c>
      <c r="AH10" s="3">
        <f t="shared" si="0"/>
        <v>18</v>
      </c>
      <c r="AI10" s="3">
        <f t="shared" si="0"/>
        <v>13</v>
      </c>
      <c r="AJ10" s="3">
        <f t="shared" si="0"/>
        <v>14</v>
      </c>
      <c r="AK10" s="3">
        <f t="shared" si="0"/>
        <v>14</v>
      </c>
      <c r="AL10" s="3">
        <f t="shared" si="1"/>
        <v>432</v>
      </c>
      <c r="AM10" s="3">
        <f t="shared" si="1"/>
        <v>475</v>
      </c>
      <c r="AN10" s="3">
        <f t="shared" si="1"/>
        <v>434</v>
      </c>
      <c r="AO10" s="3">
        <f t="shared" si="1"/>
        <v>477</v>
      </c>
    </row>
    <row r="11" spans="1:41" ht="27" customHeight="1" x14ac:dyDescent="0.3">
      <c r="A11" s="4"/>
      <c r="B11" s="4">
        <v>6</v>
      </c>
      <c r="C11" s="4">
        <v>411</v>
      </c>
      <c r="D11" s="4">
        <v>382</v>
      </c>
      <c r="E11" s="4">
        <v>875</v>
      </c>
      <c r="F11" s="4">
        <v>433</v>
      </c>
      <c r="G11" s="4">
        <v>475</v>
      </c>
      <c r="H11" s="4">
        <v>435</v>
      </c>
      <c r="I11" s="4">
        <v>477</v>
      </c>
      <c r="J11" s="4">
        <v>33</v>
      </c>
      <c r="K11" s="4">
        <v>33</v>
      </c>
      <c r="L11" s="4">
        <v>0</v>
      </c>
      <c r="M11" s="4">
        <v>0</v>
      </c>
      <c r="N11" s="4">
        <v>2097</v>
      </c>
      <c r="O11" s="4">
        <v>2090</v>
      </c>
      <c r="P11" s="4">
        <v>2091</v>
      </c>
      <c r="Q11" s="4">
        <v>2086</v>
      </c>
      <c r="R11" s="4">
        <v>28</v>
      </c>
      <c r="S11" s="4">
        <v>0</v>
      </c>
      <c r="T11" s="4">
        <v>30</v>
      </c>
      <c r="U11" s="4">
        <v>30</v>
      </c>
      <c r="V11" s="4">
        <v>33</v>
      </c>
      <c r="W11" s="4">
        <v>10</v>
      </c>
      <c r="X11" s="4">
        <v>10</v>
      </c>
      <c r="Y11" s="4">
        <v>10</v>
      </c>
      <c r="Z11" s="4">
        <v>10</v>
      </c>
      <c r="AA11" s="4">
        <v>20</v>
      </c>
      <c r="AB11" s="4">
        <v>10</v>
      </c>
      <c r="AC11" s="4">
        <v>10</v>
      </c>
      <c r="AD11" s="4"/>
      <c r="AE11" s="4"/>
      <c r="AF11" s="4"/>
      <c r="AG11" s="55">
        <v>3</v>
      </c>
      <c r="AH11" s="3">
        <f t="shared" si="0"/>
        <v>13</v>
      </c>
      <c r="AI11" s="3">
        <f t="shared" si="0"/>
        <v>13</v>
      </c>
      <c r="AJ11" s="3">
        <f t="shared" si="0"/>
        <v>13</v>
      </c>
      <c r="AK11" s="3">
        <f t="shared" si="0"/>
        <v>13</v>
      </c>
      <c r="AL11" s="3">
        <f t="shared" si="1"/>
        <v>430</v>
      </c>
      <c r="AM11" s="3">
        <f t="shared" si="1"/>
        <v>472</v>
      </c>
      <c r="AN11" s="3">
        <f t="shared" si="1"/>
        <v>432</v>
      </c>
      <c r="AO11" s="3">
        <f t="shared" si="1"/>
        <v>474</v>
      </c>
    </row>
    <row r="12" spans="1:41" ht="27" customHeight="1" x14ac:dyDescent="0.3">
      <c r="A12" s="4"/>
      <c r="B12" s="4">
        <v>5</v>
      </c>
      <c r="C12" s="4">
        <v>411</v>
      </c>
      <c r="D12" s="4">
        <v>382</v>
      </c>
      <c r="E12" s="4">
        <v>873</v>
      </c>
      <c r="F12" s="4">
        <v>399</v>
      </c>
      <c r="G12" s="4">
        <v>443</v>
      </c>
      <c r="H12" s="4">
        <v>401</v>
      </c>
      <c r="I12" s="4">
        <v>445</v>
      </c>
      <c r="J12" s="4">
        <v>9</v>
      </c>
      <c r="K12" s="4">
        <v>9</v>
      </c>
      <c r="L12" s="4">
        <v>0</v>
      </c>
      <c r="M12" s="4">
        <v>0</v>
      </c>
      <c r="N12" s="4">
        <v>2090</v>
      </c>
      <c r="O12" s="4">
        <v>2091</v>
      </c>
      <c r="P12" s="4">
        <v>2083</v>
      </c>
      <c r="Q12" s="4">
        <v>2089</v>
      </c>
      <c r="R12" s="4">
        <v>9</v>
      </c>
      <c r="S12" s="4">
        <v>0</v>
      </c>
      <c r="T12" s="4">
        <v>30</v>
      </c>
      <c r="U12" s="4">
        <v>30</v>
      </c>
      <c r="V12" s="4">
        <v>33</v>
      </c>
      <c r="W12" s="4">
        <v>17</v>
      </c>
      <c r="X12" s="4">
        <v>11</v>
      </c>
      <c r="Y12" s="4">
        <v>10</v>
      </c>
      <c r="Z12" s="4">
        <v>10</v>
      </c>
      <c r="AA12" s="4">
        <v>20</v>
      </c>
      <c r="AB12" s="4">
        <v>10</v>
      </c>
      <c r="AC12" s="4">
        <v>10</v>
      </c>
      <c r="AD12" s="4"/>
      <c r="AE12" s="4"/>
      <c r="AF12" s="4"/>
      <c r="AG12" s="55">
        <v>6</v>
      </c>
      <c r="AH12" s="3">
        <f t="shared" ref="AH12:AH17" si="2">W12+$AG12</f>
        <v>23</v>
      </c>
      <c r="AI12" s="3">
        <f t="shared" ref="AI12:AI17" si="3">X12+$AG12</f>
        <v>17</v>
      </c>
      <c r="AJ12" s="3">
        <f t="shared" ref="AJ12:AJ17" si="4">Y12+$AG12</f>
        <v>16</v>
      </c>
      <c r="AK12" s="3">
        <f t="shared" ref="AK12:AK17" si="5">Z12+$AG12</f>
        <v>16</v>
      </c>
      <c r="AL12" s="3">
        <f t="shared" ref="AL12:AL17" si="6">F12-$AG12</f>
        <v>393</v>
      </c>
      <c r="AM12" s="3">
        <f t="shared" ref="AM12:AM17" si="7">G12-$AG12</f>
        <v>437</v>
      </c>
      <c r="AN12" s="3">
        <f t="shared" ref="AN12:AN17" si="8">H12-$AG12</f>
        <v>395</v>
      </c>
      <c r="AO12" s="3">
        <f t="shared" ref="AO12:AO17" si="9">I12-$AG12</f>
        <v>439</v>
      </c>
    </row>
    <row r="13" spans="1:41" ht="27" customHeight="1" x14ac:dyDescent="0.3">
      <c r="A13" s="4"/>
      <c r="B13" s="4">
        <v>4</v>
      </c>
      <c r="C13" s="4">
        <v>410</v>
      </c>
      <c r="D13" s="4">
        <v>384</v>
      </c>
      <c r="E13" s="4">
        <v>872</v>
      </c>
      <c r="F13" s="4">
        <v>406</v>
      </c>
      <c r="G13" s="4">
        <v>449</v>
      </c>
      <c r="H13" s="4">
        <v>408</v>
      </c>
      <c r="I13" s="4">
        <v>451</v>
      </c>
      <c r="J13" s="4">
        <v>22</v>
      </c>
      <c r="K13" s="4">
        <v>22</v>
      </c>
      <c r="L13" s="4">
        <v>0</v>
      </c>
      <c r="M13" s="4">
        <v>0</v>
      </c>
      <c r="N13" s="4">
        <v>2100</v>
      </c>
      <c r="O13" s="4">
        <v>2096</v>
      </c>
      <c r="P13" s="4">
        <v>2096</v>
      </c>
      <c r="Q13" s="4">
        <v>2095</v>
      </c>
      <c r="R13" s="4">
        <v>18</v>
      </c>
      <c r="S13" s="4">
        <v>0</v>
      </c>
      <c r="T13" s="4">
        <v>30</v>
      </c>
      <c r="U13" s="4">
        <v>30</v>
      </c>
      <c r="V13" s="4">
        <v>33</v>
      </c>
      <c r="W13" s="4">
        <v>13</v>
      </c>
      <c r="X13" s="4">
        <v>10</v>
      </c>
      <c r="Y13" s="4">
        <v>10</v>
      </c>
      <c r="Z13" s="4">
        <v>10</v>
      </c>
      <c r="AA13" s="4">
        <v>20</v>
      </c>
      <c r="AB13" s="4">
        <v>10</v>
      </c>
      <c r="AC13" s="4">
        <v>10</v>
      </c>
      <c r="AD13" s="4"/>
      <c r="AE13" s="4"/>
      <c r="AF13" s="4"/>
      <c r="AG13" s="55">
        <v>4</v>
      </c>
      <c r="AH13" s="3">
        <f t="shared" si="2"/>
        <v>17</v>
      </c>
      <c r="AI13" s="3">
        <f t="shared" si="3"/>
        <v>14</v>
      </c>
      <c r="AJ13" s="3">
        <f t="shared" si="4"/>
        <v>14</v>
      </c>
      <c r="AK13" s="3">
        <f t="shared" si="5"/>
        <v>14</v>
      </c>
      <c r="AL13" s="3">
        <f t="shared" si="6"/>
        <v>402</v>
      </c>
      <c r="AM13" s="3">
        <f t="shared" si="7"/>
        <v>445</v>
      </c>
      <c r="AN13" s="3">
        <f t="shared" si="8"/>
        <v>404</v>
      </c>
      <c r="AO13" s="3">
        <f t="shared" si="9"/>
        <v>447</v>
      </c>
    </row>
    <row r="14" spans="1:41" ht="27" customHeight="1" x14ac:dyDescent="0.3">
      <c r="A14" s="4"/>
      <c r="B14" s="4">
        <v>3</v>
      </c>
      <c r="C14" s="4">
        <v>411</v>
      </c>
      <c r="D14" s="4">
        <v>383</v>
      </c>
      <c r="E14" s="4">
        <v>871</v>
      </c>
      <c r="F14" s="4">
        <v>396</v>
      </c>
      <c r="G14" s="4">
        <v>439</v>
      </c>
      <c r="H14" s="4">
        <v>398</v>
      </c>
      <c r="I14" s="4">
        <v>441</v>
      </c>
      <c r="J14" s="4">
        <v>0</v>
      </c>
      <c r="K14" s="4">
        <v>0</v>
      </c>
      <c r="L14" s="4" t="s">
        <v>335</v>
      </c>
      <c r="M14" s="4" t="s">
        <v>335</v>
      </c>
      <c r="N14" s="4">
        <v>2101</v>
      </c>
      <c r="O14" s="4">
        <v>2091</v>
      </c>
      <c r="P14" s="4">
        <v>2101</v>
      </c>
      <c r="Q14" s="4">
        <v>2094</v>
      </c>
      <c r="R14" s="4" t="s">
        <v>335</v>
      </c>
      <c r="S14" s="4" t="s">
        <v>335</v>
      </c>
      <c r="T14" s="4">
        <v>30</v>
      </c>
      <c r="U14" s="4">
        <v>30</v>
      </c>
      <c r="V14" s="4">
        <v>33</v>
      </c>
      <c r="W14" s="4">
        <v>16</v>
      </c>
      <c r="X14" s="4">
        <v>16</v>
      </c>
      <c r="Y14" s="4">
        <v>10</v>
      </c>
      <c r="Z14" s="4">
        <v>13</v>
      </c>
      <c r="AA14" s="4">
        <v>20</v>
      </c>
      <c r="AB14" s="4">
        <v>10</v>
      </c>
      <c r="AC14" s="4">
        <v>10</v>
      </c>
      <c r="AD14" s="4"/>
      <c r="AE14" s="4"/>
      <c r="AF14" s="4"/>
      <c r="AG14" s="55">
        <v>7</v>
      </c>
      <c r="AH14" s="3">
        <f t="shared" si="2"/>
        <v>23</v>
      </c>
      <c r="AI14" s="3">
        <f t="shared" si="3"/>
        <v>23</v>
      </c>
      <c r="AJ14" s="3">
        <f t="shared" si="4"/>
        <v>17</v>
      </c>
      <c r="AK14" s="3">
        <f t="shared" si="5"/>
        <v>20</v>
      </c>
      <c r="AL14" s="3">
        <f t="shared" si="6"/>
        <v>389</v>
      </c>
      <c r="AM14" s="3">
        <f t="shared" si="7"/>
        <v>432</v>
      </c>
      <c r="AN14" s="3">
        <f t="shared" si="8"/>
        <v>391</v>
      </c>
      <c r="AO14" s="3">
        <f t="shared" si="9"/>
        <v>434</v>
      </c>
    </row>
    <row r="15" spans="1:41" ht="27" customHeight="1" x14ac:dyDescent="0.3">
      <c r="A15" s="4"/>
      <c r="B15" s="4">
        <v>2</v>
      </c>
      <c r="C15" s="4">
        <v>411</v>
      </c>
      <c r="D15" s="4">
        <v>384</v>
      </c>
      <c r="E15" s="4">
        <v>872</v>
      </c>
      <c r="F15" s="4">
        <v>382</v>
      </c>
      <c r="G15" s="4">
        <v>425</v>
      </c>
      <c r="H15" s="4">
        <v>384</v>
      </c>
      <c r="I15" s="4">
        <v>427</v>
      </c>
      <c r="J15" s="4">
        <v>0</v>
      </c>
      <c r="K15" s="4">
        <v>0</v>
      </c>
      <c r="L15" s="4" t="s">
        <v>335</v>
      </c>
      <c r="M15" s="4" t="s">
        <v>335</v>
      </c>
      <c r="N15" s="4">
        <v>2102</v>
      </c>
      <c r="O15" s="4">
        <v>2097</v>
      </c>
      <c r="P15" s="4">
        <v>2099</v>
      </c>
      <c r="Q15" s="4">
        <v>2097</v>
      </c>
      <c r="R15" s="4" t="s">
        <v>335</v>
      </c>
      <c r="S15" s="4" t="s">
        <v>335</v>
      </c>
      <c r="T15" s="4">
        <v>30</v>
      </c>
      <c r="U15" s="4">
        <v>30</v>
      </c>
      <c r="V15" s="4">
        <v>33</v>
      </c>
      <c r="W15" s="4">
        <v>10</v>
      </c>
      <c r="X15" s="4">
        <v>10</v>
      </c>
      <c r="Y15" s="4">
        <v>10</v>
      </c>
      <c r="Z15" s="4">
        <v>10</v>
      </c>
      <c r="AA15" s="4">
        <v>20</v>
      </c>
      <c r="AB15" s="4">
        <v>10</v>
      </c>
      <c r="AC15" s="4">
        <v>10</v>
      </c>
      <c r="AD15" s="4"/>
      <c r="AE15" s="4"/>
      <c r="AF15" s="4"/>
      <c r="AG15" s="55">
        <v>4</v>
      </c>
      <c r="AH15" s="3">
        <f t="shared" si="2"/>
        <v>14</v>
      </c>
      <c r="AI15" s="3">
        <f t="shared" si="3"/>
        <v>14</v>
      </c>
      <c r="AJ15" s="3">
        <f t="shared" si="4"/>
        <v>14</v>
      </c>
      <c r="AK15" s="3">
        <f t="shared" si="5"/>
        <v>14</v>
      </c>
      <c r="AL15" s="3">
        <f t="shared" si="6"/>
        <v>378</v>
      </c>
      <c r="AM15" s="3">
        <f t="shared" si="7"/>
        <v>421</v>
      </c>
      <c r="AN15" s="3">
        <f t="shared" si="8"/>
        <v>380</v>
      </c>
      <c r="AO15" s="3">
        <f t="shared" si="9"/>
        <v>423</v>
      </c>
    </row>
    <row r="16" spans="1:41" ht="27" customHeight="1" x14ac:dyDescent="0.3">
      <c r="A16" s="4"/>
      <c r="B16" s="4">
        <v>1</v>
      </c>
      <c r="C16" s="4">
        <v>411</v>
      </c>
      <c r="D16" s="4">
        <v>384</v>
      </c>
      <c r="E16" s="4">
        <v>886</v>
      </c>
      <c r="F16" s="4">
        <v>493</v>
      </c>
      <c r="G16" s="4">
        <v>536</v>
      </c>
      <c r="H16" s="4">
        <v>495</v>
      </c>
      <c r="I16" s="4">
        <v>538</v>
      </c>
      <c r="J16" s="4">
        <v>25</v>
      </c>
      <c r="K16" s="4">
        <v>25</v>
      </c>
      <c r="L16" s="4">
        <v>3</v>
      </c>
      <c r="M16" s="4">
        <v>12</v>
      </c>
      <c r="N16" s="4">
        <v>2098</v>
      </c>
      <c r="O16" s="4">
        <v>2094</v>
      </c>
      <c r="P16" s="4">
        <v>2097</v>
      </c>
      <c r="Q16" s="4">
        <v>2093</v>
      </c>
      <c r="R16" s="4">
        <v>25</v>
      </c>
      <c r="S16" s="4">
        <v>7</v>
      </c>
      <c r="T16" s="4">
        <v>30</v>
      </c>
      <c r="U16" s="4">
        <v>30</v>
      </c>
      <c r="V16" s="4">
        <v>33</v>
      </c>
      <c r="W16" s="4">
        <v>15</v>
      </c>
      <c r="X16" s="4">
        <v>15</v>
      </c>
      <c r="Y16" s="4">
        <v>10</v>
      </c>
      <c r="Z16" s="4">
        <v>13</v>
      </c>
      <c r="AA16" s="4">
        <v>20</v>
      </c>
      <c r="AB16" s="4">
        <v>10</v>
      </c>
      <c r="AC16" s="4">
        <v>10</v>
      </c>
      <c r="AD16" s="4"/>
      <c r="AE16" s="4"/>
      <c r="AF16" s="4"/>
      <c r="AG16" s="55">
        <v>6</v>
      </c>
      <c r="AH16" s="3">
        <f t="shared" si="2"/>
        <v>21</v>
      </c>
      <c r="AI16" s="3">
        <f t="shared" si="3"/>
        <v>21</v>
      </c>
      <c r="AJ16" s="3">
        <f t="shared" si="4"/>
        <v>16</v>
      </c>
      <c r="AK16" s="3">
        <f t="shared" si="5"/>
        <v>19</v>
      </c>
      <c r="AL16" s="3">
        <f t="shared" si="6"/>
        <v>487</v>
      </c>
      <c r="AM16" s="3">
        <f t="shared" si="7"/>
        <v>530</v>
      </c>
      <c r="AN16" s="3">
        <f t="shared" si="8"/>
        <v>489</v>
      </c>
      <c r="AO16" s="3">
        <f t="shared" si="9"/>
        <v>532</v>
      </c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>
        <f t="shared" si="2"/>
        <v>0</v>
      </c>
      <c r="AI17" s="3">
        <f t="shared" si="3"/>
        <v>0</v>
      </c>
      <c r="AJ17" s="3">
        <f t="shared" si="4"/>
        <v>0</v>
      </c>
      <c r="AK17" s="3">
        <f t="shared" si="5"/>
        <v>0</v>
      </c>
      <c r="AL17" s="3">
        <f t="shared" si="6"/>
        <v>0</v>
      </c>
      <c r="AM17" s="3">
        <f t="shared" si="7"/>
        <v>0</v>
      </c>
      <c r="AN17" s="3">
        <f t="shared" si="8"/>
        <v>0</v>
      </c>
      <c r="AO17" s="3">
        <f t="shared" si="9"/>
        <v>0</v>
      </c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16"/>
  <sheetViews>
    <sheetView tabSelected="1" zoomScale="85" zoomScaleNormal="85" workbookViewId="0">
      <selection activeCell="AQ9" sqref="AQ9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6" t="str">
        <f>정보!F3</f>
        <v>(SO멍텅구리) 제작변환 ( 서울 종로구 인산빌딩 SO ) _김상훈소장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"/>
      <c r="AN1" s="1"/>
      <c r="AO1" s="250" t="s">
        <v>75</v>
      </c>
      <c r="AP1" s="250"/>
      <c r="AQ1" s="250"/>
      <c r="AW1" s="24"/>
    </row>
    <row r="2" spans="1:58" ht="28.5" customHeight="1" x14ac:dyDescent="0.3">
      <c r="A2" s="97" t="s">
        <v>85</v>
      </c>
      <c r="B2" s="140">
        <v>0</v>
      </c>
      <c r="C2" s="341" t="s">
        <v>290</v>
      </c>
      <c r="D2" s="341"/>
      <c r="E2" s="116">
        <v>0</v>
      </c>
      <c r="F2" s="1"/>
      <c r="G2" s="1"/>
      <c r="H2" s="214" t="s">
        <v>81</v>
      </c>
      <c r="I2" s="214"/>
      <c r="J2" s="214"/>
      <c r="K2" s="336">
        <v>0</v>
      </c>
      <c r="L2" s="336"/>
      <c r="M2" s="336"/>
      <c r="N2" s="336"/>
      <c r="O2" s="219" t="s">
        <v>113</v>
      </c>
      <c r="P2" s="219"/>
      <c r="Q2" s="219"/>
      <c r="R2" s="219"/>
      <c r="S2" s="337">
        <v>1</v>
      </c>
      <c r="T2" s="337"/>
      <c r="U2" s="191" t="s">
        <v>103</v>
      </c>
      <c r="V2" s="191"/>
      <c r="W2" s="143">
        <v>0</v>
      </c>
      <c r="X2" s="219" t="s">
        <v>88</v>
      </c>
      <c r="Y2" s="219"/>
      <c r="Z2" s="338">
        <v>0</v>
      </c>
      <c r="AA2" s="338"/>
      <c r="AB2" s="22"/>
      <c r="AC2" s="190" t="s">
        <v>82</v>
      </c>
      <c r="AD2" s="191"/>
      <c r="AE2" s="339">
        <v>0</v>
      </c>
      <c r="AF2" s="339"/>
      <c r="AG2" s="142" t="s">
        <v>90</v>
      </c>
      <c r="AH2" s="340">
        <v>0</v>
      </c>
      <c r="AI2" s="340"/>
      <c r="AJ2" s="141"/>
      <c r="AK2" s="141"/>
      <c r="AL2" s="141"/>
      <c r="AM2" s="1"/>
      <c r="AN2" s="1"/>
      <c r="AO2" s="250"/>
      <c r="AP2" s="250"/>
      <c r="AQ2" s="250"/>
      <c r="AW2" s="24"/>
    </row>
    <row r="3" spans="1:58" ht="33" customHeight="1" x14ac:dyDescent="0.3">
      <c r="A3" s="33" t="str">
        <f>'SO멍텅(실측)'!A3</f>
        <v>현장명 : 서울 종로구 인산빌딩 SO,   (재질) : HL 1.2T</v>
      </c>
      <c r="B3" s="2"/>
      <c r="C3" s="2"/>
      <c r="D3" s="2"/>
      <c r="E3" s="2"/>
      <c r="F3" s="2"/>
      <c r="G3" s="2"/>
      <c r="H3" s="155"/>
      <c r="I3" s="191" t="s">
        <v>76</v>
      </c>
      <c r="J3" s="191"/>
      <c r="K3" s="221">
        <v>5</v>
      </c>
      <c r="L3" s="221"/>
      <c r="M3" s="221"/>
      <c r="N3" s="221"/>
      <c r="O3" s="191" t="s">
        <v>77</v>
      </c>
      <c r="P3" s="191"/>
      <c r="Q3" s="198">
        <v>0</v>
      </c>
      <c r="R3" s="198"/>
      <c r="S3" s="219" t="s">
        <v>227</v>
      </c>
      <c r="T3" s="219"/>
      <c r="U3" s="219"/>
      <c r="V3" s="331">
        <f>BE7</f>
        <v>0</v>
      </c>
      <c r="W3" s="331"/>
      <c r="X3" s="219" t="s">
        <v>78</v>
      </c>
      <c r="Y3" s="219"/>
      <c r="Z3" s="335">
        <v>3</v>
      </c>
      <c r="AA3" s="335"/>
      <c r="AB3" s="64"/>
      <c r="AC3" s="156"/>
      <c r="AD3" s="156"/>
      <c r="AE3" s="329" t="s">
        <v>73</v>
      </c>
      <c r="AF3" s="329"/>
      <c r="AG3" s="157">
        <v>4</v>
      </c>
      <c r="AH3" s="142" t="s">
        <v>74</v>
      </c>
      <c r="AI3" s="157">
        <v>4</v>
      </c>
      <c r="AJ3" s="281" t="s">
        <v>327</v>
      </c>
      <c r="AK3" s="282"/>
      <c r="AL3" s="213"/>
      <c r="AM3" s="334">
        <f>AR7</f>
        <v>4.6839397362051507</v>
      </c>
      <c r="AN3" s="163"/>
      <c r="AO3" s="25"/>
      <c r="AP3" s="25"/>
      <c r="AQ3" s="24"/>
      <c r="AW3" s="24"/>
    </row>
    <row r="4" spans="1:58" ht="33" customHeight="1" x14ac:dyDescent="0.3">
      <c r="A4" s="164" t="str">
        <f>'SO멍텅(실측)'!A4:AA4</f>
        <v>제작치수 반영 : JB/JD +(5 ),  늘어난치수K -(0),  C + (0),  U +(0), OP1/OP2 - (0), R - (0),  기둥차감 - (0), A + (3)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332" t="s">
        <v>313</v>
      </c>
      <c r="AD4" s="332"/>
      <c r="AE4" s="333">
        <f>'SO멍텅(실측)'!W7</f>
        <v>15</v>
      </c>
      <c r="AF4" s="333"/>
      <c r="AG4" s="158"/>
      <c r="AH4" s="330">
        <f ca="1">TODAY()</f>
        <v>45223</v>
      </c>
      <c r="AI4" s="230"/>
      <c r="AJ4" s="230" t="s">
        <v>235</v>
      </c>
      <c r="AK4" s="230"/>
      <c r="AL4" s="231"/>
      <c r="AM4" s="174" t="s">
        <v>215</v>
      </c>
      <c r="AN4" s="174"/>
      <c r="AO4" s="25"/>
      <c r="AP4" s="25"/>
      <c r="AQ4" s="24"/>
      <c r="AW4" s="24"/>
      <c r="BE4" s="178" t="s">
        <v>253</v>
      </c>
    </row>
    <row r="5" spans="1:58" ht="25.9" customHeight="1" x14ac:dyDescent="0.3">
      <c r="A5" s="168" t="s">
        <v>0</v>
      </c>
      <c r="B5" s="168" t="s">
        <v>1</v>
      </c>
      <c r="C5" s="168" t="s">
        <v>248</v>
      </c>
      <c r="D5" s="168" t="s">
        <v>247</v>
      </c>
      <c r="E5" s="168" t="s">
        <v>18</v>
      </c>
      <c r="F5" s="169" t="s">
        <v>58</v>
      </c>
      <c r="G5" s="169" t="s">
        <v>59</v>
      </c>
      <c r="H5" s="270" t="s">
        <v>60</v>
      </c>
      <c r="I5" s="270" t="s">
        <v>64</v>
      </c>
      <c r="J5" s="327" t="s">
        <v>65</v>
      </c>
      <c r="K5" s="327" t="s">
        <v>66</v>
      </c>
      <c r="L5" s="312" t="s">
        <v>240</v>
      </c>
      <c r="M5" s="314" t="s">
        <v>241</v>
      </c>
      <c r="N5" s="239" t="s">
        <v>62</v>
      </c>
      <c r="O5" s="239" t="s">
        <v>63</v>
      </c>
      <c r="P5" s="168" t="s">
        <v>8</v>
      </c>
      <c r="Q5" s="168" t="s">
        <v>9</v>
      </c>
      <c r="R5" s="168" t="s">
        <v>10</v>
      </c>
      <c r="S5" s="168" t="s">
        <v>11</v>
      </c>
      <c r="T5" s="168" t="s">
        <v>14</v>
      </c>
      <c r="U5" s="168" t="s">
        <v>15</v>
      </c>
      <c r="V5" s="168" t="s">
        <v>16</v>
      </c>
      <c r="W5" s="168" t="s">
        <v>17</v>
      </c>
      <c r="X5" s="168" t="s">
        <v>19</v>
      </c>
      <c r="Y5" s="272" t="s">
        <v>20</v>
      </c>
      <c r="Z5" s="239" t="s">
        <v>22</v>
      </c>
      <c r="AA5" s="305" t="s">
        <v>242</v>
      </c>
      <c r="AB5" s="306" t="s">
        <v>238</v>
      </c>
      <c r="AC5" s="241" t="s">
        <v>21</v>
      </c>
      <c r="AD5" s="242"/>
      <c r="AE5" s="242"/>
      <c r="AF5" s="243"/>
      <c r="AG5" s="169" t="s">
        <v>25</v>
      </c>
      <c r="AH5" s="274" t="s">
        <v>34</v>
      </c>
      <c r="AI5" s="169" t="s">
        <v>35</v>
      </c>
      <c r="AJ5" s="309" t="s">
        <v>203</v>
      </c>
      <c r="AK5" s="309"/>
      <c r="AL5" s="309"/>
      <c r="AM5" s="172" t="s">
        <v>212</v>
      </c>
      <c r="AN5" s="173"/>
      <c r="AO5" s="178" t="s">
        <v>305</v>
      </c>
      <c r="AP5" s="178" t="s">
        <v>306</v>
      </c>
      <c r="AQ5" s="273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8"/>
      <c r="B6" s="168"/>
      <c r="C6" s="168"/>
      <c r="D6" s="168"/>
      <c r="E6" s="168"/>
      <c r="F6" s="168"/>
      <c r="G6" s="168"/>
      <c r="H6" s="271"/>
      <c r="I6" s="271"/>
      <c r="J6" s="328"/>
      <c r="K6" s="328"/>
      <c r="L6" s="313"/>
      <c r="M6" s="315"/>
      <c r="N6" s="240"/>
      <c r="O6" s="240"/>
      <c r="P6" s="168"/>
      <c r="Q6" s="168"/>
      <c r="R6" s="168"/>
      <c r="S6" s="168"/>
      <c r="T6" s="168"/>
      <c r="U6" s="168"/>
      <c r="V6" s="168"/>
      <c r="W6" s="168"/>
      <c r="X6" s="168"/>
      <c r="Y6" s="272"/>
      <c r="Z6" s="240"/>
      <c r="AA6" s="305"/>
      <c r="AB6" s="306"/>
      <c r="AC6" s="8" t="s">
        <v>56</v>
      </c>
      <c r="AD6" s="8" t="s">
        <v>57</v>
      </c>
      <c r="AE6" s="8" t="s">
        <v>54</v>
      </c>
      <c r="AF6" s="8" t="s">
        <v>55</v>
      </c>
      <c r="AG6" s="168"/>
      <c r="AH6" s="275"/>
      <c r="AI6" s="168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9"/>
      <c r="AP6" s="179"/>
      <c r="AQ6" s="273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10F</v>
      </c>
      <c r="C7" s="4">
        <f>'SO멍텅(실측)'!C7-SO멍텅OP</f>
        <v>411</v>
      </c>
      <c r="D7" s="4">
        <f>'SO멍텅(실측)'!D7-SO멍텅OP</f>
        <v>384</v>
      </c>
      <c r="E7" s="4">
        <f>'SO멍텅(실측)'!E7-SO멍텅R</f>
        <v>873</v>
      </c>
      <c r="F7" s="4">
        <f>'SO멍텅(실측)'!F7+MAX(AO7,AP7)+IF(BE7=1,AC7,0)+SO멍텅JBJD늘림치수</f>
        <v>476</v>
      </c>
      <c r="G7" s="4">
        <f>'SO멍텅(실측)'!G7+MAX(AO7,AP7)+IF(BE7=1,AE7,0)+SO멍텅JBJD늘림치수</f>
        <v>519</v>
      </c>
      <c r="H7" s="4">
        <f>'SO멍텅(실측)'!H7+AO7+IF(BE7=1,AC7,0)+SO멍텅JB강제키움+SO멍텅JBJD늘림치수</f>
        <v>478</v>
      </c>
      <c r="I7" s="4">
        <f>'SO멍텅(실측)'!H7+AO7+IF(BE7=1,AD7,0)+SO멍텅JB강제키움+SO멍텅JBJD늘림치수-IF(SO멍텅JB하부늘치=1,'SO멍텅(실측)'!W7-'SO멍텅(실측)'!X7,0)</f>
        <v>475</v>
      </c>
      <c r="J7" s="4">
        <f>'SO멍텅(실측)'!I7+AP7+IF(BE7=1,AE7,0)+SO멍텅JB강제키움+SO멍텅JBJD늘림치수</f>
        <v>521</v>
      </c>
      <c r="K7" s="4">
        <f>'SO멍텅(실측)'!I7+AP7+IF(BE7=1,AF7,0)+SO멍텅JB강제키움+SO멍텅JBJD늘림치수-IF(SO멍텅JB하부늘치=1,'SO멍텅(실측)'!Y7-'SO멍텅(실측)'!Z7,0)</f>
        <v>521</v>
      </c>
      <c r="L7" s="91">
        <f>IF(BE7=0,F7+AC7-(G7+AE7),F7-G7)</f>
        <v>-38</v>
      </c>
      <c r="M7" s="88">
        <f>IF(BM7=0,H7+AC7-(J7+AE7),H7-J7)</f>
        <v>-38</v>
      </c>
      <c r="N7" s="4">
        <f t="shared" ref="N7:O7" si="0">P7+IF(소장="손상민",0,-1.5)</f>
        <v>38.5</v>
      </c>
      <c r="O7" s="4">
        <f t="shared" si="0"/>
        <v>38.5</v>
      </c>
      <c r="P7" s="4">
        <f>IF(R7&gt;0,'SO멍텅(실측)'!J7+SO멍텅C늘림,'SO멍텅(실측)'!J7+1)</f>
        <v>40</v>
      </c>
      <c r="Q7" s="4">
        <f>IF(S7&gt;0,'SO멍텅(실측)'!K7+SO멍텅C늘림,'SO멍텅(실측)'!K7+1)</f>
        <v>40</v>
      </c>
      <c r="R7" s="161">
        <f>IF(ISNUMBER('SO멍텅(실측)'!L7),'SO멍텅(실측)'!L7+SO멍텅제작!AO7+SO멍텅A늘림,0)</f>
        <v>11</v>
      </c>
      <c r="S7" s="161">
        <f>IF(ISNUMBER('SO멍텅(실측)'!M7),'SO멍텅(실측)'!M7+SO멍텅제작!AP7+SO멍텅A늘림,0)</f>
        <v>14</v>
      </c>
      <c r="T7" s="4">
        <f>'SO멍텅(실측)'!N7-SO멍텅기둥차감</f>
        <v>2107</v>
      </c>
      <c r="U7" s="4">
        <f>'SO멍텅(실측)'!O7-SO멍텅기둥차감</f>
        <v>2096</v>
      </c>
      <c r="V7" s="4">
        <f>'SO멍텅(실측)'!P7-SO멍텅기둥차감</f>
        <v>2100</v>
      </c>
      <c r="W7" s="4">
        <f>'SO멍텅(실측)'!Q7-SO멍텅기둥차감</f>
        <v>2095</v>
      </c>
      <c r="X7" s="4">
        <f>IF(ISNUMBER('SO멍텅(실측)'!R7),IF(Y7&gt;0,'SO멍텅(실측)'!R7+SO멍텅U늘림,'SO멍텅(실측)'!R7+1.2),0)</f>
        <v>40</v>
      </c>
      <c r="Y7" s="4">
        <f>IF(OR(멍텅G="", 멍텅G=0),IF(ISNUMBER('SO멍텅(실측)'!S7),IF('SO멍텅(실측)'!S7+SO멍텅A늘림+MAX(AO7,AP7)&gt;9,'SO멍텅(실측)'!S7+SO멍텅A늘림+MAX(AO7,AP7),'SO멍텅(실측)'!S7+SO멍텅A늘림+MAX(AO7,AP7)),0),SO멍텅G)</f>
        <v>21</v>
      </c>
      <c r="Z7" s="4">
        <f>'SO멍텅(실측)'!T7+뒷날개치수더함</f>
        <v>30</v>
      </c>
      <c r="AA7" s="4">
        <f>'SO멍텅(실측)'!U7+뒷날개치수더함</f>
        <v>30</v>
      </c>
      <c r="AB7" s="4">
        <f>'SO멍텅(실측)'!V7+뒷날개치수더함</f>
        <v>33</v>
      </c>
      <c r="AC7" s="13">
        <f>'SO멍텅(실측)'!W7-SO멍텅늘치차감</f>
        <v>15</v>
      </c>
      <c r="AD7" s="13">
        <f>IF(SO멍텅JB하부늘치=1,AC7,'SO멍텅(실측)'!X7-SO멍텅늘치차감)</f>
        <v>15</v>
      </c>
      <c r="AE7" s="13">
        <f>'SO멍텅(실측)'!Y7-SO멍텅늘치차감</f>
        <v>10</v>
      </c>
      <c r="AF7" s="13">
        <f>IF(SO멍텅JB하부늘치=1,AE7,'SO멍텅(실측)'!Z7-SO멍텅늘치차감)</f>
        <v>10</v>
      </c>
      <c r="AG7" s="11" t="str">
        <f t="shared" ref="AG7" si="1">AW7&amp;"*"&amp;AX7</f>
        <v>950*620.2</v>
      </c>
      <c r="AH7" s="12" t="str">
        <f t="shared" ref="AH7" si="2">AZ7&amp;"*"&amp;AY7</f>
        <v>2107*569.2</v>
      </c>
      <c r="AI7" s="10" t="str">
        <f t="shared" ref="AI7" si="3">BB7&amp;"*"&amp;BA7</f>
        <v>2100*613.2</v>
      </c>
      <c r="AJ7" s="4">
        <f>IF('SO멍텅(실측)'!AA7&gt;5,'SO멍텅(실측)'!AA7+뒷날개치수더함,'SO멍텅(실측)'!AA7)</f>
        <v>20</v>
      </c>
      <c r="AK7" s="4">
        <f>'SO멍텅(실측)'!AB7</f>
        <v>10</v>
      </c>
      <c r="AL7" s="4">
        <f>'SO멍텅(실측)'!AC7</f>
        <v>6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>
        <f>DEGREES(ATAN((E7-(C7+D7))/2/(F7)))</f>
        <v>4.6839397362051507</v>
      </c>
      <c r="AS7" s="17">
        <f>DEGREES(ATAN((E7-(C7+D7))/2/(G7)))</f>
        <v>4.2973866639416958</v>
      </c>
      <c r="AT7" s="36">
        <f>ABS(F7-COS(RADIANS(AR7))*H7)</f>
        <v>0.40363075916854996</v>
      </c>
      <c r="AU7" s="36">
        <f>G7-COS(RADIANS(AS7))*J7</f>
        <v>-0.5352357829203811</v>
      </c>
      <c r="AV7" s="46" t="str">
        <f t="shared" ref="AV7" si="4">IF(F7+AC7&lt;&gt;G7+AE7,"JD비대칭","")</f>
        <v>JD비대칭</v>
      </c>
      <c r="AW7" s="3">
        <f>E7 + IF(X7+Y7&gt;0, N7+O7,0)</f>
        <v>950</v>
      </c>
      <c r="AX7" s="3">
        <f>X7+MAX(F7,G7)+Z7+Y7-1.2*$AG$3+IF(BE7=0,MAX(AC7,AE7))+IF(Y7=0,1.2,0)</f>
        <v>620.20000000000005</v>
      </c>
      <c r="AY7" s="3">
        <f>R7+P7+MAX(H7,I7)+AA7-1.2*$AI$3+IF(BE7=0,MAX(AC7,AD7))+IF(R7=0,1.2,0)-IF(AL7=90,2.4,0)</f>
        <v>569.20000000000005</v>
      </c>
      <c r="AZ7" s="3">
        <f t="shared" ref="AZ7" si="5">MAX(T7,U7)</f>
        <v>2107</v>
      </c>
      <c r="BA7" s="3">
        <f>S7+Q7+MAX(J7,K7)+AB7-1.2*$AI$3+IF(BE7=0,MAX(AE7,AF7))+IF(S7=0,1.2,0)-IF(AL7=90,2.4,0)</f>
        <v>613.20000000000005</v>
      </c>
      <c r="BB7" s="3">
        <f t="shared" ref="BB7" si="6">MAX(V7,W7)</f>
        <v>2100</v>
      </c>
      <c r="BC7">
        <f t="shared" ref="BC7" si="7">H7-F7</f>
        <v>2</v>
      </c>
      <c r="BD7">
        <f t="shared" ref="BD7" si="8">9-Y7</f>
        <v>-12</v>
      </c>
      <c r="BE7" s="79">
        <f>IF(AND(MIN(AC7,AE7)&gt;=9.2,E7-(C7+D7)&gt;15),0,1)</f>
        <v>0</v>
      </c>
      <c r="BF7" s="83">
        <f>IF(소장="손상민",'SO멍텅(실측)'!AF7,0)</f>
        <v>0</v>
      </c>
    </row>
    <row r="8" spans="1:58" ht="30.75" customHeight="1" x14ac:dyDescent="0.3">
      <c r="A8" s="4">
        <f>'SO멍텅(실측)'!A8</f>
        <v>0</v>
      </c>
      <c r="B8" s="4" t="str">
        <f>'SO멍텅(실측)'!B8&amp;"F"</f>
        <v>9F</v>
      </c>
      <c r="C8" s="4">
        <f>'SO멍텅(실측)'!C8-SO멍텅OP</f>
        <v>410</v>
      </c>
      <c r="D8" s="4">
        <f>'SO멍텅(실측)'!D8-SO멍텅OP</f>
        <v>382</v>
      </c>
      <c r="E8" s="4">
        <f>'SO멍텅(실측)'!E8-SO멍텅R</f>
        <v>875</v>
      </c>
      <c r="F8" s="4">
        <f>'SO멍텅(실측)'!F8+MAX(AO8,AP8)+IF(BE8=1,AC8,0)+SO멍텅JBJD늘림치수</f>
        <v>510</v>
      </c>
      <c r="G8" s="4">
        <f>'SO멍텅(실측)'!G8+MAX(AO8,AP8)+IF(BE8=1,AE8,0)+SO멍텅JBJD늘림치수</f>
        <v>555</v>
      </c>
      <c r="H8" s="4">
        <f>'SO멍텅(실측)'!H8+AO8+IF(BE8=1,AC8,0)+SO멍텅JB강제키움+SO멍텅JBJD늘림치수</f>
        <v>512</v>
      </c>
      <c r="I8" s="4">
        <f>'SO멍텅(실측)'!H8+AO8+IF(BE8=1,AD8,0)+SO멍텅JB강제키움+SO멍텅JBJD늘림치수-IF(SO멍텅JB하부늘치=1,'SO멍텅(실측)'!W8-'SO멍텅(실측)'!X8,0)</f>
        <v>512</v>
      </c>
      <c r="J8" s="4">
        <f>'SO멍텅(실측)'!I8+AP8+IF(BE8=1,AE8,0)+SO멍텅JB강제키움+SO멍텅JBJD늘림치수</f>
        <v>557</v>
      </c>
      <c r="K8" s="4">
        <f>'SO멍텅(실측)'!I8+AP8+IF(BE8=1,AF8,0)+SO멍텅JB강제키움+SO멍텅JBJD늘림치수-IF(SO멍텅JB하부늘치=1,'SO멍텅(실측)'!Y8-'SO멍텅(실측)'!Z8,0)</f>
        <v>557</v>
      </c>
      <c r="L8" s="91">
        <f t="shared" ref="L8:L16" si="9">IF(BE8=0,F8+AC8-(G8+AE8),F8-G8)</f>
        <v>-41</v>
      </c>
      <c r="M8" s="88">
        <f t="shared" ref="M8:M16" si="10">IF(BM8=0,H8+AC8-(J8+AE8),H8-J8)</f>
        <v>-41</v>
      </c>
      <c r="N8" s="4">
        <f t="shared" ref="N8:N16" si="11">P8+IF(소장="손상민",0,-1.5)</f>
        <v>23.5</v>
      </c>
      <c r="O8" s="4">
        <f t="shared" ref="O8:O16" si="12">Q8+IF(소장="손상민",0,-1.5)</f>
        <v>23.5</v>
      </c>
      <c r="P8" s="4">
        <f>IF(R8&gt;0,'SO멍텅(실측)'!J8+SO멍텅C늘림,'SO멍텅(실측)'!J8+1)</f>
        <v>25</v>
      </c>
      <c r="Q8" s="4">
        <f>IF(S8&gt;0,'SO멍텅(실측)'!K8+SO멍텅C늘림,'SO멍텅(실측)'!K8+1)</f>
        <v>25</v>
      </c>
      <c r="R8" s="161">
        <f>IF(ISNUMBER('SO멍텅(실측)'!L8),'SO멍텅(실측)'!L8+SO멍텅제작!AO8+SO멍텅A늘림,0)</f>
        <v>12</v>
      </c>
      <c r="S8" s="161">
        <f>IF(ISNUMBER('SO멍텅(실측)'!M8),'SO멍텅(실측)'!M8+SO멍텅제작!AP8+SO멍텅A늘림,0)</f>
        <v>13</v>
      </c>
      <c r="T8" s="4">
        <f>'SO멍텅(실측)'!N8-SO멍텅기둥차감</f>
        <v>2105</v>
      </c>
      <c r="U8" s="4">
        <f>'SO멍텅(실측)'!O8-SO멍텅기둥차감</f>
        <v>2094</v>
      </c>
      <c r="V8" s="4">
        <f>'SO멍텅(실측)'!P8-SO멍텅기둥차감</f>
        <v>2102</v>
      </c>
      <c r="W8" s="4">
        <f>'SO멍텅(실측)'!Q8-SO멍텅기둥차감</f>
        <v>2094</v>
      </c>
      <c r="X8" s="4">
        <f>IF(ISNUMBER('SO멍텅(실측)'!R8),IF(Y8&gt;0,'SO멍텅(실측)'!R8+SO멍텅U늘림,'SO멍텅(실측)'!R8+1.2),0)</f>
        <v>25</v>
      </c>
      <c r="Y8" s="4">
        <f>IF(OR(멍텅G="", 멍텅G=0),IF(ISNUMBER('SO멍텅(실측)'!S8),IF('SO멍텅(실측)'!S8+SO멍텅A늘림+MAX(AO8,AP8)&gt;9,'SO멍텅(실측)'!S8+SO멍텅A늘림+MAX(AO8,AP8),'SO멍텅(실측)'!S8+SO멍텅A늘림+MAX(AO8,AP8)),0),SO멍텅G)</f>
        <v>9</v>
      </c>
      <c r="Z8" s="4">
        <f>'SO멍텅(실측)'!T8+뒷날개치수더함</f>
        <v>30</v>
      </c>
      <c r="AA8" s="4">
        <f>'SO멍텅(실측)'!U8+뒷날개치수더함</f>
        <v>30</v>
      </c>
      <c r="AB8" s="4">
        <f>'SO멍텅(실측)'!V8+뒷날개치수더함</f>
        <v>33</v>
      </c>
      <c r="AC8" s="13">
        <f>'SO멍텅(실측)'!W8-SO멍텅늘치차감</f>
        <v>14</v>
      </c>
      <c r="AD8" s="13">
        <f>IF(SO멍텅JB하부늘치=1,AC8,'SO멍텅(실측)'!X8-SO멍텅늘치차감)</f>
        <v>14</v>
      </c>
      <c r="AE8" s="13">
        <f>'SO멍텅(실측)'!Y8-SO멍텅늘치차감</f>
        <v>10</v>
      </c>
      <c r="AF8" s="13">
        <f>IF(SO멍텅JB하부늘치=1,AE8,'SO멍텅(실측)'!Z8-SO멍텅늘치차감)</f>
        <v>10</v>
      </c>
      <c r="AG8" s="11" t="str">
        <f t="shared" ref="AG8:AG16" si="13">AW8&amp;"*"&amp;AX8</f>
        <v>922*628.2</v>
      </c>
      <c r="AH8" s="12" t="str">
        <f t="shared" ref="AH8:AH16" si="14">AZ8&amp;"*"&amp;AY8</f>
        <v>2105*588.2</v>
      </c>
      <c r="AI8" s="10" t="str">
        <f t="shared" ref="AI8:AI16" si="15">BB8&amp;"*"&amp;BA8</f>
        <v>2102*633.2</v>
      </c>
      <c r="AJ8" s="4">
        <f>IF('SO멍텅(실측)'!AA8&gt;5,'SO멍텅(실측)'!AA8+뒷날개치수더함,'SO멍텅(실측)'!AA8)</f>
        <v>20</v>
      </c>
      <c r="AK8" s="4">
        <f>'SO멍텅(실측)'!AB8</f>
        <v>10</v>
      </c>
      <c r="AL8" s="4">
        <f>'SO멍텅(실측)'!AC8</f>
        <v>10</v>
      </c>
      <c r="AM8" s="31">
        <f>IF('SO멍텅(실측)'!AD8&gt;0,'SO멍텅(실측)'!AD8-'SO멍텅(실측)'!T8+1.2,0)</f>
        <v>0</v>
      </c>
      <c r="AN8" s="31">
        <f>IF('SO멍텅(실측)'!AE8&gt;0,'SO멍텅(실측)'!AE8-'SO멍텅(실측)'!T8+1.2,0)</f>
        <v>0</v>
      </c>
      <c r="AO8" s="3">
        <f>IF(AND(ISNUMBER('SO멍텅(실측)'!M8),ISNUMBER('SO멍텅(실측)'!L8)),IF(ISNUMBER('SO멍텅(실측)'!L8),IF(9-MIN('SO멍텅(실측)'!L8+SO멍텅A늘림,'SO멍텅(실측)'!M8+SO멍텅A늘림)&lt;AQ8,AQ8,9-MIN('SO멍텅(실측)'!L8+SO멍텅A늘림,'SO멍텅(실측)'!M8+SO멍텅A늘림) + AQ8 ),0),IF(ISNUMBER('SO멍텅(실측)'!L8),IF(9-'SO멍텅(실측)'!L8-SO멍텅A늘림+AQ8&lt;AQ8,AQ8,9-'SO멍텅(실측)'!L8-SO멍텅A늘림+AQ8),0))</f>
        <v>6</v>
      </c>
      <c r="AP8" s="3">
        <f>IF(AND(ISNUMBER('SO멍텅(실측)'!L8),ISNUMBER('SO멍텅(실측)'!M8)),IF(ISNUMBER('SO멍텅(실측)'!M8),IF(9-MIN('SO멍텅(실측)'!M8+SO멍텅A늘림,'SO멍텅(실측)'!L8+SO멍텅A늘림)&lt;AQ8,AQ8,9-MIN('SO멍텅(실측)'!M8+SO멍텅A늘림,'SO멍텅(실측)'!L8+SO멍텅A늘림) + AQ8 ),0),IF(ISNUMBER('SO멍텅(실측)'!M8),IF(9-'SO멍텅(실측)'!M8-SO멍텅A늘림+AQ8&lt;AQ8,AQ8,9-'SO멍텅(실측)'!M8-SO멍텅A늘림+AQ8),0))</f>
        <v>6</v>
      </c>
      <c r="AQ8" s="16">
        <v>3</v>
      </c>
      <c r="AR8" s="17">
        <f t="shared" ref="AR8:AR16" si="16">DEGREES(ATAN((E8-(C8+D8))/2/(F8)))</f>
        <v>4.6520538493151733</v>
      </c>
      <c r="AS8" s="17">
        <f t="shared" ref="AS8:AS16" si="17">DEGREES(ATAN((E8-(C8+D8))/2/(G8)))</f>
        <v>4.2763208401731241</v>
      </c>
      <c r="AT8" s="36">
        <f t="shared" ref="AT8:AT16" si="18">ABS(F8-COS(RADIANS(AR8))*H8)</f>
        <v>0.31327001078147987</v>
      </c>
      <c r="AU8" s="36">
        <f t="shared" ref="AU8:AU16" si="19">G8-COS(RADIANS(AS8))*J8</f>
        <v>-0.4493317850309495</v>
      </c>
      <c r="AV8" s="46" t="str">
        <f t="shared" ref="AV8:AV16" si="20">IF(F8+AC8&lt;&gt;G8+AE8,"JD비대칭","")</f>
        <v>JD비대칭</v>
      </c>
      <c r="AW8" s="3">
        <f t="shared" ref="AW8:AW16" si="21">E8 + IF(X8+Y8&gt;0, N8+O8,0)</f>
        <v>922</v>
      </c>
      <c r="AX8" s="3">
        <f t="shared" ref="AX8:AX16" si="22">X8+MAX(F8,G8)+Z8+Y8-1.2*$AG$3+IF(BE8=0,MAX(AC8,AE8))+IF(Y8=0,1.2,0)</f>
        <v>628.20000000000005</v>
      </c>
      <c r="AY8" s="3">
        <f t="shared" ref="AY8:AY16" si="23">R8+P8+MAX(H8,I8)+AA8-1.2*$AI$3+IF(BE8=0,MAX(AC8,AD8))+IF(R8=0,1.2,0)-IF(AL8=90,2.4,0)</f>
        <v>588.20000000000005</v>
      </c>
      <c r="AZ8" s="3">
        <f t="shared" ref="AZ8:AZ16" si="24">MAX(T8,U8)</f>
        <v>2105</v>
      </c>
      <c r="BA8" s="3">
        <f t="shared" ref="BA8:BA16" si="25">S8+Q8+MAX(J8,K8)+AB8-1.2*$AI$3+IF(BE8=0,MAX(AE8,AF8))+IF(S8=0,1.2,0)-IF(AL8=90,2.4,0)</f>
        <v>633.20000000000005</v>
      </c>
      <c r="BB8" s="3">
        <f t="shared" ref="BB8:BB16" si="26">MAX(V8,W8)</f>
        <v>2102</v>
      </c>
      <c r="BC8">
        <f t="shared" ref="BC8:BC16" si="27">H8-F8</f>
        <v>2</v>
      </c>
      <c r="BD8">
        <f t="shared" ref="BD8:BD16" si="28">9-Y8</f>
        <v>0</v>
      </c>
      <c r="BE8" s="79">
        <f t="shared" ref="BE8:BE16" si="29">IF(AND(MIN(AC8,AE8)&gt;=9.2,E8-(C8+D8)&gt;15),0,1)</f>
        <v>0</v>
      </c>
      <c r="BF8" s="83">
        <f>IF(소장="손상민",'SO멍텅(실측)'!AF8,0)</f>
        <v>0</v>
      </c>
    </row>
    <row r="9" spans="1:58" ht="30.75" customHeight="1" x14ac:dyDescent="0.3">
      <c r="A9" s="4">
        <f>'SO멍텅(실측)'!A9</f>
        <v>0</v>
      </c>
      <c r="B9" s="4" t="str">
        <f>'SO멍텅(실측)'!B9&amp;"F"</f>
        <v>8F</v>
      </c>
      <c r="C9" s="4">
        <f>'SO멍텅(실측)'!C9-SO멍텅OP</f>
        <v>412</v>
      </c>
      <c r="D9" s="4">
        <f>'SO멍텅(실측)'!D9-SO멍텅OP</f>
        <v>382</v>
      </c>
      <c r="E9" s="4">
        <f>'SO멍텅(실측)'!E9-SO멍텅R</f>
        <v>875</v>
      </c>
      <c r="F9" s="4">
        <f>'SO멍텅(실측)'!F9+MAX(AO9,AP9)+IF(BE9=1,AC9,0)+SO멍텅JBJD늘림치수</f>
        <v>457</v>
      </c>
      <c r="G9" s="4">
        <f>'SO멍텅(실측)'!G9+MAX(AO9,AP9)+IF(BE9=1,AE9,0)+SO멍텅JBJD늘림치수</f>
        <v>501</v>
      </c>
      <c r="H9" s="4">
        <f>'SO멍텅(실측)'!H9+AO9+IF(BE9=1,AC9,0)+SO멍텅JB강제키움+SO멍텅JBJD늘림치수</f>
        <v>459</v>
      </c>
      <c r="I9" s="4">
        <f>'SO멍텅(실측)'!H9+AO9+IF(BE9=1,AD9,0)+SO멍텅JB강제키움+SO멍텅JBJD늘림치수-IF(SO멍텅JB하부늘치=1,'SO멍텅(실측)'!W9-'SO멍텅(실측)'!X9,0)</f>
        <v>456</v>
      </c>
      <c r="J9" s="4">
        <f>'SO멍텅(실측)'!I9+AP9+IF(BE9=1,AE9,0)+SO멍텅JB강제키움+SO멍텅JBJD늘림치수</f>
        <v>503</v>
      </c>
      <c r="K9" s="4">
        <f>'SO멍텅(실측)'!I9+AP9+IF(BE9=1,AF9,0)+SO멍텅JB강제키움+SO멍텅JBJD늘림치수-IF(SO멍텅JB하부늘치=1,'SO멍텅(실측)'!Y9-'SO멍텅(실측)'!Z9,0)</f>
        <v>503</v>
      </c>
      <c r="L9" s="91">
        <f t="shared" si="9"/>
        <v>-40</v>
      </c>
      <c r="M9" s="88">
        <f t="shared" si="10"/>
        <v>-40</v>
      </c>
      <c r="N9" s="4">
        <f t="shared" si="11"/>
        <v>13.5</v>
      </c>
      <c r="O9" s="4">
        <f t="shared" si="12"/>
        <v>13.5</v>
      </c>
      <c r="P9" s="4">
        <f>IF(R9&gt;0,'SO멍텅(실측)'!J9+SO멍텅C늘림,'SO멍텅(실측)'!J9+1)</f>
        <v>15</v>
      </c>
      <c r="Q9" s="4">
        <f>IF(S9&gt;0,'SO멍텅(실측)'!K9+SO멍텅C늘림,'SO멍텅(실측)'!K9+1)</f>
        <v>15</v>
      </c>
      <c r="R9" s="4">
        <f>IF(ISNUMBER('SO멍텅(실측)'!L9),'SO멍텅(실측)'!L9+SO멍텅제작!AO9+SO멍텅A늘림,0)</f>
        <v>9</v>
      </c>
      <c r="S9" s="4">
        <f>IF(ISNUMBER('SO멍텅(실측)'!M9),'SO멍텅(실측)'!M9+SO멍텅제작!AP9+SO멍텅A늘림,0)</f>
        <v>10</v>
      </c>
      <c r="T9" s="4">
        <f>'SO멍텅(실측)'!N9-SO멍텅기둥차감</f>
        <v>2094</v>
      </c>
      <c r="U9" s="4">
        <f>'SO멍텅(실측)'!O9-SO멍텅기둥차감</f>
        <v>2092</v>
      </c>
      <c r="V9" s="4">
        <f>'SO멍텅(실측)'!P9-SO멍텅기둥차감</f>
        <v>2092</v>
      </c>
      <c r="W9" s="4">
        <f>'SO멍텅(실측)'!Q9-SO멍텅기둥차감</f>
        <v>2094</v>
      </c>
      <c r="X9" s="4">
        <f>IF(ISNUMBER('SO멍텅(실측)'!R9),IF(Y9&gt;0,'SO멍텅(실측)'!R9+SO멍텅U늘림,'SO멍텅(실측)'!R9+1.2),0)</f>
        <v>9</v>
      </c>
      <c r="Y9" s="4">
        <f>IF(OR(멍텅G="", 멍텅G=0),IF(ISNUMBER('SO멍텅(실측)'!S9),IF('SO멍텅(실측)'!S9+SO멍텅A늘림+MAX(AO9,AP9)&gt;9,'SO멍텅(실측)'!S9+SO멍텅A늘림+MAX(AO9,AP9),'SO멍텅(실측)'!S9+SO멍텅A늘림+MAX(AO9,AP9)),0),SO멍텅G)</f>
        <v>9</v>
      </c>
      <c r="Z9" s="4">
        <f>'SO멍텅(실측)'!T9+뒷날개치수더함</f>
        <v>30</v>
      </c>
      <c r="AA9" s="4">
        <f>'SO멍텅(실측)'!U9+뒷날개치수더함</f>
        <v>30</v>
      </c>
      <c r="AB9" s="4">
        <f>'SO멍텅(실측)'!V9+뒷날개치수더함</f>
        <v>33</v>
      </c>
      <c r="AC9" s="13">
        <f>'SO멍텅(실측)'!W9-SO멍텅늘치차감</f>
        <v>14</v>
      </c>
      <c r="AD9" s="13">
        <f>IF(SO멍텅JB하부늘치=1,AC9,'SO멍텅(실측)'!X9-SO멍텅늘치차감)</f>
        <v>14</v>
      </c>
      <c r="AE9" s="13">
        <f>'SO멍텅(실측)'!Y9-SO멍텅늘치차감</f>
        <v>10</v>
      </c>
      <c r="AF9" s="13">
        <f>IF(SO멍텅JB하부늘치=1,AE9,'SO멍텅(실측)'!Z9-SO멍텅늘치차감)</f>
        <v>10</v>
      </c>
      <c r="AG9" s="11" t="str">
        <f t="shared" si="13"/>
        <v>902*558.2</v>
      </c>
      <c r="AH9" s="12" t="str">
        <f t="shared" si="14"/>
        <v>2094*522.2</v>
      </c>
      <c r="AI9" s="10" t="str">
        <f t="shared" si="15"/>
        <v>2094*566.2</v>
      </c>
      <c r="AJ9" s="4">
        <f>IF('SO멍텅(실측)'!AA9&gt;5,'SO멍텅(실측)'!AA9+뒷날개치수더함,'SO멍텅(실측)'!AA9)</f>
        <v>20</v>
      </c>
      <c r="AK9" s="4">
        <f>'SO멍텅(실측)'!AB9</f>
        <v>10</v>
      </c>
      <c r="AL9" s="4">
        <f>'SO멍텅(실측)'!AC9</f>
        <v>10</v>
      </c>
      <c r="AM9" s="31">
        <f>IF('SO멍텅(실측)'!AD9&gt;0,'SO멍텅(실측)'!AD9-'SO멍텅(실측)'!T9+1.2,0)</f>
        <v>0</v>
      </c>
      <c r="AN9" s="31">
        <f>IF('SO멍텅(실측)'!AE9&gt;0,'SO멍텅(실측)'!AE9-'SO멍텅(실측)'!T9+1.2,0)</f>
        <v>0</v>
      </c>
      <c r="AO9" s="3">
        <f>IF(AND(ISNUMBER('SO멍텅(실측)'!M9),ISNUMBER('SO멍텅(실측)'!L9)),IF(ISNUMBER('SO멍텅(실측)'!L9),IF(9-MIN('SO멍텅(실측)'!L9+SO멍텅A늘림,'SO멍텅(실측)'!M9+SO멍텅A늘림)&lt;AQ9,AQ9,9-MIN('SO멍텅(실측)'!L9+SO멍텅A늘림,'SO멍텅(실측)'!M9+SO멍텅A늘림) + AQ9 ),0),IF(ISNUMBER('SO멍텅(실측)'!L9),IF(9-'SO멍텅(실측)'!L9-SO멍텅A늘림+AQ9&lt;AQ9,AQ9,9-'SO멍텅(실측)'!L9-SO멍텅A늘림+AQ9),0))</f>
        <v>6</v>
      </c>
      <c r="AP9" s="3">
        <f>IF(AND(ISNUMBER('SO멍텅(실측)'!L9),ISNUMBER('SO멍텅(실측)'!M9)),IF(ISNUMBER('SO멍텅(실측)'!M9),IF(9-MIN('SO멍텅(실측)'!M9+SO멍텅A늘림,'SO멍텅(실측)'!L9+SO멍텅A늘림)&lt;AQ9,AQ9,9-MIN('SO멍텅(실측)'!M9+SO멍텅A늘림,'SO멍텅(실측)'!L9+SO멍텅A늘림) + AQ9 ),0),IF(ISNUMBER('SO멍텅(실측)'!M9),IF(9-'SO멍텅(실측)'!M9-SO멍텅A늘림+AQ9&lt;AQ9,AQ9,9-'SO멍텅(실측)'!M9-SO멍텅A늘림+AQ9),0))</f>
        <v>6</v>
      </c>
      <c r="AQ9" s="16"/>
      <c r="AR9" s="17">
        <f t="shared" si="16"/>
        <v>5.0644041749696713</v>
      </c>
      <c r="AS9" s="17">
        <f t="shared" si="17"/>
        <v>4.6216450061930541</v>
      </c>
      <c r="AT9" s="36">
        <f t="shared" si="18"/>
        <v>0.20810992011087137</v>
      </c>
      <c r="AU9" s="36">
        <f t="shared" si="19"/>
        <v>-0.36450055529832071</v>
      </c>
      <c r="AV9" s="46" t="str">
        <f t="shared" si="20"/>
        <v>JD비대칭</v>
      </c>
      <c r="AW9" s="3">
        <f t="shared" si="21"/>
        <v>902</v>
      </c>
      <c r="AX9" s="3">
        <f t="shared" si="22"/>
        <v>558.20000000000005</v>
      </c>
      <c r="AY9" s="3">
        <f t="shared" si="23"/>
        <v>522.20000000000005</v>
      </c>
      <c r="AZ9" s="3">
        <f t="shared" si="24"/>
        <v>2094</v>
      </c>
      <c r="BA9" s="3">
        <f t="shared" si="25"/>
        <v>566.20000000000005</v>
      </c>
      <c r="BB9" s="3">
        <f t="shared" si="26"/>
        <v>2094</v>
      </c>
      <c r="BC9">
        <f t="shared" si="27"/>
        <v>2</v>
      </c>
      <c r="BD9">
        <f t="shared" si="28"/>
        <v>0</v>
      </c>
      <c r="BE9" s="79">
        <f t="shared" si="29"/>
        <v>0</v>
      </c>
      <c r="BF9" s="83">
        <f>IF(소장="손상민",'SO멍텅(실측)'!AF9,0)</f>
        <v>0</v>
      </c>
    </row>
    <row r="10" spans="1:58" ht="30.75" customHeight="1" x14ac:dyDescent="0.3">
      <c r="A10" s="4">
        <f>'SO멍텅(실측)'!A10</f>
        <v>0</v>
      </c>
      <c r="B10" s="4" t="str">
        <f>'SO멍텅(실측)'!B10&amp;"F"</f>
        <v>7F</v>
      </c>
      <c r="C10" s="4">
        <f>'SO멍텅(실측)'!C10-SO멍텅OP</f>
        <v>411</v>
      </c>
      <c r="D10" s="4">
        <f>'SO멍텅(실측)'!D10-SO멍텅OP</f>
        <v>383</v>
      </c>
      <c r="E10" s="4">
        <f>'SO멍텅(실측)'!E10-SO멍텅R</f>
        <v>875</v>
      </c>
      <c r="F10" s="4">
        <f>'SO멍텅(실측)'!F10+MAX(AO10,AP10)+IF(BE10=1,AC10,0)+SO멍텅JBJD늘림치수</f>
        <v>447</v>
      </c>
      <c r="G10" s="4">
        <f>'SO멍텅(실측)'!G10+MAX(AO10,AP10)+IF(BE10=1,AE10,0)+SO멍텅JBJD늘림치수</f>
        <v>490</v>
      </c>
      <c r="H10" s="4">
        <f>'SO멍텅(실측)'!H10+AO10+IF(BE10=1,AC10,0)+SO멍텅JB강제키움+SO멍텅JBJD늘림치수</f>
        <v>449</v>
      </c>
      <c r="I10" s="4">
        <f>'SO멍텅(실측)'!H10+AO10+IF(BE10=1,AD10,0)+SO멍텅JB강제키움+SO멍텅JBJD늘림치수-IF(SO멍텅JB하부늘치=1,'SO멍텅(실측)'!W10-'SO멍텅(실측)'!X10,0)</f>
        <v>444</v>
      </c>
      <c r="J10" s="4">
        <f>'SO멍텅(실측)'!I10+AP10+IF(BE10=1,AE10,0)+SO멍텅JB강제키움+SO멍텅JBJD늘림치수</f>
        <v>492</v>
      </c>
      <c r="K10" s="4">
        <f>'SO멍텅(실측)'!I10+AP10+IF(BE10=1,AF10,0)+SO멍텅JB강제키움+SO멍텅JBJD늘림치수-IF(SO멍텅JB하부늘치=1,'SO멍텅(실측)'!Y10-'SO멍텅(실측)'!Z10,0)</f>
        <v>492</v>
      </c>
      <c r="L10" s="91">
        <f t="shared" si="9"/>
        <v>-39</v>
      </c>
      <c r="M10" s="88">
        <f t="shared" si="10"/>
        <v>-39</v>
      </c>
      <c r="N10" s="4">
        <f t="shared" si="11"/>
        <v>31.5</v>
      </c>
      <c r="O10" s="4">
        <f t="shared" si="12"/>
        <v>31.5</v>
      </c>
      <c r="P10" s="4">
        <f>IF(R10&gt;0,'SO멍텅(실측)'!J10+SO멍텅C늘림,'SO멍텅(실측)'!J10+1)</f>
        <v>33</v>
      </c>
      <c r="Q10" s="4">
        <f>IF(S10&gt;0,'SO멍텅(실측)'!K10+SO멍텅C늘림,'SO멍텅(실측)'!K10+1)</f>
        <v>33</v>
      </c>
      <c r="R10" s="4">
        <f>IF(ISNUMBER('SO멍텅(실측)'!L10),'SO멍텅(실측)'!L10+SO멍텅제작!AO10+SO멍텅A늘림,0)</f>
        <v>9</v>
      </c>
      <c r="S10" s="4">
        <f>IF(ISNUMBER('SO멍텅(실측)'!M10),'SO멍텅(실측)'!M10+SO멍텅제작!AP10+SO멍텅A늘림,0)</f>
        <v>9</v>
      </c>
      <c r="T10" s="4">
        <f>'SO멍텅(실측)'!N10-SO멍텅기둥차감</f>
        <v>2094</v>
      </c>
      <c r="U10" s="4">
        <f>'SO멍텅(실측)'!O10-SO멍텅기둥차감</f>
        <v>2090</v>
      </c>
      <c r="V10" s="4">
        <f>'SO멍텅(실측)'!P10-SO멍텅기둥차감</f>
        <v>2091</v>
      </c>
      <c r="W10" s="4">
        <f>'SO멍텅(실측)'!Q10-SO멍텅기둥차감</f>
        <v>2089</v>
      </c>
      <c r="X10" s="4">
        <f>IF(ISNUMBER('SO멍텅(실측)'!R10),IF(Y10&gt;0,'SO멍텅(실측)'!R10+SO멍텅U늘림,'SO멍텅(실측)'!R10+1.2),0)</f>
        <v>27</v>
      </c>
      <c r="Y10" s="4">
        <f>IF(OR(멍텅G="", 멍텅G=0),IF(ISNUMBER('SO멍텅(실측)'!S10),IF('SO멍텅(실측)'!S10+SO멍텅A늘림+MAX(AO10,AP10)&gt;9,'SO멍텅(실측)'!S10+SO멍텅A늘림+MAX(AO10,AP10),'SO멍텅(실측)'!S10+SO멍텅A늘림+MAX(AO10,AP10)),0),SO멍텅G)</f>
        <v>9</v>
      </c>
      <c r="Z10" s="4">
        <f>'SO멍텅(실측)'!T10+뒷날개치수더함</f>
        <v>30</v>
      </c>
      <c r="AA10" s="4">
        <f>'SO멍텅(실측)'!U10+뒷날개치수더함</f>
        <v>30</v>
      </c>
      <c r="AB10" s="4">
        <f>'SO멍텅(실측)'!V10+뒷날개치수더함</f>
        <v>33</v>
      </c>
      <c r="AC10" s="13">
        <f>'SO멍텅(실측)'!W10-SO멍텅늘치차감</f>
        <v>14</v>
      </c>
      <c r="AD10" s="13">
        <f>IF(SO멍텅JB하부늘치=1,AC10,'SO멍텅(실측)'!X10-SO멍텅늘치차감)</f>
        <v>14</v>
      </c>
      <c r="AE10" s="13">
        <f>'SO멍텅(실측)'!Y10-SO멍텅늘치차감</f>
        <v>10</v>
      </c>
      <c r="AF10" s="13">
        <f>IF(SO멍텅JB하부늘치=1,AE10,'SO멍텅(실측)'!Z10-SO멍텅늘치차감)</f>
        <v>10</v>
      </c>
      <c r="AG10" s="11" t="str">
        <f t="shared" si="13"/>
        <v>938*565.2</v>
      </c>
      <c r="AH10" s="12" t="str">
        <f t="shared" si="14"/>
        <v>2094*530.2</v>
      </c>
      <c r="AI10" s="10" t="str">
        <f t="shared" si="15"/>
        <v>2091*572.2</v>
      </c>
      <c r="AJ10" s="4">
        <f>IF('SO멍텅(실측)'!AA10&gt;5,'SO멍텅(실측)'!AA10+뒷날개치수더함,'SO멍텅(실측)'!AA10)</f>
        <v>20</v>
      </c>
      <c r="AK10" s="4">
        <f>'SO멍텅(실측)'!AB10</f>
        <v>10</v>
      </c>
      <c r="AL10" s="4">
        <f>'SO멍텅(실측)'!AC10</f>
        <v>6</v>
      </c>
      <c r="AM10" s="31">
        <f>IF('SO멍텅(실측)'!AD10&gt;0,'SO멍텅(실측)'!AD10-'SO멍텅(실측)'!T10+1.2,0)</f>
        <v>0</v>
      </c>
      <c r="AN10" s="31">
        <f>IF('SO멍텅(실측)'!AE10&gt;0,'SO멍텅(실측)'!AE10-'SO멍텅(실측)'!T10+1.2,0)</f>
        <v>0</v>
      </c>
      <c r="AO10" s="3">
        <f>IF(AND(ISNUMBER('SO멍텅(실측)'!M10),ISNUMBER('SO멍텅(실측)'!L10)),IF(ISNUMBER('SO멍텅(실측)'!L10),IF(9-MIN('SO멍텅(실측)'!L10+SO멍텅A늘림,'SO멍텅(실측)'!M10+SO멍텅A늘림)&lt;AQ10,AQ10,9-MIN('SO멍텅(실측)'!L10+SO멍텅A늘림,'SO멍텅(실측)'!M10+SO멍텅A늘림) + AQ10 ),0),IF(ISNUMBER('SO멍텅(실측)'!L10),IF(9-'SO멍텅(실측)'!L10-SO멍텅A늘림+AQ10&lt;AQ10,AQ10,9-'SO멍텅(실측)'!L10-SO멍텅A늘림+AQ10),0))</f>
        <v>6</v>
      </c>
      <c r="AP10" s="3">
        <f>IF(AND(ISNUMBER('SO멍텅(실측)'!L10),ISNUMBER('SO멍텅(실측)'!M10)),IF(ISNUMBER('SO멍텅(실측)'!M10),IF(9-MIN('SO멍텅(실측)'!M10+SO멍텅A늘림,'SO멍텅(실측)'!L10+SO멍텅A늘림)&lt;AQ10,AQ10,9-MIN('SO멍텅(실측)'!M10+SO멍텅A늘림,'SO멍텅(실측)'!L10+SO멍텅A늘림) + AQ10 ),0),IF(ISNUMBER('SO멍텅(실측)'!M10),IF(9-'SO멍텅(실측)'!M10-SO멍텅A늘림+AQ10&lt;AQ10,AQ10,9-'SO멍텅(실측)'!M10-SO멍텅A늘림+AQ10),0))</f>
        <v>6</v>
      </c>
      <c r="AQ10" s="16"/>
      <c r="AR10" s="17">
        <f t="shared" si="16"/>
        <v>5.1770928176396138</v>
      </c>
      <c r="AS10" s="17">
        <f t="shared" si="17"/>
        <v>4.7249316015138945</v>
      </c>
      <c r="AT10" s="36">
        <f t="shared" si="18"/>
        <v>0.1683289474779599</v>
      </c>
      <c r="AU10" s="36">
        <f t="shared" si="19"/>
        <v>-0.32800582820158297</v>
      </c>
      <c r="AV10" s="46" t="str">
        <f t="shared" si="20"/>
        <v>JD비대칭</v>
      </c>
      <c r="AW10" s="3">
        <f t="shared" si="21"/>
        <v>938</v>
      </c>
      <c r="AX10" s="3">
        <f t="shared" si="22"/>
        <v>565.20000000000005</v>
      </c>
      <c r="AY10" s="3">
        <f t="shared" si="23"/>
        <v>530.20000000000005</v>
      </c>
      <c r="AZ10" s="3">
        <f t="shared" si="24"/>
        <v>2094</v>
      </c>
      <c r="BA10" s="3">
        <f t="shared" si="25"/>
        <v>572.20000000000005</v>
      </c>
      <c r="BB10" s="3">
        <f t="shared" si="26"/>
        <v>2091</v>
      </c>
      <c r="BC10">
        <f t="shared" si="27"/>
        <v>2</v>
      </c>
      <c r="BD10">
        <f t="shared" si="28"/>
        <v>0</v>
      </c>
      <c r="BE10" s="79">
        <f t="shared" si="29"/>
        <v>0</v>
      </c>
      <c r="BF10" s="83">
        <f>IF(소장="손상민",'SO멍텅(실측)'!AF10,0)</f>
        <v>0</v>
      </c>
    </row>
    <row r="11" spans="1:58" ht="30.75" customHeight="1" x14ac:dyDescent="0.3">
      <c r="A11" s="4">
        <f>'SO멍텅(실측)'!A11</f>
        <v>0</v>
      </c>
      <c r="B11" s="4" t="str">
        <f>'SO멍텅(실측)'!B11&amp;"F"</f>
        <v>6F</v>
      </c>
      <c r="C11" s="4">
        <f>'SO멍텅(실측)'!C11-SO멍텅OP</f>
        <v>411</v>
      </c>
      <c r="D11" s="4">
        <f>'SO멍텅(실측)'!D11-SO멍텅OP</f>
        <v>382</v>
      </c>
      <c r="E11" s="4">
        <f>'SO멍텅(실측)'!E11-SO멍텅R</f>
        <v>875</v>
      </c>
      <c r="F11" s="4">
        <f>'SO멍텅(실측)'!F11+MAX(AO11,AP11)+IF(BE11=1,AC11,0)+SO멍텅JBJD늘림치수</f>
        <v>444</v>
      </c>
      <c r="G11" s="4">
        <f>'SO멍텅(실측)'!G11+MAX(AO11,AP11)+IF(BE11=1,AE11,0)+SO멍텅JBJD늘림치수</f>
        <v>486</v>
      </c>
      <c r="H11" s="4">
        <f>'SO멍텅(실측)'!H11+AO11+IF(BE11=1,AC11,0)+SO멍텅JB강제키움+SO멍텅JBJD늘림치수</f>
        <v>446</v>
      </c>
      <c r="I11" s="4">
        <f>'SO멍텅(실측)'!H11+AO11+IF(BE11=1,AD11,0)+SO멍텅JB강제키움+SO멍텅JBJD늘림치수-IF(SO멍텅JB하부늘치=1,'SO멍텅(실측)'!W11-'SO멍텅(실측)'!X11,0)</f>
        <v>446</v>
      </c>
      <c r="J11" s="4">
        <f>'SO멍텅(실측)'!I11+AP11+IF(BE11=1,AE11,0)+SO멍텅JB강제키움+SO멍텅JBJD늘림치수</f>
        <v>488</v>
      </c>
      <c r="K11" s="4">
        <f>'SO멍텅(실측)'!I11+AP11+IF(BE11=1,AF11,0)+SO멍텅JB강제키움+SO멍텅JBJD늘림치수-IF(SO멍텅JB하부늘치=1,'SO멍텅(실측)'!Y11-'SO멍텅(실측)'!Z11,0)</f>
        <v>488</v>
      </c>
      <c r="L11" s="91">
        <f t="shared" si="9"/>
        <v>-42</v>
      </c>
      <c r="M11" s="88">
        <f t="shared" si="10"/>
        <v>-42</v>
      </c>
      <c r="N11" s="4">
        <f t="shared" si="11"/>
        <v>31.5</v>
      </c>
      <c r="O11" s="4">
        <f t="shared" si="12"/>
        <v>31.5</v>
      </c>
      <c r="P11" s="4">
        <f>IF(R11&gt;0,'SO멍텅(실측)'!J11+SO멍텅C늘림,'SO멍텅(실측)'!J11+1)</f>
        <v>33</v>
      </c>
      <c r="Q11" s="4">
        <f>IF(S11&gt;0,'SO멍텅(실측)'!K11+SO멍텅C늘림,'SO멍텅(실측)'!K11+1)</f>
        <v>33</v>
      </c>
      <c r="R11" s="4">
        <f>IF(ISNUMBER('SO멍텅(실측)'!L11),'SO멍텅(실측)'!L11+SO멍텅제작!AO11+SO멍텅A늘림,0)</f>
        <v>9</v>
      </c>
      <c r="S11" s="4">
        <f>IF(ISNUMBER('SO멍텅(실측)'!M11),'SO멍텅(실측)'!M11+SO멍텅제작!AP11+SO멍텅A늘림,0)</f>
        <v>9</v>
      </c>
      <c r="T11" s="4">
        <f>'SO멍텅(실측)'!N11-SO멍텅기둥차감</f>
        <v>2097</v>
      </c>
      <c r="U11" s="4">
        <f>'SO멍텅(실측)'!O11-SO멍텅기둥차감</f>
        <v>2090</v>
      </c>
      <c r="V11" s="4">
        <f>'SO멍텅(실측)'!P11-SO멍텅기둥차감</f>
        <v>2091</v>
      </c>
      <c r="W11" s="4">
        <f>'SO멍텅(실측)'!Q11-SO멍텅기둥차감</f>
        <v>2086</v>
      </c>
      <c r="X11" s="4">
        <f>IF(ISNUMBER('SO멍텅(실측)'!R11),IF(Y11&gt;0,'SO멍텅(실측)'!R11+SO멍텅U늘림,'SO멍텅(실측)'!R11+1.2),0)</f>
        <v>28</v>
      </c>
      <c r="Y11" s="4">
        <f>IF(OR(멍텅G="", 멍텅G=0),IF(ISNUMBER('SO멍텅(실측)'!S11),IF('SO멍텅(실측)'!S11+SO멍텅A늘림+MAX(AO11,AP11)&gt;9,'SO멍텅(실측)'!S11+SO멍텅A늘림+MAX(AO11,AP11),'SO멍텅(실측)'!S11+SO멍텅A늘림+MAX(AO11,AP11)),0),SO멍텅G)</f>
        <v>9</v>
      </c>
      <c r="Z11" s="4">
        <f>'SO멍텅(실측)'!T11+뒷날개치수더함</f>
        <v>30</v>
      </c>
      <c r="AA11" s="4">
        <f>'SO멍텅(실측)'!U11+뒷날개치수더함</f>
        <v>30</v>
      </c>
      <c r="AB11" s="4">
        <f>'SO멍텅(실측)'!V11+뒷날개치수더함</f>
        <v>33</v>
      </c>
      <c r="AC11" s="13">
        <f>'SO멍텅(실측)'!W11-SO멍텅늘치차감</f>
        <v>10</v>
      </c>
      <c r="AD11" s="13">
        <f>IF(SO멍텅JB하부늘치=1,AC11,'SO멍텅(실측)'!X11-SO멍텅늘치차감)</f>
        <v>10</v>
      </c>
      <c r="AE11" s="13">
        <f>'SO멍텅(실측)'!Y11-SO멍텅늘치차감</f>
        <v>10</v>
      </c>
      <c r="AF11" s="13">
        <f>IF(SO멍텅JB하부늘치=1,AE11,'SO멍텅(실측)'!Z11-SO멍텅늘치차감)</f>
        <v>10</v>
      </c>
      <c r="AG11" s="11" t="str">
        <f t="shared" si="13"/>
        <v>938*558.2</v>
      </c>
      <c r="AH11" s="12" t="str">
        <f t="shared" si="14"/>
        <v>2097*523.2</v>
      </c>
      <c r="AI11" s="10" t="str">
        <f t="shared" si="15"/>
        <v>2091*568.2</v>
      </c>
      <c r="AJ11" s="4">
        <f>IF('SO멍텅(실측)'!AA11&gt;5,'SO멍텅(실측)'!AA11+뒷날개치수더함,'SO멍텅(실측)'!AA11)</f>
        <v>20</v>
      </c>
      <c r="AK11" s="4">
        <f>'SO멍텅(실측)'!AB11</f>
        <v>10</v>
      </c>
      <c r="AL11" s="4">
        <f>'SO멍텅(실측)'!AC11</f>
        <v>10</v>
      </c>
      <c r="AM11" s="31">
        <f>IF('SO멍텅(실측)'!AD11&gt;0,'SO멍텅(실측)'!AD11-'SO멍텅(실측)'!T11+1.2,0)</f>
        <v>0</v>
      </c>
      <c r="AN11" s="31">
        <f>IF('SO멍텅(실측)'!AE11&gt;0,'SO멍텅(실측)'!AE11-'SO멍텅(실측)'!T11+1.2,0)</f>
        <v>0</v>
      </c>
      <c r="AO11" s="3">
        <f>IF(AND(ISNUMBER('SO멍텅(실측)'!M11),ISNUMBER('SO멍텅(실측)'!L11)),IF(ISNUMBER('SO멍텅(실측)'!L11),IF(9-MIN('SO멍텅(실측)'!L11+SO멍텅A늘림,'SO멍텅(실측)'!M11+SO멍텅A늘림)&lt;AQ11,AQ11,9-MIN('SO멍텅(실측)'!L11+SO멍텅A늘림,'SO멍텅(실측)'!M11+SO멍텅A늘림) + AQ11 ),0),IF(ISNUMBER('SO멍텅(실측)'!L11),IF(9-'SO멍텅(실측)'!L11-SO멍텅A늘림+AQ11&lt;AQ11,AQ11,9-'SO멍텅(실측)'!L11-SO멍텅A늘림+AQ11),0))</f>
        <v>6</v>
      </c>
      <c r="AP11" s="3">
        <f>IF(AND(ISNUMBER('SO멍텅(실측)'!L11),ISNUMBER('SO멍텅(실측)'!M11)),IF(ISNUMBER('SO멍텅(실측)'!M11),IF(9-MIN('SO멍텅(실측)'!M11+SO멍텅A늘림,'SO멍텅(실측)'!L11+SO멍텅A늘림)&lt;AQ11,AQ11,9-MIN('SO멍텅(실측)'!M11+SO멍텅A늘림,'SO멍텅(실측)'!L11+SO멍텅A늘림) + AQ11 ),0),IF(ISNUMBER('SO멍텅(실측)'!M11),IF(9-'SO멍텅(실측)'!M11-SO멍텅A늘림+AQ11&lt;AQ11,AQ11,9-'SO멍텅(실측)'!M11-SO멍텅A늘림+AQ11),0))</f>
        <v>6</v>
      </c>
      <c r="AQ11" s="16"/>
      <c r="AR11" s="17">
        <f t="shared" si="16"/>
        <v>5.2758644786013535</v>
      </c>
      <c r="AS11" s="17">
        <f t="shared" si="17"/>
        <v>4.822176435741925</v>
      </c>
      <c r="AT11" s="36">
        <f t="shared" si="18"/>
        <v>0.11053010919721373</v>
      </c>
      <c r="AU11" s="36">
        <f t="shared" si="19"/>
        <v>-0.2726737100867922</v>
      </c>
      <c r="AV11" s="46" t="str">
        <f t="shared" si="20"/>
        <v>JD비대칭</v>
      </c>
      <c r="AW11" s="3">
        <f t="shared" si="21"/>
        <v>938</v>
      </c>
      <c r="AX11" s="3">
        <f t="shared" si="22"/>
        <v>558.20000000000005</v>
      </c>
      <c r="AY11" s="3">
        <f t="shared" si="23"/>
        <v>523.20000000000005</v>
      </c>
      <c r="AZ11" s="3">
        <f t="shared" si="24"/>
        <v>2097</v>
      </c>
      <c r="BA11" s="3">
        <f t="shared" si="25"/>
        <v>568.20000000000005</v>
      </c>
      <c r="BB11" s="3">
        <f t="shared" si="26"/>
        <v>2091</v>
      </c>
      <c r="BC11">
        <f t="shared" si="27"/>
        <v>2</v>
      </c>
      <c r="BD11">
        <f t="shared" si="28"/>
        <v>0</v>
      </c>
      <c r="BE11" s="79">
        <f t="shared" si="29"/>
        <v>0</v>
      </c>
      <c r="BF11" s="83">
        <f>IF(소장="손상민",'SO멍텅(실측)'!AF11,0)</f>
        <v>0</v>
      </c>
    </row>
    <row r="12" spans="1:58" ht="30.75" customHeight="1" x14ac:dyDescent="0.3">
      <c r="A12" s="4">
        <f>'SO멍텅(실측)'!A12</f>
        <v>0</v>
      </c>
      <c r="B12" s="4" t="str">
        <f>'SO멍텅(실측)'!B12&amp;"F"</f>
        <v>5F</v>
      </c>
      <c r="C12" s="4">
        <f>'SO멍텅(실측)'!C12-SO멍텅OP</f>
        <v>411</v>
      </c>
      <c r="D12" s="4">
        <f>'SO멍텅(실측)'!D12-SO멍텅OP</f>
        <v>382</v>
      </c>
      <c r="E12" s="4">
        <f>'SO멍텅(실측)'!E12-SO멍텅R</f>
        <v>873</v>
      </c>
      <c r="F12" s="4">
        <f>'SO멍텅(실측)'!F12+MAX(AO12,AP12)+IF(BE12=1,AC12,0)+SO멍텅JBJD늘림치수</f>
        <v>410</v>
      </c>
      <c r="G12" s="4">
        <f>'SO멍텅(실측)'!G12+MAX(AO12,AP12)+IF(BE12=1,AE12,0)+SO멍텅JBJD늘림치수</f>
        <v>454</v>
      </c>
      <c r="H12" s="4">
        <f>'SO멍텅(실측)'!H12+AO12+IF(BE12=1,AC12,0)+SO멍텅JB강제키움+SO멍텅JBJD늘림치수</f>
        <v>412</v>
      </c>
      <c r="I12" s="4">
        <f>'SO멍텅(실측)'!H12+AO12+IF(BE12=1,AD12,0)+SO멍텅JB강제키움+SO멍텅JBJD늘림치수-IF(SO멍텅JB하부늘치=1,'SO멍텅(실측)'!W12-'SO멍텅(실측)'!X12,0)</f>
        <v>406</v>
      </c>
      <c r="J12" s="4">
        <f>'SO멍텅(실측)'!I12+AP12+IF(BE12=1,AE12,0)+SO멍텅JB강제키움+SO멍텅JBJD늘림치수</f>
        <v>456</v>
      </c>
      <c r="K12" s="4">
        <f>'SO멍텅(실측)'!I12+AP12+IF(BE12=1,AF12,0)+SO멍텅JB강제키움+SO멍텅JBJD늘림치수-IF(SO멍텅JB하부늘치=1,'SO멍텅(실측)'!Y12-'SO멍텅(실측)'!Z12,0)</f>
        <v>456</v>
      </c>
      <c r="L12" s="91">
        <f t="shared" si="9"/>
        <v>-37</v>
      </c>
      <c r="M12" s="88">
        <f t="shared" si="10"/>
        <v>-37</v>
      </c>
      <c r="N12" s="4">
        <f t="shared" si="11"/>
        <v>7.5</v>
      </c>
      <c r="O12" s="4">
        <f t="shared" si="12"/>
        <v>7.5</v>
      </c>
      <c r="P12" s="4">
        <f>IF(R12&gt;0,'SO멍텅(실측)'!J12+SO멍텅C늘림,'SO멍텅(실측)'!J12+1)</f>
        <v>9</v>
      </c>
      <c r="Q12" s="4">
        <f>IF(S12&gt;0,'SO멍텅(실측)'!K12+SO멍텅C늘림,'SO멍텅(실측)'!K12+1)</f>
        <v>9</v>
      </c>
      <c r="R12" s="4">
        <f>IF(ISNUMBER('SO멍텅(실측)'!L12),'SO멍텅(실측)'!L12+SO멍텅제작!AO12+SO멍텅A늘림,0)</f>
        <v>9</v>
      </c>
      <c r="S12" s="4">
        <f>IF(ISNUMBER('SO멍텅(실측)'!M12),'SO멍텅(실측)'!M12+SO멍텅제작!AP12+SO멍텅A늘림,0)</f>
        <v>9</v>
      </c>
      <c r="T12" s="4">
        <f>'SO멍텅(실측)'!N12-SO멍텅기둥차감</f>
        <v>2090</v>
      </c>
      <c r="U12" s="4">
        <f>'SO멍텅(실측)'!O12-SO멍텅기둥차감</f>
        <v>2091</v>
      </c>
      <c r="V12" s="4">
        <f>'SO멍텅(실측)'!P12-SO멍텅기둥차감</f>
        <v>2083</v>
      </c>
      <c r="W12" s="4">
        <f>'SO멍텅(실측)'!Q12-SO멍텅기둥차감</f>
        <v>2089</v>
      </c>
      <c r="X12" s="4">
        <f>IF(ISNUMBER('SO멍텅(실측)'!R12),IF(Y12&gt;0,'SO멍텅(실측)'!R12+SO멍텅U늘림,'SO멍텅(실측)'!R12+1.2),0)</f>
        <v>9</v>
      </c>
      <c r="Y12" s="4">
        <f>IF(OR(멍텅G="", 멍텅G=0),IF(ISNUMBER('SO멍텅(실측)'!S12),IF('SO멍텅(실측)'!S12+SO멍텅A늘림+MAX(AO12,AP12)&gt;9,'SO멍텅(실측)'!S12+SO멍텅A늘림+MAX(AO12,AP12),'SO멍텅(실측)'!S12+SO멍텅A늘림+MAX(AO12,AP12)),0),SO멍텅G)</f>
        <v>9</v>
      </c>
      <c r="Z12" s="4">
        <f>'SO멍텅(실측)'!T12+뒷날개치수더함</f>
        <v>30</v>
      </c>
      <c r="AA12" s="4">
        <f>'SO멍텅(실측)'!U12+뒷날개치수더함</f>
        <v>30</v>
      </c>
      <c r="AB12" s="4">
        <f>'SO멍텅(실측)'!V12+뒷날개치수더함</f>
        <v>33</v>
      </c>
      <c r="AC12" s="13">
        <f>'SO멍텅(실측)'!W12-SO멍텅늘치차감</f>
        <v>17</v>
      </c>
      <c r="AD12" s="13">
        <f>IF(SO멍텅JB하부늘치=1,AC12,'SO멍텅(실측)'!X12-SO멍텅늘치차감)</f>
        <v>17</v>
      </c>
      <c r="AE12" s="13">
        <f>'SO멍텅(실측)'!Y12-SO멍텅늘치차감</f>
        <v>10</v>
      </c>
      <c r="AF12" s="13">
        <f>IF(SO멍텅JB하부늘치=1,AE12,'SO멍텅(실측)'!Z12-SO멍텅늘치차감)</f>
        <v>10</v>
      </c>
      <c r="AG12" s="11" t="str">
        <f t="shared" si="13"/>
        <v>888*514.2</v>
      </c>
      <c r="AH12" s="12" t="str">
        <f t="shared" si="14"/>
        <v>2091*472.2</v>
      </c>
      <c r="AI12" s="10" t="str">
        <f t="shared" si="15"/>
        <v>2089*512.2</v>
      </c>
      <c r="AJ12" s="4">
        <f>IF('SO멍텅(실측)'!AA12&gt;5,'SO멍텅(실측)'!AA12+뒷날개치수더함,'SO멍텅(실측)'!AA12)</f>
        <v>20</v>
      </c>
      <c r="AK12" s="4">
        <f>'SO멍텅(실측)'!AB12</f>
        <v>10</v>
      </c>
      <c r="AL12" s="4">
        <f>'SO멍텅(실측)'!AC12</f>
        <v>10</v>
      </c>
      <c r="AM12" s="31">
        <f>IF('SO멍텅(실측)'!AD12&gt;0,'SO멍텅(실측)'!AD12-'SO멍텅(실측)'!T12+1.2,0)</f>
        <v>0</v>
      </c>
      <c r="AN12" s="31">
        <f>IF('SO멍텅(실측)'!AE12&gt;0,'SO멍텅(실측)'!AE12-'SO멍텅(실측)'!T12+1.2,0)</f>
        <v>0</v>
      </c>
      <c r="AO12" s="3">
        <f>IF(AND(ISNUMBER('SO멍텅(실측)'!M12),ISNUMBER('SO멍텅(실측)'!L12)),IF(ISNUMBER('SO멍텅(실측)'!L12),IF(9-MIN('SO멍텅(실측)'!L12+SO멍텅A늘림,'SO멍텅(실측)'!M12+SO멍텅A늘림)&lt;AQ12,AQ12,9-MIN('SO멍텅(실측)'!L12+SO멍텅A늘림,'SO멍텅(실측)'!M12+SO멍텅A늘림) + AQ12 ),0),IF(ISNUMBER('SO멍텅(실측)'!L12),IF(9-'SO멍텅(실측)'!L12-SO멍텅A늘림+AQ12&lt;AQ12,AQ12,9-'SO멍텅(실측)'!L12-SO멍텅A늘림+AQ12),0))</f>
        <v>6</v>
      </c>
      <c r="AP12" s="3">
        <f>IF(AND(ISNUMBER('SO멍텅(실측)'!L12),ISNUMBER('SO멍텅(실측)'!M12)),IF(ISNUMBER('SO멍텅(실측)'!M12),IF(9-MIN('SO멍텅(실측)'!M12+SO멍텅A늘림,'SO멍텅(실측)'!L12+SO멍텅A늘림)&lt;AQ12,AQ12,9-MIN('SO멍텅(실측)'!M12+SO멍텅A늘림,'SO멍텅(실측)'!L12+SO멍텅A늘림) + AQ12 ),0),IF(ISNUMBER('SO멍텅(실측)'!M12),IF(9-'SO멍텅(실측)'!M12-SO멍텅A늘림+AQ12&lt;AQ12,AQ12,9-'SO멍텅(실측)'!M12-SO멍텅A늘림+AQ12),0))</f>
        <v>6</v>
      </c>
      <c r="AQ12" s="16"/>
      <c r="AR12" s="17">
        <f t="shared" si="16"/>
        <v>5.572197803963796</v>
      </c>
      <c r="AS12" s="17">
        <f t="shared" si="17"/>
        <v>5.035084679456669</v>
      </c>
      <c r="AT12" s="36">
        <f t="shared" si="18"/>
        <v>5.3149177353816413E-2</v>
      </c>
      <c r="AU12" s="36">
        <f t="shared" si="19"/>
        <v>-0.24036079866084492</v>
      </c>
      <c r="AV12" s="46" t="str">
        <f t="shared" si="20"/>
        <v>JD비대칭</v>
      </c>
      <c r="AW12" s="3">
        <f t="shared" si="21"/>
        <v>888</v>
      </c>
      <c r="AX12" s="3">
        <f t="shared" si="22"/>
        <v>514.20000000000005</v>
      </c>
      <c r="AY12" s="3">
        <f t="shared" si="23"/>
        <v>472.2</v>
      </c>
      <c r="AZ12" s="3">
        <f t="shared" si="24"/>
        <v>2091</v>
      </c>
      <c r="BA12" s="3">
        <f t="shared" si="25"/>
        <v>512.20000000000005</v>
      </c>
      <c r="BB12" s="3">
        <f t="shared" si="26"/>
        <v>2089</v>
      </c>
      <c r="BC12">
        <f t="shared" si="27"/>
        <v>2</v>
      </c>
      <c r="BD12">
        <f t="shared" si="28"/>
        <v>0</v>
      </c>
      <c r="BE12" s="79">
        <f t="shared" si="29"/>
        <v>0</v>
      </c>
      <c r="BF12" s="83">
        <f>IF(소장="손상민",'SO멍텅(실측)'!AF12,0)</f>
        <v>0</v>
      </c>
    </row>
    <row r="13" spans="1:58" ht="30.75" customHeight="1" x14ac:dyDescent="0.3">
      <c r="A13" s="4">
        <f>'SO멍텅(실측)'!A13</f>
        <v>0</v>
      </c>
      <c r="B13" s="4" t="str">
        <f>'SO멍텅(실측)'!B13&amp;"F"</f>
        <v>4F</v>
      </c>
      <c r="C13" s="4">
        <f>'SO멍텅(실측)'!C13-SO멍텅OP</f>
        <v>410</v>
      </c>
      <c r="D13" s="4">
        <f>'SO멍텅(실측)'!D13-SO멍텅OP</f>
        <v>384</v>
      </c>
      <c r="E13" s="4">
        <f>'SO멍텅(실측)'!E13-SO멍텅R</f>
        <v>872</v>
      </c>
      <c r="F13" s="4">
        <f>'SO멍텅(실측)'!F13+MAX(AO13,AP13)+IF(BE13=1,AC13,0)+SO멍텅JBJD늘림치수</f>
        <v>417</v>
      </c>
      <c r="G13" s="4">
        <f>'SO멍텅(실측)'!G13+MAX(AO13,AP13)+IF(BE13=1,AE13,0)+SO멍텅JBJD늘림치수</f>
        <v>460</v>
      </c>
      <c r="H13" s="4">
        <f>'SO멍텅(실측)'!H13+AO13+IF(BE13=1,AC13,0)+SO멍텅JB강제키움+SO멍텅JBJD늘림치수</f>
        <v>419</v>
      </c>
      <c r="I13" s="4">
        <f>'SO멍텅(실측)'!H13+AO13+IF(BE13=1,AD13,0)+SO멍텅JB강제키움+SO멍텅JBJD늘림치수-IF(SO멍텅JB하부늘치=1,'SO멍텅(실측)'!W13-'SO멍텅(실측)'!X13,0)</f>
        <v>416</v>
      </c>
      <c r="J13" s="4">
        <f>'SO멍텅(실측)'!I13+AP13+IF(BE13=1,AE13,0)+SO멍텅JB강제키움+SO멍텅JBJD늘림치수</f>
        <v>462</v>
      </c>
      <c r="K13" s="4">
        <f>'SO멍텅(실측)'!I13+AP13+IF(BE13=1,AF13,0)+SO멍텅JB강제키움+SO멍텅JBJD늘림치수-IF(SO멍텅JB하부늘치=1,'SO멍텅(실측)'!Y13-'SO멍텅(실측)'!Z13,0)</f>
        <v>462</v>
      </c>
      <c r="L13" s="91">
        <f t="shared" si="9"/>
        <v>-40</v>
      </c>
      <c r="M13" s="88">
        <f t="shared" si="10"/>
        <v>-40</v>
      </c>
      <c r="N13" s="4">
        <f t="shared" si="11"/>
        <v>20.5</v>
      </c>
      <c r="O13" s="4">
        <f t="shared" si="12"/>
        <v>20.5</v>
      </c>
      <c r="P13" s="4">
        <f>IF(R13&gt;0,'SO멍텅(실측)'!J13+SO멍텅C늘림,'SO멍텅(실측)'!J13+1)</f>
        <v>22</v>
      </c>
      <c r="Q13" s="4">
        <f>IF(S13&gt;0,'SO멍텅(실측)'!K13+SO멍텅C늘림,'SO멍텅(실측)'!K13+1)</f>
        <v>22</v>
      </c>
      <c r="R13" s="4">
        <f>IF(ISNUMBER('SO멍텅(실측)'!L13),'SO멍텅(실측)'!L13+SO멍텅제작!AO13+SO멍텅A늘림,0)</f>
        <v>9</v>
      </c>
      <c r="S13" s="4">
        <f>IF(ISNUMBER('SO멍텅(실측)'!M13),'SO멍텅(실측)'!M13+SO멍텅제작!AP13+SO멍텅A늘림,0)</f>
        <v>9</v>
      </c>
      <c r="T13" s="4">
        <f>'SO멍텅(실측)'!N13-SO멍텅기둥차감</f>
        <v>2100</v>
      </c>
      <c r="U13" s="4">
        <f>'SO멍텅(실측)'!O13-SO멍텅기둥차감</f>
        <v>2096</v>
      </c>
      <c r="V13" s="4">
        <f>'SO멍텅(실측)'!P13-SO멍텅기둥차감</f>
        <v>2096</v>
      </c>
      <c r="W13" s="4">
        <f>'SO멍텅(실측)'!Q13-SO멍텅기둥차감</f>
        <v>2095</v>
      </c>
      <c r="X13" s="4">
        <f>IF(ISNUMBER('SO멍텅(실측)'!R13),IF(Y13&gt;0,'SO멍텅(실측)'!R13+SO멍텅U늘림,'SO멍텅(실측)'!R13+1.2),0)</f>
        <v>18</v>
      </c>
      <c r="Y13" s="4">
        <f>IF(OR(멍텅G="", 멍텅G=0),IF(ISNUMBER('SO멍텅(실측)'!S13),IF('SO멍텅(실측)'!S13+SO멍텅A늘림+MAX(AO13,AP13)&gt;9,'SO멍텅(실측)'!S13+SO멍텅A늘림+MAX(AO13,AP13),'SO멍텅(실측)'!S13+SO멍텅A늘림+MAX(AO13,AP13)),0),SO멍텅G)</f>
        <v>9</v>
      </c>
      <c r="Z13" s="4">
        <f>'SO멍텅(실측)'!T13+뒷날개치수더함</f>
        <v>30</v>
      </c>
      <c r="AA13" s="4">
        <f>'SO멍텅(실측)'!U13+뒷날개치수더함</f>
        <v>30</v>
      </c>
      <c r="AB13" s="4">
        <f>'SO멍텅(실측)'!V13+뒷날개치수더함</f>
        <v>33</v>
      </c>
      <c r="AC13" s="13">
        <f>'SO멍텅(실측)'!W13-SO멍텅늘치차감</f>
        <v>13</v>
      </c>
      <c r="AD13" s="13">
        <f>IF(SO멍텅JB하부늘치=1,AC13,'SO멍텅(실측)'!X13-SO멍텅늘치차감)</f>
        <v>13</v>
      </c>
      <c r="AE13" s="13">
        <f>'SO멍텅(실측)'!Y13-SO멍텅늘치차감</f>
        <v>10</v>
      </c>
      <c r="AF13" s="13">
        <f>IF(SO멍텅JB하부늘치=1,AE13,'SO멍텅(실측)'!Z13-SO멍텅늘치차감)</f>
        <v>10</v>
      </c>
      <c r="AG13" s="11" t="str">
        <f t="shared" si="13"/>
        <v>913*525.2</v>
      </c>
      <c r="AH13" s="12" t="str">
        <f t="shared" si="14"/>
        <v>2100*488.2</v>
      </c>
      <c r="AI13" s="10" t="str">
        <f t="shared" si="15"/>
        <v>2096*531.2</v>
      </c>
      <c r="AJ13" s="4">
        <f>IF('SO멍텅(실측)'!AA13&gt;5,'SO멍텅(실측)'!AA13+뒷날개치수더함,'SO멍텅(실측)'!AA13)</f>
        <v>20</v>
      </c>
      <c r="AK13" s="4">
        <f>'SO멍텅(실측)'!AB13</f>
        <v>10</v>
      </c>
      <c r="AL13" s="4">
        <f>'SO멍텅(실측)'!AC13</f>
        <v>10</v>
      </c>
      <c r="AM13" s="31">
        <f>IF('SO멍텅(실측)'!AD13&gt;0,'SO멍텅(실측)'!AD13-'SO멍텅(실측)'!T13+1.2,0)</f>
        <v>0</v>
      </c>
      <c r="AN13" s="31">
        <f>IF('SO멍텅(실측)'!AE13&gt;0,'SO멍텅(실측)'!AE13-'SO멍텅(실측)'!T13+1.2,0)</f>
        <v>0</v>
      </c>
      <c r="AO13" s="3">
        <f>IF(AND(ISNUMBER('SO멍텅(실측)'!M13),ISNUMBER('SO멍텅(실측)'!L13)),IF(ISNUMBER('SO멍텅(실측)'!L13),IF(9-MIN('SO멍텅(실측)'!L13+SO멍텅A늘림,'SO멍텅(실측)'!M13+SO멍텅A늘림)&lt;AQ13,AQ13,9-MIN('SO멍텅(실측)'!L13+SO멍텅A늘림,'SO멍텅(실측)'!M13+SO멍텅A늘림) + AQ13 ),0),IF(ISNUMBER('SO멍텅(실측)'!L13),IF(9-'SO멍텅(실측)'!L13-SO멍텅A늘림+AQ13&lt;AQ13,AQ13,9-'SO멍텅(실측)'!L13-SO멍텅A늘림+AQ13),0))</f>
        <v>6</v>
      </c>
      <c r="AP13" s="3">
        <f>IF(AND(ISNUMBER('SO멍텅(실측)'!L13),ISNUMBER('SO멍텅(실측)'!M13)),IF(ISNUMBER('SO멍텅(실측)'!M13),IF(9-MIN('SO멍텅(실측)'!M13+SO멍텅A늘림,'SO멍텅(실측)'!L13+SO멍텅A늘림)&lt;AQ13,AQ13,9-MIN('SO멍텅(실측)'!M13+SO멍텅A늘림,'SO멍텅(실측)'!L13+SO멍텅A늘림) + AQ13 ),0),IF(ISNUMBER('SO멍텅(실측)'!M13),IF(9-'SO멍텅(실측)'!M13-SO멍텅A늘림+AQ13&lt;AQ13,AQ13,9-'SO멍텅(실측)'!M13-SO멍텅A늘림+AQ13),0))</f>
        <v>6</v>
      </c>
      <c r="AQ13" s="16"/>
      <c r="AR13" s="17">
        <f t="shared" si="16"/>
        <v>5.3430557585751659</v>
      </c>
      <c r="AS13" s="17">
        <f t="shared" si="17"/>
        <v>4.8460964343266095</v>
      </c>
      <c r="AT13" s="36">
        <f t="shared" si="18"/>
        <v>0.17944659568007637</v>
      </c>
      <c r="AU13" s="36">
        <f t="shared" si="19"/>
        <v>-0.34844934740425515</v>
      </c>
      <c r="AV13" s="46" t="str">
        <f t="shared" si="20"/>
        <v>JD비대칭</v>
      </c>
      <c r="AW13" s="3">
        <f t="shared" si="21"/>
        <v>913</v>
      </c>
      <c r="AX13" s="3">
        <f t="shared" si="22"/>
        <v>525.20000000000005</v>
      </c>
      <c r="AY13" s="3">
        <f t="shared" si="23"/>
        <v>488.2</v>
      </c>
      <c r="AZ13" s="3">
        <f t="shared" si="24"/>
        <v>2100</v>
      </c>
      <c r="BA13" s="3">
        <f t="shared" si="25"/>
        <v>531.20000000000005</v>
      </c>
      <c r="BB13" s="3">
        <f t="shared" si="26"/>
        <v>2096</v>
      </c>
      <c r="BC13">
        <f t="shared" si="27"/>
        <v>2</v>
      </c>
      <c r="BD13">
        <f t="shared" si="28"/>
        <v>0</v>
      </c>
      <c r="BE13" s="79">
        <f t="shared" si="29"/>
        <v>0</v>
      </c>
      <c r="BF13" s="83">
        <f>IF(소장="손상민",'SO멍텅(실측)'!AF13,0)</f>
        <v>0</v>
      </c>
    </row>
    <row r="14" spans="1:58" ht="30.75" customHeight="1" x14ac:dyDescent="0.3">
      <c r="A14" s="4">
        <f>'SO멍텅(실측)'!A14</f>
        <v>0</v>
      </c>
      <c r="B14" s="4" t="str">
        <f>'SO멍텅(실측)'!B14&amp;"F"</f>
        <v>3F</v>
      </c>
      <c r="C14" s="4">
        <f>'SO멍텅(실측)'!C14-SO멍텅OP</f>
        <v>411</v>
      </c>
      <c r="D14" s="4">
        <f>'SO멍텅(실측)'!D14-SO멍텅OP</f>
        <v>383</v>
      </c>
      <c r="E14" s="4">
        <f>'SO멍텅(실측)'!E14-SO멍텅R</f>
        <v>871</v>
      </c>
      <c r="F14" s="4">
        <f>'SO멍텅(실측)'!F14+MAX(AO14,AP14)+IF(BE14=1,AC14,0)+SO멍텅JBJD늘림치수</f>
        <v>401</v>
      </c>
      <c r="G14" s="4">
        <f>'SO멍텅(실측)'!G14+MAX(AO14,AP14)+IF(BE14=1,AE14,0)+SO멍텅JBJD늘림치수</f>
        <v>444</v>
      </c>
      <c r="H14" s="4">
        <f>'SO멍텅(실측)'!H14+AO14+IF(BE14=1,AC14,0)+SO멍텅JB강제키움+SO멍텅JBJD늘림치수</f>
        <v>403</v>
      </c>
      <c r="I14" s="4">
        <f>'SO멍텅(실측)'!H14+AO14+IF(BE14=1,AD14,0)+SO멍텅JB강제키움+SO멍텅JBJD늘림치수-IF(SO멍텅JB하부늘치=1,'SO멍텅(실측)'!W14-'SO멍텅(실측)'!X14,0)</f>
        <v>403</v>
      </c>
      <c r="J14" s="4">
        <f>'SO멍텅(실측)'!I14+AP14+IF(BE14=1,AE14,0)+SO멍텅JB강제키움+SO멍텅JBJD늘림치수</f>
        <v>446</v>
      </c>
      <c r="K14" s="4">
        <f>'SO멍텅(실측)'!I14+AP14+IF(BE14=1,AF14,0)+SO멍텅JB강제키움+SO멍텅JBJD늘림치수-IF(SO멍텅JB하부늘치=1,'SO멍텅(실측)'!Y14-'SO멍텅(실측)'!Z14,0)</f>
        <v>449</v>
      </c>
      <c r="L14" s="91">
        <f t="shared" si="9"/>
        <v>-37</v>
      </c>
      <c r="M14" s="88">
        <f t="shared" si="10"/>
        <v>-37</v>
      </c>
      <c r="N14" s="4">
        <f>P14+IF(소장="손상민",0,)</f>
        <v>0</v>
      </c>
      <c r="O14" s="4">
        <f>Q14+IF(소장="손상민",0,)</f>
        <v>0</v>
      </c>
      <c r="P14" s="4">
        <f>IF(R14&gt;0,'SO멍텅(실측)'!J14+SO멍텅C늘림,'SO멍텅(실측)'!J14)</f>
        <v>0</v>
      </c>
      <c r="Q14" s="4">
        <f>IF(S14&gt;0,'SO멍텅(실측)'!K14+SO멍텅C늘림,'SO멍텅(실측)'!K14)</f>
        <v>0</v>
      </c>
      <c r="R14" s="4">
        <f>IF(ISNUMBER('SO멍텅(실측)'!L14),'SO멍텅(실측)'!L14+SO멍텅제작!AO14+SO멍텅A늘림,0)</f>
        <v>0</v>
      </c>
      <c r="S14" s="4">
        <f>IF(ISNUMBER('SO멍텅(실측)'!M14),'SO멍텅(실측)'!M14+SO멍텅제작!AP14+SO멍텅A늘림,0)</f>
        <v>0</v>
      </c>
      <c r="T14" s="4">
        <f>'SO멍텅(실측)'!N14-SO멍텅기둥차감</f>
        <v>2101</v>
      </c>
      <c r="U14" s="4">
        <f>'SO멍텅(실측)'!O14-SO멍텅기둥차감</f>
        <v>2091</v>
      </c>
      <c r="V14" s="4">
        <f>'SO멍텅(실측)'!P14-SO멍텅기둥차감</f>
        <v>2101</v>
      </c>
      <c r="W14" s="4">
        <f>'SO멍텅(실측)'!Q14-SO멍텅기둥차감</f>
        <v>2094</v>
      </c>
      <c r="X14" s="4">
        <f>IF(ISNUMBER('SO멍텅(실측)'!R14),IF(Y14&gt;0,'SO멍텅(실측)'!R14+SO멍텅U늘림,'SO멍텅(실측)'!R14+1.2),0)</f>
        <v>0</v>
      </c>
      <c r="Y14" s="4">
        <f>IF(OR(멍텅G="", 멍텅G=0),IF(ISNUMBER('SO멍텅(실측)'!S14),IF('SO멍텅(실측)'!S14+SO멍텅A늘림+MAX(AO14,AP14)&gt;9,'SO멍텅(실측)'!S14+SO멍텅A늘림+MAX(AO14,AP14),'SO멍텅(실측)'!S14+SO멍텅A늘림+MAX(AO14,AP14)),0),SO멍텅G)</f>
        <v>0</v>
      </c>
      <c r="Z14" s="4">
        <f>'SO멍텅(실측)'!T14+뒷날개치수더함</f>
        <v>30</v>
      </c>
      <c r="AA14" s="4">
        <f>'SO멍텅(실측)'!U14+뒷날개치수더함</f>
        <v>30</v>
      </c>
      <c r="AB14" s="4">
        <f>'SO멍텅(실측)'!V14+뒷날개치수더함</f>
        <v>33</v>
      </c>
      <c r="AC14" s="13">
        <f>'SO멍텅(실측)'!W14-SO멍텅늘치차감</f>
        <v>16</v>
      </c>
      <c r="AD14" s="13">
        <f>IF(SO멍텅JB하부늘치=1,AC14,'SO멍텅(실측)'!X14-SO멍텅늘치차감)</f>
        <v>16</v>
      </c>
      <c r="AE14" s="13">
        <f>'SO멍텅(실측)'!Y14-SO멍텅늘치차감</f>
        <v>10</v>
      </c>
      <c r="AF14" s="13">
        <f>IF(SO멍텅JB하부늘치=1,AE14,'SO멍텅(실측)'!Z14-SO멍텅늘치차감)</f>
        <v>10</v>
      </c>
      <c r="AG14" s="11" t="str">
        <f t="shared" si="13"/>
        <v>871*486.4</v>
      </c>
      <c r="AH14" s="12" t="str">
        <f t="shared" si="14"/>
        <v>2101*445.4</v>
      </c>
      <c r="AI14" s="10" t="str">
        <f t="shared" si="15"/>
        <v>2101*488.4</v>
      </c>
      <c r="AJ14" s="4">
        <f>IF('SO멍텅(실측)'!AA14&gt;5,'SO멍텅(실측)'!AA14+뒷날개치수더함,'SO멍텅(실측)'!AA14)</f>
        <v>20</v>
      </c>
      <c r="AK14" s="4">
        <f>'SO멍텅(실측)'!AB14</f>
        <v>10</v>
      </c>
      <c r="AL14" s="4">
        <f>'SO멍텅(실측)'!AC14</f>
        <v>10</v>
      </c>
      <c r="AM14" s="31">
        <f>IF('SO멍텅(실측)'!AD14&gt;0,'SO멍텅(실측)'!AD14-'SO멍텅(실측)'!T14+1.2,0)</f>
        <v>0</v>
      </c>
      <c r="AN14" s="31">
        <f>IF('SO멍텅(실측)'!AE14&gt;0,'SO멍텅(실측)'!AE14-'SO멍텅(실측)'!T14+1.2,0)</f>
        <v>0</v>
      </c>
      <c r="AO14" s="3">
        <f>IF(AND(ISNUMBER('SO멍텅(실측)'!M14),ISNUMBER('SO멍텅(실측)'!L14)),IF(ISNUMBER('SO멍텅(실측)'!L14),IF(9-MIN('SO멍텅(실측)'!L14+SO멍텅A늘림,'SO멍텅(실측)'!M14+SO멍텅A늘림)&lt;AQ14,AQ14,9-MIN('SO멍텅(실측)'!L14+SO멍텅A늘림,'SO멍텅(실측)'!M14+SO멍텅A늘림) + AQ14 ),0),IF(ISNUMBER('SO멍텅(실측)'!L14),IF(9-'SO멍텅(실측)'!L14-SO멍텅A늘림+AQ14&lt;AQ14,AQ14,9-'SO멍텅(실측)'!L14-SO멍텅A늘림+AQ14),0))</f>
        <v>0</v>
      </c>
      <c r="AP14" s="3">
        <f>IF(AND(ISNUMBER('SO멍텅(실측)'!L14),ISNUMBER('SO멍텅(실측)'!M14)),IF(ISNUMBER('SO멍텅(실측)'!M14),IF(9-MIN('SO멍텅(실측)'!M14+SO멍텅A늘림,'SO멍텅(실측)'!L14+SO멍텅A늘림)&lt;AQ14,AQ14,9-MIN('SO멍텅(실측)'!M14+SO멍텅A늘림,'SO멍텅(실측)'!L14+SO멍텅A늘림) + AQ14 ),0),IF(ISNUMBER('SO멍텅(실측)'!M14),IF(9-'SO멍텅(실측)'!M14-SO멍텅A늘림+AQ14&lt;AQ14,AQ14,9-'SO멍텅(실측)'!M14-SO멍텅A늘림+AQ14),0))</f>
        <v>0</v>
      </c>
      <c r="AQ14" s="16"/>
      <c r="AR14" s="17">
        <f t="shared" si="16"/>
        <v>5.4841567537880911</v>
      </c>
      <c r="AS14" s="17">
        <f t="shared" si="17"/>
        <v>4.955819118044813</v>
      </c>
      <c r="AT14" s="36">
        <f t="shared" si="18"/>
        <v>0.155333299370227</v>
      </c>
      <c r="AU14" s="36">
        <f t="shared" si="19"/>
        <v>-0.33267711109846232</v>
      </c>
      <c r="AV14" s="46" t="str">
        <f t="shared" si="20"/>
        <v>JD비대칭</v>
      </c>
      <c r="AW14" s="3">
        <f t="shared" si="21"/>
        <v>871</v>
      </c>
      <c r="AX14" s="3">
        <f t="shared" si="22"/>
        <v>486.4</v>
      </c>
      <c r="AY14" s="3">
        <f t="shared" si="23"/>
        <v>445.4</v>
      </c>
      <c r="AZ14" s="3">
        <f t="shared" si="24"/>
        <v>2101</v>
      </c>
      <c r="BA14" s="3">
        <f t="shared" si="25"/>
        <v>488.4</v>
      </c>
      <c r="BB14" s="3">
        <f t="shared" si="26"/>
        <v>2101</v>
      </c>
      <c r="BC14">
        <f t="shared" si="27"/>
        <v>2</v>
      </c>
      <c r="BD14">
        <f t="shared" si="28"/>
        <v>9</v>
      </c>
      <c r="BE14" s="79">
        <f t="shared" si="29"/>
        <v>0</v>
      </c>
      <c r="BF14" s="83">
        <f>IF(소장="손상민",'SO멍텅(실측)'!AF14,0)</f>
        <v>0</v>
      </c>
    </row>
    <row r="15" spans="1:58" ht="30.75" customHeight="1" x14ac:dyDescent="0.3">
      <c r="A15" s="4">
        <f>'SO멍텅(실측)'!A15</f>
        <v>0</v>
      </c>
      <c r="B15" s="4" t="str">
        <f>'SO멍텅(실측)'!B15&amp;"F"</f>
        <v>2F</v>
      </c>
      <c r="C15" s="4">
        <f>'SO멍텅(실측)'!C15-SO멍텅OP</f>
        <v>411</v>
      </c>
      <c r="D15" s="4">
        <f>'SO멍텅(실측)'!D15-SO멍텅OP</f>
        <v>384</v>
      </c>
      <c r="E15" s="4">
        <f>'SO멍텅(실측)'!E15-SO멍텅R</f>
        <v>872</v>
      </c>
      <c r="F15" s="4">
        <f>'SO멍텅(실측)'!F15+MAX(AO15,AP15)+IF(BE15=1,AC15,0)+SO멍텅JBJD늘림치수</f>
        <v>387</v>
      </c>
      <c r="G15" s="4">
        <f>'SO멍텅(실측)'!G15+MAX(AO15,AP15)+IF(BE15=1,AE15,0)+SO멍텅JBJD늘림치수</f>
        <v>430</v>
      </c>
      <c r="H15" s="4">
        <f>'SO멍텅(실측)'!H15+AO15+IF(BE15=1,AC15,0)+SO멍텅JB강제키움+SO멍텅JBJD늘림치수</f>
        <v>389</v>
      </c>
      <c r="I15" s="4">
        <f>'SO멍텅(실측)'!H15+AO15+IF(BE15=1,AD15,0)+SO멍텅JB강제키움+SO멍텅JBJD늘림치수-IF(SO멍텅JB하부늘치=1,'SO멍텅(실측)'!W15-'SO멍텅(실측)'!X15,0)</f>
        <v>389</v>
      </c>
      <c r="J15" s="4">
        <f>'SO멍텅(실측)'!I15+AP15+IF(BE15=1,AE15,0)+SO멍텅JB강제키움+SO멍텅JBJD늘림치수</f>
        <v>432</v>
      </c>
      <c r="K15" s="4">
        <f>'SO멍텅(실측)'!I15+AP15+IF(BE15=1,AF15,0)+SO멍텅JB강제키움+SO멍텅JBJD늘림치수-IF(SO멍텅JB하부늘치=1,'SO멍텅(실측)'!Y15-'SO멍텅(실측)'!Z15,0)</f>
        <v>432</v>
      </c>
      <c r="L15" s="91">
        <f t="shared" si="9"/>
        <v>-43</v>
      </c>
      <c r="M15" s="88">
        <f t="shared" si="10"/>
        <v>-43</v>
      </c>
      <c r="N15" s="4">
        <f>P15+IF(소장="손상민",0,)</f>
        <v>0</v>
      </c>
      <c r="O15" s="4">
        <f>Q15+IF(소장="손상민",0,)</f>
        <v>0</v>
      </c>
      <c r="P15" s="4">
        <f>IF(R15&gt;0,'SO멍텅(실측)'!J15+SO멍텅C늘림,'SO멍텅(실측)'!J15)</f>
        <v>0</v>
      </c>
      <c r="Q15" s="4">
        <f>IF(S15&gt;0,'SO멍텅(실측)'!K15+SO멍텅C늘림,'SO멍텅(실측)'!K15)</f>
        <v>0</v>
      </c>
      <c r="R15" s="4">
        <f>IF(ISNUMBER('SO멍텅(실측)'!L15),'SO멍텅(실측)'!L15+SO멍텅제작!AO15+SO멍텅A늘림,0)</f>
        <v>0</v>
      </c>
      <c r="S15" s="4">
        <f>IF(ISNUMBER('SO멍텅(실측)'!M15),'SO멍텅(실측)'!M15+SO멍텅제작!AP15+SO멍텅A늘림,0)</f>
        <v>0</v>
      </c>
      <c r="T15" s="4">
        <f>'SO멍텅(실측)'!N15-SO멍텅기둥차감</f>
        <v>2102</v>
      </c>
      <c r="U15" s="4">
        <f>'SO멍텅(실측)'!O15-SO멍텅기둥차감</f>
        <v>2097</v>
      </c>
      <c r="V15" s="4">
        <f>'SO멍텅(실측)'!P15-SO멍텅기둥차감</f>
        <v>2099</v>
      </c>
      <c r="W15" s="4">
        <f>'SO멍텅(실측)'!Q15-SO멍텅기둥차감</f>
        <v>2097</v>
      </c>
      <c r="X15" s="4">
        <f>IF(ISNUMBER('SO멍텅(실측)'!R15),IF(Y15&gt;0,'SO멍텅(실측)'!R15+SO멍텅U늘림,'SO멍텅(실측)'!R15+1.2),0)</f>
        <v>0</v>
      </c>
      <c r="Y15" s="4">
        <f>IF(OR(멍텅G="", 멍텅G=0),IF(ISNUMBER('SO멍텅(실측)'!S15),IF('SO멍텅(실측)'!S15+SO멍텅A늘림+MAX(AO15,AP15)&gt;9,'SO멍텅(실측)'!S15+SO멍텅A늘림+MAX(AO15,AP15),'SO멍텅(실측)'!S15+SO멍텅A늘림+MAX(AO15,AP15)),0),SO멍텅G)</f>
        <v>0</v>
      </c>
      <c r="Z15" s="4">
        <f>'SO멍텅(실측)'!T15+뒷날개치수더함</f>
        <v>30</v>
      </c>
      <c r="AA15" s="4">
        <f>'SO멍텅(실측)'!U15+뒷날개치수더함</f>
        <v>30</v>
      </c>
      <c r="AB15" s="4">
        <f>'SO멍텅(실측)'!V15+뒷날개치수더함</f>
        <v>33</v>
      </c>
      <c r="AC15" s="13">
        <f>'SO멍텅(실측)'!W15-SO멍텅늘치차감</f>
        <v>10</v>
      </c>
      <c r="AD15" s="13">
        <f>IF(SO멍텅JB하부늘치=1,AC15,'SO멍텅(실측)'!X15-SO멍텅늘치차감)</f>
        <v>10</v>
      </c>
      <c r="AE15" s="13">
        <f>'SO멍텅(실측)'!Y15-SO멍텅늘치차감</f>
        <v>10</v>
      </c>
      <c r="AF15" s="13">
        <f>IF(SO멍텅JB하부늘치=1,AE15,'SO멍텅(실측)'!Z15-SO멍텅늘치차감)</f>
        <v>10</v>
      </c>
      <c r="AG15" s="11" t="str">
        <f t="shared" si="13"/>
        <v>872*466.4</v>
      </c>
      <c r="AH15" s="12" t="str">
        <f t="shared" si="14"/>
        <v>2102*425.4</v>
      </c>
      <c r="AI15" s="10" t="str">
        <f t="shared" si="15"/>
        <v>2099*471.4</v>
      </c>
      <c r="AJ15" s="4">
        <f>IF('SO멍텅(실측)'!AA15&gt;5,'SO멍텅(실측)'!AA15+뒷날개치수더함,'SO멍텅(실측)'!AA15)</f>
        <v>20</v>
      </c>
      <c r="AK15" s="4">
        <f>'SO멍텅(실측)'!AB15</f>
        <v>10</v>
      </c>
      <c r="AL15" s="4">
        <f>'SO멍텅(실측)'!AC15</f>
        <v>10</v>
      </c>
      <c r="AM15" s="31">
        <f>IF('SO멍텅(실측)'!AD15&gt;0,'SO멍텅(실측)'!AD15-'SO멍텅(실측)'!T15+1.2,0)</f>
        <v>0</v>
      </c>
      <c r="AN15" s="31">
        <f>IF('SO멍텅(실측)'!AE15&gt;0,'SO멍텅(실측)'!AE15-'SO멍텅(실측)'!T15+1.2,0)</f>
        <v>0</v>
      </c>
      <c r="AO15" s="3">
        <f>IF(AND(ISNUMBER('SO멍텅(실측)'!M15),ISNUMBER('SO멍텅(실측)'!L15)),IF(ISNUMBER('SO멍텅(실측)'!L15),IF(9-MIN('SO멍텅(실측)'!L15+SO멍텅A늘림,'SO멍텅(실측)'!M15+SO멍텅A늘림)&lt;AQ15,AQ15,9-MIN('SO멍텅(실측)'!L15+SO멍텅A늘림,'SO멍텅(실측)'!M15+SO멍텅A늘림) + AQ15 ),0),IF(ISNUMBER('SO멍텅(실측)'!L15),IF(9-'SO멍텅(실측)'!L15-SO멍텅A늘림+AQ15&lt;AQ15,AQ15,9-'SO멍텅(실측)'!L15-SO멍텅A늘림+AQ15),0))</f>
        <v>0</v>
      </c>
      <c r="AP15" s="3">
        <f>IF(AND(ISNUMBER('SO멍텅(실측)'!L15),ISNUMBER('SO멍텅(실측)'!M15)),IF(ISNUMBER('SO멍텅(실측)'!M15),IF(9-MIN('SO멍텅(실측)'!M15+SO멍텅A늘림,'SO멍텅(실측)'!L15+SO멍텅A늘림)&lt;AQ15,AQ15,9-MIN('SO멍텅(실측)'!M15+SO멍텅A늘림,'SO멍텅(실측)'!L15+SO멍텅A늘림) + AQ15 ),0),IF(ISNUMBER('SO멍텅(실측)'!M15),IF(9-'SO멍텅(실측)'!M15-SO멍텅A늘림+AQ15&lt;AQ15,AQ15,9-'SO멍텅(실측)'!M15-SO멍텅A늘림+AQ15),0))</f>
        <v>0</v>
      </c>
      <c r="AQ15" s="16"/>
      <c r="AR15" s="17">
        <f t="shared" si="16"/>
        <v>5.6812745884336255</v>
      </c>
      <c r="AS15" s="17">
        <f t="shared" si="17"/>
        <v>5.1163283863607205</v>
      </c>
      <c r="AT15" s="36">
        <f t="shared" si="18"/>
        <v>8.9222861666769404E-2</v>
      </c>
      <c r="AU15" s="36">
        <f t="shared" si="19"/>
        <v>-0.27877872903928846</v>
      </c>
      <c r="AV15" s="46" t="str">
        <f t="shared" si="20"/>
        <v>JD비대칭</v>
      </c>
      <c r="AW15" s="3">
        <f t="shared" si="21"/>
        <v>872</v>
      </c>
      <c r="AX15" s="3">
        <f t="shared" si="22"/>
        <v>466.4</v>
      </c>
      <c r="AY15" s="3">
        <f t="shared" si="23"/>
        <v>425.4</v>
      </c>
      <c r="AZ15" s="3">
        <f t="shared" si="24"/>
        <v>2102</v>
      </c>
      <c r="BA15" s="3">
        <f t="shared" si="25"/>
        <v>471.4</v>
      </c>
      <c r="BB15" s="3">
        <f t="shared" si="26"/>
        <v>2099</v>
      </c>
      <c r="BC15">
        <f t="shared" si="27"/>
        <v>2</v>
      </c>
      <c r="BD15">
        <f t="shared" si="28"/>
        <v>9</v>
      </c>
      <c r="BE15" s="79">
        <f t="shared" si="29"/>
        <v>0</v>
      </c>
      <c r="BF15" s="83">
        <f>IF(소장="손상민",'SO멍텅(실측)'!AF15,0)</f>
        <v>0</v>
      </c>
    </row>
    <row r="16" spans="1:58" ht="30.75" customHeight="1" x14ac:dyDescent="0.3">
      <c r="A16" s="4">
        <f>'SO멍텅(실측)'!A16</f>
        <v>0</v>
      </c>
      <c r="B16" s="4" t="str">
        <f>'SO멍텅(실측)'!B16&amp;"F"</f>
        <v>1F</v>
      </c>
      <c r="C16" s="4">
        <f>'SO멍텅(실측)'!C16-SO멍텅OP</f>
        <v>411</v>
      </c>
      <c r="D16" s="4">
        <f>'SO멍텅(실측)'!D16-SO멍텅OP</f>
        <v>384</v>
      </c>
      <c r="E16" s="4">
        <f>'SO멍텅(실측)'!E16-SO멍텅R</f>
        <v>886</v>
      </c>
      <c r="F16" s="4">
        <f>'SO멍텅(실측)'!F16+MAX(AO16,AP16)+IF(BE16=1,AC16,0)+SO멍텅JBJD늘림치수</f>
        <v>501</v>
      </c>
      <c r="G16" s="4">
        <f>'SO멍텅(실측)'!G16+MAX(AO16,AP16)+IF(BE16=1,AE16,0)+SO멍텅JBJD늘림치수</f>
        <v>544</v>
      </c>
      <c r="H16" s="4">
        <f>'SO멍텅(실측)'!H16+AO16+IF(BE16=1,AC16,0)+SO멍텅JB강제키움+SO멍텅JBJD늘림치수</f>
        <v>503</v>
      </c>
      <c r="I16" s="4">
        <f>'SO멍텅(실측)'!H16+AO16+IF(BE16=1,AD16,0)+SO멍텅JB강제키움+SO멍텅JBJD늘림치수-IF(SO멍텅JB하부늘치=1,'SO멍텅(실측)'!W16-'SO멍텅(실측)'!X16,0)</f>
        <v>503</v>
      </c>
      <c r="J16" s="4">
        <f>'SO멍텅(실측)'!I16+AP16+IF(BE16=1,AE16,0)+SO멍텅JB강제키움+SO멍텅JBJD늘림치수</f>
        <v>546</v>
      </c>
      <c r="K16" s="4">
        <f>'SO멍텅(실측)'!I16+AP16+IF(BE16=1,AF16,0)+SO멍텅JB강제키움+SO멍텅JBJD늘림치수-IF(SO멍텅JB하부늘치=1,'SO멍텅(실측)'!Y16-'SO멍텅(실측)'!Z16,0)</f>
        <v>549</v>
      </c>
      <c r="L16" s="91">
        <f t="shared" si="9"/>
        <v>-38</v>
      </c>
      <c r="M16" s="88">
        <f t="shared" si="10"/>
        <v>-38</v>
      </c>
      <c r="N16" s="4">
        <f t="shared" si="11"/>
        <v>23.5</v>
      </c>
      <c r="O16" s="4">
        <f t="shared" si="12"/>
        <v>23.5</v>
      </c>
      <c r="P16" s="4">
        <f>IF(R16&gt;0,'SO멍텅(실측)'!J16+SO멍텅C늘림,'SO멍텅(실측)'!J16+1)</f>
        <v>25</v>
      </c>
      <c r="Q16" s="4">
        <f>IF(S16&gt;0,'SO멍텅(실측)'!K16+SO멍텅C늘림,'SO멍텅(실측)'!K16+1)</f>
        <v>25</v>
      </c>
      <c r="R16" s="4">
        <f>IF(ISNUMBER('SO멍텅(실측)'!L16),'SO멍텅(실측)'!L16+SO멍텅제작!AO16+SO멍텅A늘림,0)</f>
        <v>9</v>
      </c>
      <c r="S16" s="4">
        <f>IF(ISNUMBER('SO멍텅(실측)'!M16),'SO멍텅(실측)'!M16+SO멍텅제작!AP16+SO멍텅A늘림,0)</f>
        <v>18</v>
      </c>
      <c r="T16" s="4">
        <f>'SO멍텅(실측)'!N16-SO멍텅기둥차감</f>
        <v>2098</v>
      </c>
      <c r="U16" s="4">
        <f>'SO멍텅(실측)'!O16-SO멍텅기둥차감</f>
        <v>2094</v>
      </c>
      <c r="V16" s="4">
        <f>'SO멍텅(실측)'!P16-SO멍텅기둥차감</f>
        <v>2097</v>
      </c>
      <c r="W16" s="4">
        <f>'SO멍텅(실측)'!Q16-SO멍텅기둥차감</f>
        <v>2093</v>
      </c>
      <c r="X16" s="4">
        <f>IF(ISNUMBER('SO멍텅(실측)'!R16),IF(Y16&gt;0,'SO멍텅(실측)'!R16+SO멍텅U늘림,'SO멍텅(실측)'!R16+1.2),0)</f>
        <v>25</v>
      </c>
      <c r="Y16" s="4">
        <f>IF(OR(멍텅G="", 멍텅G=0),IF(ISNUMBER('SO멍텅(실측)'!S16),IF('SO멍텅(실측)'!S16+SO멍텅A늘림+MAX(AO16,AP16)&gt;9,'SO멍텅(실측)'!S16+SO멍텅A늘림+MAX(AO16,AP16),'SO멍텅(실측)'!S16+SO멍텅A늘림+MAX(AO16,AP16)),0),SO멍텅G)</f>
        <v>13</v>
      </c>
      <c r="Z16" s="4">
        <f>'SO멍텅(실측)'!T16+뒷날개치수더함</f>
        <v>30</v>
      </c>
      <c r="AA16" s="4">
        <f>'SO멍텅(실측)'!U16+뒷날개치수더함</f>
        <v>30</v>
      </c>
      <c r="AB16" s="4">
        <f>'SO멍텅(실측)'!V16+뒷날개치수더함</f>
        <v>33</v>
      </c>
      <c r="AC16" s="13">
        <f>'SO멍텅(실측)'!W16-SO멍텅늘치차감</f>
        <v>15</v>
      </c>
      <c r="AD16" s="13">
        <f>IF(SO멍텅JB하부늘치=1,AC16,'SO멍텅(실측)'!X16-SO멍텅늘치차감)</f>
        <v>15</v>
      </c>
      <c r="AE16" s="13">
        <f>'SO멍텅(실측)'!Y16-SO멍텅늘치차감</f>
        <v>10</v>
      </c>
      <c r="AF16" s="13">
        <f>IF(SO멍텅JB하부늘치=1,AE16,'SO멍텅(실측)'!Z16-SO멍텅늘치차감)</f>
        <v>10</v>
      </c>
      <c r="AG16" s="11" t="str">
        <f t="shared" si="13"/>
        <v>933*622.2</v>
      </c>
      <c r="AH16" s="12" t="str">
        <f t="shared" si="14"/>
        <v>2098*577.2</v>
      </c>
      <c r="AI16" s="10" t="str">
        <f t="shared" si="15"/>
        <v>2097*630.2</v>
      </c>
      <c r="AJ16" s="4">
        <f>IF('SO멍텅(실측)'!AA16&gt;5,'SO멍텅(실측)'!AA16+뒷날개치수더함,'SO멍텅(실측)'!AA16)</f>
        <v>20</v>
      </c>
      <c r="AK16" s="4">
        <f>'SO멍텅(실측)'!AB16</f>
        <v>10</v>
      </c>
      <c r="AL16" s="4">
        <f>'SO멍텅(실측)'!AC16</f>
        <v>10</v>
      </c>
      <c r="AM16" s="31">
        <f>IF('SO멍텅(실측)'!AD16&gt;0,'SO멍텅(실측)'!AD16-'SO멍텅(실측)'!T16+1.2,0)</f>
        <v>0</v>
      </c>
      <c r="AN16" s="31">
        <f>IF('SO멍텅(실측)'!AE16&gt;0,'SO멍텅(실측)'!AE16-'SO멍텅(실측)'!T16+1.2,0)</f>
        <v>0</v>
      </c>
      <c r="AO16" s="3">
        <f>IF(AND(ISNUMBER('SO멍텅(실측)'!M16),ISNUMBER('SO멍텅(실측)'!L16)),IF(ISNUMBER('SO멍텅(실측)'!L16),IF(9-MIN('SO멍텅(실측)'!L16+SO멍텅A늘림,'SO멍텅(실측)'!M16+SO멍텅A늘림)&lt;AQ16,AQ16,9-MIN('SO멍텅(실측)'!L16+SO멍텅A늘림,'SO멍텅(실측)'!M16+SO멍텅A늘림) + AQ16 ),0),IF(ISNUMBER('SO멍텅(실측)'!L16),IF(9-'SO멍텅(실측)'!L16-SO멍텅A늘림+AQ16&lt;AQ16,AQ16,9-'SO멍텅(실측)'!L16-SO멍텅A늘림+AQ16),0))</f>
        <v>3</v>
      </c>
      <c r="AP16" s="3">
        <f>IF(AND(ISNUMBER('SO멍텅(실측)'!L16),ISNUMBER('SO멍텅(실측)'!M16)),IF(ISNUMBER('SO멍텅(실측)'!M16),IF(9-MIN('SO멍텅(실측)'!M16+SO멍텅A늘림,'SO멍텅(실측)'!L16+SO멍텅A늘림)&lt;AQ16,AQ16,9-MIN('SO멍텅(실측)'!M16+SO멍텅A늘림,'SO멍텅(실측)'!L16+SO멍텅A늘림) + AQ16 ),0),IF(ISNUMBER('SO멍텅(실측)'!M16),IF(9-'SO멍텅(실측)'!M16-SO멍텅A늘림+AQ16&lt;AQ16,AQ16,9-'SO멍텅(실측)'!M16-SO멍텅A늘림+AQ16),0))</f>
        <v>3</v>
      </c>
      <c r="AQ16" s="16"/>
      <c r="AR16" s="17">
        <f t="shared" si="16"/>
        <v>5.18927316406897</v>
      </c>
      <c r="AS16" s="17">
        <f t="shared" si="17"/>
        <v>4.7810740411468489</v>
      </c>
      <c r="AT16" s="36">
        <f t="shared" si="18"/>
        <v>6.1621318268009873E-2</v>
      </c>
      <c r="AU16" s="36">
        <f t="shared" si="19"/>
        <v>-0.10016317451686518</v>
      </c>
      <c r="AV16" s="46" t="str">
        <f t="shared" si="20"/>
        <v>JD비대칭</v>
      </c>
      <c r="AW16" s="3">
        <f t="shared" si="21"/>
        <v>933</v>
      </c>
      <c r="AX16" s="3">
        <f t="shared" si="22"/>
        <v>622.20000000000005</v>
      </c>
      <c r="AY16" s="3">
        <f t="shared" si="23"/>
        <v>577.20000000000005</v>
      </c>
      <c r="AZ16" s="3">
        <f t="shared" si="24"/>
        <v>2098</v>
      </c>
      <c r="BA16" s="3">
        <f t="shared" si="25"/>
        <v>630.20000000000005</v>
      </c>
      <c r="BB16" s="3">
        <f t="shared" si="26"/>
        <v>2097</v>
      </c>
      <c r="BC16">
        <f t="shared" si="27"/>
        <v>2</v>
      </c>
      <c r="BD16">
        <f t="shared" si="28"/>
        <v>-4</v>
      </c>
      <c r="BE16" s="79">
        <f t="shared" si="29"/>
        <v>0</v>
      </c>
      <c r="BF16" s="83">
        <f>IF(소장="손상민",'SO멍텅(실측)'!AF16,0)</f>
        <v>0</v>
      </c>
    </row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:E16">
    <cfRule type="cellIs" dxfId="35" priority="23" operator="greaterThan">
      <formula>1210</formula>
    </cfRule>
  </conditionalFormatting>
  <conditionalFormatting sqref="F7:F16">
    <cfRule type="cellIs" dxfId="34" priority="21" operator="notEqual">
      <formula>G7</formula>
    </cfRule>
  </conditionalFormatting>
  <conditionalFormatting sqref="G7:G16">
    <cfRule type="cellIs" dxfId="33" priority="20" operator="notEqual">
      <formula>F7</formula>
    </cfRule>
  </conditionalFormatting>
  <conditionalFormatting sqref="AJ7:AL16">
    <cfRule type="cellIs" dxfId="32" priority="11" operator="greaterThan">
      <formula>1.2</formula>
    </cfRule>
  </conditionalFormatting>
  <conditionalFormatting sqref="L7:M16">
    <cfRule type="cellIs" dxfId="31" priority="7" operator="greaterThan">
      <formula>500</formula>
    </cfRule>
  </conditionalFormatting>
  <conditionalFormatting sqref="J7:J16">
    <cfRule type="cellIs" dxfId="30" priority="5" operator="notEqual">
      <formula>K7</formula>
    </cfRule>
  </conditionalFormatting>
  <conditionalFormatting sqref="K7:K16 I7:I16">
    <cfRule type="cellIs" dxfId="29" priority="4" operator="notEqual">
      <formula>H7</formula>
    </cfRule>
  </conditionalFormatting>
  <conditionalFormatting sqref="H7:H16">
    <cfRule type="cellIs" dxfId="28" priority="3" operator="notEqual">
      <formula>I7</formula>
    </cfRule>
  </conditionalFormatting>
  <conditionalFormatting sqref="AC7:AF16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activeCell="J3" sqref="J3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67" t="str">
        <f>정보!H2</f>
        <v>(4CO와이드) 실측서 ( 서울 종로구 인산빌딩 SO ) _김상훈소장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67"/>
      <c r="AC2" s="167"/>
      <c r="AD2" s="167"/>
      <c r="AE2" s="167"/>
      <c r="AF2" s="167"/>
      <c r="AG2" s="167"/>
      <c r="AH2" s="167"/>
      <c r="AI2" s="167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서울 종로구 인산빌딩 SO,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75" t="s">
        <v>98</v>
      </c>
      <c r="P3" s="175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67"/>
      <c r="AC3" s="167"/>
      <c r="AD3" s="167"/>
      <c r="AE3" s="167"/>
      <c r="AF3" s="167"/>
      <c r="AG3" s="167"/>
      <c r="AH3" s="167"/>
      <c r="AI3" s="167"/>
      <c r="AJ3" s="34"/>
      <c r="AK3" s="34"/>
      <c r="AL3" s="34"/>
      <c r="AM3" s="34"/>
    </row>
    <row r="4" spans="1:48" ht="33" customHeight="1" x14ac:dyDescent="0.3">
      <c r="A4" s="304" t="str">
        <f>정보!B15</f>
        <v>제작치수 반영 : MH + (0), JB/JD +(5 ),  늘어난치수K -(0),  C + (0),   U + (0), OP1/OP3 - (0), R - (0),  기둥차감 - (0), A + (3)</v>
      </c>
      <c r="B4" s="304"/>
      <c r="C4" s="304"/>
      <c r="D4" s="304"/>
      <c r="E4" s="304"/>
      <c r="F4" s="304"/>
      <c r="G4" s="304"/>
      <c r="H4" s="304"/>
      <c r="I4" s="304"/>
      <c r="J4" s="304"/>
      <c r="K4" s="304"/>
      <c r="L4" s="304"/>
      <c r="M4" s="304"/>
      <c r="N4" s="304"/>
      <c r="O4" s="304"/>
      <c r="P4" s="304"/>
      <c r="Q4" s="304"/>
      <c r="R4" s="304"/>
      <c r="S4" s="304"/>
      <c r="T4" s="304"/>
      <c r="U4" s="304"/>
      <c r="V4" s="304"/>
      <c r="W4" s="304"/>
      <c r="X4" s="163"/>
      <c r="Y4" s="163"/>
      <c r="Z4" s="163"/>
      <c r="AA4" s="163"/>
      <c r="AB4" s="163"/>
      <c r="AC4" s="163"/>
      <c r="AD4" s="163"/>
      <c r="AE4" s="163"/>
      <c r="AF4" s="163"/>
      <c r="AG4" s="165"/>
      <c r="AH4" s="174" t="s">
        <v>215</v>
      </c>
      <c r="AI4" s="174"/>
      <c r="AJ4" s="75"/>
      <c r="AK4" s="9"/>
      <c r="AL4" s="9"/>
      <c r="AM4" s="9"/>
    </row>
    <row r="5" spans="1:48" ht="25.9" customHeight="1" x14ac:dyDescent="0.3">
      <c r="A5" s="168" t="s">
        <v>0</v>
      </c>
      <c r="B5" s="168" t="s">
        <v>1</v>
      </c>
      <c r="C5" s="168" t="s">
        <v>2</v>
      </c>
      <c r="D5" s="168" t="s">
        <v>24</v>
      </c>
      <c r="E5" s="168" t="s">
        <v>254</v>
      </c>
      <c r="F5" s="168" t="s">
        <v>239</v>
      </c>
      <c r="G5" s="168" t="s">
        <v>255</v>
      </c>
      <c r="H5" s="168" t="s">
        <v>18</v>
      </c>
      <c r="I5" s="168" t="s">
        <v>4</v>
      </c>
      <c r="J5" s="168" t="s">
        <v>5</v>
      </c>
      <c r="K5" s="168" t="s">
        <v>256</v>
      </c>
      <c r="L5" s="168" t="s">
        <v>6</v>
      </c>
      <c r="M5" s="168" t="s">
        <v>7</v>
      </c>
      <c r="N5" s="168" t="s">
        <v>47</v>
      </c>
      <c r="O5" s="168" t="s">
        <v>9</v>
      </c>
      <c r="P5" s="168" t="s">
        <v>12</v>
      </c>
      <c r="Q5" s="168" t="s">
        <v>13</v>
      </c>
      <c r="R5" s="168" t="s">
        <v>10</v>
      </c>
      <c r="S5" s="168" t="s">
        <v>11</v>
      </c>
      <c r="T5" s="168" t="s">
        <v>14</v>
      </c>
      <c r="U5" s="168" t="s">
        <v>15</v>
      </c>
      <c r="V5" s="168" t="s">
        <v>16</v>
      </c>
      <c r="W5" s="168" t="s">
        <v>17</v>
      </c>
      <c r="X5" s="168" t="s">
        <v>19</v>
      </c>
      <c r="Y5" s="169" t="s">
        <v>48</v>
      </c>
      <c r="Z5" s="169" t="s">
        <v>22</v>
      </c>
      <c r="AA5" s="169" t="s">
        <v>23</v>
      </c>
      <c r="AB5" s="168" t="s">
        <v>21</v>
      </c>
      <c r="AC5" s="168"/>
      <c r="AD5" s="168"/>
      <c r="AE5" s="168"/>
      <c r="AF5" s="170" t="s">
        <v>91</v>
      </c>
      <c r="AG5" s="170" t="s">
        <v>92</v>
      </c>
      <c r="AH5" s="172" t="s">
        <v>212</v>
      </c>
      <c r="AI5" s="173"/>
      <c r="AJ5" s="169" t="s">
        <v>199</v>
      </c>
      <c r="AK5" s="169" t="s">
        <v>203</v>
      </c>
      <c r="AL5" s="169"/>
      <c r="AM5" s="169"/>
    </row>
    <row r="6" spans="1:48" ht="44.25" customHeight="1" x14ac:dyDescent="0.3">
      <c r="A6" s="168"/>
      <c r="B6" s="168"/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/>
      <c r="X6" s="168"/>
      <c r="Y6" s="168"/>
      <c r="Z6" s="169"/>
      <c r="AA6" s="169"/>
      <c r="AB6" s="8" t="s">
        <v>43</v>
      </c>
      <c r="AC6" s="8" t="s">
        <v>44</v>
      </c>
      <c r="AD6" s="8" t="s">
        <v>45</v>
      </c>
      <c r="AE6" s="8" t="s">
        <v>46</v>
      </c>
      <c r="AF6" s="171"/>
      <c r="AG6" s="171"/>
      <c r="AH6" s="74" t="s">
        <v>213</v>
      </c>
      <c r="AI6" s="74" t="s">
        <v>214</v>
      </c>
      <c r="AJ6" s="168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activeCell="A3" sqref="A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177" t="str">
        <f>정보!I2</f>
        <v>(4CO와이드) 제작변환 ( 서울 종로구 인산빌딩 SO ) _김상훈소장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 s="177"/>
      <c r="AS1" s="177"/>
      <c r="AT1" s="177"/>
      <c r="AU1" s="177"/>
      <c r="AV1" s="177"/>
      <c r="AW1" s="177"/>
      <c r="AX1" s="37"/>
      <c r="AY1" s="37"/>
    </row>
    <row r="2" spans="1:66" ht="29.25" customHeight="1" x14ac:dyDescent="0.3">
      <c r="A2" s="97" t="s">
        <v>96</v>
      </c>
      <c r="B2" s="139">
        <v>0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0</v>
      </c>
      <c r="J2" s="1"/>
      <c r="K2" s="1"/>
      <c r="L2" s="218" t="s">
        <v>113</v>
      </c>
      <c r="M2" s="219"/>
      <c r="N2" s="219"/>
      <c r="O2" s="219"/>
      <c r="P2" s="219"/>
      <c r="Q2" s="219"/>
      <c r="R2" s="220">
        <v>1</v>
      </c>
      <c r="S2" s="220"/>
      <c r="T2" s="190" t="s">
        <v>89</v>
      </c>
      <c r="U2" s="191"/>
      <c r="V2" s="192">
        <v>0</v>
      </c>
      <c r="W2" s="192"/>
      <c r="X2" s="284" t="s">
        <v>83</v>
      </c>
      <c r="Y2" s="199"/>
      <c r="Z2" s="199"/>
      <c r="AA2" s="195">
        <v>0</v>
      </c>
      <c r="AB2" s="195"/>
      <c r="AC2" s="323">
        <f>정보!B5</f>
        <v>0</v>
      </c>
      <c r="AD2" s="324"/>
      <c r="AE2" s="324"/>
      <c r="AF2" s="324"/>
      <c r="AG2" s="324"/>
      <c r="AH2" s="324"/>
      <c r="AI2" s="324"/>
      <c r="AJ2" s="324"/>
      <c r="AK2" s="324"/>
      <c r="AL2" s="325"/>
      <c r="AM2" s="190" t="s">
        <v>90</v>
      </c>
      <c r="AN2" s="191"/>
      <c r="AO2" s="342">
        <v>0</v>
      </c>
      <c r="AP2" s="342"/>
      <c r="AQ2" s="1"/>
      <c r="AR2" s="320" t="s">
        <v>229</v>
      </c>
      <c r="AS2" s="321"/>
      <c r="AT2" s="322">
        <v>0</v>
      </c>
      <c r="AU2" s="322"/>
      <c r="AV2" s="1"/>
      <c r="AW2" s="1"/>
    </row>
    <row r="3" spans="1:66" ht="24.75" customHeight="1" x14ac:dyDescent="0.3">
      <c r="A3" s="28" t="str">
        <f>'4CO와이드(실측)'!A3</f>
        <v>현장명 : 서울 종로구 인산빌딩 SO,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19" t="s">
        <v>228</v>
      </c>
      <c r="M3" s="219"/>
      <c r="N3" s="219"/>
      <c r="O3" s="219"/>
      <c r="P3" s="219"/>
      <c r="Q3" s="219"/>
      <c r="R3" s="221">
        <v>5</v>
      </c>
      <c r="S3" s="221"/>
      <c r="T3" s="191" t="s">
        <v>77</v>
      </c>
      <c r="U3" s="191"/>
      <c r="V3" s="198">
        <v>0</v>
      </c>
      <c r="W3" s="198"/>
      <c r="X3" s="199" t="s">
        <v>227</v>
      </c>
      <c r="Y3" s="199"/>
      <c r="Z3" s="199"/>
      <c r="AA3" s="200">
        <f>BN7</f>
        <v>1</v>
      </c>
      <c r="AB3" s="200"/>
      <c r="AC3" s="199" t="s">
        <v>78</v>
      </c>
      <c r="AD3" s="199"/>
      <c r="AE3" s="326">
        <v>3</v>
      </c>
      <c r="AF3" s="326"/>
      <c r="AJ3" s="179"/>
      <c r="AK3" s="179"/>
      <c r="AL3" s="3"/>
      <c r="AM3" s="168" t="s">
        <v>73</v>
      </c>
      <c r="AN3" s="168"/>
      <c r="AO3" s="114">
        <v>5</v>
      </c>
      <c r="AP3" s="4" t="s">
        <v>74</v>
      </c>
      <c r="AQ3" s="115">
        <v>4</v>
      </c>
      <c r="AR3" s="226" t="s">
        <v>230</v>
      </c>
      <c r="AS3" s="226"/>
      <c r="AT3" s="343" t="s">
        <v>328</v>
      </c>
      <c r="AU3" s="343"/>
      <c r="AV3" s="232">
        <f>AZ7</f>
        <v>0</v>
      </c>
      <c r="AW3" s="233"/>
      <c r="BN3" s="178" t="s">
        <v>253</v>
      </c>
    </row>
    <row r="4" spans="1:66" ht="33" customHeight="1" x14ac:dyDescent="0.3">
      <c r="A4" s="164" t="str">
        <f>정보!B15</f>
        <v>제작치수 반영 : MH + (0), JB/JD +(5 ),  늘어난치수K -(0),  C + (0),   U + (0), OP1/OP3 - (0), R - (0),  기둥차감 - (0), A + (3)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164"/>
      <c r="AG4" s="164"/>
      <c r="AH4" s="344" t="s">
        <v>314</v>
      </c>
      <c r="AI4" s="344"/>
      <c r="AJ4" s="344">
        <f>'4CO와이드(실측)'!AB7</f>
        <v>0</v>
      </c>
      <c r="AK4" s="344"/>
      <c r="AL4" s="223">
        <f ca="1">TODAY()</f>
        <v>45223</v>
      </c>
      <c r="AM4" s="163"/>
      <c r="AN4" s="163"/>
      <c r="AO4" s="9"/>
      <c r="AP4" s="222" t="s">
        <v>117</v>
      </c>
      <c r="AQ4" s="222"/>
      <c r="AR4" s="174" t="s">
        <v>215</v>
      </c>
      <c r="AS4" s="174"/>
      <c r="AT4" s="84"/>
      <c r="AU4" s="230" t="s">
        <v>235</v>
      </c>
      <c r="AV4" s="230"/>
      <c r="AW4" s="231"/>
      <c r="BN4" s="179"/>
    </row>
    <row r="5" spans="1:66" ht="25.9" customHeight="1" x14ac:dyDescent="0.3">
      <c r="A5" s="168" t="s">
        <v>0</v>
      </c>
      <c r="B5" s="168" t="s">
        <v>1</v>
      </c>
      <c r="C5" s="168" t="s">
        <v>2</v>
      </c>
      <c r="D5" s="168" t="s">
        <v>2</v>
      </c>
      <c r="E5" s="168" t="s">
        <v>259</v>
      </c>
      <c r="F5" s="169" t="s">
        <v>261</v>
      </c>
      <c r="G5" s="168" t="s">
        <v>260</v>
      </c>
      <c r="H5" s="168" t="s">
        <v>18</v>
      </c>
      <c r="I5" s="207" t="s">
        <v>41</v>
      </c>
      <c r="J5" s="271" t="s">
        <v>42</v>
      </c>
      <c r="K5" s="271" t="s">
        <v>262</v>
      </c>
      <c r="L5" s="204" t="s">
        <v>105</v>
      </c>
      <c r="M5" s="204" t="s">
        <v>106</v>
      </c>
      <c r="N5" s="208" t="s">
        <v>107</v>
      </c>
      <c r="O5" s="208" t="s">
        <v>108</v>
      </c>
      <c r="P5" s="312" t="s">
        <v>296</v>
      </c>
      <c r="Q5" s="312" t="s">
        <v>297</v>
      </c>
      <c r="R5" s="210" t="s">
        <v>71</v>
      </c>
      <c r="S5" s="210" t="s">
        <v>72</v>
      </c>
      <c r="T5" s="168" t="s">
        <v>8</v>
      </c>
      <c r="U5" s="168" t="s">
        <v>9</v>
      </c>
      <c r="V5" s="168" t="s">
        <v>12</v>
      </c>
      <c r="W5" s="168" t="s">
        <v>13</v>
      </c>
      <c r="X5" s="168" t="s">
        <v>10</v>
      </c>
      <c r="Y5" s="168" t="s">
        <v>11</v>
      </c>
      <c r="Z5" s="206" t="s">
        <v>14</v>
      </c>
      <c r="AA5" s="206" t="s">
        <v>15</v>
      </c>
      <c r="AB5" s="207" t="s">
        <v>16</v>
      </c>
      <c r="AC5" s="207" t="s">
        <v>17</v>
      </c>
      <c r="AD5" s="168" t="s">
        <v>19</v>
      </c>
      <c r="AE5" s="168" t="s">
        <v>20</v>
      </c>
      <c r="AF5" s="169" t="s">
        <v>22</v>
      </c>
      <c r="AG5" s="169" t="s">
        <v>23</v>
      </c>
      <c r="AH5" s="196" t="s">
        <v>79</v>
      </c>
      <c r="AI5" s="197"/>
      <c r="AJ5" s="197"/>
      <c r="AK5" s="197"/>
      <c r="AL5" s="188" t="s">
        <v>91</v>
      </c>
      <c r="AM5" s="188" t="s">
        <v>92</v>
      </c>
      <c r="AN5" s="180" t="s">
        <v>99</v>
      </c>
      <c r="AO5" s="169" t="s">
        <v>61</v>
      </c>
      <c r="AP5" s="169" t="s">
        <v>34</v>
      </c>
      <c r="AQ5" s="169" t="s">
        <v>35</v>
      </c>
      <c r="AR5" s="172" t="s">
        <v>212</v>
      </c>
      <c r="AS5" s="173"/>
      <c r="AT5" s="309" t="s">
        <v>199</v>
      </c>
      <c r="AU5" s="309" t="s">
        <v>204</v>
      </c>
      <c r="AV5" s="309"/>
      <c r="AW5" s="309"/>
      <c r="AX5" s="178" t="s">
        <v>100</v>
      </c>
      <c r="AY5" s="178" t="s">
        <v>101</v>
      </c>
      <c r="AZ5" s="179" t="s">
        <v>80</v>
      </c>
      <c r="BA5" s="183" t="s">
        <v>84</v>
      </c>
      <c r="BB5" s="186" t="s">
        <v>102</v>
      </c>
      <c r="BC5" s="185" t="s">
        <v>94</v>
      </c>
      <c r="BD5" s="185" t="s">
        <v>95</v>
      </c>
      <c r="BE5" s="178" t="s">
        <v>93</v>
      </c>
      <c r="BH5" s="182" t="s">
        <v>28</v>
      </c>
      <c r="BI5" s="182"/>
      <c r="BJ5" s="182" t="s">
        <v>29</v>
      </c>
      <c r="BK5" s="182"/>
      <c r="BL5" s="6" t="s">
        <v>50</v>
      </c>
      <c r="BM5" s="235" t="s">
        <v>104</v>
      </c>
      <c r="BN5" s="234" t="s">
        <v>226</v>
      </c>
    </row>
    <row r="6" spans="1:66" ht="48" customHeight="1" x14ac:dyDescent="0.3">
      <c r="A6" s="168"/>
      <c r="B6" s="168"/>
      <c r="C6" s="168"/>
      <c r="D6" s="168"/>
      <c r="E6" s="168"/>
      <c r="F6" s="168"/>
      <c r="G6" s="168"/>
      <c r="H6" s="168"/>
      <c r="I6" s="207"/>
      <c r="J6" s="271"/>
      <c r="K6" s="271"/>
      <c r="L6" s="205"/>
      <c r="M6" s="205"/>
      <c r="N6" s="209"/>
      <c r="O6" s="209"/>
      <c r="P6" s="313"/>
      <c r="Q6" s="313"/>
      <c r="R6" s="211"/>
      <c r="S6" s="211"/>
      <c r="T6" s="168"/>
      <c r="U6" s="168"/>
      <c r="V6" s="168"/>
      <c r="W6" s="168"/>
      <c r="X6" s="168"/>
      <c r="Y6" s="168"/>
      <c r="Z6" s="206"/>
      <c r="AA6" s="206"/>
      <c r="AB6" s="207"/>
      <c r="AC6" s="207"/>
      <c r="AD6" s="168"/>
      <c r="AE6" s="168"/>
      <c r="AF6" s="169"/>
      <c r="AG6" s="169"/>
      <c r="AH6" s="8" t="s">
        <v>67</v>
      </c>
      <c r="AI6" s="8" t="s">
        <v>68</v>
      </c>
      <c r="AJ6" s="8" t="s">
        <v>69</v>
      </c>
      <c r="AK6" s="8" t="s">
        <v>70</v>
      </c>
      <c r="AL6" s="189"/>
      <c r="AM6" s="189"/>
      <c r="AN6" s="181"/>
      <c r="AO6" s="169"/>
      <c r="AP6" s="168"/>
      <c r="AQ6" s="168"/>
      <c r="AR6" s="74" t="s">
        <v>213</v>
      </c>
      <c r="AS6" s="74" t="s">
        <v>214</v>
      </c>
      <c r="AT6" s="310"/>
      <c r="AU6" s="86" t="s">
        <v>200</v>
      </c>
      <c r="AV6" s="86" t="s">
        <v>201</v>
      </c>
      <c r="AW6" s="86" t="s">
        <v>202</v>
      </c>
      <c r="AX6" s="179"/>
      <c r="AY6" s="179"/>
      <c r="AZ6" s="179"/>
      <c r="BA6" s="184"/>
      <c r="BB6" s="187"/>
      <c r="BC6" s="185"/>
      <c r="BD6" s="185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35"/>
      <c r="BN6" s="234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0</v>
      </c>
      <c r="D7" s="31">
        <f>'4CO와이드(실측)'!D7+CO4와이드MH더함-IF(AND(소장="추영덕",AD7=0),1.2)</f>
        <v>0</v>
      </c>
      <c r="E7" s="31">
        <f>'4CO와이드(실측)'!E7-CO4와이드OP/2</f>
        <v>0</v>
      </c>
      <c r="F7" s="31">
        <f>'4CO와이드(실측)'!F7</f>
        <v>0</v>
      </c>
      <c r="G7" s="31">
        <f>'4CO와이드(실측)'!G7-CO4와이드OP/2</f>
        <v>0</v>
      </c>
      <c r="H7" s="31">
        <f>'4CO와이드(실측)'!H7-CO4와이드R</f>
        <v>0</v>
      </c>
      <c r="I7" s="50">
        <f>'4CO와이드(실측)'!I7+CO4와이드JBJD키움치수+IF(BN7=1,AH7,0)</f>
        <v>5</v>
      </c>
      <c r="J7" s="50">
        <f>'4CO와이드(실측)'!J7+CO4와이드JBJD키움치수+IF(BN7=1,MAX(AH7,AJ7),0)</f>
        <v>5</v>
      </c>
      <c r="K7" s="50">
        <f>'4CO와이드(실측)'!K7+CO4와이드JBJD키움치수+IF(BN7=1,AJ7,0)</f>
        <v>5</v>
      </c>
      <c r="L7" s="50">
        <f>'4CO와이드(실측)'!L7+MAX(AX7,AY7)+CO4와이드JBJD키움치수+IF(BN7=1,AH7,0)</f>
        <v>5</v>
      </c>
      <c r="M7" s="50">
        <f>'4CO와이드(실측)'!L7+MAX(AX7,AY7)+CO4와이드JBJD키움치수+IF(BN7=1,AI7,0)-IF(CO4와이드JB하부늘치=1,'4CO와이드(실측)'!AB7-'4CO와이드(실측)'!AC7,0)</f>
        <v>5</v>
      </c>
      <c r="N7" s="50">
        <f>'4CO와이드(실측)'!M7+MAX(AX7,AY7)+CO4와이드JBJD키움치수+IF(BN7=1,AJ7,0)</f>
        <v>5</v>
      </c>
      <c r="O7" s="50">
        <f>'4CO와이드(실측)'!M7+MAX(AX7,AY7)+CO4와이드JBJD키움치수+IF(BN7=1,AK7,0)-IF(CO4와이드JB하부늘치=1,'4CO와이드(실측)'!AD7-'4CO와이드(실측)'!AE7,0)</f>
        <v>5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>
        <f>ROUNDUP(BA7,1)</f>
        <v>0</v>
      </c>
      <c r="W7" s="137">
        <f>ROUNDUP(BB7,1)</f>
        <v>0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0</v>
      </c>
      <c r="AI7" s="31">
        <f>IF(CO4와이드JB하부늘치=1,AH7,'4CO와이드(실측)'!AC7-CO4와이드늘치)</f>
        <v>0</v>
      </c>
      <c r="AJ7" s="31">
        <f>'4CO와이드(실측)'!AD7-CO4와이드늘치</f>
        <v>0</v>
      </c>
      <c r="AK7" s="31">
        <f>IF(CO4와이드JB하부늘치=1,AJ7,'4CO와이드(실측)'!AE7-CO4와이드늘치)</f>
        <v>0</v>
      </c>
      <c r="AL7" s="31">
        <f xml:space="preserve"> IF(소장&lt;&gt;"손상민",IF('4CO와이드(실측)'!AF7&gt;0,'4CO와이드(실측)'!AF7,C7-1.2),IF('4CO와이드(실측)'!AF7&gt;0,'4CO와이드(실측)'!AF7+1.2,C7) )</f>
        <v>-1.2</v>
      </c>
      <c r="AM7" s="31">
        <f xml:space="preserve"> IF(소장&lt;&gt;"손상민",IF('4CO와이드(실측)'!AG7&gt;0,'4CO와이드(실측)'!AG7,D7-1.2),IF('4CO와이드(실측)'!AG7&gt;0,'4CO와이드(실측)'!AG7+1.2,D7))</f>
        <v>-1.2</v>
      </c>
      <c r="AN7" s="51">
        <f>IF(AE7&gt;0,AE7-MAX(V7,W7),0)</f>
        <v>0</v>
      </c>
      <c r="AO7" s="31" t="str">
        <f t="shared" ref="AO7" si="1">BF7&amp;"*"&amp;BG7</f>
        <v>0*1.4</v>
      </c>
      <c r="AP7" s="31" t="str">
        <f t="shared" ref="AP7" si="2">BI7&amp;"*"&amp;BH7</f>
        <v>-1.2*2.6</v>
      </c>
      <c r="AQ7" s="31" t="str">
        <f t="shared" ref="AQ7" si="3">BK7&amp;"*"&amp;BJ7</f>
        <v>-1.2*2.6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>
        <f>DEGREES(ATAN((H7-(E7+F7+G7))/2/(I7)))</f>
        <v>0</v>
      </c>
      <c r="BA7" s="21">
        <f>ABS(I7-COS(RADIANS(AZ7))*L7)</f>
        <v>0</v>
      </c>
      <c r="BB7" s="21">
        <f>ABS(K7-COS(RADIANS(AZ7))*N7)</f>
        <v>0</v>
      </c>
      <c r="BC7" s="21">
        <f>'4CO와이드(실측)'!P7+AX7</f>
        <v>0</v>
      </c>
      <c r="BD7" s="21">
        <f>'4CO와이드(실측)'!Q7+AX7</f>
        <v>0</v>
      </c>
      <c r="BE7" s="20">
        <f>BA7-MAX(BC7,BD7)</f>
        <v>0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1.4</v>
      </c>
      <c r="BH7" s="41">
        <f>X7+T7+MAX(L7,M7)+AG7-1.2*$AQ$3+IF(BN7=0,MAX(AI7,AH7),0)+IF(X7=0,1.2,0)-IF(AW7=90,2.4,0)</f>
        <v>2.6000000000000005</v>
      </c>
      <c r="BI7" s="41">
        <f>MAX(Z7,AA7)+AL7</f>
        <v>-1.2</v>
      </c>
      <c r="BJ7" s="41">
        <f>Y7+U7+MAX(N7,O7)+AG7-1.2*$AQ$3+IF(BN7=0,MAX(AJ7,AK7),0)+IF(Y7=0,1.2,0)-IF(AW7=90,2.4,0)</f>
        <v>2.6000000000000005</v>
      </c>
      <c r="BK7" s="41">
        <f>MAX(AB7,AC7)+AM7</f>
        <v>-1.2</v>
      </c>
      <c r="BL7" s="6">
        <f>L7-I7-V7</f>
        <v>0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sqref="A1:AD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66" t="str">
        <f>정보!H3</f>
        <v>(4CO멍텅구리) 실측서 ( 서울 종로구 인산빌딩 SO ) _김상훈소장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서울 종로구 인산빌딩 SO,   (재질) : HL 1.2T</v>
      </c>
      <c r="B3" s="2"/>
      <c r="C3" s="2"/>
      <c r="D3" s="2"/>
      <c r="E3" s="2"/>
      <c r="F3" s="2"/>
      <c r="G3" s="2"/>
      <c r="H3" s="2"/>
      <c r="I3" s="2"/>
      <c r="J3" s="238"/>
      <c r="K3" s="238"/>
      <c r="L3" s="247"/>
      <c r="M3" s="247"/>
      <c r="N3" s="248"/>
      <c r="O3" s="248"/>
      <c r="P3" s="249"/>
      <c r="Q3" s="249"/>
      <c r="R3" s="249"/>
      <c r="S3" s="244" t="s">
        <v>97</v>
      </c>
      <c r="T3" s="244"/>
      <c r="U3" s="245"/>
      <c r="V3" s="245"/>
      <c r="W3" s="246"/>
      <c r="X3" s="246"/>
    </row>
    <row r="4" spans="1:42" ht="33" customHeight="1" x14ac:dyDescent="0.3">
      <c r="A4" s="164" t="str">
        <f>정보!B16</f>
        <v>제작치수 반영 : JB/JD +(5 ),  늘어난치수K -(0),  C + (0),  U +(0), OP1/OP3 - (0), R - (0),  기둥차감 - (0), A + (3)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9"/>
      <c r="AD4" s="9"/>
      <c r="AE4" s="174" t="s">
        <v>215</v>
      </c>
      <c r="AF4" s="174"/>
      <c r="AG4" s="81" t="s">
        <v>234</v>
      </c>
    </row>
    <row r="5" spans="1:42" ht="25.9" customHeight="1" x14ac:dyDescent="0.3">
      <c r="A5" s="168" t="s">
        <v>0</v>
      </c>
      <c r="B5" s="168" t="s">
        <v>1</v>
      </c>
      <c r="C5" s="168" t="s">
        <v>263</v>
      </c>
      <c r="D5" s="168" t="s">
        <v>264</v>
      </c>
      <c r="E5" s="168" t="s">
        <v>255</v>
      </c>
      <c r="F5" s="168" t="s">
        <v>18</v>
      </c>
      <c r="G5" s="168" t="s">
        <v>4</v>
      </c>
      <c r="H5" s="168" t="s">
        <v>265</v>
      </c>
      <c r="I5" s="168" t="s">
        <v>266</v>
      </c>
      <c r="J5" s="168" t="s">
        <v>6</v>
      </c>
      <c r="K5" s="168" t="s">
        <v>7</v>
      </c>
      <c r="L5" s="168" t="s">
        <v>8</v>
      </c>
      <c r="M5" s="168" t="s">
        <v>9</v>
      </c>
      <c r="N5" s="168" t="s">
        <v>10</v>
      </c>
      <c r="O5" s="168" t="s">
        <v>11</v>
      </c>
      <c r="P5" s="168" t="s">
        <v>14</v>
      </c>
      <c r="Q5" s="168" t="s">
        <v>15</v>
      </c>
      <c r="R5" s="168" t="s">
        <v>16</v>
      </c>
      <c r="S5" s="168" t="s">
        <v>17</v>
      </c>
      <c r="T5" s="168" t="s">
        <v>19</v>
      </c>
      <c r="U5" s="168" t="s">
        <v>20</v>
      </c>
      <c r="V5" s="239" t="s">
        <v>22</v>
      </c>
      <c r="W5" s="239" t="s">
        <v>23</v>
      </c>
      <c r="X5" s="241" t="s">
        <v>21</v>
      </c>
      <c r="Y5" s="242"/>
      <c r="Z5" s="242"/>
      <c r="AA5" s="243"/>
      <c r="AB5" s="169" t="s">
        <v>203</v>
      </c>
      <c r="AC5" s="169"/>
      <c r="AD5" s="169"/>
      <c r="AE5" s="172" t="s">
        <v>212</v>
      </c>
      <c r="AF5" s="173"/>
      <c r="AG5" s="80" t="s">
        <v>231</v>
      </c>
    </row>
    <row r="6" spans="1:42" ht="47.25" customHeight="1" x14ac:dyDescent="0.3">
      <c r="A6" s="168"/>
      <c r="B6" s="168"/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240"/>
      <c r="W6" s="240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activeCell="Z7" sqref="Z7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6" t="str">
        <f>정보!I3</f>
        <v>(4CO멍텅구리) 제작변환 ( 서울 종로구 인산빌딩 SO ) _김상훈소장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6"/>
      <c r="AN1" s="1"/>
      <c r="AO1" s="1"/>
      <c r="AP1" s="250" t="s">
        <v>75</v>
      </c>
      <c r="AQ1" s="250"/>
      <c r="AR1" s="250"/>
      <c r="AW1" s="24"/>
    </row>
    <row r="2" spans="1:58" ht="28.5" customHeight="1" x14ac:dyDescent="0.3">
      <c r="A2" s="97" t="s">
        <v>85</v>
      </c>
      <c r="B2" s="140">
        <v>0</v>
      </c>
      <c r="C2" s="22"/>
      <c r="D2" s="22"/>
      <c r="E2" s="96" t="s">
        <v>86</v>
      </c>
      <c r="F2" s="116">
        <v>0</v>
      </c>
      <c r="G2" s="1"/>
      <c r="H2" s="1"/>
      <c r="I2" s="1"/>
      <c r="J2" s="214" t="s">
        <v>307</v>
      </c>
      <c r="K2" s="214"/>
      <c r="L2" s="214"/>
      <c r="M2" s="107">
        <v>0</v>
      </c>
      <c r="N2" s="99"/>
      <c r="O2" s="99"/>
      <c r="P2" s="99"/>
      <c r="Q2" s="266" t="s">
        <v>113</v>
      </c>
      <c r="R2" s="266"/>
      <c r="S2" s="266"/>
      <c r="T2" s="266"/>
      <c r="U2" s="261">
        <v>1</v>
      </c>
      <c r="V2" s="261"/>
      <c r="W2" s="258" t="s">
        <v>103</v>
      </c>
      <c r="X2" s="259"/>
      <c r="Y2" s="95">
        <v>0</v>
      </c>
      <c r="Z2" s="258" t="s">
        <v>88</v>
      </c>
      <c r="AA2" s="259"/>
      <c r="AB2" s="94">
        <v>0</v>
      </c>
      <c r="AC2" s="69"/>
      <c r="AD2" s="252" t="s">
        <v>82</v>
      </c>
      <c r="AE2" s="253"/>
      <c r="AF2" s="345">
        <v>0</v>
      </c>
      <c r="AG2" s="345"/>
      <c r="AH2" s="98" t="s">
        <v>114</v>
      </c>
      <c r="AI2" s="346">
        <v>0</v>
      </c>
      <c r="AJ2" s="346"/>
      <c r="AK2" s="1"/>
      <c r="AL2" s="1"/>
      <c r="AM2" s="1"/>
      <c r="AN2" s="1"/>
      <c r="AO2" s="1"/>
      <c r="AP2" s="250"/>
      <c r="AQ2" s="250"/>
      <c r="AR2" s="250"/>
      <c r="AW2" s="24"/>
    </row>
    <row r="3" spans="1:58" ht="33" customHeight="1" x14ac:dyDescent="0.3">
      <c r="A3" s="33" t="str">
        <f>'4CO멍텅(실측)'!A3</f>
        <v>현장명 : 서울 종로구 인산빌딩 SO,   (재질) : HL 1.2T</v>
      </c>
      <c r="B3" s="2"/>
      <c r="C3" s="2"/>
      <c r="D3" s="2"/>
      <c r="E3" s="2"/>
      <c r="F3" s="2"/>
      <c r="G3" s="2"/>
      <c r="H3" s="2"/>
      <c r="I3" s="2"/>
      <c r="J3" s="2"/>
      <c r="K3" s="252" t="s">
        <v>76</v>
      </c>
      <c r="L3" s="252"/>
      <c r="M3" s="106">
        <v>5</v>
      </c>
      <c r="N3" s="100"/>
      <c r="O3" s="100"/>
      <c r="P3" s="100"/>
      <c r="Q3" s="252" t="s">
        <v>77</v>
      </c>
      <c r="R3" s="252"/>
      <c r="S3" s="265">
        <v>0</v>
      </c>
      <c r="T3" s="265"/>
      <c r="U3" s="266" t="s">
        <v>227</v>
      </c>
      <c r="V3" s="266"/>
      <c r="W3" s="266"/>
      <c r="X3" s="267">
        <f>BE7</f>
        <v>1</v>
      </c>
      <c r="Y3" s="267"/>
      <c r="Z3" s="262" t="s">
        <v>78</v>
      </c>
      <c r="AA3" s="262"/>
      <c r="AB3" s="93">
        <v>3</v>
      </c>
      <c r="AC3" s="101"/>
      <c r="AF3" s="210" t="s">
        <v>73</v>
      </c>
      <c r="AG3" s="210"/>
      <c r="AH3" s="114">
        <v>4</v>
      </c>
      <c r="AI3" s="4" t="s">
        <v>74</v>
      </c>
      <c r="AJ3" s="115">
        <v>4</v>
      </c>
      <c r="AK3" s="281" t="s">
        <v>329</v>
      </c>
      <c r="AL3" s="213"/>
      <c r="AM3" s="159">
        <f>AS7</f>
        <v>0</v>
      </c>
      <c r="AN3" s="14"/>
      <c r="AO3" s="14"/>
      <c r="AP3" s="25"/>
      <c r="AQ3" s="25"/>
      <c r="AR3" s="24"/>
      <c r="AW3" s="24"/>
    </row>
    <row r="4" spans="1:58" ht="33" customHeight="1" x14ac:dyDescent="0.3">
      <c r="A4" s="164" t="str">
        <f>'4CO멍텅(실측)'!A4:AB4</f>
        <v>제작치수 반영 : JB/JD +(5 ),  늘어난치수K -(0),  C + (0),  U +(0), OP1/OP3 - (0), R - (0),  기둥차감 - (0), A + (3)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344" t="s">
        <v>312</v>
      </c>
      <c r="AE4" s="344"/>
      <c r="AF4" s="344">
        <f>'4CO멍텅(실측)'!X7</f>
        <v>0</v>
      </c>
      <c r="AG4" s="344"/>
      <c r="AH4" s="9"/>
      <c r="AI4" s="223">
        <f ca="1">TODAY()</f>
        <v>45223</v>
      </c>
      <c r="AJ4" s="163"/>
      <c r="AK4" s="279" t="s">
        <v>235</v>
      </c>
      <c r="AL4" s="279"/>
      <c r="AM4" s="280"/>
      <c r="AN4" s="174" t="s">
        <v>215</v>
      </c>
      <c r="AO4" s="174"/>
      <c r="AP4" s="25"/>
      <c r="AQ4" s="25"/>
      <c r="AR4" s="24"/>
      <c r="AW4" s="24"/>
      <c r="BE4" s="178" t="s">
        <v>253</v>
      </c>
    </row>
    <row r="5" spans="1:58" ht="25.9" customHeight="1" x14ac:dyDescent="0.3">
      <c r="A5" s="168" t="s">
        <v>0</v>
      </c>
      <c r="B5" s="168" t="s">
        <v>1</v>
      </c>
      <c r="C5" s="168" t="s">
        <v>267</v>
      </c>
      <c r="D5" s="169" t="s">
        <v>261</v>
      </c>
      <c r="E5" s="168" t="s">
        <v>268</v>
      </c>
      <c r="F5" s="168" t="s">
        <v>18</v>
      </c>
      <c r="G5" s="169" t="s">
        <v>58</v>
      </c>
      <c r="H5" s="169" t="s">
        <v>269</v>
      </c>
      <c r="I5" s="169" t="s">
        <v>270</v>
      </c>
      <c r="J5" s="270" t="s">
        <v>60</v>
      </c>
      <c r="K5" s="270" t="s">
        <v>64</v>
      </c>
      <c r="L5" s="327" t="s">
        <v>65</v>
      </c>
      <c r="M5" s="327" t="s">
        <v>66</v>
      </c>
      <c r="N5" s="312" t="s">
        <v>294</v>
      </c>
      <c r="O5" s="312" t="s">
        <v>295</v>
      </c>
      <c r="P5" s="239" t="s">
        <v>62</v>
      </c>
      <c r="Q5" s="239" t="s">
        <v>63</v>
      </c>
      <c r="R5" s="168" t="s">
        <v>8</v>
      </c>
      <c r="S5" s="168" t="s">
        <v>9</v>
      </c>
      <c r="T5" s="168" t="s">
        <v>10</v>
      </c>
      <c r="U5" s="168" t="s">
        <v>11</v>
      </c>
      <c r="V5" s="168" t="s">
        <v>14</v>
      </c>
      <c r="W5" s="168" t="s">
        <v>15</v>
      </c>
      <c r="X5" s="168" t="s">
        <v>16</v>
      </c>
      <c r="Y5" s="168" t="s">
        <v>17</v>
      </c>
      <c r="Z5" s="168" t="s">
        <v>19</v>
      </c>
      <c r="AA5" s="168" t="s">
        <v>20</v>
      </c>
      <c r="AB5" s="239" t="s">
        <v>22</v>
      </c>
      <c r="AC5" s="239" t="s">
        <v>23</v>
      </c>
      <c r="AD5" s="241" t="s">
        <v>21</v>
      </c>
      <c r="AE5" s="242"/>
      <c r="AF5" s="242"/>
      <c r="AG5" s="243"/>
      <c r="AH5" s="169" t="s">
        <v>25</v>
      </c>
      <c r="AI5" s="274" t="s">
        <v>34</v>
      </c>
      <c r="AJ5" s="169" t="s">
        <v>35</v>
      </c>
      <c r="AK5" s="309" t="s">
        <v>203</v>
      </c>
      <c r="AL5" s="309"/>
      <c r="AM5" s="309"/>
      <c r="AN5" s="172" t="s">
        <v>212</v>
      </c>
      <c r="AO5" s="173"/>
      <c r="AP5" s="178" t="s">
        <v>305</v>
      </c>
      <c r="AQ5" s="178" t="s">
        <v>306</v>
      </c>
      <c r="AR5" s="273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8"/>
      <c r="B6" s="168"/>
      <c r="C6" s="168"/>
      <c r="D6" s="168"/>
      <c r="E6" s="168"/>
      <c r="F6" s="168"/>
      <c r="G6" s="168"/>
      <c r="H6" s="168"/>
      <c r="I6" s="168"/>
      <c r="J6" s="271"/>
      <c r="K6" s="271"/>
      <c r="L6" s="328"/>
      <c r="M6" s="328"/>
      <c r="N6" s="313"/>
      <c r="O6" s="313"/>
      <c r="P6" s="240"/>
      <c r="Q6" s="240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240"/>
      <c r="AC6" s="240"/>
      <c r="AD6" s="8" t="s">
        <v>56</v>
      </c>
      <c r="AE6" s="8" t="s">
        <v>57</v>
      </c>
      <c r="AF6" s="8" t="s">
        <v>54</v>
      </c>
      <c r="AG6" s="8" t="s">
        <v>55</v>
      </c>
      <c r="AH6" s="168"/>
      <c r="AI6" s="275"/>
      <c r="AJ6" s="168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9"/>
      <c r="AQ6" s="179"/>
      <c r="AR6" s="273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0</v>
      </c>
      <c r="D7" s="4">
        <f>'4CO멍텅(실측)'!D7</f>
        <v>0</v>
      </c>
      <c r="E7" s="4">
        <f>'4CO멍텅(실측)'!E7-CO4멍텅OP/2</f>
        <v>0</v>
      </c>
      <c r="F7" s="4">
        <f>'4CO멍텅(실측)'!F7-CO4멍텅R</f>
        <v>0</v>
      </c>
      <c r="G7" s="4">
        <f>'4CO멍텅(실측)'!G7+MAX(AP7,AQ7)+IF(BE7=1,AD7,0)+CO4멍텅JBJD늘림치수</f>
        <v>5</v>
      </c>
      <c r="H7" s="4">
        <f>'4CO멍텅(실측)'!H7+MAX(AP7,AQ7)+IF(BE7=1,MAX(AD7,AF7),0)+CO4멍텅JBJD늘림치수</f>
        <v>5</v>
      </c>
      <c r="I7" s="4">
        <f>'4CO멍텅(실측)'!I7+MAX(AP7,AQ7)+IF(BE7=1,AF7,0)+CO4멍텅JBJD늘림치수</f>
        <v>5</v>
      </c>
      <c r="J7" s="4">
        <f>'4CO멍텅(실측)'!J7+AP7+IF(BE7=1,AD7,0)+CO4멍텅JB강제키움+CO4멍텅JBJD늘림치수</f>
        <v>5</v>
      </c>
      <c r="K7" s="4">
        <f>'4CO멍텅(실측)'!J7+AP7+IF(BE7=1,AE7,0)+CO4멍텅JB강제키움+CO4멍텅JBJD늘림치수-IF(CO4멍텅JB하부늘치=1,'4CO멍텅(실측)'!X7-'4CO멍텅(실측)'!Y7,0)</f>
        <v>5</v>
      </c>
      <c r="L7" s="4">
        <f>'4CO멍텅(실측)'!K7+AQ7+IF(BE7=1,AF7,0)+CO4멍텅JB강제키움+CO4멍텅JBJD늘림치수</f>
        <v>5</v>
      </c>
      <c r="M7" s="4">
        <f>'4CO멍텅(실측)'!K7+AQ7+IF(BE7=1,AG7,0)+CO4멍텅JB강제키움+CO4멍텅JBJD늘림치수-IF(CO4멍텅JB하부늘치=1,'4CO멍텅(실측)'!Z7-'4CO멍텅(실측)'!AA7,0)</f>
        <v>5</v>
      </c>
      <c r="N7" s="73">
        <f>IF(BE7=0,H7+AD7-(G7+AD7),H7-G7)</f>
        <v>0</v>
      </c>
      <c r="O7" s="73">
        <f>IF(BE7=0,H7+AD7-(I7+AD7),H7-I7)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0</v>
      </c>
      <c r="AE7" s="13">
        <f>IF(CO4멍텅JB하부늘치=1,AD7,'4CO멍텅(실측)'!Y7-CO4멍텅늘치차감)</f>
        <v>0</v>
      </c>
      <c r="AF7" s="13">
        <f>'4CO멍텅(실측)'!Z7-CO4멍텅늘치차감</f>
        <v>0</v>
      </c>
      <c r="AG7" s="13">
        <f>IF(CO4멍텅JB하부늘치=1,AF7,'4CO멍텅(실측)'!AA7-CO4멍텅늘치차감)</f>
        <v>0</v>
      </c>
      <c r="AH7" s="11" t="str">
        <f t="shared" ref="AH7" si="1">AW7&amp;"*"&amp;AX7</f>
        <v>0*1.4</v>
      </c>
      <c r="AI7" s="12" t="str">
        <f t="shared" ref="AI7" si="2">AZ7&amp;"*"&amp;AY7</f>
        <v>0*2.4</v>
      </c>
      <c r="AJ7" s="10" t="str">
        <f t="shared" ref="AJ7" si="3">BB7&amp;"*"&amp;BA7</f>
        <v>0*2.4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>
        <f>DEGREES(ATAN((F7-(C7+D7+E7))/2/(G7)))</f>
        <v>0</v>
      </c>
      <c r="AT7" s="36">
        <f t="shared" ref="AT7" si="4">G7-COS(RADIANS(AS7))*J7</f>
        <v>0</v>
      </c>
      <c r="AU7" s="36">
        <f t="shared" ref="AU7" si="5">I7-COS(RADIANS(AS7))*L7</f>
        <v>0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1.4000000000000001</v>
      </c>
      <c r="AY7" s="3">
        <f>T7+R7+MAX(J7,K7)+AC7-1.2*$AJ$3+IF(BE7=0,MAX(AD7,AE7))+IF(T7=0,1.2,0)-IF(AM7=90,2.4,0)</f>
        <v>2.4000000000000004</v>
      </c>
      <c r="AZ7" s="3">
        <f t="shared" ref="AZ7" si="7">MAX(V7,W7)</f>
        <v>0</v>
      </c>
      <c r="BA7" s="3">
        <f>U7+S7+MAX(L7,M7)+AC7-1.2*$AJ$3+IF(BE7=0,MAX(AF7,AG7))+IF(U7=0,1.2,0)-IF(AM7=90,2.4,0)</f>
        <v>2.4000000000000004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66" t="str">
        <f>정보!K2</f>
        <v>(2UP) 실측서 ( 서울 종로구 인산빌딩 SO ) _김상훈소장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서울 종로구 인산빌딩 SO,   (재질) : HL 1.2T</v>
      </c>
      <c r="B3" s="2"/>
      <c r="C3" s="2"/>
      <c r="D3" s="2"/>
      <c r="E3" s="2"/>
      <c r="F3" s="2"/>
      <c r="G3" s="238"/>
      <c r="H3" s="238"/>
      <c r="I3" s="238"/>
      <c r="J3" s="23"/>
      <c r="K3" s="247"/>
      <c r="L3" s="247"/>
      <c r="M3" s="248"/>
      <c r="N3" s="248"/>
      <c r="O3" s="249"/>
      <c r="P3" s="249"/>
      <c r="Q3" s="249"/>
      <c r="R3" s="120"/>
      <c r="S3" s="244" t="s">
        <v>97</v>
      </c>
      <c r="T3" s="244"/>
      <c r="U3" s="244"/>
      <c r="V3" s="245"/>
      <c r="W3" s="245"/>
      <c r="X3" s="246"/>
      <c r="Y3" s="246"/>
    </row>
    <row r="4" spans="1:40" ht="33" customHeight="1" x14ac:dyDescent="0.3">
      <c r="A4" s="164" t="str">
        <f>정보!B17</f>
        <v>제작치수 반영 : JB/JD +(5 ),  늘어난치수K -(0),  C + (0),   U + (0), OP - (0), R - (0),  기둥차감 - (0), A + (3)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74" t="s">
        <v>215</v>
      </c>
      <c r="AD4" s="174"/>
      <c r="AE4" s="81" t="s">
        <v>234</v>
      </c>
    </row>
    <row r="5" spans="1:40" ht="25.9" customHeight="1" x14ac:dyDescent="0.3">
      <c r="A5" s="168" t="s">
        <v>0</v>
      </c>
      <c r="B5" s="168" t="s">
        <v>1</v>
      </c>
      <c r="C5" s="168" t="s">
        <v>3</v>
      </c>
      <c r="D5" s="168" t="s">
        <v>18</v>
      </c>
      <c r="E5" s="168" t="s">
        <v>4</v>
      </c>
      <c r="F5" s="168" t="s">
        <v>5</v>
      </c>
      <c r="G5" s="270" t="s">
        <v>274</v>
      </c>
      <c r="H5" s="270" t="s">
        <v>275</v>
      </c>
      <c r="I5" s="327" t="s">
        <v>276</v>
      </c>
      <c r="J5" s="327" t="s">
        <v>277</v>
      </c>
      <c r="K5" s="168" t="s">
        <v>8</v>
      </c>
      <c r="L5" s="168" t="s">
        <v>9</v>
      </c>
      <c r="M5" s="168" t="s">
        <v>10</v>
      </c>
      <c r="N5" s="168" t="s">
        <v>11</v>
      </c>
      <c r="O5" s="349" t="s">
        <v>14</v>
      </c>
      <c r="P5" s="347" t="s">
        <v>282</v>
      </c>
      <c r="Q5" s="347" t="s">
        <v>283</v>
      </c>
      <c r="R5" s="327" t="s">
        <v>129</v>
      </c>
      <c r="S5" s="327" t="s">
        <v>280</v>
      </c>
      <c r="T5" s="327" t="s">
        <v>281</v>
      </c>
      <c r="U5" s="168" t="s">
        <v>19</v>
      </c>
      <c r="V5" s="168" t="s">
        <v>20</v>
      </c>
      <c r="W5" s="239" t="s">
        <v>22</v>
      </c>
      <c r="X5" s="239" t="s">
        <v>23</v>
      </c>
      <c r="Y5" s="241" t="s">
        <v>21</v>
      </c>
      <c r="Z5" s="242"/>
      <c r="AA5" s="242"/>
      <c r="AB5" s="243"/>
      <c r="AC5" s="172" t="s">
        <v>212</v>
      </c>
      <c r="AD5" s="173"/>
      <c r="AE5" s="80" t="s">
        <v>231</v>
      </c>
    </row>
    <row r="6" spans="1:40" ht="47.25" customHeight="1" x14ac:dyDescent="0.3">
      <c r="A6" s="168"/>
      <c r="B6" s="168"/>
      <c r="C6" s="168"/>
      <c r="D6" s="168"/>
      <c r="E6" s="168"/>
      <c r="F6" s="168"/>
      <c r="G6" s="271"/>
      <c r="H6" s="271"/>
      <c r="I6" s="328"/>
      <c r="J6" s="328"/>
      <c r="K6" s="168"/>
      <c r="L6" s="168"/>
      <c r="M6" s="168"/>
      <c r="N6" s="168"/>
      <c r="O6" s="348"/>
      <c r="P6" s="348"/>
      <c r="Q6" s="348"/>
      <c r="R6" s="328"/>
      <c r="S6" s="328"/>
      <c r="T6" s="328"/>
      <c r="U6" s="168"/>
      <c r="V6" s="168"/>
      <c r="W6" s="240"/>
      <c r="X6" s="240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66" t="str">
        <f>정보!L2</f>
        <v>(2UP) 제작변환 ( 서울 종로구 인산빌딩 SO ) _김상훈소장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"/>
      <c r="AK1" s="1"/>
      <c r="AL1" s="250" t="s">
        <v>75</v>
      </c>
      <c r="AM1" s="250"/>
      <c r="AN1" s="250"/>
      <c r="AS1" s="24"/>
    </row>
    <row r="2" spans="1:54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14" t="s">
        <v>308</v>
      </c>
      <c r="H2" s="214"/>
      <c r="I2" s="214"/>
      <c r="J2" s="263">
        <v>0</v>
      </c>
      <c r="K2" s="263"/>
      <c r="L2" s="263"/>
      <c r="M2" s="263"/>
      <c r="N2" s="350" t="s">
        <v>113</v>
      </c>
      <c r="O2" s="350"/>
      <c r="P2" s="350"/>
      <c r="Q2" s="350"/>
      <c r="R2" s="261">
        <v>1</v>
      </c>
      <c r="S2" s="261"/>
      <c r="T2" s="351" t="s">
        <v>103</v>
      </c>
      <c r="U2" s="352"/>
      <c r="V2" s="353"/>
      <c r="W2" s="108">
        <v>0</v>
      </c>
      <c r="X2" s="121"/>
      <c r="Y2" s="258" t="s">
        <v>88</v>
      </c>
      <c r="Z2" s="259"/>
      <c r="AA2" s="256">
        <v>0</v>
      </c>
      <c r="AB2" s="256"/>
      <c r="AC2" s="252" t="s">
        <v>82</v>
      </c>
      <c r="AD2" s="253"/>
      <c r="AE2" s="254">
        <v>0</v>
      </c>
      <c r="AF2" s="254"/>
      <c r="AG2" s="98" t="s">
        <v>114</v>
      </c>
      <c r="AH2" s="251">
        <v>0</v>
      </c>
      <c r="AI2" s="251"/>
      <c r="AJ2" s="1"/>
      <c r="AK2" s="1"/>
      <c r="AL2" s="250"/>
      <c r="AM2" s="250"/>
      <c r="AN2" s="250"/>
      <c r="AS2" s="24"/>
    </row>
    <row r="3" spans="1:54" ht="33" customHeight="1" x14ac:dyDescent="0.3">
      <c r="A3" s="33" t="str">
        <f>'2UP(실측)'!A3</f>
        <v>현장명 : 서울 종로구 인산빌딩 SO,   (재질) : HL 1.2T</v>
      </c>
      <c r="B3" s="2"/>
      <c r="C3" s="2"/>
      <c r="D3" s="2"/>
      <c r="E3" s="2"/>
      <c r="F3" s="2"/>
      <c r="G3" s="252" t="s">
        <v>76</v>
      </c>
      <c r="H3" s="252"/>
      <c r="I3" s="252"/>
      <c r="J3" s="264">
        <v>5</v>
      </c>
      <c r="K3" s="264"/>
      <c r="L3" s="264"/>
      <c r="M3" s="264"/>
      <c r="N3" s="252" t="s">
        <v>77</v>
      </c>
      <c r="O3" s="252"/>
      <c r="P3" s="265">
        <v>0</v>
      </c>
      <c r="Q3" s="265"/>
      <c r="R3" s="219" t="s">
        <v>227</v>
      </c>
      <c r="S3" s="219"/>
      <c r="T3" s="219"/>
      <c r="U3" s="267">
        <f>BA7</f>
        <v>1</v>
      </c>
      <c r="V3" s="267"/>
      <c r="W3" s="267"/>
      <c r="X3" s="122"/>
      <c r="Y3" s="262" t="s">
        <v>78</v>
      </c>
      <c r="Z3" s="262"/>
      <c r="AA3" s="255">
        <v>3</v>
      </c>
      <c r="AB3" s="255"/>
      <c r="AE3" s="168" t="s">
        <v>73</v>
      </c>
      <c r="AF3" s="168"/>
      <c r="AG3" s="106">
        <v>3</v>
      </c>
      <c r="AH3" s="4" t="s">
        <v>74</v>
      </c>
      <c r="AI3" s="138">
        <v>4</v>
      </c>
      <c r="AJ3" s="281" t="s">
        <v>330</v>
      </c>
      <c r="AK3" s="213"/>
      <c r="AL3" s="160">
        <f>AO7</f>
        <v>0</v>
      </c>
      <c r="AM3" s="25"/>
      <c r="AN3" s="24"/>
      <c r="AS3" s="24"/>
    </row>
    <row r="4" spans="1:54" ht="33" customHeight="1" x14ac:dyDescent="0.3">
      <c r="A4" s="354" t="str">
        <f>'2UP(실측)'!A4:AB4</f>
        <v>제작치수 반영 : JB/JD +(5 ),  늘어난치수K -(0),  C + (0),   U + (0), OP - (0), R - (0),  기둥차감 - (0), A + (3)</v>
      </c>
      <c r="B4" s="354"/>
      <c r="C4" s="354"/>
      <c r="D4" s="354"/>
      <c r="E4" s="354"/>
      <c r="F4" s="354"/>
      <c r="G4" s="354"/>
      <c r="H4" s="354"/>
      <c r="I4" s="354"/>
      <c r="J4" s="354"/>
      <c r="K4" s="354"/>
      <c r="L4" s="354"/>
      <c r="M4" s="354"/>
      <c r="N4" s="354"/>
      <c r="O4" s="354"/>
      <c r="P4" s="354"/>
      <c r="Q4" s="354"/>
      <c r="R4" s="354"/>
      <c r="S4" s="354"/>
      <c r="T4" s="354"/>
      <c r="U4" s="354"/>
      <c r="V4" s="354"/>
      <c r="W4" s="354"/>
      <c r="X4" s="75"/>
      <c r="Y4" s="355" t="s">
        <v>331</v>
      </c>
      <c r="Z4" s="356"/>
      <c r="AA4" s="357">
        <f>AC7</f>
        <v>0</v>
      </c>
      <c r="AB4" s="358"/>
      <c r="AC4" s="75"/>
      <c r="AD4" s="75"/>
      <c r="AE4" s="75"/>
      <c r="AF4" s="75"/>
      <c r="AG4" s="9"/>
      <c r="AH4" s="223">
        <f ca="1">TODAY()</f>
        <v>45223</v>
      </c>
      <c r="AI4" s="163"/>
      <c r="AJ4" s="174" t="s">
        <v>215</v>
      </c>
      <c r="AK4" s="174"/>
      <c r="AL4" s="25"/>
      <c r="AM4" s="25"/>
      <c r="AN4" s="24"/>
      <c r="AS4" s="24"/>
      <c r="BA4" s="178" t="s">
        <v>253</v>
      </c>
    </row>
    <row r="5" spans="1:54" ht="25.9" customHeight="1" x14ac:dyDescent="0.3">
      <c r="A5" s="168" t="s">
        <v>0</v>
      </c>
      <c r="B5" s="168" t="s">
        <v>1</v>
      </c>
      <c r="C5" s="168" t="s">
        <v>3</v>
      </c>
      <c r="D5" s="168" t="s">
        <v>18</v>
      </c>
      <c r="E5" s="169" t="s">
        <v>58</v>
      </c>
      <c r="F5" s="169" t="s">
        <v>59</v>
      </c>
      <c r="G5" s="268" t="s">
        <v>60</v>
      </c>
      <c r="H5" s="268" t="s">
        <v>64</v>
      </c>
      <c r="I5" s="270" t="s">
        <v>65</v>
      </c>
      <c r="J5" s="270" t="s">
        <v>66</v>
      </c>
      <c r="K5" s="359" t="s">
        <v>278</v>
      </c>
      <c r="L5" s="359" t="s">
        <v>279</v>
      </c>
      <c r="M5" s="239" t="s">
        <v>62</v>
      </c>
      <c r="N5" s="239" t="s">
        <v>63</v>
      </c>
      <c r="O5" s="168" t="s">
        <v>8</v>
      </c>
      <c r="P5" s="168" t="s">
        <v>9</v>
      </c>
      <c r="Q5" s="168" t="s">
        <v>10</v>
      </c>
      <c r="R5" s="168" t="s">
        <v>11</v>
      </c>
      <c r="S5" s="349" t="s">
        <v>14</v>
      </c>
      <c r="T5" s="347" t="s">
        <v>282</v>
      </c>
      <c r="U5" s="347" t="s">
        <v>283</v>
      </c>
      <c r="V5" s="327" t="s">
        <v>129</v>
      </c>
      <c r="W5" s="327" t="s">
        <v>280</v>
      </c>
      <c r="X5" s="327" t="s">
        <v>281</v>
      </c>
      <c r="Y5" s="168" t="s">
        <v>19</v>
      </c>
      <c r="Z5" s="272" t="s">
        <v>20</v>
      </c>
      <c r="AA5" s="239" t="s">
        <v>22</v>
      </c>
      <c r="AB5" s="239" t="s">
        <v>23</v>
      </c>
      <c r="AC5" s="241" t="s">
        <v>21</v>
      </c>
      <c r="AD5" s="242"/>
      <c r="AE5" s="242"/>
      <c r="AF5" s="243"/>
      <c r="AG5" s="169" t="s">
        <v>25</v>
      </c>
      <c r="AH5" s="274" t="s">
        <v>34</v>
      </c>
      <c r="AI5" s="169" t="s">
        <v>35</v>
      </c>
      <c r="AJ5" s="172" t="s">
        <v>212</v>
      </c>
      <c r="AK5" s="173"/>
      <c r="AL5" s="178" t="s">
        <v>305</v>
      </c>
      <c r="AM5" s="178" t="s">
        <v>306</v>
      </c>
      <c r="AN5" s="273" t="s">
        <v>51</v>
      </c>
      <c r="AU5" s="179" t="s">
        <v>28</v>
      </c>
      <c r="AV5" s="179"/>
      <c r="AW5" s="179" t="s">
        <v>29</v>
      </c>
      <c r="AX5" s="179"/>
      <c r="BA5" s="179"/>
    </row>
    <row r="6" spans="1:54" ht="48" customHeight="1" x14ac:dyDescent="0.3">
      <c r="A6" s="168"/>
      <c r="B6" s="168"/>
      <c r="C6" s="168"/>
      <c r="D6" s="168"/>
      <c r="E6" s="168"/>
      <c r="F6" s="168"/>
      <c r="G6" s="269"/>
      <c r="H6" s="269"/>
      <c r="I6" s="271"/>
      <c r="J6" s="271"/>
      <c r="K6" s="360"/>
      <c r="L6" s="360"/>
      <c r="M6" s="240"/>
      <c r="N6" s="240"/>
      <c r="O6" s="168"/>
      <c r="P6" s="168"/>
      <c r="Q6" s="168"/>
      <c r="R6" s="168"/>
      <c r="S6" s="348"/>
      <c r="T6" s="348"/>
      <c r="U6" s="348"/>
      <c r="V6" s="328"/>
      <c r="W6" s="328"/>
      <c r="X6" s="328"/>
      <c r="Y6" s="168"/>
      <c r="Z6" s="272"/>
      <c r="AA6" s="240"/>
      <c r="AB6" s="240"/>
      <c r="AC6" s="8" t="s">
        <v>56</v>
      </c>
      <c r="AD6" s="8" t="s">
        <v>57</v>
      </c>
      <c r="AE6" s="8" t="s">
        <v>54</v>
      </c>
      <c r="AF6" s="8" t="s">
        <v>55</v>
      </c>
      <c r="AG6" s="168"/>
      <c r="AH6" s="275"/>
      <c r="AI6" s="168"/>
      <c r="AJ6" s="74" t="s">
        <v>213</v>
      </c>
      <c r="AK6" s="74" t="s">
        <v>214</v>
      </c>
      <c r="AL6" s="179"/>
      <c r="AM6" s="179"/>
      <c r="AN6" s="273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0</v>
      </c>
      <c r="D7" s="4">
        <f>'2UP(실측)'!D7-UP2멍텅R</f>
        <v>0</v>
      </c>
      <c r="E7" s="4">
        <f>'2UP(실측)'!E7+MAX(AL7,AM7)+IF(BA7=1,AC7,0)+UP2멍텅JBJD늘림치수</f>
        <v>5</v>
      </c>
      <c r="F7" s="4">
        <f>'2UP(실측)'!F7+MAX(AL7,AM7)+IF(BA7=1,AE7,0)+UP2멍텅JBJD늘림치수</f>
        <v>5</v>
      </c>
      <c r="G7" s="4">
        <f>'2UP(실측)'!G7+AL7+IF(BA7=1,AC7,0)+UP2멍텅JB강제키움+UP2멍텅JBJD늘림치수</f>
        <v>5</v>
      </c>
      <c r="H7" s="4">
        <f>'2UP(실측)'!H7+AL7+IF(BA7=1,AD7,0)+UP2멍텅JB강제키움+UP2멍텅JBJD늘림치수-IF(UP2멍텅JB하부늘치=1,'2UP(실측)'!Y7-'2UP(실측)'!Z7,0)</f>
        <v>5</v>
      </c>
      <c r="I7" s="4">
        <f>'2UP(실측)'!I7+AM7+IF(BA7=1,AE7,0)+UP2멍텅JB강제키움+UP2멍텅JBJD늘림치수</f>
        <v>5</v>
      </c>
      <c r="J7" s="4">
        <f>'2UP(실측)'!J7+AM7+IF(BA7=1,AF7,0)+UP2멍텅JB강제키움+UP2멍텅JBJD늘림치수-IF(UP2멍텅JB하부늘치=1,'2UP(실측)'!AA7-'2UP(실측)'!AB7,0)</f>
        <v>5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0*2.6</v>
      </c>
      <c r="AH7" s="12" t="str">
        <f t="shared" ref="AH7" si="2">AV7&amp;"*"&amp;AU7</f>
        <v>0*2.4</v>
      </c>
      <c r="AI7" s="10" t="str">
        <f t="shared" ref="AI7" si="3">AX7&amp;"*"&amp;AW7</f>
        <v>0*2.4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0</v>
      </c>
      <c r="AP7" s="36">
        <f>E7-COS(RADIANS(AO7))*G7</f>
        <v>0</v>
      </c>
      <c r="AQ7" s="36">
        <f>F7-COS(RADIANS(AO7))*I7</f>
        <v>0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2.6000000000000005</v>
      </c>
      <c r="AU7" s="3">
        <f>Q7+O7+MAX(G7,H7)+AB7-1.2*$AI$3+IF(BA7=0,MAX(AC7,AD7))+IF(Q7=0,1.2,0)</f>
        <v>2.4000000000000004</v>
      </c>
      <c r="AV7" s="3">
        <f>MAX(S7,T7+U7)</f>
        <v>0</v>
      </c>
      <c r="AW7" s="3">
        <f>R7+P7+MAX(I7,J7)+AB7-1.2*$AI$3+IF(BA7=0,MAX(AE7,AF7))+IF(R7=0,1.2,0)</f>
        <v>2.4000000000000004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1" t="str">
        <f>정보!K3</f>
        <v>(3UP) 실측서 ( 서울 종로구 인산빌딩 SO ) _김상훈소장</v>
      </c>
      <c r="B1" s="361"/>
      <c r="C1" s="361"/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61"/>
      <c r="R1" s="361"/>
      <c r="S1" s="361"/>
      <c r="T1" s="361"/>
      <c r="U1" s="361"/>
      <c r="V1" s="361"/>
      <c r="W1" s="361"/>
      <c r="X1" s="361"/>
      <c r="Y1" s="361"/>
      <c r="Z1" s="361"/>
      <c r="AA1" s="361"/>
      <c r="AB1" s="361"/>
      <c r="AC1" s="361"/>
      <c r="AD1" s="361"/>
      <c r="AE1" s="361"/>
      <c r="AF1" s="361"/>
      <c r="AG1" s="361"/>
      <c r="AH1" s="361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서울 종로구 인산빌딩 SO,   (재질) : HL 1.2T</v>
      </c>
      <c r="B3" s="2"/>
      <c r="C3" s="2"/>
      <c r="D3" s="2"/>
      <c r="E3" s="2"/>
      <c r="F3" s="2"/>
      <c r="G3" s="238"/>
      <c r="H3" s="238"/>
      <c r="I3" s="238"/>
      <c r="J3" s="238"/>
      <c r="K3" s="23"/>
      <c r="L3" s="23"/>
      <c r="M3" s="247"/>
      <c r="N3" s="247"/>
      <c r="O3" s="248"/>
      <c r="P3" s="248"/>
      <c r="Q3" s="249"/>
      <c r="R3" s="249"/>
      <c r="S3" s="249"/>
      <c r="T3" s="249"/>
      <c r="U3" s="120"/>
      <c r="V3" s="244" t="s">
        <v>97</v>
      </c>
      <c r="W3" s="244"/>
      <c r="X3" s="244"/>
      <c r="Y3" s="244"/>
      <c r="Z3" s="245"/>
      <c r="AA3" s="245"/>
      <c r="AB3" s="246"/>
      <c r="AC3" s="246"/>
    </row>
    <row r="4" spans="1:46" ht="33" customHeight="1" x14ac:dyDescent="0.3">
      <c r="A4" s="164" t="str">
        <f>정보!B18</f>
        <v>제작치수 반영 : JB/JD +(5 ),  늘어난치수K -(0),  C + (0),   U + (0), OP - (0), R - (0),  기둥차감 - (0), A + (3)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164"/>
      <c r="AG4" s="164"/>
      <c r="AH4" s="164"/>
      <c r="AI4" s="174" t="s">
        <v>215</v>
      </c>
      <c r="AJ4" s="174"/>
      <c r="AK4" s="81" t="s">
        <v>234</v>
      </c>
    </row>
    <row r="5" spans="1:46" ht="25.9" customHeight="1" x14ac:dyDescent="0.3">
      <c r="A5" s="168" t="s">
        <v>0</v>
      </c>
      <c r="B5" s="168" t="s">
        <v>1</v>
      </c>
      <c r="C5" s="168" t="s">
        <v>3</v>
      </c>
      <c r="D5" s="168" t="s">
        <v>18</v>
      </c>
      <c r="E5" s="168" t="s">
        <v>4</v>
      </c>
      <c r="F5" s="168" t="s">
        <v>5</v>
      </c>
      <c r="G5" s="270" t="s">
        <v>274</v>
      </c>
      <c r="H5" s="270" t="s">
        <v>284</v>
      </c>
      <c r="I5" s="270" t="s">
        <v>275</v>
      </c>
      <c r="J5" s="327" t="s">
        <v>276</v>
      </c>
      <c r="K5" s="327" t="s">
        <v>285</v>
      </c>
      <c r="L5" s="327" t="s">
        <v>277</v>
      </c>
      <c r="M5" s="168" t="s">
        <v>8</v>
      </c>
      <c r="N5" s="168" t="s">
        <v>9</v>
      </c>
      <c r="O5" s="168" t="s">
        <v>10</v>
      </c>
      <c r="P5" s="168" t="s">
        <v>11</v>
      </c>
      <c r="Q5" s="349" t="s">
        <v>14</v>
      </c>
      <c r="R5" s="347" t="s">
        <v>282</v>
      </c>
      <c r="S5" s="347" t="s">
        <v>286</v>
      </c>
      <c r="T5" s="347" t="s">
        <v>283</v>
      </c>
      <c r="U5" s="327" t="s">
        <v>129</v>
      </c>
      <c r="V5" s="327" t="s">
        <v>280</v>
      </c>
      <c r="W5" s="327" t="s">
        <v>287</v>
      </c>
      <c r="X5" s="327" t="s">
        <v>281</v>
      </c>
      <c r="Y5" s="168" t="s">
        <v>19</v>
      </c>
      <c r="Z5" s="168" t="s">
        <v>20</v>
      </c>
      <c r="AA5" s="239" t="s">
        <v>22</v>
      </c>
      <c r="AB5" s="239" t="s">
        <v>23</v>
      </c>
      <c r="AC5" s="241" t="s">
        <v>21</v>
      </c>
      <c r="AD5" s="242"/>
      <c r="AE5" s="242"/>
      <c r="AF5" s="242"/>
      <c r="AG5" s="242"/>
      <c r="AH5" s="243"/>
      <c r="AI5" s="172" t="s">
        <v>212</v>
      </c>
      <c r="AJ5" s="173"/>
      <c r="AK5" s="80" t="s">
        <v>231</v>
      </c>
    </row>
    <row r="6" spans="1:46" ht="47.25" customHeight="1" x14ac:dyDescent="0.3">
      <c r="A6" s="168"/>
      <c r="B6" s="168"/>
      <c r="C6" s="168"/>
      <c r="D6" s="168"/>
      <c r="E6" s="168"/>
      <c r="F6" s="168"/>
      <c r="G6" s="271"/>
      <c r="H6" s="271"/>
      <c r="I6" s="271"/>
      <c r="J6" s="328"/>
      <c r="K6" s="328"/>
      <c r="L6" s="328"/>
      <c r="M6" s="168"/>
      <c r="N6" s="168"/>
      <c r="O6" s="168"/>
      <c r="P6" s="168"/>
      <c r="Q6" s="348"/>
      <c r="R6" s="348"/>
      <c r="S6" s="348"/>
      <c r="T6" s="348"/>
      <c r="U6" s="328"/>
      <c r="V6" s="328"/>
      <c r="W6" s="328"/>
      <c r="X6" s="328"/>
      <c r="Y6" s="168"/>
      <c r="Z6" s="168"/>
      <c r="AA6" s="240"/>
      <c r="AB6" s="240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66" t="str">
        <f>정보!L3</f>
        <v>(3UP) 제작변환 ( 서울 종로구 인산빌딩 SO ) _김상훈소장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6"/>
      <c r="AN1" s="166"/>
      <c r="AO1" s="166"/>
      <c r="AP1" s="1"/>
      <c r="AQ1" s="1"/>
      <c r="AR1" s="250" t="s">
        <v>75</v>
      </c>
      <c r="AS1" s="250"/>
      <c r="AT1" s="250"/>
      <c r="AY1" s="24"/>
    </row>
    <row r="2" spans="1:60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355" t="s">
        <v>309</v>
      </c>
      <c r="H2" s="364"/>
      <c r="I2" s="364"/>
      <c r="J2" s="364"/>
      <c r="K2" s="356"/>
      <c r="L2" s="263">
        <v>0</v>
      </c>
      <c r="M2" s="263"/>
      <c r="N2" s="263"/>
      <c r="O2" s="263"/>
      <c r="P2" s="260" t="s">
        <v>113</v>
      </c>
      <c r="Q2" s="260"/>
      <c r="R2" s="260"/>
      <c r="S2" s="260"/>
      <c r="T2" s="261">
        <v>1</v>
      </c>
      <c r="U2" s="261"/>
      <c r="V2" s="258" t="s">
        <v>103</v>
      </c>
      <c r="W2" s="258"/>
      <c r="X2" s="259"/>
      <c r="Y2" s="365">
        <v>0</v>
      </c>
      <c r="Z2" s="366"/>
      <c r="AA2" s="362"/>
      <c r="AB2" s="363"/>
      <c r="AC2" s="258" t="s">
        <v>88</v>
      </c>
      <c r="AD2" s="259"/>
      <c r="AE2" s="256">
        <v>0</v>
      </c>
      <c r="AF2" s="256"/>
      <c r="AG2" s="252" t="s">
        <v>82</v>
      </c>
      <c r="AH2" s="252"/>
      <c r="AI2" s="253"/>
      <c r="AJ2" s="254">
        <v>0</v>
      </c>
      <c r="AK2" s="254"/>
      <c r="AL2" s="254"/>
      <c r="AM2" s="98" t="s">
        <v>114</v>
      </c>
      <c r="AN2" s="251">
        <v>0</v>
      </c>
      <c r="AO2" s="251"/>
      <c r="AP2" s="1"/>
      <c r="AQ2" s="1"/>
      <c r="AR2" s="250"/>
      <c r="AS2" s="250"/>
      <c r="AT2" s="250"/>
      <c r="AY2" s="24"/>
    </row>
    <row r="3" spans="1:60" ht="33" customHeight="1" x14ac:dyDescent="0.3">
      <c r="A3" s="33" t="str">
        <f>'3UP(실측)'!A3</f>
        <v>현장명 : 서울 종로구 인산빌딩 SO,   (재질) : HL 1.2T</v>
      </c>
      <c r="B3" s="2"/>
      <c r="C3" s="2"/>
      <c r="D3" s="2"/>
      <c r="E3" s="2"/>
      <c r="F3" s="2"/>
      <c r="G3" s="351" t="s">
        <v>76</v>
      </c>
      <c r="H3" s="369"/>
      <c r="I3" s="369"/>
      <c r="J3" s="369"/>
      <c r="K3" s="370"/>
      <c r="L3" s="264">
        <v>5</v>
      </c>
      <c r="M3" s="264"/>
      <c r="N3" s="264"/>
      <c r="O3" s="264"/>
      <c r="P3" s="252" t="s">
        <v>77</v>
      </c>
      <c r="Q3" s="252"/>
      <c r="R3" s="265">
        <v>0</v>
      </c>
      <c r="S3" s="265"/>
      <c r="T3" s="371" t="s">
        <v>289</v>
      </c>
      <c r="U3" s="372"/>
      <c r="V3" s="372"/>
      <c r="W3" s="373"/>
      <c r="X3" s="267">
        <f>BG7</f>
        <v>1</v>
      </c>
      <c r="Y3" s="267"/>
      <c r="Z3" s="267"/>
      <c r="AA3" s="367"/>
      <c r="AB3" s="368"/>
      <c r="AC3" s="262" t="s">
        <v>78</v>
      </c>
      <c r="AD3" s="262"/>
      <c r="AE3" s="255">
        <v>3</v>
      </c>
      <c r="AF3" s="255"/>
      <c r="AJ3" s="168" t="s">
        <v>73</v>
      </c>
      <c r="AK3" s="168"/>
      <c r="AL3" s="168"/>
      <c r="AM3" s="106">
        <v>3</v>
      </c>
      <c r="AN3" s="4" t="s">
        <v>74</v>
      </c>
      <c r="AO3" s="138">
        <v>4</v>
      </c>
      <c r="AP3" s="374" t="s">
        <v>326</v>
      </c>
      <c r="AQ3" s="375"/>
      <c r="AR3" s="160">
        <f>AU7</f>
        <v>0</v>
      </c>
      <c r="AS3" s="25"/>
      <c r="AT3" s="24"/>
      <c r="AY3" s="24"/>
    </row>
    <row r="4" spans="1:60" ht="33" customHeight="1" x14ac:dyDescent="0.3">
      <c r="A4" s="354" t="str">
        <f>'3UP(실측)'!A4:AH4</f>
        <v>제작치수 반영 : JB/JD +(5 ),  늘어난치수K -(0),  C + (0),   U + (0), OP - (0), R - (0),  기둥차감 - (0), A + (3)</v>
      </c>
      <c r="B4" s="354"/>
      <c r="C4" s="354"/>
      <c r="D4" s="354"/>
      <c r="E4" s="354"/>
      <c r="F4" s="354"/>
      <c r="G4" s="354"/>
      <c r="H4" s="354"/>
      <c r="I4" s="354"/>
      <c r="J4" s="354"/>
      <c r="K4" s="354"/>
      <c r="L4" s="354"/>
      <c r="M4" s="354"/>
      <c r="N4" s="354"/>
      <c r="O4" s="354"/>
      <c r="P4" s="354"/>
      <c r="Q4" s="354"/>
      <c r="R4" s="354"/>
      <c r="S4" s="354"/>
      <c r="T4" s="354"/>
      <c r="U4" s="354"/>
      <c r="V4" s="354"/>
      <c r="W4" s="354"/>
      <c r="X4" s="354"/>
      <c r="Y4" s="354"/>
      <c r="Z4" s="354"/>
      <c r="AA4" s="75"/>
      <c r="AB4" s="75"/>
      <c r="AC4" s="357" t="s">
        <v>332</v>
      </c>
      <c r="AD4" s="278"/>
      <c r="AE4" s="278">
        <f>AG7</f>
        <v>0</v>
      </c>
      <c r="AF4" s="358"/>
      <c r="AG4" s="75"/>
      <c r="AH4" s="75"/>
      <c r="AI4" s="75"/>
      <c r="AJ4" s="75"/>
      <c r="AK4" s="75"/>
      <c r="AL4" s="75"/>
      <c r="AM4" s="9"/>
      <c r="AN4" s="223">
        <f ca="1">TODAY()</f>
        <v>45223</v>
      </c>
      <c r="AO4" s="163"/>
      <c r="AP4" s="174" t="s">
        <v>215</v>
      </c>
      <c r="AQ4" s="174"/>
      <c r="AR4" s="25"/>
      <c r="AS4" s="25"/>
      <c r="AT4" s="24"/>
      <c r="AY4" s="24"/>
      <c r="BG4" s="178" t="s">
        <v>253</v>
      </c>
    </row>
    <row r="5" spans="1:60" ht="25.9" customHeight="1" x14ac:dyDescent="0.3">
      <c r="A5" s="168" t="s">
        <v>0</v>
      </c>
      <c r="B5" s="168" t="s">
        <v>1</v>
      </c>
      <c r="C5" s="168" t="s">
        <v>3</v>
      </c>
      <c r="D5" s="168" t="s">
        <v>18</v>
      </c>
      <c r="E5" s="169" t="s">
        <v>58</v>
      </c>
      <c r="F5" s="169" t="s">
        <v>59</v>
      </c>
      <c r="G5" s="270" t="s">
        <v>274</v>
      </c>
      <c r="H5" s="270" t="s">
        <v>284</v>
      </c>
      <c r="I5" s="270" t="s">
        <v>275</v>
      </c>
      <c r="J5" s="327" t="s">
        <v>276</v>
      </c>
      <c r="K5" s="327" t="s">
        <v>285</v>
      </c>
      <c r="L5" s="327" t="s">
        <v>277</v>
      </c>
      <c r="M5" s="359" t="s">
        <v>278</v>
      </c>
      <c r="N5" s="359" t="s">
        <v>288</v>
      </c>
      <c r="O5" s="239" t="s">
        <v>62</v>
      </c>
      <c r="P5" s="239" t="s">
        <v>63</v>
      </c>
      <c r="Q5" s="168" t="s">
        <v>8</v>
      </c>
      <c r="R5" s="168" t="s">
        <v>9</v>
      </c>
      <c r="S5" s="168" t="s">
        <v>10</v>
      </c>
      <c r="T5" s="168" t="s">
        <v>11</v>
      </c>
      <c r="U5" s="349" t="s">
        <v>14</v>
      </c>
      <c r="V5" s="347" t="s">
        <v>282</v>
      </c>
      <c r="W5" s="347" t="s">
        <v>286</v>
      </c>
      <c r="X5" s="347" t="s">
        <v>283</v>
      </c>
      <c r="Y5" s="327" t="s">
        <v>129</v>
      </c>
      <c r="Z5" s="327" t="s">
        <v>280</v>
      </c>
      <c r="AA5" s="327" t="s">
        <v>287</v>
      </c>
      <c r="AB5" s="327" t="s">
        <v>281</v>
      </c>
      <c r="AC5" s="168" t="s">
        <v>19</v>
      </c>
      <c r="AD5" s="272" t="s">
        <v>20</v>
      </c>
      <c r="AE5" s="239" t="s">
        <v>22</v>
      </c>
      <c r="AF5" s="239" t="s">
        <v>23</v>
      </c>
      <c r="AG5" s="241" t="s">
        <v>21</v>
      </c>
      <c r="AH5" s="242"/>
      <c r="AI5" s="242"/>
      <c r="AJ5" s="242"/>
      <c r="AK5" s="242"/>
      <c r="AL5" s="243"/>
      <c r="AM5" s="169" t="s">
        <v>25</v>
      </c>
      <c r="AN5" s="274" t="s">
        <v>34</v>
      </c>
      <c r="AO5" s="169" t="s">
        <v>35</v>
      </c>
      <c r="AP5" s="172" t="s">
        <v>212</v>
      </c>
      <c r="AQ5" s="173"/>
      <c r="AR5" s="178" t="s">
        <v>305</v>
      </c>
      <c r="AS5" s="178" t="s">
        <v>306</v>
      </c>
      <c r="AT5" s="273" t="s">
        <v>51</v>
      </c>
      <c r="BA5" s="179" t="s">
        <v>28</v>
      </c>
      <c r="BB5" s="179"/>
      <c r="BC5" s="179" t="s">
        <v>29</v>
      </c>
      <c r="BD5" s="179"/>
      <c r="BG5" s="179"/>
    </row>
    <row r="6" spans="1:60" ht="48" customHeight="1" x14ac:dyDescent="0.3">
      <c r="A6" s="168"/>
      <c r="B6" s="168"/>
      <c r="C6" s="168"/>
      <c r="D6" s="168"/>
      <c r="E6" s="168"/>
      <c r="F6" s="168"/>
      <c r="G6" s="271"/>
      <c r="H6" s="271"/>
      <c r="I6" s="271"/>
      <c r="J6" s="328"/>
      <c r="K6" s="328"/>
      <c r="L6" s="328"/>
      <c r="M6" s="360"/>
      <c r="N6" s="360"/>
      <c r="O6" s="240"/>
      <c r="P6" s="240"/>
      <c r="Q6" s="168"/>
      <c r="R6" s="168"/>
      <c r="S6" s="168"/>
      <c r="T6" s="168"/>
      <c r="U6" s="348"/>
      <c r="V6" s="348"/>
      <c r="W6" s="348"/>
      <c r="X6" s="348"/>
      <c r="Y6" s="328"/>
      <c r="Z6" s="328"/>
      <c r="AA6" s="328"/>
      <c r="AB6" s="328"/>
      <c r="AC6" s="168"/>
      <c r="AD6" s="272"/>
      <c r="AE6" s="240"/>
      <c r="AF6" s="240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68"/>
      <c r="AN6" s="275"/>
      <c r="AO6" s="168"/>
      <c r="AP6" s="74" t="s">
        <v>213</v>
      </c>
      <c r="AQ6" s="74" t="s">
        <v>214</v>
      </c>
      <c r="AR6" s="179"/>
      <c r="AS6" s="179"/>
      <c r="AT6" s="273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0</v>
      </c>
      <c r="D7" s="4">
        <f>'3UP(실측)'!D7-UP3멍텅R</f>
        <v>0</v>
      </c>
      <c r="E7" s="4">
        <f>'3UP(실측)'!E7+MAX(AR7,AS7)+IF(BG7=1,AG7,0)+UP3멍텅JBJD늘림치수</f>
        <v>5</v>
      </c>
      <c r="F7" s="4">
        <f>'3UP(실측)'!F7+MAX(AR7,AS7)+IF(BG7=1,AJ7,0)+UP3멍텅JBJD늘림치수</f>
        <v>5</v>
      </c>
      <c r="G7" s="4">
        <f>'3UP(실측)'!G7+AR7+IF(BG7=1,AG7,0)+UP3멍텅JB강제키움+UP3멍텅JBJD늘림치수</f>
        <v>5</v>
      </c>
      <c r="H7" s="4">
        <f>'3UP(실측)'!H7+AR7+IF(BG7=1,AH7,0)+UP3멍텅JB강제키움+UP3멍텅JBJD늘림치수-IF(UP3멍텅JB하부늘치=1,'3UP(실측)'!AC7-'3UP(실측)'!AD7,0)</f>
        <v>5</v>
      </c>
      <c r="I7" s="4">
        <f>'3UP(실측)'!I7+AR7+IF(BG7=1,AI7,0)+UP3멍텅JB강제키움+UP3멍텅JBJD늘림치수-IF(UP3멍텅JB하부늘치=1,'3UP(실측)'!AC7-'3UP(실측)'!AE7,0)</f>
        <v>5</v>
      </c>
      <c r="J7" s="4">
        <f>'3UP(실측)'!J7+AS7+IF(BG7=1,AJ7,0)+UP3멍텅JB강제키움+UP3멍텅JBJD늘림치수</f>
        <v>5</v>
      </c>
      <c r="K7" s="4">
        <f>'3UP(실측)'!K7+AS7+IF(BG7=1,AK7,0)+UP3멍텅JB강제키움+UP3멍텅JBJD늘림치수-IF(UP3멍텅JB하부늘치=1,'3UP(실측)'!AF7-'3UP(실측)'!AG7,0)</f>
        <v>5</v>
      </c>
      <c r="L7" s="4">
        <f>'3UP(실측)'!L7+AS7+IF(BG7=1,AL7,0)+UP3멍텅JB강제키움+UP3멍텅JBJD늘림치수-IF(UP3멍텅JB하부늘치=1,'3UP(실측)'!AF7-'3UP(실측)'!AH7,0)</f>
        <v>5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0*2.6</v>
      </c>
      <c r="AN7" s="12" t="str">
        <f t="shared" ref="AN7" si="2">BB7&amp;"*"&amp;BA7</f>
        <v>0*2.4</v>
      </c>
      <c r="AO7" s="10" t="str">
        <f t="shared" ref="AO7" si="3">BD7&amp;"*"&amp;BC7</f>
        <v>0*2.4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0</v>
      </c>
      <c r="AV7" s="36">
        <f>E7-COS(RADIANS(AU7))*G7</f>
        <v>0</v>
      </c>
      <c r="AW7" s="36">
        <f>F7-COS(RADIANS(AU7))*J7</f>
        <v>0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2.6000000000000005</v>
      </c>
      <c r="BA7" s="3">
        <f>S7+Q7+MAX(G7,I7)+AF7-1.2*$AO$3+IF(BG7=0,MAX(AG7,AI7))+IF(S7=0,1.2,0)</f>
        <v>2.4000000000000004</v>
      </c>
      <c r="BB7" s="3">
        <f>MAX(U7,V7+W7+X7)</f>
        <v>0</v>
      </c>
      <c r="BC7" s="3">
        <f>T7+R7+MAX(J7,L7)+AF7-1.2*$AO$3+IF(BG7=0,MAX(AJ7,AL7))+IF(T7=0,1.2,0)</f>
        <v>2.4000000000000004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2022-12-02T03:36:41Z</cp:lastPrinted>
  <dcterms:created xsi:type="dcterms:W3CDTF">2020-01-09T06:39:51Z</dcterms:created>
  <dcterms:modified xsi:type="dcterms:W3CDTF">2023-10-24T07:41:38Z</dcterms:modified>
</cp:coreProperties>
</file>