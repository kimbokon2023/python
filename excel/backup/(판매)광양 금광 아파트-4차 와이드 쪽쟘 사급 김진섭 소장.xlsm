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E293A9C9-83E0-48A2-981B-159C4031B161}" xr6:coauthVersionLast="47" xr6:coauthVersionMax="47" xr10:uidLastSave="{00000000-0000-0000-0000-000000000000}"/>
  <bookViews>
    <workbookView xWindow="28680" yWindow="-120" windowWidth="29040" windowHeight="15840" tabRatio="947" activeTab="3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쪽쟘샤링!$A$1:$X$127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14" l="1"/>
  <c r="L8" i="14"/>
  <c r="M8" i="14"/>
  <c r="N8" i="14"/>
  <c r="K9" i="14"/>
  <c r="L9" i="14"/>
  <c r="M9" i="14"/>
  <c r="AG9" i="14" s="1"/>
  <c r="AD9" i="15" s="1"/>
  <c r="N9" i="14"/>
  <c r="K10" i="14"/>
  <c r="L10" i="14"/>
  <c r="M10" i="14"/>
  <c r="N10" i="14"/>
  <c r="K11" i="14"/>
  <c r="L11" i="14"/>
  <c r="M11" i="14"/>
  <c r="AG11" i="14" s="1"/>
  <c r="AD11" i="15" s="1"/>
  <c r="N11" i="14"/>
  <c r="K12" i="14"/>
  <c r="L12" i="14"/>
  <c r="M12" i="14"/>
  <c r="N12" i="14"/>
  <c r="K13" i="14"/>
  <c r="L13" i="14"/>
  <c r="M13" i="14"/>
  <c r="AG13" i="14" s="1"/>
  <c r="AD13" i="15" s="1"/>
  <c r="N13" i="14"/>
  <c r="K14" i="14"/>
  <c r="L14" i="14"/>
  <c r="M14" i="14"/>
  <c r="N14" i="14"/>
  <c r="K15" i="14"/>
  <c r="L15" i="14"/>
  <c r="M15" i="14"/>
  <c r="AG15" i="14" s="1"/>
  <c r="AD15" i="15" s="1"/>
  <c r="N15" i="14"/>
  <c r="K16" i="14"/>
  <c r="L16" i="14"/>
  <c r="M16" i="14"/>
  <c r="N16" i="14"/>
  <c r="K17" i="14"/>
  <c r="L17" i="14"/>
  <c r="M17" i="14"/>
  <c r="AG17" i="14" s="1"/>
  <c r="AD17" i="15" s="1"/>
  <c r="N17" i="14"/>
  <c r="K18" i="14"/>
  <c r="L18" i="14"/>
  <c r="M18" i="14"/>
  <c r="N18" i="14"/>
  <c r="K19" i="14"/>
  <c r="L19" i="14"/>
  <c r="M19" i="14"/>
  <c r="AG19" i="14" s="1"/>
  <c r="AD19" i="15" s="1"/>
  <c r="N19" i="14"/>
  <c r="K20" i="14"/>
  <c r="L20" i="14"/>
  <c r="M20" i="14"/>
  <c r="N20" i="14"/>
  <c r="K21" i="14"/>
  <c r="L21" i="14"/>
  <c r="M21" i="14"/>
  <c r="AG21" i="14" s="1"/>
  <c r="AD21" i="15" s="1"/>
  <c r="N21" i="14"/>
  <c r="K22" i="14"/>
  <c r="L22" i="14"/>
  <c r="M22" i="14"/>
  <c r="N22" i="14"/>
  <c r="K23" i="14"/>
  <c r="L23" i="14"/>
  <c r="M23" i="14"/>
  <c r="AG23" i="14" s="1"/>
  <c r="AD23" i="15" s="1"/>
  <c r="N23" i="14"/>
  <c r="K24" i="14"/>
  <c r="L24" i="14"/>
  <c r="M24" i="14"/>
  <c r="N24" i="14"/>
  <c r="K25" i="14"/>
  <c r="L25" i="14"/>
  <c r="M25" i="14"/>
  <c r="AG25" i="14" s="1"/>
  <c r="AD25" i="15" s="1"/>
  <c r="N25" i="14"/>
  <c r="K26" i="14"/>
  <c r="L26" i="14"/>
  <c r="M26" i="14"/>
  <c r="N26" i="14"/>
  <c r="K27" i="14"/>
  <c r="L27" i="14"/>
  <c r="M27" i="14"/>
  <c r="AG27" i="14" s="1"/>
  <c r="AD27" i="15" s="1"/>
  <c r="N27" i="14"/>
  <c r="K28" i="14"/>
  <c r="L28" i="14"/>
  <c r="M28" i="14"/>
  <c r="N28" i="14"/>
  <c r="K29" i="14"/>
  <c r="L29" i="14"/>
  <c r="M29" i="14"/>
  <c r="AG29" i="14" s="1"/>
  <c r="AD29" i="15" s="1"/>
  <c r="N29" i="14"/>
  <c r="K30" i="14"/>
  <c r="L30" i="14"/>
  <c r="M30" i="14"/>
  <c r="N30" i="14"/>
  <c r="K31" i="14"/>
  <c r="L31" i="14"/>
  <c r="M31" i="14"/>
  <c r="AG31" i="14" s="1"/>
  <c r="AD31" i="15" s="1"/>
  <c r="N31" i="14"/>
  <c r="K32" i="14"/>
  <c r="L32" i="14"/>
  <c r="M32" i="14"/>
  <c r="N32" i="14"/>
  <c r="K33" i="14"/>
  <c r="L33" i="14"/>
  <c r="M33" i="14"/>
  <c r="AG33" i="14" s="1"/>
  <c r="AD33" i="15" s="1"/>
  <c r="N33" i="14"/>
  <c r="K34" i="14"/>
  <c r="L34" i="14"/>
  <c r="M34" i="14"/>
  <c r="N34" i="14"/>
  <c r="K35" i="14"/>
  <c r="L35" i="14"/>
  <c r="M35" i="14"/>
  <c r="AG35" i="14" s="1"/>
  <c r="AD35" i="15" s="1"/>
  <c r="N35" i="14"/>
  <c r="K36" i="14"/>
  <c r="L36" i="14"/>
  <c r="M36" i="14"/>
  <c r="N36" i="14"/>
  <c r="K37" i="14"/>
  <c r="L37" i="14"/>
  <c r="M37" i="14"/>
  <c r="AG37" i="14" s="1"/>
  <c r="AD37" i="15" s="1"/>
  <c r="N37" i="14"/>
  <c r="K38" i="14"/>
  <c r="L38" i="14"/>
  <c r="M38" i="14"/>
  <c r="N38" i="14"/>
  <c r="K39" i="14"/>
  <c r="L39" i="14"/>
  <c r="M39" i="14"/>
  <c r="AG39" i="14" s="1"/>
  <c r="AD39" i="15" s="1"/>
  <c r="N39" i="14"/>
  <c r="K40" i="14"/>
  <c r="L40" i="14"/>
  <c r="M40" i="14"/>
  <c r="N40" i="14"/>
  <c r="K41" i="14"/>
  <c r="L41" i="14"/>
  <c r="M41" i="14"/>
  <c r="AG41" i="14" s="1"/>
  <c r="AD41" i="15" s="1"/>
  <c r="N41" i="14"/>
  <c r="K42" i="14"/>
  <c r="L42" i="14"/>
  <c r="M42" i="14"/>
  <c r="N42" i="14"/>
  <c r="K43" i="14"/>
  <c r="L43" i="14"/>
  <c r="M43" i="14"/>
  <c r="AG43" i="14" s="1"/>
  <c r="AD43" i="15" s="1"/>
  <c r="N43" i="14"/>
  <c r="K44" i="14"/>
  <c r="L44" i="14"/>
  <c r="M44" i="14"/>
  <c r="N44" i="14"/>
  <c r="K45" i="14"/>
  <c r="L45" i="14"/>
  <c r="M45" i="14"/>
  <c r="AG45" i="14" s="1"/>
  <c r="AD45" i="15" s="1"/>
  <c r="N45" i="14"/>
  <c r="K46" i="14"/>
  <c r="L46" i="14"/>
  <c r="M46" i="14"/>
  <c r="N46" i="14"/>
  <c r="K47" i="14"/>
  <c r="L47" i="14"/>
  <c r="M47" i="14"/>
  <c r="AG47" i="14" s="1"/>
  <c r="AD47" i="15" s="1"/>
  <c r="N47" i="14"/>
  <c r="K48" i="14"/>
  <c r="L48" i="14"/>
  <c r="M48" i="14"/>
  <c r="N48" i="14"/>
  <c r="K49" i="14"/>
  <c r="L49" i="14"/>
  <c r="M49" i="14"/>
  <c r="AG49" i="14" s="1"/>
  <c r="AD49" i="15" s="1"/>
  <c r="N49" i="14"/>
  <c r="K50" i="14"/>
  <c r="L50" i="14"/>
  <c r="M50" i="14"/>
  <c r="N50" i="14"/>
  <c r="K51" i="14"/>
  <c r="L51" i="14"/>
  <c r="M51" i="14"/>
  <c r="AG51" i="14" s="1"/>
  <c r="AD51" i="15" s="1"/>
  <c r="N51" i="14"/>
  <c r="K52" i="14"/>
  <c r="L52" i="14"/>
  <c r="M52" i="14"/>
  <c r="N52" i="14"/>
  <c r="K53" i="14"/>
  <c r="L53" i="14"/>
  <c r="M53" i="14"/>
  <c r="AG53" i="14" s="1"/>
  <c r="AD53" i="15" s="1"/>
  <c r="N53" i="14"/>
  <c r="K54" i="14"/>
  <c r="L54" i="14"/>
  <c r="M54" i="14"/>
  <c r="N54" i="14"/>
  <c r="K55" i="14"/>
  <c r="L55" i="14"/>
  <c r="M55" i="14"/>
  <c r="AG55" i="14" s="1"/>
  <c r="AD55" i="15" s="1"/>
  <c r="N55" i="14"/>
  <c r="K56" i="14"/>
  <c r="L56" i="14"/>
  <c r="M56" i="14"/>
  <c r="N56" i="14"/>
  <c r="K57" i="14"/>
  <c r="L57" i="14"/>
  <c r="M57" i="14"/>
  <c r="AG57" i="14" s="1"/>
  <c r="AD57" i="15" s="1"/>
  <c r="N57" i="14"/>
  <c r="K58" i="14"/>
  <c r="L58" i="14"/>
  <c r="M58" i="14"/>
  <c r="N58" i="14"/>
  <c r="K59" i="14"/>
  <c r="L59" i="14"/>
  <c r="M59" i="14"/>
  <c r="AG59" i="14" s="1"/>
  <c r="AD59" i="15" s="1"/>
  <c r="N59" i="14"/>
  <c r="K60" i="14"/>
  <c r="L60" i="14"/>
  <c r="M60" i="14"/>
  <c r="N60" i="14"/>
  <c r="K61" i="14"/>
  <c r="L61" i="14"/>
  <c r="M61" i="14"/>
  <c r="AG61" i="14" s="1"/>
  <c r="AD61" i="15" s="1"/>
  <c r="N61" i="14"/>
  <c r="K62" i="14"/>
  <c r="L62" i="14"/>
  <c r="M62" i="14"/>
  <c r="N62" i="14"/>
  <c r="K63" i="14"/>
  <c r="L63" i="14"/>
  <c r="M63" i="14"/>
  <c r="AG63" i="14" s="1"/>
  <c r="AD63" i="15" s="1"/>
  <c r="N63" i="14"/>
  <c r="K64" i="14"/>
  <c r="L64" i="14"/>
  <c r="M64" i="14"/>
  <c r="N64" i="14"/>
  <c r="K65" i="14"/>
  <c r="L65" i="14"/>
  <c r="M65" i="14"/>
  <c r="AG65" i="14" s="1"/>
  <c r="AD65" i="15" s="1"/>
  <c r="N65" i="14"/>
  <c r="K66" i="14"/>
  <c r="L66" i="14"/>
  <c r="M66" i="14"/>
  <c r="N66" i="14"/>
  <c r="K67" i="14"/>
  <c r="L67" i="14"/>
  <c r="M67" i="14"/>
  <c r="AG67" i="14" s="1"/>
  <c r="AD67" i="15" s="1"/>
  <c r="N67" i="14"/>
  <c r="K68" i="14"/>
  <c r="L68" i="14"/>
  <c r="M68" i="14"/>
  <c r="N68" i="14"/>
  <c r="K69" i="14"/>
  <c r="L69" i="14"/>
  <c r="M69" i="14"/>
  <c r="AG69" i="14" s="1"/>
  <c r="AD69" i="15" s="1"/>
  <c r="N69" i="14"/>
  <c r="K70" i="14"/>
  <c r="L70" i="14"/>
  <c r="M70" i="14"/>
  <c r="N70" i="14"/>
  <c r="K71" i="14"/>
  <c r="L71" i="14"/>
  <c r="M71" i="14"/>
  <c r="AG71" i="14" s="1"/>
  <c r="AD71" i="15" s="1"/>
  <c r="N71" i="14"/>
  <c r="K72" i="14"/>
  <c r="L72" i="14"/>
  <c r="M72" i="14"/>
  <c r="N72" i="14"/>
  <c r="K73" i="14"/>
  <c r="L73" i="14"/>
  <c r="M73" i="14"/>
  <c r="AG73" i="14" s="1"/>
  <c r="AD73" i="15" s="1"/>
  <c r="N73" i="14"/>
  <c r="K74" i="14"/>
  <c r="L74" i="14"/>
  <c r="M74" i="14"/>
  <c r="N74" i="14"/>
  <c r="K75" i="14"/>
  <c r="L75" i="14"/>
  <c r="M75" i="14"/>
  <c r="AG75" i="14" s="1"/>
  <c r="AD75" i="15" s="1"/>
  <c r="N75" i="14"/>
  <c r="K76" i="14"/>
  <c r="L76" i="14"/>
  <c r="M76" i="14"/>
  <c r="N76" i="14"/>
  <c r="K77" i="14"/>
  <c r="L77" i="14"/>
  <c r="M77" i="14"/>
  <c r="AG77" i="14" s="1"/>
  <c r="AD77" i="15" s="1"/>
  <c r="N77" i="14"/>
  <c r="K78" i="14"/>
  <c r="L78" i="14"/>
  <c r="M78" i="14"/>
  <c r="N78" i="14"/>
  <c r="K79" i="14"/>
  <c r="L79" i="14"/>
  <c r="M79" i="14"/>
  <c r="AG79" i="14" s="1"/>
  <c r="AD79" i="15" s="1"/>
  <c r="N79" i="14"/>
  <c r="K80" i="14"/>
  <c r="L80" i="14"/>
  <c r="M80" i="14"/>
  <c r="N80" i="14"/>
  <c r="K81" i="14"/>
  <c r="L81" i="14"/>
  <c r="M81" i="14"/>
  <c r="AG81" i="14" s="1"/>
  <c r="AD81" i="15" s="1"/>
  <c r="N81" i="14"/>
  <c r="K82" i="14"/>
  <c r="L82" i="14"/>
  <c r="M82" i="14"/>
  <c r="N82" i="14"/>
  <c r="K83" i="14"/>
  <c r="L83" i="14"/>
  <c r="M83" i="14"/>
  <c r="AG83" i="14" s="1"/>
  <c r="AD83" i="15" s="1"/>
  <c r="N83" i="14"/>
  <c r="K84" i="14"/>
  <c r="L84" i="14"/>
  <c r="M84" i="14"/>
  <c r="N84" i="14"/>
  <c r="K85" i="14"/>
  <c r="L85" i="14"/>
  <c r="M85" i="14"/>
  <c r="AG85" i="14" s="1"/>
  <c r="AD85" i="15" s="1"/>
  <c r="N85" i="14"/>
  <c r="K86" i="14"/>
  <c r="L86" i="14"/>
  <c r="M86" i="14"/>
  <c r="N86" i="14"/>
  <c r="K87" i="14"/>
  <c r="L87" i="14"/>
  <c r="M87" i="14"/>
  <c r="AG87" i="14" s="1"/>
  <c r="AD87" i="15" s="1"/>
  <c r="N87" i="14"/>
  <c r="K88" i="14"/>
  <c r="L88" i="14"/>
  <c r="M88" i="14"/>
  <c r="N88" i="14"/>
  <c r="K89" i="14"/>
  <c r="L89" i="14"/>
  <c r="M89" i="14"/>
  <c r="AG89" i="14" s="1"/>
  <c r="AD89" i="15" s="1"/>
  <c r="N89" i="14"/>
  <c r="K90" i="14"/>
  <c r="L90" i="14"/>
  <c r="M90" i="14"/>
  <c r="N90" i="14"/>
  <c r="K91" i="14"/>
  <c r="L91" i="14"/>
  <c r="M91" i="14"/>
  <c r="AG91" i="14" s="1"/>
  <c r="AD91" i="15" s="1"/>
  <c r="N91" i="14"/>
  <c r="K92" i="14"/>
  <c r="L92" i="14"/>
  <c r="M92" i="14"/>
  <c r="N92" i="14"/>
  <c r="K93" i="14"/>
  <c r="L93" i="14"/>
  <c r="M93" i="14"/>
  <c r="AG93" i="14" s="1"/>
  <c r="AD93" i="15" s="1"/>
  <c r="N93" i="14"/>
  <c r="K94" i="14"/>
  <c r="L94" i="14"/>
  <c r="M94" i="14"/>
  <c r="N94" i="14"/>
  <c r="K95" i="14"/>
  <c r="L95" i="14"/>
  <c r="M95" i="14"/>
  <c r="AG95" i="14" s="1"/>
  <c r="AD95" i="15" s="1"/>
  <c r="N95" i="14"/>
  <c r="K96" i="14"/>
  <c r="L96" i="14"/>
  <c r="M96" i="14"/>
  <c r="N96" i="14"/>
  <c r="K97" i="14"/>
  <c r="L97" i="14"/>
  <c r="M97" i="14"/>
  <c r="AG97" i="14" s="1"/>
  <c r="AD97" i="15" s="1"/>
  <c r="N97" i="14"/>
  <c r="K98" i="14"/>
  <c r="L98" i="14"/>
  <c r="M98" i="14"/>
  <c r="N98" i="14"/>
  <c r="K99" i="14"/>
  <c r="L99" i="14"/>
  <c r="M99" i="14"/>
  <c r="AG99" i="14" s="1"/>
  <c r="AD99" i="15" s="1"/>
  <c r="N99" i="14"/>
  <c r="K100" i="14"/>
  <c r="L100" i="14"/>
  <c r="M100" i="14"/>
  <c r="N100" i="14"/>
  <c r="K101" i="14"/>
  <c r="L101" i="14"/>
  <c r="M101" i="14"/>
  <c r="AG101" i="14" s="1"/>
  <c r="AD101" i="15" s="1"/>
  <c r="N101" i="14"/>
  <c r="K102" i="14"/>
  <c r="L102" i="14"/>
  <c r="M102" i="14"/>
  <c r="N102" i="14"/>
  <c r="K103" i="14"/>
  <c r="L103" i="14"/>
  <c r="M103" i="14"/>
  <c r="AG103" i="14" s="1"/>
  <c r="AD103" i="15" s="1"/>
  <c r="N103" i="14"/>
  <c r="K104" i="14"/>
  <c r="L104" i="14"/>
  <c r="M104" i="14"/>
  <c r="N104" i="14"/>
  <c r="K105" i="14"/>
  <c r="L105" i="14"/>
  <c r="M105" i="14"/>
  <c r="AG105" i="14" s="1"/>
  <c r="AD105" i="15" s="1"/>
  <c r="N105" i="14"/>
  <c r="K106" i="14"/>
  <c r="L106" i="14"/>
  <c r="M106" i="14"/>
  <c r="N106" i="14"/>
  <c r="K107" i="14"/>
  <c r="L107" i="14"/>
  <c r="M107" i="14"/>
  <c r="AG107" i="14" s="1"/>
  <c r="AD107" i="15" s="1"/>
  <c r="N107" i="14"/>
  <c r="K108" i="14"/>
  <c r="L108" i="14"/>
  <c r="M108" i="14"/>
  <c r="N108" i="14"/>
  <c r="K109" i="14"/>
  <c r="L109" i="14"/>
  <c r="M109" i="14"/>
  <c r="AG109" i="14" s="1"/>
  <c r="AD109" i="15" s="1"/>
  <c r="N109" i="14"/>
  <c r="K110" i="14"/>
  <c r="L110" i="14"/>
  <c r="M110" i="14"/>
  <c r="N110" i="14"/>
  <c r="K111" i="14"/>
  <c r="L111" i="14"/>
  <c r="M111" i="14"/>
  <c r="AG111" i="14" s="1"/>
  <c r="AD111" i="15" s="1"/>
  <c r="N111" i="14"/>
  <c r="K112" i="14"/>
  <c r="L112" i="14"/>
  <c r="M112" i="14"/>
  <c r="N112" i="14"/>
  <c r="K113" i="14"/>
  <c r="L113" i="14"/>
  <c r="M113" i="14"/>
  <c r="AG113" i="14" s="1"/>
  <c r="AD113" i="15" s="1"/>
  <c r="N113" i="14"/>
  <c r="K114" i="14"/>
  <c r="L114" i="14"/>
  <c r="M114" i="14"/>
  <c r="N114" i="14"/>
  <c r="K115" i="14"/>
  <c r="L115" i="14"/>
  <c r="M115" i="14"/>
  <c r="AG115" i="14" s="1"/>
  <c r="AD115" i="15" s="1"/>
  <c r="N115" i="14"/>
  <c r="K116" i="14"/>
  <c r="L116" i="14"/>
  <c r="M116" i="14"/>
  <c r="N116" i="14"/>
  <c r="K117" i="14"/>
  <c r="L117" i="14"/>
  <c r="M117" i="14"/>
  <c r="AG117" i="14" s="1"/>
  <c r="AD117" i="15" s="1"/>
  <c r="N117" i="14"/>
  <c r="K118" i="14"/>
  <c r="L118" i="14"/>
  <c r="M118" i="14"/>
  <c r="N118" i="14"/>
  <c r="K119" i="14"/>
  <c r="L119" i="14"/>
  <c r="M119" i="14"/>
  <c r="AG119" i="14" s="1"/>
  <c r="AD119" i="15" s="1"/>
  <c r="N119" i="14"/>
  <c r="K120" i="14"/>
  <c r="L120" i="14"/>
  <c r="M120" i="14"/>
  <c r="N120" i="14"/>
  <c r="K121" i="14"/>
  <c r="L121" i="14"/>
  <c r="M121" i="14"/>
  <c r="AG121" i="14" s="1"/>
  <c r="AD121" i="15" s="1"/>
  <c r="N121" i="14"/>
  <c r="K122" i="14"/>
  <c r="L122" i="14"/>
  <c r="M122" i="14"/>
  <c r="N122" i="14"/>
  <c r="K123" i="14"/>
  <c r="L123" i="14"/>
  <c r="M123" i="14"/>
  <c r="AG123" i="14" s="1"/>
  <c r="AD123" i="15" s="1"/>
  <c r="N123" i="14"/>
  <c r="K124" i="14"/>
  <c r="L124" i="14"/>
  <c r="M124" i="14"/>
  <c r="N124" i="14"/>
  <c r="K125" i="14"/>
  <c r="L125" i="14"/>
  <c r="M125" i="14"/>
  <c r="AG125" i="14" s="1"/>
  <c r="AD125" i="15" s="1"/>
  <c r="N125" i="14"/>
  <c r="K126" i="14"/>
  <c r="L126" i="14"/>
  <c r="M126" i="14"/>
  <c r="N126" i="14"/>
  <c r="K127" i="14"/>
  <c r="L127" i="14"/>
  <c r="M127" i="14"/>
  <c r="AG127" i="14" s="1"/>
  <c r="AD127" i="15" s="1"/>
  <c r="N127" i="14"/>
  <c r="N7" i="14"/>
  <c r="M7" i="14"/>
  <c r="L7" i="14"/>
  <c r="K7" i="14"/>
  <c r="AC8" i="14"/>
  <c r="AD8" i="14"/>
  <c r="AE8" i="14"/>
  <c r="AB8" i="15" s="1"/>
  <c r="AF8" i="14"/>
  <c r="AG8" i="14"/>
  <c r="AC9" i="14"/>
  <c r="AD9" i="14"/>
  <c r="AA9" i="15" s="1"/>
  <c r="AE9" i="14"/>
  <c r="AF9" i="14"/>
  <c r="AC10" i="14"/>
  <c r="AD10" i="14"/>
  <c r="AE10" i="14"/>
  <c r="AF10" i="14"/>
  <c r="AG10" i="14"/>
  <c r="AD10" i="15" s="1"/>
  <c r="AC11" i="14"/>
  <c r="AD11" i="14"/>
  <c r="AE11" i="14"/>
  <c r="AF11" i="14"/>
  <c r="AC12" i="14"/>
  <c r="AD12" i="14"/>
  <c r="AE12" i="14"/>
  <c r="AB12" i="15" s="1"/>
  <c r="AF12" i="14"/>
  <c r="AG12" i="14"/>
  <c r="AC13" i="14"/>
  <c r="AD13" i="14"/>
  <c r="AE13" i="14"/>
  <c r="AF13" i="14"/>
  <c r="AC14" i="14"/>
  <c r="Z14" i="15" s="1"/>
  <c r="C14" i="15" s="1"/>
  <c r="AD14" i="14"/>
  <c r="AE14" i="14"/>
  <c r="AF14" i="14"/>
  <c r="AG14" i="14"/>
  <c r="AD14" i="15" s="1"/>
  <c r="AC15" i="14"/>
  <c r="AD15" i="14"/>
  <c r="AE15" i="14"/>
  <c r="AF15" i="14"/>
  <c r="AC16" i="14"/>
  <c r="AD16" i="14"/>
  <c r="AE16" i="14"/>
  <c r="AF16" i="14"/>
  <c r="AG16" i="14"/>
  <c r="AC17" i="14"/>
  <c r="AD17" i="14"/>
  <c r="AA17" i="15" s="1"/>
  <c r="AE17" i="14"/>
  <c r="AF17" i="14"/>
  <c r="AC18" i="14"/>
  <c r="AD18" i="14"/>
  <c r="AE18" i="14"/>
  <c r="AF18" i="14"/>
  <c r="AG18" i="14"/>
  <c r="AD18" i="15" s="1"/>
  <c r="AC19" i="14"/>
  <c r="AD19" i="14"/>
  <c r="AE19" i="14"/>
  <c r="AF19" i="14"/>
  <c r="AC20" i="14"/>
  <c r="AD20" i="14"/>
  <c r="AE20" i="14"/>
  <c r="AB20" i="15" s="1"/>
  <c r="AF20" i="14"/>
  <c r="AG20" i="14"/>
  <c r="AC21" i="14"/>
  <c r="AD21" i="14"/>
  <c r="AE21" i="14"/>
  <c r="AF21" i="14"/>
  <c r="AC22" i="14"/>
  <c r="Z22" i="15" s="1"/>
  <c r="C22" i="15" s="1"/>
  <c r="AD22" i="14"/>
  <c r="AE22" i="14"/>
  <c r="AF22" i="14"/>
  <c r="AG22" i="14"/>
  <c r="AC23" i="14"/>
  <c r="AD23" i="14"/>
  <c r="AE23" i="14"/>
  <c r="AF23" i="14"/>
  <c r="AC24" i="14"/>
  <c r="AD24" i="14"/>
  <c r="AE24" i="14"/>
  <c r="AB24" i="15" s="1"/>
  <c r="AF24" i="14"/>
  <c r="AG24" i="14"/>
  <c r="AC25" i="14"/>
  <c r="AD25" i="14"/>
  <c r="AA25" i="15" s="1"/>
  <c r="AE25" i="14"/>
  <c r="AF25" i="14"/>
  <c r="AC26" i="14"/>
  <c r="AD26" i="14"/>
  <c r="AE26" i="14"/>
  <c r="AF26" i="14"/>
  <c r="AG26" i="14"/>
  <c r="AD26" i="15" s="1"/>
  <c r="AC27" i="14"/>
  <c r="AD27" i="14"/>
  <c r="AE27" i="14"/>
  <c r="AF27" i="14"/>
  <c r="AC28" i="14"/>
  <c r="AD28" i="14"/>
  <c r="AE28" i="14"/>
  <c r="AB28" i="15" s="1"/>
  <c r="AF28" i="14"/>
  <c r="AG28" i="14"/>
  <c r="AC29" i="14"/>
  <c r="AD29" i="14"/>
  <c r="AE29" i="14"/>
  <c r="AF29" i="14"/>
  <c r="AC30" i="14"/>
  <c r="AD30" i="14"/>
  <c r="AE30" i="14"/>
  <c r="AF30" i="14"/>
  <c r="AG30" i="14"/>
  <c r="AD30" i="15" s="1"/>
  <c r="AC31" i="14"/>
  <c r="AD31" i="14"/>
  <c r="AE31" i="14"/>
  <c r="AF31" i="14"/>
  <c r="AC32" i="14"/>
  <c r="AD32" i="14"/>
  <c r="AE32" i="14"/>
  <c r="AB32" i="15" s="1"/>
  <c r="AF32" i="14"/>
  <c r="AG32" i="14"/>
  <c r="AC33" i="14"/>
  <c r="AD33" i="14"/>
  <c r="AA33" i="15" s="1"/>
  <c r="AE33" i="14"/>
  <c r="AF33" i="14"/>
  <c r="AC34" i="14"/>
  <c r="AD34" i="14"/>
  <c r="AE34" i="14"/>
  <c r="AF34" i="14"/>
  <c r="AG34" i="14"/>
  <c r="AC35" i="14"/>
  <c r="AD35" i="14"/>
  <c r="AE35" i="14"/>
  <c r="AF35" i="14"/>
  <c r="AC36" i="14"/>
  <c r="AD36" i="14"/>
  <c r="AE36" i="14"/>
  <c r="AB36" i="15" s="1"/>
  <c r="AF36" i="14"/>
  <c r="AG36" i="14"/>
  <c r="AC37" i="14"/>
  <c r="AD37" i="14"/>
  <c r="AE37" i="14"/>
  <c r="AF37" i="14"/>
  <c r="AC38" i="14"/>
  <c r="Z38" i="15" s="1"/>
  <c r="C38" i="15" s="1"/>
  <c r="AD38" i="14"/>
  <c r="AE38" i="14"/>
  <c r="AF38" i="14"/>
  <c r="AG38" i="14"/>
  <c r="AD38" i="15" s="1"/>
  <c r="AC39" i="14"/>
  <c r="AD39" i="14"/>
  <c r="AE39" i="14"/>
  <c r="AF39" i="14"/>
  <c r="AC39" i="15" s="1"/>
  <c r="AC40" i="14"/>
  <c r="AD40" i="14"/>
  <c r="AE40" i="14"/>
  <c r="AB40" i="15" s="1"/>
  <c r="AF40" i="14"/>
  <c r="AG40" i="14"/>
  <c r="AC41" i="14"/>
  <c r="AD41" i="14"/>
  <c r="AA41" i="15" s="1"/>
  <c r="AE41" i="14"/>
  <c r="AF41" i="14"/>
  <c r="AC42" i="14"/>
  <c r="AD42" i="14"/>
  <c r="AE42" i="14"/>
  <c r="AF42" i="14"/>
  <c r="AG42" i="14"/>
  <c r="AD42" i="15" s="1"/>
  <c r="AC43" i="14"/>
  <c r="AD43" i="14"/>
  <c r="AE43" i="14"/>
  <c r="AF43" i="14"/>
  <c r="AC44" i="14"/>
  <c r="AD44" i="14"/>
  <c r="AE44" i="14"/>
  <c r="AB44" i="15" s="1"/>
  <c r="AF44" i="14"/>
  <c r="AG44" i="14"/>
  <c r="AC45" i="14"/>
  <c r="AD45" i="14"/>
  <c r="AE45" i="14"/>
  <c r="AF45" i="14"/>
  <c r="AC46" i="14"/>
  <c r="AD46" i="14"/>
  <c r="AE46" i="14"/>
  <c r="AF46" i="14"/>
  <c r="AG46" i="14"/>
  <c r="AD46" i="15" s="1"/>
  <c r="AC47" i="14"/>
  <c r="AD47" i="14"/>
  <c r="AE47" i="14"/>
  <c r="AF47" i="14"/>
  <c r="AC48" i="14"/>
  <c r="AD48" i="14"/>
  <c r="AE48" i="14"/>
  <c r="AB48" i="15" s="1"/>
  <c r="AF48" i="14"/>
  <c r="AG48" i="14"/>
  <c r="AC49" i="14"/>
  <c r="AD49" i="14"/>
  <c r="AA49" i="15" s="1"/>
  <c r="AE49" i="14"/>
  <c r="AF49" i="14"/>
  <c r="AC50" i="14"/>
  <c r="AD50" i="14"/>
  <c r="AE50" i="14"/>
  <c r="AF50" i="14"/>
  <c r="AG50" i="14"/>
  <c r="AD50" i="15" s="1"/>
  <c r="AC51" i="14"/>
  <c r="AD51" i="14"/>
  <c r="AE51" i="14"/>
  <c r="AF51" i="14"/>
  <c r="AC52" i="14"/>
  <c r="AD52" i="14"/>
  <c r="AE52" i="14"/>
  <c r="AB52" i="15" s="1"/>
  <c r="AF52" i="14"/>
  <c r="AG52" i="14"/>
  <c r="AC53" i="14"/>
  <c r="AD53" i="14"/>
  <c r="AE53" i="14"/>
  <c r="AF53" i="14"/>
  <c r="AC54" i="14"/>
  <c r="Z54" i="15" s="1"/>
  <c r="C54" i="15" s="1"/>
  <c r="AD54" i="14"/>
  <c r="AE54" i="14"/>
  <c r="AF54" i="14"/>
  <c r="AG54" i="14"/>
  <c r="AD54" i="15" s="1"/>
  <c r="AC55" i="14"/>
  <c r="AD55" i="14"/>
  <c r="AE55" i="14"/>
  <c r="AF55" i="14"/>
  <c r="AC56" i="14"/>
  <c r="AD56" i="14"/>
  <c r="AE56" i="14"/>
  <c r="AB56" i="15" s="1"/>
  <c r="AF56" i="14"/>
  <c r="AG56" i="14"/>
  <c r="AC57" i="14"/>
  <c r="AD57" i="14"/>
  <c r="AA57" i="15" s="1"/>
  <c r="AE57" i="14"/>
  <c r="AF57" i="14"/>
  <c r="AC58" i="14"/>
  <c r="AD58" i="14"/>
  <c r="AE58" i="14"/>
  <c r="AF58" i="14"/>
  <c r="AG58" i="14"/>
  <c r="AD58" i="15" s="1"/>
  <c r="AC59" i="14"/>
  <c r="AD59" i="14"/>
  <c r="AE59" i="14"/>
  <c r="AF59" i="14"/>
  <c r="AC60" i="14"/>
  <c r="AD60" i="14"/>
  <c r="AE60" i="14"/>
  <c r="AF60" i="14"/>
  <c r="AG60" i="14"/>
  <c r="AC61" i="14"/>
  <c r="AD61" i="14"/>
  <c r="AE61" i="14"/>
  <c r="AF61" i="14"/>
  <c r="AC62" i="14"/>
  <c r="Z62" i="15" s="1"/>
  <c r="C62" i="15" s="1"/>
  <c r="AD62" i="14"/>
  <c r="AE62" i="14"/>
  <c r="AF62" i="14"/>
  <c r="AG62" i="14"/>
  <c r="AD62" i="15" s="1"/>
  <c r="AC63" i="14"/>
  <c r="AD63" i="14"/>
  <c r="AE63" i="14"/>
  <c r="AF63" i="14"/>
  <c r="AC64" i="14"/>
  <c r="AD64" i="14"/>
  <c r="AE64" i="14"/>
  <c r="AF64" i="14"/>
  <c r="AG64" i="14"/>
  <c r="AC65" i="14"/>
  <c r="AD65" i="14"/>
  <c r="AA65" i="15" s="1"/>
  <c r="AE65" i="14"/>
  <c r="AF65" i="14"/>
  <c r="AC66" i="14"/>
  <c r="AD66" i="14"/>
  <c r="AE66" i="14"/>
  <c r="AF66" i="14"/>
  <c r="AG66" i="14"/>
  <c r="AD66" i="15" s="1"/>
  <c r="AC67" i="14"/>
  <c r="AD67" i="14"/>
  <c r="AE67" i="14"/>
  <c r="AF67" i="14"/>
  <c r="AC68" i="14"/>
  <c r="AD68" i="14"/>
  <c r="AE68" i="14"/>
  <c r="AB68" i="15" s="1"/>
  <c r="AF68" i="14"/>
  <c r="AG68" i="14"/>
  <c r="AC69" i="14"/>
  <c r="AD69" i="14"/>
  <c r="AE69" i="14"/>
  <c r="AF69" i="14"/>
  <c r="AC70" i="14"/>
  <c r="Z70" i="15" s="1"/>
  <c r="C70" i="15" s="1"/>
  <c r="AD70" i="14"/>
  <c r="AE70" i="14"/>
  <c r="AF70" i="14"/>
  <c r="AG70" i="14"/>
  <c r="AD70" i="15" s="1"/>
  <c r="AC71" i="14"/>
  <c r="AD71" i="14"/>
  <c r="AE71" i="14"/>
  <c r="AF71" i="14"/>
  <c r="AC72" i="14"/>
  <c r="AD72" i="14"/>
  <c r="AE72" i="14"/>
  <c r="AF72" i="14"/>
  <c r="AG72" i="14"/>
  <c r="AC73" i="14"/>
  <c r="AD73" i="14"/>
  <c r="AE73" i="14"/>
  <c r="AF73" i="14"/>
  <c r="AC74" i="14"/>
  <c r="AD74" i="14"/>
  <c r="AE74" i="14"/>
  <c r="AF74" i="14"/>
  <c r="AG74" i="14"/>
  <c r="AD74" i="15" s="1"/>
  <c r="AC75" i="14"/>
  <c r="AD75" i="14"/>
  <c r="AE75" i="14"/>
  <c r="AF75" i="14"/>
  <c r="AC76" i="14"/>
  <c r="AD76" i="14"/>
  <c r="AE76" i="14"/>
  <c r="AB76" i="15" s="1"/>
  <c r="AF76" i="14"/>
  <c r="AG76" i="14"/>
  <c r="AC77" i="14"/>
  <c r="AD77" i="14"/>
  <c r="AE77" i="14"/>
  <c r="AF77" i="14"/>
  <c r="AC78" i="14"/>
  <c r="Z78" i="15" s="1"/>
  <c r="C78" i="15" s="1"/>
  <c r="AD78" i="14"/>
  <c r="AE78" i="14"/>
  <c r="AF78" i="14"/>
  <c r="AG78" i="14"/>
  <c r="AD78" i="15" s="1"/>
  <c r="AC79" i="14"/>
  <c r="AD79" i="14"/>
  <c r="AE79" i="14"/>
  <c r="AF79" i="14"/>
  <c r="AC79" i="15" s="1"/>
  <c r="AC80" i="14"/>
  <c r="AD80" i="14"/>
  <c r="AE80" i="14"/>
  <c r="AF80" i="14"/>
  <c r="AG80" i="14"/>
  <c r="AC81" i="14"/>
  <c r="AD81" i="14"/>
  <c r="AA81" i="15" s="1"/>
  <c r="AE81" i="14"/>
  <c r="AF81" i="14"/>
  <c r="AC82" i="14"/>
  <c r="AD82" i="14"/>
  <c r="AE82" i="14"/>
  <c r="AF82" i="14"/>
  <c r="AG82" i="14"/>
  <c r="AD82" i="15" s="1"/>
  <c r="AC83" i="14"/>
  <c r="AD83" i="14"/>
  <c r="AE83" i="14"/>
  <c r="AF83" i="14"/>
  <c r="AC84" i="14"/>
  <c r="AD84" i="14"/>
  <c r="AE84" i="14"/>
  <c r="AB84" i="15" s="1"/>
  <c r="AF84" i="14"/>
  <c r="AG84" i="14"/>
  <c r="AC85" i="14"/>
  <c r="AD85" i="14"/>
  <c r="AE85" i="14"/>
  <c r="AF85" i="14"/>
  <c r="AC86" i="14"/>
  <c r="Z86" i="15" s="1"/>
  <c r="C86" i="15" s="1"/>
  <c r="AD86" i="14"/>
  <c r="AE86" i="14"/>
  <c r="AF86" i="14"/>
  <c r="AG86" i="14"/>
  <c r="AD86" i="15" s="1"/>
  <c r="H86" i="15" s="1"/>
  <c r="AC87" i="14"/>
  <c r="AD87" i="14"/>
  <c r="AE87" i="14"/>
  <c r="AF87" i="14"/>
  <c r="AC88" i="14"/>
  <c r="AD88" i="14"/>
  <c r="AE88" i="14"/>
  <c r="AF88" i="14"/>
  <c r="AG88" i="14"/>
  <c r="AC89" i="14"/>
  <c r="AD89" i="14"/>
  <c r="AA89" i="15" s="1"/>
  <c r="AE89" i="14"/>
  <c r="AF89" i="14"/>
  <c r="AC90" i="14"/>
  <c r="AD90" i="14"/>
  <c r="AE90" i="14"/>
  <c r="AF90" i="14"/>
  <c r="AG90" i="14"/>
  <c r="AD90" i="15" s="1"/>
  <c r="AC91" i="14"/>
  <c r="AD91" i="14"/>
  <c r="AE91" i="14"/>
  <c r="AF91" i="14"/>
  <c r="AC92" i="14"/>
  <c r="AD92" i="14"/>
  <c r="AE92" i="14"/>
  <c r="AB92" i="15" s="1"/>
  <c r="AF92" i="14"/>
  <c r="AG92" i="14"/>
  <c r="AC93" i="14"/>
  <c r="AD93" i="14"/>
  <c r="AE93" i="14"/>
  <c r="AF93" i="14"/>
  <c r="AC94" i="14"/>
  <c r="Z94" i="15" s="1"/>
  <c r="C94" i="15" s="1"/>
  <c r="AD94" i="14"/>
  <c r="AE94" i="14"/>
  <c r="AF94" i="14"/>
  <c r="AG94" i="14"/>
  <c r="AD94" i="15" s="1"/>
  <c r="AC95" i="14"/>
  <c r="AD95" i="14"/>
  <c r="AE95" i="14"/>
  <c r="AF95" i="14"/>
  <c r="AC95" i="15" s="1"/>
  <c r="AC96" i="14"/>
  <c r="AD96" i="14"/>
  <c r="AE96" i="14"/>
  <c r="AF96" i="14"/>
  <c r="AG96" i="14"/>
  <c r="AC97" i="14"/>
  <c r="AD97" i="14"/>
  <c r="AE97" i="14"/>
  <c r="AF97" i="14"/>
  <c r="AC98" i="14"/>
  <c r="AD98" i="14"/>
  <c r="AE98" i="14"/>
  <c r="AF98" i="14"/>
  <c r="AG98" i="14"/>
  <c r="AD98" i="15" s="1"/>
  <c r="AC99" i="14"/>
  <c r="AD99" i="14"/>
  <c r="AE99" i="14"/>
  <c r="AF99" i="14"/>
  <c r="AC100" i="14"/>
  <c r="AD100" i="14"/>
  <c r="AE100" i="14"/>
  <c r="AB100" i="15" s="1"/>
  <c r="AF100" i="14"/>
  <c r="AG100" i="14"/>
  <c r="AC101" i="14"/>
  <c r="AD101" i="14"/>
  <c r="AE101" i="14"/>
  <c r="AF101" i="14"/>
  <c r="AC102" i="14"/>
  <c r="Z102" i="15" s="1"/>
  <c r="C102" i="15" s="1"/>
  <c r="AD102" i="14"/>
  <c r="AE102" i="14"/>
  <c r="AF102" i="14"/>
  <c r="AG102" i="14"/>
  <c r="AD102" i="15" s="1"/>
  <c r="AC103" i="14"/>
  <c r="AD103" i="14"/>
  <c r="AE103" i="14"/>
  <c r="AF103" i="14"/>
  <c r="AC104" i="14"/>
  <c r="AD104" i="14"/>
  <c r="AE104" i="14"/>
  <c r="AF104" i="14"/>
  <c r="AG104" i="14"/>
  <c r="AC105" i="14"/>
  <c r="AD105" i="14"/>
  <c r="AA105" i="15" s="1"/>
  <c r="AE105" i="14"/>
  <c r="AF105" i="14"/>
  <c r="AC106" i="14"/>
  <c r="AD106" i="14"/>
  <c r="AE106" i="14"/>
  <c r="AF106" i="14"/>
  <c r="AG106" i="14"/>
  <c r="AD106" i="15" s="1"/>
  <c r="AC107" i="14"/>
  <c r="AD107" i="14"/>
  <c r="AE107" i="14"/>
  <c r="AF107" i="14"/>
  <c r="AC108" i="14"/>
  <c r="AD108" i="14"/>
  <c r="AE108" i="14"/>
  <c r="AB108" i="15" s="1"/>
  <c r="AF108" i="14"/>
  <c r="AG108" i="14"/>
  <c r="AC109" i="14"/>
  <c r="AD109" i="14"/>
  <c r="AE109" i="14"/>
  <c r="AF109" i="14"/>
  <c r="AC110" i="14"/>
  <c r="Z110" i="15" s="1"/>
  <c r="C110" i="15" s="1"/>
  <c r="AD110" i="14"/>
  <c r="AE110" i="14"/>
  <c r="AF110" i="14"/>
  <c r="AG110" i="14"/>
  <c r="AD110" i="15" s="1"/>
  <c r="AC111" i="14"/>
  <c r="AD111" i="14"/>
  <c r="AE111" i="14"/>
  <c r="AF111" i="14"/>
  <c r="AC112" i="14"/>
  <c r="AD112" i="14"/>
  <c r="AE112" i="14"/>
  <c r="AB112" i="15" s="1"/>
  <c r="AF112" i="14"/>
  <c r="AG112" i="14"/>
  <c r="AC113" i="14"/>
  <c r="AD113" i="14"/>
  <c r="AA113" i="15" s="1"/>
  <c r="AE113" i="14"/>
  <c r="AF113" i="14"/>
  <c r="AC114" i="14"/>
  <c r="AD114" i="14"/>
  <c r="AE114" i="14"/>
  <c r="AF114" i="14"/>
  <c r="AG114" i="14"/>
  <c r="AD114" i="15" s="1"/>
  <c r="AC115" i="14"/>
  <c r="AD115" i="14"/>
  <c r="AE115" i="14"/>
  <c r="AF115" i="14"/>
  <c r="AC116" i="14"/>
  <c r="AD116" i="14"/>
  <c r="AE116" i="14"/>
  <c r="AB116" i="15" s="1"/>
  <c r="AF116" i="14"/>
  <c r="AG116" i="14"/>
  <c r="AC117" i="14"/>
  <c r="AD117" i="14"/>
  <c r="AE117" i="14"/>
  <c r="AF117" i="14"/>
  <c r="AC118" i="14"/>
  <c r="Z118" i="15" s="1"/>
  <c r="C118" i="15" s="1"/>
  <c r="AD118" i="14"/>
  <c r="AE118" i="14"/>
  <c r="AF118" i="14"/>
  <c r="AG118" i="14"/>
  <c r="AD118" i="15" s="1"/>
  <c r="AC119" i="14"/>
  <c r="AD119" i="14"/>
  <c r="AE119" i="14"/>
  <c r="AF119" i="14"/>
  <c r="AC120" i="14"/>
  <c r="AD120" i="14"/>
  <c r="AE120" i="14"/>
  <c r="AB120" i="15" s="1"/>
  <c r="AF120" i="14"/>
  <c r="AG120" i="14"/>
  <c r="AC121" i="14"/>
  <c r="AD121" i="14"/>
  <c r="AA121" i="15" s="1"/>
  <c r="C121" i="15" s="1"/>
  <c r="AE121" i="14"/>
  <c r="AF121" i="14"/>
  <c r="AC122" i="14"/>
  <c r="AD122" i="14"/>
  <c r="AE122" i="14"/>
  <c r="AB122" i="15" s="1"/>
  <c r="AF122" i="14"/>
  <c r="AG122" i="14"/>
  <c r="AD122" i="15" s="1"/>
  <c r="AC123" i="14"/>
  <c r="AD123" i="14"/>
  <c r="AE123" i="14"/>
  <c r="AF123" i="14"/>
  <c r="AC124" i="14"/>
  <c r="AD124" i="14"/>
  <c r="AE124" i="14"/>
  <c r="AF124" i="14"/>
  <c r="AG124" i="14"/>
  <c r="AD124" i="15" s="1"/>
  <c r="AC125" i="14"/>
  <c r="AD125" i="14"/>
  <c r="AE125" i="14"/>
  <c r="AF125" i="14"/>
  <c r="AC126" i="14"/>
  <c r="Z126" i="15" s="1"/>
  <c r="AD126" i="14"/>
  <c r="AE126" i="14"/>
  <c r="AB126" i="15" s="1"/>
  <c r="AF126" i="14"/>
  <c r="AG126" i="14"/>
  <c r="AD126" i="15" s="1"/>
  <c r="AC127" i="14"/>
  <c r="AD127" i="14"/>
  <c r="AE127" i="14"/>
  <c r="AF127" i="14"/>
  <c r="A122" i="15"/>
  <c r="B122" i="15"/>
  <c r="D122" i="15"/>
  <c r="I122" i="15"/>
  <c r="J122" i="15"/>
  <c r="K122" i="15"/>
  <c r="L122" i="15"/>
  <c r="M122" i="15"/>
  <c r="N122" i="15"/>
  <c r="O122" i="15"/>
  <c r="P122" i="15"/>
  <c r="Q122" i="15"/>
  <c r="R122" i="15"/>
  <c r="S122" i="15"/>
  <c r="T122" i="15"/>
  <c r="U122" i="15"/>
  <c r="V122" i="15"/>
  <c r="W122" i="15"/>
  <c r="X122" i="15"/>
  <c r="Z122" i="15"/>
  <c r="AA122" i="15"/>
  <c r="A123" i="15"/>
  <c r="B123" i="15"/>
  <c r="D123" i="15"/>
  <c r="I123" i="15"/>
  <c r="J123" i="15"/>
  <c r="K123" i="15"/>
  <c r="L123" i="15"/>
  <c r="M123" i="15"/>
  <c r="N123" i="15"/>
  <c r="O123" i="15"/>
  <c r="P123" i="15"/>
  <c r="Q123" i="15"/>
  <c r="R123" i="15"/>
  <c r="S123" i="15"/>
  <c r="T123" i="15"/>
  <c r="U123" i="15"/>
  <c r="V123" i="15"/>
  <c r="W123" i="15"/>
  <c r="X123" i="15"/>
  <c r="Z123" i="15"/>
  <c r="AA123" i="15"/>
  <c r="AB123" i="15"/>
  <c r="A124" i="15"/>
  <c r="B124" i="15"/>
  <c r="D124" i="15"/>
  <c r="I124" i="15"/>
  <c r="J124" i="15"/>
  <c r="K124" i="15"/>
  <c r="L124" i="15"/>
  <c r="M124" i="15"/>
  <c r="N124" i="15"/>
  <c r="O124" i="15"/>
  <c r="P124" i="15"/>
  <c r="Q124" i="15"/>
  <c r="R124" i="15"/>
  <c r="S124" i="15"/>
  <c r="T124" i="15"/>
  <c r="U124" i="15"/>
  <c r="V124" i="15"/>
  <c r="W124" i="15"/>
  <c r="X124" i="15"/>
  <c r="Z124" i="15"/>
  <c r="AA124" i="15"/>
  <c r="C124" i="15" s="1"/>
  <c r="AB124" i="15"/>
  <c r="A125" i="15"/>
  <c r="B125" i="15"/>
  <c r="D125" i="15"/>
  <c r="I125" i="15"/>
  <c r="J125" i="15"/>
  <c r="K125" i="15"/>
  <c r="L125" i="15"/>
  <c r="M125" i="15"/>
  <c r="N125" i="15"/>
  <c r="O125" i="15"/>
  <c r="P125" i="15"/>
  <c r="Q125" i="15"/>
  <c r="R125" i="15"/>
  <c r="S125" i="15"/>
  <c r="T125" i="15"/>
  <c r="U125" i="15"/>
  <c r="V125" i="15"/>
  <c r="W125" i="15"/>
  <c r="X125" i="15"/>
  <c r="Z125" i="15"/>
  <c r="AA125" i="15"/>
  <c r="AB125" i="15"/>
  <c r="A126" i="15"/>
  <c r="B126" i="15"/>
  <c r="D126" i="15"/>
  <c r="I126" i="15"/>
  <c r="J126" i="15"/>
  <c r="K126" i="15"/>
  <c r="L126" i="15"/>
  <c r="M126" i="15"/>
  <c r="N126" i="15"/>
  <c r="O126" i="15"/>
  <c r="P126" i="15"/>
  <c r="Q126" i="15"/>
  <c r="R126" i="15"/>
  <c r="S126" i="15"/>
  <c r="T126" i="15"/>
  <c r="U126" i="15"/>
  <c r="V126" i="15"/>
  <c r="W126" i="15"/>
  <c r="X126" i="15"/>
  <c r="AA126" i="15"/>
  <c r="AC126" i="15"/>
  <c r="A127" i="15"/>
  <c r="B127" i="15"/>
  <c r="D127" i="15"/>
  <c r="I127" i="15"/>
  <c r="J127" i="15"/>
  <c r="K127" i="15"/>
  <c r="L127" i="15"/>
  <c r="M127" i="15"/>
  <c r="N127" i="15"/>
  <c r="O127" i="15"/>
  <c r="P127" i="15"/>
  <c r="Q127" i="15"/>
  <c r="R127" i="15"/>
  <c r="S127" i="15"/>
  <c r="T127" i="15"/>
  <c r="U127" i="15"/>
  <c r="V127" i="15"/>
  <c r="W127" i="15"/>
  <c r="X127" i="15"/>
  <c r="Z127" i="15"/>
  <c r="C127" i="15" s="1"/>
  <c r="AA127" i="15"/>
  <c r="AB127" i="15"/>
  <c r="A8" i="15"/>
  <c r="B8" i="15"/>
  <c r="D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Z8" i="15"/>
  <c r="AA8" i="15"/>
  <c r="AD8" i="15"/>
  <c r="A9" i="15"/>
  <c r="B9" i="15"/>
  <c r="D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Z9" i="15"/>
  <c r="AB9" i="15"/>
  <c r="A10" i="15"/>
  <c r="B10" i="15"/>
  <c r="D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Z10" i="15"/>
  <c r="AA10" i="15"/>
  <c r="AB10" i="15"/>
  <c r="A11" i="15"/>
  <c r="B11" i="15"/>
  <c r="D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Z11" i="15"/>
  <c r="C11" i="15" s="1"/>
  <c r="AA11" i="15"/>
  <c r="AB11" i="15"/>
  <c r="A12" i="15"/>
  <c r="B12" i="15"/>
  <c r="D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Z12" i="15"/>
  <c r="AA12" i="15"/>
  <c r="AD12" i="15"/>
  <c r="A13" i="15"/>
  <c r="B13" i="15"/>
  <c r="D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Z13" i="15"/>
  <c r="AA13" i="15"/>
  <c r="AB13" i="15"/>
  <c r="A14" i="15"/>
  <c r="B14" i="15"/>
  <c r="D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AA14" i="15"/>
  <c r="AB14" i="15"/>
  <c r="A15" i="15"/>
  <c r="B15" i="15"/>
  <c r="D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Z15" i="15"/>
  <c r="C15" i="15" s="1"/>
  <c r="AA15" i="15"/>
  <c r="AB15" i="15"/>
  <c r="A16" i="15"/>
  <c r="B16" i="15"/>
  <c r="D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Z16" i="15"/>
  <c r="AA16" i="15"/>
  <c r="AB16" i="15"/>
  <c r="AD16" i="15"/>
  <c r="A17" i="15"/>
  <c r="B17" i="15"/>
  <c r="D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Z17" i="15"/>
  <c r="AB17" i="15"/>
  <c r="A18" i="15"/>
  <c r="B18" i="15"/>
  <c r="D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Z18" i="15"/>
  <c r="AA18" i="15"/>
  <c r="AB18" i="15"/>
  <c r="A19" i="15"/>
  <c r="B19" i="15"/>
  <c r="D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Z19" i="15"/>
  <c r="C19" i="15" s="1"/>
  <c r="AA19" i="15"/>
  <c r="AB19" i="15"/>
  <c r="A20" i="15"/>
  <c r="B20" i="15"/>
  <c r="D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Z20" i="15"/>
  <c r="AA20" i="15"/>
  <c r="AD20" i="15"/>
  <c r="A21" i="15"/>
  <c r="B21" i="15"/>
  <c r="D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Z21" i="15"/>
  <c r="AA21" i="15"/>
  <c r="AB21" i="15"/>
  <c r="A22" i="15"/>
  <c r="B22" i="15"/>
  <c r="D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AA22" i="15"/>
  <c r="AB22" i="15"/>
  <c r="AC22" i="15"/>
  <c r="AD22" i="15"/>
  <c r="A23" i="15"/>
  <c r="B23" i="15"/>
  <c r="D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Z23" i="15"/>
  <c r="AA23" i="15"/>
  <c r="AB23" i="15"/>
  <c r="A24" i="15"/>
  <c r="B24" i="15"/>
  <c r="D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Z24" i="15"/>
  <c r="C24" i="15" s="1"/>
  <c r="AA24" i="15"/>
  <c r="AD24" i="15"/>
  <c r="A25" i="15"/>
  <c r="B25" i="15"/>
  <c r="D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Z25" i="15"/>
  <c r="AB25" i="15"/>
  <c r="A26" i="15"/>
  <c r="B26" i="15"/>
  <c r="D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Z26" i="15"/>
  <c r="C26" i="15" s="1"/>
  <c r="AA26" i="15"/>
  <c r="AB26" i="15"/>
  <c r="AC26" i="15"/>
  <c r="A27" i="15"/>
  <c r="B27" i="15"/>
  <c r="D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Z27" i="15"/>
  <c r="AA27" i="15"/>
  <c r="AB27" i="15"/>
  <c r="A28" i="15"/>
  <c r="B28" i="15"/>
  <c r="D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Z28" i="15"/>
  <c r="AA28" i="15"/>
  <c r="AD28" i="15"/>
  <c r="H28" i="15" s="1"/>
  <c r="AE28" i="15"/>
  <c r="A29" i="15"/>
  <c r="B29" i="15"/>
  <c r="D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Z29" i="15"/>
  <c r="AA29" i="15"/>
  <c r="AB29" i="15"/>
  <c r="A30" i="15"/>
  <c r="B30" i="15"/>
  <c r="D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Z30" i="15"/>
  <c r="C30" i="15" s="1"/>
  <c r="AA30" i="15"/>
  <c r="AB30" i="15"/>
  <c r="A31" i="15"/>
  <c r="B31" i="15"/>
  <c r="D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Z31" i="15"/>
  <c r="AA31" i="15"/>
  <c r="AB31" i="15"/>
  <c r="A32" i="15"/>
  <c r="B32" i="15"/>
  <c r="D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Z32" i="15"/>
  <c r="AA32" i="15"/>
  <c r="AD32" i="15"/>
  <c r="A33" i="15"/>
  <c r="B33" i="15"/>
  <c r="D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Z33" i="15"/>
  <c r="AB33" i="15"/>
  <c r="A34" i="15"/>
  <c r="B34" i="15"/>
  <c r="D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Z34" i="15"/>
  <c r="C34" i="15" s="1"/>
  <c r="AA34" i="15"/>
  <c r="AB34" i="15"/>
  <c r="AD34" i="15"/>
  <c r="AE34" i="15"/>
  <c r="A35" i="15"/>
  <c r="B35" i="15"/>
  <c r="D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Z35" i="15"/>
  <c r="AA35" i="15"/>
  <c r="AB35" i="15"/>
  <c r="A36" i="15"/>
  <c r="B36" i="15"/>
  <c r="D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Z36" i="15"/>
  <c r="AA36" i="15"/>
  <c r="AD36" i="15"/>
  <c r="A37" i="15"/>
  <c r="B37" i="15"/>
  <c r="D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Z37" i="15"/>
  <c r="AA37" i="15"/>
  <c r="AB37" i="15"/>
  <c r="A38" i="15"/>
  <c r="B38" i="15"/>
  <c r="D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AA38" i="15"/>
  <c r="AB38" i="15"/>
  <c r="A39" i="15"/>
  <c r="B39" i="15"/>
  <c r="D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Z39" i="15"/>
  <c r="C39" i="15" s="1"/>
  <c r="AA39" i="15"/>
  <c r="AB39" i="15"/>
  <c r="A40" i="15"/>
  <c r="B40" i="15"/>
  <c r="D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Z40" i="15"/>
  <c r="AA40" i="15"/>
  <c r="AD40" i="15"/>
  <c r="AE40" i="15"/>
  <c r="A41" i="15"/>
  <c r="B41" i="15"/>
  <c r="D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Z41" i="15"/>
  <c r="AB41" i="15"/>
  <c r="A42" i="15"/>
  <c r="B42" i="15"/>
  <c r="D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Z42" i="15"/>
  <c r="C42" i="15" s="1"/>
  <c r="AA42" i="15"/>
  <c r="AB42" i="15"/>
  <c r="AE42" i="15"/>
  <c r="A43" i="15"/>
  <c r="B43" i="15"/>
  <c r="D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Z43" i="15"/>
  <c r="AA43" i="15"/>
  <c r="AB43" i="15"/>
  <c r="A44" i="15"/>
  <c r="B44" i="15"/>
  <c r="D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Z44" i="15"/>
  <c r="AA44" i="15"/>
  <c r="AD44" i="15"/>
  <c r="A45" i="15"/>
  <c r="B45" i="15"/>
  <c r="D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Z45" i="15"/>
  <c r="C45" i="15" s="1"/>
  <c r="AA45" i="15"/>
  <c r="AB45" i="15"/>
  <c r="AE45" i="15"/>
  <c r="A46" i="15"/>
  <c r="B46" i="15"/>
  <c r="D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Z46" i="15"/>
  <c r="C46" i="15" s="1"/>
  <c r="AA46" i="15"/>
  <c r="AB46" i="15"/>
  <c r="A47" i="15"/>
  <c r="B47" i="15"/>
  <c r="D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Z47" i="15"/>
  <c r="AA47" i="15"/>
  <c r="AB47" i="15"/>
  <c r="A48" i="15"/>
  <c r="B48" i="15"/>
  <c r="D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Z48" i="15"/>
  <c r="AA48" i="15"/>
  <c r="AD48" i="15"/>
  <c r="A49" i="15"/>
  <c r="B49" i="15"/>
  <c r="D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Z49" i="15"/>
  <c r="AB49" i="15"/>
  <c r="A50" i="15"/>
  <c r="B50" i="15"/>
  <c r="D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Z50" i="15"/>
  <c r="C50" i="15" s="1"/>
  <c r="AA50" i="15"/>
  <c r="AB50" i="15"/>
  <c r="AC50" i="15"/>
  <c r="A51" i="15"/>
  <c r="B51" i="15"/>
  <c r="D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Z51" i="15"/>
  <c r="C51" i="15" s="1"/>
  <c r="AA51" i="15"/>
  <c r="AB51" i="15"/>
  <c r="A52" i="15"/>
  <c r="B52" i="15"/>
  <c r="D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Z52" i="15"/>
  <c r="AA52" i="15"/>
  <c r="AD52" i="15"/>
  <c r="AE52" i="15"/>
  <c r="A53" i="15"/>
  <c r="B53" i="15"/>
  <c r="D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Z53" i="15"/>
  <c r="AA53" i="15"/>
  <c r="AB53" i="15"/>
  <c r="AE53" i="15"/>
  <c r="A54" i="15"/>
  <c r="B54" i="15"/>
  <c r="D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AA54" i="15"/>
  <c r="AB54" i="15"/>
  <c r="A55" i="15"/>
  <c r="B55" i="15"/>
  <c r="D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Z55" i="15"/>
  <c r="AA55" i="15"/>
  <c r="AB55" i="15"/>
  <c r="A56" i="15"/>
  <c r="B56" i="15"/>
  <c r="D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Z56" i="15"/>
  <c r="C56" i="15" s="1"/>
  <c r="AA56" i="15"/>
  <c r="AD56" i="15"/>
  <c r="A57" i="15"/>
  <c r="B57" i="15"/>
  <c r="D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Z57" i="15"/>
  <c r="AB57" i="15"/>
  <c r="A58" i="15"/>
  <c r="B58" i="15"/>
  <c r="D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Z58" i="15"/>
  <c r="AA58" i="15"/>
  <c r="AB58" i="15"/>
  <c r="A59" i="15"/>
  <c r="B59" i="15"/>
  <c r="D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Z59" i="15"/>
  <c r="AA59" i="15"/>
  <c r="AB59" i="15"/>
  <c r="A60" i="15"/>
  <c r="B60" i="15"/>
  <c r="D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Z60" i="15"/>
  <c r="AA60" i="15"/>
  <c r="AB60" i="15"/>
  <c r="AD60" i="15"/>
  <c r="A61" i="15"/>
  <c r="B61" i="15"/>
  <c r="D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Z61" i="15"/>
  <c r="AA61" i="15"/>
  <c r="AB61" i="15"/>
  <c r="AE61" i="15"/>
  <c r="A62" i="15"/>
  <c r="B62" i="15"/>
  <c r="D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AA62" i="15"/>
  <c r="AB62" i="15"/>
  <c r="A63" i="15"/>
  <c r="B63" i="15"/>
  <c r="D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Z63" i="15"/>
  <c r="AA63" i="15"/>
  <c r="AB63" i="15"/>
  <c r="A64" i="15"/>
  <c r="B64" i="15"/>
  <c r="D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Z64" i="15"/>
  <c r="AA64" i="15"/>
  <c r="AB64" i="15"/>
  <c r="AC64" i="15"/>
  <c r="AD64" i="15"/>
  <c r="AE64" i="15"/>
  <c r="A65" i="15"/>
  <c r="B65" i="15"/>
  <c r="D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Z65" i="15"/>
  <c r="AB65" i="15"/>
  <c r="A66" i="15"/>
  <c r="B66" i="15"/>
  <c r="D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Z66" i="15"/>
  <c r="C66" i="15" s="1"/>
  <c r="AA66" i="15"/>
  <c r="AB66" i="15"/>
  <c r="A67" i="15"/>
  <c r="B67" i="15"/>
  <c r="D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Z67" i="15"/>
  <c r="AA67" i="15"/>
  <c r="AB67" i="15"/>
  <c r="AE67" i="15"/>
  <c r="A68" i="15"/>
  <c r="B68" i="15"/>
  <c r="D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Z68" i="15"/>
  <c r="AA68" i="15"/>
  <c r="AD68" i="15"/>
  <c r="AE68" i="15"/>
  <c r="A69" i="15"/>
  <c r="B69" i="15"/>
  <c r="D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Z69" i="15"/>
  <c r="AA69" i="15"/>
  <c r="AB69" i="15"/>
  <c r="A70" i="15"/>
  <c r="B70" i="15"/>
  <c r="D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AA70" i="15"/>
  <c r="AB70" i="15"/>
  <c r="A71" i="15"/>
  <c r="B71" i="15"/>
  <c r="D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Z71" i="15"/>
  <c r="AA71" i="15"/>
  <c r="AB71" i="15"/>
  <c r="A72" i="15"/>
  <c r="B72" i="15"/>
  <c r="D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Z72" i="15"/>
  <c r="AA72" i="15"/>
  <c r="AB72" i="15"/>
  <c r="AD72" i="15"/>
  <c r="A73" i="15"/>
  <c r="B73" i="15"/>
  <c r="D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Z73" i="15"/>
  <c r="AA73" i="15"/>
  <c r="AB73" i="15"/>
  <c r="AE73" i="15"/>
  <c r="A74" i="15"/>
  <c r="B74" i="15"/>
  <c r="D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Z74" i="15"/>
  <c r="AA74" i="15"/>
  <c r="AB74" i="15"/>
  <c r="AE74" i="15"/>
  <c r="A75" i="15"/>
  <c r="B75" i="15"/>
  <c r="D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Z75" i="15"/>
  <c r="AA75" i="15"/>
  <c r="AB75" i="15"/>
  <c r="A76" i="15"/>
  <c r="B76" i="15"/>
  <c r="D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Z76" i="15"/>
  <c r="C76" i="15" s="1"/>
  <c r="AA76" i="15"/>
  <c r="AD76" i="15"/>
  <c r="A77" i="15"/>
  <c r="B77" i="15"/>
  <c r="D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Z77" i="15"/>
  <c r="C77" i="15" s="1"/>
  <c r="AA77" i="15"/>
  <c r="AB77" i="15"/>
  <c r="A78" i="15"/>
  <c r="B78" i="15"/>
  <c r="D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AA78" i="15"/>
  <c r="AB78" i="15"/>
  <c r="A79" i="15"/>
  <c r="B79" i="15"/>
  <c r="D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Z79" i="15"/>
  <c r="C79" i="15" s="1"/>
  <c r="AA79" i="15"/>
  <c r="AB79" i="15"/>
  <c r="AE79" i="15"/>
  <c r="A80" i="15"/>
  <c r="B80" i="15"/>
  <c r="D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Z80" i="15"/>
  <c r="AA80" i="15"/>
  <c r="AB80" i="15"/>
  <c r="AD80" i="15"/>
  <c r="A81" i="15"/>
  <c r="B81" i="15"/>
  <c r="D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Z81" i="15"/>
  <c r="AB81" i="15"/>
  <c r="A82" i="15"/>
  <c r="B82" i="15"/>
  <c r="D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Z82" i="15"/>
  <c r="AA82" i="15"/>
  <c r="AB82" i="15"/>
  <c r="A83" i="15"/>
  <c r="B83" i="15"/>
  <c r="D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Z83" i="15"/>
  <c r="C83" i="15" s="1"/>
  <c r="AA83" i="15"/>
  <c r="AB83" i="15"/>
  <c r="A84" i="15"/>
  <c r="B84" i="15"/>
  <c r="D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Z84" i="15"/>
  <c r="AA84" i="15"/>
  <c r="AD84" i="15"/>
  <c r="A85" i="15"/>
  <c r="B85" i="15"/>
  <c r="D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Z85" i="15"/>
  <c r="AA85" i="15"/>
  <c r="AB85" i="15"/>
  <c r="AE85" i="15"/>
  <c r="A86" i="15"/>
  <c r="B86" i="15"/>
  <c r="D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AA86" i="15"/>
  <c r="AB86" i="15"/>
  <c r="AC86" i="15"/>
  <c r="AE86" i="15"/>
  <c r="A87" i="15"/>
  <c r="B87" i="15"/>
  <c r="D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Z87" i="15"/>
  <c r="AA87" i="15"/>
  <c r="AB87" i="15"/>
  <c r="A88" i="15"/>
  <c r="B88" i="15"/>
  <c r="D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Z88" i="15"/>
  <c r="AA88" i="15"/>
  <c r="AB88" i="15"/>
  <c r="AD88" i="15"/>
  <c r="A89" i="15"/>
  <c r="B89" i="15"/>
  <c r="D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Z89" i="15"/>
  <c r="AB89" i="15"/>
  <c r="A90" i="15"/>
  <c r="B90" i="15"/>
  <c r="D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Z90" i="15"/>
  <c r="AA90" i="15"/>
  <c r="AB90" i="15"/>
  <c r="A91" i="15"/>
  <c r="B91" i="15"/>
  <c r="D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Z91" i="15"/>
  <c r="C91" i="15" s="1"/>
  <c r="AA91" i="15"/>
  <c r="AB91" i="15"/>
  <c r="A92" i="15"/>
  <c r="B92" i="15"/>
  <c r="D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Z92" i="15"/>
  <c r="AA92" i="15"/>
  <c r="AD92" i="15"/>
  <c r="A93" i="15"/>
  <c r="B93" i="15"/>
  <c r="D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Z93" i="15"/>
  <c r="C93" i="15" s="1"/>
  <c r="AA93" i="15"/>
  <c r="AB93" i="15"/>
  <c r="AC93" i="15"/>
  <c r="AE93" i="15"/>
  <c r="A94" i="15"/>
  <c r="B94" i="15"/>
  <c r="D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AA94" i="15"/>
  <c r="AB94" i="15"/>
  <c r="AC94" i="15"/>
  <c r="AE94" i="15"/>
  <c r="A95" i="15"/>
  <c r="B95" i="15"/>
  <c r="D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Z95" i="15"/>
  <c r="AA95" i="15"/>
  <c r="AB95" i="15"/>
  <c r="A96" i="15"/>
  <c r="B96" i="15"/>
  <c r="D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Z96" i="15"/>
  <c r="AA96" i="15"/>
  <c r="AB96" i="15"/>
  <c r="AD96" i="15"/>
  <c r="AE96" i="15"/>
  <c r="A97" i="15"/>
  <c r="B97" i="15"/>
  <c r="D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Z97" i="15"/>
  <c r="AA97" i="15"/>
  <c r="AB97" i="15"/>
  <c r="AC97" i="15"/>
  <c r="AE97" i="15"/>
  <c r="A98" i="15"/>
  <c r="B98" i="15"/>
  <c r="D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Z98" i="15"/>
  <c r="C98" i="15" s="1"/>
  <c r="AA98" i="15"/>
  <c r="AB98" i="15"/>
  <c r="AC98" i="15"/>
  <c r="AE98" i="15"/>
  <c r="A99" i="15"/>
  <c r="B99" i="15"/>
  <c r="D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Z99" i="15"/>
  <c r="C99" i="15" s="1"/>
  <c r="AA99" i="15"/>
  <c r="AB99" i="15"/>
  <c r="AC99" i="15"/>
  <c r="G99" i="15" s="1"/>
  <c r="AE99" i="15"/>
  <c r="A100" i="15"/>
  <c r="B100" i="15"/>
  <c r="D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Z100" i="15"/>
  <c r="AA100" i="15"/>
  <c r="AC100" i="15"/>
  <c r="AD100" i="15"/>
  <c r="AE100" i="15"/>
  <c r="H100" i="15" s="1"/>
  <c r="A101" i="15"/>
  <c r="B101" i="15"/>
  <c r="D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Z101" i="15"/>
  <c r="AA101" i="15"/>
  <c r="AB101" i="15"/>
  <c r="AC101" i="15"/>
  <c r="AE101" i="15"/>
  <c r="A102" i="15"/>
  <c r="B102" i="15"/>
  <c r="D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AA102" i="15"/>
  <c r="AB102" i="15"/>
  <c r="A103" i="15"/>
  <c r="B103" i="15"/>
  <c r="D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Z103" i="15"/>
  <c r="AA103" i="15"/>
  <c r="AB103" i="15"/>
  <c r="A104" i="15"/>
  <c r="B104" i="15"/>
  <c r="D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Z104" i="15"/>
  <c r="AA104" i="15"/>
  <c r="AB104" i="15"/>
  <c r="AD104" i="15"/>
  <c r="A105" i="15"/>
  <c r="B105" i="15"/>
  <c r="D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Z105" i="15"/>
  <c r="AB105" i="15"/>
  <c r="A106" i="15"/>
  <c r="B106" i="15"/>
  <c r="D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Z106" i="15"/>
  <c r="C106" i="15" s="1"/>
  <c r="AA106" i="15"/>
  <c r="AB106" i="15"/>
  <c r="A107" i="15"/>
  <c r="B107" i="15"/>
  <c r="D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Z107" i="15"/>
  <c r="C107" i="15" s="1"/>
  <c r="AA107" i="15"/>
  <c r="AB107" i="15"/>
  <c r="A108" i="15"/>
  <c r="B108" i="15"/>
  <c r="D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Z108" i="15"/>
  <c r="AA108" i="15"/>
  <c r="AD108" i="15"/>
  <c r="AE108" i="15"/>
  <c r="A109" i="15"/>
  <c r="B109" i="15"/>
  <c r="D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Z109" i="15"/>
  <c r="AA109" i="15"/>
  <c r="AB109" i="15"/>
  <c r="AC109" i="15"/>
  <c r="A110" i="15"/>
  <c r="B110" i="15"/>
  <c r="D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AA110" i="15"/>
  <c r="AB110" i="15"/>
  <c r="A111" i="15"/>
  <c r="B111" i="15"/>
  <c r="D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Z111" i="15"/>
  <c r="AA111" i="15"/>
  <c r="AB111" i="15"/>
  <c r="A112" i="15"/>
  <c r="B112" i="15"/>
  <c r="D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Z112" i="15"/>
  <c r="AA112" i="15"/>
  <c r="AC112" i="15"/>
  <c r="AD112" i="15"/>
  <c r="A113" i="15"/>
  <c r="B113" i="15"/>
  <c r="D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Z113" i="15"/>
  <c r="AB113" i="15"/>
  <c r="A114" i="15"/>
  <c r="B114" i="15"/>
  <c r="D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Z114" i="15"/>
  <c r="AA114" i="15"/>
  <c r="AB114" i="15"/>
  <c r="A115" i="15"/>
  <c r="B115" i="15"/>
  <c r="D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Z115" i="15"/>
  <c r="AA115" i="15"/>
  <c r="AB115" i="15"/>
  <c r="A116" i="15"/>
  <c r="B116" i="15"/>
  <c r="D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Z116" i="15"/>
  <c r="AA116" i="15"/>
  <c r="AC116" i="15"/>
  <c r="G116" i="15" s="1"/>
  <c r="AD116" i="15"/>
  <c r="A117" i="15"/>
  <c r="B117" i="15"/>
  <c r="D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Z117" i="15"/>
  <c r="AA117" i="15"/>
  <c r="AB117" i="15"/>
  <c r="A118" i="15"/>
  <c r="B118" i="15"/>
  <c r="D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AA118" i="15"/>
  <c r="AB118" i="15"/>
  <c r="A119" i="15"/>
  <c r="B119" i="15"/>
  <c r="D119" i="15"/>
  <c r="I119" i="15"/>
  <c r="J119" i="15"/>
  <c r="K119" i="15"/>
  <c r="L119" i="15"/>
  <c r="M119" i="15"/>
  <c r="N119" i="15"/>
  <c r="O119" i="15"/>
  <c r="P119" i="15"/>
  <c r="Q119" i="15"/>
  <c r="R119" i="15"/>
  <c r="S119" i="15"/>
  <c r="T119" i="15"/>
  <c r="U119" i="15"/>
  <c r="V119" i="15"/>
  <c r="W119" i="15"/>
  <c r="X119" i="15"/>
  <c r="Z119" i="15"/>
  <c r="AA119" i="15"/>
  <c r="AB119" i="15"/>
  <c r="A120" i="15"/>
  <c r="B120" i="15"/>
  <c r="D120" i="15"/>
  <c r="I120" i="15"/>
  <c r="J120" i="15"/>
  <c r="K120" i="15"/>
  <c r="L120" i="15"/>
  <c r="M120" i="15"/>
  <c r="N120" i="15"/>
  <c r="O120" i="15"/>
  <c r="P120" i="15"/>
  <c r="Q120" i="15"/>
  <c r="R120" i="15"/>
  <c r="S120" i="15"/>
  <c r="T120" i="15"/>
  <c r="U120" i="15"/>
  <c r="V120" i="15"/>
  <c r="W120" i="15"/>
  <c r="X120" i="15"/>
  <c r="Z120" i="15"/>
  <c r="AA120" i="15"/>
  <c r="AD120" i="15"/>
  <c r="A121" i="15"/>
  <c r="B121" i="15"/>
  <c r="D121" i="15"/>
  <c r="I121" i="15"/>
  <c r="J121" i="15"/>
  <c r="K121" i="15"/>
  <c r="L121" i="15"/>
  <c r="M121" i="15"/>
  <c r="N121" i="15"/>
  <c r="O121" i="15"/>
  <c r="P121" i="15"/>
  <c r="Q121" i="15"/>
  <c r="R121" i="15"/>
  <c r="S121" i="15"/>
  <c r="T121" i="15"/>
  <c r="U121" i="15"/>
  <c r="V121" i="15"/>
  <c r="W121" i="15"/>
  <c r="X121" i="15"/>
  <c r="Z121" i="15"/>
  <c r="AB121" i="15"/>
  <c r="AE121" i="15"/>
  <c r="A8" i="14"/>
  <c r="B8" i="14"/>
  <c r="D8" i="14"/>
  <c r="I8" i="14"/>
  <c r="J8" i="14"/>
  <c r="O8" i="14"/>
  <c r="P8" i="14"/>
  <c r="Q8" i="14"/>
  <c r="AH8" i="14" s="1"/>
  <c r="AE8" i="15" s="1"/>
  <c r="H8" i="15" s="1"/>
  <c r="R8" i="14"/>
  <c r="S8" i="14"/>
  <c r="T8" i="14"/>
  <c r="U8" i="14"/>
  <c r="V8" i="14"/>
  <c r="W8" i="14"/>
  <c r="X8" i="14"/>
  <c r="Y8" i="14"/>
  <c r="Z8" i="14"/>
  <c r="AA8" i="14"/>
  <c r="AC8" i="15"/>
  <c r="A9" i="14"/>
  <c r="B9" i="14"/>
  <c r="D9" i="14"/>
  <c r="I9" i="14"/>
  <c r="J9" i="14"/>
  <c r="C9" i="14" s="1"/>
  <c r="O9" i="14"/>
  <c r="P9" i="14"/>
  <c r="AC9" i="15" s="1"/>
  <c r="Q9" i="14"/>
  <c r="R9" i="14"/>
  <c r="S9" i="14"/>
  <c r="T9" i="14"/>
  <c r="U9" i="14"/>
  <c r="V9" i="14"/>
  <c r="W9" i="14"/>
  <c r="E9" i="14" s="1"/>
  <c r="X9" i="14"/>
  <c r="Y9" i="14"/>
  <c r="Z9" i="14"/>
  <c r="AA9" i="14"/>
  <c r="A10" i="14"/>
  <c r="B10" i="14"/>
  <c r="D10" i="14"/>
  <c r="I10" i="14"/>
  <c r="J10" i="14"/>
  <c r="O10" i="14"/>
  <c r="P10" i="14"/>
  <c r="AC10" i="15" s="1"/>
  <c r="G10" i="15" s="1"/>
  <c r="Q10" i="14"/>
  <c r="R10" i="14"/>
  <c r="S10" i="14"/>
  <c r="T10" i="14"/>
  <c r="U10" i="14"/>
  <c r="V10" i="14"/>
  <c r="W10" i="14"/>
  <c r="X10" i="14"/>
  <c r="E10" i="14" s="1"/>
  <c r="Y10" i="14"/>
  <c r="Z10" i="14"/>
  <c r="AA10" i="14"/>
  <c r="A11" i="14"/>
  <c r="B11" i="14"/>
  <c r="D11" i="14"/>
  <c r="I11" i="14"/>
  <c r="J11" i="14"/>
  <c r="O11" i="14"/>
  <c r="P11" i="14"/>
  <c r="Q11" i="14"/>
  <c r="R11" i="14"/>
  <c r="S11" i="14"/>
  <c r="T11" i="14"/>
  <c r="U11" i="14"/>
  <c r="V11" i="14"/>
  <c r="W11" i="14"/>
  <c r="F11" i="14" s="1"/>
  <c r="X11" i="14"/>
  <c r="Y11" i="14"/>
  <c r="Z11" i="14"/>
  <c r="AA11" i="14"/>
  <c r="A12" i="14"/>
  <c r="B12" i="14"/>
  <c r="D12" i="14"/>
  <c r="I12" i="14"/>
  <c r="J12" i="14"/>
  <c r="O12" i="14"/>
  <c r="AC12" i="15" s="1"/>
  <c r="P12" i="14"/>
  <c r="Q12" i="14"/>
  <c r="R12" i="14"/>
  <c r="AH12" i="14" s="1"/>
  <c r="AE12" i="15" s="1"/>
  <c r="H12" i="15" s="1"/>
  <c r="S12" i="14"/>
  <c r="T12" i="14"/>
  <c r="U12" i="14"/>
  <c r="V12" i="14"/>
  <c r="W12" i="14"/>
  <c r="E12" i="14" s="1"/>
  <c r="X12" i="14"/>
  <c r="Y12" i="14"/>
  <c r="Z12" i="14"/>
  <c r="AA12" i="14"/>
  <c r="A13" i="14"/>
  <c r="B13" i="14"/>
  <c r="D13" i="14"/>
  <c r="I13" i="14"/>
  <c r="J13" i="14"/>
  <c r="O13" i="14"/>
  <c r="P13" i="14"/>
  <c r="AC13" i="15" s="1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O14" i="14"/>
  <c r="P14" i="14"/>
  <c r="AC14" i="15" s="1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O15" i="14"/>
  <c r="P15" i="14"/>
  <c r="Q15" i="14"/>
  <c r="AH15" i="14" s="1"/>
  <c r="AE15" i="15" s="1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O16" i="14"/>
  <c r="P16" i="14"/>
  <c r="Q16" i="14"/>
  <c r="AH16" i="14" s="1"/>
  <c r="AE16" i="15" s="1"/>
  <c r="H16" i="15" s="1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O17" i="14"/>
  <c r="P17" i="14"/>
  <c r="Q17" i="14"/>
  <c r="AH17" i="14" s="1"/>
  <c r="AE17" i="15" s="1"/>
  <c r="R17" i="14"/>
  <c r="S17" i="14"/>
  <c r="T17" i="14"/>
  <c r="U17" i="14"/>
  <c r="V17" i="14"/>
  <c r="W17" i="14"/>
  <c r="E17" i="14" s="1"/>
  <c r="X17" i="14"/>
  <c r="Y17" i="14"/>
  <c r="Z17" i="14"/>
  <c r="AA17" i="14"/>
  <c r="AC17" i="15"/>
  <c r="G17" i="15" s="1"/>
  <c r="A18" i="14"/>
  <c r="B18" i="14"/>
  <c r="D18" i="14"/>
  <c r="I18" i="14"/>
  <c r="J18" i="14"/>
  <c r="O18" i="14"/>
  <c r="P18" i="14"/>
  <c r="Q18" i="14"/>
  <c r="AH18" i="14" s="1"/>
  <c r="AE18" i="15" s="1"/>
  <c r="R18" i="14"/>
  <c r="S18" i="14"/>
  <c r="T18" i="14"/>
  <c r="U18" i="14"/>
  <c r="V18" i="14"/>
  <c r="W18" i="14"/>
  <c r="X18" i="14"/>
  <c r="E18" i="14" s="1"/>
  <c r="Y18" i="14"/>
  <c r="Z18" i="14"/>
  <c r="AA18" i="14"/>
  <c r="A19" i="14"/>
  <c r="B19" i="14"/>
  <c r="D19" i="14"/>
  <c r="I19" i="14"/>
  <c r="J19" i="14"/>
  <c r="O19" i="14"/>
  <c r="AC19" i="15" s="1"/>
  <c r="P19" i="14"/>
  <c r="Q19" i="14"/>
  <c r="R19" i="14"/>
  <c r="S19" i="14"/>
  <c r="T19" i="14"/>
  <c r="U19" i="14"/>
  <c r="V19" i="14"/>
  <c r="W19" i="14"/>
  <c r="F19" i="14" s="1"/>
  <c r="X19" i="14"/>
  <c r="Y19" i="14"/>
  <c r="Z19" i="14"/>
  <c r="AA19" i="14"/>
  <c r="AH19" i="14"/>
  <c r="AE19" i="15" s="1"/>
  <c r="A20" i="14"/>
  <c r="B20" i="14"/>
  <c r="D20" i="14"/>
  <c r="I20" i="14"/>
  <c r="J20" i="14"/>
  <c r="O20" i="14"/>
  <c r="AC20" i="15" s="1"/>
  <c r="P20" i="14"/>
  <c r="Q20" i="14"/>
  <c r="R20" i="14"/>
  <c r="S20" i="14"/>
  <c r="T20" i="14"/>
  <c r="U20" i="14"/>
  <c r="V20" i="14"/>
  <c r="W20" i="14"/>
  <c r="E20" i="14" s="1"/>
  <c r="X20" i="14"/>
  <c r="Y20" i="14"/>
  <c r="Z20" i="14"/>
  <c r="AA20" i="14"/>
  <c r="A21" i="14"/>
  <c r="B21" i="14"/>
  <c r="D21" i="14"/>
  <c r="I21" i="14"/>
  <c r="J21" i="14"/>
  <c r="O21" i="14"/>
  <c r="AC21" i="15" s="1"/>
  <c r="P21" i="14"/>
  <c r="Q21" i="14"/>
  <c r="R21" i="14"/>
  <c r="AH21" i="14" s="1"/>
  <c r="AE21" i="15" s="1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O22" i="14"/>
  <c r="P22" i="14"/>
  <c r="Q22" i="14"/>
  <c r="AH22" i="14" s="1"/>
  <c r="AE22" i="15" s="1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O23" i="14"/>
  <c r="P23" i="14"/>
  <c r="Q23" i="14"/>
  <c r="AH23" i="14" s="1"/>
  <c r="AE23" i="15" s="1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O24" i="14"/>
  <c r="P24" i="14"/>
  <c r="Q24" i="14"/>
  <c r="R24" i="14"/>
  <c r="AH24" i="14" s="1"/>
  <c r="AE24" i="15" s="1"/>
  <c r="S24" i="14"/>
  <c r="T24" i="14"/>
  <c r="U24" i="14"/>
  <c r="V24" i="14"/>
  <c r="W24" i="14"/>
  <c r="X24" i="14"/>
  <c r="Y24" i="14"/>
  <c r="Z24" i="14"/>
  <c r="AA24" i="14"/>
  <c r="AC24" i="15"/>
  <c r="A25" i="14"/>
  <c r="B25" i="14"/>
  <c r="D25" i="14"/>
  <c r="F25" i="14"/>
  <c r="I25" i="14"/>
  <c r="J25" i="14"/>
  <c r="O25" i="14"/>
  <c r="P25" i="14"/>
  <c r="AC25" i="15" s="1"/>
  <c r="G25" i="15" s="1"/>
  <c r="Q25" i="14"/>
  <c r="R25" i="14"/>
  <c r="S25" i="14"/>
  <c r="T25" i="14"/>
  <c r="U25" i="14"/>
  <c r="V25" i="14"/>
  <c r="W25" i="14"/>
  <c r="E25" i="14" s="1"/>
  <c r="X25" i="14"/>
  <c r="Y25" i="14"/>
  <c r="Z25" i="14"/>
  <c r="AA25" i="14"/>
  <c r="AH25" i="14"/>
  <c r="AE25" i="15" s="1"/>
  <c r="A26" i="14"/>
  <c r="B26" i="14"/>
  <c r="D26" i="14"/>
  <c r="I26" i="14"/>
  <c r="J26" i="14"/>
  <c r="O26" i="14"/>
  <c r="P26" i="14"/>
  <c r="Q26" i="14"/>
  <c r="AH26" i="14" s="1"/>
  <c r="AE26" i="15" s="1"/>
  <c r="R26" i="14"/>
  <c r="S26" i="14"/>
  <c r="T26" i="14"/>
  <c r="U26" i="14"/>
  <c r="V26" i="14"/>
  <c r="W26" i="14"/>
  <c r="E26" i="14" s="1"/>
  <c r="X26" i="14"/>
  <c r="Y26" i="14"/>
  <c r="Z26" i="14"/>
  <c r="AA26" i="14"/>
  <c r="A27" i="14"/>
  <c r="B27" i="14"/>
  <c r="D27" i="14"/>
  <c r="I27" i="14"/>
  <c r="J27" i="14"/>
  <c r="O27" i="14"/>
  <c r="P27" i="14"/>
  <c r="Q27" i="14"/>
  <c r="R27" i="14"/>
  <c r="AH27" i="14" s="1"/>
  <c r="AE27" i="15" s="1"/>
  <c r="S27" i="14"/>
  <c r="T27" i="14"/>
  <c r="U27" i="14"/>
  <c r="V27" i="14"/>
  <c r="W27" i="14"/>
  <c r="F27" i="14" s="1"/>
  <c r="X27" i="14"/>
  <c r="Y27" i="14"/>
  <c r="Z27" i="14"/>
  <c r="AA27" i="14"/>
  <c r="A28" i="14"/>
  <c r="B28" i="14"/>
  <c r="D28" i="14"/>
  <c r="I28" i="14"/>
  <c r="J28" i="14"/>
  <c r="O28" i="14"/>
  <c r="AC28" i="15" s="1"/>
  <c r="P28" i="14"/>
  <c r="Q28" i="14"/>
  <c r="R28" i="14"/>
  <c r="AH28" i="14" s="1"/>
  <c r="S28" i="14"/>
  <c r="T28" i="14"/>
  <c r="U28" i="14"/>
  <c r="V28" i="14"/>
  <c r="W28" i="14"/>
  <c r="E28" i="14" s="1"/>
  <c r="X28" i="14"/>
  <c r="Y28" i="14"/>
  <c r="Z28" i="14"/>
  <c r="AA28" i="14"/>
  <c r="A29" i="14"/>
  <c r="B29" i="14"/>
  <c r="D29" i="14"/>
  <c r="I29" i="14"/>
  <c r="J29" i="14"/>
  <c r="O29" i="14"/>
  <c r="AC29" i="15" s="1"/>
  <c r="G29" i="15" s="1"/>
  <c r="P29" i="14"/>
  <c r="Q29" i="14"/>
  <c r="R29" i="14"/>
  <c r="AH29" i="14" s="1"/>
  <c r="AE29" i="15" s="1"/>
  <c r="S29" i="14"/>
  <c r="T29" i="14"/>
  <c r="U29" i="14"/>
  <c r="V29" i="14"/>
  <c r="W29" i="14"/>
  <c r="E29" i="14" s="1"/>
  <c r="X29" i="14"/>
  <c r="Y29" i="14"/>
  <c r="Z29" i="14"/>
  <c r="AA29" i="14"/>
  <c r="A30" i="14"/>
  <c r="B30" i="14"/>
  <c r="D30" i="14"/>
  <c r="I30" i="14"/>
  <c r="J30" i="14"/>
  <c r="O30" i="14"/>
  <c r="P30" i="14"/>
  <c r="Q30" i="14"/>
  <c r="AH30" i="14" s="1"/>
  <c r="AE30" i="15" s="1"/>
  <c r="R30" i="14"/>
  <c r="S30" i="14"/>
  <c r="T30" i="14"/>
  <c r="U30" i="14"/>
  <c r="V30" i="14"/>
  <c r="W30" i="14"/>
  <c r="X30" i="14"/>
  <c r="Y30" i="14"/>
  <c r="Z30" i="14"/>
  <c r="AA30" i="14"/>
  <c r="A31" i="14"/>
  <c r="B31" i="14"/>
  <c r="D31" i="14"/>
  <c r="I31" i="14"/>
  <c r="J31" i="14"/>
  <c r="O31" i="14"/>
  <c r="P31" i="14"/>
  <c r="Q31" i="14"/>
  <c r="AH31" i="14" s="1"/>
  <c r="AE31" i="15" s="1"/>
  <c r="R31" i="14"/>
  <c r="S31" i="14"/>
  <c r="T31" i="14"/>
  <c r="U31" i="14"/>
  <c r="V31" i="14"/>
  <c r="W31" i="14"/>
  <c r="X31" i="14"/>
  <c r="Y31" i="14"/>
  <c r="Z31" i="14"/>
  <c r="AA31" i="14"/>
  <c r="A32" i="14"/>
  <c r="B32" i="14"/>
  <c r="D32" i="14"/>
  <c r="I32" i="14"/>
  <c r="J32" i="14"/>
  <c r="O32" i="14"/>
  <c r="AC32" i="15" s="1"/>
  <c r="P32" i="14"/>
  <c r="Q32" i="14"/>
  <c r="AH32" i="14" s="1"/>
  <c r="AE32" i="15" s="1"/>
  <c r="H32" i="15" s="1"/>
  <c r="R32" i="14"/>
  <c r="S32" i="14"/>
  <c r="T32" i="14"/>
  <c r="U32" i="14"/>
  <c r="V32" i="14"/>
  <c r="W32" i="14"/>
  <c r="X32" i="14"/>
  <c r="Y32" i="14"/>
  <c r="Z32" i="14"/>
  <c r="AA32" i="14"/>
  <c r="A33" i="14"/>
  <c r="B33" i="14"/>
  <c r="D33" i="14"/>
  <c r="I33" i="14"/>
  <c r="J33" i="14"/>
  <c r="O33" i="14"/>
  <c r="P33" i="14"/>
  <c r="AC33" i="15" s="1"/>
  <c r="G33" i="15" s="1"/>
  <c r="Q33" i="14"/>
  <c r="R33" i="14"/>
  <c r="S33" i="14"/>
  <c r="T33" i="14"/>
  <c r="U33" i="14"/>
  <c r="V33" i="14"/>
  <c r="W33" i="14"/>
  <c r="X33" i="14"/>
  <c r="F33" i="14" s="1"/>
  <c r="Y33" i="14"/>
  <c r="Z33" i="14"/>
  <c r="AA33" i="14"/>
  <c r="AH33" i="14"/>
  <c r="AE33" i="15" s="1"/>
  <c r="A34" i="14"/>
  <c r="B34" i="14"/>
  <c r="D34" i="14"/>
  <c r="I34" i="14"/>
  <c r="J34" i="14"/>
  <c r="O34" i="14"/>
  <c r="P34" i="14"/>
  <c r="AC34" i="15" s="1"/>
  <c r="Q34" i="14"/>
  <c r="R34" i="14"/>
  <c r="AH34" i="14" s="1"/>
  <c r="S34" i="14"/>
  <c r="T34" i="14"/>
  <c r="U34" i="14"/>
  <c r="V34" i="14"/>
  <c r="W34" i="14"/>
  <c r="E34" i="14" s="1"/>
  <c r="X34" i="14"/>
  <c r="Y34" i="14"/>
  <c r="Z34" i="14"/>
  <c r="AA34" i="14"/>
  <c r="A35" i="14"/>
  <c r="B35" i="14"/>
  <c r="D35" i="14"/>
  <c r="I35" i="14"/>
  <c r="J35" i="14"/>
  <c r="O35" i="14"/>
  <c r="AC35" i="15" s="1"/>
  <c r="G35" i="15" s="1"/>
  <c r="P35" i="14"/>
  <c r="Q35" i="14"/>
  <c r="AH35" i="14" s="1"/>
  <c r="AE35" i="15" s="1"/>
  <c r="R35" i="14"/>
  <c r="S35" i="14"/>
  <c r="T35" i="14"/>
  <c r="U35" i="14"/>
  <c r="V35" i="14"/>
  <c r="W35" i="14"/>
  <c r="F35" i="14" s="1"/>
  <c r="X35" i="14"/>
  <c r="Y35" i="14"/>
  <c r="Z35" i="14"/>
  <c r="AA35" i="14"/>
  <c r="A36" i="14"/>
  <c r="B36" i="14"/>
  <c r="D36" i="14"/>
  <c r="I36" i="14"/>
  <c r="J36" i="14"/>
  <c r="O36" i="14"/>
  <c r="P36" i="14"/>
  <c r="AC36" i="15" s="1"/>
  <c r="Q36" i="14"/>
  <c r="R36" i="14"/>
  <c r="S36" i="14"/>
  <c r="T36" i="14"/>
  <c r="U36" i="14"/>
  <c r="V36" i="14"/>
  <c r="W36" i="14"/>
  <c r="X36" i="14"/>
  <c r="Y36" i="14"/>
  <c r="Z36" i="14"/>
  <c r="AA36" i="14"/>
  <c r="AH36" i="14"/>
  <c r="AE36" i="15" s="1"/>
  <c r="A37" i="14"/>
  <c r="B37" i="14"/>
  <c r="D37" i="14"/>
  <c r="I37" i="14"/>
  <c r="J37" i="14"/>
  <c r="O37" i="14"/>
  <c r="AC37" i="15" s="1"/>
  <c r="G37" i="15" s="1"/>
  <c r="P37" i="14"/>
  <c r="Q37" i="14"/>
  <c r="R37" i="14"/>
  <c r="AH37" i="14" s="1"/>
  <c r="AE37" i="15" s="1"/>
  <c r="S37" i="14"/>
  <c r="T37" i="14"/>
  <c r="U37" i="14"/>
  <c r="V37" i="14"/>
  <c r="W37" i="14"/>
  <c r="E37" i="14" s="1"/>
  <c r="X37" i="14"/>
  <c r="Y37" i="14"/>
  <c r="Z37" i="14"/>
  <c r="AA37" i="14"/>
  <c r="A38" i="14"/>
  <c r="B38" i="14"/>
  <c r="D38" i="14"/>
  <c r="I38" i="14"/>
  <c r="J38" i="14"/>
  <c r="O38" i="14"/>
  <c r="P38" i="14"/>
  <c r="AC38" i="15" s="1"/>
  <c r="Q38" i="14"/>
  <c r="AH38" i="14" s="1"/>
  <c r="AE38" i="15" s="1"/>
  <c r="R38" i="14"/>
  <c r="S38" i="14"/>
  <c r="T38" i="14"/>
  <c r="U38" i="14"/>
  <c r="V38" i="14"/>
  <c r="W38" i="14"/>
  <c r="X38" i="14"/>
  <c r="Y38" i="14"/>
  <c r="Z38" i="14"/>
  <c r="AA38" i="14"/>
  <c r="A39" i="14"/>
  <c r="B39" i="14"/>
  <c r="D39" i="14"/>
  <c r="I39" i="14"/>
  <c r="J39" i="14"/>
  <c r="O39" i="14"/>
  <c r="P39" i="14"/>
  <c r="Q39" i="14"/>
  <c r="AH39" i="14" s="1"/>
  <c r="AE39" i="15" s="1"/>
  <c r="R39" i="14"/>
  <c r="S39" i="14"/>
  <c r="T39" i="14"/>
  <c r="U39" i="14"/>
  <c r="V39" i="14"/>
  <c r="W39" i="14"/>
  <c r="X39" i="14"/>
  <c r="Y39" i="14"/>
  <c r="Z39" i="14"/>
  <c r="AA39" i="14"/>
  <c r="A40" i="14"/>
  <c r="B40" i="14"/>
  <c r="D40" i="14"/>
  <c r="I40" i="14"/>
  <c r="J40" i="14"/>
  <c r="O40" i="14"/>
  <c r="P40" i="14"/>
  <c r="Q40" i="14"/>
  <c r="AH40" i="14" s="1"/>
  <c r="R40" i="14"/>
  <c r="S40" i="14"/>
  <c r="T40" i="14"/>
  <c r="U40" i="14"/>
  <c r="V40" i="14"/>
  <c r="W40" i="14"/>
  <c r="X40" i="14"/>
  <c r="Y40" i="14"/>
  <c r="Z40" i="14"/>
  <c r="AA40" i="14"/>
  <c r="A41" i="14"/>
  <c r="B41" i="14"/>
  <c r="D41" i="14"/>
  <c r="I41" i="14"/>
  <c r="J41" i="14"/>
  <c r="O41" i="14"/>
  <c r="P41" i="14"/>
  <c r="Q41" i="14"/>
  <c r="AH41" i="14" s="1"/>
  <c r="AE41" i="15" s="1"/>
  <c r="R41" i="14"/>
  <c r="S41" i="14"/>
  <c r="T41" i="14"/>
  <c r="U41" i="14"/>
  <c r="V41" i="14"/>
  <c r="W41" i="14"/>
  <c r="F41" i="14" s="1"/>
  <c r="X41" i="14"/>
  <c r="Y41" i="14"/>
  <c r="Z41" i="14"/>
  <c r="AA41" i="14"/>
  <c r="A42" i="14"/>
  <c r="B42" i="14"/>
  <c r="D42" i="14"/>
  <c r="I42" i="14"/>
  <c r="J42" i="14"/>
  <c r="O42" i="14"/>
  <c r="P42" i="14"/>
  <c r="AC42" i="15" s="1"/>
  <c r="Q42" i="14"/>
  <c r="R42" i="14"/>
  <c r="S42" i="14"/>
  <c r="T42" i="14"/>
  <c r="U42" i="14"/>
  <c r="V42" i="14"/>
  <c r="W42" i="14"/>
  <c r="X42" i="14"/>
  <c r="E42" i="14" s="1"/>
  <c r="Y42" i="14"/>
  <c r="Z42" i="14"/>
  <c r="AA42" i="14"/>
  <c r="AH42" i="14"/>
  <c r="A43" i="14"/>
  <c r="B43" i="14"/>
  <c r="D43" i="14"/>
  <c r="I43" i="14"/>
  <c r="J43" i="14"/>
  <c r="O43" i="14"/>
  <c r="P43" i="14"/>
  <c r="Q43" i="14"/>
  <c r="AH43" i="14" s="1"/>
  <c r="AE43" i="15" s="1"/>
  <c r="R43" i="14"/>
  <c r="S43" i="14"/>
  <c r="T43" i="14"/>
  <c r="U43" i="14"/>
  <c r="V43" i="14"/>
  <c r="W43" i="14"/>
  <c r="F43" i="14" s="1"/>
  <c r="X43" i="14"/>
  <c r="Y43" i="14"/>
  <c r="Z43" i="14"/>
  <c r="AA43" i="14"/>
  <c r="AC43" i="15"/>
  <c r="A44" i="14"/>
  <c r="B44" i="14"/>
  <c r="D44" i="14"/>
  <c r="I44" i="14"/>
  <c r="J44" i="14"/>
  <c r="O44" i="14"/>
  <c r="AC44" i="15" s="1"/>
  <c r="P44" i="14"/>
  <c r="Q44" i="14"/>
  <c r="R44" i="14"/>
  <c r="S44" i="14"/>
  <c r="T44" i="14"/>
  <c r="U44" i="14"/>
  <c r="V44" i="14"/>
  <c r="W44" i="14"/>
  <c r="E44" i="14" s="1"/>
  <c r="C44" i="14" s="1"/>
  <c r="X44" i="14"/>
  <c r="Y44" i="14"/>
  <c r="Z44" i="14"/>
  <c r="AA44" i="14"/>
  <c r="AH44" i="14"/>
  <c r="AE44" i="15" s="1"/>
  <c r="A45" i="14"/>
  <c r="B45" i="14"/>
  <c r="D45" i="14"/>
  <c r="I45" i="14"/>
  <c r="J45" i="14"/>
  <c r="O45" i="14"/>
  <c r="P45" i="14"/>
  <c r="Q45" i="14"/>
  <c r="R45" i="14"/>
  <c r="AH45" i="14" s="1"/>
  <c r="S45" i="14"/>
  <c r="T45" i="14"/>
  <c r="U45" i="14"/>
  <c r="V45" i="14"/>
  <c r="W45" i="14"/>
  <c r="E45" i="14" s="1"/>
  <c r="X45" i="14"/>
  <c r="F45" i="14" s="1"/>
  <c r="Y45" i="14"/>
  <c r="Z45" i="14"/>
  <c r="AA45" i="14"/>
  <c r="A46" i="14"/>
  <c r="B46" i="14"/>
  <c r="D46" i="14"/>
  <c r="I46" i="14"/>
  <c r="J46" i="14"/>
  <c r="O46" i="14"/>
  <c r="P46" i="14"/>
  <c r="Q46" i="14"/>
  <c r="AH46" i="14" s="1"/>
  <c r="AE46" i="15" s="1"/>
  <c r="R46" i="14"/>
  <c r="S46" i="14"/>
  <c r="T46" i="14"/>
  <c r="U46" i="14"/>
  <c r="V46" i="14"/>
  <c r="W46" i="14"/>
  <c r="E46" i="14" s="1"/>
  <c r="X46" i="14"/>
  <c r="Y46" i="14"/>
  <c r="Z46" i="14"/>
  <c r="AA46" i="14"/>
  <c r="A47" i="14"/>
  <c r="B47" i="14"/>
  <c r="D47" i="14"/>
  <c r="I47" i="14"/>
  <c r="J47" i="14"/>
  <c r="O47" i="14"/>
  <c r="P47" i="14"/>
  <c r="Q47" i="14"/>
  <c r="R47" i="14"/>
  <c r="AH47" i="14" s="1"/>
  <c r="AE47" i="15" s="1"/>
  <c r="S47" i="14"/>
  <c r="T47" i="14"/>
  <c r="U47" i="14"/>
  <c r="V47" i="14"/>
  <c r="W47" i="14"/>
  <c r="E47" i="14" s="1"/>
  <c r="X47" i="14"/>
  <c r="Y47" i="14"/>
  <c r="Z47" i="14"/>
  <c r="AA47" i="14"/>
  <c r="A48" i="14"/>
  <c r="B48" i="14"/>
  <c r="D48" i="14"/>
  <c r="I48" i="14"/>
  <c r="J48" i="14"/>
  <c r="O48" i="14"/>
  <c r="P48" i="14"/>
  <c r="Q48" i="14"/>
  <c r="R48" i="14"/>
  <c r="AH48" i="14" s="1"/>
  <c r="AE48" i="15" s="1"/>
  <c r="H48" i="15" s="1"/>
  <c r="S48" i="14"/>
  <c r="T48" i="14"/>
  <c r="U48" i="14"/>
  <c r="V48" i="14"/>
  <c r="W48" i="14"/>
  <c r="X48" i="14"/>
  <c r="Y48" i="14"/>
  <c r="Z48" i="14"/>
  <c r="AA48" i="14"/>
  <c r="A49" i="14"/>
  <c r="B49" i="14"/>
  <c r="D49" i="14"/>
  <c r="I49" i="14"/>
  <c r="J49" i="14"/>
  <c r="O49" i="14"/>
  <c r="AC49" i="15" s="1"/>
  <c r="G49" i="15" s="1"/>
  <c r="P49" i="14"/>
  <c r="Q49" i="14"/>
  <c r="AH49" i="14" s="1"/>
  <c r="AE49" i="15" s="1"/>
  <c r="R49" i="14"/>
  <c r="S49" i="14"/>
  <c r="T49" i="14"/>
  <c r="U49" i="14"/>
  <c r="V49" i="14"/>
  <c r="W49" i="14"/>
  <c r="E49" i="14" s="1"/>
  <c r="X49" i="14"/>
  <c r="Y49" i="14"/>
  <c r="Z49" i="14"/>
  <c r="AA49" i="14"/>
  <c r="A50" i="14"/>
  <c r="B50" i="14"/>
  <c r="D50" i="14"/>
  <c r="I50" i="14"/>
  <c r="J50" i="14"/>
  <c r="O50" i="14"/>
  <c r="P50" i="14"/>
  <c r="Q50" i="14"/>
  <c r="R50" i="14"/>
  <c r="S50" i="14"/>
  <c r="T50" i="14"/>
  <c r="U50" i="14"/>
  <c r="V50" i="14"/>
  <c r="W50" i="14"/>
  <c r="F50" i="14" s="1"/>
  <c r="X50" i="14"/>
  <c r="Y50" i="14"/>
  <c r="Z50" i="14"/>
  <c r="AA50" i="14"/>
  <c r="AH50" i="14"/>
  <c r="AE50" i="15" s="1"/>
  <c r="A51" i="14"/>
  <c r="B51" i="14"/>
  <c r="D51" i="14"/>
  <c r="I51" i="14"/>
  <c r="J51" i="14"/>
  <c r="O51" i="14"/>
  <c r="P51" i="14"/>
  <c r="Q51" i="14"/>
  <c r="R51" i="14"/>
  <c r="S51" i="14"/>
  <c r="T51" i="14"/>
  <c r="U51" i="14"/>
  <c r="V51" i="14"/>
  <c r="W51" i="14"/>
  <c r="F51" i="14" s="1"/>
  <c r="X51" i="14"/>
  <c r="Y51" i="14"/>
  <c r="Z51" i="14"/>
  <c r="AA51" i="14"/>
  <c r="AC51" i="15"/>
  <c r="G51" i="15" s="1"/>
  <c r="AH51" i="14"/>
  <c r="AE51" i="15" s="1"/>
  <c r="A52" i="14"/>
  <c r="B52" i="14"/>
  <c r="D52" i="14"/>
  <c r="I52" i="14"/>
  <c r="J52" i="14"/>
  <c r="O52" i="14"/>
  <c r="P52" i="14"/>
  <c r="Q52" i="14"/>
  <c r="R52" i="14"/>
  <c r="AH52" i="14" s="1"/>
  <c r="S52" i="14"/>
  <c r="T52" i="14"/>
  <c r="U52" i="14"/>
  <c r="V52" i="14"/>
  <c r="W52" i="14"/>
  <c r="X52" i="14"/>
  <c r="F52" i="14" s="1"/>
  <c r="Y52" i="14"/>
  <c r="Z52" i="14"/>
  <c r="AA52" i="14"/>
  <c r="AC52" i="15"/>
  <c r="A53" i="14"/>
  <c r="B53" i="14"/>
  <c r="D53" i="14"/>
  <c r="I53" i="14"/>
  <c r="J53" i="14"/>
  <c r="O53" i="14"/>
  <c r="P53" i="14"/>
  <c r="Q53" i="14"/>
  <c r="R53" i="14"/>
  <c r="S53" i="14"/>
  <c r="T53" i="14"/>
  <c r="U53" i="14"/>
  <c r="V53" i="14"/>
  <c r="W53" i="14"/>
  <c r="F53" i="14" s="1"/>
  <c r="X53" i="14"/>
  <c r="Y53" i="14"/>
  <c r="Z53" i="14"/>
  <c r="AA53" i="14"/>
  <c r="AC53" i="15"/>
  <c r="A54" i="14"/>
  <c r="B54" i="14"/>
  <c r="D54" i="14"/>
  <c r="I54" i="14"/>
  <c r="J54" i="14"/>
  <c r="O54" i="14"/>
  <c r="P54" i="14"/>
  <c r="Q54" i="14"/>
  <c r="AH54" i="14" s="1"/>
  <c r="AE54" i="15" s="1"/>
  <c r="R54" i="14"/>
  <c r="S54" i="14"/>
  <c r="T54" i="14"/>
  <c r="U54" i="14"/>
  <c r="V54" i="14"/>
  <c r="W54" i="14"/>
  <c r="E54" i="14" s="1"/>
  <c r="X54" i="14"/>
  <c r="Y54" i="14"/>
  <c r="Z54" i="14"/>
  <c r="AA54" i="14"/>
  <c r="A55" i="14"/>
  <c r="B55" i="14"/>
  <c r="D55" i="14"/>
  <c r="I55" i="14"/>
  <c r="J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56" i="14"/>
  <c r="B56" i="14"/>
  <c r="D56" i="14"/>
  <c r="I56" i="14"/>
  <c r="J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C56" i="15"/>
  <c r="A57" i="14"/>
  <c r="B57" i="14"/>
  <c r="D57" i="14"/>
  <c r="I57" i="14"/>
  <c r="J57" i="14"/>
  <c r="O57" i="14"/>
  <c r="P57" i="14"/>
  <c r="Q57" i="14"/>
  <c r="R57" i="14"/>
  <c r="AH57" i="14" s="1"/>
  <c r="AE57" i="15" s="1"/>
  <c r="S57" i="14"/>
  <c r="T57" i="14"/>
  <c r="U57" i="14"/>
  <c r="V57" i="14"/>
  <c r="W57" i="14"/>
  <c r="X57" i="14"/>
  <c r="F57" i="14" s="1"/>
  <c r="Y57" i="14"/>
  <c r="Z57" i="14"/>
  <c r="AA57" i="14"/>
  <c r="A58" i="14"/>
  <c r="B58" i="14"/>
  <c r="D58" i="14"/>
  <c r="I58" i="14"/>
  <c r="J58" i="14"/>
  <c r="O58" i="14"/>
  <c r="P58" i="14"/>
  <c r="AC58" i="15" s="1"/>
  <c r="Q58" i="14"/>
  <c r="AH58" i="14" s="1"/>
  <c r="AE58" i="15" s="1"/>
  <c r="R58" i="14"/>
  <c r="S58" i="14"/>
  <c r="T58" i="14"/>
  <c r="U58" i="14"/>
  <c r="V58" i="14"/>
  <c r="W58" i="14"/>
  <c r="X58" i="14"/>
  <c r="E58" i="14" s="1"/>
  <c r="Y58" i="14"/>
  <c r="Z58" i="14"/>
  <c r="AA58" i="14"/>
  <c r="A59" i="14"/>
  <c r="B59" i="14"/>
  <c r="D59" i="14"/>
  <c r="I59" i="14"/>
  <c r="J59" i="14"/>
  <c r="O59" i="14"/>
  <c r="P59" i="14"/>
  <c r="AC59" i="15" s="1"/>
  <c r="Q59" i="14"/>
  <c r="R59" i="14"/>
  <c r="S59" i="14"/>
  <c r="T59" i="14"/>
  <c r="U59" i="14"/>
  <c r="V59" i="14"/>
  <c r="W59" i="14"/>
  <c r="X59" i="14"/>
  <c r="Y59" i="14"/>
  <c r="Z59" i="14"/>
  <c r="AA59" i="14"/>
  <c r="A60" i="14"/>
  <c r="B60" i="14"/>
  <c r="D60" i="14"/>
  <c r="I60" i="14"/>
  <c r="J60" i="14"/>
  <c r="O60" i="14"/>
  <c r="AC60" i="15" s="1"/>
  <c r="P60" i="14"/>
  <c r="Q60" i="14"/>
  <c r="AH60" i="14" s="1"/>
  <c r="AE60" i="15" s="1"/>
  <c r="H60" i="15" s="1"/>
  <c r="R60" i="14"/>
  <c r="S60" i="14"/>
  <c r="T60" i="14"/>
  <c r="U60" i="14"/>
  <c r="V60" i="14"/>
  <c r="W60" i="14"/>
  <c r="X60" i="14"/>
  <c r="Y60" i="14"/>
  <c r="Z60" i="14"/>
  <c r="AA60" i="14"/>
  <c r="A61" i="14"/>
  <c r="B61" i="14"/>
  <c r="D61" i="14"/>
  <c r="I61" i="14"/>
  <c r="J61" i="14"/>
  <c r="O61" i="14"/>
  <c r="AC61" i="15" s="1"/>
  <c r="P61" i="14"/>
  <c r="Q61" i="14"/>
  <c r="R61" i="14"/>
  <c r="AH61" i="14" s="1"/>
  <c r="S61" i="14"/>
  <c r="T61" i="14"/>
  <c r="U61" i="14"/>
  <c r="V61" i="14"/>
  <c r="W61" i="14"/>
  <c r="F61" i="14" s="1"/>
  <c r="X61" i="14"/>
  <c r="Y61" i="14"/>
  <c r="Z61" i="14"/>
  <c r="AA61" i="14"/>
  <c r="A62" i="14"/>
  <c r="B62" i="14"/>
  <c r="D62" i="14"/>
  <c r="I62" i="14"/>
  <c r="J62" i="14"/>
  <c r="O62" i="14"/>
  <c r="P62" i="14"/>
  <c r="AC62" i="15" s="1"/>
  <c r="Q62" i="14"/>
  <c r="R62" i="14"/>
  <c r="S62" i="14"/>
  <c r="T62" i="14"/>
  <c r="U62" i="14"/>
  <c r="V62" i="14"/>
  <c r="W62" i="14"/>
  <c r="X62" i="14"/>
  <c r="Y62" i="14"/>
  <c r="Z62" i="14"/>
  <c r="AA62" i="14"/>
  <c r="A63" i="14"/>
  <c r="B63" i="14"/>
  <c r="D63" i="14"/>
  <c r="I63" i="14"/>
  <c r="J63" i="14"/>
  <c r="O63" i="14"/>
  <c r="P63" i="14"/>
  <c r="Q63" i="14"/>
  <c r="AH63" i="14" s="1"/>
  <c r="AE63" i="15" s="1"/>
  <c r="R63" i="14"/>
  <c r="S63" i="14"/>
  <c r="T63" i="14"/>
  <c r="U63" i="14"/>
  <c r="V63" i="14"/>
  <c r="W63" i="14"/>
  <c r="X63" i="14"/>
  <c r="Y63" i="14"/>
  <c r="Z63" i="14"/>
  <c r="AA63" i="14"/>
  <c r="A64" i="14"/>
  <c r="B64" i="14"/>
  <c r="D64" i="14"/>
  <c r="I64" i="14"/>
  <c r="J64" i="14"/>
  <c r="O64" i="14"/>
  <c r="P64" i="14"/>
  <c r="Q64" i="14"/>
  <c r="AH64" i="14" s="1"/>
  <c r="R64" i="14"/>
  <c r="S64" i="14"/>
  <c r="T64" i="14"/>
  <c r="U64" i="14"/>
  <c r="V64" i="14"/>
  <c r="W64" i="14"/>
  <c r="X64" i="14"/>
  <c r="Y64" i="14"/>
  <c r="Z64" i="14"/>
  <c r="AA64" i="14"/>
  <c r="A65" i="14"/>
  <c r="B65" i="14"/>
  <c r="D65" i="14"/>
  <c r="F65" i="14"/>
  <c r="I65" i="14"/>
  <c r="J65" i="14"/>
  <c r="O65" i="14"/>
  <c r="AC65" i="15" s="1"/>
  <c r="P65" i="14"/>
  <c r="Q65" i="14"/>
  <c r="AH65" i="14" s="1"/>
  <c r="AE65" i="15" s="1"/>
  <c r="R65" i="14"/>
  <c r="S65" i="14"/>
  <c r="T65" i="14"/>
  <c r="U65" i="14"/>
  <c r="V65" i="14"/>
  <c r="W65" i="14"/>
  <c r="X65" i="14"/>
  <c r="Y65" i="14"/>
  <c r="Z65" i="14"/>
  <c r="AA65" i="14"/>
  <c r="A66" i="14"/>
  <c r="B66" i="14"/>
  <c r="D66" i="14"/>
  <c r="I66" i="14"/>
  <c r="J66" i="14"/>
  <c r="O66" i="14"/>
  <c r="P66" i="14"/>
  <c r="AC66" i="15" s="1"/>
  <c r="Q66" i="14"/>
  <c r="R66" i="14"/>
  <c r="AH66" i="14" s="1"/>
  <c r="AE66" i="15" s="1"/>
  <c r="S66" i="14"/>
  <c r="T66" i="14"/>
  <c r="U66" i="14"/>
  <c r="V66" i="14"/>
  <c r="W66" i="14"/>
  <c r="E66" i="14" s="1"/>
  <c r="X66" i="14"/>
  <c r="Y66" i="14"/>
  <c r="Z66" i="14"/>
  <c r="AA66" i="14"/>
  <c r="A67" i="14"/>
  <c r="B67" i="14"/>
  <c r="D67" i="14"/>
  <c r="I67" i="14"/>
  <c r="J67" i="14"/>
  <c r="O67" i="14"/>
  <c r="P67" i="14"/>
  <c r="Q67" i="14"/>
  <c r="AH67" i="14" s="1"/>
  <c r="R67" i="14"/>
  <c r="S67" i="14"/>
  <c r="T67" i="14"/>
  <c r="U67" i="14"/>
  <c r="V67" i="14"/>
  <c r="W67" i="14"/>
  <c r="F67" i="14" s="1"/>
  <c r="X67" i="14"/>
  <c r="Y67" i="14"/>
  <c r="Z67" i="14"/>
  <c r="AA67" i="14"/>
  <c r="AC67" i="15"/>
  <c r="G67" i="15" s="1"/>
  <c r="A68" i="14"/>
  <c r="B68" i="14"/>
  <c r="D68" i="14"/>
  <c r="I68" i="14"/>
  <c r="J68" i="14"/>
  <c r="O68" i="14"/>
  <c r="P68" i="14"/>
  <c r="AC68" i="15" s="1"/>
  <c r="Q68" i="14"/>
  <c r="R68" i="14"/>
  <c r="AH68" i="14" s="1"/>
  <c r="S68" i="14"/>
  <c r="T68" i="14"/>
  <c r="U68" i="14"/>
  <c r="V68" i="14"/>
  <c r="W68" i="14"/>
  <c r="X68" i="14"/>
  <c r="Y68" i="14"/>
  <c r="Z68" i="14"/>
  <c r="AA68" i="14"/>
  <c r="A69" i="14"/>
  <c r="B69" i="14"/>
  <c r="D69" i="14"/>
  <c r="I69" i="14"/>
  <c r="J69" i="14"/>
  <c r="O69" i="14"/>
  <c r="P69" i="14"/>
  <c r="Q69" i="14"/>
  <c r="R69" i="14"/>
  <c r="AH69" i="14" s="1"/>
  <c r="AE69" i="15" s="1"/>
  <c r="S69" i="14"/>
  <c r="T69" i="14"/>
  <c r="U69" i="14"/>
  <c r="V69" i="14"/>
  <c r="W69" i="14"/>
  <c r="E69" i="14" s="1"/>
  <c r="X69" i="14"/>
  <c r="Y69" i="14"/>
  <c r="Z69" i="14"/>
  <c r="AA69" i="14"/>
  <c r="AC69" i="15"/>
  <c r="A70" i="14"/>
  <c r="B70" i="14"/>
  <c r="D70" i="14"/>
  <c r="I70" i="14"/>
  <c r="J70" i="14"/>
  <c r="O70" i="14"/>
  <c r="P70" i="14"/>
  <c r="AC70" i="15" s="1"/>
  <c r="Q70" i="14"/>
  <c r="R70" i="14"/>
  <c r="S70" i="14"/>
  <c r="T70" i="14"/>
  <c r="U70" i="14"/>
  <c r="V70" i="14"/>
  <c r="W70" i="14"/>
  <c r="X70" i="14"/>
  <c r="Y70" i="14"/>
  <c r="Z70" i="14"/>
  <c r="AA70" i="14"/>
  <c r="AH70" i="14"/>
  <c r="AE70" i="15" s="1"/>
  <c r="A71" i="14"/>
  <c r="B71" i="14"/>
  <c r="D71" i="14"/>
  <c r="I71" i="14"/>
  <c r="J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H71" i="14"/>
  <c r="AE71" i="15" s="1"/>
  <c r="A72" i="14"/>
  <c r="B72" i="14"/>
  <c r="D72" i="14"/>
  <c r="I72" i="14"/>
  <c r="J72" i="14"/>
  <c r="O72" i="14"/>
  <c r="P72" i="14"/>
  <c r="Q72" i="14"/>
  <c r="AH72" i="14" s="1"/>
  <c r="AE72" i="15" s="1"/>
  <c r="H72" i="15" s="1"/>
  <c r="R72" i="14"/>
  <c r="S72" i="14"/>
  <c r="T72" i="14"/>
  <c r="U72" i="14"/>
  <c r="V72" i="14"/>
  <c r="W72" i="14"/>
  <c r="X72" i="14"/>
  <c r="Y72" i="14"/>
  <c r="Z72" i="14"/>
  <c r="AA72" i="14"/>
  <c r="AC72" i="15"/>
  <c r="A73" i="14"/>
  <c r="B73" i="14"/>
  <c r="D73" i="14"/>
  <c r="I73" i="14"/>
  <c r="J73" i="14"/>
  <c r="O73" i="14"/>
  <c r="P73" i="14"/>
  <c r="Q73" i="14"/>
  <c r="R73" i="14"/>
  <c r="S73" i="14"/>
  <c r="T73" i="14"/>
  <c r="U73" i="14"/>
  <c r="V73" i="14"/>
  <c r="W73" i="14"/>
  <c r="E73" i="14" s="1"/>
  <c r="X73" i="14"/>
  <c r="Y73" i="14"/>
  <c r="Z73" i="14"/>
  <c r="AA73" i="14"/>
  <c r="AC73" i="15"/>
  <c r="G73" i="15" s="1"/>
  <c r="AH73" i="14"/>
  <c r="A74" i="14"/>
  <c r="B74" i="14"/>
  <c r="D74" i="14"/>
  <c r="I74" i="14"/>
  <c r="J74" i="14"/>
  <c r="O74" i="14"/>
  <c r="P74" i="14"/>
  <c r="AC74" i="15" s="1"/>
  <c r="Q74" i="14"/>
  <c r="R74" i="14"/>
  <c r="S74" i="14"/>
  <c r="T74" i="14"/>
  <c r="U74" i="14"/>
  <c r="V74" i="14"/>
  <c r="W74" i="14"/>
  <c r="F74" i="14" s="1"/>
  <c r="X74" i="14"/>
  <c r="Y74" i="14"/>
  <c r="Z74" i="14"/>
  <c r="AA74" i="14"/>
  <c r="AH74" i="14"/>
  <c r="A75" i="14"/>
  <c r="B75" i="14"/>
  <c r="D75" i="14"/>
  <c r="I75" i="14"/>
  <c r="J75" i="14"/>
  <c r="O75" i="14"/>
  <c r="AC75" i="15" s="1"/>
  <c r="G75" i="15" s="1"/>
  <c r="P75" i="14"/>
  <c r="Q75" i="14"/>
  <c r="R75" i="14"/>
  <c r="S75" i="14"/>
  <c r="T75" i="14"/>
  <c r="U75" i="14"/>
  <c r="V75" i="14"/>
  <c r="W75" i="14"/>
  <c r="X75" i="14"/>
  <c r="Y75" i="14"/>
  <c r="Z75" i="14"/>
  <c r="AA75" i="14"/>
  <c r="A76" i="14"/>
  <c r="B76" i="14"/>
  <c r="D76" i="14"/>
  <c r="I76" i="14"/>
  <c r="J76" i="14"/>
  <c r="O76" i="14"/>
  <c r="P76" i="14"/>
  <c r="Q76" i="14"/>
  <c r="R76" i="14"/>
  <c r="S76" i="14"/>
  <c r="T76" i="14"/>
  <c r="U76" i="14"/>
  <c r="V76" i="14"/>
  <c r="W76" i="14"/>
  <c r="E76" i="14" s="1"/>
  <c r="X76" i="14"/>
  <c r="Y76" i="14"/>
  <c r="Z76" i="14"/>
  <c r="AA76" i="14"/>
  <c r="AC76" i="15"/>
  <c r="A77" i="14"/>
  <c r="B77" i="14"/>
  <c r="D77" i="14"/>
  <c r="I77" i="14"/>
  <c r="J77" i="14"/>
  <c r="O77" i="14"/>
  <c r="AC77" i="15" s="1"/>
  <c r="P77" i="14"/>
  <c r="Q77" i="14"/>
  <c r="R77" i="14"/>
  <c r="S77" i="14"/>
  <c r="T77" i="14"/>
  <c r="U77" i="14"/>
  <c r="V77" i="14"/>
  <c r="W77" i="14"/>
  <c r="E77" i="14" s="1"/>
  <c r="X77" i="14"/>
  <c r="Y77" i="14"/>
  <c r="Z77" i="14"/>
  <c r="AA77" i="14"/>
  <c r="AH77" i="14"/>
  <c r="AE77" i="15" s="1"/>
  <c r="A78" i="14"/>
  <c r="B78" i="14"/>
  <c r="D78" i="14"/>
  <c r="I78" i="14"/>
  <c r="J78" i="14"/>
  <c r="O78" i="14"/>
  <c r="P78" i="14"/>
  <c r="AC78" i="15" s="1"/>
  <c r="Q78" i="14"/>
  <c r="R78" i="14"/>
  <c r="S78" i="14"/>
  <c r="T78" i="14"/>
  <c r="U78" i="14"/>
  <c r="V78" i="14"/>
  <c r="W78" i="14"/>
  <c r="X78" i="14"/>
  <c r="Y78" i="14"/>
  <c r="Z78" i="14"/>
  <c r="AA78" i="14"/>
  <c r="A79" i="14"/>
  <c r="B79" i="14"/>
  <c r="D79" i="14"/>
  <c r="I79" i="14"/>
  <c r="J79" i="14"/>
  <c r="O79" i="14"/>
  <c r="P79" i="14"/>
  <c r="Q79" i="14"/>
  <c r="R79" i="14"/>
  <c r="S79" i="14"/>
  <c r="T79" i="14"/>
  <c r="U79" i="14"/>
  <c r="C79" i="14" s="1"/>
  <c r="V79" i="14"/>
  <c r="W79" i="14"/>
  <c r="E79" i="14" s="1"/>
  <c r="X79" i="14"/>
  <c r="Y79" i="14"/>
  <c r="Z79" i="14"/>
  <c r="AA79" i="14"/>
  <c r="AH79" i="14"/>
  <c r="A80" i="14"/>
  <c r="B80" i="14"/>
  <c r="D80" i="14"/>
  <c r="I80" i="14"/>
  <c r="J80" i="14"/>
  <c r="O80" i="14"/>
  <c r="P80" i="14"/>
  <c r="AC80" i="15" s="1"/>
  <c r="G80" i="15" s="1"/>
  <c r="Q80" i="14"/>
  <c r="R80" i="14"/>
  <c r="S80" i="14"/>
  <c r="T80" i="14"/>
  <c r="U80" i="14"/>
  <c r="V80" i="14"/>
  <c r="W80" i="14"/>
  <c r="E80" i="14" s="1"/>
  <c r="X80" i="14"/>
  <c r="Y80" i="14"/>
  <c r="Z80" i="14"/>
  <c r="AA80" i="14"/>
  <c r="A81" i="14"/>
  <c r="B81" i="14"/>
  <c r="D81" i="14"/>
  <c r="I81" i="14"/>
  <c r="J81" i="14"/>
  <c r="O81" i="14"/>
  <c r="P81" i="14"/>
  <c r="AC81" i="15" s="1"/>
  <c r="G81" i="15" s="1"/>
  <c r="Q81" i="14"/>
  <c r="R81" i="14"/>
  <c r="S81" i="14"/>
  <c r="T81" i="14"/>
  <c r="U81" i="14"/>
  <c r="V81" i="14"/>
  <c r="W81" i="14"/>
  <c r="X81" i="14"/>
  <c r="E81" i="14" s="1"/>
  <c r="Y81" i="14"/>
  <c r="Z81" i="14"/>
  <c r="AA81" i="14"/>
  <c r="A82" i="14"/>
  <c r="B82" i="14"/>
  <c r="D82" i="14"/>
  <c r="I82" i="14"/>
  <c r="J82" i="14"/>
  <c r="O82" i="14"/>
  <c r="P82" i="14"/>
  <c r="AC82" i="15" s="1"/>
  <c r="G82" i="15" s="1"/>
  <c r="Q82" i="14"/>
  <c r="R82" i="14"/>
  <c r="S82" i="14"/>
  <c r="T82" i="14"/>
  <c r="U82" i="14"/>
  <c r="V82" i="14"/>
  <c r="W82" i="14"/>
  <c r="E82" i="14" s="1"/>
  <c r="X82" i="14"/>
  <c r="F82" i="14" s="1"/>
  <c r="Y82" i="14"/>
  <c r="Z82" i="14"/>
  <c r="AA82" i="14"/>
  <c r="A83" i="14"/>
  <c r="B83" i="14"/>
  <c r="D83" i="14"/>
  <c r="I83" i="14"/>
  <c r="J83" i="14"/>
  <c r="O83" i="14"/>
  <c r="P83" i="14"/>
  <c r="Q83" i="14"/>
  <c r="R83" i="14"/>
  <c r="S83" i="14"/>
  <c r="T83" i="14"/>
  <c r="U83" i="14"/>
  <c r="V83" i="14"/>
  <c r="W83" i="14"/>
  <c r="E83" i="14" s="1"/>
  <c r="X83" i="14"/>
  <c r="Y83" i="14"/>
  <c r="Z83" i="14"/>
  <c r="AA83" i="14"/>
  <c r="A84" i="14"/>
  <c r="B84" i="14"/>
  <c r="D84" i="14"/>
  <c r="I84" i="14"/>
  <c r="J84" i="14"/>
  <c r="O84" i="14"/>
  <c r="P84" i="14"/>
  <c r="AC84" i="15" s="1"/>
  <c r="Q84" i="14"/>
  <c r="R84" i="14"/>
  <c r="S84" i="14"/>
  <c r="T84" i="14"/>
  <c r="U84" i="14"/>
  <c r="V84" i="14"/>
  <c r="W84" i="14"/>
  <c r="X84" i="14"/>
  <c r="Y84" i="14"/>
  <c r="Z84" i="14"/>
  <c r="AA84" i="14"/>
  <c r="A85" i="14"/>
  <c r="B85" i="14"/>
  <c r="D85" i="14"/>
  <c r="I85" i="14"/>
  <c r="J85" i="14"/>
  <c r="O85" i="14"/>
  <c r="AC85" i="15" s="1"/>
  <c r="P85" i="14"/>
  <c r="Q85" i="14"/>
  <c r="R85" i="14"/>
  <c r="AH85" i="14" s="1"/>
  <c r="S85" i="14"/>
  <c r="T85" i="14"/>
  <c r="U85" i="14"/>
  <c r="V85" i="14"/>
  <c r="W85" i="14"/>
  <c r="X85" i="14"/>
  <c r="Y85" i="14"/>
  <c r="Z85" i="14"/>
  <c r="AA85" i="14"/>
  <c r="A86" i="14"/>
  <c r="B86" i="14"/>
  <c r="D86" i="14"/>
  <c r="I86" i="14"/>
  <c r="J86" i="14"/>
  <c r="O86" i="14"/>
  <c r="P86" i="14"/>
  <c r="Q86" i="14"/>
  <c r="R86" i="14"/>
  <c r="S86" i="14"/>
  <c r="T86" i="14"/>
  <c r="U86" i="14"/>
  <c r="V86" i="14"/>
  <c r="W86" i="14"/>
  <c r="E86" i="14" s="1"/>
  <c r="X86" i="14"/>
  <c r="Y86" i="14"/>
  <c r="Z86" i="14"/>
  <c r="AA86" i="14"/>
  <c r="AH86" i="14"/>
  <c r="A87" i="14"/>
  <c r="B87" i="14"/>
  <c r="D87" i="14"/>
  <c r="I87" i="14"/>
  <c r="J87" i="14"/>
  <c r="O87" i="14"/>
  <c r="P87" i="14"/>
  <c r="Q87" i="14"/>
  <c r="AH87" i="14" s="1"/>
  <c r="AE87" i="15" s="1"/>
  <c r="R87" i="14"/>
  <c r="S87" i="14"/>
  <c r="T87" i="14"/>
  <c r="U87" i="14"/>
  <c r="V87" i="14"/>
  <c r="W87" i="14"/>
  <c r="X87" i="14"/>
  <c r="Y87" i="14"/>
  <c r="Z87" i="14"/>
  <c r="AA87" i="14"/>
  <c r="A88" i="14"/>
  <c r="B88" i="14"/>
  <c r="D88" i="14"/>
  <c r="I88" i="14"/>
  <c r="J88" i="14"/>
  <c r="O88" i="14"/>
  <c r="G88" i="15" s="1"/>
  <c r="P88" i="14"/>
  <c r="AC88" i="15" s="1"/>
  <c r="Q88" i="14"/>
  <c r="R88" i="14"/>
  <c r="S88" i="14"/>
  <c r="T88" i="14"/>
  <c r="U88" i="14"/>
  <c r="V88" i="14"/>
  <c r="W88" i="14"/>
  <c r="E88" i="14" s="1"/>
  <c r="X88" i="14"/>
  <c r="Y88" i="14"/>
  <c r="Z88" i="14"/>
  <c r="AA88" i="14"/>
  <c r="A89" i="14"/>
  <c r="B89" i="14"/>
  <c r="D89" i="14"/>
  <c r="I89" i="14"/>
  <c r="J89" i="14"/>
  <c r="O89" i="14"/>
  <c r="P89" i="14"/>
  <c r="AC89" i="15" s="1"/>
  <c r="G89" i="15" s="1"/>
  <c r="Q89" i="14"/>
  <c r="AH89" i="14" s="1"/>
  <c r="AE89" i="15" s="1"/>
  <c r="R89" i="14"/>
  <c r="S89" i="14"/>
  <c r="T89" i="14"/>
  <c r="U89" i="14"/>
  <c r="V89" i="14"/>
  <c r="W89" i="14"/>
  <c r="E89" i="14" s="1"/>
  <c r="X89" i="14"/>
  <c r="Y89" i="14"/>
  <c r="Z89" i="14"/>
  <c r="AA89" i="14"/>
  <c r="A90" i="14"/>
  <c r="B90" i="14"/>
  <c r="D90" i="14"/>
  <c r="I90" i="14"/>
  <c r="J90" i="14"/>
  <c r="O90" i="14"/>
  <c r="P90" i="14"/>
  <c r="AC90" i="15" s="1"/>
  <c r="G90" i="15" s="1"/>
  <c r="Q90" i="14"/>
  <c r="R90" i="14"/>
  <c r="S90" i="14"/>
  <c r="T90" i="14"/>
  <c r="U90" i="14"/>
  <c r="V90" i="14"/>
  <c r="W90" i="14"/>
  <c r="X90" i="14"/>
  <c r="E90" i="14" s="1"/>
  <c r="Y90" i="14"/>
  <c r="Z90" i="14"/>
  <c r="AA90" i="14"/>
  <c r="A91" i="14"/>
  <c r="B91" i="14"/>
  <c r="D91" i="14"/>
  <c r="I91" i="14"/>
  <c r="J91" i="14"/>
  <c r="O91" i="14"/>
  <c r="AC91" i="15" s="1"/>
  <c r="P91" i="14"/>
  <c r="Q91" i="14"/>
  <c r="R91" i="14"/>
  <c r="S91" i="14"/>
  <c r="T91" i="14"/>
  <c r="U91" i="14"/>
  <c r="V91" i="14"/>
  <c r="W91" i="14"/>
  <c r="E91" i="14" s="1"/>
  <c r="X91" i="14"/>
  <c r="Y91" i="14"/>
  <c r="Z91" i="14"/>
  <c r="AA91" i="14"/>
  <c r="A92" i="14"/>
  <c r="B92" i="14"/>
  <c r="D92" i="14"/>
  <c r="I92" i="14"/>
  <c r="J92" i="14"/>
  <c r="O92" i="14"/>
  <c r="P92" i="14"/>
  <c r="Q92" i="14"/>
  <c r="R92" i="14"/>
  <c r="AH92" i="14" s="1"/>
  <c r="AE92" i="15" s="1"/>
  <c r="S92" i="14"/>
  <c r="T92" i="14"/>
  <c r="U92" i="14"/>
  <c r="V92" i="14"/>
  <c r="W92" i="14"/>
  <c r="X92" i="14"/>
  <c r="F92" i="14" s="1"/>
  <c r="Y92" i="14"/>
  <c r="Z92" i="14"/>
  <c r="AA92" i="14"/>
  <c r="A93" i="14"/>
  <c r="B93" i="14"/>
  <c r="D93" i="14"/>
  <c r="I93" i="14"/>
  <c r="J93" i="14"/>
  <c r="O93" i="14"/>
  <c r="P93" i="14"/>
  <c r="Q93" i="14"/>
  <c r="R93" i="14"/>
  <c r="AH93" i="14" s="1"/>
  <c r="S93" i="14"/>
  <c r="T93" i="14"/>
  <c r="U93" i="14"/>
  <c r="V93" i="14"/>
  <c r="W93" i="14"/>
  <c r="X93" i="14"/>
  <c r="Y93" i="14"/>
  <c r="Z93" i="14"/>
  <c r="AA93" i="14"/>
  <c r="A94" i="14"/>
  <c r="B94" i="14"/>
  <c r="D94" i="14"/>
  <c r="I94" i="14"/>
  <c r="J94" i="14"/>
  <c r="O94" i="14"/>
  <c r="P94" i="14"/>
  <c r="Q94" i="14"/>
  <c r="AH94" i="14" s="1"/>
  <c r="R94" i="14"/>
  <c r="S94" i="14"/>
  <c r="T94" i="14"/>
  <c r="U94" i="14"/>
  <c r="V94" i="14"/>
  <c r="W94" i="14"/>
  <c r="E94" i="14" s="1"/>
  <c r="X94" i="14"/>
  <c r="Y94" i="14"/>
  <c r="Z94" i="14"/>
  <c r="AA94" i="14"/>
  <c r="A95" i="14"/>
  <c r="B95" i="14"/>
  <c r="D95" i="14"/>
  <c r="I95" i="14"/>
  <c r="J95" i="14"/>
  <c r="O95" i="14"/>
  <c r="P95" i="14"/>
  <c r="Q95" i="14"/>
  <c r="AH95" i="14" s="1"/>
  <c r="AE95" i="15" s="1"/>
  <c r="R95" i="14"/>
  <c r="S95" i="14"/>
  <c r="T95" i="14"/>
  <c r="U95" i="14"/>
  <c r="V95" i="14"/>
  <c r="W95" i="14"/>
  <c r="X95" i="14"/>
  <c r="E95" i="14" s="1"/>
  <c r="C95" i="14" s="1"/>
  <c r="Y95" i="14"/>
  <c r="Z95" i="14"/>
  <c r="AA95" i="14"/>
  <c r="A96" i="14"/>
  <c r="B96" i="14"/>
  <c r="D96" i="14"/>
  <c r="I96" i="14"/>
  <c r="J96" i="14"/>
  <c r="O96" i="14"/>
  <c r="AC96" i="15" s="1"/>
  <c r="G96" i="15" s="1"/>
  <c r="P96" i="14"/>
  <c r="Q96" i="14"/>
  <c r="R96" i="14"/>
  <c r="AH96" i="14" s="1"/>
  <c r="S96" i="14"/>
  <c r="T96" i="14"/>
  <c r="U96" i="14"/>
  <c r="V96" i="14"/>
  <c r="W96" i="14"/>
  <c r="E96" i="14" s="1"/>
  <c r="X96" i="14"/>
  <c r="Y96" i="14"/>
  <c r="Z96" i="14"/>
  <c r="AA96" i="14"/>
  <c r="A97" i="14"/>
  <c r="B97" i="14"/>
  <c r="D97" i="14"/>
  <c r="I97" i="14"/>
  <c r="J97" i="14"/>
  <c r="O97" i="14"/>
  <c r="P97" i="14"/>
  <c r="Q97" i="14"/>
  <c r="R97" i="14"/>
  <c r="S97" i="14"/>
  <c r="T97" i="14"/>
  <c r="U97" i="14"/>
  <c r="V97" i="14"/>
  <c r="W97" i="14"/>
  <c r="E97" i="14" s="1"/>
  <c r="X97" i="14"/>
  <c r="Y97" i="14"/>
  <c r="Z97" i="14"/>
  <c r="AA97" i="14"/>
  <c r="AH97" i="14"/>
  <c r="A98" i="14"/>
  <c r="B98" i="14"/>
  <c r="D98" i="14"/>
  <c r="I98" i="14"/>
  <c r="J98" i="14"/>
  <c r="O98" i="14"/>
  <c r="P98" i="14"/>
  <c r="Q98" i="14"/>
  <c r="R98" i="14"/>
  <c r="S98" i="14"/>
  <c r="T98" i="14"/>
  <c r="U98" i="14"/>
  <c r="V98" i="14"/>
  <c r="W98" i="14"/>
  <c r="F98" i="14" s="1"/>
  <c r="X98" i="14"/>
  <c r="E98" i="14" s="1"/>
  <c r="Y98" i="14"/>
  <c r="Z98" i="14"/>
  <c r="AA98" i="14"/>
  <c r="A99" i="14"/>
  <c r="B99" i="14"/>
  <c r="D99" i="14"/>
  <c r="I99" i="14"/>
  <c r="J99" i="14"/>
  <c r="O99" i="14"/>
  <c r="P99" i="14"/>
  <c r="Q99" i="14"/>
  <c r="R99" i="14"/>
  <c r="S99" i="14"/>
  <c r="T99" i="14"/>
  <c r="U99" i="14"/>
  <c r="V99" i="14"/>
  <c r="W99" i="14"/>
  <c r="E99" i="14" s="1"/>
  <c r="X99" i="14"/>
  <c r="Y99" i="14"/>
  <c r="Z99" i="14"/>
  <c r="AA99" i="14"/>
  <c r="AH99" i="14"/>
  <c r="A100" i="14"/>
  <c r="B100" i="14"/>
  <c r="D100" i="14"/>
  <c r="I100" i="14"/>
  <c r="J100" i="14"/>
  <c r="O100" i="14"/>
  <c r="P100" i="14"/>
  <c r="Q100" i="14"/>
  <c r="R100" i="14"/>
  <c r="S100" i="14"/>
  <c r="T100" i="14"/>
  <c r="U100" i="14"/>
  <c r="V100" i="14"/>
  <c r="W100" i="14"/>
  <c r="E100" i="14" s="1"/>
  <c r="X100" i="14"/>
  <c r="Y100" i="14"/>
  <c r="Z100" i="14"/>
  <c r="AA100" i="14"/>
  <c r="A101" i="14"/>
  <c r="B101" i="14"/>
  <c r="D101" i="14"/>
  <c r="I101" i="14"/>
  <c r="J101" i="14"/>
  <c r="O101" i="14"/>
  <c r="P101" i="14"/>
  <c r="Q101" i="14"/>
  <c r="R101" i="14"/>
  <c r="AH101" i="14" s="1"/>
  <c r="S101" i="14"/>
  <c r="T101" i="14"/>
  <c r="U101" i="14"/>
  <c r="V101" i="14"/>
  <c r="W101" i="14"/>
  <c r="X101" i="14"/>
  <c r="Y101" i="14"/>
  <c r="Z101" i="14"/>
  <c r="AA101" i="14"/>
  <c r="A102" i="14"/>
  <c r="B102" i="14"/>
  <c r="D102" i="14"/>
  <c r="I102" i="14"/>
  <c r="J102" i="14"/>
  <c r="O102" i="14"/>
  <c r="P102" i="14"/>
  <c r="Q102" i="14"/>
  <c r="R102" i="14"/>
  <c r="S102" i="14"/>
  <c r="T102" i="14"/>
  <c r="U102" i="14"/>
  <c r="V102" i="14"/>
  <c r="W102" i="14"/>
  <c r="E102" i="14" s="1"/>
  <c r="X102" i="14"/>
  <c r="Y102" i="14"/>
  <c r="Z102" i="14"/>
  <c r="AA102" i="14"/>
  <c r="AH102" i="14"/>
  <c r="AE102" i="15" s="1"/>
  <c r="A103" i="14"/>
  <c r="B103" i="14"/>
  <c r="D103" i="14"/>
  <c r="I103" i="14"/>
  <c r="J103" i="14"/>
  <c r="O103" i="14"/>
  <c r="P103" i="14"/>
  <c r="Q103" i="14"/>
  <c r="R103" i="14"/>
  <c r="S103" i="14"/>
  <c r="T103" i="14"/>
  <c r="U103" i="14"/>
  <c r="V103" i="14"/>
  <c r="W103" i="14"/>
  <c r="X103" i="14"/>
  <c r="E103" i="14" s="1"/>
  <c r="C103" i="14" s="1"/>
  <c r="Y103" i="14"/>
  <c r="Z103" i="14"/>
  <c r="AA103" i="14"/>
  <c r="AH103" i="14"/>
  <c r="AE103" i="15" s="1"/>
  <c r="A104" i="14"/>
  <c r="B104" i="14"/>
  <c r="D104" i="14"/>
  <c r="I104" i="14"/>
  <c r="J104" i="14"/>
  <c r="O104" i="14"/>
  <c r="AC104" i="15" s="1"/>
  <c r="P104" i="14"/>
  <c r="Q104" i="14"/>
  <c r="R104" i="14"/>
  <c r="S104" i="14"/>
  <c r="T104" i="14"/>
  <c r="U104" i="14"/>
  <c r="V104" i="14"/>
  <c r="W104" i="14"/>
  <c r="X104" i="14"/>
  <c r="Y104" i="14"/>
  <c r="Z104" i="14"/>
  <c r="AA104" i="14"/>
  <c r="A105" i="14"/>
  <c r="B105" i="14"/>
  <c r="D105" i="14"/>
  <c r="I105" i="14"/>
  <c r="J105" i="14"/>
  <c r="O105" i="14"/>
  <c r="AC105" i="15" s="1"/>
  <c r="P105" i="14"/>
  <c r="Q105" i="14"/>
  <c r="AH105" i="14" s="1"/>
  <c r="AE105" i="15" s="1"/>
  <c r="R105" i="14"/>
  <c r="S105" i="14"/>
  <c r="T105" i="14"/>
  <c r="U105" i="14"/>
  <c r="V105" i="14"/>
  <c r="W105" i="14"/>
  <c r="E105" i="14" s="1"/>
  <c r="X105" i="14"/>
  <c r="Y105" i="14"/>
  <c r="Z105" i="14"/>
  <c r="AA105" i="14"/>
  <c r="A106" i="14"/>
  <c r="B106" i="14"/>
  <c r="D106" i="14"/>
  <c r="I106" i="14"/>
  <c r="J106" i="14"/>
  <c r="O106" i="14"/>
  <c r="P106" i="14"/>
  <c r="Q106" i="14"/>
  <c r="R106" i="14"/>
  <c r="S106" i="14"/>
  <c r="T106" i="14"/>
  <c r="U106" i="14"/>
  <c r="V106" i="14"/>
  <c r="W106" i="14"/>
  <c r="X106" i="14"/>
  <c r="Y106" i="14"/>
  <c r="Z106" i="14"/>
  <c r="AA106" i="14"/>
  <c r="A107" i="14"/>
  <c r="B107" i="14"/>
  <c r="D107" i="14"/>
  <c r="I107" i="14"/>
  <c r="J107" i="14"/>
  <c r="O107" i="14"/>
  <c r="AC107" i="15" s="1"/>
  <c r="P107" i="14"/>
  <c r="Q107" i="14"/>
  <c r="AH107" i="14" s="1"/>
  <c r="AE107" i="15" s="1"/>
  <c r="R107" i="14"/>
  <c r="S107" i="14"/>
  <c r="T107" i="14"/>
  <c r="U107" i="14"/>
  <c r="V107" i="14"/>
  <c r="W107" i="14"/>
  <c r="X107" i="14"/>
  <c r="Y107" i="14"/>
  <c r="Z107" i="14"/>
  <c r="AA107" i="14"/>
  <c r="A108" i="14"/>
  <c r="B108" i="14"/>
  <c r="D108" i="14"/>
  <c r="I108" i="14"/>
  <c r="J108" i="14"/>
  <c r="O108" i="14"/>
  <c r="P108" i="14"/>
  <c r="AC108" i="15" s="1"/>
  <c r="Q108" i="14"/>
  <c r="R108" i="14"/>
  <c r="AH108" i="14" s="1"/>
  <c r="S108" i="14"/>
  <c r="T108" i="14"/>
  <c r="U108" i="14"/>
  <c r="V108" i="14"/>
  <c r="W108" i="14"/>
  <c r="X108" i="14"/>
  <c r="F108" i="14" s="1"/>
  <c r="Y108" i="14"/>
  <c r="Z108" i="14"/>
  <c r="AA108" i="14"/>
  <c r="A109" i="14"/>
  <c r="B109" i="14"/>
  <c r="D109" i="14"/>
  <c r="I109" i="14"/>
  <c r="J109" i="14"/>
  <c r="O109" i="14"/>
  <c r="P109" i="14"/>
  <c r="Q109" i="14"/>
  <c r="R109" i="14"/>
  <c r="S109" i="14"/>
  <c r="T109" i="14"/>
  <c r="U109" i="14"/>
  <c r="V109" i="14"/>
  <c r="W109" i="14"/>
  <c r="F109" i="14" s="1"/>
  <c r="X109" i="14"/>
  <c r="Y109" i="14"/>
  <c r="Z109" i="14"/>
  <c r="AA109" i="14"/>
  <c r="A110" i="14"/>
  <c r="B110" i="14"/>
  <c r="D110" i="14"/>
  <c r="I110" i="14"/>
  <c r="J110" i="14"/>
  <c r="O110" i="14"/>
  <c r="P110" i="14"/>
  <c r="Q110" i="14"/>
  <c r="AH110" i="14" s="1"/>
  <c r="AE110" i="15" s="1"/>
  <c r="R110" i="14"/>
  <c r="S110" i="14"/>
  <c r="T110" i="14"/>
  <c r="U110" i="14"/>
  <c r="V110" i="14"/>
  <c r="W110" i="14"/>
  <c r="E110" i="14" s="1"/>
  <c r="X110" i="14"/>
  <c r="Y110" i="14"/>
  <c r="Z110" i="14"/>
  <c r="AA110" i="14"/>
  <c r="A111" i="14"/>
  <c r="B111" i="14"/>
  <c r="D111" i="14"/>
  <c r="I111" i="14"/>
  <c r="J111" i="14"/>
  <c r="O111" i="14"/>
  <c r="P111" i="14"/>
  <c r="Q111" i="14"/>
  <c r="R111" i="14"/>
  <c r="S111" i="14"/>
  <c r="T111" i="14"/>
  <c r="U111" i="14"/>
  <c r="V111" i="14"/>
  <c r="W111" i="14"/>
  <c r="E111" i="14" s="1"/>
  <c r="X111" i="14"/>
  <c r="Y111" i="14"/>
  <c r="Z111" i="14"/>
  <c r="AA111" i="14"/>
  <c r="AH111" i="14"/>
  <c r="AE111" i="15" s="1"/>
  <c r="A112" i="14"/>
  <c r="B112" i="14"/>
  <c r="D112" i="14"/>
  <c r="I112" i="14"/>
  <c r="J112" i="14"/>
  <c r="O112" i="14"/>
  <c r="P112" i="14"/>
  <c r="Q112" i="14"/>
  <c r="R112" i="14"/>
  <c r="S112" i="14"/>
  <c r="T112" i="14"/>
  <c r="U112" i="14"/>
  <c r="V112" i="14"/>
  <c r="W112" i="14"/>
  <c r="X112" i="14"/>
  <c r="Y112" i="14"/>
  <c r="Z112" i="14"/>
  <c r="AA112" i="14"/>
  <c r="A113" i="14"/>
  <c r="B113" i="14"/>
  <c r="D113" i="14"/>
  <c r="I113" i="14"/>
  <c r="J113" i="14"/>
  <c r="O113" i="14"/>
  <c r="AC113" i="15" s="1"/>
  <c r="G113" i="15" s="1"/>
  <c r="P113" i="14"/>
  <c r="Q113" i="14"/>
  <c r="R113" i="14"/>
  <c r="S113" i="14"/>
  <c r="T113" i="14"/>
  <c r="U113" i="14"/>
  <c r="V113" i="14"/>
  <c r="W113" i="14"/>
  <c r="E113" i="14" s="1"/>
  <c r="X113" i="14"/>
  <c r="Y113" i="14"/>
  <c r="Z113" i="14"/>
  <c r="AA113" i="14"/>
  <c r="A114" i="14"/>
  <c r="B114" i="14"/>
  <c r="D114" i="14"/>
  <c r="I114" i="14"/>
  <c r="J114" i="14"/>
  <c r="O114" i="14"/>
  <c r="P114" i="14"/>
  <c r="Q114" i="14"/>
  <c r="AH114" i="14" s="1"/>
  <c r="AE114" i="15" s="1"/>
  <c r="R114" i="14"/>
  <c r="S114" i="14"/>
  <c r="T114" i="14"/>
  <c r="U114" i="14"/>
  <c r="V114" i="14"/>
  <c r="W114" i="14"/>
  <c r="E114" i="14" s="1"/>
  <c r="X114" i="14"/>
  <c r="F114" i="14" s="1"/>
  <c r="Y114" i="14"/>
  <c r="Z114" i="14"/>
  <c r="AA114" i="14"/>
  <c r="A115" i="14"/>
  <c r="B115" i="14"/>
  <c r="D115" i="14"/>
  <c r="I115" i="14"/>
  <c r="J115" i="14"/>
  <c r="O115" i="14"/>
  <c r="P115" i="14"/>
  <c r="Q115" i="14"/>
  <c r="R115" i="14"/>
  <c r="S115" i="14"/>
  <c r="T115" i="14"/>
  <c r="U115" i="14"/>
  <c r="V115" i="14"/>
  <c r="W115" i="14"/>
  <c r="X115" i="14"/>
  <c r="Y115" i="14"/>
  <c r="Z115" i="14"/>
  <c r="AA115" i="14"/>
  <c r="A116" i="14"/>
  <c r="B116" i="14"/>
  <c r="D116" i="14"/>
  <c r="I116" i="14"/>
  <c r="J116" i="14"/>
  <c r="O116" i="14"/>
  <c r="P116" i="14"/>
  <c r="Q116" i="14"/>
  <c r="R116" i="14"/>
  <c r="S116" i="14"/>
  <c r="T116" i="14"/>
  <c r="U116" i="14"/>
  <c r="V116" i="14"/>
  <c r="W116" i="14"/>
  <c r="F116" i="14" s="1"/>
  <c r="X116" i="14"/>
  <c r="Y116" i="14"/>
  <c r="Z116" i="14"/>
  <c r="AA116" i="14"/>
  <c r="A117" i="14"/>
  <c r="B117" i="14"/>
  <c r="D117" i="14"/>
  <c r="I117" i="14"/>
  <c r="J117" i="14"/>
  <c r="O117" i="14"/>
  <c r="P117" i="14"/>
  <c r="Q117" i="14"/>
  <c r="AH117" i="14" s="1"/>
  <c r="AE117" i="15" s="1"/>
  <c r="R117" i="14"/>
  <c r="S117" i="14"/>
  <c r="T117" i="14"/>
  <c r="U117" i="14"/>
  <c r="V117" i="14"/>
  <c r="W117" i="14"/>
  <c r="E117" i="14" s="1"/>
  <c r="X117" i="14"/>
  <c r="Y117" i="14"/>
  <c r="Z117" i="14"/>
  <c r="AA117" i="14"/>
  <c r="A118" i="14"/>
  <c r="B118" i="14"/>
  <c r="D118" i="14"/>
  <c r="I118" i="14"/>
  <c r="J118" i="14"/>
  <c r="O118" i="14"/>
  <c r="P118" i="14"/>
  <c r="Q118" i="14"/>
  <c r="R118" i="14"/>
  <c r="S118" i="14"/>
  <c r="T118" i="14"/>
  <c r="U118" i="14"/>
  <c r="V118" i="14"/>
  <c r="W118" i="14"/>
  <c r="F118" i="14" s="1"/>
  <c r="X118" i="14"/>
  <c r="Y118" i="14"/>
  <c r="Z118" i="14"/>
  <c r="AA118" i="14"/>
  <c r="A119" i="14"/>
  <c r="B119" i="14"/>
  <c r="D119" i="14"/>
  <c r="I119" i="14"/>
  <c r="J119" i="14"/>
  <c r="O119" i="14"/>
  <c r="P119" i="14"/>
  <c r="Q119" i="14"/>
  <c r="R119" i="14"/>
  <c r="S119" i="14"/>
  <c r="T119" i="14"/>
  <c r="U119" i="14"/>
  <c r="V119" i="14"/>
  <c r="W119" i="14"/>
  <c r="X119" i="14"/>
  <c r="E119" i="14" s="1"/>
  <c r="Y119" i="14"/>
  <c r="Z119" i="14"/>
  <c r="AA119" i="14"/>
  <c r="A120" i="14"/>
  <c r="B120" i="14"/>
  <c r="D120" i="14"/>
  <c r="I120" i="14"/>
  <c r="J120" i="14"/>
  <c r="O120" i="14"/>
  <c r="AC120" i="15" s="1"/>
  <c r="P120" i="14"/>
  <c r="Q120" i="14"/>
  <c r="R120" i="14"/>
  <c r="S120" i="14"/>
  <c r="T120" i="14"/>
  <c r="U120" i="14"/>
  <c r="V120" i="14"/>
  <c r="W120" i="14"/>
  <c r="E120" i="14" s="1"/>
  <c r="X120" i="14"/>
  <c r="Y120" i="14"/>
  <c r="Z120" i="14"/>
  <c r="AA120" i="14"/>
  <c r="A121" i="14"/>
  <c r="B121" i="14"/>
  <c r="D121" i="14"/>
  <c r="I121" i="14"/>
  <c r="J121" i="14"/>
  <c r="O121" i="14"/>
  <c r="P121" i="14"/>
  <c r="AC121" i="15" s="1"/>
  <c r="Q121" i="14"/>
  <c r="R121" i="14"/>
  <c r="S121" i="14"/>
  <c r="T121" i="14"/>
  <c r="U121" i="14"/>
  <c r="V121" i="14"/>
  <c r="W121" i="14"/>
  <c r="X121" i="14"/>
  <c r="E121" i="14" s="1"/>
  <c r="Y121" i="14"/>
  <c r="Z121" i="14"/>
  <c r="AA121" i="14"/>
  <c r="A122" i="14"/>
  <c r="B122" i="14"/>
  <c r="D122" i="14"/>
  <c r="I122" i="14"/>
  <c r="J122" i="14"/>
  <c r="O122" i="14"/>
  <c r="P122" i="14"/>
  <c r="Q122" i="14"/>
  <c r="R122" i="14"/>
  <c r="AH122" i="14" s="1"/>
  <c r="AE122" i="15" s="1"/>
  <c r="S122" i="14"/>
  <c r="T122" i="14"/>
  <c r="U122" i="14"/>
  <c r="V122" i="14"/>
  <c r="W122" i="14"/>
  <c r="X122" i="14"/>
  <c r="Y122" i="14"/>
  <c r="Z122" i="14"/>
  <c r="AA122" i="14"/>
  <c r="A123" i="14"/>
  <c r="B123" i="14"/>
  <c r="D123" i="14"/>
  <c r="I123" i="14"/>
  <c r="J123" i="14"/>
  <c r="O123" i="14"/>
  <c r="P123" i="14"/>
  <c r="Q123" i="14"/>
  <c r="R123" i="14"/>
  <c r="S123" i="14"/>
  <c r="T123" i="14"/>
  <c r="U123" i="14"/>
  <c r="V123" i="14"/>
  <c r="W123" i="14"/>
  <c r="F123" i="14" s="1"/>
  <c r="X123" i="14"/>
  <c r="Y123" i="14"/>
  <c r="Z123" i="14"/>
  <c r="AA123" i="14"/>
  <c r="AC123" i="15"/>
  <c r="G123" i="15" s="1"/>
  <c r="A124" i="14"/>
  <c r="B124" i="14"/>
  <c r="D124" i="14"/>
  <c r="I124" i="14"/>
  <c r="J124" i="14"/>
  <c r="O124" i="14"/>
  <c r="P124" i="14"/>
  <c r="AC124" i="15" s="1"/>
  <c r="Q124" i="14"/>
  <c r="R124" i="14"/>
  <c r="S124" i="14"/>
  <c r="T124" i="14"/>
  <c r="U124" i="14"/>
  <c r="V124" i="14"/>
  <c r="W124" i="14"/>
  <c r="X124" i="14"/>
  <c r="E124" i="14" s="1"/>
  <c r="Y124" i="14"/>
  <c r="Z124" i="14"/>
  <c r="AA124" i="14"/>
  <c r="A125" i="14"/>
  <c r="B125" i="14"/>
  <c r="D125" i="14"/>
  <c r="I125" i="14"/>
  <c r="J125" i="14"/>
  <c r="O125" i="14"/>
  <c r="P125" i="14"/>
  <c r="Q125" i="14"/>
  <c r="AH125" i="14" s="1"/>
  <c r="AE125" i="15" s="1"/>
  <c r="R125" i="14"/>
  <c r="S125" i="14"/>
  <c r="T125" i="14"/>
  <c r="U125" i="14"/>
  <c r="V125" i="14"/>
  <c r="W125" i="14"/>
  <c r="F125" i="14" s="1"/>
  <c r="X125" i="14"/>
  <c r="Y125" i="14"/>
  <c r="Z125" i="14"/>
  <c r="AA125" i="14"/>
  <c r="AC125" i="15"/>
  <c r="A126" i="14"/>
  <c r="B126" i="14"/>
  <c r="D126" i="14"/>
  <c r="I126" i="14"/>
  <c r="J126" i="14"/>
  <c r="O126" i="14"/>
  <c r="P126" i="14"/>
  <c r="Q126" i="14"/>
  <c r="R126" i="14"/>
  <c r="AH126" i="14" s="1"/>
  <c r="AE126" i="15" s="1"/>
  <c r="S126" i="14"/>
  <c r="T126" i="14"/>
  <c r="U126" i="14"/>
  <c r="V126" i="14"/>
  <c r="W126" i="14"/>
  <c r="E126" i="14" s="1"/>
  <c r="X126" i="14"/>
  <c r="F126" i="14" s="1"/>
  <c r="Y126" i="14"/>
  <c r="Z126" i="14"/>
  <c r="AA126" i="14"/>
  <c r="A127" i="14"/>
  <c r="B127" i="14"/>
  <c r="D127" i="14"/>
  <c r="I127" i="14"/>
  <c r="J127" i="14"/>
  <c r="O127" i="14"/>
  <c r="P127" i="14"/>
  <c r="Q127" i="14"/>
  <c r="R127" i="14"/>
  <c r="S127" i="14"/>
  <c r="T127" i="14"/>
  <c r="U127" i="14"/>
  <c r="V127" i="14"/>
  <c r="W127" i="14"/>
  <c r="F127" i="14" s="1"/>
  <c r="X127" i="14"/>
  <c r="Y127" i="14"/>
  <c r="Z127" i="14"/>
  <c r="AA127" i="14"/>
  <c r="J7" i="14"/>
  <c r="I7" i="14"/>
  <c r="H117" i="15" l="1"/>
  <c r="G85" i="15"/>
  <c r="H27" i="15"/>
  <c r="G93" i="15"/>
  <c r="G86" i="15"/>
  <c r="G64" i="15"/>
  <c r="H38" i="15"/>
  <c r="H70" i="15"/>
  <c r="G56" i="15"/>
  <c r="H37" i="15"/>
  <c r="H19" i="15"/>
  <c r="G8" i="15"/>
  <c r="H53" i="15"/>
  <c r="H45" i="15"/>
  <c r="G22" i="15"/>
  <c r="H105" i="15"/>
  <c r="G65" i="15"/>
  <c r="G43" i="15"/>
  <c r="H41" i="15"/>
  <c r="H36" i="15"/>
  <c r="H30" i="15"/>
  <c r="H25" i="15"/>
  <c r="H95" i="15"/>
  <c r="G120" i="15"/>
  <c r="G72" i="15"/>
  <c r="H29" i="15"/>
  <c r="G104" i="15"/>
  <c r="H121" i="15"/>
  <c r="H65" i="15"/>
  <c r="H46" i="15"/>
  <c r="H108" i="15"/>
  <c r="G101" i="15"/>
  <c r="H97" i="15"/>
  <c r="H71" i="15"/>
  <c r="H69" i="15"/>
  <c r="G24" i="15"/>
  <c r="H21" i="15"/>
  <c r="G98" i="15"/>
  <c r="H85" i="15"/>
  <c r="AG7" i="14"/>
  <c r="AE7" i="14"/>
  <c r="H126" i="15"/>
  <c r="G108" i="15"/>
  <c r="AC55" i="15"/>
  <c r="G52" i="15"/>
  <c r="G20" i="15"/>
  <c r="G94" i="15"/>
  <c r="H93" i="15"/>
  <c r="C88" i="15"/>
  <c r="C84" i="15"/>
  <c r="C71" i="15"/>
  <c r="H61" i="15"/>
  <c r="C58" i="15"/>
  <c r="C57" i="15"/>
  <c r="C44" i="15"/>
  <c r="H34" i="15"/>
  <c r="C28" i="15"/>
  <c r="C18" i="15"/>
  <c r="C10" i="15"/>
  <c r="H114" i="15"/>
  <c r="H102" i="15"/>
  <c r="H92" i="15"/>
  <c r="AC87" i="15"/>
  <c r="G77" i="15"/>
  <c r="H66" i="15"/>
  <c r="AC31" i="15"/>
  <c r="G31" i="15" s="1"/>
  <c r="G21" i="15"/>
  <c r="G12" i="15"/>
  <c r="C108" i="15"/>
  <c r="C97" i="15"/>
  <c r="C96" i="15"/>
  <c r="C90" i="15"/>
  <c r="C75" i="15"/>
  <c r="C74" i="15"/>
  <c r="C73" i="15"/>
  <c r="C47" i="15"/>
  <c r="C31" i="15"/>
  <c r="C20" i="15"/>
  <c r="C123" i="15"/>
  <c r="H122" i="15"/>
  <c r="G91" i="15"/>
  <c r="H18" i="15"/>
  <c r="G13" i="15"/>
  <c r="C111" i="15"/>
  <c r="C60" i="15"/>
  <c r="C32" i="15"/>
  <c r="C13" i="15"/>
  <c r="AC127" i="15"/>
  <c r="G127" i="15" s="1"/>
  <c r="G76" i="15"/>
  <c r="H58" i="15"/>
  <c r="C114" i="15"/>
  <c r="C113" i="15"/>
  <c r="G100" i="15"/>
  <c r="H98" i="15"/>
  <c r="C80" i="15"/>
  <c r="C49" i="15"/>
  <c r="C33" i="15"/>
  <c r="AC119" i="15"/>
  <c r="G84" i="15"/>
  <c r="G32" i="15"/>
  <c r="G28" i="15"/>
  <c r="AC23" i="15"/>
  <c r="C81" i="15"/>
  <c r="C65" i="15"/>
  <c r="C89" i="15"/>
  <c r="G124" i="15"/>
  <c r="AC111" i="15"/>
  <c r="G111" i="15" s="1"/>
  <c r="C117" i="15"/>
  <c r="H94" i="15"/>
  <c r="C82" i="15"/>
  <c r="H74" i="15"/>
  <c r="C67" i="15"/>
  <c r="C55" i="15"/>
  <c r="C37" i="15"/>
  <c r="C16" i="15"/>
  <c r="C8" i="15"/>
  <c r="G44" i="15"/>
  <c r="G68" i="15"/>
  <c r="AC63" i="15"/>
  <c r="G63" i="15" s="1"/>
  <c r="H50" i="15"/>
  <c r="C119" i="15"/>
  <c r="G109" i="15"/>
  <c r="C17" i="15"/>
  <c r="C9" i="15"/>
  <c r="H126" i="14"/>
  <c r="AH115" i="14"/>
  <c r="AE115" i="15" s="1"/>
  <c r="H115" i="15" s="1"/>
  <c r="AC114" i="15"/>
  <c r="G114" i="15" s="1"/>
  <c r="G112" i="15"/>
  <c r="H111" i="15"/>
  <c r="AH113" i="14"/>
  <c r="AE113" i="15" s="1"/>
  <c r="H113" i="15" s="1"/>
  <c r="AC103" i="15"/>
  <c r="AH88" i="14"/>
  <c r="AE88" i="15" s="1"/>
  <c r="H88" i="15" s="1"/>
  <c r="AH83" i="14"/>
  <c r="AE83" i="15" s="1"/>
  <c r="H83" i="15" s="1"/>
  <c r="AH81" i="14"/>
  <c r="AE81" i="15" s="1"/>
  <c r="AH75" i="14"/>
  <c r="AE75" i="15" s="1"/>
  <c r="H75" i="15" s="1"/>
  <c r="AH62" i="14"/>
  <c r="AE62" i="15" s="1"/>
  <c r="G60" i="15"/>
  <c r="AH56" i="14"/>
  <c r="AE56" i="15" s="1"/>
  <c r="H56" i="15" s="1"/>
  <c r="AC48" i="15"/>
  <c r="G48" i="15" s="1"/>
  <c r="AC41" i="15"/>
  <c r="AC30" i="15"/>
  <c r="H24" i="15"/>
  <c r="AH20" i="14"/>
  <c r="AE20" i="15" s="1"/>
  <c r="H20" i="15" s="1"/>
  <c r="AH10" i="14"/>
  <c r="AE10" i="15" s="1"/>
  <c r="H10" i="15" s="1"/>
  <c r="G126" i="15"/>
  <c r="AH123" i="14"/>
  <c r="AE123" i="15" s="1"/>
  <c r="H123" i="15" s="1"/>
  <c r="AH119" i="14"/>
  <c r="AE119" i="15" s="1"/>
  <c r="AC92" i="15"/>
  <c r="G92" i="15" s="1"/>
  <c r="AC57" i="15"/>
  <c r="G57" i="15" s="1"/>
  <c r="AH59" i="14"/>
  <c r="AE59" i="15" s="1"/>
  <c r="AH55" i="14"/>
  <c r="AE55" i="15" s="1"/>
  <c r="H44" i="15"/>
  <c r="G36" i="15"/>
  <c r="AC27" i="15"/>
  <c r="G27" i="15" s="1"/>
  <c r="H26" i="15"/>
  <c r="H22" i="15"/>
  <c r="AC18" i="15"/>
  <c r="G18" i="15" s="1"/>
  <c r="AH9" i="14"/>
  <c r="AE9" i="15" s="1"/>
  <c r="H9" i="15" s="1"/>
  <c r="C120" i="15"/>
  <c r="G119" i="15"/>
  <c r="C116" i="15"/>
  <c r="G105" i="15"/>
  <c r="G95" i="15"/>
  <c r="H89" i="15"/>
  <c r="C87" i="15"/>
  <c r="H73" i="15"/>
  <c r="G69" i="15"/>
  <c r="H62" i="15"/>
  <c r="G58" i="15"/>
  <c r="H57" i="15"/>
  <c r="G53" i="15"/>
  <c r="H42" i="15"/>
  <c r="C40" i="15"/>
  <c r="G39" i="15"/>
  <c r="H33" i="15"/>
  <c r="C27" i="15"/>
  <c r="C23" i="15"/>
  <c r="G9" i="15"/>
  <c r="H125" i="15"/>
  <c r="C115" i="15"/>
  <c r="C101" i="15"/>
  <c r="C64" i="15"/>
  <c r="C59" i="15"/>
  <c r="C48" i="15"/>
  <c r="C35" i="15"/>
  <c r="C126" i="15"/>
  <c r="G125" i="15"/>
  <c r="C122" i="15"/>
  <c r="C105" i="15"/>
  <c r="C100" i="15"/>
  <c r="C95" i="15"/>
  <c r="C69" i="15"/>
  <c r="C53" i="15"/>
  <c r="G121" i="15"/>
  <c r="C109" i="15"/>
  <c r="H107" i="15"/>
  <c r="C104" i="15"/>
  <c r="G103" i="15"/>
  <c r="H96" i="15"/>
  <c r="C85" i="15"/>
  <c r="C68" i="15"/>
  <c r="C63" i="15"/>
  <c r="G61" i="15"/>
  <c r="H54" i="15"/>
  <c r="C52" i="15"/>
  <c r="H49" i="15"/>
  <c r="C43" i="15"/>
  <c r="G41" i="15"/>
  <c r="H31" i="15"/>
  <c r="C29" i="15"/>
  <c r="C25" i="15"/>
  <c r="C21" i="15"/>
  <c r="H110" i="15"/>
  <c r="G107" i="15"/>
  <c r="H101" i="15"/>
  <c r="G97" i="15"/>
  <c r="G87" i="15"/>
  <c r="G79" i="15"/>
  <c r="C72" i="15"/>
  <c r="H64" i="15"/>
  <c r="H59" i="15"/>
  <c r="G55" i="15"/>
  <c r="G45" i="15"/>
  <c r="H35" i="15"/>
  <c r="G23" i="15"/>
  <c r="G19" i="15"/>
  <c r="C12" i="15"/>
  <c r="C125" i="15"/>
  <c r="C112" i="15"/>
  <c r="C103" i="15"/>
  <c r="C92" i="15"/>
  <c r="H81" i="15"/>
  <c r="H77" i="15"/>
  <c r="H68" i="15"/>
  <c r="C61" i="15"/>
  <c r="G59" i="15"/>
  <c r="H52" i="15"/>
  <c r="C41" i="15"/>
  <c r="C36" i="15"/>
  <c r="H17" i="15"/>
  <c r="H103" i="15"/>
  <c r="H67" i="15"/>
  <c r="G50" i="15"/>
  <c r="G42" i="15"/>
  <c r="G38" i="15"/>
  <c r="G34" i="15"/>
  <c r="G30" i="15"/>
  <c r="G26" i="15"/>
  <c r="G78" i="15"/>
  <c r="G62" i="15"/>
  <c r="G14" i="15"/>
  <c r="G66" i="15"/>
  <c r="H51" i="15"/>
  <c r="H47" i="15"/>
  <c r="H43" i="15"/>
  <c r="H39" i="15"/>
  <c r="H87" i="15"/>
  <c r="G74" i="15"/>
  <c r="G70" i="15"/>
  <c r="H55" i="15"/>
  <c r="H23" i="15"/>
  <c r="H119" i="15"/>
  <c r="H99" i="15"/>
  <c r="H79" i="15"/>
  <c r="H63" i="15"/>
  <c r="H15" i="15"/>
  <c r="C76" i="14"/>
  <c r="C42" i="14"/>
  <c r="C89" i="14"/>
  <c r="E127" i="14"/>
  <c r="AH124" i="14"/>
  <c r="AE124" i="15" s="1"/>
  <c r="H124" i="15" s="1"/>
  <c r="F121" i="14"/>
  <c r="F119" i="14"/>
  <c r="H114" i="14"/>
  <c r="F95" i="14"/>
  <c r="F94" i="14"/>
  <c r="F87" i="14"/>
  <c r="G87" i="14" s="1"/>
  <c r="F86" i="14"/>
  <c r="AH82" i="14"/>
  <c r="AE82" i="15" s="1"/>
  <c r="H82" i="15" s="1"/>
  <c r="AH80" i="14"/>
  <c r="AE80" i="15" s="1"/>
  <c r="H80" i="15" s="1"/>
  <c r="E78" i="14"/>
  <c r="F77" i="14"/>
  <c r="AH76" i="14"/>
  <c r="AE76" i="15" s="1"/>
  <c r="H76" i="15" s="1"/>
  <c r="E61" i="14"/>
  <c r="AH53" i="14"/>
  <c r="F124" i="14"/>
  <c r="C123" i="14"/>
  <c r="E122" i="14"/>
  <c r="AC122" i="15"/>
  <c r="G122" i="15" s="1"/>
  <c r="AH106" i="14"/>
  <c r="AE106" i="15" s="1"/>
  <c r="H106" i="15" s="1"/>
  <c r="C102" i="14"/>
  <c r="AH98" i="14"/>
  <c r="AH90" i="14"/>
  <c r="AE90" i="15" s="1"/>
  <c r="H90" i="15" s="1"/>
  <c r="F80" i="14"/>
  <c r="H65" i="14"/>
  <c r="E65" i="14"/>
  <c r="C65" i="14" s="1"/>
  <c r="E62" i="14"/>
  <c r="E60" i="14"/>
  <c r="C60" i="14" s="1"/>
  <c r="F59" i="14"/>
  <c r="G59" i="14" s="1"/>
  <c r="F58" i="14"/>
  <c r="AC54" i="15"/>
  <c r="G54" i="15" s="1"/>
  <c r="E53" i="14"/>
  <c r="F42" i="14"/>
  <c r="E38" i="14"/>
  <c r="E36" i="14"/>
  <c r="C36" i="14" s="1"/>
  <c r="C26" i="14"/>
  <c r="H25" i="14"/>
  <c r="E21" i="14"/>
  <c r="F18" i="14"/>
  <c r="AH14" i="14"/>
  <c r="AE14" i="15" s="1"/>
  <c r="H14" i="15" s="1"/>
  <c r="E13" i="14"/>
  <c r="F10" i="14"/>
  <c r="H10" i="14" s="1"/>
  <c r="C17" i="14"/>
  <c r="E125" i="14"/>
  <c r="C111" i="14"/>
  <c r="AH104" i="14"/>
  <c r="AE104" i="15" s="1"/>
  <c r="H104" i="15" s="1"/>
  <c r="F81" i="14"/>
  <c r="C78" i="14"/>
  <c r="C73" i="14"/>
  <c r="C45" i="14"/>
  <c r="E41" i="14"/>
  <c r="E22" i="14"/>
  <c r="F9" i="14"/>
  <c r="AH120" i="14"/>
  <c r="C119" i="14"/>
  <c r="AH118" i="14"/>
  <c r="AE118" i="15" s="1"/>
  <c r="H118" i="15" s="1"/>
  <c r="AH116" i="14"/>
  <c r="AE116" i="15" s="1"/>
  <c r="H116" i="15" s="1"/>
  <c r="AH112" i="14"/>
  <c r="AE112" i="15" s="1"/>
  <c r="H112" i="15" s="1"/>
  <c r="AH109" i="14"/>
  <c r="AE109" i="15" s="1"/>
  <c r="H109" i="15" s="1"/>
  <c r="AC106" i="15"/>
  <c r="G106" i="15" s="1"/>
  <c r="F105" i="14"/>
  <c r="AH100" i="14"/>
  <c r="F97" i="14"/>
  <c r="C94" i="14"/>
  <c r="F89" i="14"/>
  <c r="H89" i="14" s="1"/>
  <c r="AH84" i="14"/>
  <c r="AE84" i="15" s="1"/>
  <c r="H84" i="15" s="1"/>
  <c r="AC83" i="15"/>
  <c r="G83" i="15" s="1"/>
  <c r="F75" i="14"/>
  <c r="E74" i="14"/>
  <c r="E63" i="14"/>
  <c r="E57" i="14"/>
  <c r="E55" i="14"/>
  <c r="E52" i="14"/>
  <c r="C52" i="14" s="1"/>
  <c r="AC40" i="15"/>
  <c r="G40" i="15" s="1"/>
  <c r="F34" i="14"/>
  <c r="C30" i="14"/>
  <c r="E14" i="14"/>
  <c r="C14" i="14" s="1"/>
  <c r="G116" i="14"/>
  <c r="G126" i="14"/>
  <c r="F113" i="14"/>
  <c r="G113" i="14" s="1"/>
  <c r="C104" i="14"/>
  <c r="AH91" i="14"/>
  <c r="AE91" i="15" s="1"/>
  <c r="H91" i="15" s="1"/>
  <c r="AH78" i="14"/>
  <c r="AE78" i="15" s="1"/>
  <c r="H78" i="15" s="1"/>
  <c r="F73" i="14"/>
  <c r="E68" i="14"/>
  <c r="H52" i="14"/>
  <c r="E50" i="14"/>
  <c r="C50" i="14" s="1"/>
  <c r="AC45" i="15"/>
  <c r="C25" i="14"/>
  <c r="E23" i="14"/>
  <c r="F17" i="14"/>
  <c r="G17" i="14" s="1"/>
  <c r="AC15" i="15"/>
  <c r="G15" i="15" s="1"/>
  <c r="AH11" i="14"/>
  <c r="AE11" i="15" s="1"/>
  <c r="H11" i="15" s="1"/>
  <c r="C105" i="14"/>
  <c r="AH127" i="14"/>
  <c r="AE127" i="15" s="1"/>
  <c r="H127" i="15" s="1"/>
  <c r="C126" i="14"/>
  <c r="AH121" i="14"/>
  <c r="C121" i="14"/>
  <c r="F120" i="14"/>
  <c r="E118" i="14"/>
  <c r="AC118" i="15"/>
  <c r="G118" i="15" s="1"/>
  <c r="AC115" i="15"/>
  <c r="G115" i="15" s="1"/>
  <c r="AC110" i="15"/>
  <c r="G110" i="15" s="1"/>
  <c r="F110" i="14"/>
  <c r="G110" i="14" s="1"/>
  <c r="E108" i="14"/>
  <c r="C108" i="14" s="1"/>
  <c r="E104" i="14"/>
  <c r="F103" i="14"/>
  <c r="AC102" i="15"/>
  <c r="G102" i="15" s="1"/>
  <c r="F102" i="14"/>
  <c r="F100" i="14"/>
  <c r="G100" i="14"/>
  <c r="G80" i="14"/>
  <c r="AC46" i="15"/>
  <c r="G46" i="15" s="1"/>
  <c r="E33" i="14"/>
  <c r="E30" i="14"/>
  <c r="C97" i="14"/>
  <c r="C120" i="14"/>
  <c r="AC117" i="15"/>
  <c r="G117" i="15" s="1"/>
  <c r="F111" i="14"/>
  <c r="H111" i="14" s="1"/>
  <c r="H108" i="14"/>
  <c r="E87" i="14"/>
  <c r="C87" i="14" s="1"/>
  <c r="C86" i="14"/>
  <c r="E84" i="14"/>
  <c r="C81" i="14"/>
  <c r="F79" i="14"/>
  <c r="F78" i="14"/>
  <c r="AC71" i="15"/>
  <c r="G71" i="15" s="1"/>
  <c r="E70" i="14"/>
  <c r="F66" i="14"/>
  <c r="H66" i="14" s="1"/>
  <c r="F49" i="14"/>
  <c r="G49" i="14" s="1"/>
  <c r="AC47" i="15"/>
  <c r="G47" i="15" s="1"/>
  <c r="C37" i="14"/>
  <c r="F26" i="14"/>
  <c r="AC16" i="15"/>
  <c r="G16" i="15" s="1"/>
  <c r="AH13" i="14"/>
  <c r="AE13" i="15" s="1"/>
  <c r="H13" i="15" s="1"/>
  <c r="AC11" i="15"/>
  <c r="G11" i="15" s="1"/>
  <c r="H124" i="14"/>
  <c r="C122" i="14"/>
  <c r="G119" i="14"/>
  <c r="H119" i="14"/>
  <c r="G125" i="14"/>
  <c r="G123" i="14"/>
  <c r="H123" i="14"/>
  <c r="H118" i="14"/>
  <c r="G127" i="14"/>
  <c r="C124" i="14"/>
  <c r="H127" i="14"/>
  <c r="C127" i="14"/>
  <c r="H125" i="14"/>
  <c r="H121" i="14"/>
  <c r="C114" i="14"/>
  <c r="G121" i="14"/>
  <c r="C118" i="14"/>
  <c r="C117" i="14"/>
  <c r="G114" i="14"/>
  <c r="E112" i="14"/>
  <c r="C112" i="14" s="1"/>
  <c r="F112" i="14"/>
  <c r="G95" i="14"/>
  <c r="H95" i="14"/>
  <c r="C90" i="14"/>
  <c r="C88" i="14"/>
  <c r="G19" i="14"/>
  <c r="E85" i="14"/>
  <c r="F85" i="14"/>
  <c r="F117" i="14"/>
  <c r="H103" i="14"/>
  <c r="C98" i="14"/>
  <c r="G92" i="14"/>
  <c r="E123" i="14"/>
  <c r="F122" i="14"/>
  <c r="G111" i="14"/>
  <c r="G108" i="14"/>
  <c r="C100" i="14"/>
  <c r="H97" i="14"/>
  <c r="H94" i="14"/>
  <c r="E93" i="14"/>
  <c r="C93" i="14" s="1"/>
  <c r="F93" i="14"/>
  <c r="E92" i="14"/>
  <c r="E109" i="14"/>
  <c r="C109" i="14" s="1"/>
  <c r="G105" i="14"/>
  <c r="G118" i="14"/>
  <c r="E115" i="14"/>
  <c r="C115" i="14" s="1"/>
  <c r="F115" i="14"/>
  <c r="C99" i="14"/>
  <c r="G98" i="14"/>
  <c r="G94" i="14"/>
  <c r="G79" i="14"/>
  <c r="H79" i="14"/>
  <c r="G78" i="14"/>
  <c r="H78" i="14"/>
  <c r="G103" i="14"/>
  <c r="G109" i="14"/>
  <c r="E106" i="14"/>
  <c r="C106" i="14" s="1"/>
  <c r="F106" i="14"/>
  <c r="H105" i="14"/>
  <c r="H102" i="14"/>
  <c r="E101" i="14"/>
  <c r="C101" i="14" s="1"/>
  <c r="F101" i="14"/>
  <c r="C82" i="14"/>
  <c r="H77" i="14"/>
  <c r="G77" i="14"/>
  <c r="E116" i="14"/>
  <c r="C116" i="14" s="1"/>
  <c r="E107" i="14"/>
  <c r="C107" i="14" s="1"/>
  <c r="F107" i="14"/>
  <c r="H92" i="14"/>
  <c r="G82" i="14"/>
  <c r="C77" i="14"/>
  <c r="E16" i="14"/>
  <c r="F16" i="14"/>
  <c r="G124" i="14"/>
  <c r="H98" i="14"/>
  <c r="H110" i="14"/>
  <c r="H109" i="14"/>
  <c r="G97" i="14"/>
  <c r="C96" i="14"/>
  <c r="G86" i="14"/>
  <c r="H86" i="14"/>
  <c r="C85" i="14"/>
  <c r="C84" i="14"/>
  <c r="C83" i="14"/>
  <c r="G81" i="14"/>
  <c r="H81" i="14"/>
  <c r="H74" i="14"/>
  <c r="C64" i="14"/>
  <c r="G41" i="14"/>
  <c r="E40" i="14"/>
  <c r="F40" i="14"/>
  <c r="C34" i="14"/>
  <c r="H33" i="14"/>
  <c r="H19" i="14"/>
  <c r="E15" i="14"/>
  <c r="C15" i="14" s="1"/>
  <c r="F84" i="14"/>
  <c r="G74" i="14"/>
  <c r="G33" i="14"/>
  <c r="H18" i="14"/>
  <c r="G18" i="14"/>
  <c r="F99" i="14"/>
  <c r="F91" i="14"/>
  <c r="F83" i="14"/>
  <c r="C69" i="14"/>
  <c r="C63" i="14"/>
  <c r="G58" i="14"/>
  <c r="C47" i="14"/>
  <c r="H43" i="14"/>
  <c r="E39" i="14"/>
  <c r="C39" i="14" s="1"/>
  <c r="E32" i="14"/>
  <c r="C32" i="14" s="1"/>
  <c r="F32" i="14"/>
  <c r="C28" i="14"/>
  <c r="C23" i="14"/>
  <c r="C10" i="14"/>
  <c r="F90" i="14"/>
  <c r="C74" i="14"/>
  <c r="H73" i="14"/>
  <c r="C66" i="14"/>
  <c r="C61" i="14"/>
  <c r="H58" i="14"/>
  <c r="G52" i="14"/>
  <c r="H51" i="14"/>
  <c r="H50" i="14"/>
  <c r="G50" i="14"/>
  <c r="C49" i="14"/>
  <c r="C40" i="14"/>
  <c r="C33" i="14"/>
  <c r="G25" i="14"/>
  <c r="G9" i="14"/>
  <c r="E72" i="14"/>
  <c r="C72" i="14" s="1"/>
  <c r="F72" i="14"/>
  <c r="C70" i="14"/>
  <c r="C68" i="14"/>
  <c r="G65" i="14"/>
  <c r="C55" i="14"/>
  <c r="C54" i="14"/>
  <c r="G51" i="14"/>
  <c r="H49" i="14"/>
  <c r="G43" i="14"/>
  <c r="H42" i="14"/>
  <c r="G42" i="14"/>
  <c r="C41" i="14"/>
  <c r="E31" i="14"/>
  <c r="C31" i="14" s="1"/>
  <c r="G27" i="14"/>
  <c r="C21" i="14"/>
  <c r="C18" i="14"/>
  <c r="H17" i="14"/>
  <c r="C13" i="14"/>
  <c r="E8" i="14"/>
  <c r="C8" i="14" s="1"/>
  <c r="F8" i="14"/>
  <c r="F104" i="14"/>
  <c r="F96" i="14"/>
  <c r="F88" i="14"/>
  <c r="G73" i="14"/>
  <c r="E64" i="14"/>
  <c r="F64" i="14"/>
  <c r="C62" i="14"/>
  <c r="C58" i="14"/>
  <c r="H57" i="14"/>
  <c r="E56" i="14"/>
  <c r="C56" i="14" s="1"/>
  <c r="F56" i="14"/>
  <c r="E48" i="14"/>
  <c r="C48" i="14" s="1"/>
  <c r="F48" i="14"/>
  <c r="C46" i="14"/>
  <c r="G45" i="14"/>
  <c r="H45" i="14"/>
  <c r="H41" i="14"/>
  <c r="H35" i="14"/>
  <c r="G34" i="14"/>
  <c r="H27" i="14"/>
  <c r="E24" i="14"/>
  <c r="C24" i="14" s="1"/>
  <c r="F24" i="14"/>
  <c r="C22" i="14"/>
  <c r="C20" i="14"/>
  <c r="C16" i="14"/>
  <c r="C12" i="14"/>
  <c r="G11" i="14"/>
  <c r="H11" i="14"/>
  <c r="G75" i="14"/>
  <c r="H75" i="14"/>
  <c r="E71" i="14"/>
  <c r="C71" i="14" s="1"/>
  <c r="G67" i="14"/>
  <c r="H67" i="14"/>
  <c r="G61" i="14"/>
  <c r="H61" i="14"/>
  <c r="G57" i="14"/>
  <c r="G53" i="14"/>
  <c r="H53" i="14"/>
  <c r="G35" i="14"/>
  <c r="H34" i="14"/>
  <c r="H26" i="14"/>
  <c r="G26" i="14"/>
  <c r="E75" i="14"/>
  <c r="C75" i="14" s="1"/>
  <c r="E67" i="14"/>
  <c r="C67" i="14" s="1"/>
  <c r="E59" i="14"/>
  <c r="C59" i="14" s="1"/>
  <c r="E51" i="14"/>
  <c r="C51" i="14" s="1"/>
  <c r="E43" i="14"/>
  <c r="C43" i="14" s="1"/>
  <c r="E35" i="14"/>
  <c r="C35" i="14" s="1"/>
  <c r="E27" i="14"/>
  <c r="C27" i="14" s="1"/>
  <c r="E19" i="14"/>
  <c r="C19" i="14" s="1"/>
  <c r="E11" i="14"/>
  <c r="C11" i="14" s="1"/>
  <c r="F71" i="14"/>
  <c r="F63" i="14"/>
  <c r="F55" i="14"/>
  <c r="F47" i="14"/>
  <c r="F39" i="14"/>
  <c r="F31" i="14"/>
  <c r="F23" i="14"/>
  <c r="F15" i="14"/>
  <c r="F70" i="14"/>
  <c r="F62" i="14"/>
  <c r="F54" i="14"/>
  <c r="F46" i="14"/>
  <c r="F38" i="14"/>
  <c r="F30" i="14"/>
  <c r="F22" i="14"/>
  <c r="F14" i="14"/>
  <c r="F69" i="14"/>
  <c r="F37" i="14"/>
  <c r="F29" i="14"/>
  <c r="F21" i="14"/>
  <c r="F13" i="14"/>
  <c r="F76" i="14"/>
  <c r="F68" i="14"/>
  <c r="F60" i="14"/>
  <c r="F44" i="14"/>
  <c r="F36" i="14"/>
  <c r="F28" i="14"/>
  <c r="F20" i="14"/>
  <c r="F12" i="14"/>
  <c r="H113" i="14" l="1"/>
  <c r="G102" i="14"/>
  <c r="H82" i="14"/>
  <c r="H80" i="14"/>
  <c r="H9" i="14"/>
  <c r="H120" i="14"/>
  <c r="AE120" i="15"/>
  <c r="H120" i="15" s="1"/>
  <c r="H59" i="14"/>
  <c r="G66" i="14"/>
  <c r="C125" i="14"/>
  <c r="H87" i="14"/>
  <c r="G10" i="14"/>
  <c r="H100" i="14"/>
  <c r="G89" i="14"/>
  <c r="H116" i="14"/>
  <c r="C38" i="14"/>
  <c r="C92" i="14"/>
  <c r="C80" i="14"/>
  <c r="C29" i="14"/>
  <c r="G120" i="14"/>
  <c r="C53" i="14"/>
  <c r="C91" i="14"/>
  <c r="C57" i="14"/>
  <c r="C110" i="14"/>
  <c r="C113" i="14"/>
  <c r="G38" i="14"/>
  <c r="H38" i="14"/>
  <c r="G84" i="14"/>
  <c r="H84" i="14"/>
  <c r="G14" i="14"/>
  <c r="H14" i="14"/>
  <c r="G15" i="14"/>
  <c r="H15" i="14"/>
  <c r="G68" i="14"/>
  <c r="H68" i="14"/>
  <c r="G22" i="14"/>
  <c r="H22" i="14"/>
  <c r="G23" i="14"/>
  <c r="H23" i="14"/>
  <c r="G8" i="14"/>
  <c r="H8" i="14"/>
  <c r="G32" i="14"/>
  <c r="H32" i="14"/>
  <c r="G115" i="14"/>
  <c r="H115" i="14"/>
  <c r="G30" i="14"/>
  <c r="H30" i="14"/>
  <c r="G12" i="14"/>
  <c r="H12" i="14"/>
  <c r="G20" i="14"/>
  <c r="H20" i="14"/>
  <c r="G21" i="14"/>
  <c r="H21" i="14"/>
  <c r="G46" i="14"/>
  <c r="H46" i="14"/>
  <c r="G47" i="14"/>
  <c r="H47" i="14"/>
  <c r="G83" i="14"/>
  <c r="H83" i="14"/>
  <c r="G106" i="14"/>
  <c r="H106" i="14"/>
  <c r="G28" i="14"/>
  <c r="H28" i="14"/>
  <c r="G29" i="14"/>
  <c r="H29" i="14"/>
  <c r="G54" i="14"/>
  <c r="H54" i="14"/>
  <c r="G55" i="14"/>
  <c r="H55" i="14"/>
  <c r="G91" i="14"/>
  <c r="H91" i="14"/>
  <c r="H122" i="14"/>
  <c r="G122" i="14"/>
  <c r="H117" i="14"/>
  <c r="G117" i="14"/>
  <c r="G112" i="14"/>
  <c r="H112" i="14"/>
  <c r="G39" i="14"/>
  <c r="H39" i="14"/>
  <c r="G37" i="14"/>
  <c r="H37" i="14"/>
  <c r="G62" i="14"/>
  <c r="H62" i="14"/>
  <c r="G63" i="14"/>
  <c r="H63" i="14"/>
  <c r="G48" i="14"/>
  <c r="H48" i="14"/>
  <c r="G88" i="14"/>
  <c r="H88" i="14"/>
  <c r="G99" i="14"/>
  <c r="H99" i="14"/>
  <c r="G40" i="14"/>
  <c r="H40" i="14"/>
  <c r="G16" i="14"/>
  <c r="H16" i="14"/>
  <c r="G107" i="14"/>
  <c r="H107" i="14"/>
  <c r="H85" i="14"/>
  <c r="G85" i="14"/>
  <c r="G76" i="14"/>
  <c r="H76" i="14"/>
  <c r="G56" i="14"/>
  <c r="H56" i="14"/>
  <c r="G36" i="14"/>
  <c r="H36" i="14"/>
  <c r="G44" i="14"/>
  <c r="H44" i="14"/>
  <c r="G69" i="14"/>
  <c r="H69" i="14"/>
  <c r="G70" i="14"/>
  <c r="H70" i="14"/>
  <c r="G71" i="14"/>
  <c r="H71" i="14"/>
  <c r="G24" i="14"/>
  <c r="H24" i="14"/>
  <c r="G64" i="14"/>
  <c r="H64" i="14"/>
  <c r="G96" i="14"/>
  <c r="H96" i="14"/>
  <c r="G72" i="14"/>
  <c r="H72" i="14"/>
  <c r="G90" i="14"/>
  <c r="H90" i="14"/>
  <c r="H101" i="14"/>
  <c r="G101" i="14"/>
  <c r="H93" i="14"/>
  <c r="G93" i="14"/>
  <c r="G31" i="14"/>
  <c r="H31" i="14"/>
  <c r="G13" i="14"/>
  <c r="H13" i="14"/>
  <c r="G60" i="14"/>
  <c r="H60" i="14"/>
  <c r="G104" i="14"/>
  <c r="H104" i="14"/>
  <c r="M8" i="8" l="1"/>
  <c r="N8" i="8"/>
  <c r="M9" i="8"/>
  <c r="N9" i="8"/>
  <c r="M10" i="8"/>
  <c r="N10" i="8"/>
  <c r="M11" i="8"/>
  <c r="N11" i="8"/>
  <c r="M12" i="8"/>
  <c r="N12" i="8"/>
  <c r="M13" i="8"/>
  <c r="N13" i="8"/>
  <c r="N7" i="8"/>
  <c r="M7" i="8"/>
  <c r="AL9" i="2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S10" i="2"/>
  <c r="AL11" i="2"/>
  <c r="AM11" i="2"/>
  <c r="AN11" i="2"/>
  <c r="AO11" i="2"/>
  <c r="AP11" i="2"/>
  <c r="AQ11" i="2"/>
  <c r="AR11" i="2"/>
  <c r="AS11" i="2"/>
  <c r="AL12" i="2"/>
  <c r="AM12" i="2"/>
  <c r="AN12" i="2"/>
  <c r="AO12" i="2"/>
  <c r="AP12" i="2"/>
  <c r="AQ12" i="2"/>
  <c r="AR12" i="2"/>
  <c r="AS12" i="2"/>
  <c r="AL13" i="2"/>
  <c r="AM13" i="2"/>
  <c r="AN13" i="2"/>
  <c r="AO13" i="2"/>
  <c r="AP13" i="2"/>
  <c r="AQ13" i="2"/>
  <c r="AR13" i="2"/>
  <c r="AS13" i="2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/>
  <c r="AM9" i="8"/>
  <c r="AN9" i="8"/>
  <c r="AO9" i="8"/>
  <c r="AP9" i="8"/>
  <c r="AQ9" i="8"/>
  <c r="AR9" i="8"/>
  <c r="AS9" i="8"/>
  <c r="S9" i="8" s="1"/>
  <c r="AT9" i="8"/>
  <c r="T9" i="8" s="1"/>
  <c r="AX9" i="8"/>
  <c r="BI9" i="8"/>
  <c r="L9" i="8" s="1"/>
  <c r="A10" i="8"/>
  <c r="B10" i="8"/>
  <c r="E10" i="8"/>
  <c r="F10" i="8"/>
  <c r="T10" i="8"/>
  <c r="P10" i="8" s="1"/>
  <c r="U10" i="8"/>
  <c r="V10" i="8"/>
  <c r="W10" i="8"/>
  <c r="X10" i="8"/>
  <c r="Y10" i="8"/>
  <c r="C10" i="8" s="1"/>
  <c r="AG10" i="8" s="1"/>
  <c r="BD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A12" i="8"/>
  <c r="B12" i="8"/>
  <c r="E12" i="8"/>
  <c r="F12" i="8"/>
  <c r="U12" i="8"/>
  <c r="V12" i="8"/>
  <c r="W12" i="8"/>
  <c r="X12" i="8"/>
  <c r="Y12" i="8"/>
  <c r="D12" i="8" s="1"/>
  <c r="AH12" i="8" s="1"/>
  <c r="AA12" i="8"/>
  <c r="AB12" i="8"/>
  <c r="AC12" i="8"/>
  <c r="AD12" i="8"/>
  <c r="AE12" i="8"/>
  <c r="BI12" i="8" s="1"/>
  <c r="AM12" i="8"/>
  <c r="AN12" i="8"/>
  <c r="AO12" i="8"/>
  <c r="AP12" i="8"/>
  <c r="AQ12" i="8"/>
  <c r="AR12" i="8"/>
  <c r="AS12" i="8"/>
  <c r="S12" i="8" s="1"/>
  <c r="O12" i="8" s="1"/>
  <c r="AT12" i="8"/>
  <c r="T12" i="8" s="1"/>
  <c r="AX12" i="8"/>
  <c r="A13" i="8"/>
  <c r="B13" i="8"/>
  <c r="D13" i="8"/>
  <c r="AH13" i="8" s="1"/>
  <c r="BF13" i="8" s="1"/>
  <c r="E13" i="8"/>
  <c r="F13" i="8"/>
  <c r="U13" i="8"/>
  <c r="V13" i="8"/>
  <c r="W13" i="8"/>
  <c r="X13" i="8"/>
  <c r="Y13" i="8"/>
  <c r="C13" i="8" s="1"/>
  <c r="AA13" i="8"/>
  <c r="AB13" i="8"/>
  <c r="AC13" i="8"/>
  <c r="AD13" i="8"/>
  <c r="AE13" i="8"/>
  <c r="AF13" i="8" s="1"/>
  <c r="AM13" i="8"/>
  <c r="AN13" i="8"/>
  <c r="AO13" i="8"/>
  <c r="AP13" i="8"/>
  <c r="AQ13" i="8"/>
  <c r="AR13" i="8"/>
  <c r="AS13" i="8"/>
  <c r="S13" i="8" s="1"/>
  <c r="AT13" i="8"/>
  <c r="T13" i="8" s="1"/>
  <c r="AG11" i="8" l="1"/>
  <c r="BD11" i="8" s="1"/>
  <c r="AY12" i="8"/>
  <c r="BF9" i="8"/>
  <c r="AY11" i="8"/>
  <c r="D11" i="8"/>
  <c r="AH11" i="8" s="1"/>
  <c r="BF11" i="8" s="1"/>
  <c r="D10" i="8"/>
  <c r="AH10" i="8" s="1"/>
  <c r="BF10" i="8" s="1"/>
  <c r="J9" i="8"/>
  <c r="I9" i="8"/>
  <c r="BF12" i="8"/>
  <c r="C12" i="8"/>
  <c r="AG12" i="8" s="1"/>
  <c r="BD12" i="8" s="1"/>
  <c r="S11" i="8"/>
  <c r="O11" i="8" s="1"/>
  <c r="BI10" i="8"/>
  <c r="G10" i="8" s="1"/>
  <c r="O13" i="8"/>
  <c r="P12" i="8"/>
  <c r="P9" i="8"/>
  <c r="P13" i="8"/>
  <c r="P11" i="8"/>
  <c r="O9" i="8"/>
  <c r="AG13" i="8"/>
  <c r="BD13" i="8" s="1"/>
  <c r="BH13" i="8"/>
  <c r="K12" i="8"/>
  <c r="G12" i="8"/>
  <c r="H12" i="8"/>
  <c r="I12" i="8"/>
  <c r="J12" i="8"/>
  <c r="BC12" i="8" s="1"/>
  <c r="AK12" i="8" s="1"/>
  <c r="P8" i="8"/>
  <c r="AG8" i="8"/>
  <c r="BD8" i="8" s="1"/>
  <c r="BI13" i="8"/>
  <c r="AX13" i="8"/>
  <c r="BH12" i="8"/>
  <c r="AY9" i="8"/>
  <c r="K9" i="8"/>
  <c r="BE9" i="8" s="1"/>
  <c r="AL9" i="8" s="1"/>
  <c r="C9" i="8"/>
  <c r="AY10" i="8"/>
  <c r="S10" i="8"/>
  <c r="H9" i="8"/>
  <c r="AU9" i="8" s="1"/>
  <c r="BI8" i="8"/>
  <c r="AY13" i="8"/>
  <c r="AF12" i="8"/>
  <c r="L12" i="8" s="1"/>
  <c r="BI11" i="8"/>
  <c r="G9" i="8"/>
  <c r="D8" i="8"/>
  <c r="AH8" i="8" s="1"/>
  <c r="BF8" i="8" s="1"/>
  <c r="I10" i="8"/>
  <c r="AY8" i="8"/>
  <c r="S8" i="8"/>
  <c r="H10" i="8"/>
  <c r="K10" i="8" l="1"/>
  <c r="J10" i="8"/>
  <c r="L10" i="8"/>
  <c r="BH11" i="8"/>
  <c r="BH10" i="8"/>
  <c r="BE12" i="8"/>
  <c r="AL12" i="8" s="1"/>
  <c r="AV9" i="8"/>
  <c r="O8" i="8"/>
  <c r="O10" i="8"/>
  <c r="I8" i="8"/>
  <c r="J8" i="8"/>
  <c r="K8" i="8"/>
  <c r="L8" i="8"/>
  <c r="G8" i="8"/>
  <c r="H8" i="8"/>
  <c r="AU12" i="8"/>
  <c r="AW12" i="8" s="1"/>
  <c r="R12" i="8" s="1"/>
  <c r="J11" i="8"/>
  <c r="K11" i="8"/>
  <c r="L11" i="8"/>
  <c r="H11" i="8"/>
  <c r="G11" i="8"/>
  <c r="I11" i="8"/>
  <c r="H13" i="8"/>
  <c r="I13" i="8"/>
  <c r="J13" i="8"/>
  <c r="K13" i="8"/>
  <c r="L13" i="8"/>
  <c r="G13" i="8"/>
  <c r="BC9" i="8"/>
  <c r="AW9" i="8"/>
  <c r="R9" i="8" s="1"/>
  <c r="BH8" i="8"/>
  <c r="BE8" i="8"/>
  <c r="AL8" i="8" s="1"/>
  <c r="BH9" i="8"/>
  <c r="AG9" i="8"/>
  <c r="BD9" i="8" s="1"/>
  <c r="AK9" i="8" s="1"/>
  <c r="AU10" i="8"/>
  <c r="AV10" i="8" s="1"/>
  <c r="BE13" i="8" l="1"/>
  <c r="AL13" i="8" s="1"/>
  <c r="BC13" i="8"/>
  <c r="AK13" i="8" s="1"/>
  <c r="BC11" i="8"/>
  <c r="AK11" i="8" s="1"/>
  <c r="BE10" i="8"/>
  <c r="AL10" i="8" s="1"/>
  <c r="AU11" i="8"/>
  <c r="AW11" i="8" s="1"/>
  <c r="R11" i="8" s="1"/>
  <c r="Q10" i="8"/>
  <c r="AZ10" i="8"/>
  <c r="BE11" i="8"/>
  <c r="AL11" i="8" s="1"/>
  <c r="AV12" i="8"/>
  <c r="AZ9" i="8"/>
  <c r="Q9" i="8"/>
  <c r="AU13" i="8"/>
  <c r="AW13" i="8" s="1"/>
  <c r="R13" i="8" s="1"/>
  <c r="AW10" i="8"/>
  <c r="R10" i="8" s="1"/>
  <c r="AU8" i="8"/>
  <c r="AV8" i="8" s="1"/>
  <c r="BC8" i="8"/>
  <c r="AK8" i="8" s="1"/>
  <c r="AV11" i="8"/>
  <c r="BC10" i="8"/>
  <c r="AK10" i="8" s="1"/>
  <c r="AW8" i="8" l="1"/>
  <c r="R8" i="8" s="1"/>
  <c r="Q8" i="8"/>
  <c r="AZ8" i="8"/>
  <c r="Q12" i="8"/>
  <c r="AZ12" i="8"/>
  <c r="AZ11" i="8"/>
  <c r="Q11" i="8"/>
  <c r="AV13" i="8"/>
  <c r="Z10" i="8"/>
  <c r="BG10" i="8"/>
  <c r="Z9" i="8"/>
  <c r="BG9" i="8"/>
  <c r="Z11" i="8" l="1"/>
  <c r="BG11" i="8"/>
  <c r="Q13" i="8"/>
  <c r="AZ13" i="8"/>
  <c r="Z12" i="8"/>
  <c r="BG12" i="8"/>
  <c r="AI9" i="8"/>
  <c r="BB9" i="8"/>
  <c r="BA9" i="8"/>
  <c r="AI10" i="8"/>
  <c r="BA10" i="8"/>
  <c r="BB10" i="8"/>
  <c r="Z8" i="8"/>
  <c r="BG8" i="8"/>
  <c r="Y7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J10" i="8" l="1"/>
  <c r="AI12" i="8"/>
  <c r="BB12" i="8"/>
  <c r="BA12" i="8"/>
  <c r="Z13" i="8"/>
  <c r="BG13" i="8"/>
  <c r="AI8" i="8"/>
  <c r="BA8" i="8"/>
  <c r="BB8" i="8"/>
  <c r="AJ9" i="8"/>
  <c r="AI11" i="8"/>
  <c r="BA11" i="8"/>
  <c r="BB11" i="8"/>
  <c r="C7" i="26"/>
  <c r="E7" i="26"/>
  <c r="AF4" i="26"/>
  <c r="AJ4" i="24"/>
  <c r="AE4" i="22"/>
  <c r="AI4" i="19"/>
  <c r="AA4" i="10"/>
  <c r="AE3" i="8"/>
  <c r="AJ12" i="8" l="1"/>
  <c r="AJ11" i="8"/>
  <c r="AI13" i="8"/>
  <c r="BA13" i="8"/>
  <c r="BB13" i="8"/>
  <c r="AJ8" i="8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J13" i="8" l="1"/>
  <c r="AI7" i="32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M7" i="32" l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M7" i="22" l="1"/>
  <c r="O7" i="19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V7" i="14"/>
  <c r="U7" i="14"/>
  <c r="AD7" i="14" s="1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AC7" i="15" s="1"/>
  <c r="E7" i="14"/>
  <c r="AA7" i="15" s="1"/>
  <c r="AH7" i="14"/>
  <c r="AE7" i="15" s="1"/>
  <c r="AC7" i="14"/>
  <c r="Z7" i="15" s="1"/>
  <c r="C2" i="14"/>
  <c r="F7" i="14"/>
  <c r="C7" i="15" l="1"/>
  <c r="C7" i="14"/>
  <c r="G7" i="14" l="1"/>
  <c r="AB7" i="15"/>
  <c r="H7" i="14"/>
  <c r="AD7" i="15"/>
  <c r="H7" i="15" s="1"/>
  <c r="B7" i="10"/>
  <c r="AD4" i="10"/>
  <c r="AG4" i="8"/>
  <c r="G3" i="15" l="1"/>
  <c r="G7" i="15"/>
  <c r="D7" i="10"/>
  <c r="E124" i="15" l="1"/>
  <c r="E125" i="15"/>
  <c r="F125" i="15"/>
  <c r="F124" i="15"/>
  <c r="E123" i="15"/>
  <c r="E127" i="15"/>
  <c r="F123" i="15"/>
  <c r="F127" i="15"/>
  <c r="E122" i="15"/>
  <c r="E126" i="15"/>
  <c r="F122" i="15"/>
  <c r="F126" i="15"/>
  <c r="E10" i="15"/>
  <c r="E14" i="15"/>
  <c r="E18" i="15"/>
  <c r="E22" i="15"/>
  <c r="E26" i="15"/>
  <c r="E30" i="15"/>
  <c r="E34" i="15"/>
  <c r="E38" i="15"/>
  <c r="E42" i="15"/>
  <c r="E46" i="15"/>
  <c r="E50" i="15"/>
  <c r="E54" i="15"/>
  <c r="E58" i="15"/>
  <c r="E62" i="15"/>
  <c r="E66" i="15"/>
  <c r="E70" i="15"/>
  <c r="E74" i="15"/>
  <c r="E78" i="15"/>
  <c r="E82" i="15"/>
  <c r="E86" i="15"/>
  <c r="E90" i="15"/>
  <c r="E94" i="15"/>
  <c r="E98" i="15"/>
  <c r="E102" i="15"/>
  <c r="E106" i="15"/>
  <c r="E110" i="15"/>
  <c r="E114" i="15"/>
  <c r="E118" i="15"/>
  <c r="F10" i="15"/>
  <c r="F14" i="15"/>
  <c r="F18" i="15"/>
  <c r="F22" i="15"/>
  <c r="F26" i="15"/>
  <c r="F30" i="15"/>
  <c r="F34" i="15"/>
  <c r="F38" i="15"/>
  <c r="F42" i="15"/>
  <c r="F46" i="15"/>
  <c r="F50" i="15"/>
  <c r="F54" i="15"/>
  <c r="F58" i="15"/>
  <c r="F62" i="15"/>
  <c r="F66" i="15"/>
  <c r="F70" i="15"/>
  <c r="F74" i="15"/>
  <c r="F78" i="15"/>
  <c r="F82" i="15"/>
  <c r="F86" i="15"/>
  <c r="F90" i="15"/>
  <c r="F94" i="15"/>
  <c r="F98" i="15"/>
  <c r="F102" i="15"/>
  <c r="F106" i="15"/>
  <c r="F110" i="15"/>
  <c r="F114" i="15"/>
  <c r="F118" i="15"/>
  <c r="E9" i="15"/>
  <c r="E13" i="15"/>
  <c r="E17" i="15"/>
  <c r="E21" i="15"/>
  <c r="E25" i="15"/>
  <c r="E29" i="15"/>
  <c r="E33" i="15"/>
  <c r="E37" i="15"/>
  <c r="E41" i="15"/>
  <c r="E45" i="15"/>
  <c r="E49" i="15"/>
  <c r="E53" i="15"/>
  <c r="E57" i="15"/>
  <c r="E61" i="15"/>
  <c r="E65" i="15"/>
  <c r="E69" i="15"/>
  <c r="E73" i="15"/>
  <c r="E77" i="15"/>
  <c r="E81" i="15"/>
  <c r="E85" i="15"/>
  <c r="E89" i="15"/>
  <c r="E93" i="15"/>
  <c r="E97" i="15"/>
  <c r="E101" i="15"/>
  <c r="E105" i="15"/>
  <c r="E109" i="15"/>
  <c r="E113" i="15"/>
  <c r="E117" i="15"/>
  <c r="E121" i="15"/>
  <c r="F9" i="15"/>
  <c r="F13" i="15"/>
  <c r="F17" i="15"/>
  <c r="F21" i="15"/>
  <c r="F25" i="15"/>
  <c r="F29" i="15"/>
  <c r="F33" i="15"/>
  <c r="F37" i="15"/>
  <c r="F41" i="15"/>
  <c r="F45" i="15"/>
  <c r="F49" i="15"/>
  <c r="F53" i="15"/>
  <c r="F57" i="15"/>
  <c r="F61" i="15"/>
  <c r="F65" i="15"/>
  <c r="F69" i="15"/>
  <c r="F73" i="15"/>
  <c r="F77" i="15"/>
  <c r="F81" i="15"/>
  <c r="F85" i="15"/>
  <c r="F89" i="15"/>
  <c r="F93" i="15"/>
  <c r="F97" i="15"/>
  <c r="F101" i="15"/>
  <c r="F105" i="15"/>
  <c r="F109" i="15"/>
  <c r="F113" i="15"/>
  <c r="F117" i="15"/>
  <c r="E8" i="15"/>
  <c r="E12" i="15"/>
  <c r="E16" i="15"/>
  <c r="E20" i="15"/>
  <c r="E24" i="15"/>
  <c r="E28" i="15"/>
  <c r="E32" i="15"/>
  <c r="E36" i="15"/>
  <c r="E40" i="15"/>
  <c r="E44" i="15"/>
  <c r="E48" i="15"/>
  <c r="E52" i="15"/>
  <c r="E56" i="15"/>
  <c r="E60" i="15"/>
  <c r="E64" i="15"/>
  <c r="E68" i="15"/>
  <c r="E72" i="15"/>
  <c r="E76" i="15"/>
  <c r="E80" i="15"/>
  <c r="E84" i="15"/>
  <c r="E88" i="15"/>
  <c r="E92" i="15"/>
  <c r="E96" i="15"/>
  <c r="E100" i="15"/>
  <c r="E104" i="15"/>
  <c r="E108" i="15"/>
  <c r="E112" i="15"/>
  <c r="E116" i="15"/>
  <c r="E120" i="15"/>
  <c r="F8" i="15"/>
  <c r="F12" i="15"/>
  <c r="F16" i="15"/>
  <c r="F20" i="15"/>
  <c r="F24" i="15"/>
  <c r="F28" i="15"/>
  <c r="F32" i="15"/>
  <c r="F36" i="15"/>
  <c r="F40" i="15"/>
  <c r="F44" i="15"/>
  <c r="F48" i="15"/>
  <c r="F52" i="15"/>
  <c r="F56" i="15"/>
  <c r="F60" i="15"/>
  <c r="F64" i="15"/>
  <c r="F68" i="15"/>
  <c r="F72" i="15"/>
  <c r="F76" i="15"/>
  <c r="F80" i="15"/>
  <c r="F84" i="15"/>
  <c r="F88" i="15"/>
  <c r="F92" i="15"/>
  <c r="F96" i="15"/>
  <c r="F100" i="15"/>
  <c r="F104" i="15"/>
  <c r="F108" i="15"/>
  <c r="F112" i="15"/>
  <c r="F116" i="15"/>
  <c r="F11" i="15"/>
  <c r="F15" i="15"/>
  <c r="F19" i="15"/>
  <c r="F23" i="15"/>
  <c r="F27" i="15"/>
  <c r="F31" i="15"/>
  <c r="F35" i="15"/>
  <c r="F39" i="15"/>
  <c r="F43" i="15"/>
  <c r="F47" i="15"/>
  <c r="F51" i="15"/>
  <c r="F55" i="15"/>
  <c r="F59" i="15"/>
  <c r="F63" i="15"/>
  <c r="F67" i="15"/>
  <c r="F71" i="15"/>
  <c r="F75" i="15"/>
  <c r="F79" i="15"/>
  <c r="F83" i="15"/>
  <c r="F87" i="15"/>
  <c r="F91" i="15"/>
  <c r="F95" i="15"/>
  <c r="F99" i="15"/>
  <c r="F103" i="15"/>
  <c r="F107" i="15"/>
  <c r="F111" i="15"/>
  <c r="F115" i="15"/>
  <c r="E71" i="15"/>
  <c r="E75" i="15"/>
  <c r="E11" i="15"/>
  <c r="E67" i="15"/>
  <c r="E103" i="15"/>
  <c r="E107" i="15"/>
  <c r="E111" i="15"/>
  <c r="E115" i="15"/>
  <c r="E119" i="15"/>
  <c r="F121" i="15"/>
  <c r="E15" i="15"/>
  <c r="E63" i="15"/>
  <c r="E79" i="15"/>
  <c r="E99" i="15"/>
  <c r="F119" i="15"/>
  <c r="E19" i="15"/>
  <c r="E59" i="15"/>
  <c r="E83" i="15"/>
  <c r="E95" i="15"/>
  <c r="E23" i="15"/>
  <c r="E55" i="15"/>
  <c r="E87" i="15"/>
  <c r="E91" i="15"/>
  <c r="F120" i="15"/>
  <c r="E27" i="15"/>
  <c r="E31" i="15"/>
  <c r="E35" i="15"/>
  <c r="E39" i="15"/>
  <c r="E43" i="15"/>
  <c r="E47" i="15"/>
  <c r="E51" i="15"/>
  <c r="F7" i="15"/>
  <c r="E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T7" i="8"/>
  <c r="P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<sst xmlns="http://schemas.openxmlformats.org/spreadsheetml/2006/main" count="1298" uniqueCount="352">
  <si>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</si>
  <si>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</si>
  <si>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</si>
  <si>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</si>
  <si>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</si>
  <si>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</si>
  <si>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</si>
  <si>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</si>
  <si>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</si>
  <si>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</si>
  <si>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</si>
  <si>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</si>
  <si>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</si>
  <si>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</si>
  <si>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</si>
  <si>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</si>
  <si>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</si>
  <si>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</si>
  <si>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</si>
  <si>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</si>
  <si>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</si>
  <si>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</si>
  <si>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</si>
  <si>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</si>
  <si>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</si>
  <si>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</si>
  <si>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</si>
  <si>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</si>
  <si>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</si>
  <si>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</si>
  <si>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</si>
  <si>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</si>
  <si>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</si>
  <si>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</si>
  <si>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</si>
  <si>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</si>
  <si>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</si>
  <si>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</si>
  <si>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</si>
  <si>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</si>
  <si>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</si>
  <si>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</si>
  <si>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</si>
  <si>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</si>
  <si>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</si>
  <si>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</si>
  <si>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</si>
  <si>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</si>
  <si>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</si>
  <si>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</si>
  <si>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</si>
  <si>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</si>
  <si>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</si>
  <si>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</si>
  <si>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</si>
  <si>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</si>
  <si>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</si>
  <si>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</si>
  <si>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</si>
  <si>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</si>
  <si>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</si>
  <si>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</si>
  <si>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</si>
  <si>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</si>
  <si>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</si>
  <si>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</si>
  <si>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</si>
  <si>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</si>
  <si>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</si>
  <si>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</si>
  <si>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</si>
  <si>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</si>
  <si>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</si>
  <si>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</si>
  <si>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</si>
  <si>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</si>
  <si>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</si>
  <si>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</si>
  <si>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</si>
  <si>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</si>
  <si>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</si>
  <si>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</si>
  <si>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</si>
  <si>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</si>
  <si>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</si>
  <si>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</si>
  <si>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</si>
  <si>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</si>
  <si>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</si>
  <si>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</si>
  <si>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</si>
  <si>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</si>
  <si>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</si>
  <si>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</si>
  <si>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</si>
  <si>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</si>
  <si>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</si>
  <si>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</si>
  <si>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</si>
  <si>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</si>
  <si>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</si>
  <si>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</si>
  <si>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</si>
  <si>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</si>
  <si>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</si>
  <si>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</si>
  <si>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</si>
  <si>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</si>
  <si>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</si>
  <si>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</si>
  <si>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</si>
  <si>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</si>
  <si>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</si>
  <si>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</si>
  <si>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</si>
  <si>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</si>
  <si>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</si>
  <si>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</si>
  <si>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</si>
  <si>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</si>
  <si>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</si>
  <si>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</si>
  <si>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</si>
  <si>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</si>
  <si>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</si>
  <si>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</si>
  <si>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</si>
  <si>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</si>
  <si>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</si>
  <si>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</si>
  <si>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</si>
  <si>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</si>
  <si>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</si>
  <si>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</si>
  <si>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</si>
  <si>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</si>
  <si>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</si>
  <si>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</si>
  <si>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</si>
  <si>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</si>
  <si>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</si>
  <si>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</si>
  <si>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</si>
  <si>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</si>
  <si>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</si>
  <si>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</si>
  <si>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</si>
  <si>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</si>
  <si>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</si>
  <si>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</si>
  <si>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</si>
  <si>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</si>
  <si>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</si>
  <si>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</si>
  <si>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</si>
  <si>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</si>
  <si>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</si>
  <si>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</si>
  <si>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</si>
  <si>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</si>
  <si>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</si>
  <si>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</si>
  <si>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</si>
  <si>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</si>
  <si>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</si>
  <si>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</si>
  <si>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</si>
  <si>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</si>
  <si>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</si>
  <si>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</si>
  <si>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</si>
  <si>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</si>
  <si>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</si>
  <si>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</si>
  <si>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</si>
  <si>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</si>
  <si>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</si>
  <si>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</si>
  <si>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</si>
  <si>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</si>
  <si>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</si>
  <si>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</si>
  <si>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</si>
  <si>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</si>
  <si>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</si>
  <si>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</si>
  <si>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</si>
  <si>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</si>
  <si>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</si>
  <si>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</si>
  <si>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</si>
  <si>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</si>
  <si>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</si>
  <si>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</si>
  <si>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</si>
  <si>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</si>
  <si>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</si>
  <si>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</si>
  <si>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</si>
  <si>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</si>
  <si>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</si>
  <si>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</si>
  <si>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</si>
  <si>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</si>
  <si>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</si>
  <si>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</si>
  <si>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</si>
  <si>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</si>
  <si>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</si>
  <si>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</si>
  <si>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</si>
  <si>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</si>
  <si>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</si>
  <si>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</si>
  <si>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</si>
  <si>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</si>
  <si>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</si>
  <si>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</si>
  <si>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</si>
  <si>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</si>
  <si>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</si>
  <si>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</si>
  <si>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</si>
  <si>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</si>
  <si>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</si>
  <si>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</si>
  <si>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</si>
  <si>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</si>
  <si>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</si>
  <si>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</si>
  <si>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</si>
  <si>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</si>
  <si>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</si>
  <si>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</si>
  <si>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</si>
  <si>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</si>
  <si>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</si>
  <si>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</si>
  <si>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</si>
  <si>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</si>
  <si>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</si>
  <si>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</si>
  <si>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</si>
  <si>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</si>
  <si>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</si>
  <si>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</si>
  <si>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</si>
  <si>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</si>
  <si>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</si>
  <si>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</si>
  <si>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</si>
  <si>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</si>
  <si>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</si>
  <si>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</si>
  <si>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</si>
  <si>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</si>
  <si>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</si>
  <si>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</si>
  <si>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</si>
  <si>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</si>
  <si>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</si>
  <si>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</si>
  <si>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</si>
  <si>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</si>
  <si>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</si>
  <si>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</si>
  <si>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</si>
  <si>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</si>
  <si>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</si>
  <si>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</si>
  <si>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</si>
  <si>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</si>
  <si>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</si>
  <si>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</si>
  <si>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</si>
  <si>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</si>
  <si>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</si>
  <si>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</si>
  <si>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</si>
  <si>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</si>
  <si>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</si>
  <si>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</si>
  <si>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</si>
  <si>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</si>
  <si>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</si>
  <si>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</si>
  <si>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</si>
  <si>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</si>
  <si>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</si>
  <si>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</si>
  <si>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</si>
  <si>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</si>
  <si>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</si>
  <si>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</si>
  <si>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</si>
  <si>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</si>
  <si>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</si>
  <si>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</si>
  <si>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</si>
  <si>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</si>
  <si>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</si>
  <si>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</si>
  <si>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</si>
  <si>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</si>
  <si>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</si>
  <si>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</si>
  <si>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</si>
  <si>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</si>
  <si>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</si>
  <si>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</si>
  <si>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</si>
  <si>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</si>
  <si>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</si>
  <si>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</si>
  <si>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</si>
  <si>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</si>
  <si>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</si>
  <si>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</si>
  <si>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</si>
  <si>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</si>
  <si>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</si>
  <si>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</si>
  <si>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</si>
  <si>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</si>
  <si>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</si>
  <si>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</si>
  <si>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</si>
  <si>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</si>
  <si>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</si>
  <si>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</si>
  <si>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</si>
  <si>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</si>
  <si>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</si>
  <si>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</si>
  <si>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(판매)광양 금광 아파트-4차</t>
  </si>
  <si>
    <t>김진섭</t>
  </si>
  <si>
    <t>사급 하이그로시1.2t</t>
    <phoneticPr fontId="1" type="noConversion"/>
  </si>
  <si>
    <t xml:space="preserve"> 105  / 2</t>
  </si>
  <si>
    <t xml:space="preserve"> 106  / 2</t>
  </si>
  <si>
    <t xml:space="preserve"> 108  / 2</t>
  </si>
  <si>
    <t xml:space="preserve"> 109  / 2</t>
  </si>
  <si>
    <t>110 / 2</t>
  </si>
  <si>
    <t>111 / 1</t>
  </si>
  <si>
    <t>112 / 2</t>
  </si>
  <si>
    <t>105   / 2</t>
  </si>
  <si>
    <t>106   / 2</t>
  </si>
  <si>
    <t>107   / 2</t>
  </si>
  <si>
    <t>108   / 2</t>
  </si>
  <si>
    <t>109   / 2</t>
  </si>
  <si>
    <t>110   / 2</t>
  </si>
  <si>
    <t>111   / 1</t>
  </si>
  <si>
    <t>112   /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</si>
</sst>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2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10" sqref="B10:C10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334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(판매)광양 금광 아파트-4차 ) _김진섭소장</v>
      </c>
      <c r="C2" s="39" t="str">
        <f>"(와이드) 제작변환 자료( "&amp;B1&amp;" ) _"&amp;소장 &amp;"소장"</f>
        <v>(와이드) 제작변환 자료( (판매)광양 금광 아파트-4차 ) _김진섭소장</v>
      </c>
      <c r="D2" s="154" t="s">
        <v>316</v>
      </c>
      <c r="E2" s="150" t="str">
        <f>"(SO와이드) 실측서 ( " &amp; B1 &amp; " ) _"&amp;소장 &amp;"소장"</f>
        <v>(SO와이드) 실측서 ( (판매)광양 금광 아파트-4차 ) _김진섭소장</v>
      </c>
      <c r="F2" s="150" t="str">
        <f>"(SO와이드) 제작변환 ( " &amp; B1 &amp; " ) _"&amp;소장 &amp;"소장"</f>
        <v>(SO와이드) 제작변환 ( (판매)광양 금광 아파트-4차 ) _김진섭소장</v>
      </c>
      <c r="G2" s="152" t="s">
        <v>318</v>
      </c>
      <c r="H2" s="147" t="str">
        <f>"(4CO와이드) 실측서 ( " &amp; B1 &amp; " ) _"&amp;소장 &amp;"소장"</f>
        <v>(4CO와이드) 실측서 ( (판매)광양 금광 아파트-4차 ) _김진섭소장</v>
      </c>
      <c r="I2" s="147" t="str">
        <f>"(4CO와이드) 제작변환 ( " &amp; B1 &amp; " ) _"&amp;소장 &amp;"소장"</f>
        <v>(4CO와이드) 제작변환 ( (판매)광양 금광 아파트-4차 ) _김진섭소장</v>
      </c>
      <c r="J2" s="152" t="s">
        <v>320</v>
      </c>
      <c r="K2" s="153" t="str">
        <f>"(2UP) 실측서 ( " &amp; B1 &amp; " ) _"&amp;소장 &amp;"소장"</f>
        <v>(2UP) 실측서 ( (판매)광양 금광 아파트-4차 ) _김진섭소장</v>
      </c>
      <c r="L2" s="153" t="str">
        <f>"(2UP) 제작변환 ( " &amp; B1 &amp; " ) _"&amp;소장 &amp;"소장"</f>
        <v>(2UP) 제작변환 ( (판매)광양 금광 아파트-4차 ) _김진섭소장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(판매)광양 금광 아파트-4차 ) _김진섭소장</v>
      </c>
      <c r="C3" s="39" t="str">
        <f>"(멍텅구리) 제작변환 자료( "&amp;B1&amp;" ) _"&amp;소장 &amp;"소장"</f>
        <v>(멍텅구리) 제작변환 자료( (판매)광양 금광 아파트-4차 ) _김진섭소장</v>
      </c>
      <c r="D3" s="154" t="s">
        <v>317</v>
      </c>
      <c r="E3" s="150" t="str">
        <f>"(SO멍텅구리) 실측서 ( " &amp; B1 &amp; " ) _"&amp;소장 &amp;"소장"</f>
        <v>(SO멍텅구리) 실측서 ( (판매)광양 금광 아파트-4차 ) _김진섭소장</v>
      </c>
      <c r="F3" s="150" t="str">
        <f>"(SO멍텅구리) 제작변환 ( " &amp; B1 &amp; " ) _"&amp;소장 &amp;"소장"</f>
        <v>(SO멍텅구리) 제작변환 ( (판매)광양 금광 아파트-4차 ) _김진섭소장</v>
      </c>
      <c r="G3" s="152" t="s">
        <v>319</v>
      </c>
      <c r="H3" s="147" t="str">
        <f>"(4CO멍텅구리) 실측서 ( " &amp; B1 &amp; " ) _"&amp;소장 &amp;"소장"</f>
        <v>(4CO멍텅구리) 실측서 ( (판매)광양 금광 아파트-4차 ) _김진섭소장</v>
      </c>
      <c r="I3" s="147" t="str">
        <f>"(4CO멍텅구리) 제작변환 ( " &amp; B1 &amp; " ) _"&amp;소장 &amp;"소장"</f>
        <v>(4CO멍텅구리) 제작변환 ( (판매)광양 금광 아파트-4차 ) _김진섭소장</v>
      </c>
      <c r="J3" s="152" t="s">
        <v>321</v>
      </c>
      <c r="K3" s="153" t="str">
        <f>"(3UP) 실측서 ( " &amp; B1 &amp; " ) _"&amp;소장 &amp;"소장"</f>
        <v>(3UP) 실측서 ( (판매)광양 금광 아파트-4차 ) _김진섭소장</v>
      </c>
      <c r="L3" s="153" t="str">
        <f>"(3UP) 제작변환 ( " &amp; B1 &amp; " ) _"&amp;소장 &amp;"소장"</f>
        <v>(3UP) 제작변환 ( (판매)광양 금광 아파트-4차 ) _김진섭소장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(판매)광양 금광 아파트-4차 ) _김진섭소장</v>
      </c>
      <c r="C4" s="39" t="str">
        <f>"(쪽쟘) 제작변환 자료( "&amp;B1&amp;" ) _"&amp;소장 &amp;"소장"</f>
        <v>(쪽쟘) 제작변환 자료( (판매)광양 금광 아파트-4차 ) _김진섭소장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322</v>
      </c>
    </row>
    <row r="6" spans="1:12" ht="27.75" customHeight="1" x14ac:dyDescent="0.3">
      <c r="A6" s="144" t="s">
        <v>40</v>
      </c>
      <c r="B6" s="146" t="s">
        <v>335</v>
      </c>
    </row>
    <row r="7" spans="1:12" ht="16.5" customHeight="1" x14ac:dyDescent="0.3">
      <c r="A7" s="72" t="s">
        <v>193</v>
      </c>
      <c r="B7" s="118" t="s">
        <v>336</v>
      </c>
    </row>
    <row r="8" spans="1:12" ht="16.5" customHeight="1" x14ac:dyDescent="0.3">
      <c r="A8" s="76" t="s">
        <v>194</v>
      </c>
      <c r="B8" s="118" t="s">
        <v>336</v>
      </c>
    </row>
    <row r="9" spans="1:12" ht="16.5" customHeight="1" x14ac:dyDescent="0.3">
      <c r="A9" s="71" t="s">
        <v>195</v>
      </c>
      <c r="B9" s="118" t="s">
        <v>336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(0), JB/JD +(0 ),  늘어난치수K -(0),  C + (0),   U + (0), OP - (0), R - (0),  기둥차감 - (0),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(0),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(0), JB/JD +(0 ),  늘어난치수K -(0),  C + (0),   U + (0), OP - (0), R - (0),  기둥차감 - (0),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(0),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(0), JB/JD +(0 ),  늘어난치수K -(0),  C + (0),   U + (0), OP1/OP3 - (0), R - (0),  기둥차감 - (0),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(0),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(0),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(0),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298</v>
      </c>
      <c r="B23" s="124" t="s">
        <v>333</v>
      </c>
    </row>
    <row r="26" spans="1:3" x14ac:dyDescent="0.3">
      <c r="A26">
        <v>20231101</v>
      </c>
      <c r="B26" t="s">
        <v>332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(판매)광양 금광 아파트-4차</v>
      </c>
      <c r="E2" s="3" t="str">
        <f>정보!B6</f>
        <v>김진섭</v>
      </c>
      <c r="F2" s="3" t="str">
        <f>정보!B7</f>
        <v>사급 하이그로시1.2t</v>
      </c>
      <c r="G2" s="3" t="str">
        <f>정보!B8</f>
        <v>사급 하이그로시1.2t</v>
      </c>
      <c r="H2" s="3" t="str">
        <f>정보!B9</f>
        <v>사급 하이그로시1.2t</v>
      </c>
      <c r="I2">
        <f>정보!B5</f>
        <v>0</v>
      </c>
      <c r="J2" s="87">
        <f ca="1">TODAY()</f>
        <v>45315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297</v>
      </c>
      <c r="E5" t="s">
        <v>218</v>
      </c>
      <c r="G5" t="s">
        <v>299</v>
      </c>
    </row>
    <row r="6" spans="1:17" ht="60.75" customHeight="1" x14ac:dyDescent="0.3">
      <c r="D6" t="s">
        <v>209</v>
      </c>
      <c r="E6" t="s">
        <v>219</v>
      </c>
      <c r="G6" t="s">
        <v>300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314</v>
      </c>
    </row>
    <row r="13" spans="1:17" ht="62.25" customHeight="1" x14ac:dyDescent="0.3">
      <c r="E13" t="s">
        <v>301</v>
      </c>
    </row>
    <row r="14" spans="1:17" ht="62.25" customHeight="1" x14ac:dyDescent="0.3">
      <c r="E14" t="s">
        <v>315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70" zoomScaleNormal="70" workbookViewId="0">
      <selection activeCell="AJ7" sqref="AJ7:AJ13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(판매)광양 금광 아파트-4차 ) _김진섭소장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(0),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 t="s">
        <v>337</v>
      </c>
      <c r="B7" s="4">
        <v>1</v>
      </c>
      <c r="C7" s="4">
        <v>290</v>
      </c>
      <c r="D7" s="4">
        <v>290</v>
      </c>
      <c r="E7" s="4">
        <v>900</v>
      </c>
      <c r="F7" s="4">
        <v>997</v>
      </c>
      <c r="G7" s="4">
        <v>272</v>
      </c>
      <c r="H7" s="4">
        <v>272</v>
      </c>
      <c r="I7" s="4">
        <v>287</v>
      </c>
      <c r="J7" s="4">
        <v>287</v>
      </c>
      <c r="K7" s="13">
        <v>40</v>
      </c>
      <c r="L7" s="13">
        <v>40</v>
      </c>
      <c r="M7" s="4">
        <v>10</v>
      </c>
      <c r="N7" s="4">
        <v>10</v>
      </c>
      <c r="O7" s="375">
        <v>8</v>
      </c>
      <c r="P7" s="375">
        <v>5</v>
      </c>
      <c r="Q7" s="4">
        <v>2112</v>
      </c>
      <c r="R7" s="4">
        <v>2091</v>
      </c>
      <c r="S7" s="4">
        <v>2112</v>
      </c>
      <c r="T7" s="4">
        <v>2091</v>
      </c>
      <c r="U7" s="4">
        <v>31</v>
      </c>
      <c r="V7" s="4">
        <v>0</v>
      </c>
      <c r="W7" s="4">
        <v>16</v>
      </c>
      <c r="X7" s="4">
        <v>25</v>
      </c>
      <c r="Y7" s="4">
        <v>10</v>
      </c>
      <c r="Z7" s="4">
        <v>10</v>
      </c>
      <c r="AA7" s="4">
        <v>10</v>
      </c>
      <c r="AB7" s="4">
        <v>10</v>
      </c>
      <c r="AC7" s="4"/>
      <c r="AD7" s="4"/>
      <c r="AE7" s="4"/>
      <c r="AF7" s="4"/>
      <c r="AG7" s="4"/>
      <c r="AH7" s="4">
        <v>15</v>
      </c>
      <c r="AI7" s="4">
        <v>10</v>
      </c>
      <c r="AJ7" s="4">
        <v>6</v>
      </c>
      <c r="AK7" s="53">
        <v>3</v>
      </c>
      <c r="AL7" s="3">
        <f>Y7+$AK7</f>
        <v>13</v>
      </c>
      <c r="AM7" s="3">
        <f>Z7+$AK7</f>
        <v>13</v>
      </c>
      <c r="AN7" s="3">
        <f>AA7+$AK7</f>
        <v>13</v>
      </c>
      <c r="AO7" s="3">
        <f>AB7+$AK7</f>
        <v>13</v>
      </c>
      <c r="AP7" s="3">
        <f>G7-$AK7</f>
        <v>269</v>
      </c>
      <c r="AQ7" s="3">
        <f>H7-$AK7</f>
        <v>269</v>
      </c>
      <c r="AR7" s="3">
        <f>I7-$AK7</f>
        <v>284</v>
      </c>
      <c r="AS7" s="3">
        <f>J7-$AK7</f>
        <v>284</v>
      </c>
    </row>
    <row r="8" spans="1:45" ht="23.25" customHeight="1" x14ac:dyDescent="0.3">
      <c r="A8" s="127" t="s">
        <v>338</v>
      </c>
      <c r="B8" s="4">
        <v>1</v>
      </c>
      <c r="C8" s="4">
        <v>232</v>
      </c>
      <c r="D8" s="4">
        <v>232</v>
      </c>
      <c r="E8" s="4">
        <v>900</v>
      </c>
      <c r="F8" s="4">
        <v>1000</v>
      </c>
      <c r="G8" s="4">
        <v>282</v>
      </c>
      <c r="H8" s="4">
        <v>282</v>
      </c>
      <c r="I8" s="4">
        <v>297</v>
      </c>
      <c r="J8" s="4">
        <v>297</v>
      </c>
      <c r="K8" s="13">
        <v>40</v>
      </c>
      <c r="L8" s="13">
        <v>40</v>
      </c>
      <c r="M8" s="4">
        <v>11</v>
      </c>
      <c r="N8" s="4">
        <v>10</v>
      </c>
      <c r="O8" s="375">
        <v>5</v>
      </c>
      <c r="P8" s="375">
        <v>5</v>
      </c>
      <c r="Q8" s="4">
        <v>2110</v>
      </c>
      <c r="R8" s="4">
        <v>2091</v>
      </c>
      <c r="S8" s="4">
        <v>2109</v>
      </c>
      <c r="T8" s="4">
        <v>2091</v>
      </c>
      <c r="U8" s="4">
        <v>31</v>
      </c>
      <c r="V8" s="4">
        <v>0</v>
      </c>
      <c r="W8" s="4">
        <v>16</v>
      </c>
      <c r="X8" s="4">
        <v>25</v>
      </c>
      <c r="Y8" s="4">
        <v>10</v>
      </c>
      <c r="Z8" s="4">
        <v>10</v>
      </c>
      <c r="AA8" s="4">
        <v>10</v>
      </c>
      <c r="AB8" s="4">
        <v>10</v>
      </c>
      <c r="AC8" s="4"/>
      <c r="AD8" s="4"/>
      <c r="AE8" s="4"/>
      <c r="AF8" s="4"/>
      <c r="AG8" s="4"/>
      <c r="AH8" s="4">
        <v>15</v>
      </c>
      <c r="AI8" s="4">
        <v>10</v>
      </c>
      <c r="AJ8" s="4">
        <v>6</v>
      </c>
      <c r="AK8" s="53">
        <v>3</v>
      </c>
      <c r="AL8" s="3">
        <f t="shared" ref="AL8" si="0">Y8+$AK8</f>
        <v>13</v>
      </c>
      <c r="AM8" s="3">
        <f>Z8+$AK8</f>
        <v>13</v>
      </c>
      <c r="AN8" s="3">
        <f>AA8+$AK8</f>
        <v>13</v>
      </c>
      <c r="AO8" s="3">
        <f>AB8+$AK8</f>
        <v>13</v>
      </c>
      <c r="AP8" s="3">
        <f t="shared" ref="AP8" si="1">G8-$AK8</f>
        <v>279</v>
      </c>
      <c r="AQ8" s="3">
        <f>H8-$AK8</f>
        <v>279</v>
      </c>
      <c r="AR8" s="3">
        <f>I8-$AK8</f>
        <v>294</v>
      </c>
      <c r="AS8" s="3">
        <f>J8-$AK8</f>
        <v>294</v>
      </c>
    </row>
    <row r="9" spans="1:45" ht="23.25" customHeight="1" x14ac:dyDescent="0.3">
      <c r="A9" s="127" t="s">
        <v>339</v>
      </c>
      <c r="B9" s="4">
        <v>1</v>
      </c>
      <c r="C9" s="4">
        <v>276</v>
      </c>
      <c r="D9" s="4">
        <v>276</v>
      </c>
      <c r="E9" s="4">
        <v>900</v>
      </c>
      <c r="F9" s="4">
        <v>997</v>
      </c>
      <c r="G9" s="4">
        <v>272</v>
      </c>
      <c r="H9" s="4">
        <v>272</v>
      </c>
      <c r="I9" s="4">
        <v>287</v>
      </c>
      <c r="J9" s="4">
        <v>287</v>
      </c>
      <c r="K9" s="13">
        <v>40</v>
      </c>
      <c r="L9" s="13">
        <v>40</v>
      </c>
      <c r="M9" s="4">
        <v>8</v>
      </c>
      <c r="N9" s="4">
        <v>9</v>
      </c>
      <c r="O9" s="375">
        <v>3</v>
      </c>
      <c r="P9" s="375">
        <v>3</v>
      </c>
      <c r="Q9" s="4">
        <v>2099</v>
      </c>
      <c r="R9" s="4">
        <v>2091</v>
      </c>
      <c r="S9" s="4">
        <v>2100</v>
      </c>
      <c r="T9" s="4">
        <v>2091</v>
      </c>
      <c r="U9" s="4">
        <v>31</v>
      </c>
      <c r="V9" s="4">
        <v>0</v>
      </c>
      <c r="W9" s="4">
        <v>16</v>
      </c>
      <c r="X9" s="4">
        <v>25</v>
      </c>
      <c r="Y9" s="4">
        <v>10</v>
      </c>
      <c r="Z9" s="4">
        <v>10</v>
      </c>
      <c r="AA9" s="4">
        <v>10</v>
      </c>
      <c r="AB9" s="4">
        <v>10</v>
      </c>
      <c r="AC9" s="4"/>
      <c r="AD9" s="4"/>
      <c r="AE9" s="4"/>
      <c r="AF9" s="4"/>
      <c r="AG9" s="4"/>
      <c r="AH9" s="4">
        <v>15</v>
      </c>
      <c r="AI9" s="4">
        <v>10</v>
      </c>
      <c r="AJ9" s="4">
        <v>6</v>
      </c>
      <c r="AK9" s="53">
        <v>3</v>
      </c>
      <c r="AL9" s="3">
        <f t="shared" ref="AL9:AL13" si="2">Y9+$AK9</f>
        <v>13</v>
      </c>
      <c r="AM9" s="3">
        <f t="shared" ref="AM9:AM13" si="3">Z9+$AK9</f>
        <v>13</v>
      </c>
      <c r="AN9" s="3">
        <f t="shared" ref="AN9:AN13" si="4">AA9+$AK9</f>
        <v>13</v>
      </c>
      <c r="AO9" s="3">
        <f t="shared" ref="AO9:AO13" si="5">AB9+$AK9</f>
        <v>13</v>
      </c>
      <c r="AP9" s="3">
        <f t="shared" ref="AP9:AP13" si="6">G9-$AK9</f>
        <v>269</v>
      </c>
      <c r="AQ9" s="3">
        <f t="shared" ref="AQ9:AQ13" si="7">H9-$AK9</f>
        <v>269</v>
      </c>
      <c r="AR9" s="3">
        <f t="shared" ref="AR9:AR13" si="8">I9-$AK9</f>
        <v>284</v>
      </c>
      <c r="AS9" s="3">
        <f t="shared" ref="AS9:AS13" si="9">J9-$AK9</f>
        <v>284</v>
      </c>
    </row>
    <row r="10" spans="1:45" ht="23.25" customHeight="1" x14ac:dyDescent="0.3">
      <c r="A10" s="127" t="s">
        <v>340</v>
      </c>
      <c r="B10" s="4">
        <v>1</v>
      </c>
      <c r="C10" s="4">
        <v>281</v>
      </c>
      <c r="D10" s="4">
        <v>281</v>
      </c>
      <c r="E10" s="4">
        <v>900</v>
      </c>
      <c r="F10" s="4">
        <v>998</v>
      </c>
      <c r="G10" s="4">
        <v>272</v>
      </c>
      <c r="H10" s="4">
        <v>272</v>
      </c>
      <c r="I10" s="4">
        <v>287</v>
      </c>
      <c r="J10" s="4">
        <v>287</v>
      </c>
      <c r="K10" s="13">
        <v>40</v>
      </c>
      <c r="L10" s="13">
        <v>40</v>
      </c>
      <c r="M10" s="4">
        <v>10</v>
      </c>
      <c r="N10" s="4">
        <v>11</v>
      </c>
      <c r="O10" s="375">
        <v>4</v>
      </c>
      <c r="P10" s="375">
        <v>4</v>
      </c>
      <c r="Q10" s="4">
        <v>2105</v>
      </c>
      <c r="R10" s="4">
        <v>2091</v>
      </c>
      <c r="S10" s="4">
        <v>2105</v>
      </c>
      <c r="T10" s="4">
        <v>2091</v>
      </c>
      <c r="U10" s="4">
        <v>31</v>
      </c>
      <c r="V10" s="4">
        <v>0</v>
      </c>
      <c r="W10" s="4">
        <v>16</v>
      </c>
      <c r="X10" s="4">
        <v>25</v>
      </c>
      <c r="Y10" s="4">
        <v>10</v>
      </c>
      <c r="Z10" s="4">
        <v>10</v>
      </c>
      <c r="AA10" s="4">
        <v>10</v>
      </c>
      <c r="AB10" s="4">
        <v>10</v>
      </c>
      <c r="AC10" s="4"/>
      <c r="AD10" s="4"/>
      <c r="AE10" s="4"/>
      <c r="AF10" s="4"/>
      <c r="AG10" s="4"/>
      <c r="AH10" s="4">
        <v>15</v>
      </c>
      <c r="AI10" s="4">
        <v>10</v>
      </c>
      <c r="AJ10" s="4">
        <v>6</v>
      </c>
      <c r="AK10" s="53">
        <v>3</v>
      </c>
      <c r="AL10" s="3">
        <f t="shared" si="2"/>
        <v>13</v>
      </c>
      <c r="AM10" s="3">
        <f t="shared" si="3"/>
        <v>13</v>
      </c>
      <c r="AN10" s="3">
        <f t="shared" si="4"/>
        <v>13</v>
      </c>
      <c r="AO10" s="3">
        <f t="shared" si="5"/>
        <v>13</v>
      </c>
      <c r="AP10" s="3">
        <f t="shared" si="6"/>
        <v>269</v>
      </c>
      <c r="AQ10" s="3">
        <f t="shared" si="7"/>
        <v>269</v>
      </c>
      <c r="AR10" s="3">
        <f t="shared" si="8"/>
        <v>284</v>
      </c>
      <c r="AS10" s="3">
        <f t="shared" si="9"/>
        <v>284</v>
      </c>
    </row>
    <row r="11" spans="1:45" ht="23.25" customHeight="1" x14ac:dyDescent="0.3">
      <c r="A11" s="127" t="s">
        <v>341</v>
      </c>
      <c r="B11" s="4">
        <v>1</v>
      </c>
      <c r="C11" s="4">
        <v>260</v>
      </c>
      <c r="D11" s="4">
        <v>260</v>
      </c>
      <c r="E11" s="4">
        <v>900</v>
      </c>
      <c r="F11" s="4">
        <v>1000</v>
      </c>
      <c r="G11" s="4">
        <v>287</v>
      </c>
      <c r="H11" s="4">
        <v>287</v>
      </c>
      <c r="I11" s="4">
        <v>304</v>
      </c>
      <c r="J11" s="4">
        <v>304</v>
      </c>
      <c r="K11" s="13">
        <v>40</v>
      </c>
      <c r="L11" s="13">
        <v>40</v>
      </c>
      <c r="M11" s="4">
        <v>10</v>
      </c>
      <c r="N11" s="4">
        <v>11</v>
      </c>
      <c r="O11" s="375">
        <v>9</v>
      </c>
      <c r="P11" s="375">
        <v>9</v>
      </c>
      <c r="Q11" s="4">
        <v>2104</v>
      </c>
      <c r="R11" s="4">
        <v>2091</v>
      </c>
      <c r="S11" s="4">
        <v>2103</v>
      </c>
      <c r="T11" s="4">
        <v>2091</v>
      </c>
      <c r="U11" s="4">
        <v>31</v>
      </c>
      <c r="V11" s="4">
        <v>0</v>
      </c>
      <c r="W11" s="4">
        <v>16</v>
      </c>
      <c r="X11" s="4">
        <v>25</v>
      </c>
      <c r="Y11" s="4">
        <v>10</v>
      </c>
      <c r="Z11" s="4">
        <v>10</v>
      </c>
      <c r="AA11" s="4">
        <v>10</v>
      </c>
      <c r="AB11" s="4">
        <v>10</v>
      </c>
      <c r="AC11" s="4"/>
      <c r="AD11" s="4"/>
      <c r="AE11" s="4"/>
      <c r="AF11" s="4"/>
      <c r="AG11" s="4"/>
      <c r="AH11" s="4">
        <v>15</v>
      </c>
      <c r="AI11" s="4">
        <v>10</v>
      </c>
      <c r="AJ11" s="4">
        <v>6</v>
      </c>
      <c r="AK11" s="53">
        <v>3</v>
      </c>
      <c r="AL11" s="3">
        <f t="shared" si="2"/>
        <v>13</v>
      </c>
      <c r="AM11" s="3">
        <f t="shared" si="3"/>
        <v>13</v>
      </c>
      <c r="AN11" s="3">
        <f t="shared" si="4"/>
        <v>13</v>
      </c>
      <c r="AO11" s="3">
        <f t="shared" si="5"/>
        <v>13</v>
      </c>
      <c r="AP11" s="3">
        <f t="shared" si="6"/>
        <v>284</v>
      </c>
      <c r="AQ11" s="3">
        <f t="shared" si="7"/>
        <v>284</v>
      </c>
      <c r="AR11" s="3">
        <f t="shared" si="8"/>
        <v>301</v>
      </c>
      <c r="AS11" s="3">
        <f t="shared" si="9"/>
        <v>301</v>
      </c>
    </row>
    <row r="12" spans="1:45" ht="23.25" customHeight="1" x14ac:dyDescent="0.3">
      <c r="A12" s="127" t="s">
        <v>342</v>
      </c>
      <c r="B12" s="4">
        <v>1</v>
      </c>
      <c r="C12" s="4">
        <v>252</v>
      </c>
      <c r="D12" s="4">
        <v>252</v>
      </c>
      <c r="E12" s="4">
        <v>900</v>
      </c>
      <c r="F12" s="4">
        <v>999</v>
      </c>
      <c r="G12" s="4">
        <v>277</v>
      </c>
      <c r="H12" s="4">
        <v>277</v>
      </c>
      <c r="I12" s="4">
        <v>292</v>
      </c>
      <c r="J12" s="4">
        <v>292</v>
      </c>
      <c r="K12" s="13">
        <v>40</v>
      </c>
      <c r="L12" s="13">
        <v>40</v>
      </c>
      <c r="M12" s="4">
        <v>9</v>
      </c>
      <c r="N12" s="4">
        <v>10</v>
      </c>
      <c r="O12" s="375">
        <v>9</v>
      </c>
      <c r="P12" s="375">
        <v>9</v>
      </c>
      <c r="Q12" s="4">
        <v>2098</v>
      </c>
      <c r="R12" s="4">
        <v>2091</v>
      </c>
      <c r="S12" s="4">
        <v>2097</v>
      </c>
      <c r="T12" s="4">
        <v>2091</v>
      </c>
      <c r="U12" s="4">
        <v>31</v>
      </c>
      <c r="V12" s="4">
        <v>0</v>
      </c>
      <c r="W12" s="4">
        <v>16</v>
      </c>
      <c r="X12" s="4">
        <v>25</v>
      </c>
      <c r="Y12" s="4">
        <v>10</v>
      </c>
      <c r="Z12" s="4">
        <v>10</v>
      </c>
      <c r="AA12" s="4">
        <v>10</v>
      </c>
      <c r="AB12" s="4">
        <v>10</v>
      </c>
      <c r="AC12" s="4"/>
      <c r="AD12" s="4"/>
      <c r="AE12" s="4"/>
      <c r="AF12" s="4"/>
      <c r="AG12" s="4"/>
      <c r="AH12" s="4">
        <v>15</v>
      </c>
      <c r="AI12" s="4">
        <v>10</v>
      </c>
      <c r="AJ12" s="4">
        <v>6</v>
      </c>
      <c r="AK12" s="53">
        <v>3</v>
      </c>
      <c r="AL12" s="3">
        <f t="shared" si="2"/>
        <v>13</v>
      </c>
      <c r="AM12" s="3">
        <f t="shared" si="3"/>
        <v>13</v>
      </c>
      <c r="AN12" s="3">
        <f t="shared" si="4"/>
        <v>13</v>
      </c>
      <c r="AO12" s="3">
        <f t="shared" si="5"/>
        <v>13</v>
      </c>
      <c r="AP12" s="3">
        <f t="shared" si="6"/>
        <v>274</v>
      </c>
      <c r="AQ12" s="3">
        <f t="shared" si="7"/>
        <v>274</v>
      </c>
      <c r="AR12" s="3">
        <f t="shared" si="8"/>
        <v>289</v>
      </c>
      <c r="AS12" s="3">
        <f t="shared" si="9"/>
        <v>289</v>
      </c>
    </row>
    <row r="13" spans="1:45" ht="23.25" customHeight="1" x14ac:dyDescent="0.3">
      <c r="A13" s="127" t="s">
        <v>343</v>
      </c>
      <c r="B13" s="4">
        <v>1</v>
      </c>
      <c r="C13" s="4">
        <v>237</v>
      </c>
      <c r="D13" s="4">
        <v>237</v>
      </c>
      <c r="E13" s="4">
        <v>900</v>
      </c>
      <c r="F13" s="4">
        <v>998</v>
      </c>
      <c r="G13" s="4">
        <v>277</v>
      </c>
      <c r="H13" s="4">
        <v>277</v>
      </c>
      <c r="I13" s="4">
        <v>292</v>
      </c>
      <c r="J13" s="4">
        <v>292</v>
      </c>
      <c r="K13" s="13">
        <v>40</v>
      </c>
      <c r="L13" s="13">
        <v>40</v>
      </c>
      <c r="M13" s="4">
        <v>12</v>
      </c>
      <c r="N13" s="4">
        <v>12</v>
      </c>
      <c r="O13" s="375">
        <v>9</v>
      </c>
      <c r="P13" s="375">
        <v>9</v>
      </c>
      <c r="Q13" s="4">
        <v>2112</v>
      </c>
      <c r="R13" s="4">
        <v>2091</v>
      </c>
      <c r="S13" s="4">
        <v>2112</v>
      </c>
      <c r="T13" s="4">
        <v>2091</v>
      </c>
      <c r="U13" s="4">
        <v>31</v>
      </c>
      <c r="V13" s="4">
        <v>0</v>
      </c>
      <c r="W13" s="4">
        <v>16</v>
      </c>
      <c r="X13" s="4">
        <v>25</v>
      </c>
      <c r="Y13" s="4">
        <v>10</v>
      </c>
      <c r="Z13" s="4">
        <v>10</v>
      </c>
      <c r="AA13" s="4">
        <v>10</v>
      </c>
      <c r="AB13" s="4">
        <v>10</v>
      </c>
      <c r="AC13" s="4"/>
      <c r="AD13" s="4"/>
      <c r="AE13" s="4"/>
      <c r="AF13" s="4"/>
      <c r="AG13" s="4"/>
      <c r="AH13" s="4">
        <v>15</v>
      </c>
      <c r="AI13" s="4">
        <v>10</v>
      </c>
      <c r="AJ13" s="4">
        <v>6</v>
      </c>
      <c r="AK13" s="53">
        <v>3</v>
      </c>
      <c r="AL13" s="3">
        <f t="shared" si="2"/>
        <v>13</v>
      </c>
      <c r="AM13" s="3">
        <f t="shared" si="3"/>
        <v>13</v>
      </c>
      <c r="AN13" s="3">
        <f t="shared" si="4"/>
        <v>13</v>
      </c>
      <c r="AO13" s="3">
        <f t="shared" si="5"/>
        <v>13</v>
      </c>
      <c r="AP13" s="3">
        <f t="shared" si="6"/>
        <v>274</v>
      </c>
      <c r="AQ13" s="3">
        <f t="shared" si="7"/>
        <v>274</v>
      </c>
      <c r="AR13" s="3">
        <f t="shared" si="8"/>
        <v>289</v>
      </c>
      <c r="AS13" s="3">
        <f t="shared" si="9"/>
        <v>289</v>
      </c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3"/>
  <sheetViews>
    <sheetView tabSelected="1" zoomScale="85" zoomScaleNormal="85" workbookViewId="0">
      <selection activeCell="M7" sqref="M7:N1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(판매)광양 금광 아파트-4차 ) _김진섭소장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0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0</v>
      </c>
      <c r="R2" s="218"/>
      <c r="S2" s="165" t="s">
        <v>83</v>
      </c>
      <c r="T2" s="220"/>
      <c r="U2" s="220"/>
      <c r="V2" s="221">
        <v>0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0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0</v>
      </c>
      <c r="N3" s="207"/>
      <c r="O3" s="217" t="s">
        <v>77</v>
      </c>
      <c r="P3" s="217"/>
      <c r="Q3" s="224">
        <v>0</v>
      </c>
      <c r="R3" s="224"/>
      <c r="S3" s="225" t="s">
        <v>227</v>
      </c>
      <c r="T3" s="225"/>
      <c r="U3" s="225"/>
      <c r="V3" s="226">
        <f>BI7</f>
        <v>0</v>
      </c>
      <c r="W3" s="226"/>
      <c r="X3" s="219" t="s">
        <v>78</v>
      </c>
      <c r="Y3" s="219"/>
      <c r="Z3" s="227">
        <v>0</v>
      </c>
      <c r="AA3" s="227"/>
      <c r="AC3" s="208" t="s">
        <v>309</v>
      </c>
      <c r="AD3" s="208"/>
      <c r="AE3" s="208">
        <f>'와이드(실측)'!Y7</f>
        <v>10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323</v>
      </c>
      <c r="AP3" s="192"/>
      <c r="AQ3" s="195">
        <f>AU7</f>
        <v>10.11008979415813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(0), JB/JD +(0 ),  늘어난치수K -(0),  C + (0),   U + (0), OP - (0), R - (0),  기둥차감 - (0), A + (0)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45315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 t="str">
        <f>'와이드(실측)'!A7</f>
        <v xml:space="preserve"> 105  / 2</v>
      </c>
      <c r="B7" s="31" t="str">
        <f>'와이드(실측)'!B7&amp;"F"</f>
        <v>1F</v>
      </c>
      <c r="C7" s="31">
        <f>'와이드(실측)'!C7+와이드MH더함-IF(AND(소장="추영덕",Y7=0),1.2)</f>
        <v>290</v>
      </c>
      <c r="D7" s="31">
        <f>'와이드(실측)'!D7+와이드MH더함-IF(AND(소장="추영덕",Y7=0),1.2)</f>
        <v>290</v>
      </c>
      <c r="E7" s="135">
        <f>'와이드(실측)'!E7-와이드OP</f>
        <v>900</v>
      </c>
      <c r="F7" s="31">
        <f>'와이드(실측)'!F7-와이드R</f>
        <v>997</v>
      </c>
      <c r="G7" s="50">
        <f>'와이드(실측)'!G7+와이드JBJD키움치수+IF(BI7=1,AC7,0)</f>
        <v>272</v>
      </c>
      <c r="H7" s="50">
        <f>'와이드(실측)'!H7+와이드JBJD키움치수+IF(BI7=1,AE7,0)</f>
        <v>272</v>
      </c>
      <c r="I7" s="50">
        <f>'와이드(실측)'!I7+MAX(AS7,AT7)+와이드JBJD키움치수+IF(BI7=1,AC7,0)</f>
        <v>291</v>
      </c>
      <c r="J7" s="50">
        <f>'와이드(실측)'!I7+MAX(AS7,AT7)+와이드JBJD키움치수+IF(BI7=1,AD7,0)-IF(와이드JB하부늘치=1,'와이드(실측)'!Y7-'와이드(실측)'!Z7,0)</f>
        <v>291</v>
      </c>
      <c r="K7" s="50">
        <f>'와이드(실측)'!J7+MAX(AS7,AT7)+와이드JBJD키움치수+IF(BI7=1,AE7,0)</f>
        <v>291</v>
      </c>
      <c r="L7" s="50">
        <f>'와이드(실측)'!J7+MAX(AS7,AT7)+와이드JBJD키움치수+IF(BI7=1,AF7,0)-IF(와이드JB하부늘치=1,'와이드(실측)'!AA7-'와이드(실측)'!AB7,0)</f>
        <v>291</v>
      </c>
      <c r="M7" s="31">
        <f>IF(소장="손상민",0,O7)</f>
        <v>40</v>
      </c>
      <c r="N7" s="31">
        <f>IF(소장="손상민",0,P7)</f>
        <v>40</v>
      </c>
      <c r="O7" s="31">
        <f>IF(S7&lt;9,'와이드(실측)'!K7+1.2,IF(ISNUMBER('와이드(실측)'!K7),'와이드(실측)'!K7+와이드C값,0))</f>
        <v>40</v>
      </c>
      <c r="P7" s="31">
        <f>IF(T7&lt;9,'와이드(실측)'!L7+1.2,IF(ISNUMBER('와이드(실측)'!L7),'와이드(실측)'!L7+와이드C값,0))</f>
        <v>40</v>
      </c>
      <c r="Q7" s="32">
        <f>ROUNDUP(AV7,1)</f>
        <v>14.5</v>
      </c>
      <c r="R7" s="38">
        <f>ROUNDUP(AW7,1)</f>
        <v>14.5</v>
      </c>
      <c r="S7" s="31">
        <f>IF(ISNUMBER('와이드(실측)'!O7),'와이드(실측)'!O7+와이드제작!AS7+와이드A늘림,0)</f>
        <v>12</v>
      </c>
      <c r="T7" s="31">
        <f>IF(ISNUMBER('와이드(실측)'!P7),'와이드(실측)'!P7+와이드제작!AT7+와이드A늘림,0)</f>
        <v>9</v>
      </c>
      <c r="U7" s="31">
        <f>'와이드(실측)'!Q7-와이드기둥차감</f>
        <v>2112</v>
      </c>
      <c r="V7" s="31">
        <f>'와이드(실측)'!R7-와이드기둥차감</f>
        <v>2091</v>
      </c>
      <c r="W7" s="31">
        <f>'와이드(실측)'!S7-와이드기둥차감</f>
        <v>2112</v>
      </c>
      <c r="X7" s="31">
        <f>'와이드(실측)'!T7-와이드기둥차감</f>
        <v>2091</v>
      </c>
      <c r="Y7" s="31">
        <f>IF(소장="손상민",IF(ISNUMBER('와이드(실측)'!U7),'와이드(실측)'!U7+1.2,0),IF(ISNUMBER('와이드(실측)'!U7),'와이드(실측)'!U7+와이드U,0))</f>
        <v>31</v>
      </c>
      <c r="Z7" s="31">
        <f>IF(소장="손상민",MAX(Q7,R7)+3.2,IF(ISNUMBER('와이드(실측)'!V7),'와이드(실측)'!V7+1.5+와이드제작!Q7+1,0))</f>
        <v>17</v>
      </c>
      <c r="AA7" s="31">
        <f>'와이드(실측)'!W7+뒷날개치수더함</f>
        <v>16</v>
      </c>
      <c r="AB7" s="31">
        <f>'와이드(실측)'!X7+뒷날개치수더함</f>
        <v>25</v>
      </c>
      <c r="AC7" s="31">
        <f>'와이드(실측)'!Y7-와이드늘치</f>
        <v>10</v>
      </c>
      <c r="AD7" s="31">
        <f>IF(와이드JB하부늘치=1,AC7,'와이드(실측)'!Z7-와이드늘치)</f>
        <v>10</v>
      </c>
      <c r="AE7" s="31">
        <f>'와이드(실측)'!AA7-와이드늘치</f>
        <v>10</v>
      </c>
      <c r="AF7" s="31">
        <f>IF(와이드JB하부늘치=1,AE7,'와이드(실측)'!AB7-와이드늘치)</f>
        <v>10</v>
      </c>
      <c r="AG7" s="31">
        <f xml:space="preserve"> IF(소장&lt;&gt;"손상민",IF('와이드(실측)'!AC7&gt;0,'와이드(실측)'!AC7,C7-1.2),IF('와이드(실측)'!AC7&gt;0,'와이드(실측)'!AC7+1.2,C7) )</f>
        <v>288.8</v>
      </c>
      <c r="AH7" s="31">
        <f xml:space="preserve"> IF(소장&lt;&gt;"손상민",IF('와이드(실측)'!AD7&gt;0,'와이드(실측)'!AD7,D7-1.2),IF('와이드(실측)'!AD7&gt;0,'와이드(실측)'!AD7+1.2,D7))</f>
        <v>288.8</v>
      </c>
      <c r="AI7" s="51">
        <f>IF(Z7&gt;0,Z7-MAX(Q7,R7),0)</f>
        <v>2.5</v>
      </c>
      <c r="AJ7" s="31" t="str">
        <f t="shared" ref="AJ7" si="0">BA7&amp;"*"&amp;BB7</f>
        <v>1077*631.2</v>
      </c>
      <c r="AK7" s="31" t="str">
        <f t="shared" ref="AK7" si="1">BD7&amp;"*"&amp;BC7</f>
        <v>2400.8*373.2</v>
      </c>
      <c r="AL7" s="31" t="str">
        <f t="shared" ref="AL7" si="2">BF7&amp;"*"&amp;BE7</f>
        <v>2400.8*370.2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6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4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4</v>
      </c>
      <c r="AU7" s="20">
        <f>DEGREES(ATAN((F7-E7)/2/(H7)))</f>
        <v>10.11008979415813</v>
      </c>
      <c r="AV7" s="21">
        <f>ABS(G7-COS(RADIANS(AU7))*I7)</f>
        <v>14.481434238400027</v>
      </c>
      <c r="AW7" s="21">
        <f>ABS(H7-COS(RADIANS(AU7))*K7)</f>
        <v>14.481434238400027</v>
      </c>
      <c r="AX7" s="21">
        <f>'와이드(실측)'!M7+AS7</f>
        <v>14</v>
      </c>
      <c r="AY7" s="21">
        <f>'와이드(실측)'!N7+AS7</f>
        <v>14</v>
      </c>
      <c r="AZ7" s="20">
        <f>AV7-MAX(AX7,AY7)</f>
        <v>0.48143423840002697</v>
      </c>
      <c r="BA7" s="41">
        <f>IF(소장&lt;&gt;"손상민",F7+IF(Y7+Z7&gt;0,N7+M7,0),F7)</f>
        <v>1077</v>
      </c>
      <c r="BB7" s="42">
        <f>MAX(C7,D7)+MAX(G7,H7)+AA7-1.2*$AJ$3+IF(BI7=0,MAX(AE7,AC7),0)+IF(Y7=0,1.2,0)+IF(Z7=0,1.2,0)+IF(소장&lt;&gt;"손상민", Y7+Z7,IF('와이드(실측)'!U7=0,0,2.4))</f>
        <v>631.20000000000005</v>
      </c>
      <c r="BC7" s="41">
        <f>S7+O7+MAX(I7,J7)+AB7-1.2*$AL$3+IF(BI7=0,MAX(AD7,AC7),0)+IF(S7=0,1.2,0)-IF(AR7=90,2.4,0)</f>
        <v>373.2</v>
      </c>
      <c r="BD7" s="41">
        <f>MAX(U7,V7)+AG7</f>
        <v>2400.8000000000002</v>
      </c>
      <c r="BE7" s="41">
        <f>T7+P7+MAX(K7,L7)+AB7-1.2*$AL$3+IF(BI7=0,MAX(AE7,AF7),0)+IF(T7=0,1.2,0)-IF(AR7=90,2.4,0)</f>
        <v>370.2</v>
      </c>
      <c r="BF7" s="41">
        <f>MAX(W7,X7)+AH7</f>
        <v>2400.8000000000002</v>
      </c>
      <c r="BG7" s="6">
        <f t="shared" ref="BG7" si="3">I7-G7-Q7</f>
        <v>4.5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 t="str">
        <f>'와이드(실측)'!A8</f>
        <v xml:space="preserve"> 106  / 2</v>
      </c>
      <c r="B8" s="31" t="str">
        <f>'와이드(실측)'!B8&amp;"F"</f>
        <v>1F</v>
      </c>
      <c r="C8" s="31">
        <f>'와이드(실측)'!C8+와이드MH더함-IF(AND(소장="추영덕",Y8=0),1.2)</f>
        <v>232</v>
      </c>
      <c r="D8" s="31">
        <f>'와이드(실측)'!D8+와이드MH더함-IF(AND(소장="추영덕",Y8=0),1.2)</f>
        <v>232</v>
      </c>
      <c r="E8" s="135">
        <f>'와이드(실측)'!E8-와이드OP</f>
        <v>900</v>
      </c>
      <c r="F8" s="31">
        <f>'와이드(실측)'!F8-와이드R</f>
        <v>1000</v>
      </c>
      <c r="G8" s="50">
        <f>'와이드(실측)'!G8+와이드JBJD키움치수+IF(BI8=1,AC8,0)</f>
        <v>282</v>
      </c>
      <c r="H8" s="50">
        <f>'와이드(실측)'!H8+와이드JBJD키움치수+IF(BI8=1,AE8,0)</f>
        <v>282</v>
      </c>
      <c r="I8" s="50">
        <f>'와이드(실측)'!I8+MAX(AS8,AT8)+와이드JBJD키움치수+IF(BI8=1,AC8,0)</f>
        <v>301</v>
      </c>
      <c r="J8" s="50">
        <f>'와이드(실측)'!I8+MAX(AS8,AT8)+와이드JBJD키움치수+IF(BI8=1,AD8,0)-IF(와이드JB하부늘치=1,'와이드(실측)'!Y8-'와이드(실측)'!Z8,0)</f>
        <v>301</v>
      </c>
      <c r="K8" s="50">
        <f>'와이드(실측)'!J8+MAX(AS8,AT8)+와이드JBJD키움치수+IF(BI8=1,AE8,0)</f>
        <v>301</v>
      </c>
      <c r="L8" s="50">
        <f>'와이드(실측)'!J8+MAX(AS8,AT8)+와이드JBJD키움치수+IF(BI8=1,AF8,0)-IF(와이드JB하부늘치=1,'와이드(실측)'!AA8-'와이드(실측)'!AB8,0)</f>
        <v>301</v>
      </c>
      <c r="M8" s="31">
        <f>IF(소장="손상민",0,O8)</f>
        <v>40</v>
      </c>
      <c r="N8" s="31">
        <f>IF(소장="손상민",0,P8)</f>
        <v>40</v>
      </c>
      <c r="O8" s="31">
        <f>IF(S8&lt;9,'와이드(실측)'!K8+1.2,IF(ISNUMBER('와이드(실측)'!K8),'와이드(실측)'!K8+와이드C값,0))</f>
        <v>40</v>
      </c>
      <c r="P8" s="31">
        <f>IF(T8&lt;9,'와이드(실측)'!L8+1.2,IF(ISNUMBER('와이드(실측)'!L8),'와이드(실측)'!L8+와이드C값,0))</f>
        <v>40</v>
      </c>
      <c r="Q8" s="32">
        <f t="shared" ref="Q8:Q13" si="4">ROUNDUP(AV8,1)</f>
        <v>14.4</v>
      </c>
      <c r="R8" s="38">
        <f t="shared" ref="R8:R13" si="5">ROUNDUP(AW8,1)</f>
        <v>14.4</v>
      </c>
      <c r="S8" s="31">
        <f>IF(ISNUMBER('와이드(실측)'!O8),'와이드(실측)'!O8+와이드제작!AS8+와이드A늘림,0)</f>
        <v>9</v>
      </c>
      <c r="T8" s="31">
        <f>IF(ISNUMBER('와이드(실측)'!P8),'와이드(실측)'!P8+와이드제작!AT8+와이드A늘림,0)</f>
        <v>9</v>
      </c>
      <c r="U8" s="31">
        <f>'와이드(실측)'!Q8-와이드기둥차감</f>
        <v>2110</v>
      </c>
      <c r="V8" s="31">
        <f>'와이드(실측)'!R8-와이드기둥차감</f>
        <v>2091</v>
      </c>
      <c r="W8" s="31">
        <f>'와이드(실측)'!S8-와이드기둥차감</f>
        <v>2109</v>
      </c>
      <c r="X8" s="31">
        <f>'와이드(실측)'!T8-와이드기둥차감</f>
        <v>2091</v>
      </c>
      <c r="Y8" s="31">
        <f>IF(소장="손상민",IF(ISNUMBER('와이드(실측)'!U8),'와이드(실측)'!U8+1.2,0),IF(ISNUMBER('와이드(실측)'!U8),'와이드(실측)'!U8+와이드U,0))</f>
        <v>31</v>
      </c>
      <c r="Z8" s="31">
        <f>IF(소장="손상민",MAX(Q8,R8)+3.2,IF(ISNUMBER('와이드(실측)'!V8),'와이드(실측)'!V8+1.5+와이드제작!Q8+1,0))</f>
        <v>16.899999999999999</v>
      </c>
      <c r="AA8" s="31">
        <f>'와이드(실측)'!W8+뒷날개치수더함</f>
        <v>16</v>
      </c>
      <c r="AB8" s="31">
        <f>'와이드(실측)'!X8+뒷날개치수더함</f>
        <v>25</v>
      </c>
      <c r="AC8" s="31">
        <f>'와이드(실측)'!Y8-와이드늘치</f>
        <v>10</v>
      </c>
      <c r="AD8" s="31">
        <f>IF(와이드JB하부늘치=1,AC8,'와이드(실측)'!Z8-와이드늘치)</f>
        <v>10</v>
      </c>
      <c r="AE8" s="31">
        <f>'와이드(실측)'!AA8-와이드늘치</f>
        <v>10</v>
      </c>
      <c r="AF8" s="31">
        <f>IF(와이드JB하부늘치=1,AE8,'와이드(실측)'!AB8-와이드늘치)</f>
        <v>10</v>
      </c>
      <c r="AG8" s="31">
        <f xml:space="preserve"> IF(소장&lt;&gt;"손상민",IF('와이드(실측)'!AC8&gt;0,'와이드(실측)'!AC8,C8-1.2),IF('와이드(실측)'!AC8&gt;0,'와이드(실측)'!AC8+1.2,C8) )</f>
        <v>230.8</v>
      </c>
      <c r="AH8" s="31">
        <f xml:space="preserve"> IF(소장&lt;&gt;"손상민",IF('와이드(실측)'!AD8&gt;0,'와이드(실측)'!AD8,D8-1.2),IF('와이드(실측)'!AD8&gt;0,'와이드(실측)'!AD8+1.2,D8))</f>
        <v>230.8</v>
      </c>
      <c r="AI8" s="51">
        <f t="shared" ref="AI8:AI13" si="6">IF(Z8&gt;0,Z8-MAX(Q8,R8),0)</f>
        <v>2.4999999999999982</v>
      </c>
      <c r="AJ8" s="31" t="str">
        <f t="shared" ref="AJ8:AJ13" si="7">BA8&amp;"*"&amp;BB8</f>
        <v>1080*583.1</v>
      </c>
      <c r="AK8" s="31" t="str">
        <f t="shared" ref="AK8:AK13" si="8">BD8&amp;"*"&amp;BC8</f>
        <v>2340.8*380.2</v>
      </c>
      <c r="AL8" s="31" t="str">
        <f t="shared" ref="AL8:AL13" si="9">BF8&amp;"*"&amp;BE8</f>
        <v>2339.8*380.2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6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4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4</v>
      </c>
      <c r="AU8" s="20">
        <f t="shared" ref="AU8:AU13" si="10">DEGREES(ATAN((F8-E8)/2/(H8)))</f>
        <v>10.054335599994348</v>
      </c>
      <c r="AV8" s="21">
        <f t="shared" ref="AV8:AV13" si="11">ABS(G8-COS(RADIANS(AU8))*I8)</f>
        <v>14.377432693462367</v>
      </c>
      <c r="AW8" s="21">
        <f t="shared" ref="AW8:AW13" si="12">ABS(H8-COS(RADIANS(AU8))*K8)</f>
        <v>14.377432693462367</v>
      </c>
      <c r="AX8" s="21">
        <f>'와이드(실측)'!M8+AS8</f>
        <v>15</v>
      </c>
      <c r="AY8" s="21">
        <f>'와이드(실측)'!N8+AS8</f>
        <v>14</v>
      </c>
      <c r="AZ8" s="20">
        <f t="shared" ref="AZ8:AZ13" si="13">AV8-MAX(AX8,AY8)</f>
        <v>-0.6225673065376327</v>
      </c>
      <c r="BA8" s="41">
        <f>IF(소장&lt;&gt;"손상민",F8+IF(Y8+Z8&gt;0,N8+M8,0),F8)</f>
        <v>1080</v>
      </c>
      <c r="BB8" s="42">
        <f>MAX(C8,D8)+MAX(G8,H8)+AA8-1.2*$AJ$3+IF(BI8=0,MAX(AE8,AC8),0)+IF(Y8=0,1.2,0)+IF(Z8=0,1.2,0)+IF(소장&lt;&gt;"손상민", Y8+Z8,IF('와이드(실측)'!U8=0,0,2.4))</f>
        <v>583.1</v>
      </c>
      <c r="BC8" s="41">
        <f t="shared" ref="BC8:BC13" si="14">S8+O8+MAX(I8,J8)+AB8-1.2*$AL$3+IF(BI8=0,MAX(AD8,AC8),0)+IF(S8=0,1.2,0)-IF(AR8=90,2.4,0)</f>
        <v>380.2</v>
      </c>
      <c r="BD8" s="41">
        <f t="shared" ref="BD8:BD13" si="15">MAX(U8,V8)+AG8</f>
        <v>2340.8000000000002</v>
      </c>
      <c r="BE8" s="41">
        <f t="shared" ref="BE8:BE13" si="16">T8+P8+MAX(K8,L8)+AB8-1.2*$AL$3+IF(BI8=0,MAX(AE8,AF8),0)+IF(T8=0,1.2,0)-IF(AR8=90,2.4,0)</f>
        <v>380.2</v>
      </c>
      <c r="BF8" s="41">
        <f t="shared" ref="BF8:BF13" si="17">MAX(W8,X8)+AH8</f>
        <v>2339.8000000000002</v>
      </c>
      <c r="BG8" s="6">
        <f t="shared" ref="BG8:BG13" si="18">I8-G8-Q8</f>
        <v>4.5999999999999996</v>
      </c>
      <c r="BH8" s="43" t="str">
        <f t="shared" ref="BH8:BH13" si="19">IF(AND(C8&lt;&gt;D8,Y8&gt;0),"NG","")</f>
        <v/>
      </c>
      <c r="BI8" s="77">
        <f t="shared" ref="BI8:BI13" si="20">IF(AND(MIN(AC8,AE8)&gt;=9.2,ABS(F8-E8)&gt;15),0,1)</f>
        <v>0</v>
      </c>
    </row>
    <row r="9" spans="1:61" ht="26.25" customHeight="1" x14ac:dyDescent="0.3">
      <c r="A9" s="31" t="str">
        <f>'와이드(실측)'!A9</f>
        <v xml:space="preserve"> 108  / 2</v>
      </c>
      <c r="B9" s="31" t="str">
        <f>'와이드(실측)'!B9&amp;"F"</f>
        <v>1F</v>
      </c>
      <c r="C9" s="31">
        <f>'와이드(실측)'!C9+와이드MH더함-IF(AND(소장="추영덕",Y9=0),1.2)</f>
        <v>276</v>
      </c>
      <c r="D9" s="31">
        <f>'와이드(실측)'!D9+와이드MH더함-IF(AND(소장="추영덕",Y9=0),1.2)</f>
        <v>276</v>
      </c>
      <c r="E9" s="135">
        <f>'와이드(실측)'!E9-와이드OP</f>
        <v>900</v>
      </c>
      <c r="F9" s="31">
        <f>'와이드(실측)'!F9-와이드R</f>
        <v>997</v>
      </c>
      <c r="G9" s="50">
        <f>'와이드(실측)'!G9+와이드JBJD키움치수+IF(BI9=1,AC9,0)</f>
        <v>272</v>
      </c>
      <c r="H9" s="50">
        <f>'와이드(실측)'!H9+와이드JBJD키움치수+IF(BI9=1,AE9,0)</f>
        <v>272</v>
      </c>
      <c r="I9" s="50">
        <f>'와이드(실측)'!I9+MAX(AS9,AT9)+와이드JBJD키움치수+IF(BI9=1,AC9,0)</f>
        <v>293</v>
      </c>
      <c r="J9" s="50">
        <f>'와이드(실측)'!I9+MAX(AS9,AT9)+와이드JBJD키움치수+IF(BI9=1,AD9,0)-IF(와이드JB하부늘치=1,'와이드(실측)'!Y9-'와이드(실측)'!Z9,0)</f>
        <v>293</v>
      </c>
      <c r="K9" s="50">
        <f>'와이드(실측)'!J9+MAX(AS9,AT9)+와이드JBJD키움치수+IF(BI9=1,AE9,0)</f>
        <v>293</v>
      </c>
      <c r="L9" s="50">
        <f>'와이드(실측)'!J9+MAX(AS9,AT9)+와이드JBJD키움치수+IF(BI9=1,AF9,0)-IF(와이드JB하부늘치=1,'와이드(실측)'!AA9-'와이드(실측)'!AB9,0)</f>
        <v>293</v>
      </c>
      <c r="M9" s="31">
        <f>IF(소장="손상민",0,O9)</f>
        <v>40</v>
      </c>
      <c r="N9" s="31">
        <f>IF(소장="손상민",0,P9)</f>
        <v>40</v>
      </c>
      <c r="O9" s="31">
        <f>IF(S9&lt;9,'와이드(실측)'!K9+1.2,IF(ISNUMBER('와이드(실측)'!K9),'와이드(실측)'!K9+와이드C값,0))</f>
        <v>40</v>
      </c>
      <c r="P9" s="31">
        <f>IF(T9&lt;9,'와이드(실측)'!L9+1.2,IF(ISNUMBER('와이드(실측)'!L9),'와이드(실측)'!L9+와이드C값,0))</f>
        <v>40</v>
      </c>
      <c r="Q9" s="32">
        <f t="shared" si="4"/>
        <v>16.5</v>
      </c>
      <c r="R9" s="38">
        <f t="shared" si="5"/>
        <v>16.5</v>
      </c>
      <c r="S9" s="31">
        <f>IF(ISNUMBER('와이드(실측)'!O9),'와이드(실측)'!O9+와이드제작!AS9+와이드A늘림,0)</f>
        <v>9</v>
      </c>
      <c r="T9" s="31">
        <f>IF(ISNUMBER('와이드(실측)'!P9),'와이드(실측)'!P9+와이드제작!AT9+와이드A늘림,0)</f>
        <v>9</v>
      </c>
      <c r="U9" s="31">
        <f>'와이드(실측)'!Q9-와이드기둥차감</f>
        <v>2099</v>
      </c>
      <c r="V9" s="31">
        <f>'와이드(실측)'!R9-와이드기둥차감</f>
        <v>2091</v>
      </c>
      <c r="W9" s="31">
        <f>'와이드(실측)'!S9-와이드기둥차감</f>
        <v>2100</v>
      </c>
      <c r="X9" s="31">
        <f>'와이드(실측)'!T9-와이드기둥차감</f>
        <v>2091</v>
      </c>
      <c r="Y9" s="31">
        <f>IF(소장="손상민",IF(ISNUMBER('와이드(실측)'!U9),'와이드(실측)'!U9+1.2,0),IF(ISNUMBER('와이드(실측)'!U9),'와이드(실측)'!U9+와이드U,0))</f>
        <v>31</v>
      </c>
      <c r="Z9" s="31">
        <f>IF(소장="손상민",MAX(Q9,R9)+3.2,IF(ISNUMBER('와이드(실측)'!V9),'와이드(실측)'!V9+1.5+와이드제작!Q9+1,0))</f>
        <v>19</v>
      </c>
      <c r="AA9" s="31">
        <f>'와이드(실측)'!W9+뒷날개치수더함</f>
        <v>16</v>
      </c>
      <c r="AB9" s="31">
        <f>'와이드(실측)'!X9+뒷날개치수더함</f>
        <v>25</v>
      </c>
      <c r="AC9" s="31">
        <f>'와이드(실측)'!Y9-와이드늘치</f>
        <v>10</v>
      </c>
      <c r="AD9" s="31">
        <f>IF(와이드JB하부늘치=1,AC9,'와이드(실측)'!Z9-와이드늘치)</f>
        <v>10</v>
      </c>
      <c r="AE9" s="31">
        <f>'와이드(실측)'!AA9-와이드늘치</f>
        <v>10</v>
      </c>
      <c r="AF9" s="31">
        <f>IF(와이드JB하부늘치=1,AE9,'와이드(실측)'!AB9-와이드늘치)</f>
        <v>10</v>
      </c>
      <c r="AG9" s="31">
        <f xml:space="preserve"> IF(소장&lt;&gt;"손상민",IF('와이드(실측)'!AC9&gt;0,'와이드(실측)'!AC9,C9-1.2),IF('와이드(실측)'!AC9&gt;0,'와이드(실측)'!AC9+1.2,C9) )</f>
        <v>274.8</v>
      </c>
      <c r="AH9" s="31">
        <f xml:space="preserve"> IF(소장&lt;&gt;"손상민",IF('와이드(실측)'!AD9&gt;0,'와이드(실측)'!AD9,D9-1.2),IF('와이드(실측)'!AD9&gt;0,'와이드(실측)'!AD9+1.2,D9))</f>
        <v>274.8</v>
      </c>
      <c r="AI9" s="51">
        <f t="shared" si="6"/>
        <v>2.5</v>
      </c>
      <c r="AJ9" s="31" t="str">
        <f t="shared" si="7"/>
        <v>1077*619.2</v>
      </c>
      <c r="AK9" s="31" t="str">
        <f t="shared" si="8"/>
        <v>2373.8*372.2</v>
      </c>
      <c r="AL9" s="31" t="str">
        <f t="shared" si="9"/>
        <v>2374.8*372.2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6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6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6</v>
      </c>
      <c r="AU9" s="20">
        <f t="shared" si="10"/>
        <v>10.11008979415813</v>
      </c>
      <c r="AV9" s="21">
        <f t="shared" si="11"/>
        <v>16.450378803612352</v>
      </c>
      <c r="AW9" s="21">
        <f t="shared" si="12"/>
        <v>16.450378803612352</v>
      </c>
      <c r="AX9" s="21">
        <f>'와이드(실측)'!M9+AS9</f>
        <v>14</v>
      </c>
      <c r="AY9" s="21">
        <f>'와이드(실측)'!N9+AS9</f>
        <v>15</v>
      </c>
      <c r="AZ9" s="20">
        <f t="shared" si="13"/>
        <v>1.4503788036123524</v>
      </c>
      <c r="BA9" s="41">
        <f>IF(소장&lt;&gt;"손상민",F9+IF(Y9+Z9&gt;0,N9+M9,0),F9)</f>
        <v>1077</v>
      </c>
      <c r="BB9" s="42">
        <f>MAX(C9,D9)+MAX(G9,H9)+AA9-1.2*$AJ$3+IF(BI9=0,MAX(AE9,AC9),0)+IF(Y9=0,1.2,0)+IF(Z9=0,1.2,0)+IF(소장&lt;&gt;"손상민", Y9+Z9,IF('와이드(실측)'!U9=0,0,2.4))</f>
        <v>619.20000000000005</v>
      </c>
      <c r="BC9" s="41">
        <f t="shared" si="14"/>
        <v>372.2</v>
      </c>
      <c r="BD9" s="41">
        <f t="shared" si="15"/>
        <v>2373.8000000000002</v>
      </c>
      <c r="BE9" s="41">
        <f t="shared" si="16"/>
        <v>372.2</v>
      </c>
      <c r="BF9" s="41">
        <f t="shared" si="17"/>
        <v>2374.8000000000002</v>
      </c>
      <c r="BG9" s="6">
        <f t="shared" si="18"/>
        <v>4.5</v>
      </c>
      <c r="BH9" s="43" t="str">
        <f t="shared" si="19"/>
        <v/>
      </c>
      <c r="BI9" s="77">
        <f t="shared" si="20"/>
        <v>0</v>
      </c>
    </row>
    <row r="10" spans="1:61" ht="26.25" customHeight="1" x14ac:dyDescent="0.3">
      <c r="A10" s="31" t="str">
        <f>'와이드(실측)'!A10</f>
        <v xml:space="preserve"> 109  / 2</v>
      </c>
      <c r="B10" s="31" t="str">
        <f>'와이드(실측)'!B10&amp;"F"</f>
        <v>1F</v>
      </c>
      <c r="C10" s="31">
        <f>'와이드(실측)'!C10+와이드MH더함-IF(AND(소장="추영덕",Y10=0),1.2)</f>
        <v>281</v>
      </c>
      <c r="D10" s="31">
        <f>'와이드(실측)'!D10+와이드MH더함-IF(AND(소장="추영덕",Y10=0),1.2)</f>
        <v>281</v>
      </c>
      <c r="E10" s="135">
        <f>'와이드(실측)'!E10-와이드OP</f>
        <v>900</v>
      </c>
      <c r="F10" s="31">
        <f>'와이드(실측)'!F10-와이드R</f>
        <v>998</v>
      </c>
      <c r="G10" s="50">
        <f>'와이드(실측)'!G10+와이드JBJD키움치수+IF(BI10=1,AC10,0)</f>
        <v>272</v>
      </c>
      <c r="H10" s="50">
        <f>'와이드(실측)'!H10+와이드JBJD키움치수+IF(BI10=1,AE10,0)</f>
        <v>272</v>
      </c>
      <c r="I10" s="50">
        <f>'와이드(실측)'!I10+MAX(AS10,AT10)+와이드JBJD키움치수+IF(BI10=1,AC10,0)</f>
        <v>292</v>
      </c>
      <c r="J10" s="50">
        <f>'와이드(실측)'!I10+MAX(AS10,AT10)+와이드JBJD키움치수+IF(BI10=1,AD10,0)-IF(와이드JB하부늘치=1,'와이드(실측)'!Y10-'와이드(실측)'!Z10,0)</f>
        <v>292</v>
      </c>
      <c r="K10" s="50">
        <f>'와이드(실측)'!J10+MAX(AS10,AT10)+와이드JBJD키움치수+IF(BI10=1,AE10,0)</f>
        <v>292</v>
      </c>
      <c r="L10" s="50">
        <f>'와이드(실측)'!J10+MAX(AS10,AT10)+와이드JBJD키움치수+IF(BI10=1,AF10,0)-IF(와이드JB하부늘치=1,'와이드(실측)'!AA10-'와이드(실측)'!AB10,0)</f>
        <v>292</v>
      </c>
      <c r="M10" s="31">
        <f>IF(소장="손상민",0,O10)</f>
        <v>40</v>
      </c>
      <c r="N10" s="31">
        <f>IF(소장="손상민",0,P10)</f>
        <v>40</v>
      </c>
      <c r="O10" s="31">
        <f>IF(S10&lt;9,'와이드(실측)'!K10+1.2,IF(ISNUMBER('와이드(실측)'!K10),'와이드(실측)'!K10+와이드C값,0))</f>
        <v>40</v>
      </c>
      <c r="P10" s="31">
        <f>IF(T10&lt;9,'와이드(실측)'!L10+1.2,IF(ISNUMBER('와이드(실측)'!L10),'와이드(실측)'!L10+와이드C값,0))</f>
        <v>40</v>
      </c>
      <c r="Q10" s="32">
        <f t="shared" si="4"/>
        <v>15.4</v>
      </c>
      <c r="R10" s="38">
        <f t="shared" si="5"/>
        <v>15.4</v>
      </c>
      <c r="S10" s="31">
        <f>IF(ISNUMBER('와이드(실측)'!O10),'와이드(실측)'!O10+와이드제작!AS10+와이드A늘림,0)</f>
        <v>9</v>
      </c>
      <c r="T10" s="31">
        <f>IF(ISNUMBER('와이드(실측)'!P10),'와이드(실측)'!P10+와이드제작!AT10+와이드A늘림,0)</f>
        <v>9</v>
      </c>
      <c r="U10" s="31">
        <f>'와이드(실측)'!Q10-와이드기둥차감</f>
        <v>2105</v>
      </c>
      <c r="V10" s="31">
        <f>'와이드(실측)'!R10-와이드기둥차감</f>
        <v>2091</v>
      </c>
      <c r="W10" s="31">
        <f>'와이드(실측)'!S10-와이드기둥차감</f>
        <v>2105</v>
      </c>
      <c r="X10" s="31">
        <f>'와이드(실측)'!T10-와이드기둥차감</f>
        <v>2091</v>
      </c>
      <c r="Y10" s="31">
        <f>IF(소장="손상민",IF(ISNUMBER('와이드(실측)'!U10),'와이드(실측)'!U10+1.2,0),IF(ISNUMBER('와이드(실측)'!U10),'와이드(실측)'!U10+와이드U,0))</f>
        <v>31</v>
      </c>
      <c r="Z10" s="31">
        <f>IF(소장="손상민",MAX(Q10,R10)+3.2,IF(ISNUMBER('와이드(실측)'!V10),'와이드(실측)'!V10+1.5+와이드제작!Q10+1,0))</f>
        <v>17.899999999999999</v>
      </c>
      <c r="AA10" s="31">
        <f>'와이드(실측)'!W10+뒷날개치수더함</f>
        <v>16</v>
      </c>
      <c r="AB10" s="31">
        <f>'와이드(실측)'!X10+뒷날개치수더함</f>
        <v>25</v>
      </c>
      <c r="AC10" s="31">
        <f>'와이드(실측)'!Y10-와이드늘치</f>
        <v>10</v>
      </c>
      <c r="AD10" s="31">
        <f>IF(와이드JB하부늘치=1,AC10,'와이드(실측)'!Z10-와이드늘치)</f>
        <v>10</v>
      </c>
      <c r="AE10" s="31">
        <f>'와이드(실측)'!AA10-와이드늘치</f>
        <v>10</v>
      </c>
      <c r="AF10" s="31">
        <f>IF(와이드JB하부늘치=1,AE10,'와이드(실측)'!AB10-와이드늘치)</f>
        <v>10</v>
      </c>
      <c r="AG10" s="31">
        <f xml:space="preserve"> IF(소장&lt;&gt;"손상민",IF('와이드(실측)'!AC10&gt;0,'와이드(실측)'!AC10,C10-1.2),IF('와이드(실측)'!AC10&gt;0,'와이드(실측)'!AC10+1.2,C10) )</f>
        <v>279.8</v>
      </c>
      <c r="AH10" s="31">
        <f xml:space="preserve"> IF(소장&lt;&gt;"손상민",IF('와이드(실측)'!AD10&gt;0,'와이드(실측)'!AD10,D10-1.2),IF('와이드(실측)'!AD10&gt;0,'와이드(실측)'!AD10+1.2,D10))</f>
        <v>279.8</v>
      </c>
      <c r="AI10" s="51">
        <f t="shared" si="6"/>
        <v>2.4999999999999982</v>
      </c>
      <c r="AJ10" s="31" t="str">
        <f t="shared" si="7"/>
        <v>1078*623.1</v>
      </c>
      <c r="AK10" s="31" t="str">
        <f t="shared" si="8"/>
        <v>2384.8*371.2</v>
      </c>
      <c r="AL10" s="31" t="str">
        <f t="shared" si="9"/>
        <v>2384.8*371.2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6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5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5</v>
      </c>
      <c r="AU10" s="20">
        <f t="shared" si="10"/>
        <v>10.212134932347109</v>
      </c>
      <c r="AV10" s="21">
        <f t="shared" si="11"/>
        <v>15.374159452637912</v>
      </c>
      <c r="AW10" s="21">
        <f t="shared" si="12"/>
        <v>15.374159452637912</v>
      </c>
      <c r="AX10" s="21">
        <f>'와이드(실측)'!M10+AS10</f>
        <v>15</v>
      </c>
      <c r="AY10" s="21">
        <f>'와이드(실측)'!N10+AS10</f>
        <v>16</v>
      </c>
      <c r="AZ10" s="20">
        <f t="shared" si="13"/>
        <v>-0.62584054736208827</v>
      </c>
      <c r="BA10" s="41">
        <f>IF(소장&lt;&gt;"손상민",F10+IF(Y10+Z10&gt;0,N10+M10,0),F10)</f>
        <v>1078</v>
      </c>
      <c r="BB10" s="42">
        <f>MAX(C10,D10)+MAX(G10,H10)+AA10-1.2*$AJ$3+IF(BI10=0,MAX(AE10,AC10),0)+IF(Y10=0,1.2,0)+IF(Z10=0,1.2,0)+IF(소장&lt;&gt;"손상민", Y10+Z10,IF('와이드(실측)'!U10=0,0,2.4))</f>
        <v>623.1</v>
      </c>
      <c r="BC10" s="41">
        <f t="shared" si="14"/>
        <v>371.2</v>
      </c>
      <c r="BD10" s="41">
        <f t="shared" si="15"/>
        <v>2384.8000000000002</v>
      </c>
      <c r="BE10" s="41">
        <f t="shared" si="16"/>
        <v>371.2</v>
      </c>
      <c r="BF10" s="41">
        <f t="shared" si="17"/>
        <v>2384.8000000000002</v>
      </c>
      <c r="BG10" s="6">
        <f t="shared" si="18"/>
        <v>4.5999999999999996</v>
      </c>
      <c r="BH10" s="43" t="str">
        <f t="shared" si="19"/>
        <v/>
      </c>
      <c r="BI10" s="77">
        <f t="shared" si="20"/>
        <v>0</v>
      </c>
    </row>
    <row r="11" spans="1:61" ht="26.25" customHeight="1" x14ac:dyDescent="0.3">
      <c r="A11" s="31" t="str">
        <f>'와이드(실측)'!A11</f>
        <v>110 / 2</v>
      </c>
      <c r="B11" s="31" t="str">
        <f>'와이드(실측)'!B11&amp;"F"</f>
        <v>1F</v>
      </c>
      <c r="C11" s="31">
        <f>'와이드(실측)'!C11+와이드MH더함-IF(AND(소장="추영덕",Y11=0),1.2)</f>
        <v>260</v>
      </c>
      <c r="D11" s="31">
        <f>'와이드(실측)'!D11+와이드MH더함-IF(AND(소장="추영덕",Y11=0),1.2)</f>
        <v>260</v>
      </c>
      <c r="E11" s="135">
        <f>'와이드(실측)'!E11-와이드OP</f>
        <v>900</v>
      </c>
      <c r="F11" s="31">
        <f>'와이드(실측)'!F11-와이드R</f>
        <v>1000</v>
      </c>
      <c r="G11" s="50">
        <f>'와이드(실측)'!G11+와이드JBJD키움치수+IF(BI11=1,AC11,0)</f>
        <v>287</v>
      </c>
      <c r="H11" s="50">
        <f>'와이드(실측)'!H11+와이드JBJD키움치수+IF(BI11=1,AE11,0)</f>
        <v>287</v>
      </c>
      <c r="I11" s="50">
        <f>'와이드(실측)'!I11+MAX(AS11,AT11)+와이드JBJD키움치수+IF(BI11=1,AC11,0)</f>
        <v>304</v>
      </c>
      <c r="J11" s="50">
        <f>'와이드(실측)'!I11+MAX(AS11,AT11)+와이드JBJD키움치수+IF(BI11=1,AD11,0)-IF(와이드JB하부늘치=1,'와이드(실측)'!Y11-'와이드(실측)'!Z11,0)</f>
        <v>304</v>
      </c>
      <c r="K11" s="50">
        <f>'와이드(실측)'!J11+MAX(AS11,AT11)+와이드JBJD키움치수+IF(BI11=1,AE11,0)</f>
        <v>304</v>
      </c>
      <c r="L11" s="50">
        <f>'와이드(실측)'!J11+MAX(AS11,AT11)+와이드JBJD키움치수+IF(BI11=1,AF11,0)-IF(와이드JB하부늘치=1,'와이드(실측)'!AA11-'와이드(실측)'!AB11,0)</f>
        <v>304</v>
      </c>
      <c r="M11" s="31">
        <f>IF(소장="손상민",0,O11)</f>
        <v>40</v>
      </c>
      <c r="N11" s="31">
        <f>IF(소장="손상민",0,P11)</f>
        <v>40</v>
      </c>
      <c r="O11" s="31">
        <f>IF(S11&lt;9,'와이드(실측)'!K11+1.2,IF(ISNUMBER('와이드(실측)'!K11),'와이드(실측)'!K11+와이드C값,0))</f>
        <v>40</v>
      </c>
      <c r="P11" s="31">
        <f>IF(T11&lt;9,'와이드(실측)'!L11+1.2,IF(ISNUMBER('와이드(실측)'!L11),'와이드(실측)'!L11+와이드C값,0))</f>
        <v>40</v>
      </c>
      <c r="Q11" s="32">
        <f t="shared" si="4"/>
        <v>12.5</v>
      </c>
      <c r="R11" s="38">
        <f t="shared" si="5"/>
        <v>12.5</v>
      </c>
      <c r="S11" s="31">
        <f>IF(ISNUMBER('와이드(실측)'!O11),'와이드(실측)'!O11+와이드제작!AS11+와이드A늘림,0)</f>
        <v>9</v>
      </c>
      <c r="T11" s="31">
        <f>IF(ISNUMBER('와이드(실측)'!P11),'와이드(실측)'!P11+와이드제작!AT11+와이드A늘림,0)</f>
        <v>9</v>
      </c>
      <c r="U11" s="31">
        <f>'와이드(실측)'!Q11-와이드기둥차감</f>
        <v>2104</v>
      </c>
      <c r="V11" s="31">
        <f>'와이드(실측)'!R11-와이드기둥차감</f>
        <v>2091</v>
      </c>
      <c r="W11" s="31">
        <f>'와이드(실측)'!S11-와이드기둥차감</f>
        <v>2103</v>
      </c>
      <c r="X11" s="31">
        <f>'와이드(실측)'!T11-와이드기둥차감</f>
        <v>2091</v>
      </c>
      <c r="Y11" s="31">
        <f>IF(소장="손상민",IF(ISNUMBER('와이드(실측)'!U11),'와이드(실측)'!U11+1.2,0),IF(ISNUMBER('와이드(실측)'!U11),'와이드(실측)'!U11+와이드U,0))</f>
        <v>31</v>
      </c>
      <c r="Z11" s="31">
        <f>IF(소장="손상민",MAX(Q11,R11)+3.2,IF(ISNUMBER('와이드(실측)'!V11),'와이드(실측)'!V11+1.5+와이드제작!Q11+1,0))</f>
        <v>15</v>
      </c>
      <c r="AA11" s="31">
        <f>'와이드(실측)'!W11+뒷날개치수더함</f>
        <v>16</v>
      </c>
      <c r="AB11" s="31">
        <f>'와이드(실측)'!X11+뒷날개치수더함</f>
        <v>25</v>
      </c>
      <c r="AC11" s="31">
        <f>'와이드(실측)'!Y11-와이드늘치</f>
        <v>10</v>
      </c>
      <c r="AD11" s="31">
        <f>IF(와이드JB하부늘치=1,AC11,'와이드(실측)'!Z11-와이드늘치)</f>
        <v>10</v>
      </c>
      <c r="AE11" s="31">
        <f>'와이드(실측)'!AA11-와이드늘치</f>
        <v>10</v>
      </c>
      <c r="AF11" s="31">
        <f>IF(와이드JB하부늘치=1,AE11,'와이드(실측)'!AB11-와이드늘치)</f>
        <v>10</v>
      </c>
      <c r="AG11" s="31">
        <f xml:space="preserve"> IF(소장&lt;&gt;"손상민",IF('와이드(실측)'!AC11&gt;0,'와이드(실측)'!AC11,C11-1.2),IF('와이드(실측)'!AC11&gt;0,'와이드(실측)'!AC11+1.2,C11) )</f>
        <v>258.8</v>
      </c>
      <c r="AH11" s="31">
        <f xml:space="preserve"> IF(소장&lt;&gt;"손상민",IF('와이드(실측)'!AD11&gt;0,'와이드(실측)'!AD11,D11-1.2),IF('와이드(실측)'!AD11&gt;0,'와이드(실측)'!AD11+1.2,D11))</f>
        <v>258.8</v>
      </c>
      <c r="AI11" s="51">
        <f t="shared" si="6"/>
        <v>2.5</v>
      </c>
      <c r="AJ11" s="31" t="str">
        <f t="shared" si="7"/>
        <v>1080*614.2</v>
      </c>
      <c r="AK11" s="31" t="str">
        <f t="shared" si="8"/>
        <v>2362.8*383.2</v>
      </c>
      <c r="AL11" s="31" t="str">
        <f t="shared" si="9"/>
        <v>2361.8*383.2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0</v>
      </c>
      <c r="AP11" s="31">
        <f>IF('와이드(실측)'!AH11&gt;5,'와이드(실측)'!AH11+뒷날개치수더함,'와이드(실측)'!AH11)</f>
        <v>15</v>
      </c>
      <c r="AQ11" s="31">
        <f>'와이드(실측)'!AI11</f>
        <v>10</v>
      </c>
      <c r="AR11" s="31">
        <f>'와이드(실측)'!AJ11</f>
        <v>6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0"/>
        <v>9.882656164628683</v>
      </c>
      <c r="AV11" s="21">
        <f t="shared" si="11"/>
        <v>12.489042851108479</v>
      </c>
      <c r="AW11" s="21">
        <f t="shared" si="12"/>
        <v>12.489042851108479</v>
      </c>
      <c r="AX11" s="21">
        <f>'와이드(실측)'!M11+AS11</f>
        <v>10</v>
      </c>
      <c r="AY11" s="21">
        <f>'와이드(실측)'!N11+AS11</f>
        <v>11</v>
      </c>
      <c r="AZ11" s="20">
        <f t="shared" si="13"/>
        <v>1.4890428511084792</v>
      </c>
      <c r="BA11" s="41">
        <f>IF(소장&lt;&gt;"손상민",F11+IF(Y11+Z11&gt;0,N11+M11,0),F11)</f>
        <v>1080</v>
      </c>
      <c r="BB11" s="42">
        <f>MAX(C11,D11)+MAX(G11,H11)+AA11-1.2*$AJ$3+IF(BI11=0,MAX(AE11,AC11),0)+IF(Y11=0,1.2,0)+IF(Z11=0,1.2,0)+IF(소장&lt;&gt;"손상민", Y11+Z11,IF('와이드(실측)'!U11=0,0,2.4))</f>
        <v>614.20000000000005</v>
      </c>
      <c r="BC11" s="41">
        <f t="shared" si="14"/>
        <v>383.2</v>
      </c>
      <c r="BD11" s="41">
        <f t="shared" si="15"/>
        <v>2362.8000000000002</v>
      </c>
      <c r="BE11" s="41">
        <f t="shared" si="16"/>
        <v>383.2</v>
      </c>
      <c r="BF11" s="41">
        <f t="shared" si="17"/>
        <v>2361.8000000000002</v>
      </c>
      <c r="BG11" s="6">
        <f t="shared" si="18"/>
        <v>4.5</v>
      </c>
      <c r="BH11" s="43" t="str">
        <f t="shared" si="19"/>
        <v/>
      </c>
      <c r="BI11" s="77">
        <f t="shared" si="20"/>
        <v>0</v>
      </c>
    </row>
    <row r="12" spans="1:61" ht="26.25" customHeight="1" x14ac:dyDescent="0.3">
      <c r="A12" s="31" t="str">
        <f>'와이드(실측)'!A12</f>
        <v>111 / 1</v>
      </c>
      <c r="B12" s="31" t="str">
        <f>'와이드(실측)'!B12&amp;"F"</f>
        <v>1F</v>
      </c>
      <c r="C12" s="31">
        <f>'와이드(실측)'!C12+와이드MH더함-IF(AND(소장="추영덕",Y12=0),1.2)</f>
        <v>252</v>
      </c>
      <c r="D12" s="31">
        <f>'와이드(실측)'!D12+와이드MH더함-IF(AND(소장="추영덕",Y12=0),1.2)</f>
        <v>252</v>
      </c>
      <c r="E12" s="135">
        <f>'와이드(실측)'!E12-와이드OP</f>
        <v>900</v>
      </c>
      <c r="F12" s="31">
        <f>'와이드(실측)'!F12-와이드R</f>
        <v>999</v>
      </c>
      <c r="G12" s="50">
        <f>'와이드(실측)'!G12+와이드JBJD키움치수+IF(BI12=1,AC12,0)</f>
        <v>277</v>
      </c>
      <c r="H12" s="50">
        <f>'와이드(실측)'!H12+와이드JBJD키움치수+IF(BI12=1,AE12,0)</f>
        <v>277</v>
      </c>
      <c r="I12" s="50">
        <f>'와이드(실측)'!I12+MAX(AS12,AT12)+와이드JBJD키움치수+IF(BI12=1,AC12,0)</f>
        <v>292</v>
      </c>
      <c r="J12" s="50">
        <f>'와이드(실측)'!I12+MAX(AS12,AT12)+와이드JBJD키움치수+IF(BI12=1,AD12,0)-IF(와이드JB하부늘치=1,'와이드(실측)'!Y12-'와이드(실측)'!Z12,0)</f>
        <v>292</v>
      </c>
      <c r="K12" s="50">
        <f>'와이드(실측)'!J12+MAX(AS12,AT12)+와이드JBJD키움치수+IF(BI12=1,AE12,0)</f>
        <v>292</v>
      </c>
      <c r="L12" s="50">
        <f>'와이드(실측)'!J12+MAX(AS12,AT12)+와이드JBJD키움치수+IF(BI12=1,AF12,0)-IF(와이드JB하부늘치=1,'와이드(실측)'!AA12-'와이드(실측)'!AB12,0)</f>
        <v>292</v>
      </c>
      <c r="M12" s="31">
        <f>IF(소장="손상민",0,O12)</f>
        <v>40</v>
      </c>
      <c r="N12" s="31">
        <f>IF(소장="손상민",0,P12)</f>
        <v>40</v>
      </c>
      <c r="O12" s="31">
        <f>IF(S12&lt;9,'와이드(실측)'!K12+1.2,IF(ISNUMBER('와이드(실측)'!K12),'와이드(실측)'!K12+와이드C값,0))</f>
        <v>40</v>
      </c>
      <c r="P12" s="31">
        <f>IF(T12&lt;9,'와이드(실측)'!L12+1.2,IF(ISNUMBER('와이드(실측)'!L12),'와이드(실측)'!L12+와이드C값,0))</f>
        <v>40</v>
      </c>
      <c r="Q12" s="32">
        <f t="shared" si="4"/>
        <v>10.5</v>
      </c>
      <c r="R12" s="38">
        <f t="shared" si="5"/>
        <v>10.5</v>
      </c>
      <c r="S12" s="31">
        <f>IF(ISNUMBER('와이드(실측)'!O12),'와이드(실측)'!O12+와이드제작!AS12+와이드A늘림,0)</f>
        <v>9</v>
      </c>
      <c r="T12" s="31">
        <f>IF(ISNUMBER('와이드(실측)'!P12),'와이드(실측)'!P12+와이드제작!AT12+와이드A늘림,0)</f>
        <v>9</v>
      </c>
      <c r="U12" s="31">
        <f>'와이드(실측)'!Q12-와이드기둥차감</f>
        <v>2098</v>
      </c>
      <c r="V12" s="31">
        <f>'와이드(실측)'!R12-와이드기둥차감</f>
        <v>2091</v>
      </c>
      <c r="W12" s="31">
        <f>'와이드(실측)'!S12-와이드기둥차감</f>
        <v>2097</v>
      </c>
      <c r="X12" s="31">
        <f>'와이드(실측)'!T12-와이드기둥차감</f>
        <v>2091</v>
      </c>
      <c r="Y12" s="31">
        <f>IF(소장="손상민",IF(ISNUMBER('와이드(실측)'!U12),'와이드(실측)'!U12+1.2,0),IF(ISNUMBER('와이드(실측)'!U12),'와이드(실측)'!U12+와이드U,0))</f>
        <v>31</v>
      </c>
      <c r="Z12" s="31">
        <f>IF(소장="손상민",MAX(Q12,R12)+3.2,IF(ISNUMBER('와이드(실측)'!V12),'와이드(실측)'!V12+1.5+와이드제작!Q12+1,0))</f>
        <v>13</v>
      </c>
      <c r="AA12" s="31">
        <f>'와이드(실측)'!W12+뒷날개치수더함</f>
        <v>16</v>
      </c>
      <c r="AB12" s="31">
        <f>'와이드(실측)'!X12+뒷날개치수더함</f>
        <v>25</v>
      </c>
      <c r="AC12" s="31">
        <f>'와이드(실측)'!Y12-와이드늘치</f>
        <v>10</v>
      </c>
      <c r="AD12" s="31">
        <f>IF(와이드JB하부늘치=1,AC12,'와이드(실측)'!Z12-와이드늘치)</f>
        <v>10</v>
      </c>
      <c r="AE12" s="31">
        <f>'와이드(실측)'!AA12-와이드늘치</f>
        <v>10</v>
      </c>
      <c r="AF12" s="31">
        <f>IF(와이드JB하부늘치=1,AE12,'와이드(실측)'!AB12-와이드늘치)</f>
        <v>10</v>
      </c>
      <c r="AG12" s="31">
        <f xml:space="preserve"> IF(소장&lt;&gt;"손상민",IF('와이드(실측)'!AC12&gt;0,'와이드(실측)'!AC12,C12-1.2),IF('와이드(실측)'!AC12&gt;0,'와이드(실측)'!AC12+1.2,C12) )</f>
        <v>250.8</v>
      </c>
      <c r="AH12" s="31">
        <f xml:space="preserve"> IF(소장&lt;&gt;"손상민",IF('와이드(실측)'!AD12&gt;0,'와이드(실측)'!AD12,D12-1.2),IF('와이드(실측)'!AD12&gt;0,'와이드(실측)'!AD12+1.2,D12))</f>
        <v>250.8</v>
      </c>
      <c r="AI12" s="51">
        <f t="shared" si="6"/>
        <v>2.5</v>
      </c>
      <c r="AJ12" s="31" t="str">
        <f t="shared" si="7"/>
        <v>1079*594.2</v>
      </c>
      <c r="AK12" s="31" t="str">
        <f t="shared" si="8"/>
        <v>2348.8*371.2</v>
      </c>
      <c r="AL12" s="31" t="str">
        <f t="shared" si="9"/>
        <v>2347.8*371.2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0</v>
      </c>
      <c r="AP12" s="31">
        <f>IF('와이드(실측)'!AH12&gt;5,'와이드(실측)'!AH12+뒷날개치수더함,'와이드(실측)'!AH12)</f>
        <v>15</v>
      </c>
      <c r="AQ12" s="31">
        <f>'와이드(실측)'!AI12</f>
        <v>10</v>
      </c>
      <c r="AR12" s="31">
        <f>'와이드(실측)'!AJ12</f>
        <v>6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0"/>
        <v>10.131830495807005</v>
      </c>
      <c r="AV12" s="21">
        <f t="shared" si="11"/>
        <v>10.446436252389674</v>
      </c>
      <c r="AW12" s="21">
        <f t="shared" si="12"/>
        <v>10.446436252389674</v>
      </c>
      <c r="AX12" s="21">
        <f>'와이드(실측)'!M12+AS12</f>
        <v>9</v>
      </c>
      <c r="AY12" s="21">
        <f>'와이드(실측)'!N12+AS12</f>
        <v>10</v>
      </c>
      <c r="AZ12" s="20">
        <f t="shared" si="13"/>
        <v>0.44643625238967388</v>
      </c>
      <c r="BA12" s="41">
        <f>IF(소장&lt;&gt;"손상민",F12+IF(Y12+Z12&gt;0,N12+M12,0),F12)</f>
        <v>1079</v>
      </c>
      <c r="BB12" s="42">
        <f>MAX(C12,D12)+MAX(G12,H12)+AA12-1.2*$AJ$3+IF(BI12=0,MAX(AE12,AC12),0)+IF(Y12=0,1.2,0)+IF(Z12=0,1.2,0)+IF(소장&lt;&gt;"손상민", Y12+Z12,IF('와이드(실측)'!U12=0,0,2.4))</f>
        <v>594.20000000000005</v>
      </c>
      <c r="BC12" s="41">
        <f t="shared" si="14"/>
        <v>371.2</v>
      </c>
      <c r="BD12" s="41">
        <f t="shared" si="15"/>
        <v>2348.8000000000002</v>
      </c>
      <c r="BE12" s="41">
        <f t="shared" si="16"/>
        <v>371.2</v>
      </c>
      <c r="BF12" s="41">
        <f t="shared" si="17"/>
        <v>2347.8000000000002</v>
      </c>
      <c r="BG12" s="6">
        <f t="shared" si="18"/>
        <v>4.5</v>
      </c>
      <c r="BH12" s="43" t="str">
        <f t="shared" si="19"/>
        <v/>
      </c>
      <c r="BI12" s="77">
        <f t="shared" si="20"/>
        <v>0</v>
      </c>
    </row>
    <row r="13" spans="1:61" ht="26.25" customHeight="1" x14ac:dyDescent="0.3">
      <c r="A13" s="31" t="str">
        <f>'와이드(실측)'!A13</f>
        <v>112 / 2</v>
      </c>
      <c r="B13" s="31" t="str">
        <f>'와이드(실측)'!B13&amp;"F"</f>
        <v>1F</v>
      </c>
      <c r="C13" s="31">
        <f>'와이드(실측)'!C13+와이드MH더함-IF(AND(소장="추영덕",Y13=0),1.2)</f>
        <v>237</v>
      </c>
      <c r="D13" s="31">
        <f>'와이드(실측)'!D13+와이드MH더함-IF(AND(소장="추영덕",Y13=0),1.2)</f>
        <v>237</v>
      </c>
      <c r="E13" s="135">
        <f>'와이드(실측)'!E13-와이드OP</f>
        <v>900</v>
      </c>
      <c r="F13" s="31">
        <f>'와이드(실측)'!F13-와이드R</f>
        <v>998</v>
      </c>
      <c r="G13" s="50">
        <f>'와이드(실측)'!G13+와이드JBJD키움치수+IF(BI13=1,AC13,0)</f>
        <v>277</v>
      </c>
      <c r="H13" s="50">
        <f>'와이드(실측)'!H13+와이드JBJD키움치수+IF(BI13=1,AE13,0)</f>
        <v>277</v>
      </c>
      <c r="I13" s="50">
        <f>'와이드(실측)'!I13+MAX(AS13,AT13)+와이드JBJD키움치수+IF(BI13=1,AC13,0)</f>
        <v>292</v>
      </c>
      <c r="J13" s="50">
        <f>'와이드(실측)'!I13+MAX(AS13,AT13)+와이드JBJD키움치수+IF(BI13=1,AD13,0)-IF(와이드JB하부늘치=1,'와이드(실측)'!Y13-'와이드(실측)'!Z13,0)</f>
        <v>292</v>
      </c>
      <c r="K13" s="50">
        <f>'와이드(실측)'!J13+MAX(AS13,AT13)+와이드JBJD키움치수+IF(BI13=1,AE13,0)</f>
        <v>292</v>
      </c>
      <c r="L13" s="50">
        <f>'와이드(실측)'!J13+MAX(AS13,AT13)+와이드JBJD키움치수+IF(BI13=1,AF13,0)-IF(와이드JB하부늘치=1,'와이드(실측)'!AA13-'와이드(실측)'!AB13,0)</f>
        <v>292</v>
      </c>
      <c r="M13" s="31">
        <f>IF(소장="손상민",0,O13)</f>
        <v>40</v>
      </c>
      <c r="N13" s="31">
        <f>IF(소장="손상민",0,P13)</f>
        <v>40</v>
      </c>
      <c r="O13" s="31">
        <f>IF(S13&lt;9,'와이드(실측)'!K13+1.2,IF(ISNUMBER('와이드(실측)'!K13),'와이드(실측)'!K13+와이드C값,0))</f>
        <v>40</v>
      </c>
      <c r="P13" s="31">
        <f>IF(T13&lt;9,'와이드(실측)'!L13+1.2,IF(ISNUMBER('와이드(실측)'!L13),'와이드(실측)'!L13+와이드C값,0))</f>
        <v>40</v>
      </c>
      <c r="Q13" s="32">
        <f t="shared" si="4"/>
        <v>10.6</v>
      </c>
      <c r="R13" s="38">
        <f t="shared" si="5"/>
        <v>10.6</v>
      </c>
      <c r="S13" s="31">
        <f>IF(ISNUMBER('와이드(실측)'!O13),'와이드(실측)'!O13+와이드제작!AS13+와이드A늘림,0)</f>
        <v>9</v>
      </c>
      <c r="T13" s="31">
        <f>IF(ISNUMBER('와이드(실측)'!P13),'와이드(실측)'!P13+와이드제작!AT13+와이드A늘림,0)</f>
        <v>9</v>
      </c>
      <c r="U13" s="31">
        <f>'와이드(실측)'!Q13-와이드기둥차감</f>
        <v>2112</v>
      </c>
      <c r="V13" s="31">
        <f>'와이드(실측)'!R13-와이드기둥차감</f>
        <v>2091</v>
      </c>
      <c r="W13" s="31">
        <f>'와이드(실측)'!S13-와이드기둥차감</f>
        <v>2112</v>
      </c>
      <c r="X13" s="31">
        <f>'와이드(실측)'!T13-와이드기둥차감</f>
        <v>2091</v>
      </c>
      <c r="Y13" s="31">
        <f>IF(소장="손상민",IF(ISNUMBER('와이드(실측)'!U13),'와이드(실측)'!U13+1.2,0),IF(ISNUMBER('와이드(실측)'!U13),'와이드(실측)'!U13+와이드U,0))</f>
        <v>31</v>
      </c>
      <c r="Z13" s="31">
        <f>IF(소장="손상민",MAX(Q13,R13)+3.2,IF(ISNUMBER('와이드(실측)'!V13),'와이드(실측)'!V13+1.5+와이드제작!Q13+1,0))</f>
        <v>13.1</v>
      </c>
      <c r="AA13" s="31">
        <f>'와이드(실측)'!W13+뒷날개치수더함</f>
        <v>16</v>
      </c>
      <c r="AB13" s="31">
        <f>'와이드(실측)'!X13+뒷날개치수더함</f>
        <v>25</v>
      </c>
      <c r="AC13" s="31">
        <f>'와이드(실측)'!Y13-와이드늘치</f>
        <v>10</v>
      </c>
      <c r="AD13" s="31">
        <f>IF(와이드JB하부늘치=1,AC13,'와이드(실측)'!Z13-와이드늘치)</f>
        <v>10</v>
      </c>
      <c r="AE13" s="31">
        <f>'와이드(실측)'!AA13-와이드늘치</f>
        <v>10</v>
      </c>
      <c r="AF13" s="31">
        <f>IF(와이드JB하부늘치=1,AE13,'와이드(실측)'!AB13-와이드늘치)</f>
        <v>10</v>
      </c>
      <c r="AG13" s="31">
        <f xml:space="preserve"> IF(소장&lt;&gt;"손상민",IF('와이드(실측)'!AC13&gt;0,'와이드(실측)'!AC13,C13-1.2),IF('와이드(실측)'!AC13&gt;0,'와이드(실측)'!AC13+1.2,C13) )</f>
        <v>235.8</v>
      </c>
      <c r="AH13" s="31">
        <f xml:space="preserve"> IF(소장&lt;&gt;"손상민",IF('와이드(실측)'!AD13&gt;0,'와이드(실측)'!AD13,D13-1.2),IF('와이드(실측)'!AD13&gt;0,'와이드(실측)'!AD13+1.2,D13))</f>
        <v>235.8</v>
      </c>
      <c r="AI13" s="51">
        <f t="shared" si="6"/>
        <v>2.5</v>
      </c>
      <c r="AJ13" s="31" t="str">
        <f t="shared" si="7"/>
        <v>1078*579.3</v>
      </c>
      <c r="AK13" s="31" t="str">
        <f t="shared" si="8"/>
        <v>2347.8*371.2</v>
      </c>
      <c r="AL13" s="31" t="str">
        <f t="shared" si="9"/>
        <v>2347.8*371.2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0</v>
      </c>
      <c r="AP13" s="31">
        <f>IF('와이드(실측)'!AH13&gt;5,'와이드(실측)'!AH13+뒷날개치수더함,'와이드(실측)'!AH13)</f>
        <v>15</v>
      </c>
      <c r="AQ13" s="31">
        <f>'와이드(실측)'!AI13</f>
        <v>10</v>
      </c>
      <c r="AR13" s="31">
        <f>'와이드(실측)'!AJ13</f>
        <v>6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0"/>
        <v>10.031577732361185</v>
      </c>
      <c r="AV13" s="21">
        <f t="shared" si="11"/>
        <v>10.535874739090559</v>
      </c>
      <c r="AW13" s="21">
        <f t="shared" si="12"/>
        <v>10.535874739090559</v>
      </c>
      <c r="AX13" s="21">
        <f>'와이드(실측)'!M13+AS13</f>
        <v>12</v>
      </c>
      <c r="AY13" s="21">
        <f>'와이드(실측)'!N13+AS13</f>
        <v>12</v>
      </c>
      <c r="AZ13" s="20">
        <f t="shared" si="13"/>
        <v>-1.4641252609094408</v>
      </c>
      <c r="BA13" s="41">
        <f>IF(소장&lt;&gt;"손상민",F13+IF(Y13+Z13&gt;0,N13+M13,0),F13)</f>
        <v>1078</v>
      </c>
      <c r="BB13" s="42">
        <f>MAX(C13,D13)+MAX(G13,H13)+AA13-1.2*$AJ$3+IF(BI13=0,MAX(AE13,AC13),0)+IF(Y13=0,1.2,0)+IF(Z13=0,1.2,0)+IF(소장&lt;&gt;"손상민", Y13+Z13,IF('와이드(실측)'!U13=0,0,2.4))</f>
        <v>579.30000000000007</v>
      </c>
      <c r="BC13" s="41">
        <f t="shared" si="14"/>
        <v>371.2</v>
      </c>
      <c r="BD13" s="41">
        <f t="shared" si="15"/>
        <v>2347.8000000000002</v>
      </c>
      <c r="BE13" s="41">
        <f t="shared" si="16"/>
        <v>371.2</v>
      </c>
      <c r="BF13" s="41">
        <f t="shared" si="17"/>
        <v>2347.8000000000002</v>
      </c>
      <c r="BG13" s="6">
        <f t="shared" si="18"/>
        <v>4.4000000000000004</v>
      </c>
      <c r="BH13" s="43" t="str">
        <f t="shared" si="19"/>
        <v/>
      </c>
      <c r="BI13" s="77">
        <f t="shared" si="20"/>
        <v>0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:AI13">
    <cfRule type="cellIs" dxfId="85" priority="52" operator="greaterThan">
      <formula>3</formula>
    </cfRule>
  </conditionalFormatting>
  <conditionalFormatting sqref="F7:F13">
    <cfRule type="cellIs" dxfId="84" priority="39" operator="greaterThan">
      <formula>1210</formula>
    </cfRule>
  </conditionalFormatting>
  <conditionalFormatting sqref="I7:L13 C7:D13">
    <cfRule type="cellIs" dxfId="83" priority="38" operator="greaterThan">
      <formula>500</formula>
    </cfRule>
  </conditionalFormatting>
  <conditionalFormatting sqref="C7:D13">
    <cfRule type="cellIs" dxfId="82" priority="36" operator="notEqual">
      <formula>$D7</formula>
    </cfRule>
  </conditionalFormatting>
  <conditionalFormatting sqref="D7:D13">
    <cfRule type="cellIs" dxfId="81" priority="35" operator="notEqual">
      <formula>$C7</formula>
    </cfRule>
  </conditionalFormatting>
  <conditionalFormatting sqref="AO7:AR13">
    <cfRule type="cellIs" dxfId="80" priority="17" operator="greaterThan">
      <formula>1.2</formula>
    </cfRule>
  </conditionalFormatting>
  <conditionalFormatting sqref="AO7:AO13">
    <cfRule type="cellIs" dxfId="79" priority="16" operator="greaterThan">
      <formula>0</formula>
    </cfRule>
  </conditionalFormatting>
  <conditionalFormatting sqref="G7:G13">
    <cfRule type="cellIs" dxfId="78" priority="14" operator="notEqual">
      <formula>H7</formula>
    </cfRule>
  </conditionalFormatting>
  <conditionalFormatting sqref="H7:H13">
    <cfRule type="cellIs" dxfId="77" priority="13" operator="notEqual">
      <formula>G7</formula>
    </cfRule>
  </conditionalFormatting>
  <conditionalFormatting sqref="I7:I13">
    <cfRule type="cellIs" dxfId="76" priority="12" operator="notEqual">
      <formula>J7</formula>
    </cfRule>
  </conditionalFormatting>
  <conditionalFormatting sqref="J7:J13">
    <cfRule type="cellIs" dxfId="75" priority="11" operator="notEqual">
      <formula>I7</formula>
    </cfRule>
  </conditionalFormatting>
  <conditionalFormatting sqref="K7:K13">
    <cfRule type="cellIs" dxfId="74" priority="10" operator="notEqual">
      <formula>L7</formula>
    </cfRule>
  </conditionalFormatting>
  <conditionalFormatting sqref="L7:L13">
    <cfRule type="cellIs" dxfId="73" priority="9" operator="notEqual">
      <formula>K7</formula>
    </cfRule>
  </conditionalFormatting>
  <conditionalFormatting sqref="AG7:AG13">
    <cfRule type="cellIs" dxfId="72" priority="8" operator="notEqual">
      <formula>AH7</formula>
    </cfRule>
  </conditionalFormatting>
  <conditionalFormatting sqref="AH7:AH13">
    <cfRule type="cellIs" dxfId="71" priority="7" operator="notEqual">
      <formula>AG7</formula>
    </cfRule>
  </conditionalFormatting>
  <conditionalFormatting sqref="AC7:AF13">
    <cfRule type="expression" dxfId="70" priority="6">
      <formula>$BI7</formula>
    </cfRule>
  </conditionalFormatting>
  <conditionalFormatting sqref="Y7:Y13">
    <cfRule type="expression" dxfId="69" priority="2">
      <formula>소장="손상민"</formula>
    </cfRule>
  </conditionalFormatting>
  <conditionalFormatting sqref="Z7:Z13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(판매)광양 금광 아파트-4차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(판매)광양 금광 아파트-4차,   (재질) : 사급 하이그로시1.2t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+(0 ),  늘어난치수K -(0),  C + (0),  U +(0), OP - (0), R - (0),  기둥차감 - (0), 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activeCell="AD3" sqref="AD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(판매)광양 금광 아파트-4차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(판매)광양 금광 아파트-4차,   (재질) : 사급 하이그로시1.2t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58" t="s">
        <v>77</v>
      </c>
      <c r="M3" s="258"/>
      <c r="N3" s="270">
        <v>0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0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324</v>
      </c>
      <c r="AG3" s="252"/>
      <c r="AH3" s="199"/>
      <c r="AI3" s="253" t="e">
        <f>AN7</f>
        <v>#DIV/0!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+(0 ),  늘어난치수K -(0),  C + (0),  U +(0), OP - (0), R - (0),  기둥차감 - (0),  A + (0)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310</v>
      </c>
      <c r="Z4" s="256"/>
      <c r="AA4" s="257">
        <f>'멍텅(실측)'!U7</f>
        <v>0</v>
      </c>
      <c r="AB4" s="257"/>
      <c r="AC4" s="9"/>
      <c r="AD4" s="185">
        <f ca="1">TODAY()</f>
        <v>45315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304</v>
      </c>
      <c r="AL5" s="178" t="s">
        <v>305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P7" sqref="P7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(판매)광양 금광 아파트-4차 ) _김진섭소장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(판매)광양 금광 아파트-4차 , 재질 : 사급 하이그로시1.2t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 t="s">
        <v>344</v>
      </c>
      <c r="B7" s="60">
        <v>12</v>
      </c>
      <c r="C7" s="60">
        <v>897</v>
      </c>
      <c r="D7" s="60">
        <v>85</v>
      </c>
      <c r="E7" s="60">
        <v>83</v>
      </c>
      <c r="F7" s="60">
        <v>21</v>
      </c>
      <c r="G7" s="60">
        <v>21</v>
      </c>
      <c r="H7" s="60">
        <v>22</v>
      </c>
      <c r="I7" s="60">
        <v>22</v>
      </c>
      <c r="J7" s="119">
        <v>2098</v>
      </c>
      <c r="K7" s="119">
        <v>2098</v>
      </c>
      <c r="L7" s="119">
        <v>2098</v>
      </c>
      <c r="M7" s="119">
        <v>2098</v>
      </c>
      <c r="N7" s="119">
        <v>27</v>
      </c>
      <c r="O7" s="119">
        <v>27</v>
      </c>
      <c r="P7" s="119">
        <v>16</v>
      </c>
      <c r="Q7" s="119">
        <v>25</v>
      </c>
      <c r="R7" s="60"/>
      <c r="S7" s="60"/>
      <c r="T7" s="4">
        <v>15</v>
      </c>
      <c r="U7" s="4">
        <v>10</v>
      </c>
      <c r="V7" s="4">
        <v>6</v>
      </c>
    </row>
    <row r="8" spans="1:22" ht="18" customHeight="1" x14ac:dyDescent="0.3">
      <c r="A8" s="133" t="s">
        <v>344</v>
      </c>
      <c r="B8" s="60">
        <v>11</v>
      </c>
      <c r="C8" s="60">
        <v>897</v>
      </c>
      <c r="D8" s="60">
        <v>85</v>
      </c>
      <c r="E8" s="60">
        <v>83</v>
      </c>
      <c r="F8" s="60">
        <v>20</v>
      </c>
      <c r="G8" s="60">
        <v>20</v>
      </c>
      <c r="H8" s="60">
        <v>20</v>
      </c>
      <c r="I8" s="60">
        <v>20</v>
      </c>
      <c r="J8" s="119">
        <v>2098</v>
      </c>
      <c r="K8" s="119">
        <v>2098</v>
      </c>
      <c r="L8" s="119">
        <v>2098</v>
      </c>
      <c r="M8" s="119">
        <v>2098</v>
      </c>
      <c r="N8" s="119">
        <v>23</v>
      </c>
      <c r="O8" s="119">
        <v>23</v>
      </c>
      <c r="P8" s="119">
        <v>16</v>
      </c>
      <c r="Q8" s="119">
        <v>25</v>
      </c>
      <c r="R8" s="60"/>
      <c r="S8" s="60"/>
      <c r="T8" s="4">
        <v>15</v>
      </c>
      <c r="U8" s="4">
        <v>10</v>
      </c>
      <c r="V8" s="4">
        <v>6</v>
      </c>
    </row>
    <row r="9" spans="1:22" x14ac:dyDescent="0.3">
      <c r="A9" s="133" t="s">
        <v>344</v>
      </c>
      <c r="B9" s="60">
        <v>10</v>
      </c>
      <c r="C9" s="60">
        <v>897</v>
      </c>
      <c r="D9" s="60">
        <v>85</v>
      </c>
      <c r="E9" s="60">
        <v>83</v>
      </c>
      <c r="F9" s="60">
        <v>20</v>
      </c>
      <c r="G9" s="60">
        <v>20</v>
      </c>
      <c r="H9" s="60">
        <v>21</v>
      </c>
      <c r="I9" s="60">
        <v>21</v>
      </c>
      <c r="J9" s="119">
        <v>2092</v>
      </c>
      <c r="K9" s="119">
        <v>2092</v>
      </c>
      <c r="L9" s="119">
        <v>2092</v>
      </c>
      <c r="M9" s="119">
        <v>2092</v>
      </c>
      <c r="N9" s="119">
        <v>24</v>
      </c>
      <c r="O9" s="119">
        <v>24</v>
      </c>
      <c r="P9" s="119">
        <v>16</v>
      </c>
      <c r="Q9" s="119">
        <v>25</v>
      </c>
      <c r="R9" s="60"/>
      <c r="S9" s="60"/>
      <c r="T9" s="4">
        <v>15</v>
      </c>
      <c r="U9" s="4">
        <v>10</v>
      </c>
      <c r="V9" s="4">
        <v>6</v>
      </c>
    </row>
    <row r="10" spans="1:22" x14ac:dyDescent="0.3">
      <c r="A10" s="133" t="s">
        <v>344</v>
      </c>
      <c r="B10" s="60">
        <v>9</v>
      </c>
      <c r="C10" s="60">
        <v>897</v>
      </c>
      <c r="D10" s="60">
        <v>85</v>
      </c>
      <c r="E10" s="60">
        <v>83</v>
      </c>
      <c r="F10" s="60">
        <v>21</v>
      </c>
      <c r="G10" s="60">
        <v>21</v>
      </c>
      <c r="H10" s="60">
        <v>21</v>
      </c>
      <c r="I10" s="60">
        <v>21</v>
      </c>
      <c r="J10" s="119">
        <v>2092</v>
      </c>
      <c r="K10" s="119">
        <v>2092</v>
      </c>
      <c r="L10" s="119">
        <v>2092</v>
      </c>
      <c r="M10" s="119">
        <v>2092</v>
      </c>
      <c r="N10" s="119">
        <v>20</v>
      </c>
      <c r="O10" s="119">
        <v>20</v>
      </c>
      <c r="P10" s="119">
        <v>16</v>
      </c>
      <c r="Q10" s="119">
        <v>25</v>
      </c>
      <c r="R10" s="60"/>
      <c r="S10" s="60"/>
      <c r="T10" s="4">
        <v>15</v>
      </c>
      <c r="U10" s="4">
        <v>10</v>
      </c>
      <c r="V10" s="4">
        <v>6</v>
      </c>
    </row>
    <row r="11" spans="1:22" x14ac:dyDescent="0.3">
      <c r="A11" s="133" t="s">
        <v>344</v>
      </c>
      <c r="B11" s="60">
        <v>8</v>
      </c>
      <c r="C11" s="60">
        <v>897</v>
      </c>
      <c r="D11" s="60">
        <v>85</v>
      </c>
      <c r="E11" s="60">
        <v>83</v>
      </c>
      <c r="F11" s="60">
        <v>21</v>
      </c>
      <c r="G11" s="60">
        <v>21</v>
      </c>
      <c r="H11" s="60">
        <v>21</v>
      </c>
      <c r="I11" s="60">
        <v>21</v>
      </c>
      <c r="J11" s="119">
        <v>2098</v>
      </c>
      <c r="K11" s="119">
        <v>2098</v>
      </c>
      <c r="L11" s="119">
        <v>2092</v>
      </c>
      <c r="M11" s="119">
        <v>2092</v>
      </c>
      <c r="N11" s="119">
        <v>18</v>
      </c>
      <c r="O11" s="119">
        <v>18</v>
      </c>
      <c r="P11" s="119">
        <v>16</v>
      </c>
      <c r="Q11" s="119">
        <v>25</v>
      </c>
      <c r="R11" s="60"/>
      <c r="S11" s="60"/>
      <c r="T11" s="4">
        <v>15</v>
      </c>
      <c r="U11" s="4">
        <v>10</v>
      </c>
      <c r="V11" s="4">
        <v>6</v>
      </c>
    </row>
    <row r="12" spans="1:22" x14ac:dyDescent="0.3">
      <c r="A12" s="133" t="s">
        <v>344</v>
      </c>
      <c r="B12" s="60">
        <v>7</v>
      </c>
      <c r="C12" s="60">
        <v>896</v>
      </c>
      <c r="D12" s="60">
        <v>85</v>
      </c>
      <c r="E12" s="60">
        <v>83</v>
      </c>
      <c r="F12" s="60">
        <v>19</v>
      </c>
      <c r="G12" s="60">
        <v>19</v>
      </c>
      <c r="H12" s="60">
        <v>20</v>
      </c>
      <c r="I12" s="60">
        <v>20</v>
      </c>
      <c r="J12" s="119">
        <v>2098</v>
      </c>
      <c r="K12" s="119">
        <v>2098</v>
      </c>
      <c r="L12" s="119">
        <v>2092</v>
      </c>
      <c r="M12" s="119">
        <v>2092</v>
      </c>
      <c r="N12" s="119">
        <v>12</v>
      </c>
      <c r="O12" s="119">
        <v>12</v>
      </c>
      <c r="P12" s="119">
        <v>16</v>
      </c>
      <c r="Q12" s="119">
        <v>25</v>
      </c>
      <c r="R12" s="60"/>
      <c r="S12" s="60"/>
      <c r="T12" s="4">
        <v>15</v>
      </c>
      <c r="U12" s="4">
        <v>10</v>
      </c>
      <c r="V12" s="4">
        <v>6</v>
      </c>
    </row>
    <row r="13" spans="1:22" x14ac:dyDescent="0.3">
      <c r="A13" s="133" t="s">
        <v>344</v>
      </c>
      <c r="B13" s="60">
        <v>6</v>
      </c>
      <c r="C13" s="60">
        <v>897</v>
      </c>
      <c r="D13" s="60">
        <v>85</v>
      </c>
      <c r="E13" s="60">
        <v>83</v>
      </c>
      <c r="F13" s="60">
        <v>22</v>
      </c>
      <c r="G13" s="60">
        <v>22</v>
      </c>
      <c r="H13" s="60">
        <v>23</v>
      </c>
      <c r="I13" s="60">
        <v>23</v>
      </c>
      <c r="J13" s="119">
        <v>2092</v>
      </c>
      <c r="K13" s="119">
        <v>2092</v>
      </c>
      <c r="L13" s="119">
        <v>2092</v>
      </c>
      <c r="M13" s="119">
        <v>2092</v>
      </c>
      <c r="N13" s="119">
        <v>22</v>
      </c>
      <c r="O13" s="119">
        <v>22</v>
      </c>
      <c r="P13" s="119">
        <v>16</v>
      </c>
      <c r="Q13" s="119">
        <v>25</v>
      </c>
      <c r="R13" s="60"/>
      <c r="S13" s="60"/>
      <c r="T13" s="4">
        <v>15</v>
      </c>
      <c r="U13" s="4">
        <v>10</v>
      </c>
      <c r="V13" s="4">
        <v>6</v>
      </c>
    </row>
    <row r="14" spans="1:22" x14ac:dyDescent="0.3">
      <c r="A14" s="133" t="s">
        <v>344</v>
      </c>
      <c r="B14" s="60">
        <v>5</v>
      </c>
      <c r="C14" s="60">
        <v>896</v>
      </c>
      <c r="D14" s="60">
        <v>85</v>
      </c>
      <c r="E14" s="60">
        <v>83</v>
      </c>
      <c r="F14" s="60">
        <v>20</v>
      </c>
      <c r="G14" s="60">
        <v>20</v>
      </c>
      <c r="H14" s="60">
        <v>24</v>
      </c>
      <c r="I14" s="60">
        <v>24</v>
      </c>
      <c r="J14" s="119">
        <v>2092</v>
      </c>
      <c r="K14" s="119">
        <v>2092</v>
      </c>
      <c r="L14" s="119">
        <v>2092</v>
      </c>
      <c r="M14" s="119">
        <v>2092</v>
      </c>
      <c r="N14" s="119">
        <v>14</v>
      </c>
      <c r="O14" s="119">
        <v>14</v>
      </c>
      <c r="P14" s="119">
        <v>16</v>
      </c>
      <c r="Q14" s="119">
        <v>25</v>
      </c>
      <c r="R14" s="60"/>
      <c r="S14" s="60"/>
      <c r="T14" s="4">
        <v>15</v>
      </c>
      <c r="U14" s="4">
        <v>10</v>
      </c>
      <c r="V14" s="4">
        <v>6</v>
      </c>
    </row>
    <row r="15" spans="1:22" x14ac:dyDescent="0.3">
      <c r="A15" s="133" t="s">
        <v>344</v>
      </c>
      <c r="B15" s="60">
        <v>4</v>
      </c>
      <c r="C15" s="60">
        <v>897</v>
      </c>
      <c r="D15" s="60">
        <v>85</v>
      </c>
      <c r="E15" s="60">
        <v>83</v>
      </c>
      <c r="F15" s="60">
        <v>21</v>
      </c>
      <c r="G15" s="60">
        <v>21</v>
      </c>
      <c r="H15" s="60">
        <v>21</v>
      </c>
      <c r="I15" s="60">
        <v>21</v>
      </c>
      <c r="J15" s="119">
        <v>2098</v>
      </c>
      <c r="K15" s="119">
        <v>2098</v>
      </c>
      <c r="L15" s="119">
        <v>2098</v>
      </c>
      <c r="M15" s="119">
        <v>2098</v>
      </c>
      <c r="N15" s="119">
        <v>10</v>
      </c>
      <c r="O15" s="119">
        <v>10</v>
      </c>
      <c r="P15" s="119">
        <v>16</v>
      </c>
      <c r="Q15" s="119">
        <v>25</v>
      </c>
      <c r="R15" s="60"/>
      <c r="S15" s="60"/>
      <c r="T15" s="4">
        <v>15</v>
      </c>
      <c r="U15" s="4">
        <v>10</v>
      </c>
      <c r="V15" s="4">
        <v>6</v>
      </c>
    </row>
    <row r="16" spans="1:22" x14ac:dyDescent="0.3">
      <c r="A16" s="133" t="s">
        <v>344</v>
      </c>
      <c r="B16" s="60">
        <v>3</v>
      </c>
      <c r="C16" s="60">
        <v>896</v>
      </c>
      <c r="D16" s="60">
        <v>85</v>
      </c>
      <c r="E16" s="60">
        <v>83</v>
      </c>
      <c r="F16" s="60">
        <v>21</v>
      </c>
      <c r="G16" s="60">
        <v>21</v>
      </c>
      <c r="H16" s="60">
        <v>20</v>
      </c>
      <c r="I16" s="60">
        <v>20</v>
      </c>
      <c r="J16" s="119">
        <v>2098</v>
      </c>
      <c r="K16" s="119">
        <v>2098</v>
      </c>
      <c r="L16" s="119">
        <v>2098</v>
      </c>
      <c r="M16" s="119">
        <v>2098</v>
      </c>
      <c r="N16" s="119">
        <v>11</v>
      </c>
      <c r="O16" s="119">
        <v>11</v>
      </c>
      <c r="P16" s="119">
        <v>16</v>
      </c>
      <c r="Q16" s="119">
        <v>25</v>
      </c>
      <c r="R16" s="60"/>
      <c r="S16" s="60"/>
      <c r="T16" s="4">
        <v>15</v>
      </c>
      <c r="U16" s="4">
        <v>10</v>
      </c>
      <c r="V16" s="4">
        <v>6</v>
      </c>
    </row>
    <row r="17" spans="1:22" x14ac:dyDescent="0.3">
      <c r="A17" s="133" t="s">
        <v>344</v>
      </c>
      <c r="B17" s="60">
        <v>2</v>
      </c>
      <c r="C17" s="60">
        <v>897</v>
      </c>
      <c r="D17" s="60">
        <v>85</v>
      </c>
      <c r="E17" s="60">
        <v>83</v>
      </c>
      <c r="F17" s="60">
        <v>21</v>
      </c>
      <c r="G17" s="60">
        <v>21</v>
      </c>
      <c r="H17" s="60">
        <v>21</v>
      </c>
      <c r="I17" s="60">
        <v>21</v>
      </c>
      <c r="J17" s="119">
        <v>2092</v>
      </c>
      <c r="K17" s="119">
        <v>2092</v>
      </c>
      <c r="L17" s="119">
        <v>2098</v>
      </c>
      <c r="M17" s="119">
        <v>2098</v>
      </c>
      <c r="N17" s="119">
        <v>15</v>
      </c>
      <c r="O17" s="119">
        <v>15</v>
      </c>
      <c r="P17" s="119">
        <v>16</v>
      </c>
      <c r="Q17" s="119">
        <v>25</v>
      </c>
      <c r="R17" s="60"/>
      <c r="S17" s="60"/>
      <c r="T17" s="4">
        <v>15</v>
      </c>
      <c r="U17" s="4">
        <v>10</v>
      </c>
      <c r="V17" s="4">
        <v>6</v>
      </c>
    </row>
    <row r="18" spans="1:22" x14ac:dyDescent="0.3">
      <c r="A18" s="133" t="s">
        <v>345</v>
      </c>
      <c r="B18" s="60">
        <v>14</v>
      </c>
      <c r="C18" s="60">
        <v>898</v>
      </c>
      <c r="D18" s="60">
        <v>85</v>
      </c>
      <c r="E18" s="60">
        <v>83</v>
      </c>
      <c r="F18" s="60">
        <v>23</v>
      </c>
      <c r="G18" s="60">
        <v>23</v>
      </c>
      <c r="H18" s="60">
        <v>23</v>
      </c>
      <c r="I18" s="60">
        <v>23</v>
      </c>
      <c r="J18" s="119">
        <v>2098</v>
      </c>
      <c r="K18" s="119">
        <v>2098</v>
      </c>
      <c r="L18" s="119">
        <v>2098</v>
      </c>
      <c r="M18" s="119">
        <v>2098</v>
      </c>
      <c r="N18" s="119">
        <v>23</v>
      </c>
      <c r="O18" s="119">
        <v>23</v>
      </c>
      <c r="P18" s="119">
        <v>16</v>
      </c>
      <c r="Q18" s="119">
        <v>25</v>
      </c>
      <c r="R18" s="60"/>
      <c r="S18" s="60"/>
      <c r="T18" s="4">
        <v>15</v>
      </c>
      <c r="U18" s="4">
        <v>10</v>
      </c>
      <c r="V18" s="4">
        <v>6</v>
      </c>
    </row>
    <row r="19" spans="1:22" x14ac:dyDescent="0.3">
      <c r="A19" s="133" t="s">
        <v>345</v>
      </c>
      <c r="B19" s="60">
        <v>13</v>
      </c>
      <c r="C19" s="60">
        <v>898</v>
      </c>
      <c r="D19" s="60">
        <v>85</v>
      </c>
      <c r="E19" s="60">
        <v>83</v>
      </c>
      <c r="F19" s="60">
        <v>21</v>
      </c>
      <c r="G19" s="60">
        <v>21</v>
      </c>
      <c r="H19" s="60">
        <v>23</v>
      </c>
      <c r="I19" s="60">
        <v>23</v>
      </c>
      <c r="J19" s="119">
        <v>2098</v>
      </c>
      <c r="K19" s="119">
        <v>2098</v>
      </c>
      <c r="L19" s="119">
        <v>2092</v>
      </c>
      <c r="M19" s="119">
        <v>2092</v>
      </c>
      <c r="N19" s="119">
        <v>19</v>
      </c>
      <c r="O19" s="119">
        <v>19</v>
      </c>
      <c r="P19" s="119">
        <v>16</v>
      </c>
      <c r="Q19" s="119">
        <v>25</v>
      </c>
      <c r="R19" s="60"/>
      <c r="S19" s="60"/>
      <c r="T19" s="4">
        <v>15</v>
      </c>
      <c r="U19" s="4">
        <v>10</v>
      </c>
      <c r="V19" s="4">
        <v>6</v>
      </c>
    </row>
    <row r="20" spans="1:22" x14ac:dyDescent="0.3">
      <c r="A20" s="133" t="s">
        <v>345</v>
      </c>
      <c r="B20" s="60">
        <v>12</v>
      </c>
      <c r="C20" s="60">
        <v>898</v>
      </c>
      <c r="D20" s="60">
        <v>85</v>
      </c>
      <c r="E20" s="60">
        <v>83</v>
      </c>
      <c r="F20" s="60">
        <v>24</v>
      </c>
      <c r="G20" s="60">
        <v>24</v>
      </c>
      <c r="H20" s="60">
        <v>22</v>
      </c>
      <c r="I20" s="60">
        <v>22</v>
      </c>
      <c r="J20" s="119">
        <v>2092</v>
      </c>
      <c r="K20" s="119">
        <v>2092</v>
      </c>
      <c r="L20" s="119">
        <v>2092</v>
      </c>
      <c r="M20" s="119">
        <v>2092</v>
      </c>
      <c r="N20" s="119">
        <v>31</v>
      </c>
      <c r="O20" s="119">
        <v>31</v>
      </c>
      <c r="P20" s="119">
        <v>16</v>
      </c>
      <c r="Q20" s="119">
        <v>25</v>
      </c>
      <c r="R20" s="60"/>
      <c r="S20" s="60"/>
      <c r="T20" s="4">
        <v>15</v>
      </c>
      <c r="U20" s="4">
        <v>10</v>
      </c>
      <c r="V20" s="4">
        <v>6</v>
      </c>
    </row>
    <row r="21" spans="1:22" x14ac:dyDescent="0.3">
      <c r="A21" s="133" t="s">
        <v>345</v>
      </c>
      <c r="B21" s="60">
        <v>11</v>
      </c>
      <c r="C21" s="60">
        <v>897</v>
      </c>
      <c r="D21" s="60">
        <v>85</v>
      </c>
      <c r="E21" s="60">
        <v>83</v>
      </c>
      <c r="F21" s="60">
        <v>20</v>
      </c>
      <c r="G21" s="60">
        <v>20</v>
      </c>
      <c r="H21" s="60">
        <v>21</v>
      </c>
      <c r="I21" s="60">
        <v>21</v>
      </c>
      <c r="J21" s="119">
        <v>2098</v>
      </c>
      <c r="K21" s="119">
        <v>2098</v>
      </c>
      <c r="L21" s="119">
        <v>2098</v>
      </c>
      <c r="M21" s="119">
        <v>2098</v>
      </c>
      <c r="N21" s="119">
        <v>21</v>
      </c>
      <c r="O21" s="119">
        <v>21</v>
      </c>
      <c r="P21" s="119">
        <v>16</v>
      </c>
      <c r="Q21" s="119">
        <v>25</v>
      </c>
      <c r="R21" s="60"/>
      <c r="S21" s="60"/>
      <c r="T21" s="4">
        <v>15</v>
      </c>
      <c r="U21" s="4">
        <v>10</v>
      </c>
      <c r="V21" s="4">
        <v>6</v>
      </c>
    </row>
    <row r="22" spans="1:22" x14ac:dyDescent="0.3">
      <c r="A22" s="133" t="s">
        <v>345</v>
      </c>
      <c r="B22" s="60">
        <v>10</v>
      </c>
      <c r="C22" s="60">
        <v>896</v>
      </c>
      <c r="D22" s="60">
        <v>85</v>
      </c>
      <c r="E22" s="60">
        <v>83</v>
      </c>
      <c r="F22" s="60">
        <v>19</v>
      </c>
      <c r="G22" s="60">
        <v>19</v>
      </c>
      <c r="H22" s="60">
        <v>19</v>
      </c>
      <c r="I22" s="60">
        <v>19</v>
      </c>
      <c r="J22" s="119">
        <v>2098</v>
      </c>
      <c r="K22" s="119">
        <v>2098</v>
      </c>
      <c r="L22" s="119">
        <v>2098</v>
      </c>
      <c r="M22" s="119">
        <v>2098</v>
      </c>
      <c r="N22" s="119">
        <v>12</v>
      </c>
      <c r="O22" s="119">
        <v>12</v>
      </c>
      <c r="P22" s="119">
        <v>16</v>
      </c>
      <c r="Q22" s="119">
        <v>25</v>
      </c>
      <c r="R22" s="60"/>
      <c r="S22" s="60"/>
      <c r="T22" s="4">
        <v>15</v>
      </c>
      <c r="U22" s="4">
        <v>10</v>
      </c>
      <c r="V22" s="4">
        <v>6</v>
      </c>
    </row>
    <row r="23" spans="1:22" x14ac:dyDescent="0.3">
      <c r="A23" s="133" t="s">
        <v>345</v>
      </c>
      <c r="B23" s="60">
        <v>9</v>
      </c>
      <c r="C23" s="60">
        <v>897</v>
      </c>
      <c r="D23" s="60">
        <v>85</v>
      </c>
      <c r="E23" s="60">
        <v>83</v>
      </c>
      <c r="F23" s="60">
        <v>20</v>
      </c>
      <c r="G23" s="60">
        <v>20</v>
      </c>
      <c r="H23" s="60">
        <v>20</v>
      </c>
      <c r="I23" s="60">
        <v>20</v>
      </c>
      <c r="J23" s="119">
        <v>2092</v>
      </c>
      <c r="K23" s="119">
        <v>2092</v>
      </c>
      <c r="L23" s="119">
        <v>2092</v>
      </c>
      <c r="M23" s="119">
        <v>2092</v>
      </c>
      <c r="N23" s="119">
        <v>22</v>
      </c>
      <c r="O23" s="119">
        <v>22</v>
      </c>
      <c r="P23" s="119">
        <v>16</v>
      </c>
      <c r="Q23" s="119">
        <v>25</v>
      </c>
      <c r="R23" s="60"/>
      <c r="S23" s="60"/>
      <c r="T23" s="4">
        <v>15</v>
      </c>
      <c r="U23" s="4">
        <v>10</v>
      </c>
      <c r="V23" s="4">
        <v>6</v>
      </c>
    </row>
    <row r="24" spans="1:22" x14ac:dyDescent="0.3">
      <c r="A24" s="133" t="s">
        <v>345</v>
      </c>
      <c r="B24" s="60">
        <v>8</v>
      </c>
      <c r="C24" s="60">
        <v>896</v>
      </c>
      <c r="D24" s="60">
        <v>85</v>
      </c>
      <c r="E24" s="60">
        <v>83</v>
      </c>
      <c r="F24" s="60">
        <v>20</v>
      </c>
      <c r="G24" s="60">
        <v>20</v>
      </c>
      <c r="H24" s="60">
        <v>20</v>
      </c>
      <c r="I24" s="60">
        <v>20</v>
      </c>
      <c r="J24" s="119">
        <v>2092</v>
      </c>
      <c r="K24" s="119">
        <v>2092</v>
      </c>
      <c r="L24" s="119">
        <v>2092</v>
      </c>
      <c r="M24" s="119">
        <v>2092</v>
      </c>
      <c r="N24" s="119">
        <v>20</v>
      </c>
      <c r="O24" s="119">
        <v>20</v>
      </c>
      <c r="P24" s="119">
        <v>16</v>
      </c>
      <c r="Q24" s="119">
        <v>25</v>
      </c>
      <c r="R24" s="60"/>
      <c r="S24" s="60"/>
      <c r="T24" s="4">
        <v>15</v>
      </c>
      <c r="U24" s="4">
        <v>10</v>
      </c>
      <c r="V24" s="4">
        <v>6</v>
      </c>
    </row>
    <row r="25" spans="1:22" x14ac:dyDescent="0.3">
      <c r="A25" s="133" t="s">
        <v>345</v>
      </c>
      <c r="B25" s="60">
        <v>7</v>
      </c>
      <c r="C25" s="60">
        <v>897</v>
      </c>
      <c r="D25" s="60">
        <v>85</v>
      </c>
      <c r="E25" s="60">
        <v>83</v>
      </c>
      <c r="F25" s="60">
        <v>16</v>
      </c>
      <c r="G25" s="60">
        <v>16</v>
      </c>
      <c r="H25" s="60">
        <v>16</v>
      </c>
      <c r="I25" s="60">
        <v>16</v>
      </c>
      <c r="J25" s="119">
        <v>2098</v>
      </c>
      <c r="K25" s="119">
        <v>2098</v>
      </c>
      <c r="L25" s="119">
        <v>2098</v>
      </c>
      <c r="M25" s="119">
        <v>2098</v>
      </c>
      <c r="N25" s="119">
        <v>24</v>
      </c>
      <c r="O25" s="119">
        <v>24</v>
      </c>
      <c r="P25" s="119">
        <v>16</v>
      </c>
      <c r="Q25" s="119">
        <v>25</v>
      </c>
      <c r="R25" s="60"/>
      <c r="S25" s="60"/>
      <c r="T25" s="4">
        <v>15</v>
      </c>
      <c r="U25" s="4">
        <v>10</v>
      </c>
      <c r="V25" s="4">
        <v>6</v>
      </c>
    </row>
    <row r="26" spans="1:22" ht="18" customHeight="1" x14ac:dyDescent="0.3">
      <c r="A26" s="133" t="s">
        <v>345</v>
      </c>
      <c r="B26" s="60">
        <v>6</v>
      </c>
      <c r="C26" s="60">
        <v>898</v>
      </c>
      <c r="D26" s="60">
        <v>85</v>
      </c>
      <c r="E26" s="60">
        <v>83</v>
      </c>
      <c r="F26" s="60">
        <v>18</v>
      </c>
      <c r="G26" s="60">
        <v>18</v>
      </c>
      <c r="H26" s="60">
        <v>18</v>
      </c>
      <c r="I26" s="60">
        <v>18</v>
      </c>
      <c r="J26" s="119">
        <v>2092</v>
      </c>
      <c r="K26" s="119">
        <v>2092</v>
      </c>
      <c r="L26" s="119">
        <v>2098</v>
      </c>
      <c r="M26" s="119">
        <v>2098</v>
      </c>
      <c r="N26" s="119">
        <v>23</v>
      </c>
      <c r="O26" s="119">
        <v>23</v>
      </c>
      <c r="P26" s="119">
        <v>16</v>
      </c>
      <c r="Q26" s="119">
        <v>25</v>
      </c>
      <c r="R26" s="60"/>
      <c r="S26" s="60"/>
      <c r="T26" s="4">
        <v>15</v>
      </c>
      <c r="U26" s="4">
        <v>10</v>
      </c>
      <c r="V26" s="4">
        <v>6</v>
      </c>
    </row>
    <row r="27" spans="1:22" ht="18" customHeight="1" x14ac:dyDescent="0.3">
      <c r="A27" s="133" t="s">
        <v>345</v>
      </c>
      <c r="B27" s="60">
        <v>5</v>
      </c>
      <c r="C27" s="60">
        <v>898</v>
      </c>
      <c r="D27" s="60">
        <v>85</v>
      </c>
      <c r="E27" s="60">
        <v>83</v>
      </c>
      <c r="F27" s="60">
        <v>18</v>
      </c>
      <c r="G27" s="60">
        <v>18</v>
      </c>
      <c r="H27" s="60">
        <v>20</v>
      </c>
      <c r="I27" s="60">
        <v>20</v>
      </c>
      <c r="J27" s="119">
        <v>2098</v>
      </c>
      <c r="K27" s="119">
        <v>2098</v>
      </c>
      <c r="L27" s="119">
        <v>2098</v>
      </c>
      <c r="M27" s="119">
        <v>2098</v>
      </c>
      <c r="N27" s="119">
        <v>20</v>
      </c>
      <c r="O27" s="119">
        <v>20</v>
      </c>
      <c r="P27" s="119">
        <v>16</v>
      </c>
      <c r="Q27" s="119">
        <v>25</v>
      </c>
      <c r="R27" s="60"/>
      <c r="S27" s="60"/>
      <c r="T27" s="4">
        <v>15</v>
      </c>
      <c r="U27" s="4">
        <v>10</v>
      </c>
      <c r="V27" s="4">
        <v>6</v>
      </c>
    </row>
    <row r="28" spans="1:22" x14ac:dyDescent="0.3">
      <c r="A28" s="133" t="s">
        <v>345</v>
      </c>
      <c r="B28" s="60">
        <v>4</v>
      </c>
      <c r="C28" s="60">
        <v>898</v>
      </c>
      <c r="D28" s="60">
        <v>85</v>
      </c>
      <c r="E28" s="60">
        <v>83</v>
      </c>
      <c r="F28" s="60">
        <v>18</v>
      </c>
      <c r="G28" s="60">
        <v>18</v>
      </c>
      <c r="H28" s="60">
        <v>18</v>
      </c>
      <c r="I28" s="60">
        <v>18</v>
      </c>
      <c r="J28" s="119">
        <v>2098</v>
      </c>
      <c r="K28" s="119">
        <v>2098</v>
      </c>
      <c r="L28" s="119">
        <v>2098</v>
      </c>
      <c r="M28" s="119">
        <v>2098</v>
      </c>
      <c r="N28" s="119">
        <v>14</v>
      </c>
      <c r="O28" s="119">
        <v>14</v>
      </c>
      <c r="P28" s="119">
        <v>16</v>
      </c>
      <c r="Q28" s="119">
        <v>25</v>
      </c>
      <c r="R28" s="60"/>
      <c r="S28" s="60"/>
      <c r="T28" s="4">
        <v>15</v>
      </c>
      <c r="U28" s="4">
        <v>10</v>
      </c>
      <c r="V28" s="4">
        <v>6</v>
      </c>
    </row>
    <row r="29" spans="1:22" x14ac:dyDescent="0.3">
      <c r="A29" s="133" t="s">
        <v>345</v>
      </c>
      <c r="B29" s="60">
        <v>3</v>
      </c>
      <c r="C29" s="60">
        <v>898</v>
      </c>
      <c r="D29" s="60">
        <v>85</v>
      </c>
      <c r="E29" s="60">
        <v>83</v>
      </c>
      <c r="F29" s="60">
        <v>18</v>
      </c>
      <c r="G29" s="60">
        <v>18</v>
      </c>
      <c r="H29" s="60">
        <v>18</v>
      </c>
      <c r="I29" s="60">
        <v>18</v>
      </c>
      <c r="J29" s="119">
        <v>2092</v>
      </c>
      <c r="K29" s="119">
        <v>2092</v>
      </c>
      <c r="L29" s="119">
        <v>2092</v>
      </c>
      <c r="M29" s="119">
        <v>2092</v>
      </c>
      <c r="N29" s="119">
        <v>20</v>
      </c>
      <c r="O29" s="119">
        <v>20</v>
      </c>
      <c r="P29" s="119">
        <v>16</v>
      </c>
      <c r="Q29" s="119">
        <v>25</v>
      </c>
      <c r="R29" s="60"/>
      <c r="S29" s="60"/>
      <c r="T29" s="4">
        <v>15</v>
      </c>
      <c r="U29" s="4">
        <v>10</v>
      </c>
      <c r="V29" s="4">
        <v>6</v>
      </c>
    </row>
    <row r="30" spans="1:22" x14ac:dyDescent="0.3">
      <c r="A30" s="133" t="s">
        <v>345</v>
      </c>
      <c r="B30" s="60">
        <v>2</v>
      </c>
      <c r="C30" s="60">
        <v>898</v>
      </c>
      <c r="D30" s="60">
        <v>85</v>
      </c>
      <c r="E30" s="60">
        <v>83</v>
      </c>
      <c r="F30" s="60">
        <v>18</v>
      </c>
      <c r="G30" s="60">
        <v>18</v>
      </c>
      <c r="H30" s="60">
        <v>17</v>
      </c>
      <c r="I30" s="60">
        <v>17</v>
      </c>
      <c r="J30" s="119">
        <v>2092</v>
      </c>
      <c r="K30" s="119">
        <v>2092</v>
      </c>
      <c r="L30" s="119">
        <v>2092</v>
      </c>
      <c r="M30" s="119">
        <v>2092</v>
      </c>
      <c r="N30" s="119">
        <v>20</v>
      </c>
      <c r="O30" s="119">
        <v>20</v>
      </c>
      <c r="P30" s="119">
        <v>16</v>
      </c>
      <c r="Q30" s="119">
        <v>25</v>
      </c>
      <c r="R30" s="60"/>
      <c r="S30" s="60"/>
      <c r="T30" s="4">
        <v>15</v>
      </c>
      <c r="U30" s="4">
        <v>10</v>
      </c>
      <c r="V30" s="4">
        <v>6</v>
      </c>
    </row>
    <row r="31" spans="1:22" x14ac:dyDescent="0.3">
      <c r="A31" s="133" t="s">
        <v>346</v>
      </c>
      <c r="B31" s="60">
        <v>10</v>
      </c>
      <c r="C31" s="60">
        <v>897</v>
      </c>
      <c r="D31" s="60">
        <v>85</v>
      </c>
      <c r="E31" s="60">
        <v>83</v>
      </c>
      <c r="F31" s="60">
        <v>23</v>
      </c>
      <c r="G31" s="60">
        <v>23</v>
      </c>
      <c r="H31" s="60">
        <v>24</v>
      </c>
      <c r="I31" s="60">
        <v>24</v>
      </c>
      <c r="J31" s="119">
        <v>2092</v>
      </c>
      <c r="K31" s="119">
        <v>2092</v>
      </c>
      <c r="L31" s="119">
        <v>2092</v>
      </c>
      <c r="M31" s="119">
        <v>2092</v>
      </c>
      <c r="N31" s="119">
        <v>27</v>
      </c>
      <c r="O31" s="119">
        <v>27</v>
      </c>
      <c r="P31" s="119">
        <v>16</v>
      </c>
      <c r="Q31" s="119">
        <v>25</v>
      </c>
      <c r="R31" s="60"/>
      <c r="S31" s="60"/>
      <c r="T31" s="4">
        <v>15</v>
      </c>
      <c r="U31" s="4">
        <v>10</v>
      </c>
      <c r="V31" s="4">
        <v>6</v>
      </c>
    </row>
    <row r="32" spans="1:22" x14ac:dyDescent="0.3">
      <c r="A32" s="133" t="s">
        <v>346</v>
      </c>
      <c r="B32" s="60">
        <v>9</v>
      </c>
      <c r="C32" s="60">
        <v>897</v>
      </c>
      <c r="D32" s="60">
        <v>85</v>
      </c>
      <c r="E32" s="60">
        <v>83</v>
      </c>
      <c r="F32" s="60">
        <v>20</v>
      </c>
      <c r="G32" s="60">
        <v>20</v>
      </c>
      <c r="H32" s="60">
        <v>20</v>
      </c>
      <c r="I32" s="60">
        <v>20</v>
      </c>
      <c r="J32" s="119">
        <v>2092</v>
      </c>
      <c r="K32" s="119">
        <v>2092</v>
      </c>
      <c r="L32" s="119">
        <v>2092</v>
      </c>
      <c r="M32" s="119">
        <v>2092</v>
      </c>
      <c r="N32" s="119">
        <v>22</v>
      </c>
      <c r="O32" s="119">
        <v>22</v>
      </c>
      <c r="P32" s="119">
        <v>16</v>
      </c>
      <c r="Q32" s="119">
        <v>25</v>
      </c>
      <c r="R32" s="60"/>
      <c r="S32" s="60"/>
      <c r="T32" s="4">
        <v>15</v>
      </c>
      <c r="U32" s="4">
        <v>10</v>
      </c>
      <c r="V32" s="4">
        <v>6</v>
      </c>
    </row>
    <row r="33" spans="1:22" x14ac:dyDescent="0.3">
      <c r="A33" s="133" t="s">
        <v>346</v>
      </c>
      <c r="B33" s="60">
        <v>8</v>
      </c>
      <c r="C33" s="60">
        <v>895</v>
      </c>
      <c r="D33" s="60">
        <v>85</v>
      </c>
      <c r="E33" s="60">
        <v>83</v>
      </c>
      <c r="F33" s="60">
        <v>19</v>
      </c>
      <c r="G33" s="60">
        <v>19</v>
      </c>
      <c r="H33" s="60">
        <v>16</v>
      </c>
      <c r="I33" s="60">
        <v>16</v>
      </c>
      <c r="J33" s="119">
        <v>2098</v>
      </c>
      <c r="K33" s="119">
        <v>2098</v>
      </c>
      <c r="L33" s="119">
        <v>2092</v>
      </c>
      <c r="M33" s="119">
        <v>2092</v>
      </c>
      <c r="N33" s="119">
        <v>19</v>
      </c>
      <c r="O33" s="119">
        <v>19</v>
      </c>
      <c r="P33" s="119">
        <v>16</v>
      </c>
      <c r="Q33" s="119">
        <v>25</v>
      </c>
      <c r="R33" s="60"/>
      <c r="S33" s="60"/>
      <c r="T33" s="4">
        <v>15</v>
      </c>
      <c r="U33" s="4">
        <v>10</v>
      </c>
      <c r="V33" s="4">
        <v>6</v>
      </c>
    </row>
    <row r="34" spans="1:22" x14ac:dyDescent="0.3">
      <c r="A34" s="133" t="s">
        <v>346</v>
      </c>
      <c r="B34" s="60">
        <v>7</v>
      </c>
      <c r="C34" s="60">
        <v>897</v>
      </c>
      <c r="D34" s="60">
        <v>85</v>
      </c>
      <c r="E34" s="60">
        <v>83</v>
      </c>
      <c r="F34" s="60">
        <v>18</v>
      </c>
      <c r="G34" s="60">
        <v>18</v>
      </c>
      <c r="H34" s="60">
        <v>19</v>
      </c>
      <c r="I34" s="60">
        <v>19</v>
      </c>
      <c r="J34" s="119">
        <v>2092</v>
      </c>
      <c r="K34" s="119">
        <v>2092</v>
      </c>
      <c r="L34" s="119">
        <v>2092</v>
      </c>
      <c r="M34" s="119">
        <v>2092</v>
      </c>
      <c r="N34" s="119">
        <v>19</v>
      </c>
      <c r="O34" s="119">
        <v>19</v>
      </c>
      <c r="P34" s="119">
        <v>16</v>
      </c>
      <c r="Q34" s="119">
        <v>25</v>
      </c>
      <c r="R34" s="60"/>
      <c r="S34" s="60"/>
      <c r="T34" s="4">
        <v>15</v>
      </c>
      <c r="U34" s="4">
        <v>10</v>
      </c>
      <c r="V34" s="4">
        <v>6</v>
      </c>
    </row>
    <row r="35" spans="1:22" x14ac:dyDescent="0.3">
      <c r="A35" s="133" t="s">
        <v>346</v>
      </c>
      <c r="B35" s="60">
        <v>6</v>
      </c>
      <c r="C35" s="60">
        <v>897</v>
      </c>
      <c r="D35" s="60">
        <v>85</v>
      </c>
      <c r="E35" s="60">
        <v>83</v>
      </c>
      <c r="F35" s="60">
        <v>19</v>
      </c>
      <c r="G35" s="60">
        <v>19</v>
      </c>
      <c r="H35" s="60">
        <v>17</v>
      </c>
      <c r="I35" s="60">
        <v>17</v>
      </c>
      <c r="J35" s="119">
        <v>2092</v>
      </c>
      <c r="K35" s="119">
        <v>2092</v>
      </c>
      <c r="L35" s="119">
        <v>2092</v>
      </c>
      <c r="M35" s="119">
        <v>2092</v>
      </c>
      <c r="N35" s="119">
        <v>17</v>
      </c>
      <c r="O35" s="119">
        <v>17</v>
      </c>
      <c r="P35" s="119">
        <v>16</v>
      </c>
      <c r="Q35" s="119">
        <v>25</v>
      </c>
      <c r="R35" s="60"/>
      <c r="S35" s="60"/>
      <c r="T35" s="4">
        <v>15</v>
      </c>
      <c r="U35" s="4">
        <v>10</v>
      </c>
      <c r="V35" s="4">
        <v>6</v>
      </c>
    </row>
    <row r="36" spans="1:22" x14ac:dyDescent="0.3">
      <c r="A36" s="133" t="s">
        <v>346</v>
      </c>
      <c r="B36" s="60">
        <v>5</v>
      </c>
      <c r="C36" s="60">
        <v>897</v>
      </c>
      <c r="D36" s="60">
        <v>85</v>
      </c>
      <c r="E36" s="60">
        <v>83</v>
      </c>
      <c r="F36" s="60">
        <v>18</v>
      </c>
      <c r="G36" s="60">
        <v>18</v>
      </c>
      <c r="H36" s="60">
        <v>17</v>
      </c>
      <c r="I36" s="60">
        <v>17</v>
      </c>
      <c r="J36" s="119">
        <v>2098</v>
      </c>
      <c r="K36" s="119">
        <v>2098</v>
      </c>
      <c r="L36" s="119">
        <v>2098</v>
      </c>
      <c r="M36" s="119">
        <v>2098</v>
      </c>
      <c r="N36" s="119">
        <v>17</v>
      </c>
      <c r="O36" s="119">
        <v>17</v>
      </c>
      <c r="P36" s="119">
        <v>16</v>
      </c>
      <c r="Q36" s="119">
        <v>25</v>
      </c>
      <c r="R36" s="60"/>
      <c r="S36" s="60"/>
      <c r="T36" s="4">
        <v>15</v>
      </c>
      <c r="U36" s="4">
        <v>10</v>
      </c>
      <c r="V36" s="4">
        <v>6</v>
      </c>
    </row>
    <row r="37" spans="1:22" x14ac:dyDescent="0.3">
      <c r="A37" s="133" t="s">
        <v>346</v>
      </c>
      <c r="B37" s="60">
        <v>4</v>
      </c>
      <c r="C37" s="60">
        <v>897</v>
      </c>
      <c r="D37" s="60">
        <v>85</v>
      </c>
      <c r="E37" s="60">
        <v>83</v>
      </c>
      <c r="F37" s="60">
        <v>20</v>
      </c>
      <c r="G37" s="60">
        <v>20</v>
      </c>
      <c r="H37" s="60">
        <v>18</v>
      </c>
      <c r="I37" s="60">
        <v>18</v>
      </c>
      <c r="J37" s="119">
        <v>2092</v>
      </c>
      <c r="K37" s="119">
        <v>2092</v>
      </c>
      <c r="L37" s="119">
        <v>2092</v>
      </c>
      <c r="M37" s="119">
        <v>2092</v>
      </c>
      <c r="N37" s="119">
        <v>15</v>
      </c>
      <c r="O37" s="119">
        <v>15</v>
      </c>
      <c r="P37" s="119">
        <v>16</v>
      </c>
      <c r="Q37" s="119">
        <v>25</v>
      </c>
      <c r="R37" s="60"/>
      <c r="S37" s="60"/>
      <c r="T37" s="4">
        <v>15</v>
      </c>
      <c r="U37" s="4">
        <v>10</v>
      </c>
      <c r="V37" s="4">
        <v>6</v>
      </c>
    </row>
    <row r="38" spans="1:22" x14ac:dyDescent="0.3">
      <c r="A38" s="133" t="s">
        <v>346</v>
      </c>
      <c r="B38" s="60">
        <v>3</v>
      </c>
      <c r="C38" s="60">
        <v>897</v>
      </c>
      <c r="D38" s="60">
        <v>85</v>
      </c>
      <c r="E38" s="60">
        <v>83</v>
      </c>
      <c r="F38" s="60">
        <v>18</v>
      </c>
      <c r="G38" s="60">
        <v>18</v>
      </c>
      <c r="H38" s="60">
        <v>15</v>
      </c>
      <c r="I38" s="60">
        <v>15</v>
      </c>
      <c r="J38" s="119">
        <v>2098</v>
      </c>
      <c r="K38" s="119">
        <v>2098</v>
      </c>
      <c r="L38" s="119">
        <v>2098</v>
      </c>
      <c r="M38" s="119">
        <v>2098</v>
      </c>
      <c r="N38" s="119">
        <v>20</v>
      </c>
      <c r="O38" s="119">
        <v>20</v>
      </c>
      <c r="P38" s="119">
        <v>16</v>
      </c>
      <c r="Q38" s="119">
        <v>25</v>
      </c>
      <c r="R38" s="60"/>
      <c r="S38" s="60"/>
      <c r="T38" s="4">
        <v>15</v>
      </c>
      <c r="U38" s="4">
        <v>10</v>
      </c>
      <c r="V38" s="4">
        <v>6</v>
      </c>
    </row>
    <row r="39" spans="1:22" x14ac:dyDescent="0.3">
      <c r="A39" s="133" t="s">
        <v>346</v>
      </c>
      <c r="B39" s="60">
        <v>2</v>
      </c>
      <c r="C39" s="60">
        <v>896</v>
      </c>
      <c r="D39" s="60">
        <v>85</v>
      </c>
      <c r="E39" s="60">
        <v>83</v>
      </c>
      <c r="F39" s="60">
        <v>20</v>
      </c>
      <c r="G39" s="60">
        <v>20</v>
      </c>
      <c r="H39" s="60">
        <v>20</v>
      </c>
      <c r="I39" s="60">
        <v>20</v>
      </c>
      <c r="J39" s="119">
        <v>2092</v>
      </c>
      <c r="K39" s="119">
        <v>2092</v>
      </c>
      <c r="L39" s="119">
        <v>2098</v>
      </c>
      <c r="M39" s="119">
        <v>2098</v>
      </c>
      <c r="N39" s="119">
        <v>21</v>
      </c>
      <c r="O39" s="119">
        <v>21</v>
      </c>
      <c r="P39" s="119">
        <v>16</v>
      </c>
      <c r="Q39" s="119">
        <v>25</v>
      </c>
      <c r="R39" s="60"/>
      <c r="S39" s="60"/>
      <c r="T39" s="4">
        <v>15</v>
      </c>
      <c r="U39" s="4">
        <v>10</v>
      </c>
      <c r="V39" s="4">
        <v>6</v>
      </c>
    </row>
    <row r="40" spans="1:22" x14ac:dyDescent="0.3">
      <c r="A40" s="133" t="s">
        <v>347</v>
      </c>
      <c r="B40" s="60">
        <v>15</v>
      </c>
      <c r="C40" s="60">
        <v>898</v>
      </c>
      <c r="D40" s="60">
        <v>85</v>
      </c>
      <c r="E40" s="60">
        <v>83</v>
      </c>
      <c r="F40" s="60">
        <v>20</v>
      </c>
      <c r="G40" s="60">
        <v>20</v>
      </c>
      <c r="H40" s="60">
        <v>20</v>
      </c>
      <c r="I40" s="60">
        <v>20</v>
      </c>
      <c r="J40" s="119">
        <v>2098</v>
      </c>
      <c r="K40" s="119">
        <v>2098</v>
      </c>
      <c r="L40" s="119">
        <v>2098</v>
      </c>
      <c r="M40" s="119">
        <v>2098</v>
      </c>
      <c r="N40" s="119">
        <v>25</v>
      </c>
      <c r="O40" s="119">
        <v>25</v>
      </c>
      <c r="P40" s="119">
        <v>16</v>
      </c>
      <c r="Q40" s="119">
        <v>25</v>
      </c>
      <c r="R40" s="60"/>
      <c r="S40" s="60"/>
      <c r="T40" s="4">
        <v>15</v>
      </c>
      <c r="U40" s="4">
        <v>10</v>
      </c>
      <c r="V40" s="4">
        <v>6</v>
      </c>
    </row>
    <row r="41" spans="1:22" x14ac:dyDescent="0.3">
      <c r="A41" s="133" t="s">
        <v>347</v>
      </c>
      <c r="B41" s="60">
        <v>14</v>
      </c>
      <c r="C41" s="60">
        <v>898</v>
      </c>
      <c r="D41" s="60">
        <v>85</v>
      </c>
      <c r="E41" s="60">
        <v>83</v>
      </c>
      <c r="F41" s="60">
        <v>23</v>
      </c>
      <c r="G41" s="60">
        <v>23</v>
      </c>
      <c r="H41" s="60">
        <v>23</v>
      </c>
      <c r="I41" s="60">
        <v>23</v>
      </c>
      <c r="J41" s="119">
        <v>2092</v>
      </c>
      <c r="K41" s="119">
        <v>2092</v>
      </c>
      <c r="L41" s="119">
        <v>2092</v>
      </c>
      <c r="M41" s="119">
        <v>2092</v>
      </c>
      <c r="N41" s="119">
        <v>25</v>
      </c>
      <c r="O41" s="119">
        <v>25</v>
      </c>
      <c r="P41" s="119">
        <v>16</v>
      </c>
      <c r="Q41" s="119">
        <v>25</v>
      </c>
      <c r="R41" s="60"/>
      <c r="S41" s="60"/>
      <c r="T41" s="4">
        <v>15</v>
      </c>
      <c r="U41" s="4">
        <v>10</v>
      </c>
      <c r="V41" s="4">
        <v>6</v>
      </c>
    </row>
    <row r="42" spans="1:22" x14ac:dyDescent="0.3">
      <c r="A42" s="133" t="s">
        <v>347</v>
      </c>
      <c r="B42" s="60">
        <v>13</v>
      </c>
      <c r="C42" s="60">
        <v>896</v>
      </c>
      <c r="D42" s="60">
        <v>85</v>
      </c>
      <c r="E42" s="60">
        <v>83</v>
      </c>
      <c r="F42" s="60">
        <v>23</v>
      </c>
      <c r="G42" s="60">
        <v>23</v>
      </c>
      <c r="H42" s="60">
        <v>24</v>
      </c>
      <c r="I42" s="60">
        <v>24</v>
      </c>
      <c r="J42" s="119">
        <v>2092</v>
      </c>
      <c r="K42" s="119">
        <v>2092</v>
      </c>
      <c r="L42" s="119">
        <v>2098</v>
      </c>
      <c r="M42" s="119">
        <v>2098</v>
      </c>
      <c r="N42" s="119">
        <v>23</v>
      </c>
      <c r="O42" s="119">
        <v>23</v>
      </c>
      <c r="P42" s="119">
        <v>16</v>
      </c>
      <c r="Q42" s="119">
        <v>25</v>
      </c>
      <c r="R42" s="60"/>
      <c r="S42" s="60"/>
      <c r="T42" s="4">
        <v>15</v>
      </c>
      <c r="U42" s="4">
        <v>10</v>
      </c>
      <c r="V42" s="4">
        <v>6</v>
      </c>
    </row>
    <row r="43" spans="1:22" x14ac:dyDescent="0.3">
      <c r="A43" s="133" t="s">
        <v>347</v>
      </c>
      <c r="B43" s="60">
        <v>12</v>
      </c>
      <c r="C43" s="60">
        <v>898</v>
      </c>
      <c r="D43" s="60">
        <v>85</v>
      </c>
      <c r="E43" s="60">
        <v>83</v>
      </c>
      <c r="F43" s="60">
        <v>25</v>
      </c>
      <c r="G43" s="60">
        <v>25</v>
      </c>
      <c r="H43" s="60">
        <v>21</v>
      </c>
      <c r="I43" s="60">
        <v>21</v>
      </c>
      <c r="J43" s="119">
        <v>2092</v>
      </c>
      <c r="K43" s="119">
        <v>2092</v>
      </c>
      <c r="L43" s="119">
        <v>2098</v>
      </c>
      <c r="M43" s="119">
        <v>2098</v>
      </c>
      <c r="N43" s="119">
        <v>27</v>
      </c>
      <c r="O43" s="119">
        <v>27</v>
      </c>
      <c r="P43" s="119">
        <v>16</v>
      </c>
      <c r="Q43" s="119">
        <v>25</v>
      </c>
      <c r="R43" s="60"/>
      <c r="S43" s="60"/>
      <c r="T43" s="4">
        <v>15</v>
      </c>
      <c r="U43" s="4">
        <v>10</v>
      </c>
      <c r="V43" s="4">
        <v>6</v>
      </c>
    </row>
    <row r="44" spans="1:22" x14ac:dyDescent="0.3">
      <c r="A44" s="133" t="s">
        <v>347</v>
      </c>
      <c r="B44" s="60">
        <v>11</v>
      </c>
      <c r="C44" s="60">
        <v>898</v>
      </c>
      <c r="D44" s="60">
        <v>85</v>
      </c>
      <c r="E44" s="60">
        <v>83</v>
      </c>
      <c r="F44" s="60">
        <v>21</v>
      </c>
      <c r="G44" s="60">
        <v>21</v>
      </c>
      <c r="H44" s="60">
        <v>23</v>
      </c>
      <c r="I44" s="60">
        <v>23</v>
      </c>
      <c r="J44" s="119">
        <v>2092</v>
      </c>
      <c r="K44" s="119">
        <v>2092</v>
      </c>
      <c r="L44" s="119">
        <v>2098</v>
      </c>
      <c r="M44" s="119">
        <v>2098</v>
      </c>
      <c r="N44" s="119">
        <v>30</v>
      </c>
      <c r="O44" s="119">
        <v>30</v>
      </c>
      <c r="P44" s="119">
        <v>16</v>
      </c>
      <c r="Q44" s="119">
        <v>25</v>
      </c>
      <c r="R44" s="60"/>
      <c r="S44" s="60"/>
      <c r="T44" s="4">
        <v>15</v>
      </c>
      <c r="U44" s="4">
        <v>10</v>
      </c>
      <c r="V44" s="4">
        <v>6</v>
      </c>
    </row>
    <row r="45" spans="1:22" x14ac:dyDescent="0.3">
      <c r="A45" s="133" t="s">
        <v>347</v>
      </c>
      <c r="B45" s="60">
        <v>10</v>
      </c>
      <c r="C45" s="60">
        <v>897</v>
      </c>
      <c r="D45" s="60">
        <v>85</v>
      </c>
      <c r="E45" s="60">
        <v>83</v>
      </c>
      <c r="F45" s="60">
        <v>23</v>
      </c>
      <c r="G45" s="60">
        <v>23</v>
      </c>
      <c r="H45" s="60">
        <v>23</v>
      </c>
      <c r="I45" s="60">
        <v>23</v>
      </c>
      <c r="J45" s="119">
        <v>2092</v>
      </c>
      <c r="K45" s="119">
        <v>2092</v>
      </c>
      <c r="L45" s="119">
        <v>2092</v>
      </c>
      <c r="M45" s="119">
        <v>2092</v>
      </c>
      <c r="N45" s="119">
        <v>25</v>
      </c>
      <c r="O45" s="119">
        <v>25</v>
      </c>
      <c r="P45" s="119">
        <v>16</v>
      </c>
      <c r="Q45" s="119">
        <v>25</v>
      </c>
      <c r="R45" s="60"/>
      <c r="S45" s="60"/>
      <c r="T45" s="4">
        <v>15</v>
      </c>
      <c r="U45" s="4">
        <v>10</v>
      </c>
      <c r="V45" s="4">
        <v>6</v>
      </c>
    </row>
    <row r="46" spans="1:22" x14ac:dyDescent="0.3">
      <c r="A46" s="133" t="s">
        <v>347</v>
      </c>
      <c r="B46" s="60">
        <v>9</v>
      </c>
      <c r="C46" s="60">
        <v>897</v>
      </c>
      <c r="D46" s="60">
        <v>85</v>
      </c>
      <c r="E46" s="60">
        <v>83</v>
      </c>
      <c r="F46" s="60">
        <v>23</v>
      </c>
      <c r="G46" s="60">
        <v>23</v>
      </c>
      <c r="H46" s="60">
        <v>24</v>
      </c>
      <c r="I46" s="60">
        <v>24</v>
      </c>
      <c r="J46" s="119">
        <v>2098</v>
      </c>
      <c r="K46" s="119">
        <v>2098</v>
      </c>
      <c r="L46" s="119">
        <v>2092</v>
      </c>
      <c r="M46" s="119">
        <v>2092</v>
      </c>
      <c r="N46" s="119">
        <v>26</v>
      </c>
      <c r="O46" s="119">
        <v>26</v>
      </c>
      <c r="P46" s="119">
        <v>16</v>
      </c>
      <c r="Q46" s="119">
        <v>25</v>
      </c>
      <c r="R46" s="60"/>
      <c r="S46" s="60"/>
      <c r="T46" s="4">
        <v>15</v>
      </c>
      <c r="U46" s="4">
        <v>10</v>
      </c>
      <c r="V46" s="4">
        <v>6</v>
      </c>
    </row>
    <row r="47" spans="1:22" x14ac:dyDescent="0.3">
      <c r="A47" s="133" t="s">
        <v>347</v>
      </c>
      <c r="B47" s="60">
        <v>8</v>
      </c>
      <c r="C47" s="60">
        <v>898</v>
      </c>
      <c r="D47" s="60">
        <v>85</v>
      </c>
      <c r="E47" s="60">
        <v>83</v>
      </c>
      <c r="F47" s="60">
        <v>23</v>
      </c>
      <c r="G47" s="60">
        <v>23</v>
      </c>
      <c r="H47" s="60">
        <v>24</v>
      </c>
      <c r="I47" s="60">
        <v>24</v>
      </c>
      <c r="J47" s="119">
        <v>2098</v>
      </c>
      <c r="K47" s="119">
        <v>2098</v>
      </c>
      <c r="L47" s="119">
        <v>2092</v>
      </c>
      <c r="M47" s="119">
        <v>2092</v>
      </c>
      <c r="N47" s="119">
        <v>30</v>
      </c>
      <c r="O47" s="119">
        <v>30</v>
      </c>
      <c r="P47" s="119">
        <v>16</v>
      </c>
      <c r="Q47" s="119">
        <v>25</v>
      </c>
      <c r="R47" s="60"/>
      <c r="S47" s="60"/>
      <c r="T47" s="4">
        <v>15</v>
      </c>
      <c r="U47" s="4">
        <v>10</v>
      </c>
      <c r="V47" s="4">
        <v>6</v>
      </c>
    </row>
    <row r="48" spans="1:22" x14ac:dyDescent="0.3">
      <c r="A48" s="133" t="s">
        <v>347</v>
      </c>
      <c r="B48" s="60">
        <v>7</v>
      </c>
      <c r="C48" s="60">
        <v>897</v>
      </c>
      <c r="D48" s="60">
        <v>85</v>
      </c>
      <c r="E48" s="60">
        <v>83</v>
      </c>
      <c r="F48" s="60">
        <v>23</v>
      </c>
      <c r="G48" s="60">
        <v>23</v>
      </c>
      <c r="H48" s="60">
        <v>23</v>
      </c>
      <c r="I48" s="60">
        <v>23</v>
      </c>
      <c r="J48" s="119">
        <v>2092</v>
      </c>
      <c r="K48" s="119">
        <v>2092</v>
      </c>
      <c r="L48" s="119">
        <v>2092</v>
      </c>
      <c r="M48" s="119">
        <v>2092</v>
      </c>
      <c r="N48" s="119">
        <v>25</v>
      </c>
      <c r="O48" s="119">
        <v>25</v>
      </c>
      <c r="P48" s="119">
        <v>16</v>
      </c>
      <c r="Q48" s="119">
        <v>25</v>
      </c>
      <c r="R48" s="60"/>
      <c r="S48" s="60"/>
      <c r="T48" s="4">
        <v>15</v>
      </c>
      <c r="U48" s="4">
        <v>10</v>
      </c>
      <c r="V48" s="4">
        <v>6</v>
      </c>
    </row>
    <row r="49" spans="1:22" x14ac:dyDescent="0.3">
      <c r="A49" s="133" t="s">
        <v>347</v>
      </c>
      <c r="B49" s="60">
        <v>6</v>
      </c>
      <c r="C49" s="60">
        <v>896</v>
      </c>
      <c r="D49" s="60">
        <v>85</v>
      </c>
      <c r="E49" s="60">
        <v>83</v>
      </c>
      <c r="F49" s="60">
        <v>25</v>
      </c>
      <c r="G49" s="60">
        <v>25</v>
      </c>
      <c r="H49" s="60">
        <v>22</v>
      </c>
      <c r="I49" s="60">
        <v>22</v>
      </c>
      <c r="J49" s="119">
        <v>2092</v>
      </c>
      <c r="K49" s="119">
        <v>2092</v>
      </c>
      <c r="L49" s="119">
        <v>2092</v>
      </c>
      <c r="M49" s="119">
        <v>2092</v>
      </c>
      <c r="N49" s="119">
        <v>21</v>
      </c>
      <c r="O49" s="119">
        <v>21</v>
      </c>
      <c r="P49" s="119">
        <v>16</v>
      </c>
      <c r="Q49" s="119">
        <v>25</v>
      </c>
      <c r="R49" s="60"/>
      <c r="S49" s="60"/>
      <c r="T49" s="4">
        <v>15</v>
      </c>
      <c r="U49" s="4">
        <v>10</v>
      </c>
      <c r="V49" s="4">
        <v>6</v>
      </c>
    </row>
    <row r="50" spans="1:22" x14ac:dyDescent="0.3">
      <c r="A50" s="133" t="s">
        <v>347</v>
      </c>
      <c r="B50" s="60">
        <v>5</v>
      </c>
      <c r="C50" s="60">
        <v>897</v>
      </c>
      <c r="D50" s="60">
        <v>85</v>
      </c>
      <c r="E50" s="60">
        <v>83</v>
      </c>
      <c r="F50" s="60">
        <v>24</v>
      </c>
      <c r="G50" s="60">
        <v>24</v>
      </c>
      <c r="H50" s="60">
        <v>22</v>
      </c>
      <c r="I50" s="60">
        <v>22</v>
      </c>
      <c r="J50" s="119">
        <v>2098</v>
      </c>
      <c r="K50" s="119">
        <v>2098</v>
      </c>
      <c r="L50" s="119">
        <v>2092</v>
      </c>
      <c r="M50" s="119">
        <v>2092</v>
      </c>
      <c r="N50" s="119">
        <v>23</v>
      </c>
      <c r="O50" s="119">
        <v>23</v>
      </c>
      <c r="P50" s="119">
        <v>16</v>
      </c>
      <c r="Q50" s="119">
        <v>25</v>
      </c>
      <c r="R50" s="60"/>
      <c r="S50" s="60"/>
      <c r="T50" s="4">
        <v>15</v>
      </c>
      <c r="U50" s="4">
        <v>10</v>
      </c>
      <c r="V50" s="4">
        <v>6</v>
      </c>
    </row>
    <row r="51" spans="1:22" x14ac:dyDescent="0.3">
      <c r="A51" s="133" t="s">
        <v>347</v>
      </c>
      <c r="B51" s="60">
        <v>4</v>
      </c>
      <c r="C51" s="60">
        <v>897</v>
      </c>
      <c r="D51" s="60">
        <v>85</v>
      </c>
      <c r="E51" s="60">
        <v>83</v>
      </c>
      <c r="F51" s="60">
        <v>22</v>
      </c>
      <c r="G51" s="60">
        <v>22</v>
      </c>
      <c r="H51" s="60">
        <v>22</v>
      </c>
      <c r="I51" s="60">
        <v>22</v>
      </c>
      <c r="J51" s="119">
        <v>2092</v>
      </c>
      <c r="K51" s="119">
        <v>2092</v>
      </c>
      <c r="L51" s="119">
        <v>2092</v>
      </c>
      <c r="M51" s="119">
        <v>2092</v>
      </c>
      <c r="N51" s="119">
        <v>27</v>
      </c>
      <c r="O51" s="119">
        <v>27</v>
      </c>
      <c r="P51" s="119">
        <v>16</v>
      </c>
      <c r="Q51" s="119">
        <v>25</v>
      </c>
      <c r="R51" s="60"/>
      <c r="S51" s="60"/>
      <c r="T51" s="4">
        <v>15</v>
      </c>
      <c r="U51" s="4">
        <v>10</v>
      </c>
      <c r="V51" s="4">
        <v>6</v>
      </c>
    </row>
    <row r="52" spans="1:22" x14ac:dyDescent="0.3">
      <c r="A52" s="133" t="s">
        <v>347</v>
      </c>
      <c r="B52" s="60">
        <v>3</v>
      </c>
      <c r="C52" s="60">
        <v>897</v>
      </c>
      <c r="D52" s="60">
        <v>85</v>
      </c>
      <c r="E52" s="60">
        <v>83</v>
      </c>
      <c r="F52" s="60">
        <v>23</v>
      </c>
      <c r="G52" s="60">
        <v>23</v>
      </c>
      <c r="H52" s="60">
        <v>21</v>
      </c>
      <c r="I52" s="60">
        <v>21</v>
      </c>
      <c r="J52" s="119">
        <v>2098</v>
      </c>
      <c r="K52" s="119">
        <v>2098</v>
      </c>
      <c r="L52" s="119">
        <v>2092</v>
      </c>
      <c r="M52" s="119">
        <v>2092</v>
      </c>
      <c r="N52" s="119">
        <v>25</v>
      </c>
      <c r="O52" s="119">
        <v>25</v>
      </c>
      <c r="P52" s="119">
        <v>16</v>
      </c>
      <c r="Q52" s="119">
        <v>25</v>
      </c>
      <c r="R52" s="60"/>
      <c r="S52" s="60"/>
      <c r="T52" s="4">
        <v>15</v>
      </c>
      <c r="U52" s="4">
        <v>10</v>
      </c>
      <c r="V52" s="4">
        <v>6</v>
      </c>
    </row>
    <row r="53" spans="1:22" x14ac:dyDescent="0.3">
      <c r="A53" s="133" t="s">
        <v>347</v>
      </c>
      <c r="B53" s="60">
        <v>2</v>
      </c>
      <c r="C53" s="60">
        <v>897</v>
      </c>
      <c r="D53" s="60">
        <v>85</v>
      </c>
      <c r="E53" s="60">
        <v>83</v>
      </c>
      <c r="F53" s="60">
        <v>23</v>
      </c>
      <c r="G53" s="60">
        <v>23</v>
      </c>
      <c r="H53" s="60">
        <v>21</v>
      </c>
      <c r="I53" s="60">
        <v>21</v>
      </c>
      <c r="J53" s="119">
        <v>2092</v>
      </c>
      <c r="K53" s="119">
        <v>2092</v>
      </c>
      <c r="L53" s="119">
        <v>2092</v>
      </c>
      <c r="M53" s="119">
        <v>2092</v>
      </c>
      <c r="N53" s="119">
        <v>25</v>
      </c>
      <c r="O53" s="119">
        <v>25</v>
      </c>
      <c r="P53" s="119">
        <v>16</v>
      </c>
      <c r="Q53" s="119">
        <v>25</v>
      </c>
      <c r="R53" s="60"/>
      <c r="S53" s="60"/>
      <c r="T53" s="4">
        <v>15</v>
      </c>
      <c r="U53" s="4">
        <v>10</v>
      </c>
      <c r="V53" s="4">
        <v>6</v>
      </c>
    </row>
    <row r="54" spans="1:22" x14ac:dyDescent="0.3">
      <c r="A54" s="133" t="s">
        <v>348</v>
      </c>
      <c r="B54" s="60">
        <v>17</v>
      </c>
      <c r="C54" s="60">
        <v>898</v>
      </c>
      <c r="D54" s="60">
        <v>85</v>
      </c>
      <c r="E54" s="60">
        <v>83</v>
      </c>
      <c r="F54" s="60">
        <v>22</v>
      </c>
      <c r="G54" s="60">
        <v>22</v>
      </c>
      <c r="H54" s="60">
        <v>20</v>
      </c>
      <c r="I54" s="60">
        <v>20</v>
      </c>
      <c r="J54" s="119">
        <v>2098</v>
      </c>
      <c r="K54" s="119">
        <v>2098</v>
      </c>
      <c r="L54" s="119">
        <v>2098</v>
      </c>
      <c r="M54" s="119">
        <v>2098</v>
      </c>
      <c r="N54" s="119">
        <v>21</v>
      </c>
      <c r="O54" s="119">
        <v>21</v>
      </c>
      <c r="P54" s="119">
        <v>16</v>
      </c>
      <c r="Q54" s="119">
        <v>25</v>
      </c>
      <c r="R54" s="60"/>
      <c r="S54" s="60"/>
      <c r="T54" s="4">
        <v>15</v>
      </c>
      <c r="U54" s="4">
        <v>10</v>
      </c>
      <c r="V54" s="4">
        <v>6</v>
      </c>
    </row>
    <row r="55" spans="1:22" x14ac:dyDescent="0.3">
      <c r="A55" s="133" t="s">
        <v>348</v>
      </c>
      <c r="B55" s="60">
        <v>16</v>
      </c>
      <c r="C55" s="60">
        <v>898</v>
      </c>
      <c r="D55" s="60">
        <v>85</v>
      </c>
      <c r="E55" s="60">
        <v>83</v>
      </c>
      <c r="F55" s="60">
        <v>21</v>
      </c>
      <c r="G55" s="60">
        <v>21</v>
      </c>
      <c r="H55" s="60">
        <v>24</v>
      </c>
      <c r="I55" s="60">
        <v>24</v>
      </c>
      <c r="J55" s="119">
        <v>2098</v>
      </c>
      <c r="K55" s="119">
        <v>2098</v>
      </c>
      <c r="L55" s="119">
        <v>2098</v>
      </c>
      <c r="M55" s="119">
        <v>2098</v>
      </c>
      <c r="N55" s="119">
        <v>26</v>
      </c>
      <c r="O55" s="119">
        <v>26</v>
      </c>
      <c r="P55" s="119">
        <v>16</v>
      </c>
      <c r="Q55" s="119">
        <v>25</v>
      </c>
      <c r="R55" s="60"/>
      <c r="S55" s="60"/>
      <c r="T55" s="4">
        <v>15</v>
      </c>
      <c r="U55" s="4">
        <v>10</v>
      </c>
      <c r="V55" s="4">
        <v>6</v>
      </c>
    </row>
    <row r="56" spans="1:22" x14ac:dyDescent="0.3">
      <c r="A56" s="133" t="s">
        <v>348</v>
      </c>
      <c r="B56" s="60">
        <v>15</v>
      </c>
      <c r="C56" s="60">
        <v>898</v>
      </c>
      <c r="D56" s="60">
        <v>85</v>
      </c>
      <c r="E56" s="60">
        <v>83</v>
      </c>
      <c r="F56" s="60">
        <v>24</v>
      </c>
      <c r="G56" s="60">
        <v>24</v>
      </c>
      <c r="H56" s="60">
        <v>22</v>
      </c>
      <c r="I56" s="60">
        <v>22</v>
      </c>
      <c r="J56" s="119">
        <v>2092</v>
      </c>
      <c r="K56" s="119">
        <v>2092</v>
      </c>
      <c r="L56" s="119">
        <v>2092</v>
      </c>
      <c r="M56" s="119">
        <v>2092</v>
      </c>
      <c r="N56" s="119">
        <v>14</v>
      </c>
      <c r="O56" s="119">
        <v>14</v>
      </c>
      <c r="P56" s="119">
        <v>16</v>
      </c>
      <c r="Q56" s="119">
        <v>25</v>
      </c>
      <c r="R56" s="60"/>
      <c r="S56" s="60"/>
      <c r="T56" s="4">
        <v>15</v>
      </c>
      <c r="U56" s="4">
        <v>10</v>
      </c>
      <c r="V56" s="4">
        <v>6</v>
      </c>
    </row>
    <row r="57" spans="1:22" x14ac:dyDescent="0.3">
      <c r="A57" s="133" t="s">
        <v>348</v>
      </c>
      <c r="B57" s="60">
        <v>14</v>
      </c>
      <c r="C57" s="60">
        <v>897</v>
      </c>
      <c r="D57" s="60">
        <v>85</v>
      </c>
      <c r="E57" s="60">
        <v>83</v>
      </c>
      <c r="F57" s="60">
        <v>21</v>
      </c>
      <c r="G57" s="60">
        <v>21</v>
      </c>
      <c r="H57" s="60">
        <v>22</v>
      </c>
      <c r="I57" s="60">
        <v>22</v>
      </c>
      <c r="J57" s="119">
        <v>2098</v>
      </c>
      <c r="K57" s="119">
        <v>2098</v>
      </c>
      <c r="L57" s="119">
        <v>2098</v>
      </c>
      <c r="M57" s="119">
        <v>2098</v>
      </c>
      <c r="N57" s="119">
        <v>17</v>
      </c>
      <c r="O57" s="119">
        <v>17</v>
      </c>
      <c r="P57" s="119">
        <v>16</v>
      </c>
      <c r="Q57" s="119">
        <v>25</v>
      </c>
      <c r="R57" s="60"/>
      <c r="S57" s="60"/>
      <c r="T57" s="4">
        <v>15</v>
      </c>
      <c r="U57" s="4">
        <v>10</v>
      </c>
      <c r="V57" s="4">
        <v>6</v>
      </c>
    </row>
    <row r="58" spans="1:22" x14ac:dyDescent="0.3">
      <c r="A58" s="133" t="s">
        <v>348</v>
      </c>
      <c r="B58" s="60">
        <v>13</v>
      </c>
      <c r="C58" s="60">
        <v>897</v>
      </c>
      <c r="D58" s="60">
        <v>85</v>
      </c>
      <c r="E58" s="60">
        <v>83</v>
      </c>
      <c r="F58" s="60">
        <v>27</v>
      </c>
      <c r="G58" s="60">
        <v>27</v>
      </c>
      <c r="H58" s="60">
        <v>26</v>
      </c>
      <c r="I58" s="60">
        <v>26</v>
      </c>
      <c r="J58" s="119">
        <v>2098</v>
      </c>
      <c r="K58" s="119">
        <v>2098</v>
      </c>
      <c r="L58" s="119">
        <v>2098</v>
      </c>
      <c r="M58" s="119">
        <v>2098</v>
      </c>
      <c r="N58" s="119">
        <v>26</v>
      </c>
      <c r="O58" s="119">
        <v>26</v>
      </c>
      <c r="P58" s="119">
        <v>16</v>
      </c>
      <c r="Q58" s="119">
        <v>25</v>
      </c>
      <c r="R58" s="60"/>
      <c r="S58" s="60"/>
      <c r="T58" s="4">
        <v>15</v>
      </c>
      <c r="U58" s="4">
        <v>10</v>
      </c>
      <c r="V58" s="4">
        <v>6</v>
      </c>
    </row>
    <row r="59" spans="1:22" x14ac:dyDescent="0.3">
      <c r="A59" s="133" t="s">
        <v>348</v>
      </c>
      <c r="B59" s="60">
        <v>12</v>
      </c>
      <c r="C59" s="60">
        <v>898</v>
      </c>
      <c r="D59" s="60">
        <v>85</v>
      </c>
      <c r="E59" s="60">
        <v>83</v>
      </c>
      <c r="F59" s="60">
        <v>23</v>
      </c>
      <c r="G59" s="60">
        <v>23</v>
      </c>
      <c r="H59" s="60">
        <v>21</v>
      </c>
      <c r="I59" s="60">
        <v>21</v>
      </c>
      <c r="J59" s="119">
        <v>2098</v>
      </c>
      <c r="K59" s="119">
        <v>2098</v>
      </c>
      <c r="L59" s="119">
        <v>2098</v>
      </c>
      <c r="M59" s="119">
        <v>2098</v>
      </c>
      <c r="N59" s="119">
        <v>17</v>
      </c>
      <c r="O59" s="119">
        <v>17</v>
      </c>
      <c r="P59" s="119">
        <v>16</v>
      </c>
      <c r="Q59" s="119">
        <v>25</v>
      </c>
      <c r="R59" s="60"/>
      <c r="S59" s="60"/>
      <c r="T59" s="4">
        <v>15</v>
      </c>
      <c r="U59" s="4">
        <v>10</v>
      </c>
      <c r="V59" s="4">
        <v>6</v>
      </c>
    </row>
    <row r="60" spans="1:22" x14ac:dyDescent="0.3">
      <c r="A60" s="133" t="s">
        <v>348</v>
      </c>
      <c r="B60" s="60">
        <v>11</v>
      </c>
      <c r="C60" s="60">
        <v>897</v>
      </c>
      <c r="D60" s="60">
        <v>85</v>
      </c>
      <c r="E60" s="60">
        <v>83</v>
      </c>
      <c r="F60" s="60">
        <v>25</v>
      </c>
      <c r="G60" s="60">
        <v>25</v>
      </c>
      <c r="H60" s="60">
        <v>26</v>
      </c>
      <c r="I60" s="60">
        <v>26</v>
      </c>
      <c r="J60" s="119">
        <v>2092</v>
      </c>
      <c r="K60" s="119">
        <v>2092</v>
      </c>
      <c r="L60" s="119">
        <v>2092</v>
      </c>
      <c r="M60" s="119">
        <v>2092</v>
      </c>
      <c r="N60" s="119">
        <v>21</v>
      </c>
      <c r="O60" s="119">
        <v>21</v>
      </c>
      <c r="P60" s="119">
        <v>16</v>
      </c>
      <c r="Q60" s="119">
        <v>25</v>
      </c>
      <c r="R60" s="60"/>
      <c r="S60" s="60"/>
      <c r="T60" s="4">
        <v>15</v>
      </c>
      <c r="U60" s="4">
        <v>10</v>
      </c>
      <c r="V60" s="4">
        <v>6</v>
      </c>
    </row>
    <row r="61" spans="1:22" x14ac:dyDescent="0.3">
      <c r="A61" s="133" t="s">
        <v>348</v>
      </c>
      <c r="B61" s="60">
        <v>10</v>
      </c>
      <c r="C61" s="60">
        <v>897</v>
      </c>
      <c r="D61" s="60">
        <v>85</v>
      </c>
      <c r="E61" s="60">
        <v>83</v>
      </c>
      <c r="F61" s="60">
        <v>23</v>
      </c>
      <c r="G61" s="60">
        <v>23</v>
      </c>
      <c r="H61" s="60">
        <v>22</v>
      </c>
      <c r="I61" s="60">
        <v>22</v>
      </c>
      <c r="J61" s="119">
        <v>2092</v>
      </c>
      <c r="K61" s="119">
        <v>2092</v>
      </c>
      <c r="L61" s="119">
        <v>2098</v>
      </c>
      <c r="M61" s="119">
        <v>2098</v>
      </c>
      <c r="N61" s="119">
        <v>20</v>
      </c>
      <c r="O61" s="119">
        <v>20</v>
      </c>
      <c r="P61" s="119">
        <v>16</v>
      </c>
      <c r="Q61" s="119">
        <v>25</v>
      </c>
      <c r="R61" s="60"/>
      <c r="S61" s="60"/>
      <c r="T61" s="4">
        <v>15</v>
      </c>
      <c r="U61" s="4">
        <v>10</v>
      </c>
      <c r="V61" s="4">
        <v>6</v>
      </c>
    </row>
    <row r="62" spans="1:22" x14ac:dyDescent="0.3">
      <c r="A62" s="133" t="s">
        <v>348</v>
      </c>
      <c r="B62" s="60">
        <v>9</v>
      </c>
      <c r="C62" s="60">
        <v>897</v>
      </c>
      <c r="D62" s="60">
        <v>85</v>
      </c>
      <c r="E62" s="60">
        <v>83</v>
      </c>
      <c r="F62" s="60">
        <v>23</v>
      </c>
      <c r="G62" s="60">
        <v>23</v>
      </c>
      <c r="H62" s="60">
        <v>20</v>
      </c>
      <c r="I62" s="60">
        <v>20</v>
      </c>
      <c r="J62" s="119">
        <v>2098</v>
      </c>
      <c r="K62" s="119">
        <v>2098</v>
      </c>
      <c r="L62" s="119">
        <v>2092</v>
      </c>
      <c r="M62" s="119">
        <v>2092</v>
      </c>
      <c r="N62" s="119">
        <v>15</v>
      </c>
      <c r="O62" s="119">
        <v>15</v>
      </c>
      <c r="P62" s="119">
        <v>16</v>
      </c>
      <c r="Q62" s="119">
        <v>25</v>
      </c>
      <c r="R62" s="60"/>
      <c r="S62" s="60"/>
      <c r="T62" s="4">
        <v>15</v>
      </c>
      <c r="U62" s="4">
        <v>10</v>
      </c>
      <c r="V62" s="4">
        <v>6</v>
      </c>
    </row>
    <row r="63" spans="1:22" x14ac:dyDescent="0.3">
      <c r="A63" s="133" t="s">
        <v>348</v>
      </c>
      <c r="B63" s="60">
        <v>8</v>
      </c>
      <c r="C63" s="60">
        <v>897</v>
      </c>
      <c r="D63" s="60">
        <v>85</v>
      </c>
      <c r="E63" s="60">
        <v>83</v>
      </c>
      <c r="F63" s="60">
        <v>19</v>
      </c>
      <c r="G63" s="60">
        <v>19</v>
      </c>
      <c r="H63" s="60">
        <v>20</v>
      </c>
      <c r="I63" s="60">
        <v>20</v>
      </c>
      <c r="J63" s="119">
        <v>2092</v>
      </c>
      <c r="K63" s="119">
        <v>2092</v>
      </c>
      <c r="L63" s="119">
        <v>2098</v>
      </c>
      <c r="M63" s="119">
        <v>2098</v>
      </c>
      <c r="N63" s="119">
        <v>14</v>
      </c>
      <c r="O63" s="119">
        <v>14</v>
      </c>
      <c r="P63" s="119">
        <v>16</v>
      </c>
      <c r="Q63" s="119">
        <v>25</v>
      </c>
      <c r="R63" s="60"/>
      <c r="S63" s="60"/>
      <c r="T63" s="4">
        <v>15</v>
      </c>
      <c r="U63" s="4">
        <v>10</v>
      </c>
      <c r="V63" s="4">
        <v>6</v>
      </c>
    </row>
    <row r="64" spans="1:22" x14ac:dyDescent="0.3">
      <c r="A64" s="133" t="s">
        <v>348</v>
      </c>
      <c r="B64" s="60">
        <v>7</v>
      </c>
      <c r="C64" s="60">
        <v>897</v>
      </c>
      <c r="D64" s="60">
        <v>85</v>
      </c>
      <c r="E64" s="60">
        <v>83</v>
      </c>
      <c r="F64" s="60">
        <v>23</v>
      </c>
      <c r="G64" s="60">
        <v>23</v>
      </c>
      <c r="H64" s="60">
        <v>19</v>
      </c>
      <c r="I64" s="60">
        <v>19</v>
      </c>
      <c r="J64" s="119">
        <v>2092</v>
      </c>
      <c r="K64" s="119">
        <v>2092</v>
      </c>
      <c r="L64" s="119">
        <v>2092</v>
      </c>
      <c r="M64" s="119">
        <v>2092</v>
      </c>
      <c r="N64" s="119">
        <v>27</v>
      </c>
      <c r="O64" s="119">
        <v>27</v>
      </c>
      <c r="P64" s="119">
        <v>16</v>
      </c>
      <c r="Q64" s="119">
        <v>25</v>
      </c>
      <c r="R64" s="60"/>
      <c r="S64" s="60"/>
      <c r="T64" s="4">
        <v>15</v>
      </c>
      <c r="U64" s="4">
        <v>10</v>
      </c>
      <c r="V64" s="4">
        <v>6</v>
      </c>
    </row>
    <row r="65" spans="1:22" x14ac:dyDescent="0.3">
      <c r="A65" s="133" t="s">
        <v>348</v>
      </c>
      <c r="B65" s="60">
        <v>6</v>
      </c>
      <c r="C65" s="60">
        <v>898</v>
      </c>
      <c r="D65" s="60">
        <v>85</v>
      </c>
      <c r="E65" s="60">
        <v>83</v>
      </c>
      <c r="F65" s="60">
        <v>15</v>
      </c>
      <c r="G65" s="60">
        <v>15</v>
      </c>
      <c r="H65" s="60">
        <v>15</v>
      </c>
      <c r="I65" s="60">
        <v>15</v>
      </c>
      <c r="J65" s="119">
        <v>2092</v>
      </c>
      <c r="K65" s="119">
        <v>2092</v>
      </c>
      <c r="L65" s="119">
        <v>2092</v>
      </c>
      <c r="M65" s="119">
        <v>2092</v>
      </c>
      <c r="N65" s="119">
        <v>15</v>
      </c>
      <c r="O65" s="119">
        <v>15</v>
      </c>
      <c r="P65" s="119">
        <v>16</v>
      </c>
      <c r="Q65" s="119">
        <v>25</v>
      </c>
      <c r="R65" s="60"/>
      <c r="S65" s="60"/>
      <c r="T65" s="4">
        <v>15</v>
      </c>
      <c r="U65" s="4">
        <v>10</v>
      </c>
      <c r="V65" s="4">
        <v>6</v>
      </c>
    </row>
    <row r="66" spans="1:22" x14ac:dyDescent="0.3">
      <c r="A66" s="133" t="s">
        <v>348</v>
      </c>
      <c r="B66" s="60">
        <v>5</v>
      </c>
      <c r="C66" s="60">
        <v>897</v>
      </c>
      <c r="D66" s="60">
        <v>85</v>
      </c>
      <c r="E66" s="60">
        <v>83</v>
      </c>
      <c r="F66" s="60">
        <v>13</v>
      </c>
      <c r="G66" s="60">
        <v>13</v>
      </c>
      <c r="H66" s="60">
        <v>13</v>
      </c>
      <c r="I66" s="60">
        <v>13</v>
      </c>
      <c r="J66" s="119">
        <v>2092</v>
      </c>
      <c r="K66" s="119">
        <v>2092</v>
      </c>
      <c r="L66" s="119">
        <v>2092</v>
      </c>
      <c r="M66" s="119">
        <v>2092</v>
      </c>
      <c r="N66" s="119">
        <v>16</v>
      </c>
      <c r="O66" s="119">
        <v>16</v>
      </c>
      <c r="P66" s="119">
        <v>16</v>
      </c>
      <c r="Q66" s="119">
        <v>25</v>
      </c>
      <c r="R66" s="60"/>
      <c r="S66" s="60"/>
      <c r="T66" s="4">
        <v>15</v>
      </c>
      <c r="U66" s="4">
        <v>10</v>
      </c>
      <c r="V66" s="4">
        <v>6</v>
      </c>
    </row>
    <row r="67" spans="1:22" x14ac:dyDescent="0.3">
      <c r="A67" s="133" t="s">
        <v>348</v>
      </c>
      <c r="B67" s="60">
        <v>4</v>
      </c>
      <c r="C67" s="60">
        <v>897</v>
      </c>
      <c r="D67" s="60">
        <v>85</v>
      </c>
      <c r="E67" s="60">
        <v>83</v>
      </c>
      <c r="F67" s="60">
        <v>16</v>
      </c>
      <c r="G67" s="60">
        <v>16</v>
      </c>
      <c r="H67" s="60">
        <v>16</v>
      </c>
      <c r="I67" s="60">
        <v>16</v>
      </c>
      <c r="J67" s="119">
        <v>2098</v>
      </c>
      <c r="K67" s="119">
        <v>2098</v>
      </c>
      <c r="L67" s="119">
        <v>2098</v>
      </c>
      <c r="M67" s="119">
        <v>2098</v>
      </c>
      <c r="N67" s="119">
        <v>11</v>
      </c>
      <c r="O67" s="119">
        <v>11</v>
      </c>
      <c r="P67" s="119">
        <v>16</v>
      </c>
      <c r="Q67" s="119">
        <v>25</v>
      </c>
      <c r="R67" s="60"/>
      <c r="S67" s="60"/>
      <c r="T67" s="4">
        <v>15</v>
      </c>
      <c r="U67" s="4">
        <v>10</v>
      </c>
      <c r="V67" s="4">
        <v>6</v>
      </c>
    </row>
    <row r="68" spans="1:22" x14ac:dyDescent="0.3">
      <c r="A68" s="133" t="s">
        <v>348</v>
      </c>
      <c r="B68" s="60">
        <v>3</v>
      </c>
      <c r="C68" s="60">
        <v>898</v>
      </c>
      <c r="D68" s="60">
        <v>85</v>
      </c>
      <c r="E68" s="60">
        <v>83</v>
      </c>
      <c r="F68" s="60">
        <v>17</v>
      </c>
      <c r="G68" s="60">
        <v>17</v>
      </c>
      <c r="H68" s="60">
        <v>16</v>
      </c>
      <c r="I68" s="60">
        <v>16</v>
      </c>
      <c r="J68" s="119">
        <v>2098</v>
      </c>
      <c r="K68" s="119">
        <v>2098</v>
      </c>
      <c r="L68" s="119">
        <v>2092</v>
      </c>
      <c r="M68" s="119">
        <v>2092</v>
      </c>
      <c r="N68" s="119">
        <v>18</v>
      </c>
      <c r="O68" s="119">
        <v>18</v>
      </c>
      <c r="P68" s="119">
        <v>16</v>
      </c>
      <c r="Q68" s="119">
        <v>25</v>
      </c>
      <c r="R68" s="60"/>
      <c r="S68" s="60"/>
      <c r="T68" s="4">
        <v>15</v>
      </c>
      <c r="U68" s="4">
        <v>10</v>
      </c>
      <c r="V68" s="4">
        <v>6</v>
      </c>
    </row>
    <row r="69" spans="1:22" x14ac:dyDescent="0.3">
      <c r="A69" s="133" t="s">
        <v>348</v>
      </c>
      <c r="B69" s="60">
        <v>2</v>
      </c>
      <c r="C69" s="60">
        <v>897</v>
      </c>
      <c r="D69" s="60">
        <v>85</v>
      </c>
      <c r="E69" s="60">
        <v>83</v>
      </c>
      <c r="F69" s="60">
        <v>13</v>
      </c>
      <c r="G69" s="60">
        <v>13</v>
      </c>
      <c r="H69" s="60">
        <v>12</v>
      </c>
      <c r="I69" s="60">
        <v>12</v>
      </c>
      <c r="J69" s="119">
        <v>2092</v>
      </c>
      <c r="K69" s="119">
        <v>2092</v>
      </c>
      <c r="L69" s="119">
        <v>2092</v>
      </c>
      <c r="M69" s="119">
        <v>2092</v>
      </c>
      <c r="N69" s="119">
        <v>12</v>
      </c>
      <c r="O69" s="119">
        <v>12</v>
      </c>
      <c r="P69" s="119">
        <v>16</v>
      </c>
      <c r="Q69" s="119">
        <v>25</v>
      </c>
      <c r="R69" s="60"/>
      <c r="S69" s="60"/>
      <c r="T69" s="4">
        <v>15</v>
      </c>
      <c r="U69" s="4">
        <v>10</v>
      </c>
      <c r="V69" s="4">
        <v>6</v>
      </c>
    </row>
    <row r="70" spans="1:22" x14ac:dyDescent="0.3">
      <c r="A70" s="133" t="s">
        <v>349</v>
      </c>
      <c r="B70" s="60">
        <v>21</v>
      </c>
      <c r="C70" s="60">
        <v>898</v>
      </c>
      <c r="D70" s="60">
        <v>85</v>
      </c>
      <c r="E70" s="60">
        <v>83</v>
      </c>
      <c r="F70" s="60">
        <v>23</v>
      </c>
      <c r="G70" s="60">
        <v>23</v>
      </c>
      <c r="H70" s="60">
        <v>23</v>
      </c>
      <c r="I70" s="60">
        <v>23</v>
      </c>
      <c r="J70" s="119">
        <v>2092</v>
      </c>
      <c r="K70" s="119">
        <v>2092</v>
      </c>
      <c r="L70" s="119">
        <v>2092</v>
      </c>
      <c r="M70" s="119">
        <v>2092</v>
      </c>
      <c r="N70" s="119">
        <v>26</v>
      </c>
      <c r="O70" s="119">
        <v>26</v>
      </c>
      <c r="P70" s="119">
        <v>16</v>
      </c>
      <c r="Q70" s="119">
        <v>25</v>
      </c>
      <c r="R70" s="60"/>
      <c r="S70" s="60"/>
      <c r="T70" s="4">
        <v>15</v>
      </c>
      <c r="U70" s="4">
        <v>10</v>
      </c>
      <c r="V70" s="4">
        <v>6</v>
      </c>
    </row>
    <row r="71" spans="1:22" x14ac:dyDescent="0.3">
      <c r="A71" s="133" t="s">
        <v>349</v>
      </c>
      <c r="B71" s="60">
        <v>20</v>
      </c>
      <c r="C71" s="60">
        <v>897</v>
      </c>
      <c r="D71" s="60">
        <v>85</v>
      </c>
      <c r="E71" s="60">
        <v>83</v>
      </c>
      <c r="F71" s="60">
        <v>21</v>
      </c>
      <c r="G71" s="60">
        <v>21</v>
      </c>
      <c r="H71" s="60">
        <v>21</v>
      </c>
      <c r="I71" s="60">
        <v>21</v>
      </c>
      <c r="J71" s="119">
        <v>2092</v>
      </c>
      <c r="K71" s="119">
        <v>2092</v>
      </c>
      <c r="L71" s="119">
        <v>2092</v>
      </c>
      <c r="M71" s="119">
        <v>2092</v>
      </c>
      <c r="N71" s="119">
        <v>22</v>
      </c>
      <c r="O71" s="119">
        <v>22</v>
      </c>
      <c r="P71" s="119">
        <v>16</v>
      </c>
      <c r="Q71" s="119">
        <v>25</v>
      </c>
      <c r="R71" s="60"/>
      <c r="S71" s="60"/>
      <c r="T71" s="4">
        <v>15</v>
      </c>
      <c r="U71" s="4">
        <v>10</v>
      </c>
      <c r="V71" s="4">
        <v>6</v>
      </c>
    </row>
    <row r="72" spans="1:22" x14ac:dyDescent="0.3">
      <c r="A72" s="133" t="s">
        <v>349</v>
      </c>
      <c r="B72" s="60">
        <v>19</v>
      </c>
      <c r="C72" s="60">
        <v>898</v>
      </c>
      <c r="D72" s="60">
        <v>85</v>
      </c>
      <c r="E72" s="60">
        <v>83</v>
      </c>
      <c r="F72" s="60">
        <v>22</v>
      </c>
      <c r="G72" s="60">
        <v>22</v>
      </c>
      <c r="H72" s="60">
        <v>20</v>
      </c>
      <c r="I72" s="60">
        <v>20</v>
      </c>
      <c r="J72" s="119">
        <v>2092</v>
      </c>
      <c r="K72" s="119">
        <v>2092</v>
      </c>
      <c r="L72" s="119">
        <v>2092</v>
      </c>
      <c r="M72" s="119">
        <v>2092</v>
      </c>
      <c r="N72" s="119">
        <v>8</v>
      </c>
      <c r="O72" s="119">
        <v>8</v>
      </c>
      <c r="P72" s="119">
        <v>16</v>
      </c>
      <c r="Q72" s="119">
        <v>25</v>
      </c>
      <c r="R72" s="60"/>
      <c r="S72" s="60"/>
      <c r="T72" s="4">
        <v>15</v>
      </c>
      <c r="U72" s="4">
        <v>10</v>
      </c>
      <c r="V72" s="4">
        <v>6</v>
      </c>
    </row>
    <row r="73" spans="1:22" x14ac:dyDescent="0.3">
      <c r="A73" s="133" t="s">
        <v>349</v>
      </c>
      <c r="B73" s="60">
        <v>18</v>
      </c>
      <c r="C73" s="60">
        <v>897</v>
      </c>
      <c r="D73" s="60">
        <v>85</v>
      </c>
      <c r="E73" s="60">
        <v>83</v>
      </c>
      <c r="F73" s="60">
        <v>17</v>
      </c>
      <c r="G73" s="60">
        <v>17</v>
      </c>
      <c r="H73" s="60">
        <v>20</v>
      </c>
      <c r="I73" s="60">
        <v>20</v>
      </c>
      <c r="J73" s="119">
        <v>2092</v>
      </c>
      <c r="K73" s="119">
        <v>2092</v>
      </c>
      <c r="L73" s="119">
        <v>2092</v>
      </c>
      <c r="M73" s="119">
        <v>2092</v>
      </c>
      <c r="N73" s="119">
        <v>15</v>
      </c>
      <c r="O73" s="119">
        <v>15</v>
      </c>
      <c r="P73" s="119">
        <v>16</v>
      </c>
      <c r="Q73" s="119">
        <v>25</v>
      </c>
      <c r="R73" s="60"/>
      <c r="S73" s="60"/>
      <c r="T73" s="4">
        <v>15</v>
      </c>
      <c r="U73" s="4">
        <v>10</v>
      </c>
      <c r="V73" s="4">
        <v>6</v>
      </c>
    </row>
    <row r="74" spans="1:22" x14ac:dyDescent="0.3">
      <c r="A74" s="133" t="s">
        <v>349</v>
      </c>
      <c r="B74" s="60">
        <v>17</v>
      </c>
      <c r="C74" s="60">
        <v>897</v>
      </c>
      <c r="D74" s="60">
        <v>85</v>
      </c>
      <c r="E74" s="60">
        <v>83</v>
      </c>
      <c r="F74" s="60">
        <v>22</v>
      </c>
      <c r="G74" s="60">
        <v>22</v>
      </c>
      <c r="H74" s="60">
        <v>20</v>
      </c>
      <c r="I74" s="60">
        <v>20</v>
      </c>
      <c r="J74" s="119">
        <v>2092</v>
      </c>
      <c r="K74" s="119">
        <v>2092</v>
      </c>
      <c r="L74" s="119">
        <v>2092</v>
      </c>
      <c r="M74" s="119">
        <v>2092</v>
      </c>
      <c r="N74" s="119">
        <v>15</v>
      </c>
      <c r="O74" s="119">
        <v>15</v>
      </c>
      <c r="P74" s="119">
        <v>16</v>
      </c>
      <c r="Q74" s="119">
        <v>25</v>
      </c>
      <c r="R74" s="60"/>
      <c r="S74" s="60"/>
      <c r="T74" s="4">
        <v>15</v>
      </c>
      <c r="U74" s="4">
        <v>10</v>
      </c>
      <c r="V74" s="4">
        <v>6</v>
      </c>
    </row>
    <row r="75" spans="1:22" x14ac:dyDescent="0.3">
      <c r="A75" s="133" t="s">
        <v>349</v>
      </c>
      <c r="B75" s="60">
        <v>16</v>
      </c>
      <c r="C75" s="60">
        <v>897</v>
      </c>
      <c r="D75" s="60">
        <v>85</v>
      </c>
      <c r="E75" s="60">
        <v>83</v>
      </c>
      <c r="F75" s="60">
        <v>22</v>
      </c>
      <c r="G75" s="60">
        <v>22</v>
      </c>
      <c r="H75" s="60">
        <v>22</v>
      </c>
      <c r="I75" s="60">
        <v>22</v>
      </c>
      <c r="J75" s="119">
        <v>2092</v>
      </c>
      <c r="K75" s="119">
        <v>2092</v>
      </c>
      <c r="L75" s="119">
        <v>2092</v>
      </c>
      <c r="M75" s="119">
        <v>2092</v>
      </c>
      <c r="N75" s="119">
        <v>9</v>
      </c>
      <c r="O75" s="119">
        <v>9</v>
      </c>
      <c r="P75" s="119">
        <v>16</v>
      </c>
      <c r="Q75" s="119">
        <v>25</v>
      </c>
      <c r="R75" s="60"/>
      <c r="S75" s="60"/>
      <c r="T75" s="4">
        <v>15</v>
      </c>
      <c r="U75" s="4">
        <v>10</v>
      </c>
      <c r="V75" s="4">
        <v>6</v>
      </c>
    </row>
    <row r="76" spans="1:22" x14ac:dyDescent="0.3">
      <c r="A76" s="133" t="s">
        <v>349</v>
      </c>
      <c r="B76" s="60">
        <v>15</v>
      </c>
      <c r="C76" s="60">
        <v>897</v>
      </c>
      <c r="D76" s="60">
        <v>85</v>
      </c>
      <c r="E76" s="60">
        <v>83</v>
      </c>
      <c r="F76" s="60">
        <v>21</v>
      </c>
      <c r="G76" s="60">
        <v>21</v>
      </c>
      <c r="H76" s="60">
        <v>19</v>
      </c>
      <c r="I76" s="60">
        <v>19</v>
      </c>
      <c r="J76" s="119">
        <v>2092</v>
      </c>
      <c r="K76" s="119">
        <v>2092</v>
      </c>
      <c r="L76" s="119">
        <v>2092</v>
      </c>
      <c r="M76" s="119">
        <v>2092</v>
      </c>
      <c r="N76" s="119">
        <v>14</v>
      </c>
      <c r="O76" s="119">
        <v>14</v>
      </c>
      <c r="P76" s="119">
        <v>16</v>
      </c>
      <c r="Q76" s="119">
        <v>25</v>
      </c>
      <c r="R76" s="60"/>
      <c r="S76" s="60"/>
      <c r="T76" s="4">
        <v>15</v>
      </c>
      <c r="U76" s="4">
        <v>10</v>
      </c>
      <c r="V76" s="4">
        <v>6</v>
      </c>
    </row>
    <row r="77" spans="1:22" x14ac:dyDescent="0.3">
      <c r="A77" s="133" t="s">
        <v>349</v>
      </c>
      <c r="B77" s="60">
        <v>14</v>
      </c>
      <c r="C77" s="60">
        <v>898</v>
      </c>
      <c r="D77" s="60">
        <v>85</v>
      </c>
      <c r="E77" s="60">
        <v>83</v>
      </c>
      <c r="F77" s="60">
        <v>20</v>
      </c>
      <c r="G77" s="60">
        <v>20</v>
      </c>
      <c r="H77" s="60">
        <v>20</v>
      </c>
      <c r="I77" s="60">
        <v>20</v>
      </c>
      <c r="J77" s="119">
        <v>2092</v>
      </c>
      <c r="K77" s="119">
        <v>2092</v>
      </c>
      <c r="L77" s="119">
        <v>2092</v>
      </c>
      <c r="M77" s="119">
        <v>2092</v>
      </c>
      <c r="N77" s="119">
        <v>15</v>
      </c>
      <c r="O77" s="119">
        <v>15</v>
      </c>
      <c r="P77" s="119">
        <v>16</v>
      </c>
      <c r="Q77" s="119">
        <v>25</v>
      </c>
      <c r="R77" s="60"/>
      <c r="S77" s="60"/>
      <c r="T77" s="4">
        <v>15</v>
      </c>
      <c r="U77" s="4">
        <v>10</v>
      </c>
      <c r="V77" s="4">
        <v>6</v>
      </c>
    </row>
    <row r="78" spans="1:22" x14ac:dyDescent="0.3">
      <c r="A78" s="133" t="s">
        <v>349</v>
      </c>
      <c r="B78" s="60">
        <v>13</v>
      </c>
      <c r="C78" s="60">
        <v>897</v>
      </c>
      <c r="D78" s="60">
        <v>85</v>
      </c>
      <c r="E78" s="60">
        <v>83</v>
      </c>
      <c r="F78" s="60">
        <v>20</v>
      </c>
      <c r="G78" s="60">
        <v>20</v>
      </c>
      <c r="H78" s="60">
        <v>20</v>
      </c>
      <c r="I78" s="60">
        <v>20</v>
      </c>
      <c r="J78" s="119">
        <v>2092</v>
      </c>
      <c r="K78" s="119">
        <v>2092</v>
      </c>
      <c r="L78" s="119">
        <v>2098</v>
      </c>
      <c r="M78" s="119">
        <v>2098</v>
      </c>
      <c r="N78" s="119">
        <v>12</v>
      </c>
      <c r="O78" s="119">
        <v>12</v>
      </c>
      <c r="P78" s="119">
        <v>16</v>
      </c>
      <c r="Q78" s="119">
        <v>25</v>
      </c>
      <c r="R78" s="60"/>
      <c r="S78" s="60"/>
      <c r="T78" s="4">
        <v>15</v>
      </c>
      <c r="U78" s="4">
        <v>10</v>
      </c>
      <c r="V78" s="4">
        <v>6</v>
      </c>
    </row>
    <row r="79" spans="1:22" x14ac:dyDescent="0.3">
      <c r="A79" s="133" t="s">
        <v>349</v>
      </c>
      <c r="B79" s="60">
        <v>12</v>
      </c>
      <c r="C79" s="60">
        <v>897</v>
      </c>
      <c r="D79" s="60">
        <v>85</v>
      </c>
      <c r="E79" s="60">
        <v>83</v>
      </c>
      <c r="F79" s="60">
        <v>22</v>
      </c>
      <c r="G79" s="60">
        <v>22</v>
      </c>
      <c r="H79" s="60">
        <v>20</v>
      </c>
      <c r="I79" s="60">
        <v>20</v>
      </c>
      <c r="J79" s="119">
        <v>2092</v>
      </c>
      <c r="K79" s="119">
        <v>2092</v>
      </c>
      <c r="L79" s="119">
        <v>2092</v>
      </c>
      <c r="M79" s="119">
        <v>2092</v>
      </c>
      <c r="N79" s="119">
        <v>16</v>
      </c>
      <c r="O79" s="119">
        <v>16</v>
      </c>
      <c r="P79" s="119">
        <v>16</v>
      </c>
      <c r="Q79" s="119">
        <v>25</v>
      </c>
      <c r="R79" s="60"/>
      <c r="S79" s="60"/>
      <c r="T79" s="4">
        <v>15</v>
      </c>
      <c r="U79" s="4">
        <v>10</v>
      </c>
      <c r="V79" s="4">
        <v>6</v>
      </c>
    </row>
    <row r="80" spans="1:22" x14ac:dyDescent="0.3">
      <c r="A80" s="133" t="s">
        <v>349</v>
      </c>
      <c r="B80" s="60">
        <v>11</v>
      </c>
      <c r="C80" s="60">
        <v>897</v>
      </c>
      <c r="D80" s="60">
        <v>85</v>
      </c>
      <c r="E80" s="60">
        <v>83</v>
      </c>
      <c r="F80" s="60">
        <v>20</v>
      </c>
      <c r="G80" s="60">
        <v>20</v>
      </c>
      <c r="H80" s="60">
        <v>19</v>
      </c>
      <c r="I80" s="60">
        <v>19</v>
      </c>
      <c r="J80" s="119">
        <v>2092</v>
      </c>
      <c r="K80" s="119">
        <v>2092</v>
      </c>
      <c r="L80" s="119">
        <v>2092</v>
      </c>
      <c r="M80" s="119">
        <v>2092</v>
      </c>
      <c r="N80" s="119">
        <v>22</v>
      </c>
      <c r="O80" s="119">
        <v>22</v>
      </c>
      <c r="P80" s="119">
        <v>16</v>
      </c>
      <c r="Q80" s="119">
        <v>25</v>
      </c>
      <c r="R80" s="60"/>
      <c r="S80" s="60"/>
      <c r="T80" s="4">
        <v>15</v>
      </c>
      <c r="U80" s="4">
        <v>10</v>
      </c>
      <c r="V80" s="4">
        <v>6</v>
      </c>
    </row>
    <row r="81" spans="1:22" x14ac:dyDescent="0.3">
      <c r="A81" s="133" t="s">
        <v>349</v>
      </c>
      <c r="B81" s="60">
        <v>10</v>
      </c>
      <c r="C81" s="60">
        <v>897</v>
      </c>
      <c r="D81" s="60">
        <v>85</v>
      </c>
      <c r="E81" s="60">
        <v>83</v>
      </c>
      <c r="F81" s="60">
        <v>23</v>
      </c>
      <c r="G81" s="60">
        <v>23</v>
      </c>
      <c r="H81" s="60">
        <v>21</v>
      </c>
      <c r="I81" s="60">
        <v>21</v>
      </c>
      <c r="J81" s="119">
        <v>2092</v>
      </c>
      <c r="K81" s="119">
        <v>2092</v>
      </c>
      <c r="L81" s="119">
        <v>2092</v>
      </c>
      <c r="M81" s="119">
        <v>2092</v>
      </c>
      <c r="N81" s="119">
        <v>19</v>
      </c>
      <c r="O81" s="119">
        <v>19</v>
      </c>
      <c r="P81" s="119">
        <v>16</v>
      </c>
      <c r="Q81" s="119">
        <v>25</v>
      </c>
      <c r="R81" s="60"/>
      <c r="S81" s="60"/>
      <c r="T81" s="4">
        <v>15</v>
      </c>
      <c r="U81" s="4">
        <v>10</v>
      </c>
      <c r="V81" s="4">
        <v>6</v>
      </c>
    </row>
    <row r="82" spans="1:22" x14ac:dyDescent="0.3">
      <c r="A82" s="133" t="s">
        <v>349</v>
      </c>
      <c r="B82" s="60">
        <v>9</v>
      </c>
      <c r="C82" s="60">
        <v>898</v>
      </c>
      <c r="D82" s="60">
        <v>85</v>
      </c>
      <c r="E82" s="60">
        <v>83</v>
      </c>
      <c r="F82" s="60">
        <v>21</v>
      </c>
      <c r="G82" s="60">
        <v>21</v>
      </c>
      <c r="H82" s="60">
        <v>20</v>
      </c>
      <c r="I82" s="60">
        <v>20</v>
      </c>
      <c r="J82" s="119">
        <v>2092</v>
      </c>
      <c r="K82" s="119">
        <v>2092</v>
      </c>
      <c r="L82" s="119">
        <v>2092</v>
      </c>
      <c r="M82" s="119">
        <v>2092</v>
      </c>
      <c r="N82" s="119">
        <v>7</v>
      </c>
      <c r="O82" s="119">
        <v>7</v>
      </c>
      <c r="P82" s="119">
        <v>16</v>
      </c>
      <c r="Q82" s="119">
        <v>25</v>
      </c>
      <c r="R82" s="60"/>
      <c r="S82" s="60"/>
      <c r="T82" s="4">
        <v>15</v>
      </c>
      <c r="U82" s="4">
        <v>10</v>
      </c>
      <c r="V82" s="4">
        <v>6</v>
      </c>
    </row>
    <row r="83" spans="1:22" x14ac:dyDescent="0.3">
      <c r="A83" s="133" t="s">
        <v>349</v>
      </c>
      <c r="B83" s="60">
        <v>8</v>
      </c>
      <c r="C83" s="60">
        <v>897</v>
      </c>
      <c r="D83" s="60">
        <v>85</v>
      </c>
      <c r="E83" s="60">
        <v>83</v>
      </c>
      <c r="F83" s="60">
        <v>20</v>
      </c>
      <c r="G83" s="60">
        <v>20</v>
      </c>
      <c r="H83" s="60">
        <v>22</v>
      </c>
      <c r="I83" s="60">
        <v>22</v>
      </c>
      <c r="J83" s="119">
        <v>2092</v>
      </c>
      <c r="K83" s="119">
        <v>2092</v>
      </c>
      <c r="L83" s="119">
        <v>2092</v>
      </c>
      <c r="M83" s="119">
        <v>2092</v>
      </c>
      <c r="N83" s="119">
        <v>15</v>
      </c>
      <c r="O83" s="119">
        <v>15</v>
      </c>
      <c r="P83" s="119">
        <v>16</v>
      </c>
      <c r="Q83" s="119">
        <v>25</v>
      </c>
      <c r="R83" s="60"/>
      <c r="S83" s="60"/>
      <c r="T83" s="4">
        <v>15</v>
      </c>
      <c r="U83" s="4">
        <v>10</v>
      </c>
      <c r="V83" s="4">
        <v>6</v>
      </c>
    </row>
    <row r="84" spans="1:22" x14ac:dyDescent="0.3">
      <c r="A84" s="133" t="s">
        <v>349</v>
      </c>
      <c r="B84" s="60">
        <v>7</v>
      </c>
      <c r="C84" s="60">
        <v>897</v>
      </c>
      <c r="D84" s="60">
        <v>85</v>
      </c>
      <c r="E84" s="60">
        <v>83</v>
      </c>
      <c r="F84" s="60">
        <v>23</v>
      </c>
      <c r="G84" s="60">
        <v>23</v>
      </c>
      <c r="H84" s="60">
        <v>23</v>
      </c>
      <c r="I84" s="60">
        <v>23</v>
      </c>
      <c r="J84" s="119">
        <v>2092</v>
      </c>
      <c r="K84" s="119">
        <v>2092</v>
      </c>
      <c r="L84" s="119">
        <v>2092</v>
      </c>
      <c r="M84" s="119">
        <v>2092</v>
      </c>
      <c r="N84" s="119">
        <v>15</v>
      </c>
      <c r="O84" s="119">
        <v>15</v>
      </c>
      <c r="P84" s="119">
        <v>16</v>
      </c>
      <c r="Q84" s="119">
        <v>25</v>
      </c>
      <c r="R84" s="60"/>
      <c r="S84" s="60"/>
      <c r="T84" s="4">
        <v>15</v>
      </c>
      <c r="U84" s="4">
        <v>10</v>
      </c>
      <c r="V84" s="4">
        <v>6</v>
      </c>
    </row>
    <row r="85" spans="1:22" x14ac:dyDescent="0.3">
      <c r="A85" s="133" t="s">
        <v>349</v>
      </c>
      <c r="B85" s="60">
        <v>6</v>
      </c>
      <c r="C85" s="60">
        <v>898</v>
      </c>
      <c r="D85" s="60">
        <v>85</v>
      </c>
      <c r="E85" s="60">
        <v>83</v>
      </c>
      <c r="F85" s="60">
        <v>17</v>
      </c>
      <c r="G85" s="60">
        <v>17</v>
      </c>
      <c r="H85" s="60">
        <v>19</v>
      </c>
      <c r="I85" s="60">
        <v>19</v>
      </c>
      <c r="J85" s="119">
        <v>2098</v>
      </c>
      <c r="K85" s="119">
        <v>2098</v>
      </c>
      <c r="L85" s="119">
        <v>2092</v>
      </c>
      <c r="M85" s="119">
        <v>2092</v>
      </c>
      <c r="N85" s="119">
        <v>20</v>
      </c>
      <c r="O85" s="119">
        <v>20</v>
      </c>
      <c r="P85" s="119">
        <v>16</v>
      </c>
      <c r="Q85" s="119">
        <v>25</v>
      </c>
      <c r="R85" s="60"/>
      <c r="S85" s="60"/>
      <c r="T85" s="4">
        <v>15</v>
      </c>
      <c r="U85" s="4">
        <v>10</v>
      </c>
      <c r="V85" s="4">
        <v>6</v>
      </c>
    </row>
    <row r="86" spans="1:22" x14ac:dyDescent="0.3">
      <c r="A86" s="133" t="s">
        <v>349</v>
      </c>
      <c r="B86" s="60">
        <v>5</v>
      </c>
      <c r="C86" s="60">
        <v>898</v>
      </c>
      <c r="D86" s="60">
        <v>85</v>
      </c>
      <c r="E86" s="60">
        <v>83</v>
      </c>
      <c r="F86" s="60">
        <v>22</v>
      </c>
      <c r="G86" s="60">
        <v>22</v>
      </c>
      <c r="H86" s="60">
        <v>20</v>
      </c>
      <c r="I86" s="60">
        <v>20</v>
      </c>
      <c r="J86" s="119">
        <v>2092</v>
      </c>
      <c r="K86" s="119">
        <v>2092</v>
      </c>
      <c r="L86" s="119">
        <v>2092</v>
      </c>
      <c r="M86" s="119">
        <v>2092</v>
      </c>
      <c r="N86" s="119">
        <v>9</v>
      </c>
      <c r="O86" s="119">
        <v>9</v>
      </c>
      <c r="P86" s="119">
        <v>16</v>
      </c>
      <c r="Q86" s="119">
        <v>25</v>
      </c>
      <c r="R86" s="60"/>
      <c r="S86" s="60"/>
      <c r="T86" s="4">
        <v>15</v>
      </c>
      <c r="U86" s="4">
        <v>10</v>
      </c>
      <c r="V86" s="4">
        <v>6</v>
      </c>
    </row>
    <row r="87" spans="1:22" x14ac:dyDescent="0.3">
      <c r="A87" s="133" t="s">
        <v>349</v>
      </c>
      <c r="B87" s="60">
        <v>4</v>
      </c>
      <c r="C87" s="60">
        <v>897</v>
      </c>
      <c r="D87" s="60">
        <v>85</v>
      </c>
      <c r="E87" s="60">
        <v>83</v>
      </c>
      <c r="F87" s="60">
        <v>22</v>
      </c>
      <c r="G87" s="60">
        <v>22</v>
      </c>
      <c r="H87" s="60">
        <v>20</v>
      </c>
      <c r="I87" s="60">
        <v>20</v>
      </c>
      <c r="J87" s="119">
        <v>2092</v>
      </c>
      <c r="K87" s="119">
        <v>2092</v>
      </c>
      <c r="L87" s="119">
        <v>2092</v>
      </c>
      <c r="M87" s="119">
        <v>2092</v>
      </c>
      <c r="N87" s="119">
        <v>10</v>
      </c>
      <c r="O87" s="119">
        <v>10</v>
      </c>
      <c r="P87" s="119">
        <v>16</v>
      </c>
      <c r="Q87" s="119">
        <v>25</v>
      </c>
      <c r="R87" s="60"/>
      <c r="S87" s="60"/>
      <c r="T87" s="4">
        <v>15</v>
      </c>
      <c r="U87" s="4">
        <v>10</v>
      </c>
      <c r="V87" s="4">
        <v>6</v>
      </c>
    </row>
    <row r="88" spans="1:22" x14ac:dyDescent="0.3">
      <c r="A88" s="133" t="s">
        <v>349</v>
      </c>
      <c r="B88" s="60">
        <v>3</v>
      </c>
      <c r="C88" s="60">
        <v>897</v>
      </c>
      <c r="D88" s="60">
        <v>85</v>
      </c>
      <c r="E88" s="60">
        <v>83</v>
      </c>
      <c r="F88" s="60">
        <v>22</v>
      </c>
      <c r="G88" s="60">
        <v>22</v>
      </c>
      <c r="H88" s="60">
        <v>19</v>
      </c>
      <c r="I88" s="60">
        <v>19</v>
      </c>
      <c r="J88" s="119">
        <v>2092</v>
      </c>
      <c r="K88" s="119">
        <v>2092</v>
      </c>
      <c r="L88" s="119">
        <v>2092</v>
      </c>
      <c r="M88" s="119">
        <v>2092</v>
      </c>
      <c r="N88" s="119">
        <v>14</v>
      </c>
      <c r="O88" s="119">
        <v>14</v>
      </c>
      <c r="P88" s="119">
        <v>16</v>
      </c>
      <c r="Q88" s="119">
        <v>25</v>
      </c>
      <c r="R88" s="60"/>
      <c r="S88" s="60"/>
      <c r="T88" s="4">
        <v>15</v>
      </c>
      <c r="U88" s="4">
        <v>10</v>
      </c>
      <c r="V88" s="4">
        <v>6</v>
      </c>
    </row>
    <row r="89" spans="1:22" x14ac:dyDescent="0.3">
      <c r="A89" s="133" t="s">
        <v>349</v>
      </c>
      <c r="B89" s="60">
        <v>2</v>
      </c>
      <c r="C89" s="60">
        <v>898</v>
      </c>
      <c r="D89" s="60">
        <v>85</v>
      </c>
      <c r="E89" s="60">
        <v>83</v>
      </c>
      <c r="F89" s="60">
        <v>16</v>
      </c>
      <c r="G89" s="60">
        <v>16</v>
      </c>
      <c r="H89" s="60">
        <v>17</v>
      </c>
      <c r="I89" s="60">
        <v>17</v>
      </c>
      <c r="J89" s="119">
        <v>2092</v>
      </c>
      <c r="K89" s="119">
        <v>2092</v>
      </c>
      <c r="L89" s="119">
        <v>2092</v>
      </c>
      <c r="M89" s="119">
        <v>2092</v>
      </c>
      <c r="N89" s="119">
        <v>7</v>
      </c>
      <c r="O89" s="119">
        <v>7</v>
      </c>
      <c r="P89" s="119">
        <v>16</v>
      </c>
      <c r="Q89" s="119">
        <v>25</v>
      </c>
      <c r="R89" s="60"/>
      <c r="S89" s="60"/>
      <c r="T89" s="4">
        <v>15</v>
      </c>
      <c r="U89" s="4">
        <v>10</v>
      </c>
      <c r="V89" s="4">
        <v>6</v>
      </c>
    </row>
    <row r="90" spans="1:22" x14ac:dyDescent="0.3">
      <c r="A90" s="133" t="s">
        <v>350</v>
      </c>
      <c r="B90" s="60">
        <v>17</v>
      </c>
      <c r="C90" s="60">
        <v>897</v>
      </c>
      <c r="D90" s="60">
        <v>85</v>
      </c>
      <c r="E90" s="60">
        <v>83</v>
      </c>
      <c r="F90" s="60">
        <v>21</v>
      </c>
      <c r="G90" s="60">
        <v>21</v>
      </c>
      <c r="H90" s="60">
        <v>21</v>
      </c>
      <c r="I90" s="60">
        <v>21</v>
      </c>
      <c r="J90" s="119">
        <v>2092</v>
      </c>
      <c r="K90" s="119">
        <v>2092</v>
      </c>
      <c r="L90" s="119">
        <v>2092</v>
      </c>
      <c r="M90" s="119">
        <v>2092</v>
      </c>
      <c r="N90" s="119">
        <v>27</v>
      </c>
      <c r="O90" s="119">
        <v>27</v>
      </c>
      <c r="P90" s="119">
        <v>16</v>
      </c>
      <c r="Q90" s="119">
        <v>25</v>
      </c>
      <c r="R90" s="60"/>
      <c r="S90" s="60"/>
      <c r="T90" s="4">
        <v>15</v>
      </c>
      <c r="U90" s="4">
        <v>10</v>
      </c>
      <c r="V90" s="4">
        <v>6</v>
      </c>
    </row>
    <row r="91" spans="1:22" x14ac:dyDescent="0.3">
      <c r="A91" s="133" t="s">
        <v>350</v>
      </c>
      <c r="B91" s="60">
        <v>16</v>
      </c>
      <c r="C91" s="60">
        <v>897</v>
      </c>
      <c r="D91" s="60">
        <v>85</v>
      </c>
      <c r="E91" s="60">
        <v>83</v>
      </c>
      <c r="F91" s="60">
        <v>21</v>
      </c>
      <c r="G91" s="60">
        <v>21</v>
      </c>
      <c r="H91" s="60">
        <v>18</v>
      </c>
      <c r="I91" s="60">
        <v>18</v>
      </c>
      <c r="J91" s="119">
        <v>2092</v>
      </c>
      <c r="K91" s="119">
        <v>2092</v>
      </c>
      <c r="L91" s="119">
        <v>2092</v>
      </c>
      <c r="M91" s="119">
        <v>2092</v>
      </c>
      <c r="N91" s="119">
        <v>28</v>
      </c>
      <c r="O91" s="119">
        <v>28</v>
      </c>
      <c r="P91" s="119">
        <v>16</v>
      </c>
      <c r="Q91" s="119">
        <v>25</v>
      </c>
      <c r="R91" s="60"/>
      <c r="S91" s="60"/>
      <c r="T91" s="4">
        <v>15</v>
      </c>
      <c r="U91" s="4">
        <v>10</v>
      </c>
      <c r="V91" s="4">
        <v>6</v>
      </c>
    </row>
    <row r="92" spans="1:22" x14ac:dyDescent="0.3">
      <c r="A92" s="133" t="s">
        <v>350</v>
      </c>
      <c r="B92" s="60">
        <v>15</v>
      </c>
      <c r="C92" s="60">
        <v>898</v>
      </c>
      <c r="D92" s="60">
        <v>85</v>
      </c>
      <c r="E92" s="60">
        <v>83</v>
      </c>
      <c r="F92" s="60">
        <v>22</v>
      </c>
      <c r="G92" s="60">
        <v>22</v>
      </c>
      <c r="H92" s="60">
        <v>21</v>
      </c>
      <c r="I92" s="60">
        <v>21</v>
      </c>
      <c r="J92" s="119">
        <v>2098</v>
      </c>
      <c r="K92" s="119">
        <v>2098</v>
      </c>
      <c r="L92" s="119">
        <v>2098</v>
      </c>
      <c r="M92" s="119">
        <v>2098</v>
      </c>
      <c r="N92" s="119">
        <v>29</v>
      </c>
      <c r="O92" s="119">
        <v>29</v>
      </c>
      <c r="P92" s="119">
        <v>16</v>
      </c>
      <c r="Q92" s="119">
        <v>25</v>
      </c>
      <c r="R92" s="60"/>
      <c r="S92" s="60"/>
      <c r="T92" s="4">
        <v>15</v>
      </c>
      <c r="U92" s="4">
        <v>10</v>
      </c>
      <c r="V92" s="4">
        <v>6</v>
      </c>
    </row>
    <row r="93" spans="1:22" x14ac:dyDescent="0.3">
      <c r="A93" s="133" t="s">
        <v>350</v>
      </c>
      <c r="B93" s="60">
        <v>14</v>
      </c>
      <c r="C93" s="60">
        <v>897</v>
      </c>
      <c r="D93" s="60">
        <v>85</v>
      </c>
      <c r="E93" s="60">
        <v>83</v>
      </c>
      <c r="F93" s="60">
        <v>17</v>
      </c>
      <c r="G93" s="60">
        <v>17</v>
      </c>
      <c r="H93" s="60">
        <v>19</v>
      </c>
      <c r="I93" s="60">
        <v>19</v>
      </c>
      <c r="J93" s="119">
        <v>2092</v>
      </c>
      <c r="K93" s="119">
        <v>2092</v>
      </c>
      <c r="L93" s="119">
        <v>2092</v>
      </c>
      <c r="M93" s="119">
        <v>2092</v>
      </c>
      <c r="N93" s="119">
        <v>21</v>
      </c>
      <c r="O93" s="119">
        <v>21</v>
      </c>
      <c r="P93" s="119">
        <v>16</v>
      </c>
      <c r="Q93" s="119">
        <v>25</v>
      </c>
      <c r="R93" s="60"/>
      <c r="S93" s="60"/>
      <c r="T93" s="4">
        <v>15</v>
      </c>
      <c r="U93" s="4">
        <v>10</v>
      </c>
      <c r="V93" s="4">
        <v>6</v>
      </c>
    </row>
    <row r="94" spans="1:22" x14ac:dyDescent="0.3">
      <c r="A94" s="133" t="s">
        <v>350</v>
      </c>
      <c r="B94" s="60">
        <v>13</v>
      </c>
      <c r="C94" s="60">
        <v>897</v>
      </c>
      <c r="D94" s="60">
        <v>85</v>
      </c>
      <c r="E94" s="60">
        <v>83</v>
      </c>
      <c r="F94" s="60">
        <v>18</v>
      </c>
      <c r="G94" s="60">
        <v>18</v>
      </c>
      <c r="H94" s="60">
        <v>22</v>
      </c>
      <c r="I94" s="60">
        <v>22</v>
      </c>
      <c r="J94" s="119">
        <v>2092</v>
      </c>
      <c r="K94" s="119">
        <v>2092</v>
      </c>
      <c r="L94" s="119">
        <v>2092</v>
      </c>
      <c r="M94" s="119">
        <v>2092</v>
      </c>
      <c r="N94" s="119">
        <v>22</v>
      </c>
      <c r="O94" s="119">
        <v>22</v>
      </c>
      <c r="P94" s="119">
        <v>16</v>
      </c>
      <c r="Q94" s="119">
        <v>25</v>
      </c>
      <c r="R94" s="60"/>
      <c r="S94" s="60"/>
      <c r="T94" s="4">
        <v>15</v>
      </c>
      <c r="U94" s="4">
        <v>10</v>
      </c>
      <c r="V94" s="4">
        <v>6</v>
      </c>
    </row>
    <row r="95" spans="1:22" x14ac:dyDescent="0.3">
      <c r="A95" s="133" t="s">
        <v>350</v>
      </c>
      <c r="B95" s="60">
        <v>12</v>
      </c>
      <c r="C95" s="60">
        <v>898</v>
      </c>
      <c r="D95" s="60">
        <v>85</v>
      </c>
      <c r="E95" s="60">
        <v>83</v>
      </c>
      <c r="F95" s="60">
        <v>16</v>
      </c>
      <c r="G95" s="60">
        <v>16</v>
      </c>
      <c r="H95" s="60">
        <v>18</v>
      </c>
      <c r="I95" s="60">
        <v>18</v>
      </c>
      <c r="J95" s="119">
        <v>2092</v>
      </c>
      <c r="K95" s="119">
        <v>2092</v>
      </c>
      <c r="L95" s="119">
        <v>2092</v>
      </c>
      <c r="M95" s="119">
        <v>2092</v>
      </c>
      <c r="N95" s="119">
        <v>13</v>
      </c>
      <c r="O95" s="119">
        <v>13</v>
      </c>
      <c r="P95" s="119">
        <v>16</v>
      </c>
      <c r="Q95" s="119">
        <v>25</v>
      </c>
      <c r="R95" s="60"/>
      <c r="S95" s="60"/>
      <c r="T95" s="4">
        <v>15</v>
      </c>
      <c r="U95" s="4">
        <v>10</v>
      </c>
      <c r="V95" s="4">
        <v>6</v>
      </c>
    </row>
    <row r="96" spans="1:22" x14ac:dyDescent="0.3">
      <c r="A96" s="133" t="s">
        <v>350</v>
      </c>
      <c r="B96" s="60">
        <v>11</v>
      </c>
      <c r="C96" s="60">
        <v>898</v>
      </c>
      <c r="D96" s="60">
        <v>85</v>
      </c>
      <c r="E96" s="60">
        <v>83</v>
      </c>
      <c r="F96" s="60">
        <v>23</v>
      </c>
      <c r="G96" s="60">
        <v>23</v>
      </c>
      <c r="H96" s="60">
        <v>22</v>
      </c>
      <c r="I96" s="60">
        <v>22</v>
      </c>
      <c r="J96" s="119">
        <v>2092</v>
      </c>
      <c r="K96" s="119">
        <v>2092</v>
      </c>
      <c r="L96" s="119">
        <v>2089</v>
      </c>
      <c r="M96" s="119">
        <v>2089</v>
      </c>
      <c r="N96" s="119">
        <v>23</v>
      </c>
      <c r="O96" s="119">
        <v>23</v>
      </c>
      <c r="P96" s="119">
        <v>16</v>
      </c>
      <c r="Q96" s="119">
        <v>25</v>
      </c>
      <c r="R96" s="60"/>
      <c r="S96" s="60"/>
      <c r="T96" s="4">
        <v>15</v>
      </c>
      <c r="U96" s="4">
        <v>10</v>
      </c>
      <c r="V96" s="4">
        <v>6</v>
      </c>
    </row>
    <row r="97" spans="1:22" x14ac:dyDescent="0.3">
      <c r="A97" s="133" t="s">
        <v>350</v>
      </c>
      <c r="B97" s="60">
        <v>10</v>
      </c>
      <c r="C97" s="60">
        <v>898</v>
      </c>
      <c r="D97" s="60">
        <v>85</v>
      </c>
      <c r="E97" s="60">
        <v>83</v>
      </c>
      <c r="F97" s="60">
        <v>18</v>
      </c>
      <c r="G97" s="60">
        <v>18</v>
      </c>
      <c r="H97" s="60">
        <v>21</v>
      </c>
      <c r="I97" s="60">
        <v>21</v>
      </c>
      <c r="J97" s="119">
        <v>2092</v>
      </c>
      <c r="K97" s="119">
        <v>2092</v>
      </c>
      <c r="L97" s="119">
        <v>2092</v>
      </c>
      <c r="M97" s="119">
        <v>2092</v>
      </c>
      <c r="N97" s="119">
        <v>22</v>
      </c>
      <c r="O97" s="119">
        <v>22</v>
      </c>
      <c r="P97" s="119">
        <v>16</v>
      </c>
      <c r="Q97" s="119">
        <v>25</v>
      </c>
      <c r="R97" s="60"/>
      <c r="S97" s="60"/>
      <c r="T97" s="4">
        <v>15</v>
      </c>
      <c r="U97" s="4">
        <v>10</v>
      </c>
      <c r="V97" s="4">
        <v>6</v>
      </c>
    </row>
    <row r="98" spans="1:22" x14ac:dyDescent="0.3">
      <c r="A98" s="133" t="s">
        <v>350</v>
      </c>
      <c r="B98" s="60">
        <v>9</v>
      </c>
      <c r="C98" s="60">
        <v>897</v>
      </c>
      <c r="D98" s="60">
        <v>85</v>
      </c>
      <c r="E98" s="60">
        <v>83</v>
      </c>
      <c r="F98" s="60">
        <v>18</v>
      </c>
      <c r="G98" s="60">
        <v>18</v>
      </c>
      <c r="H98" s="60">
        <v>17</v>
      </c>
      <c r="I98" s="60">
        <v>17</v>
      </c>
      <c r="J98" s="119">
        <v>2092</v>
      </c>
      <c r="K98" s="119">
        <v>2092</v>
      </c>
      <c r="L98" s="119">
        <v>2092</v>
      </c>
      <c r="M98" s="119">
        <v>2092</v>
      </c>
      <c r="N98" s="119">
        <v>23</v>
      </c>
      <c r="O98" s="119">
        <v>23</v>
      </c>
      <c r="P98" s="119">
        <v>16</v>
      </c>
      <c r="Q98" s="119">
        <v>25</v>
      </c>
      <c r="R98" s="60"/>
      <c r="S98" s="60"/>
      <c r="T98" s="4">
        <v>15</v>
      </c>
      <c r="U98" s="4">
        <v>10</v>
      </c>
      <c r="V98" s="4">
        <v>6</v>
      </c>
    </row>
    <row r="99" spans="1:22" x14ac:dyDescent="0.3">
      <c r="A99" s="133" t="s">
        <v>350</v>
      </c>
      <c r="B99" s="60">
        <v>8</v>
      </c>
      <c r="C99" s="60">
        <v>897</v>
      </c>
      <c r="D99" s="60">
        <v>85</v>
      </c>
      <c r="E99" s="60">
        <v>83</v>
      </c>
      <c r="F99" s="60">
        <v>21</v>
      </c>
      <c r="G99" s="60">
        <v>21</v>
      </c>
      <c r="H99" s="60">
        <v>20</v>
      </c>
      <c r="I99" s="60">
        <v>20</v>
      </c>
      <c r="J99" s="119">
        <v>2092</v>
      </c>
      <c r="K99" s="119">
        <v>2092</v>
      </c>
      <c r="L99" s="119">
        <v>2092</v>
      </c>
      <c r="M99" s="119">
        <v>2092</v>
      </c>
      <c r="N99" s="119">
        <v>17</v>
      </c>
      <c r="O99" s="119">
        <v>17</v>
      </c>
      <c r="P99" s="119">
        <v>16</v>
      </c>
      <c r="Q99" s="119">
        <v>25</v>
      </c>
      <c r="R99" s="60"/>
      <c r="S99" s="60"/>
      <c r="T99" s="4">
        <v>15</v>
      </c>
      <c r="U99" s="4">
        <v>10</v>
      </c>
      <c r="V99" s="4">
        <v>6</v>
      </c>
    </row>
    <row r="100" spans="1:22" x14ac:dyDescent="0.3">
      <c r="A100" s="133" t="s">
        <v>350</v>
      </c>
      <c r="B100" s="60">
        <v>7</v>
      </c>
      <c r="C100" s="60">
        <v>898</v>
      </c>
      <c r="D100" s="60">
        <v>85</v>
      </c>
      <c r="E100" s="60">
        <v>83</v>
      </c>
      <c r="F100" s="60">
        <v>21</v>
      </c>
      <c r="G100" s="60">
        <v>21</v>
      </c>
      <c r="H100" s="60">
        <v>21</v>
      </c>
      <c r="I100" s="60">
        <v>21</v>
      </c>
      <c r="J100" s="119">
        <v>2092</v>
      </c>
      <c r="K100" s="119">
        <v>2092</v>
      </c>
      <c r="L100" s="119">
        <v>2092</v>
      </c>
      <c r="M100" s="119">
        <v>2092</v>
      </c>
      <c r="N100" s="119">
        <v>22</v>
      </c>
      <c r="O100" s="119">
        <v>22</v>
      </c>
      <c r="P100" s="119">
        <v>16</v>
      </c>
      <c r="Q100" s="119">
        <v>25</v>
      </c>
      <c r="R100" s="60"/>
      <c r="S100" s="60"/>
      <c r="T100" s="4">
        <v>15</v>
      </c>
      <c r="U100" s="4">
        <v>10</v>
      </c>
      <c r="V100" s="4">
        <v>6</v>
      </c>
    </row>
    <row r="101" spans="1:22" x14ac:dyDescent="0.3">
      <c r="A101" s="133" t="s">
        <v>350</v>
      </c>
      <c r="B101" s="60">
        <v>6</v>
      </c>
      <c r="C101" s="60">
        <v>897</v>
      </c>
      <c r="D101" s="60">
        <v>85</v>
      </c>
      <c r="E101" s="60">
        <v>83</v>
      </c>
      <c r="F101" s="60">
        <v>17</v>
      </c>
      <c r="G101" s="60">
        <v>17</v>
      </c>
      <c r="H101" s="60">
        <v>20</v>
      </c>
      <c r="I101" s="60">
        <v>20</v>
      </c>
      <c r="J101" s="119">
        <v>2092</v>
      </c>
      <c r="K101" s="119">
        <v>2092</v>
      </c>
      <c r="L101" s="119">
        <v>2090</v>
      </c>
      <c r="M101" s="119">
        <v>2090</v>
      </c>
      <c r="N101" s="119">
        <v>13</v>
      </c>
      <c r="O101" s="119">
        <v>13</v>
      </c>
      <c r="P101" s="119">
        <v>16</v>
      </c>
      <c r="Q101" s="119">
        <v>25</v>
      </c>
      <c r="R101" s="60"/>
      <c r="S101" s="60"/>
      <c r="T101" s="4">
        <v>15</v>
      </c>
      <c r="U101" s="4">
        <v>10</v>
      </c>
      <c r="V101" s="4">
        <v>6</v>
      </c>
    </row>
    <row r="102" spans="1:22" x14ac:dyDescent="0.3">
      <c r="A102" s="133" t="s">
        <v>350</v>
      </c>
      <c r="B102" s="60">
        <v>5</v>
      </c>
      <c r="C102" s="60">
        <v>898</v>
      </c>
      <c r="D102" s="60">
        <v>85</v>
      </c>
      <c r="E102" s="60">
        <v>83</v>
      </c>
      <c r="F102" s="60">
        <v>21</v>
      </c>
      <c r="G102" s="60">
        <v>21</v>
      </c>
      <c r="H102" s="60">
        <v>21</v>
      </c>
      <c r="I102" s="60">
        <v>21</v>
      </c>
      <c r="J102" s="119">
        <v>2092</v>
      </c>
      <c r="K102" s="119">
        <v>2092</v>
      </c>
      <c r="L102" s="119">
        <v>2092</v>
      </c>
      <c r="M102" s="119">
        <v>2092</v>
      </c>
      <c r="N102" s="119">
        <v>17</v>
      </c>
      <c r="O102" s="119">
        <v>17</v>
      </c>
      <c r="P102" s="119">
        <v>16</v>
      </c>
      <c r="Q102" s="119">
        <v>25</v>
      </c>
      <c r="R102" s="60"/>
      <c r="S102" s="60"/>
      <c r="T102" s="4">
        <v>15</v>
      </c>
      <c r="U102" s="4">
        <v>10</v>
      </c>
      <c r="V102" s="4">
        <v>6</v>
      </c>
    </row>
    <row r="103" spans="1:22" x14ac:dyDescent="0.3">
      <c r="A103" s="133" t="s">
        <v>350</v>
      </c>
      <c r="B103" s="60">
        <v>4</v>
      </c>
      <c r="C103" s="60">
        <v>897</v>
      </c>
      <c r="D103" s="60">
        <v>85</v>
      </c>
      <c r="E103" s="60">
        <v>83</v>
      </c>
      <c r="F103" s="60">
        <v>21</v>
      </c>
      <c r="G103" s="60">
        <v>21</v>
      </c>
      <c r="H103" s="60">
        <v>21</v>
      </c>
      <c r="I103" s="60">
        <v>21</v>
      </c>
      <c r="J103" s="119">
        <v>2092</v>
      </c>
      <c r="K103" s="119">
        <v>2092</v>
      </c>
      <c r="L103" s="119">
        <v>2092</v>
      </c>
      <c r="M103" s="119">
        <v>2092</v>
      </c>
      <c r="N103" s="119">
        <v>21</v>
      </c>
      <c r="O103" s="119">
        <v>21</v>
      </c>
      <c r="P103" s="119">
        <v>16</v>
      </c>
      <c r="Q103" s="119">
        <v>25</v>
      </c>
      <c r="R103" s="60"/>
      <c r="S103" s="60"/>
      <c r="T103" s="4">
        <v>15</v>
      </c>
      <c r="U103" s="4">
        <v>10</v>
      </c>
      <c r="V103" s="4">
        <v>6</v>
      </c>
    </row>
    <row r="104" spans="1:22" x14ac:dyDescent="0.3">
      <c r="A104" s="133" t="s">
        <v>350</v>
      </c>
      <c r="B104" s="60">
        <v>3</v>
      </c>
      <c r="C104" s="60">
        <v>898</v>
      </c>
      <c r="D104" s="60">
        <v>85</v>
      </c>
      <c r="E104" s="60">
        <v>83</v>
      </c>
      <c r="F104" s="60">
        <v>21</v>
      </c>
      <c r="G104" s="60">
        <v>21</v>
      </c>
      <c r="H104" s="60">
        <v>19</v>
      </c>
      <c r="I104" s="60">
        <v>19</v>
      </c>
      <c r="J104" s="119">
        <v>2092</v>
      </c>
      <c r="K104" s="119">
        <v>2092</v>
      </c>
      <c r="L104" s="119">
        <v>2092</v>
      </c>
      <c r="M104" s="119">
        <v>2092</v>
      </c>
      <c r="N104" s="119">
        <v>20</v>
      </c>
      <c r="O104" s="119">
        <v>20</v>
      </c>
      <c r="P104" s="119">
        <v>16</v>
      </c>
      <c r="Q104" s="119">
        <v>25</v>
      </c>
      <c r="R104" s="60"/>
      <c r="S104" s="60"/>
      <c r="T104" s="4">
        <v>15</v>
      </c>
      <c r="U104" s="4">
        <v>10</v>
      </c>
      <c r="V104" s="4">
        <v>6</v>
      </c>
    </row>
    <row r="105" spans="1:22" x14ac:dyDescent="0.3">
      <c r="A105" s="133" t="s">
        <v>350</v>
      </c>
      <c r="B105" s="60">
        <v>2</v>
      </c>
      <c r="C105" s="60">
        <v>897</v>
      </c>
      <c r="D105" s="60">
        <v>85</v>
      </c>
      <c r="E105" s="60">
        <v>83</v>
      </c>
      <c r="F105" s="60">
        <v>23</v>
      </c>
      <c r="G105" s="60">
        <v>23</v>
      </c>
      <c r="H105" s="60">
        <v>22</v>
      </c>
      <c r="I105" s="60">
        <v>22</v>
      </c>
      <c r="J105" s="119">
        <v>2092</v>
      </c>
      <c r="K105" s="119">
        <v>2092</v>
      </c>
      <c r="L105" s="119">
        <v>2092</v>
      </c>
      <c r="M105" s="119">
        <v>2092</v>
      </c>
      <c r="N105" s="119">
        <v>25</v>
      </c>
      <c r="O105" s="119">
        <v>25</v>
      </c>
      <c r="P105" s="119">
        <v>16</v>
      </c>
      <c r="Q105" s="119">
        <v>25</v>
      </c>
      <c r="R105" s="60"/>
      <c r="S105" s="60"/>
      <c r="T105" s="4">
        <v>15</v>
      </c>
      <c r="U105" s="4">
        <v>10</v>
      </c>
      <c r="V105" s="4">
        <v>6</v>
      </c>
    </row>
    <row r="106" spans="1:22" x14ac:dyDescent="0.3">
      <c r="A106" s="133" t="s">
        <v>351</v>
      </c>
      <c r="B106" s="60">
        <v>23</v>
      </c>
      <c r="C106" s="60">
        <v>897</v>
      </c>
      <c r="D106" s="60">
        <v>85</v>
      </c>
      <c r="E106" s="60">
        <v>83</v>
      </c>
      <c r="F106" s="60">
        <v>21</v>
      </c>
      <c r="G106" s="60">
        <v>21</v>
      </c>
      <c r="H106" s="60">
        <v>21</v>
      </c>
      <c r="I106" s="60">
        <v>21</v>
      </c>
      <c r="J106" s="119">
        <v>2098</v>
      </c>
      <c r="K106" s="119">
        <v>2098</v>
      </c>
      <c r="L106" s="119">
        <v>2092</v>
      </c>
      <c r="M106" s="119">
        <v>2092</v>
      </c>
      <c r="N106" s="119">
        <v>23</v>
      </c>
      <c r="O106" s="119">
        <v>23</v>
      </c>
      <c r="P106" s="119">
        <v>16</v>
      </c>
      <c r="Q106" s="119">
        <v>25</v>
      </c>
      <c r="R106" s="60"/>
      <c r="S106" s="60"/>
      <c r="T106" s="4">
        <v>15</v>
      </c>
      <c r="U106" s="4">
        <v>10</v>
      </c>
      <c r="V106" s="4">
        <v>6</v>
      </c>
    </row>
    <row r="107" spans="1:22" x14ac:dyDescent="0.3">
      <c r="A107" s="133" t="s">
        <v>351</v>
      </c>
      <c r="B107" s="60">
        <v>22</v>
      </c>
      <c r="C107" s="60">
        <v>897</v>
      </c>
      <c r="D107" s="60">
        <v>85</v>
      </c>
      <c r="E107" s="60">
        <v>83</v>
      </c>
      <c r="F107" s="60">
        <v>22</v>
      </c>
      <c r="G107" s="60">
        <v>22</v>
      </c>
      <c r="H107" s="60">
        <v>22</v>
      </c>
      <c r="I107" s="60">
        <v>22</v>
      </c>
      <c r="J107" s="119">
        <v>2098</v>
      </c>
      <c r="K107" s="119">
        <v>2098</v>
      </c>
      <c r="L107" s="119">
        <v>2098</v>
      </c>
      <c r="M107" s="119">
        <v>2098</v>
      </c>
      <c r="N107" s="119">
        <v>22</v>
      </c>
      <c r="O107" s="119">
        <v>22</v>
      </c>
      <c r="P107" s="119">
        <v>16</v>
      </c>
      <c r="Q107" s="119">
        <v>25</v>
      </c>
      <c r="R107" s="60"/>
      <c r="S107" s="60"/>
      <c r="T107" s="4">
        <v>15</v>
      </c>
      <c r="U107" s="4">
        <v>10</v>
      </c>
      <c r="V107" s="4">
        <v>6</v>
      </c>
    </row>
    <row r="108" spans="1:22" x14ac:dyDescent="0.3">
      <c r="A108" s="133" t="s">
        <v>351</v>
      </c>
      <c r="B108" s="60">
        <v>21</v>
      </c>
      <c r="C108" s="60">
        <v>897</v>
      </c>
      <c r="D108" s="60">
        <v>85</v>
      </c>
      <c r="E108" s="60">
        <v>83</v>
      </c>
      <c r="F108" s="60">
        <v>22</v>
      </c>
      <c r="G108" s="60">
        <v>22</v>
      </c>
      <c r="H108" s="60">
        <v>23</v>
      </c>
      <c r="I108" s="60">
        <v>23</v>
      </c>
      <c r="J108" s="119">
        <v>2098</v>
      </c>
      <c r="K108" s="119">
        <v>2098</v>
      </c>
      <c r="L108" s="119">
        <v>2092</v>
      </c>
      <c r="M108" s="119">
        <v>2092</v>
      </c>
      <c r="N108" s="119">
        <v>23</v>
      </c>
      <c r="O108" s="119">
        <v>23</v>
      </c>
      <c r="P108" s="119">
        <v>16</v>
      </c>
      <c r="Q108" s="119">
        <v>25</v>
      </c>
      <c r="R108" s="60"/>
      <c r="S108" s="60"/>
      <c r="T108" s="4">
        <v>15</v>
      </c>
      <c r="U108" s="4">
        <v>10</v>
      </c>
      <c r="V108" s="4">
        <v>6</v>
      </c>
    </row>
    <row r="109" spans="1:22" x14ac:dyDescent="0.3">
      <c r="A109" s="133" t="s">
        <v>351</v>
      </c>
      <c r="B109" s="60">
        <v>20</v>
      </c>
      <c r="C109" s="60">
        <v>896</v>
      </c>
      <c r="D109" s="60">
        <v>85</v>
      </c>
      <c r="E109" s="60">
        <v>83</v>
      </c>
      <c r="F109" s="60">
        <v>20</v>
      </c>
      <c r="G109" s="60">
        <v>20</v>
      </c>
      <c r="H109" s="60">
        <v>20</v>
      </c>
      <c r="I109" s="60">
        <v>20</v>
      </c>
      <c r="J109" s="119">
        <v>2092</v>
      </c>
      <c r="K109" s="119">
        <v>2092</v>
      </c>
      <c r="L109" s="119">
        <v>2092</v>
      </c>
      <c r="M109" s="119">
        <v>2092</v>
      </c>
      <c r="N109" s="119">
        <v>20</v>
      </c>
      <c r="O109" s="119">
        <v>20</v>
      </c>
      <c r="P109" s="119">
        <v>16</v>
      </c>
      <c r="Q109" s="119">
        <v>25</v>
      </c>
      <c r="R109" s="60"/>
      <c r="S109" s="60"/>
      <c r="T109" s="4">
        <v>15</v>
      </c>
      <c r="U109" s="4">
        <v>10</v>
      </c>
      <c r="V109" s="4">
        <v>6</v>
      </c>
    </row>
    <row r="110" spans="1:22" x14ac:dyDescent="0.3">
      <c r="A110" s="133" t="s">
        <v>351</v>
      </c>
      <c r="B110" s="60">
        <v>19</v>
      </c>
      <c r="C110" s="60">
        <v>897</v>
      </c>
      <c r="D110" s="60">
        <v>85</v>
      </c>
      <c r="E110" s="60">
        <v>83</v>
      </c>
      <c r="F110" s="60">
        <v>20</v>
      </c>
      <c r="G110" s="60">
        <v>20</v>
      </c>
      <c r="H110" s="60">
        <v>20</v>
      </c>
      <c r="I110" s="60">
        <v>20</v>
      </c>
      <c r="J110" s="119">
        <v>2092</v>
      </c>
      <c r="K110" s="119">
        <v>2092</v>
      </c>
      <c r="L110" s="119">
        <v>2092</v>
      </c>
      <c r="M110" s="119">
        <v>2092</v>
      </c>
      <c r="N110" s="119">
        <v>25</v>
      </c>
      <c r="O110" s="119">
        <v>25</v>
      </c>
      <c r="P110" s="119">
        <v>16</v>
      </c>
      <c r="Q110" s="119">
        <v>25</v>
      </c>
      <c r="R110" s="60"/>
      <c r="S110" s="60"/>
      <c r="T110" s="4">
        <v>15</v>
      </c>
      <c r="U110" s="4">
        <v>10</v>
      </c>
      <c r="V110" s="4">
        <v>6</v>
      </c>
    </row>
    <row r="111" spans="1:22" x14ac:dyDescent="0.3">
      <c r="A111" s="133" t="s">
        <v>351</v>
      </c>
      <c r="B111" s="60">
        <v>18</v>
      </c>
      <c r="C111" s="60">
        <v>897</v>
      </c>
      <c r="D111" s="60">
        <v>85</v>
      </c>
      <c r="E111" s="60">
        <v>83</v>
      </c>
      <c r="F111" s="60">
        <v>18</v>
      </c>
      <c r="G111" s="60">
        <v>18</v>
      </c>
      <c r="H111" s="60">
        <v>19</v>
      </c>
      <c r="I111" s="60">
        <v>19</v>
      </c>
      <c r="J111" s="119">
        <v>2092</v>
      </c>
      <c r="K111" s="119">
        <v>2092</v>
      </c>
      <c r="L111" s="119">
        <v>2092</v>
      </c>
      <c r="M111" s="119">
        <v>2092</v>
      </c>
      <c r="N111" s="119">
        <v>15</v>
      </c>
      <c r="O111" s="119">
        <v>15</v>
      </c>
      <c r="P111" s="119">
        <v>16</v>
      </c>
      <c r="Q111" s="119">
        <v>25</v>
      </c>
      <c r="R111" s="60"/>
      <c r="S111" s="60"/>
      <c r="T111" s="4">
        <v>15</v>
      </c>
      <c r="U111" s="4">
        <v>10</v>
      </c>
      <c r="V111" s="4">
        <v>6</v>
      </c>
    </row>
    <row r="112" spans="1:22" x14ac:dyDescent="0.3">
      <c r="A112" s="133" t="s">
        <v>351</v>
      </c>
      <c r="B112" s="60">
        <v>17</v>
      </c>
      <c r="C112" s="60">
        <v>899</v>
      </c>
      <c r="D112" s="60">
        <v>85</v>
      </c>
      <c r="E112" s="60">
        <v>83</v>
      </c>
      <c r="F112" s="60">
        <v>20</v>
      </c>
      <c r="G112" s="60">
        <v>20</v>
      </c>
      <c r="H112" s="60">
        <v>21</v>
      </c>
      <c r="I112" s="60">
        <v>21</v>
      </c>
      <c r="J112" s="119">
        <v>2092</v>
      </c>
      <c r="K112" s="119">
        <v>2092</v>
      </c>
      <c r="L112" s="119">
        <v>2092</v>
      </c>
      <c r="M112" s="119">
        <v>2092</v>
      </c>
      <c r="N112" s="119">
        <v>16</v>
      </c>
      <c r="O112" s="119">
        <v>16</v>
      </c>
      <c r="P112" s="119">
        <v>16</v>
      </c>
      <c r="Q112" s="119">
        <v>25</v>
      </c>
      <c r="R112" s="60"/>
      <c r="S112" s="60"/>
      <c r="T112" s="4">
        <v>15</v>
      </c>
      <c r="U112" s="4">
        <v>10</v>
      </c>
      <c r="V112" s="4">
        <v>6</v>
      </c>
    </row>
    <row r="113" spans="1:22" x14ac:dyDescent="0.3">
      <c r="A113" s="133" t="s">
        <v>351</v>
      </c>
      <c r="B113" s="60">
        <v>16</v>
      </c>
      <c r="C113" s="60">
        <v>897</v>
      </c>
      <c r="D113" s="60">
        <v>85</v>
      </c>
      <c r="E113" s="60">
        <v>83</v>
      </c>
      <c r="F113" s="60">
        <v>20</v>
      </c>
      <c r="G113" s="60">
        <v>20</v>
      </c>
      <c r="H113" s="60">
        <v>21</v>
      </c>
      <c r="I113" s="60">
        <v>21</v>
      </c>
      <c r="J113" s="119">
        <v>2092</v>
      </c>
      <c r="K113" s="119">
        <v>2092</v>
      </c>
      <c r="L113" s="119">
        <v>2092</v>
      </c>
      <c r="M113" s="119">
        <v>2092</v>
      </c>
      <c r="N113" s="119">
        <v>23</v>
      </c>
      <c r="O113" s="119">
        <v>23</v>
      </c>
      <c r="P113" s="119">
        <v>16</v>
      </c>
      <c r="Q113" s="119">
        <v>25</v>
      </c>
      <c r="R113" s="60"/>
      <c r="S113" s="60"/>
      <c r="T113" s="4">
        <v>15</v>
      </c>
      <c r="U113" s="4">
        <v>10</v>
      </c>
      <c r="V113" s="4">
        <v>6</v>
      </c>
    </row>
    <row r="114" spans="1:22" x14ac:dyDescent="0.3">
      <c r="A114" s="133" t="s">
        <v>351</v>
      </c>
      <c r="B114" s="60">
        <v>15</v>
      </c>
      <c r="C114" s="60">
        <v>898</v>
      </c>
      <c r="D114" s="60">
        <v>85</v>
      </c>
      <c r="E114" s="60">
        <v>83</v>
      </c>
      <c r="F114" s="60">
        <v>21</v>
      </c>
      <c r="G114" s="60">
        <v>21</v>
      </c>
      <c r="H114" s="60">
        <v>21</v>
      </c>
      <c r="I114" s="60">
        <v>21</v>
      </c>
      <c r="J114" s="119">
        <v>2092</v>
      </c>
      <c r="K114" s="119">
        <v>2092</v>
      </c>
      <c r="L114" s="119">
        <v>2092</v>
      </c>
      <c r="M114" s="119">
        <v>2092</v>
      </c>
      <c r="N114" s="119">
        <v>25</v>
      </c>
      <c r="O114" s="119">
        <v>25</v>
      </c>
      <c r="P114" s="119">
        <v>16</v>
      </c>
      <c r="Q114" s="119">
        <v>25</v>
      </c>
      <c r="R114" s="60"/>
      <c r="S114" s="60"/>
      <c r="T114" s="4">
        <v>15</v>
      </c>
      <c r="U114" s="4">
        <v>10</v>
      </c>
      <c r="V114" s="4">
        <v>6</v>
      </c>
    </row>
    <row r="115" spans="1:22" x14ac:dyDescent="0.3">
      <c r="A115" s="133" t="s">
        <v>351</v>
      </c>
      <c r="B115" s="60">
        <v>14</v>
      </c>
      <c r="C115" s="60">
        <v>898</v>
      </c>
      <c r="D115" s="60">
        <v>85</v>
      </c>
      <c r="E115" s="60">
        <v>83</v>
      </c>
      <c r="F115" s="60">
        <v>20</v>
      </c>
      <c r="G115" s="60">
        <v>20</v>
      </c>
      <c r="H115" s="60">
        <v>20</v>
      </c>
      <c r="I115" s="60">
        <v>20</v>
      </c>
      <c r="J115" s="119">
        <v>2098</v>
      </c>
      <c r="K115" s="119">
        <v>2098</v>
      </c>
      <c r="L115" s="119">
        <v>2092</v>
      </c>
      <c r="M115" s="119">
        <v>2092</v>
      </c>
      <c r="N115" s="119">
        <v>29</v>
      </c>
      <c r="O115" s="119">
        <v>29</v>
      </c>
      <c r="P115" s="119">
        <v>16</v>
      </c>
      <c r="Q115" s="119">
        <v>25</v>
      </c>
      <c r="R115" s="60"/>
      <c r="S115" s="60"/>
      <c r="T115" s="4">
        <v>15</v>
      </c>
      <c r="U115" s="4">
        <v>10</v>
      </c>
      <c r="V115" s="4">
        <v>6</v>
      </c>
    </row>
    <row r="116" spans="1:22" x14ac:dyDescent="0.3">
      <c r="A116" s="133" t="s">
        <v>351</v>
      </c>
      <c r="B116" s="60">
        <v>13</v>
      </c>
      <c r="C116" s="60">
        <v>899</v>
      </c>
      <c r="D116" s="60">
        <v>85</v>
      </c>
      <c r="E116" s="60">
        <v>83</v>
      </c>
      <c r="F116" s="60">
        <v>22</v>
      </c>
      <c r="G116" s="60">
        <v>22</v>
      </c>
      <c r="H116" s="60">
        <v>21</v>
      </c>
      <c r="I116" s="60">
        <v>21</v>
      </c>
      <c r="J116" s="119">
        <v>2098</v>
      </c>
      <c r="K116" s="119">
        <v>2098</v>
      </c>
      <c r="L116" s="119">
        <v>2098</v>
      </c>
      <c r="M116" s="119">
        <v>2098</v>
      </c>
      <c r="N116" s="119">
        <v>24</v>
      </c>
      <c r="O116" s="119">
        <v>24</v>
      </c>
      <c r="P116" s="119">
        <v>16</v>
      </c>
      <c r="Q116" s="119">
        <v>25</v>
      </c>
      <c r="R116" s="60"/>
      <c r="S116" s="60"/>
      <c r="T116" s="4">
        <v>15</v>
      </c>
      <c r="U116" s="4">
        <v>10</v>
      </c>
      <c r="V116" s="4">
        <v>6</v>
      </c>
    </row>
    <row r="117" spans="1:22" x14ac:dyDescent="0.3">
      <c r="A117" s="133" t="s">
        <v>351</v>
      </c>
      <c r="B117" s="60">
        <v>12</v>
      </c>
      <c r="C117" s="60">
        <v>899</v>
      </c>
      <c r="D117" s="60">
        <v>85</v>
      </c>
      <c r="E117" s="60">
        <v>83</v>
      </c>
      <c r="F117" s="60">
        <v>17</v>
      </c>
      <c r="G117" s="60">
        <v>17</v>
      </c>
      <c r="H117" s="60">
        <v>18</v>
      </c>
      <c r="I117" s="60">
        <v>18</v>
      </c>
      <c r="J117" s="119">
        <v>2092</v>
      </c>
      <c r="K117" s="119">
        <v>2092</v>
      </c>
      <c r="L117" s="119">
        <v>2092</v>
      </c>
      <c r="M117" s="119">
        <v>2092</v>
      </c>
      <c r="N117" s="119">
        <v>15</v>
      </c>
      <c r="O117" s="119">
        <v>15</v>
      </c>
      <c r="P117" s="119">
        <v>16</v>
      </c>
      <c r="Q117" s="119">
        <v>25</v>
      </c>
      <c r="R117" s="60"/>
      <c r="S117" s="60"/>
      <c r="T117" s="4">
        <v>15</v>
      </c>
      <c r="U117" s="4">
        <v>10</v>
      </c>
      <c r="V117" s="4">
        <v>6</v>
      </c>
    </row>
    <row r="118" spans="1:22" x14ac:dyDescent="0.3">
      <c r="A118" s="133" t="s">
        <v>351</v>
      </c>
      <c r="B118" s="60">
        <v>11</v>
      </c>
      <c r="C118" s="60">
        <v>898</v>
      </c>
      <c r="D118" s="60">
        <v>85</v>
      </c>
      <c r="E118" s="60">
        <v>83</v>
      </c>
      <c r="F118" s="60">
        <v>18</v>
      </c>
      <c r="G118" s="60">
        <v>18</v>
      </c>
      <c r="H118" s="60">
        <v>18</v>
      </c>
      <c r="I118" s="60">
        <v>18</v>
      </c>
      <c r="J118" s="119">
        <v>2098</v>
      </c>
      <c r="K118" s="119">
        <v>2098</v>
      </c>
      <c r="L118" s="119">
        <v>2098</v>
      </c>
      <c r="M118" s="119">
        <v>2098</v>
      </c>
      <c r="N118" s="119">
        <v>23</v>
      </c>
      <c r="O118" s="119">
        <v>23</v>
      </c>
      <c r="P118" s="119">
        <v>16</v>
      </c>
      <c r="Q118" s="119">
        <v>25</v>
      </c>
      <c r="R118" s="60"/>
      <c r="S118" s="60"/>
      <c r="T118" s="4">
        <v>15</v>
      </c>
      <c r="U118" s="4">
        <v>10</v>
      </c>
      <c r="V118" s="4">
        <v>6</v>
      </c>
    </row>
    <row r="119" spans="1:22" x14ac:dyDescent="0.3">
      <c r="A119" s="133" t="s">
        <v>351</v>
      </c>
      <c r="B119" s="60">
        <v>10</v>
      </c>
      <c r="C119" s="60">
        <v>897</v>
      </c>
      <c r="D119" s="60">
        <v>85</v>
      </c>
      <c r="E119" s="60">
        <v>83</v>
      </c>
      <c r="F119" s="60">
        <v>15</v>
      </c>
      <c r="G119" s="60">
        <v>15</v>
      </c>
      <c r="H119" s="60">
        <v>16</v>
      </c>
      <c r="I119" s="60">
        <v>16</v>
      </c>
      <c r="J119" s="119">
        <v>2098</v>
      </c>
      <c r="K119" s="119">
        <v>2098</v>
      </c>
      <c r="L119" s="119">
        <v>2098</v>
      </c>
      <c r="M119" s="119">
        <v>2098</v>
      </c>
      <c r="N119" s="119">
        <v>20</v>
      </c>
      <c r="O119" s="119">
        <v>20</v>
      </c>
      <c r="P119" s="119">
        <v>16</v>
      </c>
      <c r="Q119" s="119">
        <v>25</v>
      </c>
      <c r="R119" s="60"/>
      <c r="S119" s="60"/>
      <c r="T119" s="4">
        <v>15</v>
      </c>
      <c r="U119" s="4">
        <v>10</v>
      </c>
      <c r="V119" s="4">
        <v>6</v>
      </c>
    </row>
    <row r="120" spans="1:22" x14ac:dyDescent="0.3">
      <c r="A120" s="133" t="s">
        <v>351</v>
      </c>
      <c r="B120" s="60">
        <v>9</v>
      </c>
      <c r="C120" s="60">
        <v>897</v>
      </c>
      <c r="D120" s="60">
        <v>85</v>
      </c>
      <c r="E120" s="60">
        <v>83</v>
      </c>
      <c r="F120" s="60">
        <v>20</v>
      </c>
      <c r="G120" s="60">
        <v>20</v>
      </c>
      <c r="H120" s="60">
        <v>21</v>
      </c>
      <c r="I120" s="60">
        <v>21</v>
      </c>
      <c r="J120" s="119">
        <v>2098</v>
      </c>
      <c r="K120" s="119">
        <v>2098</v>
      </c>
      <c r="L120" s="119">
        <v>2098</v>
      </c>
      <c r="M120" s="119">
        <v>2098</v>
      </c>
      <c r="N120" s="119">
        <v>18</v>
      </c>
      <c r="O120" s="119">
        <v>18</v>
      </c>
      <c r="P120" s="119">
        <v>16</v>
      </c>
      <c r="Q120" s="119">
        <v>25</v>
      </c>
      <c r="R120" s="60"/>
      <c r="S120" s="60"/>
      <c r="T120" s="4">
        <v>15</v>
      </c>
      <c r="U120" s="4">
        <v>10</v>
      </c>
      <c r="V120" s="4">
        <v>6</v>
      </c>
    </row>
    <row r="121" spans="1:22" x14ac:dyDescent="0.3">
      <c r="A121" s="133" t="s">
        <v>351</v>
      </c>
      <c r="B121" s="60">
        <v>8</v>
      </c>
      <c r="C121" s="60">
        <v>898</v>
      </c>
      <c r="D121" s="60">
        <v>85</v>
      </c>
      <c r="E121" s="60">
        <v>83</v>
      </c>
      <c r="F121" s="60">
        <v>20</v>
      </c>
      <c r="G121" s="60">
        <v>20</v>
      </c>
      <c r="H121" s="60">
        <v>20</v>
      </c>
      <c r="I121" s="60">
        <v>20</v>
      </c>
      <c r="J121" s="119">
        <v>2098</v>
      </c>
      <c r="K121" s="119">
        <v>2098</v>
      </c>
      <c r="L121" s="119">
        <v>2098</v>
      </c>
      <c r="M121" s="119">
        <v>2098</v>
      </c>
      <c r="N121" s="119">
        <v>20</v>
      </c>
      <c r="O121" s="119">
        <v>20</v>
      </c>
      <c r="P121" s="119">
        <v>16</v>
      </c>
      <c r="Q121" s="119">
        <v>25</v>
      </c>
      <c r="R121" s="60"/>
      <c r="S121" s="60"/>
      <c r="T121" s="4">
        <v>15</v>
      </c>
      <c r="U121" s="4">
        <v>10</v>
      </c>
      <c r="V121" s="4">
        <v>6</v>
      </c>
    </row>
    <row r="122" spans="1:22" x14ac:dyDescent="0.3">
      <c r="A122" s="133" t="s">
        <v>351</v>
      </c>
      <c r="B122" s="60">
        <v>7</v>
      </c>
      <c r="C122" s="60">
        <v>898</v>
      </c>
      <c r="D122" s="60">
        <v>85</v>
      </c>
      <c r="E122" s="60">
        <v>83</v>
      </c>
      <c r="F122" s="60">
        <v>20</v>
      </c>
      <c r="G122" s="60">
        <v>20</v>
      </c>
      <c r="H122" s="60">
        <v>19</v>
      </c>
      <c r="I122" s="60">
        <v>19</v>
      </c>
      <c r="J122" s="119">
        <v>2092</v>
      </c>
      <c r="K122" s="119">
        <v>2092</v>
      </c>
      <c r="L122" s="119">
        <v>2098</v>
      </c>
      <c r="M122" s="119">
        <v>2098</v>
      </c>
      <c r="N122" s="119">
        <v>17</v>
      </c>
      <c r="O122" s="119">
        <v>17</v>
      </c>
      <c r="P122" s="119">
        <v>16</v>
      </c>
      <c r="Q122" s="119">
        <v>25</v>
      </c>
      <c r="R122" s="60"/>
      <c r="S122" s="60"/>
      <c r="T122" s="4">
        <v>15</v>
      </c>
      <c r="U122" s="4">
        <v>10</v>
      </c>
      <c r="V122" s="4">
        <v>6</v>
      </c>
    </row>
    <row r="123" spans="1:22" x14ac:dyDescent="0.3">
      <c r="A123" s="133" t="s">
        <v>351</v>
      </c>
      <c r="B123" s="60">
        <v>6</v>
      </c>
      <c r="C123" s="60">
        <v>897</v>
      </c>
      <c r="D123" s="60">
        <v>85</v>
      </c>
      <c r="E123" s="60">
        <v>83</v>
      </c>
      <c r="F123" s="60">
        <v>23</v>
      </c>
      <c r="G123" s="60">
        <v>23</v>
      </c>
      <c r="H123" s="60">
        <v>20</v>
      </c>
      <c r="I123" s="60">
        <v>20</v>
      </c>
      <c r="J123" s="119">
        <v>2098</v>
      </c>
      <c r="K123" s="119">
        <v>2098</v>
      </c>
      <c r="L123" s="119">
        <v>2098</v>
      </c>
      <c r="M123" s="119">
        <v>2098</v>
      </c>
      <c r="N123" s="119">
        <v>17</v>
      </c>
      <c r="O123" s="119">
        <v>17</v>
      </c>
      <c r="P123" s="119">
        <v>16</v>
      </c>
      <c r="Q123" s="119">
        <v>25</v>
      </c>
      <c r="R123" s="60"/>
      <c r="S123" s="60"/>
      <c r="T123" s="4">
        <v>15</v>
      </c>
      <c r="U123" s="4">
        <v>10</v>
      </c>
      <c r="V123" s="4">
        <v>6</v>
      </c>
    </row>
    <row r="124" spans="1:22" x14ac:dyDescent="0.3">
      <c r="A124" s="133" t="s">
        <v>351</v>
      </c>
      <c r="B124" s="60">
        <v>5</v>
      </c>
      <c r="C124" s="60">
        <v>898</v>
      </c>
      <c r="D124" s="60">
        <v>85</v>
      </c>
      <c r="E124" s="60">
        <v>83</v>
      </c>
      <c r="F124" s="60">
        <v>21</v>
      </c>
      <c r="G124" s="60">
        <v>21</v>
      </c>
      <c r="H124" s="60">
        <v>22</v>
      </c>
      <c r="I124" s="60">
        <v>22</v>
      </c>
      <c r="J124" s="119">
        <v>2098</v>
      </c>
      <c r="K124" s="119">
        <v>2098</v>
      </c>
      <c r="L124" s="119">
        <v>2098</v>
      </c>
      <c r="M124" s="119">
        <v>2098</v>
      </c>
      <c r="N124" s="119">
        <v>18</v>
      </c>
      <c r="O124" s="119">
        <v>18</v>
      </c>
      <c r="P124" s="119">
        <v>16</v>
      </c>
      <c r="Q124" s="119">
        <v>25</v>
      </c>
      <c r="R124" s="60"/>
      <c r="S124" s="60"/>
      <c r="T124" s="4">
        <v>15</v>
      </c>
      <c r="U124" s="4">
        <v>10</v>
      </c>
      <c r="V124" s="4">
        <v>6</v>
      </c>
    </row>
    <row r="125" spans="1:22" x14ac:dyDescent="0.3">
      <c r="A125" s="133" t="s">
        <v>351</v>
      </c>
      <c r="B125" s="60">
        <v>4</v>
      </c>
      <c r="C125" s="60">
        <v>898</v>
      </c>
      <c r="D125" s="60">
        <v>85</v>
      </c>
      <c r="E125" s="60">
        <v>83</v>
      </c>
      <c r="F125" s="60">
        <v>21</v>
      </c>
      <c r="G125" s="60">
        <v>21</v>
      </c>
      <c r="H125" s="60">
        <v>21</v>
      </c>
      <c r="I125" s="60">
        <v>21</v>
      </c>
      <c r="J125" s="119">
        <v>2098</v>
      </c>
      <c r="K125" s="119">
        <v>2098</v>
      </c>
      <c r="L125" s="119">
        <v>2092</v>
      </c>
      <c r="M125" s="119">
        <v>2092</v>
      </c>
      <c r="N125" s="119">
        <v>22</v>
      </c>
      <c r="O125" s="119">
        <v>22</v>
      </c>
      <c r="P125" s="119">
        <v>16</v>
      </c>
      <c r="Q125" s="119">
        <v>25</v>
      </c>
      <c r="R125" s="60"/>
      <c r="S125" s="60"/>
      <c r="T125" s="4">
        <v>15</v>
      </c>
      <c r="U125" s="4">
        <v>10</v>
      </c>
      <c r="V125" s="4">
        <v>6</v>
      </c>
    </row>
    <row r="126" spans="1:22" x14ac:dyDescent="0.3">
      <c r="A126" s="133" t="s">
        <v>351</v>
      </c>
      <c r="B126" s="60">
        <v>3</v>
      </c>
      <c r="C126" s="60">
        <v>897</v>
      </c>
      <c r="D126" s="60">
        <v>85</v>
      </c>
      <c r="E126" s="60">
        <v>83</v>
      </c>
      <c r="F126" s="60">
        <v>20</v>
      </c>
      <c r="G126" s="60">
        <v>20</v>
      </c>
      <c r="H126" s="60">
        <v>21</v>
      </c>
      <c r="I126" s="60">
        <v>21</v>
      </c>
      <c r="J126" s="119">
        <v>2098</v>
      </c>
      <c r="K126" s="119">
        <v>2098</v>
      </c>
      <c r="L126" s="119">
        <v>2092</v>
      </c>
      <c r="M126" s="119">
        <v>2092</v>
      </c>
      <c r="N126" s="119">
        <v>20</v>
      </c>
      <c r="O126" s="119">
        <v>20</v>
      </c>
      <c r="P126" s="119">
        <v>16</v>
      </c>
      <c r="Q126" s="119">
        <v>25</v>
      </c>
      <c r="R126" s="60"/>
      <c r="S126" s="60"/>
      <c r="T126" s="4">
        <v>15</v>
      </c>
      <c r="U126" s="4">
        <v>10</v>
      </c>
      <c r="V126" s="4">
        <v>6</v>
      </c>
    </row>
    <row r="127" spans="1:22" x14ac:dyDescent="0.3">
      <c r="A127" s="133" t="s">
        <v>351</v>
      </c>
      <c r="B127" s="60">
        <v>2</v>
      </c>
      <c r="C127" s="60">
        <v>897</v>
      </c>
      <c r="D127" s="60">
        <v>85</v>
      </c>
      <c r="E127" s="60">
        <v>83</v>
      </c>
      <c r="F127" s="60">
        <v>22</v>
      </c>
      <c r="G127" s="60">
        <v>22</v>
      </c>
      <c r="H127" s="60">
        <v>18</v>
      </c>
      <c r="I127" s="60">
        <v>18</v>
      </c>
      <c r="J127" s="119">
        <v>2092</v>
      </c>
      <c r="K127" s="119">
        <v>2092</v>
      </c>
      <c r="L127" s="119">
        <v>2092</v>
      </c>
      <c r="M127" s="119">
        <v>2092</v>
      </c>
      <c r="N127" s="119">
        <v>25</v>
      </c>
      <c r="O127" s="119">
        <v>25</v>
      </c>
      <c r="P127" s="119">
        <v>16</v>
      </c>
      <c r="Q127" s="119">
        <v>25</v>
      </c>
      <c r="R127" s="60"/>
      <c r="S127" s="60"/>
      <c r="T127" s="4">
        <v>15</v>
      </c>
      <c r="U127" s="4">
        <v>10</v>
      </c>
      <c r="V127" s="4">
        <v>6</v>
      </c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127"/>
  <sheetViews>
    <sheetView zoomScale="85" zoomScaleNormal="85" workbookViewId="0">
      <selection activeCell="K7" sqref="K7:N12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(판매)광양 금광 아파트-4차 (쪽쟘제작치수)  김진섭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COUNTA(A7:A157) &amp;" (SET)"</f>
        <v>총 : 121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사급 하이그로시1.2t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 t="str">
        <f>'쪽쟘(실측)'!A7</f>
        <v>105   / 2</v>
      </c>
      <c r="B7" s="50" t="str">
        <f>'쪽쟘(실측)'!B7&amp;"F"</f>
        <v>12F</v>
      </c>
      <c r="C7" s="50" t="str">
        <f>AC7&amp;"*"&amp;AD7</f>
        <v>934*123.2</v>
      </c>
      <c r="D7" s="50">
        <f>'쪽쟘(실측)'!C7-쪽쟘OP차감</f>
        <v>897</v>
      </c>
      <c r="E7" s="50">
        <f>'쪽쟘(실측)'!D7+쪽쟘J늘림+MAX(W7:X7)</f>
        <v>85</v>
      </c>
      <c r="F7" s="50">
        <f>'쪽쟘(실측)'!E7+쪽쟘J늘림+MAX(W7:X7)</f>
        <v>83</v>
      </c>
      <c r="G7" s="67" t="str">
        <f>AF7&amp;"*"&amp;AE7</f>
        <v>2098*124</v>
      </c>
      <c r="H7" s="68" t="str">
        <f>AH7&amp;"*"&amp;AG7</f>
        <v>2098*125</v>
      </c>
      <c r="I7" s="50">
        <f>IF('쪽쟘(실측)'!F7&gt;0,'쪽쟘(실측)'!F7-3,0)+뒷날개치수더함</f>
        <v>18</v>
      </c>
      <c r="J7" s="50">
        <f>IF('쪽쟘(실측)'!H7&gt;0,'쪽쟘(실측)'!H7-3,0)+뒷날개치수더함</f>
        <v>19</v>
      </c>
      <c r="K7" s="50">
        <f>IF('쪽쟘(실측)'!F7&gt;0,'쪽쟘(실측)'!F7+0,0)+뒷날개치수더함-0.2</f>
        <v>20.8</v>
      </c>
      <c r="L7" s="50">
        <f>IF('쪽쟘(실측)'!G7&gt;0,'쪽쟘(실측)'!G7+0,0)+뒷날개치수더함-0.2</f>
        <v>20.8</v>
      </c>
      <c r="M7" s="50">
        <f>IF('쪽쟘(실측)'!H7&gt;0,'쪽쟘(실측)'!H7+0,0)+뒷날개치수더함-0.2</f>
        <v>21.8</v>
      </c>
      <c r="N7" s="50">
        <f>IF('쪽쟘(실측)'!I7&gt;0,'쪽쟘(실측)'!I7+0,0)+뒷날개치수더함-0.2</f>
        <v>21.8</v>
      </c>
      <c r="O7" s="50">
        <f>'쪽쟘(실측)'!J7-쪽쟘기둥차감</f>
        <v>2098</v>
      </c>
      <c r="P7" s="50">
        <f>'쪽쟘(실측)'!K7-쪽쟘기둥차감</f>
        <v>2098</v>
      </c>
      <c r="Q7" s="50">
        <f>'쪽쟘(실측)'!L7-쪽쟘기둥차감</f>
        <v>2098</v>
      </c>
      <c r="R7" s="50">
        <f>'쪽쟘(실측)'!M7-쪽쟘기둥차감</f>
        <v>2098</v>
      </c>
      <c r="S7" s="50">
        <f>'쪽쟘(실측)'!N7+뒷날개치수더함</f>
        <v>27</v>
      </c>
      <c r="T7" s="50">
        <f>'쪽쟘(실측)'!O7+뒷날개치수더함</f>
        <v>27</v>
      </c>
      <c r="U7" s="50">
        <f>'쪽쟘(실측)'!P7+뒷날개치수더함</f>
        <v>16</v>
      </c>
      <c r="V7" s="50">
        <f>'쪽쟘(실측)'!Q7+뒷날개치수더함</f>
        <v>25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15</v>
      </c>
      <c r="Z7" s="4">
        <f>'쪽쟘(실측)'!U7</f>
        <v>10</v>
      </c>
      <c r="AA7" s="4">
        <f>'쪽쟘(실측)'!V7</f>
        <v>6</v>
      </c>
      <c r="AC7">
        <f t="shared" ref="AC7" si="0">D7+I7+J7</f>
        <v>934</v>
      </c>
      <c r="AD7">
        <f>U7+E7+MAX(S7,T7)-쪽쟘소재t*3+IF(S7=0,S7*쪽쟘소재t,0)-1.2</f>
        <v>123.2</v>
      </c>
      <c r="AE7">
        <f>MAX(K7,L7)+F7+V7-쪽쟘소재t*3+IF(K7=0,쪽쟘소재t)-IF(AA7=90,2.4,0)-1.2</f>
        <v>124.00000000000001</v>
      </c>
      <c r="AF7">
        <f t="shared" ref="AF7" si="1">MAX(O7,P7)</f>
        <v>2098</v>
      </c>
      <c r="AG7">
        <f>MAX(M7,N7)+F7+V7-쪽쟘소재t*3+IF(M7=0,쪽쟘소재t)-IF(AA7=90,2.4,0)-1.2</f>
        <v>125.00000000000001</v>
      </c>
      <c r="AH7">
        <f>MAX(Q7,R7)</f>
        <v>2098</v>
      </c>
    </row>
    <row r="8" spans="1:34" ht="19.5" customHeight="1" x14ac:dyDescent="0.3">
      <c r="A8" s="50" t="str">
        <f>'쪽쟘(실측)'!A8</f>
        <v>105   / 2</v>
      </c>
      <c r="B8" s="50" t="str">
        <f>'쪽쟘(실측)'!B8&amp;"F"</f>
        <v>11F</v>
      </c>
      <c r="C8" s="50" t="str">
        <f t="shared" ref="C8:C71" si="2">AC8&amp;"*"&amp;AD8</f>
        <v>931*119.2</v>
      </c>
      <c r="D8" s="50">
        <f>'쪽쟘(실측)'!C8-쪽쟘OP차감</f>
        <v>897</v>
      </c>
      <c r="E8" s="50">
        <f>'쪽쟘(실측)'!D8+쪽쟘J늘림+MAX(W8:X8)</f>
        <v>85</v>
      </c>
      <c r="F8" s="50">
        <f>'쪽쟘(실측)'!E8+쪽쟘J늘림+MAX(W8:X8)</f>
        <v>83</v>
      </c>
      <c r="G8" s="67" t="str">
        <f t="shared" ref="G8:G71" si="3">AF8&amp;"*"&amp;AE8</f>
        <v>2098*123</v>
      </c>
      <c r="H8" s="68" t="str">
        <f t="shared" ref="H8:H71" si="4">AH8&amp;"*"&amp;AG8</f>
        <v>2098*123</v>
      </c>
      <c r="I8" s="50">
        <f>IF('쪽쟘(실측)'!F8&gt;0,'쪽쟘(실측)'!F8-3,0)+뒷날개치수더함</f>
        <v>17</v>
      </c>
      <c r="J8" s="50">
        <f>IF('쪽쟘(실측)'!H8&gt;0,'쪽쟘(실측)'!H8-3,0)+뒷날개치수더함</f>
        <v>17</v>
      </c>
      <c r="K8" s="50">
        <f>IF('쪽쟘(실측)'!F8&gt;0,'쪽쟘(실측)'!F8+0,0)+뒷날개치수더함-0.2</f>
        <v>19.8</v>
      </c>
      <c r="L8" s="50">
        <f>IF('쪽쟘(실측)'!G8&gt;0,'쪽쟘(실측)'!G8+0,0)+뒷날개치수더함-0.2</f>
        <v>19.8</v>
      </c>
      <c r="M8" s="50">
        <f>IF('쪽쟘(실측)'!H8&gt;0,'쪽쟘(실측)'!H8+0,0)+뒷날개치수더함-0.2</f>
        <v>19.8</v>
      </c>
      <c r="N8" s="50">
        <f>IF('쪽쟘(실측)'!I8&gt;0,'쪽쟘(실측)'!I8+0,0)+뒷날개치수더함-0.2</f>
        <v>19.8</v>
      </c>
      <c r="O8" s="50">
        <f>'쪽쟘(실측)'!J8-쪽쟘기둥차감</f>
        <v>2098</v>
      </c>
      <c r="P8" s="50">
        <f>'쪽쟘(실측)'!K8-쪽쟘기둥차감</f>
        <v>2098</v>
      </c>
      <c r="Q8" s="50">
        <f>'쪽쟘(실측)'!L8-쪽쟘기둥차감</f>
        <v>2098</v>
      </c>
      <c r="R8" s="50">
        <f>'쪽쟘(실측)'!M8-쪽쟘기둥차감</f>
        <v>2098</v>
      </c>
      <c r="S8" s="50">
        <f>'쪽쟘(실측)'!N8+뒷날개치수더함</f>
        <v>23</v>
      </c>
      <c r="T8" s="50">
        <f>'쪽쟘(실측)'!O8+뒷날개치수더함</f>
        <v>23</v>
      </c>
      <c r="U8" s="50">
        <f>'쪽쟘(실측)'!P8+뒷날개치수더함</f>
        <v>16</v>
      </c>
      <c r="V8" s="50">
        <f>'쪽쟘(실측)'!Q8+뒷날개치수더함</f>
        <v>25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15</v>
      </c>
      <c r="Z8" s="4">
        <f>'쪽쟘(실측)'!U8</f>
        <v>10</v>
      </c>
      <c r="AA8" s="4">
        <f>'쪽쟘(실측)'!V8</f>
        <v>6</v>
      </c>
      <c r="AC8">
        <f t="shared" ref="AC8:AC71" si="5">D8+I8+J8</f>
        <v>931</v>
      </c>
      <c r="AD8">
        <f>U8+E8+MAX(S8,T8)-쪽쟘소재t*3+IF(S8=0,S8*쪽쟘소재t,0)-1.2</f>
        <v>119.2</v>
      </c>
      <c r="AE8">
        <f>MAX(K8,L8)+F8+V8-쪽쟘소재t*3+IF(K8=0,쪽쟘소재t)-IF(AA8=90,2.4,0)-1.2</f>
        <v>123</v>
      </c>
      <c r="AF8">
        <f t="shared" ref="AF8:AF71" si="6">MAX(O8,P8)</f>
        <v>2098</v>
      </c>
      <c r="AG8">
        <f>MAX(M8,N8)+F8+V8-쪽쟘소재t*3+IF(M8=0,쪽쟘소재t)-IF(AA8=90,2.4,0)-1.2</f>
        <v>123</v>
      </c>
      <c r="AH8">
        <f t="shared" ref="AH8:AH71" si="7">MAX(Q8,R8)</f>
        <v>2098</v>
      </c>
    </row>
    <row r="9" spans="1:34" ht="19.5" customHeight="1" x14ac:dyDescent="0.3">
      <c r="A9" s="50" t="str">
        <f>'쪽쟘(실측)'!A9</f>
        <v>105   / 2</v>
      </c>
      <c r="B9" s="50" t="str">
        <f>'쪽쟘(실측)'!B9&amp;"F"</f>
        <v>10F</v>
      </c>
      <c r="C9" s="50" t="str">
        <f t="shared" si="2"/>
        <v>932*120.2</v>
      </c>
      <c r="D9" s="50">
        <f>'쪽쟘(실측)'!C9-쪽쟘OP차감</f>
        <v>897</v>
      </c>
      <c r="E9" s="50">
        <f>'쪽쟘(실측)'!D9+쪽쟘J늘림+MAX(W9:X9)</f>
        <v>85</v>
      </c>
      <c r="F9" s="50">
        <f>'쪽쟘(실측)'!E9+쪽쟘J늘림+MAX(W9:X9)</f>
        <v>83</v>
      </c>
      <c r="G9" s="67" t="str">
        <f t="shared" si="3"/>
        <v>2092*123</v>
      </c>
      <c r="H9" s="68" t="str">
        <f t="shared" si="4"/>
        <v>2092*124</v>
      </c>
      <c r="I9" s="50">
        <f>IF('쪽쟘(실측)'!F9&gt;0,'쪽쟘(실측)'!F9-3,0)+뒷날개치수더함</f>
        <v>17</v>
      </c>
      <c r="J9" s="50">
        <f>IF('쪽쟘(실측)'!H9&gt;0,'쪽쟘(실측)'!H9-3,0)+뒷날개치수더함</f>
        <v>18</v>
      </c>
      <c r="K9" s="50">
        <f>IF('쪽쟘(실측)'!F9&gt;0,'쪽쟘(실측)'!F9+0,0)+뒷날개치수더함-0.2</f>
        <v>19.8</v>
      </c>
      <c r="L9" s="50">
        <f>IF('쪽쟘(실측)'!G9&gt;0,'쪽쟘(실측)'!G9+0,0)+뒷날개치수더함-0.2</f>
        <v>19.8</v>
      </c>
      <c r="M9" s="50">
        <f>IF('쪽쟘(실측)'!H9&gt;0,'쪽쟘(실측)'!H9+0,0)+뒷날개치수더함-0.2</f>
        <v>20.8</v>
      </c>
      <c r="N9" s="50">
        <f>IF('쪽쟘(실측)'!I9&gt;0,'쪽쟘(실측)'!I9+0,0)+뒷날개치수더함-0.2</f>
        <v>20.8</v>
      </c>
      <c r="O9" s="50">
        <f>'쪽쟘(실측)'!J9-쪽쟘기둥차감</f>
        <v>2092</v>
      </c>
      <c r="P9" s="50">
        <f>'쪽쟘(실측)'!K9-쪽쟘기둥차감</f>
        <v>2092</v>
      </c>
      <c r="Q9" s="50">
        <f>'쪽쟘(실측)'!L9-쪽쟘기둥차감</f>
        <v>2092</v>
      </c>
      <c r="R9" s="50">
        <f>'쪽쟘(실측)'!M9-쪽쟘기둥차감</f>
        <v>2092</v>
      </c>
      <c r="S9" s="50">
        <f>'쪽쟘(실측)'!N9+뒷날개치수더함</f>
        <v>24</v>
      </c>
      <c r="T9" s="50">
        <f>'쪽쟘(실측)'!O9+뒷날개치수더함</f>
        <v>24</v>
      </c>
      <c r="U9" s="50">
        <f>'쪽쟘(실측)'!P9+뒷날개치수더함</f>
        <v>16</v>
      </c>
      <c r="V9" s="50">
        <f>'쪽쟘(실측)'!Q9+뒷날개치수더함</f>
        <v>25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15</v>
      </c>
      <c r="Z9" s="4">
        <f>'쪽쟘(실측)'!U9</f>
        <v>10</v>
      </c>
      <c r="AA9" s="4">
        <f>'쪽쟘(실측)'!V9</f>
        <v>6</v>
      </c>
      <c r="AC9">
        <f t="shared" si="5"/>
        <v>932</v>
      </c>
      <c r="AD9">
        <f>U9+E9+MAX(S9,T9)-쪽쟘소재t*3+IF(S9=0,S9*쪽쟘소재t,0)-1.2</f>
        <v>120.2</v>
      </c>
      <c r="AE9">
        <f>MAX(K9,L9)+F9+V9-쪽쟘소재t*3+IF(K9=0,쪽쟘소재t)-IF(AA9=90,2.4,0)-1.2</f>
        <v>123</v>
      </c>
      <c r="AF9">
        <f t="shared" si="6"/>
        <v>2092</v>
      </c>
      <c r="AG9">
        <f>MAX(M9,N9)+F9+V9-쪽쟘소재t*3+IF(M9=0,쪽쟘소재t)-IF(AA9=90,2.4,0)-1.2</f>
        <v>124.00000000000001</v>
      </c>
      <c r="AH9">
        <f t="shared" si="7"/>
        <v>2092</v>
      </c>
    </row>
    <row r="10" spans="1:34" ht="19.5" customHeight="1" x14ac:dyDescent="0.3">
      <c r="A10" s="50" t="str">
        <f>'쪽쟘(실측)'!A10</f>
        <v>105   / 2</v>
      </c>
      <c r="B10" s="50" t="str">
        <f>'쪽쟘(실측)'!B10&amp;"F"</f>
        <v>9F</v>
      </c>
      <c r="C10" s="50" t="str">
        <f t="shared" si="2"/>
        <v>933*116.2</v>
      </c>
      <c r="D10" s="50">
        <f>'쪽쟘(실측)'!C10-쪽쟘OP차감</f>
        <v>897</v>
      </c>
      <c r="E10" s="50">
        <f>'쪽쟘(실측)'!D10+쪽쟘J늘림+MAX(W10:X10)</f>
        <v>85</v>
      </c>
      <c r="F10" s="50">
        <f>'쪽쟘(실측)'!E10+쪽쟘J늘림+MAX(W10:X10)</f>
        <v>83</v>
      </c>
      <c r="G10" s="67" t="str">
        <f t="shared" si="3"/>
        <v>2092*124</v>
      </c>
      <c r="H10" s="68" t="str">
        <f t="shared" si="4"/>
        <v>2092*124</v>
      </c>
      <c r="I10" s="50">
        <f>IF('쪽쟘(실측)'!F10&gt;0,'쪽쟘(실측)'!F10-3,0)+뒷날개치수더함</f>
        <v>18</v>
      </c>
      <c r="J10" s="50">
        <f>IF('쪽쟘(실측)'!H10&gt;0,'쪽쟘(실측)'!H10-3,0)+뒷날개치수더함</f>
        <v>18</v>
      </c>
      <c r="K10" s="50">
        <f>IF('쪽쟘(실측)'!F10&gt;0,'쪽쟘(실측)'!F10+0,0)+뒷날개치수더함-0.2</f>
        <v>20.8</v>
      </c>
      <c r="L10" s="50">
        <f>IF('쪽쟘(실측)'!G10&gt;0,'쪽쟘(실측)'!G10+0,0)+뒷날개치수더함-0.2</f>
        <v>20.8</v>
      </c>
      <c r="M10" s="50">
        <f>IF('쪽쟘(실측)'!H10&gt;0,'쪽쟘(실측)'!H10+0,0)+뒷날개치수더함-0.2</f>
        <v>20.8</v>
      </c>
      <c r="N10" s="50">
        <f>IF('쪽쟘(실측)'!I10&gt;0,'쪽쟘(실측)'!I10+0,0)+뒷날개치수더함-0.2</f>
        <v>20.8</v>
      </c>
      <c r="O10" s="50">
        <f>'쪽쟘(실측)'!J10-쪽쟘기둥차감</f>
        <v>2092</v>
      </c>
      <c r="P10" s="50">
        <f>'쪽쟘(실측)'!K10-쪽쟘기둥차감</f>
        <v>2092</v>
      </c>
      <c r="Q10" s="50">
        <f>'쪽쟘(실측)'!L10-쪽쟘기둥차감</f>
        <v>2092</v>
      </c>
      <c r="R10" s="50">
        <f>'쪽쟘(실측)'!M10-쪽쟘기둥차감</f>
        <v>2092</v>
      </c>
      <c r="S10" s="50">
        <f>'쪽쟘(실측)'!N10+뒷날개치수더함</f>
        <v>20</v>
      </c>
      <c r="T10" s="50">
        <f>'쪽쟘(실측)'!O10+뒷날개치수더함</f>
        <v>20</v>
      </c>
      <c r="U10" s="50">
        <f>'쪽쟘(실측)'!P10+뒷날개치수더함</f>
        <v>16</v>
      </c>
      <c r="V10" s="50">
        <f>'쪽쟘(실측)'!Q10+뒷날개치수더함</f>
        <v>25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15</v>
      </c>
      <c r="Z10" s="4">
        <f>'쪽쟘(실측)'!U10</f>
        <v>10</v>
      </c>
      <c r="AA10" s="4">
        <f>'쪽쟘(실측)'!V10</f>
        <v>6</v>
      </c>
      <c r="AC10">
        <f t="shared" si="5"/>
        <v>933</v>
      </c>
      <c r="AD10">
        <f>U10+E10+MAX(S10,T10)-쪽쟘소재t*3+IF(S10=0,S10*쪽쟘소재t,0)-1.2</f>
        <v>116.2</v>
      </c>
      <c r="AE10">
        <f>MAX(K10,L10)+F10+V10-쪽쟘소재t*3+IF(K10=0,쪽쟘소재t)-IF(AA10=90,2.4,0)-1.2</f>
        <v>124.00000000000001</v>
      </c>
      <c r="AF10">
        <f t="shared" si="6"/>
        <v>2092</v>
      </c>
      <c r="AG10">
        <f>MAX(M10,N10)+F10+V10-쪽쟘소재t*3+IF(M10=0,쪽쟘소재t)-IF(AA10=90,2.4,0)-1.2</f>
        <v>124.00000000000001</v>
      </c>
      <c r="AH10">
        <f t="shared" si="7"/>
        <v>2092</v>
      </c>
    </row>
    <row r="11" spans="1:34" ht="19.5" customHeight="1" x14ac:dyDescent="0.3">
      <c r="A11" s="50" t="str">
        <f>'쪽쟘(실측)'!A11</f>
        <v>105   / 2</v>
      </c>
      <c r="B11" s="50" t="str">
        <f>'쪽쟘(실측)'!B11&amp;"F"</f>
        <v>8F</v>
      </c>
      <c r="C11" s="50" t="str">
        <f t="shared" si="2"/>
        <v>933*114.2</v>
      </c>
      <c r="D11" s="50">
        <f>'쪽쟘(실측)'!C11-쪽쟘OP차감</f>
        <v>897</v>
      </c>
      <c r="E11" s="50">
        <f>'쪽쟘(실측)'!D11+쪽쟘J늘림+MAX(W11:X11)</f>
        <v>85</v>
      </c>
      <c r="F11" s="50">
        <f>'쪽쟘(실측)'!E11+쪽쟘J늘림+MAX(W11:X11)</f>
        <v>83</v>
      </c>
      <c r="G11" s="67" t="str">
        <f t="shared" si="3"/>
        <v>2098*124</v>
      </c>
      <c r="H11" s="68" t="str">
        <f t="shared" si="4"/>
        <v>2092*124</v>
      </c>
      <c r="I11" s="50">
        <f>IF('쪽쟘(실측)'!F11&gt;0,'쪽쟘(실측)'!F11-3,0)+뒷날개치수더함</f>
        <v>18</v>
      </c>
      <c r="J11" s="50">
        <f>IF('쪽쟘(실측)'!H11&gt;0,'쪽쟘(실측)'!H11-3,0)+뒷날개치수더함</f>
        <v>18</v>
      </c>
      <c r="K11" s="50">
        <f>IF('쪽쟘(실측)'!F11&gt;0,'쪽쟘(실측)'!F11+0,0)+뒷날개치수더함-0.2</f>
        <v>20.8</v>
      </c>
      <c r="L11" s="50">
        <f>IF('쪽쟘(실측)'!G11&gt;0,'쪽쟘(실측)'!G11+0,0)+뒷날개치수더함-0.2</f>
        <v>20.8</v>
      </c>
      <c r="M11" s="50">
        <f>IF('쪽쟘(실측)'!H11&gt;0,'쪽쟘(실측)'!H11+0,0)+뒷날개치수더함-0.2</f>
        <v>20.8</v>
      </c>
      <c r="N11" s="50">
        <f>IF('쪽쟘(실측)'!I11&gt;0,'쪽쟘(실측)'!I11+0,0)+뒷날개치수더함-0.2</f>
        <v>20.8</v>
      </c>
      <c r="O11" s="50">
        <f>'쪽쟘(실측)'!J11-쪽쟘기둥차감</f>
        <v>2098</v>
      </c>
      <c r="P11" s="50">
        <f>'쪽쟘(실측)'!K11-쪽쟘기둥차감</f>
        <v>2098</v>
      </c>
      <c r="Q11" s="50">
        <f>'쪽쟘(실측)'!L11-쪽쟘기둥차감</f>
        <v>2092</v>
      </c>
      <c r="R11" s="50">
        <f>'쪽쟘(실측)'!M11-쪽쟘기둥차감</f>
        <v>2092</v>
      </c>
      <c r="S11" s="50">
        <f>'쪽쟘(실측)'!N11+뒷날개치수더함</f>
        <v>18</v>
      </c>
      <c r="T11" s="50">
        <f>'쪽쟘(실측)'!O11+뒷날개치수더함</f>
        <v>18</v>
      </c>
      <c r="U11" s="50">
        <f>'쪽쟘(실측)'!P11+뒷날개치수더함</f>
        <v>16</v>
      </c>
      <c r="V11" s="50">
        <f>'쪽쟘(실측)'!Q11+뒷날개치수더함</f>
        <v>25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15</v>
      </c>
      <c r="Z11" s="4">
        <f>'쪽쟘(실측)'!U11</f>
        <v>10</v>
      </c>
      <c r="AA11" s="4">
        <f>'쪽쟘(실측)'!V11</f>
        <v>6</v>
      </c>
      <c r="AC11">
        <f t="shared" si="5"/>
        <v>933</v>
      </c>
      <c r="AD11">
        <f>U11+E11+MAX(S11,T11)-쪽쟘소재t*3+IF(S11=0,S11*쪽쟘소재t,0)-1.2</f>
        <v>114.2</v>
      </c>
      <c r="AE11">
        <f>MAX(K11,L11)+F11+V11-쪽쟘소재t*3+IF(K11=0,쪽쟘소재t)-IF(AA11=90,2.4,0)-1.2</f>
        <v>124.00000000000001</v>
      </c>
      <c r="AF11">
        <f t="shared" si="6"/>
        <v>2098</v>
      </c>
      <c r="AG11">
        <f>MAX(M11,N11)+F11+V11-쪽쟘소재t*3+IF(M11=0,쪽쟘소재t)-IF(AA11=90,2.4,0)-1.2</f>
        <v>124.00000000000001</v>
      </c>
      <c r="AH11">
        <f t="shared" si="7"/>
        <v>2092</v>
      </c>
    </row>
    <row r="12" spans="1:34" ht="19.5" customHeight="1" x14ac:dyDescent="0.3">
      <c r="A12" s="50" t="str">
        <f>'쪽쟘(실측)'!A12</f>
        <v>105   / 2</v>
      </c>
      <c r="B12" s="50" t="str">
        <f>'쪽쟘(실측)'!B12&amp;"F"</f>
        <v>7F</v>
      </c>
      <c r="C12" s="50" t="str">
        <f t="shared" si="2"/>
        <v>929*108.2</v>
      </c>
      <c r="D12" s="50">
        <f>'쪽쟘(실측)'!C12-쪽쟘OP차감</f>
        <v>896</v>
      </c>
      <c r="E12" s="50">
        <f>'쪽쟘(실측)'!D12+쪽쟘J늘림+MAX(W12:X12)</f>
        <v>85</v>
      </c>
      <c r="F12" s="50">
        <f>'쪽쟘(실측)'!E12+쪽쟘J늘림+MAX(W12:X12)</f>
        <v>83</v>
      </c>
      <c r="G12" s="67" t="str">
        <f t="shared" si="3"/>
        <v>2098*122</v>
      </c>
      <c r="H12" s="68" t="str">
        <f t="shared" si="4"/>
        <v>2092*123</v>
      </c>
      <c r="I12" s="50">
        <f>IF('쪽쟘(실측)'!F12&gt;0,'쪽쟘(실측)'!F12-3,0)+뒷날개치수더함</f>
        <v>16</v>
      </c>
      <c r="J12" s="50">
        <f>IF('쪽쟘(실측)'!H12&gt;0,'쪽쟘(실측)'!H12-3,0)+뒷날개치수더함</f>
        <v>17</v>
      </c>
      <c r="K12" s="50">
        <f>IF('쪽쟘(실측)'!F12&gt;0,'쪽쟘(실측)'!F12+0,0)+뒷날개치수더함-0.2</f>
        <v>18.8</v>
      </c>
      <c r="L12" s="50">
        <f>IF('쪽쟘(실측)'!G12&gt;0,'쪽쟘(실측)'!G12+0,0)+뒷날개치수더함-0.2</f>
        <v>18.8</v>
      </c>
      <c r="M12" s="50">
        <f>IF('쪽쟘(실측)'!H12&gt;0,'쪽쟘(실측)'!H12+0,0)+뒷날개치수더함-0.2</f>
        <v>19.8</v>
      </c>
      <c r="N12" s="50">
        <f>IF('쪽쟘(실측)'!I12&gt;0,'쪽쟘(실측)'!I12+0,0)+뒷날개치수더함-0.2</f>
        <v>19.8</v>
      </c>
      <c r="O12" s="50">
        <f>'쪽쟘(실측)'!J12-쪽쟘기둥차감</f>
        <v>2098</v>
      </c>
      <c r="P12" s="50">
        <f>'쪽쟘(실측)'!K12-쪽쟘기둥차감</f>
        <v>2098</v>
      </c>
      <c r="Q12" s="50">
        <f>'쪽쟘(실측)'!L12-쪽쟘기둥차감</f>
        <v>2092</v>
      </c>
      <c r="R12" s="50">
        <f>'쪽쟘(실측)'!M12-쪽쟘기둥차감</f>
        <v>2092</v>
      </c>
      <c r="S12" s="50">
        <f>'쪽쟘(실측)'!N12+뒷날개치수더함</f>
        <v>12</v>
      </c>
      <c r="T12" s="50">
        <f>'쪽쟘(실측)'!O12+뒷날개치수더함</f>
        <v>12</v>
      </c>
      <c r="U12" s="50">
        <f>'쪽쟘(실측)'!P12+뒷날개치수더함</f>
        <v>16</v>
      </c>
      <c r="V12" s="50">
        <f>'쪽쟘(실측)'!Q12+뒷날개치수더함</f>
        <v>25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15</v>
      </c>
      <c r="Z12" s="4">
        <f>'쪽쟘(실측)'!U12</f>
        <v>10</v>
      </c>
      <c r="AA12" s="4">
        <f>'쪽쟘(실측)'!V12</f>
        <v>6</v>
      </c>
      <c r="AC12">
        <f t="shared" si="5"/>
        <v>929</v>
      </c>
      <c r="AD12">
        <f>U12+E12+MAX(S12,T12)-쪽쟘소재t*3+IF(S12=0,S12*쪽쟘소재t,0)-1.2</f>
        <v>108.2</v>
      </c>
      <c r="AE12">
        <f>MAX(K12,L12)+F12+V12-쪽쟘소재t*3+IF(K12=0,쪽쟘소재t)-IF(AA12=90,2.4,0)-1.2</f>
        <v>122</v>
      </c>
      <c r="AF12">
        <f t="shared" si="6"/>
        <v>2098</v>
      </c>
      <c r="AG12">
        <f>MAX(M12,N12)+F12+V12-쪽쟘소재t*3+IF(M12=0,쪽쟘소재t)-IF(AA12=90,2.4,0)-1.2</f>
        <v>123</v>
      </c>
      <c r="AH12">
        <f t="shared" si="7"/>
        <v>2092</v>
      </c>
    </row>
    <row r="13" spans="1:34" ht="19.5" customHeight="1" x14ac:dyDescent="0.3">
      <c r="A13" s="50" t="str">
        <f>'쪽쟘(실측)'!A13</f>
        <v>105   / 2</v>
      </c>
      <c r="B13" s="50" t="str">
        <f>'쪽쟘(실측)'!B13&amp;"F"</f>
        <v>6F</v>
      </c>
      <c r="C13" s="50" t="str">
        <f t="shared" si="2"/>
        <v>936*118.2</v>
      </c>
      <c r="D13" s="50">
        <f>'쪽쟘(실측)'!C13-쪽쟘OP차감</f>
        <v>897</v>
      </c>
      <c r="E13" s="50">
        <f>'쪽쟘(실측)'!D13+쪽쟘J늘림+MAX(W13:X13)</f>
        <v>85</v>
      </c>
      <c r="F13" s="50">
        <f>'쪽쟘(실측)'!E13+쪽쟘J늘림+MAX(W13:X13)</f>
        <v>83</v>
      </c>
      <c r="G13" s="67" t="str">
        <f t="shared" si="3"/>
        <v>2092*125</v>
      </c>
      <c r="H13" s="68" t="str">
        <f t="shared" si="4"/>
        <v>2092*126</v>
      </c>
      <c r="I13" s="50">
        <f>IF('쪽쟘(실측)'!F13&gt;0,'쪽쟘(실측)'!F13-3,0)+뒷날개치수더함</f>
        <v>19</v>
      </c>
      <c r="J13" s="50">
        <f>IF('쪽쟘(실측)'!H13&gt;0,'쪽쟘(실측)'!H13-3,0)+뒷날개치수더함</f>
        <v>20</v>
      </c>
      <c r="K13" s="50">
        <f>IF('쪽쟘(실측)'!F13&gt;0,'쪽쟘(실측)'!F13+0,0)+뒷날개치수더함-0.2</f>
        <v>21.8</v>
      </c>
      <c r="L13" s="50">
        <f>IF('쪽쟘(실측)'!G13&gt;0,'쪽쟘(실측)'!G13+0,0)+뒷날개치수더함-0.2</f>
        <v>21.8</v>
      </c>
      <c r="M13" s="50">
        <f>IF('쪽쟘(실측)'!H13&gt;0,'쪽쟘(실측)'!H13+0,0)+뒷날개치수더함-0.2</f>
        <v>22.8</v>
      </c>
      <c r="N13" s="50">
        <f>IF('쪽쟘(실측)'!I13&gt;0,'쪽쟘(실측)'!I13+0,0)+뒷날개치수더함-0.2</f>
        <v>22.8</v>
      </c>
      <c r="O13" s="50">
        <f>'쪽쟘(실측)'!J13-쪽쟘기둥차감</f>
        <v>2092</v>
      </c>
      <c r="P13" s="50">
        <f>'쪽쟘(실측)'!K13-쪽쟘기둥차감</f>
        <v>2092</v>
      </c>
      <c r="Q13" s="50">
        <f>'쪽쟘(실측)'!L13-쪽쟘기둥차감</f>
        <v>2092</v>
      </c>
      <c r="R13" s="50">
        <f>'쪽쟘(실측)'!M13-쪽쟘기둥차감</f>
        <v>2092</v>
      </c>
      <c r="S13" s="50">
        <f>'쪽쟘(실측)'!N13+뒷날개치수더함</f>
        <v>22</v>
      </c>
      <c r="T13" s="50">
        <f>'쪽쟘(실측)'!O13+뒷날개치수더함</f>
        <v>22</v>
      </c>
      <c r="U13" s="50">
        <f>'쪽쟘(실측)'!P13+뒷날개치수더함</f>
        <v>16</v>
      </c>
      <c r="V13" s="50">
        <f>'쪽쟘(실측)'!Q13+뒷날개치수더함</f>
        <v>25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15</v>
      </c>
      <c r="Z13" s="4">
        <f>'쪽쟘(실측)'!U13</f>
        <v>10</v>
      </c>
      <c r="AA13" s="4">
        <f>'쪽쟘(실측)'!V13</f>
        <v>6</v>
      </c>
      <c r="AC13">
        <f t="shared" si="5"/>
        <v>936</v>
      </c>
      <c r="AD13">
        <f>U13+E13+MAX(S13,T13)-쪽쟘소재t*3+IF(S13=0,S13*쪽쟘소재t,0)-1.2</f>
        <v>118.2</v>
      </c>
      <c r="AE13">
        <f>MAX(K13,L13)+F13+V13-쪽쟘소재t*3+IF(K13=0,쪽쟘소재t)-IF(AA13=90,2.4,0)-1.2</f>
        <v>125.00000000000001</v>
      </c>
      <c r="AF13">
        <f t="shared" si="6"/>
        <v>2092</v>
      </c>
      <c r="AG13">
        <f>MAX(M13,N13)+F13+V13-쪽쟘소재t*3+IF(M13=0,쪽쟘소재t)-IF(AA13=90,2.4,0)-1.2</f>
        <v>126.00000000000001</v>
      </c>
      <c r="AH13">
        <f t="shared" si="7"/>
        <v>2092</v>
      </c>
    </row>
    <row r="14" spans="1:34" ht="19.5" customHeight="1" x14ac:dyDescent="0.3">
      <c r="A14" s="50" t="str">
        <f>'쪽쟘(실측)'!A14</f>
        <v>105   / 2</v>
      </c>
      <c r="B14" s="50" t="str">
        <f>'쪽쟘(실측)'!B14&amp;"F"</f>
        <v>5F</v>
      </c>
      <c r="C14" s="50" t="str">
        <f t="shared" si="2"/>
        <v>934*110.2</v>
      </c>
      <c r="D14" s="50">
        <f>'쪽쟘(실측)'!C14-쪽쟘OP차감</f>
        <v>896</v>
      </c>
      <c r="E14" s="50">
        <f>'쪽쟘(실측)'!D14+쪽쟘J늘림+MAX(W14:X14)</f>
        <v>85</v>
      </c>
      <c r="F14" s="50">
        <f>'쪽쟘(실측)'!E14+쪽쟘J늘림+MAX(W14:X14)</f>
        <v>83</v>
      </c>
      <c r="G14" s="67" t="str">
        <f t="shared" si="3"/>
        <v>2092*123</v>
      </c>
      <c r="H14" s="68" t="str">
        <f t="shared" si="4"/>
        <v>2092*127</v>
      </c>
      <c r="I14" s="50">
        <f>IF('쪽쟘(실측)'!F14&gt;0,'쪽쟘(실측)'!F14-3,0)+뒷날개치수더함</f>
        <v>17</v>
      </c>
      <c r="J14" s="50">
        <f>IF('쪽쟘(실측)'!H14&gt;0,'쪽쟘(실측)'!H14-3,0)+뒷날개치수더함</f>
        <v>21</v>
      </c>
      <c r="K14" s="50">
        <f>IF('쪽쟘(실측)'!F14&gt;0,'쪽쟘(실측)'!F14+0,0)+뒷날개치수더함-0.2</f>
        <v>19.8</v>
      </c>
      <c r="L14" s="50">
        <f>IF('쪽쟘(실측)'!G14&gt;0,'쪽쟘(실측)'!G14+0,0)+뒷날개치수더함-0.2</f>
        <v>19.8</v>
      </c>
      <c r="M14" s="50">
        <f>IF('쪽쟘(실측)'!H14&gt;0,'쪽쟘(실측)'!H14+0,0)+뒷날개치수더함-0.2</f>
        <v>23.8</v>
      </c>
      <c r="N14" s="50">
        <f>IF('쪽쟘(실측)'!I14&gt;0,'쪽쟘(실측)'!I14+0,0)+뒷날개치수더함-0.2</f>
        <v>23.8</v>
      </c>
      <c r="O14" s="50">
        <f>'쪽쟘(실측)'!J14-쪽쟘기둥차감</f>
        <v>2092</v>
      </c>
      <c r="P14" s="50">
        <f>'쪽쟘(실측)'!K14-쪽쟘기둥차감</f>
        <v>2092</v>
      </c>
      <c r="Q14" s="50">
        <f>'쪽쟘(실측)'!L14-쪽쟘기둥차감</f>
        <v>2092</v>
      </c>
      <c r="R14" s="50">
        <f>'쪽쟘(실측)'!M14-쪽쟘기둥차감</f>
        <v>2092</v>
      </c>
      <c r="S14" s="50">
        <f>'쪽쟘(실측)'!N14+뒷날개치수더함</f>
        <v>14</v>
      </c>
      <c r="T14" s="50">
        <f>'쪽쟘(실측)'!O14+뒷날개치수더함</f>
        <v>14</v>
      </c>
      <c r="U14" s="50">
        <f>'쪽쟘(실측)'!P14+뒷날개치수더함</f>
        <v>16</v>
      </c>
      <c r="V14" s="50">
        <f>'쪽쟘(실측)'!Q14+뒷날개치수더함</f>
        <v>25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15</v>
      </c>
      <c r="Z14" s="4">
        <f>'쪽쟘(실측)'!U14</f>
        <v>10</v>
      </c>
      <c r="AA14" s="4">
        <f>'쪽쟘(실측)'!V14</f>
        <v>6</v>
      </c>
      <c r="AC14">
        <f t="shared" si="5"/>
        <v>934</v>
      </c>
      <c r="AD14">
        <f>U14+E14+MAX(S14,T14)-쪽쟘소재t*3+IF(S14=0,S14*쪽쟘소재t,0)-1.2</f>
        <v>110.2</v>
      </c>
      <c r="AE14">
        <f>MAX(K14,L14)+F14+V14-쪽쟘소재t*3+IF(K14=0,쪽쟘소재t)-IF(AA14=90,2.4,0)-1.2</f>
        <v>123</v>
      </c>
      <c r="AF14">
        <f t="shared" si="6"/>
        <v>2092</v>
      </c>
      <c r="AG14">
        <f>MAX(M14,N14)+F14+V14-쪽쟘소재t*3+IF(M14=0,쪽쟘소재t)-IF(AA14=90,2.4,0)-1.2</f>
        <v>127.00000000000001</v>
      </c>
      <c r="AH14">
        <f t="shared" si="7"/>
        <v>2092</v>
      </c>
    </row>
    <row r="15" spans="1:34" ht="19.5" customHeight="1" x14ac:dyDescent="0.3">
      <c r="A15" s="50" t="str">
        <f>'쪽쟘(실측)'!A15</f>
        <v>105   / 2</v>
      </c>
      <c r="B15" s="50" t="str">
        <f>'쪽쟘(실측)'!B15&amp;"F"</f>
        <v>4F</v>
      </c>
      <c r="C15" s="50" t="str">
        <f t="shared" si="2"/>
        <v>933*106.2</v>
      </c>
      <c r="D15" s="50">
        <f>'쪽쟘(실측)'!C15-쪽쟘OP차감</f>
        <v>897</v>
      </c>
      <c r="E15" s="50">
        <f>'쪽쟘(실측)'!D15+쪽쟘J늘림+MAX(W15:X15)</f>
        <v>85</v>
      </c>
      <c r="F15" s="50">
        <f>'쪽쟘(실측)'!E15+쪽쟘J늘림+MAX(W15:X15)</f>
        <v>83</v>
      </c>
      <c r="G15" s="67" t="str">
        <f t="shared" si="3"/>
        <v>2098*124</v>
      </c>
      <c r="H15" s="68" t="str">
        <f t="shared" si="4"/>
        <v>2098*124</v>
      </c>
      <c r="I15" s="50">
        <f>IF('쪽쟘(실측)'!F15&gt;0,'쪽쟘(실측)'!F15-3,0)+뒷날개치수더함</f>
        <v>18</v>
      </c>
      <c r="J15" s="50">
        <f>IF('쪽쟘(실측)'!H15&gt;0,'쪽쟘(실측)'!H15-3,0)+뒷날개치수더함</f>
        <v>18</v>
      </c>
      <c r="K15" s="50">
        <f>IF('쪽쟘(실측)'!F15&gt;0,'쪽쟘(실측)'!F15+0,0)+뒷날개치수더함-0.2</f>
        <v>20.8</v>
      </c>
      <c r="L15" s="50">
        <f>IF('쪽쟘(실측)'!G15&gt;0,'쪽쟘(실측)'!G15+0,0)+뒷날개치수더함-0.2</f>
        <v>20.8</v>
      </c>
      <c r="M15" s="50">
        <f>IF('쪽쟘(실측)'!H15&gt;0,'쪽쟘(실측)'!H15+0,0)+뒷날개치수더함-0.2</f>
        <v>20.8</v>
      </c>
      <c r="N15" s="50">
        <f>IF('쪽쟘(실측)'!I15&gt;0,'쪽쟘(실측)'!I15+0,0)+뒷날개치수더함-0.2</f>
        <v>20.8</v>
      </c>
      <c r="O15" s="50">
        <f>'쪽쟘(실측)'!J15-쪽쟘기둥차감</f>
        <v>2098</v>
      </c>
      <c r="P15" s="50">
        <f>'쪽쟘(실측)'!K15-쪽쟘기둥차감</f>
        <v>2098</v>
      </c>
      <c r="Q15" s="50">
        <f>'쪽쟘(실측)'!L15-쪽쟘기둥차감</f>
        <v>2098</v>
      </c>
      <c r="R15" s="50">
        <f>'쪽쟘(실측)'!M15-쪽쟘기둥차감</f>
        <v>2098</v>
      </c>
      <c r="S15" s="50">
        <f>'쪽쟘(실측)'!N15+뒷날개치수더함</f>
        <v>10</v>
      </c>
      <c r="T15" s="50">
        <f>'쪽쟘(실측)'!O15+뒷날개치수더함</f>
        <v>10</v>
      </c>
      <c r="U15" s="50">
        <f>'쪽쟘(실측)'!P15+뒷날개치수더함</f>
        <v>16</v>
      </c>
      <c r="V15" s="50">
        <f>'쪽쟘(실측)'!Q15+뒷날개치수더함</f>
        <v>25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15</v>
      </c>
      <c r="Z15" s="4">
        <f>'쪽쟘(실측)'!U15</f>
        <v>10</v>
      </c>
      <c r="AA15" s="4">
        <f>'쪽쟘(실측)'!V15</f>
        <v>6</v>
      </c>
      <c r="AC15">
        <f t="shared" si="5"/>
        <v>933</v>
      </c>
      <c r="AD15">
        <f>U15+E15+MAX(S15,T15)-쪽쟘소재t*3+IF(S15=0,S15*쪽쟘소재t,0)-1.2</f>
        <v>106.2</v>
      </c>
      <c r="AE15">
        <f>MAX(K15,L15)+F15+V15-쪽쟘소재t*3+IF(K15=0,쪽쟘소재t)-IF(AA15=90,2.4,0)-1.2</f>
        <v>124.00000000000001</v>
      </c>
      <c r="AF15">
        <f t="shared" si="6"/>
        <v>2098</v>
      </c>
      <c r="AG15">
        <f>MAX(M15,N15)+F15+V15-쪽쟘소재t*3+IF(M15=0,쪽쟘소재t)-IF(AA15=90,2.4,0)-1.2</f>
        <v>124.00000000000001</v>
      </c>
      <c r="AH15">
        <f t="shared" si="7"/>
        <v>2098</v>
      </c>
    </row>
    <row r="16" spans="1:34" ht="19.5" customHeight="1" x14ac:dyDescent="0.3">
      <c r="A16" s="50" t="str">
        <f>'쪽쟘(실측)'!A16</f>
        <v>105   / 2</v>
      </c>
      <c r="B16" s="50" t="str">
        <f>'쪽쟘(실측)'!B16&amp;"F"</f>
        <v>3F</v>
      </c>
      <c r="C16" s="50" t="str">
        <f t="shared" si="2"/>
        <v>931*107.2</v>
      </c>
      <c r="D16" s="50">
        <f>'쪽쟘(실측)'!C16-쪽쟘OP차감</f>
        <v>896</v>
      </c>
      <c r="E16" s="50">
        <f>'쪽쟘(실측)'!D16+쪽쟘J늘림+MAX(W16:X16)</f>
        <v>85</v>
      </c>
      <c r="F16" s="50">
        <f>'쪽쟘(실측)'!E16+쪽쟘J늘림+MAX(W16:X16)</f>
        <v>83</v>
      </c>
      <c r="G16" s="67" t="str">
        <f t="shared" si="3"/>
        <v>2098*124</v>
      </c>
      <c r="H16" s="68" t="str">
        <f t="shared" si="4"/>
        <v>2098*123</v>
      </c>
      <c r="I16" s="50">
        <f>IF('쪽쟘(실측)'!F16&gt;0,'쪽쟘(실측)'!F16-3,0)+뒷날개치수더함</f>
        <v>18</v>
      </c>
      <c r="J16" s="50">
        <f>IF('쪽쟘(실측)'!H16&gt;0,'쪽쟘(실측)'!H16-3,0)+뒷날개치수더함</f>
        <v>17</v>
      </c>
      <c r="K16" s="50">
        <f>IF('쪽쟘(실측)'!F16&gt;0,'쪽쟘(실측)'!F16+0,0)+뒷날개치수더함-0.2</f>
        <v>20.8</v>
      </c>
      <c r="L16" s="50">
        <f>IF('쪽쟘(실측)'!G16&gt;0,'쪽쟘(실측)'!G16+0,0)+뒷날개치수더함-0.2</f>
        <v>20.8</v>
      </c>
      <c r="M16" s="50">
        <f>IF('쪽쟘(실측)'!H16&gt;0,'쪽쟘(실측)'!H16+0,0)+뒷날개치수더함-0.2</f>
        <v>19.8</v>
      </c>
      <c r="N16" s="50">
        <f>IF('쪽쟘(실측)'!I16&gt;0,'쪽쟘(실측)'!I16+0,0)+뒷날개치수더함-0.2</f>
        <v>19.8</v>
      </c>
      <c r="O16" s="50">
        <f>'쪽쟘(실측)'!J16-쪽쟘기둥차감</f>
        <v>2098</v>
      </c>
      <c r="P16" s="50">
        <f>'쪽쟘(실측)'!K16-쪽쟘기둥차감</f>
        <v>2098</v>
      </c>
      <c r="Q16" s="50">
        <f>'쪽쟘(실측)'!L16-쪽쟘기둥차감</f>
        <v>2098</v>
      </c>
      <c r="R16" s="50">
        <f>'쪽쟘(실측)'!M16-쪽쟘기둥차감</f>
        <v>2098</v>
      </c>
      <c r="S16" s="50">
        <f>'쪽쟘(실측)'!N16+뒷날개치수더함</f>
        <v>11</v>
      </c>
      <c r="T16" s="50">
        <f>'쪽쟘(실측)'!O16+뒷날개치수더함</f>
        <v>11</v>
      </c>
      <c r="U16" s="50">
        <f>'쪽쟘(실측)'!P16+뒷날개치수더함</f>
        <v>16</v>
      </c>
      <c r="V16" s="50">
        <f>'쪽쟘(실측)'!Q16+뒷날개치수더함</f>
        <v>25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15</v>
      </c>
      <c r="Z16" s="4">
        <f>'쪽쟘(실측)'!U16</f>
        <v>10</v>
      </c>
      <c r="AA16" s="4">
        <f>'쪽쟘(실측)'!V16</f>
        <v>6</v>
      </c>
      <c r="AC16">
        <f t="shared" si="5"/>
        <v>931</v>
      </c>
      <c r="AD16">
        <f>U16+E16+MAX(S16,T16)-쪽쟘소재t*3+IF(S16=0,S16*쪽쟘소재t,0)-1.2</f>
        <v>107.2</v>
      </c>
      <c r="AE16">
        <f>MAX(K16,L16)+F16+V16-쪽쟘소재t*3+IF(K16=0,쪽쟘소재t)-IF(AA16=90,2.4,0)-1.2</f>
        <v>124.00000000000001</v>
      </c>
      <c r="AF16">
        <f t="shared" si="6"/>
        <v>2098</v>
      </c>
      <c r="AG16">
        <f>MAX(M16,N16)+F16+V16-쪽쟘소재t*3+IF(M16=0,쪽쟘소재t)-IF(AA16=90,2.4,0)-1.2</f>
        <v>123</v>
      </c>
      <c r="AH16">
        <f t="shared" si="7"/>
        <v>2098</v>
      </c>
    </row>
    <row r="17" spans="1:34" ht="19.5" customHeight="1" x14ac:dyDescent="0.3">
      <c r="A17" s="50" t="str">
        <f>'쪽쟘(실측)'!A17</f>
        <v>105   / 2</v>
      </c>
      <c r="B17" s="50" t="str">
        <f>'쪽쟘(실측)'!B17&amp;"F"</f>
        <v>2F</v>
      </c>
      <c r="C17" s="50" t="str">
        <f t="shared" si="2"/>
        <v>933*111.2</v>
      </c>
      <c r="D17" s="50">
        <f>'쪽쟘(실측)'!C17-쪽쟘OP차감</f>
        <v>897</v>
      </c>
      <c r="E17" s="50">
        <f>'쪽쟘(실측)'!D17+쪽쟘J늘림+MAX(W17:X17)</f>
        <v>85</v>
      </c>
      <c r="F17" s="50">
        <f>'쪽쟘(실측)'!E17+쪽쟘J늘림+MAX(W17:X17)</f>
        <v>83</v>
      </c>
      <c r="G17" s="67" t="str">
        <f t="shared" si="3"/>
        <v>2092*124</v>
      </c>
      <c r="H17" s="68" t="str">
        <f t="shared" si="4"/>
        <v>2098*124</v>
      </c>
      <c r="I17" s="50">
        <f>IF('쪽쟘(실측)'!F17&gt;0,'쪽쟘(실측)'!F17-3,0)+뒷날개치수더함</f>
        <v>18</v>
      </c>
      <c r="J17" s="50">
        <f>IF('쪽쟘(실측)'!H17&gt;0,'쪽쟘(실측)'!H17-3,0)+뒷날개치수더함</f>
        <v>18</v>
      </c>
      <c r="K17" s="50">
        <f>IF('쪽쟘(실측)'!F17&gt;0,'쪽쟘(실측)'!F17+0,0)+뒷날개치수더함-0.2</f>
        <v>20.8</v>
      </c>
      <c r="L17" s="50">
        <f>IF('쪽쟘(실측)'!G17&gt;0,'쪽쟘(실측)'!G17+0,0)+뒷날개치수더함-0.2</f>
        <v>20.8</v>
      </c>
      <c r="M17" s="50">
        <f>IF('쪽쟘(실측)'!H17&gt;0,'쪽쟘(실측)'!H17+0,0)+뒷날개치수더함-0.2</f>
        <v>20.8</v>
      </c>
      <c r="N17" s="50">
        <f>IF('쪽쟘(실측)'!I17&gt;0,'쪽쟘(실측)'!I17+0,0)+뒷날개치수더함-0.2</f>
        <v>20.8</v>
      </c>
      <c r="O17" s="50">
        <f>'쪽쟘(실측)'!J17-쪽쟘기둥차감</f>
        <v>2092</v>
      </c>
      <c r="P17" s="50">
        <f>'쪽쟘(실측)'!K17-쪽쟘기둥차감</f>
        <v>2092</v>
      </c>
      <c r="Q17" s="50">
        <f>'쪽쟘(실측)'!L17-쪽쟘기둥차감</f>
        <v>2098</v>
      </c>
      <c r="R17" s="50">
        <f>'쪽쟘(실측)'!M17-쪽쟘기둥차감</f>
        <v>2098</v>
      </c>
      <c r="S17" s="50">
        <f>'쪽쟘(실측)'!N17+뒷날개치수더함</f>
        <v>15</v>
      </c>
      <c r="T17" s="50">
        <f>'쪽쟘(실측)'!O17+뒷날개치수더함</f>
        <v>15</v>
      </c>
      <c r="U17" s="50">
        <f>'쪽쟘(실측)'!P17+뒷날개치수더함</f>
        <v>16</v>
      </c>
      <c r="V17" s="50">
        <f>'쪽쟘(실측)'!Q17+뒷날개치수더함</f>
        <v>25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15</v>
      </c>
      <c r="Z17" s="4">
        <f>'쪽쟘(실측)'!U17</f>
        <v>10</v>
      </c>
      <c r="AA17" s="4">
        <f>'쪽쟘(실측)'!V17</f>
        <v>6</v>
      </c>
      <c r="AC17">
        <f t="shared" si="5"/>
        <v>933</v>
      </c>
      <c r="AD17">
        <f>U17+E17+MAX(S17,T17)-쪽쟘소재t*3+IF(S17=0,S17*쪽쟘소재t,0)-1.2</f>
        <v>111.2</v>
      </c>
      <c r="AE17">
        <f>MAX(K17,L17)+F17+V17-쪽쟘소재t*3+IF(K17=0,쪽쟘소재t)-IF(AA17=90,2.4,0)-1.2</f>
        <v>124.00000000000001</v>
      </c>
      <c r="AF17">
        <f t="shared" si="6"/>
        <v>2092</v>
      </c>
      <c r="AG17">
        <f>MAX(M17,N17)+F17+V17-쪽쟘소재t*3+IF(M17=0,쪽쟘소재t)-IF(AA17=90,2.4,0)-1.2</f>
        <v>124.00000000000001</v>
      </c>
      <c r="AH17">
        <f t="shared" si="7"/>
        <v>2098</v>
      </c>
    </row>
    <row r="18" spans="1:34" ht="19.5" customHeight="1" x14ac:dyDescent="0.3">
      <c r="A18" s="50" t="str">
        <f>'쪽쟘(실측)'!A18</f>
        <v>106   / 2</v>
      </c>
      <c r="B18" s="50" t="str">
        <f>'쪽쟘(실측)'!B18&amp;"F"</f>
        <v>14F</v>
      </c>
      <c r="C18" s="50" t="str">
        <f t="shared" si="2"/>
        <v>938*119.2</v>
      </c>
      <c r="D18" s="50">
        <f>'쪽쟘(실측)'!C18-쪽쟘OP차감</f>
        <v>898</v>
      </c>
      <c r="E18" s="50">
        <f>'쪽쟘(실측)'!D18+쪽쟘J늘림+MAX(W18:X18)</f>
        <v>85</v>
      </c>
      <c r="F18" s="50">
        <f>'쪽쟘(실측)'!E18+쪽쟘J늘림+MAX(W18:X18)</f>
        <v>83</v>
      </c>
      <c r="G18" s="67" t="str">
        <f t="shared" si="3"/>
        <v>2098*126</v>
      </c>
      <c r="H18" s="68" t="str">
        <f t="shared" si="4"/>
        <v>2098*126</v>
      </c>
      <c r="I18" s="50">
        <f>IF('쪽쟘(실측)'!F18&gt;0,'쪽쟘(실측)'!F18-3,0)+뒷날개치수더함</f>
        <v>20</v>
      </c>
      <c r="J18" s="50">
        <f>IF('쪽쟘(실측)'!H18&gt;0,'쪽쟘(실측)'!H18-3,0)+뒷날개치수더함</f>
        <v>20</v>
      </c>
      <c r="K18" s="50">
        <f>IF('쪽쟘(실측)'!F18&gt;0,'쪽쟘(실측)'!F18+0,0)+뒷날개치수더함-0.2</f>
        <v>22.8</v>
      </c>
      <c r="L18" s="50">
        <f>IF('쪽쟘(실측)'!G18&gt;0,'쪽쟘(실측)'!G18+0,0)+뒷날개치수더함-0.2</f>
        <v>22.8</v>
      </c>
      <c r="M18" s="50">
        <f>IF('쪽쟘(실측)'!H18&gt;0,'쪽쟘(실측)'!H18+0,0)+뒷날개치수더함-0.2</f>
        <v>22.8</v>
      </c>
      <c r="N18" s="50">
        <f>IF('쪽쟘(실측)'!I18&gt;0,'쪽쟘(실측)'!I18+0,0)+뒷날개치수더함-0.2</f>
        <v>22.8</v>
      </c>
      <c r="O18" s="50">
        <f>'쪽쟘(실측)'!J18-쪽쟘기둥차감</f>
        <v>2098</v>
      </c>
      <c r="P18" s="50">
        <f>'쪽쟘(실측)'!K18-쪽쟘기둥차감</f>
        <v>2098</v>
      </c>
      <c r="Q18" s="50">
        <f>'쪽쟘(실측)'!L18-쪽쟘기둥차감</f>
        <v>2098</v>
      </c>
      <c r="R18" s="50">
        <f>'쪽쟘(실측)'!M18-쪽쟘기둥차감</f>
        <v>2098</v>
      </c>
      <c r="S18" s="50">
        <f>'쪽쟘(실측)'!N18+뒷날개치수더함</f>
        <v>23</v>
      </c>
      <c r="T18" s="50">
        <f>'쪽쟘(실측)'!O18+뒷날개치수더함</f>
        <v>23</v>
      </c>
      <c r="U18" s="50">
        <f>'쪽쟘(실측)'!P18+뒷날개치수더함</f>
        <v>16</v>
      </c>
      <c r="V18" s="50">
        <f>'쪽쟘(실측)'!Q18+뒷날개치수더함</f>
        <v>25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15</v>
      </c>
      <c r="Z18" s="4">
        <f>'쪽쟘(실측)'!U18</f>
        <v>10</v>
      </c>
      <c r="AA18" s="4">
        <f>'쪽쟘(실측)'!V18</f>
        <v>6</v>
      </c>
      <c r="AC18">
        <f t="shared" si="5"/>
        <v>938</v>
      </c>
      <c r="AD18">
        <f>U18+E18+MAX(S18,T18)-쪽쟘소재t*3+IF(S18=0,S18*쪽쟘소재t,0)-1.2</f>
        <v>119.2</v>
      </c>
      <c r="AE18">
        <f>MAX(K18,L18)+F18+V18-쪽쟘소재t*3+IF(K18=0,쪽쟘소재t)-IF(AA18=90,2.4,0)-1.2</f>
        <v>126.00000000000001</v>
      </c>
      <c r="AF18">
        <f t="shared" si="6"/>
        <v>2098</v>
      </c>
      <c r="AG18">
        <f>MAX(M18,N18)+F18+V18-쪽쟘소재t*3+IF(M18=0,쪽쟘소재t)-IF(AA18=90,2.4,0)-1.2</f>
        <v>126.00000000000001</v>
      </c>
      <c r="AH18">
        <f t="shared" si="7"/>
        <v>2098</v>
      </c>
    </row>
    <row r="19" spans="1:34" ht="19.5" customHeight="1" x14ac:dyDescent="0.3">
      <c r="A19" s="50" t="str">
        <f>'쪽쟘(실측)'!A19</f>
        <v>106   / 2</v>
      </c>
      <c r="B19" s="50" t="str">
        <f>'쪽쟘(실측)'!B19&amp;"F"</f>
        <v>13F</v>
      </c>
      <c r="C19" s="50" t="str">
        <f t="shared" si="2"/>
        <v>936*115.2</v>
      </c>
      <c r="D19" s="50">
        <f>'쪽쟘(실측)'!C19-쪽쟘OP차감</f>
        <v>898</v>
      </c>
      <c r="E19" s="50">
        <f>'쪽쟘(실측)'!D19+쪽쟘J늘림+MAX(W19:X19)</f>
        <v>85</v>
      </c>
      <c r="F19" s="50">
        <f>'쪽쟘(실측)'!E19+쪽쟘J늘림+MAX(W19:X19)</f>
        <v>83</v>
      </c>
      <c r="G19" s="67" t="str">
        <f t="shared" si="3"/>
        <v>2098*124</v>
      </c>
      <c r="H19" s="68" t="str">
        <f t="shared" si="4"/>
        <v>2092*126</v>
      </c>
      <c r="I19" s="50">
        <f>IF('쪽쟘(실측)'!F19&gt;0,'쪽쟘(실측)'!F19-3,0)+뒷날개치수더함</f>
        <v>18</v>
      </c>
      <c r="J19" s="50">
        <f>IF('쪽쟘(실측)'!H19&gt;0,'쪽쟘(실측)'!H19-3,0)+뒷날개치수더함</f>
        <v>20</v>
      </c>
      <c r="K19" s="50">
        <f>IF('쪽쟘(실측)'!F19&gt;0,'쪽쟘(실측)'!F19+0,0)+뒷날개치수더함-0.2</f>
        <v>20.8</v>
      </c>
      <c r="L19" s="50">
        <f>IF('쪽쟘(실측)'!G19&gt;0,'쪽쟘(실측)'!G19+0,0)+뒷날개치수더함-0.2</f>
        <v>20.8</v>
      </c>
      <c r="M19" s="50">
        <f>IF('쪽쟘(실측)'!H19&gt;0,'쪽쟘(실측)'!H19+0,0)+뒷날개치수더함-0.2</f>
        <v>22.8</v>
      </c>
      <c r="N19" s="50">
        <f>IF('쪽쟘(실측)'!I19&gt;0,'쪽쟘(실측)'!I19+0,0)+뒷날개치수더함-0.2</f>
        <v>22.8</v>
      </c>
      <c r="O19" s="50">
        <f>'쪽쟘(실측)'!J19-쪽쟘기둥차감</f>
        <v>2098</v>
      </c>
      <c r="P19" s="50">
        <f>'쪽쟘(실측)'!K19-쪽쟘기둥차감</f>
        <v>2098</v>
      </c>
      <c r="Q19" s="50">
        <f>'쪽쟘(실측)'!L19-쪽쟘기둥차감</f>
        <v>2092</v>
      </c>
      <c r="R19" s="50">
        <f>'쪽쟘(실측)'!M19-쪽쟘기둥차감</f>
        <v>2092</v>
      </c>
      <c r="S19" s="50">
        <f>'쪽쟘(실측)'!N19+뒷날개치수더함</f>
        <v>19</v>
      </c>
      <c r="T19" s="50">
        <f>'쪽쟘(실측)'!O19+뒷날개치수더함</f>
        <v>19</v>
      </c>
      <c r="U19" s="50">
        <f>'쪽쟘(실측)'!P19+뒷날개치수더함</f>
        <v>16</v>
      </c>
      <c r="V19" s="50">
        <f>'쪽쟘(실측)'!Q19+뒷날개치수더함</f>
        <v>25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15</v>
      </c>
      <c r="Z19" s="4">
        <f>'쪽쟘(실측)'!U19</f>
        <v>10</v>
      </c>
      <c r="AA19" s="4">
        <f>'쪽쟘(실측)'!V19</f>
        <v>6</v>
      </c>
      <c r="AC19">
        <f t="shared" si="5"/>
        <v>936</v>
      </c>
      <c r="AD19">
        <f>U19+E19+MAX(S19,T19)-쪽쟘소재t*3+IF(S19=0,S19*쪽쟘소재t,0)-1.2</f>
        <v>115.2</v>
      </c>
      <c r="AE19">
        <f>MAX(K19,L19)+F19+V19-쪽쟘소재t*3+IF(K19=0,쪽쟘소재t)-IF(AA19=90,2.4,0)-1.2</f>
        <v>124.00000000000001</v>
      </c>
      <c r="AF19">
        <f t="shared" si="6"/>
        <v>2098</v>
      </c>
      <c r="AG19">
        <f>MAX(M19,N19)+F19+V19-쪽쟘소재t*3+IF(M19=0,쪽쟘소재t)-IF(AA19=90,2.4,0)-1.2</f>
        <v>126.00000000000001</v>
      </c>
      <c r="AH19">
        <f t="shared" si="7"/>
        <v>2092</v>
      </c>
    </row>
    <row r="20" spans="1:34" ht="19.5" customHeight="1" x14ac:dyDescent="0.3">
      <c r="A20" s="50" t="str">
        <f>'쪽쟘(실측)'!A20</f>
        <v>106   / 2</v>
      </c>
      <c r="B20" s="50" t="str">
        <f>'쪽쟘(실측)'!B20&amp;"F"</f>
        <v>12F</v>
      </c>
      <c r="C20" s="50" t="str">
        <f t="shared" si="2"/>
        <v>938*127.2</v>
      </c>
      <c r="D20" s="50">
        <f>'쪽쟘(실측)'!C20-쪽쟘OP차감</f>
        <v>898</v>
      </c>
      <c r="E20" s="50">
        <f>'쪽쟘(실측)'!D20+쪽쟘J늘림+MAX(W20:X20)</f>
        <v>85</v>
      </c>
      <c r="F20" s="50">
        <f>'쪽쟘(실측)'!E20+쪽쟘J늘림+MAX(W20:X20)</f>
        <v>83</v>
      </c>
      <c r="G20" s="67" t="str">
        <f t="shared" si="3"/>
        <v>2092*127</v>
      </c>
      <c r="H20" s="68" t="str">
        <f t="shared" si="4"/>
        <v>2092*125</v>
      </c>
      <c r="I20" s="50">
        <f>IF('쪽쟘(실측)'!F20&gt;0,'쪽쟘(실측)'!F20-3,0)+뒷날개치수더함</f>
        <v>21</v>
      </c>
      <c r="J20" s="50">
        <f>IF('쪽쟘(실측)'!H20&gt;0,'쪽쟘(실측)'!H20-3,0)+뒷날개치수더함</f>
        <v>19</v>
      </c>
      <c r="K20" s="50">
        <f>IF('쪽쟘(실측)'!F20&gt;0,'쪽쟘(실측)'!F20+0,0)+뒷날개치수더함-0.2</f>
        <v>23.8</v>
      </c>
      <c r="L20" s="50">
        <f>IF('쪽쟘(실측)'!G20&gt;0,'쪽쟘(실측)'!G20+0,0)+뒷날개치수더함-0.2</f>
        <v>23.8</v>
      </c>
      <c r="M20" s="50">
        <f>IF('쪽쟘(실측)'!H20&gt;0,'쪽쟘(실측)'!H20+0,0)+뒷날개치수더함-0.2</f>
        <v>21.8</v>
      </c>
      <c r="N20" s="50">
        <f>IF('쪽쟘(실측)'!I20&gt;0,'쪽쟘(실측)'!I20+0,0)+뒷날개치수더함-0.2</f>
        <v>21.8</v>
      </c>
      <c r="O20" s="50">
        <f>'쪽쟘(실측)'!J20-쪽쟘기둥차감</f>
        <v>2092</v>
      </c>
      <c r="P20" s="50">
        <f>'쪽쟘(실측)'!K20-쪽쟘기둥차감</f>
        <v>2092</v>
      </c>
      <c r="Q20" s="50">
        <f>'쪽쟘(실측)'!L20-쪽쟘기둥차감</f>
        <v>2092</v>
      </c>
      <c r="R20" s="50">
        <f>'쪽쟘(실측)'!M20-쪽쟘기둥차감</f>
        <v>2092</v>
      </c>
      <c r="S20" s="50">
        <f>'쪽쟘(실측)'!N20+뒷날개치수더함</f>
        <v>31</v>
      </c>
      <c r="T20" s="50">
        <f>'쪽쟘(실측)'!O20+뒷날개치수더함</f>
        <v>31</v>
      </c>
      <c r="U20" s="50">
        <f>'쪽쟘(실측)'!P20+뒷날개치수더함</f>
        <v>16</v>
      </c>
      <c r="V20" s="50">
        <f>'쪽쟘(실측)'!Q20+뒷날개치수더함</f>
        <v>25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15</v>
      </c>
      <c r="Z20" s="4">
        <f>'쪽쟘(실측)'!U20</f>
        <v>10</v>
      </c>
      <c r="AA20" s="4">
        <f>'쪽쟘(실측)'!V20</f>
        <v>6</v>
      </c>
      <c r="AC20">
        <f t="shared" si="5"/>
        <v>938</v>
      </c>
      <c r="AD20">
        <f>U20+E20+MAX(S20,T20)-쪽쟘소재t*3+IF(S20=0,S20*쪽쟘소재t,0)-1.2</f>
        <v>127.2</v>
      </c>
      <c r="AE20">
        <f>MAX(K20,L20)+F20+V20-쪽쟘소재t*3+IF(K20=0,쪽쟘소재t)-IF(AA20=90,2.4,0)-1.2</f>
        <v>127.00000000000001</v>
      </c>
      <c r="AF20">
        <f t="shared" si="6"/>
        <v>2092</v>
      </c>
      <c r="AG20">
        <f>MAX(M20,N20)+F20+V20-쪽쟘소재t*3+IF(M20=0,쪽쟘소재t)-IF(AA20=90,2.4,0)-1.2</f>
        <v>125.00000000000001</v>
      </c>
      <c r="AH20">
        <f t="shared" si="7"/>
        <v>2092</v>
      </c>
    </row>
    <row r="21" spans="1:34" ht="19.5" customHeight="1" x14ac:dyDescent="0.3">
      <c r="A21" s="50" t="str">
        <f>'쪽쟘(실측)'!A21</f>
        <v>106   / 2</v>
      </c>
      <c r="B21" s="50" t="str">
        <f>'쪽쟘(실측)'!B21&amp;"F"</f>
        <v>11F</v>
      </c>
      <c r="C21" s="50" t="str">
        <f t="shared" si="2"/>
        <v>932*117.2</v>
      </c>
      <c r="D21" s="50">
        <f>'쪽쟘(실측)'!C21-쪽쟘OP차감</f>
        <v>897</v>
      </c>
      <c r="E21" s="50">
        <f>'쪽쟘(실측)'!D21+쪽쟘J늘림+MAX(W21:X21)</f>
        <v>85</v>
      </c>
      <c r="F21" s="50">
        <f>'쪽쟘(실측)'!E21+쪽쟘J늘림+MAX(W21:X21)</f>
        <v>83</v>
      </c>
      <c r="G21" s="67" t="str">
        <f t="shared" si="3"/>
        <v>2098*123</v>
      </c>
      <c r="H21" s="68" t="str">
        <f t="shared" si="4"/>
        <v>2098*124</v>
      </c>
      <c r="I21" s="50">
        <f>IF('쪽쟘(실측)'!F21&gt;0,'쪽쟘(실측)'!F21-3,0)+뒷날개치수더함</f>
        <v>17</v>
      </c>
      <c r="J21" s="50">
        <f>IF('쪽쟘(실측)'!H21&gt;0,'쪽쟘(실측)'!H21-3,0)+뒷날개치수더함</f>
        <v>18</v>
      </c>
      <c r="K21" s="50">
        <f>IF('쪽쟘(실측)'!F21&gt;0,'쪽쟘(실측)'!F21+0,0)+뒷날개치수더함-0.2</f>
        <v>19.8</v>
      </c>
      <c r="L21" s="50">
        <f>IF('쪽쟘(실측)'!G21&gt;0,'쪽쟘(실측)'!G21+0,0)+뒷날개치수더함-0.2</f>
        <v>19.8</v>
      </c>
      <c r="M21" s="50">
        <f>IF('쪽쟘(실측)'!H21&gt;0,'쪽쟘(실측)'!H21+0,0)+뒷날개치수더함-0.2</f>
        <v>20.8</v>
      </c>
      <c r="N21" s="50">
        <f>IF('쪽쟘(실측)'!I21&gt;0,'쪽쟘(실측)'!I21+0,0)+뒷날개치수더함-0.2</f>
        <v>20.8</v>
      </c>
      <c r="O21" s="50">
        <f>'쪽쟘(실측)'!J21-쪽쟘기둥차감</f>
        <v>2098</v>
      </c>
      <c r="P21" s="50">
        <f>'쪽쟘(실측)'!K21-쪽쟘기둥차감</f>
        <v>2098</v>
      </c>
      <c r="Q21" s="50">
        <f>'쪽쟘(실측)'!L21-쪽쟘기둥차감</f>
        <v>2098</v>
      </c>
      <c r="R21" s="50">
        <f>'쪽쟘(실측)'!M21-쪽쟘기둥차감</f>
        <v>2098</v>
      </c>
      <c r="S21" s="50">
        <f>'쪽쟘(실측)'!N21+뒷날개치수더함</f>
        <v>21</v>
      </c>
      <c r="T21" s="50">
        <f>'쪽쟘(실측)'!O21+뒷날개치수더함</f>
        <v>21</v>
      </c>
      <c r="U21" s="50">
        <f>'쪽쟘(실측)'!P21+뒷날개치수더함</f>
        <v>16</v>
      </c>
      <c r="V21" s="50">
        <f>'쪽쟘(실측)'!Q21+뒷날개치수더함</f>
        <v>25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15</v>
      </c>
      <c r="Z21" s="4">
        <f>'쪽쟘(실측)'!U21</f>
        <v>10</v>
      </c>
      <c r="AA21" s="4">
        <f>'쪽쟘(실측)'!V21</f>
        <v>6</v>
      </c>
      <c r="AC21">
        <f t="shared" si="5"/>
        <v>932</v>
      </c>
      <c r="AD21">
        <f>U21+E21+MAX(S21,T21)-쪽쟘소재t*3+IF(S21=0,S21*쪽쟘소재t,0)-1.2</f>
        <v>117.2</v>
      </c>
      <c r="AE21">
        <f>MAX(K21,L21)+F21+V21-쪽쟘소재t*3+IF(K21=0,쪽쟘소재t)-IF(AA21=90,2.4,0)-1.2</f>
        <v>123</v>
      </c>
      <c r="AF21">
        <f t="shared" si="6"/>
        <v>2098</v>
      </c>
      <c r="AG21">
        <f>MAX(M21,N21)+F21+V21-쪽쟘소재t*3+IF(M21=0,쪽쟘소재t)-IF(AA21=90,2.4,0)-1.2</f>
        <v>124.00000000000001</v>
      </c>
      <c r="AH21">
        <f t="shared" si="7"/>
        <v>2098</v>
      </c>
    </row>
    <row r="22" spans="1:34" ht="19.5" customHeight="1" x14ac:dyDescent="0.3">
      <c r="A22" s="50" t="str">
        <f>'쪽쟘(실측)'!A22</f>
        <v>106   / 2</v>
      </c>
      <c r="B22" s="50" t="str">
        <f>'쪽쟘(실측)'!B22&amp;"F"</f>
        <v>10F</v>
      </c>
      <c r="C22" s="50" t="str">
        <f t="shared" si="2"/>
        <v>928*108.2</v>
      </c>
      <c r="D22" s="50">
        <f>'쪽쟘(실측)'!C22-쪽쟘OP차감</f>
        <v>896</v>
      </c>
      <c r="E22" s="50">
        <f>'쪽쟘(실측)'!D22+쪽쟘J늘림+MAX(W22:X22)</f>
        <v>85</v>
      </c>
      <c r="F22" s="50">
        <f>'쪽쟘(실측)'!E22+쪽쟘J늘림+MAX(W22:X22)</f>
        <v>83</v>
      </c>
      <c r="G22" s="67" t="str">
        <f t="shared" si="3"/>
        <v>2098*122</v>
      </c>
      <c r="H22" s="68" t="str">
        <f t="shared" si="4"/>
        <v>2098*122</v>
      </c>
      <c r="I22" s="50">
        <f>IF('쪽쟘(실측)'!F22&gt;0,'쪽쟘(실측)'!F22-3,0)+뒷날개치수더함</f>
        <v>16</v>
      </c>
      <c r="J22" s="50">
        <f>IF('쪽쟘(실측)'!H22&gt;0,'쪽쟘(실측)'!H22-3,0)+뒷날개치수더함</f>
        <v>16</v>
      </c>
      <c r="K22" s="50">
        <f>IF('쪽쟘(실측)'!F22&gt;0,'쪽쟘(실측)'!F22+0,0)+뒷날개치수더함-0.2</f>
        <v>18.8</v>
      </c>
      <c r="L22" s="50">
        <f>IF('쪽쟘(실측)'!G22&gt;0,'쪽쟘(실측)'!G22+0,0)+뒷날개치수더함-0.2</f>
        <v>18.8</v>
      </c>
      <c r="M22" s="50">
        <f>IF('쪽쟘(실측)'!H22&gt;0,'쪽쟘(실측)'!H22+0,0)+뒷날개치수더함-0.2</f>
        <v>18.8</v>
      </c>
      <c r="N22" s="50">
        <f>IF('쪽쟘(실측)'!I22&gt;0,'쪽쟘(실측)'!I22+0,0)+뒷날개치수더함-0.2</f>
        <v>18.8</v>
      </c>
      <c r="O22" s="50">
        <f>'쪽쟘(실측)'!J22-쪽쟘기둥차감</f>
        <v>2098</v>
      </c>
      <c r="P22" s="50">
        <f>'쪽쟘(실측)'!K22-쪽쟘기둥차감</f>
        <v>2098</v>
      </c>
      <c r="Q22" s="50">
        <f>'쪽쟘(실측)'!L22-쪽쟘기둥차감</f>
        <v>2098</v>
      </c>
      <c r="R22" s="50">
        <f>'쪽쟘(실측)'!M22-쪽쟘기둥차감</f>
        <v>2098</v>
      </c>
      <c r="S22" s="50">
        <f>'쪽쟘(실측)'!N22+뒷날개치수더함</f>
        <v>12</v>
      </c>
      <c r="T22" s="50">
        <f>'쪽쟘(실측)'!O22+뒷날개치수더함</f>
        <v>12</v>
      </c>
      <c r="U22" s="50">
        <f>'쪽쟘(실측)'!P22+뒷날개치수더함</f>
        <v>16</v>
      </c>
      <c r="V22" s="50">
        <f>'쪽쟘(실측)'!Q22+뒷날개치수더함</f>
        <v>25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15</v>
      </c>
      <c r="Z22" s="4">
        <f>'쪽쟘(실측)'!U22</f>
        <v>10</v>
      </c>
      <c r="AA22" s="4">
        <f>'쪽쟘(실측)'!V22</f>
        <v>6</v>
      </c>
      <c r="AC22">
        <f t="shared" si="5"/>
        <v>928</v>
      </c>
      <c r="AD22">
        <f>U22+E22+MAX(S22,T22)-쪽쟘소재t*3+IF(S22=0,S22*쪽쟘소재t,0)-1.2</f>
        <v>108.2</v>
      </c>
      <c r="AE22">
        <f>MAX(K22,L22)+F22+V22-쪽쟘소재t*3+IF(K22=0,쪽쟘소재t)-IF(AA22=90,2.4,0)-1.2</f>
        <v>122</v>
      </c>
      <c r="AF22">
        <f t="shared" si="6"/>
        <v>2098</v>
      </c>
      <c r="AG22">
        <f>MAX(M22,N22)+F22+V22-쪽쟘소재t*3+IF(M22=0,쪽쟘소재t)-IF(AA22=90,2.4,0)-1.2</f>
        <v>122</v>
      </c>
      <c r="AH22">
        <f t="shared" si="7"/>
        <v>2098</v>
      </c>
    </row>
    <row r="23" spans="1:34" ht="19.5" customHeight="1" x14ac:dyDescent="0.3">
      <c r="A23" s="50" t="str">
        <f>'쪽쟘(실측)'!A23</f>
        <v>106   / 2</v>
      </c>
      <c r="B23" s="50" t="str">
        <f>'쪽쟘(실측)'!B23&amp;"F"</f>
        <v>9F</v>
      </c>
      <c r="C23" s="50" t="str">
        <f t="shared" si="2"/>
        <v>931*118.2</v>
      </c>
      <c r="D23" s="50">
        <f>'쪽쟘(실측)'!C23-쪽쟘OP차감</f>
        <v>897</v>
      </c>
      <c r="E23" s="50">
        <f>'쪽쟘(실측)'!D23+쪽쟘J늘림+MAX(W23:X23)</f>
        <v>85</v>
      </c>
      <c r="F23" s="50">
        <f>'쪽쟘(실측)'!E23+쪽쟘J늘림+MAX(W23:X23)</f>
        <v>83</v>
      </c>
      <c r="G23" s="67" t="str">
        <f t="shared" si="3"/>
        <v>2092*123</v>
      </c>
      <c r="H23" s="68" t="str">
        <f t="shared" si="4"/>
        <v>2092*123</v>
      </c>
      <c r="I23" s="50">
        <f>IF('쪽쟘(실측)'!F23&gt;0,'쪽쟘(실측)'!F23-3,0)+뒷날개치수더함</f>
        <v>17</v>
      </c>
      <c r="J23" s="50">
        <f>IF('쪽쟘(실측)'!H23&gt;0,'쪽쟘(실측)'!H23-3,0)+뒷날개치수더함</f>
        <v>17</v>
      </c>
      <c r="K23" s="50">
        <f>IF('쪽쟘(실측)'!F23&gt;0,'쪽쟘(실측)'!F23+0,0)+뒷날개치수더함-0.2</f>
        <v>19.8</v>
      </c>
      <c r="L23" s="50">
        <f>IF('쪽쟘(실측)'!G23&gt;0,'쪽쟘(실측)'!G23+0,0)+뒷날개치수더함-0.2</f>
        <v>19.8</v>
      </c>
      <c r="M23" s="50">
        <f>IF('쪽쟘(실측)'!H23&gt;0,'쪽쟘(실측)'!H23+0,0)+뒷날개치수더함-0.2</f>
        <v>19.8</v>
      </c>
      <c r="N23" s="50">
        <f>IF('쪽쟘(실측)'!I23&gt;0,'쪽쟘(실측)'!I23+0,0)+뒷날개치수더함-0.2</f>
        <v>19.8</v>
      </c>
      <c r="O23" s="50">
        <f>'쪽쟘(실측)'!J23-쪽쟘기둥차감</f>
        <v>2092</v>
      </c>
      <c r="P23" s="50">
        <f>'쪽쟘(실측)'!K23-쪽쟘기둥차감</f>
        <v>2092</v>
      </c>
      <c r="Q23" s="50">
        <f>'쪽쟘(실측)'!L23-쪽쟘기둥차감</f>
        <v>2092</v>
      </c>
      <c r="R23" s="50">
        <f>'쪽쟘(실측)'!M23-쪽쟘기둥차감</f>
        <v>2092</v>
      </c>
      <c r="S23" s="50">
        <f>'쪽쟘(실측)'!N23+뒷날개치수더함</f>
        <v>22</v>
      </c>
      <c r="T23" s="50">
        <f>'쪽쟘(실측)'!O23+뒷날개치수더함</f>
        <v>22</v>
      </c>
      <c r="U23" s="50">
        <f>'쪽쟘(실측)'!P23+뒷날개치수더함</f>
        <v>16</v>
      </c>
      <c r="V23" s="50">
        <f>'쪽쟘(실측)'!Q23+뒷날개치수더함</f>
        <v>25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15</v>
      </c>
      <c r="Z23" s="4">
        <f>'쪽쟘(실측)'!U23</f>
        <v>10</v>
      </c>
      <c r="AA23" s="4">
        <f>'쪽쟘(실측)'!V23</f>
        <v>6</v>
      </c>
      <c r="AC23">
        <f t="shared" si="5"/>
        <v>931</v>
      </c>
      <c r="AD23">
        <f>U23+E23+MAX(S23,T23)-쪽쟘소재t*3+IF(S23=0,S23*쪽쟘소재t,0)-1.2</f>
        <v>118.2</v>
      </c>
      <c r="AE23">
        <f>MAX(K23,L23)+F23+V23-쪽쟘소재t*3+IF(K23=0,쪽쟘소재t)-IF(AA23=90,2.4,0)-1.2</f>
        <v>123</v>
      </c>
      <c r="AF23">
        <f t="shared" si="6"/>
        <v>2092</v>
      </c>
      <c r="AG23">
        <f>MAX(M23,N23)+F23+V23-쪽쟘소재t*3+IF(M23=0,쪽쟘소재t)-IF(AA23=90,2.4,0)-1.2</f>
        <v>123</v>
      </c>
      <c r="AH23">
        <f t="shared" si="7"/>
        <v>2092</v>
      </c>
    </row>
    <row r="24" spans="1:34" ht="19.5" customHeight="1" x14ac:dyDescent="0.3">
      <c r="A24" s="50" t="str">
        <f>'쪽쟘(실측)'!A24</f>
        <v>106   / 2</v>
      </c>
      <c r="B24" s="50" t="str">
        <f>'쪽쟘(실측)'!B24&amp;"F"</f>
        <v>8F</v>
      </c>
      <c r="C24" s="50" t="str">
        <f t="shared" si="2"/>
        <v>930*116.2</v>
      </c>
      <c r="D24" s="50">
        <f>'쪽쟘(실측)'!C24-쪽쟘OP차감</f>
        <v>896</v>
      </c>
      <c r="E24" s="50">
        <f>'쪽쟘(실측)'!D24+쪽쟘J늘림+MAX(W24:X24)</f>
        <v>85</v>
      </c>
      <c r="F24" s="50">
        <f>'쪽쟘(실측)'!E24+쪽쟘J늘림+MAX(W24:X24)</f>
        <v>83</v>
      </c>
      <c r="G24" s="67" t="str">
        <f t="shared" si="3"/>
        <v>2092*123</v>
      </c>
      <c r="H24" s="68" t="str">
        <f t="shared" si="4"/>
        <v>2092*123</v>
      </c>
      <c r="I24" s="50">
        <f>IF('쪽쟘(실측)'!F24&gt;0,'쪽쟘(실측)'!F24-3,0)+뒷날개치수더함</f>
        <v>17</v>
      </c>
      <c r="J24" s="50">
        <f>IF('쪽쟘(실측)'!H24&gt;0,'쪽쟘(실측)'!H24-3,0)+뒷날개치수더함</f>
        <v>17</v>
      </c>
      <c r="K24" s="50">
        <f>IF('쪽쟘(실측)'!F24&gt;0,'쪽쟘(실측)'!F24+0,0)+뒷날개치수더함-0.2</f>
        <v>19.8</v>
      </c>
      <c r="L24" s="50">
        <f>IF('쪽쟘(실측)'!G24&gt;0,'쪽쟘(실측)'!G24+0,0)+뒷날개치수더함-0.2</f>
        <v>19.8</v>
      </c>
      <c r="M24" s="50">
        <f>IF('쪽쟘(실측)'!H24&gt;0,'쪽쟘(실측)'!H24+0,0)+뒷날개치수더함-0.2</f>
        <v>19.8</v>
      </c>
      <c r="N24" s="50">
        <f>IF('쪽쟘(실측)'!I24&gt;0,'쪽쟘(실측)'!I24+0,0)+뒷날개치수더함-0.2</f>
        <v>19.8</v>
      </c>
      <c r="O24" s="50">
        <f>'쪽쟘(실측)'!J24-쪽쟘기둥차감</f>
        <v>2092</v>
      </c>
      <c r="P24" s="50">
        <f>'쪽쟘(실측)'!K24-쪽쟘기둥차감</f>
        <v>2092</v>
      </c>
      <c r="Q24" s="50">
        <f>'쪽쟘(실측)'!L24-쪽쟘기둥차감</f>
        <v>2092</v>
      </c>
      <c r="R24" s="50">
        <f>'쪽쟘(실측)'!M24-쪽쟘기둥차감</f>
        <v>2092</v>
      </c>
      <c r="S24" s="50">
        <f>'쪽쟘(실측)'!N24+뒷날개치수더함</f>
        <v>20</v>
      </c>
      <c r="T24" s="50">
        <f>'쪽쟘(실측)'!O24+뒷날개치수더함</f>
        <v>20</v>
      </c>
      <c r="U24" s="50">
        <f>'쪽쟘(실측)'!P24+뒷날개치수더함</f>
        <v>16</v>
      </c>
      <c r="V24" s="50">
        <f>'쪽쟘(실측)'!Q24+뒷날개치수더함</f>
        <v>25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15</v>
      </c>
      <c r="Z24" s="4">
        <f>'쪽쟘(실측)'!U24</f>
        <v>10</v>
      </c>
      <c r="AA24" s="4">
        <f>'쪽쟘(실측)'!V24</f>
        <v>6</v>
      </c>
      <c r="AC24">
        <f t="shared" si="5"/>
        <v>930</v>
      </c>
      <c r="AD24">
        <f>U24+E24+MAX(S24,T24)-쪽쟘소재t*3+IF(S24=0,S24*쪽쟘소재t,0)-1.2</f>
        <v>116.2</v>
      </c>
      <c r="AE24">
        <f>MAX(K24,L24)+F24+V24-쪽쟘소재t*3+IF(K24=0,쪽쟘소재t)-IF(AA24=90,2.4,0)-1.2</f>
        <v>123</v>
      </c>
      <c r="AF24">
        <f t="shared" si="6"/>
        <v>2092</v>
      </c>
      <c r="AG24">
        <f>MAX(M24,N24)+F24+V24-쪽쟘소재t*3+IF(M24=0,쪽쟘소재t)-IF(AA24=90,2.4,0)-1.2</f>
        <v>123</v>
      </c>
      <c r="AH24">
        <f t="shared" si="7"/>
        <v>2092</v>
      </c>
    </row>
    <row r="25" spans="1:34" ht="19.5" customHeight="1" x14ac:dyDescent="0.3">
      <c r="A25" s="50" t="str">
        <f>'쪽쟘(실측)'!A25</f>
        <v>106   / 2</v>
      </c>
      <c r="B25" s="50" t="str">
        <f>'쪽쟘(실측)'!B25&amp;"F"</f>
        <v>7F</v>
      </c>
      <c r="C25" s="50" t="str">
        <f t="shared" si="2"/>
        <v>923*120.2</v>
      </c>
      <c r="D25" s="50">
        <f>'쪽쟘(실측)'!C25-쪽쟘OP차감</f>
        <v>897</v>
      </c>
      <c r="E25" s="50">
        <f>'쪽쟘(실측)'!D25+쪽쟘J늘림+MAX(W25:X25)</f>
        <v>85</v>
      </c>
      <c r="F25" s="50">
        <f>'쪽쟘(실측)'!E25+쪽쟘J늘림+MAX(W25:X25)</f>
        <v>83</v>
      </c>
      <c r="G25" s="67" t="str">
        <f t="shared" si="3"/>
        <v>2098*119</v>
      </c>
      <c r="H25" s="68" t="str">
        <f t="shared" si="4"/>
        <v>2098*119</v>
      </c>
      <c r="I25" s="50">
        <f>IF('쪽쟘(실측)'!F25&gt;0,'쪽쟘(실측)'!F25-3,0)+뒷날개치수더함</f>
        <v>13</v>
      </c>
      <c r="J25" s="50">
        <f>IF('쪽쟘(실측)'!H25&gt;0,'쪽쟘(실측)'!H25-3,0)+뒷날개치수더함</f>
        <v>13</v>
      </c>
      <c r="K25" s="50">
        <f>IF('쪽쟘(실측)'!F25&gt;0,'쪽쟘(실측)'!F25+0,0)+뒷날개치수더함-0.2</f>
        <v>15.8</v>
      </c>
      <c r="L25" s="50">
        <f>IF('쪽쟘(실측)'!G25&gt;0,'쪽쟘(실측)'!G25+0,0)+뒷날개치수더함-0.2</f>
        <v>15.8</v>
      </c>
      <c r="M25" s="50">
        <f>IF('쪽쟘(실측)'!H25&gt;0,'쪽쟘(실측)'!H25+0,0)+뒷날개치수더함-0.2</f>
        <v>15.8</v>
      </c>
      <c r="N25" s="50">
        <f>IF('쪽쟘(실측)'!I25&gt;0,'쪽쟘(실측)'!I25+0,0)+뒷날개치수더함-0.2</f>
        <v>15.8</v>
      </c>
      <c r="O25" s="50">
        <f>'쪽쟘(실측)'!J25-쪽쟘기둥차감</f>
        <v>2098</v>
      </c>
      <c r="P25" s="50">
        <f>'쪽쟘(실측)'!K25-쪽쟘기둥차감</f>
        <v>2098</v>
      </c>
      <c r="Q25" s="50">
        <f>'쪽쟘(실측)'!L25-쪽쟘기둥차감</f>
        <v>2098</v>
      </c>
      <c r="R25" s="50">
        <f>'쪽쟘(실측)'!M25-쪽쟘기둥차감</f>
        <v>2098</v>
      </c>
      <c r="S25" s="50">
        <f>'쪽쟘(실측)'!N25+뒷날개치수더함</f>
        <v>24</v>
      </c>
      <c r="T25" s="50">
        <f>'쪽쟘(실측)'!O25+뒷날개치수더함</f>
        <v>24</v>
      </c>
      <c r="U25" s="50">
        <f>'쪽쟘(실측)'!P25+뒷날개치수더함</f>
        <v>16</v>
      </c>
      <c r="V25" s="50">
        <f>'쪽쟘(실측)'!Q25+뒷날개치수더함</f>
        <v>25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15</v>
      </c>
      <c r="Z25" s="4">
        <f>'쪽쟘(실측)'!U25</f>
        <v>10</v>
      </c>
      <c r="AA25" s="4">
        <f>'쪽쟘(실측)'!V25</f>
        <v>6</v>
      </c>
      <c r="AC25">
        <f t="shared" si="5"/>
        <v>923</v>
      </c>
      <c r="AD25">
        <f>U25+E25+MAX(S25,T25)-쪽쟘소재t*3+IF(S25=0,S25*쪽쟘소재t,0)-1.2</f>
        <v>120.2</v>
      </c>
      <c r="AE25">
        <f>MAX(K25,L25)+F25+V25-쪽쟘소재t*3+IF(K25=0,쪽쟘소재t)-IF(AA25=90,2.4,0)-1.2</f>
        <v>119</v>
      </c>
      <c r="AF25">
        <f t="shared" si="6"/>
        <v>2098</v>
      </c>
      <c r="AG25">
        <f>MAX(M25,N25)+F25+V25-쪽쟘소재t*3+IF(M25=0,쪽쟘소재t)-IF(AA25=90,2.4,0)-1.2</f>
        <v>119</v>
      </c>
      <c r="AH25">
        <f t="shared" si="7"/>
        <v>2098</v>
      </c>
    </row>
    <row r="26" spans="1:34" ht="19.5" customHeight="1" x14ac:dyDescent="0.3">
      <c r="A26" s="50" t="str">
        <f>'쪽쟘(실측)'!A26</f>
        <v>106   / 2</v>
      </c>
      <c r="B26" s="50" t="str">
        <f>'쪽쟘(실측)'!B26&amp;"F"</f>
        <v>6F</v>
      </c>
      <c r="C26" s="50" t="str">
        <f t="shared" si="2"/>
        <v>928*119.2</v>
      </c>
      <c r="D26" s="50">
        <f>'쪽쟘(실측)'!C26-쪽쟘OP차감</f>
        <v>898</v>
      </c>
      <c r="E26" s="50">
        <f>'쪽쟘(실측)'!D26+쪽쟘J늘림+MAX(W26:X26)</f>
        <v>85</v>
      </c>
      <c r="F26" s="50">
        <f>'쪽쟘(실측)'!E26+쪽쟘J늘림+MAX(W26:X26)</f>
        <v>83</v>
      </c>
      <c r="G26" s="67" t="str">
        <f t="shared" si="3"/>
        <v>2092*121</v>
      </c>
      <c r="H26" s="68" t="str">
        <f t="shared" si="4"/>
        <v>2098*121</v>
      </c>
      <c r="I26" s="50">
        <f>IF('쪽쟘(실측)'!F26&gt;0,'쪽쟘(실측)'!F26-3,0)+뒷날개치수더함</f>
        <v>15</v>
      </c>
      <c r="J26" s="50">
        <f>IF('쪽쟘(실측)'!H26&gt;0,'쪽쟘(실측)'!H26-3,0)+뒷날개치수더함</f>
        <v>15</v>
      </c>
      <c r="K26" s="50">
        <f>IF('쪽쟘(실측)'!F26&gt;0,'쪽쟘(실측)'!F26+0,0)+뒷날개치수더함-0.2</f>
        <v>17.8</v>
      </c>
      <c r="L26" s="50">
        <f>IF('쪽쟘(실측)'!G26&gt;0,'쪽쟘(실측)'!G26+0,0)+뒷날개치수더함-0.2</f>
        <v>17.8</v>
      </c>
      <c r="M26" s="50">
        <f>IF('쪽쟘(실측)'!H26&gt;0,'쪽쟘(실측)'!H26+0,0)+뒷날개치수더함-0.2</f>
        <v>17.8</v>
      </c>
      <c r="N26" s="50">
        <f>IF('쪽쟘(실측)'!I26&gt;0,'쪽쟘(실측)'!I26+0,0)+뒷날개치수더함-0.2</f>
        <v>17.8</v>
      </c>
      <c r="O26" s="50">
        <f>'쪽쟘(실측)'!J26-쪽쟘기둥차감</f>
        <v>2092</v>
      </c>
      <c r="P26" s="50">
        <f>'쪽쟘(실측)'!K26-쪽쟘기둥차감</f>
        <v>2092</v>
      </c>
      <c r="Q26" s="50">
        <f>'쪽쟘(실측)'!L26-쪽쟘기둥차감</f>
        <v>2098</v>
      </c>
      <c r="R26" s="50">
        <f>'쪽쟘(실측)'!M26-쪽쟘기둥차감</f>
        <v>2098</v>
      </c>
      <c r="S26" s="50">
        <f>'쪽쟘(실측)'!N26+뒷날개치수더함</f>
        <v>23</v>
      </c>
      <c r="T26" s="50">
        <f>'쪽쟘(실측)'!O26+뒷날개치수더함</f>
        <v>23</v>
      </c>
      <c r="U26" s="50">
        <f>'쪽쟘(실측)'!P26+뒷날개치수더함</f>
        <v>16</v>
      </c>
      <c r="V26" s="50">
        <f>'쪽쟘(실측)'!Q26+뒷날개치수더함</f>
        <v>25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15</v>
      </c>
      <c r="Z26" s="4">
        <f>'쪽쟘(실측)'!U26</f>
        <v>10</v>
      </c>
      <c r="AA26" s="4">
        <f>'쪽쟘(실측)'!V26</f>
        <v>6</v>
      </c>
      <c r="AC26">
        <f t="shared" si="5"/>
        <v>928</v>
      </c>
      <c r="AD26">
        <f>U26+E26+MAX(S26,T26)-쪽쟘소재t*3+IF(S26=0,S26*쪽쟘소재t,0)-1.2</f>
        <v>119.2</v>
      </c>
      <c r="AE26">
        <f>MAX(K26,L26)+F26+V26-쪽쟘소재t*3+IF(K26=0,쪽쟘소재t)-IF(AA26=90,2.4,0)-1.2</f>
        <v>121</v>
      </c>
      <c r="AF26">
        <f t="shared" si="6"/>
        <v>2092</v>
      </c>
      <c r="AG26">
        <f>MAX(M26,N26)+F26+V26-쪽쟘소재t*3+IF(M26=0,쪽쟘소재t)-IF(AA26=90,2.4,0)-1.2</f>
        <v>121</v>
      </c>
      <c r="AH26">
        <f t="shared" si="7"/>
        <v>2098</v>
      </c>
    </row>
    <row r="27" spans="1:34" ht="19.5" customHeight="1" x14ac:dyDescent="0.3">
      <c r="A27" s="50" t="str">
        <f>'쪽쟘(실측)'!A27</f>
        <v>106   / 2</v>
      </c>
      <c r="B27" s="50" t="str">
        <f>'쪽쟘(실측)'!B27&amp;"F"</f>
        <v>5F</v>
      </c>
      <c r="C27" s="50" t="str">
        <f t="shared" si="2"/>
        <v>930*116.2</v>
      </c>
      <c r="D27" s="50">
        <f>'쪽쟘(실측)'!C27-쪽쟘OP차감</f>
        <v>898</v>
      </c>
      <c r="E27" s="50">
        <f>'쪽쟘(실측)'!D27+쪽쟘J늘림+MAX(W27:X27)</f>
        <v>85</v>
      </c>
      <c r="F27" s="50">
        <f>'쪽쟘(실측)'!E27+쪽쟘J늘림+MAX(W27:X27)</f>
        <v>83</v>
      </c>
      <c r="G27" s="67" t="str">
        <f t="shared" si="3"/>
        <v>2098*121</v>
      </c>
      <c r="H27" s="68" t="str">
        <f t="shared" si="4"/>
        <v>2098*123</v>
      </c>
      <c r="I27" s="50">
        <f>IF('쪽쟘(실측)'!F27&gt;0,'쪽쟘(실측)'!F27-3,0)+뒷날개치수더함</f>
        <v>15</v>
      </c>
      <c r="J27" s="50">
        <f>IF('쪽쟘(실측)'!H27&gt;0,'쪽쟘(실측)'!H27-3,0)+뒷날개치수더함</f>
        <v>17</v>
      </c>
      <c r="K27" s="50">
        <f>IF('쪽쟘(실측)'!F27&gt;0,'쪽쟘(실측)'!F27+0,0)+뒷날개치수더함-0.2</f>
        <v>17.8</v>
      </c>
      <c r="L27" s="50">
        <f>IF('쪽쟘(실측)'!G27&gt;0,'쪽쟘(실측)'!G27+0,0)+뒷날개치수더함-0.2</f>
        <v>17.8</v>
      </c>
      <c r="M27" s="50">
        <f>IF('쪽쟘(실측)'!H27&gt;0,'쪽쟘(실측)'!H27+0,0)+뒷날개치수더함-0.2</f>
        <v>19.8</v>
      </c>
      <c r="N27" s="50">
        <f>IF('쪽쟘(실측)'!I27&gt;0,'쪽쟘(실측)'!I27+0,0)+뒷날개치수더함-0.2</f>
        <v>19.8</v>
      </c>
      <c r="O27" s="50">
        <f>'쪽쟘(실측)'!J27-쪽쟘기둥차감</f>
        <v>2098</v>
      </c>
      <c r="P27" s="50">
        <f>'쪽쟘(실측)'!K27-쪽쟘기둥차감</f>
        <v>2098</v>
      </c>
      <c r="Q27" s="50">
        <f>'쪽쟘(실측)'!L27-쪽쟘기둥차감</f>
        <v>2098</v>
      </c>
      <c r="R27" s="50">
        <f>'쪽쟘(실측)'!M27-쪽쟘기둥차감</f>
        <v>2098</v>
      </c>
      <c r="S27" s="50">
        <f>'쪽쟘(실측)'!N27+뒷날개치수더함</f>
        <v>20</v>
      </c>
      <c r="T27" s="50">
        <f>'쪽쟘(실측)'!O27+뒷날개치수더함</f>
        <v>20</v>
      </c>
      <c r="U27" s="50">
        <f>'쪽쟘(실측)'!P27+뒷날개치수더함</f>
        <v>16</v>
      </c>
      <c r="V27" s="50">
        <f>'쪽쟘(실측)'!Q27+뒷날개치수더함</f>
        <v>25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15</v>
      </c>
      <c r="Z27" s="4">
        <f>'쪽쟘(실측)'!U27</f>
        <v>10</v>
      </c>
      <c r="AA27" s="4">
        <f>'쪽쟘(실측)'!V27</f>
        <v>6</v>
      </c>
      <c r="AC27">
        <f t="shared" si="5"/>
        <v>930</v>
      </c>
      <c r="AD27">
        <f>U27+E27+MAX(S27,T27)-쪽쟘소재t*3+IF(S27=0,S27*쪽쟘소재t,0)-1.2</f>
        <v>116.2</v>
      </c>
      <c r="AE27">
        <f>MAX(K27,L27)+F27+V27-쪽쟘소재t*3+IF(K27=0,쪽쟘소재t)-IF(AA27=90,2.4,0)-1.2</f>
        <v>121</v>
      </c>
      <c r="AF27">
        <f t="shared" si="6"/>
        <v>2098</v>
      </c>
      <c r="AG27">
        <f>MAX(M27,N27)+F27+V27-쪽쟘소재t*3+IF(M27=0,쪽쟘소재t)-IF(AA27=90,2.4,0)-1.2</f>
        <v>123</v>
      </c>
      <c r="AH27">
        <f t="shared" si="7"/>
        <v>2098</v>
      </c>
    </row>
    <row r="28" spans="1:34" ht="19.5" customHeight="1" x14ac:dyDescent="0.3">
      <c r="A28" s="50" t="str">
        <f>'쪽쟘(실측)'!A28</f>
        <v>106   / 2</v>
      </c>
      <c r="B28" s="50" t="str">
        <f>'쪽쟘(실측)'!B28&amp;"F"</f>
        <v>4F</v>
      </c>
      <c r="C28" s="50" t="str">
        <f t="shared" si="2"/>
        <v>928*110.2</v>
      </c>
      <c r="D28" s="50">
        <f>'쪽쟘(실측)'!C28-쪽쟘OP차감</f>
        <v>898</v>
      </c>
      <c r="E28" s="50">
        <f>'쪽쟘(실측)'!D28+쪽쟘J늘림+MAX(W28:X28)</f>
        <v>85</v>
      </c>
      <c r="F28" s="50">
        <f>'쪽쟘(실측)'!E28+쪽쟘J늘림+MAX(W28:X28)</f>
        <v>83</v>
      </c>
      <c r="G28" s="67" t="str">
        <f t="shared" si="3"/>
        <v>2098*121</v>
      </c>
      <c r="H28" s="68" t="str">
        <f t="shared" si="4"/>
        <v>2098*121</v>
      </c>
      <c r="I28" s="50">
        <f>IF('쪽쟘(실측)'!F28&gt;0,'쪽쟘(실측)'!F28-3,0)+뒷날개치수더함</f>
        <v>15</v>
      </c>
      <c r="J28" s="50">
        <f>IF('쪽쟘(실측)'!H28&gt;0,'쪽쟘(실측)'!H28-3,0)+뒷날개치수더함</f>
        <v>15</v>
      </c>
      <c r="K28" s="50">
        <f>IF('쪽쟘(실측)'!F28&gt;0,'쪽쟘(실측)'!F28+0,0)+뒷날개치수더함-0.2</f>
        <v>17.8</v>
      </c>
      <c r="L28" s="50">
        <f>IF('쪽쟘(실측)'!G28&gt;0,'쪽쟘(실측)'!G28+0,0)+뒷날개치수더함-0.2</f>
        <v>17.8</v>
      </c>
      <c r="M28" s="50">
        <f>IF('쪽쟘(실측)'!H28&gt;0,'쪽쟘(실측)'!H28+0,0)+뒷날개치수더함-0.2</f>
        <v>17.8</v>
      </c>
      <c r="N28" s="50">
        <f>IF('쪽쟘(실측)'!I28&gt;0,'쪽쟘(실측)'!I28+0,0)+뒷날개치수더함-0.2</f>
        <v>17.8</v>
      </c>
      <c r="O28" s="50">
        <f>'쪽쟘(실측)'!J28-쪽쟘기둥차감</f>
        <v>2098</v>
      </c>
      <c r="P28" s="50">
        <f>'쪽쟘(실측)'!K28-쪽쟘기둥차감</f>
        <v>2098</v>
      </c>
      <c r="Q28" s="50">
        <f>'쪽쟘(실측)'!L28-쪽쟘기둥차감</f>
        <v>2098</v>
      </c>
      <c r="R28" s="50">
        <f>'쪽쟘(실측)'!M28-쪽쟘기둥차감</f>
        <v>2098</v>
      </c>
      <c r="S28" s="50">
        <f>'쪽쟘(실측)'!N28+뒷날개치수더함</f>
        <v>14</v>
      </c>
      <c r="T28" s="50">
        <f>'쪽쟘(실측)'!O28+뒷날개치수더함</f>
        <v>14</v>
      </c>
      <c r="U28" s="50">
        <f>'쪽쟘(실측)'!P28+뒷날개치수더함</f>
        <v>16</v>
      </c>
      <c r="V28" s="50">
        <f>'쪽쟘(실측)'!Q28+뒷날개치수더함</f>
        <v>25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15</v>
      </c>
      <c r="Z28" s="4">
        <f>'쪽쟘(실측)'!U28</f>
        <v>10</v>
      </c>
      <c r="AA28" s="4">
        <f>'쪽쟘(실측)'!V28</f>
        <v>6</v>
      </c>
      <c r="AC28">
        <f t="shared" si="5"/>
        <v>928</v>
      </c>
      <c r="AD28">
        <f>U28+E28+MAX(S28,T28)-쪽쟘소재t*3+IF(S28=0,S28*쪽쟘소재t,0)-1.2</f>
        <v>110.2</v>
      </c>
      <c r="AE28">
        <f>MAX(K28,L28)+F28+V28-쪽쟘소재t*3+IF(K28=0,쪽쟘소재t)-IF(AA28=90,2.4,0)-1.2</f>
        <v>121</v>
      </c>
      <c r="AF28">
        <f t="shared" si="6"/>
        <v>2098</v>
      </c>
      <c r="AG28">
        <f>MAX(M28,N28)+F28+V28-쪽쟘소재t*3+IF(M28=0,쪽쟘소재t)-IF(AA28=90,2.4,0)-1.2</f>
        <v>121</v>
      </c>
      <c r="AH28">
        <f t="shared" si="7"/>
        <v>2098</v>
      </c>
    </row>
    <row r="29" spans="1:34" ht="19.5" customHeight="1" x14ac:dyDescent="0.3">
      <c r="A29" s="50" t="str">
        <f>'쪽쟘(실측)'!A29</f>
        <v>106   / 2</v>
      </c>
      <c r="B29" s="50" t="str">
        <f>'쪽쟘(실측)'!B29&amp;"F"</f>
        <v>3F</v>
      </c>
      <c r="C29" s="50" t="str">
        <f t="shared" si="2"/>
        <v>928*116.2</v>
      </c>
      <c r="D29" s="50">
        <f>'쪽쟘(실측)'!C29-쪽쟘OP차감</f>
        <v>898</v>
      </c>
      <c r="E29" s="50">
        <f>'쪽쟘(실측)'!D29+쪽쟘J늘림+MAX(W29:X29)</f>
        <v>85</v>
      </c>
      <c r="F29" s="50">
        <f>'쪽쟘(실측)'!E29+쪽쟘J늘림+MAX(W29:X29)</f>
        <v>83</v>
      </c>
      <c r="G29" s="67" t="str">
        <f t="shared" si="3"/>
        <v>2092*121</v>
      </c>
      <c r="H29" s="68" t="str">
        <f t="shared" si="4"/>
        <v>2092*121</v>
      </c>
      <c r="I29" s="50">
        <f>IF('쪽쟘(실측)'!F29&gt;0,'쪽쟘(실측)'!F29-3,0)+뒷날개치수더함</f>
        <v>15</v>
      </c>
      <c r="J29" s="50">
        <f>IF('쪽쟘(실측)'!H29&gt;0,'쪽쟘(실측)'!H29-3,0)+뒷날개치수더함</f>
        <v>15</v>
      </c>
      <c r="K29" s="50">
        <f>IF('쪽쟘(실측)'!F29&gt;0,'쪽쟘(실측)'!F29+0,0)+뒷날개치수더함-0.2</f>
        <v>17.8</v>
      </c>
      <c r="L29" s="50">
        <f>IF('쪽쟘(실측)'!G29&gt;0,'쪽쟘(실측)'!G29+0,0)+뒷날개치수더함-0.2</f>
        <v>17.8</v>
      </c>
      <c r="M29" s="50">
        <f>IF('쪽쟘(실측)'!H29&gt;0,'쪽쟘(실측)'!H29+0,0)+뒷날개치수더함-0.2</f>
        <v>17.8</v>
      </c>
      <c r="N29" s="50">
        <f>IF('쪽쟘(실측)'!I29&gt;0,'쪽쟘(실측)'!I29+0,0)+뒷날개치수더함-0.2</f>
        <v>17.8</v>
      </c>
      <c r="O29" s="50">
        <f>'쪽쟘(실측)'!J29-쪽쟘기둥차감</f>
        <v>2092</v>
      </c>
      <c r="P29" s="50">
        <f>'쪽쟘(실측)'!K29-쪽쟘기둥차감</f>
        <v>2092</v>
      </c>
      <c r="Q29" s="50">
        <f>'쪽쟘(실측)'!L29-쪽쟘기둥차감</f>
        <v>2092</v>
      </c>
      <c r="R29" s="50">
        <f>'쪽쟘(실측)'!M29-쪽쟘기둥차감</f>
        <v>2092</v>
      </c>
      <c r="S29" s="50">
        <f>'쪽쟘(실측)'!N29+뒷날개치수더함</f>
        <v>20</v>
      </c>
      <c r="T29" s="50">
        <f>'쪽쟘(실측)'!O29+뒷날개치수더함</f>
        <v>20</v>
      </c>
      <c r="U29" s="50">
        <f>'쪽쟘(실측)'!P29+뒷날개치수더함</f>
        <v>16</v>
      </c>
      <c r="V29" s="50">
        <f>'쪽쟘(실측)'!Q29+뒷날개치수더함</f>
        <v>25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15</v>
      </c>
      <c r="Z29" s="4">
        <f>'쪽쟘(실측)'!U29</f>
        <v>10</v>
      </c>
      <c r="AA29" s="4">
        <f>'쪽쟘(실측)'!V29</f>
        <v>6</v>
      </c>
      <c r="AC29">
        <f t="shared" si="5"/>
        <v>928</v>
      </c>
      <c r="AD29">
        <f>U29+E29+MAX(S29,T29)-쪽쟘소재t*3+IF(S29=0,S29*쪽쟘소재t,0)-1.2</f>
        <v>116.2</v>
      </c>
      <c r="AE29">
        <f>MAX(K29,L29)+F29+V29-쪽쟘소재t*3+IF(K29=0,쪽쟘소재t)-IF(AA29=90,2.4,0)-1.2</f>
        <v>121</v>
      </c>
      <c r="AF29">
        <f t="shared" si="6"/>
        <v>2092</v>
      </c>
      <c r="AG29">
        <f>MAX(M29,N29)+F29+V29-쪽쟘소재t*3+IF(M29=0,쪽쟘소재t)-IF(AA29=90,2.4,0)-1.2</f>
        <v>121</v>
      </c>
      <c r="AH29">
        <f t="shared" si="7"/>
        <v>2092</v>
      </c>
    </row>
    <row r="30" spans="1:34" ht="19.5" customHeight="1" x14ac:dyDescent="0.3">
      <c r="A30" s="50" t="str">
        <f>'쪽쟘(실측)'!A30</f>
        <v>106   / 2</v>
      </c>
      <c r="B30" s="50" t="str">
        <f>'쪽쟘(실측)'!B30&amp;"F"</f>
        <v>2F</v>
      </c>
      <c r="C30" s="50" t="str">
        <f t="shared" si="2"/>
        <v>927*116.2</v>
      </c>
      <c r="D30" s="50">
        <f>'쪽쟘(실측)'!C30-쪽쟘OP차감</f>
        <v>898</v>
      </c>
      <c r="E30" s="50">
        <f>'쪽쟘(실측)'!D30+쪽쟘J늘림+MAX(W30:X30)</f>
        <v>85</v>
      </c>
      <c r="F30" s="50">
        <f>'쪽쟘(실측)'!E30+쪽쟘J늘림+MAX(W30:X30)</f>
        <v>83</v>
      </c>
      <c r="G30" s="67" t="str">
        <f t="shared" si="3"/>
        <v>2092*121</v>
      </c>
      <c r="H30" s="68" t="str">
        <f t="shared" si="4"/>
        <v>2092*120</v>
      </c>
      <c r="I30" s="50">
        <f>IF('쪽쟘(실측)'!F30&gt;0,'쪽쟘(실측)'!F30-3,0)+뒷날개치수더함</f>
        <v>15</v>
      </c>
      <c r="J30" s="50">
        <f>IF('쪽쟘(실측)'!H30&gt;0,'쪽쟘(실측)'!H30-3,0)+뒷날개치수더함</f>
        <v>14</v>
      </c>
      <c r="K30" s="50">
        <f>IF('쪽쟘(실측)'!F30&gt;0,'쪽쟘(실측)'!F30+0,0)+뒷날개치수더함-0.2</f>
        <v>17.8</v>
      </c>
      <c r="L30" s="50">
        <f>IF('쪽쟘(실측)'!G30&gt;0,'쪽쟘(실측)'!G30+0,0)+뒷날개치수더함-0.2</f>
        <v>17.8</v>
      </c>
      <c r="M30" s="50">
        <f>IF('쪽쟘(실측)'!H30&gt;0,'쪽쟘(실측)'!H30+0,0)+뒷날개치수더함-0.2</f>
        <v>16.8</v>
      </c>
      <c r="N30" s="50">
        <f>IF('쪽쟘(실측)'!I30&gt;0,'쪽쟘(실측)'!I30+0,0)+뒷날개치수더함-0.2</f>
        <v>16.8</v>
      </c>
      <c r="O30" s="50">
        <f>'쪽쟘(실측)'!J30-쪽쟘기둥차감</f>
        <v>2092</v>
      </c>
      <c r="P30" s="50">
        <f>'쪽쟘(실측)'!K30-쪽쟘기둥차감</f>
        <v>2092</v>
      </c>
      <c r="Q30" s="50">
        <f>'쪽쟘(실측)'!L30-쪽쟘기둥차감</f>
        <v>2092</v>
      </c>
      <c r="R30" s="50">
        <f>'쪽쟘(실측)'!M30-쪽쟘기둥차감</f>
        <v>2092</v>
      </c>
      <c r="S30" s="50">
        <f>'쪽쟘(실측)'!N30+뒷날개치수더함</f>
        <v>20</v>
      </c>
      <c r="T30" s="50">
        <f>'쪽쟘(실측)'!O30+뒷날개치수더함</f>
        <v>20</v>
      </c>
      <c r="U30" s="50">
        <f>'쪽쟘(실측)'!P30+뒷날개치수더함</f>
        <v>16</v>
      </c>
      <c r="V30" s="50">
        <f>'쪽쟘(실측)'!Q30+뒷날개치수더함</f>
        <v>25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15</v>
      </c>
      <c r="Z30" s="4">
        <f>'쪽쟘(실측)'!U30</f>
        <v>10</v>
      </c>
      <c r="AA30" s="4">
        <f>'쪽쟘(실측)'!V30</f>
        <v>6</v>
      </c>
      <c r="AC30">
        <f t="shared" si="5"/>
        <v>927</v>
      </c>
      <c r="AD30">
        <f>U30+E30+MAX(S30,T30)-쪽쟘소재t*3+IF(S30=0,S30*쪽쟘소재t,0)-1.2</f>
        <v>116.2</v>
      </c>
      <c r="AE30">
        <f>MAX(K30,L30)+F30+V30-쪽쟘소재t*3+IF(K30=0,쪽쟘소재t)-IF(AA30=90,2.4,0)-1.2</f>
        <v>121</v>
      </c>
      <c r="AF30">
        <f t="shared" si="6"/>
        <v>2092</v>
      </c>
      <c r="AG30">
        <f>MAX(M30,N30)+F30+V30-쪽쟘소재t*3+IF(M30=0,쪽쟘소재t)-IF(AA30=90,2.4,0)-1.2</f>
        <v>120</v>
      </c>
      <c r="AH30">
        <f t="shared" si="7"/>
        <v>2092</v>
      </c>
    </row>
    <row r="31" spans="1:34" ht="19.5" customHeight="1" x14ac:dyDescent="0.3">
      <c r="A31" s="50" t="str">
        <f>'쪽쟘(실측)'!A31</f>
        <v>107   / 2</v>
      </c>
      <c r="B31" s="50" t="str">
        <f>'쪽쟘(실측)'!B31&amp;"F"</f>
        <v>10F</v>
      </c>
      <c r="C31" s="50" t="str">
        <f t="shared" si="2"/>
        <v>938*123.2</v>
      </c>
      <c r="D31" s="50">
        <f>'쪽쟘(실측)'!C31-쪽쟘OP차감</f>
        <v>897</v>
      </c>
      <c r="E31" s="50">
        <f>'쪽쟘(실측)'!D31+쪽쟘J늘림+MAX(W31:X31)</f>
        <v>85</v>
      </c>
      <c r="F31" s="50">
        <f>'쪽쟘(실측)'!E31+쪽쟘J늘림+MAX(W31:X31)</f>
        <v>83</v>
      </c>
      <c r="G31" s="67" t="str">
        <f t="shared" si="3"/>
        <v>2092*126</v>
      </c>
      <c r="H31" s="68" t="str">
        <f t="shared" si="4"/>
        <v>2092*127</v>
      </c>
      <c r="I31" s="50">
        <f>IF('쪽쟘(실측)'!F31&gt;0,'쪽쟘(실측)'!F31-3,0)+뒷날개치수더함</f>
        <v>20</v>
      </c>
      <c r="J31" s="50">
        <f>IF('쪽쟘(실측)'!H31&gt;0,'쪽쟘(실측)'!H31-3,0)+뒷날개치수더함</f>
        <v>21</v>
      </c>
      <c r="K31" s="50">
        <f>IF('쪽쟘(실측)'!F31&gt;0,'쪽쟘(실측)'!F31+0,0)+뒷날개치수더함-0.2</f>
        <v>22.8</v>
      </c>
      <c r="L31" s="50">
        <f>IF('쪽쟘(실측)'!G31&gt;0,'쪽쟘(실측)'!G31+0,0)+뒷날개치수더함-0.2</f>
        <v>22.8</v>
      </c>
      <c r="M31" s="50">
        <f>IF('쪽쟘(실측)'!H31&gt;0,'쪽쟘(실측)'!H31+0,0)+뒷날개치수더함-0.2</f>
        <v>23.8</v>
      </c>
      <c r="N31" s="50">
        <f>IF('쪽쟘(실측)'!I31&gt;0,'쪽쟘(실측)'!I31+0,0)+뒷날개치수더함-0.2</f>
        <v>23.8</v>
      </c>
      <c r="O31" s="50">
        <f>'쪽쟘(실측)'!J31-쪽쟘기둥차감</f>
        <v>2092</v>
      </c>
      <c r="P31" s="50">
        <f>'쪽쟘(실측)'!K31-쪽쟘기둥차감</f>
        <v>2092</v>
      </c>
      <c r="Q31" s="50">
        <f>'쪽쟘(실측)'!L31-쪽쟘기둥차감</f>
        <v>2092</v>
      </c>
      <c r="R31" s="50">
        <f>'쪽쟘(실측)'!M31-쪽쟘기둥차감</f>
        <v>2092</v>
      </c>
      <c r="S31" s="50">
        <f>'쪽쟘(실측)'!N31+뒷날개치수더함</f>
        <v>27</v>
      </c>
      <c r="T31" s="50">
        <f>'쪽쟘(실측)'!O31+뒷날개치수더함</f>
        <v>27</v>
      </c>
      <c r="U31" s="50">
        <f>'쪽쟘(실측)'!P31+뒷날개치수더함</f>
        <v>16</v>
      </c>
      <c r="V31" s="50">
        <f>'쪽쟘(실측)'!Q31+뒷날개치수더함</f>
        <v>25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15</v>
      </c>
      <c r="Z31" s="4">
        <f>'쪽쟘(실측)'!U31</f>
        <v>10</v>
      </c>
      <c r="AA31" s="4">
        <f>'쪽쟘(실측)'!V31</f>
        <v>6</v>
      </c>
      <c r="AC31">
        <f t="shared" si="5"/>
        <v>938</v>
      </c>
      <c r="AD31">
        <f>U31+E31+MAX(S31,T31)-쪽쟘소재t*3+IF(S31=0,S31*쪽쟘소재t,0)-1.2</f>
        <v>123.2</v>
      </c>
      <c r="AE31">
        <f>MAX(K31,L31)+F31+V31-쪽쟘소재t*3+IF(K31=0,쪽쟘소재t)-IF(AA31=90,2.4,0)-1.2</f>
        <v>126.00000000000001</v>
      </c>
      <c r="AF31">
        <f t="shared" si="6"/>
        <v>2092</v>
      </c>
      <c r="AG31">
        <f>MAX(M31,N31)+F31+V31-쪽쟘소재t*3+IF(M31=0,쪽쟘소재t)-IF(AA31=90,2.4,0)-1.2</f>
        <v>127.00000000000001</v>
      </c>
      <c r="AH31">
        <f t="shared" si="7"/>
        <v>2092</v>
      </c>
    </row>
    <row r="32" spans="1:34" ht="19.5" customHeight="1" x14ac:dyDescent="0.3">
      <c r="A32" s="50" t="str">
        <f>'쪽쟘(실측)'!A32</f>
        <v>107   / 2</v>
      </c>
      <c r="B32" s="50" t="str">
        <f>'쪽쟘(실측)'!B32&amp;"F"</f>
        <v>9F</v>
      </c>
      <c r="C32" s="50" t="str">
        <f t="shared" si="2"/>
        <v>931*118.2</v>
      </c>
      <c r="D32" s="50">
        <f>'쪽쟘(실측)'!C32-쪽쟘OP차감</f>
        <v>897</v>
      </c>
      <c r="E32" s="50">
        <f>'쪽쟘(실측)'!D32+쪽쟘J늘림+MAX(W32:X32)</f>
        <v>85</v>
      </c>
      <c r="F32" s="50">
        <f>'쪽쟘(실측)'!E32+쪽쟘J늘림+MAX(W32:X32)</f>
        <v>83</v>
      </c>
      <c r="G32" s="67" t="str">
        <f t="shared" si="3"/>
        <v>2092*123</v>
      </c>
      <c r="H32" s="68" t="str">
        <f t="shared" si="4"/>
        <v>2092*123</v>
      </c>
      <c r="I32" s="50">
        <f>IF('쪽쟘(실측)'!F32&gt;0,'쪽쟘(실측)'!F32-3,0)+뒷날개치수더함</f>
        <v>17</v>
      </c>
      <c r="J32" s="50">
        <f>IF('쪽쟘(실측)'!H32&gt;0,'쪽쟘(실측)'!H32-3,0)+뒷날개치수더함</f>
        <v>17</v>
      </c>
      <c r="K32" s="50">
        <f>IF('쪽쟘(실측)'!F32&gt;0,'쪽쟘(실측)'!F32+0,0)+뒷날개치수더함-0.2</f>
        <v>19.8</v>
      </c>
      <c r="L32" s="50">
        <f>IF('쪽쟘(실측)'!G32&gt;0,'쪽쟘(실측)'!G32+0,0)+뒷날개치수더함-0.2</f>
        <v>19.8</v>
      </c>
      <c r="M32" s="50">
        <f>IF('쪽쟘(실측)'!H32&gt;0,'쪽쟘(실측)'!H32+0,0)+뒷날개치수더함-0.2</f>
        <v>19.8</v>
      </c>
      <c r="N32" s="50">
        <f>IF('쪽쟘(실측)'!I32&gt;0,'쪽쟘(실측)'!I32+0,0)+뒷날개치수더함-0.2</f>
        <v>19.8</v>
      </c>
      <c r="O32" s="50">
        <f>'쪽쟘(실측)'!J32-쪽쟘기둥차감</f>
        <v>2092</v>
      </c>
      <c r="P32" s="50">
        <f>'쪽쟘(실측)'!K32-쪽쟘기둥차감</f>
        <v>2092</v>
      </c>
      <c r="Q32" s="50">
        <f>'쪽쟘(실측)'!L32-쪽쟘기둥차감</f>
        <v>2092</v>
      </c>
      <c r="R32" s="50">
        <f>'쪽쟘(실측)'!M32-쪽쟘기둥차감</f>
        <v>2092</v>
      </c>
      <c r="S32" s="50">
        <f>'쪽쟘(실측)'!N32+뒷날개치수더함</f>
        <v>22</v>
      </c>
      <c r="T32" s="50">
        <f>'쪽쟘(실측)'!O32+뒷날개치수더함</f>
        <v>22</v>
      </c>
      <c r="U32" s="50">
        <f>'쪽쟘(실측)'!P32+뒷날개치수더함</f>
        <v>16</v>
      </c>
      <c r="V32" s="50">
        <f>'쪽쟘(실측)'!Q32+뒷날개치수더함</f>
        <v>25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15</v>
      </c>
      <c r="Z32" s="4">
        <f>'쪽쟘(실측)'!U32</f>
        <v>10</v>
      </c>
      <c r="AA32" s="4">
        <f>'쪽쟘(실측)'!V32</f>
        <v>6</v>
      </c>
      <c r="AC32">
        <f t="shared" si="5"/>
        <v>931</v>
      </c>
      <c r="AD32">
        <f>U32+E32+MAX(S32,T32)-쪽쟘소재t*3+IF(S32=0,S32*쪽쟘소재t,0)-1.2</f>
        <v>118.2</v>
      </c>
      <c r="AE32">
        <f>MAX(K32,L32)+F32+V32-쪽쟘소재t*3+IF(K32=0,쪽쟘소재t)-IF(AA32=90,2.4,0)-1.2</f>
        <v>123</v>
      </c>
      <c r="AF32">
        <f t="shared" si="6"/>
        <v>2092</v>
      </c>
      <c r="AG32">
        <f>MAX(M32,N32)+F32+V32-쪽쟘소재t*3+IF(M32=0,쪽쟘소재t)-IF(AA32=90,2.4,0)-1.2</f>
        <v>123</v>
      </c>
      <c r="AH32">
        <f t="shared" si="7"/>
        <v>2092</v>
      </c>
    </row>
    <row r="33" spans="1:34" ht="19.5" customHeight="1" x14ac:dyDescent="0.3">
      <c r="A33" s="50" t="str">
        <f>'쪽쟘(실측)'!A33</f>
        <v>107   / 2</v>
      </c>
      <c r="B33" s="50" t="str">
        <f>'쪽쟘(실측)'!B33&amp;"F"</f>
        <v>8F</v>
      </c>
      <c r="C33" s="50" t="str">
        <f t="shared" si="2"/>
        <v>924*115.2</v>
      </c>
      <c r="D33" s="50">
        <f>'쪽쟘(실측)'!C33-쪽쟘OP차감</f>
        <v>895</v>
      </c>
      <c r="E33" s="50">
        <f>'쪽쟘(실측)'!D33+쪽쟘J늘림+MAX(W33:X33)</f>
        <v>85</v>
      </c>
      <c r="F33" s="50">
        <f>'쪽쟘(실측)'!E33+쪽쟘J늘림+MAX(W33:X33)</f>
        <v>83</v>
      </c>
      <c r="G33" s="67" t="str">
        <f t="shared" si="3"/>
        <v>2098*122</v>
      </c>
      <c r="H33" s="68" t="str">
        <f t="shared" si="4"/>
        <v>2092*119</v>
      </c>
      <c r="I33" s="50">
        <f>IF('쪽쟘(실측)'!F33&gt;0,'쪽쟘(실측)'!F33-3,0)+뒷날개치수더함</f>
        <v>16</v>
      </c>
      <c r="J33" s="50">
        <f>IF('쪽쟘(실측)'!H33&gt;0,'쪽쟘(실측)'!H33-3,0)+뒷날개치수더함</f>
        <v>13</v>
      </c>
      <c r="K33" s="50">
        <f>IF('쪽쟘(실측)'!F33&gt;0,'쪽쟘(실측)'!F33+0,0)+뒷날개치수더함-0.2</f>
        <v>18.8</v>
      </c>
      <c r="L33" s="50">
        <f>IF('쪽쟘(실측)'!G33&gt;0,'쪽쟘(실측)'!G33+0,0)+뒷날개치수더함-0.2</f>
        <v>18.8</v>
      </c>
      <c r="M33" s="50">
        <f>IF('쪽쟘(실측)'!H33&gt;0,'쪽쟘(실측)'!H33+0,0)+뒷날개치수더함-0.2</f>
        <v>15.8</v>
      </c>
      <c r="N33" s="50">
        <f>IF('쪽쟘(실측)'!I33&gt;0,'쪽쟘(실측)'!I33+0,0)+뒷날개치수더함-0.2</f>
        <v>15.8</v>
      </c>
      <c r="O33" s="50">
        <f>'쪽쟘(실측)'!J33-쪽쟘기둥차감</f>
        <v>2098</v>
      </c>
      <c r="P33" s="50">
        <f>'쪽쟘(실측)'!K33-쪽쟘기둥차감</f>
        <v>2098</v>
      </c>
      <c r="Q33" s="50">
        <f>'쪽쟘(실측)'!L33-쪽쟘기둥차감</f>
        <v>2092</v>
      </c>
      <c r="R33" s="50">
        <f>'쪽쟘(실측)'!M33-쪽쟘기둥차감</f>
        <v>2092</v>
      </c>
      <c r="S33" s="50">
        <f>'쪽쟘(실측)'!N33+뒷날개치수더함</f>
        <v>19</v>
      </c>
      <c r="T33" s="50">
        <f>'쪽쟘(실측)'!O33+뒷날개치수더함</f>
        <v>19</v>
      </c>
      <c r="U33" s="50">
        <f>'쪽쟘(실측)'!P33+뒷날개치수더함</f>
        <v>16</v>
      </c>
      <c r="V33" s="50">
        <f>'쪽쟘(실측)'!Q33+뒷날개치수더함</f>
        <v>25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15</v>
      </c>
      <c r="Z33" s="4">
        <f>'쪽쟘(실측)'!U33</f>
        <v>10</v>
      </c>
      <c r="AA33" s="4">
        <f>'쪽쟘(실측)'!V33</f>
        <v>6</v>
      </c>
      <c r="AC33">
        <f t="shared" si="5"/>
        <v>924</v>
      </c>
      <c r="AD33">
        <f>U33+E33+MAX(S33,T33)-쪽쟘소재t*3+IF(S33=0,S33*쪽쟘소재t,0)-1.2</f>
        <v>115.2</v>
      </c>
      <c r="AE33">
        <f>MAX(K33,L33)+F33+V33-쪽쟘소재t*3+IF(K33=0,쪽쟘소재t)-IF(AA33=90,2.4,0)-1.2</f>
        <v>122</v>
      </c>
      <c r="AF33">
        <f t="shared" si="6"/>
        <v>2098</v>
      </c>
      <c r="AG33">
        <f>MAX(M33,N33)+F33+V33-쪽쟘소재t*3+IF(M33=0,쪽쟘소재t)-IF(AA33=90,2.4,0)-1.2</f>
        <v>119</v>
      </c>
      <c r="AH33">
        <f t="shared" si="7"/>
        <v>2092</v>
      </c>
    </row>
    <row r="34" spans="1:34" ht="19.5" customHeight="1" x14ac:dyDescent="0.3">
      <c r="A34" s="50" t="str">
        <f>'쪽쟘(실측)'!A34</f>
        <v>107   / 2</v>
      </c>
      <c r="B34" s="50" t="str">
        <f>'쪽쟘(실측)'!B34&amp;"F"</f>
        <v>7F</v>
      </c>
      <c r="C34" s="50" t="str">
        <f t="shared" si="2"/>
        <v>928*115.2</v>
      </c>
      <c r="D34" s="50">
        <f>'쪽쟘(실측)'!C34-쪽쟘OP차감</f>
        <v>897</v>
      </c>
      <c r="E34" s="50">
        <f>'쪽쟘(실측)'!D34+쪽쟘J늘림+MAX(W34:X34)</f>
        <v>85</v>
      </c>
      <c r="F34" s="50">
        <f>'쪽쟘(실측)'!E34+쪽쟘J늘림+MAX(W34:X34)</f>
        <v>83</v>
      </c>
      <c r="G34" s="67" t="str">
        <f t="shared" si="3"/>
        <v>2092*121</v>
      </c>
      <c r="H34" s="68" t="str">
        <f t="shared" si="4"/>
        <v>2092*122</v>
      </c>
      <c r="I34" s="50">
        <f>IF('쪽쟘(실측)'!F34&gt;0,'쪽쟘(실측)'!F34-3,0)+뒷날개치수더함</f>
        <v>15</v>
      </c>
      <c r="J34" s="50">
        <f>IF('쪽쟘(실측)'!H34&gt;0,'쪽쟘(실측)'!H34-3,0)+뒷날개치수더함</f>
        <v>16</v>
      </c>
      <c r="K34" s="50">
        <f>IF('쪽쟘(실측)'!F34&gt;0,'쪽쟘(실측)'!F34+0,0)+뒷날개치수더함-0.2</f>
        <v>17.8</v>
      </c>
      <c r="L34" s="50">
        <f>IF('쪽쟘(실측)'!G34&gt;0,'쪽쟘(실측)'!G34+0,0)+뒷날개치수더함-0.2</f>
        <v>17.8</v>
      </c>
      <c r="M34" s="50">
        <f>IF('쪽쟘(실측)'!H34&gt;0,'쪽쟘(실측)'!H34+0,0)+뒷날개치수더함-0.2</f>
        <v>18.8</v>
      </c>
      <c r="N34" s="50">
        <f>IF('쪽쟘(실측)'!I34&gt;0,'쪽쟘(실측)'!I34+0,0)+뒷날개치수더함-0.2</f>
        <v>18.8</v>
      </c>
      <c r="O34" s="50">
        <f>'쪽쟘(실측)'!J34-쪽쟘기둥차감</f>
        <v>2092</v>
      </c>
      <c r="P34" s="50">
        <f>'쪽쟘(실측)'!K34-쪽쟘기둥차감</f>
        <v>2092</v>
      </c>
      <c r="Q34" s="50">
        <f>'쪽쟘(실측)'!L34-쪽쟘기둥차감</f>
        <v>2092</v>
      </c>
      <c r="R34" s="50">
        <f>'쪽쟘(실측)'!M34-쪽쟘기둥차감</f>
        <v>2092</v>
      </c>
      <c r="S34" s="50">
        <f>'쪽쟘(실측)'!N34+뒷날개치수더함</f>
        <v>19</v>
      </c>
      <c r="T34" s="50">
        <f>'쪽쟘(실측)'!O34+뒷날개치수더함</f>
        <v>19</v>
      </c>
      <c r="U34" s="50">
        <f>'쪽쟘(실측)'!P34+뒷날개치수더함</f>
        <v>16</v>
      </c>
      <c r="V34" s="50">
        <f>'쪽쟘(실측)'!Q34+뒷날개치수더함</f>
        <v>25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15</v>
      </c>
      <c r="Z34" s="4">
        <f>'쪽쟘(실측)'!U34</f>
        <v>10</v>
      </c>
      <c r="AA34" s="4">
        <f>'쪽쟘(실측)'!V34</f>
        <v>6</v>
      </c>
      <c r="AC34">
        <f t="shared" si="5"/>
        <v>928</v>
      </c>
      <c r="AD34">
        <f>U34+E34+MAX(S34,T34)-쪽쟘소재t*3+IF(S34=0,S34*쪽쟘소재t,0)-1.2</f>
        <v>115.2</v>
      </c>
      <c r="AE34">
        <f>MAX(K34,L34)+F34+V34-쪽쟘소재t*3+IF(K34=0,쪽쟘소재t)-IF(AA34=90,2.4,0)-1.2</f>
        <v>121</v>
      </c>
      <c r="AF34">
        <f t="shared" si="6"/>
        <v>2092</v>
      </c>
      <c r="AG34">
        <f>MAX(M34,N34)+F34+V34-쪽쟘소재t*3+IF(M34=0,쪽쟘소재t)-IF(AA34=90,2.4,0)-1.2</f>
        <v>122</v>
      </c>
      <c r="AH34">
        <f t="shared" si="7"/>
        <v>2092</v>
      </c>
    </row>
    <row r="35" spans="1:34" ht="19.5" customHeight="1" x14ac:dyDescent="0.3">
      <c r="A35" s="50" t="str">
        <f>'쪽쟘(실측)'!A35</f>
        <v>107   / 2</v>
      </c>
      <c r="B35" s="50" t="str">
        <f>'쪽쟘(실측)'!B35&amp;"F"</f>
        <v>6F</v>
      </c>
      <c r="C35" s="50" t="str">
        <f t="shared" si="2"/>
        <v>927*113.2</v>
      </c>
      <c r="D35" s="50">
        <f>'쪽쟘(실측)'!C35-쪽쟘OP차감</f>
        <v>897</v>
      </c>
      <c r="E35" s="50">
        <f>'쪽쟘(실측)'!D35+쪽쟘J늘림+MAX(W35:X35)</f>
        <v>85</v>
      </c>
      <c r="F35" s="50">
        <f>'쪽쟘(실측)'!E35+쪽쟘J늘림+MAX(W35:X35)</f>
        <v>83</v>
      </c>
      <c r="G35" s="67" t="str">
        <f t="shared" si="3"/>
        <v>2092*122</v>
      </c>
      <c r="H35" s="68" t="str">
        <f t="shared" si="4"/>
        <v>2092*120</v>
      </c>
      <c r="I35" s="50">
        <f>IF('쪽쟘(실측)'!F35&gt;0,'쪽쟘(실측)'!F35-3,0)+뒷날개치수더함</f>
        <v>16</v>
      </c>
      <c r="J35" s="50">
        <f>IF('쪽쟘(실측)'!H35&gt;0,'쪽쟘(실측)'!H35-3,0)+뒷날개치수더함</f>
        <v>14</v>
      </c>
      <c r="K35" s="50">
        <f>IF('쪽쟘(실측)'!F35&gt;0,'쪽쟘(실측)'!F35+0,0)+뒷날개치수더함-0.2</f>
        <v>18.8</v>
      </c>
      <c r="L35" s="50">
        <f>IF('쪽쟘(실측)'!G35&gt;0,'쪽쟘(실측)'!G35+0,0)+뒷날개치수더함-0.2</f>
        <v>18.8</v>
      </c>
      <c r="M35" s="50">
        <f>IF('쪽쟘(실측)'!H35&gt;0,'쪽쟘(실측)'!H35+0,0)+뒷날개치수더함-0.2</f>
        <v>16.8</v>
      </c>
      <c r="N35" s="50">
        <f>IF('쪽쟘(실측)'!I35&gt;0,'쪽쟘(실측)'!I35+0,0)+뒷날개치수더함-0.2</f>
        <v>16.8</v>
      </c>
      <c r="O35" s="50">
        <f>'쪽쟘(실측)'!J35-쪽쟘기둥차감</f>
        <v>2092</v>
      </c>
      <c r="P35" s="50">
        <f>'쪽쟘(실측)'!K35-쪽쟘기둥차감</f>
        <v>2092</v>
      </c>
      <c r="Q35" s="50">
        <f>'쪽쟘(실측)'!L35-쪽쟘기둥차감</f>
        <v>2092</v>
      </c>
      <c r="R35" s="50">
        <f>'쪽쟘(실측)'!M35-쪽쟘기둥차감</f>
        <v>2092</v>
      </c>
      <c r="S35" s="50">
        <f>'쪽쟘(실측)'!N35+뒷날개치수더함</f>
        <v>17</v>
      </c>
      <c r="T35" s="50">
        <f>'쪽쟘(실측)'!O35+뒷날개치수더함</f>
        <v>17</v>
      </c>
      <c r="U35" s="50">
        <f>'쪽쟘(실측)'!P35+뒷날개치수더함</f>
        <v>16</v>
      </c>
      <c r="V35" s="50">
        <f>'쪽쟘(실측)'!Q35+뒷날개치수더함</f>
        <v>25</v>
      </c>
      <c r="W35" s="50">
        <f>'쪽쟘(실측)'!R35-쪽쟘늘치차감</f>
        <v>0</v>
      </c>
      <c r="X35" s="50">
        <f>'쪽쟘(실측)'!S35-쪽쟘늘치차감</f>
        <v>0</v>
      </c>
      <c r="Y35" s="4">
        <f>IF('쪽쟘(실측)'!T35&gt;5,'쪽쟘(실측)'!T35+뒷날개치수더함,0)</f>
        <v>15</v>
      </c>
      <c r="Z35" s="4">
        <f>'쪽쟘(실측)'!U35</f>
        <v>10</v>
      </c>
      <c r="AA35" s="4">
        <f>'쪽쟘(실측)'!V35</f>
        <v>6</v>
      </c>
      <c r="AC35">
        <f t="shared" si="5"/>
        <v>927</v>
      </c>
      <c r="AD35">
        <f>U35+E35+MAX(S35,T35)-쪽쟘소재t*3+IF(S35=0,S35*쪽쟘소재t,0)-1.2</f>
        <v>113.2</v>
      </c>
      <c r="AE35">
        <f>MAX(K35,L35)+F35+V35-쪽쟘소재t*3+IF(K35=0,쪽쟘소재t)-IF(AA35=90,2.4,0)-1.2</f>
        <v>122</v>
      </c>
      <c r="AF35">
        <f t="shared" si="6"/>
        <v>2092</v>
      </c>
      <c r="AG35">
        <f>MAX(M35,N35)+F35+V35-쪽쟘소재t*3+IF(M35=0,쪽쟘소재t)-IF(AA35=90,2.4,0)-1.2</f>
        <v>120</v>
      </c>
      <c r="AH35">
        <f t="shared" si="7"/>
        <v>2092</v>
      </c>
    </row>
    <row r="36" spans="1:34" ht="19.5" customHeight="1" x14ac:dyDescent="0.3">
      <c r="A36" s="50" t="str">
        <f>'쪽쟘(실측)'!A36</f>
        <v>107   / 2</v>
      </c>
      <c r="B36" s="50" t="str">
        <f>'쪽쟘(실측)'!B36&amp;"F"</f>
        <v>5F</v>
      </c>
      <c r="C36" s="50" t="str">
        <f t="shared" si="2"/>
        <v>926*113.2</v>
      </c>
      <c r="D36" s="50">
        <f>'쪽쟘(실측)'!C36-쪽쟘OP차감</f>
        <v>897</v>
      </c>
      <c r="E36" s="50">
        <f>'쪽쟘(실측)'!D36+쪽쟘J늘림+MAX(W36:X36)</f>
        <v>85</v>
      </c>
      <c r="F36" s="50">
        <f>'쪽쟘(실측)'!E36+쪽쟘J늘림+MAX(W36:X36)</f>
        <v>83</v>
      </c>
      <c r="G36" s="67" t="str">
        <f t="shared" si="3"/>
        <v>2098*121</v>
      </c>
      <c r="H36" s="68" t="str">
        <f t="shared" si="4"/>
        <v>2098*120</v>
      </c>
      <c r="I36" s="50">
        <f>IF('쪽쟘(실측)'!F36&gt;0,'쪽쟘(실측)'!F36-3,0)+뒷날개치수더함</f>
        <v>15</v>
      </c>
      <c r="J36" s="50">
        <f>IF('쪽쟘(실측)'!H36&gt;0,'쪽쟘(실측)'!H36-3,0)+뒷날개치수더함</f>
        <v>14</v>
      </c>
      <c r="K36" s="50">
        <f>IF('쪽쟘(실측)'!F36&gt;0,'쪽쟘(실측)'!F36+0,0)+뒷날개치수더함-0.2</f>
        <v>17.8</v>
      </c>
      <c r="L36" s="50">
        <f>IF('쪽쟘(실측)'!G36&gt;0,'쪽쟘(실측)'!G36+0,0)+뒷날개치수더함-0.2</f>
        <v>17.8</v>
      </c>
      <c r="M36" s="50">
        <f>IF('쪽쟘(실측)'!H36&gt;0,'쪽쟘(실측)'!H36+0,0)+뒷날개치수더함-0.2</f>
        <v>16.8</v>
      </c>
      <c r="N36" s="50">
        <f>IF('쪽쟘(실측)'!I36&gt;0,'쪽쟘(실측)'!I36+0,0)+뒷날개치수더함-0.2</f>
        <v>16.8</v>
      </c>
      <c r="O36" s="50">
        <f>'쪽쟘(실측)'!J36-쪽쟘기둥차감</f>
        <v>2098</v>
      </c>
      <c r="P36" s="50">
        <f>'쪽쟘(실측)'!K36-쪽쟘기둥차감</f>
        <v>2098</v>
      </c>
      <c r="Q36" s="50">
        <f>'쪽쟘(실측)'!L36-쪽쟘기둥차감</f>
        <v>2098</v>
      </c>
      <c r="R36" s="50">
        <f>'쪽쟘(실측)'!M36-쪽쟘기둥차감</f>
        <v>2098</v>
      </c>
      <c r="S36" s="50">
        <f>'쪽쟘(실측)'!N36+뒷날개치수더함</f>
        <v>17</v>
      </c>
      <c r="T36" s="50">
        <f>'쪽쟘(실측)'!O36+뒷날개치수더함</f>
        <v>17</v>
      </c>
      <c r="U36" s="50">
        <f>'쪽쟘(실측)'!P36+뒷날개치수더함</f>
        <v>16</v>
      </c>
      <c r="V36" s="50">
        <f>'쪽쟘(실측)'!Q36+뒷날개치수더함</f>
        <v>25</v>
      </c>
      <c r="W36" s="50">
        <f>'쪽쟘(실측)'!R36-쪽쟘늘치차감</f>
        <v>0</v>
      </c>
      <c r="X36" s="50">
        <f>'쪽쟘(실측)'!S36-쪽쟘늘치차감</f>
        <v>0</v>
      </c>
      <c r="Y36" s="4">
        <f>IF('쪽쟘(실측)'!T36&gt;5,'쪽쟘(실측)'!T36+뒷날개치수더함,0)</f>
        <v>15</v>
      </c>
      <c r="Z36" s="4">
        <f>'쪽쟘(실측)'!U36</f>
        <v>10</v>
      </c>
      <c r="AA36" s="4">
        <f>'쪽쟘(실측)'!V36</f>
        <v>6</v>
      </c>
      <c r="AC36">
        <f t="shared" si="5"/>
        <v>926</v>
      </c>
      <c r="AD36">
        <f>U36+E36+MAX(S36,T36)-쪽쟘소재t*3+IF(S36=0,S36*쪽쟘소재t,0)-1.2</f>
        <v>113.2</v>
      </c>
      <c r="AE36">
        <f>MAX(K36,L36)+F36+V36-쪽쟘소재t*3+IF(K36=0,쪽쟘소재t)-IF(AA36=90,2.4,0)-1.2</f>
        <v>121</v>
      </c>
      <c r="AF36">
        <f t="shared" si="6"/>
        <v>2098</v>
      </c>
      <c r="AG36">
        <f>MAX(M36,N36)+F36+V36-쪽쟘소재t*3+IF(M36=0,쪽쟘소재t)-IF(AA36=90,2.4,0)-1.2</f>
        <v>120</v>
      </c>
      <c r="AH36">
        <f t="shared" si="7"/>
        <v>2098</v>
      </c>
    </row>
    <row r="37" spans="1:34" ht="19.5" customHeight="1" x14ac:dyDescent="0.3">
      <c r="A37" s="50" t="str">
        <f>'쪽쟘(실측)'!A37</f>
        <v>107   / 2</v>
      </c>
      <c r="B37" s="50" t="str">
        <f>'쪽쟘(실측)'!B37&amp;"F"</f>
        <v>4F</v>
      </c>
      <c r="C37" s="50" t="str">
        <f t="shared" si="2"/>
        <v>929*111.2</v>
      </c>
      <c r="D37" s="50">
        <f>'쪽쟘(실측)'!C37-쪽쟘OP차감</f>
        <v>897</v>
      </c>
      <c r="E37" s="50">
        <f>'쪽쟘(실측)'!D37+쪽쟘J늘림+MAX(W37:X37)</f>
        <v>85</v>
      </c>
      <c r="F37" s="50">
        <f>'쪽쟘(실측)'!E37+쪽쟘J늘림+MAX(W37:X37)</f>
        <v>83</v>
      </c>
      <c r="G37" s="67" t="str">
        <f t="shared" si="3"/>
        <v>2092*123</v>
      </c>
      <c r="H37" s="68" t="str">
        <f t="shared" si="4"/>
        <v>2092*121</v>
      </c>
      <c r="I37" s="50">
        <f>IF('쪽쟘(실측)'!F37&gt;0,'쪽쟘(실측)'!F37-3,0)+뒷날개치수더함</f>
        <v>17</v>
      </c>
      <c r="J37" s="50">
        <f>IF('쪽쟘(실측)'!H37&gt;0,'쪽쟘(실측)'!H37-3,0)+뒷날개치수더함</f>
        <v>15</v>
      </c>
      <c r="K37" s="50">
        <f>IF('쪽쟘(실측)'!F37&gt;0,'쪽쟘(실측)'!F37+0,0)+뒷날개치수더함-0.2</f>
        <v>19.8</v>
      </c>
      <c r="L37" s="50">
        <f>IF('쪽쟘(실측)'!G37&gt;0,'쪽쟘(실측)'!G37+0,0)+뒷날개치수더함-0.2</f>
        <v>19.8</v>
      </c>
      <c r="M37" s="50">
        <f>IF('쪽쟘(실측)'!H37&gt;0,'쪽쟘(실측)'!H37+0,0)+뒷날개치수더함-0.2</f>
        <v>17.8</v>
      </c>
      <c r="N37" s="50">
        <f>IF('쪽쟘(실측)'!I37&gt;0,'쪽쟘(실측)'!I37+0,0)+뒷날개치수더함-0.2</f>
        <v>17.8</v>
      </c>
      <c r="O37" s="50">
        <f>'쪽쟘(실측)'!J37-쪽쟘기둥차감</f>
        <v>2092</v>
      </c>
      <c r="P37" s="50">
        <f>'쪽쟘(실측)'!K37-쪽쟘기둥차감</f>
        <v>2092</v>
      </c>
      <c r="Q37" s="50">
        <f>'쪽쟘(실측)'!L37-쪽쟘기둥차감</f>
        <v>2092</v>
      </c>
      <c r="R37" s="50">
        <f>'쪽쟘(실측)'!M37-쪽쟘기둥차감</f>
        <v>2092</v>
      </c>
      <c r="S37" s="50">
        <f>'쪽쟘(실측)'!N37+뒷날개치수더함</f>
        <v>15</v>
      </c>
      <c r="T37" s="50">
        <f>'쪽쟘(실측)'!O37+뒷날개치수더함</f>
        <v>15</v>
      </c>
      <c r="U37" s="50">
        <f>'쪽쟘(실측)'!P37+뒷날개치수더함</f>
        <v>16</v>
      </c>
      <c r="V37" s="50">
        <f>'쪽쟘(실측)'!Q37+뒷날개치수더함</f>
        <v>25</v>
      </c>
      <c r="W37" s="50">
        <f>'쪽쟘(실측)'!R37-쪽쟘늘치차감</f>
        <v>0</v>
      </c>
      <c r="X37" s="50">
        <f>'쪽쟘(실측)'!S37-쪽쟘늘치차감</f>
        <v>0</v>
      </c>
      <c r="Y37" s="4">
        <f>IF('쪽쟘(실측)'!T37&gt;5,'쪽쟘(실측)'!T37+뒷날개치수더함,0)</f>
        <v>15</v>
      </c>
      <c r="Z37" s="4">
        <f>'쪽쟘(실측)'!U37</f>
        <v>10</v>
      </c>
      <c r="AA37" s="4">
        <f>'쪽쟘(실측)'!V37</f>
        <v>6</v>
      </c>
      <c r="AC37">
        <f t="shared" si="5"/>
        <v>929</v>
      </c>
      <c r="AD37">
        <f>U37+E37+MAX(S37,T37)-쪽쟘소재t*3+IF(S37=0,S37*쪽쟘소재t,0)-1.2</f>
        <v>111.2</v>
      </c>
      <c r="AE37">
        <f>MAX(K37,L37)+F37+V37-쪽쟘소재t*3+IF(K37=0,쪽쟘소재t)-IF(AA37=90,2.4,0)-1.2</f>
        <v>123</v>
      </c>
      <c r="AF37">
        <f t="shared" si="6"/>
        <v>2092</v>
      </c>
      <c r="AG37">
        <f>MAX(M37,N37)+F37+V37-쪽쟘소재t*3+IF(M37=0,쪽쟘소재t)-IF(AA37=90,2.4,0)-1.2</f>
        <v>121</v>
      </c>
      <c r="AH37">
        <f t="shared" si="7"/>
        <v>2092</v>
      </c>
    </row>
    <row r="38" spans="1:34" ht="19.5" customHeight="1" x14ac:dyDescent="0.3">
      <c r="A38" s="50" t="str">
        <f>'쪽쟘(실측)'!A38</f>
        <v>107   / 2</v>
      </c>
      <c r="B38" s="50" t="str">
        <f>'쪽쟘(실측)'!B38&amp;"F"</f>
        <v>3F</v>
      </c>
      <c r="C38" s="50" t="str">
        <f t="shared" si="2"/>
        <v>924*116.2</v>
      </c>
      <c r="D38" s="50">
        <f>'쪽쟘(실측)'!C38-쪽쟘OP차감</f>
        <v>897</v>
      </c>
      <c r="E38" s="50">
        <f>'쪽쟘(실측)'!D38+쪽쟘J늘림+MAX(W38:X38)</f>
        <v>85</v>
      </c>
      <c r="F38" s="50">
        <f>'쪽쟘(실측)'!E38+쪽쟘J늘림+MAX(W38:X38)</f>
        <v>83</v>
      </c>
      <c r="G38" s="67" t="str">
        <f t="shared" si="3"/>
        <v>2098*121</v>
      </c>
      <c r="H38" s="68" t="str">
        <f t="shared" si="4"/>
        <v>2098*118</v>
      </c>
      <c r="I38" s="50">
        <f>IF('쪽쟘(실측)'!F38&gt;0,'쪽쟘(실측)'!F38-3,0)+뒷날개치수더함</f>
        <v>15</v>
      </c>
      <c r="J38" s="50">
        <f>IF('쪽쟘(실측)'!H38&gt;0,'쪽쟘(실측)'!H38-3,0)+뒷날개치수더함</f>
        <v>12</v>
      </c>
      <c r="K38" s="50">
        <f>IF('쪽쟘(실측)'!F38&gt;0,'쪽쟘(실측)'!F38+0,0)+뒷날개치수더함-0.2</f>
        <v>17.8</v>
      </c>
      <c r="L38" s="50">
        <f>IF('쪽쟘(실측)'!G38&gt;0,'쪽쟘(실측)'!G38+0,0)+뒷날개치수더함-0.2</f>
        <v>17.8</v>
      </c>
      <c r="M38" s="50">
        <f>IF('쪽쟘(실측)'!H38&gt;0,'쪽쟘(실측)'!H38+0,0)+뒷날개치수더함-0.2</f>
        <v>14.8</v>
      </c>
      <c r="N38" s="50">
        <f>IF('쪽쟘(실측)'!I38&gt;0,'쪽쟘(실측)'!I38+0,0)+뒷날개치수더함-0.2</f>
        <v>14.8</v>
      </c>
      <c r="O38" s="50">
        <f>'쪽쟘(실측)'!J38-쪽쟘기둥차감</f>
        <v>2098</v>
      </c>
      <c r="P38" s="50">
        <f>'쪽쟘(실측)'!K38-쪽쟘기둥차감</f>
        <v>2098</v>
      </c>
      <c r="Q38" s="50">
        <f>'쪽쟘(실측)'!L38-쪽쟘기둥차감</f>
        <v>2098</v>
      </c>
      <c r="R38" s="50">
        <f>'쪽쟘(실측)'!M38-쪽쟘기둥차감</f>
        <v>2098</v>
      </c>
      <c r="S38" s="50">
        <f>'쪽쟘(실측)'!N38+뒷날개치수더함</f>
        <v>20</v>
      </c>
      <c r="T38" s="50">
        <f>'쪽쟘(실측)'!O38+뒷날개치수더함</f>
        <v>20</v>
      </c>
      <c r="U38" s="50">
        <f>'쪽쟘(실측)'!P38+뒷날개치수더함</f>
        <v>16</v>
      </c>
      <c r="V38" s="50">
        <f>'쪽쟘(실측)'!Q38+뒷날개치수더함</f>
        <v>25</v>
      </c>
      <c r="W38" s="50">
        <f>'쪽쟘(실측)'!R38-쪽쟘늘치차감</f>
        <v>0</v>
      </c>
      <c r="X38" s="50">
        <f>'쪽쟘(실측)'!S38-쪽쟘늘치차감</f>
        <v>0</v>
      </c>
      <c r="Y38" s="4">
        <f>IF('쪽쟘(실측)'!T38&gt;5,'쪽쟘(실측)'!T38+뒷날개치수더함,0)</f>
        <v>15</v>
      </c>
      <c r="Z38" s="4">
        <f>'쪽쟘(실측)'!U38</f>
        <v>10</v>
      </c>
      <c r="AA38" s="4">
        <f>'쪽쟘(실측)'!V38</f>
        <v>6</v>
      </c>
      <c r="AC38">
        <f t="shared" si="5"/>
        <v>924</v>
      </c>
      <c r="AD38">
        <f>U38+E38+MAX(S38,T38)-쪽쟘소재t*3+IF(S38=0,S38*쪽쟘소재t,0)-1.2</f>
        <v>116.2</v>
      </c>
      <c r="AE38">
        <f>MAX(K38,L38)+F38+V38-쪽쟘소재t*3+IF(K38=0,쪽쟘소재t)-IF(AA38=90,2.4,0)-1.2</f>
        <v>121</v>
      </c>
      <c r="AF38">
        <f t="shared" si="6"/>
        <v>2098</v>
      </c>
      <c r="AG38">
        <f>MAX(M38,N38)+F38+V38-쪽쟘소재t*3+IF(M38=0,쪽쟘소재t)-IF(AA38=90,2.4,0)-1.2</f>
        <v>118</v>
      </c>
      <c r="AH38">
        <f t="shared" si="7"/>
        <v>2098</v>
      </c>
    </row>
    <row r="39" spans="1:34" ht="19.5" customHeight="1" x14ac:dyDescent="0.3">
      <c r="A39" s="50" t="str">
        <f>'쪽쟘(실측)'!A39</f>
        <v>107   / 2</v>
      </c>
      <c r="B39" s="50" t="str">
        <f>'쪽쟘(실측)'!B39&amp;"F"</f>
        <v>2F</v>
      </c>
      <c r="C39" s="50" t="str">
        <f t="shared" si="2"/>
        <v>930*117.2</v>
      </c>
      <c r="D39" s="50">
        <f>'쪽쟘(실측)'!C39-쪽쟘OP차감</f>
        <v>896</v>
      </c>
      <c r="E39" s="50">
        <f>'쪽쟘(실측)'!D39+쪽쟘J늘림+MAX(W39:X39)</f>
        <v>85</v>
      </c>
      <c r="F39" s="50">
        <f>'쪽쟘(실측)'!E39+쪽쟘J늘림+MAX(W39:X39)</f>
        <v>83</v>
      </c>
      <c r="G39" s="67" t="str">
        <f t="shared" si="3"/>
        <v>2092*123</v>
      </c>
      <c r="H39" s="68" t="str">
        <f t="shared" si="4"/>
        <v>2098*123</v>
      </c>
      <c r="I39" s="50">
        <f>IF('쪽쟘(실측)'!F39&gt;0,'쪽쟘(실측)'!F39-3,0)+뒷날개치수더함</f>
        <v>17</v>
      </c>
      <c r="J39" s="50">
        <f>IF('쪽쟘(실측)'!H39&gt;0,'쪽쟘(실측)'!H39-3,0)+뒷날개치수더함</f>
        <v>17</v>
      </c>
      <c r="K39" s="50">
        <f>IF('쪽쟘(실측)'!F39&gt;0,'쪽쟘(실측)'!F39+0,0)+뒷날개치수더함-0.2</f>
        <v>19.8</v>
      </c>
      <c r="L39" s="50">
        <f>IF('쪽쟘(실측)'!G39&gt;0,'쪽쟘(실측)'!G39+0,0)+뒷날개치수더함-0.2</f>
        <v>19.8</v>
      </c>
      <c r="M39" s="50">
        <f>IF('쪽쟘(실측)'!H39&gt;0,'쪽쟘(실측)'!H39+0,0)+뒷날개치수더함-0.2</f>
        <v>19.8</v>
      </c>
      <c r="N39" s="50">
        <f>IF('쪽쟘(실측)'!I39&gt;0,'쪽쟘(실측)'!I39+0,0)+뒷날개치수더함-0.2</f>
        <v>19.8</v>
      </c>
      <c r="O39" s="50">
        <f>'쪽쟘(실측)'!J39-쪽쟘기둥차감</f>
        <v>2092</v>
      </c>
      <c r="P39" s="50">
        <f>'쪽쟘(실측)'!K39-쪽쟘기둥차감</f>
        <v>2092</v>
      </c>
      <c r="Q39" s="50">
        <f>'쪽쟘(실측)'!L39-쪽쟘기둥차감</f>
        <v>2098</v>
      </c>
      <c r="R39" s="50">
        <f>'쪽쟘(실측)'!M39-쪽쟘기둥차감</f>
        <v>2098</v>
      </c>
      <c r="S39" s="50">
        <f>'쪽쟘(실측)'!N39+뒷날개치수더함</f>
        <v>21</v>
      </c>
      <c r="T39" s="50">
        <f>'쪽쟘(실측)'!O39+뒷날개치수더함</f>
        <v>21</v>
      </c>
      <c r="U39" s="50">
        <f>'쪽쟘(실측)'!P39+뒷날개치수더함</f>
        <v>16</v>
      </c>
      <c r="V39" s="50">
        <f>'쪽쟘(실측)'!Q39+뒷날개치수더함</f>
        <v>25</v>
      </c>
      <c r="W39" s="50">
        <f>'쪽쟘(실측)'!R39-쪽쟘늘치차감</f>
        <v>0</v>
      </c>
      <c r="X39" s="50">
        <f>'쪽쟘(실측)'!S39-쪽쟘늘치차감</f>
        <v>0</v>
      </c>
      <c r="Y39" s="4">
        <f>IF('쪽쟘(실측)'!T39&gt;5,'쪽쟘(실측)'!T39+뒷날개치수더함,0)</f>
        <v>15</v>
      </c>
      <c r="Z39" s="4">
        <f>'쪽쟘(실측)'!U39</f>
        <v>10</v>
      </c>
      <c r="AA39" s="4">
        <f>'쪽쟘(실측)'!V39</f>
        <v>6</v>
      </c>
      <c r="AC39">
        <f t="shared" si="5"/>
        <v>930</v>
      </c>
      <c r="AD39">
        <f>U39+E39+MAX(S39,T39)-쪽쟘소재t*3+IF(S39=0,S39*쪽쟘소재t,0)-1.2</f>
        <v>117.2</v>
      </c>
      <c r="AE39">
        <f>MAX(K39,L39)+F39+V39-쪽쟘소재t*3+IF(K39=0,쪽쟘소재t)-IF(AA39=90,2.4,0)-1.2</f>
        <v>123</v>
      </c>
      <c r="AF39">
        <f t="shared" si="6"/>
        <v>2092</v>
      </c>
      <c r="AG39">
        <f>MAX(M39,N39)+F39+V39-쪽쟘소재t*3+IF(M39=0,쪽쟘소재t)-IF(AA39=90,2.4,0)-1.2</f>
        <v>123</v>
      </c>
      <c r="AH39">
        <f t="shared" si="7"/>
        <v>2098</v>
      </c>
    </row>
    <row r="40" spans="1:34" ht="19.5" customHeight="1" x14ac:dyDescent="0.3">
      <c r="A40" s="50" t="str">
        <f>'쪽쟘(실측)'!A40</f>
        <v>108   / 2</v>
      </c>
      <c r="B40" s="50" t="str">
        <f>'쪽쟘(실측)'!B40&amp;"F"</f>
        <v>15F</v>
      </c>
      <c r="C40" s="50" t="str">
        <f t="shared" si="2"/>
        <v>932*121.2</v>
      </c>
      <c r="D40" s="50">
        <f>'쪽쟘(실측)'!C40-쪽쟘OP차감</f>
        <v>898</v>
      </c>
      <c r="E40" s="50">
        <f>'쪽쟘(실측)'!D40+쪽쟘J늘림+MAX(W40:X40)</f>
        <v>85</v>
      </c>
      <c r="F40" s="50">
        <f>'쪽쟘(실측)'!E40+쪽쟘J늘림+MAX(W40:X40)</f>
        <v>83</v>
      </c>
      <c r="G40" s="67" t="str">
        <f t="shared" si="3"/>
        <v>2098*123</v>
      </c>
      <c r="H40" s="68" t="str">
        <f t="shared" si="4"/>
        <v>2098*123</v>
      </c>
      <c r="I40" s="50">
        <f>IF('쪽쟘(실측)'!F40&gt;0,'쪽쟘(실측)'!F40-3,0)+뒷날개치수더함</f>
        <v>17</v>
      </c>
      <c r="J40" s="50">
        <f>IF('쪽쟘(실측)'!H40&gt;0,'쪽쟘(실측)'!H40-3,0)+뒷날개치수더함</f>
        <v>17</v>
      </c>
      <c r="K40" s="50">
        <f>IF('쪽쟘(실측)'!F40&gt;0,'쪽쟘(실측)'!F40+0,0)+뒷날개치수더함-0.2</f>
        <v>19.8</v>
      </c>
      <c r="L40" s="50">
        <f>IF('쪽쟘(실측)'!G40&gt;0,'쪽쟘(실측)'!G40+0,0)+뒷날개치수더함-0.2</f>
        <v>19.8</v>
      </c>
      <c r="M40" s="50">
        <f>IF('쪽쟘(실측)'!H40&gt;0,'쪽쟘(실측)'!H40+0,0)+뒷날개치수더함-0.2</f>
        <v>19.8</v>
      </c>
      <c r="N40" s="50">
        <f>IF('쪽쟘(실측)'!I40&gt;0,'쪽쟘(실측)'!I40+0,0)+뒷날개치수더함-0.2</f>
        <v>19.8</v>
      </c>
      <c r="O40" s="50">
        <f>'쪽쟘(실측)'!J40-쪽쟘기둥차감</f>
        <v>2098</v>
      </c>
      <c r="P40" s="50">
        <f>'쪽쟘(실측)'!K40-쪽쟘기둥차감</f>
        <v>2098</v>
      </c>
      <c r="Q40" s="50">
        <f>'쪽쟘(실측)'!L40-쪽쟘기둥차감</f>
        <v>2098</v>
      </c>
      <c r="R40" s="50">
        <f>'쪽쟘(실측)'!M40-쪽쟘기둥차감</f>
        <v>2098</v>
      </c>
      <c r="S40" s="50">
        <f>'쪽쟘(실측)'!N40+뒷날개치수더함</f>
        <v>25</v>
      </c>
      <c r="T40" s="50">
        <f>'쪽쟘(실측)'!O40+뒷날개치수더함</f>
        <v>25</v>
      </c>
      <c r="U40" s="50">
        <f>'쪽쟘(실측)'!P40+뒷날개치수더함</f>
        <v>16</v>
      </c>
      <c r="V40" s="50">
        <f>'쪽쟘(실측)'!Q40+뒷날개치수더함</f>
        <v>25</v>
      </c>
      <c r="W40" s="50">
        <f>'쪽쟘(실측)'!R40-쪽쟘늘치차감</f>
        <v>0</v>
      </c>
      <c r="X40" s="50">
        <f>'쪽쟘(실측)'!S40-쪽쟘늘치차감</f>
        <v>0</v>
      </c>
      <c r="Y40" s="4">
        <f>IF('쪽쟘(실측)'!T40&gt;5,'쪽쟘(실측)'!T40+뒷날개치수더함,0)</f>
        <v>15</v>
      </c>
      <c r="Z40" s="4">
        <f>'쪽쟘(실측)'!U40</f>
        <v>10</v>
      </c>
      <c r="AA40" s="4">
        <f>'쪽쟘(실측)'!V40</f>
        <v>6</v>
      </c>
      <c r="AC40">
        <f t="shared" si="5"/>
        <v>932</v>
      </c>
      <c r="AD40">
        <f>U40+E40+MAX(S40,T40)-쪽쟘소재t*3+IF(S40=0,S40*쪽쟘소재t,0)-1.2</f>
        <v>121.2</v>
      </c>
      <c r="AE40">
        <f>MAX(K40,L40)+F40+V40-쪽쟘소재t*3+IF(K40=0,쪽쟘소재t)-IF(AA40=90,2.4,0)-1.2</f>
        <v>123</v>
      </c>
      <c r="AF40">
        <f t="shared" si="6"/>
        <v>2098</v>
      </c>
      <c r="AG40">
        <f>MAX(M40,N40)+F40+V40-쪽쟘소재t*3+IF(M40=0,쪽쟘소재t)-IF(AA40=90,2.4,0)-1.2</f>
        <v>123</v>
      </c>
      <c r="AH40">
        <f t="shared" si="7"/>
        <v>2098</v>
      </c>
    </row>
    <row r="41" spans="1:34" ht="19.5" customHeight="1" x14ac:dyDescent="0.3">
      <c r="A41" s="50" t="str">
        <f>'쪽쟘(실측)'!A41</f>
        <v>108   / 2</v>
      </c>
      <c r="B41" s="50" t="str">
        <f>'쪽쟘(실측)'!B41&amp;"F"</f>
        <v>14F</v>
      </c>
      <c r="C41" s="50" t="str">
        <f t="shared" si="2"/>
        <v>938*121.2</v>
      </c>
      <c r="D41" s="50">
        <f>'쪽쟘(실측)'!C41-쪽쟘OP차감</f>
        <v>898</v>
      </c>
      <c r="E41" s="50">
        <f>'쪽쟘(실측)'!D41+쪽쟘J늘림+MAX(W41:X41)</f>
        <v>85</v>
      </c>
      <c r="F41" s="50">
        <f>'쪽쟘(실측)'!E41+쪽쟘J늘림+MAX(W41:X41)</f>
        <v>83</v>
      </c>
      <c r="G41" s="67" t="str">
        <f t="shared" si="3"/>
        <v>2092*126</v>
      </c>
      <c r="H41" s="68" t="str">
        <f t="shared" si="4"/>
        <v>2092*126</v>
      </c>
      <c r="I41" s="50">
        <f>IF('쪽쟘(실측)'!F41&gt;0,'쪽쟘(실측)'!F41-3,0)+뒷날개치수더함</f>
        <v>20</v>
      </c>
      <c r="J41" s="50">
        <f>IF('쪽쟘(실측)'!H41&gt;0,'쪽쟘(실측)'!H41-3,0)+뒷날개치수더함</f>
        <v>20</v>
      </c>
      <c r="K41" s="50">
        <f>IF('쪽쟘(실측)'!F41&gt;0,'쪽쟘(실측)'!F41+0,0)+뒷날개치수더함-0.2</f>
        <v>22.8</v>
      </c>
      <c r="L41" s="50">
        <f>IF('쪽쟘(실측)'!G41&gt;0,'쪽쟘(실측)'!G41+0,0)+뒷날개치수더함-0.2</f>
        <v>22.8</v>
      </c>
      <c r="M41" s="50">
        <f>IF('쪽쟘(실측)'!H41&gt;0,'쪽쟘(실측)'!H41+0,0)+뒷날개치수더함-0.2</f>
        <v>22.8</v>
      </c>
      <c r="N41" s="50">
        <f>IF('쪽쟘(실측)'!I41&gt;0,'쪽쟘(실측)'!I41+0,0)+뒷날개치수더함-0.2</f>
        <v>22.8</v>
      </c>
      <c r="O41" s="50">
        <f>'쪽쟘(실측)'!J41-쪽쟘기둥차감</f>
        <v>2092</v>
      </c>
      <c r="P41" s="50">
        <f>'쪽쟘(실측)'!K41-쪽쟘기둥차감</f>
        <v>2092</v>
      </c>
      <c r="Q41" s="50">
        <f>'쪽쟘(실측)'!L41-쪽쟘기둥차감</f>
        <v>2092</v>
      </c>
      <c r="R41" s="50">
        <f>'쪽쟘(실측)'!M41-쪽쟘기둥차감</f>
        <v>2092</v>
      </c>
      <c r="S41" s="50">
        <f>'쪽쟘(실측)'!N41+뒷날개치수더함</f>
        <v>25</v>
      </c>
      <c r="T41" s="50">
        <f>'쪽쟘(실측)'!O41+뒷날개치수더함</f>
        <v>25</v>
      </c>
      <c r="U41" s="50">
        <f>'쪽쟘(실측)'!P41+뒷날개치수더함</f>
        <v>16</v>
      </c>
      <c r="V41" s="50">
        <f>'쪽쟘(실측)'!Q41+뒷날개치수더함</f>
        <v>25</v>
      </c>
      <c r="W41" s="50">
        <f>'쪽쟘(실측)'!R41-쪽쟘늘치차감</f>
        <v>0</v>
      </c>
      <c r="X41" s="50">
        <f>'쪽쟘(실측)'!S41-쪽쟘늘치차감</f>
        <v>0</v>
      </c>
      <c r="Y41" s="4">
        <f>IF('쪽쟘(실측)'!T41&gt;5,'쪽쟘(실측)'!T41+뒷날개치수더함,0)</f>
        <v>15</v>
      </c>
      <c r="Z41" s="4">
        <f>'쪽쟘(실측)'!U41</f>
        <v>10</v>
      </c>
      <c r="AA41" s="4">
        <f>'쪽쟘(실측)'!V41</f>
        <v>6</v>
      </c>
      <c r="AC41">
        <f t="shared" si="5"/>
        <v>938</v>
      </c>
      <c r="AD41">
        <f>U41+E41+MAX(S41,T41)-쪽쟘소재t*3+IF(S41=0,S41*쪽쟘소재t,0)-1.2</f>
        <v>121.2</v>
      </c>
      <c r="AE41">
        <f>MAX(K41,L41)+F41+V41-쪽쟘소재t*3+IF(K41=0,쪽쟘소재t)-IF(AA41=90,2.4,0)-1.2</f>
        <v>126.00000000000001</v>
      </c>
      <c r="AF41">
        <f t="shared" si="6"/>
        <v>2092</v>
      </c>
      <c r="AG41">
        <f>MAX(M41,N41)+F41+V41-쪽쟘소재t*3+IF(M41=0,쪽쟘소재t)-IF(AA41=90,2.4,0)-1.2</f>
        <v>126.00000000000001</v>
      </c>
      <c r="AH41">
        <f t="shared" si="7"/>
        <v>2092</v>
      </c>
    </row>
    <row r="42" spans="1:34" ht="19.5" customHeight="1" x14ac:dyDescent="0.3">
      <c r="A42" s="50" t="str">
        <f>'쪽쟘(실측)'!A42</f>
        <v>108   / 2</v>
      </c>
      <c r="B42" s="50" t="str">
        <f>'쪽쟘(실측)'!B42&amp;"F"</f>
        <v>13F</v>
      </c>
      <c r="C42" s="50" t="str">
        <f t="shared" si="2"/>
        <v>937*119.2</v>
      </c>
      <c r="D42" s="50">
        <f>'쪽쟘(실측)'!C42-쪽쟘OP차감</f>
        <v>896</v>
      </c>
      <c r="E42" s="50">
        <f>'쪽쟘(실측)'!D42+쪽쟘J늘림+MAX(W42:X42)</f>
        <v>85</v>
      </c>
      <c r="F42" s="50">
        <f>'쪽쟘(실측)'!E42+쪽쟘J늘림+MAX(W42:X42)</f>
        <v>83</v>
      </c>
      <c r="G42" s="67" t="str">
        <f t="shared" si="3"/>
        <v>2092*126</v>
      </c>
      <c r="H42" s="68" t="str">
        <f t="shared" si="4"/>
        <v>2098*127</v>
      </c>
      <c r="I42" s="50">
        <f>IF('쪽쟘(실측)'!F42&gt;0,'쪽쟘(실측)'!F42-3,0)+뒷날개치수더함</f>
        <v>20</v>
      </c>
      <c r="J42" s="50">
        <f>IF('쪽쟘(실측)'!H42&gt;0,'쪽쟘(실측)'!H42-3,0)+뒷날개치수더함</f>
        <v>21</v>
      </c>
      <c r="K42" s="50">
        <f>IF('쪽쟘(실측)'!F42&gt;0,'쪽쟘(실측)'!F42+0,0)+뒷날개치수더함-0.2</f>
        <v>22.8</v>
      </c>
      <c r="L42" s="50">
        <f>IF('쪽쟘(실측)'!G42&gt;0,'쪽쟘(실측)'!G42+0,0)+뒷날개치수더함-0.2</f>
        <v>22.8</v>
      </c>
      <c r="M42" s="50">
        <f>IF('쪽쟘(실측)'!H42&gt;0,'쪽쟘(실측)'!H42+0,0)+뒷날개치수더함-0.2</f>
        <v>23.8</v>
      </c>
      <c r="N42" s="50">
        <f>IF('쪽쟘(실측)'!I42&gt;0,'쪽쟘(실측)'!I42+0,0)+뒷날개치수더함-0.2</f>
        <v>23.8</v>
      </c>
      <c r="O42" s="50">
        <f>'쪽쟘(실측)'!J42-쪽쟘기둥차감</f>
        <v>2092</v>
      </c>
      <c r="P42" s="50">
        <f>'쪽쟘(실측)'!K42-쪽쟘기둥차감</f>
        <v>2092</v>
      </c>
      <c r="Q42" s="50">
        <f>'쪽쟘(실측)'!L42-쪽쟘기둥차감</f>
        <v>2098</v>
      </c>
      <c r="R42" s="50">
        <f>'쪽쟘(실측)'!M42-쪽쟘기둥차감</f>
        <v>2098</v>
      </c>
      <c r="S42" s="50">
        <f>'쪽쟘(실측)'!N42+뒷날개치수더함</f>
        <v>23</v>
      </c>
      <c r="T42" s="50">
        <f>'쪽쟘(실측)'!O42+뒷날개치수더함</f>
        <v>23</v>
      </c>
      <c r="U42" s="50">
        <f>'쪽쟘(실측)'!P42+뒷날개치수더함</f>
        <v>16</v>
      </c>
      <c r="V42" s="50">
        <f>'쪽쟘(실측)'!Q42+뒷날개치수더함</f>
        <v>25</v>
      </c>
      <c r="W42" s="50">
        <f>'쪽쟘(실측)'!R42-쪽쟘늘치차감</f>
        <v>0</v>
      </c>
      <c r="X42" s="50">
        <f>'쪽쟘(실측)'!S42-쪽쟘늘치차감</f>
        <v>0</v>
      </c>
      <c r="Y42" s="4">
        <f>IF('쪽쟘(실측)'!T42&gt;5,'쪽쟘(실측)'!T42+뒷날개치수더함,0)</f>
        <v>15</v>
      </c>
      <c r="Z42" s="4">
        <f>'쪽쟘(실측)'!U42</f>
        <v>10</v>
      </c>
      <c r="AA42" s="4">
        <f>'쪽쟘(실측)'!V42</f>
        <v>6</v>
      </c>
      <c r="AC42">
        <f t="shared" si="5"/>
        <v>937</v>
      </c>
      <c r="AD42">
        <f>U42+E42+MAX(S42,T42)-쪽쟘소재t*3+IF(S42=0,S42*쪽쟘소재t,0)-1.2</f>
        <v>119.2</v>
      </c>
      <c r="AE42">
        <f>MAX(K42,L42)+F42+V42-쪽쟘소재t*3+IF(K42=0,쪽쟘소재t)-IF(AA42=90,2.4,0)-1.2</f>
        <v>126.00000000000001</v>
      </c>
      <c r="AF42">
        <f t="shared" si="6"/>
        <v>2092</v>
      </c>
      <c r="AG42">
        <f>MAX(M42,N42)+F42+V42-쪽쟘소재t*3+IF(M42=0,쪽쟘소재t)-IF(AA42=90,2.4,0)-1.2</f>
        <v>127.00000000000001</v>
      </c>
      <c r="AH42">
        <f t="shared" si="7"/>
        <v>2098</v>
      </c>
    </row>
    <row r="43" spans="1:34" ht="19.5" customHeight="1" x14ac:dyDescent="0.3">
      <c r="A43" s="50" t="str">
        <f>'쪽쟘(실측)'!A43</f>
        <v>108   / 2</v>
      </c>
      <c r="B43" s="50" t="str">
        <f>'쪽쟘(실측)'!B43&amp;"F"</f>
        <v>12F</v>
      </c>
      <c r="C43" s="50" t="str">
        <f t="shared" si="2"/>
        <v>938*123.2</v>
      </c>
      <c r="D43" s="50">
        <f>'쪽쟘(실측)'!C43-쪽쟘OP차감</f>
        <v>898</v>
      </c>
      <c r="E43" s="50">
        <f>'쪽쟘(실측)'!D43+쪽쟘J늘림+MAX(W43:X43)</f>
        <v>85</v>
      </c>
      <c r="F43" s="50">
        <f>'쪽쟘(실측)'!E43+쪽쟘J늘림+MAX(W43:X43)</f>
        <v>83</v>
      </c>
      <c r="G43" s="67" t="str">
        <f t="shared" si="3"/>
        <v>2092*128</v>
      </c>
      <c r="H43" s="68" t="str">
        <f t="shared" si="4"/>
        <v>2098*124</v>
      </c>
      <c r="I43" s="50">
        <f>IF('쪽쟘(실측)'!F43&gt;0,'쪽쟘(실측)'!F43-3,0)+뒷날개치수더함</f>
        <v>22</v>
      </c>
      <c r="J43" s="50">
        <f>IF('쪽쟘(실측)'!H43&gt;0,'쪽쟘(실측)'!H43-3,0)+뒷날개치수더함</f>
        <v>18</v>
      </c>
      <c r="K43" s="50">
        <f>IF('쪽쟘(실측)'!F43&gt;0,'쪽쟘(실측)'!F43+0,0)+뒷날개치수더함-0.2</f>
        <v>24.8</v>
      </c>
      <c r="L43" s="50">
        <f>IF('쪽쟘(실측)'!G43&gt;0,'쪽쟘(실측)'!G43+0,0)+뒷날개치수더함-0.2</f>
        <v>24.8</v>
      </c>
      <c r="M43" s="50">
        <f>IF('쪽쟘(실측)'!H43&gt;0,'쪽쟘(실측)'!H43+0,0)+뒷날개치수더함-0.2</f>
        <v>20.8</v>
      </c>
      <c r="N43" s="50">
        <f>IF('쪽쟘(실측)'!I43&gt;0,'쪽쟘(실측)'!I43+0,0)+뒷날개치수더함-0.2</f>
        <v>20.8</v>
      </c>
      <c r="O43" s="50">
        <f>'쪽쟘(실측)'!J43-쪽쟘기둥차감</f>
        <v>2092</v>
      </c>
      <c r="P43" s="50">
        <f>'쪽쟘(실측)'!K43-쪽쟘기둥차감</f>
        <v>2092</v>
      </c>
      <c r="Q43" s="50">
        <f>'쪽쟘(실측)'!L43-쪽쟘기둥차감</f>
        <v>2098</v>
      </c>
      <c r="R43" s="50">
        <f>'쪽쟘(실측)'!M43-쪽쟘기둥차감</f>
        <v>2098</v>
      </c>
      <c r="S43" s="50">
        <f>'쪽쟘(실측)'!N43+뒷날개치수더함</f>
        <v>27</v>
      </c>
      <c r="T43" s="50">
        <f>'쪽쟘(실측)'!O43+뒷날개치수더함</f>
        <v>27</v>
      </c>
      <c r="U43" s="50">
        <f>'쪽쟘(실측)'!P43+뒷날개치수더함</f>
        <v>16</v>
      </c>
      <c r="V43" s="50">
        <f>'쪽쟘(실측)'!Q43+뒷날개치수더함</f>
        <v>25</v>
      </c>
      <c r="W43" s="50">
        <f>'쪽쟘(실측)'!R43-쪽쟘늘치차감</f>
        <v>0</v>
      </c>
      <c r="X43" s="50">
        <f>'쪽쟘(실측)'!S43-쪽쟘늘치차감</f>
        <v>0</v>
      </c>
      <c r="Y43" s="4">
        <f>IF('쪽쟘(실측)'!T43&gt;5,'쪽쟘(실측)'!T43+뒷날개치수더함,0)</f>
        <v>15</v>
      </c>
      <c r="Z43" s="4">
        <f>'쪽쟘(실측)'!U43</f>
        <v>10</v>
      </c>
      <c r="AA43" s="4">
        <f>'쪽쟘(실측)'!V43</f>
        <v>6</v>
      </c>
      <c r="AC43">
        <f t="shared" si="5"/>
        <v>938</v>
      </c>
      <c r="AD43">
        <f>U43+E43+MAX(S43,T43)-쪽쟘소재t*3+IF(S43=0,S43*쪽쟘소재t,0)-1.2</f>
        <v>123.2</v>
      </c>
      <c r="AE43">
        <f>MAX(K43,L43)+F43+V43-쪽쟘소재t*3+IF(K43=0,쪽쟘소재t)-IF(AA43=90,2.4,0)-1.2</f>
        <v>128.00000000000003</v>
      </c>
      <c r="AF43">
        <f t="shared" si="6"/>
        <v>2092</v>
      </c>
      <c r="AG43">
        <f>MAX(M43,N43)+F43+V43-쪽쟘소재t*3+IF(M43=0,쪽쟘소재t)-IF(AA43=90,2.4,0)-1.2</f>
        <v>124.00000000000001</v>
      </c>
      <c r="AH43">
        <f t="shared" si="7"/>
        <v>2098</v>
      </c>
    </row>
    <row r="44" spans="1:34" ht="19.5" customHeight="1" x14ac:dyDescent="0.3">
      <c r="A44" s="50" t="str">
        <f>'쪽쟘(실측)'!A44</f>
        <v>108   / 2</v>
      </c>
      <c r="B44" s="50" t="str">
        <f>'쪽쟘(실측)'!B44&amp;"F"</f>
        <v>11F</v>
      </c>
      <c r="C44" s="50" t="str">
        <f t="shared" si="2"/>
        <v>936*126.2</v>
      </c>
      <c r="D44" s="50">
        <f>'쪽쟘(실측)'!C44-쪽쟘OP차감</f>
        <v>898</v>
      </c>
      <c r="E44" s="50">
        <f>'쪽쟘(실측)'!D44+쪽쟘J늘림+MAX(W44:X44)</f>
        <v>85</v>
      </c>
      <c r="F44" s="50">
        <f>'쪽쟘(실측)'!E44+쪽쟘J늘림+MAX(W44:X44)</f>
        <v>83</v>
      </c>
      <c r="G44" s="67" t="str">
        <f t="shared" si="3"/>
        <v>2092*124</v>
      </c>
      <c r="H44" s="68" t="str">
        <f t="shared" si="4"/>
        <v>2098*126</v>
      </c>
      <c r="I44" s="50">
        <f>IF('쪽쟘(실측)'!F44&gt;0,'쪽쟘(실측)'!F44-3,0)+뒷날개치수더함</f>
        <v>18</v>
      </c>
      <c r="J44" s="50">
        <f>IF('쪽쟘(실측)'!H44&gt;0,'쪽쟘(실측)'!H44-3,0)+뒷날개치수더함</f>
        <v>20</v>
      </c>
      <c r="K44" s="50">
        <f>IF('쪽쟘(실측)'!F44&gt;0,'쪽쟘(실측)'!F44+0,0)+뒷날개치수더함-0.2</f>
        <v>20.8</v>
      </c>
      <c r="L44" s="50">
        <f>IF('쪽쟘(실측)'!G44&gt;0,'쪽쟘(실측)'!G44+0,0)+뒷날개치수더함-0.2</f>
        <v>20.8</v>
      </c>
      <c r="M44" s="50">
        <f>IF('쪽쟘(실측)'!H44&gt;0,'쪽쟘(실측)'!H44+0,0)+뒷날개치수더함-0.2</f>
        <v>22.8</v>
      </c>
      <c r="N44" s="50">
        <f>IF('쪽쟘(실측)'!I44&gt;0,'쪽쟘(실측)'!I44+0,0)+뒷날개치수더함-0.2</f>
        <v>22.8</v>
      </c>
      <c r="O44" s="50">
        <f>'쪽쟘(실측)'!J44-쪽쟘기둥차감</f>
        <v>2092</v>
      </c>
      <c r="P44" s="50">
        <f>'쪽쟘(실측)'!K44-쪽쟘기둥차감</f>
        <v>2092</v>
      </c>
      <c r="Q44" s="50">
        <f>'쪽쟘(실측)'!L44-쪽쟘기둥차감</f>
        <v>2098</v>
      </c>
      <c r="R44" s="50">
        <f>'쪽쟘(실측)'!M44-쪽쟘기둥차감</f>
        <v>2098</v>
      </c>
      <c r="S44" s="50">
        <f>'쪽쟘(실측)'!N44+뒷날개치수더함</f>
        <v>30</v>
      </c>
      <c r="T44" s="50">
        <f>'쪽쟘(실측)'!O44+뒷날개치수더함</f>
        <v>30</v>
      </c>
      <c r="U44" s="50">
        <f>'쪽쟘(실측)'!P44+뒷날개치수더함</f>
        <v>16</v>
      </c>
      <c r="V44" s="50">
        <f>'쪽쟘(실측)'!Q44+뒷날개치수더함</f>
        <v>25</v>
      </c>
      <c r="W44" s="50">
        <f>'쪽쟘(실측)'!R44-쪽쟘늘치차감</f>
        <v>0</v>
      </c>
      <c r="X44" s="50">
        <f>'쪽쟘(실측)'!S44-쪽쟘늘치차감</f>
        <v>0</v>
      </c>
      <c r="Y44" s="4">
        <f>IF('쪽쟘(실측)'!T44&gt;5,'쪽쟘(실측)'!T44+뒷날개치수더함,0)</f>
        <v>15</v>
      </c>
      <c r="Z44" s="4">
        <f>'쪽쟘(실측)'!U44</f>
        <v>10</v>
      </c>
      <c r="AA44" s="4">
        <f>'쪽쟘(실측)'!V44</f>
        <v>6</v>
      </c>
      <c r="AC44">
        <f t="shared" si="5"/>
        <v>936</v>
      </c>
      <c r="AD44">
        <f>U44+E44+MAX(S44,T44)-쪽쟘소재t*3+IF(S44=0,S44*쪽쟘소재t,0)-1.2</f>
        <v>126.2</v>
      </c>
      <c r="AE44">
        <f>MAX(K44,L44)+F44+V44-쪽쟘소재t*3+IF(K44=0,쪽쟘소재t)-IF(AA44=90,2.4,0)-1.2</f>
        <v>124.00000000000001</v>
      </c>
      <c r="AF44">
        <f t="shared" si="6"/>
        <v>2092</v>
      </c>
      <c r="AG44">
        <f>MAX(M44,N44)+F44+V44-쪽쟘소재t*3+IF(M44=0,쪽쟘소재t)-IF(AA44=90,2.4,0)-1.2</f>
        <v>126.00000000000001</v>
      </c>
      <c r="AH44">
        <f t="shared" si="7"/>
        <v>2098</v>
      </c>
    </row>
    <row r="45" spans="1:34" ht="19.5" customHeight="1" x14ac:dyDescent="0.3">
      <c r="A45" s="50" t="str">
        <f>'쪽쟘(실측)'!A45</f>
        <v>108   / 2</v>
      </c>
      <c r="B45" s="50" t="str">
        <f>'쪽쟘(실측)'!B45&amp;"F"</f>
        <v>10F</v>
      </c>
      <c r="C45" s="50" t="str">
        <f t="shared" si="2"/>
        <v>937*121.2</v>
      </c>
      <c r="D45" s="50">
        <f>'쪽쟘(실측)'!C45-쪽쟘OP차감</f>
        <v>897</v>
      </c>
      <c r="E45" s="50">
        <f>'쪽쟘(실측)'!D45+쪽쟘J늘림+MAX(W45:X45)</f>
        <v>85</v>
      </c>
      <c r="F45" s="50">
        <f>'쪽쟘(실측)'!E45+쪽쟘J늘림+MAX(W45:X45)</f>
        <v>83</v>
      </c>
      <c r="G45" s="67" t="str">
        <f t="shared" si="3"/>
        <v>2092*126</v>
      </c>
      <c r="H45" s="68" t="str">
        <f t="shared" si="4"/>
        <v>2092*126</v>
      </c>
      <c r="I45" s="50">
        <f>IF('쪽쟘(실측)'!F45&gt;0,'쪽쟘(실측)'!F45-3,0)+뒷날개치수더함</f>
        <v>20</v>
      </c>
      <c r="J45" s="50">
        <f>IF('쪽쟘(실측)'!H45&gt;0,'쪽쟘(실측)'!H45-3,0)+뒷날개치수더함</f>
        <v>20</v>
      </c>
      <c r="K45" s="50">
        <f>IF('쪽쟘(실측)'!F45&gt;0,'쪽쟘(실측)'!F45+0,0)+뒷날개치수더함-0.2</f>
        <v>22.8</v>
      </c>
      <c r="L45" s="50">
        <f>IF('쪽쟘(실측)'!G45&gt;0,'쪽쟘(실측)'!G45+0,0)+뒷날개치수더함-0.2</f>
        <v>22.8</v>
      </c>
      <c r="M45" s="50">
        <f>IF('쪽쟘(실측)'!H45&gt;0,'쪽쟘(실측)'!H45+0,0)+뒷날개치수더함-0.2</f>
        <v>22.8</v>
      </c>
      <c r="N45" s="50">
        <f>IF('쪽쟘(실측)'!I45&gt;0,'쪽쟘(실측)'!I45+0,0)+뒷날개치수더함-0.2</f>
        <v>22.8</v>
      </c>
      <c r="O45" s="50">
        <f>'쪽쟘(실측)'!J45-쪽쟘기둥차감</f>
        <v>2092</v>
      </c>
      <c r="P45" s="50">
        <f>'쪽쟘(실측)'!K45-쪽쟘기둥차감</f>
        <v>2092</v>
      </c>
      <c r="Q45" s="50">
        <f>'쪽쟘(실측)'!L45-쪽쟘기둥차감</f>
        <v>2092</v>
      </c>
      <c r="R45" s="50">
        <f>'쪽쟘(실측)'!M45-쪽쟘기둥차감</f>
        <v>2092</v>
      </c>
      <c r="S45" s="50">
        <f>'쪽쟘(실측)'!N45+뒷날개치수더함</f>
        <v>25</v>
      </c>
      <c r="T45" s="50">
        <f>'쪽쟘(실측)'!O45+뒷날개치수더함</f>
        <v>25</v>
      </c>
      <c r="U45" s="50">
        <f>'쪽쟘(실측)'!P45+뒷날개치수더함</f>
        <v>16</v>
      </c>
      <c r="V45" s="50">
        <f>'쪽쟘(실측)'!Q45+뒷날개치수더함</f>
        <v>25</v>
      </c>
      <c r="W45" s="50">
        <f>'쪽쟘(실측)'!R45-쪽쟘늘치차감</f>
        <v>0</v>
      </c>
      <c r="X45" s="50">
        <f>'쪽쟘(실측)'!S45-쪽쟘늘치차감</f>
        <v>0</v>
      </c>
      <c r="Y45" s="4">
        <f>IF('쪽쟘(실측)'!T45&gt;5,'쪽쟘(실측)'!T45+뒷날개치수더함,0)</f>
        <v>15</v>
      </c>
      <c r="Z45" s="4">
        <f>'쪽쟘(실측)'!U45</f>
        <v>10</v>
      </c>
      <c r="AA45" s="4">
        <f>'쪽쟘(실측)'!V45</f>
        <v>6</v>
      </c>
      <c r="AC45">
        <f t="shared" si="5"/>
        <v>937</v>
      </c>
      <c r="AD45">
        <f>U45+E45+MAX(S45,T45)-쪽쟘소재t*3+IF(S45=0,S45*쪽쟘소재t,0)-1.2</f>
        <v>121.2</v>
      </c>
      <c r="AE45">
        <f>MAX(K45,L45)+F45+V45-쪽쟘소재t*3+IF(K45=0,쪽쟘소재t)-IF(AA45=90,2.4,0)-1.2</f>
        <v>126.00000000000001</v>
      </c>
      <c r="AF45">
        <f t="shared" si="6"/>
        <v>2092</v>
      </c>
      <c r="AG45">
        <f>MAX(M45,N45)+F45+V45-쪽쟘소재t*3+IF(M45=0,쪽쟘소재t)-IF(AA45=90,2.4,0)-1.2</f>
        <v>126.00000000000001</v>
      </c>
      <c r="AH45">
        <f t="shared" si="7"/>
        <v>2092</v>
      </c>
    </row>
    <row r="46" spans="1:34" ht="19.5" customHeight="1" x14ac:dyDescent="0.3">
      <c r="A46" s="50" t="str">
        <f>'쪽쟘(실측)'!A46</f>
        <v>108   / 2</v>
      </c>
      <c r="B46" s="50" t="str">
        <f>'쪽쟘(실측)'!B46&amp;"F"</f>
        <v>9F</v>
      </c>
      <c r="C46" s="50" t="str">
        <f t="shared" si="2"/>
        <v>938*122.2</v>
      </c>
      <c r="D46" s="50">
        <f>'쪽쟘(실측)'!C46-쪽쟘OP차감</f>
        <v>897</v>
      </c>
      <c r="E46" s="50">
        <f>'쪽쟘(실측)'!D46+쪽쟘J늘림+MAX(W46:X46)</f>
        <v>85</v>
      </c>
      <c r="F46" s="50">
        <f>'쪽쟘(실측)'!E46+쪽쟘J늘림+MAX(W46:X46)</f>
        <v>83</v>
      </c>
      <c r="G46" s="67" t="str">
        <f t="shared" si="3"/>
        <v>2098*126</v>
      </c>
      <c r="H46" s="68" t="str">
        <f t="shared" si="4"/>
        <v>2092*127</v>
      </c>
      <c r="I46" s="50">
        <f>IF('쪽쟘(실측)'!F46&gt;0,'쪽쟘(실측)'!F46-3,0)+뒷날개치수더함</f>
        <v>20</v>
      </c>
      <c r="J46" s="50">
        <f>IF('쪽쟘(실측)'!H46&gt;0,'쪽쟘(실측)'!H46-3,0)+뒷날개치수더함</f>
        <v>21</v>
      </c>
      <c r="K46" s="50">
        <f>IF('쪽쟘(실측)'!F46&gt;0,'쪽쟘(실측)'!F46+0,0)+뒷날개치수더함-0.2</f>
        <v>22.8</v>
      </c>
      <c r="L46" s="50">
        <f>IF('쪽쟘(실측)'!G46&gt;0,'쪽쟘(실측)'!G46+0,0)+뒷날개치수더함-0.2</f>
        <v>22.8</v>
      </c>
      <c r="M46" s="50">
        <f>IF('쪽쟘(실측)'!H46&gt;0,'쪽쟘(실측)'!H46+0,0)+뒷날개치수더함-0.2</f>
        <v>23.8</v>
      </c>
      <c r="N46" s="50">
        <f>IF('쪽쟘(실측)'!I46&gt;0,'쪽쟘(실측)'!I46+0,0)+뒷날개치수더함-0.2</f>
        <v>23.8</v>
      </c>
      <c r="O46" s="50">
        <f>'쪽쟘(실측)'!J46-쪽쟘기둥차감</f>
        <v>2098</v>
      </c>
      <c r="P46" s="50">
        <f>'쪽쟘(실측)'!K46-쪽쟘기둥차감</f>
        <v>2098</v>
      </c>
      <c r="Q46" s="50">
        <f>'쪽쟘(실측)'!L46-쪽쟘기둥차감</f>
        <v>2092</v>
      </c>
      <c r="R46" s="50">
        <f>'쪽쟘(실측)'!M46-쪽쟘기둥차감</f>
        <v>2092</v>
      </c>
      <c r="S46" s="50">
        <f>'쪽쟘(실측)'!N46+뒷날개치수더함</f>
        <v>26</v>
      </c>
      <c r="T46" s="50">
        <f>'쪽쟘(실측)'!O46+뒷날개치수더함</f>
        <v>26</v>
      </c>
      <c r="U46" s="50">
        <f>'쪽쟘(실측)'!P46+뒷날개치수더함</f>
        <v>16</v>
      </c>
      <c r="V46" s="50">
        <f>'쪽쟘(실측)'!Q46+뒷날개치수더함</f>
        <v>25</v>
      </c>
      <c r="W46" s="50">
        <f>'쪽쟘(실측)'!R46-쪽쟘늘치차감</f>
        <v>0</v>
      </c>
      <c r="X46" s="50">
        <f>'쪽쟘(실측)'!S46-쪽쟘늘치차감</f>
        <v>0</v>
      </c>
      <c r="Y46" s="4">
        <f>IF('쪽쟘(실측)'!T46&gt;5,'쪽쟘(실측)'!T46+뒷날개치수더함,0)</f>
        <v>15</v>
      </c>
      <c r="Z46" s="4">
        <f>'쪽쟘(실측)'!U46</f>
        <v>10</v>
      </c>
      <c r="AA46" s="4">
        <f>'쪽쟘(실측)'!V46</f>
        <v>6</v>
      </c>
      <c r="AC46">
        <f t="shared" si="5"/>
        <v>938</v>
      </c>
      <c r="AD46">
        <f>U46+E46+MAX(S46,T46)-쪽쟘소재t*3+IF(S46=0,S46*쪽쟘소재t,0)-1.2</f>
        <v>122.2</v>
      </c>
      <c r="AE46">
        <f>MAX(K46,L46)+F46+V46-쪽쟘소재t*3+IF(K46=0,쪽쟘소재t)-IF(AA46=90,2.4,0)-1.2</f>
        <v>126.00000000000001</v>
      </c>
      <c r="AF46">
        <f t="shared" si="6"/>
        <v>2098</v>
      </c>
      <c r="AG46">
        <f>MAX(M46,N46)+F46+V46-쪽쟘소재t*3+IF(M46=0,쪽쟘소재t)-IF(AA46=90,2.4,0)-1.2</f>
        <v>127.00000000000001</v>
      </c>
      <c r="AH46">
        <f t="shared" si="7"/>
        <v>2092</v>
      </c>
    </row>
    <row r="47" spans="1:34" ht="19.5" customHeight="1" x14ac:dyDescent="0.3">
      <c r="A47" s="50" t="str">
        <f>'쪽쟘(실측)'!A47</f>
        <v>108   / 2</v>
      </c>
      <c r="B47" s="50" t="str">
        <f>'쪽쟘(실측)'!B47&amp;"F"</f>
        <v>8F</v>
      </c>
      <c r="C47" s="50" t="str">
        <f t="shared" si="2"/>
        <v>939*126.2</v>
      </c>
      <c r="D47" s="50">
        <f>'쪽쟘(실측)'!C47-쪽쟘OP차감</f>
        <v>898</v>
      </c>
      <c r="E47" s="50">
        <f>'쪽쟘(실측)'!D47+쪽쟘J늘림+MAX(W47:X47)</f>
        <v>85</v>
      </c>
      <c r="F47" s="50">
        <f>'쪽쟘(실측)'!E47+쪽쟘J늘림+MAX(W47:X47)</f>
        <v>83</v>
      </c>
      <c r="G47" s="67" t="str">
        <f t="shared" si="3"/>
        <v>2098*126</v>
      </c>
      <c r="H47" s="68" t="str">
        <f t="shared" si="4"/>
        <v>2092*127</v>
      </c>
      <c r="I47" s="50">
        <f>IF('쪽쟘(실측)'!F47&gt;0,'쪽쟘(실측)'!F47-3,0)+뒷날개치수더함</f>
        <v>20</v>
      </c>
      <c r="J47" s="50">
        <f>IF('쪽쟘(실측)'!H47&gt;0,'쪽쟘(실측)'!H47-3,0)+뒷날개치수더함</f>
        <v>21</v>
      </c>
      <c r="K47" s="50">
        <f>IF('쪽쟘(실측)'!F47&gt;0,'쪽쟘(실측)'!F47+0,0)+뒷날개치수더함-0.2</f>
        <v>22.8</v>
      </c>
      <c r="L47" s="50">
        <f>IF('쪽쟘(실측)'!G47&gt;0,'쪽쟘(실측)'!G47+0,0)+뒷날개치수더함-0.2</f>
        <v>22.8</v>
      </c>
      <c r="M47" s="50">
        <f>IF('쪽쟘(실측)'!H47&gt;0,'쪽쟘(실측)'!H47+0,0)+뒷날개치수더함-0.2</f>
        <v>23.8</v>
      </c>
      <c r="N47" s="50">
        <f>IF('쪽쟘(실측)'!I47&gt;0,'쪽쟘(실측)'!I47+0,0)+뒷날개치수더함-0.2</f>
        <v>23.8</v>
      </c>
      <c r="O47" s="50">
        <f>'쪽쟘(실측)'!J47-쪽쟘기둥차감</f>
        <v>2098</v>
      </c>
      <c r="P47" s="50">
        <f>'쪽쟘(실측)'!K47-쪽쟘기둥차감</f>
        <v>2098</v>
      </c>
      <c r="Q47" s="50">
        <f>'쪽쟘(실측)'!L47-쪽쟘기둥차감</f>
        <v>2092</v>
      </c>
      <c r="R47" s="50">
        <f>'쪽쟘(실측)'!M47-쪽쟘기둥차감</f>
        <v>2092</v>
      </c>
      <c r="S47" s="50">
        <f>'쪽쟘(실측)'!N47+뒷날개치수더함</f>
        <v>30</v>
      </c>
      <c r="T47" s="50">
        <f>'쪽쟘(실측)'!O47+뒷날개치수더함</f>
        <v>30</v>
      </c>
      <c r="U47" s="50">
        <f>'쪽쟘(실측)'!P47+뒷날개치수더함</f>
        <v>16</v>
      </c>
      <c r="V47" s="50">
        <f>'쪽쟘(실측)'!Q47+뒷날개치수더함</f>
        <v>25</v>
      </c>
      <c r="W47" s="50">
        <f>'쪽쟘(실측)'!R47-쪽쟘늘치차감</f>
        <v>0</v>
      </c>
      <c r="X47" s="50">
        <f>'쪽쟘(실측)'!S47-쪽쟘늘치차감</f>
        <v>0</v>
      </c>
      <c r="Y47" s="4">
        <f>IF('쪽쟘(실측)'!T47&gt;5,'쪽쟘(실측)'!T47+뒷날개치수더함,0)</f>
        <v>15</v>
      </c>
      <c r="Z47" s="4">
        <f>'쪽쟘(실측)'!U47</f>
        <v>10</v>
      </c>
      <c r="AA47" s="4">
        <f>'쪽쟘(실측)'!V47</f>
        <v>6</v>
      </c>
      <c r="AC47">
        <f t="shared" si="5"/>
        <v>939</v>
      </c>
      <c r="AD47">
        <f>U47+E47+MAX(S47,T47)-쪽쟘소재t*3+IF(S47=0,S47*쪽쟘소재t,0)-1.2</f>
        <v>126.2</v>
      </c>
      <c r="AE47">
        <f>MAX(K47,L47)+F47+V47-쪽쟘소재t*3+IF(K47=0,쪽쟘소재t)-IF(AA47=90,2.4,0)-1.2</f>
        <v>126.00000000000001</v>
      </c>
      <c r="AF47">
        <f t="shared" si="6"/>
        <v>2098</v>
      </c>
      <c r="AG47">
        <f>MAX(M47,N47)+F47+V47-쪽쟘소재t*3+IF(M47=0,쪽쟘소재t)-IF(AA47=90,2.4,0)-1.2</f>
        <v>127.00000000000001</v>
      </c>
      <c r="AH47">
        <f t="shared" si="7"/>
        <v>2092</v>
      </c>
    </row>
    <row r="48" spans="1:34" ht="19.5" customHeight="1" x14ac:dyDescent="0.3">
      <c r="A48" s="50" t="str">
        <f>'쪽쟘(실측)'!A48</f>
        <v>108   / 2</v>
      </c>
      <c r="B48" s="50" t="str">
        <f>'쪽쟘(실측)'!B48&amp;"F"</f>
        <v>7F</v>
      </c>
      <c r="C48" s="50" t="str">
        <f t="shared" si="2"/>
        <v>937*121.2</v>
      </c>
      <c r="D48" s="50">
        <f>'쪽쟘(실측)'!C48-쪽쟘OP차감</f>
        <v>897</v>
      </c>
      <c r="E48" s="50">
        <f>'쪽쟘(실측)'!D48+쪽쟘J늘림+MAX(W48:X48)</f>
        <v>85</v>
      </c>
      <c r="F48" s="50">
        <f>'쪽쟘(실측)'!E48+쪽쟘J늘림+MAX(W48:X48)</f>
        <v>83</v>
      </c>
      <c r="G48" s="67" t="str">
        <f t="shared" si="3"/>
        <v>2092*126</v>
      </c>
      <c r="H48" s="68" t="str">
        <f t="shared" si="4"/>
        <v>2092*126</v>
      </c>
      <c r="I48" s="50">
        <f>IF('쪽쟘(실측)'!F48&gt;0,'쪽쟘(실측)'!F48-3,0)+뒷날개치수더함</f>
        <v>20</v>
      </c>
      <c r="J48" s="50">
        <f>IF('쪽쟘(실측)'!H48&gt;0,'쪽쟘(실측)'!H48-3,0)+뒷날개치수더함</f>
        <v>20</v>
      </c>
      <c r="K48" s="50">
        <f>IF('쪽쟘(실측)'!F48&gt;0,'쪽쟘(실측)'!F48+0,0)+뒷날개치수더함-0.2</f>
        <v>22.8</v>
      </c>
      <c r="L48" s="50">
        <f>IF('쪽쟘(실측)'!G48&gt;0,'쪽쟘(실측)'!G48+0,0)+뒷날개치수더함-0.2</f>
        <v>22.8</v>
      </c>
      <c r="M48" s="50">
        <f>IF('쪽쟘(실측)'!H48&gt;0,'쪽쟘(실측)'!H48+0,0)+뒷날개치수더함-0.2</f>
        <v>22.8</v>
      </c>
      <c r="N48" s="50">
        <f>IF('쪽쟘(실측)'!I48&gt;0,'쪽쟘(실측)'!I48+0,0)+뒷날개치수더함-0.2</f>
        <v>22.8</v>
      </c>
      <c r="O48" s="50">
        <f>'쪽쟘(실측)'!J48-쪽쟘기둥차감</f>
        <v>2092</v>
      </c>
      <c r="P48" s="50">
        <f>'쪽쟘(실측)'!K48-쪽쟘기둥차감</f>
        <v>2092</v>
      </c>
      <c r="Q48" s="50">
        <f>'쪽쟘(실측)'!L48-쪽쟘기둥차감</f>
        <v>2092</v>
      </c>
      <c r="R48" s="50">
        <f>'쪽쟘(실측)'!M48-쪽쟘기둥차감</f>
        <v>2092</v>
      </c>
      <c r="S48" s="50">
        <f>'쪽쟘(실측)'!N48+뒷날개치수더함</f>
        <v>25</v>
      </c>
      <c r="T48" s="50">
        <f>'쪽쟘(실측)'!O48+뒷날개치수더함</f>
        <v>25</v>
      </c>
      <c r="U48" s="50">
        <f>'쪽쟘(실측)'!P48+뒷날개치수더함</f>
        <v>16</v>
      </c>
      <c r="V48" s="50">
        <f>'쪽쟘(실측)'!Q48+뒷날개치수더함</f>
        <v>25</v>
      </c>
      <c r="W48" s="50">
        <f>'쪽쟘(실측)'!R48-쪽쟘늘치차감</f>
        <v>0</v>
      </c>
      <c r="X48" s="50">
        <f>'쪽쟘(실측)'!S48-쪽쟘늘치차감</f>
        <v>0</v>
      </c>
      <c r="Y48" s="4">
        <f>IF('쪽쟘(실측)'!T48&gt;5,'쪽쟘(실측)'!T48+뒷날개치수더함,0)</f>
        <v>15</v>
      </c>
      <c r="Z48" s="4">
        <f>'쪽쟘(실측)'!U48</f>
        <v>10</v>
      </c>
      <c r="AA48" s="4">
        <f>'쪽쟘(실측)'!V48</f>
        <v>6</v>
      </c>
      <c r="AC48">
        <f t="shared" si="5"/>
        <v>937</v>
      </c>
      <c r="AD48">
        <f>U48+E48+MAX(S48,T48)-쪽쟘소재t*3+IF(S48=0,S48*쪽쟘소재t,0)-1.2</f>
        <v>121.2</v>
      </c>
      <c r="AE48">
        <f>MAX(K48,L48)+F48+V48-쪽쟘소재t*3+IF(K48=0,쪽쟘소재t)-IF(AA48=90,2.4,0)-1.2</f>
        <v>126.00000000000001</v>
      </c>
      <c r="AF48">
        <f t="shared" si="6"/>
        <v>2092</v>
      </c>
      <c r="AG48">
        <f>MAX(M48,N48)+F48+V48-쪽쟘소재t*3+IF(M48=0,쪽쟘소재t)-IF(AA48=90,2.4,0)-1.2</f>
        <v>126.00000000000001</v>
      </c>
      <c r="AH48">
        <f t="shared" si="7"/>
        <v>2092</v>
      </c>
    </row>
    <row r="49" spans="1:34" ht="19.5" customHeight="1" x14ac:dyDescent="0.3">
      <c r="A49" s="50" t="str">
        <f>'쪽쟘(실측)'!A49</f>
        <v>108   / 2</v>
      </c>
      <c r="B49" s="50" t="str">
        <f>'쪽쟘(실측)'!B49&amp;"F"</f>
        <v>6F</v>
      </c>
      <c r="C49" s="50" t="str">
        <f t="shared" si="2"/>
        <v>937*117.2</v>
      </c>
      <c r="D49" s="50">
        <f>'쪽쟘(실측)'!C49-쪽쟘OP차감</f>
        <v>896</v>
      </c>
      <c r="E49" s="50">
        <f>'쪽쟘(실측)'!D49+쪽쟘J늘림+MAX(W49:X49)</f>
        <v>85</v>
      </c>
      <c r="F49" s="50">
        <f>'쪽쟘(실측)'!E49+쪽쟘J늘림+MAX(W49:X49)</f>
        <v>83</v>
      </c>
      <c r="G49" s="67" t="str">
        <f t="shared" si="3"/>
        <v>2092*128</v>
      </c>
      <c r="H49" s="68" t="str">
        <f t="shared" si="4"/>
        <v>2092*125</v>
      </c>
      <c r="I49" s="50">
        <f>IF('쪽쟘(실측)'!F49&gt;0,'쪽쟘(실측)'!F49-3,0)+뒷날개치수더함</f>
        <v>22</v>
      </c>
      <c r="J49" s="50">
        <f>IF('쪽쟘(실측)'!H49&gt;0,'쪽쟘(실측)'!H49-3,0)+뒷날개치수더함</f>
        <v>19</v>
      </c>
      <c r="K49" s="50">
        <f>IF('쪽쟘(실측)'!F49&gt;0,'쪽쟘(실측)'!F49+0,0)+뒷날개치수더함-0.2</f>
        <v>24.8</v>
      </c>
      <c r="L49" s="50">
        <f>IF('쪽쟘(실측)'!G49&gt;0,'쪽쟘(실측)'!G49+0,0)+뒷날개치수더함-0.2</f>
        <v>24.8</v>
      </c>
      <c r="M49" s="50">
        <f>IF('쪽쟘(실측)'!H49&gt;0,'쪽쟘(실측)'!H49+0,0)+뒷날개치수더함-0.2</f>
        <v>21.8</v>
      </c>
      <c r="N49" s="50">
        <f>IF('쪽쟘(실측)'!I49&gt;0,'쪽쟘(실측)'!I49+0,0)+뒷날개치수더함-0.2</f>
        <v>21.8</v>
      </c>
      <c r="O49" s="50">
        <f>'쪽쟘(실측)'!J49-쪽쟘기둥차감</f>
        <v>2092</v>
      </c>
      <c r="P49" s="50">
        <f>'쪽쟘(실측)'!K49-쪽쟘기둥차감</f>
        <v>2092</v>
      </c>
      <c r="Q49" s="50">
        <f>'쪽쟘(실측)'!L49-쪽쟘기둥차감</f>
        <v>2092</v>
      </c>
      <c r="R49" s="50">
        <f>'쪽쟘(실측)'!M49-쪽쟘기둥차감</f>
        <v>2092</v>
      </c>
      <c r="S49" s="50">
        <f>'쪽쟘(실측)'!N49+뒷날개치수더함</f>
        <v>21</v>
      </c>
      <c r="T49" s="50">
        <f>'쪽쟘(실측)'!O49+뒷날개치수더함</f>
        <v>21</v>
      </c>
      <c r="U49" s="50">
        <f>'쪽쟘(실측)'!P49+뒷날개치수더함</f>
        <v>16</v>
      </c>
      <c r="V49" s="50">
        <f>'쪽쟘(실측)'!Q49+뒷날개치수더함</f>
        <v>25</v>
      </c>
      <c r="W49" s="50">
        <f>'쪽쟘(실측)'!R49-쪽쟘늘치차감</f>
        <v>0</v>
      </c>
      <c r="X49" s="50">
        <f>'쪽쟘(실측)'!S49-쪽쟘늘치차감</f>
        <v>0</v>
      </c>
      <c r="Y49" s="4">
        <f>IF('쪽쟘(실측)'!T49&gt;5,'쪽쟘(실측)'!T49+뒷날개치수더함,0)</f>
        <v>15</v>
      </c>
      <c r="Z49" s="4">
        <f>'쪽쟘(실측)'!U49</f>
        <v>10</v>
      </c>
      <c r="AA49" s="4">
        <f>'쪽쟘(실측)'!V49</f>
        <v>6</v>
      </c>
      <c r="AC49">
        <f t="shared" si="5"/>
        <v>937</v>
      </c>
      <c r="AD49">
        <f>U49+E49+MAX(S49,T49)-쪽쟘소재t*3+IF(S49=0,S49*쪽쟘소재t,0)-1.2</f>
        <v>117.2</v>
      </c>
      <c r="AE49">
        <f>MAX(K49,L49)+F49+V49-쪽쟘소재t*3+IF(K49=0,쪽쟘소재t)-IF(AA49=90,2.4,0)-1.2</f>
        <v>128.00000000000003</v>
      </c>
      <c r="AF49">
        <f t="shared" si="6"/>
        <v>2092</v>
      </c>
      <c r="AG49">
        <f>MAX(M49,N49)+F49+V49-쪽쟘소재t*3+IF(M49=0,쪽쟘소재t)-IF(AA49=90,2.4,0)-1.2</f>
        <v>125.00000000000001</v>
      </c>
      <c r="AH49">
        <f t="shared" si="7"/>
        <v>2092</v>
      </c>
    </row>
    <row r="50" spans="1:34" ht="19.5" customHeight="1" x14ac:dyDescent="0.3">
      <c r="A50" s="50" t="str">
        <f>'쪽쟘(실측)'!A50</f>
        <v>108   / 2</v>
      </c>
      <c r="B50" s="50" t="str">
        <f>'쪽쟘(실측)'!B50&amp;"F"</f>
        <v>5F</v>
      </c>
      <c r="C50" s="50" t="str">
        <f t="shared" si="2"/>
        <v>937*119.2</v>
      </c>
      <c r="D50" s="50">
        <f>'쪽쟘(실측)'!C50-쪽쟘OP차감</f>
        <v>897</v>
      </c>
      <c r="E50" s="50">
        <f>'쪽쟘(실측)'!D50+쪽쟘J늘림+MAX(W50:X50)</f>
        <v>85</v>
      </c>
      <c r="F50" s="50">
        <f>'쪽쟘(실측)'!E50+쪽쟘J늘림+MAX(W50:X50)</f>
        <v>83</v>
      </c>
      <c r="G50" s="67" t="str">
        <f t="shared" si="3"/>
        <v>2098*127</v>
      </c>
      <c r="H50" s="68" t="str">
        <f t="shared" si="4"/>
        <v>2092*125</v>
      </c>
      <c r="I50" s="50">
        <f>IF('쪽쟘(실측)'!F50&gt;0,'쪽쟘(실측)'!F50-3,0)+뒷날개치수더함</f>
        <v>21</v>
      </c>
      <c r="J50" s="50">
        <f>IF('쪽쟘(실측)'!H50&gt;0,'쪽쟘(실측)'!H50-3,0)+뒷날개치수더함</f>
        <v>19</v>
      </c>
      <c r="K50" s="50">
        <f>IF('쪽쟘(실측)'!F50&gt;0,'쪽쟘(실측)'!F50+0,0)+뒷날개치수더함-0.2</f>
        <v>23.8</v>
      </c>
      <c r="L50" s="50">
        <f>IF('쪽쟘(실측)'!G50&gt;0,'쪽쟘(실측)'!G50+0,0)+뒷날개치수더함-0.2</f>
        <v>23.8</v>
      </c>
      <c r="M50" s="50">
        <f>IF('쪽쟘(실측)'!H50&gt;0,'쪽쟘(실측)'!H50+0,0)+뒷날개치수더함-0.2</f>
        <v>21.8</v>
      </c>
      <c r="N50" s="50">
        <f>IF('쪽쟘(실측)'!I50&gt;0,'쪽쟘(실측)'!I50+0,0)+뒷날개치수더함-0.2</f>
        <v>21.8</v>
      </c>
      <c r="O50" s="50">
        <f>'쪽쟘(실측)'!J50-쪽쟘기둥차감</f>
        <v>2098</v>
      </c>
      <c r="P50" s="50">
        <f>'쪽쟘(실측)'!K50-쪽쟘기둥차감</f>
        <v>2098</v>
      </c>
      <c r="Q50" s="50">
        <f>'쪽쟘(실측)'!L50-쪽쟘기둥차감</f>
        <v>2092</v>
      </c>
      <c r="R50" s="50">
        <f>'쪽쟘(실측)'!M50-쪽쟘기둥차감</f>
        <v>2092</v>
      </c>
      <c r="S50" s="50">
        <f>'쪽쟘(실측)'!N50+뒷날개치수더함</f>
        <v>23</v>
      </c>
      <c r="T50" s="50">
        <f>'쪽쟘(실측)'!O50+뒷날개치수더함</f>
        <v>23</v>
      </c>
      <c r="U50" s="50">
        <f>'쪽쟘(실측)'!P50+뒷날개치수더함</f>
        <v>16</v>
      </c>
      <c r="V50" s="50">
        <f>'쪽쟘(실측)'!Q50+뒷날개치수더함</f>
        <v>25</v>
      </c>
      <c r="W50" s="50">
        <f>'쪽쟘(실측)'!R50-쪽쟘늘치차감</f>
        <v>0</v>
      </c>
      <c r="X50" s="50">
        <f>'쪽쟘(실측)'!S50-쪽쟘늘치차감</f>
        <v>0</v>
      </c>
      <c r="Y50" s="4">
        <f>IF('쪽쟘(실측)'!T50&gt;5,'쪽쟘(실측)'!T50+뒷날개치수더함,0)</f>
        <v>15</v>
      </c>
      <c r="Z50" s="4">
        <f>'쪽쟘(실측)'!U50</f>
        <v>10</v>
      </c>
      <c r="AA50" s="4">
        <f>'쪽쟘(실측)'!V50</f>
        <v>6</v>
      </c>
      <c r="AC50">
        <f t="shared" si="5"/>
        <v>937</v>
      </c>
      <c r="AD50">
        <f>U50+E50+MAX(S50,T50)-쪽쟘소재t*3+IF(S50=0,S50*쪽쟘소재t,0)-1.2</f>
        <v>119.2</v>
      </c>
      <c r="AE50">
        <f>MAX(K50,L50)+F50+V50-쪽쟘소재t*3+IF(K50=0,쪽쟘소재t)-IF(AA50=90,2.4,0)-1.2</f>
        <v>127.00000000000001</v>
      </c>
      <c r="AF50">
        <f t="shared" si="6"/>
        <v>2098</v>
      </c>
      <c r="AG50">
        <f>MAX(M50,N50)+F50+V50-쪽쟘소재t*3+IF(M50=0,쪽쟘소재t)-IF(AA50=90,2.4,0)-1.2</f>
        <v>125.00000000000001</v>
      </c>
      <c r="AH50">
        <f t="shared" si="7"/>
        <v>2092</v>
      </c>
    </row>
    <row r="51" spans="1:34" ht="19.5" customHeight="1" x14ac:dyDescent="0.3">
      <c r="A51" s="50" t="str">
        <f>'쪽쟘(실측)'!A51</f>
        <v>108   / 2</v>
      </c>
      <c r="B51" s="50" t="str">
        <f>'쪽쟘(실측)'!B51&amp;"F"</f>
        <v>4F</v>
      </c>
      <c r="C51" s="50" t="str">
        <f t="shared" si="2"/>
        <v>935*123.2</v>
      </c>
      <c r="D51" s="50">
        <f>'쪽쟘(실측)'!C51-쪽쟘OP차감</f>
        <v>897</v>
      </c>
      <c r="E51" s="50">
        <f>'쪽쟘(실측)'!D51+쪽쟘J늘림+MAX(W51:X51)</f>
        <v>85</v>
      </c>
      <c r="F51" s="50">
        <f>'쪽쟘(실측)'!E51+쪽쟘J늘림+MAX(W51:X51)</f>
        <v>83</v>
      </c>
      <c r="G51" s="67" t="str">
        <f t="shared" si="3"/>
        <v>2092*125</v>
      </c>
      <c r="H51" s="68" t="str">
        <f t="shared" si="4"/>
        <v>2092*125</v>
      </c>
      <c r="I51" s="50">
        <f>IF('쪽쟘(실측)'!F51&gt;0,'쪽쟘(실측)'!F51-3,0)+뒷날개치수더함</f>
        <v>19</v>
      </c>
      <c r="J51" s="50">
        <f>IF('쪽쟘(실측)'!H51&gt;0,'쪽쟘(실측)'!H51-3,0)+뒷날개치수더함</f>
        <v>19</v>
      </c>
      <c r="K51" s="50">
        <f>IF('쪽쟘(실측)'!F51&gt;0,'쪽쟘(실측)'!F51+0,0)+뒷날개치수더함-0.2</f>
        <v>21.8</v>
      </c>
      <c r="L51" s="50">
        <f>IF('쪽쟘(실측)'!G51&gt;0,'쪽쟘(실측)'!G51+0,0)+뒷날개치수더함-0.2</f>
        <v>21.8</v>
      </c>
      <c r="M51" s="50">
        <f>IF('쪽쟘(실측)'!H51&gt;0,'쪽쟘(실측)'!H51+0,0)+뒷날개치수더함-0.2</f>
        <v>21.8</v>
      </c>
      <c r="N51" s="50">
        <f>IF('쪽쟘(실측)'!I51&gt;0,'쪽쟘(실측)'!I51+0,0)+뒷날개치수더함-0.2</f>
        <v>21.8</v>
      </c>
      <c r="O51" s="50">
        <f>'쪽쟘(실측)'!J51-쪽쟘기둥차감</f>
        <v>2092</v>
      </c>
      <c r="P51" s="50">
        <f>'쪽쟘(실측)'!K51-쪽쟘기둥차감</f>
        <v>2092</v>
      </c>
      <c r="Q51" s="50">
        <f>'쪽쟘(실측)'!L51-쪽쟘기둥차감</f>
        <v>2092</v>
      </c>
      <c r="R51" s="50">
        <f>'쪽쟘(실측)'!M51-쪽쟘기둥차감</f>
        <v>2092</v>
      </c>
      <c r="S51" s="50">
        <f>'쪽쟘(실측)'!N51+뒷날개치수더함</f>
        <v>27</v>
      </c>
      <c r="T51" s="50">
        <f>'쪽쟘(실측)'!O51+뒷날개치수더함</f>
        <v>27</v>
      </c>
      <c r="U51" s="50">
        <f>'쪽쟘(실측)'!P51+뒷날개치수더함</f>
        <v>16</v>
      </c>
      <c r="V51" s="50">
        <f>'쪽쟘(실측)'!Q51+뒷날개치수더함</f>
        <v>25</v>
      </c>
      <c r="W51" s="50">
        <f>'쪽쟘(실측)'!R51-쪽쟘늘치차감</f>
        <v>0</v>
      </c>
      <c r="X51" s="50">
        <f>'쪽쟘(실측)'!S51-쪽쟘늘치차감</f>
        <v>0</v>
      </c>
      <c r="Y51" s="4">
        <f>IF('쪽쟘(실측)'!T51&gt;5,'쪽쟘(실측)'!T51+뒷날개치수더함,0)</f>
        <v>15</v>
      </c>
      <c r="Z51" s="4">
        <f>'쪽쟘(실측)'!U51</f>
        <v>10</v>
      </c>
      <c r="AA51" s="4">
        <f>'쪽쟘(실측)'!V51</f>
        <v>6</v>
      </c>
      <c r="AC51">
        <f t="shared" si="5"/>
        <v>935</v>
      </c>
      <c r="AD51">
        <f>U51+E51+MAX(S51,T51)-쪽쟘소재t*3+IF(S51=0,S51*쪽쟘소재t,0)-1.2</f>
        <v>123.2</v>
      </c>
      <c r="AE51">
        <f>MAX(K51,L51)+F51+V51-쪽쟘소재t*3+IF(K51=0,쪽쟘소재t)-IF(AA51=90,2.4,0)-1.2</f>
        <v>125.00000000000001</v>
      </c>
      <c r="AF51">
        <f t="shared" si="6"/>
        <v>2092</v>
      </c>
      <c r="AG51">
        <f>MAX(M51,N51)+F51+V51-쪽쟘소재t*3+IF(M51=0,쪽쟘소재t)-IF(AA51=90,2.4,0)-1.2</f>
        <v>125.00000000000001</v>
      </c>
      <c r="AH51">
        <f t="shared" si="7"/>
        <v>2092</v>
      </c>
    </row>
    <row r="52" spans="1:34" ht="19.5" customHeight="1" x14ac:dyDescent="0.3">
      <c r="A52" s="50" t="str">
        <f>'쪽쟘(실측)'!A52</f>
        <v>108   / 2</v>
      </c>
      <c r="B52" s="50" t="str">
        <f>'쪽쟘(실측)'!B52&amp;"F"</f>
        <v>3F</v>
      </c>
      <c r="C52" s="50" t="str">
        <f t="shared" si="2"/>
        <v>935*121.2</v>
      </c>
      <c r="D52" s="50">
        <f>'쪽쟘(실측)'!C52-쪽쟘OP차감</f>
        <v>897</v>
      </c>
      <c r="E52" s="50">
        <f>'쪽쟘(실측)'!D52+쪽쟘J늘림+MAX(W52:X52)</f>
        <v>85</v>
      </c>
      <c r="F52" s="50">
        <f>'쪽쟘(실측)'!E52+쪽쟘J늘림+MAX(W52:X52)</f>
        <v>83</v>
      </c>
      <c r="G52" s="67" t="str">
        <f t="shared" si="3"/>
        <v>2098*126</v>
      </c>
      <c r="H52" s="68" t="str">
        <f t="shared" si="4"/>
        <v>2092*124</v>
      </c>
      <c r="I52" s="50">
        <f>IF('쪽쟘(실측)'!F52&gt;0,'쪽쟘(실측)'!F52-3,0)+뒷날개치수더함</f>
        <v>20</v>
      </c>
      <c r="J52" s="50">
        <f>IF('쪽쟘(실측)'!H52&gt;0,'쪽쟘(실측)'!H52-3,0)+뒷날개치수더함</f>
        <v>18</v>
      </c>
      <c r="K52" s="50">
        <f>IF('쪽쟘(실측)'!F52&gt;0,'쪽쟘(실측)'!F52+0,0)+뒷날개치수더함-0.2</f>
        <v>22.8</v>
      </c>
      <c r="L52" s="50">
        <f>IF('쪽쟘(실측)'!G52&gt;0,'쪽쟘(실측)'!G52+0,0)+뒷날개치수더함-0.2</f>
        <v>22.8</v>
      </c>
      <c r="M52" s="50">
        <f>IF('쪽쟘(실측)'!H52&gt;0,'쪽쟘(실측)'!H52+0,0)+뒷날개치수더함-0.2</f>
        <v>20.8</v>
      </c>
      <c r="N52" s="50">
        <f>IF('쪽쟘(실측)'!I52&gt;0,'쪽쟘(실측)'!I52+0,0)+뒷날개치수더함-0.2</f>
        <v>20.8</v>
      </c>
      <c r="O52" s="50">
        <f>'쪽쟘(실측)'!J52-쪽쟘기둥차감</f>
        <v>2098</v>
      </c>
      <c r="P52" s="50">
        <f>'쪽쟘(실측)'!K52-쪽쟘기둥차감</f>
        <v>2098</v>
      </c>
      <c r="Q52" s="50">
        <f>'쪽쟘(실측)'!L52-쪽쟘기둥차감</f>
        <v>2092</v>
      </c>
      <c r="R52" s="50">
        <f>'쪽쟘(실측)'!M52-쪽쟘기둥차감</f>
        <v>2092</v>
      </c>
      <c r="S52" s="50">
        <f>'쪽쟘(실측)'!N52+뒷날개치수더함</f>
        <v>25</v>
      </c>
      <c r="T52" s="50">
        <f>'쪽쟘(실측)'!O52+뒷날개치수더함</f>
        <v>25</v>
      </c>
      <c r="U52" s="50">
        <f>'쪽쟘(실측)'!P52+뒷날개치수더함</f>
        <v>16</v>
      </c>
      <c r="V52" s="50">
        <f>'쪽쟘(실측)'!Q52+뒷날개치수더함</f>
        <v>25</v>
      </c>
      <c r="W52" s="50">
        <f>'쪽쟘(실측)'!R52-쪽쟘늘치차감</f>
        <v>0</v>
      </c>
      <c r="X52" s="50">
        <f>'쪽쟘(실측)'!S52-쪽쟘늘치차감</f>
        <v>0</v>
      </c>
      <c r="Y52" s="4">
        <f>IF('쪽쟘(실측)'!T52&gt;5,'쪽쟘(실측)'!T52+뒷날개치수더함,0)</f>
        <v>15</v>
      </c>
      <c r="Z52" s="4">
        <f>'쪽쟘(실측)'!U52</f>
        <v>10</v>
      </c>
      <c r="AA52" s="4">
        <f>'쪽쟘(실측)'!V52</f>
        <v>6</v>
      </c>
      <c r="AC52">
        <f t="shared" si="5"/>
        <v>935</v>
      </c>
      <c r="AD52">
        <f>U52+E52+MAX(S52,T52)-쪽쟘소재t*3+IF(S52=0,S52*쪽쟘소재t,0)-1.2</f>
        <v>121.2</v>
      </c>
      <c r="AE52">
        <f>MAX(K52,L52)+F52+V52-쪽쟘소재t*3+IF(K52=0,쪽쟘소재t)-IF(AA52=90,2.4,0)-1.2</f>
        <v>126.00000000000001</v>
      </c>
      <c r="AF52">
        <f t="shared" si="6"/>
        <v>2098</v>
      </c>
      <c r="AG52">
        <f>MAX(M52,N52)+F52+V52-쪽쟘소재t*3+IF(M52=0,쪽쟘소재t)-IF(AA52=90,2.4,0)-1.2</f>
        <v>124.00000000000001</v>
      </c>
      <c r="AH52">
        <f t="shared" si="7"/>
        <v>2092</v>
      </c>
    </row>
    <row r="53" spans="1:34" ht="19.5" customHeight="1" x14ac:dyDescent="0.3">
      <c r="A53" s="50" t="str">
        <f>'쪽쟘(실측)'!A53</f>
        <v>108   / 2</v>
      </c>
      <c r="B53" s="50" t="str">
        <f>'쪽쟘(실측)'!B53&amp;"F"</f>
        <v>2F</v>
      </c>
      <c r="C53" s="50" t="str">
        <f t="shared" si="2"/>
        <v>935*121.2</v>
      </c>
      <c r="D53" s="50">
        <f>'쪽쟘(실측)'!C53-쪽쟘OP차감</f>
        <v>897</v>
      </c>
      <c r="E53" s="50">
        <f>'쪽쟘(실측)'!D53+쪽쟘J늘림+MAX(W53:X53)</f>
        <v>85</v>
      </c>
      <c r="F53" s="50">
        <f>'쪽쟘(실측)'!E53+쪽쟘J늘림+MAX(W53:X53)</f>
        <v>83</v>
      </c>
      <c r="G53" s="67" t="str">
        <f t="shared" si="3"/>
        <v>2092*126</v>
      </c>
      <c r="H53" s="68" t="str">
        <f t="shared" si="4"/>
        <v>2092*124</v>
      </c>
      <c r="I53" s="50">
        <f>IF('쪽쟘(실측)'!F53&gt;0,'쪽쟘(실측)'!F53-3,0)+뒷날개치수더함</f>
        <v>20</v>
      </c>
      <c r="J53" s="50">
        <f>IF('쪽쟘(실측)'!H53&gt;0,'쪽쟘(실측)'!H53-3,0)+뒷날개치수더함</f>
        <v>18</v>
      </c>
      <c r="K53" s="50">
        <f>IF('쪽쟘(실측)'!F53&gt;0,'쪽쟘(실측)'!F53+0,0)+뒷날개치수더함-0.2</f>
        <v>22.8</v>
      </c>
      <c r="L53" s="50">
        <f>IF('쪽쟘(실측)'!G53&gt;0,'쪽쟘(실측)'!G53+0,0)+뒷날개치수더함-0.2</f>
        <v>22.8</v>
      </c>
      <c r="M53" s="50">
        <f>IF('쪽쟘(실측)'!H53&gt;0,'쪽쟘(실측)'!H53+0,0)+뒷날개치수더함-0.2</f>
        <v>20.8</v>
      </c>
      <c r="N53" s="50">
        <f>IF('쪽쟘(실측)'!I53&gt;0,'쪽쟘(실측)'!I53+0,0)+뒷날개치수더함-0.2</f>
        <v>20.8</v>
      </c>
      <c r="O53" s="50">
        <f>'쪽쟘(실측)'!J53-쪽쟘기둥차감</f>
        <v>2092</v>
      </c>
      <c r="P53" s="50">
        <f>'쪽쟘(실측)'!K53-쪽쟘기둥차감</f>
        <v>2092</v>
      </c>
      <c r="Q53" s="50">
        <f>'쪽쟘(실측)'!L53-쪽쟘기둥차감</f>
        <v>2092</v>
      </c>
      <c r="R53" s="50">
        <f>'쪽쟘(실측)'!M53-쪽쟘기둥차감</f>
        <v>2092</v>
      </c>
      <c r="S53" s="50">
        <f>'쪽쟘(실측)'!N53+뒷날개치수더함</f>
        <v>25</v>
      </c>
      <c r="T53" s="50">
        <f>'쪽쟘(실측)'!O53+뒷날개치수더함</f>
        <v>25</v>
      </c>
      <c r="U53" s="50">
        <f>'쪽쟘(실측)'!P53+뒷날개치수더함</f>
        <v>16</v>
      </c>
      <c r="V53" s="50">
        <f>'쪽쟘(실측)'!Q53+뒷날개치수더함</f>
        <v>25</v>
      </c>
      <c r="W53" s="50">
        <f>'쪽쟘(실측)'!R53-쪽쟘늘치차감</f>
        <v>0</v>
      </c>
      <c r="X53" s="50">
        <f>'쪽쟘(실측)'!S53-쪽쟘늘치차감</f>
        <v>0</v>
      </c>
      <c r="Y53" s="4">
        <f>IF('쪽쟘(실측)'!T53&gt;5,'쪽쟘(실측)'!T53+뒷날개치수더함,0)</f>
        <v>15</v>
      </c>
      <c r="Z53" s="4">
        <f>'쪽쟘(실측)'!U53</f>
        <v>10</v>
      </c>
      <c r="AA53" s="4">
        <f>'쪽쟘(실측)'!V53</f>
        <v>6</v>
      </c>
      <c r="AC53">
        <f t="shared" si="5"/>
        <v>935</v>
      </c>
      <c r="AD53">
        <f>U53+E53+MAX(S53,T53)-쪽쟘소재t*3+IF(S53=0,S53*쪽쟘소재t,0)-1.2</f>
        <v>121.2</v>
      </c>
      <c r="AE53">
        <f>MAX(K53,L53)+F53+V53-쪽쟘소재t*3+IF(K53=0,쪽쟘소재t)-IF(AA53=90,2.4,0)-1.2</f>
        <v>126.00000000000001</v>
      </c>
      <c r="AF53">
        <f t="shared" si="6"/>
        <v>2092</v>
      </c>
      <c r="AG53">
        <f>MAX(M53,N53)+F53+V53-쪽쟘소재t*3+IF(M53=0,쪽쟘소재t)-IF(AA53=90,2.4,0)-1.2</f>
        <v>124.00000000000001</v>
      </c>
      <c r="AH53">
        <f t="shared" si="7"/>
        <v>2092</v>
      </c>
    </row>
    <row r="54" spans="1:34" ht="19.5" customHeight="1" x14ac:dyDescent="0.3">
      <c r="A54" s="50" t="str">
        <f>'쪽쟘(실측)'!A54</f>
        <v>109   / 2</v>
      </c>
      <c r="B54" s="50" t="str">
        <f>'쪽쟘(실측)'!B54&amp;"F"</f>
        <v>17F</v>
      </c>
      <c r="C54" s="50" t="str">
        <f t="shared" si="2"/>
        <v>934*117.2</v>
      </c>
      <c r="D54" s="50">
        <f>'쪽쟘(실측)'!C54-쪽쟘OP차감</f>
        <v>898</v>
      </c>
      <c r="E54" s="50">
        <f>'쪽쟘(실측)'!D54+쪽쟘J늘림+MAX(W54:X54)</f>
        <v>85</v>
      </c>
      <c r="F54" s="50">
        <f>'쪽쟘(실측)'!E54+쪽쟘J늘림+MAX(W54:X54)</f>
        <v>83</v>
      </c>
      <c r="G54" s="67" t="str">
        <f t="shared" si="3"/>
        <v>2098*125</v>
      </c>
      <c r="H54" s="68" t="str">
        <f t="shared" si="4"/>
        <v>2098*123</v>
      </c>
      <c r="I54" s="50">
        <f>IF('쪽쟘(실측)'!F54&gt;0,'쪽쟘(실측)'!F54-3,0)+뒷날개치수더함</f>
        <v>19</v>
      </c>
      <c r="J54" s="50">
        <f>IF('쪽쟘(실측)'!H54&gt;0,'쪽쟘(실측)'!H54-3,0)+뒷날개치수더함</f>
        <v>17</v>
      </c>
      <c r="K54" s="50">
        <f>IF('쪽쟘(실측)'!F54&gt;0,'쪽쟘(실측)'!F54+0,0)+뒷날개치수더함-0.2</f>
        <v>21.8</v>
      </c>
      <c r="L54" s="50">
        <f>IF('쪽쟘(실측)'!G54&gt;0,'쪽쟘(실측)'!G54+0,0)+뒷날개치수더함-0.2</f>
        <v>21.8</v>
      </c>
      <c r="M54" s="50">
        <f>IF('쪽쟘(실측)'!H54&gt;0,'쪽쟘(실측)'!H54+0,0)+뒷날개치수더함-0.2</f>
        <v>19.8</v>
      </c>
      <c r="N54" s="50">
        <f>IF('쪽쟘(실측)'!I54&gt;0,'쪽쟘(실측)'!I54+0,0)+뒷날개치수더함-0.2</f>
        <v>19.8</v>
      </c>
      <c r="O54" s="50">
        <f>'쪽쟘(실측)'!J54-쪽쟘기둥차감</f>
        <v>2098</v>
      </c>
      <c r="P54" s="50">
        <f>'쪽쟘(실측)'!K54-쪽쟘기둥차감</f>
        <v>2098</v>
      </c>
      <c r="Q54" s="50">
        <f>'쪽쟘(실측)'!L54-쪽쟘기둥차감</f>
        <v>2098</v>
      </c>
      <c r="R54" s="50">
        <f>'쪽쟘(실측)'!M54-쪽쟘기둥차감</f>
        <v>2098</v>
      </c>
      <c r="S54" s="50">
        <f>'쪽쟘(실측)'!N54+뒷날개치수더함</f>
        <v>21</v>
      </c>
      <c r="T54" s="50">
        <f>'쪽쟘(실측)'!O54+뒷날개치수더함</f>
        <v>21</v>
      </c>
      <c r="U54" s="50">
        <f>'쪽쟘(실측)'!P54+뒷날개치수더함</f>
        <v>16</v>
      </c>
      <c r="V54" s="50">
        <f>'쪽쟘(실측)'!Q54+뒷날개치수더함</f>
        <v>25</v>
      </c>
      <c r="W54" s="50">
        <f>'쪽쟘(실측)'!R54-쪽쟘늘치차감</f>
        <v>0</v>
      </c>
      <c r="X54" s="50">
        <f>'쪽쟘(실측)'!S54-쪽쟘늘치차감</f>
        <v>0</v>
      </c>
      <c r="Y54" s="4">
        <f>IF('쪽쟘(실측)'!T54&gt;5,'쪽쟘(실측)'!T54+뒷날개치수더함,0)</f>
        <v>15</v>
      </c>
      <c r="Z54" s="4">
        <f>'쪽쟘(실측)'!U54</f>
        <v>10</v>
      </c>
      <c r="AA54" s="4">
        <f>'쪽쟘(실측)'!V54</f>
        <v>6</v>
      </c>
      <c r="AC54">
        <f t="shared" si="5"/>
        <v>934</v>
      </c>
      <c r="AD54">
        <f>U54+E54+MAX(S54,T54)-쪽쟘소재t*3+IF(S54=0,S54*쪽쟘소재t,0)-1.2</f>
        <v>117.2</v>
      </c>
      <c r="AE54">
        <f>MAX(K54,L54)+F54+V54-쪽쟘소재t*3+IF(K54=0,쪽쟘소재t)-IF(AA54=90,2.4,0)-1.2</f>
        <v>125.00000000000001</v>
      </c>
      <c r="AF54">
        <f t="shared" si="6"/>
        <v>2098</v>
      </c>
      <c r="AG54">
        <f>MAX(M54,N54)+F54+V54-쪽쟘소재t*3+IF(M54=0,쪽쟘소재t)-IF(AA54=90,2.4,0)-1.2</f>
        <v>123</v>
      </c>
      <c r="AH54">
        <f t="shared" si="7"/>
        <v>2098</v>
      </c>
    </row>
    <row r="55" spans="1:34" ht="19.5" customHeight="1" x14ac:dyDescent="0.3">
      <c r="A55" s="50" t="str">
        <f>'쪽쟘(실측)'!A55</f>
        <v>109   / 2</v>
      </c>
      <c r="B55" s="50" t="str">
        <f>'쪽쟘(실측)'!B55&amp;"F"</f>
        <v>16F</v>
      </c>
      <c r="C55" s="50" t="str">
        <f t="shared" si="2"/>
        <v>937*122.2</v>
      </c>
      <c r="D55" s="50">
        <f>'쪽쟘(실측)'!C55-쪽쟘OP차감</f>
        <v>898</v>
      </c>
      <c r="E55" s="50">
        <f>'쪽쟘(실측)'!D55+쪽쟘J늘림+MAX(W55:X55)</f>
        <v>85</v>
      </c>
      <c r="F55" s="50">
        <f>'쪽쟘(실측)'!E55+쪽쟘J늘림+MAX(W55:X55)</f>
        <v>83</v>
      </c>
      <c r="G55" s="67" t="str">
        <f t="shared" si="3"/>
        <v>2098*124</v>
      </c>
      <c r="H55" s="68" t="str">
        <f t="shared" si="4"/>
        <v>2098*127</v>
      </c>
      <c r="I55" s="50">
        <f>IF('쪽쟘(실측)'!F55&gt;0,'쪽쟘(실측)'!F55-3,0)+뒷날개치수더함</f>
        <v>18</v>
      </c>
      <c r="J55" s="50">
        <f>IF('쪽쟘(실측)'!H55&gt;0,'쪽쟘(실측)'!H55-3,0)+뒷날개치수더함</f>
        <v>21</v>
      </c>
      <c r="K55" s="50">
        <f>IF('쪽쟘(실측)'!F55&gt;0,'쪽쟘(실측)'!F55+0,0)+뒷날개치수더함-0.2</f>
        <v>20.8</v>
      </c>
      <c r="L55" s="50">
        <f>IF('쪽쟘(실측)'!G55&gt;0,'쪽쟘(실측)'!G55+0,0)+뒷날개치수더함-0.2</f>
        <v>20.8</v>
      </c>
      <c r="M55" s="50">
        <f>IF('쪽쟘(실측)'!H55&gt;0,'쪽쟘(실측)'!H55+0,0)+뒷날개치수더함-0.2</f>
        <v>23.8</v>
      </c>
      <c r="N55" s="50">
        <f>IF('쪽쟘(실측)'!I55&gt;0,'쪽쟘(실측)'!I55+0,0)+뒷날개치수더함-0.2</f>
        <v>23.8</v>
      </c>
      <c r="O55" s="50">
        <f>'쪽쟘(실측)'!J55-쪽쟘기둥차감</f>
        <v>2098</v>
      </c>
      <c r="P55" s="50">
        <f>'쪽쟘(실측)'!K55-쪽쟘기둥차감</f>
        <v>2098</v>
      </c>
      <c r="Q55" s="50">
        <f>'쪽쟘(실측)'!L55-쪽쟘기둥차감</f>
        <v>2098</v>
      </c>
      <c r="R55" s="50">
        <f>'쪽쟘(실측)'!M55-쪽쟘기둥차감</f>
        <v>2098</v>
      </c>
      <c r="S55" s="50">
        <f>'쪽쟘(실측)'!N55+뒷날개치수더함</f>
        <v>26</v>
      </c>
      <c r="T55" s="50">
        <f>'쪽쟘(실측)'!O55+뒷날개치수더함</f>
        <v>26</v>
      </c>
      <c r="U55" s="50">
        <f>'쪽쟘(실측)'!P55+뒷날개치수더함</f>
        <v>16</v>
      </c>
      <c r="V55" s="50">
        <f>'쪽쟘(실측)'!Q55+뒷날개치수더함</f>
        <v>25</v>
      </c>
      <c r="W55" s="50">
        <f>'쪽쟘(실측)'!R55-쪽쟘늘치차감</f>
        <v>0</v>
      </c>
      <c r="X55" s="50">
        <f>'쪽쟘(실측)'!S55-쪽쟘늘치차감</f>
        <v>0</v>
      </c>
      <c r="Y55" s="4">
        <f>IF('쪽쟘(실측)'!T55&gt;5,'쪽쟘(실측)'!T55+뒷날개치수더함,0)</f>
        <v>15</v>
      </c>
      <c r="Z55" s="4">
        <f>'쪽쟘(실측)'!U55</f>
        <v>10</v>
      </c>
      <c r="AA55" s="4">
        <f>'쪽쟘(실측)'!V55</f>
        <v>6</v>
      </c>
      <c r="AC55">
        <f t="shared" si="5"/>
        <v>937</v>
      </c>
      <c r="AD55">
        <f>U55+E55+MAX(S55,T55)-쪽쟘소재t*3+IF(S55=0,S55*쪽쟘소재t,0)-1.2</f>
        <v>122.2</v>
      </c>
      <c r="AE55">
        <f>MAX(K55,L55)+F55+V55-쪽쟘소재t*3+IF(K55=0,쪽쟘소재t)-IF(AA55=90,2.4,0)-1.2</f>
        <v>124.00000000000001</v>
      </c>
      <c r="AF55">
        <f t="shared" si="6"/>
        <v>2098</v>
      </c>
      <c r="AG55">
        <f>MAX(M55,N55)+F55+V55-쪽쟘소재t*3+IF(M55=0,쪽쟘소재t)-IF(AA55=90,2.4,0)-1.2</f>
        <v>127.00000000000001</v>
      </c>
      <c r="AH55">
        <f t="shared" si="7"/>
        <v>2098</v>
      </c>
    </row>
    <row r="56" spans="1:34" ht="19.5" customHeight="1" x14ac:dyDescent="0.3">
      <c r="A56" s="50" t="str">
        <f>'쪽쟘(실측)'!A56</f>
        <v>109   / 2</v>
      </c>
      <c r="B56" s="50" t="str">
        <f>'쪽쟘(실측)'!B56&amp;"F"</f>
        <v>15F</v>
      </c>
      <c r="C56" s="50" t="str">
        <f t="shared" si="2"/>
        <v>938*110.2</v>
      </c>
      <c r="D56" s="50">
        <f>'쪽쟘(실측)'!C56-쪽쟘OP차감</f>
        <v>898</v>
      </c>
      <c r="E56" s="50">
        <f>'쪽쟘(실측)'!D56+쪽쟘J늘림+MAX(W56:X56)</f>
        <v>85</v>
      </c>
      <c r="F56" s="50">
        <f>'쪽쟘(실측)'!E56+쪽쟘J늘림+MAX(W56:X56)</f>
        <v>83</v>
      </c>
      <c r="G56" s="67" t="str">
        <f t="shared" si="3"/>
        <v>2092*127</v>
      </c>
      <c r="H56" s="68" t="str">
        <f t="shared" si="4"/>
        <v>2092*125</v>
      </c>
      <c r="I56" s="50">
        <f>IF('쪽쟘(실측)'!F56&gt;0,'쪽쟘(실측)'!F56-3,0)+뒷날개치수더함</f>
        <v>21</v>
      </c>
      <c r="J56" s="50">
        <f>IF('쪽쟘(실측)'!H56&gt;0,'쪽쟘(실측)'!H56-3,0)+뒷날개치수더함</f>
        <v>19</v>
      </c>
      <c r="K56" s="50">
        <f>IF('쪽쟘(실측)'!F56&gt;0,'쪽쟘(실측)'!F56+0,0)+뒷날개치수더함-0.2</f>
        <v>23.8</v>
      </c>
      <c r="L56" s="50">
        <f>IF('쪽쟘(실측)'!G56&gt;0,'쪽쟘(실측)'!G56+0,0)+뒷날개치수더함-0.2</f>
        <v>23.8</v>
      </c>
      <c r="M56" s="50">
        <f>IF('쪽쟘(실측)'!H56&gt;0,'쪽쟘(실측)'!H56+0,0)+뒷날개치수더함-0.2</f>
        <v>21.8</v>
      </c>
      <c r="N56" s="50">
        <f>IF('쪽쟘(실측)'!I56&gt;0,'쪽쟘(실측)'!I56+0,0)+뒷날개치수더함-0.2</f>
        <v>21.8</v>
      </c>
      <c r="O56" s="50">
        <f>'쪽쟘(실측)'!J56-쪽쟘기둥차감</f>
        <v>2092</v>
      </c>
      <c r="P56" s="50">
        <f>'쪽쟘(실측)'!K56-쪽쟘기둥차감</f>
        <v>2092</v>
      </c>
      <c r="Q56" s="50">
        <f>'쪽쟘(실측)'!L56-쪽쟘기둥차감</f>
        <v>2092</v>
      </c>
      <c r="R56" s="50">
        <f>'쪽쟘(실측)'!M56-쪽쟘기둥차감</f>
        <v>2092</v>
      </c>
      <c r="S56" s="50">
        <f>'쪽쟘(실측)'!N56+뒷날개치수더함</f>
        <v>14</v>
      </c>
      <c r="T56" s="50">
        <f>'쪽쟘(실측)'!O56+뒷날개치수더함</f>
        <v>14</v>
      </c>
      <c r="U56" s="50">
        <f>'쪽쟘(실측)'!P56+뒷날개치수더함</f>
        <v>16</v>
      </c>
      <c r="V56" s="50">
        <f>'쪽쟘(실측)'!Q56+뒷날개치수더함</f>
        <v>25</v>
      </c>
      <c r="W56" s="50">
        <f>'쪽쟘(실측)'!R56-쪽쟘늘치차감</f>
        <v>0</v>
      </c>
      <c r="X56" s="50">
        <f>'쪽쟘(실측)'!S56-쪽쟘늘치차감</f>
        <v>0</v>
      </c>
      <c r="Y56" s="4">
        <f>IF('쪽쟘(실측)'!T56&gt;5,'쪽쟘(실측)'!T56+뒷날개치수더함,0)</f>
        <v>15</v>
      </c>
      <c r="Z56" s="4">
        <f>'쪽쟘(실측)'!U56</f>
        <v>10</v>
      </c>
      <c r="AA56" s="4">
        <f>'쪽쟘(실측)'!V56</f>
        <v>6</v>
      </c>
      <c r="AC56">
        <f t="shared" si="5"/>
        <v>938</v>
      </c>
      <c r="AD56">
        <f>U56+E56+MAX(S56,T56)-쪽쟘소재t*3+IF(S56=0,S56*쪽쟘소재t,0)-1.2</f>
        <v>110.2</v>
      </c>
      <c r="AE56">
        <f>MAX(K56,L56)+F56+V56-쪽쟘소재t*3+IF(K56=0,쪽쟘소재t)-IF(AA56=90,2.4,0)-1.2</f>
        <v>127.00000000000001</v>
      </c>
      <c r="AF56">
        <f t="shared" si="6"/>
        <v>2092</v>
      </c>
      <c r="AG56">
        <f>MAX(M56,N56)+F56+V56-쪽쟘소재t*3+IF(M56=0,쪽쟘소재t)-IF(AA56=90,2.4,0)-1.2</f>
        <v>125.00000000000001</v>
      </c>
      <c r="AH56">
        <f t="shared" si="7"/>
        <v>2092</v>
      </c>
    </row>
    <row r="57" spans="1:34" ht="19.5" customHeight="1" x14ac:dyDescent="0.3">
      <c r="A57" s="50" t="str">
        <f>'쪽쟘(실측)'!A57</f>
        <v>109   / 2</v>
      </c>
      <c r="B57" s="50" t="str">
        <f>'쪽쟘(실측)'!B57&amp;"F"</f>
        <v>14F</v>
      </c>
      <c r="C57" s="50" t="str">
        <f t="shared" si="2"/>
        <v>934*113.2</v>
      </c>
      <c r="D57" s="50">
        <f>'쪽쟘(실측)'!C57-쪽쟘OP차감</f>
        <v>897</v>
      </c>
      <c r="E57" s="50">
        <f>'쪽쟘(실측)'!D57+쪽쟘J늘림+MAX(W57:X57)</f>
        <v>85</v>
      </c>
      <c r="F57" s="50">
        <f>'쪽쟘(실측)'!E57+쪽쟘J늘림+MAX(W57:X57)</f>
        <v>83</v>
      </c>
      <c r="G57" s="67" t="str">
        <f t="shared" si="3"/>
        <v>2098*124</v>
      </c>
      <c r="H57" s="68" t="str">
        <f t="shared" si="4"/>
        <v>2098*125</v>
      </c>
      <c r="I57" s="50">
        <f>IF('쪽쟘(실측)'!F57&gt;0,'쪽쟘(실측)'!F57-3,0)+뒷날개치수더함</f>
        <v>18</v>
      </c>
      <c r="J57" s="50">
        <f>IF('쪽쟘(실측)'!H57&gt;0,'쪽쟘(실측)'!H57-3,0)+뒷날개치수더함</f>
        <v>19</v>
      </c>
      <c r="K57" s="50">
        <f>IF('쪽쟘(실측)'!F57&gt;0,'쪽쟘(실측)'!F57+0,0)+뒷날개치수더함-0.2</f>
        <v>20.8</v>
      </c>
      <c r="L57" s="50">
        <f>IF('쪽쟘(실측)'!G57&gt;0,'쪽쟘(실측)'!G57+0,0)+뒷날개치수더함-0.2</f>
        <v>20.8</v>
      </c>
      <c r="M57" s="50">
        <f>IF('쪽쟘(실측)'!H57&gt;0,'쪽쟘(실측)'!H57+0,0)+뒷날개치수더함-0.2</f>
        <v>21.8</v>
      </c>
      <c r="N57" s="50">
        <f>IF('쪽쟘(실측)'!I57&gt;0,'쪽쟘(실측)'!I57+0,0)+뒷날개치수더함-0.2</f>
        <v>21.8</v>
      </c>
      <c r="O57" s="50">
        <f>'쪽쟘(실측)'!J57-쪽쟘기둥차감</f>
        <v>2098</v>
      </c>
      <c r="P57" s="50">
        <f>'쪽쟘(실측)'!K57-쪽쟘기둥차감</f>
        <v>2098</v>
      </c>
      <c r="Q57" s="50">
        <f>'쪽쟘(실측)'!L57-쪽쟘기둥차감</f>
        <v>2098</v>
      </c>
      <c r="R57" s="50">
        <f>'쪽쟘(실측)'!M57-쪽쟘기둥차감</f>
        <v>2098</v>
      </c>
      <c r="S57" s="50">
        <f>'쪽쟘(실측)'!N57+뒷날개치수더함</f>
        <v>17</v>
      </c>
      <c r="T57" s="50">
        <f>'쪽쟘(실측)'!O57+뒷날개치수더함</f>
        <v>17</v>
      </c>
      <c r="U57" s="50">
        <f>'쪽쟘(실측)'!P57+뒷날개치수더함</f>
        <v>16</v>
      </c>
      <c r="V57" s="50">
        <f>'쪽쟘(실측)'!Q57+뒷날개치수더함</f>
        <v>25</v>
      </c>
      <c r="W57" s="50">
        <f>'쪽쟘(실측)'!R57-쪽쟘늘치차감</f>
        <v>0</v>
      </c>
      <c r="X57" s="50">
        <f>'쪽쟘(실측)'!S57-쪽쟘늘치차감</f>
        <v>0</v>
      </c>
      <c r="Y57" s="4">
        <f>IF('쪽쟘(실측)'!T57&gt;5,'쪽쟘(실측)'!T57+뒷날개치수더함,0)</f>
        <v>15</v>
      </c>
      <c r="Z57" s="4">
        <f>'쪽쟘(실측)'!U57</f>
        <v>10</v>
      </c>
      <c r="AA57" s="4">
        <f>'쪽쟘(실측)'!V57</f>
        <v>6</v>
      </c>
      <c r="AC57">
        <f t="shared" si="5"/>
        <v>934</v>
      </c>
      <c r="AD57">
        <f>U57+E57+MAX(S57,T57)-쪽쟘소재t*3+IF(S57=0,S57*쪽쟘소재t,0)-1.2</f>
        <v>113.2</v>
      </c>
      <c r="AE57">
        <f>MAX(K57,L57)+F57+V57-쪽쟘소재t*3+IF(K57=0,쪽쟘소재t)-IF(AA57=90,2.4,0)-1.2</f>
        <v>124.00000000000001</v>
      </c>
      <c r="AF57">
        <f t="shared" si="6"/>
        <v>2098</v>
      </c>
      <c r="AG57">
        <f>MAX(M57,N57)+F57+V57-쪽쟘소재t*3+IF(M57=0,쪽쟘소재t)-IF(AA57=90,2.4,0)-1.2</f>
        <v>125.00000000000001</v>
      </c>
      <c r="AH57">
        <f t="shared" si="7"/>
        <v>2098</v>
      </c>
    </row>
    <row r="58" spans="1:34" ht="19.5" customHeight="1" x14ac:dyDescent="0.3">
      <c r="A58" s="50" t="str">
        <f>'쪽쟘(실측)'!A58</f>
        <v>109   / 2</v>
      </c>
      <c r="B58" s="50" t="str">
        <f>'쪽쟘(실측)'!B58&amp;"F"</f>
        <v>13F</v>
      </c>
      <c r="C58" s="50" t="str">
        <f t="shared" si="2"/>
        <v>944*122.2</v>
      </c>
      <c r="D58" s="50">
        <f>'쪽쟘(실측)'!C58-쪽쟘OP차감</f>
        <v>897</v>
      </c>
      <c r="E58" s="50">
        <f>'쪽쟘(실측)'!D58+쪽쟘J늘림+MAX(W58:X58)</f>
        <v>85</v>
      </c>
      <c r="F58" s="50">
        <f>'쪽쟘(실측)'!E58+쪽쟘J늘림+MAX(W58:X58)</f>
        <v>83</v>
      </c>
      <c r="G58" s="67" t="str">
        <f t="shared" si="3"/>
        <v>2098*130</v>
      </c>
      <c r="H58" s="68" t="str">
        <f t="shared" si="4"/>
        <v>2098*129</v>
      </c>
      <c r="I58" s="50">
        <f>IF('쪽쟘(실측)'!F58&gt;0,'쪽쟘(실측)'!F58-3,0)+뒷날개치수더함</f>
        <v>24</v>
      </c>
      <c r="J58" s="50">
        <f>IF('쪽쟘(실측)'!H58&gt;0,'쪽쟘(실측)'!H58-3,0)+뒷날개치수더함</f>
        <v>23</v>
      </c>
      <c r="K58" s="50">
        <f>IF('쪽쟘(실측)'!F58&gt;0,'쪽쟘(실측)'!F58+0,0)+뒷날개치수더함-0.2</f>
        <v>26.8</v>
      </c>
      <c r="L58" s="50">
        <f>IF('쪽쟘(실측)'!G58&gt;0,'쪽쟘(실측)'!G58+0,0)+뒷날개치수더함-0.2</f>
        <v>26.8</v>
      </c>
      <c r="M58" s="50">
        <f>IF('쪽쟘(실측)'!H58&gt;0,'쪽쟘(실측)'!H58+0,0)+뒷날개치수더함-0.2</f>
        <v>25.8</v>
      </c>
      <c r="N58" s="50">
        <f>IF('쪽쟘(실측)'!I58&gt;0,'쪽쟘(실측)'!I58+0,0)+뒷날개치수더함-0.2</f>
        <v>25.8</v>
      </c>
      <c r="O58" s="50">
        <f>'쪽쟘(실측)'!J58-쪽쟘기둥차감</f>
        <v>2098</v>
      </c>
      <c r="P58" s="50">
        <f>'쪽쟘(실측)'!K58-쪽쟘기둥차감</f>
        <v>2098</v>
      </c>
      <c r="Q58" s="50">
        <f>'쪽쟘(실측)'!L58-쪽쟘기둥차감</f>
        <v>2098</v>
      </c>
      <c r="R58" s="50">
        <f>'쪽쟘(실측)'!M58-쪽쟘기둥차감</f>
        <v>2098</v>
      </c>
      <c r="S58" s="50">
        <f>'쪽쟘(실측)'!N58+뒷날개치수더함</f>
        <v>26</v>
      </c>
      <c r="T58" s="50">
        <f>'쪽쟘(실측)'!O58+뒷날개치수더함</f>
        <v>26</v>
      </c>
      <c r="U58" s="50">
        <f>'쪽쟘(실측)'!P58+뒷날개치수더함</f>
        <v>16</v>
      </c>
      <c r="V58" s="50">
        <f>'쪽쟘(실측)'!Q58+뒷날개치수더함</f>
        <v>25</v>
      </c>
      <c r="W58" s="50">
        <f>'쪽쟘(실측)'!R58-쪽쟘늘치차감</f>
        <v>0</v>
      </c>
      <c r="X58" s="50">
        <f>'쪽쟘(실측)'!S58-쪽쟘늘치차감</f>
        <v>0</v>
      </c>
      <c r="Y58" s="4">
        <f>IF('쪽쟘(실측)'!T58&gt;5,'쪽쟘(실측)'!T58+뒷날개치수더함,0)</f>
        <v>15</v>
      </c>
      <c r="Z58" s="4">
        <f>'쪽쟘(실측)'!U58</f>
        <v>10</v>
      </c>
      <c r="AA58" s="4">
        <f>'쪽쟘(실측)'!V58</f>
        <v>6</v>
      </c>
      <c r="AC58">
        <f t="shared" si="5"/>
        <v>944</v>
      </c>
      <c r="AD58">
        <f>U58+E58+MAX(S58,T58)-쪽쟘소재t*3+IF(S58=0,S58*쪽쟘소재t,0)-1.2</f>
        <v>122.2</v>
      </c>
      <c r="AE58">
        <f>MAX(K58,L58)+F58+V58-쪽쟘소재t*3+IF(K58=0,쪽쟘소재t)-IF(AA58=90,2.4,0)-1.2</f>
        <v>130.00000000000003</v>
      </c>
      <c r="AF58">
        <f t="shared" si="6"/>
        <v>2098</v>
      </c>
      <c r="AG58">
        <f>MAX(M58,N58)+F58+V58-쪽쟘소재t*3+IF(M58=0,쪽쟘소재t)-IF(AA58=90,2.4,0)-1.2</f>
        <v>129.00000000000003</v>
      </c>
      <c r="AH58">
        <f t="shared" si="7"/>
        <v>2098</v>
      </c>
    </row>
    <row r="59" spans="1:34" ht="19.5" customHeight="1" x14ac:dyDescent="0.3">
      <c r="A59" s="50" t="str">
        <f>'쪽쟘(실측)'!A59</f>
        <v>109   / 2</v>
      </c>
      <c r="B59" s="50" t="str">
        <f>'쪽쟘(실측)'!B59&amp;"F"</f>
        <v>12F</v>
      </c>
      <c r="C59" s="50" t="str">
        <f t="shared" si="2"/>
        <v>936*113.2</v>
      </c>
      <c r="D59" s="50">
        <f>'쪽쟘(실측)'!C59-쪽쟘OP차감</f>
        <v>898</v>
      </c>
      <c r="E59" s="50">
        <f>'쪽쟘(실측)'!D59+쪽쟘J늘림+MAX(W59:X59)</f>
        <v>85</v>
      </c>
      <c r="F59" s="50">
        <f>'쪽쟘(실측)'!E59+쪽쟘J늘림+MAX(W59:X59)</f>
        <v>83</v>
      </c>
      <c r="G59" s="67" t="str">
        <f t="shared" si="3"/>
        <v>2098*126</v>
      </c>
      <c r="H59" s="68" t="str">
        <f t="shared" si="4"/>
        <v>2098*124</v>
      </c>
      <c r="I59" s="50">
        <f>IF('쪽쟘(실측)'!F59&gt;0,'쪽쟘(실측)'!F59-3,0)+뒷날개치수더함</f>
        <v>20</v>
      </c>
      <c r="J59" s="50">
        <f>IF('쪽쟘(실측)'!H59&gt;0,'쪽쟘(실측)'!H59-3,0)+뒷날개치수더함</f>
        <v>18</v>
      </c>
      <c r="K59" s="50">
        <f>IF('쪽쟘(실측)'!F59&gt;0,'쪽쟘(실측)'!F59+0,0)+뒷날개치수더함-0.2</f>
        <v>22.8</v>
      </c>
      <c r="L59" s="50">
        <f>IF('쪽쟘(실측)'!G59&gt;0,'쪽쟘(실측)'!G59+0,0)+뒷날개치수더함-0.2</f>
        <v>22.8</v>
      </c>
      <c r="M59" s="50">
        <f>IF('쪽쟘(실측)'!H59&gt;0,'쪽쟘(실측)'!H59+0,0)+뒷날개치수더함-0.2</f>
        <v>20.8</v>
      </c>
      <c r="N59" s="50">
        <f>IF('쪽쟘(실측)'!I59&gt;0,'쪽쟘(실측)'!I59+0,0)+뒷날개치수더함-0.2</f>
        <v>20.8</v>
      </c>
      <c r="O59" s="50">
        <f>'쪽쟘(실측)'!J59-쪽쟘기둥차감</f>
        <v>2098</v>
      </c>
      <c r="P59" s="50">
        <f>'쪽쟘(실측)'!K59-쪽쟘기둥차감</f>
        <v>2098</v>
      </c>
      <c r="Q59" s="50">
        <f>'쪽쟘(실측)'!L59-쪽쟘기둥차감</f>
        <v>2098</v>
      </c>
      <c r="R59" s="50">
        <f>'쪽쟘(실측)'!M59-쪽쟘기둥차감</f>
        <v>2098</v>
      </c>
      <c r="S59" s="50">
        <f>'쪽쟘(실측)'!N59+뒷날개치수더함</f>
        <v>17</v>
      </c>
      <c r="T59" s="50">
        <f>'쪽쟘(실측)'!O59+뒷날개치수더함</f>
        <v>17</v>
      </c>
      <c r="U59" s="50">
        <f>'쪽쟘(실측)'!P59+뒷날개치수더함</f>
        <v>16</v>
      </c>
      <c r="V59" s="50">
        <f>'쪽쟘(실측)'!Q59+뒷날개치수더함</f>
        <v>25</v>
      </c>
      <c r="W59" s="50">
        <f>'쪽쟘(실측)'!R59-쪽쟘늘치차감</f>
        <v>0</v>
      </c>
      <c r="X59" s="50">
        <f>'쪽쟘(실측)'!S59-쪽쟘늘치차감</f>
        <v>0</v>
      </c>
      <c r="Y59" s="4">
        <f>IF('쪽쟘(실측)'!T59&gt;5,'쪽쟘(실측)'!T59+뒷날개치수더함,0)</f>
        <v>15</v>
      </c>
      <c r="Z59" s="4">
        <f>'쪽쟘(실측)'!U59</f>
        <v>10</v>
      </c>
      <c r="AA59" s="4">
        <f>'쪽쟘(실측)'!V59</f>
        <v>6</v>
      </c>
      <c r="AC59">
        <f t="shared" si="5"/>
        <v>936</v>
      </c>
      <c r="AD59">
        <f>U59+E59+MAX(S59,T59)-쪽쟘소재t*3+IF(S59=0,S59*쪽쟘소재t,0)-1.2</f>
        <v>113.2</v>
      </c>
      <c r="AE59">
        <f>MAX(K59,L59)+F59+V59-쪽쟘소재t*3+IF(K59=0,쪽쟘소재t)-IF(AA59=90,2.4,0)-1.2</f>
        <v>126.00000000000001</v>
      </c>
      <c r="AF59">
        <f t="shared" si="6"/>
        <v>2098</v>
      </c>
      <c r="AG59">
        <f>MAX(M59,N59)+F59+V59-쪽쟘소재t*3+IF(M59=0,쪽쟘소재t)-IF(AA59=90,2.4,0)-1.2</f>
        <v>124.00000000000001</v>
      </c>
      <c r="AH59">
        <f t="shared" si="7"/>
        <v>2098</v>
      </c>
    </row>
    <row r="60" spans="1:34" ht="19.5" customHeight="1" x14ac:dyDescent="0.3">
      <c r="A60" s="50" t="str">
        <f>'쪽쟘(실측)'!A60</f>
        <v>109   / 2</v>
      </c>
      <c r="B60" s="50" t="str">
        <f>'쪽쟘(실측)'!B60&amp;"F"</f>
        <v>11F</v>
      </c>
      <c r="C60" s="50" t="str">
        <f t="shared" si="2"/>
        <v>942*117.2</v>
      </c>
      <c r="D60" s="50">
        <f>'쪽쟘(실측)'!C60-쪽쟘OP차감</f>
        <v>897</v>
      </c>
      <c r="E60" s="50">
        <f>'쪽쟘(실측)'!D60+쪽쟘J늘림+MAX(W60:X60)</f>
        <v>85</v>
      </c>
      <c r="F60" s="50">
        <f>'쪽쟘(실측)'!E60+쪽쟘J늘림+MAX(W60:X60)</f>
        <v>83</v>
      </c>
      <c r="G60" s="67" t="str">
        <f t="shared" si="3"/>
        <v>2092*128</v>
      </c>
      <c r="H60" s="68" t="str">
        <f t="shared" si="4"/>
        <v>2092*129</v>
      </c>
      <c r="I60" s="50">
        <f>IF('쪽쟘(실측)'!F60&gt;0,'쪽쟘(실측)'!F60-3,0)+뒷날개치수더함</f>
        <v>22</v>
      </c>
      <c r="J60" s="50">
        <f>IF('쪽쟘(실측)'!H60&gt;0,'쪽쟘(실측)'!H60-3,0)+뒷날개치수더함</f>
        <v>23</v>
      </c>
      <c r="K60" s="50">
        <f>IF('쪽쟘(실측)'!F60&gt;0,'쪽쟘(실측)'!F60+0,0)+뒷날개치수더함-0.2</f>
        <v>24.8</v>
      </c>
      <c r="L60" s="50">
        <f>IF('쪽쟘(실측)'!G60&gt;0,'쪽쟘(실측)'!G60+0,0)+뒷날개치수더함-0.2</f>
        <v>24.8</v>
      </c>
      <c r="M60" s="50">
        <f>IF('쪽쟘(실측)'!H60&gt;0,'쪽쟘(실측)'!H60+0,0)+뒷날개치수더함-0.2</f>
        <v>25.8</v>
      </c>
      <c r="N60" s="50">
        <f>IF('쪽쟘(실측)'!I60&gt;0,'쪽쟘(실측)'!I60+0,0)+뒷날개치수더함-0.2</f>
        <v>25.8</v>
      </c>
      <c r="O60" s="50">
        <f>'쪽쟘(실측)'!J60-쪽쟘기둥차감</f>
        <v>2092</v>
      </c>
      <c r="P60" s="50">
        <f>'쪽쟘(실측)'!K60-쪽쟘기둥차감</f>
        <v>2092</v>
      </c>
      <c r="Q60" s="50">
        <f>'쪽쟘(실측)'!L60-쪽쟘기둥차감</f>
        <v>2092</v>
      </c>
      <c r="R60" s="50">
        <f>'쪽쟘(실측)'!M60-쪽쟘기둥차감</f>
        <v>2092</v>
      </c>
      <c r="S60" s="50">
        <f>'쪽쟘(실측)'!N60+뒷날개치수더함</f>
        <v>21</v>
      </c>
      <c r="T60" s="50">
        <f>'쪽쟘(실측)'!O60+뒷날개치수더함</f>
        <v>21</v>
      </c>
      <c r="U60" s="50">
        <f>'쪽쟘(실측)'!P60+뒷날개치수더함</f>
        <v>16</v>
      </c>
      <c r="V60" s="50">
        <f>'쪽쟘(실측)'!Q60+뒷날개치수더함</f>
        <v>25</v>
      </c>
      <c r="W60" s="50">
        <f>'쪽쟘(실측)'!R60-쪽쟘늘치차감</f>
        <v>0</v>
      </c>
      <c r="X60" s="50">
        <f>'쪽쟘(실측)'!S60-쪽쟘늘치차감</f>
        <v>0</v>
      </c>
      <c r="Y60" s="4">
        <f>IF('쪽쟘(실측)'!T60&gt;5,'쪽쟘(실측)'!T60+뒷날개치수더함,0)</f>
        <v>15</v>
      </c>
      <c r="Z60" s="4">
        <f>'쪽쟘(실측)'!U60</f>
        <v>10</v>
      </c>
      <c r="AA60" s="4">
        <f>'쪽쟘(실측)'!V60</f>
        <v>6</v>
      </c>
      <c r="AC60">
        <f t="shared" si="5"/>
        <v>942</v>
      </c>
      <c r="AD60">
        <f>U60+E60+MAX(S60,T60)-쪽쟘소재t*3+IF(S60=0,S60*쪽쟘소재t,0)-1.2</f>
        <v>117.2</v>
      </c>
      <c r="AE60">
        <f>MAX(K60,L60)+F60+V60-쪽쟘소재t*3+IF(K60=0,쪽쟘소재t)-IF(AA60=90,2.4,0)-1.2</f>
        <v>128.00000000000003</v>
      </c>
      <c r="AF60">
        <f t="shared" si="6"/>
        <v>2092</v>
      </c>
      <c r="AG60">
        <f>MAX(M60,N60)+F60+V60-쪽쟘소재t*3+IF(M60=0,쪽쟘소재t)-IF(AA60=90,2.4,0)-1.2</f>
        <v>129.00000000000003</v>
      </c>
      <c r="AH60">
        <f t="shared" si="7"/>
        <v>2092</v>
      </c>
    </row>
    <row r="61" spans="1:34" ht="19.5" customHeight="1" x14ac:dyDescent="0.3">
      <c r="A61" s="50" t="str">
        <f>'쪽쟘(실측)'!A61</f>
        <v>109   / 2</v>
      </c>
      <c r="B61" s="50" t="str">
        <f>'쪽쟘(실측)'!B61&amp;"F"</f>
        <v>10F</v>
      </c>
      <c r="C61" s="50" t="str">
        <f t="shared" si="2"/>
        <v>936*116.2</v>
      </c>
      <c r="D61" s="50">
        <f>'쪽쟘(실측)'!C61-쪽쟘OP차감</f>
        <v>897</v>
      </c>
      <c r="E61" s="50">
        <f>'쪽쟘(실측)'!D61+쪽쟘J늘림+MAX(W61:X61)</f>
        <v>85</v>
      </c>
      <c r="F61" s="50">
        <f>'쪽쟘(실측)'!E61+쪽쟘J늘림+MAX(W61:X61)</f>
        <v>83</v>
      </c>
      <c r="G61" s="67" t="str">
        <f t="shared" si="3"/>
        <v>2092*126</v>
      </c>
      <c r="H61" s="68" t="str">
        <f t="shared" si="4"/>
        <v>2098*125</v>
      </c>
      <c r="I61" s="50">
        <f>IF('쪽쟘(실측)'!F61&gt;0,'쪽쟘(실측)'!F61-3,0)+뒷날개치수더함</f>
        <v>20</v>
      </c>
      <c r="J61" s="50">
        <f>IF('쪽쟘(실측)'!H61&gt;0,'쪽쟘(실측)'!H61-3,0)+뒷날개치수더함</f>
        <v>19</v>
      </c>
      <c r="K61" s="50">
        <f>IF('쪽쟘(실측)'!F61&gt;0,'쪽쟘(실측)'!F61+0,0)+뒷날개치수더함-0.2</f>
        <v>22.8</v>
      </c>
      <c r="L61" s="50">
        <f>IF('쪽쟘(실측)'!G61&gt;0,'쪽쟘(실측)'!G61+0,0)+뒷날개치수더함-0.2</f>
        <v>22.8</v>
      </c>
      <c r="M61" s="50">
        <f>IF('쪽쟘(실측)'!H61&gt;0,'쪽쟘(실측)'!H61+0,0)+뒷날개치수더함-0.2</f>
        <v>21.8</v>
      </c>
      <c r="N61" s="50">
        <f>IF('쪽쟘(실측)'!I61&gt;0,'쪽쟘(실측)'!I61+0,0)+뒷날개치수더함-0.2</f>
        <v>21.8</v>
      </c>
      <c r="O61" s="50">
        <f>'쪽쟘(실측)'!J61-쪽쟘기둥차감</f>
        <v>2092</v>
      </c>
      <c r="P61" s="50">
        <f>'쪽쟘(실측)'!K61-쪽쟘기둥차감</f>
        <v>2092</v>
      </c>
      <c r="Q61" s="50">
        <f>'쪽쟘(실측)'!L61-쪽쟘기둥차감</f>
        <v>2098</v>
      </c>
      <c r="R61" s="50">
        <f>'쪽쟘(실측)'!M61-쪽쟘기둥차감</f>
        <v>2098</v>
      </c>
      <c r="S61" s="50">
        <f>'쪽쟘(실측)'!N61+뒷날개치수더함</f>
        <v>20</v>
      </c>
      <c r="T61" s="50">
        <f>'쪽쟘(실측)'!O61+뒷날개치수더함</f>
        <v>20</v>
      </c>
      <c r="U61" s="50">
        <f>'쪽쟘(실측)'!P61+뒷날개치수더함</f>
        <v>16</v>
      </c>
      <c r="V61" s="50">
        <f>'쪽쟘(실측)'!Q61+뒷날개치수더함</f>
        <v>25</v>
      </c>
      <c r="W61" s="50">
        <f>'쪽쟘(실측)'!R61-쪽쟘늘치차감</f>
        <v>0</v>
      </c>
      <c r="X61" s="50">
        <f>'쪽쟘(실측)'!S61-쪽쟘늘치차감</f>
        <v>0</v>
      </c>
      <c r="Y61" s="4">
        <f>IF('쪽쟘(실측)'!T61&gt;5,'쪽쟘(실측)'!T61+뒷날개치수더함,0)</f>
        <v>15</v>
      </c>
      <c r="Z61" s="4">
        <f>'쪽쟘(실측)'!U61</f>
        <v>10</v>
      </c>
      <c r="AA61" s="4">
        <f>'쪽쟘(실측)'!V61</f>
        <v>6</v>
      </c>
      <c r="AC61">
        <f t="shared" si="5"/>
        <v>936</v>
      </c>
      <c r="AD61">
        <f>U61+E61+MAX(S61,T61)-쪽쟘소재t*3+IF(S61=0,S61*쪽쟘소재t,0)-1.2</f>
        <v>116.2</v>
      </c>
      <c r="AE61">
        <f>MAX(K61,L61)+F61+V61-쪽쟘소재t*3+IF(K61=0,쪽쟘소재t)-IF(AA61=90,2.4,0)-1.2</f>
        <v>126.00000000000001</v>
      </c>
      <c r="AF61">
        <f t="shared" si="6"/>
        <v>2092</v>
      </c>
      <c r="AG61">
        <f>MAX(M61,N61)+F61+V61-쪽쟘소재t*3+IF(M61=0,쪽쟘소재t)-IF(AA61=90,2.4,0)-1.2</f>
        <v>125.00000000000001</v>
      </c>
      <c r="AH61">
        <f t="shared" si="7"/>
        <v>2098</v>
      </c>
    </row>
    <row r="62" spans="1:34" ht="19.5" customHeight="1" x14ac:dyDescent="0.3">
      <c r="A62" s="50" t="str">
        <f>'쪽쟘(실측)'!A62</f>
        <v>109   / 2</v>
      </c>
      <c r="B62" s="50" t="str">
        <f>'쪽쟘(실측)'!B62&amp;"F"</f>
        <v>9F</v>
      </c>
      <c r="C62" s="50" t="str">
        <f t="shared" si="2"/>
        <v>934*111.2</v>
      </c>
      <c r="D62" s="50">
        <f>'쪽쟘(실측)'!C62-쪽쟘OP차감</f>
        <v>897</v>
      </c>
      <c r="E62" s="50">
        <f>'쪽쟘(실측)'!D62+쪽쟘J늘림+MAX(W62:X62)</f>
        <v>85</v>
      </c>
      <c r="F62" s="50">
        <f>'쪽쟘(실측)'!E62+쪽쟘J늘림+MAX(W62:X62)</f>
        <v>83</v>
      </c>
      <c r="G62" s="67" t="str">
        <f t="shared" si="3"/>
        <v>2098*126</v>
      </c>
      <c r="H62" s="68" t="str">
        <f t="shared" si="4"/>
        <v>2092*123</v>
      </c>
      <c r="I62" s="50">
        <f>IF('쪽쟘(실측)'!F62&gt;0,'쪽쟘(실측)'!F62-3,0)+뒷날개치수더함</f>
        <v>20</v>
      </c>
      <c r="J62" s="50">
        <f>IF('쪽쟘(실측)'!H62&gt;0,'쪽쟘(실측)'!H62-3,0)+뒷날개치수더함</f>
        <v>17</v>
      </c>
      <c r="K62" s="50">
        <f>IF('쪽쟘(실측)'!F62&gt;0,'쪽쟘(실측)'!F62+0,0)+뒷날개치수더함-0.2</f>
        <v>22.8</v>
      </c>
      <c r="L62" s="50">
        <f>IF('쪽쟘(실측)'!G62&gt;0,'쪽쟘(실측)'!G62+0,0)+뒷날개치수더함-0.2</f>
        <v>22.8</v>
      </c>
      <c r="M62" s="50">
        <f>IF('쪽쟘(실측)'!H62&gt;0,'쪽쟘(실측)'!H62+0,0)+뒷날개치수더함-0.2</f>
        <v>19.8</v>
      </c>
      <c r="N62" s="50">
        <f>IF('쪽쟘(실측)'!I62&gt;0,'쪽쟘(실측)'!I62+0,0)+뒷날개치수더함-0.2</f>
        <v>19.8</v>
      </c>
      <c r="O62" s="50">
        <f>'쪽쟘(실측)'!J62-쪽쟘기둥차감</f>
        <v>2098</v>
      </c>
      <c r="P62" s="50">
        <f>'쪽쟘(실측)'!K62-쪽쟘기둥차감</f>
        <v>2098</v>
      </c>
      <c r="Q62" s="50">
        <f>'쪽쟘(실측)'!L62-쪽쟘기둥차감</f>
        <v>2092</v>
      </c>
      <c r="R62" s="50">
        <f>'쪽쟘(실측)'!M62-쪽쟘기둥차감</f>
        <v>2092</v>
      </c>
      <c r="S62" s="50">
        <f>'쪽쟘(실측)'!N62+뒷날개치수더함</f>
        <v>15</v>
      </c>
      <c r="T62" s="50">
        <f>'쪽쟘(실측)'!O62+뒷날개치수더함</f>
        <v>15</v>
      </c>
      <c r="U62" s="50">
        <f>'쪽쟘(실측)'!P62+뒷날개치수더함</f>
        <v>16</v>
      </c>
      <c r="V62" s="50">
        <f>'쪽쟘(실측)'!Q62+뒷날개치수더함</f>
        <v>25</v>
      </c>
      <c r="W62" s="50">
        <f>'쪽쟘(실측)'!R62-쪽쟘늘치차감</f>
        <v>0</v>
      </c>
      <c r="X62" s="50">
        <f>'쪽쟘(실측)'!S62-쪽쟘늘치차감</f>
        <v>0</v>
      </c>
      <c r="Y62" s="4">
        <f>IF('쪽쟘(실측)'!T62&gt;5,'쪽쟘(실측)'!T62+뒷날개치수더함,0)</f>
        <v>15</v>
      </c>
      <c r="Z62" s="4">
        <f>'쪽쟘(실측)'!U62</f>
        <v>10</v>
      </c>
      <c r="AA62" s="4">
        <f>'쪽쟘(실측)'!V62</f>
        <v>6</v>
      </c>
      <c r="AC62">
        <f t="shared" si="5"/>
        <v>934</v>
      </c>
      <c r="AD62">
        <f>U62+E62+MAX(S62,T62)-쪽쟘소재t*3+IF(S62=0,S62*쪽쟘소재t,0)-1.2</f>
        <v>111.2</v>
      </c>
      <c r="AE62">
        <f>MAX(K62,L62)+F62+V62-쪽쟘소재t*3+IF(K62=0,쪽쟘소재t)-IF(AA62=90,2.4,0)-1.2</f>
        <v>126.00000000000001</v>
      </c>
      <c r="AF62">
        <f t="shared" si="6"/>
        <v>2098</v>
      </c>
      <c r="AG62">
        <f>MAX(M62,N62)+F62+V62-쪽쟘소재t*3+IF(M62=0,쪽쟘소재t)-IF(AA62=90,2.4,0)-1.2</f>
        <v>123</v>
      </c>
      <c r="AH62">
        <f t="shared" si="7"/>
        <v>2092</v>
      </c>
    </row>
    <row r="63" spans="1:34" ht="19.5" customHeight="1" x14ac:dyDescent="0.3">
      <c r="A63" s="50" t="str">
        <f>'쪽쟘(실측)'!A63</f>
        <v>109   / 2</v>
      </c>
      <c r="B63" s="50" t="str">
        <f>'쪽쟘(실측)'!B63&amp;"F"</f>
        <v>8F</v>
      </c>
      <c r="C63" s="50" t="str">
        <f t="shared" si="2"/>
        <v>930*110.2</v>
      </c>
      <c r="D63" s="50">
        <f>'쪽쟘(실측)'!C63-쪽쟘OP차감</f>
        <v>897</v>
      </c>
      <c r="E63" s="50">
        <f>'쪽쟘(실측)'!D63+쪽쟘J늘림+MAX(W63:X63)</f>
        <v>85</v>
      </c>
      <c r="F63" s="50">
        <f>'쪽쟘(실측)'!E63+쪽쟘J늘림+MAX(W63:X63)</f>
        <v>83</v>
      </c>
      <c r="G63" s="67" t="str">
        <f t="shared" si="3"/>
        <v>2092*122</v>
      </c>
      <c r="H63" s="68" t="str">
        <f t="shared" si="4"/>
        <v>2098*123</v>
      </c>
      <c r="I63" s="50">
        <f>IF('쪽쟘(실측)'!F63&gt;0,'쪽쟘(실측)'!F63-3,0)+뒷날개치수더함</f>
        <v>16</v>
      </c>
      <c r="J63" s="50">
        <f>IF('쪽쟘(실측)'!H63&gt;0,'쪽쟘(실측)'!H63-3,0)+뒷날개치수더함</f>
        <v>17</v>
      </c>
      <c r="K63" s="50">
        <f>IF('쪽쟘(실측)'!F63&gt;0,'쪽쟘(실측)'!F63+0,0)+뒷날개치수더함-0.2</f>
        <v>18.8</v>
      </c>
      <c r="L63" s="50">
        <f>IF('쪽쟘(실측)'!G63&gt;0,'쪽쟘(실측)'!G63+0,0)+뒷날개치수더함-0.2</f>
        <v>18.8</v>
      </c>
      <c r="M63" s="50">
        <f>IF('쪽쟘(실측)'!H63&gt;0,'쪽쟘(실측)'!H63+0,0)+뒷날개치수더함-0.2</f>
        <v>19.8</v>
      </c>
      <c r="N63" s="50">
        <f>IF('쪽쟘(실측)'!I63&gt;0,'쪽쟘(실측)'!I63+0,0)+뒷날개치수더함-0.2</f>
        <v>19.8</v>
      </c>
      <c r="O63" s="50">
        <f>'쪽쟘(실측)'!J63-쪽쟘기둥차감</f>
        <v>2092</v>
      </c>
      <c r="P63" s="50">
        <f>'쪽쟘(실측)'!K63-쪽쟘기둥차감</f>
        <v>2092</v>
      </c>
      <c r="Q63" s="50">
        <f>'쪽쟘(실측)'!L63-쪽쟘기둥차감</f>
        <v>2098</v>
      </c>
      <c r="R63" s="50">
        <f>'쪽쟘(실측)'!M63-쪽쟘기둥차감</f>
        <v>2098</v>
      </c>
      <c r="S63" s="50">
        <f>'쪽쟘(실측)'!N63+뒷날개치수더함</f>
        <v>14</v>
      </c>
      <c r="T63" s="50">
        <f>'쪽쟘(실측)'!O63+뒷날개치수더함</f>
        <v>14</v>
      </c>
      <c r="U63" s="50">
        <f>'쪽쟘(실측)'!P63+뒷날개치수더함</f>
        <v>16</v>
      </c>
      <c r="V63" s="50">
        <f>'쪽쟘(실측)'!Q63+뒷날개치수더함</f>
        <v>25</v>
      </c>
      <c r="W63" s="50">
        <f>'쪽쟘(실측)'!R63-쪽쟘늘치차감</f>
        <v>0</v>
      </c>
      <c r="X63" s="50">
        <f>'쪽쟘(실측)'!S63-쪽쟘늘치차감</f>
        <v>0</v>
      </c>
      <c r="Y63" s="4">
        <f>IF('쪽쟘(실측)'!T63&gt;5,'쪽쟘(실측)'!T63+뒷날개치수더함,0)</f>
        <v>15</v>
      </c>
      <c r="Z63" s="4">
        <f>'쪽쟘(실측)'!U63</f>
        <v>10</v>
      </c>
      <c r="AA63" s="4">
        <f>'쪽쟘(실측)'!V63</f>
        <v>6</v>
      </c>
      <c r="AC63">
        <f t="shared" si="5"/>
        <v>930</v>
      </c>
      <c r="AD63">
        <f>U63+E63+MAX(S63,T63)-쪽쟘소재t*3+IF(S63=0,S63*쪽쟘소재t,0)-1.2</f>
        <v>110.2</v>
      </c>
      <c r="AE63">
        <f>MAX(K63,L63)+F63+V63-쪽쟘소재t*3+IF(K63=0,쪽쟘소재t)-IF(AA63=90,2.4,0)-1.2</f>
        <v>122</v>
      </c>
      <c r="AF63">
        <f t="shared" si="6"/>
        <v>2092</v>
      </c>
      <c r="AG63">
        <f>MAX(M63,N63)+F63+V63-쪽쟘소재t*3+IF(M63=0,쪽쟘소재t)-IF(AA63=90,2.4,0)-1.2</f>
        <v>123</v>
      </c>
      <c r="AH63">
        <f t="shared" si="7"/>
        <v>2098</v>
      </c>
    </row>
    <row r="64" spans="1:34" ht="19.5" customHeight="1" x14ac:dyDescent="0.3">
      <c r="A64" s="50" t="str">
        <f>'쪽쟘(실측)'!A64</f>
        <v>109   / 2</v>
      </c>
      <c r="B64" s="50" t="str">
        <f>'쪽쟘(실측)'!B64&amp;"F"</f>
        <v>7F</v>
      </c>
      <c r="C64" s="50" t="str">
        <f t="shared" si="2"/>
        <v>933*123.2</v>
      </c>
      <c r="D64" s="50">
        <f>'쪽쟘(실측)'!C64-쪽쟘OP차감</f>
        <v>897</v>
      </c>
      <c r="E64" s="50">
        <f>'쪽쟘(실측)'!D64+쪽쟘J늘림+MAX(W64:X64)</f>
        <v>85</v>
      </c>
      <c r="F64" s="50">
        <f>'쪽쟘(실측)'!E64+쪽쟘J늘림+MAX(W64:X64)</f>
        <v>83</v>
      </c>
      <c r="G64" s="67" t="str">
        <f t="shared" si="3"/>
        <v>2092*126</v>
      </c>
      <c r="H64" s="68" t="str">
        <f t="shared" si="4"/>
        <v>2092*122</v>
      </c>
      <c r="I64" s="50">
        <f>IF('쪽쟘(실측)'!F64&gt;0,'쪽쟘(실측)'!F64-3,0)+뒷날개치수더함</f>
        <v>20</v>
      </c>
      <c r="J64" s="50">
        <f>IF('쪽쟘(실측)'!H64&gt;0,'쪽쟘(실측)'!H64-3,0)+뒷날개치수더함</f>
        <v>16</v>
      </c>
      <c r="K64" s="50">
        <f>IF('쪽쟘(실측)'!F64&gt;0,'쪽쟘(실측)'!F64+0,0)+뒷날개치수더함-0.2</f>
        <v>22.8</v>
      </c>
      <c r="L64" s="50">
        <f>IF('쪽쟘(실측)'!G64&gt;0,'쪽쟘(실측)'!G64+0,0)+뒷날개치수더함-0.2</f>
        <v>22.8</v>
      </c>
      <c r="M64" s="50">
        <f>IF('쪽쟘(실측)'!H64&gt;0,'쪽쟘(실측)'!H64+0,0)+뒷날개치수더함-0.2</f>
        <v>18.8</v>
      </c>
      <c r="N64" s="50">
        <f>IF('쪽쟘(실측)'!I64&gt;0,'쪽쟘(실측)'!I64+0,0)+뒷날개치수더함-0.2</f>
        <v>18.8</v>
      </c>
      <c r="O64" s="50">
        <f>'쪽쟘(실측)'!J64-쪽쟘기둥차감</f>
        <v>2092</v>
      </c>
      <c r="P64" s="50">
        <f>'쪽쟘(실측)'!K64-쪽쟘기둥차감</f>
        <v>2092</v>
      </c>
      <c r="Q64" s="50">
        <f>'쪽쟘(실측)'!L64-쪽쟘기둥차감</f>
        <v>2092</v>
      </c>
      <c r="R64" s="50">
        <f>'쪽쟘(실측)'!M64-쪽쟘기둥차감</f>
        <v>2092</v>
      </c>
      <c r="S64" s="50">
        <f>'쪽쟘(실측)'!N64+뒷날개치수더함</f>
        <v>27</v>
      </c>
      <c r="T64" s="50">
        <f>'쪽쟘(실측)'!O64+뒷날개치수더함</f>
        <v>27</v>
      </c>
      <c r="U64" s="50">
        <f>'쪽쟘(실측)'!P64+뒷날개치수더함</f>
        <v>16</v>
      </c>
      <c r="V64" s="50">
        <f>'쪽쟘(실측)'!Q64+뒷날개치수더함</f>
        <v>25</v>
      </c>
      <c r="W64" s="50">
        <f>'쪽쟘(실측)'!R64-쪽쟘늘치차감</f>
        <v>0</v>
      </c>
      <c r="X64" s="50">
        <f>'쪽쟘(실측)'!S64-쪽쟘늘치차감</f>
        <v>0</v>
      </c>
      <c r="Y64" s="4">
        <f>IF('쪽쟘(실측)'!T64&gt;5,'쪽쟘(실측)'!T64+뒷날개치수더함,0)</f>
        <v>15</v>
      </c>
      <c r="Z64" s="4">
        <f>'쪽쟘(실측)'!U64</f>
        <v>10</v>
      </c>
      <c r="AA64" s="4">
        <f>'쪽쟘(실측)'!V64</f>
        <v>6</v>
      </c>
      <c r="AC64">
        <f t="shared" si="5"/>
        <v>933</v>
      </c>
      <c r="AD64">
        <f>U64+E64+MAX(S64,T64)-쪽쟘소재t*3+IF(S64=0,S64*쪽쟘소재t,0)-1.2</f>
        <v>123.2</v>
      </c>
      <c r="AE64">
        <f>MAX(K64,L64)+F64+V64-쪽쟘소재t*3+IF(K64=0,쪽쟘소재t)-IF(AA64=90,2.4,0)-1.2</f>
        <v>126.00000000000001</v>
      </c>
      <c r="AF64">
        <f t="shared" si="6"/>
        <v>2092</v>
      </c>
      <c r="AG64">
        <f>MAX(M64,N64)+F64+V64-쪽쟘소재t*3+IF(M64=0,쪽쟘소재t)-IF(AA64=90,2.4,0)-1.2</f>
        <v>122</v>
      </c>
      <c r="AH64">
        <f t="shared" si="7"/>
        <v>2092</v>
      </c>
    </row>
    <row r="65" spans="1:34" ht="19.5" customHeight="1" x14ac:dyDescent="0.3">
      <c r="A65" s="50" t="str">
        <f>'쪽쟘(실측)'!A65</f>
        <v>109   / 2</v>
      </c>
      <c r="B65" s="50" t="str">
        <f>'쪽쟘(실측)'!B65&amp;"F"</f>
        <v>6F</v>
      </c>
      <c r="C65" s="50" t="str">
        <f t="shared" si="2"/>
        <v>922*111.2</v>
      </c>
      <c r="D65" s="50">
        <f>'쪽쟘(실측)'!C65-쪽쟘OP차감</f>
        <v>898</v>
      </c>
      <c r="E65" s="50">
        <f>'쪽쟘(실측)'!D65+쪽쟘J늘림+MAX(W65:X65)</f>
        <v>85</v>
      </c>
      <c r="F65" s="50">
        <f>'쪽쟘(실측)'!E65+쪽쟘J늘림+MAX(W65:X65)</f>
        <v>83</v>
      </c>
      <c r="G65" s="67" t="str">
        <f t="shared" si="3"/>
        <v>2092*118</v>
      </c>
      <c r="H65" s="68" t="str">
        <f t="shared" si="4"/>
        <v>2092*118</v>
      </c>
      <c r="I65" s="50">
        <f>IF('쪽쟘(실측)'!F65&gt;0,'쪽쟘(실측)'!F65-3,0)+뒷날개치수더함</f>
        <v>12</v>
      </c>
      <c r="J65" s="50">
        <f>IF('쪽쟘(실측)'!H65&gt;0,'쪽쟘(실측)'!H65-3,0)+뒷날개치수더함</f>
        <v>12</v>
      </c>
      <c r="K65" s="50">
        <f>IF('쪽쟘(실측)'!F65&gt;0,'쪽쟘(실측)'!F65+0,0)+뒷날개치수더함-0.2</f>
        <v>14.8</v>
      </c>
      <c r="L65" s="50">
        <f>IF('쪽쟘(실측)'!G65&gt;0,'쪽쟘(실측)'!G65+0,0)+뒷날개치수더함-0.2</f>
        <v>14.8</v>
      </c>
      <c r="M65" s="50">
        <f>IF('쪽쟘(실측)'!H65&gt;0,'쪽쟘(실측)'!H65+0,0)+뒷날개치수더함-0.2</f>
        <v>14.8</v>
      </c>
      <c r="N65" s="50">
        <f>IF('쪽쟘(실측)'!I65&gt;0,'쪽쟘(실측)'!I65+0,0)+뒷날개치수더함-0.2</f>
        <v>14.8</v>
      </c>
      <c r="O65" s="50">
        <f>'쪽쟘(실측)'!J65-쪽쟘기둥차감</f>
        <v>2092</v>
      </c>
      <c r="P65" s="50">
        <f>'쪽쟘(실측)'!K65-쪽쟘기둥차감</f>
        <v>2092</v>
      </c>
      <c r="Q65" s="50">
        <f>'쪽쟘(실측)'!L65-쪽쟘기둥차감</f>
        <v>2092</v>
      </c>
      <c r="R65" s="50">
        <f>'쪽쟘(실측)'!M65-쪽쟘기둥차감</f>
        <v>2092</v>
      </c>
      <c r="S65" s="50">
        <f>'쪽쟘(실측)'!N65+뒷날개치수더함</f>
        <v>15</v>
      </c>
      <c r="T65" s="50">
        <f>'쪽쟘(실측)'!O65+뒷날개치수더함</f>
        <v>15</v>
      </c>
      <c r="U65" s="50">
        <f>'쪽쟘(실측)'!P65+뒷날개치수더함</f>
        <v>16</v>
      </c>
      <c r="V65" s="50">
        <f>'쪽쟘(실측)'!Q65+뒷날개치수더함</f>
        <v>25</v>
      </c>
      <c r="W65" s="50">
        <f>'쪽쟘(실측)'!R65-쪽쟘늘치차감</f>
        <v>0</v>
      </c>
      <c r="X65" s="50">
        <f>'쪽쟘(실측)'!S65-쪽쟘늘치차감</f>
        <v>0</v>
      </c>
      <c r="Y65" s="4">
        <f>IF('쪽쟘(실측)'!T65&gt;5,'쪽쟘(실측)'!T65+뒷날개치수더함,0)</f>
        <v>15</v>
      </c>
      <c r="Z65" s="4">
        <f>'쪽쟘(실측)'!U65</f>
        <v>10</v>
      </c>
      <c r="AA65" s="4">
        <f>'쪽쟘(실측)'!V65</f>
        <v>6</v>
      </c>
      <c r="AC65">
        <f t="shared" si="5"/>
        <v>922</v>
      </c>
      <c r="AD65">
        <f>U65+E65+MAX(S65,T65)-쪽쟘소재t*3+IF(S65=0,S65*쪽쟘소재t,0)-1.2</f>
        <v>111.2</v>
      </c>
      <c r="AE65">
        <f>MAX(K65,L65)+F65+V65-쪽쟘소재t*3+IF(K65=0,쪽쟘소재t)-IF(AA65=90,2.4,0)-1.2</f>
        <v>118</v>
      </c>
      <c r="AF65">
        <f t="shared" si="6"/>
        <v>2092</v>
      </c>
      <c r="AG65">
        <f>MAX(M65,N65)+F65+V65-쪽쟘소재t*3+IF(M65=0,쪽쟘소재t)-IF(AA65=90,2.4,0)-1.2</f>
        <v>118</v>
      </c>
      <c r="AH65">
        <f t="shared" si="7"/>
        <v>2092</v>
      </c>
    </row>
    <row r="66" spans="1:34" ht="19.5" customHeight="1" x14ac:dyDescent="0.3">
      <c r="A66" s="50" t="str">
        <f>'쪽쟘(실측)'!A66</f>
        <v>109   / 2</v>
      </c>
      <c r="B66" s="50" t="str">
        <f>'쪽쟘(실측)'!B66&amp;"F"</f>
        <v>5F</v>
      </c>
      <c r="C66" s="50" t="str">
        <f t="shared" si="2"/>
        <v>917*112.2</v>
      </c>
      <c r="D66" s="50">
        <f>'쪽쟘(실측)'!C66-쪽쟘OP차감</f>
        <v>897</v>
      </c>
      <c r="E66" s="50">
        <f>'쪽쟘(실측)'!D66+쪽쟘J늘림+MAX(W66:X66)</f>
        <v>85</v>
      </c>
      <c r="F66" s="50">
        <f>'쪽쟘(실측)'!E66+쪽쟘J늘림+MAX(W66:X66)</f>
        <v>83</v>
      </c>
      <c r="G66" s="67" t="str">
        <f t="shared" si="3"/>
        <v>2092*116</v>
      </c>
      <c r="H66" s="68" t="str">
        <f t="shared" si="4"/>
        <v>2092*116</v>
      </c>
      <c r="I66" s="50">
        <f>IF('쪽쟘(실측)'!F66&gt;0,'쪽쟘(실측)'!F66-3,0)+뒷날개치수더함</f>
        <v>10</v>
      </c>
      <c r="J66" s="50">
        <f>IF('쪽쟘(실측)'!H66&gt;0,'쪽쟘(실측)'!H66-3,0)+뒷날개치수더함</f>
        <v>10</v>
      </c>
      <c r="K66" s="50">
        <f>IF('쪽쟘(실측)'!F66&gt;0,'쪽쟘(실측)'!F66+0,0)+뒷날개치수더함-0.2</f>
        <v>12.8</v>
      </c>
      <c r="L66" s="50">
        <f>IF('쪽쟘(실측)'!G66&gt;0,'쪽쟘(실측)'!G66+0,0)+뒷날개치수더함-0.2</f>
        <v>12.8</v>
      </c>
      <c r="M66" s="50">
        <f>IF('쪽쟘(실측)'!H66&gt;0,'쪽쟘(실측)'!H66+0,0)+뒷날개치수더함-0.2</f>
        <v>12.8</v>
      </c>
      <c r="N66" s="50">
        <f>IF('쪽쟘(실측)'!I66&gt;0,'쪽쟘(실측)'!I66+0,0)+뒷날개치수더함-0.2</f>
        <v>12.8</v>
      </c>
      <c r="O66" s="50">
        <f>'쪽쟘(실측)'!J66-쪽쟘기둥차감</f>
        <v>2092</v>
      </c>
      <c r="P66" s="50">
        <f>'쪽쟘(실측)'!K66-쪽쟘기둥차감</f>
        <v>2092</v>
      </c>
      <c r="Q66" s="50">
        <f>'쪽쟘(실측)'!L66-쪽쟘기둥차감</f>
        <v>2092</v>
      </c>
      <c r="R66" s="50">
        <f>'쪽쟘(실측)'!M66-쪽쟘기둥차감</f>
        <v>2092</v>
      </c>
      <c r="S66" s="50">
        <f>'쪽쟘(실측)'!N66+뒷날개치수더함</f>
        <v>16</v>
      </c>
      <c r="T66" s="50">
        <f>'쪽쟘(실측)'!O66+뒷날개치수더함</f>
        <v>16</v>
      </c>
      <c r="U66" s="50">
        <f>'쪽쟘(실측)'!P66+뒷날개치수더함</f>
        <v>16</v>
      </c>
      <c r="V66" s="50">
        <f>'쪽쟘(실측)'!Q66+뒷날개치수더함</f>
        <v>25</v>
      </c>
      <c r="W66" s="50">
        <f>'쪽쟘(실측)'!R66-쪽쟘늘치차감</f>
        <v>0</v>
      </c>
      <c r="X66" s="50">
        <f>'쪽쟘(실측)'!S66-쪽쟘늘치차감</f>
        <v>0</v>
      </c>
      <c r="Y66" s="4">
        <f>IF('쪽쟘(실측)'!T66&gt;5,'쪽쟘(실측)'!T66+뒷날개치수더함,0)</f>
        <v>15</v>
      </c>
      <c r="Z66" s="4">
        <f>'쪽쟘(실측)'!U66</f>
        <v>10</v>
      </c>
      <c r="AA66" s="4">
        <f>'쪽쟘(실측)'!V66</f>
        <v>6</v>
      </c>
      <c r="AC66">
        <f t="shared" si="5"/>
        <v>917</v>
      </c>
      <c r="AD66">
        <f>U66+E66+MAX(S66,T66)-쪽쟘소재t*3+IF(S66=0,S66*쪽쟘소재t,0)-1.2</f>
        <v>112.2</v>
      </c>
      <c r="AE66">
        <f>MAX(K66,L66)+F66+V66-쪽쟘소재t*3+IF(K66=0,쪽쟘소재t)-IF(AA66=90,2.4,0)-1.2</f>
        <v>116</v>
      </c>
      <c r="AF66">
        <f t="shared" si="6"/>
        <v>2092</v>
      </c>
      <c r="AG66">
        <f>MAX(M66,N66)+F66+V66-쪽쟘소재t*3+IF(M66=0,쪽쟘소재t)-IF(AA66=90,2.4,0)-1.2</f>
        <v>116</v>
      </c>
      <c r="AH66">
        <f t="shared" si="7"/>
        <v>2092</v>
      </c>
    </row>
    <row r="67" spans="1:34" ht="19.5" customHeight="1" x14ac:dyDescent="0.3">
      <c r="A67" s="50" t="str">
        <f>'쪽쟘(실측)'!A67</f>
        <v>109   / 2</v>
      </c>
      <c r="B67" s="50" t="str">
        <f>'쪽쟘(실측)'!B67&amp;"F"</f>
        <v>4F</v>
      </c>
      <c r="C67" s="50" t="str">
        <f t="shared" si="2"/>
        <v>923*107.2</v>
      </c>
      <c r="D67" s="50">
        <f>'쪽쟘(실측)'!C67-쪽쟘OP차감</f>
        <v>897</v>
      </c>
      <c r="E67" s="50">
        <f>'쪽쟘(실측)'!D67+쪽쟘J늘림+MAX(W67:X67)</f>
        <v>85</v>
      </c>
      <c r="F67" s="50">
        <f>'쪽쟘(실측)'!E67+쪽쟘J늘림+MAX(W67:X67)</f>
        <v>83</v>
      </c>
      <c r="G67" s="67" t="str">
        <f t="shared" si="3"/>
        <v>2098*119</v>
      </c>
      <c r="H67" s="68" t="str">
        <f t="shared" si="4"/>
        <v>2098*119</v>
      </c>
      <c r="I67" s="50">
        <f>IF('쪽쟘(실측)'!F67&gt;0,'쪽쟘(실측)'!F67-3,0)+뒷날개치수더함</f>
        <v>13</v>
      </c>
      <c r="J67" s="50">
        <f>IF('쪽쟘(실측)'!H67&gt;0,'쪽쟘(실측)'!H67-3,0)+뒷날개치수더함</f>
        <v>13</v>
      </c>
      <c r="K67" s="50">
        <f>IF('쪽쟘(실측)'!F67&gt;0,'쪽쟘(실측)'!F67+0,0)+뒷날개치수더함-0.2</f>
        <v>15.8</v>
      </c>
      <c r="L67" s="50">
        <f>IF('쪽쟘(실측)'!G67&gt;0,'쪽쟘(실측)'!G67+0,0)+뒷날개치수더함-0.2</f>
        <v>15.8</v>
      </c>
      <c r="M67" s="50">
        <f>IF('쪽쟘(실측)'!H67&gt;0,'쪽쟘(실측)'!H67+0,0)+뒷날개치수더함-0.2</f>
        <v>15.8</v>
      </c>
      <c r="N67" s="50">
        <f>IF('쪽쟘(실측)'!I67&gt;0,'쪽쟘(실측)'!I67+0,0)+뒷날개치수더함-0.2</f>
        <v>15.8</v>
      </c>
      <c r="O67" s="50">
        <f>'쪽쟘(실측)'!J67-쪽쟘기둥차감</f>
        <v>2098</v>
      </c>
      <c r="P67" s="50">
        <f>'쪽쟘(실측)'!K67-쪽쟘기둥차감</f>
        <v>2098</v>
      </c>
      <c r="Q67" s="50">
        <f>'쪽쟘(실측)'!L67-쪽쟘기둥차감</f>
        <v>2098</v>
      </c>
      <c r="R67" s="50">
        <f>'쪽쟘(실측)'!M67-쪽쟘기둥차감</f>
        <v>2098</v>
      </c>
      <c r="S67" s="50">
        <f>'쪽쟘(실측)'!N67+뒷날개치수더함</f>
        <v>11</v>
      </c>
      <c r="T67" s="50">
        <f>'쪽쟘(실측)'!O67+뒷날개치수더함</f>
        <v>11</v>
      </c>
      <c r="U67" s="50">
        <f>'쪽쟘(실측)'!P67+뒷날개치수더함</f>
        <v>16</v>
      </c>
      <c r="V67" s="50">
        <f>'쪽쟘(실측)'!Q67+뒷날개치수더함</f>
        <v>25</v>
      </c>
      <c r="W67" s="50">
        <f>'쪽쟘(실측)'!R67-쪽쟘늘치차감</f>
        <v>0</v>
      </c>
      <c r="X67" s="50">
        <f>'쪽쟘(실측)'!S67-쪽쟘늘치차감</f>
        <v>0</v>
      </c>
      <c r="Y67" s="4">
        <f>IF('쪽쟘(실측)'!T67&gt;5,'쪽쟘(실측)'!T67+뒷날개치수더함,0)</f>
        <v>15</v>
      </c>
      <c r="Z67" s="4">
        <f>'쪽쟘(실측)'!U67</f>
        <v>10</v>
      </c>
      <c r="AA67" s="4">
        <f>'쪽쟘(실측)'!V67</f>
        <v>6</v>
      </c>
      <c r="AC67">
        <f t="shared" si="5"/>
        <v>923</v>
      </c>
      <c r="AD67">
        <f>U67+E67+MAX(S67,T67)-쪽쟘소재t*3+IF(S67=0,S67*쪽쟘소재t,0)-1.2</f>
        <v>107.2</v>
      </c>
      <c r="AE67">
        <f>MAX(K67,L67)+F67+V67-쪽쟘소재t*3+IF(K67=0,쪽쟘소재t)-IF(AA67=90,2.4,0)-1.2</f>
        <v>119</v>
      </c>
      <c r="AF67">
        <f t="shared" si="6"/>
        <v>2098</v>
      </c>
      <c r="AG67">
        <f>MAX(M67,N67)+F67+V67-쪽쟘소재t*3+IF(M67=0,쪽쟘소재t)-IF(AA67=90,2.4,0)-1.2</f>
        <v>119</v>
      </c>
      <c r="AH67">
        <f t="shared" si="7"/>
        <v>2098</v>
      </c>
    </row>
    <row r="68" spans="1:34" ht="19.5" customHeight="1" x14ac:dyDescent="0.3">
      <c r="A68" s="50" t="str">
        <f>'쪽쟘(실측)'!A68</f>
        <v>109   / 2</v>
      </c>
      <c r="B68" s="50" t="str">
        <f>'쪽쟘(실측)'!B68&amp;"F"</f>
        <v>3F</v>
      </c>
      <c r="C68" s="50" t="str">
        <f t="shared" si="2"/>
        <v>925*114.2</v>
      </c>
      <c r="D68" s="50">
        <f>'쪽쟘(실측)'!C68-쪽쟘OP차감</f>
        <v>898</v>
      </c>
      <c r="E68" s="50">
        <f>'쪽쟘(실측)'!D68+쪽쟘J늘림+MAX(W68:X68)</f>
        <v>85</v>
      </c>
      <c r="F68" s="50">
        <f>'쪽쟘(실측)'!E68+쪽쟘J늘림+MAX(W68:X68)</f>
        <v>83</v>
      </c>
      <c r="G68" s="67" t="str">
        <f t="shared" si="3"/>
        <v>2098*120</v>
      </c>
      <c r="H68" s="68" t="str">
        <f t="shared" si="4"/>
        <v>2092*119</v>
      </c>
      <c r="I68" s="50">
        <f>IF('쪽쟘(실측)'!F68&gt;0,'쪽쟘(실측)'!F68-3,0)+뒷날개치수더함</f>
        <v>14</v>
      </c>
      <c r="J68" s="50">
        <f>IF('쪽쟘(실측)'!H68&gt;0,'쪽쟘(실측)'!H68-3,0)+뒷날개치수더함</f>
        <v>13</v>
      </c>
      <c r="K68" s="50">
        <f>IF('쪽쟘(실측)'!F68&gt;0,'쪽쟘(실측)'!F68+0,0)+뒷날개치수더함-0.2</f>
        <v>16.8</v>
      </c>
      <c r="L68" s="50">
        <f>IF('쪽쟘(실측)'!G68&gt;0,'쪽쟘(실측)'!G68+0,0)+뒷날개치수더함-0.2</f>
        <v>16.8</v>
      </c>
      <c r="M68" s="50">
        <f>IF('쪽쟘(실측)'!H68&gt;0,'쪽쟘(실측)'!H68+0,0)+뒷날개치수더함-0.2</f>
        <v>15.8</v>
      </c>
      <c r="N68" s="50">
        <f>IF('쪽쟘(실측)'!I68&gt;0,'쪽쟘(실측)'!I68+0,0)+뒷날개치수더함-0.2</f>
        <v>15.8</v>
      </c>
      <c r="O68" s="50">
        <f>'쪽쟘(실측)'!J68-쪽쟘기둥차감</f>
        <v>2098</v>
      </c>
      <c r="P68" s="50">
        <f>'쪽쟘(실측)'!K68-쪽쟘기둥차감</f>
        <v>2098</v>
      </c>
      <c r="Q68" s="50">
        <f>'쪽쟘(실측)'!L68-쪽쟘기둥차감</f>
        <v>2092</v>
      </c>
      <c r="R68" s="50">
        <f>'쪽쟘(실측)'!M68-쪽쟘기둥차감</f>
        <v>2092</v>
      </c>
      <c r="S68" s="50">
        <f>'쪽쟘(실측)'!N68+뒷날개치수더함</f>
        <v>18</v>
      </c>
      <c r="T68" s="50">
        <f>'쪽쟘(실측)'!O68+뒷날개치수더함</f>
        <v>18</v>
      </c>
      <c r="U68" s="50">
        <f>'쪽쟘(실측)'!P68+뒷날개치수더함</f>
        <v>16</v>
      </c>
      <c r="V68" s="50">
        <f>'쪽쟘(실측)'!Q68+뒷날개치수더함</f>
        <v>25</v>
      </c>
      <c r="W68" s="50">
        <f>'쪽쟘(실측)'!R68-쪽쟘늘치차감</f>
        <v>0</v>
      </c>
      <c r="X68" s="50">
        <f>'쪽쟘(실측)'!S68-쪽쟘늘치차감</f>
        <v>0</v>
      </c>
      <c r="Y68" s="4">
        <f>IF('쪽쟘(실측)'!T68&gt;5,'쪽쟘(실측)'!T68+뒷날개치수더함,0)</f>
        <v>15</v>
      </c>
      <c r="Z68" s="4">
        <f>'쪽쟘(실측)'!U68</f>
        <v>10</v>
      </c>
      <c r="AA68" s="4">
        <f>'쪽쟘(실측)'!V68</f>
        <v>6</v>
      </c>
      <c r="AC68">
        <f t="shared" si="5"/>
        <v>925</v>
      </c>
      <c r="AD68">
        <f>U68+E68+MAX(S68,T68)-쪽쟘소재t*3+IF(S68=0,S68*쪽쟘소재t,0)-1.2</f>
        <v>114.2</v>
      </c>
      <c r="AE68">
        <f>MAX(K68,L68)+F68+V68-쪽쟘소재t*3+IF(K68=0,쪽쟘소재t)-IF(AA68=90,2.4,0)-1.2</f>
        <v>120</v>
      </c>
      <c r="AF68">
        <f t="shared" si="6"/>
        <v>2098</v>
      </c>
      <c r="AG68">
        <f>MAX(M68,N68)+F68+V68-쪽쟘소재t*3+IF(M68=0,쪽쟘소재t)-IF(AA68=90,2.4,0)-1.2</f>
        <v>119</v>
      </c>
      <c r="AH68">
        <f t="shared" si="7"/>
        <v>2092</v>
      </c>
    </row>
    <row r="69" spans="1:34" ht="19.5" customHeight="1" x14ac:dyDescent="0.3">
      <c r="A69" s="50" t="str">
        <f>'쪽쟘(실측)'!A69</f>
        <v>109   / 2</v>
      </c>
      <c r="B69" s="50" t="str">
        <f>'쪽쟘(실측)'!B69&amp;"F"</f>
        <v>2F</v>
      </c>
      <c r="C69" s="50" t="str">
        <f t="shared" si="2"/>
        <v>916*108.2</v>
      </c>
      <c r="D69" s="50">
        <f>'쪽쟘(실측)'!C69-쪽쟘OP차감</f>
        <v>897</v>
      </c>
      <c r="E69" s="50">
        <f>'쪽쟘(실측)'!D69+쪽쟘J늘림+MAX(W69:X69)</f>
        <v>85</v>
      </c>
      <c r="F69" s="50">
        <f>'쪽쟘(실측)'!E69+쪽쟘J늘림+MAX(W69:X69)</f>
        <v>83</v>
      </c>
      <c r="G69" s="67" t="str">
        <f t="shared" si="3"/>
        <v>2092*116</v>
      </c>
      <c r="H69" s="68" t="str">
        <f t="shared" si="4"/>
        <v>2092*115</v>
      </c>
      <c r="I69" s="50">
        <f>IF('쪽쟘(실측)'!F69&gt;0,'쪽쟘(실측)'!F69-3,0)+뒷날개치수더함</f>
        <v>10</v>
      </c>
      <c r="J69" s="50">
        <f>IF('쪽쟘(실측)'!H69&gt;0,'쪽쟘(실측)'!H69-3,0)+뒷날개치수더함</f>
        <v>9</v>
      </c>
      <c r="K69" s="50">
        <f>IF('쪽쟘(실측)'!F69&gt;0,'쪽쟘(실측)'!F69+0,0)+뒷날개치수더함-0.2</f>
        <v>12.8</v>
      </c>
      <c r="L69" s="50">
        <f>IF('쪽쟘(실측)'!G69&gt;0,'쪽쟘(실측)'!G69+0,0)+뒷날개치수더함-0.2</f>
        <v>12.8</v>
      </c>
      <c r="M69" s="50">
        <f>IF('쪽쟘(실측)'!H69&gt;0,'쪽쟘(실측)'!H69+0,0)+뒷날개치수더함-0.2</f>
        <v>11.8</v>
      </c>
      <c r="N69" s="50">
        <f>IF('쪽쟘(실측)'!I69&gt;0,'쪽쟘(실측)'!I69+0,0)+뒷날개치수더함-0.2</f>
        <v>11.8</v>
      </c>
      <c r="O69" s="50">
        <f>'쪽쟘(실측)'!J69-쪽쟘기둥차감</f>
        <v>2092</v>
      </c>
      <c r="P69" s="50">
        <f>'쪽쟘(실측)'!K69-쪽쟘기둥차감</f>
        <v>2092</v>
      </c>
      <c r="Q69" s="50">
        <f>'쪽쟘(실측)'!L69-쪽쟘기둥차감</f>
        <v>2092</v>
      </c>
      <c r="R69" s="50">
        <f>'쪽쟘(실측)'!M69-쪽쟘기둥차감</f>
        <v>2092</v>
      </c>
      <c r="S69" s="50">
        <f>'쪽쟘(실측)'!N69+뒷날개치수더함</f>
        <v>12</v>
      </c>
      <c r="T69" s="50">
        <f>'쪽쟘(실측)'!O69+뒷날개치수더함</f>
        <v>12</v>
      </c>
      <c r="U69" s="50">
        <f>'쪽쟘(실측)'!P69+뒷날개치수더함</f>
        <v>16</v>
      </c>
      <c r="V69" s="50">
        <f>'쪽쟘(실측)'!Q69+뒷날개치수더함</f>
        <v>25</v>
      </c>
      <c r="W69" s="50">
        <f>'쪽쟘(실측)'!R69-쪽쟘늘치차감</f>
        <v>0</v>
      </c>
      <c r="X69" s="50">
        <f>'쪽쟘(실측)'!S69-쪽쟘늘치차감</f>
        <v>0</v>
      </c>
      <c r="Y69" s="4">
        <f>IF('쪽쟘(실측)'!T69&gt;5,'쪽쟘(실측)'!T69+뒷날개치수더함,0)</f>
        <v>15</v>
      </c>
      <c r="Z69" s="4">
        <f>'쪽쟘(실측)'!U69</f>
        <v>10</v>
      </c>
      <c r="AA69" s="4">
        <f>'쪽쟘(실측)'!V69</f>
        <v>6</v>
      </c>
      <c r="AC69">
        <f t="shared" si="5"/>
        <v>916</v>
      </c>
      <c r="AD69">
        <f>U69+E69+MAX(S69,T69)-쪽쟘소재t*3+IF(S69=0,S69*쪽쟘소재t,0)-1.2</f>
        <v>108.2</v>
      </c>
      <c r="AE69">
        <f>MAX(K69,L69)+F69+V69-쪽쟘소재t*3+IF(K69=0,쪽쟘소재t)-IF(AA69=90,2.4,0)-1.2</f>
        <v>116</v>
      </c>
      <c r="AF69">
        <f t="shared" si="6"/>
        <v>2092</v>
      </c>
      <c r="AG69">
        <f>MAX(M69,N69)+F69+V69-쪽쟘소재t*3+IF(M69=0,쪽쟘소재t)-IF(AA69=90,2.4,0)-1.2</f>
        <v>115</v>
      </c>
      <c r="AH69">
        <f t="shared" si="7"/>
        <v>2092</v>
      </c>
    </row>
    <row r="70" spans="1:34" ht="19.5" customHeight="1" x14ac:dyDescent="0.3">
      <c r="A70" s="50" t="str">
        <f>'쪽쟘(실측)'!A70</f>
        <v>110   / 2</v>
      </c>
      <c r="B70" s="50" t="str">
        <f>'쪽쟘(실측)'!B70&amp;"F"</f>
        <v>21F</v>
      </c>
      <c r="C70" s="50" t="str">
        <f t="shared" si="2"/>
        <v>938*122.2</v>
      </c>
      <c r="D70" s="50">
        <f>'쪽쟘(실측)'!C70-쪽쟘OP차감</f>
        <v>898</v>
      </c>
      <c r="E70" s="50">
        <f>'쪽쟘(실측)'!D70+쪽쟘J늘림+MAX(W70:X70)</f>
        <v>85</v>
      </c>
      <c r="F70" s="50">
        <f>'쪽쟘(실측)'!E70+쪽쟘J늘림+MAX(W70:X70)</f>
        <v>83</v>
      </c>
      <c r="G70" s="67" t="str">
        <f t="shared" si="3"/>
        <v>2092*126</v>
      </c>
      <c r="H70" s="68" t="str">
        <f t="shared" si="4"/>
        <v>2092*126</v>
      </c>
      <c r="I70" s="50">
        <f>IF('쪽쟘(실측)'!F70&gt;0,'쪽쟘(실측)'!F70-3,0)+뒷날개치수더함</f>
        <v>20</v>
      </c>
      <c r="J70" s="50">
        <f>IF('쪽쟘(실측)'!H70&gt;0,'쪽쟘(실측)'!H70-3,0)+뒷날개치수더함</f>
        <v>20</v>
      </c>
      <c r="K70" s="50">
        <f>IF('쪽쟘(실측)'!F70&gt;0,'쪽쟘(실측)'!F70+0,0)+뒷날개치수더함-0.2</f>
        <v>22.8</v>
      </c>
      <c r="L70" s="50">
        <f>IF('쪽쟘(실측)'!G70&gt;0,'쪽쟘(실측)'!G70+0,0)+뒷날개치수더함-0.2</f>
        <v>22.8</v>
      </c>
      <c r="M70" s="50">
        <f>IF('쪽쟘(실측)'!H70&gt;0,'쪽쟘(실측)'!H70+0,0)+뒷날개치수더함-0.2</f>
        <v>22.8</v>
      </c>
      <c r="N70" s="50">
        <f>IF('쪽쟘(실측)'!I70&gt;0,'쪽쟘(실측)'!I70+0,0)+뒷날개치수더함-0.2</f>
        <v>22.8</v>
      </c>
      <c r="O70" s="50">
        <f>'쪽쟘(실측)'!J70-쪽쟘기둥차감</f>
        <v>2092</v>
      </c>
      <c r="P70" s="50">
        <f>'쪽쟘(실측)'!K70-쪽쟘기둥차감</f>
        <v>2092</v>
      </c>
      <c r="Q70" s="50">
        <f>'쪽쟘(실측)'!L70-쪽쟘기둥차감</f>
        <v>2092</v>
      </c>
      <c r="R70" s="50">
        <f>'쪽쟘(실측)'!M70-쪽쟘기둥차감</f>
        <v>2092</v>
      </c>
      <c r="S70" s="50">
        <f>'쪽쟘(실측)'!N70+뒷날개치수더함</f>
        <v>26</v>
      </c>
      <c r="T70" s="50">
        <f>'쪽쟘(실측)'!O70+뒷날개치수더함</f>
        <v>26</v>
      </c>
      <c r="U70" s="50">
        <f>'쪽쟘(실측)'!P70+뒷날개치수더함</f>
        <v>16</v>
      </c>
      <c r="V70" s="50">
        <f>'쪽쟘(실측)'!Q70+뒷날개치수더함</f>
        <v>25</v>
      </c>
      <c r="W70" s="50">
        <f>'쪽쟘(실측)'!R70-쪽쟘늘치차감</f>
        <v>0</v>
      </c>
      <c r="X70" s="50">
        <f>'쪽쟘(실측)'!S70-쪽쟘늘치차감</f>
        <v>0</v>
      </c>
      <c r="Y70" s="4">
        <f>IF('쪽쟘(실측)'!T70&gt;5,'쪽쟘(실측)'!T70+뒷날개치수더함,0)</f>
        <v>15</v>
      </c>
      <c r="Z70" s="4">
        <f>'쪽쟘(실측)'!U70</f>
        <v>10</v>
      </c>
      <c r="AA70" s="4">
        <f>'쪽쟘(실측)'!V70</f>
        <v>6</v>
      </c>
      <c r="AC70">
        <f t="shared" si="5"/>
        <v>938</v>
      </c>
      <c r="AD70">
        <f>U70+E70+MAX(S70,T70)-쪽쟘소재t*3+IF(S70=0,S70*쪽쟘소재t,0)-1.2</f>
        <v>122.2</v>
      </c>
      <c r="AE70">
        <f>MAX(K70,L70)+F70+V70-쪽쟘소재t*3+IF(K70=0,쪽쟘소재t)-IF(AA70=90,2.4,0)-1.2</f>
        <v>126.00000000000001</v>
      </c>
      <c r="AF70">
        <f t="shared" si="6"/>
        <v>2092</v>
      </c>
      <c r="AG70">
        <f>MAX(M70,N70)+F70+V70-쪽쟘소재t*3+IF(M70=0,쪽쟘소재t)-IF(AA70=90,2.4,0)-1.2</f>
        <v>126.00000000000001</v>
      </c>
      <c r="AH70">
        <f t="shared" si="7"/>
        <v>2092</v>
      </c>
    </row>
    <row r="71" spans="1:34" ht="19.5" customHeight="1" x14ac:dyDescent="0.3">
      <c r="A71" s="50" t="str">
        <f>'쪽쟘(실측)'!A71</f>
        <v>110   / 2</v>
      </c>
      <c r="B71" s="50" t="str">
        <f>'쪽쟘(실측)'!B71&amp;"F"</f>
        <v>20F</v>
      </c>
      <c r="C71" s="50" t="str">
        <f t="shared" si="2"/>
        <v>933*118.2</v>
      </c>
      <c r="D71" s="50">
        <f>'쪽쟘(실측)'!C71-쪽쟘OP차감</f>
        <v>897</v>
      </c>
      <c r="E71" s="50">
        <f>'쪽쟘(실측)'!D71+쪽쟘J늘림+MAX(W71:X71)</f>
        <v>85</v>
      </c>
      <c r="F71" s="50">
        <f>'쪽쟘(실측)'!E71+쪽쟘J늘림+MAX(W71:X71)</f>
        <v>83</v>
      </c>
      <c r="G71" s="67" t="str">
        <f t="shared" si="3"/>
        <v>2092*124</v>
      </c>
      <c r="H71" s="68" t="str">
        <f t="shared" si="4"/>
        <v>2092*124</v>
      </c>
      <c r="I71" s="50">
        <f>IF('쪽쟘(실측)'!F71&gt;0,'쪽쟘(실측)'!F71-3,0)+뒷날개치수더함</f>
        <v>18</v>
      </c>
      <c r="J71" s="50">
        <f>IF('쪽쟘(실측)'!H71&gt;0,'쪽쟘(실측)'!H71-3,0)+뒷날개치수더함</f>
        <v>18</v>
      </c>
      <c r="K71" s="50">
        <f>IF('쪽쟘(실측)'!F71&gt;0,'쪽쟘(실측)'!F71+0,0)+뒷날개치수더함-0.2</f>
        <v>20.8</v>
      </c>
      <c r="L71" s="50">
        <f>IF('쪽쟘(실측)'!G71&gt;0,'쪽쟘(실측)'!G71+0,0)+뒷날개치수더함-0.2</f>
        <v>20.8</v>
      </c>
      <c r="M71" s="50">
        <f>IF('쪽쟘(실측)'!H71&gt;0,'쪽쟘(실측)'!H71+0,0)+뒷날개치수더함-0.2</f>
        <v>20.8</v>
      </c>
      <c r="N71" s="50">
        <f>IF('쪽쟘(실측)'!I71&gt;0,'쪽쟘(실측)'!I71+0,0)+뒷날개치수더함-0.2</f>
        <v>20.8</v>
      </c>
      <c r="O71" s="50">
        <f>'쪽쟘(실측)'!J71-쪽쟘기둥차감</f>
        <v>2092</v>
      </c>
      <c r="P71" s="50">
        <f>'쪽쟘(실측)'!K71-쪽쟘기둥차감</f>
        <v>2092</v>
      </c>
      <c r="Q71" s="50">
        <f>'쪽쟘(실측)'!L71-쪽쟘기둥차감</f>
        <v>2092</v>
      </c>
      <c r="R71" s="50">
        <f>'쪽쟘(실측)'!M71-쪽쟘기둥차감</f>
        <v>2092</v>
      </c>
      <c r="S71" s="50">
        <f>'쪽쟘(실측)'!N71+뒷날개치수더함</f>
        <v>22</v>
      </c>
      <c r="T71" s="50">
        <f>'쪽쟘(실측)'!O71+뒷날개치수더함</f>
        <v>22</v>
      </c>
      <c r="U71" s="50">
        <f>'쪽쟘(실측)'!P71+뒷날개치수더함</f>
        <v>16</v>
      </c>
      <c r="V71" s="50">
        <f>'쪽쟘(실측)'!Q71+뒷날개치수더함</f>
        <v>25</v>
      </c>
      <c r="W71" s="50">
        <f>'쪽쟘(실측)'!R71-쪽쟘늘치차감</f>
        <v>0</v>
      </c>
      <c r="X71" s="50">
        <f>'쪽쟘(실측)'!S71-쪽쟘늘치차감</f>
        <v>0</v>
      </c>
      <c r="Y71" s="4">
        <f>IF('쪽쟘(실측)'!T71&gt;5,'쪽쟘(실측)'!T71+뒷날개치수더함,0)</f>
        <v>15</v>
      </c>
      <c r="Z71" s="4">
        <f>'쪽쟘(실측)'!U71</f>
        <v>10</v>
      </c>
      <c r="AA71" s="4">
        <f>'쪽쟘(실측)'!V71</f>
        <v>6</v>
      </c>
      <c r="AC71">
        <f t="shared" si="5"/>
        <v>933</v>
      </c>
      <c r="AD71">
        <f>U71+E71+MAX(S71,T71)-쪽쟘소재t*3+IF(S71=0,S71*쪽쟘소재t,0)-1.2</f>
        <v>118.2</v>
      </c>
      <c r="AE71">
        <f>MAX(K71,L71)+F71+V71-쪽쟘소재t*3+IF(K71=0,쪽쟘소재t)-IF(AA71=90,2.4,0)-1.2</f>
        <v>124.00000000000001</v>
      </c>
      <c r="AF71">
        <f t="shared" si="6"/>
        <v>2092</v>
      </c>
      <c r="AG71">
        <f>MAX(M71,N71)+F71+V71-쪽쟘소재t*3+IF(M71=0,쪽쟘소재t)-IF(AA71=90,2.4,0)-1.2</f>
        <v>124.00000000000001</v>
      </c>
      <c r="AH71">
        <f t="shared" si="7"/>
        <v>2092</v>
      </c>
    </row>
    <row r="72" spans="1:34" ht="19.5" customHeight="1" x14ac:dyDescent="0.3">
      <c r="A72" s="50" t="str">
        <f>'쪽쟘(실측)'!A72</f>
        <v>110   / 2</v>
      </c>
      <c r="B72" s="50" t="str">
        <f>'쪽쟘(실측)'!B72&amp;"F"</f>
        <v>19F</v>
      </c>
      <c r="C72" s="50" t="str">
        <f t="shared" ref="C72:C127" si="8">AC72&amp;"*"&amp;AD72</f>
        <v>934*104.2</v>
      </c>
      <c r="D72" s="50">
        <f>'쪽쟘(실측)'!C72-쪽쟘OP차감</f>
        <v>898</v>
      </c>
      <c r="E72" s="50">
        <f>'쪽쟘(실측)'!D72+쪽쟘J늘림+MAX(W72:X72)</f>
        <v>85</v>
      </c>
      <c r="F72" s="50">
        <f>'쪽쟘(실측)'!E72+쪽쟘J늘림+MAX(W72:X72)</f>
        <v>83</v>
      </c>
      <c r="G72" s="67" t="str">
        <f t="shared" ref="G72:G127" si="9">AF72&amp;"*"&amp;AE72</f>
        <v>2092*125</v>
      </c>
      <c r="H72" s="68" t="str">
        <f t="shared" ref="H72:H127" si="10">AH72&amp;"*"&amp;AG72</f>
        <v>2092*123</v>
      </c>
      <c r="I72" s="50">
        <f>IF('쪽쟘(실측)'!F72&gt;0,'쪽쟘(실측)'!F72-3,0)+뒷날개치수더함</f>
        <v>19</v>
      </c>
      <c r="J72" s="50">
        <f>IF('쪽쟘(실측)'!H72&gt;0,'쪽쟘(실측)'!H72-3,0)+뒷날개치수더함</f>
        <v>17</v>
      </c>
      <c r="K72" s="50">
        <f>IF('쪽쟘(실측)'!F72&gt;0,'쪽쟘(실측)'!F72+0,0)+뒷날개치수더함-0.2</f>
        <v>21.8</v>
      </c>
      <c r="L72" s="50">
        <f>IF('쪽쟘(실측)'!G72&gt;0,'쪽쟘(실측)'!G72+0,0)+뒷날개치수더함-0.2</f>
        <v>21.8</v>
      </c>
      <c r="M72" s="50">
        <f>IF('쪽쟘(실측)'!H72&gt;0,'쪽쟘(실측)'!H72+0,0)+뒷날개치수더함-0.2</f>
        <v>19.8</v>
      </c>
      <c r="N72" s="50">
        <f>IF('쪽쟘(실측)'!I72&gt;0,'쪽쟘(실측)'!I72+0,0)+뒷날개치수더함-0.2</f>
        <v>19.8</v>
      </c>
      <c r="O72" s="50">
        <f>'쪽쟘(실측)'!J72-쪽쟘기둥차감</f>
        <v>2092</v>
      </c>
      <c r="P72" s="50">
        <f>'쪽쟘(실측)'!K72-쪽쟘기둥차감</f>
        <v>2092</v>
      </c>
      <c r="Q72" s="50">
        <f>'쪽쟘(실측)'!L72-쪽쟘기둥차감</f>
        <v>2092</v>
      </c>
      <c r="R72" s="50">
        <f>'쪽쟘(실측)'!M72-쪽쟘기둥차감</f>
        <v>2092</v>
      </c>
      <c r="S72" s="50">
        <f>'쪽쟘(실측)'!N72+뒷날개치수더함</f>
        <v>8</v>
      </c>
      <c r="T72" s="50">
        <f>'쪽쟘(실측)'!O72+뒷날개치수더함</f>
        <v>8</v>
      </c>
      <c r="U72" s="50">
        <f>'쪽쟘(실측)'!P72+뒷날개치수더함</f>
        <v>16</v>
      </c>
      <c r="V72" s="50">
        <f>'쪽쟘(실측)'!Q72+뒷날개치수더함</f>
        <v>25</v>
      </c>
      <c r="W72" s="50">
        <f>'쪽쟘(실측)'!R72-쪽쟘늘치차감</f>
        <v>0</v>
      </c>
      <c r="X72" s="50">
        <f>'쪽쟘(실측)'!S72-쪽쟘늘치차감</f>
        <v>0</v>
      </c>
      <c r="Y72" s="4">
        <f>IF('쪽쟘(실측)'!T72&gt;5,'쪽쟘(실측)'!T72+뒷날개치수더함,0)</f>
        <v>15</v>
      </c>
      <c r="Z72" s="4">
        <f>'쪽쟘(실측)'!U72</f>
        <v>10</v>
      </c>
      <c r="AA72" s="4">
        <f>'쪽쟘(실측)'!V72</f>
        <v>6</v>
      </c>
      <c r="AC72">
        <f t="shared" ref="AC72:AC127" si="11">D72+I72+J72</f>
        <v>934</v>
      </c>
      <c r="AD72">
        <f>U72+E72+MAX(S72,T72)-쪽쟘소재t*3+IF(S72=0,S72*쪽쟘소재t,0)-1.2</f>
        <v>104.2</v>
      </c>
      <c r="AE72">
        <f>MAX(K72,L72)+F72+V72-쪽쟘소재t*3+IF(K72=0,쪽쟘소재t)-IF(AA72=90,2.4,0)-1.2</f>
        <v>125.00000000000001</v>
      </c>
      <c r="AF72">
        <f t="shared" ref="AF72:AF127" si="12">MAX(O72,P72)</f>
        <v>2092</v>
      </c>
      <c r="AG72">
        <f>MAX(M72,N72)+F72+V72-쪽쟘소재t*3+IF(M72=0,쪽쟘소재t)-IF(AA72=90,2.4,0)-1.2</f>
        <v>123</v>
      </c>
      <c r="AH72">
        <f t="shared" ref="AH72:AH127" si="13">MAX(Q72,R72)</f>
        <v>2092</v>
      </c>
    </row>
    <row r="73" spans="1:34" ht="19.5" customHeight="1" x14ac:dyDescent="0.3">
      <c r="A73" s="50" t="str">
        <f>'쪽쟘(실측)'!A73</f>
        <v>110   / 2</v>
      </c>
      <c r="B73" s="50" t="str">
        <f>'쪽쟘(실측)'!B73&amp;"F"</f>
        <v>18F</v>
      </c>
      <c r="C73" s="50" t="str">
        <f t="shared" si="8"/>
        <v>928*111.2</v>
      </c>
      <c r="D73" s="50">
        <f>'쪽쟘(실측)'!C73-쪽쟘OP차감</f>
        <v>897</v>
      </c>
      <c r="E73" s="50">
        <f>'쪽쟘(실측)'!D73+쪽쟘J늘림+MAX(W73:X73)</f>
        <v>85</v>
      </c>
      <c r="F73" s="50">
        <f>'쪽쟘(실측)'!E73+쪽쟘J늘림+MAX(W73:X73)</f>
        <v>83</v>
      </c>
      <c r="G73" s="67" t="str">
        <f t="shared" si="9"/>
        <v>2092*120</v>
      </c>
      <c r="H73" s="68" t="str">
        <f t="shared" si="10"/>
        <v>2092*123</v>
      </c>
      <c r="I73" s="50">
        <f>IF('쪽쟘(실측)'!F73&gt;0,'쪽쟘(실측)'!F73-3,0)+뒷날개치수더함</f>
        <v>14</v>
      </c>
      <c r="J73" s="50">
        <f>IF('쪽쟘(실측)'!H73&gt;0,'쪽쟘(실측)'!H73-3,0)+뒷날개치수더함</f>
        <v>17</v>
      </c>
      <c r="K73" s="50">
        <f>IF('쪽쟘(실측)'!F73&gt;0,'쪽쟘(실측)'!F73+0,0)+뒷날개치수더함-0.2</f>
        <v>16.8</v>
      </c>
      <c r="L73" s="50">
        <f>IF('쪽쟘(실측)'!G73&gt;0,'쪽쟘(실측)'!G73+0,0)+뒷날개치수더함-0.2</f>
        <v>16.8</v>
      </c>
      <c r="M73" s="50">
        <f>IF('쪽쟘(실측)'!H73&gt;0,'쪽쟘(실측)'!H73+0,0)+뒷날개치수더함-0.2</f>
        <v>19.8</v>
      </c>
      <c r="N73" s="50">
        <f>IF('쪽쟘(실측)'!I73&gt;0,'쪽쟘(실측)'!I73+0,0)+뒷날개치수더함-0.2</f>
        <v>19.8</v>
      </c>
      <c r="O73" s="50">
        <f>'쪽쟘(실측)'!J73-쪽쟘기둥차감</f>
        <v>2092</v>
      </c>
      <c r="P73" s="50">
        <f>'쪽쟘(실측)'!K73-쪽쟘기둥차감</f>
        <v>2092</v>
      </c>
      <c r="Q73" s="50">
        <f>'쪽쟘(실측)'!L73-쪽쟘기둥차감</f>
        <v>2092</v>
      </c>
      <c r="R73" s="50">
        <f>'쪽쟘(실측)'!M73-쪽쟘기둥차감</f>
        <v>2092</v>
      </c>
      <c r="S73" s="50">
        <f>'쪽쟘(실측)'!N73+뒷날개치수더함</f>
        <v>15</v>
      </c>
      <c r="T73" s="50">
        <f>'쪽쟘(실측)'!O73+뒷날개치수더함</f>
        <v>15</v>
      </c>
      <c r="U73" s="50">
        <f>'쪽쟘(실측)'!P73+뒷날개치수더함</f>
        <v>16</v>
      </c>
      <c r="V73" s="50">
        <f>'쪽쟘(실측)'!Q73+뒷날개치수더함</f>
        <v>25</v>
      </c>
      <c r="W73" s="50">
        <f>'쪽쟘(실측)'!R73-쪽쟘늘치차감</f>
        <v>0</v>
      </c>
      <c r="X73" s="50">
        <f>'쪽쟘(실측)'!S73-쪽쟘늘치차감</f>
        <v>0</v>
      </c>
      <c r="Y73" s="4">
        <f>IF('쪽쟘(실측)'!T73&gt;5,'쪽쟘(실측)'!T73+뒷날개치수더함,0)</f>
        <v>15</v>
      </c>
      <c r="Z73" s="4">
        <f>'쪽쟘(실측)'!U73</f>
        <v>10</v>
      </c>
      <c r="AA73" s="4">
        <f>'쪽쟘(실측)'!V73</f>
        <v>6</v>
      </c>
      <c r="AC73">
        <f t="shared" si="11"/>
        <v>928</v>
      </c>
      <c r="AD73">
        <f>U73+E73+MAX(S73,T73)-쪽쟘소재t*3+IF(S73=0,S73*쪽쟘소재t,0)-1.2</f>
        <v>111.2</v>
      </c>
      <c r="AE73">
        <f>MAX(K73,L73)+F73+V73-쪽쟘소재t*3+IF(K73=0,쪽쟘소재t)-IF(AA73=90,2.4,0)-1.2</f>
        <v>120</v>
      </c>
      <c r="AF73">
        <f t="shared" si="12"/>
        <v>2092</v>
      </c>
      <c r="AG73">
        <f>MAX(M73,N73)+F73+V73-쪽쟘소재t*3+IF(M73=0,쪽쟘소재t)-IF(AA73=90,2.4,0)-1.2</f>
        <v>123</v>
      </c>
      <c r="AH73">
        <f t="shared" si="13"/>
        <v>2092</v>
      </c>
    </row>
    <row r="74" spans="1:34" ht="19.5" customHeight="1" x14ac:dyDescent="0.3">
      <c r="A74" s="50" t="str">
        <f>'쪽쟘(실측)'!A74</f>
        <v>110   / 2</v>
      </c>
      <c r="B74" s="50" t="str">
        <f>'쪽쟘(실측)'!B74&amp;"F"</f>
        <v>17F</v>
      </c>
      <c r="C74" s="50" t="str">
        <f t="shared" si="8"/>
        <v>933*111.2</v>
      </c>
      <c r="D74" s="50">
        <f>'쪽쟘(실측)'!C74-쪽쟘OP차감</f>
        <v>897</v>
      </c>
      <c r="E74" s="50">
        <f>'쪽쟘(실측)'!D74+쪽쟘J늘림+MAX(W74:X74)</f>
        <v>85</v>
      </c>
      <c r="F74" s="50">
        <f>'쪽쟘(실측)'!E74+쪽쟘J늘림+MAX(W74:X74)</f>
        <v>83</v>
      </c>
      <c r="G74" s="67" t="str">
        <f t="shared" si="9"/>
        <v>2092*125</v>
      </c>
      <c r="H74" s="68" t="str">
        <f t="shared" si="10"/>
        <v>2092*123</v>
      </c>
      <c r="I74" s="50">
        <f>IF('쪽쟘(실측)'!F74&gt;0,'쪽쟘(실측)'!F74-3,0)+뒷날개치수더함</f>
        <v>19</v>
      </c>
      <c r="J74" s="50">
        <f>IF('쪽쟘(실측)'!H74&gt;0,'쪽쟘(실측)'!H74-3,0)+뒷날개치수더함</f>
        <v>17</v>
      </c>
      <c r="K74" s="50">
        <f>IF('쪽쟘(실측)'!F74&gt;0,'쪽쟘(실측)'!F74+0,0)+뒷날개치수더함-0.2</f>
        <v>21.8</v>
      </c>
      <c r="L74" s="50">
        <f>IF('쪽쟘(실측)'!G74&gt;0,'쪽쟘(실측)'!G74+0,0)+뒷날개치수더함-0.2</f>
        <v>21.8</v>
      </c>
      <c r="M74" s="50">
        <f>IF('쪽쟘(실측)'!H74&gt;0,'쪽쟘(실측)'!H74+0,0)+뒷날개치수더함-0.2</f>
        <v>19.8</v>
      </c>
      <c r="N74" s="50">
        <f>IF('쪽쟘(실측)'!I74&gt;0,'쪽쟘(실측)'!I74+0,0)+뒷날개치수더함-0.2</f>
        <v>19.8</v>
      </c>
      <c r="O74" s="50">
        <f>'쪽쟘(실측)'!J74-쪽쟘기둥차감</f>
        <v>2092</v>
      </c>
      <c r="P74" s="50">
        <f>'쪽쟘(실측)'!K74-쪽쟘기둥차감</f>
        <v>2092</v>
      </c>
      <c r="Q74" s="50">
        <f>'쪽쟘(실측)'!L74-쪽쟘기둥차감</f>
        <v>2092</v>
      </c>
      <c r="R74" s="50">
        <f>'쪽쟘(실측)'!M74-쪽쟘기둥차감</f>
        <v>2092</v>
      </c>
      <c r="S74" s="50">
        <f>'쪽쟘(실측)'!N74+뒷날개치수더함</f>
        <v>15</v>
      </c>
      <c r="T74" s="50">
        <f>'쪽쟘(실측)'!O74+뒷날개치수더함</f>
        <v>15</v>
      </c>
      <c r="U74" s="50">
        <f>'쪽쟘(실측)'!P74+뒷날개치수더함</f>
        <v>16</v>
      </c>
      <c r="V74" s="50">
        <f>'쪽쟘(실측)'!Q74+뒷날개치수더함</f>
        <v>25</v>
      </c>
      <c r="W74" s="50">
        <f>'쪽쟘(실측)'!R74-쪽쟘늘치차감</f>
        <v>0</v>
      </c>
      <c r="X74" s="50">
        <f>'쪽쟘(실측)'!S74-쪽쟘늘치차감</f>
        <v>0</v>
      </c>
      <c r="Y74" s="4">
        <f>IF('쪽쟘(실측)'!T74&gt;5,'쪽쟘(실측)'!T74+뒷날개치수더함,0)</f>
        <v>15</v>
      </c>
      <c r="Z74" s="4">
        <f>'쪽쟘(실측)'!U74</f>
        <v>10</v>
      </c>
      <c r="AA74" s="4">
        <f>'쪽쟘(실측)'!V74</f>
        <v>6</v>
      </c>
      <c r="AC74">
        <f t="shared" si="11"/>
        <v>933</v>
      </c>
      <c r="AD74">
        <f>U74+E74+MAX(S74,T74)-쪽쟘소재t*3+IF(S74=0,S74*쪽쟘소재t,0)-1.2</f>
        <v>111.2</v>
      </c>
      <c r="AE74">
        <f>MAX(K74,L74)+F74+V74-쪽쟘소재t*3+IF(K74=0,쪽쟘소재t)-IF(AA74=90,2.4,0)-1.2</f>
        <v>125.00000000000001</v>
      </c>
      <c r="AF74">
        <f t="shared" si="12"/>
        <v>2092</v>
      </c>
      <c r="AG74">
        <f>MAX(M74,N74)+F74+V74-쪽쟘소재t*3+IF(M74=0,쪽쟘소재t)-IF(AA74=90,2.4,0)-1.2</f>
        <v>123</v>
      </c>
      <c r="AH74">
        <f t="shared" si="13"/>
        <v>2092</v>
      </c>
    </row>
    <row r="75" spans="1:34" ht="19.5" customHeight="1" x14ac:dyDescent="0.3">
      <c r="A75" s="50" t="str">
        <f>'쪽쟘(실측)'!A75</f>
        <v>110   / 2</v>
      </c>
      <c r="B75" s="50" t="str">
        <f>'쪽쟘(실측)'!B75&amp;"F"</f>
        <v>16F</v>
      </c>
      <c r="C75" s="50" t="str">
        <f t="shared" si="8"/>
        <v>935*105.2</v>
      </c>
      <c r="D75" s="50">
        <f>'쪽쟘(실측)'!C75-쪽쟘OP차감</f>
        <v>897</v>
      </c>
      <c r="E75" s="50">
        <f>'쪽쟘(실측)'!D75+쪽쟘J늘림+MAX(W75:X75)</f>
        <v>85</v>
      </c>
      <c r="F75" s="50">
        <f>'쪽쟘(실측)'!E75+쪽쟘J늘림+MAX(W75:X75)</f>
        <v>83</v>
      </c>
      <c r="G75" s="67" t="str">
        <f t="shared" si="9"/>
        <v>2092*125</v>
      </c>
      <c r="H75" s="68" t="str">
        <f t="shared" si="10"/>
        <v>2092*125</v>
      </c>
      <c r="I75" s="50">
        <f>IF('쪽쟘(실측)'!F75&gt;0,'쪽쟘(실측)'!F75-3,0)+뒷날개치수더함</f>
        <v>19</v>
      </c>
      <c r="J75" s="50">
        <f>IF('쪽쟘(실측)'!H75&gt;0,'쪽쟘(실측)'!H75-3,0)+뒷날개치수더함</f>
        <v>19</v>
      </c>
      <c r="K75" s="50">
        <f>IF('쪽쟘(실측)'!F75&gt;0,'쪽쟘(실측)'!F75+0,0)+뒷날개치수더함-0.2</f>
        <v>21.8</v>
      </c>
      <c r="L75" s="50">
        <f>IF('쪽쟘(실측)'!G75&gt;0,'쪽쟘(실측)'!G75+0,0)+뒷날개치수더함-0.2</f>
        <v>21.8</v>
      </c>
      <c r="M75" s="50">
        <f>IF('쪽쟘(실측)'!H75&gt;0,'쪽쟘(실측)'!H75+0,0)+뒷날개치수더함-0.2</f>
        <v>21.8</v>
      </c>
      <c r="N75" s="50">
        <f>IF('쪽쟘(실측)'!I75&gt;0,'쪽쟘(실측)'!I75+0,0)+뒷날개치수더함-0.2</f>
        <v>21.8</v>
      </c>
      <c r="O75" s="50">
        <f>'쪽쟘(실측)'!J75-쪽쟘기둥차감</f>
        <v>2092</v>
      </c>
      <c r="P75" s="50">
        <f>'쪽쟘(실측)'!K75-쪽쟘기둥차감</f>
        <v>2092</v>
      </c>
      <c r="Q75" s="50">
        <f>'쪽쟘(실측)'!L75-쪽쟘기둥차감</f>
        <v>2092</v>
      </c>
      <c r="R75" s="50">
        <f>'쪽쟘(실측)'!M75-쪽쟘기둥차감</f>
        <v>2092</v>
      </c>
      <c r="S75" s="50">
        <f>'쪽쟘(실측)'!N75+뒷날개치수더함</f>
        <v>9</v>
      </c>
      <c r="T75" s="50">
        <f>'쪽쟘(실측)'!O75+뒷날개치수더함</f>
        <v>9</v>
      </c>
      <c r="U75" s="50">
        <f>'쪽쟘(실측)'!P75+뒷날개치수더함</f>
        <v>16</v>
      </c>
      <c r="V75" s="50">
        <f>'쪽쟘(실측)'!Q75+뒷날개치수더함</f>
        <v>25</v>
      </c>
      <c r="W75" s="50">
        <f>'쪽쟘(실측)'!R75-쪽쟘늘치차감</f>
        <v>0</v>
      </c>
      <c r="X75" s="50">
        <f>'쪽쟘(실측)'!S75-쪽쟘늘치차감</f>
        <v>0</v>
      </c>
      <c r="Y75" s="4">
        <f>IF('쪽쟘(실측)'!T75&gt;5,'쪽쟘(실측)'!T75+뒷날개치수더함,0)</f>
        <v>15</v>
      </c>
      <c r="Z75" s="4">
        <f>'쪽쟘(실측)'!U75</f>
        <v>10</v>
      </c>
      <c r="AA75" s="4">
        <f>'쪽쟘(실측)'!V75</f>
        <v>6</v>
      </c>
      <c r="AC75">
        <f t="shared" si="11"/>
        <v>935</v>
      </c>
      <c r="AD75">
        <f>U75+E75+MAX(S75,T75)-쪽쟘소재t*3+IF(S75=0,S75*쪽쟘소재t,0)-1.2</f>
        <v>105.2</v>
      </c>
      <c r="AE75">
        <f>MAX(K75,L75)+F75+V75-쪽쟘소재t*3+IF(K75=0,쪽쟘소재t)-IF(AA75=90,2.4,0)-1.2</f>
        <v>125.00000000000001</v>
      </c>
      <c r="AF75">
        <f t="shared" si="12"/>
        <v>2092</v>
      </c>
      <c r="AG75">
        <f>MAX(M75,N75)+F75+V75-쪽쟘소재t*3+IF(M75=0,쪽쟘소재t)-IF(AA75=90,2.4,0)-1.2</f>
        <v>125.00000000000001</v>
      </c>
      <c r="AH75">
        <f t="shared" si="13"/>
        <v>2092</v>
      </c>
    </row>
    <row r="76" spans="1:34" ht="19.5" customHeight="1" x14ac:dyDescent="0.3">
      <c r="A76" s="50" t="str">
        <f>'쪽쟘(실측)'!A76</f>
        <v>110   / 2</v>
      </c>
      <c r="B76" s="50" t="str">
        <f>'쪽쟘(실측)'!B76&amp;"F"</f>
        <v>15F</v>
      </c>
      <c r="C76" s="50" t="str">
        <f t="shared" si="8"/>
        <v>931*110.2</v>
      </c>
      <c r="D76" s="50">
        <f>'쪽쟘(실측)'!C76-쪽쟘OP차감</f>
        <v>897</v>
      </c>
      <c r="E76" s="50">
        <f>'쪽쟘(실측)'!D76+쪽쟘J늘림+MAX(W76:X76)</f>
        <v>85</v>
      </c>
      <c r="F76" s="50">
        <f>'쪽쟘(실측)'!E76+쪽쟘J늘림+MAX(W76:X76)</f>
        <v>83</v>
      </c>
      <c r="G76" s="67" t="str">
        <f t="shared" si="9"/>
        <v>2092*124</v>
      </c>
      <c r="H76" s="68" t="str">
        <f t="shared" si="10"/>
        <v>2092*122</v>
      </c>
      <c r="I76" s="50">
        <f>IF('쪽쟘(실측)'!F76&gt;0,'쪽쟘(실측)'!F76-3,0)+뒷날개치수더함</f>
        <v>18</v>
      </c>
      <c r="J76" s="50">
        <f>IF('쪽쟘(실측)'!H76&gt;0,'쪽쟘(실측)'!H76-3,0)+뒷날개치수더함</f>
        <v>16</v>
      </c>
      <c r="K76" s="50">
        <f>IF('쪽쟘(실측)'!F76&gt;0,'쪽쟘(실측)'!F76+0,0)+뒷날개치수더함-0.2</f>
        <v>20.8</v>
      </c>
      <c r="L76" s="50">
        <f>IF('쪽쟘(실측)'!G76&gt;0,'쪽쟘(실측)'!G76+0,0)+뒷날개치수더함-0.2</f>
        <v>20.8</v>
      </c>
      <c r="M76" s="50">
        <f>IF('쪽쟘(실측)'!H76&gt;0,'쪽쟘(실측)'!H76+0,0)+뒷날개치수더함-0.2</f>
        <v>18.8</v>
      </c>
      <c r="N76" s="50">
        <f>IF('쪽쟘(실측)'!I76&gt;0,'쪽쟘(실측)'!I76+0,0)+뒷날개치수더함-0.2</f>
        <v>18.8</v>
      </c>
      <c r="O76" s="50">
        <f>'쪽쟘(실측)'!J76-쪽쟘기둥차감</f>
        <v>2092</v>
      </c>
      <c r="P76" s="50">
        <f>'쪽쟘(실측)'!K76-쪽쟘기둥차감</f>
        <v>2092</v>
      </c>
      <c r="Q76" s="50">
        <f>'쪽쟘(실측)'!L76-쪽쟘기둥차감</f>
        <v>2092</v>
      </c>
      <c r="R76" s="50">
        <f>'쪽쟘(실측)'!M76-쪽쟘기둥차감</f>
        <v>2092</v>
      </c>
      <c r="S76" s="50">
        <f>'쪽쟘(실측)'!N76+뒷날개치수더함</f>
        <v>14</v>
      </c>
      <c r="T76" s="50">
        <f>'쪽쟘(실측)'!O76+뒷날개치수더함</f>
        <v>14</v>
      </c>
      <c r="U76" s="50">
        <f>'쪽쟘(실측)'!P76+뒷날개치수더함</f>
        <v>16</v>
      </c>
      <c r="V76" s="50">
        <f>'쪽쟘(실측)'!Q76+뒷날개치수더함</f>
        <v>25</v>
      </c>
      <c r="W76" s="50">
        <f>'쪽쟘(실측)'!R76-쪽쟘늘치차감</f>
        <v>0</v>
      </c>
      <c r="X76" s="50">
        <f>'쪽쟘(실측)'!S76-쪽쟘늘치차감</f>
        <v>0</v>
      </c>
      <c r="Y76" s="4">
        <f>IF('쪽쟘(실측)'!T76&gt;5,'쪽쟘(실측)'!T76+뒷날개치수더함,0)</f>
        <v>15</v>
      </c>
      <c r="Z76" s="4">
        <f>'쪽쟘(실측)'!U76</f>
        <v>10</v>
      </c>
      <c r="AA76" s="4">
        <f>'쪽쟘(실측)'!V76</f>
        <v>6</v>
      </c>
      <c r="AC76">
        <f t="shared" si="11"/>
        <v>931</v>
      </c>
      <c r="AD76">
        <f>U76+E76+MAX(S76,T76)-쪽쟘소재t*3+IF(S76=0,S76*쪽쟘소재t,0)-1.2</f>
        <v>110.2</v>
      </c>
      <c r="AE76">
        <f>MAX(K76,L76)+F76+V76-쪽쟘소재t*3+IF(K76=0,쪽쟘소재t)-IF(AA76=90,2.4,0)-1.2</f>
        <v>124.00000000000001</v>
      </c>
      <c r="AF76">
        <f t="shared" si="12"/>
        <v>2092</v>
      </c>
      <c r="AG76">
        <f>MAX(M76,N76)+F76+V76-쪽쟘소재t*3+IF(M76=0,쪽쟘소재t)-IF(AA76=90,2.4,0)-1.2</f>
        <v>122</v>
      </c>
      <c r="AH76">
        <f t="shared" si="13"/>
        <v>2092</v>
      </c>
    </row>
    <row r="77" spans="1:34" ht="19.5" customHeight="1" x14ac:dyDescent="0.3">
      <c r="A77" s="50" t="str">
        <f>'쪽쟘(실측)'!A77</f>
        <v>110   / 2</v>
      </c>
      <c r="B77" s="50" t="str">
        <f>'쪽쟘(실측)'!B77&amp;"F"</f>
        <v>14F</v>
      </c>
      <c r="C77" s="50" t="str">
        <f t="shared" si="8"/>
        <v>932*111.2</v>
      </c>
      <c r="D77" s="50">
        <f>'쪽쟘(실측)'!C77-쪽쟘OP차감</f>
        <v>898</v>
      </c>
      <c r="E77" s="50">
        <f>'쪽쟘(실측)'!D77+쪽쟘J늘림+MAX(W77:X77)</f>
        <v>85</v>
      </c>
      <c r="F77" s="50">
        <f>'쪽쟘(실측)'!E77+쪽쟘J늘림+MAX(W77:X77)</f>
        <v>83</v>
      </c>
      <c r="G77" s="67" t="str">
        <f t="shared" si="9"/>
        <v>2092*123</v>
      </c>
      <c r="H77" s="68" t="str">
        <f t="shared" si="10"/>
        <v>2092*123</v>
      </c>
      <c r="I77" s="50">
        <f>IF('쪽쟘(실측)'!F77&gt;0,'쪽쟘(실측)'!F77-3,0)+뒷날개치수더함</f>
        <v>17</v>
      </c>
      <c r="J77" s="50">
        <f>IF('쪽쟘(실측)'!H77&gt;0,'쪽쟘(실측)'!H77-3,0)+뒷날개치수더함</f>
        <v>17</v>
      </c>
      <c r="K77" s="50">
        <f>IF('쪽쟘(실측)'!F77&gt;0,'쪽쟘(실측)'!F77+0,0)+뒷날개치수더함-0.2</f>
        <v>19.8</v>
      </c>
      <c r="L77" s="50">
        <f>IF('쪽쟘(실측)'!G77&gt;0,'쪽쟘(실측)'!G77+0,0)+뒷날개치수더함-0.2</f>
        <v>19.8</v>
      </c>
      <c r="M77" s="50">
        <f>IF('쪽쟘(실측)'!H77&gt;0,'쪽쟘(실측)'!H77+0,0)+뒷날개치수더함-0.2</f>
        <v>19.8</v>
      </c>
      <c r="N77" s="50">
        <f>IF('쪽쟘(실측)'!I77&gt;0,'쪽쟘(실측)'!I77+0,0)+뒷날개치수더함-0.2</f>
        <v>19.8</v>
      </c>
      <c r="O77" s="50">
        <f>'쪽쟘(실측)'!J77-쪽쟘기둥차감</f>
        <v>2092</v>
      </c>
      <c r="P77" s="50">
        <f>'쪽쟘(실측)'!K77-쪽쟘기둥차감</f>
        <v>2092</v>
      </c>
      <c r="Q77" s="50">
        <f>'쪽쟘(실측)'!L77-쪽쟘기둥차감</f>
        <v>2092</v>
      </c>
      <c r="R77" s="50">
        <f>'쪽쟘(실측)'!M77-쪽쟘기둥차감</f>
        <v>2092</v>
      </c>
      <c r="S77" s="50">
        <f>'쪽쟘(실측)'!N77+뒷날개치수더함</f>
        <v>15</v>
      </c>
      <c r="T77" s="50">
        <f>'쪽쟘(실측)'!O77+뒷날개치수더함</f>
        <v>15</v>
      </c>
      <c r="U77" s="50">
        <f>'쪽쟘(실측)'!P77+뒷날개치수더함</f>
        <v>16</v>
      </c>
      <c r="V77" s="50">
        <f>'쪽쟘(실측)'!Q77+뒷날개치수더함</f>
        <v>25</v>
      </c>
      <c r="W77" s="50">
        <f>'쪽쟘(실측)'!R77-쪽쟘늘치차감</f>
        <v>0</v>
      </c>
      <c r="X77" s="50">
        <f>'쪽쟘(실측)'!S77-쪽쟘늘치차감</f>
        <v>0</v>
      </c>
      <c r="Y77" s="4">
        <f>IF('쪽쟘(실측)'!T77&gt;5,'쪽쟘(실측)'!T77+뒷날개치수더함,0)</f>
        <v>15</v>
      </c>
      <c r="Z77" s="4">
        <f>'쪽쟘(실측)'!U77</f>
        <v>10</v>
      </c>
      <c r="AA77" s="4">
        <f>'쪽쟘(실측)'!V77</f>
        <v>6</v>
      </c>
      <c r="AC77">
        <f t="shared" si="11"/>
        <v>932</v>
      </c>
      <c r="AD77">
        <f>U77+E77+MAX(S77,T77)-쪽쟘소재t*3+IF(S77=0,S77*쪽쟘소재t,0)-1.2</f>
        <v>111.2</v>
      </c>
      <c r="AE77">
        <f>MAX(K77,L77)+F77+V77-쪽쟘소재t*3+IF(K77=0,쪽쟘소재t)-IF(AA77=90,2.4,0)-1.2</f>
        <v>123</v>
      </c>
      <c r="AF77">
        <f t="shared" si="12"/>
        <v>2092</v>
      </c>
      <c r="AG77">
        <f>MAX(M77,N77)+F77+V77-쪽쟘소재t*3+IF(M77=0,쪽쟘소재t)-IF(AA77=90,2.4,0)-1.2</f>
        <v>123</v>
      </c>
      <c r="AH77">
        <f t="shared" si="13"/>
        <v>2092</v>
      </c>
    </row>
    <row r="78" spans="1:34" ht="19.5" customHeight="1" x14ac:dyDescent="0.3">
      <c r="A78" s="50" t="str">
        <f>'쪽쟘(실측)'!A78</f>
        <v>110   / 2</v>
      </c>
      <c r="B78" s="50" t="str">
        <f>'쪽쟘(실측)'!B78&amp;"F"</f>
        <v>13F</v>
      </c>
      <c r="C78" s="50" t="str">
        <f t="shared" si="8"/>
        <v>931*108.2</v>
      </c>
      <c r="D78" s="50">
        <f>'쪽쟘(실측)'!C78-쪽쟘OP차감</f>
        <v>897</v>
      </c>
      <c r="E78" s="50">
        <f>'쪽쟘(실측)'!D78+쪽쟘J늘림+MAX(W78:X78)</f>
        <v>85</v>
      </c>
      <c r="F78" s="50">
        <f>'쪽쟘(실측)'!E78+쪽쟘J늘림+MAX(W78:X78)</f>
        <v>83</v>
      </c>
      <c r="G78" s="67" t="str">
        <f t="shared" si="9"/>
        <v>2092*123</v>
      </c>
      <c r="H78" s="68" t="str">
        <f t="shared" si="10"/>
        <v>2098*123</v>
      </c>
      <c r="I78" s="50">
        <f>IF('쪽쟘(실측)'!F78&gt;0,'쪽쟘(실측)'!F78-3,0)+뒷날개치수더함</f>
        <v>17</v>
      </c>
      <c r="J78" s="50">
        <f>IF('쪽쟘(실측)'!H78&gt;0,'쪽쟘(실측)'!H78-3,0)+뒷날개치수더함</f>
        <v>17</v>
      </c>
      <c r="K78" s="50">
        <f>IF('쪽쟘(실측)'!F78&gt;0,'쪽쟘(실측)'!F78+0,0)+뒷날개치수더함-0.2</f>
        <v>19.8</v>
      </c>
      <c r="L78" s="50">
        <f>IF('쪽쟘(실측)'!G78&gt;0,'쪽쟘(실측)'!G78+0,0)+뒷날개치수더함-0.2</f>
        <v>19.8</v>
      </c>
      <c r="M78" s="50">
        <f>IF('쪽쟘(실측)'!H78&gt;0,'쪽쟘(실측)'!H78+0,0)+뒷날개치수더함-0.2</f>
        <v>19.8</v>
      </c>
      <c r="N78" s="50">
        <f>IF('쪽쟘(실측)'!I78&gt;0,'쪽쟘(실측)'!I78+0,0)+뒷날개치수더함-0.2</f>
        <v>19.8</v>
      </c>
      <c r="O78" s="50">
        <f>'쪽쟘(실측)'!J78-쪽쟘기둥차감</f>
        <v>2092</v>
      </c>
      <c r="P78" s="50">
        <f>'쪽쟘(실측)'!K78-쪽쟘기둥차감</f>
        <v>2092</v>
      </c>
      <c r="Q78" s="50">
        <f>'쪽쟘(실측)'!L78-쪽쟘기둥차감</f>
        <v>2098</v>
      </c>
      <c r="R78" s="50">
        <f>'쪽쟘(실측)'!M78-쪽쟘기둥차감</f>
        <v>2098</v>
      </c>
      <c r="S78" s="50">
        <f>'쪽쟘(실측)'!N78+뒷날개치수더함</f>
        <v>12</v>
      </c>
      <c r="T78" s="50">
        <f>'쪽쟘(실측)'!O78+뒷날개치수더함</f>
        <v>12</v>
      </c>
      <c r="U78" s="50">
        <f>'쪽쟘(실측)'!P78+뒷날개치수더함</f>
        <v>16</v>
      </c>
      <c r="V78" s="50">
        <f>'쪽쟘(실측)'!Q78+뒷날개치수더함</f>
        <v>25</v>
      </c>
      <c r="W78" s="50">
        <f>'쪽쟘(실측)'!R78-쪽쟘늘치차감</f>
        <v>0</v>
      </c>
      <c r="X78" s="50">
        <f>'쪽쟘(실측)'!S78-쪽쟘늘치차감</f>
        <v>0</v>
      </c>
      <c r="Y78" s="4">
        <f>IF('쪽쟘(실측)'!T78&gt;5,'쪽쟘(실측)'!T78+뒷날개치수더함,0)</f>
        <v>15</v>
      </c>
      <c r="Z78" s="4">
        <f>'쪽쟘(실측)'!U78</f>
        <v>10</v>
      </c>
      <c r="AA78" s="4">
        <f>'쪽쟘(실측)'!V78</f>
        <v>6</v>
      </c>
      <c r="AC78">
        <f t="shared" si="11"/>
        <v>931</v>
      </c>
      <c r="AD78">
        <f>U78+E78+MAX(S78,T78)-쪽쟘소재t*3+IF(S78=0,S78*쪽쟘소재t,0)-1.2</f>
        <v>108.2</v>
      </c>
      <c r="AE78">
        <f>MAX(K78,L78)+F78+V78-쪽쟘소재t*3+IF(K78=0,쪽쟘소재t)-IF(AA78=90,2.4,0)-1.2</f>
        <v>123</v>
      </c>
      <c r="AF78">
        <f t="shared" si="12"/>
        <v>2092</v>
      </c>
      <c r="AG78">
        <f>MAX(M78,N78)+F78+V78-쪽쟘소재t*3+IF(M78=0,쪽쟘소재t)-IF(AA78=90,2.4,0)-1.2</f>
        <v>123</v>
      </c>
      <c r="AH78">
        <f t="shared" si="13"/>
        <v>2098</v>
      </c>
    </row>
    <row r="79" spans="1:34" ht="19.5" customHeight="1" x14ac:dyDescent="0.3">
      <c r="A79" s="50" t="str">
        <f>'쪽쟘(실측)'!A79</f>
        <v>110   / 2</v>
      </c>
      <c r="B79" s="50" t="str">
        <f>'쪽쟘(실측)'!B79&amp;"F"</f>
        <v>12F</v>
      </c>
      <c r="C79" s="50" t="str">
        <f t="shared" si="8"/>
        <v>933*112.2</v>
      </c>
      <c r="D79" s="50">
        <f>'쪽쟘(실측)'!C79-쪽쟘OP차감</f>
        <v>897</v>
      </c>
      <c r="E79" s="50">
        <f>'쪽쟘(실측)'!D79+쪽쟘J늘림+MAX(W79:X79)</f>
        <v>85</v>
      </c>
      <c r="F79" s="50">
        <f>'쪽쟘(실측)'!E79+쪽쟘J늘림+MAX(W79:X79)</f>
        <v>83</v>
      </c>
      <c r="G79" s="67" t="str">
        <f t="shared" si="9"/>
        <v>2092*125</v>
      </c>
      <c r="H79" s="68" t="str">
        <f t="shared" si="10"/>
        <v>2092*123</v>
      </c>
      <c r="I79" s="50">
        <f>IF('쪽쟘(실측)'!F79&gt;0,'쪽쟘(실측)'!F79-3,0)+뒷날개치수더함</f>
        <v>19</v>
      </c>
      <c r="J79" s="50">
        <f>IF('쪽쟘(실측)'!H79&gt;0,'쪽쟘(실측)'!H79-3,0)+뒷날개치수더함</f>
        <v>17</v>
      </c>
      <c r="K79" s="50">
        <f>IF('쪽쟘(실측)'!F79&gt;0,'쪽쟘(실측)'!F79+0,0)+뒷날개치수더함-0.2</f>
        <v>21.8</v>
      </c>
      <c r="L79" s="50">
        <f>IF('쪽쟘(실측)'!G79&gt;0,'쪽쟘(실측)'!G79+0,0)+뒷날개치수더함-0.2</f>
        <v>21.8</v>
      </c>
      <c r="M79" s="50">
        <f>IF('쪽쟘(실측)'!H79&gt;0,'쪽쟘(실측)'!H79+0,0)+뒷날개치수더함-0.2</f>
        <v>19.8</v>
      </c>
      <c r="N79" s="50">
        <f>IF('쪽쟘(실측)'!I79&gt;0,'쪽쟘(실측)'!I79+0,0)+뒷날개치수더함-0.2</f>
        <v>19.8</v>
      </c>
      <c r="O79" s="50">
        <f>'쪽쟘(실측)'!J79-쪽쟘기둥차감</f>
        <v>2092</v>
      </c>
      <c r="P79" s="50">
        <f>'쪽쟘(실측)'!K79-쪽쟘기둥차감</f>
        <v>2092</v>
      </c>
      <c r="Q79" s="50">
        <f>'쪽쟘(실측)'!L79-쪽쟘기둥차감</f>
        <v>2092</v>
      </c>
      <c r="R79" s="50">
        <f>'쪽쟘(실측)'!M79-쪽쟘기둥차감</f>
        <v>2092</v>
      </c>
      <c r="S79" s="50">
        <f>'쪽쟘(실측)'!N79+뒷날개치수더함</f>
        <v>16</v>
      </c>
      <c r="T79" s="50">
        <f>'쪽쟘(실측)'!O79+뒷날개치수더함</f>
        <v>16</v>
      </c>
      <c r="U79" s="50">
        <f>'쪽쟘(실측)'!P79+뒷날개치수더함</f>
        <v>16</v>
      </c>
      <c r="V79" s="50">
        <f>'쪽쟘(실측)'!Q79+뒷날개치수더함</f>
        <v>25</v>
      </c>
      <c r="W79" s="50">
        <f>'쪽쟘(실측)'!R79-쪽쟘늘치차감</f>
        <v>0</v>
      </c>
      <c r="X79" s="50">
        <f>'쪽쟘(실측)'!S79-쪽쟘늘치차감</f>
        <v>0</v>
      </c>
      <c r="Y79" s="4">
        <f>IF('쪽쟘(실측)'!T79&gt;5,'쪽쟘(실측)'!T79+뒷날개치수더함,0)</f>
        <v>15</v>
      </c>
      <c r="Z79" s="4">
        <f>'쪽쟘(실측)'!U79</f>
        <v>10</v>
      </c>
      <c r="AA79" s="4">
        <f>'쪽쟘(실측)'!V79</f>
        <v>6</v>
      </c>
      <c r="AC79">
        <f t="shared" si="11"/>
        <v>933</v>
      </c>
      <c r="AD79">
        <f>U79+E79+MAX(S79,T79)-쪽쟘소재t*3+IF(S79=0,S79*쪽쟘소재t,0)-1.2</f>
        <v>112.2</v>
      </c>
      <c r="AE79">
        <f>MAX(K79,L79)+F79+V79-쪽쟘소재t*3+IF(K79=0,쪽쟘소재t)-IF(AA79=90,2.4,0)-1.2</f>
        <v>125.00000000000001</v>
      </c>
      <c r="AF79">
        <f t="shared" si="12"/>
        <v>2092</v>
      </c>
      <c r="AG79">
        <f>MAX(M79,N79)+F79+V79-쪽쟘소재t*3+IF(M79=0,쪽쟘소재t)-IF(AA79=90,2.4,0)-1.2</f>
        <v>123</v>
      </c>
      <c r="AH79">
        <f t="shared" si="13"/>
        <v>2092</v>
      </c>
    </row>
    <row r="80" spans="1:34" ht="19.5" customHeight="1" x14ac:dyDescent="0.3">
      <c r="A80" s="50" t="str">
        <f>'쪽쟘(실측)'!A80</f>
        <v>110   / 2</v>
      </c>
      <c r="B80" s="50" t="str">
        <f>'쪽쟘(실측)'!B80&amp;"F"</f>
        <v>11F</v>
      </c>
      <c r="C80" s="50" t="str">
        <f t="shared" si="8"/>
        <v>930*118.2</v>
      </c>
      <c r="D80" s="50">
        <f>'쪽쟘(실측)'!C80-쪽쟘OP차감</f>
        <v>897</v>
      </c>
      <c r="E80" s="50">
        <f>'쪽쟘(실측)'!D80+쪽쟘J늘림+MAX(W80:X80)</f>
        <v>85</v>
      </c>
      <c r="F80" s="50">
        <f>'쪽쟘(실측)'!E80+쪽쟘J늘림+MAX(W80:X80)</f>
        <v>83</v>
      </c>
      <c r="G80" s="67" t="str">
        <f t="shared" si="9"/>
        <v>2092*123</v>
      </c>
      <c r="H80" s="68" t="str">
        <f t="shared" si="10"/>
        <v>2092*122</v>
      </c>
      <c r="I80" s="50">
        <f>IF('쪽쟘(실측)'!F80&gt;0,'쪽쟘(실측)'!F80-3,0)+뒷날개치수더함</f>
        <v>17</v>
      </c>
      <c r="J80" s="50">
        <f>IF('쪽쟘(실측)'!H80&gt;0,'쪽쟘(실측)'!H80-3,0)+뒷날개치수더함</f>
        <v>16</v>
      </c>
      <c r="K80" s="50">
        <f>IF('쪽쟘(실측)'!F80&gt;0,'쪽쟘(실측)'!F80+0,0)+뒷날개치수더함-0.2</f>
        <v>19.8</v>
      </c>
      <c r="L80" s="50">
        <f>IF('쪽쟘(실측)'!G80&gt;0,'쪽쟘(실측)'!G80+0,0)+뒷날개치수더함-0.2</f>
        <v>19.8</v>
      </c>
      <c r="M80" s="50">
        <f>IF('쪽쟘(실측)'!H80&gt;0,'쪽쟘(실측)'!H80+0,0)+뒷날개치수더함-0.2</f>
        <v>18.8</v>
      </c>
      <c r="N80" s="50">
        <f>IF('쪽쟘(실측)'!I80&gt;0,'쪽쟘(실측)'!I80+0,0)+뒷날개치수더함-0.2</f>
        <v>18.8</v>
      </c>
      <c r="O80" s="50">
        <f>'쪽쟘(실측)'!J80-쪽쟘기둥차감</f>
        <v>2092</v>
      </c>
      <c r="P80" s="50">
        <f>'쪽쟘(실측)'!K80-쪽쟘기둥차감</f>
        <v>2092</v>
      </c>
      <c r="Q80" s="50">
        <f>'쪽쟘(실측)'!L80-쪽쟘기둥차감</f>
        <v>2092</v>
      </c>
      <c r="R80" s="50">
        <f>'쪽쟘(실측)'!M80-쪽쟘기둥차감</f>
        <v>2092</v>
      </c>
      <c r="S80" s="50">
        <f>'쪽쟘(실측)'!N80+뒷날개치수더함</f>
        <v>22</v>
      </c>
      <c r="T80" s="50">
        <f>'쪽쟘(실측)'!O80+뒷날개치수더함</f>
        <v>22</v>
      </c>
      <c r="U80" s="50">
        <f>'쪽쟘(실측)'!P80+뒷날개치수더함</f>
        <v>16</v>
      </c>
      <c r="V80" s="50">
        <f>'쪽쟘(실측)'!Q80+뒷날개치수더함</f>
        <v>25</v>
      </c>
      <c r="W80" s="50">
        <f>'쪽쟘(실측)'!R80-쪽쟘늘치차감</f>
        <v>0</v>
      </c>
      <c r="X80" s="50">
        <f>'쪽쟘(실측)'!S80-쪽쟘늘치차감</f>
        <v>0</v>
      </c>
      <c r="Y80" s="4">
        <f>IF('쪽쟘(실측)'!T80&gt;5,'쪽쟘(실측)'!T80+뒷날개치수더함,0)</f>
        <v>15</v>
      </c>
      <c r="Z80" s="4">
        <f>'쪽쟘(실측)'!U80</f>
        <v>10</v>
      </c>
      <c r="AA80" s="4">
        <f>'쪽쟘(실측)'!V80</f>
        <v>6</v>
      </c>
      <c r="AC80">
        <f t="shared" si="11"/>
        <v>930</v>
      </c>
      <c r="AD80">
        <f>U80+E80+MAX(S80,T80)-쪽쟘소재t*3+IF(S80=0,S80*쪽쟘소재t,0)-1.2</f>
        <v>118.2</v>
      </c>
      <c r="AE80">
        <f>MAX(K80,L80)+F80+V80-쪽쟘소재t*3+IF(K80=0,쪽쟘소재t)-IF(AA80=90,2.4,0)-1.2</f>
        <v>123</v>
      </c>
      <c r="AF80">
        <f t="shared" si="12"/>
        <v>2092</v>
      </c>
      <c r="AG80">
        <f>MAX(M80,N80)+F80+V80-쪽쟘소재t*3+IF(M80=0,쪽쟘소재t)-IF(AA80=90,2.4,0)-1.2</f>
        <v>122</v>
      </c>
      <c r="AH80">
        <f t="shared" si="13"/>
        <v>2092</v>
      </c>
    </row>
    <row r="81" spans="1:34" ht="19.5" customHeight="1" x14ac:dyDescent="0.3">
      <c r="A81" s="50" t="str">
        <f>'쪽쟘(실측)'!A81</f>
        <v>110   / 2</v>
      </c>
      <c r="B81" s="50" t="str">
        <f>'쪽쟘(실측)'!B81&amp;"F"</f>
        <v>10F</v>
      </c>
      <c r="C81" s="50" t="str">
        <f t="shared" si="8"/>
        <v>935*115.2</v>
      </c>
      <c r="D81" s="50">
        <f>'쪽쟘(실측)'!C81-쪽쟘OP차감</f>
        <v>897</v>
      </c>
      <c r="E81" s="50">
        <f>'쪽쟘(실측)'!D81+쪽쟘J늘림+MAX(W81:X81)</f>
        <v>85</v>
      </c>
      <c r="F81" s="50">
        <f>'쪽쟘(실측)'!E81+쪽쟘J늘림+MAX(W81:X81)</f>
        <v>83</v>
      </c>
      <c r="G81" s="67" t="str">
        <f t="shared" si="9"/>
        <v>2092*126</v>
      </c>
      <c r="H81" s="68" t="str">
        <f t="shared" si="10"/>
        <v>2092*124</v>
      </c>
      <c r="I81" s="50">
        <f>IF('쪽쟘(실측)'!F81&gt;0,'쪽쟘(실측)'!F81-3,0)+뒷날개치수더함</f>
        <v>20</v>
      </c>
      <c r="J81" s="50">
        <f>IF('쪽쟘(실측)'!H81&gt;0,'쪽쟘(실측)'!H81-3,0)+뒷날개치수더함</f>
        <v>18</v>
      </c>
      <c r="K81" s="50">
        <f>IF('쪽쟘(실측)'!F81&gt;0,'쪽쟘(실측)'!F81+0,0)+뒷날개치수더함-0.2</f>
        <v>22.8</v>
      </c>
      <c r="L81" s="50">
        <f>IF('쪽쟘(실측)'!G81&gt;0,'쪽쟘(실측)'!G81+0,0)+뒷날개치수더함-0.2</f>
        <v>22.8</v>
      </c>
      <c r="M81" s="50">
        <f>IF('쪽쟘(실측)'!H81&gt;0,'쪽쟘(실측)'!H81+0,0)+뒷날개치수더함-0.2</f>
        <v>20.8</v>
      </c>
      <c r="N81" s="50">
        <f>IF('쪽쟘(실측)'!I81&gt;0,'쪽쟘(실측)'!I81+0,0)+뒷날개치수더함-0.2</f>
        <v>20.8</v>
      </c>
      <c r="O81" s="50">
        <f>'쪽쟘(실측)'!J81-쪽쟘기둥차감</f>
        <v>2092</v>
      </c>
      <c r="P81" s="50">
        <f>'쪽쟘(실측)'!K81-쪽쟘기둥차감</f>
        <v>2092</v>
      </c>
      <c r="Q81" s="50">
        <f>'쪽쟘(실측)'!L81-쪽쟘기둥차감</f>
        <v>2092</v>
      </c>
      <c r="R81" s="50">
        <f>'쪽쟘(실측)'!M81-쪽쟘기둥차감</f>
        <v>2092</v>
      </c>
      <c r="S81" s="50">
        <f>'쪽쟘(실측)'!N81+뒷날개치수더함</f>
        <v>19</v>
      </c>
      <c r="T81" s="50">
        <f>'쪽쟘(실측)'!O81+뒷날개치수더함</f>
        <v>19</v>
      </c>
      <c r="U81" s="50">
        <f>'쪽쟘(실측)'!P81+뒷날개치수더함</f>
        <v>16</v>
      </c>
      <c r="V81" s="50">
        <f>'쪽쟘(실측)'!Q81+뒷날개치수더함</f>
        <v>25</v>
      </c>
      <c r="W81" s="50">
        <f>'쪽쟘(실측)'!R81-쪽쟘늘치차감</f>
        <v>0</v>
      </c>
      <c r="X81" s="50">
        <f>'쪽쟘(실측)'!S81-쪽쟘늘치차감</f>
        <v>0</v>
      </c>
      <c r="Y81" s="4">
        <f>IF('쪽쟘(실측)'!T81&gt;5,'쪽쟘(실측)'!T81+뒷날개치수더함,0)</f>
        <v>15</v>
      </c>
      <c r="Z81" s="4">
        <f>'쪽쟘(실측)'!U81</f>
        <v>10</v>
      </c>
      <c r="AA81" s="4">
        <f>'쪽쟘(실측)'!V81</f>
        <v>6</v>
      </c>
      <c r="AC81">
        <f t="shared" si="11"/>
        <v>935</v>
      </c>
      <c r="AD81">
        <f>U81+E81+MAX(S81,T81)-쪽쟘소재t*3+IF(S81=0,S81*쪽쟘소재t,0)-1.2</f>
        <v>115.2</v>
      </c>
      <c r="AE81">
        <f>MAX(K81,L81)+F81+V81-쪽쟘소재t*3+IF(K81=0,쪽쟘소재t)-IF(AA81=90,2.4,0)-1.2</f>
        <v>126.00000000000001</v>
      </c>
      <c r="AF81">
        <f t="shared" si="12"/>
        <v>2092</v>
      </c>
      <c r="AG81">
        <f>MAX(M81,N81)+F81+V81-쪽쟘소재t*3+IF(M81=0,쪽쟘소재t)-IF(AA81=90,2.4,0)-1.2</f>
        <v>124.00000000000001</v>
      </c>
      <c r="AH81">
        <f t="shared" si="13"/>
        <v>2092</v>
      </c>
    </row>
    <row r="82" spans="1:34" ht="19.5" customHeight="1" x14ac:dyDescent="0.3">
      <c r="A82" s="50" t="str">
        <f>'쪽쟘(실측)'!A82</f>
        <v>110   / 2</v>
      </c>
      <c r="B82" s="50" t="str">
        <f>'쪽쟘(실측)'!B82&amp;"F"</f>
        <v>9F</v>
      </c>
      <c r="C82" s="50" t="str">
        <f t="shared" si="8"/>
        <v>933*103.2</v>
      </c>
      <c r="D82" s="50">
        <f>'쪽쟘(실측)'!C82-쪽쟘OP차감</f>
        <v>898</v>
      </c>
      <c r="E82" s="50">
        <f>'쪽쟘(실측)'!D82+쪽쟘J늘림+MAX(W82:X82)</f>
        <v>85</v>
      </c>
      <c r="F82" s="50">
        <f>'쪽쟘(실측)'!E82+쪽쟘J늘림+MAX(W82:X82)</f>
        <v>83</v>
      </c>
      <c r="G82" s="67" t="str">
        <f t="shared" si="9"/>
        <v>2092*124</v>
      </c>
      <c r="H82" s="68" t="str">
        <f t="shared" si="10"/>
        <v>2092*123</v>
      </c>
      <c r="I82" s="50">
        <f>IF('쪽쟘(실측)'!F82&gt;0,'쪽쟘(실측)'!F82-3,0)+뒷날개치수더함</f>
        <v>18</v>
      </c>
      <c r="J82" s="50">
        <f>IF('쪽쟘(실측)'!H82&gt;0,'쪽쟘(실측)'!H82-3,0)+뒷날개치수더함</f>
        <v>17</v>
      </c>
      <c r="K82" s="50">
        <f>IF('쪽쟘(실측)'!F82&gt;0,'쪽쟘(실측)'!F82+0,0)+뒷날개치수더함-0.2</f>
        <v>20.8</v>
      </c>
      <c r="L82" s="50">
        <f>IF('쪽쟘(실측)'!G82&gt;0,'쪽쟘(실측)'!G82+0,0)+뒷날개치수더함-0.2</f>
        <v>20.8</v>
      </c>
      <c r="M82" s="50">
        <f>IF('쪽쟘(실측)'!H82&gt;0,'쪽쟘(실측)'!H82+0,0)+뒷날개치수더함-0.2</f>
        <v>19.8</v>
      </c>
      <c r="N82" s="50">
        <f>IF('쪽쟘(실측)'!I82&gt;0,'쪽쟘(실측)'!I82+0,0)+뒷날개치수더함-0.2</f>
        <v>19.8</v>
      </c>
      <c r="O82" s="50">
        <f>'쪽쟘(실측)'!J82-쪽쟘기둥차감</f>
        <v>2092</v>
      </c>
      <c r="P82" s="50">
        <f>'쪽쟘(실측)'!K82-쪽쟘기둥차감</f>
        <v>2092</v>
      </c>
      <c r="Q82" s="50">
        <f>'쪽쟘(실측)'!L82-쪽쟘기둥차감</f>
        <v>2092</v>
      </c>
      <c r="R82" s="50">
        <f>'쪽쟘(실측)'!M82-쪽쟘기둥차감</f>
        <v>2092</v>
      </c>
      <c r="S82" s="50">
        <f>'쪽쟘(실측)'!N82+뒷날개치수더함</f>
        <v>7</v>
      </c>
      <c r="T82" s="50">
        <f>'쪽쟘(실측)'!O82+뒷날개치수더함</f>
        <v>7</v>
      </c>
      <c r="U82" s="50">
        <f>'쪽쟘(실측)'!P82+뒷날개치수더함</f>
        <v>16</v>
      </c>
      <c r="V82" s="50">
        <f>'쪽쟘(실측)'!Q82+뒷날개치수더함</f>
        <v>25</v>
      </c>
      <c r="W82" s="50">
        <f>'쪽쟘(실측)'!R82-쪽쟘늘치차감</f>
        <v>0</v>
      </c>
      <c r="X82" s="50">
        <f>'쪽쟘(실측)'!S82-쪽쟘늘치차감</f>
        <v>0</v>
      </c>
      <c r="Y82" s="4">
        <f>IF('쪽쟘(실측)'!T82&gt;5,'쪽쟘(실측)'!T82+뒷날개치수더함,0)</f>
        <v>15</v>
      </c>
      <c r="Z82" s="4">
        <f>'쪽쟘(실측)'!U82</f>
        <v>10</v>
      </c>
      <c r="AA82" s="4">
        <f>'쪽쟘(실측)'!V82</f>
        <v>6</v>
      </c>
      <c r="AC82">
        <f t="shared" si="11"/>
        <v>933</v>
      </c>
      <c r="AD82">
        <f>U82+E82+MAX(S82,T82)-쪽쟘소재t*3+IF(S82=0,S82*쪽쟘소재t,0)-1.2</f>
        <v>103.2</v>
      </c>
      <c r="AE82">
        <f>MAX(K82,L82)+F82+V82-쪽쟘소재t*3+IF(K82=0,쪽쟘소재t)-IF(AA82=90,2.4,0)-1.2</f>
        <v>124.00000000000001</v>
      </c>
      <c r="AF82">
        <f t="shared" si="12"/>
        <v>2092</v>
      </c>
      <c r="AG82">
        <f>MAX(M82,N82)+F82+V82-쪽쟘소재t*3+IF(M82=0,쪽쟘소재t)-IF(AA82=90,2.4,0)-1.2</f>
        <v>123</v>
      </c>
      <c r="AH82">
        <f t="shared" si="13"/>
        <v>2092</v>
      </c>
    </row>
    <row r="83" spans="1:34" ht="19.5" customHeight="1" x14ac:dyDescent="0.3">
      <c r="A83" s="50" t="str">
        <f>'쪽쟘(실측)'!A83</f>
        <v>110   / 2</v>
      </c>
      <c r="B83" s="50" t="str">
        <f>'쪽쟘(실측)'!B83&amp;"F"</f>
        <v>8F</v>
      </c>
      <c r="C83" s="50" t="str">
        <f t="shared" si="8"/>
        <v>933*111.2</v>
      </c>
      <c r="D83" s="50">
        <f>'쪽쟘(실측)'!C83-쪽쟘OP차감</f>
        <v>897</v>
      </c>
      <c r="E83" s="50">
        <f>'쪽쟘(실측)'!D83+쪽쟘J늘림+MAX(W83:X83)</f>
        <v>85</v>
      </c>
      <c r="F83" s="50">
        <f>'쪽쟘(실측)'!E83+쪽쟘J늘림+MAX(W83:X83)</f>
        <v>83</v>
      </c>
      <c r="G83" s="67" t="str">
        <f t="shared" si="9"/>
        <v>2092*123</v>
      </c>
      <c r="H83" s="68" t="str">
        <f t="shared" si="10"/>
        <v>2092*125</v>
      </c>
      <c r="I83" s="50">
        <f>IF('쪽쟘(실측)'!F83&gt;0,'쪽쟘(실측)'!F83-3,0)+뒷날개치수더함</f>
        <v>17</v>
      </c>
      <c r="J83" s="50">
        <f>IF('쪽쟘(실측)'!H83&gt;0,'쪽쟘(실측)'!H83-3,0)+뒷날개치수더함</f>
        <v>19</v>
      </c>
      <c r="K83" s="50">
        <f>IF('쪽쟘(실측)'!F83&gt;0,'쪽쟘(실측)'!F83+0,0)+뒷날개치수더함-0.2</f>
        <v>19.8</v>
      </c>
      <c r="L83" s="50">
        <f>IF('쪽쟘(실측)'!G83&gt;0,'쪽쟘(실측)'!G83+0,0)+뒷날개치수더함-0.2</f>
        <v>19.8</v>
      </c>
      <c r="M83" s="50">
        <f>IF('쪽쟘(실측)'!H83&gt;0,'쪽쟘(실측)'!H83+0,0)+뒷날개치수더함-0.2</f>
        <v>21.8</v>
      </c>
      <c r="N83" s="50">
        <f>IF('쪽쟘(실측)'!I83&gt;0,'쪽쟘(실측)'!I83+0,0)+뒷날개치수더함-0.2</f>
        <v>21.8</v>
      </c>
      <c r="O83" s="50">
        <f>'쪽쟘(실측)'!J83-쪽쟘기둥차감</f>
        <v>2092</v>
      </c>
      <c r="P83" s="50">
        <f>'쪽쟘(실측)'!K83-쪽쟘기둥차감</f>
        <v>2092</v>
      </c>
      <c r="Q83" s="50">
        <f>'쪽쟘(실측)'!L83-쪽쟘기둥차감</f>
        <v>2092</v>
      </c>
      <c r="R83" s="50">
        <f>'쪽쟘(실측)'!M83-쪽쟘기둥차감</f>
        <v>2092</v>
      </c>
      <c r="S83" s="50">
        <f>'쪽쟘(실측)'!N83+뒷날개치수더함</f>
        <v>15</v>
      </c>
      <c r="T83" s="50">
        <f>'쪽쟘(실측)'!O83+뒷날개치수더함</f>
        <v>15</v>
      </c>
      <c r="U83" s="50">
        <f>'쪽쟘(실측)'!P83+뒷날개치수더함</f>
        <v>16</v>
      </c>
      <c r="V83" s="50">
        <f>'쪽쟘(실측)'!Q83+뒷날개치수더함</f>
        <v>25</v>
      </c>
      <c r="W83" s="50">
        <f>'쪽쟘(실측)'!R83-쪽쟘늘치차감</f>
        <v>0</v>
      </c>
      <c r="X83" s="50">
        <f>'쪽쟘(실측)'!S83-쪽쟘늘치차감</f>
        <v>0</v>
      </c>
      <c r="Y83" s="4">
        <f>IF('쪽쟘(실측)'!T83&gt;5,'쪽쟘(실측)'!T83+뒷날개치수더함,0)</f>
        <v>15</v>
      </c>
      <c r="Z83" s="4">
        <f>'쪽쟘(실측)'!U83</f>
        <v>10</v>
      </c>
      <c r="AA83" s="4">
        <f>'쪽쟘(실측)'!V83</f>
        <v>6</v>
      </c>
      <c r="AC83">
        <f t="shared" si="11"/>
        <v>933</v>
      </c>
      <c r="AD83">
        <f>U83+E83+MAX(S83,T83)-쪽쟘소재t*3+IF(S83=0,S83*쪽쟘소재t,0)-1.2</f>
        <v>111.2</v>
      </c>
      <c r="AE83">
        <f>MAX(K83,L83)+F83+V83-쪽쟘소재t*3+IF(K83=0,쪽쟘소재t)-IF(AA83=90,2.4,0)-1.2</f>
        <v>123</v>
      </c>
      <c r="AF83">
        <f t="shared" si="12"/>
        <v>2092</v>
      </c>
      <c r="AG83">
        <f>MAX(M83,N83)+F83+V83-쪽쟘소재t*3+IF(M83=0,쪽쟘소재t)-IF(AA83=90,2.4,0)-1.2</f>
        <v>125.00000000000001</v>
      </c>
      <c r="AH83">
        <f t="shared" si="13"/>
        <v>2092</v>
      </c>
    </row>
    <row r="84" spans="1:34" ht="19.5" customHeight="1" x14ac:dyDescent="0.3">
      <c r="A84" s="50" t="str">
        <f>'쪽쟘(실측)'!A84</f>
        <v>110   / 2</v>
      </c>
      <c r="B84" s="50" t="str">
        <f>'쪽쟘(실측)'!B84&amp;"F"</f>
        <v>7F</v>
      </c>
      <c r="C84" s="50" t="str">
        <f t="shared" si="8"/>
        <v>937*111.2</v>
      </c>
      <c r="D84" s="50">
        <f>'쪽쟘(실측)'!C84-쪽쟘OP차감</f>
        <v>897</v>
      </c>
      <c r="E84" s="50">
        <f>'쪽쟘(실측)'!D84+쪽쟘J늘림+MAX(W84:X84)</f>
        <v>85</v>
      </c>
      <c r="F84" s="50">
        <f>'쪽쟘(실측)'!E84+쪽쟘J늘림+MAX(W84:X84)</f>
        <v>83</v>
      </c>
      <c r="G84" s="67" t="str">
        <f t="shared" si="9"/>
        <v>2092*126</v>
      </c>
      <c r="H84" s="68" t="str">
        <f t="shared" si="10"/>
        <v>2092*126</v>
      </c>
      <c r="I84" s="50">
        <f>IF('쪽쟘(실측)'!F84&gt;0,'쪽쟘(실측)'!F84-3,0)+뒷날개치수더함</f>
        <v>20</v>
      </c>
      <c r="J84" s="50">
        <f>IF('쪽쟘(실측)'!H84&gt;0,'쪽쟘(실측)'!H84-3,0)+뒷날개치수더함</f>
        <v>20</v>
      </c>
      <c r="K84" s="50">
        <f>IF('쪽쟘(실측)'!F84&gt;0,'쪽쟘(실측)'!F84+0,0)+뒷날개치수더함-0.2</f>
        <v>22.8</v>
      </c>
      <c r="L84" s="50">
        <f>IF('쪽쟘(실측)'!G84&gt;0,'쪽쟘(실측)'!G84+0,0)+뒷날개치수더함-0.2</f>
        <v>22.8</v>
      </c>
      <c r="M84" s="50">
        <f>IF('쪽쟘(실측)'!H84&gt;0,'쪽쟘(실측)'!H84+0,0)+뒷날개치수더함-0.2</f>
        <v>22.8</v>
      </c>
      <c r="N84" s="50">
        <f>IF('쪽쟘(실측)'!I84&gt;0,'쪽쟘(실측)'!I84+0,0)+뒷날개치수더함-0.2</f>
        <v>22.8</v>
      </c>
      <c r="O84" s="50">
        <f>'쪽쟘(실측)'!J84-쪽쟘기둥차감</f>
        <v>2092</v>
      </c>
      <c r="P84" s="50">
        <f>'쪽쟘(실측)'!K84-쪽쟘기둥차감</f>
        <v>2092</v>
      </c>
      <c r="Q84" s="50">
        <f>'쪽쟘(실측)'!L84-쪽쟘기둥차감</f>
        <v>2092</v>
      </c>
      <c r="R84" s="50">
        <f>'쪽쟘(실측)'!M84-쪽쟘기둥차감</f>
        <v>2092</v>
      </c>
      <c r="S84" s="50">
        <f>'쪽쟘(실측)'!N84+뒷날개치수더함</f>
        <v>15</v>
      </c>
      <c r="T84" s="50">
        <f>'쪽쟘(실측)'!O84+뒷날개치수더함</f>
        <v>15</v>
      </c>
      <c r="U84" s="50">
        <f>'쪽쟘(실측)'!P84+뒷날개치수더함</f>
        <v>16</v>
      </c>
      <c r="V84" s="50">
        <f>'쪽쟘(실측)'!Q84+뒷날개치수더함</f>
        <v>25</v>
      </c>
      <c r="W84" s="50">
        <f>'쪽쟘(실측)'!R84-쪽쟘늘치차감</f>
        <v>0</v>
      </c>
      <c r="X84" s="50">
        <f>'쪽쟘(실측)'!S84-쪽쟘늘치차감</f>
        <v>0</v>
      </c>
      <c r="Y84" s="4">
        <f>IF('쪽쟘(실측)'!T84&gt;5,'쪽쟘(실측)'!T84+뒷날개치수더함,0)</f>
        <v>15</v>
      </c>
      <c r="Z84" s="4">
        <f>'쪽쟘(실측)'!U84</f>
        <v>10</v>
      </c>
      <c r="AA84" s="4">
        <f>'쪽쟘(실측)'!V84</f>
        <v>6</v>
      </c>
      <c r="AC84">
        <f t="shared" si="11"/>
        <v>937</v>
      </c>
      <c r="AD84">
        <f>U84+E84+MAX(S84,T84)-쪽쟘소재t*3+IF(S84=0,S84*쪽쟘소재t,0)-1.2</f>
        <v>111.2</v>
      </c>
      <c r="AE84">
        <f>MAX(K84,L84)+F84+V84-쪽쟘소재t*3+IF(K84=0,쪽쟘소재t)-IF(AA84=90,2.4,0)-1.2</f>
        <v>126.00000000000001</v>
      </c>
      <c r="AF84">
        <f t="shared" si="12"/>
        <v>2092</v>
      </c>
      <c r="AG84">
        <f>MAX(M84,N84)+F84+V84-쪽쟘소재t*3+IF(M84=0,쪽쟘소재t)-IF(AA84=90,2.4,0)-1.2</f>
        <v>126.00000000000001</v>
      </c>
      <c r="AH84">
        <f t="shared" si="13"/>
        <v>2092</v>
      </c>
    </row>
    <row r="85" spans="1:34" ht="19.5" customHeight="1" x14ac:dyDescent="0.3">
      <c r="A85" s="50" t="str">
        <f>'쪽쟘(실측)'!A85</f>
        <v>110   / 2</v>
      </c>
      <c r="B85" s="50" t="str">
        <f>'쪽쟘(실측)'!B85&amp;"F"</f>
        <v>6F</v>
      </c>
      <c r="C85" s="50" t="str">
        <f t="shared" si="8"/>
        <v>928*116.2</v>
      </c>
      <c r="D85" s="50">
        <f>'쪽쟘(실측)'!C85-쪽쟘OP차감</f>
        <v>898</v>
      </c>
      <c r="E85" s="50">
        <f>'쪽쟘(실측)'!D85+쪽쟘J늘림+MAX(W85:X85)</f>
        <v>85</v>
      </c>
      <c r="F85" s="50">
        <f>'쪽쟘(실측)'!E85+쪽쟘J늘림+MAX(W85:X85)</f>
        <v>83</v>
      </c>
      <c r="G85" s="67" t="str">
        <f t="shared" si="9"/>
        <v>2098*120</v>
      </c>
      <c r="H85" s="68" t="str">
        <f t="shared" si="10"/>
        <v>2092*122</v>
      </c>
      <c r="I85" s="50">
        <f>IF('쪽쟘(실측)'!F85&gt;0,'쪽쟘(실측)'!F85-3,0)+뒷날개치수더함</f>
        <v>14</v>
      </c>
      <c r="J85" s="50">
        <f>IF('쪽쟘(실측)'!H85&gt;0,'쪽쟘(실측)'!H85-3,0)+뒷날개치수더함</f>
        <v>16</v>
      </c>
      <c r="K85" s="50">
        <f>IF('쪽쟘(실측)'!F85&gt;0,'쪽쟘(실측)'!F85+0,0)+뒷날개치수더함-0.2</f>
        <v>16.8</v>
      </c>
      <c r="L85" s="50">
        <f>IF('쪽쟘(실측)'!G85&gt;0,'쪽쟘(실측)'!G85+0,0)+뒷날개치수더함-0.2</f>
        <v>16.8</v>
      </c>
      <c r="M85" s="50">
        <f>IF('쪽쟘(실측)'!H85&gt;0,'쪽쟘(실측)'!H85+0,0)+뒷날개치수더함-0.2</f>
        <v>18.8</v>
      </c>
      <c r="N85" s="50">
        <f>IF('쪽쟘(실측)'!I85&gt;0,'쪽쟘(실측)'!I85+0,0)+뒷날개치수더함-0.2</f>
        <v>18.8</v>
      </c>
      <c r="O85" s="50">
        <f>'쪽쟘(실측)'!J85-쪽쟘기둥차감</f>
        <v>2098</v>
      </c>
      <c r="P85" s="50">
        <f>'쪽쟘(실측)'!K85-쪽쟘기둥차감</f>
        <v>2098</v>
      </c>
      <c r="Q85" s="50">
        <f>'쪽쟘(실측)'!L85-쪽쟘기둥차감</f>
        <v>2092</v>
      </c>
      <c r="R85" s="50">
        <f>'쪽쟘(실측)'!M85-쪽쟘기둥차감</f>
        <v>2092</v>
      </c>
      <c r="S85" s="50">
        <f>'쪽쟘(실측)'!N85+뒷날개치수더함</f>
        <v>20</v>
      </c>
      <c r="T85" s="50">
        <f>'쪽쟘(실측)'!O85+뒷날개치수더함</f>
        <v>20</v>
      </c>
      <c r="U85" s="50">
        <f>'쪽쟘(실측)'!P85+뒷날개치수더함</f>
        <v>16</v>
      </c>
      <c r="V85" s="50">
        <f>'쪽쟘(실측)'!Q85+뒷날개치수더함</f>
        <v>25</v>
      </c>
      <c r="W85" s="50">
        <f>'쪽쟘(실측)'!R85-쪽쟘늘치차감</f>
        <v>0</v>
      </c>
      <c r="X85" s="50">
        <f>'쪽쟘(실측)'!S85-쪽쟘늘치차감</f>
        <v>0</v>
      </c>
      <c r="Y85" s="4">
        <f>IF('쪽쟘(실측)'!T85&gt;5,'쪽쟘(실측)'!T85+뒷날개치수더함,0)</f>
        <v>15</v>
      </c>
      <c r="Z85" s="4">
        <f>'쪽쟘(실측)'!U85</f>
        <v>10</v>
      </c>
      <c r="AA85" s="4">
        <f>'쪽쟘(실측)'!V85</f>
        <v>6</v>
      </c>
      <c r="AC85">
        <f t="shared" si="11"/>
        <v>928</v>
      </c>
      <c r="AD85">
        <f>U85+E85+MAX(S85,T85)-쪽쟘소재t*3+IF(S85=0,S85*쪽쟘소재t,0)-1.2</f>
        <v>116.2</v>
      </c>
      <c r="AE85">
        <f>MAX(K85,L85)+F85+V85-쪽쟘소재t*3+IF(K85=0,쪽쟘소재t)-IF(AA85=90,2.4,0)-1.2</f>
        <v>120</v>
      </c>
      <c r="AF85">
        <f t="shared" si="12"/>
        <v>2098</v>
      </c>
      <c r="AG85">
        <f>MAX(M85,N85)+F85+V85-쪽쟘소재t*3+IF(M85=0,쪽쟘소재t)-IF(AA85=90,2.4,0)-1.2</f>
        <v>122</v>
      </c>
      <c r="AH85">
        <f t="shared" si="13"/>
        <v>2092</v>
      </c>
    </row>
    <row r="86" spans="1:34" ht="19.5" customHeight="1" x14ac:dyDescent="0.3">
      <c r="A86" s="50" t="str">
        <f>'쪽쟘(실측)'!A86</f>
        <v>110   / 2</v>
      </c>
      <c r="B86" s="50" t="str">
        <f>'쪽쟘(실측)'!B86&amp;"F"</f>
        <v>5F</v>
      </c>
      <c r="C86" s="50" t="str">
        <f t="shared" si="8"/>
        <v>934*105.2</v>
      </c>
      <c r="D86" s="50">
        <f>'쪽쟘(실측)'!C86-쪽쟘OP차감</f>
        <v>898</v>
      </c>
      <c r="E86" s="50">
        <f>'쪽쟘(실측)'!D86+쪽쟘J늘림+MAX(W86:X86)</f>
        <v>85</v>
      </c>
      <c r="F86" s="50">
        <f>'쪽쟘(실측)'!E86+쪽쟘J늘림+MAX(W86:X86)</f>
        <v>83</v>
      </c>
      <c r="G86" s="67" t="str">
        <f t="shared" si="9"/>
        <v>2092*125</v>
      </c>
      <c r="H86" s="68" t="str">
        <f t="shared" si="10"/>
        <v>2092*123</v>
      </c>
      <c r="I86" s="50">
        <f>IF('쪽쟘(실측)'!F86&gt;0,'쪽쟘(실측)'!F86-3,0)+뒷날개치수더함</f>
        <v>19</v>
      </c>
      <c r="J86" s="50">
        <f>IF('쪽쟘(실측)'!H86&gt;0,'쪽쟘(실측)'!H86-3,0)+뒷날개치수더함</f>
        <v>17</v>
      </c>
      <c r="K86" s="50">
        <f>IF('쪽쟘(실측)'!F86&gt;0,'쪽쟘(실측)'!F86+0,0)+뒷날개치수더함-0.2</f>
        <v>21.8</v>
      </c>
      <c r="L86" s="50">
        <f>IF('쪽쟘(실측)'!G86&gt;0,'쪽쟘(실측)'!G86+0,0)+뒷날개치수더함-0.2</f>
        <v>21.8</v>
      </c>
      <c r="M86" s="50">
        <f>IF('쪽쟘(실측)'!H86&gt;0,'쪽쟘(실측)'!H86+0,0)+뒷날개치수더함-0.2</f>
        <v>19.8</v>
      </c>
      <c r="N86" s="50">
        <f>IF('쪽쟘(실측)'!I86&gt;0,'쪽쟘(실측)'!I86+0,0)+뒷날개치수더함-0.2</f>
        <v>19.8</v>
      </c>
      <c r="O86" s="50">
        <f>'쪽쟘(실측)'!J86-쪽쟘기둥차감</f>
        <v>2092</v>
      </c>
      <c r="P86" s="50">
        <f>'쪽쟘(실측)'!K86-쪽쟘기둥차감</f>
        <v>2092</v>
      </c>
      <c r="Q86" s="50">
        <f>'쪽쟘(실측)'!L86-쪽쟘기둥차감</f>
        <v>2092</v>
      </c>
      <c r="R86" s="50">
        <f>'쪽쟘(실측)'!M86-쪽쟘기둥차감</f>
        <v>2092</v>
      </c>
      <c r="S86" s="50">
        <f>'쪽쟘(실측)'!N86+뒷날개치수더함</f>
        <v>9</v>
      </c>
      <c r="T86" s="50">
        <f>'쪽쟘(실측)'!O86+뒷날개치수더함</f>
        <v>9</v>
      </c>
      <c r="U86" s="50">
        <f>'쪽쟘(실측)'!P86+뒷날개치수더함</f>
        <v>16</v>
      </c>
      <c r="V86" s="50">
        <f>'쪽쟘(실측)'!Q86+뒷날개치수더함</f>
        <v>25</v>
      </c>
      <c r="W86" s="50">
        <f>'쪽쟘(실측)'!R86-쪽쟘늘치차감</f>
        <v>0</v>
      </c>
      <c r="X86" s="50">
        <f>'쪽쟘(실측)'!S86-쪽쟘늘치차감</f>
        <v>0</v>
      </c>
      <c r="Y86" s="4">
        <f>IF('쪽쟘(실측)'!T86&gt;5,'쪽쟘(실측)'!T86+뒷날개치수더함,0)</f>
        <v>15</v>
      </c>
      <c r="Z86" s="4">
        <f>'쪽쟘(실측)'!U86</f>
        <v>10</v>
      </c>
      <c r="AA86" s="4">
        <f>'쪽쟘(실측)'!V86</f>
        <v>6</v>
      </c>
      <c r="AC86">
        <f t="shared" si="11"/>
        <v>934</v>
      </c>
      <c r="AD86">
        <f>U86+E86+MAX(S86,T86)-쪽쟘소재t*3+IF(S86=0,S86*쪽쟘소재t,0)-1.2</f>
        <v>105.2</v>
      </c>
      <c r="AE86">
        <f>MAX(K86,L86)+F86+V86-쪽쟘소재t*3+IF(K86=0,쪽쟘소재t)-IF(AA86=90,2.4,0)-1.2</f>
        <v>125.00000000000001</v>
      </c>
      <c r="AF86">
        <f t="shared" si="12"/>
        <v>2092</v>
      </c>
      <c r="AG86">
        <f>MAX(M86,N86)+F86+V86-쪽쟘소재t*3+IF(M86=0,쪽쟘소재t)-IF(AA86=90,2.4,0)-1.2</f>
        <v>123</v>
      </c>
      <c r="AH86">
        <f t="shared" si="13"/>
        <v>2092</v>
      </c>
    </row>
    <row r="87" spans="1:34" ht="19.5" customHeight="1" x14ac:dyDescent="0.3">
      <c r="A87" s="50" t="str">
        <f>'쪽쟘(실측)'!A87</f>
        <v>110   / 2</v>
      </c>
      <c r="B87" s="50" t="str">
        <f>'쪽쟘(실측)'!B87&amp;"F"</f>
        <v>4F</v>
      </c>
      <c r="C87" s="50" t="str">
        <f t="shared" si="8"/>
        <v>933*106.2</v>
      </c>
      <c r="D87" s="50">
        <f>'쪽쟘(실측)'!C87-쪽쟘OP차감</f>
        <v>897</v>
      </c>
      <c r="E87" s="50">
        <f>'쪽쟘(실측)'!D87+쪽쟘J늘림+MAX(W87:X87)</f>
        <v>85</v>
      </c>
      <c r="F87" s="50">
        <f>'쪽쟘(실측)'!E87+쪽쟘J늘림+MAX(W87:X87)</f>
        <v>83</v>
      </c>
      <c r="G87" s="67" t="str">
        <f t="shared" si="9"/>
        <v>2092*125</v>
      </c>
      <c r="H87" s="68" t="str">
        <f t="shared" si="10"/>
        <v>2092*123</v>
      </c>
      <c r="I87" s="50">
        <f>IF('쪽쟘(실측)'!F87&gt;0,'쪽쟘(실측)'!F87-3,0)+뒷날개치수더함</f>
        <v>19</v>
      </c>
      <c r="J87" s="50">
        <f>IF('쪽쟘(실측)'!H87&gt;0,'쪽쟘(실측)'!H87-3,0)+뒷날개치수더함</f>
        <v>17</v>
      </c>
      <c r="K87" s="50">
        <f>IF('쪽쟘(실측)'!F87&gt;0,'쪽쟘(실측)'!F87+0,0)+뒷날개치수더함-0.2</f>
        <v>21.8</v>
      </c>
      <c r="L87" s="50">
        <f>IF('쪽쟘(실측)'!G87&gt;0,'쪽쟘(실측)'!G87+0,0)+뒷날개치수더함-0.2</f>
        <v>21.8</v>
      </c>
      <c r="M87" s="50">
        <f>IF('쪽쟘(실측)'!H87&gt;0,'쪽쟘(실측)'!H87+0,0)+뒷날개치수더함-0.2</f>
        <v>19.8</v>
      </c>
      <c r="N87" s="50">
        <f>IF('쪽쟘(실측)'!I87&gt;0,'쪽쟘(실측)'!I87+0,0)+뒷날개치수더함-0.2</f>
        <v>19.8</v>
      </c>
      <c r="O87" s="50">
        <f>'쪽쟘(실측)'!J87-쪽쟘기둥차감</f>
        <v>2092</v>
      </c>
      <c r="P87" s="50">
        <f>'쪽쟘(실측)'!K87-쪽쟘기둥차감</f>
        <v>2092</v>
      </c>
      <c r="Q87" s="50">
        <f>'쪽쟘(실측)'!L87-쪽쟘기둥차감</f>
        <v>2092</v>
      </c>
      <c r="R87" s="50">
        <f>'쪽쟘(실측)'!M87-쪽쟘기둥차감</f>
        <v>2092</v>
      </c>
      <c r="S87" s="50">
        <f>'쪽쟘(실측)'!N87+뒷날개치수더함</f>
        <v>10</v>
      </c>
      <c r="T87" s="50">
        <f>'쪽쟘(실측)'!O87+뒷날개치수더함</f>
        <v>10</v>
      </c>
      <c r="U87" s="50">
        <f>'쪽쟘(실측)'!P87+뒷날개치수더함</f>
        <v>16</v>
      </c>
      <c r="V87" s="50">
        <f>'쪽쟘(실측)'!Q87+뒷날개치수더함</f>
        <v>25</v>
      </c>
      <c r="W87" s="50">
        <f>'쪽쟘(실측)'!R87-쪽쟘늘치차감</f>
        <v>0</v>
      </c>
      <c r="X87" s="50">
        <f>'쪽쟘(실측)'!S87-쪽쟘늘치차감</f>
        <v>0</v>
      </c>
      <c r="Y87" s="4">
        <f>IF('쪽쟘(실측)'!T87&gt;5,'쪽쟘(실측)'!T87+뒷날개치수더함,0)</f>
        <v>15</v>
      </c>
      <c r="Z87" s="4">
        <f>'쪽쟘(실측)'!U87</f>
        <v>10</v>
      </c>
      <c r="AA87" s="4">
        <f>'쪽쟘(실측)'!V87</f>
        <v>6</v>
      </c>
      <c r="AC87">
        <f t="shared" si="11"/>
        <v>933</v>
      </c>
      <c r="AD87">
        <f>U87+E87+MAX(S87,T87)-쪽쟘소재t*3+IF(S87=0,S87*쪽쟘소재t,0)-1.2</f>
        <v>106.2</v>
      </c>
      <c r="AE87">
        <f>MAX(K87,L87)+F87+V87-쪽쟘소재t*3+IF(K87=0,쪽쟘소재t)-IF(AA87=90,2.4,0)-1.2</f>
        <v>125.00000000000001</v>
      </c>
      <c r="AF87">
        <f t="shared" si="12"/>
        <v>2092</v>
      </c>
      <c r="AG87">
        <f>MAX(M87,N87)+F87+V87-쪽쟘소재t*3+IF(M87=0,쪽쟘소재t)-IF(AA87=90,2.4,0)-1.2</f>
        <v>123</v>
      </c>
      <c r="AH87">
        <f t="shared" si="13"/>
        <v>2092</v>
      </c>
    </row>
    <row r="88" spans="1:34" ht="19.5" customHeight="1" x14ac:dyDescent="0.3">
      <c r="A88" s="50" t="str">
        <f>'쪽쟘(실측)'!A88</f>
        <v>110   / 2</v>
      </c>
      <c r="B88" s="50" t="str">
        <f>'쪽쟘(실측)'!B88&amp;"F"</f>
        <v>3F</v>
      </c>
      <c r="C88" s="50" t="str">
        <f t="shared" si="8"/>
        <v>932*110.2</v>
      </c>
      <c r="D88" s="50">
        <f>'쪽쟘(실측)'!C88-쪽쟘OP차감</f>
        <v>897</v>
      </c>
      <c r="E88" s="50">
        <f>'쪽쟘(실측)'!D88+쪽쟘J늘림+MAX(W88:X88)</f>
        <v>85</v>
      </c>
      <c r="F88" s="50">
        <f>'쪽쟘(실측)'!E88+쪽쟘J늘림+MAX(W88:X88)</f>
        <v>83</v>
      </c>
      <c r="G88" s="67" t="str">
        <f t="shared" si="9"/>
        <v>2092*125</v>
      </c>
      <c r="H88" s="68" t="str">
        <f t="shared" si="10"/>
        <v>2092*122</v>
      </c>
      <c r="I88" s="50">
        <f>IF('쪽쟘(실측)'!F88&gt;0,'쪽쟘(실측)'!F88-3,0)+뒷날개치수더함</f>
        <v>19</v>
      </c>
      <c r="J88" s="50">
        <f>IF('쪽쟘(실측)'!H88&gt;0,'쪽쟘(실측)'!H88-3,0)+뒷날개치수더함</f>
        <v>16</v>
      </c>
      <c r="K88" s="50">
        <f>IF('쪽쟘(실측)'!F88&gt;0,'쪽쟘(실측)'!F88+0,0)+뒷날개치수더함-0.2</f>
        <v>21.8</v>
      </c>
      <c r="L88" s="50">
        <f>IF('쪽쟘(실측)'!G88&gt;0,'쪽쟘(실측)'!G88+0,0)+뒷날개치수더함-0.2</f>
        <v>21.8</v>
      </c>
      <c r="M88" s="50">
        <f>IF('쪽쟘(실측)'!H88&gt;0,'쪽쟘(실측)'!H88+0,0)+뒷날개치수더함-0.2</f>
        <v>18.8</v>
      </c>
      <c r="N88" s="50">
        <f>IF('쪽쟘(실측)'!I88&gt;0,'쪽쟘(실측)'!I88+0,0)+뒷날개치수더함-0.2</f>
        <v>18.8</v>
      </c>
      <c r="O88" s="50">
        <f>'쪽쟘(실측)'!J88-쪽쟘기둥차감</f>
        <v>2092</v>
      </c>
      <c r="P88" s="50">
        <f>'쪽쟘(실측)'!K88-쪽쟘기둥차감</f>
        <v>2092</v>
      </c>
      <c r="Q88" s="50">
        <f>'쪽쟘(실측)'!L88-쪽쟘기둥차감</f>
        <v>2092</v>
      </c>
      <c r="R88" s="50">
        <f>'쪽쟘(실측)'!M88-쪽쟘기둥차감</f>
        <v>2092</v>
      </c>
      <c r="S88" s="50">
        <f>'쪽쟘(실측)'!N88+뒷날개치수더함</f>
        <v>14</v>
      </c>
      <c r="T88" s="50">
        <f>'쪽쟘(실측)'!O88+뒷날개치수더함</f>
        <v>14</v>
      </c>
      <c r="U88" s="50">
        <f>'쪽쟘(실측)'!P88+뒷날개치수더함</f>
        <v>16</v>
      </c>
      <c r="V88" s="50">
        <f>'쪽쟘(실측)'!Q88+뒷날개치수더함</f>
        <v>25</v>
      </c>
      <c r="W88" s="50">
        <f>'쪽쟘(실측)'!R88-쪽쟘늘치차감</f>
        <v>0</v>
      </c>
      <c r="X88" s="50">
        <f>'쪽쟘(실측)'!S88-쪽쟘늘치차감</f>
        <v>0</v>
      </c>
      <c r="Y88" s="4">
        <f>IF('쪽쟘(실측)'!T88&gt;5,'쪽쟘(실측)'!T88+뒷날개치수더함,0)</f>
        <v>15</v>
      </c>
      <c r="Z88" s="4">
        <f>'쪽쟘(실측)'!U88</f>
        <v>10</v>
      </c>
      <c r="AA88" s="4">
        <f>'쪽쟘(실측)'!V88</f>
        <v>6</v>
      </c>
      <c r="AC88">
        <f t="shared" si="11"/>
        <v>932</v>
      </c>
      <c r="AD88">
        <f>U88+E88+MAX(S88,T88)-쪽쟘소재t*3+IF(S88=0,S88*쪽쟘소재t,0)-1.2</f>
        <v>110.2</v>
      </c>
      <c r="AE88">
        <f>MAX(K88,L88)+F88+V88-쪽쟘소재t*3+IF(K88=0,쪽쟘소재t)-IF(AA88=90,2.4,0)-1.2</f>
        <v>125.00000000000001</v>
      </c>
      <c r="AF88">
        <f t="shared" si="12"/>
        <v>2092</v>
      </c>
      <c r="AG88">
        <f>MAX(M88,N88)+F88+V88-쪽쟘소재t*3+IF(M88=0,쪽쟘소재t)-IF(AA88=90,2.4,0)-1.2</f>
        <v>122</v>
      </c>
      <c r="AH88">
        <f t="shared" si="13"/>
        <v>2092</v>
      </c>
    </row>
    <row r="89" spans="1:34" ht="19.5" customHeight="1" x14ac:dyDescent="0.3">
      <c r="A89" s="50" t="str">
        <f>'쪽쟘(실측)'!A89</f>
        <v>110   / 2</v>
      </c>
      <c r="B89" s="50" t="str">
        <f>'쪽쟘(실측)'!B89&amp;"F"</f>
        <v>2F</v>
      </c>
      <c r="C89" s="50" t="str">
        <f t="shared" si="8"/>
        <v>925*103.2</v>
      </c>
      <c r="D89" s="50">
        <f>'쪽쟘(실측)'!C89-쪽쟘OP차감</f>
        <v>898</v>
      </c>
      <c r="E89" s="50">
        <f>'쪽쟘(실측)'!D89+쪽쟘J늘림+MAX(W89:X89)</f>
        <v>85</v>
      </c>
      <c r="F89" s="50">
        <f>'쪽쟘(실측)'!E89+쪽쟘J늘림+MAX(W89:X89)</f>
        <v>83</v>
      </c>
      <c r="G89" s="67" t="str">
        <f t="shared" si="9"/>
        <v>2092*119</v>
      </c>
      <c r="H89" s="68" t="str">
        <f t="shared" si="10"/>
        <v>2092*120</v>
      </c>
      <c r="I89" s="50">
        <f>IF('쪽쟘(실측)'!F89&gt;0,'쪽쟘(실측)'!F89-3,0)+뒷날개치수더함</f>
        <v>13</v>
      </c>
      <c r="J89" s="50">
        <f>IF('쪽쟘(실측)'!H89&gt;0,'쪽쟘(실측)'!H89-3,0)+뒷날개치수더함</f>
        <v>14</v>
      </c>
      <c r="K89" s="50">
        <f>IF('쪽쟘(실측)'!F89&gt;0,'쪽쟘(실측)'!F89+0,0)+뒷날개치수더함-0.2</f>
        <v>15.8</v>
      </c>
      <c r="L89" s="50">
        <f>IF('쪽쟘(실측)'!G89&gt;0,'쪽쟘(실측)'!G89+0,0)+뒷날개치수더함-0.2</f>
        <v>15.8</v>
      </c>
      <c r="M89" s="50">
        <f>IF('쪽쟘(실측)'!H89&gt;0,'쪽쟘(실측)'!H89+0,0)+뒷날개치수더함-0.2</f>
        <v>16.8</v>
      </c>
      <c r="N89" s="50">
        <f>IF('쪽쟘(실측)'!I89&gt;0,'쪽쟘(실측)'!I89+0,0)+뒷날개치수더함-0.2</f>
        <v>16.8</v>
      </c>
      <c r="O89" s="50">
        <f>'쪽쟘(실측)'!J89-쪽쟘기둥차감</f>
        <v>2092</v>
      </c>
      <c r="P89" s="50">
        <f>'쪽쟘(실측)'!K89-쪽쟘기둥차감</f>
        <v>2092</v>
      </c>
      <c r="Q89" s="50">
        <f>'쪽쟘(실측)'!L89-쪽쟘기둥차감</f>
        <v>2092</v>
      </c>
      <c r="R89" s="50">
        <f>'쪽쟘(실측)'!M89-쪽쟘기둥차감</f>
        <v>2092</v>
      </c>
      <c r="S89" s="50">
        <f>'쪽쟘(실측)'!N89+뒷날개치수더함</f>
        <v>7</v>
      </c>
      <c r="T89" s="50">
        <f>'쪽쟘(실측)'!O89+뒷날개치수더함</f>
        <v>7</v>
      </c>
      <c r="U89" s="50">
        <f>'쪽쟘(실측)'!P89+뒷날개치수더함</f>
        <v>16</v>
      </c>
      <c r="V89" s="50">
        <f>'쪽쟘(실측)'!Q89+뒷날개치수더함</f>
        <v>25</v>
      </c>
      <c r="W89" s="50">
        <f>'쪽쟘(실측)'!R89-쪽쟘늘치차감</f>
        <v>0</v>
      </c>
      <c r="X89" s="50">
        <f>'쪽쟘(실측)'!S89-쪽쟘늘치차감</f>
        <v>0</v>
      </c>
      <c r="Y89" s="4">
        <f>IF('쪽쟘(실측)'!T89&gt;5,'쪽쟘(실측)'!T89+뒷날개치수더함,0)</f>
        <v>15</v>
      </c>
      <c r="Z89" s="4">
        <f>'쪽쟘(실측)'!U89</f>
        <v>10</v>
      </c>
      <c r="AA89" s="4">
        <f>'쪽쟘(실측)'!V89</f>
        <v>6</v>
      </c>
      <c r="AC89">
        <f t="shared" si="11"/>
        <v>925</v>
      </c>
      <c r="AD89">
        <f>U89+E89+MAX(S89,T89)-쪽쟘소재t*3+IF(S89=0,S89*쪽쟘소재t,0)-1.2</f>
        <v>103.2</v>
      </c>
      <c r="AE89">
        <f>MAX(K89,L89)+F89+V89-쪽쟘소재t*3+IF(K89=0,쪽쟘소재t)-IF(AA89=90,2.4,0)-1.2</f>
        <v>119</v>
      </c>
      <c r="AF89">
        <f t="shared" si="12"/>
        <v>2092</v>
      </c>
      <c r="AG89">
        <f>MAX(M89,N89)+F89+V89-쪽쟘소재t*3+IF(M89=0,쪽쟘소재t)-IF(AA89=90,2.4,0)-1.2</f>
        <v>120</v>
      </c>
      <c r="AH89">
        <f t="shared" si="13"/>
        <v>2092</v>
      </c>
    </row>
    <row r="90" spans="1:34" ht="19.5" customHeight="1" x14ac:dyDescent="0.3">
      <c r="A90" s="50" t="str">
        <f>'쪽쟘(실측)'!A90</f>
        <v>111   / 1</v>
      </c>
      <c r="B90" s="50" t="str">
        <f>'쪽쟘(실측)'!B90&amp;"F"</f>
        <v>17F</v>
      </c>
      <c r="C90" s="50" t="str">
        <f t="shared" si="8"/>
        <v>933*123.2</v>
      </c>
      <c r="D90" s="50">
        <f>'쪽쟘(실측)'!C90-쪽쟘OP차감</f>
        <v>897</v>
      </c>
      <c r="E90" s="50">
        <f>'쪽쟘(실측)'!D90+쪽쟘J늘림+MAX(W90:X90)</f>
        <v>85</v>
      </c>
      <c r="F90" s="50">
        <f>'쪽쟘(실측)'!E90+쪽쟘J늘림+MAX(W90:X90)</f>
        <v>83</v>
      </c>
      <c r="G90" s="67" t="str">
        <f t="shared" si="9"/>
        <v>2092*124</v>
      </c>
      <c r="H90" s="68" t="str">
        <f t="shared" si="10"/>
        <v>2092*124</v>
      </c>
      <c r="I90" s="50">
        <f>IF('쪽쟘(실측)'!F90&gt;0,'쪽쟘(실측)'!F90-3,0)+뒷날개치수더함</f>
        <v>18</v>
      </c>
      <c r="J90" s="50">
        <f>IF('쪽쟘(실측)'!H90&gt;0,'쪽쟘(실측)'!H90-3,0)+뒷날개치수더함</f>
        <v>18</v>
      </c>
      <c r="K90" s="50">
        <f>IF('쪽쟘(실측)'!F90&gt;0,'쪽쟘(실측)'!F90+0,0)+뒷날개치수더함-0.2</f>
        <v>20.8</v>
      </c>
      <c r="L90" s="50">
        <f>IF('쪽쟘(실측)'!G90&gt;0,'쪽쟘(실측)'!G90+0,0)+뒷날개치수더함-0.2</f>
        <v>20.8</v>
      </c>
      <c r="M90" s="50">
        <f>IF('쪽쟘(실측)'!H90&gt;0,'쪽쟘(실측)'!H90+0,0)+뒷날개치수더함-0.2</f>
        <v>20.8</v>
      </c>
      <c r="N90" s="50">
        <f>IF('쪽쟘(실측)'!I90&gt;0,'쪽쟘(실측)'!I90+0,0)+뒷날개치수더함-0.2</f>
        <v>20.8</v>
      </c>
      <c r="O90" s="50">
        <f>'쪽쟘(실측)'!J90-쪽쟘기둥차감</f>
        <v>2092</v>
      </c>
      <c r="P90" s="50">
        <f>'쪽쟘(실측)'!K90-쪽쟘기둥차감</f>
        <v>2092</v>
      </c>
      <c r="Q90" s="50">
        <f>'쪽쟘(실측)'!L90-쪽쟘기둥차감</f>
        <v>2092</v>
      </c>
      <c r="R90" s="50">
        <f>'쪽쟘(실측)'!M90-쪽쟘기둥차감</f>
        <v>2092</v>
      </c>
      <c r="S90" s="50">
        <f>'쪽쟘(실측)'!N90+뒷날개치수더함</f>
        <v>27</v>
      </c>
      <c r="T90" s="50">
        <f>'쪽쟘(실측)'!O90+뒷날개치수더함</f>
        <v>27</v>
      </c>
      <c r="U90" s="50">
        <f>'쪽쟘(실측)'!P90+뒷날개치수더함</f>
        <v>16</v>
      </c>
      <c r="V90" s="50">
        <f>'쪽쟘(실측)'!Q90+뒷날개치수더함</f>
        <v>25</v>
      </c>
      <c r="W90" s="50">
        <f>'쪽쟘(실측)'!R90-쪽쟘늘치차감</f>
        <v>0</v>
      </c>
      <c r="X90" s="50">
        <f>'쪽쟘(실측)'!S90-쪽쟘늘치차감</f>
        <v>0</v>
      </c>
      <c r="Y90" s="4">
        <f>IF('쪽쟘(실측)'!T90&gt;5,'쪽쟘(실측)'!T90+뒷날개치수더함,0)</f>
        <v>15</v>
      </c>
      <c r="Z90" s="4">
        <f>'쪽쟘(실측)'!U90</f>
        <v>10</v>
      </c>
      <c r="AA90" s="4">
        <f>'쪽쟘(실측)'!V90</f>
        <v>6</v>
      </c>
      <c r="AC90">
        <f t="shared" si="11"/>
        <v>933</v>
      </c>
      <c r="AD90">
        <f>U90+E90+MAX(S90,T90)-쪽쟘소재t*3+IF(S90=0,S90*쪽쟘소재t,0)-1.2</f>
        <v>123.2</v>
      </c>
      <c r="AE90">
        <f>MAX(K90,L90)+F90+V90-쪽쟘소재t*3+IF(K90=0,쪽쟘소재t)-IF(AA90=90,2.4,0)-1.2</f>
        <v>124.00000000000001</v>
      </c>
      <c r="AF90">
        <f t="shared" si="12"/>
        <v>2092</v>
      </c>
      <c r="AG90">
        <f>MAX(M90,N90)+F90+V90-쪽쟘소재t*3+IF(M90=0,쪽쟘소재t)-IF(AA90=90,2.4,0)-1.2</f>
        <v>124.00000000000001</v>
      </c>
      <c r="AH90">
        <f t="shared" si="13"/>
        <v>2092</v>
      </c>
    </row>
    <row r="91" spans="1:34" ht="19.5" customHeight="1" x14ac:dyDescent="0.3">
      <c r="A91" s="50" t="str">
        <f>'쪽쟘(실측)'!A91</f>
        <v>111   / 1</v>
      </c>
      <c r="B91" s="50" t="str">
        <f>'쪽쟘(실측)'!B91&amp;"F"</f>
        <v>16F</v>
      </c>
      <c r="C91" s="50" t="str">
        <f t="shared" si="8"/>
        <v>930*124.2</v>
      </c>
      <c r="D91" s="50">
        <f>'쪽쟘(실측)'!C91-쪽쟘OP차감</f>
        <v>897</v>
      </c>
      <c r="E91" s="50">
        <f>'쪽쟘(실측)'!D91+쪽쟘J늘림+MAX(W91:X91)</f>
        <v>85</v>
      </c>
      <c r="F91" s="50">
        <f>'쪽쟘(실측)'!E91+쪽쟘J늘림+MAX(W91:X91)</f>
        <v>83</v>
      </c>
      <c r="G91" s="67" t="str">
        <f t="shared" si="9"/>
        <v>2092*124</v>
      </c>
      <c r="H91" s="68" t="str">
        <f t="shared" si="10"/>
        <v>2092*121</v>
      </c>
      <c r="I91" s="50">
        <f>IF('쪽쟘(실측)'!F91&gt;0,'쪽쟘(실측)'!F91-3,0)+뒷날개치수더함</f>
        <v>18</v>
      </c>
      <c r="J91" s="50">
        <f>IF('쪽쟘(실측)'!H91&gt;0,'쪽쟘(실측)'!H91-3,0)+뒷날개치수더함</f>
        <v>15</v>
      </c>
      <c r="K91" s="50">
        <f>IF('쪽쟘(실측)'!F91&gt;0,'쪽쟘(실측)'!F91+0,0)+뒷날개치수더함-0.2</f>
        <v>20.8</v>
      </c>
      <c r="L91" s="50">
        <f>IF('쪽쟘(실측)'!G91&gt;0,'쪽쟘(실측)'!G91+0,0)+뒷날개치수더함-0.2</f>
        <v>20.8</v>
      </c>
      <c r="M91" s="50">
        <f>IF('쪽쟘(실측)'!H91&gt;0,'쪽쟘(실측)'!H91+0,0)+뒷날개치수더함-0.2</f>
        <v>17.8</v>
      </c>
      <c r="N91" s="50">
        <f>IF('쪽쟘(실측)'!I91&gt;0,'쪽쟘(실측)'!I91+0,0)+뒷날개치수더함-0.2</f>
        <v>17.8</v>
      </c>
      <c r="O91" s="50">
        <f>'쪽쟘(실측)'!J91-쪽쟘기둥차감</f>
        <v>2092</v>
      </c>
      <c r="P91" s="50">
        <f>'쪽쟘(실측)'!K91-쪽쟘기둥차감</f>
        <v>2092</v>
      </c>
      <c r="Q91" s="50">
        <f>'쪽쟘(실측)'!L91-쪽쟘기둥차감</f>
        <v>2092</v>
      </c>
      <c r="R91" s="50">
        <f>'쪽쟘(실측)'!M91-쪽쟘기둥차감</f>
        <v>2092</v>
      </c>
      <c r="S91" s="50">
        <f>'쪽쟘(실측)'!N91+뒷날개치수더함</f>
        <v>28</v>
      </c>
      <c r="T91" s="50">
        <f>'쪽쟘(실측)'!O91+뒷날개치수더함</f>
        <v>28</v>
      </c>
      <c r="U91" s="50">
        <f>'쪽쟘(실측)'!P91+뒷날개치수더함</f>
        <v>16</v>
      </c>
      <c r="V91" s="50">
        <f>'쪽쟘(실측)'!Q91+뒷날개치수더함</f>
        <v>25</v>
      </c>
      <c r="W91" s="50">
        <f>'쪽쟘(실측)'!R91-쪽쟘늘치차감</f>
        <v>0</v>
      </c>
      <c r="X91" s="50">
        <f>'쪽쟘(실측)'!S91-쪽쟘늘치차감</f>
        <v>0</v>
      </c>
      <c r="Y91" s="4">
        <f>IF('쪽쟘(실측)'!T91&gt;5,'쪽쟘(실측)'!T91+뒷날개치수더함,0)</f>
        <v>15</v>
      </c>
      <c r="Z91" s="4">
        <f>'쪽쟘(실측)'!U91</f>
        <v>10</v>
      </c>
      <c r="AA91" s="4">
        <f>'쪽쟘(실측)'!V91</f>
        <v>6</v>
      </c>
      <c r="AC91">
        <f t="shared" si="11"/>
        <v>930</v>
      </c>
      <c r="AD91">
        <f>U91+E91+MAX(S91,T91)-쪽쟘소재t*3+IF(S91=0,S91*쪽쟘소재t,0)-1.2</f>
        <v>124.2</v>
      </c>
      <c r="AE91">
        <f>MAX(K91,L91)+F91+V91-쪽쟘소재t*3+IF(K91=0,쪽쟘소재t)-IF(AA91=90,2.4,0)-1.2</f>
        <v>124.00000000000001</v>
      </c>
      <c r="AF91">
        <f t="shared" si="12"/>
        <v>2092</v>
      </c>
      <c r="AG91">
        <f>MAX(M91,N91)+F91+V91-쪽쟘소재t*3+IF(M91=0,쪽쟘소재t)-IF(AA91=90,2.4,0)-1.2</f>
        <v>121</v>
      </c>
      <c r="AH91">
        <f t="shared" si="13"/>
        <v>2092</v>
      </c>
    </row>
    <row r="92" spans="1:34" ht="19.5" customHeight="1" x14ac:dyDescent="0.3">
      <c r="A92" s="50" t="str">
        <f>'쪽쟘(실측)'!A92</f>
        <v>111   / 1</v>
      </c>
      <c r="B92" s="50" t="str">
        <f>'쪽쟘(실측)'!B92&amp;"F"</f>
        <v>15F</v>
      </c>
      <c r="C92" s="50" t="str">
        <f t="shared" si="8"/>
        <v>935*125.2</v>
      </c>
      <c r="D92" s="50">
        <f>'쪽쟘(실측)'!C92-쪽쟘OP차감</f>
        <v>898</v>
      </c>
      <c r="E92" s="50">
        <f>'쪽쟘(실측)'!D92+쪽쟘J늘림+MAX(W92:X92)</f>
        <v>85</v>
      </c>
      <c r="F92" s="50">
        <f>'쪽쟘(실측)'!E92+쪽쟘J늘림+MAX(W92:X92)</f>
        <v>83</v>
      </c>
      <c r="G92" s="67" t="str">
        <f t="shared" si="9"/>
        <v>2098*125</v>
      </c>
      <c r="H92" s="68" t="str">
        <f t="shared" si="10"/>
        <v>2098*124</v>
      </c>
      <c r="I92" s="50">
        <f>IF('쪽쟘(실측)'!F92&gt;0,'쪽쟘(실측)'!F92-3,0)+뒷날개치수더함</f>
        <v>19</v>
      </c>
      <c r="J92" s="50">
        <f>IF('쪽쟘(실측)'!H92&gt;0,'쪽쟘(실측)'!H92-3,0)+뒷날개치수더함</f>
        <v>18</v>
      </c>
      <c r="K92" s="50">
        <f>IF('쪽쟘(실측)'!F92&gt;0,'쪽쟘(실측)'!F92+0,0)+뒷날개치수더함-0.2</f>
        <v>21.8</v>
      </c>
      <c r="L92" s="50">
        <f>IF('쪽쟘(실측)'!G92&gt;0,'쪽쟘(실측)'!G92+0,0)+뒷날개치수더함-0.2</f>
        <v>21.8</v>
      </c>
      <c r="M92" s="50">
        <f>IF('쪽쟘(실측)'!H92&gt;0,'쪽쟘(실측)'!H92+0,0)+뒷날개치수더함-0.2</f>
        <v>20.8</v>
      </c>
      <c r="N92" s="50">
        <f>IF('쪽쟘(실측)'!I92&gt;0,'쪽쟘(실측)'!I92+0,0)+뒷날개치수더함-0.2</f>
        <v>20.8</v>
      </c>
      <c r="O92" s="50">
        <f>'쪽쟘(실측)'!J92-쪽쟘기둥차감</f>
        <v>2098</v>
      </c>
      <c r="P92" s="50">
        <f>'쪽쟘(실측)'!K92-쪽쟘기둥차감</f>
        <v>2098</v>
      </c>
      <c r="Q92" s="50">
        <f>'쪽쟘(실측)'!L92-쪽쟘기둥차감</f>
        <v>2098</v>
      </c>
      <c r="R92" s="50">
        <f>'쪽쟘(실측)'!M92-쪽쟘기둥차감</f>
        <v>2098</v>
      </c>
      <c r="S92" s="50">
        <f>'쪽쟘(실측)'!N92+뒷날개치수더함</f>
        <v>29</v>
      </c>
      <c r="T92" s="50">
        <f>'쪽쟘(실측)'!O92+뒷날개치수더함</f>
        <v>29</v>
      </c>
      <c r="U92" s="50">
        <f>'쪽쟘(실측)'!P92+뒷날개치수더함</f>
        <v>16</v>
      </c>
      <c r="V92" s="50">
        <f>'쪽쟘(실측)'!Q92+뒷날개치수더함</f>
        <v>25</v>
      </c>
      <c r="W92" s="50">
        <f>'쪽쟘(실측)'!R92-쪽쟘늘치차감</f>
        <v>0</v>
      </c>
      <c r="X92" s="50">
        <f>'쪽쟘(실측)'!S92-쪽쟘늘치차감</f>
        <v>0</v>
      </c>
      <c r="Y92" s="4">
        <f>IF('쪽쟘(실측)'!T92&gt;5,'쪽쟘(실측)'!T92+뒷날개치수더함,0)</f>
        <v>15</v>
      </c>
      <c r="Z92" s="4">
        <f>'쪽쟘(실측)'!U92</f>
        <v>10</v>
      </c>
      <c r="AA92" s="4">
        <f>'쪽쟘(실측)'!V92</f>
        <v>6</v>
      </c>
      <c r="AC92">
        <f t="shared" si="11"/>
        <v>935</v>
      </c>
      <c r="AD92">
        <f>U92+E92+MAX(S92,T92)-쪽쟘소재t*3+IF(S92=0,S92*쪽쟘소재t,0)-1.2</f>
        <v>125.2</v>
      </c>
      <c r="AE92">
        <f>MAX(K92,L92)+F92+V92-쪽쟘소재t*3+IF(K92=0,쪽쟘소재t)-IF(AA92=90,2.4,0)-1.2</f>
        <v>125.00000000000001</v>
      </c>
      <c r="AF92">
        <f t="shared" si="12"/>
        <v>2098</v>
      </c>
      <c r="AG92">
        <f>MAX(M92,N92)+F92+V92-쪽쟘소재t*3+IF(M92=0,쪽쟘소재t)-IF(AA92=90,2.4,0)-1.2</f>
        <v>124.00000000000001</v>
      </c>
      <c r="AH92">
        <f t="shared" si="13"/>
        <v>2098</v>
      </c>
    </row>
    <row r="93" spans="1:34" ht="19.5" customHeight="1" x14ac:dyDescent="0.3">
      <c r="A93" s="50" t="str">
        <f>'쪽쟘(실측)'!A93</f>
        <v>111   / 1</v>
      </c>
      <c r="B93" s="50" t="str">
        <f>'쪽쟘(실측)'!B93&amp;"F"</f>
        <v>14F</v>
      </c>
      <c r="C93" s="50" t="str">
        <f t="shared" si="8"/>
        <v>927*117.2</v>
      </c>
      <c r="D93" s="50">
        <f>'쪽쟘(실측)'!C93-쪽쟘OP차감</f>
        <v>897</v>
      </c>
      <c r="E93" s="50">
        <f>'쪽쟘(실측)'!D93+쪽쟘J늘림+MAX(W93:X93)</f>
        <v>85</v>
      </c>
      <c r="F93" s="50">
        <f>'쪽쟘(실측)'!E93+쪽쟘J늘림+MAX(W93:X93)</f>
        <v>83</v>
      </c>
      <c r="G93" s="67" t="str">
        <f t="shared" si="9"/>
        <v>2092*120</v>
      </c>
      <c r="H93" s="68" t="str">
        <f t="shared" si="10"/>
        <v>2092*122</v>
      </c>
      <c r="I93" s="50">
        <f>IF('쪽쟘(실측)'!F93&gt;0,'쪽쟘(실측)'!F93-3,0)+뒷날개치수더함</f>
        <v>14</v>
      </c>
      <c r="J93" s="50">
        <f>IF('쪽쟘(실측)'!H93&gt;0,'쪽쟘(실측)'!H93-3,0)+뒷날개치수더함</f>
        <v>16</v>
      </c>
      <c r="K93" s="50">
        <f>IF('쪽쟘(실측)'!F93&gt;0,'쪽쟘(실측)'!F93+0,0)+뒷날개치수더함-0.2</f>
        <v>16.8</v>
      </c>
      <c r="L93" s="50">
        <f>IF('쪽쟘(실측)'!G93&gt;0,'쪽쟘(실측)'!G93+0,0)+뒷날개치수더함-0.2</f>
        <v>16.8</v>
      </c>
      <c r="M93" s="50">
        <f>IF('쪽쟘(실측)'!H93&gt;0,'쪽쟘(실측)'!H93+0,0)+뒷날개치수더함-0.2</f>
        <v>18.8</v>
      </c>
      <c r="N93" s="50">
        <f>IF('쪽쟘(실측)'!I93&gt;0,'쪽쟘(실측)'!I93+0,0)+뒷날개치수더함-0.2</f>
        <v>18.8</v>
      </c>
      <c r="O93" s="50">
        <f>'쪽쟘(실측)'!J93-쪽쟘기둥차감</f>
        <v>2092</v>
      </c>
      <c r="P93" s="50">
        <f>'쪽쟘(실측)'!K93-쪽쟘기둥차감</f>
        <v>2092</v>
      </c>
      <c r="Q93" s="50">
        <f>'쪽쟘(실측)'!L93-쪽쟘기둥차감</f>
        <v>2092</v>
      </c>
      <c r="R93" s="50">
        <f>'쪽쟘(실측)'!M93-쪽쟘기둥차감</f>
        <v>2092</v>
      </c>
      <c r="S93" s="50">
        <f>'쪽쟘(실측)'!N93+뒷날개치수더함</f>
        <v>21</v>
      </c>
      <c r="T93" s="50">
        <f>'쪽쟘(실측)'!O93+뒷날개치수더함</f>
        <v>21</v>
      </c>
      <c r="U93" s="50">
        <f>'쪽쟘(실측)'!P93+뒷날개치수더함</f>
        <v>16</v>
      </c>
      <c r="V93" s="50">
        <f>'쪽쟘(실측)'!Q93+뒷날개치수더함</f>
        <v>25</v>
      </c>
      <c r="W93" s="50">
        <f>'쪽쟘(실측)'!R93-쪽쟘늘치차감</f>
        <v>0</v>
      </c>
      <c r="X93" s="50">
        <f>'쪽쟘(실측)'!S93-쪽쟘늘치차감</f>
        <v>0</v>
      </c>
      <c r="Y93" s="4">
        <f>IF('쪽쟘(실측)'!T93&gt;5,'쪽쟘(실측)'!T93+뒷날개치수더함,0)</f>
        <v>15</v>
      </c>
      <c r="Z93" s="4">
        <f>'쪽쟘(실측)'!U93</f>
        <v>10</v>
      </c>
      <c r="AA93" s="4">
        <f>'쪽쟘(실측)'!V93</f>
        <v>6</v>
      </c>
      <c r="AC93">
        <f t="shared" si="11"/>
        <v>927</v>
      </c>
      <c r="AD93">
        <f>U93+E93+MAX(S93,T93)-쪽쟘소재t*3+IF(S93=0,S93*쪽쟘소재t,0)-1.2</f>
        <v>117.2</v>
      </c>
      <c r="AE93">
        <f>MAX(K93,L93)+F93+V93-쪽쟘소재t*3+IF(K93=0,쪽쟘소재t)-IF(AA93=90,2.4,0)-1.2</f>
        <v>120</v>
      </c>
      <c r="AF93">
        <f t="shared" si="12"/>
        <v>2092</v>
      </c>
      <c r="AG93">
        <f>MAX(M93,N93)+F93+V93-쪽쟘소재t*3+IF(M93=0,쪽쟘소재t)-IF(AA93=90,2.4,0)-1.2</f>
        <v>122</v>
      </c>
      <c r="AH93">
        <f t="shared" si="13"/>
        <v>2092</v>
      </c>
    </row>
    <row r="94" spans="1:34" ht="19.5" customHeight="1" x14ac:dyDescent="0.3">
      <c r="A94" s="50" t="str">
        <f>'쪽쟘(실측)'!A94</f>
        <v>111   / 1</v>
      </c>
      <c r="B94" s="50" t="str">
        <f>'쪽쟘(실측)'!B94&amp;"F"</f>
        <v>13F</v>
      </c>
      <c r="C94" s="50" t="str">
        <f t="shared" si="8"/>
        <v>931*118.2</v>
      </c>
      <c r="D94" s="50">
        <f>'쪽쟘(실측)'!C94-쪽쟘OP차감</f>
        <v>897</v>
      </c>
      <c r="E94" s="50">
        <f>'쪽쟘(실측)'!D94+쪽쟘J늘림+MAX(W94:X94)</f>
        <v>85</v>
      </c>
      <c r="F94" s="50">
        <f>'쪽쟘(실측)'!E94+쪽쟘J늘림+MAX(W94:X94)</f>
        <v>83</v>
      </c>
      <c r="G94" s="67" t="str">
        <f t="shared" si="9"/>
        <v>2092*121</v>
      </c>
      <c r="H94" s="68" t="str">
        <f t="shared" si="10"/>
        <v>2092*125</v>
      </c>
      <c r="I94" s="50">
        <f>IF('쪽쟘(실측)'!F94&gt;0,'쪽쟘(실측)'!F94-3,0)+뒷날개치수더함</f>
        <v>15</v>
      </c>
      <c r="J94" s="50">
        <f>IF('쪽쟘(실측)'!H94&gt;0,'쪽쟘(실측)'!H94-3,0)+뒷날개치수더함</f>
        <v>19</v>
      </c>
      <c r="K94" s="50">
        <f>IF('쪽쟘(실측)'!F94&gt;0,'쪽쟘(실측)'!F94+0,0)+뒷날개치수더함-0.2</f>
        <v>17.8</v>
      </c>
      <c r="L94" s="50">
        <f>IF('쪽쟘(실측)'!G94&gt;0,'쪽쟘(실측)'!G94+0,0)+뒷날개치수더함-0.2</f>
        <v>17.8</v>
      </c>
      <c r="M94" s="50">
        <f>IF('쪽쟘(실측)'!H94&gt;0,'쪽쟘(실측)'!H94+0,0)+뒷날개치수더함-0.2</f>
        <v>21.8</v>
      </c>
      <c r="N94" s="50">
        <f>IF('쪽쟘(실측)'!I94&gt;0,'쪽쟘(실측)'!I94+0,0)+뒷날개치수더함-0.2</f>
        <v>21.8</v>
      </c>
      <c r="O94" s="50">
        <f>'쪽쟘(실측)'!J94-쪽쟘기둥차감</f>
        <v>2092</v>
      </c>
      <c r="P94" s="50">
        <f>'쪽쟘(실측)'!K94-쪽쟘기둥차감</f>
        <v>2092</v>
      </c>
      <c r="Q94" s="50">
        <f>'쪽쟘(실측)'!L94-쪽쟘기둥차감</f>
        <v>2092</v>
      </c>
      <c r="R94" s="50">
        <f>'쪽쟘(실측)'!M94-쪽쟘기둥차감</f>
        <v>2092</v>
      </c>
      <c r="S94" s="50">
        <f>'쪽쟘(실측)'!N94+뒷날개치수더함</f>
        <v>22</v>
      </c>
      <c r="T94" s="50">
        <f>'쪽쟘(실측)'!O94+뒷날개치수더함</f>
        <v>22</v>
      </c>
      <c r="U94" s="50">
        <f>'쪽쟘(실측)'!P94+뒷날개치수더함</f>
        <v>16</v>
      </c>
      <c r="V94" s="50">
        <f>'쪽쟘(실측)'!Q94+뒷날개치수더함</f>
        <v>25</v>
      </c>
      <c r="W94" s="50">
        <f>'쪽쟘(실측)'!R94-쪽쟘늘치차감</f>
        <v>0</v>
      </c>
      <c r="X94" s="50">
        <f>'쪽쟘(실측)'!S94-쪽쟘늘치차감</f>
        <v>0</v>
      </c>
      <c r="Y94" s="4">
        <f>IF('쪽쟘(실측)'!T94&gt;5,'쪽쟘(실측)'!T94+뒷날개치수더함,0)</f>
        <v>15</v>
      </c>
      <c r="Z94" s="4">
        <f>'쪽쟘(실측)'!U94</f>
        <v>10</v>
      </c>
      <c r="AA94" s="4">
        <f>'쪽쟘(실측)'!V94</f>
        <v>6</v>
      </c>
      <c r="AC94">
        <f t="shared" si="11"/>
        <v>931</v>
      </c>
      <c r="AD94">
        <f>U94+E94+MAX(S94,T94)-쪽쟘소재t*3+IF(S94=0,S94*쪽쟘소재t,0)-1.2</f>
        <v>118.2</v>
      </c>
      <c r="AE94">
        <f>MAX(K94,L94)+F94+V94-쪽쟘소재t*3+IF(K94=0,쪽쟘소재t)-IF(AA94=90,2.4,0)-1.2</f>
        <v>121</v>
      </c>
      <c r="AF94">
        <f t="shared" si="12"/>
        <v>2092</v>
      </c>
      <c r="AG94">
        <f>MAX(M94,N94)+F94+V94-쪽쟘소재t*3+IF(M94=0,쪽쟘소재t)-IF(AA94=90,2.4,0)-1.2</f>
        <v>125.00000000000001</v>
      </c>
      <c r="AH94">
        <f t="shared" si="13"/>
        <v>2092</v>
      </c>
    </row>
    <row r="95" spans="1:34" ht="19.5" customHeight="1" x14ac:dyDescent="0.3">
      <c r="A95" s="50" t="str">
        <f>'쪽쟘(실측)'!A95</f>
        <v>111   / 1</v>
      </c>
      <c r="B95" s="50" t="str">
        <f>'쪽쟘(실측)'!B95&amp;"F"</f>
        <v>12F</v>
      </c>
      <c r="C95" s="50" t="str">
        <f t="shared" si="8"/>
        <v>926*109.2</v>
      </c>
      <c r="D95" s="50">
        <f>'쪽쟘(실측)'!C95-쪽쟘OP차감</f>
        <v>898</v>
      </c>
      <c r="E95" s="50">
        <f>'쪽쟘(실측)'!D95+쪽쟘J늘림+MAX(W95:X95)</f>
        <v>85</v>
      </c>
      <c r="F95" s="50">
        <f>'쪽쟘(실측)'!E95+쪽쟘J늘림+MAX(W95:X95)</f>
        <v>83</v>
      </c>
      <c r="G95" s="67" t="str">
        <f t="shared" si="9"/>
        <v>2092*119</v>
      </c>
      <c r="H95" s="68" t="str">
        <f t="shared" si="10"/>
        <v>2092*121</v>
      </c>
      <c r="I95" s="50">
        <f>IF('쪽쟘(실측)'!F95&gt;0,'쪽쟘(실측)'!F95-3,0)+뒷날개치수더함</f>
        <v>13</v>
      </c>
      <c r="J95" s="50">
        <f>IF('쪽쟘(실측)'!H95&gt;0,'쪽쟘(실측)'!H95-3,0)+뒷날개치수더함</f>
        <v>15</v>
      </c>
      <c r="K95" s="50">
        <f>IF('쪽쟘(실측)'!F95&gt;0,'쪽쟘(실측)'!F95+0,0)+뒷날개치수더함-0.2</f>
        <v>15.8</v>
      </c>
      <c r="L95" s="50">
        <f>IF('쪽쟘(실측)'!G95&gt;0,'쪽쟘(실측)'!G95+0,0)+뒷날개치수더함-0.2</f>
        <v>15.8</v>
      </c>
      <c r="M95" s="50">
        <f>IF('쪽쟘(실측)'!H95&gt;0,'쪽쟘(실측)'!H95+0,0)+뒷날개치수더함-0.2</f>
        <v>17.8</v>
      </c>
      <c r="N95" s="50">
        <f>IF('쪽쟘(실측)'!I95&gt;0,'쪽쟘(실측)'!I95+0,0)+뒷날개치수더함-0.2</f>
        <v>17.8</v>
      </c>
      <c r="O95" s="50">
        <f>'쪽쟘(실측)'!J95-쪽쟘기둥차감</f>
        <v>2092</v>
      </c>
      <c r="P95" s="50">
        <f>'쪽쟘(실측)'!K95-쪽쟘기둥차감</f>
        <v>2092</v>
      </c>
      <c r="Q95" s="50">
        <f>'쪽쟘(실측)'!L95-쪽쟘기둥차감</f>
        <v>2092</v>
      </c>
      <c r="R95" s="50">
        <f>'쪽쟘(실측)'!M95-쪽쟘기둥차감</f>
        <v>2092</v>
      </c>
      <c r="S95" s="50">
        <f>'쪽쟘(실측)'!N95+뒷날개치수더함</f>
        <v>13</v>
      </c>
      <c r="T95" s="50">
        <f>'쪽쟘(실측)'!O95+뒷날개치수더함</f>
        <v>13</v>
      </c>
      <c r="U95" s="50">
        <f>'쪽쟘(실측)'!P95+뒷날개치수더함</f>
        <v>16</v>
      </c>
      <c r="V95" s="50">
        <f>'쪽쟘(실측)'!Q95+뒷날개치수더함</f>
        <v>25</v>
      </c>
      <c r="W95" s="50">
        <f>'쪽쟘(실측)'!R95-쪽쟘늘치차감</f>
        <v>0</v>
      </c>
      <c r="X95" s="50">
        <f>'쪽쟘(실측)'!S95-쪽쟘늘치차감</f>
        <v>0</v>
      </c>
      <c r="Y95" s="4">
        <f>IF('쪽쟘(실측)'!T95&gt;5,'쪽쟘(실측)'!T95+뒷날개치수더함,0)</f>
        <v>15</v>
      </c>
      <c r="Z95" s="4">
        <f>'쪽쟘(실측)'!U95</f>
        <v>10</v>
      </c>
      <c r="AA95" s="4">
        <f>'쪽쟘(실측)'!V95</f>
        <v>6</v>
      </c>
      <c r="AC95">
        <f t="shared" si="11"/>
        <v>926</v>
      </c>
      <c r="AD95">
        <f>U95+E95+MAX(S95,T95)-쪽쟘소재t*3+IF(S95=0,S95*쪽쟘소재t,0)-1.2</f>
        <v>109.2</v>
      </c>
      <c r="AE95">
        <f>MAX(K95,L95)+F95+V95-쪽쟘소재t*3+IF(K95=0,쪽쟘소재t)-IF(AA95=90,2.4,0)-1.2</f>
        <v>119</v>
      </c>
      <c r="AF95">
        <f t="shared" si="12"/>
        <v>2092</v>
      </c>
      <c r="AG95">
        <f>MAX(M95,N95)+F95+V95-쪽쟘소재t*3+IF(M95=0,쪽쟘소재t)-IF(AA95=90,2.4,0)-1.2</f>
        <v>121</v>
      </c>
      <c r="AH95">
        <f t="shared" si="13"/>
        <v>2092</v>
      </c>
    </row>
    <row r="96" spans="1:34" ht="19.5" customHeight="1" x14ac:dyDescent="0.3">
      <c r="A96" s="50" t="str">
        <f>'쪽쟘(실측)'!A96</f>
        <v>111   / 1</v>
      </c>
      <c r="B96" s="50" t="str">
        <f>'쪽쟘(실측)'!B96&amp;"F"</f>
        <v>11F</v>
      </c>
      <c r="C96" s="50" t="str">
        <f t="shared" si="8"/>
        <v>937*119.2</v>
      </c>
      <c r="D96" s="50">
        <f>'쪽쟘(실측)'!C96-쪽쟘OP차감</f>
        <v>898</v>
      </c>
      <c r="E96" s="50">
        <f>'쪽쟘(실측)'!D96+쪽쟘J늘림+MAX(W96:X96)</f>
        <v>85</v>
      </c>
      <c r="F96" s="50">
        <f>'쪽쟘(실측)'!E96+쪽쟘J늘림+MAX(W96:X96)</f>
        <v>83</v>
      </c>
      <c r="G96" s="67" t="str">
        <f t="shared" si="9"/>
        <v>2092*126</v>
      </c>
      <c r="H96" s="68" t="str">
        <f t="shared" si="10"/>
        <v>2089*125</v>
      </c>
      <c r="I96" s="50">
        <f>IF('쪽쟘(실측)'!F96&gt;0,'쪽쟘(실측)'!F96-3,0)+뒷날개치수더함</f>
        <v>20</v>
      </c>
      <c r="J96" s="50">
        <f>IF('쪽쟘(실측)'!H96&gt;0,'쪽쟘(실측)'!H96-3,0)+뒷날개치수더함</f>
        <v>19</v>
      </c>
      <c r="K96" s="50">
        <f>IF('쪽쟘(실측)'!F96&gt;0,'쪽쟘(실측)'!F96+0,0)+뒷날개치수더함-0.2</f>
        <v>22.8</v>
      </c>
      <c r="L96" s="50">
        <f>IF('쪽쟘(실측)'!G96&gt;0,'쪽쟘(실측)'!G96+0,0)+뒷날개치수더함-0.2</f>
        <v>22.8</v>
      </c>
      <c r="M96" s="50">
        <f>IF('쪽쟘(실측)'!H96&gt;0,'쪽쟘(실측)'!H96+0,0)+뒷날개치수더함-0.2</f>
        <v>21.8</v>
      </c>
      <c r="N96" s="50">
        <f>IF('쪽쟘(실측)'!I96&gt;0,'쪽쟘(실측)'!I96+0,0)+뒷날개치수더함-0.2</f>
        <v>21.8</v>
      </c>
      <c r="O96" s="50">
        <f>'쪽쟘(실측)'!J96-쪽쟘기둥차감</f>
        <v>2092</v>
      </c>
      <c r="P96" s="50">
        <f>'쪽쟘(실측)'!K96-쪽쟘기둥차감</f>
        <v>2092</v>
      </c>
      <c r="Q96" s="50">
        <f>'쪽쟘(실측)'!L96-쪽쟘기둥차감</f>
        <v>2089</v>
      </c>
      <c r="R96" s="50">
        <f>'쪽쟘(실측)'!M96-쪽쟘기둥차감</f>
        <v>2089</v>
      </c>
      <c r="S96" s="50">
        <f>'쪽쟘(실측)'!N96+뒷날개치수더함</f>
        <v>23</v>
      </c>
      <c r="T96" s="50">
        <f>'쪽쟘(실측)'!O96+뒷날개치수더함</f>
        <v>23</v>
      </c>
      <c r="U96" s="50">
        <f>'쪽쟘(실측)'!P96+뒷날개치수더함</f>
        <v>16</v>
      </c>
      <c r="V96" s="50">
        <f>'쪽쟘(실측)'!Q96+뒷날개치수더함</f>
        <v>25</v>
      </c>
      <c r="W96" s="50">
        <f>'쪽쟘(실측)'!R96-쪽쟘늘치차감</f>
        <v>0</v>
      </c>
      <c r="X96" s="50">
        <f>'쪽쟘(실측)'!S96-쪽쟘늘치차감</f>
        <v>0</v>
      </c>
      <c r="Y96" s="4">
        <f>IF('쪽쟘(실측)'!T96&gt;5,'쪽쟘(실측)'!T96+뒷날개치수더함,0)</f>
        <v>15</v>
      </c>
      <c r="Z96" s="4">
        <f>'쪽쟘(실측)'!U96</f>
        <v>10</v>
      </c>
      <c r="AA96" s="4">
        <f>'쪽쟘(실측)'!V96</f>
        <v>6</v>
      </c>
      <c r="AC96">
        <f t="shared" si="11"/>
        <v>937</v>
      </c>
      <c r="AD96">
        <f>U96+E96+MAX(S96,T96)-쪽쟘소재t*3+IF(S96=0,S96*쪽쟘소재t,0)-1.2</f>
        <v>119.2</v>
      </c>
      <c r="AE96">
        <f>MAX(K96,L96)+F96+V96-쪽쟘소재t*3+IF(K96=0,쪽쟘소재t)-IF(AA96=90,2.4,0)-1.2</f>
        <v>126.00000000000001</v>
      </c>
      <c r="AF96">
        <f t="shared" si="12"/>
        <v>2092</v>
      </c>
      <c r="AG96">
        <f>MAX(M96,N96)+F96+V96-쪽쟘소재t*3+IF(M96=0,쪽쟘소재t)-IF(AA96=90,2.4,0)-1.2</f>
        <v>125.00000000000001</v>
      </c>
      <c r="AH96">
        <f t="shared" si="13"/>
        <v>2089</v>
      </c>
    </row>
    <row r="97" spans="1:34" ht="19.5" customHeight="1" x14ac:dyDescent="0.3">
      <c r="A97" s="50" t="str">
        <f>'쪽쟘(실측)'!A97</f>
        <v>111   / 1</v>
      </c>
      <c r="B97" s="50" t="str">
        <f>'쪽쟘(실측)'!B97&amp;"F"</f>
        <v>10F</v>
      </c>
      <c r="C97" s="50" t="str">
        <f t="shared" si="8"/>
        <v>931*118.2</v>
      </c>
      <c r="D97" s="50">
        <f>'쪽쟘(실측)'!C97-쪽쟘OP차감</f>
        <v>898</v>
      </c>
      <c r="E97" s="50">
        <f>'쪽쟘(실측)'!D97+쪽쟘J늘림+MAX(W97:X97)</f>
        <v>85</v>
      </c>
      <c r="F97" s="50">
        <f>'쪽쟘(실측)'!E97+쪽쟘J늘림+MAX(W97:X97)</f>
        <v>83</v>
      </c>
      <c r="G97" s="67" t="str">
        <f t="shared" si="9"/>
        <v>2092*121</v>
      </c>
      <c r="H97" s="68" t="str">
        <f t="shared" si="10"/>
        <v>2092*124</v>
      </c>
      <c r="I97" s="50">
        <f>IF('쪽쟘(실측)'!F97&gt;0,'쪽쟘(실측)'!F97-3,0)+뒷날개치수더함</f>
        <v>15</v>
      </c>
      <c r="J97" s="50">
        <f>IF('쪽쟘(실측)'!H97&gt;0,'쪽쟘(실측)'!H97-3,0)+뒷날개치수더함</f>
        <v>18</v>
      </c>
      <c r="K97" s="50">
        <f>IF('쪽쟘(실측)'!F97&gt;0,'쪽쟘(실측)'!F97+0,0)+뒷날개치수더함-0.2</f>
        <v>17.8</v>
      </c>
      <c r="L97" s="50">
        <f>IF('쪽쟘(실측)'!G97&gt;0,'쪽쟘(실측)'!G97+0,0)+뒷날개치수더함-0.2</f>
        <v>17.8</v>
      </c>
      <c r="M97" s="50">
        <f>IF('쪽쟘(실측)'!H97&gt;0,'쪽쟘(실측)'!H97+0,0)+뒷날개치수더함-0.2</f>
        <v>20.8</v>
      </c>
      <c r="N97" s="50">
        <f>IF('쪽쟘(실측)'!I97&gt;0,'쪽쟘(실측)'!I97+0,0)+뒷날개치수더함-0.2</f>
        <v>20.8</v>
      </c>
      <c r="O97" s="50">
        <f>'쪽쟘(실측)'!J97-쪽쟘기둥차감</f>
        <v>2092</v>
      </c>
      <c r="P97" s="50">
        <f>'쪽쟘(실측)'!K97-쪽쟘기둥차감</f>
        <v>2092</v>
      </c>
      <c r="Q97" s="50">
        <f>'쪽쟘(실측)'!L97-쪽쟘기둥차감</f>
        <v>2092</v>
      </c>
      <c r="R97" s="50">
        <f>'쪽쟘(실측)'!M97-쪽쟘기둥차감</f>
        <v>2092</v>
      </c>
      <c r="S97" s="50">
        <f>'쪽쟘(실측)'!N97+뒷날개치수더함</f>
        <v>22</v>
      </c>
      <c r="T97" s="50">
        <f>'쪽쟘(실측)'!O97+뒷날개치수더함</f>
        <v>22</v>
      </c>
      <c r="U97" s="50">
        <f>'쪽쟘(실측)'!P97+뒷날개치수더함</f>
        <v>16</v>
      </c>
      <c r="V97" s="50">
        <f>'쪽쟘(실측)'!Q97+뒷날개치수더함</f>
        <v>25</v>
      </c>
      <c r="W97" s="50">
        <f>'쪽쟘(실측)'!R97-쪽쟘늘치차감</f>
        <v>0</v>
      </c>
      <c r="X97" s="50">
        <f>'쪽쟘(실측)'!S97-쪽쟘늘치차감</f>
        <v>0</v>
      </c>
      <c r="Y97" s="4">
        <f>IF('쪽쟘(실측)'!T97&gt;5,'쪽쟘(실측)'!T97+뒷날개치수더함,0)</f>
        <v>15</v>
      </c>
      <c r="Z97" s="4">
        <f>'쪽쟘(실측)'!U97</f>
        <v>10</v>
      </c>
      <c r="AA97" s="4">
        <f>'쪽쟘(실측)'!V97</f>
        <v>6</v>
      </c>
      <c r="AC97">
        <f t="shared" si="11"/>
        <v>931</v>
      </c>
      <c r="AD97">
        <f>U97+E97+MAX(S97,T97)-쪽쟘소재t*3+IF(S97=0,S97*쪽쟘소재t,0)-1.2</f>
        <v>118.2</v>
      </c>
      <c r="AE97">
        <f>MAX(K97,L97)+F97+V97-쪽쟘소재t*3+IF(K97=0,쪽쟘소재t)-IF(AA97=90,2.4,0)-1.2</f>
        <v>121</v>
      </c>
      <c r="AF97">
        <f t="shared" si="12"/>
        <v>2092</v>
      </c>
      <c r="AG97">
        <f>MAX(M97,N97)+F97+V97-쪽쟘소재t*3+IF(M97=0,쪽쟘소재t)-IF(AA97=90,2.4,0)-1.2</f>
        <v>124.00000000000001</v>
      </c>
      <c r="AH97">
        <f t="shared" si="13"/>
        <v>2092</v>
      </c>
    </row>
    <row r="98" spans="1:34" ht="19.5" customHeight="1" x14ac:dyDescent="0.3">
      <c r="A98" s="50" t="str">
        <f>'쪽쟘(실측)'!A98</f>
        <v>111   / 1</v>
      </c>
      <c r="B98" s="50" t="str">
        <f>'쪽쟘(실측)'!B98&amp;"F"</f>
        <v>9F</v>
      </c>
      <c r="C98" s="50" t="str">
        <f t="shared" si="8"/>
        <v>926*119.2</v>
      </c>
      <c r="D98" s="50">
        <f>'쪽쟘(실측)'!C98-쪽쟘OP차감</f>
        <v>897</v>
      </c>
      <c r="E98" s="50">
        <f>'쪽쟘(실측)'!D98+쪽쟘J늘림+MAX(W98:X98)</f>
        <v>85</v>
      </c>
      <c r="F98" s="50">
        <f>'쪽쟘(실측)'!E98+쪽쟘J늘림+MAX(W98:X98)</f>
        <v>83</v>
      </c>
      <c r="G98" s="67" t="str">
        <f t="shared" si="9"/>
        <v>2092*121</v>
      </c>
      <c r="H98" s="68" t="str">
        <f t="shared" si="10"/>
        <v>2092*120</v>
      </c>
      <c r="I98" s="50">
        <f>IF('쪽쟘(실측)'!F98&gt;0,'쪽쟘(실측)'!F98-3,0)+뒷날개치수더함</f>
        <v>15</v>
      </c>
      <c r="J98" s="50">
        <f>IF('쪽쟘(실측)'!H98&gt;0,'쪽쟘(실측)'!H98-3,0)+뒷날개치수더함</f>
        <v>14</v>
      </c>
      <c r="K98" s="50">
        <f>IF('쪽쟘(실측)'!F98&gt;0,'쪽쟘(실측)'!F98+0,0)+뒷날개치수더함-0.2</f>
        <v>17.8</v>
      </c>
      <c r="L98" s="50">
        <f>IF('쪽쟘(실측)'!G98&gt;0,'쪽쟘(실측)'!G98+0,0)+뒷날개치수더함-0.2</f>
        <v>17.8</v>
      </c>
      <c r="M98" s="50">
        <f>IF('쪽쟘(실측)'!H98&gt;0,'쪽쟘(실측)'!H98+0,0)+뒷날개치수더함-0.2</f>
        <v>16.8</v>
      </c>
      <c r="N98" s="50">
        <f>IF('쪽쟘(실측)'!I98&gt;0,'쪽쟘(실측)'!I98+0,0)+뒷날개치수더함-0.2</f>
        <v>16.8</v>
      </c>
      <c r="O98" s="50">
        <f>'쪽쟘(실측)'!J98-쪽쟘기둥차감</f>
        <v>2092</v>
      </c>
      <c r="P98" s="50">
        <f>'쪽쟘(실측)'!K98-쪽쟘기둥차감</f>
        <v>2092</v>
      </c>
      <c r="Q98" s="50">
        <f>'쪽쟘(실측)'!L98-쪽쟘기둥차감</f>
        <v>2092</v>
      </c>
      <c r="R98" s="50">
        <f>'쪽쟘(실측)'!M98-쪽쟘기둥차감</f>
        <v>2092</v>
      </c>
      <c r="S98" s="50">
        <f>'쪽쟘(실측)'!N98+뒷날개치수더함</f>
        <v>23</v>
      </c>
      <c r="T98" s="50">
        <f>'쪽쟘(실측)'!O98+뒷날개치수더함</f>
        <v>23</v>
      </c>
      <c r="U98" s="50">
        <f>'쪽쟘(실측)'!P98+뒷날개치수더함</f>
        <v>16</v>
      </c>
      <c r="V98" s="50">
        <f>'쪽쟘(실측)'!Q98+뒷날개치수더함</f>
        <v>25</v>
      </c>
      <c r="W98" s="50">
        <f>'쪽쟘(실측)'!R98-쪽쟘늘치차감</f>
        <v>0</v>
      </c>
      <c r="X98" s="50">
        <f>'쪽쟘(실측)'!S98-쪽쟘늘치차감</f>
        <v>0</v>
      </c>
      <c r="Y98" s="4">
        <f>IF('쪽쟘(실측)'!T98&gt;5,'쪽쟘(실측)'!T98+뒷날개치수더함,0)</f>
        <v>15</v>
      </c>
      <c r="Z98" s="4">
        <f>'쪽쟘(실측)'!U98</f>
        <v>10</v>
      </c>
      <c r="AA98" s="4">
        <f>'쪽쟘(실측)'!V98</f>
        <v>6</v>
      </c>
      <c r="AC98">
        <f t="shared" si="11"/>
        <v>926</v>
      </c>
      <c r="AD98">
        <f>U98+E98+MAX(S98,T98)-쪽쟘소재t*3+IF(S98=0,S98*쪽쟘소재t,0)-1.2</f>
        <v>119.2</v>
      </c>
      <c r="AE98">
        <f>MAX(K98,L98)+F98+V98-쪽쟘소재t*3+IF(K98=0,쪽쟘소재t)-IF(AA98=90,2.4,0)-1.2</f>
        <v>121</v>
      </c>
      <c r="AF98">
        <f t="shared" si="12"/>
        <v>2092</v>
      </c>
      <c r="AG98">
        <f>MAX(M98,N98)+F98+V98-쪽쟘소재t*3+IF(M98=0,쪽쟘소재t)-IF(AA98=90,2.4,0)-1.2</f>
        <v>120</v>
      </c>
      <c r="AH98">
        <f t="shared" si="13"/>
        <v>2092</v>
      </c>
    </row>
    <row r="99" spans="1:34" ht="19.5" customHeight="1" x14ac:dyDescent="0.3">
      <c r="A99" s="50" t="str">
        <f>'쪽쟘(실측)'!A99</f>
        <v>111   / 1</v>
      </c>
      <c r="B99" s="50" t="str">
        <f>'쪽쟘(실측)'!B99&amp;"F"</f>
        <v>8F</v>
      </c>
      <c r="C99" s="50" t="str">
        <f t="shared" si="8"/>
        <v>932*113.2</v>
      </c>
      <c r="D99" s="50">
        <f>'쪽쟘(실측)'!C99-쪽쟘OP차감</f>
        <v>897</v>
      </c>
      <c r="E99" s="50">
        <f>'쪽쟘(실측)'!D99+쪽쟘J늘림+MAX(W99:X99)</f>
        <v>85</v>
      </c>
      <c r="F99" s="50">
        <f>'쪽쟘(실측)'!E99+쪽쟘J늘림+MAX(W99:X99)</f>
        <v>83</v>
      </c>
      <c r="G99" s="67" t="str">
        <f t="shared" si="9"/>
        <v>2092*124</v>
      </c>
      <c r="H99" s="68" t="str">
        <f t="shared" si="10"/>
        <v>2092*123</v>
      </c>
      <c r="I99" s="50">
        <f>IF('쪽쟘(실측)'!F99&gt;0,'쪽쟘(실측)'!F99-3,0)+뒷날개치수더함</f>
        <v>18</v>
      </c>
      <c r="J99" s="50">
        <f>IF('쪽쟘(실측)'!H99&gt;0,'쪽쟘(실측)'!H99-3,0)+뒷날개치수더함</f>
        <v>17</v>
      </c>
      <c r="K99" s="50">
        <f>IF('쪽쟘(실측)'!F99&gt;0,'쪽쟘(실측)'!F99+0,0)+뒷날개치수더함-0.2</f>
        <v>20.8</v>
      </c>
      <c r="L99" s="50">
        <f>IF('쪽쟘(실측)'!G99&gt;0,'쪽쟘(실측)'!G99+0,0)+뒷날개치수더함-0.2</f>
        <v>20.8</v>
      </c>
      <c r="M99" s="50">
        <f>IF('쪽쟘(실측)'!H99&gt;0,'쪽쟘(실측)'!H99+0,0)+뒷날개치수더함-0.2</f>
        <v>19.8</v>
      </c>
      <c r="N99" s="50">
        <f>IF('쪽쟘(실측)'!I99&gt;0,'쪽쟘(실측)'!I99+0,0)+뒷날개치수더함-0.2</f>
        <v>19.8</v>
      </c>
      <c r="O99" s="50">
        <f>'쪽쟘(실측)'!J99-쪽쟘기둥차감</f>
        <v>2092</v>
      </c>
      <c r="P99" s="50">
        <f>'쪽쟘(실측)'!K99-쪽쟘기둥차감</f>
        <v>2092</v>
      </c>
      <c r="Q99" s="50">
        <f>'쪽쟘(실측)'!L99-쪽쟘기둥차감</f>
        <v>2092</v>
      </c>
      <c r="R99" s="50">
        <f>'쪽쟘(실측)'!M99-쪽쟘기둥차감</f>
        <v>2092</v>
      </c>
      <c r="S99" s="50">
        <f>'쪽쟘(실측)'!N99+뒷날개치수더함</f>
        <v>17</v>
      </c>
      <c r="T99" s="50">
        <f>'쪽쟘(실측)'!O99+뒷날개치수더함</f>
        <v>17</v>
      </c>
      <c r="U99" s="50">
        <f>'쪽쟘(실측)'!P99+뒷날개치수더함</f>
        <v>16</v>
      </c>
      <c r="V99" s="50">
        <f>'쪽쟘(실측)'!Q99+뒷날개치수더함</f>
        <v>25</v>
      </c>
      <c r="W99" s="50">
        <f>'쪽쟘(실측)'!R99-쪽쟘늘치차감</f>
        <v>0</v>
      </c>
      <c r="X99" s="50">
        <f>'쪽쟘(실측)'!S99-쪽쟘늘치차감</f>
        <v>0</v>
      </c>
      <c r="Y99" s="4">
        <f>IF('쪽쟘(실측)'!T99&gt;5,'쪽쟘(실측)'!T99+뒷날개치수더함,0)</f>
        <v>15</v>
      </c>
      <c r="Z99" s="4">
        <f>'쪽쟘(실측)'!U99</f>
        <v>10</v>
      </c>
      <c r="AA99" s="4">
        <f>'쪽쟘(실측)'!V99</f>
        <v>6</v>
      </c>
      <c r="AC99">
        <f t="shared" si="11"/>
        <v>932</v>
      </c>
      <c r="AD99">
        <f>U99+E99+MAX(S99,T99)-쪽쟘소재t*3+IF(S99=0,S99*쪽쟘소재t,0)-1.2</f>
        <v>113.2</v>
      </c>
      <c r="AE99">
        <f>MAX(K99,L99)+F99+V99-쪽쟘소재t*3+IF(K99=0,쪽쟘소재t)-IF(AA99=90,2.4,0)-1.2</f>
        <v>124.00000000000001</v>
      </c>
      <c r="AF99">
        <f t="shared" si="12"/>
        <v>2092</v>
      </c>
      <c r="AG99">
        <f>MAX(M99,N99)+F99+V99-쪽쟘소재t*3+IF(M99=0,쪽쟘소재t)-IF(AA99=90,2.4,0)-1.2</f>
        <v>123</v>
      </c>
      <c r="AH99">
        <f t="shared" si="13"/>
        <v>2092</v>
      </c>
    </row>
    <row r="100" spans="1:34" ht="19.5" customHeight="1" x14ac:dyDescent="0.3">
      <c r="A100" s="50" t="str">
        <f>'쪽쟘(실측)'!A100</f>
        <v>111   / 1</v>
      </c>
      <c r="B100" s="50" t="str">
        <f>'쪽쟘(실측)'!B100&amp;"F"</f>
        <v>7F</v>
      </c>
      <c r="C100" s="50" t="str">
        <f t="shared" si="8"/>
        <v>934*118.2</v>
      </c>
      <c r="D100" s="50">
        <f>'쪽쟘(실측)'!C100-쪽쟘OP차감</f>
        <v>898</v>
      </c>
      <c r="E100" s="50">
        <f>'쪽쟘(실측)'!D100+쪽쟘J늘림+MAX(W100:X100)</f>
        <v>85</v>
      </c>
      <c r="F100" s="50">
        <f>'쪽쟘(실측)'!E100+쪽쟘J늘림+MAX(W100:X100)</f>
        <v>83</v>
      </c>
      <c r="G100" s="67" t="str">
        <f t="shared" si="9"/>
        <v>2092*124</v>
      </c>
      <c r="H100" s="68" t="str">
        <f t="shared" si="10"/>
        <v>2092*124</v>
      </c>
      <c r="I100" s="50">
        <f>IF('쪽쟘(실측)'!F100&gt;0,'쪽쟘(실측)'!F100-3,0)+뒷날개치수더함</f>
        <v>18</v>
      </c>
      <c r="J100" s="50">
        <f>IF('쪽쟘(실측)'!H100&gt;0,'쪽쟘(실측)'!H100-3,0)+뒷날개치수더함</f>
        <v>18</v>
      </c>
      <c r="K100" s="50">
        <f>IF('쪽쟘(실측)'!F100&gt;0,'쪽쟘(실측)'!F100+0,0)+뒷날개치수더함-0.2</f>
        <v>20.8</v>
      </c>
      <c r="L100" s="50">
        <f>IF('쪽쟘(실측)'!G100&gt;0,'쪽쟘(실측)'!G100+0,0)+뒷날개치수더함-0.2</f>
        <v>20.8</v>
      </c>
      <c r="M100" s="50">
        <f>IF('쪽쟘(실측)'!H100&gt;0,'쪽쟘(실측)'!H100+0,0)+뒷날개치수더함-0.2</f>
        <v>20.8</v>
      </c>
      <c r="N100" s="50">
        <f>IF('쪽쟘(실측)'!I100&gt;0,'쪽쟘(실측)'!I100+0,0)+뒷날개치수더함-0.2</f>
        <v>20.8</v>
      </c>
      <c r="O100" s="50">
        <f>'쪽쟘(실측)'!J100-쪽쟘기둥차감</f>
        <v>2092</v>
      </c>
      <c r="P100" s="50">
        <f>'쪽쟘(실측)'!K100-쪽쟘기둥차감</f>
        <v>2092</v>
      </c>
      <c r="Q100" s="50">
        <f>'쪽쟘(실측)'!L100-쪽쟘기둥차감</f>
        <v>2092</v>
      </c>
      <c r="R100" s="50">
        <f>'쪽쟘(실측)'!M100-쪽쟘기둥차감</f>
        <v>2092</v>
      </c>
      <c r="S100" s="50">
        <f>'쪽쟘(실측)'!N100+뒷날개치수더함</f>
        <v>22</v>
      </c>
      <c r="T100" s="50">
        <f>'쪽쟘(실측)'!O100+뒷날개치수더함</f>
        <v>22</v>
      </c>
      <c r="U100" s="50">
        <f>'쪽쟘(실측)'!P100+뒷날개치수더함</f>
        <v>16</v>
      </c>
      <c r="V100" s="50">
        <f>'쪽쟘(실측)'!Q100+뒷날개치수더함</f>
        <v>25</v>
      </c>
      <c r="W100" s="50">
        <f>'쪽쟘(실측)'!R100-쪽쟘늘치차감</f>
        <v>0</v>
      </c>
      <c r="X100" s="50">
        <f>'쪽쟘(실측)'!S100-쪽쟘늘치차감</f>
        <v>0</v>
      </c>
      <c r="Y100" s="4">
        <f>IF('쪽쟘(실측)'!T100&gt;5,'쪽쟘(실측)'!T100+뒷날개치수더함,0)</f>
        <v>15</v>
      </c>
      <c r="Z100" s="4">
        <f>'쪽쟘(실측)'!U100</f>
        <v>10</v>
      </c>
      <c r="AA100" s="4">
        <f>'쪽쟘(실측)'!V100</f>
        <v>6</v>
      </c>
      <c r="AC100">
        <f t="shared" si="11"/>
        <v>934</v>
      </c>
      <c r="AD100">
        <f>U100+E100+MAX(S100,T100)-쪽쟘소재t*3+IF(S100=0,S100*쪽쟘소재t,0)-1.2</f>
        <v>118.2</v>
      </c>
      <c r="AE100">
        <f>MAX(K100,L100)+F100+V100-쪽쟘소재t*3+IF(K100=0,쪽쟘소재t)-IF(AA100=90,2.4,0)-1.2</f>
        <v>124.00000000000001</v>
      </c>
      <c r="AF100">
        <f t="shared" si="12"/>
        <v>2092</v>
      </c>
      <c r="AG100">
        <f>MAX(M100,N100)+F100+V100-쪽쟘소재t*3+IF(M100=0,쪽쟘소재t)-IF(AA100=90,2.4,0)-1.2</f>
        <v>124.00000000000001</v>
      </c>
      <c r="AH100">
        <f t="shared" si="13"/>
        <v>2092</v>
      </c>
    </row>
    <row r="101" spans="1:34" ht="19.5" customHeight="1" x14ac:dyDescent="0.3">
      <c r="A101" s="50" t="str">
        <f>'쪽쟘(실측)'!A101</f>
        <v>111   / 1</v>
      </c>
      <c r="B101" s="50" t="str">
        <f>'쪽쟘(실측)'!B101&amp;"F"</f>
        <v>6F</v>
      </c>
      <c r="C101" s="50" t="str">
        <f t="shared" si="8"/>
        <v>928*109.2</v>
      </c>
      <c r="D101" s="50">
        <f>'쪽쟘(실측)'!C101-쪽쟘OP차감</f>
        <v>897</v>
      </c>
      <c r="E101" s="50">
        <f>'쪽쟘(실측)'!D101+쪽쟘J늘림+MAX(W101:X101)</f>
        <v>85</v>
      </c>
      <c r="F101" s="50">
        <f>'쪽쟘(실측)'!E101+쪽쟘J늘림+MAX(W101:X101)</f>
        <v>83</v>
      </c>
      <c r="G101" s="67" t="str">
        <f t="shared" si="9"/>
        <v>2092*120</v>
      </c>
      <c r="H101" s="68" t="str">
        <f t="shared" si="10"/>
        <v>2090*123</v>
      </c>
      <c r="I101" s="50">
        <f>IF('쪽쟘(실측)'!F101&gt;0,'쪽쟘(실측)'!F101-3,0)+뒷날개치수더함</f>
        <v>14</v>
      </c>
      <c r="J101" s="50">
        <f>IF('쪽쟘(실측)'!H101&gt;0,'쪽쟘(실측)'!H101-3,0)+뒷날개치수더함</f>
        <v>17</v>
      </c>
      <c r="K101" s="50">
        <f>IF('쪽쟘(실측)'!F101&gt;0,'쪽쟘(실측)'!F101+0,0)+뒷날개치수더함-0.2</f>
        <v>16.8</v>
      </c>
      <c r="L101" s="50">
        <f>IF('쪽쟘(실측)'!G101&gt;0,'쪽쟘(실측)'!G101+0,0)+뒷날개치수더함-0.2</f>
        <v>16.8</v>
      </c>
      <c r="M101" s="50">
        <f>IF('쪽쟘(실측)'!H101&gt;0,'쪽쟘(실측)'!H101+0,0)+뒷날개치수더함-0.2</f>
        <v>19.8</v>
      </c>
      <c r="N101" s="50">
        <f>IF('쪽쟘(실측)'!I101&gt;0,'쪽쟘(실측)'!I101+0,0)+뒷날개치수더함-0.2</f>
        <v>19.8</v>
      </c>
      <c r="O101" s="50">
        <f>'쪽쟘(실측)'!J101-쪽쟘기둥차감</f>
        <v>2092</v>
      </c>
      <c r="P101" s="50">
        <f>'쪽쟘(실측)'!K101-쪽쟘기둥차감</f>
        <v>2092</v>
      </c>
      <c r="Q101" s="50">
        <f>'쪽쟘(실측)'!L101-쪽쟘기둥차감</f>
        <v>2090</v>
      </c>
      <c r="R101" s="50">
        <f>'쪽쟘(실측)'!M101-쪽쟘기둥차감</f>
        <v>2090</v>
      </c>
      <c r="S101" s="50">
        <f>'쪽쟘(실측)'!N101+뒷날개치수더함</f>
        <v>13</v>
      </c>
      <c r="T101" s="50">
        <f>'쪽쟘(실측)'!O101+뒷날개치수더함</f>
        <v>13</v>
      </c>
      <c r="U101" s="50">
        <f>'쪽쟘(실측)'!P101+뒷날개치수더함</f>
        <v>16</v>
      </c>
      <c r="V101" s="50">
        <f>'쪽쟘(실측)'!Q101+뒷날개치수더함</f>
        <v>25</v>
      </c>
      <c r="W101" s="50">
        <f>'쪽쟘(실측)'!R101-쪽쟘늘치차감</f>
        <v>0</v>
      </c>
      <c r="X101" s="50">
        <f>'쪽쟘(실측)'!S101-쪽쟘늘치차감</f>
        <v>0</v>
      </c>
      <c r="Y101" s="4">
        <f>IF('쪽쟘(실측)'!T101&gt;5,'쪽쟘(실측)'!T101+뒷날개치수더함,0)</f>
        <v>15</v>
      </c>
      <c r="Z101" s="4">
        <f>'쪽쟘(실측)'!U101</f>
        <v>10</v>
      </c>
      <c r="AA101" s="4">
        <f>'쪽쟘(실측)'!V101</f>
        <v>6</v>
      </c>
      <c r="AC101">
        <f t="shared" si="11"/>
        <v>928</v>
      </c>
      <c r="AD101">
        <f>U101+E101+MAX(S101,T101)-쪽쟘소재t*3+IF(S101=0,S101*쪽쟘소재t,0)-1.2</f>
        <v>109.2</v>
      </c>
      <c r="AE101">
        <f>MAX(K101,L101)+F101+V101-쪽쟘소재t*3+IF(K101=0,쪽쟘소재t)-IF(AA101=90,2.4,0)-1.2</f>
        <v>120</v>
      </c>
      <c r="AF101">
        <f t="shared" si="12"/>
        <v>2092</v>
      </c>
      <c r="AG101">
        <f>MAX(M101,N101)+F101+V101-쪽쟘소재t*3+IF(M101=0,쪽쟘소재t)-IF(AA101=90,2.4,0)-1.2</f>
        <v>123</v>
      </c>
      <c r="AH101">
        <f t="shared" si="13"/>
        <v>2090</v>
      </c>
    </row>
    <row r="102" spans="1:34" ht="19.5" customHeight="1" x14ac:dyDescent="0.3">
      <c r="A102" s="50" t="str">
        <f>'쪽쟘(실측)'!A102</f>
        <v>111   / 1</v>
      </c>
      <c r="B102" s="50" t="str">
        <f>'쪽쟘(실측)'!B102&amp;"F"</f>
        <v>5F</v>
      </c>
      <c r="C102" s="50" t="str">
        <f t="shared" si="8"/>
        <v>934*113.2</v>
      </c>
      <c r="D102" s="50">
        <f>'쪽쟘(실측)'!C102-쪽쟘OP차감</f>
        <v>898</v>
      </c>
      <c r="E102" s="50">
        <f>'쪽쟘(실측)'!D102+쪽쟘J늘림+MAX(W102:X102)</f>
        <v>85</v>
      </c>
      <c r="F102" s="50">
        <f>'쪽쟘(실측)'!E102+쪽쟘J늘림+MAX(W102:X102)</f>
        <v>83</v>
      </c>
      <c r="G102" s="67" t="str">
        <f t="shared" si="9"/>
        <v>2092*124</v>
      </c>
      <c r="H102" s="68" t="str">
        <f t="shared" si="10"/>
        <v>2092*124</v>
      </c>
      <c r="I102" s="50">
        <f>IF('쪽쟘(실측)'!F102&gt;0,'쪽쟘(실측)'!F102-3,0)+뒷날개치수더함</f>
        <v>18</v>
      </c>
      <c r="J102" s="50">
        <f>IF('쪽쟘(실측)'!H102&gt;0,'쪽쟘(실측)'!H102-3,0)+뒷날개치수더함</f>
        <v>18</v>
      </c>
      <c r="K102" s="50">
        <f>IF('쪽쟘(실측)'!F102&gt;0,'쪽쟘(실측)'!F102+0,0)+뒷날개치수더함-0.2</f>
        <v>20.8</v>
      </c>
      <c r="L102" s="50">
        <f>IF('쪽쟘(실측)'!G102&gt;0,'쪽쟘(실측)'!G102+0,0)+뒷날개치수더함-0.2</f>
        <v>20.8</v>
      </c>
      <c r="M102" s="50">
        <f>IF('쪽쟘(실측)'!H102&gt;0,'쪽쟘(실측)'!H102+0,0)+뒷날개치수더함-0.2</f>
        <v>20.8</v>
      </c>
      <c r="N102" s="50">
        <f>IF('쪽쟘(실측)'!I102&gt;0,'쪽쟘(실측)'!I102+0,0)+뒷날개치수더함-0.2</f>
        <v>20.8</v>
      </c>
      <c r="O102" s="50">
        <f>'쪽쟘(실측)'!J102-쪽쟘기둥차감</f>
        <v>2092</v>
      </c>
      <c r="P102" s="50">
        <f>'쪽쟘(실측)'!K102-쪽쟘기둥차감</f>
        <v>2092</v>
      </c>
      <c r="Q102" s="50">
        <f>'쪽쟘(실측)'!L102-쪽쟘기둥차감</f>
        <v>2092</v>
      </c>
      <c r="R102" s="50">
        <f>'쪽쟘(실측)'!M102-쪽쟘기둥차감</f>
        <v>2092</v>
      </c>
      <c r="S102" s="50">
        <f>'쪽쟘(실측)'!N102+뒷날개치수더함</f>
        <v>17</v>
      </c>
      <c r="T102" s="50">
        <f>'쪽쟘(실측)'!O102+뒷날개치수더함</f>
        <v>17</v>
      </c>
      <c r="U102" s="50">
        <f>'쪽쟘(실측)'!P102+뒷날개치수더함</f>
        <v>16</v>
      </c>
      <c r="V102" s="50">
        <f>'쪽쟘(실측)'!Q102+뒷날개치수더함</f>
        <v>25</v>
      </c>
      <c r="W102" s="50">
        <f>'쪽쟘(실측)'!R102-쪽쟘늘치차감</f>
        <v>0</v>
      </c>
      <c r="X102" s="50">
        <f>'쪽쟘(실측)'!S102-쪽쟘늘치차감</f>
        <v>0</v>
      </c>
      <c r="Y102" s="4">
        <f>IF('쪽쟘(실측)'!T102&gt;5,'쪽쟘(실측)'!T102+뒷날개치수더함,0)</f>
        <v>15</v>
      </c>
      <c r="Z102" s="4">
        <f>'쪽쟘(실측)'!U102</f>
        <v>10</v>
      </c>
      <c r="AA102" s="4">
        <f>'쪽쟘(실측)'!V102</f>
        <v>6</v>
      </c>
      <c r="AC102">
        <f t="shared" si="11"/>
        <v>934</v>
      </c>
      <c r="AD102">
        <f>U102+E102+MAX(S102,T102)-쪽쟘소재t*3+IF(S102=0,S102*쪽쟘소재t,0)-1.2</f>
        <v>113.2</v>
      </c>
      <c r="AE102">
        <f>MAX(K102,L102)+F102+V102-쪽쟘소재t*3+IF(K102=0,쪽쟘소재t)-IF(AA102=90,2.4,0)-1.2</f>
        <v>124.00000000000001</v>
      </c>
      <c r="AF102">
        <f t="shared" si="12"/>
        <v>2092</v>
      </c>
      <c r="AG102">
        <f>MAX(M102,N102)+F102+V102-쪽쟘소재t*3+IF(M102=0,쪽쟘소재t)-IF(AA102=90,2.4,0)-1.2</f>
        <v>124.00000000000001</v>
      </c>
      <c r="AH102">
        <f t="shared" si="13"/>
        <v>2092</v>
      </c>
    </row>
    <row r="103" spans="1:34" ht="19.5" customHeight="1" x14ac:dyDescent="0.3">
      <c r="A103" s="50" t="str">
        <f>'쪽쟘(실측)'!A103</f>
        <v>111   / 1</v>
      </c>
      <c r="B103" s="50" t="str">
        <f>'쪽쟘(실측)'!B103&amp;"F"</f>
        <v>4F</v>
      </c>
      <c r="C103" s="50" t="str">
        <f t="shared" si="8"/>
        <v>933*117.2</v>
      </c>
      <c r="D103" s="50">
        <f>'쪽쟘(실측)'!C103-쪽쟘OP차감</f>
        <v>897</v>
      </c>
      <c r="E103" s="50">
        <f>'쪽쟘(실측)'!D103+쪽쟘J늘림+MAX(W103:X103)</f>
        <v>85</v>
      </c>
      <c r="F103" s="50">
        <f>'쪽쟘(실측)'!E103+쪽쟘J늘림+MAX(W103:X103)</f>
        <v>83</v>
      </c>
      <c r="G103" s="67" t="str">
        <f t="shared" si="9"/>
        <v>2092*124</v>
      </c>
      <c r="H103" s="68" t="str">
        <f t="shared" si="10"/>
        <v>2092*124</v>
      </c>
      <c r="I103" s="50">
        <f>IF('쪽쟘(실측)'!F103&gt;0,'쪽쟘(실측)'!F103-3,0)+뒷날개치수더함</f>
        <v>18</v>
      </c>
      <c r="J103" s="50">
        <f>IF('쪽쟘(실측)'!H103&gt;0,'쪽쟘(실측)'!H103-3,0)+뒷날개치수더함</f>
        <v>18</v>
      </c>
      <c r="K103" s="50">
        <f>IF('쪽쟘(실측)'!F103&gt;0,'쪽쟘(실측)'!F103+0,0)+뒷날개치수더함-0.2</f>
        <v>20.8</v>
      </c>
      <c r="L103" s="50">
        <f>IF('쪽쟘(실측)'!G103&gt;0,'쪽쟘(실측)'!G103+0,0)+뒷날개치수더함-0.2</f>
        <v>20.8</v>
      </c>
      <c r="M103" s="50">
        <f>IF('쪽쟘(실측)'!H103&gt;0,'쪽쟘(실측)'!H103+0,0)+뒷날개치수더함-0.2</f>
        <v>20.8</v>
      </c>
      <c r="N103" s="50">
        <f>IF('쪽쟘(실측)'!I103&gt;0,'쪽쟘(실측)'!I103+0,0)+뒷날개치수더함-0.2</f>
        <v>20.8</v>
      </c>
      <c r="O103" s="50">
        <f>'쪽쟘(실측)'!J103-쪽쟘기둥차감</f>
        <v>2092</v>
      </c>
      <c r="P103" s="50">
        <f>'쪽쟘(실측)'!K103-쪽쟘기둥차감</f>
        <v>2092</v>
      </c>
      <c r="Q103" s="50">
        <f>'쪽쟘(실측)'!L103-쪽쟘기둥차감</f>
        <v>2092</v>
      </c>
      <c r="R103" s="50">
        <f>'쪽쟘(실측)'!M103-쪽쟘기둥차감</f>
        <v>2092</v>
      </c>
      <c r="S103" s="50">
        <f>'쪽쟘(실측)'!N103+뒷날개치수더함</f>
        <v>21</v>
      </c>
      <c r="T103" s="50">
        <f>'쪽쟘(실측)'!O103+뒷날개치수더함</f>
        <v>21</v>
      </c>
      <c r="U103" s="50">
        <f>'쪽쟘(실측)'!P103+뒷날개치수더함</f>
        <v>16</v>
      </c>
      <c r="V103" s="50">
        <f>'쪽쟘(실측)'!Q103+뒷날개치수더함</f>
        <v>25</v>
      </c>
      <c r="W103" s="50">
        <f>'쪽쟘(실측)'!R103-쪽쟘늘치차감</f>
        <v>0</v>
      </c>
      <c r="X103" s="50">
        <f>'쪽쟘(실측)'!S103-쪽쟘늘치차감</f>
        <v>0</v>
      </c>
      <c r="Y103" s="4">
        <f>IF('쪽쟘(실측)'!T103&gt;5,'쪽쟘(실측)'!T103+뒷날개치수더함,0)</f>
        <v>15</v>
      </c>
      <c r="Z103" s="4">
        <f>'쪽쟘(실측)'!U103</f>
        <v>10</v>
      </c>
      <c r="AA103" s="4">
        <f>'쪽쟘(실측)'!V103</f>
        <v>6</v>
      </c>
      <c r="AC103">
        <f t="shared" si="11"/>
        <v>933</v>
      </c>
      <c r="AD103">
        <f>U103+E103+MAX(S103,T103)-쪽쟘소재t*3+IF(S103=0,S103*쪽쟘소재t,0)-1.2</f>
        <v>117.2</v>
      </c>
      <c r="AE103">
        <f>MAX(K103,L103)+F103+V103-쪽쟘소재t*3+IF(K103=0,쪽쟘소재t)-IF(AA103=90,2.4,0)-1.2</f>
        <v>124.00000000000001</v>
      </c>
      <c r="AF103">
        <f t="shared" si="12"/>
        <v>2092</v>
      </c>
      <c r="AG103">
        <f>MAX(M103,N103)+F103+V103-쪽쟘소재t*3+IF(M103=0,쪽쟘소재t)-IF(AA103=90,2.4,0)-1.2</f>
        <v>124.00000000000001</v>
      </c>
      <c r="AH103">
        <f t="shared" si="13"/>
        <v>2092</v>
      </c>
    </row>
    <row r="104" spans="1:34" ht="19.5" customHeight="1" x14ac:dyDescent="0.3">
      <c r="A104" s="50" t="str">
        <f>'쪽쟘(실측)'!A104</f>
        <v>111   / 1</v>
      </c>
      <c r="B104" s="50" t="str">
        <f>'쪽쟘(실측)'!B104&amp;"F"</f>
        <v>3F</v>
      </c>
      <c r="C104" s="50" t="str">
        <f t="shared" si="8"/>
        <v>932*116.2</v>
      </c>
      <c r="D104" s="50">
        <f>'쪽쟘(실측)'!C104-쪽쟘OP차감</f>
        <v>898</v>
      </c>
      <c r="E104" s="50">
        <f>'쪽쟘(실측)'!D104+쪽쟘J늘림+MAX(W104:X104)</f>
        <v>85</v>
      </c>
      <c r="F104" s="50">
        <f>'쪽쟘(실측)'!E104+쪽쟘J늘림+MAX(W104:X104)</f>
        <v>83</v>
      </c>
      <c r="G104" s="67" t="str">
        <f t="shared" si="9"/>
        <v>2092*124</v>
      </c>
      <c r="H104" s="68" t="str">
        <f t="shared" si="10"/>
        <v>2092*122</v>
      </c>
      <c r="I104" s="50">
        <f>IF('쪽쟘(실측)'!F104&gt;0,'쪽쟘(실측)'!F104-3,0)+뒷날개치수더함</f>
        <v>18</v>
      </c>
      <c r="J104" s="50">
        <f>IF('쪽쟘(실측)'!H104&gt;0,'쪽쟘(실측)'!H104-3,0)+뒷날개치수더함</f>
        <v>16</v>
      </c>
      <c r="K104" s="50">
        <f>IF('쪽쟘(실측)'!F104&gt;0,'쪽쟘(실측)'!F104+0,0)+뒷날개치수더함-0.2</f>
        <v>20.8</v>
      </c>
      <c r="L104" s="50">
        <f>IF('쪽쟘(실측)'!G104&gt;0,'쪽쟘(실측)'!G104+0,0)+뒷날개치수더함-0.2</f>
        <v>20.8</v>
      </c>
      <c r="M104" s="50">
        <f>IF('쪽쟘(실측)'!H104&gt;0,'쪽쟘(실측)'!H104+0,0)+뒷날개치수더함-0.2</f>
        <v>18.8</v>
      </c>
      <c r="N104" s="50">
        <f>IF('쪽쟘(실측)'!I104&gt;0,'쪽쟘(실측)'!I104+0,0)+뒷날개치수더함-0.2</f>
        <v>18.8</v>
      </c>
      <c r="O104" s="50">
        <f>'쪽쟘(실측)'!J104-쪽쟘기둥차감</f>
        <v>2092</v>
      </c>
      <c r="P104" s="50">
        <f>'쪽쟘(실측)'!K104-쪽쟘기둥차감</f>
        <v>2092</v>
      </c>
      <c r="Q104" s="50">
        <f>'쪽쟘(실측)'!L104-쪽쟘기둥차감</f>
        <v>2092</v>
      </c>
      <c r="R104" s="50">
        <f>'쪽쟘(실측)'!M104-쪽쟘기둥차감</f>
        <v>2092</v>
      </c>
      <c r="S104" s="50">
        <f>'쪽쟘(실측)'!N104+뒷날개치수더함</f>
        <v>20</v>
      </c>
      <c r="T104" s="50">
        <f>'쪽쟘(실측)'!O104+뒷날개치수더함</f>
        <v>20</v>
      </c>
      <c r="U104" s="50">
        <f>'쪽쟘(실측)'!P104+뒷날개치수더함</f>
        <v>16</v>
      </c>
      <c r="V104" s="50">
        <f>'쪽쟘(실측)'!Q104+뒷날개치수더함</f>
        <v>25</v>
      </c>
      <c r="W104" s="50">
        <f>'쪽쟘(실측)'!R104-쪽쟘늘치차감</f>
        <v>0</v>
      </c>
      <c r="X104" s="50">
        <f>'쪽쟘(실측)'!S104-쪽쟘늘치차감</f>
        <v>0</v>
      </c>
      <c r="Y104" s="4">
        <f>IF('쪽쟘(실측)'!T104&gt;5,'쪽쟘(실측)'!T104+뒷날개치수더함,0)</f>
        <v>15</v>
      </c>
      <c r="Z104" s="4">
        <f>'쪽쟘(실측)'!U104</f>
        <v>10</v>
      </c>
      <c r="AA104" s="4">
        <f>'쪽쟘(실측)'!V104</f>
        <v>6</v>
      </c>
      <c r="AC104">
        <f t="shared" si="11"/>
        <v>932</v>
      </c>
      <c r="AD104">
        <f>U104+E104+MAX(S104,T104)-쪽쟘소재t*3+IF(S104=0,S104*쪽쟘소재t,0)-1.2</f>
        <v>116.2</v>
      </c>
      <c r="AE104">
        <f>MAX(K104,L104)+F104+V104-쪽쟘소재t*3+IF(K104=0,쪽쟘소재t)-IF(AA104=90,2.4,0)-1.2</f>
        <v>124.00000000000001</v>
      </c>
      <c r="AF104">
        <f t="shared" si="12"/>
        <v>2092</v>
      </c>
      <c r="AG104">
        <f>MAX(M104,N104)+F104+V104-쪽쟘소재t*3+IF(M104=0,쪽쟘소재t)-IF(AA104=90,2.4,0)-1.2</f>
        <v>122</v>
      </c>
      <c r="AH104">
        <f t="shared" si="13"/>
        <v>2092</v>
      </c>
    </row>
    <row r="105" spans="1:34" ht="19.5" customHeight="1" x14ac:dyDescent="0.3">
      <c r="A105" s="50" t="str">
        <f>'쪽쟘(실측)'!A105</f>
        <v>111   / 1</v>
      </c>
      <c r="B105" s="50" t="str">
        <f>'쪽쟘(실측)'!B105&amp;"F"</f>
        <v>2F</v>
      </c>
      <c r="C105" s="50" t="str">
        <f t="shared" si="8"/>
        <v>936*121.2</v>
      </c>
      <c r="D105" s="50">
        <f>'쪽쟘(실측)'!C105-쪽쟘OP차감</f>
        <v>897</v>
      </c>
      <c r="E105" s="50">
        <f>'쪽쟘(실측)'!D105+쪽쟘J늘림+MAX(W105:X105)</f>
        <v>85</v>
      </c>
      <c r="F105" s="50">
        <f>'쪽쟘(실측)'!E105+쪽쟘J늘림+MAX(W105:X105)</f>
        <v>83</v>
      </c>
      <c r="G105" s="67" t="str">
        <f t="shared" si="9"/>
        <v>2092*126</v>
      </c>
      <c r="H105" s="68" t="str">
        <f t="shared" si="10"/>
        <v>2092*125</v>
      </c>
      <c r="I105" s="50">
        <f>IF('쪽쟘(실측)'!F105&gt;0,'쪽쟘(실측)'!F105-3,0)+뒷날개치수더함</f>
        <v>20</v>
      </c>
      <c r="J105" s="50">
        <f>IF('쪽쟘(실측)'!H105&gt;0,'쪽쟘(실측)'!H105-3,0)+뒷날개치수더함</f>
        <v>19</v>
      </c>
      <c r="K105" s="50">
        <f>IF('쪽쟘(실측)'!F105&gt;0,'쪽쟘(실측)'!F105+0,0)+뒷날개치수더함-0.2</f>
        <v>22.8</v>
      </c>
      <c r="L105" s="50">
        <f>IF('쪽쟘(실측)'!G105&gt;0,'쪽쟘(실측)'!G105+0,0)+뒷날개치수더함-0.2</f>
        <v>22.8</v>
      </c>
      <c r="M105" s="50">
        <f>IF('쪽쟘(실측)'!H105&gt;0,'쪽쟘(실측)'!H105+0,0)+뒷날개치수더함-0.2</f>
        <v>21.8</v>
      </c>
      <c r="N105" s="50">
        <f>IF('쪽쟘(실측)'!I105&gt;0,'쪽쟘(실측)'!I105+0,0)+뒷날개치수더함-0.2</f>
        <v>21.8</v>
      </c>
      <c r="O105" s="50">
        <f>'쪽쟘(실측)'!J105-쪽쟘기둥차감</f>
        <v>2092</v>
      </c>
      <c r="P105" s="50">
        <f>'쪽쟘(실측)'!K105-쪽쟘기둥차감</f>
        <v>2092</v>
      </c>
      <c r="Q105" s="50">
        <f>'쪽쟘(실측)'!L105-쪽쟘기둥차감</f>
        <v>2092</v>
      </c>
      <c r="R105" s="50">
        <f>'쪽쟘(실측)'!M105-쪽쟘기둥차감</f>
        <v>2092</v>
      </c>
      <c r="S105" s="50">
        <f>'쪽쟘(실측)'!N105+뒷날개치수더함</f>
        <v>25</v>
      </c>
      <c r="T105" s="50">
        <f>'쪽쟘(실측)'!O105+뒷날개치수더함</f>
        <v>25</v>
      </c>
      <c r="U105" s="50">
        <f>'쪽쟘(실측)'!P105+뒷날개치수더함</f>
        <v>16</v>
      </c>
      <c r="V105" s="50">
        <f>'쪽쟘(실측)'!Q105+뒷날개치수더함</f>
        <v>25</v>
      </c>
      <c r="W105" s="50">
        <f>'쪽쟘(실측)'!R105-쪽쟘늘치차감</f>
        <v>0</v>
      </c>
      <c r="X105" s="50">
        <f>'쪽쟘(실측)'!S105-쪽쟘늘치차감</f>
        <v>0</v>
      </c>
      <c r="Y105" s="4">
        <f>IF('쪽쟘(실측)'!T105&gt;5,'쪽쟘(실측)'!T105+뒷날개치수더함,0)</f>
        <v>15</v>
      </c>
      <c r="Z105" s="4">
        <f>'쪽쟘(실측)'!U105</f>
        <v>10</v>
      </c>
      <c r="AA105" s="4">
        <f>'쪽쟘(실측)'!V105</f>
        <v>6</v>
      </c>
      <c r="AC105">
        <f t="shared" si="11"/>
        <v>936</v>
      </c>
      <c r="AD105">
        <f>U105+E105+MAX(S105,T105)-쪽쟘소재t*3+IF(S105=0,S105*쪽쟘소재t,0)-1.2</f>
        <v>121.2</v>
      </c>
      <c r="AE105">
        <f>MAX(K105,L105)+F105+V105-쪽쟘소재t*3+IF(K105=0,쪽쟘소재t)-IF(AA105=90,2.4,0)-1.2</f>
        <v>126.00000000000001</v>
      </c>
      <c r="AF105">
        <f t="shared" si="12"/>
        <v>2092</v>
      </c>
      <c r="AG105">
        <f>MAX(M105,N105)+F105+V105-쪽쟘소재t*3+IF(M105=0,쪽쟘소재t)-IF(AA105=90,2.4,0)-1.2</f>
        <v>125.00000000000001</v>
      </c>
      <c r="AH105">
        <f t="shared" si="13"/>
        <v>2092</v>
      </c>
    </row>
    <row r="106" spans="1:34" ht="19.5" customHeight="1" x14ac:dyDescent="0.3">
      <c r="A106" s="50" t="str">
        <f>'쪽쟘(실측)'!A106</f>
        <v>112   / 2</v>
      </c>
      <c r="B106" s="50" t="str">
        <f>'쪽쟘(실측)'!B106&amp;"F"</f>
        <v>23F</v>
      </c>
      <c r="C106" s="50" t="str">
        <f t="shared" si="8"/>
        <v>933*119.2</v>
      </c>
      <c r="D106" s="50">
        <f>'쪽쟘(실측)'!C106-쪽쟘OP차감</f>
        <v>897</v>
      </c>
      <c r="E106" s="50">
        <f>'쪽쟘(실측)'!D106+쪽쟘J늘림+MAX(W106:X106)</f>
        <v>85</v>
      </c>
      <c r="F106" s="50">
        <f>'쪽쟘(실측)'!E106+쪽쟘J늘림+MAX(W106:X106)</f>
        <v>83</v>
      </c>
      <c r="G106" s="67" t="str">
        <f t="shared" si="9"/>
        <v>2098*124</v>
      </c>
      <c r="H106" s="68" t="str">
        <f t="shared" si="10"/>
        <v>2092*124</v>
      </c>
      <c r="I106" s="50">
        <f>IF('쪽쟘(실측)'!F106&gt;0,'쪽쟘(실측)'!F106-3,0)+뒷날개치수더함</f>
        <v>18</v>
      </c>
      <c r="J106" s="50">
        <f>IF('쪽쟘(실측)'!H106&gt;0,'쪽쟘(실측)'!H106-3,0)+뒷날개치수더함</f>
        <v>18</v>
      </c>
      <c r="K106" s="50">
        <f>IF('쪽쟘(실측)'!F106&gt;0,'쪽쟘(실측)'!F106+0,0)+뒷날개치수더함-0.2</f>
        <v>20.8</v>
      </c>
      <c r="L106" s="50">
        <f>IF('쪽쟘(실측)'!G106&gt;0,'쪽쟘(실측)'!G106+0,0)+뒷날개치수더함-0.2</f>
        <v>20.8</v>
      </c>
      <c r="M106" s="50">
        <f>IF('쪽쟘(실측)'!H106&gt;0,'쪽쟘(실측)'!H106+0,0)+뒷날개치수더함-0.2</f>
        <v>20.8</v>
      </c>
      <c r="N106" s="50">
        <f>IF('쪽쟘(실측)'!I106&gt;0,'쪽쟘(실측)'!I106+0,0)+뒷날개치수더함-0.2</f>
        <v>20.8</v>
      </c>
      <c r="O106" s="50">
        <f>'쪽쟘(실측)'!J106-쪽쟘기둥차감</f>
        <v>2098</v>
      </c>
      <c r="P106" s="50">
        <f>'쪽쟘(실측)'!K106-쪽쟘기둥차감</f>
        <v>2098</v>
      </c>
      <c r="Q106" s="50">
        <f>'쪽쟘(실측)'!L106-쪽쟘기둥차감</f>
        <v>2092</v>
      </c>
      <c r="R106" s="50">
        <f>'쪽쟘(실측)'!M106-쪽쟘기둥차감</f>
        <v>2092</v>
      </c>
      <c r="S106" s="50">
        <f>'쪽쟘(실측)'!N106+뒷날개치수더함</f>
        <v>23</v>
      </c>
      <c r="T106" s="50">
        <f>'쪽쟘(실측)'!O106+뒷날개치수더함</f>
        <v>23</v>
      </c>
      <c r="U106" s="50">
        <f>'쪽쟘(실측)'!P106+뒷날개치수더함</f>
        <v>16</v>
      </c>
      <c r="V106" s="50">
        <f>'쪽쟘(실측)'!Q106+뒷날개치수더함</f>
        <v>25</v>
      </c>
      <c r="W106" s="50">
        <f>'쪽쟘(실측)'!R106-쪽쟘늘치차감</f>
        <v>0</v>
      </c>
      <c r="X106" s="50">
        <f>'쪽쟘(실측)'!S106-쪽쟘늘치차감</f>
        <v>0</v>
      </c>
      <c r="Y106" s="4">
        <f>IF('쪽쟘(실측)'!T106&gt;5,'쪽쟘(실측)'!T106+뒷날개치수더함,0)</f>
        <v>15</v>
      </c>
      <c r="Z106" s="4">
        <f>'쪽쟘(실측)'!U106</f>
        <v>10</v>
      </c>
      <c r="AA106" s="4">
        <f>'쪽쟘(실측)'!V106</f>
        <v>6</v>
      </c>
      <c r="AC106">
        <f t="shared" si="11"/>
        <v>933</v>
      </c>
      <c r="AD106">
        <f>U106+E106+MAX(S106,T106)-쪽쟘소재t*3+IF(S106=0,S106*쪽쟘소재t,0)-1.2</f>
        <v>119.2</v>
      </c>
      <c r="AE106">
        <f>MAX(K106,L106)+F106+V106-쪽쟘소재t*3+IF(K106=0,쪽쟘소재t)-IF(AA106=90,2.4,0)-1.2</f>
        <v>124.00000000000001</v>
      </c>
      <c r="AF106">
        <f t="shared" si="12"/>
        <v>2098</v>
      </c>
      <c r="AG106">
        <f>MAX(M106,N106)+F106+V106-쪽쟘소재t*3+IF(M106=0,쪽쟘소재t)-IF(AA106=90,2.4,0)-1.2</f>
        <v>124.00000000000001</v>
      </c>
      <c r="AH106">
        <f t="shared" si="13"/>
        <v>2092</v>
      </c>
    </row>
    <row r="107" spans="1:34" ht="19.5" customHeight="1" x14ac:dyDescent="0.3">
      <c r="A107" s="50" t="str">
        <f>'쪽쟘(실측)'!A107</f>
        <v>112   / 2</v>
      </c>
      <c r="B107" s="50" t="str">
        <f>'쪽쟘(실측)'!B107&amp;"F"</f>
        <v>22F</v>
      </c>
      <c r="C107" s="50" t="str">
        <f t="shared" si="8"/>
        <v>935*118.2</v>
      </c>
      <c r="D107" s="50">
        <f>'쪽쟘(실측)'!C107-쪽쟘OP차감</f>
        <v>897</v>
      </c>
      <c r="E107" s="50">
        <f>'쪽쟘(실측)'!D107+쪽쟘J늘림+MAX(W107:X107)</f>
        <v>85</v>
      </c>
      <c r="F107" s="50">
        <f>'쪽쟘(실측)'!E107+쪽쟘J늘림+MAX(W107:X107)</f>
        <v>83</v>
      </c>
      <c r="G107" s="67" t="str">
        <f t="shared" si="9"/>
        <v>2098*125</v>
      </c>
      <c r="H107" s="68" t="str">
        <f t="shared" si="10"/>
        <v>2098*125</v>
      </c>
      <c r="I107" s="50">
        <f>IF('쪽쟘(실측)'!F107&gt;0,'쪽쟘(실측)'!F107-3,0)+뒷날개치수더함</f>
        <v>19</v>
      </c>
      <c r="J107" s="50">
        <f>IF('쪽쟘(실측)'!H107&gt;0,'쪽쟘(실측)'!H107-3,0)+뒷날개치수더함</f>
        <v>19</v>
      </c>
      <c r="K107" s="50">
        <f>IF('쪽쟘(실측)'!F107&gt;0,'쪽쟘(실측)'!F107+0,0)+뒷날개치수더함-0.2</f>
        <v>21.8</v>
      </c>
      <c r="L107" s="50">
        <f>IF('쪽쟘(실측)'!G107&gt;0,'쪽쟘(실측)'!G107+0,0)+뒷날개치수더함-0.2</f>
        <v>21.8</v>
      </c>
      <c r="M107" s="50">
        <f>IF('쪽쟘(실측)'!H107&gt;0,'쪽쟘(실측)'!H107+0,0)+뒷날개치수더함-0.2</f>
        <v>21.8</v>
      </c>
      <c r="N107" s="50">
        <f>IF('쪽쟘(실측)'!I107&gt;0,'쪽쟘(실측)'!I107+0,0)+뒷날개치수더함-0.2</f>
        <v>21.8</v>
      </c>
      <c r="O107" s="50">
        <f>'쪽쟘(실측)'!J107-쪽쟘기둥차감</f>
        <v>2098</v>
      </c>
      <c r="P107" s="50">
        <f>'쪽쟘(실측)'!K107-쪽쟘기둥차감</f>
        <v>2098</v>
      </c>
      <c r="Q107" s="50">
        <f>'쪽쟘(실측)'!L107-쪽쟘기둥차감</f>
        <v>2098</v>
      </c>
      <c r="R107" s="50">
        <f>'쪽쟘(실측)'!M107-쪽쟘기둥차감</f>
        <v>2098</v>
      </c>
      <c r="S107" s="50">
        <f>'쪽쟘(실측)'!N107+뒷날개치수더함</f>
        <v>22</v>
      </c>
      <c r="T107" s="50">
        <f>'쪽쟘(실측)'!O107+뒷날개치수더함</f>
        <v>22</v>
      </c>
      <c r="U107" s="50">
        <f>'쪽쟘(실측)'!P107+뒷날개치수더함</f>
        <v>16</v>
      </c>
      <c r="V107" s="50">
        <f>'쪽쟘(실측)'!Q107+뒷날개치수더함</f>
        <v>25</v>
      </c>
      <c r="W107" s="50">
        <f>'쪽쟘(실측)'!R107-쪽쟘늘치차감</f>
        <v>0</v>
      </c>
      <c r="X107" s="50">
        <f>'쪽쟘(실측)'!S107-쪽쟘늘치차감</f>
        <v>0</v>
      </c>
      <c r="Y107" s="4">
        <f>IF('쪽쟘(실측)'!T107&gt;5,'쪽쟘(실측)'!T107+뒷날개치수더함,0)</f>
        <v>15</v>
      </c>
      <c r="Z107" s="4">
        <f>'쪽쟘(실측)'!U107</f>
        <v>10</v>
      </c>
      <c r="AA107" s="4">
        <f>'쪽쟘(실측)'!V107</f>
        <v>6</v>
      </c>
      <c r="AC107">
        <f t="shared" si="11"/>
        <v>935</v>
      </c>
      <c r="AD107">
        <f>U107+E107+MAX(S107,T107)-쪽쟘소재t*3+IF(S107=0,S107*쪽쟘소재t,0)-1.2</f>
        <v>118.2</v>
      </c>
      <c r="AE107">
        <f>MAX(K107,L107)+F107+V107-쪽쟘소재t*3+IF(K107=0,쪽쟘소재t)-IF(AA107=90,2.4,0)-1.2</f>
        <v>125.00000000000001</v>
      </c>
      <c r="AF107">
        <f t="shared" si="12"/>
        <v>2098</v>
      </c>
      <c r="AG107">
        <f>MAX(M107,N107)+F107+V107-쪽쟘소재t*3+IF(M107=0,쪽쟘소재t)-IF(AA107=90,2.4,0)-1.2</f>
        <v>125.00000000000001</v>
      </c>
      <c r="AH107">
        <f t="shared" si="13"/>
        <v>2098</v>
      </c>
    </row>
    <row r="108" spans="1:34" ht="19.5" customHeight="1" x14ac:dyDescent="0.3">
      <c r="A108" s="50" t="str">
        <f>'쪽쟘(실측)'!A108</f>
        <v>112   / 2</v>
      </c>
      <c r="B108" s="50" t="str">
        <f>'쪽쟘(실측)'!B108&amp;"F"</f>
        <v>21F</v>
      </c>
      <c r="C108" s="50" t="str">
        <f t="shared" si="8"/>
        <v>936*119.2</v>
      </c>
      <c r="D108" s="50">
        <f>'쪽쟘(실측)'!C108-쪽쟘OP차감</f>
        <v>897</v>
      </c>
      <c r="E108" s="50">
        <f>'쪽쟘(실측)'!D108+쪽쟘J늘림+MAX(W108:X108)</f>
        <v>85</v>
      </c>
      <c r="F108" s="50">
        <f>'쪽쟘(실측)'!E108+쪽쟘J늘림+MAX(W108:X108)</f>
        <v>83</v>
      </c>
      <c r="G108" s="67" t="str">
        <f t="shared" si="9"/>
        <v>2098*125</v>
      </c>
      <c r="H108" s="68" t="str">
        <f t="shared" si="10"/>
        <v>2092*126</v>
      </c>
      <c r="I108" s="50">
        <f>IF('쪽쟘(실측)'!F108&gt;0,'쪽쟘(실측)'!F108-3,0)+뒷날개치수더함</f>
        <v>19</v>
      </c>
      <c r="J108" s="50">
        <f>IF('쪽쟘(실측)'!H108&gt;0,'쪽쟘(실측)'!H108-3,0)+뒷날개치수더함</f>
        <v>20</v>
      </c>
      <c r="K108" s="50">
        <f>IF('쪽쟘(실측)'!F108&gt;0,'쪽쟘(실측)'!F108+0,0)+뒷날개치수더함-0.2</f>
        <v>21.8</v>
      </c>
      <c r="L108" s="50">
        <f>IF('쪽쟘(실측)'!G108&gt;0,'쪽쟘(실측)'!G108+0,0)+뒷날개치수더함-0.2</f>
        <v>21.8</v>
      </c>
      <c r="M108" s="50">
        <f>IF('쪽쟘(실측)'!H108&gt;0,'쪽쟘(실측)'!H108+0,0)+뒷날개치수더함-0.2</f>
        <v>22.8</v>
      </c>
      <c r="N108" s="50">
        <f>IF('쪽쟘(실측)'!I108&gt;0,'쪽쟘(실측)'!I108+0,0)+뒷날개치수더함-0.2</f>
        <v>22.8</v>
      </c>
      <c r="O108" s="50">
        <f>'쪽쟘(실측)'!J108-쪽쟘기둥차감</f>
        <v>2098</v>
      </c>
      <c r="P108" s="50">
        <f>'쪽쟘(실측)'!K108-쪽쟘기둥차감</f>
        <v>2098</v>
      </c>
      <c r="Q108" s="50">
        <f>'쪽쟘(실측)'!L108-쪽쟘기둥차감</f>
        <v>2092</v>
      </c>
      <c r="R108" s="50">
        <f>'쪽쟘(실측)'!M108-쪽쟘기둥차감</f>
        <v>2092</v>
      </c>
      <c r="S108" s="50">
        <f>'쪽쟘(실측)'!N108+뒷날개치수더함</f>
        <v>23</v>
      </c>
      <c r="T108" s="50">
        <f>'쪽쟘(실측)'!O108+뒷날개치수더함</f>
        <v>23</v>
      </c>
      <c r="U108" s="50">
        <f>'쪽쟘(실측)'!P108+뒷날개치수더함</f>
        <v>16</v>
      </c>
      <c r="V108" s="50">
        <f>'쪽쟘(실측)'!Q108+뒷날개치수더함</f>
        <v>25</v>
      </c>
      <c r="W108" s="50">
        <f>'쪽쟘(실측)'!R108-쪽쟘늘치차감</f>
        <v>0</v>
      </c>
      <c r="X108" s="50">
        <f>'쪽쟘(실측)'!S108-쪽쟘늘치차감</f>
        <v>0</v>
      </c>
      <c r="Y108" s="4">
        <f>IF('쪽쟘(실측)'!T108&gt;5,'쪽쟘(실측)'!T108+뒷날개치수더함,0)</f>
        <v>15</v>
      </c>
      <c r="Z108" s="4">
        <f>'쪽쟘(실측)'!U108</f>
        <v>10</v>
      </c>
      <c r="AA108" s="4">
        <f>'쪽쟘(실측)'!V108</f>
        <v>6</v>
      </c>
      <c r="AC108">
        <f t="shared" si="11"/>
        <v>936</v>
      </c>
      <c r="AD108">
        <f>U108+E108+MAX(S108,T108)-쪽쟘소재t*3+IF(S108=0,S108*쪽쟘소재t,0)-1.2</f>
        <v>119.2</v>
      </c>
      <c r="AE108">
        <f>MAX(K108,L108)+F108+V108-쪽쟘소재t*3+IF(K108=0,쪽쟘소재t)-IF(AA108=90,2.4,0)-1.2</f>
        <v>125.00000000000001</v>
      </c>
      <c r="AF108">
        <f t="shared" si="12"/>
        <v>2098</v>
      </c>
      <c r="AG108">
        <f>MAX(M108,N108)+F108+V108-쪽쟘소재t*3+IF(M108=0,쪽쟘소재t)-IF(AA108=90,2.4,0)-1.2</f>
        <v>126.00000000000001</v>
      </c>
      <c r="AH108">
        <f t="shared" si="13"/>
        <v>2092</v>
      </c>
    </row>
    <row r="109" spans="1:34" ht="19.5" customHeight="1" x14ac:dyDescent="0.3">
      <c r="A109" s="50" t="str">
        <f>'쪽쟘(실측)'!A109</f>
        <v>112   / 2</v>
      </c>
      <c r="B109" s="50" t="str">
        <f>'쪽쟘(실측)'!B109&amp;"F"</f>
        <v>20F</v>
      </c>
      <c r="C109" s="50" t="str">
        <f t="shared" si="8"/>
        <v>930*116.2</v>
      </c>
      <c r="D109" s="50">
        <f>'쪽쟘(실측)'!C109-쪽쟘OP차감</f>
        <v>896</v>
      </c>
      <c r="E109" s="50">
        <f>'쪽쟘(실측)'!D109+쪽쟘J늘림+MAX(W109:X109)</f>
        <v>85</v>
      </c>
      <c r="F109" s="50">
        <f>'쪽쟘(실측)'!E109+쪽쟘J늘림+MAX(W109:X109)</f>
        <v>83</v>
      </c>
      <c r="G109" s="67" t="str">
        <f t="shared" si="9"/>
        <v>2092*123</v>
      </c>
      <c r="H109" s="68" t="str">
        <f t="shared" si="10"/>
        <v>2092*123</v>
      </c>
      <c r="I109" s="50">
        <f>IF('쪽쟘(실측)'!F109&gt;0,'쪽쟘(실측)'!F109-3,0)+뒷날개치수더함</f>
        <v>17</v>
      </c>
      <c r="J109" s="50">
        <f>IF('쪽쟘(실측)'!H109&gt;0,'쪽쟘(실측)'!H109-3,0)+뒷날개치수더함</f>
        <v>17</v>
      </c>
      <c r="K109" s="50">
        <f>IF('쪽쟘(실측)'!F109&gt;0,'쪽쟘(실측)'!F109+0,0)+뒷날개치수더함-0.2</f>
        <v>19.8</v>
      </c>
      <c r="L109" s="50">
        <f>IF('쪽쟘(실측)'!G109&gt;0,'쪽쟘(실측)'!G109+0,0)+뒷날개치수더함-0.2</f>
        <v>19.8</v>
      </c>
      <c r="M109" s="50">
        <f>IF('쪽쟘(실측)'!H109&gt;0,'쪽쟘(실측)'!H109+0,0)+뒷날개치수더함-0.2</f>
        <v>19.8</v>
      </c>
      <c r="N109" s="50">
        <f>IF('쪽쟘(실측)'!I109&gt;0,'쪽쟘(실측)'!I109+0,0)+뒷날개치수더함-0.2</f>
        <v>19.8</v>
      </c>
      <c r="O109" s="50">
        <f>'쪽쟘(실측)'!J109-쪽쟘기둥차감</f>
        <v>2092</v>
      </c>
      <c r="P109" s="50">
        <f>'쪽쟘(실측)'!K109-쪽쟘기둥차감</f>
        <v>2092</v>
      </c>
      <c r="Q109" s="50">
        <f>'쪽쟘(실측)'!L109-쪽쟘기둥차감</f>
        <v>2092</v>
      </c>
      <c r="R109" s="50">
        <f>'쪽쟘(실측)'!M109-쪽쟘기둥차감</f>
        <v>2092</v>
      </c>
      <c r="S109" s="50">
        <f>'쪽쟘(실측)'!N109+뒷날개치수더함</f>
        <v>20</v>
      </c>
      <c r="T109" s="50">
        <f>'쪽쟘(실측)'!O109+뒷날개치수더함</f>
        <v>20</v>
      </c>
      <c r="U109" s="50">
        <f>'쪽쟘(실측)'!P109+뒷날개치수더함</f>
        <v>16</v>
      </c>
      <c r="V109" s="50">
        <f>'쪽쟘(실측)'!Q109+뒷날개치수더함</f>
        <v>25</v>
      </c>
      <c r="W109" s="50">
        <f>'쪽쟘(실측)'!R109-쪽쟘늘치차감</f>
        <v>0</v>
      </c>
      <c r="X109" s="50">
        <f>'쪽쟘(실측)'!S109-쪽쟘늘치차감</f>
        <v>0</v>
      </c>
      <c r="Y109" s="4">
        <f>IF('쪽쟘(실측)'!T109&gt;5,'쪽쟘(실측)'!T109+뒷날개치수더함,0)</f>
        <v>15</v>
      </c>
      <c r="Z109" s="4">
        <f>'쪽쟘(실측)'!U109</f>
        <v>10</v>
      </c>
      <c r="AA109" s="4">
        <f>'쪽쟘(실측)'!V109</f>
        <v>6</v>
      </c>
      <c r="AC109">
        <f t="shared" si="11"/>
        <v>930</v>
      </c>
      <c r="AD109">
        <f>U109+E109+MAX(S109,T109)-쪽쟘소재t*3+IF(S109=0,S109*쪽쟘소재t,0)-1.2</f>
        <v>116.2</v>
      </c>
      <c r="AE109">
        <f>MAX(K109,L109)+F109+V109-쪽쟘소재t*3+IF(K109=0,쪽쟘소재t)-IF(AA109=90,2.4,0)-1.2</f>
        <v>123</v>
      </c>
      <c r="AF109">
        <f t="shared" si="12"/>
        <v>2092</v>
      </c>
      <c r="AG109">
        <f>MAX(M109,N109)+F109+V109-쪽쟘소재t*3+IF(M109=0,쪽쟘소재t)-IF(AA109=90,2.4,0)-1.2</f>
        <v>123</v>
      </c>
      <c r="AH109">
        <f t="shared" si="13"/>
        <v>2092</v>
      </c>
    </row>
    <row r="110" spans="1:34" ht="19.5" customHeight="1" x14ac:dyDescent="0.3">
      <c r="A110" s="50" t="str">
        <f>'쪽쟘(실측)'!A110</f>
        <v>112   / 2</v>
      </c>
      <c r="B110" s="50" t="str">
        <f>'쪽쟘(실측)'!B110&amp;"F"</f>
        <v>19F</v>
      </c>
      <c r="C110" s="50" t="str">
        <f t="shared" si="8"/>
        <v>931*121.2</v>
      </c>
      <c r="D110" s="50">
        <f>'쪽쟘(실측)'!C110-쪽쟘OP차감</f>
        <v>897</v>
      </c>
      <c r="E110" s="50">
        <f>'쪽쟘(실측)'!D110+쪽쟘J늘림+MAX(W110:X110)</f>
        <v>85</v>
      </c>
      <c r="F110" s="50">
        <f>'쪽쟘(실측)'!E110+쪽쟘J늘림+MAX(W110:X110)</f>
        <v>83</v>
      </c>
      <c r="G110" s="67" t="str">
        <f t="shared" si="9"/>
        <v>2092*123</v>
      </c>
      <c r="H110" s="68" t="str">
        <f t="shared" si="10"/>
        <v>2092*123</v>
      </c>
      <c r="I110" s="50">
        <f>IF('쪽쟘(실측)'!F110&gt;0,'쪽쟘(실측)'!F110-3,0)+뒷날개치수더함</f>
        <v>17</v>
      </c>
      <c r="J110" s="50">
        <f>IF('쪽쟘(실측)'!H110&gt;0,'쪽쟘(실측)'!H110-3,0)+뒷날개치수더함</f>
        <v>17</v>
      </c>
      <c r="K110" s="50">
        <f>IF('쪽쟘(실측)'!F110&gt;0,'쪽쟘(실측)'!F110+0,0)+뒷날개치수더함-0.2</f>
        <v>19.8</v>
      </c>
      <c r="L110" s="50">
        <f>IF('쪽쟘(실측)'!G110&gt;0,'쪽쟘(실측)'!G110+0,0)+뒷날개치수더함-0.2</f>
        <v>19.8</v>
      </c>
      <c r="M110" s="50">
        <f>IF('쪽쟘(실측)'!H110&gt;0,'쪽쟘(실측)'!H110+0,0)+뒷날개치수더함-0.2</f>
        <v>19.8</v>
      </c>
      <c r="N110" s="50">
        <f>IF('쪽쟘(실측)'!I110&gt;0,'쪽쟘(실측)'!I110+0,0)+뒷날개치수더함-0.2</f>
        <v>19.8</v>
      </c>
      <c r="O110" s="50">
        <f>'쪽쟘(실측)'!J110-쪽쟘기둥차감</f>
        <v>2092</v>
      </c>
      <c r="P110" s="50">
        <f>'쪽쟘(실측)'!K110-쪽쟘기둥차감</f>
        <v>2092</v>
      </c>
      <c r="Q110" s="50">
        <f>'쪽쟘(실측)'!L110-쪽쟘기둥차감</f>
        <v>2092</v>
      </c>
      <c r="R110" s="50">
        <f>'쪽쟘(실측)'!M110-쪽쟘기둥차감</f>
        <v>2092</v>
      </c>
      <c r="S110" s="50">
        <f>'쪽쟘(실측)'!N110+뒷날개치수더함</f>
        <v>25</v>
      </c>
      <c r="T110" s="50">
        <f>'쪽쟘(실측)'!O110+뒷날개치수더함</f>
        <v>25</v>
      </c>
      <c r="U110" s="50">
        <f>'쪽쟘(실측)'!P110+뒷날개치수더함</f>
        <v>16</v>
      </c>
      <c r="V110" s="50">
        <f>'쪽쟘(실측)'!Q110+뒷날개치수더함</f>
        <v>25</v>
      </c>
      <c r="W110" s="50">
        <f>'쪽쟘(실측)'!R110-쪽쟘늘치차감</f>
        <v>0</v>
      </c>
      <c r="X110" s="50">
        <f>'쪽쟘(실측)'!S110-쪽쟘늘치차감</f>
        <v>0</v>
      </c>
      <c r="Y110" s="4">
        <f>IF('쪽쟘(실측)'!T110&gt;5,'쪽쟘(실측)'!T110+뒷날개치수더함,0)</f>
        <v>15</v>
      </c>
      <c r="Z110" s="4">
        <f>'쪽쟘(실측)'!U110</f>
        <v>10</v>
      </c>
      <c r="AA110" s="4">
        <f>'쪽쟘(실측)'!V110</f>
        <v>6</v>
      </c>
      <c r="AC110">
        <f t="shared" si="11"/>
        <v>931</v>
      </c>
      <c r="AD110">
        <f>U110+E110+MAX(S110,T110)-쪽쟘소재t*3+IF(S110=0,S110*쪽쟘소재t,0)-1.2</f>
        <v>121.2</v>
      </c>
      <c r="AE110">
        <f>MAX(K110,L110)+F110+V110-쪽쟘소재t*3+IF(K110=0,쪽쟘소재t)-IF(AA110=90,2.4,0)-1.2</f>
        <v>123</v>
      </c>
      <c r="AF110">
        <f t="shared" si="12"/>
        <v>2092</v>
      </c>
      <c r="AG110">
        <f>MAX(M110,N110)+F110+V110-쪽쟘소재t*3+IF(M110=0,쪽쟘소재t)-IF(AA110=90,2.4,0)-1.2</f>
        <v>123</v>
      </c>
      <c r="AH110">
        <f t="shared" si="13"/>
        <v>2092</v>
      </c>
    </row>
    <row r="111" spans="1:34" ht="19.5" customHeight="1" x14ac:dyDescent="0.3">
      <c r="A111" s="50" t="str">
        <f>'쪽쟘(실측)'!A111</f>
        <v>112   / 2</v>
      </c>
      <c r="B111" s="50" t="str">
        <f>'쪽쟘(실측)'!B111&amp;"F"</f>
        <v>18F</v>
      </c>
      <c r="C111" s="50" t="str">
        <f t="shared" si="8"/>
        <v>928*111.2</v>
      </c>
      <c r="D111" s="50">
        <f>'쪽쟘(실측)'!C111-쪽쟘OP차감</f>
        <v>897</v>
      </c>
      <c r="E111" s="50">
        <f>'쪽쟘(실측)'!D111+쪽쟘J늘림+MAX(W111:X111)</f>
        <v>85</v>
      </c>
      <c r="F111" s="50">
        <f>'쪽쟘(실측)'!E111+쪽쟘J늘림+MAX(W111:X111)</f>
        <v>83</v>
      </c>
      <c r="G111" s="67" t="str">
        <f t="shared" si="9"/>
        <v>2092*121</v>
      </c>
      <c r="H111" s="68" t="str">
        <f t="shared" si="10"/>
        <v>2092*122</v>
      </c>
      <c r="I111" s="50">
        <f>IF('쪽쟘(실측)'!F111&gt;0,'쪽쟘(실측)'!F111-3,0)+뒷날개치수더함</f>
        <v>15</v>
      </c>
      <c r="J111" s="50">
        <f>IF('쪽쟘(실측)'!H111&gt;0,'쪽쟘(실측)'!H111-3,0)+뒷날개치수더함</f>
        <v>16</v>
      </c>
      <c r="K111" s="50">
        <f>IF('쪽쟘(실측)'!F111&gt;0,'쪽쟘(실측)'!F111+0,0)+뒷날개치수더함-0.2</f>
        <v>17.8</v>
      </c>
      <c r="L111" s="50">
        <f>IF('쪽쟘(실측)'!G111&gt;0,'쪽쟘(실측)'!G111+0,0)+뒷날개치수더함-0.2</f>
        <v>17.8</v>
      </c>
      <c r="M111" s="50">
        <f>IF('쪽쟘(실측)'!H111&gt;0,'쪽쟘(실측)'!H111+0,0)+뒷날개치수더함-0.2</f>
        <v>18.8</v>
      </c>
      <c r="N111" s="50">
        <f>IF('쪽쟘(실측)'!I111&gt;0,'쪽쟘(실측)'!I111+0,0)+뒷날개치수더함-0.2</f>
        <v>18.8</v>
      </c>
      <c r="O111" s="50">
        <f>'쪽쟘(실측)'!J111-쪽쟘기둥차감</f>
        <v>2092</v>
      </c>
      <c r="P111" s="50">
        <f>'쪽쟘(실측)'!K111-쪽쟘기둥차감</f>
        <v>2092</v>
      </c>
      <c r="Q111" s="50">
        <f>'쪽쟘(실측)'!L111-쪽쟘기둥차감</f>
        <v>2092</v>
      </c>
      <c r="R111" s="50">
        <f>'쪽쟘(실측)'!M111-쪽쟘기둥차감</f>
        <v>2092</v>
      </c>
      <c r="S111" s="50">
        <f>'쪽쟘(실측)'!N111+뒷날개치수더함</f>
        <v>15</v>
      </c>
      <c r="T111" s="50">
        <f>'쪽쟘(실측)'!O111+뒷날개치수더함</f>
        <v>15</v>
      </c>
      <c r="U111" s="50">
        <f>'쪽쟘(실측)'!P111+뒷날개치수더함</f>
        <v>16</v>
      </c>
      <c r="V111" s="50">
        <f>'쪽쟘(실측)'!Q111+뒷날개치수더함</f>
        <v>25</v>
      </c>
      <c r="W111" s="50">
        <f>'쪽쟘(실측)'!R111-쪽쟘늘치차감</f>
        <v>0</v>
      </c>
      <c r="X111" s="50">
        <f>'쪽쟘(실측)'!S111-쪽쟘늘치차감</f>
        <v>0</v>
      </c>
      <c r="Y111" s="4">
        <f>IF('쪽쟘(실측)'!T111&gt;5,'쪽쟘(실측)'!T111+뒷날개치수더함,0)</f>
        <v>15</v>
      </c>
      <c r="Z111" s="4">
        <f>'쪽쟘(실측)'!U111</f>
        <v>10</v>
      </c>
      <c r="AA111" s="4">
        <f>'쪽쟘(실측)'!V111</f>
        <v>6</v>
      </c>
      <c r="AC111">
        <f t="shared" si="11"/>
        <v>928</v>
      </c>
      <c r="AD111">
        <f>U111+E111+MAX(S111,T111)-쪽쟘소재t*3+IF(S111=0,S111*쪽쟘소재t,0)-1.2</f>
        <v>111.2</v>
      </c>
      <c r="AE111">
        <f>MAX(K111,L111)+F111+V111-쪽쟘소재t*3+IF(K111=0,쪽쟘소재t)-IF(AA111=90,2.4,0)-1.2</f>
        <v>121</v>
      </c>
      <c r="AF111">
        <f t="shared" si="12"/>
        <v>2092</v>
      </c>
      <c r="AG111">
        <f>MAX(M111,N111)+F111+V111-쪽쟘소재t*3+IF(M111=0,쪽쟘소재t)-IF(AA111=90,2.4,0)-1.2</f>
        <v>122</v>
      </c>
      <c r="AH111">
        <f t="shared" si="13"/>
        <v>2092</v>
      </c>
    </row>
    <row r="112" spans="1:34" ht="19.5" customHeight="1" x14ac:dyDescent="0.3">
      <c r="A112" s="50" t="str">
        <f>'쪽쟘(실측)'!A112</f>
        <v>112   / 2</v>
      </c>
      <c r="B112" s="50" t="str">
        <f>'쪽쟘(실측)'!B112&amp;"F"</f>
        <v>17F</v>
      </c>
      <c r="C112" s="50" t="str">
        <f t="shared" si="8"/>
        <v>934*112.2</v>
      </c>
      <c r="D112" s="50">
        <f>'쪽쟘(실측)'!C112-쪽쟘OP차감</f>
        <v>899</v>
      </c>
      <c r="E112" s="50">
        <f>'쪽쟘(실측)'!D112+쪽쟘J늘림+MAX(W112:X112)</f>
        <v>85</v>
      </c>
      <c r="F112" s="50">
        <f>'쪽쟘(실측)'!E112+쪽쟘J늘림+MAX(W112:X112)</f>
        <v>83</v>
      </c>
      <c r="G112" s="67" t="str">
        <f t="shared" si="9"/>
        <v>2092*123</v>
      </c>
      <c r="H112" s="68" t="str">
        <f t="shared" si="10"/>
        <v>2092*124</v>
      </c>
      <c r="I112" s="50">
        <f>IF('쪽쟘(실측)'!F112&gt;0,'쪽쟘(실측)'!F112-3,0)+뒷날개치수더함</f>
        <v>17</v>
      </c>
      <c r="J112" s="50">
        <f>IF('쪽쟘(실측)'!H112&gt;0,'쪽쟘(실측)'!H112-3,0)+뒷날개치수더함</f>
        <v>18</v>
      </c>
      <c r="K112" s="50">
        <f>IF('쪽쟘(실측)'!F112&gt;0,'쪽쟘(실측)'!F112+0,0)+뒷날개치수더함-0.2</f>
        <v>19.8</v>
      </c>
      <c r="L112" s="50">
        <f>IF('쪽쟘(실측)'!G112&gt;0,'쪽쟘(실측)'!G112+0,0)+뒷날개치수더함-0.2</f>
        <v>19.8</v>
      </c>
      <c r="M112" s="50">
        <f>IF('쪽쟘(실측)'!H112&gt;0,'쪽쟘(실측)'!H112+0,0)+뒷날개치수더함-0.2</f>
        <v>20.8</v>
      </c>
      <c r="N112" s="50">
        <f>IF('쪽쟘(실측)'!I112&gt;0,'쪽쟘(실측)'!I112+0,0)+뒷날개치수더함-0.2</f>
        <v>20.8</v>
      </c>
      <c r="O112" s="50">
        <f>'쪽쟘(실측)'!J112-쪽쟘기둥차감</f>
        <v>2092</v>
      </c>
      <c r="P112" s="50">
        <f>'쪽쟘(실측)'!K112-쪽쟘기둥차감</f>
        <v>2092</v>
      </c>
      <c r="Q112" s="50">
        <f>'쪽쟘(실측)'!L112-쪽쟘기둥차감</f>
        <v>2092</v>
      </c>
      <c r="R112" s="50">
        <f>'쪽쟘(실측)'!M112-쪽쟘기둥차감</f>
        <v>2092</v>
      </c>
      <c r="S112" s="50">
        <f>'쪽쟘(실측)'!N112+뒷날개치수더함</f>
        <v>16</v>
      </c>
      <c r="T112" s="50">
        <f>'쪽쟘(실측)'!O112+뒷날개치수더함</f>
        <v>16</v>
      </c>
      <c r="U112" s="50">
        <f>'쪽쟘(실측)'!P112+뒷날개치수더함</f>
        <v>16</v>
      </c>
      <c r="V112" s="50">
        <f>'쪽쟘(실측)'!Q112+뒷날개치수더함</f>
        <v>25</v>
      </c>
      <c r="W112" s="50">
        <f>'쪽쟘(실측)'!R112-쪽쟘늘치차감</f>
        <v>0</v>
      </c>
      <c r="X112" s="50">
        <f>'쪽쟘(실측)'!S112-쪽쟘늘치차감</f>
        <v>0</v>
      </c>
      <c r="Y112" s="4">
        <f>IF('쪽쟘(실측)'!T112&gt;5,'쪽쟘(실측)'!T112+뒷날개치수더함,0)</f>
        <v>15</v>
      </c>
      <c r="Z112" s="4">
        <f>'쪽쟘(실측)'!U112</f>
        <v>10</v>
      </c>
      <c r="AA112" s="4">
        <f>'쪽쟘(실측)'!V112</f>
        <v>6</v>
      </c>
      <c r="AC112">
        <f t="shared" si="11"/>
        <v>934</v>
      </c>
      <c r="AD112">
        <f>U112+E112+MAX(S112,T112)-쪽쟘소재t*3+IF(S112=0,S112*쪽쟘소재t,0)-1.2</f>
        <v>112.2</v>
      </c>
      <c r="AE112">
        <f>MAX(K112,L112)+F112+V112-쪽쟘소재t*3+IF(K112=0,쪽쟘소재t)-IF(AA112=90,2.4,0)-1.2</f>
        <v>123</v>
      </c>
      <c r="AF112">
        <f t="shared" si="12"/>
        <v>2092</v>
      </c>
      <c r="AG112">
        <f>MAX(M112,N112)+F112+V112-쪽쟘소재t*3+IF(M112=0,쪽쟘소재t)-IF(AA112=90,2.4,0)-1.2</f>
        <v>124.00000000000001</v>
      </c>
      <c r="AH112">
        <f t="shared" si="13"/>
        <v>2092</v>
      </c>
    </row>
    <row r="113" spans="1:34" ht="19.5" customHeight="1" x14ac:dyDescent="0.3">
      <c r="A113" s="50" t="str">
        <f>'쪽쟘(실측)'!A113</f>
        <v>112   / 2</v>
      </c>
      <c r="B113" s="50" t="str">
        <f>'쪽쟘(실측)'!B113&amp;"F"</f>
        <v>16F</v>
      </c>
      <c r="C113" s="50" t="str">
        <f t="shared" si="8"/>
        <v>932*119.2</v>
      </c>
      <c r="D113" s="50">
        <f>'쪽쟘(실측)'!C113-쪽쟘OP차감</f>
        <v>897</v>
      </c>
      <c r="E113" s="50">
        <f>'쪽쟘(실측)'!D113+쪽쟘J늘림+MAX(W113:X113)</f>
        <v>85</v>
      </c>
      <c r="F113" s="50">
        <f>'쪽쟘(실측)'!E113+쪽쟘J늘림+MAX(W113:X113)</f>
        <v>83</v>
      </c>
      <c r="G113" s="67" t="str">
        <f t="shared" si="9"/>
        <v>2092*123</v>
      </c>
      <c r="H113" s="68" t="str">
        <f t="shared" si="10"/>
        <v>2092*124</v>
      </c>
      <c r="I113" s="50">
        <f>IF('쪽쟘(실측)'!F113&gt;0,'쪽쟘(실측)'!F113-3,0)+뒷날개치수더함</f>
        <v>17</v>
      </c>
      <c r="J113" s="50">
        <f>IF('쪽쟘(실측)'!H113&gt;0,'쪽쟘(실측)'!H113-3,0)+뒷날개치수더함</f>
        <v>18</v>
      </c>
      <c r="K113" s="50">
        <f>IF('쪽쟘(실측)'!F113&gt;0,'쪽쟘(실측)'!F113+0,0)+뒷날개치수더함-0.2</f>
        <v>19.8</v>
      </c>
      <c r="L113" s="50">
        <f>IF('쪽쟘(실측)'!G113&gt;0,'쪽쟘(실측)'!G113+0,0)+뒷날개치수더함-0.2</f>
        <v>19.8</v>
      </c>
      <c r="M113" s="50">
        <f>IF('쪽쟘(실측)'!H113&gt;0,'쪽쟘(실측)'!H113+0,0)+뒷날개치수더함-0.2</f>
        <v>20.8</v>
      </c>
      <c r="N113" s="50">
        <f>IF('쪽쟘(실측)'!I113&gt;0,'쪽쟘(실측)'!I113+0,0)+뒷날개치수더함-0.2</f>
        <v>20.8</v>
      </c>
      <c r="O113" s="50">
        <f>'쪽쟘(실측)'!J113-쪽쟘기둥차감</f>
        <v>2092</v>
      </c>
      <c r="P113" s="50">
        <f>'쪽쟘(실측)'!K113-쪽쟘기둥차감</f>
        <v>2092</v>
      </c>
      <c r="Q113" s="50">
        <f>'쪽쟘(실측)'!L113-쪽쟘기둥차감</f>
        <v>2092</v>
      </c>
      <c r="R113" s="50">
        <f>'쪽쟘(실측)'!M113-쪽쟘기둥차감</f>
        <v>2092</v>
      </c>
      <c r="S113" s="50">
        <f>'쪽쟘(실측)'!N113+뒷날개치수더함</f>
        <v>23</v>
      </c>
      <c r="T113" s="50">
        <f>'쪽쟘(실측)'!O113+뒷날개치수더함</f>
        <v>23</v>
      </c>
      <c r="U113" s="50">
        <f>'쪽쟘(실측)'!P113+뒷날개치수더함</f>
        <v>16</v>
      </c>
      <c r="V113" s="50">
        <f>'쪽쟘(실측)'!Q113+뒷날개치수더함</f>
        <v>25</v>
      </c>
      <c r="W113" s="50">
        <f>'쪽쟘(실측)'!R113-쪽쟘늘치차감</f>
        <v>0</v>
      </c>
      <c r="X113" s="50">
        <f>'쪽쟘(실측)'!S113-쪽쟘늘치차감</f>
        <v>0</v>
      </c>
      <c r="Y113" s="4">
        <f>IF('쪽쟘(실측)'!T113&gt;5,'쪽쟘(실측)'!T113+뒷날개치수더함,0)</f>
        <v>15</v>
      </c>
      <c r="Z113" s="4">
        <f>'쪽쟘(실측)'!U113</f>
        <v>10</v>
      </c>
      <c r="AA113" s="4">
        <f>'쪽쟘(실측)'!V113</f>
        <v>6</v>
      </c>
      <c r="AC113">
        <f t="shared" si="11"/>
        <v>932</v>
      </c>
      <c r="AD113">
        <f>U113+E113+MAX(S113,T113)-쪽쟘소재t*3+IF(S113=0,S113*쪽쟘소재t,0)-1.2</f>
        <v>119.2</v>
      </c>
      <c r="AE113">
        <f>MAX(K113,L113)+F113+V113-쪽쟘소재t*3+IF(K113=0,쪽쟘소재t)-IF(AA113=90,2.4,0)-1.2</f>
        <v>123</v>
      </c>
      <c r="AF113">
        <f t="shared" si="12"/>
        <v>2092</v>
      </c>
      <c r="AG113">
        <f>MAX(M113,N113)+F113+V113-쪽쟘소재t*3+IF(M113=0,쪽쟘소재t)-IF(AA113=90,2.4,0)-1.2</f>
        <v>124.00000000000001</v>
      </c>
      <c r="AH113">
        <f t="shared" si="13"/>
        <v>2092</v>
      </c>
    </row>
    <row r="114" spans="1:34" ht="19.5" customHeight="1" x14ac:dyDescent="0.3">
      <c r="A114" s="50" t="str">
        <f>'쪽쟘(실측)'!A114</f>
        <v>112   / 2</v>
      </c>
      <c r="B114" s="50" t="str">
        <f>'쪽쟘(실측)'!B114&amp;"F"</f>
        <v>15F</v>
      </c>
      <c r="C114" s="50" t="str">
        <f t="shared" si="8"/>
        <v>934*121.2</v>
      </c>
      <c r="D114" s="50">
        <f>'쪽쟘(실측)'!C114-쪽쟘OP차감</f>
        <v>898</v>
      </c>
      <c r="E114" s="50">
        <f>'쪽쟘(실측)'!D114+쪽쟘J늘림+MAX(W114:X114)</f>
        <v>85</v>
      </c>
      <c r="F114" s="50">
        <f>'쪽쟘(실측)'!E114+쪽쟘J늘림+MAX(W114:X114)</f>
        <v>83</v>
      </c>
      <c r="G114" s="67" t="str">
        <f t="shared" si="9"/>
        <v>2092*124</v>
      </c>
      <c r="H114" s="68" t="str">
        <f t="shared" si="10"/>
        <v>2092*124</v>
      </c>
      <c r="I114" s="50">
        <f>IF('쪽쟘(실측)'!F114&gt;0,'쪽쟘(실측)'!F114-3,0)+뒷날개치수더함</f>
        <v>18</v>
      </c>
      <c r="J114" s="50">
        <f>IF('쪽쟘(실측)'!H114&gt;0,'쪽쟘(실측)'!H114-3,0)+뒷날개치수더함</f>
        <v>18</v>
      </c>
      <c r="K114" s="50">
        <f>IF('쪽쟘(실측)'!F114&gt;0,'쪽쟘(실측)'!F114+0,0)+뒷날개치수더함-0.2</f>
        <v>20.8</v>
      </c>
      <c r="L114" s="50">
        <f>IF('쪽쟘(실측)'!G114&gt;0,'쪽쟘(실측)'!G114+0,0)+뒷날개치수더함-0.2</f>
        <v>20.8</v>
      </c>
      <c r="M114" s="50">
        <f>IF('쪽쟘(실측)'!H114&gt;0,'쪽쟘(실측)'!H114+0,0)+뒷날개치수더함-0.2</f>
        <v>20.8</v>
      </c>
      <c r="N114" s="50">
        <f>IF('쪽쟘(실측)'!I114&gt;0,'쪽쟘(실측)'!I114+0,0)+뒷날개치수더함-0.2</f>
        <v>20.8</v>
      </c>
      <c r="O114" s="50">
        <f>'쪽쟘(실측)'!J114-쪽쟘기둥차감</f>
        <v>2092</v>
      </c>
      <c r="P114" s="50">
        <f>'쪽쟘(실측)'!K114-쪽쟘기둥차감</f>
        <v>2092</v>
      </c>
      <c r="Q114" s="50">
        <f>'쪽쟘(실측)'!L114-쪽쟘기둥차감</f>
        <v>2092</v>
      </c>
      <c r="R114" s="50">
        <f>'쪽쟘(실측)'!M114-쪽쟘기둥차감</f>
        <v>2092</v>
      </c>
      <c r="S114" s="50">
        <f>'쪽쟘(실측)'!N114+뒷날개치수더함</f>
        <v>25</v>
      </c>
      <c r="T114" s="50">
        <f>'쪽쟘(실측)'!O114+뒷날개치수더함</f>
        <v>25</v>
      </c>
      <c r="U114" s="50">
        <f>'쪽쟘(실측)'!P114+뒷날개치수더함</f>
        <v>16</v>
      </c>
      <c r="V114" s="50">
        <f>'쪽쟘(실측)'!Q114+뒷날개치수더함</f>
        <v>25</v>
      </c>
      <c r="W114" s="50">
        <f>'쪽쟘(실측)'!R114-쪽쟘늘치차감</f>
        <v>0</v>
      </c>
      <c r="X114" s="50">
        <f>'쪽쟘(실측)'!S114-쪽쟘늘치차감</f>
        <v>0</v>
      </c>
      <c r="Y114" s="4">
        <f>IF('쪽쟘(실측)'!T114&gt;5,'쪽쟘(실측)'!T114+뒷날개치수더함,0)</f>
        <v>15</v>
      </c>
      <c r="Z114" s="4">
        <f>'쪽쟘(실측)'!U114</f>
        <v>10</v>
      </c>
      <c r="AA114" s="4">
        <f>'쪽쟘(실측)'!V114</f>
        <v>6</v>
      </c>
      <c r="AC114">
        <f t="shared" si="11"/>
        <v>934</v>
      </c>
      <c r="AD114">
        <f>U114+E114+MAX(S114,T114)-쪽쟘소재t*3+IF(S114=0,S114*쪽쟘소재t,0)-1.2</f>
        <v>121.2</v>
      </c>
      <c r="AE114">
        <f>MAX(K114,L114)+F114+V114-쪽쟘소재t*3+IF(K114=0,쪽쟘소재t)-IF(AA114=90,2.4,0)-1.2</f>
        <v>124.00000000000001</v>
      </c>
      <c r="AF114">
        <f t="shared" si="12"/>
        <v>2092</v>
      </c>
      <c r="AG114">
        <f>MAX(M114,N114)+F114+V114-쪽쟘소재t*3+IF(M114=0,쪽쟘소재t)-IF(AA114=90,2.4,0)-1.2</f>
        <v>124.00000000000001</v>
      </c>
      <c r="AH114">
        <f t="shared" si="13"/>
        <v>2092</v>
      </c>
    </row>
    <row r="115" spans="1:34" ht="19.5" customHeight="1" x14ac:dyDescent="0.3">
      <c r="A115" s="50" t="str">
        <f>'쪽쟘(실측)'!A115</f>
        <v>112   / 2</v>
      </c>
      <c r="B115" s="50" t="str">
        <f>'쪽쟘(실측)'!B115&amp;"F"</f>
        <v>14F</v>
      </c>
      <c r="C115" s="50" t="str">
        <f t="shared" si="8"/>
        <v>932*125.2</v>
      </c>
      <c r="D115" s="50">
        <f>'쪽쟘(실측)'!C115-쪽쟘OP차감</f>
        <v>898</v>
      </c>
      <c r="E115" s="50">
        <f>'쪽쟘(실측)'!D115+쪽쟘J늘림+MAX(W115:X115)</f>
        <v>85</v>
      </c>
      <c r="F115" s="50">
        <f>'쪽쟘(실측)'!E115+쪽쟘J늘림+MAX(W115:X115)</f>
        <v>83</v>
      </c>
      <c r="G115" s="67" t="str">
        <f t="shared" si="9"/>
        <v>2098*123</v>
      </c>
      <c r="H115" s="68" t="str">
        <f t="shared" si="10"/>
        <v>2092*123</v>
      </c>
      <c r="I115" s="50">
        <f>IF('쪽쟘(실측)'!F115&gt;0,'쪽쟘(실측)'!F115-3,0)+뒷날개치수더함</f>
        <v>17</v>
      </c>
      <c r="J115" s="50">
        <f>IF('쪽쟘(실측)'!H115&gt;0,'쪽쟘(실측)'!H115-3,0)+뒷날개치수더함</f>
        <v>17</v>
      </c>
      <c r="K115" s="50">
        <f>IF('쪽쟘(실측)'!F115&gt;0,'쪽쟘(실측)'!F115+0,0)+뒷날개치수더함-0.2</f>
        <v>19.8</v>
      </c>
      <c r="L115" s="50">
        <f>IF('쪽쟘(실측)'!G115&gt;0,'쪽쟘(실측)'!G115+0,0)+뒷날개치수더함-0.2</f>
        <v>19.8</v>
      </c>
      <c r="M115" s="50">
        <f>IF('쪽쟘(실측)'!H115&gt;0,'쪽쟘(실측)'!H115+0,0)+뒷날개치수더함-0.2</f>
        <v>19.8</v>
      </c>
      <c r="N115" s="50">
        <f>IF('쪽쟘(실측)'!I115&gt;0,'쪽쟘(실측)'!I115+0,0)+뒷날개치수더함-0.2</f>
        <v>19.8</v>
      </c>
      <c r="O115" s="50">
        <f>'쪽쟘(실측)'!J115-쪽쟘기둥차감</f>
        <v>2098</v>
      </c>
      <c r="P115" s="50">
        <f>'쪽쟘(실측)'!K115-쪽쟘기둥차감</f>
        <v>2098</v>
      </c>
      <c r="Q115" s="50">
        <f>'쪽쟘(실측)'!L115-쪽쟘기둥차감</f>
        <v>2092</v>
      </c>
      <c r="R115" s="50">
        <f>'쪽쟘(실측)'!M115-쪽쟘기둥차감</f>
        <v>2092</v>
      </c>
      <c r="S115" s="50">
        <f>'쪽쟘(실측)'!N115+뒷날개치수더함</f>
        <v>29</v>
      </c>
      <c r="T115" s="50">
        <f>'쪽쟘(실측)'!O115+뒷날개치수더함</f>
        <v>29</v>
      </c>
      <c r="U115" s="50">
        <f>'쪽쟘(실측)'!P115+뒷날개치수더함</f>
        <v>16</v>
      </c>
      <c r="V115" s="50">
        <f>'쪽쟘(실측)'!Q115+뒷날개치수더함</f>
        <v>25</v>
      </c>
      <c r="W115" s="50">
        <f>'쪽쟘(실측)'!R115-쪽쟘늘치차감</f>
        <v>0</v>
      </c>
      <c r="X115" s="50">
        <f>'쪽쟘(실측)'!S115-쪽쟘늘치차감</f>
        <v>0</v>
      </c>
      <c r="Y115" s="4">
        <f>IF('쪽쟘(실측)'!T115&gt;5,'쪽쟘(실측)'!T115+뒷날개치수더함,0)</f>
        <v>15</v>
      </c>
      <c r="Z115" s="4">
        <f>'쪽쟘(실측)'!U115</f>
        <v>10</v>
      </c>
      <c r="AA115" s="4">
        <f>'쪽쟘(실측)'!V115</f>
        <v>6</v>
      </c>
      <c r="AC115">
        <f t="shared" si="11"/>
        <v>932</v>
      </c>
      <c r="AD115">
        <f>U115+E115+MAX(S115,T115)-쪽쟘소재t*3+IF(S115=0,S115*쪽쟘소재t,0)-1.2</f>
        <v>125.2</v>
      </c>
      <c r="AE115">
        <f>MAX(K115,L115)+F115+V115-쪽쟘소재t*3+IF(K115=0,쪽쟘소재t)-IF(AA115=90,2.4,0)-1.2</f>
        <v>123</v>
      </c>
      <c r="AF115">
        <f t="shared" si="12"/>
        <v>2098</v>
      </c>
      <c r="AG115">
        <f>MAX(M115,N115)+F115+V115-쪽쟘소재t*3+IF(M115=0,쪽쟘소재t)-IF(AA115=90,2.4,0)-1.2</f>
        <v>123</v>
      </c>
      <c r="AH115">
        <f t="shared" si="13"/>
        <v>2092</v>
      </c>
    </row>
    <row r="116" spans="1:34" ht="19.5" customHeight="1" x14ac:dyDescent="0.3">
      <c r="A116" s="50" t="str">
        <f>'쪽쟘(실측)'!A116</f>
        <v>112   / 2</v>
      </c>
      <c r="B116" s="50" t="str">
        <f>'쪽쟘(실측)'!B116&amp;"F"</f>
        <v>13F</v>
      </c>
      <c r="C116" s="50" t="str">
        <f t="shared" si="8"/>
        <v>936*120.2</v>
      </c>
      <c r="D116" s="50">
        <f>'쪽쟘(실측)'!C116-쪽쟘OP차감</f>
        <v>899</v>
      </c>
      <c r="E116" s="50">
        <f>'쪽쟘(실측)'!D116+쪽쟘J늘림+MAX(W116:X116)</f>
        <v>85</v>
      </c>
      <c r="F116" s="50">
        <f>'쪽쟘(실측)'!E116+쪽쟘J늘림+MAX(W116:X116)</f>
        <v>83</v>
      </c>
      <c r="G116" s="67" t="str">
        <f t="shared" si="9"/>
        <v>2098*125</v>
      </c>
      <c r="H116" s="68" t="str">
        <f t="shared" si="10"/>
        <v>2098*124</v>
      </c>
      <c r="I116" s="50">
        <f>IF('쪽쟘(실측)'!F116&gt;0,'쪽쟘(실측)'!F116-3,0)+뒷날개치수더함</f>
        <v>19</v>
      </c>
      <c r="J116" s="50">
        <f>IF('쪽쟘(실측)'!H116&gt;0,'쪽쟘(실측)'!H116-3,0)+뒷날개치수더함</f>
        <v>18</v>
      </c>
      <c r="K116" s="50">
        <f>IF('쪽쟘(실측)'!F116&gt;0,'쪽쟘(실측)'!F116+0,0)+뒷날개치수더함-0.2</f>
        <v>21.8</v>
      </c>
      <c r="L116" s="50">
        <f>IF('쪽쟘(실측)'!G116&gt;0,'쪽쟘(실측)'!G116+0,0)+뒷날개치수더함-0.2</f>
        <v>21.8</v>
      </c>
      <c r="M116" s="50">
        <f>IF('쪽쟘(실측)'!H116&gt;0,'쪽쟘(실측)'!H116+0,0)+뒷날개치수더함-0.2</f>
        <v>20.8</v>
      </c>
      <c r="N116" s="50">
        <f>IF('쪽쟘(실측)'!I116&gt;0,'쪽쟘(실측)'!I116+0,0)+뒷날개치수더함-0.2</f>
        <v>20.8</v>
      </c>
      <c r="O116" s="50">
        <f>'쪽쟘(실측)'!J116-쪽쟘기둥차감</f>
        <v>2098</v>
      </c>
      <c r="P116" s="50">
        <f>'쪽쟘(실측)'!K116-쪽쟘기둥차감</f>
        <v>2098</v>
      </c>
      <c r="Q116" s="50">
        <f>'쪽쟘(실측)'!L116-쪽쟘기둥차감</f>
        <v>2098</v>
      </c>
      <c r="R116" s="50">
        <f>'쪽쟘(실측)'!M116-쪽쟘기둥차감</f>
        <v>2098</v>
      </c>
      <c r="S116" s="50">
        <f>'쪽쟘(실측)'!N116+뒷날개치수더함</f>
        <v>24</v>
      </c>
      <c r="T116" s="50">
        <f>'쪽쟘(실측)'!O116+뒷날개치수더함</f>
        <v>24</v>
      </c>
      <c r="U116" s="50">
        <f>'쪽쟘(실측)'!P116+뒷날개치수더함</f>
        <v>16</v>
      </c>
      <c r="V116" s="50">
        <f>'쪽쟘(실측)'!Q116+뒷날개치수더함</f>
        <v>25</v>
      </c>
      <c r="W116" s="50">
        <f>'쪽쟘(실측)'!R116-쪽쟘늘치차감</f>
        <v>0</v>
      </c>
      <c r="X116" s="50">
        <f>'쪽쟘(실측)'!S116-쪽쟘늘치차감</f>
        <v>0</v>
      </c>
      <c r="Y116" s="4">
        <f>IF('쪽쟘(실측)'!T116&gt;5,'쪽쟘(실측)'!T116+뒷날개치수더함,0)</f>
        <v>15</v>
      </c>
      <c r="Z116" s="4">
        <f>'쪽쟘(실측)'!U116</f>
        <v>10</v>
      </c>
      <c r="AA116" s="4">
        <f>'쪽쟘(실측)'!V116</f>
        <v>6</v>
      </c>
      <c r="AC116">
        <f t="shared" si="11"/>
        <v>936</v>
      </c>
      <c r="AD116">
        <f>U116+E116+MAX(S116,T116)-쪽쟘소재t*3+IF(S116=0,S116*쪽쟘소재t,0)-1.2</f>
        <v>120.2</v>
      </c>
      <c r="AE116">
        <f>MAX(K116,L116)+F116+V116-쪽쟘소재t*3+IF(K116=0,쪽쟘소재t)-IF(AA116=90,2.4,0)-1.2</f>
        <v>125.00000000000001</v>
      </c>
      <c r="AF116">
        <f t="shared" si="12"/>
        <v>2098</v>
      </c>
      <c r="AG116">
        <f>MAX(M116,N116)+F116+V116-쪽쟘소재t*3+IF(M116=0,쪽쟘소재t)-IF(AA116=90,2.4,0)-1.2</f>
        <v>124.00000000000001</v>
      </c>
      <c r="AH116">
        <f t="shared" si="13"/>
        <v>2098</v>
      </c>
    </row>
    <row r="117" spans="1:34" ht="19.5" customHeight="1" x14ac:dyDescent="0.3">
      <c r="A117" s="50" t="str">
        <f>'쪽쟘(실측)'!A117</f>
        <v>112   / 2</v>
      </c>
      <c r="B117" s="50" t="str">
        <f>'쪽쟘(실측)'!B117&amp;"F"</f>
        <v>12F</v>
      </c>
      <c r="C117" s="50" t="str">
        <f t="shared" si="8"/>
        <v>928*111.2</v>
      </c>
      <c r="D117" s="50">
        <f>'쪽쟘(실측)'!C117-쪽쟘OP차감</f>
        <v>899</v>
      </c>
      <c r="E117" s="50">
        <f>'쪽쟘(실측)'!D117+쪽쟘J늘림+MAX(W117:X117)</f>
        <v>85</v>
      </c>
      <c r="F117" s="50">
        <f>'쪽쟘(실측)'!E117+쪽쟘J늘림+MAX(W117:X117)</f>
        <v>83</v>
      </c>
      <c r="G117" s="67" t="str">
        <f t="shared" si="9"/>
        <v>2092*120</v>
      </c>
      <c r="H117" s="68" t="str">
        <f t="shared" si="10"/>
        <v>2092*121</v>
      </c>
      <c r="I117" s="50">
        <f>IF('쪽쟘(실측)'!F117&gt;0,'쪽쟘(실측)'!F117-3,0)+뒷날개치수더함</f>
        <v>14</v>
      </c>
      <c r="J117" s="50">
        <f>IF('쪽쟘(실측)'!H117&gt;0,'쪽쟘(실측)'!H117-3,0)+뒷날개치수더함</f>
        <v>15</v>
      </c>
      <c r="K117" s="50">
        <f>IF('쪽쟘(실측)'!F117&gt;0,'쪽쟘(실측)'!F117+0,0)+뒷날개치수더함-0.2</f>
        <v>16.8</v>
      </c>
      <c r="L117" s="50">
        <f>IF('쪽쟘(실측)'!G117&gt;0,'쪽쟘(실측)'!G117+0,0)+뒷날개치수더함-0.2</f>
        <v>16.8</v>
      </c>
      <c r="M117" s="50">
        <f>IF('쪽쟘(실측)'!H117&gt;0,'쪽쟘(실측)'!H117+0,0)+뒷날개치수더함-0.2</f>
        <v>17.8</v>
      </c>
      <c r="N117" s="50">
        <f>IF('쪽쟘(실측)'!I117&gt;0,'쪽쟘(실측)'!I117+0,0)+뒷날개치수더함-0.2</f>
        <v>17.8</v>
      </c>
      <c r="O117" s="50">
        <f>'쪽쟘(실측)'!J117-쪽쟘기둥차감</f>
        <v>2092</v>
      </c>
      <c r="P117" s="50">
        <f>'쪽쟘(실측)'!K117-쪽쟘기둥차감</f>
        <v>2092</v>
      </c>
      <c r="Q117" s="50">
        <f>'쪽쟘(실측)'!L117-쪽쟘기둥차감</f>
        <v>2092</v>
      </c>
      <c r="R117" s="50">
        <f>'쪽쟘(실측)'!M117-쪽쟘기둥차감</f>
        <v>2092</v>
      </c>
      <c r="S117" s="50">
        <f>'쪽쟘(실측)'!N117+뒷날개치수더함</f>
        <v>15</v>
      </c>
      <c r="T117" s="50">
        <f>'쪽쟘(실측)'!O117+뒷날개치수더함</f>
        <v>15</v>
      </c>
      <c r="U117" s="50">
        <f>'쪽쟘(실측)'!P117+뒷날개치수더함</f>
        <v>16</v>
      </c>
      <c r="V117" s="50">
        <f>'쪽쟘(실측)'!Q117+뒷날개치수더함</f>
        <v>25</v>
      </c>
      <c r="W117" s="50">
        <f>'쪽쟘(실측)'!R117-쪽쟘늘치차감</f>
        <v>0</v>
      </c>
      <c r="X117" s="50">
        <f>'쪽쟘(실측)'!S117-쪽쟘늘치차감</f>
        <v>0</v>
      </c>
      <c r="Y117" s="4">
        <f>IF('쪽쟘(실측)'!T117&gt;5,'쪽쟘(실측)'!T117+뒷날개치수더함,0)</f>
        <v>15</v>
      </c>
      <c r="Z117" s="4">
        <f>'쪽쟘(실측)'!U117</f>
        <v>10</v>
      </c>
      <c r="AA117" s="4">
        <f>'쪽쟘(실측)'!V117</f>
        <v>6</v>
      </c>
      <c r="AC117">
        <f t="shared" si="11"/>
        <v>928</v>
      </c>
      <c r="AD117">
        <f>U117+E117+MAX(S117,T117)-쪽쟘소재t*3+IF(S117=0,S117*쪽쟘소재t,0)-1.2</f>
        <v>111.2</v>
      </c>
      <c r="AE117">
        <f>MAX(K117,L117)+F117+V117-쪽쟘소재t*3+IF(K117=0,쪽쟘소재t)-IF(AA117=90,2.4,0)-1.2</f>
        <v>120</v>
      </c>
      <c r="AF117">
        <f t="shared" si="12"/>
        <v>2092</v>
      </c>
      <c r="AG117">
        <f>MAX(M117,N117)+F117+V117-쪽쟘소재t*3+IF(M117=0,쪽쟘소재t)-IF(AA117=90,2.4,0)-1.2</f>
        <v>121</v>
      </c>
      <c r="AH117">
        <f t="shared" si="13"/>
        <v>2092</v>
      </c>
    </row>
    <row r="118" spans="1:34" ht="19.5" customHeight="1" x14ac:dyDescent="0.3">
      <c r="A118" s="50" t="str">
        <f>'쪽쟘(실측)'!A118</f>
        <v>112   / 2</v>
      </c>
      <c r="B118" s="50" t="str">
        <f>'쪽쟘(실측)'!B118&amp;"F"</f>
        <v>11F</v>
      </c>
      <c r="C118" s="50" t="str">
        <f t="shared" si="8"/>
        <v>928*119.2</v>
      </c>
      <c r="D118" s="50">
        <f>'쪽쟘(실측)'!C118-쪽쟘OP차감</f>
        <v>898</v>
      </c>
      <c r="E118" s="50">
        <f>'쪽쟘(실측)'!D118+쪽쟘J늘림+MAX(W118:X118)</f>
        <v>85</v>
      </c>
      <c r="F118" s="50">
        <f>'쪽쟘(실측)'!E118+쪽쟘J늘림+MAX(W118:X118)</f>
        <v>83</v>
      </c>
      <c r="G118" s="67" t="str">
        <f t="shared" si="9"/>
        <v>2098*121</v>
      </c>
      <c r="H118" s="68" t="str">
        <f t="shared" si="10"/>
        <v>2098*121</v>
      </c>
      <c r="I118" s="50">
        <f>IF('쪽쟘(실측)'!F118&gt;0,'쪽쟘(실측)'!F118-3,0)+뒷날개치수더함</f>
        <v>15</v>
      </c>
      <c r="J118" s="50">
        <f>IF('쪽쟘(실측)'!H118&gt;0,'쪽쟘(실측)'!H118-3,0)+뒷날개치수더함</f>
        <v>15</v>
      </c>
      <c r="K118" s="50">
        <f>IF('쪽쟘(실측)'!F118&gt;0,'쪽쟘(실측)'!F118+0,0)+뒷날개치수더함-0.2</f>
        <v>17.8</v>
      </c>
      <c r="L118" s="50">
        <f>IF('쪽쟘(실측)'!G118&gt;0,'쪽쟘(실측)'!G118+0,0)+뒷날개치수더함-0.2</f>
        <v>17.8</v>
      </c>
      <c r="M118" s="50">
        <f>IF('쪽쟘(실측)'!H118&gt;0,'쪽쟘(실측)'!H118+0,0)+뒷날개치수더함-0.2</f>
        <v>17.8</v>
      </c>
      <c r="N118" s="50">
        <f>IF('쪽쟘(실측)'!I118&gt;0,'쪽쟘(실측)'!I118+0,0)+뒷날개치수더함-0.2</f>
        <v>17.8</v>
      </c>
      <c r="O118" s="50">
        <f>'쪽쟘(실측)'!J118-쪽쟘기둥차감</f>
        <v>2098</v>
      </c>
      <c r="P118" s="50">
        <f>'쪽쟘(실측)'!K118-쪽쟘기둥차감</f>
        <v>2098</v>
      </c>
      <c r="Q118" s="50">
        <f>'쪽쟘(실측)'!L118-쪽쟘기둥차감</f>
        <v>2098</v>
      </c>
      <c r="R118" s="50">
        <f>'쪽쟘(실측)'!M118-쪽쟘기둥차감</f>
        <v>2098</v>
      </c>
      <c r="S118" s="50">
        <f>'쪽쟘(실측)'!N118+뒷날개치수더함</f>
        <v>23</v>
      </c>
      <c r="T118" s="50">
        <f>'쪽쟘(실측)'!O118+뒷날개치수더함</f>
        <v>23</v>
      </c>
      <c r="U118" s="50">
        <f>'쪽쟘(실측)'!P118+뒷날개치수더함</f>
        <v>16</v>
      </c>
      <c r="V118" s="50">
        <f>'쪽쟘(실측)'!Q118+뒷날개치수더함</f>
        <v>25</v>
      </c>
      <c r="W118" s="50">
        <f>'쪽쟘(실측)'!R118-쪽쟘늘치차감</f>
        <v>0</v>
      </c>
      <c r="X118" s="50">
        <f>'쪽쟘(실측)'!S118-쪽쟘늘치차감</f>
        <v>0</v>
      </c>
      <c r="Y118" s="4">
        <f>IF('쪽쟘(실측)'!T118&gt;5,'쪽쟘(실측)'!T118+뒷날개치수더함,0)</f>
        <v>15</v>
      </c>
      <c r="Z118" s="4">
        <f>'쪽쟘(실측)'!U118</f>
        <v>10</v>
      </c>
      <c r="AA118" s="4">
        <f>'쪽쟘(실측)'!V118</f>
        <v>6</v>
      </c>
      <c r="AC118">
        <f t="shared" si="11"/>
        <v>928</v>
      </c>
      <c r="AD118">
        <f>U118+E118+MAX(S118,T118)-쪽쟘소재t*3+IF(S118=0,S118*쪽쟘소재t,0)-1.2</f>
        <v>119.2</v>
      </c>
      <c r="AE118">
        <f>MAX(K118,L118)+F118+V118-쪽쟘소재t*3+IF(K118=0,쪽쟘소재t)-IF(AA118=90,2.4,0)-1.2</f>
        <v>121</v>
      </c>
      <c r="AF118">
        <f t="shared" si="12"/>
        <v>2098</v>
      </c>
      <c r="AG118">
        <f>MAX(M118,N118)+F118+V118-쪽쟘소재t*3+IF(M118=0,쪽쟘소재t)-IF(AA118=90,2.4,0)-1.2</f>
        <v>121</v>
      </c>
      <c r="AH118">
        <f t="shared" si="13"/>
        <v>2098</v>
      </c>
    </row>
    <row r="119" spans="1:34" ht="19.5" customHeight="1" x14ac:dyDescent="0.3">
      <c r="A119" s="50" t="str">
        <f>'쪽쟘(실측)'!A119</f>
        <v>112   / 2</v>
      </c>
      <c r="B119" s="50" t="str">
        <f>'쪽쟘(실측)'!B119&amp;"F"</f>
        <v>10F</v>
      </c>
      <c r="C119" s="50" t="str">
        <f t="shared" si="8"/>
        <v>922*116.2</v>
      </c>
      <c r="D119" s="50">
        <f>'쪽쟘(실측)'!C119-쪽쟘OP차감</f>
        <v>897</v>
      </c>
      <c r="E119" s="50">
        <f>'쪽쟘(실측)'!D119+쪽쟘J늘림+MAX(W119:X119)</f>
        <v>85</v>
      </c>
      <c r="F119" s="50">
        <f>'쪽쟘(실측)'!E119+쪽쟘J늘림+MAX(W119:X119)</f>
        <v>83</v>
      </c>
      <c r="G119" s="67" t="str">
        <f t="shared" si="9"/>
        <v>2098*118</v>
      </c>
      <c r="H119" s="68" t="str">
        <f t="shared" si="10"/>
        <v>2098*119</v>
      </c>
      <c r="I119" s="50">
        <f>IF('쪽쟘(실측)'!F119&gt;0,'쪽쟘(실측)'!F119-3,0)+뒷날개치수더함</f>
        <v>12</v>
      </c>
      <c r="J119" s="50">
        <f>IF('쪽쟘(실측)'!H119&gt;0,'쪽쟘(실측)'!H119-3,0)+뒷날개치수더함</f>
        <v>13</v>
      </c>
      <c r="K119" s="50">
        <f>IF('쪽쟘(실측)'!F119&gt;0,'쪽쟘(실측)'!F119+0,0)+뒷날개치수더함-0.2</f>
        <v>14.8</v>
      </c>
      <c r="L119" s="50">
        <f>IF('쪽쟘(실측)'!G119&gt;0,'쪽쟘(실측)'!G119+0,0)+뒷날개치수더함-0.2</f>
        <v>14.8</v>
      </c>
      <c r="M119" s="50">
        <f>IF('쪽쟘(실측)'!H119&gt;0,'쪽쟘(실측)'!H119+0,0)+뒷날개치수더함-0.2</f>
        <v>15.8</v>
      </c>
      <c r="N119" s="50">
        <f>IF('쪽쟘(실측)'!I119&gt;0,'쪽쟘(실측)'!I119+0,0)+뒷날개치수더함-0.2</f>
        <v>15.8</v>
      </c>
      <c r="O119" s="50">
        <f>'쪽쟘(실측)'!J119-쪽쟘기둥차감</f>
        <v>2098</v>
      </c>
      <c r="P119" s="50">
        <f>'쪽쟘(실측)'!K119-쪽쟘기둥차감</f>
        <v>2098</v>
      </c>
      <c r="Q119" s="50">
        <f>'쪽쟘(실측)'!L119-쪽쟘기둥차감</f>
        <v>2098</v>
      </c>
      <c r="R119" s="50">
        <f>'쪽쟘(실측)'!M119-쪽쟘기둥차감</f>
        <v>2098</v>
      </c>
      <c r="S119" s="50">
        <f>'쪽쟘(실측)'!N119+뒷날개치수더함</f>
        <v>20</v>
      </c>
      <c r="T119" s="50">
        <f>'쪽쟘(실측)'!O119+뒷날개치수더함</f>
        <v>20</v>
      </c>
      <c r="U119" s="50">
        <f>'쪽쟘(실측)'!P119+뒷날개치수더함</f>
        <v>16</v>
      </c>
      <c r="V119" s="50">
        <f>'쪽쟘(실측)'!Q119+뒷날개치수더함</f>
        <v>25</v>
      </c>
      <c r="W119" s="50">
        <f>'쪽쟘(실측)'!R119-쪽쟘늘치차감</f>
        <v>0</v>
      </c>
      <c r="X119" s="50">
        <f>'쪽쟘(실측)'!S119-쪽쟘늘치차감</f>
        <v>0</v>
      </c>
      <c r="Y119" s="4">
        <f>IF('쪽쟘(실측)'!T119&gt;5,'쪽쟘(실측)'!T119+뒷날개치수더함,0)</f>
        <v>15</v>
      </c>
      <c r="Z119" s="4">
        <f>'쪽쟘(실측)'!U119</f>
        <v>10</v>
      </c>
      <c r="AA119" s="4">
        <f>'쪽쟘(실측)'!V119</f>
        <v>6</v>
      </c>
      <c r="AC119">
        <f t="shared" si="11"/>
        <v>922</v>
      </c>
      <c r="AD119">
        <f>U119+E119+MAX(S119,T119)-쪽쟘소재t*3+IF(S119=0,S119*쪽쟘소재t,0)-1.2</f>
        <v>116.2</v>
      </c>
      <c r="AE119">
        <f>MAX(K119,L119)+F119+V119-쪽쟘소재t*3+IF(K119=0,쪽쟘소재t)-IF(AA119=90,2.4,0)-1.2</f>
        <v>118</v>
      </c>
      <c r="AF119">
        <f t="shared" si="12"/>
        <v>2098</v>
      </c>
      <c r="AG119">
        <f>MAX(M119,N119)+F119+V119-쪽쟘소재t*3+IF(M119=0,쪽쟘소재t)-IF(AA119=90,2.4,0)-1.2</f>
        <v>119</v>
      </c>
      <c r="AH119">
        <f t="shared" si="13"/>
        <v>2098</v>
      </c>
    </row>
    <row r="120" spans="1:34" ht="19.5" customHeight="1" x14ac:dyDescent="0.3">
      <c r="A120" s="50" t="str">
        <f>'쪽쟘(실측)'!A120</f>
        <v>112   / 2</v>
      </c>
      <c r="B120" s="50" t="str">
        <f>'쪽쟘(실측)'!B120&amp;"F"</f>
        <v>9F</v>
      </c>
      <c r="C120" s="50" t="str">
        <f t="shared" si="8"/>
        <v>932*114.2</v>
      </c>
      <c r="D120" s="50">
        <f>'쪽쟘(실측)'!C120-쪽쟘OP차감</f>
        <v>897</v>
      </c>
      <c r="E120" s="50">
        <f>'쪽쟘(실측)'!D120+쪽쟘J늘림+MAX(W120:X120)</f>
        <v>85</v>
      </c>
      <c r="F120" s="50">
        <f>'쪽쟘(실측)'!E120+쪽쟘J늘림+MAX(W120:X120)</f>
        <v>83</v>
      </c>
      <c r="G120" s="67" t="str">
        <f t="shared" si="9"/>
        <v>2098*123</v>
      </c>
      <c r="H120" s="68" t="str">
        <f t="shared" si="10"/>
        <v>2098*124</v>
      </c>
      <c r="I120" s="50">
        <f>IF('쪽쟘(실측)'!F120&gt;0,'쪽쟘(실측)'!F120-3,0)+뒷날개치수더함</f>
        <v>17</v>
      </c>
      <c r="J120" s="50">
        <f>IF('쪽쟘(실측)'!H120&gt;0,'쪽쟘(실측)'!H120-3,0)+뒷날개치수더함</f>
        <v>18</v>
      </c>
      <c r="K120" s="50">
        <f>IF('쪽쟘(실측)'!F120&gt;0,'쪽쟘(실측)'!F120+0,0)+뒷날개치수더함-0.2</f>
        <v>19.8</v>
      </c>
      <c r="L120" s="50">
        <f>IF('쪽쟘(실측)'!G120&gt;0,'쪽쟘(실측)'!G120+0,0)+뒷날개치수더함-0.2</f>
        <v>19.8</v>
      </c>
      <c r="M120" s="50">
        <f>IF('쪽쟘(실측)'!H120&gt;0,'쪽쟘(실측)'!H120+0,0)+뒷날개치수더함-0.2</f>
        <v>20.8</v>
      </c>
      <c r="N120" s="50">
        <f>IF('쪽쟘(실측)'!I120&gt;0,'쪽쟘(실측)'!I120+0,0)+뒷날개치수더함-0.2</f>
        <v>20.8</v>
      </c>
      <c r="O120" s="50">
        <f>'쪽쟘(실측)'!J120-쪽쟘기둥차감</f>
        <v>2098</v>
      </c>
      <c r="P120" s="50">
        <f>'쪽쟘(실측)'!K120-쪽쟘기둥차감</f>
        <v>2098</v>
      </c>
      <c r="Q120" s="50">
        <f>'쪽쟘(실측)'!L120-쪽쟘기둥차감</f>
        <v>2098</v>
      </c>
      <c r="R120" s="50">
        <f>'쪽쟘(실측)'!M120-쪽쟘기둥차감</f>
        <v>2098</v>
      </c>
      <c r="S120" s="50">
        <f>'쪽쟘(실측)'!N120+뒷날개치수더함</f>
        <v>18</v>
      </c>
      <c r="T120" s="50">
        <f>'쪽쟘(실측)'!O120+뒷날개치수더함</f>
        <v>18</v>
      </c>
      <c r="U120" s="50">
        <f>'쪽쟘(실측)'!P120+뒷날개치수더함</f>
        <v>16</v>
      </c>
      <c r="V120" s="50">
        <f>'쪽쟘(실측)'!Q120+뒷날개치수더함</f>
        <v>25</v>
      </c>
      <c r="W120" s="50">
        <f>'쪽쟘(실측)'!R120-쪽쟘늘치차감</f>
        <v>0</v>
      </c>
      <c r="X120" s="50">
        <f>'쪽쟘(실측)'!S120-쪽쟘늘치차감</f>
        <v>0</v>
      </c>
      <c r="Y120" s="4">
        <f>IF('쪽쟘(실측)'!T120&gt;5,'쪽쟘(실측)'!T120+뒷날개치수더함,0)</f>
        <v>15</v>
      </c>
      <c r="Z120" s="4">
        <f>'쪽쟘(실측)'!U120</f>
        <v>10</v>
      </c>
      <c r="AA120" s="4">
        <f>'쪽쟘(실측)'!V120</f>
        <v>6</v>
      </c>
      <c r="AC120">
        <f t="shared" si="11"/>
        <v>932</v>
      </c>
      <c r="AD120">
        <f>U120+E120+MAX(S120,T120)-쪽쟘소재t*3+IF(S120=0,S120*쪽쟘소재t,0)-1.2</f>
        <v>114.2</v>
      </c>
      <c r="AE120">
        <f>MAX(K120,L120)+F120+V120-쪽쟘소재t*3+IF(K120=0,쪽쟘소재t)-IF(AA120=90,2.4,0)-1.2</f>
        <v>123</v>
      </c>
      <c r="AF120">
        <f t="shared" si="12"/>
        <v>2098</v>
      </c>
      <c r="AG120">
        <f>MAX(M120,N120)+F120+V120-쪽쟘소재t*3+IF(M120=0,쪽쟘소재t)-IF(AA120=90,2.4,0)-1.2</f>
        <v>124.00000000000001</v>
      </c>
      <c r="AH120">
        <f t="shared" si="13"/>
        <v>2098</v>
      </c>
    </row>
    <row r="121" spans="1:34" ht="19.5" customHeight="1" x14ac:dyDescent="0.3">
      <c r="A121" s="50" t="str">
        <f>'쪽쟘(실측)'!A121</f>
        <v>112   / 2</v>
      </c>
      <c r="B121" s="50" t="str">
        <f>'쪽쟘(실측)'!B121&amp;"F"</f>
        <v>8F</v>
      </c>
      <c r="C121" s="50" t="str">
        <f t="shared" si="8"/>
        <v>932*116.2</v>
      </c>
      <c r="D121" s="50">
        <f>'쪽쟘(실측)'!C121-쪽쟘OP차감</f>
        <v>898</v>
      </c>
      <c r="E121" s="50">
        <f>'쪽쟘(실측)'!D121+쪽쟘J늘림+MAX(W121:X121)</f>
        <v>85</v>
      </c>
      <c r="F121" s="50">
        <f>'쪽쟘(실측)'!E121+쪽쟘J늘림+MAX(W121:X121)</f>
        <v>83</v>
      </c>
      <c r="G121" s="67" t="str">
        <f t="shared" si="9"/>
        <v>2098*123</v>
      </c>
      <c r="H121" s="68" t="str">
        <f t="shared" si="10"/>
        <v>2098*123</v>
      </c>
      <c r="I121" s="50">
        <f>IF('쪽쟘(실측)'!F121&gt;0,'쪽쟘(실측)'!F121-3,0)+뒷날개치수더함</f>
        <v>17</v>
      </c>
      <c r="J121" s="50">
        <f>IF('쪽쟘(실측)'!H121&gt;0,'쪽쟘(실측)'!H121-3,0)+뒷날개치수더함</f>
        <v>17</v>
      </c>
      <c r="K121" s="50">
        <f>IF('쪽쟘(실측)'!F121&gt;0,'쪽쟘(실측)'!F121+0,0)+뒷날개치수더함-0.2</f>
        <v>19.8</v>
      </c>
      <c r="L121" s="50">
        <f>IF('쪽쟘(실측)'!G121&gt;0,'쪽쟘(실측)'!G121+0,0)+뒷날개치수더함-0.2</f>
        <v>19.8</v>
      </c>
      <c r="M121" s="50">
        <f>IF('쪽쟘(실측)'!H121&gt;0,'쪽쟘(실측)'!H121+0,0)+뒷날개치수더함-0.2</f>
        <v>19.8</v>
      </c>
      <c r="N121" s="50">
        <f>IF('쪽쟘(실측)'!I121&gt;0,'쪽쟘(실측)'!I121+0,0)+뒷날개치수더함-0.2</f>
        <v>19.8</v>
      </c>
      <c r="O121" s="50">
        <f>'쪽쟘(실측)'!J121-쪽쟘기둥차감</f>
        <v>2098</v>
      </c>
      <c r="P121" s="50">
        <f>'쪽쟘(실측)'!K121-쪽쟘기둥차감</f>
        <v>2098</v>
      </c>
      <c r="Q121" s="50">
        <f>'쪽쟘(실측)'!L121-쪽쟘기둥차감</f>
        <v>2098</v>
      </c>
      <c r="R121" s="50">
        <f>'쪽쟘(실측)'!M121-쪽쟘기둥차감</f>
        <v>2098</v>
      </c>
      <c r="S121" s="50">
        <f>'쪽쟘(실측)'!N121+뒷날개치수더함</f>
        <v>20</v>
      </c>
      <c r="T121" s="50">
        <f>'쪽쟘(실측)'!O121+뒷날개치수더함</f>
        <v>20</v>
      </c>
      <c r="U121" s="50">
        <f>'쪽쟘(실측)'!P121+뒷날개치수더함</f>
        <v>16</v>
      </c>
      <c r="V121" s="50">
        <f>'쪽쟘(실측)'!Q121+뒷날개치수더함</f>
        <v>25</v>
      </c>
      <c r="W121" s="50">
        <f>'쪽쟘(실측)'!R121-쪽쟘늘치차감</f>
        <v>0</v>
      </c>
      <c r="X121" s="50">
        <f>'쪽쟘(실측)'!S121-쪽쟘늘치차감</f>
        <v>0</v>
      </c>
      <c r="Y121" s="4">
        <f>IF('쪽쟘(실측)'!T121&gt;5,'쪽쟘(실측)'!T121+뒷날개치수더함,0)</f>
        <v>15</v>
      </c>
      <c r="Z121" s="4">
        <f>'쪽쟘(실측)'!U121</f>
        <v>10</v>
      </c>
      <c r="AA121" s="4">
        <f>'쪽쟘(실측)'!V121</f>
        <v>6</v>
      </c>
      <c r="AC121">
        <f t="shared" si="11"/>
        <v>932</v>
      </c>
      <c r="AD121">
        <f>U121+E121+MAX(S121,T121)-쪽쟘소재t*3+IF(S121=0,S121*쪽쟘소재t,0)-1.2</f>
        <v>116.2</v>
      </c>
      <c r="AE121">
        <f>MAX(K121,L121)+F121+V121-쪽쟘소재t*3+IF(K121=0,쪽쟘소재t)-IF(AA121=90,2.4,0)-1.2</f>
        <v>123</v>
      </c>
      <c r="AF121">
        <f t="shared" si="12"/>
        <v>2098</v>
      </c>
      <c r="AG121">
        <f>MAX(M121,N121)+F121+V121-쪽쟘소재t*3+IF(M121=0,쪽쟘소재t)-IF(AA121=90,2.4,0)-1.2</f>
        <v>123</v>
      </c>
      <c r="AH121">
        <f t="shared" si="13"/>
        <v>2098</v>
      </c>
    </row>
    <row r="122" spans="1:34" ht="19.5" customHeight="1" x14ac:dyDescent="0.3">
      <c r="A122" s="50" t="str">
        <f>'쪽쟘(실측)'!A122</f>
        <v>112   / 2</v>
      </c>
      <c r="B122" s="50" t="str">
        <f>'쪽쟘(실측)'!B122&amp;"F"</f>
        <v>7F</v>
      </c>
      <c r="C122" s="50" t="str">
        <f t="shared" si="8"/>
        <v>931*113.2</v>
      </c>
      <c r="D122" s="50">
        <f>'쪽쟘(실측)'!C122-쪽쟘OP차감</f>
        <v>898</v>
      </c>
      <c r="E122" s="50">
        <f>'쪽쟘(실측)'!D122+쪽쟘J늘림+MAX(W122:X122)</f>
        <v>85</v>
      </c>
      <c r="F122" s="50">
        <f>'쪽쟘(실측)'!E122+쪽쟘J늘림+MAX(W122:X122)</f>
        <v>83</v>
      </c>
      <c r="G122" s="67" t="str">
        <f t="shared" si="9"/>
        <v>2092*123</v>
      </c>
      <c r="H122" s="68" t="str">
        <f t="shared" si="10"/>
        <v>2098*122</v>
      </c>
      <c r="I122" s="50">
        <f>IF('쪽쟘(실측)'!F122&gt;0,'쪽쟘(실측)'!F122-3,0)+뒷날개치수더함</f>
        <v>17</v>
      </c>
      <c r="J122" s="50">
        <f>IF('쪽쟘(실측)'!H122&gt;0,'쪽쟘(실측)'!H122-3,0)+뒷날개치수더함</f>
        <v>16</v>
      </c>
      <c r="K122" s="50">
        <f>IF('쪽쟘(실측)'!F122&gt;0,'쪽쟘(실측)'!F122+0,0)+뒷날개치수더함-0.2</f>
        <v>19.8</v>
      </c>
      <c r="L122" s="50">
        <f>IF('쪽쟘(실측)'!G122&gt;0,'쪽쟘(실측)'!G122+0,0)+뒷날개치수더함-0.2</f>
        <v>19.8</v>
      </c>
      <c r="M122" s="50">
        <f>IF('쪽쟘(실측)'!H122&gt;0,'쪽쟘(실측)'!H122+0,0)+뒷날개치수더함-0.2</f>
        <v>18.8</v>
      </c>
      <c r="N122" s="50">
        <f>IF('쪽쟘(실측)'!I122&gt;0,'쪽쟘(실측)'!I122+0,0)+뒷날개치수더함-0.2</f>
        <v>18.8</v>
      </c>
      <c r="O122" s="50">
        <f>'쪽쟘(실측)'!J122-쪽쟘기둥차감</f>
        <v>2092</v>
      </c>
      <c r="P122" s="50">
        <f>'쪽쟘(실측)'!K122-쪽쟘기둥차감</f>
        <v>2092</v>
      </c>
      <c r="Q122" s="50">
        <f>'쪽쟘(실측)'!L122-쪽쟘기둥차감</f>
        <v>2098</v>
      </c>
      <c r="R122" s="50">
        <f>'쪽쟘(실측)'!M122-쪽쟘기둥차감</f>
        <v>2098</v>
      </c>
      <c r="S122" s="50">
        <f>'쪽쟘(실측)'!N122+뒷날개치수더함</f>
        <v>17</v>
      </c>
      <c r="T122" s="50">
        <f>'쪽쟘(실측)'!O122+뒷날개치수더함</f>
        <v>17</v>
      </c>
      <c r="U122" s="50">
        <f>'쪽쟘(실측)'!P122+뒷날개치수더함</f>
        <v>16</v>
      </c>
      <c r="V122" s="50">
        <f>'쪽쟘(실측)'!Q122+뒷날개치수더함</f>
        <v>25</v>
      </c>
      <c r="W122" s="50">
        <f>'쪽쟘(실측)'!R122-쪽쟘늘치차감</f>
        <v>0</v>
      </c>
      <c r="X122" s="50">
        <f>'쪽쟘(실측)'!S122-쪽쟘늘치차감</f>
        <v>0</v>
      </c>
      <c r="Y122" s="4">
        <f>IF('쪽쟘(실측)'!T122&gt;5,'쪽쟘(실측)'!T122+뒷날개치수더함,0)</f>
        <v>15</v>
      </c>
      <c r="Z122" s="4">
        <f>'쪽쟘(실측)'!U122</f>
        <v>10</v>
      </c>
      <c r="AA122" s="4">
        <f>'쪽쟘(실측)'!V122</f>
        <v>6</v>
      </c>
      <c r="AC122">
        <f t="shared" si="11"/>
        <v>931</v>
      </c>
      <c r="AD122">
        <f>U122+E122+MAX(S122,T122)-쪽쟘소재t*3+IF(S122=0,S122*쪽쟘소재t,0)-1.2</f>
        <v>113.2</v>
      </c>
      <c r="AE122">
        <f>MAX(K122,L122)+F122+V122-쪽쟘소재t*3+IF(K122=0,쪽쟘소재t)-IF(AA122=90,2.4,0)-1.2</f>
        <v>123</v>
      </c>
      <c r="AF122">
        <f t="shared" si="12"/>
        <v>2092</v>
      </c>
      <c r="AG122">
        <f>MAX(M122,N122)+F122+V122-쪽쟘소재t*3+IF(M122=0,쪽쟘소재t)-IF(AA122=90,2.4,0)-1.2</f>
        <v>122</v>
      </c>
      <c r="AH122">
        <f t="shared" si="13"/>
        <v>2098</v>
      </c>
    </row>
    <row r="123" spans="1:34" ht="19.5" customHeight="1" x14ac:dyDescent="0.3">
      <c r="A123" s="50" t="str">
        <f>'쪽쟘(실측)'!A123</f>
        <v>112   / 2</v>
      </c>
      <c r="B123" s="50" t="str">
        <f>'쪽쟘(실측)'!B123&amp;"F"</f>
        <v>6F</v>
      </c>
      <c r="C123" s="50" t="str">
        <f t="shared" si="8"/>
        <v>934*113.2</v>
      </c>
      <c r="D123" s="50">
        <f>'쪽쟘(실측)'!C123-쪽쟘OP차감</f>
        <v>897</v>
      </c>
      <c r="E123" s="50">
        <f>'쪽쟘(실측)'!D123+쪽쟘J늘림+MAX(W123:X123)</f>
        <v>85</v>
      </c>
      <c r="F123" s="50">
        <f>'쪽쟘(실측)'!E123+쪽쟘J늘림+MAX(W123:X123)</f>
        <v>83</v>
      </c>
      <c r="G123" s="67" t="str">
        <f t="shared" si="9"/>
        <v>2098*126</v>
      </c>
      <c r="H123" s="68" t="str">
        <f t="shared" si="10"/>
        <v>2098*123</v>
      </c>
      <c r="I123" s="50">
        <f>IF('쪽쟘(실측)'!F123&gt;0,'쪽쟘(실측)'!F123-3,0)+뒷날개치수더함</f>
        <v>20</v>
      </c>
      <c r="J123" s="50">
        <f>IF('쪽쟘(실측)'!H123&gt;0,'쪽쟘(실측)'!H123-3,0)+뒷날개치수더함</f>
        <v>17</v>
      </c>
      <c r="K123" s="50">
        <f>IF('쪽쟘(실측)'!F123&gt;0,'쪽쟘(실측)'!F123+0,0)+뒷날개치수더함-0.2</f>
        <v>22.8</v>
      </c>
      <c r="L123" s="50">
        <f>IF('쪽쟘(실측)'!G123&gt;0,'쪽쟘(실측)'!G123+0,0)+뒷날개치수더함-0.2</f>
        <v>22.8</v>
      </c>
      <c r="M123" s="50">
        <f>IF('쪽쟘(실측)'!H123&gt;0,'쪽쟘(실측)'!H123+0,0)+뒷날개치수더함-0.2</f>
        <v>19.8</v>
      </c>
      <c r="N123" s="50">
        <f>IF('쪽쟘(실측)'!I123&gt;0,'쪽쟘(실측)'!I123+0,0)+뒷날개치수더함-0.2</f>
        <v>19.8</v>
      </c>
      <c r="O123" s="50">
        <f>'쪽쟘(실측)'!J123-쪽쟘기둥차감</f>
        <v>2098</v>
      </c>
      <c r="P123" s="50">
        <f>'쪽쟘(실측)'!K123-쪽쟘기둥차감</f>
        <v>2098</v>
      </c>
      <c r="Q123" s="50">
        <f>'쪽쟘(실측)'!L123-쪽쟘기둥차감</f>
        <v>2098</v>
      </c>
      <c r="R123" s="50">
        <f>'쪽쟘(실측)'!M123-쪽쟘기둥차감</f>
        <v>2098</v>
      </c>
      <c r="S123" s="50">
        <f>'쪽쟘(실측)'!N123+뒷날개치수더함</f>
        <v>17</v>
      </c>
      <c r="T123" s="50">
        <f>'쪽쟘(실측)'!O123+뒷날개치수더함</f>
        <v>17</v>
      </c>
      <c r="U123" s="50">
        <f>'쪽쟘(실측)'!P123+뒷날개치수더함</f>
        <v>16</v>
      </c>
      <c r="V123" s="50">
        <f>'쪽쟘(실측)'!Q123+뒷날개치수더함</f>
        <v>25</v>
      </c>
      <c r="W123" s="50">
        <f>'쪽쟘(실측)'!R123-쪽쟘늘치차감</f>
        <v>0</v>
      </c>
      <c r="X123" s="50">
        <f>'쪽쟘(실측)'!S123-쪽쟘늘치차감</f>
        <v>0</v>
      </c>
      <c r="Y123" s="4">
        <f>IF('쪽쟘(실측)'!T123&gt;5,'쪽쟘(실측)'!T123+뒷날개치수더함,0)</f>
        <v>15</v>
      </c>
      <c r="Z123" s="4">
        <f>'쪽쟘(실측)'!U123</f>
        <v>10</v>
      </c>
      <c r="AA123" s="4">
        <f>'쪽쟘(실측)'!V123</f>
        <v>6</v>
      </c>
      <c r="AC123">
        <f t="shared" si="11"/>
        <v>934</v>
      </c>
      <c r="AD123">
        <f>U123+E123+MAX(S123,T123)-쪽쟘소재t*3+IF(S123=0,S123*쪽쟘소재t,0)-1.2</f>
        <v>113.2</v>
      </c>
      <c r="AE123">
        <f>MAX(K123,L123)+F123+V123-쪽쟘소재t*3+IF(K123=0,쪽쟘소재t)-IF(AA123=90,2.4,0)-1.2</f>
        <v>126.00000000000001</v>
      </c>
      <c r="AF123">
        <f t="shared" si="12"/>
        <v>2098</v>
      </c>
      <c r="AG123">
        <f>MAX(M123,N123)+F123+V123-쪽쟘소재t*3+IF(M123=0,쪽쟘소재t)-IF(AA123=90,2.4,0)-1.2</f>
        <v>123</v>
      </c>
      <c r="AH123">
        <f t="shared" si="13"/>
        <v>2098</v>
      </c>
    </row>
    <row r="124" spans="1:34" ht="19.5" customHeight="1" x14ac:dyDescent="0.3">
      <c r="A124" s="50" t="str">
        <f>'쪽쟘(실측)'!A124</f>
        <v>112   / 2</v>
      </c>
      <c r="B124" s="50" t="str">
        <f>'쪽쟘(실측)'!B124&amp;"F"</f>
        <v>5F</v>
      </c>
      <c r="C124" s="50" t="str">
        <f t="shared" si="8"/>
        <v>935*114.2</v>
      </c>
      <c r="D124" s="50">
        <f>'쪽쟘(실측)'!C124-쪽쟘OP차감</f>
        <v>898</v>
      </c>
      <c r="E124" s="50">
        <f>'쪽쟘(실측)'!D124+쪽쟘J늘림+MAX(W124:X124)</f>
        <v>85</v>
      </c>
      <c r="F124" s="50">
        <f>'쪽쟘(실측)'!E124+쪽쟘J늘림+MAX(W124:X124)</f>
        <v>83</v>
      </c>
      <c r="G124" s="67" t="str">
        <f t="shared" si="9"/>
        <v>2098*124</v>
      </c>
      <c r="H124" s="68" t="str">
        <f t="shared" si="10"/>
        <v>2098*125</v>
      </c>
      <c r="I124" s="50">
        <f>IF('쪽쟘(실측)'!F124&gt;0,'쪽쟘(실측)'!F124-3,0)+뒷날개치수더함</f>
        <v>18</v>
      </c>
      <c r="J124" s="50">
        <f>IF('쪽쟘(실측)'!H124&gt;0,'쪽쟘(실측)'!H124-3,0)+뒷날개치수더함</f>
        <v>19</v>
      </c>
      <c r="K124" s="50">
        <f>IF('쪽쟘(실측)'!F124&gt;0,'쪽쟘(실측)'!F124+0,0)+뒷날개치수더함-0.2</f>
        <v>20.8</v>
      </c>
      <c r="L124" s="50">
        <f>IF('쪽쟘(실측)'!G124&gt;0,'쪽쟘(실측)'!G124+0,0)+뒷날개치수더함-0.2</f>
        <v>20.8</v>
      </c>
      <c r="M124" s="50">
        <f>IF('쪽쟘(실측)'!H124&gt;0,'쪽쟘(실측)'!H124+0,0)+뒷날개치수더함-0.2</f>
        <v>21.8</v>
      </c>
      <c r="N124" s="50">
        <f>IF('쪽쟘(실측)'!I124&gt;0,'쪽쟘(실측)'!I124+0,0)+뒷날개치수더함-0.2</f>
        <v>21.8</v>
      </c>
      <c r="O124" s="50">
        <f>'쪽쟘(실측)'!J124-쪽쟘기둥차감</f>
        <v>2098</v>
      </c>
      <c r="P124" s="50">
        <f>'쪽쟘(실측)'!K124-쪽쟘기둥차감</f>
        <v>2098</v>
      </c>
      <c r="Q124" s="50">
        <f>'쪽쟘(실측)'!L124-쪽쟘기둥차감</f>
        <v>2098</v>
      </c>
      <c r="R124" s="50">
        <f>'쪽쟘(실측)'!M124-쪽쟘기둥차감</f>
        <v>2098</v>
      </c>
      <c r="S124" s="50">
        <f>'쪽쟘(실측)'!N124+뒷날개치수더함</f>
        <v>18</v>
      </c>
      <c r="T124" s="50">
        <f>'쪽쟘(실측)'!O124+뒷날개치수더함</f>
        <v>18</v>
      </c>
      <c r="U124" s="50">
        <f>'쪽쟘(실측)'!P124+뒷날개치수더함</f>
        <v>16</v>
      </c>
      <c r="V124" s="50">
        <f>'쪽쟘(실측)'!Q124+뒷날개치수더함</f>
        <v>25</v>
      </c>
      <c r="W124" s="50">
        <f>'쪽쟘(실측)'!R124-쪽쟘늘치차감</f>
        <v>0</v>
      </c>
      <c r="X124" s="50">
        <f>'쪽쟘(실측)'!S124-쪽쟘늘치차감</f>
        <v>0</v>
      </c>
      <c r="Y124" s="4">
        <f>IF('쪽쟘(실측)'!T124&gt;5,'쪽쟘(실측)'!T124+뒷날개치수더함,0)</f>
        <v>15</v>
      </c>
      <c r="Z124" s="4">
        <f>'쪽쟘(실측)'!U124</f>
        <v>10</v>
      </c>
      <c r="AA124" s="4">
        <f>'쪽쟘(실측)'!V124</f>
        <v>6</v>
      </c>
      <c r="AC124">
        <f t="shared" si="11"/>
        <v>935</v>
      </c>
      <c r="AD124">
        <f>U124+E124+MAX(S124,T124)-쪽쟘소재t*3+IF(S124=0,S124*쪽쟘소재t,0)-1.2</f>
        <v>114.2</v>
      </c>
      <c r="AE124">
        <f>MAX(K124,L124)+F124+V124-쪽쟘소재t*3+IF(K124=0,쪽쟘소재t)-IF(AA124=90,2.4,0)-1.2</f>
        <v>124.00000000000001</v>
      </c>
      <c r="AF124">
        <f t="shared" si="12"/>
        <v>2098</v>
      </c>
      <c r="AG124">
        <f>MAX(M124,N124)+F124+V124-쪽쟘소재t*3+IF(M124=0,쪽쟘소재t)-IF(AA124=90,2.4,0)-1.2</f>
        <v>125.00000000000001</v>
      </c>
      <c r="AH124">
        <f t="shared" si="13"/>
        <v>2098</v>
      </c>
    </row>
    <row r="125" spans="1:34" ht="19.5" customHeight="1" x14ac:dyDescent="0.3">
      <c r="A125" s="50" t="str">
        <f>'쪽쟘(실측)'!A125</f>
        <v>112   / 2</v>
      </c>
      <c r="B125" s="50" t="str">
        <f>'쪽쟘(실측)'!B125&amp;"F"</f>
        <v>4F</v>
      </c>
      <c r="C125" s="50" t="str">
        <f t="shared" si="8"/>
        <v>934*118.2</v>
      </c>
      <c r="D125" s="50">
        <f>'쪽쟘(실측)'!C125-쪽쟘OP차감</f>
        <v>898</v>
      </c>
      <c r="E125" s="50">
        <f>'쪽쟘(실측)'!D125+쪽쟘J늘림+MAX(W125:X125)</f>
        <v>85</v>
      </c>
      <c r="F125" s="50">
        <f>'쪽쟘(실측)'!E125+쪽쟘J늘림+MAX(W125:X125)</f>
        <v>83</v>
      </c>
      <c r="G125" s="67" t="str">
        <f t="shared" si="9"/>
        <v>2098*124</v>
      </c>
      <c r="H125" s="68" t="str">
        <f t="shared" si="10"/>
        <v>2092*124</v>
      </c>
      <c r="I125" s="50">
        <f>IF('쪽쟘(실측)'!F125&gt;0,'쪽쟘(실측)'!F125-3,0)+뒷날개치수더함</f>
        <v>18</v>
      </c>
      <c r="J125" s="50">
        <f>IF('쪽쟘(실측)'!H125&gt;0,'쪽쟘(실측)'!H125-3,0)+뒷날개치수더함</f>
        <v>18</v>
      </c>
      <c r="K125" s="50">
        <f>IF('쪽쟘(실측)'!F125&gt;0,'쪽쟘(실측)'!F125+0,0)+뒷날개치수더함-0.2</f>
        <v>20.8</v>
      </c>
      <c r="L125" s="50">
        <f>IF('쪽쟘(실측)'!G125&gt;0,'쪽쟘(실측)'!G125+0,0)+뒷날개치수더함-0.2</f>
        <v>20.8</v>
      </c>
      <c r="M125" s="50">
        <f>IF('쪽쟘(실측)'!H125&gt;0,'쪽쟘(실측)'!H125+0,0)+뒷날개치수더함-0.2</f>
        <v>20.8</v>
      </c>
      <c r="N125" s="50">
        <f>IF('쪽쟘(실측)'!I125&gt;0,'쪽쟘(실측)'!I125+0,0)+뒷날개치수더함-0.2</f>
        <v>20.8</v>
      </c>
      <c r="O125" s="50">
        <f>'쪽쟘(실측)'!J125-쪽쟘기둥차감</f>
        <v>2098</v>
      </c>
      <c r="P125" s="50">
        <f>'쪽쟘(실측)'!K125-쪽쟘기둥차감</f>
        <v>2098</v>
      </c>
      <c r="Q125" s="50">
        <f>'쪽쟘(실측)'!L125-쪽쟘기둥차감</f>
        <v>2092</v>
      </c>
      <c r="R125" s="50">
        <f>'쪽쟘(실측)'!M125-쪽쟘기둥차감</f>
        <v>2092</v>
      </c>
      <c r="S125" s="50">
        <f>'쪽쟘(실측)'!N125+뒷날개치수더함</f>
        <v>22</v>
      </c>
      <c r="T125" s="50">
        <f>'쪽쟘(실측)'!O125+뒷날개치수더함</f>
        <v>22</v>
      </c>
      <c r="U125" s="50">
        <f>'쪽쟘(실측)'!P125+뒷날개치수더함</f>
        <v>16</v>
      </c>
      <c r="V125" s="50">
        <f>'쪽쟘(실측)'!Q125+뒷날개치수더함</f>
        <v>25</v>
      </c>
      <c r="W125" s="50">
        <f>'쪽쟘(실측)'!R125-쪽쟘늘치차감</f>
        <v>0</v>
      </c>
      <c r="X125" s="50">
        <f>'쪽쟘(실측)'!S125-쪽쟘늘치차감</f>
        <v>0</v>
      </c>
      <c r="Y125" s="4">
        <f>IF('쪽쟘(실측)'!T125&gt;5,'쪽쟘(실측)'!T125+뒷날개치수더함,0)</f>
        <v>15</v>
      </c>
      <c r="Z125" s="4">
        <f>'쪽쟘(실측)'!U125</f>
        <v>10</v>
      </c>
      <c r="AA125" s="4">
        <f>'쪽쟘(실측)'!V125</f>
        <v>6</v>
      </c>
      <c r="AC125">
        <f t="shared" si="11"/>
        <v>934</v>
      </c>
      <c r="AD125">
        <f>U125+E125+MAX(S125,T125)-쪽쟘소재t*3+IF(S125=0,S125*쪽쟘소재t,0)-1.2</f>
        <v>118.2</v>
      </c>
      <c r="AE125">
        <f>MAX(K125,L125)+F125+V125-쪽쟘소재t*3+IF(K125=0,쪽쟘소재t)-IF(AA125=90,2.4,0)-1.2</f>
        <v>124.00000000000001</v>
      </c>
      <c r="AF125">
        <f t="shared" si="12"/>
        <v>2098</v>
      </c>
      <c r="AG125">
        <f>MAX(M125,N125)+F125+V125-쪽쟘소재t*3+IF(M125=0,쪽쟘소재t)-IF(AA125=90,2.4,0)-1.2</f>
        <v>124.00000000000001</v>
      </c>
      <c r="AH125">
        <f t="shared" si="13"/>
        <v>2092</v>
      </c>
    </row>
    <row r="126" spans="1:34" ht="19.5" customHeight="1" x14ac:dyDescent="0.3">
      <c r="A126" s="50" t="str">
        <f>'쪽쟘(실측)'!A126</f>
        <v>112   / 2</v>
      </c>
      <c r="B126" s="50" t="str">
        <f>'쪽쟘(실측)'!B126&amp;"F"</f>
        <v>3F</v>
      </c>
      <c r="C126" s="50" t="str">
        <f t="shared" si="8"/>
        <v>932*116.2</v>
      </c>
      <c r="D126" s="50">
        <f>'쪽쟘(실측)'!C126-쪽쟘OP차감</f>
        <v>897</v>
      </c>
      <c r="E126" s="50">
        <f>'쪽쟘(실측)'!D126+쪽쟘J늘림+MAX(W126:X126)</f>
        <v>85</v>
      </c>
      <c r="F126" s="50">
        <f>'쪽쟘(실측)'!E126+쪽쟘J늘림+MAX(W126:X126)</f>
        <v>83</v>
      </c>
      <c r="G126" s="67" t="str">
        <f t="shared" si="9"/>
        <v>2098*123</v>
      </c>
      <c r="H126" s="68" t="str">
        <f t="shared" si="10"/>
        <v>2092*124</v>
      </c>
      <c r="I126" s="50">
        <f>IF('쪽쟘(실측)'!F126&gt;0,'쪽쟘(실측)'!F126-3,0)+뒷날개치수더함</f>
        <v>17</v>
      </c>
      <c r="J126" s="50">
        <f>IF('쪽쟘(실측)'!H126&gt;0,'쪽쟘(실측)'!H126-3,0)+뒷날개치수더함</f>
        <v>18</v>
      </c>
      <c r="K126" s="50">
        <f>IF('쪽쟘(실측)'!F126&gt;0,'쪽쟘(실측)'!F126+0,0)+뒷날개치수더함-0.2</f>
        <v>19.8</v>
      </c>
      <c r="L126" s="50">
        <f>IF('쪽쟘(실측)'!G126&gt;0,'쪽쟘(실측)'!G126+0,0)+뒷날개치수더함-0.2</f>
        <v>19.8</v>
      </c>
      <c r="M126" s="50">
        <f>IF('쪽쟘(실측)'!H126&gt;0,'쪽쟘(실측)'!H126+0,0)+뒷날개치수더함-0.2</f>
        <v>20.8</v>
      </c>
      <c r="N126" s="50">
        <f>IF('쪽쟘(실측)'!I126&gt;0,'쪽쟘(실측)'!I126+0,0)+뒷날개치수더함-0.2</f>
        <v>20.8</v>
      </c>
      <c r="O126" s="50">
        <f>'쪽쟘(실측)'!J126-쪽쟘기둥차감</f>
        <v>2098</v>
      </c>
      <c r="P126" s="50">
        <f>'쪽쟘(실측)'!K126-쪽쟘기둥차감</f>
        <v>2098</v>
      </c>
      <c r="Q126" s="50">
        <f>'쪽쟘(실측)'!L126-쪽쟘기둥차감</f>
        <v>2092</v>
      </c>
      <c r="R126" s="50">
        <f>'쪽쟘(실측)'!M126-쪽쟘기둥차감</f>
        <v>2092</v>
      </c>
      <c r="S126" s="50">
        <f>'쪽쟘(실측)'!N126+뒷날개치수더함</f>
        <v>20</v>
      </c>
      <c r="T126" s="50">
        <f>'쪽쟘(실측)'!O126+뒷날개치수더함</f>
        <v>20</v>
      </c>
      <c r="U126" s="50">
        <f>'쪽쟘(실측)'!P126+뒷날개치수더함</f>
        <v>16</v>
      </c>
      <c r="V126" s="50">
        <f>'쪽쟘(실측)'!Q126+뒷날개치수더함</f>
        <v>25</v>
      </c>
      <c r="W126" s="50">
        <f>'쪽쟘(실측)'!R126-쪽쟘늘치차감</f>
        <v>0</v>
      </c>
      <c r="X126" s="50">
        <f>'쪽쟘(실측)'!S126-쪽쟘늘치차감</f>
        <v>0</v>
      </c>
      <c r="Y126" s="4">
        <f>IF('쪽쟘(실측)'!T126&gt;5,'쪽쟘(실측)'!T126+뒷날개치수더함,0)</f>
        <v>15</v>
      </c>
      <c r="Z126" s="4">
        <f>'쪽쟘(실측)'!U126</f>
        <v>10</v>
      </c>
      <c r="AA126" s="4">
        <f>'쪽쟘(실측)'!V126</f>
        <v>6</v>
      </c>
      <c r="AC126">
        <f t="shared" si="11"/>
        <v>932</v>
      </c>
      <c r="AD126">
        <f>U126+E126+MAX(S126,T126)-쪽쟘소재t*3+IF(S126=0,S126*쪽쟘소재t,0)-1.2</f>
        <v>116.2</v>
      </c>
      <c r="AE126">
        <f>MAX(K126,L126)+F126+V126-쪽쟘소재t*3+IF(K126=0,쪽쟘소재t)-IF(AA126=90,2.4,0)-1.2</f>
        <v>123</v>
      </c>
      <c r="AF126">
        <f t="shared" si="12"/>
        <v>2098</v>
      </c>
      <c r="AG126">
        <f>MAX(M126,N126)+F126+V126-쪽쟘소재t*3+IF(M126=0,쪽쟘소재t)-IF(AA126=90,2.4,0)-1.2</f>
        <v>124.00000000000001</v>
      </c>
      <c r="AH126">
        <f t="shared" si="13"/>
        <v>2092</v>
      </c>
    </row>
    <row r="127" spans="1:34" ht="19.5" customHeight="1" x14ac:dyDescent="0.3">
      <c r="A127" s="50" t="str">
        <f>'쪽쟘(실측)'!A127</f>
        <v>112   / 2</v>
      </c>
      <c r="B127" s="50" t="str">
        <f>'쪽쟘(실측)'!B127&amp;"F"</f>
        <v>2F</v>
      </c>
      <c r="C127" s="50" t="str">
        <f t="shared" si="8"/>
        <v>931*121.2</v>
      </c>
      <c r="D127" s="50">
        <f>'쪽쟘(실측)'!C127-쪽쟘OP차감</f>
        <v>897</v>
      </c>
      <c r="E127" s="50">
        <f>'쪽쟘(실측)'!D127+쪽쟘J늘림+MAX(W127:X127)</f>
        <v>85</v>
      </c>
      <c r="F127" s="50">
        <f>'쪽쟘(실측)'!E127+쪽쟘J늘림+MAX(W127:X127)</f>
        <v>83</v>
      </c>
      <c r="G127" s="67" t="str">
        <f t="shared" si="9"/>
        <v>2092*125</v>
      </c>
      <c r="H127" s="68" t="str">
        <f t="shared" si="10"/>
        <v>2092*121</v>
      </c>
      <c r="I127" s="50">
        <f>IF('쪽쟘(실측)'!F127&gt;0,'쪽쟘(실측)'!F127-3,0)+뒷날개치수더함</f>
        <v>19</v>
      </c>
      <c r="J127" s="50">
        <f>IF('쪽쟘(실측)'!H127&gt;0,'쪽쟘(실측)'!H127-3,0)+뒷날개치수더함</f>
        <v>15</v>
      </c>
      <c r="K127" s="50">
        <f>IF('쪽쟘(실측)'!F127&gt;0,'쪽쟘(실측)'!F127+0,0)+뒷날개치수더함-0.2</f>
        <v>21.8</v>
      </c>
      <c r="L127" s="50">
        <f>IF('쪽쟘(실측)'!G127&gt;0,'쪽쟘(실측)'!G127+0,0)+뒷날개치수더함-0.2</f>
        <v>21.8</v>
      </c>
      <c r="M127" s="50">
        <f>IF('쪽쟘(실측)'!H127&gt;0,'쪽쟘(실측)'!H127+0,0)+뒷날개치수더함-0.2</f>
        <v>17.8</v>
      </c>
      <c r="N127" s="50">
        <f>IF('쪽쟘(실측)'!I127&gt;0,'쪽쟘(실측)'!I127+0,0)+뒷날개치수더함-0.2</f>
        <v>17.8</v>
      </c>
      <c r="O127" s="50">
        <f>'쪽쟘(실측)'!J127-쪽쟘기둥차감</f>
        <v>2092</v>
      </c>
      <c r="P127" s="50">
        <f>'쪽쟘(실측)'!K127-쪽쟘기둥차감</f>
        <v>2092</v>
      </c>
      <c r="Q127" s="50">
        <f>'쪽쟘(실측)'!L127-쪽쟘기둥차감</f>
        <v>2092</v>
      </c>
      <c r="R127" s="50">
        <f>'쪽쟘(실측)'!M127-쪽쟘기둥차감</f>
        <v>2092</v>
      </c>
      <c r="S127" s="50">
        <f>'쪽쟘(실측)'!N127+뒷날개치수더함</f>
        <v>25</v>
      </c>
      <c r="T127" s="50">
        <f>'쪽쟘(실측)'!O127+뒷날개치수더함</f>
        <v>25</v>
      </c>
      <c r="U127" s="50">
        <f>'쪽쟘(실측)'!P127+뒷날개치수더함</f>
        <v>16</v>
      </c>
      <c r="V127" s="50">
        <f>'쪽쟘(실측)'!Q127+뒷날개치수더함</f>
        <v>25</v>
      </c>
      <c r="W127" s="50">
        <f>'쪽쟘(실측)'!R127-쪽쟘늘치차감</f>
        <v>0</v>
      </c>
      <c r="X127" s="50">
        <f>'쪽쟘(실측)'!S127-쪽쟘늘치차감</f>
        <v>0</v>
      </c>
      <c r="Y127" s="4">
        <f>IF('쪽쟘(실측)'!T127&gt;5,'쪽쟘(실측)'!T127+뒷날개치수더함,0)</f>
        <v>15</v>
      </c>
      <c r="Z127" s="4">
        <f>'쪽쟘(실측)'!U127</f>
        <v>10</v>
      </c>
      <c r="AA127" s="4">
        <f>'쪽쟘(실측)'!V127</f>
        <v>6</v>
      </c>
      <c r="AC127">
        <f t="shared" si="11"/>
        <v>931</v>
      </c>
      <c r="AD127">
        <f>U127+E127+MAX(S127,T127)-쪽쟘소재t*3+IF(S127=0,S127*쪽쟘소재t,0)-1.2</f>
        <v>121.2</v>
      </c>
      <c r="AE127">
        <f>MAX(K127,L127)+F127+V127-쪽쟘소재t*3+IF(K127=0,쪽쟘소재t)-IF(AA127=90,2.4,0)-1.2</f>
        <v>125.00000000000001</v>
      </c>
      <c r="AF127">
        <f t="shared" si="12"/>
        <v>2092</v>
      </c>
      <c r="AG127">
        <f>MAX(M127,N127)+F127+V127-쪽쟘소재t*3+IF(M127=0,쪽쟘소재t)-IF(AA127=90,2.4,0)-1.2</f>
        <v>121</v>
      </c>
      <c r="AH127">
        <f t="shared" si="13"/>
        <v>2092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S7:S127 K7:K127 M7:M127">
    <cfRule type="cellIs" dxfId="58" priority="4" operator="notEqual">
      <formula>L7</formula>
    </cfRule>
  </conditionalFormatting>
  <conditionalFormatting sqref="T7:T127 L7:L127 N7:N127">
    <cfRule type="cellIs" dxfId="57" priority="3" operator="notEqual">
      <formula>K7</formula>
    </cfRule>
  </conditionalFormatting>
  <conditionalFormatting sqref="Y7:AA127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127"/>
  <sheetViews>
    <sheetView zoomScaleNormal="100" workbookViewId="0">
      <selection sqref="A1:X12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(판매)광양 금광 아파트-4차 (제작치수 샤링작지) 김진섭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COUNTA(A7:A190) &amp;" (SET)"</f>
        <v>총 : 121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사급 하이그로시1.2t</v>
      </c>
      <c r="B3" s="69"/>
      <c r="C3" s="69"/>
      <c r="D3" s="69"/>
      <c r="E3" s="69"/>
      <c r="F3" s="69"/>
      <c r="G3" s="293" t="str">
        <f>"예상매수 : " &amp; ROUNDUP((SUM(AB7:AB190)+SUM(AD7:AD190))/1200,0) &amp;" 매"</f>
        <v>예상매수 : 25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 t="str">
        <f>'쪽쟘(실측)'!A7</f>
        <v>105   / 2</v>
      </c>
      <c r="B7" s="50" t="str">
        <f>'쪽쟘(실측)'!B7&amp;"F"</f>
        <v>12F</v>
      </c>
      <c r="C7" s="50" t="str">
        <f>Z7&amp;"*"&amp;AA7</f>
        <v>934*123.2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2098*124</v>
      </c>
      <c r="H7" s="68" t="str">
        <f>IF(OR(쪽쟘제작!N7&lt;&gt;쪽쟘제작!M7,쪽쟘제작!Q7&lt;&gt;쪽쟘제작!R7),"",AE7&amp;"*"&amp;AD7)</f>
        <v>2098*125</v>
      </c>
      <c r="I7" s="70">
        <f>IF('쪽쟘(실측)'!F7&gt;0,'쪽쟘(실측)'!F7+0.5,0)</f>
        <v>21.5</v>
      </c>
      <c r="J7" s="50">
        <f>IF('쪽쟘(실측)'!H7&gt;0,'쪽쟘(실측)'!H7+0.5,0)</f>
        <v>22.5</v>
      </c>
      <c r="K7" s="50">
        <f>IF('쪽쟘(실측)'!F7&gt;0,'쪽쟘(실측)'!F7+1.5,0)</f>
        <v>22.5</v>
      </c>
      <c r="L7" s="50">
        <f>IF('쪽쟘(실측)'!G7&gt;0,'쪽쟘(실측)'!G7+1.5,0)</f>
        <v>22.5</v>
      </c>
      <c r="M7" s="50">
        <f>IF('쪽쟘(실측)'!H7&gt;0,'쪽쟘(실측)'!H7+1.5,0)</f>
        <v>23.5</v>
      </c>
      <c r="N7" s="50">
        <f>IF('쪽쟘(실측)'!I7&gt;0,'쪽쟘(실측)'!I7+1.5,0)</f>
        <v>23.5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28.2</v>
      </c>
      <c r="T7" s="50">
        <f>'쪽쟘(실측)'!O7+1.2</f>
        <v>28.2</v>
      </c>
      <c r="U7" s="50">
        <f>'쪽쟘(실측)'!P7</f>
        <v>16</v>
      </c>
      <c r="V7" s="50">
        <f>'쪽쟘(실측)'!Q7</f>
        <v>25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934</v>
      </c>
      <c r="AA7">
        <f>쪽쟘제작!AD7</f>
        <v>123.2</v>
      </c>
      <c r="AB7">
        <f>쪽쟘제작!AE7</f>
        <v>124.00000000000001</v>
      </c>
      <c r="AC7">
        <f>쪽쟘제작!AF7</f>
        <v>2098</v>
      </c>
      <c r="AD7">
        <f>쪽쟘제작!AG7</f>
        <v>125.00000000000001</v>
      </c>
      <c r="AE7">
        <f>쪽쟘제작!AH7</f>
        <v>2098</v>
      </c>
    </row>
    <row r="8" spans="1:31" ht="18.75" customHeight="1" x14ac:dyDescent="0.3">
      <c r="A8" s="50" t="str">
        <f>'쪽쟘(실측)'!A8</f>
        <v>105   / 2</v>
      </c>
      <c r="B8" s="50" t="str">
        <f>'쪽쟘(실측)'!B8&amp;"F"</f>
        <v>11F</v>
      </c>
      <c r="C8" s="50" t="str">
        <f t="shared" ref="C8:C71" si="0">Z8&amp;"*"&amp;AA8</f>
        <v>931*119.2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IF(OR(쪽쟘제작!K8&lt;&gt;쪽쟘제작!L8,쪽쟘제작!O8&lt;&gt;쪽쟘제작!P8),"",AC8&amp;"*"&amp;AB8)</f>
        <v>2098*123</v>
      </c>
      <c r="H8" s="68" t="str">
        <f>IF(OR(쪽쟘제작!N8&lt;&gt;쪽쟘제작!M8,쪽쟘제작!Q8&lt;&gt;쪽쟘제작!R8),"",AE8&amp;"*"&amp;AD8)</f>
        <v>2098*123</v>
      </c>
      <c r="I8" s="70">
        <f>IF('쪽쟘(실측)'!F8&gt;0,'쪽쟘(실측)'!F8+0.5,0)</f>
        <v>20.5</v>
      </c>
      <c r="J8" s="50">
        <f>IF('쪽쟘(실측)'!H8&gt;0,'쪽쟘(실측)'!H8+0.5,0)</f>
        <v>20.5</v>
      </c>
      <c r="K8" s="50">
        <f>IF('쪽쟘(실측)'!F8&gt;0,'쪽쟘(실측)'!F8+1.5,0)</f>
        <v>21.5</v>
      </c>
      <c r="L8" s="50">
        <f>IF('쪽쟘(실측)'!G8&gt;0,'쪽쟘(실측)'!G8+1.5,0)</f>
        <v>21.5</v>
      </c>
      <c r="M8" s="50">
        <f>IF('쪽쟘(실측)'!H8&gt;0,'쪽쟘(실측)'!H8+1.5,0)</f>
        <v>21.5</v>
      </c>
      <c r="N8" s="50">
        <f>IF('쪽쟘(실측)'!I8&gt;0,'쪽쟘(실측)'!I8+1.5,0)</f>
        <v>21.5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24.2</v>
      </c>
      <c r="T8" s="50">
        <f>'쪽쟘(실측)'!O8+1.2</f>
        <v>24.2</v>
      </c>
      <c r="U8" s="50">
        <f>'쪽쟘(실측)'!P8</f>
        <v>16</v>
      </c>
      <c r="V8" s="50">
        <f>'쪽쟘(실측)'!Q8</f>
        <v>25</v>
      </c>
      <c r="W8" s="50" t="e">
        <f>'쪽쟘(실측)'!R8-늘치차감</f>
        <v>#NAME?</v>
      </c>
      <c r="X8" s="50" t="e">
        <f>'쪽쟘(실측)'!S8-늘치차감</f>
        <v>#NAME?</v>
      </c>
      <c r="Z8">
        <f>쪽쟘제작!AC8</f>
        <v>931</v>
      </c>
      <c r="AA8">
        <f>쪽쟘제작!AD8</f>
        <v>119.2</v>
      </c>
      <c r="AB8">
        <f>쪽쟘제작!AE8</f>
        <v>123</v>
      </c>
      <c r="AC8">
        <f>쪽쟘제작!AF8</f>
        <v>2098</v>
      </c>
      <c r="AD8">
        <f>쪽쟘제작!AG8</f>
        <v>123</v>
      </c>
      <c r="AE8">
        <f>쪽쟘제작!AH8</f>
        <v>2098</v>
      </c>
    </row>
    <row r="9" spans="1:31" ht="18.75" customHeight="1" x14ac:dyDescent="0.3">
      <c r="A9" s="50" t="str">
        <f>'쪽쟘(실측)'!A9</f>
        <v>105   / 2</v>
      </c>
      <c r="B9" s="50" t="str">
        <f>'쪽쟘(실측)'!B9&amp;"F"</f>
        <v>10F</v>
      </c>
      <c r="C9" s="50" t="str">
        <f t="shared" si="0"/>
        <v>932*120.2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>IF(OR(쪽쟘제작!K9&lt;&gt;쪽쟘제작!L9,쪽쟘제작!O9&lt;&gt;쪽쟘제작!P9),"",AC9&amp;"*"&amp;AB9)</f>
        <v>2092*123</v>
      </c>
      <c r="H9" s="68" t="str">
        <f>IF(OR(쪽쟘제작!N9&lt;&gt;쪽쟘제작!M9,쪽쟘제작!Q9&lt;&gt;쪽쟘제작!R9),"",AE9&amp;"*"&amp;AD9)</f>
        <v>2092*124</v>
      </c>
      <c r="I9" s="70">
        <f>IF('쪽쟘(실측)'!F9&gt;0,'쪽쟘(실측)'!F9+0.5,0)</f>
        <v>20.5</v>
      </c>
      <c r="J9" s="50">
        <f>IF('쪽쟘(실측)'!H9&gt;0,'쪽쟘(실측)'!H9+0.5,0)</f>
        <v>21.5</v>
      </c>
      <c r="K9" s="50">
        <f>IF('쪽쟘(실측)'!F9&gt;0,'쪽쟘(실측)'!F9+1.5,0)</f>
        <v>21.5</v>
      </c>
      <c r="L9" s="50">
        <f>IF('쪽쟘(실측)'!G9&gt;0,'쪽쟘(실측)'!G9+1.5,0)</f>
        <v>21.5</v>
      </c>
      <c r="M9" s="50">
        <f>IF('쪽쟘(실측)'!H9&gt;0,'쪽쟘(실측)'!H9+1.5,0)</f>
        <v>22.5</v>
      </c>
      <c r="N9" s="50">
        <f>IF('쪽쟘(실측)'!I9&gt;0,'쪽쟘(실측)'!I9+1.5,0)</f>
        <v>22.5</v>
      </c>
      <c r="O9" s="50" t="e">
        <f>'쪽쟘(실측)'!J9-기둥차감</f>
        <v>#NAME?</v>
      </c>
      <c r="P9" s="50" t="e">
        <f>'쪽쟘(실측)'!K9-기둥차감</f>
        <v>#NAME?</v>
      </c>
      <c r="Q9" s="50" t="e">
        <f>'쪽쟘(실측)'!L9-기둥차감</f>
        <v>#NAME?</v>
      </c>
      <c r="R9" s="50" t="e">
        <f>'쪽쟘(실측)'!M9-기둥차감</f>
        <v>#NAME?</v>
      </c>
      <c r="S9" s="50">
        <f>'쪽쟘(실측)'!N9+1.2</f>
        <v>25.2</v>
      </c>
      <c r="T9" s="50">
        <f>'쪽쟘(실측)'!O9+1.2</f>
        <v>25.2</v>
      </c>
      <c r="U9" s="50">
        <f>'쪽쟘(실측)'!P9</f>
        <v>16</v>
      </c>
      <c r="V9" s="50">
        <f>'쪽쟘(실측)'!Q9</f>
        <v>25</v>
      </c>
      <c r="W9" s="50" t="e">
        <f>'쪽쟘(실측)'!R9-늘치차감</f>
        <v>#NAME?</v>
      </c>
      <c r="X9" s="50" t="e">
        <f>'쪽쟘(실측)'!S9-늘치차감</f>
        <v>#NAME?</v>
      </c>
      <c r="Z9">
        <f>쪽쟘제작!AC9</f>
        <v>932</v>
      </c>
      <c r="AA9">
        <f>쪽쟘제작!AD9</f>
        <v>120.2</v>
      </c>
      <c r="AB9">
        <f>쪽쟘제작!AE9</f>
        <v>123</v>
      </c>
      <c r="AC9">
        <f>쪽쟘제작!AF9</f>
        <v>2092</v>
      </c>
      <c r="AD9">
        <f>쪽쟘제작!AG9</f>
        <v>124.00000000000001</v>
      </c>
      <c r="AE9">
        <f>쪽쟘제작!AH9</f>
        <v>2092</v>
      </c>
    </row>
    <row r="10" spans="1:31" ht="18.75" customHeight="1" x14ac:dyDescent="0.3">
      <c r="A10" s="50" t="str">
        <f>'쪽쟘(실측)'!A10</f>
        <v>105   / 2</v>
      </c>
      <c r="B10" s="50" t="str">
        <f>'쪽쟘(실측)'!B10&amp;"F"</f>
        <v>9F</v>
      </c>
      <c r="C10" s="50" t="str">
        <f t="shared" si="0"/>
        <v>933*116.2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>IF(OR(쪽쟘제작!K10&lt;&gt;쪽쟘제작!L10,쪽쟘제작!O10&lt;&gt;쪽쟘제작!P10),"",AC10&amp;"*"&amp;AB10)</f>
        <v>2092*124</v>
      </c>
      <c r="H10" s="68" t="str">
        <f>IF(OR(쪽쟘제작!N10&lt;&gt;쪽쟘제작!M10,쪽쟘제작!Q10&lt;&gt;쪽쟘제작!R10),"",AE10&amp;"*"&amp;AD10)</f>
        <v>2092*124</v>
      </c>
      <c r="I10" s="70">
        <f>IF('쪽쟘(실측)'!F10&gt;0,'쪽쟘(실측)'!F10+0.5,0)</f>
        <v>21.5</v>
      </c>
      <c r="J10" s="50">
        <f>IF('쪽쟘(실측)'!H10&gt;0,'쪽쟘(실측)'!H10+0.5,0)</f>
        <v>21.5</v>
      </c>
      <c r="K10" s="50">
        <f>IF('쪽쟘(실측)'!F10&gt;0,'쪽쟘(실측)'!F10+1.5,0)</f>
        <v>22.5</v>
      </c>
      <c r="L10" s="50">
        <f>IF('쪽쟘(실측)'!G10&gt;0,'쪽쟘(실측)'!G10+1.5,0)</f>
        <v>22.5</v>
      </c>
      <c r="M10" s="50">
        <f>IF('쪽쟘(실측)'!H10&gt;0,'쪽쟘(실측)'!H10+1.5,0)</f>
        <v>22.5</v>
      </c>
      <c r="N10" s="50">
        <f>IF('쪽쟘(실측)'!I10&gt;0,'쪽쟘(실측)'!I10+1.5,0)</f>
        <v>22.5</v>
      </c>
      <c r="O10" s="50" t="e">
        <f>'쪽쟘(실측)'!J10-기둥차감</f>
        <v>#NAME?</v>
      </c>
      <c r="P10" s="50" t="e">
        <f>'쪽쟘(실측)'!K10-기둥차감</f>
        <v>#NAME?</v>
      </c>
      <c r="Q10" s="50" t="e">
        <f>'쪽쟘(실측)'!L10-기둥차감</f>
        <v>#NAME?</v>
      </c>
      <c r="R10" s="50" t="e">
        <f>'쪽쟘(실측)'!M10-기둥차감</f>
        <v>#NAME?</v>
      </c>
      <c r="S10" s="50">
        <f>'쪽쟘(실측)'!N10+1.2</f>
        <v>21.2</v>
      </c>
      <c r="T10" s="50">
        <f>'쪽쟘(실측)'!O10+1.2</f>
        <v>21.2</v>
      </c>
      <c r="U10" s="50">
        <f>'쪽쟘(실측)'!P10</f>
        <v>16</v>
      </c>
      <c r="V10" s="50">
        <f>'쪽쟘(실측)'!Q10</f>
        <v>25</v>
      </c>
      <c r="W10" s="50" t="e">
        <f>'쪽쟘(실측)'!R10-늘치차감</f>
        <v>#NAME?</v>
      </c>
      <c r="X10" s="50" t="e">
        <f>'쪽쟘(실측)'!S10-늘치차감</f>
        <v>#NAME?</v>
      </c>
      <c r="Z10">
        <f>쪽쟘제작!AC10</f>
        <v>933</v>
      </c>
      <c r="AA10">
        <f>쪽쟘제작!AD10</f>
        <v>116.2</v>
      </c>
      <c r="AB10">
        <f>쪽쟘제작!AE10</f>
        <v>124.00000000000001</v>
      </c>
      <c r="AC10">
        <f>쪽쟘제작!AF10</f>
        <v>2092</v>
      </c>
      <c r="AD10">
        <f>쪽쟘제작!AG10</f>
        <v>124.00000000000001</v>
      </c>
      <c r="AE10">
        <f>쪽쟘제작!AH10</f>
        <v>2092</v>
      </c>
    </row>
    <row r="11" spans="1:31" ht="18.75" customHeight="1" x14ac:dyDescent="0.3">
      <c r="A11" s="50" t="str">
        <f>'쪽쟘(실측)'!A11</f>
        <v>105   / 2</v>
      </c>
      <c r="B11" s="50" t="str">
        <f>'쪽쟘(실측)'!B11&amp;"F"</f>
        <v>8F</v>
      </c>
      <c r="C11" s="50" t="str">
        <f t="shared" si="0"/>
        <v>933*114.2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>IF(OR(쪽쟘제작!K11&lt;&gt;쪽쟘제작!L11,쪽쟘제작!O11&lt;&gt;쪽쟘제작!P11),"",AC11&amp;"*"&amp;AB11)</f>
        <v>2098*124</v>
      </c>
      <c r="H11" s="68" t="str">
        <f>IF(OR(쪽쟘제작!N11&lt;&gt;쪽쟘제작!M11,쪽쟘제작!Q11&lt;&gt;쪽쟘제작!R11),"",AE11&amp;"*"&amp;AD11)</f>
        <v>2092*124</v>
      </c>
      <c r="I11" s="70">
        <f>IF('쪽쟘(실측)'!F11&gt;0,'쪽쟘(실측)'!F11+0.5,0)</f>
        <v>21.5</v>
      </c>
      <c r="J11" s="50">
        <f>IF('쪽쟘(실측)'!H11&gt;0,'쪽쟘(실측)'!H11+0.5,0)</f>
        <v>21.5</v>
      </c>
      <c r="K11" s="50">
        <f>IF('쪽쟘(실측)'!F11&gt;0,'쪽쟘(실측)'!F11+1.5,0)</f>
        <v>22.5</v>
      </c>
      <c r="L11" s="50">
        <f>IF('쪽쟘(실측)'!G11&gt;0,'쪽쟘(실측)'!G11+1.5,0)</f>
        <v>22.5</v>
      </c>
      <c r="M11" s="50">
        <f>IF('쪽쟘(실측)'!H11&gt;0,'쪽쟘(실측)'!H11+1.5,0)</f>
        <v>22.5</v>
      </c>
      <c r="N11" s="50">
        <f>IF('쪽쟘(실측)'!I11&gt;0,'쪽쟘(실측)'!I11+1.5,0)</f>
        <v>22.5</v>
      </c>
      <c r="O11" s="50" t="e">
        <f>'쪽쟘(실측)'!J11-기둥차감</f>
        <v>#NAME?</v>
      </c>
      <c r="P11" s="50" t="e">
        <f>'쪽쟘(실측)'!K11-기둥차감</f>
        <v>#NAME?</v>
      </c>
      <c r="Q11" s="50" t="e">
        <f>'쪽쟘(실측)'!L11-기둥차감</f>
        <v>#NAME?</v>
      </c>
      <c r="R11" s="50" t="e">
        <f>'쪽쟘(실측)'!M11-기둥차감</f>
        <v>#NAME?</v>
      </c>
      <c r="S11" s="50">
        <f>'쪽쟘(실측)'!N11+1.2</f>
        <v>19.2</v>
      </c>
      <c r="T11" s="50">
        <f>'쪽쟘(실측)'!O11+1.2</f>
        <v>19.2</v>
      </c>
      <c r="U11" s="50">
        <f>'쪽쟘(실측)'!P11</f>
        <v>16</v>
      </c>
      <c r="V11" s="50">
        <f>'쪽쟘(실측)'!Q11</f>
        <v>25</v>
      </c>
      <c r="W11" s="50" t="e">
        <f>'쪽쟘(실측)'!R11-늘치차감</f>
        <v>#NAME?</v>
      </c>
      <c r="X11" s="50" t="e">
        <f>'쪽쟘(실측)'!S11-늘치차감</f>
        <v>#NAME?</v>
      </c>
      <c r="Z11">
        <f>쪽쟘제작!AC11</f>
        <v>933</v>
      </c>
      <c r="AA11">
        <f>쪽쟘제작!AD11</f>
        <v>114.2</v>
      </c>
      <c r="AB11">
        <f>쪽쟘제작!AE11</f>
        <v>124.00000000000001</v>
      </c>
      <c r="AC11">
        <f>쪽쟘제작!AF11</f>
        <v>2098</v>
      </c>
      <c r="AD11">
        <f>쪽쟘제작!AG11</f>
        <v>124.00000000000001</v>
      </c>
      <c r="AE11">
        <f>쪽쟘제작!AH11</f>
        <v>2092</v>
      </c>
    </row>
    <row r="12" spans="1:31" ht="18.75" customHeight="1" x14ac:dyDescent="0.3">
      <c r="A12" s="50" t="str">
        <f>'쪽쟘(실측)'!A12</f>
        <v>105   / 2</v>
      </c>
      <c r="B12" s="50" t="str">
        <f>'쪽쟘(실측)'!B12&amp;"F"</f>
        <v>7F</v>
      </c>
      <c r="C12" s="50" t="str">
        <f t="shared" si="0"/>
        <v>929*108.2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>IF(OR(쪽쟘제작!K12&lt;&gt;쪽쟘제작!L12,쪽쟘제작!O12&lt;&gt;쪽쟘제작!P12),"",AC12&amp;"*"&amp;AB12)</f>
        <v>2098*122</v>
      </c>
      <c r="H12" s="68" t="str">
        <f>IF(OR(쪽쟘제작!N12&lt;&gt;쪽쟘제작!M12,쪽쟘제작!Q12&lt;&gt;쪽쟘제작!R12),"",AE12&amp;"*"&amp;AD12)</f>
        <v>2092*123</v>
      </c>
      <c r="I12" s="70">
        <f>IF('쪽쟘(실측)'!F12&gt;0,'쪽쟘(실측)'!F12+0.5,0)</f>
        <v>19.5</v>
      </c>
      <c r="J12" s="50">
        <f>IF('쪽쟘(실측)'!H12&gt;0,'쪽쟘(실측)'!H12+0.5,0)</f>
        <v>20.5</v>
      </c>
      <c r="K12" s="50">
        <f>IF('쪽쟘(실측)'!F12&gt;0,'쪽쟘(실측)'!F12+1.5,0)</f>
        <v>20.5</v>
      </c>
      <c r="L12" s="50">
        <f>IF('쪽쟘(실측)'!G12&gt;0,'쪽쟘(실측)'!G12+1.5,0)</f>
        <v>20.5</v>
      </c>
      <c r="M12" s="50">
        <f>IF('쪽쟘(실측)'!H12&gt;0,'쪽쟘(실측)'!H12+1.5,0)</f>
        <v>21.5</v>
      </c>
      <c r="N12" s="50">
        <f>IF('쪽쟘(실측)'!I12&gt;0,'쪽쟘(실측)'!I12+1.5,0)</f>
        <v>21.5</v>
      </c>
      <c r="O12" s="50" t="e">
        <f>'쪽쟘(실측)'!J12-기둥차감</f>
        <v>#NAME?</v>
      </c>
      <c r="P12" s="50" t="e">
        <f>'쪽쟘(실측)'!K12-기둥차감</f>
        <v>#NAME?</v>
      </c>
      <c r="Q12" s="50" t="e">
        <f>'쪽쟘(실측)'!L12-기둥차감</f>
        <v>#NAME?</v>
      </c>
      <c r="R12" s="50" t="e">
        <f>'쪽쟘(실측)'!M12-기둥차감</f>
        <v>#NAME?</v>
      </c>
      <c r="S12" s="50">
        <f>'쪽쟘(실측)'!N12+1.2</f>
        <v>13.2</v>
      </c>
      <c r="T12" s="50">
        <f>'쪽쟘(실측)'!O12+1.2</f>
        <v>13.2</v>
      </c>
      <c r="U12" s="50">
        <f>'쪽쟘(실측)'!P12</f>
        <v>16</v>
      </c>
      <c r="V12" s="50">
        <f>'쪽쟘(실측)'!Q12</f>
        <v>25</v>
      </c>
      <c r="W12" s="50" t="e">
        <f>'쪽쟘(실측)'!R12-늘치차감</f>
        <v>#NAME?</v>
      </c>
      <c r="X12" s="50" t="e">
        <f>'쪽쟘(실측)'!S12-늘치차감</f>
        <v>#NAME?</v>
      </c>
      <c r="Z12">
        <f>쪽쟘제작!AC12</f>
        <v>929</v>
      </c>
      <c r="AA12">
        <f>쪽쟘제작!AD12</f>
        <v>108.2</v>
      </c>
      <c r="AB12">
        <f>쪽쟘제작!AE12</f>
        <v>122</v>
      </c>
      <c r="AC12">
        <f>쪽쟘제작!AF12</f>
        <v>2098</v>
      </c>
      <c r="AD12">
        <f>쪽쟘제작!AG12</f>
        <v>123</v>
      </c>
      <c r="AE12">
        <f>쪽쟘제작!AH12</f>
        <v>2092</v>
      </c>
    </row>
    <row r="13" spans="1:31" ht="18.75" customHeight="1" x14ac:dyDescent="0.3">
      <c r="A13" s="50" t="str">
        <f>'쪽쟘(실측)'!A13</f>
        <v>105   / 2</v>
      </c>
      <c r="B13" s="50" t="str">
        <f>'쪽쟘(실측)'!B13&amp;"F"</f>
        <v>6F</v>
      </c>
      <c r="C13" s="50" t="str">
        <f t="shared" si="0"/>
        <v>936*118.2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>IF(OR(쪽쟘제작!K13&lt;&gt;쪽쟘제작!L13,쪽쟘제작!O13&lt;&gt;쪽쟘제작!P13),"",AC13&amp;"*"&amp;AB13)</f>
        <v>2092*125</v>
      </c>
      <c r="H13" s="68" t="str">
        <f>IF(OR(쪽쟘제작!N13&lt;&gt;쪽쟘제작!M13,쪽쟘제작!Q13&lt;&gt;쪽쟘제작!R13),"",AE13&amp;"*"&amp;AD13)</f>
        <v>2092*126</v>
      </c>
      <c r="I13" s="70">
        <f>IF('쪽쟘(실측)'!F13&gt;0,'쪽쟘(실측)'!F13+0.5,0)</f>
        <v>22.5</v>
      </c>
      <c r="J13" s="50">
        <f>IF('쪽쟘(실측)'!H13&gt;0,'쪽쟘(실측)'!H13+0.5,0)</f>
        <v>23.5</v>
      </c>
      <c r="K13" s="50">
        <f>IF('쪽쟘(실측)'!F13&gt;0,'쪽쟘(실측)'!F13+1.5,0)</f>
        <v>23.5</v>
      </c>
      <c r="L13" s="50">
        <f>IF('쪽쟘(실측)'!G13&gt;0,'쪽쟘(실측)'!G13+1.5,0)</f>
        <v>23.5</v>
      </c>
      <c r="M13" s="50">
        <f>IF('쪽쟘(실측)'!H13&gt;0,'쪽쟘(실측)'!H13+1.5,0)</f>
        <v>24.5</v>
      </c>
      <c r="N13" s="50">
        <f>IF('쪽쟘(실측)'!I13&gt;0,'쪽쟘(실측)'!I13+1.5,0)</f>
        <v>24.5</v>
      </c>
      <c r="O13" s="50" t="e">
        <f>'쪽쟘(실측)'!J13-기둥차감</f>
        <v>#NAME?</v>
      </c>
      <c r="P13" s="50" t="e">
        <f>'쪽쟘(실측)'!K13-기둥차감</f>
        <v>#NAME?</v>
      </c>
      <c r="Q13" s="50" t="e">
        <f>'쪽쟘(실측)'!L13-기둥차감</f>
        <v>#NAME?</v>
      </c>
      <c r="R13" s="50" t="e">
        <f>'쪽쟘(실측)'!M13-기둥차감</f>
        <v>#NAME?</v>
      </c>
      <c r="S13" s="50">
        <f>'쪽쟘(실측)'!N13+1.2</f>
        <v>23.2</v>
      </c>
      <c r="T13" s="50">
        <f>'쪽쟘(실측)'!O13+1.2</f>
        <v>23.2</v>
      </c>
      <c r="U13" s="50">
        <f>'쪽쟘(실측)'!P13</f>
        <v>16</v>
      </c>
      <c r="V13" s="50">
        <f>'쪽쟘(실측)'!Q13</f>
        <v>25</v>
      </c>
      <c r="W13" s="50" t="e">
        <f>'쪽쟘(실측)'!R13-늘치차감</f>
        <v>#NAME?</v>
      </c>
      <c r="X13" s="50" t="e">
        <f>'쪽쟘(실측)'!S13-늘치차감</f>
        <v>#NAME?</v>
      </c>
      <c r="Z13">
        <f>쪽쟘제작!AC13</f>
        <v>936</v>
      </c>
      <c r="AA13">
        <f>쪽쟘제작!AD13</f>
        <v>118.2</v>
      </c>
      <c r="AB13">
        <f>쪽쟘제작!AE13</f>
        <v>125.00000000000001</v>
      </c>
      <c r="AC13">
        <f>쪽쟘제작!AF13</f>
        <v>2092</v>
      </c>
      <c r="AD13">
        <f>쪽쟘제작!AG13</f>
        <v>126.00000000000001</v>
      </c>
      <c r="AE13">
        <f>쪽쟘제작!AH13</f>
        <v>2092</v>
      </c>
    </row>
    <row r="14" spans="1:31" ht="18.75" customHeight="1" x14ac:dyDescent="0.3">
      <c r="A14" s="50" t="str">
        <f>'쪽쟘(실측)'!A14</f>
        <v>105   / 2</v>
      </c>
      <c r="B14" s="50" t="str">
        <f>'쪽쟘(실측)'!B14&amp;"F"</f>
        <v>5F</v>
      </c>
      <c r="C14" s="50" t="str">
        <f t="shared" si="0"/>
        <v>934*110.2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>IF(OR(쪽쟘제작!K14&lt;&gt;쪽쟘제작!L14,쪽쟘제작!O14&lt;&gt;쪽쟘제작!P14),"",AC14&amp;"*"&amp;AB14)</f>
        <v>2092*123</v>
      </c>
      <c r="H14" s="68" t="str">
        <f>IF(OR(쪽쟘제작!N14&lt;&gt;쪽쟘제작!M14,쪽쟘제작!Q14&lt;&gt;쪽쟘제작!R14),"",AE14&amp;"*"&amp;AD14)</f>
        <v>2092*127</v>
      </c>
      <c r="I14" s="70">
        <f>IF('쪽쟘(실측)'!F14&gt;0,'쪽쟘(실측)'!F14+0.5,0)</f>
        <v>20.5</v>
      </c>
      <c r="J14" s="50">
        <f>IF('쪽쟘(실측)'!H14&gt;0,'쪽쟘(실측)'!H14+0.5,0)</f>
        <v>24.5</v>
      </c>
      <c r="K14" s="50">
        <f>IF('쪽쟘(실측)'!F14&gt;0,'쪽쟘(실측)'!F14+1.5,0)</f>
        <v>21.5</v>
      </c>
      <c r="L14" s="50">
        <f>IF('쪽쟘(실측)'!G14&gt;0,'쪽쟘(실측)'!G14+1.5,0)</f>
        <v>21.5</v>
      </c>
      <c r="M14" s="50">
        <f>IF('쪽쟘(실측)'!H14&gt;0,'쪽쟘(실측)'!H14+1.5,0)</f>
        <v>25.5</v>
      </c>
      <c r="N14" s="50">
        <f>IF('쪽쟘(실측)'!I14&gt;0,'쪽쟘(실측)'!I14+1.5,0)</f>
        <v>25.5</v>
      </c>
      <c r="O14" s="50" t="e">
        <f>'쪽쟘(실측)'!J14-기둥차감</f>
        <v>#NAME?</v>
      </c>
      <c r="P14" s="50" t="e">
        <f>'쪽쟘(실측)'!K14-기둥차감</f>
        <v>#NAME?</v>
      </c>
      <c r="Q14" s="50" t="e">
        <f>'쪽쟘(실측)'!L14-기둥차감</f>
        <v>#NAME?</v>
      </c>
      <c r="R14" s="50" t="e">
        <f>'쪽쟘(실측)'!M14-기둥차감</f>
        <v>#NAME?</v>
      </c>
      <c r="S14" s="50">
        <f>'쪽쟘(실측)'!N14+1.2</f>
        <v>15.2</v>
      </c>
      <c r="T14" s="50">
        <f>'쪽쟘(실측)'!O14+1.2</f>
        <v>15.2</v>
      </c>
      <c r="U14" s="50">
        <f>'쪽쟘(실측)'!P14</f>
        <v>16</v>
      </c>
      <c r="V14" s="50">
        <f>'쪽쟘(실측)'!Q14</f>
        <v>25</v>
      </c>
      <c r="W14" s="50" t="e">
        <f>'쪽쟘(실측)'!R14-늘치차감</f>
        <v>#NAME?</v>
      </c>
      <c r="X14" s="50" t="e">
        <f>'쪽쟘(실측)'!S14-늘치차감</f>
        <v>#NAME?</v>
      </c>
      <c r="Z14">
        <f>쪽쟘제작!AC14</f>
        <v>934</v>
      </c>
      <c r="AA14">
        <f>쪽쟘제작!AD14</f>
        <v>110.2</v>
      </c>
      <c r="AB14">
        <f>쪽쟘제작!AE14</f>
        <v>123</v>
      </c>
      <c r="AC14">
        <f>쪽쟘제작!AF14</f>
        <v>2092</v>
      </c>
      <c r="AD14">
        <f>쪽쟘제작!AG14</f>
        <v>127.00000000000001</v>
      </c>
      <c r="AE14">
        <f>쪽쟘제작!AH14</f>
        <v>2092</v>
      </c>
    </row>
    <row r="15" spans="1:31" ht="18.75" customHeight="1" x14ac:dyDescent="0.3">
      <c r="A15" s="50" t="str">
        <f>'쪽쟘(실측)'!A15</f>
        <v>105   / 2</v>
      </c>
      <c r="B15" s="50" t="str">
        <f>'쪽쟘(실측)'!B15&amp;"F"</f>
        <v>4F</v>
      </c>
      <c r="C15" s="50" t="str">
        <f t="shared" si="0"/>
        <v>933*106.2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>IF(OR(쪽쟘제작!K15&lt;&gt;쪽쟘제작!L15,쪽쟘제작!O15&lt;&gt;쪽쟘제작!P15),"",AC15&amp;"*"&amp;AB15)</f>
        <v>2098*124</v>
      </c>
      <c r="H15" s="68" t="str">
        <f>IF(OR(쪽쟘제작!N15&lt;&gt;쪽쟘제작!M15,쪽쟘제작!Q15&lt;&gt;쪽쟘제작!R15),"",AE15&amp;"*"&amp;AD15)</f>
        <v>2098*124</v>
      </c>
      <c r="I15" s="70">
        <f>IF('쪽쟘(실측)'!F15&gt;0,'쪽쟘(실측)'!F15+0.5,0)</f>
        <v>21.5</v>
      </c>
      <c r="J15" s="50">
        <f>IF('쪽쟘(실측)'!H15&gt;0,'쪽쟘(실측)'!H15+0.5,0)</f>
        <v>21.5</v>
      </c>
      <c r="K15" s="50">
        <f>IF('쪽쟘(실측)'!F15&gt;0,'쪽쟘(실측)'!F15+1.5,0)</f>
        <v>22.5</v>
      </c>
      <c r="L15" s="50">
        <f>IF('쪽쟘(실측)'!G15&gt;0,'쪽쟘(실측)'!G15+1.5,0)</f>
        <v>22.5</v>
      </c>
      <c r="M15" s="50">
        <f>IF('쪽쟘(실측)'!H15&gt;0,'쪽쟘(실측)'!H15+1.5,0)</f>
        <v>22.5</v>
      </c>
      <c r="N15" s="50">
        <f>IF('쪽쟘(실측)'!I15&gt;0,'쪽쟘(실측)'!I15+1.5,0)</f>
        <v>22.5</v>
      </c>
      <c r="O15" s="50" t="e">
        <f>'쪽쟘(실측)'!J15-기둥차감</f>
        <v>#NAME?</v>
      </c>
      <c r="P15" s="50" t="e">
        <f>'쪽쟘(실측)'!K15-기둥차감</f>
        <v>#NAME?</v>
      </c>
      <c r="Q15" s="50" t="e">
        <f>'쪽쟘(실측)'!L15-기둥차감</f>
        <v>#NAME?</v>
      </c>
      <c r="R15" s="50" t="e">
        <f>'쪽쟘(실측)'!M15-기둥차감</f>
        <v>#NAME?</v>
      </c>
      <c r="S15" s="50">
        <f>'쪽쟘(실측)'!N15+1.2</f>
        <v>11.2</v>
      </c>
      <c r="T15" s="50">
        <f>'쪽쟘(실측)'!O15+1.2</f>
        <v>11.2</v>
      </c>
      <c r="U15" s="50">
        <f>'쪽쟘(실측)'!P15</f>
        <v>16</v>
      </c>
      <c r="V15" s="50">
        <f>'쪽쟘(실측)'!Q15</f>
        <v>25</v>
      </c>
      <c r="W15" s="50" t="e">
        <f>'쪽쟘(실측)'!R15-늘치차감</f>
        <v>#NAME?</v>
      </c>
      <c r="X15" s="50" t="e">
        <f>'쪽쟘(실측)'!S15-늘치차감</f>
        <v>#NAME?</v>
      </c>
      <c r="Z15">
        <f>쪽쟘제작!AC15</f>
        <v>933</v>
      </c>
      <c r="AA15">
        <f>쪽쟘제작!AD15</f>
        <v>106.2</v>
      </c>
      <c r="AB15">
        <f>쪽쟘제작!AE15</f>
        <v>124.00000000000001</v>
      </c>
      <c r="AC15">
        <f>쪽쟘제작!AF15</f>
        <v>2098</v>
      </c>
      <c r="AD15">
        <f>쪽쟘제작!AG15</f>
        <v>124.00000000000001</v>
      </c>
      <c r="AE15">
        <f>쪽쟘제작!AH15</f>
        <v>2098</v>
      </c>
    </row>
    <row r="16" spans="1:31" ht="18.75" customHeight="1" x14ac:dyDescent="0.3">
      <c r="A16" s="50" t="str">
        <f>'쪽쟘(실측)'!A16</f>
        <v>105   / 2</v>
      </c>
      <c r="B16" s="50" t="str">
        <f>'쪽쟘(실측)'!B16&amp;"F"</f>
        <v>3F</v>
      </c>
      <c r="C16" s="50" t="str">
        <f t="shared" si="0"/>
        <v>931*107.2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>IF(OR(쪽쟘제작!K16&lt;&gt;쪽쟘제작!L16,쪽쟘제작!O16&lt;&gt;쪽쟘제작!P16),"",AC16&amp;"*"&amp;AB16)</f>
        <v>2098*124</v>
      </c>
      <c r="H16" s="68" t="str">
        <f>IF(OR(쪽쟘제작!N16&lt;&gt;쪽쟘제작!M16,쪽쟘제작!Q16&lt;&gt;쪽쟘제작!R16),"",AE16&amp;"*"&amp;AD16)</f>
        <v>2098*123</v>
      </c>
      <c r="I16" s="70">
        <f>IF('쪽쟘(실측)'!F16&gt;0,'쪽쟘(실측)'!F16+0.5,0)</f>
        <v>21.5</v>
      </c>
      <c r="J16" s="50">
        <f>IF('쪽쟘(실측)'!H16&gt;0,'쪽쟘(실측)'!H16+0.5,0)</f>
        <v>20.5</v>
      </c>
      <c r="K16" s="50">
        <f>IF('쪽쟘(실측)'!F16&gt;0,'쪽쟘(실측)'!F16+1.5,0)</f>
        <v>22.5</v>
      </c>
      <c r="L16" s="50">
        <f>IF('쪽쟘(실측)'!G16&gt;0,'쪽쟘(실측)'!G16+1.5,0)</f>
        <v>22.5</v>
      </c>
      <c r="M16" s="50">
        <f>IF('쪽쟘(실측)'!H16&gt;0,'쪽쟘(실측)'!H16+1.5,0)</f>
        <v>21.5</v>
      </c>
      <c r="N16" s="50">
        <f>IF('쪽쟘(실측)'!I16&gt;0,'쪽쟘(실측)'!I16+1.5,0)</f>
        <v>21.5</v>
      </c>
      <c r="O16" s="50" t="e">
        <f>'쪽쟘(실측)'!J16-기둥차감</f>
        <v>#NAME?</v>
      </c>
      <c r="P16" s="50" t="e">
        <f>'쪽쟘(실측)'!K16-기둥차감</f>
        <v>#NAME?</v>
      </c>
      <c r="Q16" s="50" t="e">
        <f>'쪽쟘(실측)'!L16-기둥차감</f>
        <v>#NAME?</v>
      </c>
      <c r="R16" s="50" t="e">
        <f>'쪽쟘(실측)'!M16-기둥차감</f>
        <v>#NAME?</v>
      </c>
      <c r="S16" s="50">
        <f>'쪽쟘(실측)'!N16+1.2</f>
        <v>12.2</v>
      </c>
      <c r="T16" s="50">
        <f>'쪽쟘(실측)'!O16+1.2</f>
        <v>12.2</v>
      </c>
      <c r="U16" s="50">
        <f>'쪽쟘(실측)'!P16</f>
        <v>16</v>
      </c>
      <c r="V16" s="50">
        <f>'쪽쟘(실측)'!Q16</f>
        <v>25</v>
      </c>
      <c r="W16" s="50" t="e">
        <f>'쪽쟘(실측)'!R16-늘치차감</f>
        <v>#NAME?</v>
      </c>
      <c r="X16" s="50" t="e">
        <f>'쪽쟘(실측)'!S16-늘치차감</f>
        <v>#NAME?</v>
      </c>
      <c r="Z16">
        <f>쪽쟘제작!AC16</f>
        <v>931</v>
      </c>
      <c r="AA16">
        <f>쪽쟘제작!AD16</f>
        <v>107.2</v>
      </c>
      <c r="AB16">
        <f>쪽쟘제작!AE16</f>
        <v>124.00000000000001</v>
      </c>
      <c r="AC16">
        <f>쪽쟘제작!AF16</f>
        <v>2098</v>
      </c>
      <c r="AD16">
        <f>쪽쟘제작!AG16</f>
        <v>123</v>
      </c>
      <c r="AE16">
        <f>쪽쟘제작!AH16</f>
        <v>2098</v>
      </c>
    </row>
    <row r="17" spans="1:31" ht="18.75" customHeight="1" thickBot="1" x14ac:dyDescent="0.35">
      <c r="A17" s="379" t="str">
        <f>'쪽쟘(실측)'!A17</f>
        <v>105   / 2</v>
      </c>
      <c r="B17" s="379" t="str">
        <f>'쪽쟘(실측)'!B17&amp;"F"</f>
        <v>2F</v>
      </c>
      <c r="C17" s="379" t="str">
        <f t="shared" si="0"/>
        <v>933*111.2</v>
      </c>
      <c r="D17" s="379" t="e">
        <f>'쪽쟘(실측)'!C17-OP차감</f>
        <v>#NAME?</v>
      </c>
      <c r="E17" s="379" t="e">
        <f>'쪽쟘(실측)'!D17+쪽쟘J늘림+MAX(W17:X17)</f>
        <v>#VALUE!</v>
      </c>
      <c r="F17" s="379" t="e">
        <f>'쪽쟘(실측)'!E17+쪽쟘J늘림+MAX(W17:X17)</f>
        <v>#VALUE!</v>
      </c>
      <c r="G17" s="380" t="str">
        <f>IF(OR(쪽쟘제작!K17&lt;&gt;쪽쟘제작!L17,쪽쟘제작!O17&lt;&gt;쪽쟘제작!P17),"",AC17&amp;"*"&amp;AB17)</f>
        <v>2092*124</v>
      </c>
      <c r="H17" s="381" t="str">
        <f>IF(OR(쪽쟘제작!N17&lt;&gt;쪽쟘제작!M17,쪽쟘제작!Q17&lt;&gt;쪽쟘제작!R17),"",AE17&amp;"*"&amp;AD17)</f>
        <v>2098*124</v>
      </c>
      <c r="I17" s="70">
        <f>IF('쪽쟘(실측)'!F17&gt;0,'쪽쟘(실측)'!F17+0.5,0)</f>
        <v>21.5</v>
      </c>
      <c r="J17" s="50">
        <f>IF('쪽쟘(실측)'!H17&gt;0,'쪽쟘(실측)'!H17+0.5,0)</f>
        <v>21.5</v>
      </c>
      <c r="K17" s="50">
        <f>IF('쪽쟘(실측)'!F17&gt;0,'쪽쟘(실측)'!F17+1.5,0)</f>
        <v>22.5</v>
      </c>
      <c r="L17" s="50">
        <f>IF('쪽쟘(실측)'!G17&gt;0,'쪽쟘(실측)'!G17+1.5,0)</f>
        <v>22.5</v>
      </c>
      <c r="M17" s="50">
        <f>IF('쪽쟘(실측)'!H17&gt;0,'쪽쟘(실측)'!H17+1.5,0)</f>
        <v>22.5</v>
      </c>
      <c r="N17" s="50">
        <f>IF('쪽쟘(실측)'!I17&gt;0,'쪽쟘(실측)'!I17+1.5,0)</f>
        <v>22.5</v>
      </c>
      <c r="O17" s="50" t="e">
        <f>'쪽쟘(실측)'!J17-기둥차감</f>
        <v>#NAME?</v>
      </c>
      <c r="P17" s="50" t="e">
        <f>'쪽쟘(실측)'!K17-기둥차감</f>
        <v>#NAME?</v>
      </c>
      <c r="Q17" s="50" t="e">
        <f>'쪽쟘(실측)'!L17-기둥차감</f>
        <v>#NAME?</v>
      </c>
      <c r="R17" s="50" t="e">
        <f>'쪽쟘(실측)'!M17-기둥차감</f>
        <v>#NAME?</v>
      </c>
      <c r="S17" s="50">
        <f>'쪽쟘(실측)'!N17+1.2</f>
        <v>16.2</v>
      </c>
      <c r="T17" s="50">
        <f>'쪽쟘(실측)'!O17+1.2</f>
        <v>16.2</v>
      </c>
      <c r="U17" s="50">
        <f>'쪽쟘(실측)'!P17</f>
        <v>16</v>
      </c>
      <c r="V17" s="50">
        <f>'쪽쟘(실측)'!Q17</f>
        <v>25</v>
      </c>
      <c r="W17" s="50" t="e">
        <f>'쪽쟘(실측)'!R17-늘치차감</f>
        <v>#NAME?</v>
      </c>
      <c r="X17" s="50" t="e">
        <f>'쪽쟘(실측)'!S17-늘치차감</f>
        <v>#NAME?</v>
      </c>
      <c r="Z17">
        <f>쪽쟘제작!AC17</f>
        <v>933</v>
      </c>
      <c r="AA17">
        <f>쪽쟘제작!AD17</f>
        <v>111.2</v>
      </c>
      <c r="AB17">
        <f>쪽쟘제작!AE17</f>
        <v>124.00000000000001</v>
      </c>
      <c r="AC17">
        <f>쪽쟘제작!AF17</f>
        <v>2092</v>
      </c>
      <c r="AD17">
        <f>쪽쟘제작!AG17</f>
        <v>124.00000000000001</v>
      </c>
      <c r="AE17">
        <f>쪽쟘제작!AH17</f>
        <v>2098</v>
      </c>
    </row>
    <row r="18" spans="1:31" ht="18.75" customHeight="1" x14ac:dyDescent="0.3">
      <c r="A18" s="376" t="str">
        <f>'쪽쟘(실측)'!A18</f>
        <v>106   / 2</v>
      </c>
      <c r="B18" s="376" t="str">
        <f>'쪽쟘(실측)'!B18&amp;"F"</f>
        <v>14F</v>
      </c>
      <c r="C18" s="376" t="str">
        <f t="shared" si="0"/>
        <v>938*119.2</v>
      </c>
      <c r="D18" s="376" t="e">
        <f>'쪽쟘(실측)'!C18-OP차감</f>
        <v>#NAME?</v>
      </c>
      <c r="E18" s="376" t="e">
        <f>'쪽쟘(실측)'!D18+쪽쟘J늘림+MAX(W18:X18)</f>
        <v>#VALUE!</v>
      </c>
      <c r="F18" s="376" t="e">
        <f>'쪽쟘(실측)'!E18+쪽쟘J늘림+MAX(W18:X18)</f>
        <v>#VALUE!</v>
      </c>
      <c r="G18" s="377" t="str">
        <f>IF(OR(쪽쟘제작!K18&lt;&gt;쪽쟘제작!L18,쪽쟘제작!O18&lt;&gt;쪽쟘제작!P18),"",AC18&amp;"*"&amp;AB18)</f>
        <v>2098*126</v>
      </c>
      <c r="H18" s="378" t="str">
        <f>IF(OR(쪽쟘제작!N18&lt;&gt;쪽쟘제작!M18,쪽쟘제작!Q18&lt;&gt;쪽쟘제작!R18),"",AE18&amp;"*"&amp;AD18)</f>
        <v>2098*126</v>
      </c>
      <c r="I18" s="70">
        <f>IF('쪽쟘(실측)'!F18&gt;0,'쪽쟘(실측)'!F18+0.5,0)</f>
        <v>23.5</v>
      </c>
      <c r="J18" s="50">
        <f>IF('쪽쟘(실측)'!H18&gt;0,'쪽쟘(실측)'!H18+0.5,0)</f>
        <v>23.5</v>
      </c>
      <c r="K18" s="50">
        <f>IF('쪽쟘(실측)'!F18&gt;0,'쪽쟘(실측)'!F18+1.5,0)</f>
        <v>24.5</v>
      </c>
      <c r="L18" s="50">
        <f>IF('쪽쟘(실측)'!G18&gt;0,'쪽쟘(실측)'!G18+1.5,0)</f>
        <v>24.5</v>
      </c>
      <c r="M18" s="50">
        <f>IF('쪽쟘(실측)'!H18&gt;0,'쪽쟘(실측)'!H18+1.5,0)</f>
        <v>24.5</v>
      </c>
      <c r="N18" s="50">
        <f>IF('쪽쟘(실측)'!I18&gt;0,'쪽쟘(실측)'!I18+1.5,0)</f>
        <v>24.5</v>
      </c>
      <c r="O18" s="50" t="e">
        <f>'쪽쟘(실측)'!J18-기둥차감</f>
        <v>#NAME?</v>
      </c>
      <c r="P18" s="50" t="e">
        <f>'쪽쟘(실측)'!K18-기둥차감</f>
        <v>#NAME?</v>
      </c>
      <c r="Q18" s="50" t="e">
        <f>'쪽쟘(실측)'!L18-기둥차감</f>
        <v>#NAME?</v>
      </c>
      <c r="R18" s="50" t="e">
        <f>'쪽쟘(실측)'!M18-기둥차감</f>
        <v>#NAME?</v>
      </c>
      <c r="S18" s="50">
        <f>'쪽쟘(실측)'!N18+1.2</f>
        <v>24.2</v>
      </c>
      <c r="T18" s="50">
        <f>'쪽쟘(실측)'!O18+1.2</f>
        <v>24.2</v>
      </c>
      <c r="U18" s="50">
        <f>'쪽쟘(실측)'!P18</f>
        <v>16</v>
      </c>
      <c r="V18" s="50">
        <f>'쪽쟘(실측)'!Q18</f>
        <v>25</v>
      </c>
      <c r="W18" s="50" t="e">
        <f>'쪽쟘(실측)'!R18-늘치차감</f>
        <v>#NAME?</v>
      </c>
      <c r="X18" s="50" t="e">
        <f>'쪽쟘(실측)'!S18-늘치차감</f>
        <v>#NAME?</v>
      </c>
      <c r="Z18">
        <f>쪽쟘제작!AC18</f>
        <v>938</v>
      </c>
      <c r="AA18">
        <f>쪽쟘제작!AD18</f>
        <v>119.2</v>
      </c>
      <c r="AB18">
        <f>쪽쟘제작!AE18</f>
        <v>126.00000000000001</v>
      </c>
      <c r="AC18">
        <f>쪽쟘제작!AF18</f>
        <v>2098</v>
      </c>
      <c r="AD18">
        <f>쪽쟘제작!AG18</f>
        <v>126.00000000000001</v>
      </c>
      <c r="AE18">
        <f>쪽쟘제작!AH18</f>
        <v>2098</v>
      </c>
    </row>
    <row r="19" spans="1:31" ht="18.75" customHeight="1" x14ac:dyDescent="0.3">
      <c r="A19" s="50" t="str">
        <f>'쪽쟘(실측)'!A19</f>
        <v>106   / 2</v>
      </c>
      <c r="B19" s="50" t="str">
        <f>'쪽쟘(실측)'!B19&amp;"F"</f>
        <v>13F</v>
      </c>
      <c r="C19" s="50" t="str">
        <f t="shared" si="0"/>
        <v>936*115.2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>IF(OR(쪽쟘제작!K19&lt;&gt;쪽쟘제작!L19,쪽쟘제작!O19&lt;&gt;쪽쟘제작!P19),"",AC19&amp;"*"&amp;AB19)</f>
        <v>2098*124</v>
      </c>
      <c r="H19" s="68" t="str">
        <f>IF(OR(쪽쟘제작!N19&lt;&gt;쪽쟘제작!M19,쪽쟘제작!Q19&lt;&gt;쪽쟘제작!R19),"",AE19&amp;"*"&amp;AD19)</f>
        <v>2092*126</v>
      </c>
      <c r="I19" s="70">
        <f>IF('쪽쟘(실측)'!F19&gt;0,'쪽쟘(실측)'!F19+0.5,0)</f>
        <v>21.5</v>
      </c>
      <c r="J19" s="50">
        <f>IF('쪽쟘(실측)'!H19&gt;0,'쪽쟘(실측)'!H19+0.5,0)</f>
        <v>23.5</v>
      </c>
      <c r="K19" s="50">
        <f>IF('쪽쟘(실측)'!F19&gt;0,'쪽쟘(실측)'!F19+1.5,0)</f>
        <v>22.5</v>
      </c>
      <c r="L19" s="50">
        <f>IF('쪽쟘(실측)'!G19&gt;0,'쪽쟘(실측)'!G19+1.5,0)</f>
        <v>22.5</v>
      </c>
      <c r="M19" s="50">
        <f>IF('쪽쟘(실측)'!H19&gt;0,'쪽쟘(실측)'!H19+1.5,0)</f>
        <v>24.5</v>
      </c>
      <c r="N19" s="50">
        <f>IF('쪽쟘(실측)'!I19&gt;0,'쪽쟘(실측)'!I19+1.5,0)</f>
        <v>24.5</v>
      </c>
      <c r="O19" s="50" t="e">
        <f>'쪽쟘(실측)'!J19-기둥차감</f>
        <v>#NAME?</v>
      </c>
      <c r="P19" s="50" t="e">
        <f>'쪽쟘(실측)'!K19-기둥차감</f>
        <v>#NAME?</v>
      </c>
      <c r="Q19" s="50" t="e">
        <f>'쪽쟘(실측)'!L19-기둥차감</f>
        <v>#NAME?</v>
      </c>
      <c r="R19" s="50" t="e">
        <f>'쪽쟘(실측)'!M19-기둥차감</f>
        <v>#NAME?</v>
      </c>
      <c r="S19" s="50">
        <f>'쪽쟘(실측)'!N19+1.2</f>
        <v>20.2</v>
      </c>
      <c r="T19" s="50">
        <f>'쪽쟘(실측)'!O19+1.2</f>
        <v>20.2</v>
      </c>
      <c r="U19" s="50">
        <f>'쪽쟘(실측)'!P19</f>
        <v>16</v>
      </c>
      <c r="V19" s="50">
        <f>'쪽쟘(실측)'!Q19</f>
        <v>25</v>
      </c>
      <c r="W19" s="50" t="e">
        <f>'쪽쟘(실측)'!R19-늘치차감</f>
        <v>#NAME?</v>
      </c>
      <c r="X19" s="50" t="e">
        <f>'쪽쟘(실측)'!S19-늘치차감</f>
        <v>#NAME?</v>
      </c>
      <c r="Z19">
        <f>쪽쟘제작!AC19</f>
        <v>936</v>
      </c>
      <c r="AA19">
        <f>쪽쟘제작!AD19</f>
        <v>115.2</v>
      </c>
      <c r="AB19">
        <f>쪽쟘제작!AE19</f>
        <v>124.00000000000001</v>
      </c>
      <c r="AC19">
        <f>쪽쟘제작!AF19</f>
        <v>2098</v>
      </c>
      <c r="AD19">
        <f>쪽쟘제작!AG19</f>
        <v>126.00000000000001</v>
      </c>
      <c r="AE19">
        <f>쪽쟘제작!AH19</f>
        <v>2092</v>
      </c>
    </row>
    <row r="20" spans="1:31" ht="18.75" customHeight="1" x14ac:dyDescent="0.3">
      <c r="A20" s="50" t="str">
        <f>'쪽쟘(실측)'!A20</f>
        <v>106   / 2</v>
      </c>
      <c r="B20" s="50" t="str">
        <f>'쪽쟘(실측)'!B20&amp;"F"</f>
        <v>12F</v>
      </c>
      <c r="C20" s="50" t="str">
        <f t="shared" si="0"/>
        <v>938*127.2</v>
      </c>
      <c r="D20" s="50" t="e">
        <f>'쪽쟘(실측)'!C20-OP차감</f>
        <v>#NAME?</v>
      </c>
      <c r="E20" s="50" t="e">
        <f>'쪽쟘(실측)'!D20+쪽쟘J늘림+MAX(W20:X20)</f>
        <v>#VALUE!</v>
      </c>
      <c r="F20" s="50" t="e">
        <f>'쪽쟘(실측)'!E20+쪽쟘J늘림+MAX(W20:X20)</f>
        <v>#VALUE!</v>
      </c>
      <c r="G20" s="67" t="str">
        <f>IF(OR(쪽쟘제작!K20&lt;&gt;쪽쟘제작!L20,쪽쟘제작!O20&lt;&gt;쪽쟘제작!P20),"",AC20&amp;"*"&amp;AB20)</f>
        <v>2092*127</v>
      </c>
      <c r="H20" s="68" t="str">
        <f>IF(OR(쪽쟘제작!N20&lt;&gt;쪽쟘제작!M20,쪽쟘제작!Q20&lt;&gt;쪽쟘제작!R20),"",AE20&amp;"*"&amp;AD20)</f>
        <v>2092*125</v>
      </c>
      <c r="I20" s="70">
        <f>IF('쪽쟘(실측)'!F20&gt;0,'쪽쟘(실측)'!F20+0.5,0)</f>
        <v>24.5</v>
      </c>
      <c r="J20" s="50">
        <f>IF('쪽쟘(실측)'!H20&gt;0,'쪽쟘(실측)'!H20+0.5,0)</f>
        <v>22.5</v>
      </c>
      <c r="K20" s="50">
        <f>IF('쪽쟘(실측)'!F20&gt;0,'쪽쟘(실측)'!F20+1.5,0)</f>
        <v>25.5</v>
      </c>
      <c r="L20" s="50">
        <f>IF('쪽쟘(실측)'!G20&gt;0,'쪽쟘(실측)'!G20+1.5,0)</f>
        <v>25.5</v>
      </c>
      <c r="M20" s="50">
        <f>IF('쪽쟘(실측)'!H20&gt;0,'쪽쟘(실측)'!H20+1.5,0)</f>
        <v>23.5</v>
      </c>
      <c r="N20" s="50">
        <f>IF('쪽쟘(실측)'!I20&gt;0,'쪽쟘(실측)'!I20+1.5,0)</f>
        <v>23.5</v>
      </c>
      <c r="O20" s="50" t="e">
        <f>'쪽쟘(실측)'!J20-기둥차감</f>
        <v>#NAME?</v>
      </c>
      <c r="P20" s="50" t="e">
        <f>'쪽쟘(실측)'!K20-기둥차감</f>
        <v>#NAME?</v>
      </c>
      <c r="Q20" s="50" t="e">
        <f>'쪽쟘(실측)'!L20-기둥차감</f>
        <v>#NAME?</v>
      </c>
      <c r="R20" s="50" t="e">
        <f>'쪽쟘(실측)'!M20-기둥차감</f>
        <v>#NAME?</v>
      </c>
      <c r="S20" s="50">
        <f>'쪽쟘(실측)'!N20+1.2</f>
        <v>32.200000000000003</v>
      </c>
      <c r="T20" s="50">
        <f>'쪽쟘(실측)'!O20+1.2</f>
        <v>32.200000000000003</v>
      </c>
      <c r="U20" s="50">
        <f>'쪽쟘(실측)'!P20</f>
        <v>16</v>
      </c>
      <c r="V20" s="50">
        <f>'쪽쟘(실측)'!Q20</f>
        <v>25</v>
      </c>
      <c r="W20" s="50" t="e">
        <f>'쪽쟘(실측)'!R20-늘치차감</f>
        <v>#NAME?</v>
      </c>
      <c r="X20" s="50" t="e">
        <f>'쪽쟘(실측)'!S20-늘치차감</f>
        <v>#NAME?</v>
      </c>
      <c r="Z20">
        <f>쪽쟘제작!AC20</f>
        <v>938</v>
      </c>
      <c r="AA20">
        <f>쪽쟘제작!AD20</f>
        <v>127.2</v>
      </c>
      <c r="AB20">
        <f>쪽쟘제작!AE20</f>
        <v>127.00000000000001</v>
      </c>
      <c r="AC20">
        <f>쪽쟘제작!AF20</f>
        <v>2092</v>
      </c>
      <c r="AD20">
        <f>쪽쟘제작!AG20</f>
        <v>125.00000000000001</v>
      </c>
      <c r="AE20">
        <f>쪽쟘제작!AH20</f>
        <v>2092</v>
      </c>
    </row>
    <row r="21" spans="1:31" ht="18.75" customHeight="1" x14ac:dyDescent="0.3">
      <c r="A21" s="50" t="str">
        <f>'쪽쟘(실측)'!A21</f>
        <v>106   / 2</v>
      </c>
      <c r="B21" s="50" t="str">
        <f>'쪽쟘(실측)'!B21&amp;"F"</f>
        <v>11F</v>
      </c>
      <c r="C21" s="50" t="str">
        <f t="shared" si="0"/>
        <v>932*117.2</v>
      </c>
      <c r="D21" s="50" t="e">
        <f>'쪽쟘(실측)'!C21-OP차감</f>
        <v>#NAME?</v>
      </c>
      <c r="E21" s="50" t="e">
        <f>'쪽쟘(실측)'!D21+쪽쟘J늘림+MAX(W21:X21)</f>
        <v>#VALUE!</v>
      </c>
      <c r="F21" s="50" t="e">
        <f>'쪽쟘(실측)'!E21+쪽쟘J늘림+MAX(W21:X21)</f>
        <v>#VALUE!</v>
      </c>
      <c r="G21" s="67" t="str">
        <f>IF(OR(쪽쟘제작!K21&lt;&gt;쪽쟘제작!L21,쪽쟘제작!O21&lt;&gt;쪽쟘제작!P21),"",AC21&amp;"*"&amp;AB21)</f>
        <v>2098*123</v>
      </c>
      <c r="H21" s="68" t="str">
        <f>IF(OR(쪽쟘제작!N21&lt;&gt;쪽쟘제작!M21,쪽쟘제작!Q21&lt;&gt;쪽쟘제작!R21),"",AE21&amp;"*"&amp;AD21)</f>
        <v>2098*124</v>
      </c>
      <c r="I21" s="70">
        <f>IF('쪽쟘(실측)'!F21&gt;0,'쪽쟘(실측)'!F21+0.5,0)</f>
        <v>20.5</v>
      </c>
      <c r="J21" s="50">
        <f>IF('쪽쟘(실측)'!H21&gt;0,'쪽쟘(실측)'!H21+0.5,0)</f>
        <v>21.5</v>
      </c>
      <c r="K21" s="50">
        <f>IF('쪽쟘(실측)'!F21&gt;0,'쪽쟘(실측)'!F21+1.5,0)</f>
        <v>21.5</v>
      </c>
      <c r="L21" s="50">
        <f>IF('쪽쟘(실측)'!G21&gt;0,'쪽쟘(실측)'!G21+1.5,0)</f>
        <v>21.5</v>
      </c>
      <c r="M21" s="50">
        <f>IF('쪽쟘(실측)'!H21&gt;0,'쪽쟘(실측)'!H21+1.5,0)</f>
        <v>22.5</v>
      </c>
      <c r="N21" s="50">
        <f>IF('쪽쟘(실측)'!I21&gt;0,'쪽쟘(실측)'!I21+1.5,0)</f>
        <v>22.5</v>
      </c>
      <c r="O21" s="50" t="e">
        <f>'쪽쟘(실측)'!J21-기둥차감</f>
        <v>#NAME?</v>
      </c>
      <c r="P21" s="50" t="e">
        <f>'쪽쟘(실측)'!K21-기둥차감</f>
        <v>#NAME?</v>
      </c>
      <c r="Q21" s="50" t="e">
        <f>'쪽쟘(실측)'!L21-기둥차감</f>
        <v>#NAME?</v>
      </c>
      <c r="R21" s="50" t="e">
        <f>'쪽쟘(실측)'!M21-기둥차감</f>
        <v>#NAME?</v>
      </c>
      <c r="S21" s="50">
        <f>'쪽쟘(실측)'!N21+1.2</f>
        <v>22.2</v>
      </c>
      <c r="T21" s="50">
        <f>'쪽쟘(실측)'!O21+1.2</f>
        <v>22.2</v>
      </c>
      <c r="U21" s="50">
        <f>'쪽쟘(실측)'!P21</f>
        <v>16</v>
      </c>
      <c r="V21" s="50">
        <f>'쪽쟘(실측)'!Q21</f>
        <v>25</v>
      </c>
      <c r="W21" s="50" t="e">
        <f>'쪽쟘(실측)'!R21-늘치차감</f>
        <v>#NAME?</v>
      </c>
      <c r="X21" s="50" t="e">
        <f>'쪽쟘(실측)'!S21-늘치차감</f>
        <v>#NAME?</v>
      </c>
      <c r="Z21">
        <f>쪽쟘제작!AC21</f>
        <v>932</v>
      </c>
      <c r="AA21">
        <f>쪽쟘제작!AD21</f>
        <v>117.2</v>
      </c>
      <c r="AB21">
        <f>쪽쟘제작!AE21</f>
        <v>123</v>
      </c>
      <c r="AC21">
        <f>쪽쟘제작!AF21</f>
        <v>2098</v>
      </c>
      <c r="AD21">
        <f>쪽쟘제작!AG21</f>
        <v>124.00000000000001</v>
      </c>
      <c r="AE21">
        <f>쪽쟘제작!AH21</f>
        <v>2098</v>
      </c>
    </row>
    <row r="22" spans="1:31" ht="18.75" customHeight="1" x14ac:dyDescent="0.3">
      <c r="A22" s="50" t="str">
        <f>'쪽쟘(실측)'!A22</f>
        <v>106   / 2</v>
      </c>
      <c r="B22" s="50" t="str">
        <f>'쪽쟘(실측)'!B22&amp;"F"</f>
        <v>10F</v>
      </c>
      <c r="C22" s="50" t="str">
        <f t="shared" si="0"/>
        <v>928*108.2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>IF(OR(쪽쟘제작!K22&lt;&gt;쪽쟘제작!L22,쪽쟘제작!O22&lt;&gt;쪽쟘제작!P22),"",AC22&amp;"*"&amp;AB22)</f>
        <v>2098*122</v>
      </c>
      <c r="H22" s="68" t="str">
        <f>IF(OR(쪽쟘제작!N22&lt;&gt;쪽쟘제작!M22,쪽쟘제작!Q22&lt;&gt;쪽쟘제작!R22),"",AE22&amp;"*"&amp;AD22)</f>
        <v>2098*122</v>
      </c>
      <c r="I22" s="70">
        <f>IF('쪽쟘(실측)'!F22&gt;0,'쪽쟘(실측)'!F22+0.5,0)</f>
        <v>19.5</v>
      </c>
      <c r="J22" s="50">
        <f>IF('쪽쟘(실측)'!H22&gt;0,'쪽쟘(실측)'!H22+0.5,0)</f>
        <v>19.5</v>
      </c>
      <c r="K22" s="50">
        <f>IF('쪽쟘(실측)'!F22&gt;0,'쪽쟘(실측)'!F22+1.5,0)</f>
        <v>20.5</v>
      </c>
      <c r="L22" s="50">
        <f>IF('쪽쟘(실측)'!G22&gt;0,'쪽쟘(실측)'!G22+1.5,0)</f>
        <v>20.5</v>
      </c>
      <c r="M22" s="50">
        <f>IF('쪽쟘(실측)'!H22&gt;0,'쪽쟘(실측)'!H22+1.5,0)</f>
        <v>20.5</v>
      </c>
      <c r="N22" s="50">
        <f>IF('쪽쟘(실측)'!I22&gt;0,'쪽쟘(실측)'!I22+1.5,0)</f>
        <v>20.5</v>
      </c>
      <c r="O22" s="50" t="e">
        <f>'쪽쟘(실측)'!J22-기둥차감</f>
        <v>#NAME?</v>
      </c>
      <c r="P22" s="50" t="e">
        <f>'쪽쟘(실측)'!K22-기둥차감</f>
        <v>#NAME?</v>
      </c>
      <c r="Q22" s="50" t="e">
        <f>'쪽쟘(실측)'!L22-기둥차감</f>
        <v>#NAME?</v>
      </c>
      <c r="R22" s="50" t="e">
        <f>'쪽쟘(실측)'!M22-기둥차감</f>
        <v>#NAME?</v>
      </c>
      <c r="S22" s="50">
        <f>'쪽쟘(실측)'!N22+1.2</f>
        <v>13.2</v>
      </c>
      <c r="T22" s="50">
        <f>'쪽쟘(실측)'!O22+1.2</f>
        <v>13.2</v>
      </c>
      <c r="U22" s="50">
        <f>'쪽쟘(실측)'!P22</f>
        <v>16</v>
      </c>
      <c r="V22" s="50">
        <f>'쪽쟘(실측)'!Q22</f>
        <v>25</v>
      </c>
      <c r="W22" s="50" t="e">
        <f>'쪽쟘(실측)'!R22-늘치차감</f>
        <v>#NAME?</v>
      </c>
      <c r="X22" s="50" t="e">
        <f>'쪽쟘(실측)'!S22-늘치차감</f>
        <v>#NAME?</v>
      </c>
      <c r="Z22">
        <f>쪽쟘제작!AC22</f>
        <v>928</v>
      </c>
      <c r="AA22">
        <f>쪽쟘제작!AD22</f>
        <v>108.2</v>
      </c>
      <c r="AB22">
        <f>쪽쟘제작!AE22</f>
        <v>122</v>
      </c>
      <c r="AC22">
        <f>쪽쟘제작!AF22</f>
        <v>2098</v>
      </c>
      <c r="AD22">
        <f>쪽쟘제작!AG22</f>
        <v>122</v>
      </c>
      <c r="AE22">
        <f>쪽쟘제작!AH22</f>
        <v>2098</v>
      </c>
    </row>
    <row r="23" spans="1:31" ht="18.75" customHeight="1" x14ac:dyDescent="0.3">
      <c r="A23" s="50" t="str">
        <f>'쪽쟘(실측)'!A23</f>
        <v>106   / 2</v>
      </c>
      <c r="B23" s="50" t="str">
        <f>'쪽쟘(실측)'!B23&amp;"F"</f>
        <v>9F</v>
      </c>
      <c r="C23" s="50" t="str">
        <f t="shared" si="0"/>
        <v>931*118.2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>IF(OR(쪽쟘제작!K23&lt;&gt;쪽쟘제작!L23,쪽쟘제작!O23&lt;&gt;쪽쟘제작!P23),"",AC23&amp;"*"&amp;AB23)</f>
        <v>2092*123</v>
      </c>
      <c r="H23" s="68" t="str">
        <f>IF(OR(쪽쟘제작!N23&lt;&gt;쪽쟘제작!M23,쪽쟘제작!Q23&lt;&gt;쪽쟘제작!R23),"",AE23&amp;"*"&amp;AD23)</f>
        <v>2092*123</v>
      </c>
      <c r="I23" s="70">
        <f>IF('쪽쟘(실측)'!F23&gt;0,'쪽쟘(실측)'!F23+0.5,0)</f>
        <v>20.5</v>
      </c>
      <c r="J23" s="50">
        <f>IF('쪽쟘(실측)'!H23&gt;0,'쪽쟘(실측)'!H23+0.5,0)</f>
        <v>20.5</v>
      </c>
      <c r="K23" s="50">
        <f>IF('쪽쟘(실측)'!F23&gt;0,'쪽쟘(실측)'!F23+1.5,0)</f>
        <v>21.5</v>
      </c>
      <c r="L23" s="50">
        <f>IF('쪽쟘(실측)'!G23&gt;0,'쪽쟘(실측)'!G23+1.5,0)</f>
        <v>21.5</v>
      </c>
      <c r="M23" s="50">
        <f>IF('쪽쟘(실측)'!H23&gt;0,'쪽쟘(실측)'!H23+1.5,0)</f>
        <v>21.5</v>
      </c>
      <c r="N23" s="50">
        <f>IF('쪽쟘(실측)'!I23&gt;0,'쪽쟘(실측)'!I23+1.5,0)</f>
        <v>21.5</v>
      </c>
      <c r="O23" s="50" t="e">
        <f>'쪽쟘(실측)'!J23-기둥차감</f>
        <v>#NAME?</v>
      </c>
      <c r="P23" s="50" t="e">
        <f>'쪽쟘(실측)'!K23-기둥차감</f>
        <v>#NAME?</v>
      </c>
      <c r="Q23" s="50" t="e">
        <f>'쪽쟘(실측)'!L23-기둥차감</f>
        <v>#NAME?</v>
      </c>
      <c r="R23" s="50" t="e">
        <f>'쪽쟘(실측)'!M23-기둥차감</f>
        <v>#NAME?</v>
      </c>
      <c r="S23" s="50">
        <f>'쪽쟘(실측)'!N23+1.2</f>
        <v>23.2</v>
      </c>
      <c r="T23" s="50">
        <f>'쪽쟘(실측)'!O23+1.2</f>
        <v>23.2</v>
      </c>
      <c r="U23" s="50">
        <f>'쪽쟘(실측)'!P23</f>
        <v>16</v>
      </c>
      <c r="V23" s="50">
        <f>'쪽쟘(실측)'!Q23</f>
        <v>25</v>
      </c>
      <c r="W23" s="50" t="e">
        <f>'쪽쟘(실측)'!R23-늘치차감</f>
        <v>#NAME?</v>
      </c>
      <c r="X23" s="50" t="e">
        <f>'쪽쟘(실측)'!S23-늘치차감</f>
        <v>#NAME?</v>
      </c>
      <c r="Z23">
        <f>쪽쟘제작!AC23</f>
        <v>931</v>
      </c>
      <c r="AA23">
        <f>쪽쟘제작!AD23</f>
        <v>118.2</v>
      </c>
      <c r="AB23">
        <f>쪽쟘제작!AE23</f>
        <v>123</v>
      </c>
      <c r="AC23">
        <f>쪽쟘제작!AF23</f>
        <v>2092</v>
      </c>
      <c r="AD23">
        <f>쪽쟘제작!AG23</f>
        <v>123</v>
      </c>
      <c r="AE23">
        <f>쪽쟘제작!AH23</f>
        <v>2092</v>
      </c>
    </row>
    <row r="24" spans="1:31" ht="18.75" customHeight="1" x14ac:dyDescent="0.3">
      <c r="A24" s="50" t="str">
        <f>'쪽쟘(실측)'!A24</f>
        <v>106   / 2</v>
      </c>
      <c r="B24" s="50" t="str">
        <f>'쪽쟘(실측)'!B24&amp;"F"</f>
        <v>8F</v>
      </c>
      <c r="C24" s="50" t="str">
        <f t="shared" si="0"/>
        <v>930*116.2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>IF(OR(쪽쟘제작!K24&lt;&gt;쪽쟘제작!L24,쪽쟘제작!O24&lt;&gt;쪽쟘제작!P24),"",AC24&amp;"*"&amp;AB24)</f>
        <v>2092*123</v>
      </c>
      <c r="H24" s="68" t="str">
        <f>IF(OR(쪽쟘제작!N24&lt;&gt;쪽쟘제작!M24,쪽쟘제작!Q24&lt;&gt;쪽쟘제작!R24),"",AE24&amp;"*"&amp;AD24)</f>
        <v>2092*123</v>
      </c>
      <c r="I24" s="70">
        <f>IF('쪽쟘(실측)'!F24&gt;0,'쪽쟘(실측)'!F24+0.5,0)</f>
        <v>20.5</v>
      </c>
      <c r="J24" s="50">
        <f>IF('쪽쟘(실측)'!H24&gt;0,'쪽쟘(실측)'!H24+0.5,0)</f>
        <v>20.5</v>
      </c>
      <c r="K24" s="50">
        <f>IF('쪽쟘(실측)'!F24&gt;0,'쪽쟘(실측)'!F24+1.5,0)</f>
        <v>21.5</v>
      </c>
      <c r="L24" s="50">
        <f>IF('쪽쟘(실측)'!G24&gt;0,'쪽쟘(실측)'!G24+1.5,0)</f>
        <v>21.5</v>
      </c>
      <c r="M24" s="50">
        <f>IF('쪽쟘(실측)'!H24&gt;0,'쪽쟘(실측)'!H24+1.5,0)</f>
        <v>21.5</v>
      </c>
      <c r="N24" s="50">
        <f>IF('쪽쟘(실측)'!I24&gt;0,'쪽쟘(실측)'!I24+1.5,0)</f>
        <v>21.5</v>
      </c>
      <c r="O24" s="50" t="e">
        <f>'쪽쟘(실측)'!J24-기둥차감</f>
        <v>#NAME?</v>
      </c>
      <c r="P24" s="50" t="e">
        <f>'쪽쟘(실측)'!K24-기둥차감</f>
        <v>#NAME?</v>
      </c>
      <c r="Q24" s="50" t="e">
        <f>'쪽쟘(실측)'!L24-기둥차감</f>
        <v>#NAME?</v>
      </c>
      <c r="R24" s="50" t="e">
        <f>'쪽쟘(실측)'!M24-기둥차감</f>
        <v>#NAME?</v>
      </c>
      <c r="S24" s="50">
        <f>'쪽쟘(실측)'!N24+1.2</f>
        <v>21.2</v>
      </c>
      <c r="T24" s="50">
        <f>'쪽쟘(실측)'!O24+1.2</f>
        <v>21.2</v>
      </c>
      <c r="U24" s="50">
        <f>'쪽쟘(실측)'!P24</f>
        <v>16</v>
      </c>
      <c r="V24" s="50">
        <f>'쪽쟘(실측)'!Q24</f>
        <v>25</v>
      </c>
      <c r="W24" s="50" t="e">
        <f>'쪽쟘(실측)'!R24-늘치차감</f>
        <v>#NAME?</v>
      </c>
      <c r="X24" s="50" t="e">
        <f>'쪽쟘(실측)'!S24-늘치차감</f>
        <v>#NAME?</v>
      </c>
      <c r="Z24">
        <f>쪽쟘제작!AC24</f>
        <v>930</v>
      </c>
      <c r="AA24">
        <f>쪽쟘제작!AD24</f>
        <v>116.2</v>
      </c>
      <c r="AB24">
        <f>쪽쟘제작!AE24</f>
        <v>123</v>
      </c>
      <c r="AC24">
        <f>쪽쟘제작!AF24</f>
        <v>2092</v>
      </c>
      <c r="AD24">
        <f>쪽쟘제작!AG24</f>
        <v>123</v>
      </c>
      <c r="AE24">
        <f>쪽쟘제작!AH24</f>
        <v>2092</v>
      </c>
    </row>
    <row r="25" spans="1:31" ht="18.75" customHeight="1" x14ac:dyDescent="0.3">
      <c r="A25" s="50" t="str">
        <f>'쪽쟘(실측)'!A25</f>
        <v>106   / 2</v>
      </c>
      <c r="B25" s="50" t="str">
        <f>'쪽쟘(실측)'!B25&amp;"F"</f>
        <v>7F</v>
      </c>
      <c r="C25" s="50" t="str">
        <f t="shared" si="0"/>
        <v>923*120.2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>IF(OR(쪽쟘제작!K25&lt;&gt;쪽쟘제작!L25,쪽쟘제작!O25&lt;&gt;쪽쟘제작!P25),"",AC25&amp;"*"&amp;AB25)</f>
        <v>2098*119</v>
      </c>
      <c r="H25" s="68" t="str">
        <f>IF(OR(쪽쟘제작!N25&lt;&gt;쪽쟘제작!M25,쪽쟘제작!Q25&lt;&gt;쪽쟘제작!R25),"",AE25&amp;"*"&amp;AD25)</f>
        <v>2098*119</v>
      </c>
      <c r="I25" s="70">
        <f>IF('쪽쟘(실측)'!F25&gt;0,'쪽쟘(실측)'!F25+0.5,0)</f>
        <v>16.5</v>
      </c>
      <c r="J25" s="50">
        <f>IF('쪽쟘(실측)'!H25&gt;0,'쪽쟘(실측)'!H25+0.5,0)</f>
        <v>16.5</v>
      </c>
      <c r="K25" s="50">
        <f>IF('쪽쟘(실측)'!F25&gt;0,'쪽쟘(실측)'!F25+1.5,0)</f>
        <v>17.5</v>
      </c>
      <c r="L25" s="50">
        <f>IF('쪽쟘(실측)'!G25&gt;0,'쪽쟘(실측)'!G25+1.5,0)</f>
        <v>17.5</v>
      </c>
      <c r="M25" s="50">
        <f>IF('쪽쟘(실측)'!H25&gt;0,'쪽쟘(실측)'!H25+1.5,0)</f>
        <v>17.5</v>
      </c>
      <c r="N25" s="50">
        <f>IF('쪽쟘(실측)'!I25&gt;0,'쪽쟘(실측)'!I25+1.5,0)</f>
        <v>17.5</v>
      </c>
      <c r="O25" s="50" t="e">
        <f>'쪽쟘(실측)'!J25-기둥차감</f>
        <v>#NAME?</v>
      </c>
      <c r="P25" s="50" t="e">
        <f>'쪽쟘(실측)'!K25-기둥차감</f>
        <v>#NAME?</v>
      </c>
      <c r="Q25" s="50" t="e">
        <f>'쪽쟘(실측)'!L25-기둥차감</f>
        <v>#NAME?</v>
      </c>
      <c r="R25" s="50" t="e">
        <f>'쪽쟘(실측)'!M25-기둥차감</f>
        <v>#NAME?</v>
      </c>
      <c r="S25" s="50">
        <f>'쪽쟘(실측)'!N25+1.2</f>
        <v>25.2</v>
      </c>
      <c r="T25" s="50">
        <f>'쪽쟘(실측)'!O25+1.2</f>
        <v>25.2</v>
      </c>
      <c r="U25" s="50">
        <f>'쪽쟘(실측)'!P25</f>
        <v>16</v>
      </c>
      <c r="V25" s="50">
        <f>'쪽쟘(실측)'!Q25</f>
        <v>25</v>
      </c>
      <c r="W25" s="50" t="e">
        <f>'쪽쟘(실측)'!R25-늘치차감</f>
        <v>#NAME?</v>
      </c>
      <c r="X25" s="50" t="e">
        <f>'쪽쟘(실측)'!S25-늘치차감</f>
        <v>#NAME?</v>
      </c>
      <c r="Z25">
        <f>쪽쟘제작!AC25</f>
        <v>923</v>
      </c>
      <c r="AA25">
        <f>쪽쟘제작!AD25</f>
        <v>120.2</v>
      </c>
      <c r="AB25">
        <f>쪽쟘제작!AE25</f>
        <v>119</v>
      </c>
      <c r="AC25">
        <f>쪽쟘제작!AF25</f>
        <v>2098</v>
      </c>
      <c r="AD25">
        <f>쪽쟘제작!AG25</f>
        <v>119</v>
      </c>
      <c r="AE25">
        <f>쪽쟘제작!AH25</f>
        <v>2098</v>
      </c>
    </row>
    <row r="26" spans="1:31" ht="18.75" customHeight="1" x14ac:dyDescent="0.3">
      <c r="A26" s="50" t="str">
        <f>'쪽쟘(실측)'!A26</f>
        <v>106   / 2</v>
      </c>
      <c r="B26" s="50" t="str">
        <f>'쪽쟘(실측)'!B26&amp;"F"</f>
        <v>6F</v>
      </c>
      <c r="C26" s="50" t="str">
        <f t="shared" si="0"/>
        <v>928*119.2</v>
      </c>
      <c r="D26" s="50" t="e">
        <f>'쪽쟘(실측)'!C26-OP차감</f>
        <v>#NAME?</v>
      </c>
      <c r="E26" s="50" t="e">
        <f>'쪽쟘(실측)'!D26+쪽쟘J늘림+MAX(W26:X26)</f>
        <v>#VALUE!</v>
      </c>
      <c r="F26" s="50" t="e">
        <f>'쪽쟘(실측)'!E26+쪽쟘J늘림+MAX(W26:X26)</f>
        <v>#VALUE!</v>
      </c>
      <c r="G26" s="67" t="str">
        <f>IF(OR(쪽쟘제작!K26&lt;&gt;쪽쟘제작!L26,쪽쟘제작!O26&lt;&gt;쪽쟘제작!P26),"",AC26&amp;"*"&amp;AB26)</f>
        <v>2092*121</v>
      </c>
      <c r="H26" s="68" t="str">
        <f>IF(OR(쪽쟘제작!N26&lt;&gt;쪽쟘제작!M26,쪽쟘제작!Q26&lt;&gt;쪽쟘제작!R26),"",AE26&amp;"*"&amp;AD26)</f>
        <v>2098*121</v>
      </c>
      <c r="I26" s="70">
        <f>IF('쪽쟘(실측)'!F26&gt;0,'쪽쟘(실측)'!F26+0.5,0)</f>
        <v>18.5</v>
      </c>
      <c r="J26" s="50">
        <f>IF('쪽쟘(실측)'!H26&gt;0,'쪽쟘(실측)'!H26+0.5,0)</f>
        <v>18.5</v>
      </c>
      <c r="K26" s="50">
        <f>IF('쪽쟘(실측)'!F26&gt;0,'쪽쟘(실측)'!F26+1.5,0)</f>
        <v>19.5</v>
      </c>
      <c r="L26" s="50">
        <f>IF('쪽쟘(실측)'!G26&gt;0,'쪽쟘(실측)'!G26+1.5,0)</f>
        <v>19.5</v>
      </c>
      <c r="M26" s="50">
        <f>IF('쪽쟘(실측)'!H26&gt;0,'쪽쟘(실측)'!H26+1.5,0)</f>
        <v>19.5</v>
      </c>
      <c r="N26" s="50">
        <f>IF('쪽쟘(실측)'!I26&gt;0,'쪽쟘(실측)'!I26+1.5,0)</f>
        <v>19.5</v>
      </c>
      <c r="O26" s="50" t="e">
        <f>'쪽쟘(실측)'!J26-기둥차감</f>
        <v>#NAME?</v>
      </c>
      <c r="P26" s="50" t="e">
        <f>'쪽쟘(실측)'!K26-기둥차감</f>
        <v>#NAME?</v>
      </c>
      <c r="Q26" s="50" t="e">
        <f>'쪽쟘(실측)'!L26-기둥차감</f>
        <v>#NAME?</v>
      </c>
      <c r="R26" s="50" t="e">
        <f>'쪽쟘(실측)'!M26-기둥차감</f>
        <v>#NAME?</v>
      </c>
      <c r="S26" s="50">
        <f>'쪽쟘(실측)'!N26+1.2</f>
        <v>24.2</v>
      </c>
      <c r="T26" s="50">
        <f>'쪽쟘(실측)'!O26+1.2</f>
        <v>24.2</v>
      </c>
      <c r="U26" s="50">
        <f>'쪽쟘(실측)'!P26</f>
        <v>16</v>
      </c>
      <c r="V26" s="50">
        <f>'쪽쟘(실측)'!Q26</f>
        <v>25</v>
      </c>
      <c r="W26" s="50" t="e">
        <f>'쪽쟘(실측)'!R26-늘치차감</f>
        <v>#NAME?</v>
      </c>
      <c r="X26" s="50" t="e">
        <f>'쪽쟘(실측)'!S26-늘치차감</f>
        <v>#NAME?</v>
      </c>
      <c r="Z26">
        <f>쪽쟘제작!AC26</f>
        <v>928</v>
      </c>
      <c r="AA26">
        <f>쪽쟘제작!AD26</f>
        <v>119.2</v>
      </c>
      <c r="AB26">
        <f>쪽쟘제작!AE26</f>
        <v>121</v>
      </c>
      <c r="AC26">
        <f>쪽쟘제작!AF26</f>
        <v>2092</v>
      </c>
      <c r="AD26">
        <f>쪽쟘제작!AG26</f>
        <v>121</v>
      </c>
      <c r="AE26">
        <f>쪽쟘제작!AH26</f>
        <v>2098</v>
      </c>
    </row>
    <row r="27" spans="1:31" ht="18.75" customHeight="1" x14ac:dyDescent="0.3">
      <c r="A27" s="50" t="str">
        <f>'쪽쟘(실측)'!A27</f>
        <v>106   / 2</v>
      </c>
      <c r="B27" s="50" t="str">
        <f>'쪽쟘(실측)'!B27&amp;"F"</f>
        <v>5F</v>
      </c>
      <c r="C27" s="50" t="str">
        <f t="shared" si="0"/>
        <v>930*116.2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>IF(OR(쪽쟘제작!K27&lt;&gt;쪽쟘제작!L27,쪽쟘제작!O27&lt;&gt;쪽쟘제작!P27),"",AC27&amp;"*"&amp;AB27)</f>
        <v>2098*121</v>
      </c>
      <c r="H27" s="68" t="str">
        <f>IF(OR(쪽쟘제작!N27&lt;&gt;쪽쟘제작!M27,쪽쟘제작!Q27&lt;&gt;쪽쟘제작!R27),"",AE27&amp;"*"&amp;AD27)</f>
        <v>2098*123</v>
      </c>
      <c r="I27" s="70">
        <f>IF('쪽쟘(실측)'!F27&gt;0,'쪽쟘(실측)'!F27+0.5,0)</f>
        <v>18.5</v>
      </c>
      <c r="J27" s="50">
        <f>IF('쪽쟘(실측)'!H27&gt;0,'쪽쟘(실측)'!H27+0.5,0)</f>
        <v>20.5</v>
      </c>
      <c r="K27" s="50">
        <f>IF('쪽쟘(실측)'!F27&gt;0,'쪽쟘(실측)'!F27+1.5,0)</f>
        <v>19.5</v>
      </c>
      <c r="L27" s="50">
        <f>IF('쪽쟘(실측)'!G27&gt;0,'쪽쟘(실측)'!G27+1.5,0)</f>
        <v>19.5</v>
      </c>
      <c r="M27" s="50">
        <f>IF('쪽쟘(실측)'!H27&gt;0,'쪽쟘(실측)'!H27+1.5,0)</f>
        <v>21.5</v>
      </c>
      <c r="N27" s="50">
        <f>IF('쪽쟘(실측)'!I27&gt;0,'쪽쟘(실측)'!I27+1.5,0)</f>
        <v>21.5</v>
      </c>
      <c r="O27" s="50" t="e">
        <f>'쪽쟘(실측)'!J27-기둥차감</f>
        <v>#NAME?</v>
      </c>
      <c r="P27" s="50" t="e">
        <f>'쪽쟘(실측)'!K27-기둥차감</f>
        <v>#NAME?</v>
      </c>
      <c r="Q27" s="50" t="e">
        <f>'쪽쟘(실측)'!L27-기둥차감</f>
        <v>#NAME?</v>
      </c>
      <c r="R27" s="50" t="e">
        <f>'쪽쟘(실측)'!M27-기둥차감</f>
        <v>#NAME?</v>
      </c>
      <c r="S27" s="50">
        <f>'쪽쟘(실측)'!N27+1.2</f>
        <v>21.2</v>
      </c>
      <c r="T27" s="50">
        <f>'쪽쟘(실측)'!O27+1.2</f>
        <v>21.2</v>
      </c>
      <c r="U27" s="50">
        <f>'쪽쟘(실측)'!P27</f>
        <v>16</v>
      </c>
      <c r="V27" s="50">
        <f>'쪽쟘(실측)'!Q27</f>
        <v>25</v>
      </c>
      <c r="W27" s="50" t="e">
        <f>'쪽쟘(실측)'!R27-늘치차감</f>
        <v>#NAME?</v>
      </c>
      <c r="X27" s="50" t="e">
        <f>'쪽쟘(실측)'!S27-늘치차감</f>
        <v>#NAME?</v>
      </c>
      <c r="Z27">
        <f>쪽쟘제작!AC27</f>
        <v>930</v>
      </c>
      <c r="AA27">
        <f>쪽쟘제작!AD27</f>
        <v>116.2</v>
      </c>
      <c r="AB27">
        <f>쪽쟘제작!AE27</f>
        <v>121</v>
      </c>
      <c r="AC27">
        <f>쪽쟘제작!AF27</f>
        <v>2098</v>
      </c>
      <c r="AD27">
        <f>쪽쟘제작!AG27</f>
        <v>123</v>
      </c>
      <c r="AE27">
        <f>쪽쟘제작!AH27</f>
        <v>2098</v>
      </c>
    </row>
    <row r="28" spans="1:31" ht="18.75" customHeight="1" x14ac:dyDescent="0.3">
      <c r="A28" s="50" t="str">
        <f>'쪽쟘(실측)'!A28</f>
        <v>106   / 2</v>
      </c>
      <c r="B28" s="50" t="str">
        <f>'쪽쟘(실측)'!B28&amp;"F"</f>
        <v>4F</v>
      </c>
      <c r="C28" s="50" t="str">
        <f t="shared" si="0"/>
        <v>928*110.2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>IF(OR(쪽쟘제작!K28&lt;&gt;쪽쟘제작!L28,쪽쟘제작!O28&lt;&gt;쪽쟘제작!P28),"",AC28&amp;"*"&amp;AB28)</f>
        <v>2098*121</v>
      </c>
      <c r="H28" s="68" t="str">
        <f>IF(OR(쪽쟘제작!N28&lt;&gt;쪽쟘제작!M28,쪽쟘제작!Q28&lt;&gt;쪽쟘제작!R28),"",AE28&amp;"*"&amp;AD28)</f>
        <v>2098*121</v>
      </c>
      <c r="I28" s="70">
        <f>IF('쪽쟘(실측)'!F28&gt;0,'쪽쟘(실측)'!F28+0.5,0)</f>
        <v>18.5</v>
      </c>
      <c r="J28" s="50">
        <f>IF('쪽쟘(실측)'!H28&gt;0,'쪽쟘(실측)'!H28+0.5,0)</f>
        <v>18.5</v>
      </c>
      <c r="K28" s="50">
        <f>IF('쪽쟘(실측)'!F28&gt;0,'쪽쟘(실측)'!F28+1.5,0)</f>
        <v>19.5</v>
      </c>
      <c r="L28" s="50">
        <f>IF('쪽쟘(실측)'!G28&gt;0,'쪽쟘(실측)'!G28+1.5,0)</f>
        <v>19.5</v>
      </c>
      <c r="M28" s="50">
        <f>IF('쪽쟘(실측)'!H28&gt;0,'쪽쟘(실측)'!H28+1.5,0)</f>
        <v>19.5</v>
      </c>
      <c r="N28" s="50">
        <f>IF('쪽쟘(실측)'!I28&gt;0,'쪽쟘(실측)'!I28+1.5,0)</f>
        <v>19.5</v>
      </c>
      <c r="O28" s="50" t="e">
        <f>'쪽쟘(실측)'!J28-기둥차감</f>
        <v>#NAME?</v>
      </c>
      <c r="P28" s="50" t="e">
        <f>'쪽쟘(실측)'!K28-기둥차감</f>
        <v>#NAME?</v>
      </c>
      <c r="Q28" s="50" t="e">
        <f>'쪽쟘(실측)'!L28-기둥차감</f>
        <v>#NAME?</v>
      </c>
      <c r="R28" s="50" t="e">
        <f>'쪽쟘(실측)'!M28-기둥차감</f>
        <v>#NAME?</v>
      </c>
      <c r="S28" s="50">
        <f>'쪽쟘(실측)'!N28+1.2</f>
        <v>15.2</v>
      </c>
      <c r="T28" s="50">
        <f>'쪽쟘(실측)'!O28+1.2</f>
        <v>15.2</v>
      </c>
      <c r="U28" s="50">
        <f>'쪽쟘(실측)'!P28</f>
        <v>16</v>
      </c>
      <c r="V28" s="50">
        <f>'쪽쟘(실측)'!Q28</f>
        <v>25</v>
      </c>
      <c r="W28" s="50" t="e">
        <f>'쪽쟘(실측)'!R28-늘치차감</f>
        <v>#NAME?</v>
      </c>
      <c r="X28" s="50" t="e">
        <f>'쪽쟘(실측)'!S28-늘치차감</f>
        <v>#NAME?</v>
      </c>
      <c r="Z28">
        <f>쪽쟘제작!AC28</f>
        <v>928</v>
      </c>
      <c r="AA28">
        <f>쪽쟘제작!AD28</f>
        <v>110.2</v>
      </c>
      <c r="AB28">
        <f>쪽쟘제작!AE28</f>
        <v>121</v>
      </c>
      <c r="AC28">
        <f>쪽쟘제작!AF28</f>
        <v>2098</v>
      </c>
      <c r="AD28">
        <f>쪽쟘제작!AG28</f>
        <v>121</v>
      </c>
      <c r="AE28">
        <f>쪽쟘제작!AH28</f>
        <v>2098</v>
      </c>
    </row>
    <row r="29" spans="1:31" ht="18.75" customHeight="1" x14ac:dyDescent="0.3">
      <c r="A29" s="50" t="str">
        <f>'쪽쟘(실측)'!A29</f>
        <v>106   / 2</v>
      </c>
      <c r="B29" s="50" t="str">
        <f>'쪽쟘(실측)'!B29&amp;"F"</f>
        <v>3F</v>
      </c>
      <c r="C29" s="50" t="str">
        <f t="shared" si="0"/>
        <v>928*116.2</v>
      </c>
      <c r="D29" s="50" t="e">
        <f>'쪽쟘(실측)'!C29-OP차감</f>
        <v>#NAME?</v>
      </c>
      <c r="E29" s="50" t="e">
        <f>'쪽쟘(실측)'!D29+쪽쟘J늘림+MAX(W29:X29)</f>
        <v>#VALUE!</v>
      </c>
      <c r="F29" s="50" t="e">
        <f>'쪽쟘(실측)'!E29+쪽쟘J늘림+MAX(W29:X29)</f>
        <v>#VALUE!</v>
      </c>
      <c r="G29" s="67" t="str">
        <f>IF(OR(쪽쟘제작!K29&lt;&gt;쪽쟘제작!L29,쪽쟘제작!O29&lt;&gt;쪽쟘제작!P29),"",AC29&amp;"*"&amp;AB29)</f>
        <v>2092*121</v>
      </c>
      <c r="H29" s="68" t="str">
        <f>IF(OR(쪽쟘제작!N29&lt;&gt;쪽쟘제작!M29,쪽쟘제작!Q29&lt;&gt;쪽쟘제작!R29),"",AE29&amp;"*"&amp;AD29)</f>
        <v>2092*121</v>
      </c>
      <c r="I29" s="70">
        <f>IF('쪽쟘(실측)'!F29&gt;0,'쪽쟘(실측)'!F29+0.5,0)</f>
        <v>18.5</v>
      </c>
      <c r="J29" s="50">
        <f>IF('쪽쟘(실측)'!H29&gt;0,'쪽쟘(실측)'!H29+0.5,0)</f>
        <v>18.5</v>
      </c>
      <c r="K29" s="50">
        <f>IF('쪽쟘(실측)'!F29&gt;0,'쪽쟘(실측)'!F29+1.5,0)</f>
        <v>19.5</v>
      </c>
      <c r="L29" s="50">
        <f>IF('쪽쟘(실측)'!G29&gt;0,'쪽쟘(실측)'!G29+1.5,0)</f>
        <v>19.5</v>
      </c>
      <c r="M29" s="50">
        <f>IF('쪽쟘(실측)'!H29&gt;0,'쪽쟘(실측)'!H29+1.5,0)</f>
        <v>19.5</v>
      </c>
      <c r="N29" s="50">
        <f>IF('쪽쟘(실측)'!I29&gt;0,'쪽쟘(실측)'!I29+1.5,0)</f>
        <v>19.5</v>
      </c>
      <c r="O29" s="50" t="e">
        <f>'쪽쟘(실측)'!J29-기둥차감</f>
        <v>#NAME?</v>
      </c>
      <c r="P29" s="50" t="e">
        <f>'쪽쟘(실측)'!K29-기둥차감</f>
        <v>#NAME?</v>
      </c>
      <c r="Q29" s="50" t="e">
        <f>'쪽쟘(실측)'!L29-기둥차감</f>
        <v>#NAME?</v>
      </c>
      <c r="R29" s="50" t="e">
        <f>'쪽쟘(실측)'!M29-기둥차감</f>
        <v>#NAME?</v>
      </c>
      <c r="S29" s="50">
        <f>'쪽쟘(실측)'!N29+1.2</f>
        <v>21.2</v>
      </c>
      <c r="T29" s="50">
        <f>'쪽쟘(실측)'!O29+1.2</f>
        <v>21.2</v>
      </c>
      <c r="U29" s="50">
        <f>'쪽쟘(실측)'!P29</f>
        <v>16</v>
      </c>
      <c r="V29" s="50">
        <f>'쪽쟘(실측)'!Q29</f>
        <v>25</v>
      </c>
      <c r="W29" s="50" t="e">
        <f>'쪽쟘(실측)'!R29-늘치차감</f>
        <v>#NAME?</v>
      </c>
      <c r="X29" s="50" t="e">
        <f>'쪽쟘(실측)'!S29-늘치차감</f>
        <v>#NAME?</v>
      </c>
      <c r="Z29">
        <f>쪽쟘제작!AC29</f>
        <v>928</v>
      </c>
      <c r="AA29">
        <f>쪽쟘제작!AD29</f>
        <v>116.2</v>
      </c>
      <c r="AB29">
        <f>쪽쟘제작!AE29</f>
        <v>121</v>
      </c>
      <c r="AC29">
        <f>쪽쟘제작!AF29</f>
        <v>2092</v>
      </c>
      <c r="AD29">
        <f>쪽쟘제작!AG29</f>
        <v>121</v>
      </c>
      <c r="AE29">
        <f>쪽쟘제작!AH29</f>
        <v>2092</v>
      </c>
    </row>
    <row r="30" spans="1:31" ht="18.75" customHeight="1" thickBot="1" x14ac:dyDescent="0.35">
      <c r="A30" s="379" t="str">
        <f>'쪽쟘(실측)'!A30</f>
        <v>106   / 2</v>
      </c>
      <c r="B30" s="379" t="str">
        <f>'쪽쟘(실측)'!B30&amp;"F"</f>
        <v>2F</v>
      </c>
      <c r="C30" s="379" t="str">
        <f t="shared" si="0"/>
        <v>927*116.2</v>
      </c>
      <c r="D30" s="379" t="e">
        <f>'쪽쟘(실측)'!C30-OP차감</f>
        <v>#NAME?</v>
      </c>
      <c r="E30" s="379" t="e">
        <f>'쪽쟘(실측)'!D30+쪽쟘J늘림+MAX(W30:X30)</f>
        <v>#VALUE!</v>
      </c>
      <c r="F30" s="379" t="e">
        <f>'쪽쟘(실측)'!E30+쪽쟘J늘림+MAX(W30:X30)</f>
        <v>#VALUE!</v>
      </c>
      <c r="G30" s="380" t="str">
        <f>IF(OR(쪽쟘제작!K30&lt;&gt;쪽쟘제작!L30,쪽쟘제작!O30&lt;&gt;쪽쟘제작!P30),"",AC30&amp;"*"&amp;AB30)</f>
        <v>2092*121</v>
      </c>
      <c r="H30" s="381" t="str">
        <f>IF(OR(쪽쟘제작!N30&lt;&gt;쪽쟘제작!M30,쪽쟘제작!Q30&lt;&gt;쪽쟘제작!R30),"",AE30&amp;"*"&amp;AD30)</f>
        <v>2092*120</v>
      </c>
      <c r="I30" s="70">
        <f>IF('쪽쟘(실측)'!F30&gt;0,'쪽쟘(실측)'!F30+0.5,0)</f>
        <v>18.5</v>
      </c>
      <c r="J30" s="50">
        <f>IF('쪽쟘(실측)'!H30&gt;0,'쪽쟘(실측)'!H30+0.5,0)</f>
        <v>17.5</v>
      </c>
      <c r="K30" s="50">
        <f>IF('쪽쟘(실측)'!F30&gt;0,'쪽쟘(실측)'!F30+1.5,0)</f>
        <v>19.5</v>
      </c>
      <c r="L30" s="50">
        <f>IF('쪽쟘(실측)'!G30&gt;0,'쪽쟘(실측)'!G30+1.5,0)</f>
        <v>19.5</v>
      </c>
      <c r="M30" s="50">
        <f>IF('쪽쟘(실측)'!H30&gt;0,'쪽쟘(실측)'!H30+1.5,0)</f>
        <v>18.5</v>
      </c>
      <c r="N30" s="50">
        <f>IF('쪽쟘(실측)'!I30&gt;0,'쪽쟘(실측)'!I30+1.5,0)</f>
        <v>18.5</v>
      </c>
      <c r="O30" s="50" t="e">
        <f>'쪽쟘(실측)'!J30-기둥차감</f>
        <v>#NAME?</v>
      </c>
      <c r="P30" s="50" t="e">
        <f>'쪽쟘(실측)'!K30-기둥차감</f>
        <v>#NAME?</v>
      </c>
      <c r="Q30" s="50" t="e">
        <f>'쪽쟘(실측)'!L30-기둥차감</f>
        <v>#NAME?</v>
      </c>
      <c r="R30" s="50" t="e">
        <f>'쪽쟘(실측)'!M30-기둥차감</f>
        <v>#NAME?</v>
      </c>
      <c r="S30" s="50">
        <f>'쪽쟘(실측)'!N30+1.2</f>
        <v>21.2</v>
      </c>
      <c r="T30" s="50">
        <f>'쪽쟘(실측)'!O30+1.2</f>
        <v>21.2</v>
      </c>
      <c r="U30" s="50">
        <f>'쪽쟘(실측)'!P30</f>
        <v>16</v>
      </c>
      <c r="V30" s="50">
        <f>'쪽쟘(실측)'!Q30</f>
        <v>25</v>
      </c>
      <c r="W30" s="50" t="e">
        <f>'쪽쟘(실측)'!R30-늘치차감</f>
        <v>#NAME?</v>
      </c>
      <c r="X30" s="50" t="e">
        <f>'쪽쟘(실측)'!S30-늘치차감</f>
        <v>#NAME?</v>
      </c>
      <c r="Z30">
        <f>쪽쟘제작!AC30</f>
        <v>927</v>
      </c>
      <c r="AA30">
        <f>쪽쟘제작!AD30</f>
        <v>116.2</v>
      </c>
      <c r="AB30">
        <f>쪽쟘제작!AE30</f>
        <v>121</v>
      </c>
      <c r="AC30">
        <f>쪽쟘제작!AF30</f>
        <v>2092</v>
      </c>
      <c r="AD30">
        <f>쪽쟘제작!AG30</f>
        <v>120</v>
      </c>
      <c r="AE30">
        <f>쪽쟘제작!AH30</f>
        <v>2092</v>
      </c>
    </row>
    <row r="31" spans="1:31" ht="18.75" customHeight="1" x14ac:dyDescent="0.3">
      <c r="A31" s="376" t="str">
        <f>'쪽쟘(실측)'!A31</f>
        <v>107   / 2</v>
      </c>
      <c r="B31" s="376" t="str">
        <f>'쪽쟘(실측)'!B31&amp;"F"</f>
        <v>10F</v>
      </c>
      <c r="C31" s="376" t="str">
        <f t="shared" si="0"/>
        <v>938*123.2</v>
      </c>
      <c r="D31" s="376" t="e">
        <f>'쪽쟘(실측)'!C31-OP차감</f>
        <v>#NAME?</v>
      </c>
      <c r="E31" s="376" t="e">
        <f>'쪽쟘(실측)'!D31+쪽쟘J늘림+MAX(W31:X31)</f>
        <v>#VALUE!</v>
      </c>
      <c r="F31" s="376" t="e">
        <f>'쪽쟘(실측)'!E31+쪽쟘J늘림+MAX(W31:X31)</f>
        <v>#VALUE!</v>
      </c>
      <c r="G31" s="377" t="str">
        <f>IF(OR(쪽쟘제작!K31&lt;&gt;쪽쟘제작!L31,쪽쟘제작!O31&lt;&gt;쪽쟘제작!P31),"",AC31&amp;"*"&amp;AB31)</f>
        <v>2092*126</v>
      </c>
      <c r="H31" s="378" t="str">
        <f>IF(OR(쪽쟘제작!N31&lt;&gt;쪽쟘제작!M31,쪽쟘제작!Q31&lt;&gt;쪽쟘제작!R31),"",AE31&amp;"*"&amp;AD31)</f>
        <v>2092*127</v>
      </c>
      <c r="I31" s="70">
        <f>IF('쪽쟘(실측)'!F31&gt;0,'쪽쟘(실측)'!F31+0.5,0)</f>
        <v>23.5</v>
      </c>
      <c r="J31" s="50">
        <f>IF('쪽쟘(실측)'!H31&gt;0,'쪽쟘(실측)'!H31+0.5,0)</f>
        <v>24.5</v>
      </c>
      <c r="K31" s="50">
        <f>IF('쪽쟘(실측)'!F31&gt;0,'쪽쟘(실측)'!F31+1.5,0)</f>
        <v>24.5</v>
      </c>
      <c r="L31" s="50">
        <f>IF('쪽쟘(실측)'!G31&gt;0,'쪽쟘(실측)'!G31+1.5,0)</f>
        <v>24.5</v>
      </c>
      <c r="M31" s="50">
        <f>IF('쪽쟘(실측)'!H31&gt;0,'쪽쟘(실측)'!H31+1.5,0)</f>
        <v>25.5</v>
      </c>
      <c r="N31" s="50">
        <f>IF('쪽쟘(실측)'!I31&gt;0,'쪽쟘(실측)'!I31+1.5,0)</f>
        <v>25.5</v>
      </c>
      <c r="O31" s="50" t="e">
        <f>'쪽쟘(실측)'!J31-기둥차감</f>
        <v>#NAME?</v>
      </c>
      <c r="P31" s="50" t="e">
        <f>'쪽쟘(실측)'!K31-기둥차감</f>
        <v>#NAME?</v>
      </c>
      <c r="Q31" s="50" t="e">
        <f>'쪽쟘(실측)'!L31-기둥차감</f>
        <v>#NAME?</v>
      </c>
      <c r="R31" s="50" t="e">
        <f>'쪽쟘(실측)'!M31-기둥차감</f>
        <v>#NAME?</v>
      </c>
      <c r="S31" s="50">
        <f>'쪽쟘(실측)'!N31+1.2</f>
        <v>28.2</v>
      </c>
      <c r="T31" s="50">
        <f>'쪽쟘(실측)'!O31+1.2</f>
        <v>28.2</v>
      </c>
      <c r="U31" s="50">
        <f>'쪽쟘(실측)'!P31</f>
        <v>16</v>
      </c>
      <c r="V31" s="50">
        <f>'쪽쟘(실측)'!Q31</f>
        <v>25</v>
      </c>
      <c r="W31" s="50" t="e">
        <f>'쪽쟘(실측)'!R31-늘치차감</f>
        <v>#NAME?</v>
      </c>
      <c r="X31" s="50" t="e">
        <f>'쪽쟘(실측)'!S31-늘치차감</f>
        <v>#NAME?</v>
      </c>
      <c r="Z31">
        <f>쪽쟘제작!AC31</f>
        <v>938</v>
      </c>
      <c r="AA31">
        <f>쪽쟘제작!AD31</f>
        <v>123.2</v>
      </c>
      <c r="AB31">
        <f>쪽쟘제작!AE31</f>
        <v>126.00000000000001</v>
      </c>
      <c r="AC31">
        <f>쪽쟘제작!AF31</f>
        <v>2092</v>
      </c>
      <c r="AD31">
        <f>쪽쟘제작!AG31</f>
        <v>127.00000000000001</v>
      </c>
      <c r="AE31">
        <f>쪽쟘제작!AH31</f>
        <v>2092</v>
      </c>
    </row>
    <row r="32" spans="1:31" ht="18.75" customHeight="1" x14ac:dyDescent="0.3">
      <c r="A32" s="50" t="str">
        <f>'쪽쟘(실측)'!A32</f>
        <v>107   / 2</v>
      </c>
      <c r="B32" s="50" t="str">
        <f>'쪽쟘(실측)'!B32&amp;"F"</f>
        <v>9F</v>
      </c>
      <c r="C32" s="50" t="str">
        <f t="shared" si="0"/>
        <v>931*118.2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>IF(OR(쪽쟘제작!K32&lt;&gt;쪽쟘제작!L32,쪽쟘제작!O32&lt;&gt;쪽쟘제작!P32),"",AC32&amp;"*"&amp;AB32)</f>
        <v>2092*123</v>
      </c>
      <c r="H32" s="68" t="str">
        <f>IF(OR(쪽쟘제작!N32&lt;&gt;쪽쟘제작!M32,쪽쟘제작!Q32&lt;&gt;쪽쟘제작!R32),"",AE32&amp;"*"&amp;AD32)</f>
        <v>2092*123</v>
      </c>
      <c r="I32" s="70">
        <f>IF('쪽쟘(실측)'!F32&gt;0,'쪽쟘(실측)'!F32+0.5,0)</f>
        <v>20.5</v>
      </c>
      <c r="J32" s="50">
        <f>IF('쪽쟘(실측)'!H32&gt;0,'쪽쟘(실측)'!H32+0.5,0)</f>
        <v>20.5</v>
      </c>
      <c r="K32" s="50">
        <f>IF('쪽쟘(실측)'!F32&gt;0,'쪽쟘(실측)'!F32+1.5,0)</f>
        <v>21.5</v>
      </c>
      <c r="L32" s="50">
        <f>IF('쪽쟘(실측)'!G32&gt;0,'쪽쟘(실측)'!G32+1.5,0)</f>
        <v>21.5</v>
      </c>
      <c r="M32" s="50">
        <f>IF('쪽쟘(실측)'!H32&gt;0,'쪽쟘(실측)'!H32+1.5,0)</f>
        <v>21.5</v>
      </c>
      <c r="N32" s="50">
        <f>IF('쪽쟘(실측)'!I32&gt;0,'쪽쟘(실측)'!I32+1.5,0)</f>
        <v>21.5</v>
      </c>
      <c r="O32" s="50" t="e">
        <f>'쪽쟘(실측)'!J32-기둥차감</f>
        <v>#NAME?</v>
      </c>
      <c r="P32" s="50" t="e">
        <f>'쪽쟘(실측)'!K32-기둥차감</f>
        <v>#NAME?</v>
      </c>
      <c r="Q32" s="50" t="e">
        <f>'쪽쟘(실측)'!L32-기둥차감</f>
        <v>#NAME?</v>
      </c>
      <c r="R32" s="50" t="e">
        <f>'쪽쟘(실측)'!M32-기둥차감</f>
        <v>#NAME?</v>
      </c>
      <c r="S32" s="50">
        <f>'쪽쟘(실측)'!N32+1.2</f>
        <v>23.2</v>
      </c>
      <c r="T32" s="50">
        <f>'쪽쟘(실측)'!O32+1.2</f>
        <v>23.2</v>
      </c>
      <c r="U32" s="50">
        <f>'쪽쟘(실측)'!P32</f>
        <v>16</v>
      </c>
      <c r="V32" s="50">
        <f>'쪽쟘(실측)'!Q32</f>
        <v>25</v>
      </c>
      <c r="W32" s="50" t="e">
        <f>'쪽쟘(실측)'!R32-늘치차감</f>
        <v>#NAME?</v>
      </c>
      <c r="X32" s="50" t="e">
        <f>'쪽쟘(실측)'!S32-늘치차감</f>
        <v>#NAME?</v>
      </c>
      <c r="Z32">
        <f>쪽쟘제작!AC32</f>
        <v>931</v>
      </c>
      <c r="AA32">
        <f>쪽쟘제작!AD32</f>
        <v>118.2</v>
      </c>
      <c r="AB32">
        <f>쪽쟘제작!AE32</f>
        <v>123</v>
      </c>
      <c r="AC32">
        <f>쪽쟘제작!AF32</f>
        <v>2092</v>
      </c>
      <c r="AD32">
        <f>쪽쟘제작!AG32</f>
        <v>123</v>
      </c>
      <c r="AE32">
        <f>쪽쟘제작!AH32</f>
        <v>2092</v>
      </c>
    </row>
    <row r="33" spans="1:31" ht="18.75" customHeight="1" x14ac:dyDescent="0.3">
      <c r="A33" s="50" t="str">
        <f>'쪽쟘(실측)'!A33</f>
        <v>107   / 2</v>
      </c>
      <c r="B33" s="50" t="str">
        <f>'쪽쟘(실측)'!B33&amp;"F"</f>
        <v>8F</v>
      </c>
      <c r="C33" s="50" t="str">
        <f t="shared" si="0"/>
        <v>924*115.2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>IF(OR(쪽쟘제작!K33&lt;&gt;쪽쟘제작!L33,쪽쟘제작!O33&lt;&gt;쪽쟘제작!P33),"",AC33&amp;"*"&amp;AB33)</f>
        <v>2098*122</v>
      </c>
      <c r="H33" s="68" t="str">
        <f>IF(OR(쪽쟘제작!N33&lt;&gt;쪽쟘제작!M33,쪽쟘제작!Q33&lt;&gt;쪽쟘제작!R33),"",AE33&amp;"*"&amp;AD33)</f>
        <v>2092*119</v>
      </c>
      <c r="I33" s="70">
        <f>IF('쪽쟘(실측)'!F33&gt;0,'쪽쟘(실측)'!F33+0.5,0)</f>
        <v>19.5</v>
      </c>
      <c r="J33" s="50">
        <f>IF('쪽쟘(실측)'!H33&gt;0,'쪽쟘(실측)'!H33+0.5,0)</f>
        <v>16.5</v>
      </c>
      <c r="K33" s="50">
        <f>IF('쪽쟘(실측)'!F33&gt;0,'쪽쟘(실측)'!F33+1.5,0)</f>
        <v>20.5</v>
      </c>
      <c r="L33" s="50">
        <f>IF('쪽쟘(실측)'!G33&gt;0,'쪽쟘(실측)'!G33+1.5,0)</f>
        <v>20.5</v>
      </c>
      <c r="M33" s="50">
        <f>IF('쪽쟘(실측)'!H33&gt;0,'쪽쟘(실측)'!H33+1.5,0)</f>
        <v>17.5</v>
      </c>
      <c r="N33" s="50">
        <f>IF('쪽쟘(실측)'!I33&gt;0,'쪽쟘(실측)'!I33+1.5,0)</f>
        <v>17.5</v>
      </c>
      <c r="O33" s="50" t="e">
        <f>'쪽쟘(실측)'!J33-기둥차감</f>
        <v>#NAME?</v>
      </c>
      <c r="P33" s="50" t="e">
        <f>'쪽쟘(실측)'!K33-기둥차감</f>
        <v>#NAME?</v>
      </c>
      <c r="Q33" s="50" t="e">
        <f>'쪽쟘(실측)'!L33-기둥차감</f>
        <v>#NAME?</v>
      </c>
      <c r="R33" s="50" t="e">
        <f>'쪽쟘(실측)'!M33-기둥차감</f>
        <v>#NAME?</v>
      </c>
      <c r="S33" s="50">
        <f>'쪽쟘(실측)'!N33+1.2</f>
        <v>20.2</v>
      </c>
      <c r="T33" s="50">
        <f>'쪽쟘(실측)'!O33+1.2</f>
        <v>20.2</v>
      </c>
      <c r="U33" s="50">
        <f>'쪽쟘(실측)'!P33</f>
        <v>16</v>
      </c>
      <c r="V33" s="50">
        <f>'쪽쟘(실측)'!Q33</f>
        <v>25</v>
      </c>
      <c r="W33" s="50" t="e">
        <f>'쪽쟘(실측)'!R33-늘치차감</f>
        <v>#NAME?</v>
      </c>
      <c r="X33" s="50" t="e">
        <f>'쪽쟘(실측)'!S33-늘치차감</f>
        <v>#NAME?</v>
      </c>
      <c r="Z33">
        <f>쪽쟘제작!AC33</f>
        <v>924</v>
      </c>
      <c r="AA33">
        <f>쪽쟘제작!AD33</f>
        <v>115.2</v>
      </c>
      <c r="AB33">
        <f>쪽쟘제작!AE33</f>
        <v>122</v>
      </c>
      <c r="AC33">
        <f>쪽쟘제작!AF33</f>
        <v>2098</v>
      </c>
      <c r="AD33">
        <f>쪽쟘제작!AG33</f>
        <v>119</v>
      </c>
      <c r="AE33">
        <f>쪽쟘제작!AH33</f>
        <v>2092</v>
      </c>
    </row>
    <row r="34" spans="1:31" ht="18.75" customHeight="1" x14ac:dyDescent="0.3">
      <c r="A34" s="50" t="str">
        <f>'쪽쟘(실측)'!A34</f>
        <v>107   / 2</v>
      </c>
      <c r="B34" s="50" t="str">
        <f>'쪽쟘(실측)'!B34&amp;"F"</f>
        <v>7F</v>
      </c>
      <c r="C34" s="50" t="str">
        <f t="shared" si="0"/>
        <v>928*115.2</v>
      </c>
      <c r="D34" s="50" t="e">
        <f>'쪽쟘(실측)'!C34-OP차감</f>
        <v>#NAME?</v>
      </c>
      <c r="E34" s="50" t="e">
        <f>'쪽쟘(실측)'!D34+쪽쟘J늘림+MAX(W34:X34)</f>
        <v>#VALUE!</v>
      </c>
      <c r="F34" s="50" t="e">
        <f>'쪽쟘(실측)'!E34+쪽쟘J늘림+MAX(W34:X34)</f>
        <v>#VALUE!</v>
      </c>
      <c r="G34" s="67" t="str">
        <f>IF(OR(쪽쟘제작!K34&lt;&gt;쪽쟘제작!L34,쪽쟘제작!O34&lt;&gt;쪽쟘제작!P34),"",AC34&amp;"*"&amp;AB34)</f>
        <v>2092*121</v>
      </c>
      <c r="H34" s="68" t="str">
        <f>IF(OR(쪽쟘제작!N34&lt;&gt;쪽쟘제작!M34,쪽쟘제작!Q34&lt;&gt;쪽쟘제작!R34),"",AE34&amp;"*"&amp;AD34)</f>
        <v>2092*122</v>
      </c>
      <c r="I34" s="70">
        <f>IF('쪽쟘(실측)'!F34&gt;0,'쪽쟘(실측)'!F34+0.5,0)</f>
        <v>18.5</v>
      </c>
      <c r="J34" s="50">
        <f>IF('쪽쟘(실측)'!H34&gt;0,'쪽쟘(실측)'!H34+0.5,0)</f>
        <v>19.5</v>
      </c>
      <c r="K34" s="50">
        <f>IF('쪽쟘(실측)'!F34&gt;0,'쪽쟘(실측)'!F34+1.5,0)</f>
        <v>19.5</v>
      </c>
      <c r="L34" s="50">
        <f>IF('쪽쟘(실측)'!G34&gt;0,'쪽쟘(실측)'!G34+1.5,0)</f>
        <v>19.5</v>
      </c>
      <c r="M34" s="50">
        <f>IF('쪽쟘(실측)'!H34&gt;0,'쪽쟘(실측)'!H34+1.5,0)</f>
        <v>20.5</v>
      </c>
      <c r="N34" s="50">
        <f>IF('쪽쟘(실측)'!I34&gt;0,'쪽쟘(실측)'!I34+1.5,0)</f>
        <v>20.5</v>
      </c>
      <c r="O34" s="50" t="e">
        <f>'쪽쟘(실측)'!J34-기둥차감</f>
        <v>#NAME?</v>
      </c>
      <c r="P34" s="50" t="e">
        <f>'쪽쟘(실측)'!K34-기둥차감</f>
        <v>#NAME?</v>
      </c>
      <c r="Q34" s="50" t="e">
        <f>'쪽쟘(실측)'!L34-기둥차감</f>
        <v>#NAME?</v>
      </c>
      <c r="R34" s="50" t="e">
        <f>'쪽쟘(실측)'!M34-기둥차감</f>
        <v>#NAME?</v>
      </c>
      <c r="S34" s="50">
        <f>'쪽쟘(실측)'!N34+1.2</f>
        <v>20.2</v>
      </c>
      <c r="T34" s="50">
        <f>'쪽쟘(실측)'!O34+1.2</f>
        <v>20.2</v>
      </c>
      <c r="U34" s="50">
        <f>'쪽쟘(실측)'!P34</f>
        <v>16</v>
      </c>
      <c r="V34" s="50">
        <f>'쪽쟘(실측)'!Q34</f>
        <v>25</v>
      </c>
      <c r="W34" s="50" t="e">
        <f>'쪽쟘(실측)'!R34-늘치차감</f>
        <v>#NAME?</v>
      </c>
      <c r="X34" s="50" t="e">
        <f>'쪽쟘(실측)'!S34-늘치차감</f>
        <v>#NAME?</v>
      </c>
      <c r="Z34">
        <f>쪽쟘제작!AC34</f>
        <v>928</v>
      </c>
      <c r="AA34">
        <f>쪽쟘제작!AD34</f>
        <v>115.2</v>
      </c>
      <c r="AB34">
        <f>쪽쟘제작!AE34</f>
        <v>121</v>
      </c>
      <c r="AC34">
        <f>쪽쟘제작!AF34</f>
        <v>2092</v>
      </c>
      <c r="AD34">
        <f>쪽쟘제작!AG34</f>
        <v>122</v>
      </c>
      <c r="AE34">
        <f>쪽쟘제작!AH34</f>
        <v>2092</v>
      </c>
    </row>
    <row r="35" spans="1:31" ht="18.75" customHeight="1" x14ac:dyDescent="0.3">
      <c r="A35" s="50" t="str">
        <f>'쪽쟘(실측)'!A35</f>
        <v>107   / 2</v>
      </c>
      <c r="B35" s="50" t="str">
        <f>'쪽쟘(실측)'!B35&amp;"F"</f>
        <v>6F</v>
      </c>
      <c r="C35" s="50" t="str">
        <f t="shared" si="0"/>
        <v>927*113.2</v>
      </c>
      <c r="D35" s="50" t="e">
        <f>'쪽쟘(실측)'!C35-OP차감</f>
        <v>#NAME?</v>
      </c>
      <c r="E35" s="50" t="e">
        <f>'쪽쟘(실측)'!D35+쪽쟘J늘림+MAX(W35:X35)</f>
        <v>#VALUE!</v>
      </c>
      <c r="F35" s="50" t="e">
        <f>'쪽쟘(실측)'!E35+쪽쟘J늘림+MAX(W35:X35)</f>
        <v>#VALUE!</v>
      </c>
      <c r="G35" s="67" t="str">
        <f>IF(OR(쪽쟘제작!K35&lt;&gt;쪽쟘제작!L35,쪽쟘제작!O35&lt;&gt;쪽쟘제작!P35),"",AC35&amp;"*"&amp;AB35)</f>
        <v>2092*122</v>
      </c>
      <c r="H35" s="68" t="str">
        <f>IF(OR(쪽쟘제작!N35&lt;&gt;쪽쟘제작!M35,쪽쟘제작!Q35&lt;&gt;쪽쟘제작!R35),"",AE35&amp;"*"&amp;AD35)</f>
        <v>2092*120</v>
      </c>
      <c r="I35" s="70">
        <f>IF('쪽쟘(실측)'!F35&gt;0,'쪽쟘(실측)'!F35+0.5,0)</f>
        <v>19.5</v>
      </c>
      <c r="J35" s="50">
        <f>IF('쪽쟘(실측)'!H35&gt;0,'쪽쟘(실측)'!H35+0.5,0)</f>
        <v>17.5</v>
      </c>
      <c r="K35" s="50">
        <f>IF('쪽쟘(실측)'!F35&gt;0,'쪽쟘(실측)'!F35+1.5,0)</f>
        <v>20.5</v>
      </c>
      <c r="L35" s="50">
        <f>IF('쪽쟘(실측)'!G35&gt;0,'쪽쟘(실측)'!G35+1.5,0)</f>
        <v>20.5</v>
      </c>
      <c r="M35" s="50">
        <f>IF('쪽쟘(실측)'!H35&gt;0,'쪽쟘(실측)'!H35+1.5,0)</f>
        <v>18.5</v>
      </c>
      <c r="N35" s="50">
        <f>IF('쪽쟘(실측)'!I35&gt;0,'쪽쟘(실측)'!I35+1.5,0)</f>
        <v>18.5</v>
      </c>
      <c r="O35" s="50" t="e">
        <f>'쪽쟘(실측)'!J35-기둥차감</f>
        <v>#NAME?</v>
      </c>
      <c r="P35" s="50" t="e">
        <f>'쪽쟘(실측)'!K35-기둥차감</f>
        <v>#NAME?</v>
      </c>
      <c r="Q35" s="50" t="e">
        <f>'쪽쟘(실측)'!L35-기둥차감</f>
        <v>#NAME?</v>
      </c>
      <c r="R35" s="50" t="e">
        <f>'쪽쟘(실측)'!M35-기둥차감</f>
        <v>#NAME?</v>
      </c>
      <c r="S35" s="50">
        <f>'쪽쟘(실측)'!N35+1.2</f>
        <v>18.2</v>
      </c>
      <c r="T35" s="50">
        <f>'쪽쟘(실측)'!O35+1.2</f>
        <v>18.2</v>
      </c>
      <c r="U35" s="50">
        <f>'쪽쟘(실측)'!P35</f>
        <v>16</v>
      </c>
      <c r="V35" s="50">
        <f>'쪽쟘(실측)'!Q35</f>
        <v>25</v>
      </c>
      <c r="W35" s="50" t="e">
        <f>'쪽쟘(실측)'!R35-늘치차감</f>
        <v>#NAME?</v>
      </c>
      <c r="X35" s="50" t="e">
        <f>'쪽쟘(실측)'!S35-늘치차감</f>
        <v>#NAME?</v>
      </c>
      <c r="Z35">
        <f>쪽쟘제작!AC35</f>
        <v>927</v>
      </c>
      <c r="AA35">
        <f>쪽쟘제작!AD35</f>
        <v>113.2</v>
      </c>
      <c r="AB35">
        <f>쪽쟘제작!AE35</f>
        <v>122</v>
      </c>
      <c r="AC35">
        <f>쪽쟘제작!AF35</f>
        <v>2092</v>
      </c>
      <c r="AD35">
        <f>쪽쟘제작!AG35</f>
        <v>120</v>
      </c>
      <c r="AE35">
        <f>쪽쟘제작!AH35</f>
        <v>2092</v>
      </c>
    </row>
    <row r="36" spans="1:31" ht="18.75" customHeight="1" x14ac:dyDescent="0.3">
      <c r="A36" s="50" t="str">
        <f>'쪽쟘(실측)'!A36</f>
        <v>107   / 2</v>
      </c>
      <c r="B36" s="50" t="str">
        <f>'쪽쟘(실측)'!B36&amp;"F"</f>
        <v>5F</v>
      </c>
      <c r="C36" s="50" t="str">
        <f t="shared" si="0"/>
        <v>926*113.2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>IF(OR(쪽쟘제작!K36&lt;&gt;쪽쟘제작!L36,쪽쟘제작!O36&lt;&gt;쪽쟘제작!P36),"",AC36&amp;"*"&amp;AB36)</f>
        <v>2098*121</v>
      </c>
      <c r="H36" s="68" t="str">
        <f>IF(OR(쪽쟘제작!N36&lt;&gt;쪽쟘제작!M36,쪽쟘제작!Q36&lt;&gt;쪽쟘제작!R36),"",AE36&amp;"*"&amp;AD36)</f>
        <v>2098*120</v>
      </c>
      <c r="I36" s="70">
        <f>IF('쪽쟘(실측)'!F36&gt;0,'쪽쟘(실측)'!F36+0.5,0)</f>
        <v>18.5</v>
      </c>
      <c r="J36" s="50">
        <f>IF('쪽쟘(실측)'!H36&gt;0,'쪽쟘(실측)'!H36+0.5,0)</f>
        <v>17.5</v>
      </c>
      <c r="K36" s="50">
        <f>IF('쪽쟘(실측)'!F36&gt;0,'쪽쟘(실측)'!F36+1.5,0)</f>
        <v>19.5</v>
      </c>
      <c r="L36" s="50">
        <f>IF('쪽쟘(실측)'!G36&gt;0,'쪽쟘(실측)'!G36+1.5,0)</f>
        <v>19.5</v>
      </c>
      <c r="M36" s="50">
        <f>IF('쪽쟘(실측)'!H36&gt;0,'쪽쟘(실측)'!H36+1.5,0)</f>
        <v>18.5</v>
      </c>
      <c r="N36" s="50">
        <f>IF('쪽쟘(실측)'!I36&gt;0,'쪽쟘(실측)'!I36+1.5,0)</f>
        <v>18.5</v>
      </c>
      <c r="O36" s="50" t="e">
        <f>'쪽쟘(실측)'!J36-기둥차감</f>
        <v>#NAME?</v>
      </c>
      <c r="P36" s="50" t="e">
        <f>'쪽쟘(실측)'!K36-기둥차감</f>
        <v>#NAME?</v>
      </c>
      <c r="Q36" s="50" t="e">
        <f>'쪽쟘(실측)'!L36-기둥차감</f>
        <v>#NAME?</v>
      </c>
      <c r="R36" s="50" t="e">
        <f>'쪽쟘(실측)'!M36-기둥차감</f>
        <v>#NAME?</v>
      </c>
      <c r="S36" s="50">
        <f>'쪽쟘(실측)'!N36+1.2</f>
        <v>18.2</v>
      </c>
      <c r="T36" s="50">
        <f>'쪽쟘(실측)'!O36+1.2</f>
        <v>18.2</v>
      </c>
      <c r="U36" s="50">
        <f>'쪽쟘(실측)'!P36</f>
        <v>16</v>
      </c>
      <c r="V36" s="50">
        <f>'쪽쟘(실측)'!Q36</f>
        <v>25</v>
      </c>
      <c r="W36" s="50" t="e">
        <f>'쪽쟘(실측)'!R36-늘치차감</f>
        <v>#NAME?</v>
      </c>
      <c r="X36" s="50" t="e">
        <f>'쪽쟘(실측)'!S36-늘치차감</f>
        <v>#NAME?</v>
      </c>
      <c r="Z36">
        <f>쪽쟘제작!AC36</f>
        <v>926</v>
      </c>
      <c r="AA36">
        <f>쪽쟘제작!AD36</f>
        <v>113.2</v>
      </c>
      <c r="AB36">
        <f>쪽쟘제작!AE36</f>
        <v>121</v>
      </c>
      <c r="AC36">
        <f>쪽쟘제작!AF36</f>
        <v>2098</v>
      </c>
      <c r="AD36">
        <f>쪽쟘제작!AG36</f>
        <v>120</v>
      </c>
      <c r="AE36">
        <f>쪽쟘제작!AH36</f>
        <v>2098</v>
      </c>
    </row>
    <row r="37" spans="1:31" ht="18.75" customHeight="1" x14ac:dyDescent="0.3">
      <c r="A37" s="50" t="str">
        <f>'쪽쟘(실측)'!A37</f>
        <v>107   / 2</v>
      </c>
      <c r="B37" s="50" t="str">
        <f>'쪽쟘(실측)'!B37&amp;"F"</f>
        <v>4F</v>
      </c>
      <c r="C37" s="50" t="str">
        <f t="shared" si="0"/>
        <v>929*111.2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>IF(OR(쪽쟘제작!K37&lt;&gt;쪽쟘제작!L37,쪽쟘제작!O37&lt;&gt;쪽쟘제작!P37),"",AC37&amp;"*"&amp;AB37)</f>
        <v>2092*123</v>
      </c>
      <c r="H37" s="68" t="str">
        <f>IF(OR(쪽쟘제작!N37&lt;&gt;쪽쟘제작!M37,쪽쟘제작!Q37&lt;&gt;쪽쟘제작!R37),"",AE37&amp;"*"&amp;AD37)</f>
        <v>2092*121</v>
      </c>
      <c r="I37" s="70">
        <f>IF('쪽쟘(실측)'!F37&gt;0,'쪽쟘(실측)'!F37+0.5,0)</f>
        <v>20.5</v>
      </c>
      <c r="J37" s="50">
        <f>IF('쪽쟘(실측)'!H37&gt;0,'쪽쟘(실측)'!H37+0.5,0)</f>
        <v>18.5</v>
      </c>
      <c r="K37" s="50">
        <f>IF('쪽쟘(실측)'!F37&gt;0,'쪽쟘(실측)'!F37+1.5,0)</f>
        <v>21.5</v>
      </c>
      <c r="L37" s="50">
        <f>IF('쪽쟘(실측)'!G37&gt;0,'쪽쟘(실측)'!G37+1.5,0)</f>
        <v>21.5</v>
      </c>
      <c r="M37" s="50">
        <f>IF('쪽쟘(실측)'!H37&gt;0,'쪽쟘(실측)'!H37+1.5,0)</f>
        <v>19.5</v>
      </c>
      <c r="N37" s="50">
        <f>IF('쪽쟘(실측)'!I37&gt;0,'쪽쟘(실측)'!I37+1.5,0)</f>
        <v>19.5</v>
      </c>
      <c r="O37" s="50" t="e">
        <f>'쪽쟘(실측)'!J37-기둥차감</f>
        <v>#NAME?</v>
      </c>
      <c r="P37" s="50" t="e">
        <f>'쪽쟘(실측)'!K37-기둥차감</f>
        <v>#NAME?</v>
      </c>
      <c r="Q37" s="50" t="e">
        <f>'쪽쟘(실측)'!L37-기둥차감</f>
        <v>#NAME?</v>
      </c>
      <c r="R37" s="50" t="e">
        <f>'쪽쟘(실측)'!M37-기둥차감</f>
        <v>#NAME?</v>
      </c>
      <c r="S37" s="50">
        <f>'쪽쟘(실측)'!N37+1.2</f>
        <v>16.2</v>
      </c>
      <c r="T37" s="50">
        <f>'쪽쟘(실측)'!O37+1.2</f>
        <v>16.2</v>
      </c>
      <c r="U37" s="50">
        <f>'쪽쟘(실측)'!P37</f>
        <v>16</v>
      </c>
      <c r="V37" s="50">
        <f>'쪽쟘(실측)'!Q37</f>
        <v>25</v>
      </c>
      <c r="W37" s="50" t="e">
        <f>'쪽쟘(실측)'!R37-늘치차감</f>
        <v>#NAME?</v>
      </c>
      <c r="X37" s="50" t="e">
        <f>'쪽쟘(실측)'!S37-늘치차감</f>
        <v>#NAME?</v>
      </c>
      <c r="Z37">
        <f>쪽쟘제작!AC37</f>
        <v>929</v>
      </c>
      <c r="AA37">
        <f>쪽쟘제작!AD37</f>
        <v>111.2</v>
      </c>
      <c r="AB37">
        <f>쪽쟘제작!AE37</f>
        <v>123</v>
      </c>
      <c r="AC37">
        <f>쪽쟘제작!AF37</f>
        <v>2092</v>
      </c>
      <c r="AD37">
        <f>쪽쟘제작!AG37</f>
        <v>121</v>
      </c>
      <c r="AE37">
        <f>쪽쟘제작!AH37</f>
        <v>2092</v>
      </c>
    </row>
    <row r="38" spans="1:31" ht="18.75" customHeight="1" x14ac:dyDescent="0.3">
      <c r="A38" s="50" t="str">
        <f>'쪽쟘(실측)'!A38</f>
        <v>107   / 2</v>
      </c>
      <c r="B38" s="50" t="str">
        <f>'쪽쟘(실측)'!B38&amp;"F"</f>
        <v>3F</v>
      </c>
      <c r="C38" s="50" t="str">
        <f t="shared" si="0"/>
        <v>924*116.2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>IF(OR(쪽쟘제작!K38&lt;&gt;쪽쟘제작!L38,쪽쟘제작!O38&lt;&gt;쪽쟘제작!P38),"",AC38&amp;"*"&amp;AB38)</f>
        <v>2098*121</v>
      </c>
      <c r="H38" s="68" t="str">
        <f>IF(OR(쪽쟘제작!N38&lt;&gt;쪽쟘제작!M38,쪽쟘제작!Q38&lt;&gt;쪽쟘제작!R38),"",AE38&amp;"*"&amp;AD38)</f>
        <v>2098*118</v>
      </c>
      <c r="I38" s="70">
        <f>IF('쪽쟘(실측)'!F38&gt;0,'쪽쟘(실측)'!F38+0.5,0)</f>
        <v>18.5</v>
      </c>
      <c r="J38" s="50">
        <f>IF('쪽쟘(실측)'!H38&gt;0,'쪽쟘(실측)'!H38+0.5,0)</f>
        <v>15.5</v>
      </c>
      <c r="K38" s="50">
        <f>IF('쪽쟘(실측)'!F38&gt;0,'쪽쟘(실측)'!F38+1.5,0)</f>
        <v>19.5</v>
      </c>
      <c r="L38" s="50">
        <f>IF('쪽쟘(실측)'!G38&gt;0,'쪽쟘(실측)'!G38+1.5,0)</f>
        <v>19.5</v>
      </c>
      <c r="M38" s="50">
        <f>IF('쪽쟘(실측)'!H38&gt;0,'쪽쟘(실측)'!H38+1.5,0)</f>
        <v>16.5</v>
      </c>
      <c r="N38" s="50">
        <f>IF('쪽쟘(실측)'!I38&gt;0,'쪽쟘(실측)'!I38+1.5,0)</f>
        <v>16.5</v>
      </c>
      <c r="O38" s="50" t="e">
        <f>'쪽쟘(실측)'!J38-기둥차감</f>
        <v>#NAME?</v>
      </c>
      <c r="P38" s="50" t="e">
        <f>'쪽쟘(실측)'!K38-기둥차감</f>
        <v>#NAME?</v>
      </c>
      <c r="Q38" s="50" t="e">
        <f>'쪽쟘(실측)'!L38-기둥차감</f>
        <v>#NAME?</v>
      </c>
      <c r="R38" s="50" t="e">
        <f>'쪽쟘(실측)'!M38-기둥차감</f>
        <v>#NAME?</v>
      </c>
      <c r="S38" s="50">
        <f>'쪽쟘(실측)'!N38+1.2</f>
        <v>21.2</v>
      </c>
      <c r="T38" s="50">
        <f>'쪽쟘(실측)'!O38+1.2</f>
        <v>21.2</v>
      </c>
      <c r="U38" s="50">
        <f>'쪽쟘(실측)'!P38</f>
        <v>16</v>
      </c>
      <c r="V38" s="50">
        <f>'쪽쟘(실측)'!Q38</f>
        <v>25</v>
      </c>
      <c r="W38" s="50" t="e">
        <f>'쪽쟘(실측)'!R38-늘치차감</f>
        <v>#NAME?</v>
      </c>
      <c r="X38" s="50" t="e">
        <f>'쪽쟘(실측)'!S38-늘치차감</f>
        <v>#NAME?</v>
      </c>
      <c r="Z38">
        <f>쪽쟘제작!AC38</f>
        <v>924</v>
      </c>
      <c r="AA38">
        <f>쪽쟘제작!AD38</f>
        <v>116.2</v>
      </c>
      <c r="AB38">
        <f>쪽쟘제작!AE38</f>
        <v>121</v>
      </c>
      <c r="AC38">
        <f>쪽쟘제작!AF38</f>
        <v>2098</v>
      </c>
      <c r="AD38">
        <f>쪽쟘제작!AG38</f>
        <v>118</v>
      </c>
      <c r="AE38">
        <f>쪽쟘제작!AH38</f>
        <v>2098</v>
      </c>
    </row>
    <row r="39" spans="1:31" ht="18.75" customHeight="1" thickBot="1" x14ac:dyDescent="0.35">
      <c r="A39" s="379" t="str">
        <f>'쪽쟘(실측)'!A39</f>
        <v>107   / 2</v>
      </c>
      <c r="B39" s="379" t="str">
        <f>'쪽쟘(실측)'!B39&amp;"F"</f>
        <v>2F</v>
      </c>
      <c r="C39" s="379" t="str">
        <f t="shared" si="0"/>
        <v>930*117.2</v>
      </c>
      <c r="D39" s="379" t="e">
        <f>'쪽쟘(실측)'!C39-OP차감</f>
        <v>#NAME?</v>
      </c>
      <c r="E39" s="379" t="e">
        <f>'쪽쟘(실측)'!D39+쪽쟘J늘림+MAX(W39:X39)</f>
        <v>#VALUE!</v>
      </c>
      <c r="F39" s="379" t="e">
        <f>'쪽쟘(실측)'!E39+쪽쟘J늘림+MAX(W39:X39)</f>
        <v>#VALUE!</v>
      </c>
      <c r="G39" s="380" t="str">
        <f>IF(OR(쪽쟘제작!K39&lt;&gt;쪽쟘제작!L39,쪽쟘제작!O39&lt;&gt;쪽쟘제작!P39),"",AC39&amp;"*"&amp;AB39)</f>
        <v>2092*123</v>
      </c>
      <c r="H39" s="381" t="str">
        <f>IF(OR(쪽쟘제작!N39&lt;&gt;쪽쟘제작!M39,쪽쟘제작!Q39&lt;&gt;쪽쟘제작!R39),"",AE39&amp;"*"&amp;AD39)</f>
        <v>2098*123</v>
      </c>
      <c r="I39" s="70">
        <f>IF('쪽쟘(실측)'!F39&gt;0,'쪽쟘(실측)'!F39+0.5,0)</f>
        <v>20.5</v>
      </c>
      <c r="J39" s="50">
        <f>IF('쪽쟘(실측)'!H39&gt;0,'쪽쟘(실측)'!H39+0.5,0)</f>
        <v>20.5</v>
      </c>
      <c r="K39" s="50">
        <f>IF('쪽쟘(실측)'!F39&gt;0,'쪽쟘(실측)'!F39+1.5,0)</f>
        <v>21.5</v>
      </c>
      <c r="L39" s="50">
        <f>IF('쪽쟘(실측)'!G39&gt;0,'쪽쟘(실측)'!G39+1.5,0)</f>
        <v>21.5</v>
      </c>
      <c r="M39" s="50">
        <f>IF('쪽쟘(실측)'!H39&gt;0,'쪽쟘(실측)'!H39+1.5,0)</f>
        <v>21.5</v>
      </c>
      <c r="N39" s="50">
        <f>IF('쪽쟘(실측)'!I39&gt;0,'쪽쟘(실측)'!I39+1.5,0)</f>
        <v>21.5</v>
      </c>
      <c r="O39" s="50" t="e">
        <f>'쪽쟘(실측)'!J39-기둥차감</f>
        <v>#NAME?</v>
      </c>
      <c r="P39" s="50" t="e">
        <f>'쪽쟘(실측)'!K39-기둥차감</f>
        <v>#NAME?</v>
      </c>
      <c r="Q39" s="50" t="e">
        <f>'쪽쟘(실측)'!L39-기둥차감</f>
        <v>#NAME?</v>
      </c>
      <c r="R39" s="50" t="e">
        <f>'쪽쟘(실측)'!M39-기둥차감</f>
        <v>#NAME?</v>
      </c>
      <c r="S39" s="50">
        <f>'쪽쟘(실측)'!N39+1.2</f>
        <v>22.2</v>
      </c>
      <c r="T39" s="50">
        <f>'쪽쟘(실측)'!O39+1.2</f>
        <v>22.2</v>
      </c>
      <c r="U39" s="50">
        <f>'쪽쟘(실측)'!P39</f>
        <v>16</v>
      </c>
      <c r="V39" s="50">
        <f>'쪽쟘(실측)'!Q39</f>
        <v>25</v>
      </c>
      <c r="W39" s="50" t="e">
        <f>'쪽쟘(실측)'!R39-늘치차감</f>
        <v>#NAME?</v>
      </c>
      <c r="X39" s="50" t="e">
        <f>'쪽쟘(실측)'!S39-늘치차감</f>
        <v>#NAME?</v>
      </c>
      <c r="Z39">
        <f>쪽쟘제작!AC39</f>
        <v>930</v>
      </c>
      <c r="AA39">
        <f>쪽쟘제작!AD39</f>
        <v>117.2</v>
      </c>
      <c r="AB39">
        <f>쪽쟘제작!AE39</f>
        <v>123</v>
      </c>
      <c r="AC39">
        <f>쪽쟘제작!AF39</f>
        <v>2092</v>
      </c>
      <c r="AD39">
        <f>쪽쟘제작!AG39</f>
        <v>123</v>
      </c>
      <c r="AE39">
        <f>쪽쟘제작!AH39</f>
        <v>2098</v>
      </c>
    </row>
    <row r="40" spans="1:31" ht="18.75" customHeight="1" x14ac:dyDescent="0.3">
      <c r="A40" s="376" t="str">
        <f>'쪽쟘(실측)'!A40</f>
        <v>108   / 2</v>
      </c>
      <c r="B40" s="376" t="str">
        <f>'쪽쟘(실측)'!B40&amp;"F"</f>
        <v>15F</v>
      </c>
      <c r="C40" s="376" t="str">
        <f t="shared" si="0"/>
        <v>932*121.2</v>
      </c>
      <c r="D40" s="376" t="e">
        <f>'쪽쟘(실측)'!C40-OP차감</f>
        <v>#NAME?</v>
      </c>
      <c r="E40" s="376" t="e">
        <f>'쪽쟘(실측)'!D40+쪽쟘J늘림+MAX(W40:X40)</f>
        <v>#VALUE!</v>
      </c>
      <c r="F40" s="376" t="e">
        <f>'쪽쟘(실측)'!E40+쪽쟘J늘림+MAX(W40:X40)</f>
        <v>#VALUE!</v>
      </c>
      <c r="G40" s="377" t="str">
        <f>IF(OR(쪽쟘제작!K40&lt;&gt;쪽쟘제작!L40,쪽쟘제작!O40&lt;&gt;쪽쟘제작!P40),"",AC40&amp;"*"&amp;AB40)</f>
        <v>2098*123</v>
      </c>
      <c r="H40" s="378" t="str">
        <f>IF(OR(쪽쟘제작!N40&lt;&gt;쪽쟘제작!M40,쪽쟘제작!Q40&lt;&gt;쪽쟘제작!R40),"",AE40&amp;"*"&amp;AD40)</f>
        <v>2098*123</v>
      </c>
      <c r="I40" s="70">
        <f>IF('쪽쟘(실측)'!F40&gt;0,'쪽쟘(실측)'!F40+0.5,0)</f>
        <v>20.5</v>
      </c>
      <c r="J40" s="50">
        <f>IF('쪽쟘(실측)'!H40&gt;0,'쪽쟘(실측)'!H40+0.5,0)</f>
        <v>20.5</v>
      </c>
      <c r="K40" s="50">
        <f>IF('쪽쟘(실측)'!F40&gt;0,'쪽쟘(실측)'!F40+1.5,0)</f>
        <v>21.5</v>
      </c>
      <c r="L40" s="50">
        <f>IF('쪽쟘(실측)'!G40&gt;0,'쪽쟘(실측)'!G40+1.5,0)</f>
        <v>21.5</v>
      </c>
      <c r="M40" s="50">
        <f>IF('쪽쟘(실측)'!H40&gt;0,'쪽쟘(실측)'!H40+1.5,0)</f>
        <v>21.5</v>
      </c>
      <c r="N40" s="50">
        <f>IF('쪽쟘(실측)'!I40&gt;0,'쪽쟘(실측)'!I40+1.5,0)</f>
        <v>21.5</v>
      </c>
      <c r="O40" s="50" t="e">
        <f>'쪽쟘(실측)'!J40-기둥차감</f>
        <v>#NAME?</v>
      </c>
      <c r="P40" s="50" t="e">
        <f>'쪽쟘(실측)'!K40-기둥차감</f>
        <v>#NAME?</v>
      </c>
      <c r="Q40" s="50" t="e">
        <f>'쪽쟘(실측)'!L40-기둥차감</f>
        <v>#NAME?</v>
      </c>
      <c r="R40" s="50" t="e">
        <f>'쪽쟘(실측)'!M40-기둥차감</f>
        <v>#NAME?</v>
      </c>
      <c r="S40" s="50">
        <f>'쪽쟘(실측)'!N40+1.2</f>
        <v>26.2</v>
      </c>
      <c r="T40" s="50">
        <f>'쪽쟘(실측)'!O40+1.2</f>
        <v>26.2</v>
      </c>
      <c r="U40" s="50">
        <f>'쪽쟘(실측)'!P40</f>
        <v>16</v>
      </c>
      <c r="V40" s="50">
        <f>'쪽쟘(실측)'!Q40</f>
        <v>25</v>
      </c>
      <c r="W40" s="50" t="e">
        <f>'쪽쟘(실측)'!R40-늘치차감</f>
        <v>#NAME?</v>
      </c>
      <c r="X40" s="50" t="e">
        <f>'쪽쟘(실측)'!S40-늘치차감</f>
        <v>#NAME?</v>
      </c>
      <c r="Z40">
        <f>쪽쟘제작!AC40</f>
        <v>932</v>
      </c>
      <c r="AA40">
        <f>쪽쟘제작!AD40</f>
        <v>121.2</v>
      </c>
      <c r="AB40">
        <f>쪽쟘제작!AE40</f>
        <v>123</v>
      </c>
      <c r="AC40">
        <f>쪽쟘제작!AF40</f>
        <v>2098</v>
      </c>
      <c r="AD40">
        <f>쪽쟘제작!AG40</f>
        <v>123</v>
      </c>
      <c r="AE40">
        <f>쪽쟘제작!AH40</f>
        <v>2098</v>
      </c>
    </row>
    <row r="41" spans="1:31" ht="18.75" customHeight="1" x14ac:dyDescent="0.3">
      <c r="A41" s="50" t="str">
        <f>'쪽쟘(실측)'!A41</f>
        <v>108   / 2</v>
      </c>
      <c r="B41" s="50" t="str">
        <f>'쪽쟘(실측)'!B41&amp;"F"</f>
        <v>14F</v>
      </c>
      <c r="C41" s="50" t="str">
        <f t="shared" si="0"/>
        <v>938*121.2</v>
      </c>
      <c r="D41" s="50" t="e">
        <f>'쪽쟘(실측)'!C41-OP차감</f>
        <v>#NAME?</v>
      </c>
      <c r="E41" s="50" t="e">
        <f>'쪽쟘(실측)'!D41+쪽쟘J늘림+MAX(W41:X41)</f>
        <v>#VALUE!</v>
      </c>
      <c r="F41" s="50" t="e">
        <f>'쪽쟘(실측)'!E41+쪽쟘J늘림+MAX(W41:X41)</f>
        <v>#VALUE!</v>
      </c>
      <c r="G41" s="67" t="str">
        <f>IF(OR(쪽쟘제작!K41&lt;&gt;쪽쟘제작!L41,쪽쟘제작!O41&lt;&gt;쪽쟘제작!P41),"",AC41&amp;"*"&amp;AB41)</f>
        <v>2092*126</v>
      </c>
      <c r="H41" s="68" t="str">
        <f>IF(OR(쪽쟘제작!N41&lt;&gt;쪽쟘제작!M41,쪽쟘제작!Q41&lt;&gt;쪽쟘제작!R41),"",AE41&amp;"*"&amp;AD41)</f>
        <v>2092*126</v>
      </c>
      <c r="I41" s="70">
        <f>IF('쪽쟘(실측)'!F41&gt;0,'쪽쟘(실측)'!F41+0.5,0)</f>
        <v>23.5</v>
      </c>
      <c r="J41" s="50">
        <f>IF('쪽쟘(실측)'!H41&gt;0,'쪽쟘(실측)'!H41+0.5,0)</f>
        <v>23.5</v>
      </c>
      <c r="K41" s="50">
        <f>IF('쪽쟘(실측)'!F41&gt;0,'쪽쟘(실측)'!F41+1.5,0)</f>
        <v>24.5</v>
      </c>
      <c r="L41" s="50">
        <f>IF('쪽쟘(실측)'!G41&gt;0,'쪽쟘(실측)'!G41+1.5,0)</f>
        <v>24.5</v>
      </c>
      <c r="M41" s="50">
        <f>IF('쪽쟘(실측)'!H41&gt;0,'쪽쟘(실측)'!H41+1.5,0)</f>
        <v>24.5</v>
      </c>
      <c r="N41" s="50">
        <f>IF('쪽쟘(실측)'!I41&gt;0,'쪽쟘(실측)'!I41+1.5,0)</f>
        <v>24.5</v>
      </c>
      <c r="O41" s="50" t="e">
        <f>'쪽쟘(실측)'!J41-기둥차감</f>
        <v>#NAME?</v>
      </c>
      <c r="P41" s="50" t="e">
        <f>'쪽쟘(실측)'!K41-기둥차감</f>
        <v>#NAME?</v>
      </c>
      <c r="Q41" s="50" t="e">
        <f>'쪽쟘(실측)'!L41-기둥차감</f>
        <v>#NAME?</v>
      </c>
      <c r="R41" s="50" t="e">
        <f>'쪽쟘(실측)'!M41-기둥차감</f>
        <v>#NAME?</v>
      </c>
      <c r="S41" s="50">
        <f>'쪽쟘(실측)'!N41+1.2</f>
        <v>26.2</v>
      </c>
      <c r="T41" s="50">
        <f>'쪽쟘(실측)'!O41+1.2</f>
        <v>26.2</v>
      </c>
      <c r="U41" s="50">
        <f>'쪽쟘(실측)'!P41</f>
        <v>16</v>
      </c>
      <c r="V41" s="50">
        <f>'쪽쟘(실측)'!Q41</f>
        <v>25</v>
      </c>
      <c r="W41" s="50" t="e">
        <f>'쪽쟘(실측)'!R41-늘치차감</f>
        <v>#NAME?</v>
      </c>
      <c r="X41" s="50" t="e">
        <f>'쪽쟘(실측)'!S41-늘치차감</f>
        <v>#NAME?</v>
      </c>
      <c r="Z41">
        <f>쪽쟘제작!AC41</f>
        <v>938</v>
      </c>
      <c r="AA41">
        <f>쪽쟘제작!AD41</f>
        <v>121.2</v>
      </c>
      <c r="AB41">
        <f>쪽쟘제작!AE41</f>
        <v>126.00000000000001</v>
      </c>
      <c r="AC41">
        <f>쪽쟘제작!AF41</f>
        <v>2092</v>
      </c>
      <c r="AD41">
        <f>쪽쟘제작!AG41</f>
        <v>126.00000000000001</v>
      </c>
      <c r="AE41">
        <f>쪽쟘제작!AH41</f>
        <v>2092</v>
      </c>
    </row>
    <row r="42" spans="1:31" ht="18.75" customHeight="1" x14ac:dyDescent="0.3">
      <c r="A42" s="50" t="str">
        <f>'쪽쟘(실측)'!A42</f>
        <v>108   / 2</v>
      </c>
      <c r="B42" s="50" t="str">
        <f>'쪽쟘(실측)'!B42&amp;"F"</f>
        <v>13F</v>
      </c>
      <c r="C42" s="50" t="str">
        <f t="shared" si="0"/>
        <v>937*119.2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>IF(OR(쪽쟘제작!K42&lt;&gt;쪽쟘제작!L42,쪽쟘제작!O42&lt;&gt;쪽쟘제작!P42),"",AC42&amp;"*"&amp;AB42)</f>
        <v>2092*126</v>
      </c>
      <c r="H42" s="68" t="str">
        <f>IF(OR(쪽쟘제작!N42&lt;&gt;쪽쟘제작!M42,쪽쟘제작!Q42&lt;&gt;쪽쟘제작!R42),"",AE42&amp;"*"&amp;AD42)</f>
        <v>2098*127</v>
      </c>
      <c r="I42" s="70">
        <f>IF('쪽쟘(실측)'!F42&gt;0,'쪽쟘(실측)'!F42+0.5,0)</f>
        <v>23.5</v>
      </c>
      <c r="J42" s="50">
        <f>IF('쪽쟘(실측)'!H42&gt;0,'쪽쟘(실측)'!H42+0.5,0)</f>
        <v>24.5</v>
      </c>
      <c r="K42" s="50">
        <f>IF('쪽쟘(실측)'!F42&gt;0,'쪽쟘(실측)'!F42+1.5,0)</f>
        <v>24.5</v>
      </c>
      <c r="L42" s="50">
        <f>IF('쪽쟘(실측)'!G42&gt;0,'쪽쟘(실측)'!G42+1.5,0)</f>
        <v>24.5</v>
      </c>
      <c r="M42" s="50">
        <f>IF('쪽쟘(실측)'!H42&gt;0,'쪽쟘(실측)'!H42+1.5,0)</f>
        <v>25.5</v>
      </c>
      <c r="N42" s="50">
        <f>IF('쪽쟘(실측)'!I42&gt;0,'쪽쟘(실측)'!I42+1.5,0)</f>
        <v>25.5</v>
      </c>
      <c r="O42" s="50" t="e">
        <f>'쪽쟘(실측)'!J42-기둥차감</f>
        <v>#NAME?</v>
      </c>
      <c r="P42" s="50" t="e">
        <f>'쪽쟘(실측)'!K42-기둥차감</f>
        <v>#NAME?</v>
      </c>
      <c r="Q42" s="50" t="e">
        <f>'쪽쟘(실측)'!L42-기둥차감</f>
        <v>#NAME?</v>
      </c>
      <c r="R42" s="50" t="e">
        <f>'쪽쟘(실측)'!M42-기둥차감</f>
        <v>#NAME?</v>
      </c>
      <c r="S42" s="50">
        <f>'쪽쟘(실측)'!N42+1.2</f>
        <v>24.2</v>
      </c>
      <c r="T42" s="50">
        <f>'쪽쟘(실측)'!O42+1.2</f>
        <v>24.2</v>
      </c>
      <c r="U42" s="50">
        <f>'쪽쟘(실측)'!P42</f>
        <v>16</v>
      </c>
      <c r="V42" s="50">
        <f>'쪽쟘(실측)'!Q42</f>
        <v>25</v>
      </c>
      <c r="W42" s="50" t="e">
        <f>'쪽쟘(실측)'!R42-늘치차감</f>
        <v>#NAME?</v>
      </c>
      <c r="X42" s="50" t="e">
        <f>'쪽쟘(실측)'!S42-늘치차감</f>
        <v>#NAME?</v>
      </c>
      <c r="Z42">
        <f>쪽쟘제작!AC42</f>
        <v>937</v>
      </c>
      <c r="AA42">
        <f>쪽쟘제작!AD42</f>
        <v>119.2</v>
      </c>
      <c r="AB42">
        <f>쪽쟘제작!AE42</f>
        <v>126.00000000000001</v>
      </c>
      <c r="AC42">
        <f>쪽쟘제작!AF42</f>
        <v>2092</v>
      </c>
      <c r="AD42">
        <f>쪽쟘제작!AG42</f>
        <v>127.00000000000001</v>
      </c>
      <c r="AE42">
        <f>쪽쟘제작!AH42</f>
        <v>2098</v>
      </c>
    </row>
    <row r="43" spans="1:31" ht="18.75" customHeight="1" x14ac:dyDescent="0.3">
      <c r="A43" s="50" t="str">
        <f>'쪽쟘(실측)'!A43</f>
        <v>108   / 2</v>
      </c>
      <c r="B43" s="50" t="str">
        <f>'쪽쟘(실측)'!B43&amp;"F"</f>
        <v>12F</v>
      </c>
      <c r="C43" s="50" t="str">
        <f t="shared" si="0"/>
        <v>938*123.2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>IF(OR(쪽쟘제작!K43&lt;&gt;쪽쟘제작!L43,쪽쟘제작!O43&lt;&gt;쪽쟘제작!P43),"",AC43&amp;"*"&amp;AB43)</f>
        <v>2092*128</v>
      </c>
      <c r="H43" s="68" t="str">
        <f>IF(OR(쪽쟘제작!N43&lt;&gt;쪽쟘제작!M43,쪽쟘제작!Q43&lt;&gt;쪽쟘제작!R43),"",AE43&amp;"*"&amp;AD43)</f>
        <v>2098*124</v>
      </c>
      <c r="I43" s="70">
        <f>IF('쪽쟘(실측)'!F43&gt;0,'쪽쟘(실측)'!F43+0.5,0)</f>
        <v>25.5</v>
      </c>
      <c r="J43" s="50">
        <f>IF('쪽쟘(실측)'!H43&gt;0,'쪽쟘(실측)'!H43+0.5,0)</f>
        <v>21.5</v>
      </c>
      <c r="K43" s="50">
        <f>IF('쪽쟘(실측)'!F43&gt;0,'쪽쟘(실측)'!F43+1.5,0)</f>
        <v>26.5</v>
      </c>
      <c r="L43" s="50">
        <f>IF('쪽쟘(실측)'!G43&gt;0,'쪽쟘(실측)'!G43+1.5,0)</f>
        <v>26.5</v>
      </c>
      <c r="M43" s="50">
        <f>IF('쪽쟘(실측)'!H43&gt;0,'쪽쟘(실측)'!H43+1.5,0)</f>
        <v>22.5</v>
      </c>
      <c r="N43" s="50">
        <f>IF('쪽쟘(실측)'!I43&gt;0,'쪽쟘(실측)'!I43+1.5,0)</f>
        <v>22.5</v>
      </c>
      <c r="O43" s="50" t="e">
        <f>'쪽쟘(실측)'!J43-기둥차감</f>
        <v>#NAME?</v>
      </c>
      <c r="P43" s="50" t="e">
        <f>'쪽쟘(실측)'!K43-기둥차감</f>
        <v>#NAME?</v>
      </c>
      <c r="Q43" s="50" t="e">
        <f>'쪽쟘(실측)'!L43-기둥차감</f>
        <v>#NAME?</v>
      </c>
      <c r="R43" s="50" t="e">
        <f>'쪽쟘(실측)'!M43-기둥차감</f>
        <v>#NAME?</v>
      </c>
      <c r="S43" s="50">
        <f>'쪽쟘(실측)'!N43+1.2</f>
        <v>28.2</v>
      </c>
      <c r="T43" s="50">
        <f>'쪽쟘(실측)'!O43+1.2</f>
        <v>28.2</v>
      </c>
      <c r="U43" s="50">
        <f>'쪽쟘(실측)'!P43</f>
        <v>16</v>
      </c>
      <c r="V43" s="50">
        <f>'쪽쟘(실측)'!Q43</f>
        <v>25</v>
      </c>
      <c r="W43" s="50" t="e">
        <f>'쪽쟘(실측)'!R43-늘치차감</f>
        <v>#NAME?</v>
      </c>
      <c r="X43" s="50" t="e">
        <f>'쪽쟘(실측)'!S43-늘치차감</f>
        <v>#NAME?</v>
      </c>
      <c r="Z43">
        <f>쪽쟘제작!AC43</f>
        <v>938</v>
      </c>
      <c r="AA43">
        <f>쪽쟘제작!AD43</f>
        <v>123.2</v>
      </c>
      <c r="AB43">
        <f>쪽쟘제작!AE43</f>
        <v>128.00000000000003</v>
      </c>
      <c r="AC43">
        <f>쪽쟘제작!AF43</f>
        <v>2092</v>
      </c>
      <c r="AD43">
        <f>쪽쟘제작!AG43</f>
        <v>124.00000000000001</v>
      </c>
      <c r="AE43">
        <f>쪽쟘제작!AH43</f>
        <v>2098</v>
      </c>
    </row>
    <row r="44" spans="1:31" ht="18.75" customHeight="1" x14ac:dyDescent="0.3">
      <c r="A44" s="50" t="str">
        <f>'쪽쟘(실측)'!A44</f>
        <v>108   / 2</v>
      </c>
      <c r="B44" s="50" t="str">
        <f>'쪽쟘(실측)'!B44&amp;"F"</f>
        <v>11F</v>
      </c>
      <c r="C44" s="50" t="str">
        <f t="shared" si="0"/>
        <v>936*126.2</v>
      </c>
      <c r="D44" s="50" t="e">
        <f>'쪽쟘(실측)'!C44-OP차감</f>
        <v>#NAME?</v>
      </c>
      <c r="E44" s="50" t="e">
        <f>'쪽쟘(실측)'!D44+쪽쟘J늘림+MAX(W44:X44)</f>
        <v>#VALUE!</v>
      </c>
      <c r="F44" s="50" t="e">
        <f>'쪽쟘(실측)'!E44+쪽쟘J늘림+MAX(W44:X44)</f>
        <v>#VALUE!</v>
      </c>
      <c r="G44" s="67" t="str">
        <f>IF(OR(쪽쟘제작!K44&lt;&gt;쪽쟘제작!L44,쪽쟘제작!O44&lt;&gt;쪽쟘제작!P44),"",AC44&amp;"*"&amp;AB44)</f>
        <v>2092*124</v>
      </c>
      <c r="H44" s="68" t="str">
        <f>IF(OR(쪽쟘제작!N44&lt;&gt;쪽쟘제작!M44,쪽쟘제작!Q44&lt;&gt;쪽쟘제작!R44),"",AE44&amp;"*"&amp;AD44)</f>
        <v>2098*126</v>
      </c>
      <c r="I44" s="70">
        <f>IF('쪽쟘(실측)'!F44&gt;0,'쪽쟘(실측)'!F44+0.5,0)</f>
        <v>21.5</v>
      </c>
      <c r="J44" s="50">
        <f>IF('쪽쟘(실측)'!H44&gt;0,'쪽쟘(실측)'!H44+0.5,0)</f>
        <v>23.5</v>
      </c>
      <c r="K44" s="50">
        <f>IF('쪽쟘(실측)'!F44&gt;0,'쪽쟘(실측)'!F44+1.5,0)</f>
        <v>22.5</v>
      </c>
      <c r="L44" s="50">
        <f>IF('쪽쟘(실측)'!G44&gt;0,'쪽쟘(실측)'!G44+1.5,0)</f>
        <v>22.5</v>
      </c>
      <c r="M44" s="50">
        <f>IF('쪽쟘(실측)'!H44&gt;0,'쪽쟘(실측)'!H44+1.5,0)</f>
        <v>24.5</v>
      </c>
      <c r="N44" s="50">
        <f>IF('쪽쟘(실측)'!I44&gt;0,'쪽쟘(실측)'!I44+1.5,0)</f>
        <v>24.5</v>
      </c>
      <c r="O44" s="50" t="e">
        <f>'쪽쟘(실측)'!J44-기둥차감</f>
        <v>#NAME?</v>
      </c>
      <c r="P44" s="50" t="e">
        <f>'쪽쟘(실측)'!K44-기둥차감</f>
        <v>#NAME?</v>
      </c>
      <c r="Q44" s="50" t="e">
        <f>'쪽쟘(실측)'!L44-기둥차감</f>
        <v>#NAME?</v>
      </c>
      <c r="R44" s="50" t="e">
        <f>'쪽쟘(실측)'!M44-기둥차감</f>
        <v>#NAME?</v>
      </c>
      <c r="S44" s="50">
        <f>'쪽쟘(실측)'!N44+1.2</f>
        <v>31.2</v>
      </c>
      <c r="T44" s="50">
        <f>'쪽쟘(실측)'!O44+1.2</f>
        <v>31.2</v>
      </c>
      <c r="U44" s="50">
        <f>'쪽쟘(실측)'!P44</f>
        <v>16</v>
      </c>
      <c r="V44" s="50">
        <f>'쪽쟘(실측)'!Q44</f>
        <v>25</v>
      </c>
      <c r="W44" s="50" t="e">
        <f>'쪽쟘(실측)'!R44-늘치차감</f>
        <v>#NAME?</v>
      </c>
      <c r="X44" s="50" t="e">
        <f>'쪽쟘(실측)'!S44-늘치차감</f>
        <v>#NAME?</v>
      </c>
      <c r="Z44">
        <f>쪽쟘제작!AC44</f>
        <v>936</v>
      </c>
      <c r="AA44">
        <f>쪽쟘제작!AD44</f>
        <v>126.2</v>
      </c>
      <c r="AB44">
        <f>쪽쟘제작!AE44</f>
        <v>124.00000000000001</v>
      </c>
      <c r="AC44">
        <f>쪽쟘제작!AF44</f>
        <v>2092</v>
      </c>
      <c r="AD44">
        <f>쪽쟘제작!AG44</f>
        <v>126.00000000000001</v>
      </c>
      <c r="AE44">
        <f>쪽쟘제작!AH44</f>
        <v>2098</v>
      </c>
    </row>
    <row r="45" spans="1:31" ht="18.75" customHeight="1" x14ac:dyDescent="0.3">
      <c r="A45" s="50" t="str">
        <f>'쪽쟘(실측)'!A45</f>
        <v>108   / 2</v>
      </c>
      <c r="B45" s="50" t="str">
        <f>'쪽쟘(실측)'!B45&amp;"F"</f>
        <v>10F</v>
      </c>
      <c r="C45" s="50" t="str">
        <f t="shared" si="0"/>
        <v>937*121.2</v>
      </c>
      <c r="D45" s="50" t="e">
        <f>'쪽쟘(실측)'!C45-OP차감</f>
        <v>#NAME?</v>
      </c>
      <c r="E45" s="50" t="e">
        <f>'쪽쟘(실측)'!D45+쪽쟘J늘림+MAX(W45:X45)</f>
        <v>#VALUE!</v>
      </c>
      <c r="F45" s="50" t="e">
        <f>'쪽쟘(실측)'!E45+쪽쟘J늘림+MAX(W45:X45)</f>
        <v>#VALUE!</v>
      </c>
      <c r="G45" s="67" t="str">
        <f>IF(OR(쪽쟘제작!K45&lt;&gt;쪽쟘제작!L45,쪽쟘제작!O45&lt;&gt;쪽쟘제작!P45),"",AC45&amp;"*"&amp;AB45)</f>
        <v>2092*126</v>
      </c>
      <c r="H45" s="68" t="str">
        <f>IF(OR(쪽쟘제작!N45&lt;&gt;쪽쟘제작!M45,쪽쟘제작!Q45&lt;&gt;쪽쟘제작!R45),"",AE45&amp;"*"&amp;AD45)</f>
        <v>2092*126</v>
      </c>
      <c r="I45" s="70">
        <f>IF('쪽쟘(실측)'!F45&gt;0,'쪽쟘(실측)'!F45+0.5,0)</f>
        <v>23.5</v>
      </c>
      <c r="J45" s="50">
        <f>IF('쪽쟘(실측)'!H45&gt;0,'쪽쟘(실측)'!H45+0.5,0)</f>
        <v>23.5</v>
      </c>
      <c r="K45" s="50">
        <f>IF('쪽쟘(실측)'!F45&gt;0,'쪽쟘(실측)'!F45+1.5,0)</f>
        <v>24.5</v>
      </c>
      <c r="L45" s="50">
        <f>IF('쪽쟘(실측)'!G45&gt;0,'쪽쟘(실측)'!G45+1.5,0)</f>
        <v>24.5</v>
      </c>
      <c r="M45" s="50">
        <f>IF('쪽쟘(실측)'!H45&gt;0,'쪽쟘(실측)'!H45+1.5,0)</f>
        <v>24.5</v>
      </c>
      <c r="N45" s="50">
        <f>IF('쪽쟘(실측)'!I45&gt;0,'쪽쟘(실측)'!I45+1.5,0)</f>
        <v>24.5</v>
      </c>
      <c r="O45" s="50" t="e">
        <f>'쪽쟘(실측)'!J45-기둥차감</f>
        <v>#NAME?</v>
      </c>
      <c r="P45" s="50" t="e">
        <f>'쪽쟘(실측)'!K45-기둥차감</f>
        <v>#NAME?</v>
      </c>
      <c r="Q45" s="50" t="e">
        <f>'쪽쟘(실측)'!L45-기둥차감</f>
        <v>#NAME?</v>
      </c>
      <c r="R45" s="50" t="e">
        <f>'쪽쟘(실측)'!M45-기둥차감</f>
        <v>#NAME?</v>
      </c>
      <c r="S45" s="50">
        <f>'쪽쟘(실측)'!N45+1.2</f>
        <v>26.2</v>
      </c>
      <c r="T45" s="50">
        <f>'쪽쟘(실측)'!O45+1.2</f>
        <v>26.2</v>
      </c>
      <c r="U45" s="50">
        <f>'쪽쟘(실측)'!P45</f>
        <v>16</v>
      </c>
      <c r="V45" s="50">
        <f>'쪽쟘(실측)'!Q45</f>
        <v>25</v>
      </c>
      <c r="W45" s="50" t="e">
        <f>'쪽쟘(실측)'!R45-늘치차감</f>
        <v>#NAME?</v>
      </c>
      <c r="X45" s="50" t="e">
        <f>'쪽쟘(실측)'!S45-늘치차감</f>
        <v>#NAME?</v>
      </c>
      <c r="Z45">
        <f>쪽쟘제작!AC45</f>
        <v>937</v>
      </c>
      <c r="AA45">
        <f>쪽쟘제작!AD45</f>
        <v>121.2</v>
      </c>
      <c r="AB45">
        <f>쪽쟘제작!AE45</f>
        <v>126.00000000000001</v>
      </c>
      <c r="AC45">
        <f>쪽쟘제작!AF45</f>
        <v>2092</v>
      </c>
      <c r="AD45">
        <f>쪽쟘제작!AG45</f>
        <v>126.00000000000001</v>
      </c>
      <c r="AE45">
        <f>쪽쟘제작!AH45</f>
        <v>2092</v>
      </c>
    </row>
    <row r="46" spans="1:31" ht="18.75" customHeight="1" x14ac:dyDescent="0.3">
      <c r="A46" s="50" t="str">
        <f>'쪽쟘(실측)'!A46</f>
        <v>108   / 2</v>
      </c>
      <c r="B46" s="50" t="str">
        <f>'쪽쟘(실측)'!B46&amp;"F"</f>
        <v>9F</v>
      </c>
      <c r="C46" s="50" t="str">
        <f t="shared" si="0"/>
        <v>938*122.2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>IF(OR(쪽쟘제작!K46&lt;&gt;쪽쟘제작!L46,쪽쟘제작!O46&lt;&gt;쪽쟘제작!P46),"",AC46&amp;"*"&amp;AB46)</f>
        <v>2098*126</v>
      </c>
      <c r="H46" s="68" t="str">
        <f>IF(OR(쪽쟘제작!N46&lt;&gt;쪽쟘제작!M46,쪽쟘제작!Q46&lt;&gt;쪽쟘제작!R46),"",AE46&amp;"*"&amp;AD46)</f>
        <v>2092*127</v>
      </c>
      <c r="I46" s="70">
        <f>IF('쪽쟘(실측)'!F46&gt;0,'쪽쟘(실측)'!F46+0.5,0)</f>
        <v>23.5</v>
      </c>
      <c r="J46" s="50">
        <f>IF('쪽쟘(실측)'!H46&gt;0,'쪽쟘(실측)'!H46+0.5,0)</f>
        <v>24.5</v>
      </c>
      <c r="K46" s="50">
        <f>IF('쪽쟘(실측)'!F46&gt;0,'쪽쟘(실측)'!F46+1.5,0)</f>
        <v>24.5</v>
      </c>
      <c r="L46" s="50">
        <f>IF('쪽쟘(실측)'!G46&gt;0,'쪽쟘(실측)'!G46+1.5,0)</f>
        <v>24.5</v>
      </c>
      <c r="M46" s="50">
        <f>IF('쪽쟘(실측)'!H46&gt;0,'쪽쟘(실측)'!H46+1.5,0)</f>
        <v>25.5</v>
      </c>
      <c r="N46" s="50">
        <f>IF('쪽쟘(실측)'!I46&gt;0,'쪽쟘(실측)'!I46+1.5,0)</f>
        <v>25.5</v>
      </c>
      <c r="O46" s="50" t="e">
        <f>'쪽쟘(실측)'!J46-기둥차감</f>
        <v>#NAME?</v>
      </c>
      <c r="P46" s="50" t="e">
        <f>'쪽쟘(실측)'!K46-기둥차감</f>
        <v>#NAME?</v>
      </c>
      <c r="Q46" s="50" t="e">
        <f>'쪽쟘(실측)'!L46-기둥차감</f>
        <v>#NAME?</v>
      </c>
      <c r="R46" s="50" t="e">
        <f>'쪽쟘(실측)'!M46-기둥차감</f>
        <v>#NAME?</v>
      </c>
      <c r="S46" s="50">
        <f>'쪽쟘(실측)'!N46+1.2</f>
        <v>27.2</v>
      </c>
      <c r="T46" s="50">
        <f>'쪽쟘(실측)'!O46+1.2</f>
        <v>27.2</v>
      </c>
      <c r="U46" s="50">
        <f>'쪽쟘(실측)'!P46</f>
        <v>16</v>
      </c>
      <c r="V46" s="50">
        <f>'쪽쟘(실측)'!Q46</f>
        <v>25</v>
      </c>
      <c r="W46" s="50" t="e">
        <f>'쪽쟘(실측)'!R46-늘치차감</f>
        <v>#NAME?</v>
      </c>
      <c r="X46" s="50" t="e">
        <f>'쪽쟘(실측)'!S46-늘치차감</f>
        <v>#NAME?</v>
      </c>
      <c r="Z46">
        <f>쪽쟘제작!AC46</f>
        <v>938</v>
      </c>
      <c r="AA46">
        <f>쪽쟘제작!AD46</f>
        <v>122.2</v>
      </c>
      <c r="AB46">
        <f>쪽쟘제작!AE46</f>
        <v>126.00000000000001</v>
      </c>
      <c r="AC46">
        <f>쪽쟘제작!AF46</f>
        <v>2098</v>
      </c>
      <c r="AD46">
        <f>쪽쟘제작!AG46</f>
        <v>127.00000000000001</v>
      </c>
      <c r="AE46">
        <f>쪽쟘제작!AH46</f>
        <v>2092</v>
      </c>
    </row>
    <row r="47" spans="1:31" ht="18.75" customHeight="1" x14ac:dyDescent="0.3">
      <c r="A47" s="50" t="str">
        <f>'쪽쟘(실측)'!A47</f>
        <v>108   / 2</v>
      </c>
      <c r="B47" s="50" t="str">
        <f>'쪽쟘(실측)'!B47&amp;"F"</f>
        <v>8F</v>
      </c>
      <c r="C47" s="50" t="str">
        <f t="shared" si="0"/>
        <v>939*126.2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>IF(OR(쪽쟘제작!K47&lt;&gt;쪽쟘제작!L47,쪽쟘제작!O47&lt;&gt;쪽쟘제작!P47),"",AC47&amp;"*"&amp;AB47)</f>
        <v>2098*126</v>
      </c>
      <c r="H47" s="68" t="str">
        <f>IF(OR(쪽쟘제작!N47&lt;&gt;쪽쟘제작!M47,쪽쟘제작!Q47&lt;&gt;쪽쟘제작!R47),"",AE47&amp;"*"&amp;AD47)</f>
        <v>2092*127</v>
      </c>
      <c r="I47" s="70">
        <f>IF('쪽쟘(실측)'!F47&gt;0,'쪽쟘(실측)'!F47+0.5,0)</f>
        <v>23.5</v>
      </c>
      <c r="J47" s="50">
        <f>IF('쪽쟘(실측)'!H47&gt;0,'쪽쟘(실측)'!H47+0.5,0)</f>
        <v>24.5</v>
      </c>
      <c r="K47" s="50">
        <f>IF('쪽쟘(실측)'!F47&gt;0,'쪽쟘(실측)'!F47+1.5,0)</f>
        <v>24.5</v>
      </c>
      <c r="L47" s="50">
        <f>IF('쪽쟘(실측)'!G47&gt;0,'쪽쟘(실측)'!G47+1.5,0)</f>
        <v>24.5</v>
      </c>
      <c r="M47" s="50">
        <f>IF('쪽쟘(실측)'!H47&gt;0,'쪽쟘(실측)'!H47+1.5,0)</f>
        <v>25.5</v>
      </c>
      <c r="N47" s="50">
        <f>IF('쪽쟘(실측)'!I47&gt;0,'쪽쟘(실측)'!I47+1.5,0)</f>
        <v>25.5</v>
      </c>
      <c r="O47" s="50" t="e">
        <f>'쪽쟘(실측)'!J47-기둥차감</f>
        <v>#NAME?</v>
      </c>
      <c r="P47" s="50" t="e">
        <f>'쪽쟘(실측)'!K47-기둥차감</f>
        <v>#NAME?</v>
      </c>
      <c r="Q47" s="50" t="e">
        <f>'쪽쟘(실측)'!L47-기둥차감</f>
        <v>#NAME?</v>
      </c>
      <c r="R47" s="50" t="e">
        <f>'쪽쟘(실측)'!M47-기둥차감</f>
        <v>#NAME?</v>
      </c>
      <c r="S47" s="50">
        <f>'쪽쟘(실측)'!N47+1.2</f>
        <v>31.2</v>
      </c>
      <c r="T47" s="50">
        <f>'쪽쟘(실측)'!O47+1.2</f>
        <v>31.2</v>
      </c>
      <c r="U47" s="50">
        <f>'쪽쟘(실측)'!P47</f>
        <v>16</v>
      </c>
      <c r="V47" s="50">
        <f>'쪽쟘(실측)'!Q47</f>
        <v>25</v>
      </c>
      <c r="W47" s="50" t="e">
        <f>'쪽쟘(실측)'!R47-늘치차감</f>
        <v>#NAME?</v>
      </c>
      <c r="X47" s="50" t="e">
        <f>'쪽쟘(실측)'!S47-늘치차감</f>
        <v>#NAME?</v>
      </c>
      <c r="Z47">
        <f>쪽쟘제작!AC47</f>
        <v>939</v>
      </c>
      <c r="AA47">
        <f>쪽쟘제작!AD47</f>
        <v>126.2</v>
      </c>
      <c r="AB47">
        <f>쪽쟘제작!AE47</f>
        <v>126.00000000000001</v>
      </c>
      <c r="AC47">
        <f>쪽쟘제작!AF47</f>
        <v>2098</v>
      </c>
      <c r="AD47">
        <f>쪽쟘제작!AG47</f>
        <v>127.00000000000001</v>
      </c>
      <c r="AE47">
        <f>쪽쟘제작!AH47</f>
        <v>2092</v>
      </c>
    </row>
    <row r="48" spans="1:31" ht="18.75" customHeight="1" x14ac:dyDescent="0.3">
      <c r="A48" s="50" t="str">
        <f>'쪽쟘(실측)'!A48</f>
        <v>108   / 2</v>
      </c>
      <c r="B48" s="50" t="str">
        <f>'쪽쟘(실측)'!B48&amp;"F"</f>
        <v>7F</v>
      </c>
      <c r="C48" s="50" t="str">
        <f t="shared" si="0"/>
        <v>937*121.2</v>
      </c>
      <c r="D48" s="50" t="e">
        <f>'쪽쟘(실측)'!C48-OP차감</f>
        <v>#NAME?</v>
      </c>
      <c r="E48" s="50" t="e">
        <f>'쪽쟘(실측)'!D48+쪽쟘J늘림+MAX(W48:X48)</f>
        <v>#VALUE!</v>
      </c>
      <c r="F48" s="50" t="e">
        <f>'쪽쟘(실측)'!E48+쪽쟘J늘림+MAX(W48:X48)</f>
        <v>#VALUE!</v>
      </c>
      <c r="G48" s="67" t="str">
        <f>IF(OR(쪽쟘제작!K48&lt;&gt;쪽쟘제작!L48,쪽쟘제작!O48&lt;&gt;쪽쟘제작!P48),"",AC48&amp;"*"&amp;AB48)</f>
        <v>2092*126</v>
      </c>
      <c r="H48" s="68" t="str">
        <f>IF(OR(쪽쟘제작!N48&lt;&gt;쪽쟘제작!M48,쪽쟘제작!Q48&lt;&gt;쪽쟘제작!R48),"",AE48&amp;"*"&amp;AD48)</f>
        <v>2092*126</v>
      </c>
      <c r="I48" s="70">
        <f>IF('쪽쟘(실측)'!F48&gt;0,'쪽쟘(실측)'!F48+0.5,0)</f>
        <v>23.5</v>
      </c>
      <c r="J48" s="50">
        <f>IF('쪽쟘(실측)'!H48&gt;0,'쪽쟘(실측)'!H48+0.5,0)</f>
        <v>23.5</v>
      </c>
      <c r="K48" s="50">
        <f>IF('쪽쟘(실측)'!F48&gt;0,'쪽쟘(실측)'!F48+1.5,0)</f>
        <v>24.5</v>
      </c>
      <c r="L48" s="50">
        <f>IF('쪽쟘(실측)'!G48&gt;0,'쪽쟘(실측)'!G48+1.5,0)</f>
        <v>24.5</v>
      </c>
      <c r="M48" s="50">
        <f>IF('쪽쟘(실측)'!H48&gt;0,'쪽쟘(실측)'!H48+1.5,0)</f>
        <v>24.5</v>
      </c>
      <c r="N48" s="50">
        <f>IF('쪽쟘(실측)'!I48&gt;0,'쪽쟘(실측)'!I48+1.5,0)</f>
        <v>24.5</v>
      </c>
      <c r="O48" s="50" t="e">
        <f>'쪽쟘(실측)'!J48-기둥차감</f>
        <v>#NAME?</v>
      </c>
      <c r="P48" s="50" t="e">
        <f>'쪽쟘(실측)'!K48-기둥차감</f>
        <v>#NAME?</v>
      </c>
      <c r="Q48" s="50" t="e">
        <f>'쪽쟘(실측)'!L48-기둥차감</f>
        <v>#NAME?</v>
      </c>
      <c r="R48" s="50" t="e">
        <f>'쪽쟘(실측)'!M48-기둥차감</f>
        <v>#NAME?</v>
      </c>
      <c r="S48" s="50">
        <f>'쪽쟘(실측)'!N48+1.2</f>
        <v>26.2</v>
      </c>
      <c r="T48" s="50">
        <f>'쪽쟘(실측)'!O48+1.2</f>
        <v>26.2</v>
      </c>
      <c r="U48" s="50">
        <f>'쪽쟘(실측)'!P48</f>
        <v>16</v>
      </c>
      <c r="V48" s="50">
        <f>'쪽쟘(실측)'!Q48</f>
        <v>25</v>
      </c>
      <c r="W48" s="50" t="e">
        <f>'쪽쟘(실측)'!R48-늘치차감</f>
        <v>#NAME?</v>
      </c>
      <c r="X48" s="50" t="e">
        <f>'쪽쟘(실측)'!S48-늘치차감</f>
        <v>#NAME?</v>
      </c>
      <c r="Z48">
        <f>쪽쟘제작!AC48</f>
        <v>937</v>
      </c>
      <c r="AA48">
        <f>쪽쟘제작!AD48</f>
        <v>121.2</v>
      </c>
      <c r="AB48">
        <f>쪽쟘제작!AE48</f>
        <v>126.00000000000001</v>
      </c>
      <c r="AC48">
        <f>쪽쟘제작!AF48</f>
        <v>2092</v>
      </c>
      <c r="AD48">
        <f>쪽쟘제작!AG48</f>
        <v>126.00000000000001</v>
      </c>
      <c r="AE48">
        <f>쪽쟘제작!AH48</f>
        <v>2092</v>
      </c>
    </row>
    <row r="49" spans="1:31" ht="18.75" customHeight="1" x14ac:dyDescent="0.3">
      <c r="A49" s="50" t="str">
        <f>'쪽쟘(실측)'!A49</f>
        <v>108   / 2</v>
      </c>
      <c r="B49" s="50" t="str">
        <f>'쪽쟘(실측)'!B49&amp;"F"</f>
        <v>6F</v>
      </c>
      <c r="C49" s="50" t="str">
        <f t="shared" si="0"/>
        <v>937*117.2</v>
      </c>
      <c r="D49" s="50" t="e">
        <f>'쪽쟘(실측)'!C49-OP차감</f>
        <v>#NAME?</v>
      </c>
      <c r="E49" s="50" t="e">
        <f>'쪽쟘(실측)'!D49+쪽쟘J늘림+MAX(W49:X49)</f>
        <v>#VALUE!</v>
      </c>
      <c r="F49" s="50" t="e">
        <f>'쪽쟘(실측)'!E49+쪽쟘J늘림+MAX(W49:X49)</f>
        <v>#VALUE!</v>
      </c>
      <c r="G49" s="67" t="str">
        <f>IF(OR(쪽쟘제작!K49&lt;&gt;쪽쟘제작!L49,쪽쟘제작!O49&lt;&gt;쪽쟘제작!P49),"",AC49&amp;"*"&amp;AB49)</f>
        <v>2092*128</v>
      </c>
      <c r="H49" s="68" t="str">
        <f>IF(OR(쪽쟘제작!N49&lt;&gt;쪽쟘제작!M49,쪽쟘제작!Q49&lt;&gt;쪽쟘제작!R49),"",AE49&amp;"*"&amp;AD49)</f>
        <v>2092*125</v>
      </c>
      <c r="I49" s="70">
        <f>IF('쪽쟘(실측)'!F49&gt;0,'쪽쟘(실측)'!F49+0.5,0)</f>
        <v>25.5</v>
      </c>
      <c r="J49" s="50">
        <f>IF('쪽쟘(실측)'!H49&gt;0,'쪽쟘(실측)'!H49+0.5,0)</f>
        <v>22.5</v>
      </c>
      <c r="K49" s="50">
        <f>IF('쪽쟘(실측)'!F49&gt;0,'쪽쟘(실측)'!F49+1.5,0)</f>
        <v>26.5</v>
      </c>
      <c r="L49" s="50">
        <f>IF('쪽쟘(실측)'!G49&gt;0,'쪽쟘(실측)'!G49+1.5,0)</f>
        <v>26.5</v>
      </c>
      <c r="M49" s="50">
        <f>IF('쪽쟘(실측)'!H49&gt;0,'쪽쟘(실측)'!H49+1.5,0)</f>
        <v>23.5</v>
      </c>
      <c r="N49" s="50">
        <f>IF('쪽쟘(실측)'!I49&gt;0,'쪽쟘(실측)'!I49+1.5,0)</f>
        <v>23.5</v>
      </c>
      <c r="O49" s="50" t="e">
        <f>'쪽쟘(실측)'!J49-기둥차감</f>
        <v>#NAME?</v>
      </c>
      <c r="P49" s="50" t="e">
        <f>'쪽쟘(실측)'!K49-기둥차감</f>
        <v>#NAME?</v>
      </c>
      <c r="Q49" s="50" t="e">
        <f>'쪽쟘(실측)'!L49-기둥차감</f>
        <v>#NAME?</v>
      </c>
      <c r="R49" s="50" t="e">
        <f>'쪽쟘(실측)'!M49-기둥차감</f>
        <v>#NAME?</v>
      </c>
      <c r="S49" s="50">
        <f>'쪽쟘(실측)'!N49+1.2</f>
        <v>22.2</v>
      </c>
      <c r="T49" s="50">
        <f>'쪽쟘(실측)'!O49+1.2</f>
        <v>22.2</v>
      </c>
      <c r="U49" s="50">
        <f>'쪽쟘(실측)'!P49</f>
        <v>16</v>
      </c>
      <c r="V49" s="50">
        <f>'쪽쟘(실측)'!Q49</f>
        <v>25</v>
      </c>
      <c r="W49" s="50" t="e">
        <f>'쪽쟘(실측)'!R49-늘치차감</f>
        <v>#NAME?</v>
      </c>
      <c r="X49" s="50" t="e">
        <f>'쪽쟘(실측)'!S49-늘치차감</f>
        <v>#NAME?</v>
      </c>
      <c r="Z49">
        <f>쪽쟘제작!AC49</f>
        <v>937</v>
      </c>
      <c r="AA49">
        <f>쪽쟘제작!AD49</f>
        <v>117.2</v>
      </c>
      <c r="AB49">
        <f>쪽쟘제작!AE49</f>
        <v>128.00000000000003</v>
      </c>
      <c r="AC49">
        <f>쪽쟘제작!AF49</f>
        <v>2092</v>
      </c>
      <c r="AD49">
        <f>쪽쟘제작!AG49</f>
        <v>125.00000000000001</v>
      </c>
      <c r="AE49">
        <f>쪽쟘제작!AH49</f>
        <v>2092</v>
      </c>
    </row>
    <row r="50" spans="1:31" ht="18.75" customHeight="1" x14ac:dyDescent="0.3">
      <c r="A50" s="50" t="str">
        <f>'쪽쟘(실측)'!A50</f>
        <v>108   / 2</v>
      </c>
      <c r="B50" s="50" t="str">
        <f>'쪽쟘(실측)'!B50&amp;"F"</f>
        <v>5F</v>
      </c>
      <c r="C50" s="50" t="str">
        <f t="shared" si="0"/>
        <v>937*119.2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>IF(OR(쪽쟘제작!K50&lt;&gt;쪽쟘제작!L50,쪽쟘제작!O50&lt;&gt;쪽쟘제작!P50),"",AC50&amp;"*"&amp;AB50)</f>
        <v>2098*127</v>
      </c>
      <c r="H50" s="68" t="str">
        <f>IF(OR(쪽쟘제작!N50&lt;&gt;쪽쟘제작!M50,쪽쟘제작!Q50&lt;&gt;쪽쟘제작!R50),"",AE50&amp;"*"&amp;AD50)</f>
        <v>2092*125</v>
      </c>
      <c r="I50" s="70">
        <f>IF('쪽쟘(실측)'!F50&gt;0,'쪽쟘(실측)'!F50+0.5,0)</f>
        <v>24.5</v>
      </c>
      <c r="J50" s="50">
        <f>IF('쪽쟘(실측)'!H50&gt;0,'쪽쟘(실측)'!H50+0.5,0)</f>
        <v>22.5</v>
      </c>
      <c r="K50" s="50">
        <f>IF('쪽쟘(실측)'!F50&gt;0,'쪽쟘(실측)'!F50+1.5,0)</f>
        <v>25.5</v>
      </c>
      <c r="L50" s="50">
        <f>IF('쪽쟘(실측)'!G50&gt;0,'쪽쟘(실측)'!G50+1.5,0)</f>
        <v>25.5</v>
      </c>
      <c r="M50" s="50">
        <f>IF('쪽쟘(실측)'!H50&gt;0,'쪽쟘(실측)'!H50+1.5,0)</f>
        <v>23.5</v>
      </c>
      <c r="N50" s="50">
        <f>IF('쪽쟘(실측)'!I50&gt;0,'쪽쟘(실측)'!I50+1.5,0)</f>
        <v>23.5</v>
      </c>
      <c r="O50" s="50" t="e">
        <f>'쪽쟘(실측)'!J50-기둥차감</f>
        <v>#NAME?</v>
      </c>
      <c r="P50" s="50" t="e">
        <f>'쪽쟘(실측)'!K50-기둥차감</f>
        <v>#NAME?</v>
      </c>
      <c r="Q50" s="50" t="e">
        <f>'쪽쟘(실측)'!L50-기둥차감</f>
        <v>#NAME?</v>
      </c>
      <c r="R50" s="50" t="e">
        <f>'쪽쟘(실측)'!M50-기둥차감</f>
        <v>#NAME?</v>
      </c>
      <c r="S50" s="50">
        <f>'쪽쟘(실측)'!N50+1.2</f>
        <v>24.2</v>
      </c>
      <c r="T50" s="50">
        <f>'쪽쟘(실측)'!O50+1.2</f>
        <v>24.2</v>
      </c>
      <c r="U50" s="50">
        <f>'쪽쟘(실측)'!P50</f>
        <v>16</v>
      </c>
      <c r="V50" s="50">
        <f>'쪽쟘(실측)'!Q50</f>
        <v>25</v>
      </c>
      <c r="W50" s="50" t="e">
        <f>'쪽쟘(실측)'!R50-늘치차감</f>
        <v>#NAME?</v>
      </c>
      <c r="X50" s="50" t="e">
        <f>'쪽쟘(실측)'!S50-늘치차감</f>
        <v>#NAME?</v>
      </c>
      <c r="Z50">
        <f>쪽쟘제작!AC50</f>
        <v>937</v>
      </c>
      <c r="AA50">
        <f>쪽쟘제작!AD50</f>
        <v>119.2</v>
      </c>
      <c r="AB50">
        <f>쪽쟘제작!AE50</f>
        <v>127.00000000000001</v>
      </c>
      <c r="AC50">
        <f>쪽쟘제작!AF50</f>
        <v>2098</v>
      </c>
      <c r="AD50">
        <f>쪽쟘제작!AG50</f>
        <v>125.00000000000001</v>
      </c>
      <c r="AE50">
        <f>쪽쟘제작!AH50</f>
        <v>2092</v>
      </c>
    </row>
    <row r="51" spans="1:31" ht="18.75" customHeight="1" x14ac:dyDescent="0.3">
      <c r="A51" s="50" t="str">
        <f>'쪽쟘(실측)'!A51</f>
        <v>108   / 2</v>
      </c>
      <c r="B51" s="50" t="str">
        <f>'쪽쟘(실측)'!B51&amp;"F"</f>
        <v>4F</v>
      </c>
      <c r="C51" s="50" t="str">
        <f t="shared" si="0"/>
        <v>935*123.2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>IF(OR(쪽쟘제작!K51&lt;&gt;쪽쟘제작!L51,쪽쟘제작!O51&lt;&gt;쪽쟘제작!P51),"",AC51&amp;"*"&amp;AB51)</f>
        <v>2092*125</v>
      </c>
      <c r="H51" s="68" t="str">
        <f>IF(OR(쪽쟘제작!N51&lt;&gt;쪽쟘제작!M51,쪽쟘제작!Q51&lt;&gt;쪽쟘제작!R51),"",AE51&amp;"*"&amp;AD51)</f>
        <v>2092*125</v>
      </c>
      <c r="I51" s="70">
        <f>IF('쪽쟘(실측)'!F51&gt;0,'쪽쟘(실측)'!F51+0.5,0)</f>
        <v>22.5</v>
      </c>
      <c r="J51" s="50">
        <f>IF('쪽쟘(실측)'!H51&gt;0,'쪽쟘(실측)'!H51+0.5,0)</f>
        <v>22.5</v>
      </c>
      <c r="K51" s="50">
        <f>IF('쪽쟘(실측)'!F51&gt;0,'쪽쟘(실측)'!F51+1.5,0)</f>
        <v>23.5</v>
      </c>
      <c r="L51" s="50">
        <f>IF('쪽쟘(실측)'!G51&gt;0,'쪽쟘(실측)'!G51+1.5,0)</f>
        <v>23.5</v>
      </c>
      <c r="M51" s="50">
        <f>IF('쪽쟘(실측)'!H51&gt;0,'쪽쟘(실측)'!H51+1.5,0)</f>
        <v>23.5</v>
      </c>
      <c r="N51" s="50">
        <f>IF('쪽쟘(실측)'!I51&gt;0,'쪽쟘(실측)'!I51+1.5,0)</f>
        <v>23.5</v>
      </c>
      <c r="O51" s="50" t="e">
        <f>'쪽쟘(실측)'!J51-기둥차감</f>
        <v>#NAME?</v>
      </c>
      <c r="P51" s="50" t="e">
        <f>'쪽쟘(실측)'!K51-기둥차감</f>
        <v>#NAME?</v>
      </c>
      <c r="Q51" s="50" t="e">
        <f>'쪽쟘(실측)'!L51-기둥차감</f>
        <v>#NAME?</v>
      </c>
      <c r="R51" s="50" t="e">
        <f>'쪽쟘(실측)'!M51-기둥차감</f>
        <v>#NAME?</v>
      </c>
      <c r="S51" s="50">
        <f>'쪽쟘(실측)'!N51+1.2</f>
        <v>28.2</v>
      </c>
      <c r="T51" s="50">
        <f>'쪽쟘(실측)'!O51+1.2</f>
        <v>28.2</v>
      </c>
      <c r="U51" s="50">
        <f>'쪽쟘(실측)'!P51</f>
        <v>16</v>
      </c>
      <c r="V51" s="50">
        <f>'쪽쟘(실측)'!Q51</f>
        <v>25</v>
      </c>
      <c r="W51" s="50" t="e">
        <f>'쪽쟘(실측)'!R51-늘치차감</f>
        <v>#NAME?</v>
      </c>
      <c r="X51" s="50" t="e">
        <f>'쪽쟘(실측)'!S51-늘치차감</f>
        <v>#NAME?</v>
      </c>
      <c r="Z51">
        <f>쪽쟘제작!AC51</f>
        <v>935</v>
      </c>
      <c r="AA51">
        <f>쪽쟘제작!AD51</f>
        <v>123.2</v>
      </c>
      <c r="AB51">
        <f>쪽쟘제작!AE51</f>
        <v>125.00000000000001</v>
      </c>
      <c r="AC51">
        <f>쪽쟘제작!AF51</f>
        <v>2092</v>
      </c>
      <c r="AD51">
        <f>쪽쟘제작!AG51</f>
        <v>125.00000000000001</v>
      </c>
      <c r="AE51">
        <f>쪽쟘제작!AH51</f>
        <v>2092</v>
      </c>
    </row>
    <row r="52" spans="1:31" ht="18.75" customHeight="1" x14ac:dyDescent="0.3">
      <c r="A52" s="50" t="str">
        <f>'쪽쟘(실측)'!A52</f>
        <v>108   / 2</v>
      </c>
      <c r="B52" s="50" t="str">
        <f>'쪽쟘(실측)'!B52&amp;"F"</f>
        <v>3F</v>
      </c>
      <c r="C52" s="50" t="str">
        <f t="shared" si="0"/>
        <v>935*121.2</v>
      </c>
      <c r="D52" s="50" t="e">
        <f>'쪽쟘(실측)'!C52-OP차감</f>
        <v>#NAME?</v>
      </c>
      <c r="E52" s="50" t="e">
        <f>'쪽쟘(실측)'!D52+쪽쟘J늘림+MAX(W52:X52)</f>
        <v>#VALUE!</v>
      </c>
      <c r="F52" s="50" t="e">
        <f>'쪽쟘(실측)'!E52+쪽쟘J늘림+MAX(W52:X52)</f>
        <v>#VALUE!</v>
      </c>
      <c r="G52" s="67" t="str">
        <f>IF(OR(쪽쟘제작!K52&lt;&gt;쪽쟘제작!L52,쪽쟘제작!O52&lt;&gt;쪽쟘제작!P52),"",AC52&amp;"*"&amp;AB52)</f>
        <v>2098*126</v>
      </c>
      <c r="H52" s="68" t="str">
        <f>IF(OR(쪽쟘제작!N52&lt;&gt;쪽쟘제작!M52,쪽쟘제작!Q52&lt;&gt;쪽쟘제작!R52),"",AE52&amp;"*"&amp;AD52)</f>
        <v>2092*124</v>
      </c>
      <c r="I52" s="70">
        <f>IF('쪽쟘(실측)'!F52&gt;0,'쪽쟘(실측)'!F52+0.5,0)</f>
        <v>23.5</v>
      </c>
      <c r="J52" s="50">
        <f>IF('쪽쟘(실측)'!H52&gt;0,'쪽쟘(실측)'!H52+0.5,0)</f>
        <v>21.5</v>
      </c>
      <c r="K52" s="50">
        <f>IF('쪽쟘(실측)'!F52&gt;0,'쪽쟘(실측)'!F52+1.5,0)</f>
        <v>24.5</v>
      </c>
      <c r="L52" s="50">
        <f>IF('쪽쟘(실측)'!G52&gt;0,'쪽쟘(실측)'!G52+1.5,0)</f>
        <v>24.5</v>
      </c>
      <c r="M52" s="50">
        <f>IF('쪽쟘(실측)'!H52&gt;0,'쪽쟘(실측)'!H52+1.5,0)</f>
        <v>22.5</v>
      </c>
      <c r="N52" s="50">
        <f>IF('쪽쟘(실측)'!I52&gt;0,'쪽쟘(실측)'!I52+1.5,0)</f>
        <v>22.5</v>
      </c>
      <c r="O52" s="50" t="e">
        <f>'쪽쟘(실측)'!J52-기둥차감</f>
        <v>#NAME?</v>
      </c>
      <c r="P52" s="50" t="e">
        <f>'쪽쟘(실측)'!K52-기둥차감</f>
        <v>#NAME?</v>
      </c>
      <c r="Q52" s="50" t="e">
        <f>'쪽쟘(실측)'!L52-기둥차감</f>
        <v>#NAME?</v>
      </c>
      <c r="R52" s="50" t="e">
        <f>'쪽쟘(실측)'!M52-기둥차감</f>
        <v>#NAME?</v>
      </c>
      <c r="S52" s="50">
        <f>'쪽쟘(실측)'!N52+1.2</f>
        <v>26.2</v>
      </c>
      <c r="T52" s="50">
        <f>'쪽쟘(실측)'!O52+1.2</f>
        <v>26.2</v>
      </c>
      <c r="U52" s="50">
        <f>'쪽쟘(실측)'!P52</f>
        <v>16</v>
      </c>
      <c r="V52" s="50">
        <f>'쪽쟘(실측)'!Q52</f>
        <v>25</v>
      </c>
      <c r="W52" s="50" t="e">
        <f>'쪽쟘(실측)'!R52-늘치차감</f>
        <v>#NAME?</v>
      </c>
      <c r="X52" s="50" t="e">
        <f>'쪽쟘(실측)'!S52-늘치차감</f>
        <v>#NAME?</v>
      </c>
      <c r="Z52">
        <f>쪽쟘제작!AC52</f>
        <v>935</v>
      </c>
      <c r="AA52">
        <f>쪽쟘제작!AD52</f>
        <v>121.2</v>
      </c>
      <c r="AB52">
        <f>쪽쟘제작!AE52</f>
        <v>126.00000000000001</v>
      </c>
      <c r="AC52">
        <f>쪽쟘제작!AF52</f>
        <v>2098</v>
      </c>
      <c r="AD52">
        <f>쪽쟘제작!AG52</f>
        <v>124.00000000000001</v>
      </c>
      <c r="AE52">
        <f>쪽쟘제작!AH52</f>
        <v>2092</v>
      </c>
    </row>
    <row r="53" spans="1:31" ht="18.75" customHeight="1" thickBot="1" x14ac:dyDescent="0.35">
      <c r="A53" s="379" t="str">
        <f>'쪽쟘(실측)'!A53</f>
        <v>108   / 2</v>
      </c>
      <c r="B53" s="379" t="str">
        <f>'쪽쟘(실측)'!B53&amp;"F"</f>
        <v>2F</v>
      </c>
      <c r="C53" s="379" t="str">
        <f t="shared" si="0"/>
        <v>935*121.2</v>
      </c>
      <c r="D53" s="379" t="e">
        <f>'쪽쟘(실측)'!C53-OP차감</f>
        <v>#NAME?</v>
      </c>
      <c r="E53" s="379" t="e">
        <f>'쪽쟘(실측)'!D53+쪽쟘J늘림+MAX(W53:X53)</f>
        <v>#VALUE!</v>
      </c>
      <c r="F53" s="379" t="e">
        <f>'쪽쟘(실측)'!E53+쪽쟘J늘림+MAX(W53:X53)</f>
        <v>#VALUE!</v>
      </c>
      <c r="G53" s="380" t="str">
        <f>IF(OR(쪽쟘제작!K53&lt;&gt;쪽쟘제작!L53,쪽쟘제작!O53&lt;&gt;쪽쟘제작!P53),"",AC53&amp;"*"&amp;AB53)</f>
        <v>2092*126</v>
      </c>
      <c r="H53" s="381" t="str">
        <f>IF(OR(쪽쟘제작!N53&lt;&gt;쪽쟘제작!M53,쪽쟘제작!Q53&lt;&gt;쪽쟘제작!R53),"",AE53&amp;"*"&amp;AD53)</f>
        <v>2092*124</v>
      </c>
      <c r="I53" s="70">
        <f>IF('쪽쟘(실측)'!F53&gt;0,'쪽쟘(실측)'!F53+0.5,0)</f>
        <v>23.5</v>
      </c>
      <c r="J53" s="50">
        <f>IF('쪽쟘(실측)'!H53&gt;0,'쪽쟘(실측)'!H53+0.5,0)</f>
        <v>21.5</v>
      </c>
      <c r="K53" s="50">
        <f>IF('쪽쟘(실측)'!F53&gt;0,'쪽쟘(실측)'!F53+1.5,0)</f>
        <v>24.5</v>
      </c>
      <c r="L53" s="50">
        <f>IF('쪽쟘(실측)'!G53&gt;0,'쪽쟘(실측)'!G53+1.5,0)</f>
        <v>24.5</v>
      </c>
      <c r="M53" s="50">
        <f>IF('쪽쟘(실측)'!H53&gt;0,'쪽쟘(실측)'!H53+1.5,0)</f>
        <v>22.5</v>
      </c>
      <c r="N53" s="50">
        <f>IF('쪽쟘(실측)'!I53&gt;0,'쪽쟘(실측)'!I53+1.5,0)</f>
        <v>22.5</v>
      </c>
      <c r="O53" s="50" t="e">
        <f>'쪽쟘(실측)'!J53-기둥차감</f>
        <v>#NAME?</v>
      </c>
      <c r="P53" s="50" t="e">
        <f>'쪽쟘(실측)'!K53-기둥차감</f>
        <v>#NAME?</v>
      </c>
      <c r="Q53" s="50" t="e">
        <f>'쪽쟘(실측)'!L53-기둥차감</f>
        <v>#NAME?</v>
      </c>
      <c r="R53" s="50" t="e">
        <f>'쪽쟘(실측)'!M53-기둥차감</f>
        <v>#NAME?</v>
      </c>
      <c r="S53" s="50">
        <f>'쪽쟘(실측)'!N53+1.2</f>
        <v>26.2</v>
      </c>
      <c r="T53" s="50">
        <f>'쪽쟘(실측)'!O53+1.2</f>
        <v>26.2</v>
      </c>
      <c r="U53" s="50">
        <f>'쪽쟘(실측)'!P53</f>
        <v>16</v>
      </c>
      <c r="V53" s="50">
        <f>'쪽쟘(실측)'!Q53</f>
        <v>25</v>
      </c>
      <c r="W53" s="50" t="e">
        <f>'쪽쟘(실측)'!R53-늘치차감</f>
        <v>#NAME?</v>
      </c>
      <c r="X53" s="50" t="e">
        <f>'쪽쟘(실측)'!S53-늘치차감</f>
        <v>#NAME?</v>
      </c>
      <c r="Z53">
        <f>쪽쟘제작!AC53</f>
        <v>935</v>
      </c>
      <c r="AA53">
        <f>쪽쟘제작!AD53</f>
        <v>121.2</v>
      </c>
      <c r="AB53">
        <f>쪽쟘제작!AE53</f>
        <v>126.00000000000001</v>
      </c>
      <c r="AC53">
        <f>쪽쟘제작!AF53</f>
        <v>2092</v>
      </c>
      <c r="AD53">
        <f>쪽쟘제작!AG53</f>
        <v>124.00000000000001</v>
      </c>
      <c r="AE53">
        <f>쪽쟘제작!AH53</f>
        <v>2092</v>
      </c>
    </row>
    <row r="54" spans="1:31" ht="18.75" customHeight="1" x14ac:dyDescent="0.3">
      <c r="A54" s="376" t="str">
        <f>'쪽쟘(실측)'!A54</f>
        <v>109   / 2</v>
      </c>
      <c r="B54" s="376" t="str">
        <f>'쪽쟘(실측)'!B54&amp;"F"</f>
        <v>17F</v>
      </c>
      <c r="C54" s="376" t="str">
        <f t="shared" si="0"/>
        <v>934*117.2</v>
      </c>
      <c r="D54" s="376" t="e">
        <f>'쪽쟘(실측)'!C54-OP차감</f>
        <v>#NAME?</v>
      </c>
      <c r="E54" s="376" t="e">
        <f>'쪽쟘(실측)'!D54+쪽쟘J늘림+MAX(W54:X54)</f>
        <v>#VALUE!</v>
      </c>
      <c r="F54" s="376" t="e">
        <f>'쪽쟘(실측)'!E54+쪽쟘J늘림+MAX(W54:X54)</f>
        <v>#VALUE!</v>
      </c>
      <c r="G54" s="377" t="str">
        <f>IF(OR(쪽쟘제작!K54&lt;&gt;쪽쟘제작!L54,쪽쟘제작!O54&lt;&gt;쪽쟘제작!P54),"",AC54&amp;"*"&amp;AB54)</f>
        <v>2098*125</v>
      </c>
      <c r="H54" s="378" t="str">
        <f>IF(OR(쪽쟘제작!N54&lt;&gt;쪽쟘제작!M54,쪽쟘제작!Q54&lt;&gt;쪽쟘제작!R54),"",AE54&amp;"*"&amp;AD54)</f>
        <v>2098*123</v>
      </c>
      <c r="I54" s="70">
        <f>IF('쪽쟘(실측)'!F54&gt;0,'쪽쟘(실측)'!F54+0.5,0)</f>
        <v>22.5</v>
      </c>
      <c r="J54" s="50">
        <f>IF('쪽쟘(실측)'!H54&gt;0,'쪽쟘(실측)'!H54+0.5,0)</f>
        <v>20.5</v>
      </c>
      <c r="K54" s="50">
        <f>IF('쪽쟘(실측)'!F54&gt;0,'쪽쟘(실측)'!F54+1.5,0)</f>
        <v>23.5</v>
      </c>
      <c r="L54" s="50">
        <f>IF('쪽쟘(실측)'!G54&gt;0,'쪽쟘(실측)'!G54+1.5,0)</f>
        <v>23.5</v>
      </c>
      <c r="M54" s="50">
        <f>IF('쪽쟘(실측)'!H54&gt;0,'쪽쟘(실측)'!H54+1.5,0)</f>
        <v>21.5</v>
      </c>
      <c r="N54" s="50">
        <f>IF('쪽쟘(실측)'!I54&gt;0,'쪽쟘(실측)'!I54+1.5,0)</f>
        <v>21.5</v>
      </c>
      <c r="O54" s="50" t="e">
        <f>'쪽쟘(실측)'!J54-기둥차감</f>
        <v>#NAME?</v>
      </c>
      <c r="P54" s="50" t="e">
        <f>'쪽쟘(실측)'!K54-기둥차감</f>
        <v>#NAME?</v>
      </c>
      <c r="Q54" s="50" t="e">
        <f>'쪽쟘(실측)'!L54-기둥차감</f>
        <v>#NAME?</v>
      </c>
      <c r="R54" s="50" t="e">
        <f>'쪽쟘(실측)'!M54-기둥차감</f>
        <v>#NAME?</v>
      </c>
      <c r="S54" s="50">
        <f>'쪽쟘(실측)'!N54+1.2</f>
        <v>22.2</v>
      </c>
      <c r="T54" s="50">
        <f>'쪽쟘(실측)'!O54+1.2</f>
        <v>22.2</v>
      </c>
      <c r="U54" s="50">
        <f>'쪽쟘(실측)'!P54</f>
        <v>16</v>
      </c>
      <c r="V54" s="50">
        <f>'쪽쟘(실측)'!Q54</f>
        <v>25</v>
      </c>
      <c r="W54" s="50" t="e">
        <f>'쪽쟘(실측)'!R54-늘치차감</f>
        <v>#NAME?</v>
      </c>
      <c r="X54" s="50" t="e">
        <f>'쪽쟘(실측)'!S54-늘치차감</f>
        <v>#NAME?</v>
      </c>
      <c r="Z54">
        <f>쪽쟘제작!AC54</f>
        <v>934</v>
      </c>
      <c r="AA54">
        <f>쪽쟘제작!AD54</f>
        <v>117.2</v>
      </c>
      <c r="AB54">
        <f>쪽쟘제작!AE54</f>
        <v>125.00000000000001</v>
      </c>
      <c r="AC54">
        <f>쪽쟘제작!AF54</f>
        <v>2098</v>
      </c>
      <c r="AD54">
        <f>쪽쟘제작!AG54</f>
        <v>123</v>
      </c>
      <c r="AE54">
        <f>쪽쟘제작!AH54</f>
        <v>2098</v>
      </c>
    </row>
    <row r="55" spans="1:31" ht="18.75" customHeight="1" x14ac:dyDescent="0.3">
      <c r="A55" s="50" t="str">
        <f>'쪽쟘(실측)'!A55</f>
        <v>109   / 2</v>
      </c>
      <c r="B55" s="50" t="str">
        <f>'쪽쟘(실측)'!B55&amp;"F"</f>
        <v>16F</v>
      </c>
      <c r="C55" s="50" t="str">
        <f t="shared" si="0"/>
        <v>937*122.2</v>
      </c>
      <c r="D55" s="50" t="e">
        <f>'쪽쟘(실측)'!C55-OP차감</f>
        <v>#NAME?</v>
      </c>
      <c r="E55" s="50" t="e">
        <f>'쪽쟘(실측)'!D55+쪽쟘J늘림+MAX(W55:X55)</f>
        <v>#VALUE!</v>
      </c>
      <c r="F55" s="50" t="e">
        <f>'쪽쟘(실측)'!E55+쪽쟘J늘림+MAX(W55:X55)</f>
        <v>#VALUE!</v>
      </c>
      <c r="G55" s="67" t="str">
        <f>IF(OR(쪽쟘제작!K55&lt;&gt;쪽쟘제작!L55,쪽쟘제작!O55&lt;&gt;쪽쟘제작!P55),"",AC55&amp;"*"&amp;AB55)</f>
        <v>2098*124</v>
      </c>
      <c r="H55" s="68" t="str">
        <f>IF(OR(쪽쟘제작!N55&lt;&gt;쪽쟘제작!M55,쪽쟘제작!Q55&lt;&gt;쪽쟘제작!R55),"",AE55&amp;"*"&amp;AD55)</f>
        <v>2098*127</v>
      </c>
      <c r="I55" s="70">
        <f>IF('쪽쟘(실측)'!F55&gt;0,'쪽쟘(실측)'!F55+0.5,0)</f>
        <v>21.5</v>
      </c>
      <c r="J55" s="50">
        <f>IF('쪽쟘(실측)'!H55&gt;0,'쪽쟘(실측)'!H55+0.5,0)</f>
        <v>24.5</v>
      </c>
      <c r="K55" s="50">
        <f>IF('쪽쟘(실측)'!F55&gt;0,'쪽쟘(실측)'!F55+1.5,0)</f>
        <v>22.5</v>
      </c>
      <c r="L55" s="50">
        <f>IF('쪽쟘(실측)'!G55&gt;0,'쪽쟘(실측)'!G55+1.5,0)</f>
        <v>22.5</v>
      </c>
      <c r="M55" s="50">
        <f>IF('쪽쟘(실측)'!H55&gt;0,'쪽쟘(실측)'!H55+1.5,0)</f>
        <v>25.5</v>
      </c>
      <c r="N55" s="50">
        <f>IF('쪽쟘(실측)'!I55&gt;0,'쪽쟘(실측)'!I55+1.5,0)</f>
        <v>25.5</v>
      </c>
      <c r="O55" s="50" t="e">
        <f>'쪽쟘(실측)'!J55-기둥차감</f>
        <v>#NAME?</v>
      </c>
      <c r="P55" s="50" t="e">
        <f>'쪽쟘(실측)'!K55-기둥차감</f>
        <v>#NAME?</v>
      </c>
      <c r="Q55" s="50" t="e">
        <f>'쪽쟘(실측)'!L55-기둥차감</f>
        <v>#NAME?</v>
      </c>
      <c r="R55" s="50" t="e">
        <f>'쪽쟘(실측)'!M55-기둥차감</f>
        <v>#NAME?</v>
      </c>
      <c r="S55" s="50">
        <f>'쪽쟘(실측)'!N55+1.2</f>
        <v>27.2</v>
      </c>
      <c r="T55" s="50">
        <f>'쪽쟘(실측)'!O55+1.2</f>
        <v>27.2</v>
      </c>
      <c r="U55" s="50">
        <f>'쪽쟘(실측)'!P55</f>
        <v>16</v>
      </c>
      <c r="V55" s="50">
        <f>'쪽쟘(실측)'!Q55</f>
        <v>25</v>
      </c>
      <c r="W55" s="50" t="e">
        <f>'쪽쟘(실측)'!R55-늘치차감</f>
        <v>#NAME?</v>
      </c>
      <c r="X55" s="50" t="e">
        <f>'쪽쟘(실측)'!S55-늘치차감</f>
        <v>#NAME?</v>
      </c>
      <c r="Z55">
        <f>쪽쟘제작!AC55</f>
        <v>937</v>
      </c>
      <c r="AA55">
        <f>쪽쟘제작!AD55</f>
        <v>122.2</v>
      </c>
      <c r="AB55">
        <f>쪽쟘제작!AE55</f>
        <v>124.00000000000001</v>
      </c>
      <c r="AC55">
        <f>쪽쟘제작!AF55</f>
        <v>2098</v>
      </c>
      <c r="AD55">
        <f>쪽쟘제작!AG55</f>
        <v>127.00000000000001</v>
      </c>
      <c r="AE55">
        <f>쪽쟘제작!AH55</f>
        <v>2098</v>
      </c>
    </row>
    <row r="56" spans="1:31" ht="18.75" customHeight="1" x14ac:dyDescent="0.3">
      <c r="A56" s="50" t="str">
        <f>'쪽쟘(실측)'!A56</f>
        <v>109   / 2</v>
      </c>
      <c r="B56" s="50" t="str">
        <f>'쪽쟘(실측)'!B56&amp;"F"</f>
        <v>15F</v>
      </c>
      <c r="C56" s="50" t="str">
        <f t="shared" si="0"/>
        <v>938*110.2</v>
      </c>
      <c r="D56" s="50" t="e">
        <f>'쪽쟘(실측)'!C56-OP차감</f>
        <v>#NAME?</v>
      </c>
      <c r="E56" s="50" t="e">
        <f>'쪽쟘(실측)'!D56+쪽쟘J늘림+MAX(W56:X56)</f>
        <v>#VALUE!</v>
      </c>
      <c r="F56" s="50" t="e">
        <f>'쪽쟘(실측)'!E56+쪽쟘J늘림+MAX(W56:X56)</f>
        <v>#VALUE!</v>
      </c>
      <c r="G56" s="67" t="str">
        <f>IF(OR(쪽쟘제작!K56&lt;&gt;쪽쟘제작!L56,쪽쟘제작!O56&lt;&gt;쪽쟘제작!P56),"",AC56&amp;"*"&amp;AB56)</f>
        <v>2092*127</v>
      </c>
      <c r="H56" s="68" t="str">
        <f>IF(OR(쪽쟘제작!N56&lt;&gt;쪽쟘제작!M56,쪽쟘제작!Q56&lt;&gt;쪽쟘제작!R56),"",AE56&amp;"*"&amp;AD56)</f>
        <v>2092*125</v>
      </c>
      <c r="I56" s="70">
        <f>IF('쪽쟘(실측)'!F56&gt;0,'쪽쟘(실측)'!F56+0.5,0)</f>
        <v>24.5</v>
      </c>
      <c r="J56" s="50">
        <f>IF('쪽쟘(실측)'!H56&gt;0,'쪽쟘(실측)'!H56+0.5,0)</f>
        <v>22.5</v>
      </c>
      <c r="K56" s="50">
        <f>IF('쪽쟘(실측)'!F56&gt;0,'쪽쟘(실측)'!F56+1.5,0)</f>
        <v>25.5</v>
      </c>
      <c r="L56" s="50">
        <f>IF('쪽쟘(실측)'!G56&gt;0,'쪽쟘(실측)'!G56+1.5,0)</f>
        <v>25.5</v>
      </c>
      <c r="M56" s="50">
        <f>IF('쪽쟘(실측)'!H56&gt;0,'쪽쟘(실측)'!H56+1.5,0)</f>
        <v>23.5</v>
      </c>
      <c r="N56" s="50">
        <f>IF('쪽쟘(실측)'!I56&gt;0,'쪽쟘(실측)'!I56+1.5,0)</f>
        <v>23.5</v>
      </c>
      <c r="O56" s="50" t="e">
        <f>'쪽쟘(실측)'!J56-기둥차감</f>
        <v>#NAME?</v>
      </c>
      <c r="P56" s="50" t="e">
        <f>'쪽쟘(실측)'!K56-기둥차감</f>
        <v>#NAME?</v>
      </c>
      <c r="Q56" s="50" t="e">
        <f>'쪽쟘(실측)'!L56-기둥차감</f>
        <v>#NAME?</v>
      </c>
      <c r="R56" s="50" t="e">
        <f>'쪽쟘(실측)'!M56-기둥차감</f>
        <v>#NAME?</v>
      </c>
      <c r="S56" s="50">
        <f>'쪽쟘(실측)'!N56+1.2</f>
        <v>15.2</v>
      </c>
      <c r="T56" s="50">
        <f>'쪽쟘(실측)'!O56+1.2</f>
        <v>15.2</v>
      </c>
      <c r="U56" s="50">
        <f>'쪽쟘(실측)'!P56</f>
        <v>16</v>
      </c>
      <c r="V56" s="50">
        <f>'쪽쟘(실측)'!Q56</f>
        <v>25</v>
      </c>
      <c r="W56" s="50" t="e">
        <f>'쪽쟘(실측)'!R56-늘치차감</f>
        <v>#NAME?</v>
      </c>
      <c r="X56" s="50" t="e">
        <f>'쪽쟘(실측)'!S56-늘치차감</f>
        <v>#NAME?</v>
      </c>
      <c r="Z56">
        <f>쪽쟘제작!AC56</f>
        <v>938</v>
      </c>
      <c r="AA56">
        <f>쪽쟘제작!AD56</f>
        <v>110.2</v>
      </c>
      <c r="AB56">
        <f>쪽쟘제작!AE56</f>
        <v>127.00000000000001</v>
      </c>
      <c r="AC56">
        <f>쪽쟘제작!AF56</f>
        <v>2092</v>
      </c>
      <c r="AD56">
        <f>쪽쟘제작!AG56</f>
        <v>125.00000000000001</v>
      </c>
      <c r="AE56">
        <f>쪽쟘제작!AH56</f>
        <v>2092</v>
      </c>
    </row>
    <row r="57" spans="1:31" ht="18.75" customHeight="1" x14ac:dyDescent="0.3">
      <c r="A57" s="50" t="str">
        <f>'쪽쟘(실측)'!A57</f>
        <v>109   / 2</v>
      </c>
      <c r="B57" s="50" t="str">
        <f>'쪽쟘(실측)'!B57&amp;"F"</f>
        <v>14F</v>
      </c>
      <c r="C57" s="50" t="str">
        <f t="shared" si="0"/>
        <v>934*113.2</v>
      </c>
      <c r="D57" s="50" t="e">
        <f>'쪽쟘(실측)'!C57-OP차감</f>
        <v>#NAME?</v>
      </c>
      <c r="E57" s="50" t="e">
        <f>'쪽쟘(실측)'!D57+쪽쟘J늘림+MAX(W57:X57)</f>
        <v>#VALUE!</v>
      </c>
      <c r="F57" s="50" t="e">
        <f>'쪽쟘(실측)'!E57+쪽쟘J늘림+MAX(W57:X57)</f>
        <v>#VALUE!</v>
      </c>
      <c r="G57" s="67" t="str">
        <f>IF(OR(쪽쟘제작!K57&lt;&gt;쪽쟘제작!L57,쪽쟘제작!O57&lt;&gt;쪽쟘제작!P57),"",AC57&amp;"*"&amp;AB57)</f>
        <v>2098*124</v>
      </c>
      <c r="H57" s="68" t="str">
        <f>IF(OR(쪽쟘제작!N57&lt;&gt;쪽쟘제작!M57,쪽쟘제작!Q57&lt;&gt;쪽쟘제작!R57),"",AE57&amp;"*"&amp;AD57)</f>
        <v>2098*125</v>
      </c>
      <c r="I57" s="70">
        <f>IF('쪽쟘(실측)'!F57&gt;0,'쪽쟘(실측)'!F57+0.5,0)</f>
        <v>21.5</v>
      </c>
      <c r="J57" s="50">
        <f>IF('쪽쟘(실측)'!H57&gt;0,'쪽쟘(실측)'!H57+0.5,0)</f>
        <v>22.5</v>
      </c>
      <c r="K57" s="50">
        <f>IF('쪽쟘(실측)'!F57&gt;0,'쪽쟘(실측)'!F57+1.5,0)</f>
        <v>22.5</v>
      </c>
      <c r="L57" s="50">
        <f>IF('쪽쟘(실측)'!G57&gt;0,'쪽쟘(실측)'!G57+1.5,0)</f>
        <v>22.5</v>
      </c>
      <c r="M57" s="50">
        <f>IF('쪽쟘(실측)'!H57&gt;0,'쪽쟘(실측)'!H57+1.5,0)</f>
        <v>23.5</v>
      </c>
      <c r="N57" s="50">
        <f>IF('쪽쟘(실측)'!I57&gt;0,'쪽쟘(실측)'!I57+1.5,0)</f>
        <v>23.5</v>
      </c>
      <c r="O57" s="50" t="e">
        <f>'쪽쟘(실측)'!J57-기둥차감</f>
        <v>#NAME?</v>
      </c>
      <c r="P57" s="50" t="e">
        <f>'쪽쟘(실측)'!K57-기둥차감</f>
        <v>#NAME?</v>
      </c>
      <c r="Q57" s="50" t="e">
        <f>'쪽쟘(실측)'!L57-기둥차감</f>
        <v>#NAME?</v>
      </c>
      <c r="R57" s="50" t="e">
        <f>'쪽쟘(실측)'!M57-기둥차감</f>
        <v>#NAME?</v>
      </c>
      <c r="S57" s="50">
        <f>'쪽쟘(실측)'!N57+1.2</f>
        <v>18.2</v>
      </c>
      <c r="T57" s="50">
        <f>'쪽쟘(실측)'!O57+1.2</f>
        <v>18.2</v>
      </c>
      <c r="U57" s="50">
        <f>'쪽쟘(실측)'!P57</f>
        <v>16</v>
      </c>
      <c r="V57" s="50">
        <f>'쪽쟘(실측)'!Q57</f>
        <v>25</v>
      </c>
      <c r="W57" s="50" t="e">
        <f>'쪽쟘(실측)'!R57-늘치차감</f>
        <v>#NAME?</v>
      </c>
      <c r="X57" s="50" t="e">
        <f>'쪽쟘(실측)'!S57-늘치차감</f>
        <v>#NAME?</v>
      </c>
      <c r="Z57">
        <f>쪽쟘제작!AC57</f>
        <v>934</v>
      </c>
      <c r="AA57">
        <f>쪽쟘제작!AD57</f>
        <v>113.2</v>
      </c>
      <c r="AB57">
        <f>쪽쟘제작!AE57</f>
        <v>124.00000000000001</v>
      </c>
      <c r="AC57">
        <f>쪽쟘제작!AF57</f>
        <v>2098</v>
      </c>
      <c r="AD57">
        <f>쪽쟘제작!AG57</f>
        <v>125.00000000000001</v>
      </c>
      <c r="AE57">
        <f>쪽쟘제작!AH57</f>
        <v>2098</v>
      </c>
    </row>
    <row r="58" spans="1:31" ht="18.75" customHeight="1" x14ac:dyDescent="0.3">
      <c r="A58" s="50" t="str">
        <f>'쪽쟘(실측)'!A58</f>
        <v>109   / 2</v>
      </c>
      <c r="B58" s="50" t="str">
        <f>'쪽쟘(실측)'!B58&amp;"F"</f>
        <v>13F</v>
      </c>
      <c r="C58" s="50" t="str">
        <f t="shared" si="0"/>
        <v>944*122.2</v>
      </c>
      <c r="D58" s="50" t="e">
        <f>'쪽쟘(실측)'!C58-OP차감</f>
        <v>#NAME?</v>
      </c>
      <c r="E58" s="50" t="e">
        <f>'쪽쟘(실측)'!D58+쪽쟘J늘림+MAX(W58:X58)</f>
        <v>#VALUE!</v>
      </c>
      <c r="F58" s="50" t="e">
        <f>'쪽쟘(실측)'!E58+쪽쟘J늘림+MAX(W58:X58)</f>
        <v>#VALUE!</v>
      </c>
      <c r="G58" s="67" t="str">
        <f>IF(OR(쪽쟘제작!K58&lt;&gt;쪽쟘제작!L58,쪽쟘제작!O58&lt;&gt;쪽쟘제작!P58),"",AC58&amp;"*"&amp;AB58)</f>
        <v>2098*130</v>
      </c>
      <c r="H58" s="68" t="str">
        <f>IF(OR(쪽쟘제작!N58&lt;&gt;쪽쟘제작!M58,쪽쟘제작!Q58&lt;&gt;쪽쟘제작!R58),"",AE58&amp;"*"&amp;AD58)</f>
        <v>2098*129</v>
      </c>
      <c r="I58" s="70">
        <f>IF('쪽쟘(실측)'!F58&gt;0,'쪽쟘(실측)'!F58+0.5,0)</f>
        <v>27.5</v>
      </c>
      <c r="J58" s="50">
        <f>IF('쪽쟘(실측)'!H58&gt;0,'쪽쟘(실측)'!H58+0.5,0)</f>
        <v>26.5</v>
      </c>
      <c r="K58" s="50">
        <f>IF('쪽쟘(실측)'!F58&gt;0,'쪽쟘(실측)'!F58+1.5,0)</f>
        <v>28.5</v>
      </c>
      <c r="L58" s="50">
        <f>IF('쪽쟘(실측)'!G58&gt;0,'쪽쟘(실측)'!G58+1.5,0)</f>
        <v>28.5</v>
      </c>
      <c r="M58" s="50">
        <f>IF('쪽쟘(실측)'!H58&gt;0,'쪽쟘(실측)'!H58+1.5,0)</f>
        <v>27.5</v>
      </c>
      <c r="N58" s="50">
        <f>IF('쪽쟘(실측)'!I58&gt;0,'쪽쟘(실측)'!I58+1.5,0)</f>
        <v>27.5</v>
      </c>
      <c r="O58" s="50" t="e">
        <f>'쪽쟘(실측)'!J58-기둥차감</f>
        <v>#NAME?</v>
      </c>
      <c r="P58" s="50" t="e">
        <f>'쪽쟘(실측)'!K58-기둥차감</f>
        <v>#NAME?</v>
      </c>
      <c r="Q58" s="50" t="e">
        <f>'쪽쟘(실측)'!L58-기둥차감</f>
        <v>#NAME?</v>
      </c>
      <c r="R58" s="50" t="e">
        <f>'쪽쟘(실측)'!M58-기둥차감</f>
        <v>#NAME?</v>
      </c>
      <c r="S58" s="50">
        <f>'쪽쟘(실측)'!N58+1.2</f>
        <v>27.2</v>
      </c>
      <c r="T58" s="50">
        <f>'쪽쟘(실측)'!O58+1.2</f>
        <v>27.2</v>
      </c>
      <c r="U58" s="50">
        <f>'쪽쟘(실측)'!P58</f>
        <v>16</v>
      </c>
      <c r="V58" s="50">
        <f>'쪽쟘(실측)'!Q58</f>
        <v>25</v>
      </c>
      <c r="W58" s="50" t="e">
        <f>'쪽쟘(실측)'!R58-늘치차감</f>
        <v>#NAME?</v>
      </c>
      <c r="X58" s="50" t="e">
        <f>'쪽쟘(실측)'!S58-늘치차감</f>
        <v>#NAME?</v>
      </c>
      <c r="Z58">
        <f>쪽쟘제작!AC58</f>
        <v>944</v>
      </c>
      <c r="AA58">
        <f>쪽쟘제작!AD58</f>
        <v>122.2</v>
      </c>
      <c r="AB58">
        <f>쪽쟘제작!AE58</f>
        <v>130.00000000000003</v>
      </c>
      <c r="AC58">
        <f>쪽쟘제작!AF58</f>
        <v>2098</v>
      </c>
      <c r="AD58">
        <f>쪽쟘제작!AG58</f>
        <v>129.00000000000003</v>
      </c>
      <c r="AE58">
        <f>쪽쟘제작!AH58</f>
        <v>2098</v>
      </c>
    </row>
    <row r="59" spans="1:31" ht="18.75" customHeight="1" x14ac:dyDescent="0.3">
      <c r="A59" s="50" t="str">
        <f>'쪽쟘(실측)'!A59</f>
        <v>109   / 2</v>
      </c>
      <c r="B59" s="50" t="str">
        <f>'쪽쟘(실측)'!B59&amp;"F"</f>
        <v>12F</v>
      </c>
      <c r="C59" s="50" t="str">
        <f t="shared" si="0"/>
        <v>936*113.2</v>
      </c>
      <c r="D59" s="50" t="e">
        <f>'쪽쟘(실측)'!C59-OP차감</f>
        <v>#NAME?</v>
      </c>
      <c r="E59" s="50" t="e">
        <f>'쪽쟘(실측)'!D59+쪽쟘J늘림+MAX(W59:X59)</f>
        <v>#VALUE!</v>
      </c>
      <c r="F59" s="50" t="e">
        <f>'쪽쟘(실측)'!E59+쪽쟘J늘림+MAX(W59:X59)</f>
        <v>#VALUE!</v>
      </c>
      <c r="G59" s="67" t="str">
        <f>IF(OR(쪽쟘제작!K59&lt;&gt;쪽쟘제작!L59,쪽쟘제작!O59&lt;&gt;쪽쟘제작!P59),"",AC59&amp;"*"&amp;AB59)</f>
        <v>2098*126</v>
      </c>
      <c r="H59" s="68" t="str">
        <f>IF(OR(쪽쟘제작!N59&lt;&gt;쪽쟘제작!M59,쪽쟘제작!Q59&lt;&gt;쪽쟘제작!R59),"",AE59&amp;"*"&amp;AD59)</f>
        <v>2098*124</v>
      </c>
      <c r="I59" s="70">
        <f>IF('쪽쟘(실측)'!F59&gt;0,'쪽쟘(실측)'!F59+0.5,0)</f>
        <v>23.5</v>
      </c>
      <c r="J59" s="50">
        <f>IF('쪽쟘(실측)'!H59&gt;0,'쪽쟘(실측)'!H59+0.5,0)</f>
        <v>21.5</v>
      </c>
      <c r="K59" s="50">
        <f>IF('쪽쟘(실측)'!F59&gt;0,'쪽쟘(실측)'!F59+1.5,0)</f>
        <v>24.5</v>
      </c>
      <c r="L59" s="50">
        <f>IF('쪽쟘(실측)'!G59&gt;0,'쪽쟘(실측)'!G59+1.5,0)</f>
        <v>24.5</v>
      </c>
      <c r="M59" s="50">
        <f>IF('쪽쟘(실측)'!H59&gt;0,'쪽쟘(실측)'!H59+1.5,0)</f>
        <v>22.5</v>
      </c>
      <c r="N59" s="50">
        <f>IF('쪽쟘(실측)'!I59&gt;0,'쪽쟘(실측)'!I59+1.5,0)</f>
        <v>22.5</v>
      </c>
      <c r="O59" s="50" t="e">
        <f>'쪽쟘(실측)'!J59-기둥차감</f>
        <v>#NAME?</v>
      </c>
      <c r="P59" s="50" t="e">
        <f>'쪽쟘(실측)'!K59-기둥차감</f>
        <v>#NAME?</v>
      </c>
      <c r="Q59" s="50" t="e">
        <f>'쪽쟘(실측)'!L59-기둥차감</f>
        <v>#NAME?</v>
      </c>
      <c r="R59" s="50" t="e">
        <f>'쪽쟘(실측)'!M59-기둥차감</f>
        <v>#NAME?</v>
      </c>
      <c r="S59" s="50">
        <f>'쪽쟘(실측)'!N59+1.2</f>
        <v>18.2</v>
      </c>
      <c r="T59" s="50">
        <f>'쪽쟘(실측)'!O59+1.2</f>
        <v>18.2</v>
      </c>
      <c r="U59" s="50">
        <f>'쪽쟘(실측)'!P59</f>
        <v>16</v>
      </c>
      <c r="V59" s="50">
        <f>'쪽쟘(실측)'!Q59</f>
        <v>25</v>
      </c>
      <c r="W59" s="50" t="e">
        <f>'쪽쟘(실측)'!R59-늘치차감</f>
        <v>#NAME?</v>
      </c>
      <c r="X59" s="50" t="e">
        <f>'쪽쟘(실측)'!S59-늘치차감</f>
        <v>#NAME?</v>
      </c>
      <c r="Z59">
        <f>쪽쟘제작!AC59</f>
        <v>936</v>
      </c>
      <c r="AA59">
        <f>쪽쟘제작!AD59</f>
        <v>113.2</v>
      </c>
      <c r="AB59">
        <f>쪽쟘제작!AE59</f>
        <v>126.00000000000001</v>
      </c>
      <c r="AC59">
        <f>쪽쟘제작!AF59</f>
        <v>2098</v>
      </c>
      <c r="AD59">
        <f>쪽쟘제작!AG59</f>
        <v>124.00000000000001</v>
      </c>
      <c r="AE59">
        <f>쪽쟘제작!AH59</f>
        <v>2098</v>
      </c>
    </row>
    <row r="60" spans="1:31" ht="18.75" customHeight="1" x14ac:dyDescent="0.3">
      <c r="A60" s="50" t="str">
        <f>'쪽쟘(실측)'!A60</f>
        <v>109   / 2</v>
      </c>
      <c r="B60" s="50" t="str">
        <f>'쪽쟘(실측)'!B60&amp;"F"</f>
        <v>11F</v>
      </c>
      <c r="C60" s="50" t="str">
        <f t="shared" si="0"/>
        <v>942*117.2</v>
      </c>
      <c r="D60" s="50" t="e">
        <f>'쪽쟘(실측)'!C60-OP차감</f>
        <v>#NAME?</v>
      </c>
      <c r="E60" s="50" t="e">
        <f>'쪽쟘(실측)'!D60+쪽쟘J늘림+MAX(W60:X60)</f>
        <v>#VALUE!</v>
      </c>
      <c r="F60" s="50" t="e">
        <f>'쪽쟘(실측)'!E60+쪽쟘J늘림+MAX(W60:X60)</f>
        <v>#VALUE!</v>
      </c>
      <c r="G60" s="67" t="str">
        <f>IF(OR(쪽쟘제작!K60&lt;&gt;쪽쟘제작!L60,쪽쟘제작!O60&lt;&gt;쪽쟘제작!P60),"",AC60&amp;"*"&amp;AB60)</f>
        <v>2092*128</v>
      </c>
      <c r="H60" s="68" t="str">
        <f>IF(OR(쪽쟘제작!N60&lt;&gt;쪽쟘제작!M60,쪽쟘제작!Q60&lt;&gt;쪽쟘제작!R60),"",AE60&amp;"*"&amp;AD60)</f>
        <v>2092*129</v>
      </c>
      <c r="I60" s="70">
        <f>IF('쪽쟘(실측)'!F60&gt;0,'쪽쟘(실측)'!F60+0.5,0)</f>
        <v>25.5</v>
      </c>
      <c r="J60" s="50">
        <f>IF('쪽쟘(실측)'!H60&gt;0,'쪽쟘(실측)'!H60+0.5,0)</f>
        <v>26.5</v>
      </c>
      <c r="K60" s="50">
        <f>IF('쪽쟘(실측)'!F60&gt;0,'쪽쟘(실측)'!F60+1.5,0)</f>
        <v>26.5</v>
      </c>
      <c r="L60" s="50">
        <f>IF('쪽쟘(실측)'!G60&gt;0,'쪽쟘(실측)'!G60+1.5,0)</f>
        <v>26.5</v>
      </c>
      <c r="M60" s="50">
        <f>IF('쪽쟘(실측)'!H60&gt;0,'쪽쟘(실측)'!H60+1.5,0)</f>
        <v>27.5</v>
      </c>
      <c r="N60" s="50">
        <f>IF('쪽쟘(실측)'!I60&gt;0,'쪽쟘(실측)'!I60+1.5,0)</f>
        <v>27.5</v>
      </c>
      <c r="O60" s="50" t="e">
        <f>'쪽쟘(실측)'!J60-기둥차감</f>
        <v>#NAME?</v>
      </c>
      <c r="P60" s="50" t="e">
        <f>'쪽쟘(실측)'!K60-기둥차감</f>
        <v>#NAME?</v>
      </c>
      <c r="Q60" s="50" t="e">
        <f>'쪽쟘(실측)'!L60-기둥차감</f>
        <v>#NAME?</v>
      </c>
      <c r="R60" s="50" t="e">
        <f>'쪽쟘(실측)'!M60-기둥차감</f>
        <v>#NAME?</v>
      </c>
      <c r="S60" s="50">
        <f>'쪽쟘(실측)'!N60+1.2</f>
        <v>22.2</v>
      </c>
      <c r="T60" s="50">
        <f>'쪽쟘(실측)'!O60+1.2</f>
        <v>22.2</v>
      </c>
      <c r="U60" s="50">
        <f>'쪽쟘(실측)'!P60</f>
        <v>16</v>
      </c>
      <c r="V60" s="50">
        <f>'쪽쟘(실측)'!Q60</f>
        <v>25</v>
      </c>
      <c r="W60" s="50" t="e">
        <f>'쪽쟘(실측)'!R60-늘치차감</f>
        <v>#NAME?</v>
      </c>
      <c r="X60" s="50" t="e">
        <f>'쪽쟘(실측)'!S60-늘치차감</f>
        <v>#NAME?</v>
      </c>
      <c r="Z60">
        <f>쪽쟘제작!AC60</f>
        <v>942</v>
      </c>
      <c r="AA60">
        <f>쪽쟘제작!AD60</f>
        <v>117.2</v>
      </c>
      <c r="AB60">
        <f>쪽쟘제작!AE60</f>
        <v>128.00000000000003</v>
      </c>
      <c r="AC60">
        <f>쪽쟘제작!AF60</f>
        <v>2092</v>
      </c>
      <c r="AD60">
        <f>쪽쟘제작!AG60</f>
        <v>129.00000000000003</v>
      </c>
      <c r="AE60">
        <f>쪽쟘제작!AH60</f>
        <v>2092</v>
      </c>
    </row>
    <row r="61" spans="1:31" ht="18.75" customHeight="1" x14ac:dyDescent="0.3">
      <c r="A61" s="50" t="str">
        <f>'쪽쟘(실측)'!A61</f>
        <v>109   / 2</v>
      </c>
      <c r="B61" s="50" t="str">
        <f>'쪽쟘(실측)'!B61&amp;"F"</f>
        <v>10F</v>
      </c>
      <c r="C61" s="50" t="str">
        <f t="shared" si="0"/>
        <v>936*116.2</v>
      </c>
      <c r="D61" s="50" t="e">
        <f>'쪽쟘(실측)'!C61-OP차감</f>
        <v>#NAME?</v>
      </c>
      <c r="E61" s="50" t="e">
        <f>'쪽쟘(실측)'!D61+쪽쟘J늘림+MAX(W61:X61)</f>
        <v>#VALUE!</v>
      </c>
      <c r="F61" s="50" t="e">
        <f>'쪽쟘(실측)'!E61+쪽쟘J늘림+MAX(W61:X61)</f>
        <v>#VALUE!</v>
      </c>
      <c r="G61" s="67" t="str">
        <f>IF(OR(쪽쟘제작!K61&lt;&gt;쪽쟘제작!L61,쪽쟘제작!O61&lt;&gt;쪽쟘제작!P61),"",AC61&amp;"*"&amp;AB61)</f>
        <v>2092*126</v>
      </c>
      <c r="H61" s="68" t="str">
        <f>IF(OR(쪽쟘제작!N61&lt;&gt;쪽쟘제작!M61,쪽쟘제작!Q61&lt;&gt;쪽쟘제작!R61),"",AE61&amp;"*"&amp;AD61)</f>
        <v>2098*125</v>
      </c>
      <c r="I61" s="70">
        <f>IF('쪽쟘(실측)'!F61&gt;0,'쪽쟘(실측)'!F61+0.5,0)</f>
        <v>23.5</v>
      </c>
      <c r="J61" s="50">
        <f>IF('쪽쟘(실측)'!H61&gt;0,'쪽쟘(실측)'!H61+0.5,0)</f>
        <v>22.5</v>
      </c>
      <c r="K61" s="50">
        <f>IF('쪽쟘(실측)'!F61&gt;0,'쪽쟘(실측)'!F61+1.5,0)</f>
        <v>24.5</v>
      </c>
      <c r="L61" s="50">
        <f>IF('쪽쟘(실측)'!G61&gt;0,'쪽쟘(실측)'!G61+1.5,0)</f>
        <v>24.5</v>
      </c>
      <c r="M61" s="50">
        <f>IF('쪽쟘(실측)'!H61&gt;0,'쪽쟘(실측)'!H61+1.5,0)</f>
        <v>23.5</v>
      </c>
      <c r="N61" s="50">
        <f>IF('쪽쟘(실측)'!I61&gt;0,'쪽쟘(실측)'!I61+1.5,0)</f>
        <v>23.5</v>
      </c>
      <c r="O61" s="50" t="e">
        <f>'쪽쟘(실측)'!J61-기둥차감</f>
        <v>#NAME?</v>
      </c>
      <c r="P61" s="50" t="e">
        <f>'쪽쟘(실측)'!K61-기둥차감</f>
        <v>#NAME?</v>
      </c>
      <c r="Q61" s="50" t="e">
        <f>'쪽쟘(실측)'!L61-기둥차감</f>
        <v>#NAME?</v>
      </c>
      <c r="R61" s="50" t="e">
        <f>'쪽쟘(실측)'!M61-기둥차감</f>
        <v>#NAME?</v>
      </c>
      <c r="S61" s="50">
        <f>'쪽쟘(실측)'!N61+1.2</f>
        <v>21.2</v>
      </c>
      <c r="T61" s="50">
        <f>'쪽쟘(실측)'!O61+1.2</f>
        <v>21.2</v>
      </c>
      <c r="U61" s="50">
        <f>'쪽쟘(실측)'!P61</f>
        <v>16</v>
      </c>
      <c r="V61" s="50">
        <f>'쪽쟘(실측)'!Q61</f>
        <v>25</v>
      </c>
      <c r="W61" s="50" t="e">
        <f>'쪽쟘(실측)'!R61-늘치차감</f>
        <v>#NAME?</v>
      </c>
      <c r="X61" s="50" t="e">
        <f>'쪽쟘(실측)'!S61-늘치차감</f>
        <v>#NAME?</v>
      </c>
      <c r="Z61">
        <f>쪽쟘제작!AC61</f>
        <v>936</v>
      </c>
      <c r="AA61">
        <f>쪽쟘제작!AD61</f>
        <v>116.2</v>
      </c>
      <c r="AB61">
        <f>쪽쟘제작!AE61</f>
        <v>126.00000000000001</v>
      </c>
      <c r="AC61">
        <f>쪽쟘제작!AF61</f>
        <v>2092</v>
      </c>
      <c r="AD61">
        <f>쪽쟘제작!AG61</f>
        <v>125.00000000000001</v>
      </c>
      <c r="AE61">
        <f>쪽쟘제작!AH61</f>
        <v>2098</v>
      </c>
    </row>
    <row r="62" spans="1:31" ht="18.75" customHeight="1" x14ac:dyDescent="0.3">
      <c r="A62" s="50" t="str">
        <f>'쪽쟘(실측)'!A62</f>
        <v>109   / 2</v>
      </c>
      <c r="B62" s="50" t="str">
        <f>'쪽쟘(실측)'!B62&amp;"F"</f>
        <v>9F</v>
      </c>
      <c r="C62" s="50" t="str">
        <f t="shared" si="0"/>
        <v>934*111.2</v>
      </c>
      <c r="D62" s="50" t="e">
        <f>'쪽쟘(실측)'!C62-OP차감</f>
        <v>#NAME?</v>
      </c>
      <c r="E62" s="50" t="e">
        <f>'쪽쟘(실측)'!D62+쪽쟘J늘림+MAX(W62:X62)</f>
        <v>#VALUE!</v>
      </c>
      <c r="F62" s="50" t="e">
        <f>'쪽쟘(실측)'!E62+쪽쟘J늘림+MAX(W62:X62)</f>
        <v>#VALUE!</v>
      </c>
      <c r="G62" s="67" t="str">
        <f>IF(OR(쪽쟘제작!K62&lt;&gt;쪽쟘제작!L62,쪽쟘제작!O62&lt;&gt;쪽쟘제작!P62),"",AC62&amp;"*"&amp;AB62)</f>
        <v>2098*126</v>
      </c>
      <c r="H62" s="68" t="str">
        <f>IF(OR(쪽쟘제작!N62&lt;&gt;쪽쟘제작!M62,쪽쟘제작!Q62&lt;&gt;쪽쟘제작!R62),"",AE62&amp;"*"&amp;AD62)</f>
        <v>2092*123</v>
      </c>
      <c r="I62" s="70">
        <f>IF('쪽쟘(실측)'!F62&gt;0,'쪽쟘(실측)'!F62+0.5,0)</f>
        <v>23.5</v>
      </c>
      <c r="J62" s="50">
        <f>IF('쪽쟘(실측)'!H62&gt;0,'쪽쟘(실측)'!H62+0.5,0)</f>
        <v>20.5</v>
      </c>
      <c r="K62" s="50">
        <f>IF('쪽쟘(실측)'!F62&gt;0,'쪽쟘(실측)'!F62+1.5,0)</f>
        <v>24.5</v>
      </c>
      <c r="L62" s="50">
        <f>IF('쪽쟘(실측)'!G62&gt;0,'쪽쟘(실측)'!G62+1.5,0)</f>
        <v>24.5</v>
      </c>
      <c r="M62" s="50">
        <f>IF('쪽쟘(실측)'!H62&gt;0,'쪽쟘(실측)'!H62+1.5,0)</f>
        <v>21.5</v>
      </c>
      <c r="N62" s="50">
        <f>IF('쪽쟘(실측)'!I62&gt;0,'쪽쟘(실측)'!I62+1.5,0)</f>
        <v>21.5</v>
      </c>
      <c r="O62" s="50" t="e">
        <f>'쪽쟘(실측)'!J62-기둥차감</f>
        <v>#NAME?</v>
      </c>
      <c r="P62" s="50" t="e">
        <f>'쪽쟘(실측)'!K62-기둥차감</f>
        <v>#NAME?</v>
      </c>
      <c r="Q62" s="50" t="e">
        <f>'쪽쟘(실측)'!L62-기둥차감</f>
        <v>#NAME?</v>
      </c>
      <c r="R62" s="50" t="e">
        <f>'쪽쟘(실측)'!M62-기둥차감</f>
        <v>#NAME?</v>
      </c>
      <c r="S62" s="50">
        <f>'쪽쟘(실측)'!N62+1.2</f>
        <v>16.2</v>
      </c>
      <c r="T62" s="50">
        <f>'쪽쟘(실측)'!O62+1.2</f>
        <v>16.2</v>
      </c>
      <c r="U62" s="50">
        <f>'쪽쟘(실측)'!P62</f>
        <v>16</v>
      </c>
      <c r="V62" s="50">
        <f>'쪽쟘(실측)'!Q62</f>
        <v>25</v>
      </c>
      <c r="W62" s="50" t="e">
        <f>'쪽쟘(실측)'!R62-늘치차감</f>
        <v>#NAME?</v>
      </c>
      <c r="X62" s="50" t="e">
        <f>'쪽쟘(실측)'!S62-늘치차감</f>
        <v>#NAME?</v>
      </c>
      <c r="Z62">
        <f>쪽쟘제작!AC62</f>
        <v>934</v>
      </c>
      <c r="AA62">
        <f>쪽쟘제작!AD62</f>
        <v>111.2</v>
      </c>
      <c r="AB62">
        <f>쪽쟘제작!AE62</f>
        <v>126.00000000000001</v>
      </c>
      <c r="AC62">
        <f>쪽쟘제작!AF62</f>
        <v>2098</v>
      </c>
      <c r="AD62">
        <f>쪽쟘제작!AG62</f>
        <v>123</v>
      </c>
      <c r="AE62">
        <f>쪽쟘제작!AH62</f>
        <v>2092</v>
      </c>
    </row>
    <row r="63" spans="1:31" ht="18.75" customHeight="1" x14ac:dyDescent="0.3">
      <c r="A63" s="50" t="str">
        <f>'쪽쟘(실측)'!A63</f>
        <v>109   / 2</v>
      </c>
      <c r="B63" s="50" t="str">
        <f>'쪽쟘(실측)'!B63&amp;"F"</f>
        <v>8F</v>
      </c>
      <c r="C63" s="50" t="str">
        <f t="shared" si="0"/>
        <v>930*110.2</v>
      </c>
      <c r="D63" s="50" t="e">
        <f>'쪽쟘(실측)'!C63-OP차감</f>
        <v>#NAME?</v>
      </c>
      <c r="E63" s="50" t="e">
        <f>'쪽쟘(실측)'!D63+쪽쟘J늘림+MAX(W63:X63)</f>
        <v>#VALUE!</v>
      </c>
      <c r="F63" s="50" t="e">
        <f>'쪽쟘(실측)'!E63+쪽쟘J늘림+MAX(W63:X63)</f>
        <v>#VALUE!</v>
      </c>
      <c r="G63" s="67" t="str">
        <f>IF(OR(쪽쟘제작!K63&lt;&gt;쪽쟘제작!L63,쪽쟘제작!O63&lt;&gt;쪽쟘제작!P63),"",AC63&amp;"*"&amp;AB63)</f>
        <v>2092*122</v>
      </c>
      <c r="H63" s="68" t="str">
        <f>IF(OR(쪽쟘제작!N63&lt;&gt;쪽쟘제작!M63,쪽쟘제작!Q63&lt;&gt;쪽쟘제작!R63),"",AE63&amp;"*"&amp;AD63)</f>
        <v>2098*123</v>
      </c>
      <c r="I63" s="70">
        <f>IF('쪽쟘(실측)'!F63&gt;0,'쪽쟘(실측)'!F63+0.5,0)</f>
        <v>19.5</v>
      </c>
      <c r="J63" s="50">
        <f>IF('쪽쟘(실측)'!H63&gt;0,'쪽쟘(실측)'!H63+0.5,0)</f>
        <v>20.5</v>
      </c>
      <c r="K63" s="50">
        <f>IF('쪽쟘(실측)'!F63&gt;0,'쪽쟘(실측)'!F63+1.5,0)</f>
        <v>20.5</v>
      </c>
      <c r="L63" s="50">
        <f>IF('쪽쟘(실측)'!G63&gt;0,'쪽쟘(실측)'!G63+1.5,0)</f>
        <v>20.5</v>
      </c>
      <c r="M63" s="50">
        <f>IF('쪽쟘(실측)'!H63&gt;0,'쪽쟘(실측)'!H63+1.5,0)</f>
        <v>21.5</v>
      </c>
      <c r="N63" s="50">
        <f>IF('쪽쟘(실측)'!I63&gt;0,'쪽쟘(실측)'!I63+1.5,0)</f>
        <v>21.5</v>
      </c>
      <c r="O63" s="50" t="e">
        <f>'쪽쟘(실측)'!J63-기둥차감</f>
        <v>#NAME?</v>
      </c>
      <c r="P63" s="50" t="e">
        <f>'쪽쟘(실측)'!K63-기둥차감</f>
        <v>#NAME?</v>
      </c>
      <c r="Q63" s="50" t="e">
        <f>'쪽쟘(실측)'!L63-기둥차감</f>
        <v>#NAME?</v>
      </c>
      <c r="R63" s="50" t="e">
        <f>'쪽쟘(실측)'!M63-기둥차감</f>
        <v>#NAME?</v>
      </c>
      <c r="S63" s="50">
        <f>'쪽쟘(실측)'!N63+1.2</f>
        <v>15.2</v>
      </c>
      <c r="T63" s="50">
        <f>'쪽쟘(실측)'!O63+1.2</f>
        <v>15.2</v>
      </c>
      <c r="U63" s="50">
        <f>'쪽쟘(실측)'!P63</f>
        <v>16</v>
      </c>
      <c r="V63" s="50">
        <f>'쪽쟘(실측)'!Q63</f>
        <v>25</v>
      </c>
      <c r="W63" s="50" t="e">
        <f>'쪽쟘(실측)'!R63-늘치차감</f>
        <v>#NAME?</v>
      </c>
      <c r="X63" s="50" t="e">
        <f>'쪽쟘(실측)'!S63-늘치차감</f>
        <v>#NAME?</v>
      </c>
      <c r="Z63">
        <f>쪽쟘제작!AC63</f>
        <v>930</v>
      </c>
      <c r="AA63">
        <f>쪽쟘제작!AD63</f>
        <v>110.2</v>
      </c>
      <c r="AB63">
        <f>쪽쟘제작!AE63</f>
        <v>122</v>
      </c>
      <c r="AC63">
        <f>쪽쟘제작!AF63</f>
        <v>2092</v>
      </c>
      <c r="AD63">
        <f>쪽쟘제작!AG63</f>
        <v>123</v>
      </c>
      <c r="AE63">
        <f>쪽쟘제작!AH63</f>
        <v>2098</v>
      </c>
    </row>
    <row r="64" spans="1:31" ht="18.75" customHeight="1" x14ac:dyDescent="0.3">
      <c r="A64" s="50" t="str">
        <f>'쪽쟘(실측)'!A64</f>
        <v>109   / 2</v>
      </c>
      <c r="B64" s="50" t="str">
        <f>'쪽쟘(실측)'!B64&amp;"F"</f>
        <v>7F</v>
      </c>
      <c r="C64" s="50" t="str">
        <f t="shared" si="0"/>
        <v>933*123.2</v>
      </c>
      <c r="D64" s="50" t="e">
        <f>'쪽쟘(실측)'!C64-OP차감</f>
        <v>#NAME?</v>
      </c>
      <c r="E64" s="50" t="e">
        <f>'쪽쟘(실측)'!D64+쪽쟘J늘림+MAX(W64:X64)</f>
        <v>#VALUE!</v>
      </c>
      <c r="F64" s="50" t="e">
        <f>'쪽쟘(실측)'!E64+쪽쟘J늘림+MAX(W64:X64)</f>
        <v>#VALUE!</v>
      </c>
      <c r="G64" s="67" t="str">
        <f>IF(OR(쪽쟘제작!K64&lt;&gt;쪽쟘제작!L64,쪽쟘제작!O64&lt;&gt;쪽쟘제작!P64),"",AC64&amp;"*"&amp;AB64)</f>
        <v>2092*126</v>
      </c>
      <c r="H64" s="68" t="str">
        <f>IF(OR(쪽쟘제작!N64&lt;&gt;쪽쟘제작!M64,쪽쟘제작!Q64&lt;&gt;쪽쟘제작!R64),"",AE64&amp;"*"&amp;AD64)</f>
        <v>2092*122</v>
      </c>
      <c r="I64" s="70">
        <f>IF('쪽쟘(실측)'!F64&gt;0,'쪽쟘(실측)'!F64+0.5,0)</f>
        <v>23.5</v>
      </c>
      <c r="J64" s="50">
        <f>IF('쪽쟘(실측)'!H64&gt;0,'쪽쟘(실측)'!H64+0.5,0)</f>
        <v>19.5</v>
      </c>
      <c r="K64" s="50">
        <f>IF('쪽쟘(실측)'!F64&gt;0,'쪽쟘(실측)'!F64+1.5,0)</f>
        <v>24.5</v>
      </c>
      <c r="L64" s="50">
        <f>IF('쪽쟘(실측)'!G64&gt;0,'쪽쟘(실측)'!G64+1.5,0)</f>
        <v>24.5</v>
      </c>
      <c r="M64" s="50">
        <f>IF('쪽쟘(실측)'!H64&gt;0,'쪽쟘(실측)'!H64+1.5,0)</f>
        <v>20.5</v>
      </c>
      <c r="N64" s="50">
        <f>IF('쪽쟘(실측)'!I64&gt;0,'쪽쟘(실측)'!I64+1.5,0)</f>
        <v>20.5</v>
      </c>
      <c r="O64" s="50" t="e">
        <f>'쪽쟘(실측)'!J64-기둥차감</f>
        <v>#NAME?</v>
      </c>
      <c r="P64" s="50" t="e">
        <f>'쪽쟘(실측)'!K64-기둥차감</f>
        <v>#NAME?</v>
      </c>
      <c r="Q64" s="50" t="e">
        <f>'쪽쟘(실측)'!L64-기둥차감</f>
        <v>#NAME?</v>
      </c>
      <c r="R64" s="50" t="e">
        <f>'쪽쟘(실측)'!M64-기둥차감</f>
        <v>#NAME?</v>
      </c>
      <c r="S64" s="50">
        <f>'쪽쟘(실측)'!N64+1.2</f>
        <v>28.2</v>
      </c>
      <c r="T64" s="50">
        <f>'쪽쟘(실측)'!O64+1.2</f>
        <v>28.2</v>
      </c>
      <c r="U64" s="50">
        <f>'쪽쟘(실측)'!P64</f>
        <v>16</v>
      </c>
      <c r="V64" s="50">
        <f>'쪽쟘(실측)'!Q64</f>
        <v>25</v>
      </c>
      <c r="W64" s="50" t="e">
        <f>'쪽쟘(실측)'!R64-늘치차감</f>
        <v>#NAME?</v>
      </c>
      <c r="X64" s="50" t="e">
        <f>'쪽쟘(실측)'!S64-늘치차감</f>
        <v>#NAME?</v>
      </c>
      <c r="Z64">
        <f>쪽쟘제작!AC64</f>
        <v>933</v>
      </c>
      <c r="AA64">
        <f>쪽쟘제작!AD64</f>
        <v>123.2</v>
      </c>
      <c r="AB64">
        <f>쪽쟘제작!AE64</f>
        <v>126.00000000000001</v>
      </c>
      <c r="AC64">
        <f>쪽쟘제작!AF64</f>
        <v>2092</v>
      </c>
      <c r="AD64">
        <f>쪽쟘제작!AG64</f>
        <v>122</v>
      </c>
      <c r="AE64">
        <f>쪽쟘제작!AH64</f>
        <v>2092</v>
      </c>
    </row>
    <row r="65" spans="1:31" ht="18.75" customHeight="1" x14ac:dyDescent="0.3">
      <c r="A65" s="50" t="str">
        <f>'쪽쟘(실측)'!A65</f>
        <v>109   / 2</v>
      </c>
      <c r="B65" s="50" t="str">
        <f>'쪽쟘(실측)'!B65&amp;"F"</f>
        <v>6F</v>
      </c>
      <c r="C65" s="50" t="str">
        <f t="shared" si="0"/>
        <v>922*111.2</v>
      </c>
      <c r="D65" s="50" t="e">
        <f>'쪽쟘(실측)'!C65-OP차감</f>
        <v>#NAME?</v>
      </c>
      <c r="E65" s="50" t="e">
        <f>'쪽쟘(실측)'!D65+쪽쟘J늘림+MAX(W65:X65)</f>
        <v>#VALUE!</v>
      </c>
      <c r="F65" s="50" t="e">
        <f>'쪽쟘(실측)'!E65+쪽쟘J늘림+MAX(W65:X65)</f>
        <v>#VALUE!</v>
      </c>
      <c r="G65" s="67" t="str">
        <f>IF(OR(쪽쟘제작!K65&lt;&gt;쪽쟘제작!L65,쪽쟘제작!O65&lt;&gt;쪽쟘제작!P65),"",AC65&amp;"*"&amp;AB65)</f>
        <v>2092*118</v>
      </c>
      <c r="H65" s="68" t="str">
        <f>IF(OR(쪽쟘제작!N65&lt;&gt;쪽쟘제작!M65,쪽쟘제작!Q65&lt;&gt;쪽쟘제작!R65),"",AE65&amp;"*"&amp;AD65)</f>
        <v>2092*118</v>
      </c>
      <c r="I65" s="70">
        <f>IF('쪽쟘(실측)'!F65&gt;0,'쪽쟘(실측)'!F65+0.5,0)</f>
        <v>15.5</v>
      </c>
      <c r="J65" s="50">
        <f>IF('쪽쟘(실측)'!H65&gt;0,'쪽쟘(실측)'!H65+0.5,0)</f>
        <v>15.5</v>
      </c>
      <c r="K65" s="50">
        <f>IF('쪽쟘(실측)'!F65&gt;0,'쪽쟘(실측)'!F65+1.5,0)</f>
        <v>16.5</v>
      </c>
      <c r="L65" s="50">
        <f>IF('쪽쟘(실측)'!G65&gt;0,'쪽쟘(실측)'!G65+1.5,0)</f>
        <v>16.5</v>
      </c>
      <c r="M65" s="50">
        <f>IF('쪽쟘(실측)'!H65&gt;0,'쪽쟘(실측)'!H65+1.5,0)</f>
        <v>16.5</v>
      </c>
      <c r="N65" s="50">
        <f>IF('쪽쟘(실측)'!I65&gt;0,'쪽쟘(실측)'!I65+1.5,0)</f>
        <v>16.5</v>
      </c>
      <c r="O65" s="50" t="e">
        <f>'쪽쟘(실측)'!J65-기둥차감</f>
        <v>#NAME?</v>
      </c>
      <c r="P65" s="50" t="e">
        <f>'쪽쟘(실측)'!K65-기둥차감</f>
        <v>#NAME?</v>
      </c>
      <c r="Q65" s="50" t="e">
        <f>'쪽쟘(실측)'!L65-기둥차감</f>
        <v>#NAME?</v>
      </c>
      <c r="R65" s="50" t="e">
        <f>'쪽쟘(실측)'!M65-기둥차감</f>
        <v>#NAME?</v>
      </c>
      <c r="S65" s="50">
        <f>'쪽쟘(실측)'!N65+1.2</f>
        <v>16.2</v>
      </c>
      <c r="T65" s="50">
        <f>'쪽쟘(실측)'!O65+1.2</f>
        <v>16.2</v>
      </c>
      <c r="U65" s="50">
        <f>'쪽쟘(실측)'!P65</f>
        <v>16</v>
      </c>
      <c r="V65" s="50">
        <f>'쪽쟘(실측)'!Q65</f>
        <v>25</v>
      </c>
      <c r="W65" s="50" t="e">
        <f>'쪽쟘(실측)'!R65-늘치차감</f>
        <v>#NAME?</v>
      </c>
      <c r="X65" s="50" t="e">
        <f>'쪽쟘(실측)'!S65-늘치차감</f>
        <v>#NAME?</v>
      </c>
      <c r="Z65">
        <f>쪽쟘제작!AC65</f>
        <v>922</v>
      </c>
      <c r="AA65">
        <f>쪽쟘제작!AD65</f>
        <v>111.2</v>
      </c>
      <c r="AB65">
        <f>쪽쟘제작!AE65</f>
        <v>118</v>
      </c>
      <c r="AC65">
        <f>쪽쟘제작!AF65</f>
        <v>2092</v>
      </c>
      <c r="AD65">
        <f>쪽쟘제작!AG65</f>
        <v>118</v>
      </c>
      <c r="AE65">
        <f>쪽쟘제작!AH65</f>
        <v>2092</v>
      </c>
    </row>
    <row r="66" spans="1:31" ht="18.75" customHeight="1" x14ac:dyDescent="0.3">
      <c r="A66" s="50" t="str">
        <f>'쪽쟘(실측)'!A66</f>
        <v>109   / 2</v>
      </c>
      <c r="B66" s="50" t="str">
        <f>'쪽쟘(실측)'!B66&amp;"F"</f>
        <v>5F</v>
      </c>
      <c r="C66" s="50" t="str">
        <f t="shared" si="0"/>
        <v>917*112.2</v>
      </c>
      <c r="D66" s="50" t="e">
        <f>'쪽쟘(실측)'!C66-OP차감</f>
        <v>#NAME?</v>
      </c>
      <c r="E66" s="50" t="e">
        <f>'쪽쟘(실측)'!D66+쪽쟘J늘림+MAX(W66:X66)</f>
        <v>#VALUE!</v>
      </c>
      <c r="F66" s="50" t="e">
        <f>'쪽쟘(실측)'!E66+쪽쟘J늘림+MAX(W66:X66)</f>
        <v>#VALUE!</v>
      </c>
      <c r="G66" s="67" t="str">
        <f>IF(OR(쪽쟘제작!K66&lt;&gt;쪽쟘제작!L66,쪽쟘제작!O66&lt;&gt;쪽쟘제작!P66),"",AC66&amp;"*"&amp;AB66)</f>
        <v>2092*116</v>
      </c>
      <c r="H66" s="68" t="str">
        <f>IF(OR(쪽쟘제작!N66&lt;&gt;쪽쟘제작!M66,쪽쟘제작!Q66&lt;&gt;쪽쟘제작!R66),"",AE66&amp;"*"&amp;AD66)</f>
        <v>2092*116</v>
      </c>
      <c r="I66" s="70">
        <f>IF('쪽쟘(실측)'!F66&gt;0,'쪽쟘(실측)'!F66+0.5,0)</f>
        <v>13.5</v>
      </c>
      <c r="J66" s="50">
        <f>IF('쪽쟘(실측)'!H66&gt;0,'쪽쟘(실측)'!H66+0.5,0)</f>
        <v>13.5</v>
      </c>
      <c r="K66" s="50">
        <f>IF('쪽쟘(실측)'!F66&gt;0,'쪽쟘(실측)'!F66+1.5,0)</f>
        <v>14.5</v>
      </c>
      <c r="L66" s="50">
        <f>IF('쪽쟘(실측)'!G66&gt;0,'쪽쟘(실측)'!G66+1.5,0)</f>
        <v>14.5</v>
      </c>
      <c r="M66" s="50">
        <f>IF('쪽쟘(실측)'!H66&gt;0,'쪽쟘(실측)'!H66+1.5,0)</f>
        <v>14.5</v>
      </c>
      <c r="N66" s="50">
        <f>IF('쪽쟘(실측)'!I66&gt;0,'쪽쟘(실측)'!I66+1.5,0)</f>
        <v>14.5</v>
      </c>
      <c r="O66" s="50" t="e">
        <f>'쪽쟘(실측)'!J66-기둥차감</f>
        <v>#NAME?</v>
      </c>
      <c r="P66" s="50" t="e">
        <f>'쪽쟘(실측)'!K66-기둥차감</f>
        <v>#NAME?</v>
      </c>
      <c r="Q66" s="50" t="e">
        <f>'쪽쟘(실측)'!L66-기둥차감</f>
        <v>#NAME?</v>
      </c>
      <c r="R66" s="50" t="e">
        <f>'쪽쟘(실측)'!M66-기둥차감</f>
        <v>#NAME?</v>
      </c>
      <c r="S66" s="50">
        <f>'쪽쟘(실측)'!N66+1.2</f>
        <v>17.2</v>
      </c>
      <c r="T66" s="50">
        <f>'쪽쟘(실측)'!O66+1.2</f>
        <v>17.2</v>
      </c>
      <c r="U66" s="50">
        <f>'쪽쟘(실측)'!P66</f>
        <v>16</v>
      </c>
      <c r="V66" s="50">
        <f>'쪽쟘(실측)'!Q66</f>
        <v>25</v>
      </c>
      <c r="W66" s="50" t="e">
        <f>'쪽쟘(실측)'!R66-늘치차감</f>
        <v>#NAME?</v>
      </c>
      <c r="X66" s="50" t="e">
        <f>'쪽쟘(실측)'!S66-늘치차감</f>
        <v>#NAME?</v>
      </c>
      <c r="Z66">
        <f>쪽쟘제작!AC66</f>
        <v>917</v>
      </c>
      <c r="AA66">
        <f>쪽쟘제작!AD66</f>
        <v>112.2</v>
      </c>
      <c r="AB66">
        <f>쪽쟘제작!AE66</f>
        <v>116</v>
      </c>
      <c r="AC66">
        <f>쪽쟘제작!AF66</f>
        <v>2092</v>
      </c>
      <c r="AD66">
        <f>쪽쟘제작!AG66</f>
        <v>116</v>
      </c>
      <c r="AE66">
        <f>쪽쟘제작!AH66</f>
        <v>2092</v>
      </c>
    </row>
    <row r="67" spans="1:31" ht="18.75" customHeight="1" x14ac:dyDescent="0.3">
      <c r="A67" s="50" t="str">
        <f>'쪽쟘(실측)'!A67</f>
        <v>109   / 2</v>
      </c>
      <c r="B67" s="50" t="str">
        <f>'쪽쟘(실측)'!B67&amp;"F"</f>
        <v>4F</v>
      </c>
      <c r="C67" s="50" t="str">
        <f t="shared" si="0"/>
        <v>923*107.2</v>
      </c>
      <c r="D67" s="50" t="e">
        <f>'쪽쟘(실측)'!C67-OP차감</f>
        <v>#NAME?</v>
      </c>
      <c r="E67" s="50" t="e">
        <f>'쪽쟘(실측)'!D67+쪽쟘J늘림+MAX(W67:X67)</f>
        <v>#VALUE!</v>
      </c>
      <c r="F67" s="50" t="e">
        <f>'쪽쟘(실측)'!E67+쪽쟘J늘림+MAX(W67:X67)</f>
        <v>#VALUE!</v>
      </c>
      <c r="G67" s="67" t="str">
        <f>IF(OR(쪽쟘제작!K67&lt;&gt;쪽쟘제작!L67,쪽쟘제작!O67&lt;&gt;쪽쟘제작!P67),"",AC67&amp;"*"&amp;AB67)</f>
        <v>2098*119</v>
      </c>
      <c r="H67" s="68" t="str">
        <f>IF(OR(쪽쟘제작!N67&lt;&gt;쪽쟘제작!M67,쪽쟘제작!Q67&lt;&gt;쪽쟘제작!R67),"",AE67&amp;"*"&amp;AD67)</f>
        <v>2098*119</v>
      </c>
      <c r="I67" s="70">
        <f>IF('쪽쟘(실측)'!F67&gt;0,'쪽쟘(실측)'!F67+0.5,0)</f>
        <v>16.5</v>
      </c>
      <c r="J67" s="50">
        <f>IF('쪽쟘(실측)'!H67&gt;0,'쪽쟘(실측)'!H67+0.5,0)</f>
        <v>16.5</v>
      </c>
      <c r="K67" s="50">
        <f>IF('쪽쟘(실측)'!F67&gt;0,'쪽쟘(실측)'!F67+1.5,0)</f>
        <v>17.5</v>
      </c>
      <c r="L67" s="50">
        <f>IF('쪽쟘(실측)'!G67&gt;0,'쪽쟘(실측)'!G67+1.5,0)</f>
        <v>17.5</v>
      </c>
      <c r="M67" s="50">
        <f>IF('쪽쟘(실측)'!H67&gt;0,'쪽쟘(실측)'!H67+1.5,0)</f>
        <v>17.5</v>
      </c>
      <c r="N67" s="50">
        <f>IF('쪽쟘(실측)'!I67&gt;0,'쪽쟘(실측)'!I67+1.5,0)</f>
        <v>17.5</v>
      </c>
      <c r="O67" s="50" t="e">
        <f>'쪽쟘(실측)'!J67-기둥차감</f>
        <v>#NAME?</v>
      </c>
      <c r="P67" s="50" t="e">
        <f>'쪽쟘(실측)'!K67-기둥차감</f>
        <v>#NAME?</v>
      </c>
      <c r="Q67" s="50" t="e">
        <f>'쪽쟘(실측)'!L67-기둥차감</f>
        <v>#NAME?</v>
      </c>
      <c r="R67" s="50" t="e">
        <f>'쪽쟘(실측)'!M67-기둥차감</f>
        <v>#NAME?</v>
      </c>
      <c r="S67" s="50">
        <f>'쪽쟘(실측)'!N67+1.2</f>
        <v>12.2</v>
      </c>
      <c r="T67" s="50">
        <f>'쪽쟘(실측)'!O67+1.2</f>
        <v>12.2</v>
      </c>
      <c r="U67" s="50">
        <f>'쪽쟘(실측)'!P67</f>
        <v>16</v>
      </c>
      <c r="V67" s="50">
        <f>'쪽쟘(실측)'!Q67</f>
        <v>25</v>
      </c>
      <c r="W67" s="50" t="e">
        <f>'쪽쟘(실측)'!R67-늘치차감</f>
        <v>#NAME?</v>
      </c>
      <c r="X67" s="50" t="e">
        <f>'쪽쟘(실측)'!S67-늘치차감</f>
        <v>#NAME?</v>
      </c>
      <c r="Z67">
        <f>쪽쟘제작!AC67</f>
        <v>923</v>
      </c>
      <c r="AA67">
        <f>쪽쟘제작!AD67</f>
        <v>107.2</v>
      </c>
      <c r="AB67">
        <f>쪽쟘제작!AE67</f>
        <v>119</v>
      </c>
      <c r="AC67">
        <f>쪽쟘제작!AF67</f>
        <v>2098</v>
      </c>
      <c r="AD67">
        <f>쪽쟘제작!AG67</f>
        <v>119</v>
      </c>
      <c r="AE67">
        <f>쪽쟘제작!AH67</f>
        <v>2098</v>
      </c>
    </row>
    <row r="68" spans="1:31" ht="18.75" customHeight="1" x14ac:dyDescent="0.3">
      <c r="A68" s="50" t="str">
        <f>'쪽쟘(실측)'!A68</f>
        <v>109   / 2</v>
      </c>
      <c r="B68" s="50" t="str">
        <f>'쪽쟘(실측)'!B68&amp;"F"</f>
        <v>3F</v>
      </c>
      <c r="C68" s="50" t="str">
        <f t="shared" si="0"/>
        <v>925*114.2</v>
      </c>
      <c r="D68" s="50" t="e">
        <f>'쪽쟘(실측)'!C68-OP차감</f>
        <v>#NAME?</v>
      </c>
      <c r="E68" s="50" t="e">
        <f>'쪽쟘(실측)'!D68+쪽쟘J늘림+MAX(W68:X68)</f>
        <v>#VALUE!</v>
      </c>
      <c r="F68" s="50" t="e">
        <f>'쪽쟘(실측)'!E68+쪽쟘J늘림+MAX(W68:X68)</f>
        <v>#VALUE!</v>
      </c>
      <c r="G68" s="67" t="str">
        <f>IF(OR(쪽쟘제작!K68&lt;&gt;쪽쟘제작!L68,쪽쟘제작!O68&lt;&gt;쪽쟘제작!P68),"",AC68&amp;"*"&amp;AB68)</f>
        <v>2098*120</v>
      </c>
      <c r="H68" s="68" t="str">
        <f>IF(OR(쪽쟘제작!N68&lt;&gt;쪽쟘제작!M68,쪽쟘제작!Q68&lt;&gt;쪽쟘제작!R68),"",AE68&amp;"*"&amp;AD68)</f>
        <v>2092*119</v>
      </c>
      <c r="I68" s="70">
        <f>IF('쪽쟘(실측)'!F68&gt;0,'쪽쟘(실측)'!F68+0.5,0)</f>
        <v>17.5</v>
      </c>
      <c r="J68" s="50">
        <f>IF('쪽쟘(실측)'!H68&gt;0,'쪽쟘(실측)'!H68+0.5,0)</f>
        <v>16.5</v>
      </c>
      <c r="K68" s="50">
        <f>IF('쪽쟘(실측)'!F68&gt;0,'쪽쟘(실측)'!F68+1.5,0)</f>
        <v>18.5</v>
      </c>
      <c r="L68" s="50">
        <f>IF('쪽쟘(실측)'!G68&gt;0,'쪽쟘(실측)'!G68+1.5,0)</f>
        <v>18.5</v>
      </c>
      <c r="M68" s="50">
        <f>IF('쪽쟘(실측)'!H68&gt;0,'쪽쟘(실측)'!H68+1.5,0)</f>
        <v>17.5</v>
      </c>
      <c r="N68" s="50">
        <f>IF('쪽쟘(실측)'!I68&gt;0,'쪽쟘(실측)'!I68+1.5,0)</f>
        <v>17.5</v>
      </c>
      <c r="O68" s="50" t="e">
        <f>'쪽쟘(실측)'!J68-기둥차감</f>
        <v>#NAME?</v>
      </c>
      <c r="P68" s="50" t="e">
        <f>'쪽쟘(실측)'!K68-기둥차감</f>
        <v>#NAME?</v>
      </c>
      <c r="Q68" s="50" t="e">
        <f>'쪽쟘(실측)'!L68-기둥차감</f>
        <v>#NAME?</v>
      </c>
      <c r="R68" s="50" t="e">
        <f>'쪽쟘(실측)'!M68-기둥차감</f>
        <v>#NAME?</v>
      </c>
      <c r="S68" s="50">
        <f>'쪽쟘(실측)'!N68+1.2</f>
        <v>19.2</v>
      </c>
      <c r="T68" s="50">
        <f>'쪽쟘(실측)'!O68+1.2</f>
        <v>19.2</v>
      </c>
      <c r="U68" s="50">
        <f>'쪽쟘(실측)'!P68</f>
        <v>16</v>
      </c>
      <c r="V68" s="50">
        <f>'쪽쟘(실측)'!Q68</f>
        <v>25</v>
      </c>
      <c r="W68" s="50" t="e">
        <f>'쪽쟘(실측)'!R68-늘치차감</f>
        <v>#NAME?</v>
      </c>
      <c r="X68" s="50" t="e">
        <f>'쪽쟘(실측)'!S68-늘치차감</f>
        <v>#NAME?</v>
      </c>
      <c r="Z68">
        <f>쪽쟘제작!AC68</f>
        <v>925</v>
      </c>
      <c r="AA68">
        <f>쪽쟘제작!AD68</f>
        <v>114.2</v>
      </c>
      <c r="AB68">
        <f>쪽쟘제작!AE68</f>
        <v>120</v>
      </c>
      <c r="AC68">
        <f>쪽쟘제작!AF68</f>
        <v>2098</v>
      </c>
      <c r="AD68">
        <f>쪽쟘제작!AG68</f>
        <v>119</v>
      </c>
      <c r="AE68">
        <f>쪽쟘제작!AH68</f>
        <v>2092</v>
      </c>
    </row>
    <row r="69" spans="1:31" ht="18.75" customHeight="1" thickBot="1" x14ac:dyDescent="0.35">
      <c r="A69" s="379" t="str">
        <f>'쪽쟘(실측)'!A69</f>
        <v>109   / 2</v>
      </c>
      <c r="B69" s="379" t="str">
        <f>'쪽쟘(실측)'!B69&amp;"F"</f>
        <v>2F</v>
      </c>
      <c r="C69" s="379" t="str">
        <f t="shared" si="0"/>
        <v>916*108.2</v>
      </c>
      <c r="D69" s="379" t="e">
        <f>'쪽쟘(실측)'!C69-OP차감</f>
        <v>#NAME?</v>
      </c>
      <c r="E69" s="379" t="e">
        <f>'쪽쟘(실측)'!D69+쪽쟘J늘림+MAX(W69:X69)</f>
        <v>#VALUE!</v>
      </c>
      <c r="F69" s="379" t="e">
        <f>'쪽쟘(실측)'!E69+쪽쟘J늘림+MAX(W69:X69)</f>
        <v>#VALUE!</v>
      </c>
      <c r="G69" s="380" t="str">
        <f>IF(OR(쪽쟘제작!K69&lt;&gt;쪽쟘제작!L69,쪽쟘제작!O69&lt;&gt;쪽쟘제작!P69),"",AC69&amp;"*"&amp;AB69)</f>
        <v>2092*116</v>
      </c>
      <c r="H69" s="381" t="str">
        <f>IF(OR(쪽쟘제작!N69&lt;&gt;쪽쟘제작!M69,쪽쟘제작!Q69&lt;&gt;쪽쟘제작!R69),"",AE69&amp;"*"&amp;AD69)</f>
        <v>2092*115</v>
      </c>
      <c r="I69" s="70">
        <f>IF('쪽쟘(실측)'!F69&gt;0,'쪽쟘(실측)'!F69+0.5,0)</f>
        <v>13.5</v>
      </c>
      <c r="J69" s="50">
        <f>IF('쪽쟘(실측)'!H69&gt;0,'쪽쟘(실측)'!H69+0.5,0)</f>
        <v>12.5</v>
      </c>
      <c r="K69" s="50">
        <f>IF('쪽쟘(실측)'!F69&gt;0,'쪽쟘(실측)'!F69+1.5,0)</f>
        <v>14.5</v>
      </c>
      <c r="L69" s="50">
        <f>IF('쪽쟘(실측)'!G69&gt;0,'쪽쟘(실측)'!G69+1.5,0)</f>
        <v>14.5</v>
      </c>
      <c r="M69" s="50">
        <f>IF('쪽쟘(실측)'!H69&gt;0,'쪽쟘(실측)'!H69+1.5,0)</f>
        <v>13.5</v>
      </c>
      <c r="N69" s="50">
        <f>IF('쪽쟘(실측)'!I69&gt;0,'쪽쟘(실측)'!I69+1.5,0)</f>
        <v>13.5</v>
      </c>
      <c r="O69" s="50" t="e">
        <f>'쪽쟘(실측)'!J69-기둥차감</f>
        <v>#NAME?</v>
      </c>
      <c r="P69" s="50" t="e">
        <f>'쪽쟘(실측)'!K69-기둥차감</f>
        <v>#NAME?</v>
      </c>
      <c r="Q69" s="50" t="e">
        <f>'쪽쟘(실측)'!L69-기둥차감</f>
        <v>#NAME?</v>
      </c>
      <c r="R69" s="50" t="e">
        <f>'쪽쟘(실측)'!M69-기둥차감</f>
        <v>#NAME?</v>
      </c>
      <c r="S69" s="50">
        <f>'쪽쟘(실측)'!N69+1.2</f>
        <v>13.2</v>
      </c>
      <c r="T69" s="50">
        <f>'쪽쟘(실측)'!O69+1.2</f>
        <v>13.2</v>
      </c>
      <c r="U69" s="50">
        <f>'쪽쟘(실측)'!P69</f>
        <v>16</v>
      </c>
      <c r="V69" s="50">
        <f>'쪽쟘(실측)'!Q69</f>
        <v>25</v>
      </c>
      <c r="W69" s="50" t="e">
        <f>'쪽쟘(실측)'!R69-늘치차감</f>
        <v>#NAME?</v>
      </c>
      <c r="X69" s="50" t="e">
        <f>'쪽쟘(실측)'!S69-늘치차감</f>
        <v>#NAME?</v>
      </c>
      <c r="Z69">
        <f>쪽쟘제작!AC69</f>
        <v>916</v>
      </c>
      <c r="AA69">
        <f>쪽쟘제작!AD69</f>
        <v>108.2</v>
      </c>
      <c r="AB69">
        <f>쪽쟘제작!AE69</f>
        <v>116</v>
      </c>
      <c r="AC69">
        <f>쪽쟘제작!AF69</f>
        <v>2092</v>
      </c>
      <c r="AD69">
        <f>쪽쟘제작!AG69</f>
        <v>115</v>
      </c>
      <c r="AE69">
        <f>쪽쟘제작!AH69</f>
        <v>2092</v>
      </c>
    </row>
    <row r="70" spans="1:31" ht="18.75" customHeight="1" x14ac:dyDescent="0.3">
      <c r="A70" s="376" t="str">
        <f>'쪽쟘(실측)'!A70</f>
        <v>110   / 2</v>
      </c>
      <c r="B70" s="376" t="str">
        <f>'쪽쟘(실측)'!B70&amp;"F"</f>
        <v>21F</v>
      </c>
      <c r="C70" s="376" t="str">
        <f t="shared" si="0"/>
        <v>938*122.2</v>
      </c>
      <c r="D70" s="376" t="e">
        <f>'쪽쟘(실측)'!C70-OP차감</f>
        <v>#NAME?</v>
      </c>
      <c r="E70" s="376" t="e">
        <f>'쪽쟘(실측)'!D70+쪽쟘J늘림+MAX(W70:X70)</f>
        <v>#VALUE!</v>
      </c>
      <c r="F70" s="376" t="e">
        <f>'쪽쟘(실측)'!E70+쪽쟘J늘림+MAX(W70:X70)</f>
        <v>#VALUE!</v>
      </c>
      <c r="G70" s="377" t="str">
        <f>IF(OR(쪽쟘제작!K70&lt;&gt;쪽쟘제작!L70,쪽쟘제작!O70&lt;&gt;쪽쟘제작!P70),"",AC70&amp;"*"&amp;AB70)</f>
        <v>2092*126</v>
      </c>
      <c r="H70" s="378" t="str">
        <f>IF(OR(쪽쟘제작!N70&lt;&gt;쪽쟘제작!M70,쪽쟘제작!Q70&lt;&gt;쪽쟘제작!R70),"",AE70&amp;"*"&amp;AD70)</f>
        <v>2092*126</v>
      </c>
      <c r="I70" s="70">
        <f>IF('쪽쟘(실측)'!F70&gt;0,'쪽쟘(실측)'!F70+0.5,0)</f>
        <v>23.5</v>
      </c>
      <c r="J70" s="50">
        <f>IF('쪽쟘(실측)'!H70&gt;0,'쪽쟘(실측)'!H70+0.5,0)</f>
        <v>23.5</v>
      </c>
      <c r="K70" s="50">
        <f>IF('쪽쟘(실측)'!F70&gt;0,'쪽쟘(실측)'!F70+1.5,0)</f>
        <v>24.5</v>
      </c>
      <c r="L70" s="50">
        <f>IF('쪽쟘(실측)'!G70&gt;0,'쪽쟘(실측)'!G70+1.5,0)</f>
        <v>24.5</v>
      </c>
      <c r="M70" s="50">
        <f>IF('쪽쟘(실측)'!H70&gt;0,'쪽쟘(실측)'!H70+1.5,0)</f>
        <v>24.5</v>
      </c>
      <c r="N70" s="50">
        <f>IF('쪽쟘(실측)'!I70&gt;0,'쪽쟘(실측)'!I70+1.5,0)</f>
        <v>24.5</v>
      </c>
      <c r="O70" s="50" t="e">
        <f>'쪽쟘(실측)'!J70-기둥차감</f>
        <v>#NAME?</v>
      </c>
      <c r="P70" s="50" t="e">
        <f>'쪽쟘(실측)'!K70-기둥차감</f>
        <v>#NAME?</v>
      </c>
      <c r="Q70" s="50" t="e">
        <f>'쪽쟘(실측)'!L70-기둥차감</f>
        <v>#NAME?</v>
      </c>
      <c r="R70" s="50" t="e">
        <f>'쪽쟘(실측)'!M70-기둥차감</f>
        <v>#NAME?</v>
      </c>
      <c r="S70" s="50">
        <f>'쪽쟘(실측)'!N70+1.2</f>
        <v>27.2</v>
      </c>
      <c r="T70" s="50">
        <f>'쪽쟘(실측)'!O70+1.2</f>
        <v>27.2</v>
      </c>
      <c r="U70" s="50">
        <f>'쪽쟘(실측)'!P70</f>
        <v>16</v>
      </c>
      <c r="V70" s="50">
        <f>'쪽쟘(실측)'!Q70</f>
        <v>25</v>
      </c>
      <c r="W70" s="50" t="e">
        <f>'쪽쟘(실측)'!R70-늘치차감</f>
        <v>#NAME?</v>
      </c>
      <c r="X70" s="50" t="e">
        <f>'쪽쟘(실측)'!S70-늘치차감</f>
        <v>#NAME?</v>
      </c>
      <c r="Z70">
        <f>쪽쟘제작!AC70</f>
        <v>938</v>
      </c>
      <c r="AA70">
        <f>쪽쟘제작!AD70</f>
        <v>122.2</v>
      </c>
      <c r="AB70">
        <f>쪽쟘제작!AE70</f>
        <v>126.00000000000001</v>
      </c>
      <c r="AC70">
        <f>쪽쟘제작!AF70</f>
        <v>2092</v>
      </c>
      <c r="AD70">
        <f>쪽쟘제작!AG70</f>
        <v>126.00000000000001</v>
      </c>
      <c r="AE70">
        <f>쪽쟘제작!AH70</f>
        <v>2092</v>
      </c>
    </row>
    <row r="71" spans="1:31" ht="18.75" customHeight="1" x14ac:dyDescent="0.3">
      <c r="A71" s="50" t="str">
        <f>'쪽쟘(실측)'!A71</f>
        <v>110   / 2</v>
      </c>
      <c r="B71" s="50" t="str">
        <f>'쪽쟘(실측)'!B71&amp;"F"</f>
        <v>20F</v>
      </c>
      <c r="C71" s="50" t="str">
        <f t="shared" si="0"/>
        <v>933*118.2</v>
      </c>
      <c r="D71" s="50" t="e">
        <f>'쪽쟘(실측)'!C71-OP차감</f>
        <v>#NAME?</v>
      </c>
      <c r="E71" s="50" t="e">
        <f>'쪽쟘(실측)'!D71+쪽쟘J늘림+MAX(W71:X71)</f>
        <v>#VALUE!</v>
      </c>
      <c r="F71" s="50" t="e">
        <f>'쪽쟘(실측)'!E71+쪽쟘J늘림+MAX(W71:X71)</f>
        <v>#VALUE!</v>
      </c>
      <c r="G71" s="67" t="str">
        <f>IF(OR(쪽쟘제작!K71&lt;&gt;쪽쟘제작!L71,쪽쟘제작!O71&lt;&gt;쪽쟘제작!P71),"",AC71&amp;"*"&amp;AB71)</f>
        <v>2092*124</v>
      </c>
      <c r="H71" s="68" t="str">
        <f>IF(OR(쪽쟘제작!N71&lt;&gt;쪽쟘제작!M71,쪽쟘제작!Q71&lt;&gt;쪽쟘제작!R71),"",AE71&amp;"*"&amp;AD71)</f>
        <v>2092*124</v>
      </c>
      <c r="I71" s="70">
        <f>IF('쪽쟘(실측)'!F71&gt;0,'쪽쟘(실측)'!F71+0.5,0)</f>
        <v>21.5</v>
      </c>
      <c r="J71" s="50">
        <f>IF('쪽쟘(실측)'!H71&gt;0,'쪽쟘(실측)'!H71+0.5,0)</f>
        <v>21.5</v>
      </c>
      <c r="K71" s="50">
        <f>IF('쪽쟘(실측)'!F71&gt;0,'쪽쟘(실측)'!F71+1.5,0)</f>
        <v>22.5</v>
      </c>
      <c r="L71" s="50">
        <f>IF('쪽쟘(실측)'!G71&gt;0,'쪽쟘(실측)'!G71+1.5,0)</f>
        <v>22.5</v>
      </c>
      <c r="M71" s="50">
        <f>IF('쪽쟘(실측)'!H71&gt;0,'쪽쟘(실측)'!H71+1.5,0)</f>
        <v>22.5</v>
      </c>
      <c r="N71" s="50">
        <f>IF('쪽쟘(실측)'!I71&gt;0,'쪽쟘(실측)'!I71+1.5,0)</f>
        <v>22.5</v>
      </c>
      <c r="O71" s="50" t="e">
        <f>'쪽쟘(실측)'!J71-기둥차감</f>
        <v>#NAME?</v>
      </c>
      <c r="P71" s="50" t="e">
        <f>'쪽쟘(실측)'!K71-기둥차감</f>
        <v>#NAME?</v>
      </c>
      <c r="Q71" s="50" t="e">
        <f>'쪽쟘(실측)'!L71-기둥차감</f>
        <v>#NAME?</v>
      </c>
      <c r="R71" s="50" t="e">
        <f>'쪽쟘(실측)'!M71-기둥차감</f>
        <v>#NAME?</v>
      </c>
      <c r="S71" s="50">
        <f>'쪽쟘(실측)'!N71+1.2</f>
        <v>23.2</v>
      </c>
      <c r="T71" s="50">
        <f>'쪽쟘(실측)'!O71+1.2</f>
        <v>23.2</v>
      </c>
      <c r="U71" s="50">
        <f>'쪽쟘(실측)'!P71</f>
        <v>16</v>
      </c>
      <c r="V71" s="50">
        <f>'쪽쟘(실측)'!Q71</f>
        <v>25</v>
      </c>
      <c r="W71" s="50" t="e">
        <f>'쪽쟘(실측)'!R71-늘치차감</f>
        <v>#NAME?</v>
      </c>
      <c r="X71" s="50" t="e">
        <f>'쪽쟘(실측)'!S71-늘치차감</f>
        <v>#NAME?</v>
      </c>
      <c r="Z71">
        <f>쪽쟘제작!AC71</f>
        <v>933</v>
      </c>
      <c r="AA71">
        <f>쪽쟘제작!AD71</f>
        <v>118.2</v>
      </c>
      <c r="AB71">
        <f>쪽쟘제작!AE71</f>
        <v>124.00000000000001</v>
      </c>
      <c r="AC71">
        <f>쪽쟘제작!AF71</f>
        <v>2092</v>
      </c>
      <c r="AD71">
        <f>쪽쟘제작!AG71</f>
        <v>124.00000000000001</v>
      </c>
      <c r="AE71">
        <f>쪽쟘제작!AH71</f>
        <v>2092</v>
      </c>
    </row>
    <row r="72" spans="1:31" ht="18.75" customHeight="1" x14ac:dyDescent="0.3">
      <c r="A72" s="50" t="str">
        <f>'쪽쟘(실측)'!A72</f>
        <v>110   / 2</v>
      </c>
      <c r="B72" s="50" t="str">
        <f>'쪽쟘(실측)'!B72&amp;"F"</f>
        <v>19F</v>
      </c>
      <c r="C72" s="50" t="str">
        <f t="shared" ref="C72:C121" si="1">Z72&amp;"*"&amp;AA72</f>
        <v>934*104.2</v>
      </c>
      <c r="D72" s="50" t="e">
        <f>'쪽쟘(실측)'!C72-OP차감</f>
        <v>#NAME?</v>
      </c>
      <c r="E72" s="50" t="e">
        <f>'쪽쟘(실측)'!D72+쪽쟘J늘림+MAX(W72:X72)</f>
        <v>#VALUE!</v>
      </c>
      <c r="F72" s="50" t="e">
        <f>'쪽쟘(실측)'!E72+쪽쟘J늘림+MAX(W72:X72)</f>
        <v>#VALUE!</v>
      </c>
      <c r="G72" s="67" t="str">
        <f>IF(OR(쪽쟘제작!K72&lt;&gt;쪽쟘제작!L72,쪽쟘제작!O72&lt;&gt;쪽쟘제작!P72),"",AC72&amp;"*"&amp;AB72)</f>
        <v>2092*125</v>
      </c>
      <c r="H72" s="68" t="str">
        <f>IF(OR(쪽쟘제작!N72&lt;&gt;쪽쟘제작!M72,쪽쟘제작!Q72&lt;&gt;쪽쟘제작!R72),"",AE72&amp;"*"&amp;AD72)</f>
        <v>2092*123</v>
      </c>
      <c r="I72" s="70">
        <f>IF('쪽쟘(실측)'!F72&gt;0,'쪽쟘(실측)'!F72+0.5,0)</f>
        <v>22.5</v>
      </c>
      <c r="J72" s="50">
        <f>IF('쪽쟘(실측)'!H72&gt;0,'쪽쟘(실측)'!H72+0.5,0)</f>
        <v>20.5</v>
      </c>
      <c r="K72" s="50">
        <f>IF('쪽쟘(실측)'!F72&gt;0,'쪽쟘(실측)'!F72+1.5,0)</f>
        <v>23.5</v>
      </c>
      <c r="L72" s="50">
        <f>IF('쪽쟘(실측)'!G72&gt;0,'쪽쟘(실측)'!G72+1.5,0)</f>
        <v>23.5</v>
      </c>
      <c r="M72" s="50">
        <f>IF('쪽쟘(실측)'!H72&gt;0,'쪽쟘(실측)'!H72+1.5,0)</f>
        <v>21.5</v>
      </c>
      <c r="N72" s="50">
        <f>IF('쪽쟘(실측)'!I72&gt;0,'쪽쟘(실측)'!I72+1.5,0)</f>
        <v>21.5</v>
      </c>
      <c r="O72" s="50" t="e">
        <f>'쪽쟘(실측)'!J72-기둥차감</f>
        <v>#NAME?</v>
      </c>
      <c r="P72" s="50" t="e">
        <f>'쪽쟘(실측)'!K72-기둥차감</f>
        <v>#NAME?</v>
      </c>
      <c r="Q72" s="50" t="e">
        <f>'쪽쟘(실측)'!L72-기둥차감</f>
        <v>#NAME?</v>
      </c>
      <c r="R72" s="50" t="e">
        <f>'쪽쟘(실측)'!M72-기둥차감</f>
        <v>#NAME?</v>
      </c>
      <c r="S72" s="50">
        <f>'쪽쟘(실측)'!N72+1.2</f>
        <v>9.1999999999999993</v>
      </c>
      <c r="T72" s="50">
        <f>'쪽쟘(실측)'!O72+1.2</f>
        <v>9.1999999999999993</v>
      </c>
      <c r="U72" s="50">
        <f>'쪽쟘(실측)'!P72</f>
        <v>16</v>
      </c>
      <c r="V72" s="50">
        <f>'쪽쟘(실측)'!Q72</f>
        <v>25</v>
      </c>
      <c r="W72" s="50" t="e">
        <f>'쪽쟘(실측)'!R72-늘치차감</f>
        <v>#NAME?</v>
      </c>
      <c r="X72" s="50" t="e">
        <f>'쪽쟘(실측)'!S72-늘치차감</f>
        <v>#NAME?</v>
      </c>
      <c r="Z72">
        <f>쪽쟘제작!AC72</f>
        <v>934</v>
      </c>
      <c r="AA72">
        <f>쪽쟘제작!AD72</f>
        <v>104.2</v>
      </c>
      <c r="AB72">
        <f>쪽쟘제작!AE72</f>
        <v>125.00000000000001</v>
      </c>
      <c r="AC72">
        <f>쪽쟘제작!AF72</f>
        <v>2092</v>
      </c>
      <c r="AD72">
        <f>쪽쟘제작!AG72</f>
        <v>123</v>
      </c>
      <c r="AE72">
        <f>쪽쟘제작!AH72</f>
        <v>2092</v>
      </c>
    </row>
    <row r="73" spans="1:31" ht="18.75" customHeight="1" x14ac:dyDescent="0.3">
      <c r="A73" s="50" t="str">
        <f>'쪽쟘(실측)'!A73</f>
        <v>110   / 2</v>
      </c>
      <c r="B73" s="50" t="str">
        <f>'쪽쟘(실측)'!B73&amp;"F"</f>
        <v>18F</v>
      </c>
      <c r="C73" s="50" t="str">
        <f t="shared" si="1"/>
        <v>928*111.2</v>
      </c>
      <c r="D73" s="50" t="e">
        <f>'쪽쟘(실측)'!C73-OP차감</f>
        <v>#NAME?</v>
      </c>
      <c r="E73" s="50" t="e">
        <f>'쪽쟘(실측)'!D73+쪽쟘J늘림+MAX(W73:X73)</f>
        <v>#VALUE!</v>
      </c>
      <c r="F73" s="50" t="e">
        <f>'쪽쟘(실측)'!E73+쪽쟘J늘림+MAX(W73:X73)</f>
        <v>#VALUE!</v>
      </c>
      <c r="G73" s="67" t="str">
        <f>IF(OR(쪽쟘제작!K73&lt;&gt;쪽쟘제작!L73,쪽쟘제작!O73&lt;&gt;쪽쟘제작!P73),"",AC73&amp;"*"&amp;AB73)</f>
        <v>2092*120</v>
      </c>
      <c r="H73" s="68" t="str">
        <f>IF(OR(쪽쟘제작!N73&lt;&gt;쪽쟘제작!M73,쪽쟘제작!Q73&lt;&gt;쪽쟘제작!R73),"",AE73&amp;"*"&amp;AD73)</f>
        <v>2092*123</v>
      </c>
      <c r="I73" s="70">
        <f>IF('쪽쟘(실측)'!F73&gt;0,'쪽쟘(실측)'!F73+0.5,0)</f>
        <v>17.5</v>
      </c>
      <c r="J73" s="50">
        <f>IF('쪽쟘(실측)'!H73&gt;0,'쪽쟘(실측)'!H73+0.5,0)</f>
        <v>20.5</v>
      </c>
      <c r="K73" s="50">
        <f>IF('쪽쟘(실측)'!F73&gt;0,'쪽쟘(실측)'!F73+1.5,0)</f>
        <v>18.5</v>
      </c>
      <c r="L73" s="50">
        <f>IF('쪽쟘(실측)'!G73&gt;0,'쪽쟘(실측)'!G73+1.5,0)</f>
        <v>18.5</v>
      </c>
      <c r="M73" s="50">
        <f>IF('쪽쟘(실측)'!H73&gt;0,'쪽쟘(실측)'!H73+1.5,0)</f>
        <v>21.5</v>
      </c>
      <c r="N73" s="50">
        <f>IF('쪽쟘(실측)'!I73&gt;0,'쪽쟘(실측)'!I73+1.5,0)</f>
        <v>21.5</v>
      </c>
      <c r="O73" s="50" t="e">
        <f>'쪽쟘(실측)'!J73-기둥차감</f>
        <v>#NAME?</v>
      </c>
      <c r="P73" s="50" t="e">
        <f>'쪽쟘(실측)'!K73-기둥차감</f>
        <v>#NAME?</v>
      </c>
      <c r="Q73" s="50" t="e">
        <f>'쪽쟘(실측)'!L73-기둥차감</f>
        <v>#NAME?</v>
      </c>
      <c r="R73" s="50" t="e">
        <f>'쪽쟘(실측)'!M73-기둥차감</f>
        <v>#NAME?</v>
      </c>
      <c r="S73" s="50">
        <f>'쪽쟘(실측)'!N73+1.2</f>
        <v>16.2</v>
      </c>
      <c r="T73" s="50">
        <f>'쪽쟘(실측)'!O73+1.2</f>
        <v>16.2</v>
      </c>
      <c r="U73" s="50">
        <f>'쪽쟘(실측)'!P73</f>
        <v>16</v>
      </c>
      <c r="V73" s="50">
        <f>'쪽쟘(실측)'!Q73</f>
        <v>25</v>
      </c>
      <c r="W73" s="50" t="e">
        <f>'쪽쟘(실측)'!R73-늘치차감</f>
        <v>#NAME?</v>
      </c>
      <c r="X73" s="50" t="e">
        <f>'쪽쟘(실측)'!S73-늘치차감</f>
        <v>#NAME?</v>
      </c>
      <c r="Z73">
        <f>쪽쟘제작!AC73</f>
        <v>928</v>
      </c>
      <c r="AA73">
        <f>쪽쟘제작!AD73</f>
        <v>111.2</v>
      </c>
      <c r="AB73">
        <f>쪽쟘제작!AE73</f>
        <v>120</v>
      </c>
      <c r="AC73">
        <f>쪽쟘제작!AF73</f>
        <v>2092</v>
      </c>
      <c r="AD73">
        <f>쪽쟘제작!AG73</f>
        <v>123</v>
      </c>
      <c r="AE73">
        <f>쪽쟘제작!AH73</f>
        <v>2092</v>
      </c>
    </row>
    <row r="74" spans="1:31" ht="18.75" customHeight="1" x14ac:dyDescent="0.3">
      <c r="A74" s="50" t="str">
        <f>'쪽쟘(실측)'!A74</f>
        <v>110   / 2</v>
      </c>
      <c r="B74" s="50" t="str">
        <f>'쪽쟘(실측)'!B74&amp;"F"</f>
        <v>17F</v>
      </c>
      <c r="C74" s="50" t="str">
        <f t="shared" si="1"/>
        <v>933*111.2</v>
      </c>
      <c r="D74" s="50" t="e">
        <f>'쪽쟘(실측)'!C74-OP차감</f>
        <v>#NAME?</v>
      </c>
      <c r="E74" s="50" t="e">
        <f>'쪽쟘(실측)'!D74+쪽쟘J늘림+MAX(W74:X74)</f>
        <v>#VALUE!</v>
      </c>
      <c r="F74" s="50" t="e">
        <f>'쪽쟘(실측)'!E74+쪽쟘J늘림+MAX(W74:X74)</f>
        <v>#VALUE!</v>
      </c>
      <c r="G74" s="67" t="str">
        <f>IF(OR(쪽쟘제작!K74&lt;&gt;쪽쟘제작!L74,쪽쟘제작!O74&lt;&gt;쪽쟘제작!P74),"",AC74&amp;"*"&amp;AB74)</f>
        <v>2092*125</v>
      </c>
      <c r="H74" s="68" t="str">
        <f>IF(OR(쪽쟘제작!N74&lt;&gt;쪽쟘제작!M74,쪽쟘제작!Q74&lt;&gt;쪽쟘제작!R74),"",AE74&amp;"*"&amp;AD74)</f>
        <v>2092*123</v>
      </c>
      <c r="I74" s="70">
        <f>IF('쪽쟘(실측)'!F74&gt;0,'쪽쟘(실측)'!F74+0.5,0)</f>
        <v>22.5</v>
      </c>
      <c r="J74" s="50">
        <f>IF('쪽쟘(실측)'!H74&gt;0,'쪽쟘(실측)'!H74+0.5,0)</f>
        <v>20.5</v>
      </c>
      <c r="K74" s="50">
        <f>IF('쪽쟘(실측)'!F74&gt;0,'쪽쟘(실측)'!F74+1.5,0)</f>
        <v>23.5</v>
      </c>
      <c r="L74" s="50">
        <f>IF('쪽쟘(실측)'!G74&gt;0,'쪽쟘(실측)'!G74+1.5,0)</f>
        <v>23.5</v>
      </c>
      <c r="M74" s="50">
        <f>IF('쪽쟘(실측)'!H74&gt;0,'쪽쟘(실측)'!H74+1.5,0)</f>
        <v>21.5</v>
      </c>
      <c r="N74" s="50">
        <f>IF('쪽쟘(실측)'!I74&gt;0,'쪽쟘(실측)'!I74+1.5,0)</f>
        <v>21.5</v>
      </c>
      <c r="O74" s="50" t="e">
        <f>'쪽쟘(실측)'!J74-기둥차감</f>
        <v>#NAME?</v>
      </c>
      <c r="P74" s="50" t="e">
        <f>'쪽쟘(실측)'!K74-기둥차감</f>
        <v>#NAME?</v>
      </c>
      <c r="Q74" s="50" t="e">
        <f>'쪽쟘(실측)'!L74-기둥차감</f>
        <v>#NAME?</v>
      </c>
      <c r="R74" s="50" t="e">
        <f>'쪽쟘(실측)'!M74-기둥차감</f>
        <v>#NAME?</v>
      </c>
      <c r="S74" s="50">
        <f>'쪽쟘(실측)'!N74+1.2</f>
        <v>16.2</v>
      </c>
      <c r="T74" s="50">
        <f>'쪽쟘(실측)'!O74+1.2</f>
        <v>16.2</v>
      </c>
      <c r="U74" s="50">
        <f>'쪽쟘(실측)'!P74</f>
        <v>16</v>
      </c>
      <c r="V74" s="50">
        <f>'쪽쟘(실측)'!Q74</f>
        <v>25</v>
      </c>
      <c r="W74" s="50" t="e">
        <f>'쪽쟘(실측)'!R74-늘치차감</f>
        <v>#NAME?</v>
      </c>
      <c r="X74" s="50" t="e">
        <f>'쪽쟘(실측)'!S74-늘치차감</f>
        <v>#NAME?</v>
      </c>
      <c r="Z74">
        <f>쪽쟘제작!AC74</f>
        <v>933</v>
      </c>
      <c r="AA74">
        <f>쪽쟘제작!AD74</f>
        <v>111.2</v>
      </c>
      <c r="AB74">
        <f>쪽쟘제작!AE74</f>
        <v>125.00000000000001</v>
      </c>
      <c r="AC74">
        <f>쪽쟘제작!AF74</f>
        <v>2092</v>
      </c>
      <c r="AD74">
        <f>쪽쟘제작!AG74</f>
        <v>123</v>
      </c>
      <c r="AE74">
        <f>쪽쟘제작!AH74</f>
        <v>2092</v>
      </c>
    </row>
    <row r="75" spans="1:31" ht="18.75" customHeight="1" x14ac:dyDescent="0.3">
      <c r="A75" s="50" t="str">
        <f>'쪽쟘(실측)'!A75</f>
        <v>110   / 2</v>
      </c>
      <c r="B75" s="50" t="str">
        <f>'쪽쟘(실측)'!B75&amp;"F"</f>
        <v>16F</v>
      </c>
      <c r="C75" s="50" t="str">
        <f t="shared" si="1"/>
        <v>935*105.2</v>
      </c>
      <c r="D75" s="50" t="e">
        <f>'쪽쟘(실측)'!C75-OP차감</f>
        <v>#NAME?</v>
      </c>
      <c r="E75" s="50" t="e">
        <f>'쪽쟘(실측)'!D75+쪽쟘J늘림+MAX(W75:X75)</f>
        <v>#VALUE!</v>
      </c>
      <c r="F75" s="50" t="e">
        <f>'쪽쟘(실측)'!E75+쪽쟘J늘림+MAX(W75:X75)</f>
        <v>#VALUE!</v>
      </c>
      <c r="G75" s="67" t="str">
        <f>IF(OR(쪽쟘제작!K75&lt;&gt;쪽쟘제작!L75,쪽쟘제작!O75&lt;&gt;쪽쟘제작!P75),"",AC75&amp;"*"&amp;AB75)</f>
        <v>2092*125</v>
      </c>
      <c r="H75" s="68" t="str">
        <f>IF(OR(쪽쟘제작!N75&lt;&gt;쪽쟘제작!M75,쪽쟘제작!Q75&lt;&gt;쪽쟘제작!R75),"",AE75&amp;"*"&amp;AD75)</f>
        <v>2092*125</v>
      </c>
      <c r="I75" s="70">
        <f>IF('쪽쟘(실측)'!F75&gt;0,'쪽쟘(실측)'!F75+0.5,0)</f>
        <v>22.5</v>
      </c>
      <c r="J75" s="50">
        <f>IF('쪽쟘(실측)'!H75&gt;0,'쪽쟘(실측)'!H75+0.5,0)</f>
        <v>22.5</v>
      </c>
      <c r="K75" s="50">
        <f>IF('쪽쟘(실측)'!F75&gt;0,'쪽쟘(실측)'!F75+1.5,0)</f>
        <v>23.5</v>
      </c>
      <c r="L75" s="50">
        <f>IF('쪽쟘(실측)'!G75&gt;0,'쪽쟘(실측)'!G75+1.5,0)</f>
        <v>23.5</v>
      </c>
      <c r="M75" s="50">
        <f>IF('쪽쟘(실측)'!H75&gt;0,'쪽쟘(실측)'!H75+1.5,0)</f>
        <v>23.5</v>
      </c>
      <c r="N75" s="50">
        <f>IF('쪽쟘(실측)'!I75&gt;0,'쪽쟘(실측)'!I75+1.5,0)</f>
        <v>23.5</v>
      </c>
      <c r="O75" s="50" t="e">
        <f>'쪽쟘(실측)'!J75-기둥차감</f>
        <v>#NAME?</v>
      </c>
      <c r="P75" s="50" t="e">
        <f>'쪽쟘(실측)'!K75-기둥차감</f>
        <v>#NAME?</v>
      </c>
      <c r="Q75" s="50" t="e">
        <f>'쪽쟘(실측)'!L75-기둥차감</f>
        <v>#NAME?</v>
      </c>
      <c r="R75" s="50" t="e">
        <f>'쪽쟘(실측)'!M75-기둥차감</f>
        <v>#NAME?</v>
      </c>
      <c r="S75" s="50">
        <f>'쪽쟘(실측)'!N75+1.2</f>
        <v>10.199999999999999</v>
      </c>
      <c r="T75" s="50">
        <f>'쪽쟘(실측)'!O75+1.2</f>
        <v>10.199999999999999</v>
      </c>
      <c r="U75" s="50">
        <f>'쪽쟘(실측)'!P75</f>
        <v>16</v>
      </c>
      <c r="V75" s="50">
        <f>'쪽쟘(실측)'!Q75</f>
        <v>25</v>
      </c>
      <c r="W75" s="50" t="e">
        <f>'쪽쟘(실측)'!R75-늘치차감</f>
        <v>#NAME?</v>
      </c>
      <c r="X75" s="50" t="e">
        <f>'쪽쟘(실측)'!S75-늘치차감</f>
        <v>#NAME?</v>
      </c>
      <c r="Z75">
        <f>쪽쟘제작!AC75</f>
        <v>935</v>
      </c>
      <c r="AA75">
        <f>쪽쟘제작!AD75</f>
        <v>105.2</v>
      </c>
      <c r="AB75">
        <f>쪽쟘제작!AE75</f>
        <v>125.00000000000001</v>
      </c>
      <c r="AC75">
        <f>쪽쟘제작!AF75</f>
        <v>2092</v>
      </c>
      <c r="AD75">
        <f>쪽쟘제작!AG75</f>
        <v>125.00000000000001</v>
      </c>
      <c r="AE75">
        <f>쪽쟘제작!AH75</f>
        <v>2092</v>
      </c>
    </row>
    <row r="76" spans="1:31" ht="18.75" customHeight="1" x14ac:dyDescent="0.3">
      <c r="A76" s="50" t="str">
        <f>'쪽쟘(실측)'!A76</f>
        <v>110   / 2</v>
      </c>
      <c r="B76" s="50" t="str">
        <f>'쪽쟘(실측)'!B76&amp;"F"</f>
        <v>15F</v>
      </c>
      <c r="C76" s="50" t="str">
        <f t="shared" si="1"/>
        <v>931*110.2</v>
      </c>
      <c r="D76" s="50" t="e">
        <f>'쪽쟘(실측)'!C76-OP차감</f>
        <v>#NAME?</v>
      </c>
      <c r="E76" s="50" t="e">
        <f>'쪽쟘(실측)'!D76+쪽쟘J늘림+MAX(W76:X76)</f>
        <v>#VALUE!</v>
      </c>
      <c r="F76" s="50" t="e">
        <f>'쪽쟘(실측)'!E76+쪽쟘J늘림+MAX(W76:X76)</f>
        <v>#VALUE!</v>
      </c>
      <c r="G76" s="67" t="str">
        <f>IF(OR(쪽쟘제작!K76&lt;&gt;쪽쟘제작!L76,쪽쟘제작!O76&lt;&gt;쪽쟘제작!P76),"",AC76&amp;"*"&amp;AB76)</f>
        <v>2092*124</v>
      </c>
      <c r="H76" s="68" t="str">
        <f>IF(OR(쪽쟘제작!N76&lt;&gt;쪽쟘제작!M76,쪽쟘제작!Q76&lt;&gt;쪽쟘제작!R76),"",AE76&amp;"*"&amp;AD76)</f>
        <v>2092*122</v>
      </c>
      <c r="I76" s="70">
        <f>IF('쪽쟘(실측)'!F76&gt;0,'쪽쟘(실측)'!F76+0.5,0)</f>
        <v>21.5</v>
      </c>
      <c r="J76" s="50">
        <f>IF('쪽쟘(실측)'!H76&gt;0,'쪽쟘(실측)'!H76+0.5,0)</f>
        <v>19.5</v>
      </c>
      <c r="K76" s="50">
        <f>IF('쪽쟘(실측)'!F76&gt;0,'쪽쟘(실측)'!F76+1.5,0)</f>
        <v>22.5</v>
      </c>
      <c r="L76" s="50">
        <f>IF('쪽쟘(실측)'!G76&gt;0,'쪽쟘(실측)'!G76+1.5,0)</f>
        <v>22.5</v>
      </c>
      <c r="M76" s="50">
        <f>IF('쪽쟘(실측)'!H76&gt;0,'쪽쟘(실측)'!H76+1.5,0)</f>
        <v>20.5</v>
      </c>
      <c r="N76" s="50">
        <f>IF('쪽쟘(실측)'!I76&gt;0,'쪽쟘(실측)'!I76+1.5,0)</f>
        <v>20.5</v>
      </c>
      <c r="O76" s="50" t="e">
        <f>'쪽쟘(실측)'!J76-기둥차감</f>
        <v>#NAME?</v>
      </c>
      <c r="P76" s="50" t="e">
        <f>'쪽쟘(실측)'!K76-기둥차감</f>
        <v>#NAME?</v>
      </c>
      <c r="Q76" s="50" t="e">
        <f>'쪽쟘(실측)'!L76-기둥차감</f>
        <v>#NAME?</v>
      </c>
      <c r="R76" s="50" t="e">
        <f>'쪽쟘(실측)'!M76-기둥차감</f>
        <v>#NAME?</v>
      </c>
      <c r="S76" s="50">
        <f>'쪽쟘(실측)'!N76+1.2</f>
        <v>15.2</v>
      </c>
      <c r="T76" s="50">
        <f>'쪽쟘(실측)'!O76+1.2</f>
        <v>15.2</v>
      </c>
      <c r="U76" s="50">
        <f>'쪽쟘(실측)'!P76</f>
        <v>16</v>
      </c>
      <c r="V76" s="50">
        <f>'쪽쟘(실측)'!Q76</f>
        <v>25</v>
      </c>
      <c r="W76" s="50" t="e">
        <f>'쪽쟘(실측)'!R76-늘치차감</f>
        <v>#NAME?</v>
      </c>
      <c r="X76" s="50" t="e">
        <f>'쪽쟘(실측)'!S76-늘치차감</f>
        <v>#NAME?</v>
      </c>
      <c r="Z76">
        <f>쪽쟘제작!AC76</f>
        <v>931</v>
      </c>
      <c r="AA76">
        <f>쪽쟘제작!AD76</f>
        <v>110.2</v>
      </c>
      <c r="AB76">
        <f>쪽쟘제작!AE76</f>
        <v>124.00000000000001</v>
      </c>
      <c r="AC76">
        <f>쪽쟘제작!AF76</f>
        <v>2092</v>
      </c>
      <c r="AD76">
        <f>쪽쟘제작!AG76</f>
        <v>122</v>
      </c>
      <c r="AE76">
        <f>쪽쟘제작!AH76</f>
        <v>2092</v>
      </c>
    </row>
    <row r="77" spans="1:31" ht="18.75" customHeight="1" x14ac:dyDescent="0.3">
      <c r="A77" s="50" t="str">
        <f>'쪽쟘(실측)'!A77</f>
        <v>110   / 2</v>
      </c>
      <c r="B77" s="50" t="str">
        <f>'쪽쟘(실측)'!B77&amp;"F"</f>
        <v>14F</v>
      </c>
      <c r="C77" s="50" t="str">
        <f t="shared" si="1"/>
        <v>932*111.2</v>
      </c>
      <c r="D77" s="50" t="e">
        <f>'쪽쟘(실측)'!C77-OP차감</f>
        <v>#NAME?</v>
      </c>
      <c r="E77" s="50" t="e">
        <f>'쪽쟘(실측)'!D77+쪽쟘J늘림+MAX(W77:X77)</f>
        <v>#VALUE!</v>
      </c>
      <c r="F77" s="50" t="e">
        <f>'쪽쟘(실측)'!E77+쪽쟘J늘림+MAX(W77:X77)</f>
        <v>#VALUE!</v>
      </c>
      <c r="G77" s="67" t="str">
        <f>IF(OR(쪽쟘제작!K77&lt;&gt;쪽쟘제작!L77,쪽쟘제작!O77&lt;&gt;쪽쟘제작!P77),"",AC77&amp;"*"&amp;AB77)</f>
        <v>2092*123</v>
      </c>
      <c r="H77" s="68" t="str">
        <f>IF(OR(쪽쟘제작!N77&lt;&gt;쪽쟘제작!M77,쪽쟘제작!Q77&lt;&gt;쪽쟘제작!R77),"",AE77&amp;"*"&amp;AD77)</f>
        <v>2092*123</v>
      </c>
      <c r="I77" s="70">
        <f>IF('쪽쟘(실측)'!F77&gt;0,'쪽쟘(실측)'!F77+0.5,0)</f>
        <v>20.5</v>
      </c>
      <c r="J77" s="50">
        <f>IF('쪽쟘(실측)'!H77&gt;0,'쪽쟘(실측)'!H77+0.5,0)</f>
        <v>20.5</v>
      </c>
      <c r="K77" s="50">
        <f>IF('쪽쟘(실측)'!F77&gt;0,'쪽쟘(실측)'!F77+1.5,0)</f>
        <v>21.5</v>
      </c>
      <c r="L77" s="50">
        <f>IF('쪽쟘(실측)'!G77&gt;0,'쪽쟘(실측)'!G77+1.5,0)</f>
        <v>21.5</v>
      </c>
      <c r="M77" s="50">
        <f>IF('쪽쟘(실측)'!H77&gt;0,'쪽쟘(실측)'!H77+1.5,0)</f>
        <v>21.5</v>
      </c>
      <c r="N77" s="50">
        <f>IF('쪽쟘(실측)'!I77&gt;0,'쪽쟘(실측)'!I77+1.5,0)</f>
        <v>21.5</v>
      </c>
      <c r="O77" s="50" t="e">
        <f>'쪽쟘(실측)'!J77-기둥차감</f>
        <v>#NAME?</v>
      </c>
      <c r="P77" s="50" t="e">
        <f>'쪽쟘(실측)'!K77-기둥차감</f>
        <v>#NAME?</v>
      </c>
      <c r="Q77" s="50" t="e">
        <f>'쪽쟘(실측)'!L77-기둥차감</f>
        <v>#NAME?</v>
      </c>
      <c r="R77" s="50" t="e">
        <f>'쪽쟘(실측)'!M77-기둥차감</f>
        <v>#NAME?</v>
      </c>
      <c r="S77" s="50">
        <f>'쪽쟘(실측)'!N77+1.2</f>
        <v>16.2</v>
      </c>
      <c r="T77" s="50">
        <f>'쪽쟘(실측)'!O77+1.2</f>
        <v>16.2</v>
      </c>
      <c r="U77" s="50">
        <f>'쪽쟘(실측)'!P77</f>
        <v>16</v>
      </c>
      <c r="V77" s="50">
        <f>'쪽쟘(실측)'!Q77</f>
        <v>25</v>
      </c>
      <c r="W77" s="50" t="e">
        <f>'쪽쟘(실측)'!R77-늘치차감</f>
        <v>#NAME?</v>
      </c>
      <c r="X77" s="50" t="e">
        <f>'쪽쟘(실측)'!S77-늘치차감</f>
        <v>#NAME?</v>
      </c>
      <c r="Z77">
        <f>쪽쟘제작!AC77</f>
        <v>932</v>
      </c>
      <c r="AA77">
        <f>쪽쟘제작!AD77</f>
        <v>111.2</v>
      </c>
      <c r="AB77">
        <f>쪽쟘제작!AE77</f>
        <v>123</v>
      </c>
      <c r="AC77">
        <f>쪽쟘제작!AF77</f>
        <v>2092</v>
      </c>
      <c r="AD77">
        <f>쪽쟘제작!AG77</f>
        <v>123</v>
      </c>
      <c r="AE77">
        <f>쪽쟘제작!AH77</f>
        <v>2092</v>
      </c>
    </row>
    <row r="78" spans="1:31" ht="18.75" customHeight="1" x14ac:dyDescent="0.3">
      <c r="A78" s="50" t="str">
        <f>'쪽쟘(실측)'!A78</f>
        <v>110   / 2</v>
      </c>
      <c r="B78" s="50" t="str">
        <f>'쪽쟘(실측)'!B78&amp;"F"</f>
        <v>13F</v>
      </c>
      <c r="C78" s="50" t="str">
        <f t="shared" si="1"/>
        <v>931*108.2</v>
      </c>
      <c r="D78" s="50" t="e">
        <f>'쪽쟘(실측)'!C78-OP차감</f>
        <v>#NAME?</v>
      </c>
      <c r="E78" s="50" t="e">
        <f>'쪽쟘(실측)'!D78+쪽쟘J늘림+MAX(W78:X78)</f>
        <v>#VALUE!</v>
      </c>
      <c r="F78" s="50" t="e">
        <f>'쪽쟘(실측)'!E78+쪽쟘J늘림+MAX(W78:X78)</f>
        <v>#VALUE!</v>
      </c>
      <c r="G78" s="67" t="str">
        <f>IF(OR(쪽쟘제작!K78&lt;&gt;쪽쟘제작!L78,쪽쟘제작!O78&lt;&gt;쪽쟘제작!P78),"",AC78&amp;"*"&amp;AB78)</f>
        <v>2092*123</v>
      </c>
      <c r="H78" s="68" t="str">
        <f>IF(OR(쪽쟘제작!N78&lt;&gt;쪽쟘제작!M78,쪽쟘제작!Q78&lt;&gt;쪽쟘제작!R78),"",AE78&amp;"*"&amp;AD78)</f>
        <v>2098*123</v>
      </c>
      <c r="I78" s="70">
        <f>IF('쪽쟘(실측)'!F78&gt;0,'쪽쟘(실측)'!F78+0.5,0)</f>
        <v>20.5</v>
      </c>
      <c r="J78" s="50">
        <f>IF('쪽쟘(실측)'!H78&gt;0,'쪽쟘(실측)'!H78+0.5,0)</f>
        <v>20.5</v>
      </c>
      <c r="K78" s="50">
        <f>IF('쪽쟘(실측)'!F78&gt;0,'쪽쟘(실측)'!F78+1.5,0)</f>
        <v>21.5</v>
      </c>
      <c r="L78" s="50">
        <f>IF('쪽쟘(실측)'!G78&gt;0,'쪽쟘(실측)'!G78+1.5,0)</f>
        <v>21.5</v>
      </c>
      <c r="M78" s="50">
        <f>IF('쪽쟘(실측)'!H78&gt;0,'쪽쟘(실측)'!H78+1.5,0)</f>
        <v>21.5</v>
      </c>
      <c r="N78" s="50">
        <f>IF('쪽쟘(실측)'!I78&gt;0,'쪽쟘(실측)'!I78+1.5,0)</f>
        <v>21.5</v>
      </c>
      <c r="O78" s="50" t="e">
        <f>'쪽쟘(실측)'!J78-기둥차감</f>
        <v>#NAME?</v>
      </c>
      <c r="P78" s="50" t="e">
        <f>'쪽쟘(실측)'!K78-기둥차감</f>
        <v>#NAME?</v>
      </c>
      <c r="Q78" s="50" t="e">
        <f>'쪽쟘(실측)'!L78-기둥차감</f>
        <v>#NAME?</v>
      </c>
      <c r="R78" s="50" t="e">
        <f>'쪽쟘(실측)'!M78-기둥차감</f>
        <v>#NAME?</v>
      </c>
      <c r="S78" s="50">
        <f>'쪽쟘(실측)'!N78+1.2</f>
        <v>13.2</v>
      </c>
      <c r="T78" s="50">
        <f>'쪽쟘(실측)'!O78+1.2</f>
        <v>13.2</v>
      </c>
      <c r="U78" s="50">
        <f>'쪽쟘(실측)'!P78</f>
        <v>16</v>
      </c>
      <c r="V78" s="50">
        <f>'쪽쟘(실측)'!Q78</f>
        <v>25</v>
      </c>
      <c r="W78" s="50" t="e">
        <f>'쪽쟘(실측)'!R78-늘치차감</f>
        <v>#NAME?</v>
      </c>
      <c r="X78" s="50" t="e">
        <f>'쪽쟘(실측)'!S78-늘치차감</f>
        <v>#NAME?</v>
      </c>
      <c r="Z78">
        <f>쪽쟘제작!AC78</f>
        <v>931</v>
      </c>
      <c r="AA78">
        <f>쪽쟘제작!AD78</f>
        <v>108.2</v>
      </c>
      <c r="AB78">
        <f>쪽쟘제작!AE78</f>
        <v>123</v>
      </c>
      <c r="AC78">
        <f>쪽쟘제작!AF78</f>
        <v>2092</v>
      </c>
      <c r="AD78">
        <f>쪽쟘제작!AG78</f>
        <v>123</v>
      </c>
      <c r="AE78">
        <f>쪽쟘제작!AH78</f>
        <v>2098</v>
      </c>
    </row>
    <row r="79" spans="1:31" ht="18.75" customHeight="1" x14ac:dyDescent="0.3">
      <c r="A79" s="50" t="str">
        <f>'쪽쟘(실측)'!A79</f>
        <v>110   / 2</v>
      </c>
      <c r="B79" s="50" t="str">
        <f>'쪽쟘(실측)'!B79&amp;"F"</f>
        <v>12F</v>
      </c>
      <c r="C79" s="50" t="str">
        <f t="shared" si="1"/>
        <v>933*112.2</v>
      </c>
      <c r="D79" s="50" t="e">
        <f>'쪽쟘(실측)'!C79-OP차감</f>
        <v>#NAME?</v>
      </c>
      <c r="E79" s="50" t="e">
        <f>'쪽쟘(실측)'!D79+쪽쟘J늘림+MAX(W79:X79)</f>
        <v>#VALUE!</v>
      </c>
      <c r="F79" s="50" t="e">
        <f>'쪽쟘(실측)'!E79+쪽쟘J늘림+MAX(W79:X79)</f>
        <v>#VALUE!</v>
      </c>
      <c r="G79" s="67" t="str">
        <f>IF(OR(쪽쟘제작!K79&lt;&gt;쪽쟘제작!L79,쪽쟘제작!O79&lt;&gt;쪽쟘제작!P79),"",AC79&amp;"*"&amp;AB79)</f>
        <v>2092*125</v>
      </c>
      <c r="H79" s="68" t="str">
        <f>IF(OR(쪽쟘제작!N79&lt;&gt;쪽쟘제작!M79,쪽쟘제작!Q79&lt;&gt;쪽쟘제작!R79),"",AE79&amp;"*"&amp;AD79)</f>
        <v>2092*123</v>
      </c>
      <c r="I79" s="70">
        <f>IF('쪽쟘(실측)'!F79&gt;0,'쪽쟘(실측)'!F79+0.5,0)</f>
        <v>22.5</v>
      </c>
      <c r="J79" s="50">
        <f>IF('쪽쟘(실측)'!H79&gt;0,'쪽쟘(실측)'!H79+0.5,0)</f>
        <v>20.5</v>
      </c>
      <c r="K79" s="50">
        <f>IF('쪽쟘(실측)'!F79&gt;0,'쪽쟘(실측)'!F79+1.5,0)</f>
        <v>23.5</v>
      </c>
      <c r="L79" s="50">
        <f>IF('쪽쟘(실측)'!G79&gt;0,'쪽쟘(실측)'!G79+1.5,0)</f>
        <v>23.5</v>
      </c>
      <c r="M79" s="50">
        <f>IF('쪽쟘(실측)'!H79&gt;0,'쪽쟘(실측)'!H79+1.5,0)</f>
        <v>21.5</v>
      </c>
      <c r="N79" s="50">
        <f>IF('쪽쟘(실측)'!I79&gt;0,'쪽쟘(실측)'!I79+1.5,0)</f>
        <v>21.5</v>
      </c>
      <c r="O79" s="50" t="e">
        <f>'쪽쟘(실측)'!J79-기둥차감</f>
        <v>#NAME?</v>
      </c>
      <c r="P79" s="50" t="e">
        <f>'쪽쟘(실측)'!K79-기둥차감</f>
        <v>#NAME?</v>
      </c>
      <c r="Q79" s="50" t="e">
        <f>'쪽쟘(실측)'!L79-기둥차감</f>
        <v>#NAME?</v>
      </c>
      <c r="R79" s="50" t="e">
        <f>'쪽쟘(실측)'!M79-기둥차감</f>
        <v>#NAME?</v>
      </c>
      <c r="S79" s="50">
        <f>'쪽쟘(실측)'!N79+1.2</f>
        <v>17.2</v>
      </c>
      <c r="T79" s="50">
        <f>'쪽쟘(실측)'!O79+1.2</f>
        <v>17.2</v>
      </c>
      <c r="U79" s="50">
        <f>'쪽쟘(실측)'!P79</f>
        <v>16</v>
      </c>
      <c r="V79" s="50">
        <f>'쪽쟘(실측)'!Q79</f>
        <v>25</v>
      </c>
      <c r="W79" s="50" t="e">
        <f>'쪽쟘(실측)'!R79-늘치차감</f>
        <v>#NAME?</v>
      </c>
      <c r="X79" s="50" t="e">
        <f>'쪽쟘(실측)'!S79-늘치차감</f>
        <v>#NAME?</v>
      </c>
      <c r="Z79">
        <f>쪽쟘제작!AC79</f>
        <v>933</v>
      </c>
      <c r="AA79">
        <f>쪽쟘제작!AD79</f>
        <v>112.2</v>
      </c>
      <c r="AB79">
        <f>쪽쟘제작!AE79</f>
        <v>125.00000000000001</v>
      </c>
      <c r="AC79">
        <f>쪽쟘제작!AF79</f>
        <v>2092</v>
      </c>
      <c r="AD79">
        <f>쪽쟘제작!AG79</f>
        <v>123</v>
      </c>
      <c r="AE79">
        <f>쪽쟘제작!AH79</f>
        <v>2092</v>
      </c>
    </row>
    <row r="80" spans="1:31" ht="18.75" customHeight="1" x14ac:dyDescent="0.3">
      <c r="A80" s="50" t="str">
        <f>'쪽쟘(실측)'!A80</f>
        <v>110   / 2</v>
      </c>
      <c r="B80" s="50" t="str">
        <f>'쪽쟘(실측)'!B80&amp;"F"</f>
        <v>11F</v>
      </c>
      <c r="C80" s="50" t="str">
        <f t="shared" si="1"/>
        <v>930*118.2</v>
      </c>
      <c r="D80" s="50" t="e">
        <f>'쪽쟘(실측)'!C80-OP차감</f>
        <v>#NAME?</v>
      </c>
      <c r="E80" s="50" t="e">
        <f>'쪽쟘(실측)'!D80+쪽쟘J늘림+MAX(W80:X80)</f>
        <v>#VALUE!</v>
      </c>
      <c r="F80" s="50" t="e">
        <f>'쪽쟘(실측)'!E80+쪽쟘J늘림+MAX(W80:X80)</f>
        <v>#VALUE!</v>
      </c>
      <c r="G80" s="67" t="str">
        <f>IF(OR(쪽쟘제작!K80&lt;&gt;쪽쟘제작!L80,쪽쟘제작!O80&lt;&gt;쪽쟘제작!P80),"",AC80&amp;"*"&amp;AB80)</f>
        <v>2092*123</v>
      </c>
      <c r="H80" s="68" t="str">
        <f>IF(OR(쪽쟘제작!N80&lt;&gt;쪽쟘제작!M80,쪽쟘제작!Q80&lt;&gt;쪽쟘제작!R80),"",AE80&amp;"*"&amp;AD80)</f>
        <v>2092*122</v>
      </c>
      <c r="I80" s="70">
        <f>IF('쪽쟘(실측)'!F80&gt;0,'쪽쟘(실측)'!F80+0.5,0)</f>
        <v>20.5</v>
      </c>
      <c r="J80" s="50">
        <f>IF('쪽쟘(실측)'!H80&gt;0,'쪽쟘(실측)'!H80+0.5,0)</f>
        <v>19.5</v>
      </c>
      <c r="K80" s="50">
        <f>IF('쪽쟘(실측)'!F80&gt;0,'쪽쟘(실측)'!F80+1.5,0)</f>
        <v>21.5</v>
      </c>
      <c r="L80" s="50">
        <f>IF('쪽쟘(실측)'!G80&gt;0,'쪽쟘(실측)'!G80+1.5,0)</f>
        <v>21.5</v>
      </c>
      <c r="M80" s="50">
        <f>IF('쪽쟘(실측)'!H80&gt;0,'쪽쟘(실측)'!H80+1.5,0)</f>
        <v>20.5</v>
      </c>
      <c r="N80" s="50">
        <f>IF('쪽쟘(실측)'!I80&gt;0,'쪽쟘(실측)'!I80+1.5,0)</f>
        <v>20.5</v>
      </c>
      <c r="O80" s="50" t="e">
        <f>'쪽쟘(실측)'!J80-기둥차감</f>
        <v>#NAME?</v>
      </c>
      <c r="P80" s="50" t="e">
        <f>'쪽쟘(실측)'!K80-기둥차감</f>
        <v>#NAME?</v>
      </c>
      <c r="Q80" s="50" t="e">
        <f>'쪽쟘(실측)'!L80-기둥차감</f>
        <v>#NAME?</v>
      </c>
      <c r="R80" s="50" t="e">
        <f>'쪽쟘(실측)'!M80-기둥차감</f>
        <v>#NAME?</v>
      </c>
      <c r="S80" s="50">
        <f>'쪽쟘(실측)'!N80+1.2</f>
        <v>23.2</v>
      </c>
      <c r="T80" s="50">
        <f>'쪽쟘(실측)'!O80+1.2</f>
        <v>23.2</v>
      </c>
      <c r="U80" s="50">
        <f>'쪽쟘(실측)'!P80</f>
        <v>16</v>
      </c>
      <c r="V80" s="50">
        <f>'쪽쟘(실측)'!Q80</f>
        <v>25</v>
      </c>
      <c r="W80" s="50" t="e">
        <f>'쪽쟘(실측)'!R80-늘치차감</f>
        <v>#NAME?</v>
      </c>
      <c r="X80" s="50" t="e">
        <f>'쪽쟘(실측)'!S80-늘치차감</f>
        <v>#NAME?</v>
      </c>
      <c r="Z80">
        <f>쪽쟘제작!AC80</f>
        <v>930</v>
      </c>
      <c r="AA80">
        <f>쪽쟘제작!AD80</f>
        <v>118.2</v>
      </c>
      <c r="AB80">
        <f>쪽쟘제작!AE80</f>
        <v>123</v>
      </c>
      <c r="AC80">
        <f>쪽쟘제작!AF80</f>
        <v>2092</v>
      </c>
      <c r="AD80">
        <f>쪽쟘제작!AG80</f>
        <v>122</v>
      </c>
      <c r="AE80">
        <f>쪽쟘제작!AH80</f>
        <v>2092</v>
      </c>
    </row>
    <row r="81" spans="1:31" ht="18.75" customHeight="1" x14ac:dyDescent="0.3">
      <c r="A81" s="50" t="str">
        <f>'쪽쟘(실측)'!A81</f>
        <v>110   / 2</v>
      </c>
      <c r="B81" s="50" t="str">
        <f>'쪽쟘(실측)'!B81&amp;"F"</f>
        <v>10F</v>
      </c>
      <c r="C81" s="50" t="str">
        <f t="shared" si="1"/>
        <v>935*115.2</v>
      </c>
      <c r="D81" s="50" t="e">
        <f>'쪽쟘(실측)'!C81-OP차감</f>
        <v>#NAME?</v>
      </c>
      <c r="E81" s="50" t="e">
        <f>'쪽쟘(실측)'!D81+쪽쟘J늘림+MAX(W81:X81)</f>
        <v>#VALUE!</v>
      </c>
      <c r="F81" s="50" t="e">
        <f>'쪽쟘(실측)'!E81+쪽쟘J늘림+MAX(W81:X81)</f>
        <v>#VALUE!</v>
      </c>
      <c r="G81" s="67" t="str">
        <f>IF(OR(쪽쟘제작!K81&lt;&gt;쪽쟘제작!L81,쪽쟘제작!O81&lt;&gt;쪽쟘제작!P81),"",AC81&amp;"*"&amp;AB81)</f>
        <v>2092*126</v>
      </c>
      <c r="H81" s="68" t="str">
        <f>IF(OR(쪽쟘제작!N81&lt;&gt;쪽쟘제작!M81,쪽쟘제작!Q81&lt;&gt;쪽쟘제작!R81),"",AE81&amp;"*"&amp;AD81)</f>
        <v>2092*124</v>
      </c>
      <c r="I81" s="70">
        <f>IF('쪽쟘(실측)'!F81&gt;0,'쪽쟘(실측)'!F81+0.5,0)</f>
        <v>23.5</v>
      </c>
      <c r="J81" s="50">
        <f>IF('쪽쟘(실측)'!H81&gt;0,'쪽쟘(실측)'!H81+0.5,0)</f>
        <v>21.5</v>
      </c>
      <c r="K81" s="50">
        <f>IF('쪽쟘(실측)'!F81&gt;0,'쪽쟘(실측)'!F81+1.5,0)</f>
        <v>24.5</v>
      </c>
      <c r="L81" s="50">
        <f>IF('쪽쟘(실측)'!G81&gt;0,'쪽쟘(실측)'!G81+1.5,0)</f>
        <v>24.5</v>
      </c>
      <c r="M81" s="50">
        <f>IF('쪽쟘(실측)'!H81&gt;0,'쪽쟘(실측)'!H81+1.5,0)</f>
        <v>22.5</v>
      </c>
      <c r="N81" s="50">
        <f>IF('쪽쟘(실측)'!I81&gt;0,'쪽쟘(실측)'!I81+1.5,0)</f>
        <v>22.5</v>
      </c>
      <c r="O81" s="50" t="e">
        <f>'쪽쟘(실측)'!J81-기둥차감</f>
        <v>#NAME?</v>
      </c>
      <c r="P81" s="50" t="e">
        <f>'쪽쟘(실측)'!K81-기둥차감</f>
        <v>#NAME?</v>
      </c>
      <c r="Q81" s="50" t="e">
        <f>'쪽쟘(실측)'!L81-기둥차감</f>
        <v>#NAME?</v>
      </c>
      <c r="R81" s="50" t="e">
        <f>'쪽쟘(실측)'!M81-기둥차감</f>
        <v>#NAME?</v>
      </c>
      <c r="S81" s="50">
        <f>'쪽쟘(실측)'!N81+1.2</f>
        <v>20.2</v>
      </c>
      <c r="T81" s="50">
        <f>'쪽쟘(실측)'!O81+1.2</f>
        <v>20.2</v>
      </c>
      <c r="U81" s="50">
        <f>'쪽쟘(실측)'!P81</f>
        <v>16</v>
      </c>
      <c r="V81" s="50">
        <f>'쪽쟘(실측)'!Q81</f>
        <v>25</v>
      </c>
      <c r="W81" s="50" t="e">
        <f>'쪽쟘(실측)'!R81-늘치차감</f>
        <v>#NAME?</v>
      </c>
      <c r="X81" s="50" t="e">
        <f>'쪽쟘(실측)'!S81-늘치차감</f>
        <v>#NAME?</v>
      </c>
      <c r="Z81">
        <f>쪽쟘제작!AC81</f>
        <v>935</v>
      </c>
      <c r="AA81">
        <f>쪽쟘제작!AD81</f>
        <v>115.2</v>
      </c>
      <c r="AB81">
        <f>쪽쟘제작!AE81</f>
        <v>126.00000000000001</v>
      </c>
      <c r="AC81">
        <f>쪽쟘제작!AF81</f>
        <v>2092</v>
      </c>
      <c r="AD81">
        <f>쪽쟘제작!AG81</f>
        <v>124.00000000000001</v>
      </c>
      <c r="AE81">
        <f>쪽쟘제작!AH81</f>
        <v>2092</v>
      </c>
    </row>
    <row r="82" spans="1:31" ht="18.75" customHeight="1" x14ac:dyDescent="0.3">
      <c r="A82" s="50" t="str">
        <f>'쪽쟘(실측)'!A82</f>
        <v>110   / 2</v>
      </c>
      <c r="B82" s="50" t="str">
        <f>'쪽쟘(실측)'!B82&amp;"F"</f>
        <v>9F</v>
      </c>
      <c r="C82" s="50" t="str">
        <f t="shared" si="1"/>
        <v>933*103.2</v>
      </c>
      <c r="D82" s="50" t="e">
        <f>'쪽쟘(실측)'!C82-OP차감</f>
        <v>#NAME?</v>
      </c>
      <c r="E82" s="50" t="e">
        <f>'쪽쟘(실측)'!D82+쪽쟘J늘림+MAX(W82:X82)</f>
        <v>#VALUE!</v>
      </c>
      <c r="F82" s="50" t="e">
        <f>'쪽쟘(실측)'!E82+쪽쟘J늘림+MAX(W82:X82)</f>
        <v>#VALUE!</v>
      </c>
      <c r="G82" s="67" t="str">
        <f>IF(OR(쪽쟘제작!K82&lt;&gt;쪽쟘제작!L82,쪽쟘제작!O82&lt;&gt;쪽쟘제작!P82),"",AC82&amp;"*"&amp;AB82)</f>
        <v>2092*124</v>
      </c>
      <c r="H82" s="68" t="str">
        <f>IF(OR(쪽쟘제작!N82&lt;&gt;쪽쟘제작!M82,쪽쟘제작!Q82&lt;&gt;쪽쟘제작!R82),"",AE82&amp;"*"&amp;AD82)</f>
        <v>2092*123</v>
      </c>
      <c r="I82" s="70">
        <f>IF('쪽쟘(실측)'!F82&gt;0,'쪽쟘(실측)'!F82+0.5,0)</f>
        <v>21.5</v>
      </c>
      <c r="J82" s="50">
        <f>IF('쪽쟘(실측)'!H82&gt;0,'쪽쟘(실측)'!H82+0.5,0)</f>
        <v>20.5</v>
      </c>
      <c r="K82" s="50">
        <f>IF('쪽쟘(실측)'!F82&gt;0,'쪽쟘(실측)'!F82+1.5,0)</f>
        <v>22.5</v>
      </c>
      <c r="L82" s="50">
        <f>IF('쪽쟘(실측)'!G82&gt;0,'쪽쟘(실측)'!G82+1.5,0)</f>
        <v>22.5</v>
      </c>
      <c r="M82" s="50">
        <f>IF('쪽쟘(실측)'!H82&gt;0,'쪽쟘(실측)'!H82+1.5,0)</f>
        <v>21.5</v>
      </c>
      <c r="N82" s="50">
        <f>IF('쪽쟘(실측)'!I82&gt;0,'쪽쟘(실측)'!I82+1.5,0)</f>
        <v>21.5</v>
      </c>
      <c r="O82" s="50" t="e">
        <f>'쪽쟘(실측)'!J82-기둥차감</f>
        <v>#NAME?</v>
      </c>
      <c r="P82" s="50" t="e">
        <f>'쪽쟘(실측)'!K82-기둥차감</f>
        <v>#NAME?</v>
      </c>
      <c r="Q82" s="50" t="e">
        <f>'쪽쟘(실측)'!L82-기둥차감</f>
        <v>#NAME?</v>
      </c>
      <c r="R82" s="50" t="e">
        <f>'쪽쟘(실측)'!M82-기둥차감</f>
        <v>#NAME?</v>
      </c>
      <c r="S82" s="50">
        <f>'쪽쟘(실측)'!N82+1.2</f>
        <v>8.1999999999999993</v>
      </c>
      <c r="T82" s="50">
        <f>'쪽쟘(실측)'!O82+1.2</f>
        <v>8.1999999999999993</v>
      </c>
      <c r="U82" s="50">
        <f>'쪽쟘(실측)'!P82</f>
        <v>16</v>
      </c>
      <c r="V82" s="50">
        <f>'쪽쟘(실측)'!Q82</f>
        <v>25</v>
      </c>
      <c r="W82" s="50" t="e">
        <f>'쪽쟘(실측)'!R82-늘치차감</f>
        <v>#NAME?</v>
      </c>
      <c r="X82" s="50" t="e">
        <f>'쪽쟘(실측)'!S82-늘치차감</f>
        <v>#NAME?</v>
      </c>
      <c r="Z82">
        <f>쪽쟘제작!AC82</f>
        <v>933</v>
      </c>
      <c r="AA82">
        <f>쪽쟘제작!AD82</f>
        <v>103.2</v>
      </c>
      <c r="AB82">
        <f>쪽쟘제작!AE82</f>
        <v>124.00000000000001</v>
      </c>
      <c r="AC82">
        <f>쪽쟘제작!AF82</f>
        <v>2092</v>
      </c>
      <c r="AD82">
        <f>쪽쟘제작!AG82</f>
        <v>123</v>
      </c>
      <c r="AE82">
        <f>쪽쟘제작!AH82</f>
        <v>2092</v>
      </c>
    </row>
    <row r="83" spans="1:31" ht="18.75" customHeight="1" x14ac:dyDescent="0.3">
      <c r="A83" s="50" t="str">
        <f>'쪽쟘(실측)'!A83</f>
        <v>110   / 2</v>
      </c>
      <c r="B83" s="50" t="str">
        <f>'쪽쟘(실측)'!B83&amp;"F"</f>
        <v>8F</v>
      </c>
      <c r="C83" s="50" t="str">
        <f t="shared" si="1"/>
        <v>933*111.2</v>
      </c>
      <c r="D83" s="50" t="e">
        <f>'쪽쟘(실측)'!C83-OP차감</f>
        <v>#NAME?</v>
      </c>
      <c r="E83" s="50" t="e">
        <f>'쪽쟘(실측)'!D83+쪽쟘J늘림+MAX(W83:X83)</f>
        <v>#VALUE!</v>
      </c>
      <c r="F83" s="50" t="e">
        <f>'쪽쟘(실측)'!E83+쪽쟘J늘림+MAX(W83:X83)</f>
        <v>#VALUE!</v>
      </c>
      <c r="G83" s="67" t="str">
        <f>IF(OR(쪽쟘제작!K83&lt;&gt;쪽쟘제작!L83,쪽쟘제작!O83&lt;&gt;쪽쟘제작!P83),"",AC83&amp;"*"&amp;AB83)</f>
        <v>2092*123</v>
      </c>
      <c r="H83" s="68" t="str">
        <f>IF(OR(쪽쟘제작!N83&lt;&gt;쪽쟘제작!M83,쪽쟘제작!Q83&lt;&gt;쪽쟘제작!R83),"",AE83&amp;"*"&amp;AD83)</f>
        <v>2092*125</v>
      </c>
      <c r="I83" s="70">
        <f>IF('쪽쟘(실측)'!F83&gt;0,'쪽쟘(실측)'!F83+0.5,0)</f>
        <v>20.5</v>
      </c>
      <c r="J83" s="50">
        <f>IF('쪽쟘(실측)'!H83&gt;0,'쪽쟘(실측)'!H83+0.5,0)</f>
        <v>22.5</v>
      </c>
      <c r="K83" s="50">
        <f>IF('쪽쟘(실측)'!F83&gt;0,'쪽쟘(실측)'!F83+1.5,0)</f>
        <v>21.5</v>
      </c>
      <c r="L83" s="50">
        <f>IF('쪽쟘(실측)'!G83&gt;0,'쪽쟘(실측)'!G83+1.5,0)</f>
        <v>21.5</v>
      </c>
      <c r="M83" s="50">
        <f>IF('쪽쟘(실측)'!H83&gt;0,'쪽쟘(실측)'!H83+1.5,0)</f>
        <v>23.5</v>
      </c>
      <c r="N83" s="50">
        <f>IF('쪽쟘(실측)'!I83&gt;0,'쪽쟘(실측)'!I83+1.5,0)</f>
        <v>23.5</v>
      </c>
      <c r="O83" s="50" t="e">
        <f>'쪽쟘(실측)'!J83-기둥차감</f>
        <v>#NAME?</v>
      </c>
      <c r="P83" s="50" t="e">
        <f>'쪽쟘(실측)'!K83-기둥차감</f>
        <v>#NAME?</v>
      </c>
      <c r="Q83" s="50" t="e">
        <f>'쪽쟘(실측)'!L83-기둥차감</f>
        <v>#NAME?</v>
      </c>
      <c r="R83" s="50" t="e">
        <f>'쪽쟘(실측)'!M83-기둥차감</f>
        <v>#NAME?</v>
      </c>
      <c r="S83" s="50">
        <f>'쪽쟘(실측)'!N83+1.2</f>
        <v>16.2</v>
      </c>
      <c r="T83" s="50">
        <f>'쪽쟘(실측)'!O83+1.2</f>
        <v>16.2</v>
      </c>
      <c r="U83" s="50">
        <f>'쪽쟘(실측)'!P83</f>
        <v>16</v>
      </c>
      <c r="V83" s="50">
        <f>'쪽쟘(실측)'!Q83</f>
        <v>25</v>
      </c>
      <c r="W83" s="50" t="e">
        <f>'쪽쟘(실측)'!R83-늘치차감</f>
        <v>#NAME?</v>
      </c>
      <c r="X83" s="50" t="e">
        <f>'쪽쟘(실측)'!S83-늘치차감</f>
        <v>#NAME?</v>
      </c>
      <c r="Z83">
        <f>쪽쟘제작!AC83</f>
        <v>933</v>
      </c>
      <c r="AA83">
        <f>쪽쟘제작!AD83</f>
        <v>111.2</v>
      </c>
      <c r="AB83">
        <f>쪽쟘제작!AE83</f>
        <v>123</v>
      </c>
      <c r="AC83">
        <f>쪽쟘제작!AF83</f>
        <v>2092</v>
      </c>
      <c r="AD83">
        <f>쪽쟘제작!AG83</f>
        <v>125.00000000000001</v>
      </c>
      <c r="AE83">
        <f>쪽쟘제작!AH83</f>
        <v>2092</v>
      </c>
    </row>
    <row r="84" spans="1:31" ht="18.75" customHeight="1" x14ac:dyDescent="0.3">
      <c r="A84" s="50" t="str">
        <f>'쪽쟘(실측)'!A84</f>
        <v>110   / 2</v>
      </c>
      <c r="B84" s="50" t="str">
        <f>'쪽쟘(실측)'!B84&amp;"F"</f>
        <v>7F</v>
      </c>
      <c r="C84" s="50" t="str">
        <f t="shared" si="1"/>
        <v>937*111.2</v>
      </c>
      <c r="D84" s="50" t="e">
        <f>'쪽쟘(실측)'!C84-OP차감</f>
        <v>#NAME?</v>
      </c>
      <c r="E84" s="50" t="e">
        <f>'쪽쟘(실측)'!D84+쪽쟘J늘림+MAX(W84:X84)</f>
        <v>#VALUE!</v>
      </c>
      <c r="F84" s="50" t="e">
        <f>'쪽쟘(실측)'!E84+쪽쟘J늘림+MAX(W84:X84)</f>
        <v>#VALUE!</v>
      </c>
      <c r="G84" s="67" t="str">
        <f>IF(OR(쪽쟘제작!K84&lt;&gt;쪽쟘제작!L84,쪽쟘제작!O84&lt;&gt;쪽쟘제작!P84),"",AC84&amp;"*"&amp;AB84)</f>
        <v>2092*126</v>
      </c>
      <c r="H84" s="68" t="str">
        <f>IF(OR(쪽쟘제작!N84&lt;&gt;쪽쟘제작!M84,쪽쟘제작!Q84&lt;&gt;쪽쟘제작!R84),"",AE84&amp;"*"&amp;AD84)</f>
        <v>2092*126</v>
      </c>
      <c r="I84" s="70">
        <f>IF('쪽쟘(실측)'!F84&gt;0,'쪽쟘(실측)'!F84+0.5,0)</f>
        <v>23.5</v>
      </c>
      <c r="J84" s="50">
        <f>IF('쪽쟘(실측)'!H84&gt;0,'쪽쟘(실측)'!H84+0.5,0)</f>
        <v>23.5</v>
      </c>
      <c r="K84" s="50">
        <f>IF('쪽쟘(실측)'!F84&gt;0,'쪽쟘(실측)'!F84+1.5,0)</f>
        <v>24.5</v>
      </c>
      <c r="L84" s="50">
        <f>IF('쪽쟘(실측)'!G84&gt;0,'쪽쟘(실측)'!G84+1.5,0)</f>
        <v>24.5</v>
      </c>
      <c r="M84" s="50">
        <f>IF('쪽쟘(실측)'!H84&gt;0,'쪽쟘(실측)'!H84+1.5,0)</f>
        <v>24.5</v>
      </c>
      <c r="N84" s="50">
        <f>IF('쪽쟘(실측)'!I84&gt;0,'쪽쟘(실측)'!I84+1.5,0)</f>
        <v>24.5</v>
      </c>
      <c r="O84" s="50" t="e">
        <f>'쪽쟘(실측)'!J84-기둥차감</f>
        <v>#NAME?</v>
      </c>
      <c r="P84" s="50" t="e">
        <f>'쪽쟘(실측)'!K84-기둥차감</f>
        <v>#NAME?</v>
      </c>
      <c r="Q84" s="50" t="e">
        <f>'쪽쟘(실측)'!L84-기둥차감</f>
        <v>#NAME?</v>
      </c>
      <c r="R84" s="50" t="e">
        <f>'쪽쟘(실측)'!M84-기둥차감</f>
        <v>#NAME?</v>
      </c>
      <c r="S84" s="50">
        <f>'쪽쟘(실측)'!N84+1.2</f>
        <v>16.2</v>
      </c>
      <c r="T84" s="50">
        <f>'쪽쟘(실측)'!O84+1.2</f>
        <v>16.2</v>
      </c>
      <c r="U84" s="50">
        <f>'쪽쟘(실측)'!P84</f>
        <v>16</v>
      </c>
      <c r="V84" s="50">
        <f>'쪽쟘(실측)'!Q84</f>
        <v>25</v>
      </c>
      <c r="W84" s="50" t="e">
        <f>'쪽쟘(실측)'!R84-늘치차감</f>
        <v>#NAME?</v>
      </c>
      <c r="X84" s="50" t="e">
        <f>'쪽쟘(실측)'!S84-늘치차감</f>
        <v>#NAME?</v>
      </c>
      <c r="Z84">
        <f>쪽쟘제작!AC84</f>
        <v>937</v>
      </c>
      <c r="AA84">
        <f>쪽쟘제작!AD84</f>
        <v>111.2</v>
      </c>
      <c r="AB84">
        <f>쪽쟘제작!AE84</f>
        <v>126.00000000000001</v>
      </c>
      <c r="AC84">
        <f>쪽쟘제작!AF84</f>
        <v>2092</v>
      </c>
      <c r="AD84">
        <f>쪽쟘제작!AG84</f>
        <v>126.00000000000001</v>
      </c>
      <c r="AE84">
        <f>쪽쟘제작!AH84</f>
        <v>2092</v>
      </c>
    </row>
    <row r="85" spans="1:31" ht="18.75" customHeight="1" x14ac:dyDescent="0.3">
      <c r="A85" s="50" t="str">
        <f>'쪽쟘(실측)'!A85</f>
        <v>110   / 2</v>
      </c>
      <c r="B85" s="50" t="str">
        <f>'쪽쟘(실측)'!B85&amp;"F"</f>
        <v>6F</v>
      </c>
      <c r="C85" s="50" t="str">
        <f t="shared" si="1"/>
        <v>928*116.2</v>
      </c>
      <c r="D85" s="50" t="e">
        <f>'쪽쟘(실측)'!C85-OP차감</f>
        <v>#NAME?</v>
      </c>
      <c r="E85" s="50" t="e">
        <f>'쪽쟘(실측)'!D85+쪽쟘J늘림+MAX(W85:X85)</f>
        <v>#VALUE!</v>
      </c>
      <c r="F85" s="50" t="e">
        <f>'쪽쟘(실측)'!E85+쪽쟘J늘림+MAX(W85:X85)</f>
        <v>#VALUE!</v>
      </c>
      <c r="G85" s="67" t="str">
        <f>IF(OR(쪽쟘제작!K85&lt;&gt;쪽쟘제작!L85,쪽쟘제작!O85&lt;&gt;쪽쟘제작!P85),"",AC85&amp;"*"&amp;AB85)</f>
        <v>2098*120</v>
      </c>
      <c r="H85" s="68" t="str">
        <f>IF(OR(쪽쟘제작!N85&lt;&gt;쪽쟘제작!M85,쪽쟘제작!Q85&lt;&gt;쪽쟘제작!R85),"",AE85&amp;"*"&amp;AD85)</f>
        <v>2092*122</v>
      </c>
      <c r="I85" s="70">
        <f>IF('쪽쟘(실측)'!F85&gt;0,'쪽쟘(실측)'!F85+0.5,0)</f>
        <v>17.5</v>
      </c>
      <c r="J85" s="50">
        <f>IF('쪽쟘(실측)'!H85&gt;0,'쪽쟘(실측)'!H85+0.5,0)</f>
        <v>19.5</v>
      </c>
      <c r="K85" s="50">
        <f>IF('쪽쟘(실측)'!F85&gt;0,'쪽쟘(실측)'!F85+1.5,0)</f>
        <v>18.5</v>
      </c>
      <c r="L85" s="50">
        <f>IF('쪽쟘(실측)'!G85&gt;0,'쪽쟘(실측)'!G85+1.5,0)</f>
        <v>18.5</v>
      </c>
      <c r="M85" s="50">
        <f>IF('쪽쟘(실측)'!H85&gt;0,'쪽쟘(실측)'!H85+1.5,0)</f>
        <v>20.5</v>
      </c>
      <c r="N85" s="50">
        <f>IF('쪽쟘(실측)'!I85&gt;0,'쪽쟘(실측)'!I85+1.5,0)</f>
        <v>20.5</v>
      </c>
      <c r="O85" s="50" t="e">
        <f>'쪽쟘(실측)'!J85-기둥차감</f>
        <v>#NAME?</v>
      </c>
      <c r="P85" s="50" t="e">
        <f>'쪽쟘(실측)'!K85-기둥차감</f>
        <v>#NAME?</v>
      </c>
      <c r="Q85" s="50" t="e">
        <f>'쪽쟘(실측)'!L85-기둥차감</f>
        <v>#NAME?</v>
      </c>
      <c r="R85" s="50" t="e">
        <f>'쪽쟘(실측)'!M85-기둥차감</f>
        <v>#NAME?</v>
      </c>
      <c r="S85" s="50">
        <f>'쪽쟘(실측)'!N85+1.2</f>
        <v>21.2</v>
      </c>
      <c r="T85" s="50">
        <f>'쪽쟘(실측)'!O85+1.2</f>
        <v>21.2</v>
      </c>
      <c r="U85" s="50">
        <f>'쪽쟘(실측)'!P85</f>
        <v>16</v>
      </c>
      <c r="V85" s="50">
        <f>'쪽쟘(실측)'!Q85</f>
        <v>25</v>
      </c>
      <c r="W85" s="50" t="e">
        <f>'쪽쟘(실측)'!R85-늘치차감</f>
        <v>#NAME?</v>
      </c>
      <c r="X85" s="50" t="e">
        <f>'쪽쟘(실측)'!S85-늘치차감</f>
        <v>#NAME?</v>
      </c>
      <c r="Z85">
        <f>쪽쟘제작!AC85</f>
        <v>928</v>
      </c>
      <c r="AA85">
        <f>쪽쟘제작!AD85</f>
        <v>116.2</v>
      </c>
      <c r="AB85">
        <f>쪽쟘제작!AE85</f>
        <v>120</v>
      </c>
      <c r="AC85">
        <f>쪽쟘제작!AF85</f>
        <v>2098</v>
      </c>
      <c r="AD85">
        <f>쪽쟘제작!AG85</f>
        <v>122</v>
      </c>
      <c r="AE85">
        <f>쪽쟘제작!AH85</f>
        <v>2092</v>
      </c>
    </row>
    <row r="86" spans="1:31" ht="18.75" customHeight="1" x14ac:dyDescent="0.3">
      <c r="A86" s="50" t="str">
        <f>'쪽쟘(실측)'!A86</f>
        <v>110   / 2</v>
      </c>
      <c r="B86" s="50" t="str">
        <f>'쪽쟘(실측)'!B86&amp;"F"</f>
        <v>5F</v>
      </c>
      <c r="C86" s="50" t="str">
        <f t="shared" si="1"/>
        <v>934*105.2</v>
      </c>
      <c r="D86" s="50" t="e">
        <f>'쪽쟘(실측)'!C86-OP차감</f>
        <v>#NAME?</v>
      </c>
      <c r="E86" s="50" t="e">
        <f>'쪽쟘(실측)'!D86+쪽쟘J늘림+MAX(W86:X86)</f>
        <v>#VALUE!</v>
      </c>
      <c r="F86" s="50" t="e">
        <f>'쪽쟘(실측)'!E86+쪽쟘J늘림+MAX(W86:X86)</f>
        <v>#VALUE!</v>
      </c>
      <c r="G86" s="67" t="str">
        <f>IF(OR(쪽쟘제작!K86&lt;&gt;쪽쟘제작!L86,쪽쟘제작!O86&lt;&gt;쪽쟘제작!P86),"",AC86&amp;"*"&amp;AB86)</f>
        <v>2092*125</v>
      </c>
      <c r="H86" s="68" t="str">
        <f>IF(OR(쪽쟘제작!N86&lt;&gt;쪽쟘제작!M86,쪽쟘제작!Q86&lt;&gt;쪽쟘제작!R86),"",AE86&amp;"*"&amp;AD86)</f>
        <v>2092*123</v>
      </c>
      <c r="I86" s="70">
        <f>IF('쪽쟘(실측)'!F86&gt;0,'쪽쟘(실측)'!F86+0.5,0)</f>
        <v>22.5</v>
      </c>
      <c r="J86" s="50">
        <f>IF('쪽쟘(실측)'!H86&gt;0,'쪽쟘(실측)'!H86+0.5,0)</f>
        <v>20.5</v>
      </c>
      <c r="K86" s="50">
        <f>IF('쪽쟘(실측)'!F86&gt;0,'쪽쟘(실측)'!F86+1.5,0)</f>
        <v>23.5</v>
      </c>
      <c r="L86" s="50">
        <f>IF('쪽쟘(실측)'!G86&gt;0,'쪽쟘(실측)'!G86+1.5,0)</f>
        <v>23.5</v>
      </c>
      <c r="M86" s="50">
        <f>IF('쪽쟘(실측)'!H86&gt;0,'쪽쟘(실측)'!H86+1.5,0)</f>
        <v>21.5</v>
      </c>
      <c r="N86" s="50">
        <f>IF('쪽쟘(실측)'!I86&gt;0,'쪽쟘(실측)'!I86+1.5,0)</f>
        <v>21.5</v>
      </c>
      <c r="O86" s="50" t="e">
        <f>'쪽쟘(실측)'!J86-기둥차감</f>
        <v>#NAME?</v>
      </c>
      <c r="P86" s="50" t="e">
        <f>'쪽쟘(실측)'!K86-기둥차감</f>
        <v>#NAME?</v>
      </c>
      <c r="Q86" s="50" t="e">
        <f>'쪽쟘(실측)'!L86-기둥차감</f>
        <v>#NAME?</v>
      </c>
      <c r="R86" s="50" t="e">
        <f>'쪽쟘(실측)'!M86-기둥차감</f>
        <v>#NAME?</v>
      </c>
      <c r="S86" s="50">
        <f>'쪽쟘(실측)'!N86+1.2</f>
        <v>10.199999999999999</v>
      </c>
      <c r="T86" s="50">
        <f>'쪽쟘(실측)'!O86+1.2</f>
        <v>10.199999999999999</v>
      </c>
      <c r="U86" s="50">
        <f>'쪽쟘(실측)'!P86</f>
        <v>16</v>
      </c>
      <c r="V86" s="50">
        <f>'쪽쟘(실측)'!Q86</f>
        <v>25</v>
      </c>
      <c r="W86" s="50" t="e">
        <f>'쪽쟘(실측)'!R86-늘치차감</f>
        <v>#NAME?</v>
      </c>
      <c r="X86" s="50" t="e">
        <f>'쪽쟘(실측)'!S86-늘치차감</f>
        <v>#NAME?</v>
      </c>
      <c r="Z86">
        <f>쪽쟘제작!AC86</f>
        <v>934</v>
      </c>
      <c r="AA86">
        <f>쪽쟘제작!AD86</f>
        <v>105.2</v>
      </c>
      <c r="AB86">
        <f>쪽쟘제작!AE86</f>
        <v>125.00000000000001</v>
      </c>
      <c r="AC86">
        <f>쪽쟘제작!AF86</f>
        <v>2092</v>
      </c>
      <c r="AD86">
        <f>쪽쟘제작!AG86</f>
        <v>123</v>
      </c>
      <c r="AE86">
        <f>쪽쟘제작!AH86</f>
        <v>2092</v>
      </c>
    </row>
    <row r="87" spans="1:31" ht="18.75" customHeight="1" x14ac:dyDescent="0.3">
      <c r="A87" s="50" t="str">
        <f>'쪽쟘(실측)'!A87</f>
        <v>110   / 2</v>
      </c>
      <c r="B87" s="50" t="str">
        <f>'쪽쟘(실측)'!B87&amp;"F"</f>
        <v>4F</v>
      </c>
      <c r="C87" s="50" t="str">
        <f t="shared" si="1"/>
        <v>933*106.2</v>
      </c>
      <c r="D87" s="50" t="e">
        <f>'쪽쟘(실측)'!C87-OP차감</f>
        <v>#NAME?</v>
      </c>
      <c r="E87" s="50" t="e">
        <f>'쪽쟘(실측)'!D87+쪽쟘J늘림+MAX(W87:X87)</f>
        <v>#VALUE!</v>
      </c>
      <c r="F87" s="50" t="e">
        <f>'쪽쟘(실측)'!E87+쪽쟘J늘림+MAX(W87:X87)</f>
        <v>#VALUE!</v>
      </c>
      <c r="G87" s="67" t="str">
        <f>IF(OR(쪽쟘제작!K87&lt;&gt;쪽쟘제작!L87,쪽쟘제작!O87&lt;&gt;쪽쟘제작!P87),"",AC87&amp;"*"&amp;AB87)</f>
        <v>2092*125</v>
      </c>
      <c r="H87" s="68" t="str">
        <f>IF(OR(쪽쟘제작!N87&lt;&gt;쪽쟘제작!M87,쪽쟘제작!Q87&lt;&gt;쪽쟘제작!R87),"",AE87&amp;"*"&amp;AD87)</f>
        <v>2092*123</v>
      </c>
      <c r="I87" s="70">
        <f>IF('쪽쟘(실측)'!F87&gt;0,'쪽쟘(실측)'!F87+0.5,0)</f>
        <v>22.5</v>
      </c>
      <c r="J87" s="50">
        <f>IF('쪽쟘(실측)'!H87&gt;0,'쪽쟘(실측)'!H87+0.5,0)</f>
        <v>20.5</v>
      </c>
      <c r="K87" s="50">
        <f>IF('쪽쟘(실측)'!F87&gt;0,'쪽쟘(실측)'!F87+1.5,0)</f>
        <v>23.5</v>
      </c>
      <c r="L87" s="50">
        <f>IF('쪽쟘(실측)'!G87&gt;0,'쪽쟘(실측)'!G87+1.5,0)</f>
        <v>23.5</v>
      </c>
      <c r="M87" s="50">
        <f>IF('쪽쟘(실측)'!H87&gt;0,'쪽쟘(실측)'!H87+1.5,0)</f>
        <v>21.5</v>
      </c>
      <c r="N87" s="50">
        <f>IF('쪽쟘(실측)'!I87&gt;0,'쪽쟘(실측)'!I87+1.5,0)</f>
        <v>21.5</v>
      </c>
      <c r="O87" s="50" t="e">
        <f>'쪽쟘(실측)'!J87-기둥차감</f>
        <v>#NAME?</v>
      </c>
      <c r="P87" s="50" t="e">
        <f>'쪽쟘(실측)'!K87-기둥차감</f>
        <v>#NAME?</v>
      </c>
      <c r="Q87" s="50" t="e">
        <f>'쪽쟘(실측)'!L87-기둥차감</f>
        <v>#NAME?</v>
      </c>
      <c r="R87" s="50" t="e">
        <f>'쪽쟘(실측)'!M87-기둥차감</f>
        <v>#NAME?</v>
      </c>
      <c r="S87" s="50">
        <f>'쪽쟘(실측)'!N87+1.2</f>
        <v>11.2</v>
      </c>
      <c r="T87" s="50">
        <f>'쪽쟘(실측)'!O87+1.2</f>
        <v>11.2</v>
      </c>
      <c r="U87" s="50">
        <f>'쪽쟘(실측)'!P87</f>
        <v>16</v>
      </c>
      <c r="V87" s="50">
        <f>'쪽쟘(실측)'!Q87</f>
        <v>25</v>
      </c>
      <c r="W87" s="50" t="e">
        <f>'쪽쟘(실측)'!R87-늘치차감</f>
        <v>#NAME?</v>
      </c>
      <c r="X87" s="50" t="e">
        <f>'쪽쟘(실측)'!S87-늘치차감</f>
        <v>#NAME?</v>
      </c>
      <c r="Z87">
        <f>쪽쟘제작!AC87</f>
        <v>933</v>
      </c>
      <c r="AA87">
        <f>쪽쟘제작!AD87</f>
        <v>106.2</v>
      </c>
      <c r="AB87">
        <f>쪽쟘제작!AE87</f>
        <v>125.00000000000001</v>
      </c>
      <c r="AC87">
        <f>쪽쟘제작!AF87</f>
        <v>2092</v>
      </c>
      <c r="AD87">
        <f>쪽쟘제작!AG87</f>
        <v>123</v>
      </c>
      <c r="AE87">
        <f>쪽쟘제작!AH87</f>
        <v>2092</v>
      </c>
    </row>
    <row r="88" spans="1:31" ht="18.75" customHeight="1" x14ac:dyDescent="0.3">
      <c r="A88" s="50" t="str">
        <f>'쪽쟘(실측)'!A88</f>
        <v>110   / 2</v>
      </c>
      <c r="B88" s="50" t="str">
        <f>'쪽쟘(실측)'!B88&amp;"F"</f>
        <v>3F</v>
      </c>
      <c r="C88" s="50" t="str">
        <f t="shared" si="1"/>
        <v>932*110.2</v>
      </c>
      <c r="D88" s="50" t="e">
        <f>'쪽쟘(실측)'!C88-OP차감</f>
        <v>#NAME?</v>
      </c>
      <c r="E88" s="50" t="e">
        <f>'쪽쟘(실측)'!D88+쪽쟘J늘림+MAX(W88:X88)</f>
        <v>#VALUE!</v>
      </c>
      <c r="F88" s="50" t="e">
        <f>'쪽쟘(실측)'!E88+쪽쟘J늘림+MAX(W88:X88)</f>
        <v>#VALUE!</v>
      </c>
      <c r="G88" s="67" t="str">
        <f>IF(OR(쪽쟘제작!K88&lt;&gt;쪽쟘제작!L88,쪽쟘제작!O88&lt;&gt;쪽쟘제작!P88),"",AC88&amp;"*"&amp;AB88)</f>
        <v>2092*125</v>
      </c>
      <c r="H88" s="68" t="str">
        <f>IF(OR(쪽쟘제작!N88&lt;&gt;쪽쟘제작!M88,쪽쟘제작!Q88&lt;&gt;쪽쟘제작!R88),"",AE88&amp;"*"&amp;AD88)</f>
        <v>2092*122</v>
      </c>
      <c r="I88" s="70">
        <f>IF('쪽쟘(실측)'!F88&gt;0,'쪽쟘(실측)'!F88+0.5,0)</f>
        <v>22.5</v>
      </c>
      <c r="J88" s="50">
        <f>IF('쪽쟘(실측)'!H88&gt;0,'쪽쟘(실측)'!H88+0.5,0)</f>
        <v>19.5</v>
      </c>
      <c r="K88" s="50">
        <f>IF('쪽쟘(실측)'!F88&gt;0,'쪽쟘(실측)'!F88+1.5,0)</f>
        <v>23.5</v>
      </c>
      <c r="L88" s="50">
        <f>IF('쪽쟘(실측)'!G88&gt;0,'쪽쟘(실측)'!G88+1.5,0)</f>
        <v>23.5</v>
      </c>
      <c r="M88" s="50">
        <f>IF('쪽쟘(실측)'!H88&gt;0,'쪽쟘(실측)'!H88+1.5,0)</f>
        <v>20.5</v>
      </c>
      <c r="N88" s="50">
        <f>IF('쪽쟘(실측)'!I88&gt;0,'쪽쟘(실측)'!I88+1.5,0)</f>
        <v>20.5</v>
      </c>
      <c r="O88" s="50" t="e">
        <f>'쪽쟘(실측)'!J88-기둥차감</f>
        <v>#NAME?</v>
      </c>
      <c r="P88" s="50" t="e">
        <f>'쪽쟘(실측)'!K88-기둥차감</f>
        <v>#NAME?</v>
      </c>
      <c r="Q88" s="50" t="e">
        <f>'쪽쟘(실측)'!L88-기둥차감</f>
        <v>#NAME?</v>
      </c>
      <c r="R88" s="50" t="e">
        <f>'쪽쟘(실측)'!M88-기둥차감</f>
        <v>#NAME?</v>
      </c>
      <c r="S88" s="50">
        <f>'쪽쟘(실측)'!N88+1.2</f>
        <v>15.2</v>
      </c>
      <c r="T88" s="50">
        <f>'쪽쟘(실측)'!O88+1.2</f>
        <v>15.2</v>
      </c>
      <c r="U88" s="50">
        <f>'쪽쟘(실측)'!P88</f>
        <v>16</v>
      </c>
      <c r="V88" s="50">
        <f>'쪽쟘(실측)'!Q88</f>
        <v>25</v>
      </c>
      <c r="W88" s="50" t="e">
        <f>'쪽쟘(실측)'!R88-늘치차감</f>
        <v>#NAME?</v>
      </c>
      <c r="X88" s="50" t="e">
        <f>'쪽쟘(실측)'!S88-늘치차감</f>
        <v>#NAME?</v>
      </c>
      <c r="Z88">
        <f>쪽쟘제작!AC88</f>
        <v>932</v>
      </c>
      <c r="AA88">
        <f>쪽쟘제작!AD88</f>
        <v>110.2</v>
      </c>
      <c r="AB88">
        <f>쪽쟘제작!AE88</f>
        <v>125.00000000000001</v>
      </c>
      <c r="AC88">
        <f>쪽쟘제작!AF88</f>
        <v>2092</v>
      </c>
      <c r="AD88">
        <f>쪽쟘제작!AG88</f>
        <v>122</v>
      </c>
      <c r="AE88">
        <f>쪽쟘제작!AH88</f>
        <v>2092</v>
      </c>
    </row>
    <row r="89" spans="1:31" ht="18.75" customHeight="1" thickBot="1" x14ac:dyDescent="0.35">
      <c r="A89" s="379" t="str">
        <f>'쪽쟘(실측)'!A89</f>
        <v>110   / 2</v>
      </c>
      <c r="B89" s="379" t="str">
        <f>'쪽쟘(실측)'!B89&amp;"F"</f>
        <v>2F</v>
      </c>
      <c r="C89" s="379" t="str">
        <f t="shared" si="1"/>
        <v>925*103.2</v>
      </c>
      <c r="D89" s="379" t="e">
        <f>'쪽쟘(실측)'!C89-OP차감</f>
        <v>#NAME?</v>
      </c>
      <c r="E89" s="379" t="e">
        <f>'쪽쟘(실측)'!D89+쪽쟘J늘림+MAX(W89:X89)</f>
        <v>#VALUE!</v>
      </c>
      <c r="F89" s="379" t="e">
        <f>'쪽쟘(실측)'!E89+쪽쟘J늘림+MAX(W89:X89)</f>
        <v>#VALUE!</v>
      </c>
      <c r="G89" s="380" t="str">
        <f>IF(OR(쪽쟘제작!K89&lt;&gt;쪽쟘제작!L89,쪽쟘제작!O89&lt;&gt;쪽쟘제작!P89),"",AC89&amp;"*"&amp;AB89)</f>
        <v>2092*119</v>
      </c>
      <c r="H89" s="381" t="str">
        <f>IF(OR(쪽쟘제작!N89&lt;&gt;쪽쟘제작!M89,쪽쟘제작!Q89&lt;&gt;쪽쟘제작!R89),"",AE89&amp;"*"&amp;AD89)</f>
        <v>2092*120</v>
      </c>
      <c r="I89" s="70">
        <f>IF('쪽쟘(실측)'!F89&gt;0,'쪽쟘(실측)'!F89+0.5,0)</f>
        <v>16.5</v>
      </c>
      <c r="J89" s="50">
        <f>IF('쪽쟘(실측)'!H89&gt;0,'쪽쟘(실측)'!H89+0.5,0)</f>
        <v>17.5</v>
      </c>
      <c r="K89" s="50">
        <f>IF('쪽쟘(실측)'!F89&gt;0,'쪽쟘(실측)'!F89+1.5,0)</f>
        <v>17.5</v>
      </c>
      <c r="L89" s="50">
        <f>IF('쪽쟘(실측)'!G89&gt;0,'쪽쟘(실측)'!G89+1.5,0)</f>
        <v>17.5</v>
      </c>
      <c r="M89" s="50">
        <f>IF('쪽쟘(실측)'!H89&gt;0,'쪽쟘(실측)'!H89+1.5,0)</f>
        <v>18.5</v>
      </c>
      <c r="N89" s="50">
        <f>IF('쪽쟘(실측)'!I89&gt;0,'쪽쟘(실측)'!I89+1.5,0)</f>
        <v>18.5</v>
      </c>
      <c r="O89" s="50" t="e">
        <f>'쪽쟘(실측)'!J89-기둥차감</f>
        <v>#NAME?</v>
      </c>
      <c r="P89" s="50" t="e">
        <f>'쪽쟘(실측)'!K89-기둥차감</f>
        <v>#NAME?</v>
      </c>
      <c r="Q89" s="50" t="e">
        <f>'쪽쟘(실측)'!L89-기둥차감</f>
        <v>#NAME?</v>
      </c>
      <c r="R89" s="50" t="e">
        <f>'쪽쟘(실측)'!M89-기둥차감</f>
        <v>#NAME?</v>
      </c>
      <c r="S89" s="50">
        <f>'쪽쟘(실측)'!N89+1.2</f>
        <v>8.1999999999999993</v>
      </c>
      <c r="T89" s="50">
        <f>'쪽쟘(실측)'!O89+1.2</f>
        <v>8.1999999999999993</v>
      </c>
      <c r="U89" s="50">
        <f>'쪽쟘(실측)'!P89</f>
        <v>16</v>
      </c>
      <c r="V89" s="50">
        <f>'쪽쟘(실측)'!Q89</f>
        <v>25</v>
      </c>
      <c r="W89" s="50" t="e">
        <f>'쪽쟘(실측)'!R89-늘치차감</f>
        <v>#NAME?</v>
      </c>
      <c r="X89" s="50" t="e">
        <f>'쪽쟘(실측)'!S89-늘치차감</f>
        <v>#NAME?</v>
      </c>
      <c r="Z89">
        <f>쪽쟘제작!AC89</f>
        <v>925</v>
      </c>
      <c r="AA89">
        <f>쪽쟘제작!AD89</f>
        <v>103.2</v>
      </c>
      <c r="AB89">
        <f>쪽쟘제작!AE89</f>
        <v>119</v>
      </c>
      <c r="AC89">
        <f>쪽쟘제작!AF89</f>
        <v>2092</v>
      </c>
      <c r="AD89">
        <f>쪽쟘제작!AG89</f>
        <v>120</v>
      </c>
      <c r="AE89">
        <f>쪽쟘제작!AH89</f>
        <v>2092</v>
      </c>
    </row>
    <row r="90" spans="1:31" ht="18.75" customHeight="1" x14ac:dyDescent="0.3">
      <c r="A90" s="376" t="str">
        <f>'쪽쟘(실측)'!A90</f>
        <v>111   / 1</v>
      </c>
      <c r="B90" s="376" t="str">
        <f>'쪽쟘(실측)'!B90&amp;"F"</f>
        <v>17F</v>
      </c>
      <c r="C90" s="376" t="str">
        <f t="shared" si="1"/>
        <v>933*123.2</v>
      </c>
      <c r="D90" s="376" t="e">
        <f>'쪽쟘(실측)'!C90-OP차감</f>
        <v>#NAME?</v>
      </c>
      <c r="E90" s="376" t="e">
        <f>'쪽쟘(실측)'!D90+쪽쟘J늘림+MAX(W90:X90)</f>
        <v>#VALUE!</v>
      </c>
      <c r="F90" s="376" t="e">
        <f>'쪽쟘(실측)'!E90+쪽쟘J늘림+MAX(W90:X90)</f>
        <v>#VALUE!</v>
      </c>
      <c r="G90" s="377" t="str">
        <f>IF(OR(쪽쟘제작!K90&lt;&gt;쪽쟘제작!L90,쪽쟘제작!O90&lt;&gt;쪽쟘제작!P90),"",AC90&amp;"*"&amp;AB90)</f>
        <v>2092*124</v>
      </c>
      <c r="H90" s="378" t="str">
        <f>IF(OR(쪽쟘제작!N90&lt;&gt;쪽쟘제작!M90,쪽쟘제작!Q90&lt;&gt;쪽쟘제작!R90),"",AE90&amp;"*"&amp;AD90)</f>
        <v>2092*124</v>
      </c>
      <c r="I90" s="70">
        <f>IF('쪽쟘(실측)'!F90&gt;0,'쪽쟘(실측)'!F90+0.5,0)</f>
        <v>21.5</v>
      </c>
      <c r="J90" s="50">
        <f>IF('쪽쟘(실측)'!H90&gt;0,'쪽쟘(실측)'!H90+0.5,0)</f>
        <v>21.5</v>
      </c>
      <c r="K90" s="50">
        <f>IF('쪽쟘(실측)'!F90&gt;0,'쪽쟘(실측)'!F90+1.5,0)</f>
        <v>22.5</v>
      </c>
      <c r="L90" s="50">
        <f>IF('쪽쟘(실측)'!G90&gt;0,'쪽쟘(실측)'!G90+1.5,0)</f>
        <v>22.5</v>
      </c>
      <c r="M90" s="50">
        <f>IF('쪽쟘(실측)'!H90&gt;0,'쪽쟘(실측)'!H90+1.5,0)</f>
        <v>22.5</v>
      </c>
      <c r="N90" s="50">
        <f>IF('쪽쟘(실측)'!I90&gt;0,'쪽쟘(실측)'!I90+1.5,0)</f>
        <v>22.5</v>
      </c>
      <c r="O90" s="50" t="e">
        <f>'쪽쟘(실측)'!J90-기둥차감</f>
        <v>#NAME?</v>
      </c>
      <c r="P90" s="50" t="e">
        <f>'쪽쟘(실측)'!K90-기둥차감</f>
        <v>#NAME?</v>
      </c>
      <c r="Q90" s="50" t="e">
        <f>'쪽쟘(실측)'!L90-기둥차감</f>
        <v>#NAME?</v>
      </c>
      <c r="R90" s="50" t="e">
        <f>'쪽쟘(실측)'!M90-기둥차감</f>
        <v>#NAME?</v>
      </c>
      <c r="S90" s="50">
        <f>'쪽쟘(실측)'!N90+1.2</f>
        <v>28.2</v>
      </c>
      <c r="T90" s="50">
        <f>'쪽쟘(실측)'!O90+1.2</f>
        <v>28.2</v>
      </c>
      <c r="U90" s="50">
        <f>'쪽쟘(실측)'!P90</f>
        <v>16</v>
      </c>
      <c r="V90" s="50">
        <f>'쪽쟘(실측)'!Q90</f>
        <v>25</v>
      </c>
      <c r="W90" s="50" t="e">
        <f>'쪽쟘(실측)'!R90-늘치차감</f>
        <v>#NAME?</v>
      </c>
      <c r="X90" s="50" t="e">
        <f>'쪽쟘(실측)'!S90-늘치차감</f>
        <v>#NAME?</v>
      </c>
      <c r="Z90">
        <f>쪽쟘제작!AC90</f>
        <v>933</v>
      </c>
      <c r="AA90">
        <f>쪽쟘제작!AD90</f>
        <v>123.2</v>
      </c>
      <c r="AB90">
        <f>쪽쟘제작!AE90</f>
        <v>124.00000000000001</v>
      </c>
      <c r="AC90">
        <f>쪽쟘제작!AF90</f>
        <v>2092</v>
      </c>
      <c r="AD90">
        <f>쪽쟘제작!AG90</f>
        <v>124.00000000000001</v>
      </c>
      <c r="AE90">
        <f>쪽쟘제작!AH90</f>
        <v>2092</v>
      </c>
    </row>
    <row r="91" spans="1:31" ht="18.75" customHeight="1" x14ac:dyDescent="0.3">
      <c r="A91" s="50" t="str">
        <f>'쪽쟘(실측)'!A91</f>
        <v>111   / 1</v>
      </c>
      <c r="B91" s="50" t="str">
        <f>'쪽쟘(실측)'!B91&amp;"F"</f>
        <v>16F</v>
      </c>
      <c r="C91" s="50" t="str">
        <f t="shared" si="1"/>
        <v>930*124.2</v>
      </c>
      <c r="D91" s="50" t="e">
        <f>'쪽쟘(실측)'!C91-OP차감</f>
        <v>#NAME?</v>
      </c>
      <c r="E91" s="50" t="e">
        <f>'쪽쟘(실측)'!D91+쪽쟘J늘림+MAX(W91:X91)</f>
        <v>#VALUE!</v>
      </c>
      <c r="F91" s="50" t="e">
        <f>'쪽쟘(실측)'!E91+쪽쟘J늘림+MAX(W91:X91)</f>
        <v>#VALUE!</v>
      </c>
      <c r="G91" s="67" t="str">
        <f>IF(OR(쪽쟘제작!K91&lt;&gt;쪽쟘제작!L91,쪽쟘제작!O91&lt;&gt;쪽쟘제작!P91),"",AC91&amp;"*"&amp;AB91)</f>
        <v>2092*124</v>
      </c>
      <c r="H91" s="68" t="str">
        <f>IF(OR(쪽쟘제작!N91&lt;&gt;쪽쟘제작!M91,쪽쟘제작!Q91&lt;&gt;쪽쟘제작!R91),"",AE91&amp;"*"&amp;AD91)</f>
        <v>2092*121</v>
      </c>
      <c r="I91" s="70">
        <f>IF('쪽쟘(실측)'!F91&gt;0,'쪽쟘(실측)'!F91+0.5,0)</f>
        <v>21.5</v>
      </c>
      <c r="J91" s="50">
        <f>IF('쪽쟘(실측)'!H91&gt;0,'쪽쟘(실측)'!H91+0.5,0)</f>
        <v>18.5</v>
      </c>
      <c r="K91" s="50">
        <f>IF('쪽쟘(실측)'!F91&gt;0,'쪽쟘(실측)'!F91+1.5,0)</f>
        <v>22.5</v>
      </c>
      <c r="L91" s="50">
        <f>IF('쪽쟘(실측)'!G91&gt;0,'쪽쟘(실측)'!G91+1.5,0)</f>
        <v>22.5</v>
      </c>
      <c r="M91" s="50">
        <f>IF('쪽쟘(실측)'!H91&gt;0,'쪽쟘(실측)'!H91+1.5,0)</f>
        <v>19.5</v>
      </c>
      <c r="N91" s="50">
        <f>IF('쪽쟘(실측)'!I91&gt;0,'쪽쟘(실측)'!I91+1.5,0)</f>
        <v>19.5</v>
      </c>
      <c r="O91" s="50" t="e">
        <f>'쪽쟘(실측)'!J91-기둥차감</f>
        <v>#NAME?</v>
      </c>
      <c r="P91" s="50" t="e">
        <f>'쪽쟘(실측)'!K91-기둥차감</f>
        <v>#NAME?</v>
      </c>
      <c r="Q91" s="50" t="e">
        <f>'쪽쟘(실측)'!L91-기둥차감</f>
        <v>#NAME?</v>
      </c>
      <c r="R91" s="50" t="e">
        <f>'쪽쟘(실측)'!M91-기둥차감</f>
        <v>#NAME?</v>
      </c>
      <c r="S91" s="50">
        <f>'쪽쟘(실측)'!N91+1.2</f>
        <v>29.2</v>
      </c>
      <c r="T91" s="50">
        <f>'쪽쟘(실측)'!O91+1.2</f>
        <v>29.2</v>
      </c>
      <c r="U91" s="50">
        <f>'쪽쟘(실측)'!P91</f>
        <v>16</v>
      </c>
      <c r="V91" s="50">
        <f>'쪽쟘(실측)'!Q91</f>
        <v>25</v>
      </c>
      <c r="W91" s="50" t="e">
        <f>'쪽쟘(실측)'!R91-늘치차감</f>
        <v>#NAME?</v>
      </c>
      <c r="X91" s="50" t="e">
        <f>'쪽쟘(실측)'!S91-늘치차감</f>
        <v>#NAME?</v>
      </c>
      <c r="Z91">
        <f>쪽쟘제작!AC91</f>
        <v>930</v>
      </c>
      <c r="AA91">
        <f>쪽쟘제작!AD91</f>
        <v>124.2</v>
      </c>
      <c r="AB91">
        <f>쪽쟘제작!AE91</f>
        <v>124.00000000000001</v>
      </c>
      <c r="AC91">
        <f>쪽쟘제작!AF91</f>
        <v>2092</v>
      </c>
      <c r="AD91">
        <f>쪽쟘제작!AG91</f>
        <v>121</v>
      </c>
      <c r="AE91">
        <f>쪽쟘제작!AH91</f>
        <v>2092</v>
      </c>
    </row>
    <row r="92" spans="1:31" ht="18.75" customHeight="1" x14ac:dyDescent="0.3">
      <c r="A92" s="50" t="str">
        <f>'쪽쟘(실측)'!A92</f>
        <v>111   / 1</v>
      </c>
      <c r="B92" s="50" t="str">
        <f>'쪽쟘(실측)'!B92&amp;"F"</f>
        <v>15F</v>
      </c>
      <c r="C92" s="50" t="str">
        <f t="shared" si="1"/>
        <v>935*125.2</v>
      </c>
      <c r="D92" s="50" t="e">
        <f>'쪽쟘(실측)'!C92-OP차감</f>
        <v>#NAME?</v>
      </c>
      <c r="E92" s="50" t="e">
        <f>'쪽쟘(실측)'!D92+쪽쟘J늘림+MAX(W92:X92)</f>
        <v>#VALUE!</v>
      </c>
      <c r="F92" s="50" t="e">
        <f>'쪽쟘(실측)'!E92+쪽쟘J늘림+MAX(W92:X92)</f>
        <v>#VALUE!</v>
      </c>
      <c r="G92" s="67" t="str">
        <f>IF(OR(쪽쟘제작!K92&lt;&gt;쪽쟘제작!L92,쪽쟘제작!O92&lt;&gt;쪽쟘제작!P92),"",AC92&amp;"*"&amp;AB92)</f>
        <v>2098*125</v>
      </c>
      <c r="H92" s="68" t="str">
        <f>IF(OR(쪽쟘제작!N92&lt;&gt;쪽쟘제작!M92,쪽쟘제작!Q92&lt;&gt;쪽쟘제작!R92),"",AE92&amp;"*"&amp;AD92)</f>
        <v>2098*124</v>
      </c>
      <c r="I92" s="70">
        <f>IF('쪽쟘(실측)'!F92&gt;0,'쪽쟘(실측)'!F92+0.5,0)</f>
        <v>22.5</v>
      </c>
      <c r="J92" s="50">
        <f>IF('쪽쟘(실측)'!H92&gt;0,'쪽쟘(실측)'!H92+0.5,0)</f>
        <v>21.5</v>
      </c>
      <c r="K92" s="50">
        <f>IF('쪽쟘(실측)'!F92&gt;0,'쪽쟘(실측)'!F92+1.5,0)</f>
        <v>23.5</v>
      </c>
      <c r="L92" s="50">
        <f>IF('쪽쟘(실측)'!G92&gt;0,'쪽쟘(실측)'!G92+1.5,0)</f>
        <v>23.5</v>
      </c>
      <c r="M92" s="50">
        <f>IF('쪽쟘(실측)'!H92&gt;0,'쪽쟘(실측)'!H92+1.5,0)</f>
        <v>22.5</v>
      </c>
      <c r="N92" s="50">
        <f>IF('쪽쟘(실측)'!I92&gt;0,'쪽쟘(실측)'!I92+1.5,0)</f>
        <v>22.5</v>
      </c>
      <c r="O92" s="50" t="e">
        <f>'쪽쟘(실측)'!J92-기둥차감</f>
        <v>#NAME?</v>
      </c>
      <c r="P92" s="50" t="e">
        <f>'쪽쟘(실측)'!K92-기둥차감</f>
        <v>#NAME?</v>
      </c>
      <c r="Q92" s="50" t="e">
        <f>'쪽쟘(실측)'!L92-기둥차감</f>
        <v>#NAME?</v>
      </c>
      <c r="R92" s="50" t="e">
        <f>'쪽쟘(실측)'!M92-기둥차감</f>
        <v>#NAME?</v>
      </c>
      <c r="S92" s="50">
        <f>'쪽쟘(실측)'!N92+1.2</f>
        <v>30.2</v>
      </c>
      <c r="T92" s="50">
        <f>'쪽쟘(실측)'!O92+1.2</f>
        <v>30.2</v>
      </c>
      <c r="U92" s="50">
        <f>'쪽쟘(실측)'!P92</f>
        <v>16</v>
      </c>
      <c r="V92" s="50">
        <f>'쪽쟘(실측)'!Q92</f>
        <v>25</v>
      </c>
      <c r="W92" s="50" t="e">
        <f>'쪽쟘(실측)'!R92-늘치차감</f>
        <v>#NAME?</v>
      </c>
      <c r="X92" s="50" t="e">
        <f>'쪽쟘(실측)'!S92-늘치차감</f>
        <v>#NAME?</v>
      </c>
      <c r="Z92">
        <f>쪽쟘제작!AC92</f>
        <v>935</v>
      </c>
      <c r="AA92">
        <f>쪽쟘제작!AD92</f>
        <v>125.2</v>
      </c>
      <c r="AB92">
        <f>쪽쟘제작!AE92</f>
        <v>125.00000000000001</v>
      </c>
      <c r="AC92">
        <f>쪽쟘제작!AF92</f>
        <v>2098</v>
      </c>
      <c r="AD92">
        <f>쪽쟘제작!AG92</f>
        <v>124.00000000000001</v>
      </c>
      <c r="AE92">
        <f>쪽쟘제작!AH92</f>
        <v>2098</v>
      </c>
    </row>
    <row r="93" spans="1:31" ht="18.75" customHeight="1" x14ac:dyDescent="0.3">
      <c r="A93" s="50" t="str">
        <f>'쪽쟘(실측)'!A93</f>
        <v>111   / 1</v>
      </c>
      <c r="B93" s="50" t="str">
        <f>'쪽쟘(실측)'!B93&amp;"F"</f>
        <v>14F</v>
      </c>
      <c r="C93" s="50" t="str">
        <f t="shared" si="1"/>
        <v>927*117.2</v>
      </c>
      <c r="D93" s="50" t="e">
        <f>'쪽쟘(실측)'!C93-OP차감</f>
        <v>#NAME?</v>
      </c>
      <c r="E93" s="50" t="e">
        <f>'쪽쟘(실측)'!D93+쪽쟘J늘림+MAX(W93:X93)</f>
        <v>#VALUE!</v>
      </c>
      <c r="F93" s="50" t="e">
        <f>'쪽쟘(실측)'!E93+쪽쟘J늘림+MAX(W93:X93)</f>
        <v>#VALUE!</v>
      </c>
      <c r="G93" s="67" t="str">
        <f>IF(OR(쪽쟘제작!K93&lt;&gt;쪽쟘제작!L93,쪽쟘제작!O93&lt;&gt;쪽쟘제작!P93),"",AC93&amp;"*"&amp;AB93)</f>
        <v>2092*120</v>
      </c>
      <c r="H93" s="68" t="str">
        <f>IF(OR(쪽쟘제작!N93&lt;&gt;쪽쟘제작!M93,쪽쟘제작!Q93&lt;&gt;쪽쟘제작!R93),"",AE93&amp;"*"&amp;AD93)</f>
        <v>2092*122</v>
      </c>
      <c r="I93" s="70">
        <f>IF('쪽쟘(실측)'!F93&gt;0,'쪽쟘(실측)'!F93+0.5,0)</f>
        <v>17.5</v>
      </c>
      <c r="J93" s="50">
        <f>IF('쪽쟘(실측)'!H93&gt;0,'쪽쟘(실측)'!H93+0.5,0)</f>
        <v>19.5</v>
      </c>
      <c r="K93" s="50">
        <f>IF('쪽쟘(실측)'!F93&gt;0,'쪽쟘(실측)'!F93+1.5,0)</f>
        <v>18.5</v>
      </c>
      <c r="L93" s="50">
        <f>IF('쪽쟘(실측)'!G93&gt;0,'쪽쟘(실측)'!G93+1.5,0)</f>
        <v>18.5</v>
      </c>
      <c r="M93" s="50">
        <f>IF('쪽쟘(실측)'!H93&gt;0,'쪽쟘(실측)'!H93+1.5,0)</f>
        <v>20.5</v>
      </c>
      <c r="N93" s="50">
        <f>IF('쪽쟘(실측)'!I93&gt;0,'쪽쟘(실측)'!I93+1.5,0)</f>
        <v>20.5</v>
      </c>
      <c r="O93" s="50" t="e">
        <f>'쪽쟘(실측)'!J93-기둥차감</f>
        <v>#NAME?</v>
      </c>
      <c r="P93" s="50" t="e">
        <f>'쪽쟘(실측)'!K93-기둥차감</f>
        <v>#NAME?</v>
      </c>
      <c r="Q93" s="50" t="e">
        <f>'쪽쟘(실측)'!L93-기둥차감</f>
        <v>#NAME?</v>
      </c>
      <c r="R93" s="50" t="e">
        <f>'쪽쟘(실측)'!M93-기둥차감</f>
        <v>#NAME?</v>
      </c>
      <c r="S93" s="50">
        <f>'쪽쟘(실측)'!N93+1.2</f>
        <v>22.2</v>
      </c>
      <c r="T93" s="50">
        <f>'쪽쟘(실측)'!O93+1.2</f>
        <v>22.2</v>
      </c>
      <c r="U93" s="50">
        <f>'쪽쟘(실측)'!P93</f>
        <v>16</v>
      </c>
      <c r="V93" s="50">
        <f>'쪽쟘(실측)'!Q93</f>
        <v>25</v>
      </c>
      <c r="W93" s="50" t="e">
        <f>'쪽쟘(실측)'!R93-늘치차감</f>
        <v>#NAME?</v>
      </c>
      <c r="X93" s="50" t="e">
        <f>'쪽쟘(실측)'!S93-늘치차감</f>
        <v>#NAME?</v>
      </c>
      <c r="Z93">
        <f>쪽쟘제작!AC93</f>
        <v>927</v>
      </c>
      <c r="AA93">
        <f>쪽쟘제작!AD93</f>
        <v>117.2</v>
      </c>
      <c r="AB93">
        <f>쪽쟘제작!AE93</f>
        <v>120</v>
      </c>
      <c r="AC93">
        <f>쪽쟘제작!AF93</f>
        <v>2092</v>
      </c>
      <c r="AD93">
        <f>쪽쟘제작!AG93</f>
        <v>122</v>
      </c>
      <c r="AE93">
        <f>쪽쟘제작!AH93</f>
        <v>2092</v>
      </c>
    </row>
    <row r="94" spans="1:31" ht="18.75" customHeight="1" x14ac:dyDescent="0.3">
      <c r="A94" s="50" t="str">
        <f>'쪽쟘(실측)'!A94</f>
        <v>111   / 1</v>
      </c>
      <c r="B94" s="50" t="str">
        <f>'쪽쟘(실측)'!B94&amp;"F"</f>
        <v>13F</v>
      </c>
      <c r="C94" s="50" t="str">
        <f t="shared" si="1"/>
        <v>931*118.2</v>
      </c>
      <c r="D94" s="50" t="e">
        <f>'쪽쟘(실측)'!C94-OP차감</f>
        <v>#NAME?</v>
      </c>
      <c r="E94" s="50" t="e">
        <f>'쪽쟘(실측)'!D94+쪽쟘J늘림+MAX(W94:X94)</f>
        <v>#VALUE!</v>
      </c>
      <c r="F94" s="50" t="e">
        <f>'쪽쟘(실측)'!E94+쪽쟘J늘림+MAX(W94:X94)</f>
        <v>#VALUE!</v>
      </c>
      <c r="G94" s="67" t="str">
        <f>IF(OR(쪽쟘제작!K94&lt;&gt;쪽쟘제작!L94,쪽쟘제작!O94&lt;&gt;쪽쟘제작!P94),"",AC94&amp;"*"&amp;AB94)</f>
        <v>2092*121</v>
      </c>
      <c r="H94" s="68" t="str">
        <f>IF(OR(쪽쟘제작!N94&lt;&gt;쪽쟘제작!M94,쪽쟘제작!Q94&lt;&gt;쪽쟘제작!R94),"",AE94&amp;"*"&amp;AD94)</f>
        <v>2092*125</v>
      </c>
      <c r="I94" s="70">
        <f>IF('쪽쟘(실측)'!F94&gt;0,'쪽쟘(실측)'!F94+0.5,0)</f>
        <v>18.5</v>
      </c>
      <c r="J94" s="50">
        <f>IF('쪽쟘(실측)'!H94&gt;0,'쪽쟘(실측)'!H94+0.5,0)</f>
        <v>22.5</v>
      </c>
      <c r="K94" s="50">
        <f>IF('쪽쟘(실측)'!F94&gt;0,'쪽쟘(실측)'!F94+1.5,0)</f>
        <v>19.5</v>
      </c>
      <c r="L94" s="50">
        <f>IF('쪽쟘(실측)'!G94&gt;0,'쪽쟘(실측)'!G94+1.5,0)</f>
        <v>19.5</v>
      </c>
      <c r="M94" s="50">
        <f>IF('쪽쟘(실측)'!H94&gt;0,'쪽쟘(실측)'!H94+1.5,0)</f>
        <v>23.5</v>
      </c>
      <c r="N94" s="50">
        <f>IF('쪽쟘(실측)'!I94&gt;0,'쪽쟘(실측)'!I94+1.5,0)</f>
        <v>23.5</v>
      </c>
      <c r="O94" s="50" t="e">
        <f>'쪽쟘(실측)'!J94-기둥차감</f>
        <v>#NAME?</v>
      </c>
      <c r="P94" s="50" t="e">
        <f>'쪽쟘(실측)'!K94-기둥차감</f>
        <v>#NAME?</v>
      </c>
      <c r="Q94" s="50" t="e">
        <f>'쪽쟘(실측)'!L94-기둥차감</f>
        <v>#NAME?</v>
      </c>
      <c r="R94" s="50" t="e">
        <f>'쪽쟘(실측)'!M94-기둥차감</f>
        <v>#NAME?</v>
      </c>
      <c r="S94" s="50">
        <f>'쪽쟘(실측)'!N94+1.2</f>
        <v>23.2</v>
      </c>
      <c r="T94" s="50">
        <f>'쪽쟘(실측)'!O94+1.2</f>
        <v>23.2</v>
      </c>
      <c r="U94" s="50">
        <f>'쪽쟘(실측)'!P94</f>
        <v>16</v>
      </c>
      <c r="V94" s="50">
        <f>'쪽쟘(실측)'!Q94</f>
        <v>25</v>
      </c>
      <c r="W94" s="50" t="e">
        <f>'쪽쟘(실측)'!R94-늘치차감</f>
        <v>#NAME?</v>
      </c>
      <c r="X94" s="50" t="e">
        <f>'쪽쟘(실측)'!S94-늘치차감</f>
        <v>#NAME?</v>
      </c>
      <c r="Z94">
        <f>쪽쟘제작!AC94</f>
        <v>931</v>
      </c>
      <c r="AA94">
        <f>쪽쟘제작!AD94</f>
        <v>118.2</v>
      </c>
      <c r="AB94">
        <f>쪽쟘제작!AE94</f>
        <v>121</v>
      </c>
      <c r="AC94">
        <f>쪽쟘제작!AF94</f>
        <v>2092</v>
      </c>
      <c r="AD94">
        <f>쪽쟘제작!AG94</f>
        <v>125.00000000000001</v>
      </c>
      <c r="AE94">
        <f>쪽쟘제작!AH94</f>
        <v>2092</v>
      </c>
    </row>
    <row r="95" spans="1:31" ht="18.75" customHeight="1" x14ac:dyDescent="0.3">
      <c r="A95" s="50" t="str">
        <f>'쪽쟘(실측)'!A95</f>
        <v>111   / 1</v>
      </c>
      <c r="B95" s="50" t="str">
        <f>'쪽쟘(실측)'!B95&amp;"F"</f>
        <v>12F</v>
      </c>
      <c r="C95" s="50" t="str">
        <f t="shared" si="1"/>
        <v>926*109.2</v>
      </c>
      <c r="D95" s="50" t="e">
        <f>'쪽쟘(실측)'!C95-OP차감</f>
        <v>#NAME?</v>
      </c>
      <c r="E95" s="50" t="e">
        <f>'쪽쟘(실측)'!D95+쪽쟘J늘림+MAX(W95:X95)</f>
        <v>#VALUE!</v>
      </c>
      <c r="F95" s="50" t="e">
        <f>'쪽쟘(실측)'!E95+쪽쟘J늘림+MAX(W95:X95)</f>
        <v>#VALUE!</v>
      </c>
      <c r="G95" s="67" t="str">
        <f>IF(OR(쪽쟘제작!K95&lt;&gt;쪽쟘제작!L95,쪽쟘제작!O95&lt;&gt;쪽쟘제작!P95),"",AC95&amp;"*"&amp;AB95)</f>
        <v>2092*119</v>
      </c>
      <c r="H95" s="68" t="str">
        <f>IF(OR(쪽쟘제작!N95&lt;&gt;쪽쟘제작!M95,쪽쟘제작!Q95&lt;&gt;쪽쟘제작!R95),"",AE95&amp;"*"&amp;AD95)</f>
        <v>2092*121</v>
      </c>
      <c r="I95" s="70">
        <f>IF('쪽쟘(실측)'!F95&gt;0,'쪽쟘(실측)'!F95+0.5,0)</f>
        <v>16.5</v>
      </c>
      <c r="J95" s="50">
        <f>IF('쪽쟘(실측)'!H95&gt;0,'쪽쟘(실측)'!H95+0.5,0)</f>
        <v>18.5</v>
      </c>
      <c r="K95" s="50">
        <f>IF('쪽쟘(실측)'!F95&gt;0,'쪽쟘(실측)'!F95+1.5,0)</f>
        <v>17.5</v>
      </c>
      <c r="L95" s="50">
        <f>IF('쪽쟘(실측)'!G95&gt;0,'쪽쟘(실측)'!G95+1.5,0)</f>
        <v>17.5</v>
      </c>
      <c r="M95" s="50">
        <f>IF('쪽쟘(실측)'!H95&gt;0,'쪽쟘(실측)'!H95+1.5,0)</f>
        <v>19.5</v>
      </c>
      <c r="N95" s="50">
        <f>IF('쪽쟘(실측)'!I95&gt;0,'쪽쟘(실측)'!I95+1.5,0)</f>
        <v>19.5</v>
      </c>
      <c r="O95" s="50" t="e">
        <f>'쪽쟘(실측)'!J95-기둥차감</f>
        <v>#NAME?</v>
      </c>
      <c r="P95" s="50" t="e">
        <f>'쪽쟘(실측)'!K95-기둥차감</f>
        <v>#NAME?</v>
      </c>
      <c r="Q95" s="50" t="e">
        <f>'쪽쟘(실측)'!L95-기둥차감</f>
        <v>#NAME?</v>
      </c>
      <c r="R95" s="50" t="e">
        <f>'쪽쟘(실측)'!M95-기둥차감</f>
        <v>#NAME?</v>
      </c>
      <c r="S95" s="50">
        <f>'쪽쟘(실측)'!N95+1.2</f>
        <v>14.2</v>
      </c>
      <c r="T95" s="50">
        <f>'쪽쟘(실측)'!O95+1.2</f>
        <v>14.2</v>
      </c>
      <c r="U95" s="50">
        <f>'쪽쟘(실측)'!P95</f>
        <v>16</v>
      </c>
      <c r="V95" s="50">
        <f>'쪽쟘(실측)'!Q95</f>
        <v>25</v>
      </c>
      <c r="W95" s="50" t="e">
        <f>'쪽쟘(실측)'!R95-늘치차감</f>
        <v>#NAME?</v>
      </c>
      <c r="X95" s="50" t="e">
        <f>'쪽쟘(실측)'!S95-늘치차감</f>
        <v>#NAME?</v>
      </c>
      <c r="Z95">
        <f>쪽쟘제작!AC95</f>
        <v>926</v>
      </c>
      <c r="AA95">
        <f>쪽쟘제작!AD95</f>
        <v>109.2</v>
      </c>
      <c r="AB95">
        <f>쪽쟘제작!AE95</f>
        <v>119</v>
      </c>
      <c r="AC95">
        <f>쪽쟘제작!AF95</f>
        <v>2092</v>
      </c>
      <c r="AD95">
        <f>쪽쟘제작!AG95</f>
        <v>121</v>
      </c>
      <c r="AE95">
        <f>쪽쟘제작!AH95</f>
        <v>2092</v>
      </c>
    </row>
    <row r="96" spans="1:31" ht="18.75" customHeight="1" x14ac:dyDescent="0.3">
      <c r="A96" s="50" t="str">
        <f>'쪽쟘(실측)'!A96</f>
        <v>111   / 1</v>
      </c>
      <c r="B96" s="50" t="str">
        <f>'쪽쟘(실측)'!B96&amp;"F"</f>
        <v>11F</v>
      </c>
      <c r="C96" s="50" t="str">
        <f t="shared" si="1"/>
        <v>937*119.2</v>
      </c>
      <c r="D96" s="50" t="e">
        <f>'쪽쟘(실측)'!C96-OP차감</f>
        <v>#NAME?</v>
      </c>
      <c r="E96" s="50" t="e">
        <f>'쪽쟘(실측)'!D96+쪽쟘J늘림+MAX(W96:X96)</f>
        <v>#VALUE!</v>
      </c>
      <c r="F96" s="50" t="e">
        <f>'쪽쟘(실측)'!E96+쪽쟘J늘림+MAX(W96:X96)</f>
        <v>#VALUE!</v>
      </c>
      <c r="G96" s="67" t="str">
        <f>IF(OR(쪽쟘제작!K96&lt;&gt;쪽쟘제작!L96,쪽쟘제작!O96&lt;&gt;쪽쟘제작!P96),"",AC96&amp;"*"&amp;AB96)</f>
        <v>2092*126</v>
      </c>
      <c r="H96" s="68" t="str">
        <f>IF(OR(쪽쟘제작!N96&lt;&gt;쪽쟘제작!M96,쪽쟘제작!Q96&lt;&gt;쪽쟘제작!R96),"",AE96&amp;"*"&amp;AD96)</f>
        <v>2089*125</v>
      </c>
      <c r="I96" s="70">
        <f>IF('쪽쟘(실측)'!F96&gt;0,'쪽쟘(실측)'!F96+0.5,0)</f>
        <v>23.5</v>
      </c>
      <c r="J96" s="50">
        <f>IF('쪽쟘(실측)'!H96&gt;0,'쪽쟘(실측)'!H96+0.5,0)</f>
        <v>22.5</v>
      </c>
      <c r="K96" s="50">
        <f>IF('쪽쟘(실측)'!F96&gt;0,'쪽쟘(실측)'!F96+1.5,0)</f>
        <v>24.5</v>
      </c>
      <c r="L96" s="50">
        <f>IF('쪽쟘(실측)'!G96&gt;0,'쪽쟘(실측)'!G96+1.5,0)</f>
        <v>24.5</v>
      </c>
      <c r="M96" s="50">
        <f>IF('쪽쟘(실측)'!H96&gt;0,'쪽쟘(실측)'!H96+1.5,0)</f>
        <v>23.5</v>
      </c>
      <c r="N96" s="50">
        <f>IF('쪽쟘(실측)'!I96&gt;0,'쪽쟘(실측)'!I96+1.5,0)</f>
        <v>23.5</v>
      </c>
      <c r="O96" s="50" t="e">
        <f>'쪽쟘(실측)'!J96-기둥차감</f>
        <v>#NAME?</v>
      </c>
      <c r="P96" s="50" t="e">
        <f>'쪽쟘(실측)'!K96-기둥차감</f>
        <v>#NAME?</v>
      </c>
      <c r="Q96" s="50" t="e">
        <f>'쪽쟘(실측)'!L96-기둥차감</f>
        <v>#NAME?</v>
      </c>
      <c r="R96" s="50" t="e">
        <f>'쪽쟘(실측)'!M96-기둥차감</f>
        <v>#NAME?</v>
      </c>
      <c r="S96" s="50">
        <f>'쪽쟘(실측)'!N96+1.2</f>
        <v>24.2</v>
      </c>
      <c r="T96" s="50">
        <f>'쪽쟘(실측)'!O96+1.2</f>
        <v>24.2</v>
      </c>
      <c r="U96" s="50">
        <f>'쪽쟘(실측)'!P96</f>
        <v>16</v>
      </c>
      <c r="V96" s="50">
        <f>'쪽쟘(실측)'!Q96</f>
        <v>25</v>
      </c>
      <c r="W96" s="50" t="e">
        <f>'쪽쟘(실측)'!R96-늘치차감</f>
        <v>#NAME?</v>
      </c>
      <c r="X96" s="50" t="e">
        <f>'쪽쟘(실측)'!S96-늘치차감</f>
        <v>#NAME?</v>
      </c>
      <c r="Z96">
        <f>쪽쟘제작!AC96</f>
        <v>937</v>
      </c>
      <c r="AA96">
        <f>쪽쟘제작!AD96</f>
        <v>119.2</v>
      </c>
      <c r="AB96">
        <f>쪽쟘제작!AE96</f>
        <v>126.00000000000001</v>
      </c>
      <c r="AC96">
        <f>쪽쟘제작!AF96</f>
        <v>2092</v>
      </c>
      <c r="AD96">
        <f>쪽쟘제작!AG96</f>
        <v>125.00000000000001</v>
      </c>
      <c r="AE96">
        <f>쪽쟘제작!AH96</f>
        <v>2089</v>
      </c>
    </row>
    <row r="97" spans="1:31" ht="18.75" customHeight="1" x14ac:dyDescent="0.3">
      <c r="A97" s="50" t="str">
        <f>'쪽쟘(실측)'!A97</f>
        <v>111   / 1</v>
      </c>
      <c r="B97" s="50" t="str">
        <f>'쪽쟘(실측)'!B97&amp;"F"</f>
        <v>10F</v>
      </c>
      <c r="C97" s="50" t="str">
        <f t="shared" si="1"/>
        <v>931*118.2</v>
      </c>
      <c r="D97" s="50" t="e">
        <f>'쪽쟘(실측)'!C97-OP차감</f>
        <v>#NAME?</v>
      </c>
      <c r="E97" s="50" t="e">
        <f>'쪽쟘(실측)'!D97+쪽쟘J늘림+MAX(W97:X97)</f>
        <v>#VALUE!</v>
      </c>
      <c r="F97" s="50" t="e">
        <f>'쪽쟘(실측)'!E97+쪽쟘J늘림+MAX(W97:X97)</f>
        <v>#VALUE!</v>
      </c>
      <c r="G97" s="67" t="str">
        <f>IF(OR(쪽쟘제작!K97&lt;&gt;쪽쟘제작!L97,쪽쟘제작!O97&lt;&gt;쪽쟘제작!P97),"",AC97&amp;"*"&amp;AB97)</f>
        <v>2092*121</v>
      </c>
      <c r="H97" s="68" t="str">
        <f>IF(OR(쪽쟘제작!N97&lt;&gt;쪽쟘제작!M97,쪽쟘제작!Q97&lt;&gt;쪽쟘제작!R97),"",AE97&amp;"*"&amp;AD97)</f>
        <v>2092*124</v>
      </c>
      <c r="I97" s="70">
        <f>IF('쪽쟘(실측)'!F97&gt;0,'쪽쟘(실측)'!F97+0.5,0)</f>
        <v>18.5</v>
      </c>
      <c r="J97" s="50">
        <f>IF('쪽쟘(실측)'!H97&gt;0,'쪽쟘(실측)'!H97+0.5,0)</f>
        <v>21.5</v>
      </c>
      <c r="K97" s="50">
        <f>IF('쪽쟘(실측)'!F97&gt;0,'쪽쟘(실측)'!F97+1.5,0)</f>
        <v>19.5</v>
      </c>
      <c r="L97" s="50">
        <f>IF('쪽쟘(실측)'!G97&gt;0,'쪽쟘(실측)'!G97+1.5,0)</f>
        <v>19.5</v>
      </c>
      <c r="M97" s="50">
        <f>IF('쪽쟘(실측)'!H97&gt;0,'쪽쟘(실측)'!H97+1.5,0)</f>
        <v>22.5</v>
      </c>
      <c r="N97" s="50">
        <f>IF('쪽쟘(실측)'!I97&gt;0,'쪽쟘(실측)'!I97+1.5,0)</f>
        <v>22.5</v>
      </c>
      <c r="O97" s="50" t="e">
        <f>'쪽쟘(실측)'!J97-기둥차감</f>
        <v>#NAME?</v>
      </c>
      <c r="P97" s="50" t="e">
        <f>'쪽쟘(실측)'!K97-기둥차감</f>
        <v>#NAME?</v>
      </c>
      <c r="Q97" s="50" t="e">
        <f>'쪽쟘(실측)'!L97-기둥차감</f>
        <v>#NAME?</v>
      </c>
      <c r="R97" s="50" t="e">
        <f>'쪽쟘(실측)'!M97-기둥차감</f>
        <v>#NAME?</v>
      </c>
      <c r="S97" s="50">
        <f>'쪽쟘(실측)'!N97+1.2</f>
        <v>23.2</v>
      </c>
      <c r="T97" s="50">
        <f>'쪽쟘(실측)'!O97+1.2</f>
        <v>23.2</v>
      </c>
      <c r="U97" s="50">
        <f>'쪽쟘(실측)'!P97</f>
        <v>16</v>
      </c>
      <c r="V97" s="50">
        <f>'쪽쟘(실측)'!Q97</f>
        <v>25</v>
      </c>
      <c r="W97" s="50" t="e">
        <f>'쪽쟘(실측)'!R97-늘치차감</f>
        <v>#NAME?</v>
      </c>
      <c r="X97" s="50" t="e">
        <f>'쪽쟘(실측)'!S97-늘치차감</f>
        <v>#NAME?</v>
      </c>
      <c r="Z97">
        <f>쪽쟘제작!AC97</f>
        <v>931</v>
      </c>
      <c r="AA97">
        <f>쪽쟘제작!AD97</f>
        <v>118.2</v>
      </c>
      <c r="AB97">
        <f>쪽쟘제작!AE97</f>
        <v>121</v>
      </c>
      <c r="AC97">
        <f>쪽쟘제작!AF97</f>
        <v>2092</v>
      </c>
      <c r="AD97">
        <f>쪽쟘제작!AG97</f>
        <v>124.00000000000001</v>
      </c>
      <c r="AE97">
        <f>쪽쟘제작!AH97</f>
        <v>2092</v>
      </c>
    </row>
    <row r="98" spans="1:31" ht="18.75" customHeight="1" x14ac:dyDescent="0.3">
      <c r="A98" s="50" t="str">
        <f>'쪽쟘(실측)'!A98</f>
        <v>111   / 1</v>
      </c>
      <c r="B98" s="50" t="str">
        <f>'쪽쟘(실측)'!B98&amp;"F"</f>
        <v>9F</v>
      </c>
      <c r="C98" s="50" t="str">
        <f t="shared" si="1"/>
        <v>926*119.2</v>
      </c>
      <c r="D98" s="50" t="e">
        <f>'쪽쟘(실측)'!C98-OP차감</f>
        <v>#NAME?</v>
      </c>
      <c r="E98" s="50" t="e">
        <f>'쪽쟘(실측)'!D98+쪽쟘J늘림+MAX(W98:X98)</f>
        <v>#VALUE!</v>
      </c>
      <c r="F98" s="50" t="e">
        <f>'쪽쟘(실측)'!E98+쪽쟘J늘림+MAX(W98:X98)</f>
        <v>#VALUE!</v>
      </c>
      <c r="G98" s="67" t="str">
        <f>IF(OR(쪽쟘제작!K98&lt;&gt;쪽쟘제작!L98,쪽쟘제작!O98&lt;&gt;쪽쟘제작!P98),"",AC98&amp;"*"&amp;AB98)</f>
        <v>2092*121</v>
      </c>
      <c r="H98" s="68" t="str">
        <f>IF(OR(쪽쟘제작!N98&lt;&gt;쪽쟘제작!M98,쪽쟘제작!Q98&lt;&gt;쪽쟘제작!R98),"",AE98&amp;"*"&amp;AD98)</f>
        <v>2092*120</v>
      </c>
      <c r="I98" s="70">
        <f>IF('쪽쟘(실측)'!F98&gt;0,'쪽쟘(실측)'!F98+0.5,0)</f>
        <v>18.5</v>
      </c>
      <c r="J98" s="50">
        <f>IF('쪽쟘(실측)'!H98&gt;0,'쪽쟘(실측)'!H98+0.5,0)</f>
        <v>17.5</v>
      </c>
      <c r="K98" s="50">
        <f>IF('쪽쟘(실측)'!F98&gt;0,'쪽쟘(실측)'!F98+1.5,0)</f>
        <v>19.5</v>
      </c>
      <c r="L98" s="50">
        <f>IF('쪽쟘(실측)'!G98&gt;0,'쪽쟘(실측)'!G98+1.5,0)</f>
        <v>19.5</v>
      </c>
      <c r="M98" s="50">
        <f>IF('쪽쟘(실측)'!H98&gt;0,'쪽쟘(실측)'!H98+1.5,0)</f>
        <v>18.5</v>
      </c>
      <c r="N98" s="50">
        <f>IF('쪽쟘(실측)'!I98&gt;0,'쪽쟘(실측)'!I98+1.5,0)</f>
        <v>18.5</v>
      </c>
      <c r="O98" s="50" t="e">
        <f>'쪽쟘(실측)'!J98-기둥차감</f>
        <v>#NAME?</v>
      </c>
      <c r="P98" s="50" t="e">
        <f>'쪽쟘(실측)'!K98-기둥차감</f>
        <v>#NAME?</v>
      </c>
      <c r="Q98" s="50" t="e">
        <f>'쪽쟘(실측)'!L98-기둥차감</f>
        <v>#NAME?</v>
      </c>
      <c r="R98" s="50" t="e">
        <f>'쪽쟘(실측)'!M98-기둥차감</f>
        <v>#NAME?</v>
      </c>
      <c r="S98" s="50">
        <f>'쪽쟘(실측)'!N98+1.2</f>
        <v>24.2</v>
      </c>
      <c r="T98" s="50">
        <f>'쪽쟘(실측)'!O98+1.2</f>
        <v>24.2</v>
      </c>
      <c r="U98" s="50">
        <f>'쪽쟘(실측)'!P98</f>
        <v>16</v>
      </c>
      <c r="V98" s="50">
        <f>'쪽쟘(실측)'!Q98</f>
        <v>25</v>
      </c>
      <c r="W98" s="50" t="e">
        <f>'쪽쟘(실측)'!R98-늘치차감</f>
        <v>#NAME?</v>
      </c>
      <c r="X98" s="50" t="e">
        <f>'쪽쟘(실측)'!S98-늘치차감</f>
        <v>#NAME?</v>
      </c>
      <c r="Z98">
        <f>쪽쟘제작!AC98</f>
        <v>926</v>
      </c>
      <c r="AA98">
        <f>쪽쟘제작!AD98</f>
        <v>119.2</v>
      </c>
      <c r="AB98">
        <f>쪽쟘제작!AE98</f>
        <v>121</v>
      </c>
      <c r="AC98">
        <f>쪽쟘제작!AF98</f>
        <v>2092</v>
      </c>
      <c r="AD98">
        <f>쪽쟘제작!AG98</f>
        <v>120</v>
      </c>
      <c r="AE98">
        <f>쪽쟘제작!AH98</f>
        <v>2092</v>
      </c>
    </row>
    <row r="99" spans="1:31" ht="18.75" customHeight="1" x14ac:dyDescent="0.3">
      <c r="A99" s="50" t="str">
        <f>'쪽쟘(실측)'!A99</f>
        <v>111   / 1</v>
      </c>
      <c r="B99" s="50" t="str">
        <f>'쪽쟘(실측)'!B99&amp;"F"</f>
        <v>8F</v>
      </c>
      <c r="C99" s="50" t="str">
        <f t="shared" si="1"/>
        <v>932*113.2</v>
      </c>
      <c r="D99" s="50" t="e">
        <f>'쪽쟘(실측)'!C99-OP차감</f>
        <v>#NAME?</v>
      </c>
      <c r="E99" s="50" t="e">
        <f>'쪽쟘(실측)'!D99+쪽쟘J늘림+MAX(W99:X99)</f>
        <v>#VALUE!</v>
      </c>
      <c r="F99" s="50" t="e">
        <f>'쪽쟘(실측)'!E99+쪽쟘J늘림+MAX(W99:X99)</f>
        <v>#VALUE!</v>
      </c>
      <c r="G99" s="67" t="str">
        <f>IF(OR(쪽쟘제작!K99&lt;&gt;쪽쟘제작!L99,쪽쟘제작!O99&lt;&gt;쪽쟘제작!P99),"",AC99&amp;"*"&amp;AB99)</f>
        <v>2092*124</v>
      </c>
      <c r="H99" s="68" t="str">
        <f>IF(OR(쪽쟘제작!N99&lt;&gt;쪽쟘제작!M99,쪽쟘제작!Q99&lt;&gt;쪽쟘제작!R99),"",AE99&amp;"*"&amp;AD99)</f>
        <v>2092*123</v>
      </c>
      <c r="I99" s="70">
        <f>IF('쪽쟘(실측)'!F99&gt;0,'쪽쟘(실측)'!F99+0.5,0)</f>
        <v>21.5</v>
      </c>
      <c r="J99" s="50">
        <f>IF('쪽쟘(실측)'!H99&gt;0,'쪽쟘(실측)'!H99+0.5,0)</f>
        <v>20.5</v>
      </c>
      <c r="K99" s="50">
        <f>IF('쪽쟘(실측)'!F99&gt;0,'쪽쟘(실측)'!F99+1.5,0)</f>
        <v>22.5</v>
      </c>
      <c r="L99" s="50">
        <f>IF('쪽쟘(실측)'!G99&gt;0,'쪽쟘(실측)'!G99+1.5,0)</f>
        <v>22.5</v>
      </c>
      <c r="M99" s="50">
        <f>IF('쪽쟘(실측)'!H99&gt;0,'쪽쟘(실측)'!H99+1.5,0)</f>
        <v>21.5</v>
      </c>
      <c r="N99" s="50">
        <f>IF('쪽쟘(실측)'!I99&gt;0,'쪽쟘(실측)'!I99+1.5,0)</f>
        <v>21.5</v>
      </c>
      <c r="O99" s="50" t="e">
        <f>'쪽쟘(실측)'!J99-기둥차감</f>
        <v>#NAME?</v>
      </c>
      <c r="P99" s="50" t="e">
        <f>'쪽쟘(실측)'!K99-기둥차감</f>
        <v>#NAME?</v>
      </c>
      <c r="Q99" s="50" t="e">
        <f>'쪽쟘(실측)'!L99-기둥차감</f>
        <v>#NAME?</v>
      </c>
      <c r="R99" s="50" t="e">
        <f>'쪽쟘(실측)'!M99-기둥차감</f>
        <v>#NAME?</v>
      </c>
      <c r="S99" s="50">
        <f>'쪽쟘(실측)'!N99+1.2</f>
        <v>18.2</v>
      </c>
      <c r="T99" s="50">
        <f>'쪽쟘(실측)'!O99+1.2</f>
        <v>18.2</v>
      </c>
      <c r="U99" s="50">
        <f>'쪽쟘(실측)'!P99</f>
        <v>16</v>
      </c>
      <c r="V99" s="50">
        <f>'쪽쟘(실측)'!Q99</f>
        <v>25</v>
      </c>
      <c r="W99" s="50" t="e">
        <f>'쪽쟘(실측)'!R99-늘치차감</f>
        <v>#NAME?</v>
      </c>
      <c r="X99" s="50" t="e">
        <f>'쪽쟘(실측)'!S99-늘치차감</f>
        <v>#NAME?</v>
      </c>
      <c r="Z99">
        <f>쪽쟘제작!AC99</f>
        <v>932</v>
      </c>
      <c r="AA99">
        <f>쪽쟘제작!AD99</f>
        <v>113.2</v>
      </c>
      <c r="AB99">
        <f>쪽쟘제작!AE99</f>
        <v>124.00000000000001</v>
      </c>
      <c r="AC99">
        <f>쪽쟘제작!AF99</f>
        <v>2092</v>
      </c>
      <c r="AD99">
        <f>쪽쟘제작!AG99</f>
        <v>123</v>
      </c>
      <c r="AE99">
        <f>쪽쟘제작!AH99</f>
        <v>2092</v>
      </c>
    </row>
    <row r="100" spans="1:31" ht="18.75" customHeight="1" x14ac:dyDescent="0.3">
      <c r="A100" s="50" t="str">
        <f>'쪽쟘(실측)'!A100</f>
        <v>111   / 1</v>
      </c>
      <c r="B100" s="50" t="str">
        <f>'쪽쟘(실측)'!B100&amp;"F"</f>
        <v>7F</v>
      </c>
      <c r="C100" s="50" t="str">
        <f t="shared" si="1"/>
        <v>934*118.2</v>
      </c>
      <c r="D100" s="50" t="e">
        <f>'쪽쟘(실측)'!C100-OP차감</f>
        <v>#NAME?</v>
      </c>
      <c r="E100" s="50" t="e">
        <f>'쪽쟘(실측)'!D100+쪽쟘J늘림+MAX(W100:X100)</f>
        <v>#VALUE!</v>
      </c>
      <c r="F100" s="50" t="e">
        <f>'쪽쟘(실측)'!E100+쪽쟘J늘림+MAX(W100:X100)</f>
        <v>#VALUE!</v>
      </c>
      <c r="G100" s="67" t="str">
        <f>IF(OR(쪽쟘제작!K100&lt;&gt;쪽쟘제작!L100,쪽쟘제작!O100&lt;&gt;쪽쟘제작!P100),"",AC100&amp;"*"&amp;AB100)</f>
        <v>2092*124</v>
      </c>
      <c r="H100" s="68" t="str">
        <f>IF(OR(쪽쟘제작!N100&lt;&gt;쪽쟘제작!M100,쪽쟘제작!Q100&lt;&gt;쪽쟘제작!R100),"",AE100&amp;"*"&amp;AD100)</f>
        <v>2092*124</v>
      </c>
      <c r="I100" s="70">
        <f>IF('쪽쟘(실측)'!F100&gt;0,'쪽쟘(실측)'!F100+0.5,0)</f>
        <v>21.5</v>
      </c>
      <c r="J100" s="50">
        <f>IF('쪽쟘(실측)'!H100&gt;0,'쪽쟘(실측)'!H100+0.5,0)</f>
        <v>21.5</v>
      </c>
      <c r="K100" s="50">
        <f>IF('쪽쟘(실측)'!F100&gt;0,'쪽쟘(실측)'!F100+1.5,0)</f>
        <v>22.5</v>
      </c>
      <c r="L100" s="50">
        <f>IF('쪽쟘(실측)'!G100&gt;0,'쪽쟘(실측)'!G100+1.5,0)</f>
        <v>22.5</v>
      </c>
      <c r="M100" s="50">
        <f>IF('쪽쟘(실측)'!H100&gt;0,'쪽쟘(실측)'!H100+1.5,0)</f>
        <v>22.5</v>
      </c>
      <c r="N100" s="50">
        <f>IF('쪽쟘(실측)'!I100&gt;0,'쪽쟘(실측)'!I100+1.5,0)</f>
        <v>22.5</v>
      </c>
      <c r="O100" s="50" t="e">
        <f>'쪽쟘(실측)'!J100-기둥차감</f>
        <v>#NAME?</v>
      </c>
      <c r="P100" s="50" t="e">
        <f>'쪽쟘(실측)'!K100-기둥차감</f>
        <v>#NAME?</v>
      </c>
      <c r="Q100" s="50" t="e">
        <f>'쪽쟘(실측)'!L100-기둥차감</f>
        <v>#NAME?</v>
      </c>
      <c r="R100" s="50" t="e">
        <f>'쪽쟘(실측)'!M100-기둥차감</f>
        <v>#NAME?</v>
      </c>
      <c r="S100" s="50">
        <f>'쪽쟘(실측)'!N100+1.2</f>
        <v>23.2</v>
      </c>
      <c r="T100" s="50">
        <f>'쪽쟘(실측)'!O100+1.2</f>
        <v>23.2</v>
      </c>
      <c r="U100" s="50">
        <f>'쪽쟘(실측)'!P100</f>
        <v>16</v>
      </c>
      <c r="V100" s="50">
        <f>'쪽쟘(실측)'!Q100</f>
        <v>25</v>
      </c>
      <c r="W100" s="50" t="e">
        <f>'쪽쟘(실측)'!R100-늘치차감</f>
        <v>#NAME?</v>
      </c>
      <c r="X100" s="50" t="e">
        <f>'쪽쟘(실측)'!S100-늘치차감</f>
        <v>#NAME?</v>
      </c>
      <c r="Z100">
        <f>쪽쟘제작!AC100</f>
        <v>934</v>
      </c>
      <c r="AA100">
        <f>쪽쟘제작!AD100</f>
        <v>118.2</v>
      </c>
      <c r="AB100">
        <f>쪽쟘제작!AE100</f>
        <v>124.00000000000001</v>
      </c>
      <c r="AC100">
        <f>쪽쟘제작!AF100</f>
        <v>2092</v>
      </c>
      <c r="AD100">
        <f>쪽쟘제작!AG100</f>
        <v>124.00000000000001</v>
      </c>
      <c r="AE100">
        <f>쪽쟘제작!AH100</f>
        <v>2092</v>
      </c>
    </row>
    <row r="101" spans="1:31" ht="18.75" customHeight="1" x14ac:dyDescent="0.3">
      <c r="A101" s="50" t="str">
        <f>'쪽쟘(실측)'!A101</f>
        <v>111   / 1</v>
      </c>
      <c r="B101" s="50" t="str">
        <f>'쪽쟘(실측)'!B101&amp;"F"</f>
        <v>6F</v>
      </c>
      <c r="C101" s="50" t="str">
        <f t="shared" si="1"/>
        <v>928*109.2</v>
      </c>
      <c r="D101" s="50" t="e">
        <f>'쪽쟘(실측)'!C101-OP차감</f>
        <v>#NAME?</v>
      </c>
      <c r="E101" s="50" t="e">
        <f>'쪽쟘(실측)'!D101+쪽쟘J늘림+MAX(W101:X101)</f>
        <v>#VALUE!</v>
      </c>
      <c r="F101" s="50" t="e">
        <f>'쪽쟘(실측)'!E101+쪽쟘J늘림+MAX(W101:X101)</f>
        <v>#VALUE!</v>
      </c>
      <c r="G101" s="67" t="str">
        <f>IF(OR(쪽쟘제작!K101&lt;&gt;쪽쟘제작!L101,쪽쟘제작!O101&lt;&gt;쪽쟘제작!P101),"",AC101&amp;"*"&amp;AB101)</f>
        <v>2092*120</v>
      </c>
      <c r="H101" s="68" t="str">
        <f>IF(OR(쪽쟘제작!N101&lt;&gt;쪽쟘제작!M101,쪽쟘제작!Q101&lt;&gt;쪽쟘제작!R101),"",AE101&amp;"*"&amp;AD101)</f>
        <v>2090*123</v>
      </c>
      <c r="I101" s="70">
        <f>IF('쪽쟘(실측)'!F101&gt;0,'쪽쟘(실측)'!F101+0.5,0)</f>
        <v>17.5</v>
      </c>
      <c r="J101" s="50">
        <f>IF('쪽쟘(실측)'!H101&gt;0,'쪽쟘(실측)'!H101+0.5,0)</f>
        <v>20.5</v>
      </c>
      <c r="K101" s="50">
        <f>IF('쪽쟘(실측)'!F101&gt;0,'쪽쟘(실측)'!F101+1.5,0)</f>
        <v>18.5</v>
      </c>
      <c r="L101" s="50">
        <f>IF('쪽쟘(실측)'!G101&gt;0,'쪽쟘(실측)'!G101+1.5,0)</f>
        <v>18.5</v>
      </c>
      <c r="M101" s="50">
        <f>IF('쪽쟘(실측)'!H101&gt;0,'쪽쟘(실측)'!H101+1.5,0)</f>
        <v>21.5</v>
      </c>
      <c r="N101" s="50">
        <f>IF('쪽쟘(실측)'!I101&gt;0,'쪽쟘(실측)'!I101+1.5,0)</f>
        <v>21.5</v>
      </c>
      <c r="O101" s="50" t="e">
        <f>'쪽쟘(실측)'!J101-기둥차감</f>
        <v>#NAME?</v>
      </c>
      <c r="P101" s="50" t="e">
        <f>'쪽쟘(실측)'!K101-기둥차감</f>
        <v>#NAME?</v>
      </c>
      <c r="Q101" s="50" t="e">
        <f>'쪽쟘(실측)'!L101-기둥차감</f>
        <v>#NAME?</v>
      </c>
      <c r="R101" s="50" t="e">
        <f>'쪽쟘(실측)'!M101-기둥차감</f>
        <v>#NAME?</v>
      </c>
      <c r="S101" s="50">
        <f>'쪽쟘(실측)'!N101+1.2</f>
        <v>14.2</v>
      </c>
      <c r="T101" s="50">
        <f>'쪽쟘(실측)'!O101+1.2</f>
        <v>14.2</v>
      </c>
      <c r="U101" s="50">
        <f>'쪽쟘(실측)'!P101</f>
        <v>16</v>
      </c>
      <c r="V101" s="50">
        <f>'쪽쟘(실측)'!Q101</f>
        <v>25</v>
      </c>
      <c r="W101" s="50" t="e">
        <f>'쪽쟘(실측)'!R101-늘치차감</f>
        <v>#NAME?</v>
      </c>
      <c r="X101" s="50" t="e">
        <f>'쪽쟘(실측)'!S101-늘치차감</f>
        <v>#NAME?</v>
      </c>
      <c r="Z101">
        <f>쪽쟘제작!AC101</f>
        <v>928</v>
      </c>
      <c r="AA101">
        <f>쪽쟘제작!AD101</f>
        <v>109.2</v>
      </c>
      <c r="AB101">
        <f>쪽쟘제작!AE101</f>
        <v>120</v>
      </c>
      <c r="AC101">
        <f>쪽쟘제작!AF101</f>
        <v>2092</v>
      </c>
      <c r="AD101">
        <f>쪽쟘제작!AG101</f>
        <v>123</v>
      </c>
      <c r="AE101">
        <f>쪽쟘제작!AH101</f>
        <v>2090</v>
      </c>
    </row>
    <row r="102" spans="1:31" ht="18.75" customHeight="1" x14ac:dyDescent="0.3">
      <c r="A102" s="50" t="str">
        <f>'쪽쟘(실측)'!A102</f>
        <v>111   / 1</v>
      </c>
      <c r="B102" s="50" t="str">
        <f>'쪽쟘(실측)'!B102&amp;"F"</f>
        <v>5F</v>
      </c>
      <c r="C102" s="50" t="str">
        <f t="shared" si="1"/>
        <v>934*113.2</v>
      </c>
      <c r="D102" s="50" t="e">
        <f>'쪽쟘(실측)'!C102-OP차감</f>
        <v>#NAME?</v>
      </c>
      <c r="E102" s="50" t="e">
        <f>'쪽쟘(실측)'!D102+쪽쟘J늘림+MAX(W102:X102)</f>
        <v>#VALUE!</v>
      </c>
      <c r="F102" s="50" t="e">
        <f>'쪽쟘(실측)'!E102+쪽쟘J늘림+MAX(W102:X102)</f>
        <v>#VALUE!</v>
      </c>
      <c r="G102" s="67" t="str">
        <f>IF(OR(쪽쟘제작!K102&lt;&gt;쪽쟘제작!L102,쪽쟘제작!O102&lt;&gt;쪽쟘제작!P102),"",AC102&amp;"*"&amp;AB102)</f>
        <v>2092*124</v>
      </c>
      <c r="H102" s="68" t="str">
        <f>IF(OR(쪽쟘제작!N102&lt;&gt;쪽쟘제작!M102,쪽쟘제작!Q102&lt;&gt;쪽쟘제작!R102),"",AE102&amp;"*"&amp;AD102)</f>
        <v>2092*124</v>
      </c>
      <c r="I102" s="70">
        <f>IF('쪽쟘(실측)'!F102&gt;0,'쪽쟘(실측)'!F102+0.5,0)</f>
        <v>21.5</v>
      </c>
      <c r="J102" s="50">
        <f>IF('쪽쟘(실측)'!H102&gt;0,'쪽쟘(실측)'!H102+0.5,0)</f>
        <v>21.5</v>
      </c>
      <c r="K102" s="50">
        <f>IF('쪽쟘(실측)'!F102&gt;0,'쪽쟘(실측)'!F102+1.5,0)</f>
        <v>22.5</v>
      </c>
      <c r="L102" s="50">
        <f>IF('쪽쟘(실측)'!G102&gt;0,'쪽쟘(실측)'!G102+1.5,0)</f>
        <v>22.5</v>
      </c>
      <c r="M102" s="50">
        <f>IF('쪽쟘(실측)'!H102&gt;0,'쪽쟘(실측)'!H102+1.5,0)</f>
        <v>22.5</v>
      </c>
      <c r="N102" s="50">
        <f>IF('쪽쟘(실측)'!I102&gt;0,'쪽쟘(실측)'!I102+1.5,0)</f>
        <v>22.5</v>
      </c>
      <c r="O102" s="50" t="e">
        <f>'쪽쟘(실측)'!J102-기둥차감</f>
        <v>#NAME?</v>
      </c>
      <c r="P102" s="50" t="e">
        <f>'쪽쟘(실측)'!K102-기둥차감</f>
        <v>#NAME?</v>
      </c>
      <c r="Q102" s="50" t="e">
        <f>'쪽쟘(실측)'!L102-기둥차감</f>
        <v>#NAME?</v>
      </c>
      <c r="R102" s="50" t="e">
        <f>'쪽쟘(실측)'!M102-기둥차감</f>
        <v>#NAME?</v>
      </c>
      <c r="S102" s="50">
        <f>'쪽쟘(실측)'!N102+1.2</f>
        <v>18.2</v>
      </c>
      <c r="T102" s="50">
        <f>'쪽쟘(실측)'!O102+1.2</f>
        <v>18.2</v>
      </c>
      <c r="U102" s="50">
        <f>'쪽쟘(실측)'!P102</f>
        <v>16</v>
      </c>
      <c r="V102" s="50">
        <f>'쪽쟘(실측)'!Q102</f>
        <v>25</v>
      </c>
      <c r="W102" s="50" t="e">
        <f>'쪽쟘(실측)'!R102-늘치차감</f>
        <v>#NAME?</v>
      </c>
      <c r="X102" s="50" t="e">
        <f>'쪽쟘(실측)'!S102-늘치차감</f>
        <v>#NAME?</v>
      </c>
      <c r="Z102">
        <f>쪽쟘제작!AC102</f>
        <v>934</v>
      </c>
      <c r="AA102">
        <f>쪽쟘제작!AD102</f>
        <v>113.2</v>
      </c>
      <c r="AB102">
        <f>쪽쟘제작!AE102</f>
        <v>124.00000000000001</v>
      </c>
      <c r="AC102">
        <f>쪽쟘제작!AF102</f>
        <v>2092</v>
      </c>
      <c r="AD102">
        <f>쪽쟘제작!AG102</f>
        <v>124.00000000000001</v>
      </c>
      <c r="AE102">
        <f>쪽쟘제작!AH102</f>
        <v>2092</v>
      </c>
    </row>
    <row r="103" spans="1:31" ht="18.75" customHeight="1" x14ac:dyDescent="0.3">
      <c r="A103" s="50" t="str">
        <f>'쪽쟘(실측)'!A103</f>
        <v>111   / 1</v>
      </c>
      <c r="B103" s="50" t="str">
        <f>'쪽쟘(실측)'!B103&amp;"F"</f>
        <v>4F</v>
      </c>
      <c r="C103" s="50" t="str">
        <f t="shared" si="1"/>
        <v>933*117.2</v>
      </c>
      <c r="D103" s="50" t="e">
        <f>'쪽쟘(실측)'!C103-OP차감</f>
        <v>#NAME?</v>
      </c>
      <c r="E103" s="50" t="e">
        <f>'쪽쟘(실측)'!D103+쪽쟘J늘림+MAX(W103:X103)</f>
        <v>#VALUE!</v>
      </c>
      <c r="F103" s="50" t="e">
        <f>'쪽쟘(실측)'!E103+쪽쟘J늘림+MAX(W103:X103)</f>
        <v>#VALUE!</v>
      </c>
      <c r="G103" s="67" t="str">
        <f>IF(OR(쪽쟘제작!K103&lt;&gt;쪽쟘제작!L103,쪽쟘제작!O103&lt;&gt;쪽쟘제작!P103),"",AC103&amp;"*"&amp;AB103)</f>
        <v>2092*124</v>
      </c>
      <c r="H103" s="68" t="str">
        <f>IF(OR(쪽쟘제작!N103&lt;&gt;쪽쟘제작!M103,쪽쟘제작!Q103&lt;&gt;쪽쟘제작!R103),"",AE103&amp;"*"&amp;AD103)</f>
        <v>2092*124</v>
      </c>
      <c r="I103" s="70">
        <f>IF('쪽쟘(실측)'!F103&gt;0,'쪽쟘(실측)'!F103+0.5,0)</f>
        <v>21.5</v>
      </c>
      <c r="J103" s="50">
        <f>IF('쪽쟘(실측)'!H103&gt;0,'쪽쟘(실측)'!H103+0.5,0)</f>
        <v>21.5</v>
      </c>
      <c r="K103" s="50">
        <f>IF('쪽쟘(실측)'!F103&gt;0,'쪽쟘(실측)'!F103+1.5,0)</f>
        <v>22.5</v>
      </c>
      <c r="L103" s="50">
        <f>IF('쪽쟘(실측)'!G103&gt;0,'쪽쟘(실측)'!G103+1.5,0)</f>
        <v>22.5</v>
      </c>
      <c r="M103" s="50">
        <f>IF('쪽쟘(실측)'!H103&gt;0,'쪽쟘(실측)'!H103+1.5,0)</f>
        <v>22.5</v>
      </c>
      <c r="N103" s="50">
        <f>IF('쪽쟘(실측)'!I103&gt;0,'쪽쟘(실측)'!I103+1.5,0)</f>
        <v>22.5</v>
      </c>
      <c r="O103" s="50" t="e">
        <f>'쪽쟘(실측)'!J103-기둥차감</f>
        <v>#NAME?</v>
      </c>
      <c r="P103" s="50" t="e">
        <f>'쪽쟘(실측)'!K103-기둥차감</f>
        <v>#NAME?</v>
      </c>
      <c r="Q103" s="50" t="e">
        <f>'쪽쟘(실측)'!L103-기둥차감</f>
        <v>#NAME?</v>
      </c>
      <c r="R103" s="50" t="e">
        <f>'쪽쟘(실측)'!M103-기둥차감</f>
        <v>#NAME?</v>
      </c>
      <c r="S103" s="50">
        <f>'쪽쟘(실측)'!N103+1.2</f>
        <v>22.2</v>
      </c>
      <c r="T103" s="50">
        <f>'쪽쟘(실측)'!O103+1.2</f>
        <v>22.2</v>
      </c>
      <c r="U103" s="50">
        <f>'쪽쟘(실측)'!P103</f>
        <v>16</v>
      </c>
      <c r="V103" s="50">
        <f>'쪽쟘(실측)'!Q103</f>
        <v>25</v>
      </c>
      <c r="W103" s="50" t="e">
        <f>'쪽쟘(실측)'!R103-늘치차감</f>
        <v>#NAME?</v>
      </c>
      <c r="X103" s="50" t="e">
        <f>'쪽쟘(실측)'!S103-늘치차감</f>
        <v>#NAME?</v>
      </c>
      <c r="Z103">
        <f>쪽쟘제작!AC103</f>
        <v>933</v>
      </c>
      <c r="AA103">
        <f>쪽쟘제작!AD103</f>
        <v>117.2</v>
      </c>
      <c r="AB103">
        <f>쪽쟘제작!AE103</f>
        <v>124.00000000000001</v>
      </c>
      <c r="AC103">
        <f>쪽쟘제작!AF103</f>
        <v>2092</v>
      </c>
      <c r="AD103">
        <f>쪽쟘제작!AG103</f>
        <v>124.00000000000001</v>
      </c>
      <c r="AE103">
        <f>쪽쟘제작!AH103</f>
        <v>2092</v>
      </c>
    </row>
    <row r="104" spans="1:31" ht="18.75" customHeight="1" x14ac:dyDescent="0.3">
      <c r="A104" s="50" t="str">
        <f>'쪽쟘(실측)'!A104</f>
        <v>111   / 1</v>
      </c>
      <c r="B104" s="50" t="str">
        <f>'쪽쟘(실측)'!B104&amp;"F"</f>
        <v>3F</v>
      </c>
      <c r="C104" s="50" t="str">
        <f t="shared" si="1"/>
        <v>932*116.2</v>
      </c>
      <c r="D104" s="50" t="e">
        <f>'쪽쟘(실측)'!C104-OP차감</f>
        <v>#NAME?</v>
      </c>
      <c r="E104" s="50" t="e">
        <f>'쪽쟘(실측)'!D104+쪽쟘J늘림+MAX(W104:X104)</f>
        <v>#VALUE!</v>
      </c>
      <c r="F104" s="50" t="e">
        <f>'쪽쟘(실측)'!E104+쪽쟘J늘림+MAX(W104:X104)</f>
        <v>#VALUE!</v>
      </c>
      <c r="G104" s="67" t="str">
        <f>IF(OR(쪽쟘제작!K104&lt;&gt;쪽쟘제작!L104,쪽쟘제작!O104&lt;&gt;쪽쟘제작!P104),"",AC104&amp;"*"&amp;AB104)</f>
        <v>2092*124</v>
      </c>
      <c r="H104" s="68" t="str">
        <f>IF(OR(쪽쟘제작!N104&lt;&gt;쪽쟘제작!M104,쪽쟘제작!Q104&lt;&gt;쪽쟘제작!R104),"",AE104&amp;"*"&amp;AD104)</f>
        <v>2092*122</v>
      </c>
      <c r="I104" s="70">
        <f>IF('쪽쟘(실측)'!F104&gt;0,'쪽쟘(실측)'!F104+0.5,0)</f>
        <v>21.5</v>
      </c>
      <c r="J104" s="50">
        <f>IF('쪽쟘(실측)'!H104&gt;0,'쪽쟘(실측)'!H104+0.5,0)</f>
        <v>19.5</v>
      </c>
      <c r="K104" s="50">
        <f>IF('쪽쟘(실측)'!F104&gt;0,'쪽쟘(실측)'!F104+1.5,0)</f>
        <v>22.5</v>
      </c>
      <c r="L104" s="50">
        <f>IF('쪽쟘(실측)'!G104&gt;0,'쪽쟘(실측)'!G104+1.5,0)</f>
        <v>22.5</v>
      </c>
      <c r="M104" s="50">
        <f>IF('쪽쟘(실측)'!H104&gt;0,'쪽쟘(실측)'!H104+1.5,0)</f>
        <v>20.5</v>
      </c>
      <c r="N104" s="50">
        <f>IF('쪽쟘(실측)'!I104&gt;0,'쪽쟘(실측)'!I104+1.5,0)</f>
        <v>20.5</v>
      </c>
      <c r="O104" s="50" t="e">
        <f>'쪽쟘(실측)'!J104-기둥차감</f>
        <v>#NAME?</v>
      </c>
      <c r="P104" s="50" t="e">
        <f>'쪽쟘(실측)'!K104-기둥차감</f>
        <v>#NAME?</v>
      </c>
      <c r="Q104" s="50" t="e">
        <f>'쪽쟘(실측)'!L104-기둥차감</f>
        <v>#NAME?</v>
      </c>
      <c r="R104" s="50" t="e">
        <f>'쪽쟘(실측)'!M104-기둥차감</f>
        <v>#NAME?</v>
      </c>
      <c r="S104" s="50">
        <f>'쪽쟘(실측)'!N104+1.2</f>
        <v>21.2</v>
      </c>
      <c r="T104" s="50">
        <f>'쪽쟘(실측)'!O104+1.2</f>
        <v>21.2</v>
      </c>
      <c r="U104" s="50">
        <f>'쪽쟘(실측)'!P104</f>
        <v>16</v>
      </c>
      <c r="V104" s="50">
        <f>'쪽쟘(실측)'!Q104</f>
        <v>25</v>
      </c>
      <c r="W104" s="50" t="e">
        <f>'쪽쟘(실측)'!R104-늘치차감</f>
        <v>#NAME?</v>
      </c>
      <c r="X104" s="50" t="e">
        <f>'쪽쟘(실측)'!S104-늘치차감</f>
        <v>#NAME?</v>
      </c>
      <c r="Z104">
        <f>쪽쟘제작!AC104</f>
        <v>932</v>
      </c>
      <c r="AA104">
        <f>쪽쟘제작!AD104</f>
        <v>116.2</v>
      </c>
      <c r="AB104">
        <f>쪽쟘제작!AE104</f>
        <v>124.00000000000001</v>
      </c>
      <c r="AC104">
        <f>쪽쟘제작!AF104</f>
        <v>2092</v>
      </c>
      <c r="AD104">
        <f>쪽쟘제작!AG104</f>
        <v>122</v>
      </c>
      <c r="AE104">
        <f>쪽쟘제작!AH104</f>
        <v>2092</v>
      </c>
    </row>
    <row r="105" spans="1:31" ht="18.75" customHeight="1" thickBot="1" x14ac:dyDescent="0.35">
      <c r="A105" s="379" t="str">
        <f>'쪽쟘(실측)'!A105</f>
        <v>111   / 1</v>
      </c>
      <c r="B105" s="379" t="str">
        <f>'쪽쟘(실측)'!B105&amp;"F"</f>
        <v>2F</v>
      </c>
      <c r="C105" s="379" t="str">
        <f t="shared" si="1"/>
        <v>936*121.2</v>
      </c>
      <c r="D105" s="379" t="e">
        <f>'쪽쟘(실측)'!C105-OP차감</f>
        <v>#NAME?</v>
      </c>
      <c r="E105" s="379" t="e">
        <f>'쪽쟘(실측)'!D105+쪽쟘J늘림+MAX(W105:X105)</f>
        <v>#VALUE!</v>
      </c>
      <c r="F105" s="379" t="e">
        <f>'쪽쟘(실측)'!E105+쪽쟘J늘림+MAX(W105:X105)</f>
        <v>#VALUE!</v>
      </c>
      <c r="G105" s="380" t="str">
        <f>IF(OR(쪽쟘제작!K105&lt;&gt;쪽쟘제작!L105,쪽쟘제작!O105&lt;&gt;쪽쟘제작!P105),"",AC105&amp;"*"&amp;AB105)</f>
        <v>2092*126</v>
      </c>
      <c r="H105" s="381" t="str">
        <f>IF(OR(쪽쟘제작!N105&lt;&gt;쪽쟘제작!M105,쪽쟘제작!Q105&lt;&gt;쪽쟘제작!R105),"",AE105&amp;"*"&amp;AD105)</f>
        <v>2092*125</v>
      </c>
      <c r="I105" s="70">
        <f>IF('쪽쟘(실측)'!F105&gt;0,'쪽쟘(실측)'!F105+0.5,0)</f>
        <v>23.5</v>
      </c>
      <c r="J105" s="50">
        <f>IF('쪽쟘(실측)'!H105&gt;0,'쪽쟘(실측)'!H105+0.5,0)</f>
        <v>22.5</v>
      </c>
      <c r="K105" s="50">
        <f>IF('쪽쟘(실측)'!F105&gt;0,'쪽쟘(실측)'!F105+1.5,0)</f>
        <v>24.5</v>
      </c>
      <c r="L105" s="50">
        <f>IF('쪽쟘(실측)'!G105&gt;0,'쪽쟘(실측)'!G105+1.5,0)</f>
        <v>24.5</v>
      </c>
      <c r="M105" s="50">
        <f>IF('쪽쟘(실측)'!H105&gt;0,'쪽쟘(실측)'!H105+1.5,0)</f>
        <v>23.5</v>
      </c>
      <c r="N105" s="50">
        <f>IF('쪽쟘(실측)'!I105&gt;0,'쪽쟘(실측)'!I105+1.5,0)</f>
        <v>23.5</v>
      </c>
      <c r="O105" s="50" t="e">
        <f>'쪽쟘(실측)'!J105-기둥차감</f>
        <v>#NAME?</v>
      </c>
      <c r="P105" s="50" t="e">
        <f>'쪽쟘(실측)'!K105-기둥차감</f>
        <v>#NAME?</v>
      </c>
      <c r="Q105" s="50" t="e">
        <f>'쪽쟘(실측)'!L105-기둥차감</f>
        <v>#NAME?</v>
      </c>
      <c r="R105" s="50" t="e">
        <f>'쪽쟘(실측)'!M105-기둥차감</f>
        <v>#NAME?</v>
      </c>
      <c r="S105" s="50">
        <f>'쪽쟘(실측)'!N105+1.2</f>
        <v>26.2</v>
      </c>
      <c r="T105" s="50">
        <f>'쪽쟘(실측)'!O105+1.2</f>
        <v>26.2</v>
      </c>
      <c r="U105" s="50">
        <f>'쪽쟘(실측)'!P105</f>
        <v>16</v>
      </c>
      <c r="V105" s="50">
        <f>'쪽쟘(실측)'!Q105</f>
        <v>25</v>
      </c>
      <c r="W105" s="50" t="e">
        <f>'쪽쟘(실측)'!R105-늘치차감</f>
        <v>#NAME?</v>
      </c>
      <c r="X105" s="50" t="e">
        <f>'쪽쟘(실측)'!S105-늘치차감</f>
        <v>#NAME?</v>
      </c>
      <c r="Z105">
        <f>쪽쟘제작!AC105</f>
        <v>936</v>
      </c>
      <c r="AA105">
        <f>쪽쟘제작!AD105</f>
        <v>121.2</v>
      </c>
      <c r="AB105">
        <f>쪽쟘제작!AE105</f>
        <v>126.00000000000001</v>
      </c>
      <c r="AC105">
        <f>쪽쟘제작!AF105</f>
        <v>2092</v>
      </c>
      <c r="AD105">
        <f>쪽쟘제작!AG105</f>
        <v>125.00000000000001</v>
      </c>
      <c r="AE105">
        <f>쪽쟘제작!AH105</f>
        <v>2092</v>
      </c>
    </row>
    <row r="106" spans="1:31" ht="18.75" customHeight="1" x14ac:dyDescent="0.3">
      <c r="A106" s="376" t="str">
        <f>'쪽쟘(실측)'!A106</f>
        <v>112   / 2</v>
      </c>
      <c r="B106" s="376" t="str">
        <f>'쪽쟘(실측)'!B106&amp;"F"</f>
        <v>23F</v>
      </c>
      <c r="C106" s="376" t="str">
        <f t="shared" si="1"/>
        <v>933*119.2</v>
      </c>
      <c r="D106" s="376" t="e">
        <f>'쪽쟘(실측)'!C106-OP차감</f>
        <v>#NAME?</v>
      </c>
      <c r="E106" s="376" t="e">
        <f>'쪽쟘(실측)'!D106+쪽쟘J늘림+MAX(W106:X106)</f>
        <v>#VALUE!</v>
      </c>
      <c r="F106" s="376" t="e">
        <f>'쪽쟘(실측)'!E106+쪽쟘J늘림+MAX(W106:X106)</f>
        <v>#VALUE!</v>
      </c>
      <c r="G106" s="377" t="str">
        <f>IF(OR(쪽쟘제작!K106&lt;&gt;쪽쟘제작!L106,쪽쟘제작!O106&lt;&gt;쪽쟘제작!P106),"",AC106&amp;"*"&amp;AB106)</f>
        <v>2098*124</v>
      </c>
      <c r="H106" s="378" t="str">
        <f>IF(OR(쪽쟘제작!N106&lt;&gt;쪽쟘제작!M106,쪽쟘제작!Q106&lt;&gt;쪽쟘제작!R106),"",AE106&amp;"*"&amp;AD106)</f>
        <v>2092*124</v>
      </c>
      <c r="I106" s="70">
        <f>IF('쪽쟘(실측)'!F106&gt;0,'쪽쟘(실측)'!F106+0.5,0)</f>
        <v>21.5</v>
      </c>
      <c r="J106" s="50">
        <f>IF('쪽쟘(실측)'!H106&gt;0,'쪽쟘(실측)'!H106+0.5,0)</f>
        <v>21.5</v>
      </c>
      <c r="K106" s="50">
        <f>IF('쪽쟘(실측)'!F106&gt;0,'쪽쟘(실측)'!F106+1.5,0)</f>
        <v>22.5</v>
      </c>
      <c r="L106" s="50">
        <f>IF('쪽쟘(실측)'!G106&gt;0,'쪽쟘(실측)'!G106+1.5,0)</f>
        <v>22.5</v>
      </c>
      <c r="M106" s="50">
        <f>IF('쪽쟘(실측)'!H106&gt;0,'쪽쟘(실측)'!H106+1.5,0)</f>
        <v>22.5</v>
      </c>
      <c r="N106" s="50">
        <f>IF('쪽쟘(실측)'!I106&gt;0,'쪽쟘(실측)'!I106+1.5,0)</f>
        <v>22.5</v>
      </c>
      <c r="O106" s="50" t="e">
        <f>'쪽쟘(실측)'!J106-기둥차감</f>
        <v>#NAME?</v>
      </c>
      <c r="P106" s="50" t="e">
        <f>'쪽쟘(실측)'!K106-기둥차감</f>
        <v>#NAME?</v>
      </c>
      <c r="Q106" s="50" t="e">
        <f>'쪽쟘(실측)'!L106-기둥차감</f>
        <v>#NAME?</v>
      </c>
      <c r="R106" s="50" t="e">
        <f>'쪽쟘(실측)'!M106-기둥차감</f>
        <v>#NAME?</v>
      </c>
      <c r="S106" s="50">
        <f>'쪽쟘(실측)'!N106+1.2</f>
        <v>24.2</v>
      </c>
      <c r="T106" s="50">
        <f>'쪽쟘(실측)'!O106+1.2</f>
        <v>24.2</v>
      </c>
      <c r="U106" s="50">
        <f>'쪽쟘(실측)'!P106</f>
        <v>16</v>
      </c>
      <c r="V106" s="50">
        <f>'쪽쟘(실측)'!Q106</f>
        <v>25</v>
      </c>
      <c r="W106" s="50" t="e">
        <f>'쪽쟘(실측)'!R106-늘치차감</f>
        <v>#NAME?</v>
      </c>
      <c r="X106" s="50" t="e">
        <f>'쪽쟘(실측)'!S106-늘치차감</f>
        <v>#NAME?</v>
      </c>
      <c r="Z106">
        <f>쪽쟘제작!AC106</f>
        <v>933</v>
      </c>
      <c r="AA106">
        <f>쪽쟘제작!AD106</f>
        <v>119.2</v>
      </c>
      <c r="AB106">
        <f>쪽쟘제작!AE106</f>
        <v>124.00000000000001</v>
      </c>
      <c r="AC106">
        <f>쪽쟘제작!AF106</f>
        <v>2098</v>
      </c>
      <c r="AD106">
        <f>쪽쟘제작!AG106</f>
        <v>124.00000000000001</v>
      </c>
      <c r="AE106">
        <f>쪽쟘제작!AH106</f>
        <v>2092</v>
      </c>
    </row>
    <row r="107" spans="1:31" ht="18.75" customHeight="1" x14ac:dyDescent="0.3">
      <c r="A107" s="50" t="str">
        <f>'쪽쟘(실측)'!A107</f>
        <v>112   / 2</v>
      </c>
      <c r="B107" s="50" t="str">
        <f>'쪽쟘(실측)'!B107&amp;"F"</f>
        <v>22F</v>
      </c>
      <c r="C107" s="50" t="str">
        <f t="shared" si="1"/>
        <v>935*118.2</v>
      </c>
      <c r="D107" s="50" t="e">
        <f>'쪽쟘(실측)'!C107-OP차감</f>
        <v>#NAME?</v>
      </c>
      <c r="E107" s="50" t="e">
        <f>'쪽쟘(실측)'!D107+쪽쟘J늘림+MAX(W107:X107)</f>
        <v>#VALUE!</v>
      </c>
      <c r="F107" s="50" t="e">
        <f>'쪽쟘(실측)'!E107+쪽쟘J늘림+MAX(W107:X107)</f>
        <v>#VALUE!</v>
      </c>
      <c r="G107" s="67" t="str">
        <f>IF(OR(쪽쟘제작!K107&lt;&gt;쪽쟘제작!L107,쪽쟘제작!O107&lt;&gt;쪽쟘제작!P107),"",AC107&amp;"*"&amp;AB107)</f>
        <v>2098*125</v>
      </c>
      <c r="H107" s="68" t="str">
        <f>IF(OR(쪽쟘제작!N107&lt;&gt;쪽쟘제작!M107,쪽쟘제작!Q107&lt;&gt;쪽쟘제작!R107),"",AE107&amp;"*"&amp;AD107)</f>
        <v>2098*125</v>
      </c>
      <c r="I107" s="70">
        <f>IF('쪽쟘(실측)'!F107&gt;0,'쪽쟘(실측)'!F107+0.5,0)</f>
        <v>22.5</v>
      </c>
      <c r="J107" s="50">
        <f>IF('쪽쟘(실측)'!H107&gt;0,'쪽쟘(실측)'!H107+0.5,0)</f>
        <v>22.5</v>
      </c>
      <c r="K107" s="50">
        <f>IF('쪽쟘(실측)'!F107&gt;0,'쪽쟘(실측)'!F107+1.5,0)</f>
        <v>23.5</v>
      </c>
      <c r="L107" s="50">
        <f>IF('쪽쟘(실측)'!G107&gt;0,'쪽쟘(실측)'!G107+1.5,0)</f>
        <v>23.5</v>
      </c>
      <c r="M107" s="50">
        <f>IF('쪽쟘(실측)'!H107&gt;0,'쪽쟘(실측)'!H107+1.5,0)</f>
        <v>23.5</v>
      </c>
      <c r="N107" s="50">
        <f>IF('쪽쟘(실측)'!I107&gt;0,'쪽쟘(실측)'!I107+1.5,0)</f>
        <v>23.5</v>
      </c>
      <c r="O107" s="50" t="e">
        <f>'쪽쟘(실측)'!J107-기둥차감</f>
        <v>#NAME?</v>
      </c>
      <c r="P107" s="50" t="e">
        <f>'쪽쟘(실측)'!K107-기둥차감</f>
        <v>#NAME?</v>
      </c>
      <c r="Q107" s="50" t="e">
        <f>'쪽쟘(실측)'!L107-기둥차감</f>
        <v>#NAME?</v>
      </c>
      <c r="R107" s="50" t="e">
        <f>'쪽쟘(실측)'!M107-기둥차감</f>
        <v>#NAME?</v>
      </c>
      <c r="S107" s="50">
        <f>'쪽쟘(실측)'!N107+1.2</f>
        <v>23.2</v>
      </c>
      <c r="T107" s="50">
        <f>'쪽쟘(실측)'!O107+1.2</f>
        <v>23.2</v>
      </c>
      <c r="U107" s="50">
        <f>'쪽쟘(실측)'!P107</f>
        <v>16</v>
      </c>
      <c r="V107" s="50">
        <f>'쪽쟘(실측)'!Q107</f>
        <v>25</v>
      </c>
      <c r="W107" s="50" t="e">
        <f>'쪽쟘(실측)'!R107-늘치차감</f>
        <v>#NAME?</v>
      </c>
      <c r="X107" s="50" t="e">
        <f>'쪽쟘(실측)'!S107-늘치차감</f>
        <v>#NAME?</v>
      </c>
      <c r="Z107">
        <f>쪽쟘제작!AC107</f>
        <v>935</v>
      </c>
      <c r="AA107">
        <f>쪽쟘제작!AD107</f>
        <v>118.2</v>
      </c>
      <c r="AB107">
        <f>쪽쟘제작!AE107</f>
        <v>125.00000000000001</v>
      </c>
      <c r="AC107">
        <f>쪽쟘제작!AF107</f>
        <v>2098</v>
      </c>
      <c r="AD107">
        <f>쪽쟘제작!AG107</f>
        <v>125.00000000000001</v>
      </c>
      <c r="AE107">
        <f>쪽쟘제작!AH107</f>
        <v>2098</v>
      </c>
    </row>
    <row r="108" spans="1:31" ht="18.75" customHeight="1" x14ac:dyDescent="0.3">
      <c r="A108" s="50" t="str">
        <f>'쪽쟘(실측)'!A108</f>
        <v>112   / 2</v>
      </c>
      <c r="B108" s="50" t="str">
        <f>'쪽쟘(실측)'!B108&amp;"F"</f>
        <v>21F</v>
      </c>
      <c r="C108" s="50" t="str">
        <f t="shared" si="1"/>
        <v>936*119.2</v>
      </c>
      <c r="D108" s="50" t="e">
        <f>'쪽쟘(실측)'!C108-OP차감</f>
        <v>#NAME?</v>
      </c>
      <c r="E108" s="50" t="e">
        <f>'쪽쟘(실측)'!D108+쪽쟘J늘림+MAX(W108:X108)</f>
        <v>#VALUE!</v>
      </c>
      <c r="F108" s="50" t="e">
        <f>'쪽쟘(실측)'!E108+쪽쟘J늘림+MAX(W108:X108)</f>
        <v>#VALUE!</v>
      </c>
      <c r="G108" s="67" t="str">
        <f>IF(OR(쪽쟘제작!K108&lt;&gt;쪽쟘제작!L108,쪽쟘제작!O108&lt;&gt;쪽쟘제작!P108),"",AC108&amp;"*"&amp;AB108)</f>
        <v>2098*125</v>
      </c>
      <c r="H108" s="68" t="str">
        <f>IF(OR(쪽쟘제작!N108&lt;&gt;쪽쟘제작!M108,쪽쟘제작!Q108&lt;&gt;쪽쟘제작!R108),"",AE108&amp;"*"&amp;AD108)</f>
        <v>2092*126</v>
      </c>
      <c r="I108" s="70">
        <f>IF('쪽쟘(실측)'!F108&gt;0,'쪽쟘(실측)'!F108+0.5,0)</f>
        <v>22.5</v>
      </c>
      <c r="J108" s="50">
        <f>IF('쪽쟘(실측)'!H108&gt;0,'쪽쟘(실측)'!H108+0.5,0)</f>
        <v>23.5</v>
      </c>
      <c r="K108" s="50">
        <f>IF('쪽쟘(실측)'!F108&gt;0,'쪽쟘(실측)'!F108+1.5,0)</f>
        <v>23.5</v>
      </c>
      <c r="L108" s="50">
        <f>IF('쪽쟘(실측)'!G108&gt;0,'쪽쟘(실측)'!G108+1.5,0)</f>
        <v>23.5</v>
      </c>
      <c r="M108" s="50">
        <f>IF('쪽쟘(실측)'!H108&gt;0,'쪽쟘(실측)'!H108+1.5,0)</f>
        <v>24.5</v>
      </c>
      <c r="N108" s="50">
        <f>IF('쪽쟘(실측)'!I108&gt;0,'쪽쟘(실측)'!I108+1.5,0)</f>
        <v>24.5</v>
      </c>
      <c r="O108" s="50" t="e">
        <f>'쪽쟘(실측)'!J108-기둥차감</f>
        <v>#NAME?</v>
      </c>
      <c r="P108" s="50" t="e">
        <f>'쪽쟘(실측)'!K108-기둥차감</f>
        <v>#NAME?</v>
      </c>
      <c r="Q108" s="50" t="e">
        <f>'쪽쟘(실측)'!L108-기둥차감</f>
        <v>#NAME?</v>
      </c>
      <c r="R108" s="50" t="e">
        <f>'쪽쟘(실측)'!M108-기둥차감</f>
        <v>#NAME?</v>
      </c>
      <c r="S108" s="50">
        <f>'쪽쟘(실측)'!N108+1.2</f>
        <v>24.2</v>
      </c>
      <c r="T108" s="50">
        <f>'쪽쟘(실측)'!O108+1.2</f>
        <v>24.2</v>
      </c>
      <c r="U108" s="50">
        <f>'쪽쟘(실측)'!P108</f>
        <v>16</v>
      </c>
      <c r="V108" s="50">
        <f>'쪽쟘(실측)'!Q108</f>
        <v>25</v>
      </c>
      <c r="W108" s="50" t="e">
        <f>'쪽쟘(실측)'!R108-늘치차감</f>
        <v>#NAME?</v>
      </c>
      <c r="X108" s="50" t="e">
        <f>'쪽쟘(실측)'!S108-늘치차감</f>
        <v>#NAME?</v>
      </c>
      <c r="Z108">
        <f>쪽쟘제작!AC108</f>
        <v>936</v>
      </c>
      <c r="AA108">
        <f>쪽쟘제작!AD108</f>
        <v>119.2</v>
      </c>
      <c r="AB108">
        <f>쪽쟘제작!AE108</f>
        <v>125.00000000000001</v>
      </c>
      <c r="AC108">
        <f>쪽쟘제작!AF108</f>
        <v>2098</v>
      </c>
      <c r="AD108">
        <f>쪽쟘제작!AG108</f>
        <v>126.00000000000001</v>
      </c>
      <c r="AE108">
        <f>쪽쟘제작!AH108</f>
        <v>2092</v>
      </c>
    </row>
    <row r="109" spans="1:31" ht="18.75" customHeight="1" x14ac:dyDescent="0.3">
      <c r="A109" s="50" t="str">
        <f>'쪽쟘(실측)'!A109</f>
        <v>112   / 2</v>
      </c>
      <c r="B109" s="50" t="str">
        <f>'쪽쟘(실측)'!B109&amp;"F"</f>
        <v>20F</v>
      </c>
      <c r="C109" s="50" t="str">
        <f t="shared" si="1"/>
        <v>930*116.2</v>
      </c>
      <c r="D109" s="50" t="e">
        <f>'쪽쟘(실측)'!C109-OP차감</f>
        <v>#NAME?</v>
      </c>
      <c r="E109" s="50" t="e">
        <f>'쪽쟘(실측)'!D109+쪽쟘J늘림+MAX(W109:X109)</f>
        <v>#VALUE!</v>
      </c>
      <c r="F109" s="50" t="e">
        <f>'쪽쟘(실측)'!E109+쪽쟘J늘림+MAX(W109:X109)</f>
        <v>#VALUE!</v>
      </c>
      <c r="G109" s="67" t="str">
        <f>IF(OR(쪽쟘제작!K109&lt;&gt;쪽쟘제작!L109,쪽쟘제작!O109&lt;&gt;쪽쟘제작!P109),"",AC109&amp;"*"&amp;AB109)</f>
        <v>2092*123</v>
      </c>
      <c r="H109" s="68" t="str">
        <f>IF(OR(쪽쟘제작!N109&lt;&gt;쪽쟘제작!M109,쪽쟘제작!Q109&lt;&gt;쪽쟘제작!R109),"",AE109&amp;"*"&amp;AD109)</f>
        <v>2092*123</v>
      </c>
      <c r="I109" s="70">
        <f>IF('쪽쟘(실측)'!F109&gt;0,'쪽쟘(실측)'!F109+0.5,0)</f>
        <v>20.5</v>
      </c>
      <c r="J109" s="50">
        <f>IF('쪽쟘(실측)'!H109&gt;0,'쪽쟘(실측)'!H109+0.5,0)</f>
        <v>20.5</v>
      </c>
      <c r="K109" s="50">
        <f>IF('쪽쟘(실측)'!F109&gt;0,'쪽쟘(실측)'!F109+1.5,0)</f>
        <v>21.5</v>
      </c>
      <c r="L109" s="50">
        <f>IF('쪽쟘(실측)'!G109&gt;0,'쪽쟘(실측)'!G109+1.5,0)</f>
        <v>21.5</v>
      </c>
      <c r="M109" s="50">
        <f>IF('쪽쟘(실측)'!H109&gt;0,'쪽쟘(실측)'!H109+1.5,0)</f>
        <v>21.5</v>
      </c>
      <c r="N109" s="50">
        <f>IF('쪽쟘(실측)'!I109&gt;0,'쪽쟘(실측)'!I109+1.5,0)</f>
        <v>21.5</v>
      </c>
      <c r="O109" s="50" t="e">
        <f>'쪽쟘(실측)'!J109-기둥차감</f>
        <v>#NAME?</v>
      </c>
      <c r="P109" s="50" t="e">
        <f>'쪽쟘(실측)'!K109-기둥차감</f>
        <v>#NAME?</v>
      </c>
      <c r="Q109" s="50" t="e">
        <f>'쪽쟘(실측)'!L109-기둥차감</f>
        <v>#NAME?</v>
      </c>
      <c r="R109" s="50" t="e">
        <f>'쪽쟘(실측)'!M109-기둥차감</f>
        <v>#NAME?</v>
      </c>
      <c r="S109" s="50">
        <f>'쪽쟘(실측)'!N109+1.2</f>
        <v>21.2</v>
      </c>
      <c r="T109" s="50">
        <f>'쪽쟘(실측)'!O109+1.2</f>
        <v>21.2</v>
      </c>
      <c r="U109" s="50">
        <f>'쪽쟘(실측)'!P109</f>
        <v>16</v>
      </c>
      <c r="V109" s="50">
        <f>'쪽쟘(실측)'!Q109</f>
        <v>25</v>
      </c>
      <c r="W109" s="50" t="e">
        <f>'쪽쟘(실측)'!R109-늘치차감</f>
        <v>#NAME?</v>
      </c>
      <c r="X109" s="50" t="e">
        <f>'쪽쟘(실측)'!S109-늘치차감</f>
        <v>#NAME?</v>
      </c>
      <c r="Z109">
        <f>쪽쟘제작!AC109</f>
        <v>930</v>
      </c>
      <c r="AA109">
        <f>쪽쟘제작!AD109</f>
        <v>116.2</v>
      </c>
      <c r="AB109">
        <f>쪽쟘제작!AE109</f>
        <v>123</v>
      </c>
      <c r="AC109">
        <f>쪽쟘제작!AF109</f>
        <v>2092</v>
      </c>
      <c r="AD109">
        <f>쪽쟘제작!AG109</f>
        <v>123</v>
      </c>
      <c r="AE109">
        <f>쪽쟘제작!AH109</f>
        <v>2092</v>
      </c>
    </row>
    <row r="110" spans="1:31" ht="18.75" customHeight="1" x14ac:dyDescent="0.3">
      <c r="A110" s="50" t="str">
        <f>'쪽쟘(실측)'!A110</f>
        <v>112   / 2</v>
      </c>
      <c r="B110" s="50" t="str">
        <f>'쪽쟘(실측)'!B110&amp;"F"</f>
        <v>19F</v>
      </c>
      <c r="C110" s="50" t="str">
        <f t="shared" si="1"/>
        <v>931*121.2</v>
      </c>
      <c r="D110" s="50" t="e">
        <f>'쪽쟘(실측)'!C110-OP차감</f>
        <v>#NAME?</v>
      </c>
      <c r="E110" s="50" t="e">
        <f>'쪽쟘(실측)'!D110+쪽쟘J늘림+MAX(W110:X110)</f>
        <v>#VALUE!</v>
      </c>
      <c r="F110" s="50" t="e">
        <f>'쪽쟘(실측)'!E110+쪽쟘J늘림+MAX(W110:X110)</f>
        <v>#VALUE!</v>
      </c>
      <c r="G110" s="67" t="str">
        <f>IF(OR(쪽쟘제작!K110&lt;&gt;쪽쟘제작!L110,쪽쟘제작!O110&lt;&gt;쪽쟘제작!P110),"",AC110&amp;"*"&amp;AB110)</f>
        <v>2092*123</v>
      </c>
      <c r="H110" s="68" t="str">
        <f>IF(OR(쪽쟘제작!N110&lt;&gt;쪽쟘제작!M110,쪽쟘제작!Q110&lt;&gt;쪽쟘제작!R110),"",AE110&amp;"*"&amp;AD110)</f>
        <v>2092*123</v>
      </c>
      <c r="I110" s="70">
        <f>IF('쪽쟘(실측)'!F110&gt;0,'쪽쟘(실측)'!F110+0.5,0)</f>
        <v>20.5</v>
      </c>
      <c r="J110" s="50">
        <f>IF('쪽쟘(실측)'!H110&gt;0,'쪽쟘(실측)'!H110+0.5,0)</f>
        <v>20.5</v>
      </c>
      <c r="K110" s="50">
        <f>IF('쪽쟘(실측)'!F110&gt;0,'쪽쟘(실측)'!F110+1.5,0)</f>
        <v>21.5</v>
      </c>
      <c r="L110" s="50">
        <f>IF('쪽쟘(실측)'!G110&gt;0,'쪽쟘(실측)'!G110+1.5,0)</f>
        <v>21.5</v>
      </c>
      <c r="M110" s="50">
        <f>IF('쪽쟘(실측)'!H110&gt;0,'쪽쟘(실측)'!H110+1.5,0)</f>
        <v>21.5</v>
      </c>
      <c r="N110" s="50">
        <f>IF('쪽쟘(실측)'!I110&gt;0,'쪽쟘(실측)'!I110+1.5,0)</f>
        <v>21.5</v>
      </c>
      <c r="O110" s="50" t="e">
        <f>'쪽쟘(실측)'!J110-기둥차감</f>
        <v>#NAME?</v>
      </c>
      <c r="P110" s="50" t="e">
        <f>'쪽쟘(실측)'!K110-기둥차감</f>
        <v>#NAME?</v>
      </c>
      <c r="Q110" s="50" t="e">
        <f>'쪽쟘(실측)'!L110-기둥차감</f>
        <v>#NAME?</v>
      </c>
      <c r="R110" s="50" t="e">
        <f>'쪽쟘(실측)'!M110-기둥차감</f>
        <v>#NAME?</v>
      </c>
      <c r="S110" s="50">
        <f>'쪽쟘(실측)'!N110+1.2</f>
        <v>26.2</v>
      </c>
      <c r="T110" s="50">
        <f>'쪽쟘(실측)'!O110+1.2</f>
        <v>26.2</v>
      </c>
      <c r="U110" s="50">
        <f>'쪽쟘(실측)'!P110</f>
        <v>16</v>
      </c>
      <c r="V110" s="50">
        <f>'쪽쟘(실측)'!Q110</f>
        <v>25</v>
      </c>
      <c r="W110" s="50" t="e">
        <f>'쪽쟘(실측)'!R110-늘치차감</f>
        <v>#NAME?</v>
      </c>
      <c r="X110" s="50" t="e">
        <f>'쪽쟘(실측)'!S110-늘치차감</f>
        <v>#NAME?</v>
      </c>
      <c r="Z110">
        <f>쪽쟘제작!AC110</f>
        <v>931</v>
      </c>
      <c r="AA110">
        <f>쪽쟘제작!AD110</f>
        <v>121.2</v>
      </c>
      <c r="AB110">
        <f>쪽쟘제작!AE110</f>
        <v>123</v>
      </c>
      <c r="AC110">
        <f>쪽쟘제작!AF110</f>
        <v>2092</v>
      </c>
      <c r="AD110">
        <f>쪽쟘제작!AG110</f>
        <v>123</v>
      </c>
      <c r="AE110">
        <f>쪽쟘제작!AH110</f>
        <v>2092</v>
      </c>
    </row>
    <row r="111" spans="1:31" ht="18.75" customHeight="1" x14ac:dyDescent="0.3">
      <c r="A111" s="50" t="str">
        <f>'쪽쟘(실측)'!A111</f>
        <v>112   / 2</v>
      </c>
      <c r="B111" s="50" t="str">
        <f>'쪽쟘(실측)'!B111&amp;"F"</f>
        <v>18F</v>
      </c>
      <c r="C111" s="50" t="str">
        <f t="shared" si="1"/>
        <v>928*111.2</v>
      </c>
      <c r="D111" s="50" t="e">
        <f>'쪽쟘(실측)'!C111-OP차감</f>
        <v>#NAME?</v>
      </c>
      <c r="E111" s="50" t="e">
        <f>'쪽쟘(실측)'!D111+쪽쟘J늘림+MAX(W111:X111)</f>
        <v>#VALUE!</v>
      </c>
      <c r="F111" s="50" t="e">
        <f>'쪽쟘(실측)'!E111+쪽쟘J늘림+MAX(W111:X111)</f>
        <v>#VALUE!</v>
      </c>
      <c r="G111" s="67" t="str">
        <f>IF(OR(쪽쟘제작!K111&lt;&gt;쪽쟘제작!L111,쪽쟘제작!O111&lt;&gt;쪽쟘제작!P111),"",AC111&amp;"*"&amp;AB111)</f>
        <v>2092*121</v>
      </c>
      <c r="H111" s="68" t="str">
        <f>IF(OR(쪽쟘제작!N111&lt;&gt;쪽쟘제작!M111,쪽쟘제작!Q111&lt;&gt;쪽쟘제작!R111),"",AE111&amp;"*"&amp;AD111)</f>
        <v>2092*122</v>
      </c>
      <c r="I111" s="70">
        <f>IF('쪽쟘(실측)'!F111&gt;0,'쪽쟘(실측)'!F111+0.5,0)</f>
        <v>18.5</v>
      </c>
      <c r="J111" s="50">
        <f>IF('쪽쟘(실측)'!H111&gt;0,'쪽쟘(실측)'!H111+0.5,0)</f>
        <v>19.5</v>
      </c>
      <c r="K111" s="50">
        <f>IF('쪽쟘(실측)'!F111&gt;0,'쪽쟘(실측)'!F111+1.5,0)</f>
        <v>19.5</v>
      </c>
      <c r="L111" s="50">
        <f>IF('쪽쟘(실측)'!G111&gt;0,'쪽쟘(실측)'!G111+1.5,0)</f>
        <v>19.5</v>
      </c>
      <c r="M111" s="50">
        <f>IF('쪽쟘(실측)'!H111&gt;0,'쪽쟘(실측)'!H111+1.5,0)</f>
        <v>20.5</v>
      </c>
      <c r="N111" s="50">
        <f>IF('쪽쟘(실측)'!I111&gt;0,'쪽쟘(실측)'!I111+1.5,0)</f>
        <v>20.5</v>
      </c>
      <c r="O111" s="50" t="e">
        <f>'쪽쟘(실측)'!J111-기둥차감</f>
        <v>#NAME?</v>
      </c>
      <c r="P111" s="50" t="e">
        <f>'쪽쟘(실측)'!K111-기둥차감</f>
        <v>#NAME?</v>
      </c>
      <c r="Q111" s="50" t="e">
        <f>'쪽쟘(실측)'!L111-기둥차감</f>
        <v>#NAME?</v>
      </c>
      <c r="R111" s="50" t="e">
        <f>'쪽쟘(실측)'!M111-기둥차감</f>
        <v>#NAME?</v>
      </c>
      <c r="S111" s="50">
        <f>'쪽쟘(실측)'!N111+1.2</f>
        <v>16.2</v>
      </c>
      <c r="T111" s="50">
        <f>'쪽쟘(실측)'!O111+1.2</f>
        <v>16.2</v>
      </c>
      <c r="U111" s="50">
        <f>'쪽쟘(실측)'!P111</f>
        <v>16</v>
      </c>
      <c r="V111" s="50">
        <f>'쪽쟘(실측)'!Q111</f>
        <v>25</v>
      </c>
      <c r="W111" s="50" t="e">
        <f>'쪽쟘(실측)'!R111-늘치차감</f>
        <v>#NAME?</v>
      </c>
      <c r="X111" s="50" t="e">
        <f>'쪽쟘(실측)'!S111-늘치차감</f>
        <v>#NAME?</v>
      </c>
      <c r="Z111">
        <f>쪽쟘제작!AC111</f>
        <v>928</v>
      </c>
      <c r="AA111">
        <f>쪽쟘제작!AD111</f>
        <v>111.2</v>
      </c>
      <c r="AB111">
        <f>쪽쟘제작!AE111</f>
        <v>121</v>
      </c>
      <c r="AC111">
        <f>쪽쟘제작!AF111</f>
        <v>2092</v>
      </c>
      <c r="AD111">
        <f>쪽쟘제작!AG111</f>
        <v>122</v>
      </c>
      <c r="AE111">
        <f>쪽쟘제작!AH111</f>
        <v>2092</v>
      </c>
    </row>
    <row r="112" spans="1:31" ht="18.75" customHeight="1" x14ac:dyDescent="0.3">
      <c r="A112" s="50" t="str">
        <f>'쪽쟘(실측)'!A112</f>
        <v>112   / 2</v>
      </c>
      <c r="B112" s="50" t="str">
        <f>'쪽쟘(실측)'!B112&amp;"F"</f>
        <v>17F</v>
      </c>
      <c r="C112" s="50" t="str">
        <f t="shared" si="1"/>
        <v>934*112.2</v>
      </c>
      <c r="D112" s="50" t="e">
        <f>'쪽쟘(실측)'!C112-OP차감</f>
        <v>#NAME?</v>
      </c>
      <c r="E112" s="50" t="e">
        <f>'쪽쟘(실측)'!D112+쪽쟘J늘림+MAX(W112:X112)</f>
        <v>#VALUE!</v>
      </c>
      <c r="F112" s="50" t="e">
        <f>'쪽쟘(실측)'!E112+쪽쟘J늘림+MAX(W112:X112)</f>
        <v>#VALUE!</v>
      </c>
      <c r="G112" s="67" t="str">
        <f>IF(OR(쪽쟘제작!K112&lt;&gt;쪽쟘제작!L112,쪽쟘제작!O112&lt;&gt;쪽쟘제작!P112),"",AC112&amp;"*"&amp;AB112)</f>
        <v>2092*123</v>
      </c>
      <c r="H112" s="68" t="str">
        <f>IF(OR(쪽쟘제작!N112&lt;&gt;쪽쟘제작!M112,쪽쟘제작!Q112&lt;&gt;쪽쟘제작!R112),"",AE112&amp;"*"&amp;AD112)</f>
        <v>2092*124</v>
      </c>
      <c r="I112" s="70">
        <f>IF('쪽쟘(실측)'!F112&gt;0,'쪽쟘(실측)'!F112+0.5,0)</f>
        <v>20.5</v>
      </c>
      <c r="J112" s="50">
        <f>IF('쪽쟘(실측)'!H112&gt;0,'쪽쟘(실측)'!H112+0.5,0)</f>
        <v>21.5</v>
      </c>
      <c r="K112" s="50">
        <f>IF('쪽쟘(실측)'!F112&gt;0,'쪽쟘(실측)'!F112+1.5,0)</f>
        <v>21.5</v>
      </c>
      <c r="L112" s="50">
        <f>IF('쪽쟘(실측)'!G112&gt;0,'쪽쟘(실측)'!G112+1.5,0)</f>
        <v>21.5</v>
      </c>
      <c r="M112" s="50">
        <f>IF('쪽쟘(실측)'!H112&gt;0,'쪽쟘(실측)'!H112+1.5,0)</f>
        <v>22.5</v>
      </c>
      <c r="N112" s="50">
        <f>IF('쪽쟘(실측)'!I112&gt;0,'쪽쟘(실측)'!I112+1.5,0)</f>
        <v>22.5</v>
      </c>
      <c r="O112" s="50" t="e">
        <f>'쪽쟘(실측)'!J112-기둥차감</f>
        <v>#NAME?</v>
      </c>
      <c r="P112" s="50" t="e">
        <f>'쪽쟘(실측)'!K112-기둥차감</f>
        <v>#NAME?</v>
      </c>
      <c r="Q112" s="50" t="e">
        <f>'쪽쟘(실측)'!L112-기둥차감</f>
        <v>#NAME?</v>
      </c>
      <c r="R112" s="50" t="e">
        <f>'쪽쟘(실측)'!M112-기둥차감</f>
        <v>#NAME?</v>
      </c>
      <c r="S112" s="50">
        <f>'쪽쟘(실측)'!N112+1.2</f>
        <v>17.2</v>
      </c>
      <c r="T112" s="50">
        <f>'쪽쟘(실측)'!O112+1.2</f>
        <v>17.2</v>
      </c>
      <c r="U112" s="50">
        <f>'쪽쟘(실측)'!P112</f>
        <v>16</v>
      </c>
      <c r="V112" s="50">
        <f>'쪽쟘(실측)'!Q112</f>
        <v>25</v>
      </c>
      <c r="W112" s="50" t="e">
        <f>'쪽쟘(실측)'!R112-늘치차감</f>
        <v>#NAME?</v>
      </c>
      <c r="X112" s="50" t="e">
        <f>'쪽쟘(실측)'!S112-늘치차감</f>
        <v>#NAME?</v>
      </c>
      <c r="Z112">
        <f>쪽쟘제작!AC112</f>
        <v>934</v>
      </c>
      <c r="AA112">
        <f>쪽쟘제작!AD112</f>
        <v>112.2</v>
      </c>
      <c r="AB112">
        <f>쪽쟘제작!AE112</f>
        <v>123</v>
      </c>
      <c r="AC112">
        <f>쪽쟘제작!AF112</f>
        <v>2092</v>
      </c>
      <c r="AD112">
        <f>쪽쟘제작!AG112</f>
        <v>124.00000000000001</v>
      </c>
      <c r="AE112">
        <f>쪽쟘제작!AH112</f>
        <v>2092</v>
      </c>
    </row>
    <row r="113" spans="1:31" ht="18.75" customHeight="1" x14ac:dyDescent="0.3">
      <c r="A113" s="50" t="str">
        <f>'쪽쟘(실측)'!A113</f>
        <v>112   / 2</v>
      </c>
      <c r="B113" s="50" t="str">
        <f>'쪽쟘(실측)'!B113&amp;"F"</f>
        <v>16F</v>
      </c>
      <c r="C113" s="50" t="str">
        <f t="shared" si="1"/>
        <v>932*119.2</v>
      </c>
      <c r="D113" s="50" t="e">
        <f>'쪽쟘(실측)'!C113-OP차감</f>
        <v>#NAME?</v>
      </c>
      <c r="E113" s="50" t="e">
        <f>'쪽쟘(실측)'!D113+쪽쟘J늘림+MAX(W113:X113)</f>
        <v>#VALUE!</v>
      </c>
      <c r="F113" s="50" t="e">
        <f>'쪽쟘(실측)'!E113+쪽쟘J늘림+MAX(W113:X113)</f>
        <v>#VALUE!</v>
      </c>
      <c r="G113" s="67" t="str">
        <f>IF(OR(쪽쟘제작!K113&lt;&gt;쪽쟘제작!L113,쪽쟘제작!O113&lt;&gt;쪽쟘제작!P113),"",AC113&amp;"*"&amp;AB113)</f>
        <v>2092*123</v>
      </c>
      <c r="H113" s="68" t="str">
        <f>IF(OR(쪽쟘제작!N113&lt;&gt;쪽쟘제작!M113,쪽쟘제작!Q113&lt;&gt;쪽쟘제작!R113),"",AE113&amp;"*"&amp;AD113)</f>
        <v>2092*124</v>
      </c>
      <c r="I113" s="70">
        <f>IF('쪽쟘(실측)'!F113&gt;0,'쪽쟘(실측)'!F113+0.5,0)</f>
        <v>20.5</v>
      </c>
      <c r="J113" s="50">
        <f>IF('쪽쟘(실측)'!H113&gt;0,'쪽쟘(실측)'!H113+0.5,0)</f>
        <v>21.5</v>
      </c>
      <c r="K113" s="50">
        <f>IF('쪽쟘(실측)'!F113&gt;0,'쪽쟘(실측)'!F113+1.5,0)</f>
        <v>21.5</v>
      </c>
      <c r="L113" s="50">
        <f>IF('쪽쟘(실측)'!G113&gt;0,'쪽쟘(실측)'!G113+1.5,0)</f>
        <v>21.5</v>
      </c>
      <c r="M113" s="50">
        <f>IF('쪽쟘(실측)'!H113&gt;0,'쪽쟘(실측)'!H113+1.5,0)</f>
        <v>22.5</v>
      </c>
      <c r="N113" s="50">
        <f>IF('쪽쟘(실측)'!I113&gt;0,'쪽쟘(실측)'!I113+1.5,0)</f>
        <v>22.5</v>
      </c>
      <c r="O113" s="50" t="e">
        <f>'쪽쟘(실측)'!J113-기둥차감</f>
        <v>#NAME?</v>
      </c>
      <c r="P113" s="50" t="e">
        <f>'쪽쟘(실측)'!K113-기둥차감</f>
        <v>#NAME?</v>
      </c>
      <c r="Q113" s="50" t="e">
        <f>'쪽쟘(실측)'!L113-기둥차감</f>
        <v>#NAME?</v>
      </c>
      <c r="R113" s="50" t="e">
        <f>'쪽쟘(실측)'!M113-기둥차감</f>
        <v>#NAME?</v>
      </c>
      <c r="S113" s="50">
        <f>'쪽쟘(실측)'!N113+1.2</f>
        <v>24.2</v>
      </c>
      <c r="T113" s="50">
        <f>'쪽쟘(실측)'!O113+1.2</f>
        <v>24.2</v>
      </c>
      <c r="U113" s="50">
        <f>'쪽쟘(실측)'!P113</f>
        <v>16</v>
      </c>
      <c r="V113" s="50">
        <f>'쪽쟘(실측)'!Q113</f>
        <v>25</v>
      </c>
      <c r="W113" s="50" t="e">
        <f>'쪽쟘(실측)'!R113-늘치차감</f>
        <v>#NAME?</v>
      </c>
      <c r="X113" s="50" t="e">
        <f>'쪽쟘(실측)'!S113-늘치차감</f>
        <v>#NAME?</v>
      </c>
      <c r="Z113">
        <f>쪽쟘제작!AC113</f>
        <v>932</v>
      </c>
      <c r="AA113">
        <f>쪽쟘제작!AD113</f>
        <v>119.2</v>
      </c>
      <c r="AB113">
        <f>쪽쟘제작!AE113</f>
        <v>123</v>
      </c>
      <c r="AC113">
        <f>쪽쟘제작!AF113</f>
        <v>2092</v>
      </c>
      <c r="AD113">
        <f>쪽쟘제작!AG113</f>
        <v>124.00000000000001</v>
      </c>
      <c r="AE113">
        <f>쪽쟘제작!AH113</f>
        <v>2092</v>
      </c>
    </row>
    <row r="114" spans="1:31" ht="18.75" customHeight="1" x14ac:dyDescent="0.3">
      <c r="A114" s="50" t="str">
        <f>'쪽쟘(실측)'!A114</f>
        <v>112   / 2</v>
      </c>
      <c r="B114" s="50" t="str">
        <f>'쪽쟘(실측)'!B114&amp;"F"</f>
        <v>15F</v>
      </c>
      <c r="C114" s="50" t="str">
        <f t="shared" si="1"/>
        <v>934*121.2</v>
      </c>
      <c r="D114" s="50" t="e">
        <f>'쪽쟘(실측)'!C114-OP차감</f>
        <v>#NAME?</v>
      </c>
      <c r="E114" s="50" t="e">
        <f>'쪽쟘(실측)'!D114+쪽쟘J늘림+MAX(W114:X114)</f>
        <v>#VALUE!</v>
      </c>
      <c r="F114" s="50" t="e">
        <f>'쪽쟘(실측)'!E114+쪽쟘J늘림+MAX(W114:X114)</f>
        <v>#VALUE!</v>
      </c>
      <c r="G114" s="67" t="str">
        <f>IF(OR(쪽쟘제작!K114&lt;&gt;쪽쟘제작!L114,쪽쟘제작!O114&lt;&gt;쪽쟘제작!P114),"",AC114&amp;"*"&amp;AB114)</f>
        <v>2092*124</v>
      </c>
      <c r="H114" s="68" t="str">
        <f>IF(OR(쪽쟘제작!N114&lt;&gt;쪽쟘제작!M114,쪽쟘제작!Q114&lt;&gt;쪽쟘제작!R114),"",AE114&amp;"*"&amp;AD114)</f>
        <v>2092*124</v>
      </c>
      <c r="I114" s="70">
        <f>IF('쪽쟘(실측)'!F114&gt;0,'쪽쟘(실측)'!F114+0.5,0)</f>
        <v>21.5</v>
      </c>
      <c r="J114" s="50">
        <f>IF('쪽쟘(실측)'!H114&gt;0,'쪽쟘(실측)'!H114+0.5,0)</f>
        <v>21.5</v>
      </c>
      <c r="K114" s="50">
        <f>IF('쪽쟘(실측)'!F114&gt;0,'쪽쟘(실측)'!F114+1.5,0)</f>
        <v>22.5</v>
      </c>
      <c r="L114" s="50">
        <f>IF('쪽쟘(실측)'!G114&gt;0,'쪽쟘(실측)'!G114+1.5,0)</f>
        <v>22.5</v>
      </c>
      <c r="M114" s="50">
        <f>IF('쪽쟘(실측)'!H114&gt;0,'쪽쟘(실측)'!H114+1.5,0)</f>
        <v>22.5</v>
      </c>
      <c r="N114" s="50">
        <f>IF('쪽쟘(실측)'!I114&gt;0,'쪽쟘(실측)'!I114+1.5,0)</f>
        <v>22.5</v>
      </c>
      <c r="O114" s="50" t="e">
        <f>'쪽쟘(실측)'!J114-기둥차감</f>
        <v>#NAME?</v>
      </c>
      <c r="P114" s="50" t="e">
        <f>'쪽쟘(실측)'!K114-기둥차감</f>
        <v>#NAME?</v>
      </c>
      <c r="Q114" s="50" t="e">
        <f>'쪽쟘(실측)'!L114-기둥차감</f>
        <v>#NAME?</v>
      </c>
      <c r="R114" s="50" t="e">
        <f>'쪽쟘(실측)'!M114-기둥차감</f>
        <v>#NAME?</v>
      </c>
      <c r="S114" s="50">
        <f>'쪽쟘(실측)'!N114+1.2</f>
        <v>26.2</v>
      </c>
      <c r="T114" s="50">
        <f>'쪽쟘(실측)'!O114+1.2</f>
        <v>26.2</v>
      </c>
      <c r="U114" s="50">
        <f>'쪽쟘(실측)'!P114</f>
        <v>16</v>
      </c>
      <c r="V114" s="50">
        <f>'쪽쟘(실측)'!Q114</f>
        <v>25</v>
      </c>
      <c r="W114" s="50" t="e">
        <f>'쪽쟘(실측)'!R114-늘치차감</f>
        <v>#NAME?</v>
      </c>
      <c r="X114" s="50" t="e">
        <f>'쪽쟘(실측)'!S114-늘치차감</f>
        <v>#NAME?</v>
      </c>
      <c r="Z114">
        <f>쪽쟘제작!AC114</f>
        <v>934</v>
      </c>
      <c r="AA114">
        <f>쪽쟘제작!AD114</f>
        <v>121.2</v>
      </c>
      <c r="AB114">
        <f>쪽쟘제작!AE114</f>
        <v>124.00000000000001</v>
      </c>
      <c r="AC114">
        <f>쪽쟘제작!AF114</f>
        <v>2092</v>
      </c>
      <c r="AD114">
        <f>쪽쟘제작!AG114</f>
        <v>124.00000000000001</v>
      </c>
      <c r="AE114">
        <f>쪽쟘제작!AH114</f>
        <v>2092</v>
      </c>
    </row>
    <row r="115" spans="1:31" ht="18.75" customHeight="1" x14ac:dyDescent="0.3">
      <c r="A115" s="50" t="str">
        <f>'쪽쟘(실측)'!A115</f>
        <v>112   / 2</v>
      </c>
      <c r="B115" s="50" t="str">
        <f>'쪽쟘(실측)'!B115&amp;"F"</f>
        <v>14F</v>
      </c>
      <c r="C115" s="50" t="str">
        <f t="shared" si="1"/>
        <v>932*125.2</v>
      </c>
      <c r="D115" s="50" t="e">
        <f>'쪽쟘(실측)'!C115-OP차감</f>
        <v>#NAME?</v>
      </c>
      <c r="E115" s="50" t="e">
        <f>'쪽쟘(실측)'!D115+쪽쟘J늘림+MAX(W115:X115)</f>
        <v>#VALUE!</v>
      </c>
      <c r="F115" s="50" t="e">
        <f>'쪽쟘(실측)'!E115+쪽쟘J늘림+MAX(W115:X115)</f>
        <v>#VALUE!</v>
      </c>
      <c r="G115" s="67" t="str">
        <f>IF(OR(쪽쟘제작!K115&lt;&gt;쪽쟘제작!L115,쪽쟘제작!O115&lt;&gt;쪽쟘제작!P115),"",AC115&amp;"*"&amp;AB115)</f>
        <v>2098*123</v>
      </c>
      <c r="H115" s="68" t="str">
        <f>IF(OR(쪽쟘제작!N115&lt;&gt;쪽쟘제작!M115,쪽쟘제작!Q115&lt;&gt;쪽쟘제작!R115),"",AE115&amp;"*"&amp;AD115)</f>
        <v>2092*123</v>
      </c>
      <c r="I115" s="70">
        <f>IF('쪽쟘(실측)'!F115&gt;0,'쪽쟘(실측)'!F115+0.5,0)</f>
        <v>20.5</v>
      </c>
      <c r="J115" s="50">
        <f>IF('쪽쟘(실측)'!H115&gt;0,'쪽쟘(실측)'!H115+0.5,0)</f>
        <v>20.5</v>
      </c>
      <c r="K115" s="50">
        <f>IF('쪽쟘(실측)'!F115&gt;0,'쪽쟘(실측)'!F115+1.5,0)</f>
        <v>21.5</v>
      </c>
      <c r="L115" s="50">
        <f>IF('쪽쟘(실측)'!G115&gt;0,'쪽쟘(실측)'!G115+1.5,0)</f>
        <v>21.5</v>
      </c>
      <c r="M115" s="50">
        <f>IF('쪽쟘(실측)'!H115&gt;0,'쪽쟘(실측)'!H115+1.5,0)</f>
        <v>21.5</v>
      </c>
      <c r="N115" s="50">
        <f>IF('쪽쟘(실측)'!I115&gt;0,'쪽쟘(실측)'!I115+1.5,0)</f>
        <v>21.5</v>
      </c>
      <c r="O115" s="50" t="e">
        <f>'쪽쟘(실측)'!J115-기둥차감</f>
        <v>#NAME?</v>
      </c>
      <c r="P115" s="50" t="e">
        <f>'쪽쟘(실측)'!K115-기둥차감</f>
        <v>#NAME?</v>
      </c>
      <c r="Q115" s="50" t="e">
        <f>'쪽쟘(실측)'!L115-기둥차감</f>
        <v>#NAME?</v>
      </c>
      <c r="R115" s="50" t="e">
        <f>'쪽쟘(실측)'!M115-기둥차감</f>
        <v>#NAME?</v>
      </c>
      <c r="S115" s="50">
        <f>'쪽쟘(실측)'!N115+1.2</f>
        <v>30.2</v>
      </c>
      <c r="T115" s="50">
        <f>'쪽쟘(실측)'!O115+1.2</f>
        <v>30.2</v>
      </c>
      <c r="U115" s="50">
        <f>'쪽쟘(실측)'!P115</f>
        <v>16</v>
      </c>
      <c r="V115" s="50">
        <f>'쪽쟘(실측)'!Q115</f>
        <v>25</v>
      </c>
      <c r="W115" s="50" t="e">
        <f>'쪽쟘(실측)'!R115-늘치차감</f>
        <v>#NAME?</v>
      </c>
      <c r="X115" s="50" t="e">
        <f>'쪽쟘(실측)'!S115-늘치차감</f>
        <v>#NAME?</v>
      </c>
      <c r="Z115">
        <f>쪽쟘제작!AC115</f>
        <v>932</v>
      </c>
      <c r="AA115">
        <f>쪽쟘제작!AD115</f>
        <v>125.2</v>
      </c>
      <c r="AB115">
        <f>쪽쟘제작!AE115</f>
        <v>123</v>
      </c>
      <c r="AC115">
        <f>쪽쟘제작!AF115</f>
        <v>2098</v>
      </c>
      <c r="AD115">
        <f>쪽쟘제작!AG115</f>
        <v>123</v>
      </c>
      <c r="AE115">
        <f>쪽쟘제작!AH115</f>
        <v>2092</v>
      </c>
    </row>
    <row r="116" spans="1:31" ht="18.75" customHeight="1" x14ac:dyDescent="0.3">
      <c r="A116" s="50" t="str">
        <f>'쪽쟘(실측)'!A116</f>
        <v>112   / 2</v>
      </c>
      <c r="B116" s="50" t="str">
        <f>'쪽쟘(실측)'!B116&amp;"F"</f>
        <v>13F</v>
      </c>
      <c r="C116" s="50" t="str">
        <f t="shared" si="1"/>
        <v>936*120.2</v>
      </c>
      <c r="D116" s="50" t="e">
        <f>'쪽쟘(실측)'!C116-OP차감</f>
        <v>#NAME?</v>
      </c>
      <c r="E116" s="50" t="e">
        <f>'쪽쟘(실측)'!D116+쪽쟘J늘림+MAX(W116:X116)</f>
        <v>#VALUE!</v>
      </c>
      <c r="F116" s="50" t="e">
        <f>'쪽쟘(실측)'!E116+쪽쟘J늘림+MAX(W116:X116)</f>
        <v>#VALUE!</v>
      </c>
      <c r="G116" s="67" t="str">
        <f>IF(OR(쪽쟘제작!K116&lt;&gt;쪽쟘제작!L116,쪽쟘제작!O116&lt;&gt;쪽쟘제작!P116),"",AC116&amp;"*"&amp;AB116)</f>
        <v>2098*125</v>
      </c>
      <c r="H116" s="68" t="str">
        <f>IF(OR(쪽쟘제작!N116&lt;&gt;쪽쟘제작!M116,쪽쟘제작!Q116&lt;&gt;쪽쟘제작!R116),"",AE116&amp;"*"&amp;AD116)</f>
        <v>2098*124</v>
      </c>
      <c r="I116" s="70">
        <f>IF('쪽쟘(실측)'!F116&gt;0,'쪽쟘(실측)'!F116+0.5,0)</f>
        <v>22.5</v>
      </c>
      <c r="J116" s="50">
        <f>IF('쪽쟘(실측)'!H116&gt;0,'쪽쟘(실측)'!H116+0.5,0)</f>
        <v>21.5</v>
      </c>
      <c r="K116" s="50">
        <f>IF('쪽쟘(실측)'!F116&gt;0,'쪽쟘(실측)'!F116+1.5,0)</f>
        <v>23.5</v>
      </c>
      <c r="L116" s="50">
        <f>IF('쪽쟘(실측)'!G116&gt;0,'쪽쟘(실측)'!G116+1.5,0)</f>
        <v>23.5</v>
      </c>
      <c r="M116" s="50">
        <f>IF('쪽쟘(실측)'!H116&gt;0,'쪽쟘(실측)'!H116+1.5,0)</f>
        <v>22.5</v>
      </c>
      <c r="N116" s="50">
        <f>IF('쪽쟘(실측)'!I116&gt;0,'쪽쟘(실측)'!I116+1.5,0)</f>
        <v>22.5</v>
      </c>
      <c r="O116" s="50" t="e">
        <f>'쪽쟘(실측)'!J116-기둥차감</f>
        <v>#NAME?</v>
      </c>
      <c r="P116" s="50" t="e">
        <f>'쪽쟘(실측)'!K116-기둥차감</f>
        <v>#NAME?</v>
      </c>
      <c r="Q116" s="50" t="e">
        <f>'쪽쟘(실측)'!L116-기둥차감</f>
        <v>#NAME?</v>
      </c>
      <c r="R116" s="50" t="e">
        <f>'쪽쟘(실측)'!M116-기둥차감</f>
        <v>#NAME?</v>
      </c>
      <c r="S116" s="50">
        <f>'쪽쟘(실측)'!N116+1.2</f>
        <v>25.2</v>
      </c>
      <c r="T116" s="50">
        <f>'쪽쟘(실측)'!O116+1.2</f>
        <v>25.2</v>
      </c>
      <c r="U116" s="50">
        <f>'쪽쟘(실측)'!P116</f>
        <v>16</v>
      </c>
      <c r="V116" s="50">
        <f>'쪽쟘(실측)'!Q116</f>
        <v>25</v>
      </c>
      <c r="W116" s="50" t="e">
        <f>'쪽쟘(실측)'!R116-늘치차감</f>
        <v>#NAME?</v>
      </c>
      <c r="X116" s="50" t="e">
        <f>'쪽쟘(실측)'!S116-늘치차감</f>
        <v>#NAME?</v>
      </c>
      <c r="Z116">
        <f>쪽쟘제작!AC116</f>
        <v>936</v>
      </c>
      <c r="AA116">
        <f>쪽쟘제작!AD116</f>
        <v>120.2</v>
      </c>
      <c r="AB116">
        <f>쪽쟘제작!AE116</f>
        <v>125.00000000000001</v>
      </c>
      <c r="AC116">
        <f>쪽쟘제작!AF116</f>
        <v>2098</v>
      </c>
      <c r="AD116">
        <f>쪽쟘제작!AG116</f>
        <v>124.00000000000001</v>
      </c>
      <c r="AE116">
        <f>쪽쟘제작!AH116</f>
        <v>2098</v>
      </c>
    </row>
    <row r="117" spans="1:31" ht="18.75" customHeight="1" x14ac:dyDescent="0.3">
      <c r="A117" s="50" t="str">
        <f>'쪽쟘(실측)'!A117</f>
        <v>112   / 2</v>
      </c>
      <c r="B117" s="50" t="str">
        <f>'쪽쟘(실측)'!B117&amp;"F"</f>
        <v>12F</v>
      </c>
      <c r="C117" s="50" t="str">
        <f t="shared" si="1"/>
        <v>928*111.2</v>
      </c>
      <c r="D117" s="50" t="e">
        <f>'쪽쟘(실측)'!C117-OP차감</f>
        <v>#NAME?</v>
      </c>
      <c r="E117" s="50" t="e">
        <f>'쪽쟘(실측)'!D117+쪽쟘J늘림+MAX(W117:X117)</f>
        <v>#VALUE!</v>
      </c>
      <c r="F117" s="50" t="e">
        <f>'쪽쟘(실측)'!E117+쪽쟘J늘림+MAX(W117:X117)</f>
        <v>#VALUE!</v>
      </c>
      <c r="G117" s="67" t="str">
        <f>IF(OR(쪽쟘제작!K117&lt;&gt;쪽쟘제작!L117,쪽쟘제작!O117&lt;&gt;쪽쟘제작!P117),"",AC117&amp;"*"&amp;AB117)</f>
        <v>2092*120</v>
      </c>
      <c r="H117" s="68" t="str">
        <f>IF(OR(쪽쟘제작!N117&lt;&gt;쪽쟘제작!M117,쪽쟘제작!Q117&lt;&gt;쪽쟘제작!R117),"",AE117&amp;"*"&amp;AD117)</f>
        <v>2092*121</v>
      </c>
      <c r="I117" s="70">
        <f>IF('쪽쟘(실측)'!F117&gt;0,'쪽쟘(실측)'!F117+0.5,0)</f>
        <v>17.5</v>
      </c>
      <c r="J117" s="50">
        <f>IF('쪽쟘(실측)'!H117&gt;0,'쪽쟘(실측)'!H117+0.5,0)</f>
        <v>18.5</v>
      </c>
      <c r="K117" s="50">
        <f>IF('쪽쟘(실측)'!F117&gt;0,'쪽쟘(실측)'!F117+1.5,0)</f>
        <v>18.5</v>
      </c>
      <c r="L117" s="50">
        <f>IF('쪽쟘(실측)'!G117&gt;0,'쪽쟘(실측)'!G117+1.5,0)</f>
        <v>18.5</v>
      </c>
      <c r="M117" s="50">
        <f>IF('쪽쟘(실측)'!H117&gt;0,'쪽쟘(실측)'!H117+1.5,0)</f>
        <v>19.5</v>
      </c>
      <c r="N117" s="50">
        <f>IF('쪽쟘(실측)'!I117&gt;0,'쪽쟘(실측)'!I117+1.5,0)</f>
        <v>19.5</v>
      </c>
      <c r="O117" s="50" t="e">
        <f>'쪽쟘(실측)'!J117-기둥차감</f>
        <v>#NAME?</v>
      </c>
      <c r="P117" s="50" t="e">
        <f>'쪽쟘(실측)'!K117-기둥차감</f>
        <v>#NAME?</v>
      </c>
      <c r="Q117" s="50" t="e">
        <f>'쪽쟘(실측)'!L117-기둥차감</f>
        <v>#NAME?</v>
      </c>
      <c r="R117" s="50" t="e">
        <f>'쪽쟘(실측)'!M117-기둥차감</f>
        <v>#NAME?</v>
      </c>
      <c r="S117" s="50">
        <f>'쪽쟘(실측)'!N117+1.2</f>
        <v>16.2</v>
      </c>
      <c r="T117" s="50">
        <f>'쪽쟘(실측)'!O117+1.2</f>
        <v>16.2</v>
      </c>
      <c r="U117" s="50">
        <f>'쪽쟘(실측)'!P117</f>
        <v>16</v>
      </c>
      <c r="V117" s="50">
        <f>'쪽쟘(실측)'!Q117</f>
        <v>25</v>
      </c>
      <c r="W117" s="50" t="e">
        <f>'쪽쟘(실측)'!R117-늘치차감</f>
        <v>#NAME?</v>
      </c>
      <c r="X117" s="50" t="e">
        <f>'쪽쟘(실측)'!S117-늘치차감</f>
        <v>#NAME?</v>
      </c>
      <c r="Z117">
        <f>쪽쟘제작!AC117</f>
        <v>928</v>
      </c>
      <c r="AA117">
        <f>쪽쟘제작!AD117</f>
        <v>111.2</v>
      </c>
      <c r="AB117">
        <f>쪽쟘제작!AE117</f>
        <v>120</v>
      </c>
      <c r="AC117">
        <f>쪽쟘제작!AF117</f>
        <v>2092</v>
      </c>
      <c r="AD117">
        <f>쪽쟘제작!AG117</f>
        <v>121</v>
      </c>
      <c r="AE117">
        <f>쪽쟘제작!AH117</f>
        <v>2092</v>
      </c>
    </row>
    <row r="118" spans="1:31" ht="18.75" customHeight="1" x14ac:dyDescent="0.3">
      <c r="A118" s="50" t="str">
        <f>'쪽쟘(실측)'!A118</f>
        <v>112   / 2</v>
      </c>
      <c r="B118" s="50" t="str">
        <f>'쪽쟘(실측)'!B118&amp;"F"</f>
        <v>11F</v>
      </c>
      <c r="C118" s="50" t="str">
        <f t="shared" si="1"/>
        <v>928*119.2</v>
      </c>
      <c r="D118" s="50" t="e">
        <f>'쪽쟘(실측)'!C118-OP차감</f>
        <v>#NAME?</v>
      </c>
      <c r="E118" s="50" t="e">
        <f>'쪽쟘(실측)'!D118+쪽쟘J늘림+MAX(W118:X118)</f>
        <v>#VALUE!</v>
      </c>
      <c r="F118" s="50" t="e">
        <f>'쪽쟘(실측)'!E118+쪽쟘J늘림+MAX(W118:X118)</f>
        <v>#VALUE!</v>
      </c>
      <c r="G118" s="67" t="str">
        <f>IF(OR(쪽쟘제작!K118&lt;&gt;쪽쟘제작!L118,쪽쟘제작!O118&lt;&gt;쪽쟘제작!P118),"",AC118&amp;"*"&amp;AB118)</f>
        <v>2098*121</v>
      </c>
      <c r="H118" s="68" t="str">
        <f>IF(OR(쪽쟘제작!N118&lt;&gt;쪽쟘제작!M118,쪽쟘제작!Q118&lt;&gt;쪽쟘제작!R118),"",AE118&amp;"*"&amp;AD118)</f>
        <v>2098*121</v>
      </c>
      <c r="I118" s="70">
        <f>IF('쪽쟘(실측)'!F118&gt;0,'쪽쟘(실측)'!F118+0.5,0)</f>
        <v>18.5</v>
      </c>
      <c r="J118" s="50">
        <f>IF('쪽쟘(실측)'!H118&gt;0,'쪽쟘(실측)'!H118+0.5,0)</f>
        <v>18.5</v>
      </c>
      <c r="K118" s="50">
        <f>IF('쪽쟘(실측)'!F118&gt;0,'쪽쟘(실측)'!F118+1.5,0)</f>
        <v>19.5</v>
      </c>
      <c r="L118" s="50">
        <f>IF('쪽쟘(실측)'!G118&gt;0,'쪽쟘(실측)'!G118+1.5,0)</f>
        <v>19.5</v>
      </c>
      <c r="M118" s="50">
        <f>IF('쪽쟘(실측)'!H118&gt;0,'쪽쟘(실측)'!H118+1.5,0)</f>
        <v>19.5</v>
      </c>
      <c r="N118" s="50">
        <f>IF('쪽쟘(실측)'!I118&gt;0,'쪽쟘(실측)'!I118+1.5,0)</f>
        <v>19.5</v>
      </c>
      <c r="O118" s="50" t="e">
        <f>'쪽쟘(실측)'!J118-기둥차감</f>
        <v>#NAME?</v>
      </c>
      <c r="P118" s="50" t="e">
        <f>'쪽쟘(실측)'!K118-기둥차감</f>
        <v>#NAME?</v>
      </c>
      <c r="Q118" s="50" t="e">
        <f>'쪽쟘(실측)'!L118-기둥차감</f>
        <v>#NAME?</v>
      </c>
      <c r="R118" s="50" t="e">
        <f>'쪽쟘(실측)'!M118-기둥차감</f>
        <v>#NAME?</v>
      </c>
      <c r="S118" s="50">
        <f>'쪽쟘(실측)'!N118+1.2</f>
        <v>24.2</v>
      </c>
      <c r="T118" s="50">
        <f>'쪽쟘(실측)'!O118+1.2</f>
        <v>24.2</v>
      </c>
      <c r="U118" s="50">
        <f>'쪽쟘(실측)'!P118</f>
        <v>16</v>
      </c>
      <c r="V118" s="50">
        <f>'쪽쟘(실측)'!Q118</f>
        <v>25</v>
      </c>
      <c r="W118" s="50" t="e">
        <f>'쪽쟘(실측)'!R118-늘치차감</f>
        <v>#NAME?</v>
      </c>
      <c r="X118" s="50" t="e">
        <f>'쪽쟘(실측)'!S118-늘치차감</f>
        <v>#NAME?</v>
      </c>
      <c r="Z118">
        <f>쪽쟘제작!AC118</f>
        <v>928</v>
      </c>
      <c r="AA118">
        <f>쪽쟘제작!AD118</f>
        <v>119.2</v>
      </c>
      <c r="AB118">
        <f>쪽쟘제작!AE118</f>
        <v>121</v>
      </c>
      <c r="AC118">
        <f>쪽쟘제작!AF118</f>
        <v>2098</v>
      </c>
      <c r="AD118">
        <f>쪽쟘제작!AG118</f>
        <v>121</v>
      </c>
      <c r="AE118">
        <f>쪽쟘제작!AH118</f>
        <v>2098</v>
      </c>
    </row>
    <row r="119" spans="1:31" ht="18.75" customHeight="1" x14ac:dyDescent="0.3">
      <c r="A119" s="50" t="str">
        <f>'쪽쟘(실측)'!A119</f>
        <v>112   / 2</v>
      </c>
      <c r="B119" s="50" t="str">
        <f>'쪽쟘(실측)'!B119&amp;"F"</f>
        <v>10F</v>
      </c>
      <c r="C119" s="50" t="str">
        <f t="shared" si="1"/>
        <v>922*116.2</v>
      </c>
      <c r="D119" s="50" t="e">
        <f>'쪽쟘(실측)'!C119-OP차감</f>
        <v>#NAME?</v>
      </c>
      <c r="E119" s="50" t="e">
        <f>'쪽쟘(실측)'!D119+쪽쟘J늘림+MAX(W119:X119)</f>
        <v>#VALUE!</v>
      </c>
      <c r="F119" s="50" t="e">
        <f>'쪽쟘(실측)'!E119+쪽쟘J늘림+MAX(W119:X119)</f>
        <v>#VALUE!</v>
      </c>
      <c r="G119" s="67" t="str">
        <f>IF(OR(쪽쟘제작!K119&lt;&gt;쪽쟘제작!L119,쪽쟘제작!O119&lt;&gt;쪽쟘제작!P119),"",AC119&amp;"*"&amp;AB119)</f>
        <v>2098*118</v>
      </c>
      <c r="H119" s="68" t="str">
        <f>IF(OR(쪽쟘제작!N119&lt;&gt;쪽쟘제작!M119,쪽쟘제작!Q119&lt;&gt;쪽쟘제작!R119),"",AE119&amp;"*"&amp;AD119)</f>
        <v>2098*119</v>
      </c>
      <c r="I119" s="70">
        <f>IF('쪽쟘(실측)'!F119&gt;0,'쪽쟘(실측)'!F119+0.5,0)</f>
        <v>15.5</v>
      </c>
      <c r="J119" s="50">
        <f>IF('쪽쟘(실측)'!H119&gt;0,'쪽쟘(실측)'!H119+0.5,0)</f>
        <v>16.5</v>
      </c>
      <c r="K119" s="50">
        <f>IF('쪽쟘(실측)'!F119&gt;0,'쪽쟘(실측)'!F119+1.5,0)</f>
        <v>16.5</v>
      </c>
      <c r="L119" s="50">
        <f>IF('쪽쟘(실측)'!G119&gt;0,'쪽쟘(실측)'!G119+1.5,0)</f>
        <v>16.5</v>
      </c>
      <c r="M119" s="50">
        <f>IF('쪽쟘(실측)'!H119&gt;0,'쪽쟘(실측)'!H119+1.5,0)</f>
        <v>17.5</v>
      </c>
      <c r="N119" s="50">
        <f>IF('쪽쟘(실측)'!I119&gt;0,'쪽쟘(실측)'!I119+1.5,0)</f>
        <v>17.5</v>
      </c>
      <c r="O119" s="50" t="e">
        <f>'쪽쟘(실측)'!J119-기둥차감</f>
        <v>#NAME?</v>
      </c>
      <c r="P119" s="50" t="e">
        <f>'쪽쟘(실측)'!K119-기둥차감</f>
        <v>#NAME?</v>
      </c>
      <c r="Q119" s="50" t="e">
        <f>'쪽쟘(실측)'!L119-기둥차감</f>
        <v>#NAME?</v>
      </c>
      <c r="R119" s="50" t="e">
        <f>'쪽쟘(실측)'!M119-기둥차감</f>
        <v>#NAME?</v>
      </c>
      <c r="S119" s="50">
        <f>'쪽쟘(실측)'!N119+1.2</f>
        <v>21.2</v>
      </c>
      <c r="T119" s="50">
        <f>'쪽쟘(실측)'!O119+1.2</f>
        <v>21.2</v>
      </c>
      <c r="U119" s="50">
        <f>'쪽쟘(실측)'!P119</f>
        <v>16</v>
      </c>
      <c r="V119" s="50">
        <f>'쪽쟘(실측)'!Q119</f>
        <v>25</v>
      </c>
      <c r="W119" s="50" t="e">
        <f>'쪽쟘(실측)'!R119-늘치차감</f>
        <v>#NAME?</v>
      </c>
      <c r="X119" s="50" t="e">
        <f>'쪽쟘(실측)'!S119-늘치차감</f>
        <v>#NAME?</v>
      </c>
      <c r="Z119">
        <f>쪽쟘제작!AC119</f>
        <v>922</v>
      </c>
      <c r="AA119">
        <f>쪽쟘제작!AD119</f>
        <v>116.2</v>
      </c>
      <c r="AB119">
        <f>쪽쟘제작!AE119</f>
        <v>118</v>
      </c>
      <c r="AC119">
        <f>쪽쟘제작!AF119</f>
        <v>2098</v>
      </c>
      <c r="AD119">
        <f>쪽쟘제작!AG119</f>
        <v>119</v>
      </c>
      <c r="AE119">
        <f>쪽쟘제작!AH119</f>
        <v>2098</v>
      </c>
    </row>
    <row r="120" spans="1:31" ht="18.75" customHeight="1" x14ac:dyDescent="0.3">
      <c r="A120" s="50" t="str">
        <f>'쪽쟘(실측)'!A120</f>
        <v>112   / 2</v>
      </c>
      <c r="B120" s="50" t="str">
        <f>'쪽쟘(실측)'!B120&amp;"F"</f>
        <v>9F</v>
      </c>
      <c r="C120" s="50" t="str">
        <f t="shared" si="1"/>
        <v>932*114.2</v>
      </c>
      <c r="D120" s="50" t="e">
        <f>'쪽쟘(실측)'!C120-OP차감</f>
        <v>#NAME?</v>
      </c>
      <c r="E120" s="50" t="e">
        <f>'쪽쟘(실측)'!D120+쪽쟘J늘림+MAX(W120:X120)</f>
        <v>#VALUE!</v>
      </c>
      <c r="F120" s="50" t="e">
        <f>'쪽쟘(실측)'!E120+쪽쟘J늘림+MAX(W120:X120)</f>
        <v>#VALUE!</v>
      </c>
      <c r="G120" s="67" t="str">
        <f>IF(OR(쪽쟘제작!K120&lt;&gt;쪽쟘제작!L120,쪽쟘제작!O120&lt;&gt;쪽쟘제작!P120),"",AC120&amp;"*"&amp;AB120)</f>
        <v>2098*123</v>
      </c>
      <c r="H120" s="68" t="str">
        <f>IF(OR(쪽쟘제작!N120&lt;&gt;쪽쟘제작!M120,쪽쟘제작!Q120&lt;&gt;쪽쟘제작!R120),"",AE120&amp;"*"&amp;AD120)</f>
        <v>2098*124</v>
      </c>
      <c r="I120" s="70">
        <f>IF('쪽쟘(실측)'!F120&gt;0,'쪽쟘(실측)'!F120+0.5,0)</f>
        <v>20.5</v>
      </c>
      <c r="J120" s="50">
        <f>IF('쪽쟘(실측)'!H120&gt;0,'쪽쟘(실측)'!H120+0.5,0)</f>
        <v>21.5</v>
      </c>
      <c r="K120" s="50">
        <f>IF('쪽쟘(실측)'!F120&gt;0,'쪽쟘(실측)'!F120+1.5,0)</f>
        <v>21.5</v>
      </c>
      <c r="L120" s="50">
        <f>IF('쪽쟘(실측)'!G120&gt;0,'쪽쟘(실측)'!G120+1.5,0)</f>
        <v>21.5</v>
      </c>
      <c r="M120" s="50">
        <f>IF('쪽쟘(실측)'!H120&gt;0,'쪽쟘(실측)'!H120+1.5,0)</f>
        <v>22.5</v>
      </c>
      <c r="N120" s="50">
        <f>IF('쪽쟘(실측)'!I120&gt;0,'쪽쟘(실측)'!I120+1.5,0)</f>
        <v>22.5</v>
      </c>
      <c r="O120" s="50" t="e">
        <f>'쪽쟘(실측)'!J120-기둥차감</f>
        <v>#NAME?</v>
      </c>
      <c r="P120" s="50" t="e">
        <f>'쪽쟘(실측)'!K120-기둥차감</f>
        <v>#NAME?</v>
      </c>
      <c r="Q120" s="50" t="e">
        <f>'쪽쟘(실측)'!L120-기둥차감</f>
        <v>#NAME?</v>
      </c>
      <c r="R120" s="50" t="e">
        <f>'쪽쟘(실측)'!M120-기둥차감</f>
        <v>#NAME?</v>
      </c>
      <c r="S120" s="50">
        <f>'쪽쟘(실측)'!N120+1.2</f>
        <v>19.2</v>
      </c>
      <c r="T120" s="50">
        <f>'쪽쟘(실측)'!O120+1.2</f>
        <v>19.2</v>
      </c>
      <c r="U120" s="50">
        <f>'쪽쟘(실측)'!P120</f>
        <v>16</v>
      </c>
      <c r="V120" s="50">
        <f>'쪽쟘(실측)'!Q120</f>
        <v>25</v>
      </c>
      <c r="W120" s="50" t="e">
        <f>'쪽쟘(실측)'!R120-늘치차감</f>
        <v>#NAME?</v>
      </c>
      <c r="X120" s="50" t="e">
        <f>'쪽쟘(실측)'!S120-늘치차감</f>
        <v>#NAME?</v>
      </c>
      <c r="Z120">
        <f>쪽쟘제작!AC120</f>
        <v>932</v>
      </c>
      <c r="AA120">
        <f>쪽쟘제작!AD120</f>
        <v>114.2</v>
      </c>
      <c r="AB120">
        <f>쪽쟘제작!AE120</f>
        <v>123</v>
      </c>
      <c r="AC120">
        <f>쪽쟘제작!AF120</f>
        <v>2098</v>
      </c>
      <c r="AD120">
        <f>쪽쟘제작!AG120</f>
        <v>124.00000000000001</v>
      </c>
      <c r="AE120">
        <f>쪽쟘제작!AH120</f>
        <v>2098</v>
      </c>
    </row>
    <row r="121" spans="1:31" ht="18.75" customHeight="1" x14ac:dyDescent="0.3">
      <c r="A121" s="50" t="str">
        <f>'쪽쟘(실측)'!A121</f>
        <v>112   / 2</v>
      </c>
      <c r="B121" s="50" t="str">
        <f>'쪽쟘(실측)'!B121&amp;"F"</f>
        <v>8F</v>
      </c>
      <c r="C121" s="50" t="str">
        <f t="shared" si="1"/>
        <v>932*116.2</v>
      </c>
      <c r="D121" s="50" t="e">
        <f>'쪽쟘(실측)'!C121-OP차감</f>
        <v>#NAME?</v>
      </c>
      <c r="E121" s="50" t="e">
        <f>'쪽쟘(실측)'!D121+쪽쟘J늘림+MAX(W121:X121)</f>
        <v>#VALUE!</v>
      </c>
      <c r="F121" s="50" t="e">
        <f>'쪽쟘(실측)'!E121+쪽쟘J늘림+MAX(W121:X121)</f>
        <v>#VALUE!</v>
      </c>
      <c r="G121" s="67" t="str">
        <f>IF(OR(쪽쟘제작!K121&lt;&gt;쪽쟘제작!L121,쪽쟘제작!O121&lt;&gt;쪽쟘제작!P121),"",AC121&amp;"*"&amp;AB121)</f>
        <v>2098*123</v>
      </c>
      <c r="H121" s="68" t="str">
        <f>IF(OR(쪽쟘제작!N121&lt;&gt;쪽쟘제작!M121,쪽쟘제작!Q121&lt;&gt;쪽쟘제작!R121),"",AE121&amp;"*"&amp;AD121)</f>
        <v>2098*123</v>
      </c>
      <c r="I121" s="70">
        <f>IF('쪽쟘(실측)'!F121&gt;0,'쪽쟘(실측)'!F121+0.5,0)</f>
        <v>20.5</v>
      </c>
      <c r="J121" s="50">
        <f>IF('쪽쟘(실측)'!H121&gt;0,'쪽쟘(실측)'!H121+0.5,0)</f>
        <v>20.5</v>
      </c>
      <c r="K121" s="50">
        <f>IF('쪽쟘(실측)'!F121&gt;0,'쪽쟘(실측)'!F121+1.5,0)</f>
        <v>21.5</v>
      </c>
      <c r="L121" s="50">
        <f>IF('쪽쟘(실측)'!G121&gt;0,'쪽쟘(실측)'!G121+1.5,0)</f>
        <v>21.5</v>
      </c>
      <c r="M121" s="50">
        <f>IF('쪽쟘(실측)'!H121&gt;0,'쪽쟘(실측)'!H121+1.5,0)</f>
        <v>21.5</v>
      </c>
      <c r="N121" s="50">
        <f>IF('쪽쟘(실측)'!I121&gt;0,'쪽쟘(실측)'!I121+1.5,0)</f>
        <v>21.5</v>
      </c>
      <c r="O121" s="50" t="e">
        <f>'쪽쟘(실측)'!J121-기둥차감</f>
        <v>#NAME?</v>
      </c>
      <c r="P121" s="50" t="e">
        <f>'쪽쟘(실측)'!K121-기둥차감</f>
        <v>#NAME?</v>
      </c>
      <c r="Q121" s="50" t="e">
        <f>'쪽쟘(실측)'!L121-기둥차감</f>
        <v>#NAME?</v>
      </c>
      <c r="R121" s="50" t="e">
        <f>'쪽쟘(실측)'!M121-기둥차감</f>
        <v>#NAME?</v>
      </c>
      <c r="S121" s="50">
        <f>'쪽쟘(실측)'!N121+1.2</f>
        <v>21.2</v>
      </c>
      <c r="T121" s="50">
        <f>'쪽쟘(실측)'!O121+1.2</f>
        <v>21.2</v>
      </c>
      <c r="U121" s="50">
        <f>'쪽쟘(실측)'!P121</f>
        <v>16</v>
      </c>
      <c r="V121" s="50">
        <f>'쪽쟘(실측)'!Q121</f>
        <v>25</v>
      </c>
      <c r="W121" s="50" t="e">
        <f>'쪽쟘(실측)'!R121-늘치차감</f>
        <v>#NAME?</v>
      </c>
      <c r="X121" s="50" t="e">
        <f>'쪽쟘(실측)'!S121-늘치차감</f>
        <v>#NAME?</v>
      </c>
      <c r="Z121">
        <f>쪽쟘제작!AC121</f>
        <v>932</v>
      </c>
      <c r="AA121">
        <f>쪽쟘제작!AD121</f>
        <v>116.2</v>
      </c>
      <c r="AB121">
        <f>쪽쟘제작!AE121</f>
        <v>123</v>
      </c>
      <c r="AC121">
        <f>쪽쟘제작!AF121</f>
        <v>2098</v>
      </c>
      <c r="AD121">
        <f>쪽쟘제작!AG121</f>
        <v>123</v>
      </c>
      <c r="AE121">
        <f>쪽쟘제작!AH121</f>
        <v>2098</v>
      </c>
    </row>
    <row r="122" spans="1:31" ht="18.75" customHeight="1" x14ac:dyDescent="0.3">
      <c r="A122" s="50" t="str">
        <f>'쪽쟘(실측)'!A122</f>
        <v>112   / 2</v>
      </c>
      <c r="B122" s="50" t="str">
        <f>'쪽쟘(실측)'!B122&amp;"F"</f>
        <v>7F</v>
      </c>
      <c r="C122" s="50" t="str">
        <f t="shared" ref="C122:C127" si="2">Z122&amp;"*"&amp;AA122</f>
        <v>931*113.2</v>
      </c>
      <c r="D122" s="50" t="e">
        <f>'쪽쟘(실측)'!C122-OP차감</f>
        <v>#NAME?</v>
      </c>
      <c r="E122" s="50" t="e">
        <f>'쪽쟘(실측)'!D122+쪽쟘J늘림+MAX(W122:X122)</f>
        <v>#VALUE!</v>
      </c>
      <c r="F122" s="50" t="e">
        <f>'쪽쟘(실측)'!E122+쪽쟘J늘림+MAX(W122:X122)</f>
        <v>#VALUE!</v>
      </c>
      <c r="G122" s="67" t="str">
        <f>IF(OR(쪽쟘제작!K122&lt;&gt;쪽쟘제작!L122,쪽쟘제작!O122&lt;&gt;쪽쟘제작!P122),"",AC122&amp;"*"&amp;AB122)</f>
        <v>2092*123</v>
      </c>
      <c r="H122" s="68" t="str">
        <f>IF(OR(쪽쟘제작!N122&lt;&gt;쪽쟘제작!M122,쪽쟘제작!Q122&lt;&gt;쪽쟘제작!R122),"",AE122&amp;"*"&amp;AD122)</f>
        <v>2098*122</v>
      </c>
      <c r="I122" s="70">
        <f>IF('쪽쟘(실측)'!F122&gt;0,'쪽쟘(실측)'!F122+0.5,0)</f>
        <v>20.5</v>
      </c>
      <c r="J122" s="50">
        <f>IF('쪽쟘(실측)'!H122&gt;0,'쪽쟘(실측)'!H122+0.5,0)</f>
        <v>19.5</v>
      </c>
      <c r="K122" s="50">
        <f>IF('쪽쟘(실측)'!F122&gt;0,'쪽쟘(실측)'!F122+1.5,0)</f>
        <v>21.5</v>
      </c>
      <c r="L122" s="50">
        <f>IF('쪽쟘(실측)'!G122&gt;0,'쪽쟘(실측)'!G122+1.5,0)</f>
        <v>21.5</v>
      </c>
      <c r="M122" s="50">
        <f>IF('쪽쟘(실측)'!H122&gt;0,'쪽쟘(실측)'!H122+1.5,0)</f>
        <v>20.5</v>
      </c>
      <c r="N122" s="50">
        <f>IF('쪽쟘(실측)'!I122&gt;0,'쪽쟘(실측)'!I122+1.5,0)</f>
        <v>20.5</v>
      </c>
      <c r="O122" s="50" t="e">
        <f>'쪽쟘(실측)'!J122-기둥차감</f>
        <v>#NAME?</v>
      </c>
      <c r="P122" s="50" t="e">
        <f>'쪽쟘(실측)'!K122-기둥차감</f>
        <v>#NAME?</v>
      </c>
      <c r="Q122" s="50" t="e">
        <f>'쪽쟘(실측)'!L122-기둥차감</f>
        <v>#NAME?</v>
      </c>
      <c r="R122" s="50" t="e">
        <f>'쪽쟘(실측)'!M122-기둥차감</f>
        <v>#NAME?</v>
      </c>
      <c r="S122" s="50">
        <f>'쪽쟘(실측)'!N122+1.2</f>
        <v>18.2</v>
      </c>
      <c r="T122" s="50">
        <f>'쪽쟘(실측)'!O122+1.2</f>
        <v>18.2</v>
      </c>
      <c r="U122" s="50">
        <f>'쪽쟘(실측)'!P122</f>
        <v>16</v>
      </c>
      <c r="V122" s="50">
        <f>'쪽쟘(실측)'!Q122</f>
        <v>25</v>
      </c>
      <c r="W122" s="50" t="e">
        <f>'쪽쟘(실측)'!R122-늘치차감</f>
        <v>#NAME?</v>
      </c>
      <c r="X122" s="50" t="e">
        <f>'쪽쟘(실측)'!S122-늘치차감</f>
        <v>#NAME?</v>
      </c>
      <c r="Z122">
        <f>쪽쟘제작!AC122</f>
        <v>931</v>
      </c>
      <c r="AA122">
        <f>쪽쟘제작!AD122</f>
        <v>113.2</v>
      </c>
      <c r="AB122">
        <f>쪽쟘제작!AE122</f>
        <v>123</v>
      </c>
      <c r="AC122">
        <f>쪽쟘제작!AF122</f>
        <v>2092</v>
      </c>
      <c r="AD122">
        <f>쪽쟘제작!AG122</f>
        <v>122</v>
      </c>
      <c r="AE122">
        <f>쪽쟘제작!AH122</f>
        <v>2098</v>
      </c>
    </row>
    <row r="123" spans="1:31" ht="18.75" customHeight="1" x14ac:dyDescent="0.3">
      <c r="A123" s="50" t="str">
        <f>'쪽쟘(실측)'!A123</f>
        <v>112   / 2</v>
      </c>
      <c r="B123" s="50" t="str">
        <f>'쪽쟘(실측)'!B123&amp;"F"</f>
        <v>6F</v>
      </c>
      <c r="C123" s="50" t="str">
        <f t="shared" si="2"/>
        <v>934*113.2</v>
      </c>
      <c r="D123" s="50" t="e">
        <f>'쪽쟘(실측)'!C123-OP차감</f>
        <v>#NAME?</v>
      </c>
      <c r="E123" s="50" t="e">
        <f>'쪽쟘(실측)'!D123+쪽쟘J늘림+MAX(W123:X123)</f>
        <v>#VALUE!</v>
      </c>
      <c r="F123" s="50" t="e">
        <f>'쪽쟘(실측)'!E123+쪽쟘J늘림+MAX(W123:X123)</f>
        <v>#VALUE!</v>
      </c>
      <c r="G123" s="67" t="str">
        <f>IF(OR(쪽쟘제작!K123&lt;&gt;쪽쟘제작!L123,쪽쟘제작!O123&lt;&gt;쪽쟘제작!P123),"",AC123&amp;"*"&amp;AB123)</f>
        <v>2098*126</v>
      </c>
      <c r="H123" s="68" t="str">
        <f>IF(OR(쪽쟘제작!N123&lt;&gt;쪽쟘제작!M123,쪽쟘제작!Q123&lt;&gt;쪽쟘제작!R123),"",AE123&amp;"*"&amp;AD123)</f>
        <v>2098*123</v>
      </c>
      <c r="I123" s="70">
        <f>IF('쪽쟘(실측)'!F123&gt;0,'쪽쟘(실측)'!F123+0.5,0)</f>
        <v>23.5</v>
      </c>
      <c r="J123" s="50">
        <f>IF('쪽쟘(실측)'!H123&gt;0,'쪽쟘(실측)'!H123+0.5,0)</f>
        <v>20.5</v>
      </c>
      <c r="K123" s="50">
        <f>IF('쪽쟘(실측)'!F123&gt;0,'쪽쟘(실측)'!F123+1.5,0)</f>
        <v>24.5</v>
      </c>
      <c r="L123" s="50">
        <f>IF('쪽쟘(실측)'!G123&gt;0,'쪽쟘(실측)'!G123+1.5,0)</f>
        <v>24.5</v>
      </c>
      <c r="M123" s="50">
        <f>IF('쪽쟘(실측)'!H123&gt;0,'쪽쟘(실측)'!H123+1.5,0)</f>
        <v>21.5</v>
      </c>
      <c r="N123" s="50">
        <f>IF('쪽쟘(실측)'!I123&gt;0,'쪽쟘(실측)'!I123+1.5,0)</f>
        <v>21.5</v>
      </c>
      <c r="O123" s="50" t="e">
        <f>'쪽쟘(실측)'!J123-기둥차감</f>
        <v>#NAME?</v>
      </c>
      <c r="P123" s="50" t="e">
        <f>'쪽쟘(실측)'!K123-기둥차감</f>
        <v>#NAME?</v>
      </c>
      <c r="Q123" s="50" t="e">
        <f>'쪽쟘(실측)'!L123-기둥차감</f>
        <v>#NAME?</v>
      </c>
      <c r="R123" s="50" t="e">
        <f>'쪽쟘(실측)'!M123-기둥차감</f>
        <v>#NAME?</v>
      </c>
      <c r="S123" s="50">
        <f>'쪽쟘(실측)'!N123+1.2</f>
        <v>18.2</v>
      </c>
      <c r="T123" s="50">
        <f>'쪽쟘(실측)'!O123+1.2</f>
        <v>18.2</v>
      </c>
      <c r="U123" s="50">
        <f>'쪽쟘(실측)'!P123</f>
        <v>16</v>
      </c>
      <c r="V123" s="50">
        <f>'쪽쟘(실측)'!Q123</f>
        <v>25</v>
      </c>
      <c r="W123" s="50" t="e">
        <f>'쪽쟘(실측)'!R123-늘치차감</f>
        <v>#NAME?</v>
      </c>
      <c r="X123" s="50" t="e">
        <f>'쪽쟘(실측)'!S123-늘치차감</f>
        <v>#NAME?</v>
      </c>
      <c r="Z123">
        <f>쪽쟘제작!AC123</f>
        <v>934</v>
      </c>
      <c r="AA123">
        <f>쪽쟘제작!AD123</f>
        <v>113.2</v>
      </c>
      <c r="AB123">
        <f>쪽쟘제작!AE123</f>
        <v>126.00000000000001</v>
      </c>
      <c r="AC123">
        <f>쪽쟘제작!AF123</f>
        <v>2098</v>
      </c>
      <c r="AD123">
        <f>쪽쟘제작!AG123</f>
        <v>123</v>
      </c>
      <c r="AE123">
        <f>쪽쟘제작!AH123</f>
        <v>2098</v>
      </c>
    </row>
    <row r="124" spans="1:31" ht="18.75" customHeight="1" x14ac:dyDescent="0.3">
      <c r="A124" s="50" t="str">
        <f>'쪽쟘(실측)'!A124</f>
        <v>112   / 2</v>
      </c>
      <c r="B124" s="50" t="str">
        <f>'쪽쟘(실측)'!B124&amp;"F"</f>
        <v>5F</v>
      </c>
      <c r="C124" s="50" t="str">
        <f t="shared" si="2"/>
        <v>935*114.2</v>
      </c>
      <c r="D124" s="50" t="e">
        <f>'쪽쟘(실측)'!C124-OP차감</f>
        <v>#NAME?</v>
      </c>
      <c r="E124" s="50" t="e">
        <f>'쪽쟘(실측)'!D124+쪽쟘J늘림+MAX(W124:X124)</f>
        <v>#VALUE!</v>
      </c>
      <c r="F124" s="50" t="e">
        <f>'쪽쟘(실측)'!E124+쪽쟘J늘림+MAX(W124:X124)</f>
        <v>#VALUE!</v>
      </c>
      <c r="G124" s="67" t="str">
        <f>IF(OR(쪽쟘제작!K124&lt;&gt;쪽쟘제작!L124,쪽쟘제작!O124&lt;&gt;쪽쟘제작!P124),"",AC124&amp;"*"&amp;AB124)</f>
        <v>2098*124</v>
      </c>
      <c r="H124" s="68" t="str">
        <f>IF(OR(쪽쟘제작!N124&lt;&gt;쪽쟘제작!M124,쪽쟘제작!Q124&lt;&gt;쪽쟘제작!R124),"",AE124&amp;"*"&amp;AD124)</f>
        <v>2098*125</v>
      </c>
      <c r="I124" s="70">
        <f>IF('쪽쟘(실측)'!F124&gt;0,'쪽쟘(실측)'!F124+0.5,0)</f>
        <v>21.5</v>
      </c>
      <c r="J124" s="50">
        <f>IF('쪽쟘(실측)'!H124&gt;0,'쪽쟘(실측)'!H124+0.5,0)</f>
        <v>22.5</v>
      </c>
      <c r="K124" s="50">
        <f>IF('쪽쟘(실측)'!F124&gt;0,'쪽쟘(실측)'!F124+1.5,0)</f>
        <v>22.5</v>
      </c>
      <c r="L124" s="50">
        <f>IF('쪽쟘(실측)'!G124&gt;0,'쪽쟘(실측)'!G124+1.5,0)</f>
        <v>22.5</v>
      </c>
      <c r="M124" s="50">
        <f>IF('쪽쟘(실측)'!H124&gt;0,'쪽쟘(실측)'!H124+1.5,0)</f>
        <v>23.5</v>
      </c>
      <c r="N124" s="50">
        <f>IF('쪽쟘(실측)'!I124&gt;0,'쪽쟘(실측)'!I124+1.5,0)</f>
        <v>23.5</v>
      </c>
      <c r="O124" s="50" t="e">
        <f>'쪽쟘(실측)'!J124-기둥차감</f>
        <v>#NAME?</v>
      </c>
      <c r="P124" s="50" t="e">
        <f>'쪽쟘(실측)'!K124-기둥차감</f>
        <v>#NAME?</v>
      </c>
      <c r="Q124" s="50" t="e">
        <f>'쪽쟘(실측)'!L124-기둥차감</f>
        <v>#NAME?</v>
      </c>
      <c r="R124" s="50" t="e">
        <f>'쪽쟘(실측)'!M124-기둥차감</f>
        <v>#NAME?</v>
      </c>
      <c r="S124" s="50">
        <f>'쪽쟘(실측)'!N124+1.2</f>
        <v>19.2</v>
      </c>
      <c r="T124" s="50">
        <f>'쪽쟘(실측)'!O124+1.2</f>
        <v>19.2</v>
      </c>
      <c r="U124" s="50">
        <f>'쪽쟘(실측)'!P124</f>
        <v>16</v>
      </c>
      <c r="V124" s="50">
        <f>'쪽쟘(실측)'!Q124</f>
        <v>25</v>
      </c>
      <c r="W124" s="50" t="e">
        <f>'쪽쟘(실측)'!R124-늘치차감</f>
        <v>#NAME?</v>
      </c>
      <c r="X124" s="50" t="e">
        <f>'쪽쟘(실측)'!S124-늘치차감</f>
        <v>#NAME?</v>
      </c>
      <c r="Z124">
        <f>쪽쟘제작!AC124</f>
        <v>935</v>
      </c>
      <c r="AA124">
        <f>쪽쟘제작!AD124</f>
        <v>114.2</v>
      </c>
      <c r="AB124">
        <f>쪽쟘제작!AE124</f>
        <v>124.00000000000001</v>
      </c>
      <c r="AC124">
        <f>쪽쟘제작!AF124</f>
        <v>2098</v>
      </c>
      <c r="AD124">
        <f>쪽쟘제작!AG124</f>
        <v>125.00000000000001</v>
      </c>
      <c r="AE124">
        <f>쪽쟘제작!AH124</f>
        <v>2098</v>
      </c>
    </row>
    <row r="125" spans="1:31" ht="18.75" customHeight="1" x14ac:dyDescent="0.3">
      <c r="A125" s="50" t="str">
        <f>'쪽쟘(실측)'!A125</f>
        <v>112   / 2</v>
      </c>
      <c r="B125" s="50" t="str">
        <f>'쪽쟘(실측)'!B125&amp;"F"</f>
        <v>4F</v>
      </c>
      <c r="C125" s="50" t="str">
        <f t="shared" si="2"/>
        <v>934*118.2</v>
      </c>
      <c r="D125" s="50" t="e">
        <f>'쪽쟘(실측)'!C125-OP차감</f>
        <v>#NAME?</v>
      </c>
      <c r="E125" s="50" t="e">
        <f>'쪽쟘(실측)'!D125+쪽쟘J늘림+MAX(W125:X125)</f>
        <v>#VALUE!</v>
      </c>
      <c r="F125" s="50" t="e">
        <f>'쪽쟘(실측)'!E125+쪽쟘J늘림+MAX(W125:X125)</f>
        <v>#VALUE!</v>
      </c>
      <c r="G125" s="67" t="str">
        <f>IF(OR(쪽쟘제작!K125&lt;&gt;쪽쟘제작!L125,쪽쟘제작!O125&lt;&gt;쪽쟘제작!P125),"",AC125&amp;"*"&amp;AB125)</f>
        <v>2098*124</v>
      </c>
      <c r="H125" s="68" t="str">
        <f>IF(OR(쪽쟘제작!N125&lt;&gt;쪽쟘제작!M125,쪽쟘제작!Q125&lt;&gt;쪽쟘제작!R125),"",AE125&amp;"*"&amp;AD125)</f>
        <v>2092*124</v>
      </c>
      <c r="I125" s="70">
        <f>IF('쪽쟘(실측)'!F125&gt;0,'쪽쟘(실측)'!F125+0.5,0)</f>
        <v>21.5</v>
      </c>
      <c r="J125" s="50">
        <f>IF('쪽쟘(실측)'!H125&gt;0,'쪽쟘(실측)'!H125+0.5,0)</f>
        <v>21.5</v>
      </c>
      <c r="K125" s="50">
        <f>IF('쪽쟘(실측)'!F125&gt;0,'쪽쟘(실측)'!F125+1.5,0)</f>
        <v>22.5</v>
      </c>
      <c r="L125" s="50">
        <f>IF('쪽쟘(실측)'!G125&gt;0,'쪽쟘(실측)'!G125+1.5,0)</f>
        <v>22.5</v>
      </c>
      <c r="M125" s="50">
        <f>IF('쪽쟘(실측)'!H125&gt;0,'쪽쟘(실측)'!H125+1.5,0)</f>
        <v>22.5</v>
      </c>
      <c r="N125" s="50">
        <f>IF('쪽쟘(실측)'!I125&gt;0,'쪽쟘(실측)'!I125+1.5,0)</f>
        <v>22.5</v>
      </c>
      <c r="O125" s="50" t="e">
        <f>'쪽쟘(실측)'!J125-기둥차감</f>
        <v>#NAME?</v>
      </c>
      <c r="P125" s="50" t="e">
        <f>'쪽쟘(실측)'!K125-기둥차감</f>
        <v>#NAME?</v>
      </c>
      <c r="Q125" s="50" t="e">
        <f>'쪽쟘(실측)'!L125-기둥차감</f>
        <v>#NAME?</v>
      </c>
      <c r="R125" s="50" t="e">
        <f>'쪽쟘(실측)'!M125-기둥차감</f>
        <v>#NAME?</v>
      </c>
      <c r="S125" s="50">
        <f>'쪽쟘(실측)'!N125+1.2</f>
        <v>23.2</v>
      </c>
      <c r="T125" s="50">
        <f>'쪽쟘(실측)'!O125+1.2</f>
        <v>23.2</v>
      </c>
      <c r="U125" s="50">
        <f>'쪽쟘(실측)'!P125</f>
        <v>16</v>
      </c>
      <c r="V125" s="50">
        <f>'쪽쟘(실측)'!Q125</f>
        <v>25</v>
      </c>
      <c r="W125" s="50" t="e">
        <f>'쪽쟘(실측)'!R125-늘치차감</f>
        <v>#NAME?</v>
      </c>
      <c r="X125" s="50" t="e">
        <f>'쪽쟘(실측)'!S125-늘치차감</f>
        <v>#NAME?</v>
      </c>
      <c r="Z125">
        <f>쪽쟘제작!AC125</f>
        <v>934</v>
      </c>
      <c r="AA125">
        <f>쪽쟘제작!AD125</f>
        <v>118.2</v>
      </c>
      <c r="AB125">
        <f>쪽쟘제작!AE125</f>
        <v>124.00000000000001</v>
      </c>
      <c r="AC125">
        <f>쪽쟘제작!AF125</f>
        <v>2098</v>
      </c>
      <c r="AD125">
        <f>쪽쟘제작!AG125</f>
        <v>124.00000000000001</v>
      </c>
      <c r="AE125">
        <f>쪽쟘제작!AH125</f>
        <v>2092</v>
      </c>
    </row>
    <row r="126" spans="1:31" ht="18.75" customHeight="1" x14ac:dyDescent="0.3">
      <c r="A126" s="50" t="str">
        <f>'쪽쟘(실측)'!A126</f>
        <v>112   / 2</v>
      </c>
      <c r="B126" s="50" t="str">
        <f>'쪽쟘(실측)'!B126&amp;"F"</f>
        <v>3F</v>
      </c>
      <c r="C126" s="50" t="str">
        <f t="shared" si="2"/>
        <v>932*116.2</v>
      </c>
      <c r="D126" s="50" t="e">
        <f>'쪽쟘(실측)'!C126-OP차감</f>
        <v>#NAME?</v>
      </c>
      <c r="E126" s="50" t="e">
        <f>'쪽쟘(실측)'!D126+쪽쟘J늘림+MAX(W126:X126)</f>
        <v>#VALUE!</v>
      </c>
      <c r="F126" s="50" t="e">
        <f>'쪽쟘(실측)'!E126+쪽쟘J늘림+MAX(W126:X126)</f>
        <v>#VALUE!</v>
      </c>
      <c r="G126" s="67" t="str">
        <f>IF(OR(쪽쟘제작!K126&lt;&gt;쪽쟘제작!L126,쪽쟘제작!O126&lt;&gt;쪽쟘제작!P126),"",AC126&amp;"*"&amp;AB126)</f>
        <v>2098*123</v>
      </c>
      <c r="H126" s="68" t="str">
        <f>IF(OR(쪽쟘제작!N126&lt;&gt;쪽쟘제작!M126,쪽쟘제작!Q126&lt;&gt;쪽쟘제작!R126),"",AE126&amp;"*"&amp;AD126)</f>
        <v>2092*124</v>
      </c>
      <c r="I126" s="70">
        <f>IF('쪽쟘(실측)'!F126&gt;0,'쪽쟘(실측)'!F126+0.5,0)</f>
        <v>20.5</v>
      </c>
      <c r="J126" s="50">
        <f>IF('쪽쟘(실측)'!H126&gt;0,'쪽쟘(실측)'!H126+0.5,0)</f>
        <v>21.5</v>
      </c>
      <c r="K126" s="50">
        <f>IF('쪽쟘(실측)'!F126&gt;0,'쪽쟘(실측)'!F126+1.5,0)</f>
        <v>21.5</v>
      </c>
      <c r="L126" s="50">
        <f>IF('쪽쟘(실측)'!G126&gt;0,'쪽쟘(실측)'!G126+1.5,0)</f>
        <v>21.5</v>
      </c>
      <c r="M126" s="50">
        <f>IF('쪽쟘(실측)'!H126&gt;0,'쪽쟘(실측)'!H126+1.5,0)</f>
        <v>22.5</v>
      </c>
      <c r="N126" s="50">
        <f>IF('쪽쟘(실측)'!I126&gt;0,'쪽쟘(실측)'!I126+1.5,0)</f>
        <v>22.5</v>
      </c>
      <c r="O126" s="50" t="e">
        <f>'쪽쟘(실측)'!J126-기둥차감</f>
        <v>#NAME?</v>
      </c>
      <c r="P126" s="50" t="e">
        <f>'쪽쟘(실측)'!K126-기둥차감</f>
        <v>#NAME?</v>
      </c>
      <c r="Q126" s="50" t="e">
        <f>'쪽쟘(실측)'!L126-기둥차감</f>
        <v>#NAME?</v>
      </c>
      <c r="R126" s="50" t="e">
        <f>'쪽쟘(실측)'!M126-기둥차감</f>
        <v>#NAME?</v>
      </c>
      <c r="S126" s="50">
        <f>'쪽쟘(실측)'!N126+1.2</f>
        <v>21.2</v>
      </c>
      <c r="T126" s="50">
        <f>'쪽쟘(실측)'!O126+1.2</f>
        <v>21.2</v>
      </c>
      <c r="U126" s="50">
        <f>'쪽쟘(실측)'!P126</f>
        <v>16</v>
      </c>
      <c r="V126" s="50">
        <f>'쪽쟘(실측)'!Q126</f>
        <v>25</v>
      </c>
      <c r="W126" s="50" t="e">
        <f>'쪽쟘(실측)'!R126-늘치차감</f>
        <v>#NAME?</v>
      </c>
      <c r="X126" s="50" t="e">
        <f>'쪽쟘(실측)'!S126-늘치차감</f>
        <v>#NAME?</v>
      </c>
      <c r="Z126">
        <f>쪽쟘제작!AC126</f>
        <v>932</v>
      </c>
      <c r="AA126">
        <f>쪽쟘제작!AD126</f>
        <v>116.2</v>
      </c>
      <c r="AB126">
        <f>쪽쟘제작!AE126</f>
        <v>123</v>
      </c>
      <c r="AC126">
        <f>쪽쟘제작!AF126</f>
        <v>2098</v>
      </c>
      <c r="AD126">
        <f>쪽쟘제작!AG126</f>
        <v>124.00000000000001</v>
      </c>
      <c r="AE126">
        <f>쪽쟘제작!AH126</f>
        <v>2092</v>
      </c>
    </row>
    <row r="127" spans="1:31" ht="18.75" customHeight="1" x14ac:dyDescent="0.3">
      <c r="A127" s="50" t="str">
        <f>'쪽쟘(실측)'!A127</f>
        <v>112   / 2</v>
      </c>
      <c r="B127" s="50" t="str">
        <f>'쪽쟘(실측)'!B127&amp;"F"</f>
        <v>2F</v>
      </c>
      <c r="C127" s="50" t="str">
        <f t="shared" si="2"/>
        <v>931*121.2</v>
      </c>
      <c r="D127" s="50" t="e">
        <f>'쪽쟘(실측)'!C127-OP차감</f>
        <v>#NAME?</v>
      </c>
      <c r="E127" s="50" t="e">
        <f>'쪽쟘(실측)'!D127+쪽쟘J늘림+MAX(W127:X127)</f>
        <v>#VALUE!</v>
      </c>
      <c r="F127" s="50" t="e">
        <f>'쪽쟘(실측)'!E127+쪽쟘J늘림+MAX(W127:X127)</f>
        <v>#VALUE!</v>
      </c>
      <c r="G127" s="67" t="str">
        <f>IF(OR(쪽쟘제작!K127&lt;&gt;쪽쟘제작!L127,쪽쟘제작!O127&lt;&gt;쪽쟘제작!P127),"",AC127&amp;"*"&amp;AB127)</f>
        <v>2092*125</v>
      </c>
      <c r="H127" s="68" t="str">
        <f>IF(OR(쪽쟘제작!N127&lt;&gt;쪽쟘제작!M127,쪽쟘제작!Q127&lt;&gt;쪽쟘제작!R127),"",AE127&amp;"*"&amp;AD127)</f>
        <v>2092*121</v>
      </c>
      <c r="I127" s="70">
        <f>IF('쪽쟘(실측)'!F127&gt;0,'쪽쟘(실측)'!F127+0.5,0)</f>
        <v>22.5</v>
      </c>
      <c r="J127" s="50">
        <f>IF('쪽쟘(실측)'!H127&gt;0,'쪽쟘(실측)'!H127+0.5,0)</f>
        <v>18.5</v>
      </c>
      <c r="K127" s="50">
        <f>IF('쪽쟘(실측)'!F127&gt;0,'쪽쟘(실측)'!F127+1.5,0)</f>
        <v>23.5</v>
      </c>
      <c r="L127" s="50">
        <f>IF('쪽쟘(실측)'!G127&gt;0,'쪽쟘(실측)'!G127+1.5,0)</f>
        <v>23.5</v>
      </c>
      <c r="M127" s="50">
        <f>IF('쪽쟘(실측)'!H127&gt;0,'쪽쟘(실측)'!H127+1.5,0)</f>
        <v>19.5</v>
      </c>
      <c r="N127" s="50">
        <f>IF('쪽쟘(실측)'!I127&gt;0,'쪽쟘(실측)'!I127+1.5,0)</f>
        <v>19.5</v>
      </c>
      <c r="O127" s="50" t="e">
        <f>'쪽쟘(실측)'!J127-기둥차감</f>
        <v>#NAME?</v>
      </c>
      <c r="P127" s="50" t="e">
        <f>'쪽쟘(실측)'!K127-기둥차감</f>
        <v>#NAME?</v>
      </c>
      <c r="Q127" s="50" t="e">
        <f>'쪽쟘(실측)'!L127-기둥차감</f>
        <v>#NAME?</v>
      </c>
      <c r="R127" s="50" t="e">
        <f>'쪽쟘(실측)'!M127-기둥차감</f>
        <v>#NAME?</v>
      </c>
      <c r="S127" s="50">
        <f>'쪽쟘(실측)'!N127+1.2</f>
        <v>26.2</v>
      </c>
      <c r="T127" s="50">
        <f>'쪽쟘(실측)'!O127+1.2</f>
        <v>26.2</v>
      </c>
      <c r="U127" s="50">
        <f>'쪽쟘(실측)'!P127</f>
        <v>16</v>
      </c>
      <c r="V127" s="50">
        <f>'쪽쟘(실측)'!Q127</f>
        <v>25</v>
      </c>
      <c r="W127" s="50" t="e">
        <f>'쪽쟘(실측)'!R127-늘치차감</f>
        <v>#NAME?</v>
      </c>
      <c r="X127" s="50" t="e">
        <f>'쪽쟘(실측)'!S127-늘치차감</f>
        <v>#NAME?</v>
      </c>
      <c r="Z127">
        <f>쪽쟘제작!AC127</f>
        <v>931</v>
      </c>
      <c r="AA127">
        <f>쪽쟘제작!AD127</f>
        <v>121.2</v>
      </c>
      <c r="AB127">
        <f>쪽쟘제작!AE127</f>
        <v>125.00000000000001</v>
      </c>
      <c r="AC127">
        <f>쪽쟘제작!AF127</f>
        <v>2092</v>
      </c>
      <c r="AD127">
        <f>쪽쟘제작!AG127</f>
        <v>121</v>
      </c>
      <c r="AE127">
        <f>쪽쟘제작!AH127</f>
        <v>2092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127 K7:K127">
    <cfRule type="cellIs" dxfId="55" priority="3" operator="notEqual">
      <formula>L7</formula>
    </cfRule>
  </conditionalFormatting>
  <conditionalFormatting sqref="T7:T127 L7:L127">
    <cfRule type="cellIs" dxfId="54" priority="2" operator="notEqual">
      <formula>K7</formula>
    </cfRule>
  </conditionalFormatting>
  <conditionalFormatting sqref="M7:N127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(판매)광양 금광 아파트-4차 ) _김진섭소장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(0), JB/JD +(0 ),  늘어난치수K -(0),  C + (0),   U + (0), OP - (0), R - (0),  기둥차감 - (0),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O8" sqref="O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(판매)광양 금광 아파트-4차 ) _김진섭소장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0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0</v>
      </c>
      <c r="U2" s="218"/>
      <c r="V2" s="165" t="s">
        <v>83</v>
      </c>
      <c r="W2" s="220"/>
      <c r="X2" s="220"/>
      <c r="Y2" s="221">
        <v>0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0</v>
      </c>
      <c r="Q3" s="207"/>
      <c r="R3" s="217" t="s">
        <v>77</v>
      </c>
      <c r="S3" s="217"/>
      <c r="T3" s="224">
        <v>0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0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325</v>
      </c>
      <c r="AT3" s="192"/>
      <c r="AU3" s="195" t="e">
        <f>AY7</f>
        <v>#DIV/0!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(0),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311</v>
      </c>
      <c r="AH4" s="306"/>
      <c r="AI4" s="256">
        <f>'SO와이드(실측)'!AA7</f>
        <v>0</v>
      </c>
      <c r="AJ4" s="256"/>
      <c r="AK4" s="185">
        <f ca="1">TODAY()</f>
        <v>45315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IF(BN7=0,J7+AI7-(L7+AI7),J7-L7)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-1.2*-2.4</v>
      </c>
      <c r="AP7" s="31" t="str">
        <f t="shared" ref="AP7" si="3">BK7&amp;"*"&amp;BJ7</f>
        <v>-1.2*-2.4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-1.2</v>
      </c>
      <c r="BJ7" s="41">
        <f>W7+S7+MAX(L7,M7)+AF7-1.2*$AP$3+IF(BN7=0,MAX(AI7,AJ7),0)+IF(W7=0,1.2,0)-IF(AV7=90,2.4,0)</f>
        <v>-2.3999999999999995</v>
      </c>
      <c r="BK7" s="41">
        <f>MAX(Z7,AA7)+AL7</f>
        <v>-1.2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12" sqref="A12:XFD1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(판매)광양 금광 아파트-4차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+(0 ),  늘어난치수K -(0),  C + (0),  U +(0), OP1/OP2 -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W2" sqref="W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(판매)광양 금광 아파트-4차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0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0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0</v>
      </c>
      <c r="L3" s="207"/>
      <c r="M3" s="207"/>
      <c r="N3" s="207"/>
      <c r="O3" s="217" t="s">
        <v>77</v>
      </c>
      <c r="P3" s="217"/>
      <c r="Q3" s="224">
        <v>0</v>
      </c>
      <c r="R3" s="224"/>
      <c r="S3" s="205" t="s">
        <v>227</v>
      </c>
      <c r="T3" s="205"/>
      <c r="U3" s="205"/>
      <c r="V3" s="335">
        <f>BE7</f>
        <v>1</v>
      </c>
      <c r="W3" s="335"/>
      <c r="X3" s="205" t="s">
        <v>78</v>
      </c>
      <c r="Y3" s="205"/>
      <c r="Z3" s="326">
        <v>0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326</v>
      </c>
      <c r="AK3" s="252"/>
      <c r="AL3" s="199"/>
      <c r="AM3" s="338" t="e">
        <f>AR7</f>
        <v>#DIV/0!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+(0 ),  늘어난치수K -(0),  C + (0),  U +(0), OP1/OP2 -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312</v>
      </c>
      <c r="AD4" s="336"/>
      <c r="AE4" s="337">
        <f>'SO멍텅(실측)'!W7</f>
        <v>0</v>
      </c>
      <c r="AF4" s="337"/>
      <c r="AG4" s="158"/>
      <c r="AH4" s="334">
        <f ca="1">TODAY()</f>
        <v>45315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304</v>
      </c>
      <c r="AP5" s="178" t="s">
        <v>305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IF(BM7=0,H7+AE7-(J7+AE7),H7-J7)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(판매)광양 금광 아파트-4차 ) _김진섭소장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(0), JB/JD +(0 ),  늘어난치수K -(0),  C + (0),   U + (0), OP1/OP3 - (0), R - (0),  기둥차감 - (0),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(판매)광양 금광 아파트-4차 ) _김진섭소장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0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0</v>
      </c>
      <c r="W2" s="218"/>
      <c r="X2" s="283" t="s">
        <v>83</v>
      </c>
      <c r="Y2" s="225"/>
      <c r="Z2" s="225"/>
      <c r="AA2" s="221">
        <v>0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0</v>
      </c>
      <c r="S3" s="207"/>
      <c r="T3" s="217" t="s">
        <v>77</v>
      </c>
      <c r="U3" s="217"/>
      <c r="V3" s="224">
        <v>0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0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327</v>
      </c>
      <c r="AU3" s="342"/>
      <c r="AV3" s="195" t="e">
        <f>AZ7</f>
        <v>#DIV/0!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(0), JB/JD +(0 ),  늘어난치수K -(0),  C + (0),   U + 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313</v>
      </c>
      <c r="AI4" s="341"/>
      <c r="AJ4" s="341">
        <f>'4CO와이드(실측)'!AB7</f>
        <v>0</v>
      </c>
      <c r="AK4" s="341"/>
      <c r="AL4" s="185">
        <f ca="1">TODAY()</f>
        <v>45315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295</v>
      </c>
      <c r="Q5" s="316" t="s">
        <v>296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-1.2*-2.4</v>
      </c>
      <c r="AQ7" s="31" t="str">
        <f t="shared" ref="AQ7" si="3">BK7&amp;"*"&amp;BJ7</f>
        <v>-1.2*-2.4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-1.2</v>
      </c>
      <c r="BJ7" s="41">
        <f>Y7+U7+MAX(N7,O7)+AG7-1.2*$AQ$3+IF(BN7=0,MAX(AJ7,AK7),0)+IF(Y7=0,1.2,0)-IF(AW7=90,2.4,0)</f>
        <v>-2.3999999999999995</v>
      </c>
      <c r="BK7" s="41">
        <f>MAX(AB7,AC7)+AM7</f>
        <v>-1.2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(판매)광양 금광 아파트-4차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+(0 ),  늘어난치수K -(0),  C + (0),  U +(0),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(판매)광양 금광 아파트-4차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306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(판매)광양 금광 아파트-4차,   (재질) : 사급 하이그로시1.2t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0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0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328</v>
      </c>
      <c r="AL3" s="199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+(0 ),  늘어난치수K -(0),  C + (0),  U +(0),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311</v>
      </c>
      <c r="AE4" s="341"/>
      <c r="AF4" s="341">
        <f>'4CO멍텅(실측)'!X7</f>
        <v>0</v>
      </c>
      <c r="AG4" s="341"/>
      <c r="AH4" s="9"/>
      <c r="AI4" s="185">
        <f ca="1">TODAY()</f>
        <v>45315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293</v>
      </c>
      <c r="O5" s="316" t="s">
        <v>294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304</v>
      </c>
      <c r="AQ5" s="178" t="s">
        <v>305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(판매)광양 금광 아파트-4차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(판매)광양 금광 아파트-4차,   (재질) : 사급 하이그로시1.2t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(판매)광양 금광 아파트-4차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0" t="s">
        <v>307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(판매)광양 금광 아파트-4차,   (재질) : 사급 하이그로시1.2t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0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329</v>
      </c>
      <c r="AK3" s="199"/>
      <c r="AL3" s="160" t="e">
        <f>AO7</f>
        <v>#DIV/0!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+(0 ),  늘어난치수K -(0),  C + (0),   U + (0), OP - (0),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330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45315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304</v>
      </c>
      <c r="AM5" s="178" t="s">
        <v>305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(판매)광양 금광 아파트-4차 ) _김진섭소장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(판매)광양 금광 아파트-4차,   (재질) : 사급 하이그로시1.2t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302</v>
      </c>
      <c r="AE6" s="8" t="s">
        <v>53</v>
      </c>
      <c r="AF6" s="8" t="s">
        <v>54</v>
      </c>
      <c r="AG6" s="8" t="s">
        <v>303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(판매)광양 금광 아파트-4차 ) _김진섭소장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0" t="s">
        <v>308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(판매)광양 금광 아파트-4차,   (재질) : 사급 하이그로시1.2t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0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0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325</v>
      </c>
      <c r="AQ3" s="362"/>
      <c r="AR3" s="160" t="e">
        <f>AU7</f>
        <v>#DIV/0!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+(0 ),  늘어난치수K -(0),  C + (0),   U + (0), OP - (0),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331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45315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304</v>
      </c>
      <c r="AS5" s="178" t="s">
        <v>305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302</v>
      </c>
      <c r="AI6" s="8" t="s">
        <v>57</v>
      </c>
      <c r="AJ6" s="8" t="s">
        <v>54</v>
      </c>
      <c r="AK6" s="8" t="s">
        <v>303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2024-01-24T04:44:51Z</cp:lastPrinted>
  <dcterms:created xsi:type="dcterms:W3CDTF">2020-01-09T06:39:51Z</dcterms:created>
  <dcterms:modified xsi:type="dcterms:W3CDTF">2024-01-24T04:45:45Z</dcterms:modified>
</cp:coreProperties>
</file>