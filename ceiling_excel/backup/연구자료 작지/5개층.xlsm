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bookViews>
    <workbookView xWindow="28680" yWindow="765" windowWidth="29040" windowHeight="15840" tabRatio="947" activeTab="7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narrow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7">narrow!$A$1:$X$7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narrow!$G$3</definedName>
    <definedName name="쪽쟘OP차감">narrow!$I$3</definedName>
    <definedName name="쪽쟘기둥차감">narrow!$P$3</definedName>
    <definedName name="쪽쟘늘치차감">narrow!$U$3</definedName>
    <definedName name="쪽쟘소재t">narrow!$U$2</definedName>
    <definedName name="항목범위HPI">data!$D:$D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7" i="15" l="1"/>
  <c r="B57" i="15"/>
  <c r="C57" i="15"/>
  <c r="D57" i="15"/>
  <c r="G57" i="15"/>
  <c r="H57" i="15"/>
  <c r="A58" i="15"/>
  <c r="B58" i="15"/>
  <c r="C58" i="15"/>
  <c r="D58" i="15"/>
  <c r="G58" i="15"/>
  <c r="H58" i="15"/>
  <c r="A49" i="15"/>
  <c r="B49" i="15"/>
  <c r="C49" i="15"/>
  <c r="D49" i="15"/>
  <c r="G49" i="15"/>
  <c r="H49" i="15"/>
  <c r="A50" i="15"/>
  <c r="B50" i="15"/>
  <c r="C50" i="15"/>
  <c r="D50" i="15"/>
  <c r="G50" i="15"/>
  <c r="H50" i="15"/>
  <c r="A51" i="15"/>
  <c r="B51" i="15"/>
  <c r="C51" i="15"/>
  <c r="D51" i="15"/>
  <c r="G51" i="15"/>
  <c r="H51" i="15"/>
  <c r="A52" i="15"/>
  <c r="B52" i="15"/>
  <c r="C52" i="15"/>
  <c r="D52" i="15"/>
  <c r="G52" i="15"/>
  <c r="H52" i="15"/>
  <c r="A53" i="15"/>
  <c r="B53" i="15"/>
  <c r="C53" i="15"/>
  <c r="D53" i="15"/>
  <c r="G53" i="15"/>
  <c r="H53" i="15"/>
  <c r="A54" i="15"/>
  <c r="B54" i="15"/>
  <c r="C54" i="15"/>
  <c r="D54" i="15"/>
  <c r="G54" i="15"/>
  <c r="H54" i="15"/>
  <c r="A55" i="15"/>
  <c r="B55" i="15"/>
  <c r="C55" i="15"/>
  <c r="D55" i="15"/>
  <c r="G55" i="15"/>
  <c r="H55" i="15"/>
  <c r="A56" i="15"/>
  <c r="B56" i="15"/>
  <c r="C56" i="15"/>
  <c r="D56" i="15"/>
  <c r="G56" i="15"/>
  <c r="H56" i="15"/>
  <c r="A37" i="15"/>
  <c r="B37" i="15"/>
  <c r="C37" i="15"/>
  <c r="D37" i="15"/>
  <c r="G37" i="15"/>
  <c r="H37" i="15"/>
  <c r="A38" i="15"/>
  <c r="B38" i="15"/>
  <c r="C38" i="15"/>
  <c r="D38" i="15"/>
  <c r="G38" i="15"/>
  <c r="H38" i="15"/>
  <c r="A39" i="15"/>
  <c r="B39" i="15"/>
  <c r="C39" i="15"/>
  <c r="D39" i="15"/>
  <c r="G39" i="15"/>
  <c r="H39" i="15"/>
  <c r="A40" i="15"/>
  <c r="B40" i="15"/>
  <c r="C40" i="15"/>
  <c r="D40" i="15"/>
  <c r="G40" i="15"/>
  <c r="H40" i="15"/>
  <c r="A41" i="15"/>
  <c r="B41" i="15"/>
  <c r="C41" i="15"/>
  <c r="D41" i="15"/>
  <c r="G41" i="15"/>
  <c r="H41" i="15"/>
  <c r="A42" i="15"/>
  <c r="B42" i="15"/>
  <c r="C42" i="15"/>
  <c r="D42" i="15"/>
  <c r="G42" i="15"/>
  <c r="H42" i="15"/>
  <c r="A43" i="15"/>
  <c r="B43" i="15"/>
  <c r="C43" i="15"/>
  <c r="D43" i="15"/>
  <c r="G43" i="15"/>
  <c r="H43" i="15"/>
  <c r="A44" i="15"/>
  <c r="B44" i="15"/>
  <c r="C44" i="15"/>
  <c r="D44" i="15"/>
  <c r="G44" i="15"/>
  <c r="H44" i="15"/>
  <c r="A45" i="15"/>
  <c r="B45" i="15"/>
  <c r="C45" i="15"/>
  <c r="D45" i="15"/>
  <c r="G45" i="15"/>
  <c r="H45" i="15"/>
  <c r="A46" i="15"/>
  <c r="B46" i="15"/>
  <c r="C46" i="15"/>
  <c r="D46" i="15"/>
  <c r="G46" i="15"/>
  <c r="H46" i="15"/>
  <c r="A47" i="15"/>
  <c r="B47" i="15"/>
  <c r="C47" i="15"/>
  <c r="D47" i="15"/>
  <c r="G47" i="15"/>
  <c r="H47" i="15"/>
  <c r="A48" i="15"/>
  <c r="B48" i="15"/>
  <c r="C48" i="15"/>
  <c r="D48" i="15"/>
  <c r="G48" i="15"/>
  <c r="H48" i="15"/>
  <c r="A8" i="15"/>
  <c r="B8" i="15"/>
  <c r="C8" i="15"/>
  <c r="D8" i="15"/>
  <c r="G8" i="15"/>
  <c r="H8" i="15"/>
  <c r="A9" i="15"/>
  <c r="B9" i="15"/>
  <c r="C9" i="15"/>
  <c r="D9" i="15"/>
  <c r="G9" i="15"/>
  <c r="H9" i="15"/>
  <c r="A10" i="15"/>
  <c r="B10" i="15"/>
  <c r="C10" i="15"/>
  <c r="D10" i="15"/>
  <c r="G10" i="15"/>
  <c r="H10" i="15"/>
  <c r="A11" i="15"/>
  <c r="B11" i="15"/>
  <c r="C11" i="15"/>
  <c r="D11" i="15"/>
  <c r="G11" i="15"/>
  <c r="H11" i="15"/>
  <c r="A12" i="15"/>
  <c r="B12" i="15"/>
  <c r="C12" i="15"/>
  <c r="D12" i="15"/>
  <c r="G12" i="15"/>
  <c r="H12" i="15"/>
  <c r="A13" i="15"/>
  <c r="B13" i="15"/>
  <c r="C13" i="15"/>
  <c r="D13" i="15"/>
  <c r="G13" i="15"/>
  <c r="H13" i="15"/>
  <c r="A14" i="15"/>
  <c r="B14" i="15"/>
  <c r="C14" i="15"/>
  <c r="D14" i="15"/>
  <c r="G14" i="15"/>
  <c r="H14" i="15"/>
  <c r="A15" i="15"/>
  <c r="B15" i="15"/>
  <c r="C15" i="15"/>
  <c r="D15" i="15"/>
  <c r="G15" i="15"/>
  <c r="H15" i="15"/>
  <c r="A16" i="15"/>
  <c r="B16" i="15"/>
  <c r="C16" i="15"/>
  <c r="D16" i="15"/>
  <c r="G16" i="15"/>
  <c r="H16" i="15"/>
  <c r="A17" i="15"/>
  <c r="B17" i="15"/>
  <c r="C17" i="15"/>
  <c r="D17" i="15"/>
  <c r="G17" i="15"/>
  <c r="H17" i="15"/>
  <c r="A18" i="15"/>
  <c r="B18" i="15"/>
  <c r="C18" i="15"/>
  <c r="D18" i="15"/>
  <c r="G18" i="15"/>
  <c r="H18" i="15"/>
  <c r="A19" i="15"/>
  <c r="B19" i="15"/>
  <c r="C19" i="15"/>
  <c r="D19" i="15"/>
  <c r="G19" i="15"/>
  <c r="H19" i="15"/>
  <c r="A20" i="15"/>
  <c r="B20" i="15"/>
  <c r="C20" i="15"/>
  <c r="D20" i="15"/>
  <c r="G20" i="15"/>
  <c r="H20" i="15"/>
  <c r="A21" i="15"/>
  <c r="B21" i="15"/>
  <c r="C21" i="15"/>
  <c r="D21" i="15"/>
  <c r="G21" i="15"/>
  <c r="H21" i="15"/>
  <c r="A22" i="15"/>
  <c r="B22" i="15"/>
  <c r="C22" i="15"/>
  <c r="D22" i="15"/>
  <c r="G22" i="15"/>
  <c r="H22" i="15"/>
  <c r="A23" i="15"/>
  <c r="B23" i="15"/>
  <c r="C23" i="15"/>
  <c r="D23" i="15"/>
  <c r="G23" i="15"/>
  <c r="H23" i="15"/>
  <c r="A24" i="15"/>
  <c r="B24" i="15"/>
  <c r="C24" i="15"/>
  <c r="D24" i="15"/>
  <c r="G24" i="15"/>
  <c r="H24" i="15"/>
  <c r="A25" i="15"/>
  <c r="B25" i="15"/>
  <c r="C25" i="15"/>
  <c r="D25" i="15"/>
  <c r="G25" i="15"/>
  <c r="H25" i="15"/>
  <c r="A26" i="15"/>
  <c r="B26" i="15"/>
  <c r="C26" i="15"/>
  <c r="D26" i="15"/>
  <c r="G26" i="15"/>
  <c r="H26" i="15"/>
  <c r="A27" i="15"/>
  <c r="B27" i="15"/>
  <c r="C27" i="15"/>
  <c r="D27" i="15"/>
  <c r="G27" i="15"/>
  <c r="H27" i="15"/>
  <c r="A28" i="15"/>
  <c r="B28" i="15"/>
  <c r="C28" i="15"/>
  <c r="D28" i="15"/>
  <c r="G28" i="15"/>
  <c r="H28" i="15"/>
  <c r="A29" i="15"/>
  <c r="B29" i="15"/>
  <c r="C29" i="15"/>
  <c r="D29" i="15"/>
  <c r="G29" i="15"/>
  <c r="H29" i="15"/>
  <c r="A30" i="15"/>
  <c r="B30" i="15"/>
  <c r="C30" i="15"/>
  <c r="D30" i="15"/>
  <c r="G30" i="15"/>
  <c r="H30" i="15"/>
  <c r="A31" i="15"/>
  <c r="B31" i="15"/>
  <c r="C31" i="15"/>
  <c r="D31" i="15"/>
  <c r="G31" i="15"/>
  <c r="H31" i="15"/>
  <c r="A32" i="15"/>
  <c r="B32" i="15"/>
  <c r="C32" i="15"/>
  <c r="D32" i="15"/>
  <c r="G32" i="15"/>
  <c r="H32" i="15"/>
  <c r="A33" i="15"/>
  <c r="B33" i="15"/>
  <c r="C33" i="15"/>
  <c r="D33" i="15"/>
  <c r="G33" i="15"/>
  <c r="H33" i="15"/>
  <c r="A34" i="15"/>
  <c r="B34" i="15"/>
  <c r="C34" i="15"/>
  <c r="D34" i="15"/>
  <c r="G34" i="15"/>
  <c r="H34" i="15"/>
  <c r="A35" i="15"/>
  <c r="B35" i="15"/>
  <c r="C35" i="15"/>
  <c r="D35" i="15"/>
  <c r="G35" i="15"/>
  <c r="H35" i="15"/>
  <c r="A36" i="15"/>
  <c r="B36" i="15"/>
  <c r="C36" i="15"/>
  <c r="D36" i="15"/>
  <c r="G36" i="15"/>
  <c r="H36" i="15"/>
  <c r="A58" i="14"/>
  <c r="B58" i="14"/>
  <c r="D58" i="14"/>
  <c r="I58" i="14"/>
  <c r="J58" i="14"/>
  <c r="AC58" i="14" s="1"/>
  <c r="K58" i="14"/>
  <c r="L58" i="14"/>
  <c r="M58" i="14"/>
  <c r="N58" i="14"/>
  <c r="O58" i="14"/>
  <c r="AF58" i="14" s="1"/>
  <c r="P58" i="14"/>
  <c r="Q58" i="14"/>
  <c r="R58" i="14"/>
  <c r="S58" i="14"/>
  <c r="T58" i="14"/>
  <c r="U58" i="14"/>
  <c r="V58" i="14"/>
  <c r="W58" i="14"/>
  <c r="E58" i="14" s="1"/>
  <c r="X58" i="14"/>
  <c r="Y58" i="14"/>
  <c r="Z58" i="14"/>
  <c r="AA58" i="14"/>
  <c r="AH58" i="14"/>
  <c r="A35" i="14"/>
  <c r="B35" i="14"/>
  <c r="D35" i="14"/>
  <c r="I35" i="14"/>
  <c r="J35" i="14"/>
  <c r="K35" i="14"/>
  <c r="L35" i="14"/>
  <c r="M35" i="14"/>
  <c r="N35" i="14"/>
  <c r="O35" i="14"/>
  <c r="P35" i="14"/>
  <c r="Q35" i="14"/>
  <c r="R35" i="14"/>
  <c r="AH35" i="14" s="1"/>
  <c r="S35" i="14"/>
  <c r="T35" i="14"/>
  <c r="U35" i="14"/>
  <c r="V35" i="14"/>
  <c r="W35" i="14"/>
  <c r="X35" i="14"/>
  <c r="Y35" i="14"/>
  <c r="Z35" i="14"/>
  <c r="AA35" i="14"/>
  <c r="A36" i="14"/>
  <c r="B36" i="14"/>
  <c r="D36" i="14"/>
  <c r="AC36" i="14" s="1"/>
  <c r="I36" i="14"/>
  <c r="J36" i="14"/>
  <c r="K36" i="14"/>
  <c r="L36" i="14"/>
  <c r="M36" i="14"/>
  <c r="N36" i="14"/>
  <c r="O36" i="14"/>
  <c r="P36" i="14"/>
  <c r="AF36" i="14" s="1"/>
  <c r="Q36" i="14"/>
  <c r="R36" i="14"/>
  <c r="S36" i="14"/>
  <c r="T36" i="14"/>
  <c r="U36" i="14"/>
  <c r="V36" i="14"/>
  <c r="W36" i="14"/>
  <c r="E36" i="14" s="1"/>
  <c r="X36" i="14"/>
  <c r="F36" i="14" s="1"/>
  <c r="AG36" i="14" s="1"/>
  <c r="Y36" i="14"/>
  <c r="Z36" i="14"/>
  <c r="AA36" i="14"/>
  <c r="AH36" i="14"/>
  <c r="A37" i="14"/>
  <c r="B37" i="14"/>
  <c r="D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F37" i="14" s="1"/>
  <c r="X37" i="14"/>
  <c r="Y37" i="14"/>
  <c r="Z37" i="14"/>
  <c r="AA37" i="14"/>
  <c r="AC37" i="14"/>
  <c r="AH37" i="14"/>
  <c r="A38" i="14"/>
  <c r="B38" i="14"/>
  <c r="D38" i="14"/>
  <c r="I38" i="14"/>
  <c r="J38" i="14"/>
  <c r="K38" i="14"/>
  <c r="L38" i="14"/>
  <c r="M38" i="14"/>
  <c r="N38" i="14"/>
  <c r="O38" i="14"/>
  <c r="AF38" i="14" s="1"/>
  <c r="P38" i="14"/>
  <c r="Q38" i="14"/>
  <c r="R38" i="14"/>
  <c r="S38" i="14"/>
  <c r="T38" i="14"/>
  <c r="U38" i="14"/>
  <c r="V38" i="14"/>
  <c r="W38" i="14"/>
  <c r="F38" i="14" s="1"/>
  <c r="X38" i="14"/>
  <c r="Y38" i="14"/>
  <c r="Z38" i="14"/>
  <c r="AA38" i="14"/>
  <c r="A39" i="14"/>
  <c r="B39" i="14"/>
  <c r="D39" i="14"/>
  <c r="I39" i="14"/>
  <c r="J39" i="14"/>
  <c r="K39" i="14"/>
  <c r="L39" i="14"/>
  <c r="M39" i="14"/>
  <c r="N39" i="14"/>
  <c r="O39" i="14"/>
  <c r="P39" i="14"/>
  <c r="AF39" i="14" s="1"/>
  <c r="Q39" i="14"/>
  <c r="R39" i="14"/>
  <c r="AH39" i="14" s="1"/>
  <c r="S39" i="14"/>
  <c r="T39" i="14"/>
  <c r="U39" i="14"/>
  <c r="V39" i="14"/>
  <c r="W39" i="14"/>
  <c r="X39" i="14"/>
  <c r="F39" i="14" s="1"/>
  <c r="Y39" i="14"/>
  <c r="Z39" i="14"/>
  <c r="AA39" i="14"/>
  <c r="A40" i="14"/>
  <c r="B40" i="14"/>
  <c r="D40" i="14"/>
  <c r="I40" i="14"/>
  <c r="J40" i="14"/>
  <c r="K40" i="14"/>
  <c r="L40" i="14"/>
  <c r="M40" i="14"/>
  <c r="N40" i="14"/>
  <c r="O40" i="14"/>
  <c r="P40" i="14"/>
  <c r="AF40" i="14" s="1"/>
  <c r="Q40" i="14"/>
  <c r="R40" i="14"/>
  <c r="S40" i="14"/>
  <c r="T40" i="14"/>
  <c r="U40" i="14"/>
  <c r="V40" i="14"/>
  <c r="W40" i="14"/>
  <c r="X40" i="14"/>
  <c r="E40" i="14" s="1"/>
  <c r="AD40" i="14" s="1"/>
  <c r="Y40" i="14"/>
  <c r="Z40" i="14"/>
  <c r="AA40" i="14"/>
  <c r="A41" i="14"/>
  <c r="B41" i="14"/>
  <c r="D41" i="14"/>
  <c r="I41" i="14"/>
  <c r="J41" i="14"/>
  <c r="K41" i="14"/>
  <c r="L41" i="14"/>
  <c r="M41" i="14"/>
  <c r="N41" i="14"/>
  <c r="O41" i="14"/>
  <c r="P41" i="14"/>
  <c r="Q41" i="14"/>
  <c r="R41" i="14"/>
  <c r="AH41" i="14" s="1"/>
  <c r="S41" i="14"/>
  <c r="T41" i="14"/>
  <c r="U41" i="14"/>
  <c r="V41" i="14"/>
  <c r="W41" i="14"/>
  <c r="E41" i="14" s="1"/>
  <c r="X41" i="14"/>
  <c r="Y41" i="14"/>
  <c r="Z41" i="14"/>
  <c r="AA41" i="14"/>
  <c r="A42" i="14"/>
  <c r="B42" i="14"/>
  <c r="D42" i="14"/>
  <c r="I42" i="14"/>
  <c r="J42" i="14"/>
  <c r="K42" i="14"/>
  <c r="L42" i="14"/>
  <c r="M42" i="14"/>
  <c r="N42" i="14"/>
  <c r="O42" i="14"/>
  <c r="AF42" i="14" s="1"/>
  <c r="P42" i="14"/>
  <c r="Q42" i="14"/>
  <c r="R42" i="14"/>
  <c r="AH42" i="14" s="1"/>
  <c r="S42" i="14"/>
  <c r="T42" i="14"/>
  <c r="U42" i="14"/>
  <c r="V42" i="14"/>
  <c r="W42" i="14"/>
  <c r="E42" i="14" s="1"/>
  <c r="X42" i="14"/>
  <c r="Y42" i="14"/>
  <c r="Z42" i="14"/>
  <c r="AA42" i="14"/>
  <c r="A43" i="14"/>
  <c r="B43" i="14"/>
  <c r="D43" i="14"/>
  <c r="I43" i="14"/>
  <c r="J43" i="14"/>
  <c r="K43" i="14"/>
  <c r="L43" i="14"/>
  <c r="M43" i="14"/>
  <c r="N43" i="14"/>
  <c r="O43" i="14"/>
  <c r="AF43" i="14" s="1"/>
  <c r="P43" i="14"/>
  <c r="Q43" i="14"/>
  <c r="R43" i="14"/>
  <c r="AH43" i="14" s="1"/>
  <c r="S43" i="14"/>
  <c r="T43" i="14"/>
  <c r="U43" i="14"/>
  <c r="V43" i="14"/>
  <c r="W43" i="14"/>
  <c r="F43" i="14" s="1"/>
  <c r="X43" i="14"/>
  <c r="Y43" i="14"/>
  <c r="Z43" i="14"/>
  <c r="AA43" i="14"/>
  <c r="A44" i="14"/>
  <c r="B44" i="14"/>
  <c r="D44" i="14"/>
  <c r="I44" i="14"/>
  <c r="J44" i="14"/>
  <c r="K44" i="14"/>
  <c r="L44" i="14"/>
  <c r="M44" i="14"/>
  <c r="N44" i="14"/>
  <c r="O44" i="14"/>
  <c r="AF44" i="14" s="1"/>
  <c r="P44" i="14"/>
  <c r="Q44" i="14"/>
  <c r="R44" i="14"/>
  <c r="S44" i="14"/>
  <c r="T44" i="14"/>
  <c r="U44" i="14"/>
  <c r="V44" i="14"/>
  <c r="W44" i="14"/>
  <c r="E44" i="14" s="1"/>
  <c r="X44" i="14"/>
  <c r="Y44" i="14"/>
  <c r="Z44" i="14"/>
  <c r="AA44" i="14"/>
  <c r="AC44" i="14"/>
  <c r="AH44" i="14"/>
  <c r="A45" i="14"/>
  <c r="B45" i="14"/>
  <c r="D45" i="14"/>
  <c r="I45" i="14"/>
  <c r="J45" i="14"/>
  <c r="AC45" i="14" s="1"/>
  <c r="K45" i="14"/>
  <c r="L45" i="14"/>
  <c r="M45" i="14"/>
  <c r="N45" i="14"/>
  <c r="O45" i="14"/>
  <c r="P45" i="14"/>
  <c r="AF45" i="14" s="1"/>
  <c r="Q45" i="14"/>
  <c r="R45" i="14"/>
  <c r="AH45" i="14" s="1"/>
  <c r="S45" i="14"/>
  <c r="T45" i="14"/>
  <c r="U45" i="14"/>
  <c r="V45" i="14"/>
  <c r="W45" i="14"/>
  <c r="F45" i="14" s="1"/>
  <c r="X45" i="14"/>
  <c r="Y45" i="14"/>
  <c r="Z45" i="14"/>
  <c r="AA45" i="14"/>
  <c r="A46" i="14"/>
  <c r="B46" i="14"/>
  <c r="D46" i="14"/>
  <c r="I46" i="14"/>
  <c r="J46" i="14"/>
  <c r="AC46" i="14" s="1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F46" i="14" s="1"/>
  <c r="X46" i="14"/>
  <c r="Y46" i="14"/>
  <c r="Z46" i="14"/>
  <c r="AA46" i="14"/>
  <c r="AF46" i="14"/>
  <c r="AH46" i="14"/>
  <c r="A47" i="14"/>
  <c r="B47" i="14"/>
  <c r="D47" i="14"/>
  <c r="I47" i="14"/>
  <c r="J47" i="14"/>
  <c r="AC47" i="14" s="1"/>
  <c r="K47" i="14"/>
  <c r="L47" i="14"/>
  <c r="M47" i="14"/>
  <c r="N47" i="14"/>
  <c r="O47" i="14"/>
  <c r="P47" i="14"/>
  <c r="AF47" i="14" s="1"/>
  <c r="Q47" i="14"/>
  <c r="R47" i="14"/>
  <c r="AH47" i="14" s="1"/>
  <c r="S47" i="14"/>
  <c r="T47" i="14"/>
  <c r="U47" i="14"/>
  <c r="V47" i="14"/>
  <c r="W47" i="14"/>
  <c r="X47" i="14"/>
  <c r="E47" i="14" s="1"/>
  <c r="Y47" i="14"/>
  <c r="Z47" i="14"/>
  <c r="AA47" i="14"/>
  <c r="A48" i="14"/>
  <c r="B48" i="14"/>
  <c r="D48" i="14"/>
  <c r="I48" i="14"/>
  <c r="J48" i="14"/>
  <c r="K48" i="14"/>
  <c r="L48" i="14"/>
  <c r="M48" i="14"/>
  <c r="N48" i="14"/>
  <c r="O48" i="14"/>
  <c r="P48" i="14"/>
  <c r="Q48" i="14"/>
  <c r="R48" i="14"/>
  <c r="AH48" i="14" s="1"/>
  <c r="S48" i="14"/>
  <c r="T48" i="14"/>
  <c r="U48" i="14"/>
  <c r="V48" i="14"/>
  <c r="W48" i="14"/>
  <c r="E48" i="14" s="1"/>
  <c r="X48" i="14"/>
  <c r="Y48" i="14"/>
  <c r="Z48" i="14"/>
  <c r="AA48" i="14"/>
  <c r="AF48" i="14"/>
  <c r="A49" i="14"/>
  <c r="B49" i="14"/>
  <c r="D49" i="14"/>
  <c r="I49" i="14"/>
  <c r="J49" i="14"/>
  <c r="K49" i="14"/>
  <c r="L49" i="14"/>
  <c r="M49" i="14"/>
  <c r="N49" i="14"/>
  <c r="O49" i="14"/>
  <c r="P49" i="14"/>
  <c r="AF49" i="14" s="1"/>
  <c r="Q49" i="14"/>
  <c r="R49" i="14"/>
  <c r="S49" i="14"/>
  <c r="T49" i="14"/>
  <c r="U49" i="14"/>
  <c r="V49" i="14"/>
  <c r="W49" i="14"/>
  <c r="X49" i="14"/>
  <c r="Y49" i="14"/>
  <c r="Z49" i="14"/>
  <c r="AA49" i="14"/>
  <c r="AH49" i="14"/>
  <c r="A50" i="14"/>
  <c r="B50" i="14"/>
  <c r="D50" i="14"/>
  <c r="I50" i="14"/>
  <c r="AC50" i="14" s="1"/>
  <c r="J50" i="14"/>
  <c r="K50" i="14"/>
  <c r="L50" i="14"/>
  <c r="M50" i="14"/>
  <c r="N50" i="14"/>
  <c r="O50" i="14"/>
  <c r="P50" i="14"/>
  <c r="AF50" i="14" s="1"/>
  <c r="Q50" i="14"/>
  <c r="AH50" i="14" s="1"/>
  <c r="R50" i="14"/>
  <c r="S50" i="14"/>
  <c r="T50" i="14"/>
  <c r="U50" i="14"/>
  <c r="V50" i="14"/>
  <c r="W50" i="14"/>
  <c r="X50" i="14"/>
  <c r="Y50" i="14"/>
  <c r="Z50" i="14"/>
  <c r="AA50" i="14"/>
  <c r="A51" i="14"/>
  <c r="B51" i="14"/>
  <c r="D51" i="14"/>
  <c r="I51" i="14"/>
  <c r="AC51" i="14" s="1"/>
  <c r="J51" i="14"/>
  <c r="K51" i="14"/>
  <c r="L51" i="14"/>
  <c r="M51" i="14"/>
  <c r="N51" i="14"/>
  <c r="O51" i="14"/>
  <c r="AF51" i="14" s="1"/>
  <c r="P51" i="14"/>
  <c r="Q51" i="14"/>
  <c r="AH51" i="14" s="1"/>
  <c r="R51" i="14"/>
  <c r="S51" i="14"/>
  <c r="T51" i="14"/>
  <c r="U51" i="14"/>
  <c r="V51" i="14"/>
  <c r="W51" i="14"/>
  <c r="F51" i="14" s="1"/>
  <c r="X51" i="14"/>
  <c r="Y51" i="14"/>
  <c r="Z51" i="14"/>
  <c r="AA51" i="14"/>
  <c r="A52" i="14"/>
  <c r="B52" i="14"/>
  <c r="D52" i="14"/>
  <c r="I52" i="14"/>
  <c r="J52" i="14"/>
  <c r="K52" i="14"/>
  <c r="L52" i="14"/>
  <c r="M52" i="14"/>
  <c r="N52" i="14"/>
  <c r="O52" i="14"/>
  <c r="AF52" i="14" s="1"/>
  <c r="P52" i="14"/>
  <c r="Q52" i="14"/>
  <c r="R52" i="14"/>
  <c r="S52" i="14"/>
  <c r="T52" i="14"/>
  <c r="U52" i="14"/>
  <c r="V52" i="14"/>
  <c r="W52" i="14"/>
  <c r="E52" i="14" s="1"/>
  <c r="X52" i="14"/>
  <c r="Y52" i="14"/>
  <c r="Z52" i="14"/>
  <c r="AA52" i="14"/>
  <c r="AC52" i="14"/>
  <c r="AH52" i="14"/>
  <c r="A53" i="14"/>
  <c r="B53" i="14"/>
  <c r="D53" i="14"/>
  <c r="I53" i="14"/>
  <c r="J53" i="14"/>
  <c r="AC53" i="14" s="1"/>
  <c r="K53" i="14"/>
  <c r="L53" i="14"/>
  <c r="M53" i="14"/>
  <c r="N53" i="14"/>
  <c r="O53" i="14"/>
  <c r="P53" i="14"/>
  <c r="Q53" i="14"/>
  <c r="R53" i="14"/>
  <c r="AH53" i="14" s="1"/>
  <c r="S53" i="14"/>
  <c r="T53" i="14"/>
  <c r="U53" i="14"/>
  <c r="V53" i="14"/>
  <c r="W53" i="14"/>
  <c r="E53" i="14" s="1"/>
  <c r="X53" i="14"/>
  <c r="Y53" i="14"/>
  <c r="Z53" i="14"/>
  <c r="AA53" i="14"/>
  <c r="AF53" i="14"/>
  <c r="A54" i="14"/>
  <c r="B54" i="14"/>
  <c r="D54" i="14"/>
  <c r="I54" i="14"/>
  <c r="J54" i="14"/>
  <c r="AC54" i="14" s="1"/>
  <c r="K54" i="14"/>
  <c r="L54" i="14"/>
  <c r="M54" i="14"/>
  <c r="N54" i="14"/>
  <c r="O54" i="14"/>
  <c r="P54" i="14"/>
  <c r="Q54" i="14"/>
  <c r="R54" i="14"/>
  <c r="AH54" i="14" s="1"/>
  <c r="S54" i="14"/>
  <c r="T54" i="14"/>
  <c r="U54" i="14"/>
  <c r="V54" i="14"/>
  <c r="W54" i="14"/>
  <c r="F54" i="14" s="1"/>
  <c r="X54" i="14"/>
  <c r="Y54" i="14"/>
  <c r="Z54" i="14"/>
  <c r="AA54" i="14"/>
  <c r="AF54" i="14"/>
  <c r="A55" i="14"/>
  <c r="B55" i="14"/>
  <c r="D55" i="14"/>
  <c r="I55" i="14"/>
  <c r="J55" i="14"/>
  <c r="K55" i="14"/>
  <c r="L55" i="14"/>
  <c r="M55" i="14"/>
  <c r="N55" i="14"/>
  <c r="O55" i="14"/>
  <c r="P55" i="14"/>
  <c r="AF55" i="14" s="1"/>
  <c r="Q55" i="14"/>
  <c r="R55" i="14"/>
  <c r="S55" i="14"/>
  <c r="T55" i="14"/>
  <c r="U55" i="14"/>
  <c r="V55" i="14"/>
  <c r="W55" i="14"/>
  <c r="E55" i="14" s="1"/>
  <c r="X55" i="14"/>
  <c r="Y55" i="14"/>
  <c r="Z55" i="14"/>
  <c r="AA55" i="14"/>
  <c r="A56" i="14"/>
  <c r="B56" i="14"/>
  <c r="D56" i="14"/>
  <c r="I56" i="14"/>
  <c r="AC56" i="14" s="1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E56" i="14" s="1"/>
  <c r="X56" i="14"/>
  <c r="Y56" i="14"/>
  <c r="Z56" i="14"/>
  <c r="AA56" i="14"/>
  <c r="AF56" i="14"/>
  <c r="A57" i="14"/>
  <c r="B57" i="14"/>
  <c r="D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E57" i="14" s="1"/>
  <c r="X57" i="14"/>
  <c r="Y57" i="14"/>
  <c r="Z57" i="14"/>
  <c r="AA57" i="14"/>
  <c r="AH5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7" i="14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/>
  <c r="AE8" i="8"/>
  <c r="AF8" i="8" s="1"/>
  <c r="AM8" i="8"/>
  <c r="AN8" i="8"/>
  <c r="AO8" i="8"/>
  <c r="AP8" i="8"/>
  <c r="AQ8" i="8"/>
  <c r="AR8" i="8"/>
  <c r="AS8" i="8"/>
  <c r="S8" i="8" s="1"/>
  <c r="AT8" i="8"/>
  <c r="T8" i="8" s="1"/>
  <c r="AX8" i="8"/>
  <c r="A9" i="8"/>
  <c r="B9" i="8"/>
  <c r="E9" i="8"/>
  <c r="F9" i="8"/>
  <c r="U9" i="8"/>
  <c r="V9" i="8"/>
  <c r="W9" i="8"/>
  <c r="X9" i="8"/>
  <c r="Y9" i="8"/>
  <c r="D9" i="8" s="1"/>
  <c r="AH9" i="8" s="1"/>
  <c r="BF9" i="8" s="1"/>
  <c r="AA9" i="8"/>
  <c r="AB9" i="8"/>
  <c r="AC9" i="8"/>
  <c r="AD9" i="8" s="1"/>
  <c r="AE9" i="8"/>
  <c r="AF9" i="8"/>
  <c r="AM9" i="8"/>
  <c r="AN9" i="8"/>
  <c r="AO9" i="8"/>
  <c r="AP9" i="8"/>
  <c r="AQ9" i="8"/>
  <c r="AR9" i="8"/>
  <c r="AS9" i="8"/>
  <c r="S9" i="8" s="1"/>
  <c r="AT9" i="8"/>
  <c r="T9" i="8" s="1"/>
  <c r="BI9" i="8"/>
  <c r="L9" i="8" s="1"/>
  <c r="AH56" i="14" l="1"/>
  <c r="AC41" i="14"/>
  <c r="F40" i="14"/>
  <c r="H36" i="14"/>
  <c r="AD36" i="14"/>
  <c r="C36" i="14" s="1"/>
  <c r="C56" i="14"/>
  <c r="AD55" i="14"/>
  <c r="AD47" i="14"/>
  <c r="E45" i="14"/>
  <c r="AC43" i="14"/>
  <c r="AC42" i="14"/>
  <c r="C42" i="14" s="1"/>
  <c r="AF41" i="14"/>
  <c r="AC57" i="14"/>
  <c r="C57" i="14" s="1"/>
  <c r="F53" i="14"/>
  <c r="AG53" i="14" s="1"/>
  <c r="H53" i="14" s="1"/>
  <c r="AC48" i="14"/>
  <c r="AD41" i="14"/>
  <c r="AH38" i="14"/>
  <c r="F57" i="14"/>
  <c r="AF57" i="14"/>
  <c r="AD56" i="14"/>
  <c r="F52" i="14"/>
  <c r="AG52" i="14" s="1"/>
  <c r="AC49" i="14"/>
  <c r="C49" i="14" s="1"/>
  <c r="F44" i="14"/>
  <c r="AG44" i="14" s="1"/>
  <c r="AD42" i="14"/>
  <c r="AC35" i="14"/>
  <c r="AD57" i="14"/>
  <c r="AD53" i="14"/>
  <c r="C50" i="14"/>
  <c r="AD48" i="14"/>
  <c r="C48" i="14" s="1"/>
  <c r="AD45" i="14"/>
  <c r="C45" i="14" s="1"/>
  <c r="AC39" i="14"/>
  <c r="AC38" i="14"/>
  <c r="AF37" i="14"/>
  <c r="E37" i="14"/>
  <c r="AD37" i="14" s="1"/>
  <c r="C37" i="14" s="1"/>
  <c r="E49" i="14"/>
  <c r="AD49" i="14" s="1"/>
  <c r="AD58" i="14"/>
  <c r="C58" i="14" s="1"/>
  <c r="AH55" i="14"/>
  <c r="AC55" i="14"/>
  <c r="C55" i="14" s="1"/>
  <c r="AD52" i="14"/>
  <c r="E50" i="14"/>
  <c r="AD50" i="14" s="1"/>
  <c r="AD44" i="14"/>
  <c r="AH40" i="14"/>
  <c r="AC40" i="14"/>
  <c r="C40" i="14" s="1"/>
  <c r="E39" i="14"/>
  <c r="AD39" i="14" s="1"/>
  <c r="C39" i="14" s="1"/>
  <c r="E35" i="14"/>
  <c r="AD35" i="14" s="1"/>
  <c r="AF35" i="14"/>
  <c r="F58" i="14"/>
  <c r="AE54" i="14"/>
  <c r="G54" i="14" s="1"/>
  <c r="AG54" i="14"/>
  <c r="H54" i="14" s="1"/>
  <c r="AG45" i="14"/>
  <c r="AE45" i="14"/>
  <c r="G45" i="14" s="1"/>
  <c r="AE46" i="14"/>
  <c r="AG46" i="14"/>
  <c r="AG43" i="14"/>
  <c r="H43" i="14" s="1"/>
  <c r="AE43" i="14"/>
  <c r="G43" i="14" s="1"/>
  <c r="AE40" i="14"/>
  <c r="AG40" i="14"/>
  <c r="H40" i="14" s="1"/>
  <c r="G38" i="14"/>
  <c r="C53" i="14"/>
  <c r="H52" i="14"/>
  <c r="G46" i="14"/>
  <c r="H44" i="14"/>
  <c r="AE39" i="14"/>
  <c r="AG39" i="14"/>
  <c r="H39" i="14" s="1"/>
  <c r="G39" i="14"/>
  <c r="AE38" i="14"/>
  <c r="AG38" i="14"/>
  <c r="H38" i="14" s="1"/>
  <c r="AG37" i="14"/>
  <c r="H37" i="14" s="1"/>
  <c r="AE37" i="14"/>
  <c r="G37" i="14" s="1"/>
  <c r="AE57" i="14"/>
  <c r="G57" i="14" s="1"/>
  <c r="AG57" i="14"/>
  <c r="H57" i="14" s="1"/>
  <c r="H46" i="14"/>
  <c r="C52" i="14"/>
  <c r="AG51" i="14"/>
  <c r="H51" i="14" s="1"/>
  <c r="AE51" i="14"/>
  <c r="G51" i="14" s="1"/>
  <c r="C47" i="14"/>
  <c r="H45" i="14"/>
  <c r="C44" i="14"/>
  <c r="G40" i="14"/>
  <c r="E54" i="14"/>
  <c r="AD54" i="14" s="1"/>
  <c r="C54" i="14" s="1"/>
  <c r="E46" i="14"/>
  <c r="AD46" i="14" s="1"/>
  <c r="C46" i="14" s="1"/>
  <c r="E38" i="14"/>
  <c r="AD38" i="14" s="1"/>
  <c r="C38" i="14" s="1"/>
  <c r="AE36" i="14"/>
  <c r="G36" i="14" s="1"/>
  <c r="F35" i="14"/>
  <c r="E51" i="14"/>
  <c r="AD51" i="14" s="1"/>
  <c r="C51" i="14" s="1"/>
  <c r="F50" i="14"/>
  <c r="E43" i="14"/>
  <c r="AD43" i="14" s="1"/>
  <c r="C43" i="14" s="1"/>
  <c r="F42" i="14"/>
  <c r="F49" i="14"/>
  <c r="F41" i="14"/>
  <c r="F56" i="14"/>
  <c r="F48" i="14"/>
  <c r="AE44" i="14"/>
  <c r="G44" i="14" s="1"/>
  <c r="F55" i="14"/>
  <c r="F47" i="14"/>
  <c r="AE52" i="14"/>
  <c r="G52" i="14" s="1"/>
  <c r="AX9" i="8"/>
  <c r="I9" i="8"/>
  <c r="J9" i="8"/>
  <c r="P8" i="8"/>
  <c r="N8" i="8" s="1"/>
  <c r="O8" i="8"/>
  <c r="M8" i="8" s="1"/>
  <c r="P9" i="8"/>
  <c r="N9" i="8" s="1"/>
  <c r="O9" i="8"/>
  <c r="M9" i="8" s="1"/>
  <c r="AG8" i="8"/>
  <c r="BD8" i="8" s="1"/>
  <c r="AY9" i="8"/>
  <c r="K9" i="8"/>
  <c r="C9" i="8"/>
  <c r="H9" i="8"/>
  <c r="AU9" i="8" s="1"/>
  <c r="BI8" i="8"/>
  <c r="G9" i="8"/>
  <c r="D8" i="8"/>
  <c r="AH8" i="8" s="1"/>
  <c r="BF8" i="8" s="1"/>
  <c r="AY8" i="8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O24" i="14"/>
  <c r="P24" i="14"/>
  <c r="Q24" i="14"/>
  <c r="R24" i="14"/>
  <c r="O25" i="14"/>
  <c r="P25" i="14"/>
  <c r="Q25" i="14"/>
  <c r="R25" i="14"/>
  <c r="O26" i="14"/>
  <c r="P26" i="14"/>
  <c r="Q26" i="14"/>
  <c r="R26" i="14"/>
  <c r="AH26" i="14" s="1"/>
  <c r="O27" i="14"/>
  <c r="P27" i="14"/>
  <c r="Q27" i="14"/>
  <c r="R27" i="14"/>
  <c r="AH27" i="14" s="1"/>
  <c r="O28" i="14"/>
  <c r="P28" i="14"/>
  <c r="Q28" i="14"/>
  <c r="R28" i="14"/>
  <c r="O29" i="14"/>
  <c r="P29" i="14"/>
  <c r="Q29" i="14"/>
  <c r="R29" i="14"/>
  <c r="AH29" i="14" s="1"/>
  <c r="O30" i="14"/>
  <c r="P30" i="14"/>
  <c r="Q30" i="14"/>
  <c r="R30" i="14"/>
  <c r="O31" i="14"/>
  <c r="P31" i="14"/>
  <c r="Q31" i="14"/>
  <c r="R31" i="14"/>
  <c r="AH31" i="14" s="1"/>
  <c r="O32" i="14"/>
  <c r="P32" i="14"/>
  <c r="Q32" i="14"/>
  <c r="R32" i="14"/>
  <c r="O33" i="14"/>
  <c r="P33" i="14"/>
  <c r="Q33" i="14"/>
  <c r="R33" i="14"/>
  <c r="O34" i="14"/>
  <c r="P34" i="14"/>
  <c r="Q34" i="14"/>
  <c r="R34" i="14"/>
  <c r="P7" i="14"/>
  <c r="Q7" i="14"/>
  <c r="R7" i="14"/>
  <c r="O7" i="14"/>
  <c r="V7" i="8"/>
  <c r="W7" i="8"/>
  <c r="X7" i="8"/>
  <c r="U7" i="8"/>
  <c r="A26" i="14"/>
  <c r="B26" i="14"/>
  <c r="K26" i="14"/>
  <c r="L26" i="14"/>
  <c r="M26" i="14"/>
  <c r="N26" i="14"/>
  <c r="S26" i="14"/>
  <c r="T26" i="14"/>
  <c r="U26" i="14"/>
  <c r="V26" i="14"/>
  <c r="W26" i="14"/>
  <c r="X26" i="14"/>
  <c r="Y26" i="14"/>
  <c r="Z26" i="14"/>
  <c r="AA26" i="14"/>
  <c r="AF26" i="14"/>
  <c r="A27" i="14"/>
  <c r="B27" i="14"/>
  <c r="K27" i="14"/>
  <c r="L27" i="14"/>
  <c r="M27" i="14"/>
  <c r="N27" i="14"/>
  <c r="S27" i="14"/>
  <c r="T27" i="14"/>
  <c r="U27" i="14"/>
  <c r="V27" i="14"/>
  <c r="W27" i="14"/>
  <c r="X27" i="14"/>
  <c r="E27" i="14" s="1"/>
  <c r="Y27" i="14"/>
  <c r="Z27" i="14"/>
  <c r="AA27" i="14"/>
  <c r="A28" i="14"/>
  <c r="B28" i="14"/>
  <c r="K28" i="14"/>
  <c r="L28" i="14"/>
  <c r="M28" i="14"/>
  <c r="N28" i="14"/>
  <c r="AF28" i="14"/>
  <c r="S28" i="14"/>
  <c r="T28" i="14"/>
  <c r="U28" i="14"/>
  <c r="V28" i="14"/>
  <c r="W28" i="14"/>
  <c r="X28" i="14"/>
  <c r="Y28" i="14"/>
  <c r="Z28" i="14"/>
  <c r="AA28" i="14"/>
  <c r="A29" i="14"/>
  <c r="B29" i="14"/>
  <c r="AC29" i="14"/>
  <c r="K29" i="14"/>
  <c r="L29" i="14"/>
  <c r="M29" i="14"/>
  <c r="N29" i="14"/>
  <c r="S29" i="14"/>
  <c r="T29" i="14"/>
  <c r="U29" i="14"/>
  <c r="V29" i="14"/>
  <c r="W29" i="14"/>
  <c r="X29" i="14"/>
  <c r="Y29" i="14"/>
  <c r="Z29" i="14"/>
  <c r="AA29" i="14"/>
  <c r="A30" i="14"/>
  <c r="B30" i="14"/>
  <c r="K30" i="14"/>
  <c r="L30" i="14"/>
  <c r="M30" i="14"/>
  <c r="N30" i="14"/>
  <c r="AF30" i="14"/>
  <c r="S30" i="14"/>
  <c r="T30" i="14"/>
  <c r="U30" i="14"/>
  <c r="V30" i="14"/>
  <c r="W30" i="14"/>
  <c r="X30" i="14"/>
  <c r="Y30" i="14"/>
  <c r="Z30" i="14"/>
  <c r="AA30" i="14"/>
  <c r="A31" i="14"/>
  <c r="B31" i="14"/>
  <c r="K31" i="14"/>
  <c r="L31" i="14"/>
  <c r="M31" i="14"/>
  <c r="N31" i="14"/>
  <c r="S31" i="14"/>
  <c r="T31" i="14"/>
  <c r="U31" i="14"/>
  <c r="V31" i="14"/>
  <c r="W31" i="14"/>
  <c r="X31" i="14"/>
  <c r="Y31" i="14"/>
  <c r="Z31" i="14"/>
  <c r="AA31" i="14"/>
  <c r="A32" i="14"/>
  <c r="B32" i="14"/>
  <c r="K32" i="14"/>
  <c r="L32" i="14"/>
  <c r="M32" i="14"/>
  <c r="N32" i="14"/>
  <c r="S32" i="14"/>
  <c r="T32" i="14"/>
  <c r="U32" i="14"/>
  <c r="V32" i="14"/>
  <c r="W32" i="14"/>
  <c r="X32" i="14"/>
  <c r="Y32" i="14"/>
  <c r="Z32" i="14"/>
  <c r="AA32" i="14"/>
  <c r="AF32" i="14"/>
  <c r="A33" i="14"/>
  <c r="B33" i="14"/>
  <c r="K33" i="14"/>
  <c r="L33" i="14"/>
  <c r="M33" i="14"/>
  <c r="N33" i="14"/>
  <c r="S33" i="14"/>
  <c r="T33" i="14"/>
  <c r="U33" i="14"/>
  <c r="V33" i="14"/>
  <c r="W33" i="14"/>
  <c r="X33" i="14"/>
  <c r="Y33" i="14"/>
  <c r="Z33" i="14"/>
  <c r="AA33" i="14"/>
  <c r="A34" i="14"/>
  <c r="B34" i="14"/>
  <c r="K34" i="14"/>
  <c r="L34" i="14"/>
  <c r="M34" i="14"/>
  <c r="N34" i="14"/>
  <c r="S34" i="14"/>
  <c r="T34" i="14"/>
  <c r="U34" i="14"/>
  <c r="V34" i="14"/>
  <c r="W34" i="14"/>
  <c r="X34" i="14"/>
  <c r="Y34" i="14"/>
  <c r="Z34" i="14"/>
  <c r="AA34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E53" i="14" l="1"/>
  <c r="G53" i="14" s="1"/>
  <c r="AH28" i="14"/>
  <c r="AH30" i="14"/>
  <c r="F28" i="14"/>
  <c r="AH32" i="14"/>
  <c r="E26" i="14"/>
  <c r="C35" i="14"/>
  <c r="C41" i="14"/>
  <c r="AH34" i="14"/>
  <c r="AF29" i="14"/>
  <c r="AF27" i="14"/>
  <c r="AE58" i="14"/>
  <c r="G58" i="14" s="1"/>
  <c r="AG58" i="14"/>
  <c r="H58" i="14" s="1"/>
  <c r="AG50" i="14"/>
  <c r="H50" i="14" s="1"/>
  <c r="AE50" i="14"/>
  <c r="G50" i="14" s="1"/>
  <c r="AE47" i="14"/>
  <c r="G47" i="14" s="1"/>
  <c r="AG47" i="14"/>
  <c r="H47" i="14" s="1"/>
  <c r="AE48" i="14"/>
  <c r="G48" i="14" s="1"/>
  <c r="AG48" i="14"/>
  <c r="H48" i="14" s="1"/>
  <c r="AE56" i="14"/>
  <c r="G56" i="14" s="1"/>
  <c r="AG56" i="14"/>
  <c r="H56" i="14" s="1"/>
  <c r="AE35" i="14"/>
  <c r="G35" i="14" s="1"/>
  <c r="AG35" i="14"/>
  <c r="H35" i="14" s="1"/>
  <c r="AG41" i="14"/>
  <c r="H41" i="14" s="1"/>
  <c r="AE41" i="14"/>
  <c r="G41" i="14" s="1"/>
  <c r="AE55" i="14"/>
  <c r="G55" i="14" s="1"/>
  <c r="AG55" i="14"/>
  <c r="H55" i="14" s="1"/>
  <c r="AG49" i="14"/>
  <c r="H49" i="14" s="1"/>
  <c r="AE49" i="14"/>
  <c r="G49" i="14" s="1"/>
  <c r="AG42" i="14"/>
  <c r="H42" i="14" s="1"/>
  <c r="AE42" i="14"/>
  <c r="G42" i="14" s="1"/>
  <c r="AC27" i="14"/>
  <c r="BH8" i="8"/>
  <c r="BC9" i="8"/>
  <c r="BE9" i="8"/>
  <c r="AL9" i="8" s="1"/>
  <c r="BH9" i="8"/>
  <c r="AG9" i="8"/>
  <c r="BD9" i="8" s="1"/>
  <c r="AK9" i="8" s="1"/>
  <c r="AW9" i="8"/>
  <c r="R9" i="8" s="1"/>
  <c r="AV9" i="8"/>
  <c r="I8" i="8"/>
  <c r="J8" i="8"/>
  <c r="K8" i="8"/>
  <c r="L8" i="8"/>
  <c r="G8" i="8"/>
  <c r="H8" i="8"/>
  <c r="F33" i="14"/>
  <c r="AE33" i="14" s="1"/>
  <c r="AC28" i="14"/>
  <c r="E33" i="14"/>
  <c r="AD33" i="14" s="1"/>
  <c r="F30" i="14"/>
  <c r="E29" i="14"/>
  <c r="E31" i="14"/>
  <c r="AD31" i="14" s="1"/>
  <c r="AC31" i="14"/>
  <c r="AC26" i="14"/>
  <c r="AC32" i="14"/>
  <c r="AC30" i="14"/>
  <c r="E30" i="14"/>
  <c r="AD30" i="14" s="1"/>
  <c r="AH33" i="14"/>
  <c r="AC33" i="14"/>
  <c r="AF31" i="14"/>
  <c r="F29" i="14"/>
  <c r="AG29" i="14" s="1"/>
  <c r="H29" i="14" s="1"/>
  <c r="AD29" i="14"/>
  <c r="C29" i="14" s="1"/>
  <c r="E28" i="14"/>
  <c r="AD28" i="14" s="1"/>
  <c r="AF33" i="14"/>
  <c r="AD27" i="14"/>
  <c r="C27" i="14" s="1"/>
  <c r="F27" i="14"/>
  <c r="AG27" i="14" s="1"/>
  <c r="H27" i="14" s="1"/>
  <c r="E32" i="14"/>
  <c r="AD32" i="14" s="1"/>
  <c r="AD26" i="14"/>
  <c r="AC34" i="14"/>
  <c r="E34" i="14"/>
  <c r="AD34" i="14" s="1"/>
  <c r="AF34" i="14"/>
  <c r="AE30" i="14"/>
  <c r="G30" i="14" s="1"/>
  <c r="AG30" i="14"/>
  <c r="H30" i="14" s="1"/>
  <c r="AG28" i="14"/>
  <c r="H28" i="14" s="1"/>
  <c r="AE28" i="14"/>
  <c r="G28" i="14" s="1"/>
  <c r="F34" i="14"/>
  <c r="F26" i="14"/>
  <c r="AE27" i="14"/>
  <c r="G27" i="14" s="1"/>
  <c r="F32" i="14"/>
  <c r="F31" i="14"/>
  <c r="C7" i="26"/>
  <c r="E7" i="26"/>
  <c r="AF4" i="26"/>
  <c r="AJ4" i="24"/>
  <c r="AE4" i="22"/>
  <c r="AI4" i="19"/>
  <c r="AA4" i="10"/>
  <c r="AE3" i="8"/>
  <c r="AE29" i="14" l="1"/>
  <c r="G29" i="14" s="1"/>
  <c r="C26" i="14"/>
  <c r="C28" i="14"/>
  <c r="AG33" i="14"/>
  <c r="H33" i="14" s="1"/>
  <c r="BE8" i="8"/>
  <c r="AL8" i="8" s="1"/>
  <c r="BC8" i="8"/>
  <c r="AK8" i="8" s="1"/>
  <c r="AU8" i="8"/>
  <c r="AW8" i="8" s="1"/>
  <c r="R8" i="8" s="1"/>
  <c r="AZ9" i="8"/>
  <c r="Q9" i="8"/>
  <c r="C31" i="14"/>
  <c r="C32" i="14"/>
  <c r="C30" i="14"/>
  <c r="G33" i="14"/>
  <c r="C34" i="14"/>
  <c r="C33" i="14"/>
  <c r="AE31" i="14"/>
  <c r="G31" i="14" s="1"/>
  <c r="AG31" i="14"/>
  <c r="H31" i="14" s="1"/>
  <c r="AE34" i="14"/>
  <c r="G34" i="14" s="1"/>
  <c r="AG34" i="14"/>
  <c r="H34" i="14" s="1"/>
  <c r="AE32" i="14"/>
  <c r="G32" i="14" s="1"/>
  <c r="AG32" i="14"/>
  <c r="H32" i="14" s="1"/>
  <c r="AE26" i="14"/>
  <c r="G26" i="14" s="1"/>
  <c r="AG26" i="14"/>
  <c r="H26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V8" i="8" l="1"/>
  <c r="Z9" i="8"/>
  <c r="BG9" i="8"/>
  <c r="AI7" i="32"/>
  <c r="AE4" i="32"/>
  <c r="AD7" i="28"/>
  <c r="AA4" i="28"/>
  <c r="AH7" i="32"/>
  <c r="AE7" i="26"/>
  <c r="AK7" i="32"/>
  <c r="C7" i="19"/>
  <c r="D7" i="24"/>
  <c r="AI9" i="8" l="1"/>
  <c r="BA9" i="8"/>
  <c r="BB9" i="8"/>
  <c r="Q8" i="8"/>
  <c r="AZ8" i="8"/>
  <c r="AS7" i="32"/>
  <c r="T7" i="32" s="1"/>
  <c r="AR7" i="32"/>
  <c r="AJ9" i="8" l="1"/>
  <c r="Z8" i="8"/>
  <c r="BG8" i="8"/>
  <c r="S7" i="32"/>
  <c r="Q7" i="32" s="1"/>
  <c r="AD7" i="32"/>
  <c r="AC7" i="32" s="1"/>
  <c r="R7" i="32"/>
  <c r="AQ7" i="26"/>
  <c r="U7" i="26" s="1"/>
  <c r="S7" i="26" s="1"/>
  <c r="AP7" i="26"/>
  <c r="AI8" i="8" l="1"/>
  <c r="BA8" i="8"/>
  <c r="BB8" i="8"/>
  <c r="AL7" i="10"/>
  <c r="AK7" i="10"/>
  <c r="AJ8" i="8" l="1"/>
  <c r="W7" i="32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E57" i="15" l="1"/>
  <c r="E58" i="15"/>
  <c r="E49" i="15"/>
  <c r="E50" i="15"/>
  <c r="E51" i="15"/>
  <c r="E52" i="15"/>
  <c r="E53" i="15"/>
  <c r="E54" i="15"/>
  <c r="E55" i="15"/>
  <c r="E5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F57" i="15"/>
  <c r="F58" i="15"/>
  <c r="F49" i="15"/>
  <c r="F50" i="15"/>
  <c r="F51" i="15"/>
  <c r="F52" i="15"/>
  <c r="F53" i="15"/>
  <c r="F54" i="15"/>
  <c r="F55" i="15"/>
  <c r="F5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AV7" i="32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A24" i="14"/>
  <c r="B24" i="14"/>
  <c r="K24" i="14"/>
  <c r="L24" i="14"/>
  <c r="M24" i="14"/>
  <c r="N24" i="14"/>
  <c r="S24" i="14"/>
  <c r="T24" i="14"/>
  <c r="U24" i="14"/>
  <c r="V24" i="14"/>
  <c r="W24" i="14"/>
  <c r="X24" i="14"/>
  <c r="Y24" i="14"/>
  <c r="Z24" i="14"/>
  <c r="AA24" i="14"/>
  <c r="A25" i="14"/>
  <c r="B25" i="14"/>
  <c r="K25" i="14"/>
  <c r="L25" i="14"/>
  <c r="M25" i="14"/>
  <c r="N25" i="14"/>
  <c r="S25" i="14"/>
  <c r="T25" i="14"/>
  <c r="U25" i="14"/>
  <c r="V25" i="14"/>
  <c r="W25" i="14"/>
  <c r="X25" i="14"/>
  <c r="Y25" i="14"/>
  <c r="Z25" i="14"/>
  <c r="AA25" i="14"/>
  <c r="AM7" i="32" l="1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G24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25" i="14"/>
  <c r="C24" i="14"/>
  <c r="H25" i="14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F8" i="15" l="1"/>
  <c r="E8" i="15"/>
  <c r="H7" i="15"/>
  <c r="G7" i="15"/>
  <c r="A2" i="15"/>
  <c r="AF7" i="14"/>
  <c r="E7" i="14"/>
  <c r="AD7" i="14" s="1"/>
  <c r="AH7" i="14"/>
  <c r="AC7" i="14"/>
  <c r="C2" i="14"/>
  <c r="F7" i="14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>
  <authors>
    <author>ROG</author>
  </authors>
  <commentList>
    <comment ref="K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K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M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J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L2" authorId="0" shapeId="0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<sst xmlns="http://schemas.openxmlformats.org/spreadsheetml/2006/main" count="1171" uniqueCount="339">
  <si>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</si>
  <si>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</si>
  <si>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</si>
  <si>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</si>
  <si>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</si>
  <si>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</si>
  <si>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</si>
  <si>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</si>
  <si>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</si>
  <si>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</si>
  <si>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</si>
  <si>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</si>
  <si>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</si>
  <si>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</si>
  <si>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</si>
  <si>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</si>
  <si>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</si>
  <si>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</si>
  <si>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</si>
  <si>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</si>
  <si>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</si>
  <si>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</si>
  <si>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</si>
  <si>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</si>
  <si>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</si>
  <si>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</si>
  <si>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</si>
  <si>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</si>
  <si>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</si>
  <si>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</si>
  <si>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</si>
  <si>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</si>
  <si>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</si>
  <si>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</si>
  <si>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</si>
  <si>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</si>
  <si>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</si>
  <si>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</si>
  <si>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</si>
  <si>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</si>
  <si>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</si>
  <si>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</si>
  <si>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</si>
  <si>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</si>
  <si>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</si>
  <si>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</si>
  <si>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</si>
  <si>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</si>
  <si>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</si>
  <si>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</si>
  <si>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</si>
  <si>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</si>
  <si>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</si>
  <si>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</si>
  <si>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</si>
  <si>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</si>
  <si>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</si>
  <si>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</si>
  <si>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</si>
  <si>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</si>
  <si>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</si>
  <si>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</si>
  <si>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</si>
  <si>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</si>
  <si>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</si>
  <si>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</si>
  <si>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</si>
  <si>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</si>
  <si>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</si>
  <si>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</si>
  <si>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</si>
  <si>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</si>
  <si>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</si>
  <si>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</si>
  <si>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</si>
  <si>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</si>
  <si>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</si>
  <si>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</si>
  <si>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</si>
  <si>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</si>
  <si>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</si>
  <si>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</si>
  <si>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</si>
  <si>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</si>
  <si>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</si>
  <si>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</si>
  <si>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</si>
  <si>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</si>
  <si>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</si>
  <si>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</si>
  <si>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</si>
  <si>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</si>
  <si>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</si>
  <si>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</si>
  <si>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</si>
  <si>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</si>
  <si>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</si>
  <si>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</si>
  <si>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</si>
  <si>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</si>
  <si>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</si>
  <si>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</si>
  <si>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</si>
  <si>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</si>
  <si>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</si>
  <si>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</si>
  <si>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</si>
  <si>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</si>
  <si>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</si>
  <si>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</si>
  <si>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</si>
  <si>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</si>
  <si>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</si>
  <si>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</si>
  <si>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</si>
  <si>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</si>
  <si>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</si>
  <si>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</si>
  <si>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</si>
  <si>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</si>
  <si>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</si>
  <si>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</si>
  <si>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</si>
  <si>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</si>
  <si>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</si>
  <si>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</si>
  <si>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</si>
  <si>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</si>
  <si>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</si>
  <si>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</si>
  <si>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</si>
  <si>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</si>
  <si>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</si>
  <si>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</si>
  <si>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</si>
  <si>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</si>
  <si>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</si>
  <si>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</si>
  <si>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</si>
  <si>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</si>
  <si>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</si>
  <si>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</si>
  <si>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</si>
  <si>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</si>
  <si>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</si>
  <si>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</si>
  <si>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</si>
  <si>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</si>
  <si>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</si>
  <si>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</si>
  <si>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</si>
  <si>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</si>
  <si>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</si>
  <si>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</si>
  <si>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</si>
  <si>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</si>
  <si>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</si>
  <si>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</si>
  <si>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</si>
  <si>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</si>
  <si>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</si>
  <si>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</si>
  <si>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</si>
  <si>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</si>
  <si>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</si>
  <si>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</si>
  <si>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</si>
  <si>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</si>
  <si>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</si>
  <si>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</si>
  <si>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</si>
  <si>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</si>
  <si>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</si>
  <si>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</si>
  <si>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</si>
  <si>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</si>
  <si>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</si>
  <si>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</si>
  <si>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</si>
  <si>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</si>
  <si>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</si>
  <si>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</si>
  <si>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</si>
  <si>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</si>
  <si>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</si>
  <si>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</si>
  <si>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</si>
  <si>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</si>
  <si>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</si>
  <si>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</si>
  <si>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</si>
  <si>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</si>
  <si>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</si>
  <si>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</si>
  <si>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</si>
  <si>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</si>
  <si>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</si>
  <si>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</si>
  <si>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</si>
  <si>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</si>
  <si>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</si>
  <si>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</si>
  <si>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</si>
  <si>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</si>
  <si>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</si>
  <si>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</si>
  <si>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</si>
  <si>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</si>
  <si>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</si>
  <si>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</si>
  <si>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</si>
  <si>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</si>
  <si>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</si>
  <si>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</si>
  <si>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</si>
  <si>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</si>
  <si>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</si>
  <si>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</si>
  <si>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</si>
  <si>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</si>
  <si>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</si>
  <si>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</si>
  <si>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</si>
  <si>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</si>
  <si>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</si>
  <si>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</si>
  <si>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</si>
  <si>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</si>
  <si>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</si>
  <si>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</si>
  <si>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</si>
  <si>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</si>
  <si>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</si>
  <si>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</si>
  <si>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</si>
  <si>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</si>
  <si>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</si>
  <si>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</si>
  <si>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</si>
  <si>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</si>
  <si>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</si>
  <si>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</si>
  <si>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</si>
  <si>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</si>
  <si>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</si>
  <si>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</si>
  <si>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</si>
  <si>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</si>
  <si>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</si>
  <si>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</si>
  <si>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</si>
  <si>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</si>
  <si>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</si>
  <si>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</si>
  <si>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</si>
  <si>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</si>
  <si>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</si>
  <si>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</si>
  <si>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</si>
  <si>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</si>
  <si>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</si>
  <si>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</si>
  <si>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</si>
  <si>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</si>
  <si>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</si>
  <si>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</si>
  <si>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</si>
  <si>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</si>
  <si>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</si>
  <si>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</si>
  <si>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</si>
  <si>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</si>
  <si>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</si>
  <si>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</si>
  <si>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</si>
  <si>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</si>
  <si>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</si>
  <si>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</si>
  <si>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</si>
  <si>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</si>
  <si>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</si>
  <si>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</si>
  <si>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</si>
  <si>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</si>
  <si>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</si>
  <si>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</si>
  <si>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</si>
  <si>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</si>
  <si>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</si>
  <si>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</si>
  <si>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</si>
  <si>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</si>
  <si>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</si>
  <si>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</si>
  <si>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</si>
  <si>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</si>
  <si>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</si>
  <si>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</si>
  <si>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</si>
  <si>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</si>
  <si>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</si>
  <si>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</si>
  <si>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</si>
  <si>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</si>
  <si>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</si>
  <si>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</si>
  <si>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</si>
  <si>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</si>
  <si>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</si>
  <si>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</si>
  <si>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</si>
  <si>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</si>
  <si>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</si>
  <si>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</si>
  <si>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</si>
  <si>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</si>
  <si>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</si>
  <si>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</si>
  <si>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</si>
  <si>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</si>
  <si>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</si>
  <si>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</si>
  <si>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</si>
  <si>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</si>
  <si>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</si>
  <si>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</si>
  <si>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</si>
  <si>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</si>
  <si>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</si>
  <si>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</si>
  <si>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</si>
  <si>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</si>
  <si>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</si>
  <si>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</si>
  <si>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</si>
  <si>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경기도 부천 은하마을 주공1단지아파트-3차</t>
  </si>
  <si>
    <t>OTIS HIX-A201 돌출형</t>
  </si>
  <si>
    <t>김운호</t>
  </si>
  <si>
    <t>사급 VB 1.2T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</si>
</sst>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81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4" xfId="0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0" fontId="0" fillId="11" borderId="4" xfId="0" applyFill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9" borderId="15" xfId="0" applyFill="1" applyBorder="1" applyAlignment="1">
      <alignment horizontal="center" vertical="center" shrinkToFit="1"/>
    </xf>
    <xf numFmtId="0" fontId="0" fillId="11" borderId="15" xfId="0" applyFill="1" applyBorder="1" applyAlignment="1">
      <alignment horizontal="center" vertical="center" shrinkToFit="1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fo">
    <tabColor rgb="FFFFFF00"/>
  </sheetPr>
  <dimension ref="A1:L26"/>
  <sheetViews>
    <sheetView workbookViewId="0">
      <selection activeCell="B8" sqref="B8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경기도 부천 은하마을 주공1단지아파트-3차 ) _김운호소장</v>
      </c>
      <c r="C2" s="39" t="str">
        <f>"(와이드) 제작변환 자료( "&amp;B1&amp;" ) _"&amp;소장 &amp;"소장"</f>
        <v>(와이드) 제작변환 자료( 경기도 부천 은하마을 주공1단지아파트-3차 ) _김운호소장</v>
      </c>
      <c r="D2" s="154" t="s">
        <v>318</v>
      </c>
      <c r="E2" s="150" t="str">
        <f>"(SO와이드) 실측서 ( " &amp; B1 &amp; " ) _"&amp;소장 &amp;"소장"</f>
        <v>(SO와이드) 실측서 ( 경기도 부천 은하마을 주공1단지아파트-3차 ) _김운호소장</v>
      </c>
      <c r="F2" s="150" t="str">
        <f>"(SO와이드) 제작변환 ( " &amp; B1 &amp; " ) _"&amp;소장 &amp;"소장"</f>
        <v>(SO와이드) 제작변환 ( 경기도 부천 은하마을 주공1단지아파트-3차 ) _김운호소장</v>
      </c>
      <c r="G2" s="152" t="s">
        <v>320</v>
      </c>
      <c r="H2" s="147" t="str">
        <f>"(4CO와이드) 실측서 ( " &amp; B1 &amp; " ) _"&amp;소장 &amp;"소장"</f>
        <v>(4CO와이드) 실측서 ( 경기도 부천 은하마을 주공1단지아파트-3차 ) _김운호소장</v>
      </c>
      <c r="I2" s="147" t="str">
        <f>"(4CO와이드) 제작변환 ( " &amp; B1 &amp; " ) _"&amp;소장 &amp;"소장"</f>
        <v>(4CO와이드) 제작변환 ( 경기도 부천 은하마을 주공1단지아파트-3차 ) _김운호소장</v>
      </c>
      <c r="J2" s="152" t="s">
        <v>322</v>
      </c>
      <c r="K2" s="153" t="str">
        <f>"(2UP) 실측서 ( " &amp; B1 &amp; " ) _"&amp;소장 &amp;"소장"</f>
        <v>(2UP) 실측서 ( 경기도 부천 은하마을 주공1단지아파트-3차 ) _김운호소장</v>
      </c>
      <c r="L2" s="153" t="str">
        <f>"(2UP) 제작변환 ( " &amp; B1 &amp; " ) _"&amp;소장 &amp;"소장"</f>
        <v>(2UP) 제작변환 ( 경기도 부천 은하마을 주공1단지아파트-3차 ) _김운호소장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경기도 부천 은하마을 주공1단지아파트-3차 ) _김운호소장</v>
      </c>
      <c r="C3" s="39" t="str">
        <f>"(멍텅구리) 제작변환 자료( "&amp;B1&amp;" ) _"&amp;소장 &amp;"소장"</f>
        <v>(멍텅구리) 제작변환 자료( 경기도 부천 은하마을 주공1단지아파트-3차 ) _김운호소장</v>
      </c>
      <c r="D3" s="154" t="s">
        <v>319</v>
      </c>
      <c r="E3" s="150" t="str">
        <f>"(SO멍텅구리) 실측서 ( " &amp; B1 &amp; " ) _"&amp;소장 &amp;"소장"</f>
        <v>(SO멍텅구리) 실측서 ( 경기도 부천 은하마을 주공1단지아파트-3차 ) _김운호소장</v>
      </c>
      <c r="F3" s="150" t="str">
        <f>"(SO멍텅구리) 제작변환 ( " &amp; B1 &amp; " ) _"&amp;소장 &amp;"소장"</f>
        <v>(SO멍텅구리) 제작변환 ( 경기도 부천 은하마을 주공1단지아파트-3차 ) _김운호소장</v>
      </c>
      <c r="G3" s="152" t="s">
        <v>321</v>
      </c>
      <c r="H3" s="147" t="str">
        <f>"(4CO멍텅구리) 실측서 ( " &amp; B1 &amp; " ) _"&amp;소장 &amp;"소장"</f>
        <v>(4CO멍텅구리) 실측서 ( 경기도 부천 은하마을 주공1단지아파트-3차 ) _김운호소장</v>
      </c>
      <c r="I3" s="147" t="str">
        <f>"(4CO멍텅구리) 제작변환 ( " &amp; B1 &amp; " ) _"&amp;소장 &amp;"소장"</f>
        <v>(4CO멍텅구리) 제작변환 ( 경기도 부천 은하마을 주공1단지아파트-3차 ) _김운호소장</v>
      </c>
      <c r="J3" s="152" t="s">
        <v>323</v>
      </c>
      <c r="K3" s="153" t="str">
        <f>"(3UP) 실측서 ( " &amp; B1 &amp; " ) _"&amp;소장 &amp;"소장"</f>
        <v>(3UP) 실측서 ( 경기도 부천 은하마을 주공1단지아파트-3차 ) _김운호소장</v>
      </c>
      <c r="L3" s="153" t="str">
        <f>"(3UP) 제작변환 ( " &amp; B1 &amp; " ) _"&amp;소장 &amp;"소장"</f>
        <v>(3UP) 제작변환 ( 경기도 부천 은하마을 주공1단지아파트-3차 ) _김운호소장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경기도 부천 은하마을 주공1단지아파트-3차 ) _김운호소장</v>
      </c>
      <c r="C4" s="39" t="str">
        <f>"(쪽쟘) 제작변환 자료( "&amp;B1&amp;" ) _"&amp;소장 &amp;"소장"</f>
        <v>(쪽쟘) 제작변환 자료( 경기도 부천 은하마을 주공1단지아파트-3차 ) _김운호소장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324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338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7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(2), R - (0),  기둥차감 - (0), A + (1)</v>
      </c>
      <c r="C10" s="167"/>
    </row>
    <row r="11" spans="1:12" ht="16.5" customHeight="1" x14ac:dyDescent="0.3">
      <c r="A11" s="90" t="s">
        <v>197</v>
      </c>
      <c r="B11" s="167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(2), R - (0),  기둥차감 - (0),  A + (1)</v>
      </c>
      <c r="C11" s="167"/>
    </row>
    <row r="12" spans="1:12" ht="16.5" customHeight="1" x14ac:dyDescent="0.3">
      <c r="A12" s="90" t="s">
        <v>198</v>
      </c>
      <c r="B12" s="167" t="str">
        <f>"제작치수 반영 : JB/JD +(" &amp;narrow!G3&amp;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7"/>
    </row>
    <row r="13" spans="1:12" ht="16.5" customHeight="1" x14ac:dyDescent="0.3">
      <c r="A13" s="90" t="s">
        <v>251</v>
      </c>
      <c r="B13" s="167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(2), R - (0),  기둥차감 - (0),  A + (1)</v>
      </c>
      <c r="C13" s="167"/>
    </row>
    <row r="14" spans="1:12" ht="16.5" customHeight="1" x14ac:dyDescent="0.3">
      <c r="A14" s="90" t="s">
        <v>252</v>
      </c>
      <c r="B14" s="167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(2), R - (0),  기둥차감 - (0), A + (1)</v>
      </c>
      <c r="C14" s="167"/>
    </row>
    <row r="15" spans="1:12" ht="16.5" customHeight="1" x14ac:dyDescent="0.3">
      <c r="A15" s="90" t="s">
        <v>257</v>
      </c>
      <c r="B15" s="167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(2), R - (0),  기둥차감 - (0), A + (1)</v>
      </c>
      <c r="C15" s="167"/>
    </row>
    <row r="16" spans="1:12" ht="16.5" customHeight="1" x14ac:dyDescent="0.3">
      <c r="A16" s="90" t="s">
        <v>258</v>
      </c>
      <c r="B16" s="167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(2), R - (0),  기둥차감 - (0), A + (1)</v>
      </c>
      <c r="C16" s="167"/>
    </row>
    <row r="17" spans="1:3" ht="16.5" customHeight="1" x14ac:dyDescent="0.3">
      <c r="A17" s="90" t="s">
        <v>272</v>
      </c>
      <c r="B17" s="167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-(0),  C + (0),   U + (0), OP - (2), R - (0),  기둥차감 - (0), A + (1)</v>
      </c>
      <c r="C17" s="167"/>
    </row>
    <row r="18" spans="1:3" ht="16.5" customHeight="1" x14ac:dyDescent="0.3">
      <c r="A18" s="90" t="s">
        <v>273</v>
      </c>
      <c r="B18" s="167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-(0),  C + (0),   U + (0), OP - (2), R - (0),  기둥차감 - (0), A + (1)</v>
      </c>
      <c r="C18" s="167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data!$E$4:$E$14</xm:f>
          </x14:formula1>
          <xm:sqref>B6</xm:sqref>
        </x14:dataValidation>
        <x14:dataValidation type="list" showInputMessage="1" showErrorMessage="1">
          <x14:formula1>
            <xm:f>data!$D$3:$D$10</xm:f>
          </x14:formula1>
          <xm:sqref>B5</xm:sqref>
        </x14:dataValidation>
        <x14:dataValidation type="list" allowBlank="1" showInputMessage="1" showErrorMessage="1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1</v>
      </c>
      <c r="D2" s="3" t="str">
        <f>정보!B1</f>
        <v>경기도 부천 은하마을 주공1단지아파트-3차</v>
      </c>
      <c r="E2" s="3" t="str">
        <f>정보!B6</f>
        <v>김운호</v>
      </c>
      <c r="F2" s="3" t="str">
        <f>정보!B7</f>
        <v>사급 VB 1.2T</v>
      </c>
      <c r="G2" s="3" t="str">
        <f>정보!B8</f>
        <v>HL 1.2T</v>
      </c>
      <c r="H2" s="3" t="str">
        <f>정보!B9</f>
        <v>HL 1.2T</v>
      </c>
      <c r="I2" t="str">
        <f>정보!B5</f>
        <v>OTIS HIX-A201 돌출형</v>
      </c>
      <c r="J2" s="87">
        <f ca="1">TODAY()</f>
        <v>45267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sheet">
    <pageSetUpPr fitToPage="1"/>
  </sheetPr>
  <dimension ref="A1:AS27"/>
  <sheetViews>
    <sheetView zoomScale="85" zoomScaleNormal="85" workbookViewId="0">
      <selection activeCell="AH7" sqref="AH7:AJ9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72" t="str">
        <f>정보!B2</f>
        <v>(와이드) 실측서 ( 경기도 부천 은하마을 주공1단지아파트-3차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1"/>
      <c r="Z2" s="171"/>
      <c r="AA2" s="171"/>
      <c r="AB2" s="171"/>
      <c r="AC2" s="171"/>
      <c r="AD2" s="171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80" t="s">
        <v>98</v>
      </c>
      <c r="M3" s="180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71"/>
      <c r="Z3" s="171"/>
      <c r="AA3" s="171"/>
      <c r="AB3" s="171"/>
      <c r="AC3" s="171"/>
      <c r="AD3" s="171"/>
      <c r="AE3" s="34"/>
      <c r="AF3" s="34"/>
      <c r="AG3" s="34"/>
      <c r="AH3" s="34"/>
      <c r="AI3" s="34"/>
      <c r="AJ3" s="34"/>
    </row>
    <row r="4" spans="1:45" ht="33" customHeight="1" x14ac:dyDescent="0.3">
      <c r="A4" s="169" t="str">
        <f>정보!B10</f>
        <v>제작치수 반영 : MH + (2), JB/JD +(3 ),  늘어난치수K -(3),  C + (0),   U + (0), OP - (2), R - (0),  기둥차감 - (0),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8"/>
      <c r="W4" s="168"/>
      <c r="X4" s="168"/>
      <c r="Y4" s="168"/>
      <c r="Z4" s="168"/>
      <c r="AA4" s="168"/>
      <c r="AB4" s="168"/>
      <c r="AC4" s="168"/>
      <c r="AD4" s="170"/>
      <c r="AE4" s="179" t="s">
        <v>215</v>
      </c>
      <c r="AF4" s="179"/>
      <c r="AG4" s="75"/>
      <c r="AH4" s="9"/>
      <c r="AI4" s="9"/>
      <c r="AJ4" s="9"/>
    </row>
    <row r="5" spans="1:45" ht="25.9" customHeight="1" x14ac:dyDescent="0.3">
      <c r="A5" s="181" t="s">
        <v>0</v>
      </c>
      <c r="B5" s="173" t="s">
        <v>1</v>
      </c>
      <c r="C5" s="173" t="s">
        <v>2</v>
      </c>
      <c r="D5" s="173" t="s">
        <v>24</v>
      </c>
      <c r="E5" s="173" t="s">
        <v>3</v>
      </c>
      <c r="F5" s="173" t="s">
        <v>18</v>
      </c>
      <c r="G5" s="173" t="s">
        <v>4</v>
      </c>
      <c r="H5" s="173" t="s">
        <v>5</v>
      </c>
      <c r="I5" s="173" t="s">
        <v>6</v>
      </c>
      <c r="J5" s="173" t="s">
        <v>7</v>
      </c>
      <c r="K5" s="173" t="s">
        <v>47</v>
      </c>
      <c r="L5" s="173" t="s">
        <v>9</v>
      </c>
      <c r="M5" s="173" t="s">
        <v>12</v>
      </c>
      <c r="N5" s="173" t="s">
        <v>13</v>
      </c>
      <c r="O5" s="173" t="s">
        <v>10</v>
      </c>
      <c r="P5" s="173" t="s">
        <v>11</v>
      </c>
      <c r="Q5" s="173" t="s">
        <v>14</v>
      </c>
      <c r="R5" s="173" t="s">
        <v>15</v>
      </c>
      <c r="S5" s="173" t="s">
        <v>16</v>
      </c>
      <c r="T5" s="173" t="s">
        <v>17</v>
      </c>
      <c r="U5" s="173" t="s">
        <v>19</v>
      </c>
      <c r="V5" s="174" t="s">
        <v>48</v>
      </c>
      <c r="W5" s="174" t="s">
        <v>22</v>
      </c>
      <c r="X5" s="174" t="s">
        <v>23</v>
      </c>
      <c r="Y5" s="173" t="s">
        <v>21</v>
      </c>
      <c r="Z5" s="173"/>
      <c r="AA5" s="173"/>
      <c r="AB5" s="173"/>
      <c r="AC5" s="175" t="s">
        <v>91</v>
      </c>
      <c r="AD5" s="175" t="s">
        <v>92</v>
      </c>
      <c r="AE5" s="177" t="s">
        <v>212</v>
      </c>
      <c r="AF5" s="178"/>
      <c r="AG5" s="174" t="s">
        <v>199</v>
      </c>
      <c r="AH5" s="174" t="s">
        <v>203</v>
      </c>
      <c r="AI5" s="174"/>
      <c r="AJ5" s="174"/>
    </row>
    <row r="6" spans="1:45" ht="44.25" customHeight="1" x14ac:dyDescent="0.3">
      <c r="A6" s="181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173"/>
      <c r="U6" s="173"/>
      <c r="V6" s="173"/>
      <c r="W6" s="174"/>
      <c r="X6" s="174"/>
      <c r="Y6" s="8" t="s">
        <v>43</v>
      </c>
      <c r="Z6" s="8" t="s">
        <v>44</v>
      </c>
      <c r="AA6" s="8" t="s">
        <v>45</v>
      </c>
      <c r="AB6" s="8" t="s">
        <v>46</v>
      </c>
      <c r="AC6" s="176"/>
      <c r="AD6" s="176"/>
      <c r="AE6" s="74" t="s">
        <v>213</v>
      </c>
      <c r="AF6" s="74" t="s">
        <v>214</v>
      </c>
      <c r="AG6" s="173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>
        <v>524</v>
      </c>
      <c r="B7" s="4">
        <v>1</v>
      </c>
      <c r="C7" s="4">
        <v>263</v>
      </c>
      <c r="D7" s="4">
        <v>263</v>
      </c>
      <c r="E7" s="4">
        <v>994</v>
      </c>
      <c r="F7" s="4">
        <v>1083</v>
      </c>
      <c r="G7" s="4">
        <v>257</v>
      </c>
      <c r="H7" s="4">
        <v>257</v>
      </c>
      <c r="I7" s="4">
        <v>274</v>
      </c>
      <c r="J7" s="4">
        <v>274</v>
      </c>
      <c r="K7" s="13">
        <v>45</v>
      </c>
      <c r="L7" s="13">
        <v>45</v>
      </c>
      <c r="M7" s="4">
        <v>12</v>
      </c>
      <c r="N7" s="4">
        <v>12</v>
      </c>
      <c r="O7" s="4">
        <v>11</v>
      </c>
      <c r="P7" s="4">
        <v>10</v>
      </c>
      <c r="Q7" s="4">
        <v>2090</v>
      </c>
      <c r="R7" s="4">
        <v>2085</v>
      </c>
      <c r="S7" s="4">
        <v>2098</v>
      </c>
      <c r="T7" s="4">
        <v>2084</v>
      </c>
      <c r="U7" s="4">
        <v>40</v>
      </c>
      <c r="V7" s="4">
        <v>1</v>
      </c>
      <c r="W7" s="4">
        <v>30</v>
      </c>
      <c r="X7" s="4">
        <v>30</v>
      </c>
      <c r="Y7" s="4">
        <v>38</v>
      </c>
      <c r="Z7" s="4">
        <v>35</v>
      </c>
      <c r="AA7" s="4">
        <v>42</v>
      </c>
      <c r="AB7" s="4">
        <v>63</v>
      </c>
      <c r="AC7" s="4"/>
      <c r="AD7" s="4"/>
      <c r="AE7" s="4"/>
      <c r="AF7" s="4"/>
      <c r="AG7" s="4">
        <v>100</v>
      </c>
      <c r="AH7" s="4">
        <v>20</v>
      </c>
      <c r="AI7" s="4">
        <v>10</v>
      </c>
      <c r="AJ7" s="4">
        <v>20</v>
      </c>
      <c r="AK7" s="53"/>
      <c r="AL7" s="3">
        <f>Y7+$AK7</f>
        <v>38</v>
      </c>
      <c r="AM7" s="3">
        <f>Z7+$AK7</f>
        <v>35</v>
      </c>
      <c r="AN7" s="3">
        <f>AA7+$AK7</f>
        <v>42</v>
      </c>
      <c r="AO7" s="3">
        <f>AB7+$AK7</f>
        <v>63</v>
      </c>
      <c r="AP7" s="3">
        <f>G7-$AK7</f>
        <v>257</v>
      </c>
      <c r="AQ7" s="3">
        <f>H7-$AK7</f>
        <v>257</v>
      </c>
      <c r="AR7" s="3">
        <f>I7-$AK7</f>
        <v>274</v>
      </c>
      <c r="AS7" s="3">
        <f>J7-$AK7</f>
        <v>274</v>
      </c>
    </row>
    <row r="8" spans="1:45" ht="23.25" customHeight="1" x14ac:dyDescent="0.3">
      <c r="A8" s="127">
        <v>525</v>
      </c>
      <c r="B8" s="4">
        <v>1</v>
      </c>
      <c r="C8" s="4">
        <v>258</v>
      </c>
      <c r="D8" s="4">
        <v>258</v>
      </c>
      <c r="E8" s="4">
        <v>893</v>
      </c>
      <c r="F8" s="4">
        <v>992</v>
      </c>
      <c r="G8" s="4">
        <v>285</v>
      </c>
      <c r="H8" s="4">
        <v>285</v>
      </c>
      <c r="I8" s="4">
        <v>302</v>
      </c>
      <c r="J8" s="4">
        <v>302</v>
      </c>
      <c r="K8" s="13">
        <v>45</v>
      </c>
      <c r="L8" s="13">
        <v>45</v>
      </c>
      <c r="M8" s="4">
        <v>12</v>
      </c>
      <c r="N8" s="4">
        <v>12</v>
      </c>
      <c r="O8" s="4">
        <v>11</v>
      </c>
      <c r="P8" s="4">
        <v>8</v>
      </c>
      <c r="Q8" s="4">
        <v>2100</v>
      </c>
      <c r="R8" s="4">
        <v>2087</v>
      </c>
      <c r="S8" s="4">
        <v>2102</v>
      </c>
      <c r="T8" s="4">
        <v>2086</v>
      </c>
      <c r="U8" s="4">
        <v>40</v>
      </c>
      <c r="V8" s="4">
        <v>1</v>
      </c>
      <c r="W8" s="4">
        <v>30</v>
      </c>
      <c r="X8" s="4">
        <v>30</v>
      </c>
      <c r="Y8" s="4">
        <v>34</v>
      </c>
      <c r="Z8" s="4">
        <v>36</v>
      </c>
      <c r="AA8" s="4">
        <v>35</v>
      </c>
      <c r="AB8" s="4">
        <v>39</v>
      </c>
      <c r="AC8" s="4"/>
      <c r="AD8" s="4"/>
      <c r="AE8" s="4"/>
      <c r="AF8" s="4"/>
      <c r="AG8" s="4">
        <v>100</v>
      </c>
      <c r="AH8" s="4">
        <v>20</v>
      </c>
      <c r="AI8" s="4">
        <v>10</v>
      </c>
      <c r="AJ8" s="4">
        <v>20</v>
      </c>
      <c r="AK8" s="53"/>
      <c r="AL8" s="3">
        <f t="shared" ref="AL8" si="0">Y8+$AK8</f>
        <v>34</v>
      </c>
      <c r="AM8" s="3">
        <f>Z8+$AK8</f>
        <v>36</v>
      </c>
      <c r="AN8" s="3">
        <f>AA8+$AK8</f>
        <v>35</v>
      </c>
      <c r="AO8" s="3">
        <f>AB8+$AK8</f>
        <v>39</v>
      </c>
      <c r="AP8" s="3">
        <f t="shared" ref="AP8" si="1">G8-$AK8</f>
        <v>285</v>
      </c>
      <c r="AQ8" s="3">
        <f>H8-$AK8</f>
        <v>285</v>
      </c>
      <c r="AR8" s="3">
        <f>I8-$AK8</f>
        <v>302</v>
      </c>
      <c r="AS8" s="3">
        <f>J8-$AK8</f>
        <v>302</v>
      </c>
    </row>
    <row r="9" spans="1:45" ht="23.25" customHeight="1" x14ac:dyDescent="0.3">
      <c r="A9" s="127">
        <v>528</v>
      </c>
      <c r="B9" s="4">
        <v>1</v>
      </c>
      <c r="C9" s="4">
        <v>264</v>
      </c>
      <c r="D9" s="4">
        <v>264</v>
      </c>
      <c r="E9" s="4">
        <v>892</v>
      </c>
      <c r="F9" s="4">
        <v>987</v>
      </c>
      <c r="G9" s="4">
        <v>266</v>
      </c>
      <c r="H9" s="4">
        <v>266</v>
      </c>
      <c r="I9" s="4">
        <v>282</v>
      </c>
      <c r="J9" s="4">
        <v>282</v>
      </c>
      <c r="K9" s="13">
        <v>45</v>
      </c>
      <c r="L9" s="13">
        <v>45</v>
      </c>
      <c r="M9" s="4">
        <v>12</v>
      </c>
      <c r="N9" s="4">
        <v>12</v>
      </c>
      <c r="O9" s="4">
        <v>13</v>
      </c>
      <c r="P9" s="4">
        <v>13</v>
      </c>
      <c r="Q9" s="4">
        <v>2108</v>
      </c>
      <c r="R9" s="4">
        <v>2090</v>
      </c>
      <c r="S9" s="4">
        <v>2100</v>
      </c>
      <c r="T9" s="4">
        <v>2088</v>
      </c>
      <c r="U9" s="4">
        <v>40</v>
      </c>
      <c r="V9" s="4">
        <v>1</v>
      </c>
      <c r="W9" s="4">
        <v>30</v>
      </c>
      <c r="X9" s="4">
        <v>30</v>
      </c>
      <c r="Y9" s="4">
        <v>35</v>
      </c>
      <c r="Z9" s="4">
        <v>38</v>
      </c>
      <c r="AA9" s="4">
        <v>44</v>
      </c>
      <c r="AB9" s="4">
        <v>44</v>
      </c>
      <c r="AC9" s="4"/>
      <c r="AD9" s="4"/>
      <c r="AE9" s="4"/>
      <c r="AF9" s="4"/>
      <c r="AG9" s="4">
        <v>100</v>
      </c>
      <c r="AH9" s="4">
        <v>20</v>
      </c>
      <c r="AI9" s="4">
        <v>10</v>
      </c>
      <c r="AJ9" s="4">
        <v>20</v>
      </c>
    </row>
    <row r="10" spans="1:45" ht="23.25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idemake">
    <tabColor rgb="FF00B050"/>
    <pageSetUpPr fitToPage="1"/>
  </sheetPr>
  <dimension ref="A1:BI9"/>
  <sheetViews>
    <sheetView zoomScale="85" zoomScaleNormal="85" workbookViewId="0">
      <selection activeCell="T17" sqref="T1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82" t="str">
        <f>정보!C2</f>
        <v>(와이드) 제작변환 자료( 경기도 부천 은하마을 주공1단지아파트-3차 ) _김운호소장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37"/>
      <c r="AT1" s="37"/>
    </row>
    <row r="2" spans="1:61" ht="29.25" customHeight="1" x14ac:dyDescent="0.3">
      <c r="A2" s="23" t="s">
        <v>96</v>
      </c>
      <c r="B2" s="105">
        <v>2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23" t="s">
        <v>113</v>
      </c>
      <c r="J2" s="224"/>
      <c r="K2" s="224"/>
      <c r="L2" s="224"/>
      <c r="M2" s="225">
        <v>1</v>
      </c>
      <c r="N2" s="225"/>
      <c r="O2" s="195" t="s">
        <v>89</v>
      </c>
      <c r="P2" s="196"/>
      <c r="Q2" s="197">
        <v>0</v>
      </c>
      <c r="R2" s="197"/>
      <c r="S2" s="173" t="s">
        <v>83</v>
      </c>
      <c r="T2" s="199"/>
      <c r="U2" s="199"/>
      <c r="V2" s="200">
        <v>0</v>
      </c>
      <c r="W2" s="200"/>
      <c r="X2" s="218" t="s">
        <v>205</v>
      </c>
      <c r="Y2" s="219"/>
      <c r="Z2" s="222" t="str">
        <f>정보!B5</f>
        <v>OTIS HIX-A201 돌출형</v>
      </c>
      <c r="AA2" s="222"/>
      <c r="AB2" s="222"/>
      <c r="AC2" s="222"/>
      <c r="AD2" s="222"/>
      <c r="AE2" s="222"/>
      <c r="AF2" s="222"/>
      <c r="AG2" s="222"/>
      <c r="AH2" s="220" t="s">
        <v>90</v>
      </c>
      <c r="AI2" s="221"/>
      <c r="AJ2" s="232">
        <v>3</v>
      </c>
      <c r="AK2" s="232"/>
      <c r="AL2" s="1"/>
      <c r="AM2" s="187" t="s">
        <v>229</v>
      </c>
      <c r="AN2" s="229"/>
      <c r="AO2" s="230">
        <v>0</v>
      </c>
      <c r="AP2" s="230"/>
      <c r="AQ2" s="1"/>
      <c r="AR2" s="1"/>
    </row>
    <row r="3" spans="1:61" ht="24.75" customHeight="1" x14ac:dyDescent="0.3">
      <c r="A3" s="28" t="str">
        <f>'와이드(실측)'!A3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195" t="s">
        <v>228</v>
      </c>
      <c r="J3" s="195"/>
      <c r="K3" s="195"/>
      <c r="L3" s="195"/>
      <c r="M3" s="226">
        <v>3</v>
      </c>
      <c r="N3" s="226"/>
      <c r="O3" s="196" t="s">
        <v>77</v>
      </c>
      <c r="P3" s="196"/>
      <c r="Q3" s="203">
        <v>0</v>
      </c>
      <c r="R3" s="203"/>
      <c r="S3" s="204" t="s">
        <v>227</v>
      </c>
      <c r="T3" s="204"/>
      <c r="U3" s="204"/>
      <c r="V3" s="205">
        <f>BI7</f>
        <v>0</v>
      </c>
      <c r="W3" s="205"/>
      <c r="X3" s="198" t="s">
        <v>78</v>
      </c>
      <c r="Y3" s="198"/>
      <c r="Z3" s="206">
        <v>1</v>
      </c>
      <c r="AA3" s="206"/>
      <c r="AC3" s="207" t="s">
        <v>311</v>
      </c>
      <c r="AD3" s="207"/>
      <c r="AE3" s="207">
        <f>'와이드(실측)'!Y7</f>
        <v>38</v>
      </c>
      <c r="AF3" s="207"/>
      <c r="AG3" s="3"/>
      <c r="AH3" s="217" t="s">
        <v>73</v>
      </c>
      <c r="AI3" s="217"/>
      <c r="AJ3" s="26">
        <v>4</v>
      </c>
      <c r="AK3" s="15" t="s">
        <v>74</v>
      </c>
      <c r="AL3" s="14">
        <v>4</v>
      </c>
      <c r="AM3" s="231" t="s">
        <v>230</v>
      </c>
      <c r="AN3" s="231"/>
      <c r="AO3" s="233" t="s">
        <v>325</v>
      </c>
      <c r="AP3" s="234"/>
      <c r="AQ3" s="237">
        <f>AU7</f>
        <v>9.9262455066517052</v>
      </c>
      <c r="AR3" s="238"/>
      <c r="BI3" s="183" t="s">
        <v>253</v>
      </c>
    </row>
    <row r="4" spans="1:61" ht="33" customHeight="1" x14ac:dyDescent="0.3">
      <c r="A4" s="208" t="str">
        <f>정보!B10</f>
        <v>제작치수 반영 : MH + (2), JB/JD +(3 ),  늘어난치수K -(3),  C + (0),   U + (0), OP - (2), R - (0),  기둥차감 - (0), A + (1)</v>
      </c>
      <c r="B4" s="208"/>
      <c r="C4" s="208"/>
      <c r="D4" s="208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28">
        <f ca="1">TODAY()</f>
        <v>45267</v>
      </c>
      <c r="AH4" s="168"/>
      <c r="AI4" s="168"/>
      <c r="AJ4" s="9"/>
      <c r="AK4" s="227" t="s">
        <v>117</v>
      </c>
      <c r="AL4" s="227"/>
      <c r="AM4" s="179" t="s">
        <v>215</v>
      </c>
      <c r="AN4" s="179"/>
      <c r="AO4" s="84"/>
      <c r="AP4" s="235" t="s">
        <v>235</v>
      </c>
      <c r="AQ4" s="235"/>
      <c r="AR4" s="236"/>
      <c r="BI4" s="184"/>
    </row>
    <row r="5" spans="1:61" ht="25.9" customHeight="1" x14ac:dyDescent="0.3">
      <c r="A5" s="173" t="s">
        <v>0</v>
      </c>
      <c r="B5" s="173" t="s">
        <v>1</v>
      </c>
      <c r="C5" s="173" t="s">
        <v>2</v>
      </c>
      <c r="D5" s="173" t="s">
        <v>2</v>
      </c>
      <c r="E5" s="173" t="s">
        <v>3</v>
      </c>
      <c r="F5" s="173" t="s">
        <v>18</v>
      </c>
      <c r="G5" s="173" t="s">
        <v>41</v>
      </c>
      <c r="H5" s="173" t="s">
        <v>42</v>
      </c>
      <c r="I5" s="209" t="s">
        <v>105</v>
      </c>
      <c r="J5" s="209" t="s">
        <v>106</v>
      </c>
      <c r="K5" s="213" t="s">
        <v>107</v>
      </c>
      <c r="L5" s="213" t="s">
        <v>108</v>
      </c>
      <c r="M5" s="215" t="s">
        <v>71</v>
      </c>
      <c r="N5" s="215" t="s">
        <v>72</v>
      </c>
      <c r="O5" s="173" t="s">
        <v>8</v>
      </c>
      <c r="P5" s="173" t="s">
        <v>9</v>
      </c>
      <c r="Q5" s="173" t="s">
        <v>12</v>
      </c>
      <c r="R5" s="173" t="s">
        <v>13</v>
      </c>
      <c r="S5" s="173" t="s">
        <v>10</v>
      </c>
      <c r="T5" s="173" t="s">
        <v>11</v>
      </c>
      <c r="U5" s="211" t="s">
        <v>14</v>
      </c>
      <c r="V5" s="211" t="s">
        <v>15</v>
      </c>
      <c r="W5" s="212" t="s">
        <v>16</v>
      </c>
      <c r="X5" s="212" t="s">
        <v>17</v>
      </c>
      <c r="Y5" s="173" t="s">
        <v>19</v>
      </c>
      <c r="Z5" s="173" t="s">
        <v>20</v>
      </c>
      <c r="AA5" s="174" t="s">
        <v>22</v>
      </c>
      <c r="AB5" s="174" t="s">
        <v>23</v>
      </c>
      <c r="AC5" s="201" t="s">
        <v>79</v>
      </c>
      <c r="AD5" s="202"/>
      <c r="AE5" s="202"/>
      <c r="AF5" s="202"/>
      <c r="AG5" s="193" t="s">
        <v>91</v>
      </c>
      <c r="AH5" s="193" t="s">
        <v>92</v>
      </c>
      <c r="AI5" s="185" t="s">
        <v>99</v>
      </c>
      <c r="AJ5" s="174" t="s">
        <v>61</v>
      </c>
      <c r="AK5" s="174" t="s">
        <v>34</v>
      </c>
      <c r="AL5" s="174" t="s">
        <v>35</v>
      </c>
      <c r="AM5" s="177" t="s">
        <v>212</v>
      </c>
      <c r="AN5" s="178"/>
      <c r="AO5" s="241" t="s">
        <v>199</v>
      </c>
      <c r="AP5" s="241" t="s">
        <v>204</v>
      </c>
      <c r="AQ5" s="241"/>
      <c r="AR5" s="241"/>
      <c r="AS5" s="183" t="s">
        <v>100</v>
      </c>
      <c r="AT5" s="183" t="s">
        <v>101</v>
      </c>
      <c r="AU5" s="184" t="s">
        <v>80</v>
      </c>
      <c r="AV5" s="188" t="s">
        <v>84</v>
      </c>
      <c r="AW5" s="191" t="s">
        <v>102</v>
      </c>
      <c r="AX5" s="190" t="s">
        <v>94</v>
      </c>
      <c r="AY5" s="190" t="s">
        <v>95</v>
      </c>
      <c r="AZ5" s="183" t="s">
        <v>93</v>
      </c>
      <c r="BC5" s="187" t="s">
        <v>28</v>
      </c>
      <c r="BD5" s="187"/>
      <c r="BE5" s="187" t="s">
        <v>29</v>
      </c>
      <c r="BF5" s="187"/>
      <c r="BG5" s="6" t="s">
        <v>50</v>
      </c>
      <c r="BH5" s="240" t="s">
        <v>104</v>
      </c>
      <c r="BI5" s="239" t="s">
        <v>226</v>
      </c>
    </row>
    <row r="6" spans="1:61" ht="48" customHeight="1" x14ac:dyDescent="0.3">
      <c r="A6" s="173"/>
      <c r="B6" s="173"/>
      <c r="C6" s="173"/>
      <c r="D6" s="173"/>
      <c r="E6" s="173"/>
      <c r="F6" s="173"/>
      <c r="G6" s="173"/>
      <c r="H6" s="173"/>
      <c r="I6" s="210"/>
      <c r="J6" s="210"/>
      <c r="K6" s="214"/>
      <c r="L6" s="214"/>
      <c r="M6" s="216"/>
      <c r="N6" s="216"/>
      <c r="O6" s="173"/>
      <c r="P6" s="173"/>
      <c r="Q6" s="173"/>
      <c r="R6" s="173"/>
      <c r="S6" s="173"/>
      <c r="T6" s="173"/>
      <c r="U6" s="211"/>
      <c r="V6" s="211"/>
      <c r="W6" s="212"/>
      <c r="X6" s="212"/>
      <c r="Y6" s="173"/>
      <c r="Z6" s="173"/>
      <c r="AA6" s="174"/>
      <c r="AB6" s="174"/>
      <c r="AC6" s="8" t="s">
        <v>67</v>
      </c>
      <c r="AD6" s="8" t="s">
        <v>68</v>
      </c>
      <c r="AE6" s="8" t="s">
        <v>69</v>
      </c>
      <c r="AF6" s="8" t="s">
        <v>70</v>
      </c>
      <c r="AG6" s="194"/>
      <c r="AH6" s="194"/>
      <c r="AI6" s="186"/>
      <c r="AJ6" s="174"/>
      <c r="AK6" s="173"/>
      <c r="AL6" s="173"/>
      <c r="AM6" s="74" t="s">
        <v>213</v>
      </c>
      <c r="AN6" s="74" t="s">
        <v>214</v>
      </c>
      <c r="AO6" s="242"/>
      <c r="AP6" s="109" t="s">
        <v>200</v>
      </c>
      <c r="AQ6" s="109" t="s">
        <v>201</v>
      </c>
      <c r="AR6" s="109" t="s">
        <v>202</v>
      </c>
      <c r="AS6" s="184"/>
      <c r="AT6" s="184"/>
      <c r="AU6" s="184"/>
      <c r="AV6" s="189"/>
      <c r="AW6" s="192"/>
      <c r="AX6" s="190"/>
      <c r="AY6" s="190"/>
      <c r="AZ6" s="184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40"/>
      <c r="BI6" s="239"/>
    </row>
    <row r="7" spans="1:61" ht="26.25" customHeight="1" x14ac:dyDescent="0.3">
      <c r="A7" s="31">
        <f>'와이드(실측)'!A7</f>
        <v>524</v>
      </c>
      <c r="B7" s="31" t="str">
        <f>'와이드(실측)'!B7&amp;"F"</f>
        <v>1F</v>
      </c>
      <c r="C7" s="31">
        <f>'와이드(실측)'!C7+와이드MH더함-IF(AND(소장="추영덕",Y7=0),1.2)</f>
        <v>265</v>
      </c>
      <c r="D7" s="31">
        <f>'와이드(실측)'!D7+와이드MH더함-IF(AND(소장="추영덕",Y7=0),1.2)</f>
        <v>265</v>
      </c>
      <c r="E7" s="135">
        <f>'와이드(실측)'!E7-와이드OP</f>
        <v>992</v>
      </c>
      <c r="F7" s="31">
        <f>'와이드(실측)'!F7-와이드R</f>
        <v>1083</v>
      </c>
      <c r="G7" s="50">
        <f>'와이드(실측)'!G7+와이드JBJD키움치수+IF(BI7=1,AC7,0)</f>
        <v>260</v>
      </c>
      <c r="H7" s="50">
        <f>'와이드(실측)'!H7+와이드JBJD키움치수+IF(BI7=1,AE7,0)</f>
        <v>260</v>
      </c>
      <c r="I7" s="50">
        <f>'와이드(실측)'!I7+MAX(AS7,AT7)+와이드JBJD키움치수+IF(BI7=1,AC7,0)</f>
        <v>277</v>
      </c>
      <c r="J7" s="50">
        <f>'와이드(실측)'!I7+MAX(AS7,AT7)+와이드JBJD키움치수+IF(BI7=1,AD7,0)-IF(와이드JB하부늘치=1,'와이드(실측)'!Y7-'와이드(실측)'!Z7,0)</f>
        <v>274</v>
      </c>
      <c r="K7" s="50">
        <f>'와이드(실측)'!J7+MAX(AS7,AT7)+와이드JBJD키움치수+IF(BI7=1,AE7,0)</f>
        <v>277</v>
      </c>
      <c r="L7" s="50">
        <f>'와이드(실측)'!J7+MAX(AS7,AT7)+와이드JBJD키움치수+IF(BI7=1,AF7,0)-IF(와이드JB하부늘치=1,'와이드(실측)'!AA7-'와이드(실측)'!AB7,0)</f>
        <v>298</v>
      </c>
      <c r="M7" s="31">
        <f t="shared" ref="M7:N7" si="0">IF(소장="손상민",0,O7-1.5)</f>
        <v>43.5</v>
      </c>
      <c r="N7" s="31">
        <f t="shared" si="0"/>
        <v>43.5</v>
      </c>
      <c r="O7" s="31">
        <f>IF(S7&lt;9,'와이드(실측)'!K7+1.2,IF(ISNUMBER('와이드(실측)'!K7),'와이드(실측)'!K7+와이드C값,0))</f>
        <v>45</v>
      </c>
      <c r="P7" s="31">
        <f>IF(T7&lt;9,'와이드(실측)'!L7+1.2,IF(ISNUMBER('와이드(실측)'!L7),'와이드(실측)'!L7+와이드C값,0))</f>
        <v>45</v>
      </c>
      <c r="Q7" s="32">
        <f>ROUNDUP(AV7,1)</f>
        <v>12.9</v>
      </c>
      <c r="R7" s="38">
        <f>ROUNDUP(AW7,1)</f>
        <v>12.9</v>
      </c>
      <c r="S7" s="31">
        <f>IF(ISNUMBER('와이드(실측)'!O7),'와이드(실측)'!O7+와이드제작!AS7+와이드A늘림,0)</f>
        <v>12</v>
      </c>
      <c r="T7" s="31">
        <f>IF(ISNUMBER('와이드(실측)'!P7),'와이드(실측)'!P7+와이드제작!AT7+와이드A늘림,0)</f>
        <v>11</v>
      </c>
      <c r="U7" s="31">
        <f>'와이드(실측)'!Q7-와이드기둥차감</f>
        <v>2090</v>
      </c>
      <c r="V7" s="31">
        <f>'와이드(실측)'!R7-와이드기둥차감</f>
        <v>2085</v>
      </c>
      <c r="W7" s="31">
        <f>'와이드(실측)'!S7-와이드기둥차감</f>
        <v>2098</v>
      </c>
      <c r="X7" s="31">
        <f>'와이드(실측)'!T7-와이드기둥차감</f>
        <v>2084</v>
      </c>
      <c r="Y7" s="31">
        <f>IF(소장="손상민",IF(ISNUMBER('와이드(실측)'!U7),'와이드(실측)'!U7+1.2,0),IF(ISNUMBER('와이드(실측)'!U7),'와이드(실측)'!U7+와이드U,0))</f>
        <v>40</v>
      </c>
      <c r="Z7" s="31">
        <f>IF(소장="손상민",MAX(Q7,R7)+3.2,IF(ISNUMBER('와이드(실측)'!V7),'와이드(실측)'!V7+1.5+와이드제작!Q7+1,0))</f>
        <v>16.399999999999999</v>
      </c>
      <c r="AA7" s="31">
        <f>'와이드(실측)'!W7+뒷날개치수더함</f>
        <v>30</v>
      </c>
      <c r="AB7" s="31">
        <f>'와이드(실측)'!X7+뒷날개치수더함</f>
        <v>30</v>
      </c>
      <c r="AC7" s="31">
        <f>'와이드(실측)'!Y7-와이드늘치</f>
        <v>35</v>
      </c>
      <c r="AD7" s="31">
        <f>IF(와이드JB하부늘치=1,AC7,'와이드(실측)'!Z7-와이드늘치)</f>
        <v>35</v>
      </c>
      <c r="AE7" s="31">
        <f>'와이드(실측)'!AA7-와이드늘치</f>
        <v>39</v>
      </c>
      <c r="AF7" s="31">
        <f>IF(와이드JB하부늘치=1,AE7,'와이드(실측)'!AB7-와이드늘치)</f>
        <v>39</v>
      </c>
      <c r="AG7" s="31">
        <f xml:space="preserve"> IF(소장&lt;&gt;"손상민",IF('와이드(실측)'!AC7&gt;0,'와이드(실측)'!AC7,C7-1.2),IF('와이드(실측)'!AC7&gt;0,'와이드(실측)'!AC7+1.2,C7) )</f>
        <v>263.8</v>
      </c>
      <c r="AH7" s="31">
        <f xml:space="preserve"> IF(소장&lt;&gt;"손상민",IF('와이드(실측)'!AD7&gt;0,'와이드(실측)'!AD7,D7-1.2),IF('와이드(실측)'!AD7&gt;0,'와이드(실측)'!AD7+1.2,D7))</f>
        <v>263.8</v>
      </c>
      <c r="AI7" s="51">
        <f>IF(Z7&gt;0,Z7-MAX(Q7,R7),0)</f>
        <v>3.4999999999999982</v>
      </c>
      <c r="AJ7" s="31" t="str">
        <f t="shared" ref="AJ7" si="1">BA7&amp;"*"&amp;BB7</f>
        <v>1170*645.6</v>
      </c>
      <c r="AK7" s="31" t="str">
        <f t="shared" ref="AK7" si="2">BD7&amp;"*"&amp;BC7</f>
        <v>2353.8*394.2</v>
      </c>
      <c r="AL7" s="31" t="str">
        <f t="shared" ref="AL7" si="3">BF7&amp;"*"&amp;BE7</f>
        <v>2361.8*418.2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20</v>
      </c>
      <c r="AQ7" s="31">
        <f>'와이드(실측)'!AI7</f>
        <v>10</v>
      </c>
      <c r="AR7" s="31">
        <f>'와이드(실측)'!AJ7</f>
        <v>20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9.9262455066517052</v>
      </c>
      <c r="AV7" s="21">
        <f>ABS(G7-COS(RADIANS(AU7))*I7)</f>
        <v>12.85343940213005</v>
      </c>
      <c r="AW7" s="21">
        <f>ABS(H7-COS(RADIANS(AU7))*K7)</f>
        <v>12.85343940213005</v>
      </c>
      <c r="AX7" s="21">
        <f>'와이드(실측)'!M7+AS7</f>
        <v>12</v>
      </c>
      <c r="AY7" s="21">
        <f>'와이드(실측)'!N7+AS7</f>
        <v>12</v>
      </c>
      <c r="AZ7" s="20">
        <f>AV7-MAX(AX7,AY7)</f>
        <v>0.85343940213004998</v>
      </c>
      <c r="BA7" s="41">
        <f>IF(소장&lt;&gt;"손상민",F7+IF(Y7+Z7&gt;0,N7+M7,0),F7)</f>
        <v>1170</v>
      </c>
      <c r="BB7" s="42">
        <f>MAX(C7,D7)+MAX(G7,H7)+AA7-1.2*$AJ$3+IF(BI7=0,MAX(AE7,AC7),0)+IF(Y7=0,1.2,0)+IF(Z7=0,1.2,0)+IF(소장&lt;&gt;"손상민", Y7+Z7,IF('와이드(실측)'!U7=0,0,2.4))</f>
        <v>645.6</v>
      </c>
      <c r="BC7" s="41">
        <f>S7+O7+MAX(I7,J7)+AB7-1.2*$AL$3+IF(BI7=0,MAX(AD7,AC7),0)+IF(S7=0,1.2,0)-IF(AR7=90,2.4,0)</f>
        <v>394.2</v>
      </c>
      <c r="BD7" s="41">
        <f>MAX(U7,V7)+AG7</f>
        <v>2353.8000000000002</v>
      </c>
      <c r="BE7" s="41">
        <f>T7+P7+MAX(K7,L7)+AB7-1.2*$AL$3+IF(BI7=0,MAX(AE7,AF7),0)+IF(T7=0,1.2,0)-IF(AR7=90,2.4,0)</f>
        <v>418.2</v>
      </c>
      <c r="BF7" s="41">
        <f>MAX(W7,X7)+AH7</f>
        <v>2361.8000000000002</v>
      </c>
      <c r="BG7" s="6">
        <f t="shared" ref="BG7" si="4">I7-G7-Q7</f>
        <v>4.0999999999999996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>
        <f>'와이드(실측)'!A8</f>
        <v>525</v>
      </c>
      <c r="B8" s="31" t="str">
        <f>'와이드(실측)'!B8&amp;"F"</f>
        <v>1F</v>
      </c>
      <c r="C8" s="31">
        <f>'와이드(실측)'!C8+와이드MH더함-IF(AND(소장="추영덕",Y8=0),1.2)</f>
        <v>260</v>
      </c>
      <c r="D8" s="31">
        <f>'와이드(실측)'!D8+와이드MH더함-IF(AND(소장="추영덕",Y8=0),1.2)</f>
        <v>260</v>
      </c>
      <c r="E8" s="135">
        <f>'와이드(실측)'!E8-와이드OP</f>
        <v>891</v>
      </c>
      <c r="F8" s="31">
        <f>'와이드(실측)'!F8-와이드R</f>
        <v>992</v>
      </c>
      <c r="G8" s="50">
        <f>'와이드(실측)'!G8+와이드JBJD키움치수+IF(BI8=1,AC8,0)</f>
        <v>288</v>
      </c>
      <c r="H8" s="50">
        <f>'와이드(실측)'!H8+와이드JBJD키움치수+IF(BI8=1,AE8,0)</f>
        <v>288</v>
      </c>
      <c r="I8" s="50">
        <f>'와이드(실측)'!I8+MAX(AS8,AT8)+와이드JBJD키움치수+IF(BI8=1,AC8,0)</f>
        <v>305</v>
      </c>
      <c r="J8" s="50">
        <f>'와이드(실측)'!I8+MAX(AS8,AT8)+와이드JBJD키움치수+IF(BI8=1,AD8,0)-IF(와이드JB하부늘치=1,'와이드(실측)'!Y8-'와이드(실측)'!Z8,0)</f>
        <v>307</v>
      </c>
      <c r="K8" s="50">
        <f>'와이드(실측)'!J8+MAX(AS8,AT8)+와이드JBJD키움치수+IF(BI8=1,AE8,0)</f>
        <v>305</v>
      </c>
      <c r="L8" s="50">
        <f>'와이드(실측)'!J8+MAX(AS8,AT8)+와이드JBJD키움치수+IF(BI8=1,AF8,0)-IF(와이드JB하부늘치=1,'와이드(실측)'!AA8-'와이드(실측)'!AB8,0)</f>
        <v>309</v>
      </c>
      <c r="M8" s="31">
        <f t="shared" ref="M8:M9" si="5">IF(소장="손상민",0,O8-1.5)</f>
        <v>43.5</v>
      </c>
      <c r="N8" s="31">
        <f t="shared" ref="N8:N9" si="6">IF(소장="손상민",0,P8-1.5)</f>
        <v>43.5</v>
      </c>
      <c r="O8" s="31">
        <f>IF(S8&lt;9,'와이드(실측)'!K8+1.2,IF(ISNUMBER('와이드(실측)'!K8),'와이드(실측)'!K8+와이드C값,0))</f>
        <v>45</v>
      </c>
      <c r="P8" s="31">
        <f>IF(T8&lt;9,'와이드(실측)'!L8+1.2,IF(ISNUMBER('와이드(실측)'!L8),'와이드(실측)'!L8+와이드C값,0))</f>
        <v>45</v>
      </c>
      <c r="Q8" s="32">
        <f t="shared" ref="Q8:Q9" si="7">ROUNDUP(AV8,1)</f>
        <v>12.5</v>
      </c>
      <c r="R8" s="38">
        <f t="shared" ref="R8:R9" si="8">ROUNDUP(AW8,1)</f>
        <v>12.5</v>
      </c>
      <c r="S8" s="31">
        <f>IF(ISNUMBER('와이드(실측)'!O8),'와이드(실측)'!O8+와이드제작!AS8+와이드A늘림,0)</f>
        <v>12</v>
      </c>
      <c r="T8" s="31">
        <f>IF(ISNUMBER('와이드(실측)'!P8),'와이드(실측)'!P8+와이드제작!AT8+와이드A늘림,0)</f>
        <v>9</v>
      </c>
      <c r="U8" s="31">
        <f>'와이드(실측)'!Q8-와이드기둥차감</f>
        <v>2100</v>
      </c>
      <c r="V8" s="31">
        <f>'와이드(실측)'!R8-와이드기둥차감</f>
        <v>2087</v>
      </c>
      <c r="W8" s="31">
        <f>'와이드(실측)'!S8-와이드기둥차감</f>
        <v>2102</v>
      </c>
      <c r="X8" s="31">
        <f>'와이드(실측)'!T8-와이드기둥차감</f>
        <v>2086</v>
      </c>
      <c r="Y8" s="31">
        <f>IF(소장="손상민",IF(ISNUMBER('와이드(실측)'!U8),'와이드(실측)'!U8+1.2,0),IF(ISNUMBER('와이드(실측)'!U8),'와이드(실측)'!U8+와이드U,0))</f>
        <v>40</v>
      </c>
      <c r="Z8" s="31">
        <f>IF(소장="손상민",MAX(Q8,R8)+3.2,IF(ISNUMBER('와이드(실측)'!V8),'와이드(실측)'!V8+1.5+와이드제작!Q8+1,0))</f>
        <v>16</v>
      </c>
      <c r="AA8" s="31">
        <f>'와이드(실측)'!W8+뒷날개치수더함</f>
        <v>30</v>
      </c>
      <c r="AB8" s="31">
        <f>'와이드(실측)'!X8+뒷날개치수더함</f>
        <v>30</v>
      </c>
      <c r="AC8" s="31">
        <f>'와이드(실측)'!Y8-와이드늘치</f>
        <v>31</v>
      </c>
      <c r="AD8" s="31">
        <f>IF(와이드JB하부늘치=1,AC8,'와이드(실측)'!Z8-와이드늘치)</f>
        <v>31</v>
      </c>
      <c r="AE8" s="31">
        <f>'와이드(실측)'!AA8-와이드늘치</f>
        <v>32</v>
      </c>
      <c r="AF8" s="31">
        <f>IF(와이드JB하부늘치=1,AE8,'와이드(실측)'!AB8-와이드늘치)</f>
        <v>32</v>
      </c>
      <c r="AG8" s="31">
        <f xml:space="preserve"> IF(소장&lt;&gt;"손상민",IF('와이드(실측)'!AC8&gt;0,'와이드(실측)'!AC8,C8-1.2),IF('와이드(실측)'!AC8&gt;0,'와이드(실측)'!AC8+1.2,C8) )</f>
        <v>258.8</v>
      </c>
      <c r="AH8" s="31">
        <f xml:space="preserve"> IF(소장&lt;&gt;"손상민",IF('와이드(실측)'!AD8&gt;0,'와이드(실측)'!AD8,D8-1.2),IF('와이드(실측)'!AD8&gt;0,'와이드(실측)'!AD8+1.2,D8))</f>
        <v>258.8</v>
      </c>
      <c r="AI8" s="51">
        <f t="shared" ref="AI8:AI9" si="9">IF(Z8&gt;0,Z8-MAX(Q8,R8),0)</f>
        <v>3.5</v>
      </c>
      <c r="AJ8" s="31" t="str">
        <f t="shared" ref="AJ8:AJ9" si="10">BA8&amp;"*"&amp;BB8</f>
        <v>1079*661.2</v>
      </c>
      <c r="AK8" s="31" t="str">
        <f t="shared" ref="AK8:AK9" si="11">BD8&amp;"*"&amp;BC8</f>
        <v>2358.8*420.2</v>
      </c>
      <c r="AL8" s="31" t="str">
        <f t="shared" ref="AL8:AL9" si="12">BF8&amp;"*"&amp;BE8</f>
        <v>2360.8*420.2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100</v>
      </c>
      <c r="AP8" s="31">
        <f>IF('와이드(실측)'!AH8&gt;5,'와이드(실측)'!AH8+뒷날개치수더함,'와이드(실측)'!AH8)</f>
        <v>20</v>
      </c>
      <c r="AQ8" s="31">
        <f>'와이드(실측)'!AI8</f>
        <v>10</v>
      </c>
      <c r="AR8" s="31">
        <f>'와이드(실측)'!AJ8</f>
        <v>20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9" si="13">DEGREES(ATAN((F8-E8)/2/(H8)))</f>
        <v>9.9455475750714815</v>
      </c>
      <c r="AV8" s="21">
        <f t="shared" ref="AV8:AV9" si="14">ABS(G8-COS(RADIANS(AU8))*I8)</f>
        <v>12.416563386924452</v>
      </c>
      <c r="AW8" s="21">
        <f t="shared" ref="AW8:AW9" si="15">ABS(H8-COS(RADIANS(AU8))*K8)</f>
        <v>12.416563386924452</v>
      </c>
      <c r="AX8" s="21">
        <f>'와이드(실측)'!M8+AS8</f>
        <v>12</v>
      </c>
      <c r="AY8" s="21">
        <f>'와이드(실측)'!N8+AS8</f>
        <v>12</v>
      </c>
      <c r="AZ8" s="20">
        <f t="shared" ref="AZ8:AZ9" si="16">AV8-MAX(AX8,AY8)</f>
        <v>0.41656338692445161</v>
      </c>
      <c r="BA8" s="41">
        <f>IF(소장&lt;&gt;"손상민",F8+IF(Y8+Z8&gt;0,N8+M8,0),F8)</f>
        <v>1079</v>
      </c>
      <c r="BB8" s="42">
        <f>MAX(C8,D8)+MAX(G8,H8)+AA8-1.2*$AJ$3+IF(BI8=0,MAX(AE8,AC8),0)+IF(Y8=0,1.2,0)+IF(Z8=0,1.2,0)+IF(소장&lt;&gt;"손상민", Y8+Z8,IF('와이드(실측)'!U8=0,0,2.4))</f>
        <v>661.2</v>
      </c>
      <c r="BC8" s="41">
        <f t="shared" ref="BC8:BC9" si="17">S8+O8+MAX(I8,J8)+AB8-1.2*$AL$3+IF(BI8=0,MAX(AD8,AC8),0)+IF(S8=0,1.2,0)-IF(AR8=90,2.4,0)</f>
        <v>420.2</v>
      </c>
      <c r="BD8" s="41">
        <f t="shared" ref="BD8:BD9" si="18">MAX(U8,V8)+AG8</f>
        <v>2358.8000000000002</v>
      </c>
      <c r="BE8" s="41">
        <f t="shared" ref="BE8:BE9" si="19">T8+P8+MAX(K8,L8)+AB8-1.2*$AL$3+IF(BI8=0,MAX(AE8,AF8),0)+IF(T8=0,1.2,0)-IF(AR8=90,2.4,0)</f>
        <v>420.2</v>
      </c>
      <c r="BF8" s="41">
        <f t="shared" ref="BF8:BF9" si="20">MAX(W8,X8)+AH8</f>
        <v>2360.8000000000002</v>
      </c>
      <c r="BG8" s="6">
        <f t="shared" ref="BG8:BG9" si="21">I8-G8-Q8</f>
        <v>4.5</v>
      </c>
      <c r="BH8" s="43" t="str">
        <f t="shared" ref="BH8:BH9" si="22">IF(AND(C8&lt;&gt;D8,Y8&gt;0),"NG","")</f>
        <v/>
      </c>
      <c r="BI8" s="77">
        <f t="shared" ref="BI8:BI9" si="23">IF(AND(MIN(AC8,AE8)&gt;=9.2,ABS(F8-E8)&gt;15),0,1)</f>
        <v>0</v>
      </c>
    </row>
    <row r="9" spans="1:61" ht="26.25" customHeight="1" x14ac:dyDescent="0.3">
      <c r="A9" s="31">
        <f>'와이드(실측)'!A9</f>
        <v>528</v>
      </c>
      <c r="B9" s="31" t="str">
        <f>'와이드(실측)'!B9&amp;"F"</f>
        <v>1F</v>
      </c>
      <c r="C9" s="31">
        <f>'와이드(실측)'!C9+와이드MH더함-IF(AND(소장="추영덕",Y9=0),1.2)</f>
        <v>266</v>
      </c>
      <c r="D9" s="31">
        <f>'와이드(실측)'!D9+와이드MH더함-IF(AND(소장="추영덕",Y9=0),1.2)</f>
        <v>266</v>
      </c>
      <c r="E9" s="135">
        <f>'와이드(실측)'!E9-와이드OP</f>
        <v>890</v>
      </c>
      <c r="F9" s="31">
        <f>'와이드(실측)'!F9-와이드R</f>
        <v>987</v>
      </c>
      <c r="G9" s="50">
        <f>'와이드(실측)'!G9+와이드JBJD키움치수+IF(BI9=1,AC9,0)</f>
        <v>269</v>
      </c>
      <c r="H9" s="50">
        <f>'와이드(실측)'!H9+와이드JBJD키움치수+IF(BI9=1,AE9,0)</f>
        <v>269</v>
      </c>
      <c r="I9" s="50">
        <f>'와이드(실측)'!I9+MAX(AS9,AT9)+와이드JBJD키움치수+IF(BI9=1,AC9,0)</f>
        <v>285</v>
      </c>
      <c r="J9" s="50">
        <f>'와이드(실측)'!I9+MAX(AS9,AT9)+와이드JBJD키움치수+IF(BI9=1,AD9,0)-IF(와이드JB하부늘치=1,'와이드(실측)'!Y9-'와이드(실측)'!Z9,0)</f>
        <v>288</v>
      </c>
      <c r="K9" s="50">
        <f>'와이드(실측)'!J9+MAX(AS9,AT9)+와이드JBJD키움치수+IF(BI9=1,AE9,0)</f>
        <v>285</v>
      </c>
      <c r="L9" s="50">
        <f>'와이드(실측)'!J9+MAX(AS9,AT9)+와이드JBJD키움치수+IF(BI9=1,AF9,0)-IF(와이드JB하부늘치=1,'와이드(실측)'!AA9-'와이드(실측)'!AB9,0)</f>
        <v>285</v>
      </c>
      <c r="M9" s="31">
        <f t="shared" si="5"/>
        <v>43.5</v>
      </c>
      <c r="N9" s="31">
        <f t="shared" si="6"/>
        <v>43.5</v>
      </c>
      <c r="O9" s="31">
        <f>IF(S9&lt;9,'와이드(실측)'!K9+1.2,IF(ISNUMBER('와이드(실측)'!K9),'와이드(실측)'!K9+와이드C값,0))</f>
        <v>45</v>
      </c>
      <c r="P9" s="31">
        <f>IF(T9&lt;9,'와이드(실측)'!L9+1.2,IF(ISNUMBER('와이드(실측)'!L9),'와이드(실측)'!L9+와이드C값,0))</f>
        <v>45</v>
      </c>
      <c r="Q9" s="32">
        <f t="shared" si="7"/>
        <v>11.5</v>
      </c>
      <c r="R9" s="38">
        <f t="shared" si="8"/>
        <v>11.5</v>
      </c>
      <c r="S9" s="31">
        <f>IF(ISNUMBER('와이드(실측)'!O9),'와이드(실측)'!O9+와이드제작!AS9+와이드A늘림,0)</f>
        <v>14</v>
      </c>
      <c r="T9" s="31">
        <f>IF(ISNUMBER('와이드(실측)'!P9),'와이드(실측)'!P9+와이드제작!AT9+와이드A늘림,0)</f>
        <v>14</v>
      </c>
      <c r="U9" s="31">
        <f>'와이드(실측)'!Q9-와이드기둥차감</f>
        <v>2108</v>
      </c>
      <c r="V9" s="31">
        <f>'와이드(실측)'!R9-와이드기둥차감</f>
        <v>2090</v>
      </c>
      <c r="W9" s="31">
        <f>'와이드(실측)'!S9-와이드기둥차감</f>
        <v>2100</v>
      </c>
      <c r="X9" s="31">
        <f>'와이드(실측)'!T9-와이드기둥차감</f>
        <v>2088</v>
      </c>
      <c r="Y9" s="31">
        <f>IF(소장="손상민",IF(ISNUMBER('와이드(실측)'!U9),'와이드(실측)'!U9+1.2,0),IF(ISNUMBER('와이드(실측)'!U9),'와이드(실측)'!U9+와이드U,0))</f>
        <v>40</v>
      </c>
      <c r="Z9" s="31">
        <f>IF(소장="손상민",MAX(Q9,R9)+3.2,IF(ISNUMBER('와이드(실측)'!V9),'와이드(실측)'!V9+1.5+와이드제작!Q9+1,0))</f>
        <v>15</v>
      </c>
      <c r="AA9" s="31">
        <f>'와이드(실측)'!W9+뒷날개치수더함</f>
        <v>30</v>
      </c>
      <c r="AB9" s="31">
        <f>'와이드(실측)'!X9+뒷날개치수더함</f>
        <v>30</v>
      </c>
      <c r="AC9" s="31">
        <f>'와이드(실측)'!Y9-와이드늘치</f>
        <v>32</v>
      </c>
      <c r="AD9" s="31">
        <f>IF(와이드JB하부늘치=1,AC9,'와이드(실측)'!Z9-와이드늘치)</f>
        <v>32</v>
      </c>
      <c r="AE9" s="31">
        <f>'와이드(실측)'!AA9-와이드늘치</f>
        <v>41</v>
      </c>
      <c r="AF9" s="31">
        <f>IF(와이드JB하부늘치=1,AE9,'와이드(실측)'!AB9-와이드늘치)</f>
        <v>41</v>
      </c>
      <c r="AG9" s="31">
        <f xml:space="preserve"> IF(소장&lt;&gt;"손상민",IF('와이드(실측)'!AC9&gt;0,'와이드(실측)'!AC9,C9-1.2),IF('와이드(실측)'!AC9&gt;0,'와이드(실측)'!AC9+1.2,C9) )</f>
        <v>264.8</v>
      </c>
      <c r="AH9" s="31">
        <f xml:space="preserve"> IF(소장&lt;&gt;"손상민",IF('와이드(실측)'!AD9&gt;0,'와이드(실측)'!AD9,D9-1.2),IF('와이드(실측)'!AD9&gt;0,'와이드(실측)'!AD9+1.2,D9))</f>
        <v>264.8</v>
      </c>
      <c r="AI9" s="51">
        <f t="shared" si="9"/>
        <v>3.5</v>
      </c>
      <c r="AJ9" s="31" t="str">
        <f t="shared" si="10"/>
        <v>1074*656.2</v>
      </c>
      <c r="AK9" s="31" t="str">
        <f t="shared" si="11"/>
        <v>2372.8*404.2</v>
      </c>
      <c r="AL9" s="31" t="str">
        <f t="shared" si="12"/>
        <v>2364.8*410.2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100</v>
      </c>
      <c r="AP9" s="31">
        <f>IF('와이드(실측)'!AH9&gt;5,'와이드(실측)'!AH9+뒷날개치수더함,'와이드(실측)'!AH9)</f>
        <v>20</v>
      </c>
      <c r="AQ9" s="31">
        <f>'와이드(실측)'!AI9</f>
        <v>10</v>
      </c>
      <c r="AR9" s="31">
        <f>'와이드(실측)'!AJ9</f>
        <v>20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3"/>
        <v>10.220477744466979</v>
      </c>
      <c r="AV9" s="21">
        <f t="shared" si="14"/>
        <v>11.477692476994605</v>
      </c>
      <c r="AW9" s="21">
        <f t="shared" si="15"/>
        <v>11.477692476994605</v>
      </c>
      <c r="AX9" s="21">
        <f>'와이드(실측)'!M9+AS9</f>
        <v>12</v>
      </c>
      <c r="AY9" s="21">
        <f>'와이드(실측)'!N9+AS9</f>
        <v>12</v>
      </c>
      <c r="AZ9" s="20">
        <f t="shared" si="16"/>
        <v>-0.52230752300539507</v>
      </c>
      <c r="BA9" s="41">
        <f>IF(소장&lt;&gt;"손상민",F9+IF(Y9+Z9&gt;0,N9+M9,0),F9)</f>
        <v>1074</v>
      </c>
      <c r="BB9" s="42">
        <f>MAX(C9,D9)+MAX(G9,H9)+AA9-1.2*$AJ$3+IF(BI9=0,MAX(AE9,AC9),0)+IF(Y9=0,1.2,0)+IF(Z9=0,1.2,0)+IF(소장&lt;&gt;"손상민", Y9+Z9,IF('와이드(실측)'!U9=0,0,2.4))</f>
        <v>656.2</v>
      </c>
      <c r="BC9" s="41">
        <f t="shared" si="17"/>
        <v>404.2</v>
      </c>
      <c r="BD9" s="41">
        <f t="shared" si="18"/>
        <v>2372.8000000000002</v>
      </c>
      <c r="BE9" s="41">
        <f t="shared" si="19"/>
        <v>410.2</v>
      </c>
      <c r="BF9" s="41">
        <f t="shared" si="20"/>
        <v>2364.8000000000002</v>
      </c>
      <c r="BG9" s="6">
        <f t="shared" si="21"/>
        <v>4.5</v>
      </c>
      <c r="BH9" s="43" t="str">
        <f t="shared" si="22"/>
        <v/>
      </c>
      <c r="BI9" s="77">
        <f t="shared" si="23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9">
    <cfRule type="cellIs" dxfId="85" priority="52" operator="greaterThan">
      <formula>3</formula>
    </cfRule>
  </conditionalFormatting>
  <conditionalFormatting sqref="F7:F9">
    <cfRule type="cellIs" dxfId="84" priority="39" operator="greaterThan">
      <formula>1210</formula>
    </cfRule>
  </conditionalFormatting>
  <conditionalFormatting sqref="I7:L9 C7:D9">
    <cfRule type="cellIs" dxfId="83" priority="38" operator="greaterThan">
      <formula>500</formula>
    </cfRule>
  </conditionalFormatting>
  <conditionalFormatting sqref="C7:D9">
    <cfRule type="cellIs" dxfId="82" priority="36" operator="notEqual">
      <formula>$D7</formula>
    </cfRule>
  </conditionalFormatting>
  <conditionalFormatting sqref="D7:D9">
    <cfRule type="cellIs" dxfId="81" priority="35" operator="notEqual">
      <formula>$C7</formula>
    </cfRule>
  </conditionalFormatting>
  <conditionalFormatting sqref="AO7:AR9">
    <cfRule type="cellIs" dxfId="80" priority="17" operator="greaterThan">
      <formula>1.2</formula>
    </cfRule>
  </conditionalFormatting>
  <conditionalFormatting sqref="AO7:AO9">
    <cfRule type="cellIs" dxfId="79" priority="16" operator="greaterThan">
      <formula>0</formula>
    </cfRule>
  </conditionalFormatting>
  <conditionalFormatting sqref="G7:G9">
    <cfRule type="cellIs" dxfId="78" priority="14" operator="notEqual">
      <formula>H7</formula>
    </cfRule>
  </conditionalFormatting>
  <conditionalFormatting sqref="H7:H9">
    <cfRule type="cellIs" dxfId="77" priority="13" operator="notEqual">
      <formula>G7</formula>
    </cfRule>
  </conditionalFormatting>
  <conditionalFormatting sqref="I7:I9">
    <cfRule type="cellIs" dxfId="76" priority="12" operator="notEqual">
      <formula>J7</formula>
    </cfRule>
  </conditionalFormatting>
  <conditionalFormatting sqref="J7:J9">
    <cfRule type="cellIs" dxfId="75" priority="11" operator="notEqual">
      <formula>I7</formula>
    </cfRule>
  </conditionalFormatting>
  <conditionalFormatting sqref="K7:K9">
    <cfRule type="cellIs" dxfId="74" priority="10" operator="notEqual">
      <formula>L7</formula>
    </cfRule>
  </conditionalFormatting>
  <conditionalFormatting sqref="L7:L9">
    <cfRule type="cellIs" dxfId="73" priority="9" operator="notEqual">
      <formula>K7</formula>
    </cfRule>
  </conditionalFormatting>
  <conditionalFormatting sqref="AG7:AG9">
    <cfRule type="cellIs" dxfId="72" priority="8" operator="notEqual">
      <formula>AH7</formula>
    </cfRule>
  </conditionalFormatting>
  <conditionalFormatting sqref="AH7:AH9">
    <cfRule type="cellIs" dxfId="71" priority="7" operator="notEqual">
      <formula>AG7</formula>
    </cfRule>
  </conditionalFormatting>
  <conditionalFormatting sqref="AC7:AF9">
    <cfRule type="expression" dxfId="70" priority="6">
      <formula>$BI7</formula>
    </cfRule>
  </conditionalFormatting>
  <conditionalFormatting sqref="Y7:Y9">
    <cfRule type="expression" dxfId="69" priority="2">
      <formula>소장="손상민"</formula>
    </cfRule>
  </conditionalFormatting>
  <conditionalFormatting sqref="Z7:Z9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71" t="str">
        <f>정보!B3</f>
        <v>(멍텅구리) 실측서 ( 경기도 부천 은하마을 주공1단지아파트-3차 ) _김운호소장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54"/>
      <c r="H3" s="254"/>
      <c r="I3" s="251"/>
      <c r="J3" s="251"/>
      <c r="K3" s="252"/>
      <c r="L3" s="252"/>
      <c r="M3" s="253"/>
      <c r="N3" s="253"/>
      <c r="O3" s="253"/>
      <c r="P3" s="248" t="s">
        <v>97</v>
      </c>
      <c r="Q3" s="248"/>
      <c r="R3" s="249"/>
      <c r="S3" s="249"/>
      <c r="T3" s="250"/>
      <c r="U3" s="250"/>
    </row>
    <row r="4" spans="1:39" ht="33" customHeight="1" x14ac:dyDescent="0.3">
      <c r="A4" s="169" t="str">
        <f>정보!B11</f>
        <v>제작치수 반영 : JB/JD +(3 ),  늘어난치수K -(3),  C + (0),  U +(0), OP - (2), R - (0),  기둥차감 - (0), 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9"/>
      <c r="AA4" s="9"/>
      <c r="AB4" s="179" t="s">
        <v>215</v>
      </c>
      <c r="AC4" s="179"/>
      <c r="AD4" s="81" t="s">
        <v>234</v>
      </c>
    </row>
    <row r="5" spans="1:39" ht="25.9" customHeight="1" x14ac:dyDescent="0.3">
      <c r="A5" s="181" t="s">
        <v>0</v>
      </c>
      <c r="B5" s="173" t="s">
        <v>1</v>
      </c>
      <c r="C5" s="173" t="s">
        <v>3</v>
      </c>
      <c r="D5" s="173" t="s">
        <v>18</v>
      </c>
      <c r="E5" s="173" t="s">
        <v>4</v>
      </c>
      <c r="F5" s="173" t="s">
        <v>5</v>
      </c>
      <c r="G5" s="173" t="s">
        <v>6</v>
      </c>
      <c r="H5" s="173" t="s">
        <v>7</v>
      </c>
      <c r="I5" s="173" t="s">
        <v>8</v>
      </c>
      <c r="J5" s="173" t="s">
        <v>9</v>
      </c>
      <c r="K5" s="173" t="s">
        <v>10</v>
      </c>
      <c r="L5" s="173" t="s">
        <v>11</v>
      </c>
      <c r="M5" s="173" t="s">
        <v>14</v>
      </c>
      <c r="N5" s="173" t="s">
        <v>15</v>
      </c>
      <c r="O5" s="173" t="s">
        <v>16</v>
      </c>
      <c r="P5" s="173" t="s">
        <v>17</v>
      </c>
      <c r="Q5" s="173" t="s">
        <v>19</v>
      </c>
      <c r="R5" s="173" t="s">
        <v>20</v>
      </c>
      <c r="S5" s="243" t="s">
        <v>22</v>
      </c>
      <c r="T5" s="243" t="s">
        <v>23</v>
      </c>
      <c r="U5" s="245" t="s">
        <v>21</v>
      </c>
      <c r="V5" s="246"/>
      <c r="W5" s="246"/>
      <c r="X5" s="247"/>
      <c r="Y5" s="174" t="s">
        <v>203</v>
      </c>
      <c r="Z5" s="174"/>
      <c r="AA5" s="174"/>
      <c r="AB5" s="177" t="s">
        <v>212</v>
      </c>
      <c r="AC5" s="178"/>
      <c r="AD5" s="80" t="s">
        <v>231</v>
      </c>
    </row>
    <row r="6" spans="1:39" ht="47.25" customHeight="1" x14ac:dyDescent="0.3">
      <c r="A6" s="181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244"/>
      <c r="T6" s="244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71" t="str">
        <f>정보!C3</f>
        <v>(멍텅구리) 제작변환 자료( 경기도 부천 은하마을 주공1단지아파트-3차 ) _김운호소장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"/>
      <c r="AJ1" s="1"/>
      <c r="AK1" s="255" t="s">
        <v>75</v>
      </c>
      <c r="AL1" s="255"/>
      <c r="AM1" s="255"/>
      <c r="AR1" s="24"/>
    </row>
    <row r="2" spans="1:53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62" t="s">
        <v>81</v>
      </c>
      <c r="H2" s="262"/>
      <c r="I2" s="262"/>
      <c r="J2" s="268">
        <v>0</v>
      </c>
      <c r="K2" s="268"/>
      <c r="L2" s="265" t="s">
        <v>113</v>
      </c>
      <c r="M2" s="265"/>
      <c r="N2" s="265"/>
      <c r="O2" s="265"/>
      <c r="P2" s="266">
        <v>1</v>
      </c>
      <c r="Q2" s="266"/>
      <c r="R2" s="263" t="s">
        <v>103</v>
      </c>
      <c r="S2" s="264"/>
      <c r="T2" s="108">
        <v>0</v>
      </c>
      <c r="U2" s="263" t="s">
        <v>88</v>
      </c>
      <c r="V2" s="264"/>
      <c r="W2" s="261">
        <v>0</v>
      </c>
      <c r="X2" s="261"/>
      <c r="Y2" s="257" t="s">
        <v>82</v>
      </c>
      <c r="Z2" s="258"/>
      <c r="AA2" s="259">
        <v>0</v>
      </c>
      <c r="AB2" s="259"/>
      <c r="AC2" s="98" t="s">
        <v>114</v>
      </c>
      <c r="AD2" s="256">
        <v>3</v>
      </c>
      <c r="AE2" s="256"/>
      <c r="AF2" s="1"/>
      <c r="AG2" s="1"/>
      <c r="AH2" s="1"/>
      <c r="AI2" s="1"/>
      <c r="AJ2" s="1"/>
      <c r="AK2" s="255"/>
      <c r="AL2" s="255"/>
      <c r="AM2" s="255"/>
      <c r="AR2" s="24"/>
    </row>
    <row r="3" spans="1:53" ht="33" customHeight="1" x14ac:dyDescent="0.3">
      <c r="A3" s="33" t="str">
        <f>'멍텅(실측)'!A3</f>
        <v>현장명 : 경기도 부천 은하마을 주공1단지아파트-3차,   (재질) : HL 1.2T</v>
      </c>
      <c r="B3" s="2"/>
      <c r="C3" s="2"/>
      <c r="D3" s="2"/>
      <c r="E3" s="2"/>
      <c r="F3" s="2"/>
      <c r="G3" s="257" t="s">
        <v>76</v>
      </c>
      <c r="H3" s="257"/>
      <c r="I3" s="257"/>
      <c r="J3" s="269">
        <v>3</v>
      </c>
      <c r="K3" s="269"/>
      <c r="L3" s="257" t="s">
        <v>77</v>
      </c>
      <c r="M3" s="257"/>
      <c r="N3" s="270">
        <v>0</v>
      </c>
      <c r="O3" s="270"/>
      <c r="P3" s="271" t="s">
        <v>227</v>
      </c>
      <c r="Q3" s="271"/>
      <c r="R3" s="271"/>
      <c r="S3" s="272">
        <f>AZ7</f>
        <v>1</v>
      </c>
      <c r="T3" s="272"/>
      <c r="U3" s="267" t="s">
        <v>78</v>
      </c>
      <c r="V3" s="267"/>
      <c r="W3" s="260">
        <v>1</v>
      </c>
      <c r="X3" s="260"/>
      <c r="AA3" s="215" t="s">
        <v>73</v>
      </c>
      <c r="AB3" s="215"/>
      <c r="AC3" s="102">
        <v>3</v>
      </c>
      <c r="AD3" s="4" t="s">
        <v>74</v>
      </c>
      <c r="AE3" s="104">
        <v>4</v>
      </c>
      <c r="AF3" s="286" t="s">
        <v>326</v>
      </c>
      <c r="AG3" s="287"/>
      <c r="AH3" s="218"/>
      <c r="AI3" s="288" t="e">
        <f>AN7</f>
        <v>#DIV/0!</v>
      </c>
      <c r="AJ3" s="235"/>
      <c r="AK3" s="25"/>
      <c r="AL3" s="25"/>
      <c r="AM3" s="24"/>
      <c r="AR3" s="24"/>
    </row>
    <row r="4" spans="1:53" ht="33" customHeight="1" x14ac:dyDescent="0.3">
      <c r="A4" s="283" t="str">
        <f>'멍텅(실측)'!A4:Y4</f>
        <v>제작치수 반영 : JB/JD +(3 ),  늘어난치수K -(3),  C + (0),  U +(0), OP - (2), R - (0),  기둥차감 - (0),  A + (1)</v>
      </c>
      <c r="B4" s="283"/>
      <c r="C4" s="283"/>
      <c r="D4" s="283"/>
      <c r="E4" s="283"/>
      <c r="F4" s="283"/>
      <c r="G4" s="283"/>
      <c r="H4" s="283"/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1" t="s">
        <v>312</v>
      </c>
      <c r="Z4" s="281"/>
      <c r="AA4" s="282">
        <f>'멍텅(실측)'!U7</f>
        <v>0</v>
      </c>
      <c r="AB4" s="282"/>
      <c r="AC4" s="9"/>
      <c r="AD4" s="228">
        <f ca="1">TODAY()</f>
        <v>45267</v>
      </c>
      <c r="AE4" s="168"/>
      <c r="AF4" s="284" t="s">
        <v>235</v>
      </c>
      <c r="AG4" s="284"/>
      <c r="AH4" s="285"/>
      <c r="AI4" s="179" t="s">
        <v>215</v>
      </c>
      <c r="AJ4" s="179"/>
      <c r="AK4" s="25"/>
      <c r="AL4" s="25"/>
      <c r="AM4" s="24"/>
      <c r="AR4" s="24"/>
      <c r="AZ4" s="183" t="s">
        <v>253</v>
      </c>
    </row>
    <row r="5" spans="1:53" ht="25.9" customHeight="1" x14ac:dyDescent="0.3">
      <c r="A5" s="173" t="s">
        <v>0</v>
      </c>
      <c r="B5" s="173" t="s">
        <v>1</v>
      </c>
      <c r="C5" s="173" t="s">
        <v>3</v>
      </c>
      <c r="D5" s="173" t="s">
        <v>18</v>
      </c>
      <c r="E5" s="174" t="s">
        <v>58</v>
      </c>
      <c r="F5" s="174" t="s">
        <v>59</v>
      </c>
      <c r="G5" s="273" t="s">
        <v>60</v>
      </c>
      <c r="H5" s="273" t="s">
        <v>64</v>
      </c>
      <c r="I5" s="275" t="s">
        <v>65</v>
      </c>
      <c r="J5" s="275" t="s">
        <v>66</v>
      </c>
      <c r="K5" s="243" t="s">
        <v>62</v>
      </c>
      <c r="L5" s="243" t="s">
        <v>63</v>
      </c>
      <c r="M5" s="173" t="s">
        <v>8</v>
      </c>
      <c r="N5" s="173" t="s">
        <v>9</v>
      </c>
      <c r="O5" s="173" t="s">
        <v>10</v>
      </c>
      <c r="P5" s="173" t="s">
        <v>11</v>
      </c>
      <c r="Q5" s="173" t="s">
        <v>14</v>
      </c>
      <c r="R5" s="173" t="s">
        <v>15</v>
      </c>
      <c r="S5" s="173" t="s">
        <v>16</v>
      </c>
      <c r="T5" s="173" t="s">
        <v>17</v>
      </c>
      <c r="U5" s="173" t="s">
        <v>19</v>
      </c>
      <c r="V5" s="277" t="s">
        <v>20</v>
      </c>
      <c r="W5" s="243" t="s">
        <v>22</v>
      </c>
      <c r="X5" s="243" t="s">
        <v>23</v>
      </c>
      <c r="Y5" s="245" t="s">
        <v>21</v>
      </c>
      <c r="Z5" s="246"/>
      <c r="AA5" s="246"/>
      <c r="AB5" s="247"/>
      <c r="AC5" s="174" t="s">
        <v>25</v>
      </c>
      <c r="AD5" s="279" t="s">
        <v>34</v>
      </c>
      <c r="AE5" s="174" t="s">
        <v>35</v>
      </c>
      <c r="AF5" s="241" t="s">
        <v>203</v>
      </c>
      <c r="AG5" s="241"/>
      <c r="AH5" s="241"/>
      <c r="AI5" s="177" t="s">
        <v>212</v>
      </c>
      <c r="AJ5" s="178"/>
      <c r="AK5" s="183" t="s">
        <v>305</v>
      </c>
      <c r="AL5" s="183" t="s">
        <v>306</v>
      </c>
      <c r="AM5" s="278" t="s">
        <v>51</v>
      </c>
      <c r="AT5" s="184" t="s">
        <v>28</v>
      </c>
      <c r="AU5" s="184"/>
      <c r="AV5" s="184" t="s">
        <v>29</v>
      </c>
      <c r="AW5" s="184"/>
      <c r="AZ5" s="184"/>
    </row>
    <row r="6" spans="1:53" ht="48" customHeight="1" x14ac:dyDescent="0.3">
      <c r="A6" s="173"/>
      <c r="B6" s="173"/>
      <c r="C6" s="173"/>
      <c r="D6" s="173"/>
      <c r="E6" s="173"/>
      <c r="F6" s="173"/>
      <c r="G6" s="274"/>
      <c r="H6" s="274"/>
      <c r="I6" s="276"/>
      <c r="J6" s="276"/>
      <c r="K6" s="244"/>
      <c r="L6" s="244"/>
      <c r="M6" s="173"/>
      <c r="N6" s="173"/>
      <c r="O6" s="173"/>
      <c r="P6" s="173"/>
      <c r="Q6" s="173"/>
      <c r="R6" s="173"/>
      <c r="S6" s="173"/>
      <c r="T6" s="173"/>
      <c r="U6" s="173"/>
      <c r="V6" s="277"/>
      <c r="W6" s="244"/>
      <c r="X6" s="244"/>
      <c r="Y6" s="8" t="s">
        <v>56</v>
      </c>
      <c r="Z6" s="8" t="s">
        <v>57</v>
      </c>
      <c r="AA6" s="8" t="s">
        <v>54</v>
      </c>
      <c r="AB6" s="8" t="s">
        <v>55</v>
      </c>
      <c r="AC6" s="173"/>
      <c r="AD6" s="280"/>
      <c r="AE6" s="173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84"/>
      <c r="AL6" s="184"/>
      <c r="AM6" s="278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-2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rrowsheet">
    <pageSetUpPr fitToPage="1"/>
  </sheetPr>
  <dimension ref="A1:V358"/>
  <sheetViews>
    <sheetView topLeftCell="A40" zoomScaleNormal="100" workbookViewId="0">
      <selection activeCell="T7" sqref="T7:V58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90" t="str">
        <f>정보!B4</f>
        <v>(쪽쟘) 실측서 ( 경기도 부천 은하마을 주공1단지아파트-3차 ) _김운호소장</v>
      </c>
      <c r="B1" s="290"/>
      <c r="C1" s="290"/>
      <c r="D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  <c r="R1" s="290"/>
      <c r="S1" s="290"/>
      <c r="T1" s="290"/>
      <c r="U1" s="290"/>
      <c r="V1" s="290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경기도 부천 은하마을 주공1단지아파트-3차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93" t="s">
        <v>118</v>
      </c>
      <c r="B5" s="289" t="s">
        <v>119</v>
      </c>
      <c r="C5" s="289" t="s">
        <v>120</v>
      </c>
      <c r="D5" s="289" t="s">
        <v>121</v>
      </c>
      <c r="E5" s="289" t="s">
        <v>122</v>
      </c>
      <c r="F5" s="289" t="s">
        <v>123</v>
      </c>
      <c r="G5" s="289" t="s">
        <v>124</v>
      </c>
      <c r="H5" s="289" t="s">
        <v>125</v>
      </c>
      <c r="I5" s="289" t="s">
        <v>126</v>
      </c>
      <c r="J5" s="289" t="s">
        <v>128</v>
      </c>
      <c r="K5" s="289" t="s">
        <v>15</v>
      </c>
      <c r="L5" s="289" t="s">
        <v>129</v>
      </c>
      <c r="M5" s="289" t="s">
        <v>130</v>
      </c>
      <c r="N5" s="289" t="s">
        <v>131</v>
      </c>
      <c r="O5" s="289" t="s">
        <v>132</v>
      </c>
      <c r="P5" s="291" t="s">
        <v>133</v>
      </c>
      <c r="Q5" s="291" t="s">
        <v>134</v>
      </c>
      <c r="R5" s="289" t="s">
        <v>135</v>
      </c>
      <c r="S5" s="289"/>
      <c r="T5" s="174" t="s">
        <v>203</v>
      </c>
      <c r="U5" s="174"/>
      <c r="V5" s="174"/>
    </row>
    <row r="6" spans="1:22" ht="25.9" customHeight="1" x14ac:dyDescent="0.3">
      <c r="A6" s="293"/>
      <c r="B6" s="289"/>
      <c r="C6" s="289"/>
      <c r="D6" s="289"/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92"/>
      <c r="Q6" s="292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>
        <v>524</v>
      </c>
      <c r="B7" s="60">
        <v>15</v>
      </c>
      <c r="C7" s="60">
        <v>997</v>
      </c>
      <c r="D7" s="60">
        <v>114</v>
      </c>
      <c r="E7" s="60">
        <v>113</v>
      </c>
      <c r="F7" s="60">
        <v>20</v>
      </c>
      <c r="G7" s="60">
        <v>28</v>
      </c>
      <c r="H7" s="60">
        <v>20</v>
      </c>
      <c r="I7" s="60">
        <v>20</v>
      </c>
      <c r="J7" s="119">
        <v>2093</v>
      </c>
      <c r="K7" s="119">
        <v>2090</v>
      </c>
      <c r="L7" s="119">
        <v>2093</v>
      </c>
      <c r="M7" s="119">
        <v>2090</v>
      </c>
      <c r="N7" s="119">
        <v>26</v>
      </c>
      <c r="O7" s="119">
        <v>30</v>
      </c>
      <c r="P7" s="119">
        <v>30</v>
      </c>
      <c r="Q7" s="119">
        <v>30</v>
      </c>
      <c r="R7" s="60"/>
      <c r="S7" s="60"/>
      <c r="T7" s="4">
        <v>20</v>
      </c>
      <c r="U7" s="4">
        <v>10</v>
      </c>
      <c r="V7" s="4">
        <v>20</v>
      </c>
    </row>
    <row r="8" spans="1:22" ht="18" customHeight="1" x14ac:dyDescent="0.3">
      <c r="A8" s="60">
        <v>524</v>
      </c>
      <c r="B8" s="60">
        <v>14</v>
      </c>
      <c r="C8" s="60">
        <v>997</v>
      </c>
      <c r="D8" s="60">
        <v>114</v>
      </c>
      <c r="E8" s="60">
        <v>113</v>
      </c>
      <c r="F8" s="60">
        <v>20</v>
      </c>
      <c r="G8" s="60">
        <v>23</v>
      </c>
      <c r="H8" s="60">
        <v>20</v>
      </c>
      <c r="I8" s="60">
        <v>20</v>
      </c>
      <c r="J8" s="119">
        <v>2092</v>
      </c>
      <c r="K8" s="119">
        <v>2092</v>
      </c>
      <c r="L8" s="119">
        <v>2092</v>
      </c>
      <c r="M8" s="119">
        <v>2092</v>
      </c>
      <c r="N8" s="119">
        <v>30</v>
      </c>
      <c r="O8" s="119">
        <v>30</v>
      </c>
      <c r="P8" s="119">
        <v>30</v>
      </c>
      <c r="Q8" s="119">
        <v>30</v>
      </c>
      <c r="R8" s="60"/>
      <c r="S8" s="60"/>
      <c r="T8" s="4">
        <v>20</v>
      </c>
      <c r="U8" s="4">
        <v>10</v>
      </c>
      <c r="V8" s="4">
        <v>20</v>
      </c>
    </row>
    <row r="9" spans="1:22" x14ac:dyDescent="0.3">
      <c r="A9" s="60">
        <v>524</v>
      </c>
      <c r="B9" s="60">
        <v>13</v>
      </c>
      <c r="C9" s="60">
        <v>998</v>
      </c>
      <c r="D9" s="60">
        <v>114</v>
      </c>
      <c r="E9" s="60">
        <v>113</v>
      </c>
      <c r="F9" s="60">
        <v>20</v>
      </c>
      <c r="G9" s="60">
        <v>24</v>
      </c>
      <c r="H9" s="60">
        <v>20</v>
      </c>
      <c r="I9" s="60">
        <v>20</v>
      </c>
      <c r="J9" s="119">
        <v>2090</v>
      </c>
      <c r="K9" s="119">
        <v>2087</v>
      </c>
      <c r="L9" s="119">
        <v>2092</v>
      </c>
      <c r="M9" s="119">
        <v>2092</v>
      </c>
      <c r="N9" s="119">
        <v>30</v>
      </c>
      <c r="O9" s="119">
        <v>30</v>
      </c>
      <c r="P9" s="119">
        <v>30</v>
      </c>
      <c r="Q9" s="119">
        <v>30</v>
      </c>
      <c r="R9" s="60"/>
      <c r="S9" s="60"/>
      <c r="T9" s="4">
        <v>20</v>
      </c>
      <c r="U9" s="4">
        <v>10</v>
      </c>
      <c r="V9" s="4">
        <v>20</v>
      </c>
    </row>
    <row r="10" spans="1:22" x14ac:dyDescent="0.3">
      <c r="A10" s="60">
        <v>524</v>
      </c>
      <c r="B10" s="60">
        <v>12</v>
      </c>
      <c r="C10" s="60">
        <v>997</v>
      </c>
      <c r="D10" s="60">
        <v>114</v>
      </c>
      <c r="E10" s="60">
        <v>113</v>
      </c>
      <c r="F10" s="60">
        <v>28</v>
      </c>
      <c r="G10" s="60">
        <v>28</v>
      </c>
      <c r="H10" s="60">
        <v>20</v>
      </c>
      <c r="I10" s="60">
        <v>24</v>
      </c>
      <c r="J10" s="119">
        <v>2090</v>
      </c>
      <c r="K10" s="119">
        <v>2090</v>
      </c>
      <c r="L10" s="119">
        <v>2092</v>
      </c>
      <c r="M10" s="119">
        <v>2092</v>
      </c>
      <c r="N10" s="119">
        <v>26</v>
      </c>
      <c r="O10" s="119">
        <v>26</v>
      </c>
      <c r="P10" s="119">
        <v>30</v>
      </c>
      <c r="Q10" s="119">
        <v>30</v>
      </c>
      <c r="R10" s="60"/>
      <c r="S10" s="60"/>
      <c r="T10" s="4">
        <v>20</v>
      </c>
      <c r="U10" s="4">
        <v>10</v>
      </c>
      <c r="V10" s="4">
        <v>20</v>
      </c>
    </row>
    <row r="11" spans="1:22" x14ac:dyDescent="0.3">
      <c r="A11" s="60">
        <v>524</v>
      </c>
      <c r="B11" s="60">
        <v>11</v>
      </c>
      <c r="C11" s="60">
        <v>997</v>
      </c>
      <c r="D11" s="60">
        <v>114</v>
      </c>
      <c r="E11" s="60">
        <v>113</v>
      </c>
      <c r="F11" s="60">
        <v>24</v>
      </c>
      <c r="G11" s="60">
        <v>24</v>
      </c>
      <c r="H11" s="60">
        <v>24</v>
      </c>
      <c r="I11" s="60">
        <v>24</v>
      </c>
      <c r="J11" s="119">
        <v>2090</v>
      </c>
      <c r="K11" s="119">
        <v>2090</v>
      </c>
      <c r="L11" s="119">
        <v>2092</v>
      </c>
      <c r="M11" s="119">
        <v>2092</v>
      </c>
      <c r="N11" s="119">
        <v>27</v>
      </c>
      <c r="O11" s="119">
        <v>27</v>
      </c>
      <c r="P11" s="119">
        <v>30</v>
      </c>
      <c r="Q11" s="119">
        <v>30</v>
      </c>
      <c r="R11" s="60"/>
      <c r="S11" s="60"/>
      <c r="T11" s="4">
        <v>20</v>
      </c>
      <c r="U11" s="4">
        <v>10</v>
      </c>
      <c r="V11" s="4">
        <v>20</v>
      </c>
    </row>
    <row r="12" spans="1:22" x14ac:dyDescent="0.3">
      <c r="A12" s="60">
        <v>524</v>
      </c>
      <c r="B12" s="60">
        <v>10</v>
      </c>
      <c r="C12" s="60">
        <v>997</v>
      </c>
      <c r="D12" s="60">
        <v>114</v>
      </c>
      <c r="E12" s="60">
        <v>113</v>
      </c>
      <c r="F12" s="60">
        <v>20</v>
      </c>
      <c r="G12" s="60">
        <v>20</v>
      </c>
      <c r="H12" s="60">
        <v>20</v>
      </c>
      <c r="I12" s="60">
        <v>20</v>
      </c>
      <c r="J12" s="119">
        <v>2096</v>
      </c>
      <c r="K12" s="119">
        <v>2090</v>
      </c>
      <c r="L12" s="119">
        <v>2094</v>
      </c>
      <c r="M12" s="119">
        <v>2091</v>
      </c>
      <c r="N12" s="119">
        <v>29</v>
      </c>
      <c r="O12" s="119">
        <v>26</v>
      </c>
      <c r="P12" s="119">
        <v>30</v>
      </c>
      <c r="Q12" s="119">
        <v>30</v>
      </c>
      <c r="R12" s="60"/>
      <c r="S12" s="60"/>
      <c r="T12" s="4">
        <v>20</v>
      </c>
      <c r="U12" s="4">
        <v>10</v>
      </c>
      <c r="V12" s="4">
        <v>20</v>
      </c>
    </row>
    <row r="13" spans="1:22" x14ac:dyDescent="0.3">
      <c r="A13" s="60">
        <v>524</v>
      </c>
      <c r="B13" s="60">
        <v>9</v>
      </c>
      <c r="C13" s="60">
        <v>997</v>
      </c>
      <c r="D13" s="60">
        <v>114</v>
      </c>
      <c r="E13" s="60">
        <v>113</v>
      </c>
      <c r="F13" s="60">
        <v>22</v>
      </c>
      <c r="G13" s="60">
        <v>22</v>
      </c>
      <c r="H13" s="60">
        <v>25</v>
      </c>
      <c r="I13" s="60">
        <v>25</v>
      </c>
      <c r="J13" s="119">
        <v>2090</v>
      </c>
      <c r="K13" s="119">
        <v>2090</v>
      </c>
      <c r="L13" s="119">
        <v>2090</v>
      </c>
      <c r="M13" s="119">
        <v>2090</v>
      </c>
      <c r="N13" s="119">
        <v>26</v>
      </c>
      <c r="O13" s="119">
        <v>26</v>
      </c>
      <c r="P13" s="119">
        <v>30</v>
      </c>
      <c r="Q13" s="119">
        <v>30</v>
      </c>
      <c r="R13" s="60"/>
      <c r="S13" s="60"/>
      <c r="T13" s="4">
        <v>20</v>
      </c>
      <c r="U13" s="4">
        <v>10</v>
      </c>
      <c r="V13" s="4">
        <v>20</v>
      </c>
    </row>
    <row r="14" spans="1:22" x14ac:dyDescent="0.3">
      <c r="A14" s="60">
        <v>524</v>
      </c>
      <c r="B14" s="60">
        <v>8</v>
      </c>
      <c r="C14" s="60">
        <v>998</v>
      </c>
      <c r="D14" s="60">
        <v>114</v>
      </c>
      <c r="E14" s="60">
        <v>113</v>
      </c>
      <c r="F14" s="60">
        <v>21</v>
      </c>
      <c r="G14" s="60">
        <v>21</v>
      </c>
      <c r="H14" s="60">
        <v>20</v>
      </c>
      <c r="I14" s="60">
        <v>20</v>
      </c>
      <c r="J14" s="119">
        <v>2093</v>
      </c>
      <c r="K14" s="119">
        <v>2089</v>
      </c>
      <c r="L14" s="119">
        <v>2091</v>
      </c>
      <c r="M14" s="119">
        <v>2091</v>
      </c>
      <c r="N14" s="119">
        <v>23</v>
      </c>
      <c r="O14" s="119">
        <v>23</v>
      </c>
      <c r="P14" s="119">
        <v>30</v>
      </c>
      <c r="Q14" s="119">
        <v>30</v>
      </c>
      <c r="R14" s="60"/>
      <c r="S14" s="60"/>
      <c r="T14" s="4">
        <v>20</v>
      </c>
      <c r="U14" s="4">
        <v>10</v>
      </c>
      <c r="V14" s="4">
        <v>20</v>
      </c>
    </row>
    <row r="15" spans="1:22" x14ac:dyDescent="0.3">
      <c r="A15" s="60">
        <v>524</v>
      </c>
      <c r="B15" s="60">
        <v>7</v>
      </c>
      <c r="C15" s="60">
        <v>998</v>
      </c>
      <c r="D15" s="60">
        <v>114</v>
      </c>
      <c r="E15" s="60">
        <v>113</v>
      </c>
      <c r="F15" s="60">
        <v>18</v>
      </c>
      <c r="G15" s="60">
        <v>18</v>
      </c>
      <c r="H15" s="60">
        <v>20</v>
      </c>
      <c r="I15" s="60">
        <v>20</v>
      </c>
      <c r="J15" s="119">
        <v>2090</v>
      </c>
      <c r="K15" s="119">
        <v>2090</v>
      </c>
      <c r="L15" s="119">
        <v>2092</v>
      </c>
      <c r="M15" s="119">
        <v>2092</v>
      </c>
      <c r="N15" s="119">
        <v>22</v>
      </c>
      <c r="O15" s="119">
        <v>22</v>
      </c>
      <c r="P15" s="119">
        <v>30</v>
      </c>
      <c r="Q15" s="119">
        <v>30</v>
      </c>
      <c r="R15" s="60"/>
      <c r="S15" s="60"/>
      <c r="T15" s="4">
        <v>20</v>
      </c>
      <c r="U15" s="4">
        <v>10</v>
      </c>
      <c r="V15" s="4">
        <v>20</v>
      </c>
    </row>
    <row r="16" spans="1:22" x14ac:dyDescent="0.3">
      <c r="A16" s="60">
        <v>524</v>
      </c>
      <c r="B16" s="60">
        <v>6</v>
      </c>
      <c r="C16" s="60">
        <v>997</v>
      </c>
      <c r="D16" s="60">
        <v>114</v>
      </c>
      <c r="E16" s="60">
        <v>113</v>
      </c>
      <c r="F16" s="60">
        <v>20</v>
      </c>
      <c r="G16" s="60">
        <v>20</v>
      </c>
      <c r="H16" s="60">
        <v>20</v>
      </c>
      <c r="I16" s="60">
        <v>20</v>
      </c>
      <c r="J16" s="119">
        <v>2090</v>
      </c>
      <c r="K16" s="119">
        <v>2090</v>
      </c>
      <c r="L16" s="119">
        <v>2090</v>
      </c>
      <c r="M16" s="119">
        <v>2090</v>
      </c>
      <c r="N16" s="119">
        <v>30</v>
      </c>
      <c r="O16" s="119">
        <v>30</v>
      </c>
      <c r="P16" s="119">
        <v>30</v>
      </c>
      <c r="Q16" s="119">
        <v>30</v>
      </c>
      <c r="R16" s="60"/>
      <c r="S16" s="60"/>
      <c r="T16" s="4">
        <v>20</v>
      </c>
      <c r="U16" s="4">
        <v>10</v>
      </c>
      <c r="V16" s="4">
        <v>20</v>
      </c>
    </row>
    <row r="17" spans="1:22" x14ac:dyDescent="0.3">
      <c r="A17" s="60">
        <v>524</v>
      </c>
      <c r="B17" s="60">
        <v>5</v>
      </c>
      <c r="C17" s="60">
        <v>997</v>
      </c>
      <c r="D17" s="60">
        <v>114</v>
      </c>
      <c r="E17" s="60">
        <v>113</v>
      </c>
      <c r="F17" s="60">
        <v>20</v>
      </c>
      <c r="G17" s="60">
        <v>20</v>
      </c>
      <c r="H17" s="60">
        <v>20</v>
      </c>
      <c r="I17" s="60">
        <v>20</v>
      </c>
      <c r="J17" s="119">
        <v>2090</v>
      </c>
      <c r="K17" s="119">
        <v>2087</v>
      </c>
      <c r="L17" s="119">
        <v>2090</v>
      </c>
      <c r="M17" s="119">
        <v>2090</v>
      </c>
      <c r="N17" s="119">
        <v>24</v>
      </c>
      <c r="O17" s="119">
        <v>30</v>
      </c>
      <c r="P17" s="119">
        <v>30</v>
      </c>
      <c r="Q17" s="119">
        <v>30</v>
      </c>
      <c r="R17" s="60"/>
      <c r="S17" s="60"/>
      <c r="T17" s="4">
        <v>20</v>
      </c>
      <c r="U17" s="4">
        <v>10</v>
      </c>
      <c r="V17" s="4">
        <v>20</v>
      </c>
    </row>
    <row r="18" spans="1:22" x14ac:dyDescent="0.3">
      <c r="A18" s="60">
        <v>524</v>
      </c>
      <c r="B18" s="60">
        <v>4</v>
      </c>
      <c r="C18" s="60">
        <v>997</v>
      </c>
      <c r="D18" s="60">
        <v>114</v>
      </c>
      <c r="E18" s="60">
        <v>113</v>
      </c>
      <c r="F18" s="60">
        <v>21</v>
      </c>
      <c r="G18" s="60">
        <v>21</v>
      </c>
      <c r="H18" s="60">
        <v>20</v>
      </c>
      <c r="I18" s="60">
        <v>20</v>
      </c>
      <c r="J18" s="119">
        <v>2090</v>
      </c>
      <c r="K18" s="119">
        <v>2088</v>
      </c>
      <c r="L18" s="119">
        <v>2089</v>
      </c>
      <c r="M18" s="119">
        <v>2089</v>
      </c>
      <c r="N18" s="119">
        <v>30</v>
      </c>
      <c r="O18" s="119">
        <v>30</v>
      </c>
      <c r="P18" s="119">
        <v>30</v>
      </c>
      <c r="Q18" s="119">
        <v>30</v>
      </c>
      <c r="R18" s="60"/>
      <c r="S18" s="60"/>
      <c r="T18" s="4">
        <v>20</v>
      </c>
      <c r="U18" s="4">
        <v>10</v>
      </c>
      <c r="V18" s="4">
        <v>20</v>
      </c>
    </row>
    <row r="19" spans="1:22" x14ac:dyDescent="0.3">
      <c r="A19" s="60">
        <v>524</v>
      </c>
      <c r="B19" s="60">
        <v>3</v>
      </c>
      <c r="C19" s="60">
        <v>997</v>
      </c>
      <c r="D19" s="60">
        <v>114</v>
      </c>
      <c r="E19" s="60">
        <v>113</v>
      </c>
      <c r="F19" s="60">
        <v>20</v>
      </c>
      <c r="G19" s="60">
        <v>20</v>
      </c>
      <c r="H19" s="60">
        <v>20</v>
      </c>
      <c r="I19" s="60">
        <v>23</v>
      </c>
      <c r="J19" s="119">
        <v>2090</v>
      </c>
      <c r="K19" s="119">
        <v>2090</v>
      </c>
      <c r="L19" s="119">
        <v>2090</v>
      </c>
      <c r="M19" s="119">
        <v>2090</v>
      </c>
      <c r="N19" s="119">
        <v>20</v>
      </c>
      <c r="O19" s="119">
        <v>20</v>
      </c>
      <c r="P19" s="119">
        <v>30</v>
      </c>
      <c r="Q19" s="119">
        <v>30</v>
      </c>
      <c r="R19" s="60"/>
      <c r="S19" s="60"/>
      <c r="T19" s="4">
        <v>20</v>
      </c>
      <c r="U19" s="4">
        <v>10</v>
      </c>
      <c r="V19" s="4">
        <v>20</v>
      </c>
    </row>
    <row r="20" spans="1:22" x14ac:dyDescent="0.3">
      <c r="A20" s="60">
        <v>524</v>
      </c>
      <c r="B20" s="60">
        <v>2</v>
      </c>
      <c r="C20" s="60">
        <v>996</v>
      </c>
      <c r="D20" s="60">
        <v>114</v>
      </c>
      <c r="E20" s="60">
        <v>113</v>
      </c>
      <c r="F20" s="60">
        <v>20</v>
      </c>
      <c r="G20" s="60">
        <v>26</v>
      </c>
      <c r="H20" s="60">
        <v>17</v>
      </c>
      <c r="I20" s="60">
        <v>20</v>
      </c>
      <c r="J20" s="119">
        <v>2090</v>
      </c>
      <c r="K20" s="119">
        <v>2090</v>
      </c>
      <c r="L20" s="119">
        <v>2090</v>
      </c>
      <c r="M20" s="119">
        <v>2090</v>
      </c>
      <c r="N20" s="119">
        <v>13</v>
      </c>
      <c r="O20" s="119">
        <v>13</v>
      </c>
      <c r="P20" s="119">
        <v>30</v>
      </c>
      <c r="Q20" s="119">
        <v>30</v>
      </c>
      <c r="R20" s="60"/>
      <c r="S20" s="60"/>
      <c r="T20" s="4">
        <v>20</v>
      </c>
      <c r="U20" s="4">
        <v>10</v>
      </c>
      <c r="V20" s="4">
        <v>20</v>
      </c>
    </row>
    <row r="21" spans="1:22" x14ac:dyDescent="0.3">
      <c r="A21" s="60">
        <v>525</v>
      </c>
      <c r="B21" s="60">
        <v>20</v>
      </c>
      <c r="C21" s="60">
        <v>897</v>
      </c>
      <c r="D21" s="60">
        <v>109</v>
      </c>
      <c r="E21" s="60">
        <v>108</v>
      </c>
      <c r="F21" s="60">
        <v>28</v>
      </c>
      <c r="G21" s="60">
        <v>28</v>
      </c>
      <c r="H21" s="60">
        <v>20</v>
      </c>
      <c r="I21" s="60">
        <v>25</v>
      </c>
      <c r="J21" s="119">
        <v>2093</v>
      </c>
      <c r="K21" s="119">
        <v>2090</v>
      </c>
      <c r="L21" s="119">
        <v>2097</v>
      </c>
      <c r="M21" s="119">
        <v>2090</v>
      </c>
      <c r="N21" s="119">
        <v>20</v>
      </c>
      <c r="O21" s="119">
        <v>25</v>
      </c>
      <c r="P21" s="119">
        <v>30</v>
      </c>
      <c r="Q21" s="119">
        <v>30</v>
      </c>
      <c r="R21" s="60"/>
      <c r="S21" s="60"/>
      <c r="T21" s="4">
        <v>20</v>
      </c>
      <c r="U21" s="4">
        <v>10</v>
      </c>
      <c r="V21" s="4">
        <v>20</v>
      </c>
    </row>
    <row r="22" spans="1:22" x14ac:dyDescent="0.3">
      <c r="A22" s="60">
        <v>525</v>
      </c>
      <c r="B22" s="60">
        <v>19</v>
      </c>
      <c r="C22" s="60">
        <v>897</v>
      </c>
      <c r="D22" s="60">
        <v>109</v>
      </c>
      <c r="E22" s="60">
        <v>108</v>
      </c>
      <c r="F22" s="60">
        <v>30</v>
      </c>
      <c r="G22" s="60">
        <v>30</v>
      </c>
      <c r="H22" s="60">
        <v>20</v>
      </c>
      <c r="I22" s="60">
        <v>27</v>
      </c>
      <c r="J22" s="119">
        <v>2095</v>
      </c>
      <c r="K22" s="119">
        <v>2090</v>
      </c>
      <c r="L22" s="119">
        <v>2092</v>
      </c>
      <c r="M22" s="119">
        <v>2092</v>
      </c>
      <c r="N22" s="119">
        <v>17</v>
      </c>
      <c r="O22" s="119">
        <v>20</v>
      </c>
      <c r="P22" s="119">
        <v>30</v>
      </c>
      <c r="Q22" s="119">
        <v>30</v>
      </c>
      <c r="R22" s="60"/>
      <c r="S22" s="60"/>
      <c r="T22" s="4">
        <v>20</v>
      </c>
      <c r="U22" s="4">
        <v>10</v>
      </c>
      <c r="V22" s="4">
        <v>20</v>
      </c>
    </row>
    <row r="23" spans="1:22" x14ac:dyDescent="0.3">
      <c r="A23" s="60">
        <v>525</v>
      </c>
      <c r="B23" s="60">
        <v>18</v>
      </c>
      <c r="C23" s="60">
        <v>898</v>
      </c>
      <c r="D23" s="60">
        <v>109</v>
      </c>
      <c r="E23" s="60">
        <v>108</v>
      </c>
      <c r="F23" s="60">
        <v>29</v>
      </c>
      <c r="G23" s="60">
        <v>29</v>
      </c>
      <c r="H23" s="60">
        <v>20</v>
      </c>
      <c r="I23" s="60">
        <v>27</v>
      </c>
      <c r="J23" s="119">
        <v>2095</v>
      </c>
      <c r="K23" s="119">
        <v>2090</v>
      </c>
      <c r="L23" s="119">
        <v>2095</v>
      </c>
      <c r="M23" s="119">
        <v>2092</v>
      </c>
      <c r="N23" s="119">
        <v>21</v>
      </c>
      <c r="O23" s="119">
        <v>21</v>
      </c>
      <c r="P23" s="119">
        <v>30</v>
      </c>
      <c r="Q23" s="119">
        <v>30</v>
      </c>
      <c r="R23" s="60"/>
      <c r="S23" s="60"/>
      <c r="T23" s="4">
        <v>20</v>
      </c>
      <c r="U23" s="4">
        <v>10</v>
      </c>
      <c r="V23" s="4">
        <v>20</v>
      </c>
    </row>
    <row r="24" spans="1:22" x14ac:dyDescent="0.3">
      <c r="A24" s="60">
        <v>525</v>
      </c>
      <c r="B24" s="60">
        <v>17</v>
      </c>
      <c r="C24" s="60">
        <v>899</v>
      </c>
      <c r="D24" s="60">
        <v>109</v>
      </c>
      <c r="E24" s="60">
        <v>108</v>
      </c>
      <c r="F24" s="60">
        <v>30</v>
      </c>
      <c r="G24" s="60">
        <v>26</v>
      </c>
      <c r="H24" s="60">
        <v>22</v>
      </c>
      <c r="I24" s="60">
        <v>27</v>
      </c>
      <c r="J24" s="119">
        <v>2092</v>
      </c>
      <c r="K24" s="119">
        <v>2092</v>
      </c>
      <c r="L24" s="119">
        <v>2092</v>
      </c>
      <c r="M24" s="119">
        <v>2092</v>
      </c>
      <c r="N24" s="119">
        <v>21</v>
      </c>
      <c r="O24" s="119">
        <v>26</v>
      </c>
      <c r="P24" s="119">
        <v>30</v>
      </c>
      <c r="Q24" s="119">
        <v>30</v>
      </c>
      <c r="R24" s="60"/>
      <c r="S24" s="60"/>
      <c r="T24" s="4">
        <v>20</v>
      </c>
      <c r="U24" s="4">
        <v>10</v>
      </c>
      <c r="V24" s="4">
        <v>20</v>
      </c>
    </row>
    <row r="25" spans="1:22" x14ac:dyDescent="0.3">
      <c r="A25" s="60">
        <v>525</v>
      </c>
      <c r="B25" s="60">
        <v>16</v>
      </c>
      <c r="C25" s="60">
        <v>898</v>
      </c>
      <c r="D25" s="60">
        <v>109</v>
      </c>
      <c r="E25" s="60">
        <v>108</v>
      </c>
      <c r="F25" s="60">
        <v>26</v>
      </c>
      <c r="G25" s="60">
        <v>26</v>
      </c>
      <c r="H25" s="60">
        <v>26</v>
      </c>
      <c r="I25" s="60">
        <v>26</v>
      </c>
      <c r="J25" s="119">
        <v>2090</v>
      </c>
      <c r="K25" s="119">
        <v>2090</v>
      </c>
      <c r="L25" s="119">
        <v>2087</v>
      </c>
      <c r="M25" s="119">
        <v>2087</v>
      </c>
      <c r="N25" s="119">
        <v>27</v>
      </c>
      <c r="O25" s="119">
        <v>27</v>
      </c>
      <c r="P25" s="119">
        <v>30</v>
      </c>
      <c r="Q25" s="119">
        <v>30</v>
      </c>
      <c r="R25" s="60"/>
      <c r="S25" s="60"/>
      <c r="T25" s="4">
        <v>20</v>
      </c>
      <c r="U25" s="4">
        <v>10</v>
      </c>
      <c r="V25" s="4">
        <v>20</v>
      </c>
    </row>
    <row r="26" spans="1:22" ht="18" customHeight="1" x14ac:dyDescent="0.3">
      <c r="A26" s="60">
        <v>525</v>
      </c>
      <c r="B26" s="60">
        <v>15</v>
      </c>
      <c r="C26" s="60">
        <v>898</v>
      </c>
      <c r="D26" s="60">
        <v>109</v>
      </c>
      <c r="E26" s="60">
        <v>108</v>
      </c>
      <c r="F26" s="60">
        <v>28</v>
      </c>
      <c r="G26" s="60">
        <v>20</v>
      </c>
      <c r="H26" s="60">
        <v>26</v>
      </c>
      <c r="I26" s="60">
        <v>26</v>
      </c>
      <c r="J26" s="119">
        <v>2085</v>
      </c>
      <c r="K26" s="119">
        <v>2085</v>
      </c>
      <c r="L26" s="119">
        <v>2093</v>
      </c>
      <c r="M26" s="119">
        <v>2093</v>
      </c>
      <c r="N26" s="119">
        <v>28</v>
      </c>
      <c r="O26" s="119">
        <v>28</v>
      </c>
      <c r="P26" s="119">
        <v>30</v>
      </c>
      <c r="Q26" s="119">
        <v>30</v>
      </c>
      <c r="R26" s="60"/>
      <c r="S26" s="60"/>
      <c r="T26" s="4">
        <v>20</v>
      </c>
      <c r="U26" s="4">
        <v>10</v>
      </c>
      <c r="V26" s="4">
        <v>20</v>
      </c>
    </row>
    <row r="27" spans="1:22" ht="18" customHeight="1" x14ac:dyDescent="0.3">
      <c r="A27" s="60">
        <v>525</v>
      </c>
      <c r="B27" s="60">
        <v>14</v>
      </c>
      <c r="C27" s="60">
        <v>899</v>
      </c>
      <c r="D27" s="60">
        <v>109</v>
      </c>
      <c r="E27" s="60">
        <v>108</v>
      </c>
      <c r="F27" s="60">
        <v>28</v>
      </c>
      <c r="G27" s="60">
        <v>28</v>
      </c>
      <c r="H27" s="60">
        <v>28</v>
      </c>
      <c r="I27" s="60">
        <v>28</v>
      </c>
      <c r="J27" s="119">
        <v>2090</v>
      </c>
      <c r="K27" s="119">
        <v>2090</v>
      </c>
      <c r="L27" s="119">
        <v>2090</v>
      </c>
      <c r="M27" s="119">
        <v>2090</v>
      </c>
      <c r="N27" s="119">
        <v>19</v>
      </c>
      <c r="O27" s="119">
        <v>19</v>
      </c>
      <c r="P27" s="119">
        <v>30</v>
      </c>
      <c r="Q27" s="119">
        <v>30</v>
      </c>
      <c r="R27" s="60"/>
      <c r="S27" s="60"/>
      <c r="T27" s="4">
        <v>20</v>
      </c>
      <c r="U27" s="4">
        <v>10</v>
      </c>
      <c r="V27" s="4">
        <v>20</v>
      </c>
    </row>
    <row r="28" spans="1:22" x14ac:dyDescent="0.3">
      <c r="A28" s="60">
        <v>525</v>
      </c>
      <c r="B28" s="60">
        <v>13</v>
      </c>
      <c r="C28" s="60">
        <v>898</v>
      </c>
      <c r="D28" s="60">
        <v>109</v>
      </c>
      <c r="E28" s="60">
        <v>108</v>
      </c>
      <c r="F28" s="60">
        <v>22</v>
      </c>
      <c r="G28" s="60">
        <v>22</v>
      </c>
      <c r="H28" s="60">
        <v>21</v>
      </c>
      <c r="I28" s="60">
        <v>21</v>
      </c>
      <c r="J28" s="119">
        <v>2090</v>
      </c>
      <c r="K28" s="119">
        <v>2090</v>
      </c>
      <c r="L28" s="119">
        <v>2092</v>
      </c>
      <c r="M28" s="119">
        <v>2092</v>
      </c>
      <c r="N28" s="119">
        <v>15</v>
      </c>
      <c r="O28" s="119">
        <v>15</v>
      </c>
      <c r="P28" s="119">
        <v>30</v>
      </c>
      <c r="Q28" s="119">
        <v>30</v>
      </c>
      <c r="R28" s="60"/>
      <c r="S28" s="60"/>
      <c r="T28" s="4">
        <v>20</v>
      </c>
      <c r="U28" s="4">
        <v>10</v>
      </c>
      <c r="V28" s="4">
        <v>20</v>
      </c>
    </row>
    <row r="29" spans="1:22" x14ac:dyDescent="0.3">
      <c r="A29" s="60">
        <v>525</v>
      </c>
      <c r="B29" s="60">
        <v>12</v>
      </c>
      <c r="C29" s="60">
        <v>899</v>
      </c>
      <c r="D29" s="60">
        <v>109</v>
      </c>
      <c r="E29" s="60">
        <v>108</v>
      </c>
      <c r="F29" s="60">
        <v>23</v>
      </c>
      <c r="G29" s="60">
        <v>30</v>
      </c>
      <c r="H29" s="60">
        <v>27</v>
      </c>
      <c r="I29" s="60">
        <v>22</v>
      </c>
      <c r="J29" s="119">
        <v>2090</v>
      </c>
      <c r="K29" s="119">
        <v>2090</v>
      </c>
      <c r="L29" s="119">
        <v>2090</v>
      </c>
      <c r="M29" s="119">
        <v>2090</v>
      </c>
      <c r="N29" s="119">
        <v>28</v>
      </c>
      <c r="O29" s="119">
        <v>28</v>
      </c>
      <c r="P29" s="119">
        <v>30</v>
      </c>
      <c r="Q29" s="119">
        <v>30</v>
      </c>
      <c r="R29" s="60"/>
      <c r="S29" s="60"/>
      <c r="T29" s="4">
        <v>20</v>
      </c>
      <c r="U29" s="4">
        <v>10</v>
      </c>
      <c r="V29" s="4">
        <v>20</v>
      </c>
    </row>
    <row r="30" spans="1:22" x14ac:dyDescent="0.3">
      <c r="A30" s="60">
        <v>525</v>
      </c>
      <c r="B30" s="60">
        <v>11</v>
      </c>
      <c r="C30" s="60">
        <v>898</v>
      </c>
      <c r="D30" s="60">
        <v>109</v>
      </c>
      <c r="E30" s="60">
        <v>108</v>
      </c>
      <c r="F30" s="60">
        <v>30</v>
      </c>
      <c r="G30" s="60">
        <v>30</v>
      </c>
      <c r="H30" s="60">
        <v>28</v>
      </c>
      <c r="I30" s="60">
        <v>28</v>
      </c>
      <c r="J30" s="119">
        <v>2086</v>
      </c>
      <c r="K30" s="119">
        <v>2086</v>
      </c>
      <c r="L30" s="119">
        <v>2092</v>
      </c>
      <c r="M30" s="119">
        <v>2092</v>
      </c>
      <c r="N30" s="119">
        <v>17</v>
      </c>
      <c r="O30" s="119">
        <v>17</v>
      </c>
      <c r="P30" s="119">
        <v>30</v>
      </c>
      <c r="Q30" s="119">
        <v>30</v>
      </c>
      <c r="R30" s="60"/>
      <c r="S30" s="60"/>
      <c r="T30" s="4">
        <v>20</v>
      </c>
      <c r="U30" s="4">
        <v>10</v>
      </c>
      <c r="V30" s="4">
        <v>20</v>
      </c>
    </row>
    <row r="31" spans="1:22" x14ac:dyDescent="0.3">
      <c r="A31" s="60">
        <v>525</v>
      </c>
      <c r="B31" s="60">
        <v>10</v>
      </c>
      <c r="C31" s="60">
        <v>897</v>
      </c>
      <c r="D31" s="60">
        <v>109</v>
      </c>
      <c r="E31" s="60">
        <v>108</v>
      </c>
      <c r="F31" s="60">
        <v>27</v>
      </c>
      <c r="G31" s="60">
        <v>30</v>
      </c>
      <c r="H31" s="60">
        <v>26</v>
      </c>
      <c r="I31" s="60">
        <v>26</v>
      </c>
      <c r="J31" s="119">
        <v>2090</v>
      </c>
      <c r="K31" s="119">
        <v>2090</v>
      </c>
      <c r="L31" s="119">
        <v>2092</v>
      </c>
      <c r="M31" s="119">
        <v>2092</v>
      </c>
      <c r="N31" s="119">
        <v>20</v>
      </c>
      <c r="O31" s="119">
        <v>20</v>
      </c>
      <c r="P31" s="119">
        <v>30</v>
      </c>
      <c r="Q31" s="119">
        <v>30</v>
      </c>
      <c r="R31" s="60"/>
      <c r="S31" s="60"/>
      <c r="T31" s="4">
        <v>20</v>
      </c>
      <c r="U31" s="4">
        <v>10</v>
      </c>
      <c r="V31" s="4">
        <v>20</v>
      </c>
    </row>
    <row r="32" spans="1:22" x14ac:dyDescent="0.3">
      <c r="A32" s="60">
        <v>525</v>
      </c>
      <c r="B32" s="60">
        <v>9</v>
      </c>
      <c r="C32" s="60">
        <v>899</v>
      </c>
      <c r="D32" s="60">
        <v>109</v>
      </c>
      <c r="E32" s="60">
        <v>108</v>
      </c>
      <c r="F32" s="60">
        <v>20</v>
      </c>
      <c r="G32" s="60">
        <v>24</v>
      </c>
      <c r="H32" s="60">
        <v>28</v>
      </c>
      <c r="I32" s="60">
        <v>28</v>
      </c>
      <c r="J32" s="119">
        <v>2088</v>
      </c>
      <c r="K32" s="119">
        <v>2088</v>
      </c>
      <c r="L32" s="119">
        <v>2092</v>
      </c>
      <c r="M32" s="119">
        <v>2092</v>
      </c>
      <c r="N32" s="119">
        <v>21</v>
      </c>
      <c r="O32" s="119">
        <v>21</v>
      </c>
      <c r="P32" s="119">
        <v>30</v>
      </c>
      <c r="Q32" s="119">
        <v>30</v>
      </c>
      <c r="R32" s="60"/>
      <c r="S32" s="60"/>
      <c r="T32" s="4">
        <v>20</v>
      </c>
      <c r="U32" s="4">
        <v>10</v>
      </c>
      <c r="V32" s="4">
        <v>20</v>
      </c>
    </row>
    <row r="33" spans="1:22" x14ac:dyDescent="0.3">
      <c r="A33" s="60">
        <v>525</v>
      </c>
      <c r="B33" s="60">
        <v>8</v>
      </c>
      <c r="C33" s="60">
        <v>898</v>
      </c>
      <c r="D33" s="60">
        <v>109</v>
      </c>
      <c r="E33" s="60">
        <v>108</v>
      </c>
      <c r="F33" s="60">
        <v>30</v>
      </c>
      <c r="G33" s="60">
        <v>30</v>
      </c>
      <c r="H33" s="60">
        <v>27</v>
      </c>
      <c r="I33" s="60">
        <v>30</v>
      </c>
      <c r="J33" s="119">
        <v>2093</v>
      </c>
      <c r="K33" s="119">
        <v>2090</v>
      </c>
      <c r="L33" s="119">
        <v>2092</v>
      </c>
      <c r="M33" s="119">
        <v>2092</v>
      </c>
      <c r="N33" s="119">
        <v>13</v>
      </c>
      <c r="O33" s="119">
        <v>13</v>
      </c>
      <c r="P33" s="119">
        <v>30</v>
      </c>
      <c r="Q33" s="119">
        <v>30</v>
      </c>
      <c r="R33" s="60"/>
      <c r="S33" s="60"/>
      <c r="T33" s="4">
        <v>20</v>
      </c>
      <c r="U33" s="4">
        <v>10</v>
      </c>
      <c r="V33" s="4">
        <v>20</v>
      </c>
    </row>
    <row r="34" spans="1:22" x14ac:dyDescent="0.3">
      <c r="A34" s="60">
        <v>525</v>
      </c>
      <c r="B34" s="60">
        <v>7</v>
      </c>
      <c r="C34" s="60">
        <v>898</v>
      </c>
      <c r="D34" s="60">
        <v>109</v>
      </c>
      <c r="E34" s="60">
        <v>108</v>
      </c>
      <c r="F34" s="60">
        <v>27</v>
      </c>
      <c r="G34" s="60">
        <v>27</v>
      </c>
      <c r="H34" s="60">
        <v>28</v>
      </c>
      <c r="I34" s="60">
        <v>28</v>
      </c>
      <c r="J34" s="119">
        <v>2088</v>
      </c>
      <c r="K34" s="119">
        <v>2088</v>
      </c>
      <c r="L34" s="119">
        <v>2092</v>
      </c>
      <c r="M34" s="119">
        <v>2092</v>
      </c>
      <c r="N34" s="119">
        <v>20</v>
      </c>
      <c r="O34" s="119">
        <v>20</v>
      </c>
      <c r="P34" s="119">
        <v>30</v>
      </c>
      <c r="Q34" s="119">
        <v>30</v>
      </c>
      <c r="R34" s="60"/>
      <c r="S34" s="60"/>
      <c r="T34" s="4">
        <v>20</v>
      </c>
      <c r="U34" s="4">
        <v>10</v>
      </c>
      <c r="V34" s="4">
        <v>20</v>
      </c>
    </row>
    <row r="35" spans="1:22" x14ac:dyDescent="0.3">
      <c r="A35" s="133">
        <v>525</v>
      </c>
      <c r="B35" s="60">
        <v>6</v>
      </c>
      <c r="C35" s="60">
        <v>899</v>
      </c>
      <c r="D35" s="60">
        <v>109</v>
      </c>
      <c r="E35" s="60">
        <v>108</v>
      </c>
      <c r="F35" s="60">
        <v>27</v>
      </c>
      <c r="G35" s="60">
        <v>27</v>
      </c>
      <c r="H35" s="60">
        <v>30</v>
      </c>
      <c r="I35" s="60">
        <v>30</v>
      </c>
      <c r="J35" s="119">
        <v>2090</v>
      </c>
      <c r="K35" s="119">
        <v>2090</v>
      </c>
      <c r="L35" s="119">
        <v>2092</v>
      </c>
      <c r="M35" s="119">
        <v>2092</v>
      </c>
      <c r="N35" s="119">
        <v>23</v>
      </c>
      <c r="O35" s="119">
        <v>23</v>
      </c>
      <c r="P35" s="119">
        <v>30</v>
      </c>
      <c r="Q35" s="119">
        <v>30</v>
      </c>
      <c r="R35" s="60"/>
      <c r="S35" s="60"/>
      <c r="T35" s="4">
        <v>20</v>
      </c>
      <c r="U35" s="4">
        <v>10</v>
      </c>
      <c r="V35" s="4">
        <v>20</v>
      </c>
    </row>
    <row r="36" spans="1:22" x14ac:dyDescent="0.3">
      <c r="A36" s="133">
        <v>525</v>
      </c>
      <c r="B36" s="60">
        <v>5</v>
      </c>
      <c r="C36" s="60">
        <v>898</v>
      </c>
      <c r="D36" s="60">
        <v>109</v>
      </c>
      <c r="E36" s="60">
        <v>108</v>
      </c>
      <c r="F36" s="60">
        <v>23</v>
      </c>
      <c r="G36" s="60">
        <v>30</v>
      </c>
      <c r="H36" s="60">
        <v>29</v>
      </c>
      <c r="I36" s="60">
        <v>29</v>
      </c>
      <c r="J36" s="119">
        <v>2093</v>
      </c>
      <c r="K36" s="119">
        <v>2093</v>
      </c>
      <c r="L36" s="119">
        <v>2092</v>
      </c>
      <c r="M36" s="119">
        <v>2092</v>
      </c>
      <c r="N36" s="119">
        <v>23</v>
      </c>
      <c r="O36" s="119">
        <v>23</v>
      </c>
      <c r="P36" s="119">
        <v>30</v>
      </c>
      <c r="Q36" s="119">
        <v>30</v>
      </c>
      <c r="R36" s="60"/>
      <c r="S36" s="60"/>
      <c r="T36" s="4">
        <v>20</v>
      </c>
      <c r="U36" s="4">
        <v>10</v>
      </c>
      <c r="V36" s="4">
        <v>20</v>
      </c>
    </row>
    <row r="37" spans="1:22" x14ac:dyDescent="0.3">
      <c r="A37" s="133">
        <v>525</v>
      </c>
      <c r="B37" s="60">
        <v>4</v>
      </c>
      <c r="C37" s="60">
        <v>899</v>
      </c>
      <c r="D37" s="60">
        <v>109</v>
      </c>
      <c r="E37" s="60">
        <v>108</v>
      </c>
      <c r="F37" s="60">
        <v>28</v>
      </c>
      <c r="G37" s="60">
        <v>28</v>
      </c>
      <c r="H37" s="60">
        <v>28</v>
      </c>
      <c r="I37" s="60">
        <v>28</v>
      </c>
      <c r="J37" s="119">
        <v>2092</v>
      </c>
      <c r="K37" s="119">
        <v>2092</v>
      </c>
      <c r="L37" s="119">
        <v>2094</v>
      </c>
      <c r="M37" s="119">
        <v>2094</v>
      </c>
      <c r="N37" s="119">
        <v>22</v>
      </c>
      <c r="O37" s="119">
        <v>22</v>
      </c>
      <c r="P37" s="119">
        <v>30</v>
      </c>
      <c r="Q37" s="119">
        <v>30</v>
      </c>
      <c r="R37" s="60"/>
      <c r="S37" s="60"/>
      <c r="T37" s="4">
        <v>20</v>
      </c>
      <c r="U37" s="4">
        <v>10</v>
      </c>
      <c r="V37" s="4">
        <v>20</v>
      </c>
    </row>
    <row r="38" spans="1:22" x14ac:dyDescent="0.3">
      <c r="A38" s="133">
        <v>525</v>
      </c>
      <c r="B38" s="60">
        <v>3</v>
      </c>
      <c r="C38" s="60">
        <v>898</v>
      </c>
      <c r="D38" s="60">
        <v>109</v>
      </c>
      <c r="E38" s="60">
        <v>108</v>
      </c>
      <c r="F38" s="60">
        <v>30</v>
      </c>
      <c r="G38" s="60">
        <v>30</v>
      </c>
      <c r="H38" s="60">
        <v>30</v>
      </c>
      <c r="I38" s="60">
        <v>30</v>
      </c>
      <c r="J38" s="119">
        <v>2088</v>
      </c>
      <c r="K38" s="119">
        <v>2088</v>
      </c>
      <c r="L38" s="119">
        <v>2088</v>
      </c>
      <c r="M38" s="119">
        <v>2088</v>
      </c>
      <c r="N38" s="119">
        <v>20</v>
      </c>
      <c r="O38" s="119">
        <v>20</v>
      </c>
      <c r="P38" s="119">
        <v>30</v>
      </c>
      <c r="Q38" s="119">
        <v>30</v>
      </c>
      <c r="R38" s="60"/>
      <c r="S38" s="60"/>
      <c r="T38" s="4">
        <v>20</v>
      </c>
      <c r="U38" s="4">
        <v>10</v>
      </c>
      <c r="V38" s="4">
        <v>20</v>
      </c>
    </row>
    <row r="39" spans="1:22" x14ac:dyDescent="0.3">
      <c r="A39" s="133">
        <v>525</v>
      </c>
      <c r="B39" s="60">
        <v>2</v>
      </c>
      <c r="C39" s="60">
        <v>898</v>
      </c>
      <c r="D39" s="60">
        <v>109</v>
      </c>
      <c r="E39" s="60">
        <v>108</v>
      </c>
      <c r="F39" s="60">
        <v>28</v>
      </c>
      <c r="G39" s="60">
        <v>28</v>
      </c>
      <c r="H39" s="60">
        <v>30</v>
      </c>
      <c r="I39" s="60">
        <v>30</v>
      </c>
      <c r="J39" s="119">
        <v>2094</v>
      </c>
      <c r="K39" s="119">
        <v>2090</v>
      </c>
      <c r="L39" s="119">
        <v>2094</v>
      </c>
      <c r="M39" s="119">
        <v>2090</v>
      </c>
      <c r="N39" s="119">
        <v>20</v>
      </c>
      <c r="O39" s="119">
        <v>20</v>
      </c>
      <c r="P39" s="119">
        <v>30</v>
      </c>
      <c r="Q39" s="119">
        <v>30</v>
      </c>
      <c r="R39" s="60"/>
      <c r="S39" s="60"/>
      <c r="T39" s="4">
        <v>20</v>
      </c>
      <c r="U39" s="4">
        <v>10</v>
      </c>
      <c r="V39" s="4">
        <v>20</v>
      </c>
    </row>
    <row r="40" spans="1:22" x14ac:dyDescent="0.3">
      <c r="A40" s="133">
        <v>528</v>
      </c>
      <c r="B40" s="60">
        <v>20</v>
      </c>
      <c r="C40" s="60">
        <v>898</v>
      </c>
      <c r="D40" s="60">
        <v>109</v>
      </c>
      <c r="E40" s="60">
        <v>108</v>
      </c>
      <c r="F40" s="60">
        <v>28</v>
      </c>
      <c r="G40" s="60">
        <v>28</v>
      </c>
      <c r="H40" s="60">
        <v>20</v>
      </c>
      <c r="I40" s="60">
        <v>20</v>
      </c>
      <c r="J40" s="119">
        <v>2093</v>
      </c>
      <c r="K40" s="119">
        <v>2090</v>
      </c>
      <c r="L40" s="119">
        <v>2090</v>
      </c>
      <c r="M40" s="119">
        <v>2090</v>
      </c>
      <c r="N40" s="119">
        <v>35</v>
      </c>
      <c r="O40" s="119">
        <v>31</v>
      </c>
      <c r="P40" s="119">
        <v>30</v>
      </c>
      <c r="Q40" s="119">
        <v>30</v>
      </c>
      <c r="R40" s="60"/>
      <c r="S40" s="60"/>
      <c r="T40" s="4">
        <v>20</v>
      </c>
      <c r="U40" s="4">
        <v>10</v>
      </c>
      <c r="V40" s="4">
        <v>20</v>
      </c>
    </row>
    <row r="41" spans="1:22" x14ac:dyDescent="0.3">
      <c r="A41" s="133">
        <v>528</v>
      </c>
      <c r="B41" s="60">
        <v>19</v>
      </c>
      <c r="C41" s="60">
        <v>898</v>
      </c>
      <c r="D41" s="60">
        <v>109</v>
      </c>
      <c r="E41" s="60">
        <v>108</v>
      </c>
      <c r="F41" s="60">
        <v>22</v>
      </c>
      <c r="G41" s="60">
        <v>22</v>
      </c>
      <c r="H41" s="60">
        <v>21</v>
      </c>
      <c r="I41" s="60">
        <v>21</v>
      </c>
      <c r="J41" s="119">
        <v>2087</v>
      </c>
      <c r="K41" s="119">
        <v>2084</v>
      </c>
      <c r="L41" s="119">
        <v>2086</v>
      </c>
      <c r="M41" s="119">
        <v>2083</v>
      </c>
      <c r="N41" s="119">
        <v>25</v>
      </c>
      <c r="O41" s="119">
        <v>25</v>
      </c>
      <c r="P41" s="119">
        <v>30</v>
      </c>
      <c r="Q41" s="119">
        <v>30</v>
      </c>
      <c r="R41" s="60"/>
      <c r="S41" s="60"/>
      <c r="T41" s="4">
        <v>20</v>
      </c>
      <c r="U41" s="4">
        <v>10</v>
      </c>
      <c r="V41" s="4">
        <v>20</v>
      </c>
    </row>
    <row r="42" spans="1:22" x14ac:dyDescent="0.3">
      <c r="A42" s="133">
        <v>528</v>
      </c>
      <c r="B42" s="60">
        <v>18</v>
      </c>
      <c r="C42" s="60">
        <v>899</v>
      </c>
      <c r="D42" s="60">
        <v>109</v>
      </c>
      <c r="E42" s="60">
        <v>108</v>
      </c>
      <c r="F42" s="60">
        <v>21</v>
      </c>
      <c r="G42" s="60">
        <v>27</v>
      </c>
      <c r="H42" s="60">
        <v>20</v>
      </c>
      <c r="I42" s="60">
        <v>20</v>
      </c>
      <c r="J42" s="119">
        <v>2093</v>
      </c>
      <c r="K42" s="119">
        <v>2090</v>
      </c>
      <c r="L42" s="119">
        <v>2090</v>
      </c>
      <c r="M42" s="119">
        <v>2090</v>
      </c>
      <c r="N42" s="119">
        <v>23</v>
      </c>
      <c r="O42" s="119">
        <v>26</v>
      </c>
      <c r="P42" s="119">
        <v>30</v>
      </c>
      <c r="Q42" s="119">
        <v>30</v>
      </c>
      <c r="R42" s="60"/>
      <c r="S42" s="60"/>
      <c r="T42" s="4">
        <v>20</v>
      </c>
      <c r="U42" s="4">
        <v>10</v>
      </c>
      <c r="V42" s="4">
        <v>20</v>
      </c>
    </row>
    <row r="43" spans="1:22" x14ac:dyDescent="0.3">
      <c r="A43" s="133">
        <v>528</v>
      </c>
      <c r="B43" s="60">
        <v>17</v>
      </c>
      <c r="C43" s="60">
        <v>899</v>
      </c>
      <c r="D43" s="60">
        <v>109</v>
      </c>
      <c r="E43" s="60">
        <v>108</v>
      </c>
      <c r="F43" s="60">
        <v>27</v>
      </c>
      <c r="G43" s="60">
        <v>23</v>
      </c>
      <c r="H43" s="60">
        <v>27</v>
      </c>
      <c r="I43" s="60">
        <v>27</v>
      </c>
      <c r="J43" s="119">
        <v>2093</v>
      </c>
      <c r="K43" s="119">
        <v>2090</v>
      </c>
      <c r="L43" s="119">
        <v>2090</v>
      </c>
      <c r="M43" s="119">
        <v>2090</v>
      </c>
      <c r="N43" s="119">
        <v>30</v>
      </c>
      <c r="O43" s="119">
        <v>30</v>
      </c>
      <c r="P43" s="119">
        <v>30</v>
      </c>
      <c r="Q43" s="119">
        <v>30</v>
      </c>
      <c r="R43" s="60"/>
      <c r="S43" s="60"/>
      <c r="T43" s="4">
        <v>20</v>
      </c>
      <c r="U43" s="4">
        <v>10</v>
      </c>
      <c r="V43" s="4">
        <v>20</v>
      </c>
    </row>
    <row r="44" spans="1:22" x14ac:dyDescent="0.3">
      <c r="A44" s="133">
        <v>528</v>
      </c>
      <c r="B44" s="60">
        <v>16</v>
      </c>
      <c r="C44" s="60">
        <v>899</v>
      </c>
      <c r="D44" s="60">
        <v>109</v>
      </c>
      <c r="E44" s="60">
        <v>108</v>
      </c>
      <c r="F44" s="60">
        <v>19</v>
      </c>
      <c r="G44" s="60">
        <v>19</v>
      </c>
      <c r="H44" s="60">
        <v>20</v>
      </c>
      <c r="I44" s="60">
        <v>20</v>
      </c>
      <c r="J44" s="119">
        <v>2090</v>
      </c>
      <c r="K44" s="119">
        <v>2090</v>
      </c>
      <c r="L44" s="119">
        <v>2090</v>
      </c>
      <c r="M44" s="119">
        <v>2090</v>
      </c>
      <c r="N44" s="119">
        <v>27</v>
      </c>
      <c r="O44" s="119">
        <v>27</v>
      </c>
      <c r="P44" s="119">
        <v>30</v>
      </c>
      <c r="Q44" s="119">
        <v>30</v>
      </c>
      <c r="R44" s="60"/>
      <c r="S44" s="60"/>
      <c r="T44" s="4">
        <v>20</v>
      </c>
      <c r="U44" s="4">
        <v>10</v>
      </c>
      <c r="V44" s="4">
        <v>20</v>
      </c>
    </row>
    <row r="45" spans="1:22" x14ac:dyDescent="0.3">
      <c r="A45" s="133">
        <v>528</v>
      </c>
      <c r="B45" s="60">
        <v>15</v>
      </c>
      <c r="C45" s="60">
        <v>898</v>
      </c>
      <c r="D45" s="60">
        <v>109</v>
      </c>
      <c r="E45" s="60">
        <v>108</v>
      </c>
      <c r="F45" s="60">
        <v>20</v>
      </c>
      <c r="G45" s="60">
        <v>20</v>
      </c>
      <c r="H45" s="60">
        <v>20</v>
      </c>
      <c r="I45" s="60">
        <v>20</v>
      </c>
      <c r="J45" s="119">
        <v>2092</v>
      </c>
      <c r="K45" s="119">
        <v>2092</v>
      </c>
      <c r="L45" s="119">
        <v>2092</v>
      </c>
      <c r="M45" s="119">
        <v>2092</v>
      </c>
      <c r="N45" s="119">
        <v>31</v>
      </c>
      <c r="O45" s="119">
        <v>27</v>
      </c>
      <c r="P45" s="119">
        <v>30</v>
      </c>
      <c r="Q45" s="119">
        <v>30</v>
      </c>
      <c r="R45" s="60"/>
      <c r="S45" s="60"/>
      <c r="T45" s="4">
        <v>20</v>
      </c>
      <c r="U45" s="4">
        <v>10</v>
      </c>
      <c r="V45" s="4">
        <v>20</v>
      </c>
    </row>
    <row r="46" spans="1:22" x14ac:dyDescent="0.3">
      <c r="A46" s="133">
        <v>528</v>
      </c>
      <c r="B46" s="60">
        <v>14</v>
      </c>
      <c r="C46" s="60">
        <v>898</v>
      </c>
      <c r="D46" s="60">
        <v>109</v>
      </c>
      <c r="E46" s="60">
        <v>108</v>
      </c>
      <c r="F46" s="60">
        <v>21</v>
      </c>
      <c r="G46" s="60">
        <v>21</v>
      </c>
      <c r="H46" s="60">
        <v>26</v>
      </c>
      <c r="I46" s="60">
        <v>20</v>
      </c>
      <c r="J46" s="119">
        <v>2093</v>
      </c>
      <c r="K46" s="119">
        <v>2090</v>
      </c>
      <c r="L46" s="119">
        <v>2090</v>
      </c>
      <c r="M46" s="119">
        <v>2090</v>
      </c>
      <c r="N46" s="119">
        <v>30</v>
      </c>
      <c r="O46" s="119">
        <v>30</v>
      </c>
      <c r="P46" s="119">
        <v>30</v>
      </c>
      <c r="Q46" s="119">
        <v>30</v>
      </c>
      <c r="R46" s="60"/>
      <c r="S46" s="60"/>
      <c r="T46" s="4">
        <v>20</v>
      </c>
      <c r="U46" s="4">
        <v>10</v>
      </c>
      <c r="V46" s="4">
        <v>20</v>
      </c>
    </row>
    <row r="47" spans="1:22" x14ac:dyDescent="0.3">
      <c r="A47" s="133">
        <v>528</v>
      </c>
      <c r="B47" s="60">
        <v>13</v>
      </c>
      <c r="C47" s="60">
        <v>899</v>
      </c>
      <c r="D47" s="60">
        <v>109</v>
      </c>
      <c r="E47" s="60">
        <v>108</v>
      </c>
      <c r="F47" s="60">
        <v>25</v>
      </c>
      <c r="G47" s="60">
        <v>25</v>
      </c>
      <c r="H47" s="60">
        <v>21</v>
      </c>
      <c r="I47" s="60">
        <v>21</v>
      </c>
      <c r="J47" s="119">
        <v>2092</v>
      </c>
      <c r="K47" s="119">
        <v>2089</v>
      </c>
      <c r="L47" s="119">
        <v>2092</v>
      </c>
      <c r="M47" s="119">
        <v>2089</v>
      </c>
      <c r="N47" s="119">
        <v>30</v>
      </c>
      <c r="O47" s="119">
        <v>30</v>
      </c>
      <c r="P47" s="119">
        <v>30</v>
      </c>
      <c r="Q47" s="119">
        <v>30</v>
      </c>
      <c r="R47" s="60"/>
      <c r="S47" s="60"/>
      <c r="T47" s="4">
        <v>20</v>
      </c>
      <c r="U47" s="4">
        <v>10</v>
      </c>
      <c r="V47" s="4">
        <v>20</v>
      </c>
    </row>
    <row r="48" spans="1:22" x14ac:dyDescent="0.3">
      <c r="A48" s="133">
        <v>528</v>
      </c>
      <c r="B48" s="60">
        <v>12</v>
      </c>
      <c r="C48" s="60">
        <v>898</v>
      </c>
      <c r="D48" s="60">
        <v>109</v>
      </c>
      <c r="E48" s="60">
        <v>108</v>
      </c>
      <c r="F48" s="60">
        <v>21</v>
      </c>
      <c r="G48" s="60">
        <v>21</v>
      </c>
      <c r="H48" s="60">
        <v>19</v>
      </c>
      <c r="I48" s="60">
        <v>19</v>
      </c>
      <c r="J48" s="119">
        <v>2091</v>
      </c>
      <c r="K48" s="119">
        <v>2091</v>
      </c>
      <c r="L48" s="119">
        <v>2091</v>
      </c>
      <c r="M48" s="119">
        <v>2091</v>
      </c>
      <c r="N48" s="119">
        <v>30</v>
      </c>
      <c r="O48" s="119">
        <v>30</v>
      </c>
      <c r="P48" s="119">
        <v>30</v>
      </c>
      <c r="Q48" s="119">
        <v>30</v>
      </c>
      <c r="R48" s="60"/>
      <c r="S48" s="60"/>
      <c r="T48" s="4">
        <v>20</v>
      </c>
      <c r="U48" s="4">
        <v>10</v>
      </c>
      <c r="V48" s="4">
        <v>20</v>
      </c>
    </row>
    <row r="49" spans="1:22" x14ac:dyDescent="0.3">
      <c r="A49" s="133">
        <v>528</v>
      </c>
      <c r="B49" s="60">
        <v>11</v>
      </c>
      <c r="C49" s="60">
        <v>898</v>
      </c>
      <c r="D49" s="60">
        <v>109</v>
      </c>
      <c r="E49" s="60">
        <v>108</v>
      </c>
      <c r="F49" s="60">
        <v>21</v>
      </c>
      <c r="G49" s="60">
        <v>21</v>
      </c>
      <c r="H49" s="60">
        <v>20</v>
      </c>
      <c r="I49" s="60">
        <v>20</v>
      </c>
      <c r="J49" s="119">
        <v>2090</v>
      </c>
      <c r="K49" s="119">
        <v>2090</v>
      </c>
      <c r="L49" s="119">
        <v>2092</v>
      </c>
      <c r="M49" s="119">
        <v>2092</v>
      </c>
      <c r="N49" s="119">
        <v>30</v>
      </c>
      <c r="O49" s="119">
        <v>30</v>
      </c>
      <c r="P49" s="119">
        <v>30</v>
      </c>
      <c r="Q49" s="119">
        <v>30</v>
      </c>
      <c r="R49" s="60"/>
      <c r="S49" s="60"/>
      <c r="T49" s="4">
        <v>20</v>
      </c>
      <c r="U49" s="4">
        <v>10</v>
      </c>
      <c r="V49" s="4">
        <v>20</v>
      </c>
    </row>
    <row r="50" spans="1:22" x14ac:dyDescent="0.3">
      <c r="A50" s="133">
        <v>528</v>
      </c>
      <c r="B50" s="60">
        <v>10</v>
      </c>
      <c r="C50" s="60">
        <v>898</v>
      </c>
      <c r="D50" s="60">
        <v>109</v>
      </c>
      <c r="E50" s="60">
        <v>108</v>
      </c>
      <c r="F50" s="60">
        <v>27</v>
      </c>
      <c r="G50" s="60">
        <v>30</v>
      </c>
      <c r="H50" s="60">
        <v>30</v>
      </c>
      <c r="I50" s="60">
        <v>25</v>
      </c>
      <c r="J50" s="119">
        <v>2090</v>
      </c>
      <c r="K50" s="119">
        <v>2090</v>
      </c>
      <c r="L50" s="119">
        <v>2090</v>
      </c>
      <c r="M50" s="119">
        <v>2090</v>
      </c>
      <c r="N50" s="119">
        <v>30</v>
      </c>
      <c r="O50" s="119">
        <v>30</v>
      </c>
      <c r="P50" s="119">
        <v>30</v>
      </c>
      <c r="Q50" s="119">
        <v>30</v>
      </c>
      <c r="R50" s="60"/>
      <c r="S50" s="60"/>
      <c r="T50" s="4">
        <v>20</v>
      </c>
      <c r="U50" s="4">
        <v>10</v>
      </c>
      <c r="V50" s="4">
        <v>20</v>
      </c>
    </row>
    <row r="51" spans="1:22" x14ac:dyDescent="0.3">
      <c r="A51" s="133">
        <v>528</v>
      </c>
      <c r="B51" s="60">
        <v>9</v>
      </c>
      <c r="C51" s="60">
        <v>899</v>
      </c>
      <c r="D51" s="60">
        <v>109</v>
      </c>
      <c r="E51" s="60">
        <v>108</v>
      </c>
      <c r="F51" s="60">
        <v>21</v>
      </c>
      <c r="G51" s="60">
        <v>25</v>
      </c>
      <c r="H51" s="60">
        <v>30</v>
      </c>
      <c r="I51" s="60">
        <v>30</v>
      </c>
      <c r="J51" s="119">
        <v>2090</v>
      </c>
      <c r="K51" s="119">
        <v>2090</v>
      </c>
      <c r="L51" s="119">
        <v>2092</v>
      </c>
      <c r="M51" s="119">
        <v>2092</v>
      </c>
      <c r="N51" s="119">
        <v>29</v>
      </c>
      <c r="O51" s="119">
        <v>29</v>
      </c>
      <c r="P51" s="119">
        <v>30</v>
      </c>
      <c r="Q51" s="119">
        <v>30</v>
      </c>
      <c r="R51" s="60"/>
      <c r="S51" s="60"/>
      <c r="T51" s="4">
        <v>20</v>
      </c>
      <c r="U51" s="4">
        <v>10</v>
      </c>
      <c r="V51" s="4">
        <v>20</v>
      </c>
    </row>
    <row r="52" spans="1:22" x14ac:dyDescent="0.3">
      <c r="A52" s="133">
        <v>528</v>
      </c>
      <c r="B52" s="60">
        <v>8</v>
      </c>
      <c r="C52" s="60">
        <v>899</v>
      </c>
      <c r="D52" s="60">
        <v>109</v>
      </c>
      <c r="E52" s="60">
        <v>108</v>
      </c>
      <c r="F52" s="60">
        <v>27</v>
      </c>
      <c r="G52" s="60">
        <v>27</v>
      </c>
      <c r="H52" s="60">
        <v>29</v>
      </c>
      <c r="I52" s="60">
        <v>25</v>
      </c>
      <c r="J52" s="119">
        <v>2089</v>
      </c>
      <c r="K52" s="119">
        <v>2089</v>
      </c>
      <c r="L52" s="119">
        <v>2092</v>
      </c>
      <c r="M52" s="119">
        <v>2092</v>
      </c>
      <c r="N52" s="119">
        <v>21</v>
      </c>
      <c r="O52" s="119">
        <v>21</v>
      </c>
      <c r="P52" s="119">
        <v>30</v>
      </c>
      <c r="Q52" s="119">
        <v>30</v>
      </c>
      <c r="R52" s="60"/>
      <c r="S52" s="60"/>
      <c r="T52" s="4">
        <v>20</v>
      </c>
      <c r="U52" s="4">
        <v>10</v>
      </c>
      <c r="V52" s="4">
        <v>20</v>
      </c>
    </row>
    <row r="53" spans="1:22" x14ac:dyDescent="0.3">
      <c r="A53" s="133">
        <v>528</v>
      </c>
      <c r="B53" s="60">
        <v>7</v>
      </c>
      <c r="C53" s="60">
        <v>899</v>
      </c>
      <c r="D53" s="60">
        <v>109</v>
      </c>
      <c r="E53" s="60">
        <v>108</v>
      </c>
      <c r="F53" s="60">
        <v>25</v>
      </c>
      <c r="G53" s="60">
        <v>25</v>
      </c>
      <c r="H53" s="60">
        <v>27</v>
      </c>
      <c r="I53" s="60">
        <v>27</v>
      </c>
      <c r="J53" s="119">
        <v>2090</v>
      </c>
      <c r="K53" s="119">
        <v>2090</v>
      </c>
      <c r="L53" s="119">
        <v>2090</v>
      </c>
      <c r="M53" s="119">
        <v>2090</v>
      </c>
      <c r="N53" s="119">
        <v>20</v>
      </c>
      <c r="O53" s="119">
        <v>20</v>
      </c>
      <c r="P53" s="119">
        <v>30</v>
      </c>
      <c r="Q53" s="119">
        <v>30</v>
      </c>
      <c r="R53" s="60"/>
      <c r="S53" s="60"/>
      <c r="T53" s="4">
        <v>20</v>
      </c>
      <c r="U53" s="4">
        <v>10</v>
      </c>
      <c r="V53" s="4">
        <v>20</v>
      </c>
    </row>
    <row r="54" spans="1:22" x14ac:dyDescent="0.3">
      <c r="A54" s="133">
        <v>528</v>
      </c>
      <c r="B54" s="60">
        <v>6</v>
      </c>
      <c r="C54" s="60">
        <v>899</v>
      </c>
      <c r="D54" s="60">
        <v>109</v>
      </c>
      <c r="E54" s="60">
        <v>108</v>
      </c>
      <c r="F54" s="60">
        <v>30</v>
      </c>
      <c r="G54" s="60">
        <v>24</v>
      </c>
      <c r="H54" s="60">
        <v>30</v>
      </c>
      <c r="I54" s="60">
        <v>30</v>
      </c>
      <c r="J54" s="119">
        <v>2090</v>
      </c>
      <c r="K54" s="119">
        <v>2090</v>
      </c>
      <c r="L54" s="119">
        <v>2090</v>
      </c>
      <c r="M54" s="119">
        <v>2090</v>
      </c>
      <c r="N54" s="119">
        <v>28</v>
      </c>
      <c r="O54" s="119">
        <v>28</v>
      </c>
      <c r="P54" s="119">
        <v>30</v>
      </c>
      <c r="Q54" s="119">
        <v>30</v>
      </c>
      <c r="R54" s="60"/>
      <c r="S54" s="60"/>
      <c r="T54" s="4">
        <v>20</v>
      </c>
      <c r="U54" s="4">
        <v>10</v>
      </c>
      <c r="V54" s="4">
        <v>20</v>
      </c>
    </row>
    <row r="55" spans="1:22" x14ac:dyDescent="0.3">
      <c r="A55" s="133">
        <v>528</v>
      </c>
      <c r="B55" s="60">
        <v>5</v>
      </c>
      <c r="C55" s="60">
        <v>898</v>
      </c>
      <c r="D55" s="60">
        <v>109</v>
      </c>
      <c r="E55" s="60">
        <v>108</v>
      </c>
      <c r="F55" s="60">
        <v>20</v>
      </c>
      <c r="G55" s="60">
        <v>20</v>
      </c>
      <c r="H55" s="60">
        <v>29</v>
      </c>
      <c r="I55" s="60">
        <v>29</v>
      </c>
      <c r="J55" s="119">
        <v>2090</v>
      </c>
      <c r="K55" s="119">
        <v>2090</v>
      </c>
      <c r="L55" s="119">
        <v>2090</v>
      </c>
      <c r="M55" s="119">
        <v>2090</v>
      </c>
      <c r="N55" s="119">
        <v>21</v>
      </c>
      <c r="O55" s="119">
        <v>21</v>
      </c>
      <c r="P55" s="119">
        <v>30</v>
      </c>
      <c r="Q55" s="119">
        <v>30</v>
      </c>
      <c r="R55" s="60"/>
      <c r="S55" s="60"/>
      <c r="T55" s="4">
        <v>20</v>
      </c>
      <c r="U55" s="4">
        <v>10</v>
      </c>
      <c r="V55" s="4">
        <v>20</v>
      </c>
    </row>
    <row r="56" spans="1:22" x14ac:dyDescent="0.3">
      <c r="A56" s="133">
        <v>528</v>
      </c>
      <c r="B56" s="60">
        <v>4</v>
      </c>
      <c r="C56" s="60">
        <v>898</v>
      </c>
      <c r="D56" s="60">
        <v>109</v>
      </c>
      <c r="E56" s="60">
        <v>108</v>
      </c>
      <c r="F56" s="60">
        <v>23</v>
      </c>
      <c r="G56" s="60">
        <v>30</v>
      </c>
      <c r="H56" s="60">
        <v>30</v>
      </c>
      <c r="I56" s="60">
        <v>30</v>
      </c>
      <c r="J56" s="119">
        <v>2093</v>
      </c>
      <c r="K56" s="119">
        <v>2090</v>
      </c>
      <c r="L56" s="119">
        <v>2090</v>
      </c>
      <c r="M56" s="119">
        <v>2090</v>
      </c>
      <c r="N56" s="119">
        <v>33</v>
      </c>
      <c r="O56" s="119">
        <v>29</v>
      </c>
      <c r="P56" s="119">
        <v>30</v>
      </c>
      <c r="Q56" s="119">
        <v>30</v>
      </c>
      <c r="R56" s="60"/>
      <c r="S56" s="60"/>
      <c r="T56" s="4">
        <v>20</v>
      </c>
      <c r="U56" s="4">
        <v>10</v>
      </c>
      <c r="V56" s="4">
        <v>20</v>
      </c>
    </row>
    <row r="57" spans="1:22" x14ac:dyDescent="0.3">
      <c r="A57" s="133">
        <v>528</v>
      </c>
      <c r="B57" s="60">
        <v>3</v>
      </c>
      <c r="C57" s="60">
        <v>899</v>
      </c>
      <c r="D57" s="60">
        <v>109</v>
      </c>
      <c r="E57" s="60">
        <v>108</v>
      </c>
      <c r="F57" s="60">
        <v>27</v>
      </c>
      <c r="G57" s="60">
        <v>23</v>
      </c>
      <c r="H57" s="60">
        <v>28</v>
      </c>
      <c r="I57" s="60">
        <v>28</v>
      </c>
      <c r="J57" s="119">
        <v>2093</v>
      </c>
      <c r="K57" s="119">
        <v>2090</v>
      </c>
      <c r="L57" s="119">
        <v>2090</v>
      </c>
      <c r="M57" s="119">
        <v>2090</v>
      </c>
      <c r="N57" s="119">
        <v>30</v>
      </c>
      <c r="O57" s="119">
        <v>30</v>
      </c>
      <c r="P57" s="119">
        <v>30</v>
      </c>
      <c r="Q57" s="119">
        <v>30</v>
      </c>
      <c r="R57" s="60"/>
      <c r="S57" s="60"/>
      <c r="T57" s="4">
        <v>20</v>
      </c>
      <c r="U57" s="4">
        <v>10</v>
      </c>
      <c r="V57" s="4">
        <v>20</v>
      </c>
    </row>
    <row r="58" spans="1:22" x14ac:dyDescent="0.3">
      <c r="A58" s="133">
        <v>528</v>
      </c>
      <c r="B58" s="60">
        <v>2</v>
      </c>
      <c r="C58" s="60">
        <v>899</v>
      </c>
      <c r="D58" s="60">
        <v>109</v>
      </c>
      <c r="E58" s="60">
        <v>108</v>
      </c>
      <c r="F58" s="60">
        <v>26</v>
      </c>
      <c r="G58" s="60">
        <v>26</v>
      </c>
      <c r="H58" s="60">
        <v>29</v>
      </c>
      <c r="I58" s="60">
        <v>29</v>
      </c>
      <c r="J58" s="119">
        <v>2088</v>
      </c>
      <c r="K58" s="119">
        <v>2088</v>
      </c>
      <c r="L58" s="119">
        <v>2088</v>
      </c>
      <c r="M58" s="119">
        <v>2088</v>
      </c>
      <c r="N58" s="119">
        <v>23</v>
      </c>
      <c r="O58" s="119">
        <v>23</v>
      </c>
      <c r="P58" s="119">
        <v>30</v>
      </c>
      <c r="Q58" s="119">
        <v>30</v>
      </c>
      <c r="R58" s="60"/>
      <c r="S58" s="60"/>
      <c r="T58" s="4">
        <v>20</v>
      </c>
      <c r="U58" s="4">
        <v>10</v>
      </c>
      <c r="V58" s="4">
        <v>20</v>
      </c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-0.249977111117893"/>
    <pageSetUpPr fitToPage="1"/>
  </sheetPr>
  <dimension ref="A1:AH58"/>
  <sheetViews>
    <sheetView tabSelected="1" zoomScale="85" zoomScaleNormal="85" workbookViewId="0">
      <selection activeCell="H15" sqref="H15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71" t="str">
        <f>정보!B1 &amp; " (쪽쟘제작치수)  " &amp; 정보!B6 &amp;" 소장"</f>
        <v>경기도 부천 은하마을 주공1단지아파트-3차 (쪽쟘제작치수)  김운호 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</row>
    <row r="2" spans="1:34" ht="30.75" customHeight="1" x14ac:dyDescent="0.3">
      <c r="A2" s="1"/>
      <c r="B2" s="1"/>
      <c r="C2" s="294" t="str">
        <f>"총 : " &amp; COUNTA(A7:A148) &amp;" (SET)"</f>
        <v>총 : 52 (SET)</v>
      </c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5" t="s">
        <v>139</v>
      </c>
      <c r="Q2" s="296"/>
      <c r="R2" s="296"/>
      <c r="S2" s="296"/>
      <c r="T2" s="61"/>
      <c r="U2" s="297">
        <v>1.2</v>
      </c>
      <c r="V2" s="297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54" t="s">
        <v>140</v>
      </c>
      <c r="F3" s="254"/>
      <c r="G3" s="62">
        <v>0</v>
      </c>
      <c r="H3" s="23" t="s">
        <v>141</v>
      </c>
      <c r="I3" s="298">
        <v>0</v>
      </c>
      <c r="J3" s="298"/>
      <c r="K3" s="63"/>
      <c r="L3" s="63"/>
      <c r="M3" s="252" t="s">
        <v>82</v>
      </c>
      <c r="N3" s="252"/>
      <c r="O3" s="252"/>
      <c r="P3" s="299">
        <v>0</v>
      </c>
      <c r="Q3" s="299"/>
      <c r="R3" s="249" t="s">
        <v>90</v>
      </c>
      <c r="S3" s="249"/>
      <c r="T3" s="64"/>
      <c r="U3" s="300">
        <v>0</v>
      </c>
      <c r="V3" s="300"/>
      <c r="W3" s="65"/>
      <c r="X3" s="65"/>
      <c r="Y3" s="65"/>
      <c r="Z3" s="65"/>
      <c r="AA3" s="65"/>
    </row>
    <row r="4" spans="1:34" ht="33" customHeight="1" x14ac:dyDescent="0.3">
      <c r="A4" s="169" t="str">
        <f>정보!B12</f>
        <v>제작치수 반영 : JB/JD +(0 ),  늘어난치수K -(0), OP - (0),  기둥차감 - (0)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235" t="s">
        <v>235</v>
      </c>
      <c r="Z4" s="235"/>
      <c r="AA4" s="236"/>
    </row>
    <row r="5" spans="1:34" ht="25.9" customHeight="1" x14ac:dyDescent="0.3">
      <c r="A5" s="173" t="s">
        <v>0</v>
      </c>
      <c r="B5" s="173" t="s">
        <v>119</v>
      </c>
      <c r="C5" s="174" t="s">
        <v>142</v>
      </c>
      <c r="D5" s="173" t="s">
        <v>120</v>
      </c>
      <c r="E5" s="174" t="s">
        <v>143</v>
      </c>
      <c r="F5" s="174" t="s">
        <v>144</v>
      </c>
      <c r="G5" s="174" t="s">
        <v>34</v>
      </c>
      <c r="H5" s="174" t="s">
        <v>145</v>
      </c>
      <c r="I5" s="174" t="s">
        <v>207</v>
      </c>
      <c r="J5" s="174" t="s">
        <v>208</v>
      </c>
      <c r="K5" s="174" t="s">
        <v>146</v>
      </c>
      <c r="L5" s="174" t="s">
        <v>147</v>
      </c>
      <c r="M5" s="301" t="s">
        <v>148</v>
      </c>
      <c r="N5" s="301" t="s">
        <v>149</v>
      </c>
      <c r="O5" s="173" t="s">
        <v>127</v>
      </c>
      <c r="P5" s="173" t="s">
        <v>15</v>
      </c>
      <c r="Q5" s="173" t="s">
        <v>129</v>
      </c>
      <c r="R5" s="173" t="s">
        <v>130</v>
      </c>
      <c r="S5" s="174" t="s">
        <v>150</v>
      </c>
      <c r="T5" s="301" t="s">
        <v>151</v>
      </c>
      <c r="U5" s="174" t="s">
        <v>133</v>
      </c>
      <c r="V5" s="174" t="s">
        <v>152</v>
      </c>
      <c r="W5" s="173" t="s">
        <v>135</v>
      </c>
      <c r="X5" s="173"/>
      <c r="Y5" s="304" t="s">
        <v>203</v>
      </c>
      <c r="Z5" s="304"/>
      <c r="AA5" s="304"/>
      <c r="AE5" s="184" t="s">
        <v>153</v>
      </c>
      <c r="AF5" s="184"/>
      <c r="AG5" s="184" t="s">
        <v>154</v>
      </c>
      <c r="AH5" s="184"/>
    </row>
    <row r="6" spans="1:34" ht="36.75" customHeight="1" x14ac:dyDescent="0.3">
      <c r="A6" s="215"/>
      <c r="B6" s="215"/>
      <c r="C6" s="215"/>
      <c r="D6" s="215"/>
      <c r="E6" s="215"/>
      <c r="F6" s="215"/>
      <c r="G6" s="215"/>
      <c r="H6" s="215"/>
      <c r="I6" s="215"/>
      <c r="J6" s="215"/>
      <c r="K6" s="243"/>
      <c r="L6" s="243"/>
      <c r="M6" s="302"/>
      <c r="N6" s="302"/>
      <c r="O6" s="215"/>
      <c r="P6" s="215"/>
      <c r="Q6" s="215"/>
      <c r="R6" s="215"/>
      <c r="S6" s="215"/>
      <c r="T6" s="303"/>
      <c r="U6" s="243"/>
      <c r="V6" s="243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524</v>
      </c>
      <c r="B7" s="50" t="str">
        <f>'쪽쟘(실측)'!B7&amp;"F"</f>
        <v>15F</v>
      </c>
      <c r="C7" s="50" t="str">
        <f>AC7&amp;"*"&amp;AD7</f>
        <v>1031*170.4</v>
      </c>
      <c r="D7" s="50">
        <f>'쪽쟘(실측)'!C7-쪽쟘OP차감</f>
        <v>997</v>
      </c>
      <c r="E7" s="50">
        <f>'쪽쟘(실측)'!D7+쪽쟘J늘림+MAX(W7:X7)</f>
        <v>114</v>
      </c>
      <c r="F7" s="50">
        <f>'쪽쟘(실측)'!E7+쪽쟘J늘림+MAX(W7:X7)</f>
        <v>113</v>
      </c>
      <c r="G7" s="67" t="str">
        <f>AF7&amp;"*"&amp;AE7</f>
        <v>2093*167.4</v>
      </c>
      <c r="H7" s="68" t="str">
        <f>AH7&amp;"*"&amp;AG7</f>
        <v>2093*159.4</v>
      </c>
      <c r="I7" s="50">
        <f>IF('쪽쟘(실측)'!F7&gt;0,'쪽쟘(실측)'!F7-3,0)+뒷날개치수더함</f>
        <v>17</v>
      </c>
      <c r="J7" s="50">
        <f>IF('쪽쟘(실측)'!H7&gt;0,'쪽쟘(실측)'!H7-3,0)+뒷날개치수더함</f>
        <v>17</v>
      </c>
      <c r="K7" s="50">
        <f>IF('쪽쟘(실측)'!F7&gt;0,'쪽쟘(실측)'!F7+0,0)+뒷날개치수더함</f>
        <v>20</v>
      </c>
      <c r="L7" s="50">
        <f>IF('쪽쟘(실측)'!G7&gt;0,'쪽쟘(실측)'!G7+0,0)+뒷날개치수더함</f>
        <v>28</v>
      </c>
      <c r="M7" s="50">
        <f>IF('쪽쟘(실측)'!H7&gt;0,'쪽쟘(실측)'!H7+0,0)+뒷날개치수더함</f>
        <v>20</v>
      </c>
      <c r="N7" s="50">
        <f>IF('쪽쟘(실측)'!I7&gt;0,'쪽쟘(실측)'!I7+0,0)+뒷날개치수더함</f>
        <v>20</v>
      </c>
      <c r="O7" s="50">
        <f>'쪽쟘(실측)'!J7-쪽쟘기둥차감</f>
        <v>2093</v>
      </c>
      <c r="P7" s="50">
        <f>'쪽쟘(실측)'!K7-쪽쟘기둥차감</f>
        <v>2090</v>
      </c>
      <c r="Q7" s="50">
        <f>'쪽쟘(실측)'!L7-쪽쟘기둥차감</f>
        <v>2093</v>
      </c>
      <c r="R7" s="50">
        <f>'쪽쟘(실측)'!M7-쪽쟘기둥차감</f>
        <v>2090</v>
      </c>
      <c r="S7" s="50">
        <f>'쪽쟘(실측)'!N7+뒷날개치수더함</f>
        <v>26</v>
      </c>
      <c r="T7" s="50">
        <f>'쪽쟘(실측)'!O7+뒷날개치수더함</f>
        <v>30</v>
      </c>
      <c r="U7" s="50">
        <f>'쪽쟘(실측)'!P7+뒷날개치수더함</f>
        <v>30</v>
      </c>
      <c r="V7" s="50">
        <f>'쪽쟘(실측)'!Q7+뒷날개치수더함</f>
        <v>30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20</v>
      </c>
      <c r="Z7" s="4">
        <f>'쪽쟘(실측)'!U7</f>
        <v>10</v>
      </c>
      <c r="AA7" s="4">
        <f>'쪽쟘(실측)'!V7</f>
        <v>20</v>
      </c>
      <c r="AC7">
        <f t="shared" ref="AC7" si="0">D7+I7+J7</f>
        <v>1031</v>
      </c>
      <c r="AD7">
        <f t="shared" ref="AD7" si="1">U7+E7+MAX(S7,T7)-쪽쟘소재t*3+IF(S7=0,S7*쪽쟘소재t,0)</f>
        <v>170.4</v>
      </c>
      <c r="AE7">
        <f t="shared" ref="AE7:AE25" si="2">MAX(K7,L7)+F7+V7-쪽쟘소재t*3+IF(K7=0,쪽쟘소재t)-IF(AA7=90,2.4,0)</f>
        <v>167.4</v>
      </c>
      <c r="AF7">
        <f t="shared" ref="AF7" si="3">MAX(O7,P7)</f>
        <v>2093</v>
      </c>
      <c r="AG7">
        <f t="shared" ref="AG7:AG25" si="4">MAX(M7,N7)+F7+V7-쪽쟘소재t*3+IF(M7=0,쪽쟘소재t)-IF(AA7=90,2.4,0)</f>
        <v>159.4</v>
      </c>
      <c r="AH7">
        <f>MAX(Q7,R7)</f>
        <v>2093</v>
      </c>
    </row>
    <row r="8" spans="1:34" ht="19.5" customHeight="1" x14ac:dyDescent="0.3">
      <c r="A8" s="50">
        <f>'쪽쟘(실측)'!A8</f>
        <v>524</v>
      </c>
      <c r="B8" s="50" t="str">
        <f>'쪽쟘(실측)'!B8&amp;"F"</f>
        <v>14F</v>
      </c>
      <c r="C8" s="50" t="str">
        <f t="shared" ref="C8:C25" si="5">AC8&amp;"*"&amp;AD8</f>
        <v>1031*170.4</v>
      </c>
      <c r="D8" s="50">
        <f>'쪽쟘(실측)'!C8-쪽쟘OP차감</f>
        <v>997</v>
      </c>
      <c r="E8" s="50">
        <f>'쪽쟘(실측)'!D8+쪽쟘J늘림+MAX(W8:X8)</f>
        <v>114</v>
      </c>
      <c r="F8" s="50">
        <f>'쪽쟘(실측)'!E8+쪽쟘J늘림+MAX(W8:X8)</f>
        <v>113</v>
      </c>
      <c r="G8" s="67" t="str">
        <f t="shared" ref="G8:G25" si="6">AF8&amp;"*"&amp;AE8</f>
        <v>2092*162.4</v>
      </c>
      <c r="H8" s="68" t="str">
        <f t="shared" ref="H8:H25" si="7">AH8&amp;"*"&amp;AG8</f>
        <v>2092*159.4</v>
      </c>
      <c r="I8" s="50">
        <f>IF('쪽쟘(실측)'!F8&gt;0,'쪽쟘(실측)'!F8-3,0)+뒷날개치수더함</f>
        <v>17</v>
      </c>
      <c r="J8" s="50">
        <f>IF('쪽쟘(실측)'!H8&gt;0,'쪽쟘(실측)'!H8-3,0)+뒷날개치수더함</f>
        <v>17</v>
      </c>
      <c r="K8" s="50">
        <f>IF('쪽쟘(실측)'!F8&gt;0,'쪽쟘(실측)'!F8+0,0)+뒷날개치수더함</f>
        <v>20</v>
      </c>
      <c r="L8" s="50">
        <f>IF('쪽쟘(실측)'!G8&gt;0,'쪽쟘(실측)'!G8+0,0)+뒷날개치수더함</f>
        <v>23</v>
      </c>
      <c r="M8" s="50">
        <f>IF('쪽쟘(실측)'!H8&gt;0,'쪽쟘(실측)'!H8+0,0)+뒷날개치수더함</f>
        <v>20</v>
      </c>
      <c r="N8" s="50">
        <f>IF('쪽쟘(실측)'!I8&gt;0,'쪽쟘(실측)'!I8+0,0)+뒷날개치수더함</f>
        <v>20</v>
      </c>
      <c r="O8" s="50">
        <f>'쪽쟘(실측)'!J8-쪽쟘기둥차감</f>
        <v>2092</v>
      </c>
      <c r="P8" s="50">
        <f>'쪽쟘(실측)'!K8-쪽쟘기둥차감</f>
        <v>2092</v>
      </c>
      <c r="Q8" s="50">
        <f>'쪽쟘(실측)'!L8-쪽쟘기둥차감</f>
        <v>2092</v>
      </c>
      <c r="R8" s="50">
        <f>'쪽쟘(실측)'!M8-쪽쟘기둥차감</f>
        <v>2092</v>
      </c>
      <c r="S8" s="50">
        <f>'쪽쟘(실측)'!N8+뒷날개치수더함</f>
        <v>30</v>
      </c>
      <c r="T8" s="50">
        <f>'쪽쟘(실측)'!O8+뒷날개치수더함</f>
        <v>30</v>
      </c>
      <c r="U8" s="50">
        <f>'쪽쟘(실측)'!P8+뒷날개치수더함</f>
        <v>30</v>
      </c>
      <c r="V8" s="50">
        <f>'쪽쟘(실측)'!Q8+뒷날개치수더함</f>
        <v>30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20</v>
      </c>
      <c r="Z8" s="4">
        <f>'쪽쟘(실측)'!U8</f>
        <v>10</v>
      </c>
      <c r="AA8" s="4">
        <f>'쪽쟘(실측)'!V8</f>
        <v>20</v>
      </c>
      <c r="AC8">
        <f t="shared" ref="AC8:AC25" si="8">D8+I8+J8</f>
        <v>1031</v>
      </c>
      <c r="AD8">
        <f t="shared" ref="AD8:AD25" si="9">U8+E8+MAX(S8,T8)-쪽쟘소재t*3+IF(S8=0,S8*쪽쟘소재t,0)</f>
        <v>170.4</v>
      </c>
      <c r="AE8">
        <f t="shared" si="2"/>
        <v>162.4</v>
      </c>
      <c r="AF8">
        <f t="shared" ref="AF8:AF25" si="10">MAX(O8,P8)</f>
        <v>2092</v>
      </c>
      <c r="AG8">
        <f t="shared" si="4"/>
        <v>159.4</v>
      </c>
      <c r="AH8">
        <f t="shared" ref="AH8:AH25" si="11">MAX(Q8,R8)</f>
        <v>2092</v>
      </c>
    </row>
    <row r="9" spans="1:34" ht="19.5" customHeight="1" x14ac:dyDescent="0.3">
      <c r="A9" s="50">
        <f>'쪽쟘(실측)'!A9</f>
        <v>524</v>
      </c>
      <c r="B9" s="50" t="str">
        <f>'쪽쟘(실측)'!B9&amp;"F"</f>
        <v>13F</v>
      </c>
      <c r="C9" s="50" t="str">
        <f t="shared" si="5"/>
        <v>1032*170.4</v>
      </c>
      <c r="D9" s="50">
        <f>'쪽쟘(실측)'!C9-쪽쟘OP차감</f>
        <v>998</v>
      </c>
      <c r="E9" s="50">
        <f>'쪽쟘(실측)'!D9+쪽쟘J늘림+MAX(W9:X9)</f>
        <v>114</v>
      </c>
      <c r="F9" s="50">
        <f>'쪽쟘(실측)'!E9+쪽쟘J늘림+MAX(W9:X9)</f>
        <v>113</v>
      </c>
      <c r="G9" s="67" t="str">
        <f t="shared" si="6"/>
        <v>2090*163.4</v>
      </c>
      <c r="H9" s="68" t="str">
        <f t="shared" si="7"/>
        <v>2092*159.4</v>
      </c>
      <c r="I9" s="50">
        <f>IF('쪽쟘(실측)'!F9&gt;0,'쪽쟘(실측)'!F9-3,0)+뒷날개치수더함</f>
        <v>17</v>
      </c>
      <c r="J9" s="50">
        <f>IF('쪽쟘(실측)'!H9&gt;0,'쪽쟘(실측)'!H9-3,0)+뒷날개치수더함</f>
        <v>17</v>
      </c>
      <c r="K9" s="50">
        <f>IF('쪽쟘(실측)'!F9&gt;0,'쪽쟘(실측)'!F9+0,0)+뒷날개치수더함</f>
        <v>20</v>
      </c>
      <c r="L9" s="50">
        <f>IF('쪽쟘(실측)'!G9&gt;0,'쪽쟘(실측)'!G9+0,0)+뒷날개치수더함</f>
        <v>24</v>
      </c>
      <c r="M9" s="50">
        <f>IF('쪽쟘(실측)'!H9&gt;0,'쪽쟘(실측)'!H9+0,0)+뒷날개치수더함</f>
        <v>20</v>
      </c>
      <c r="N9" s="50">
        <f>IF('쪽쟘(실측)'!I9&gt;0,'쪽쟘(실측)'!I9+0,0)+뒷날개치수더함</f>
        <v>20</v>
      </c>
      <c r="O9" s="50">
        <f>'쪽쟘(실측)'!J9-쪽쟘기둥차감</f>
        <v>2090</v>
      </c>
      <c r="P9" s="50">
        <f>'쪽쟘(실측)'!K9-쪽쟘기둥차감</f>
        <v>2087</v>
      </c>
      <c r="Q9" s="50">
        <f>'쪽쟘(실측)'!L9-쪽쟘기둥차감</f>
        <v>2092</v>
      </c>
      <c r="R9" s="50">
        <f>'쪽쟘(실측)'!M9-쪽쟘기둥차감</f>
        <v>2092</v>
      </c>
      <c r="S9" s="50">
        <f>'쪽쟘(실측)'!N9+뒷날개치수더함</f>
        <v>30</v>
      </c>
      <c r="T9" s="50">
        <f>'쪽쟘(실측)'!O9+뒷날개치수더함</f>
        <v>30</v>
      </c>
      <c r="U9" s="50">
        <f>'쪽쟘(실측)'!P9+뒷날개치수더함</f>
        <v>30</v>
      </c>
      <c r="V9" s="50">
        <f>'쪽쟘(실측)'!Q9+뒷날개치수더함</f>
        <v>30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20</v>
      </c>
      <c r="Z9" s="4">
        <f>'쪽쟘(실측)'!U9</f>
        <v>10</v>
      </c>
      <c r="AA9" s="4">
        <f>'쪽쟘(실측)'!V9</f>
        <v>20</v>
      </c>
      <c r="AC9">
        <f t="shared" si="8"/>
        <v>1032</v>
      </c>
      <c r="AD9">
        <f t="shared" si="9"/>
        <v>170.4</v>
      </c>
      <c r="AE9">
        <f t="shared" si="2"/>
        <v>163.4</v>
      </c>
      <c r="AF9">
        <f t="shared" si="10"/>
        <v>2090</v>
      </c>
      <c r="AG9">
        <f t="shared" si="4"/>
        <v>159.4</v>
      </c>
      <c r="AH9">
        <f t="shared" si="11"/>
        <v>2092</v>
      </c>
    </row>
    <row r="10" spans="1:34" ht="19.5" customHeight="1" x14ac:dyDescent="0.3">
      <c r="A10" s="50">
        <f>'쪽쟘(실측)'!A10</f>
        <v>524</v>
      </c>
      <c r="B10" s="50" t="str">
        <f>'쪽쟘(실측)'!B10&amp;"F"</f>
        <v>12F</v>
      </c>
      <c r="C10" s="50" t="str">
        <f t="shared" si="5"/>
        <v>1039*166.4</v>
      </c>
      <c r="D10" s="50">
        <f>'쪽쟘(실측)'!C10-쪽쟘OP차감</f>
        <v>997</v>
      </c>
      <c r="E10" s="50">
        <f>'쪽쟘(실측)'!D10+쪽쟘J늘림+MAX(W10:X10)</f>
        <v>114</v>
      </c>
      <c r="F10" s="50">
        <f>'쪽쟘(실측)'!E10+쪽쟘J늘림+MAX(W10:X10)</f>
        <v>113</v>
      </c>
      <c r="G10" s="67" t="str">
        <f t="shared" si="6"/>
        <v>2090*167.4</v>
      </c>
      <c r="H10" s="68" t="str">
        <f t="shared" si="7"/>
        <v>2092*163.4</v>
      </c>
      <c r="I10" s="50">
        <f>IF('쪽쟘(실측)'!F10&gt;0,'쪽쟘(실측)'!F10-3,0)+뒷날개치수더함</f>
        <v>25</v>
      </c>
      <c r="J10" s="50">
        <f>IF('쪽쟘(실측)'!H10&gt;0,'쪽쟘(실측)'!H10-3,0)+뒷날개치수더함</f>
        <v>17</v>
      </c>
      <c r="K10" s="50">
        <f>IF('쪽쟘(실측)'!F10&gt;0,'쪽쟘(실측)'!F10+0,0)+뒷날개치수더함</f>
        <v>28</v>
      </c>
      <c r="L10" s="50">
        <f>IF('쪽쟘(실측)'!G10&gt;0,'쪽쟘(실측)'!G10+0,0)+뒷날개치수더함</f>
        <v>28</v>
      </c>
      <c r="M10" s="50">
        <f>IF('쪽쟘(실측)'!H10&gt;0,'쪽쟘(실측)'!H10+0,0)+뒷날개치수더함</f>
        <v>20</v>
      </c>
      <c r="N10" s="50">
        <f>IF('쪽쟘(실측)'!I10&gt;0,'쪽쟘(실측)'!I10+0,0)+뒷날개치수더함</f>
        <v>24</v>
      </c>
      <c r="O10" s="50">
        <f>'쪽쟘(실측)'!J10-쪽쟘기둥차감</f>
        <v>2090</v>
      </c>
      <c r="P10" s="50">
        <f>'쪽쟘(실측)'!K10-쪽쟘기둥차감</f>
        <v>2090</v>
      </c>
      <c r="Q10" s="50">
        <f>'쪽쟘(실측)'!L10-쪽쟘기둥차감</f>
        <v>2092</v>
      </c>
      <c r="R10" s="50">
        <f>'쪽쟘(실측)'!M10-쪽쟘기둥차감</f>
        <v>2092</v>
      </c>
      <c r="S10" s="50">
        <f>'쪽쟘(실측)'!N10+뒷날개치수더함</f>
        <v>26</v>
      </c>
      <c r="T10" s="50">
        <f>'쪽쟘(실측)'!O10+뒷날개치수더함</f>
        <v>26</v>
      </c>
      <c r="U10" s="50">
        <f>'쪽쟘(실측)'!P10+뒷날개치수더함</f>
        <v>30</v>
      </c>
      <c r="V10" s="50">
        <f>'쪽쟘(실측)'!Q10+뒷날개치수더함</f>
        <v>30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20</v>
      </c>
      <c r="Z10" s="4">
        <f>'쪽쟘(실측)'!U10</f>
        <v>10</v>
      </c>
      <c r="AA10" s="4">
        <f>'쪽쟘(실측)'!V10</f>
        <v>20</v>
      </c>
      <c r="AC10">
        <f t="shared" si="8"/>
        <v>1039</v>
      </c>
      <c r="AD10">
        <f t="shared" si="9"/>
        <v>166.4</v>
      </c>
      <c r="AE10">
        <f t="shared" si="2"/>
        <v>167.4</v>
      </c>
      <c r="AF10">
        <f t="shared" si="10"/>
        <v>2090</v>
      </c>
      <c r="AG10">
        <f t="shared" si="4"/>
        <v>163.4</v>
      </c>
      <c r="AH10">
        <f t="shared" si="11"/>
        <v>2092</v>
      </c>
    </row>
    <row r="11" spans="1:34" ht="19.5" customHeight="1" x14ac:dyDescent="0.3">
      <c r="A11" s="50">
        <f>'쪽쟘(실측)'!A11</f>
        <v>524</v>
      </c>
      <c r="B11" s="50" t="str">
        <f>'쪽쟘(실측)'!B11&amp;"F"</f>
        <v>11F</v>
      </c>
      <c r="C11" s="50" t="str">
        <f t="shared" si="5"/>
        <v>1039*167.4</v>
      </c>
      <c r="D11" s="50">
        <f>'쪽쟘(실측)'!C11-쪽쟘OP차감</f>
        <v>997</v>
      </c>
      <c r="E11" s="50">
        <f>'쪽쟘(실측)'!D11+쪽쟘J늘림+MAX(W11:X11)</f>
        <v>114</v>
      </c>
      <c r="F11" s="50">
        <f>'쪽쟘(실측)'!E11+쪽쟘J늘림+MAX(W11:X11)</f>
        <v>113</v>
      </c>
      <c r="G11" s="67" t="str">
        <f t="shared" si="6"/>
        <v>2090*163.4</v>
      </c>
      <c r="H11" s="68" t="str">
        <f t="shared" si="7"/>
        <v>2092*163.4</v>
      </c>
      <c r="I11" s="50">
        <f>IF('쪽쟘(실측)'!F11&gt;0,'쪽쟘(실측)'!F11-3,0)+뒷날개치수더함</f>
        <v>21</v>
      </c>
      <c r="J11" s="50">
        <f>IF('쪽쟘(실측)'!H11&gt;0,'쪽쟘(실측)'!H11-3,0)+뒷날개치수더함</f>
        <v>21</v>
      </c>
      <c r="K11" s="50">
        <f>IF('쪽쟘(실측)'!F11&gt;0,'쪽쟘(실측)'!F11+0,0)+뒷날개치수더함</f>
        <v>24</v>
      </c>
      <c r="L11" s="50">
        <f>IF('쪽쟘(실측)'!G11&gt;0,'쪽쟘(실측)'!G11+0,0)+뒷날개치수더함</f>
        <v>24</v>
      </c>
      <c r="M11" s="50">
        <f>IF('쪽쟘(실측)'!H11&gt;0,'쪽쟘(실측)'!H11+0,0)+뒷날개치수더함</f>
        <v>24</v>
      </c>
      <c r="N11" s="50">
        <f>IF('쪽쟘(실측)'!I11&gt;0,'쪽쟘(실측)'!I11+0,0)+뒷날개치수더함</f>
        <v>24</v>
      </c>
      <c r="O11" s="50">
        <f>'쪽쟘(실측)'!J11-쪽쟘기둥차감</f>
        <v>2090</v>
      </c>
      <c r="P11" s="50">
        <f>'쪽쟘(실측)'!K11-쪽쟘기둥차감</f>
        <v>2090</v>
      </c>
      <c r="Q11" s="50">
        <f>'쪽쟘(실측)'!L11-쪽쟘기둥차감</f>
        <v>2092</v>
      </c>
      <c r="R11" s="50">
        <f>'쪽쟘(실측)'!M11-쪽쟘기둥차감</f>
        <v>2092</v>
      </c>
      <c r="S11" s="50">
        <f>'쪽쟘(실측)'!N11+뒷날개치수더함</f>
        <v>27</v>
      </c>
      <c r="T11" s="50">
        <f>'쪽쟘(실측)'!O11+뒷날개치수더함</f>
        <v>27</v>
      </c>
      <c r="U11" s="50">
        <f>'쪽쟘(실측)'!P11+뒷날개치수더함</f>
        <v>30</v>
      </c>
      <c r="V11" s="50">
        <f>'쪽쟘(실측)'!Q11+뒷날개치수더함</f>
        <v>30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20</v>
      </c>
      <c r="Z11" s="4">
        <f>'쪽쟘(실측)'!U11</f>
        <v>10</v>
      </c>
      <c r="AA11" s="4">
        <f>'쪽쟘(실측)'!V11</f>
        <v>20</v>
      </c>
      <c r="AC11">
        <f t="shared" si="8"/>
        <v>1039</v>
      </c>
      <c r="AD11">
        <f t="shared" si="9"/>
        <v>167.4</v>
      </c>
      <c r="AE11">
        <f t="shared" si="2"/>
        <v>163.4</v>
      </c>
      <c r="AF11">
        <f t="shared" si="10"/>
        <v>2090</v>
      </c>
      <c r="AG11">
        <f t="shared" si="4"/>
        <v>163.4</v>
      </c>
      <c r="AH11">
        <f t="shared" si="11"/>
        <v>2092</v>
      </c>
    </row>
    <row r="12" spans="1:34" ht="19.5" customHeight="1" x14ac:dyDescent="0.3">
      <c r="A12" s="50">
        <f>'쪽쟘(실측)'!A12</f>
        <v>524</v>
      </c>
      <c r="B12" s="50" t="str">
        <f>'쪽쟘(실측)'!B12&amp;"F"</f>
        <v>10F</v>
      </c>
      <c r="C12" s="50" t="str">
        <f t="shared" si="5"/>
        <v>1031*169.4</v>
      </c>
      <c r="D12" s="50">
        <f>'쪽쟘(실측)'!C12-쪽쟘OP차감</f>
        <v>997</v>
      </c>
      <c r="E12" s="50">
        <f>'쪽쟘(실측)'!D12+쪽쟘J늘림+MAX(W12:X12)</f>
        <v>114</v>
      </c>
      <c r="F12" s="50">
        <f>'쪽쟘(실측)'!E12+쪽쟘J늘림+MAX(W12:X12)</f>
        <v>113</v>
      </c>
      <c r="G12" s="67" t="str">
        <f t="shared" si="6"/>
        <v>2096*159.4</v>
      </c>
      <c r="H12" s="68" t="str">
        <f t="shared" si="7"/>
        <v>2094*159.4</v>
      </c>
      <c r="I12" s="50">
        <f>IF('쪽쟘(실측)'!F12&gt;0,'쪽쟘(실측)'!F12-3,0)+뒷날개치수더함</f>
        <v>17</v>
      </c>
      <c r="J12" s="50">
        <f>IF('쪽쟘(실측)'!H12&gt;0,'쪽쟘(실측)'!H12-3,0)+뒷날개치수더함</f>
        <v>17</v>
      </c>
      <c r="K12" s="50">
        <f>IF('쪽쟘(실측)'!F12&gt;0,'쪽쟘(실측)'!F12+0,0)+뒷날개치수더함</f>
        <v>20</v>
      </c>
      <c r="L12" s="50">
        <f>IF('쪽쟘(실측)'!G12&gt;0,'쪽쟘(실측)'!G12+0,0)+뒷날개치수더함</f>
        <v>20</v>
      </c>
      <c r="M12" s="50">
        <f>IF('쪽쟘(실측)'!H12&gt;0,'쪽쟘(실측)'!H12+0,0)+뒷날개치수더함</f>
        <v>20</v>
      </c>
      <c r="N12" s="50">
        <f>IF('쪽쟘(실측)'!I12&gt;0,'쪽쟘(실측)'!I12+0,0)+뒷날개치수더함</f>
        <v>20</v>
      </c>
      <c r="O12" s="50">
        <f>'쪽쟘(실측)'!J12-쪽쟘기둥차감</f>
        <v>2096</v>
      </c>
      <c r="P12" s="50">
        <f>'쪽쟘(실측)'!K12-쪽쟘기둥차감</f>
        <v>2090</v>
      </c>
      <c r="Q12" s="50">
        <f>'쪽쟘(실측)'!L12-쪽쟘기둥차감</f>
        <v>2094</v>
      </c>
      <c r="R12" s="50">
        <f>'쪽쟘(실측)'!M12-쪽쟘기둥차감</f>
        <v>2091</v>
      </c>
      <c r="S12" s="50">
        <f>'쪽쟘(실측)'!N12+뒷날개치수더함</f>
        <v>29</v>
      </c>
      <c r="T12" s="50">
        <f>'쪽쟘(실측)'!O12+뒷날개치수더함</f>
        <v>26</v>
      </c>
      <c r="U12" s="50">
        <f>'쪽쟘(실측)'!P12+뒷날개치수더함</f>
        <v>30</v>
      </c>
      <c r="V12" s="50">
        <f>'쪽쟘(실측)'!Q12+뒷날개치수더함</f>
        <v>30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20</v>
      </c>
      <c r="Z12" s="4">
        <f>'쪽쟘(실측)'!U12</f>
        <v>10</v>
      </c>
      <c r="AA12" s="4">
        <f>'쪽쟘(실측)'!V12</f>
        <v>20</v>
      </c>
      <c r="AC12">
        <f t="shared" si="8"/>
        <v>1031</v>
      </c>
      <c r="AD12">
        <f t="shared" si="9"/>
        <v>169.4</v>
      </c>
      <c r="AE12">
        <f t="shared" si="2"/>
        <v>159.4</v>
      </c>
      <c r="AF12">
        <f t="shared" si="10"/>
        <v>2096</v>
      </c>
      <c r="AG12">
        <f t="shared" si="4"/>
        <v>159.4</v>
      </c>
      <c r="AH12">
        <f t="shared" si="11"/>
        <v>2094</v>
      </c>
    </row>
    <row r="13" spans="1:34" ht="19.5" customHeight="1" x14ac:dyDescent="0.3">
      <c r="A13" s="50">
        <f>'쪽쟘(실측)'!A13</f>
        <v>524</v>
      </c>
      <c r="B13" s="50" t="str">
        <f>'쪽쟘(실측)'!B13&amp;"F"</f>
        <v>9F</v>
      </c>
      <c r="C13" s="50" t="str">
        <f t="shared" si="5"/>
        <v>1038*166.4</v>
      </c>
      <c r="D13" s="50">
        <f>'쪽쟘(실측)'!C13-쪽쟘OP차감</f>
        <v>997</v>
      </c>
      <c r="E13" s="50">
        <f>'쪽쟘(실측)'!D13+쪽쟘J늘림+MAX(W13:X13)</f>
        <v>114</v>
      </c>
      <c r="F13" s="50">
        <f>'쪽쟘(실측)'!E13+쪽쟘J늘림+MAX(W13:X13)</f>
        <v>113</v>
      </c>
      <c r="G13" s="67" t="str">
        <f t="shared" si="6"/>
        <v>2090*161.4</v>
      </c>
      <c r="H13" s="68" t="str">
        <f t="shared" si="7"/>
        <v>2090*164.4</v>
      </c>
      <c r="I13" s="50">
        <f>IF('쪽쟘(실측)'!F13&gt;0,'쪽쟘(실측)'!F13-3,0)+뒷날개치수더함</f>
        <v>19</v>
      </c>
      <c r="J13" s="50">
        <f>IF('쪽쟘(실측)'!H13&gt;0,'쪽쟘(실측)'!H13-3,0)+뒷날개치수더함</f>
        <v>22</v>
      </c>
      <c r="K13" s="50">
        <f>IF('쪽쟘(실측)'!F13&gt;0,'쪽쟘(실측)'!F13+0,0)+뒷날개치수더함</f>
        <v>22</v>
      </c>
      <c r="L13" s="50">
        <f>IF('쪽쟘(실측)'!G13&gt;0,'쪽쟘(실측)'!G13+0,0)+뒷날개치수더함</f>
        <v>22</v>
      </c>
      <c r="M13" s="50">
        <f>IF('쪽쟘(실측)'!H13&gt;0,'쪽쟘(실측)'!H13+0,0)+뒷날개치수더함</f>
        <v>25</v>
      </c>
      <c r="N13" s="50">
        <f>IF('쪽쟘(실측)'!I13&gt;0,'쪽쟘(실측)'!I13+0,0)+뒷날개치수더함</f>
        <v>25</v>
      </c>
      <c r="O13" s="50">
        <f>'쪽쟘(실측)'!J13-쪽쟘기둥차감</f>
        <v>2090</v>
      </c>
      <c r="P13" s="50">
        <f>'쪽쟘(실측)'!K13-쪽쟘기둥차감</f>
        <v>2090</v>
      </c>
      <c r="Q13" s="50">
        <f>'쪽쟘(실측)'!L13-쪽쟘기둥차감</f>
        <v>2090</v>
      </c>
      <c r="R13" s="50">
        <f>'쪽쟘(실측)'!M13-쪽쟘기둥차감</f>
        <v>2090</v>
      </c>
      <c r="S13" s="50">
        <f>'쪽쟘(실측)'!N13+뒷날개치수더함</f>
        <v>26</v>
      </c>
      <c r="T13" s="50">
        <f>'쪽쟘(실측)'!O13+뒷날개치수더함</f>
        <v>26</v>
      </c>
      <c r="U13" s="50">
        <f>'쪽쟘(실측)'!P13+뒷날개치수더함</f>
        <v>30</v>
      </c>
      <c r="V13" s="50">
        <f>'쪽쟘(실측)'!Q13+뒷날개치수더함</f>
        <v>30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20</v>
      </c>
      <c r="Z13" s="4">
        <f>'쪽쟘(실측)'!U13</f>
        <v>10</v>
      </c>
      <c r="AA13" s="4">
        <f>'쪽쟘(실측)'!V13</f>
        <v>20</v>
      </c>
      <c r="AC13">
        <f t="shared" si="8"/>
        <v>1038</v>
      </c>
      <c r="AD13">
        <f t="shared" si="9"/>
        <v>166.4</v>
      </c>
      <c r="AE13">
        <f t="shared" si="2"/>
        <v>161.4</v>
      </c>
      <c r="AF13">
        <f t="shared" si="10"/>
        <v>2090</v>
      </c>
      <c r="AG13">
        <f t="shared" si="4"/>
        <v>164.4</v>
      </c>
      <c r="AH13">
        <f t="shared" si="11"/>
        <v>2090</v>
      </c>
    </row>
    <row r="14" spans="1:34" ht="19.5" customHeight="1" x14ac:dyDescent="0.3">
      <c r="A14" s="50">
        <f>'쪽쟘(실측)'!A14</f>
        <v>524</v>
      </c>
      <c r="B14" s="50" t="str">
        <f>'쪽쟘(실측)'!B14&amp;"F"</f>
        <v>8F</v>
      </c>
      <c r="C14" s="50" t="str">
        <f t="shared" si="5"/>
        <v>1033*163.4</v>
      </c>
      <c r="D14" s="50">
        <f>'쪽쟘(실측)'!C14-쪽쟘OP차감</f>
        <v>998</v>
      </c>
      <c r="E14" s="50">
        <f>'쪽쟘(실측)'!D14+쪽쟘J늘림+MAX(W14:X14)</f>
        <v>114</v>
      </c>
      <c r="F14" s="50">
        <f>'쪽쟘(실측)'!E14+쪽쟘J늘림+MAX(W14:X14)</f>
        <v>113</v>
      </c>
      <c r="G14" s="67" t="str">
        <f t="shared" si="6"/>
        <v>2093*160.4</v>
      </c>
      <c r="H14" s="68" t="str">
        <f t="shared" si="7"/>
        <v>2091*159.4</v>
      </c>
      <c r="I14" s="50">
        <f>IF('쪽쟘(실측)'!F14&gt;0,'쪽쟘(실측)'!F14-3,0)+뒷날개치수더함</f>
        <v>18</v>
      </c>
      <c r="J14" s="50">
        <f>IF('쪽쟘(실측)'!H14&gt;0,'쪽쟘(실측)'!H14-3,0)+뒷날개치수더함</f>
        <v>17</v>
      </c>
      <c r="K14" s="50">
        <f>IF('쪽쟘(실측)'!F14&gt;0,'쪽쟘(실측)'!F14+0,0)+뒷날개치수더함</f>
        <v>21</v>
      </c>
      <c r="L14" s="50">
        <f>IF('쪽쟘(실측)'!G14&gt;0,'쪽쟘(실측)'!G14+0,0)+뒷날개치수더함</f>
        <v>21</v>
      </c>
      <c r="M14" s="50">
        <f>IF('쪽쟘(실측)'!H14&gt;0,'쪽쟘(실측)'!H14+0,0)+뒷날개치수더함</f>
        <v>20</v>
      </c>
      <c r="N14" s="50">
        <f>IF('쪽쟘(실측)'!I14&gt;0,'쪽쟘(실측)'!I14+0,0)+뒷날개치수더함</f>
        <v>20</v>
      </c>
      <c r="O14" s="50">
        <f>'쪽쟘(실측)'!J14-쪽쟘기둥차감</f>
        <v>2093</v>
      </c>
      <c r="P14" s="50">
        <f>'쪽쟘(실측)'!K14-쪽쟘기둥차감</f>
        <v>2089</v>
      </c>
      <c r="Q14" s="50">
        <f>'쪽쟘(실측)'!L14-쪽쟘기둥차감</f>
        <v>2091</v>
      </c>
      <c r="R14" s="50">
        <f>'쪽쟘(실측)'!M14-쪽쟘기둥차감</f>
        <v>2091</v>
      </c>
      <c r="S14" s="50">
        <f>'쪽쟘(실측)'!N14+뒷날개치수더함</f>
        <v>23</v>
      </c>
      <c r="T14" s="50">
        <f>'쪽쟘(실측)'!O14+뒷날개치수더함</f>
        <v>23</v>
      </c>
      <c r="U14" s="50">
        <f>'쪽쟘(실측)'!P14+뒷날개치수더함</f>
        <v>30</v>
      </c>
      <c r="V14" s="50">
        <f>'쪽쟘(실측)'!Q14+뒷날개치수더함</f>
        <v>30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20</v>
      </c>
      <c r="Z14" s="4">
        <f>'쪽쟘(실측)'!U14</f>
        <v>10</v>
      </c>
      <c r="AA14" s="4">
        <f>'쪽쟘(실측)'!V14</f>
        <v>20</v>
      </c>
      <c r="AC14">
        <f t="shared" si="8"/>
        <v>1033</v>
      </c>
      <c r="AD14">
        <f t="shared" si="9"/>
        <v>163.4</v>
      </c>
      <c r="AE14">
        <f t="shared" si="2"/>
        <v>160.4</v>
      </c>
      <c r="AF14">
        <f t="shared" si="10"/>
        <v>2093</v>
      </c>
      <c r="AG14">
        <f t="shared" si="4"/>
        <v>159.4</v>
      </c>
      <c r="AH14">
        <f t="shared" si="11"/>
        <v>2091</v>
      </c>
    </row>
    <row r="15" spans="1:34" ht="19.5" customHeight="1" x14ac:dyDescent="0.3">
      <c r="A15" s="50">
        <f>'쪽쟘(실측)'!A15</f>
        <v>524</v>
      </c>
      <c r="B15" s="50" t="str">
        <f>'쪽쟘(실측)'!B15&amp;"F"</f>
        <v>7F</v>
      </c>
      <c r="C15" s="50" t="str">
        <f t="shared" si="5"/>
        <v>1030*162.4</v>
      </c>
      <c r="D15" s="50">
        <f>'쪽쟘(실측)'!C15-쪽쟘OP차감</f>
        <v>998</v>
      </c>
      <c r="E15" s="50">
        <f>'쪽쟘(실측)'!D15+쪽쟘J늘림+MAX(W15:X15)</f>
        <v>114</v>
      </c>
      <c r="F15" s="50">
        <f>'쪽쟘(실측)'!E15+쪽쟘J늘림+MAX(W15:X15)</f>
        <v>113</v>
      </c>
      <c r="G15" s="67" t="str">
        <f t="shared" si="6"/>
        <v>2090*157.4</v>
      </c>
      <c r="H15" s="68" t="str">
        <f t="shared" si="7"/>
        <v>2092*159.4</v>
      </c>
      <c r="I15" s="50">
        <f>IF('쪽쟘(실측)'!F15&gt;0,'쪽쟘(실측)'!F15-3,0)+뒷날개치수더함</f>
        <v>15</v>
      </c>
      <c r="J15" s="50">
        <f>IF('쪽쟘(실측)'!H15&gt;0,'쪽쟘(실측)'!H15-3,0)+뒷날개치수더함</f>
        <v>17</v>
      </c>
      <c r="K15" s="50">
        <f>IF('쪽쟘(실측)'!F15&gt;0,'쪽쟘(실측)'!F15+0,0)+뒷날개치수더함</f>
        <v>18</v>
      </c>
      <c r="L15" s="50">
        <f>IF('쪽쟘(실측)'!G15&gt;0,'쪽쟘(실측)'!G15+0,0)+뒷날개치수더함</f>
        <v>18</v>
      </c>
      <c r="M15" s="50">
        <f>IF('쪽쟘(실측)'!H15&gt;0,'쪽쟘(실측)'!H15+0,0)+뒷날개치수더함</f>
        <v>20</v>
      </c>
      <c r="N15" s="50">
        <f>IF('쪽쟘(실측)'!I15&gt;0,'쪽쟘(실측)'!I15+0,0)+뒷날개치수더함</f>
        <v>20</v>
      </c>
      <c r="O15" s="50">
        <f>'쪽쟘(실측)'!J15-쪽쟘기둥차감</f>
        <v>2090</v>
      </c>
      <c r="P15" s="50">
        <f>'쪽쟘(실측)'!K15-쪽쟘기둥차감</f>
        <v>2090</v>
      </c>
      <c r="Q15" s="50">
        <f>'쪽쟘(실측)'!L15-쪽쟘기둥차감</f>
        <v>2092</v>
      </c>
      <c r="R15" s="50">
        <f>'쪽쟘(실측)'!M15-쪽쟘기둥차감</f>
        <v>2092</v>
      </c>
      <c r="S15" s="50">
        <f>'쪽쟘(실측)'!N15+뒷날개치수더함</f>
        <v>22</v>
      </c>
      <c r="T15" s="50">
        <f>'쪽쟘(실측)'!O15+뒷날개치수더함</f>
        <v>22</v>
      </c>
      <c r="U15" s="50">
        <f>'쪽쟘(실측)'!P15+뒷날개치수더함</f>
        <v>30</v>
      </c>
      <c r="V15" s="50">
        <f>'쪽쟘(실측)'!Q15+뒷날개치수더함</f>
        <v>30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20</v>
      </c>
      <c r="Z15" s="4">
        <f>'쪽쟘(실측)'!U15</f>
        <v>10</v>
      </c>
      <c r="AA15" s="4">
        <f>'쪽쟘(실측)'!V15</f>
        <v>20</v>
      </c>
      <c r="AC15">
        <f t="shared" si="8"/>
        <v>1030</v>
      </c>
      <c r="AD15">
        <f t="shared" si="9"/>
        <v>162.4</v>
      </c>
      <c r="AE15">
        <f t="shared" si="2"/>
        <v>157.4</v>
      </c>
      <c r="AF15">
        <f t="shared" si="10"/>
        <v>2090</v>
      </c>
      <c r="AG15">
        <f t="shared" si="4"/>
        <v>159.4</v>
      </c>
      <c r="AH15">
        <f t="shared" si="11"/>
        <v>2092</v>
      </c>
    </row>
    <row r="16" spans="1:34" ht="19.5" customHeight="1" x14ac:dyDescent="0.3">
      <c r="A16" s="50">
        <f>'쪽쟘(실측)'!A16</f>
        <v>524</v>
      </c>
      <c r="B16" s="50" t="str">
        <f>'쪽쟘(실측)'!B16&amp;"F"</f>
        <v>6F</v>
      </c>
      <c r="C16" s="50" t="str">
        <f t="shared" si="5"/>
        <v>1031*170.4</v>
      </c>
      <c r="D16" s="50">
        <f>'쪽쟘(실측)'!C16-쪽쟘OP차감</f>
        <v>997</v>
      </c>
      <c r="E16" s="50">
        <f>'쪽쟘(실측)'!D16+쪽쟘J늘림+MAX(W16:X16)</f>
        <v>114</v>
      </c>
      <c r="F16" s="50">
        <f>'쪽쟘(실측)'!E16+쪽쟘J늘림+MAX(W16:X16)</f>
        <v>113</v>
      </c>
      <c r="G16" s="67" t="str">
        <f t="shared" si="6"/>
        <v>2090*159.4</v>
      </c>
      <c r="H16" s="68" t="str">
        <f t="shared" si="7"/>
        <v>2090*159.4</v>
      </c>
      <c r="I16" s="50">
        <f>IF('쪽쟘(실측)'!F16&gt;0,'쪽쟘(실측)'!F16-3,0)+뒷날개치수더함</f>
        <v>17</v>
      </c>
      <c r="J16" s="50">
        <f>IF('쪽쟘(실측)'!H16&gt;0,'쪽쟘(실측)'!H16-3,0)+뒷날개치수더함</f>
        <v>17</v>
      </c>
      <c r="K16" s="50">
        <f>IF('쪽쟘(실측)'!F16&gt;0,'쪽쟘(실측)'!F16+0,0)+뒷날개치수더함</f>
        <v>20</v>
      </c>
      <c r="L16" s="50">
        <f>IF('쪽쟘(실측)'!G16&gt;0,'쪽쟘(실측)'!G16+0,0)+뒷날개치수더함</f>
        <v>20</v>
      </c>
      <c r="M16" s="50">
        <f>IF('쪽쟘(실측)'!H16&gt;0,'쪽쟘(실측)'!H16+0,0)+뒷날개치수더함</f>
        <v>20</v>
      </c>
      <c r="N16" s="50">
        <f>IF('쪽쟘(실측)'!I16&gt;0,'쪽쟘(실측)'!I16+0,0)+뒷날개치수더함</f>
        <v>20</v>
      </c>
      <c r="O16" s="50">
        <f>'쪽쟘(실측)'!J16-쪽쟘기둥차감</f>
        <v>2090</v>
      </c>
      <c r="P16" s="50">
        <f>'쪽쟘(실측)'!K16-쪽쟘기둥차감</f>
        <v>2090</v>
      </c>
      <c r="Q16" s="50">
        <f>'쪽쟘(실측)'!L16-쪽쟘기둥차감</f>
        <v>2090</v>
      </c>
      <c r="R16" s="50">
        <f>'쪽쟘(실측)'!M16-쪽쟘기둥차감</f>
        <v>2090</v>
      </c>
      <c r="S16" s="50">
        <f>'쪽쟘(실측)'!N16+뒷날개치수더함</f>
        <v>30</v>
      </c>
      <c r="T16" s="50">
        <f>'쪽쟘(실측)'!O16+뒷날개치수더함</f>
        <v>30</v>
      </c>
      <c r="U16" s="50">
        <f>'쪽쟘(실측)'!P16+뒷날개치수더함</f>
        <v>30</v>
      </c>
      <c r="V16" s="50">
        <f>'쪽쟘(실측)'!Q16+뒷날개치수더함</f>
        <v>30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20</v>
      </c>
      <c r="Z16" s="4">
        <f>'쪽쟘(실측)'!U16</f>
        <v>10</v>
      </c>
      <c r="AA16" s="4">
        <f>'쪽쟘(실측)'!V16</f>
        <v>20</v>
      </c>
      <c r="AC16">
        <f t="shared" si="8"/>
        <v>1031</v>
      </c>
      <c r="AD16">
        <f t="shared" si="9"/>
        <v>170.4</v>
      </c>
      <c r="AE16">
        <f t="shared" si="2"/>
        <v>159.4</v>
      </c>
      <c r="AF16">
        <f t="shared" si="10"/>
        <v>2090</v>
      </c>
      <c r="AG16">
        <f t="shared" si="4"/>
        <v>159.4</v>
      </c>
      <c r="AH16">
        <f t="shared" si="11"/>
        <v>2090</v>
      </c>
    </row>
    <row r="17" spans="1:34" ht="19.5" customHeight="1" x14ac:dyDescent="0.3">
      <c r="A17" s="50">
        <f>'쪽쟘(실측)'!A17</f>
        <v>524</v>
      </c>
      <c r="B17" s="50" t="str">
        <f>'쪽쟘(실측)'!B17&amp;"F"</f>
        <v>5F</v>
      </c>
      <c r="C17" s="50" t="str">
        <f t="shared" si="5"/>
        <v>1031*170.4</v>
      </c>
      <c r="D17" s="50">
        <f>'쪽쟘(실측)'!C17-쪽쟘OP차감</f>
        <v>997</v>
      </c>
      <c r="E17" s="50">
        <f>'쪽쟘(실측)'!D17+쪽쟘J늘림+MAX(W17:X17)</f>
        <v>114</v>
      </c>
      <c r="F17" s="50">
        <f>'쪽쟘(실측)'!E17+쪽쟘J늘림+MAX(W17:X17)</f>
        <v>113</v>
      </c>
      <c r="G17" s="67" t="str">
        <f t="shared" si="6"/>
        <v>2090*159.4</v>
      </c>
      <c r="H17" s="68" t="str">
        <f t="shared" si="7"/>
        <v>2090*159.4</v>
      </c>
      <c r="I17" s="50">
        <f>IF('쪽쟘(실측)'!F17&gt;0,'쪽쟘(실측)'!F17-3,0)+뒷날개치수더함</f>
        <v>17</v>
      </c>
      <c r="J17" s="50">
        <f>IF('쪽쟘(실측)'!H17&gt;0,'쪽쟘(실측)'!H17-3,0)+뒷날개치수더함</f>
        <v>17</v>
      </c>
      <c r="K17" s="50">
        <f>IF('쪽쟘(실측)'!F17&gt;0,'쪽쟘(실측)'!F17+0,0)+뒷날개치수더함</f>
        <v>20</v>
      </c>
      <c r="L17" s="50">
        <f>IF('쪽쟘(실측)'!G17&gt;0,'쪽쟘(실측)'!G17+0,0)+뒷날개치수더함</f>
        <v>20</v>
      </c>
      <c r="M17" s="50">
        <f>IF('쪽쟘(실측)'!H17&gt;0,'쪽쟘(실측)'!H17+0,0)+뒷날개치수더함</f>
        <v>20</v>
      </c>
      <c r="N17" s="50">
        <f>IF('쪽쟘(실측)'!I17&gt;0,'쪽쟘(실측)'!I17+0,0)+뒷날개치수더함</f>
        <v>20</v>
      </c>
      <c r="O17" s="50">
        <f>'쪽쟘(실측)'!J17-쪽쟘기둥차감</f>
        <v>2090</v>
      </c>
      <c r="P17" s="50">
        <f>'쪽쟘(실측)'!K17-쪽쟘기둥차감</f>
        <v>2087</v>
      </c>
      <c r="Q17" s="50">
        <f>'쪽쟘(실측)'!L17-쪽쟘기둥차감</f>
        <v>2090</v>
      </c>
      <c r="R17" s="50">
        <f>'쪽쟘(실측)'!M17-쪽쟘기둥차감</f>
        <v>2090</v>
      </c>
      <c r="S17" s="50">
        <f>'쪽쟘(실측)'!N17+뒷날개치수더함</f>
        <v>24</v>
      </c>
      <c r="T17" s="50">
        <f>'쪽쟘(실측)'!O17+뒷날개치수더함</f>
        <v>30</v>
      </c>
      <c r="U17" s="50">
        <f>'쪽쟘(실측)'!P17+뒷날개치수더함</f>
        <v>30</v>
      </c>
      <c r="V17" s="50">
        <f>'쪽쟘(실측)'!Q17+뒷날개치수더함</f>
        <v>30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20</v>
      </c>
      <c r="Z17" s="4">
        <f>'쪽쟘(실측)'!U17</f>
        <v>10</v>
      </c>
      <c r="AA17" s="4">
        <f>'쪽쟘(실측)'!V17</f>
        <v>20</v>
      </c>
      <c r="AC17">
        <f t="shared" si="8"/>
        <v>1031</v>
      </c>
      <c r="AD17">
        <f t="shared" si="9"/>
        <v>170.4</v>
      </c>
      <c r="AE17">
        <f t="shared" si="2"/>
        <v>159.4</v>
      </c>
      <c r="AF17">
        <f t="shared" si="10"/>
        <v>2090</v>
      </c>
      <c r="AG17">
        <f t="shared" si="4"/>
        <v>159.4</v>
      </c>
      <c r="AH17">
        <f t="shared" si="11"/>
        <v>2090</v>
      </c>
    </row>
    <row r="18" spans="1:34" ht="19.5" customHeight="1" x14ac:dyDescent="0.3">
      <c r="A18" s="50">
        <f>'쪽쟘(실측)'!A18</f>
        <v>524</v>
      </c>
      <c r="B18" s="50" t="str">
        <f>'쪽쟘(실측)'!B18&amp;"F"</f>
        <v>4F</v>
      </c>
      <c r="C18" s="50" t="str">
        <f t="shared" si="5"/>
        <v>1032*170.4</v>
      </c>
      <c r="D18" s="50">
        <f>'쪽쟘(실측)'!C18-쪽쟘OP차감</f>
        <v>997</v>
      </c>
      <c r="E18" s="50">
        <f>'쪽쟘(실측)'!D18+쪽쟘J늘림+MAX(W18:X18)</f>
        <v>114</v>
      </c>
      <c r="F18" s="50">
        <f>'쪽쟘(실측)'!E18+쪽쟘J늘림+MAX(W18:X18)</f>
        <v>113</v>
      </c>
      <c r="G18" s="67" t="str">
        <f t="shared" si="6"/>
        <v>2090*160.4</v>
      </c>
      <c r="H18" s="68" t="str">
        <f t="shared" si="7"/>
        <v>2089*159.4</v>
      </c>
      <c r="I18" s="50">
        <f>IF('쪽쟘(실측)'!F18&gt;0,'쪽쟘(실측)'!F18-3,0)+뒷날개치수더함</f>
        <v>18</v>
      </c>
      <c r="J18" s="50">
        <f>IF('쪽쟘(실측)'!H18&gt;0,'쪽쟘(실측)'!H18-3,0)+뒷날개치수더함</f>
        <v>17</v>
      </c>
      <c r="K18" s="50">
        <f>IF('쪽쟘(실측)'!F18&gt;0,'쪽쟘(실측)'!F18+0,0)+뒷날개치수더함</f>
        <v>21</v>
      </c>
      <c r="L18" s="50">
        <f>IF('쪽쟘(실측)'!G18&gt;0,'쪽쟘(실측)'!G18+0,0)+뒷날개치수더함</f>
        <v>21</v>
      </c>
      <c r="M18" s="50">
        <f>IF('쪽쟘(실측)'!H18&gt;0,'쪽쟘(실측)'!H18+0,0)+뒷날개치수더함</f>
        <v>20</v>
      </c>
      <c r="N18" s="50">
        <f>IF('쪽쟘(실측)'!I18&gt;0,'쪽쟘(실측)'!I18+0,0)+뒷날개치수더함</f>
        <v>20</v>
      </c>
      <c r="O18" s="50">
        <f>'쪽쟘(실측)'!J18-쪽쟘기둥차감</f>
        <v>2090</v>
      </c>
      <c r="P18" s="50">
        <f>'쪽쟘(실측)'!K18-쪽쟘기둥차감</f>
        <v>2088</v>
      </c>
      <c r="Q18" s="50">
        <f>'쪽쟘(실측)'!L18-쪽쟘기둥차감</f>
        <v>2089</v>
      </c>
      <c r="R18" s="50">
        <f>'쪽쟘(실측)'!M18-쪽쟘기둥차감</f>
        <v>2089</v>
      </c>
      <c r="S18" s="50">
        <f>'쪽쟘(실측)'!N18+뒷날개치수더함</f>
        <v>30</v>
      </c>
      <c r="T18" s="50">
        <f>'쪽쟘(실측)'!O18+뒷날개치수더함</f>
        <v>30</v>
      </c>
      <c r="U18" s="50">
        <f>'쪽쟘(실측)'!P18+뒷날개치수더함</f>
        <v>30</v>
      </c>
      <c r="V18" s="50">
        <f>'쪽쟘(실측)'!Q18+뒷날개치수더함</f>
        <v>30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20</v>
      </c>
      <c r="Z18" s="4">
        <f>'쪽쟘(실측)'!U18</f>
        <v>10</v>
      </c>
      <c r="AA18" s="4">
        <f>'쪽쟘(실측)'!V18</f>
        <v>20</v>
      </c>
      <c r="AC18">
        <f t="shared" si="8"/>
        <v>1032</v>
      </c>
      <c r="AD18">
        <f t="shared" si="9"/>
        <v>170.4</v>
      </c>
      <c r="AE18">
        <f t="shared" si="2"/>
        <v>160.4</v>
      </c>
      <c r="AF18">
        <f t="shared" si="10"/>
        <v>2090</v>
      </c>
      <c r="AG18">
        <f t="shared" si="4"/>
        <v>159.4</v>
      </c>
      <c r="AH18">
        <f t="shared" si="11"/>
        <v>2089</v>
      </c>
    </row>
    <row r="19" spans="1:34" ht="19.5" customHeight="1" x14ac:dyDescent="0.3">
      <c r="A19" s="50">
        <f>'쪽쟘(실측)'!A19</f>
        <v>524</v>
      </c>
      <c r="B19" s="50" t="str">
        <f>'쪽쟘(실측)'!B19&amp;"F"</f>
        <v>3F</v>
      </c>
      <c r="C19" s="50" t="str">
        <f t="shared" si="5"/>
        <v>1031*160.4</v>
      </c>
      <c r="D19" s="50">
        <f>'쪽쟘(실측)'!C19-쪽쟘OP차감</f>
        <v>997</v>
      </c>
      <c r="E19" s="50">
        <f>'쪽쟘(실측)'!D19+쪽쟘J늘림+MAX(W19:X19)</f>
        <v>114</v>
      </c>
      <c r="F19" s="50">
        <f>'쪽쟘(실측)'!E19+쪽쟘J늘림+MAX(W19:X19)</f>
        <v>113</v>
      </c>
      <c r="G19" s="67" t="str">
        <f t="shared" si="6"/>
        <v>2090*159.4</v>
      </c>
      <c r="H19" s="68" t="str">
        <f t="shared" si="7"/>
        <v>2090*162.4</v>
      </c>
      <c r="I19" s="50">
        <f>IF('쪽쟘(실측)'!F19&gt;0,'쪽쟘(실측)'!F19-3,0)+뒷날개치수더함</f>
        <v>17</v>
      </c>
      <c r="J19" s="50">
        <f>IF('쪽쟘(실측)'!H19&gt;0,'쪽쟘(실측)'!H19-3,0)+뒷날개치수더함</f>
        <v>17</v>
      </c>
      <c r="K19" s="50">
        <f>IF('쪽쟘(실측)'!F19&gt;0,'쪽쟘(실측)'!F19+0,0)+뒷날개치수더함</f>
        <v>20</v>
      </c>
      <c r="L19" s="50">
        <f>IF('쪽쟘(실측)'!G19&gt;0,'쪽쟘(실측)'!G19+0,0)+뒷날개치수더함</f>
        <v>20</v>
      </c>
      <c r="M19" s="50">
        <f>IF('쪽쟘(실측)'!H19&gt;0,'쪽쟘(실측)'!H19+0,0)+뒷날개치수더함</f>
        <v>20</v>
      </c>
      <c r="N19" s="50">
        <f>IF('쪽쟘(실측)'!I19&gt;0,'쪽쟘(실측)'!I19+0,0)+뒷날개치수더함</f>
        <v>23</v>
      </c>
      <c r="O19" s="50">
        <f>'쪽쟘(실측)'!J19-쪽쟘기둥차감</f>
        <v>2090</v>
      </c>
      <c r="P19" s="50">
        <f>'쪽쟘(실측)'!K19-쪽쟘기둥차감</f>
        <v>2090</v>
      </c>
      <c r="Q19" s="50">
        <f>'쪽쟘(실측)'!L19-쪽쟘기둥차감</f>
        <v>2090</v>
      </c>
      <c r="R19" s="50">
        <f>'쪽쟘(실측)'!M19-쪽쟘기둥차감</f>
        <v>2090</v>
      </c>
      <c r="S19" s="50">
        <f>'쪽쟘(실측)'!N19+뒷날개치수더함</f>
        <v>20</v>
      </c>
      <c r="T19" s="50">
        <f>'쪽쟘(실측)'!O19+뒷날개치수더함</f>
        <v>20</v>
      </c>
      <c r="U19" s="50">
        <f>'쪽쟘(실측)'!P19+뒷날개치수더함</f>
        <v>30</v>
      </c>
      <c r="V19" s="50">
        <f>'쪽쟘(실측)'!Q19+뒷날개치수더함</f>
        <v>30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20</v>
      </c>
      <c r="Z19" s="4">
        <f>'쪽쟘(실측)'!U19</f>
        <v>10</v>
      </c>
      <c r="AA19" s="4">
        <f>'쪽쟘(실측)'!V19</f>
        <v>20</v>
      </c>
      <c r="AC19">
        <f t="shared" si="8"/>
        <v>1031</v>
      </c>
      <c r="AD19">
        <f t="shared" si="9"/>
        <v>160.4</v>
      </c>
      <c r="AE19">
        <f t="shared" si="2"/>
        <v>159.4</v>
      </c>
      <c r="AF19">
        <f t="shared" si="10"/>
        <v>2090</v>
      </c>
      <c r="AG19">
        <f t="shared" si="4"/>
        <v>162.4</v>
      </c>
      <c r="AH19">
        <f t="shared" si="11"/>
        <v>2090</v>
      </c>
    </row>
    <row r="20" spans="1:34" ht="19.5" customHeight="1" x14ac:dyDescent="0.3">
      <c r="A20" s="50">
        <f>'쪽쟘(실측)'!A20</f>
        <v>524</v>
      </c>
      <c r="B20" s="50" t="str">
        <f>'쪽쟘(실측)'!B20&amp;"F"</f>
        <v>2F</v>
      </c>
      <c r="C20" s="50" t="str">
        <f t="shared" si="5"/>
        <v>1027*153.4</v>
      </c>
      <c r="D20" s="50">
        <f>'쪽쟘(실측)'!C20-쪽쟘OP차감</f>
        <v>996</v>
      </c>
      <c r="E20" s="50">
        <f>'쪽쟘(실측)'!D20+쪽쟘J늘림+MAX(W20:X20)</f>
        <v>114</v>
      </c>
      <c r="F20" s="50">
        <f>'쪽쟘(실측)'!E20+쪽쟘J늘림+MAX(W20:X20)</f>
        <v>113</v>
      </c>
      <c r="G20" s="67" t="str">
        <f t="shared" si="6"/>
        <v>2090*165.4</v>
      </c>
      <c r="H20" s="68" t="str">
        <f t="shared" si="7"/>
        <v>2090*159.4</v>
      </c>
      <c r="I20" s="50">
        <f>IF('쪽쟘(실측)'!F20&gt;0,'쪽쟘(실측)'!F20-3,0)+뒷날개치수더함</f>
        <v>17</v>
      </c>
      <c r="J20" s="50">
        <f>IF('쪽쟘(실측)'!H20&gt;0,'쪽쟘(실측)'!H20-3,0)+뒷날개치수더함</f>
        <v>14</v>
      </c>
      <c r="K20" s="50">
        <f>IF('쪽쟘(실측)'!F20&gt;0,'쪽쟘(실측)'!F20+0,0)+뒷날개치수더함</f>
        <v>20</v>
      </c>
      <c r="L20" s="50">
        <f>IF('쪽쟘(실측)'!G20&gt;0,'쪽쟘(실측)'!G20+0,0)+뒷날개치수더함</f>
        <v>26</v>
      </c>
      <c r="M20" s="50">
        <f>IF('쪽쟘(실측)'!H20&gt;0,'쪽쟘(실측)'!H20+0,0)+뒷날개치수더함</f>
        <v>17</v>
      </c>
      <c r="N20" s="50">
        <f>IF('쪽쟘(실측)'!I20&gt;0,'쪽쟘(실측)'!I20+0,0)+뒷날개치수더함</f>
        <v>20</v>
      </c>
      <c r="O20" s="50">
        <f>'쪽쟘(실측)'!J20-쪽쟘기둥차감</f>
        <v>2090</v>
      </c>
      <c r="P20" s="50">
        <f>'쪽쟘(실측)'!K20-쪽쟘기둥차감</f>
        <v>2090</v>
      </c>
      <c r="Q20" s="50">
        <f>'쪽쟘(실측)'!L20-쪽쟘기둥차감</f>
        <v>2090</v>
      </c>
      <c r="R20" s="50">
        <f>'쪽쟘(실측)'!M20-쪽쟘기둥차감</f>
        <v>2090</v>
      </c>
      <c r="S20" s="50">
        <f>'쪽쟘(실측)'!N20+뒷날개치수더함</f>
        <v>13</v>
      </c>
      <c r="T20" s="50">
        <f>'쪽쟘(실측)'!O20+뒷날개치수더함</f>
        <v>13</v>
      </c>
      <c r="U20" s="50">
        <f>'쪽쟘(실측)'!P20+뒷날개치수더함</f>
        <v>30</v>
      </c>
      <c r="V20" s="50">
        <f>'쪽쟘(실측)'!Q20+뒷날개치수더함</f>
        <v>30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20</v>
      </c>
      <c r="Z20" s="4">
        <f>'쪽쟘(실측)'!U20</f>
        <v>10</v>
      </c>
      <c r="AA20" s="4">
        <f>'쪽쟘(실측)'!V20</f>
        <v>20</v>
      </c>
      <c r="AC20">
        <f t="shared" si="8"/>
        <v>1027</v>
      </c>
      <c r="AD20">
        <f t="shared" si="9"/>
        <v>153.4</v>
      </c>
      <c r="AE20">
        <f t="shared" si="2"/>
        <v>165.4</v>
      </c>
      <c r="AF20">
        <f t="shared" si="10"/>
        <v>2090</v>
      </c>
      <c r="AG20">
        <f t="shared" si="4"/>
        <v>159.4</v>
      </c>
      <c r="AH20">
        <f t="shared" si="11"/>
        <v>2090</v>
      </c>
    </row>
    <row r="21" spans="1:34" ht="19.5" customHeight="1" x14ac:dyDescent="0.3">
      <c r="A21" s="50">
        <f>'쪽쟘(실측)'!A21</f>
        <v>525</v>
      </c>
      <c r="B21" s="50" t="str">
        <f>'쪽쟘(실측)'!B21&amp;"F"</f>
        <v>20F</v>
      </c>
      <c r="C21" s="50" t="str">
        <f t="shared" si="5"/>
        <v>939*160.4</v>
      </c>
      <c r="D21" s="50">
        <f>'쪽쟘(실측)'!C21-쪽쟘OP차감</f>
        <v>897</v>
      </c>
      <c r="E21" s="50">
        <f>'쪽쟘(실측)'!D21+쪽쟘J늘림+MAX(W21:X21)</f>
        <v>109</v>
      </c>
      <c r="F21" s="50">
        <f>'쪽쟘(실측)'!E21+쪽쟘J늘림+MAX(W21:X21)</f>
        <v>108</v>
      </c>
      <c r="G21" s="67" t="str">
        <f t="shared" si="6"/>
        <v>2093*162.4</v>
      </c>
      <c r="H21" s="68" t="str">
        <f t="shared" si="7"/>
        <v>2097*159.4</v>
      </c>
      <c r="I21" s="50">
        <f>IF('쪽쟘(실측)'!F21&gt;0,'쪽쟘(실측)'!F21-3,0)+뒷날개치수더함</f>
        <v>25</v>
      </c>
      <c r="J21" s="50">
        <f>IF('쪽쟘(실측)'!H21&gt;0,'쪽쟘(실측)'!H21-3,0)+뒷날개치수더함</f>
        <v>17</v>
      </c>
      <c r="K21" s="50">
        <f>IF('쪽쟘(실측)'!F21&gt;0,'쪽쟘(실측)'!F21+0,0)+뒷날개치수더함</f>
        <v>28</v>
      </c>
      <c r="L21" s="50">
        <f>IF('쪽쟘(실측)'!G21&gt;0,'쪽쟘(실측)'!G21+0,0)+뒷날개치수더함</f>
        <v>28</v>
      </c>
      <c r="M21" s="50">
        <f>IF('쪽쟘(실측)'!H21&gt;0,'쪽쟘(실측)'!H21+0,0)+뒷날개치수더함</f>
        <v>20</v>
      </c>
      <c r="N21" s="50">
        <f>IF('쪽쟘(실측)'!I21&gt;0,'쪽쟘(실측)'!I21+0,0)+뒷날개치수더함</f>
        <v>25</v>
      </c>
      <c r="O21" s="50">
        <f>'쪽쟘(실측)'!J21-쪽쟘기둥차감</f>
        <v>2093</v>
      </c>
      <c r="P21" s="50">
        <f>'쪽쟘(실측)'!K21-쪽쟘기둥차감</f>
        <v>2090</v>
      </c>
      <c r="Q21" s="50">
        <f>'쪽쟘(실측)'!L21-쪽쟘기둥차감</f>
        <v>2097</v>
      </c>
      <c r="R21" s="50">
        <f>'쪽쟘(실측)'!M21-쪽쟘기둥차감</f>
        <v>2090</v>
      </c>
      <c r="S21" s="50">
        <f>'쪽쟘(실측)'!N21+뒷날개치수더함</f>
        <v>20</v>
      </c>
      <c r="T21" s="50">
        <f>'쪽쟘(실측)'!O21+뒷날개치수더함</f>
        <v>25</v>
      </c>
      <c r="U21" s="50">
        <f>'쪽쟘(실측)'!P21+뒷날개치수더함</f>
        <v>30</v>
      </c>
      <c r="V21" s="50">
        <f>'쪽쟘(실측)'!Q21+뒷날개치수더함</f>
        <v>30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20</v>
      </c>
      <c r="Z21" s="4">
        <f>'쪽쟘(실측)'!U21</f>
        <v>10</v>
      </c>
      <c r="AA21" s="4">
        <f>'쪽쟘(실측)'!V21</f>
        <v>20</v>
      </c>
      <c r="AC21">
        <f t="shared" si="8"/>
        <v>939</v>
      </c>
      <c r="AD21">
        <f t="shared" si="9"/>
        <v>160.4</v>
      </c>
      <c r="AE21">
        <f t="shared" si="2"/>
        <v>162.4</v>
      </c>
      <c r="AF21">
        <f t="shared" si="10"/>
        <v>2093</v>
      </c>
      <c r="AG21">
        <f t="shared" si="4"/>
        <v>159.4</v>
      </c>
      <c r="AH21">
        <f t="shared" si="11"/>
        <v>2097</v>
      </c>
    </row>
    <row r="22" spans="1:34" ht="19.5" customHeight="1" x14ac:dyDescent="0.3">
      <c r="A22" s="50">
        <f>'쪽쟘(실측)'!A22</f>
        <v>525</v>
      </c>
      <c r="B22" s="50" t="str">
        <f>'쪽쟘(실측)'!B22&amp;"F"</f>
        <v>19F</v>
      </c>
      <c r="C22" s="50" t="str">
        <f t="shared" si="5"/>
        <v>941*155.4</v>
      </c>
      <c r="D22" s="50">
        <f>'쪽쟘(실측)'!C22-쪽쟘OP차감</f>
        <v>897</v>
      </c>
      <c r="E22" s="50">
        <f>'쪽쟘(실측)'!D22+쪽쟘J늘림+MAX(W22:X22)</f>
        <v>109</v>
      </c>
      <c r="F22" s="50">
        <f>'쪽쟘(실측)'!E22+쪽쟘J늘림+MAX(W22:X22)</f>
        <v>108</v>
      </c>
      <c r="G22" s="67" t="str">
        <f t="shared" si="6"/>
        <v>2095*164.4</v>
      </c>
      <c r="H22" s="68" t="str">
        <f t="shared" si="7"/>
        <v>2092*161.4</v>
      </c>
      <c r="I22" s="50">
        <f>IF('쪽쟘(실측)'!F22&gt;0,'쪽쟘(실측)'!F22-3,0)+뒷날개치수더함</f>
        <v>27</v>
      </c>
      <c r="J22" s="50">
        <f>IF('쪽쟘(실측)'!H22&gt;0,'쪽쟘(실측)'!H22-3,0)+뒷날개치수더함</f>
        <v>17</v>
      </c>
      <c r="K22" s="50">
        <f>IF('쪽쟘(실측)'!F22&gt;0,'쪽쟘(실측)'!F22+0,0)+뒷날개치수더함</f>
        <v>30</v>
      </c>
      <c r="L22" s="50">
        <f>IF('쪽쟘(실측)'!G22&gt;0,'쪽쟘(실측)'!G22+0,0)+뒷날개치수더함</f>
        <v>30</v>
      </c>
      <c r="M22" s="50">
        <f>IF('쪽쟘(실측)'!H22&gt;0,'쪽쟘(실측)'!H22+0,0)+뒷날개치수더함</f>
        <v>20</v>
      </c>
      <c r="N22" s="50">
        <f>IF('쪽쟘(실측)'!I22&gt;0,'쪽쟘(실측)'!I22+0,0)+뒷날개치수더함</f>
        <v>27</v>
      </c>
      <c r="O22" s="50">
        <f>'쪽쟘(실측)'!J22-쪽쟘기둥차감</f>
        <v>2095</v>
      </c>
      <c r="P22" s="50">
        <f>'쪽쟘(실측)'!K22-쪽쟘기둥차감</f>
        <v>2090</v>
      </c>
      <c r="Q22" s="50">
        <f>'쪽쟘(실측)'!L22-쪽쟘기둥차감</f>
        <v>2092</v>
      </c>
      <c r="R22" s="50">
        <f>'쪽쟘(실측)'!M22-쪽쟘기둥차감</f>
        <v>2092</v>
      </c>
      <c r="S22" s="50">
        <f>'쪽쟘(실측)'!N22+뒷날개치수더함</f>
        <v>17</v>
      </c>
      <c r="T22" s="50">
        <f>'쪽쟘(실측)'!O22+뒷날개치수더함</f>
        <v>20</v>
      </c>
      <c r="U22" s="50">
        <f>'쪽쟘(실측)'!P22+뒷날개치수더함</f>
        <v>30</v>
      </c>
      <c r="V22" s="50">
        <f>'쪽쟘(실측)'!Q22+뒷날개치수더함</f>
        <v>30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20</v>
      </c>
      <c r="Z22" s="4">
        <f>'쪽쟘(실측)'!U22</f>
        <v>10</v>
      </c>
      <c r="AA22" s="4">
        <f>'쪽쟘(실측)'!V22</f>
        <v>20</v>
      </c>
      <c r="AC22">
        <f t="shared" si="8"/>
        <v>941</v>
      </c>
      <c r="AD22">
        <f t="shared" si="9"/>
        <v>155.4</v>
      </c>
      <c r="AE22">
        <f t="shared" si="2"/>
        <v>164.4</v>
      </c>
      <c r="AF22">
        <f t="shared" si="10"/>
        <v>2095</v>
      </c>
      <c r="AG22">
        <f t="shared" si="4"/>
        <v>161.4</v>
      </c>
      <c r="AH22">
        <f t="shared" si="11"/>
        <v>2092</v>
      </c>
    </row>
    <row r="23" spans="1:34" ht="19.5" customHeight="1" x14ac:dyDescent="0.3">
      <c r="A23" s="50">
        <f>'쪽쟘(실측)'!A23</f>
        <v>525</v>
      </c>
      <c r="B23" s="50" t="str">
        <f>'쪽쟘(실측)'!B23&amp;"F"</f>
        <v>18F</v>
      </c>
      <c r="C23" s="50" t="str">
        <f t="shared" si="5"/>
        <v>941*156.4</v>
      </c>
      <c r="D23" s="50">
        <f>'쪽쟘(실측)'!C23-쪽쟘OP차감</f>
        <v>898</v>
      </c>
      <c r="E23" s="50">
        <f>'쪽쟘(실측)'!D23+쪽쟘J늘림+MAX(W23:X23)</f>
        <v>109</v>
      </c>
      <c r="F23" s="50">
        <f>'쪽쟘(실측)'!E23+쪽쟘J늘림+MAX(W23:X23)</f>
        <v>108</v>
      </c>
      <c r="G23" s="67" t="str">
        <f t="shared" si="6"/>
        <v>2095*163.4</v>
      </c>
      <c r="H23" s="68" t="str">
        <f t="shared" si="7"/>
        <v>2095*161.4</v>
      </c>
      <c r="I23" s="50">
        <f>IF('쪽쟘(실측)'!F23&gt;0,'쪽쟘(실측)'!F23-3,0)+뒷날개치수더함</f>
        <v>26</v>
      </c>
      <c r="J23" s="50">
        <f>IF('쪽쟘(실측)'!H23&gt;0,'쪽쟘(실측)'!H23-3,0)+뒷날개치수더함</f>
        <v>17</v>
      </c>
      <c r="K23" s="50">
        <f>IF('쪽쟘(실측)'!F23&gt;0,'쪽쟘(실측)'!F23+0,0)+뒷날개치수더함</f>
        <v>29</v>
      </c>
      <c r="L23" s="50">
        <f>IF('쪽쟘(실측)'!G23&gt;0,'쪽쟘(실측)'!G23+0,0)+뒷날개치수더함</f>
        <v>29</v>
      </c>
      <c r="M23" s="50">
        <f>IF('쪽쟘(실측)'!H23&gt;0,'쪽쟘(실측)'!H23+0,0)+뒷날개치수더함</f>
        <v>20</v>
      </c>
      <c r="N23" s="50">
        <f>IF('쪽쟘(실측)'!I23&gt;0,'쪽쟘(실측)'!I23+0,0)+뒷날개치수더함</f>
        <v>27</v>
      </c>
      <c r="O23" s="50">
        <f>'쪽쟘(실측)'!J23-쪽쟘기둥차감</f>
        <v>2095</v>
      </c>
      <c r="P23" s="50">
        <f>'쪽쟘(실측)'!K23-쪽쟘기둥차감</f>
        <v>2090</v>
      </c>
      <c r="Q23" s="50">
        <f>'쪽쟘(실측)'!L23-쪽쟘기둥차감</f>
        <v>2095</v>
      </c>
      <c r="R23" s="50">
        <f>'쪽쟘(실측)'!M23-쪽쟘기둥차감</f>
        <v>2092</v>
      </c>
      <c r="S23" s="50">
        <f>'쪽쟘(실측)'!N23+뒷날개치수더함</f>
        <v>21</v>
      </c>
      <c r="T23" s="50">
        <f>'쪽쟘(실측)'!O23+뒷날개치수더함</f>
        <v>21</v>
      </c>
      <c r="U23" s="50">
        <f>'쪽쟘(실측)'!P23+뒷날개치수더함</f>
        <v>30</v>
      </c>
      <c r="V23" s="50">
        <f>'쪽쟘(실측)'!Q23+뒷날개치수더함</f>
        <v>30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20</v>
      </c>
      <c r="Z23" s="4">
        <f>'쪽쟘(실측)'!U23</f>
        <v>10</v>
      </c>
      <c r="AA23" s="4">
        <f>'쪽쟘(실측)'!V23</f>
        <v>20</v>
      </c>
      <c r="AC23">
        <f t="shared" si="8"/>
        <v>941</v>
      </c>
      <c r="AD23">
        <f t="shared" si="9"/>
        <v>156.4</v>
      </c>
      <c r="AE23">
        <f t="shared" si="2"/>
        <v>163.4</v>
      </c>
      <c r="AF23">
        <f t="shared" si="10"/>
        <v>2095</v>
      </c>
      <c r="AG23">
        <f t="shared" si="4"/>
        <v>161.4</v>
      </c>
      <c r="AH23">
        <f t="shared" si="11"/>
        <v>2095</v>
      </c>
    </row>
    <row r="24" spans="1:34" ht="19.5" customHeight="1" x14ac:dyDescent="0.3">
      <c r="A24" s="50">
        <f>'쪽쟘(실측)'!A24</f>
        <v>525</v>
      </c>
      <c r="B24" s="50" t="str">
        <f>'쪽쟘(실측)'!B24&amp;"F"</f>
        <v>17F</v>
      </c>
      <c r="C24" s="50" t="str">
        <f t="shared" si="5"/>
        <v>945*161.4</v>
      </c>
      <c r="D24" s="50">
        <f>'쪽쟘(실측)'!C24-쪽쟘OP차감</f>
        <v>899</v>
      </c>
      <c r="E24" s="50">
        <f>'쪽쟘(실측)'!D24+쪽쟘J늘림+MAX(W24:X24)</f>
        <v>109</v>
      </c>
      <c r="F24" s="50">
        <f>'쪽쟘(실측)'!E24+쪽쟘J늘림+MAX(W24:X24)</f>
        <v>108</v>
      </c>
      <c r="G24" s="67" t="str">
        <f t="shared" si="6"/>
        <v>2092*164.4</v>
      </c>
      <c r="H24" s="68" t="str">
        <f t="shared" si="7"/>
        <v>2092*161.4</v>
      </c>
      <c r="I24" s="50">
        <f>IF('쪽쟘(실측)'!F24&gt;0,'쪽쟘(실측)'!F24-3,0)+뒷날개치수더함</f>
        <v>27</v>
      </c>
      <c r="J24" s="50">
        <f>IF('쪽쟘(실측)'!H24&gt;0,'쪽쟘(실측)'!H24-3,0)+뒷날개치수더함</f>
        <v>19</v>
      </c>
      <c r="K24" s="50">
        <f>IF('쪽쟘(실측)'!F24&gt;0,'쪽쟘(실측)'!F24+0,0)+뒷날개치수더함</f>
        <v>30</v>
      </c>
      <c r="L24" s="50">
        <f>IF('쪽쟘(실측)'!G24&gt;0,'쪽쟘(실측)'!G24+0,0)+뒷날개치수더함</f>
        <v>26</v>
      </c>
      <c r="M24" s="50">
        <f>IF('쪽쟘(실측)'!H24&gt;0,'쪽쟘(실측)'!H24+0,0)+뒷날개치수더함</f>
        <v>22</v>
      </c>
      <c r="N24" s="50">
        <f>IF('쪽쟘(실측)'!I24&gt;0,'쪽쟘(실측)'!I24+0,0)+뒷날개치수더함</f>
        <v>27</v>
      </c>
      <c r="O24" s="50">
        <f>'쪽쟘(실측)'!J24-쪽쟘기둥차감</f>
        <v>2092</v>
      </c>
      <c r="P24" s="50">
        <f>'쪽쟘(실측)'!K24-쪽쟘기둥차감</f>
        <v>2092</v>
      </c>
      <c r="Q24" s="50">
        <f>'쪽쟘(실측)'!L24-쪽쟘기둥차감</f>
        <v>2092</v>
      </c>
      <c r="R24" s="50">
        <f>'쪽쟘(실측)'!M24-쪽쟘기둥차감</f>
        <v>2092</v>
      </c>
      <c r="S24" s="50">
        <f>'쪽쟘(실측)'!N24+뒷날개치수더함</f>
        <v>21</v>
      </c>
      <c r="T24" s="50">
        <f>'쪽쟘(실측)'!O24+뒷날개치수더함</f>
        <v>26</v>
      </c>
      <c r="U24" s="50">
        <f>'쪽쟘(실측)'!P24+뒷날개치수더함</f>
        <v>30</v>
      </c>
      <c r="V24" s="50">
        <f>'쪽쟘(실측)'!Q24+뒷날개치수더함</f>
        <v>30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20</v>
      </c>
      <c r="Z24" s="4">
        <f>'쪽쟘(실측)'!U24</f>
        <v>10</v>
      </c>
      <c r="AA24" s="4">
        <f>'쪽쟘(실측)'!V24</f>
        <v>20</v>
      </c>
      <c r="AC24">
        <f t="shared" si="8"/>
        <v>945</v>
      </c>
      <c r="AD24">
        <f t="shared" si="9"/>
        <v>161.4</v>
      </c>
      <c r="AE24">
        <f t="shared" si="2"/>
        <v>164.4</v>
      </c>
      <c r="AF24">
        <f t="shared" si="10"/>
        <v>2092</v>
      </c>
      <c r="AG24">
        <f t="shared" si="4"/>
        <v>161.4</v>
      </c>
      <c r="AH24">
        <f t="shared" si="11"/>
        <v>2092</v>
      </c>
    </row>
    <row r="25" spans="1:34" ht="19.5" customHeight="1" x14ac:dyDescent="0.3">
      <c r="A25" s="50">
        <f>'쪽쟘(실측)'!A25</f>
        <v>525</v>
      </c>
      <c r="B25" s="50" t="str">
        <f>'쪽쟘(실측)'!B25&amp;"F"</f>
        <v>16F</v>
      </c>
      <c r="C25" s="50" t="str">
        <f t="shared" si="5"/>
        <v>944*162.4</v>
      </c>
      <c r="D25" s="50">
        <f>'쪽쟘(실측)'!C25-쪽쟘OP차감</f>
        <v>898</v>
      </c>
      <c r="E25" s="50">
        <f>'쪽쟘(실측)'!D25+쪽쟘J늘림+MAX(W25:X25)</f>
        <v>109</v>
      </c>
      <c r="F25" s="50">
        <f>'쪽쟘(실측)'!E25+쪽쟘J늘림+MAX(W25:X25)</f>
        <v>108</v>
      </c>
      <c r="G25" s="67" t="str">
        <f t="shared" si="6"/>
        <v>2090*160.4</v>
      </c>
      <c r="H25" s="68" t="str">
        <f t="shared" si="7"/>
        <v>2087*160.4</v>
      </c>
      <c r="I25" s="50">
        <f>IF('쪽쟘(실측)'!F25&gt;0,'쪽쟘(실측)'!F25-3,0)+뒷날개치수더함</f>
        <v>23</v>
      </c>
      <c r="J25" s="50">
        <f>IF('쪽쟘(실측)'!H25&gt;0,'쪽쟘(실측)'!H25-3,0)+뒷날개치수더함</f>
        <v>23</v>
      </c>
      <c r="K25" s="50">
        <f>IF('쪽쟘(실측)'!F25&gt;0,'쪽쟘(실측)'!F25+0,0)+뒷날개치수더함</f>
        <v>26</v>
      </c>
      <c r="L25" s="50">
        <f>IF('쪽쟘(실측)'!G25&gt;0,'쪽쟘(실측)'!G25+0,0)+뒷날개치수더함</f>
        <v>26</v>
      </c>
      <c r="M25" s="50">
        <f>IF('쪽쟘(실측)'!H25&gt;0,'쪽쟘(실측)'!H25+0,0)+뒷날개치수더함</f>
        <v>26</v>
      </c>
      <c r="N25" s="50">
        <f>IF('쪽쟘(실측)'!I25&gt;0,'쪽쟘(실측)'!I25+0,0)+뒷날개치수더함</f>
        <v>26</v>
      </c>
      <c r="O25" s="50">
        <f>'쪽쟘(실측)'!J25-쪽쟘기둥차감</f>
        <v>2090</v>
      </c>
      <c r="P25" s="50">
        <f>'쪽쟘(실측)'!K25-쪽쟘기둥차감</f>
        <v>2090</v>
      </c>
      <c r="Q25" s="50">
        <f>'쪽쟘(실측)'!L25-쪽쟘기둥차감</f>
        <v>2087</v>
      </c>
      <c r="R25" s="50">
        <f>'쪽쟘(실측)'!M25-쪽쟘기둥차감</f>
        <v>2087</v>
      </c>
      <c r="S25" s="50">
        <f>'쪽쟘(실측)'!N25+뒷날개치수더함</f>
        <v>27</v>
      </c>
      <c r="T25" s="50">
        <f>'쪽쟘(실측)'!O25+뒷날개치수더함</f>
        <v>27</v>
      </c>
      <c r="U25" s="50">
        <f>'쪽쟘(실측)'!P25+뒷날개치수더함</f>
        <v>30</v>
      </c>
      <c r="V25" s="50">
        <f>'쪽쟘(실측)'!Q25+뒷날개치수더함</f>
        <v>30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20</v>
      </c>
      <c r="Z25" s="4">
        <f>'쪽쟘(실측)'!U25</f>
        <v>10</v>
      </c>
      <c r="AA25" s="4">
        <f>'쪽쟘(실측)'!V25</f>
        <v>20</v>
      </c>
      <c r="AC25">
        <f t="shared" si="8"/>
        <v>944</v>
      </c>
      <c r="AD25">
        <f t="shared" si="9"/>
        <v>162.4</v>
      </c>
      <c r="AE25">
        <f t="shared" si="2"/>
        <v>160.4</v>
      </c>
      <c r="AF25">
        <f t="shared" si="10"/>
        <v>2090</v>
      </c>
      <c r="AG25">
        <f t="shared" si="4"/>
        <v>160.4</v>
      </c>
      <c r="AH25">
        <f t="shared" si="11"/>
        <v>2087</v>
      </c>
    </row>
    <row r="26" spans="1:34" ht="19.5" customHeight="1" x14ac:dyDescent="0.3">
      <c r="A26" s="50">
        <f>'쪽쟘(실측)'!A26</f>
        <v>525</v>
      </c>
      <c r="B26" s="50" t="str">
        <f>'쪽쟘(실측)'!B26&amp;"F"</f>
        <v>15F</v>
      </c>
      <c r="C26" s="50" t="str">
        <f t="shared" ref="C26:C34" si="12">AC26&amp;"*"&amp;AD26</f>
        <v>946*163.4</v>
      </c>
      <c r="D26" s="50">
        <f>'쪽쟘(실측)'!C26-쪽쟘OP차감</f>
        <v>898</v>
      </c>
      <c r="E26" s="50">
        <f>'쪽쟘(실측)'!D26+쪽쟘J늘림+MAX(W26:X26)</f>
        <v>109</v>
      </c>
      <c r="F26" s="50">
        <f>'쪽쟘(실측)'!E26+쪽쟘J늘림+MAX(W26:X26)</f>
        <v>108</v>
      </c>
      <c r="G26" s="67" t="str">
        <f t="shared" ref="G26:G34" si="13">AF26&amp;"*"&amp;AE26</f>
        <v>2085*162.4</v>
      </c>
      <c r="H26" s="68" t="str">
        <f t="shared" ref="H26:H34" si="14">AH26&amp;"*"&amp;AG26</f>
        <v>2093*160.4</v>
      </c>
      <c r="I26" s="50">
        <f>IF('쪽쟘(실측)'!F26&gt;0,'쪽쟘(실측)'!F26-3,0)+뒷날개치수더함</f>
        <v>25</v>
      </c>
      <c r="J26" s="50">
        <f>IF('쪽쟘(실측)'!H26&gt;0,'쪽쟘(실측)'!H26-3,0)+뒷날개치수더함</f>
        <v>23</v>
      </c>
      <c r="K26" s="50">
        <f>IF('쪽쟘(실측)'!F26&gt;0,'쪽쟘(실측)'!F26+0,0)+뒷날개치수더함</f>
        <v>28</v>
      </c>
      <c r="L26" s="50">
        <f>IF('쪽쟘(실측)'!G26&gt;0,'쪽쟘(실측)'!G26+0,0)+뒷날개치수더함</f>
        <v>20</v>
      </c>
      <c r="M26" s="50">
        <f>IF('쪽쟘(실측)'!H26&gt;0,'쪽쟘(실측)'!H26+0,0)+뒷날개치수더함</f>
        <v>26</v>
      </c>
      <c r="N26" s="50">
        <f>IF('쪽쟘(실측)'!I26&gt;0,'쪽쟘(실측)'!I26+0,0)+뒷날개치수더함</f>
        <v>26</v>
      </c>
      <c r="O26" s="50">
        <f>'쪽쟘(실측)'!J26-쪽쟘기둥차감</f>
        <v>2085</v>
      </c>
      <c r="P26" s="50">
        <f>'쪽쟘(실측)'!K26-쪽쟘기둥차감</f>
        <v>2085</v>
      </c>
      <c r="Q26" s="50">
        <f>'쪽쟘(실측)'!L26-쪽쟘기둥차감</f>
        <v>2093</v>
      </c>
      <c r="R26" s="50">
        <f>'쪽쟘(실측)'!M26-쪽쟘기둥차감</f>
        <v>2093</v>
      </c>
      <c r="S26" s="50">
        <f>'쪽쟘(실측)'!N26+뒷날개치수더함</f>
        <v>28</v>
      </c>
      <c r="T26" s="50">
        <f>'쪽쟘(실측)'!O26+뒷날개치수더함</f>
        <v>28</v>
      </c>
      <c r="U26" s="50">
        <f>'쪽쟘(실측)'!P26+뒷날개치수더함</f>
        <v>30</v>
      </c>
      <c r="V26" s="50">
        <f>'쪽쟘(실측)'!Q26+뒷날개치수더함</f>
        <v>30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20</v>
      </c>
      <c r="Z26" s="4">
        <f>'쪽쟘(실측)'!U26</f>
        <v>10</v>
      </c>
      <c r="AA26" s="4">
        <f>'쪽쟘(실측)'!V26</f>
        <v>20</v>
      </c>
      <c r="AC26">
        <f t="shared" ref="AC26:AC34" si="15">D26+I26+J26</f>
        <v>946</v>
      </c>
      <c r="AD26">
        <f t="shared" ref="AD26:AD34" si="16">U26+E26+MAX(S26,T26)-쪽쟘소재t*3+IF(S26=0,S26*쪽쟘소재t,0)</f>
        <v>163.4</v>
      </c>
      <c r="AE26">
        <f t="shared" ref="AE26:AE34" si="17">MAX(K26,L26)+F26+V26-쪽쟘소재t*3+IF(K26=0,쪽쟘소재t)-IF(AA26=90,2.4,0)</f>
        <v>162.4</v>
      </c>
      <c r="AF26">
        <f t="shared" ref="AF26:AF34" si="18">MAX(O26,P26)</f>
        <v>2085</v>
      </c>
      <c r="AG26">
        <f t="shared" ref="AG26:AG34" si="19">MAX(M26,N26)+F26+V26-쪽쟘소재t*3+IF(M26=0,쪽쟘소재t)-IF(AA26=90,2.4,0)</f>
        <v>160.4</v>
      </c>
      <c r="AH26">
        <f t="shared" ref="AH26:AH34" si="20">MAX(Q26,R26)</f>
        <v>2093</v>
      </c>
    </row>
    <row r="27" spans="1:34" ht="19.5" customHeight="1" x14ac:dyDescent="0.3">
      <c r="A27" s="50">
        <f>'쪽쟘(실측)'!A27</f>
        <v>525</v>
      </c>
      <c r="B27" s="50" t="str">
        <f>'쪽쟘(실측)'!B27&amp;"F"</f>
        <v>14F</v>
      </c>
      <c r="C27" s="50" t="str">
        <f t="shared" si="12"/>
        <v>949*154.4</v>
      </c>
      <c r="D27" s="50">
        <f>'쪽쟘(실측)'!C27-쪽쟘OP차감</f>
        <v>899</v>
      </c>
      <c r="E27" s="50">
        <f>'쪽쟘(실측)'!D27+쪽쟘J늘림+MAX(W27:X27)</f>
        <v>109</v>
      </c>
      <c r="F27" s="50">
        <f>'쪽쟘(실측)'!E27+쪽쟘J늘림+MAX(W27:X27)</f>
        <v>108</v>
      </c>
      <c r="G27" s="67" t="str">
        <f t="shared" si="13"/>
        <v>2090*162.4</v>
      </c>
      <c r="H27" s="68" t="str">
        <f t="shared" si="14"/>
        <v>2090*162.4</v>
      </c>
      <c r="I27" s="50">
        <f>IF('쪽쟘(실측)'!F27&gt;0,'쪽쟘(실측)'!F27-3,0)+뒷날개치수더함</f>
        <v>25</v>
      </c>
      <c r="J27" s="50">
        <f>IF('쪽쟘(실측)'!H27&gt;0,'쪽쟘(실측)'!H27-3,0)+뒷날개치수더함</f>
        <v>25</v>
      </c>
      <c r="K27" s="50">
        <f>IF('쪽쟘(실측)'!F27&gt;0,'쪽쟘(실측)'!F27+0,0)+뒷날개치수더함</f>
        <v>28</v>
      </c>
      <c r="L27" s="50">
        <f>IF('쪽쟘(실측)'!G27&gt;0,'쪽쟘(실측)'!G27+0,0)+뒷날개치수더함</f>
        <v>28</v>
      </c>
      <c r="M27" s="50">
        <f>IF('쪽쟘(실측)'!H27&gt;0,'쪽쟘(실측)'!H27+0,0)+뒷날개치수더함</f>
        <v>28</v>
      </c>
      <c r="N27" s="50">
        <f>IF('쪽쟘(실측)'!I27&gt;0,'쪽쟘(실측)'!I27+0,0)+뒷날개치수더함</f>
        <v>28</v>
      </c>
      <c r="O27" s="50">
        <f>'쪽쟘(실측)'!J27-쪽쟘기둥차감</f>
        <v>2090</v>
      </c>
      <c r="P27" s="50">
        <f>'쪽쟘(실측)'!K27-쪽쟘기둥차감</f>
        <v>2090</v>
      </c>
      <c r="Q27" s="50">
        <f>'쪽쟘(실측)'!L27-쪽쟘기둥차감</f>
        <v>2090</v>
      </c>
      <c r="R27" s="50">
        <f>'쪽쟘(실측)'!M27-쪽쟘기둥차감</f>
        <v>2090</v>
      </c>
      <c r="S27" s="50">
        <f>'쪽쟘(실측)'!N27+뒷날개치수더함</f>
        <v>19</v>
      </c>
      <c r="T27" s="50">
        <f>'쪽쟘(실측)'!O27+뒷날개치수더함</f>
        <v>19</v>
      </c>
      <c r="U27" s="50">
        <f>'쪽쟘(실측)'!P27+뒷날개치수더함</f>
        <v>30</v>
      </c>
      <c r="V27" s="50">
        <f>'쪽쟘(실측)'!Q27+뒷날개치수더함</f>
        <v>30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20</v>
      </c>
      <c r="Z27" s="4">
        <f>'쪽쟘(실측)'!U27</f>
        <v>10</v>
      </c>
      <c r="AA27" s="4">
        <f>'쪽쟘(실측)'!V27</f>
        <v>20</v>
      </c>
      <c r="AC27">
        <f t="shared" si="15"/>
        <v>949</v>
      </c>
      <c r="AD27">
        <f t="shared" si="16"/>
        <v>154.4</v>
      </c>
      <c r="AE27">
        <f t="shared" si="17"/>
        <v>162.4</v>
      </c>
      <c r="AF27">
        <f t="shared" si="18"/>
        <v>2090</v>
      </c>
      <c r="AG27">
        <f t="shared" si="19"/>
        <v>162.4</v>
      </c>
      <c r="AH27">
        <f t="shared" si="20"/>
        <v>2090</v>
      </c>
    </row>
    <row r="28" spans="1:34" ht="19.5" customHeight="1" x14ac:dyDescent="0.3">
      <c r="A28" s="50">
        <f>'쪽쟘(실측)'!A28</f>
        <v>525</v>
      </c>
      <c r="B28" s="50" t="str">
        <f>'쪽쟘(실측)'!B28&amp;"F"</f>
        <v>13F</v>
      </c>
      <c r="C28" s="50" t="str">
        <f t="shared" si="12"/>
        <v>935*150.4</v>
      </c>
      <c r="D28" s="50">
        <f>'쪽쟘(실측)'!C28-쪽쟘OP차감</f>
        <v>898</v>
      </c>
      <c r="E28" s="50">
        <f>'쪽쟘(실측)'!D28+쪽쟘J늘림+MAX(W28:X28)</f>
        <v>109</v>
      </c>
      <c r="F28" s="50">
        <f>'쪽쟘(실측)'!E28+쪽쟘J늘림+MAX(W28:X28)</f>
        <v>108</v>
      </c>
      <c r="G28" s="67" t="str">
        <f t="shared" si="13"/>
        <v>2090*156.4</v>
      </c>
      <c r="H28" s="68" t="str">
        <f t="shared" si="14"/>
        <v>2092*155.4</v>
      </c>
      <c r="I28" s="50">
        <f>IF('쪽쟘(실측)'!F28&gt;0,'쪽쟘(실측)'!F28-3,0)+뒷날개치수더함</f>
        <v>19</v>
      </c>
      <c r="J28" s="50">
        <f>IF('쪽쟘(실측)'!H28&gt;0,'쪽쟘(실측)'!H28-3,0)+뒷날개치수더함</f>
        <v>18</v>
      </c>
      <c r="K28" s="50">
        <f>IF('쪽쟘(실측)'!F28&gt;0,'쪽쟘(실측)'!F28+0,0)+뒷날개치수더함</f>
        <v>22</v>
      </c>
      <c r="L28" s="50">
        <f>IF('쪽쟘(실측)'!G28&gt;0,'쪽쟘(실측)'!G28+0,0)+뒷날개치수더함</f>
        <v>22</v>
      </c>
      <c r="M28" s="50">
        <f>IF('쪽쟘(실측)'!H28&gt;0,'쪽쟘(실측)'!H28+0,0)+뒷날개치수더함</f>
        <v>21</v>
      </c>
      <c r="N28" s="50">
        <f>IF('쪽쟘(실측)'!I28&gt;0,'쪽쟘(실측)'!I28+0,0)+뒷날개치수더함</f>
        <v>21</v>
      </c>
      <c r="O28" s="50">
        <f>'쪽쟘(실측)'!J28-쪽쟘기둥차감</f>
        <v>2090</v>
      </c>
      <c r="P28" s="50">
        <f>'쪽쟘(실측)'!K28-쪽쟘기둥차감</f>
        <v>2090</v>
      </c>
      <c r="Q28" s="50">
        <f>'쪽쟘(실측)'!L28-쪽쟘기둥차감</f>
        <v>2092</v>
      </c>
      <c r="R28" s="50">
        <f>'쪽쟘(실측)'!M28-쪽쟘기둥차감</f>
        <v>2092</v>
      </c>
      <c r="S28" s="50">
        <f>'쪽쟘(실측)'!N28+뒷날개치수더함</f>
        <v>15</v>
      </c>
      <c r="T28" s="50">
        <f>'쪽쟘(실측)'!O28+뒷날개치수더함</f>
        <v>15</v>
      </c>
      <c r="U28" s="50">
        <f>'쪽쟘(실측)'!P28+뒷날개치수더함</f>
        <v>30</v>
      </c>
      <c r="V28" s="50">
        <f>'쪽쟘(실측)'!Q28+뒷날개치수더함</f>
        <v>30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20</v>
      </c>
      <c r="Z28" s="4">
        <f>'쪽쟘(실측)'!U28</f>
        <v>10</v>
      </c>
      <c r="AA28" s="4">
        <f>'쪽쟘(실측)'!V28</f>
        <v>20</v>
      </c>
      <c r="AC28">
        <f t="shared" si="15"/>
        <v>935</v>
      </c>
      <c r="AD28">
        <f t="shared" si="16"/>
        <v>150.4</v>
      </c>
      <c r="AE28">
        <f t="shared" si="17"/>
        <v>156.4</v>
      </c>
      <c r="AF28">
        <f t="shared" si="18"/>
        <v>2090</v>
      </c>
      <c r="AG28">
        <f t="shared" si="19"/>
        <v>155.4</v>
      </c>
      <c r="AH28">
        <f t="shared" si="20"/>
        <v>2092</v>
      </c>
    </row>
    <row r="29" spans="1:34" ht="19.5" customHeight="1" x14ac:dyDescent="0.3">
      <c r="A29" s="50">
        <f>'쪽쟘(실측)'!A29</f>
        <v>525</v>
      </c>
      <c r="B29" s="50" t="str">
        <f>'쪽쟘(실측)'!B29&amp;"F"</f>
        <v>12F</v>
      </c>
      <c r="C29" s="50" t="str">
        <f t="shared" si="12"/>
        <v>943*163.4</v>
      </c>
      <c r="D29" s="50">
        <f>'쪽쟘(실측)'!C29-쪽쟘OP차감</f>
        <v>899</v>
      </c>
      <c r="E29" s="50">
        <f>'쪽쟘(실측)'!D29+쪽쟘J늘림+MAX(W29:X29)</f>
        <v>109</v>
      </c>
      <c r="F29" s="50">
        <f>'쪽쟘(실측)'!E29+쪽쟘J늘림+MAX(W29:X29)</f>
        <v>108</v>
      </c>
      <c r="G29" s="67" t="str">
        <f t="shared" si="13"/>
        <v>2090*164.4</v>
      </c>
      <c r="H29" s="68" t="str">
        <f t="shared" si="14"/>
        <v>2090*161.4</v>
      </c>
      <c r="I29" s="50">
        <f>IF('쪽쟘(실측)'!F29&gt;0,'쪽쟘(실측)'!F29-3,0)+뒷날개치수더함</f>
        <v>20</v>
      </c>
      <c r="J29" s="50">
        <f>IF('쪽쟘(실측)'!H29&gt;0,'쪽쟘(실측)'!H29-3,0)+뒷날개치수더함</f>
        <v>24</v>
      </c>
      <c r="K29" s="50">
        <f>IF('쪽쟘(실측)'!F29&gt;0,'쪽쟘(실측)'!F29+0,0)+뒷날개치수더함</f>
        <v>23</v>
      </c>
      <c r="L29" s="50">
        <f>IF('쪽쟘(실측)'!G29&gt;0,'쪽쟘(실측)'!G29+0,0)+뒷날개치수더함</f>
        <v>30</v>
      </c>
      <c r="M29" s="50">
        <f>IF('쪽쟘(실측)'!H29&gt;0,'쪽쟘(실측)'!H29+0,0)+뒷날개치수더함</f>
        <v>27</v>
      </c>
      <c r="N29" s="50">
        <f>IF('쪽쟘(실측)'!I29&gt;0,'쪽쟘(실측)'!I29+0,0)+뒷날개치수더함</f>
        <v>22</v>
      </c>
      <c r="O29" s="50">
        <f>'쪽쟘(실측)'!J29-쪽쟘기둥차감</f>
        <v>2090</v>
      </c>
      <c r="P29" s="50">
        <f>'쪽쟘(실측)'!K29-쪽쟘기둥차감</f>
        <v>2090</v>
      </c>
      <c r="Q29" s="50">
        <f>'쪽쟘(실측)'!L29-쪽쟘기둥차감</f>
        <v>2090</v>
      </c>
      <c r="R29" s="50">
        <f>'쪽쟘(실측)'!M29-쪽쟘기둥차감</f>
        <v>2090</v>
      </c>
      <c r="S29" s="50">
        <f>'쪽쟘(실측)'!N29+뒷날개치수더함</f>
        <v>28</v>
      </c>
      <c r="T29" s="50">
        <f>'쪽쟘(실측)'!O29+뒷날개치수더함</f>
        <v>28</v>
      </c>
      <c r="U29" s="50">
        <f>'쪽쟘(실측)'!P29+뒷날개치수더함</f>
        <v>30</v>
      </c>
      <c r="V29" s="50">
        <f>'쪽쟘(실측)'!Q29+뒷날개치수더함</f>
        <v>30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20</v>
      </c>
      <c r="Z29" s="4">
        <f>'쪽쟘(실측)'!U29</f>
        <v>10</v>
      </c>
      <c r="AA29" s="4">
        <f>'쪽쟘(실측)'!V29</f>
        <v>20</v>
      </c>
      <c r="AC29">
        <f t="shared" si="15"/>
        <v>943</v>
      </c>
      <c r="AD29">
        <f t="shared" si="16"/>
        <v>163.4</v>
      </c>
      <c r="AE29">
        <f t="shared" si="17"/>
        <v>164.4</v>
      </c>
      <c r="AF29">
        <f t="shared" si="18"/>
        <v>2090</v>
      </c>
      <c r="AG29">
        <f t="shared" si="19"/>
        <v>161.4</v>
      </c>
      <c r="AH29">
        <f t="shared" si="20"/>
        <v>2090</v>
      </c>
    </row>
    <row r="30" spans="1:34" ht="19.5" customHeight="1" x14ac:dyDescent="0.3">
      <c r="A30" s="50">
        <f>'쪽쟘(실측)'!A30</f>
        <v>525</v>
      </c>
      <c r="B30" s="50" t="str">
        <f>'쪽쟘(실측)'!B30&amp;"F"</f>
        <v>11F</v>
      </c>
      <c r="C30" s="50" t="str">
        <f t="shared" si="12"/>
        <v>950*152.4</v>
      </c>
      <c r="D30" s="50">
        <f>'쪽쟘(실측)'!C30-쪽쟘OP차감</f>
        <v>898</v>
      </c>
      <c r="E30" s="50">
        <f>'쪽쟘(실측)'!D30+쪽쟘J늘림+MAX(W30:X30)</f>
        <v>109</v>
      </c>
      <c r="F30" s="50">
        <f>'쪽쟘(실측)'!E30+쪽쟘J늘림+MAX(W30:X30)</f>
        <v>108</v>
      </c>
      <c r="G30" s="67" t="str">
        <f t="shared" si="13"/>
        <v>2086*164.4</v>
      </c>
      <c r="H30" s="68" t="str">
        <f t="shared" si="14"/>
        <v>2092*162.4</v>
      </c>
      <c r="I30" s="50">
        <f>IF('쪽쟘(실측)'!F30&gt;0,'쪽쟘(실측)'!F30-3,0)+뒷날개치수더함</f>
        <v>27</v>
      </c>
      <c r="J30" s="50">
        <f>IF('쪽쟘(실측)'!H30&gt;0,'쪽쟘(실측)'!H30-3,0)+뒷날개치수더함</f>
        <v>25</v>
      </c>
      <c r="K30" s="50">
        <f>IF('쪽쟘(실측)'!F30&gt;0,'쪽쟘(실측)'!F30+0,0)+뒷날개치수더함</f>
        <v>30</v>
      </c>
      <c r="L30" s="50">
        <f>IF('쪽쟘(실측)'!G30&gt;0,'쪽쟘(실측)'!G30+0,0)+뒷날개치수더함</f>
        <v>30</v>
      </c>
      <c r="M30" s="50">
        <f>IF('쪽쟘(실측)'!H30&gt;0,'쪽쟘(실측)'!H30+0,0)+뒷날개치수더함</f>
        <v>28</v>
      </c>
      <c r="N30" s="50">
        <f>IF('쪽쟘(실측)'!I30&gt;0,'쪽쟘(실측)'!I30+0,0)+뒷날개치수더함</f>
        <v>28</v>
      </c>
      <c r="O30" s="50">
        <f>'쪽쟘(실측)'!J30-쪽쟘기둥차감</f>
        <v>2086</v>
      </c>
      <c r="P30" s="50">
        <f>'쪽쟘(실측)'!K30-쪽쟘기둥차감</f>
        <v>2086</v>
      </c>
      <c r="Q30" s="50">
        <f>'쪽쟘(실측)'!L30-쪽쟘기둥차감</f>
        <v>2092</v>
      </c>
      <c r="R30" s="50">
        <f>'쪽쟘(실측)'!M30-쪽쟘기둥차감</f>
        <v>2092</v>
      </c>
      <c r="S30" s="50">
        <f>'쪽쟘(실측)'!N30+뒷날개치수더함</f>
        <v>17</v>
      </c>
      <c r="T30" s="50">
        <f>'쪽쟘(실측)'!O30+뒷날개치수더함</f>
        <v>17</v>
      </c>
      <c r="U30" s="50">
        <f>'쪽쟘(실측)'!P30+뒷날개치수더함</f>
        <v>30</v>
      </c>
      <c r="V30" s="50">
        <f>'쪽쟘(실측)'!Q30+뒷날개치수더함</f>
        <v>30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20</v>
      </c>
      <c r="Z30" s="4">
        <f>'쪽쟘(실측)'!U30</f>
        <v>10</v>
      </c>
      <c r="AA30" s="4">
        <f>'쪽쟘(실측)'!V30</f>
        <v>20</v>
      </c>
      <c r="AC30">
        <f t="shared" si="15"/>
        <v>950</v>
      </c>
      <c r="AD30">
        <f t="shared" si="16"/>
        <v>152.4</v>
      </c>
      <c r="AE30">
        <f t="shared" si="17"/>
        <v>164.4</v>
      </c>
      <c r="AF30">
        <f t="shared" si="18"/>
        <v>2086</v>
      </c>
      <c r="AG30">
        <f t="shared" si="19"/>
        <v>162.4</v>
      </c>
      <c r="AH30">
        <f t="shared" si="20"/>
        <v>2092</v>
      </c>
    </row>
    <row r="31" spans="1:34" ht="19.5" customHeight="1" x14ac:dyDescent="0.3">
      <c r="A31" s="50">
        <f>'쪽쟘(실측)'!A31</f>
        <v>525</v>
      </c>
      <c r="B31" s="50" t="str">
        <f>'쪽쟘(실측)'!B31&amp;"F"</f>
        <v>10F</v>
      </c>
      <c r="C31" s="50" t="str">
        <f t="shared" si="12"/>
        <v>944*155.4</v>
      </c>
      <c r="D31" s="50">
        <f>'쪽쟘(실측)'!C31-쪽쟘OP차감</f>
        <v>897</v>
      </c>
      <c r="E31" s="50">
        <f>'쪽쟘(실측)'!D31+쪽쟘J늘림+MAX(W31:X31)</f>
        <v>109</v>
      </c>
      <c r="F31" s="50">
        <f>'쪽쟘(실측)'!E31+쪽쟘J늘림+MAX(W31:X31)</f>
        <v>108</v>
      </c>
      <c r="G31" s="67" t="str">
        <f t="shared" si="13"/>
        <v>2090*164.4</v>
      </c>
      <c r="H31" s="68" t="str">
        <f t="shared" si="14"/>
        <v>2092*160.4</v>
      </c>
      <c r="I31" s="50">
        <f>IF('쪽쟘(실측)'!F31&gt;0,'쪽쟘(실측)'!F31-3,0)+뒷날개치수더함</f>
        <v>24</v>
      </c>
      <c r="J31" s="50">
        <f>IF('쪽쟘(실측)'!H31&gt;0,'쪽쟘(실측)'!H31-3,0)+뒷날개치수더함</f>
        <v>23</v>
      </c>
      <c r="K31" s="50">
        <f>IF('쪽쟘(실측)'!F31&gt;0,'쪽쟘(실측)'!F31+0,0)+뒷날개치수더함</f>
        <v>27</v>
      </c>
      <c r="L31" s="50">
        <f>IF('쪽쟘(실측)'!G31&gt;0,'쪽쟘(실측)'!G31+0,0)+뒷날개치수더함</f>
        <v>30</v>
      </c>
      <c r="M31" s="50">
        <f>IF('쪽쟘(실측)'!H31&gt;0,'쪽쟘(실측)'!H31+0,0)+뒷날개치수더함</f>
        <v>26</v>
      </c>
      <c r="N31" s="50">
        <f>IF('쪽쟘(실측)'!I31&gt;0,'쪽쟘(실측)'!I31+0,0)+뒷날개치수더함</f>
        <v>26</v>
      </c>
      <c r="O31" s="50">
        <f>'쪽쟘(실측)'!J31-쪽쟘기둥차감</f>
        <v>2090</v>
      </c>
      <c r="P31" s="50">
        <f>'쪽쟘(실측)'!K31-쪽쟘기둥차감</f>
        <v>2090</v>
      </c>
      <c r="Q31" s="50">
        <f>'쪽쟘(실측)'!L31-쪽쟘기둥차감</f>
        <v>2092</v>
      </c>
      <c r="R31" s="50">
        <f>'쪽쟘(실측)'!M31-쪽쟘기둥차감</f>
        <v>2092</v>
      </c>
      <c r="S31" s="50">
        <f>'쪽쟘(실측)'!N31+뒷날개치수더함</f>
        <v>20</v>
      </c>
      <c r="T31" s="50">
        <f>'쪽쟘(실측)'!O31+뒷날개치수더함</f>
        <v>20</v>
      </c>
      <c r="U31" s="50">
        <f>'쪽쟘(실측)'!P31+뒷날개치수더함</f>
        <v>30</v>
      </c>
      <c r="V31" s="50">
        <f>'쪽쟘(실측)'!Q31+뒷날개치수더함</f>
        <v>30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20</v>
      </c>
      <c r="Z31" s="4">
        <f>'쪽쟘(실측)'!U31</f>
        <v>10</v>
      </c>
      <c r="AA31" s="4">
        <f>'쪽쟘(실측)'!V31</f>
        <v>20</v>
      </c>
      <c r="AC31">
        <f t="shared" si="15"/>
        <v>944</v>
      </c>
      <c r="AD31">
        <f t="shared" si="16"/>
        <v>155.4</v>
      </c>
      <c r="AE31">
        <f t="shared" si="17"/>
        <v>164.4</v>
      </c>
      <c r="AF31">
        <f t="shared" si="18"/>
        <v>2090</v>
      </c>
      <c r="AG31">
        <f t="shared" si="19"/>
        <v>160.4</v>
      </c>
      <c r="AH31">
        <f t="shared" si="20"/>
        <v>2092</v>
      </c>
    </row>
    <row r="32" spans="1:34" ht="19.5" customHeight="1" x14ac:dyDescent="0.3">
      <c r="A32" s="50">
        <f>'쪽쟘(실측)'!A32</f>
        <v>525</v>
      </c>
      <c r="B32" s="50" t="str">
        <f>'쪽쟘(실측)'!B32&amp;"F"</f>
        <v>9F</v>
      </c>
      <c r="C32" s="50" t="str">
        <f t="shared" si="12"/>
        <v>941*156.4</v>
      </c>
      <c r="D32" s="50">
        <f>'쪽쟘(실측)'!C32-쪽쟘OP차감</f>
        <v>899</v>
      </c>
      <c r="E32" s="50">
        <f>'쪽쟘(실측)'!D32+쪽쟘J늘림+MAX(W32:X32)</f>
        <v>109</v>
      </c>
      <c r="F32" s="50">
        <f>'쪽쟘(실측)'!E32+쪽쟘J늘림+MAX(W32:X32)</f>
        <v>108</v>
      </c>
      <c r="G32" s="67" t="str">
        <f t="shared" si="13"/>
        <v>2088*158.4</v>
      </c>
      <c r="H32" s="68" t="str">
        <f t="shared" si="14"/>
        <v>2092*162.4</v>
      </c>
      <c r="I32" s="50">
        <f>IF('쪽쟘(실측)'!F32&gt;0,'쪽쟘(실측)'!F32-3,0)+뒷날개치수더함</f>
        <v>17</v>
      </c>
      <c r="J32" s="50">
        <f>IF('쪽쟘(실측)'!H32&gt;0,'쪽쟘(실측)'!H32-3,0)+뒷날개치수더함</f>
        <v>25</v>
      </c>
      <c r="K32" s="50">
        <f>IF('쪽쟘(실측)'!F32&gt;0,'쪽쟘(실측)'!F32+0,0)+뒷날개치수더함</f>
        <v>20</v>
      </c>
      <c r="L32" s="50">
        <f>IF('쪽쟘(실측)'!G32&gt;0,'쪽쟘(실측)'!G32+0,0)+뒷날개치수더함</f>
        <v>24</v>
      </c>
      <c r="M32" s="50">
        <f>IF('쪽쟘(실측)'!H32&gt;0,'쪽쟘(실측)'!H32+0,0)+뒷날개치수더함</f>
        <v>28</v>
      </c>
      <c r="N32" s="50">
        <f>IF('쪽쟘(실측)'!I32&gt;0,'쪽쟘(실측)'!I32+0,0)+뒷날개치수더함</f>
        <v>28</v>
      </c>
      <c r="O32" s="50">
        <f>'쪽쟘(실측)'!J32-쪽쟘기둥차감</f>
        <v>2088</v>
      </c>
      <c r="P32" s="50">
        <f>'쪽쟘(실측)'!K32-쪽쟘기둥차감</f>
        <v>2088</v>
      </c>
      <c r="Q32" s="50">
        <f>'쪽쟘(실측)'!L32-쪽쟘기둥차감</f>
        <v>2092</v>
      </c>
      <c r="R32" s="50">
        <f>'쪽쟘(실측)'!M32-쪽쟘기둥차감</f>
        <v>2092</v>
      </c>
      <c r="S32" s="50">
        <f>'쪽쟘(실측)'!N32+뒷날개치수더함</f>
        <v>21</v>
      </c>
      <c r="T32" s="50">
        <f>'쪽쟘(실측)'!O32+뒷날개치수더함</f>
        <v>21</v>
      </c>
      <c r="U32" s="50">
        <f>'쪽쟘(실측)'!P32+뒷날개치수더함</f>
        <v>30</v>
      </c>
      <c r="V32" s="50">
        <f>'쪽쟘(실측)'!Q32+뒷날개치수더함</f>
        <v>30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20</v>
      </c>
      <c r="Z32" s="4">
        <f>'쪽쟘(실측)'!U32</f>
        <v>10</v>
      </c>
      <c r="AA32" s="4">
        <f>'쪽쟘(실측)'!V32</f>
        <v>20</v>
      </c>
      <c r="AC32">
        <f t="shared" si="15"/>
        <v>941</v>
      </c>
      <c r="AD32">
        <f t="shared" si="16"/>
        <v>156.4</v>
      </c>
      <c r="AE32">
        <f t="shared" si="17"/>
        <v>158.4</v>
      </c>
      <c r="AF32">
        <f t="shared" si="18"/>
        <v>2088</v>
      </c>
      <c r="AG32">
        <f t="shared" si="19"/>
        <v>162.4</v>
      </c>
      <c r="AH32">
        <f t="shared" si="20"/>
        <v>2092</v>
      </c>
    </row>
    <row r="33" spans="1:34" ht="19.5" customHeight="1" x14ac:dyDescent="0.3">
      <c r="A33" s="50">
        <f>'쪽쟘(실측)'!A33</f>
        <v>525</v>
      </c>
      <c r="B33" s="50" t="str">
        <f>'쪽쟘(실측)'!B33&amp;"F"</f>
        <v>8F</v>
      </c>
      <c r="C33" s="50" t="str">
        <f t="shared" si="12"/>
        <v>949*148.4</v>
      </c>
      <c r="D33" s="50">
        <f>'쪽쟘(실측)'!C33-쪽쟘OP차감</f>
        <v>898</v>
      </c>
      <c r="E33" s="50">
        <f>'쪽쟘(실측)'!D33+쪽쟘J늘림+MAX(W33:X33)</f>
        <v>109</v>
      </c>
      <c r="F33" s="50">
        <f>'쪽쟘(실측)'!E33+쪽쟘J늘림+MAX(W33:X33)</f>
        <v>108</v>
      </c>
      <c r="G33" s="67" t="str">
        <f t="shared" si="13"/>
        <v>2093*164.4</v>
      </c>
      <c r="H33" s="68" t="str">
        <f t="shared" si="14"/>
        <v>2092*164.4</v>
      </c>
      <c r="I33" s="50">
        <f>IF('쪽쟘(실측)'!F33&gt;0,'쪽쟘(실측)'!F33-3,0)+뒷날개치수더함</f>
        <v>27</v>
      </c>
      <c r="J33" s="50">
        <f>IF('쪽쟘(실측)'!H33&gt;0,'쪽쟘(실측)'!H33-3,0)+뒷날개치수더함</f>
        <v>24</v>
      </c>
      <c r="K33" s="50">
        <f>IF('쪽쟘(실측)'!F33&gt;0,'쪽쟘(실측)'!F33+0,0)+뒷날개치수더함</f>
        <v>30</v>
      </c>
      <c r="L33" s="50">
        <f>IF('쪽쟘(실측)'!G33&gt;0,'쪽쟘(실측)'!G33+0,0)+뒷날개치수더함</f>
        <v>30</v>
      </c>
      <c r="M33" s="50">
        <f>IF('쪽쟘(실측)'!H33&gt;0,'쪽쟘(실측)'!H33+0,0)+뒷날개치수더함</f>
        <v>27</v>
      </c>
      <c r="N33" s="50">
        <f>IF('쪽쟘(실측)'!I33&gt;0,'쪽쟘(실측)'!I33+0,0)+뒷날개치수더함</f>
        <v>30</v>
      </c>
      <c r="O33" s="50">
        <f>'쪽쟘(실측)'!J33-쪽쟘기둥차감</f>
        <v>2093</v>
      </c>
      <c r="P33" s="50">
        <f>'쪽쟘(실측)'!K33-쪽쟘기둥차감</f>
        <v>2090</v>
      </c>
      <c r="Q33" s="50">
        <f>'쪽쟘(실측)'!L33-쪽쟘기둥차감</f>
        <v>2092</v>
      </c>
      <c r="R33" s="50">
        <f>'쪽쟘(실측)'!M33-쪽쟘기둥차감</f>
        <v>2092</v>
      </c>
      <c r="S33" s="50">
        <f>'쪽쟘(실측)'!N33+뒷날개치수더함</f>
        <v>13</v>
      </c>
      <c r="T33" s="50">
        <f>'쪽쟘(실측)'!O33+뒷날개치수더함</f>
        <v>13</v>
      </c>
      <c r="U33" s="50">
        <f>'쪽쟘(실측)'!P33+뒷날개치수더함</f>
        <v>30</v>
      </c>
      <c r="V33" s="50">
        <f>'쪽쟘(실측)'!Q33+뒷날개치수더함</f>
        <v>30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20</v>
      </c>
      <c r="Z33" s="4">
        <f>'쪽쟘(실측)'!U33</f>
        <v>10</v>
      </c>
      <c r="AA33" s="4">
        <f>'쪽쟘(실측)'!V33</f>
        <v>20</v>
      </c>
      <c r="AC33">
        <f t="shared" si="15"/>
        <v>949</v>
      </c>
      <c r="AD33">
        <f t="shared" si="16"/>
        <v>148.4</v>
      </c>
      <c r="AE33">
        <f t="shared" si="17"/>
        <v>164.4</v>
      </c>
      <c r="AF33">
        <f t="shared" si="18"/>
        <v>2093</v>
      </c>
      <c r="AG33">
        <f t="shared" si="19"/>
        <v>164.4</v>
      </c>
      <c r="AH33">
        <f t="shared" si="20"/>
        <v>2092</v>
      </c>
    </row>
    <row r="34" spans="1:34" ht="19.5" customHeight="1" x14ac:dyDescent="0.3">
      <c r="A34" s="50">
        <f>'쪽쟘(실측)'!A34</f>
        <v>525</v>
      </c>
      <c r="B34" s="50" t="str">
        <f>'쪽쟘(실측)'!B34&amp;"F"</f>
        <v>7F</v>
      </c>
      <c r="C34" s="50" t="str">
        <f t="shared" si="12"/>
        <v>947*155.4</v>
      </c>
      <c r="D34" s="50">
        <f>'쪽쟘(실측)'!C34-쪽쟘OP차감</f>
        <v>898</v>
      </c>
      <c r="E34" s="50">
        <f>'쪽쟘(실측)'!D34+쪽쟘J늘림+MAX(W34:X34)</f>
        <v>109</v>
      </c>
      <c r="F34" s="50">
        <f>'쪽쟘(실측)'!E34+쪽쟘J늘림+MAX(W34:X34)</f>
        <v>108</v>
      </c>
      <c r="G34" s="67" t="str">
        <f t="shared" si="13"/>
        <v>2088*161.4</v>
      </c>
      <c r="H34" s="68" t="str">
        <f t="shared" si="14"/>
        <v>2092*162.4</v>
      </c>
      <c r="I34" s="50">
        <f>IF('쪽쟘(실측)'!F34&gt;0,'쪽쟘(실측)'!F34-3,0)+뒷날개치수더함</f>
        <v>24</v>
      </c>
      <c r="J34" s="50">
        <f>IF('쪽쟘(실측)'!H34&gt;0,'쪽쟘(실측)'!H34-3,0)+뒷날개치수더함</f>
        <v>25</v>
      </c>
      <c r="K34" s="50">
        <f>IF('쪽쟘(실측)'!F34&gt;0,'쪽쟘(실측)'!F34+0,0)+뒷날개치수더함</f>
        <v>27</v>
      </c>
      <c r="L34" s="50">
        <f>IF('쪽쟘(실측)'!G34&gt;0,'쪽쟘(실측)'!G34+0,0)+뒷날개치수더함</f>
        <v>27</v>
      </c>
      <c r="M34" s="50">
        <f>IF('쪽쟘(실측)'!H34&gt;0,'쪽쟘(실측)'!H34+0,0)+뒷날개치수더함</f>
        <v>28</v>
      </c>
      <c r="N34" s="50">
        <f>IF('쪽쟘(실측)'!I34&gt;0,'쪽쟘(실측)'!I34+0,0)+뒷날개치수더함</f>
        <v>28</v>
      </c>
      <c r="O34" s="50">
        <f>'쪽쟘(실측)'!J34-쪽쟘기둥차감</f>
        <v>2088</v>
      </c>
      <c r="P34" s="50">
        <f>'쪽쟘(실측)'!K34-쪽쟘기둥차감</f>
        <v>2088</v>
      </c>
      <c r="Q34" s="50">
        <f>'쪽쟘(실측)'!L34-쪽쟘기둥차감</f>
        <v>2092</v>
      </c>
      <c r="R34" s="50">
        <f>'쪽쟘(실측)'!M34-쪽쟘기둥차감</f>
        <v>2092</v>
      </c>
      <c r="S34" s="50">
        <f>'쪽쟘(실측)'!N34+뒷날개치수더함</f>
        <v>20</v>
      </c>
      <c r="T34" s="50">
        <f>'쪽쟘(실측)'!O34+뒷날개치수더함</f>
        <v>20</v>
      </c>
      <c r="U34" s="50">
        <f>'쪽쟘(실측)'!P34+뒷날개치수더함</f>
        <v>30</v>
      </c>
      <c r="V34" s="50">
        <f>'쪽쟘(실측)'!Q34+뒷날개치수더함</f>
        <v>30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20</v>
      </c>
      <c r="Z34" s="4">
        <f>'쪽쟘(실측)'!U34</f>
        <v>10</v>
      </c>
      <c r="AA34" s="4">
        <f>'쪽쟘(실측)'!V34</f>
        <v>20</v>
      </c>
      <c r="AC34">
        <f t="shared" si="15"/>
        <v>947</v>
      </c>
      <c r="AD34">
        <f t="shared" si="16"/>
        <v>155.4</v>
      </c>
      <c r="AE34">
        <f t="shared" si="17"/>
        <v>161.4</v>
      </c>
      <c r="AF34">
        <f t="shared" si="18"/>
        <v>2088</v>
      </c>
      <c r="AG34">
        <f t="shared" si="19"/>
        <v>162.4</v>
      </c>
      <c r="AH34">
        <f t="shared" si="20"/>
        <v>2092</v>
      </c>
    </row>
    <row r="35" spans="1:34" ht="19.5" customHeight="1" x14ac:dyDescent="0.3">
      <c r="A35" s="50">
        <f>'쪽쟘(실측)'!A35</f>
        <v>525</v>
      </c>
      <c r="B35" s="50" t="str">
        <f>'쪽쟘(실측)'!B35&amp;"F"</f>
        <v>6F</v>
      </c>
      <c r="C35" s="50" t="str">
        <f t="shared" ref="C35:C58" si="21">AC35&amp;"*"&amp;AD35</f>
        <v>950*158.4</v>
      </c>
      <c r="D35" s="50">
        <f>'쪽쟘(실측)'!C35-쪽쟘OP차감</f>
        <v>899</v>
      </c>
      <c r="E35" s="50">
        <f>'쪽쟘(실측)'!D35+쪽쟘J늘림+MAX(W35:X35)</f>
        <v>109</v>
      </c>
      <c r="F35" s="50">
        <f>'쪽쟘(실측)'!E35+쪽쟘J늘림+MAX(W35:X35)</f>
        <v>108</v>
      </c>
      <c r="G35" s="67" t="str">
        <f t="shared" ref="G35:G58" si="22">AF35&amp;"*"&amp;AE35</f>
        <v>2090*161.4</v>
      </c>
      <c r="H35" s="68" t="str">
        <f t="shared" ref="H35:H58" si="23">AH35&amp;"*"&amp;AG35</f>
        <v>2092*164.4</v>
      </c>
      <c r="I35" s="50">
        <f>IF('쪽쟘(실측)'!F35&gt;0,'쪽쟘(실측)'!F35-3,0)+뒷날개치수더함</f>
        <v>24</v>
      </c>
      <c r="J35" s="50">
        <f>IF('쪽쟘(실측)'!H35&gt;0,'쪽쟘(실측)'!H35-3,0)+뒷날개치수더함</f>
        <v>27</v>
      </c>
      <c r="K35" s="50">
        <f>IF('쪽쟘(실측)'!F35&gt;0,'쪽쟘(실측)'!F35+0,0)+뒷날개치수더함</f>
        <v>27</v>
      </c>
      <c r="L35" s="50">
        <f>IF('쪽쟘(실측)'!G35&gt;0,'쪽쟘(실측)'!G35+0,0)+뒷날개치수더함</f>
        <v>27</v>
      </c>
      <c r="M35" s="50">
        <f>IF('쪽쟘(실측)'!H35&gt;0,'쪽쟘(실측)'!H35+0,0)+뒷날개치수더함</f>
        <v>30</v>
      </c>
      <c r="N35" s="50">
        <f>IF('쪽쟘(실측)'!I35&gt;0,'쪽쟘(실측)'!I35+0,0)+뒷날개치수더함</f>
        <v>30</v>
      </c>
      <c r="O35" s="50">
        <f>'쪽쟘(실측)'!J35-쪽쟘기둥차감</f>
        <v>2090</v>
      </c>
      <c r="P35" s="50">
        <f>'쪽쟘(실측)'!K35-쪽쟘기둥차감</f>
        <v>2090</v>
      </c>
      <c r="Q35" s="50">
        <f>'쪽쟘(실측)'!L35-쪽쟘기둥차감</f>
        <v>2092</v>
      </c>
      <c r="R35" s="50">
        <f>'쪽쟘(실측)'!M35-쪽쟘기둥차감</f>
        <v>2092</v>
      </c>
      <c r="S35" s="50">
        <f>'쪽쟘(실측)'!N35+뒷날개치수더함</f>
        <v>23</v>
      </c>
      <c r="T35" s="50">
        <f>'쪽쟘(실측)'!O35+뒷날개치수더함</f>
        <v>23</v>
      </c>
      <c r="U35" s="50">
        <f>'쪽쟘(실측)'!P35+뒷날개치수더함</f>
        <v>30</v>
      </c>
      <c r="V35" s="50">
        <f>'쪽쟘(실측)'!Q35+뒷날개치수더함</f>
        <v>30</v>
      </c>
      <c r="W35" s="50">
        <f>'쪽쟘(실측)'!R35-쪽쟘늘치차감</f>
        <v>0</v>
      </c>
      <c r="X35" s="50">
        <f>'쪽쟘(실측)'!S35-쪽쟘늘치차감</f>
        <v>0</v>
      </c>
      <c r="Y35" s="4">
        <f>IF('쪽쟘(실측)'!T35&gt;5,'쪽쟘(실측)'!T35+뒷날개치수더함,0)</f>
        <v>20</v>
      </c>
      <c r="Z35" s="4">
        <f>'쪽쟘(실측)'!U35</f>
        <v>10</v>
      </c>
      <c r="AA35" s="4">
        <f>'쪽쟘(실측)'!V35</f>
        <v>20</v>
      </c>
      <c r="AC35">
        <f t="shared" ref="AC35:AC58" si="24">D35+I35+J35</f>
        <v>950</v>
      </c>
      <c r="AD35">
        <f t="shared" ref="AD35:AD58" si="25">U35+E35+MAX(S35,T35)-쪽쟘소재t*3+IF(S35=0,S35*쪽쟘소재t,0)</f>
        <v>158.4</v>
      </c>
      <c r="AE35">
        <f t="shared" ref="AE35:AE58" si="26">MAX(K35,L35)+F35+V35-쪽쟘소재t*3+IF(K35=0,쪽쟘소재t)-IF(AA35=90,2.4,0)</f>
        <v>161.4</v>
      </c>
      <c r="AF35">
        <f t="shared" ref="AF35:AF58" si="27">MAX(O35,P35)</f>
        <v>2090</v>
      </c>
      <c r="AG35">
        <f t="shared" ref="AG35:AG58" si="28">MAX(M35,N35)+F35+V35-쪽쟘소재t*3+IF(M35=0,쪽쟘소재t)-IF(AA35=90,2.4,0)</f>
        <v>164.4</v>
      </c>
      <c r="AH35">
        <f t="shared" ref="AH35:AH58" si="29">MAX(Q35,R35)</f>
        <v>2092</v>
      </c>
    </row>
    <row r="36" spans="1:34" ht="19.5" customHeight="1" x14ac:dyDescent="0.3">
      <c r="A36" s="50">
        <f>'쪽쟘(실측)'!A36</f>
        <v>525</v>
      </c>
      <c r="B36" s="50" t="str">
        <f>'쪽쟘(실측)'!B36&amp;"F"</f>
        <v>5F</v>
      </c>
      <c r="C36" s="50" t="str">
        <f t="shared" si="21"/>
        <v>944*158.4</v>
      </c>
      <c r="D36" s="50">
        <f>'쪽쟘(실측)'!C36-쪽쟘OP차감</f>
        <v>898</v>
      </c>
      <c r="E36" s="50">
        <f>'쪽쟘(실측)'!D36+쪽쟘J늘림+MAX(W36:X36)</f>
        <v>109</v>
      </c>
      <c r="F36" s="50">
        <f>'쪽쟘(실측)'!E36+쪽쟘J늘림+MAX(W36:X36)</f>
        <v>108</v>
      </c>
      <c r="G36" s="67" t="str">
        <f t="shared" si="22"/>
        <v>2093*164.4</v>
      </c>
      <c r="H36" s="68" t="str">
        <f t="shared" si="23"/>
        <v>2092*163.4</v>
      </c>
      <c r="I36" s="50">
        <f>IF('쪽쟘(실측)'!F36&gt;0,'쪽쟘(실측)'!F36-3,0)+뒷날개치수더함</f>
        <v>20</v>
      </c>
      <c r="J36" s="50">
        <f>IF('쪽쟘(실측)'!H36&gt;0,'쪽쟘(실측)'!H36-3,0)+뒷날개치수더함</f>
        <v>26</v>
      </c>
      <c r="K36" s="50">
        <f>IF('쪽쟘(실측)'!F36&gt;0,'쪽쟘(실측)'!F36+0,0)+뒷날개치수더함</f>
        <v>23</v>
      </c>
      <c r="L36" s="50">
        <f>IF('쪽쟘(실측)'!G36&gt;0,'쪽쟘(실측)'!G36+0,0)+뒷날개치수더함</f>
        <v>30</v>
      </c>
      <c r="M36" s="50">
        <f>IF('쪽쟘(실측)'!H36&gt;0,'쪽쟘(실측)'!H36+0,0)+뒷날개치수더함</f>
        <v>29</v>
      </c>
      <c r="N36" s="50">
        <f>IF('쪽쟘(실측)'!I36&gt;0,'쪽쟘(실측)'!I36+0,0)+뒷날개치수더함</f>
        <v>29</v>
      </c>
      <c r="O36" s="50">
        <f>'쪽쟘(실측)'!J36-쪽쟘기둥차감</f>
        <v>2093</v>
      </c>
      <c r="P36" s="50">
        <f>'쪽쟘(실측)'!K36-쪽쟘기둥차감</f>
        <v>2093</v>
      </c>
      <c r="Q36" s="50">
        <f>'쪽쟘(실측)'!L36-쪽쟘기둥차감</f>
        <v>2092</v>
      </c>
      <c r="R36" s="50">
        <f>'쪽쟘(실측)'!M36-쪽쟘기둥차감</f>
        <v>2092</v>
      </c>
      <c r="S36" s="50">
        <f>'쪽쟘(실측)'!N36+뒷날개치수더함</f>
        <v>23</v>
      </c>
      <c r="T36" s="50">
        <f>'쪽쟘(실측)'!O36+뒷날개치수더함</f>
        <v>23</v>
      </c>
      <c r="U36" s="50">
        <f>'쪽쟘(실측)'!P36+뒷날개치수더함</f>
        <v>30</v>
      </c>
      <c r="V36" s="50">
        <f>'쪽쟘(실측)'!Q36+뒷날개치수더함</f>
        <v>30</v>
      </c>
      <c r="W36" s="50">
        <f>'쪽쟘(실측)'!R36-쪽쟘늘치차감</f>
        <v>0</v>
      </c>
      <c r="X36" s="50">
        <f>'쪽쟘(실측)'!S36-쪽쟘늘치차감</f>
        <v>0</v>
      </c>
      <c r="Y36" s="4">
        <f>IF('쪽쟘(실측)'!T36&gt;5,'쪽쟘(실측)'!T36+뒷날개치수더함,0)</f>
        <v>20</v>
      </c>
      <c r="Z36" s="4">
        <f>'쪽쟘(실측)'!U36</f>
        <v>10</v>
      </c>
      <c r="AA36" s="4">
        <f>'쪽쟘(실측)'!V36</f>
        <v>20</v>
      </c>
      <c r="AC36">
        <f t="shared" si="24"/>
        <v>944</v>
      </c>
      <c r="AD36">
        <f t="shared" si="25"/>
        <v>158.4</v>
      </c>
      <c r="AE36">
        <f t="shared" si="26"/>
        <v>164.4</v>
      </c>
      <c r="AF36">
        <f t="shared" si="27"/>
        <v>2093</v>
      </c>
      <c r="AG36">
        <f t="shared" si="28"/>
        <v>163.4</v>
      </c>
      <c r="AH36">
        <f t="shared" si="29"/>
        <v>2092</v>
      </c>
    </row>
    <row r="37" spans="1:34" ht="19.5" customHeight="1" x14ac:dyDescent="0.3">
      <c r="A37" s="50">
        <f>'쪽쟘(실측)'!A37</f>
        <v>525</v>
      </c>
      <c r="B37" s="50" t="str">
        <f>'쪽쟘(실측)'!B37&amp;"F"</f>
        <v>4F</v>
      </c>
      <c r="C37" s="50" t="str">
        <f t="shared" si="21"/>
        <v>949*157.4</v>
      </c>
      <c r="D37" s="50">
        <f>'쪽쟘(실측)'!C37-쪽쟘OP차감</f>
        <v>899</v>
      </c>
      <c r="E37" s="50">
        <f>'쪽쟘(실측)'!D37+쪽쟘J늘림+MAX(W37:X37)</f>
        <v>109</v>
      </c>
      <c r="F37" s="50">
        <f>'쪽쟘(실측)'!E37+쪽쟘J늘림+MAX(W37:X37)</f>
        <v>108</v>
      </c>
      <c r="G37" s="67" t="str">
        <f t="shared" si="22"/>
        <v>2092*162.4</v>
      </c>
      <c r="H37" s="68" t="str">
        <f t="shared" si="23"/>
        <v>2094*162.4</v>
      </c>
      <c r="I37" s="50">
        <f>IF('쪽쟘(실측)'!F37&gt;0,'쪽쟘(실측)'!F37-3,0)+뒷날개치수더함</f>
        <v>25</v>
      </c>
      <c r="J37" s="50">
        <f>IF('쪽쟘(실측)'!H37&gt;0,'쪽쟘(실측)'!H37-3,0)+뒷날개치수더함</f>
        <v>25</v>
      </c>
      <c r="K37" s="50">
        <f>IF('쪽쟘(실측)'!F37&gt;0,'쪽쟘(실측)'!F37+0,0)+뒷날개치수더함</f>
        <v>28</v>
      </c>
      <c r="L37" s="50">
        <f>IF('쪽쟘(실측)'!G37&gt;0,'쪽쟘(실측)'!G37+0,0)+뒷날개치수더함</f>
        <v>28</v>
      </c>
      <c r="M37" s="50">
        <f>IF('쪽쟘(실측)'!H37&gt;0,'쪽쟘(실측)'!H37+0,0)+뒷날개치수더함</f>
        <v>28</v>
      </c>
      <c r="N37" s="50">
        <f>IF('쪽쟘(실측)'!I37&gt;0,'쪽쟘(실측)'!I37+0,0)+뒷날개치수더함</f>
        <v>28</v>
      </c>
      <c r="O37" s="50">
        <f>'쪽쟘(실측)'!J37-쪽쟘기둥차감</f>
        <v>2092</v>
      </c>
      <c r="P37" s="50">
        <f>'쪽쟘(실측)'!K37-쪽쟘기둥차감</f>
        <v>2092</v>
      </c>
      <c r="Q37" s="50">
        <f>'쪽쟘(실측)'!L37-쪽쟘기둥차감</f>
        <v>2094</v>
      </c>
      <c r="R37" s="50">
        <f>'쪽쟘(실측)'!M37-쪽쟘기둥차감</f>
        <v>2094</v>
      </c>
      <c r="S37" s="50">
        <f>'쪽쟘(실측)'!N37+뒷날개치수더함</f>
        <v>22</v>
      </c>
      <c r="T37" s="50">
        <f>'쪽쟘(실측)'!O37+뒷날개치수더함</f>
        <v>22</v>
      </c>
      <c r="U37" s="50">
        <f>'쪽쟘(실측)'!P37+뒷날개치수더함</f>
        <v>30</v>
      </c>
      <c r="V37" s="50">
        <f>'쪽쟘(실측)'!Q37+뒷날개치수더함</f>
        <v>30</v>
      </c>
      <c r="W37" s="50">
        <f>'쪽쟘(실측)'!R37-쪽쟘늘치차감</f>
        <v>0</v>
      </c>
      <c r="X37" s="50">
        <f>'쪽쟘(실측)'!S37-쪽쟘늘치차감</f>
        <v>0</v>
      </c>
      <c r="Y37" s="4">
        <f>IF('쪽쟘(실측)'!T37&gt;5,'쪽쟘(실측)'!T37+뒷날개치수더함,0)</f>
        <v>20</v>
      </c>
      <c r="Z37" s="4">
        <f>'쪽쟘(실측)'!U37</f>
        <v>10</v>
      </c>
      <c r="AA37" s="4">
        <f>'쪽쟘(실측)'!V37</f>
        <v>20</v>
      </c>
      <c r="AC37">
        <f t="shared" si="24"/>
        <v>949</v>
      </c>
      <c r="AD37">
        <f t="shared" si="25"/>
        <v>157.4</v>
      </c>
      <c r="AE37">
        <f t="shared" si="26"/>
        <v>162.4</v>
      </c>
      <c r="AF37">
        <f t="shared" si="27"/>
        <v>2092</v>
      </c>
      <c r="AG37">
        <f t="shared" si="28"/>
        <v>162.4</v>
      </c>
      <c r="AH37">
        <f t="shared" si="29"/>
        <v>2094</v>
      </c>
    </row>
    <row r="38" spans="1:34" ht="19.5" customHeight="1" x14ac:dyDescent="0.3">
      <c r="A38" s="50">
        <f>'쪽쟘(실측)'!A38</f>
        <v>525</v>
      </c>
      <c r="B38" s="50" t="str">
        <f>'쪽쟘(실측)'!B38&amp;"F"</f>
        <v>3F</v>
      </c>
      <c r="C38" s="50" t="str">
        <f t="shared" si="21"/>
        <v>952*155.4</v>
      </c>
      <c r="D38" s="50">
        <f>'쪽쟘(실측)'!C38-쪽쟘OP차감</f>
        <v>898</v>
      </c>
      <c r="E38" s="50">
        <f>'쪽쟘(실측)'!D38+쪽쟘J늘림+MAX(W38:X38)</f>
        <v>109</v>
      </c>
      <c r="F38" s="50">
        <f>'쪽쟘(실측)'!E38+쪽쟘J늘림+MAX(W38:X38)</f>
        <v>108</v>
      </c>
      <c r="G38" s="67" t="str">
        <f t="shared" si="22"/>
        <v>2088*164.4</v>
      </c>
      <c r="H38" s="68" t="str">
        <f t="shared" si="23"/>
        <v>2088*164.4</v>
      </c>
      <c r="I38" s="50">
        <f>IF('쪽쟘(실측)'!F38&gt;0,'쪽쟘(실측)'!F38-3,0)+뒷날개치수더함</f>
        <v>27</v>
      </c>
      <c r="J38" s="50">
        <f>IF('쪽쟘(실측)'!H38&gt;0,'쪽쟘(실측)'!H38-3,0)+뒷날개치수더함</f>
        <v>27</v>
      </c>
      <c r="K38" s="50">
        <f>IF('쪽쟘(실측)'!F38&gt;0,'쪽쟘(실측)'!F38+0,0)+뒷날개치수더함</f>
        <v>30</v>
      </c>
      <c r="L38" s="50">
        <f>IF('쪽쟘(실측)'!G38&gt;0,'쪽쟘(실측)'!G38+0,0)+뒷날개치수더함</f>
        <v>30</v>
      </c>
      <c r="M38" s="50">
        <f>IF('쪽쟘(실측)'!H38&gt;0,'쪽쟘(실측)'!H38+0,0)+뒷날개치수더함</f>
        <v>30</v>
      </c>
      <c r="N38" s="50">
        <f>IF('쪽쟘(실측)'!I38&gt;0,'쪽쟘(실측)'!I38+0,0)+뒷날개치수더함</f>
        <v>30</v>
      </c>
      <c r="O38" s="50">
        <f>'쪽쟘(실측)'!J38-쪽쟘기둥차감</f>
        <v>2088</v>
      </c>
      <c r="P38" s="50">
        <f>'쪽쟘(실측)'!K38-쪽쟘기둥차감</f>
        <v>2088</v>
      </c>
      <c r="Q38" s="50">
        <f>'쪽쟘(실측)'!L38-쪽쟘기둥차감</f>
        <v>2088</v>
      </c>
      <c r="R38" s="50">
        <f>'쪽쟘(실측)'!M38-쪽쟘기둥차감</f>
        <v>2088</v>
      </c>
      <c r="S38" s="50">
        <f>'쪽쟘(실측)'!N38+뒷날개치수더함</f>
        <v>20</v>
      </c>
      <c r="T38" s="50">
        <f>'쪽쟘(실측)'!O38+뒷날개치수더함</f>
        <v>20</v>
      </c>
      <c r="U38" s="50">
        <f>'쪽쟘(실측)'!P38+뒷날개치수더함</f>
        <v>30</v>
      </c>
      <c r="V38" s="50">
        <f>'쪽쟘(실측)'!Q38+뒷날개치수더함</f>
        <v>30</v>
      </c>
      <c r="W38" s="50">
        <f>'쪽쟘(실측)'!R38-쪽쟘늘치차감</f>
        <v>0</v>
      </c>
      <c r="X38" s="50">
        <f>'쪽쟘(실측)'!S38-쪽쟘늘치차감</f>
        <v>0</v>
      </c>
      <c r="Y38" s="4">
        <f>IF('쪽쟘(실측)'!T38&gt;5,'쪽쟘(실측)'!T38+뒷날개치수더함,0)</f>
        <v>20</v>
      </c>
      <c r="Z38" s="4">
        <f>'쪽쟘(실측)'!U38</f>
        <v>10</v>
      </c>
      <c r="AA38" s="4">
        <f>'쪽쟘(실측)'!V38</f>
        <v>20</v>
      </c>
      <c r="AC38">
        <f t="shared" si="24"/>
        <v>952</v>
      </c>
      <c r="AD38">
        <f t="shared" si="25"/>
        <v>155.4</v>
      </c>
      <c r="AE38">
        <f t="shared" si="26"/>
        <v>164.4</v>
      </c>
      <c r="AF38">
        <f t="shared" si="27"/>
        <v>2088</v>
      </c>
      <c r="AG38">
        <f t="shared" si="28"/>
        <v>164.4</v>
      </c>
      <c r="AH38">
        <f t="shared" si="29"/>
        <v>2088</v>
      </c>
    </row>
    <row r="39" spans="1:34" ht="19.5" customHeight="1" x14ac:dyDescent="0.3">
      <c r="A39" s="50">
        <f>'쪽쟘(실측)'!A39</f>
        <v>525</v>
      </c>
      <c r="B39" s="50" t="str">
        <f>'쪽쟘(실측)'!B39&amp;"F"</f>
        <v>2F</v>
      </c>
      <c r="C39" s="50" t="str">
        <f t="shared" si="21"/>
        <v>950*155.4</v>
      </c>
      <c r="D39" s="50">
        <f>'쪽쟘(실측)'!C39-쪽쟘OP차감</f>
        <v>898</v>
      </c>
      <c r="E39" s="50">
        <f>'쪽쟘(실측)'!D39+쪽쟘J늘림+MAX(W39:X39)</f>
        <v>109</v>
      </c>
      <c r="F39" s="50">
        <f>'쪽쟘(실측)'!E39+쪽쟘J늘림+MAX(W39:X39)</f>
        <v>108</v>
      </c>
      <c r="G39" s="67" t="str">
        <f t="shared" si="22"/>
        <v>2094*162.4</v>
      </c>
      <c r="H39" s="68" t="str">
        <f t="shared" si="23"/>
        <v>2094*164.4</v>
      </c>
      <c r="I39" s="50">
        <f>IF('쪽쟘(실측)'!F39&gt;0,'쪽쟘(실측)'!F39-3,0)+뒷날개치수더함</f>
        <v>25</v>
      </c>
      <c r="J39" s="50">
        <f>IF('쪽쟘(실측)'!H39&gt;0,'쪽쟘(실측)'!H39-3,0)+뒷날개치수더함</f>
        <v>27</v>
      </c>
      <c r="K39" s="50">
        <f>IF('쪽쟘(실측)'!F39&gt;0,'쪽쟘(실측)'!F39+0,0)+뒷날개치수더함</f>
        <v>28</v>
      </c>
      <c r="L39" s="50">
        <f>IF('쪽쟘(실측)'!G39&gt;0,'쪽쟘(실측)'!G39+0,0)+뒷날개치수더함</f>
        <v>28</v>
      </c>
      <c r="M39" s="50">
        <f>IF('쪽쟘(실측)'!H39&gt;0,'쪽쟘(실측)'!H39+0,0)+뒷날개치수더함</f>
        <v>30</v>
      </c>
      <c r="N39" s="50">
        <f>IF('쪽쟘(실측)'!I39&gt;0,'쪽쟘(실측)'!I39+0,0)+뒷날개치수더함</f>
        <v>30</v>
      </c>
      <c r="O39" s="50">
        <f>'쪽쟘(실측)'!J39-쪽쟘기둥차감</f>
        <v>2094</v>
      </c>
      <c r="P39" s="50">
        <f>'쪽쟘(실측)'!K39-쪽쟘기둥차감</f>
        <v>2090</v>
      </c>
      <c r="Q39" s="50">
        <f>'쪽쟘(실측)'!L39-쪽쟘기둥차감</f>
        <v>2094</v>
      </c>
      <c r="R39" s="50">
        <f>'쪽쟘(실측)'!M39-쪽쟘기둥차감</f>
        <v>2090</v>
      </c>
      <c r="S39" s="50">
        <f>'쪽쟘(실측)'!N39+뒷날개치수더함</f>
        <v>20</v>
      </c>
      <c r="T39" s="50">
        <f>'쪽쟘(실측)'!O39+뒷날개치수더함</f>
        <v>20</v>
      </c>
      <c r="U39" s="50">
        <f>'쪽쟘(실측)'!P39+뒷날개치수더함</f>
        <v>30</v>
      </c>
      <c r="V39" s="50">
        <f>'쪽쟘(실측)'!Q39+뒷날개치수더함</f>
        <v>30</v>
      </c>
      <c r="W39" s="50">
        <f>'쪽쟘(실측)'!R39-쪽쟘늘치차감</f>
        <v>0</v>
      </c>
      <c r="X39" s="50">
        <f>'쪽쟘(실측)'!S39-쪽쟘늘치차감</f>
        <v>0</v>
      </c>
      <c r="Y39" s="4">
        <f>IF('쪽쟘(실측)'!T39&gt;5,'쪽쟘(실측)'!T39+뒷날개치수더함,0)</f>
        <v>20</v>
      </c>
      <c r="Z39" s="4">
        <f>'쪽쟘(실측)'!U39</f>
        <v>10</v>
      </c>
      <c r="AA39" s="4">
        <f>'쪽쟘(실측)'!V39</f>
        <v>20</v>
      </c>
      <c r="AC39">
        <f t="shared" si="24"/>
        <v>950</v>
      </c>
      <c r="AD39">
        <f t="shared" si="25"/>
        <v>155.4</v>
      </c>
      <c r="AE39">
        <f t="shared" si="26"/>
        <v>162.4</v>
      </c>
      <c r="AF39">
        <f t="shared" si="27"/>
        <v>2094</v>
      </c>
      <c r="AG39">
        <f t="shared" si="28"/>
        <v>164.4</v>
      </c>
      <c r="AH39">
        <f t="shared" si="29"/>
        <v>2094</v>
      </c>
    </row>
    <row r="40" spans="1:34" ht="19.5" customHeight="1" x14ac:dyDescent="0.3">
      <c r="A40" s="50">
        <f>'쪽쟘(실측)'!A40</f>
        <v>528</v>
      </c>
      <c r="B40" s="50" t="str">
        <f>'쪽쟘(실측)'!B40&amp;"F"</f>
        <v>20F</v>
      </c>
      <c r="C40" s="50" t="str">
        <f t="shared" si="21"/>
        <v>940*170.4</v>
      </c>
      <c r="D40" s="50">
        <f>'쪽쟘(실측)'!C40-쪽쟘OP차감</f>
        <v>898</v>
      </c>
      <c r="E40" s="50">
        <f>'쪽쟘(실측)'!D40+쪽쟘J늘림+MAX(W40:X40)</f>
        <v>109</v>
      </c>
      <c r="F40" s="50">
        <f>'쪽쟘(실측)'!E40+쪽쟘J늘림+MAX(W40:X40)</f>
        <v>108</v>
      </c>
      <c r="G40" s="67" t="str">
        <f t="shared" si="22"/>
        <v>2093*162.4</v>
      </c>
      <c r="H40" s="68" t="str">
        <f t="shared" si="23"/>
        <v>2090*154.4</v>
      </c>
      <c r="I40" s="50">
        <f>IF('쪽쟘(실측)'!F40&gt;0,'쪽쟘(실측)'!F40-3,0)+뒷날개치수더함</f>
        <v>25</v>
      </c>
      <c r="J40" s="50">
        <f>IF('쪽쟘(실측)'!H40&gt;0,'쪽쟘(실측)'!H40-3,0)+뒷날개치수더함</f>
        <v>17</v>
      </c>
      <c r="K40" s="50">
        <f>IF('쪽쟘(실측)'!F40&gt;0,'쪽쟘(실측)'!F40+0,0)+뒷날개치수더함</f>
        <v>28</v>
      </c>
      <c r="L40" s="50">
        <f>IF('쪽쟘(실측)'!G40&gt;0,'쪽쟘(실측)'!G40+0,0)+뒷날개치수더함</f>
        <v>28</v>
      </c>
      <c r="M40" s="50">
        <f>IF('쪽쟘(실측)'!H40&gt;0,'쪽쟘(실측)'!H40+0,0)+뒷날개치수더함</f>
        <v>20</v>
      </c>
      <c r="N40" s="50">
        <f>IF('쪽쟘(실측)'!I40&gt;0,'쪽쟘(실측)'!I40+0,0)+뒷날개치수더함</f>
        <v>20</v>
      </c>
      <c r="O40" s="50">
        <f>'쪽쟘(실측)'!J40-쪽쟘기둥차감</f>
        <v>2093</v>
      </c>
      <c r="P40" s="50">
        <f>'쪽쟘(실측)'!K40-쪽쟘기둥차감</f>
        <v>2090</v>
      </c>
      <c r="Q40" s="50">
        <f>'쪽쟘(실측)'!L40-쪽쟘기둥차감</f>
        <v>2090</v>
      </c>
      <c r="R40" s="50">
        <f>'쪽쟘(실측)'!M40-쪽쟘기둥차감</f>
        <v>2090</v>
      </c>
      <c r="S40" s="50">
        <f>'쪽쟘(실측)'!N40+뒷날개치수더함</f>
        <v>35</v>
      </c>
      <c r="T40" s="50">
        <f>'쪽쟘(실측)'!O40+뒷날개치수더함</f>
        <v>31</v>
      </c>
      <c r="U40" s="50">
        <f>'쪽쟘(실측)'!P40+뒷날개치수더함</f>
        <v>30</v>
      </c>
      <c r="V40" s="50">
        <f>'쪽쟘(실측)'!Q40+뒷날개치수더함</f>
        <v>30</v>
      </c>
      <c r="W40" s="50">
        <f>'쪽쟘(실측)'!R40-쪽쟘늘치차감</f>
        <v>0</v>
      </c>
      <c r="X40" s="50">
        <f>'쪽쟘(실측)'!S40-쪽쟘늘치차감</f>
        <v>0</v>
      </c>
      <c r="Y40" s="4">
        <f>IF('쪽쟘(실측)'!T40&gt;5,'쪽쟘(실측)'!T40+뒷날개치수더함,0)</f>
        <v>20</v>
      </c>
      <c r="Z40" s="4">
        <f>'쪽쟘(실측)'!U40</f>
        <v>10</v>
      </c>
      <c r="AA40" s="4">
        <f>'쪽쟘(실측)'!V40</f>
        <v>20</v>
      </c>
      <c r="AC40">
        <f t="shared" si="24"/>
        <v>940</v>
      </c>
      <c r="AD40">
        <f t="shared" si="25"/>
        <v>170.4</v>
      </c>
      <c r="AE40">
        <f t="shared" si="26"/>
        <v>162.4</v>
      </c>
      <c r="AF40">
        <f t="shared" si="27"/>
        <v>2093</v>
      </c>
      <c r="AG40">
        <f t="shared" si="28"/>
        <v>154.4</v>
      </c>
      <c r="AH40">
        <f t="shared" si="29"/>
        <v>2090</v>
      </c>
    </row>
    <row r="41" spans="1:34" ht="19.5" customHeight="1" x14ac:dyDescent="0.3">
      <c r="A41" s="50">
        <f>'쪽쟘(실측)'!A41</f>
        <v>528</v>
      </c>
      <c r="B41" s="50" t="str">
        <f>'쪽쟘(실측)'!B41&amp;"F"</f>
        <v>19F</v>
      </c>
      <c r="C41" s="50" t="str">
        <f t="shared" si="21"/>
        <v>935*160.4</v>
      </c>
      <c r="D41" s="50">
        <f>'쪽쟘(실측)'!C41-쪽쟘OP차감</f>
        <v>898</v>
      </c>
      <c r="E41" s="50">
        <f>'쪽쟘(실측)'!D41+쪽쟘J늘림+MAX(W41:X41)</f>
        <v>109</v>
      </c>
      <c r="F41" s="50">
        <f>'쪽쟘(실측)'!E41+쪽쟘J늘림+MAX(W41:X41)</f>
        <v>108</v>
      </c>
      <c r="G41" s="67" t="str">
        <f t="shared" si="22"/>
        <v>2087*156.4</v>
      </c>
      <c r="H41" s="68" t="str">
        <f t="shared" si="23"/>
        <v>2086*155.4</v>
      </c>
      <c r="I41" s="50">
        <f>IF('쪽쟘(실측)'!F41&gt;0,'쪽쟘(실측)'!F41-3,0)+뒷날개치수더함</f>
        <v>19</v>
      </c>
      <c r="J41" s="50">
        <f>IF('쪽쟘(실측)'!H41&gt;0,'쪽쟘(실측)'!H41-3,0)+뒷날개치수더함</f>
        <v>18</v>
      </c>
      <c r="K41" s="50">
        <f>IF('쪽쟘(실측)'!F41&gt;0,'쪽쟘(실측)'!F41+0,0)+뒷날개치수더함</f>
        <v>22</v>
      </c>
      <c r="L41" s="50">
        <f>IF('쪽쟘(실측)'!G41&gt;0,'쪽쟘(실측)'!G41+0,0)+뒷날개치수더함</f>
        <v>22</v>
      </c>
      <c r="M41" s="50">
        <f>IF('쪽쟘(실측)'!H41&gt;0,'쪽쟘(실측)'!H41+0,0)+뒷날개치수더함</f>
        <v>21</v>
      </c>
      <c r="N41" s="50">
        <f>IF('쪽쟘(실측)'!I41&gt;0,'쪽쟘(실측)'!I41+0,0)+뒷날개치수더함</f>
        <v>21</v>
      </c>
      <c r="O41" s="50">
        <f>'쪽쟘(실측)'!J41-쪽쟘기둥차감</f>
        <v>2087</v>
      </c>
      <c r="P41" s="50">
        <f>'쪽쟘(실측)'!K41-쪽쟘기둥차감</f>
        <v>2084</v>
      </c>
      <c r="Q41" s="50">
        <f>'쪽쟘(실측)'!L41-쪽쟘기둥차감</f>
        <v>2086</v>
      </c>
      <c r="R41" s="50">
        <f>'쪽쟘(실측)'!M41-쪽쟘기둥차감</f>
        <v>2083</v>
      </c>
      <c r="S41" s="50">
        <f>'쪽쟘(실측)'!N41+뒷날개치수더함</f>
        <v>25</v>
      </c>
      <c r="T41" s="50">
        <f>'쪽쟘(실측)'!O41+뒷날개치수더함</f>
        <v>25</v>
      </c>
      <c r="U41" s="50">
        <f>'쪽쟘(실측)'!P41+뒷날개치수더함</f>
        <v>30</v>
      </c>
      <c r="V41" s="50">
        <f>'쪽쟘(실측)'!Q41+뒷날개치수더함</f>
        <v>30</v>
      </c>
      <c r="W41" s="50">
        <f>'쪽쟘(실측)'!R41-쪽쟘늘치차감</f>
        <v>0</v>
      </c>
      <c r="X41" s="50">
        <f>'쪽쟘(실측)'!S41-쪽쟘늘치차감</f>
        <v>0</v>
      </c>
      <c r="Y41" s="4">
        <f>IF('쪽쟘(실측)'!T41&gt;5,'쪽쟘(실측)'!T41+뒷날개치수더함,0)</f>
        <v>20</v>
      </c>
      <c r="Z41" s="4">
        <f>'쪽쟘(실측)'!U41</f>
        <v>10</v>
      </c>
      <c r="AA41" s="4">
        <f>'쪽쟘(실측)'!V41</f>
        <v>20</v>
      </c>
      <c r="AC41">
        <f t="shared" si="24"/>
        <v>935</v>
      </c>
      <c r="AD41">
        <f t="shared" si="25"/>
        <v>160.4</v>
      </c>
      <c r="AE41">
        <f t="shared" si="26"/>
        <v>156.4</v>
      </c>
      <c r="AF41">
        <f t="shared" si="27"/>
        <v>2087</v>
      </c>
      <c r="AG41">
        <f t="shared" si="28"/>
        <v>155.4</v>
      </c>
      <c r="AH41">
        <f t="shared" si="29"/>
        <v>2086</v>
      </c>
    </row>
    <row r="42" spans="1:34" ht="19.5" customHeight="1" x14ac:dyDescent="0.3">
      <c r="A42" s="50">
        <f>'쪽쟘(실측)'!A42</f>
        <v>528</v>
      </c>
      <c r="B42" s="50" t="str">
        <f>'쪽쟘(실측)'!B42&amp;"F"</f>
        <v>18F</v>
      </c>
      <c r="C42" s="50" t="str">
        <f t="shared" si="21"/>
        <v>934*161.4</v>
      </c>
      <c r="D42" s="50">
        <f>'쪽쟘(실측)'!C42-쪽쟘OP차감</f>
        <v>899</v>
      </c>
      <c r="E42" s="50">
        <f>'쪽쟘(실측)'!D42+쪽쟘J늘림+MAX(W42:X42)</f>
        <v>109</v>
      </c>
      <c r="F42" s="50">
        <f>'쪽쟘(실측)'!E42+쪽쟘J늘림+MAX(W42:X42)</f>
        <v>108</v>
      </c>
      <c r="G42" s="67" t="str">
        <f t="shared" si="22"/>
        <v>2093*161.4</v>
      </c>
      <c r="H42" s="68" t="str">
        <f t="shared" si="23"/>
        <v>2090*154.4</v>
      </c>
      <c r="I42" s="50">
        <f>IF('쪽쟘(실측)'!F42&gt;0,'쪽쟘(실측)'!F42-3,0)+뒷날개치수더함</f>
        <v>18</v>
      </c>
      <c r="J42" s="50">
        <f>IF('쪽쟘(실측)'!H42&gt;0,'쪽쟘(실측)'!H42-3,0)+뒷날개치수더함</f>
        <v>17</v>
      </c>
      <c r="K42" s="50">
        <f>IF('쪽쟘(실측)'!F42&gt;0,'쪽쟘(실측)'!F42+0,0)+뒷날개치수더함</f>
        <v>21</v>
      </c>
      <c r="L42" s="50">
        <f>IF('쪽쟘(실측)'!G42&gt;0,'쪽쟘(실측)'!G42+0,0)+뒷날개치수더함</f>
        <v>27</v>
      </c>
      <c r="M42" s="50">
        <f>IF('쪽쟘(실측)'!H42&gt;0,'쪽쟘(실측)'!H42+0,0)+뒷날개치수더함</f>
        <v>20</v>
      </c>
      <c r="N42" s="50">
        <f>IF('쪽쟘(실측)'!I42&gt;0,'쪽쟘(실측)'!I42+0,0)+뒷날개치수더함</f>
        <v>20</v>
      </c>
      <c r="O42" s="50">
        <f>'쪽쟘(실측)'!J42-쪽쟘기둥차감</f>
        <v>2093</v>
      </c>
      <c r="P42" s="50">
        <f>'쪽쟘(실측)'!K42-쪽쟘기둥차감</f>
        <v>2090</v>
      </c>
      <c r="Q42" s="50">
        <f>'쪽쟘(실측)'!L42-쪽쟘기둥차감</f>
        <v>2090</v>
      </c>
      <c r="R42" s="50">
        <f>'쪽쟘(실측)'!M42-쪽쟘기둥차감</f>
        <v>2090</v>
      </c>
      <c r="S42" s="50">
        <f>'쪽쟘(실측)'!N42+뒷날개치수더함</f>
        <v>23</v>
      </c>
      <c r="T42" s="50">
        <f>'쪽쟘(실측)'!O42+뒷날개치수더함</f>
        <v>26</v>
      </c>
      <c r="U42" s="50">
        <f>'쪽쟘(실측)'!P42+뒷날개치수더함</f>
        <v>30</v>
      </c>
      <c r="V42" s="50">
        <f>'쪽쟘(실측)'!Q42+뒷날개치수더함</f>
        <v>30</v>
      </c>
      <c r="W42" s="50">
        <f>'쪽쟘(실측)'!R42-쪽쟘늘치차감</f>
        <v>0</v>
      </c>
      <c r="X42" s="50">
        <f>'쪽쟘(실측)'!S42-쪽쟘늘치차감</f>
        <v>0</v>
      </c>
      <c r="Y42" s="4">
        <f>IF('쪽쟘(실측)'!T42&gt;5,'쪽쟘(실측)'!T42+뒷날개치수더함,0)</f>
        <v>20</v>
      </c>
      <c r="Z42" s="4">
        <f>'쪽쟘(실측)'!U42</f>
        <v>10</v>
      </c>
      <c r="AA42" s="4">
        <f>'쪽쟘(실측)'!V42</f>
        <v>20</v>
      </c>
      <c r="AC42">
        <f t="shared" si="24"/>
        <v>934</v>
      </c>
      <c r="AD42">
        <f t="shared" si="25"/>
        <v>161.4</v>
      </c>
      <c r="AE42">
        <f t="shared" si="26"/>
        <v>161.4</v>
      </c>
      <c r="AF42">
        <f t="shared" si="27"/>
        <v>2093</v>
      </c>
      <c r="AG42">
        <f t="shared" si="28"/>
        <v>154.4</v>
      </c>
      <c r="AH42">
        <f t="shared" si="29"/>
        <v>2090</v>
      </c>
    </row>
    <row r="43" spans="1:34" ht="19.5" customHeight="1" x14ac:dyDescent="0.3">
      <c r="A43" s="50">
        <f>'쪽쟘(실측)'!A43</f>
        <v>528</v>
      </c>
      <c r="B43" s="50" t="str">
        <f>'쪽쟘(실측)'!B43&amp;"F"</f>
        <v>17F</v>
      </c>
      <c r="C43" s="50" t="str">
        <f t="shared" si="21"/>
        <v>947*165.4</v>
      </c>
      <c r="D43" s="50">
        <f>'쪽쟘(실측)'!C43-쪽쟘OP차감</f>
        <v>899</v>
      </c>
      <c r="E43" s="50">
        <f>'쪽쟘(실측)'!D43+쪽쟘J늘림+MAX(W43:X43)</f>
        <v>109</v>
      </c>
      <c r="F43" s="50">
        <f>'쪽쟘(실측)'!E43+쪽쟘J늘림+MAX(W43:X43)</f>
        <v>108</v>
      </c>
      <c r="G43" s="67" t="str">
        <f t="shared" si="22"/>
        <v>2093*161.4</v>
      </c>
      <c r="H43" s="68" t="str">
        <f t="shared" si="23"/>
        <v>2090*161.4</v>
      </c>
      <c r="I43" s="50">
        <f>IF('쪽쟘(실측)'!F43&gt;0,'쪽쟘(실측)'!F43-3,0)+뒷날개치수더함</f>
        <v>24</v>
      </c>
      <c r="J43" s="50">
        <f>IF('쪽쟘(실측)'!H43&gt;0,'쪽쟘(실측)'!H43-3,0)+뒷날개치수더함</f>
        <v>24</v>
      </c>
      <c r="K43" s="50">
        <f>IF('쪽쟘(실측)'!F43&gt;0,'쪽쟘(실측)'!F43+0,0)+뒷날개치수더함</f>
        <v>27</v>
      </c>
      <c r="L43" s="50">
        <f>IF('쪽쟘(실측)'!G43&gt;0,'쪽쟘(실측)'!G43+0,0)+뒷날개치수더함</f>
        <v>23</v>
      </c>
      <c r="M43" s="50">
        <f>IF('쪽쟘(실측)'!H43&gt;0,'쪽쟘(실측)'!H43+0,0)+뒷날개치수더함</f>
        <v>27</v>
      </c>
      <c r="N43" s="50">
        <f>IF('쪽쟘(실측)'!I43&gt;0,'쪽쟘(실측)'!I43+0,0)+뒷날개치수더함</f>
        <v>27</v>
      </c>
      <c r="O43" s="50">
        <f>'쪽쟘(실측)'!J43-쪽쟘기둥차감</f>
        <v>2093</v>
      </c>
      <c r="P43" s="50">
        <f>'쪽쟘(실측)'!K43-쪽쟘기둥차감</f>
        <v>2090</v>
      </c>
      <c r="Q43" s="50">
        <f>'쪽쟘(실측)'!L43-쪽쟘기둥차감</f>
        <v>2090</v>
      </c>
      <c r="R43" s="50">
        <f>'쪽쟘(실측)'!M43-쪽쟘기둥차감</f>
        <v>2090</v>
      </c>
      <c r="S43" s="50">
        <f>'쪽쟘(실측)'!N43+뒷날개치수더함</f>
        <v>30</v>
      </c>
      <c r="T43" s="50">
        <f>'쪽쟘(실측)'!O43+뒷날개치수더함</f>
        <v>30</v>
      </c>
      <c r="U43" s="50">
        <f>'쪽쟘(실측)'!P43+뒷날개치수더함</f>
        <v>30</v>
      </c>
      <c r="V43" s="50">
        <f>'쪽쟘(실측)'!Q43+뒷날개치수더함</f>
        <v>30</v>
      </c>
      <c r="W43" s="50">
        <f>'쪽쟘(실측)'!R43-쪽쟘늘치차감</f>
        <v>0</v>
      </c>
      <c r="X43" s="50">
        <f>'쪽쟘(실측)'!S43-쪽쟘늘치차감</f>
        <v>0</v>
      </c>
      <c r="Y43" s="4">
        <f>IF('쪽쟘(실측)'!T43&gt;5,'쪽쟘(실측)'!T43+뒷날개치수더함,0)</f>
        <v>20</v>
      </c>
      <c r="Z43" s="4">
        <f>'쪽쟘(실측)'!U43</f>
        <v>10</v>
      </c>
      <c r="AA43" s="4">
        <f>'쪽쟘(실측)'!V43</f>
        <v>20</v>
      </c>
      <c r="AC43">
        <f t="shared" si="24"/>
        <v>947</v>
      </c>
      <c r="AD43">
        <f t="shared" si="25"/>
        <v>165.4</v>
      </c>
      <c r="AE43">
        <f t="shared" si="26"/>
        <v>161.4</v>
      </c>
      <c r="AF43">
        <f t="shared" si="27"/>
        <v>2093</v>
      </c>
      <c r="AG43">
        <f t="shared" si="28"/>
        <v>161.4</v>
      </c>
      <c r="AH43">
        <f t="shared" si="29"/>
        <v>2090</v>
      </c>
    </row>
    <row r="44" spans="1:34" ht="19.5" customHeight="1" x14ac:dyDescent="0.3">
      <c r="A44" s="50">
        <f>'쪽쟘(실측)'!A44</f>
        <v>528</v>
      </c>
      <c r="B44" s="50" t="str">
        <f>'쪽쟘(실측)'!B44&amp;"F"</f>
        <v>16F</v>
      </c>
      <c r="C44" s="50" t="str">
        <f t="shared" si="21"/>
        <v>932*162.4</v>
      </c>
      <c r="D44" s="50">
        <f>'쪽쟘(실측)'!C44-쪽쟘OP차감</f>
        <v>899</v>
      </c>
      <c r="E44" s="50">
        <f>'쪽쟘(실측)'!D44+쪽쟘J늘림+MAX(W44:X44)</f>
        <v>109</v>
      </c>
      <c r="F44" s="50">
        <f>'쪽쟘(실측)'!E44+쪽쟘J늘림+MAX(W44:X44)</f>
        <v>108</v>
      </c>
      <c r="G44" s="67" t="str">
        <f t="shared" si="22"/>
        <v>2090*153.4</v>
      </c>
      <c r="H44" s="68" t="str">
        <f t="shared" si="23"/>
        <v>2090*154.4</v>
      </c>
      <c r="I44" s="50">
        <f>IF('쪽쟘(실측)'!F44&gt;0,'쪽쟘(실측)'!F44-3,0)+뒷날개치수더함</f>
        <v>16</v>
      </c>
      <c r="J44" s="50">
        <f>IF('쪽쟘(실측)'!H44&gt;0,'쪽쟘(실측)'!H44-3,0)+뒷날개치수더함</f>
        <v>17</v>
      </c>
      <c r="K44" s="50">
        <f>IF('쪽쟘(실측)'!F44&gt;0,'쪽쟘(실측)'!F44+0,0)+뒷날개치수더함</f>
        <v>19</v>
      </c>
      <c r="L44" s="50">
        <f>IF('쪽쟘(실측)'!G44&gt;0,'쪽쟘(실측)'!G44+0,0)+뒷날개치수더함</f>
        <v>19</v>
      </c>
      <c r="M44" s="50">
        <f>IF('쪽쟘(실측)'!H44&gt;0,'쪽쟘(실측)'!H44+0,0)+뒷날개치수더함</f>
        <v>20</v>
      </c>
      <c r="N44" s="50">
        <f>IF('쪽쟘(실측)'!I44&gt;0,'쪽쟘(실측)'!I44+0,0)+뒷날개치수더함</f>
        <v>20</v>
      </c>
      <c r="O44" s="50">
        <f>'쪽쟘(실측)'!J44-쪽쟘기둥차감</f>
        <v>2090</v>
      </c>
      <c r="P44" s="50">
        <f>'쪽쟘(실측)'!K44-쪽쟘기둥차감</f>
        <v>2090</v>
      </c>
      <c r="Q44" s="50">
        <f>'쪽쟘(실측)'!L44-쪽쟘기둥차감</f>
        <v>2090</v>
      </c>
      <c r="R44" s="50">
        <f>'쪽쟘(실측)'!M44-쪽쟘기둥차감</f>
        <v>2090</v>
      </c>
      <c r="S44" s="50">
        <f>'쪽쟘(실측)'!N44+뒷날개치수더함</f>
        <v>27</v>
      </c>
      <c r="T44" s="50">
        <f>'쪽쟘(실측)'!O44+뒷날개치수더함</f>
        <v>27</v>
      </c>
      <c r="U44" s="50">
        <f>'쪽쟘(실측)'!P44+뒷날개치수더함</f>
        <v>30</v>
      </c>
      <c r="V44" s="50">
        <f>'쪽쟘(실측)'!Q44+뒷날개치수더함</f>
        <v>30</v>
      </c>
      <c r="W44" s="50">
        <f>'쪽쟘(실측)'!R44-쪽쟘늘치차감</f>
        <v>0</v>
      </c>
      <c r="X44" s="50">
        <f>'쪽쟘(실측)'!S44-쪽쟘늘치차감</f>
        <v>0</v>
      </c>
      <c r="Y44" s="4">
        <f>IF('쪽쟘(실측)'!T44&gt;5,'쪽쟘(실측)'!T44+뒷날개치수더함,0)</f>
        <v>20</v>
      </c>
      <c r="Z44" s="4">
        <f>'쪽쟘(실측)'!U44</f>
        <v>10</v>
      </c>
      <c r="AA44" s="4">
        <f>'쪽쟘(실측)'!V44</f>
        <v>20</v>
      </c>
      <c r="AC44">
        <f t="shared" si="24"/>
        <v>932</v>
      </c>
      <c r="AD44">
        <f t="shared" si="25"/>
        <v>162.4</v>
      </c>
      <c r="AE44">
        <f t="shared" si="26"/>
        <v>153.4</v>
      </c>
      <c r="AF44">
        <f t="shared" si="27"/>
        <v>2090</v>
      </c>
      <c r="AG44">
        <f t="shared" si="28"/>
        <v>154.4</v>
      </c>
      <c r="AH44">
        <f t="shared" si="29"/>
        <v>2090</v>
      </c>
    </row>
    <row r="45" spans="1:34" ht="19.5" customHeight="1" x14ac:dyDescent="0.3">
      <c r="A45" s="50">
        <f>'쪽쟘(실측)'!A45</f>
        <v>528</v>
      </c>
      <c r="B45" s="50" t="str">
        <f>'쪽쟘(실측)'!B45&amp;"F"</f>
        <v>15F</v>
      </c>
      <c r="C45" s="50" t="str">
        <f t="shared" si="21"/>
        <v>932*166.4</v>
      </c>
      <c r="D45" s="50">
        <f>'쪽쟘(실측)'!C45-쪽쟘OP차감</f>
        <v>898</v>
      </c>
      <c r="E45" s="50">
        <f>'쪽쟘(실측)'!D45+쪽쟘J늘림+MAX(W45:X45)</f>
        <v>109</v>
      </c>
      <c r="F45" s="50">
        <f>'쪽쟘(실측)'!E45+쪽쟘J늘림+MAX(W45:X45)</f>
        <v>108</v>
      </c>
      <c r="G45" s="67" t="str">
        <f t="shared" si="22"/>
        <v>2092*154.4</v>
      </c>
      <c r="H45" s="68" t="str">
        <f t="shared" si="23"/>
        <v>2092*154.4</v>
      </c>
      <c r="I45" s="50">
        <f>IF('쪽쟘(실측)'!F45&gt;0,'쪽쟘(실측)'!F45-3,0)+뒷날개치수더함</f>
        <v>17</v>
      </c>
      <c r="J45" s="50">
        <f>IF('쪽쟘(실측)'!H45&gt;0,'쪽쟘(실측)'!H45-3,0)+뒷날개치수더함</f>
        <v>17</v>
      </c>
      <c r="K45" s="50">
        <f>IF('쪽쟘(실측)'!F45&gt;0,'쪽쟘(실측)'!F45+0,0)+뒷날개치수더함</f>
        <v>20</v>
      </c>
      <c r="L45" s="50">
        <f>IF('쪽쟘(실측)'!G45&gt;0,'쪽쟘(실측)'!G45+0,0)+뒷날개치수더함</f>
        <v>20</v>
      </c>
      <c r="M45" s="50">
        <f>IF('쪽쟘(실측)'!H45&gt;0,'쪽쟘(실측)'!H45+0,0)+뒷날개치수더함</f>
        <v>20</v>
      </c>
      <c r="N45" s="50">
        <f>IF('쪽쟘(실측)'!I45&gt;0,'쪽쟘(실측)'!I45+0,0)+뒷날개치수더함</f>
        <v>20</v>
      </c>
      <c r="O45" s="50">
        <f>'쪽쟘(실측)'!J45-쪽쟘기둥차감</f>
        <v>2092</v>
      </c>
      <c r="P45" s="50">
        <f>'쪽쟘(실측)'!K45-쪽쟘기둥차감</f>
        <v>2092</v>
      </c>
      <c r="Q45" s="50">
        <f>'쪽쟘(실측)'!L45-쪽쟘기둥차감</f>
        <v>2092</v>
      </c>
      <c r="R45" s="50">
        <f>'쪽쟘(실측)'!M45-쪽쟘기둥차감</f>
        <v>2092</v>
      </c>
      <c r="S45" s="50">
        <f>'쪽쟘(실측)'!N45+뒷날개치수더함</f>
        <v>31</v>
      </c>
      <c r="T45" s="50">
        <f>'쪽쟘(실측)'!O45+뒷날개치수더함</f>
        <v>27</v>
      </c>
      <c r="U45" s="50">
        <f>'쪽쟘(실측)'!P45+뒷날개치수더함</f>
        <v>30</v>
      </c>
      <c r="V45" s="50">
        <f>'쪽쟘(실측)'!Q45+뒷날개치수더함</f>
        <v>30</v>
      </c>
      <c r="W45" s="50">
        <f>'쪽쟘(실측)'!R45-쪽쟘늘치차감</f>
        <v>0</v>
      </c>
      <c r="X45" s="50">
        <f>'쪽쟘(실측)'!S45-쪽쟘늘치차감</f>
        <v>0</v>
      </c>
      <c r="Y45" s="4">
        <f>IF('쪽쟘(실측)'!T45&gt;5,'쪽쟘(실측)'!T45+뒷날개치수더함,0)</f>
        <v>20</v>
      </c>
      <c r="Z45" s="4">
        <f>'쪽쟘(실측)'!U45</f>
        <v>10</v>
      </c>
      <c r="AA45" s="4">
        <f>'쪽쟘(실측)'!V45</f>
        <v>20</v>
      </c>
      <c r="AC45">
        <f t="shared" si="24"/>
        <v>932</v>
      </c>
      <c r="AD45">
        <f t="shared" si="25"/>
        <v>166.4</v>
      </c>
      <c r="AE45">
        <f t="shared" si="26"/>
        <v>154.4</v>
      </c>
      <c r="AF45">
        <f t="shared" si="27"/>
        <v>2092</v>
      </c>
      <c r="AG45">
        <f t="shared" si="28"/>
        <v>154.4</v>
      </c>
      <c r="AH45">
        <f t="shared" si="29"/>
        <v>2092</v>
      </c>
    </row>
    <row r="46" spans="1:34" ht="19.5" customHeight="1" x14ac:dyDescent="0.3">
      <c r="A46" s="50">
        <f>'쪽쟘(실측)'!A46</f>
        <v>528</v>
      </c>
      <c r="B46" s="50" t="str">
        <f>'쪽쟘(실측)'!B46&amp;"F"</f>
        <v>14F</v>
      </c>
      <c r="C46" s="50" t="str">
        <f t="shared" si="21"/>
        <v>939*165.4</v>
      </c>
      <c r="D46" s="50">
        <f>'쪽쟘(실측)'!C46-쪽쟘OP차감</f>
        <v>898</v>
      </c>
      <c r="E46" s="50">
        <f>'쪽쟘(실측)'!D46+쪽쟘J늘림+MAX(W46:X46)</f>
        <v>109</v>
      </c>
      <c r="F46" s="50">
        <f>'쪽쟘(실측)'!E46+쪽쟘J늘림+MAX(W46:X46)</f>
        <v>108</v>
      </c>
      <c r="G46" s="67" t="str">
        <f t="shared" si="22"/>
        <v>2093*155.4</v>
      </c>
      <c r="H46" s="68" t="str">
        <f t="shared" si="23"/>
        <v>2090*160.4</v>
      </c>
      <c r="I46" s="50">
        <f>IF('쪽쟘(실측)'!F46&gt;0,'쪽쟘(실측)'!F46-3,0)+뒷날개치수더함</f>
        <v>18</v>
      </c>
      <c r="J46" s="50">
        <f>IF('쪽쟘(실측)'!H46&gt;0,'쪽쟘(실측)'!H46-3,0)+뒷날개치수더함</f>
        <v>23</v>
      </c>
      <c r="K46" s="50">
        <f>IF('쪽쟘(실측)'!F46&gt;0,'쪽쟘(실측)'!F46+0,0)+뒷날개치수더함</f>
        <v>21</v>
      </c>
      <c r="L46" s="50">
        <f>IF('쪽쟘(실측)'!G46&gt;0,'쪽쟘(실측)'!G46+0,0)+뒷날개치수더함</f>
        <v>21</v>
      </c>
      <c r="M46" s="50">
        <f>IF('쪽쟘(실측)'!H46&gt;0,'쪽쟘(실측)'!H46+0,0)+뒷날개치수더함</f>
        <v>26</v>
      </c>
      <c r="N46" s="50">
        <f>IF('쪽쟘(실측)'!I46&gt;0,'쪽쟘(실측)'!I46+0,0)+뒷날개치수더함</f>
        <v>20</v>
      </c>
      <c r="O46" s="50">
        <f>'쪽쟘(실측)'!J46-쪽쟘기둥차감</f>
        <v>2093</v>
      </c>
      <c r="P46" s="50">
        <f>'쪽쟘(실측)'!K46-쪽쟘기둥차감</f>
        <v>2090</v>
      </c>
      <c r="Q46" s="50">
        <f>'쪽쟘(실측)'!L46-쪽쟘기둥차감</f>
        <v>2090</v>
      </c>
      <c r="R46" s="50">
        <f>'쪽쟘(실측)'!M46-쪽쟘기둥차감</f>
        <v>2090</v>
      </c>
      <c r="S46" s="50">
        <f>'쪽쟘(실측)'!N46+뒷날개치수더함</f>
        <v>30</v>
      </c>
      <c r="T46" s="50">
        <f>'쪽쟘(실측)'!O46+뒷날개치수더함</f>
        <v>30</v>
      </c>
      <c r="U46" s="50">
        <f>'쪽쟘(실측)'!P46+뒷날개치수더함</f>
        <v>30</v>
      </c>
      <c r="V46" s="50">
        <f>'쪽쟘(실측)'!Q46+뒷날개치수더함</f>
        <v>30</v>
      </c>
      <c r="W46" s="50">
        <f>'쪽쟘(실측)'!R46-쪽쟘늘치차감</f>
        <v>0</v>
      </c>
      <c r="X46" s="50">
        <f>'쪽쟘(실측)'!S46-쪽쟘늘치차감</f>
        <v>0</v>
      </c>
      <c r="Y46" s="4">
        <f>IF('쪽쟘(실측)'!T46&gt;5,'쪽쟘(실측)'!T46+뒷날개치수더함,0)</f>
        <v>20</v>
      </c>
      <c r="Z46" s="4">
        <f>'쪽쟘(실측)'!U46</f>
        <v>10</v>
      </c>
      <c r="AA46" s="4">
        <f>'쪽쟘(실측)'!V46</f>
        <v>20</v>
      </c>
      <c r="AC46">
        <f t="shared" si="24"/>
        <v>939</v>
      </c>
      <c r="AD46">
        <f t="shared" si="25"/>
        <v>165.4</v>
      </c>
      <c r="AE46">
        <f t="shared" si="26"/>
        <v>155.4</v>
      </c>
      <c r="AF46">
        <f t="shared" si="27"/>
        <v>2093</v>
      </c>
      <c r="AG46">
        <f t="shared" si="28"/>
        <v>160.4</v>
      </c>
      <c r="AH46">
        <f t="shared" si="29"/>
        <v>2090</v>
      </c>
    </row>
    <row r="47" spans="1:34" ht="19.5" customHeight="1" x14ac:dyDescent="0.3">
      <c r="A47" s="50">
        <f>'쪽쟘(실측)'!A47</f>
        <v>528</v>
      </c>
      <c r="B47" s="50" t="str">
        <f>'쪽쟘(실측)'!B47&amp;"F"</f>
        <v>13F</v>
      </c>
      <c r="C47" s="50" t="str">
        <f t="shared" si="21"/>
        <v>939*165.4</v>
      </c>
      <c r="D47" s="50">
        <f>'쪽쟘(실측)'!C47-쪽쟘OP차감</f>
        <v>899</v>
      </c>
      <c r="E47" s="50">
        <f>'쪽쟘(실측)'!D47+쪽쟘J늘림+MAX(W47:X47)</f>
        <v>109</v>
      </c>
      <c r="F47" s="50">
        <f>'쪽쟘(실측)'!E47+쪽쟘J늘림+MAX(W47:X47)</f>
        <v>108</v>
      </c>
      <c r="G47" s="67" t="str">
        <f t="shared" si="22"/>
        <v>2092*159.4</v>
      </c>
      <c r="H47" s="68" t="str">
        <f t="shared" si="23"/>
        <v>2092*155.4</v>
      </c>
      <c r="I47" s="50">
        <f>IF('쪽쟘(실측)'!F47&gt;0,'쪽쟘(실측)'!F47-3,0)+뒷날개치수더함</f>
        <v>22</v>
      </c>
      <c r="J47" s="50">
        <f>IF('쪽쟘(실측)'!H47&gt;0,'쪽쟘(실측)'!H47-3,0)+뒷날개치수더함</f>
        <v>18</v>
      </c>
      <c r="K47" s="50">
        <f>IF('쪽쟘(실측)'!F47&gt;0,'쪽쟘(실측)'!F47+0,0)+뒷날개치수더함</f>
        <v>25</v>
      </c>
      <c r="L47" s="50">
        <f>IF('쪽쟘(실측)'!G47&gt;0,'쪽쟘(실측)'!G47+0,0)+뒷날개치수더함</f>
        <v>25</v>
      </c>
      <c r="M47" s="50">
        <f>IF('쪽쟘(실측)'!H47&gt;0,'쪽쟘(실측)'!H47+0,0)+뒷날개치수더함</f>
        <v>21</v>
      </c>
      <c r="N47" s="50">
        <f>IF('쪽쟘(실측)'!I47&gt;0,'쪽쟘(실측)'!I47+0,0)+뒷날개치수더함</f>
        <v>21</v>
      </c>
      <c r="O47" s="50">
        <f>'쪽쟘(실측)'!J47-쪽쟘기둥차감</f>
        <v>2092</v>
      </c>
      <c r="P47" s="50">
        <f>'쪽쟘(실측)'!K47-쪽쟘기둥차감</f>
        <v>2089</v>
      </c>
      <c r="Q47" s="50">
        <f>'쪽쟘(실측)'!L47-쪽쟘기둥차감</f>
        <v>2092</v>
      </c>
      <c r="R47" s="50">
        <f>'쪽쟘(실측)'!M47-쪽쟘기둥차감</f>
        <v>2089</v>
      </c>
      <c r="S47" s="50">
        <f>'쪽쟘(실측)'!N47+뒷날개치수더함</f>
        <v>30</v>
      </c>
      <c r="T47" s="50">
        <f>'쪽쟘(실측)'!O47+뒷날개치수더함</f>
        <v>30</v>
      </c>
      <c r="U47" s="50">
        <f>'쪽쟘(실측)'!P47+뒷날개치수더함</f>
        <v>30</v>
      </c>
      <c r="V47" s="50">
        <f>'쪽쟘(실측)'!Q47+뒷날개치수더함</f>
        <v>30</v>
      </c>
      <c r="W47" s="50">
        <f>'쪽쟘(실측)'!R47-쪽쟘늘치차감</f>
        <v>0</v>
      </c>
      <c r="X47" s="50">
        <f>'쪽쟘(실측)'!S47-쪽쟘늘치차감</f>
        <v>0</v>
      </c>
      <c r="Y47" s="4">
        <f>IF('쪽쟘(실측)'!T47&gt;5,'쪽쟘(실측)'!T47+뒷날개치수더함,0)</f>
        <v>20</v>
      </c>
      <c r="Z47" s="4">
        <f>'쪽쟘(실측)'!U47</f>
        <v>10</v>
      </c>
      <c r="AA47" s="4">
        <f>'쪽쟘(실측)'!V47</f>
        <v>20</v>
      </c>
      <c r="AC47">
        <f t="shared" si="24"/>
        <v>939</v>
      </c>
      <c r="AD47">
        <f t="shared" si="25"/>
        <v>165.4</v>
      </c>
      <c r="AE47">
        <f t="shared" si="26"/>
        <v>159.4</v>
      </c>
      <c r="AF47">
        <f t="shared" si="27"/>
        <v>2092</v>
      </c>
      <c r="AG47">
        <f t="shared" si="28"/>
        <v>155.4</v>
      </c>
      <c r="AH47">
        <f t="shared" si="29"/>
        <v>2092</v>
      </c>
    </row>
    <row r="48" spans="1:34" ht="19.5" customHeight="1" x14ac:dyDescent="0.3">
      <c r="A48" s="50">
        <f>'쪽쟘(실측)'!A48</f>
        <v>528</v>
      </c>
      <c r="B48" s="50" t="str">
        <f>'쪽쟘(실측)'!B48&amp;"F"</f>
        <v>12F</v>
      </c>
      <c r="C48" s="50" t="str">
        <f t="shared" si="21"/>
        <v>932*165.4</v>
      </c>
      <c r="D48" s="50">
        <f>'쪽쟘(실측)'!C48-쪽쟘OP차감</f>
        <v>898</v>
      </c>
      <c r="E48" s="50">
        <f>'쪽쟘(실측)'!D48+쪽쟘J늘림+MAX(W48:X48)</f>
        <v>109</v>
      </c>
      <c r="F48" s="50">
        <f>'쪽쟘(실측)'!E48+쪽쟘J늘림+MAX(W48:X48)</f>
        <v>108</v>
      </c>
      <c r="G48" s="67" t="str">
        <f t="shared" si="22"/>
        <v>2091*155.4</v>
      </c>
      <c r="H48" s="68" t="str">
        <f t="shared" si="23"/>
        <v>2091*153.4</v>
      </c>
      <c r="I48" s="50">
        <f>IF('쪽쟘(실측)'!F48&gt;0,'쪽쟘(실측)'!F48-3,0)+뒷날개치수더함</f>
        <v>18</v>
      </c>
      <c r="J48" s="50">
        <f>IF('쪽쟘(실측)'!H48&gt;0,'쪽쟘(실측)'!H48-3,0)+뒷날개치수더함</f>
        <v>16</v>
      </c>
      <c r="K48" s="50">
        <f>IF('쪽쟘(실측)'!F48&gt;0,'쪽쟘(실측)'!F48+0,0)+뒷날개치수더함</f>
        <v>21</v>
      </c>
      <c r="L48" s="50">
        <f>IF('쪽쟘(실측)'!G48&gt;0,'쪽쟘(실측)'!G48+0,0)+뒷날개치수더함</f>
        <v>21</v>
      </c>
      <c r="M48" s="50">
        <f>IF('쪽쟘(실측)'!H48&gt;0,'쪽쟘(실측)'!H48+0,0)+뒷날개치수더함</f>
        <v>19</v>
      </c>
      <c r="N48" s="50">
        <f>IF('쪽쟘(실측)'!I48&gt;0,'쪽쟘(실측)'!I48+0,0)+뒷날개치수더함</f>
        <v>19</v>
      </c>
      <c r="O48" s="50">
        <f>'쪽쟘(실측)'!J48-쪽쟘기둥차감</f>
        <v>2091</v>
      </c>
      <c r="P48" s="50">
        <f>'쪽쟘(실측)'!K48-쪽쟘기둥차감</f>
        <v>2091</v>
      </c>
      <c r="Q48" s="50">
        <f>'쪽쟘(실측)'!L48-쪽쟘기둥차감</f>
        <v>2091</v>
      </c>
      <c r="R48" s="50">
        <f>'쪽쟘(실측)'!M48-쪽쟘기둥차감</f>
        <v>2091</v>
      </c>
      <c r="S48" s="50">
        <f>'쪽쟘(실측)'!N48+뒷날개치수더함</f>
        <v>30</v>
      </c>
      <c r="T48" s="50">
        <f>'쪽쟘(실측)'!O48+뒷날개치수더함</f>
        <v>30</v>
      </c>
      <c r="U48" s="50">
        <f>'쪽쟘(실측)'!P48+뒷날개치수더함</f>
        <v>30</v>
      </c>
      <c r="V48" s="50">
        <f>'쪽쟘(실측)'!Q48+뒷날개치수더함</f>
        <v>30</v>
      </c>
      <c r="W48" s="50">
        <f>'쪽쟘(실측)'!R48-쪽쟘늘치차감</f>
        <v>0</v>
      </c>
      <c r="X48" s="50">
        <f>'쪽쟘(실측)'!S48-쪽쟘늘치차감</f>
        <v>0</v>
      </c>
      <c r="Y48" s="4">
        <f>IF('쪽쟘(실측)'!T48&gt;5,'쪽쟘(실측)'!T48+뒷날개치수더함,0)</f>
        <v>20</v>
      </c>
      <c r="Z48" s="4">
        <f>'쪽쟘(실측)'!U48</f>
        <v>10</v>
      </c>
      <c r="AA48" s="4">
        <f>'쪽쟘(실측)'!V48</f>
        <v>20</v>
      </c>
      <c r="AC48">
        <f t="shared" si="24"/>
        <v>932</v>
      </c>
      <c r="AD48">
        <f t="shared" si="25"/>
        <v>165.4</v>
      </c>
      <c r="AE48">
        <f t="shared" si="26"/>
        <v>155.4</v>
      </c>
      <c r="AF48">
        <f t="shared" si="27"/>
        <v>2091</v>
      </c>
      <c r="AG48">
        <f t="shared" si="28"/>
        <v>153.4</v>
      </c>
      <c r="AH48">
        <f t="shared" si="29"/>
        <v>2091</v>
      </c>
    </row>
    <row r="49" spans="1:34" ht="19.5" customHeight="1" x14ac:dyDescent="0.3">
      <c r="A49" s="50">
        <f>'쪽쟘(실측)'!A49</f>
        <v>528</v>
      </c>
      <c r="B49" s="50" t="str">
        <f>'쪽쟘(실측)'!B49&amp;"F"</f>
        <v>11F</v>
      </c>
      <c r="C49" s="50" t="str">
        <f t="shared" si="21"/>
        <v>933*165.4</v>
      </c>
      <c r="D49" s="50">
        <f>'쪽쟘(실측)'!C49-쪽쟘OP차감</f>
        <v>898</v>
      </c>
      <c r="E49" s="50">
        <f>'쪽쟘(실측)'!D49+쪽쟘J늘림+MAX(W49:X49)</f>
        <v>109</v>
      </c>
      <c r="F49" s="50">
        <f>'쪽쟘(실측)'!E49+쪽쟘J늘림+MAX(W49:X49)</f>
        <v>108</v>
      </c>
      <c r="G49" s="67" t="str">
        <f t="shared" si="22"/>
        <v>2090*155.4</v>
      </c>
      <c r="H49" s="68" t="str">
        <f t="shared" si="23"/>
        <v>2092*154.4</v>
      </c>
      <c r="I49" s="50">
        <f>IF('쪽쟘(실측)'!F49&gt;0,'쪽쟘(실측)'!F49-3,0)+뒷날개치수더함</f>
        <v>18</v>
      </c>
      <c r="J49" s="50">
        <f>IF('쪽쟘(실측)'!H49&gt;0,'쪽쟘(실측)'!H49-3,0)+뒷날개치수더함</f>
        <v>17</v>
      </c>
      <c r="K49" s="50">
        <f>IF('쪽쟘(실측)'!F49&gt;0,'쪽쟘(실측)'!F49+0,0)+뒷날개치수더함</f>
        <v>21</v>
      </c>
      <c r="L49" s="50">
        <f>IF('쪽쟘(실측)'!G49&gt;0,'쪽쟘(실측)'!G49+0,0)+뒷날개치수더함</f>
        <v>21</v>
      </c>
      <c r="M49" s="50">
        <f>IF('쪽쟘(실측)'!H49&gt;0,'쪽쟘(실측)'!H49+0,0)+뒷날개치수더함</f>
        <v>20</v>
      </c>
      <c r="N49" s="50">
        <f>IF('쪽쟘(실측)'!I49&gt;0,'쪽쟘(실측)'!I49+0,0)+뒷날개치수더함</f>
        <v>20</v>
      </c>
      <c r="O49" s="50">
        <f>'쪽쟘(실측)'!J49-쪽쟘기둥차감</f>
        <v>2090</v>
      </c>
      <c r="P49" s="50">
        <f>'쪽쟘(실측)'!K49-쪽쟘기둥차감</f>
        <v>2090</v>
      </c>
      <c r="Q49" s="50">
        <f>'쪽쟘(실측)'!L49-쪽쟘기둥차감</f>
        <v>2092</v>
      </c>
      <c r="R49" s="50">
        <f>'쪽쟘(실측)'!M49-쪽쟘기둥차감</f>
        <v>2092</v>
      </c>
      <c r="S49" s="50">
        <f>'쪽쟘(실측)'!N49+뒷날개치수더함</f>
        <v>30</v>
      </c>
      <c r="T49" s="50">
        <f>'쪽쟘(실측)'!O49+뒷날개치수더함</f>
        <v>30</v>
      </c>
      <c r="U49" s="50">
        <f>'쪽쟘(실측)'!P49+뒷날개치수더함</f>
        <v>30</v>
      </c>
      <c r="V49" s="50">
        <f>'쪽쟘(실측)'!Q49+뒷날개치수더함</f>
        <v>30</v>
      </c>
      <c r="W49" s="50">
        <f>'쪽쟘(실측)'!R49-쪽쟘늘치차감</f>
        <v>0</v>
      </c>
      <c r="X49" s="50">
        <f>'쪽쟘(실측)'!S49-쪽쟘늘치차감</f>
        <v>0</v>
      </c>
      <c r="Y49" s="4">
        <f>IF('쪽쟘(실측)'!T49&gt;5,'쪽쟘(실측)'!T49+뒷날개치수더함,0)</f>
        <v>20</v>
      </c>
      <c r="Z49" s="4">
        <f>'쪽쟘(실측)'!U49</f>
        <v>10</v>
      </c>
      <c r="AA49" s="4">
        <f>'쪽쟘(실측)'!V49</f>
        <v>20</v>
      </c>
      <c r="AC49">
        <f t="shared" si="24"/>
        <v>933</v>
      </c>
      <c r="AD49">
        <f t="shared" si="25"/>
        <v>165.4</v>
      </c>
      <c r="AE49">
        <f t="shared" si="26"/>
        <v>155.4</v>
      </c>
      <c r="AF49">
        <f t="shared" si="27"/>
        <v>2090</v>
      </c>
      <c r="AG49">
        <f t="shared" si="28"/>
        <v>154.4</v>
      </c>
      <c r="AH49">
        <f t="shared" si="29"/>
        <v>2092</v>
      </c>
    </row>
    <row r="50" spans="1:34" ht="19.5" customHeight="1" x14ac:dyDescent="0.3">
      <c r="A50" s="50">
        <f>'쪽쟘(실측)'!A50</f>
        <v>528</v>
      </c>
      <c r="B50" s="50" t="str">
        <f>'쪽쟘(실측)'!B50&amp;"F"</f>
        <v>10F</v>
      </c>
      <c r="C50" s="50" t="str">
        <f t="shared" si="21"/>
        <v>949*165.4</v>
      </c>
      <c r="D50" s="50">
        <f>'쪽쟘(실측)'!C50-쪽쟘OP차감</f>
        <v>898</v>
      </c>
      <c r="E50" s="50">
        <f>'쪽쟘(실측)'!D50+쪽쟘J늘림+MAX(W50:X50)</f>
        <v>109</v>
      </c>
      <c r="F50" s="50">
        <f>'쪽쟘(실측)'!E50+쪽쟘J늘림+MAX(W50:X50)</f>
        <v>108</v>
      </c>
      <c r="G50" s="67" t="str">
        <f t="shared" si="22"/>
        <v>2090*164.4</v>
      </c>
      <c r="H50" s="68" t="str">
        <f t="shared" si="23"/>
        <v>2090*164.4</v>
      </c>
      <c r="I50" s="50">
        <f>IF('쪽쟘(실측)'!F50&gt;0,'쪽쟘(실측)'!F50-3,0)+뒷날개치수더함</f>
        <v>24</v>
      </c>
      <c r="J50" s="50">
        <f>IF('쪽쟘(실측)'!H50&gt;0,'쪽쟘(실측)'!H50-3,0)+뒷날개치수더함</f>
        <v>27</v>
      </c>
      <c r="K50" s="50">
        <f>IF('쪽쟘(실측)'!F50&gt;0,'쪽쟘(실측)'!F50+0,0)+뒷날개치수더함</f>
        <v>27</v>
      </c>
      <c r="L50" s="50">
        <f>IF('쪽쟘(실측)'!G50&gt;0,'쪽쟘(실측)'!G50+0,0)+뒷날개치수더함</f>
        <v>30</v>
      </c>
      <c r="M50" s="50">
        <f>IF('쪽쟘(실측)'!H50&gt;0,'쪽쟘(실측)'!H50+0,0)+뒷날개치수더함</f>
        <v>30</v>
      </c>
      <c r="N50" s="50">
        <f>IF('쪽쟘(실측)'!I50&gt;0,'쪽쟘(실측)'!I50+0,0)+뒷날개치수더함</f>
        <v>25</v>
      </c>
      <c r="O50" s="50">
        <f>'쪽쟘(실측)'!J50-쪽쟘기둥차감</f>
        <v>2090</v>
      </c>
      <c r="P50" s="50">
        <f>'쪽쟘(실측)'!K50-쪽쟘기둥차감</f>
        <v>2090</v>
      </c>
      <c r="Q50" s="50">
        <f>'쪽쟘(실측)'!L50-쪽쟘기둥차감</f>
        <v>2090</v>
      </c>
      <c r="R50" s="50">
        <f>'쪽쟘(실측)'!M50-쪽쟘기둥차감</f>
        <v>2090</v>
      </c>
      <c r="S50" s="50">
        <f>'쪽쟘(실측)'!N50+뒷날개치수더함</f>
        <v>30</v>
      </c>
      <c r="T50" s="50">
        <f>'쪽쟘(실측)'!O50+뒷날개치수더함</f>
        <v>30</v>
      </c>
      <c r="U50" s="50">
        <f>'쪽쟘(실측)'!P50+뒷날개치수더함</f>
        <v>30</v>
      </c>
      <c r="V50" s="50">
        <f>'쪽쟘(실측)'!Q50+뒷날개치수더함</f>
        <v>30</v>
      </c>
      <c r="W50" s="50">
        <f>'쪽쟘(실측)'!R50-쪽쟘늘치차감</f>
        <v>0</v>
      </c>
      <c r="X50" s="50">
        <f>'쪽쟘(실측)'!S50-쪽쟘늘치차감</f>
        <v>0</v>
      </c>
      <c r="Y50" s="4">
        <f>IF('쪽쟘(실측)'!T50&gt;5,'쪽쟘(실측)'!T50+뒷날개치수더함,0)</f>
        <v>20</v>
      </c>
      <c r="Z50" s="4">
        <f>'쪽쟘(실측)'!U50</f>
        <v>10</v>
      </c>
      <c r="AA50" s="4">
        <f>'쪽쟘(실측)'!V50</f>
        <v>20</v>
      </c>
      <c r="AC50">
        <f t="shared" si="24"/>
        <v>949</v>
      </c>
      <c r="AD50">
        <f t="shared" si="25"/>
        <v>165.4</v>
      </c>
      <c r="AE50">
        <f t="shared" si="26"/>
        <v>164.4</v>
      </c>
      <c r="AF50">
        <f t="shared" si="27"/>
        <v>2090</v>
      </c>
      <c r="AG50">
        <f t="shared" si="28"/>
        <v>164.4</v>
      </c>
      <c r="AH50">
        <f t="shared" si="29"/>
        <v>2090</v>
      </c>
    </row>
    <row r="51" spans="1:34" ht="19.5" customHeight="1" x14ac:dyDescent="0.3">
      <c r="A51" s="50">
        <f>'쪽쟘(실측)'!A51</f>
        <v>528</v>
      </c>
      <c r="B51" s="50" t="str">
        <f>'쪽쟘(실측)'!B51&amp;"F"</f>
        <v>9F</v>
      </c>
      <c r="C51" s="50" t="str">
        <f t="shared" si="21"/>
        <v>944*164.4</v>
      </c>
      <c r="D51" s="50">
        <f>'쪽쟘(실측)'!C51-쪽쟘OP차감</f>
        <v>899</v>
      </c>
      <c r="E51" s="50">
        <f>'쪽쟘(실측)'!D51+쪽쟘J늘림+MAX(W51:X51)</f>
        <v>109</v>
      </c>
      <c r="F51" s="50">
        <f>'쪽쟘(실측)'!E51+쪽쟘J늘림+MAX(W51:X51)</f>
        <v>108</v>
      </c>
      <c r="G51" s="67" t="str">
        <f t="shared" si="22"/>
        <v>2090*159.4</v>
      </c>
      <c r="H51" s="68" t="str">
        <f t="shared" si="23"/>
        <v>2092*164.4</v>
      </c>
      <c r="I51" s="50">
        <f>IF('쪽쟘(실측)'!F51&gt;0,'쪽쟘(실측)'!F51-3,0)+뒷날개치수더함</f>
        <v>18</v>
      </c>
      <c r="J51" s="50">
        <f>IF('쪽쟘(실측)'!H51&gt;0,'쪽쟘(실측)'!H51-3,0)+뒷날개치수더함</f>
        <v>27</v>
      </c>
      <c r="K51" s="50">
        <f>IF('쪽쟘(실측)'!F51&gt;0,'쪽쟘(실측)'!F51+0,0)+뒷날개치수더함</f>
        <v>21</v>
      </c>
      <c r="L51" s="50">
        <f>IF('쪽쟘(실측)'!G51&gt;0,'쪽쟘(실측)'!G51+0,0)+뒷날개치수더함</f>
        <v>25</v>
      </c>
      <c r="M51" s="50">
        <f>IF('쪽쟘(실측)'!H51&gt;0,'쪽쟘(실측)'!H51+0,0)+뒷날개치수더함</f>
        <v>30</v>
      </c>
      <c r="N51" s="50">
        <f>IF('쪽쟘(실측)'!I51&gt;0,'쪽쟘(실측)'!I51+0,0)+뒷날개치수더함</f>
        <v>30</v>
      </c>
      <c r="O51" s="50">
        <f>'쪽쟘(실측)'!J51-쪽쟘기둥차감</f>
        <v>2090</v>
      </c>
      <c r="P51" s="50">
        <f>'쪽쟘(실측)'!K51-쪽쟘기둥차감</f>
        <v>2090</v>
      </c>
      <c r="Q51" s="50">
        <f>'쪽쟘(실측)'!L51-쪽쟘기둥차감</f>
        <v>2092</v>
      </c>
      <c r="R51" s="50">
        <f>'쪽쟘(실측)'!M51-쪽쟘기둥차감</f>
        <v>2092</v>
      </c>
      <c r="S51" s="50">
        <f>'쪽쟘(실측)'!N51+뒷날개치수더함</f>
        <v>29</v>
      </c>
      <c r="T51" s="50">
        <f>'쪽쟘(실측)'!O51+뒷날개치수더함</f>
        <v>29</v>
      </c>
      <c r="U51" s="50">
        <f>'쪽쟘(실측)'!P51+뒷날개치수더함</f>
        <v>30</v>
      </c>
      <c r="V51" s="50">
        <f>'쪽쟘(실측)'!Q51+뒷날개치수더함</f>
        <v>30</v>
      </c>
      <c r="W51" s="50">
        <f>'쪽쟘(실측)'!R51-쪽쟘늘치차감</f>
        <v>0</v>
      </c>
      <c r="X51" s="50">
        <f>'쪽쟘(실측)'!S51-쪽쟘늘치차감</f>
        <v>0</v>
      </c>
      <c r="Y51" s="4">
        <f>IF('쪽쟘(실측)'!T51&gt;5,'쪽쟘(실측)'!T51+뒷날개치수더함,0)</f>
        <v>20</v>
      </c>
      <c r="Z51" s="4">
        <f>'쪽쟘(실측)'!U51</f>
        <v>10</v>
      </c>
      <c r="AA51" s="4">
        <f>'쪽쟘(실측)'!V51</f>
        <v>20</v>
      </c>
      <c r="AC51">
        <f t="shared" si="24"/>
        <v>944</v>
      </c>
      <c r="AD51">
        <f t="shared" si="25"/>
        <v>164.4</v>
      </c>
      <c r="AE51">
        <f t="shared" si="26"/>
        <v>159.4</v>
      </c>
      <c r="AF51">
        <f t="shared" si="27"/>
        <v>2090</v>
      </c>
      <c r="AG51">
        <f t="shared" si="28"/>
        <v>164.4</v>
      </c>
      <c r="AH51">
        <f t="shared" si="29"/>
        <v>2092</v>
      </c>
    </row>
    <row r="52" spans="1:34" ht="19.5" customHeight="1" x14ac:dyDescent="0.3">
      <c r="A52" s="50">
        <f>'쪽쟘(실측)'!A52</f>
        <v>528</v>
      </c>
      <c r="B52" s="50" t="str">
        <f>'쪽쟘(실측)'!B52&amp;"F"</f>
        <v>8F</v>
      </c>
      <c r="C52" s="50" t="str">
        <f t="shared" si="21"/>
        <v>949*156.4</v>
      </c>
      <c r="D52" s="50">
        <f>'쪽쟘(실측)'!C52-쪽쟘OP차감</f>
        <v>899</v>
      </c>
      <c r="E52" s="50">
        <f>'쪽쟘(실측)'!D52+쪽쟘J늘림+MAX(W52:X52)</f>
        <v>109</v>
      </c>
      <c r="F52" s="50">
        <f>'쪽쟘(실측)'!E52+쪽쟘J늘림+MAX(W52:X52)</f>
        <v>108</v>
      </c>
      <c r="G52" s="67" t="str">
        <f t="shared" si="22"/>
        <v>2089*161.4</v>
      </c>
      <c r="H52" s="68" t="str">
        <f t="shared" si="23"/>
        <v>2092*163.4</v>
      </c>
      <c r="I52" s="50">
        <f>IF('쪽쟘(실측)'!F52&gt;0,'쪽쟘(실측)'!F52-3,0)+뒷날개치수더함</f>
        <v>24</v>
      </c>
      <c r="J52" s="50">
        <f>IF('쪽쟘(실측)'!H52&gt;0,'쪽쟘(실측)'!H52-3,0)+뒷날개치수더함</f>
        <v>26</v>
      </c>
      <c r="K52" s="50">
        <f>IF('쪽쟘(실측)'!F52&gt;0,'쪽쟘(실측)'!F52+0,0)+뒷날개치수더함</f>
        <v>27</v>
      </c>
      <c r="L52" s="50">
        <f>IF('쪽쟘(실측)'!G52&gt;0,'쪽쟘(실측)'!G52+0,0)+뒷날개치수더함</f>
        <v>27</v>
      </c>
      <c r="M52" s="50">
        <f>IF('쪽쟘(실측)'!H52&gt;0,'쪽쟘(실측)'!H52+0,0)+뒷날개치수더함</f>
        <v>29</v>
      </c>
      <c r="N52" s="50">
        <f>IF('쪽쟘(실측)'!I52&gt;0,'쪽쟘(실측)'!I52+0,0)+뒷날개치수더함</f>
        <v>25</v>
      </c>
      <c r="O52" s="50">
        <f>'쪽쟘(실측)'!J52-쪽쟘기둥차감</f>
        <v>2089</v>
      </c>
      <c r="P52" s="50">
        <f>'쪽쟘(실측)'!K52-쪽쟘기둥차감</f>
        <v>2089</v>
      </c>
      <c r="Q52" s="50">
        <f>'쪽쟘(실측)'!L52-쪽쟘기둥차감</f>
        <v>2092</v>
      </c>
      <c r="R52" s="50">
        <f>'쪽쟘(실측)'!M52-쪽쟘기둥차감</f>
        <v>2092</v>
      </c>
      <c r="S52" s="50">
        <f>'쪽쟘(실측)'!N52+뒷날개치수더함</f>
        <v>21</v>
      </c>
      <c r="T52" s="50">
        <f>'쪽쟘(실측)'!O52+뒷날개치수더함</f>
        <v>21</v>
      </c>
      <c r="U52" s="50">
        <f>'쪽쟘(실측)'!P52+뒷날개치수더함</f>
        <v>30</v>
      </c>
      <c r="V52" s="50">
        <f>'쪽쟘(실측)'!Q52+뒷날개치수더함</f>
        <v>30</v>
      </c>
      <c r="W52" s="50">
        <f>'쪽쟘(실측)'!R52-쪽쟘늘치차감</f>
        <v>0</v>
      </c>
      <c r="X52" s="50">
        <f>'쪽쟘(실측)'!S52-쪽쟘늘치차감</f>
        <v>0</v>
      </c>
      <c r="Y52" s="4">
        <f>IF('쪽쟘(실측)'!T52&gt;5,'쪽쟘(실측)'!T52+뒷날개치수더함,0)</f>
        <v>20</v>
      </c>
      <c r="Z52" s="4">
        <f>'쪽쟘(실측)'!U52</f>
        <v>10</v>
      </c>
      <c r="AA52" s="4">
        <f>'쪽쟘(실측)'!V52</f>
        <v>20</v>
      </c>
      <c r="AC52">
        <f t="shared" si="24"/>
        <v>949</v>
      </c>
      <c r="AD52">
        <f t="shared" si="25"/>
        <v>156.4</v>
      </c>
      <c r="AE52">
        <f t="shared" si="26"/>
        <v>161.4</v>
      </c>
      <c r="AF52">
        <f t="shared" si="27"/>
        <v>2089</v>
      </c>
      <c r="AG52">
        <f t="shared" si="28"/>
        <v>163.4</v>
      </c>
      <c r="AH52">
        <f t="shared" si="29"/>
        <v>2092</v>
      </c>
    </row>
    <row r="53" spans="1:34" ht="19.5" customHeight="1" x14ac:dyDescent="0.3">
      <c r="A53" s="50">
        <f>'쪽쟘(실측)'!A53</f>
        <v>528</v>
      </c>
      <c r="B53" s="50" t="str">
        <f>'쪽쟘(실측)'!B53&amp;"F"</f>
        <v>7F</v>
      </c>
      <c r="C53" s="50" t="str">
        <f t="shared" si="21"/>
        <v>945*155.4</v>
      </c>
      <c r="D53" s="50">
        <f>'쪽쟘(실측)'!C53-쪽쟘OP차감</f>
        <v>899</v>
      </c>
      <c r="E53" s="50">
        <f>'쪽쟘(실측)'!D53+쪽쟘J늘림+MAX(W53:X53)</f>
        <v>109</v>
      </c>
      <c r="F53" s="50">
        <f>'쪽쟘(실측)'!E53+쪽쟘J늘림+MAX(W53:X53)</f>
        <v>108</v>
      </c>
      <c r="G53" s="67" t="str">
        <f t="shared" si="22"/>
        <v>2090*159.4</v>
      </c>
      <c r="H53" s="68" t="str">
        <f t="shared" si="23"/>
        <v>2090*161.4</v>
      </c>
      <c r="I53" s="50">
        <f>IF('쪽쟘(실측)'!F53&gt;0,'쪽쟘(실측)'!F53-3,0)+뒷날개치수더함</f>
        <v>22</v>
      </c>
      <c r="J53" s="50">
        <f>IF('쪽쟘(실측)'!H53&gt;0,'쪽쟘(실측)'!H53-3,0)+뒷날개치수더함</f>
        <v>24</v>
      </c>
      <c r="K53" s="50">
        <f>IF('쪽쟘(실측)'!F53&gt;0,'쪽쟘(실측)'!F53+0,0)+뒷날개치수더함</f>
        <v>25</v>
      </c>
      <c r="L53" s="50">
        <f>IF('쪽쟘(실측)'!G53&gt;0,'쪽쟘(실측)'!G53+0,0)+뒷날개치수더함</f>
        <v>25</v>
      </c>
      <c r="M53" s="50">
        <f>IF('쪽쟘(실측)'!H53&gt;0,'쪽쟘(실측)'!H53+0,0)+뒷날개치수더함</f>
        <v>27</v>
      </c>
      <c r="N53" s="50">
        <f>IF('쪽쟘(실측)'!I53&gt;0,'쪽쟘(실측)'!I53+0,0)+뒷날개치수더함</f>
        <v>27</v>
      </c>
      <c r="O53" s="50">
        <f>'쪽쟘(실측)'!J53-쪽쟘기둥차감</f>
        <v>2090</v>
      </c>
      <c r="P53" s="50">
        <f>'쪽쟘(실측)'!K53-쪽쟘기둥차감</f>
        <v>2090</v>
      </c>
      <c r="Q53" s="50">
        <f>'쪽쟘(실측)'!L53-쪽쟘기둥차감</f>
        <v>2090</v>
      </c>
      <c r="R53" s="50">
        <f>'쪽쟘(실측)'!M53-쪽쟘기둥차감</f>
        <v>2090</v>
      </c>
      <c r="S53" s="50">
        <f>'쪽쟘(실측)'!N53+뒷날개치수더함</f>
        <v>20</v>
      </c>
      <c r="T53" s="50">
        <f>'쪽쟘(실측)'!O53+뒷날개치수더함</f>
        <v>20</v>
      </c>
      <c r="U53" s="50">
        <f>'쪽쟘(실측)'!P53+뒷날개치수더함</f>
        <v>30</v>
      </c>
      <c r="V53" s="50">
        <f>'쪽쟘(실측)'!Q53+뒷날개치수더함</f>
        <v>30</v>
      </c>
      <c r="W53" s="50">
        <f>'쪽쟘(실측)'!R53-쪽쟘늘치차감</f>
        <v>0</v>
      </c>
      <c r="X53" s="50">
        <f>'쪽쟘(실측)'!S53-쪽쟘늘치차감</f>
        <v>0</v>
      </c>
      <c r="Y53" s="4">
        <f>IF('쪽쟘(실측)'!T53&gt;5,'쪽쟘(실측)'!T53+뒷날개치수더함,0)</f>
        <v>20</v>
      </c>
      <c r="Z53" s="4">
        <f>'쪽쟘(실측)'!U53</f>
        <v>10</v>
      </c>
      <c r="AA53" s="4">
        <f>'쪽쟘(실측)'!V53</f>
        <v>20</v>
      </c>
      <c r="AC53">
        <f t="shared" si="24"/>
        <v>945</v>
      </c>
      <c r="AD53">
        <f t="shared" si="25"/>
        <v>155.4</v>
      </c>
      <c r="AE53">
        <f t="shared" si="26"/>
        <v>159.4</v>
      </c>
      <c r="AF53">
        <f t="shared" si="27"/>
        <v>2090</v>
      </c>
      <c r="AG53">
        <f t="shared" si="28"/>
        <v>161.4</v>
      </c>
      <c r="AH53">
        <f t="shared" si="29"/>
        <v>2090</v>
      </c>
    </row>
    <row r="54" spans="1:34" ht="19.5" customHeight="1" x14ac:dyDescent="0.3">
      <c r="A54" s="50">
        <f>'쪽쟘(실측)'!A54</f>
        <v>528</v>
      </c>
      <c r="B54" s="50" t="str">
        <f>'쪽쟘(실측)'!B54&amp;"F"</f>
        <v>6F</v>
      </c>
      <c r="C54" s="50" t="str">
        <f t="shared" si="21"/>
        <v>953*163.4</v>
      </c>
      <c r="D54" s="50">
        <f>'쪽쟘(실측)'!C54-쪽쟘OP차감</f>
        <v>899</v>
      </c>
      <c r="E54" s="50">
        <f>'쪽쟘(실측)'!D54+쪽쟘J늘림+MAX(W54:X54)</f>
        <v>109</v>
      </c>
      <c r="F54" s="50">
        <f>'쪽쟘(실측)'!E54+쪽쟘J늘림+MAX(W54:X54)</f>
        <v>108</v>
      </c>
      <c r="G54" s="67" t="str">
        <f t="shared" si="22"/>
        <v>2090*164.4</v>
      </c>
      <c r="H54" s="68" t="str">
        <f t="shared" si="23"/>
        <v>2090*164.4</v>
      </c>
      <c r="I54" s="50">
        <f>IF('쪽쟘(실측)'!F54&gt;0,'쪽쟘(실측)'!F54-3,0)+뒷날개치수더함</f>
        <v>27</v>
      </c>
      <c r="J54" s="50">
        <f>IF('쪽쟘(실측)'!H54&gt;0,'쪽쟘(실측)'!H54-3,0)+뒷날개치수더함</f>
        <v>27</v>
      </c>
      <c r="K54" s="50">
        <f>IF('쪽쟘(실측)'!F54&gt;0,'쪽쟘(실측)'!F54+0,0)+뒷날개치수더함</f>
        <v>30</v>
      </c>
      <c r="L54" s="50">
        <f>IF('쪽쟘(실측)'!G54&gt;0,'쪽쟘(실측)'!G54+0,0)+뒷날개치수더함</f>
        <v>24</v>
      </c>
      <c r="M54" s="50">
        <f>IF('쪽쟘(실측)'!H54&gt;0,'쪽쟘(실측)'!H54+0,0)+뒷날개치수더함</f>
        <v>30</v>
      </c>
      <c r="N54" s="50">
        <f>IF('쪽쟘(실측)'!I54&gt;0,'쪽쟘(실측)'!I54+0,0)+뒷날개치수더함</f>
        <v>30</v>
      </c>
      <c r="O54" s="50">
        <f>'쪽쟘(실측)'!J54-쪽쟘기둥차감</f>
        <v>2090</v>
      </c>
      <c r="P54" s="50">
        <f>'쪽쟘(실측)'!K54-쪽쟘기둥차감</f>
        <v>2090</v>
      </c>
      <c r="Q54" s="50">
        <f>'쪽쟘(실측)'!L54-쪽쟘기둥차감</f>
        <v>2090</v>
      </c>
      <c r="R54" s="50">
        <f>'쪽쟘(실측)'!M54-쪽쟘기둥차감</f>
        <v>2090</v>
      </c>
      <c r="S54" s="50">
        <f>'쪽쟘(실측)'!N54+뒷날개치수더함</f>
        <v>28</v>
      </c>
      <c r="T54" s="50">
        <f>'쪽쟘(실측)'!O54+뒷날개치수더함</f>
        <v>28</v>
      </c>
      <c r="U54" s="50">
        <f>'쪽쟘(실측)'!P54+뒷날개치수더함</f>
        <v>30</v>
      </c>
      <c r="V54" s="50">
        <f>'쪽쟘(실측)'!Q54+뒷날개치수더함</f>
        <v>30</v>
      </c>
      <c r="W54" s="50">
        <f>'쪽쟘(실측)'!R54-쪽쟘늘치차감</f>
        <v>0</v>
      </c>
      <c r="X54" s="50">
        <f>'쪽쟘(실측)'!S54-쪽쟘늘치차감</f>
        <v>0</v>
      </c>
      <c r="Y54" s="4">
        <f>IF('쪽쟘(실측)'!T54&gt;5,'쪽쟘(실측)'!T54+뒷날개치수더함,0)</f>
        <v>20</v>
      </c>
      <c r="Z54" s="4">
        <f>'쪽쟘(실측)'!U54</f>
        <v>10</v>
      </c>
      <c r="AA54" s="4">
        <f>'쪽쟘(실측)'!V54</f>
        <v>20</v>
      </c>
      <c r="AC54">
        <f t="shared" si="24"/>
        <v>953</v>
      </c>
      <c r="AD54">
        <f t="shared" si="25"/>
        <v>163.4</v>
      </c>
      <c r="AE54">
        <f t="shared" si="26"/>
        <v>164.4</v>
      </c>
      <c r="AF54">
        <f t="shared" si="27"/>
        <v>2090</v>
      </c>
      <c r="AG54">
        <f t="shared" si="28"/>
        <v>164.4</v>
      </c>
      <c r="AH54">
        <f t="shared" si="29"/>
        <v>2090</v>
      </c>
    </row>
    <row r="55" spans="1:34" ht="19.5" customHeight="1" x14ac:dyDescent="0.3">
      <c r="A55" s="50">
        <f>'쪽쟘(실측)'!A55</f>
        <v>528</v>
      </c>
      <c r="B55" s="50" t="str">
        <f>'쪽쟘(실측)'!B55&amp;"F"</f>
        <v>5F</v>
      </c>
      <c r="C55" s="50" t="str">
        <f t="shared" si="21"/>
        <v>941*156.4</v>
      </c>
      <c r="D55" s="50">
        <f>'쪽쟘(실측)'!C55-쪽쟘OP차감</f>
        <v>898</v>
      </c>
      <c r="E55" s="50">
        <f>'쪽쟘(실측)'!D55+쪽쟘J늘림+MAX(W55:X55)</f>
        <v>109</v>
      </c>
      <c r="F55" s="50">
        <f>'쪽쟘(실측)'!E55+쪽쟘J늘림+MAX(W55:X55)</f>
        <v>108</v>
      </c>
      <c r="G55" s="67" t="str">
        <f t="shared" si="22"/>
        <v>2090*154.4</v>
      </c>
      <c r="H55" s="68" t="str">
        <f t="shared" si="23"/>
        <v>2090*163.4</v>
      </c>
      <c r="I55" s="50">
        <f>IF('쪽쟘(실측)'!F55&gt;0,'쪽쟘(실측)'!F55-3,0)+뒷날개치수더함</f>
        <v>17</v>
      </c>
      <c r="J55" s="50">
        <f>IF('쪽쟘(실측)'!H55&gt;0,'쪽쟘(실측)'!H55-3,0)+뒷날개치수더함</f>
        <v>26</v>
      </c>
      <c r="K55" s="50">
        <f>IF('쪽쟘(실측)'!F55&gt;0,'쪽쟘(실측)'!F55+0,0)+뒷날개치수더함</f>
        <v>20</v>
      </c>
      <c r="L55" s="50">
        <f>IF('쪽쟘(실측)'!G55&gt;0,'쪽쟘(실측)'!G55+0,0)+뒷날개치수더함</f>
        <v>20</v>
      </c>
      <c r="M55" s="50">
        <f>IF('쪽쟘(실측)'!H55&gt;0,'쪽쟘(실측)'!H55+0,0)+뒷날개치수더함</f>
        <v>29</v>
      </c>
      <c r="N55" s="50">
        <f>IF('쪽쟘(실측)'!I55&gt;0,'쪽쟘(실측)'!I55+0,0)+뒷날개치수더함</f>
        <v>29</v>
      </c>
      <c r="O55" s="50">
        <f>'쪽쟘(실측)'!J55-쪽쟘기둥차감</f>
        <v>2090</v>
      </c>
      <c r="P55" s="50">
        <f>'쪽쟘(실측)'!K55-쪽쟘기둥차감</f>
        <v>2090</v>
      </c>
      <c r="Q55" s="50">
        <f>'쪽쟘(실측)'!L55-쪽쟘기둥차감</f>
        <v>2090</v>
      </c>
      <c r="R55" s="50">
        <f>'쪽쟘(실측)'!M55-쪽쟘기둥차감</f>
        <v>2090</v>
      </c>
      <c r="S55" s="50">
        <f>'쪽쟘(실측)'!N55+뒷날개치수더함</f>
        <v>21</v>
      </c>
      <c r="T55" s="50">
        <f>'쪽쟘(실측)'!O55+뒷날개치수더함</f>
        <v>21</v>
      </c>
      <c r="U55" s="50">
        <f>'쪽쟘(실측)'!P55+뒷날개치수더함</f>
        <v>30</v>
      </c>
      <c r="V55" s="50">
        <f>'쪽쟘(실측)'!Q55+뒷날개치수더함</f>
        <v>30</v>
      </c>
      <c r="W55" s="50">
        <f>'쪽쟘(실측)'!R55-쪽쟘늘치차감</f>
        <v>0</v>
      </c>
      <c r="X55" s="50">
        <f>'쪽쟘(실측)'!S55-쪽쟘늘치차감</f>
        <v>0</v>
      </c>
      <c r="Y55" s="4">
        <f>IF('쪽쟘(실측)'!T55&gt;5,'쪽쟘(실측)'!T55+뒷날개치수더함,0)</f>
        <v>20</v>
      </c>
      <c r="Z55" s="4">
        <f>'쪽쟘(실측)'!U55</f>
        <v>10</v>
      </c>
      <c r="AA55" s="4">
        <f>'쪽쟘(실측)'!V55</f>
        <v>20</v>
      </c>
      <c r="AC55">
        <f t="shared" si="24"/>
        <v>941</v>
      </c>
      <c r="AD55">
        <f t="shared" si="25"/>
        <v>156.4</v>
      </c>
      <c r="AE55">
        <f t="shared" si="26"/>
        <v>154.4</v>
      </c>
      <c r="AF55">
        <f t="shared" si="27"/>
        <v>2090</v>
      </c>
      <c r="AG55">
        <f t="shared" si="28"/>
        <v>163.4</v>
      </c>
      <c r="AH55">
        <f t="shared" si="29"/>
        <v>2090</v>
      </c>
    </row>
    <row r="56" spans="1:34" ht="19.5" customHeight="1" x14ac:dyDescent="0.3">
      <c r="A56" s="50">
        <f>'쪽쟘(실측)'!A56</f>
        <v>528</v>
      </c>
      <c r="B56" s="50" t="str">
        <f>'쪽쟘(실측)'!B56&amp;"F"</f>
        <v>4F</v>
      </c>
      <c r="C56" s="50" t="str">
        <f t="shared" si="21"/>
        <v>945*168.4</v>
      </c>
      <c r="D56" s="50">
        <f>'쪽쟘(실측)'!C56-쪽쟘OP차감</f>
        <v>898</v>
      </c>
      <c r="E56" s="50">
        <f>'쪽쟘(실측)'!D56+쪽쟘J늘림+MAX(W56:X56)</f>
        <v>109</v>
      </c>
      <c r="F56" s="50">
        <f>'쪽쟘(실측)'!E56+쪽쟘J늘림+MAX(W56:X56)</f>
        <v>108</v>
      </c>
      <c r="G56" s="67" t="str">
        <f t="shared" si="22"/>
        <v>2093*164.4</v>
      </c>
      <c r="H56" s="68" t="str">
        <f t="shared" si="23"/>
        <v>2090*164.4</v>
      </c>
      <c r="I56" s="50">
        <f>IF('쪽쟘(실측)'!F56&gt;0,'쪽쟘(실측)'!F56-3,0)+뒷날개치수더함</f>
        <v>20</v>
      </c>
      <c r="J56" s="50">
        <f>IF('쪽쟘(실측)'!H56&gt;0,'쪽쟘(실측)'!H56-3,0)+뒷날개치수더함</f>
        <v>27</v>
      </c>
      <c r="K56" s="50">
        <f>IF('쪽쟘(실측)'!F56&gt;0,'쪽쟘(실측)'!F56+0,0)+뒷날개치수더함</f>
        <v>23</v>
      </c>
      <c r="L56" s="50">
        <f>IF('쪽쟘(실측)'!G56&gt;0,'쪽쟘(실측)'!G56+0,0)+뒷날개치수더함</f>
        <v>30</v>
      </c>
      <c r="M56" s="50">
        <f>IF('쪽쟘(실측)'!H56&gt;0,'쪽쟘(실측)'!H56+0,0)+뒷날개치수더함</f>
        <v>30</v>
      </c>
      <c r="N56" s="50">
        <f>IF('쪽쟘(실측)'!I56&gt;0,'쪽쟘(실측)'!I56+0,0)+뒷날개치수더함</f>
        <v>30</v>
      </c>
      <c r="O56" s="50">
        <f>'쪽쟘(실측)'!J56-쪽쟘기둥차감</f>
        <v>2093</v>
      </c>
      <c r="P56" s="50">
        <f>'쪽쟘(실측)'!K56-쪽쟘기둥차감</f>
        <v>2090</v>
      </c>
      <c r="Q56" s="50">
        <f>'쪽쟘(실측)'!L56-쪽쟘기둥차감</f>
        <v>2090</v>
      </c>
      <c r="R56" s="50">
        <f>'쪽쟘(실측)'!M56-쪽쟘기둥차감</f>
        <v>2090</v>
      </c>
      <c r="S56" s="50">
        <f>'쪽쟘(실측)'!N56+뒷날개치수더함</f>
        <v>33</v>
      </c>
      <c r="T56" s="50">
        <f>'쪽쟘(실측)'!O56+뒷날개치수더함</f>
        <v>29</v>
      </c>
      <c r="U56" s="50">
        <f>'쪽쟘(실측)'!P56+뒷날개치수더함</f>
        <v>30</v>
      </c>
      <c r="V56" s="50">
        <f>'쪽쟘(실측)'!Q56+뒷날개치수더함</f>
        <v>30</v>
      </c>
      <c r="W56" s="50">
        <f>'쪽쟘(실측)'!R56-쪽쟘늘치차감</f>
        <v>0</v>
      </c>
      <c r="X56" s="50">
        <f>'쪽쟘(실측)'!S56-쪽쟘늘치차감</f>
        <v>0</v>
      </c>
      <c r="Y56" s="4">
        <f>IF('쪽쟘(실측)'!T56&gt;5,'쪽쟘(실측)'!T56+뒷날개치수더함,0)</f>
        <v>20</v>
      </c>
      <c r="Z56" s="4">
        <f>'쪽쟘(실측)'!U56</f>
        <v>10</v>
      </c>
      <c r="AA56" s="4">
        <f>'쪽쟘(실측)'!V56</f>
        <v>20</v>
      </c>
      <c r="AC56">
        <f t="shared" si="24"/>
        <v>945</v>
      </c>
      <c r="AD56">
        <f t="shared" si="25"/>
        <v>168.4</v>
      </c>
      <c r="AE56">
        <f t="shared" si="26"/>
        <v>164.4</v>
      </c>
      <c r="AF56">
        <f t="shared" si="27"/>
        <v>2093</v>
      </c>
      <c r="AG56">
        <f t="shared" si="28"/>
        <v>164.4</v>
      </c>
      <c r="AH56">
        <f t="shared" si="29"/>
        <v>2090</v>
      </c>
    </row>
    <row r="57" spans="1:34" ht="19.5" customHeight="1" x14ac:dyDescent="0.3">
      <c r="A57" s="50">
        <f>'쪽쟘(실측)'!A57</f>
        <v>528</v>
      </c>
      <c r="B57" s="50" t="str">
        <f>'쪽쟘(실측)'!B57&amp;"F"</f>
        <v>3F</v>
      </c>
      <c r="C57" s="50" t="str">
        <f t="shared" si="21"/>
        <v>948*165.4</v>
      </c>
      <c r="D57" s="50">
        <f>'쪽쟘(실측)'!C57-쪽쟘OP차감</f>
        <v>899</v>
      </c>
      <c r="E57" s="50">
        <f>'쪽쟘(실측)'!D57+쪽쟘J늘림+MAX(W57:X57)</f>
        <v>109</v>
      </c>
      <c r="F57" s="50">
        <f>'쪽쟘(실측)'!E57+쪽쟘J늘림+MAX(W57:X57)</f>
        <v>108</v>
      </c>
      <c r="G57" s="67" t="str">
        <f t="shared" si="22"/>
        <v>2093*161.4</v>
      </c>
      <c r="H57" s="68" t="str">
        <f t="shared" si="23"/>
        <v>2090*162.4</v>
      </c>
      <c r="I57" s="50">
        <f>IF('쪽쟘(실측)'!F57&gt;0,'쪽쟘(실측)'!F57-3,0)+뒷날개치수더함</f>
        <v>24</v>
      </c>
      <c r="J57" s="50">
        <f>IF('쪽쟘(실측)'!H57&gt;0,'쪽쟘(실측)'!H57-3,0)+뒷날개치수더함</f>
        <v>25</v>
      </c>
      <c r="K57" s="50">
        <f>IF('쪽쟘(실측)'!F57&gt;0,'쪽쟘(실측)'!F57+0,0)+뒷날개치수더함</f>
        <v>27</v>
      </c>
      <c r="L57" s="50">
        <f>IF('쪽쟘(실측)'!G57&gt;0,'쪽쟘(실측)'!G57+0,0)+뒷날개치수더함</f>
        <v>23</v>
      </c>
      <c r="M57" s="50">
        <f>IF('쪽쟘(실측)'!H57&gt;0,'쪽쟘(실측)'!H57+0,0)+뒷날개치수더함</f>
        <v>28</v>
      </c>
      <c r="N57" s="50">
        <f>IF('쪽쟘(실측)'!I57&gt;0,'쪽쟘(실측)'!I57+0,0)+뒷날개치수더함</f>
        <v>28</v>
      </c>
      <c r="O57" s="50">
        <f>'쪽쟘(실측)'!J57-쪽쟘기둥차감</f>
        <v>2093</v>
      </c>
      <c r="P57" s="50">
        <f>'쪽쟘(실측)'!K57-쪽쟘기둥차감</f>
        <v>2090</v>
      </c>
      <c r="Q57" s="50">
        <f>'쪽쟘(실측)'!L57-쪽쟘기둥차감</f>
        <v>2090</v>
      </c>
      <c r="R57" s="50">
        <f>'쪽쟘(실측)'!M57-쪽쟘기둥차감</f>
        <v>2090</v>
      </c>
      <c r="S57" s="50">
        <f>'쪽쟘(실측)'!N57+뒷날개치수더함</f>
        <v>30</v>
      </c>
      <c r="T57" s="50">
        <f>'쪽쟘(실측)'!O57+뒷날개치수더함</f>
        <v>30</v>
      </c>
      <c r="U57" s="50">
        <f>'쪽쟘(실측)'!P57+뒷날개치수더함</f>
        <v>30</v>
      </c>
      <c r="V57" s="50">
        <f>'쪽쟘(실측)'!Q57+뒷날개치수더함</f>
        <v>30</v>
      </c>
      <c r="W57" s="50">
        <f>'쪽쟘(실측)'!R57-쪽쟘늘치차감</f>
        <v>0</v>
      </c>
      <c r="X57" s="50">
        <f>'쪽쟘(실측)'!S57-쪽쟘늘치차감</f>
        <v>0</v>
      </c>
      <c r="Y57" s="4">
        <f>IF('쪽쟘(실측)'!T57&gt;5,'쪽쟘(실측)'!T57+뒷날개치수더함,0)</f>
        <v>20</v>
      </c>
      <c r="Z57" s="4">
        <f>'쪽쟘(실측)'!U57</f>
        <v>10</v>
      </c>
      <c r="AA57" s="4">
        <f>'쪽쟘(실측)'!V57</f>
        <v>20</v>
      </c>
      <c r="AC57">
        <f t="shared" si="24"/>
        <v>948</v>
      </c>
      <c r="AD57">
        <f t="shared" si="25"/>
        <v>165.4</v>
      </c>
      <c r="AE57">
        <f t="shared" si="26"/>
        <v>161.4</v>
      </c>
      <c r="AF57">
        <f t="shared" si="27"/>
        <v>2093</v>
      </c>
      <c r="AG57">
        <f t="shared" si="28"/>
        <v>162.4</v>
      </c>
      <c r="AH57">
        <f t="shared" si="29"/>
        <v>2090</v>
      </c>
    </row>
    <row r="58" spans="1:34" ht="19.5" customHeight="1" x14ac:dyDescent="0.3">
      <c r="A58" s="50">
        <f>'쪽쟘(실측)'!A58</f>
        <v>528</v>
      </c>
      <c r="B58" s="50" t="str">
        <f>'쪽쟘(실측)'!B58&amp;"F"</f>
        <v>2F</v>
      </c>
      <c r="C58" s="50" t="str">
        <f t="shared" si="21"/>
        <v>948*158.4</v>
      </c>
      <c r="D58" s="50">
        <f>'쪽쟘(실측)'!C58-쪽쟘OP차감</f>
        <v>899</v>
      </c>
      <c r="E58" s="50">
        <f>'쪽쟘(실측)'!D58+쪽쟘J늘림+MAX(W58:X58)</f>
        <v>109</v>
      </c>
      <c r="F58" s="50">
        <f>'쪽쟘(실측)'!E58+쪽쟘J늘림+MAX(W58:X58)</f>
        <v>108</v>
      </c>
      <c r="G58" s="67" t="str">
        <f t="shared" si="22"/>
        <v>2088*160.4</v>
      </c>
      <c r="H58" s="68" t="str">
        <f t="shared" si="23"/>
        <v>2088*163.4</v>
      </c>
      <c r="I58" s="50">
        <f>IF('쪽쟘(실측)'!F58&gt;0,'쪽쟘(실측)'!F58-3,0)+뒷날개치수더함</f>
        <v>23</v>
      </c>
      <c r="J58" s="50">
        <f>IF('쪽쟘(실측)'!H58&gt;0,'쪽쟘(실측)'!H58-3,0)+뒷날개치수더함</f>
        <v>26</v>
      </c>
      <c r="K58" s="50">
        <f>IF('쪽쟘(실측)'!F58&gt;0,'쪽쟘(실측)'!F58+0,0)+뒷날개치수더함</f>
        <v>26</v>
      </c>
      <c r="L58" s="50">
        <f>IF('쪽쟘(실측)'!G58&gt;0,'쪽쟘(실측)'!G58+0,0)+뒷날개치수더함</f>
        <v>26</v>
      </c>
      <c r="M58" s="50">
        <f>IF('쪽쟘(실측)'!H58&gt;0,'쪽쟘(실측)'!H58+0,0)+뒷날개치수더함</f>
        <v>29</v>
      </c>
      <c r="N58" s="50">
        <f>IF('쪽쟘(실측)'!I58&gt;0,'쪽쟘(실측)'!I58+0,0)+뒷날개치수더함</f>
        <v>29</v>
      </c>
      <c r="O58" s="50">
        <f>'쪽쟘(실측)'!J58-쪽쟘기둥차감</f>
        <v>2088</v>
      </c>
      <c r="P58" s="50">
        <f>'쪽쟘(실측)'!K58-쪽쟘기둥차감</f>
        <v>2088</v>
      </c>
      <c r="Q58" s="50">
        <f>'쪽쟘(실측)'!L58-쪽쟘기둥차감</f>
        <v>2088</v>
      </c>
      <c r="R58" s="50">
        <f>'쪽쟘(실측)'!M58-쪽쟘기둥차감</f>
        <v>2088</v>
      </c>
      <c r="S58" s="50">
        <f>'쪽쟘(실측)'!N58+뒷날개치수더함</f>
        <v>23</v>
      </c>
      <c r="T58" s="50">
        <f>'쪽쟘(실측)'!O58+뒷날개치수더함</f>
        <v>23</v>
      </c>
      <c r="U58" s="50">
        <f>'쪽쟘(실측)'!P58+뒷날개치수더함</f>
        <v>30</v>
      </c>
      <c r="V58" s="50">
        <f>'쪽쟘(실측)'!Q58+뒷날개치수더함</f>
        <v>30</v>
      </c>
      <c r="W58" s="50">
        <f>'쪽쟘(실측)'!R58-쪽쟘늘치차감</f>
        <v>0</v>
      </c>
      <c r="X58" s="50">
        <f>'쪽쟘(실측)'!S58-쪽쟘늘치차감</f>
        <v>0</v>
      </c>
      <c r="Y58" s="4">
        <f>IF('쪽쟘(실측)'!T58&gt;5,'쪽쟘(실측)'!T58+뒷날개치수더함,0)</f>
        <v>20</v>
      </c>
      <c r="Z58" s="4">
        <f>'쪽쟘(실측)'!U58</f>
        <v>10</v>
      </c>
      <c r="AA58" s="4">
        <f>'쪽쟘(실측)'!V58</f>
        <v>20</v>
      </c>
      <c r="AC58">
        <f t="shared" si="24"/>
        <v>948</v>
      </c>
      <c r="AD58">
        <f t="shared" si="25"/>
        <v>158.4</v>
      </c>
      <c r="AE58">
        <f t="shared" si="26"/>
        <v>160.4</v>
      </c>
      <c r="AF58">
        <f t="shared" si="27"/>
        <v>2088</v>
      </c>
      <c r="AG58">
        <f t="shared" si="28"/>
        <v>163.4</v>
      </c>
      <c r="AH58">
        <f t="shared" si="29"/>
        <v>2088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58 M7:M58 S7:S58">
    <cfRule type="cellIs" dxfId="58" priority="4" operator="notEqual">
      <formula>L7</formula>
    </cfRule>
  </conditionalFormatting>
  <conditionalFormatting sqref="L7:L58 N7:N58 T7:T58">
    <cfRule type="cellIs" dxfId="57" priority="3" operator="notEqual">
      <formula>K7</formula>
    </cfRule>
  </conditionalFormatting>
  <conditionalFormatting sqref="Y7:AA58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E58"/>
  <sheetViews>
    <sheetView zoomScaleNormal="100" workbookViewId="0">
      <selection activeCell="A12" sqref="A12:H14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305" t="str">
        <f>정보!B1&amp;" (제작치수 샤링작지) "&amp;정보!B6&amp;" 소장"</f>
        <v>경기도 부천 은하마을 주공1단지아파트-3차 (제작치수 샤링작지) 김운호 소장</v>
      </c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305"/>
      <c r="T1" s="305"/>
      <c r="U1" s="305"/>
      <c r="V1" s="305"/>
      <c r="W1" s="305"/>
      <c r="X1" s="305"/>
    </row>
    <row r="2" spans="1:31" ht="30.75" customHeight="1" x14ac:dyDescent="0.3">
      <c r="A2" s="306" t="str">
        <f>"총 : " &amp; COUNTA(A7:A198) &amp;" (SET)"</f>
        <v>총 : 52 (SET)</v>
      </c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295" t="s">
        <v>160</v>
      </c>
      <c r="Q2" s="296"/>
      <c r="R2" s="296"/>
      <c r="S2" s="296"/>
      <c r="T2" s="61"/>
      <c r="U2" s="297">
        <v>1.2</v>
      </c>
      <c r="V2" s="297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95" t="str">
        <f>"예상매수 : " &amp; ROUNDUP((SUM(AB7:AB198)+SUM(AD7:AD198))/1200,0) &amp;" 매"</f>
        <v>예상매수 : 14 매</v>
      </c>
      <c r="H3" s="295"/>
      <c r="I3" s="298">
        <v>0</v>
      </c>
      <c r="J3" s="298"/>
      <c r="K3" s="63"/>
      <c r="L3" s="63"/>
      <c r="M3" s="252" t="s">
        <v>161</v>
      </c>
      <c r="N3" s="252"/>
      <c r="O3" s="252"/>
      <c r="P3" s="299">
        <v>0</v>
      </c>
      <c r="Q3" s="299"/>
      <c r="R3" s="249" t="s">
        <v>162</v>
      </c>
      <c r="S3" s="249"/>
      <c r="T3" s="64"/>
      <c r="U3" s="300">
        <v>4</v>
      </c>
      <c r="V3" s="300"/>
      <c r="W3" s="65"/>
      <c r="X3" s="65"/>
    </row>
    <row r="4" spans="1:31" ht="9.75" customHeight="1" x14ac:dyDescent="0.3">
      <c r="A4" s="169"/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</row>
    <row r="5" spans="1:31" ht="25.9" customHeight="1" x14ac:dyDescent="0.3">
      <c r="A5" s="173" t="s">
        <v>163</v>
      </c>
      <c r="B5" s="173" t="s">
        <v>164</v>
      </c>
      <c r="C5" s="174" t="s">
        <v>165</v>
      </c>
      <c r="D5" s="173" t="s">
        <v>166</v>
      </c>
      <c r="E5" s="174" t="s">
        <v>167</v>
      </c>
      <c r="F5" s="174" t="s">
        <v>168</v>
      </c>
      <c r="G5" s="174" t="s">
        <v>169</v>
      </c>
      <c r="H5" s="174" t="s">
        <v>170</v>
      </c>
      <c r="I5" s="307" t="s">
        <v>171</v>
      </c>
      <c r="J5" s="174" t="s">
        <v>172</v>
      </c>
      <c r="K5" s="174" t="s">
        <v>173</v>
      </c>
      <c r="L5" s="174" t="s">
        <v>147</v>
      </c>
      <c r="M5" s="301" t="s">
        <v>174</v>
      </c>
      <c r="N5" s="301" t="s">
        <v>175</v>
      </c>
      <c r="O5" s="173" t="s">
        <v>176</v>
      </c>
      <c r="P5" s="173" t="s">
        <v>177</v>
      </c>
      <c r="Q5" s="173" t="s">
        <v>178</v>
      </c>
      <c r="R5" s="173" t="s">
        <v>179</v>
      </c>
      <c r="S5" s="174" t="s">
        <v>180</v>
      </c>
      <c r="T5" s="301" t="s">
        <v>151</v>
      </c>
      <c r="U5" s="174" t="s">
        <v>181</v>
      </c>
      <c r="V5" s="174" t="s">
        <v>182</v>
      </c>
      <c r="W5" s="173" t="s">
        <v>183</v>
      </c>
      <c r="X5" s="173"/>
      <c r="AB5" s="184" t="s">
        <v>184</v>
      </c>
      <c r="AC5" s="184"/>
      <c r="AD5" s="184" t="s">
        <v>185</v>
      </c>
      <c r="AE5" s="184"/>
    </row>
    <row r="6" spans="1:31" ht="36.75" customHeight="1" x14ac:dyDescent="0.3">
      <c r="A6" s="215"/>
      <c r="B6" s="215"/>
      <c r="C6" s="215"/>
      <c r="D6" s="215"/>
      <c r="E6" s="215"/>
      <c r="F6" s="215"/>
      <c r="G6" s="215"/>
      <c r="H6" s="215"/>
      <c r="I6" s="308"/>
      <c r="J6" s="215"/>
      <c r="K6" s="243"/>
      <c r="L6" s="243"/>
      <c r="M6" s="302"/>
      <c r="N6" s="302"/>
      <c r="O6" s="215"/>
      <c r="P6" s="215"/>
      <c r="Q6" s="215"/>
      <c r="R6" s="215"/>
      <c r="S6" s="215"/>
      <c r="T6" s="303"/>
      <c r="U6" s="243"/>
      <c r="V6" s="243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524</v>
      </c>
      <c r="B7" s="50" t="str">
        <f>'쪽쟘(실측)'!B7&amp;"F"</f>
        <v>15F</v>
      </c>
      <c r="C7" s="50" t="str">
        <f>Z7&amp;"*"&amp;AA7</f>
        <v>1031*170.4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IF(OR(narrow!K7&lt;&gt;narrow!L7,narrow!O7&lt;&gt;narrow!P7),"",AC7&amp;"*"&amp;AB7)</f>
        <v/>
      </c>
      <c r="H7" s="68" t="str">
        <f>IF(OR(narrow!N7&lt;&gt;narrow!M7,narrow!Q7&lt;&gt;narrow!R7),"",AE7&amp;"*"&amp;AD7)</f>
        <v/>
      </c>
      <c r="I7" s="70">
        <f>IF('쪽쟘(실측)'!F7&gt;0,'쪽쟘(실측)'!F7+0.5,0)</f>
        <v>20.5</v>
      </c>
      <c r="J7" s="50">
        <f>IF('쪽쟘(실측)'!H7&gt;0,'쪽쟘(실측)'!H7+0.5,0)</f>
        <v>20.5</v>
      </c>
      <c r="K7" s="50">
        <f>IF('쪽쟘(실측)'!F7&gt;0,'쪽쟘(실측)'!F7+1.5,0)</f>
        <v>21.5</v>
      </c>
      <c r="L7" s="50">
        <f>IF('쪽쟘(실측)'!G7&gt;0,'쪽쟘(실측)'!G7+1.5,0)</f>
        <v>29.5</v>
      </c>
      <c r="M7" s="50">
        <f>IF('쪽쟘(실측)'!H7&gt;0,'쪽쟘(실측)'!H7+1.5,0)</f>
        <v>21.5</v>
      </c>
      <c r="N7" s="50">
        <f>IF('쪽쟘(실측)'!I7&gt;0,'쪽쟘(실측)'!I7+1.5,0)</f>
        <v>21.5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27.2</v>
      </c>
      <c r="T7" s="50">
        <f>'쪽쟘(실측)'!O7+1.2</f>
        <v>31.2</v>
      </c>
      <c r="U7" s="50">
        <f>'쪽쟘(실측)'!P7</f>
        <v>30</v>
      </c>
      <c r="V7" s="50">
        <f>'쪽쟘(실측)'!Q7</f>
        <v>30</v>
      </c>
      <c r="W7" s="50" t="e">
        <f>'쪽쟘(실측)'!R7-늘치차감</f>
        <v>#NAME?</v>
      </c>
      <c r="X7" s="50" t="e">
        <f>'쪽쟘(실측)'!S7-늘치차감</f>
        <v>#NAME?</v>
      </c>
      <c r="Z7">
        <v>1031</v>
      </c>
      <c r="AA7">
        <v>170.4</v>
      </c>
      <c r="AB7">
        <v>167.4</v>
      </c>
      <c r="AC7">
        <v>2093</v>
      </c>
      <c r="AD7">
        <v>159.4</v>
      </c>
      <c r="AE7">
        <v>2093</v>
      </c>
    </row>
    <row r="8" spans="1:31" ht="18.75" customHeight="1" x14ac:dyDescent="0.3">
      <c r="A8" s="50">
        <f>'쪽쟘(실측)'!A8</f>
        <v>524</v>
      </c>
      <c r="B8" s="50" t="str">
        <f>'쪽쟘(실측)'!B8&amp;"F"</f>
        <v>14F</v>
      </c>
      <c r="C8" s="50" t="str">
        <f t="shared" ref="C8:C36" si="0">Z8&amp;"*"&amp;AA8</f>
        <v>1031*170.4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IF(OR(narrow!K8&lt;&gt;narrow!L8,narrow!O8&lt;&gt;narrow!P8),"",AC8&amp;"*"&amp;AB8)</f>
        <v/>
      </c>
      <c r="H8" s="68" t="str">
        <f>IF(OR(narrow!N8&lt;&gt;narrow!M8,narrow!Q8&lt;&gt;narrow!R8),"",AE8&amp;"*"&amp;AD8)</f>
        <v>2092*159.4</v>
      </c>
      <c r="I8" s="70">
        <f>IF('쪽쟘(실측)'!F8&gt;0,'쪽쟘(실측)'!F8+0.5,0)</f>
        <v>20.5</v>
      </c>
      <c r="J8" s="50">
        <f>IF('쪽쟘(실측)'!H8&gt;0,'쪽쟘(실측)'!H8+0.5,0)</f>
        <v>20.5</v>
      </c>
      <c r="K8" s="50">
        <f>IF('쪽쟘(실측)'!F8&gt;0,'쪽쟘(실측)'!F8+1.5,0)</f>
        <v>21.5</v>
      </c>
      <c r="L8" s="50">
        <f>IF('쪽쟘(실측)'!G8&gt;0,'쪽쟘(실측)'!G8+1.5,0)</f>
        <v>24.5</v>
      </c>
      <c r="M8" s="50">
        <f>IF('쪽쟘(실측)'!H8&gt;0,'쪽쟘(실측)'!H8+1.5,0)</f>
        <v>21.5</v>
      </c>
      <c r="N8" s="50">
        <f>IF('쪽쟘(실측)'!I8&gt;0,'쪽쟘(실측)'!I8+1.5,0)</f>
        <v>21.5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31.2</v>
      </c>
      <c r="T8" s="50">
        <f>'쪽쟘(실측)'!O8+1.2</f>
        <v>31.2</v>
      </c>
      <c r="U8" s="50">
        <f>'쪽쟘(실측)'!P8</f>
        <v>30</v>
      </c>
      <c r="V8" s="50">
        <f>'쪽쟘(실측)'!Q8</f>
        <v>30</v>
      </c>
      <c r="W8" s="50" t="e">
        <f>'쪽쟘(실측)'!R8-늘치차감</f>
        <v>#NAME?</v>
      </c>
      <c r="X8" s="50" t="e">
        <f>'쪽쟘(실측)'!S8-늘치차감</f>
        <v>#NAME?</v>
      </c>
      <c r="Z8">
        <v>1031</v>
      </c>
      <c r="AA8">
        <v>170.4</v>
      </c>
      <c r="AB8">
        <v>162.4</v>
      </c>
      <c r="AC8">
        <v>2092</v>
      </c>
      <c r="AD8">
        <v>159.4</v>
      </c>
      <c r="AE8">
        <v>2092</v>
      </c>
    </row>
    <row r="9" spans="1:31" x14ac:dyDescent="0.3">
      <c r="A9" s="50">
        <f>'쪽쟘(실측)'!A9</f>
        <v>524</v>
      </c>
      <c r="B9" s="50" t="str">
        <f>'쪽쟘(실측)'!B9&amp;"F"</f>
        <v>13F</v>
      </c>
      <c r="C9" s="50" t="str">
        <f t="shared" si="0"/>
        <v>1032*170.4</v>
      </c>
      <c r="D9" s="50" t="e">
        <f>'쪽쟘(실측)'!C9-OP차감</f>
        <v>#NAME?</v>
      </c>
      <c r="E9" s="50" t="e">
        <f>'쪽쟘(실측)'!D9+쪽쟘J늘림+MAX(W9:X9)</f>
        <v>#VALUE!</v>
      </c>
      <c r="F9" s="50" t="e">
        <f>'쪽쟘(실측)'!E9+쪽쟘J늘림+MAX(W9:X9)</f>
        <v>#VALUE!</v>
      </c>
      <c r="G9" s="67" t="str">
        <f>IF(OR(narrow!K9&lt;&gt;narrow!L9,narrow!O9&lt;&gt;narrow!P9),"",AC9&amp;"*"&amp;AB9)</f>
        <v/>
      </c>
      <c r="H9" s="68" t="str">
        <f>IF(OR(narrow!N9&lt;&gt;narrow!M9,narrow!Q9&lt;&gt;narrow!R9),"",AE9&amp;"*"&amp;AD9)</f>
        <v>2092*159.4</v>
      </c>
      <c r="Z9">
        <v>1032</v>
      </c>
      <c r="AA9">
        <v>170.4</v>
      </c>
      <c r="AB9">
        <v>163.4</v>
      </c>
      <c r="AC9">
        <v>2090</v>
      </c>
      <c r="AD9">
        <v>159.4</v>
      </c>
      <c r="AE9">
        <v>2092</v>
      </c>
    </row>
    <row r="10" spans="1:31" x14ac:dyDescent="0.3">
      <c r="A10" s="50">
        <f>'쪽쟘(실측)'!A10</f>
        <v>524</v>
      </c>
      <c r="B10" s="50" t="str">
        <f>'쪽쟘(실측)'!B10&amp;"F"</f>
        <v>12F</v>
      </c>
      <c r="C10" s="50" t="str">
        <f t="shared" si="0"/>
        <v>1039*166.4</v>
      </c>
      <c r="D10" s="50" t="e">
        <f>'쪽쟘(실측)'!C10-OP차감</f>
        <v>#NAME?</v>
      </c>
      <c r="E10" s="50" t="e">
        <f>'쪽쟘(실측)'!D10+쪽쟘J늘림+MAX(W10:X10)</f>
        <v>#VALUE!</v>
      </c>
      <c r="F10" s="50" t="e">
        <f>'쪽쟘(실측)'!E10+쪽쟘J늘림+MAX(W10:X10)</f>
        <v>#VALUE!</v>
      </c>
      <c r="G10" s="67" t="str">
        <f>IF(OR(narrow!K10&lt;&gt;narrow!L10,narrow!O10&lt;&gt;narrow!P10),"",AC10&amp;"*"&amp;AB10)</f>
        <v>2090*167.4</v>
      </c>
      <c r="H10" s="68" t="str">
        <f>IF(OR(narrow!N10&lt;&gt;narrow!M10,narrow!Q10&lt;&gt;narrow!R10),"",AE10&amp;"*"&amp;AD10)</f>
        <v/>
      </c>
      <c r="Z10">
        <v>1039</v>
      </c>
      <c r="AA10">
        <v>166.4</v>
      </c>
      <c r="AB10">
        <v>167.4</v>
      </c>
      <c r="AC10">
        <v>2090</v>
      </c>
      <c r="AD10">
        <v>163.4</v>
      </c>
      <c r="AE10">
        <v>2092</v>
      </c>
    </row>
    <row r="11" spans="1:31" x14ac:dyDescent="0.3">
      <c r="A11" s="50">
        <f>'쪽쟘(실측)'!A11</f>
        <v>524</v>
      </c>
      <c r="B11" s="50" t="str">
        <f>'쪽쟘(실측)'!B11&amp;"F"</f>
        <v>11F</v>
      </c>
      <c r="C11" s="50" t="str">
        <f t="shared" si="0"/>
        <v>1039*167.4</v>
      </c>
      <c r="D11" s="50" t="e">
        <f>'쪽쟘(실측)'!C11-OP차감</f>
        <v>#NAME?</v>
      </c>
      <c r="E11" s="50" t="e">
        <f>'쪽쟘(실측)'!D11+쪽쟘J늘림+MAX(W11:X11)</f>
        <v>#VALUE!</v>
      </c>
      <c r="F11" s="50" t="e">
        <f>'쪽쟘(실측)'!E11+쪽쟘J늘림+MAX(W11:X11)</f>
        <v>#VALUE!</v>
      </c>
      <c r="G11" s="67" t="str">
        <f>IF(OR(narrow!K11&lt;&gt;narrow!L11,narrow!O11&lt;&gt;narrow!P11),"",AC11&amp;"*"&amp;AB11)</f>
        <v>2090*163.4</v>
      </c>
      <c r="H11" s="68" t="str">
        <f>IF(OR(narrow!N11&lt;&gt;narrow!M11,narrow!Q11&lt;&gt;narrow!R11),"",AE11&amp;"*"&amp;AD11)</f>
        <v>2092*163.4</v>
      </c>
      <c r="Z11">
        <v>1039</v>
      </c>
      <c r="AA11">
        <v>167.4</v>
      </c>
      <c r="AB11">
        <v>163.4</v>
      </c>
      <c r="AC11">
        <v>2090</v>
      </c>
      <c r="AD11">
        <v>163.4</v>
      </c>
      <c r="AE11">
        <v>2092</v>
      </c>
    </row>
    <row r="12" spans="1:31" x14ac:dyDescent="0.3">
      <c r="A12" s="50">
        <f>'쪽쟘(실측)'!A12</f>
        <v>524</v>
      </c>
      <c r="B12" s="50" t="str">
        <f>'쪽쟘(실측)'!B12&amp;"F"</f>
        <v>10F</v>
      </c>
      <c r="C12" s="50" t="str">
        <f t="shared" si="0"/>
        <v>1031*169.4</v>
      </c>
      <c r="D12" s="50" t="e">
        <f>'쪽쟘(실측)'!C12-OP차감</f>
        <v>#NAME?</v>
      </c>
      <c r="E12" s="50" t="e">
        <f>'쪽쟘(실측)'!D12+쪽쟘J늘림+MAX(W12:X12)</f>
        <v>#VALUE!</v>
      </c>
      <c r="F12" s="50" t="e">
        <f>'쪽쟘(실측)'!E12+쪽쟘J늘림+MAX(W12:X12)</f>
        <v>#VALUE!</v>
      </c>
      <c r="G12" s="67" t="str">
        <f>IF(OR(narrow!K12&lt;&gt;narrow!L12,narrow!O12&lt;&gt;narrow!P12),"",AC12&amp;"*"&amp;AB12)</f>
        <v/>
      </c>
      <c r="H12" s="68" t="str">
        <f>IF(OR(narrow!N12&lt;&gt;narrow!M12,narrow!Q12&lt;&gt;narrow!R12),"",AE12&amp;"*"&amp;AD12)</f>
        <v/>
      </c>
      <c r="Z12">
        <v>1031</v>
      </c>
      <c r="AA12">
        <v>169.4</v>
      </c>
      <c r="AB12">
        <v>159.4</v>
      </c>
      <c r="AC12">
        <v>2096</v>
      </c>
      <c r="AD12">
        <v>159.4</v>
      </c>
      <c r="AE12">
        <v>2094</v>
      </c>
    </row>
    <row r="13" spans="1:31" x14ac:dyDescent="0.3">
      <c r="A13" s="50">
        <f>'쪽쟘(실측)'!A13</f>
        <v>524</v>
      </c>
      <c r="B13" s="50" t="str">
        <f>'쪽쟘(실측)'!B13&amp;"F"</f>
        <v>9F</v>
      </c>
      <c r="C13" s="50" t="str">
        <f t="shared" si="0"/>
        <v>1038*166.4</v>
      </c>
      <c r="D13" s="50" t="e">
        <f>'쪽쟘(실측)'!C13-OP차감</f>
        <v>#NAME?</v>
      </c>
      <c r="E13" s="50" t="e">
        <f>'쪽쟘(실측)'!D13+쪽쟘J늘림+MAX(W13:X13)</f>
        <v>#VALUE!</v>
      </c>
      <c r="F13" s="50" t="e">
        <f>'쪽쟘(실측)'!E13+쪽쟘J늘림+MAX(W13:X13)</f>
        <v>#VALUE!</v>
      </c>
      <c r="G13" s="67" t="str">
        <f>IF(OR(narrow!K13&lt;&gt;narrow!L13,narrow!O13&lt;&gt;narrow!P13),"",AC13&amp;"*"&amp;AB13)</f>
        <v>2090*161.4</v>
      </c>
      <c r="H13" s="68" t="str">
        <f>IF(OR(narrow!N13&lt;&gt;narrow!M13,narrow!Q13&lt;&gt;narrow!R13),"",AE13&amp;"*"&amp;AD13)</f>
        <v>2090*164.4</v>
      </c>
      <c r="Z13">
        <v>1038</v>
      </c>
      <c r="AA13">
        <v>166.4</v>
      </c>
      <c r="AB13">
        <v>161.4</v>
      </c>
      <c r="AC13">
        <v>2090</v>
      </c>
      <c r="AD13">
        <v>164.4</v>
      </c>
      <c r="AE13">
        <v>2090</v>
      </c>
    </row>
    <row r="14" spans="1:31" x14ac:dyDescent="0.3">
      <c r="A14" s="50">
        <f>'쪽쟘(실측)'!A14</f>
        <v>524</v>
      </c>
      <c r="B14" s="50" t="str">
        <f>'쪽쟘(실측)'!B14&amp;"F"</f>
        <v>8F</v>
      </c>
      <c r="C14" s="50" t="str">
        <f t="shared" si="0"/>
        <v>1033*163.4</v>
      </c>
      <c r="D14" s="50" t="e">
        <f>'쪽쟘(실측)'!C14-OP차감</f>
        <v>#NAME?</v>
      </c>
      <c r="E14" s="50" t="e">
        <f>'쪽쟘(실측)'!D14+쪽쟘J늘림+MAX(W14:X14)</f>
        <v>#VALUE!</v>
      </c>
      <c r="F14" s="50" t="e">
        <f>'쪽쟘(실측)'!E14+쪽쟘J늘림+MAX(W14:X14)</f>
        <v>#VALUE!</v>
      </c>
      <c r="G14" s="67" t="str">
        <f>IF(OR(narrow!K14&lt;&gt;narrow!L14,narrow!O14&lt;&gt;narrow!P14),"",AC14&amp;"*"&amp;AB14)</f>
        <v/>
      </c>
      <c r="H14" s="68" t="str">
        <f>IF(OR(narrow!N14&lt;&gt;narrow!M14,narrow!Q14&lt;&gt;narrow!R14),"",AE14&amp;"*"&amp;AD14)</f>
        <v>2090*159.4</v>
      </c>
      <c r="Z14">
        <v>1033</v>
      </c>
      <c r="AA14">
        <v>163.4</v>
      </c>
      <c r="AB14">
        <v>160.4</v>
      </c>
      <c r="AC14">
        <v>2093</v>
      </c>
      <c r="AD14">
        <v>159.4</v>
      </c>
      <c r="AE14">
        <v>2090</v>
      </c>
    </row>
    <row r="15" spans="1:31" x14ac:dyDescent="0.3">
      <c r="A15" s="50">
        <f>'쪽쟘(실측)'!A15</f>
        <v>524</v>
      </c>
      <c r="B15" s="50" t="str">
        <f>'쪽쟘(실측)'!B15&amp;"F"</f>
        <v>7F</v>
      </c>
      <c r="C15" s="50" t="str">
        <f t="shared" si="0"/>
        <v>1030*162.4</v>
      </c>
      <c r="D15" s="50" t="e">
        <f>'쪽쟘(실측)'!C15-OP차감</f>
        <v>#NAME?</v>
      </c>
      <c r="E15" s="50" t="e">
        <f>'쪽쟘(실측)'!D15+쪽쟘J늘림+MAX(W15:X15)</f>
        <v>#VALUE!</v>
      </c>
      <c r="F15" s="50" t="e">
        <f>'쪽쟘(실측)'!E15+쪽쟘J늘림+MAX(W15:X15)</f>
        <v>#VALUE!</v>
      </c>
      <c r="G15" s="67" t="str">
        <f>IF(OR(narrow!K15&lt;&gt;narrow!L15,narrow!O15&lt;&gt;narrow!P15),"",AC15&amp;"*"&amp;AB15)</f>
        <v>2090*157.4</v>
      </c>
      <c r="H15" s="68" t="str">
        <f>IF(OR(narrow!N15&lt;&gt;narrow!M15,narrow!Q15&lt;&gt;narrow!R15),"",AE15&amp;"*"&amp;AD15)</f>
        <v>2092*159.4</v>
      </c>
      <c r="Z15">
        <v>1030</v>
      </c>
      <c r="AA15">
        <v>162.4</v>
      </c>
      <c r="AB15">
        <v>157.4</v>
      </c>
      <c r="AC15">
        <v>2090</v>
      </c>
      <c r="AD15">
        <v>159.4</v>
      </c>
      <c r="AE15">
        <v>2092</v>
      </c>
    </row>
    <row r="16" spans="1:31" x14ac:dyDescent="0.3">
      <c r="A16" s="50">
        <f>'쪽쟘(실측)'!A16</f>
        <v>524</v>
      </c>
      <c r="B16" s="50" t="str">
        <f>'쪽쟘(실측)'!B16&amp;"F"</f>
        <v>6F</v>
      </c>
      <c r="C16" s="50" t="str">
        <f t="shared" si="0"/>
        <v>1031*170.4</v>
      </c>
      <c r="D16" s="50" t="e">
        <f>'쪽쟘(실측)'!C16-OP차감</f>
        <v>#NAME?</v>
      </c>
      <c r="E16" s="50" t="e">
        <f>'쪽쟘(실측)'!D16+쪽쟘J늘림+MAX(W16:X16)</f>
        <v>#VALUE!</v>
      </c>
      <c r="F16" s="50" t="e">
        <f>'쪽쟘(실측)'!E16+쪽쟘J늘림+MAX(W16:X16)</f>
        <v>#VALUE!</v>
      </c>
      <c r="G16" s="67" t="str">
        <f>IF(OR(narrow!K16&lt;&gt;narrow!L16,narrow!O16&lt;&gt;narrow!P16),"",AC16&amp;"*"&amp;AB16)</f>
        <v>2090*159.4</v>
      </c>
      <c r="H16" s="68" t="str">
        <f>IF(OR(narrow!N16&lt;&gt;narrow!M16,narrow!Q16&lt;&gt;narrow!R16),"",AE16&amp;"*"&amp;AD16)</f>
        <v>2090*159.4</v>
      </c>
      <c r="Z16">
        <v>1031</v>
      </c>
      <c r="AA16">
        <v>170.4</v>
      </c>
      <c r="AB16">
        <v>159.4</v>
      </c>
      <c r="AC16">
        <v>2090</v>
      </c>
      <c r="AD16">
        <v>159.4</v>
      </c>
      <c r="AE16">
        <v>2090</v>
      </c>
    </row>
    <row r="17" spans="1:31" x14ac:dyDescent="0.3">
      <c r="A17" s="50">
        <f>'쪽쟘(실측)'!A17</f>
        <v>524</v>
      </c>
      <c r="B17" s="50" t="str">
        <f>'쪽쟘(실측)'!B17&amp;"F"</f>
        <v>5F</v>
      </c>
      <c r="C17" s="50" t="str">
        <f t="shared" si="0"/>
        <v>1031*170.4</v>
      </c>
      <c r="D17" s="50" t="e">
        <f>'쪽쟘(실측)'!C17-OP차감</f>
        <v>#NAME?</v>
      </c>
      <c r="E17" s="50" t="e">
        <f>'쪽쟘(실측)'!D17+쪽쟘J늘림+MAX(W17:X17)</f>
        <v>#VALUE!</v>
      </c>
      <c r="F17" s="50" t="e">
        <f>'쪽쟘(실측)'!E17+쪽쟘J늘림+MAX(W17:X17)</f>
        <v>#VALUE!</v>
      </c>
      <c r="G17" s="67" t="str">
        <f>IF(OR(narrow!K17&lt;&gt;narrow!L17,narrow!O17&lt;&gt;narrow!P17),"",AC17&amp;"*"&amp;AB17)</f>
        <v/>
      </c>
      <c r="H17" s="68" t="str">
        <f>IF(OR(narrow!N17&lt;&gt;narrow!M17,narrow!Q17&lt;&gt;narrow!R17),"",AE17&amp;"*"&amp;AD17)</f>
        <v>2090*159.4</v>
      </c>
      <c r="Z17">
        <v>1031</v>
      </c>
      <c r="AA17">
        <v>170.4</v>
      </c>
      <c r="AB17">
        <v>159.4</v>
      </c>
      <c r="AC17">
        <v>2090</v>
      </c>
      <c r="AD17">
        <v>159.4</v>
      </c>
      <c r="AE17">
        <v>2090</v>
      </c>
    </row>
    <row r="18" spans="1:31" x14ac:dyDescent="0.3">
      <c r="A18" s="50">
        <f>'쪽쟘(실측)'!A18</f>
        <v>524</v>
      </c>
      <c r="B18" s="50" t="str">
        <f>'쪽쟘(실측)'!B18&amp;"F"</f>
        <v>4F</v>
      </c>
      <c r="C18" s="50" t="str">
        <f t="shared" si="0"/>
        <v>1032*170.4</v>
      </c>
      <c r="D18" s="50" t="e">
        <f>'쪽쟘(실측)'!C18-OP차감</f>
        <v>#NAME?</v>
      </c>
      <c r="E18" s="50" t="e">
        <f>'쪽쟘(실측)'!D18+쪽쟘J늘림+MAX(W18:X18)</f>
        <v>#VALUE!</v>
      </c>
      <c r="F18" s="50" t="e">
        <f>'쪽쟘(실측)'!E18+쪽쟘J늘림+MAX(W18:X18)</f>
        <v>#VALUE!</v>
      </c>
      <c r="G18" s="67" t="str">
        <f>IF(OR(narrow!K18&lt;&gt;narrow!L18,narrow!O18&lt;&gt;narrow!P18),"",AC18&amp;"*"&amp;AB18)</f>
        <v/>
      </c>
      <c r="H18" s="68" t="str">
        <f>IF(OR(narrow!N18&lt;&gt;narrow!M18,narrow!Q18&lt;&gt;narrow!R18),"",AE18&amp;"*"&amp;AD18)</f>
        <v>2090*159.4</v>
      </c>
      <c r="Z18">
        <v>1032</v>
      </c>
      <c r="AA18">
        <v>170.4</v>
      </c>
      <c r="AB18">
        <v>160.4</v>
      </c>
      <c r="AC18">
        <v>2090</v>
      </c>
      <c r="AD18">
        <v>159.4</v>
      </c>
      <c r="AE18">
        <v>2090</v>
      </c>
    </row>
    <row r="19" spans="1:31" x14ac:dyDescent="0.3">
      <c r="A19" s="50">
        <f>'쪽쟘(실측)'!A19</f>
        <v>524</v>
      </c>
      <c r="B19" s="50" t="str">
        <f>'쪽쟘(실측)'!B19&amp;"F"</f>
        <v>3F</v>
      </c>
      <c r="C19" s="50" t="str">
        <f t="shared" si="0"/>
        <v>1031*160.4</v>
      </c>
      <c r="D19" s="50" t="e">
        <f>'쪽쟘(실측)'!C19-OP차감</f>
        <v>#NAME?</v>
      </c>
      <c r="E19" s="50" t="e">
        <f>'쪽쟘(실측)'!D19+쪽쟘J늘림+MAX(W19:X19)</f>
        <v>#VALUE!</v>
      </c>
      <c r="F19" s="50" t="e">
        <f>'쪽쟘(실측)'!E19+쪽쟘J늘림+MAX(W19:X19)</f>
        <v>#VALUE!</v>
      </c>
      <c r="G19" s="67" t="str">
        <f>IF(OR(narrow!K19&lt;&gt;narrow!L19,narrow!O19&lt;&gt;narrow!P19),"",AC19&amp;"*"&amp;AB19)</f>
        <v>2090*159.4</v>
      </c>
      <c r="H19" s="68" t="str">
        <f>IF(OR(narrow!N19&lt;&gt;narrow!M19,narrow!Q19&lt;&gt;narrow!R19),"",AE19&amp;"*"&amp;AD19)</f>
        <v/>
      </c>
      <c r="Z19">
        <v>1031</v>
      </c>
      <c r="AA19">
        <v>160.4</v>
      </c>
      <c r="AB19">
        <v>159.4</v>
      </c>
      <c r="AC19">
        <v>2090</v>
      </c>
      <c r="AD19">
        <v>162.4</v>
      </c>
      <c r="AE19">
        <v>2090</v>
      </c>
    </row>
    <row r="20" spans="1:31" ht="17.25" thickBot="1" x14ac:dyDescent="0.35">
      <c r="A20" s="164">
        <f>'쪽쟘(실측)'!A20</f>
        <v>524</v>
      </c>
      <c r="B20" s="164" t="str">
        <f>'쪽쟘(실측)'!B20&amp;"F"</f>
        <v>2F</v>
      </c>
      <c r="C20" s="164" t="str">
        <f t="shared" si="0"/>
        <v>1027*153.4</v>
      </c>
      <c r="D20" s="164" t="e">
        <f>'쪽쟘(실측)'!C20-OP차감</f>
        <v>#NAME?</v>
      </c>
      <c r="E20" s="164" t="e">
        <f>'쪽쟘(실측)'!D20+쪽쟘J늘림+MAX(W20:X20)</f>
        <v>#VALUE!</v>
      </c>
      <c r="F20" s="164" t="e">
        <f>'쪽쟘(실측)'!E20+쪽쟘J늘림+MAX(W20:X20)</f>
        <v>#VALUE!</v>
      </c>
      <c r="G20" s="165" t="str">
        <f>IF(OR(narrow!K20&lt;&gt;narrow!L20,narrow!O20&lt;&gt;narrow!P20),"",AC20&amp;"*"&amp;AB20)</f>
        <v/>
      </c>
      <c r="H20" s="166" t="str">
        <f>IF(OR(narrow!N20&lt;&gt;narrow!M20,narrow!Q20&lt;&gt;narrow!R20),"",AE20&amp;"*"&amp;AD20)</f>
        <v/>
      </c>
      <c r="Z20">
        <v>1027</v>
      </c>
      <c r="AA20">
        <v>153.4</v>
      </c>
      <c r="AB20">
        <v>165.4</v>
      </c>
      <c r="AC20">
        <v>2090</v>
      </c>
      <c r="AD20">
        <v>159.4</v>
      </c>
      <c r="AE20">
        <v>2090</v>
      </c>
    </row>
    <row r="21" spans="1:31" x14ac:dyDescent="0.3">
      <c r="A21" s="161">
        <f>'쪽쟘(실측)'!A21</f>
        <v>525</v>
      </c>
      <c r="B21" s="161" t="str">
        <f>'쪽쟘(실측)'!B21&amp;"F"</f>
        <v>20F</v>
      </c>
      <c r="C21" s="161" t="str">
        <f t="shared" si="0"/>
        <v>939*160.4</v>
      </c>
      <c r="D21" s="161" t="e">
        <f>'쪽쟘(실측)'!C21-OP차감</f>
        <v>#NAME?</v>
      </c>
      <c r="E21" s="161" t="e">
        <f>'쪽쟘(실측)'!D21+쪽쟘J늘림+MAX(W21:X21)</f>
        <v>#VALUE!</v>
      </c>
      <c r="F21" s="161" t="e">
        <f>'쪽쟘(실측)'!E21+쪽쟘J늘림+MAX(W21:X21)</f>
        <v>#VALUE!</v>
      </c>
      <c r="G21" s="162" t="str">
        <f>IF(OR(narrow!K21&lt;&gt;narrow!L21,narrow!O21&lt;&gt;narrow!P21),"",AC21&amp;"*"&amp;AB21)</f>
        <v/>
      </c>
      <c r="H21" s="163" t="str">
        <f>IF(OR(narrow!N21&lt;&gt;narrow!M21,narrow!Q21&lt;&gt;narrow!R21),"",AE21&amp;"*"&amp;AD21)</f>
        <v/>
      </c>
      <c r="Z21">
        <v>939</v>
      </c>
      <c r="AA21">
        <v>160.4</v>
      </c>
      <c r="AB21">
        <v>162.4</v>
      </c>
      <c r="AC21">
        <v>2093</v>
      </c>
      <c r="AD21">
        <v>159.4</v>
      </c>
      <c r="AE21">
        <v>2097</v>
      </c>
    </row>
    <row r="22" spans="1:31" x14ac:dyDescent="0.3">
      <c r="A22" s="50">
        <f>'쪽쟘(실측)'!A22</f>
        <v>525</v>
      </c>
      <c r="B22" s="50" t="str">
        <f>'쪽쟘(실측)'!B22&amp;"F"</f>
        <v>19F</v>
      </c>
      <c r="C22" s="50" t="str">
        <f t="shared" si="0"/>
        <v>941*155.4</v>
      </c>
      <c r="D22" s="50" t="e">
        <f>'쪽쟘(실측)'!C22-OP차감</f>
        <v>#NAME?</v>
      </c>
      <c r="E22" s="50" t="e">
        <f>'쪽쟘(실측)'!D22+쪽쟘J늘림+MAX(W22:X22)</f>
        <v>#VALUE!</v>
      </c>
      <c r="F22" s="50" t="e">
        <f>'쪽쟘(실측)'!E22+쪽쟘J늘림+MAX(W22:X22)</f>
        <v>#VALUE!</v>
      </c>
      <c r="G22" s="67" t="str">
        <f>IF(OR(narrow!K22&lt;&gt;narrow!L22,narrow!O22&lt;&gt;narrow!P22),"",AC22&amp;"*"&amp;AB22)</f>
        <v/>
      </c>
      <c r="H22" s="68" t="str">
        <f>IF(OR(narrow!N22&lt;&gt;narrow!M22,narrow!Q22&lt;&gt;narrow!R22),"",AE22&amp;"*"&amp;AD22)</f>
        <v/>
      </c>
      <c r="Z22">
        <v>941</v>
      </c>
      <c r="AA22">
        <v>155.4</v>
      </c>
      <c r="AB22">
        <v>164.4</v>
      </c>
      <c r="AC22">
        <v>2095</v>
      </c>
      <c r="AD22">
        <v>161.4</v>
      </c>
      <c r="AE22">
        <v>2092</v>
      </c>
    </row>
    <row r="23" spans="1:31" x14ac:dyDescent="0.3">
      <c r="A23" s="50">
        <f>'쪽쟘(실측)'!A23</f>
        <v>525</v>
      </c>
      <c r="B23" s="50" t="str">
        <f>'쪽쟘(실측)'!B23&amp;"F"</f>
        <v>18F</v>
      </c>
      <c r="C23" s="50" t="str">
        <f t="shared" si="0"/>
        <v>941*156.4</v>
      </c>
      <c r="D23" s="50" t="e">
        <f>'쪽쟘(실측)'!C23-OP차감</f>
        <v>#NAME?</v>
      </c>
      <c r="E23" s="50" t="e">
        <f>'쪽쟘(실측)'!D23+쪽쟘J늘림+MAX(W23:X23)</f>
        <v>#VALUE!</v>
      </c>
      <c r="F23" s="50" t="e">
        <f>'쪽쟘(실측)'!E23+쪽쟘J늘림+MAX(W23:X23)</f>
        <v>#VALUE!</v>
      </c>
      <c r="G23" s="67" t="str">
        <f>IF(OR(narrow!K23&lt;&gt;narrow!L23,narrow!O23&lt;&gt;narrow!P23),"",AC23&amp;"*"&amp;AB23)</f>
        <v/>
      </c>
      <c r="H23" s="68" t="str">
        <f>IF(OR(narrow!N23&lt;&gt;narrow!M23,narrow!Q23&lt;&gt;narrow!R23),"",AE23&amp;"*"&amp;AD23)</f>
        <v/>
      </c>
      <c r="Z23">
        <v>941</v>
      </c>
      <c r="AA23">
        <v>156.4</v>
      </c>
      <c r="AB23">
        <v>163.4</v>
      </c>
      <c r="AC23">
        <v>2095</v>
      </c>
      <c r="AD23">
        <v>161.4</v>
      </c>
      <c r="AE23">
        <v>2095</v>
      </c>
    </row>
    <row r="24" spans="1:31" x14ac:dyDescent="0.3">
      <c r="A24" s="50">
        <f>'쪽쟘(실측)'!A24</f>
        <v>525</v>
      </c>
      <c r="B24" s="50" t="str">
        <f>'쪽쟘(실측)'!B24&amp;"F"</f>
        <v>17F</v>
      </c>
      <c r="C24" s="50" t="str">
        <f t="shared" si="0"/>
        <v>945*161.4</v>
      </c>
      <c r="D24" s="50" t="e">
        <f>'쪽쟘(실측)'!C24-OP차감</f>
        <v>#NAME?</v>
      </c>
      <c r="E24" s="50" t="e">
        <f>'쪽쟘(실측)'!D24+쪽쟘J늘림+MAX(W24:X24)</f>
        <v>#VALUE!</v>
      </c>
      <c r="F24" s="50" t="e">
        <f>'쪽쟘(실측)'!E24+쪽쟘J늘림+MAX(W24:X24)</f>
        <v>#VALUE!</v>
      </c>
      <c r="G24" s="67" t="str">
        <f>IF(OR(narrow!K24&lt;&gt;narrow!L24,narrow!O24&lt;&gt;narrow!P24),"",AC24&amp;"*"&amp;AB24)</f>
        <v/>
      </c>
      <c r="H24" s="68" t="str">
        <f>IF(OR(narrow!N24&lt;&gt;narrow!M24,narrow!Q24&lt;&gt;narrow!R24),"",AE24&amp;"*"&amp;AD24)</f>
        <v/>
      </c>
      <c r="Z24">
        <v>945</v>
      </c>
      <c r="AA24">
        <v>161.4</v>
      </c>
      <c r="AB24">
        <v>164.4</v>
      </c>
      <c r="AC24">
        <v>2092</v>
      </c>
      <c r="AD24">
        <v>161.4</v>
      </c>
      <c r="AE24">
        <v>2092</v>
      </c>
    </row>
    <row r="25" spans="1:31" x14ac:dyDescent="0.3">
      <c r="A25" s="50">
        <f>'쪽쟘(실측)'!A25</f>
        <v>525</v>
      </c>
      <c r="B25" s="50" t="str">
        <f>'쪽쟘(실측)'!B25&amp;"F"</f>
        <v>16F</v>
      </c>
      <c r="C25" s="50" t="str">
        <f t="shared" si="0"/>
        <v>944*162.4</v>
      </c>
      <c r="D25" s="50" t="e">
        <f>'쪽쟘(실측)'!C25-OP차감</f>
        <v>#NAME?</v>
      </c>
      <c r="E25" s="50" t="e">
        <f>'쪽쟘(실측)'!D25+쪽쟘J늘림+MAX(W25:X25)</f>
        <v>#VALUE!</v>
      </c>
      <c r="F25" s="50" t="e">
        <f>'쪽쟘(실측)'!E25+쪽쟘J늘림+MAX(W25:X25)</f>
        <v>#VALUE!</v>
      </c>
      <c r="G25" s="67" t="str">
        <f>IF(OR(narrow!K25&lt;&gt;narrow!L25,narrow!O25&lt;&gt;narrow!P25),"",AC25&amp;"*"&amp;AB25)</f>
        <v>2090*160.4</v>
      </c>
      <c r="H25" s="68" t="str">
        <f>IF(OR(narrow!N25&lt;&gt;narrow!M25,narrow!Q25&lt;&gt;narrow!R25),"",AE25&amp;"*"&amp;AD25)</f>
        <v>2086*160.4</v>
      </c>
      <c r="Z25">
        <v>944</v>
      </c>
      <c r="AA25">
        <v>162.4</v>
      </c>
      <c r="AB25">
        <v>160.4</v>
      </c>
      <c r="AC25">
        <v>2090</v>
      </c>
      <c r="AD25">
        <v>160.4</v>
      </c>
      <c r="AE25">
        <v>2086</v>
      </c>
    </row>
    <row r="26" spans="1:31" x14ac:dyDescent="0.3">
      <c r="A26" s="50">
        <f>'쪽쟘(실측)'!A26</f>
        <v>525</v>
      </c>
      <c r="B26" s="50" t="str">
        <f>'쪽쟘(실측)'!B26&amp;"F"</f>
        <v>15F</v>
      </c>
      <c r="C26" s="50" t="str">
        <f t="shared" si="0"/>
        <v>946*163.4</v>
      </c>
      <c r="D26" s="50" t="e">
        <f>'쪽쟘(실측)'!C26-OP차감</f>
        <v>#NAME?</v>
      </c>
      <c r="E26" s="50" t="e">
        <f>'쪽쟘(실측)'!D26+쪽쟘J늘림+MAX(W26:X26)</f>
        <v>#VALUE!</v>
      </c>
      <c r="F26" s="50" t="e">
        <f>'쪽쟘(실측)'!E26+쪽쟘J늘림+MAX(W26:X26)</f>
        <v>#VALUE!</v>
      </c>
      <c r="G26" s="67" t="str">
        <f>IF(OR(narrow!K26&lt;&gt;narrow!L26,narrow!O26&lt;&gt;narrow!P26),"",AC26&amp;"*"&amp;AB26)</f>
        <v/>
      </c>
      <c r="H26" s="68" t="str">
        <f>IF(OR(narrow!N26&lt;&gt;narrow!M26,narrow!Q26&lt;&gt;narrow!R26),"",AE26&amp;"*"&amp;AD26)</f>
        <v>2092*160.4</v>
      </c>
      <c r="Z26">
        <v>946</v>
      </c>
      <c r="AA26">
        <v>163.4</v>
      </c>
      <c r="AB26">
        <v>162.4</v>
      </c>
      <c r="AC26">
        <v>2085</v>
      </c>
      <c r="AD26">
        <v>160.4</v>
      </c>
      <c r="AE26">
        <v>2092</v>
      </c>
    </row>
    <row r="27" spans="1:31" x14ac:dyDescent="0.3">
      <c r="A27" s="50">
        <f>'쪽쟘(실측)'!A27</f>
        <v>525</v>
      </c>
      <c r="B27" s="50" t="str">
        <f>'쪽쟘(실측)'!B27&amp;"F"</f>
        <v>14F</v>
      </c>
      <c r="C27" s="50" t="str">
        <f t="shared" si="0"/>
        <v>949*154.4</v>
      </c>
      <c r="D27" s="50" t="e">
        <f>'쪽쟘(실측)'!C27-OP차감</f>
        <v>#NAME?</v>
      </c>
      <c r="E27" s="50" t="e">
        <f>'쪽쟘(실측)'!D27+쪽쟘J늘림+MAX(W27:X27)</f>
        <v>#VALUE!</v>
      </c>
      <c r="F27" s="50" t="e">
        <f>'쪽쟘(실측)'!E27+쪽쟘J늘림+MAX(W27:X27)</f>
        <v>#VALUE!</v>
      </c>
      <c r="G27" s="67" t="str">
        <f>IF(OR(narrow!K27&lt;&gt;narrow!L27,narrow!O27&lt;&gt;narrow!P27),"",AC27&amp;"*"&amp;AB27)</f>
        <v>2090*162.4</v>
      </c>
      <c r="H27" s="68" t="str">
        <f>IF(OR(narrow!N27&lt;&gt;narrow!M27,narrow!Q27&lt;&gt;narrow!R27),"",AE27&amp;"*"&amp;AD27)</f>
        <v>2090*162.4</v>
      </c>
      <c r="Z27">
        <v>949</v>
      </c>
      <c r="AA27">
        <v>154.4</v>
      </c>
      <c r="AB27">
        <v>162.4</v>
      </c>
      <c r="AC27">
        <v>2090</v>
      </c>
      <c r="AD27">
        <v>162.4</v>
      </c>
      <c r="AE27">
        <v>2090</v>
      </c>
    </row>
    <row r="28" spans="1:31" x14ac:dyDescent="0.3">
      <c r="A28" s="50">
        <f>'쪽쟘(실측)'!A28</f>
        <v>525</v>
      </c>
      <c r="B28" s="50" t="str">
        <f>'쪽쟘(실측)'!B28&amp;"F"</f>
        <v>13F</v>
      </c>
      <c r="C28" s="50" t="str">
        <f t="shared" si="0"/>
        <v>935*150.4</v>
      </c>
      <c r="D28" s="50" t="e">
        <f>'쪽쟘(실측)'!C28-OP차감</f>
        <v>#NAME?</v>
      </c>
      <c r="E28" s="50" t="e">
        <f>'쪽쟘(실측)'!D28+쪽쟘J늘림+MAX(W28:X28)</f>
        <v>#VALUE!</v>
      </c>
      <c r="F28" s="50" t="e">
        <f>'쪽쟘(실측)'!E28+쪽쟘J늘림+MAX(W28:X28)</f>
        <v>#VALUE!</v>
      </c>
      <c r="G28" s="67" t="str">
        <f>IF(OR(narrow!K28&lt;&gt;narrow!L28,narrow!O28&lt;&gt;narrow!P28),"",AC28&amp;"*"&amp;AB28)</f>
        <v>2090*156.4</v>
      </c>
      <c r="H28" s="68" t="str">
        <f>IF(OR(narrow!N28&lt;&gt;narrow!M28,narrow!Q28&lt;&gt;narrow!R28),"",AE28&amp;"*"&amp;AD28)</f>
        <v>2092*155.4</v>
      </c>
      <c r="Z28">
        <v>935</v>
      </c>
      <c r="AA28">
        <v>150.4</v>
      </c>
      <c r="AB28">
        <v>156.4</v>
      </c>
      <c r="AC28">
        <v>2090</v>
      </c>
      <c r="AD28">
        <v>155.4</v>
      </c>
      <c r="AE28">
        <v>2092</v>
      </c>
    </row>
    <row r="29" spans="1:31" x14ac:dyDescent="0.3">
      <c r="A29" s="50">
        <f>'쪽쟘(실측)'!A29</f>
        <v>525</v>
      </c>
      <c r="B29" s="50" t="str">
        <f>'쪽쟘(실측)'!B29&amp;"F"</f>
        <v>12F</v>
      </c>
      <c r="C29" s="50" t="str">
        <f t="shared" si="0"/>
        <v>943*163.4</v>
      </c>
      <c r="D29" s="50" t="e">
        <f>'쪽쟘(실측)'!C29-OP차감</f>
        <v>#NAME?</v>
      </c>
      <c r="E29" s="50" t="e">
        <f>'쪽쟘(실측)'!D29+쪽쟘J늘림+MAX(W29:X29)</f>
        <v>#VALUE!</v>
      </c>
      <c r="F29" s="50" t="e">
        <f>'쪽쟘(실측)'!E29+쪽쟘J늘림+MAX(W29:X29)</f>
        <v>#VALUE!</v>
      </c>
      <c r="G29" s="67" t="str">
        <f>IF(OR(narrow!K29&lt;&gt;narrow!L29,narrow!O29&lt;&gt;narrow!P29),"",AC29&amp;"*"&amp;AB29)</f>
        <v/>
      </c>
      <c r="H29" s="68" t="str">
        <f>IF(OR(narrow!N29&lt;&gt;narrow!M29,narrow!Q29&lt;&gt;narrow!R29),"",AE29&amp;"*"&amp;AD29)</f>
        <v/>
      </c>
      <c r="Z29">
        <v>943</v>
      </c>
      <c r="AA29">
        <v>163.4</v>
      </c>
      <c r="AB29">
        <v>164.4</v>
      </c>
      <c r="AC29">
        <v>2090</v>
      </c>
      <c r="AD29">
        <v>161.4</v>
      </c>
      <c r="AE29">
        <v>2090</v>
      </c>
    </row>
    <row r="30" spans="1:31" x14ac:dyDescent="0.3">
      <c r="A30" s="50">
        <f>'쪽쟘(실측)'!A30</f>
        <v>525</v>
      </c>
      <c r="B30" s="50" t="str">
        <f>'쪽쟘(실측)'!B30&amp;"F"</f>
        <v>11F</v>
      </c>
      <c r="C30" s="50" t="str">
        <f t="shared" si="0"/>
        <v>950*152.4</v>
      </c>
      <c r="D30" s="50" t="e">
        <f>'쪽쟘(실측)'!C30-OP차감</f>
        <v>#NAME?</v>
      </c>
      <c r="E30" s="50" t="e">
        <f>'쪽쟘(실측)'!D30+쪽쟘J늘림+MAX(W30:X30)</f>
        <v>#VALUE!</v>
      </c>
      <c r="F30" s="50" t="e">
        <f>'쪽쟘(실측)'!E30+쪽쟘J늘림+MAX(W30:X30)</f>
        <v>#VALUE!</v>
      </c>
      <c r="G30" s="67" t="str">
        <f>IF(OR(narrow!K30&lt;&gt;narrow!L30,narrow!O30&lt;&gt;narrow!P30),"",AC30&amp;"*"&amp;AB30)</f>
        <v>2086*164.4</v>
      </c>
      <c r="H30" s="68" t="str">
        <f>IF(OR(narrow!N30&lt;&gt;narrow!M30,narrow!Q30&lt;&gt;narrow!R30),"",AE30&amp;"*"&amp;AD30)</f>
        <v>2092*162.4</v>
      </c>
      <c r="Z30">
        <v>950</v>
      </c>
      <c r="AA30">
        <v>152.4</v>
      </c>
      <c r="AB30">
        <v>164.4</v>
      </c>
      <c r="AC30">
        <v>2086</v>
      </c>
      <c r="AD30">
        <v>162.4</v>
      </c>
      <c r="AE30">
        <v>2092</v>
      </c>
    </row>
    <row r="31" spans="1:31" x14ac:dyDescent="0.3">
      <c r="A31" s="50">
        <f>'쪽쟘(실측)'!A31</f>
        <v>525</v>
      </c>
      <c r="B31" s="50" t="str">
        <f>'쪽쟘(실측)'!B31&amp;"F"</f>
        <v>10F</v>
      </c>
      <c r="C31" s="50" t="str">
        <f t="shared" si="0"/>
        <v>944*155.4</v>
      </c>
      <c r="D31" s="50" t="e">
        <f>'쪽쟘(실측)'!C31-OP차감</f>
        <v>#NAME?</v>
      </c>
      <c r="E31" s="50" t="e">
        <f>'쪽쟘(실측)'!D31+쪽쟘J늘림+MAX(W31:X31)</f>
        <v>#VALUE!</v>
      </c>
      <c r="F31" s="50" t="e">
        <f>'쪽쟘(실측)'!E31+쪽쟘J늘림+MAX(W31:X31)</f>
        <v>#VALUE!</v>
      </c>
      <c r="G31" s="67" t="str">
        <f>IF(OR(narrow!K31&lt;&gt;narrow!L31,narrow!O31&lt;&gt;narrow!P31),"",AC31&amp;"*"&amp;AB31)</f>
        <v/>
      </c>
      <c r="H31" s="68" t="str">
        <f>IF(OR(narrow!N31&lt;&gt;narrow!M31,narrow!Q31&lt;&gt;narrow!R31),"",AE31&amp;"*"&amp;AD31)</f>
        <v>2092*160.4</v>
      </c>
      <c r="Z31">
        <v>944</v>
      </c>
      <c r="AA31">
        <v>155.4</v>
      </c>
      <c r="AB31">
        <v>164.4</v>
      </c>
      <c r="AC31">
        <v>2090</v>
      </c>
      <c r="AD31">
        <v>160.4</v>
      </c>
      <c r="AE31">
        <v>2092</v>
      </c>
    </row>
    <row r="32" spans="1:31" x14ac:dyDescent="0.3">
      <c r="A32" s="50">
        <f>'쪽쟘(실측)'!A32</f>
        <v>525</v>
      </c>
      <c r="B32" s="50" t="str">
        <f>'쪽쟘(실측)'!B32&amp;"F"</f>
        <v>9F</v>
      </c>
      <c r="C32" s="50" t="str">
        <f t="shared" si="0"/>
        <v>941*156.4</v>
      </c>
      <c r="D32" s="50" t="e">
        <f>'쪽쟘(실측)'!C32-OP차감</f>
        <v>#NAME?</v>
      </c>
      <c r="E32" s="50" t="e">
        <f>'쪽쟘(실측)'!D32+쪽쟘J늘림+MAX(W32:X32)</f>
        <v>#VALUE!</v>
      </c>
      <c r="F32" s="50" t="e">
        <f>'쪽쟘(실측)'!E32+쪽쟘J늘림+MAX(W32:X32)</f>
        <v>#VALUE!</v>
      </c>
      <c r="G32" s="67" t="str">
        <f>IF(OR(narrow!K32&lt;&gt;narrow!L32,narrow!O32&lt;&gt;narrow!P32),"",AC32&amp;"*"&amp;AB32)</f>
        <v/>
      </c>
      <c r="H32" s="68" t="str">
        <f>IF(OR(narrow!N32&lt;&gt;narrow!M32,narrow!Q32&lt;&gt;narrow!R32),"",AE32&amp;"*"&amp;AD32)</f>
        <v>2092*162.4</v>
      </c>
      <c r="Z32">
        <v>941</v>
      </c>
      <c r="AA32">
        <v>156.4</v>
      </c>
      <c r="AB32">
        <v>158.4</v>
      </c>
      <c r="AC32">
        <v>2088</v>
      </c>
      <c r="AD32">
        <v>162.4</v>
      </c>
      <c r="AE32">
        <v>2092</v>
      </c>
    </row>
    <row r="33" spans="1:31" x14ac:dyDescent="0.3">
      <c r="A33" s="50">
        <f>'쪽쟘(실측)'!A33</f>
        <v>525</v>
      </c>
      <c r="B33" s="50" t="str">
        <f>'쪽쟘(실측)'!B33&amp;"F"</f>
        <v>8F</v>
      </c>
      <c r="C33" s="50" t="str">
        <f t="shared" si="0"/>
        <v>949*148.4</v>
      </c>
      <c r="D33" s="50" t="e">
        <f>'쪽쟘(실측)'!C33-OP차감</f>
        <v>#NAME?</v>
      </c>
      <c r="E33" s="50" t="e">
        <f>'쪽쟘(실측)'!D33+쪽쟘J늘림+MAX(W33:X33)</f>
        <v>#VALUE!</v>
      </c>
      <c r="F33" s="50" t="e">
        <f>'쪽쟘(실측)'!E33+쪽쟘J늘림+MAX(W33:X33)</f>
        <v>#VALUE!</v>
      </c>
      <c r="G33" s="67" t="str">
        <f>IF(OR(narrow!K33&lt;&gt;narrow!L33,narrow!O33&lt;&gt;narrow!P33),"",AC33&amp;"*"&amp;AB33)</f>
        <v/>
      </c>
      <c r="H33" s="68" t="str">
        <f>IF(OR(narrow!N33&lt;&gt;narrow!M33,narrow!Q33&lt;&gt;narrow!R33),"",AE33&amp;"*"&amp;AD33)</f>
        <v/>
      </c>
      <c r="Z33">
        <v>949</v>
      </c>
      <c r="AA33">
        <v>148.4</v>
      </c>
      <c r="AB33">
        <v>164.4</v>
      </c>
      <c r="AC33">
        <v>2093</v>
      </c>
      <c r="AD33">
        <v>164.4</v>
      </c>
      <c r="AE33">
        <v>2092</v>
      </c>
    </row>
    <row r="34" spans="1:31" x14ac:dyDescent="0.3">
      <c r="A34" s="50">
        <f>'쪽쟘(실측)'!A34</f>
        <v>525</v>
      </c>
      <c r="B34" s="50" t="str">
        <f>'쪽쟘(실측)'!B34&amp;"F"</f>
        <v>7F</v>
      </c>
      <c r="C34" s="50" t="str">
        <f t="shared" si="0"/>
        <v>947*155.4</v>
      </c>
      <c r="D34" s="50" t="e">
        <f>'쪽쟘(실측)'!C34-OP차감</f>
        <v>#NAME?</v>
      </c>
      <c r="E34" s="50" t="e">
        <f>'쪽쟘(실측)'!D34+쪽쟘J늘림+MAX(W34:X34)</f>
        <v>#VALUE!</v>
      </c>
      <c r="F34" s="50" t="e">
        <f>'쪽쟘(실측)'!E34+쪽쟘J늘림+MAX(W34:X34)</f>
        <v>#VALUE!</v>
      </c>
      <c r="G34" s="67" t="str">
        <f>IF(OR(narrow!K34&lt;&gt;narrow!L34,narrow!O34&lt;&gt;narrow!P34),"",AC34&amp;"*"&amp;AB34)</f>
        <v>2088*161.4</v>
      </c>
      <c r="H34" s="68" t="str">
        <f>IF(OR(narrow!N34&lt;&gt;narrow!M34,narrow!Q34&lt;&gt;narrow!R34),"",AE34&amp;"*"&amp;AD34)</f>
        <v>2092*162.4</v>
      </c>
      <c r="Z34">
        <v>947</v>
      </c>
      <c r="AA34">
        <v>155.4</v>
      </c>
      <c r="AB34">
        <v>161.4</v>
      </c>
      <c r="AC34">
        <v>2088</v>
      </c>
      <c r="AD34">
        <v>162.4</v>
      </c>
      <c r="AE34">
        <v>2092</v>
      </c>
    </row>
    <row r="35" spans="1:31" x14ac:dyDescent="0.3">
      <c r="A35" s="50">
        <f>'쪽쟘(실측)'!A35</f>
        <v>525</v>
      </c>
      <c r="B35" s="50" t="str">
        <f>'쪽쟘(실측)'!B35&amp;"F"</f>
        <v>6F</v>
      </c>
      <c r="C35" s="50" t="str">
        <f t="shared" si="0"/>
        <v>950*158.4</v>
      </c>
      <c r="D35" s="50" t="e">
        <f>'쪽쟘(실측)'!C35-OP차감</f>
        <v>#NAME?</v>
      </c>
      <c r="E35" s="50" t="e">
        <f>'쪽쟘(실측)'!D35+쪽쟘J늘림+MAX(W35:X35)</f>
        <v>#VALUE!</v>
      </c>
      <c r="F35" s="50" t="e">
        <f>'쪽쟘(실측)'!E35+쪽쟘J늘림+MAX(W35:X35)</f>
        <v>#VALUE!</v>
      </c>
      <c r="G35" s="67" t="str">
        <f>IF(OR(narrow!K35&lt;&gt;narrow!L35,narrow!O35&lt;&gt;narrow!P35),"",AC35&amp;"*"&amp;AB35)</f>
        <v>2090*161.4</v>
      </c>
      <c r="H35" s="68" t="str">
        <f>IF(OR(narrow!N35&lt;&gt;narrow!M35,narrow!Q35&lt;&gt;narrow!R35),"",AE35&amp;"*"&amp;AD35)</f>
        <v>2092*164.4</v>
      </c>
      <c r="Z35">
        <v>950</v>
      </c>
      <c r="AA35">
        <v>158.4</v>
      </c>
      <c r="AB35">
        <v>161.4</v>
      </c>
      <c r="AC35">
        <v>2090</v>
      </c>
      <c r="AD35">
        <v>164.4</v>
      </c>
      <c r="AE35">
        <v>2092</v>
      </c>
    </row>
    <row r="36" spans="1:31" x14ac:dyDescent="0.3">
      <c r="A36" s="50">
        <f>'쪽쟘(실측)'!A36</f>
        <v>525</v>
      </c>
      <c r="B36" s="50" t="str">
        <f>'쪽쟘(실측)'!B36&amp;"F"</f>
        <v>5F</v>
      </c>
      <c r="C36" s="50" t="str">
        <f t="shared" si="0"/>
        <v>944*158.4</v>
      </c>
      <c r="D36" s="50" t="e">
        <f>'쪽쟘(실측)'!C36-OP차감</f>
        <v>#NAME?</v>
      </c>
      <c r="E36" s="50" t="e">
        <f>'쪽쟘(실측)'!D36+쪽쟘J늘림+MAX(W36:X36)</f>
        <v>#VALUE!</v>
      </c>
      <c r="F36" s="50" t="e">
        <f>'쪽쟘(실측)'!E36+쪽쟘J늘림+MAX(W36:X36)</f>
        <v>#VALUE!</v>
      </c>
      <c r="G36" s="67" t="str">
        <f>IF(OR(narrow!K36&lt;&gt;narrow!L36,narrow!O36&lt;&gt;narrow!P36),"",AC36&amp;"*"&amp;AB36)</f>
        <v/>
      </c>
      <c r="H36" s="68" t="str">
        <f>IF(OR(narrow!N36&lt;&gt;narrow!M36,narrow!Q36&lt;&gt;narrow!R36),"",AE36&amp;"*"&amp;AD36)</f>
        <v>2092*163.4</v>
      </c>
      <c r="Z36">
        <v>944</v>
      </c>
      <c r="AA36">
        <v>158.4</v>
      </c>
      <c r="AB36">
        <v>164.4</v>
      </c>
      <c r="AC36">
        <v>2093</v>
      </c>
      <c r="AD36">
        <v>163.4</v>
      </c>
      <c r="AE36">
        <v>2092</v>
      </c>
    </row>
    <row r="37" spans="1:31" x14ac:dyDescent="0.3">
      <c r="A37" s="50">
        <f>'쪽쟘(실측)'!A37</f>
        <v>525</v>
      </c>
      <c r="B37" s="50" t="str">
        <f>'쪽쟘(실측)'!B37&amp;"F"</f>
        <v>4F</v>
      </c>
      <c r="C37" s="50" t="str">
        <f>Z37&amp;"*"&amp;AA37</f>
        <v>949*157.4</v>
      </c>
      <c r="D37" s="50" t="e">
        <f>'쪽쟘(실측)'!C37-OP차감</f>
        <v>#NAME?</v>
      </c>
      <c r="E37" s="50" t="e">
        <f>'쪽쟘(실측)'!D37+쪽쟘J늘림+MAX(W37:X37)</f>
        <v>#VALUE!</v>
      </c>
      <c r="F37" s="50" t="e">
        <f>'쪽쟘(실측)'!E37+쪽쟘J늘림+MAX(W37:X37)</f>
        <v>#VALUE!</v>
      </c>
      <c r="G37" s="67" t="str">
        <f>IF(OR(narrow!K37&lt;&gt;narrow!L37,narrow!O37&lt;&gt;narrow!P37),"",AC37&amp;"*"&amp;AB37)</f>
        <v>2092*162.4</v>
      </c>
      <c r="H37" s="68" t="str">
        <f>IF(OR(narrow!N37&lt;&gt;narrow!M37,narrow!Q37&lt;&gt;narrow!R37),"",AE37&amp;"*"&amp;AD37)</f>
        <v>2094*162.4</v>
      </c>
      <c r="Z37">
        <v>949</v>
      </c>
      <c r="AA37">
        <v>157.4</v>
      </c>
      <c r="AB37">
        <v>162.4</v>
      </c>
      <c r="AC37">
        <v>2092</v>
      </c>
      <c r="AD37">
        <v>162.4</v>
      </c>
      <c r="AE37">
        <v>2094</v>
      </c>
    </row>
    <row r="38" spans="1:31" x14ac:dyDescent="0.3">
      <c r="A38" s="50">
        <f>'쪽쟘(실측)'!A38</f>
        <v>525</v>
      </c>
      <c r="B38" s="50" t="str">
        <f>'쪽쟘(실측)'!B38&amp;"F"</f>
        <v>3F</v>
      </c>
      <c r="C38" s="50" t="str">
        <f t="shared" ref="C38:C48" si="1">Z38&amp;"*"&amp;AA38</f>
        <v>952*155.4</v>
      </c>
      <c r="D38" s="50" t="e">
        <f>'쪽쟘(실측)'!C38-OP차감</f>
        <v>#NAME?</v>
      </c>
      <c r="E38" s="50" t="e">
        <f>'쪽쟘(실측)'!D38+쪽쟘J늘림+MAX(W38:X38)</f>
        <v>#VALUE!</v>
      </c>
      <c r="F38" s="50" t="e">
        <f>'쪽쟘(실측)'!E38+쪽쟘J늘림+MAX(W38:X38)</f>
        <v>#VALUE!</v>
      </c>
      <c r="G38" s="67" t="str">
        <f>IF(OR(narrow!K38&lt;&gt;narrow!L38,narrow!O38&lt;&gt;narrow!P38),"",AC38&amp;"*"&amp;AB38)</f>
        <v>2088*164.4</v>
      </c>
      <c r="H38" s="68" t="str">
        <f>IF(OR(narrow!N38&lt;&gt;narrow!M38,narrow!Q38&lt;&gt;narrow!R38),"",AE38&amp;"*"&amp;AD38)</f>
        <v>2088*164.4</v>
      </c>
      <c r="Z38">
        <v>952</v>
      </c>
      <c r="AA38">
        <v>155.4</v>
      </c>
      <c r="AB38">
        <v>164.4</v>
      </c>
      <c r="AC38">
        <v>2088</v>
      </c>
      <c r="AD38">
        <v>164.4</v>
      </c>
      <c r="AE38">
        <v>2088</v>
      </c>
    </row>
    <row r="39" spans="1:31" ht="17.25" thickBot="1" x14ac:dyDescent="0.35">
      <c r="A39" s="164">
        <f>'쪽쟘(실측)'!A39</f>
        <v>525</v>
      </c>
      <c r="B39" s="164" t="str">
        <f>'쪽쟘(실측)'!B39&amp;"F"</f>
        <v>2F</v>
      </c>
      <c r="C39" s="164" t="str">
        <f t="shared" si="1"/>
        <v>950*155.4</v>
      </c>
      <c r="D39" s="164" t="e">
        <f>'쪽쟘(실측)'!C39-OP차감</f>
        <v>#NAME?</v>
      </c>
      <c r="E39" s="164" t="e">
        <f>'쪽쟘(실측)'!D39+쪽쟘J늘림+MAX(W39:X39)</f>
        <v>#VALUE!</v>
      </c>
      <c r="F39" s="164" t="e">
        <f>'쪽쟘(실측)'!E39+쪽쟘J늘림+MAX(W39:X39)</f>
        <v>#VALUE!</v>
      </c>
      <c r="G39" s="165" t="str">
        <f>IF(OR(narrow!K39&lt;&gt;narrow!L39,narrow!O39&lt;&gt;narrow!P39),"",AC39&amp;"*"&amp;AB39)</f>
        <v/>
      </c>
      <c r="H39" s="166" t="str">
        <f>IF(OR(narrow!N39&lt;&gt;narrow!M39,narrow!Q39&lt;&gt;narrow!R39),"",AE39&amp;"*"&amp;AD39)</f>
        <v/>
      </c>
      <c r="Z39">
        <v>950</v>
      </c>
      <c r="AA39">
        <v>155.4</v>
      </c>
      <c r="AB39">
        <v>162.4</v>
      </c>
      <c r="AC39">
        <v>2094</v>
      </c>
      <c r="AD39">
        <v>164.4</v>
      </c>
      <c r="AE39">
        <v>2094</v>
      </c>
    </row>
    <row r="40" spans="1:31" x14ac:dyDescent="0.3">
      <c r="A40" s="161">
        <f>'쪽쟘(실측)'!A40</f>
        <v>528</v>
      </c>
      <c r="B40" s="161" t="str">
        <f>'쪽쟘(실측)'!B40&amp;"F"</f>
        <v>20F</v>
      </c>
      <c r="C40" s="161" t="str">
        <f t="shared" si="1"/>
        <v>940*170.4</v>
      </c>
      <c r="D40" s="161" t="e">
        <f>'쪽쟘(실측)'!C40-OP차감</f>
        <v>#NAME?</v>
      </c>
      <c r="E40" s="161" t="e">
        <f>'쪽쟘(실측)'!D40+쪽쟘J늘림+MAX(W40:X40)</f>
        <v>#VALUE!</v>
      </c>
      <c r="F40" s="161" t="e">
        <f>'쪽쟘(실측)'!E40+쪽쟘J늘림+MAX(W40:X40)</f>
        <v>#VALUE!</v>
      </c>
      <c r="G40" s="162" t="str">
        <f>IF(OR(narrow!K40&lt;&gt;narrow!L40,narrow!O40&lt;&gt;narrow!P40),"",AC40&amp;"*"&amp;AB40)</f>
        <v/>
      </c>
      <c r="H40" s="163" t="str">
        <f>IF(OR(narrow!N40&lt;&gt;narrow!M40,narrow!Q40&lt;&gt;narrow!R40),"",AE40&amp;"*"&amp;AD40)</f>
        <v>2090*154.4</v>
      </c>
      <c r="Z40">
        <v>940</v>
      </c>
      <c r="AA40">
        <v>170.4</v>
      </c>
      <c r="AB40">
        <v>162.4</v>
      </c>
      <c r="AC40">
        <v>2093</v>
      </c>
      <c r="AD40">
        <v>154.4</v>
      </c>
      <c r="AE40">
        <v>2090</v>
      </c>
    </row>
    <row r="41" spans="1:31" x14ac:dyDescent="0.3">
      <c r="A41" s="50">
        <f>'쪽쟘(실측)'!A41</f>
        <v>528</v>
      </c>
      <c r="B41" s="50" t="str">
        <f>'쪽쟘(실측)'!B41&amp;"F"</f>
        <v>19F</v>
      </c>
      <c r="C41" s="50" t="str">
        <f t="shared" si="1"/>
        <v>935*160.4</v>
      </c>
      <c r="D41" s="50" t="e">
        <f>'쪽쟘(실측)'!C41-OP차감</f>
        <v>#NAME?</v>
      </c>
      <c r="E41" s="50" t="e">
        <f>'쪽쟘(실측)'!D41+쪽쟘J늘림+MAX(W41:X41)</f>
        <v>#VALUE!</v>
      </c>
      <c r="F41" s="50" t="e">
        <f>'쪽쟘(실측)'!E41+쪽쟘J늘림+MAX(W41:X41)</f>
        <v>#VALUE!</v>
      </c>
      <c r="G41" s="67" t="str">
        <f>IF(OR(narrow!K41&lt;&gt;narrow!L41,narrow!O41&lt;&gt;narrow!P41),"",AC41&amp;"*"&amp;AB41)</f>
        <v/>
      </c>
      <c r="H41" s="68" t="str">
        <f>IF(OR(narrow!N41&lt;&gt;narrow!M41,narrow!Q41&lt;&gt;narrow!R41),"",AE41&amp;"*"&amp;AD41)</f>
        <v/>
      </c>
      <c r="Z41">
        <v>935</v>
      </c>
      <c r="AA41">
        <v>160.4</v>
      </c>
      <c r="AB41">
        <v>156.4</v>
      </c>
      <c r="AC41">
        <v>2087</v>
      </c>
      <c r="AD41">
        <v>155.4</v>
      </c>
      <c r="AE41">
        <v>2086</v>
      </c>
    </row>
    <row r="42" spans="1:31" x14ac:dyDescent="0.3">
      <c r="A42" s="50">
        <f>'쪽쟘(실측)'!A42</f>
        <v>528</v>
      </c>
      <c r="B42" s="50" t="str">
        <f>'쪽쟘(실측)'!B42&amp;"F"</f>
        <v>18F</v>
      </c>
      <c r="C42" s="50" t="str">
        <f t="shared" si="1"/>
        <v>934*161.4</v>
      </c>
      <c r="D42" s="50" t="e">
        <f>'쪽쟘(실측)'!C42-OP차감</f>
        <v>#NAME?</v>
      </c>
      <c r="E42" s="50" t="e">
        <f>'쪽쟘(실측)'!D42+쪽쟘J늘림+MAX(W42:X42)</f>
        <v>#VALUE!</v>
      </c>
      <c r="F42" s="50" t="e">
        <f>'쪽쟘(실측)'!E42+쪽쟘J늘림+MAX(W42:X42)</f>
        <v>#VALUE!</v>
      </c>
      <c r="G42" s="67" t="str">
        <f>IF(OR(narrow!K42&lt;&gt;narrow!L42,narrow!O42&lt;&gt;narrow!P42),"",AC42&amp;"*"&amp;AB42)</f>
        <v/>
      </c>
      <c r="H42" s="68" t="str">
        <f>IF(OR(narrow!N42&lt;&gt;narrow!M42,narrow!Q42&lt;&gt;narrow!R42),"",AE42&amp;"*"&amp;AD42)</f>
        <v>2090*154.4</v>
      </c>
      <c r="Z42">
        <v>934</v>
      </c>
      <c r="AA42">
        <v>161.4</v>
      </c>
      <c r="AB42">
        <v>161.4</v>
      </c>
      <c r="AC42">
        <v>2093</v>
      </c>
      <c r="AD42">
        <v>154.4</v>
      </c>
      <c r="AE42">
        <v>2090</v>
      </c>
    </row>
    <row r="43" spans="1:31" x14ac:dyDescent="0.3">
      <c r="A43" s="50">
        <f>'쪽쟘(실측)'!A43</f>
        <v>528</v>
      </c>
      <c r="B43" s="50" t="str">
        <f>'쪽쟘(실측)'!B43&amp;"F"</f>
        <v>17F</v>
      </c>
      <c r="C43" s="50" t="str">
        <f t="shared" si="1"/>
        <v>947*165.4</v>
      </c>
      <c r="D43" s="50" t="e">
        <f>'쪽쟘(실측)'!C43-OP차감</f>
        <v>#NAME?</v>
      </c>
      <c r="E43" s="50" t="e">
        <f>'쪽쟘(실측)'!D43+쪽쟘J늘림+MAX(W43:X43)</f>
        <v>#VALUE!</v>
      </c>
      <c r="F43" s="50" t="e">
        <f>'쪽쟘(실측)'!E43+쪽쟘J늘림+MAX(W43:X43)</f>
        <v>#VALUE!</v>
      </c>
      <c r="G43" s="67" t="str">
        <f>IF(OR(narrow!K43&lt;&gt;narrow!L43,narrow!O43&lt;&gt;narrow!P43),"",AC43&amp;"*"&amp;AB43)</f>
        <v/>
      </c>
      <c r="H43" s="68" t="str">
        <f>IF(OR(narrow!N43&lt;&gt;narrow!M43,narrow!Q43&lt;&gt;narrow!R43),"",AE43&amp;"*"&amp;AD43)</f>
        <v>2090*161.4</v>
      </c>
      <c r="Z43">
        <v>947</v>
      </c>
      <c r="AA43">
        <v>165.4</v>
      </c>
      <c r="AB43">
        <v>161.4</v>
      </c>
      <c r="AC43">
        <v>2093</v>
      </c>
      <c r="AD43">
        <v>161.4</v>
      </c>
      <c r="AE43">
        <v>2090</v>
      </c>
    </row>
    <row r="44" spans="1:31" x14ac:dyDescent="0.3">
      <c r="A44" s="50">
        <f>'쪽쟘(실측)'!A44</f>
        <v>528</v>
      </c>
      <c r="B44" s="50" t="str">
        <f>'쪽쟘(실측)'!B44&amp;"F"</f>
        <v>16F</v>
      </c>
      <c r="C44" s="50" t="str">
        <f t="shared" si="1"/>
        <v>932*162.4</v>
      </c>
      <c r="D44" s="50" t="e">
        <f>'쪽쟘(실측)'!C44-OP차감</f>
        <v>#NAME?</v>
      </c>
      <c r="E44" s="50" t="e">
        <f>'쪽쟘(실측)'!D44+쪽쟘J늘림+MAX(W44:X44)</f>
        <v>#VALUE!</v>
      </c>
      <c r="F44" s="50" t="e">
        <f>'쪽쟘(실측)'!E44+쪽쟘J늘림+MAX(W44:X44)</f>
        <v>#VALUE!</v>
      </c>
      <c r="G44" s="67" t="str">
        <f>IF(OR(narrow!K44&lt;&gt;narrow!L44,narrow!O44&lt;&gt;narrow!P44),"",AC44&amp;"*"&amp;AB44)</f>
        <v>2090*153.4</v>
      </c>
      <c r="H44" s="68" t="str">
        <f>IF(OR(narrow!N44&lt;&gt;narrow!M44,narrow!Q44&lt;&gt;narrow!R44),"",AE44&amp;"*"&amp;AD44)</f>
        <v>2090*154.4</v>
      </c>
      <c r="Z44">
        <v>932</v>
      </c>
      <c r="AA44">
        <v>162.4</v>
      </c>
      <c r="AB44">
        <v>153.4</v>
      </c>
      <c r="AC44">
        <v>2090</v>
      </c>
      <c r="AD44">
        <v>154.4</v>
      </c>
      <c r="AE44">
        <v>2090</v>
      </c>
    </row>
    <row r="45" spans="1:31" x14ac:dyDescent="0.3">
      <c r="A45" s="50">
        <f>'쪽쟘(실측)'!A45</f>
        <v>528</v>
      </c>
      <c r="B45" s="50" t="str">
        <f>'쪽쟘(실측)'!B45&amp;"F"</f>
        <v>15F</v>
      </c>
      <c r="C45" s="50" t="str">
        <f t="shared" si="1"/>
        <v>932*166.4</v>
      </c>
      <c r="D45" s="50" t="e">
        <f>'쪽쟘(실측)'!C45-OP차감</f>
        <v>#NAME?</v>
      </c>
      <c r="E45" s="50" t="e">
        <f>'쪽쟘(실측)'!D45+쪽쟘J늘림+MAX(W45:X45)</f>
        <v>#VALUE!</v>
      </c>
      <c r="F45" s="50" t="e">
        <f>'쪽쟘(실측)'!E45+쪽쟘J늘림+MAX(W45:X45)</f>
        <v>#VALUE!</v>
      </c>
      <c r="G45" s="67" t="str">
        <f>IF(OR(narrow!K45&lt;&gt;narrow!L45,narrow!O45&lt;&gt;narrow!P45),"",AC45&amp;"*"&amp;AB45)</f>
        <v>2092*154.4</v>
      </c>
      <c r="H45" s="68" t="str">
        <f>IF(OR(narrow!N45&lt;&gt;narrow!M45,narrow!Q45&lt;&gt;narrow!R45),"",AE45&amp;"*"&amp;AD45)</f>
        <v>2092*154.4</v>
      </c>
      <c r="Z45">
        <v>932</v>
      </c>
      <c r="AA45">
        <v>166.4</v>
      </c>
      <c r="AB45">
        <v>154.4</v>
      </c>
      <c r="AC45">
        <v>2092</v>
      </c>
      <c r="AD45">
        <v>154.4</v>
      </c>
      <c r="AE45">
        <v>2092</v>
      </c>
    </row>
    <row r="46" spans="1:31" x14ac:dyDescent="0.3">
      <c r="A46" s="50">
        <f>'쪽쟘(실측)'!A46</f>
        <v>528</v>
      </c>
      <c r="B46" s="50" t="str">
        <f>'쪽쟘(실측)'!B46&amp;"F"</f>
        <v>14F</v>
      </c>
      <c r="C46" s="50" t="str">
        <f t="shared" si="1"/>
        <v>939*165.4</v>
      </c>
      <c r="D46" s="50" t="e">
        <f>'쪽쟘(실측)'!C46-OP차감</f>
        <v>#NAME?</v>
      </c>
      <c r="E46" s="50" t="e">
        <f>'쪽쟘(실측)'!D46+쪽쟘J늘림+MAX(W46:X46)</f>
        <v>#VALUE!</v>
      </c>
      <c r="F46" s="50" t="e">
        <f>'쪽쟘(실측)'!E46+쪽쟘J늘림+MAX(W46:X46)</f>
        <v>#VALUE!</v>
      </c>
      <c r="G46" s="67" t="str">
        <f>IF(OR(narrow!K46&lt;&gt;narrow!L46,narrow!O46&lt;&gt;narrow!P46),"",AC46&amp;"*"&amp;AB46)</f>
        <v/>
      </c>
      <c r="H46" s="68" t="str">
        <f>IF(OR(narrow!N46&lt;&gt;narrow!M46,narrow!Q46&lt;&gt;narrow!R46),"",AE46&amp;"*"&amp;AD46)</f>
        <v/>
      </c>
      <c r="Z46">
        <v>939</v>
      </c>
      <c r="AA46">
        <v>165.4</v>
      </c>
      <c r="AB46">
        <v>155.4</v>
      </c>
      <c r="AC46">
        <v>2093</v>
      </c>
      <c r="AD46">
        <v>160.4</v>
      </c>
      <c r="AE46">
        <v>2090</v>
      </c>
    </row>
    <row r="47" spans="1:31" x14ac:dyDescent="0.3">
      <c r="A47" s="50">
        <f>'쪽쟘(실측)'!A47</f>
        <v>528</v>
      </c>
      <c r="B47" s="50" t="str">
        <f>'쪽쟘(실측)'!B47&amp;"F"</f>
        <v>13F</v>
      </c>
      <c r="C47" s="50" t="str">
        <f t="shared" si="1"/>
        <v>939*165.4</v>
      </c>
      <c r="D47" s="50" t="e">
        <f>'쪽쟘(실측)'!C47-OP차감</f>
        <v>#NAME?</v>
      </c>
      <c r="E47" s="50" t="e">
        <f>'쪽쟘(실측)'!D47+쪽쟘J늘림+MAX(W47:X47)</f>
        <v>#VALUE!</v>
      </c>
      <c r="F47" s="50" t="e">
        <f>'쪽쟘(실측)'!E47+쪽쟘J늘림+MAX(W47:X47)</f>
        <v>#VALUE!</v>
      </c>
      <c r="G47" s="67" t="str">
        <f>IF(OR(narrow!K47&lt;&gt;narrow!L47,narrow!O47&lt;&gt;narrow!P47),"",AC47&amp;"*"&amp;AB47)</f>
        <v/>
      </c>
      <c r="H47" s="68" t="str">
        <f>IF(OR(narrow!N47&lt;&gt;narrow!M47,narrow!Q47&lt;&gt;narrow!R47),"",AE47&amp;"*"&amp;AD47)</f>
        <v/>
      </c>
      <c r="Z47">
        <v>939</v>
      </c>
      <c r="AA47">
        <v>165.4</v>
      </c>
      <c r="AB47">
        <v>159.4</v>
      </c>
      <c r="AC47">
        <v>2092</v>
      </c>
      <c r="AD47">
        <v>155.4</v>
      </c>
      <c r="AE47">
        <v>2092</v>
      </c>
    </row>
    <row r="48" spans="1:31" x14ac:dyDescent="0.3">
      <c r="A48" s="50">
        <f>'쪽쟘(실측)'!A48</f>
        <v>528</v>
      </c>
      <c r="B48" s="50" t="str">
        <f>'쪽쟘(실측)'!B48&amp;"F"</f>
        <v>12F</v>
      </c>
      <c r="C48" s="50" t="str">
        <f t="shared" si="1"/>
        <v>932*165.4</v>
      </c>
      <c r="D48" s="50" t="e">
        <f>'쪽쟘(실측)'!C48-OP차감</f>
        <v>#NAME?</v>
      </c>
      <c r="E48" s="50" t="e">
        <f>'쪽쟘(실측)'!D48+쪽쟘J늘림+MAX(W48:X48)</f>
        <v>#VALUE!</v>
      </c>
      <c r="F48" s="50" t="e">
        <f>'쪽쟘(실측)'!E48+쪽쟘J늘림+MAX(W48:X48)</f>
        <v>#VALUE!</v>
      </c>
      <c r="G48" s="67" t="str">
        <f>IF(OR(narrow!K48&lt;&gt;narrow!L48,narrow!O48&lt;&gt;narrow!P48),"",AC48&amp;"*"&amp;AB48)</f>
        <v>2090*155.4</v>
      </c>
      <c r="H48" s="68" t="str">
        <f>IF(OR(narrow!N48&lt;&gt;narrow!M48,narrow!Q48&lt;&gt;narrow!R48),"",AE48&amp;"*"&amp;AD48)</f>
        <v>2090*153.4</v>
      </c>
      <c r="Z48">
        <v>932</v>
      </c>
      <c r="AA48">
        <v>165.4</v>
      </c>
      <c r="AB48">
        <v>155.4</v>
      </c>
      <c r="AC48">
        <v>2090</v>
      </c>
      <c r="AD48">
        <v>153.4</v>
      </c>
      <c r="AE48">
        <v>2090</v>
      </c>
    </row>
    <row r="49" spans="1:31" x14ac:dyDescent="0.3">
      <c r="A49" s="50">
        <f>'쪽쟘(실측)'!A49</f>
        <v>528</v>
      </c>
      <c r="B49" s="50" t="str">
        <f>'쪽쟘(실측)'!B49&amp;"F"</f>
        <v>11F</v>
      </c>
      <c r="C49" s="50" t="str">
        <f>Z49&amp;"*"&amp;AA49</f>
        <v>933*165.4</v>
      </c>
      <c r="D49" s="50" t="e">
        <f>'쪽쟘(실측)'!C49-OP차감</f>
        <v>#NAME?</v>
      </c>
      <c r="E49" s="50" t="e">
        <f>'쪽쟘(실측)'!D49+쪽쟘J늘림+MAX(W49:X49)</f>
        <v>#VALUE!</v>
      </c>
      <c r="F49" s="50" t="e">
        <f>'쪽쟘(실측)'!E49+쪽쟘J늘림+MAX(W49:X49)</f>
        <v>#VALUE!</v>
      </c>
      <c r="G49" s="67" t="str">
        <f>IF(OR(narrow!K49&lt;&gt;narrow!L49,narrow!O49&lt;&gt;narrow!P49),"",AC49&amp;"*"&amp;AB49)</f>
        <v>2090*155.4</v>
      </c>
      <c r="H49" s="68" t="str">
        <f>IF(OR(narrow!N49&lt;&gt;narrow!M49,narrow!Q49&lt;&gt;narrow!R49),"",AE49&amp;"*"&amp;AD49)</f>
        <v>2092*154.4</v>
      </c>
      <c r="Z49">
        <v>933</v>
      </c>
      <c r="AA49">
        <v>165.4</v>
      </c>
      <c r="AB49">
        <v>155.4</v>
      </c>
      <c r="AC49">
        <v>2090</v>
      </c>
      <c r="AD49">
        <v>154.4</v>
      </c>
      <c r="AE49">
        <v>2092</v>
      </c>
    </row>
    <row r="50" spans="1:31" x14ac:dyDescent="0.3">
      <c r="A50" s="50">
        <f>'쪽쟘(실측)'!A50</f>
        <v>528</v>
      </c>
      <c r="B50" s="50" t="str">
        <f>'쪽쟘(실측)'!B50&amp;"F"</f>
        <v>10F</v>
      </c>
      <c r="C50" s="50" t="str">
        <f t="shared" ref="C50:C56" si="2">Z50&amp;"*"&amp;AA50</f>
        <v>949*165.4</v>
      </c>
      <c r="D50" s="50" t="e">
        <f>'쪽쟘(실측)'!C50-OP차감</f>
        <v>#NAME?</v>
      </c>
      <c r="E50" s="50" t="e">
        <f>'쪽쟘(실측)'!D50+쪽쟘J늘림+MAX(W50:X50)</f>
        <v>#VALUE!</v>
      </c>
      <c r="F50" s="50" t="e">
        <f>'쪽쟘(실측)'!E50+쪽쟘J늘림+MAX(W50:X50)</f>
        <v>#VALUE!</v>
      </c>
      <c r="G50" s="67" t="str">
        <f>IF(OR(narrow!K50&lt;&gt;narrow!L50,narrow!O50&lt;&gt;narrow!P50),"",AC50&amp;"*"&amp;AB50)</f>
        <v/>
      </c>
      <c r="H50" s="68" t="str">
        <f>IF(OR(narrow!N50&lt;&gt;narrow!M50,narrow!Q50&lt;&gt;narrow!R50),"",AE50&amp;"*"&amp;AD50)</f>
        <v/>
      </c>
      <c r="Z50">
        <v>949</v>
      </c>
      <c r="AA50">
        <v>165.4</v>
      </c>
      <c r="AB50">
        <v>164.4</v>
      </c>
      <c r="AC50">
        <v>2090</v>
      </c>
      <c r="AD50">
        <v>164.4</v>
      </c>
      <c r="AE50">
        <v>2090</v>
      </c>
    </row>
    <row r="51" spans="1:31" x14ac:dyDescent="0.3">
      <c r="A51" s="50">
        <f>'쪽쟘(실측)'!A51</f>
        <v>528</v>
      </c>
      <c r="B51" s="50" t="str">
        <f>'쪽쟘(실측)'!B51&amp;"F"</f>
        <v>9F</v>
      </c>
      <c r="C51" s="50" t="str">
        <f t="shared" si="2"/>
        <v>944*164.4</v>
      </c>
      <c r="D51" s="50" t="e">
        <f>'쪽쟘(실측)'!C51-OP차감</f>
        <v>#NAME?</v>
      </c>
      <c r="E51" s="50" t="e">
        <f>'쪽쟘(실측)'!D51+쪽쟘J늘림+MAX(W51:X51)</f>
        <v>#VALUE!</v>
      </c>
      <c r="F51" s="50" t="e">
        <f>'쪽쟘(실측)'!E51+쪽쟘J늘림+MAX(W51:X51)</f>
        <v>#VALUE!</v>
      </c>
      <c r="G51" s="67" t="str">
        <f>IF(OR(narrow!K51&lt;&gt;narrow!L51,narrow!O51&lt;&gt;narrow!P51),"",AC51&amp;"*"&amp;AB51)</f>
        <v/>
      </c>
      <c r="H51" s="68" t="str">
        <f>IF(OR(narrow!N51&lt;&gt;narrow!M51,narrow!Q51&lt;&gt;narrow!R51),"",AE51&amp;"*"&amp;AD51)</f>
        <v>2092*164.4</v>
      </c>
      <c r="Z51">
        <v>944</v>
      </c>
      <c r="AA51">
        <v>164.4</v>
      </c>
      <c r="AB51">
        <v>159.4</v>
      </c>
      <c r="AC51">
        <v>2090</v>
      </c>
      <c r="AD51">
        <v>164.4</v>
      </c>
      <c r="AE51">
        <v>2092</v>
      </c>
    </row>
    <row r="52" spans="1:31" x14ac:dyDescent="0.3">
      <c r="A52" s="50">
        <f>'쪽쟘(실측)'!A52</f>
        <v>528</v>
      </c>
      <c r="B52" s="50" t="str">
        <f>'쪽쟘(실측)'!B52&amp;"F"</f>
        <v>8F</v>
      </c>
      <c r="C52" s="50" t="str">
        <f t="shared" si="2"/>
        <v>949*156.4</v>
      </c>
      <c r="D52" s="50" t="e">
        <f>'쪽쟘(실측)'!C52-OP차감</f>
        <v>#NAME?</v>
      </c>
      <c r="E52" s="50" t="e">
        <f>'쪽쟘(실측)'!D52+쪽쟘J늘림+MAX(W52:X52)</f>
        <v>#VALUE!</v>
      </c>
      <c r="F52" s="50" t="e">
        <f>'쪽쟘(실측)'!E52+쪽쟘J늘림+MAX(W52:X52)</f>
        <v>#VALUE!</v>
      </c>
      <c r="G52" s="67" t="str">
        <f>IF(OR(narrow!K52&lt;&gt;narrow!L52,narrow!O52&lt;&gt;narrow!P52),"",AC52&amp;"*"&amp;AB52)</f>
        <v>2090*161.4</v>
      </c>
      <c r="H52" s="68" t="str">
        <f>IF(OR(narrow!N52&lt;&gt;narrow!M52,narrow!Q52&lt;&gt;narrow!R52),"",AE52&amp;"*"&amp;AD52)</f>
        <v/>
      </c>
      <c r="Z52">
        <v>949</v>
      </c>
      <c r="AA52">
        <v>156.4</v>
      </c>
      <c r="AB52">
        <v>161.4</v>
      </c>
      <c r="AC52">
        <v>2090</v>
      </c>
      <c r="AD52">
        <v>163.4</v>
      </c>
      <c r="AE52">
        <v>2090</v>
      </c>
    </row>
    <row r="53" spans="1:31" x14ac:dyDescent="0.3">
      <c r="A53" s="50">
        <f>'쪽쟘(실측)'!A53</f>
        <v>528</v>
      </c>
      <c r="B53" s="50" t="str">
        <f>'쪽쟘(실측)'!B53&amp;"F"</f>
        <v>7F</v>
      </c>
      <c r="C53" s="50" t="str">
        <f t="shared" si="2"/>
        <v>945*155.4</v>
      </c>
      <c r="D53" s="50" t="e">
        <f>'쪽쟘(실측)'!C53-OP차감</f>
        <v>#NAME?</v>
      </c>
      <c r="E53" s="50" t="e">
        <f>'쪽쟘(실측)'!D53+쪽쟘J늘림+MAX(W53:X53)</f>
        <v>#VALUE!</v>
      </c>
      <c r="F53" s="50" t="e">
        <f>'쪽쟘(실측)'!E53+쪽쟘J늘림+MAX(W53:X53)</f>
        <v>#VALUE!</v>
      </c>
      <c r="G53" s="67" t="str">
        <f>IF(OR(narrow!K53&lt;&gt;narrow!L53,narrow!O53&lt;&gt;narrow!P53),"",AC53&amp;"*"&amp;AB53)</f>
        <v>2090*159.4</v>
      </c>
      <c r="H53" s="68" t="str">
        <f>IF(OR(narrow!N53&lt;&gt;narrow!M53,narrow!Q53&lt;&gt;narrow!R53),"",AE53&amp;"*"&amp;AD53)</f>
        <v>2090*161.4</v>
      </c>
      <c r="Z53">
        <v>945</v>
      </c>
      <c r="AA53">
        <v>155.4</v>
      </c>
      <c r="AB53">
        <v>159.4</v>
      </c>
      <c r="AC53">
        <v>2090</v>
      </c>
      <c r="AD53">
        <v>161.4</v>
      </c>
      <c r="AE53">
        <v>2090</v>
      </c>
    </row>
    <row r="54" spans="1:31" x14ac:dyDescent="0.3">
      <c r="A54" s="50">
        <f>'쪽쟘(실측)'!A54</f>
        <v>528</v>
      </c>
      <c r="B54" s="50" t="str">
        <f>'쪽쟘(실측)'!B54&amp;"F"</f>
        <v>6F</v>
      </c>
      <c r="C54" s="50" t="str">
        <f t="shared" si="2"/>
        <v>953*163.4</v>
      </c>
      <c r="D54" s="50" t="e">
        <f>'쪽쟘(실측)'!C54-OP차감</f>
        <v>#NAME?</v>
      </c>
      <c r="E54" s="50" t="e">
        <f>'쪽쟘(실측)'!D54+쪽쟘J늘림+MAX(W54:X54)</f>
        <v>#VALUE!</v>
      </c>
      <c r="F54" s="50" t="e">
        <f>'쪽쟘(실측)'!E54+쪽쟘J늘림+MAX(W54:X54)</f>
        <v>#VALUE!</v>
      </c>
      <c r="G54" s="67" t="str">
        <f>IF(OR(narrow!K54&lt;&gt;narrow!L54,narrow!O54&lt;&gt;narrow!P54),"",AC54&amp;"*"&amp;AB54)</f>
        <v/>
      </c>
      <c r="H54" s="68" t="str">
        <f>IF(OR(narrow!N54&lt;&gt;narrow!M54,narrow!Q54&lt;&gt;narrow!R54),"",AE54&amp;"*"&amp;AD54)</f>
        <v>2090*164.4</v>
      </c>
      <c r="Z54">
        <v>953</v>
      </c>
      <c r="AA54">
        <v>163.4</v>
      </c>
      <c r="AB54">
        <v>164.4</v>
      </c>
      <c r="AC54">
        <v>2090</v>
      </c>
      <c r="AD54">
        <v>164.4</v>
      </c>
      <c r="AE54">
        <v>2090</v>
      </c>
    </row>
    <row r="55" spans="1:31" x14ac:dyDescent="0.3">
      <c r="A55" s="50">
        <f>'쪽쟘(실측)'!A55</f>
        <v>528</v>
      </c>
      <c r="B55" s="50" t="str">
        <f>'쪽쟘(실측)'!B55&amp;"F"</f>
        <v>5F</v>
      </c>
      <c r="C55" s="50" t="str">
        <f t="shared" si="2"/>
        <v>941*156.4</v>
      </c>
      <c r="D55" s="50" t="e">
        <f>'쪽쟘(실측)'!C55-OP차감</f>
        <v>#NAME?</v>
      </c>
      <c r="E55" s="50" t="e">
        <f>'쪽쟘(실측)'!D55+쪽쟘J늘림+MAX(W55:X55)</f>
        <v>#VALUE!</v>
      </c>
      <c r="F55" s="50" t="e">
        <f>'쪽쟘(실측)'!E55+쪽쟘J늘림+MAX(W55:X55)</f>
        <v>#VALUE!</v>
      </c>
      <c r="G55" s="67" t="str">
        <f>IF(OR(narrow!K55&lt;&gt;narrow!L55,narrow!O55&lt;&gt;narrow!P55),"",AC55&amp;"*"&amp;AB55)</f>
        <v>2090*154.4</v>
      </c>
      <c r="H55" s="68" t="str">
        <f>IF(OR(narrow!N55&lt;&gt;narrow!M55,narrow!Q55&lt;&gt;narrow!R55),"",AE55&amp;"*"&amp;AD55)</f>
        <v>2090*163.4</v>
      </c>
      <c r="Z55">
        <v>941</v>
      </c>
      <c r="AA55">
        <v>156.4</v>
      </c>
      <c r="AB55">
        <v>154.4</v>
      </c>
      <c r="AC55">
        <v>2090</v>
      </c>
      <c r="AD55">
        <v>163.4</v>
      </c>
      <c r="AE55">
        <v>2090</v>
      </c>
    </row>
    <row r="56" spans="1:31" x14ac:dyDescent="0.3">
      <c r="A56" s="50">
        <f>'쪽쟘(실측)'!A56</f>
        <v>528</v>
      </c>
      <c r="B56" s="50" t="str">
        <f>'쪽쟘(실측)'!B56&amp;"F"</f>
        <v>4F</v>
      </c>
      <c r="C56" s="50" t="str">
        <f t="shared" si="2"/>
        <v>945*168.4</v>
      </c>
      <c r="D56" s="50" t="e">
        <f>'쪽쟘(실측)'!C56-OP차감</f>
        <v>#NAME?</v>
      </c>
      <c r="E56" s="50" t="e">
        <f>'쪽쟘(실측)'!D56+쪽쟘J늘림+MAX(W56:X56)</f>
        <v>#VALUE!</v>
      </c>
      <c r="F56" s="50" t="e">
        <f>'쪽쟘(실측)'!E56+쪽쟘J늘림+MAX(W56:X56)</f>
        <v>#VALUE!</v>
      </c>
      <c r="G56" s="67" t="str">
        <f>IF(OR(narrow!K56&lt;&gt;narrow!L56,narrow!O56&lt;&gt;narrow!P56),"",AC56&amp;"*"&amp;AB56)</f>
        <v/>
      </c>
      <c r="H56" s="68" t="str">
        <f>IF(OR(narrow!N56&lt;&gt;narrow!M56,narrow!Q56&lt;&gt;narrow!R56),"",AE56&amp;"*"&amp;AD56)</f>
        <v>2090*164.4</v>
      </c>
      <c r="Z56">
        <v>945</v>
      </c>
      <c r="AA56">
        <v>168.4</v>
      </c>
      <c r="AB56">
        <v>164.4</v>
      </c>
      <c r="AC56">
        <v>2093</v>
      </c>
      <c r="AD56">
        <v>164.4</v>
      </c>
      <c r="AE56">
        <v>2090</v>
      </c>
    </row>
    <row r="57" spans="1:31" x14ac:dyDescent="0.3">
      <c r="A57" s="50">
        <f>'쪽쟘(실측)'!A57</f>
        <v>528</v>
      </c>
      <c r="B57" s="50" t="str">
        <f>'쪽쟘(실측)'!B57&amp;"F"</f>
        <v>3F</v>
      </c>
      <c r="C57" s="50" t="str">
        <f t="shared" ref="C57:C58" si="3">Z57&amp;"*"&amp;AA57</f>
        <v>948*165.4</v>
      </c>
      <c r="D57" s="50" t="e">
        <f>'쪽쟘(실측)'!C57-OP차감</f>
        <v>#NAME?</v>
      </c>
      <c r="E57" s="50" t="e">
        <f>'쪽쟘(실측)'!D57+쪽쟘J늘림+MAX(W57:X57)</f>
        <v>#VALUE!</v>
      </c>
      <c r="F57" s="50" t="e">
        <f>'쪽쟘(실측)'!E57+쪽쟘J늘림+MAX(W57:X57)</f>
        <v>#VALUE!</v>
      </c>
      <c r="G57" s="67" t="str">
        <f>IF(OR(narrow!K57&lt;&gt;narrow!L57,narrow!O57&lt;&gt;narrow!P57),"",AC57&amp;"*"&amp;AB57)</f>
        <v/>
      </c>
      <c r="H57" s="68" t="str">
        <f>IF(OR(narrow!N57&lt;&gt;narrow!M57,narrow!Q57&lt;&gt;narrow!R57),"",AE57&amp;"*"&amp;AD57)</f>
        <v>2090*162.4</v>
      </c>
      <c r="Z57">
        <v>948</v>
      </c>
      <c r="AA57">
        <v>165.4</v>
      </c>
      <c r="AB57">
        <v>161.4</v>
      </c>
      <c r="AC57">
        <v>2093</v>
      </c>
      <c r="AD57">
        <v>162.4</v>
      </c>
      <c r="AE57">
        <v>2090</v>
      </c>
    </row>
    <row r="58" spans="1:31" ht="17.25" thickBot="1" x14ac:dyDescent="0.35">
      <c r="A58" s="164">
        <f>'쪽쟘(실측)'!A58</f>
        <v>528</v>
      </c>
      <c r="B58" s="164" t="str">
        <f>'쪽쟘(실측)'!B58&amp;"F"</f>
        <v>2F</v>
      </c>
      <c r="C58" s="164" t="str">
        <f t="shared" si="3"/>
        <v>948*158.4</v>
      </c>
      <c r="D58" s="164" t="e">
        <f>'쪽쟘(실측)'!C58-OP차감</f>
        <v>#NAME?</v>
      </c>
      <c r="E58" s="164" t="e">
        <f>'쪽쟘(실측)'!D58+쪽쟘J늘림+MAX(W58:X58)</f>
        <v>#VALUE!</v>
      </c>
      <c r="F58" s="164" t="e">
        <f>'쪽쟘(실측)'!E58+쪽쟘J늘림+MAX(W58:X58)</f>
        <v>#VALUE!</v>
      </c>
      <c r="G58" s="165" t="str">
        <f>IF(OR(narrow!K58&lt;&gt;narrow!L58,narrow!O58&lt;&gt;narrow!P58),"",AC58&amp;"*"&amp;AB58)</f>
        <v>2088*160.4</v>
      </c>
      <c r="H58" s="166" t="str">
        <f>IF(OR(narrow!N58&lt;&gt;narrow!M58,narrow!Q58&lt;&gt;narrow!R58),"",AE58&amp;"*"&amp;AD58)</f>
        <v>2088*163.4</v>
      </c>
      <c r="Z58">
        <v>948</v>
      </c>
      <c r="AA58">
        <v>158.4</v>
      </c>
      <c r="AB58">
        <v>160.4</v>
      </c>
      <c r="AC58">
        <v>2088</v>
      </c>
      <c r="AD58">
        <v>163.4</v>
      </c>
      <c r="AE58">
        <v>2088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72" t="str">
        <f>정보!E2</f>
        <v>(SO와이드) 실측서 ( 경기도 부천 은하마을 주공1단지아파트-3차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80" t="s">
        <v>98</v>
      </c>
      <c r="N3" s="180"/>
      <c r="O3" s="34"/>
      <c r="P3" s="34"/>
      <c r="Q3" s="34"/>
      <c r="R3" s="34"/>
      <c r="S3" s="34"/>
      <c r="T3" s="34"/>
      <c r="U3" s="34"/>
      <c r="V3" s="34"/>
      <c r="W3" s="34"/>
      <c r="X3" s="34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34"/>
      <c r="AJ3" s="34"/>
      <c r="AK3" s="34"/>
      <c r="AL3" s="34"/>
    </row>
    <row r="4" spans="1:47" ht="33" customHeight="1" x14ac:dyDescent="0.3">
      <c r="A4" s="309" t="str">
        <f>정보!B10</f>
        <v>제작치수 반영 : MH + (2), JB/JD +(3 ),  늘어난치수K -(3),  C + (0),   U + (0), OP - (2), R - (0),  기둥차감 - (0), A + (1)</v>
      </c>
      <c r="B4" s="309"/>
      <c r="C4" s="309"/>
      <c r="D4" s="309"/>
      <c r="E4" s="309"/>
      <c r="F4" s="309"/>
      <c r="G4" s="309"/>
      <c r="H4" s="309"/>
      <c r="I4" s="309"/>
      <c r="J4" s="309"/>
      <c r="K4" s="309"/>
      <c r="L4" s="309"/>
      <c r="M4" s="309"/>
      <c r="N4" s="309"/>
      <c r="O4" s="309"/>
      <c r="P4" s="309"/>
      <c r="Q4" s="309"/>
      <c r="R4" s="309"/>
      <c r="S4" s="309"/>
      <c r="T4" s="309"/>
      <c r="U4" s="309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70"/>
      <c r="AG4" s="179" t="s">
        <v>215</v>
      </c>
      <c r="AH4" s="179"/>
      <c r="AI4" s="75"/>
      <c r="AJ4" s="9"/>
      <c r="AK4" s="9"/>
      <c r="AL4" s="9"/>
    </row>
    <row r="5" spans="1:47" ht="25.9" customHeight="1" x14ac:dyDescent="0.3">
      <c r="A5" s="173" t="s">
        <v>0</v>
      </c>
      <c r="B5" s="173" t="s">
        <v>1</v>
      </c>
      <c r="C5" s="173" t="s">
        <v>2</v>
      </c>
      <c r="D5" s="173" t="s">
        <v>24</v>
      </c>
      <c r="E5" s="173" t="s">
        <v>236</v>
      </c>
      <c r="F5" s="173" t="s">
        <v>239</v>
      </c>
      <c r="G5" s="173" t="s">
        <v>18</v>
      </c>
      <c r="H5" s="173" t="s">
        <v>4</v>
      </c>
      <c r="I5" s="173" t="s">
        <v>5</v>
      </c>
      <c r="J5" s="173" t="s">
        <v>6</v>
      </c>
      <c r="K5" s="173" t="s">
        <v>7</v>
      </c>
      <c r="L5" s="173" t="s">
        <v>8</v>
      </c>
      <c r="M5" s="173" t="s">
        <v>9</v>
      </c>
      <c r="N5" s="173" t="s">
        <v>12</v>
      </c>
      <c r="O5" s="173" t="s">
        <v>13</v>
      </c>
      <c r="P5" s="173" t="s">
        <v>10</v>
      </c>
      <c r="Q5" s="173" t="s">
        <v>11</v>
      </c>
      <c r="R5" s="173" t="s">
        <v>14</v>
      </c>
      <c r="S5" s="173" t="s">
        <v>15</v>
      </c>
      <c r="T5" s="173" t="s">
        <v>16</v>
      </c>
      <c r="U5" s="173" t="s">
        <v>17</v>
      </c>
      <c r="V5" s="173" t="s">
        <v>19</v>
      </c>
      <c r="W5" s="174" t="s">
        <v>48</v>
      </c>
      <c r="X5" s="174" t="s">
        <v>22</v>
      </c>
      <c r="Y5" s="310" t="s">
        <v>237</v>
      </c>
      <c r="Z5" s="311" t="s">
        <v>243</v>
      </c>
      <c r="AA5" s="173" t="s">
        <v>21</v>
      </c>
      <c r="AB5" s="173"/>
      <c r="AC5" s="173"/>
      <c r="AD5" s="173"/>
      <c r="AE5" s="175" t="s">
        <v>91</v>
      </c>
      <c r="AF5" s="175" t="s">
        <v>92</v>
      </c>
      <c r="AG5" s="177" t="s">
        <v>212</v>
      </c>
      <c r="AH5" s="178"/>
      <c r="AI5" s="174" t="s">
        <v>199</v>
      </c>
      <c r="AJ5" s="174" t="s">
        <v>203</v>
      </c>
      <c r="AK5" s="174"/>
      <c r="AL5" s="174"/>
    </row>
    <row r="6" spans="1:47" ht="44.25" customHeight="1" x14ac:dyDescent="0.3">
      <c r="A6" s="173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173"/>
      <c r="U6" s="173"/>
      <c r="V6" s="173"/>
      <c r="W6" s="173"/>
      <c r="X6" s="174"/>
      <c r="Y6" s="310"/>
      <c r="Z6" s="311"/>
      <c r="AA6" s="8" t="s">
        <v>43</v>
      </c>
      <c r="AB6" s="8" t="s">
        <v>44</v>
      </c>
      <c r="AC6" s="8" t="s">
        <v>45</v>
      </c>
      <c r="AD6" s="8" t="s">
        <v>46</v>
      </c>
      <c r="AE6" s="176"/>
      <c r="AF6" s="176"/>
      <c r="AG6" s="74" t="s">
        <v>213</v>
      </c>
      <c r="AH6" s="74" t="s">
        <v>214</v>
      </c>
      <c r="AI6" s="173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23" t="str">
        <f>정보!F2</f>
        <v>(SO와이드) 제작변환 ( 경기도 부천 은하마을 주공1단지아파트-3차 ) _김운호소장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Z1" s="323"/>
      <c r="AA1" s="323"/>
      <c r="AB1" s="323"/>
      <c r="AC1" s="323"/>
      <c r="AD1" s="323"/>
      <c r="AE1" s="323"/>
      <c r="AF1" s="323"/>
      <c r="AG1" s="323"/>
      <c r="AH1" s="323"/>
      <c r="AI1" s="323"/>
      <c r="AJ1" s="323"/>
      <c r="AK1" s="323"/>
      <c r="AL1" s="323"/>
      <c r="AM1" s="323"/>
      <c r="AN1" s="323"/>
      <c r="AO1" s="323"/>
      <c r="AP1" s="323"/>
      <c r="AQ1" s="323"/>
      <c r="AR1" s="323"/>
      <c r="AS1" s="323"/>
      <c r="AT1" s="323"/>
      <c r="AU1" s="323"/>
      <c r="AV1" s="323"/>
      <c r="AW1" s="37"/>
      <c r="AX1" s="37"/>
    </row>
    <row r="2" spans="1:66" ht="29.25" customHeight="1" x14ac:dyDescent="0.3">
      <c r="A2" s="97" t="s">
        <v>85</v>
      </c>
      <c r="B2" s="139">
        <v>2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23" t="s">
        <v>113</v>
      </c>
      <c r="K2" s="224"/>
      <c r="L2" s="224"/>
      <c r="M2" s="224"/>
      <c r="N2" s="224"/>
      <c r="O2" s="224"/>
      <c r="P2" s="225">
        <v>1</v>
      </c>
      <c r="Q2" s="225"/>
      <c r="R2" s="195" t="s">
        <v>89</v>
      </c>
      <c r="S2" s="196"/>
      <c r="T2" s="197">
        <v>0</v>
      </c>
      <c r="U2" s="197"/>
      <c r="V2" s="173" t="s">
        <v>83</v>
      </c>
      <c r="W2" s="199"/>
      <c r="X2" s="199"/>
      <c r="Y2" s="200">
        <v>0</v>
      </c>
      <c r="Z2" s="200"/>
      <c r="AA2" s="328" t="str">
        <f>정보!B5</f>
        <v>OTIS HIX-A201 돌출형</v>
      </c>
      <c r="AB2" s="329"/>
      <c r="AC2" s="329"/>
      <c r="AD2" s="329"/>
      <c r="AE2" s="329"/>
      <c r="AF2" s="329"/>
      <c r="AG2" s="329"/>
      <c r="AH2" s="329"/>
      <c r="AI2" s="329"/>
      <c r="AJ2" s="329"/>
      <c r="AK2" s="330"/>
      <c r="AL2" s="195" t="s">
        <v>90</v>
      </c>
      <c r="AM2" s="196"/>
      <c r="AN2" s="324">
        <v>3</v>
      </c>
      <c r="AO2" s="324"/>
      <c r="AP2" s="1"/>
      <c r="AQ2" s="325" t="s">
        <v>229</v>
      </c>
      <c r="AR2" s="326"/>
      <c r="AS2" s="327">
        <v>0</v>
      </c>
      <c r="AT2" s="327"/>
      <c r="AU2" s="1"/>
      <c r="AV2" s="1"/>
    </row>
    <row r="3" spans="1:66" ht="24.75" customHeight="1" x14ac:dyDescent="0.3">
      <c r="A3" s="28" t="str">
        <f>'SO와이드(실측)'!A3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195" t="s">
        <v>228</v>
      </c>
      <c r="K3" s="195"/>
      <c r="L3" s="195"/>
      <c r="M3" s="195"/>
      <c r="N3" s="195"/>
      <c r="O3" s="195"/>
      <c r="P3" s="226">
        <v>3</v>
      </c>
      <c r="Q3" s="226"/>
      <c r="R3" s="196" t="s">
        <v>77</v>
      </c>
      <c r="S3" s="196"/>
      <c r="T3" s="203">
        <v>0</v>
      </c>
      <c r="U3" s="203"/>
      <c r="V3" s="204" t="s">
        <v>227</v>
      </c>
      <c r="W3" s="204"/>
      <c r="X3" s="204"/>
      <c r="Y3" s="205">
        <f>BN7</f>
        <v>1</v>
      </c>
      <c r="Z3" s="205"/>
      <c r="AA3" s="321" t="s">
        <v>78</v>
      </c>
      <c r="AB3" s="321"/>
      <c r="AC3" s="331">
        <v>1</v>
      </c>
      <c r="AD3" s="331"/>
      <c r="AL3" s="173" t="s">
        <v>73</v>
      </c>
      <c r="AM3" s="173"/>
      <c r="AN3" s="110">
        <v>5</v>
      </c>
      <c r="AO3" s="103" t="s">
        <v>74</v>
      </c>
      <c r="AP3" s="111">
        <v>4</v>
      </c>
      <c r="AQ3" s="231" t="s">
        <v>230</v>
      </c>
      <c r="AR3" s="231"/>
      <c r="AS3" s="233" t="s">
        <v>327</v>
      </c>
      <c r="AT3" s="234"/>
      <c r="AU3" s="237" t="e">
        <f>AY7</f>
        <v>#DIV/0!</v>
      </c>
      <c r="AV3" s="238"/>
      <c r="BN3" s="183" t="s">
        <v>253</v>
      </c>
    </row>
    <row r="4" spans="1:66" ht="33" customHeight="1" x14ac:dyDescent="0.3">
      <c r="A4" s="169" t="str">
        <f>정보!B10</f>
        <v>제작치수 반영 : MH + (2), JB/JD +(3 ),  늘어난치수K -(3),  C + (0),   U + (0), OP - (2), R - (0),  기둥차감 - (0),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  <c r="AG4" s="322" t="s">
        <v>313</v>
      </c>
      <c r="AH4" s="322"/>
      <c r="AI4" s="281">
        <f>'SO와이드(실측)'!AA7</f>
        <v>0</v>
      </c>
      <c r="AJ4" s="281"/>
      <c r="AK4" s="228">
        <f ca="1">TODAY()</f>
        <v>45267</v>
      </c>
      <c r="AL4" s="168"/>
      <c r="AM4" s="168"/>
      <c r="AN4" s="9"/>
      <c r="AO4" s="316" t="s">
        <v>117</v>
      </c>
      <c r="AP4" s="316"/>
      <c r="AQ4" s="179" t="s">
        <v>215</v>
      </c>
      <c r="AR4" s="179"/>
      <c r="AS4" s="84"/>
      <c r="AT4" s="235" t="s">
        <v>235</v>
      </c>
      <c r="AU4" s="235"/>
      <c r="AV4" s="236"/>
      <c r="BN4" s="184"/>
    </row>
    <row r="5" spans="1:66" ht="25.9" customHeight="1" x14ac:dyDescent="0.3">
      <c r="A5" s="173" t="s">
        <v>0</v>
      </c>
      <c r="B5" s="173" t="s">
        <v>1</v>
      </c>
      <c r="C5" s="173" t="s">
        <v>2</v>
      </c>
      <c r="D5" s="173" t="s">
        <v>2</v>
      </c>
      <c r="E5" s="173" t="s">
        <v>236</v>
      </c>
      <c r="F5" s="173" t="s">
        <v>246</v>
      </c>
      <c r="G5" s="173" t="s">
        <v>18</v>
      </c>
      <c r="H5" s="212" t="s">
        <v>4</v>
      </c>
      <c r="I5" s="276" t="s">
        <v>42</v>
      </c>
      <c r="J5" s="209" t="s">
        <v>105</v>
      </c>
      <c r="K5" s="209" t="s">
        <v>106</v>
      </c>
      <c r="L5" s="213" t="s">
        <v>107</v>
      </c>
      <c r="M5" s="213" t="s">
        <v>108</v>
      </c>
      <c r="N5" s="317" t="s">
        <v>240</v>
      </c>
      <c r="O5" s="319" t="s">
        <v>241</v>
      </c>
      <c r="P5" s="215" t="s">
        <v>71</v>
      </c>
      <c r="Q5" s="215" t="s">
        <v>72</v>
      </c>
      <c r="R5" s="173" t="s">
        <v>8</v>
      </c>
      <c r="S5" s="173" t="s">
        <v>9</v>
      </c>
      <c r="T5" s="173" t="s">
        <v>12</v>
      </c>
      <c r="U5" s="173" t="s">
        <v>13</v>
      </c>
      <c r="V5" s="173" t="s">
        <v>10</v>
      </c>
      <c r="W5" s="173" t="s">
        <v>11</v>
      </c>
      <c r="X5" s="211" t="s">
        <v>14</v>
      </c>
      <c r="Y5" s="211" t="s">
        <v>15</v>
      </c>
      <c r="Z5" s="212" t="s">
        <v>16</v>
      </c>
      <c r="AA5" s="212" t="s">
        <v>17</v>
      </c>
      <c r="AB5" s="173" t="s">
        <v>19</v>
      </c>
      <c r="AC5" s="173" t="s">
        <v>20</v>
      </c>
      <c r="AD5" s="174" t="s">
        <v>22</v>
      </c>
      <c r="AE5" s="310" t="s">
        <v>242</v>
      </c>
      <c r="AF5" s="311" t="s">
        <v>238</v>
      </c>
      <c r="AG5" s="201" t="s">
        <v>79</v>
      </c>
      <c r="AH5" s="202"/>
      <c r="AI5" s="202"/>
      <c r="AJ5" s="202"/>
      <c r="AK5" s="193" t="s">
        <v>91</v>
      </c>
      <c r="AL5" s="193" t="s">
        <v>92</v>
      </c>
      <c r="AM5" s="185" t="s">
        <v>99</v>
      </c>
      <c r="AN5" s="174" t="s">
        <v>61</v>
      </c>
      <c r="AO5" s="174" t="s">
        <v>34</v>
      </c>
      <c r="AP5" s="174" t="s">
        <v>35</v>
      </c>
      <c r="AQ5" s="177" t="s">
        <v>212</v>
      </c>
      <c r="AR5" s="178"/>
      <c r="AS5" s="314" t="s">
        <v>199</v>
      </c>
      <c r="AT5" s="314" t="s">
        <v>204</v>
      </c>
      <c r="AU5" s="314"/>
      <c r="AV5" s="314"/>
      <c r="AW5" s="183" t="s">
        <v>100</v>
      </c>
      <c r="AX5" s="183" t="s">
        <v>101</v>
      </c>
      <c r="AY5" s="313" t="s">
        <v>244</v>
      </c>
      <c r="AZ5" s="312" t="s">
        <v>245</v>
      </c>
      <c r="BA5" s="188" t="s">
        <v>84</v>
      </c>
      <c r="BB5" s="191" t="s">
        <v>102</v>
      </c>
      <c r="BC5" s="190" t="s">
        <v>94</v>
      </c>
      <c r="BD5" s="190" t="s">
        <v>95</v>
      </c>
      <c r="BE5" s="183" t="s">
        <v>93</v>
      </c>
      <c r="BH5" s="187" t="s">
        <v>28</v>
      </c>
      <c r="BI5" s="187"/>
      <c r="BJ5" s="187" t="s">
        <v>29</v>
      </c>
      <c r="BK5" s="187"/>
      <c r="BL5" s="6" t="s">
        <v>50</v>
      </c>
      <c r="BM5" s="240" t="s">
        <v>104</v>
      </c>
      <c r="BN5" s="239" t="s">
        <v>226</v>
      </c>
    </row>
    <row r="6" spans="1:66" ht="48" customHeight="1" x14ac:dyDescent="0.3">
      <c r="A6" s="173"/>
      <c r="B6" s="173"/>
      <c r="C6" s="173"/>
      <c r="D6" s="173"/>
      <c r="E6" s="173"/>
      <c r="F6" s="173"/>
      <c r="G6" s="173"/>
      <c r="H6" s="212"/>
      <c r="I6" s="276"/>
      <c r="J6" s="210"/>
      <c r="K6" s="210"/>
      <c r="L6" s="214"/>
      <c r="M6" s="214"/>
      <c r="N6" s="318"/>
      <c r="O6" s="320"/>
      <c r="P6" s="216"/>
      <c r="Q6" s="216"/>
      <c r="R6" s="173"/>
      <c r="S6" s="173"/>
      <c r="T6" s="173"/>
      <c r="U6" s="173"/>
      <c r="V6" s="173"/>
      <c r="W6" s="173"/>
      <c r="X6" s="211"/>
      <c r="Y6" s="211"/>
      <c r="Z6" s="212"/>
      <c r="AA6" s="212"/>
      <c r="AB6" s="173"/>
      <c r="AC6" s="173"/>
      <c r="AD6" s="174"/>
      <c r="AE6" s="310"/>
      <c r="AF6" s="311"/>
      <c r="AG6" s="8" t="s">
        <v>52</v>
      </c>
      <c r="AH6" s="8" t="s">
        <v>68</v>
      </c>
      <c r="AI6" s="8" t="s">
        <v>69</v>
      </c>
      <c r="AJ6" s="8" t="s">
        <v>70</v>
      </c>
      <c r="AK6" s="194"/>
      <c r="AL6" s="194"/>
      <c r="AM6" s="186"/>
      <c r="AN6" s="174"/>
      <c r="AO6" s="173"/>
      <c r="AP6" s="173"/>
      <c r="AQ6" s="74" t="s">
        <v>213</v>
      </c>
      <c r="AR6" s="74" t="s">
        <v>214</v>
      </c>
      <c r="AS6" s="315"/>
      <c r="AT6" s="86" t="s">
        <v>200</v>
      </c>
      <c r="AU6" s="86" t="s">
        <v>201</v>
      </c>
      <c r="AV6" s="86" t="s">
        <v>80</v>
      </c>
      <c r="AW6" s="184"/>
      <c r="AX6" s="184"/>
      <c r="AY6" s="312"/>
      <c r="AZ6" s="312"/>
      <c r="BA6" s="189"/>
      <c r="BB6" s="192"/>
      <c r="BC6" s="190"/>
      <c r="BD6" s="190"/>
      <c r="BE6" s="184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40"/>
      <c r="BN6" s="239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-2</v>
      </c>
      <c r="F7" s="31">
        <f>'SO와이드(실측)'!F7-SO와이드OP</f>
        <v>-2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-3</v>
      </c>
      <c r="AH7" s="31">
        <f>IF(SO와이드JB하부늘치=1,AG7,'SO와이드(실측)'!AB7-SO와이드늘치)</f>
        <v>-3</v>
      </c>
      <c r="AI7" s="31">
        <f>'SO와이드(실측)'!AC7-SO와이드늘치</f>
        <v>-3</v>
      </c>
      <c r="AJ7" s="31">
        <f>IF(SO와이드JB하부늘치=1,AI7,'SO와이드(실측)'!AD7-SO와이드늘치)</f>
        <v>-3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0*-1.6</v>
      </c>
      <c r="AO7" s="31" t="str">
        <f t="shared" ref="AO7" si="2">BI7&amp;"*"&amp;BH7</f>
        <v>0.8*-2.4</v>
      </c>
      <c r="AP7" s="31" t="str">
        <f t="shared" ref="AP7" si="3">BK7&amp;"*"&amp;BJ7</f>
        <v>0.8*-2.4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-1.5999999999999999</v>
      </c>
      <c r="BH7" s="41">
        <f>V7+R7+MAX(J7,K7)+AE7-1.2*$AP$3+IF(BN7=0,MAX(AH7,AG7),0)+IF(V7=0,1.2,0)-IF(AV7=90,2.4,0)</f>
        <v>-2.3999999999999995</v>
      </c>
      <c r="BI7" s="41">
        <f>MAX(X7,Y7)+AK7</f>
        <v>0.8</v>
      </c>
      <c r="BJ7" s="41">
        <f>W7+S7+MAX(L7,M7)+AF7-1.2*$AP$3+IF(BN7=0,MAX(AI7,AJ7),0)+IF(W7=0,1.2,0)-IF(AV7=90,2.4,0)</f>
        <v>-2.3999999999999995</v>
      </c>
      <c r="BK7" s="41">
        <f>MAX(Z7,AA7)+AL7</f>
        <v>0.8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71" t="str">
        <f>정보!E3</f>
        <v>(SO멍텅구리) 실측서 ( 경기도 부천 은하마을 주공1단지아파트-3차 ) _김운호소장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"/>
      <c r="H3" s="254"/>
      <c r="I3" s="254"/>
      <c r="J3" s="251"/>
      <c r="K3" s="251"/>
      <c r="L3" s="252"/>
      <c r="M3" s="252"/>
      <c r="N3" s="253"/>
      <c r="O3" s="253"/>
      <c r="P3" s="253"/>
      <c r="Q3" s="248" t="s">
        <v>97</v>
      </c>
      <c r="R3" s="248"/>
      <c r="S3" s="249"/>
      <c r="T3" s="249"/>
      <c r="U3" s="250"/>
      <c r="V3" s="250"/>
      <c r="W3" s="250"/>
    </row>
    <row r="4" spans="1:41" ht="33" customHeight="1" x14ac:dyDescent="0.3">
      <c r="A4" s="169" t="str">
        <f>정보!B14</f>
        <v>제작치수 반영 : JB/JD +(3 ),  늘어난치수K -(3),  C + (0),  U +(0), OP1/OP2 - (2), R - (0),  기둥차감 - (0),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8"/>
      <c r="X4" s="168"/>
      <c r="Y4" s="168"/>
      <c r="Z4" s="168"/>
      <c r="AA4" s="168"/>
      <c r="AB4" s="168"/>
      <c r="AC4" s="170"/>
      <c r="AD4" s="179" t="s">
        <v>215</v>
      </c>
      <c r="AE4" s="179"/>
      <c r="AF4" s="81" t="s">
        <v>234</v>
      </c>
    </row>
    <row r="5" spans="1:41" ht="25.9" customHeight="1" x14ac:dyDescent="0.3">
      <c r="A5" s="173" t="s">
        <v>0</v>
      </c>
      <c r="B5" s="173" t="s">
        <v>1</v>
      </c>
      <c r="C5" s="173" t="s">
        <v>248</v>
      </c>
      <c r="D5" s="173" t="s">
        <v>247</v>
      </c>
      <c r="E5" s="173" t="s">
        <v>18</v>
      </c>
      <c r="F5" s="173" t="s">
        <v>4</v>
      </c>
      <c r="G5" s="173" t="s">
        <v>5</v>
      </c>
      <c r="H5" s="173" t="s">
        <v>6</v>
      </c>
      <c r="I5" s="173" t="s">
        <v>7</v>
      </c>
      <c r="J5" s="173" t="s">
        <v>8</v>
      </c>
      <c r="K5" s="173" t="s">
        <v>9</v>
      </c>
      <c r="L5" s="173" t="s">
        <v>10</v>
      </c>
      <c r="M5" s="173" t="s">
        <v>11</v>
      </c>
      <c r="N5" s="173" t="s">
        <v>14</v>
      </c>
      <c r="O5" s="173" t="s">
        <v>15</v>
      </c>
      <c r="P5" s="173" t="s">
        <v>16</v>
      </c>
      <c r="Q5" s="173" t="s">
        <v>17</v>
      </c>
      <c r="R5" s="173" t="s">
        <v>19</v>
      </c>
      <c r="S5" s="173" t="s">
        <v>20</v>
      </c>
      <c r="T5" s="243" t="s">
        <v>22</v>
      </c>
      <c r="U5" s="310" t="s">
        <v>242</v>
      </c>
      <c r="V5" s="311" t="s">
        <v>238</v>
      </c>
      <c r="W5" s="245" t="s">
        <v>21</v>
      </c>
      <c r="X5" s="246"/>
      <c r="Y5" s="246"/>
      <c r="Z5" s="247"/>
      <c r="AA5" s="174" t="s">
        <v>203</v>
      </c>
      <c r="AB5" s="174"/>
      <c r="AC5" s="174"/>
      <c r="AD5" s="177" t="s">
        <v>212</v>
      </c>
      <c r="AE5" s="178"/>
      <c r="AF5" s="80" t="s">
        <v>231</v>
      </c>
    </row>
    <row r="6" spans="1:41" ht="47.25" customHeight="1" x14ac:dyDescent="0.3">
      <c r="A6" s="173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244"/>
      <c r="U6" s="310"/>
      <c r="V6" s="311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1" t="str">
        <f>정보!F3</f>
        <v>(SO멍텅구리) 제작변환 ( 경기도 부천 은하마을 주공1단지아파트-3차 ) _김운호소장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"/>
      <c r="AN1" s="1"/>
      <c r="AO1" s="255" t="s">
        <v>75</v>
      </c>
      <c r="AP1" s="255"/>
      <c r="AQ1" s="255"/>
      <c r="AW1" s="24"/>
    </row>
    <row r="2" spans="1:58" ht="28.5" customHeight="1" x14ac:dyDescent="0.3">
      <c r="A2" s="97" t="s">
        <v>85</v>
      </c>
      <c r="B2" s="140">
        <v>2</v>
      </c>
      <c r="C2" s="346" t="s">
        <v>290</v>
      </c>
      <c r="D2" s="346"/>
      <c r="E2" s="116">
        <v>0</v>
      </c>
      <c r="F2" s="1"/>
      <c r="G2" s="1"/>
      <c r="H2" s="219" t="s">
        <v>81</v>
      </c>
      <c r="I2" s="219"/>
      <c r="J2" s="219"/>
      <c r="K2" s="341">
        <v>0</v>
      </c>
      <c r="L2" s="341"/>
      <c r="M2" s="341"/>
      <c r="N2" s="341"/>
      <c r="O2" s="224" t="s">
        <v>113</v>
      </c>
      <c r="P2" s="224"/>
      <c r="Q2" s="224"/>
      <c r="R2" s="224"/>
      <c r="S2" s="342">
        <v>1</v>
      </c>
      <c r="T2" s="342"/>
      <c r="U2" s="196" t="s">
        <v>103</v>
      </c>
      <c r="V2" s="196"/>
      <c r="W2" s="143">
        <v>0</v>
      </c>
      <c r="X2" s="224" t="s">
        <v>88</v>
      </c>
      <c r="Y2" s="224"/>
      <c r="Z2" s="343">
        <v>0</v>
      </c>
      <c r="AA2" s="343"/>
      <c r="AB2" s="22"/>
      <c r="AC2" s="195" t="s">
        <v>82</v>
      </c>
      <c r="AD2" s="196"/>
      <c r="AE2" s="344">
        <v>0</v>
      </c>
      <c r="AF2" s="344"/>
      <c r="AG2" s="142" t="s">
        <v>90</v>
      </c>
      <c r="AH2" s="345">
        <v>3</v>
      </c>
      <c r="AI2" s="345"/>
      <c r="AJ2" s="141"/>
      <c r="AK2" s="141"/>
      <c r="AL2" s="141"/>
      <c r="AM2" s="1"/>
      <c r="AN2" s="1"/>
      <c r="AO2" s="255"/>
      <c r="AP2" s="255"/>
      <c r="AQ2" s="255"/>
      <c r="AW2" s="24"/>
    </row>
    <row r="3" spans="1:58" ht="33" customHeight="1" x14ac:dyDescent="0.3">
      <c r="A3" s="33" t="str">
        <f>'SO멍텅(실측)'!A3</f>
        <v>현장명 : 경기도 부천 은하마을 주공1단지아파트-3차,   (재질) : HL 1.2T</v>
      </c>
      <c r="B3" s="2"/>
      <c r="C3" s="2"/>
      <c r="D3" s="2"/>
      <c r="E3" s="2"/>
      <c r="F3" s="2"/>
      <c r="G3" s="2"/>
      <c r="H3" s="155"/>
      <c r="I3" s="196" t="s">
        <v>76</v>
      </c>
      <c r="J3" s="196"/>
      <c r="K3" s="226">
        <v>3</v>
      </c>
      <c r="L3" s="226"/>
      <c r="M3" s="226"/>
      <c r="N3" s="226"/>
      <c r="O3" s="196" t="s">
        <v>77</v>
      </c>
      <c r="P3" s="196"/>
      <c r="Q3" s="203">
        <v>0</v>
      </c>
      <c r="R3" s="203"/>
      <c r="S3" s="224" t="s">
        <v>227</v>
      </c>
      <c r="T3" s="224"/>
      <c r="U3" s="224"/>
      <c r="V3" s="336">
        <f>BE7</f>
        <v>1</v>
      </c>
      <c r="W3" s="336"/>
      <c r="X3" s="224" t="s">
        <v>78</v>
      </c>
      <c r="Y3" s="224"/>
      <c r="Z3" s="340">
        <v>1</v>
      </c>
      <c r="AA3" s="340"/>
      <c r="AB3" s="64"/>
      <c r="AC3" s="156"/>
      <c r="AD3" s="156"/>
      <c r="AE3" s="334" t="s">
        <v>73</v>
      </c>
      <c r="AF3" s="334"/>
      <c r="AG3" s="157">
        <v>4</v>
      </c>
      <c r="AH3" s="142" t="s">
        <v>74</v>
      </c>
      <c r="AI3" s="157">
        <v>4</v>
      </c>
      <c r="AJ3" s="286" t="s">
        <v>328</v>
      </c>
      <c r="AK3" s="287"/>
      <c r="AL3" s="218"/>
      <c r="AM3" s="339" t="e">
        <f>AR7</f>
        <v>#DIV/0!</v>
      </c>
      <c r="AN3" s="168"/>
      <c r="AO3" s="25"/>
      <c r="AP3" s="25"/>
      <c r="AQ3" s="24"/>
      <c r="AW3" s="24"/>
    </row>
    <row r="4" spans="1:58" ht="33" customHeight="1" x14ac:dyDescent="0.3">
      <c r="A4" s="169" t="str">
        <f>'SO멍텅(실측)'!A4:AA4</f>
        <v>제작치수 반영 : JB/JD +(3 ),  늘어난치수K -(3),  C + (0),  U +(0), OP1/OP2 - (2), R - (0),  기둥차감 - (0),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337" t="s">
        <v>314</v>
      </c>
      <c r="AD4" s="337"/>
      <c r="AE4" s="338">
        <f>'SO멍텅(실측)'!W7</f>
        <v>0</v>
      </c>
      <c r="AF4" s="338"/>
      <c r="AG4" s="158"/>
      <c r="AH4" s="335">
        <f ca="1">TODAY()</f>
        <v>45267</v>
      </c>
      <c r="AI4" s="235"/>
      <c r="AJ4" s="235" t="s">
        <v>235</v>
      </c>
      <c r="AK4" s="235"/>
      <c r="AL4" s="236"/>
      <c r="AM4" s="179" t="s">
        <v>215</v>
      </c>
      <c r="AN4" s="179"/>
      <c r="AO4" s="25"/>
      <c r="AP4" s="25"/>
      <c r="AQ4" s="24"/>
      <c r="AW4" s="24"/>
      <c r="BE4" s="183" t="s">
        <v>253</v>
      </c>
    </row>
    <row r="5" spans="1:58" ht="25.9" customHeight="1" x14ac:dyDescent="0.3">
      <c r="A5" s="173" t="s">
        <v>0</v>
      </c>
      <c r="B5" s="173" t="s">
        <v>1</v>
      </c>
      <c r="C5" s="173" t="s">
        <v>248</v>
      </c>
      <c r="D5" s="173" t="s">
        <v>247</v>
      </c>
      <c r="E5" s="173" t="s">
        <v>18</v>
      </c>
      <c r="F5" s="174" t="s">
        <v>58</v>
      </c>
      <c r="G5" s="174" t="s">
        <v>59</v>
      </c>
      <c r="H5" s="275" t="s">
        <v>60</v>
      </c>
      <c r="I5" s="275" t="s">
        <v>64</v>
      </c>
      <c r="J5" s="332" t="s">
        <v>65</v>
      </c>
      <c r="K5" s="332" t="s">
        <v>66</v>
      </c>
      <c r="L5" s="317" t="s">
        <v>240</v>
      </c>
      <c r="M5" s="319" t="s">
        <v>241</v>
      </c>
      <c r="N5" s="243" t="s">
        <v>62</v>
      </c>
      <c r="O5" s="243" t="s">
        <v>63</v>
      </c>
      <c r="P5" s="173" t="s">
        <v>8</v>
      </c>
      <c r="Q5" s="173" t="s">
        <v>9</v>
      </c>
      <c r="R5" s="173" t="s">
        <v>10</v>
      </c>
      <c r="S5" s="173" t="s">
        <v>11</v>
      </c>
      <c r="T5" s="173" t="s">
        <v>14</v>
      </c>
      <c r="U5" s="173" t="s">
        <v>15</v>
      </c>
      <c r="V5" s="173" t="s">
        <v>16</v>
      </c>
      <c r="W5" s="173" t="s">
        <v>17</v>
      </c>
      <c r="X5" s="173" t="s">
        <v>19</v>
      </c>
      <c r="Y5" s="277" t="s">
        <v>20</v>
      </c>
      <c r="Z5" s="243" t="s">
        <v>22</v>
      </c>
      <c r="AA5" s="310" t="s">
        <v>242</v>
      </c>
      <c r="AB5" s="311" t="s">
        <v>238</v>
      </c>
      <c r="AC5" s="245" t="s">
        <v>21</v>
      </c>
      <c r="AD5" s="246"/>
      <c r="AE5" s="246"/>
      <c r="AF5" s="247"/>
      <c r="AG5" s="174" t="s">
        <v>25</v>
      </c>
      <c r="AH5" s="279" t="s">
        <v>34</v>
      </c>
      <c r="AI5" s="174" t="s">
        <v>35</v>
      </c>
      <c r="AJ5" s="314" t="s">
        <v>203</v>
      </c>
      <c r="AK5" s="314"/>
      <c r="AL5" s="314"/>
      <c r="AM5" s="177" t="s">
        <v>212</v>
      </c>
      <c r="AN5" s="178"/>
      <c r="AO5" s="183" t="s">
        <v>305</v>
      </c>
      <c r="AP5" s="183" t="s">
        <v>306</v>
      </c>
      <c r="AQ5" s="278" t="s">
        <v>51</v>
      </c>
      <c r="AY5" s="184" t="s">
        <v>28</v>
      </c>
      <c r="AZ5" s="184"/>
      <c r="BA5" s="184" t="s">
        <v>29</v>
      </c>
      <c r="BB5" s="184"/>
      <c r="BE5" s="184"/>
    </row>
    <row r="6" spans="1:58" ht="48" customHeight="1" x14ac:dyDescent="0.3">
      <c r="A6" s="173"/>
      <c r="B6" s="173"/>
      <c r="C6" s="173"/>
      <c r="D6" s="173"/>
      <c r="E6" s="173"/>
      <c r="F6" s="173"/>
      <c r="G6" s="173"/>
      <c r="H6" s="276"/>
      <c r="I6" s="276"/>
      <c r="J6" s="333"/>
      <c r="K6" s="333"/>
      <c r="L6" s="318"/>
      <c r="M6" s="320"/>
      <c r="N6" s="244"/>
      <c r="O6" s="244"/>
      <c r="P6" s="173"/>
      <c r="Q6" s="173"/>
      <c r="R6" s="173"/>
      <c r="S6" s="173"/>
      <c r="T6" s="173"/>
      <c r="U6" s="173"/>
      <c r="V6" s="173"/>
      <c r="W6" s="173"/>
      <c r="X6" s="173"/>
      <c r="Y6" s="277"/>
      <c r="Z6" s="244"/>
      <c r="AA6" s="310"/>
      <c r="AB6" s="311"/>
      <c r="AC6" s="8" t="s">
        <v>56</v>
      </c>
      <c r="AD6" s="8" t="s">
        <v>57</v>
      </c>
      <c r="AE6" s="8" t="s">
        <v>54</v>
      </c>
      <c r="AF6" s="8" t="s">
        <v>55</v>
      </c>
      <c r="AG6" s="173"/>
      <c r="AH6" s="280"/>
      <c r="AI6" s="173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84"/>
      <c r="AP6" s="184"/>
      <c r="AQ6" s="278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-2</v>
      </c>
      <c r="D7" s="4">
        <f>'SO멍텅(실측)'!D7-SO멍텅OP</f>
        <v>-2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-3</v>
      </c>
      <c r="AD7" s="13">
        <f>IF(SO멍텅JB하부늘치=1,AC7,'SO멍텅(실측)'!X7-SO멍텅늘치차감)</f>
        <v>-3</v>
      </c>
      <c r="AE7" s="13">
        <f>'SO멍텅(실측)'!Y7-SO멍텅늘치차감</f>
        <v>-3</v>
      </c>
      <c r="AF7" s="13">
        <f>IF(SO멍텅JB하부늘치=1,AE7,'SO멍텅(실측)'!Z7-SO멍텅늘치차감)</f>
        <v>-3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72" t="str">
        <f>정보!H2</f>
        <v>(4CO와이드) 실측서 ( 경기도 부천 은하마을 주공1단지아파트-3차 ) _김운호소장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72"/>
      <c r="AC2" s="172"/>
      <c r="AD2" s="172"/>
      <c r="AE2" s="172"/>
      <c r="AF2" s="172"/>
      <c r="AG2" s="172"/>
      <c r="AH2" s="172"/>
      <c r="AI2" s="172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80" t="s">
        <v>98</v>
      </c>
      <c r="P3" s="180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72"/>
      <c r="AC3" s="172"/>
      <c r="AD3" s="172"/>
      <c r="AE3" s="172"/>
      <c r="AF3" s="172"/>
      <c r="AG3" s="172"/>
      <c r="AH3" s="172"/>
      <c r="AI3" s="172"/>
      <c r="AJ3" s="34"/>
      <c r="AK3" s="34"/>
      <c r="AL3" s="34"/>
      <c r="AM3" s="34"/>
    </row>
    <row r="4" spans="1:48" ht="33" customHeight="1" x14ac:dyDescent="0.3">
      <c r="A4" s="309" t="str">
        <f>정보!B15</f>
        <v>제작치수 반영 : MH + (2), JB/JD +(3 ),  늘어난치수K -(3),  C + (0),   U + (0), OP1/OP3 - (2), R - (0),  기둥차감 - (0), A + (1)</v>
      </c>
      <c r="B4" s="309"/>
      <c r="C4" s="309"/>
      <c r="D4" s="309"/>
      <c r="E4" s="309"/>
      <c r="F4" s="309"/>
      <c r="G4" s="309"/>
      <c r="H4" s="309"/>
      <c r="I4" s="309"/>
      <c r="J4" s="309"/>
      <c r="K4" s="309"/>
      <c r="L4" s="309"/>
      <c r="M4" s="309"/>
      <c r="N4" s="309"/>
      <c r="O4" s="309"/>
      <c r="P4" s="309"/>
      <c r="Q4" s="309"/>
      <c r="R4" s="309"/>
      <c r="S4" s="309"/>
      <c r="T4" s="309"/>
      <c r="U4" s="309"/>
      <c r="V4" s="309"/>
      <c r="W4" s="309"/>
      <c r="X4" s="168"/>
      <c r="Y4" s="168"/>
      <c r="Z4" s="168"/>
      <c r="AA4" s="168"/>
      <c r="AB4" s="168"/>
      <c r="AC4" s="168"/>
      <c r="AD4" s="168"/>
      <c r="AE4" s="168"/>
      <c r="AF4" s="168"/>
      <c r="AG4" s="170"/>
      <c r="AH4" s="179" t="s">
        <v>215</v>
      </c>
      <c r="AI4" s="179"/>
      <c r="AJ4" s="75"/>
      <c r="AK4" s="9"/>
      <c r="AL4" s="9"/>
      <c r="AM4" s="9"/>
    </row>
    <row r="5" spans="1:48" ht="25.9" customHeight="1" x14ac:dyDescent="0.3">
      <c r="A5" s="173" t="s">
        <v>0</v>
      </c>
      <c r="B5" s="173" t="s">
        <v>1</v>
      </c>
      <c r="C5" s="173" t="s">
        <v>2</v>
      </c>
      <c r="D5" s="173" t="s">
        <v>24</v>
      </c>
      <c r="E5" s="173" t="s">
        <v>254</v>
      </c>
      <c r="F5" s="173" t="s">
        <v>239</v>
      </c>
      <c r="G5" s="173" t="s">
        <v>255</v>
      </c>
      <c r="H5" s="173" t="s">
        <v>18</v>
      </c>
      <c r="I5" s="173" t="s">
        <v>4</v>
      </c>
      <c r="J5" s="173" t="s">
        <v>5</v>
      </c>
      <c r="K5" s="173" t="s">
        <v>256</v>
      </c>
      <c r="L5" s="173" t="s">
        <v>6</v>
      </c>
      <c r="M5" s="173" t="s">
        <v>7</v>
      </c>
      <c r="N5" s="173" t="s">
        <v>47</v>
      </c>
      <c r="O5" s="173" t="s">
        <v>9</v>
      </c>
      <c r="P5" s="173" t="s">
        <v>12</v>
      </c>
      <c r="Q5" s="173" t="s">
        <v>13</v>
      </c>
      <c r="R5" s="173" t="s">
        <v>10</v>
      </c>
      <c r="S5" s="173" t="s">
        <v>11</v>
      </c>
      <c r="T5" s="173" t="s">
        <v>14</v>
      </c>
      <c r="U5" s="173" t="s">
        <v>15</v>
      </c>
      <c r="V5" s="173" t="s">
        <v>16</v>
      </c>
      <c r="W5" s="173" t="s">
        <v>17</v>
      </c>
      <c r="X5" s="173" t="s">
        <v>19</v>
      </c>
      <c r="Y5" s="174" t="s">
        <v>48</v>
      </c>
      <c r="Z5" s="174" t="s">
        <v>22</v>
      </c>
      <c r="AA5" s="174" t="s">
        <v>23</v>
      </c>
      <c r="AB5" s="173" t="s">
        <v>21</v>
      </c>
      <c r="AC5" s="173"/>
      <c r="AD5" s="173"/>
      <c r="AE5" s="173"/>
      <c r="AF5" s="175" t="s">
        <v>91</v>
      </c>
      <c r="AG5" s="175" t="s">
        <v>92</v>
      </c>
      <c r="AH5" s="177" t="s">
        <v>212</v>
      </c>
      <c r="AI5" s="178"/>
      <c r="AJ5" s="174" t="s">
        <v>199</v>
      </c>
      <c r="AK5" s="174" t="s">
        <v>203</v>
      </c>
      <c r="AL5" s="174"/>
      <c r="AM5" s="174"/>
    </row>
    <row r="6" spans="1:48" ht="44.25" customHeight="1" x14ac:dyDescent="0.3">
      <c r="A6" s="173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173"/>
      <c r="U6" s="173"/>
      <c r="V6" s="173"/>
      <c r="W6" s="173"/>
      <c r="X6" s="173"/>
      <c r="Y6" s="173"/>
      <c r="Z6" s="174"/>
      <c r="AA6" s="174"/>
      <c r="AB6" s="8" t="s">
        <v>43</v>
      </c>
      <c r="AC6" s="8" t="s">
        <v>44</v>
      </c>
      <c r="AD6" s="8" t="s">
        <v>45</v>
      </c>
      <c r="AE6" s="8" t="s">
        <v>46</v>
      </c>
      <c r="AF6" s="176"/>
      <c r="AG6" s="176"/>
      <c r="AH6" s="74" t="s">
        <v>213</v>
      </c>
      <c r="AI6" s="74" t="s">
        <v>214</v>
      </c>
      <c r="AJ6" s="173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82" t="str">
        <f>정보!I2</f>
        <v>(4CO와이드) 제작변환 ( 경기도 부천 은하마을 주공1단지아파트-3차 ) _김운호소장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  <c r="AF1" s="182"/>
      <c r="AG1" s="182"/>
      <c r="AH1" s="182"/>
      <c r="AI1" s="182"/>
      <c r="AJ1" s="182"/>
      <c r="AK1" s="182"/>
      <c r="AL1" s="182"/>
      <c r="AM1" s="182"/>
      <c r="AN1" s="182"/>
      <c r="AO1" s="182"/>
      <c r="AP1" s="182"/>
      <c r="AQ1" s="182"/>
      <c r="AR1" s="182"/>
      <c r="AS1" s="182"/>
      <c r="AT1" s="182"/>
      <c r="AU1" s="182"/>
      <c r="AV1" s="182"/>
      <c r="AW1" s="182"/>
      <c r="AX1" s="37"/>
      <c r="AY1" s="37"/>
    </row>
    <row r="2" spans="1:66" ht="29.25" customHeight="1" x14ac:dyDescent="0.3">
      <c r="A2" s="97" t="s">
        <v>96</v>
      </c>
      <c r="B2" s="139">
        <v>2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23" t="s">
        <v>113</v>
      </c>
      <c r="M2" s="224"/>
      <c r="N2" s="224"/>
      <c r="O2" s="224"/>
      <c r="P2" s="224"/>
      <c r="Q2" s="224"/>
      <c r="R2" s="225">
        <v>1</v>
      </c>
      <c r="S2" s="225"/>
      <c r="T2" s="195" t="s">
        <v>89</v>
      </c>
      <c r="U2" s="196"/>
      <c r="V2" s="197">
        <v>0</v>
      </c>
      <c r="W2" s="197"/>
      <c r="X2" s="289" t="s">
        <v>83</v>
      </c>
      <c r="Y2" s="204"/>
      <c r="Z2" s="204"/>
      <c r="AA2" s="200">
        <v>0</v>
      </c>
      <c r="AB2" s="200"/>
      <c r="AC2" s="328" t="str">
        <f>정보!B5</f>
        <v>OTIS HIX-A201 돌출형</v>
      </c>
      <c r="AD2" s="329"/>
      <c r="AE2" s="329"/>
      <c r="AF2" s="329"/>
      <c r="AG2" s="329"/>
      <c r="AH2" s="329"/>
      <c r="AI2" s="329"/>
      <c r="AJ2" s="329"/>
      <c r="AK2" s="329"/>
      <c r="AL2" s="330"/>
      <c r="AM2" s="195" t="s">
        <v>90</v>
      </c>
      <c r="AN2" s="196"/>
      <c r="AO2" s="347">
        <v>3</v>
      </c>
      <c r="AP2" s="347"/>
      <c r="AQ2" s="1"/>
      <c r="AR2" s="325" t="s">
        <v>229</v>
      </c>
      <c r="AS2" s="326"/>
      <c r="AT2" s="327">
        <v>0</v>
      </c>
      <c r="AU2" s="327"/>
      <c r="AV2" s="1"/>
      <c r="AW2" s="1"/>
    </row>
    <row r="3" spans="1:66" ht="24.75" customHeight="1" x14ac:dyDescent="0.3">
      <c r="A3" s="28" t="str">
        <f>'4CO와이드(실측)'!A3</f>
        <v>현장명 : 경기도 부천 은하마을 주공1단지아파트-3차,   (재질) : 사급 VB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24" t="s">
        <v>228</v>
      </c>
      <c r="M3" s="224"/>
      <c r="N3" s="224"/>
      <c r="O3" s="224"/>
      <c r="P3" s="224"/>
      <c r="Q3" s="224"/>
      <c r="R3" s="226">
        <v>3</v>
      </c>
      <c r="S3" s="226"/>
      <c r="T3" s="196" t="s">
        <v>77</v>
      </c>
      <c r="U3" s="196"/>
      <c r="V3" s="203">
        <v>0</v>
      </c>
      <c r="W3" s="203"/>
      <c r="X3" s="204" t="s">
        <v>227</v>
      </c>
      <c r="Y3" s="204"/>
      <c r="Z3" s="204"/>
      <c r="AA3" s="205">
        <f>BN7</f>
        <v>1</v>
      </c>
      <c r="AB3" s="205"/>
      <c r="AC3" s="204" t="s">
        <v>78</v>
      </c>
      <c r="AD3" s="204"/>
      <c r="AE3" s="331">
        <v>1</v>
      </c>
      <c r="AF3" s="331"/>
      <c r="AJ3" s="184"/>
      <c r="AK3" s="184"/>
      <c r="AL3" s="3"/>
      <c r="AM3" s="173" t="s">
        <v>73</v>
      </c>
      <c r="AN3" s="173"/>
      <c r="AO3" s="114">
        <v>5</v>
      </c>
      <c r="AP3" s="4" t="s">
        <v>74</v>
      </c>
      <c r="AQ3" s="115">
        <v>4</v>
      </c>
      <c r="AR3" s="231" t="s">
        <v>230</v>
      </c>
      <c r="AS3" s="231"/>
      <c r="AT3" s="348" t="s">
        <v>329</v>
      </c>
      <c r="AU3" s="348"/>
      <c r="AV3" s="237" t="e">
        <f>AZ7</f>
        <v>#DIV/0!</v>
      </c>
      <c r="AW3" s="238"/>
      <c r="BN3" s="183" t="s">
        <v>253</v>
      </c>
    </row>
    <row r="4" spans="1:66" ht="33" customHeight="1" x14ac:dyDescent="0.3">
      <c r="A4" s="169" t="str">
        <f>정보!B15</f>
        <v>제작치수 반영 : MH + (2), JB/JD +(3 ),  늘어난치수K -(3),  C + (0),   U + (0), OP1/OP3 - (2), R - (0),  기둥차감 - (0),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  <c r="AG4" s="169"/>
      <c r="AH4" s="349" t="s">
        <v>315</v>
      </c>
      <c r="AI4" s="349"/>
      <c r="AJ4" s="349">
        <f>'4CO와이드(실측)'!AB7</f>
        <v>0</v>
      </c>
      <c r="AK4" s="349"/>
      <c r="AL4" s="228">
        <f ca="1">TODAY()</f>
        <v>45267</v>
      </c>
      <c r="AM4" s="168"/>
      <c r="AN4" s="168"/>
      <c r="AO4" s="9"/>
      <c r="AP4" s="227" t="s">
        <v>117</v>
      </c>
      <c r="AQ4" s="227"/>
      <c r="AR4" s="179" t="s">
        <v>215</v>
      </c>
      <c r="AS4" s="179"/>
      <c r="AT4" s="84"/>
      <c r="AU4" s="235" t="s">
        <v>235</v>
      </c>
      <c r="AV4" s="235"/>
      <c r="AW4" s="236"/>
      <c r="BN4" s="184"/>
    </row>
    <row r="5" spans="1:66" ht="25.9" customHeight="1" x14ac:dyDescent="0.3">
      <c r="A5" s="173" t="s">
        <v>0</v>
      </c>
      <c r="B5" s="173" t="s">
        <v>1</v>
      </c>
      <c r="C5" s="173" t="s">
        <v>2</v>
      </c>
      <c r="D5" s="173" t="s">
        <v>2</v>
      </c>
      <c r="E5" s="173" t="s">
        <v>259</v>
      </c>
      <c r="F5" s="174" t="s">
        <v>261</v>
      </c>
      <c r="G5" s="173" t="s">
        <v>260</v>
      </c>
      <c r="H5" s="173" t="s">
        <v>18</v>
      </c>
      <c r="I5" s="212" t="s">
        <v>41</v>
      </c>
      <c r="J5" s="276" t="s">
        <v>42</v>
      </c>
      <c r="K5" s="276" t="s">
        <v>262</v>
      </c>
      <c r="L5" s="209" t="s">
        <v>105</v>
      </c>
      <c r="M5" s="209" t="s">
        <v>106</v>
      </c>
      <c r="N5" s="213" t="s">
        <v>107</v>
      </c>
      <c r="O5" s="213" t="s">
        <v>108</v>
      </c>
      <c r="P5" s="317" t="s">
        <v>296</v>
      </c>
      <c r="Q5" s="317" t="s">
        <v>297</v>
      </c>
      <c r="R5" s="215" t="s">
        <v>71</v>
      </c>
      <c r="S5" s="215" t="s">
        <v>72</v>
      </c>
      <c r="T5" s="173" t="s">
        <v>8</v>
      </c>
      <c r="U5" s="173" t="s">
        <v>9</v>
      </c>
      <c r="V5" s="173" t="s">
        <v>12</v>
      </c>
      <c r="W5" s="173" t="s">
        <v>13</v>
      </c>
      <c r="X5" s="173" t="s">
        <v>10</v>
      </c>
      <c r="Y5" s="173" t="s">
        <v>11</v>
      </c>
      <c r="Z5" s="211" t="s">
        <v>14</v>
      </c>
      <c r="AA5" s="211" t="s">
        <v>15</v>
      </c>
      <c r="AB5" s="212" t="s">
        <v>16</v>
      </c>
      <c r="AC5" s="212" t="s">
        <v>17</v>
      </c>
      <c r="AD5" s="173" t="s">
        <v>19</v>
      </c>
      <c r="AE5" s="173" t="s">
        <v>20</v>
      </c>
      <c r="AF5" s="174" t="s">
        <v>22</v>
      </c>
      <c r="AG5" s="174" t="s">
        <v>23</v>
      </c>
      <c r="AH5" s="201" t="s">
        <v>79</v>
      </c>
      <c r="AI5" s="202"/>
      <c r="AJ5" s="202"/>
      <c r="AK5" s="202"/>
      <c r="AL5" s="193" t="s">
        <v>91</v>
      </c>
      <c r="AM5" s="193" t="s">
        <v>92</v>
      </c>
      <c r="AN5" s="185" t="s">
        <v>99</v>
      </c>
      <c r="AO5" s="174" t="s">
        <v>61</v>
      </c>
      <c r="AP5" s="174" t="s">
        <v>34</v>
      </c>
      <c r="AQ5" s="174" t="s">
        <v>35</v>
      </c>
      <c r="AR5" s="177" t="s">
        <v>212</v>
      </c>
      <c r="AS5" s="178"/>
      <c r="AT5" s="314" t="s">
        <v>199</v>
      </c>
      <c r="AU5" s="314" t="s">
        <v>204</v>
      </c>
      <c r="AV5" s="314"/>
      <c r="AW5" s="314"/>
      <c r="AX5" s="183" t="s">
        <v>100</v>
      </c>
      <c r="AY5" s="183" t="s">
        <v>101</v>
      </c>
      <c r="AZ5" s="184" t="s">
        <v>80</v>
      </c>
      <c r="BA5" s="188" t="s">
        <v>84</v>
      </c>
      <c r="BB5" s="191" t="s">
        <v>102</v>
      </c>
      <c r="BC5" s="190" t="s">
        <v>94</v>
      </c>
      <c r="BD5" s="190" t="s">
        <v>95</v>
      </c>
      <c r="BE5" s="183" t="s">
        <v>93</v>
      </c>
      <c r="BH5" s="187" t="s">
        <v>28</v>
      </c>
      <c r="BI5" s="187"/>
      <c r="BJ5" s="187" t="s">
        <v>29</v>
      </c>
      <c r="BK5" s="187"/>
      <c r="BL5" s="6" t="s">
        <v>50</v>
      </c>
      <c r="BM5" s="240" t="s">
        <v>104</v>
      </c>
      <c r="BN5" s="239" t="s">
        <v>226</v>
      </c>
    </row>
    <row r="6" spans="1:66" ht="48" customHeight="1" x14ac:dyDescent="0.3">
      <c r="A6" s="173"/>
      <c r="B6" s="173"/>
      <c r="C6" s="173"/>
      <c r="D6" s="173"/>
      <c r="E6" s="173"/>
      <c r="F6" s="173"/>
      <c r="G6" s="173"/>
      <c r="H6" s="173"/>
      <c r="I6" s="212"/>
      <c r="J6" s="276"/>
      <c r="K6" s="276"/>
      <c r="L6" s="210"/>
      <c r="M6" s="210"/>
      <c r="N6" s="214"/>
      <c r="O6" s="214"/>
      <c r="P6" s="318"/>
      <c r="Q6" s="318"/>
      <c r="R6" s="216"/>
      <c r="S6" s="216"/>
      <c r="T6" s="173"/>
      <c r="U6" s="173"/>
      <c r="V6" s="173"/>
      <c r="W6" s="173"/>
      <c r="X6" s="173"/>
      <c r="Y6" s="173"/>
      <c r="Z6" s="211"/>
      <c r="AA6" s="211"/>
      <c r="AB6" s="212"/>
      <c r="AC6" s="212"/>
      <c r="AD6" s="173"/>
      <c r="AE6" s="173"/>
      <c r="AF6" s="174"/>
      <c r="AG6" s="174"/>
      <c r="AH6" s="8" t="s">
        <v>67</v>
      </c>
      <c r="AI6" s="8" t="s">
        <v>68</v>
      </c>
      <c r="AJ6" s="8" t="s">
        <v>69</v>
      </c>
      <c r="AK6" s="8" t="s">
        <v>70</v>
      </c>
      <c r="AL6" s="194"/>
      <c r="AM6" s="194"/>
      <c r="AN6" s="186"/>
      <c r="AO6" s="174"/>
      <c r="AP6" s="173"/>
      <c r="AQ6" s="173"/>
      <c r="AR6" s="74" t="s">
        <v>213</v>
      </c>
      <c r="AS6" s="74" t="s">
        <v>214</v>
      </c>
      <c r="AT6" s="315"/>
      <c r="AU6" s="86" t="s">
        <v>200</v>
      </c>
      <c r="AV6" s="86" t="s">
        <v>201</v>
      </c>
      <c r="AW6" s="86" t="s">
        <v>202</v>
      </c>
      <c r="AX6" s="184"/>
      <c r="AY6" s="184"/>
      <c r="AZ6" s="184"/>
      <c r="BA6" s="189"/>
      <c r="BB6" s="192"/>
      <c r="BC6" s="190"/>
      <c r="BD6" s="190"/>
      <c r="BE6" s="184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40"/>
      <c r="BN6" s="239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</v>
      </c>
      <c r="F7" s="31">
        <f>'4CO와이드(실측)'!F7</f>
        <v>0</v>
      </c>
      <c r="G7" s="31">
        <f>'4CO와이드(실측)'!G7-CO4와이드OP/2</f>
        <v>-1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71" t="str">
        <f>정보!H3</f>
        <v>(4CO멍텅구리) 실측서 ( 경기도 부천 은하마을 주공1단지아파트-3차 ) _김운호소장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"/>
      <c r="H3" s="2"/>
      <c r="I3" s="2"/>
      <c r="J3" s="254"/>
      <c r="K3" s="254"/>
      <c r="L3" s="251"/>
      <c r="M3" s="251"/>
      <c r="N3" s="252"/>
      <c r="O3" s="252"/>
      <c r="P3" s="253"/>
      <c r="Q3" s="253"/>
      <c r="R3" s="253"/>
      <c r="S3" s="248" t="s">
        <v>97</v>
      </c>
      <c r="T3" s="248"/>
      <c r="U3" s="249"/>
      <c r="V3" s="249"/>
      <c r="W3" s="250"/>
      <c r="X3" s="250"/>
    </row>
    <row r="4" spans="1:42" ht="33" customHeight="1" x14ac:dyDescent="0.3">
      <c r="A4" s="169" t="str">
        <f>정보!B16</f>
        <v>제작치수 반영 : JB/JD +(3 ),  늘어난치수K -(3),  C + (0),  U +(0), OP1/OP3 - (2), R - (0),  기둥차감 - (0),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9"/>
      <c r="AD4" s="9"/>
      <c r="AE4" s="179" t="s">
        <v>215</v>
      </c>
      <c r="AF4" s="179"/>
      <c r="AG4" s="81" t="s">
        <v>234</v>
      </c>
    </row>
    <row r="5" spans="1:42" ht="25.9" customHeight="1" x14ac:dyDescent="0.3">
      <c r="A5" s="173" t="s">
        <v>0</v>
      </c>
      <c r="B5" s="173" t="s">
        <v>1</v>
      </c>
      <c r="C5" s="173" t="s">
        <v>263</v>
      </c>
      <c r="D5" s="173" t="s">
        <v>264</v>
      </c>
      <c r="E5" s="173" t="s">
        <v>255</v>
      </c>
      <c r="F5" s="173" t="s">
        <v>18</v>
      </c>
      <c r="G5" s="173" t="s">
        <v>4</v>
      </c>
      <c r="H5" s="173" t="s">
        <v>265</v>
      </c>
      <c r="I5" s="173" t="s">
        <v>266</v>
      </c>
      <c r="J5" s="173" t="s">
        <v>6</v>
      </c>
      <c r="K5" s="173" t="s">
        <v>7</v>
      </c>
      <c r="L5" s="173" t="s">
        <v>8</v>
      </c>
      <c r="M5" s="173" t="s">
        <v>9</v>
      </c>
      <c r="N5" s="173" t="s">
        <v>10</v>
      </c>
      <c r="O5" s="173" t="s">
        <v>11</v>
      </c>
      <c r="P5" s="173" t="s">
        <v>14</v>
      </c>
      <c r="Q5" s="173" t="s">
        <v>15</v>
      </c>
      <c r="R5" s="173" t="s">
        <v>16</v>
      </c>
      <c r="S5" s="173" t="s">
        <v>17</v>
      </c>
      <c r="T5" s="173" t="s">
        <v>19</v>
      </c>
      <c r="U5" s="173" t="s">
        <v>20</v>
      </c>
      <c r="V5" s="243" t="s">
        <v>22</v>
      </c>
      <c r="W5" s="243" t="s">
        <v>23</v>
      </c>
      <c r="X5" s="245" t="s">
        <v>21</v>
      </c>
      <c r="Y5" s="246"/>
      <c r="Z5" s="246"/>
      <c r="AA5" s="247"/>
      <c r="AB5" s="174" t="s">
        <v>203</v>
      </c>
      <c r="AC5" s="174"/>
      <c r="AD5" s="174"/>
      <c r="AE5" s="177" t="s">
        <v>212</v>
      </c>
      <c r="AF5" s="178"/>
      <c r="AG5" s="80" t="s">
        <v>231</v>
      </c>
    </row>
    <row r="6" spans="1:42" ht="47.25" customHeight="1" x14ac:dyDescent="0.3">
      <c r="A6" s="173"/>
      <c r="B6" s="173"/>
      <c r="C6" s="173"/>
      <c r="D6" s="173"/>
      <c r="E6" s="173"/>
      <c r="F6" s="173"/>
      <c r="G6" s="173"/>
      <c r="H6" s="173"/>
      <c r="I6" s="173"/>
      <c r="J6" s="173"/>
      <c r="K6" s="173"/>
      <c r="L6" s="173"/>
      <c r="M6" s="173"/>
      <c r="N6" s="173"/>
      <c r="O6" s="173"/>
      <c r="P6" s="173"/>
      <c r="Q6" s="173"/>
      <c r="R6" s="173"/>
      <c r="S6" s="173"/>
      <c r="T6" s="173"/>
      <c r="U6" s="173"/>
      <c r="V6" s="244"/>
      <c r="W6" s="244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71" t="str">
        <f>정보!I3</f>
        <v>(4CO멍텅구리) 제작변환 ( 경기도 부천 은하마을 주공1단지아파트-3차 ) _김운호소장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"/>
      <c r="AO1" s="1"/>
      <c r="AP1" s="255" t="s">
        <v>75</v>
      </c>
      <c r="AQ1" s="255"/>
      <c r="AR1" s="255"/>
      <c r="AW1" s="24"/>
    </row>
    <row r="2" spans="1:58" ht="28.5" customHeight="1" x14ac:dyDescent="0.3">
      <c r="A2" s="97" t="s">
        <v>85</v>
      </c>
      <c r="B2" s="140">
        <v>2</v>
      </c>
      <c r="C2" s="22"/>
      <c r="D2" s="22"/>
      <c r="E2" s="96" t="s">
        <v>86</v>
      </c>
      <c r="F2" s="116">
        <v>0</v>
      </c>
      <c r="G2" s="1"/>
      <c r="H2" s="1"/>
      <c r="I2" s="1"/>
      <c r="J2" s="219" t="s">
        <v>307</v>
      </c>
      <c r="K2" s="219"/>
      <c r="L2" s="219"/>
      <c r="M2" s="107">
        <v>0</v>
      </c>
      <c r="N2" s="99"/>
      <c r="O2" s="99"/>
      <c r="P2" s="99"/>
      <c r="Q2" s="271" t="s">
        <v>113</v>
      </c>
      <c r="R2" s="271"/>
      <c r="S2" s="271"/>
      <c r="T2" s="271"/>
      <c r="U2" s="266">
        <v>1</v>
      </c>
      <c r="V2" s="266"/>
      <c r="W2" s="263" t="s">
        <v>103</v>
      </c>
      <c r="X2" s="264"/>
      <c r="Y2" s="95">
        <v>0</v>
      </c>
      <c r="Z2" s="263" t="s">
        <v>88</v>
      </c>
      <c r="AA2" s="264"/>
      <c r="AB2" s="94">
        <v>0</v>
      </c>
      <c r="AC2" s="69"/>
      <c r="AD2" s="257" t="s">
        <v>82</v>
      </c>
      <c r="AE2" s="258"/>
      <c r="AF2" s="350">
        <v>0</v>
      </c>
      <c r="AG2" s="350"/>
      <c r="AH2" s="98" t="s">
        <v>114</v>
      </c>
      <c r="AI2" s="351">
        <v>3</v>
      </c>
      <c r="AJ2" s="351"/>
      <c r="AK2" s="1"/>
      <c r="AL2" s="1"/>
      <c r="AM2" s="1"/>
      <c r="AN2" s="1"/>
      <c r="AO2" s="1"/>
      <c r="AP2" s="255"/>
      <c r="AQ2" s="255"/>
      <c r="AR2" s="255"/>
      <c r="AW2" s="24"/>
    </row>
    <row r="3" spans="1:58" ht="33" customHeight="1" x14ac:dyDescent="0.3">
      <c r="A3" s="33" t="str">
        <f>'4CO멍텅(실측)'!A3</f>
        <v>현장명 : 경기도 부천 은하마을 주공1단지아파트-3차,   (재질) : HL 1.2T</v>
      </c>
      <c r="B3" s="2"/>
      <c r="C3" s="2"/>
      <c r="D3" s="2"/>
      <c r="E3" s="2"/>
      <c r="F3" s="2"/>
      <c r="G3" s="2"/>
      <c r="H3" s="2"/>
      <c r="I3" s="2"/>
      <c r="J3" s="2"/>
      <c r="K3" s="257" t="s">
        <v>76</v>
      </c>
      <c r="L3" s="257"/>
      <c r="M3" s="106">
        <v>3</v>
      </c>
      <c r="N3" s="100"/>
      <c r="O3" s="100"/>
      <c r="P3" s="100"/>
      <c r="Q3" s="257" t="s">
        <v>77</v>
      </c>
      <c r="R3" s="257"/>
      <c r="S3" s="270">
        <v>0</v>
      </c>
      <c r="T3" s="270"/>
      <c r="U3" s="271" t="s">
        <v>227</v>
      </c>
      <c r="V3" s="271"/>
      <c r="W3" s="271"/>
      <c r="X3" s="272">
        <f>BE7</f>
        <v>1</v>
      </c>
      <c r="Y3" s="272"/>
      <c r="Z3" s="267" t="s">
        <v>78</v>
      </c>
      <c r="AA3" s="267"/>
      <c r="AB3" s="93">
        <v>1</v>
      </c>
      <c r="AC3" s="101"/>
      <c r="AF3" s="215" t="s">
        <v>73</v>
      </c>
      <c r="AG3" s="215"/>
      <c r="AH3" s="114">
        <v>4</v>
      </c>
      <c r="AI3" s="4" t="s">
        <v>74</v>
      </c>
      <c r="AJ3" s="115">
        <v>4</v>
      </c>
      <c r="AK3" s="286" t="s">
        <v>330</v>
      </c>
      <c r="AL3" s="218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9" t="str">
        <f>'4CO멍텅(실측)'!A4:AB4</f>
        <v>제작치수 반영 : JB/JD +(3 ),  늘어난치수K -(3),  C + (0),  U +(0), OP1/OP3 - (2), R - (0),  기둥차감 - (0),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349" t="s">
        <v>313</v>
      </c>
      <c r="AE4" s="349"/>
      <c r="AF4" s="349">
        <f>'4CO멍텅(실측)'!X7</f>
        <v>0</v>
      </c>
      <c r="AG4" s="349"/>
      <c r="AH4" s="9"/>
      <c r="AI4" s="228">
        <f ca="1">TODAY()</f>
        <v>45267</v>
      </c>
      <c r="AJ4" s="168"/>
      <c r="AK4" s="284" t="s">
        <v>235</v>
      </c>
      <c r="AL4" s="284"/>
      <c r="AM4" s="285"/>
      <c r="AN4" s="179" t="s">
        <v>215</v>
      </c>
      <c r="AO4" s="179"/>
      <c r="AP4" s="25"/>
      <c r="AQ4" s="25"/>
      <c r="AR4" s="24"/>
      <c r="AW4" s="24"/>
      <c r="BE4" s="183" t="s">
        <v>253</v>
      </c>
    </row>
    <row r="5" spans="1:58" ht="25.9" customHeight="1" x14ac:dyDescent="0.3">
      <c r="A5" s="173" t="s">
        <v>0</v>
      </c>
      <c r="B5" s="173" t="s">
        <v>1</v>
      </c>
      <c r="C5" s="173" t="s">
        <v>267</v>
      </c>
      <c r="D5" s="174" t="s">
        <v>261</v>
      </c>
      <c r="E5" s="173" t="s">
        <v>268</v>
      </c>
      <c r="F5" s="173" t="s">
        <v>18</v>
      </c>
      <c r="G5" s="174" t="s">
        <v>58</v>
      </c>
      <c r="H5" s="174" t="s">
        <v>269</v>
      </c>
      <c r="I5" s="174" t="s">
        <v>270</v>
      </c>
      <c r="J5" s="275" t="s">
        <v>60</v>
      </c>
      <c r="K5" s="275" t="s">
        <v>64</v>
      </c>
      <c r="L5" s="332" t="s">
        <v>65</v>
      </c>
      <c r="M5" s="332" t="s">
        <v>66</v>
      </c>
      <c r="N5" s="317" t="s">
        <v>294</v>
      </c>
      <c r="O5" s="317" t="s">
        <v>295</v>
      </c>
      <c r="P5" s="243" t="s">
        <v>62</v>
      </c>
      <c r="Q5" s="243" t="s">
        <v>63</v>
      </c>
      <c r="R5" s="173" t="s">
        <v>8</v>
      </c>
      <c r="S5" s="173" t="s">
        <v>9</v>
      </c>
      <c r="T5" s="173" t="s">
        <v>10</v>
      </c>
      <c r="U5" s="173" t="s">
        <v>11</v>
      </c>
      <c r="V5" s="173" t="s">
        <v>14</v>
      </c>
      <c r="W5" s="173" t="s">
        <v>15</v>
      </c>
      <c r="X5" s="173" t="s">
        <v>16</v>
      </c>
      <c r="Y5" s="173" t="s">
        <v>17</v>
      </c>
      <c r="Z5" s="173" t="s">
        <v>19</v>
      </c>
      <c r="AA5" s="173" t="s">
        <v>20</v>
      </c>
      <c r="AB5" s="243" t="s">
        <v>22</v>
      </c>
      <c r="AC5" s="243" t="s">
        <v>23</v>
      </c>
      <c r="AD5" s="245" t="s">
        <v>21</v>
      </c>
      <c r="AE5" s="246"/>
      <c r="AF5" s="246"/>
      <c r="AG5" s="247"/>
      <c r="AH5" s="174" t="s">
        <v>25</v>
      </c>
      <c r="AI5" s="279" t="s">
        <v>34</v>
      </c>
      <c r="AJ5" s="174" t="s">
        <v>35</v>
      </c>
      <c r="AK5" s="314" t="s">
        <v>203</v>
      </c>
      <c r="AL5" s="314"/>
      <c r="AM5" s="314"/>
      <c r="AN5" s="177" t="s">
        <v>212</v>
      </c>
      <c r="AO5" s="178"/>
      <c r="AP5" s="183" t="s">
        <v>305</v>
      </c>
      <c r="AQ5" s="183" t="s">
        <v>306</v>
      </c>
      <c r="AR5" s="278" t="s">
        <v>51</v>
      </c>
      <c r="AY5" s="184" t="s">
        <v>28</v>
      </c>
      <c r="AZ5" s="184"/>
      <c r="BA5" s="184" t="s">
        <v>29</v>
      </c>
      <c r="BB5" s="184"/>
      <c r="BE5" s="184"/>
    </row>
    <row r="6" spans="1:58" ht="48" customHeight="1" x14ac:dyDescent="0.3">
      <c r="A6" s="173"/>
      <c r="B6" s="173"/>
      <c r="C6" s="173"/>
      <c r="D6" s="173"/>
      <c r="E6" s="173"/>
      <c r="F6" s="173"/>
      <c r="G6" s="173"/>
      <c r="H6" s="173"/>
      <c r="I6" s="173"/>
      <c r="J6" s="276"/>
      <c r="K6" s="276"/>
      <c r="L6" s="333"/>
      <c r="M6" s="333"/>
      <c r="N6" s="318"/>
      <c r="O6" s="318"/>
      <c r="P6" s="244"/>
      <c r="Q6" s="244"/>
      <c r="R6" s="173"/>
      <c r="S6" s="173"/>
      <c r="T6" s="173"/>
      <c r="U6" s="173"/>
      <c r="V6" s="173"/>
      <c r="W6" s="173"/>
      <c r="X6" s="173"/>
      <c r="Y6" s="173"/>
      <c r="Z6" s="173"/>
      <c r="AA6" s="173"/>
      <c r="AB6" s="244"/>
      <c r="AC6" s="244"/>
      <c r="AD6" s="8" t="s">
        <v>56</v>
      </c>
      <c r="AE6" s="8" t="s">
        <v>57</v>
      </c>
      <c r="AF6" s="8" t="s">
        <v>54</v>
      </c>
      <c r="AG6" s="8" t="s">
        <v>55</v>
      </c>
      <c r="AH6" s="173"/>
      <c r="AI6" s="280"/>
      <c r="AJ6" s="173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84"/>
      <c r="AQ6" s="184"/>
      <c r="AR6" s="278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</v>
      </c>
      <c r="D7" s="4">
        <f>'4CO멍텅(실측)'!D7</f>
        <v>0</v>
      </c>
      <c r="E7" s="4">
        <f>'4CO멍텅(실측)'!E7-CO4멍텅OP/2</f>
        <v>-1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71" t="str">
        <f>정보!K2</f>
        <v>(2UP) 실측서 ( 경기도 부천 은하마을 주공1단지아파트-3차 ) _김운호소장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54"/>
      <c r="H3" s="254"/>
      <c r="I3" s="254"/>
      <c r="J3" s="23"/>
      <c r="K3" s="251"/>
      <c r="L3" s="251"/>
      <c r="M3" s="252"/>
      <c r="N3" s="252"/>
      <c r="O3" s="253"/>
      <c r="P3" s="253"/>
      <c r="Q3" s="253"/>
      <c r="R3" s="120"/>
      <c r="S3" s="248" t="s">
        <v>97</v>
      </c>
      <c r="T3" s="248"/>
      <c r="U3" s="248"/>
      <c r="V3" s="249"/>
      <c r="W3" s="249"/>
      <c r="X3" s="250"/>
      <c r="Y3" s="250"/>
    </row>
    <row r="4" spans="1:40" ht="33" customHeight="1" x14ac:dyDescent="0.3">
      <c r="A4" s="169" t="str">
        <f>정보!B17</f>
        <v>제작치수 반영 : JB/JD +(3 ),  늘어난치수K -(0),  C + (0),   U + (0), OP - (2), R - (0),  기둥차감 - (0),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79" t="s">
        <v>215</v>
      </c>
      <c r="AD4" s="179"/>
      <c r="AE4" s="81" t="s">
        <v>234</v>
      </c>
    </row>
    <row r="5" spans="1:40" ht="25.9" customHeight="1" x14ac:dyDescent="0.3">
      <c r="A5" s="173" t="s">
        <v>0</v>
      </c>
      <c r="B5" s="173" t="s">
        <v>1</v>
      </c>
      <c r="C5" s="173" t="s">
        <v>3</v>
      </c>
      <c r="D5" s="173" t="s">
        <v>18</v>
      </c>
      <c r="E5" s="173" t="s">
        <v>4</v>
      </c>
      <c r="F5" s="173" t="s">
        <v>5</v>
      </c>
      <c r="G5" s="275" t="s">
        <v>274</v>
      </c>
      <c r="H5" s="275" t="s">
        <v>275</v>
      </c>
      <c r="I5" s="332" t="s">
        <v>276</v>
      </c>
      <c r="J5" s="332" t="s">
        <v>277</v>
      </c>
      <c r="K5" s="173" t="s">
        <v>8</v>
      </c>
      <c r="L5" s="173" t="s">
        <v>9</v>
      </c>
      <c r="M5" s="173" t="s">
        <v>10</v>
      </c>
      <c r="N5" s="173" t="s">
        <v>11</v>
      </c>
      <c r="O5" s="354" t="s">
        <v>14</v>
      </c>
      <c r="P5" s="352" t="s">
        <v>282</v>
      </c>
      <c r="Q5" s="352" t="s">
        <v>283</v>
      </c>
      <c r="R5" s="332" t="s">
        <v>129</v>
      </c>
      <c r="S5" s="332" t="s">
        <v>280</v>
      </c>
      <c r="T5" s="332" t="s">
        <v>281</v>
      </c>
      <c r="U5" s="173" t="s">
        <v>19</v>
      </c>
      <c r="V5" s="173" t="s">
        <v>20</v>
      </c>
      <c r="W5" s="243" t="s">
        <v>22</v>
      </c>
      <c r="X5" s="243" t="s">
        <v>23</v>
      </c>
      <c r="Y5" s="245" t="s">
        <v>21</v>
      </c>
      <c r="Z5" s="246"/>
      <c r="AA5" s="246"/>
      <c r="AB5" s="247"/>
      <c r="AC5" s="177" t="s">
        <v>212</v>
      </c>
      <c r="AD5" s="178"/>
      <c r="AE5" s="80" t="s">
        <v>231</v>
      </c>
    </row>
    <row r="6" spans="1:40" ht="47.25" customHeight="1" x14ac:dyDescent="0.3">
      <c r="A6" s="173"/>
      <c r="B6" s="173"/>
      <c r="C6" s="173"/>
      <c r="D6" s="173"/>
      <c r="E6" s="173"/>
      <c r="F6" s="173"/>
      <c r="G6" s="276"/>
      <c r="H6" s="276"/>
      <c r="I6" s="333"/>
      <c r="J6" s="333"/>
      <c r="K6" s="173"/>
      <c r="L6" s="173"/>
      <c r="M6" s="173"/>
      <c r="N6" s="173"/>
      <c r="O6" s="353"/>
      <c r="P6" s="353"/>
      <c r="Q6" s="353"/>
      <c r="R6" s="333"/>
      <c r="S6" s="333"/>
      <c r="T6" s="333"/>
      <c r="U6" s="173"/>
      <c r="V6" s="173"/>
      <c r="W6" s="244"/>
      <c r="X6" s="244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71" t="str">
        <f>정보!L2</f>
        <v>(2UP) 제작변환 ( 경기도 부천 은하마을 주공1단지아파트-3차 ) _김운호소장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"/>
      <c r="AK1" s="1"/>
      <c r="AL1" s="255" t="s">
        <v>75</v>
      </c>
      <c r="AM1" s="255"/>
      <c r="AN1" s="255"/>
      <c r="AS1" s="24"/>
    </row>
    <row r="2" spans="1:54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219" t="s">
        <v>308</v>
      </c>
      <c r="H2" s="219"/>
      <c r="I2" s="219"/>
      <c r="J2" s="268">
        <v>0</v>
      </c>
      <c r="K2" s="268"/>
      <c r="L2" s="268"/>
      <c r="M2" s="268"/>
      <c r="N2" s="355" t="s">
        <v>113</v>
      </c>
      <c r="O2" s="355"/>
      <c r="P2" s="355"/>
      <c r="Q2" s="355"/>
      <c r="R2" s="266">
        <v>1</v>
      </c>
      <c r="S2" s="266"/>
      <c r="T2" s="356" t="s">
        <v>103</v>
      </c>
      <c r="U2" s="357"/>
      <c r="V2" s="358"/>
      <c r="W2" s="108">
        <v>0</v>
      </c>
      <c r="X2" s="121"/>
      <c r="Y2" s="263" t="s">
        <v>88</v>
      </c>
      <c r="Z2" s="264"/>
      <c r="AA2" s="261">
        <v>0</v>
      </c>
      <c r="AB2" s="261"/>
      <c r="AC2" s="257" t="s">
        <v>82</v>
      </c>
      <c r="AD2" s="258"/>
      <c r="AE2" s="259">
        <v>0</v>
      </c>
      <c r="AF2" s="259"/>
      <c r="AG2" s="98" t="s">
        <v>114</v>
      </c>
      <c r="AH2" s="256">
        <v>0</v>
      </c>
      <c r="AI2" s="256"/>
      <c r="AJ2" s="1"/>
      <c r="AK2" s="1"/>
      <c r="AL2" s="255"/>
      <c r="AM2" s="255"/>
      <c r="AN2" s="255"/>
      <c r="AS2" s="24"/>
    </row>
    <row r="3" spans="1:54" ht="33" customHeight="1" x14ac:dyDescent="0.3">
      <c r="A3" s="33" t="str">
        <f>'2UP(실측)'!A3</f>
        <v>현장명 : 경기도 부천 은하마을 주공1단지아파트-3차,   (재질) : HL 1.2T</v>
      </c>
      <c r="B3" s="2"/>
      <c r="C3" s="2"/>
      <c r="D3" s="2"/>
      <c r="E3" s="2"/>
      <c r="F3" s="2"/>
      <c r="G3" s="257" t="s">
        <v>76</v>
      </c>
      <c r="H3" s="257"/>
      <c r="I3" s="257"/>
      <c r="J3" s="269">
        <v>3</v>
      </c>
      <c r="K3" s="269"/>
      <c r="L3" s="269"/>
      <c r="M3" s="269"/>
      <c r="N3" s="257" t="s">
        <v>77</v>
      </c>
      <c r="O3" s="257"/>
      <c r="P3" s="270">
        <v>0</v>
      </c>
      <c r="Q3" s="270"/>
      <c r="R3" s="224" t="s">
        <v>227</v>
      </c>
      <c r="S3" s="224"/>
      <c r="T3" s="224"/>
      <c r="U3" s="272">
        <f>BA7</f>
        <v>1</v>
      </c>
      <c r="V3" s="272"/>
      <c r="W3" s="272"/>
      <c r="X3" s="122"/>
      <c r="Y3" s="267" t="s">
        <v>78</v>
      </c>
      <c r="Z3" s="267"/>
      <c r="AA3" s="260">
        <v>1</v>
      </c>
      <c r="AB3" s="260"/>
      <c r="AE3" s="173" t="s">
        <v>73</v>
      </c>
      <c r="AF3" s="173"/>
      <c r="AG3" s="106">
        <v>3</v>
      </c>
      <c r="AH3" s="4" t="s">
        <v>74</v>
      </c>
      <c r="AI3" s="138">
        <v>4</v>
      </c>
      <c r="AJ3" s="286" t="s">
        <v>331</v>
      </c>
      <c r="AK3" s="218"/>
      <c r="AL3" s="160">
        <f>AO7</f>
        <v>18.43494882292201</v>
      </c>
      <c r="AM3" s="25"/>
      <c r="AN3" s="24"/>
      <c r="AS3" s="24"/>
    </row>
    <row r="4" spans="1:54" ht="33" customHeight="1" x14ac:dyDescent="0.3">
      <c r="A4" s="359" t="str">
        <f>'2UP(실측)'!A4:AB4</f>
        <v>제작치수 반영 : JB/JD +(3 ),  늘어난치수K -(0),  C + (0),   U + (0), OP - (2), R - (0),  기둥차감 - (0), A + (1)</v>
      </c>
      <c r="B4" s="359"/>
      <c r="C4" s="359"/>
      <c r="D4" s="359"/>
      <c r="E4" s="359"/>
      <c r="F4" s="359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75"/>
      <c r="Y4" s="360" t="s">
        <v>332</v>
      </c>
      <c r="Z4" s="361"/>
      <c r="AA4" s="362">
        <f>AC7</f>
        <v>0</v>
      </c>
      <c r="AB4" s="363"/>
      <c r="AC4" s="75"/>
      <c r="AD4" s="75"/>
      <c r="AE4" s="75"/>
      <c r="AF4" s="75"/>
      <c r="AG4" s="9"/>
      <c r="AH4" s="228">
        <f ca="1">TODAY()</f>
        <v>45267</v>
      </c>
      <c r="AI4" s="168"/>
      <c r="AJ4" s="179" t="s">
        <v>215</v>
      </c>
      <c r="AK4" s="179"/>
      <c r="AL4" s="25"/>
      <c r="AM4" s="25"/>
      <c r="AN4" s="24"/>
      <c r="AS4" s="24"/>
      <c r="BA4" s="183" t="s">
        <v>253</v>
      </c>
    </row>
    <row r="5" spans="1:54" ht="25.9" customHeight="1" x14ac:dyDescent="0.3">
      <c r="A5" s="173" t="s">
        <v>0</v>
      </c>
      <c r="B5" s="173" t="s">
        <v>1</v>
      </c>
      <c r="C5" s="173" t="s">
        <v>3</v>
      </c>
      <c r="D5" s="173" t="s">
        <v>18</v>
      </c>
      <c r="E5" s="174" t="s">
        <v>58</v>
      </c>
      <c r="F5" s="174" t="s">
        <v>59</v>
      </c>
      <c r="G5" s="273" t="s">
        <v>60</v>
      </c>
      <c r="H5" s="273" t="s">
        <v>64</v>
      </c>
      <c r="I5" s="275" t="s">
        <v>65</v>
      </c>
      <c r="J5" s="275" t="s">
        <v>66</v>
      </c>
      <c r="K5" s="364" t="s">
        <v>278</v>
      </c>
      <c r="L5" s="364" t="s">
        <v>279</v>
      </c>
      <c r="M5" s="243" t="s">
        <v>62</v>
      </c>
      <c r="N5" s="243" t="s">
        <v>63</v>
      </c>
      <c r="O5" s="173" t="s">
        <v>8</v>
      </c>
      <c r="P5" s="173" t="s">
        <v>9</v>
      </c>
      <c r="Q5" s="173" t="s">
        <v>10</v>
      </c>
      <c r="R5" s="173" t="s">
        <v>11</v>
      </c>
      <c r="S5" s="354" t="s">
        <v>14</v>
      </c>
      <c r="T5" s="352" t="s">
        <v>282</v>
      </c>
      <c r="U5" s="352" t="s">
        <v>283</v>
      </c>
      <c r="V5" s="332" t="s">
        <v>129</v>
      </c>
      <c r="W5" s="332" t="s">
        <v>280</v>
      </c>
      <c r="X5" s="332" t="s">
        <v>281</v>
      </c>
      <c r="Y5" s="173" t="s">
        <v>19</v>
      </c>
      <c r="Z5" s="277" t="s">
        <v>20</v>
      </c>
      <c r="AA5" s="243" t="s">
        <v>22</v>
      </c>
      <c r="AB5" s="243" t="s">
        <v>23</v>
      </c>
      <c r="AC5" s="245" t="s">
        <v>21</v>
      </c>
      <c r="AD5" s="246"/>
      <c r="AE5" s="246"/>
      <c r="AF5" s="247"/>
      <c r="AG5" s="174" t="s">
        <v>25</v>
      </c>
      <c r="AH5" s="279" t="s">
        <v>34</v>
      </c>
      <c r="AI5" s="174" t="s">
        <v>35</v>
      </c>
      <c r="AJ5" s="177" t="s">
        <v>212</v>
      </c>
      <c r="AK5" s="178"/>
      <c r="AL5" s="183" t="s">
        <v>305</v>
      </c>
      <c r="AM5" s="183" t="s">
        <v>306</v>
      </c>
      <c r="AN5" s="278" t="s">
        <v>51</v>
      </c>
      <c r="AU5" s="184" t="s">
        <v>28</v>
      </c>
      <c r="AV5" s="184"/>
      <c r="AW5" s="184" t="s">
        <v>29</v>
      </c>
      <c r="AX5" s="184"/>
      <c r="BA5" s="184"/>
    </row>
    <row r="6" spans="1:54" ht="48" customHeight="1" x14ac:dyDescent="0.3">
      <c r="A6" s="173"/>
      <c r="B6" s="173"/>
      <c r="C6" s="173"/>
      <c r="D6" s="173"/>
      <c r="E6" s="173"/>
      <c r="F6" s="173"/>
      <c r="G6" s="274"/>
      <c r="H6" s="274"/>
      <c r="I6" s="276"/>
      <c r="J6" s="276"/>
      <c r="K6" s="365"/>
      <c r="L6" s="365"/>
      <c r="M6" s="244"/>
      <c r="N6" s="244"/>
      <c r="O6" s="173"/>
      <c r="P6" s="173"/>
      <c r="Q6" s="173"/>
      <c r="R6" s="173"/>
      <c r="S6" s="353"/>
      <c r="T6" s="353"/>
      <c r="U6" s="353"/>
      <c r="V6" s="333"/>
      <c r="W6" s="333"/>
      <c r="X6" s="333"/>
      <c r="Y6" s="173"/>
      <c r="Z6" s="277"/>
      <c r="AA6" s="244"/>
      <c r="AB6" s="244"/>
      <c r="AC6" s="8" t="s">
        <v>56</v>
      </c>
      <c r="AD6" s="8" t="s">
        <v>57</v>
      </c>
      <c r="AE6" s="8" t="s">
        <v>54</v>
      </c>
      <c r="AF6" s="8" t="s">
        <v>55</v>
      </c>
      <c r="AG6" s="173"/>
      <c r="AH6" s="280"/>
      <c r="AI6" s="173"/>
      <c r="AJ6" s="74" t="s">
        <v>213</v>
      </c>
      <c r="AK6" s="74" t="s">
        <v>214</v>
      </c>
      <c r="AL6" s="184"/>
      <c r="AM6" s="184"/>
      <c r="AN6" s="278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-2</v>
      </c>
      <c r="D7" s="4">
        <f>'2UP(실측)'!D7-UP2멍텅R</f>
        <v>0</v>
      </c>
      <c r="E7" s="4">
        <f>'2UP(실측)'!E7+MAX(AL7,AM7)+IF(BA7=1,AC7,0)+UP2멍텅JBJD늘림치수</f>
        <v>3</v>
      </c>
      <c r="F7" s="4">
        <f>'2UP(실측)'!F7+MAX(AL7,AM7)+IF(BA7=1,AE7,0)+UP2멍텅JBJD늘림치수</f>
        <v>3</v>
      </c>
      <c r="G7" s="4">
        <f>'2UP(실측)'!G7+AL7+IF(BA7=1,AC7,0)+UP2멍텅JB강제키움+UP2멍텅JBJD늘림치수</f>
        <v>3</v>
      </c>
      <c r="H7" s="4">
        <f>'2UP(실측)'!H7+AL7+IF(BA7=1,AD7,0)+UP2멍텅JB강제키움+UP2멍텅JBJD늘림치수-IF(UP2멍텅JB하부늘치=1,'2UP(실측)'!Y7-'2UP(실측)'!Z7,0)</f>
        <v>3</v>
      </c>
      <c r="I7" s="4">
        <f>'2UP(실측)'!I7+AM7+IF(BA7=1,AE7,0)+UP2멍텅JB강제키움+UP2멍텅JBJD늘림치수</f>
        <v>3</v>
      </c>
      <c r="J7" s="4">
        <f>'2UP(실측)'!J7+AM7+IF(BA7=1,AF7,0)+UP2멍텅JB강제키움+UP2멍텅JBJD늘림치수-IF(UP2멍텅JB하부늘치=1,'2UP(실측)'!AA7-'2UP(실측)'!AB7,0)</f>
        <v>3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0*0.6</v>
      </c>
      <c r="AH7" s="12" t="str">
        <f t="shared" ref="AH7" si="2">AV7&amp;"*"&amp;AU7</f>
        <v>0*0.4</v>
      </c>
      <c r="AI7" s="10" t="str">
        <f t="shared" ref="AI7" si="3">AX7&amp;"*"&amp;AW7</f>
        <v>0*0.4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>
        <f>DEGREES(ATAN((D7-C7)/2/(E7)))</f>
        <v>18.43494882292201</v>
      </c>
      <c r="AP7" s="36">
        <f>E7-COS(RADIANS(AO7))*G7</f>
        <v>0.15395010584845892</v>
      </c>
      <c r="AQ7" s="36">
        <f>F7-COS(RADIANS(AO7))*I7</f>
        <v>0.15395010584845892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0.60000000000000031</v>
      </c>
      <c r="AU7" s="3">
        <f>Q7+O7+MAX(G7,H7)+AB7-1.2*$AI$3+IF(BA7=0,MAX(AC7,AD7))+IF(Q7=0,1.2,0)</f>
        <v>0.40000000000000013</v>
      </c>
      <c r="AV7" s="3">
        <f>MAX(S7,T7+U7)</f>
        <v>0</v>
      </c>
      <c r="AW7" s="3">
        <f>R7+P7+MAX(I7,J7)+AB7-1.2*$AI$3+IF(BA7=0,MAX(AE7,AF7))+IF(R7=0,1.2,0)</f>
        <v>0.40000000000000013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6" t="str">
        <f>정보!K3</f>
        <v>(3UP) 실측서 ( 경기도 부천 은하마을 주공1단지아파트-3차 ) _김운호소장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경기도 부천 은하마을 주공1단지아파트-3차,   (재질) : HL 1.2T</v>
      </c>
      <c r="B3" s="2"/>
      <c r="C3" s="2"/>
      <c r="D3" s="2"/>
      <c r="E3" s="2"/>
      <c r="F3" s="2"/>
      <c r="G3" s="254"/>
      <c r="H3" s="254"/>
      <c r="I3" s="254"/>
      <c r="J3" s="254"/>
      <c r="K3" s="23"/>
      <c r="L3" s="23"/>
      <c r="M3" s="251"/>
      <c r="N3" s="251"/>
      <c r="O3" s="252"/>
      <c r="P3" s="252"/>
      <c r="Q3" s="253"/>
      <c r="R3" s="253"/>
      <c r="S3" s="253"/>
      <c r="T3" s="253"/>
      <c r="U3" s="120"/>
      <c r="V3" s="248" t="s">
        <v>97</v>
      </c>
      <c r="W3" s="248"/>
      <c r="X3" s="248"/>
      <c r="Y3" s="248"/>
      <c r="Z3" s="249"/>
      <c r="AA3" s="249"/>
      <c r="AB3" s="250"/>
      <c r="AC3" s="250"/>
    </row>
    <row r="4" spans="1:46" ht="33" customHeight="1" x14ac:dyDescent="0.3">
      <c r="A4" s="169" t="str">
        <f>정보!B18</f>
        <v>제작치수 반영 : JB/JD +(3 ),  늘어난치수K -(0),  C + (0),   U + (0), OP - (2), R - (0),  기둥차감 - (0), A + (1)</v>
      </c>
      <c r="B4" s="169"/>
      <c r="C4" s="169"/>
      <c r="D4" s="169"/>
      <c r="E4" s="169"/>
      <c r="F4" s="169"/>
      <c r="G4" s="169"/>
      <c r="H4" s="169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  <c r="AA4" s="169"/>
      <c r="AB4" s="169"/>
      <c r="AC4" s="169"/>
      <c r="AD4" s="169"/>
      <c r="AE4" s="169"/>
      <c r="AF4" s="169"/>
      <c r="AG4" s="169"/>
      <c r="AH4" s="169"/>
      <c r="AI4" s="179" t="s">
        <v>215</v>
      </c>
      <c r="AJ4" s="179"/>
      <c r="AK4" s="81" t="s">
        <v>234</v>
      </c>
    </row>
    <row r="5" spans="1:46" ht="25.9" customHeight="1" x14ac:dyDescent="0.3">
      <c r="A5" s="173" t="s">
        <v>0</v>
      </c>
      <c r="B5" s="173" t="s">
        <v>1</v>
      </c>
      <c r="C5" s="173" t="s">
        <v>3</v>
      </c>
      <c r="D5" s="173" t="s">
        <v>18</v>
      </c>
      <c r="E5" s="173" t="s">
        <v>4</v>
      </c>
      <c r="F5" s="173" t="s">
        <v>5</v>
      </c>
      <c r="G5" s="275" t="s">
        <v>274</v>
      </c>
      <c r="H5" s="275" t="s">
        <v>284</v>
      </c>
      <c r="I5" s="275" t="s">
        <v>275</v>
      </c>
      <c r="J5" s="332" t="s">
        <v>276</v>
      </c>
      <c r="K5" s="332" t="s">
        <v>285</v>
      </c>
      <c r="L5" s="332" t="s">
        <v>277</v>
      </c>
      <c r="M5" s="173" t="s">
        <v>8</v>
      </c>
      <c r="N5" s="173" t="s">
        <v>9</v>
      </c>
      <c r="O5" s="173" t="s">
        <v>10</v>
      </c>
      <c r="P5" s="173" t="s">
        <v>11</v>
      </c>
      <c r="Q5" s="354" t="s">
        <v>14</v>
      </c>
      <c r="R5" s="352" t="s">
        <v>282</v>
      </c>
      <c r="S5" s="352" t="s">
        <v>286</v>
      </c>
      <c r="T5" s="352" t="s">
        <v>283</v>
      </c>
      <c r="U5" s="332" t="s">
        <v>129</v>
      </c>
      <c r="V5" s="332" t="s">
        <v>280</v>
      </c>
      <c r="W5" s="332" t="s">
        <v>287</v>
      </c>
      <c r="X5" s="332" t="s">
        <v>281</v>
      </c>
      <c r="Y5" s="173" t="s">
        <v>19</v>
      </c>
      <c r="Z5" s="173" t="s">
        <v>20</v>
      </c>
      <c r="AA5" s="243" t="s">
        <v>22</v>
      </c>
      <c r="AB5" s="243" t="s">
        <v>23</v>
      </c>
      <c r="AC5" s="245" t="s">
        <v>21</v>
      </c>
      <c r="AD5" s="246"/>
      <c r="AE5" s="246"/>
      <c r="AF5" s="246"/>
      <c r="AG5" s="246"/>
      <c r="AH5" s="247"/>
      <c r="AI5" s="177" t="s">
        <v>212</v>
      </c>
      <c r="AJ5" s="178"/>
      <c r="AK5" s="80" t="s">
        <v>231</v>
      </c>
    </row>
    <row r="6" spans="1:46" ht="47.25" customHeight="1" x14ac:dyDescent="0.3">
      <c r="A6" s="173"/>
      <c r="B6" s="173"/>
      <c r="C6" s="173"/>
      <c r="D6" s="173"/>
      <c r="E6" s="173"/>
      <c r="F6" s="173"/>
      <c r="G6" s="276"/>
      <c r="H6" s="276"/>
      <c r="I6" s="276"/>
      <c r="J6" s="333"/>
      <c r="K6" s="333"/>
      <c r="L6" s="333"/>
      <c r="M6" s="173"/>
      <c r="N6" s="173"/>
      <c r="O6" s="173"/>
      <c r="P6" s="173"/>
      <c r="Q6" s="353"/>
      <c r="R6" s="353"/>
      <c r="S6" s="353"/>
      <c r="T6" s="353"/>
      <c r="U6" s="333"/>
      <c r="V6" s="333"/>
      <c r="W6" s="333"/>
      <c r="X6" s="333"/>
      <c r="Y6" s="173"/>
      <c r="Z6" s="173"/>
      <c r="AA6" s="244"/>
      <c r="AB6" s="244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71" t="str">
        <f>정보!L3</f>
        <v>(3UP) 제작변환 ( 경기도 부천 은하마을 주공1단지아파트-3차 ) _김운호소장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"/>
      <c r="AQ1" s="1"/>
      <c r="AR1" s="255" t="s">
        <v>75</v>
      </c>
      <c r="AS1" s="255"/>
      <c r="AT1" s="255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60" t="s">
        <v>309</v>
      </c>
      <c r="H2" s="369"/>
      <c r="I2" s="369"/>
      <c r="J2" s="369"/>
      <c r="K2" s="361"/>
      <c r="L2" s="268">
        <v>0</v>
      </c>
      <c r="M2" s="268"/>
      <c r="N2" s="268"/>
      <c r="O2" s="268"/>
      <c r="P2" s="265" t="s">
        <v>113</v>
      </c>
      <c r="Q2" s="265"/>
      <c r="R2" s="265"/>
      <c r="S2" s="265"/>
      <c r="T2" s="266">
        <v>1</v>
      </c>
      <c r="U2" s="266"/>
      <c r="V2" s="263" t="s">
        <v>103</v>
      </c>
      <c r="W2" s="263"/>
      <c r="X2" s="264"/>
      <c r="Y2" s="370">
        <v>0</v>
      </c>
      <c r="Z2" s="371"/>
      <c r="AA2" s="367"/>
      <c r="AB2" s="368"/>
      <c r="AC2" s="263" t="s">
        <v>88</v>
      </c>
      <c r="AD2" s="264"/>
      <c r="AE2" s="261">
        <v>0</v>
      </c>
      <c r="AF2" s="261"/>
      <c r="AG2" s="257" t="s">
        <v>82</v>
      </c>
      <c r="AH2" s="257"/>
      <c r="AI2" s="258"/>
      <c r="AJ2" s="259">
        <v>0</v>
      </c>
      <c r="AK2" s="259"/>
      <c r="AL2" s="259"/>
      <c r="AM2" s="98" t="s">
        <v>114</v>
      </c>
      <c r="AN2" s="256">
        <v>0</v>
      </c>
      <c r="AO2" s="256"/>
      <c r="AP2" s="1"/>
      <c r="AQ2" s="1"/>
      <c r="AR2" s="255"/>
      <c r="AS2" s="255"/>
      <c r="AT2" s="255"/>
      <c r="AY2" s="24"/>
    </row>
    <row r="3" spans="1:60" ht="33" customHeight="1" x14ac:dyDescent="0.3">
      <c r="A3" s="33" t="str">
        <f>'3UP(실측)'!A3</f>
        <v>현장명 : 경기도 부천 은하마을 주공1단지아파트-3차,   (재질) : HL 1.2T</v>
      </c>
      <c r="B3" s="2"/>
      <c r="C3" s="2"/>
      <c r="D3" s="2"/>
      <c r="E3" s="2"/>
      <c r="F3" s="2"/>
      <c r="G3" s="356" t="s">
        <v>76</v>
      </c>
      <c r="H3" s="374"/>
      <c r="I3" s="374"/>
      <c r="J3" s="374"/>
      <c r="K3" s="375"/>
      <c r="L3" s="269">
        <v>3</v>
      </c>
      <c r="M3" s="269"/>
      <c r="N3" s="269"/>
      <c r="O3" s="269"/>
      <c r="P3" s="257" t="s">
        <v>77</v>
      </c>
      <c r="Q3" s="257"/>
      <c r="R3" s="270">
        <v>0</v>
      </c>
      <c r="S3" s="270"/>
      <c r="T3" s="376" t="s">
        <v>289</v>
      </c>
      <c r="U3" s="377"/>
      <c r="V3" s="377"/>
      <c r="W3" s="378"/>
      <c r="X3" s="272">
        <f>BG7</f>
        <v>1</v>
      </c>
      <c r="Y3" s="272"/>
      <c r="Z3" s="272"/>
      <c r="AA3" s="372"/>
      <c r="AB3" s="373"/>
      <c r="AC3" s="267" t="s">
        <v>78</v>
      </c>
      <c r="AD3" s="267"/>
      <c r="AE3" s="260">
        <v>1</v>
      </c>
      <c r="AF3" s="260"/>
      <c r="AJ3" s="173" t="s">
        <v>73</v>
      </c>
      <c r="AK3" s="173"/>
      <c r="AL3" s="173"/>
      <c r="AM3" s="106">
        <v>3</v>
      </c>
      <c r="AN3" s="4" t="s">
        <v>74</v>
      </c>
      <c r="AO3" s="138">
        <v>4</v>
      </c>
      <c r="AP3" s="379" t="s">
        <v>327</v>
      </c>
      <c r="AQ3" s="380"/>
      <c r="AR3" s="160">
        <f>AU7</f>
        <v>18.43494882292201</v>
      </c>
      <c r="AS3" s="25"/>
      <c r="AT3" s="24"/>
      <c r="AY3" s="24"/>
    </row>
    <row r="4" spans="1:60" ht="33" customHeight="1" x14ac:dyDescent="0.3">
      <c r="A4" s="359" t="str">
        <f>'3UP(실측)'!A4:AH4</f>
        <v>제작치수 반영 : JB/JD +(3 ),  늘어난치수K -(0),  C + (0),   U + (0), OP - (2), R - (0),  기둥차감 - (0), A + (1)</v>
      </c>
      <c r="B4" s="359"/>
      <c r="C4" s="359"/>
      <c r="D4" s="359"/>
      <c r="E4" s="359"/>
      <c r="F4" s="359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75"/>
      <c r="AB4" s="75"/>
      <c r="AC4" s="362" t="s">
        <v>333</v>
      </c>
      <c r="AD4" s="283"/>
      <c r="AE4" s="283">
        <f>AG7</f>
        <v>0</v>
      </c>
      <c r="AF4" s="363"/>
      <c r="AG4" s="75"/>
      <c r="AH4" s="75"/>
      <c r="AI4" s="75"/>
      <c r="AJ4" s="75"/>
      <c r="AK4" s="75"/>
      <c r="AL4" s="75"/>
      <c r="AM4" s="9"/>
      <c r="AN4" s="228">
        <f ca="1">TODAY()</f>
        <v>45267</v>
      </c>
      <c r="AO4" s="168"/>
      <c r="AP4" s="179" t="s">
        <v>215</v>
      </c>
      <c r="AQ4" s="179"/>
      <c r="AR4" s="25"/>
      <c r="AS4" s="25"/>
      <c r="AT4" s="24"/>
      <c r="AY4" s="24"/>
      <c r="BG4" s="183" t="s">
        <v>253</v>
      </c>
    </row>
    <row r="5" spans="1:60" ht="25.9" customHeight="1" x14ac:dyDescent="0.3">
      <c r="A5" s="173" t="s">
        <v>0</v>
      </c>
      <c r="B5" s="173" t="s">
        <v>1</v>
      </c>
      <c r="C5" s="173" t="s">
        <v>3</v>
      </c>
      <c r="D5" s="173" t="s">
        <v>18</v>
      </c>
      <c r="E5" s="174" t="s">
        <v>58</v>
      </c>
      <c r="F5" s="174" t="s">
        <v>59</v>
      </c>
      <c r="G5" s="275" t="s">
        <v>274</v>
      </c>
      <c r="H5" s="275" t="s">
        <v>284</v>
      </c>
      <c r="I5" s="275" t="s">
        <v>275</v>
      </c>
      <c r="J5" s="332" t="s">
        <v>276</v>
      </c>
      <c r="K5" s="332" t="s">
        <v>285</v>
      </c>
      <c r="L5" s="332" t="s">
        <v>277</v>
      </c>
      <c r="M5" s="364" t="s">
        <v>278</v>
      </c>
      <c r="N5" s="364" t="s">
        <v>288</v>
      </c>
      <c r="O5" s="243" t="s">
        <v>62</v>
      </c>
      <c r="P5" s="243" t="s">
        <v>63</v>
      </c>
      <c r="Q5" s="173" t="s">
        <v>8</v>
      </c>
      <c r="R5" s="173" t="s">
        <v>9</v>
      </c>
      <c r="S5" s="173" t="s">
        <v>10</v>
      </c>
      <c r="T5" s="173" t="s">
        <v>11</v>
      </c>
      <c r="U5" s="354" t="s">
        <v>14</v>
      </c>
      <c r="V5" s="352" t="s">
        <v>282</v>
      </c>
      <c r="W5" s="352" t="s">
        <v>286</v>
      </c>
      <c r="X5" s="352" t="s">
        <v>283</v>
      </c>
      <c r="Y5" s="332" t="s">
        <v>129</v>
      </c>
      <c r="Z5" s="332" t="s">
        <v>280</v>
      </c>
      <c r="AA5" s="332" t="s">
        <v>287</v>
      </c>
      <c r="AB5" s="332" t="s">
        <v>281</v>
      </c>
      <c r="AC5" s="173" t="s">
        <v>19</v>
      </c>
      <c r="AD5" s="277" t="s">
        <v>20</v>
      </c>
      <c r="AE5" s="243" t="s">
        <v>22</v>
      </c>
      <c r="AF5" s="243" t="s">
        <v>23</v>
      </c>
      <c r="AG5" s="245" t="s">
        <v>21</v>
      </c>
      <c r="AH5" s="246"/>
      <c r="AI5" s="246"/>
      <c r="AJ5" s="246"/>
      <c r="AK5" s="246"/>
      <c r="AL5" s="247"/>
      <c r="AM5" s="174" t="s">
        <v>25</v>
      </c>
      <c r="AN5" s="279" t="s">
        <v>34</v>
      </c>
      <c r="AO5" s="174" t="s">
        <v>35</v>
      </c>
      <c r="AP5" s="177" t="s">
        <v>212</v>
      </c>
      <c r="AQ5" s="178"/>
      <c r="AR5" s="183" t="s">
        <v>305</v>
      </c>
      <c r="AS5" s="183" t="s">
        <v>306</v>
      </c>
      <c r="AT5" s="278" t="s">
        <v>51</v>
      </c>
      <c r="BA5" s="184" t="s">
        <v>28</v>
      </c>
      <c r="BB5" s="184"/>
      <c r="BC5" s="184" t="s">
        <v>29</v>
      </c>
      <c r="BD5" s="184"/>
      <c r="BG5" s="184"/>
    </row>
    <row r="6" spans="1:60" ht="48" customHeight="1" x14ac:dyDescent="0.3">
      <c r="A6" s="173"/>
      <c r="B6" s="173"/>
      <c r="C6" s="173"/>
      <c r="D6" s="173"/>
      <c r="E6" s="173"/>
      <c r="F6" s="173"/>
      <c r="G6" s="276"/>
      <c r="H6" s="276"/>
      <c r="I6" s="276"/>
      <c r="J6" s="333"/>
      <c r="K6" s="333"/>
      <c r="L6" s="333"/>
      <c r="M6" s="365"/>
      <c r="N6" s="365"/>
      <c r="O6" s="244"/>
      <c r="P6" s="244"/>
      <c r="Q6" s="173"/>
      <c r="R6" s="173"/>
      <c r="S6" s="173"/>
      <c r="T6" s="173"/>
      <c r="U6" s="353"/>
      <c r="V6" s="353"/>
      <c r="W6" s="353"/>
      <c r="X6" s="353"/>
      <c r="Y6" s="333"/>
      <c r="Z6" s="333"/>
      <c r="AA6" s="333"/>
      <c r="AB6" s="333"/>
      <c r="AC6" s="173"/>
      <c r="AD6" s="277"/>
      <c r="AE6" s="244"/>
      <c r="AF6" s="244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73"/>
      <c r="AN6" s="280"/>
      <c r="AO6" s="173"/>
      <c r="AP6" s="74" t="s">
        <v>213</v>
      </c>
      <c r="AQ6" s="74" t="s">
        <v>214</v>
      </c>
      <c r="AR6" s="184"/>
      <c r="AS6" s="184"/>
      <c r="AT6" s="278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3</v>
      </c>
      <c r="F7" s="4">
        <f>'3UP(실측)'!F7+MAX(AR7,AS7)+IF(BG7=1,AJ7,0)+UP3멍텅JBJD늘림치수</f>
        <v>3</v>
      </c>
      <c r="G7" s="4">
        <f>'3UP(실측)'!G7+AR7+IF(BG7=1,AG7,0)+UP3멍텅JB강제키움+UP3멍텅JBJD늘림치수</f>
        <v>3</v>
      </c>
      <c r="H7" s="4">
        <f>'3UP(실측)'!H7+AR7+IF(BG7=1,AH7,0)+UP3멍텅JB강제키움+UP3멍텅JBJD늘림치수-IF(UP3멍텅JB하부늘치=1,'3UP(실측)'!AC7-'3UP(실측)'!AD7,0)</f>
        <v>3</v>
      </c>
      <c r="I7" s="4">
        <f>'3UP(실측)'!I7+AR7+IF(BG7=1,AI7,0)+UP3멍텅JB강제키움+UP3멍텅JBJD늘림치수-IF(UP3멍텅JB하부늘치=1,'3UP(실측)'!AC7-'3UP(실측)'!AE7,0)</f>
        <v>3</v>
      </c>
      <c r="J7" s="4">
        <f>'3UP(실측)'!J7+AS7+IF(BG7=1,AJ7,0)+UP3멍텅JB강제키움+UP3멍텅JBJD늘림치수</f>
        <v>3</v>
      </c>
      <c r="K7" s="4">
        <f>'3UP(실측)'!K7+AS7+IF(BG7=1,AK7,0)+UP3멍텅JB강제키움+UP3멍텅JBJD늘림치수-IF(UP3멍텅JB하부늘치=1,'3UP(실측)'!AF7-'3UP(실측)'!AG7,0)</f>
        <v>3</v>
      </c>
      <c r="L7" s="4">
        <f>'3UP(실측)'!L7+AS7+IF(BG7=1,AL7,0)+UP3멍텅JB강제키움+UP3멍텅JBJD늘림치수-IF(UP3멍텅JB하부늘치=1,'3UP(실측)'!AF7-'3UP(실측)'!AH7,0)</f>
        <v>3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0*0.6</v>
      </c>
      <c r="AN7" s="12" t="str">
        <f t="shared" ref="AN7" si="2">BB7&amp;"*"&amp;BA7</f>
        <v>0*0.4</v>
      </c>
      <c r="AO7" s="10" t="str">
        <f t="shared" ref="AO7" si="3">BD7&amp;"*"&amp;BC7</f>
        <v>0*0.4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>
        <f>DEGREES(ATAN((D7-C7)/2/(E7)))</f>
        <v>18.43494882292201</v>
      </c>
      <c r="AV7" s="36">
        <f>E7-COS(RADIANS(AU7))*G7</f>
        <v>0.15395010584845892</v>
      </c>
      <c r="AW7" s="36">
        <f>F7-COS(RADIANS(AU7))*J7</f>
        <v>0.15395010584845892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0.60000000000000031</v>
      </c>
      <c r="BA7" s="3">
        <f>S7+Q7+MAX(G7,I7)+AF7-1.2*$AO$3+IF(BG7=0,MAX(AG7,AI7))+IF(S7=0,1.2,0)</f>
        <v>0.40000000000000013</v>
      </c>
      <c r="BB7" s="3">
        <f>MAX(U7,V7+W7+X7)</f>
        <v>0</v>
      </c>
      <c r="BC7" s="3">
        <f>T7+R7+MAX(J7,L7)+AF7-1.2*$AO$3+IF(BG7=0,MAX(AJ7,AL7))+IF(T7=0,1.2,0)</f>
        <v>0.40000000000000013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narrow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narrow!Print_Area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2023-12-07T01:53:28Z</dcterms:modified>
</cp:coreProperties>
</file>