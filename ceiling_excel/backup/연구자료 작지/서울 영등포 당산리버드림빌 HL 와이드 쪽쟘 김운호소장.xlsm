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설계작지변환\김운호소장\"/>
    </mc:Choice>
  </mc:AlternateContent>
  <xr:revisionPtr revIDLastSave="0" documentId="13_ncr:1_{E98A6936-83F5-4233-8176-CFECD2FDBF29}" xr6:coauthVersionLast="47" xr6:coauthVersionMax="47" xr10:uidLastSave="{00000000-0000-0000-0000-000000000000}"/>
  <bookViews>
    <workbookView xWindow="28680" yWindow="765" windowWidth="29040" windowHeight="15840" tabRatio="947" activeTab="7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4" l="1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7" i="14"/>
  <c r="O8" i="14"/>
  <c r="P8" i="14"/>
  <c r="Q8" i="14"/>
  <c r="R8" i="14"/>
  <c r="O9" i="14"/>
  <c r="P9" i="14"/>
  <c r="Q9" i="14"/>
  <c r="R9" i="14"/>
  <c r="O10" i="14"/>
  <c r="P10" i="14"/>
  <c r="Q10" i="14"/>
  <c r="R10" i="14"/>
  <c r="O11" i="14"/>
  <c r="P11" i="14"/>
  <c r="Q11" i="14"/>
  <c r="R11" i="14"/>
  <c r="O12" i="14"/>
  <c r="P12" i="14"/>
  <c r="Q12" i="14"/>
  <c r="R12" i="14"/>
  <c r="O13" i="14"/>
  <c r="P13" i="14"/>
  <c r="Q13" i="14"/>
  <c r="R13" i="14"/>
  <c r="O14" i="14"/>
  <c r="P14" i="14"/>
  <c r="Q14" i="14"/>
  <c r="R14" i="14"/>
  <c r="O15" i="14"/>
  <c r="P15" i="14"/>
  <c r="Q15" i="14"/>
  <c r="R15" i="14"/>
  <c r="O16" i="14"/>
  <c r="P16" i="14"/>
  <c r="Q16" i="14"/>
  <c r="R16" i="14"/>
  <c r="O17" i="14"/>
  <c r="P17" i="14"/>
  <c r="Q17" i="14"/>
  <c r="R17" i="14"/>
  <c r="O18" i="14"/>
  <c r="P18" i="14"/>
  <c r="Q18" i="14"/>
  <c r="R18" i="14"/>
  <c r="O19" i="14"/>
  <c r="P19" i="14"/>
  <c r="Q19" i="14"/>
  <c r="R19" i="14"/>
  <c r="O20" i="14"/>
  <c r="P20" i="14"/>
  <c r="Q20" i="14"/>
  <c r="R20" i="14"/>
  <c r="O21" i="14"/>
  <c r="P21" i="14"/>
  <c r="Q21" i="14"/>
  <c r="R21" i="14"/>
  <c r="O22" i="14"/>
  <c r="P22" i="14"/>
  <c r="Q22" i="14"/>
  <c r="R22" i="14"/>
  <c r="O23" i="14"/>
  <c r="P23" i="14"/>
  <c r="Q23" i="14"/>
  <c r="R23" i="14"/>
  <c r="O24" i="14"/>
  <c r="P24" i="14"/>
  <c r="Q24" i="14"/>
  <c r="R24" i="14"/>
  <c r="P7" i="14"/>
  <c r="Q7" i="14"/>
  <c r="R7" i="14"/>
  <c r="O7" i="14"/>
  <c r="V7" i="8"/>
  <c r="W7" i="8"/>
  <c r="X7" i="8"/>
  <c r="U7" i="8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C7" i="26" l="1"/>
  <c r="E7" i="26"/>
  <c r="AF4" i="26"/>
  <c r="AJ4" i="24"/>
  <c r="AE4" i="22"/>
  <c r="AI4" i="19"/>
  <c r="AA4" i="10"/>
  <c r="AE3" i="8"/>
  <c r="AJ7" i="32" l="1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Y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AI7" i="32" l="1"/>
  <c r="AE4" i="32"/>
  <c r="AD7" i="28"/>
  <c r="AA4" i="28"/>
  <c r="AH7" i="32"/>
  <c r="AE7" i="26"/>
  <c r="AK7" i="32"/>
  <c r="C7" i="19"/>
  <c r="D7" i="24"/>
  <c r="AS7" i="32" l="1"/>
  <c r="T7" i="32" s="1"/>
  <c r="AR7" i="32"/>
  <c r="S7" i="32" l="1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I8" i="14"/>
  <c r="J8" i="14"/>
  <c r="K8" i="14"/>
  <c r="L8" i="14"/>
  <c r="M8" i="14"/>
  <c r="N8" i="14"/>
  <c r="S8" i="14"/>
  <c r="T8" i="14"/>
  <c r="U8" i="14"/>
  <c r="V8" i="14"/>
  <c r="W8" i="14"/>
  <c r="X8" i="14"/>
  <c r="Y8" i="14"/>
  <c r="Z8" i="14"/>
  <c r="AA8" i="14"/>
  <c r="A9" i="14"/>
  <c r="B9" i="14"/>
  <c r="I9" i="14"/>
  <c r="J9" i="14"/>
  <c r="K9" i="14"/>
  <c r="L9" i="14"/>
  <c r="M9" i="14"/>
  <c r="N9" i="14"/>
  <c r="S9" i="14"/>
  <c r="T9" i="14"/>
  <c r="U9" i="14"/>
  <c r="V9" i="14"/>
  <c r="W9" i="14"/>
  <c r="X9" i="14"/>
  <c r="Y9" i="14"/>
  <c r="Z9" i="14"/>
  <c r="AA9" i="14"/>
  <c r="A10" i="14"/>
  <c r="B10" i="14"/>
  <c r="I10" i="14"/>
  <c r="J10" i="14"/>
  <c r="K10" i="14"/>
  <c r="L10" i="14"/>
  <c r="M10" i="14"/>
  <c r="N10" i="14"/>
  <c r="S10" i="14"/>
  <c r="T10" i="14"/>
  <c r="U10" i="14"/>
  <c r="V10" i="14"/>
  <c r="W10" i="14"/>
  <c r="X10" i="14"/>
  <c r="Y10" i="14"/>
  <c r="Z10" i="14"/>
  <c r="AA10" i="14"/>
  <c r="A11" i="14"/>
  <c r="B11" i="14"/>
  <c r="I11" i="14"/>
  <c r="J11" i="14"/>
  <c r="K11" i="14"/>
  <c r="L11" i="14"/>
  <c r="M11" i="14"/>
  <c r="N11" i="14"/>
  <c r="S11" i="14"/>
  <c r="T11" i="14"/>
  <c r="U11" i="14"/>
  <c r="V11" i="14"/>
  <c r="W11" i="14"/>
  <c r="X11" i="14"/>
  <c r="Y11" i="14"/>
  <c r="Z11" i="14"/>
  <c r="AA11" i="14"/>
  <c r="A12" i="14"/>
  <c r="B12" i="14"/>
  <c r="I12" i="14"/>
  <c r="J12" i="14"/>
  <c r="K12" i="14"/>
  <c r="L12" i="14"/>
  <c r="M12" i="14"/>
  <c r="N12" i="14"/>
  <c r="S12" i="14"/>
  <c r="T12" i="14"/>
  <c r="U12" i="14"/>
  <c r="V12" i="14"/>
  <c r="W12" i="14"/>
  <c r="X12" i="14"/>
  <c r="Y12" i="14"/>
  <c r="Z12" i="14"/>
  <c r="AA12" i="14"/>
  <c r="A13" i="14"/>
  <c r="B13" i="14"/>
  <c r="I13" i="14"/>
  <c r="J13" i="14"/>
  <c r="K13" i="14"/>
  <c r="L13" i="14"/>
  <c r="M13" i="14"/>
  <c r="N13" i="14"/>
  <c r="S13" i="14"/>
  <c r="T13" i="14"/>
  <c r="U13" i="14"/>
  <c r="V13" i="14"/>
  <c r="W13" i="14"/>
  <c r="X13" i="14"/>
  <c r="Y13" i="14"/>
  <c r="Z13" i="14"/>
  <c r="AA13" i="14"/>
  <c r="A14" i="14"/>
  <c r="B14" i="14"/>
  <c r="I14" i="14"/>
  <c r="J14" i="14"/>
  <c r="K14" i="14"/>
  <c r="L14" i="14"/>
  <c r="M14" i="14"/>
  <c r="N14" i="14"/>
  <c r="S14" i="14"/>
  <c r="T14" i="14"/>
  <c r="U14" i="14"/>
  <c r="V14" i="14"/>
  <c r="W14" i="14"/>
  <c r="X14" i="14"/>
  <c r="Y14" i="14"/>
  <c r="Z14" i="14"/>
  <c r="AA14" i="14"/>
  <c r="A15" i="14"/>
  <c r="B15" i="14"/>
  <c r="I15" i="14"/>
  <c r="J15" i="14"/>
  <c r="K15" i="14"/>
  <c r="L15" i="14"/>
  <c r="M15" i="14"/>
  <c r="N15" i="14"/>
  <c r="S15" i="14"/>
  <c r="T15" i="14"/>
  <c r="U15" i="14"/>
  <c r="V15" i="14"/>
  <c r="W15" i="14"/>
  <c r="X15" i="14"/>
  <c r="Y15" i="14"/>
  <c r="Z15" i="14"/>
  <c r="AA15" i="14"/>
  <c r="A16" i="14"/>
  <c r="B16" i="14"/>
  <c r="I16" i="14"/>
  <c r="J16" i="14"/>
  <c r="K16" i="14"/>
  <c r="L16" i="14"/>
  <c r="M16" i="14"/>
  <c r="N16" i="14"/>
  <c r="S16" i="14"/>
  <c r="T16" i="14"/>
  <c r="U16" i="14"/>
  <c r="V16" i="14"/>
  <c r="W16" i="14"/>
  <c r="X16" i="14"/>
  <c r="Y16" i="14"/>
  <c r="Z16" i="14"/>
  <c r="AA16" i="14"/>
  <c r="A17" i="14"/>
  <c r="B17" i="14"/>
  <c r="I17" i="14"/>
  <c r="J17" i="14"/>
  <c r="K17" i="14"/>
  <c r="L17" i="14"/>
  <c r="M17" i="14"/>
  <c r="N17" i="14"/>
  <c r="S17" i="14"/>
  <c r="T17" i="14"/>
  <c r="U17" i="14"/>
  <c r="V17" i="14"/>
  <c r="W17" i="14"/>
  <c r="X17" i="14"/>
  <c r="Y17" i="14"/>
  <c r="Z17" i="14"/>
  <c r="AA17" i="14"/>
  <c r="A18" i="14"/>
  <c r="B18" i="14"/>
  <c r="I18" i="14"/>
  <c r="J18" i="14"/>
  <c r="K18" i="14"/>
  <c r="L18" i="14"/>
  <c r="M18" i="14"/>
  <c r="N18" i="14"/>
  <c r="S18" i="14"/>
  <c r="T18" i="14"/>
  <c r="U18" i="14"/>
  <c r="V18" i="14"/>
  <c r="W18" i="14"/>
  <c r="X18" i="14"/>
  <c r="Y18" i="14"/>
  <c r="Z18" i="14"/>
  <c r="AA18" i="14"/>
  <c r="A19" i="14"/>
  <c r="B19" i="14"/>
  <c r="I19" i="14"/>
  <c r="J19" i="14"/>
  <c r="K19" i="14"/>
  <c r="L19" i="14"/>
  <c r="M19" i="14"/>
  <c r="N19" i="14"/>
  <c r="S19" i="14"/>
  <c r="T19" i="14"/>
  <c r="U19" i="14"/>
  <c r="V19" i="14"/>
  <c r="W19" i="14"/>
  <c r="X19" i="14"/>
  <c r="Y19" i="14"/>
  <c r="Z19" i="14"/>
  <c r="AA19" i="14"/>
  <c r="A20" i="14"/>
  <c r="B20" i="14"/>
  <c r="I20" i="14"/>
  <c r="J20" i="14"/>
  <c r="K20" i="14"/>
  <c r="L20" i="14"/>
  <c r="M20" i="14"/>
  <c r="N20" i="14"/>
  <c r="S20" i="14"/>
  <c r="T20" i="14"/>
  <c r="U20" i="14"/>
  <c r="V20" i="14"/>
  <c r="W20" i="14"/>
  <c r="X20" i="14"/>
  <c r="Y20" i="14"/>
  <c r="Z20" i="14"/>
  <c r="AA20" i="14"/>
  <c r="A21" i="14"/>
  <c r="B21" i="14"/>
  <c r="I21" i="14"/>
  <c r="J21" i="14"/>
  <c r="K21" i="14"/>
  <c r="L21" i="14"/>
  <c r="M21" i="14"/>
  <c r="N21" i="14"/>
  <c r="S21" i="14"/>
  <c r="T21" i="14"/>
  <c r="U21" i="14"/>
  <c r="V21" i="14"/>
  <c r="W21" i="14"/>
  <c r="X21" i="14"/>
  <c r="Y21" i="14"/>
  <c r="Z21" i="14"/>
  <c r="AA21" i="14"/>
  <c r="A22" i="14"/>
  <c r="B22" i="14"/>
  <c r="I22" i="14"/>
  <c r="J22" i="14"/>
  <c r="K22" i="14"/>
  <c r="L22" i="14"/>
  <c r="M22" i="14"/>
  <c r="N22" i="14"/>
  <c r="S22" i="14"/>
  <c r="T22" i="14"/>
  <c r="U22" i="14"/>
  <c r="V22" i="14"/>
  <c r="W22" i="14"/>
  <c r="X22" i="14"/>
  <c r="Y22" i="14"/>
  <c r="Z22" i="14"/>
  <c r="AA22" i="14"/>
  <c r="A23" i="14"/>
  <c r="B23" i="14"/>
  <c r="I23" i="14"/>
  <c r="J23" i="14"/>
  <c r="K23" i="14"/>
  <c r="L23" i="14"/>
  <c r="M23" i="14"/>
  <c r="N23" i="14"/>
  <c r="S23" i="14"/>
  <c r="T23" i="14"/>
  <c r="U23" i="14"/>
  <c r="V23" i="14"/>
  <c r="W23" i="14"/>
  <c r="X23" i="14"/>
  <c r="Y23" i="14"/>
  <c r="Z23" i="14"/>
  <c r="AA23" i="14"/>
  <c r="A24" i="14"/>
  <c r="B24" i="14"/>
  <c r="I24" i="14"/>
  <c r="J24" i="14"/>
  <c r="K24" i="14"/>
  <c r="L24" i="14"/>
  <c r="M24" i="14"/>
  <c r="N24" i="14"/>
  <c r="S24" i="14"/>
  <c r="T24" i="14"/>
  <c r="U24" i="14"/>
  <c r="V24" i="14"/>
  <c r="W24" i="14"/>
  <c r="X24" i="14"/>
  <c r="Y24" i="14"/>
  <c r="Z24" i="14"/>
  <c r="AA24" i="14"/>
  <c r="H8" i="15" l="1"/>
  <c r="G8" i="15"/>
  <c r="AM7" i="32"/>
  <c r="AF8" i="14"/>
  <c r="AF11" i="14"/>
  <c r="AH10" i="14"/>
  <c r="AH9" i="14"/>
  <c r="AF17" i="14"/>
  <c r="AH14" i="14"/>
  <c r="E9" i="14"/>
  <c r="AD9" i="14" s="1"/>
  <c r="AH8" i="14"/>
  <c r="AC24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AF13" i="14"/>
  <c r="AC23" i="14"/>
  <c r="AF23" i="14"/>
  <c r="AF12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G8" i="14" s="1"/>
  <c r="AG13" i="14"/>
  <c r="H13" i="14" s="1"/>
  <c r="AE16" i="14"/>
  <c r="G16" i="14" s="1"/>
  <c r="AG17" i="14"/>
  <c r="H17" i="14" s="1"/>
  <c r="AG21" i="14"/>
  <c r="H21" i="14" s="1"/>
  <c r="AG19" i="14"/>
  <c r="H19" i="14" s="1"/>
  <c r="AE20" i="14"/>
  <c r="G20" i="14" s="1"/>
  <c r="AE24" i="14"/>
  <c r="G24" i="14" s="1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G22" i="14" s="1"/>
  <c r="AG14" i="14"/>
  <c r="H14" i="14" s="1"/>
  <c r="C24" i="14"/>
  <c r="C12" i="14"/>
  <c r="C21" i="14"/>
  <c r="G15" i="14"/>
  <c r="G13" i="14"/>
  <c r="C23" i="14"/>
  <c r="H18" i="14"/>
  <c r="C20" i="14"/>
  <c r="C9" i="14"/>
  <c r="C14" i="14"/>
  <c r="C15" i="14"/>
  <c r="C13" i="14"/>
  <c r="C18" i="14"/>
  <c r="C22" i="14"/>
  <c r="C10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B7" i="14"/>
  <c r="A7" i="14"/>
  <c r="H7" i="15" l="1"/>
  <c r="G7" i="15"/>
  <c r="A2" i="15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<sst xmlns="http://schemas.openxmlformats.org/spreadsheetml/2006/main" count="1172" uniqueCount="339">
  <si>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</si>
  <si>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</si>
  <si>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</si>
  <si>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</si>
  <si>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</si>
  <si>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</si>
  <si>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</si>
  <si>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</si>
  <si>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</si>
  <si>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</si>
  <si>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</si>
  <si>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</si>
  <si>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</si>
  <si>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</si>
  <si>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</si>
  <si>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</si>
  <si>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</si>
  <si>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</si>
  <si>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</si>
  <si>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</si>
  <si>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</si>
  <si>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</si>
  <si>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</si>
  <si>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</si>
  <si>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</si>
  <si>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</si>
  <si>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</si>
  <si>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</si>
  <si>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</si>
  <si>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</si>
  <si>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</si>
  <si>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</si>
  <si>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</si>
  <si>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</si>
  <si>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</si>
  <si>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</si>
  <si>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</si>
  <si>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</si>
  <si>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</si>
  <si>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</si>
  <si>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</si>
  <si>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</si>
  <si>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</si>
  <si>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</si>
  <si>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</si>
  <si>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</si>
  <si>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</si>
  <si>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</si>
  <si>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</si>
  <si>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</si>
  <si>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</si>
  <si>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</si>
  <si>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</si>
  <si>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</si>
  <si>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</si>
  <si>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</si>
  <si>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</si>
  <si>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</si>
  <si>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</si>
  <si>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</si>
  <si>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</si>
  <si>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</si>
  <si>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</si>
  <si>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</si>
  <si>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</si>
  <si>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</si>
  <si>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</si>
  <si>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</si>
  <si>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</si>
  <si>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</si>
  <si>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</si>
  <si>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</si>
  <si>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</si>
  <si>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</si>
  <si>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</si>
  <si>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</si>
  <si>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</si>
  <si>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</si>
  <si>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</si>
  <si>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</si>
  <si>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</si>
  <si>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</si>
  <si>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</si>
  <si>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</si>
  <si>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</si>
  <si>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</si>
  <si>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</si>
  <si>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</si>
  <si>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</si>
  <si>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</si>
  <si>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</si>
  <si>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</si>
  <si>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</si>
  <si>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</si>
  <si>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</si>
  <si>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</si>
  <si>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</si>
  <si>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</si>
  <si>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</si>
  <si>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</si>
  <si>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</si>
  <si>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</si>
  <si>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</si>
  <si>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</si>
  <si>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</si>
  <si>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</si>
  <si>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</si>
  <si>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</si>
  <si>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</si>
  <si>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</si>
  <si>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</si>
  <si>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</si>
  <si>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</si>
  <si>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</si>
  <si>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</si>
  <si>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</si>
  <si>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</si>
  <si>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</si>
  <si>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</si>
  <si>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</si>
  <si>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</si>
  <si>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</si>
  <si>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</si>
  <si>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</si>
  <si>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</si>
  <si>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</si>
  <si>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</si>
  <si>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</si>
  <si>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</si>
  <si>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</si>
  <si>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</si>
  <si>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</si>
  <si>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</si>
  <si>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</si>
  <si>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</si>
  <si>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</si>
  <si>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</si>
  <si>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</si>
  <si>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</si>
  <si>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</si>
  <si>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</si>
  <si>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</si>
  <si>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</si>
  <si>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</si>
  <si>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</si>
  <si>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</si>
  <si>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</si>
  <si>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</si>
  <si>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</si>
  <si>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</si>
  <si>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</si>
  <si>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</si>
  <si>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</si>
  <si>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</si>
  <si>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</si>
  <si>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</si>
  <si>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</si>
  <si>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</si>
  <si>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</si>
  <si>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</si>
  <si>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</si>
  <si>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</si>
  <si>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</si>
  <si>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</si>
  <si>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</si>
  <si>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</si>
  <si>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</si>
  <si>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</si>
  <si>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</si>
  <si>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</si>
  <si>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</si>
  <si>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</si>
  <si>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</si>
  <si>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</si>
  <si>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</si>
  <si>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</si>
  <si>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</si>
  <si>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</si>
  <si>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</si>
  <si>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</si>
  <si>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</si>
  <si>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</si>
  <si>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</si>
  <si>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</si>
  <si>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</si>
  <si>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</si>
  <si>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</si>
  <si>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</si>
  <si>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</si>
  <si>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</si>
  <si>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</si>
  <si>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</si>
  <si>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</si>
  <si>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</si>
  <si>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</si>
  <si>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</si>
  <si>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</si>
  <si>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</si>
  <si>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</si>
  <si>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</si>
  <si>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</si>
  <si>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</si>
  <si>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</si>
  <si>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</si>
  <si>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</si>
  <si>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</si>
  <si>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</si>
  <si>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</si>
  <si>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</si>
  <si>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</si>
  <si>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</si>
  <si>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</si>
  <si>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</si>
  <si>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</si>
  <si>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</si>
  <si>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</si>
  <si>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</si>
  <si>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</si>
  <si>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</si>
  <si>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</si>
  <si>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</si>
  <si>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</si>
  <si>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</si>
  <si>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</si>
  <si>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</si>
  <si>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</si>
  <si>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</si>
  <si>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</si>
  <si>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</si>
  <si>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</si>
  <si>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</si>
  <si>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</si>
  <si>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</si>
  <si>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</si>
  <si>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</si>
  <si>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</si>
  <si>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</si>
  <si>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</si>
  <si>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</si>
  <si>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</si>
  <si>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</si>
  <si>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</si>
  <si>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</si>
  <si>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</si>
  <si>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</si>
  <si>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</si>
  <si>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</si>
  <si>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</si>
  <si>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</si>
  <si>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</si>
  <si>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</si>
  <si>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</si>
  <si>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</si>
  <si>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</si>
  <si>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</si>
  <si>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</si>
  <si>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</si>
  <si>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</si>
  <si>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</si>
  <si>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</si>
  <si>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</si>
  <si>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</si>
  <si>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</si>
  <si>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</si>
  <si>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</si>
  <si>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</si>
  <si>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</si>
  <si>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</si>
  <si>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</si>
  <si>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</si>
  <si>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</si>
  <si>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</si>
  <si>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</si>
  <si>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</si>
  <si>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</si>
  <si>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</si>
  <si>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</si>
  <si>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</si>
  <si>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</si>
  <si>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</si>
  <si>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</si>
  <si>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</si>
  <si>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</si>
  <si>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</si>
  <si>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</si>
  <si>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</si>
  <si>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</si>
  <si>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</si>
  <si>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</si>
  <si>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</si>
  <si>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</si>
  <si>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</si>
  <si>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</si>
  <si>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</si>
  <si>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</si>
  <si>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</si>
  <si>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</si>
  <si>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</si>
  <si>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</si>
  <si>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</si>
  <si>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</si>
  <si>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</si>
  <si>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</si>
  <si>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</si>
  <si>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</si>
  <si>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</si>
  <si>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</si>
  <si>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</si>
  <si>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</si>
  <si>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</si>
  <si>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김은비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</si>
  <si>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</si>
  <si>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</si>
  <si>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</si>
  <si>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</si>
  <si>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</si>
  <si>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</si>
  <si>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</si>
  <si>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</si>
  <si>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</si>
  <si>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</si>
  <si>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</si>
  <si>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</si>
  <si>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</si>
  <si>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</si>
  <si>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</si>
  <si>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</si>
  <si>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</si>
  <si>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</si>
  <si>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</si>
  <si>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</si>
  <si>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</si>
  <si>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</si>
  <si>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</si>
  <si>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</si>
  <si>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서울 영등포 당산리버드림빌</t>
  </si>
  <si>
    <t>OTIS HIL-A207 돌출형</t>
  </si>
  <si>
    <t>김운호</t>
  </si>
  <si>
    <t>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</si>
</sst>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8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55" fillId="0" borderId="1" xfId="0" applyNumberFormat="1" applyFont="1" applyBorder="1" applyAlignment="1">
      <alignment horizontal="center" vertical="center"/>
    </xf>
    <xf numFmtId="0" fontId="56" fillId="0" borderId="1" xfId="0" applyNumberFormat="1" applyFon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4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6" sqref="B6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서울 영등포 당산리버드림빌 ) _김운호소장</v>
      </c>
      <c r="C2" s="39" t="str">
        <f>"(와이드) 제작변환 자료( "&amp;B1&amp;" ) _"&amp;소장 &amp;"소장"</f>
        <v>(와이드) 제작변환 자료( 서울 영등포 당산리버드림빌 ) _김운호소장</v>
      </c>
      <c r="D2" s="154" t="s">
        <v>318</v>
      </c>
      <c r="E2" s="150" t="str">
        <f>"(SO와이드) 실측서 ( " &amp; B1 &amp; " ) _"&amp;소장 &amp;"소장"</f>
        <v>(SO와이드) 실측서 ( 서울 영등포 당산리버드림빌 ) _김운호소장</v>
      </c>
      <c r="F2" s="150" t="str">
        <f>"(SO와이드) 제작변환 ( " &amp; B1 &amp; " ) _"&amp;소장 &amp;"소장"</f>
        <v>(SO와이드) 제작변환 ( 서울 영등포 당산리버드림빌 ) _김운호소장</v>
      </c>
      <c r="G2" s="152" t="s">
        <v>320</v>
      </c>
      <c r="H2" s="147" t="str">
        <f>"(4CO와이드) 실측서 ( " &amp; B1 &amp; " ) _"&amp;소장 &amp;"소장"</f>
        <v>(4CO와이드) 실측서 ( 서울 영등포 당산리버드림빌 ) _김운호소장</v>
      </c>
      <c r="I2" s="147" t="str">
        <f>"(4CO와이드) 제작변환 ( " &amp; B1 &amp; " ) _"&amp;소장 &amp;"소장"</f>
        <v>(4CO와이드) 제작변환 ( 서울 영등포 당산리버드림빌 ) _김운호소장</v>
      </c>
      <c r="J2" s="152" t="s">
        <v>322</v>
      </c>
      <c r="K2" s="153" t="str">
        <f>"(2UP) 실측서 ( " &amp; B1 &amp; " ) _"&amp;소장 &amp;"소장"</f>
        <v>(2UP) 실측서 ( 서울 영등포 당산리버드림빌 ) _김운호소장</v>
      </c>
      <c r="L2" s="153" t="str">
        <f>"(2UP) 제작변환 ( " &amp; B1 &amp; " ) _"&amp;소장 &amp;"소장"</f>
        <v>(2UP) 제작변환 ( 서울 영등포 당산리버드림빌 ) _김운호소장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서울 영등포 당산리버드림빌 ) _김운호소장</v>
      </c>
      <c r="C3" s="39" t="str">
        <f>"(멍텅구리) 제작변환 자료( "&amp;B1&amp;" ) _"&amp;소장 &amp;"소장"</f>
        <v>(멍텅구리) 제작변환 자료( 서울 영등포 당산리버드림빌 ) _김운호소장</v>
      </c>
      <c r="D3" s="154" t="s">
        <v>319</v>
      </c>
      <c r="E3" s="150" t="str">
        <f>"(SO멍텅구리) 실측서 ( " &amp; B1 &amp; " ) _"&amp;소장 &amp;"소장"</f>
        <v>(SO멍텅구리) 실측서 ( 서울 영등포 당산리버드림빌 ) _김운호소장</v>
      </c>
      <c r="F3" s="150" t="str">
        <f>"(SO멍텅구리) 제작변환 ( " &amp; B1 &amp; " ) _"&amp;소장 &amp;"소장"</f>
        <v>(SO멍텅구리) 제작변환 ( 서울 영등포 당산리버드림빌 ) _김운호소장</v>
      </c>
      <c r="G3" s="152" t="s">
        <v>321</v>
      </c>
      <c r="H3" s="147" t="str">
        <f>"(4CO멍텅구리) 실측서 ( " &amp; B1 &amp; " ) _"&amp;소장 &amp;"소장"</f>
        <v>(4CO멍텅구리) 실측서 ( 서울 영등포 당산리버드림빌 ) _김운호소장</v>
      </c>
      <c r="I3" s="147" t="str">
        <f>"(4CO멍텅구리) 제작변환 ( " &amp; B1 &amp; " ) _"&amp;소장 &amp;"소장"</f>
        <v>(4CO멍텅구리) 제작변환 ( 서울 영등포 당산리버드림빌 ) _김운호소장</v>
      </c>
      <c r="J3" s="152" t="s">
        <v>323</v>
      </c>
      <c r="K3" s="153" t="str">
        <f>"(3UP) 실측서 ( " &amp; B1 &amp; " ) _"&amp;소장 &amp;"소장"</f>
        <v>(3UP) 실측서 ( 서울 영등포 당산리버드림빌 ) _김운호소장</v>
      </c>
      <c r="L3" s="153" t="str">
        <f>"(3UP) 제작변환 ( " &amp; B1 &amp; " ) _"&amp;소장 &amp;"소장"</f>
        <v>(3UP) 제작변환 ( 서울 영등포 당산리버드림빌 ) _김운호소장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서울 영등포 당산리버드림빌 ) _김운호소장</v>
      </c>
      <c r="C4" s="39" t="str">
        <f>"(쪽쟘) 제작변환 자료( "&amp;B1&amp;" ) _"&amp;소장 &amp;"소장"</f>
        <v>(쪽쟘) 제작변환 자료( 서울 영등포 당산리버드림빌 ) _김운호소장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 t="s">
        <v>336</v>
      </c>
      <c r="D5" s="145" t="s">
        <v>324</v>
      </c>
    </row>
    <row r="6" spans="1:12" ht="27.75" customHeight="1" x14ac:dyDescent="0.3">
      <c r="A6" s="144" t="s">
        <v>40</v>
      </c>
      <c r="B6" s="146" t="s">
        <v>337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+(3 ),  늘어난치수K -(3),  C + (0),   U + (0), OP - (2), R - (0),  기둥차감 - (0), A + (1)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+(3 ),  늘어난치수K -(3),  C + (0),  U +(0), OP - (2), R - (0),  기둥차감 - (0),  A + (1)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+(3 ),  늘어난치수K -(3),  C + (0),   U + (0), OP - (2), R - (0),  기둥차감 - (0),  A + (1)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+(3 ),  늘어난치수K -(3),  C + (0),  U +(0), OP1/OP2 - (2), R - (0),  기둥차감 - (0), A + (1)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+(3 ),  늘어난치수K -(3),  C + (0),   U + (0), OP1/OP3 - (2), R - (0),  기둥차감 - (0), A + (1)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+(3 ),  늘어난치수K -(3),  C + (0),  U +(0), OP1/OP3 - (2), R - (0),  기둥차감 - (0), A + (1)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+(3 ),  늘어난치수K -(0),  C + (0),   U + (0), OP - (2), R - (0),  기둥차감 - (0), A + (1)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+(3 ),  늘어난치수K -(0),  C + (0),   U + (0), OP - (2), R - (0),  기둥차감 - (0), A + (1)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310</v>
      </c>
    </row>
    <row r="26" spans="1:3" x14ac:dyDescent="0.3">
      <c r="A26">
        <v>20231101</v>
      </c>
      <c r="B26" t="s">
        <v>334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0</v>
      </c>
      <c r="C2" s="3">
        <f>IF('쪽쟘(실측)'!C7&gt;1,1,0)</f>
        <v>1</v>
      </c>
      <c r="D2" s="3" t="str">
        <f>정보!B1</f>
        <v>서울 영등포 당산리버드림빌</v>
      </c>
      <c r="E2" s="3" t="str">
        <f>정보!B6</f>
        <v>김운호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 t="str">
        <f>정보!B5</f>
        <v>OTIS HIL-A207 돌출형</v>
      </c>
      <c r="J2" s="87">
        <f ca="1">TODAY()</f>
        <v>45272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김은비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316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317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AJ8" sqref="AJ8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66" t="str">
        <f>정보!B2</f>
        <v>(와이드) 실측서 ( 서울 영등포 당산리버드림빌 ) _김운호소장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5"/>
      <c r="Z2" s="165"/>
      <c r="AA2" s="165"/>
      <c r="AB2" s="165"/>
      <c r="AC2" s="165"/>
      <c r="AD2" s="165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서울 영등포 당산리버드림빌,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4" t="s">
        <v>98</v>
      </c>
      <c r="M3" s="17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5"/>
      <c r="Z3" s="165"/>
      <c r="AA3" s="165"/>
      <c r="AB3" s="165"/>
      <c r="AC3" s="165"/>
      <c r="AD3" s="165"/>
      <c r="AE3" s="34"/>
      <c r="AF3" s="34"/>
      <c r="AG3" s="34"/>
      <c r="AH3" s="34"/>
      <c r="AI3" s="34"/>
      <c r="AJ3" s="34"/>
    </row>
    <row r="4" spans="1:45" ht="33" customHeight="1" x14ac:dyDescent="0.3">
      <c r="A4" s="163" t="str">
        <f>정보!B10</f>
        <v>제작치수 반영 : MH + (2), JB/JD +(3 ),  늘어난치수K -(3),  C + (0),   U + (0), OP - (2),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2"/>
      <c r="W4" s="162"/>
      <c r="X4" s="162"/>
      <c r="Y4" s="162"/>
      <c r="Z4" s="162"/>
      <c r="AA4" s="162"/>
      <c r="AB4" s="162"/>
      <c r="AC4" s="162"/>
      <c r="AD4" s="164"/>
      <c r="AE4" s="173" t="s">
        <v>215</v>
      </c>
      <c r="AF4" s="173"/>
      <c r="AG4" s="75"/>
      <c r="AH4" s="9"/>
      <c r="AI4" s="9"/>
      <c r="AJ4" s="9"/>
    </row>
    <row r="5" spans="1:45" ht="25.9" customHeight="1" x14ac:dyDescent="0.3">
      <c r="A5" s="175" t="s">
        <v>0</v>
      </c>
      <c r="B5" s="167" t="s">
        <v>1</v>
      </c>
      <c r="C5" s="167" t="s">
        <v>2</v>
      </c>
      <c r="D5" s="167" t="s">
        <v>24</v>
      </c>
      <c r="E5" s="167" t="s">
        <v>3</v>
      </c>
      <c r="F5" s="167" t="s">
        <v>18</v>
      </c>
      <c r="G5" s="167" t="s">
        <v>4</v>
      </c>
      <c r="H5" s="167" t="s">
        <v>5</v>
      </c>
      <c r="I5" s="167" t="s">
        <v>6</v>
      </c>
      <c r="J5" s="167" t="s">
        <v>7</v>
      </c>
      <c r="K5" s="167" t="s">
        <v>47</v>
      </c>
      <c r="L5" s="167" t="s">
        <v>9</v>
      </c>
      <c r="M5" s="167" t="s">
        <v>12</v>
      </c>
      <c r="N5" s="167" t="s">
        <v>13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168" t="s">
        <v>48</v>
      </c>
      <c r="W5" s="168" t="s">
        <v>22</v>
      </c>
      <c r="X5" s="168" t="s">
        <v>23</v>
      </c>
      <c r="Y5" s="167" t="s">
        <v>21</v>
      </c>
      <c r="Z5" s="167"/>
      <c r="AA5" s="167"/>
      <c r="AB5" s="167"/>
      <c r="AC5" s="169" t="s">
        <v>91</v>
      </c>
      <c r="AD5" s="169" t="s">
        <v>92</v>
      </c>
      <c r="AE5" s="171" t="s">
        <v>212</v>
      </c>
      <c r="AF5" s="172"/>
      <c r="AG5" s="168" t="s">
        <v>199</v>
      </c>
      <c r="AH5" s="168" t="s">
        <v>203</v>
      </c>
      <c r="AI5" s="168"/>
      <c r="AJ5" s="168"/>
    </row>
    <row r="6" spans="1:45" ht="44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8"/>
      <c r="X6" s="168"/>
      <c r="Y6" s="8" t="s">
        <v>43</v>
      </c>
      <c r="Z6" s="8" t="s">
        <v>44</v>
      </c>
      <c r="AA6" s="8" t="s">
        <v>45</v>
      </c>
      <c r="AB6" s="8" t="s">
        <v>46</v>
      </c>
      <c r="AC6" s="170"/>
      <c r="AD6" s="170"/>
      <c r="AE6" s="74" t="s">
        <v>213</v>
      </c>
      <c r="AF6" s="74" t="s">
        <v>214</v>
      </c>
      <c r="AG6" s="167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>
        <v>1</v>
      </c>
      <c r="C7" s="4">
        <v>1113</v>
      </c>
      <c r="D7" s="4">
        <v>1113</v>
      </c>
      <c r="E7" s="4">
        <v>899</v>
      </c>
      <c r="F7" s="4">
        <v>992</v>
      </c>
      <c r="G7" s="4">
        <v>266</v>
      </c>
      <c r="H7" s="4">
        <v>266</v>
      </c>
      <c r="I7" s="4">
        <v>280</v>
      </c>
      <c r="J7" s="4">
        <v>280</v>
      </c>
      <c r="K7" s="13">
        <v>35</v>
      </c>
      <c r="L7" s="13">
        <v>28</v>
      </c>
      <c r="M7" s="4">
        <v>9</v>
      </c>
      <c r="N7" s="4">
        <v>9</v>
      </c>
      <c r="O7" s="375">
        <v>0</v>
      </c>
      <c r="P7" s="375">
        <v>0</v>
      </c>
      <c r="Q7" s="4">
        <v>2100</v>
      </c>
      <c r="R7" s="4">
        <v>2090</v>
      </c>
      <c r="S7" s="4">
        <v>2105</v>
      </c>
      <c r="T7" s="4">
        <v>2093</v>
      </c>
      <c r="U7" s="4">
        <v>30</v>
      </c>
      <c r="V7" s="4">
        <v>1</v>
      </c>
      <c r="W7" s="4">
        <v>30</v>
      </c>
      <c r="X7" s="4">
        <v>30</v>
      </c>
      <c r="Y7" s="4">
        <v>15</v>
      </c>
      <c r="Z7" s="4">
        <v>15</v>
      </c>
      <c r="AA7" s="4">
        <v>18</v>
      </c>
      <c r="AB7" s="4">
        <v>16</v>
      </c>
      <c r="AC7" s="4"/>
      <c r="AD7" s="4"/>
      <c r="AE7" s="4"/>
      <c r="AF7" s="4"/>
      <c r="AG7" s="4">
        <v>120</v>
      </c>
      <c r="AH7" s="4">
        <v>20</v>
      </c>
      <c r="AI7" s="4">
        <v>10</v>
      </c>
      <c r="AJ7" s="4">
        <v>20</v>
      </c>
      <c r="AK7" s="53"/>
      <c r="AL7" s="3">
        <f>Y7+$AK7</f>
        <v>15</v>
      </c>
      <c r="AM7" s="3">
        <f>Z7+$AK7</f>
        <v>15</v>
      </c>
      <c r="AN7" s="3">
        <f>AA7+$AK7</f>
        <v>18</v>
      </c>
      <c r="AO7" s="3">
        <f>AB7+$AK7</f>
        <v>16</v>
      </c>
      <c r="AP7" s="3">
        <f>G7-$AK7</f>
        <v>266</v>
      </c>
      <c r="AQ7" s="3">
        <f>H7-$AK7</f>
        <v>266</v>
      </c>
      <c r="AR7" s="3">
        <f>I7-$AK7</f>
        <v>280</v>
      </c>
      <c r="AS7" s="3">
        <f>J7-$AK7</f>
        <v>280</v>
      </c>
    </row>
    <row r="8" spans="1:45" ht="23.25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7"/>
  <sheetViews>
    <sheetView zoomScale="85" zoomScaleNormal="85" workbookViewId="0">
      <selection activeCell="AD21" sqref="AD2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76" t="str">
        <f>정보!C2</f>
        <v>(와이드) 제작변환 자료( 서울 영등포 당산리버드림빌 ) _김운호소장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37"/>
      <c r="AT1" s="37"/>
    </row>
    <row r="2" spans="1:61" ht="29.25" customHeight="1" x14ac:dyDescent="0.3">
      <c r="A2" s="23" t="s">
        <v>96</v>
      </c>
      <c r="B2" s="105">
        <v>2</v>
      </c>
      <c r="C2" s="27" t="s">
        <v>86</v>
      </c>
      <c r="D2" s="29">
        <v>0</v>
      </c>
      <c r="E2" s="27"/>
      <c r="F2" s="27" t="s">
        <v>87</v>
      </c>
      <c r="G2" s="30">
        <v>2</v>
      </c>
      <c r="H2" s="1"/>
      <c r="I2" s="217" t="s">
        <v>113</v>
      </c>
      <c r="J2" s="218"/>
      <c r="K2" s="218"/>
      <c r="L2" s="218"/>
      <c r="M2" s="219">
        <v>1</v>
      </c>
      <c r="N2" s="219"/>
      <c r="O2" s="189" t="s">
        <v>89</v>
      </c>
      <c r="P2" s="190"/>
      <c r="Q2" s="191">
        <v>0</v>
      </c>
      <c r="R2" s="191"/>
      <c r="S2" s="167" t="s">
        <v>83</v>
      </c>
      <c r="T2" s="193"/>
      <c r="U2" s="193"/>
      <c r="V2" s="194">
        <v>0</v>
      </c>
      <c r="W2" s="194"/>
      <c r="X2" s="212" t="s">
        <v>205</v>
      </c>
      <c r="Y2" s="213"/>
      <c r="Z2" s="216" t="str">
        <f>정보!B5</f>
        <v>OTIS HIL-A207 돌출형</v>
      </c>
      <c r="AA2" s="216"/>
      <c r="AB2" s="216"/>
      <c r="AC2" s="216"/>
      <c r="AD2" s="216"/>
      <c r="AE2" s="216"/>
      <c r="AF2" s="216"/>
      <c r="AG2" s="216"/>
      <c r="AH2" s="214" t="s">
        <v>90</v>
      </c>
      <c r="AI2" s="215"/>
      <c r="AJ2" s="226">
        <v>3</v>
      </c>
      <c r="AK2" s="226"/>
      <c r="AL2" s="1"/>
      <c r="AM2" s="181" t="s">
        <v>229</v>
      </c>
      <c r="AN2" s="223"/>
      <c r="AO2" s="224">
        <v>0</v>
      </c>
      <c r="AP2" s="224"/>
      <c r="AQ2" s="1"/>
      <c r="AR2" s="1"/>
    </row>
    <row r="3" spans="1:61" ht="24.75" customHeight="1" x14ac:dyDescent="0.3">
      <c r="A3" s="28" t="str">
        <f>'와이드(실측)'!A3</f>
        <v>현장명 : 서울 영등포 당산리버드림빌,   (재질) : HL 1.2T</v>
      </c>
      <c r="B3" s="2"/>
      <c r="C3" s="2"/>
      <c r="D3" s="2"/>
      <c r="E3" s="2"/>
      <c r="F3" s="2"/>
      <c r="G3" s="2"/>
      <c r="H3" s="2"/>
      <c r="I3" s="189" t="s">
        <v>228</v>
      </c>
      <c r="J3" s="189"/>
      <c r="K3" s="189"/>
      <c r="L3" s="189"/>
      <c r="M3" s="220">
        <v>3</v>
      </c>
      <c r="N3" s="220"/>
      <c r="O3" s="190" t="s">
        <v>77</v>
      </c>
      <c r="P3" s="190"/>
      <c r="Q3" s="197">
        <v>0</v>
      </c>
      <c r="R3" s="197"/>
      <c r="S3" s="198" t="s">
        <v>227</v>
      </c>
      <c r="T3" s="198"/>
      <c r="U3" s="198"/>
      <c r="V3" s="199">
        <f>BI7</f>
        <v>0</v>
      </c>
      <c r="W3" s="199"/>
      <c r="X3" s="192" t="s">
        <v>78</v>
      </c>
      <c r="Y3" s="192"/>
      <c r="Z3" s="200">
        <v>1</v>
      </c>
      <c r="AA3" s="200"/>
      <c r="AC3" s="201" t="s">
        <v>311</v>
      </c>
      <c r="AD3" s="201"/>
      <c r="AE3" s="201">
        <f>'와이드(실측)'!Y7</f>
        <v>15</v>
      </c>
      <c r="AF3" s="201"/>
      <c r="AG3" s="3"/>
      <c r="AH3" s="211" t="s">
        <v>73</v>
      </c>
      <c r="AI3" s="211"/>
      <c r="AJ3" s="26">
        <v>4</v>
      </c>
      <c r="AK3" s="15" t="s">
        <v>74</v>
      </c>
      <c r="AL3" s="14">
        <v>4</v>
      </c>
      <c r="AM3" s="225" t="s">
        <v>230</v>
      </c>
      <c r="AN3" s="225"/>
      <c r="AO3" s="227" t="s">
        <v>325</v>
      </c>
      <c r="AP3" s="228"/>
      <c r="AQ3" s="231">
        <f>AU7</f>
        <v>10.014055061678679</v>
      </c>
      <c r="AR3" s="232"/>
      <c r="BI3" s="177" t="s">
        <v>253</v>
      </c>
    </row>
    <row r="4" spans="1:61" ht="33" customHeight="1" x14ac:dyDescent="0.3">
      <c r="A4" s="202" t="str">
        <f>정보!B10</f>
        <v>제작치수 반영 : MH + (2), JB/JD +(3 ),  늘어난치수K -(3),  C + (0),   U + (0), OP - (2), R - (0),  기둥차감 - (0), A + (1)</v>
      </c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22">
        <f ca="1">TODAY()</f>
        <v>45272</v>
      </c>
      <c r="AH4" s="162"/>
      <c r="AI4" s="162"/>
      <c r="AJ4" s="9"/>
      <c r="AK4" s="221" t="s">
        <v>117</v>
      </c>
      <c r="AL4" s="221"/>
      <c r="AM4" s="173" t="s">
        <v>215</v>
      </c>
      <c r="AN4" s="173"/>
      <c r="AO4" s="84"/>
      <c r="AP4" s="229" t="s">
        <v>235</v>
      </c>
      <c r="AQ4" s="229"/>
      <c r="AR4" s="230"/>
      <c r="BI4" s="178"/>
    </row>
    <row r="5" spans="1:61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3</v>
      </c>
      <c r="F5" s="167" t="s">
        <v>18</v>
      </c>
      <c r="G5" s="167" t="s">
        <v>41</v>
      </c>
      <c r="H5" s="167" t="s">
        <v>42</v>
      </c>
      <c r="I5" s="203" t="s">
        <v>105</v>
      </c>
      <c r="J5" s="203" t="s">
        <v>106</v>
      </c>
      <c r="K5" s="207" t="s">
        <v>107</v>
      </c>
      <c r="L5" s="207" t="s">
        <v>108</v>
      </c>
      <c r="M5" s="209" t="s">
        <v>71</v>
      </c>
      <c r="N5" s="209" t="s">
        <v>72</v>
      </c>
      <c r="O5" s="167" t="s">
        <v>8</v>
      </c>
      <c r="P5" s="167" t="s">
        <v>9</v>
      </c>
      <c r="Q5" s="167" t="s">
        <v>12</v>
      </c>
      <c r="R5" s="167" t="s">
        <v>13</v>
      </c>
      <c r="S5" s="167" t="s">
        <v>10</v>
      </c>
      <c r="T5" s="167" t="s">
        <v>11</v>
      </c>
      <c r="U5" s="205" t="s">
        <v>14</v>
      </c>
      <c r="V5" s="205" t="s">
        <v>15</v>
      </c>
      <c r="W5" s="206" t="s">
        <v>16</v>
      </c>
      <c r="X5" s="206" t="s">
        <v>17</v>
      </c>
      <c r="Y5" s="167" t="s">
        <v>19</v>
      </c>
      <c r="Z5" s="167" t="s">
        <v>20</v>
      </c>
      <c r="AA5" s="168" t="s">
        <v>22</v>
      </c>
      <c r="AB5" s="168" t="s">
        <v>23</v>
      </c>
      <c r="AC5" s="195" t="s">
        <v>79</v>
      </c>
      <c r="AD5" s="196"/>
      <c r="AE5" s="196"/>
      <c r="AF5" s="196"/>
      <c r="AG5" s="187" t="s">
        <v>91</v>
      </c>
      <c r="AH5" s="187" t="s">
        <v>92</v>
      </c>
      <c r="AI5" s="179" t="s">
        <v>99</v>
      </c>
      <c r="AJ5" s="168" t="s">
        <v>61</v>
      </c>
      <c r="AK5" s="168" t="s">
        <v>34</v>
      </c>
      <c r="AL5" s="168" t="s">
        <v>35</v>
      </c>
      <c r="AM5" s="171" t="s">
        <v>212</v>
      </c>
      <c r="AN5" s="172"/>
      <c r="AO5" s="235" t="s">
        <v>199</v>
      </c>
      <c r="AP5" s="235" t="s">
        <v>204</v>
      </c>
      <c r="AQ5" s="235"/>
      <c r="AR5" s="235"/>
      <c r="AS5" s="177" t="s">
        <v>100</v>
      </c>
      <c r="AT5" s="177" t="s">
        <v>101</v>
      </c>
      <c r="AU5" s="178" t="s">
        <v>80</v>
      </c>
      <c r="AV5" s="182" t="s">
        <v>84</v>
      </c>
      <c r="AW5" s="185" t="s">
        <v>102</v>
      </c>
      <c r="AX5" s="184" t="s">
        <v>94</v>
      </c>
      <c r="AY5" s="184" t="s">
        <v>95</v>
      </c>
      <c r="AZ5" s="177" t="s">
        <v>93</v>
      </c>
      <c r="BC5" s="181" t="s">
        <v>28</v>
      </c>
      <c r="BD5" s="181"/>
      <c r="BE5" s="181" t="s">
        <v>29</v>
      </c>
      <c r="BF5" s="181"/>
      <c r="BG5" s="6" t="s">
        <v>50</v>
      </c>
      <c r="BH5" s="234" t="s">
        <v>104</v>
      </c>
      <c r="BI5" s="233" t="s">
        <v>226</v>
      </c>
    </row>
    <row r="6" spans="1:61" ht="48" customHeight="1" x14ac:dyDescent="0.3">
      <c r="A6" s="167"/>
      <c r="B6" s="167"/>
      <c r="C6" s="167"/>
      <c r="D6" s="167"/>
      <c r="E6" s="167"/>
      <c r="F6" s="167"/>
      <c r="G6" s="167"/>
      <c r="H6" s="167"/>
      <c r="I6" s="204"/>
      <c r="J6" s="204"/>
      <c r="K6" s="208"/>
      <c r="L6" s="208"/>
      <c r="M6" s="210"/>
      <c r="N6" s="210"/>
      <c r="O6" s="167"/>
      <c r="P6" s="167"/>
      <c r="Q6" s="167"/>
      <c r="R6" s="167"/>
      <c r="S6" s="167"/>
      <c r="T6" s="167"/>
      <c r="U6" s="205"/>
      <c r="V6" s="205"/>
      <c r="W6" s="206"/>
      <c r="X6" s="206"/>
      <c r="Y6" s="167"/>
      <c r="Z6" s="167"/>
      <c r="AA6" s="168"/>
      <c r="AB6" s="168"/>
      <c r="AC6" s="8" t="s">
        <v>67</v>
      </c>
      <c r="AD6" s="8" t="s">
        <v>68</v>
      </c>
      <c r="AE6" s="8" t="s">
        <v>69</v>
      </c>
      <c r="AF6" s="8" t="s">
        <v>70</v>
      </c>
      <c r="AG6" s="188"/>
      <c r="AH6" s="188"/>
      <c r="AI6" s="180"/>
      <c r="AJ6" s="168"/>
      <c r="AK6" s="167"/>
      <c r="AL6" s="167"/>
      <c r="AM6" s="74" t="s">
        <v>213</v>
      </c>
      <c r="AN6" s="74" t="s">
        <v>214</v>
      </c>
      <c r="AO6" s="236"/>
      <c r="AP6" s="109" t="s">
        <v>200</v>
      </c>
      <c r="AQ6" s="109" t="s">
        <v>201</v>
      </c>
      <c r="AR6" s="109" t="s">
        <v>202</v>
      </c>
      <c r="AS6" s="178"/>
      <c r="AT6" s="178"/>
      <c r="AU6" s="178"/>
      <c r="AV6" s="183"/>
      <c r="AW6" s="186"/>
      <c r="AX6" s="184"/>
      <c r="AY6" s="184"/>
      <c r="AZ6" s="178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4"/>
      <c r="BI6" s="233"/>
    </row>
    <row r="7" spans="1:61" ht="26.25" customHeight="1" x14ac:dyDescent="0.3">
      <c r="A7" s="31">
        <f>'와이드(실측)'!A7</f>
        <v>0</v>
      </c>
      <c r="B7" s="31" t="str">
        <f>'와이드(실측)'!B7&amp;"F"</f>
        <v>1F</v>
      </c>
      <c r="C7" s="31">
        <f>'와이드(실측)'!C7+와이드MH더함-IF(AND(소장="추영덕",Y7=0),1.2)</f>
        <v>1115</v>
      </c>
      <c r="D7" s="31">
        <f>'와이드(실측)'!D7+와이드MH더함-IF(AND(소장="추영덕",Y7=0),1.2)</f>
        <v>1115</v>
      </c>
      <c r="E7" s="135">
        <f>'와이드(실측)'!E7-와이드OP</f>
        <v>897</v>
      </c>
      <c r="F7" s="31">
        <f>'와이드(실측)'!F7-와이드R</f>
        <v>992</v>
      </c>
      <c r="G7" s="50">
        <f>'와이드(실측)'!G7+와이드JBJD키움치수+IF(BI7=1,AC7,0)</f>
        <v>269</v>
      </c>
      <c r="H7" s="50">
        <f>'와이드(실측)'!H7+와이드JBJD키움치수+IF(BI7=1,AE7,0)</f>
        <v>269</v>
      </c>
      <c r="I7" s="50">
        <f>'와이드(실측)'!I7+MAX(AS7,AT7)+와이드JBJD키움치수+IF(BI7=1,AC7,0)</f>
        <v>291</v>
      </c>
      <c r="J7" s="50">
        <f>'와이드(실측)'!I7+MAX(AS7,AT7)+와이드JBJD키움치수+IF(BI7=1,AD7,0)-IF(와이드JB하부늘치=1,'와이드(실측)'!Y7-'와이드(실측)'!Z7,0)</f>
        <v>291</v>
      </c>
      <c r="K7" s="50">
        <f>'와이드(실측)'!J7+MAX(AS7,AT7)+와이드JBJD키움치수+IF(BI7=1,AE7,0)</f>
        <v>291</v>
      </c>
      <c r="L7" s="50">
        <f>'와이드(실측)'!J7+MAX(AS7,AT7)+와이드JBJD키움치수+IF(BI7=1,AF7,0)-IF(와이드JB하부늘치=1,'와이드(실측)'!AA7-'와이드(실측)'!AB7,0)</f>
        <v>289</v>
      </c>
      <c r="M7" s="31">
        <f t="shared" ref="M7:N7" si="0">IF(소장="손상민",0,O7-1.5)</f>
        <v>33.5</v>
      </c>
      <c r="N7" s="31">
        <f t="shared" si="0"/>
        <v>26.5</v>
      </c>
      <c r="O7" s="31">
        <f>IF(S7&lt;9,'와이드(실측)'!K7+1.2,IF(ISNUMBER('와이드(실측)'!K7),'와이드(실측)'!K7+와이드C값,0))</f>
        <v>35</v>
      </c>
      <c r="P7" s="31">
        <f>IF(T7&lt;9,'와이드(실측)'!L7+1.2,IF(ISNUMBER('와이드(실측)'!L7),'와이드(실측)'!L7+와이드C값,0))</f>
        <v>28</v>
      </c>
      <c r="Q7" s="32">
        <f>ROUNDUP(AV7,1)</f>
        <v>17.600000000000001</v>
      </c>
      <c r="R7" s="38">
        <f>ROUNDUP(AW7,1)</f>
        <v>17.600000000000001</v>
      </c>
      <c r="S7" s="31">
        <f>IF(ISNUMBER('와이드(실측)'!O7),'와이드(실측)'!O7+와이드제작!AS7+와이드A늘림,0)</f>
        <v>9</v>
      </c>
      <c r="T7" s="31">
        <f>IF(ISNUMBER('와이드(실측)'!P7),'와이드(실측)'!P7+와이드제작!AT7+와이드A늘림,0)</f>
        <v>9</v>
      </c>
      <c r="U7" s="31">
        <f>'와이드(실측)'!Q7-와이드기둥차감</f>
        <v>2100</v>
      </c>
      <c r="V7" s="31">
        <f>'와이드(실측)'!R7-와이드기둥차감</f>
        <v>2090</v>
      </c>
      <c r="W7" s="31">
        <f>'와이드(실측)'!S7-와이드기둥차감</f>
        <v>2105</v>
      </c>
      <c r="X7" s="31">
        <f>'와이드(실측)'!T7-와이드기둥차감</f>
        <v>2093</v>
      </c>
      <c r="Y7" s="31">
        <f>IF(소장="손상민",IF(ISNUMBER('와이드(실측)'!U7),'와이드(실측)'!U7+1.2,0),IF(ISNUMBER('와이드(실측)'!U7),'와이드(실측)'!U7+와이드U,0))</f>
        <v>30</v>
      </c>
      <c r="Z7" s="31">
        <f>IF(소장="손상민",MAX(Q7,R7)+3.2,IF(ISNUMBER('와이드(실측)'!V7),'와이드(실측)'!V7+1.5+와이드제작!Q7+1,0))</f>
        <v>21.1</v>
      </c>
      <c r="AA7" s="31">
        <f>'와이드(실측)'!W7+뒷날개치수더함</f>
        <v>30</v>
      </c>
      <c r="AB7" s="31">
        <f>'와이드(실측)'!X7+뒷날개치수더함</f>
        <v>30</v>
      </c>
      <c r="AC7" s="31">
        <f>'와이드(실측)'!Y7-와이드늘치</f>
        <v>12</v>
      </c>
      <c r="AD7" s="31">
        <f>IF(와이드JB하부늘치=1,AC7,'와이드(실측)'!Z7-와이드늘치)</f>
        <v>12</v>
      </c>
      <c r="AE7" s="31">
        <f>'와이드(실측)'!AA7-와이드늘치</f>
        <v>15</v>
      </c>
      <c r="AF7" s="31">
        <f>IF(와이드JB하부늘치=1,AE7,'와이드(실측)'!AB7-와이드늘치)</f>
        <v>15</v>
      </c>
      <c r="AG7" s="31">
        <f xml:space="preserve"> IF(소장&lt;&gt;"손상민",IF('와이드(실측)'!AC7&gt;0,'와이드(실측)'!AC7,C7-1.2),IF('와이드(실측)'!AC7&gt;0,'와이드(실측)'!AC7+1.2,C7) )</f>
        <v>1113.8</v>
      </c>
      <c r="AH7" s="31">
        <f xml:space="preserve"> IF(소장&lt;&gt;"손상민",IF('와이드(실측)'!AD7&gt;0,'와이드(실측)'!AD7,D7-1.2),IF('와이드(실측)'!AD7&gt;0,'와이드(실측)'!AD7+1.2,D7))</f>
        <v>1113.8</v>
      </c>
      <c r="AI7" s="51">
        <f>IF(Z7&gt;0,Z7-MAX(Q7,R7),0)</f>
        <v>3.5</v>
      </c>
      <c r="AJ7" s="31" t="str">
        <f t="shared" ref="AJ7" si="1">BA7&amp;"*"&amp;BB7</f>
        <v>1052*1475.3</v>
      </c>
      <c r="AK7" s="31" t="str">
        <f t="shared" ref="AK7" si="2">BD7&amp;"*"&amp;BC7</f>
        <v>3213.8*372.2</v>
      </c>
      <c r="AL7" s="31" t="str">
        <f t="shared" ref="AL7" si="3">BF7&amp;"*"&amp;BE7</f>
        <v>3218.8*368.2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120</v>
      </c>
      <c r="AP7" s="31">
        <f>IF('와이드(실측)'!AH7&gt;5,'와이드(실측)'!AH7+뒷날개치수더함,'와이드(실측)'!AH7)</f>
        <v>20</v>
      </c>
      <c r="AQ7" s="31">
        <f>'와이드(실측)'!AI7</f>
        <v>10</v>
      </c>
      <c r="AR7" s="31">
        <f>'와이드(실측)'!AJ7</f>
        <v>20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8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8</v>
      </c>
      <c r="AU7" s="20">
        <f>DEGREES(ATAN((F7-E7)/2/(H7)))</f>
        <v>10.014055061678679</v>
      </c>
      <c r="AV7" s="21">
        <f>ABS(G7-COS(RADIANS(AU7))*I7)</f>
        <v>17.566651738915311</v>
      </c>
      <c r="AW7" s="21">
        <f>ABS(H7-COS(RADIANS(AU7))*K7)</f>
        <v>17.566651738915311</v>
      </c>
      <c r="AX7" s="21">
        <f>'와이드(실측)'!M7+AS7</f>
        <v>17</v>
      </c>
      <c r="AY7" s="21">
        <f>'와이드(실측)'!N7+AS7</f>
        <v>17</v>
      </c>
      <c r="AZ7" s="20">
        <f>AV7-MAX(AX7,AY7)</f>
        <v>0.5666517389153114</v>
      </c>
      <c r="BA7" s="41">
        <f>IF(소장&lt;&gt;"손상민",F7+IF(Y7+Z7&gt;0,N7+M7,0),F7)</f>
        <v>1052</v>
      </c>
      <c r="BB7" s="42">
        <f>MAX(C7,D7)+MAX(G7,H7)+AA7-1.2*$AJ$3+IF(BI7=0,MAX(AE7,AC7),0)+IF(Y7=0,1.2,0)+IF(Z7=0,1.2,0)+IF(소장&lt;&gt;"손상민", Y7+Z7,IF('와이드(실측)'!U7=0,0,2.4))</f>
        <v>1475.3</v>
      </c>
      <c r="BC7" s="41">
        <f>S7+O7+MAX(I7,J7)+AB7-1.2*$AL$3+IF(BI7=0,MAX(AD7,AC7),0)+IF(S7=0,1.2,0)-IF(AR7=90,2.4,0)</f>
        <v>372.2</v>
      </c>
      <c r="BD7" s="41">
        <f>MAX(U7,V7)+AG7</f>
        <v>3213.8</v>
      </c>
      <c r="BE7" s="41">
        <f>T7+P7+MAX(K7,L7)+AB7-1.2*$AL$3+IF(BI7=0,MAX(AE7,AF7),0)+IF(T7=0,1.2,0)-IF(AR7=90,2.4,0)</f>
        <v>368.2</v>
      </c>
      <c r="BF7" s="41">
        <f>MAX(W7,X7)+AH7</f>
        <v>3218.8</v>
      </c>
      <c r="BG7" s="6">
        <f t="shared" ref="BG7" si="4">I7-G7-Q7</f>
        <v>4.3999999999999986</v>
      </c>
      <c r="BH7" s="43" t="str">
        <f>IF(AND(C7&lt;&gt;D7,Y7&gt;0),"NG","")</f>
        <v/>
      </c>
      <c r="BI7" s="77">
        <f>IF(AND(MIN(AC7,AE7)&gt;=9.2,ABS(F7-E7)&gt;15),0,1)</f>
        <v>0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65" t="str">
        <f>정보!B3</f>
        <v>(멍텅구리) 실측서 ( 서울 영등포 당산리버드림빌 ) _김운호소장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서울 영등포 당산리버드림빌,   (재질) : HL 1.2T</v>
      </c>
      <c r="B3" s="2"/>
      <c r="C3" s="2"/>
      <c r="D3" s="2"/>
      <c r="E3" s="2"/>
      <c r="F3" s="2"/>
      <c r="G3" s="237"/>
      <c r="H3" s="237"/>
      <c r="I3" s="246"/>
      <c r="J3" s="246"/>
      <c r="K3" s="247"/>
      <c r="L3" s="247"/>
      <c r="M3" s="248"/>
      <c r="N3" s="248"/>
      <c r="O3" s="248"/>
      <c r="P3" s="243" t="s">
        <v>97</v>
      </c>
      <c r="Q3" s="243"/>
      <c r="R3" s="244"/>
      <c r="S3" s="244"/>
      <c r="T3" s="245"/>
      <c r="U3" s="245"/>
    </row>
    <row r="4" spans="1:39" ht="33" customHeight="1" x14ac:dyDescent="0.3">
      <c r="A4" s="163" t="str">
        <f>정보!B11</f>
        <v>제작치수 반영 : JB/JD +(3 ),  늘어난치수K -(3),  C + (0),  U +(0), OP - (2), R - (0),  기둥차감 - (0), 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9"/>
      <c r="AA4" s="9"/>
      <c r="AB4" s="173" t="s">
        <v>215</v>
      </c>
      <c r="AC4" s="173"/>
      <c r="AD4" s="81" t="s">
        <v>234</v>
      </c>
    </row>
    <row r="5" spans="1:39" ht="25.9" customHeight="1" x14ac:dyDescent="0.3">
      <c r="A5" s="175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167" t="s">
        <v>6</v>
      </c>
      <c r="H5" s="167" t="s">
        <v>7</v>
      </c>
      <c r="I5" s="167" t="s">
        <v>8</v>
      </c>
      <c r="J5" s="167" t="s">
        <v>9</v>
      </c>
      <c r="K5" s="167" t="s">
        <v>10</v>
      </c>
      <c r="L5" s="167" t="s">
        <v>11</v>
      </c>
      <c r="M5" s="167" t="s">
        <v>14</v>
      </c>
      <c r="N5" s="167" t="s">
        <v>15</v>
      </c>
      <c r="O5" s="167" t="s">
        <v>16</v>
      </c>
      <c r="P5" s="167" t="s">
        <v>17</v>
      </c>
      <c r="Q5" s="167" t="s">
        <v>19</v>
      </c>
      <c r="R5" s="167" t="s">
        <v>20</v>
      </c>
      <c r="S5" s="238" t="s">
        <v>22</v>
      </c>
      <c r="T5" s="238" t="s">
        <v>23</v>
      </c>
      <c r="U5" s="240" t="s">
        <v>21</v>
      </c>
      <c r="V5" s="241"/>
      <c r="W5" s="241"/>
      <c r="X5" s="242"/>
      <c r="Y5" s="168" t="s">
        <v>203</v>
      </c>
      <c r="Z5" s="168"/>
      <c r="AA5" s="168"/>
      <c r="AB5" s="171" t="s">
        <v>212</v>
      </c>
      <c r="AC5" s="172"/>
      <c r="AD5" s="80" t="s">
        <v>231</v>
      </c>
    </row>
    <row r="6" spans="1:39" ht="47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239"/>
      <c r="T6" s="239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  <mergeCell ref="N5:N6"/>
    <mergeCell ref="S5:S6"/>
    <mergeCell ref="O5:O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K5:K6"/>
    <mergeCell ref="J5:J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85" zoomScaleNormal="85" workbookViewId="0">
      <selection sqref="A1:AH1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65" t="str">
        <f>정보!C3</f>
        <v>(멍텅구리) 제작변환 자료( 서울 영등포 당산리버드림빌 ) _김운호소장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"/>
      <c r="AJ1" s="1"/>
      <c r="AK1" s="249" t="s">
        <v>75</v>
      </c>
      <c r="AL1" s="249"/>
      <c r="AM1" s="249"/>
      <c r="AR1" s="24"/>
    </row>
    <row r="2" spans="1:53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56" t="s">
        <v>81</v>
      </c>
      <c r="H2" s="256"/>
      <c r="I2" s="256"/>
      <c r="J2" s="262">
        <v>0</v>
      </c>
      <c r="K2" s="262"/>
      <c r="L2" s="259" t="s">
        <v>113</v>
      </c>
      <c r="M2" s="259"/>
      <c r="N2" s="259"/>
      <c r="O2" s="259"/>
      <c r="P2" s="260">
        <v>1</v>
      </c>
      <c r="Q2" s="260"/>
      <c r="R2" s="257" t="s">
        <v>103</v>
      </c>
      <c r="S2" s="258"/>
      <c r="T2" s="108">
        <v>0</v>
      </c>
      <c r="U2" s="257" t="s">
        <v>88</v>
      </c>
      <c r="V2" s="258"/>
      <c r="W2" s="255">
        <v>0</v>
      </c>
      <c r="X2" s="255"/>
      <c r="Y2" s="251" t="s">
        <v>82</v>
      </c>
      <c r="Z2" s="252"/>
      <c r="AA2" s="253">
        <v>0</v>
      </c>
      <c r="AB2" s="253"/>
      <c r="AC2" s="98" t="s">
        <v>114</v>
      </c>
      <c r="AD2" s="250">
        <v>3</v>
      </c>
      <c r="AE2" s="250"/>
      <c r="AF2" s="1"/>
      <c r="AG2" s="1"/>
      <c r="AH2" s="1"/>
      <c r="AI2" s="1"/>
      <c r="AJ2" s="1"/>
      <c r="AK2" s="249"/>
      <c r="AL2" s="249"/>
      <c r="AM2" s="249"/>
      <c r="AR2" s="24"/>
    </row>
    <row r="3" spans="1:53" ht="33" customHeight="1" x14ac:dyDescent="0.3">
      <c r="A3" s="33" t="str">
        <f>'멍텅(실측)'!A3</f>
        <v>현장명 : 서울 영등포 당산리버드림빌,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3</v>
      </c>
      <c r="K3" s="263"/>
      <c r="L3" s="251" t="s">
        <v>77</v>
      </c>
      <c r="M3" s="251"/>
      <c r="N3" s="264">
        <v>0</v>
      </c>
      <c r="O3" s="264"/>
      <c r="P3" s="265" t="s">
        <v>227</v>
      </c>
      <c r="Q3" s="265"/>
      <c r="R3" s="265"/>
      <c r="S3" s="266">
        <f>AZ7</f>
        <v>1</v>
      </c>
      <c r="T3" s="266"/>
      <c r="U3" s="261" t="s">
        <v>78</v>
      </c>
      <c r="V3" s="261"/>
      <c r="W3" s="254">
        <v>1</v>
      </c>
      <c r="X3" s="254"/>
      <c r="AA3" s="209" t="s">
        <v>73</v>
      </c>
      <c r="AB3" s="209"/>
      <c r="AC3" s="102">
        <v>3</v>
      </c>
      <c r="AD3" s="4" t="s">
        <v>74</v>
      </c>
      <c r="AE3" s="104">
        <v>4</v>
      </c>
      <c r="AF3" s="280" t="s">
        <v>326</v>
      </c>
      <c r="AG3" s="281"/>
      <c r="AH3" s="212"/>
      <c r="AI3" s="282" t="e">
        <f>AN7</f>
        <v>#DIV/0!</v>
      </c>
      <c r="AJ3" s="229"/>
      <c r="AK3" s="25"/>
      <c r="AL3" s="25"/>
      <c r="AM3" s="24"/>
      <c r="AR3" s="24"/>
    </row>
    <row r="4" spans="1:53" ht="33" customHeight="1" x14ac:dyDescent="0.3">
      <c r="A4" s="277" t="str">
        <f>'멍텅(실측)'!A4:Y4</f>
        <v>제작치수 반영 : JB/JD +(3 ),  늘어난치수K -(3),  C + (0),  U +(0), OP - (2), R - (0),  기둥차감 - (0),  A + (1)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5" t="s">
        <v>312</v>
      </c>
      <c r="Z4" s="275"/>
      <c r="AA4" s="276">
        <f>'멍텅(실측)'!U7</f>
        <v>0</v>
      </c>
      <c r="AB4" s="276"/>
      <c r="AC4" s="9"/>
      <c r="AD4" s="222">
        <f ca="1">TODAY()</f>
        <v>45272</v>
      </c>
      <c r="AE4" s="162"/>
      <c r="AF4" s="278" t="s">
        <v>235</v>
      </c>
      <c r="AG4" s="278"/>
      <c r="AH4" s="279"/>
      <c r="AI4" s="173" t="s">
        <v>215</v>
      </c>
      <c r="AJ4" s="173"/>
      <c r="AK4" s="25"/>
      <c r="AL4" s="25"/>
      <c r="AM4" s="24"/>
      <c r="AR4" s="24"/>
      <c r="AZ4" s="177" t="s">
        <v>253</v>
      </c>
    </row>
    <row r="5" spans="1:53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238" t="s">
        <v>62</v>
      </c>
      <c r="L5" s="238" t="s">
        <v>63</v>
      </c>
      <c r="M5" s="167" t="s">
        <v>8</v>
      </c>
      <c r="N5" s="167" t="s">
        <v>9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271" t="s">
        <v>20</v>
      </c>
      <c r="W5" s="238" t="s">
        <v>22</v>
      </c>
      <c r="X5" s="238" t="s">
        <v>23</v>
      </c>
      <c r="Y5" s="240" t="s">
        <v>21</v>
      </c>
      <c r="Z5" s="241"/>
      <c r="AA5" s="241"/>
      <c r="AB5" s="242"/>
      <c r="AC5" s="168" t="s">
        <v>25</v>
      </c>
      <c r="AD5" s="273" t="s">
        <v>34</v>
      </c>
      <c r="AE5" s="168" t="s">
        <v>35</v>
      </c>
      <c r="AF5" s="235" t="s">
        <v>203</v>
      </c>
      <c r="AG5" s="235"/>
      <c r="AH5" s="235"/>
      <c r="AI5" s="171" t="s">
        <v>212</v>
      </c>
      <c r="AJ5" s="172"/>
      <c r="AK5" s="177" t="s">
        <v>305</v>
      </c>
      <c r="AL5" s="177" t="s">
        <v>306</v>
      </c>
      <c r="AM5" s="272" t="s">
        <v>51</v>
      </c>
      <c r="AT5" s="178" t="s">
        <v>28</v>
      </c>
      <c r="AU5" s="178"/>
      <c r="AV5" s="178" t="s">
        <v>29</v>
      </c>
      <c r="AW5" s="178"/>
      <c r="AZ5" s="178"/>
    </row>
    <row r="6" spans="1:53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239"/>
      <c r="L6" s="239"/>
      <c r="M6" s="167"/>
      <c r="N6" s="167"/>
      <c r="O6" s="167"/>
      <c r="P6" s="167"/>
      <c r="Q6" s="167"/>
      <c r="R6" s="167"/>
      <c r="S6" s="167"/>
      <c r="T6" s="167"/>
      <c r="U6" s="167"/>
      <c r="V6" s="271"/>
      <c r="W6" s="239"/>
      <c r="X6" s="239"/>
      <c r="Y6" s="8" t="s">
        <v>56</v>
      </c>
      <c r="Z6" s="8" t="s">
        <v>57</v>
      </c>
      <c r="AA6" s="8" t="s">
        <v>54</v>
      </c>
      <c r="AB6" s="8" t="s">
        <v>55</v>
      </c>
      <c r="AC6" s="167"/>
      <c r="AD6" s="274"/>
      <c r="AE6" s="167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8"/>
      <c r="AL6" s="178"/>
      <c r="AM6" s="272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-2</v>
      </c>
      <c r="D7" s="4">
        <f>'멍텅(실측)'!D7-멍텅R</f>
        <v>0</v>
      </c>
      <c r="E7" s="50">
        <f>'멍텅(실측)'!E7+MAX(AK7,AL7)+IF(AZ7=1,Y7,0)+멍텅JBJD늘림치수</f>
        <v>0</v>
      </c>
      <c r="F7" s="50">
        <f>'멍텅(실측)'!F7+MAX(AK7,AL7)+IF(AZ7=1,AA7,0)+멍텅JBJD늘림치수</f>
        <v>0</v>
      </c>
      <c r="G7" s="50">
        <f>'멍텅(실측)'!G7+AK7+IF(AZ7=1,Y7,0)+멍텅JB강제키움+멍텅JBJD늘림치수</f>
        <v>0</v>
      </c>
      <c r="H7" s="50">
        <f>'멍텅(실측)'!G7+AK7+IF(AZ7=1,Z7,0)+멍텅JB강제키움+멍텅JBJD늘림치수-IF(멍텅JB하부늘치=1,'멍텅(실측)'!U7-'멍텅(실측)'!V7,0)</f>
        <v>0</v>
      </c>
      <c r="I7" s="50">
        <f>'멍텅(실측)'!H7+AL7+IF(AZ7=1,AA7,0)+멍텅JB강제키움+멍텅JBJD늘림치수</f>
        <v>0</v>
      </c>
      <c r="J7" s="50">
        <f>'멍텅(실측)'!H7+AL7+IF(AZ7=1,AB7,0)+멍텅JB강제키움+멍텅JBJD늘림치수-IF(멍텅JB하부늘치=1,'멍텅(실측)'!W7-'멍텅(실측)'!X7,0)</f>
        <v>0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-3</v>
      </c>
      <c r="Z7" s="13">
        <f>IF(멍텅JB하부늘치=1,Y7,'멍텅(실측)'!V7-멍텅늘치차감)</f>
        <v>-3</v>
      </c>
      <c r="AA7" s="13">
        <f>'멍텅(실측)'!W7-멍텅늘치차감</f>
        <v>-3</v>
      </c>
      <c r="AB7" s="13">
        <f>IF(멍텅JB하부늘치=1,AA7,'멍텅(실측)'!X7-멍텅늘치차감)</f>
        <v>-3</v>
      </c>
      <c r="AC7" s="11" t="str">
        <f t="shared" ref="AC7" si="1">AR7&amp;"*"&amp;AS7</f>
        <v>0*-2.4</v>
      </c>
      <c r="AD7" s="12" t="str">
        <f t="shared" ref="AD7" si="2">AU7&amp;"*"&amp;AT7</f>
        <v>0*-2.6</v>
      </c>
      <c r="AE7" s="10" t="str">
        <f t="shared" ref="AE7" si="3">AW7&amp;"*"&amp;AV7</f>
        <v>0*-2.6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 t="e">
        <f t="shared" ref="AN7" si="4">DEGREES(ATAN((D7-C7)/2/(E7)))</f>
        <v>#DIV/0!</v>
      </c>
      <c r="AO7" s="36" t="e">
        <f>IF(소장="박철우",E7-COS(RADIANS(AN7))*G7+2,E7-COS(RADIANS(AN7))*G7)</f>
        <v>#DIV/0!</v>
      </c>
      <c r="AP7" s="36" t="e">
        <f>IF(소장="박철우",F7-COS(RADIANS(AN7))*I7+2,F7-COS(RADIANS(AN7))*I7)</f>
        <v>#DIV/0!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-2.3999999999999995</v>
      </c>
      <c r="AT7" s="3">
        <f>O7+M7+MAX(G7,H7)+X7-1.2*$AE$3+IF(AZ7=0,MAX(Y7,Z7))+IF(O7=0,1.2,0)-IF(AH7=90,2.4,0)</f>
        <v>-2.5999999999999996</v>
      </c>
      <c r="AU7" s="3">
        <f t="shared" ref="AU7" si="6">MAX(Q7,R7)</f>
        <v>0</v>
      </c>
      <c r="AV7" s="3">
        <f>P7+N7+MAX(I7,J7)+X7-1.2*$AE$3+IF(AZ7=0,MAX(AA7,AB7))+IF(P7=0,1.2,0)-IF(AH7=90,2.4,0)</f>
        <v>-2.5999999999999996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activeCell="P23" sqref="P23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서울 영등포 당산리버드림빌 ) _김운호소장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서울 영등포 당산리버드림빌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8" t="s">
        <v>203</v>
      </c>
      <c r="U5" s="168"/>
      <c r="V5" s="168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60"/>
      <c r="B7" s="60">
        <v>18</v>
      </c>
      <c r="C7" s="376">
        <v>899</v>
      </c>
      <c r="D7" s="376">
        <v>76</v>
      </c>
      <c r="E7" s="376">
        <v>75</v>
      </c>
      <c r="F7" s="376">
        <v>22</v>
      </c>
      <c r="G7" s="376">
        <v>22</v>
      </c>
      <c r="H7" s="60">
        <v>30</v>
      </c>
      <c r="I7" s="60">
        <v>26</v>
      </c>
      <c r="J7" s="377">
        <v>2090</v>
      </c>
      <c r="K7" s="377">
        <v>2090</v>
      </c>
      <c r="L7" s="377">
        <v>2095</v>
      </c>
      <c r="M7" s="377">
        <v>2095</v>
      </c>
      <c r="N7" s="377">
        <v>23</v>
      </c>
      <c r="O7" s="377">
        <v>23</v>
      </c>
      <c r="P7" s="377">
        <v>30</v>
      </c>
      <c r="Q7" s="377">
        <v>30</v>
      </c>
      <c r="R7" s="60"/>
      <c r="S7" s="60"/>
      <c r="T7" s="4">
        <v>20</v>
      </c>
      <c r="U7" s="4">
        <v>10</v>
      </c>
      <c r="V7" s="4">
        <v>20</v>
      </c>
    </row>
    <row r="8" spans="1:22" ht="18" customHeight="1" x14ac:dyDescent="0.3">
      <c r="A8" s="60"/>
      <c r="B8" s="60">
        <v>17</v>
      </c>
      <c r="C8" s="376">
        <v>898</v>
      </c>
      <c r="D8" s="376">
        <v>76</v>
      </c>
      <c r="E8" s="376">
        <v>75</v>
      </c>
      <c r="F8" s="60">
        <v>26</v>
      </c>
      <c r="G8" s="60">
        <v>20</v>
      </c>
      <c r="H8" s="376">
        <v>21</v>
      </c>
      <c r="I8" s="376">
        <v>21</v>
      </c>
      <c r="J8" s="377">
        <v>2092</v>
      </c>
      <c r="K8" s="377">
        <v>2092</v>
      </c>
      <c r="L8" s="377">
        <v>2092</v>
      </c>
      <c r="M8" s="377">
        <v>2092</v>
      </c>
      <c r="N8" s="377">
        <v>21</v>
      </c>
      <c r="O8" s="377">
        <v>21</v>
      </c>
      <c r="P8" s="377">
        <v>30</v>
      </c>
      <c r="Q8" s="377">
        <v>30</v>
      </c>
      <c r="R8" s="60"/>
      <c r="S8" s="60"/>
      <c r="T8" s="4">
        <v>20</v>
      </c>
      <c r="U8" s="4">
        <v>10</v>
      </c>
      <c r="V8" s="4">
        <v>20</v>
      </c>
    </row>
    <row r="9" spans="1:22" x14ac:dyDescent="0.3">
      <c r="A9" s="60"/>
      <c r="B9" s="60">
        <v>16</v>
      </c>
      <c r="C9" s="376">
        <v>898</v>
      </c>
      <c r="D9" s="376">
        <v>76</v>
      </c>
      <c r="E9" s="376">
        <v>75</v>
      </c>
      <c r="F9" s="60">
        <v>22</v>
      </c>
      <c r="G9" s="60">
        <v>20</v>
      </c>
      <c r="H9" s="60">
        <v>26</v>
      </c>
      <c r="I9" s="60">
        <v>21</v>
      </c>
      <c r="J9" s="377">
        <v>2090</v>
      </c>
      <c r="K9" s="377">
        <v>2090</v>
      </c>
      <c r="L9" s="377">
        <v>2090</v>
      </c>
      <c r="M9" s="377">
        <v>2090</v>
      </c>
      <c r="N9" s="377">
        <v>22</v>
      </c>
      <c r="O9" s="377">
        <v>22</v>
      </c>
      <c r="P9" s="377">
        <v>30</v>
      </c>
      <c r="Q9" s="377">
        <v>30</v>
      </c>
      <c r="R9" s="60"/>
      <c r="S9" s="60"/>
      <c r="T9" s="4">
        <v>20</v>
      </c>
      <c r="U9" s="4">
        <v>10</v>
      </c>
      <c r="V9" s="4">
        <v>20</v>
      </c>
    </row>
    <row r="10" spans="1:22" x14ac:dyDescent="0.3">
      <c r="A10" s="60"/>
      <c r="B10" s="60">
        <v>15</v>
      </c>
      <c r="C10" s="376">
        <v>898</v>
      </c>
      <c r="D10" s="376">
        <v>76</v>
      </c>
      <c r="E10" s="376">
        <v>75</v>
      </c>
      <c r="F10" s="376">
        <v>20</v>
      </c>
      <c r="G10" s="376">
        <v>20</v>
      </c>
      <c r="H10" s="60">
        <v>25</v>
      </c>
      <c r="I10" s="60">
        <v>20</v>
      </c>
      <c r="J10" s="377">
        <v>2093</v>
      </c>
      <c r="K10" s="377">
        <v>2093</v>
      </c>
      <c r="L10" s="377">
        <v>2090</v>
      </c>
      <c r="M10" s="377">
        <v>2090</v>
      </c>
      <c r="N10" s="377">
        <v>19</v>
      </c>
      <c r="O10" s="377">
        <v>19</v>
      </c>
      <c r="P10" s="377">
        <v>30</v>
      </c>
      <c r="Q10" s="377">
        <v>30</v>
      </c>
      <c r="R10" s="60"/>
      <c r="S10" s="60"/>
      <c r="T10" s="4">
        <v>20</v>
      </c>
      <c r="U10" s="4">
        <v>10</v>
      </c>
      <c r="V10" s="4">
        <v>20</v>
      </c>
    </row>
    <row r="11" spans="1:22" x14ac:dyDescent="0.3">
      <c r="A11" s="60"/>
      <c r="B11" s="60">
        <v>14</v>
      </c>
      <c r="C11" s="376">
        <v>898</v>
      </c>
      <c r="D11" s="376">
        <v>76</v>
      </c>
      <c r="E11" s="376">
        <v>75</v>
      </c>
      <c r="F11" s="376">
        <v>19</v>
      </c>
      <c r="G11" s="376">
        <v>19</v>
      </c>
      <c r="H11" s="376">
        <v>19</v>
      </c>
      <c r="I11" s="376">
        <v>19</v>
      </c>
      <c r="J11" s="377">
        <v>2095</v>
      </c>
      <c r="K11" s="377">
        <v>2095</v>
      </c>
      <c r="L11" s="377">
        <v>2090</v>
      </c>
      <c r="M11" s="377">
        <v>2090</v>
      </c>
      <c r="N11" s="377">
        <v>24</v>
      </c>
      <c r="O11" s="377">
        <v>24</v>
      </c>
      <c r="P11" s="377">
        <v>30</v>
      </c>
      <c r="Q11" s="377">
        <v>30</v>
      </c>
      <c r="R11" s="60"/>
      <c r="S11" s="60"/>
      <c r="T11" s="4">
        <v>20</v>
      </c>
      <c r="U11" s="4">
        <v>10</v>
      </c>
      <c r="V11" s="4">
        <v>20</v>
      </c>
    </row>
    <row r="12" spans="1:22" x14ac:dyDescent="0.3">
      <c r="A12" s="60"/>
      <c r="B12" s="60">
        <v>13</v>
      </c>
      <c r="C12" s="376">
        <v>897</v>
      </c>
      <c r="D12" s="376">
        <v>76</v>
      </c>
      <c r="E12" s="376">
        <v>75</v>
      </c>
      <c r="F12" s="60">
        <v>28</v>
      </c>
      <c r="G12" s="60">
        <v>25</v>
      </c>
      <c r="H12" s="376">
        <v>28</v>
      </c>
      <c r="I12" s="376">
        <v>28</v>
      </c>
      <c r="J12" s="377">
        <v>2095</v>
      </c>
      <c r="K12" s="377">
        <v>2095</v>
      </c>
      <c r="L12" s="377">
        <v>2091</v>
      </c>
      <c r="M12" s="377">
        <v>2091</v>
      </c>
      <c r="N12" s="377">
        <v>20</v>
      </c>
      <c r="O12" s="377">
        <v>20</v>
      </c>
      <c r="P12" s="377">
        <v>30</v>
      </c>
      <c r="Q12" s="377">
        <v>30</v>
      </c>
      <c r="R12" s="60"/>
      <c r="S12" s="60"/>
      <c r="T12" s="4">
        <v>20</v>
      </c>
      <c r="U12" s="4">
        <v>10</v>
      </c>
      <c r="V12" s="4">
        <v>20</v>
      </c>
    </row>
    <row r="13" spans="1:22" x14ac:dyDescent="0.3">
      <c r="A13" s="60"/>
      <c r="B13" s="60">
        <v>12</v>
      </c>
      <c r="C13" s="376">
        <v>897</v>
      </c>
      <c r="D13" s="376">
        <v>76</v>
      </c>
      <c r="E13" s="376">
        <v>75</v>
      </c>
      <c r="F13" s="376">
        <v>22</v>
      </c>
      <c r="G13" s="376">
        <v>22</v>
      </c>
      <c r="H13" s="376">
        <v>25</v>
      </c>
      <c r="I13" s="376">
        <v>25</v>
      </c>
      <c r="J13" s="377">
        <v>2091</v>
      </c>
      <c r="K13" s="377">
        <v>2091</v>
      </c>
      <c r="L13" s="377">
        <v>2093</v>
      </c>
      <c r="M13" s="377">
        <v>2093</v>
      </c>
      <c r="N13" s="377">
        <v>30</v>
      </c>
      <c r="O13" s="377">
        <v>30</v>
      </c>
      <c r="P13" s="377">
        <v>30</v>
      </c>
      <c r="Q13" s="377">
        <v>30</v>
      </c>
      <c r="R13" s="60"/>
      <c r="S13" s="60"/>
      <c r="T13" s="4">
        <v>20</v>
      </c>
      <c r="U13" s="4">
        <v>10</v>
      </c>
      <c r="V13" s="4">
        <v>20</v>
      </c>
    </row>
    <row r="14" spans="1:22" x14ac:dyDescent="0.3">
      <c r="A14" s="60"/>
      <c r="B14" s="60">
        <v>11</v>
      </c>
      <c r="C14" s="376">
        <v>898</v>
      </c>
      <c r="D14" s="376">
        <v>76</v>
      </c>
      <c r="E14" s="376">
        <v>75</v>
      </c>
      <c r="F14" s="376">
        <v>21</v>
      </c>
      <c r="G14" s="376">
        <v>21</v>
      </c>
      <c r="H14" s="376">
        <v>21</v>
      </c>
      <c r="I14" s="376">
        <v>21</v>
      </c>
      <c r="J14" s="377">
        <v>2090</v>
      </c>
      <c r="K14" s="377">
        <v>2090</v>
      </c>
      <c r="L14" s="377">
        <v>2083</v>
      </c>
      <c r="M14" s="377">
        <v>2083</v>
      </c>
      <c r="N14" s="119">
        <v>20</v>
      </c>
      <c r="O14" s="119">
        <v>27</v>
      </c>
      <c r="P14" s="377">
        <v>30</v>
      </c>
      <c r="Q14" s="377">
        <v>30</v>
      </c>
      <c r="R14" s="60"/>
      <c r="S14" s="60"/>
      <c r="T14" s="4">
        <v>20</v>
      </c>
      <c r="U14" s="4">
        <v>10</v>
      </c>
      <c r="V14" s="4">
        <v>20</v>
      </c>
    </row>
    <row r="15" spans="1:22" x14ac:dyDescent="0.3">
      <c r="A15" s="60"/>
      <c r="B15" s="60">
        <v>10</v>
      </c>
      <c r="C15" s="376">
        <v>897</v>
      </c>
      <c r="D15" s="376">
        <v>76</v>
      </c>
      <c r="E15" s="376">
        <v>75</v>
      </c>
      <c r="F15" s="376">
        <v>25</v>
      </c>
      <c r="G15" s="376">
        <v>25</v>
      </c>
      <c r="H15" s="60">
        <v>24</v>
      </c>
      <c r="I15" s="60">
        <v>29</v>
      </c>
      <c r="J15" s="377">
        <v>2092</v>
      </c>
      <c r="K15" s="377">
        <v>2092</v>
      </c>
      <c r="L15" s="377">
        <v>2090</v>
      </c>
      <c r="M15" s="377">
        <v>2090</v>
      </c>
      <c r="N15" s="377">
        <v>27</v>
      </c>
      <c r="O15" s="377">
        <v>27</v>
      </c>
      <c r="P15" s="377">
        <v>30</v>
      </c>
      <c r="Q15" s="377">
        <v>30</v>
      </c>
      <c r="R15" s="60"/>
      <c r="S15" s="60"/>
      <c r="T15" s="4">
        <v>20</v>
      </c>
      <c r="U15" s="4">
        <v>10</v>
      </c>
      <c r="V15" s="4">
        <v>20</v>
      </c>
    </row>
    <row r="16" spans="1:22" x14ac:dyDescent="0.3">
      <c r="A16" s="60"/>
      <c r="B16" s="60">
        <v>9</v>
      </c>
      <c r="C16" s="376">
        <v>898</v>
      </c>
      <c r="D16" s="376">
        <v>76</v>
      </c>
      <c r="E16" s="376">
        <v>75</v>
      </c>
      <c r="F16" s="376">
        <v>21</v>
      </c>
      <c r="G16" s="376">
        <v>21</v>
      </c>
      <c r="H16" s="376">
        <v>23</v>
      </c>
      <c r="I16" s="376">
        <v>23</v>
      </c>
      <c r="J16" s="377">
        <v>2092</v>
      </c>
      <c r="K16" s="377">
        <v>2092</v>
      </c>
      <c r="L16" s="377">
        <v>2092</v>
      </c>
      <c r="M16" s="377">
        <v>2092</v>
      </c>
      <c r="N16" s="119">
        <v>28</v>
      </c>
      <c r="O16" s="119">
        <v>23</v>
      </c>
      <c r="P16" s="377">
        <v>30</v>
      </c>
      <c r="Q16" s="377">
        <v>30</v>
      </c>
      <c r="R16" s="60"/>
      <c r="S16" s="60"/>
      <c r="T16" s="4">
        <v>20</v>
      </c>
      <c r="U16" s="4">
        <v>10</v>
      </c>
      <c r="V16" s="4">
        <v>20</v>
      </c>
    </row>
    <row r="17" spans="1:22" x14ac:dyDescent="0.3">
      <c r="A17" s="60"/>
      <c r="B17" s="60">
        <v>8</v>
      </c>
      <c r="C17" s="376">
        <v>898</v>
      </c>
      <c r="D17" s="376">
        <v>76</v>
      </c>
      <c r="E17" s="376">
        <v>75</v>
      </c>
      <c r="F17" s="376">
        <v>20</v>
      </c>
      <c r="G17" s="376">
        <v>20</v>
      </c>
      <c r="H17" s="376">
        <v>19</v>
      </c>
      <c r="I17" s="376">
        <v>19</v>
      </c>
      <c r="J17" s="377">
        <v>2093</v>
      </c>
      <c r="K17" s="377">
        <v>2093</v>
      </c>
      <c r="L17" s="377">
        <v>2093</v>
      </c>
      <c r="M17" s="377">
        <v>2093</v>
      </c>
      <c r="N17" s="377">
        <v>20</v>
      </c>
      <c r="O17" s="377">
        <v>20</v>
      </c>
      <c r="P17" s="377">
        <v>30</v>
      </c>
      <c r="Q17" s="377">
        <v>30</v>
      </c>
      <c r="R17" s="60"/>
      <c r="S17" s="60"/>
      <c r="T17" s="4">
        <v>20</v>
      </c>
      <c r="U17" s="4">
        <v>10</v>
      </c>
      <c r="V17" s="4">
        <v>20</v>
      </c>
    </row>
    <row r="18" spans="1:22" x14ac:dyDescent="0.3">
      <c r="A18" s="60"/>
      <c r="B18" s="60">
        <v>7</v>
      </c>
      <c r="C18" s="376">
        <v>897</v>
      </c>
      <c r="D18" s="376">
        <v>76</v>
      </c>
      <c r="E18" s="376">
        <v>75</v>
      </c>
      <c r="F18" s="376">
        <v>25</v>
      </c>
      <c r="G18" s="376">
        <v>25</v>
      </c>
      <c r="H18" s="376">
        <v>28</v>
      </c>
      <c r="I18" s="376">
        <v>28</v>
      </c>
      <c r="J18" s="377">
        <v>2090</v>
      </c>
      <c r="K18" s="377">
        <v>2090</v>
      </c>
      <c r="L18" s="377">
        <v>2083</v>
      </c>
      <c r="M18" s="377">
        <v>2083</v>
      </c>
      <c r="N18" s="377">
        <v>26</v>
      </c>
      <c r="O18" s="377">
        <v>26</v>
      </c>
      <c r="P18" s="377">
        <v>30</v>
      </c>
      <c r="Q18" s="377">
        <v>30</v>
      </c>
      <c r="R18" s="60"/>
      <c r="S18" s="60"/>
      <c r="T18" s="4">
        <v>20</v>
      </c>
      <c r="U18" s="4">
        <v>10</v>
      </c>
      <c r="V18" s="4">
        <v>20</v>
      </c>
    </row>
    <row r="19" spans="1:22" x14ac:dyDescent="0.3">
      <c r="A19" s="60"/>
      <c r="B19" s="60">
        <v>6</v>
      </c>
      <c r="C19" s="376">
        <v>897</v>
      </c>
      <c r="D19" s="376">
        <v>76</v>
      </c>
      <c r="E19" s="376">
        <v>75</v>
      </c>
      <c r="F19" s="376">
        <v>29</v>
      </c>
      <c r="G19" s="376">
        <v>29</v>
      </c>
      <c r="H19" s="376">
        <v>27</v>
      </c>
      <c r="I19" s="376">
        <v>27</v>
      </c>
      <c r="J19" s="377">
        <v>2085</v>
      </c>
      <c r="K19" s="377">
        <v>2085</v>
      </c>
      <c r="L19" s="377">
        <v>2087</v>
      </c>
      <c r="M19" s="377">
        <v>2087</v>
      </c>
      <c r="N19" s="119">
        <v>23</v>
      </c>
      <c r="O19" s="119">
        <v>26</v>
      </c>
      <c r="P19" s="377">
        <v>30</v>
      </c>
      <c r="Q19" s="377">
        <v>30</v>
      </c>
      <c r="R19" s="60"/>
      <c r="S19" s="60"/>
      <c r="T19" s="4">
        <v>20</v>
      </c>
      <c r="U19" s="4">
        <v>10</v>
      </c>
      <c r="V19" s="4">
        <v>20</v>
      </c>
    </row>
    <row r="20" spans="1:22" x14ac:dyDescent="0.3">
      <c r="A20" s="60"/>
      <c r="B20" s="60">
        <v>5</v>
      </c>
      <c r="C20" s="376">
        <v>898</v>
      </c>
      <c r="D20" s="376">
        <v>76</v>
      </c>
      <c r="E20" s="376">
        <v>75</v>
      </c>
      <c r="F20" s="376">
        <v>21</v>
      </c>
      <c r="G20" s="376">
        <v>21</v>
      </c>
      <c r="H20" s="376">
        <v>21</v>
      </c>
      <c r="I20" s="376">
        <v>21</v>
      </c>
      <c r="J20" s="377">
        <v>2092</v>
      </c>
      <c r="K20" s="377">
        <v>2092</v>
      </c>
      <c r="L20" s="377">
        <v>2090</v>
      </c>
      <c r="M20" s="377">
        <v>2090</v>
      </c>
      <c r="N20" s="377">
        <v>21</v>
      </c>
      <c r="O20" s="377">
        <v>21</v>
      </c>
      <c r="P20" s="377">
        <v>30</v>
      </c>
      <c r="Q20" s="377">
        <v>30</v>
      </c>
      <c r="R20" s="60"/>
      <c r="S20" s="60"/>
      <c r="T20" s="4">
        <v>20</v>
      </c>
      <c r="U20" s="4">
        <v>10</v>
      </c>
      <c r="V20" s="4">
        <v>20</v>
      </c>
    </row>
    <row r="21" spans="1:22" x14ac:dyDescent="0.3">
      <c r="A21" s="60"/>
      <c r="B21" s="60">
        <v>4</v>
      </c>
      <c r="C21" s="376">
        <v>899</v>
      </c>
      <c r="D21" s="376">
        <v>76</v>
      </c>
      <c r="E21" s="376">
        <v>75</v>
      </c>
      <c r="F21" s="60">
        <v>25</v>
      </c>
      <c r="G21" s="60">
        <v>21</v>
      </c>
      <c r="H21" s="376">
        <v>23</v>
      </c>
      <c r="I21" s="376">
        <v>23</v>
      </c>
      <c r="J21" s="377">
        <v>2090</v>
      </c>
      <c r="K21" s="377">
        <v>2090</v>
      </c>
      <c r="L21" s="377">
        <v>2090</v>
      </c>
      <c r="M21" s="377">
        <v>2090</v>
      </c>
      <c r="N21" s="377">
        <v>23</v>
      </c>
      <c r="O21" s="377">
        <v>23</v>
      </c>
      <c r="P21" s="377">
        <v>30</v>
      </c>
      <c r="Q21" s="377">
        <v>30</v>
      </c>
      <c r="R21" s="60"/>
      <c r="S21" s="60"/>
      <c r="T21" s="4">
        <v>20</v>
      </c>
      <c r="U21" s="4">
        <v>10</v>
      </c>
      <c r="V21" s="4">
        <v>20</v>
      </c>
    </row>
    <row r="22" spans="1:22" x14ac:dyDescent="0.3">
      <c r="A22" s="60"/>
      <c r="B22" s="60">
        <v>3</v>
      </c>
      <c r="C22" s="376">
        <v>900</v>
      </c>
      <c r="D22" s="376">
        <v>76</v>
      </c>
      <c r="E22" s="376">
        <v>75</v>
      </c>
      <c r="F22" s="376">
        <v>20</v>
      </c>
      <c r="G22" s="376">
        <v>20</v>
      </c>
      <c r="H22" s="376">
        <v>20</v>
      </c>
      <c r="I22" s="376">
        <v>20</v>
      </c>
      <c r="J22" s="377">
        <v>2093</v>
      </c>
      <c r="K22" s="377">
        <v>2093</v>
      </c>
      <c r="L22" s="377">
        <v>2090</v>
      </c>
      <c r="M22" s="377">
        <v>2090</v>
      </c>
      <c r="N22" s="377">
        <v>20</v>
      </c>
      <c r="O22" s="377">
        <v>20</v>
      </c>
      <c r="P22" s="377">
        <v>30</v>
      </c>
      <c r="Q22" s="377">
        <v>30</v>
      </c>
      <c r="R22" s="60"/>
      <c r="S22" s="60"/>
      <c r="T22" s="4">
        <v>20</v>
      </c>
      <c r="U22" s="4">
        <v>10</v>
      </c>
      <c r="V22" s="4">
        <v>20</v>
      </c>
    </row>
    <row r="23" spans="1:22" x14ac:dyDescent="0.3">
      <c r="A23" s="60"/>
      <c r="B23" s="60">
        <v>2</v>
      </c>
      <c r="C23" s="376">
        <v>901</v>
      </c>
      <c r="D23" s="376">
        <v>76</v>
      </c>
      <c r="E23" s="376">
        <v>75</v>
      </c>
      <c r="F23" s="60">
        <v>28</v>
      </c>
      <c r="G23" s="60">
        <v>24</v>
      </c>
      <c r="H23" s="376">
        <v>22</v>
      </c>
      <c r="I23" s="376">
        <v>22</v>
      </c>
      <c r="J23" s="377">
        <v>2090</v>
      </c>
      <c r="K23" s="377">
        <v>2090</v>
      </c>
      <c r="L23" s="377">
        <v>2086</v>
      </c>
      <c r="M23" s="377">
        <v>2086</v>
      </c>
      <c r="N23" s="377">
        <v>22</v>
      </c>
      <c r="O23" s="377">
        <v>22</v>
      </c>
      <c r="P23" s="377">
        <v>30</v>
      </c>
      <c r="Q23" s="377">
        <v>30</v>
      </c>
      <c r="R23" s="60"/>
      <c r="S23" s="60"/>
      <c r="T23" s="4">
        <v>20</v>
      </c>
      <c r="U23" s="4">
        <v>10</v>
      </c>
      <c r="V23" s="4">
        <v>20</v>
      </c>
    </row>
    <row r="24" spans="1:22" x14ac:dyDescent="0.3">
      <c r="A24" s="60"/>
      <c r="B24" s="60" t="s">
        <v>338</v>
      </c>
      <c r="C24" s="376">
        <v>902</v>
      </c>
      <c r="D24" s="376">
        <v>76</v>
      </c>
      <c r="E24" s="376">
        <v>75</v>
      </c>
      <c r="F24" s="60">
        <v>28</v>
      </c>
      <c r="G24" s="60">
        <v>24</v>
      </c>
      <c r="H24" s="60">
        <v>25</v>
      </c>
      <c r="I24" s="60">
        <v>28</v>
      </c>
      <c r="J24" s="377">
        <v>2094</v>
      </c>
      <c r="K24" s="377">
        <v>2094</v>
      </c>
      <c r="L24" s="377">
        <v>2094</v>
      </c>
      <c r="M24" s="377">
        <v>2094</v>
      </c>
      <c r="N24" s="377">
        <v>13</v>
      </c>
      <c r="O24" s="377">
        <v>13</v>
      </c>
      <c r="P24" s="377">
        <v>30</v>
      </c>
      <c r="Q24" s="377">
        <v>30</v>
      </c>
      <c r="R24" s="60"/>
      <c r="S24" s="60"/>
      <c r="T24" s="4">
        <v>20</v>
      </c>
      <c r="U24" s="4">
        <v>10</v>
      </c>
      <c r="V24" s="4">
        <v>20</v>
      </c>
    </row>
    <row r="25" spans="1:22" x14ac:dyDescent="0.3">
      <c r="A25" s="60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60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60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60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60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60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60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60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60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60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H5:H6"/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4"/>
  <sheetViews>
    <sheetView tabSelected="1" zoomScale="85" zoomScaleNormal="85" workbookViewId="0">
      <selection activeCell="O26" sqref="O26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65" t="str">
        <f>정보!B1 &amp; " (쪽쟘제작치수)  " &amp; 정보!B6 &amp;" 소장"</f>
        <v>서울 영등포 당산리버드림빌 (쪽쟘제작치수)  김운호 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</row>
    <row r="2" spans="1:34" ht="30.75" customHeight="1" x14ac:dyDescent="0.3">
      <c r="A2" s="1"/>
      <c r="B2" s="1"/>
      <c r="C2" s="288" t="str">
        <f>"총 : " &amp; COUNTA(A7:A150) &amp;" (SET)"</f>
        <v>총 : 18 (SET)</v>
      </c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9" t="s">
        <v>139</v>
      </c>
      <c r="Q2" s="290"/>
      <c r="R2" s="290"/>
      <c r="S2" s="290"/>
      <c r="T2" s="61"/>
      <c r="U2" s="291">
        <v>1.2</v>
      </c>
      <c r="V2" s="291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37" t="s">
        <v>140</v>
      </c>
      <c r="F3" s="237"/>
      <c r="G3" s="62">
        <v>0</v>
      </c>
      <c r="H3" s="23" t="s">
        <v>141</v>
      </c>
      <c r="I3" s="292">
        <v>0</v>
      </c>
      <c r="J3" s="292"/>
      <c r="K3" s="63"/>
      <c r="L3" s="63"/>
      <c r="M3" s="247" t="s">
        <v>82</v>
      </c>
      <c r="N3" s="247"/>
      <c r="O3" s="247"/>
      <c r="P3" s="293">
        <v>0</v>
      </c>
      <c r="Q3" s="293"/>
      <c r="R3" s="244" t="s">
        <v>90</v>
      </c>
      <c r="S3" s="244"/>
      <c r="T3" s="64"/>
      <c r="U3" s="294">
        <v>0</v>
      </c>
      <c r="V3" s="294"/>
      <c r="W3" s="65"/>
      <c r="X3" s="65"/>
      <c r="Y3" s="65"/>
      <c r="Z3" s="65"/>
      <c r="AA3" s="65"/>
    </row>
    <row r="4" spans="1:34" ht="33" customHeight="1" x14ac:dyDescent="0.3">
      <c r="A4" s="163" t="str">
        <f>정보!B12</f>
        <v>제작치수 반영 : JB/JD +(0 ),  늘어난치수K -(0), OP - (0),  기둥차감 -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229" t="s">
        <v>235</v>
      </c>
      <c r="Z4" s="229"/>
      <c r="AA4" s="230"/>
    </row>
    <row r="5" spans="1:34" ht="25.9" customHeight="1" x14ac:dyDescent="0.3">
      <c r="A5" s="167" t="s">
        <v>0</v>
      </c>
      <c r="B5" s="167" t="s">
        <v>119</v>
      </c>
      <c r="C5" s="168" t="s">
        <v>142</v>
      </c>
      <c r="D5" s="167" t="s">
        <v>120</v>
      </c>
      <c r="E5" s="168" t="s">
        <v>143</v>
      </c>
      <c r="F5" s="168" t="s">
        <v>144</v>
      </c>
      <c r="G5" s="168" t="s">
        <v>34</v>
      </c>
      <c r="H5" s="168" t="s">
        <v>145</v>
      </c>
      <c r="I5" s="168" t="s">
        <v>207</v>
      </c>
      <c r="J5" s="168" t="s">
        <v>208</v>
      </c>
      <c r="K5" s="168" t="s">
        <v>146</v>
      </c>
      <c r="L5" s="168" t="s">
        <v>147</v>
      </c>
      <c r="M5" s="295" t="s">
        <v>148</v>
      </c>
      <c r="N5" s="295" t="s">
        <v>149</v>
      </c>
      <c r="O5" s="167" t="s">
        <v>127</v>
      </c>
      <c r="P5" s="167" t="s">
        <v>15</v>
      </c>
      <c r="Q5" s="167" t="s">
        <v>129</v>
      </c>
      <c r="R5" s="167" t="s">
        <v>130</v>
      </c>
      <c r="S5" s="168" t="s">
        <v>150</v>
      </c>
      <c r="T5" s="295" t="s">
        <v>151</v>
      </c>
      <c r="U5" s="168" t="s">
        <v>133</v>
      </c>
      <c r="V5" s="168" t="s">
        <v>152</v>
      </c>
      <c r="W5" s="167" t="s">
        <v>135</v>
      </c>
      <c r="X5" s="167"/>
      <c r="Y5" s="298" t="s">
        <v>203</v>
      </c>
      <c r="Z5" s="298"/>
      <c r="AA5" s="298"/>
      <c r="AE5" s="178" t="s">
        <v>153</v>
      </c>
      <c r="AF5" s="178"/>
      <c r="AG5" s="178" t="s">
        <v>154</v>
      </c>
      <c r="AH5" s="178"/>
    </row>
    <row r="6" spans="1:34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209"/>
      <c r="J6" s="209"/>
      <c r="K6" s="238"/>
      <c r="L6" s="238"/>
      <c r="M6" s="296"/>
      <c r="N6" s="296"/>
      <c r="O6" s="209"/>
      <c r="P6" s="209"/>
      <c r="Q6" s="209"/>
      <c r="R6" s="209"/>
      <c r="S6" s="209"/>
      <c r="T6" s="297"/>
      <c r="U6" s="238"/>
      <c r="V6" s="238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18F</v>
      </c>
      <c r="C7" s="50" t="str">
        <f>AC7&amp;"*"&amp;AD7</f>
        <v>948*125.4</v>
      </c>
      <c r="D7" s="50">
        <f>'쪽쟘(실측)'!C7-쪽쟘OP차감</f>
        <v>899</v>
      </c>
      <c r="E7" s="50">
        <f>'쪽쟘(실측)'!D7+쪽쟘J늘림+MAX(W7:X7)</f>
        <v>76</v>
      </c>
      <c r="F7" s="50">
        <f>'쪽쟘(실측)'!E7+쪽쟘J늘림+MAX(W7:X7)</f>
        <v>75</v>
      </c>
      <c r="G7" s="67" t="str">
        <f>AF7&amp;"*"&amp;AE7</f>
        <v>2090*123.4</v>
      </c>
      <c r="H7" s="68" t="str">
        <f>AH7&amp;"*"&amp;AG7</f>
        <v>2095*131.4</v>
      </c>
      <c r="I7" s="50">
        <f>IF('쪽쟘(실측)'!F7&gt;0,'쪽쟘(실측)'!F7-1.5,0)+뒷날개치수더함</f>
        <v>20.5</v>
      </c>
      <c r="J7" s="50">
        <f>IF('쪽쟘(실측)'!H7&gt;0,'쪽쟘(실측)'!H7-1.5,0)+뒷날개치수더함</f>
        <v>28.5</v>
      </c>
      <c r="K7" s="50">
        <f>IF('쪽쟘(실측)'!F7&gt;0,'쪽쟘(실측)'!F7+0,0)+뒷날개치수더함</f>
        <v>22</v>
      </c>
      <c r="L7" s="50">
        <f>IF('쪽쟘(실측)'!G7&gt;0,'쪽쟘(실측)'!G7+0,0)+뒷날개치수더함</f>
        <v>22</v>
      </c>
      <c r="M7" s="50">
        <f>IF('쪽쟘(실측)'!H7&gt;0,'쪽쟘(실측)'!H7+0,0)+뒷날개치수더함</f>
        <v>30</v>
      </c>
      <c r="N7" s="50">
        <f>IF('쪽쟘(실측)'!I7&gt;0,'쪽쟘(실측)'!I7+0,0)+뒷날개치수더함</f>
        <v>26</v>
      </c>
      <c r="O7" s="50">
        <f>'쪽쟘(실측)'!J7-쪽쟘기둥차감</f>
        <v>2090</v>
      </c>
      <c r="P7" s="50">
        <f>'쪽쟘(실측)'!K7-쪽쟘기둥차감</f>
        <v>2090</v>
      </c>
      <c r="Q7" s="50">
        <f>'쪽쟘(실측)'!L7-쪽쟘기둥차감</f>
        <v>2095</v>
      </c>
      <c r="R7" s="50">
        <f>'쪽쟘(실측)'!M7-쪽쟘기둥차감</f>
        <v>2095</v>
      </c>
      <c r="S7" s="50">
        <f>'쪽쟘(실측)'!N7+뒷날개치수더함</f>
        <v>23</v>
      </c>
      <c r="T7" s="50">
        <f>'쪽쟘(실측)'!O7+뒷날개치수더함</f>
        <v>23</v>
      </c>
      <c r="U7" s="50">
        <f>'쪽쟘(실측)'!P7+뒷날개치수더함</f>
        <v>30</v>
      </c>
      <c r="V7" s="50">
        <f>'쪽쟘(실측)'!Q7+뒷날개치수더함</f>
        <v>30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20</v>
      </c>
      <c r="Z7" s="4">
        <f>'쪽쟘(실측)'!U7</f>
        <v>10</v>
      </c>
      <c r="AA7" s="4">
        <f>'쪽쟘(실측)'!V7</f>
        <v>20</v>
      </c>
      <c r="AC7">
        <f t="shared" ref="AC7" si="0">D7+I7+J7</f>
        <v>948</v>
      </c>
      <c r="AD7">
        <f t="shared" ref="AD7" si="1">U7+E7+MAX(S7,T7)-쪽쟘소재t*3+IF(S7=0,S7*쪽쟘소재t,0)</f>
        <v>125.4</v>
      </c>
      <c r="AE7">
        <f t="shared" ref="AE7:AE24" si="2">MAX(K7,L7)+F7+V7-쪽쟘소재t*3+IF(K7=0,쪽쟘소재t)-IF(AA7=90,2.4,0)</f>
        <v>123.4</v>
      </c>
      <c r="AF7">
        <f t="shared" ref="AF7" si="3">MAX(O7,P7)</f>
        <v>2090</v>
      </c>
      <c r="AG7">
        <f t="shared" ref="AG7:AG24" si="4">MAX(M7,N7)+F7+V7-쪽쟘소재t*3+IF(M7=0,쪽쟘소재t)-IF(AA7=90,2.4,0)</f>
        <v>131.4</v>
      </c>
      <c r="AH7">
        <f>MAX(Q7,R7)</f>
        <v>2095</v>
      </c>
    </row>
    <row r="8" spans="1:34" ht="19.5" customHeight="1" x14ac:dyDescent="0.3">
      <c r="A8" s="50">
        <f>'쪽쟘(실측)'!A8</f>
        <v>0</v>
      </c>
      <c r="B8" s="50" t="str">
        <f>'쪽쟘(실측)'!B8&amp;"F"</f>
        <v>17F</v>
      </c>
      <c r="C8" s="50" t="str">
        <f t="shared" ref="C8:C24" si="5">AC8&amp;"*"&amp;AD8</f>
        <v>942*123.4</v>
      </c>
      <c r="D8" s="50">
        <f>'쪽쟘(실측)'!C8-쪽쟘OP차감</f>
        <v>898</v>
      </c>
      <c r="E8" s="50">
        <f>'쪽쟘(실측)'!D8+쪽쟘J늘림+MAX(W8:X8)</f>
        <v>76</v>
      </c>
      <c r="F8" s="50">
        <f>'쪽쟘(실측)'!E8+쪽쟘J늘림+MAX(W8:X8)</f>
        <v>75</v>
      </c>
      <c r="G8" s="67" t="str">
        <f t="shared" ref="G8:G24" si="6">AF8&amp;"*"&amp;AE8</f>
        <v>2092*127.4</v>
      </c>
      <c r="H8" s="68" t="str">
        <f t="shared" ref="H8:H24" si="7">AH8&amp;"*"&amp;AG8</f>
        <v>2092*122.4</v>
      </c>
      <c r="I8" s="50">
        <f>IF('쪽쟘(실측)'!F8&gt;0,'쪽쟘(실측)'!F8-1.5,0)+뒷날개치수더함</f>
        <v>24.5</v>
      </c>
      <c r="J8" s="50">
        <f>IF('쪽쟘(실측)'!H8&gt;0,'쪽쟘(실측)'!H8-1.5,0)+뒷날개치수더함</f>
        <v>19.5</v>
      </c>
      <c r="K8" s="50">
        <f>IF('쪽쟘(실측)'!F8&gt;0,'쪽쟘(실측)'!F8+0,0)+뒷날개치수더함</f>
        <v>26</v>
      </c>
      <c r="L8" s="50">
        <f>IF('쪽쟘(실측)'!G8&gt;0,'쪽쟘(실측)'!G8+0,0)+뒷날개치수더함</f>
        <v>20</v>
      </c>
      <c r="M8" s="50">
        <f>IF('쪽쟘(실측)'!H8&gt;0,'쪽쟘(실측)'!H8+0,0)+뒷날개치수더함</f>
        <v>21</v>
      </c>
      <c r="N8" s="50">
        <f>IF('쪽쟘(실측)'!I8&gt;0,'쪽쟘(실측)'!I8+0,0)+뒷날개치수더함</f>
        <v>21</v>
      </c>
      <c r="O8" s="50">
        <f>'쪽쟘(실측)'!J8-쪽쟘기둥차감</f>
        <v>2092</v>
      </c>
      <c r="P8" s="50">
        <f>'쪽쟘(실측)'!K8-쪽쟘기둥차감</f>
        <v>2092</v>
      </c>
      <c r="Q8" s="50">
        <f>'쪽쟘(실측)'!L8-쪽쟘기둥차감</f>
        <v>2092</v>
      </c>
      <c r="R8" s="50">
        <f>'쪽쟘(실측)'!M8-쪽쟘기둥차감</f>
        <v>2092</v>
      </c>
      <c r="S8" s="50">
        <f>'쪽쟘(실측)'!N8+뒷날개치수더함</f>
        <v>21</v>
      </c>
      <c r="T8" s="50">
        <f>'쪽쟘(실측)'!O8+뒷날개치수더함</f>
        <v>21</v>
      </c>
      <c r="U8" s="50">
        <f>'쪽쟘(실측)'!P8+뒷날개치수더함</f>
        <v>30</v>
      </c>
      <c r="V8" s="50">
        <f>'쪽쟘(실측)'!Q8+뒷날개치수더함</f>
        <v>30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20</v>
      </c>
      <c r="Z8" s="4">
        <f>'쪽쟘(실측)'!U8</f>
        <v>10</v>
      </c>
      <c r="AA8" s="4">
        <f>'쪽쟘(실측)'!V8</f>
        <v>20</v>
      </c>
      <c r="AC8">
        <f t="shared" ref="AC8:AC24" si="8">D8+I8+J8</f>
        <v>942</v>
      </c>
      <c r="AD8">
        <f t="shared" ref="AD8:AD24" si="9">U8+E8+MAX(S8,T8)-쪽쟘소재t*3+IF(S8=0,S8*쪽쟘소재t,0)</f>
        <v>123.4</v>
      </c>
      <c r="AE8">
        <f t="shared" si="2"/>
        <v>127.4</v>
      </c>
      <c r="AF8">
        <f t="shared" ref="AF8:AF24" si="10">MAX(O8,P8)</f>
        <v>2092</v>
      </c>
      <c r="AG8">
        <f t="shared" si="4"/>
        <v>122.4</v>
      </c>
      <c r="AH8">
        <f t="shared" ref="AH8:AH24" si="11">MAX(Q8,R8)</f>
        <v>2092</v>
      </c>
    </row>
    <row r="9" spans="1:34" ht="19.5" customHeight="1" x14ac:dyDescent="0.3">
      <c r="A9" s="50">
        <f>'쪽쟘(실측)'!A9</f>
        <v>0</v>
      </c>
      <c r="B9" s="50" t="str">
        <f>'쪽쟘(실측)'!B9&amp;"F"</f>
        <v>16F</v>
      </c>
      <c r="C9" s="50" t="str">
        <f t="shared" si="5"/>
        <v>943*124.4</v>
      </c>
      <c r="D9" s="50">
        <f>'쪽쟘(실측)'!C9-쪽쟘OP차감</f>
        <v>898</v>
      </c>
      <c r="E9" s="50">
        <f>'쪽쟘(실측)'!D9+쪽쟘J늘림+MAX(W9:X9)</f>
        <v>76</v>
      </c>
      <c r="F9" s="50">
        <f>'쪽쟘(실측)'!E9+쪽쟘J늘림+MAX(W9:X9)</f>
        <v>75</v>
      </c>
      <c r="G9" s="67" t="str">
        <f t="shared" si="6"/>
        <v>2090*123.4</v>
      </c>
      <c r="H9" s="68" t="str">
        <f t="shared" si="7"/>
        <v>2090*127.4</v>
      </c>
      <c r="I9" s="50">
        <f>IF('쪽쟘(실측)'!F9&gt;0,'쪽쟘(실측)'!F9-1.5,0)+뒷날개치수더함</f>
        <v>20.5</v>
      </c>
      <c r="J9" s="50">
        <f>IF('쪽쟘(실측)'!H9&gt;0,'쪽쟘(실측)'!H9-1.5,0)+뒷날개치수더함</f>
        <v>24.5</v>
      </c>
      <c r="K9" s="50">
        <f>IF('쪽쟘(실측)'!F9&gt;0,'쪽쟘(실측)'!F9+0,0)+뒷날개치수더함</f>
        <v>22</v>
      </c>
      <c r="L9" s="50">
        <f>IF('쪽쟘(실측)'!G9&gt;0,'쪽쟘(실측)'!G9+0,0)+뒷날개치수더함</f>
        <v>20</v>
      </c>
      <c r="M9" s="50">
        <f>IF('쪽쟘(실측)'!H9&gt;0,'쪽쟘(실측)'!H9+0,0)+뒷날개치수더함</f>
        <v>26</v>
      </c>
      <c r="N9" s="50">
        <f>IF('쪽쟘(실측)'!I9&gt;0,'쪽쟘(실측)'!I9+0,0)+뒷날개치수더함</f>
        <v>21</v>
      </c>
      <c r="O9" s="50">
        <f>'쪽쟘(실측)'!J9-쪽쟘기둥차감</f>
        <v>2090</v>
      </c>
      <c r="P9" s="50">
        <f>'쪽쟘(실측)'!K9-쪽쟘기둥차감</f>
        <v>2090</v>
      </c>
      <c r="Q9" s="50">
        <f>'쪽쟘(실측)'!L9-쪽쟘기둥차감</f>
        <v>2090</v>
      </c>
      <c r="R9" s="50">
        <f>'쪽쟘(실측)'!M9-쪽쟘기둥차감</f>
        <v>2090</v>
      </c>
      <c r="S9" s="50">
        <f>'쪽쟘(실측)'!N9+뒷날개치수더함</f>
        <v>22</v>
      </c>
      <c r="T9" s="50">
        <f>'쪽쟘(실측)'!O9+뒷날개치수더함</f>
        <v>22</v>
      </c>
      <c r="U9" s="50">
        <f>'쪽쟘(실측)'!P9+뒷날개치수더함</f>
        <v>30</v>
      </c>
      <c r="V9" s="50">
        <f>'쪽쟘(실측)'!Q9+뒷날개치수더함</f>
        <v>30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20</v>
      </c>
      <c r="Z9" s="4">
        <f>'쪽쟘(실측)'!U9</f>
        <v>10</v>
      </c>
      <c r="AA9" s="4">
        <f>'쪽쟘(실측)'!V9</f>
        <v>20</v>
      </c>
      <c r="AC9">
        <f t="shared" si="8"/>
        <v>943</v>
      </c>
      <c r="AD9">
        <f t="shared" si="9"/>
        <v>124.4</v>
      </c>
      <c r="AE9">
        <f t="shared" si="2"/>
        <v>123.4</v>
      </c>
      <c r="AF9">
        <f t="shared" si="10"/>
        <v>2090</v>
      </c>
      <c r="AG9">
        <f t="shared" si="4"/>
        <v>127.4</v>
      </c>
      <c r="AH9">
        <f t="shared" si="11"/>
        <v>2090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15F</v>
      </c>
      <c r="C10" s="50" t="str">
        <f t="shared" si="5"/>
        <v>940*121.4</v>
      </c>
      <c r="D10" s="50">
        <f>'쪽쟘(실측)'!C10-쪽쟘OP차감</f>
        <v>898</v>
      </c>
      <c r="E10" s="50">
        <f>'쪽쟘(실측)'!D10+쪽쟘J늘림+MAX(W10:X10)</f>
        <v>76</v>
      </c>
      <c r="F10" s="50">
        <f>'쪽쟘(실측)'!E10+쪽쟘J늘림+MAX(W10:X10)</f>
        <v>75</v>
      </c>
      <c r="G10" s="67" t="str">
        <f t="shared" si="6"/>
        <v>2093*121.4</v>
      </c>
      <c r="H10" s="68" t="str">
        <f t="shared" si="7"/>
        <v>2090*126.4</v>
      </c>
      <c r="I10" s="50">
        <f>IF('쪽쟘(실측)'!F10&gt;0,'쪽쟘(실측)'!F10-1.5,0)+뒷날개치수더함</f>
        <v>18.5</v>
      </c>
      <c r="J10" s="50">
        <f>IF('쪽쟘(실측)'!H10&gt;0,'쪽쟘(실측)'!H10-1.5,0)+뒷날개치수더함</f>
        <v>23.5</v>
      </c>
      <c r="K10" s="50">
        <f>IF('쪽쟘(실측)'!F10&gt;0,'쪽쟘(실측)'!F10+0,0)+뒷날개치수더함</f>
        <v>20</v>
      </c>
      <c r="L10" s="50">
        <f>IF('쪽쟘(실측)'!G10&gt;0,'쪽쟘(실측)'!G10+0,0)+뒷날개치수더함</f>
        <v>20</v>
      </c>
      <c r="M10" s="50">
        <f>IF('쪽쟘(실측)'!H10&gt;0,'쪽쟘(실측)'!H10+0,0)+뒷날개치수더함</f>
        <v>25</v>
      </c>
      <c r="N10" s="50">
        <f>IF('쪽쟘(실측)'!I10&gt;0,'쪽쟘(실측)'!I10+0,0)+뒷날개치수더함</f>
        <v>20</v>
      </c>
      <c r="O10" s="50">
        <f>'쪽쟘(실측)'!J10-쪽쟘기둥차감</f>
        <v>2093</v>
      </c>
      <c r="P10" s="50">
        <f>'쪽쟘(실측)'!K10-쪽쟘기둥차감</f>
        <v>2093</v>
      </c>
      <c r="Q10" s="50">
        <f>'쪽쟘(실측)'!L10-쪽쟘기둥차감</f>
        <v>2090</v>
      </c>
      <c r="R10" s="50">
        <f>'쪽쟘(실측)'!M10-쪽쟘기둥차감</f>
        <v>2090</v>
      </c>
      <c r="S10" s="50">
        <f>'쪽쟘(실측)'!N10+뒷날개치수더함</f>
        <v>19</v>
      </c>
      <c r="T10" s="50">
        <f>'쪽쟘(실측)'!O10+뒷날개치수더함</f>
        <v>19</v>
      </c>
      <c r="U10" s="50">
        <f>'쪽쟘(실측)'!P10+뒷날개치수더함</f>
        <v>30</v>
      </c>
      <c r="V10" s="50">
        <f>'쪽쟘(실측)'!Q10+뒷날개치수더함</f>
        <v>30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20</v>
      </c>
      <c r="Z10" s="4">
        <f>'쪽쟘(실측)'!U10</f>
        <v>10</v>
      </c>
      <c r="AA10" s="4">
        <f>'쪽쟘(실측)'!V10</f>
        <v>20</v>
      </c>
      <c r="AC10">
        <f t="shared" si="8"/>
        <v>940</v>
      </c>
      <c r="AD10">
        <f t="shared" si="9"/>
        <v>121.4</v>
      </c>
      <c r="AE10">
        <f t="shared" si="2"/>
        <v>121.4</v>
      </c>
      <c r="AF10">
        <f t="shared" si="10"/>
        <v>2093</v>
      </c>
      <c r="AG10">
        <f t="shared" si="4"/>
        <v>126.4</v>
      </c>
      <c r="AH10">
        <f t="shared" si="11"/>
        <v>2090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14F</v>
      </c>
      <c r="C11" s="50" t="str">
        <f t="shared" si="5"/>
        <v>933*126.4</v>
      </c>
      <c r="D11" s="50">
        <f>'쪽쟘(실측)'!C11-쪽쟘OP차감</f>
        <v>898</v>
      </c>
      <c r="E11" s="50">
        <f>'쪽쟘(실측)'!D11+쪽쟘J늘림+MAX(W11:X11)</f>
        <v>76</v>
      </c>
      <c r="F11" s="50">
        <f>'쪽쟘(실측)'!E11+쪽쟘J늘림+MAX(W11:X11)</f>
        <v>75</v>
      </c>
      <c r="G11" s="67" t="str">
        <f t="shared" si="6"/>
        <v>2095*120.4</v>
      </c>
      <c r="H11" s="68" t="str">
        <f t="shared" si="7"/>
        <v>2090*120.4</v>
      </c>
      <c r="I11" s="50">
        <f>IF('쪽쟘(실측)'!F11&gt;0,'쪽쟘(실측)'!F11-1.5,0)+뒷날개치수더함</f>
        <v>17.5</v>
      </c>
      <c r="J11" s="50">
        <f>IF('쪽쟘(실측)'!H11&gt;0,'쪽쟘(실측)'!H11-1.5,0)+뒷날개치수더함</f>
        <v>17.5</v>
      </c>
      <c r="K11" s="50">
        <f>IF('쪽쟘(실측)'!F11&gt;0,'쪽쟘(실측)'!F11+0,0)+뒷날개치수더함</f>
        <v>19</v>
      </c>
      <c r="L11" s="50">
        <f>IF('쪽쟘(실측)'!G11&gt;0,'쪽쟘(실측)'!G11+0,0)+뒷날개치수더함</f>
        <v>19</v>
      </c>
      <c r="M11" s="50">
        <f>IF('쪽쟘(실측)'!H11&gt;0,'쪽쟘(실측)'!H11+0,0)+뒷날개치수더함</f>
        <v>19</v>
      </c>
      <c r="N11" s="50">
        <f>IF('쪽쟘(실측)'!I11&gt;0,'쪽쟘(실측)'!I11+0,0)+뒷날개치수더함</f>
        <v>19</v>
      </c>
      <c r="O11" s="50">
        <f>'쪽쟘(실측)'!J11-쪽쟘기둥차감</f>
        <v>2095</v>
      </c>
      <c r="P11" s="50">
        <f>'쪽쟘(실측)'!K11-쪽쟘기둥차감</f>
        <v>2095</v>
      </c>
      <c r="Q11" s="50">
        <f>'쪽쟘(실측)'!L11-쪽쟘기둥차감</f>
        <v>2090</v>
      </c>
      <c r="R11" s="50">
        <f>'쪽쟘(실측)'!M11-쪽쟘기둥차감</f>
        <v>2090</v>
      </c>
      <c r="S11" s="50">
        <f>'쪽쟘(실측)'!N11+뒷날개치수더함</f>
        <v>24</v>
      </c>
      <c r="T11" s="50">
        <f>'쪽쟘(실측)'!O11+뒷날개치수더함</f>
        <v>24</v>
      </c>
      <c r="U11" s="50">
        <f>'쪽쟘(실측)'!P11+뒷날개치수더함</f>
        <v>30</v>
      </c>
      <c r="V11" s="50">
        <f>'쪽쟘(실측)'!Q11+뒷날개치수더함</f>
        <v>30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20</v>
      </c>
      <c r="Z11" s="4">
        <f>'쪽쟘(실측)'!U11</f>
        <v>10</v>
      </c>
      <c r="AA11" s="4">
        <f>'쪽쟘(실측)'!V11</f>
        <v>20</v>
      </c>
      <c r="AC11">
        <f t="shared" si="8"/>
        <v>933</v>
      </c>
      <c r="AD11">
        <f t="shared" si="9"/>
        <v>126.4</v>
      </c>
      <c r="AE11">
        <f t="shared" si="2"/>
        <v>120.4</v>
      </c>
      <c r="AF11">
        <f t="shared" si="10"/>
        <v>2095</v>
      </c>
      <c r="AG11">
        <f t="shared" si="4"/>
        <v>120.4</v>
      </c>
      <c r="AH11">
        <f t="shared" si="11"/>
        <v>2090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13F</v>
      </c>
      <c r="C12" s="50" t="str">
        <f t="shared" si="5"/>
        <v>950*122.4</v>
      </c>
      <c r="D12" s="50">
        <f>'쪽쟘(실측)'!C12-쪽쟘OP차감</f>
        <v>897</v>
      </c>
      <c r="E12" s="50">
        <f>'쪽쟘(실측)'!D12+쪽쟘J늘림+MAX(W12:X12)</f>
        <v>76</v>
      </c>
      <c r="F12" s="50">
        <f>'쪽쟘(실측)'!E12+쪽쟘J늘림+MAX(W12:X12)</f>
        <v>75</v>
      </c>
      <c r="G12" s="67" t="str">
        <f t="shared" si="6"/>
        <v>2095*129.4</v>
      </c>
      <c r="H12" s="68" t="str">
        <f t="shared" si="7"/>
        <v>2091*129.4</v>
      </c>
      <c r="I12" s="50">
        <f>IF('쪽쟘(실측)'!F12&gt;0,'쪽쟘(실측)'!F12-1.5,0)+뒷날개치수더함</f>
        <v>26.5</v>
      </c>
      <c r="J12" s="50">
        <f>IF('쪽쟘(실측)'!H12&gt;0,'쪽쟘(실측)'!H12-1.5,0)+뒷날개치수더함</f>
        <v>26.5</v>
      </c>
      <c r="K12" s="50">
        <f>IF('쪽쟘(실측)'!F12&gt;0,'쪽쟘(실측)'!F12+0,0)+뒷날개치수더함</f>
        <v>28</v>
      </c>
      <c r="L12" s="50">
        <f>IF('쪽쟘(실측)'!G12&gt;0,'쪽쟘(실측)'!G12+0,0)+뒷날개치수더함</f>
        <v>25</v>
      </c>
      <c r="M12" s="50">
        <f>IF('쪽쟘(실측)'!H12&gt;0,'쪽쟘(실측)'!H12+0,0)+뒷날개치수더함</f>
        <v>28</v>
      </c>
      <c r="N12" s="50">
        <f>IF('쪽쟘(실측)'!I12&gt;0,'쪽쟘(실측)'!I12+0,0)+뒷날개치수더함</f>
        <v>28</v>
      </c>
      <c r="O12" s="50">
        <f>'쪽쟘(실측)'!J12-쪽쟘기둥차감</f>
        <v>2095</v>
      </c>
      <c r="P12" s="50">
        <f>'쪽쟘(실측)'!K12-쪽쟘기둥차감</f>
        <v>2095</v>
      </c>
      <c r="Q12" s="50">
        <f>'쪽쟘(실측)'!L12-쪽쟘기둥차감</f>
        <v>2091</v>
      </c>
      <c r="R12" s="50">
        <f>'쪽쟘(실측)'!M12-쪽쟘기둥차감</f>
        <v>2091</v>
      </c>
      <c r="S12" s="50">
        <f>'쪽쟘(실측)'!N12+뒷날개치수더함</f>
        <v>20</v>
      </c>
      <c r="T12" s="50">
        <f>'쪽쟘(실측)'!O12+뒷날개치수더함</f>
        <v>20</v>
      </c>
      <c r="U12" s="50">
        <f>'쪽쟘(실측)'!P12+뒷날개치수더함</f>
        <v>30</v>
      </c>
      <c r="V12" s="50">
        <f>'쪽쟘(실측)'!Q12+뒷날개치수더함</f>
        <v>30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20</v>
      </c>
      <c r="Z12" s="4">
        <f>'쪽쟘(실측)'!U12</f>
        <v>10</v>
      </c>
      <c r="AA12" s="4">
        <f>'쪽쟘(실측)'!V12</f>
        <v>20</v>
      </c>
      <c r="AC12">
        <f t="shared" si="8"/>
        <v>950</v>
      </c>
      <c r="AD12">
        <f t="shared" si="9"/>
        <v>122.4</v>
      </c>
      <c r="AE12">
        <f t="shared" si="2"/>
        <v>129.4</v>
      </c>
      <c r="AF12">
        <f t="shared" si="10"/>
        <v>2095</v>
      </c>
      <c r="AG12">
        <f t="shared" si="4"/>
        <v>129.4</v>
      </c>
      <c r="AH12">
        <f t="shared" si="11"/>
        <v>2091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12F</v>
      </c>
      <c r="C13" s="50" t="str">
        <f t="shared" si="5"/>
        <v>941*132.4</v>
      </c>
      <c r="D13" s="50">
        <f>'쪽쟘(실측)'!C13-쪽쟘OP차감</f>
        <v>897</v>
      </c>
      <c r="E13" s="50">
        <f>'쪽쟘(실측)'!D13+쪽쟘J늘림+MAX(W13:X13)</f>
        <v>76</v>
      </c>
      <c r="F13" s="50">
        <f>'쪽쟘(실측)'!E13+쪽쟘J늘림+MAX(W13:X13)</f>
        <v>75</v>
      </c>
      <c r="G13" s="67" t="str">
        <f t="shared" si="6"/>
        <v>2091*123.4</v>
      </c>
      <c r="H13" s="68" t="str">
        <f t="shared" si="7"/>
        <v>2093*126.4</v>
      </c>
      <c r="I13" s="50">
        <f>IF('쪽쟘(실측)'!F13&gt;0,'쪽쟘(실측)'!F13-1.5,0)+뒷날개치수더함</f>
        <v>20.5</v>
      </c>
      <c r="J13" s="50">
        <f>IF('쪽쟘(실측)'!H13&gt;0,'쪽쟘(실측)'!H13-1.5,0)+뒷날개치수더함</f>
        <v>23.5</v>
      </c>
      <c r="K13" s="50">
        <f>IF('쪽쟘(실측)'!F13&gt;0,'쪽쟘(실측)'!F13+0,0)+뒷날개치수더함</f>
        <v>22</v>
      </c>
      <c r="L13" s="50">
        <f>IF('쪽쟘(실측)'!G13&gt;0,'쪽쟘(실측)'!G13+0,0)+뒷날개치수더함</f>
        <v>22</v>
      </c>
      <c r="M13" s="50">
        <f>IF('쪽쟘(실측)'!H13&gt;0,'쪽쟘(실측)'!H13+0,0)+뒷날개치수더함</f>
        <v>25</v>
      </c>
      <c r="N13" s="50">
        <f>IF('쪽쟘(실측)'!I13&gt;0,'쪽쟘(실측)'!I13+0,0)+뒷날개치수더함</f>
        <v>25</v>
      </c>
      <c r="O13" s="50">
        <f>'쪽쟘(실측)'!J13-쪽쟘기둥차감</f>
        <v>2091</v>
      </c>
      <c r="P13" s="50">
        <f>'쪽쟘(실측)'!K13-쪽쟘기둥차감</f>
        <v>2091</v>
      </c>
      <c r="Q13" s="50">
        <f>'쪽쟘(실측)'!L13-쪽쟘기둥차감</f>
        <v>2093</v>
      </c>
      <c r="R13" s="50">
        <f>'쪽쟘(실측)'!M13-쪽쟘기둥차감</f>
        <v>2093</v>
      </c>
      <c r="S13" s="50">
        <f>'쪽쟘(실측)'!N13+뒷날개치수더함</f>
        <v>30</v>
      </c>
      <c r="T13" s="50">
        <f>'쪽쟘(실측)'!O13+뒷날개치수더함</f>
        <v>30</v>
      </c>
      <c r="U13" s="50">
        <f>'쪽쟘(실측)'!P13+뒷날개치수더함</f>
        <v>30</v>
      </c>
      <c r="V13" s="50">
        <f>'쪽쟘(실측)'!Q13+뒷날개치수더함</f>
        <v>30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20</v>
      </c>
      <c r="Z13" s="4">
        <f>'쪽쟘(실측)'!U13</f>
        <v>10</v>
      </c>
      <c r="AA13" s="4">
        <f>'쪽쟘(실측)'!V13</f>
        <v>20</v>
      </c>
      <c r="AC13">
        <f t="shared" si="8"/>
        <v>941</v>
      </c>
      <c r="AD13">
        <f t="shared" si="9"/>
        <v>132.4</v>
      </c>
      <c r="AE13">
        <f t="shared" si="2"/>
        <v>123.4</v>
      </c>
      <c r="AF13">
        <f t="shared" si="10"/>
        <v>2091</v>
      </c>
      <c r="AG13">
        <f t="shared" si="4"/>
        <v>126.4</v>
      </c>
      <c r="AH13">
        <f t="shared" si="11"/>
        <v>2093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11F</v>
      </c>
      <c r="C14" s="50" t="str">
        <f t="shared" si="5"/>
        <v>937*129.4</v>
      </c>
      <c r="D14" s="50">
        <f>'쪽쟘(실측)'!C14-쪽쟘OP차감</f>
        <v>898</v>
      </c>
      <c r="E14" s="50">
        <f>'쪽쟘(실측)'!D14+쪽쟘J늘림+MAX(W14:X14)</f>
        <v>76</v>
      </c>
      <c r="F14" s="50">
        <f>'쪽쟘(실측)'!E14+쪽쟘J늘림+MAX(W14:X14)</f>
        <v>75</v>
      </c>
      <c r="G14" s="67" t="str">
        <f t="shared" si="6"/>
        <v>2090*122.4</v>
      </c>
      <c r="H14" s="68" t="str">
        <f t="shared" si="7"/>
        <v>2083*122.4</v>
      </c>
      <c r="I14" s="50">
        <f>IF('쪽쟘(실측)'!F14&gt;0,'쪽쟘(실측)'!F14-1.5,0)+뒷날개치수더함</f>
        <v>19.5</v>
      </c>
      <c r="J14" s="50">
        <f>IF('쪽쟘(실측)'!H14&gt;0,'쪽쟘(실측)'!H14-1.5,0)+뒷날개치수더함</f>
        <v>19.5</v>
      </c>
      <c r="K14" s="50">
        <f>IF('쪽쟘(실측)'!F14&gt;0,'쪽쟘(실측)'!F14+0,0)+뒷날개치수더함</f>
        <v>21</v>
      </c>
      <c r="L14" s="50">
        <f>IF('쪽쟘(실측)'!G14&gt;0,'쪽쟘(실측)'!G14+0,0)+뒷날개치수더함</f>
        <v>21</v>
      </c>
      <c r="M14" s="50">
        <f>IF('쪽쟘(실측)'!H14&gt;0,'쪽쟘(실측)'!H14+0,0)+뒷날개치수더함</f>
        <v>21</v>
      </c>
      <c r="N14" s="50">
        <f>IF('쪽쟘(실측)'!I14&gt;0,'쪽쟘(실측)'!I14+0,0)+뒷날개치수더함</f>
        <v>21</v>
      </c>
      <c r="O14" s="50">
        <f>'쪽쟘(실측)'!J14-쪽쟘기둥차감</f>
        <v>2090</v>
      </c>
      <c r="P14" s="50">
        <f>'쪽쟘(실측)'!K14-쪽쟘기둥차감</f>
        <v>2090</v>
      </c>
      <c r="Q14" s="50">
        <f>'쪽쟘(실측)'!L14-쪽쟘기둥차감</f>
        <v>2083</v>
      </c>
      <c r="R14" s="50">
        <f>'쪽쟘(실측)'!M14-쪽쟘기둥차감</f>
        <v>2083</v>
      </c>
      <c r="S14" s="50">
        <f>'쪽쟘(실측)'!N14+뒷날개치수더함</f>
        <v>20</v>
      </c>
      <c r="T14" s="50">
        <f>'쪽쟘(실측)'!O14+뒷날개치수더함</f>
        <v>27</v>
      </c>
      <c r="U14" s="50">
        <f>'쪽쟘(실측)'!P14+뒷날개치수더함</f>
        <v>30</v>
      </c>
      <c r="V14" s="50">
        <f>'쪽쟘(실측)'!Q14+뒷날개치수더함</f>
        <v>30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20</v>
      </c>
      <c r="Z14" s="4">
        <f>'쪽쟘(실측)'!U14</f>
        <v>10</v>
      </c>
      <c r="AA14" s="4">
        <f>'쪽쟘(실측)'!V14</f>
        <v>20</v>
      </c>
      <c r="AC14">
        <f t="shared" si="8"/>
        <v>937</v>
      </c>
      <c r="AD14">
        <f t="shared" si="9"/>
        <v>129.4</v>
      </c>
      <c r="AE14">
        <f t="shared" si="2"/>
        <v>122.4</v>
      </c>
      <c r="AF14">
        <f t="shared" si="10"/>
        <v>2090</v>
      </c>
      <c r="AG14">
        <f t="shared" si="4"/>
        <v>122.4</v>
      </c>
      <c r="AH14">
        <f t="shared" si="11"/>
        <v>2083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10F</v>
      </c>
      <c r="C15" s="50" t="str">
        <f t="shared" si="5"/>
        <v>943*129.4</v>
      </c>
      <c r="D15" s="50">
        <f>'쪽쟘(실측)'!C15-쪽쟘OP차감</f>
        <v>897</v>
      </c>
      <c r="E15" s="50">
        <f>'쪽쟘(실측)'!D15+쪽쟘J늘림+MAX(W15:X15)</f>
        <v>76</v>
      </c>
      <c r="F15" s="50">
        <f>'쪽쟘(실측)'!E15+쪽쟘J늘림+MAX(W15:X15)</f>
        <v>75</v>
      </c>
      <c r="G15" s="67" t="str">
        <f t="shared" si="6"/>
        <v>2092*126.4</v>
      </c>
      <c r="H15" s="68" t="str">
        <f t="shared" si="7"/>
        <v>2090*130.4</v>
      </c>
      <c r="I15" s="50">
        <f>IF('쪽쟘(실측)'!F15&gt;0,'쪽쟘(실측)'!F15-1.5,0)+뒷날개치수더함</f>
        <v>23.5</v>
      </c>
      <c r="J15" s="50">
        <f>IF('쪽쟘(실측)'!H15&gt;0,'쪽쟘(실측)'!H15-1.5,0)+뒷날개치수더함</f>
        <v>22.5</v>
      </c>
      <c r="K15" s="50">
        <f>IF('쪽쟘(실측)'!F15&gt;0,'쪽쟘(실측)'!F15+0,0)+뒷날개치수더함</f>
        <v>25</v>
      </c>
      <c r="L15" s="50">
        <f>IF('쪽쟘(실측)'!G15&gt;0,'쪽쟘(실측)'!G15+0,0)+뒷날개치수더함</f>
        <v>25</v>
      </c>
      <c r="M15" s="50">
        <f>IF('쪽쟘(실측)'!H15&gt;0,'쪽쟘(실측)'!H15+0,0)+뒷날개치수더함</f>
        <v>24</v>
      </c>
      <c r="N15" s="50">
        <f>IF('쪽쟘(실측)'!I15&gt;0,'쪽쟘(실측)'!I15+0,0)+뒷날개치수더함</f>
        <v>29</v>
      </c>
      <c r="O15" s="50">
        <f>'쪽쟘(실측)'!J15-쪽쟘기둥차감</f>
        <v>2092</v>
      </c>
      <c r="P15" s="50">
        <f>'쪽쟘(실측)'!K15-쪽쟘기둥차감</f>
        <v>2092</v>
      </c>
      <c r="Q15" s="50">
        <f>'쪽쟘(실측)'!L15-쪽쟘기둥차감</f>
        <v>2090</v>
      </c>
      <c r="R15" s="50">
        <f>'쪽쟘(실측)'!M15-쪽쟘기둥차감</f>
        <v>2090</v>
      </c>
      <c r="S15" s="50">
        <f>'쪽쟘(실측)'!N15+뒷날개치수더함</f>
        <v>27</v>
      </c>
      <c r="T15" s="50">
        <f>'쪽쟘(실측)'!O15+뒷날개치수더함</f>
        <v>27</v>
      </c>
      <c r="U15" s="50">
        <f>'쪽쟘(실측)'!P15+뒷날개치수더함</f>
        <v>30</v>
      </c>
      <c r="V15" s="50">
        <f>'쪽쟘(실측)'!Q15+뒷날개치수더함</f>
        <v>30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20</v>
      </c>
      <c r="Z15" s="4">
        <f>'쪽쟘(실측)'!U15</f>
        <v>10</v>
      </c>
      <c r="AA15" s="4">
        <f>'쪽쟘(실측)'!V15</f>
        <v>20</v>
      </c>
      <c r="AC15">
        <f t="shared" si="8"/>
        <v>943</v>
      </c>
      <c r="AD15">
        <f t="shared" si="9"/>
        <v>129.4</v>
      </c>
      <c r="AE15">
        <f t="shared" si="2"/>
        <v>126.4</v>
      </c>
      <c r="AF15">
        <f t="shared" si="10"/>
        <v>2092</v>
      </c>
      <c r="AG15">
        <f t="shared" si="4"/>
        <v>130.4</v>
      </c>
      <c r="AH15">
        <f t="shared" si="11"/>
        <v>2090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9F</v>
      </c>
      <c r="C16" s="50" t="str">
        <f t="shared" si="5"/>
        <v>939*130.4</v>
      </c>
      <c r="D16" s="50">
        <f>'쪽쟘(실측)'!C16-쪽쟘OP차감</f>
        <v>898</v>
      </c>
      <c r="E16" s="50">
        <f>'쪽쟘(실측)'!D16+쪽쟘J늘림+MAX(W16:X16)</f>
        <v>76</v>
      </c>
      <c r="F16" s="50">
        <f>'쪽쟘(실측)'!E16+쪽쟘J늘림+MAX(W16:X16)</f>
        <v>75</v>
      </c>
      <c r="G16" s="67" t="str">
        <f t="shared" si="6"/>
        <v>2092*122.4</v>
      </c>
      <c r="H16" s="68" t="str">
        <f t="shared" si="7"/>
        <v>2092*124.4</v>
      </c>
      <c r="I16" s="50">
        <f>IF('쪽쟘(실측)'!F16&gt;0,'쪽쟘(실측)'!F16-1.5,0)+뒷날개치수더함</f>
        <v>19.5</v>
      </c>
      <c r="J16" s="50">
        <f>IF('쪽쟘(실측)'!H16&gt;0,'쪽쟘(실측)'!H16-1.5,0)+뒷날개치수더함</f>
        <v>21.5</v>
      </c>
      <c r="K16" s="50">
        <f>IF('쪽쟘(실측)'!F16&gt;0,'쪽쟘(실측)'!F16+0,0)+뒷날개치수더함</f>
        <v>21</v>
      </c>
      <c r="L16" s="50">
        <f>IF('쪽쟘(실측)'!G16&gt;0,'쪽쟘(실측)'!G16+0,0)+뒷날개치수더함</f>
        <v>21</v>
      </c>
      <c r="M16" s="50">
        <f>IF('쪽쟘(실측)'!H16&gt;0,'쪽쟘(실측)'!H16+0,0)+뒷날개치수더함</f>
        <v>23</v>
      </c>
      <c r="N16" s="50">
        <f>IF('쪽쟘(실측)'!I16&gt;0,'쪽쟘(실측)'!I16+0,0)+뒷날개치수더함</f>
        <v>23</v>
      </c>
      <c r="O16" s="50">
        <f>'쪽쟘(실측)'!J16-쪽쟘기둥차감</f>
        <v>2092</v>
      </c>
      <c r="P16" s="50">
        <f>'쪽쟘(실측)'!K16-쪽쟘기둥차감</f>
        <v>2092</v>
      </c>
      <c r="Q16" s="50">
        <f>'쪽쟘(실측)'!L16-쪽쟘기둥차감</f>
        <v>2092</v>
      </c>
      <c r="R16" s="50">
        <f>'쪽쟘(실측)'!M16-쪽쟘기둥차감</f>
        <v>2092</v>
      </c>
      <c r="S16" s="50">
        <f>'쪽쟘(실측)'!N16+뒷날개치수더함</f>
        <v>28</v>
      </c>
      <c r="T16" s="50">
        <f>'쪽쟘(실측)'!O16+뒷날개치수더함</f>
        <v>23</v>
      </c>
      <c r="U16" s="50">
        <f>'쪽쟘(실측)'!P16+뒷날개치수더함</f>
        <v>30</v>
      </c>
      <c r="V16" s="50">
        <f>'쪽쟘(실측)'!Q16+뒷날개치수더함</f>
        <v>30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20</v>
      </c>
      <c r="Z16" s="4">
        <f>'쪽쟘(실측)'!U16</f>
        <v>10</v>
      </c>
      <c r="AA16" s="4">
        <f>'쪽쟘(실측)'!V16</f>
        <v>20</v>
      </c>
      <c r="AC16">
        <f t="shared" si="8"/>
        <v>939</v>
      </c>
      <c r="AD16">
        <f t="shared" si="9"/>
        <v>130.4</v>
      </c>
      <c r="AE16">
        <f t="shared" si="2"/>
        <v>122.4</v>
      </c>
      <c r="AF16">
        <f t="shared" si="10"/>
        <v>2092</v>
      </c>
      <c r="AG16">
        <f t="shared" si="4"/>
        <v>124.4</v>
      </c>
      <c r="AH16">
        <f t="shared" si="11"/>
        <v>2092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8F</v>
      </c>
      <c r="C17" s="50" t="str">
        <f t="shared" si="5"/>
        <v>934*122.4</v>
      </c>
      <c r="D17" s="50">
        <f>'쪽쟘(실측)'!C17-쪽쟘OP차감</f>
        <v>898</v>
      </c>
      <c r="E17" s="50">
        <f>'쪽쟘(실측)'!D17+쪽쟘J늘림+MAX(W17:X17)</f>
        <v>76</v>
      </c>
      <c r="F17" s="50">
        <f>'쪽쟘(실측)'!E17+쪽쟘J늘림+MAX(W17:X17)</f>
        <v>75</v>
      </c>
      <c r="G17" s="67" t="str">
        <f t="shared" si="6"/>
        <v>2093*121.4</v>
      </c>
      <c r="H17" s="68" t="str">
        <f t="shared" si="7"/>
        <v>2093*120.4</v>
      </c>
      <c r="I17" s="50">
        <f>IF('쪽쟘(실측)'!F17&gt;0,'쪽쟘(실측)'!F17-1.5,0)+뒷날개치수더함</f>
        <v>18.5</v>
      </c>
      <c r="J17" s="50">
        <f>IF('쪽쟘(실측)'!H17&gt;0,'쪽쟘(실측)'!H17-1.5,0)+뒷날개치수더함</f>
        <v>17.5</v>
      </c>
      <c r="K17" s="50">
        <f>IF('쪽쟘(실측)'!F17&gt;0,'쪽쟘(실측)'!F17+0,0)+뒷날개치수더함</f>
        <v>20</v>
      </c>
      <c r="L17" s="50">
        <f>IF('쪽쟘(실측)'!G17&gt;0,'쪽쟘(실측)'!G17+0,0)+뒷날개치수더함</f>
        <v>20</v>
      </c>
      <c r="M17" s="50">
        <f>IF('쪽쟘(실측)'!H17&gt;0,'쪽쟘(실측)'!H17+0,0)+뒷날개치수더함</f>
        <v>19</v>
      </c>
      <c r="N17" s="50">
        <f>IF('쪽쟘(실측)'!I17&gt;0,'쪽쟘(실측)'!I17+0,0)+뒷날개치수더함</f>
        <v>19</v>
      </c>
      <c r="O17" s="50">
        <f>'쪽쟘(실측)'!J17-쪽쟘기둥차감</f>
        <v>2093</v>
      </c>
      <c r="P17" s="50">
        <f>'쪽쟘(실측)'!K17-쪽쟘기둥차감</f>
        <v>2093</v>
      </c>
      <c r="Q17" s="50">
        <f>'쪽쟘(실측)'!L17-쪽쟘기둥차감</f>
        <v>2093</v>
      </c>
      <c r="R17" s="50">
        <f>'쪽쟘(실측)'!M17-쪽쟘기둥차감</f>
        <v>2093</v>
      </c>
      <c r="S17" s="50">
        <f>'쪽쟘(실측)'!N17+뒷날개치수더함</f>
        <v>20</v>
      </c>
      <c r="T17" s="50">
        <f>'쪽쟘(실측)'!O17+뒷날개치수더함</f>
        <v>20</v>
      </c>
      <c r="U17" s="50">
        <f>'쪽쟘(실측)'!P17+뒷날개치수더함</f>
        <v>30</v>
      </c>
      <c r="V17" s="50">
        <f>'쪽쟘(실측)'!Q17+뒷날개치수더함</f>
        <v>30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20</v>
      </c>
      <c r="Z17" s="4">
        <f>'쪽쟘(실측)'!U17</f>
        <v>10</v>
      </c>
      <c r="AA17" s="4">
        <f>'쪽쟘(실측)'!V17</f>
        <v>20</v>
      </c>
      <c r="AC17">
        <f t="shared" si="8"/>
        <v>934</v>
      </c>
      <c r="AD17">
        <f t="shared" si="9"/>
        <v>122.4</v>
      </c>
      <c r="AE17">
        <f t="shared" si="2"/>
        <v>121.4</v>
      </c>
      <c r="AF17">
        <f t="shared" si="10"/>
        <v>2093</v>
      </c>
      <c r="AG17">
        <f t="shared" si="4"/>
        <v>120.4</v>
      </c>
      <c r="AH17">
        <f t="shared" si="11"/>
        <v>2093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7F</v>
      </c>
      <c r="C18" s="50" t="str">
        <f t="shared" si="5"/>
        <v>947*128.4</v>
      </c>
      <c r="D18" s="50">
        <f>'쪽쟘(실측)'!C18-쪽쟘OP차감</f>
        <v>897</v>
      </c>
      <c r="E18" s="50">
        <f>'쪽쟘(실측)'!D18+쪽쟘J늘림+MAX(W18:X18)</f>
        <v>76</v>
      </c>
      <c r="F18" s="50">
        <f>'쪽쟘(실측)'!E18+쪽쟘J늘림+MAX(W18:X18)</f>
        <v>75</v>
      </c>
      <c r="G18" s="67" t="str">
        <f t="shared" si="6"/>
        <v>2090*126.4</v>
      </c>
      <c r="H18" s="68" t="str">
        <f t="shared" si="7"/>
        <v>2083*129.4</v>
      </c>
      <c r="I18" s="50">
        <f>IF('쪽쟘(실측)'!F18&gt;0,'쪽쟘(실측)'!F18-1.5,0)+뒷날개치수더함</f>
        <v>23.5</v>
      </c>
      <c r="J18" s="50">
        <f>IF('쪽쟘(실측)'!H18&gt;0,'쪽쟘(실측)'!H18-1.5,0)+뒷날개치수더함</f>
        <v>26.5</v>
      </c>
      <c r="K18" s="50">
        <f>IF('쪽쟘(실측)'!F18&gt;0,'쪽쟘(실측)'!F18+0,0)+뒷날개치수더함</f>
        <v>25</v>
      </c>
      <c r="L18" s="50">
        <f>IF('쪽쟘(실측)'!G18&gt;0,'쪽쟘(실측)'!G18+0,0)+뒷날개치수더함</f>
        <v>25</v>
      </c>
      <c r="M18" s="50">
        <f>IF('쪽쟘(실측)'!H18&gt;0,'쪽쟘(실측)'!H18+0,0)+뒷날개치수더함</f>
        <v>28</v>
      </c>
      <c r="N18" s="50">
        <f>IF('쪽쟘(실측)'!I18&gt;0,'쪽쟘(실측)'!I18+0,0)+뒷날개치수더함</f>
        <v>28</v>
      </c>
      <c r="O18" s="50">
        <f>'쪽쟘(실측)'!J18-쪽쟘기둥차감</f>
        <v>2090</v>
      </c>
      <c r="P18" s="50">
        <f>'쪽쟘(실측)'!K18-쪽쟘기둥차감</f>
        <v>2090</v>
      </c>
      <c r="Q18" s="50">
        <f>'쪽쟘(실측)'!L18-쪽쟘기둥차감</f>
        <v>2083</v>
      </c>
      <c r="R18" s="50">
        <f>'쪽쟘(실측)'!M18-쪽쟘기둥차감</f>
        <v>2083</v>
      </c>
      <c r="S18" s="50">
        <f>'쪽쟘(실측)'!N18+뒷날개치수더함</f>
        <v>26</v>
      </c>
      <c r="T18" s="50">
        <f>'쪽쟘(실측)'!O18+뒷날개치수더함</f>
        <v>26</v>
      </c>
      <c r="U18" s="50">
        <f>'쪽쟘(실측)'!P18+뒷날개치수더함</f>
        <v>30</v>
      </c>
      <c r="V18" s="50">
        <f>'쪽쟘(실측)'!Q18+뒷날개치수더함</f>
        <v>30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20</v>
      </c>
      <c r="Z18" s="4">
        <f>'쪽쟘(실측)'!U18</f>
        <v>10</v>
      </c>
      <c r="AA18" s="4">
        <f>'쪽쟘(실측)'!V18</f>
        <v>20</v>
      </c>
      <c r="AC18">
        <f t="shared" si="8"/>
        <v>947</v>
      </c>
      <c r="AD18">
        <f t="shared" si="9"/>
        <v>128.4</v>
      </c>
      <c r="AE18">
        <f t="shared" si="2"/>
        <v>126.4</v>
      </c>
      <c r="AF18">
        <f t="shared" si="10"/>
        <v>2090</v>
      </c>
      <c r="AG18">
        <f t="shared" si="4"/>
        <v>129.4</v>
      </c>
      <c r="AH18">
        <f t="shared" si="11"/>
        <v>2083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6F</v>
      </c>
      <c r="C19" s="50" t="str">
        <f t="shared" si="5"/>
        <v>950*128.4</v>
      </c>
      <c r="D19" s="50">
        <f>'쪽쟘(실측)'!C19-쪽쟘OP차감</f>
        <v>897</v>
      </c>
      <c r="E19" s="50">
        <f>'쪽쟘(실측)'!D19+쪽쟘J늘림+MAX(W19:X19)</f>
        <v>76</v>
      </c>
      <c r="F19" s="50">
        <f>'쪽쟘(실측)'!E19+쪽쟘J늘림+MAX(W19:X19)</f>
        <v>75</v>
      </c>
      <c r="G19" s="67" t="str">
        <f t="shared" si="6"/>
        <v>2085*130.4</v>
      </c>
      <c r="H19" s="68" t="str">
        <f t="shared" si="7"/>
        <v>2087*128.4</v>
      </c>
      <c r="I19" s="50">
        <f>IF('쪽쟘(실측)'!F19&gt;0,'쪽쟘(실측)'!F19-1.5,0)+뒷날개치수더함</f>
        <v>27.5</v>
      </c>
      <c r="J19" s="50">
        <f>IF('쪽쟘(실측)'!H19&gt;0,'쪽쟘(실측)'!H19-1.5,0)+뒷날개치수더함</f>
        <v>25.5</v>
      </c>
      <c r="K19" s="50">
        <f>IF('쪽쟘(실측)'!F19&gt;0,'쪽쟘(실측)'!F19+0,0)+뒷날개치수더함</f>
        <v>29</v>
      </c>
      <c r="L19" s="50">
        <f>IF('쪽쟘(실측)'!G19&gt;0,'쪽쟘(실측)'!G19+0,0)+뒷날개치수더함</f>
        <v>29</v>
      </c>
      <c r="M19" s="50">
        <f>IF('쪽쟘(실측)'!H19&gt;0,'쪽쟘(실측)'!H19+0,0)+뒷날개치수더함</f>
        <v>27</v>
      </c>
      <c r="N19" s="50">
        <f>IF('쪽쟘(실측)'!I19&gt;0,'쪽쟘(실측)'!I19+0,0)+뒷날개치수더함</f>
        <v>27</v>
      </c>
      <c r="O19" s="50">
        <f>'쪽쟘(실측)'!J19-쪽쟘기둥차감</f>
        <v>2085</v>
      </c>
      <c r="P19" s="50">
        <f>'쪽쟘(실측)'!K19-쪽쟘기둥차감</f>
        <v>2085</v>
      </c>
      <c r="Q19" s="50">
        <f>'쪽쟘(실측)'!L19-쪽쟘기둥차감</f>
        <v>2087</v>
      </c>
      <c r="R19" s="50">
        <f>'쪽쟘(실측)'!M19-쪽쟘기둥차감</f>
        <v>2087</v>
      </c>
      <c r="S19" s="50">
        <f>'쪽쟘(실측)'!N19+뒷날개치수더함</f>
        <v>23</v>
      </c>
      <c r="T19" s="50">
        <f>'쪽쟘(실측)'!O19+뒷날개치수더함</f>
        <v>26</v>
      </c>
      <c r="U19" s="50">
        <f>'쪽쟘(실측)'!P19+뒷날개치수더함</f>
        <v>30</v>
      </c>
      <c r="V19" s="50">
        <f>'쪽쟘(실측)'!Q19+뒷날개치수더함</f>
        <v>30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20</v>
      </c>
      <c r="Z19" s="4">
        <f>'쪽쟘(실측)'!U19</f>
        <v>10</v>
      </c>
      <c r="AA19" s="4">
        <f>'쪽쟘(실측)'!V19</f>
        <v>20</v>
      </c>
      <c r="AC19">
        <f t="shared" si="8"/>
        <v>950</v>
      </c>
      <c r="AD19">
        <f t="shared" si="9"/>
        <v>128.4</v>
      </c>
      <c r="AE19">
        <f t="shared" si="2"/>
        <v>130.4</v>
      </c>
      <c r="AF19">
        <f t="shared" si="10"/>
        <v>2085</v>
      </c>
      <c r="AG19">
        <f t="shared" si="4"/>
        <v>128.4</v>
      </c>
      <c r="AH19">
        <f t="shared" si="11"/>
        <v>2087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5F</v>
      </c>
      <c r="C20" s="50" t="str">
        <f t="shared" si="5"/>
        <v>937*123.4</v>
      </c>
      <c r="D20" s="50">
        <f>'쪽쟘(실측)'!C20-쪽쟘OP차감</f>
        <v>898</v>
      </c>
      <c r="E20" s="50">
        <f>'쪽쟘(실측)'!D20+쪽쟘J늘림+MAX(W20:X20)</f>
        <v>76</v>
      </c>
      <c r="F20" s="50">
        <f>'쪽쟘(실측)'!E20+쪽쟘J늘림+MAX(W20:X20)</f>
        <v>75</v>
      </c>
      <c r="G20" s="67" t="str">
        <f t="shared" si="6"/>
        <v>2092*122.4</v>
      </c>
      <c r="H20" s="68" t="str">
        <f t="shared" si="7"/>
        <v>2090*122.4</v>
      </c>
      <c r="I20" s="50">
        <f>IF('쪽쟘(실측)'!F20&gt;0,'쪽쟘(실측)'!F20-1.5,0)+뒷날개치수더함</f>
        <v>19.5</v>
      </c>
      <c r="J20" s="50">
        <f>IF('쪽쟘(실측)'!H20&gt;0,'쪽쟘(실측)'!H20-1.5,0)+뒷날개치수더함</f>
        <v>19.5</v>
      </c>
      <c r="K20" s="50">
        <f>IF('쪽쟘(실측)'!F20&gt;0,'쪽쟘(실측)'!F20+0,0)+뒷날개치수더함</f>
        <v>21</v>
      </c>
      <c r="L20" s="50">
        <f>IF('쪽쟘(실측)'!G20&gt;0,'쪽쟘(실측)'!G20+0,0)+뒷날개치수더함</f>
        <v>21</v>
      </c>
      <c r="M20" s="50">
        <f>IF('쪽쟘(실측)'!H20&gt;0,'쪽쟘(실측)'!H20+0,0)+뒷날개치수더함</f>
        <v>21</v>
      </c>
      <c r="N20" s="50">
        <f>IF('쪽쟘(실측)'!I20&gt;0,'쪽쟘(실측)'!I20+0,0)+뒷날개치수더함</f>
        <v>21</v>
      </c>
      <c r="O20" s="50">
        <f>'쪽쟘(실측)'!J20-쪽쟘기둥차감</f>
        <v>2092</v>
      </c>
      <c r="P20" s="50">
        <f>'쪽쟘(실측)'!K20-쪽쟘기둥차감</f>
        <v>2092</v>
      </c>
      <c r="Q20" s="50">
        <f>'쪽쟘(실측)'!L20-쪽쟘기둥차감</f>
        <v>2090</v>
      </c>
      <c r="R20" s="50">
        <f>'쪽쟘(실측)'!M20-쪽쟘기둥차감</f>
        <v>2090</v>
      </c>
      <c r="S20" s="50">
        <f>'쪽쟘(실측)'!N20+뒷날개치수더함</f>
        <v>21</v>
      </c>
      <c r="T20" s="50">
        <f>'쪽쟘(실측)'!O20+뒷날개치수더함</f>
        <v>21</v>
      </c>
      <c r="U20" s="50">
        <f>'쪽쟘(실측)'!P20+뒷날개치수더함</f>
        <v>30</v>
      </c>
      <c r="V20" s="50">
        <f>'쪽쟘(실측)'!Q20+뒷날개치수더함</f>
        <v>30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20</v>
      </c>
      <c r="Z20" s="4">
        <f>'쪽쟘(실측)'!U20</f>
        <v>10</v>
      </c>
      <c r="AA20" s="4">
        <f>'쪽쟘(실측)'!V20</f>
        <v>20</v>
      </c>
      <c r="AC20">
        <f t="shared" si="8"/>
        <v>937</v>
      </c>
      <c r="AD20">
        <f t="shared" si="9"/>
        <v>123.4</v>
      </c>
      <c r="AE20">
        <f t="shared" si="2"/>
        <v>122.4</v>
      </c>
      <c r="AF20">
        <f t="shared" si="10"/>
        <v>2092</v>
      </c>
      <c r="AG20">
        <f t="shared" si="4"/>
        <v>122.4</v>
      </c>
      <c r="AH20">
        <f t="shared" si="11"/>
        <v>2090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4F</v>
      </c>
      <c r="C21" s="50" t="str">
        <f t="shared" si="5"/>
        <v>944*125.4</v>
      </c>
      <c r="D21" s="50">
        <f>'쪽쟘(실측)'!C21-쪽쟘OP차감</f>
        <v>899</v>
      </c>
      <c r="E21" s="50">
        <f>'쪽쟘(실측)'!D21+쪽쟘J늘림+MAX(W21:X21)</f>
        <v>76</v>
      </c>
      <c r="F21" s="50">
        <f>'쪽쟘(실측)'!E21+쪽쟘J늘림+MAX(W21:X21)</f>
        <v>75</v>
      </c>
      <c r="G21" s="67" t="str">
        <f t="shared" si="6"/>
        <v>2090*126.4</v>
      </c>
      <c r="H21" s="68" t="str">
        <f t="shared" si="7"/>
        <v>2090*124.4</v>
      </c>
      <c r="I21" s="50">
        <f>IF('쪽쟘(실측)'!F21&gt;0,'쪽쟘(실측)'!F21-1.5,0)+뒷날개치수더함</f>
        <v>23.5</v>
      </c>
      <c r="J21" s="50">
        <f>IF('쪽쟘(실측)'!H21&gt;0,'쪽쟘(실측)'!H21-1.5,0)+뒷날개치수더함</f>
        <v>21.5</v>
      </c>
      <c r="K21" s="50">
        <f>IF('쪽쟘(실측)'!F21&gt;0,'쪽쟘(실측)'!F21+0,0)+뒷날개치수더함</f>
        <v>25</v>
      </c>
      <c r="L21" s="50">
        <f>IF('쪽쟘(실측)'!G21&gt;0,'쪽쟘(실측)'!G21+0,0)+뒷날개치수더함</f>
        <v>21</v>
      </c>
      <c r="M21" s="50">
        <f>IF('쪽쟘(실측)'!H21&gt;0,'쪽쟘(실측)'!H21+0,0)+뒷날개치수더함</f>
        <v>23</v>
      </c>
      <c r="N21" s="50">
        <f>IF('쪽쟘(실측)'!I21&gt;0,'쪽쟘(실측)'!I21+0,0)+뒷날개치수더함</f>
        <v>23</v>
      </c>
      <c r="O21" s="50">
        <f>'쪽쟘(실측)'!J21-쪽쟘기둥차감</f>
        <v>2090</v>
      </c>
      <c r="P21" s="50">
        <f>'쪽쟘(실측)'!K21-쪽쟘기둥차감</f>
        <v>2090</v>
      </c>
      <c r="Q21" s="50">
        <f>'쪽쟘(실측)'!L21-쪽쟘기둥차감</f>
        <v>2090</v>
      </c>
      <c r="R21" s="50">
        <f>'쪽쟘(실측)'!M21-쪽쟘기둥차감</f>
        <v>2090</v>
      </c>
      <c r="S21" s="50">
        <f>'쪽쟘(실측)'!N21+뒷날개치수더함</f>
        <v>23</v>
      </c>
      <c r="T21" s="50">
        <f>'쪽쟘(실측)'!O21+뒷날개치수더함</f>
        <v>23</v>
      </c>
      <c r="U21" s="50">
        <f>'쪽쟘(실측)'!P21+뒷날개치수더함</f>
        <v>30</v>
      </c>
      <c r="V21" s="50">
        <f>'쪽쟘(실측)'!Q21+뒷날개치수더함</f>
        <v>30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20</v>
      </c>
      <c r="Z21" s="4">
        <f>'쪽쟘(실측)'!U21</f>
        <v>10</v>
      </c>
      <c r="AA21" s="4">
        <f>'쪽쟘(실측)'!V21</f>
        <v>20</v>
      </c>
      <c r="AC21">
        <f t="shared" si="8"/>
        <v>944</v>
      </c>
      <c r="AD21">
        <f t="shared" si="9"/>
        <v>125.4</v>
      </c>
      <c r="AE21">
        <f t="shared" si="2"/>
        <v>126.4</v>
      </c>
      <c r="AF21">
        <f t="shared" si="10"/>
        <v>2090</v>
      </c>
      <c r="AG21">
        <f t="shared" si="4"/>
        <v>124.4</v>
      </c>
      <c r="AH21">
        <f t="shared" si="11"/>
        <v>2090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3F</v>
      </c>
      <c r="C22" s="50" t="str">
        <f t="shared" si="5"/>
        <v>937*122.4</v>
      </c>
      <c r="D22" s="50">
        <f>'쪽쟘(실측)'!C22-쪽쟘OP차감</f>
        <v>900</v>
      </c>
      <c r="E22" s="50">
        <f>'쪽쟘(실측)'!D22+쪽쟘J늘림+MAX(W22:X22)</f>
        <v>76</v>
      </c>
      <c r="F22" s="50">
        <f>'쪽쟘(실측)'!E22+쪽쟘J늘림+MAX(W22:X22)</f>
        <v>75</v>
      </c>
      <c r="G22" s="67" t="str">
        <f t="shared" si="6"/>
        <v>2093*121.4</v>
      </c>
      <c r="H22" s="68" t="str">
        <f t="shared" si="7"/>
        <v>2090*121.4</v>
      </c>
      <c r="I22" s="50">
        <f>IF('쪽쟘(실측)'!F22&gt;0,'쪽쟘(실측)'!F22-1.5,0)+뒷날개치수더함</f>
        <v>18.5</v>
      </c>
      <c r="J22" s="50">
        <f>IF('쪽쟘(실측)'!H22&gt;0,'쪽쟘(실측)'!H22-1.5,0)+뒷날개치수더함</f>
        <v>18.5</v>
      </c>
      <c r="K22" s="50">
        <f>IF('쪽쟘(실측)'!F22&gt;0,'쪽쟘(실측)'!F22+0,0)+뒷날개치수더함</f>
        <v>20</v>
      </c>
      <c r="L22" s="50">
        <f>IF('쪽쟘(실측)'!G22&gt;0,'쪽쟘(실측)'!G22+0,0)+뒷날개치수더함</f>
        <v>20</v>
      </c>
      <c r="M22" s="50">
        <f>IF('쪽쟘(실측)'!H22&gt;0,'쪽쟘(실측)'!H22+0,0)+뒷날개치수더함</f>
        <v>20</v>
      </c>
      <c r="N22" s="50">
        <f>IF('쪽쟘(실측)'!I22&gt;0,'쪽쟘(실측)'!I22+0,0)+뒷날개치수더함</f>
        <v>20</v>
      </c>
      <c r="O22" s="50">
        <f>'쪽쟘(실측)'!J22-쪽쟘기둥차감</f>
        <v>2093</v>
      </c>
      <c r="P22" s="50">
        <f>'쪽쟘(실측)'!K22-쪽쟘기둥차감</f>
        <v>2093</v>
      </c>
      <c r="Q22" s="50">
        <f>'쪽쟘(실측)'!L22-쪽쟘기둥차감</f>
        <v>2090</v>
      </c>
      <c r="R22" s="50">
        <f>'쪽쟘(실측)'!M22-쪽쟘기둥차감</f>
        <v>2090</v>
      </c>
      <c r="S22" s="50">
        <f>'쪽쟘(실측)'!N22+뒷날개치수더함</f>
        <v>20</v>
      </c>
      <c r="T22" s="50">
        <f>'쪽쟘(실측)'!O22+뒷날개치수더함</f>
        <v>20</v>
      </c>
      <c r="U22" s="50">
        <f>'쪽쟘(실측)'!P22+뒷날개치수더함</f>
        <v>30</v>
      </c>
      <c r="V22" s="50">
        <f>'쪽쟘(실측)'!Q22+뒷날개치수더함</f>
        <v>30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20</v>
      </c>
      <c r="Z22" s="4">
        <f>'쪽쟘(실측)'!U22</f>
        <v>10</v>
      </c>
      <c r="AA22" s="4">
        <f>'쪽쟘(실측)'!V22</f>
        <v>20</v>
      </c>
      <c r="AC22">
        <f t="shared" si="8"/>
        <v>937</v>
      </c>
      <c r="AD22">
        <f t="shared" si="9"/>
        <v>122.4</v>
      </c>
      <c r="AE22">
        <f t="shared" si="2"/>
        <v>121.4</v>
      </c>
      <c r="AF22">
        <f t="shared" si="10"/>
        <v>2093</v>
      </c>
      <c r="AG22">
        <f t="shared" si="4"/>
        <v>121.4</v>
      </c>
      <c r="AH22">
        <f t="shared" si="11"/>
        <v>2090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2F</v>
      </c>
      <c r="C23" s="50" t="str">
        <f t="shared" si="5"/>
        <v>948*124.4</v>
      </c>
      <c r="D23" s="50">
        <f>'쪽쟘(실측)'!C23-쪽쟘OP차감</f>
        <v>901</v>
      </c>
      <c r="E23" s="50">
        <f>'쪽쟘(실측)'!D23+쪽쟘J늘림+MAX(W23:X23)</f>
        <v>76</v>
      </c>
      <c r="F23" s="50">
        <f>'쪽쟘(실측)'!E23+쪽쟘J늘림+MAX(W23:X23)</f>
        <v>75</v>
      </c>
      <c r="G23" s="67" t="str">
        <f t="shared" si="6"/>
        <v>2090*129.4</v>
      </c>
      <c r="H23" s="68" t="str">
        <f t="shared" si="7"/>
        <v>2086*123.4</v>
      </c>
      <c r="I23" s="50">
        <f>IF('쪽쟘(실측)'!F23&gt;0,'쪽쟘(실측)'!F23-1.5,0)+뒷날개치수더함</f>
        <v>26.5</v>
      </c>
      <c r="J23" s="50">
        <f>IF('쪽쟘(실측)'!H23&gt;0,'쪽쟘(실측)'!H23-1.5,0)+뒷날개치수더함</f>
        <v>20.5</v>
      </c>
      <c r="K23" s="50">
        <f>IF('쪽쟘(실측)'!F23&gt;0,'쪽쟘(실측)'!F23+0,0)+뒷날개치수더함</f>
        <v>28</v>
      </c>
      <c r="L23" s="50">
        <f>IF('쪽쟘(실측)'!G23&gt;0,'쪽쟘(실측)'!G23+0,0)+뒷날개치수더함</f>
        <v>24</v>
      </c>
      <c r="M23" s="50">
        <f>IF('쪽쟘(실측)'!H23&gt;0,'쪽쟘(실측)'!H23+0,0)+뒷날개치수더함</f>
        <v>22</v>
      </c>
      <c r="N23" s="50">
        <f>IF('쪽쟘(실측)'!I23&gt;0,'쪽쟘(실측)'!I23+0,0)+뒷날개치수더함</f>
        <v>22</v>
      </c>
      <c r="O23" s="50">
        <f>'쪽쟘(실측)'!J23-쪽쟘기둥차감</f>
        <v>2090</v>
      </c>
      <c r="P23" s="50">
        <f>'쪽쟘(실측)'!K23-쪽쟘기둥차감</f>
        <v>2090</v>
      </c>
      <c r="Q23" s="50">
        <f>'쪽쟘(실측)'!L23-쪽쟘기둥차감</f>
        <v>2086</v>
      </c>
      <c r="R23" s="50">
        <f>'쪽쟘(실측)'!M23-쪽쟘기둥차감</f>
        <v>2086</v>
      </c>
      <c r="S23" s="50">
        <f>'쪽쟘(실측)'!N23+뒷날개치수더함</f>
        <v>22</v>
      </c>
      <c r="T23" s="50">
        <f>'쪽쟘(실측)'!O23+뒷날개치수더함</f>
        <v>22</v>
      </c>
      <c r="U23" s="50">
        <f>'쪽쟘(실측)'!P23+뒷날개치수더함</f>
        <v>30</v>
      </c>
      <c r="V23" s="50">
        <f>'쪽쟘(실측)'!Q23+뒷날개치수더함</f>
        <v>30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20</v>
      </c>
      <c r="Z23" s="4">
        <f>'쪽쟘(실측)'!U23</f>
        <v>10</v>
      </c>
      <c r="AA23" s="4">
        <f>'쪽쟘(실측)'!V23</f>
        <v>20</v>
      </c>
      <c r="AC23">
        <f t="shared" si="8"/>
        <v>948</v>
      </c>
      <c r="AD23">
        <f t="shared" si="9"/>
        <v>124.4</v>
      </c>
      <c r="AE23">
        <f t="shared" si="2"/>
        <v>129.4</v>
      </c>
      <c r="AF23">
        <f t="shared" si="10"/>
        <v>2090</v>
      </c>
      <c r="AG23">
        <f t="shared" si="4"/>
        <v>123.4</v>
      </c>
      <c r="AH23">
        <f t="shared" si="11"/>
        <v>2086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B1F</v>
      </c>
      <c r="C24" s="50" t="str">
        <f t="shared" si="5"/>
        <v>952*115.4</v>
      </c>
      <c r="D24" s="50">
        <f>'쪽쟘(실측)'!C24-쪽쟘OP차감</f>
        <v>902</v>
      </c>
      <c r="E24" s="50">
        <f>'쪽쟘(실측)'!D24+쪽쟘J늘림+MAX(W24:X24)</f>
        <v>76</v>
      </c>
      <c r="F24" s="50">
        <f>'쪽쟘(실측)'!E24+쪽쟘J늘림+MAX(W24:X24)</f>
        <v>75</v>
      </c>
      <c r="G24" s="67" t="str">
        <f t="shared" si="6"/>
        <v>2094*129.4</v>
      </c>
      <c r="H24" s="68" t="str">
        <f t="shared" si="7"/>
        <v>2094*129.4</v>
      </c>
      <c r="I24" s="50">
        <f>IF('쪽쟘(실측)'!F24&gt;0,'쪽쟘(실측)'!F24-1.5,0)+뒷날개치수더함</f>
        <v>26.5</v>
      </c>
      <c r="J24" s="50">
        <f>IF('쪽쟘(실측)'!H24&gt;0,'쪽쟘(실측)'!H24-1.5,0)+뒷날개치수더함</f>
        <v>23.5</v>
      </c>
      <c r="K24" s="50">
        <f>IF('쪽쟘(실측)'!F24&gt;0,'쪽쟘(실측)'!F24+0,0)+뒷날개치수더함</f>
        <v>28</v>
      </c>
      <c r="L24" s="50">
        <f>IF('쪽쟘(실측)'!G24&gt;0,'쪽쟘(실측)'!G24+0,0)+뒷날개치수더함</f>
        <v>24</v>
      </c>
      <c r="M24" s="50">
        <f>IF('쪽쟘(실측)'!H24&gt;0,'쪽쟘(실측)'!H24+0,0)+뒷날개치수더함</f>
        <v>25</v>
      </c>
      <c r="N24" s="50">
        <f>IF('쪽쟘(실측)'!I24&gt;0,'쪽쟘(실측)'!I24+0,0)+뒷날개치수더함</f>
        <v>28</v>
      </c>
      <c r="O24" s="50">
        <f>'쪽쟘(실측)'!J24-쪽쟘기둥차감</f>
        <v>2094</v>
      </c>
      <c r="P24" s="50">
        <f>'쪽쟘(실측)'!K24-쪽쟘기둥차감</f>
        <v>2094</v>
      </c>
      <c r="Q24" s="50">
        <f>'쪽쟘(실측)'!L24-쪽쟘기둥차감</f>
        <v>2094</v>
      </c>
      <c r="R24" s="50">
        <f>'쪽쟘(실측)'!M24-쪽쟘기둥차감</f>
        <v>2094</v>
      </c>
      <c r="S24" s="50">
        <f>'쪽쟘(실측)'!N24+뒷날개치수더함</f>
        <v>13</v>
      </c>
      <c r="T24" s="50">
        <f>'쪽쟘(실측)'!O24+뒷날개치수더함</f>
        <v>13</v>
      </c>
      <c r="U24" s="50">
        <f>'쪽쟘(실측)'!P24+뒷날개치수더함</f>
        <v>30</v>
      </c>
      <c r="V24" s="50">
        <f>'쪽쟘(실측)'!Q24+뒷날개치수더함</f>
        <v>30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20</v>
      </c>
      <c r="Z24" s="4">
        <f>'쪽쟘(실측)'!U24</f>
        <v>10</v>
      </c>
      <c r="AA24" s="4">
        <f>'쪽쟘(실측)'!V24</f>
        <v>20</v>
      </c>
      <c r="AC24">
        <f t="shared" si="8"/>
        <v>952</v>
      </c>
      <c r="AD24">
        <f t="shared" si="9"/>
        <v>115.4</v>
      </c>
      <c r="AE24">
        <f t="shared" si="2"/>
        <v>129.4</v>
      </c>
      <c r="AF24">
        <f t="shared" si="10"/>
        <v>2094</v>
      </c>
      <c r="AG24">
        <f t="shared" si="4"/>
        <v>129.4</v>
      </c>
      <c r="AH24">
        <f t="shared" si="11"/>
        <v>2094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24 M7:M24 S7:S24">
    <cfRule type="cellIs" dxfId="58" priority="4" operator="notEqual">
      <formula>L7</formula>
    </cfRule>
  </conditionalFormatting>
  <conditionalFormatting sqref="L7:L24 N7:N24 T7:T24">
    <cfRule type="cellIs" dxfId="57" priority="3" operator="notEqual">
      <formula>K7</formula>
    </cfRule>
  </conditionalFormatting>
  <conditionalFormatting sqref="Y7:AA24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Z13" sqref="Z13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299" t="str">
        <f>정보!B1&amp;" (제작치수 샤링작지) "&amp;정보!B6&amp;" 소장"</f>
        <v>서울 영등포 당산리버드림빌 (제작치수 샤링작지) 김운호 소장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</row>
    <row r="2" spans="1:31" ht="30.75" customHeight="1" x14ac:dyDescent="0.3">
      <c r="A2" s="300" t="str">
        <f>"총 : " &amp; COUNTA(A7:A200) &amp;" (SET)"</f>
        <v>총 : 2 (SET)</v>
      </c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289" t="s">
        <v>160</v>
      </c>
      <c r="Q2" s="290"/>
      <c r="R2" s="290"/>
      <c r="S2" s="290"/>
      <c r="T2" s="61"/>
      <c r="U2" s="291">
        <v>1.2</v>
      </c>
      <c r="V2" s="291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89" t="str">
        <f>"예상매수 : " &amp; ROUNDUP((SUM(AB7:AB200)+SUM(AD7:AD200))/1200,0) &amp;" 매"</f>
        <v>예상매수 : 0 매</v>
      </c>
      <c r="H3" s="289"/>
      <c r="I3" s="292">
        <v>0</v>
      </c>
      <c r="J3" s="292"/>
      <c r="K3" s="63"/>
      <c r="L3" s="63"/>
      <c r="M3" s="247" t="s">
        <v>161</v>
      </c>
      <c r="N3" s="247"/>
      <c r="O3" s="247"/>
      <c r="P3" s="293">
        <v>0</v>
      </c>
      <c r="Q3" s="293"/>
      <c r="R3" s="244" t="s">
        <v>162</v>
      </c>
      <c r="S3" s="244"/>
      <c r="T3" s="64"/>
      <c r="U3" s="294">
        <v>4</v>
      </c>
      <c r="V3" s="294"/>
      <c r="W3" s="65"/>
      <c r="X3" s="65"/>
    </row>
    <row r="4" spans="1:31" ht="9.75" customHeight="1" x14ac:dyDescent="0.3">
      <c r="A4" s="163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</row>
    <row r="5" spans="1:31" ht="25.9" customHeight="1" x14ac:dyDescent="0.3">
      <c r="A5" s="167" t="s">
        <v>163</v>
      </c>
      <c r="B5" s="167" t="s">
        <v>164</v>
      </c>
      <c r="C5" s="168" t="s">
        <v>165</v>
      </c>
      <c r="D5" s="167" t="s">
        <v>166</v>
      </c>
      <c r="E5" s="168" t="s">
        <v>167</v>
      </c>
      <c r="F5" s="168" t="s">
        <v>168</v>
      </c>
      <c r="G5" s="168" t="s">
        <v>169</v>
      </c>
      <c r="H5" s="168" t="s">
        <v>170</v>
      </c>
      <c r="I5" s="301" t="s">
        <v>171</v>
      </c>
      <c r="J5" s="168" t="s">
        <v>172</v>
      </c>
      <c r="K5" s="168" t="s">
        <v>173</v>
      </c>
      <c r="L5" s="168" t="s">
        <v>147</v>
      </c>
      <c r="M5" s="295" t="s">
        <v>174</v>
      </c>
      <c r="N5" s="295" t="s">
        <v>175</v>
      </c>
      <c r="O5" s="167" t="s">
        <v>176</v>
      </c>
      <c r="P5" s="167" t="s">
        <v>177</v>
      </c>
      <c r="Q5" s="167" t="s">
        <v>178</v>
      </c>
      <c r="R5" s="167" t="s">
        <v>179</v>
      </c>
      <c r="S5" s="168" t="s">
        <v>180</v>
      </c>
      <c r="T5" s="295" t="s">
        <v>151</v>
      </c>
      <c r="U5" s="168" t="s">
        <v>181</v>
      </c>
      <c r="V5" s="168" t="s">
        <v>182</v>
      </c>
      <c r="W5" s="167" t="s">
        <v>183</v>
      </c>
      <c r="X5" s="167"/>
      <c r="AB5" s="178" t="s">
        <v>184</v>
      </c>
      <c r="AC5" s="178"/>
      <c r="AD5" s="178" t="s">
        <v>185</v>
      </c>
      <c r="AE5" s="178"/>
    </row>
    <row r="6" spans="1:31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302"/>
      <c r="J6" s="209"/>
      <c r="K6" s="238"/>
      <c r="L6" s="238"/>
      <c r="M6" s="296"/>
      <c r="N6" s="296"/>
      <c r="O6" s="209"/>
      <c r="P6" s="209"/>
      <c r="Q6" s="209"/>
      <c r="R6" s="209"/>
      <c r="S6" s="209"/>
      <c r="T6" s="297"/>
      <c r="U6" s="238"/>
      <c r="V6" s="238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18F</v>
      </c>
      <c r="C7" s="50" t="str">
        <f>Z7&amp;"*"&amp;AA7</f>
        <v>*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*</v>
      </c>
      <c r="H7" s="68" t="str">
        <f>IF(OR(쪽쟘제작!N7&lt;&gt;쪽쟘제작!M7,쪽쟘제작!Q7&lt;&gt;쪽쟘제작!R7),"",AE7&amp;"*"&amp;AD7)</f>
        <v/>
      </c>
      <c r="I7" s="70">
        <f>IF('쪽쟘(실측)'!F7&gt;0,'쪽쟘(실측)'!F7+0.5,0)</f>
        <v>22.5</v>
      </c>
      <c r="J7" s="50">
        <f>IF('쪽쟘(실측)'!H7&gt;0,'쪽쟘(실측)'!H7+0.5,0)</f>
        <v>30.5</v>
      </c>
      <c r="K7" s="50">
        <f>IF('쪽쟘(실측)'!F7&gt;0,'쪽쟘(실측)'!F7+1.5,0)</f>
        <v>23.5</v>
      </c>
      <c r="L7" s="50">
        <f>IF('쪽쟘(실측)'!G7&gt;0,'쪽쟘(실측)'!G7+1.5,0)</f>
        <v>23.5</v>
      </c>
      <c r="M7" s="50">
        <f>IF('쪽쟘(실측)'!H7&gt;0,'쪽쟘(실측)'!H7+1.5,0)</f>
        <v>31.5</v>
      </c>
      <c r="N7" s="50">
        <f>IF('쪽쟘(실측)'!I7&gt;0,'쪽쟘(실측)'!I7+1.5,0)</f>
        <v>27.5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24.2</v>
      </c>
      <c r="T7" s="50">
        <f>'쪽쟘(실측)'!O7+1.2</f>
        <v>24.2</v>
      </c>
      <c r="U7" s="50">
        <f>'쪽쟘(실측)'!P7</f>
        <v>30</v>
      </c>
      <c r="V7" s="50">
        <f>'쪽쟘(실측)'!Q7</f>
        <v>30</v>
      </c>
      <c r="W7" s="50" t="e">
        <f>'쪽쟘(실측)'!R7-늘치차감</f>
        <v>#NAME?</v>
      </c>
      <c r="X7" s="50" t="e">
        <f>'쪽쟘(실측)'!S7-늘치차감</f>
        <v>#NAME?</v>
      </c>
    </row>
    <row r="8" spans="1:31" ht="18.75" customHeight="1" x14ac:dyDescent="0.3">
      <c r="A8" s="50">
        <f>'쪽쟘(실측)'!A8</f>
        <v>0</v>
      </c>
      <c r="B8" s="50" t="str">
        <f>'쪽쟘(실측)'!B8&amp;"F"</f>
        <v>17F</v>
      </c>
      <c r="C8" s="50" t="str">
        <f t="shared" ref="C8" si="0">Z8&amp;"*"&amp;AA8</f>
        <v>*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/>
      </c>
      <c r="H8" s="68" t="str">
        <f>IF(쪽쟘제작!N8&lt;&gt;쪽쟘제작!M8,"",AE8&amp;"*"&amp;AD8)</f>
        <v>*</v>
      </c>
      <c r="I8" s="70">
        <f>IF('쪽쟘(실측)'!F8&gt;0,'쪽쟘(실측)'!F8+0.5,0)</f>
        <v>26.5</v>
      </c>
      <c r="J8" s="50">
        <f>IF('쪽쟘(실측)'!H8&gt;0,'쪽쟘(실측)'!H8+0.5,0)</f>
        <v>21.5</v>
      </c>
      <c r="K8" s="50">
        <f>IF('쪽쟘(실측)'!F8&gt;0,'쪽쟘(실측)'!F8+1.5,0)</f>
        <v>27.5</v>
      </c>
      <c r="L8" s="50">
        <f>IF('쪽쟘(실측)'!G8&gt;0,'쪽쟘(실측)'!G8+1.5,0)</f>
        <v>21.5</v>
      </c>
      <c r="M8" s="50">
        <f>IF('쪽쟘(실측)'!H8&gt;0,'쪽쟘(실측)'!H8+1.5,0)</f>
        <v>22.5</v>
      </c>
      <c r="N8" s="50">
        <f>IF('쪽쟘(실측)'!I8&gt;0,'쪽쟘(실측)'!I8+1.5,0)</f>
        <v>22.5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22.2</v>
      </c>
      <c r="T8" s="50">
        <f>'쪽쟘(실측)'!O8+1.2</f>
        <v>22.2</v>
      </c>
      <c r="U8" s="50">
        <f>'쪽쟘(실측)'!P8</f>
        <v>30</v>
      </c>
      <c r="V8" s="50">
        <f>'쪽쟘(실측)'!Q8</f>
        <v>30</v>
      </c>
      <c r="W8" s="50" t="e">
        <f>'쪽쟘(실측)'!R8-늘치차감</f>
        <v>#NAME?</v>
      </c>
      <c r="X8" s="50" t="e">
        <f>'쪽쟘(실측)'!S8-늘치차감</f>
        <v>#NAME?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66" t="str">
        <f>정보!E2</f>
        <v>(SO와이드) 실측서 ( 서울 영등포 당산리버드림빌 ) _김운호소장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서울 영등포 당산리버드림빌,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4" t="s">
        <v>98</v>
      </c>
      <c r="N3" s="174"/>
      <c r="O3" s="34"/>
      <c r="P3" s="34"/>
      <c r="Q3" s="34"/>
      <c r="R3" s="34"/>
      <c r="S3" s="34"/>
      <c r="T3" s="34"/>
      <c r="U3" s="34"/>
      <c r="V3" s="34"/>
      <c r="W3" s="34"/>
      <c r="X3" s="34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34"/>
      <c r="AJ3" s="34"/>
      <c r="AK3" s="34"/>
      <c r="AL3" s="34"/>
    </row>
    <row r="4" spans="1:47" ht="33" customHeight="1" x14ac:dyDescent="0.3">
      <c r="A4" s="303" t="str">
        <f>정보!B10</f>
        <v>제작치수 반영 : MH + (2), JB/JD +(3 ),  늘어난치수K -(3),  C + (0),   U + (0), OP - (2), R - (0),  기둥차감 - (0), A + (1)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4"/>
      <c r="AG4" s="173" t="s">
        <v>215</v>
      </c>
      <c r="AH4" s="173"/>
      <c r="AI4" s="75"/>
      <c r="AJ4" s="9"/>
      <c r="AK4" s="9"/>
      <c r="AL4" s="9"/>
    </row>
    <row r="5" spans="1:47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236</v>
      </c>
      <c r="F5" s="167" t="s">
        <v>239</v>
      </c>
      <c r="G5" s="167" t="s">
        <v>18</v>
      </c>
      <c r="H5" s="167" t="s">
        <v>4</v>
      </c>
      <c r="I5" s="167" t="s">
        <v>5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12</v>
      </c>
      <c r="O5" s="167" t="s">
        <v>13</v>
      </c>
      <c r="P5" s="167" t="s">
        <v>10</v>
      </c>
      <c r="Q5" s="167" t="s">
        <v>11</v>
      </c>
      <c r="R5" s="167" t="s">
        <v>14</v>
      </c>
      <c r="S5" s="167" t="s">
        <v>15</v>
      </c>
      <c r="T5" s="167" t="s">
        <v>16</v>
      </c>
      <c r="U5" s="167" t="s">
        <v>17</v>
      </c>
      <c r="V5" s="167" t="s">
        <v>19</v>
      </c>
      <c r="W5" s="168" t="s">
        <v>48</v>
      </c>
      <c r="X5" s="168" t="s">
        <v>22</v>
      </c>
      <c r="Y5" s="304" t="s">
        <v>237</v>
      </c>
      <c r="Z5" s="305" t="s">
        <v>243</v>
      </c>
      <c r="AA5" s="167" t="s">
        <v>21</v>
      </c>
      <c r="AB5" s="167"/>
      <c r="AC5" s="167"/>
      <c r="AD5" s="167"/>
      <c r="AE5" s="169" t="s">
        <v>91</v>
      </c>
      <c r="AF5" s="169" t="s">
        <v>92</v>
      </c>
      <c r="AG5" s="171" t="s">
        <v>212</v>
      </c>
      <c r="AH5" s="172"/>
      <c r="AI5" s="168" t="s">
        <v>199</v>
      </c>
      <c r="AJ5" s="168" t="s">
        <v>203</v>
      </c>
      <c r="AK5" s="168"/>
      <c r="AL5" s="168"/>
    </row>
    <row r="6" spans="1:47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8"/>
      <c r="Y6" s="304"/>
      <c r="Z6" s="305"/>
      <c r="AA6" s="8" t="s">
        <v>43</v>
      </c>
      <c r="AB6" s="8" t="s">
        <v>44</v>
      </c>
      <c r="AC6" s="8" t="s">
        <v>45</v>
      </c>
      <c r="AD6" s="8" t="s">
        <v>46</v>
      </c>
      <c r="AE6" s="170"/>
      <c r="AF6" s="170"/>
      <c r="AG6" s="74" t="s">
        <v>213</v>
      </c>
      <c r="AH6" s="74" t="s">
        <v>214</v>
      </c>
      <c r="AI6" s="167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B2" sqref="B2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17" t="str">
        <f>정보!F2</f>
        <v>(SO와이드) 제작변환 ( 서울 영등포 당산리버드림빌 ) _김운호소장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7"/>
      <c r="AX1" s="37"/>
    </row>
    <row r="2" spans="1:66" ht="29.25" customHeight="1" x14ac:dyDescent="0.3">
      <c r="A2" s="97" t="s">
        <v>85</v>
      </c>
      <c r="B2" s="139">
        <v>2</v>
      </c>
      <c r="C2" s="98" t="s">
        <v>86</v>
      </c>
      <c r="D2" s="112">
        <v>0</v>
      </c>
      <c r="E2" s="27"/>
      <c r="F2" s="27"/>
      <c r="G2" s="98" t="s">
        <v>87</v>
      </c>
      <c r="H2" s="113">
        <v>2</v>
      </c>
      <c r="I2" s="1"/>
      <c r="J2" s="217" t="s">
        <v>113</v>
      </c>
      <c r="K2" s="218"/>
      <c r="L2" s="218"/>
      <c r="M2" s="218"/>
      <c r="N2" s="218"/>
      <c r="O2" s="218"/>
      <c r="P2" s="219">
        <v>1</v>
      </c>
      <c r="Q2" s="219"/>
      <c r="R2" s="189" t="s">
        <v>89</v>
      </c>
      <c r="S2" s="190"/>
      <c r="T2" s="191">
        <v>0</v>
      </c>
      <c r="U2" s="191"/>
      <c r="V2" s="167" t="s">
        <v>83</v>
      </c>
      <c r="W2" s="193"/>
      <c r="X2" s="193"/>
      <c r="Y2" s="194">
        <v>0</v>
      </c>
      <c r="Z2" s="194"/>
      <c r="AA2" s="322" t="str">
        <f>정보!B5</f>
        <v>OTIS HIL-A207 돌출형</v>
      </c>
      <c r="AB2" s="323"/>
      <c r="AC2" s="323"/>
      <c r="AD2" s="323"/>
      <c r="AE2" s="323"/>
      <c r="AF2" s="323"/>
      <c r="AG2" s="323"/>
      <c r="AH2" s="323"/>
      <c r="AI2" s="323"/>
      <c r="AJ2" s="323"/>
      <c r="AK2" s="324"/>
      <c r="AL2" s="189" t="s">
        <v>90</v>
      </c>
      <c r="AM2" s="190"/>
      <c r="AN2" s="318">
        <v>3</v>
      </c>
      <c r="AO2" s="318"/>
      <c r="AP2" s="1"/>
      <c r="AQ2" s="319" t="s">
        <v>229</v>
      </c>
      <c r="AR2" s="320"/>
      <c r="AS2" s="321">
        <v>0</v>
      </c>
      <c r="AT2" s="321"/>
      <c r="AU2" s="1"/>
      <c r="AV2" s="1"/>
    </row>
    <row r="3" spans="1:66" ht="24.75" customHeight="1" x14ac:dyDescent="0.3">
      <c r="A3" s="28" t="str">
        <f>'SO와이드(실측)'!A3</f>
        <v>현장명 : 서울 영등포 당산리버드림빌,   (재질) : HL 1.2T</v>
      </c>
      <c r="B3" s="2"/>
      <c r="C3" s="2"/>
      <c r="D3" s="2"/>
      <c r="E3" s="2"/>
      <c r="F3" s="2"/>
      <c r="G3" s="2"/>
      <c r="H3" s="2"/>
      <c r="I3" s="2"/>
      <c r="J3" s="189" t="s">
        <v>228</v>
      </c>
      <c r="K3" s="189"/>
      <c r="L3" s="189"/>
      <c r="M3" s="189"/>
      <c r="N3" s="189"/>
      <c r="O3" s="189"/>
      <c r="P3" s="220">
        <v>3</v>
      </c>
      <c r="Q3" s="220"/>
      <c r="R3" s="190" t="s">
        <v>77</v>
      </c>
      <c r="S3" s="190"/>
      <c r="T3" s="197">
        <v>0</v>
      </c>
      <c r="U3" s="197"/>
      <c r="V3" s="198" t="s">
        <v>227</v>
      </c>
      <c r="W3" s="198"/>
      <c r="X3" s="198"/>
      <c r="Y3" s="199">
        <f>BN7</f>
        <v>1</v>
      </c>
      <c r="Z3" s="199"/>
      <c r="AA3" s="315" t="s">
        <v>78</v>
      </c>
      <c r="AB3" s="315"/>
      <c r="AC3" s="325">
        <v>1</v>
      </c>
      <c r="AD3" s="325"/>
      <c r="AL3" s="167" t="s">
        <v>73</v>
      </c>
      <c r="AM3" s="167"/>
      <c r="AN3" s="110">
        <v>5</v>
      </c>
      <c r="AO3" s="103" t="s">
        <v>74</v>
      </c>
      <c r="AP3" s="111">
        <v>4</v>
      </c>
      <c r="AQ3" s="225" t="s">
        <v>230</v>
      </c>
      <c r="AR3" s="225"/>
      <c r="AS3" s="227" t="s">
        <v>327</v>
      </c>
      <c r="AT3" s="228"/>
      <c r="AU3" s="231" t="e">
        <f>AY7</f>
        <v>#DIV/0!</v>
      </c>
      <c r="AV3" s="232"/>
      <c r="BN3" s="177" t="s">
        <v>253</v>
      </c>
    </row>
    <row r="4" spans="1:66" ht="33" customHeight="1" x14ac:dyDescent="0.3">
      <c r="A4" s="163" t="str">
        <f>정보!B10</f>
        <v>제작치수 반영 : MH + (2), JB/JD +(3 ),  늘어난치수K -(3),  C + (0),   U + (0), OP - (2),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316" t="s">
        <v>313</v>
      </c>
      <c r="AH4" s="316"/>
      <c r="AI4" s="275">
        <f>'SO와이드(실측)'!AA7</f>
        <v>0</v>
      </c>
      <c r="AJ4" s="275"/>
      <c r="AK4" s="222">
        <f ca="1">TODAY()</f>
        <v>45272</v>
      </c>
      <c r="AL4" s="162"/>
      <c r="AM4" s="162"/>
      <c r="AN4" s="9"/>
      <c r="AO4" s="310" t="s">
        <v>117</v>
      </c>
      <c r="AP4" s="310"/>
      <c r="AQ4" s="173" t="s">
        <v>215</v>
      </c>
      <c r="AR4" s="173"/>
      <c r="AS4" s="84"/>
      <c r="AT4" s="229" t="s">
        <v>235</v>
      </c>
      <c r="AU4" s="229"/>
      <c r="AV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236</v>
      </c>
      <c r="F5" s="167" t="s">
        <v>246</v>
      </c>
      <c r="G5" s="167" t="s">
        <v>18</v>
      </c>
      <c r="H5" s="206" t="s">
        <v>4</v>
      </c>
      <c r="I5" s="270" t="s">
        <v>42</v>
      </c>
      <c r="J5" s="203" t="s">
        <v>105</v>
      </c>
      <c r="K5" s="203" t="s">
        <v>106</v>
      </c>
      <c r="L5" s="207" t="s">
        <v>107</v>
      </c>
      <c r="M5" s="207" t="s">
        <v>108</v>
      </c>
      <c r="N5" s="311" t="s">
        <v>240</v>
      </c>
      <c r="O5" s="313" t="s">
        <v>241</v>
      </c>
      <c r="P5" s="209" t="s">
        <v>71</v>
      </c>
      <c r="Q5" s="209" t="s">
        <v>72</v>
      </c>
      <c r="R5" s="167" t="s">
        <v>8</v>
      </c>
      <c r="S5" s="167" t="s">
        <v>9</v>
      </c>
      <c r="T5" s="167" t="s">
        <v>12</v>
      </c>
      <c r="U5" s="167" t="s">
        <v>13</v>
      </c>
      <c r="V5" s="167" t="s">
        <v>10</v>
      </c>
      <c r="W5" s="167" t="s">
        <v>11</v>
      </c>
      <c r="X5" s="205" t="s">
        <v>14</v>
      </c>
      <c r="Y5" s="205" t="s">
        <v>15</v>
      </c>
      <c r="Z5" s="206" t="s">
        <v>16</v>
      </c>
      <c r="AA5" s="206" t="s">
        <v>17</v>
      </c>
      <c r="AB5" s="167" t="s">
        <v>19</v>
      </c>
      <c r="AC5" s="167" t="s">
        <v>20</v>
      </c>
      <c r="AD5" s="168" t="s">
        <v>22</v>
      </c>
      <c r="AE5" s="304" t="s">
        <v>242</v>
      </c>
      <c r="AF5" s="305" t="s">
        <v>238</v>
      </c>
      <c r="AG5" s="195" t="s">
        <v>79</v>
      </c>
      <c r="AH5" s="196"/>
      <c r="AI5" s="196"/>
      <c r="AJ5" s="196"/>
      <c r="AK5" s="187" t="s">
        <v>91</v>
      </c>
      <c r="AL5" s="187" t="s">
        <v>92</v>
      </c>
      <c r="AM5" s="179" t="s">
        <v>99</v>
      </c>
      <c r="AN5" s="168" t="s">
        <v>61</v>
      </c>
      <c r="AO5" s="168" t="s">
        <v>34</v>
      </c>
      <c r="AP5" s="168" t="s">
        <v>35</v>
      </c>
      <c r="AQ5" s="171" t="s">
        <v>212</v>
      </c>
      <c r="AR5" s="172"/>
      <c r="AS5" s="308" t="s">
        <v>199</v>
      </c>
      <c r="AT5" s="308" t="s">
        <v>204</v>
      </c>
      <c r="AU5" s="308"/>
      <c r="AV5" s="308"/>
      <c r="AW5" s="177" t="s">
        <v>100</v>
      </c>
      <c r="AX5" s="177" t="s">
        <v>101</v>
      </c>
      <c r="AY5" s="307" t="s">
        <v>244</v>
      </c>
      <c r="AZ5" s="306" t="s">
        <v>245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206"/>
      <c r="I6" s="270"/>
      <c r="J6" s="204"/>
      <c r="K6" s="204"/>
      <c r="L6" s="208"/>
      <c r="M6" s="208"/>
      <c r="N6" s="312"/>
      <c r="O6" s="314"/>
      <c r="P6" s="210"/>
      <c r="Q6" s="210"/>
      <c r="R6" s="167"/>
      <c r="S6" s="167"/>
      <c r="T6" s="167"/>
      <c r="U6" s="167"/>
      <c r="V6" s="167"/>
      <c r="W6" s="167"/>
      <c r="X6" s="205"/>
      <c r="Y6" s="205"/>
      <c r="Z6" s="206"/>
      <c r="AA6" s="206"/>
      <c r="AB6" s="167"/>
      <c r="AC6" s="167"/>
      <c r="AD6" s="168"/>
      <c r="AE6" s="304"/>
      <c r="AF6" s="305"/>
      <c r="AG6" s="8" t="s">
        <v>52</v>
      </c>
      <c r="AH6" s="8" t="s">
        <v>68</v>
      </c>
      <c r="AI6" s="8" t="s">
        <v>69</v>
      </c>
      <c r="AJ6" s="8" t="s">
        <v>70</v>
      </c>
      <c r="AK6" s="188"/>
      <c r="AL6" s="188"/>
      <c r="AM6" s="180"/>
      <c r="AN6" s="168"/>
      <c r="AO6" s="167"/>
      <c r="AP6" s="167"/>
      <c r="AQ6" s="74" t="s">
        <v>213</v>
      </c>
      <c r="AR6" s="74" t="s">
        <v>214</v>
      </c>
      <c r="AS6" s="309"/>
      <c r="AT6" s="86" t="s">
        <v>200</v>
      </c>
      <c r="AU6" s="86" t="s">
        <v>201</v>
      </c>
      <c r="AV6" s="86" t="s">
        <v>80</v>
      </c>
      <c r="AW6" s="178"/>
      <c r="AX6" s="178"/>
      <c r="AY6" s="306"/>
      <c r="AZ6" s="306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2</v>
      </c>
      <c r="D7" s="31">
        <f>'SO와이드(실측)'!D7+SO와이드MH더함-IF(AND(소장="추영덕",AB7=0),1.2)</f>
        <v>2</v>
      </c>
      <c r="E7" s="31">
        <f>'SO와이드(실측)'!E7-SO와이드OP</f>
        <v>-2</v>
      </c>
      <c r="F7" s="31">
        <f>'SO와이드(실측)'!F7-SO와이드OP</f>
        <v>-2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-3</v>
      </c>
      <c r="AH7" s="31">
        <f>IF(SO와이드JB하부늘치=1,AG7,'SO와이드(실측)'!AB7-SO와이드늘치)</f>
        <v>-3</v>
      </c>
      <c r="AI7" s="31">
        <f>'SO와이드(실측)'!AC7-SO와이드늘치</f>
        <v>-3</v>
      </c>
      <c r="AJ7" s="31">
        <f>IF(SO와이드JB하부늘치=1,AI7,'SO와이드(실측)'!AD7-SO와이드늘치)</f>
        <v>-3</v>
      </c>
      <c r="AK7" s="31">
        <f xml:space="preserve"> IF(소장&lt;&gt;"손상민",IF('SO와이드(실측)'!AE7&gt;0,'SO와이드(실측)'!AE7,C7-1.2),IF('SO와이드(실측)'!AE7&gt;0,'SO와이드(실측)'!AE7+1.2,C7))</f>
        <v>0.8</v>
      </c>
      <c r="AL7" s="31">
        <f xml:space="preserve"> IF(소장&lt;&gt;"손상민",IF('SO와이드(실측)'!AF7&gt;0,'SO와이드(실측)'!AF7,D7-1.2),IF('SO와이드(실측)'!AF7&gt;0,'SO와이드(실측)'!AF7+1.2,D7) )</f>
        <v>0.8</v>
      </c>
      <c r="AM7" s="51">
        <f>IF(AC7&gt;0,AC7-MAX(T7,U7),0)</f>
        <v>0</v>
      </c>
      <c r="AN7" s="31" t="str">
        <f t="shared" ref="AN7" si="1">BF7&amp;"*"&amp;BG7</f>
        <v>0*-1.6</v>
      </c>
      <c r="AO7" s="31" t="str">
        <f t="shared" ref="AO7" si="2">BI7&amp;"*"&amp;BH7</f>
        <v>0.8*-2.4</v>
      </c>
      <c r="AP7" s="31" t="str">
        <f t="shared" ref="AP7" si="3">BK7&amp;"*"&amp;BJ7</f>
        <v>0.8*-2.4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-1.5999999999999999</v>
      </c>
      <c r="BH7" s="41">
        <f>V7+R7+MAX(J7,K7)+AE7-1.2*$AP$3+IF(BN7=0,MAX(AH7,AG7),0)+IF(V7=0,1.2,0)-IF(AV7=90,2.4,0)</f>
        <v>-2.3999999999999995</v>
      </c>
      <c r="BI7" s="41">
        <f>MAX(X7,Y7)+AK7</f>
        <v>0.8</v>
      </c>
      <c r="BJ7" s="41">
        <f>W7+S7+MAX(L7,M7)+AF7-1.2*$AP$3+IF(BN7=0,MAX(AI7,AJ7),0)+IF(W7=0,1.2,0)-IF(AV7=90,2.4,0)</f>
        <v>-2.3999999999999995</v>
      </c>
      <c r="BK7" s="41">
        <f>MAX(Z7,AA7)+AL7</f>
        <v>0.8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activeCell="W7" sqref="W7:AA7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65" t="str">
        <f>정보!E3</f>
        <v>(SO멍텅구리) 실측서 ( 서울 영등포 당산리버드림빌 ) _김운호소장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서울 영등포 당산리버드림빌,   (재질) : HL 1.2T</v>
      </c>
      <c r="B3" s="2"/>
      <c r="C3" s="2"/>
      <c r="D3" s="2"/>
      <c r="E3" s="2"/>
      <c r="F3" s="2"/>
      <c r="G3" s="2"/>
      <c r="H3" s="237"/>
      <c r="I3" s="237"/>
      <c r="J3" s="246"/>
      <c r="K3" s="246"/>
      <c r="L3" s="247"/>
      <c r="M3" s="247"/>
      <c r="N3" s="248"/>
      <c r="O3" s="248"/>
      <c r="P3" s="248"/>
      <c r="Q3" s="243" t="s">
        <v>97</v>
      </c>
      <c r="R3" s="243"/>
      <c r="S3" s="244"/>
      <c r="T3" s="244"/>
      <c r="U3" s="245"/>
      <c r="V3" s="245"/>
      <c r="W3" s="245"/>
    </row>
    <row r="4" spans="1:41" ht="33" customHeight="1" x14ac:dyDescent="0.3">
      <c r="A4" s="163" t="str">
        <f>정보!B14</f>
        <v>제작치수 반영 : JB/JD +(3 ),  늘어난치수K -(3),  C + (0),  U +(0), OP1/OP2 - (2),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2"/>
      <c r="X4" s="162"/>
      <c r="Y4" s="162"/>
      <c r="Z4" s="162"/>
      <c r="AA4" s="162"/>
      <c r="AB4" s="162"/>
      <c r="AC4" s="164"/>
      <c r="AD4" s="173" t="s">
        <v>215</v>
      </c>
      <c r="AE4" s="173"/>
      <c r="AF4" s="81" t="s">
        <v>234</v>
      </c>
    </row>
    <row r="5" spans="1:41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7" t="s">
        <v>4</v>
      </c>
      <c r="G5" s="167" t="s">
        <v>5</v>
      </c>
      <c r="H5" s="167" t="s">
        <v>6</v>
      </c>
      <c r="I5" s="167" t="s">
        <v>7</v>
      </c>
      <c r="J5" s="167" t="s">
        <v>8</v>
      </c>
      <c r="K5" s="167" t="s">
        <v>9</v>
      </c>
      <c r="L5" s="167" t="s">
        <v>10</v>
      </c>
      <c r="M5" s="167" t="s">
        <v>11</v>
      </c>
      <c r="N5" s="167" t="s">
        <v>14</v>
      </c>
      <c r="O5" s="167" t="s">
        <v>15</v>
      </c>
      <c r="P5" s="167" t="s">
        <v>16</v>
      </c>
      <c r="Q5" s="167" t="s">
        <v>17</v>
      </c>
      <c r="R5" s="167" t="s">
        <v>19</v>
      </c>
      <c r="S5" s="167" t="s">
        <v>20</v>
      </c>
      <c r="T5" s="238" t="s">
        <v>22</v>
      </c>
      <c r="U5" s="304" t="s">
        <v>242</v>
      </c>
      <c r="V5" s="305" t="s">
        <v>238</v>
      </c>
      <c r="W5" s="240" t="s">
        <v>21</v>
      </c>
      <c r="X5" s="241"/>
      <c r="Y5" s="241"/>
      <c r="Z5" s="242"/>
      <c r="AA5" s="168" t="s">
        <v>203</v>
      </c>
      <c r="AB5" s="168"/>
      <c r="AC5" s="168"/>
      <c r="AD5" s="171" t="s">
        <v>212</v>
      </c>
      <c r="AE5" s="172"/>
      <c r="AF5" s="80" t="s">
        <v>231</v>
      </c>
    </row>
    <row r="6" spans="1:41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239"/>
      <c r="U6" s="304"/>
      <c r="V6" s="305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>
        <f t="shared" ref="AH12:AH17" si="2">W12+$AG12</f>
        <v>0</v>
      </c>
      <c r="AI12" s="3">
        <f t="shared" ref="AI12:AI17" si="3">X12+$AG12</f>
        <v>0</v>
      </c>
      <c r="AJ12" s="3">
        <f t="shared" ref="AJ12:AJ17" si="4">Y12+$AG12</f>
        <v>0</v>
      </c>
      <c r="AK12" s="3">
        <f t="shared" ref="AK12:AK17" si="5">Z12+$AG12</f>
        <v>0</v>
      </c>
      <c r="AL12" s="3">
        <f t="shared" ref="AL12:AL17" si="6">F12-$AG12</f>
        <v>0</v>
      </c>
      <c r="AM12" s="3">
        <f t="shared" ref="AM12:AM17" si="7">G12-$AG12</f>
        <v>0</v>
      </c>
      <c r="AN12" s="3">
        <f t="shared" ref="AN12:AN17" si="8">H12-$AG12</f>
        <v>0</v>
      </c>
      <c r="AO12" s="3">
        <f t="shared" ref="AO12:AO17" si="9">I12-$AG12</f>
        <v>0</v>
      </c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>
        <f t="shared" si="2"/>
        <v>0</v>
      </c>
      <c r="AI13" s="3">
        <f t="shared" si="3"/>
        <v>0</v>
      </c>
      <c r="AJ13" s="3">
        <f t="shared" si="4"/>
        <v>0</v>
      </c>
      <c r="AK13" s="3">
        <f t="shared" si="5"/>
        <v>0</v>
      </c>
      <c r="AL13" s="3">
        <f t="shared" si="6"/>
        <v>0</v>
      </c>
      <c r="AM13" s="3">
        <f t="shared" si="7"/>
        <v>0</v>
      </c>
      <c r="AN13" s="3">
        <f t="shared" si="8"/>
        <v>0</v>
      </c>
      <c r="AO13" s="3">
        <f t="shared" si="9"/>
        <v>0</v>
      </c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>
        <f t="shared" si="2"/>
        <v>0</v>
      </c>
      <c r="AI14" s="3">
        <f t="shared" si="3"/>
        <v>0</v>
      </c>
      <c r="AJ14" s="3">
        <f t="shared" si="4"/>
        <v>0</v>
      </c>
      <c r="AK14" s="3">
        <f t="shared" si="5"/>
        <v>0</v>
      </c>
      <c r="AL14" s="3">
        <f t="shared" si="6"/>
        <v>0</v>
      </c>
      <c r="AM14" s="3">
        <f t="shared" si="7"/>
        <v>0</v>
      </c>
      <c r="AN14" s="3">
        <f t="shared" si="8"/>
        <v>0</v>
      </c>
      <c r="AO14" s="3">
        <f t="shared" si="9"/>
        <v>0</v>
      </c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>
        <f t="shared" si="2"/>
        <v>0</v>
      </c>
      <c r="AI15" s="3">
        <f t="shared" si="3"/>
        <v>0</v>
      </c>
      <c r="AJ15" s="3">
        <f t="shared" si="4"/>
        <v>0</v>
      </c>
      <c r="AK15" s="3">
        <f t="shared" si="5"/>
        <v>0</v>
      </c>
      <c r="AL15" s="3">
        <f t="shared" si="6"/>
        <v>0</v>
      </c>
      <c r="AM15" s="3">
        <f t="shared" si="7"/>
        <v>0</v>
      </c>
      <c r="AN15" s="3">
        <f t="shared" si="8"/>
        <v>0</v>
      </c>
      <c r="AO15" s="3">
        <f t="shared" si="9"/>
        <v>0</v>
      </c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>
        <f t="shared" si="2"/>
        <v>0</v>
      </c>
      <c r="AI16" s="3">
        <f t="shared" si="3"/>
        <v>0</v>
      </c>
      <c r="AJ16" s="3">
        <f t="shared" si="4"/>
        <v>0</v>
      </c>
      <c r="AK16" s="3">
        <f t="shared" si="5"/>
        <v>0</v>
      </c>
      <c r="AL16" s="3">
        <f t="shared" si="6"/>
        <v>0</v>
      </c>
      <c r="AM16" s="3">
        <f t="shared" si="7"/>
        <v>0</v>
      </c>
      <c r="AN16" s="3">
        <f t="shared" si="8"/>
        <v>0</v>
      </c>
      <c r="AO16" s="3">
        <f t="shared" si="9"/>
        <v>0</v>
      </c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sqref="A1:AL1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정보!F3</f>
        <v>(SO멍텅구리) 제작변환 ( 서울 영등포 당산리버드림빌 ) _김운호소장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"/>
      <c r="AN1" s="1"/>
      <c r="AO1" s="249" t="s">
        <v>75</v>
      </c>
      <c r="AP1" s="249"/>
      <c r="AQ1" s="249"/>
      <c r="AW1" s="24"/>
    </row>
    <row r="2" spans="1:58" ht="28.5" customHeight="1" x14ac:dyDescent="0.3">
      <c r="A2" s="97" t="s">
        <v>85</v>
      </c>
      <c r="B2" s="140">
        <v>2</v>
      </c>
      <c r="C2" s="340" t="s">
        <v>290</v>
      </c>
      <c r="D2" s="340"/>
      <c r="E2" s="116">
        <v>0</v>
      </c>
      <c r="F2" s="1"/>
      <c r="G2" s="1"/>
      <c r="H2" s="213" t="s">
        <v>81</v>
      </c>
      <c r="I2" s="213"/>
      <c r="J2" s="213"/>
      <c r="K2" s="335">
        <v>0</v>
      </c>
      <c r="L2" s="335"/>
      <c r="M2" s="335"/>
      <c r="N2" s="335"/>
      <c r="O2" s="218" t="s">
        <v>113</v>
      </c>
      <c r="P2" s="218"/>
      <c r="Q2" s="218"/>
      <c r="R2" s="218"/>
      <c r="S2" s="336">
        <v>1</v>
      </c>
      <c r="T2" s="336"/>
      <c r="U2" s="190" t="s">
        <v>103</v>
      </c>
      <c r="V2" s="190"/>
      <c r="W2" s="143">
        <v>0</v>
      </c>
      <c r="X2" s="218" t="s">
        <v>88</v>
      </c>
      <c r="Y2" s="218"/>
      <c r="Z2" s="337">
        <v>0</v>
      </c>
      <c r="AA2" s="337"/>
      <c r="AB2" s="22"/>
      <c r="AC2" s="189" t="s">
        <v>82</v>
      </c>
      <c r="AD2" s="190"/>
      <c r="AE2" s="338">
        <v>0</v>
      </c>
      <c r="AF2" s="338"/>
      <c r="AG2" s="142" t="s">
        <v>90</v>
      </c>
      <c r="AH2" s="339">
        <v>3</v>
      </c>
      <c r="AI2" s="339"/>
      <c r="AJ2" s="141"/>
      <c r="AK2" s="141"/>
      <c r="AL2" s="141"/>
      <c r="AM2" s="1"/>
      <c r="AN2" s="1"/>
      <c r="AO2" s="249"/>
      <c r="AP2" s="249"/>
      <c r="AQ2" s="249"/>
      <c r="AW2" s="24"/>
    </row>
    <row r="3" spans="1:58" ht="33" customHeight="1" x14ac:dyDescent="0.3">
      <c r="A3" s="33" t="str">
        <f>'SO멍텅(실측)'!A3</f>
        <v>현장명 : 서울 영등포 당산리버드림빌,   (재질) : HL 1.2T</v>
      </c>
      <c r="B3" s="2"/>
      <c r="C3" s="2"/>
      <c r="D3" s="2"/>
      <c r="E3" s="2"/>
      <c r="F3" s="2"/>
      <c r="G3" s="2"/>
      <c r="H3" s="155"/>
      <c r="I3" s="190" t="s">
        <v>76</v>
      </c>
      <c r="J3" s="190"/>
      <c r="K3" s="220">
        <v>3</v>
      </c>
      <c r="L3" s="220"/>
      <c r="M3" s="220"/>
      <c r="N3" s="220"/>
      <c r="O3" s="190" t="s">
        <v>77</v>
      </c>
      <c r="P3" s="190"/>
      <c r="Q3" s="197">
        <v>0</v>
      </c>
      <c r="R3" s="197"/>
      <c r="S3" s="218" t="s">
        <v>227</v>
      </c>
      <c r="T3" s="218"/>
      <c r="U3" s="218"/>
      <c r="V3" s="330">
        <f>BE7</f>
        <v>1</v>
      </c>
      <c r="W3" s="330"/>
      <c r="X3" s="218" t="s">
        <v>78</v>
      </c>
      <c r="Y3" s="218"/>
      <c r="Z3" s="334">
        <v>1</v>
      </c>
      <c r="AA3" s="334"/>
      <c r="AB3" s="64"/>
      <c r="AC3" s="156"/>
      <c r="AD3" s="156"/>
      <c r="AE3" s="328" t="s">
        <v>73</v>
      </c>
      <c r="AF3" s="328"/>
      <c r="AG3" s="157">
        <v>4</v>
      </c>
      <c r="AH3" s="142" t="s">
        <v>74</v>
      </c>
      <c r="AI3" s="157">
        <v>4</v>
      </c>
      <c r="AJ3" s="280" t="s">
        <v>328</v>
      </c>
      <c r="AK3" s="281"/>
      <c r="AL3" s="212"/>
      <c r="AM3" s="333" t="e">
        <f>AR7</f>
        <v>#DIV/0!</v>
      </c>
      <c r="AN3" s="162"/>
      <c r="AO3" s="25"/>
      <c r="AP3" s="25"/>
      <c r="AQ3" s="24"/>
      <c r="AW3" s="24"/>
    </row>
    <row r="4" spans="1:58" ht="33" customHeight="1" x14ac:dyDescent="0.3">
      <c r="A4" s="163" t="str">
        <f>'SO멍텅(실측)'!A4:AA4</f>
        <v>제작치수 반영 : JB/JD +(3 ),  늘어난치수K -(3),  C + (0),  U +(0), OP1/OP2 - (2),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331" t="s">
        <v>314</v>
      </c>
      <c r="AD4" s="331"/>
      <c r="AE4" s="332">
        <f>'SO멍텅(실측)'!W7</f>
        <v>0</v>
      </c>
      <c r="AF4" s="332"/>
      <c r="AG4" s="158"/>
      <c r="AH4" s="329">
        <f ca="1">TODAY()</f>
        <v>45272</v>
      </c>
      <c r="AI4" s="229"/>
      <c r="AJ4" s="229" t="s">
        <v>235</v>
      </c>
      <c r="AK4" s="229"/>
      <c r="AL4" s="230"/>
      <c r="AM4" s="173" t="s">
        <v>215</v>
      </c>
      <c r="AN4" s="173"/>
      <c r="AO4" s="25"/>
      <c r="AP4" s="25"/>
      <c r="AQ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8" t="s">
        <v>58</v>
      </c>
      <c r="G5" s="168" t="s">
        <v>59</v>
      </c>
      <c r="H5" s="269" t="s">
        <v>60</v>
      </c>
      <c r="I5" s="269" t="s">
        <v>64</v>
      </c>
      <c r="J5" s="326" t="s">
        <v>65</v>
      </c>
      <c r="K5" s="326" t="s">
        <v>66</v>
      </c>
      <c r="L5" s="311" t="s">
        <v>240</v>
      </c>
      <c r="M5" s="313" t="s">
        <v>241</v>
      </c>
      <c r="N5" s="238" t="s">
        <v>62</v>
      </c>
      <c r="O5" s="238" t="s">
        <v>63</v>
      </c>
      <c r="P5" s="167" t="s">
        <v>8</v>
      </c>
      <c r="Q5" s="167" t="s">
        <v>9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271" t="s">
        <v>20</v>
      </c>
      <c r="Z5" s="238" t="s">
        <v>22</v>
      </c>
      <c r="AA5" s="304" t="s">
        <v>242</v>
      </c>
      <c r="AB5" s="305" t="s">
        <v>238</v>
      </c>
      <c r="AC5" s="240" t="s">
        <v>21</v>
      </c>
      <c r="AD5" s="241"/>
      <c r="AE5" s="241"/>
      <c r="AF5" s="242"/>
      <c r="AG5" s="168" t="s">
        <v>25</v>
      </c>
      <c r="AH5" s="273" t="s">
        <v>34</v>
      </c>
      <c r="AI5" s="168" t="s">
        <v>35</v>
      </c>
      <c r="AJ5" s="308" t="s">
        <v>203</v>
      </c>
      <c r="AK5" s="308"/>
      <c r="AL5" s="308"/>
      <c r="AM5" s="171" t="s">
        <v>212</v>
      </c>
      <c r="AN5" s="172"/>
      <c r="AO5" s="177" t="s">
        <v>305</v>
      </c>
      <c r="AP5" s="177" t="s">
        <v>306</v>
      </c>
      <c r="AQ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270"/>
      <c r="I6" s="270"/>
      <c r="J6" s="327"/>
      <c r="K6" s="327"/>
      <c r="L6" s="312"/>
      <c r="M6" s="314"/>
      <c r="N6" s="239"/>
      <c r="O6" s="239"/>
      <c r="P6" s="167"/>
      <c r="Q6" s="167"/>
      <c r="R6" s="167"/>
      <c r="S6" s="167"/>
      <c r="T6" s="167"/>
      <c r="U6" s="167"/>
      <c r="V6" s="167"/>
      <c r="W6" s="167"/>
      <c r="X6" s="167"/>
      <c r="Y6" s="271"/>
      <c r="Z6" s="239"/>
      <c r="AA6" s="304"/>
      <c r="AB6" s="305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8"/>
      <c r="AP6" s="178"/>
      <c r="AQ6" s="272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-2</v>
      </c>
      <c r="D7" s="4">
        <f>'SO멍텅(실측)'!D7-SO멍텅OP</f>
        <v>-2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-3</v>
      </c>
      <c r="AD7" s="13">
        <f>IF(SO멍텅JB하부늘치=1,AC7,'SO멍텅(실측)'!X7-SO멍텅늘치차감)</f>
        <v>-3</v>
      </c>
      <c r="AE7" s="13">
        <f>'SO멍텅(실측)'!Y7-SO멍텅늘치차감</f>
        <v>-3</v>
      </c>
      <c r="AF7" s="13">
        <f>IF(SO멍텅JB하부늘치=1,AE7,'SO멍텅(실측)'!Z7-SO멍텅늘치차감)</f>
        <v>-3</v>
      </c>
      <c r="AG7" s="11" t="str">
        <f t="shared" ref="AG7" si="1">AW7&amp;"*"&amp;AX7</f>
        <v>0*-3.6</v>
      </c>
      <c r="AH7" s="12" t="str">
        <f t="shared" ref="AH7" si="2">AZ7&amp;"*"&amp;AY7</f>
        <v>0*-2.6</v>
      </c>
      <c r="AI7" s="10" t="str">
        <f t="shared" ref="AI7" si="3">BB7&amp;"*"&amp;BA7</f>
        <v>0*-2.6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ABS(F7-COS(RADIANS(AR7))*H7)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0</v>
      </c>
      <c r="BA7" s="3">
        <f>S7+Q7+MAX(J7,K7)+AB7-1.2*$AI$3+IF(BE7=0,MAX(AE7,AF7))+IF(S7=0,1.2,0)-IF(AL7=90,2.4,0)</f>
        <v>-2.5999999999999996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activeCell="AD29" sqref="AD29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66" t="str">
        <f>정보!H2</f>
        <v>(4CO와이드) 실측서 ( 서울 영등포 당산리버드림빌 ) _김운호소장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6"/>
      <c r="AC2" s="166"/>
      <c r="AD2" s="166"/>
      <c r="AE2" s="166"/>
      <c r="AF2" s="166"/>
      <c r="AG2" s="166"/>
      <c r="AH2" s="166"/>
      <c r="AI2" s="166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서울 영등포 당산리버드림빌,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4" t="s">
        <v>98</v>
      </c>
      <c r="P3" s="17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6"/>
      <c r="AC3" s="166"/>
      <c r="AD3" s="166"/>
      <c r="AE3" s="166"/>
      <c r="AF3" s="166"/>
      <c r="AG3" s="166"/>
      <c r="AH3" s="166"/>
      <c r="AI3" s="166"/>
      <c r="AJ3" s="34"/>
      <c r="AK3" s="34"/>
      <c r="AL3" s="34"/>
      <c r="AM3" s="34"/>
    </row>
    <row r="4" spans="1:48" ht="33" customHeight="1" x14ac:dyDescent="0.3">
      <c r="A4" s="303" t="str">
        <f>정보!B15</f>
        <v>제작치수 반영 : MH + (2), JB/JD +(3 ),  늘어난치수K -(3),  C + (0),   U + (0), OP1/OP3 - (2), R - (0),  기둥차감 - (0), A + (1)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162"/>
      <c r="Y4" s="162"/>
      <c r="Z4" s="162"/>
      <c r="AA4" s="162"/>
      <c r="AB4" s="162"/>
      <c r="AC4" s="162"/>
      <c r="AD4" s="162"/>
      <c r="AE4" s="162"/>
      <c r="AF4" s="162"/>
      <c r="AG4" s="164"/>
      <c r="AH4" s="173" t="s">
        <v>215</v>
      </c>
      <c r="AI4" s="173"/>
      <c r="AJ4" s="75"/>
      <c r="AK4" s="9"/>
      <c r="AL4" s="9"/>
      <c r="AM4" s="9"/>
    </row>
    <row r="5" spans="1:48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254</v>
      </c>
      <c r="F5" s="167" t="s">
        <v>239</v>
      </c>
      <c r="G5" s="167" t="s">
        <v>255</v>
      </c>
      <c r="H5" s="167" t="s">
        <v>18</v>
      </c>
      <c r="I5" s="167" t="s">
        <v>4</v>
      </c>
      <c r="J5" s="167" t="s">
        <v>5</v>
      </c>
      <c r="K5" s="167" t="s">
        <v>256</v>
      </c>
      <c r="L5" s="167" t="s">
        <v>6</v>
      </c>
      <c r="M5" s="167" t="s">
        <v>7</v>
      </c>
      <c r="N5" s="167" t="s">
        <v>47</v>
      </c>
      <c r="O5" s="167" t="s">
        <v>9</v>
      </c>
      <c r="P5" s="167" t="s">
        <v>12</v>
      </c>
      <c r="Q5" s="167" t="s">
        <v>13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168" t="s">
        <v>48</v>
      </c>
      <c r="Z5" s="168" t="s">
        <v>22</v>
      </c>
      <c r="AA5" s="168" t="s">
        <v>23</v>
      </c>
      <c r="AB5" s="167" t="s">
        <v>21</v>
      </c>
      <c r="AC5" s="167"/>
      <c r="AD5" s="167"/>
      <c r="AE5" s="167"/>
      <c r="AF5" s="169" t="s">
        <v>91</v>
      </c>
      <c r="AG5" s="169" t="s">
        <v>92</v>
      </c>
      <c r="AH5" s="171" t="s">
        <v>212</v>
      </c>
      <c r="AI5" s="172"/>
      <c r="AJ5" s="168" t="s">
        <v>199</v>
      </c>
      <c r="AK5" s="168" t="s">
        <v>203</v>
      </c>
      <c r="AL5" s="168"/>
      <c r="AM5" s="168"/>
    </row>
    <row r="6" spans="1:48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8"/>
      <c r="AA6" s="168"/>
      <c r="AB6" s="8" t="s">
        <v>43</v>
      </c>
      <c r="AC6" s="8" t="s">
        <v>44</v>
      </c>
      <c r="AD6" s="8" t="s">
        <v>45</v>
      </c>
      <c r="AE6" s="8" t="s">
        <v>46</v>
      </c>
      <c r="AF6" s="170"/>
      <c r="AG6" s="170"/>
      <c r="AH6" s="74" t="s">
        <v>213</v>
      </c>
      <c r="AI6" s="74" t="s">
        <v>214</v>
      </c>
      <c r="AJ6" s="167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sqref="A1:AL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76" t="str">
        <f>정보!I2</f>
        <v>(4CO와이드) 제작변환 ( 서울 영등포 당산리버드림빌 ) _김운호소장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37"/>
      <c r="AY1" s="37"/>
    </row>
    <row r="2" spans="1:66" ht="29.25" customHeight="1" x14ac:dyDescent="0.3">
      <c r="A2" s="97" t="s">
        <v>96</v>
      </c>
      <c r="B2" s="139">
        <v>2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2</v>
      </c>
      <c r="J2" s="1"/>
      <c r="K2" s="1"/>
      <c r="L2" s="217" t="s">
        <v>113</v>
      </c>
      <c r="M2" s="218"/>
      <c r="N2" s="218"/>
      <c r="O2" s="218"/>
      <c r="P2" s="218"/>
      <c r="Q2" s="218"/>
      <c r="R2" s="219">
        <v>1</v>
      </c>
      <c r="S2" s="219"/>
      <c r="T2" s="189" t="s">
        <v>89</v>
      </c>
      <c r="U2" s="190"/>
      <c r="V2" s="191">
        <v>0</v>
      </c>
      <c r="W2" s="191"/>
      <c r="X2" s="283" t="s">
        <v>83</v>
      </c>
      <c r="Y2" s="198"/>
      <c r="Z2" s="198"/>
      <c r="AA2" s="194">
        <v>0</v>
      </c>
      <c r="AB2" s="194"/>
      <c r="AC2" s="322" t="str">
        <f>정보!B5</f>
        <v>OTIS HIL-A207 돌출형</v>
      </c>
      <c r="AD2" s="323"/>
      <c r="AE2" s="323"/>
      <c r="AF2" s="323"/>
      <c r="AG2" s="323"/>
      <c r="AH2" s="323"/>
      <c r="AI2" s="323"/>
      <c r="AJ2" s="323"/>
      <c r="AK2" s="323"/>
      <c r="AL2" s="324"/>
      <c r="AM2" s="189" t="s">
        <v>90</v>
      </c>
      <c r="AN2" s="190"/>
      <c r="AO2" s="341">
        <v>3</v>
      </c>
      <c r="AP2" s="341"/>
      <c r="AQ2" s="1"/>
      <c r="AR2" s="319" t="s">
        <v>229</v>
      </c>
      <c r="AS2" s="320"/>
      <c r="AT2" s="321">
        <v>0</v>
      </c>
      <c r="AU2" s="321"/>
      <c r="AV2" s="1"/>
      <c r="AW2" s="1"/>
    </row>
    <row r="3" spans="1:66" ht="24.75" customHeight="1" x14ac:dyDescent="0.3">
      <c r="A3" s="28" t="str">
        <f>'4CO와이드(실측)'!A3</f>
        <v>현장명 : 서울 영등포 당산리버드림빌,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8" t="s">
        <v>228</v>
      </c>
      <c r="M3" s="218"/>
      <c r="N3" s="218"/>
      <c r="O3" s="218"/>
      <c r="P3" s="218"/>
      <c r="Q3" s="218"/>
      <c r="R3" s="220">
        <v>3</v>
      </c>
      <c r="S3" s="220"/>
      <c r="T3" s="190" t="s">
        <v>77</v>
      </c>
      <c r="U3" s="190"/>
      <c r="V3" s="197">
        <v>0</v>
      </c>
      <c r="W3" s="197"/>
      <c r="X3" s="198" t="s">
        <v>227</v>
      </c>
      <c r="Y3" s="198"/>
      <c r="Z3" s="198"/>
      <c r="AA3" s="199">
        <f>BN7</f>
        <v>1</v>
      </c>
      <c r="AB3" s="199"/>
      <c r="AC3" s="198" t="s">
        <v>78</v>
      </c>
      <c r="AD3" s="198"/>
      <c r="AE3" s="325">
        <v>1</v>
      </c>
      <c r="AF3" s="325"/>
      <c r="AJ3" s="178"/>
      <c r="AK3" s="178"/>
      <c r="AL3" s="3"/>
      <c r="AM3" s="167" t="s">
        <v>73</v>
      </c>
      <c r="AN3" s="167"/>
      <c r="AO3" s="114">
        <v>5</v>
      </c>
      <c r="AP3" s="4" t="s">
        <v>74</v>
      </c>
      <c r="AQ3" s="115">
        <v>4</v>
      </c>
      <c r="AR3" s="225" t="s">
        <v>230</v>
      </c>
      <c r="AS3" s="225"/>
      <c r="AT3" s="342" t="s">
        <v>329</v>
      </c>
      <c r="AU3" s="342"/>
      <c r="AV3" s="231" t="e">
        <f>AZ7</f>
        <v>#DIV/0!</v>
      </c>
      <c r="AW3" s="232"/>
      <c r="BN3" s="177" t="s">
        <v>253</v>
      </c>
    </row>
    <row r="4" spans="1:66" ht="33" customHeight="1" x14ac:dyDescent="0.3">
      <c r="A4" s="163" t="str">
        <f>정보!B15</f>
        <v>제작치수 반영 : MH + (2), JB/JD +(3 ),  늘어난치수K -(3),  C + (0),   U + (0), OP1/OP3 - (2),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343" t="s">
        <v>315</v>
      </c>
      <c r="AI4" s="343"/>
      <c r="AJ4" s="343">
        <f>'4CO와이드(실측)'!AB7</f>
        <v>0</v>
      </c>
      <c r="AK4" s="343"/>
      <c r="AL4" s="222">
        <f ca="1">TODAY()</f>
        <v>45272</v>
      </c>
      <c r="AM4" s="162"/>
      <c r="AN4" s="162"/>
      <c r="AO4" s="9"/>
      <c r="AP4" s="221" t="s">
        <v>117</v>
      </c>
      <c r="AQ4" s="221"/>
      <c r="AR4" s="173" t="s">
        <v>215</v>
      </c>
      <c r="AS4" s="173"/>
      <c r="AT4" s="84"/>
      <c r="AU4" s="229" t="s">
        <v>235</v>
      </c>
      <c r="AV4" s="229"/>
      <c r="AW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259</v>
      </c>
      <c r="F5" s="168" t="s">
        <v>261</v>
      </c>
      <c r="G5" s="167" t="s">
        <v>260</v>
      </c>
      <c r="H5" s="167" t="s">
        <v>18</v>
      </c>
      <c r="I5" s="206" t="s">
        <v>41</v>
      </c>
      <c r="J5" s="270" t="s">
        <v>42</v>
      </c>
      <c r="K5" s="270" t="s">
        <v>262</v>
      </c>
      <c r="L5" s="203" t="s">
        <v>105</v>
      </c>
      <c r="M5" s="203" t="s">
        <v>106</v>
      </c>
      <c r="N5" s="207" t="s">
        <v>107</v>
      </c>
      <c r="O5" s="207" t="s">
        <v>108</v>
      </c>
      <c r="P5" s="311" t="s">
        <v>296</v>
      </c>
      <c r="Q5" s="311" t="s">
        <v>297</v>
      </c>
      <c r="R5" s="209" t="s">
        <v>71</v>
      </c>
      <c r="S5" s="209" t="s">
        <v>72</v>
      </c>
      <c r="T5" s="167" t="s">
        <v>8</v>
      </c>
      <c r="U5" s="167" t="s">
        <v>9</v>
      </c>
      <c r="V5" s="167" t="s">
        <v>12</v>
      </c>
      <c r="W5" s="167" t="s">
        <v>13</v>
      </c>
      <c r="X5" s="167" t="s">
        <v>10</v>
      </c>
      <c r="Y5" s="167" t="s">
        <v>11</v>
      </c>
      <c r="Z5" s="205" t="s">
        <v>14</v>
      </c>
      <c r="AA5" s="205" t="s">
        <v>15</v>
      </c>
      <c r="AB5" s="206" t="s">
        <v>16</v>
      </c>
      <c r="AC5" s="206" t="s">
        <v>17</v>
      </c>
      <c r="AD5" s="167" t="s">
        <v>19</v>
      </c>
      <c r="AE5" s="167" t="s">
        <v>20</v>
      </c>
      <c r="AF5" s="168" t="s">
        <v>22</v>
      </c>
      <c r="AG5" s="168" t="s">
        <v>23</v>
      </c>
      <c r="AH5" s="195" t="s">
        <v>79</v>
      </c>
      <c r="AI5" s="196"/>
      <c r="AJ5" s="196"/>
      <c r="AK5" s="196"/>
      <c r="AL5" s="187" t="s">
        <v>91</v>
      </c>
      <c r="AM5" s="187" t="s">
        <v>92</v>
      </c>
      <c r="AN5" s="179" t="s">
        <v>99</v>
      </c>
      <c r="AO5" s="168" t="s">
        <v>61</v>
      </c>
      <c r="AP5" s="168" t="s">
        <v>34</v>
      </c>
      <c r="AQ5" s="168" t="s">
        <v>35</v>
      </c>
      <c r="AR5" s="171" t="s">
        <v>212</v>
      </c>
      <c r="AS5" s="172"/>
      <c r="AT5" s="308" t="s">
        <v>199</v>
      </c>
      <c r="AU5" s="308" t="s">
        <v>204</v>
      </c>
      <c r="AV5" s="308"/>
      <c r="AW5" s="308"/>
      <c r="AX5" s="177" t="s">
        <v>100</v>
      </c>
      <c r="AY5" s="177" t="s">
        <v>101</v>
      </c>
      <c r="AZ5" s="178" t="s">
        <v>80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167"/>
      <c r="I6" s="206"/>
      <c r="J6" s="270"/>
      <c r="K6" s="270"/>
      <c r="L6" s="204"/>
      <c r="M6" s="204"/>
      <c r="N6" s="208"/>
      <c r="O6" s="208"/>
      <c r="P6" s="312"/>
      <c r="Q6" s="312"/>
      <c r="R6" s="210"/>
      <c r="S6" s="210"/>
      <c r="T6" s="167"/>
      <c r="U6" s="167"/>
      <c r="V6" s="167"/>
      <c r="W6" s="167"/>
      <c r="X6" s="167"/>
      <c r="Y6" s="167"/>
      <c r="Z6" s="205"/>
      <c r="AA6" s="205"/>
      <c r="AB6" s="206"/>
      <c r="AC6" s="206"/>
      <c r="AD6" s="167"/>
      <c r="AE6" s="167"/>
      <c r="AF6" s="168"/>
      <c r="AG6" s="168"/>
      <c r="AH6" s="8" t="s">
        <v>67</v>
      </c>
      <c r="AI6" s="8" t="s">
        <v>68</v>
      </c>
      <c r="AJ6" s="8" t="s">
        <v>69</v>
      </c>
      <c r="AK6" s="8" t="s">
        <v>70</v>
      </c>
      <c r="AL6" s="188"/>
      <c r="AM6" s="188"/>
      <c r="AN6" s="180"/>
      <c r="AO6" s="168"/>
      <c r="AP6" s="167"/>
      <c r="AQ6" s="167"/>
      <c r="AR6" s="74" t="s">
        <v>213</v>
      </c>
      <c r="AS6" s="74" t="s">
        <v>214</v>
      </c>
      <c r="AT6" s="309"/>
      <c r="AU6" s="86" t="s">
        <v>200</v>
      </c>
      <c r="AV6" s="86" t="s">
        <v>201</v>
      </c>
      <c r="AW6" s="86" t="s">
        <v>202</v>
      </c>
      <c r="AX6" s="178"/>
      <c r="AY6" s="178"/>
      <c r="AZ6" s="178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</v>
      </c>
      <c r="F7" s="31">
        <f>'4CO와이드(실측)'!F7</f>
        <v>0</v>
      </c>
      <c r="G7" s="31">
        <f>'4CO와이드(실측)'!G7-CO4와이드OP/2</f>
        <v>-1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-3</v>
      </c>
      <c r="AI7" s="31">
        <f>IF(CO4와이드JB하부늘치=1,AH7,'4CO와이드(실측)'!AC7-CO4와이드늘치)</f>
        <v>-3</v>
      </c>
      <c r="AJ7" s="31">
        <f>'4CO와이드(실측)'!AD7-CO4와이드늘치</f>
        <v>-3</v>
      </c>
      <c r="AK7" s="31">
        <f>IF(CO4와이드JB하부늘치=1,AJ7,'4CO와이드(실측)'!AE7-CO4와이드늘치)</f>
        <v>-3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0*-1.6</v>
      </c>
      <c r="AP7" s="31" t="str">
        <f t="shared" ref="AP7" si="2">BI7&amp;"*"&amp;BH7</f>
        <v>0.8*-2.4</v>
      </c>
      <c r="AQ7" s="31" t="str">
        <f t="shared" ref="AQ7" si="3">BK7&amp;"*"&amp;BJ7</f>
        <v>0.8*-2.4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-1.5999999999999999</v>
      </c>
      <c r="BH7" s="41">
        <f>X7+T7+MAX(L7,M7)+AG7-1.2*$AQ$3+IF(BN7=0,MAX(AI7,AH7),0)+IF(X7=0,1.2,0)-IF(AW7=90,2.4,0)</f>
        <v>-2.3999999999999995</v>
      </c>
      <c r="BI7" s="41">
        <f>MAX(Z7,AA7)+AL7</f>
        <v>0.8</v>
      </c>
      <c r="BJ7" s="41">
        <f>Y7+U7+MAX(N7,O7)+AG7-1.2*$AQ$3+IF(BN7=0,MAX(AJ7,AK7),0)+IF(Y7=0,1.2,0)-IF(AW7=90,2.4,0)</f>
        <v>-2.3999999999999995</v>
      </c>
      <c r="BK7" s="41">
        <f>MAX(AB7,AC7)+AM7</f>
        <v>0.8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activeCell="K10" sqref="K10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65" t="str">
        <f>정보!H3</f>
        <v>(4CO멍텅구리) 실측서 ( 서울 영등포 당산리버드림빌 ) _김운호소장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서울 영등포 당산리버드림빌,   (재질) : HL 1.2T</v>
      </c>
      <c r="B3" s="2"/>
      <c r="C3" s="2"/>
      <c r="D3" s="2"/>
      <c r="E3" s="2"/>
      <c r="F3" s="2"/>
      <c r="G3" s="2"/>
      <c r="H3" s="2"/>
      <c r="I3" s="2"/>
      <c r="J3" s="237"/>
      <c r="K3" s="237"/>
      <c r="L3" s="246"/>
      <c r="M3" s="246"/>
      <c r="N3" s="247"/>
      <c r="O3" s="247"/>
      <c r="P3" s="248"/>
      <c r="Q3" s="248"/>
      <c r="R3" s="248"/>
      <c r="S3" s="243" t="s">
        <v>97</v>
      </c>
      <c r="T3" s="243"/>
      <c r="U3" s="244"/>
      <c r="V3" s="244"/>
      <c r="W3" s="245"/>
      <c r="X3" s="245"/>
    </row>
    <row r="4" spans="1:42" ht="33" customHeight="1" x14ac:dyDescent="0.3">
      <c r="A4" s="163" t="str">
        <f>정보!B16</f>
        <v>제작치수 반영 : JB/JD +(3 ),  늘어난치수K -(3),  C + (0),  U +(0), OP1/OP3 - (2),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9"/>
      <c r="AD4" s="9"/>
      <c r="AE4" s="173" t="s">
        <v>215</v>
      </c>
      <c r="AF4" s="173"/>
      <c r="AG4" s="81" t="s">
        <v>234</v>
      </c>
    </row>
    <row r="5" spans="1:42" ht="25.9" customHeight="1" x14ac:dyDescent="0.3">
      <c r="A5" s="167" t="s">
        <v>0</v>
      </c>
      <c r="B5" s="167" t="s">
        <v>1</v>
      </c>
      <c r="C5" s="167" t="s">
        <v>263</v>
      </c>
      <c r="D5" s="167" t="s">
        <v>264</v>
      </c>
      <c r="E5" s="167" t="s">
        <v>255</v>
      </c>
      <c r="F5" s="167" t="s">
        <v>18</v>
      </c>
      <c r="G5" s="167" t="s">
        <v>4</v>
      </c>
      <c r="H5" s="167" t="s">
        <v>265</v>
      </c>
      <c r="I5" s="167" t="s">
        <v>266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10</v>
      </c>
      <c r="O5" s="167" t="s">
        <v>11</v>
      </c>
      <c r="P5" s="167" t="s">
        <v>14</v>
      </c>
      <c r="Q5" s="167" t="s">
        <v>15</v>
      </c>
      <c r="R5" s="167" t="s">
        <v>16</v>
      </c>
      <c r="S5" s="167" t="s">
        <v>17</v>
      </c>
      <c r="T5" s="167" t="s">
        <v>19</v>
      </c>
      <c r="U5" s="167" t="s">
        <v>20</v>
      </c>
      <c r="V5" s="238" t="s">
        <v>22</v>
      </c>
      <c r="W5" s="238" t="s">
        <v>23</v>
      </c>
      <c r="X5" s="240" t="s">
        <v>21</v>
      </c>
      <c r="Y5" s="241"/>
      <c r="Z5" s="241"/>
      <c r="AA5" s="242"/>
      <c r="AB5" s="168" t="s">
        <v>203</v>
      </c>
      <c r="AC5" s="168"/>
      <c r="AD5" s="168"/>
      <c r="AE5" s="171" t="s">
        <v>212</v>
      </c>
      <c r="AF5" s="172"/>
      <c r="AG5" s="80" t="s">
        <v>231</v>
      </c>
    </row>
    <row r="6" spans="1:42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239"/>
      <c r="W6" s="239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O7" sqref="O7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정보!I3</f>
        <v>(4CO멍텅구리) 제작변환 ( 서울 영등포 당산리버드림빌 ) _김운호소장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"/>
      <c r="AO1" s="1"/>
      <c r="AP1" s="249" t="s">
        <v>75</v>
      </c>
      <c r="AQ1" s="249"/>
      <c r="AR1" s="249"/>
      <c r="AW1" s="24"/>
    </row>
    <row r="2" spans="1:58" ht="28.5" customHeight="1" x14ac:dyDescent="0.3">
      <c r="A2" s="97" t="s">
        <v>85</v>
      </c>
      <c r="B2" s="140">
        <v>2</v>
      </c>
      <c r="C2" s="22"/>
      <c r="D2" s="22"/>
      <c r="E2" s="96" t="s">
        <v>86</v>
      </c>
      <c r="F2" s="116">
        <v>0</v>
      </c>
      <c r="G2" s="1"/>
      <c r="H2" s="1"/>
      <c r="I2" s="1"/>
      <c r="J2" s="213" t="s">
        <v>307</v>
      </c>
      <c r="K2" s="213"/>
      <c r="L2" s="213"/>
      <c r="M2" s="107">
        <v>0</v>
      </c>
      <c r="N2" s="99"/>
      <c r="O2" s="99"/>
      <c r="P2" s="99"/>
      <c r="Q2" s="265" t="s">
        <v>113</v>
      </c>
      <c r="R2" s="265"/>
      <c r="S2" s="265"/>
      <c r="T2" s="265"/>
      <c r="U2" s="260">
        <v>1</v>
      </c>
      <c r="V2" s="260"/>
      <c r="W2" s="257" t="s">
        <v>103</v>
      </c>
      <c r="X2" s="258"/>
      <c r="Y2" s="95">
        <v>0</v>
      </c>
      <c r="Z2" s="257" t="s">
        <v>88</v>
      </c>
      <c r="AA2" s="258"/>
      <c r="AB2" s="94">
        <v>0</v>
      </c>
      <c r="AC2" s="69"/>
      <c r="AD2" s="251" t="s">
        <v>82</v>
      </c>
      <c r="AE2" s="252"/>
      <c r="AF2" s="344">
        <v>0</v>
      </c>
      <c r="AG2" s="344"/>
      <c r="AH2" s="98" t="s">
        <v>114</v>
      </c>
      <c r="AI2" s="345">
        <v>3</v>
      </c>
      <c r="AJ2" s="345"/>
      <c r="AK2" s="1"/>
      <c r="AL2" s="1"/>
      <c r="AM2" s="1"/>
      <c r="AN2" s="1"/>
      <c r="AO2" s="1"/>
      <c r="AP2" s="249"/>
      <c r="AQ2" s="249"/>
      <c r="AR2" s="249"/>
      <c r="AW2" s="24"/>
    </row>
    <row r="3" spans="1:58" ht="33" customHeight="1" x14ac:dyDescent="0.3">
      <c r="A3" s="33" t="str">
        <f>'4CO멍텅(실측)'!A3</f>
        <v>현장명 : 서울 영등포 당산리버드림빌,   (재질) : HL 1.2T</v>
      </c>
      <c r="B3" s="2"/>
      <c r="C3" s="2"/>
      <c r="D3" s="2"/>
      <c r="E3" s="2"/>
      <c r="F3" s="2"/>
      <c r="G3" s="2"/>
      <c r="H3" s="2"/>
      <c r="I3" s="2"/>
      <c r="J3" s="2"/>
      <c r="K3" s="251" t="s">
        <v>76</v>
      </c>
      <c r="L3" s="251"/>
      <c r="M3" s="106">
        <v>3</v>
      </c>
      <c r="N3" s="100"/>
      <c r="O3" s="100"/>
      <c r="P3" s="100"/>
      <c r="Q3" s="251" t="s">
        <v>77</v>
      </c>
      <c r="R3" s="251"/>
      <c r="S3" s="264">
        <v>0</v>
      </c>
      <c r="T3" s="264"/>
      <c r="U3" s="265" t="s">
        <v>227</v>
      </c>
      <c r="V3" s="265"/>
      <c r="W3" s="265"/>
      <c r="X3" s="266">
        <f>BE7</f>
        <v>1</v>
      </c>
      <c r="Y3" s="266"/>
      <c r="Z3" s="261" t="s">
        <v>78</v>
      </c>
      <c r="AA3" s="261"/>
      <c r="AB3" s="93">
        <v>1</v>
      </c>
      <c r="AC3" s="101"/>
      <c r="AF3" s="209" t="s">
        <v>73</v>
      </c>
      <c r="AG3" s="209"/>
      <c r="AH3" s="114">
        <v>4</v>
      </c>
      <c r="AI3" s="4" t="s">
        <v>74</v>
      </c>
      <c r="AJ3" s="115">
        <v>4</v>
      </c>
      <c r="AK3" s="280" t="s">
        <v>330</v>
      </c>
      <c r="AL3" s="212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 x14ac:dyDescent="0.3">
      <c r="A4" s="163" t="str">
        <f>'4CO멍텅(실측)'!A4:AB4</f>
        <v>제작치수 반영 : JB/JD +(3 ),  늘어난치수K -(3),  C + (0),  U +(0), OP1/OP3 - (2),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343" t="s">
        <v>313</v>
      </c>
      <c r="AE4" s="343"/>
      <c r="AF4" s="343">
        <f>'4CO멍텅(실측)'!X7</f>
        <v>0</v>
      </c>
      <c r="AG4" s="343"/>
      <c r="AH4" s="9"/>
      <c r="AI4" s="222">
        <f ca="1">TODAY()</f>
        <v>45272</v>
      </c>
      <c r="AJ4" s="162"/>
      <c r="AK4" s="278" t="s">
        <v>235</v>
      </c>
      <c r="AL4" s="278"/>
      <c r="AM4" s="279"/>
      <c r="AN4" s="173" t="s">
        <v>215</v>
      </c>
      <c r="AO4" s="173"/>
      <c r="AP4" s="25"/>
      <c r="AQ4" s="25"/>
      <c r="AR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267</v>
      </c>
      <c r="D5" s="168" t="s">
        <v>261</v>
      </c>
      <c r="E5" s="167" t="s">
        <v>268</v>
      </c>
      <c r="F5" s="167" t="s">
        <v>18</v>
      </c>
      <c r="G5" s="168" t="s">
        <v>58</v>
      </c>
      <c r="H5" s="168" t="s">
        <v>269</v>
      </c>
      <c r="I5" s="168" t="s">
        <v>270</v>
      </c>
      <c r="J5" s="269" t="s">
        <v>60</v>
      </c>
      <c r="K5" s="269" t="s">
        <v>64</v>
      </c>
      <c r="L5" s="326" t="s">
        <v>65</v>
      </c>
      <c r="M5" s="326" t="s">
        <v>66</v>
      </c>
      <c r="N5" s="311" t="s">
        <v>294</v>
      </c>
      <c r="O5" s="311" t="s">
        <v>295</v>
      </c>
      <c r="P5" s="238" t="s">
        <v>62</v>
      </c>
      <c r="Q5" s="238" t="s">
        <v>63</v>
      </c>
      <c r="R5" s="167" t="s">
        <v>8</v>
      </c>
      <c r="S5" s="167" t="s">
        <v>9</v>
      </c>
      <c r="T5" s="167" t="s">
        <v>10</v>
      </c>
      <c r="U5" s="167" t="s">
        <v>11</v>
      </c>
      <c r="V5" s="167" t="s">
        <v>14</v>
      </c>
      <c r="W5" s="167" t="s">
        <v>15</v>
      </c>
      <c r="X5" s="167" t="s">
        <v>16</v>
      </c>
      <c r="Y5" s="167" t="s">
        <v>17</v>
      </c>
      <c r="Z5" s="167" t="s">
        <v>19</v>
      </c>
      <c r="AA5" s="167" t="s">
        <v>20</v>
      </c>
      <c r="AB5" s="238" t="s">
        <v>22</v>
      </c>
      <c r="AC5" s="238" t="s">
        <v>23</v>
      </c>
      <c r="AD5" s="240" t="s">
        <v>21</v>
      </c>
      <c r="AE5" s="241"/>
      <c r="AF5" s="241"/>
      <c r="AG5" s="242"/>
      <c r="AH5" s="168" t="s">
        <v>25</v>
      </c>
      <c r="AI5" s="273" t="s">
        <v>34</v>
      </c>
      <c r="AJ5" s="168" t="s">
        <v>35</v>
      </c>
      <c r="AK5" s="308" t="s">
        <v>203</v>
      </c>
      <c r="AL5" s="308"/>
      <c r="AM5" s="308"/>
      <c r="AN5" s="171" t="s">
        <v>212</v>
      </c>
      <c r="AO5" s="172"/>
      <c r="AP5" s="177" t="s">
        <v>305</v>
      </c>
      <c r="AQ5" s="177" t="s">
        <v>306</v>
      </c>
      <c r="AR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270"/>
      <c r="K6" s="270"/>
      <c r="L6" s="327"/>
      <c r="M6" s="327"/>
      <c r="N6" s="312"/>
      <c r="O6" s="312"/>
      <c r="P6" s="239"/>
      <c r="Q6" s="239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239"/>
      <c r="AC6" s="239"/>
      <c r="AD6" s="8" t="s">
        <v>56</v>
      </c>
      <c r="AE6" s="8" t="s">
        <v>57</v>
      </c>
      <c r="AF6" s="8" t="s">
        <v>54</v>
      </c>
      <c r="AG6" s="8" t="s">
        <v>55</v>
      </c>
      <c r="AH6" s="167"/>
      <c r="AI6" s="274"/>
      <c r="AJ6" s="167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8"/>
      <c r="AQ6" s="178"/>
      <c r="AR6" s="272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</v>
      </c>
      <c r="D7" s="4">
        <f>'4CO멍텅(실측)'!D7</f>
        <v>0</v>
      </c>
      <c r="E7" s="4">
        <f>'4CO멍텅(실측)'!E7-CO4멍텅OP/2</f>
        <v>-1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-3</v>
      </c>
      <c r="AE7" s="13">
        <f>IF(CO4멍텅JB하부늘치=1,AD7,'4CO멍텅(실측)'!Y7-CO4멍텅늘치차감)</f>
        <v>-3</v>
      </c>
      <c r="AF7" s="13">
        <f>'4CO멍텅(실측)'!Z7-CO4멍텅늘치차감</f>
        <v>-3</v>
      </c>
      <c r="AG7" s="13">
        <f>IF(CO4멍텅JB하부늘치=1,AF7,'4CO멍텅(실측)'!AA7-CO4멍텅늘치차감)</f>
        <v>-3</v>
      </c>
      <c r="AH7" s="11" t="str">
        <f t="shared" ref="AH7" si="1">AW7&amp;"*"&amp;AX7</f>
        <v>0*-3.6</v>
      </c>
      <c r="AI7" s="12" t="str">
        <f t="shared" ref="AI7" si="2">AZ7&amp;"*"&amp;AY7</f>
        <v>0*-2.6</v>
      </c>
      <c r="AJ7" s="10" t="str">
        <f t="shared" ref="AJ7" si="3">BB7&amp;"*"&amp;BA7</f>
        <v>0*-2.6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0</v>
      </c>
      <c r="BA7" s="3">
        <f>U7+S7+MAX(L7,M7)+AC7-1.2*$AJ$3+IF(BE7=0,MAX(AF7,AG7))+IF(U7=0,1.2,0)-IF(AM7=90,2.4,0)</f>
        <v>-2.5999999999999996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65" t="str">
        <f>정보!K2</f>
        <v>(2UP) 실측서 ( 서울 영등포 당산리버드림빌 ) _김운호소장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서울 영등포 당산리버드림빌,   (재질) : HL 1.2T</v>
      </c>
      <c r="B3" s="2"/>
      <c r="C3" s="2"/>
      <c r="D3" s="2"/>
      <c r="E3" s="2"/>
      <c r="F3" s="2"/>
      <c r="G3" s="237"/>
      <c r="H3" s="237"/>
      <c r="I3" s="237"/>
      <c r="J3" s="23"/>
      <c r="K3" s="246"/>
      <c r="L3" s="246"/>
      <c r="M3" s="247"/>
      <c r="N3" s="247"/>
      <c r="O3" s="248"/>
      <c r="P3" s="248"/>
      <c r="Q3" s="248"/>
      <c r="R3" s="120"/>
      <c r="S3" s="243" t="s">
        <v>97</v>
      </c>
      <c r="T3" s="243"/>
      <c r="U3" s="243"/>
      <c r="V3" s="244"/>
      <c r="W3" s="244"/>
      <c r="X3" s="245"/>
      <c r="Y3" s="245"/>
    </row>
    <row r="4" spans="1:40" ht="33" customHeight="1" x14ac:dyDescent="0.3">
      <c r="A4" s="163" t="str">
        <f>정보!B17</f>
        <v>제작치수 반영 : JB/JD +(3 ),  늘어난치수K -(0),  C + (0),   U + (0), OP - (2),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73" t="s">
        <v>215</v>
      </c>
      <c r="AD4" s="173"/>
      <c r="AE4" s="81" t="s">
        <v>234</v>
      </c>
    </row>
    <row r="5" spans="1:4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275</v>
      </c>
      <c r="I5" s="326" t="s">
        <v>276</v>
      </c>
      <c r="J5" s="326" t="s">
        <v>277</v>
      </c>
      <c r="K5" s="167" t="s">
        <v>8</v>
      </c>
      <c r="L5" s="167" t="s">
        <v>9</v>
      </c>
      <c r="M5" s="167" t="s">
        <v>10</v>
      </c>
      <c r="N5" s="167" t="s">
        <v>11</v>
      </c>
      <c r="O5" s="348" t="s">
        <v>14</v>
      </c>
      <c r="P5" s="346" t="s">
        <v>282</v>
      </c>
      <c r="Q5" s="346" t="s">
        <v>283</v>
      </c>
      <c r="R5" s="326" t="s">
        <v>129</v>
      </c>
      <c r="S5" s="326" t="s">
        <v>280</v>
      </c>
      <c r="T5" s="326" t="s">
        <v>281</v>
      </c>
      <c r="U5" s="167" t="s">
        <v>19</v>
      </c>
      <c r="V5" s="167" t="s">
        <v>20</v>
      </c>
      <c r="W5" s="238" t="s">
        <v>22</v>
      </c>
      <c r="X5" s="238" t="s">
        <v>23</v>
      </c>
      <c r="Y5" s="240" t="s">
        <v>21</v>
      </c>
      <c r="Z5" s="241"/>
      <c r="AA5" s="241"/>
      <c r="AB5" s="242"/>
      <c r="AC5" s="171" t="s">
        <v>212</v>
      </c>
      <c r="AD5" s="172"/>
      <c r="AE5" s="80" t="s">
        <v>231</v>
      </c>
    </row>
    <row r="6" spans="1:40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327"/>
      <c r="J6" s="327"/>
      <c r="K6" s="167"/>
      <c r="L6" s="167"/>
      <c r="M6" s="167"/>
      <c r="N6" s="167"/>
      <c r="O6" s="347"/>
      <c r="P6" s="347"/>
      <c r="Q6" s="347"/>
      <c r="R6" s="327"/>
      <c r="S6" s="327"/>
      <c r="T6" s="327"/>
      <c r="U6" s="167"/>
      <c r="V6" s="167"/>
      <c r="W6" s="239"/>
      <c r="X6" s="239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65" t="str">
        <f>정보!L2</f>
        <v>(2UP) 제작변환 ( 서울 영등포 당산리버드림빌 ) _김운호소장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"/>
      <c r="AK1" s="1"/>
      <c r="AL1" s="249" t="s">
        <v>75</v>
      </c>
      <c r="AM1" s="249"/>
      <c r="AN1" s="249"/>
      <c r="AS1" s="24"/>
    </row>
    <row r="2" spans="1:54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13" t="s">
        <v>308</v>
      </c>
      <c r="H2" s="213"/>
      <c r="I2" s="213"/>
      <c r="J2" s="262">
        <v>0</v>
      </c>
      <c r="K2" s="262"/>
      <c r="L2" s="262"/>
      <c r="M2" s="262"/>
      <c r="N2" s="349" t="s">
        <v>113</v>
      </c>
      <c r="O2" s="349"/>
      <c r="P2" s="349"/>
      <c r="Q2" s="349"/>
      <c r="R2" s="260">
        <v>1</v>
      </c>
      <c r="S2" s="260"/>
      <c r="T2" s="350" t="s">
        <v>103</v>
      </c>
      <c r="U2" s="351"/>
      <c r="V2" s="352"/>
      <c r="W2" s="108">
        <v>0</v>
      </c>
      <c r="X2" s="121"/>
      <c r="Y2" s="257" t="s">
        <v>88</v>
      </c>
      <c r="Z2" s="258"/>
      <c r="AA2" s="255">
        <v>0</v>
      </c>
      <c r="AB2" s="255"/>
      <c r="AC2" s="251" t="s">
        <v>82</v>
      </c>
      <c r="AD2" s="252"/>
      <c r="AE2" s="253">
        <v>0</v>
      </c>
      <c r="AF2" s="253"/>
      <c r="AG2" s="98" t="s">
        <v>114</v>
      </c>
      <c r="AH2" s="250">
        <v>0</v>
      </c>
      <c r="AI2" s="250"/>
      <c r="AJ2" s="1"/>
      <c r="AK2" s="1"/>
      <c r="AL2" s="249"/>
      <c r="AM2" s="249"/>
      <c r="AN2" s="249"/>
      <c r="AS2" s="24"/>
    </row>
    <row r="3" spans="1:54" ht="33" customHeight="1" x14ac:dyDescent="0.3">
      <c r="A3" s="33" t="str">
        <f>'2UP(실측)'!A3</f>
        <v>현장명 : 서울 영등포 당산리버드림빌,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3</v>
      </c>
      <c r="K3" s="263"/>
      <c r="L3" s="263"/>
      <c r="M3" s="263"/>
      <c r="N3" s="251" t="s">
        <v>77</v>
      </c>
      <c r="O3" s="251"/>
      <c r="P3" s="264">
        <v>0</v>
      </c>
      <c r="Q3" s="264"/>
      <c r="R3" s="218" t="s">
        <v>227</v>
      </c>
      <c r="S3" s="218"/>
      <c r="T3" s="218"/>
      <c r="U3" s="266">
        <f>BA7</f>
        <v>1</v>
      </c>
      <c r="V3" s="266"/>
      <c r="W3" s="266"/>
      <c r="X3" s="122"/>
      <c r="Y3" s="261" t="s">
        <v>78</v>
      </c>
      <c r="Z3" s="261"/>
      <c r="AA3" s="254">
        <v>1</v>
      </c>
      <c r="AB3" s="254"/>
      <c r="AE3" s="167" t="s">
        <v>73</v>
      </c>
      <c r="AF3" s="167"/>
      <c r="AG3" s="106">
        <v>3</v>
      </c>
      <c r="AH3" s="4" t="s">
        <v>74</v>
      </c>
      <c r="AI3" s="138">
        <v>4</v>
      </c>
      <c r="AJ3" s="280" t="s">
        <v>331</v>
      </c>
      <c r="AK3" s="212"/>
      <c r="AL3" s="160">
        <f>AO7</f>
        <v>18.43494882292201</v>
      </c>
      <c r="AM3" s="25"/>
      <c r="AN3" s="24"/>
      <c r="AS3" s="24"/>
    </row>
    <row r="4" spans="1:54" ht="33" customHeight="1" x14ac:dyDescent="0.3">
      <c r="A4" s="353" t="str">
        <f>'2UP(실측)'!A4:AB4</f>
        <v>제작치수 반영 : JB/JD +(3 ),  늘어난치수K -(0),  C + (0),   U + (0), OP - (2), R - (0),  기둥차감 - (0), A + (1)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75"/>
      <c r="Y4" s="354" t="s">
        <v>332</v>
      </c>
      <c r="Z4" s="355"/>
      <c r="AA4" s="356">
        <f>AC7</f>
        <v>0</v>
      </c>
      <c r="AB4" s="357"/>
      <c r="AC4" s="75"/>
      <c r="AD4" s="75"/>
      <c r="AE4" s="75"/>
      <c r="AF4" s="75"/>
      <c r="AG4" s="9"/>
      <c r="AH4" s="222">
        <f ca="1">TODAY()</f>
        <v>45272</v>
      </c>
      <c r="AI4" s="162"/>
      <c r="AJ4" s="173" t="s">
        <v>215</v>
      </c>
      <c r="AK4" s="173"/>
      <c r="AL4" s="25"/>
      <c r="AM4" s="25"/>
      <c r="AN4" s="24"/>
      <c r="AS4" s="24"/>
      <c r="BA4" s="177" t="s">
        <v>253</v>
      </c>
    </row>
    <row r="5" spans="1:54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358" t="s">
        <v>278</v>
      </c>
      <c r="L5" s="358" t="s">
        <v>279</v>
      </c>
      <c r="M5" s="238" t="s">
        <v>62</v>
      </c>
      <c r="N5" s="238" t="s">
        <v>63</v>
      </c>
      <c r="O5" s="167" t="s">
        <v>8</v>
      </c>
      <c r="P5" s="167" t="s">
        <v>9</v>
      </c>
      <c r="Q5" s="167" t="s">
        <v>10</v>
      </c>
      <c r="R5" s="167" t="s">
        <v>11</v>
      </c>
      <c r="S5" s="348" t="s">
        <v>14</v>
      </c>
      <c r="T5" s="346" t="s">
        <v>282</v>
      </c>
      <c r="U5" s="346" t="s">
        <v>283</v>
      </c>
      <c r="V5" s="326" t="s">
        <v>129</v>
      </c>
      <c r="W5" s="326" t="s">
        <v>280</v>
      </c>
      <c r="X5" s="326" t="s">
        <v>281</v>
      </c>
      <c r="Y5" s="167" t="s">
        <v>19</v>
      </c>
      <c r="Z5" s="271" t="s">
        <v>20</v>
      </c>
      <c r="AA5" s="238" t="s">
        <v>22</v>
      </c>
      <c r="AB5" s="238" t="s">
        <v>23</v>
      </c>
      <c r="AC5" s="240" t="s">
        <v>21</v>
      </c>
      <c r="AD5" s="241"/>
      <c r="AE5" s="241"/>
      <c r="AF5" s="242"/>
      <c r="AG5" s="168" t="s">
        <v>25</v>
      </c>
      <c r="AH5" s="273" t="s">
        <v>34</v>
      </c>
      <c r="AI5" s="168" t="s">
        <v>35</v>
      </c>
      <c r="AJ5" s="171" t="s">
        <v>212</v>
      </c>
      <c r="AK5" s="172"/>
      <c r="AL5" s="177" t="s">
        <v>305</v>
      </c>
      <c r="AM5" s="177" t="s">
        <v>306</v>
      </c>
      <c r="AN5" s="272" t="s">
        <v>51</v>
      </c>
      <c r="AU5" s="178" t="s">
        <v>28</v>
      </c>
      <c r="AV5" s="178"/>
      <c r="AW5" s="178" t="s">
        <v>29</v>
      </c>
      <c r="AX5" s="178"/>
      <c r="BA5" s="178"/>
    </row>
    <row r="6" spans="1:54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359"/>
      <c r="L6" s="359"/>
      <c r="M6" s="239"/>
      <c r="N6" s="239"/>
      <c r="O6" s="167"/>
      <c r="P6" s="167"/>
      <c r="Q6" s="167"/>
      <c r="R6" s="167"/>
      <c r="S6" s="347"/>
      <c r="T6" s="347"/>
      <c r="U6" s="347"/>
      <c r="V6" s="327"/>
      <c r="W6" s="327"/>
      <c r="X6" s="327"/>
      <c r="Y6" s="167"/>
      <c r="Z6" s="271"/>
      <c r="AA6" s="239"/>
      <c r="AB6" s="239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74" t="s">
        <v>213</v>
      </c>
      <c r="AK6" s="74" t="s">
        <v>214</v>
      </c>
      <c r="AL6" s="178"/>
      <c r="AM6" s="178"/>
      <c r="AN6" s="272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-2</v>
      </c>
      <c r="D7" s="4">
        <f>'2UP(실측)'!D7-UP2멍텅R</f>
        <v>0</v>
      </c>
      <c r="E7" s="4">
        <f>'2UP(실측)'!E7+MAX(AL7,AM7)+IF(BA7=1,AC7,0)+UP2멍텅JBJD늘림치수</f>
        <v>3</v>
      </c>
      <c r="F7" s="4">
        <f>'2UP(실측)'!F7+MAX(AL7,AM7)+IF(BA7=1,AE7,0)+UP2멍텅JBJD늘림치수</f>
        <v>3</v>
      </c>
      <c r="G7" s="4">
        <f>'2UP(실측)'!G7+AL7+IF(BA7=1,AC7,0)+UP2멍텅JB강제키움+UP2멍텅JBJD늘림치수</f>
        <v>3</v>
      </c>
      <c r="H7" s="4">
        <f>'2UP(실측)'!H7+AL7+IF(BA7=1,AD7,0)+UP2멍텅JB강제키움+UP2멍텅JBJD늘림치수-IF(UP2멍텅JB하부늘치=1,'2UP(실측)'!Y7-'2UP(실측)'!Z7,0)</f>
        <v>3</v>
      </c>
      <c r="I7" s="4">
        <f>'2UP(실측)'!I7+AM7+IF(BA7=1,AE7,0)+UP2멍텅JB강제키움+UP2멍텅JBJD늘림치수</f>
        <v>3</v>
      </c>
      <c r="J7" s="4">
        <f>'2UP(실측)'!J7+AM7+IF(BA7=1,AF7,0)+UP2멍텅JB강제키움+UP2멍텅JBJD늘림치수-IF(UP2멍텅JB하부늘치=1,'2UP(실측)'!AA7-'2UP(실측)'!AB7,0)</f>
        <v>3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0*0.6</v>
      </c>
      <c r="AH7" s="12" t="str">
        <f t="shared" ref="AH7" si="2">AV7&amp;"*"&amp;AU7</f>
        <v>0*0.4</v>
      </c>
      <c r="AI7" s="10" t="str">
        <f t="shared" ref="AI7" si="3">AX7&amp;"*"&amp;AW7</f>
        <v>0*0.4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18.43494882292201</v>
      </c>
      <c r="AP7" s="36">
        <f>E7-COS(RADIANS(AO7))*G7</f>
        <v>0.15395010584845892</v>
      </c>
      <c r="AQ7" s="36">
        <f>F7-COS(RADIANS(AO7))*I7</f>
        <v>0.15395010584845892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0.60000000000000031</v>
      </c>
      <c r="AU7" s="3">
        <f>Q7+O7+MAX(G7,H7)+AB7-1.2*$AI$3+IF(BA7=0,MAX(AC7,AD7))+IF(Q7=0,1.2,0)</f>
        <v>0.40000000000000013</v>
      </c>
      <c r="AV7" s="3">
        <f>MAX(S7,T7+U7)</f>
        <v>0</v>
      </c>
      <c r="AW7" s="3">
        <f>R7+P7+MAX(I7,J7)+AB7-1.2*$AI$3+IF(BA7=0,MAX(AE7,AF7))+IF(R7=0,1.2,0)</f>
        <v>0.40000000000000013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서울 영등포 당산리버드림빌 ) _김운호소장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서울 영등포 당산리버드림빌,   (재질) : HL 1.2T</v>
      </c>
      <c r="B3" s="2"/>
      <c r="C3" s="2"/>
      <c r="D3" s="2"/>
      <c r="E3" s="2"/>
      <c r="F3" s="2"/>
      <c r="G3" s="237"/>
      <c r="H3" s="237"/>
      <c r="I3" s="237"/>
      <c r="J3" s="237"/>
      <c r="K3" s="23"/>
      <c r="L3" s="23"/>
      <c r="M3" s="246"/>
      <c r="N3" s="246"/>
      <c r="O3" s="247"/>
      <c r="P3" s="247"/>
      <c r="Q3" s="248"/>
      <c r="R3" s="248"/>
      <c r="S3" s="248"/>
      <c r="T3" s="248"/>
      <c r="U3" s="120"/>
      <c r="V3" s="243" t="s">
        <v>97</v>
      </c>
      <c r="W3" s="243"/>
      <c r="X3" s="243"/>
      <c r="Y3" s="243"/>
      <c r="Z3" s="244"/>
      <c r="AA3" s="244"/>
      <c r="AB3" s="245"/>
      <c r="AC3" s="245"/>
    </row>
    <row r="4" spans="1:46" ht="33" customHeight="1" x14ac:dyDescent="0.3">
      <c r="A4" s="163" t="str">
        <f>정보!B18</f>
        <v>제작치수 반영 : JB/JD +(3 ),  늘어난치수K -(0),  C + (0),   U + (0), OP - (2),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73" t="s">
        <v>215</v>
      </c>
      <c r="AJ4" s="173"/>
      <c r="AK4" s="81" t="s">
        <v>234</v>
      </c>
    </row>
    <row r="5" spans="1:46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167" t="s">
        <v>8</v>
      </c>
      <c r="N5" s="167" t="s">
        <v>9</v>
      </c>
      <c r="O5" s="167" t="s">
        <v>10</v>
      </c>
      <c r="P5" s="167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26" t="s">
        <v>129</v>
      </c>
      <c r="V5" s="326" t="s">
        <v>280</v>
      </c>
      <c r="W5" s="326" t="s">
        <v>287</v>
      </c>
      <c r="X5" s="326" t="s">
        <v>281</v>
      </c>
      <c r="Y5" s="167" t="s">
        <v>19</v>
      </c>
      <c r="Z5" s="167" t="s">
        <v>20</v>
      </c>
      <c r="AA5" s="238" t="s">
        <v>22</v>
      </c>
      <c r="AB5" s="238" t="s">
        <v>23</v>
      </c>
      <c r="AC5" s="240" t="s">
        <v>21</v>
      </c>
      <c r="AD5" s="241"/>
      <c r="AE5" s="241"/>
      <c r="AF5" s="241"/>
      <c r="AG5" s="241"/>
      <c r="AH5" s="242"/>
      <c r="AI5" s="171" t="s">
        <v>212</v>
      </c>
      <c r="AJ5" s="172"/>
      <c r="AK5" s="80" t="s">
        <v>231</v>
      </c>
    </row>
    <row r="6" spans="1:46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167"/>
      <c r="N6" s="167"/>
      <c r="O6" s="167"/>
      <c r="P6" s="167"/>
      <c r="Q6" s="347"/>
      <c r="R6" s="347"/>
      <c r="S6" s="347"/>
      <c r="T6" s="347"/>
      <c r="U6" s="327"/>
      <c r="V6" s="327"/>
      <c r="W6" s="327"/>
      <c r="X6" s="327"/>
      <c r="Y6" s="167"/>
      <c r="Z6" s="167"/>
      <c r="AA6" s="239"/>
      <c r="AB6" s="239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65" t="str">
        <f>정보!L3</f>
        <v>(3UP) 제작변환 ( 서울 영등포 당산리버드림빌 ) _김운호소장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"/>
      <c r="AQ1" s="1"/>
      <c r="AR1" s="249" t="s">
        <v>75</v>
      </c>
      <c r="AS1" s="249"/>
      <c r="AT1" s="249"/>
      <c r="AY1" s="24"/>
    </row>
    <row r="2" spans="1:60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354" t="s">
        <v>309</v>
      </c>
      <c r="H2" s="363"/>
      <c r="I2" s="363"/>
      <c r="J2" s="363"/>
      <c r="K2" s="355"/>
      <c r="L2" s="262">
        <v>0</v>
      </c>
      <c r="M2" s="262"/>
      <c r="N2" s="262"/>
      <c r="O2" s="262"/>
      <c r="P2" s="259" t="s">
        <v>113</v>
      </c>
      <c r="Q2" s="259"/>
      <c r="R2" s="259"/>
      <c r="S2" s="259"/>
      <c r="T2" s="260">
        <v>1</v>
      </c>
      <c r="U2" s="260"/>
      <c r="V2" s="257" t="s">
        <v>103</v>
      </c>
      <c r="W2" s="257"/>
      <c r="X2" s="258"/>
      <c r="Y2" s="364">
        <v>0</v>
      </c>
      <c r="Z2" s="365"/>
      <c r="AA2" s="361"/>
      <c r="AB2" s="362"/>
      <c r="AC2" s="257" t="s">
        <v>88</v>
      </c>
      <c r="AD2" s="258"/>
      <c r="AE2" s="255">
        <v>0</v>
      </c>
      <c r="AF2" s="255"/>
      <c r="AG2" s="251" t="s">
        <v>82</v>
      </c>
      <c r="AH2" s="251"/>
      <c r="AI2" s="252"/>
      <c r="AJ2" s="253">
        <v>0</v>
      </c>
      <c r="AK2" s="253"/>
      <c r="AL2" s="253"/>
      <c r="AM2" s="98" t="s">
        <v>114</v>
      </c>
      <c r="AN2" s="250">
        <v>0</v>
      </c>
      <c r="AO2" s="250"/>
      <c r="AP2" s="1"/>
      <c r="AQ2" s="1"/>
      <c r="AR2" s="249"/>
      <c r="AS2" s="249"/>
      <c r="AT2" s="249"/>
      <c r="AY2" s="24"/>
    </row>
    <row r="3" spans="1:60" ht="33" customHeight="1" x14ac:dyDescent="0.3">
      <c r="A3" s="33" t="str">
        <f>'3UP(실측)'!A3</f>
        <v>현장명 : 서울 영등포 당산리버드림빌,   (재질) : HL 1.2T</v>
      </c>
      <c r="B3" s="2"/>
      <c r="C3" s="2"/>
      <c r="D3" s="2"/>
      <c r="E3" s="2"/>
      <c r="F3" s="2"/>
      <c r="G3" s="350" t="s">
        <v>76</v>
      </c>
      <c r="H3" s="368"/>
      <c r="I3" s="368"/>
      <c r="J3" s="368"/>
      <c r="K3" s="369"/>
      <c r="L3" s="263">
        <v>3</v>
      </c>
      <c r="M3" s="263"/>
      <c r="N3" s="263"/>
      <c r="O3" s="263"/>
      <c r="P3" s="251" t="s">
        <v>77</v>
      </c>
      <c r="Q3" s="251"/>
      <c r="R3" s="264">
        <v>0</v>
      </c>
      <c r="S3" s="264"/>
      <c r="T3" s="370" t="s">
        <v>289</v>
      </c>
      <c r="U3" s="371"/>
      <c r="V3" s="371"/>
      <c r="W3" s="372"/>
      <c r="X3" s="266">
        <f>BG7</f>
        <v>1</v>
      </c>
      <c r="Y3" s="266"/>
      <c r="Z3" s="266"/>
      <c r="AA3" s="366"/>
      <c r="AB3" s="367"/>
      <c r="AC3" s="261" t="s">
        <v>78</v>
      </c>
      <c r="AD3" s="261"/>
      <c r="AE3" s="254">
        <v>1</v>
      </c>
      <c r="AF3" s="254"/>
      <c r="AJ3" s="167" t="s">
        <v>73</v>
      </c>
      <c r="AK3" s="167"/>
      <c r="AL3" s="167"/>
      <c r="AM3" s="106">
        <v>3</v>
      </c>
      <c r="AN3" s="4" t="s">
        <v>74</v>
      </c>
      <c r="AO3" s="138">
        <v>4</v>
      </c>
      <c r="AP3" s="373" t="s">
        <v>327</v>
      </c>
      <c r="AQ3" s="374"/>
      <c r="AR3" s="160">
        <f>AU7</f>
        <v>18.43494882292201</v>
      </c>
      <c r="AS3" s="25"/>
      <c r="AT3" s="24"/>
      <c r="AY3" s="24"/>
    </row>
    <row r="4" spans="1:60" ht="33" customHeight="1" x14ac:dyDescent="0.3">
      <c r="A4" s="353" t="str">
        <f>'3UP(실측)'!A4:AH4</f>
        <v>제작치수 반영 : JB/JD +(3 ),  늘어난치수K -(0),  C + (0),   U + (0), OP - (2), R - (0),  기둥차감 - (0), A + (1)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353"/>
      <c r="Y4" s="353"/>
      <c r="Z4" s="353"/>
      <c r="AA4" s="75"/>
      <c r="AB4" s="75"/>
      <c r="AC4" s="356" t="s">
        <v>333</v>
      </c>
      <c r="AD4" s="277"/>
      <c r="AE4" s="277">
        <f>AG7</f>
        <v>0</v>
      </c>
      <c r="AF4" s="357"/>
      <c r="AG4" s="75"/>
      <c r="AH4" s="75"/>
      <c r="AI4" s="75"/>
      <c r="AJ4" s="75"/>
      <c r="AK4" s="75"/>
      <c r="AL4" s="75"/>
      <c r="AM4" s="9"/>
      <c r="AN4" s="222">
        <f ca="1">TODAY()</f>
        <v>45272</v>
      </c>
      <c r="AO4" s="162"/>
      <c r="AP4" s="173" t="s">
        <v>215</v>
      </c>
      <c r="AQ4" s="173"/>
      <c r="AR4" s="25"/>
      <c r="AS4" s="25"/>
      <c r="AT4" s="24"/>
      <c r="AY4" s="24"/>
      <c r="BG4" s="177" t="s">
        <v>253</v>
      </c>
    </row>
    <row r="5" spans="1:6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358" t="s">
        <v>278</v>
      </c>
      <c r="N5" s="358" t="s">
        <v>288</v>
      </c>
      <c r="O5" s="238" t="s">
        <v>62</v>
      </c>
      <c r="P5" s="238" t="s">
        <v>63</v>
      </c>
      <c r="Q5" s="167" t="s">
        <v>8</v>
      </c>
      <c r="R5" s="167" t="s">
        <v>9</v>
      </c>
      <c r="S5" s="167" t="s">
        <v>10</v>
      </c>
      <c r="T5" s="167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26" t="s">
        <v>129</v>
      </c>
      <c r="Z5" s="326" t="s">
        <v>280</v>
      </c>
      <c r="AA5" s="326" t="s">
        <v>287</v>
      </c>
      <c r="AB5" s="326" t="s">
        <v>281</v>
      </c>
      <c r="AC5" s="167" t="s">
        <v>19</v>
      </c>
      <c r="AD5" s="271" t="s">
        <v>20</v>
      </c>
      <c r="AE5" s="238" t="s">
        <v>22</v>
      </c>
      <c r="AF5" s="238" t="s">
        <v>23</v>
      </c>
      <c r="AG5" s="240" t="s">
        <v>21</v>
      </c>
      <c r="AH5" s="241"/>
      <c r="AI5" s="241"/>
      <c r="AJ5" s="241"/>
      <c r="AK5" s="241"/>
      <c r="AL5" s="242"/>
      <c r="AM5" s="168" t="s">
        <v>25</v>
      </c>
      <c r="AN5" s="273" t="s">
        <v>34</v>
      </c>
      <c r="AO5" s="168" t="s">
        <v>35</v>
      </c>
      <c r="AP5" s="171" t="s">
        <v>212</v>
      </c>
      <c r="AQ5" s="172"/>
      <c r="AR5" s="177" t="s">
        <v>305</v>
      </c>
      <c r="AS5" s="177" t="s">
        <v>306</v>
      </c>
      <c r="AT5" s="272" t="s">
        <v>51</v>
      </c>
      <c r="BA5" s="178" t="s">
        <v>28</v>
      </c>
      <c r="BB5" s="178"/>
      <c r="BC5" s="178" t="s">
        <v>29</v>
      </c>
      <c r="BD5" s="178"/>
      <c r="BG5" s="178"/>
    </row>
    <row r="6" spans="1:60" ht="48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359"/>
      <c r="N6" s="359"/>
      <c r="O6" s="239"/>
      <c r="P6" s="239"/>
      <c r="Q6" s="167"/>
      <c r="R6" s="167"/>
      <c r="S6" s="167"/>
      <c r="T6" s="167"/>
      <c r="U6" s="347"/>
      <c r="V6" s="347"/>
      <c r="W6" s="347"/>
      <c r="X6" s="347"/>
      <c r="Y6" s="327"/>
      <c r="Z6" s="327"/>
      <c r="AA6" s="327"/>
      <c r="AB6" s="327"/>
      <c r="AC6" s="167"/>
      <c r="AD6" s="271"/>
      <c r="AE6" s="239"/>
      <c r="AF6" s="239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7"/>
      <c r="AN6" s="274"/>
      <c r="AO6" s="167"/>
      <c r="AP6" s="74" t="s">
        <v>213</v>
      </c>
      <c r="AQ6" s="74" t="s">
        <v>214</v>
      </c>
      <c r="AR6" s="178"/>
      <c r="AS6" s="178"/>
      <c r="AT6" s="272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0</v>
      </c>
      <c r="E7" s="4">
        <f>'3UP(실측)'!E7+MAX(AR7,AS7)+IF(BG7=1,AG7,0)+UP3멍텅JBJD늘림치수</f>
        <v>3</v>
      </c>
      <c r="F7" s="4">
        <f>'3UP(실측)'!F7+MAX(AR7,AS7)+IF(BG7=1,AJ7,0)+UP3멍텅JBJD늘림치수</f>
        <v>3</v>
      </c>
      <c r="G7" s="4">
        <f>'3UP(실측)'!G7+AR7+IF(BG7=1,AG7,0)+UP3멍텅JB강제키움+UP3멍텅JBJD늘림치수</f>
        <v>3</v>
      </c>
      <c r="H7" s="4">
        <f>'3UP(실측)'!H7+AR7+IF(BG7=1,AH7,0)+UP3멍텅JB강제키움+UP3멍텅JBJD늘림치수-IF(UP3멍텅JB하부늘치=1,'3UP(실측)'!AC7-'3UP(실측)'!AD7,0)</f>
        <v>3</v>
      </c>
      <c r="I7" s="4">
        <f>'3UP(실측)'!I7+AR7+IF(BG7=1,AI7,0)+UP3멍텅JB강제키움+UP3멍텅JBJD늘림치수-IF(UP3멍텅JB하부늘치=1,'3UP(실측)'!AC7-'3UP(실측)'!AE7,0)</f>
        <v>3</v>
      </c>
      <c r="J7" s="4">
        <f>'3UP(실측)'!J7+AS7+IF(BG7=1,AJ7,0)+UP3멍텅JB강제키움+UP3멍텅JBJD늘림치수</f>
        <v>3</v>
      </c>
      <c r="K7" s="4">
        <f>'3UP(실측)'!K7+AS7+IF(BG7=1,AK7,0)+UP3멍텅JB강제키움+UP3멍텅JBJD늘림치수-IF(UP3멍텅JB하부늘치=1,'3UP(실측)'!AF7-'3UP(실측)'!AG7,0)</f>
        <v>3</v>
      </c>
      <c r="L7" s="4">
        <f>'3UP(실측)'!L7+AS7+IF(BG7=1,AL7,0)+UP3멍텅JB강제키움+UP3멍텅JBJD늘림치수-IF(UP3멍텅JB하부늘치=1,'3UP(실측)'!AF7-'3UP(실측)'!AH7,0)</f>
        <v>3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0*0.6</v>
      </c>
      <c r="AN7" s="12" t="str">
        <f t="shared" ref="AN7" si="2">BB7&amp;"*"&amp;BA7</f>
        <v>0*0.4</v>
      </c>
      <c r="AO7" s="10" t="str">
        <f t="shared" ref="AO7" si="3">BD7&amp;"*"&amp;BC7</f>
        <v>0*0.4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18.43494882292201</v>
      </c>
      <c r="AV7" s="36">
        <f>E7-COS(RADIANS(AU7))*G7</f>
        <v>0.15395010584845892</v>
      </c>
      <c r="AW7" s="36">
        <f>F7-COS(RADIANS(AU7))*J7</f>
        <v>0.15395010584845892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0.60000000000000031</v>
      </c>
      <c r="BA7" s="3">
        <f>S7+Q7+MAX(G7,I7)+AF7-1.2*$AO$3+IF(BG7=0,MAX(AG7,AI7))+IF(S7=0,1.2,0)</f>
        <v>0.40000000000000013</v>
      </c>
      <c r="BB7" s="3">
        <f>MAX(U7,V7+W7+X7)</f>
        <v>0</v>
      </c>
      <c r="BC7" s="3">
        <f>T7+R7+MAX(J7,L7)+AF7-1.2*$AO$3+IF(BG7=0,MAX(AJ7,AL7))+IF(T7=0,1.2,0)</f>
        <v>0.40000000000000013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2022-12-02T03:36:41Z</cp:lastPrinted>
  <dcterms:created xsi:type="dcterms:W3CDTF">2020-01-09T06:39:51Z</dcterms:created>
  <dcterms:modified xsi:type="dcterms:W3CDTF">2023-12-12T01:42:41Z</dcterms:modified>
</cp:coreProperties>
</file>