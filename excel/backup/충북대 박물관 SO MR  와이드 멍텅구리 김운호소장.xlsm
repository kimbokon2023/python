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김운호소장\"/>
    </mc:Choice>
  </mc:AlternateContent>
  <xr:revisionPtr revIDLastSave="0" documentId="13_ncr:1_{8E36CEAD-E508-41F6-AA35-70D7D50C7DB0}" xr6:coauthVersionLast="47" xr6:coauthVersionMax="47" xr10:uidLastSave="{00000000-0000-0000-0000-000000000000}"/>
  <bookViews>
    <workbookView xWindow="28680" yWindow="765" windowWidth="29040" windowHeight="15840" tabRatio="947" activeTab="1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2" l="1"/>
  <c r="B8" i="22"/>
  <c r="C8" i="22"/>
  <c r="D8" i="22"/>
  <c r="E8" i="22"/>
  <c r="T8" i="22"/>
  <c r="U8" i="22"/>
  <c r="V8" i="22"/>
  <c r="BB8" i="22" s="1"/>
  <c r="W8" i="22"/>
  <c r="Z8" i="22"/>
  <c r="AA8" i="22"/>
  <c r="AB8" i="22"/>
  <c r="AC8" i="22"/>
  <c r="AD8" i="22"/>
  <c r="AE8" i="22"/>
  <c r="AF8" i="22" s="1"/>
  <c r="AJ8" i="22"/>
  <c r="AK8" i="22"/>
  <c r="AL8" i="22"/>
  <c r="AM8" i="22"/>
  <c r="AN8" i="22"/>
  <c r="AO8" i="22"/>
  <c r="AP8" i="22"/>
  <c r="AZ8" i="22"/>
  <c r="BF8" i="22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AH26" i="14" s="1"/>
  <c r="R26" i="14"/>
  <c r="O27" i="14"/>
  <c r="P27" i="14"/>
  <c r="Q27" i="14"/>
  <c r="R27" i="14"/>
  <c r="AH27" i="14" s="1"/>
  <c r="O28" i="14"/>
  <c r="P28" i="14"/>
  <c r="Q28" i="14"/>
  <c r="AH28" i="14" s="1"/>
  <c r="R28" i="14"/>
  <c r="O29" i="14"/>
  <c r="P29" i="14"/>
  <c r="Q29" i="14"/>
  <c r="R29" i="14"/>
  <c r="AH29" i="14" s="1"/>
  <c r="O30" i="14"/>
  <c r="P30" i="14"/>
  <c r="Q30" i="14"/>
  <c r="AH30" i="14" s="1"/>
  <c r="R30" i="14"/>
  <c r="O31" i="14"/>
  <c r="P31" i="14"/>
  <c r="Q31" i="14"/>
  <c r="R31" i="14"/>
  <c r="AH31" i="14" s="1"/>
  <c r="O32" i="14"/>
  <c r="P32" i="14"/>
  <c r="Q32" i="14"/>
  <c r="AH32" i="14" s="1"/>
  <c r="R32" i="14"/>
  <c r="O33" i="14"/>
  <c r="P33" i="14"/>
  <c r="Q33" i="14"/>
  <c r="R33" i="14"/>
  <c r="O34" i="14"/>
  <c r="P34" i="14"/>
  <c r="Q34" i="14"/>
  <c r="AH34" i="14" s="1"/>
  <c r="R34" i="14"/>
  <c r="P7" i="14"/>
  <c r="Q7" i="14"/>
  <c r="R7" i="14"/>
  <c r="O7" i="14"/>
  <c r="U8" i="8"/>
  <c r="V8" i="8"/>
  <c r="W8" i="8"/>
  <c r="X8" i="8"/>
  <c r="V7" i="8"/>
  <c r="W7" i="8"/>
  <c r="X7" i="8"/>
  <c r="U7" i="8"/>
  <c r="A26" i="14"/>
  <c r="B26" i="14"/>
  <c r="I26" i="14"/>
  <c r="J26" i="14"/>
  <c r="K26" i="14"/>
  <c r="L26" i="14"/>
  <c r="M26" i="14"/>
  <c r="N26" i="14"/>
  <c r="S26" i="14"/>
  <c r="T26" i="14"/>
  <c r="U26" i="14"/>
  <c r="V26" i="14"/>
  <c r="W26" i="14"/>
  <c r="X26" i="14"/>
  <c r="Y26" i="14"/>
  <c r="Z26" i="14"/>
  <c r="AA26" i="14"/>
  <c r="AF26" i="14"/>
  <c r="A27" i="14"/>
  <c r="B27" i="14"/>
  <c r="I27" i="14"/>
  <c r="J27" i="14"/>
  <c r="K27" i="14"/>
  <c r="L27" i="14"/>
  <c r="M27" i="14"/>
  <c r="N27" i="14"/>
  <c r="AF27" i="14"/>
  <c r="S27" i="14"/>
  <c r="T27" i="14"/>
  <c r="U27" i="14"/>
  <c r="V27" i="14"/>
  <c r="W27" i="14"/>
  <c r="X27" i="14"/>
  <c r="E27" i="14" s="1"/>
  <c r="Y27" i="14"/>
  <c r="Z27" i="14"/>
  <c r="AA27" i="14"/>
  <c r="A28" i="14"/>
  <c r="B28" i="14"/>
  <c r="I28" i="14"/>
  <c r="J28" i="14"/>
  <c r="K28" i="14"/>
  <c r="L28" i="14"/>
  <c r="M28" i="14"/>
  <c r="N28" i="14"/>
  <c r="AF28" i="14"/>
  <c r="S28" i="14"/>
  <c r="T28" i="14"/>
  <c r="U28" i="14"/>
  <c r="V28" i="14"/>
  <c r="W28" i="14"/>
  <c r="X28" i="14"/>
  <c r="Y28" i="14"/>
  <c r="Z28" i="14"/>
  <c r="AA28" i="14"/>
  <c r="A29" i="14"/>
  <c r="B29" i="14"/>
  <c r="I29" i="14"/>
  <c r="J29" i="14"/>
  <c r="AC29" i="14" s="1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F29" i="14"/>
  <c r="A30" i="14"/>
  <c r="B30" i="14"/>
  <c r="I30" i="14"/>
  <c r="J30" i="14"/>
  <c r="K30" i="14"/>
  <c r="L30" i="14"/>
  <c r="M30" i="14"/>
  <c r="N30" i="14"/>
  <c r="AF30" i="14"/>
  <c r="S30" i="14"/>
  <c r="T30" i="14"/>
  <c r="U30" i="14"/>
  <c r="V30" i="14"/>
  <c r="W30" i="14"/>
  <c r="X30" i="14"/>
  <c r="Y30" i="14"/>
  <c r="Z30" i="14"/>
  <c r="AA30" i="14"/>
  <c r="A31" i="14"/>
  <c r="B31" i="14"/>
  <c r="I31" i="14"/>
  <c r="J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I32" i="14"/>
  <c r="J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F32" i="14"/>
  <c r="A33" i="14"/>
  <c r="B33" i="14"/>
  <c r="I33" i="14"/>
  <c r="J33" i="14"/>
  <c r="K33" i="14"/>
  <c r="L33" i="14"/>
  <c r="M33" i="14"/>
  <c r="N33" i="14"/>
  <c r="S33" i="14"/>
  <c r="T33" i="14"/>
  <c r="U33" i="14"/>
  <c r="V33" i="14"/>
  <c r="W33" i="14"/>
  <c r="X33" i="14"/>
  <c r="Y33" i="14"/>
  <c r="Z33" i="14"/>
  <c r="AA33" i="14"/>
  <c r="A34" i="14"/>
  <c r="B34" i="14"/>
  <c r="I34" i="14"/>
  <c r="J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A8" i="8"/>
  <c r="B8" i="8"/>
  <c r="E8" i="8"/>
  <c r="F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E8" i="22" l="1"/>
  <c r="K8" i="22" s="1"/>
  <c r="H8" i="22"/>
  <c r="S8" i="22"/>
  <c r="R8" i="22"/>
  <c r="Y8" i="22"/>
  <c r="E26" i="14"/>
  <c r="AC27" i="14"/>
  <c r="F28" i="14"/>
  <c r="F33" i="14"/>
  <c r="AG33" i="14" s="1"/>
  <c r="AC28" i="14"/>
  <c r="E33" i="14"/>
  <c r="AD33" i="14" s="1"/>
  <c r="F30" i="14"/>
  <c r="AG30" i="14" s="1"/>
  <c r="H30" i="14" s="1"/>
  <c r="E29" i="14"/>
  <c r="AD29" i="14" s="1"/>
  <c r="C29" i="14" s="1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H29" i="14" s="1"/>
  <c r="E28" i="14"/>
  <c r="AD28" i="14" s="1"/>
  <c r="AF33" i="14"/>
  <c r="AD27" i="14"/>
  <c r="C27" i="14" s="1"/>
  <c r="F27" i="14"/>
  <c r="AG27" i="14" s="1"/>
  <c r="H27" i="14" s="1"/>
  <c r="E32" i="14"/>
  <c r="AD32" i="14" s="1"/>
  <c r="AD26" i="14"/>
  <c r="AC34" i="14"/>
  <c r="E34" i="14"/>
  <c r="AD34" i="14" s="1"/>
  <c r="AF34" i="14"/>
  <c r="AE33" i="14"/>
  <c r="AG28" i="14"/>
  <c r="H28" i="14" s="1"/>
  <c r="AE28" i="14"/>
  <c r="G28" i="14" s="1"/>
  <c r="F34" i="14"/>
  <c r="F26" i="14"/>
  <c r="F32" i="14"/>
  <c r="F31" i="14"/>
  <c r="BI8" i="8"/>
  <c r="I8" i="8" s="1"/>
  <c r="AG8" i="8"/>
  <c r="BD8" i="8" s="1"/>
  <c r="P8" i="8"/>
  <c r="N8" i="8" s="1"/>
  <c r="D8" i="8"/>
  <c r="AH8" i="8" s="1"/>
  <c r="BF8" i="8" s="1"/>
  <c r="AY8" i="8"/>
  <c r="S8" i="8"/>
  <c r="C7" i="26"/>
  <c r="E7" i="26"/>
  <c r="AF4" i="26"/>
  <c r="AJ4" i="24"/>
  <c r="AE4" i="22"/>
  <c r="AI4" i="19"/>
  <c r="AA4" i="10"/>
  <c r="AE3" i="8"/>
  <c r="P8" i="22" l="1"/>
  <c r="N8" i="22" s="1"/>
  <c r="G8" i="22"/>
  <c r="F8" i="22"/>
  <c r="BC8" i="22" s="1"/>
  <c r="J8" i="22"/>
  <c r="M8" i="22" s="1"/>
  <c r="Q8" i="22"/>
  <c r="O8" i="22" s="1"/>
  <c r="BA8" i="22"/>
  <c r="AI8" i="22" s="1"/>
  <c r="I8" i="22"/>
  <c r="BD8" i="22"/>
  <c r="X8" i="22"/>
  <c r="AE30" i="14"/>
  <c r="G30" i="14" s="1"/>
  <c r="AE29" i="14"/>
  <c r="G29" i="14" s="1"/>
  <c r="AE27" i="14"/>
  <c r="G27" i="14" s="1"/>
  <c r="C28" i="14"/>
  <c r="C26" i="14"/>
  <c r="C31" i="14"/>
  <c r="C32" i="14"/>
  <c r="C30" i="14"/>
  <c r="G33" i="14"/>
  <c r="H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L8" i="8"/>
  <c r="G8" i="8"/>
  <c r="H8" i="8"/>
  <c r="AU8" i="8" s="1"/>
  <c r="J8" i="8"/>
  <c r="K8" i="8"/>
  <c r="O8" i="8"/>
  <c r="M8" i="8" s="1"/>
  <c r="BH8" i="8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S8" i="22" l="1"/>
  <c r="AU8" i="22" s="1"/>
  <c r="AX8" i="22"/>
  <c r="AW8" i="22"/>
  <c r="AV8" i="22"/>
  <c r="AR8" i="22"/>
  <c r="AT8" i="22" s="1"/>
  <c r="AY8" i="22"/>
  <c r="AH8" i="22" s="1"/>
  <c r="L8" i="22"/>
  <c r="Y7" i="22"/>
  <c r="X7" i="22" s="1"/>
  <c r="AV8" i="8"/>
  <c r="Q8" i="8" s="1"/>
  <c r="BE8" i="8"/>
  <c r="AL8" i="8" s="1"/>
  <c r="BC8" i="8"/>
  <c r="AK8" i="8" s="1"/>
  <c r="AW8" i="8"/>
  <c r="R8" i="8" s="1"/>
  <c r="AI7" i="32"/>
  <c r="AE4" i="32"/>
  <c r="AD7" i="28"/>
  <c r="AA4" i="28"/>
  <c r="AH7" i="32"/>
  <c r="AE7" i="26"/>
  <c r="AK7" i="32"/>
  <c r="C7" i="19"/>
  <c r="D7" i="24"/>
  <c r="AG8" i="22" l="1"/>
  <c r="AZ8" i="8"/>
  <c r="Z8" i="8"/>
  <c r="BA8" i="8" s="1"/>
  <c r="BG8" i="8"/>
  <c r="AS7" i="32"/>
  <c r="T7" i="32" s="1"/>
  <c r="AR7" i="32"/>
  <c r="AI8" i="8" l="1"/>
  <c r="BB8" i="8"/>
  <c r="AJ8" i="8" s="1"/>
  <c r="S7" i="32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I24" i="14"/>
  <c r="J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I25" i="14"/>
  <c r="J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H8" i="15" l="1"/>
  <c r="G8" i="15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<sst xmlns="http://schemas.openxmlformats.org/spreadsheetml/2006/main" count="1170" uniqueCount="338">
  <si>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</si>
  <si>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</si>
  <si>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</si>
  <si>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</si>
  <si>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</si>
  <si>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</si>
  <si>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</si>
  <si>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</si>
  <si>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</si>
  <si>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</si>
  <si>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</si>
  <si>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</si>
  <si>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</si>
  <si>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</si>
  <si>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</si>
  <si>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</si>
  <si>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</si>
  <si>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</si>
  <si>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</si>
  <si>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</si>
  <si>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</si>
  <si>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</si>
  <si>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</si>
  <si>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</si>
  <si>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</si>
  <si>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</si>
  <si>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</si>
  <si>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</si>
  <si>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</si>
  <si>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</si>
  <si>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</si>
  <si>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</si>
  <si>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</si>
  <si>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</si>
  <si>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</si>
  <si>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</si>
  <si>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</si>
  <si>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</si>
  <si>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</si>
  <si>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</si>
  <si>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</si>
  <si>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</si>
  <si>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</si>
  <si>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</si>
  <si>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</si>
  <si>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</si>
  <si>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</si>
  <si>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</si>
  <si>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</si>
  <si>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</si>
  <si>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</si>
  <si>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</si>
  <si>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</si>
  <si>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</si>
  <si>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</si>
  <si>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</si>
  <si>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</si>
  <si>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</si>
  <si>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</si>
  <si>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</si>
  <si>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</si>
  <si>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</si>
  <si>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</si>
  <si>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</si>
  <si>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</si>
  <si>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</si>
  <si>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</si>
  <si>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</si>
  <si>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</si>
  <si>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</si>
  <si>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</si>
  <si>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</si>
  <si>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</si>
  <si>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</si>
  <si>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</si>
  <si>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</si>
  <si>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</si>
  <si>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</si>
  <si>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</si>
  <si>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</si>
  <si>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</si>
  <si>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</si>
  <si>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</si>
  <si>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</si>
  <si>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</si>
  <si>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</si>
  <si>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</si>
  <si>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</si>
  <si>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</si>
  <si>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</si>
  <si>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</si>
  <si>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</si>
  <si>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</si>
  <si>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</si>
  <si>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</si>
  <si>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</si>
  <si>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</si>
  <si>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</si>
  <si>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</si>
  <si>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</si>
  <si>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</si>
  <si>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</si>
  <si>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</si>
  <si>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</si>
  <si>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</si>
  <si>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</si>
  <si>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</si>
  <si>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</si>
  <si>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</si>
  <si>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</si>
  <si>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</si>
  <si>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</si>
  <si>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</si>
  <si>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</si>
  <si>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</si>
  <si>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</si>
  <si>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</si>
  <si>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</si>
  <si>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</si>
  <si>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</si>
  <si>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</si>
  <si>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</si>
  <si>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</si>
  <si>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</si>
  <si>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</si>
  <si>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</si>
  <si>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</si>
  <si>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</si>
  <si>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</si>
  <si>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</si>
  <si>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</si>
  <si>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</si>
  <si>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</si>
  <si>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</si>
  <si>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</si>
  <si>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</si>
  <si>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</si>
  <si>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</si>
  <si>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</si>
  <si>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</si>
  <si>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</si>
  <si>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</si>
  <si>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</si>
  <si>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</si>
  <si>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</si>
  <si>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</si>
  <si>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</si>
  <si>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</si>
  <si>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</si>
  <si>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</si>
  <si>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</si>
  <si>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</si>
  <si>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</si>
  <si>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</si>
  <si>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</si>
  <si>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</si>
  <si>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</si>
  <si>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</si>
  <si>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</si>
  <si>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</si>
  <si>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</si>
  <si>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</si>
  <si>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</si>
  <si>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</si>
  <si>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</si>
  <si>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</si>
  <si>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</si>
  <si>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</si>
  <si>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</si>
  <si>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</si>
  <si>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</si>
  <si>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</si>
  <si>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</si>
  <si>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</si>
  <si>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</si>
  <si>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</si>
  <si>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</si>
  <si>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</si>
  <si>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</si>
  <si>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</si>
  <si>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</si>
  <si>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</si>
  <si>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</si>
  <si>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</si>
  <si>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</si>
  <si>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</si>
  <si>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</si>
  <si>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</si>
  <si>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</si>
  <si>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</si>
  <si>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</si>
  <si>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</si>
  <si>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</si>
  <si>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</si>
  <si>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</si>
  <si>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</si>
  <si>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</si>
  <si>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</si>
  <si>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</si>
  <si>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</si>
  <si>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</si>
  <si>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</si>
  <si>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</si>
  <si>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</si>
  <si>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</si>
  <si>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</si>
  <si>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</si>
  <si>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</si>
  <si>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</si>
  <si>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</si>
  <si>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</si>
  <si>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</si>
  <si>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</si>
  <si>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</si>
  <si>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</si>
  <si>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</si>
  <si>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</si>
  <si>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</si>
  <si>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</si>
  <si>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</si>
  <si>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</si>
  <si>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</si>
  <si>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</si>
  <si>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</si>
  <si>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</si>
  <si>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</si>
  <si>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</si>
  <si>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</si>
  <si>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</si>
  <si>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</si>
  <si>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</si>
  <si>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</si>
  <si>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</si>
  <si>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</si>
  <si>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</si>
  <si>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</si>
  <si>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</si>
  <si>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</si>
  <si>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</si>
  <si>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</si>
  <si>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</si>
  <si>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</si>
  <si>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</si>
  <si>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</si>
  <si>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</si>
  <si>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</si>
  <si>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</si>
  <si>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</si>
  <si>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</si>
  <si>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</si>
  <si>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</si>
  <si>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</si>
  <si>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</si>
  <si>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</si>
  <si>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</si>
  <si>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</si>
  <si>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</si>
  <si>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</si>
  <si>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</si>
  <si>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</si>
  <si>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</si>
  <si>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</si>
  <si>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</si>
  <si>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</si>
  <si>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</si>
  <si>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</si>
  <si>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</si>
  <si>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</si>
  <si>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</si>
  <si>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</si>
  <si>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</si>
  <si>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</si>
  <si>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</si>
  <si>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</si>
  <si>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</si>
  <si>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</si>
  <si>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</si>
  <si>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</si>
  <si>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</si>
  <si>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</si>
  <si>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</si>
  <si>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</si>
  <si>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</si>
  <si>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</si>
  <si>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</si>
  <si>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</si>
  <si>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</si>
  <si>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</si>
  <si>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</si>
  <si>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</si>
  <si>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</si>
  <si>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</si>
  <si>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</si>
  <si>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</si>
  <si>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</si>
  <si>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</si>
  <si>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</si>
  <si>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</si>
  <si>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</si>
  <si>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</si>
  <si>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</si>
  <si>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</si>
  <si>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</si>
  <si>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</si>
  <si>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</si>
  <si>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</si>
  <si>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</si>
  <si>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</si>
  <si>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</si>
  <si>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</si>
  <si>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</si>
  <si>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</si>
  <si>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</si>
  <si>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</si>
  <si>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</si>
  <si>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</si>
  <si>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</si>
  <si>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</si>
  <si>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</si>
  <si>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</si>
  <si>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</si>
  <si>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</si>
  <si>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</si>
  <si>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</si>
  <si>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</si>
  <si>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</si>
  <si>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</si>
  <si>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</si>
  <si>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</si>
  <si>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</si>
  <si>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</si>
  <si>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</si>
  <si>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</si>
  <si>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</si>
  <si>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</si>
  <si>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충북대 박물관</t>
  </si>
  <si>
    <t>김운호</t>
  </si>
  <si>
    <t>MR 1.2T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</si>
</sst>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11" sqref="B11:C11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충북대 박물관 ) _김운호소장</v>
      </c>
      <c r="C2" s="39" t="str">
        <f>"(와이드) 제작변환 자료( "&amp;B1&amp;" ) _"&amp;소장 &amp;"소장"</f>
        <v>(와이드) 제작변환 자료( 충북대 박물관 ) _김운호소장</v>
      </c>
      <c r="D2" s="154" t="s">
        <v>318</v>
      </c>
      <c r="E2" s="150" t="str">
        <f>"(SO와이드) 실측서 ( " &amp; B1 &amp; " ) _"&amp;소장 &amp;"소장"</f>
        <v>(SO와이드) 실측서 ( 충북대 박물관 ) _김운호소장</v>
      </c>
      <c r="F2" s="150" t="str">
        <f>"(SO와이드) 제작변환 ( " &amp; B1 &amp; " ) _"&amp;소장 &amp;"소장"</f>
        <v>(SO와이드) 제작변환 ( 충북대 박물관 ) _김운호소장</v>
      </c>
      <c r="G2" s="152" t="s">
        <v>320</v>
      </c>
      <c r="H2" s="147" t="str">
        <f>"(4CO와이드) 실측서 ( " &amp; B1 &amp; " ) _"&amp;소장 &amp;"소장"</f>
        <v>(4CO와이드) 실측서 ( 충북대 박물관 ) _김운호소장</v>
      </c>
      <c r="I2" s="147" t="str">
        <f>"(4CO와이드) 제작변환 ( " &amp; B1 &amp; " ) _"&amp;소장 &amp;"소장"</f>
        <v>(4CO와이드) 제작변환 ( 충북대 박물관 ) _김운호소장</v>
      </c>
      <c r="J2" s="152" t="s">
        <v>322</v>
      </c>
      <c r="K2" s="153" t="str">
        <f>"(2UP) 실측서 ( " &amp; B1 &amp; " ) _"&amp;소장 &amp;"소장"</f>
        <v>(2UP) 실측서 ( 충북대 박물관 ) _김운호소장</v>
      </c>
      <c r="L2" s="153" t="str">
        <f>"(2UP) 제작변환 ( " &amp; B1 &amp; " ) _"&amp;소장 &amp;"소장"</f>
        <v>(2UP) 제작변환 ( 충북대 박물관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충북대 박물관 ) _김운호소장</v>
      </c>
      <c r="C3" s="39" t="str">
        <f>"(멍텅구리) 제작변환 자료( "&amp;B1&amp;" ) _"&amp;소장 &amp;"소장"</f>
        <v>(멍텅구리) 제작변환 자료( 충북대 박물관 ) _김운호소장</v>
      </c>
      <c r="D3" s="154" t="s">
        <v>319</v>
      </c>
      <c r="E3" s="150" t="str">
        <f>"(SO멍텅구리) 실측서 ( " &amp; B1 &amp; " ) _"&amp;소장 &amp;"소장"</f>
        <v>(SO멍텅구리) 실측서 ( 충북대 박물관 ) _김운호소장</v>
      </c>
      <c r="F3" s="150" t="str">
        <f>"(SO멍텅구리) 제작변환 ( " &amp; B1 &amp; " ) _"&amp;소장 &amp;"소장"</f>
        <v>(SO멍텅구리) 제작변환 ( 충북대 박물관 ) _김운호소장</v>
      </c>
      <c r="G3" s="152" t="s">
        <v>321</v>
      </c>
      <c r="H3" s="147" t="str">
        <f>"(4CO멍텅구리) 실측서 ( " &amp; B1 &amp; " ) _"&amp;소장 &amp;"소장"</f>
        <v>(4CO멍텅구리) 실측서 ( 충북대 박물관 ) _김운호소장</v>
      </c>
      <c r="I3" s="147" t="str">
        <f>"(4CO멍텅구리) 제작변환 ( " &amp; B1 &amp; " ) _"&amp;소장 &amp;"소장"</f>
        <v>(4CO멍텅구리) 제작변환 ( 충북대 박물관 ) _김운호소장</v>
      </c>
      <c r="J3" s="152" t="s">
        <v>323</v>
      </c>
      <c r="K3" s="153" t="str">
        <f>"(3UP) 실측서 ( " &amp; B1 &amp; " ) _"&amp;소장 &amp;"소장"</f>
        <v>(3UP) 실측서 ( 충북대 박물관 ) _김운호소장</v>
      </c>
      <c r="L3" s="153" t="str">
        <f>"(3UP) 제작변환 ( " &amp; B1 &amp; " ) _"&amp;소장 &amp;"소장"</f>
        <v>(3UP) 제작변환 ( 충북대 박물관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충북대 박물관 ) _김운호소장</v>
      </c>
      <c r="C4" s="39" t="str">
        <f>"(쪽쟘) 제작변환 자료( "&amp;B1&amp;" ) _"&amp;소장 &amp;"소장"</f>
        <v>(쪽쟘) 제작변환 자료( 충북대 박물관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324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337</v>
      </c>
    </row>
    <row r="8" spans="1:12" ht="16.5" customHeight="1" x14ac:dyDescent="0.3">
      <c r="A8" s="76" t="s">
        <v>194</v>
      </c>
      <c r="B8" s="118" t="s">
        <v>337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충북대 박물관</v>
      </c>
      <c r="E2" s="3" t="str">
        <f>정보!B6</f>
        <v>김운호</v>
      </c>
      <c r="F2" s="3" t="str">
        <f>정보!B7</f>
        <v>MR 1.2T</v>
      </c>
      <c r="G2" s="3" t="str">
        <f>정보!B8</f>
        <v>MR 1.2T</v>
      </c>
      <c r="H2" s="3" t="str">
        <f>정보!B9</f>
        <v>HL 1.2T</v>
      </c>
      <c r="I2">
        <f>정보!B5</f>
        <v>0</v>
      </c>
      <c r="J2" s="87">
        <f ca="1">TODAY()</f>
        <v>45317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B7" sqref="B7:H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충북대 박물관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+(3 ),  늘어난치수K -(3),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8"/>
  <sheetViews>
    <sheetView zoomScale="85" zoomScaleNormal="85" workbookViewId="0">
      <selection activeCell="U7" sqref="U7:X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충북대 박물관 ) _김운호소장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3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충북대 박물관,   (재질) : MR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3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1</v>
      </c>
      <c r="AA3" s="200"/>
      <c r="AC3" s="201" t="s">
        <v>311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 t="e">
        <f>AU7</f>
        <v>#DIV/0!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+(3 ),  늘어난치수K -(3),  C + (0),   U + (0), OP - (2), R - (0),  기둥차감 - (0), A + (1)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45317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2</v>
      </c>
      <c r="D7" s="31">
        <f>'와이드(실측)'!D7+와이드MH더함-IF(AND(소장="추영덕",Y7=0),1.2)</f>
        <v>2</v>
      </c>
      <c r="E7" s="135">
        <f>'와이드(실측)'!E7-와이드OP</f>
        <v>-2</v>
      </c>
      <c r="F7" s="31">
        <f>'와이드(실측)'!F7-와이드R</f>
        <v>0</v>
      </c>
      <c r="G7" s="50">
        <f>'와이드(실측)'!G7+와이드JBJD키움치수+IF(BI7=1,AC7,0)</f>
        <v>0</v>
      </c>
      <c r="H7" s="50">
        <f>'와이드(실측)'!H7+와이드JBJD키움치수+IF(BI7=1,AE7,0)</f>
        <v>0</v>
      </c>
      <c r="I7" s="50">
        <f>'와이드(실측)'!I7+MAX(AS7,AT7)+와이드JBJD키움치수+IF(BI7=1,AC7,0)</f>
        <v>0</v>
      </c>
      <c r="J7" s="50">
        <f>'와이드(실측)'!I7+MAX(AS7,AT7)+와이드JBJD키움치수+IF(BI7=1,AD7,0)-IF(와이드JB하부늘치=1,'와이드(실측)'!Y7-'와이드(실측)'!Z7,0)</f>
        <v>0</v>
      </c>
      <c r="K7" s="50">
        <f>'와이드(실측)'!J7+MAX(AS7,AT7)+와이드JBJD키움치수+IF(BI7=1,AE7,0)</f>
        <v>0</v>
      </c>
      <c r="L7" s="50">
        <f>'와이드(실측)'!J7+MAX(AS7,AT7)+와이드JBJD키움치수+IF(BI7=1,AF7,0)-IF(와이드JB하부늘치=1,'와이드(실측)'!AA7-'와이드(실측)'!AB7,0)</f>
        <v>0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 t="e">
        <f>ROUNDUP(AV7,1)</f>
        <v>#DIV/0!</v>
      </c>
      <c r="R7" s="38" t="e">
        <f>ROUNDUP(AW7,1)</f>
        <v>#DIV/0!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-3</v>
      </c>
      <c r="AD7" s="31">
        <f>IF(와이드JB하부늘치=1,AC7,'와이드(실측)'!Z7-와이드늘치)</f>
        <v>-3</v>
      </c>
      <c r="AE7" s="31">
        <f>'와이드(실측)'!AA7-와이드늘치</f>
        <v>-3</v>
      </c>
      <c r="AF7" s="31">
        <f>IF(와이드JB하부늘치=1,AE7,'와이드(실측)'!AB7-와이드늘치)</f>
        <v>-3</v>
      </c>
      <c r="AG7" s="31">
        <f xml:space="preserve"> IF(소장&lt;&gt;"손상민",IF('와이드(실측)'!AC7&gt;0,'와이드(실측)'!AC7,C7-1.2),IF('와이드(실측)'!AC7&gt;0,'와이드(실측)'!AC7+1.2,C7) )</f>
        <v>0.8</v>
      </c>
      <c r="AH7" s="31">
        <f xml:space="preserve"> IF(소장&lt;&gt;"손상민",IF('와이드(실측)'!AD7&gt;0,'와이드(실측)'!AD7,D7-1.2),IF('와이드(실측)'!AD7&gt;0,'와이드(실측)'!AD7+1.2,D7))</f>
        <v>0.8</v>
      </c>
      <c r="AI7" s="51">
        <f>IF(Z7&gt;0,Z7-MAX(Q7,R7),0)</f>
        <v>0</v>
      </c>
      <c r="AJ7" s="31" t="str">
        <f t="shared" ref="AJ7" si="1">BA7&amp;"*"&amp;BB7</f>
        <v>0*-0.4</v>
      </c>
      <c r="AK7" s="31" t="str">
        <f t="shared" ref="AK7" si="2">BD7&amp;"*"&amp;BC7</f>
        <v>0.8*-2.4</v>
      </c>
      <c r="AL7" s="31" t="str">
        <f t="shared" ref="AL7" si="3">BF7&amp;"*"&amp;BE7</f>
        <v>0.8*-2.4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 t="e">
        <f>DEGREES(ATAN((F7-E7)/2/(H7)))</f>
        <v>#DIV/0!</v>
      </c>
      <c r="AV7" s="21" t="e">
        <f>ABS(G7-COS(RADIANS(AU7))*I7)</f>
        <v>#DIV/0!</v>
      </c>
      <c r="AW7" s="21" t="e">
        <f>ABS(H7-COS(RADIANS(AU7))*K7)</f>
        <v>#DIV/0!</v>
      </c>
      <c r="AX7" s="21">
        <f>'와이드(실측)'!M7+AS7</f>
        <v>0</v>
      </c>
      <c r="AY7" s="21">
        <f>'와이드(실측)'!N7+AS7</f>
        <v>0</v>
      </c>
      <c r="AZ7" s="20" t="e">
        <f>AV7-MAX(AX7,AY7)</f>
        <v>#DIV/0!</v>
      </c>
      <c r="BA7" s="41">
        <f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-0.39999999999999991</v>
      </c>
      <c r="BC7" s="41">
        <f>S7+O7+MAX(I7,J7)+AB7-1.2*$AL$3+IF(BI7=0,MAX(AD7,AC7),0)+IF(S7=0,1.2,0)-IF(AR7=90,2.4,0)</f>
        <v>-2.3999999999999995</v>
      </c>
      <c r="BD7" s="41">
        <f>MAX(U7,V7)+AG7</f>
        <v>0.8</v>
      </c>
      <c r="BE7" s="41">
        <f>T7+P7+MAX(K7,L7)+AB7-1.2*$AL$3+IF(BI7=0,MAX(AE7,AF7),0)+IF(T7=0,1.2,0)-IF(AR7=90,2.4,0)</f>
        <v>-2.3999999999999995</v>
      </c>
      <c r="BF7" s="41">
        <f>MAX(W7,X7)+AH7</f>
        <v>0.8</v>
      </c>
      <c r="BG7" s="6" t="e">
        <f t="shared" ref="BG7" si="4">I7-G7-Q7</f>
        <v>#DIV/0!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F</v>
      </c>
      <c r="C8" s="31">
        <f>'와이드(실측)'!C8+와이드MH더함-IF(AND(소장="추영덕",Y8=0),1.2)</f>
        <v>2</v>
      </c>
      <c r="D8" s="31">
        <f>'와이드(실측)'!D8+와이드MH더함-IF(AND(소장="추영덕",Y8=0),1.2)</f>
        <v>2</v>
      </c>
      <c r="E8" s="135">
        <f>'와이드(실측)'!E8-와이드OP</f>
        <v>-2</v>
      </c>
      <c r="F8" s="31">
        <f>'와이드(실측)'!F8-와이드R</f>
        <v>0</v>
      </c>
      <c r="G8" s="50">
        <f>'와이드(실측)'!G8+와이드JBJD키움치수+IF(BI8=1,AC8,0)</f>
        <v>0</v>
      </c>
      <c r="H8" s="50">
        <f>'와이드(실측)'!H8+와이드JBJD키움치수+IF(BI8=1,AE8,0)</f>
        <v>0</v>
      </c>
      <c r="I8" s="50">
        <f>'와이드(실측)'!I8+MAX(AS8,AT8)+와이드JBJD키움치수+IF(BI8=1,AC8,0)</f>
        <v>0</v>
      </c>
      <c r="J8" s="50">
        <f>'와이드(실측)'!I8+MAX(AS8,AT8)+와이드JBJD키움치수+IF(BI8=1,AD8,0)-IF(와이드JB하부늘치=1,'와이드(실측)'!Y8-'와이드(실측)'!Z8,0)</f>
        <v>0</v>
      </c>
      <c r="K8" s="50">
        <f>'와이드(실측)'!J8+MAX(AS8,AT8)+와이드JBJD키움치수+IF(BI8=1,AE8,0)</f>
        <v>0</v>
      </c>
      <c r="L8" s="50">
        <f>'와이드(실측)'!J8+MAX(AS8,AT8)+와이드JBJD키움치수+IF(BI8=1,AF8,0)-IF(와이드JB하부늘치=1,'와이드(실측)'!AA8-'와이드(실측)'!AB8,0)</f>
        <v>0</v>
      </c>
      <c r="M8" s="31">
        <f t="shared" ref="M8" si="5">IF(소장="손상민",0,O8-1.5)</f>
        <v>-0.30000000000000004</v>
      </c>
      <c r="N8" s="31">
        <f t="shared" ref="N8" si="6">IF(소장="손상민",0,P8-1.5)</f>
        <v>-0.30000000000000004</v>
      </c>
      <c r="O8" s="31">
        <f>IF(S8&lt;9,'와이드(실측)'!K8+1.2,IF(ISNUMBER('와이드(실측)'!K8),'와이드(실측)'!K8+와이드C값,0))</f>
        <v>1.2</v>
      </c>
      <c r="P8" s="31">
        <f>IF(T8&lt;9,'와이드(실측)'!L8+1.2,IF(ISNUMBER('와이드(실측)'!L8),'와이드(실측)'!L8+와이드C값,0))</f>
        <v>1.2</v>
      </c>
      <c r="Q8" s="32" t="e">
        <f>ROUNDUP(AV8,1)</f>
        <v>#DIV/0!</v>
      </c>
      <c r="R8" s="38" t="e">
        <f>ROUNDUP(AW8,1)</f>
        <v>#DIV/0!</v>
      </c>
      <c r="S8" s="31">
        <f>IF(ISNUMBER('와이드(실측)'!O8),'와이드(실측)'!O8+와이드제작!AS8+와이드A늘림,0)</f>
        <v>0</v>
      </c>
      <c r="T8" s="31">
        <f>IF(ISNUMBER('와이드(실측)'!P8),'와이드(실측)'!P8+와이드제작!AT8+와이드A늘림,0)</f>
        <v>0</v>
      </c>
      <c r="U8" s="31">
        <f>'와이드(실측)'!Q8-와이드기둥차감</f>
        <v>0</v>
      </c>
      <c r="V8" s="31">
        <f>'와이드(실측)'!R8-와이드기둥차감</f>
        <v>0</v>
      </c>
      <c r="W8" s="31">
        <f>'와이드(실측)'!S8-와이드기둥차감</f>
        <v>0</v>
      </c>
      <c r="X8" s="31">
        <f>'와이드(실측)'!T8-와이드기둥차감</f>
        <v>0</v>
      </c>
      <c r="Y8" s="31">
        <f>IF(소장="손상민",IF(ISNUMBER('와이드(실측)'!U8),'와이드(실측)'!U8+1.2,0),IF(ISNUMBER('와이드(실측)'!U8),'와이드(실측)'!U8+와이드U,0))</f>
        <v>0</v>
      </c>
      <c r="Z8" s="31">
        <f>IF(소장="손상민",MAX(Q8,R8)+3.2,IF(ISNUMBER('와이드(실측)'!V8),'와이드(실측)'!V8+1.5+와이드제작!Q8+1,0))</f>
        <v>0</v>
      </c>
      <c r="AA8" s="31">
        <f>'와이드(실측)'!W8+뒷날개치수더함</f>
        <v>0</v>
      </c>
      <c r="AB8" s="31">
        <f>'와이드(실측)'!X8+뒷날개치수더함</f>
        <v>0</v>
      </c>
      <c r="AC8" s="31">
        <f>'와이드(실측)'!Y8-와이드늘치</f>
        <v>-3</v>
      </c>
      <c r="AD8" s="31">
        <f>IF(와이드JB하부늘치=1,AC8,'와이드(실측)'!Z8-와이드늘치)</f>
        <v>-3</v>
      </c>
      <c r="AE8" s="31">
        <f>'와이드(실측)'!AA8-와이드늘치</f>
        <v>-3</v>
      </c>
      <c r="AF8" s="31">
        <f>IF(와이드JB하부늘치=1,AE8,'와이드(실측)'!AB8-와이드늘치)</f>
        <v>-3</v>
      </c>
      <c r="AG8" s="31">
        <f xml:space="preserve"> IF(소장&lt;&gt;"손상민",IF('와이드(실측)'!AC8&gt;0,'와이드(실측)'!AC8,C8-1.2),IF('와이드(실측)'!AC8&gt;0,'와이드(실측)'!AC8+1.2,C8) )</f>
        <v>0.8</v>
      </c>
      <c r="AH8" s="31">
        <f xml:space="preserve"> IF(소장&lt;&gt;"손상민",IF('와이드(실측)'!AD8&gt;0,'와이드(실측)'!AD8,D8-1.2),IF('와이드(실측)'!AD8&gt;0,'와이드(실측)'!AD8+1.2,D8))</f>
        <v>0.8</v>
      </c>
      <c r="AI8" s="51">
        <f>IF(Z8&gt;0,Z8-MAX(Q8,R8),0)</f>
        <v>0</v>
      </c>
      <c r="AJ8" s="31" t="str">
        <f t="shared" ref="AJ8" si="7">BA8&amp;"*"&amp;BB8</f>
        <v>0*-0.4</v>
      </c>
      <c r="AK8" s="31" t="str">
        <f t="shared" ref="AK8" si="8">BD8&amp;"*"&amp;BC8</f>
        <v>0.8*-2.4</v>
      </c>
      <c r="AL8" s="31" t="str">
        <f t="shared" ref="AL8" si="9">BF8&amp;"*"&amp;BE8</f>
        <v>0.8*-2.4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0</v>
      </c>
      <c r="AQ8" s="31">
        <f>'와이드(실측)'!AI8</f>
        <v>0</v>
      </c>
      <c r="AR8" s="31">
        <f>'와이드(실측)'!AJ8</f>
        <v>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 t="e">
        <f>DEGREES(ATAN((F8-E8)/2/(H8)))</f>
        <v>#DIV/0!</v>
      </c>
      <c r="AV8" s="21" t="e">
        <f>ABS(G8-COS(RADIANS(AU8))*I8)</f>
        <v>#DIV/0!</v>
      </c>
      <c r="AW8" s="21" t="e">
        <f>ABS(H8-COS(RADIANS(AU8))*K8)</f>
        <v>#DIV/0!</v>
      </c>
      <c r="AX8" s="21">
        <f>'와이드(실측)'!M8+AS8</f>
        <v>0</v>
      </c>
      <c r="AY8" s="21">
        <f>'와이드(실측)'!N8+AS8</f>
        <v>0</v>
      </c>
      <c r="AZ8" s="20" t="e">
        <f>AV8-MAX(AX8,AY8)</f>
        <v>#DIV/0!</v>
      </c>
      <c r="BA8" s="41">
        <f>IF(소장&lt;&gt;"손상민",F8+IF(Y8+Z8&gt;0,N8+M8,0),F8)</f>
        <v>0</v>
      </c>
      <c r="BB8" s="42">
        <f>MAX(C8,D8)+MAX(G8,H8)+AA8-1.2*$AJ$3+IF(BI8=0,MAX(AE8,AC8),0)+IF(Y8=0,1.2,0)+IF(Z8=0,1.2,0)+IF(소장&lt;&gt;"손상민", Y8+Z8,IF('와이드(실측)'!U8=0,0,2.4))</f>
        <v>-0.39999999999999991</v>
      </c>
      <c r="BC8" s="41">
        <f>S8+O8+MAX(I8,J8)+AB8-1.2*$AL$3+IF(BI8=0,MAX(AD8,AC8),0)+IF(S8=0,1.2,0)-IF(AR8=90,2.4,0)</f>
        <v>-2.3999999999999995</v>
      </c>
      <c r="BD8" s="41">
        <f>MAX(U8,V8)+AG8</f>
        <v>0.8</v>
      </c>
      <c r="BE8" s="41">
        <f>T8+P8+MAX(K8,L8)+AB8-1.2*$AL$3+IF(BI8=0,MAX(AE8,AF8),0)+IF(T8=0,1.2,0)-IF(AR8=90,2.4,0)</f>
        <v>-2.3999999999999995</v>
      </c>
      <c r="BF8" s="41">
        <f>MAX(W8,X8)+AH8</f>
        <v>0.8</v>
      </c>
      <c r="BG8" s="6" t="e">
        <f t="shared" ref="BG8" si="10">I8-G8-Q8</f>
        <v>#DIV/0!</v>
      </c>
      <c r="BH8" s="43" t="str">
        <f>IF(AND(C8&lt;&gt;D8,Y8&gt;0),"NG","")</f>
        <v/>
      </c>
      <c r="BI8" s="77">
        <f>IF(AND(MIN(AC8,AE8)&gt;=9.2,ABS(F8-E8)&gt;15),0,1)</f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8">
    <cfRule type="cellIs" dxfId="85" priority="52" operator="greaterThan">
      <formula>3</formula>
    </cfRule>
  </conditionalFormatting>
  <conditionalFormatting sqref="F7:F8">
    <cfRule type="cellIs" dxfId="84" priority="39" operator="greaterThan">
      <formula>1210</formula>
    </cfRule>
  </conditionalFormatting>
  <conditionalFormatting sqref="I7:L8 C7:D8">
    <cfRule type="cellIs" dxfId="83" priority="38" operator="greaterThan">
      <formula>500</formula>
    </cfRule>
  </conditionalFormatting>
  <conditionalFormatting sqref="C7:D8">
    <cfRule type="cellIs" dxfId="82" priority="36" operator="notEqual">
      <formula>$D7</formula>
    </cfRule>
  </conditionalFormatting>
  <conditionalFormatting sqref="D7:D8">
    <cfRule type="cellIs" dxfId="81" priority="35" operator="notEqual">
      <formula>$C7</formula>
    </cfRule>
  </conditionalFormatting>
  <conditionalFormatting sqref="AO7:AR8">
    <cfRule type="cellIs" dxfId="80" priority="17" operator="greaterThan">
      <formula>1.2</formula>
    </cfRule>
  </conditionalFormatting>
  <conditionalFormatting sqref="AO7:AO8">
    <cfRule type="cellIs" dxfId="79" priority="16" operator="greaterThan">
      <formula>0</formula>
    </cfRule>
  </conditionalFormatting>
  <conditionalFormatting sqref="G7:G8">
    <cfRule type="cellIs" dxfId="78" priority="14" operator="notEqual">
      <formula>H7</formula>
    </cfRule>
  </conditionalFormatting>
  <conditionalFormatting sqref="H7:H8">
    <cfRule type="cellIs" dxfId="77" priority="13" operator="notEqual">
      <formula>G7</formula>
    </cfRule>
  </conditionalFormatting>
  <conditionalFormatting sqref="I7:I8">
    <cfRule type="cellIs" dxfId="76" priority="12" operator="notEqual">
      <formula>J7</formula>
    </cfRule>
  </conditionalFormatting>
  <conditionalFormatting sqref="J7:J8">
    <cfRule type="cellIs" dxfId="75" priority="11" operator="notEqual">
      <formula>I7</formula>
    </cfRule>
  </conditionalFormatting>
  <conditionalFormatting sqref="K7:K8">
    <cfRule type="cellIs" dxfId="74" priority="10" operator="notEqual">
      <formula>L7</formula>
    </cfRule>
  </conditionalFormatting>
  <conditionalFormatting sqref="L7:L8">
    <cfRule type="cellIs" dxfId="73" priority="9" operator="notEqual">
      <formula>K7</formula>
    </cfRule>
  </conditionalFormatting>
  <conditionalFormatting sqref="AG7:AG8">
    <cfRule type="cellIs" dxfId="72" priority="8" operator="notEqual">
      <formula>AH7</formula>
    </cfRule>
  </conditionalFormatting>
  <conditionalFormatting sqref="AH7:AH8">
    <cfRule type="cellIs" dxfId="71" priority="7" operator="notEqual">
      <formula>AG7</formula>
    </cfRule>
  </conditionalFormatting>
  <conditionalFormatting sqref="AC7:AF8">
    <cfRule type="expression" dxfId="70" priority="6">
      <formula>$BI7</formula>
    </cfRule>
  </conditionalFormatting>
  <conditionalFormatting sqref="Y7:Y8">
    <cfRule type="expression" dxfId="69" priority="2">
      <formula>소장="손상민"</formula>
    </cfRule>
  </conditionalFormatting>
  <conditionalFormatting sqref="Z7:Z8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충북대 박물관,   (재질) : MR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+(3 ),  늘어난치수K -(3),  C + (0),  U +(0), OP - (2), R - (0),  기둥차감 - (0), 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3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충북대 박물관,   (재질) : MR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 t="e">
        <f>AN7</f>
        <v>#DIV/0!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+(3 ),  늘어난치수K -(3),  C + (0),  U +(0), OP - (2), R - (0),  기둥차감 - (0),  A + (1)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0</v>
      </c>
      <c r="AB4" s="276"/>
      <c r="AC4" s="9"/>
      <c r="AD4" s="222">
        <f ca="1">TODAY()</f>
        <v>45317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topLeftCell="A5" zoomScaleNormal="100" workbookViewId="0">
      <selection activeCell="A7" sqref="A7:V35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충북대 박물관 ) _김운호소장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충북대 박물관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34"/>
  <sheetViews>
    <sheetView zoomScale="85" zoomScaleNormal="85" workbookViewId="0">
      <selection activeCell="S9" sqref="S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충북대 박물관 (쪽쟘제작치수)  김운호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COUNTA(A7:A160) &amp;" (SET)"</f>
        <v>총 : 28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0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  <row r="26" spans="1:34" ht="19.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ref="C26:C34" si="12">AC26&amp;"*"&amp;AD26</f>
        <v>0*-3.6</v>
      </c>
      <c r="D26" s="50">
        <f>'쪽쟘(실측)'!C26-쪽쟘OP차감</f>
        <v>0</v>
      </c>
      <c r="E26" s="50">
        <f>'쪽쟘(실측)'!D26+쪽쟘J늘림+MAX(W26:X26)</f>
        <v>0</v>
      </c>
      <c r="F26" s="50">
        <f>'쪽쟘(실측)'!E26+쪽쟘J늘림+MAX(W26:X26)</f>
        <v>0</v>
      </c>
      <c r="G26" s="67" t="str">
        <f t="shared" ref="G26:G34" si="13">AF26&amp;"*"&amp;AE26</f>
        <v>0*-2.4</v>
      </c>
      <c r="H26" s="68" t="str">
        <f t="shared" ref="H26:H34" si="14">AH26&amp;"*"&amp;AG26</f>
        <v>0*-2.4</v>
      </c>
      <c r="I26" s="50">
        <f>IF('쪽쟘(실측)'!F26&gt;0,'쪽쟘(실측)'!F26-1.5,0)+뒷날개치수더함</f>
        <v>0</v>
      </c>
      <c r="J26" s="50">
        <f>IF('쪽쟘(실측)'!H26&gt;0,'쪽쟘(실측)'!H26-1.5,0)+뒷날개치수더함</f>
        <v>0</v>
      </c>
      <c r="K26" s="50">
        <f>IF('쪽쟘(실측)'!F26&gt;0,'쪽쟘(실측)'!F26+0,0)+뒷날개치수더함</f>
        <v>0</v>
      </c>
      <c r="L26" s="50">
        <f>IF('쪽쟘(실측)'!G26&gt;0,'쪽쟘(실측)'!G26+0,0)+뒷날개치수더함</f>
        <v>0</v>
      </c>
      <c r="M26" s="50">
        <f>IF('쪽쟘(실측)'!H26&gt;0,'쪽쟘(실측)'!H26+0,0)+뒷날개치수더함</f>
        <v>0</v>
      </c>
      <c r="N26" s="50">
        <f>IF('쪽쟘(실측)'!I26&gt;0,'쪽쟘(실측)'!I26+0,0)+뒷날개치수더함</f>
        <v>0</v>
      </c>
      <c r="O26" s="50">
        <f>'쪽쟘(실측)'!J26-쪽쟘기둥차감</f>
        <v>0</v>
      </c>
      <c r="P26" s="50">
        <f>'쪽쟘(실측)'!K26-쪽쟘기둥차감</f>
        <v>0</v>
      </c>
      <c r="Q26" s="50">
        <f>'쪽쟘(실측)'!L26-쪽쟘기둥차감</f>
        <v>0</v>
      </c>
      <c r="R26" s="50">
        <f>'쪽쟘(실측)'!M26-쪽쟘기둥차감</f>
        <v>0</v>
      </c>
      <c r="S26" s="50">
        <f>'쪽쟘(실측)'!N26+뒷날개치수더함</f>
        <v>0</v>
      </c>
      <c r="T26" s="50">
        <f>'쪽쟘(실측)'!O26+뒷날개치수더함</f>
        <v>0</v>
      </c>
      <c r="U26" s="50">
        <f>'쪽쟘(실측)'!P26+뒷날개치수더함</f>
        <v>0</v>
      </c>
      <c r="V26" s="50">
        <f>'쪽쟘(실측)'!Q26+뒷날개치수더함</f>
        <v>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0</v>
      </c>
      <c r="Z26" s="4">
        <f>'쪽쟘(실측)'!U26</f>
        <v>0</v>
      </c>
      <c r="AA26" s="4">
        <f>'쪽쟘(실측)'!V26</f>
        <v>0</v>
      </c>
      <c r="AC26">
        <f t="shared" ref="AC26:AC34" si="15">D26+I26+J26</f>
        <v>0</v>
      </c>
      <c r="AD26">
        <f t="shared" ref="AD26:AD34" si="16">U26+E26+MAX(S26,T26)-쪽쟘소재t*3+IF(S26=0,S26*쪽쟘소재t,0)</f>
        <v>-3.5999999999999996</v>
      </c>
      <c r="AE26">
        <f t="shared" ref="AE26:AE34" si="17">MAX(K26,L26)+F26+V26-쪽쟘소재t*3+IF(K26=0,쪽쟘소재t)-IF(AA26=90,2.4,0)</f>
        <v>-2.3999999999999995</v>
      </c>
      <c r="AF26">
        <f t="shared" ref="AF26:AF34" si="18">MAX(O26,P26)</f>
        <v>0</v>
      </c>
      <c r="AG26">
        <f t="shared" ref="AG26:AG34" si="19">MAX(M26,N26)+F26+V26-쪽쟘소재t*3+IF(M26=0,쪽쟘소재t)-IF(AA26=90,2.4,0)</f>
        <v>-2.3999999999999995</v>
      </c>
      <c r="AH26">
        <f t="shared" ref="AH26:AH34" si="20">MAX(Q26,R26)</f>
        <v>0</v>
      </c>
    </row>
    <row r="27" spans="1:34" ht="19.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12"/>
        <v>0*-3.6</v>
      </c>
      <c r="D27" s="50">
        <f>'쪽쟘(실측)'!C27-쪽쟘OP차감</f>
        <v>0</v>
      </c>
      <c r="E27" s="50">
        <f>'쪽쟘(실측)'!D27+쪽쟘J늘림+MAX(W27:X27)</f>
        <v>0</v>
      </c>
      <c r="F27" s="50">
        <f>'쪽쟘(실측)'!E27+쪽쟘J늘림+MAX(W27:X27)</f>
        <v>0</v>
      </c>
      <c r="G27" s="67" t="str">
        <f t="shared" si="13"/>
        <v>0*-2.4</v>
      </c>
      <c r="H27" s="68" t="str">
        <f t="shared" si="14"/>
        <v>0*-2.4</v>
      </c>
      <c r="I27" s="50">
        <f>IF('쪽쟘(실측)'!F27&gt;0,'쪽쟘(실측)'!F27-1.5,0)+뒷날개치수더함</f>
        <v>0</v>
      </c>
      <c r="J27" s="50">
        <f>IF('쪽쟘(실측)'!H27&gt;0,'쪽쟘(실측)'!H27-1.5,0)+뒷날개치수더함</f>
        <v>0</v>
      </c>
      <c r="K27" s="50">
        <f>IF('쪽쟘(실측)'!F27&gt;0,'쪽쟘(실측)'!F27+0,0)+뒷날개치수더함</f>
        <v>0</v>
      </c>
      <c r="L27" s="50">
        <f>IF('쪽쟘(실측)'!G27&gt;0,'쪽쟘(실측)'!G27+0,0)+뒷날개치수더함</f>
        <v>0</v>
      </c>
      <c r="M27" s="50">
        <f>IF('쪽쟘(실측)'!H27&gt;0,'쪽쟘(실측)'!H27+0,0)+뒷날개치수더함</f>
        <v>0</v>
      </c>
      <c r="N27" s="50">
        <f>IF('쪽쟘(실측)'!I27&gt;0,'쪽쟘(실측)'!I27+0,0)+뒷날개치수더함</f>
        <v>0</v>
      </c>
      <c r="O27" s="50">
        <f>'쪽쟘(실측)'!J27-쪽쟘기둥차감</f>
        <v>0</v>
      </c>
      <c r="P27" s="50">
        <f>'쪽쟘(실측)'!K27-쪽쟘기둥차감</f>
        <v>0</v>
      </c>
      <c r="Q27" s="50">
        <f>'쪽쟘(실측)'!L27-쪽쟘기둥차감</f>
        <v>0</v>
      </c>
      <c r="R27" s="50">
        <f>'쪽쟘(실측)'!M27-쪽쟘기둥차감</f>
        <v>0</v>
      </c>
      <c r="S27" s="50">
        <f>'쪽쟘(실측)'!N27+뒷날개치수더함</f>
        <v>0</v>
      </c>
      <c r="T27" s="50">
        <f>'쪽쟘(실측)'!O27+뒷날개치수더함</f>
        <v>0</v>
      </c>
      <c r="U27" s="50">
        <f>'쪽쟘(실측)'!P27+뒷날개치수더함</f>
        <v>0</v>
      </c>
      <c r="V27" s="50">
        <f>'쪽쟘(실측)'!Q27+뒷날개치수더함</f>
        <v>0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0</v>
      </c>
      <c r="Z27" s="4">
        <f>'쪽쟘(실측)'!U27</f>
        <v>0</v>
      </c>
      <c r="AA27" s="4">
        <f>'쪽쟘(실측)'!V27</f>
        <v>0</v>
      </c>
      <c r="AC27">
        <f t="shared" si="15"/>
        <v>0</v>
      </c>
      <c r="AD27">
        <f t="shared" si="16"/>
        <v>-3.5999999999999996</v>
      </c>
      <c r="AE27">
        <f t="shared" si="17"/>
        <v>-2.3999999999999995</v>
      </c>
      <c r="AF27">
        <f t="shared" si="18"/>
        <v>0</v>
      </c>
      <c r="AG27">
        <f t="shared" si="19"/>
        <v>-2.3999999999999995</v>
      </c>
      <c r="AH27">
        <f t="shared" si="20"/>
        <v>0</v>
      </c>
    </row>
    <row r="28" spans="1:34" ht="19.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12"/>
        <v>0*-3.6</v>
      </c>
      <c r="D28" s="50">
        <f>'쪽쟘(실측)'!C28-쪽쟘OP차감</f>
        <v>0</v>
      </c>
      <c r="E28" s="50">
        <f>'쪽쟘(실측)'!D28+쪽쟘J늘림+MAX(W28:X28)</f>
        <v>0</v>
      </c>
      <c r="F28" s="50">
        <f>'쪽쟘(실측)'!E28+쪽쟘J늘림+MAX(W28:X28)</f>
        <v>0</v>
      </c>
      <c r="G28" s="67" t="str">
        <f t="shared" si="13"/>
        <v>0*-2.4</v>
      </c>
      <c r="H28" s="68" t="str">
        <f t="shared" si="14"/>
        <v>0*-2.4</v>
      </c>
      <c r="I28" s="50">
        <f>IF('쪽쟘(실측)'!F28&gt;0,'쪽쟘(실측)'!F28-1.5,0)+뒷날개치수더함</f>
        <v>0</v>
      </c>
      <c r="J28" s="50">
        <f>IF('쪽쟘(실측)'!H28&gt;0,'쪽쟘(실측)'!H28-1.5,0)+뒷날개치수더함</f>
        <v>0</v>
      </c>
      <c r="K28" s="50">
        <f>IF('쪽쟘(실측)'!F28&gt;0,'쪽쟘(실측)'!F28+0,0)+뒷날개치수더함</f>
        <v>0</v>
      </c>
      <c r="L28" s="50">
        <f>IF('쪽쟘(실측)'!G28&gt;0,'쪽쟘(실측)'!G28+0,0)+뒷날개치수더함</f>
        <v>0</v>
      </c>
      <c r="M28" s="50">
        <f>IF('쪽쟘(실측)'!H28&gt;0,'쪽쟘(실측)'!H28+0,0)+뒷날개치수더함</f>
        <v>0</v>
      </c>
      <c r="N28" s="50">
        <f>IF('쪽쟘(실측)'!I28&gt;0,'쪽쟘(실측)'!I28+0,0)+뒷날개치수더함</f>
        <v>0</v>
      </c>
      <c r="O28" s="50">
        <f>'쪽쟘(실측)'!J28-쪽쟘기둥차감</f>
        <v>0</v>
      </c>
      <c r="P28" s="50">
        <f>'쪽쟘(실측)'!K28-쪽쟘기둥차감</f>
        <v>0</v>
      </c>
      <c r="Q28" s="50">
        <f>'쪽쟘(실측)'!L28-쪽쟘기둥차감</f>
        <v>0</v>
      </c>
      <c r="R28" s="50">
        <f>'쪽쟘(실측)'!M28-쪽쟘기둥차감</f>
        <v>0</v>
      </c>
      <c r="S28" s="50">
        <f>'쪽쟘(실측)'!N28+뒷날개치수더함</f>
        <v>0</v>
      </c>
      <c r="T28" s="50">
        <f>'쪽쟘(실측)'!O28+뒷날개치수더함</f>
        <v>0</v>
      </c>
      <c r="U28" s="50">
        <f>'쪽쟘(실측)'!P28+뒷날개치수더함</f>
        <v>0</v>
      </c>
      <c r="V28" s="50">
        <f>'쪽쟘(실측)'!Q28+뒷날개치수더함</f>
        <v>0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0</v>
      </c>
      <c r="Z28" s="4">
        <f>'쪽쟘(실측)'!U28</f>
        <v>0</v>
      </c>
      <c r="AA28" s="4">
        <f>'쪽쟘(실측)'!V28</f>
        <v>0</v>
      </c>
      <c r="AC28">
        <f t="shared" si="15"/>
        <v>0</v>
      </c>
      <c r="AD28">
        <f t="shared" si="16"/>
        <v>-3.5999999999999996</v>
      </c>
      <c r="AE28">
        <f t="shared" si="17"/>
        <v>-2.3999999999999995</v>
      </c>
      <c r="AF28">
        <f t="shared" si="18"/>
        <v>0</v>
      </c>
      <c r="AG28">
        <f t="shared" si="19"/>
        <v>-2.3999999999999995</v>
      </c>
      <c r="AH28">
        <f t="shared" si="20"/>
        <v>0</v>
      </c>
    </row>
    <row r="29" spans="1:34" ht="19.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12"/>
        <v>0*-3.6</v>
      </c>
      <c r="D29" s="50">
        <f>'쪽쟘(실측)'!C29-쪽쟘OP차감</f>
        <v>0</v>
      </c>
      <c r="E29" s="50">
        <f>'쪽쟘(실측)'!D29+쪽쟘J늘림+MAX(W29:X29)</f>
        <v>0</v>
      </c>
      <c r="F29" s="50">
        <f>'쪽쟘(실측)'!E29+쪽쟘J늘림+MAX(W29:X29)</f>
        <v>0</v>
      </c>
      <c r="G29" s="67" t="str">
        <f t="shared" si="13"/>
        <v>0*-2.4</v>
      </c>
      <c r="H29" s="68" t="str">
        <f t="shared" si="14"/>
        <v>0*-2.4</v>
      </c>
      <c r="I29" s="50">
        <f>IF('쪽쟘(실측)'!F29&gt;0,'쪽쟘(실측)'!F29-1.5,0)+뒷날개치수더함</f>
        <v>0</v>
      </c>
      <c r="J29" s="50">
        <f>IF('쪽쟘(실측)'!H29&gt;0,'쪽쟘(실측)'!H29-1.5,0)+뒷날개치수더함</f>
        <v>0</v>
      </c>
      <c r="K29" s="50">
        <f>IF('쪽쟘(실측)'!F29&gt;0,'쪽쟘(실측)'!F29+0,0)+뒷날개치수더함</f>
        <v>0</v>
      </c>
      <c r="L29" s="50">
        <f>IF('쪽쟘(실측)'!G29&gt;0,'쪽쟘(실측)'!G29+0,0)+뒷날개치수더함</f>
        <v>0</v>
      </c>
      <c r="M29" s="50">
        <f>IF('쪽쟘(실측)'!H29&gt;0,'쪽쟘(실측)'!H29+0,0)+뒷날개치수더함</f>
        <v>0</v>
      </c>
      <c r="N29" s="50">
        <f>IF('쪽쟘(실측)'!I29&gt;0,'쪽쟘(실측)'!I29+0,0)+뒷날개치수더함</f>
        <v>0</v>
      </c>
      <c r="O29" s="50">
        <f>'쪽쟘(실측)'!J29-쪽쟘기둥차감</f>
        <v>0</v>
      </c>
      <c r="P29" s="50">
        <f>'쪽쟘(실측)'!K29-쪽쟘기둥차감</f>
        <v>0</v>
      </c>
      <c r="Q29" s="50">
        <f>'쪽쟘(실측)'!L29-쪽쟘기둥차감</f>
        <v>0</v>
      </c>
      <c r="R29" s="50">
        <f>'쪽쟘(실측)'!M29-쪽쟘기둥차감</f>
        <v>0</v>
      </c>
      <c r="S29" s="50">
        <f>'쪽쟘(실측)'!N29+뒷날개치수더함</f>
        <v>0</v>
      </c>
      <c r="T29" s="50">
        <f>'쪽쟘(실측)'!O29+뒷날개치수더함</f>
        <v>0</v>
      </c>
      <c r="U29" s="50">
        <f>'쪽쟘(실측)'!P29+뒷날개치수더함</f>
        <v>0</v>
      </c>
      <c r="V29" s="50">
        <f>'쪽쟘(실측)'!Q29+뒷날개치수더함</f>
        <v>0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0</v>
      </c>
      <c r="Z29" s="4">
        <f>'쪽쟘(실측)'!U29</f>
        <v>0</v>
      </c>
      <c r="AA29" s="4">
        <f>'쪽쟘(실측)'!V29</f>
        <v>0</v>
      </c>
      <c r="AC29">
        <f t="shared" si="15"/>
        <v>0</v>
      </c>
      <c r="AD29">
        <f t="shared" si="16"/>
        <v>-3.5999999999999996</v>
      </c>
      <c r="AE29">
        <f t="shared" si="17"/>
        <v>-2.3999999999999995</v>
      </c>
      <c r="AF29">
        <f t="shared" si="18"/>
        <v>0</v>
      </c>
      <c r="AG29">
        <f t="shared" si="19"/>
        <v>-2.3999999999999995</v>
      </c>
      <c r="AH29">
        <f t="shared" si="20"/>
        <v>0</v>
      </c>
    </row>
    <row r="30" spans="1:34" ht="19.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12"/>
        <v>0*-3.6</v>
      </c>
      <c r="D30" s="50">
        <f>'쪽쟘(실측)'!C30-쪽쟘OP차감</f>
        <v>0</v>
      </c>
      <c r="E30" s="50">
        <f>'쪽쟘(실측)'!D30+쪽쟘J늘림+MAX(W30:X30)</f>
        <v>0</v>
      </c>
      <c r="F30" s="50">
        <f>'쪽쟘(실측)'!E30+쪽쟘J늘림+MAX(W30:X30)</f>
        <v>0</v>
      </c>
      <c r="G30" s="67" t="str">
        <f t="shared" si="13"/>
        <v>0*-2.4</v>
      </c>
      <c r="H30" s="68" t="str">
        <f t="shared" si="14"/>
        <v>0*-2.4</v>
      </c>
      <c r="I30" s="50">
        <f>IF('쪽쟘(실측)'!F30&gt;0,'쪽쟘(실측)'!F30-1.5,0)+뒷날개치수더함</f>
        <v>0</v>
      </c>
      <c r="J30" s="50">
        <f>IF('쪽쟘(실측)'!H30&gt;0,'쪽쟘(실측)'!H30-1.5,0)+뒷날개치수더함</f>
        <v>0</v>
      </c>
      <c r="K30" s="50">
        <f>IF('쪽쟘(실측)'!F30&gt;0,'쪽쟘(실측)'!F30+0,0)+뒷날개치수더함</f>
        <v>0</v>
      </c>
      <c r="L30" s="50">
        <f>IF('쪽쟘(실측)'!G30&gt;0,'쪽쟘(실측)'!G30+0,0)+뒷날개치수더함</f>
        <v>0</v>
      </c>
      <c r="M30" s="50">
        <f>IF('쪽쟘(실측)'!H30&gt;0,'쪽쟘(실측)'!H30+0,0)+뒷날개치수더함</f>
        <v>0</v>
      </c>
      <c r="N30" s="50">
        <f>IF('쪽쟘(실측)'!I30&gt;0,'쪽쟘(실측)'!I30+0,0)+뒷날개치수더함</f>
        <v>0</v>
      </c>
      <c r="O30" s="50">
        <f>'쪽쟘(실측)'!J30-쪽쟘기둥차감</f>
        <v>0</v>
      </c>
      <c r="P30" s="50">
        <f>'쪽쟘(실측)'!K30-쪽쟘기둥차감</f>
        <v>0</v>
      </c>
      <c r="Q30" s="50">
        <f>'쪽쟘(실측)'!L30-쪽쟘기둥차감</f>
        <v>0</v>
      </c>
      <c r="R30" s="50">
        <f>'쪽쟘(실측)'!M30-쪽쟘기둥차감</f>
        <v>0</v>
      </c>
      <c r="S30" s="50">
        <f>'쪽쟘(실측)'!N30+뒷날개치수더함</f>
        <v>0</v>
      </c>
      <c r="T30" s="50">
        <f>'쪽쟘(실측)'!O30+뒷날개치수더함</f>
        <v>0</v>
      </c>
      <c r="U30" s="50">
        <f>'쪽쟘(실측)'!P30+뒷날개치수더함</f>
        <v>0</v>
      </c>
      <c r="V30" s="50">
        <f>'쪽쟘(실측)'!Q30+뒷날개치수더함</f>
        <v>0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0</v>
      </c>
      <c r="Z30" s="4">
        <f>'쪽쟘(실측)'!U30</f>
        <v>0</v>
      </c>
      <c r="AA30" s="4">
        <f>'쪽쟘(실측)'!V30</f>
        <v>0</v>
      </c>
      <c r="AC30">
        <f t="shared" si="15"/>
        <v>0</v>
      </c>
      <c r="AD30">
        <f t="shared" si="16"/>
        <v>-3.5999999999999996</v>
      </c>
      <c r="AE30">
        <f t="shared" si="17"/>
        <v>-2.3999999999999995</v>
      </c>
      <c r="AF30">
        <f t="shared" si="18"/>
        <v>0</v>
      </c>
      <c r="AG30">
        <f t="shared" si="19"/>
        <v>-2.3999999999999995</v>
      </c>
      <c r="AH30">
        <f t="shared" si="20"/>
        <v>0</v>
      </c>
    </row>
    <row r="31" spans="1:34" ht="19.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12"/>
        <v>0*-3.6</v>
      </c>
      <c r="D31" s="50">
        <f>'쪽쟘(실측)'!C31-쪽쟘OP차감</f>
        <v>0</v>
      </c>
      <c r="E31" s="50">
        <f>'쪽쟘(실측)'!D31+쪽쟘J늘림+MAX(W31:X31)</f>
        <v>0</v>
      </c>
      <c r="F31" s="50">
        <f>'쪽쟘(실측)'!E31+쪽쟘J늘림+MAX(W31:X31)</f>
        <v>0</v>
      </c>
      <c r="G31" s="67" t="str">
        <f t="shared" si="13"/>
        <v>0*-2.4</v>
      </c>
      <c r="H31" s="68" t="str">
        <f t="shared" si="14"/>
        <v>0*-2.4</v>
      </c>
      <c r="I31" s="50">
        <f>IF('쪽쟘(실측)'!F31&gt;0,'쪽쟘(실측)'!F31-1.5,0)+뒷날개치수더함</f>
        <v>0</v>
      </c>
      <c r="J31" s="50">
        <f>IF('쪽쟘(실측)'!H31&gt;0,'쪽쟘(실측)'!H31-1.5,0)+뒷날개치수더함</f>
        <v>0</v>
      </c>
      <c r="K31" s="50">
        <f>IF('쪽쟘(실측)'!F31&gt;0,'쪽쟘(실측)'!F31+0,0)+뒷날개치수더함</f>
        <v>0</v>
      </c>
      <c r="L31" s="50">
        <f>IF('쪽쟘(실측)'!G31&gt;0,'쪽쟘(실측)'!G31+0,0)+뒷날개치수더함</f>
        <v>0</v>
      </c>
      <c r="M31" s="50">
        <f>IF('쪽쟘(실측)'!H31&gt;0,'쪽쟘(실측)'!H31+0,0)+뒷날개치수더함</f>
        <v>0</v>
      </c>
      <c r="N31" s="50">
        <f>IF('쪽쟘(실측)'!I31&gt;0,'쪽쟘(실측)'!I31+0,0)+뒷날개치수더함</f>
        <v>0</v>
      </c>
      <c r="O31" s="50">
        <f>'쪽쟘(실측)'!J31-쪽쟘기둥차감</f>
        <v>0</v>
      </c>
      <c r="P31" s="50">
        <f>'쪽쟘(실측)'!K31-쪽쟘기둥차감</f>
        <v>0</v>
      </c>
      <c r="Q31" s="50">
        <f>'쪽쟘(실측)'!L31-쪽쟘기둥차감</f>
        <v>0</v>
      </c>
      <c r="R31" s="50">
        <f>'쪽쟘(실측)'!M31-쪽쟘기둥차감</f>
        <v>0</v>
      </c>
      <c r="S31" s="50">
        <f>'쪽쟘(실측)'!N31+뒷날개치수더함</f>
        <v>0</v>
      </c>
      <c r="T31" s="50">
        <f>'쪽쟘(실측)'!O31+뒷날개치수더함</f>
        <v>0</v>
      </c>
      <c r="U31" s="50">
        <f>'쪽쟘(실측)'!P31+뒷날개치수더함</f>
        <v>0</v>
      </c>
      <c r="V31" s="50">
        <f>'쪽쟘(실측)'!Q31+뒷날개치수더함</f>
        <v>0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0</v>
      </c>
      <c r="Z31" s="4">
        <f>'쪽쟘(실측)'!U31</f>
        <v>0</v>
      </c>
      <c r="AA31" s="4">
        <f>'쪽쟘(실측)'!V31</f>
        <v>0</v>
      </c>
      <c r="AC31">
        <f t="shared" si="15"/>
        <v>0</v>
      </c>
      <c r="AD31">
        <f t="shared" si="16"/>
        <v>-3.5999999999999996</v>
      </c>
      <c r="AE31">
        <f t="shared" si="17"/>
        <v>-2.3999999999999995</v>
      </c>
      <c r="AF31">
        <f t="shared" si="18"/>
        <v>0</v>
      </c>
      <c r="AG31">
        <f t="shared" si="19"/>
        <v>-2.3999999999999995</v>
      </c>
      <c r="AH31">
        <f t="shared" si="20"/>
        <v>0</v>
      </c>
    </row>
    <row r="32" spans="1:34" ht="19.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12"/>
        <v>0*-3.6</v>
      </c>
      <c r="D32" s="50">
        <f>'쪽쟘(실측)'!C32-쪽쟘OP차감</f>
        <v>0</v>
      </c>
      <c r="E32" s="50">
        <f>'쪽쟘(실측)'!D32+쪽쟘J늘림+MAX(W32:X32)</f>
        <v>0</v>
      </c>
      <c r="F32" s="50">
        <f>'쪽쟘(실측)'!E32+쪽쟘J늘림+MAX(W32:X32)</f>
        <v>0</v>
      </c>
      <c r="G32" s="67" t="str">
        <f t="shared" si="13"/>
        <v>0*-2.4</v>
      </c>
      <c r="H32" s="68" t="str">
        <f t="shared" si="14"/>
        <v>0*-2.4</v>
      </c>
      <c r="I32" s="50">
        <f>IF('쪽쟘(실측)'!F32&gt;0,'쪽쟘(실측)'!F32-1.5,0)+뒷날개치수더함</f>
        <v>0</v>
      </c>
      <c r="J32" s="50">
        <f>IF('쪽쟘(실측)'!H32&gt;0,'쪽쟘(실측)'!H32-1.5,0)+뒷날개치수더함</f>
        <v>0</v>
      </c>
      <c r="K32" s="50">
        <f>IF('쪽쟘(실측)'!F32&gt;0,'쪽쟘(실측)'!F32+0,0)+뒷날개치수더함</f>
        <v>0</v>
      </c>
      <c r="L32" s="50">
        <f>IF('쪽쟘(실측)'!G32&gt;0,'쪽쟘(실측)'!G32+0,0)+뒷날개치수더함</f>
        <v>0</v>
      </c>
      <c r="M32" s="50">
        <f>IF('쪽쟘(실측)'!H32&gt;0,'쪽쟘(실측)'!H32+0,0)+뒷날개치수더함</f>
        <v>0</v>
      </c>
      <c r="N32" s="50">
        <f>IF('쪽쟘(실측)'!I32&gt;0,'쪽쟘(실측)'!I32+0,0)+뒷날개치수더함</f>
        <v>0</v>
      </c>
      <c r="O32" s="50">
        <f>'쪽쟘(실측)'!J32-쪽쟘기둥차감</f>
        <v>0</v>
      </c>
      <c r="P32" s="50">
        <f>'쪽쟘(실측)'!K32-쪽쟘기둥차감</f>
        <v>0</v>
      </c>
      <c r="Q32" s="50">
        <f>'쪽쟘(실측)'!L32-쪽쟘기둥차감</f>
        <v>0</v>
      </c>
      <c r="R32" s="50">
        <f>'쪽쟘(실측)'!M32-쪽쟘기둥차감</f>
        <v>0</v>
      </c>
      <c r="S32" s="50">
        <f>'쪽쟘(실측)'!N32+뒷날개치수더함</f>
        <v>0</v>
      </c>
      <c r="T32" s="50">
        <f>'쪽쟘(실측)'!O32+뒷날개치수더함</f>
        <v>0</v>
      </c>
      <c r="U32" s="50">
        <f>'쪽쟘(실측)'!P32+뒷날개치수더함</f>
        <v>0</v>
      </c>
      <c r="V32" s="50">
        <f>'쪽쟘(실측)'!Q32+뒷날개치수더함</f>
        <v>0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0</v>
      </c>
      <c r="Z32" s="4">
        <f>'쪽쟘(실측)'!U32</f>
        <v>0</v>
      </c>
      <c r="AA32" s="4">
        <f>'쪽쟘(실측)'!V32</f>
        <v>0</v>
      </c>
      <c r="AC32">
        <f t="shared" si="15"/>
        <v>0</v>
      </c>
      <c r="AD32">
        <f t="shared" si="16"/>
        <v>-3.5999999999999996</v>
      </c>
      <c r="AE32">
        <f t="shared" si="17"/>
        <v>-2.3999999999999995</v>
      </c>
      <c r="AF32">
        <f t="shared" si="18"/>
        <v>0</v>
      </c>
      <c r="AG32">
        <f t="shared" si="19"/>
        <v>-2.3999999999999995</v>
      </c>
      <c r="AH32">
        <f t="shared" si="20"/>
        <v>0</v>
      </c>
    </row>
    <row r="33" spans="1:34" ht="19.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12"/>
        <v>0*-3.6</v>
      </c>
      <c r="D33" s="50">
        <f>'쪽쟘(실측)'!C33-쪽쟘OP차감</f>
        <v>0</v>
      </c>
      <c r="E33" s="50">
        <f>'쪽쟘(실측)'!D33+쪽쟘J늘림+MAX(W33:X33)</f>
        <v>0</v>
      </c>
      <c r="F33" s="50">
        <f>'쪽쟘(실측)'!E33+쪽쟘J늘림+MAX(W33:X33)</f>
        <v>0</v>
      </c>
      <c r="G33" s="67" t="str">
        <f t="shared" si="13"/>
        <v>0*-2.4</v>
      </c>
      <c r="H33" s="68" t="str">
        <f t="shared" si="14"/>
        <v>0*-2.4</v>
      </c>
      <c r="I33" s="50">
        <f>IF('쪽쟘(실측)'!F33&gt;0,'쪽쟘(실측)'!F33-1.5,0)+뒷날개치수더함</f>
        <v>0</v>
      </c>
      <c r="J33" s="50">
        <f>IF('쪽쟘(실측)'!H33&gt;0,'쪽쟘(실측)'!H33-1.5,0)+뒷날개치수더함</f>
        <v>0</v>
      </c>
      <c r="K33" s="50">
        <f>IF('쪽쟘(실측)'!F33&gt;0,'쪽쟘(실측)'!F33+0,0)+뒷날개치수더함</f>
        <v>0</v>
      </c>
      <c r="L33" s="50">
        <f>IF('쪽쟘(실측)'!G33&gt;0,'쪽쟘(실측)'!G33+0,0)+뒷날개치수더함</f>
        <v>0</v>
      </c>
      <c r="M33" s="50">
        <f>IF('쪽쟘(실측)'!H33&gt;0,'쪽쟘(실측)'!H33+0,0)+뒷날개치수더함</f>
        <v>0</v>
      </c>
      <c r="N33" s="50">
        <f>IF('쪽쟘(실측)'!I33&gt;0,'쪽쟘(실측)'!I33+0,0)+뒷날개치수더함</f>
        <v>0</v>
      </c>
      <c r="O33" s="50">
        <f>'쪽쟘(실측)'!J33-쪽쟘기둥차감</f>
        <v>0</v>
      </c>
      <c r="P33" s="50">
        <f>'쪽쟘(실측)'!K33-쪽쟘기둥차감</f>
        <v>0</v>
      </c>
      <c r="Q33" s="50">
        <f>'쪽쟘(실측)'!L33-쪽쟘기둥차감</f>
        <v>0</v>
      </c>
      <c r="R33" s="50">
        <f>'쪽쟘(실측)'!M33-쪽쟘기둥차감</f>
        <v>0</v>
      </c>
      <c r="S33" s="50">
        <f>'쪽쟘(실측)'!N33+뒷날개치수더함</f>
        <v>0</v>
      </c>
      <c r="T33" s="50">
        <f>'쪽쟘(실측)'!O33+뒷날개치수더함</f>
        <v>0</v>
      </c>
      <c r="U33" s="50">
        <f>'쪽쟘(실측)'!P33+뒷날개치수더함</f>
        <v>0</v>
      </c>
      <c r="V33" s="50">
        <f>'쪽쟘(실측)'!Q33+뒷날개치수더함</f>
        <v>0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0</v>
      </c>
      <c r="Z33" s="4">
        <f>'쪽쟘(실측)'!U33</f>
        <v>0</v>
      </c>
      <c r="AA33" s="4">
        <f>'쪽쟘(실측)'!V33</f>
        <v>0</v>
      </c>
      <c r="AC33">
        <f t="shared" si="15"/>
        <v>0</v>
      </c>
      <c r="AD33">
        <f t="shared" si="16"/>
        <v>-3.5999999999999996</v>
      </c>
      <c r="AE33">
        <f t="shared" si="17"/>
        <v>-2.3999999999999995</v>
      </c>
      <c r="AF33">
        <f t="shared" si="18"/>
        <v>0</v>
      </c>
      <c r="AG33">
        <f t="shared" si="19"/>
        <v>-2.3999999999999995</v>
      </c>
      <c r="AH33">
        <f t="shared" si="20"/>
        <v>0</v>
      </c>
    </row>
    <row r="34" spans="1:34" ht="19.5" customHeight="1" x14ac:dyDescent="0.3">
      <c r="A34" s="50">
        <f>'쪽쟘(실측)'!A34</f>
        <v>0</v>
      </c>
      <c r="B34" s="50" t="str">
        <f>'쪽쟘(실측)'!B34&amp;"F"</f>
        <v>F</v>
      </c>
      <c r="C34" s="50" t="str">
        <f t="shared" si="12"/>
        <v>0*-3.6</v>
      </c>
      <c r="D34" s="50">
        <f>'쪽쟘(실측)'!C34-쪽쟘OP차감</f>
        <v>0</v>
      </c>
      <c r="E34" s="50">
        <f>'쪽쟘(실측)'!D34+쪽쟘J늘림+MAX(W34:X34)</f>
        <v>0</v>
      </c>
      <c r="F34" s="50">
        <f>'쪽쟘(실측)'!E34+쪽쟘J늘림+MAX(W34:X34)</f>
        <v>0</v>
      </c>
      <c r="G34" s="67" t="str">
        <f t="shared" si="13"/>
        <v>0*-2.4</v>
      </c>
      <c r="H34" s="68" t="str">
        <f t="shared" si="14"/>
        <v>0*-2.4</v>
      </c>
      <c r="I34" s="50">
        <f>IF('쪽쟘(실측)'!F34&gt;0,'쪽쟘(실측)'!F34-1.5,0)+뒷날개치수더함</f>
        <v>0</v>
      </c>
      <c r="J34" s="50">
        <f>IF('쪽쟘(실측)'!H34&gt;0,'쪽쟘(실측)'!H34-1.5,0)+뒷날개치수더함</f>
        <v>0</v>
      </c>
      <c r="K34" s="50">
        <f>IF('쪽쟘(실측)'!F34&gt;0,'쪽쟘(실측)'!F34+0,0)+뒷날개치수더함</f>
        <v>0</v>
      </c>
      <c r="L34" s="50">
        <f>IF('쪽쟘(실측)'!G34&gt;0,'쪽쟘(실측)'!G34+0,0)+뒷날개치수더함</f>
        <v>0</v>
      </c>
      <c r="M34" s="50">
        <f>IF('쪽쟘(실측)'!H34&gt;0,'쪽쟘(실측)'!H34+0,0)+뒷날개치수더함</f>
        <v>0</v>
      </c>
      <c r="N34" s="50">
        <f>IF('쪽쟘(실측)'!I34&gt;0,'쪽쟘(실측)'!I34+0,0)+뒷날개치수더함</f>
        <v>0</v>
      </c>
      <c r="O34" s="50">
        <f>'쪽쟘(실측)'!J34-쪽쟘기둥차감</f>
        <v>0</v>
      </c>
      <c r="P34" s="50">
        <f>'쪽쟘(실측)'!K34-쪽쟘기둥차감</f>
        <v>0</v>
      </c>
      <c r="Q34" s="50">
        <f>'쪽쟘(실측)'!L34-쪽쟘기둥차감</f>
        <v>0</v>
      </c>
      <c r="R34" s="50">
        <f>'쪽쟘(실측)'!M34-쪽쟘기둥차감</f>
        <v>0</v>
      </c>
      <c r="S34" s="50">
        <f>'쪽쟘(실측)'!N34+뒷날개치수더함</f>
        <v>0</v>
      </c>
      <c r="T34" s="50">
        <f>'쪽쟘(실측)'!O34+뒷날개치수더함</f>
        <v>0</v>
      </c>
      <c r="U34" s="50">
        <f>'쪽쟘(실측)'!P34+뒷날개치수더함</f>
        <v>0</v>
      </c>
      <c r="V34" s="50">
        <f>'쪽쟘(실측)'!Q34+뒷날개치수더함</f>
        <v>0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0</v>
      </c>
      <c r="Z34" s="4">
        <f>'쪽쟘(실측)'!U34</f>
        <v>0</v>
      </c>
      <c r="AA34" s="4">
        <f>'쪽쟘(실측)'!V34</f>
        <v>0</v>
      </c>
      <c r="AC34">
        <f t="shared" si="15"/>
        <v>0</v>
      </c>
      <c r="AD34">
        <f t="shared" si="16"/>
        <v>-3.5999999999999996</v>
      </c>
      <c r="AE34">
        <f t="shared" si="17"/>
        <v>-2.3999999999999995</v>
      </c>
      <c r="AF34">
        <f t="shared" si="18"/>
        <v>0</v>
      </c>
      <c r="AG34">
        <f t="shared" si="19"/>
        <v>-2.3999999999999995</v>
      </c>
      <c r="AH34">
        <f t="shared" si="20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34 M7:M34 S7:S34">
    <cfRule type="cellIs" dxfId="58" priority="4" operator="notEqual">
      <formula>L7</formula>
    </cfRule>
  </conditionalFormatting>
  <conditionalFormatting sqref="L7:L34 N7:N34 T7:T34">
    <cfRule type="cellIs" dxfId="57" priority="3" operator="notEqual">
      <formula>K7</formula>
    </cfRule>
  </conditionalFormatting>
  <conditionalFormatting sqref="Y7:AA34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충북대 박물관 (제작치수 샤링작지) 김운호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0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topLeftCell="E1" zoomScale="85" zoomScaleNormal="85" workbookViewId="0">
      <selection activeCell="H7" sqref="H7:K7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충북대 박물관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+(3 ),  늘어난치수K -(3),  C + (0),   U + (0), OP - (2),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>
        <v>1</v>
      </c>
      <c r="C7" s="4">
        <v>273</v>
      </c>
      <c r="D7" s="4">
        <v>273</v>
      </c>
      <c r="E7" s="4">
        <v>655</v>
      </c>
      <c r="F7" s="4">
        <v>649</v>
      </c>
      <c r="G7" s="4">
        <v>1418</v>
      </c>
      <c r="H7" s="4">
        <v>333</v>
      </c>
      <c r="I7" s="4">
        <v>333</v>
      </c>
      <c r="J7" s="4">
        <v>349</v>
      </c>
      <c r="K7" s="4">
        <v>349</v>
      </c>
      <c r="L7" s="4">
        <v>30</v>
      </c>
      <c r="M7" s="4">
        <v>27</v>
      </c>
      <c r="N7" s="4">
        <v>10</v>
      </c>
      <c r="O7" s="4">
        <v>10</v>
      </c>
      <c r="P7" s="4">
        <v>0</v>
      </c>
      <c r="Q7" s="4">
        <v>0</v>
      </c>
      <c r="R7" s="4">
        <v>2085</v>
      </c>
      <c r="S7" s="4">
        <v>2085</v>
      </c>
      <c r="T7" s="4">
        <v>2089</v>
      </c>
      <c r="U7" s="4">
        <v>2089</v>
      </c>
      <c r="V7" s="4">
        <v>25</v>
      </c>
      <c r="W7" s="4">
        <v>1</v>
      </c>
      <c r="X7" s="4">
        <v>25</v>
      </c>
      <c r="Y7" s="4">
        <v>25</v>
      </c>
      <c r="Z7" s="4">
        <v>25</v>
      </c>
      <c r="AA7" s="4">
        <v>13</v>
      </c>
      <c r="AB7" s="4">
        <v>17</v>
      </c>
      <c r="AC7" s="4">
        <v>52</v>
      </c>
      <c r="AD7" s="4">
        <v>52</v>
      </c>
      <c r="AE7" s="4"/>
      <c r="AF7" s="4"/>
      <c r="AG7" s="4"/>
      <c r="AH7" s="4"/>
      <c r="AI7" s="4"/>
      <c r="AJ7" s="4"/>
      <c r="AK7" s="4"/>
      <c r="AL7" s="4"/>
      <c r="AM7" s="53">
        <v>7</v>
      </c>
      <c r="AN7" s="3">
        <f>AA7+$AM7</f>
        <v>20</v>
      </c>
      <c r="AO7" s="3">
        <f>AB7+$AM7</f>
        <v>24</v>
      </c>
      <c r="AP7" s="3">
        <f>AC7+$AM7</f>
        <v>59</v>
      </c>
      <c r="AQ7" s="3">
        <f>AD7+$AM7</f>
        <v>59</v>
      </c>
      <c r="AR7" s="3">
        <f>H7-$AM7</f>
        <v>326</v>
      </c>
      <c r="AS7" s="3">
        <f>I7-$AM7</f>
        <v>326</v>
      </c>
      <c r="AT7" s="3">
        <f>J7-$AM7</f>
        <v>342</v>
      </c>
      <c r="AU7" s="3">
        <f>K7-$AM7</f>
        <v>342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L15" sqref="L15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충북대 박물관 ) _김운호소장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3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3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0</v>
      </c>
      <c r="Z3" s="199"/>
      <c r="AA3" s="315" t="s">
        <v>78</v>
      </c>
      <c r="AB3" s="315"/>
      <c r="AC3" s="325">
        <v>1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>
        <f>AY7</f>
        <v>9.9593333710240461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+(3 ),  늘어난치수K -(3),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13</v>
      </c>
      <c r="AJ4" s="275"/>
      <c r="AK4" s="222">
        <f ca="1">TODAY()</f>
        <v>45317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1F</v>
      </c>
      <c r="C7" s="31">
        <f>'SO와이드(실측)'!C7+SO와이드MH더함-IF(AND(소장="추영덕",AB7=0),1.2)</f>
        <v>275</v>
      </c>
      <c r="D7" s="31">
        <f>'SO와이드(실측)'!D7+SO와이드MH더함-IF(AND(소장="추영덕",AB7=0),1.2)</f>
        <v>275</v>
      </c>
      <c r="E7" s="31">
        <f>'SO와이드(실측)'!E7-SO와이드OP</f>
        <v>653</v>
      </c>
      <c r="F7" s="31">
        <f>'SO와이드(실측)'!F7-SO와이드OP</f>
        <v>647</v>
      </c>
      <c r="G7" s="31">
        <f>'SO와이드(실측)'!G7-SO와이드R</f>
        <v>1418</v>
      </c>
      <c r="H7" s="50">
        <f>'SO와이드(실측)'!H7+SO와이드JBJD키움치수+IF(BN7=1,AG7,0)</f>
        <v>336</v>
      </c>
      <c r="I7" s="50">
        <f>'SO와이드(실측)'!I7+SO와이드JBJD키움치수+IF(BN7=1,AI7,0)</f>
        <v>336</v>
      </c>
      <c r="J7" s="50">
        <f>'SO와이드(실측)'!J7+MAX(AW7,AX7)+SO와이드JBJD키움치수+IF(BN7=1,AG7,0)</f>
        <v>360</v>
      </c>
      <c r="K7" s="50">
        <f>'SO와이드(실측)'!J7+MAX(AW7,AX7)+SO와이드JBJD키움치수+IF(BN7=1,AH7,0)-IF(SO와이드JB하부늘치=1,'SO와이드(실측)'!AA7-'SO와이드(실측)'!AB7,0)</f>
        <v>364</v>
      </c>
      <c r="L7" s="50">
        <f>'SO와이드(실측)'!K7+MAX(AW7,AX7)+SO와이드JBJD키움치수+IF(BN7=1,AI7,0)</f>
        <v>360</v>
      </c>
      <c r="M7" s="50">
        <f>'SO와이드(실측)'!K7+MAX(AW7,AX7)+SO와이드JBJD키움치수+IF(BN7=1,AJ7,0)-IF(SO와이드JB하부늘치=1,'SO와이드(실측)'!AC7-'SO와이드(실측)'!AD7,0)</f>
        <v>360</v>
      </c>
      <c r="N7" s="91">
        <f>IF(BN7=0,H7+AG7-(I7+AI7),H7-I7)</f>
        <v>-39</v>
      </c>
      <c r="O7" s="88">
        <f>IF(BN7=0,J7+AG7-(L7+AI7),J7-L7)</f>
        <v>-39</v>
      </c>
      <c r="P7" s="31">
        <f t="shared" ref="P7:Q7" si="0">IF(소장="손상민",0,R7-1.5)</f>
        <v>28.5</v>
      </c>
      <c r="Q7" s="31">
        <f t="shared" si="0"/>
        <v>25.5</v>
      </c>
      <c r="R7" s="31">
        <f>IF(V7&lt;9,'SO와이드(실측)'!L7+1.2,IF(ISNUMBER('SO와이드(실측)'!L7),'SO와이드(실측)'!L7+SO와이드C값,0))</f>
        <v>30</v>
      </c>
      <c r="S7" s="31">
        <f>IF(W7&lt;9,'SO와이드(실측)'!M7+1.2,IF(ISNUMBER('SO와이드(실측)'!M7),'SO와이드(실측)'!M7+SO와이드C값,0))</f>
        <v>27</v>
      </c>
      <c r="T7" s="136">
        <f>ROUNDUP(BA7,1)</f>
        <v>18.5</v>
      </c>
      <c r="U7" s="137">
        <f>ROUNDUP(BB7,1)</f>
        <v>18.5</v>
      </c>
      <c r="V7" s="31">
        <f>IF(ISNUMBER('SO와이드(실측)'!P7),'SO와이드(실측)'!P7+SO와이드제작!AW7+SO와이드A늘림,0)</f>
        <v>9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2085</v>
      </c>
      <c r="Y7" s="31">
        <f>'SO와이드(실측)'!S7-SO와이드기둥차감</f>
        <v>2085</v>
      </c>
      <c r="Z7" s="31">
        <f>'SO와이드(실측)'!T7-SO와이드기둥차감</f>
        <v>2089</v>
      </c>
      <c r="AA7" s="31">
        <f>'SO와이드(실측)'!U7-SO와이드기둥차감</f>
        <v>2089</v>
      </c>
      <c r="AB7" s="31">
        <f>IF(소장&lt;&gt;"손상민",IF(ISNUMBER('SO와이드(실측)'!V7),'SO와이드(실측)'!V7+SO와이드U,0),IF(ISNUMBER('SO와이드(실측)'!V7),'SO와이드(실측)'!V7+1.2,0))</f>
        <v>25</v>
      </c>
      <c r="AC7" s="31">
        <f>IF(소장="손상민",MAX(T7,U7)+3.2,IF(ISNUMBER('SO와이드(실측)'!W7),'SO와이드(실측)'!W7+1.5+SO와이드제작!T7+1,0))</f>
        <v>22</v>
      </c>
      <c r="AD7" s="31">
        <f>'SO와이드(실측)'!X7+뒷날개치수더함</f>
        <v>25</v>
      </c>
      <c r="AE7" s="31">
        <f>'SO와이드(실측)'!Y7+뒷날개치수더함</f>
        <v>25</v>
      </c>
      <c r="AF7" s="31">
        <f>'SO와이드(실측)'!Z7+뒷날개치수더함</f>
        <v>25</v>
      </c>
      <c r="AG7" s="31">
        <f>'SO와이드(실측)'!AA7-SO와이드늘치</f>
        <v>10</v>
      </c>
      <c r="AH7" s="31">
        <f>IF(SO와이드JB하부늘치=1,AG7,'SO와이드(실측)'!AB7-SO와이드늘치)</f>
        <v>10</v>
      </c>
      <c r="AI7" s="31">
        <f>'SO와이드(실측)'!AC7-SO와이드늘치</f>
        <v>49</v>
      </c>
      <c r="AJ7" s="31">
        <f>IF(SO와이드JB하부늘치=1,AI7,'SO와이드(실측)'!AD7-SO와이드늘치)</f>
        <v>49</v>
      </c>
      <c r="AK7" s="31">
        <f xml:space="preserve"> IF(소장&lt;&gt;"손상민",IF('SO와이드(실측)'!AE7&gt;0,'SO와이드(실측)'!AE7,C7-1.2),IF('SO와이드(실측)'!AE7&gt;0,'SO와이드(실측)'!AE7+1.2,C7))</f>
        <v>273.8</v>
      </c>
      <c r="AL7" s="31">
        <f xml:space="preserve"> IF(소장&lt;&gt;"손상민",IF('SO와이드(실측)'!AF7&gt;0,'SO와이드(실측)'!AF7,D7-1.2),IF('SO와이드(실측)'!AF7&gt;0,'SO와이드(실측)'!AF7+1.2,D7) )</f>
        <v>273.8</v>
      </c>
      <c r="AM7" s="51">
        <f>IF(AC7&gt;0,AC7-MAX(T7,U7),0)</f>
        <v>3.5</v>
      </c>
      <c r="AN7" s="31" t="str">
        <f t="shared" ref="AN7" si="1">BF7&amp;"*"&amp;BG7</f>
        <v>1472*726</v>
      </c>
      <c r="AO7" s="31" t="str">
        <f t="shared" ref="AO7" si="2">BI7&amp;"*"&amp;BH7</f>
        <v>2358.8*433.2</v>
      </c>
      <c r="AP7" s="31" t="str">
        <f t="shared" ref="AP7" si="3">BK7&amp;"*"&amp;BJ7</f>
        <v>2362.8*465.2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8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8</v>
      </c>
      <c r="AY7" s="20">
        <f>DEGREES(ATAN((G7-(E7+F7))/2/(H7)))</f>
        <v>9.9593333710240461</v>
      </c>
      <c r="AZ7" s="20">
        <f>DEGREES(ATAN((G7-(E7+F7))/2/(I7)))</f>
        <v>9.9593333710240461</v>
      </c>
      <c r="BA7" s="21">
        <f>INT(ABS(H7-COS(RADIANS(AY7))*J7)*10)/10</f>
        <v>18.5</v>
      </c>
      <c r="BB7" s="21">
        <f>INT(ABS(I7-COS(RADIANS(AZ7))*L7)*10)/10</f>
        <v>18.5</v>
      </c>
      <c r="BC7" s="21">
        <f>'SO와이드(실측)'!N7+AW7</f>
        <v>18</v>
      </c>
      <c r="BD7" s="21">
        <f>'SO와이드(실측)'!O7+AW7</f>
        <v>18</v>
      </c>
      <c r="BE7" s="20">
        <f>BA7-MAX(BC7,BD7)</f>
        <v>0.5</v>
      </c>
      <c r="BF7" s="41">
        <f>IF(소장&lt;&gt;"손상민",G7+IF(AB7+AC7&gt;0,P7+Q7,0),G7)</f>
        <v>1472</v>
      </c>
      <c r="BG7" s="42">
        <f>MAX(C7,D7)+MAX(H7,I7)+AD7-1.2*$AN$3+IF(BN7=0,MAX(AI7,AG7),0)+IF(AB7=0,1.2,0)+IF(AC7=0,1.2,0)+IF(소장&lt;&gt;"손상민", AB7+AC7,IF('SO와이드(실측)'!V7=0,0,2.4))</f>
        <v>726</v>
      </c>
      <c r="BH7" s="41">
        <f>V7+R7+MAX(J7,K7)+AE7-1.2*$AP$3+IF(BN7=0,MAX(AH7,AG7),0)+IF(V7=0,1.2,0)-IF(AV7=90,2.4,0)</f>
        <v>433.2</v>
      </c>
      <c r="BI7" s="41">
        <f>MAX(X7,Y7)+AK7</f>
        <v>2358.8000000000002</v>
      </c>
      <c r="BJ7" s="41">
        <f>W7+S7+MAX(L7,M7)+AF7-1.2*$AP$3+IF(BN7=0,MAX(AI7,AJ7),0)+IF(W7=0,1.2,0)-IF(AV7=90,2.4,0)</f>
        <v>465.2</v>
      </c>
      <c r="BK7" s="41">
        <f>MAX(Z7,AA7)+AL7</f>
        <v>2362.8000000000002</v>
      </c>
      <c r="BL7" s="6">
        <f t="shared" ref="BL7" si="4">J7-H7-T7</f>
        <v>5.5</v>
      </c>
      <c r="BM7" s="43" t="str">
        <f>IF(AND(C7&lt;&gt;D7,AB7&gt;0),"NG","")</f>
        <v/>
      </c>
      <c r="BN7" s="77">
        <f>IF(AND(MIN(AG7,AI7)&gt;=9.2,G7-E7-F7&gt;15),0,1)</f>
        <v>0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O14" sqref="O14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충북대 박물관,   (재질) : MR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+(3 ),  늘어난치수K -(3),  C + (0),  U +(0), OP1/OP2 -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>
        <v>3</v>
      </c>
      <c r="C7" s="4">
        <v>660</v>
      </c>
      <c r="D7" s="4">
        <v>642</v>
      </c>
      <c r="E7" s="4">
        <v>1403</v>
      </c>
      <c r="F7" s="4">
        <v>285</v>
      </c>
      <c r="G7" s="4">
        <v>285</v>
      </c>
      <c r="H7" s="4">
        <v>287</v>
      </c>
      <c r="I7" s="4">
        <v>287</v>
      </c>
      <c r="J7" s="4">
        <v>35</v>
      </c>
      <c r="K7" s="4">
        <v>35</v>
      </c>
      <c r="L7" s="4">
        <v>2</v>
      </c>
      <c r="M7" s="375">
        <v>1</v>
      </c>
      <c r="N7" s="375">
        <v>2089</v>
      </c>
      <c r="O7" s="4">
        <v>2089</v>
      </c>
      <c r="P7" s="4">
        <v>2089</v>
      </c>
      <c r="Q7" s="4">
        <v>2089</v>
      </c>
      <c r="R7" s="4">
        <v>35</v>
      </c>
      <c r="S7" s="4">
        <v>1</v>
      </c>
      <c r="T7" s="4">
        <v>25</v>
      </c>
      <c r="U7" s="4">
        <v>25</v>
      </c>
      <c r="V7" s="4">
        <v>25</v>
      </c>
      <c r="W7" s="4">
        <v>13</v>
      </c>
      <c r="X7" s="4">
        <v>18</v>
      </c>
      <c r="Y7" s="4">
        <v>53</v>
      </c>
      <c r="Z7" s="4">
        <v>53</v>
      </c>
      <c r="AA7" s="4"/>
      <c r="AB7" s="4"/>
      <c r="AC7" s="4"/>
      <c r="AD7" s="4"/>
      <c r="AE7" s="4"/>
      <c r="AF7" s="4"/>
      <c r="AG7" s="55">
        <v>8</v>
      </c>
      <c r="AH7" s="3">
        <f t="shared" ref="AH7:AK11" si="0">W7+$AG7</f>
        <v>21</v>
      </c>
      <c r="AI7" s="3">
        <f t="shared" si="0"/>
        <v>26</v>
      </c>
      <c r="AJ7" s="3">
        <f t="shared" si="0"/>
        <v>61</v>
      </c>
      <c r="AK7" s="3">
        <f t="shared" si="0"/>
        <v>61</v>
      </c>
      <c r="AL7" s="3">
        <f t="shared" ref="AL7:AO11" si="1">F7-$AG7</f>
        <v>277</v>
      </c>
      <c r="AM7" s="3">
        <f t="shared" si="1"/>
        <v>277</v>
      </c>
      <c r="AN7" s="3">
        <f t="shared" si="1"/>
        <v>279</v>
      </c>
      <c r="AO7" s="3">
        <f t="shared" si="1"/>
        <v>279</v>
      </c>
    </row>
    <row r="8" spans="1:41" ht="27" customHeight="1" x14ac:dyDescent="0.3">
      <c r="A8" s="4"/>
      <c r="B8" s="4">
        <v>2</v>
      </c>
      <c r="C8" s="4">
        <v>658</v>
      </c>
      <c r="D8" s="4">
        <v>642</v>
      </c>
      <c r="E8" s="4">
        <v>1408</v>
      </c>
      <c r="F8" s="4">
        <v>304</v>
      </c>
      <c r="G8" s="4">
        <v>304</v>
      </c>
      <c r="H8" s="4">
        <v>307</v>
      </c>
      <c r="I8" s="4">
        <v>307</v>
      </c>
      <c r="J8" s="4">
        <v>35</v>
      </c>
      <c r="K8" s="4">
        <v>35</v>
      </c>
      <c r="L8" s="4">
        <v>3</v>
      </c>
      <c r="M8" s="4">
        <v>5</v>
      </c>
      <c r="N8" s="4">
        <v>2090</v>
      </c>
      <c r="O8" s="4">
        <v>2090</v>
      </c>
      <c r="P8" s="4">
        <v>2090</v>
      </c>
      <c r="Q8" s="4">
        <v>2090</v>
      </c>
      <c r="R8" s="4">
        <v>35</v>
      </c>
      <c r="S8" s="4">
        <v>1</v>
      </c>
      <c r="T8" s="4">
        <v>25</v>
      </c>
      <c r="U8" s="4">
        <v>25</v>
      </c>
      <c r="V8" s="4">
        <v>25</v>
      </c>
      <c r="W8" s="4">
        <v>13</v>
      </c>
      <c r="X8" s="4">
        <v>18</v>
      </c>
      <c r="Y8" s="4">
        <v>58</v>
      </c>
      <c r="Z8" s="4">
        <v>58</v>
      </c>
      <c r="AA8" s="4"/>
      <c r="AB8" s="4"/>
      <c r="AC8" s="4"/>
      <c r="AD8" s="4"/>
      <c r="AE8" s="4"/>
      <c r="AF8" s="4"/>
      <c r="AG8" s="55">
        <v>8</v>
      </c>
      <c r="AH8" s="3">
        <f t="shared" si="0"/>
        <v>21</v>
      </c>
      <c r="AI8" s="3">
        <f t="shared" si="0"/>
        <v>26</v>
      </c>
      <c r="AJ8" s="3">
        <f t="shared" si="0"/>
        <v>66</v>
      </c>
      <c r="AK8" s="3">
        <f t="shared" si="0"/>
        <v>66</v>
      </c>
      <c r="AL8" s="3">
        <f t="shared" si="1"/>
        <v>296</v>
      </c>
      <c r="AM8" s="3">
        <f t="shared" si="1"/>
        <v>296</v>
      </c>
      <c r="AN8" s="3">
        <f t="shared" si="1"/>
        <v>299</v>
      </c>
      <c r="AO8" s="3">
        <f t="shared" si="1"/>
        <v>299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8"/>
  <sheetViews>
    <sheetView tabSelected="1" zoomScale="85" zoomScaleNormal="85" workbookViewId="0">
      <selection activeCell="J18" sqref="J1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2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3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충북대 박물관,   (재질) : MR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3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f>BE7</f>
        <v>0</v>
      </c>
      <c r="W3" s="330"/>
      <c r="X3" s="218" t="s">
        <v>78</v>
      </c>
      <c r="Y3" s="218"/>
      <c r="Z3" s="334">
        <v>1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>
        <f>AR7</f>
        <v>10.091057238888915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+(3 ),  늘어난치수K -(3),  C + (0),  U +(0), OP1/OP2 -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13</v>
      </c>
      <c r="AF4" s="332"/>
      <c r="AG4" s="158"/>
      <c r="AH4" s="329">
        <f ca="1">TODAY()</f>
        <v>45317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3F</v>
      </c>
      <c r="C7" s="4">
        <f>'SO멍텅(실측)'!C7-SO멍텅OP</f>
        <v>658</v>
      </c>
      <c r="D7" s="4">
        <f>'SO멍텅(실측)'!D7-SO멍텅OP</f>
        <v>640</v>
      </c>
      <c r="E7" s="4">
        <f>'SO멍텅(실측)'!E7-SO멍텅R</f>
        <v>1403</v>
      </c>
      <c r="F7" s="4">
        <f>'SO멍텅(실측)'!F7+MAX(AO7,AP7)+IF(BE7=1,AC7,0)+SO멍텅JBJD늘림치수</f>
        <v>295</v>
      </c>
      <c r="G7" s="4">
        <f>'SO멍텅(실측)'!G7+MAX(AO7,AP7)+IF(BE7=1,AE7,0)+SO멍텅JBJD늘림치수</f>
        <v>295</v>
      </c>
      <c r="H7" s="4">
        <f>'SO멍텅(실측)'!H7+AO7+IF(BE7=1,AC7,0)+SO멍텅JB강제키움+SO멍텅JBJD늘림치수</f>
        <v>297</v>
      </c>
      <c r="I7" s="4">
        <f>'SO멍텅(실측)'!H7+AO7+IF(BE7=1,AD7,0)+SO멍텅JB강제키움+SO멍텅JBJD늘림치수-IF(SO멍텅JB하부늘치=1,'SO멍텅(실측)'!W7-'SO멍텅(실측)'!X7,0)</f>
        <v>302</v>
      </c>
      <c r="J7" s="4">
        <f>'SO멍텅(실측)'!I7+AP7+IF(BE7=1,AE7,0)+SO멍텅JB강제키움+SO멍텅JBJD늘림치수</f>
        <v>297</v>
      </c>
      <c r="K7" s="4">
        <f>'SO멍텅(실측)'!I7+AP7+IF(BE7=1,AF7,0)+SO멍텅JB강제키움+SO멍텅JBJD늘림치수-IF(SO멍텅JB하부늘치=1,'SO멍텅(실측)'!Y7-'SO멍텅(실측)'!Z7,0)</f>
        <v>297</v>
      </c>
      <c r="L7" s="91">
        <f>IF(BE7=0,F7+AC7-(G7+AE7),F7-G7)</f>
        <v>-40</v>
      </c>
      <c r="M7" s="88">
        <f>IF(BM7=0,H7+AC7-(J7+AE7),H7-J7)</f>
        <v>-40</v>
      </c>
      <c r="N7" s="4">
        <f t="shared" ref="N7:O7" si="0">P7+IF(소장="손상민",0,-1.5)</f>
        <v>33.5</v>
      </c>
      <c r="O7" s="4">
        <f t="shared" si="0"/>
        <v>33.5</v>
      </c>
      <c r="P7" s="4">
        <f>IF(R7&gt;0,'SO멍텅(실측)'!J7+SO멍텅C늘림,'SO멍텅(실측)'!J7+1)</f>
        <v>35</v>
      </c>
      <c r="Q7" s="4">
        <f>IF(S7&gt;0,'SO멍텅(실측)'!K7+SO멍텅C늘림,'SO멍텅(실측)'!K7+1)</f>
        <v>35</v>
      </c>
      <c r="R7" s="4">
        <f>IF(ISNUMBER('SO멍텅(실측)'!L7),'SO멍텅(실측)'!L7+SO멍텅제작!AO7+SO멍텅A늘림,0)</f>
        <v>10</v>
      </c>
      <c r="S7" s="4">
        <f>IF(ISNUMBER('SO멍텅(실측)'!M7),'SO멍텅(실측)'!M7+SO멍텅제작!AP7+SO멍텅A늘림,0)</f>
        <v>9</v>
      </c>
      <c r="T7" s="4">
        <f>'SO멍텅(실측)'!N7-SO멍텅기둥차감</f>
        <v>2089</v>
      </c>
      <c r="U7" s="4">
        <f>'SO멍텅(실측)'!O7-SO멍텅기둥차감</f>
        <v>2089</v>
      </c>
      <c r="V7" s="4">
        <f>'SO멍텅(실측)'!P7-SO멍텅기둥차감</f>
        <v>2089</v>
      </c>
      <c r="W7" s="4">
        <f>'SO멍텅(실측)'!Q7-SO멍텅기둥차감</f>
        <v>2089</v>
      </c>
      <c r="X7" s="4">
        <f>IF(ISNUMBER('SO멍텅(실측)'!R7),IF(Y7&gt;0,'SO멍텅(실측)'!R7+SO멍텅U늘림,'SO멍텅(실측)'!R7+1.2),0)</f>
        <v>35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9</v>
      </c>
      <c r="Z7" s="4">
        <f>'SO멍텅(실측)'!T7+뒷날개치수더함</f>
        <v>25</v>
      </c>
      <c r="AA7" s="4">
        <f>'SO멍텅(실측)'!U7+뒷날개치수더함</f>
        <v>25</v>
      </c>
      <c r="AB7" s="4">
        <f>'SO멍텅(실측)'!V7+뒷날개치수더함</f>
        <v>25</v>
      </c>
      <c r="AC7" s="13">
        <f>'SO멍텅(실측)'!W7-SO멍텅늘치차감</f>
        <v>10</v>
      </c>
      <c r="AD7" s="13">
        <f>IF(SO멍텅JB하부늘치=1,AC7,'SO멍텅(실측)'!X7-SO멍텅늘치차감)</f>
        <v>10</v>
      </c>
      <c r="AE7" s="13">
        <f>'SO멍텅(실측)'!Y7-SO멍텅늘치차감</f>
        <v>50</v>
      </c>
      <c r="AF7" s="13">
        <f>IF(SO멍텅JB하부늘치=1,AE7,'SO멍텅(실측)'!Z7-SO멍텅늘치차감)</f>
        <v>50</v>
      </c>
      <c r="AG7" s="11" t="str">
        <f t="shared" ref="AG7" si="1">AW7&amp;"*"&amp;AX7</f>
        <v>1470*409.2</v>
      </c>
      <c r="AH7" s="12" t="str">
        <f t="shared" ref="AH7" si="2">AZ7&amp;"*"&amp;AY7</f>
        <v>2089*377.2</v>
      </c>
      <c r="AI7" s="10" t="str">
        <f t="shared" ref="AI7" si="3">BB7&amp;"*"&amp;BA7</f>
        <v>2089*411.2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7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7</v>
      </c>
      <c r="AQ7" s="16"/>
      <c r="AR7" s="17">
        <f>DEGREES(ATAN((E7-(C7+D7))/2/(F7)))</f>
        <v>10.091057238888915</v>
      </c>
      <c r="AS7" s="17">
        <f>DEGREES(ATAN((E7-(C7+D7))/2/(G7)))</f>
        <v>10.091057238888915</v>
      </c>
      <c r="AT7" s="36">
        <f>ABS(F7-COS(RADIANS(AR7))*H7)</f>
        <v>2.5944298187452546</v>
      </c>
      <c r="AU7" s="36">
        <f>G7-COS(RADIANS(AS7))*J7</f>
        <v>2.5944298187452546</v>
      </c>
      <c r="AV7" s="46" t="str">
        <f t="shared" ref="AV7" si="4">IF(F7+AC7&lt;&gt;G7+AE7,"JD비대칭","")</f>
        <v>JD비대칭</v>
      </c>
      <c r="AW7" s="3">
        <f>E7 + IF(X7+Y7&gt;0, N7+O7,0)</f>
        <v>1470</v>
      </c>
      <c r="AX7" s="3">
        <f>X7+MAX(F7,G7)+Z7+Y7-1.2*$AG$3+IF(BE7=0,MAX(AC7,AE7))+IF(Y7=0,1.2,0)</f>
        <v>409.2</v>
      </c>
      <c r="AY7" s="3">
        <f>R7+P7+MAX(H7,I7)+AA7-1.2*$AI$3+IF(BE7=0,MAX(AC7,AD7))+IF(R7=0,1.2,0)-IF(AL7=90,2.4,0)</f>
        <v>377.2</v>
      </c>
      <c r="AZ7" s="3">
        <f t="shared" ref="AZ7" si="5">MAX(T7,U7)</f>
        <v>2089</v>
      </c>
      <c r="BA7" s="3">
        <f>S7+Q7+MAX(J7,K7)+AB7-1.2*$AI$3+IF(BE7=0,MAX(AE7,AF7))+IF(S7=0,1.2,0)-IF(AL7=90,2.4,0)</f>
        <v>411.2</v>
      </c>
      <c r="BB7" s="3">
        <f t="shared" ref="BB7" si="6">MAX(V7,W7)</f>
        <v>2089</v>
      </c>
      <c r="BC7">
        <f t="shared" ref="BC7" si="7">H7-F7</f>
        <v>2</v>
      </c>
      <c r="BD7">
        <f t="shared" ref="BD7" si="8">9-Y7</f>
        <v>0</v>
      </c>
      <c r="BE7" s="79">
        <f>IF(AND(MIN(AC7,AE7)&gt;=9.2,E7-(C7+D7)&gt;15),0,1)</f>
        <v>0</v>
      </c>
      <c r="BF7" s="83">
        <f>IF(소장="손상민",'SO멍텅(실측)'!AF7,0)</f>
        <v>0</v>
      </c>
    </row>
    <row r="8" spans="1:58" ht="30.75" customHeight="1" x14ac:dyDescent="0.3">
      <c r="A8" s="4">
        <f>'SO멍텅(실측)'!A8</f>
        <v>0</v>
      </c>
      <c r="B8" s="4" t="str">
        <f>'SO멍텅(실측)'!B8&amp;"F"</f>
        <v>2F</v>
      </c>
      <c r="C8" s="4">
        <f>'SO멍텅(실측)'!C8-SO멍텅OP</f>
        <v>656</v>
      </c>
      <c r="D8" s="4">
        <f>'SO멍텅(실측)'!D8-SO멍텅OP</f>
        <v>640</v>
      </c>
      <c r="E8" s="4">
        <f>'SO멍텅(실측)'!E8-SO멍텅R</f>
        <v>1408</v>
      </c>
      <c r="F8" s="4">
        <f>'SO멍텅(실측)'!F8+MAX(AO8,AP8)+IF(BE8=1,AC8,0)+SO멍텅JBJD늘림치수</f>
        <v>314</v>
      </c>
      <c r="G8" s="4">
        <f>'SO멍텅(실측)'!G8+MAX(AO8,AP8)+IF(BE8=1,AE8,0)+SO멍텅JBJD늘림치수</f>
        <v>314</v>
      </c>
      <c r="H8" s="4">
        <f>'SO멍텅(실측)'!H8+AO8+IF(BE8=1,AC8,0)+SO멍텅JB강제키움+SO멍텅JBJD늘림치수</f>
        <v>317</v>
      </c>
      <c r="I8" s="4">
        <f>'SO멍텅(실측)'!H8+AO8+IF(BE8=1,AD8,0)+SO멍텅JB강제키움+SO멍텅JBJD늘림치수-IF(SO멍텅JB하부늘치=1,'SO멍텅(실측)'!W8-'SO멍텅(실측)'!X8,0)</f>
        <v>322</v>
      </c>
      <c r="J8" s="4">
        <f>'SO멍텅(실측)'!I8+AP8+IF(BE8=1,AE8,0)+SO멍텅JB강제키움+SO멍텅JBJD늘림치수</f>
        <v>317</v>
      </c>
      <c r="K8" s="4">
        <f>'SO멍텅(실측)'!I8+AP8+IF(BE8=1,AF8,0)+SO멍텅JB강제키움+SO멍텅JBJD늘림치수-IF(SO멍텅JB하부늘치=1,'SO멍텅(실측)'!Y8-'SO멍텅(실측)'!Z8,0)</f>
        <v>317</v>
      </c>
      <c r="L8" s="91">
        <f t="shared" ref="L8" si="9">IF(BE8=0,F8+AC8-(G8+AE8),F8-G8)</f>
        <v>-45</v>
      </c>
      <c r="M8" s="88">
        <f t="shared" ref="M8" si="10">IF(BM8=0,H8+AC8-(J8+AE8),H8-J8)</f>
        <v>-45</v>
      </c>
      <c r="N8" s="4">
        <f t="shared" ref="N8" si="11">P8+IF(소장="손상민",0,-1.5)</f>
        <v>33.5</v>
      </c>
      <c r="O8" s="4">
        <f t="shared" ref="O8" si="12">Q8+IF(소장="손상민",0,-1.5)</f>
        <v>33.5</v>
      </c>
      <c r="P8" s="4">
        <f>IF(R8&gt;0,'SO멍텅(실측)'!J8+SO멍텅C늘림,'SO멍텅(실측)'!J8+1)</f>
        <v>35</v>
      </c>
      <c r="Q8" s="4">
        <f>IF(S8&gt;0,'SO멍텅(실측)'!K8+SO멍텅C늘림,'SO멍텅(실측)'!K8+1)</f>
        <v>35</v>
      </c>
      <c r="R8" s="4">
        <f>IF(ISNUMBER('SO멍텅(실측)'!L8),'SO멍텅(실측)'!L8+SO멍텅제작!AO8+SO멍텅A늘림,0)</f>
        <v>11</v>
      </c>
      <c r="S8" s="4">
        <f>IF(ISNUMBER('SO멍텅(실측)'!M8),'SO멍텅(실측)'!M8+SO멍텅제작!AP8+SO멍텅A늘림,0)</f>
        <v>13</v>
      </c>
      <c r="T8" s="4">
        <f>'SO멍텅(실측)'!N8-SO멍텅기둥차감</f>
        <v>2090</v>
      </c>
      <c r="U8" s="4">
        <f>'SO멍텅(실측)'!O8-SO멍텅기둥차감</f>
        <v>2090</v>
      </c>
      <c r="V8" s="4">
        <f>'SO멍텅(실측)'!P8-SO멍텅기둥차감</f>
        <v>2090</v>
      </c>
      <c r="W8" s="4">
        <f>'SO멍텅(실측)'!Q8-SO멍텅기둥차감</f>
        <v>2090</v>
      </c>
      <c r="X8" s="4">
        <f>IF(ISNUMBER('SO멍텅(실측)'!R8),IF(Y8&gt;0,'SO멍텅(실측)'!R8+SO멍텅U늘림,'SO멍텅(실측)'!R8+1.2),0)</f>
        <v>35</v>
      </c>
      <c r="Y8" s="4">
        <f>IF(OR(멍텅G="", 멍텅G=0),IF(ISNUMBER('SO멍텅(실측)'!S8),IF('SO멍텅(실측)'!S8+SO멍텅A늘림+MAX(AO8,AP8)&gt;9,'SO멍텅(실측)'!S8+SO멍텅A늘림+MAX(AO8,AP8),'SO멍텅(실측)'!S8+SO멍텅A늘림+MAX(AO8,AP8)),0),SO멍텅G)</f>
        <v>9</v>
      </c>
      <c r="Z8" s="4">
        <f>'SO멍텅(실측)'!T8+뒷날개치수더함</f>
        <v>25</v>
      </c>
      <c r="AA8" s="4">
        <f>'SO멍텅(실측)'!U8+뒷날개치수더함</f>
        <v>25</v>
      </c>
      <c r="AB8" s="4">
        <f>'SO멍텅(실측)'!V8+뒷날개치수더함</f>
        <v>25</v>
      </c>
      <c r="AC8" s="13">
        <f>'SO멍텅(실측)'!W8-SO멍텅늘치차감</f>
        <v>10</v>
      </c>
      <c r="AD8" s="13">
        <f>IF(SO멍텅JB하부늘치=1,AC8,'SO멍텅(실측)'!X8-SO멍텅늘치차감)</f>
        <v>10</v>
      </c>
      <c r="AE8" s="13">
        <f>'SO멍텅(실측)'!Y8-SO멍텅늘치차감</f>
        <v>55</v>
      </c>
      <c r="AF8" s="13">
        <f>IF(SO멍텅JB하부늘치=1,AE8,'SO멍텅(실측)'!Z8-SO멍텅늘치차감)</f>
        <v>55</v>
      </c>
      <c r="AG8" s="11" t="str">
        <f t="shared" ref="AG8" si="13">AW8&amp;"*"&amp;AX8</f>
        <v>1475*433.2</v>
      </c>
      <c r="AH8" s="12" t="str">
        <f t="shared" ref="AH8" si="14">AZ8&amp;"*"&amp;AY8</f>
        <v>2090*398.2</v>
      </c>
      <c r="AI8" s="10" t="str">
        <f t="shared" ref="AI8" si="15">BB8&amp;"*"&amp;BA8</f>
        <v>2090*440.2</v>
      </c>
      <c r="AJ8" s="4">
        <f>IF('SO멍텅(실측)'!AA8&gt;5,'SO멍텅(실측)'!AA8+뒷날개치수더함,'SO멍텅(실측)'!AA8)</f>
        <v>0</v>
      </c>
      <c r="AK8" s="4">
        <f>'SO멍텅(실측)'!AB8</f>
        <v>0</v>
      </c>
      <c r="AL8" s="4">
        <f>'SO멍텅(실측)'!AC8</f>
        <v>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7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7</v>
      </c>
      <c r="AQ8" s="16">
        <v>2</v>
      </c>
      <c r="AR8" s="17">
        <f t="shared" ref="AR8" si="16">DEGREES(ATAN((E8-(C8+D8))/2/(F8)))</f>
        <v>10.112040310912619</v>
      </c>
      <c r="AS8" s="17">
        <f t="shared" ref="AS8" si="17">DEGREES(ATAN((E8-(C8+D8))/2/(G8)))</f>
        <v>10.112040310912619</v>
      </c>
      <c r="AT8" s="36">
        <f t="shared" ref="AT8" si="18">ABS(F8-COS(RADIANS(AR8))*H8)</f>
        <v>1.9241809552336235</v>
      </c>
      <c r="AU8" s="36">
        <f t="shared" ref="AU8" si="19">G8-COS(RADIANS(AS8))*J8</f>
        <v>1.9241809552336235</v>
      </c>
      <c r="AV8" s="46" t="str">
        <f t="shared" ref="AV8" si="20">IF(F8+AC8&lt;&gt;G8+AE8,"JD비대칭","")</f>
        <v>JD비대칭</v>
      </c>
      <c r="AW8" s="3">
        <f t="shared" ref="AW8" si="21">E8 + IF(X8+Y8&gt;0, N8+O8,0)</f>
        <v>1475</v>
      </c>
      <c r="AX8" s="3">
        <f t="shared" ref="AX8" si="22">X8+MAX(F8,G8)+Z8+Y8-1.2*$AG$3+IF(BE8=0,MAX(AC8,AE8))+IF(Y8=0,1.2,0)</f>
        <v>433.2</v>
      </c>
      <c r="AY8" s="3">
        <f t="shared" ref="AY8" si="23">R8+P8+MAX(H8,I8)+AA8-1.2*$AI$3+IF(BE8=0,MAX(AC8,AD8))+IF(R8=0,1.2,0)-IF(AL8=90,2.4,0)</f>
        <v>398.2</v>
      </c>
      <c r="AZ8" s="3">
        <f t="shared" ref="AZ8" si="24">MAX(T8,U8)</f>
        <v>2090</v>
      </c>
      <c r="BA8" s="3">
        <f t="shared" ref="BA8" si="25">S8+Q8+MAX(J8,K8)+AB8-1.2*$AI$3+IF(BE8=0,MAX(AE8,AF8))+IF(S8=0,1.2,0)-IF(AL8=90,2.4,0)</f>
        <v>440.2</v>
      </c>
      <c r="BB8" s="3">
        <f t="shared" ref="BB8" si="26">MAX(V8,W8)</f>
        <v>2090</v>
      </c>
      <c r="BC8">
        <f t="shared" ref="BC8" si="27">H8-F8</f>
        <v>3</v>
      </c>
      <c r="BD8">
        <f t="shared" ref="BD8" si="28">9-Y8</f>
        <v>0</v>
      </c>
      <c r="BE8" s="79">
        <f t="shared" ref="BE8" si="29">IF(AND(MIN(AC8,AE8)&gt;=9.2,E8-(C8+D8)&gt;15),0,1)</f>
        <v>0</v>
      </c>
      <c r="BF8" s="83">
        <f>IF(소장="손상민",'SO멍텅(실측)'!AF8,0)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:E8">
    <cfRule type="cellIs" dxfId="35" priority="23" operator="greaterThan">
      <formula>1210</formula>
    </cfRule>
  </conditionalFormatting>
  <conditionalFormatting sqref="F7:F8">
    <cfRule type="cellIs" dxfId="34" priority="21" operator="notEqual">
      <formula>G7</formula>
    </cfRule>
  </conditionalFormatting>
  <conditionalFormatting sqref="G7:G8">
    <cfRule type="cellIs" dxfId="33" priority="20" operator="notEqual">
      <formula>F7</formula>
    </cfRule>
  </conditionalFormatting>
  <conditionalFormatting sqref="AJ7:AL8">
    <cfRule type="cellIs" dxfId="32" priority="11" operator="greaterThan">
      <formula>1.2</formula>
    </cfRule>
  </conditionalFormatting>
  <conditionalFormatting sqref="L7:M8">
    <cfRule type="cellIs" dxfId="31" priority="7" operator="greaterThan">
      <formula>500</formula>
    </cfRule>
  </conditionalFormatting>
  <conditionalFormatting sqref="J7:J8">
    <cfRule type="cellIs" dxfId="30" priority="5" operator="notEqual">
      <formula>K7</formula>
    </cfRule>
  </conditionalFormatting>
  <conditionalFormatting sqref="K7:K8 I7:I8">
    <cfRule type="cellIs" dxfId="29" priority="4" operator="notEqual">
      <formula>H7</formula>
    </cfRule>
  </conditionalFormatting>
  <conditionalFormatting sqref="H7:H8">
    <cfRule type="cellIs" dxfId="28" priority="3" operator="notEqual">
      <formula>I7</formula>
    </cfRule>
  </conditionalFormatting>
  <conditionalFormatting sqref="AC7:AF8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충북대 박물관 ) _김운호소장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+(3 ),  늘어난치수K -(3),  C + (0),   U + (0), OP1/OP3 - (2),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충북대 박물관 ) _김운호소장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3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3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 t="e">
        <f>AZ7</f>
        <v>#DIV/0!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+(3 ),  늘어난치수K -(3),  C + (0),   U + (0), OP1/OP3 -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45317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+(3 ),  늘어난치수K -(3),  C + (0),  U +(0), OP1/OP3 -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3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충북대 박물관,   (재질) : MR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3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+(3 ),  늘어난치수K -(3),  C + (0),  U +(0), OP1/OP3 -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45317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충북대 박물관,   (재질) : MR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+(3 ),  늘어난치수K -(0),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충북대 박물관,   (재질) : MR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18.43494882292201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+(3 ),  늘어난치수K -(0),  C + (0),   U + (0), OP - (2),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45317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충북대 박물관 ) _김운호소장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충북대 박물관,   (재질) : MR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+(3 ),  늘어난치수K -(0),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충북대 박물관 ) _김운호소장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충북대 박물관,   (재질) : MR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3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18.43494882292201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+(3 ),  늘어난치수K -(0),  C + (0),   U + (0), OP - (2),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45317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2024-01-25T23:40:22Z</dcterms:modified>
</cp:coreProperties>
</file>