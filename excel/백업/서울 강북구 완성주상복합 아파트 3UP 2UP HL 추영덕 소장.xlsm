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7E3E1AC3-E4C0-4842-872F-9EBCB4BEE4F4}" xr6:coauthVersionLast="47" xr6:coauthVersionMax="47" xr10:uidLastSave="{00000000-0000-0000-0000-000000000000}"/>
  <bookViews>
    <workbookView xWindow="28680" yWindow="-120" windowWidth="29040" windowHeight="15840" tabRatio="947" firstSheet="5" activeTab="19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32" l="1"/>
  <c r="B8" i="32"/>
  <c r="C8" i="32"/>
  <c r="D8" i="32"/>
  <c r="U8" i="32"/>
  <c r="V8" i="32"/>
  <c r="BB8" i="32" s="1"/>
  <c r="W8" i="32"/>
  <c r="X8" i="32"/>
  <c r="Y8" i="32"/>
  <c r="Z8" i="32"/>
  <c r="AA8" i="32"/>
  <c r="AB8" i="32"/>
  <c r="AE8" i="32"/>
  <c r="AF8" i="32"/>
  <c r="AG8" i="32"/>
  <c r="AH8" i="32"/>
  <c r="AI8" i="32"/>
  <c r="AJ8" i="32"/>
  <c r="AK8" i="32" s="1"/>
  <c r="AL8" i="32"/>
  <c r="AP8" i="32"/>
  <c r="AQ8" i="32"/>
  <c r="AR8" i="32"/>
  <c r="I8" i="32" s="1"/>
  <c r="AS8" i="32"/>
  <c r="J8" i="32" s="1"/>
  <c r="BD8" i="32"/>
  <c r="BG8" i="32"/>
  <c r="F8" i="32" s="1"/>
  <c r="BH8" i="32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AD8" i="32" l="1"/>
  <c r="H8" i="32"/>
  <c r="M8" i="32" s="1"/>
  <c r="E8" i="32"/>
  <c r="T8" i="32"/>
  <c r="L8" i="32"/>
  <c r="G8" i="32"/>
  <c r="S8" i="32"/>
  <c r="K8" i="3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X8" i="32" l="1"/>
  <c r="AU8" i="32"/>
  <c r="AW8" i="32" s="1"/>
  <c r="BF8" i="32"/>
  <c r="AC8" i="32"/>
  <c r="R8" i="32"/>
  <c r="P8" i="32" s="1"/>
  <c r="N8" i="32"/>
  <c r="Q8" i="32"/>
  <c r="O8" i="32" s="1"/>
  <c r="BA8" i="32"/>
  <c r="AN8" i="32" s="1"/>
  <c r="BE8" i="32"/>
  <c r="C7" i="26"/>
  <c r="E7" i="26"/>
  <c r="AF4" i="26"/>
  <c r="AJ4" i="24"/>
  <c r="AE4" i="22"/>
  <c r="AI4" i="19"/>
  <c r="AA4" i="10"/>
  <c r="AE3" i="8"/>
  <c r="AY8" i="32" l="1"/>
  <c r="AZ8" i="32"/>
  <c r="BC8" i="32"/>
  <c r="AO8" i="32" s="1"/>
  <c r="AV8" i="32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R7" i="28" s="1"/>
  <c r="P7" i="28" s="1"/>
  <c r="AL7" i="28"/>
  <c r="Q7" i="28" s="1"/>
  <c r="O7" i="28" s="1"/>
  <c r="Z7" i="28"/>
  <c r="Y7" i="28" s="1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M8" i="32" l="1"/>
  <c r="AI7" i="32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<sst xmlns="http://schemas.openxmlformats.org/spreadsheetml/2006/main" count="1172" uniqueCount="339">
  <si>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</si>
  <si>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</si>
  <si>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</si>
  <si>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</si>
  <si>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</si>
  <si>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</si>
  <si>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</si>
  <si>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</si>
  <si>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</si>
  <si>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</si>
  <si>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</si>
  <si>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</si>
  <si>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</si>
  <si>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</si>
  <si>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</si>
  <si>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</si>
  <si>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</si>
  <si>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</si>
  <si>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</si>
  <si>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</si>
  <si>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</si>
  <si>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</si>
  <si>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</si>
  <si>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</si>
  <si>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</si>
  <si>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</si>
  <si>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</si>
  <si>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</si>
  <si>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</si>
  <si>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</si>
  <si>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</si>
  <si>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</si>
  <si>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</si>
  <si>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</si>
  <si>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</si>
  <si>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</si>
  <si>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</si>
  <si>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</si>
  <si>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</si>
  <si>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</si>
  <si>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</si>
  <si>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</si>
  <si>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</si>
  <si>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</si>
  <si>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</si>
  <si>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</si>
  <si>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</si>
  <si>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</si>
  <si>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</si>
  <si>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</si>
  <si>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</si>
  <si>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</si>
  <si>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</si>
  <si>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</si>
  <si>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</si>
  <si>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</si>
  <si>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</si>
  <si>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</si>
  <si>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</si>
  <si>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</si>
  <si>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</si>
  <si>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</si>
  <si>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</si>
  <si>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</si>
  <si>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</si>
  <si>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</si>
  <si>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</si>
  <si>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</si>
  <si>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</si>
  <si>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</si>
  <si>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</si>
  <si>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</si>
  <si>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</si>
  <si>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</si>
  <si>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</si>
  <si>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</si>
  <si>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</si>
  <si>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</si>
  <si>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</si>
  <si>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</si>
  <si>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</si>
  <si>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</si>
  <si>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</si>
  <si>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</si>
  <si>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</si>
  <si>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</si>
  <si>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</si>
  <si>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</si>
  <si>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</si>
  <si>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</si>
  <si>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</si>
  <si>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</si>
  <si>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</si>
  <si>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</si>
  <si>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</si>
  <si>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</si>
  <si>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</si>
  <si>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</si>
  <si>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</si>
  <si>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</si>
  <si>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</si>
  <si>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</si>
  <si>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</si>
  <si>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</si>
  <si>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</si>
  <si>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</si>
  <si>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</si>
  <si>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</si>
  <si>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</si>
  <si>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</si>
  <si>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</si>
  <si>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</si>
  <si>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</si>
  <si>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</si>
  <si>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</si>
  <si>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</si>
  <si>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</si>
  <si>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</si>
  <si>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</si>
  <si>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</si>
  <si>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</si>
  <si>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</si>
  <si>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</si>
  <si>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</si>
  <si>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</si>
  <si>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</si>
  <si>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</si>
  <si>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</si>
  <si>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</si>
  <si>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</si>
  <si>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</si>
  <si>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</si>
  <si>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</si>
  <si>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</si>
  <si>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</si>
  <si>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</si>
  <si>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</si>
  <si>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</si>
  <si>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</si>
  <si>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</si>
  <si>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</si>
  <si>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</si>
  <si>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</si>
  <si>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</si>
  <si>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</si>
  <si>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</si>
  <si>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</si>
  <si>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</si>
  <si>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</si>
  <si>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</si>
  <si>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</si>
  <si>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</si>
  <si>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</si>
  <si>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</si>
  <si>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</si>
  <si>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</si>
  <si>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</si>
  <si>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</si>
  <si>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</si>
  <si>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</si>
  <si>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</si>
  <si>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</si>
  <si>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</si>
  <si>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</si>
  <si>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</si>
  <si>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</si>
  <si>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</si>
  <si>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</si>
  <si>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</si>
  <si>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</si>
  <si>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</si>
  <si>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</si>
  <si>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</si>
  <si>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</si>
  <si>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</si>
  <si>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</si>
  <si>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</si>
  <si>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</si>
  <si>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</si>
  <si>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</si>
  <si>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</si>
  <si>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</si>
  <si>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</si>
  <si>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</si>
  <si>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</si>
  <si>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</si>
  <si>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</si>
  <si>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</si>
  <si>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</si>
  <si>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</si>
  <si>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</si>
  <si>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</si>
  <si>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</si>
  <si>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</si>
  <si>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</si>
  <si>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</si>
  <si>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</si>
  <si>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</si>
  <si>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</si>
  <si>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</si>
  <si>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</si>
  <si>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</si>
  <si>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</si>
  <si>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</si>
  <si>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</si>
  <si>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</si>
  <si>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</si>
  <si>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</si>
  <si>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</si>
  <si>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</si>
  <si>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</si>
  <si>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</si>
  <si>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</si>
  <si>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</si>
  <si>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</si>
  <si>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</si>
  <si>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</si>
  <si>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</si>
  <si>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</si>
  <si>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</si>
  <si>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</si>
  <si>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</si>
  <si>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</si>
  <si>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</si>
  <si>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</si>
  <si>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</si>
  <si>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</si>
  <si>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</si>
  <si>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</si>
  <si>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</si>
  <si>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</si>
  <si>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</si>
  <si>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</si>
  <si>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</si>
  <si>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</si>
  <si>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</si>
  <si>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</si>
  <si>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</si>
  <si>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</si>
  <si>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</si>
  <si>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</si>
  <si>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</si>
  <si>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</si>
  <si>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</si>
  <si>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</si>
  <si>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</si>
  <si>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</si>
  <si>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</si>
  <si>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</si>
  <si>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</si>
  <si>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</si>
  <si>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</si>
  <si>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</si>
  <si>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</si>
  <si>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</si>
  <si>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</si>
  <si>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</si>
  <si>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</si>
  <si>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</si>
  <si>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</si>
  <si>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</si>
  <si>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</si>
  <si>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</si>
  <si>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</si>
  <si>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</si>
  <si>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</si>
  <si>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</si>
  <si>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</si>
  <si>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</si>
  <si>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</si>
  <si>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</si>
  <si>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</si>
  <si>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</si>
  <si>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</si>
  <si>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</si>
  <si>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</si>
  <si>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</si>
  <si>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</si>
  <si>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</si>
  <si>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</si>
  <si>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</si>
  <si>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</si>
  <si>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</si>
  <si>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</si>
  <si>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</si>
  <si>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</si>
  <si>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</si>
  <si>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</si>
  <si>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</si>
  <si>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</si>
  <si>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</si>
  <si>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</si>
  <si>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</si>
  <si>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</si>
  <si>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</si>
  <si>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</si>
  <si>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</si>
  <si>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</si>
  <si>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</si>
  <si>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</si>
  <si>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</si>
  <si>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</si>
  <si>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</si>
  <si>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</si>
  <si>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</si>
  <si>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</si>
  <si>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</si>
  <si>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</si>
  <si>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</si>
  <si>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</si>
  <si>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</si>
  <si>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</si>
  <si>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</si>
  <si>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</si>
  <si>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</si>
  <si>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</si>
  <si>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</si>
  <si>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</si>
  <si>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</si>
  <si>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</si>
  <si>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</si>
  <si>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</si>
  <si>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</si>
  <si>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</si>
  <si>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</si>
  <si>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</si>
  <si>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</si>
  <si>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</si>
  <si>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</si>
  <si>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</si>
  <si>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</si>
  <si>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</si>
  <si>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</si>
  <si>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</si>
  <si>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</si>
  <si>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서울 강북구 완성주상복합 아파트 3UP 2UP</t>
  </si>
  <si>
    <t>추영덕</t>
  </si>
  <si>
    <t>B1</t>
  </si>
  <si>
    <t>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</si>
</sst>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강북구 완성주상복합 아파트 3UP 2UP ) _추영덕소장</v>
      </c>
      <c r="C2" s="39" t="str">
        <f>"(와이드) 제작변환 자료( "&amp;B1&amp;" ) _"&amp;소장 &amp;"소장"</f>
        <v>(와이드) 제작변환 자료( 서울 강북구 완성주상복합 아파트 3UP 2UP ) _추영덕소장</v>
      </c>
      <c r="D2" s="154" t="s">
        <v>312</v>
      </c>
      <c r="E2" s="150" t="str">
        <f>"(SO와이드) 실측서 ( " &amp; B1 &amp; " ) _"&amp;소장 &amp;"소장"</f>
        <v>(SO와이드) 실측서 ( 서울 강북구 완성주상복합 아파트 3UP 2UP ) _추영덕소장</v>
      </c>
      <c r="F2" s="150" t="str">
        <f>"(SO와이드) 제작변환 ( " &amp; B1 &amp; " ) _"&amp;소장 &amp;"소장"</f>
        <v>(SO와이드) 제작변환 ( 서울 강북구 완성주상복합 아파트 3UP 2UP ) _추영덕소장</v>
      </c>
      <c r="G2" s="152" t="s">
        <v>314</v>
      </c>
      <c r="H2" s="147" t="str">
        <f>"(4CO와이드) 실측서 ( " &amp; B1 &amp; " ) _"&amp;소장 &amp;"소장"</f>
        <v>(4CO와이드) 실측서 ( 서울 강북구 완성주상복합 아파트 3UP 2UP ) _추영덕소장</v>
      </c>
      <c r="I2" s="147" t="str">
        <f>"(4CO와이드) 제작변환 ( " &amp; B1 &amp; " ) _"&amp;소장 &amp;"소장"</f>
        <v>(4CO와이드) 제작변환 ( 서울 강북구 완성주상복합 아파트 3UP 2UP ) _추영덕소장</v>
      </c>
      <c r="J2" s="152" t="s">
        <v>316</v>
      </c>
      <c r="K2" s="153" t="str">
        <f>"(2UP) 실측서 ( " &amp; B1 &amp; " ) _"&amp;소장 &amp;"소장"</f>
        <v>(2UP) 실측서 ( 서울 강북구 완성주상복합 아파트 3UP 2UP ) _추영덕소장</v>
      </c>
      <c r="L2" s="153" t="str">
        <f>"(2UP) 제작변환 ( " &amp; B1 &amp; " ) _"&amp;소장 &amp;"소장"</f>
        <v>(2UP) 제작변환 ( 서울 강북구 완성주상복합 아파트 3UP 2UP ) _추영덕소장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강북구 완성주상복합 아파트 3UP 2UP ) _추영덕소장</v>
      </c>
      <c r="C3" s="39" t="str">
        <f>"(멍텅구리) 제작변환 자료( "&amp;B1&amp;" ) _"&amp;소장 &amp;"소장"</f>
        <v>(멍텅구리) 제작변환 자료( 서울 강북구 완성주상복합 아파트 3UP 2UP ) _추영덕소장</v>
      </c>
      <c r="D3" s="154" t="s">
        <v>313</v>
      </c>
      <c r="E3" s="150" t="str">
        <f>"(SO멍텅구리) 실측서 ( " &amp; B1 &amp; " ) _"&amp;소장 &amp;"소장"</f>
        <v>(SO멍텅구리) 실측서 ( 서울 강북구 완성주상복합 아파트 3UP 2UP ) _추영덕소장</v>
      </c>
      <c r="F3" s="150" t="str">
        <f>"(SO멍텅구리) 제작변환 ( " &amp; B1 &amp; " ) _"&amp;소장 &amp;"소장"</f>
        <v>(SO멍텅구리) 제작변환 ( 서울 강북구 완성주상복합 아파트 3UP 2UP ) _추영덕소장</v>
      </c>
      <c r="G3" s="152" t="s">
        <v>315</v>
      </c>
      <c r="H3" s="147" t="str">
        <f>"(4CO멍텅구리) 실측서 ( " &amp; B1 &amp; " ) _"&amp;소장 &amp;"소장"</f>
        <v>(4CO멍텅구리) 실측서 ( 서울 강북구 완성주상복합 아파트 3UP 2UP ) _추영덕소장</v>
      </c>
      <c r="I3" s="147" t="str">
        <f>"(4CO멍텅구리) 제작변환 ( " &amp; B1 &amp; " ) _"&amp;소장 &amp;"소장"</f>
        <v>(4CO멍텅구리) 제작변환 ( 서울 강북구 완성주상복합 아파트 3UP 2UP ) _추영덕소장</v>
      </c>
      <c r="J3" s="152" t="s">
        <v>317</v>
      </c>
      <c r="K3" s="153" t="str">
        <f>"(3UP) 실측서 ( " &amp; B1 &amp; " ) _"&amp;소장 &amp;"소장"</f>
        <v>(3UP) 실측서 ( 서울 강북구 완성주상복합 아파트 3UP 2UP ) _추영덕소장</v>
      </c>
      <c r="L3" s="153" t="str">
        <f>"(3UP) 제작변환 ( " &amp; B1 &amp; " ) _"&amp;소장 &amp;"소장"</f>
        <v>(3UP) 제작변환 ( 서울 강북구 완성주상복합 아파트 3UP 2UP ) _추영덕소장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강북구 완성주상복합 아파트 3UP 2UP ) _추영덕소장</v>
      </c>
      <c r="C4" s="39" t="str">
        <f>"(쪽쟘) 제작변환 자료( "&amp;B1&amp;" ) _"&amp;소장 &amp;"소장"</f>
        <v>(쪽쟘) 제작변환 자료( 서울 강북구 완성주상복합 아파트 3UP 2UP ) _추영덕소장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+(0 ),  늘어난치수K -(0),  C + (0),   U + (0), OP - (0), R - (0),  기둥차감 - (4),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(4),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+(0 ),  늘어난치수K -(0),  C + (0),   U + (0), OP - (0), R - (0),  기둥차감 - (4),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(4),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+(0 ),  늘어난치수K -(0),  C + (0),   U + (0), OP1/OP3 - (0), R - (0),  기둥차감 - (4),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(4),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(4),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(4),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서울 강북구 완성주상복합 아파트 3UP 2UP</v>
      </c>
      <c r="E2" s="3" t="str">
        <f>정보!B6</f>
        <v>추영덕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45509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1</v>
      </c>
      <c r="P2">
        <f>IF('3UP(실측)'!G7&gt;1,1,0)</f>
        <v>1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B7" sqref="B7:AB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서울 강북구 완성주상복합 아파트 3UP 2UP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(1.2),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X7" sqref="X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서울 강북구 완성주상복합 아파트 3UP 2UP ) _추영덕소장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4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305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319</v>
      </c>
      <c r="AP3" s="192"/>
      <c r="AQ3" s="195" t="e">
        <f>AU7</f>
        <v>#DIV/0!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(1.2), JB/JD +(0 ),  늘어난치수K -(0),  C + (0),   U + (0), OP - (0), R - (0),  기둥차감 - (4),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45509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0*-2.4</v>
      </c>
      <c r="AK7" s="31" t="str">
        <f t="shared" ref="AK7" si="2">BD7&amp;"*"&amp;BC7</f>
        <v>-5.2*-2.4</v>
      </c>
      <c r="AL7" s="31" t="str">
        <f t="shared" ref="AL7" si="3">BF7&amp;"*"&amp;BE7</f>
        <v>-5.2*-2.4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-2.3999999999999995</v>
      </c>
      <c r="BC7" s="41">
        <f>S7+O7+MAX(I7,J7)+AB7-1.2*$AL$3+IF(BI7=0,MAX(AD7,AC7),0)+IF(S7=0,1.2,0)-IF(AR7=90,2.4,0)</f>
        <v>-2.3999999999999995</v>
      </c>
      <c r="BD7" s="41">
        <f>MAX(U7,V7)+AG7</f>
        <v>-5.2</v>
      </c>
      <c r="BE7" s="41">
        <f>T7+P7+MAX(K7,L7)+AB7-1.2*$AL$3+IF(BI7=0,MAX(AE7,AF7),0)+IF(T7=0,1.2,0)-IF(AR7=90,2.4,0)</f>
        <v>-2.3999999999999995</v>
      </c>
      <c r="BF7" s="41">
        <f>MAX(W7,X7)+AH7</f>
        <v>-5.2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B7" sqref="B7:R10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강북구 완성주상복합 아파트 3UP 2UP,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+(0 ),  늘어난치수K -(0),  C + (0),  U +(0), OP - (0), R - (0),  기둥차감 - (4),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7" sqref="A7:XFD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4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서울 강북구 완성주상복합 아파트 3UP 2UP,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320</v>
      </c>
      <c r="AG3" s="252"/>
      <c r="AH3" s="199"/>
      <c r="AI3" s="253" t="e">
        <f>AN7</f>
        <v>#DIV/0!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+(0 ),  늘어난치수K -(0),  C + (0),  U +(0), OP - (0), R - (0),  기둥차감 - (4),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306</v>
      </c>
      <c r="Z4" s="256"/>
      <c r="AA4" s="257">
        <f>'멍텅(실측)'!U7</f>
        <v>0</v>
      </c>
      <c r="AB4" s="257"/>
      <c r="AC4" s="9"/>
      <c r="AD4" s="185">
        <f ca="1">TODAY()</f>
        <v>45509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300</v>
      </c>
      <c r="AL5" s="178" t="s">
        <v>301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-4*-2.6</v>
      </c>
      <c r="AE7" s="10" t="str">
        <f t="shared" ref="AE7" si="3">AW7&amp;"*"&amp;AV7</f>
        <v>-4*-2.6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-4</v>
      </c>
      <c r="AV7" s="3">
        <f>P7+N7+MAX(I7,J7)+X7-1.2*$AE$3+IF(AZ7=0,MAX(AA7,AB7))+IF(P7=0,1.2,0)-IF(AH7=90,2.4,0)</f>
        <v>-2.5999999999999996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강북구 완성주상복합 아파트 3UP 2UP ) _추영덕소장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강북구 완성주상복합 아파트 3UP 2UP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서울 강북구 완성주상복합 아파트 3UP 2UP (쪽쟘제작치수)  추영덕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서울 강북구 완성주상복합 아파트 3UP 2UP (제작치수 샤링작지) 추영덕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서울 강북구 완성주상복합 아파트 3UP 2UP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(1.2), JB/JD +(0 ),  늘어난치수K -(0),  C + (0),   U + (0), OP - (0), R - (0),  기둥차감 - (4),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70" zoomScaleNormal="70" workbookViewId="0">
      <selection activeCell="BA7" sqref="BA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서울 강북구 완성주상복합 아파트 3UP 2UP ) _추영덕소장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4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321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(1.2),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307</v>
      </c>
      <c r="AH4" s="306"/>
      <c r="AI4" s="256">
        <f>'SO와이드(실측)'!AA7</f>
        <v>0</v>
      </c>
      <c r="AJ4" s="256"/>
      <c r="AK4" s="185">
        <f ca="1">TODAY()</f>
        <v>45509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-4</v>
      </c>
      <c r="Y7" s="31">
        <f>'SO와이드(실측)'!S7-SO와이드기둥차감</f>
        <v>-4</v>
      </c>
      <c r="Z7" s="31">
        <f>'SO와이드(실측)'!T7-SO와이드기둥차감</f>
        <v>-4</v>
      </c>
      <c r="AA7" s="31">
        <f>'SO와이드(실측)'!U7-SO와이드기둥차감</f>
        <v>-4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-5.2*-2.4</v>
      </c>
      <c r="AP7" s="31" t="str">
        <f t="shared" ref="AP7" si="3">BK7&amp;"*"&amp;BJ7</f>
        <v>-5.2*-2.4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-5.2</v>
      </c>
      <c r="BJ7" s="41">
        <f>W7+S7+MAX(L7,M7)+AF7-1.2*$AP$3+IF(BN7=0,MAX(AI7,AJ7),0)+IF(W7=0,1.2,0)-IF(AV7=90,2.4,0)</f>
        <v>-2.3999999999999995</v>
      </c>
      <c r="BK7" s="41">
        <f>MAX(Z7,AA7)+AL7</f>
        <v>-5.2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67" zoomScaleNormal="67" workbookViewId="0">
      <selection activeCell="AT8" sqref="AT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4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322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308</v>
      </c>
      <c r="AD4" s="336"/>
      <c r="AE4" s="337">
        <f>'SO멍텅(실측)'!W7</f>
        <v>0</v>
      </c>
      <c r="AF4" s="337"/>
      <c r="AG4" s="158"/>
      <c r="AH4" s="334">
        <f ca="1">TODAY()</f>
        <v>45509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300</v>
      </c>
      <c r="AP5" s="178" t="s">
        <v>301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-4*-2.6</v>
      </c>
      <c r="AI7" s="10" t="str">
        <f t="shared" ref="AI7" si="3">BB7&amp;"*"&amp;BA7</f>
        <v>-4*-2.6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-4</v>
      </c>
      <c r="BA7" s="3">
        <f>S7+Q7+MAX(J7,K7)+AB7-1.2*$AI$3+IF(BE7=0,MAX(AE7,AF7))+IF(S7=0,1.2,0)-IF(AL7=90,2.4,0)</f>
        <v>-2.5999999999999996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서울 강북구 완성주상복합 아파트 3UP 2UP ) _추영덕소장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(1.2), JB/JD +(0 ),  늘어난치수K -(0),  C + (0),   U + (0), OP1/OP3 - (0), R - (0),  기둥차감 - (4),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70" zoomScaleNormal="70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서울 강북구 완성주상복합 아파트 3UP 2UP ) _추영덕소장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4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323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(1.2), JB/JD +(0 ),  늘어난치수K -(0),  C + (0),   U + 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309</v>
      </c>
      <c r="AI4" s="341"/>
      <c r="AJ4" s="341">
        <f>'4CO와이드(실측)'!AB7</f>
        <v>0</v>
      </c>
      <c r="AK4" s="341"/>
      <c r="AL4" s="185">
        <f ca="1">TODAY()</f>
        <v>45509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329</v>
      </c>
      <c r="Q5" s="316" t="s">
        <v>330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-5.2*-2.4</v>
      </c>
      <c r="AQ7" s="31" t="str">
        <f t="shared" ref="AQ7" si="3">BK7&amp;"*"&amp;BJ7</f>
        <v>-5.2*-2.4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-5.2</v>
      </c>
      <c r="BJ7" s="41">
        <f>Y7+U7+MAX(N7,O7)+AG7-1.2*$AQ$3+IF(BN7=0,MAX(AJ7,AK7),0)+IF(Y7=0,1.2,0)-IF(AW7=90,2.4,0)</f>
        <v>-2.3999999999999995</v>
      </c>
      <c r="BK7" s="41">
        <f>MAX(AB7,AC7)+AM7</f>
        <v>-5.2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302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4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서울 강북구 완성주상복합 아파트 3UP 2UP,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324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307</v>
      </c>
      <c r="AE4" s="341"/>
      <c r="AF4" s="341">
        <f>'4CO멍텅(실측)'!X7</f>
        <v>0</v>
      </c>
      <c r="AG4" s="341"/>
      <c r="AH4" s="9"/>
      <c r="AI4" s="185">
        <f ca="1">TODAY()</f>
        <v>45509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331</v>
      </c>
      <c r="O5" s="316" t="s">
        <v>332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300</v>
      </c>
      <c r="AQ5" s="178" t="s">
        <v>301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-4*-2.6</v>
      </c>
      <c r="AJ7" s="10" t="str">
        <f t="shared" ref="AJ7" si="3">BB7&amp;"*"&amp;BA7</f>
        <v>-4*-2.6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-4</v>
      </c>
      <c r="BA7" s="3">
        <f>U7+S7+MAX(L7,M7)+AC7-1.2*$AJ$3+IF(BE7=0,MAX(AF7,AG7))+IF(U7=0,1.2,0)-IF(AM7=90,2.4,0)</f>
        <v>-2.5999999999999996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activeCell="H8" sqref="H8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강북구 완성주상복합 아파트 3UP 2UP,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>
        <v>1</v>
      </c>
      <c r="C7" s="4">
        <v>2351</v>
      </c>
      <c r="D7" s="4">
        <v>2352</v>
      </c>
      <c r="E7" s="4">
        <v>318</v>
      </c>
      <c r="F7" s="4">
        <v>318</v>
      </c>
      <c r="G7" s="4">
        <v>318</v>
      </c>
      <c r="H7" s="4">
        <v>378</v>
      </c>
      <c r="I7" s="4">
        <v>318</v>
      </c>
      <c r="J7" s="4">
        <v>378</v>
      </c>
      <c r="K7" s="4">
        <v>32</v>
      </c>
      <c r="L7" s="4">
        <v>32</v>
      </c>
      <c r="M7" s="4">
        <v>9</v>
      </c>
      <c r="N7" s="4">
        <v>9</v>
      </c>
      <c r="O7" s="4">
        <v>2086</v>
      </c>
      <c r="P7" s="4">
        <v>1057</v>
      </c>
      <c r="Q7" s="4">
        <v>1034</v>
      </c>
      <c r="R7" s="4">
        <v>2081</v>
      </c>
      <c r="S7" s="4">
        <v>1057</v>
      </c>
      <c r="T7" s="4">
        <v>1034</v>
      </c>
      <c r="U7" s="4">
        <v>33</v>
      </c>
      <c r="V7" s="4">
        <v>9</v>
      </c>
      <c r="W7" s="4">
        <v>40</v>
      </c>
      <c r="X7" s="4">
        <v>50</v>
      </c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318</v>
      </c>
      <c r="AL7" s="3">
        <f t="shared" si="1"/>
        <v>318</v>
      </c>
      <c r="AM7" s="3">
        <f t="shared" si="1"/>
        <v>318</v>
      </c>
      <c r="AN7" s="3">
        <f>I7-$AF7</f>
        <v>318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303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4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서울 강북구 완성주상복합 아파트 3UP 2UP,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325</v>
      </c>
      <c r="AK3" s="199"/>
      <c r="AL3" s="160">
        <f>AO7</f>
        <v>9.0087629398388006E-2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(4),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326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45509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300</v>
      </c>
      <c r="AM5" s="178" t="s">
        <v>301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1F</v>
      </c>
      <c r="C7" s="4">
        <f>'2UP(실측)'!C7-UP2멍텅OP</f>
        <v>2351</v>
      </c>
      <c r="D7" s="4">
        <f>'2UP(실측)'!D7-UP2멍텅R</f>
        <v>2352</v>
      </c>
      <c r="E7" s="4">
        <f>'2UP(실측)'!E7+MAX(AL7,AM7)+IF(BA7=1,AC7,0)+UP2멍텅JBJD늘림치수</f>
        <v>318</v>
      </c>
      <c r="F7" s="4">
        <f>'2UP(실측)'!F7+MAX(AL7,AM7)+IF(BA7=1,AE7,0)+UP2멍텅JBJD늘림치수</f>
        <v>318</v>
      </c>
      <c r="G7" s="4">
        <f>'2UP(실측)'!G7+AL7+IF(BA7=1,AC7,0)+UP2멍텅JB강제키움+UP2멍텅JBJD늘림치수</f>
        <v>318</v>
      </c>
      <c r="H7" s="4">
        <f>'2UP(실측)'!H7+AL7+IF(BA7=1,AD7,0)+UP2멍텅JB강제키움+UP2멍텅JBJD늘림치수-IF(UP2멍텅JB하부늘치=1,'2UP(실측)'!Y7-'2UP(실측)'!Z7,0)</f>
        <v>378</v>
      </c>
      <c r="I7" s="4">
        <f>'2UP(실측)'!I7+AM7+IF(BA7=1,AE7,0)+UP2멍텅JB강제키움+UP2멍텅JBJD늘림치수</f>
        <v>318</v>
      </c>
      <c r="J7" s="4">
        <f>'2UP(실측)'!J7+AM7+IF(BA7=1,AF7,0)+UP2멍텅JB강제키움+UP2멍텅JBJD늘림치수-IF(UP2멍텅JB하부늘치=1,'2UP(실측)'!AA7-'2UP(실측)'!AB7,0)</f>
        <v>378</v>
      </c>
      <c r="K7" s="103">
        <f>H7-G7</f>
        <v>60</v>
      </c>
      <c r="L7" s="103">
        <f>J7-I7</f>
        <v>60</v>
      </c>
      <c r="M7" s="4">
        <f t="shared" ref="M7:N7" si="0">O7+IF(소장="손상민",0,-1.5)</f>
        <v>30.5</v>
      </c>
      <c r="N7" s="4">
        <f t="shared" si="0"/>
        <v>30.5</v>
      </c>
      <c r="O7" s="4">
        <f>IF(Q7&gt;0,'2UP(실측)'!K7+UP2멍텅C늘림,'2UP(실측)'!K7+1)</f>
        <v>32</v>
      </c>
      <c r="P7" s="4">
        <f>IF(R7&gt;0,'2UP(실측)'!L7+UP2멍텅C늘림,'2UP(실측)'!L7+1)</f>
        <v>32</v>
      </c>
      <c r="Q7" s="4">
        <f>IF(ISNUMBER('2UP(실측)'!M7),'2UP(실측)'!M7+'2UP제작'!AL7+UP2멍텅A늘림,0)</f>
        <v>9</v>
      </c>
      <c r="R7" s="4">
        <f>IF(ISNUMBER('2UP(실측)'!N7),'2UP(실측)'!N7+'2UP제작'!AM7+UP2멍텅A늘림,0)</f>
        <v>9</v>
      </c>
      <c r="S7" s="4">
        <f>'2UP(실측)'!O7-UP2멍텅기둥차감</f>
        <v>2082</v>
      </c>
      <c r="T7" s="4">
        <f>'2UP(실측)'!P7</f>
        <v>1057</v>
      </c>
      <c r="U7" s="4">
        <f>'2UP(실측)'!Q7-UP2멍텅기둥차감</f>
        <v>1030</v>
      </c>
      <c r="V7" s="4">
        <f>'2UP(실측)'!R7-UP2멍텅기둥차감</f>
        <v>2077</v>
      </c>
      <c r="W7" s="4">
        <f>'2UP(실측)'!S7</f>
        <v>1057</v>
      </c>
      <c r="X7" s="4">
        <f>'2UP(실측)'!T7-UP2멍텅기둥차감</f>
        <v>1030</v>
      </c>
      <c r="Y7" s="4">
        <f>IF(ISNUMBER('2UP(실측)'!U7),IF(Z7&gt;0,'2UP(실측)'!U7+UP2멍텅U늘림,'2UP(실측)'!U7+1.2),0)</f>
        <v>33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9</v>
      </c>
      <c r="AA7" s="4">
        <f>'2UP(실측)'!W7+뒷날개치수더함</f>
        <v>40</v>
      </c>
      <c r="AB7" s="4">
        <f>'2UP(실측)'!X7+뒷날개치수더함</f>
        <v>50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2413*396.4</v>
      </c>
      <c r="AH7" s="12" t="str">
        <f t="shared" ref="AH7" si="2">AV7&amp;"*"&amp;AU7</f>
        <v>2087*464.2</v>
      </c>
      <c r="AI7" s="10" t="str">
        <f t="shared" ref="AI7" si="3">AX7&amp;"*"&amp;AW7</f>
        <v>2087*464.2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9.0087629398388006E-2</v>
      </c>
      <c r="AP7" s="36">
        <f>E7-COS(RADIANS(AO7))*G7</f>
        <v>3.9308103214352741E-4</v>
      </c>
      <c r="AQ7" s="36">
        <f>F7-COS(RADIANS(AO7))*I7</f>
        <v>3.9308103214352741E-4</v>
      </c>
      <c r="AR7" s="46" t="str">
        <f>IF(E7+AC7&lt;&gt;F7+AE7,"JD비대칭","")</f>
        <v/>
      </c>
      <c r="AS7" s="3">
        <f>D7 + IF(Y7+Z7&gt;0, M7+N7,0)</f>
        <v>2413</v>
      </c>
      <c r="AT7" s="3">
        <f>Y7+MAX(E7,F7)+AA7+Z7-1.2*$AG$3+IF(BA7=0,MAX(AC7,AE7))+IF(Z7=0,1.2,0)</f>
        <v>396.4</v>
      </c>
      <c r="AU7" s="3">
        <f>Q7+O7+MAX(G7,H7)+AB7-1.2*$AI$3+IF(BA7=0,MAX(AC7,AD7))+IF(Q7=0,1.2,0)</f>
        <v>464.2</v>
      </c>
      <c r="AV7" s="3">
        <f>MAX(S7,T7+U7)</f>
        <v>2087</v>
      </c>
      <c r="AW7" s="3">
        <f>R7+P7+MAX(I7,J7)+AB7-1.2*$AI$3+IF(BA7=0,MAX(AE7,AF7))+IF(R7=0,1.2,0)</f>
        <v>464.2</v>
      </c>
      <c r="AX7" s="3">
        <f>MAX(V7,W7+X7)</f>
        <v>2087</v>
      </c>
      <c r="AY7">
        <f>G7-E7</f>
        <v>0</v>
      </c>
      <c r="AZ7">
        <f>9-Z7</f>
        <v>0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tabSelected="1" zoomScale="85" zoomScaleNormal="85" workbookViewId="0">
      <selection activeCell="Y7" sqref="Y7:AB8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강북구 완성주상복합 아파트 3UP 2UP ) _추영덕소장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강북구 완성주상복합 아파트 3UP 2UP,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+(0 ),  늘어난치수K -(0),  C + (0),   U + (0), OP - (0), R - (0),  기둥차감 - (4),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 t="s">
        <v>337</v>
      </c>
      <c r="C7" s="4">
        <v>2351</v>
      </c>
      <c r="D7" s="4">
        <v>2352</v>
      </c>
      <c r="E7" s="4">
        <v>256</v>
      </c>
      <c r="F7" s="4">
        <v>256</v>
      </c>
      <c r="G7" s="4">
        <v>256</v>
      </c>
      <c r="H7" s="4">
        <v>316</v>
      </c>
      <c r="I7" s="4">
        <v>376</v>
      </c>
      <c r="J7" s="4">
        <v>256</v>
      </c>
      <c r="K7" s="4">
        <v>316</v>
      </c>
      <c r="L7" s="4">
        <v>376</v>
      </c>
      <c r="M7" s="4">
        <v>48</v>
      </c>
      <c r="N7" s="4">
        <v>48</v>
      </c>
      <c r="O7" s="4">
        <v>11</v>
      </c>
      <c r="P7" s="4">
        <v>9</v>
      </c>
      <c r="Q7" s="4">
        <v>2086</v>
      </c>
      <c r="R7" s="4">
        <v>707</v>
      </c>
      <c r="S7" s="4">
        <v>700</v>
      </c>
      <c r="T7" s="4">
        <v>684</v>
      </c>
      <c r="U7" s="4">
        <v>2089</v>
      </c>
      <c r="V7" s="4">
        <v>707</v>
      </c>
      <c r="W7" s="4">
        <v>700</v>
      </c>
      <c r="X7" s="4">
        <v>684</v>
      </c>
      <c r="Y7" s="4">
        <v>48</v>
      </c>
      <c r="Z7" s="4">
        <v>8</v>
      </c>
      <c r="AA7" s="4">
        <v>40</v>
      </c>
      <c r="AB7" s="4">
        <v>50</v>
      </c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256</v>
      </c>
      <c r="AR7" s="3">
        <f t="shared" si="1"/>
        <v>256</v>
      </c>
      <c r="AS7" s="3">
        <f t="shared" si="1"/>
        <v>256</v>
      </c>
      <c r="AT7" s="3">
        <f>J7-$AL7</f>
        <v>256</v>
      </c>
    </row>
    <row r="8" spans="1:46" ht="27" customHeight="1" x14ac:dyDescent="0.3">
      <c r="A8" s="4"/>
      <c r="B8" s="4" t="s">
        <v>338</v>
      </c>
      <c r="C8" s="4">
        <v>2448</v>
      </c>
      <c r="D8" s="4">
        <v>2449</v>
      </c>
      <c r="E8" s="4">
        <v>256</v>
      </c>
      <c r="F8" s="4">
        <v>256</v>
      </c>
      <c r="G8" s="4">
        <v>256</v>
      </c>
      <c r="H8" s="4">
        <v>316</v>
      </c>
      <c r="I8" s="4">
        <v>376</v>
      </c>
      <c r="J8" s="4">
        <v>256</v>
      </c>
      <c r="K8" s="4">
        <v>316</v>
      </c>
      <c r="L8" s="4">
        <v>376</v>
      </c>
      <c r="M8" s="4">
        <v>48</v>
      </c>
      <c r="N8" s="4">
        <v>48</v>
      </c>
      <c r="O8" s="4">
        <v>11</v>
      </c>
      <c r="P8" s="4">
        <v>9</v>
      </c>
      <c r="Q8" s="4">
        <v>2093</v>
      </c>
      <c r="R8" s="4">
        <v>707</v>
      </c>
      <c r="S8" s="4">
        <v>700</v>
      </c>
      <c r="T8" s="4">
        <v>684</v>
      </c>
      <c r="U8" s="4">
        <v>2095</v>
      </c>
      <c r="V8" s="4">
        <v>707</v>
      </c>
      <c r="W8" s="4">
        <v>700</v>
      </c>
      <c r="X8" s="4">
        <v>684</v>
      </c>
      <c r="Y8" s="4">
        <v>48</v>
      </c>
      <c r="Z8" s="4">
        <v>8</v>
      </c>
      <c r="AA8" s="4">
        <v>40</v>
      </c>
      <c r="AB8" s="4">
        <v>50</v>
      </c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8"/>
  <sheetViews>
    <sheetView zoomScale="70" zoomScaleNormal="70" workbookViewId="0">
      <selection activeCell="AH18" sqref="AH18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서울 강북구 완성주상복합 아파트 3UP 2UP ) _추영덕소장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304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4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서울 강북구 완성주상복합 아파트 3UP 2UP,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321</v>
      </c>
      <c r="AQ3" s="362"/>
      <c r="AR3" s="160">
        <f>AU7</f>
        <v>0.1119056770662069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(4),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327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45509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300</v>
      </c>
      <c r="AS5" s="178" t="s">
        <v>301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B1F</v>
      </c>
      <c r="C7" s="4">
        <f>'3UP(실측)'!C7-UP3멍텅OP</f>
        <v>2351</v>
      </c>
      <c r="D7" s="4">
        <f>'3UP(실측)'!D7-UP3멍텅R</f>
        <v>2352</v>
      </c>
      <c r="E7" s="4">
        <f>'3UP(실측)'!E7+MAX(AR7,AS7)+IF(BG7=1,AG7,0)+UP3멍텅JBJD늘림치수</f>
        <v>256</v>
      </c>
      <c r="F7" s="4">
        <f>'3UP(실측)'!F7+MAX(AR7,AS7)+IF(BG7=1,AJ7,0)+UP3멍텅JBJD늘림치수</f>
        <v>256</v>
      </c>
      <c r="G7" s="4">
        <f>'3UP(실측)'!G7+AR7+IF(BG7=1,AG7,0)+UP3멍텅JB강제키움+UP3멍텅JBJD늘림치수</f>
        <v>256</v>
      </c>
      <c r="H7" s="4">
        <f>'3UP(실측)'!H7+AR7+IF(BG7=1,AH7,0)+UP3멍텅JB강제키움+UP3멍텅JBJD늘림치수-IF(UP3멍텅JB하부늘치=1,'3UP(실측)'!AC7-'3UP(실측)'!AD7,0)</f>
        <v>316</v>
      </c>
      <c r="I7" s="4">
        <f>'3UP(실측)'!I7+AR7+IF(BG7=1,AI7,0)+UP3멍텅JB강제키움+UP3멍텅JBJD늘림치수-IF(UP3멍텅JB하부늘치=1,'3UP(실측)'!AC7-'3UP(실측)'!AE7,0)</f>
        <v>376</v>
      </c>
      <c r="J7" s="4">
        <f>'3UP(실측)'!J7+AS7+IF(BG7=1,AJ7,0)+UP3멍텅JB강제키움+UP3멍텅JBJD늘림치수</f>
        <v>256</v>
      </c>
      <c r="K7" s="4">
        <f>'3UP(실측)'!K7+AS7+IF(BG7=1,AK7,0)+UP3멍텅JB강제키움+UP3멍텅JBJD늘림치수-IF(UP3멍텅JB하부늘치=1,'3UP(실측)'!AF7-'3UP(실측)'!AG7,0)</f>
        <v>316</v>
      </c>
      <c r="L7" s="4">
        <f>'3UP(실측)'!L7+AS7+IF(BG7=1,AL7,0)+UP3멍텅JB강제키움+UP3멍텅JBJD늘림치수-IF(UP3멍텅JB하부늘치=1,'3UP(실측)'!AF7-'3UP(실측)'!AH7,0)</f>
        <v>376</v>
      </c>
      <c r="M7" s="103">
        <f>MAX(H7-G7,I7-H7)</f>
        <v>60</v>
      </c>
      <c r="N7" s="103">
        <f>MAX(K7-J7,L7-K7)</f>
        <v>60</v>
      </c>
      <c r="O7" s="4">
        <f t="shared" ref="O7:P7" si="0">Q7+IF(소장="손상민",0,-1.5)</f>
        <v>46.5</v>
      </c>
      <c r="P7" s="4">
        <f t="shared" si="0"/>
        <v>46.5</v>
      </c>
      <c r="Q7" s="4">
        <f>IF(S7&gt;0,'3UP(실측)'!M7+UP3멍텅C늘림,'3UP(실측)'!M7+1)</f>
        <v>48</v>
      </c>
      <c r="R7" s="4">
        <f>IF(T7&gt;0,'3UP(실측)'!N7+UP3멍텅C늘림,'3UP(실측)'!N7+1)</f>
        <v>48</v>
      </c>
      <c r="S7" s="4">
        <f>IF(ISNUMBER('3UP(실측)'!O7),'3UP(실측)'!O7+AR7+UP3멍텅A늘림,0)</f>
        <v>11</v>
      </c>
      <c r="T7" s="4">
        <f>IF(ISNUMBER('3UP(실측)'!P7),'3UP(실측)'!P7+AS7+UP3멍텅A늘림,0)</f>
        <v>9</v>
      </c>
      <c r="U7" s="4">
        <f>'3UP(실측)'!Q7-UP3멍텅기둥차감</f>
        <v>2082</v>
      </c>
      <c r="V7" s="4">
        <f>'3UP(실측)'!R7</f>
        <v>707</v>
      </c>
      <c r="W7" s="4">
        <f>'3UP(실측)'!S7</f>
        <v>700</v>
      </c>
      <c r="X7" s="4">
        <f>'3UP(실측)'!T7-UP3멍텅기둥차감</f>
        <v>680</v>
      </c>
      <c r="Y7" s="4">
        <f>'3UP(실측)'!U7-UP3멍텅기둥차감</f>
        <v>2085</v>
      </c>
      <c r="Z7" s="4">
        <f>'3UP(실측)'!V7</f>
        <v>707</v>
      </c>
      <c r="AA7" s="4">
        <f>'3UP(실측)'!W7</f>
        <v>700</v>
      </c>
      <c r="AB7" s="4">
        <f>'3UP(실측)'!X7-UP3멍텅기둥차감</f>
        <v>680</v>
      </c>
      <c r="AC7" s="4">
        <f>IF(ISNUMBER('3UP(실측)'!Y7),IF(AD7&gt;0,'3UP(실측)'!Y7+UP3멍텅U늘림,'3UP(실측)'!Y7+1.2),0)</f>
        <v>48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8</v>
      </c>
      <c r="AE7" s="4">
        <f>'3UP(실측)'!AA7+뒷날개치수더함</f>
        <v>40</v>
      </c>
      <c r="AF7" s="4">
        <f>'3UP(실측)'!AB7+뒷날개치수더함</f>
        <v>50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2445*348.4</v>
      </c>
      <c r="AN7" s="12" t="str">
        <f t="shared" ref="AN7" si="2">BB7&amp;"*"&amp;BA7</f>
        <v>2087*480.2</v>
      </c>
      <c r="AO7" s="10" t="str">
        <f t="shared" ref="AO7" si="3">BD7&amp;"*"&amp;BC7</f>
        <v>2087*478.2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0.1119056770662069</v>
      </c>
      <c r="AV7" s="36">
        <f>E7-COS(RADIANS(AU7))*G7</f>
        <v>4.8827985301613808E-4</v>
      </c>
      <c r="AW7" s="36">
        <f>F7-COS(RADIANS(AU7))*J7</f>
        <v>4.8827985301613808E-4</v>
      </c>
      <c r="AX7" s="46" t="str">
        <f>IF(E7+AG7&lt;&gt;F7+AJ7,"JD비대칭","")</f>
        <v/>
      </c>
      <c r="AY7" s="3">
        <f>D7 + IF(AC7+AD7&gt;0, O7+P7,0)</f>
        <v>2445</v>
      </c>
      <c r="AZ7" s="3">
        <f>AC7+MAX(E7,F7)+AE7+AD7-1.2*$AM$3+IF(BG7=0,MAX(AG7,AJ7))+IF(AD7=0,1.2,0)</f>
        <v>348.4</v>
      </c>
      <c r="BA7" s="3">
        <f>S7+Q7+MAX(G7,I7)+AF7-1.2*$AO$3+IF(BG7=0,MAX(AG7,AI7))+IF(S7=0,1.2,0)</f>
        <v>480.2</v>
      </c>
      <c r="BB7" s="3">
        <f>MAX(U7,V7+W7+X7)</f>
        <v>2087</v>
      </c>
      <c r="BC7" s="3">
        <f>T7+R7+MAX(J7,L7)+AF7-1.2*$AO$3+IF(BG7=0,MAX(AJ7,AL7))+IF(T7=0,1.2,0)</f>
        <v>478.2</v>
      </c>
      <c r="BD7" s="3">
        <f>MAX(Y7,Z7+AA7+AB7)</f>
        <v>2087</v>
      </c>
      <c r="BE7">
        <f>G7-E7</f>
        <v>0</v>
      </c>
      <c r="BF7">
        <f>9-AD7</f>
        <v>1</v>
      </c>
      <c r="BG7" s="79">
        <f>IF(AND(MIN(AG7,AJ7)&gt;=9.2,D7-C7&gt;15),0,1)</f>
        <v>1</v>
      </c>
      <c r="BH7" s="83">
        <f>IF(소장="손상민",'3UP(실측)'!AK7,0)</f>
        <v>0</v>
      </c>
    </row>
    <row r="8" spans="1:60" ht="26.25" customHeight="1" x14ac:dyDescent="0.3">
      <c r="A8" s="4">
        <f>'3UP(실측)'!A8</f>
        <v>0</v>
      </c>
      <c r="B8" s="4" t="str">
        <f>'3UP(실측)'!B8&amp;"F"</f>
        <v>B2F</v>
      </c>
      <c r="C8" s="4">
        <f>'3UP(실측)'!C8-UP3멍텅OP</f>
        <v>2448</v>
      </c>
      <c r="D8" s="4">
        <f>'3UP(실측)'!D8-UP3멍텅R</f>
        <v>2449</v>
      </c>
      <c r="E8" s="4">
        <f>'3UP(실측)'!E8+MAX(AR8,AS8)+IF(BG8=1,AG8,0)+UP3멍텅JBJD늘림치수</f>
        <v>256</v>
      </c>
      <c r="F8" s="4">
        <f>'3UP(실측)'!F8+MAX(AR8,AS8)+IF(BG8=1,AJ8,0)+UP3멍텅JBJD늘림치수</f>
        <v>256</v>
      </c>
      <c r="G8" s="4">
        <f>'3UP(실측)'!G8+AR8+IF(BG8=1,AG8,0)+UP3멍텅JB강제키움+UP3멍텅JBJD늘림치수</f>
        <v>256</v>
      </c>
      <c r="H8" s="4">
        <f>'3UP(실측)'!H8+AR8+IF(BG8=1,AH8,0)+UP3멍텅JB강제키움+UP3멍텅JBJD늘림치수-IF(UP3멍텅JB하부늘치=1,'3UP(실측)'!AC8-'3UP(실측)'!AD8,0)</f>
        <v>316</v>
      </c>
      <c r="I8" s="4">
        <f>'3UP(실측)'!I8+AR8+IF(BG8=1,AI8,0)+UP3멍텅JB강제키움+UP3멍텅JBJD늘림치수-IF(UP3멍텅JB하부늘치=1,'3UP(실측)'!AC8-'3UP(실측)'!AE8,0)</f>
        <v>376</v>
      </c>
      <c r="J8" s="4">
        <f>'3UP(실측)'!J8+AS8+IF(BG8=1,AJ8,0)+UP3멍텅JB강제키움+UP3멍텅JBJD늘림치수</f>
        <v>256</v>
      </c>
      <c r="K8" s="4">
        <f>'3UP(실측)'!K8+AS8+IF(BG8=1,AK8,0)+UP3멍텅JB강제키움+UP3멍텅JBJD늘림치수-IF(UP3멍텅JB하부늘치=1,'3UP(실측)'!AF8-'3UP(실측)'!AG8,0)</f>
        <v>316</v>
      </c>
      <c r="L8" s="4">
        <f>'3UP(실측)'!L8+AS8+IF(BG8=1,AL8,0)+UP3멍텅JB강제키움+UP3멍텅JBJD늘림치수-IF(UP3멍텅JB하부늘치=1,'3UP(실측)'!AF8-'3UP(실측)'!AH8,0)</f>
        <v>376</v>
      </c>
      <c r="M8" s="103">
        <f>MAX(H8-G8,I8-H8)</f>
        <v>60</v>
      </c>
      <c r="N8" s="103">
        <f>MAX(K8-J8,L8-K8)</f>
        <v>60</v>
      </c>
      <c r="O8" s="4">
        <f t="shared" ref="O8" si="4">Q8+IF(소장="손상민",0,-1.5)</f>
        <v>46.5</v>
      </c>
      <c r="P8" s="4">
        <f t="shared" ref="P8" si="5">R8+IF(소장="손상민",0,-1.5)</f>
        <v>46.5</v>
      </c>
      <c r="Q8" s="4">
        <f>IF(S8&gt;0,'3UP(실측)'!M8+UP3멍텅C늘림,'3UP(실측)'!M8+1)</f>
        <v>48</v>
      </c>
      <c r="R8" s="4">
        <f>IF(T8&gt;0,'3UP(실측)'!N8+UP3멍텅C늘림,'3UP(실측)'!N8+1)</f>
        <v>48</v>
      </c>
      <c r="S8" s="4">
        <f>IF(ISNUMBER('3UP(실측)'!O8),'3UP(실측)'!O8+AR8+UP3멍텅A늘림,0)</f>
        <v>11</v>
      </c>
      <c r="T8" s="4">
        <f>IF(ISNUMBER('3UP(실측)'!P8),'3UP(실측)'!P8+AS8+UP3멍텅A늘림,0)</f>
        <v>9</v>
      </c>
      <c r="U8" s="4">
        <f>'3UP(실측)'!Q8-UP3멍텅기둥차감</f>
        <v>2089</v>
      </c>
      <c r="V8" s="4">
        <f>'3UP(실측)'!R8</f>
        <v>707</v>
      </c>
      <c r="W8" s="4">
        <f>'3UP(실측)'!S8</f>
        <v>700</v>
      </c>
      <c r="X8" s="4">
        <f>'3UP(실측)'!T8-UP3멍텅기둥차감</f>
        <v>680</v>
      </c>
      <c r="Y8" s="4">
        <f>'3UP(실측)'!U8-UP3멍텅기둥차감</f>
        <v>2091</v>
      </c>
      <c r="Z8" s="4">
        <f>'3UP(실측)'!V8</f>
        <v>707</v>
      </c>
      <c r="AA8" s="4">
        <f>'3UP(실측)'!W8</f>
        <v>700</v>
      </c>
      <c r="AB8" s="4">
        <f>'3UP(실측)'!X8-UP3멍텅기둥차감</f>
        <v>680</v>
      </c>
      <c r="AC8" s="4">
        <f>IF(ISNUMBER('3UP(실측)'!Y8),IF(AD8&gt;0,'3UP(실측)'!Y8+UP3멍텅U늘림,'3UP(실측)'!Y8+1.2),0)</f>
        <v>48</v>
      </c>
      <c r="AD8" s="4">
        <f>IF(OR(UP3멍텅G="", UP3멍텅G=0),IF(ISNUMBER('3UP(실측)'!Z8),IF('3UP(실측)'!Z8+멍텅A늘림++MAX(AR8,AS8)&gt;9,'3UP(실측)'!Z8+멍텅A늘림++MAX(AR8,AS8),'3UP(실측)'!Z8+멍텅A늘림+MAX(AR8,AS8)),0),UP3멍텅G)</f>
        <v>8</v>
      </c>
      <c r="AE8" s="4">
        <f>'3UP(실측)'!AA8+뒷날개치수더함</f>
        <v>40</v>
      </c>
      <c r="AF8" s="4">
        <f>'3UP(실측)'!AB8+뒷날개치수더함</f>
        <v>50</v>
      </c>
      <c r="AG8" s="13">
        <f>'3UP(실측)'!AC8-UP3멍텅늘치차감</f>
        <v>0</v>
      </c>
      <c r="AH8" s="13">
        <f>IF(UP3멍텅JB하부늘치=1,AG8,'3UP(실측)'!AD8-UP3멍텅늘치차감)</f>
        <v>0</v>
      </c>
      <c r="AI8" s="13">
        <f>IF(UP3멍텅JB하부늘치=1,AG8,'3UP(실측)'!AE8-UP3멍텅늘치차감)</f>
        <v>0</v>
      </c>
      <c r="AJ8" s="13">
        <f>'3UP(실측)'!AF8-UP3멍텅늘치차감</f>
        <v>0</v>
      </c>
      <c r="AK8" s="13">
        <f>IF(UP3멍텅JB하부늘치=1,AJ8,'3UP(실측)'!AG8-UP3멍텅늘치차감)</f>
        <v>0</v>
      </c>
      <c r="AL8" s="13">
        <f>IF(UP3멍텅JB하부늘치=1,AJ8,'3UP(실측)'!AH8-UP3멍텅늘치차감)</f>
        <v>0</v>
      </c>
      <c r="AM8" s="11" t="str">
        <f t="shared" ref="AM8" si="6">AY8&amp;"*"&amp;AZ8</f>
        <v>2542*348.4</v>
      </c>
      <c r="AN8" s="12" t="str">
        <f t="shared" ref="AN8" si="7">BB8&amp;"*"&amp;BA8</f>
        <v>2089*480.2</v>
      </c>
      <c r="AO8" s="10" t="str">
        <f t="shared" ref="AO8" si="8">BD8&amp;"*"&amp;BC8</f>
        <v>2091*478.2</v>
      </c>
      <c r="AP8" s="31">
        <f>IF('3UP(실측)'!AI8&gt;0,'3UP(실측)'!AI8-'3UP(실측)'!AA8+1.2,0)</f>
        <v>0</v>
      </c>
      <c r="AQ8" s="31">
        <f>IF('3UP(실측)'!AJ8&gt;0,'3UP(실측)'!AJ8-'3UP(실측)'!AA8+1.2,0)</f>
        <v>0</v>
      </c>
      <c r="AR8" s="3">
        <f>IF(AND(ISNUMBER('3UP(실측)'!P8),ISNUMBER('3UP(실측)'!O8)),IF(ISNUMBER('3UP(실측)'!O8),IF(9-MIN('3UP(실측)'!O8+멍텅A늘림,'3UP(실측)'!P8+멍텅A늘림)&lt;AT8,AT8,9-MIN('3UP(실측)'!O8+멍텅A늘림,'3UP(실측)'!P8+멍텅A늘림) + AT8 ),0),IF(ISNUMBER('3UP(실측)'!O8),IF(9-'3UP(실측)'!O8-멍텅A늘림+AT8&lt;AT8,AT8,9-'3UP(실측)'!O8-멍텅A늘림+AT8),0))</f>
        <v>0</v>
      </c>
      <c r="AS8" s="3">
        <f>IF(AND(ISNUMBER('3UP(실측)'!O8),ISNUMBER('3UP(실측)'!P8)),IF(ISNUMBER('3UP(실측)'!P8),IF(9-MIN('3UP(실측)'!P8+멍텅A늘림,'3UP(실측)'!O8+멍텅A늘림)&lt;AT8,AT8,9-MIN('3UP(실측)'!P8+멍텅A늘림,'3UP(실측)'!O8+멍텅A늘림) + AT8 ),0),IF(ISNUMBER('3UP(실측)'!P8),IF(9-'3UP(실측)'!P8-멍텅A늘림+AT8&lt;AT8,AT8,9-'3UP(실측)'!P8-멍텅A늘림+AT8),0))</f>
        <v>0</v>
      </c>
      <c r="AT8" s="16"/>
      <c r="AU8" s="17">
        <f>DEGREES(ATAN((D8-C8)/2/(E8)))</f>
        <v>0.1119056770662069</v>
      </c>
      <c r="AV8" s="36">
        <f>E8-COS(RADIANS(AU8))*G8</f>
        <v>4.8827985301613808E-4</v>
      </c>
      <c r="AW8" s="36">
        <f>F8-COS(RADIANS(AU8))*J8</f>
        <v>4.8827985301613808E-4</v>
      </c>
      <c r="AX8" s="46" t="str">
        <f>IF(E8+AG8&lt;&gt;F8+AJ8,"JD비대칭","")</f>
        <v/>
      </c>
      <c r="AY8" s="3">
        <f>D8 + IF(AC8+AD8&gt;0, O8+P8,0)</f>
        <v>2542</v>
      </c>
      <c r="AZ8" s="3">
        <f>AC8+MAX(E8,F8)+AE8+AD8-1.2*$AM$3+IF(BG8=0,MAX(AG8,AJ8))+IF(AD8=0,1.2,0)</f>
        <v>348.4</v>
      </c>
      <c r="BA8" s="3">
        <f>S8+Q8+MAX(G8,I8)+AF8-1.2*$AO$3+IF(BG8=0,MAX(AG8,AI8))+IF(S8=0,1.2,0)</f>
        <v>480.2</v>
      </c>
      <c r="BB8" s="3">
        <f>MAX(U8,V8+W8+X8)</f>
        <v>2089</v>
      </c>
      <c r="BC8" s="3">
        <f>T8+R8+MAX(J8,L8)+AF8-1.2*$AO$3+IF(BG8=0,MAX(AJ8,AL8))+IF(T8=0,1.2,0)</f>
        <v>478.2</v>
      </c>
      <c r="BD8" s="3">
        <f>MAX(Y8,Z8+AA8+AB8)</f>
        <v>2091</v>
      </c>
      <c r="BE8">
        <f>G8-E8</f>
        <v>0</v>
      </c>
      <c r="BF8">
        <f>9-AD8</f>
        <v>1</v>
      </c>
      <c r="BG8" s="79">
        <f>IF(AND(MIN(AG8,AJ8)&gt;=9.2,D8-C8&gt;15),0,1)</f>
        <v>1</v>
      </c>
      <c r="BH8" s="83">
        <f>IF(소장="손상민",'3UP(실측)'!AK8,0)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:E8">
    <cfRule type="cellIs" dxfId="2" priority="3" operator="notEqual">
      <formula>F7</formula>
    </cfRule>
  </conditionalFormatting>
  <conditionalFormatting sqref="F7:F8">
    <cfRule type="cellIs" dxfId="1" priority="2" operator="notEqual">
      <formula>E7</formula>
    </cfRule>
  </conditionalFormatting>
  <conditionalFormatting sqref="AG7:AL8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2024-08-05T08:48:39Z</dcterms:modified>
</cp:coreProperties>
</file>