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510ADE8C-68FB-47DE-AD74-586A00F22CB6}" xr6:coauthVersionLast="47" xr6:coauthVersionMax="47" xr10:uidLastSave="{00000000-0000-0000-0000-000000000000}"/>
  <bookViews>
    <workbookView xWindow="-120" yWindow="-120" windowWidth="29040" windowHeight="15840" tabRatio="947" activeTab="7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실측" sheetId="27" r:id="rId18"/>
    <sheet name="2UP제작" sheetId="28" r:id="rId19"/>
    <sheet name="3UP실측" sheetId="31" r:id="rId20"/>
    <sheet name="3UP제작" sheetId="32" r:id="rId21"/>
  </sheets>
  <definedNames>
    <definedName name="_xlnm.Print_Area" localSheetId="17">'2UP실측'!$A$1:$AJ$8</definedName>
    <definedName name="_xlnm.Print_Area" localSheetId="18">'2UP제작'!$A$1:$AQ$7</definedName>
    <definedName name="_xlnm.Print_Area" localSheetId="19">'3UP실측'!$A$1:$AN$8</definedName>
    <definedName name="_xlnm.Print_Area" localSheetId="20">'3UP제작'!$A$1:$AU$7</definedName>
    <definedName name="_xlnm.Print_Area" localSheetId="15">'4CO멍텅(실측)'!$A$1:$AL$8</definedName>
    <definedName name="_xlnm.Print_Area" localSheetId="16">'4CO멍텅제작'!$A$1:$AU$7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SO멍텅제작!$A$1:$AU$7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멍텅제작!$A$1:$AP$7</definedName>
    <definedName name="_xlnm.Print_Area" localSheetId="2">'와이드(실측)'!$A$1:$AG$8</definedName>
    <definedName name="_xlnm.Print_Area" localSheetId="3">와이드제작!$A$1:$AU$13</definedName>
    <definedName name="_xlnm.Print_Area" localSheetId="6">'쪽쟘(실측)'!$A$1:$T$8</definedName>
    <definedName name="_xlnm.Print_Area" localSheetId="8">쪽쟘샤링!$A$1:$X$126</definedName>
    <definedName name="_xlnm.Print_Area" localSheetId="7">쪽쟘제작!$A$1:$AA$126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 localSheetId="18">'2UP제작'!$AA$3</definedName>
    <definedName name="멍텅A늘림" localSheetId="20">'3UP제작'!$AE$3</definedName>
    <definedName name="멍텅A늘림" localSheetId="16">'4CO멍텅제작'!$AB$3</definedName>
    <definedName name="멍텅A늘림" localSheetId="12">SO멍텅제작!$Z$3</definedName>
    <definedName name="멍텅A늘림">멍텅제작!$W$3</definedName>
    <definedName name="멍텅C늘림" localSheetId="18">'2UP제작'!$P$3</definedName>
    <definedName name="멍텅C늘림" localSheetId="20">'3UP제작'!$R$3</definedName>
    <definedName name="멍텅C늘림" localSheetId="16">'4CO멍텅제작'!$S$3</definedName>
    <definedName name="멍텅C늘림" localSheetId="12">SO멍텅제작!$Q$3</definedName>
    <definedName name="멍텅C늘림">멍텅제작!$N$3</definedName>
    <definedName name="멍텅G" localSheetId="18">'2UP제작'!$W$2</definedName>
    <definedName name="멍텅G" localSheetId="20">'3UP제작'!$Y$2</definedName>
    <definedName name="멍텅G" localSheetId="16">'4CO멍텅제작'!$Y$2</definedName>
    <definedName name="멍텅G" localSheetId="12">SO멍텅제작!$W$2</definedName>
    <definedName name="멍텅G">멍텅제작!$T$2</definedName>
    <definedName name="멍텅JBJD늘림치수" localSheetId="18">'2UP제작'!$J$3</definedName>
    <definedName name="멍텅JBJD늘림치수" localSheetId="20">'3UP제작'!$L$3</definedName>
    <definedName name="멍텅JBJD늘림치수" localSheetId="16">'4CO멍텅제작'!$M$3</definedName>
    <definedName name="멍텅JBJD늘림치수" localSheetId="12">SO멍텅제작!$K$3</definedName>
    <definedName name="멍텅JBJD늘림치수">멍텅제작!$J$3</definedName>
    <definedName name="멍텅JB강제키움" localSheetId="18">'2UP제작'!$J$2</definedName>
    <definedName name="멍텅JB강제키움" localSheetId="20">'3UP제작'!$L$2</definedName>
    <definedName name="멍텅JB강제키움" localSheetId="16">'4CO멍텅제작'!$M$2</definedName>
    <definedName name="멍텅JB강제키움" localSheetId="12">SO멍텅제작!$K$2</definedName>
    <definedName name="멍텅JB강제키움">멍텅제작!$J$2</definedName>
    <definedName name="멍텅JB하부늘치" localSheetId="18">'2UP제작'!$R$2</definedName>
    <definedName name="멍텅JB하부늘치" localSheetId="20">'3UP제작'!$T$2</definedName>
    <definedName name="멍텅JB하부늘치" localSheetId="16">'4CO멍텅제작'!$U$2</definedName>
    <definedName name="멍텅JB하부늘치" localSheetId="12">SO멍텅제작!$S$2</definedName>
    <definedName name="멍텅JB하부늘치">멍텅제작!$P$2</definedName>
    <definedName name="멍텅OP" localSheetId="18">'2UP제작'!$B$2</definedName>
    <definedName name="멍텅OP" localSheetId="20">'3UP제작'!$B$2</definedName>
    <definedName name="멍텅OP" localSheetId="16">'4CO멍텅제작'!$B$2</definedName>
    <definedName name="멍텅OP" localSheetId="12">SO멍텅제작!$B$2</definedName>
    <definedName name="멍텅OP">멍텅제작!$B$2</definedName>
    <definedName name="멍텅R" localSheetId="18">'2UP제작'!$D$2</definedName>
    <definedName name="멍텅R" localSheetId="20">'3UP제작'!$D$2</definedName>
    <definedName name="멍텅R" localSheetId="16">'4CO멍텅제작'!$F$2</definedName>
    <definedName name="멍텅R" localSheetId="12">SO멍텅제작!$E$2</definedName>
    <definedName name="멍텅R">멍텅제작!$D$2</definedName>
    <definedName name="멍텅U늘림" localSheetId="18">'2UP제작'!$AA$2</definedName>
    <definedName name="멍텅U늘림" localSheetId="20">'3UP제작'!$AE$2</definedName>
    <definedName name="멍텅U늘림" localSheetId="16">'4CO멍텅제작'!$AB$2</definedName>
    <definedName name="멍텅U늘림" localSheetId="12">SO멍텅제작!$Z$2</definedName>
    <definedName name="멍텅U늘림">멍텅제작!$W$2</definedName>
    <definedName name="멍텅기둥차감" localSheetId="18">'2UP제작'!$AE$2</definedName>
    <definedName name="멍텅기둥차감" localSheetId="20">'3UP제작'!$AI$2</definedName>
    <definedName name="멍텅기둥차감" localSheetId="16">'4CO멍텅제작'!$AF$2</definedName>
    <definedName name="멍텅기둥차감" localSheetId="12">SO멍텅제작!$AE$2</definedName>
    <definedName name="멍텅기둥차감">멍텅제작!$AA$2</definedName>
    <definedName name="멍텅늘치" localSheetId="18">'2UP제작'!$U$3</definedName>
    <definedName name="멍텅늘치" localSheetId="20">'3UP제작'!$X$3</definedName>
    <definedName name="멍텅늘치" localSheetId="16">'4CO멍텅제작'!$X$3</definedName>
    <definedName name="멍텅늘치" localSheetId="12">SO멍텅제작!$V$3</definedName>
    <definedName name="멍텅늘치">멍텅제작!$S$3</definedName>
    <definedName name="멍텅늘치차감" localSheetId="18">'2UP제작'!$AH$2</definedName>
    <definedName name="멍텅늘치차감" localSheetId="20">'3UP제작'!$AL$2</definedName>
    <definedName name="멍텅늘치차감" localSheetId="16">'4CO멍텅제작'!$AI$2</definedName>
    <definedName name="멍텅늘치차감" localSheetId="12">SO멍텅제작!$AH$2</definedName>
    <definedName name="멍텅늘치차감">멍텅제작!$AD$2</definedName>
    <definedName name="불러올이미지">INDEX(그림범위HPI,MATCH(정보!$B$5,항목범위HPI,0))</definedName>
    <definedName name="소장">정보!$B$6</definedName>
    <definedName name="와이드A늘림" localSheetId="14">'4CO와이드제작'!$AE$3</definedName>
    <definedName name="와이드A늘림" localSheetId="10">SO와이드제작!$AC$3</definedName>
    <definedName name="와이드A늘림">와이드제작!$Z$3</definedName>
    <definedName name="와이드C값" localSheetId="14">'4CO와이드제작'!$V$3</definedName>
    <definedName name="와이드C값" localSheetId="10">SO와이드제작!$T$3</definedName>
    <definedName name="와이드C값">와이드제작!$Q$3</definedName>
    <definedName name="와이드C값키움" localSheetId="14">'4CO와이드제작'!$V$3</definedName>
    <definedName name="와이드C값키움" localSheetId="10">SO와이드제작!$T$3</definedName>
    <definedName name="와이드C값키움">와이드제작!$Q$3</definedName>
    <definedName name="와이드JBJD키움치수" localSheetId="14">'4CO와이드제작'!$R$3</definedName>
    <definedName name="와이드JBJD키움치수" localSheetId="10">SO와이드제작!$P$3</definedName>
    <definedName name="와이드JBJD키움치수">와이드제작!$M$3</definedName>
    <definedName name="와이드JB하부늘치" localSheetId="14">'4CO와이드제작'!$R$2</definedName>
    <definedName name="와이드JB하부늘치" localSheetId="10">SO와이드제작!$P$2</definedName>
    <definedName name="와이드JB하부늘치">와이드제작!$M$2</definedName>
    <definedName name="와이드J값늘치포함" localSheetId="14">'4CO와이드제작'!$AA$3</definedName>
    <definedName name="와이드J값늘치포함" localSheetId="10">SO와이드제작!$Y$3</definedName>
    <definedName name="와이드J값늘치포함">와이드제작!$V$3</definedName>
    <definedName name="와이드J에늘치포함" localSheetId="14">'4CO와이드제작'!$AA$3</definedName>
    <definedName name="와이드J에늘치포함" localSheetId="10">SO와이드제작!$Y$3</definedName>
    <definedName name="와이드J에늘치포함">와이드제작!$V$3</definedName>
    <definedName name="와이드MH더함" localSheetId="14">'4CO와이드제작'!$I$2</definedName>
    <definedName name="와이드MH더함" localSheetId="10">SO와이드제작!$H$2</definedName>
    <definedName name="와이드MH더함">와이드제작!$G$2</definedName>
    <definedName name="와이드OP" localSheetId="14">'4CO와이드제작'!$B$2</definedName>
    <definedName name="와이드OP" localSheetId="10">SO와이드제작!$B$2</definedName>
    <definedName name="와이드OP">와이드제작!$B$2</definedName>
    <definedName name="와이드R" localSheetId="14">'4CO와이드제작'!$D$2</definedName>
    <definedName name="와이드R" localSheetId="10">SO와이드제작!$D$2</definedName>
    <definedName name="와이드R">와이드제작!$D$2</definedName>
    <definedName name="와이드U" localSheetId="14">'4CO와이드제작'!$V$2</definedName>
    <definedName name="와이드U" localSheetId="10">SO와이드제작!$T$2</definedName>
    <definedName name="와이드U">와이드제작!$Q$2</definedName>
    <definedName name="와이드기둥차감" localSheetId="14">'4CO와이드제작'!$AA$2</definedName>
    <definedName name="와이드기둥차감" localSheetId="10">SO와이드제작!$Y$2</definedName>
    <definedName name="와이드기둥차감">와이드제작!$V$2</definedName>
    <definedName name="와이드늘치" localSheetId="14">'4CO와이드제작'!$AO$2</definedName>
    <definedName name="와이드늘치" localSheetId="10">SO와이드제작!$AN$2</definedName>
    <definedName name="와이드늘치">와이드제작!$AJ$2</definedName>
    <definedName name="와이드늘치차감" localSheetId="14">'4CO와이드제작'!$AO$2</definedName>
    <definedName name="와이드늘치차감" localSheetId="10">SO와이드제작!$AN$2</definedName>
    <definedName name="와이드늘치차감">와이드제작!$AJ$2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9" i="14" l="1"/>
  <c r="E128" i="14"/>
  <c r="E126" i="14"/>
  <c r="E127" i="14"/>
  <c r="A8" i="15" l="1"/>
  <c r="B8" i="15"/>
  <c r="C8" i="15"/>
  <c r="D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A9" i="15"/>
  <c r="B9" i="15"/>
  <c r="C9" i="15"/>
  <c r="D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A10" i="15"/>
  <c r="B10" i="15"/>
  <c r="C10" i="15"/>
  <c r="D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A11" i="15"/>
  <c r="B11" i="15"/>
  <c r="C11" i="15"/>
  <c r="D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A12" i="15"/>
  <c r="B12" i="15"/>
  <c r="C12" i="15"/>
  <c r="D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A13" i="15"/>
  <c r="B13" i="15"/>
  <c r="C13" i="15"/>
  <c r="D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A14" i="15"/>
  <c r="B14" i="15"/>
  <c r="C14" i="15"/>
  <c r="D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A15" i="15"/>
  <c r="B15" i="15"/>
  <c r="C15" i="15"/>
  <c r="D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A16" i="15"/>
  <c r="B16" i="15"/>
  <c r="C16" i="15"/>
  <c r="D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A17" i="15"/>
  <c r="B17" i="15"/>
  <c r="C17" i="15"/>
  <c r="D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A18" i="15"/>
  <c r="B18" i="15"/>
  <c r="C18" i="15"/>
  <c r="D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A19" i="15"/>
  <c r="B19" i="15"/>
  <c r="C19" i="15"/>
  <c r="D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A20" i="15"/>
  <c r="B20" i="15"/>
  <c r="C20" i="15"/>
  <c r="D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A21" i="15"/>
  <c r="B21" i="15"/>
  <c r="C21" i="15"/>
  <c r="D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A22" i="15"/>
  <c r="B22" i="15"/>
  <c r="C22" i="15"/>
  <c r="D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A23" i="15"/>
  <c r="B23" i="15"/>
  <c r="C23" i="15"/>
  <c r="D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A24" i="15"/>
  <c r="B24" i="15"/>
  <c r="C24" i="15"/>
  <c r="D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A25" i="15"/>
  <c r="B25" i="15"/>
  <c r="C25" i="15"/>
  <c r="D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A26" i="15"/>
  <c r="B26" i="15"/>
  <c r="C26" i="15"/>
  <c r="D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A27" i="15"/>
  <c r="B27" i="15"/>
  <c r="C27" i="15"/>
  <c r="D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A28" i="15"/>
  <c r="B28" i="15"/>
  <c r="C28" i="15"/>
  <c r="D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A29" i="15"/>
  <c r="B29" i="15"/>
  <c r="C29" i="15"/>
  <c r="D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A30" i="15"/>
  <c r="B30" i="15"/>
  <c r="C30" i="15"/>
  <c r="D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A31" i="15"/>
  <c r="B31" i="15"/>
  <c r="C31" i="15"/>
  <c r="D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A32" i="15"/>
  <c r="B32" i="15"/>
  <c r="C32" i="15"/>
  <c r="D32" i="15"/>
  <c r="G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A33" i="15"/>
  <c r="B33" i="15"/>
  <c r="C33" i="15"/>
  <c r="D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A34" i="15"/>
  <c r="B34" i="15"/>
  <c r="C34" i="15"/>
  <c r="D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A35" i="15"/>
  <c r="B35" i="15"/>
  <c r="C35" i="15"/>
  <c r="D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A36" i="15"/>
  <c r="B36" i="15"/>
  <c r="C36" i="15"/>
  <c r="D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A37" i="15"/>
  <c r="B37" i="15"/>
  <c r="C37" i="15"/>
  <c r="D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A38" i="15"/>
  <c r="B38" i="15"/>
  <c r="C38" i="15"/>
  <c r="D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A39" i="15"/>
  <c r="B39" i="15"/>
  <c r="C39" i="15"/>
  <c r="D39" i="15"/>
  <c r="G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A40" i="15"/>
  <c r="B40" i="15"/>
  <c r="C40" i="15"/>
  <c r="D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A41" i="15"/>
  <c r="B41" i="15"/>
  <c r="C41" i="15"/>
  <c r="D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A42" i="15"/>
  <c r="B42" i="15"/>
  <c r="C42" i="15"/>
  <c r="D42" i="15"/>
  <c r="G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A43" i="15"/>
  <c r="B43" i="15"/>
  <c r="C43" i="15"/>
  <c r="D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A44" i="15"/>
  <c r="B44" i="15"/>
  <c r="C44" i="15"/>
  <c r="D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A45" i="15"/>
  <c r="B45" i="15"/>
  <c r="C45" i="15"/>
  <c r="D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A46" i="15"/>
  <c r="B46" i="15"/>
  <c r="C46" i="15"/>
  <c r="D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A47" i="15"/>
  <c r="B47" i="15"/>
  <c r="C47" i="15"/>
  <c r="D47" i="15"/>
  <c r="G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A48" i="15"/>
  <c r="B48" i="15"/>
  <c r="C48" i="15"/>
  <c r="D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A49" i="15"/>
  <c r="B49" i="15"/>
  <c r="C49" i="15"/>
  <c r="D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A50" i="15"/>
  <c r="B50" i="15"/>
  <c r="C50" i="15"/>
  <c r="D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A51" i="15"/>
  <c r="B51" i="15"/>
  <c r="C51" i="15"/>
  <c r="D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A52" i="15"/>
  <c r="B52" i="15"/>
  <c r="C52" i="15"/>
  <c r="D52" i="15"/>
  <c r="G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A53" i="15"/>
  <c r="B53" i="15"/>
  <c r="C53" i="15"/>
  <c r="D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A54" i="15"/>
  <c r="B54" i="15"/>
  <c r="C54" i="15"/>
  <c r="D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A55" i="15"/>
  <c r="B55" i="15"/>
  <c r="C55" i="15"/>
  <c r="D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A56" i="15"/>
  <c r="B56" i="15"/>
  <c r="C56" i="15"/>
  <c r="D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A57" i="15"/>
  <c r="B57" i="15"/>
  <c r="C57" i="15"/>
  <c r="D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A58" i="15"/>
  <c r="B58" i="15"/>
  <c r="C58" i="15"/>
  <c r="D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A59" i="15"/>
  <c r="B59" i="15"/>
  <c r="C59" i="15"/>
  <c r="D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A60" i="15"/>
  <c r="B60" i="15"/>
  <c r="C60" i="15"/>
  <c r="D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A61" i="15"/>
  <c r="B61" i="15"/>
  <c r="C61" i="15"/>
  <c r="D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A62" i="15"/>
  <c r="B62" i="15"/>
  <c r="C62" i="15"/>
  <c r="D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A63" i="15"/>
  <c r="B63" i="15"/>
  <c r="C63" i="15"/>
  <c r="D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A64" i="15"/>
  <c r="B64" i="15"/>
  <c r="C64" i="15"/>
  <c r="D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A65" i="15"/>
  <c r="B65" i="15"/>
  <c r="C65" i="15"/>
  <c r="D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A66" i="15"/>
  <c r="B66" i="15"/>
  <c r="C66" i="15"/>
  <c r="D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A67" i="15"/>
  <c r="B67" i="15"/>
  <c r="C67" i="15"/>
  <c r="D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A68" i="15"/>
  <c r="B68" i="15"/>
  <c r="C68" i="15"/>
  <c r="D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A69" i="15"/>
  <c r="B69" i="15"/>
  <c r="C69" i="15"/>
  <c r="D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A70" i="15"/>
  <c r="B70" i="15"/>
  <c r="C70" i="15"/>
  <c r="D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A71" i="15"/>
  <c r="B71" i="15"/>
  <c r="C71" i="15"/>
  <c r="D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A72" i="15"/>
  <c r="B72" i="15"/>
  <c r="C72" i="15"/>
  <c r="D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A73" i="15"/>
  <c r="B73" i="15"/>
  <c r="C73" i="15"/>
  <c r="D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A74" i="15"/>
  <c r="B74" i="15"/>
  <c r="C74" i="15"/>
  <c r="D74" i="15"/>
  <c r="G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A75" i="15"/>
  <c r="B75" i="15"/>
  <c r="C75" i="15"/>
  <c r="D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A76" i="15"/>
  <c r="B76" i="15"/>
  <c r="C76" i="15"/>
  <c r="D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A77" i="15"/>
  <c r="B77" i="15"/>
  <c r="C77" i="15"/>
  <c r="D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A78" i="15"/>
  <c r="B78" i="15"/>
  <c r="C78" i="15"/>
  <c r="D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A79" i="15"/>
  <c r="B79" i="15"/>
  <c r="C79" i="15"/>
  <c r="D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A80" i="15"/>
  <c r="B80" i="15"/>
  <c r="C80" i="15"/>
  <c r="D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A81" i="15"/>
  <c r="B81" i="15"/>
  <c r="C81" i="15"/>
  <c r="D81" i="15"/>
  <c r="G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A82" i="15"/>
  <c r="B82" i="15"/>
  <c r="C82" i="15"/>
  <c r="D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A83" i="15"/>
  <c r="B83" i="15"/>
  <c r="C83" i="15"/>
  <c r="D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A84" i="15"/>
  <c r="B84" i="15"/>
  <c r="C84" i="15"/>
  <c r="D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A85" i="15"/>
  <c r="B85" i="15"/>
  <c r="C85" i="15"/>
  <c r="D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A86" i="15"/>
  <c r="B86" i="15"/>
  <c r="C86" i="15"/>
  <c r="D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A87" i="15"/>
  <c r="B87" i="15"/>
  <c r="C87" i="15"/>
  <c r="D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A88" i="15"/>
  <c r="B88" i="15"/>
  <c r="C88" i="15"/>
  <c r="D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A89" i="15"/>
  <c r="B89" i="15"/>
  <c r="C89" i="15"/>
  <c r="D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A90" i="15"/>
  <c r="B90" i="15"/>
  <c r="C90" i="15"/>
  <c r="D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A91" i="15"/>
  <c r="B91" i="15"/>
  <c r="C91" i="15"/>
  <c r="D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A92" i="15"/>
  <c r="B92" i="15"/>
  <c r="C92" i="15"/>
  <c r="D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A93" i="15"/>
  <c r="B93" i="15"/>
  <c r="C93" i="15"/>
  <c r="D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A94" i="15"/>
  <c r="B94" i="15"/>
  <c r="C94" i="15"/>
  <c r="D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A95" i="15"/>
  <c r="B95" i="15"/>
  <c r="C95" i="15"/>
  <c r="D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A96" i="15"/>
  <c r="B96" i="15"/>
  <c r="C96" i="15"/>
  <c r="D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A97" i="15"/>
  <c r="B97" i="15"/>
  <c r="C97" i="15"/>
  <c r="D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A98" i="15"/>
  <c r="B98" i="15"/>
  <c r="C98" i="15"/>
  <c r="D98" i="15"/>
  <c r="G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A99" i="15"/>
  <c r="B99" i="15"/>
  <c r="C99" i="15"/>
  <c r="D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A100" i="15"/>
  <c r="B100" i="15"/>
  <c r="C100" i="15"/>
  <c r="D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A101" i="15"/>
  <c r="B101" i="15"/>
  <c r="C101" i="15"/>
  <c r="D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A102" i="15"/>
  <c r="B102" i="15"/>
  <c r="C102" i="15"/>
  <c r="D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A103" i="15"/>
  <c r="B103" i="15"/>
  <c r="C103" i="15"/>
  <c r="D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A104" i="15"/>
  <c r="B104" i="15"/>
  <c r="C104" i="15"/>
  <c r="D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A105" i="15"/>
  <c r="B105" i="15"/>
  <c r="C105" i="15"/>
  <c r="D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A106" i="15"/>
  <c r="B106" i="15"/>
  <c r="C106" i="15"/>
  <c r="D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A107" i="15"/>
  <c r="B107" i="15"/>
  <c r="C107" i="15"/>
  <c r="D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A108" i="15"/>
  <c r="B108" i="15"/>
  <c r="C108" i="15"/>
  <c r="D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A109" i="15"/>
  <c r="B109" i="15"/>
  <c r="C109" i="15"/>
  <c r="D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A110" i="15"/>
  <c r="B110" i="15"/>
  <c r="C110" i="15"/>
  <c r="D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A111" i="15"/>
  <c r="B111" i="15"/>
  <c r="C111" i="15"/>
  <c r="D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A112" i="15"/>
  <c r="B112" i="15"/>
  <c r="C112" i="15"/>
  <c r="D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A113" i="15"/>
  <c r="B113" i="15"/>
  <c r="C113" i="15"/>
  <c r="D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A114" i="15"/>
  <c r="B114" i="15"/>
  <c r="C114" i="15"/>
  <c r="D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A115" i="15"/>
  <c r="B115" i="15"/>
  <c r="C115" i="15"/>
  <c r="D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A116" i="15"/>
  <c r="B116" i="15"/>
  <c r="C116" i="15"/>
  <c r="D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A117" i="15"/>
  <c r="B117" i="15"/>
  <c r="C117" i="15"/>
  <c r="D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A118" i="15"/>
  <c r="B118" i="15"/>
  <c r="C118" i="15"/>
  <c r="D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A119" i="15"/>
  <c r="B119" i="15"/>
  <c r="C119" i="15"/>
  <c r="D119" i="15"/>
  <c r="G119" i="15"/>
  <c r="H119" i="15"/>
  <c r="I119" i="15"/>
  <c r="J119" i="15"/>
  <c r="K119" i="15"/>
  <c r="L119" i="15"/>
  <c r="M119" i="15"/>
  <c r="N119" i="15"/>
  <c r="O119" i="15"/>
  <c r="P119" i="15"/>
  <c r="Q119" i="15"/>
  <c r="R119" i="15"/>
  <c r="S119" i="15"/>
  <c r="T119" i="15"/>
  <c r="U119" i="15"/>
  <c r="V119" i="15"/>
  <c r="W119" i="15"/>
  <c r="X119" i="15"/>
  <c r="A120" i="15"/>
  <c r="B120" i="15"/>
  <c r="C120" i="15"/>
  <c r="D120" i="15"/>
  <c r="G120" i="15"/>
  <c r="H120" i="15"/>
  <c r="I120" i="15"/>
  <c r="J120" i="15"/>
  <c r="K120" i="15"/>
  <c r="L120" i="15"/>
  <c r="M120" i="15"/>
  <c r="N120" i="15"/>
  <c r="O120" i="15"/>
  <c r="P120" i="15"/>
  <c r="Q120" i="15"/>
  <c r="R120" i="15"/>
  <c r="S120" i="15"/>
  <c r="T120" i="15"/>
  <c r="U120" i="15"/>
  <c r="V120" i="15"/>
  <c r="W120" i="15"/>
  <c r="X120" i="15"/>
  <c r="A121" i="15"/>
  <c r="B121" i="15"/>
  <c r="C121" i="15"/>
  <c r="D121" i="15"/>
  <c r="G121" i="15"/>
  <c r="I121" i="15"/>
  <c r="J121" i="15"/>
  <c r="K121" i="15"/>
  <c r="L121" i="15"/>
  <c r="M121" i="15"/>
  <c r="N121" i="15"/>
  <c r="O121" i="15"/>
  <c r="P121" i="15"/>
  <c r="Q121" i="15"/>
  <c r="R121" i="15"/>
  <c r="S121" i="15"/>
  <c r="T121" i="15"/>
  <c r="U121" i="15"/>
  <c r="V121" i="15"/>
  <c r="W121" i="15"/>
  <c r="X121" i="15"/>
  <c r="A122" i="15"/>
  <c r="B122" i="15"/>
  <c r="C122" i="15"/>
  <c r="D122" i="15"/>
  <c r="G122" i="15"/>
  <c r="H122" i="15"/>
  <c r="I122" i="15"/>
  <c r="J122" i="15"/>
  <c r="K122" i="15"/>
  <c r="L122" i="15"/>
  <c r="M122" i="15"/>
  <c r="N122" i="15"/>
  <c r="O122" i="15"/>
  <c r="P122" i="15"/>
  <c r="Q122" i="15"/>
  <c r="R122" i="15"/>
  <c r="S122" i="15"/>
  <c r="T122" i="15"/>
  <c r="U122" i="15"/>
  <c r="V122" i="15"/>
  <c r="W122" i="15"/>
  <c r="X122" i="15"/>
  <c r="A123" i="15"/>
  <c r="B123" i="15"/>
  <c r="C123" i="15"/>
  <c r="D123" i="15"/>
  <c r="G123" i="15"/>
  <c r="H123" i="15"/>
  <c r="I123" i="15"/>
  <c r="J123" i="15"/>
  <c r="K123" i="15"/>
  <c r="L123" i="15"/>
  <c r="M123" i="15"/>
  <c r="N123" i="15"/>
  <c r="O123" i="15"/>
  <c r="P123" i="15"/>
  <c r="Q123" i="15"/>
  <c r="R123" i="15"/>
  <c r="S123" i="15"/>
  <c r="T123" i="15"/>
  <c r="U123" i="15"/>
  <c r="V123" i="15"/>
  <c r="W123" i="15"/>
  <c r="X123" i="15"/>
  <c r="A124" i="15"/>
  <c r="B124" i="15"/>
  <c r="C124" i="15"/>
  <c r="D124" i="15"/>
  <c r="G124" i="15"/>
  <c r="H124" i="15"/>
  <c r="I124" i="15"/>
  <c r="J124" i="15"/>
  <c r="K124" i="15"/>
  <c r="L124" i="15"/>
  <c r="M124" i="15"/>
  <c r="N124" i="15"/>
  <c r="O124" i="15"/>
  <c r="P124" i="15"/>
  <c r="Q124" i="15"/>
  <c r="R124" i="15"/>
  <c r="S124" i="15"/>
  <c r="T124" i="15"/>
  <c r="U124" i="15"/>
  <c r="V124" i="15"/>
  <c r="W124" i="15"/>
  <c r="X124" i="15"/>
  <c r="A125" i="15"/>
  <c r="B125" i="15"/>
  <c r="C125" i="15"/>
  <c r="D125" i="15"/>
  <c r="I125" i="15"/>
  <c r="J125" i="15"/>
  <c r="K125" i="15"/>
  <c r="L125" i="15"/>
  <c r="M125" i="15"/>
  <c r="N125" i="15"/>
  <c r="O125" i="15"/>
  <c r="P125" i="15"/>
  <c r="Q125" i="15"/>
  <c r="R125" i="15"/>
  <c r="S125" i="15"/>
  <c r="T125" i="15"/>
  <c r="U125" i="15"/>
  <c r="V125" i="15"/>
  <c r="W125" i="15"/>
  <c r="X125" i="15"/>
  <c r="A118" i="14"/>
  <c r="B118" i="14"/>
  <c r="D118" i="14"/>
  <c r="I118" i="14"/>
  <c r="AC118" i="14" s="1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V118" i="14"/>
  <c r="W118" i="14"/>
  <c r="E118" i="14" s="1"/>
  <c r="X118" i="14"/>
  <c r="Y118" i="14"/>
  <c r="Z118" i="14"/>
  <c r="AA118" i="14"/>
  <c r="AF118" i="14"/>
  <c r="AH118" i="14"/>
  <c r="A119" i="14"/>
  <c r="B119" i="14"/>
  <c r="D119" i="14"/>
  <c r="I119" i="14"/>
  <c r="J119" i="14"/>
  <c r="AC119" i="14" s="1"/>
  <c r="K119" i="14"/>
  <c r="L119" i="14"/>
  <c r="M119" i="14"/>
  <c r="N119" i="14"/>
  <c r="O119" i="14"/>
  <c r="P119" i="14"/>
  <c r="AF119" i="14" s="1"/>
  <c r="Q119" i="14"/>
  <c r="R119" i="14"/>
  <c r="AH119" i="14" s="1"/>
  <c r="S119" i="14"/>
  <c r="T119" i="14"/>
  <c r="U119" i="14"/>
  <c r="V119" i="14"/>
  <c r="W119" i="14"/>
  <c r="X119" i="14"/>
  <c r="E119" i="14" s="1"/>
  <c r="Y119" i="14"/>
  <c r="Z119" i="14"/>
  <c r="AA119" i="14"/>
  <c r="A120" i="14"/>
  <c r="B120" i="14"/>
  <c r="D120" i="14"/>
  <c r="AC120" i="14" s="1"/>
  <c r="I120" i="14"/>
  <c r="J120" i="14"/>
  <c r="K120" i="14"/>
  <c r="L120" i="14"/>
  <c r="M120" i="14"/>
  <c r="N120" i="14"/>
  <c r="O120" i="14"/>
  <c r="P120" i="14"/>
  <c r="Q120" i="14"/>
  <c r="AH120" i="14" s="1"/>
  <c r="R120" i="14"/>
  <c r="S120" i="14"/>
  <c r="T120" i="14"/>
  <c r="U120" i="14"/>
  <c r="V120" i="14"/>
  <c r="W120" i="14"/>
  <c r="F120" i="14" s="1"/>
  <c r="X120" i="14"/>
  <c r="Y120" i="14"/>
  <c r="Z120" i="14"/>
  <c r="AA120" i="14"/>
  <c r="A121" i="14"/>
  <c r="B121" i="14"/>
  <c r="D121" i="14"/>
  <c r="AC121" i="14" s="1"/>
  <c r="I121" i="14"/>
  <c r="J121" i="14"/>
  <c r="K121" i="14"/>
  <c r="L121" i="14"/>
  <c r="M121" i="14"/>
  <c r="N121" i="14"/>
  <c r="O121" i="14"/>
  <c r="AF121" i="14" s="1"/>
  <c r="P121" i="14"/>
  <c r="Q121" i="14"/>
  <c r="R121" i="14"/>
  <c r="S121" i="14"/>
  <c r="T121" i="14"/>
  <c r="U121" i="14"/>
  <c r="V121" i="14"/>
  <c r="W121" i="14"/>
  <c r="X121" i="14"/>
  <c r="Y121" i="14"/>
  <c r="Z121" i="14"/>
  <c r="AA121" i="14"/>
  <c r="A122" i="14"/>
  <c r="B122" i="14"/>
  <c r="D122" i="14"/>
  <c r="F122" i="14"/>
  <c r="AG122" i="14" s="1"/>
  <c r="I122" i="14"/>
  <c r="J122" i="14"/>
  <c r="K122" i="14"/>
  <c r="L122" i="14"/>
  <c r="M122" i="14"/>
  <c r="N122" i="14"/>
  <c r="O122" i="14"/>
  <c r="AF122" i="14" s="1"/>
  <c r="P122" i="14"/>
  <c r="Q122" i="14"/>
  <c r="R122" i="14"/>
  <c r="S122" i="14"/>
  <c r="T122" i="14"/>
  <c r="U122" i="14"/>
  <c r="V122" i="14"/>
  <c r="W122" i="14"/>
  <c r="X122" i="14"/>
  <c r="Y122" i="14"/>
  <c r="Z122" i="14"/>
  <c r="AA122" i="14"/>
  <c r="AH122" i="14"/>
  <c r="A123" i="14"/>
  <c r="B123" i="14"/>
  <c r="D123" i="14"/>
  <c r="I123" i="14"/>
  <c r="J123" i="14"/>
  <c r="K123" i="14"/>
  <c r="L123" i="14"/>
  <c r="M123" i="14"/>
  <c r="N123" i="14"/>
  <c r="O123" i="14"/>
  <c r="P123" i="14"/>
  <c r="AF123" i="14" s="1"/>
  <c r="Q123" i="14"/>
  <c r="R123" i="14"/>
  <c r="S123" i="14"/>
  <c r="T123" i="14"/>
  <c r="U123" i="14"/>
  <c r="V123" i="14"/>
  <c r="W123" i="14"/>
  <c r="X123" i="14"/>
  <c r="E123" i="14" s="1"/>
  <c r="AD123" i="14" s="1"/>
  <c r="Y123" i="14"/>
  <c r="Z123" i="14"/>
  <c r="AA123" i="14"/>
  <c r="A124" i="14"/>
  <c r="B124" i="14"/>
  <c r="D124" i="14"/>
  <c r="I124" i="14"/>
  <c r="J124" i="14"/>
  <c r="K124" i="14"/>
  <c r="L124" i="14"/>
  <c r="M124" i="14"/>
  <c r="N124" i="14"/>
  <c r="O124" i="14"/>
  <c r="AF124" i="14" s="1"/>
  <c r="P124" i="14"/>
  <c r="Q124" i="14"/>
  <c r="AH124" i="14" s="1"/>
  <c r="R124" i="14"/>
  <c r="S124" i="14"/>
  <c r="T124" i="14"/>
  <c r="U124" i="14"/>
  <c r="V124" i="14"/>
  <c r="W124" i="14"/>
  <c r="E124" i="14" s="1"/>
  <c r="AD124" i="14" s="1"/>
  <c r="X124" i="14"/>
  <c r="Y124" i="14"/>
  <c r="Z124" i="14"/>
  <c r="AA124" i="14"/>
  <c r="A125" i="14"/>
  <c r="B125" i="14"/>
  <c r="D125" i="14"/>
  <c r="AC125" i="14" s="1"/>
  <c r="I125" i="14"/>
  <c r="J125" i="14"/>
  <c r="K125" i="14"/>
  <c r="L125" i="14"/>
  <c r="M125" i="14"/>
  <c r="N125" i="14"/>
  <c r="O125" i="14"/>
  <c r="P125" i="14"/>
  <c r="Q125" i="14"/>
  <c r="R125" i="14"/>
  <c r="AH125" i="14" s="1"/>
  <c r="S125" i="14"/>
  <c r="T125" i="14"/>
  <c r="U125" i="14"/>
  <c r="V125" i="14"/>
  <c r="W125" i="14"/>
  <c r="E125" i="14" s="1"/>
  <c r="AD125" i="14" s="1"/>
  <c r="X125" i="14"/>
  <c r="Y125" i="14"/>
  <c r="Z125" i="14"/>
  <c r="AA125" i="14"/>
  <c r="A8" i="14"/>
  <c r="B8" i="14"/>
  <c r="D8" i="14"/>
  <c r="I8" i="14"/>
  <c r="J8" i="14"/>
  <c r="K8" i="14"/>
  <c r="L8" i="14"/>
  <c r="M8" i="14"/>
  <c r="N8" i="14"/>
  <c r="O8" i="14"/>
  <c r="P8" i="14"/>
  <c r="Q8" i="14"/>
  <c r="AH8" i="14" s="1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AC9" i="14" s="1"/>
  <c r="J9" i="14"/>
  <c r="K9" i="14"/>
  <c r="L9" i="14"/>
  <c r="M9" i="14"/>
  <c r="N9" i="14"/>
  <c r="O9" i="14"/>
  <c r="P9" i="14"/>
  <c r="Q9" i="14"/>
  <c r="AH9" i="14" s="1"/>
  <c r="R9" i="14"/>
  <c r="S9" i="14"/>
  <c r="T9" i="14"/>
  <c r="U9" i="14"/>
  <c r="V9" i="14"/>
  <c r="W9" i="14"/>
  <c r="E9" i="14" s="1"/>
  <c r="AD9" i="14" s="1"/>
  <c r="X9" i="14"/>
  <c r="Y9" i="14"/>
  <c r="Z9" i="14"/>
  <c r="AA9" i="14"/>
  <c r="A10" i="14"/>
  <c r="B10" i="14"/>
  <c r="D10" i="14"/>
  <c r="I10" i="14"/>
  <c r="AC10" i="14" s="1"/>
  <c r="J10" i="14"/>
  <c r="K10" i="14"/>
  <c r="L10" i="14"/>
  <c r="M10" i="14"/>
  <c r="N10" i="14"/>
  <c r="O10" i="14"/>
  <c r="AF10" i="14" s="1"/>
  <c r="P10" i="14"/>
  <c r="Q10" i="14"/>
  <c r="R10" i="14"/>
  <c r="S10" i="14"/>
  <c r="T10" i="14"/>
  <c r="U10" i="14"/>
  <c r="V10" i="14"/>
  <c r="W10" i="14"/>
  <c r="X10" i="14"/>
  <c r="E10" i="14" s="1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AF11" i="14" s="1"/>
  <c r="Q11" i="14"/>
  <c r="AH11" i="14" s="1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AC12" i="14" s="1"/>
  <c r="J12" i="14"/>
  <c r="K12" i="14"/>
  <c r="L12" i="14"/>
  <c r="M12" i="14"/>
  <c r="N12" i="14"/>
  <c r="O12" i="14"/>
  <c r="P12" i="14"/>
  <c r="AF12" i="14" s="1"/>
  <c r="Q12" i="14"/>
  <c r="R12" i="14"/>
  <c r="S12" i="14"/>
  <c r="T12" i="14"/>
  <c r="U12" i="14"/>
  <c r="V12" i="14"/>
  <c r="W12" i="14"/>
  <c r="X12" i="14"/>
  <c r="E12" i="14" s="1"/>
  <c r="AD12" i="14" s="1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AF13" i="14" s="1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AC14" i="14" s="1"/>
  <c r="J14" i="14"/>
  <c r="K14" i="14"/>
  <c r="L14" i="14"/>
  <c r="M14" i="14"/>
  <c r="N14" i="14"/>
  <c r="O14" i="14"/>
  <c r="P14" i="14"/>
  <c r="Q14" i="14"/>
  <c r="AH14" i="14" s="1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AC15" i="14" s="1"/>
  <c r="J15" i="14"/>
  <c r="K15" i="14"/>
  <c r="L15" i="14"/>
  <c r="M15" i="14"/>
  <c r="N15" i="14"/>
  <c r="O15" i="14"/>
  <c r="AF15" i="14" s="1"/>
  <c r="P15" i="14"/>
  <c r="Q15" i="14"/>
  <c r="AH15" i="14" s="1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AF16" i="14" s="1"/>
  <c r="P16" i="14"/>
  <c r="Q16" i="14"/>
  <c r="R16" i="14"/>
  <c r="AH16" i="14" s="1"/>
  <c r="S16" i="14"/>
  <c r="T16" i="14"/>
  <c r="U16" i="14"/>
  <c r="V16" i="14"/>
  <c r="W16" i="14"/>
  <c r="E16" i="14" s="1"/>
  <c r="AD16" i="14" s="1"/>
  <c r="X16" i="14"/>
  <c r="Y16" i="14"/>
  <c r="Z16" i="14"/>
  <c r="AA16" i="14"/>
  <c r="AC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AH17" i="14" s="1"/>
  <c r="S17" i="14"/>
  <c r="T17" i="14"/>
  <c r="U17" i="14"/>
  <c r="V17" i="14"/>
  <c r="W17" i="14"/>
  <c r="E17" i="14" s="1"/>
  <c r="AD17" i="14" s="1"/>
  <c r="X17" i="14"/>
  <c r="F17" i="14" s="1"/>
  <c r="Y17" i="14"/>
  <c r="Z17" i="14"/>
  <c r="AA17" i="14"/>
  <c r="AC17" i="14"/>
  <c r="AF17" i="14"/>
  <c r="A18" i="14"/>
  <c r="B18" i="14"/>
  <c r="D18" i="14"/>
  <c r="I18" i="14"/>
  <c r="J18" i="14"/>
  <c r="AC18" i="14" s="1"/>
  <c r="K18" i="14"/>
  <c r="L18" i="14"/>
  <c r="M18" i="14"/>
  <c r="N18" i="14"/>
  <c r="O18" i="14"/>
  <c r="P18" i="14"/>
  <c r="AF18" i="14" s="1"/>
  <c r="Q18" i="14"/>
  <c r="R18" i="14"/>
  <c r="AH18" i="14" s="1"/>
  <c r="S18" i="14"/>
  <c r="T18" i="14"/>
  <c r="U18" i="14"/>
  <c r="V18" i="14"/>
  <c r="W18" i="14"/>
  <c r="X18" i="14"/>
  <c r="F18" i="14" s="1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AF19" i="14" s="1"/>
  <c r="P19" i="14"/>
  <c r="Q19" i="14"/>
  <c r="AH19" i="14" s="1"/>
  <c r="R19" i="14"/>
  <c r="S19" i="14"/>
  <c r="T19" i="14"/>
  <c r="U19" i="14"/>
  <c r="V19" i="14"/>
  <c r="W19" i="14"/>
  <c r="F19" i="14" s="1"/>
  <c r="X19" i="14"/>
  <c r="Y19" i="14"/>
  <c r="Z19" i="14"/>
  <c r="AA19" i="14"/>
  <c r="AC19" i="14"/>
  <c r="A20" i="14"/>
  <c r="B20" i="14"/>
  <c r="D20" i="14"/>
  <c r="I20" i="14"/>
  <c r="J20" i="14"/>
  <c r="K20" i="14"/>
  <c r="L20" i="14"/>
  <c r="M20" i="14"/>
  <c r="N20" i="14"/>
  <c r="O20" i="14"/>
  <c r="P20" i="14"/>
  <c r="AF20" i="14" s="1"/>
  <c r="Q20" i="14"/>
  <c r="R20" i="14"/>
  <c r="AH20" i="14" s="1"/>
  <c r="S20" i="14"/>
  <c r="T20" i="14"/>
  <c r="U20" i="14"/>
  <c r="V20" i="14"/>
  <c r="W20" i="14"/>
  <c r="X20" i="14"/>
  <c r="F20" i="14" s="1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F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E22" i="14" s="1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AF23" i="14" s="1"/>
  <c r="P23" i="14"/>
  <c r="Q23" i="14"/>
  <c r="R23" i="14"/>
  <c r="S23" i="14"/>
  <c r="T23" i="14"/>
  <c r="U23" i="14"/>
  <c r="V23" i="14"/>
  <c r="W23" i="14"/>
  <c r="X23" i="14"/>
  <c r="Y23" i="14"/>
  <c r="Z23" i="14"/>
  <c r="AA23" i="14"/>
  <c r="AH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AH24" i="14" s="1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AC25" i="14" s="1"/>
  <c r="J25" i="14"/>
  <c r="K25" i="14"/>
  <c r="L25" i="14"/>
  <c r="M25" i="14"/>
  <c r="N25" i="14"/>
  <c r="O25" i="14"/>
  <c r="P25" i="14"/>
  <c r="Q25" i="14"/>
  <c r="AH25" i="14" s="1"/>
  <c r="R25" i="14"/>
  <c r="S25" i="14"/>
  <c r="T25" i="14"/>
  <c r="U25" i="14"/>
  <c r="V25" i="14"/>
  <c r="W25" i="14"/>
  <c r="X25" i="14"/>
  <c r="Y25" i="14"/>
  <c r="Z25" i="14"/>
  <c r="AA25" i="14"/>
  <c r="A26" i="14"/>
  <c r="B26" i="14"/>
  <c r="D26" i="14"/>
  <c r="I26" i="14"/>
  <c r="J26" i="14"/>
  <c r="K26" i="14"/>
  <c r="L26" i="14"/>
  <c r="M26" i="14"/>
  <c r="N26" i="14"/>
  <c r="O26" i="14"/>
  <c r="AF26" i="14" s="1"/>
  <c r="P26" i="14"/>
  <c r="Q26" i="14"/>
  <c r="R26" i="14"/>
  <c r="S26" i="14"/>
  <c r="T26" i="14"/>
  <c r="U26" i="14"/>
  <c r="V26" i="14"/>
  <c r="W26" i="14"/>
  <c r="E26" i="14" s="1"/>
  <c r="AD26" i="14" s="1"/>
  <c r="X26" i="14"/>
  <c r="F26" i="14" s="1"/>
  <c r="Y26" i="14"/>
  <c r="Z26" i="14"/>
  <c r="AA26" i="14"/>
  <c r="AC26" i="14"/>
  <c r="A27" i="14"/>
  <c r="B27" i="14"/>
  <c r="D27" i="14"/>
  <c r="AC27" i="14" s="1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F27" i="14" s="1"/>
  <c r="X27" i="14"/>
  <c r="Y27" i="14"/>
  <c r="Z27" i="14"/>
  <c r="AA27" i="14"/>
  <c r="AF27" i="14"/>
  <c r="AH27" i="14"/>
  <c r="A28" i="14"/>
  <c r="B28" i="14"/>
  <c r="D28" i="14"/>
  <c r="I28" i="14"/>
  <c r="J28" i="14"/>
  <c r="K28" i="14"/>
  <c r="L28" i="14"/>
  <c r="M28" i="14"/>
  <c r="N28" i="14"/>
  <c r="O28" i="14"/>
  <c r="P28" i="14"/>
  <c r="AF28" i="14" s="1"/>
  <c r="Q28" i="14"/>
  <c r="R28" i="14"/>
  <c r="AH28" i="14" s="1"/>
  <c r="S28" i="14"/>
  <c r="T28" i="14"/>
  <c r="U28" i="14"/>
  <c r="V28" i="14"/>
  <c r="W28" i="14"/>
  <c r="X28" i="14"/>
  <c r="F28" i="14" s="1"/>
  <c r="Y28" i="14"/>
  <c r="Z28" i="14"/>
  <c r="AA28" i="14"/>
  <c r="A29" i="14"/>
  <c r="B29" i="14"/>
  <c r="D29" i="14"/>
  <c r="I29" i="14"/>
  <c r="J29" i="14"/>
  <c r="K29" i="14"/>
  <c r="L29" i="14"/>
  <c r="M29" i="14"/>
  <c r="N29" i="14"/>
  <c r="O29" i="14"/>
  <c r="AF29" i="14" s="1"/>
  <c r="P29" i="14"/>
  <c r="Q29" i="14"/>
  <c r="R29" i="14"/>
  <c r="S29" i="14"/>
  <c r="T29" i="14"/>
  <c r="U29" i="14"/>
  <c r="V29" i="14"/>
  <c r="W29" i="14"/>
  <c r="E29" i="14" s="1"/>
  <c r="AD29" i="14" s="1"/>
  <c r="X29" i="14"/>
  <c r="Y29" i="14"/>
  <c r="Z29" i="14"/>
  <c r="AA29" i="14"/>
  <c r="A30" i="14"/>
  <c r="B30" i="14"/>
  <c r="D30" i="14"/>
  <c r="I30" i="14"/>
  <c r="J30" i="14"/>
  <c r="K30" i="14"/>
  <c r="L30" i="14"/>
  <c r="M30" i="14"/>
  <c r="N30" i="14"/>
  <c r="O30" i="14"/>
  <c r="P30" i="14"/>
  <c r="AF30" i="14" s="1"/>
  <c r="Q30" i="14"/>
  <c r="AH30" i="14" s="1"/>
  <c r="R30" i="14"/>
  <c r="S30" i="14"/>
  <c r="T30" i="14"/>
  <c r="U30" i="14"/>
  <c r="V30" i="14"/>
  <c r="W30" i="14"/>
  <c r="X30" i="14"/>
  <c r="F30" i="14" s="1"/>
  <c r="AE30" i="14" s="1"/>
  <c r="Y30" i="14"/>
  <c r="Z30" i="14"/>
  <c r="AA30" i="14"/>
  <c r="A31" i="14"/>
  <c r="B31" i="14"/>
  <c r="D31" i="14"/>
  <c r="I31" i="14"/>
  <c r="AC31" i="14" s="1"/>
  <c r="J31" i="14"/>
  <c r="K31" i="14"/>
  <c r="L31" i="14"/>
  <c r="M31" i="14"/>
  <c r="N31" i="14"/>
  <c r="O31" i="14"/>
  <c r="P31" i="14"/>
  <c r="AF31" i="14" s="1"/>
  <c r="Q31" i="14"/>
  <c r="AH31" i="14" s="1"/>
  <c r="R31" i="14"/>
  <c r="S31" i="14"/>
  <c r="T31" i="14"/>
  <c r="U31" i="14"/>
  <c r="V31" i="14"/>
  <c r="W31" i="14"/>
  <c r="X31" i="14"/>
  <c r="Y31" i="14"/>
  <c r="Z31" i="14"/>
  <c r="AA31" i="14"/>
  <c r="A32" i="14"/>
  <c r="B32" i="14"/>
  <c r="D32" i="14"/>
  <c r="I32" i="14"/>
  <c r="AC32" i="14" s="1"/>
  <c r="J32" i="14"/>
  <c r="K32" i="14"/>
  <c r="L32" i="14"/>
  <c r="M32" i="14"/>
  <c r="N32" i="14"/>
  <c r="O32" i="14"/>
  <c r="P32" i="14"/>
  <c r="Q32" i="14"/>
  <c r="AH32" i="14" s="1"/>
  <c r="R32" i="14"/>
  <c r="S32" i="14"/>
  <c r="T32" i="14"/>
  <c r="U32" i="14"/>
  <c r="V32" i="14"/>
  <c r="W32" i="14"/>
  <c r="X32" i="14"/>
  <c r="Y32" i="14"/>
  <c r="Z32" i="14"/>
  <c r="AA32" i="14"/>
  <c r="A33" i="14"/>
  <c r="B33" i="14"/>
  <c r="D33" i="14"/>
  <c r="I33" i="14"/>
  <c r="AC33" i="14" s="1"/>
  <c r="J33" i="14"/>
  <c r="K33" i="14"/>
  <c r="L33" i="14"/>
  <c r="M33" i="14"/>
  <c r="N33" i="14"/>
  <c r="O33" i="14"/>
  <c r="P33" i="14"/>
  <c r="AF33" i="14" s="1"/>
  <c r="Q33" i="14"/>
  <c r="AH33" i="14" s="1"/>
  <c r="R33" i="14"/>
  <c r="S33" i="14"/>
  <c r="T33" i="14"/>
  <c r="U33" i="14"/>
  <c r="V33" i="14"/>
  <c r="W33" i="14"/>
  <c r="X33" i="14"/>
  <c r="E33" i="14" s="1"/>
  <c r="Y33" i="14"/>
  <c r="Z33" i="14"/>
  <c r="AA33" i="14"/>
  <c r="A34" i="14"/>
  <c r="B34" i="14"/>
  <c r="D34" i="14"/>
  <c r="AC34" i="14" s="1"/>
  <c r="I34" i="14"/>
  <c r="J34" i="14"/>
  <c r="K34" i="14"/>
  <c r="L34" i="14"/>
  <c r="M34" i="14"/>
  <c r="N34" i="14"/>
  <c r="O34" i="14"/>
  <c r="AF34" i="14" s="1"/>
  <c r="P34" i="14"/>
  <c r="Q34" i="14"/>
  <c r="R34" i="14"/>
  <c r="AH34" i="14" s="1"/>
  <c r="S34" i="14"/>
  <c r="T34" i="14"/>
  <c r="U34" i="14"/>
  <c r="V34" i="14"/>
  <c r="W34" i="14"/>
  <c r="E34" i="14" s="1"/>
  <c r="AD34" i="14" s="1"/>
  <c r="X34" i="14"/>
  <c r="Y34" i="14"/>
  <c r="Z34" i="14"/>
  <c r="AA34" i="14"/>
  <c r="A35" i="14"/>
  <c r="B35" i="14"/>
  <c r="D35" i="14"/>
  <c r="AC35" i="14" s="1"/>
  <c r="I35" i="14"/>
  <c r="J35" i="14"/>
  <c r="K35" i="14"/>
  <c r="L35" i="14"/>
  <c r="M35" i="14"/>
  <c r="N35" i="14"/>
  <c r="O35" i="14"/>
  <c r="P35" i="14"/>
  <c r="Q35" i="14"/>
  <c r="AH35" i="14" s="1"/>
  <c r="R35" i="14"/>
  <c r="S35" i="14"/>
  <c r="T35" i="14"/>
  <c r="U35" i="14"/>
  <c r="V35" i="14"/>
  <c r="W35" i="14"/>
  <c r="F35" i="14" s="1"/>
  <c r="X35" i="14"/>
  <c r="Y35" i="14"/>
  <c r="Z35" i="14"/>
  <c r="AA35" i="14"/>
  <c r="AF35" i="14"/>
  <c r="A36" i="14"/>
  <c r="B36" i="14"/>
  <c r="D36" i="14"/>
  <c r="I36" i="14"/>
  <c r="J36" i="14"/>
  <c r="K36" i="14"/>
  <c r="L36" i="14"/>
  <c r="M36" i="14"/>
  <c r="N36" i="14"/>
  <c r="O36" i="14"/>
  <c r="P36" i="14"/>
  <c r="Q36" i="14"/>
  <c r="R36" i="14"/>
  <c r="AH36" i="14" s="1"/>
  <c r="S36" i="14"/>
  <c r="T36" i="14"/>
  <c r="U36" i="14"/>
  <c r="V36" i="14"/>
  <c r="W36" i="14"/>
  <c r="E36" i="14" s="1"/>
  <c r="X36" i="14"/>
  <c r="Y36" i="14"/>
  <c r="Z36" i="14"/>
  <c r="AA36" i="14"/>
  <c r="A37" i="14"/>
  <c r="B37" i="14"/>
  <c r="D37" i="14"/>
  <c r="I37" i="14"/>
  <c r="AC37" i="14" s="1"/>
  <c r="J37" i="14"/>
  <c r="K37" i="14"/>
  <c r="L37" i="14"/>
  <c r="M37" i="14"/>
  <c r="N37" i="14"/>
  <c r="O37" i="14"/>
  <c r="P37" i="14"/>
  <c r="Q37" i="14"/>
  <c r="AH37" i="14" s="1"/>
  <c r="R37" i="14"/>
  <c r="S37" i="14"/>
  <c r="T37" i="14"/>
  <c r="U37" i="14"/>
  <c r="V37" i="14"/>
  <c r="W37" i="14"/>
  <c r="E37" i="14" s="1"/>
  <c r="X37" i="14"/>
  <c r="Y37" i="14"/>
  <c r="Z37" i="14"/>
  <c r="AA37" i="14"/>
  <c r="AF37" i="14"/>
  <c r="A38" i="14"/>
  <c r="B38" i="14"/>
  <c r="D38" i="14"/>
  <c r="I38" i="14"/>
  <c r="AC38" i="14" s="1"/>
  <c r="J38" i="14"/>
  <c r="K38" i="14"/>
  <c r="L38" i="14"/>
  <c r="M38" i="14"/>
  <c r="N38" i="14"/>
  <c r="O38" i="14"/>
  <c r="P38" i="14"/>
  <c r="Q38" i="14"/>
  <c r="AH38" i="14" s="1"/>
  <c r="R38" i="14"/>
  <c r="S38" i="14"/>
  <c r="T38" i="14"/>
  <c r="U38" i="14"/>
  <c r="V38" i="14"/>
  <c r="W38" i="14"/>
  <c r="X38" i="14"/>
  <c r="Y38" i="14"/>
  <c r="Z38" i="14"/>
  <c r="AA38" i="14"/>
  <c r="A39" i="14"/>
  <c r="B39" i="14"/>
  <c r="D39" i="14"/>
  <c r="I39" i="14"/>
  <c r="AC39" i="14" s="1"/>
  <c r="J39" i="14"/>
  <c r="K39" i="14"/>
  <c r="L39" i="14"/>
  <c r="M39" i="14"/>
  <c r="N39" i="14"/>
  <c r="O39" i="14"/>
  <c r="AF39" i="14" s="1"/>
  <c r="P39" i="14"/>
  <c r="Q39" i="14"/>
  <c r="R39" i="14"/>
  <c r="S39" i="14"/>
  <c r="T39" i="14"/>
  <c r="U39" i="14"/>
  <c r="V39" i="14"/>
  <c r="W39" i="14"/>
  <c r="X39" i="14"/>
  <c r="Y39" i="14"/>
  <c r="Z39" i="14"/>
  <c r="AA39" i="14"/>
  <c r="AH39" i="14"/>
  <c r="A40" i="14"/>
  <c r="B40" i="14"/>
  <c r="D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H40" i="14"/>
  <c r="A41" i="14"/>
  <c r="B41" i="14"/>
  <c r="D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E41" i="14" s="1"/>
  <c r="Y41" i="14"/>
  <c r="Z41" i="14"/>
  <c r="AA41" i="14"/>
  <c r="AF41" i="14"/>
  <c r="AH41" i="14"/>
  <c r="A42" i="14"/>
  <c r="B42" i="14"/>
  <c r="D42" i="14"/>
  <c r="I42" i="14"/>
  <c r="J42" i="14"/>
  <c r="K42" i="14"/>
  <c r="L42" i="14"/>
  <c r="M42" i="14"/>
  <c r="N42" i="14"/>
  <c r="O42" i="14"/>
  <c r="AF42" i="14" s="1"/>
  <c r="P42" i="14"/>
  <c r="Q42" i="14"/>
  <c r="R42" i="14"/>
  <c r="AH42" i="14" s="1"/>
  <c r="S42" i="14"/>
  <c r="T42" i="14"/>
  <c r="U42" i="14"/>
  <c r="V42" i="14"/>
  <c r="W42" i="14"/>
  <c r="E42" i="14" s="1"/>
  <c r="AD42" i="14" s="1"/>
  <c r="X42" i="14"/>
  <c r="F42" i="14" s="1"/>
  <c r="Y42" i="14"/>
  <c r="Z42" i="14"/>
  <c r="AA42" i="14"/>
  <c r="A43" i="14"/>
  <c r="B43" i="14"/>
  <c r="D43" i="14"/>
  <c r="I43" i="14"/>
  <c r="AC43" i="14" s="1"/>
  <c r="J43" i="14"/>
  <c r="K43" i="14"/>
  <c r="L43" i="14"/>
  <c r="M43" i="14"/>
  <c r="N43" i="14"/>
  <c r="O43" i="14"/>
  <c r="P43" i="14"/>
  <c r="AF43" i="14" s="1"/>
  <c r="Q43" i="14"/>
  <c r="AH43" i="14" s="1"/>
  <c r="R43" i="14"/>
  <c r="S43" i="14"/>
  <c r="T43" i="14"/>
  <c r="U43" i="14"/>
  <c r="V43" i="14"/>
  <c r="W43" i="14"/>
  <c r="E43" i="14" s="1"/>
  <c r="X43" i="14"/>
  <c r="F43" i="14" s="1"/>
  <c r="AG43" i="14" s="1"/>
  <c r="Y43" i="14"/>
  <c r="Z43" i="14"/>
  <c r="AA43" i="14"/>
  <c r="A44" i="14"/>
  <c r="B44" i="14"/>
  <c r="D44" i="14"/>
  <c r="AC44" i="14" s="1"/>
  <c r="I44" i="14"/>
  <c r="J44" i="14"/>
  <c r="K44" i="14"/>
  <c r="L44" i="14"/>
  <c r="M44" i="14"/>
  <c r="N44" i="14"/>
  <c r="O44" i="14"/>
  <c r="P44" i="14"/>
  <c r="Q44" i="14"/>
  <c r="R44" i="14"/>
  <c r="AH44" i="14" s="1"/>
  <c r="S44" i="14"/>
  <c r="T44" i="14"/>
  <c r="U44" i="14"/>
  <c r="V44" i="14"/>
  <c r="W44" i="14"/>
  <c r="F44" i="14" s="1"/>
  <c r="X44" i="14"/>
  <c r="Y44" i="14"/>
  <c r="Z44" i="14"/>
  <c r="AA44" i="14"/>
  <c r="A45" i="14"/>
  <c r="B45" i="14"/>
  <c r="D45" i="14"/>
  <c r="I45" i="14"/>
  <c r="J45" i="14"/>
  <c r="K45" i="14"/>
  <c r="L45" i="14"/>
  <c r="M45" i="14"/>
  <c r="N45" i="14"/>
  <c r="O45" i="14"/>
  <c r="AF45" i="14" s="1"/>
  <c r="P45" i="14"/>
  <c r="Q45" i="14"/>
  <c r="R45" i="14"/>
  <c r="S45" i="14"/>
  <c r="T45" i="14"/>
  <c r="U45" i="14"/>
  <c r="V45" i="14"/>
  <c r="W45" i="14"/>
  <c r="X45" i="14"/>
  <c r="Y45" i="14"/>
  <c r="Z45" i="14"/>
  <c r="AA45" i="14"/>
  <c r="AH45" i="14"/>
  <c r="A46" i="14"/>
  <c r="B46" i="14"/>
  <c r="D46" i="14"/>
  <c r="I46" i="14"/>
  <c r="J46" i="14"/>
  <c r="K46" i="14"/>
  <c r="L46" i="14"/>
  <c r="M46" i="14"/>
  <c r="AG46" i="14" s="1"/>
  <c r="N46" i="14"/>
  <c r="O46" i="14"/>
  <c r="P46" i="14"/>
  <c r="Q46" i="14"/>
  <c r="R46" i="14"/>
  <c r="S46" i="14"/>
  <c r="T46" i="14"/>
  <c r="U46" i="14"/>
  <c r="V46" i="14"/>
  <c r="W46" i="14"/>
  <c r="X46" i="14"/>
  <c r="F46" i="14" s="1"/>
  <c r="AE46" i="14" s="1"/>
  <c r="Y46" i="14"/>
  <c r="Z46" i="14"/>
  <c r="AA46" i="14"/>
  <c r="AH46" i="14"/>
  <c r="A47" i="14"/>
  <c r="B47" i="14"/>
  <c r="D47" i="14"/>
  <c r="I47" i="14"/>
  <c r="J47" i="14"/>
  <c r="K47" i="14"/>
  <c r="L47" i="14"/>
  <c r="M47" i="14"/>
  <c r="N47" i="14"/>
  <c r="O47" i="14"/>
  <c r="P47" i="14"/>
  <c r="Q47" i="14"/>
  <c r="AH47" i="14" s="1"/>
  <c r="R47" i="14"/>
  <c r="S47" i="14"/>
  <c r="T47" i="14"/>
  <c r="U47" i="14"/>
  <c r="V47" i="14"/>
  <c r="W47" i="14"/>
  <c r="X47" i="14"/>
  <c r="Y47" i="14"/>
  <c r="Z47" i="14"/>
  <c r="AA47" i="14"/>
  <c r="A48" i="14"/>
  <c r="B48" i="14"/>
  <c r="D48" i="14"/>
  <c r="I48" i="14"/>
  <c r="AC48" i="14" s="1"/>
  <c r="J48" i="14"/>
  <c r="K48" i="14"/>
  <c r="L48" i="14"/>
  <c r="M48" i="14"/>
  <c r="N48" i="14"/>
  <c r="O48" i="14"/>
  <c r="P48" i="14"/>
  <c r="AF48" i="14" s="1"/>
  <c r="Q48" i="14"/>
  <c r="AH48" i="14" s="1"/>
  <c r="R48" i="14"/>
  <c r="S48" i="14"/>
  <c r="T48" i="14"/>
  <c r="U48" i="14"/>
  <c r="V48" i="14"/>
  <c r="W48" i="14"/>
  <c r="X48" i="14"/>
  <c r="F48" i="14" s="1"/>
  <c r="AE48" i="14" s="1"/>
  <c r="Y48" i="14"/>
  <c r="Z48" i="14"/>
  <c r="AA48" i="14"/>
  <c r="A49" i="14"/>
  <c r="B49" i="14"/>
  <c r="D49" i="14"/>
  <c r="I49" i="14"/>
  <c r="J49" i="14"/>
  <c r="K49" i="14"/>
  <c r="L49" i="14"/>
  <c r="M49" i="14"/>
  <c r="N49" i="14"/>
  <c r="O49" i="14"/>
  <c r="AF49" i="14" s="1"/>
  <c r="P49" i="14"/>
  <c r="Q49" i="14"/>
  <c r="R49" i="14"/>
  <c r="S49" i="14"/>
  <c r="T49" i="14"/>
  <c r="U49" i="14"/>
  <c r="V49" i="14"/>
  <c r="W49" i="14"/>
  <c r="X49" i="14"/>
  <c r="E49" i="14" s="1"/>
  <c r="Y49" i="14"/>
  <c r="Z49" i="14"/>
  <c r="AA49" i="14"/>
  <c r="AH49" i="14"/>
  <c r="A50" i="14"/>
  <c r="B50" i="14"/>
  <c r="D50" i="14"/>
  <c r="I50" i="14"/>
  <c r="J50" i="14"/>
  <c r="K50" i="14"/>
  <c r="L50" i="14"/>
  <c r="M50" i="14"/>
  <c r="N50" i="14"/>
  <c r="O50" i="14"/>
  <c r="P50" i="14"/>
  <c r="AF50" i="14" s="1"/>
  <c r="Q50" i="14"/>
  <c r="R50" i="14"/>
  <c r="AH50" i="14" s="1"/>
  <c r="S50" i="14"/>
  <c r="T50" i="14"/>
  <c r="U50" i="14"/>
  <c r="V50" i="14"/>
  <c r="W50" i="14"/>
  <c r="E50" i="14" s="1"/>
  <c r="X50" i="14"/>
  <c r="F50" i="14" s="1"/>
  <c r="Y50" i="14"/>
  <c r="Z50" i="14"/>
  <c r="AA50" i="14"/>
  <c r="AC50" i="14"/>
  <c r="A51" i="14"/>
  <c r="B51" i="14"/>
  <c r="D51" i="14"/>
  <c r="AC51" i="14" s="1"/>
  <c r="I51" i="14"/>
  <c r="J51" i="14"/>
  <c r="K51" i="14"/>
  <c r="L51" i="14"/>
  <c r="M51" i="14"/>
  <c r="N51" i="14"/>
  <c r="O51" i="14"/>
  <c r="P51" i="14"/>
  <c r="Q51" i="14"/>
  <c r="AH51" i="14" s="1"/>
  <c r="R51" i="14"/>
  <c r="S51" i="14"/>
  <c r="T51" i="14"/>
  <c r="U51" i="14"/>
  <c r="V51" i="14"/>
  <c r="W51" i="14"/>
  <c r="E51" i="14" s="1"/>
  <c r="AD51" i="14" s="1"/>
  <c r="X51" i="14"/>
  <c r="Y51" i="14"/>
  <c r="Z51" i="14"/>
  <c r="AA51" i="14"/>
  <c r="AF51" i="14"/>
  <c r="A52" i="14"/>
  <c r="B52" i="14"/>
  <c r="D52" i="14"/>
  <c r="AC52" i="14" s="1"/>
  <c r="I52" i="14"/>
  <c r="J52" i="14"/>
  <c r="K52" i="14"/>
  <c r="L52" i="14"/>
  <c r="M52" i="14"/>
  <c r="N52" i="14"/>
  <c r="O52" i="14"/>
  <c r="P52" i="14"/>
  <c r="AF52" i="14" s="1"/>
  <c r="Q52" i="14"/>
  <c r="R52" i="14"/>
  <c r="S52" i="14"/>
  <c r="T52" i="14"/>
  <c r="U52" i="14"/>
  <c r="V52" i="14"/>
  <c r="W52" i="14"/>
  <c r="X52" i="14"/>
  <c r="E52" i="14" s="1"/>
  <c r="Y52" i="14"/>
  <c r="Z52" i="14"/>
  <c r="AA52" i="14"/>
  <c r="A53" i="14"/>
  <c r="B53" i="14"/>
  <c r="D53" i="14"/>
  <c r="I53" i="14"/>
  <c r="AC53" i="14" s="1"/>
  <c r="J53" i="14"/>
  <c r="K53" i="14"/>
  <c r="L53" i="14"/>
  <c r="M53" i="14"/>
  <c r="N53" i="14"/>
  <c r="O53" i="14"/>
  <c r="P53" i="14"/>
  <c r="AF53" i="14" s="1"/>
  <c r="Q53" i="14"/>
  <c r="AH53" i="14" s="1"/>
  <c r="R53" i="14"/>
  <c r="S53" i="14"/>
  <c r="T53" i="14"/>
  <c r="U53" i="14"/>
  <c r="V53" i="14"/>
  <c r="W53" i="14"/>
  <c r="X53" i="14"/>
  <c r="Y53" i="14"/>
  <c r="Z53" i="14"/>
  <c r="AA53" i="14"/>
  <c r="A54" i="14"/>
  <c r="B54" i="14"/>
  <c r="D54" i="14"/>
  <c r="I54" i="14"/>
  <c r="J54" i="14"/>
  <c r="K54" i="14"/>
  <c r="L54" i="14"/>
  <c r="M54" i="14"/>
  <c r="N54" i="14"/>
  <c r="O54" i="14"/>
  <c r="P54" i="14"/>
  <c r="AF54" i="14" s="1"/>
  <c r="Q54" i="14"/>
  <c r="AH54" i="14" s="1"/>
  <c r="R54" i="14"/>
  <c r="S54" i="14"/>
  <c r="T54" i="14"/>
  <c r="U54" i="14"/>
  <c r="V54" i="14"/>
  <c r="W54" i="14"/>
  <c r="X54" i="14"/>
  <c r="F54" i="14" s="1"/>
  <c r="AE54" i="14" s="1"/>
  <c r="Y54" i="14"/>
  <c r="Z54" i="14"/>
  <c r="AA54" i="14"/>
  <c r="A55" i="14"/>
  <c r="B55" i="14"/>
  <c r="D55" i="14"/>
  <c r="I55" i="14"/>
  <c r="J55" i="14"/>
  <c r="K55" i="14"/>
  <c r="L55" i="14"/>
  <c r="M55" i="14"/>
  <c r="N55" i="14"/>
  <c r="O55" i="14"/>
  <c r="P55" i="14"/>
  <c r="AF55" i="14" s="1"/>
  <c r="Q55" i="14"/>
  <c r="R55" i="14"/>
  <c r="S55" i="14"/>
  <c r="T55" i="14"/>
  <c r="U55" i="14"/>
  <c r="V55" i="14"/>
  <c r="W55" i="14"/>
  <c r="X55" i="14"/>
  <c r="Y55" i="14"/>
  <c r="Z55" i="14"/>
  <c r="AA55" i="14"/>
  <c r="A56" i="14"/>
  <c r="B56" i="14"/>
  <c r="D56" i="14"/>
  <c r="I56" i="14"/>
  <c r="J56" i="14"/>
  <c r="K56" i="14"/>
  <c r="AE56" i="14" s="1"/>
  <c r="L56" i="14"/>
  <c r="M56" i="14"/>
  <c r="N56" i="14"/>
  <c r="O56" i="14"/>
  <c r="AF56" i="14" s="1"/>
  <c r="P56" i="14"/>
  <c r="Q56" i="14"/>
  <c r="R56" i="14"/>
  <c r="AH56" i="14" s="1"/>
  <c r="S56" i="14"/>
  <c r="T56" i="14"/>
  <c r="U56" i="14"/>
  <c r="V56" i="14"/>
  <c r="W56" i="14"/>
  <c r="X56" i="14"/>
  <c r="F56" i="14" s="1"/>
  <c r="Y56" i="14"/>
  <c r="Z56" i="14"/>
  <c r="AA56" i="14"/>
  <c r="A57" i="14"/>
  <c r="B57" i="14"/>
  <c r="D57" i="14"/>
  <c r="AC57" i="14" s="1"/>
  <c r="I57" i="14"/>
  <c r="J57" i="14"/>
  <c r="K57" i="14"/>
  <c r="L57" i="14"/>
  <c r="M57" i="14"/>
  <c r="N57" i="14"/>
  <c r="O57" i="14"/>
  <c r="P57" i="14"/>
  <c r="Q57" i="14"/>
  <c r="AH57" i="14" s="1"/>
  <c r="R57" i="14"/>
  <c r="S57" i="14"/>
  <c r="T57" i="14"/>
  <c r="U57" i="14"/>
  <c r="V57" i="14"/>
  <c r="W57" i="14"/>
  <c r="X57" i="14"/>
  <c r="Y57" i="14"/>
  <c r="Z57" i="14"/>
  <c r="AA57" i="14"/>
  <c r="AF57" i="14"/>
  <c r="A58" i="14"/>
  <c r="B58" i="14"/>
  <c r="D58" i="14"/>
  <c r="AC58" i="14" s="1"/>
  <c r="I58" i="14"/>
  <c r="J58" i="14"/>
  <c r="K58" i="14"/>
  <c r="L58" i="14"/>
  <c r="M58" i="14"/>
  <c r="N58" i="14"/>
  <c r="O58" i="14"/>
  <c r="AF58" i="14" s="1"/>
  <c r="P58" i="14"/>
  <c r="Q58" i="14"/>
  <c r="R58" i="14"/>
  <c r="AH58" i="14" s="1"/>
  <c r="S58" i="14"/>
  <c r="T58" i="14"/>
  <c r="U58" i="14"/>
  <c r="V58" i="14"/>
  <c r="W58" i="14"/>
  <c r="F58" i="14" s="1"/>
  <c r="X58" i="14"/>
  <c r="Y58" i="14"/>
  <c r="Z58" i="14"/>
  <c r="AA58" i="14"/>
  <c r="A59" i="14"/>
  <c r="B59" i="14"/>
  <c r="D59" i="14"/>
  <c r="I59" i="14"/>
  <c r="J59" i="14"/>
  <c r="K59" i="14"/>
  <c r="L59" i="14"/>
  <c r="M59" i="14"/>
  <c r="N59" i="14"/>
  <c r="O59" i="14"/>
  <c r="P59" i="14"/>
  <c r="Q59" i="14"/>
  <c r="R59" i="14"/>
  <c r="AH59" i="14" s="1"/>
  <c r="S59" i="14"/>
  <c r="T59" i="14"/>
  <c r="U59" i="14"/>
  <c r="V59" i="14"/>
  <c r="W59" i="14"/>
  <c r="E59" i="14" s="1"/>
  <c r="X59" i="14"/>
  <c r="F59" i="14" s="1"/>
  <c r="Y59" i="14"/>
  <c r="Z59" i="14"/>
  <c r="AA59" i="14"/>
  <c r="AC59" i="14"/>
  <c r="AF59" i="14"/>
  <c r="A60" i="14"/>
  <c r="B60" i="14"/>
  <c r="D60" i="14"/>
  <c r="I60" i="14"/>
  <c r="J60" i="14"/>
  <c r="K60" i="14"/>
  <c r="L60" i="14"/>
  <c r="M60" i="14"/>
  <c r="N60" i="14"/>
  <c r="O60" i="14"/>
  <c r="P60" i="14"/>
  <c r="Q60" i="14"/>
  <c r="AH60" i="14" s="1"/>
  <c r="R60" i="14"/>
  <c r="S60" i="14"/>
  <c r="T60" i="14"/>
  <c r="U60" i="14"/>
  <c r="V60" i="14"/>
  <c r="W60" i="14"/>
  <c r="E60" i="14" s="1"/>
  <c r="X60" i="14"/>
  <c r="Y60" i="14"/>
  <c r="Z60" i="14"/>
  <c r="AA60" i="14"/>
  <c r="A61" i="14"/>
  <c r="B61" i="14"/>
  <c r="D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E61" i="14" s="1"/>
  <c r="X61" i="14"/>
  <c r="Y61" i="14"/>
  <c r="Z61" i="14"/>
  <c r="AA61" i="14"/>
  <c r="A62" i="14"/>
  <c r="B62" i="14"/>
  <c r="D62" i="14"/>
  <c r="I62" i="14"/>
  <c r="J62" i="14"/>
  <c r="K62" i="14"/>
  <c r="L62" i="14"/>
  <c r="M62" i="14"/>
  <c r="N62" i="14"/>
  <c r="O62" i="14"/>
  <c r="AF62" i="14" s="1"/>
  <c r="P62" i="14"/>
  <c r="Q62" i="14"/>
  <c r="R62" i="14"/>
  <c r="S62" i="14"/>
  <c r="T62" i="14"/>
  <c r="U62" i="14"/>
  <c r="V62" i="14"/>
  <c r="W62" i="14"/>
  <c r="X62" i="14"/>
  <c r="Y62" i="14"/>
  <c r="Z62" i="14"/>
  <c r="AA62" i="14"/>
  <c r="AH62" i="14"/>
  <c r="A63" i="14"/>
  <c r="B63" i="14"/>
  <c r="D63" i="14"/>
  <c r="I63" i="14"/>
  <c r="J63" i="14"/>
  <c r="K63" i="14"/>
  <c r="L63" i="14"/>
  <c r="M63" i="14"/>
  <c r="N63" i="14"/>
  <c r="O63" i="14"/>
  <c r="P63" i="14"/>
  <c r="AF63" i="14" s="1"/>
  <c r="Q63" i="14"/>
  <c r="AH63" i="14" s="1"/>
  <c r="R63" i="14"/>
  <c r="S63" i="14"/>
  <c r="T63" i="14"/>
  <c r="U63" i="14"/>
  <c r="V63" i="14"/>
  <c r="W63" i="14"/>
  <c r="X63" i="14"/>
  <c r="F63" i="14" s="1"/>
  <c r="Y63" i="14"/>
  <c r="Z63" i="14"/>
  <c r="AA63" i="14"/>
  <c r="A64" i="14"/>
  <c r="B64" i="14"/>
  <c r="D64" i="14"/>
  <c r="I64" i="14"/>
  <c r="AC64" i="14" s="1"/>
  <c r="J64" i="14"/>
  <c r="K64" i="14"/>
  <c r="L64" i="14"/>
  <c r="M64" i="14"/>
  <c r="N64" i="14"/>
  <c r="O64" i="14"/>
  <c r="P64" i="14"/>
  <c r="AF64" i="14" s="1"/>
  <c r="Q64" i="14"/>
  <c r="AH64" i="14" s="1"/>
  <c r="R64" i="14"/>
  <c r="S64" i="14"/>
  <c r="T64" i="14"/>
  <c r="U64" i="14"/>
  <c r="V64" i="14"/>
  <c r="W64" i="14"/>
  <c r="X64" i="14"/>
  <c r="F64" i="14" s="1"/>
  <c r="AE64" i="14" s="1"/>
  <c r="Y64" i="14"/>
  <c r="Z64" i="14"/>
  <c r="AA64" i="14"/>
  <c r="A65" i="14"/>
  <c r="B65" i="14"/>
  <c r="D65" i="14"/>
  <c r="AC65" i="14" s="1"/>
  <c r="I65" i="14"/>
  <c r="J65" i="14"/>
  <c r="K65" i="14"/>
  <c r="L65" i="14"/>
  <c r="M65" i="14"/>
  <c r="N65" i="14"/>
  <c r="O65" i="14"/>
  <c r="AF65" i="14" s="1"/>
  <c r="P65" i="14"/>
  <c r="Q65" i="14"/>
  <c r="R65" i="14"/>
  <c r="S65" i="14"/>
  <c r="T65" i="14"/>
  <c r="U65" i="14"/>
  <c r="V65" i="14"/>
  <c r="W65" i="14"/>
  <c r="X65" i="14"/>
  <c r="E65" i="14" s="1"/>
  <c r="Y65" i="14"/>
  <c r="Z65" i="14"/>
  <c r="AA65" i="14"/>
  <c r="AH65" i="14"/>
  <c r="A66" i="14"/>
  <c r="B66" i="14"/>
  <c r="D66" i="14"/>
  <c r="I66" i="14"/>
  <c r="J66" i="14"/>
  <c r="K66" i="14"/>
  <c r="L66" i="14"/>
  <c r="M66" i="14"/>
  <c r="N66" i="14"/>
  <c r="O66" i="14"/>
  <c r="AF66" i="14" s="1"/>
  <c r="P66" i="14"/>
  <c r="Q66" i="14"/>
  <c r="R66" i="14"/>
  <c r="AH66" i="14" s="1"/>
  <c r="S66" i="14"/>
  <c r="T66" i="14"/>
  <c r="U66" i="14"/>
  <c r="V66" i="14"/>
  <c r="W66" i="14"/>
  <c r="E66" i="14" s="1"/>
  <c r="X66" i="14"/>
  <c r="Y66" i="14"/>
  <c r="Z66" i="14"/>
  <c r="AA66" i="14"/>
  <c r="AC66" i="14"/>
  <c r="A67" i="14"/>
  <c r="B67" i="14"/>
  <c r="D67" i="14"/>
  <c r="I67" i="14"/>
  <c r="J67" i="14"/>
  <c r="K67" i="14"/>
  <c r="L67" i="14"/>
  <c r="AE67" i="14" s="1"/>
  <c r="M67" i="14"/>
  <c r="N67" i="14"/>
  <c r="O67" i="14"/>
  <c r="P67" i="14"/>
  <c r="Q67" i="14"/>
  <c r="R67" i="14"/>
  <c r="AH67" i="14" s="1"/>
  <c r="S67" i="14"/>
  <c r="T67" i="14"/>
  <c r="U67" i="14"/>
  <c r="V67" i="14"/>
  <c r="W67" i="14"/>
  <c r="E67" i="14" s="1"/>
  <c r="AD67" i="14" s="1"/>
  <c r="X67" i="14"/>
  <c r="F67" i="14" s="1"/>
  <c r="Y67" i="14"/>
  <c r="Z67" i="14"/>
  <c r="AA67" i="14"/>
  <c r="AF67" i="14"/>
  <c r="A68" i="14"/>
  <c r="B68" i="14"/>
  <c r="D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E68" i="14" s="1"/>
  <c r="AD68" i="14" s="1"/>
  <c r="X68" i="14"/>
  <c r="Y68" i="14"/>
  <c r="Z68" i="14"/>
  <c r="AA68" i="14"/>
  <c r="A69" i="14"/>
  <c r="B69" i="14"/>
  <c r="D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E69" i="14" s="1"/>
  <c r="Y69" i="14"/>
  <c r="Z69" i="14"/>
  <c r="AA69" i="14"/>
  <c r="AF69" i="14"/>
  <c r="A70" i="14"/>
  <c r="B70" i="14"/>
  <c r="D70" i="14"/>
  <c r="I70" i="14"/>
  <c r="J70" i="14"/>
  <c r="K70" i="14"/>
  <c r="L70" i="14"/>
  <c r="M70" i="14"/>
  <c r="N70" i="14"/>
  <c r="O70" i="14"/>
  <c r="P70" i="14"/>
  <c r="Q70" i="14"/>
  <c r="AH70" i="14" s="1"/>
  <c r="R70" i="14"/>
  <c r="S70" i="14"/>
  <c r="T70" i="14"/>
  <c r="U70" i="14"/>
  <c r="V70" i="14"/>
  <c r="W70" i="14"/>
  <c r="E70" i="14" s="1"/>
  <c r="X70" i="14"/>
  <c r="F70" i="14" s="1"/>
  <c r="Y70" i="14"/>
  <c r="Z70" i="14"/>
  <c r="AA70" i="14"/>
  <c r="AF70" i="14"/>
  <c r="A71" i="14"/>
  <c r="B71" i="14"/>
  <c r="D71" i="14"/>
  <c r="I71" i="14"/>
  <c r="J71" i="14"/>
  <c r="K71" i="14"/>
  <c r="L71" i="14"/>
  <c r="M71" i="14"/>
  <c r="N71" i="14"/>
  <c r="O71" i="14"/>
  <c r="P71" i="14"/>
  <c r="AF71" i="14" s="1"/>
  <c r="Q71" i="14"/>
  <c r="AH71" i="14" s="1"/>
  <c r="R71" i="14"/>
  <c r="S71" i="14"/>
  <c r="T71" i="14"/>
  <c r="U71" i="14"/>
  <c r="V71" i="14"/>
  <c r="W71" i="14"/>
  <c r="E71" i="14" s="1"/>
  <c r="AD71" i="14" s="1"/>
  <c r="X71" i="14"/>
  <c r="F71" i="14" s="1"/>
  <c r="Y71" i="14"/>
  <c r="Z71" i="14"/>
  <c r="AA71" i="14"/>
  <c r="A72" i="14"/>
  <c r="B72" i="14"/>
  <c r="D72" i="14"/>
  <c r="AC72" i="14" s="1"/>
  <c r="I72" i="14"/>
  <c r="J72" i="14"/>
  <c r="K72" i="14"/>
  <c r="L72" i="14"/>
  <c r="M72" i="14"/>
  <c r="N72" i="14"/>
  <c r="O72" i="14"/>
  <c r="AF72" i="14" s="1"/>
  <c r="P72" i="14"/>
  <c r="Q72" i="14"/>
  <c r="R72" i="14"/>
  <c r="S72" i="14"/>
  <c r="T72" i="14"/>
  <c r="U72" i="14"/>
  <c r="V72" i="14"/>
  <c r="W72" i="14"/>
  <c r="X72" i="14"/>
  <c r="E72" i="14" s="1"/>
  <c r="Y72" i="14"/>
  <c r="Z72" i="14"/>
  <c r="AA72" i="14"/>
  <c r="AH72" i="14"/>
  <c r="A73" i="14"/>
  <c r="B73" i="14"/>
  <c r="D73" i="14"/>
  <c r="I73" i="14"/>
  <c r="J73" i="14"/>
  <c r="K73" i="14"/>
  <c r="L73" i="14"/>
  <c r="M73" i="14"/>
  <c r="N73" i="14"/>
  <c r="O73" i="14"/>
  <c r="AF73" i="14" s="1"/>
  <c r="P73" i="14"/>
  <c r="Q73" i="14"/>
  <c r="R73" i="14"/>
  <c r="AH73" i="14" s="1"/>
  <c r="S73" i="14"/>
  <c r="T73" i="14"/>
  <c r="U73" i="14"/>
  <c r="V73" i="14"/>
  <c r="W73" i="14"/>
  <c r="E73" i="14" s="1"/>
  <c r="X73" i="14"/>
  <c r="Y73" i="14"/>
  <c r="Z73" i="14"/>
  <c r="AA73" i="14"/>
  <c r="A74" i="14"/>
  <c r="B74" i="14"/>
  <c r="D74" i="14"/>
  <c r="I74" i="14"/>
  <c r="J74" i="14"/>
  <c r="K74" i="14"/>
  <c r="L74" i="14"/>
  <c r="M74" i="14"/>
  <c r="N74" i="14"/>
  <c r="O74" i="14"/>
  <c r="AF74" i="14" s="1"/>
  <c r="P74" i="14"/>
  <c r="Q74" i="14"/>
  <c r="R74" i="14"/>
  <c r="S74" i="14"/>
  <c r="T74" i="14"/>
  <c r="U74" i="14"/>
  <c r="V74" i="14"/>
  <c r="W74" i="14"/>
  <c r="F74" i="14" s="1"/>
  <c r="X74" i="14"/>
  <c r="Y74" i="14"/>
  <c r="Z74" i="14"/>
  <c r="AA74" i="14"/>
  <c r="A75" i="14"/>
  <c r="B75" i="14"/>
  <c r="D75" i="14"/>
  <c r="I75" i="14"/>
  <c r="J75" i="14"/>
  <c r="K75" i="14"/>
  <c r="L75" i="14"/>
  <c r="M75" i="14"/>
  <c r="N75" i="14"/>
  <c r="O75" i="14"/>
  <c r="P75" i="14"/>
  <c r="AF75" i="14" s="1"/>
  <c r="Q75" i="14"/>
  <c r="AH75" i="14" s="1"/>
  <c r="R75" i="14"/>
  <c r="S75" i="14"/>
  <c r="T75" i="14"/>
  <c r="U75" i="14"/>
  <c r="V75" i="14"/>
  <c r="W75" i="14"/>
  <c r="X75" i="14"/>
  <c r="Y75" i="14"/>
  <c r="Z75" i="14"/>
  <c r="AA75" i="14"/>
  <c r="A76" i="14"/>
  <c r="B76" i="14"/>
  <c r="D76" i="14"/>
  <c r="I76" i="14"/>
  <c r="AC76" i="14" s="1"/>
  <c r="J76" i="14"/>
  <c r="K76" i="14"/>
  <c r="L76" i="14"/>
  <c r="M76" i="14"/>
  <c r="N76" i="14"/>
  <c r="O76" i="14"/>
  <c r="P76" i="14"/>
  <c r="AF76" i="14" s="1"/>
  <c r="Q76" i="14"/>
  <c r="AH76" i="14" s="1"/>
  <c r="R76" i="14"/>
  <c r="S76" i="14"/>
  <c r="T76" i="14"/>
  <c r="U76" i="14"/>
  <c r="V76" i="14"/>
  <c r="W76" i="14"/>
  <c r="X76" i="14"/>
  <c r="Y76" i="14"/>
  <c r="Z76" i="14"/>
  <c r="AA76" i="14"/>
  <c r="A77" i="14"/>
  <c r="B77" i="14"/>
  <c r="D77" i="14"/>
  <c r="I77" i="14"/>
  <c r="J77" i="14"/>
  <c r="AC77" i="14" s="1"/>
  <c r="K77" i="14"/>
  <c r="L77" i="14"/>
  <c r="M77" i="14"/>
  <c r="N77" i="14"/>
  <c r="O77" i="14"/>
  <c r="AF77" i="14" s="1"/>
  <c r="P77" i="14"/>
  <c r="Q77" i="14"/>
  <c r="R77" i="14"/>
  <c r="AH77" i="14" s="1"/>
  <c r="S77" i="14"/>
  <c r="T77" i="14"/>
  <c r="U77" i="14"/>
  <c r="V77" i="14"/>
  <c r="W77" i="14"/>
  <c r="E77" i="14" s="1"/>
  <c r="X77" i="14"/>
  <c r="Y77" i="14"/>
  <c r="Z77" i="14"/>
  <c r="AA77" i="14"/>
  <c r="A78" i="14"/>
  <c r="B78" i="14"/>
  <c r="D78" i="14"/>
  <c r="I78" i="14"/>
  <c r="AC78" i="14" s="1"/>
  <c r="J78" i="14"/>
  <c r="K78" i="14"/>
  <c r="L78" i="14"/>
  <c r="M78" i="14"/>
  <c r="N78" i="14"/>
  <c r="O78" i="14"/>
  <c r="P78" i="14"/>
  <c r="AF78" i="14" s="1"/>
  <c r="Q78" i="14"/>
  <c r="AH78" i="14" s="1"/>
  <c r="H78" i="14" s="1"/>
  <c r="R78" i="14"/>
  <c r="S78" i="14"/>
  <c r="T78" i="14"/>
  <c r="U78" i="14"/>
  <c r="V78" i="14"/>
  <c r="W78" i="14"/>
  <c r="E78" i="14" s="1"/>
  <c r="AD78" i="14" s="1"/>
  <c r="X78" i="14"/>
  <c r="F78" i="14" s="1"/>
  <c r="AG78" i="14" s="1"/>
  <c r="Y78" i="14"/>
  <c r="Z78" i="14"/>
  <c r="AA78" i="14"/>
  <c r="A79" i="14"/>
  <c r="B79" i="14"/>
  <c r="D79" i="14"/>
  <c r="AC79" i="14" s="1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F79" i="14" s="1"/>
  <c r="AG79" i="14" s="1"/>
  <c r="H79" i="14" s="1"/>
  <c r="X79" i="14"/>
  <c r="Y79" i="14"/>
  <c r="Z79" i="14"/>
  <c r="AA79" i="14"/>
  <c r="AH79" i="14"/>
  <c r="A80" i="14"/>
  <c r="B80" i="14"/>
  <c r="D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E80" i="14" s="1"/>
  <c r="Y80" i="14"/>
  <c r="Z80" i="14"/>
  <c r="AA80" i="14"/>
  <c r="AC80" i="14"/>
  <c r="AF80" i="14"/>
  <c r="AH80" i="14"/>
  <c r="A81" i="14"/>
  <c r="B81" i="14"/>
  <c r="D81" i="14"/>
  <c r="I81" i="14"/>
  <c r="J81" i="14"/>
  <c r="K81" i="14"/>
  <c r="L81" i="14"/>
  <c r="M81" i="14"/>
  <c r="N81" i="14"/>
  <c r="O81" i="14"/>
  <c r="P81" i="14"/>
  <c r="AF81" i="14" s="1"/>
  <c r="Q81" i="14"/>
  <c r="R81" i="14"/>
  <c r="S81" i="14"/>
  <c r="T81" i="14"/>
  <c r="U81" i="14"/>
  <c r="V81" i="14"/>
  <c r="W81" i="14"/>
  <c r="E81" i="14" s="1"/>
  <c r="X81" i="14"/>
  <c r="F81" i="14" s="1"/>
  <c r="AG81" i="14" s="1"/>
  <c r="Y81" i="14"/>
  <c r="Z81" i="14"/>
  <c r="AA81" i="14"/>
  <c r="A82" i="14"/>
  <c r="B82" i="14"/>
  <c r="D82" i="14"/>
  <c r="E82" i="14"/>
  <c r="I82" i="14"/>
  <c r="AC82" i="14" s="1"/>
  <c r="J82" i="14"/>
  <c r="K82" i="14"/>
  <c r="L82" i="14"/>
  <c r="M82" i="14"/>
  <c r="N82" i="14"/>
  <c r="O82" i="14"/>
  <c r="P82" i="14"/>
  <c r="AF82" i="14" s="1"/>
  <c r="Q82" i="14"/>
  <c r="AH82" i="14" s="1"/>
  <c r="R82" i="14"/>
  <c r="S82" i="14"/>
  <c r="T82" i="14"/>
  <c r="U82" i="14"/>
  <c r="V82" i="14"/>
  <c r="W82" i="14"/>
  <c r="X82" i="14"/>
  <c r="Y82" i="14"/>
  <c r="Z82" i="14"/>
  <c r="AA82" i="14"/>
  <c r="A83" i="14"/>
  <c r="B83" i="14"/>
  <c r="D83" i="14"/>
  <c r="I83" i="14"/>
  <c r="J83" i="14"/>
  <c r="K83" i="14"/>
  <c r="L83" i="14"/>
  <c r="M83" i="14"/>
  <c r="N83" i="14"/>
  <c r="O83" i="14"/>
  <c r="P83" i="14"/>
  <c r="Q83" i="14"/>
  <c r="AH83" i="14" s="1"/>
  <c r="R83" i="14"/>
  <c r="S83" i="14"/>
  <c r="T83" i="14"/>
  <c r="U83" i="14"/>
  <c r="V83" i="14"/>
  <c r="W83" i="14"/>
  <c r="X83" i="14"/>
  <c r="Y83" i="14"/>
  <c r="Z83" i="14"/>
  <c r="AA83" i="14"/>
  <c r="A84" i="14"/>
  <c r="B84" i="14"/>
  <c r="D84" i="14"/>
  <c r="I84" i="14"/>
  <c r="J84" i="14"/>
  <c r="K84" i="14"/>
  <c r="L84" i="14"/>
  <c r="M84" i="14"/>
  <c r="N84" i="14"/>
  <c r="O84" i="14"/>
  <c r="P84" i="14"/>
  <c r="Q84" i="14"/>
  <c r="AH84" i="14" s="1"/>
  <c r="R84" i="14"/>
  <c r="S84" i="14"/>
  <c r="T84" i="14"/>
  <c r="U84" i="14"/>
  <c r="V84" i="14"/>
  <c r="W84" i="14"/>
  <c r="X84" i="14"/>
  <c r="Y84" i="14"/>
  <c r="Z84" i="14"/>
  <c r="AA84" i="14"/>
  <c r="A85" i="14"/>
  <c r="B85" i="14"/>
  <c r="D85" i="14"/>
  <c r="I85" i="14"/>
  <c r="J85" i="14"/>
  <c r="K85" i="14"/>
  <c r="L85" i="14"/>
  <c r="M85" i="14"/>
  <c r="N85" i="14"/>
  <c r="O85" i="14"/>
  <c r="P85" i="14"/>
  <c r="Q85" i="14"/>
  <c r="AH85" i="14" s="1"/>
  <c r="R85" i="14"/>
  <c r="S85" i="14"/>
  <c r="T85" i="14"/>
  <c r="U85" i="14"/>
  <c r="V85" i="14"/>
  <c r="W85" i="14"/>
  <c r="E85" i="14" s="1"/>
  <c r="X85" i="14"/>
  <c r="Y85" i="14"/>
  <c r="Z85" i="14"/>
  <c r="AA85" i="14"/>
  <c r="A86" i="14"/>
  <c r="B86" i="14"/>
  <c r="D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F86" i="14" s="1"/>
  <c r="AE86" i="14" s="1"/>
  <c r="X86" i="14"/>
  <c r="Y86" i="14"/>
  <c r="Z86" i="14"/>
  <c r="AA86" i="14"/>
  <c r="AH86" i="14"/>
  <c r="A87" i="14"/>
  <c r="B87" i="14"/>
  <c r="D87" i="14"/>
  <c r="I87" i="14"/>
  <c r="J87" i="14"/>
  <c r="K87" i="14"/>
  <c r="L87" i="14"/>
  <c r="M87" i="14"/>
  <c r="N87" i="14"/>
  <c r="O87" i="14"/>
  <c r="P87" i="14"/>
  <c r="Q87" i="14"/>
  <c r="AH87" i="14" s="1"/>
  <c r="R87" i="14"/>
  <c r="S87" i="14"/>
  <c r="T87" i="14"/>
  <c r="U87" i="14"/>
  <c r="V87" i="14"/>
  <c r="W87" i="14"/>
  <c r="X87" i="14"/>
  <c r="Y87" i="14"/>
  <c r="Z87" i="14"/>
  <c r="AA87" i="14"/>
  <c r="AC87" i="14"/>
  <c r="AF87" i="14"/>
  <c r="A88" i="14"/>
  <c r="B88" i="14"/>
  <c r="D88" i="14"/>
  <c r="I88" i="14"/>
  <c r="J88" i="14"/>
  <c r="K88" i="14"/>
  <c r="L88" i="14"/>
  <c r="M88" i="14"/>
  <c r="N88" i="14"/>
  <c r="O88" i="14"/>
  <c r="AF88" i="14" s="1"/>
  <c r="P88" i="14"/>
  <c r="Q88" i="14"/>
  <c r="AH88" i="14" s="1"/>
  <c r="R88" i="14"/>
  <c r="S88" i="14"/>
  <c r="T88" i="14"/>
  <c r="U88" i="14"/>
  <c r="V88" i="14"/>
  <c r="W88" i="14"/>
  <c r="E88" i="14" s="1"/>
  <c r="X88" i="14"/>
  <c r="Y88" i="14"/>
  <c r="Z88" i="14"/>
  <c r="AA88" i="14"/>
  <c r="A89" i="14"/>
  <c r="B89" i="14"/>
  <c r="D89" i="14"/>
  <c r="I89" i="14"/>
  <c r="J89" i="14"/>
  <c r="K89" i="14"/>
  <c r="L89" i="14"/>
  <c r="M89" i="14"/>
  <c r="N89" i="14"/>
  <c r="O89" i="14"/>
  <c r="AF89" i="14" s="1"/>
  <c r="P89" i="14"/>
  <c r="Q89" i="14"/>
  <c r="R89" i="14"/>
  <c r="S89" i="14"/>
  <c r="T89" i="14"/>
  <c r="U89" i="14"/>
  <c r="V89" i="14"/>
  <c r="W89" i="14"/>
  <c r="E89" i="14" s="1"/>
  <c r="AD89" i="14" s="1"/>
  <c r="X89" i="14"/>
  <c r="F89" i="14" s="1"/>
  <c r="AG89" i="14" s="1"/>
  <c r="Y89" i="14"/>
  <c r="Z89" i="14"/>
  <c r="AA89" i="14"/>
  <c r="AC89" i="14"/>
  <c r="A90" i="14"/>
  <c r="B90" i="14"/>
  <c r="D90" i="14"/>
  <c r="AC90" i="14" s="1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F90" i="14" s="1"/>
  <c r="X90" i="14"/>
  <c r="Y90" i="14"/>
  <c r="Z90" i="14"/>
  <c r="AA90" i="14"/>
  <c r="AF90" i="14"/>
  <c r="AH90" i="14"/>
  <c r="A91" i="14"/>
  <c r="B91" i="14"/>
  <c r="D91" i="14"/>
  <c r="I91" i="14"/>
  <c r="AC91" i="14" s="1"/>
  <c r="J91" i="14"/>
  <c r="K91" i="14"/>
  <c r="L91" i="14"/>
  <c r="M91" i="14"/>
  <c r="N91" i="14"/>
  <c r="O91" i="14"/>
  <c r="P91" i="14"/>
  <c r="AF91" i="14" s="1"/>
  <c r="Q91" i="14"/>
  <c r="AH91" i="14" s="1"/>
  <c r="R91" i="14"/>
  <c r="S91" i="14"/>
  <c r="T91" i="14"/>
  <c r="U91" i="14"/>
  <c r="V91" i="14"/>
  <c r="W91" i="14"/>
  <c r="X91" i="14"/>
  <c r="E91" i="14" s="1"/>
  <c r="Y91" i="14"/>
  <c r="Z91" i="14"/>
  <c r="AA91" i="14"/>
  <c r="A92" i="14"/>
  <c r="B92" i="14"/>
  <c r="D92" i="14"/>
  <c r="I92" i="14"/>
  <c r="J92" i="14"/>
  <c r="K92" i="14"/>
  <c r="L92" i="14"/>
  <c r="M92" i="14"/>
  <c r="N92" i="14"/>
  <c r="O92" i="14"/>
  <c r="AF92" i="14" s="1"/>
  <c r="P92" i="14"/>
  <c r="Q92" i="14"/>
  <c r="R92" i="14"/>
  <c r="AH92" i="14" s="1"/>
  <c r="S92" i="14"/>
  <c r="T92" i="14"/>
  <c r="U92" i="14"/>
  <c r="V92" i="14"/>
  <c r="W92" i="14"/>
  <c r="X92" i="14"/>
  <c r="Y92" i="14"/>
  <c r="Z92" i="14"/>
  <c r="AA92" i="14"/>
  <c r="A93" i="14"/>
  <c r="B93" i="14"/>
  <c r="D93" i="14"/>
  <c r="I93" i="14"/>
  <c r="J93" i="14"/>
  <c r="K93" i="14"/>
  <c r="L93" i="14"/>
  <c r="M93" i="14"/>
  <c r="N93" i="14"/>
  <c r="O93" i="14"/>
  <c r="AF93" i="14" s="1"/>
  <c r="P93" i="14"/>
  <c r="Q93" i="14"/>
  <c r="R93" i="14"/>
  <c r="AH93" i="14" s="1"/>
  <c r="S93" i="14"/>
  <c r="T93" i="14"/>
  <c r="U93" i="14"/>
  <c r="V93" i="14"/>
  <c r="W93" i="14"/>
  <c r="E93" i="14" s="1"/>
  <c r="AD93" i="14" s="1"/>
  <c r="X93" i="14"/>
  <c r="Y93" i="14"/>
  <c r="Z93" i="14"/>
  <c r="AA93" i="14"/>
  <c r="A94" i="14"/>
  <c r="B94" i="14"/>
  <c r="D94" i="14"/>
  <c r="I94" i="14"/>
  <c r="J94" i="14"/>
  <c r="K94" i="14"/>
  <c r="L94" i="14"/>
  <c r="M94" i="14"/>
  <c r="N94" i="14"/>
  <c r="O94" i="14"/>
  <c r="AF94" i="14" s="1"/>
  <c r="P94" i="14"/>
  <c r="Q94" i="14"/>
  <c r="AH94" i="14" s="1"/>
  <c r="R94" i="14"/>
  <c r="S94" i="14"/>
  <c r="T94" i="14"/>
  <c r="U94" i="14"/>
  <c r="V94" i="14"/>
  <c r="W94" i="14"/>
  <c r="F94" i="14" s="1"/>
  <c r="X94" i="14"/>
  <c r="Y94" i="14"/>
  <c r="Z94" i="14"/>
  <c r="AA94" i="14"/>
  <c r="A95" i="14"/>
  <c r="B95" i="14"/>
  <c r="D95" i="14"/>
  <c r="I95" i="14"/>
  <c r="J95" i="14"/>
  <c r="AC95" i="14" s="1"/>
  <c r="K95" i="14"/>
  <c r="L95" i="14"/>
  <c r="M95" i="14"/>
  <c r="N95" i="14"/>
  <c r="O95" i="14"/>
  <c r="AF95" i="14" s="1"/>
  <c r="P95" i="14"/>
  <c r="Q95" i="14"/>
  <c r="R95" i="14"/>
  <c r="AH95" i="14" s="1"/>
  <c r="S95" i="14"/>
  <c r="T95" i="14"/>
  <c r="U95" i="14"/>
  <c r="V95" i="14"/>
  <c r="W95" i="14"/>
  <c r="E95" i="14" s="1"/>
  <c r="AD95" i="14" s="1"/>
  <c r="X95" i="14"/>
  <c r="Y95" i="14"/>
  <c r="Z95" i="14"/>
  <c r="AA95" i="14"/>
  <c r="A96" i="14"/>
  <c r="B96" i="14"/>
  <c r="D96" i="14"/>
  <c r="I96" i="14"/>
  <c r="J96" i="14"/>
  <c r="AC96" i="14" s="1"/>
  <c r="K96" i="14"/>
  <c r="L96" i="14"/>
  <c r="M96" i="14"/>
  <c r="N96" i="14"/>
  <c r="O96" i="14"/>
  <c r="AF96" i="14" s="1"/>
  <c r="P96" i="14"/>
  <c r="Q96" i="14"/>
  <c r="R96" i="14"/>
  <c r="AH96" i="14" s="1"/>
  <c r="S96" i="14"/>
  <c r="T96" i="14"/>
  <c r="U96" i="14"/>
  <c r="V96" i="14"/>
  <c r="W96" i="14"/>
  <c r="E96" i="14" s="1"/>
  <c r="AD96" i="14" s="1"/>
  <c r="X96" i="14"/>
  <c r="Y96" i="14"/>
  <c r="Z96" i="14"/>
  <c r="AA96" i="14"/>
  <c r="A97" i="14"/>
  <c r="B97" i="14"/>
  <c r="D97" i="14"/>
  <c r="AC97" i="14" s="1"/>
  <c r="I97" i="14"/>
  <c r="J97" i="14"/>
  <c r="K97" i="14"/>
  <c r="L97" i="14"/>
  <c r="M97" i="14"/>
  <c r="N97" i="14"/>
  <c r="O97" i="14"/>
  <c r="P97" i="14"/>
  <c r="Q97" i="14"/>
  <c r="R97" i="14"/>
  <c r="AH97" i="14" s="1"/>
  <c r="S97" i="14"/>
  <c r="T97" i="14"/>
  <c r="U97" i="14"/>
  <c r="V97" i="14"/>
  <c r="W97" i="14"/>
  <c r="F97" i="14" s="1"/>
  <c r="AE97" i="14" s="1"/>
  <c r="X97" i="14"/>
  <c r="Y97" i="14"/>
  <c r="Z97" i="14"/>
  <c r="AA97" i="14"/>
  <c r="AF97" i="14"/>
  <c r="A98" i="14"/>
  <c r="B98" i="14"/>
  <c r="D98" i="14"/>
  <c r="I98" i="14"/>
  <c r="J98" i="14"/>
  <c r="K98" i="14"/>
  <c r="L98" i="14"/>
  <c r="M98" i="14"/>
  <c r="N98" i="14"/>
  <c r="O98" i="14"/>
  <c r="P98" i="14"/>
  <c r="Q98" i="14"/>
  <c r="AH98" i="14" s="1"/>
  <c r="R98" i="14"/>
  <c r="S98" i="14"/>
  <c r="T98" i="14"/>
  <c r="U98" i="14"/>
  <c r="V98" i="14"/>
  <c r="W98" i="14"/>
  <c r="F98" i="14" s="1"/>
  <c r="X98" i="14"/>
  <c r="Y98" i="14"/>
  <c r="Z98" i="14"/>
  <c r="AA98" i="14"/>
  <c r="A99" i="14"/>
  <c r="B99" i="14"/>
  <c r="D99" i="14"/>
  <c r="I99" i="14"/>
  <c r="J99" i="14"/>
  <c r="K99" i="14"/>
  <c r="L99" i="14"/>
  <c r="M99" i="14"/>
  <c r="N99" i="14"/>
  <c r="O99" i="14"/>
  <c r="AF99" i="14" s="1"/>
  <c r="P99" i="14"/>
  <c r="Q99" i="14"/>
  <c r="R99" i="14"/>
  <c r="AH99" i="14" s="1"/>
  <c r="S99" i="14"/>
  <c r="T99" i="14"/>
  <c r="U99" i="14"/>
  <c r="V99" i="14"/>
  <c r="W99" i="14"/>
  <c r="X99" i="14"/>
  <c r="Y99" i="14"/>
  <c r="Z99" i="14"/>
  <c r="AA99" i="14"/>
  <c r="A100" i="14"/>
  <c r="B100" i="14"/>
  <c r="D100" i="14"/>
  <c r="I100" i="14"/>
  <c r="AC100" i="14" s="1"/>
  <c r="J100" i="14"/>
  <c r="K100" i="14"/>
  <c r="L100" i="14"/>
  <c r="M100" i="14"/>
  <c r="N100" i="14"/>
  <c r="O100" i="14"/>
  <c r="P100" i="14"/>
  <c r="Q100" i="14"/>
  <c r="AH100" i="14" s="1"/>
  <c r="R100" i="14"/>
  <c r="S100" i="14"/>
  <c r="T100" i="14"/>
  <c r="U100" i="14"/>
  <c r="V100" i="14"/>
  <c r="W100" i="14"/>
  <c r="X100" i="14"/>
  <c r="Y100" i="14"/>
  <c r="Z100" i="14"/>
  <c r="AA100" i="14"/>
  <c r="AF100" i="14"/>
  <c r="A101" i="14"/>
  <c r="B101" i="14"/>
  <c r="D101" i="14"/>
  <c r="I101" i="14"/>
  <c r="J101" i="14"/>
  <c r="K101" i="14"/>
  <c r="L101" i="14"/>
  <c r="M101" i="14"/>
  <c r="N101" i="14"/>
  <c r="O101" i="14"/>
  <c r="AF101" i="14" s="1"/>
  <c r="P101" i="14"/>
  <c r="Q101" i="14"/>
  <c r="R101" i="14"/>
  <c r="S101" i="14"/>
  <c r="T101" i="14"/>
  <c r="U101" i="14"/>
  <c r="V101" i="14"/>
  <c r="W101" i="14"/>
  <c r="X101" i="14"/>
  <c r="Y101" i="14"/>
  <c r="Z101" i="14"/>
  <c r="AA101" i="14"/>
  <c r="A102" i="14"/>
  <c r="B102" i="14"/>
  <c r="D102" i="14"/>
  <c r="AC102" i="14" s="1"/>
  <c r="I102" i="14"/>
  <c r="J102" i="14"/>
  <c r="K102" i="14"/>
  <c r="L102" i="14"/>
  <c r="M102" i="14"/>
  <c r="N102" i="14"/>
  <c r="O102" i="14"/>
  <c r="P102" i="14"/>
  <c r="AF102" i="14" s="1"/>
  <c r="Q102" i="14"/>
  <c r="R102" i="14"/>
  <c r="S102" i="14"/>
  <c r="T102" i="14"/>
  <c r="U102" i="14"/>
  <c r="V102" i="14"/>
  <c r="W102" i="14"/>
  <c r="X102" i="14"/>
  <c r="Y102" i="14"/>
  <c r="Z102" i="14"/>
  <c r="AA102" i="14"/>
  <c r="AH102" i="14"/>
  <c r="A103" i="14"/>
  <c r="B103" i="14"/>
  <c r="D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V103" i="14"/>
  <c r="W103" i="14"/>
  <c r="X103" i="14"/>
  <c r="Y103" i="14"/>
  <c r="Z103" i="14"/>
  <c r="AA103" i="14"/>
  <c r="AH103" i="14"/>
  <c r="A104" i="14"/>
  <c r="B104" i="14"/>
  <c r="D104" i="14"/>
  <c r="I104" i="14"/>
  <c r="J104" i="14"/>
  <c r="K104" i="14"/>
  <c r="L104" i="14"/>
  <c r="M104" i="14"/>
  <c r="N104" i="14"/>
  <c r="O104" i="14"/>
  <c r="P104" i="14"/>
  <c r="Q104" i="14"/>
  <c r="R104" i="14"/>
  <c r="AH104" i="14" s="1"/>
  <c r="S104" i="14"/>
  <c r="T104" i="14"/>
  <c r="U104" i="14"/>
  <c r="V104" i="14"/>
  <c r="W104" i="14"/>
  <c r="E104" i="14" s="1"/>
  <c r="AD104" i="14" s="1"/>
  <c r="X104" i="14"/>
  <c r="Y104" i="14"/>
  <c r="Z104" i="14"/>
  <c r="AA104" i="14"/>
  <c r="A105" i="14"/>
  <c r="B105" i="14"/>
  <c r="D105" i="14"/>
  <c r="AC105" i="14" s="1"/>
  <c r="I105" i="14"/>
  <c r="J105" i="14"/>
  <c r="K105" i="14"/>
  <c r="L105" i="14"/>
  <c r="M105" i="14"/>
  <c r="N105" i="14"/>
  <c r="O105" i="14"/>
  <c r="AF105" i="14" s="1"/>
  <c r="P105" i="14"/>
  <c r="Q105" i="14"/>
  <c r="R105" i="14"/>
  <c r="S105" i="14"/>
  <c r="T105" i="14"/>
  <c r="U105" i="14"/>
  <c r="V105" i="14"/>
  <c r="W105" i="14"/>
  <c r="E105" i="14" s="1"/>
  <c r="AD105" i="14" s="1"/>
  <c r="X105" i="14"/>
  <c r="Y105" i="14"/>
  <c r="Z105" i="14"/>
  <c r="AA105" i="14"/>
  <c r="A106" i="14"/>
  <c r="B106" i="14"/>
  <c r="D106" i="14"/>
  <c r="I106" i="14"/>
  <c r="AC106" i="14" s="1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V106" i="14"/>
  <c r="W106" i="14"/>
  <c r="X106" i="14"/>
  <c r="Y106" i="14"/>
  <c r="Z106" i="14"/>
  <c r="AA106" i="14"/>
  <c r="A107" i="14"/>
  <c r="B107" i="14"/>
  <c r="D107" i="14"/>
  <c r="I107" i="14"/>
  <c r="AC107" i="14" s="1"/>
  <c r="J107" i="14"/>
  <c r="K107" i="14"/>
  <c r="L107" i="14"/>
  <c r="M107" i="14"/>
  <c r="N107" i="14"/>
  <c r="O107" i="14"/>
  <c r="P107" i="14"/>
  <c r="AF107" i="14" s="1"/>
  <c r="Q107" i="14"/>
  <c r="R107" i="14"/>
  <c r="S107" i="14"/>
  <c r="T107" i="14"/>
  <c r="U107" i="14"/>
  <c r="V107" i="14"/>
  <c r="W107" i="14"/>
  <c r="E107" i="14" s="1"/>
  <c r="X107" i="14"/>
  <c r="F107" i="14" s="1"/>
  <c r="Y107" i="14"/>
  <c r="Z107" i="14"/>
  <c r="AA107" i="14"/>
  <c r="A108" i="14"/>
  <c r="B108" i="14"/>
  <c r="D108" i="14"/>
  <c r="AC108" i="14" s="1"/>
  <c r="I108" i="14"/>
  <c r="J108" i="14"/>
  <c r="K108" i="14"/>
  <c r="L108" i="14"/>
  <c r="M108" i="14"/>
  <c r="N108" i="14"/>
  <c r="O108" i="14"/>
  <c r="P108" i="14"/>
  <c r="AF108" i="14" s="1"/>
  <c r="Q108" i="14"/>
  <c r="AH108" i="14" s="1"/>
  <c r="R108" i="14"/>
  <c r="S108" i="14"/>
  <c r="T108" i="14"/>
  <c r="U108" i="14"/>
  <c r="V108" i="14"/>
  <c r="W108" i="14"/>
  <c r="E108" i="14" s="1"/>
  <c r="AD108" i="14" s="1"/>
  <c r="X108" i="14"/>
  <c r="Y108" i="14"/>
  <c r="Z108" i="14"/>
  <c r="AA108" i="14"/>
  <c r="A109" i="14"/>
  <c r="B109" i="14"/>
  <c r="D109" i="14"/>
  <c r="AC109" i="14" s="1"/>
  <c r="I109" i="14"/>
  <c r="J109" i="14"/>
  <c r="K109" i="14"/>
  <c r="L109" i="14"/>
  <c r="M109" i="14"/>
  <c r="N109" i="14"/>
  <c r="O109" i="14"/>
  <c r="P109" i="14"/>
  <c r="AF109" i="14" s="1"/>
  <c r="Q109" i="14"/>
  <c r="R109" i="14"/>
  <c r="AH109" i="14" s="1"/>
  <c r="S109" i="14"/>
  <c r="T109" i="14"/>
  <c r="U109" i="14"/>
  <c r="V109" i="14"/>
  <c r="W109" i="14"/>
  <c r="X109" i="14"/>
  <c r="Y109" i="14"/>
  <c r="Z109" i="14"/>
  <c r="AA109" i="14"/>
  <c r="A110" i="14"/>
  <c r="B110" i="14"/>
  <c r="D110" i="14"/>
  <c r="I110" i="14"/>
  <c r="J110" i="14"/>
  <c r="K110" i="14"/>
  <c r="L110" i="14"/>
  <c r="M110" i="14"/>
  <c r="N110" i="14"/>
  <c r="O110" i="14"/>
  <c r="AF110" i="14" s="1"/>
  <c r="P110" i="14"/>
  <c r="Q110" i="14"/>
  <c r="R110" i="14"/>
  <c r="AH110" i="14" s="1"/>
  <c r="S110" i="14"/>
  <c r="T110" i="14"/>
  <c r="U110" i="14"/>
  <c r="V110" i="14"/>
  <c r="W110" i="14"/>
  <c r="E110" i="14" s="1"/>
  <c r="X110" i="14"/>
  <c r="Y110" i="14"/>
  <c r="Z110" i="14"/>
  <c r="AA110" i="14"/>
  <c r="A111" i="14"/>
  <c r="B111" i="14"/>
  <c r="D111" i="14"/>
  <c r="I111" i="14"/>
  <c r="J111" i="14"/>
  <c r="K111" i="14"/>
  <c r="L111" i="14"/>
  <c r="M111" i="14"/>
  <c r="N111" i="14"/>
  <c r="O111" i="14"/>
  <c r="P111" i="14"/>
  <c r="AF111" i="14" s="1"/>
  <c r="Q111" i="14"/>
  <c r="R111" i="14"/>
  <c r="AH111" i="14" s="1"/>
  <c r="S111" i="14"/>
  <c r="T111" i="14"/>
  <c r="U111" i="14"/>
  <c r="V111" i="14"/>
  <c r="W111" i="14"/>
  <c r="E111" i="14" s="1"/>
  <c r="X111" i="14"/>
  <c r="F111" i="14" s="1"/>
  <c r="Y111" i="14"/>
  <c r="Z111" i="14"/>
  <c r="AA111" i="14"/>
  <c r="A112" i="14"/>
  <c r="B112" i="14"/>
  <c r="D112" i="14"/>
  <c r="I112" i="14"/>
  <c r="J112" i="14"/>
  <c r="K112" i="14"/>
  <c r="L112" i="14"/>
  <c r="M112" i="14"/>
  <c r="N112" i="14"/>
  <c r="O112" i="14"/>
  <c r="P112" i="14"/>
  <c r="AF112" i="14" s="1"/>
  <c r="Q112" i="14"/>
  <c r="AH112" i="14" s="1"/>
  <c r="R112" i="14"/>
  <c r="S112" i="14"/>
  <c r="T112" i="14"/>
  <c r="U112" i="14"/>
  <c r="V112" i="14"/>
  <c r="W112" i="14"/>
  <c r="X112" i="14"/>
  <c r="E112" i="14" s="1"/>
  <c r="Y112" i="14"/>
  <c r="Z112" i="14"/>
  <c r="AA112" i="14"/>
  <c r="A113" i="14"/>
  <c r="B113" i="14"/>
  <c r="D113" i="14"/>
  <c r="I113" i="14"/>
  <c r="AC113" i="14" s="1"/>
  <c r="J113" i="14"/>
  <c r="K113" i="14"/>
  <c r="L113" i="14"/>
  <c r="M113" i="14"/>
  <c r="N113" i="14"/>
  <c r="O113" i="14"/>
  <c r="P113" i="14"/>
  <c r="Q113" i="14"/>
  <c r="AH113" i="14" s="1"/>
  <c r="R113" i="14"/>
  <c r="S113" i="14"/>
  <c r="T113" i="14"/>
  <c r="U113" i="14"/>
  <c r="V113" i="14"/>
  <c r="W113" i="14"/>
  <c r="X113" i="14"/>
  <c r="Y113" i="14"/>
  <c r="Z113" i="14"/>
  <c r="AA113" i="14"/>
  <c r="A114" i="14"/>
  <c r="B114" i="14"/>
  <c r="D114" i="14"/>
  <c r="I114" i="14"/>
  <c r="J114" i="14"/>
  <c r="K114" i="14"/>
  <c r="L114" i="14"/>
  <c r="M114" i="14"/>
  <c r="N114" i="14"/>
  <c r="O114" i="14"/>
  <c r="AF114" i="14" s="1"/>
  <c r="P114" i="14"/>
  <c r="Q114" i="14"/>
  <c r="R114" i="14"/>
  <c r="AH114" i="14" s="1"/>
  <c r="S114" i="14"/>
  <c r="T114" i="14"/>
  <c r="U114" i="14"/>
  <c r="V114" i="14"/>
  <c r="W114" i="14"/>
  <c r="X114" i="14"/>
  <c r="Y114" i="14"/>
  <c r="Z114" i="14"/>
  <c r="AA114" i="14"/>
  <c r="A115" i="14"/>
  <c r="B115" i="14"/>
  <c r="D115" i="14"/>
  <c r="I115" i="14"/>
  <c r="J115" i="14"/>
  <c r="K115" i="14"/>
  <c r="L115" i="14"/>
  <c r="M115" i="14"/>
  <c r="N115" i="14"/>
  <c r="O115" i="14"/>
  <c r="AF115" i="14" s="1"/>
  <c r="P115" i="14"/>
  <c r="Q115" i="14"/>
  <c r="R115" i="14"/>
  <c r="AH115" i="14" s="1"/>
  <c r="S115" i="14"/>
  <c r="T115" i="14"/>
  <c r="U115" i="14"/>
  <c r="V115" i="14"/>
  <c r="W115" i="14"/>
  <c r="E115" i="14" s="1"/>
  <c r="X115" i="14"/>
  <c r="Y115" i="14"/>
  <c r="Z115" i="14"/>
  <c r="AA115" i="14"/>
  <c r="A116" i="14"/>
  <c r="B116" i="14"/>
  <c r="D116" i="14"/>
  <c r="I116" i="14"/>
  <c r="J116" i="14"/>
  <c r="K116" i="14"/>
  <c r="L116" i="14"/>
  <c r="M116" i="14"/>
  <c r="N116" i="14"/>
  <c r="O116" i="14"/>
  <c r="P116" i="14"/>
  <c r="AF116" i="14" s="1"/>
  <c r="Q116" i="14"/>
  <c r="AH116" i="14" s="1"/>
  <c r="R116" i="14"/>
  <c r="S116" i="14"/>
  <c r="T116" i="14"/>
  <c r="U116" i="14"/>
  <c r="V116" i="14"/>
  <c r="W116" i="14"/>
  <c r="E116" i="14" s="1"/>
  <c r="AD116" i="14" s="1"/>
  <c r="X116" i="14"/>
  <c r="F116" i="14" s="1"/>
  <c r="AG116" i="14" s="1"/>
  <c r="Y116" i="14"/>
  <c r="Z116" i="14"/>
  <c r="AA116" i="14"/>
  <c r="A117" i="14"/>
  <c r="B117" i="14"/>
  <c r="D117" i="14"/>
  <c r="I117" i="14"/>
  <c r="J117" i="14"/>
  <c r="K117" i="14"/>
  <c r="L117" i="14"/>
  <c r="M117" i="14"/>
  <c r="N117" i="14"/>
  <c r="O117" i="14"/>
  <c r="P117" i="14"/>
  <c r="Q117" i="14"/>
  <c r="R117" i="14"/>
  <c r="AH117" i="14" s="1"/>
  <c r="S117" i="14"/>
  <c r="T117" i="14"/>
  <c r="U117" i="14"/>
  <c r="V117" i="14"/>
  <c r="W117" i="14"/>
  <c r="F117" i="14" s="1"/>
  <c r="X117" i="14"/>
  <c r="Y117" i="14"/>
  <c r="Z117" i="14"/>
  <c r="AA117" i="14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7" i="13"/>
  <c r="O48" i="13"/>
  <c r="O49" i="13"/>
  <c r="O50" i="13"/>
  <c r="O51" i="13"/>
  <c r="O52" i="13"/>
  <c r="O53" i="13"/>
  <c r="O54" i="13"/>
  <c r="O55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6" i="13"/>
  <c r="O89" i="13"/>
  <c r="O90" i="13"/>
  <c r="O91" i="13"/>
  <c r="O92" i="13"/>
  <c r="O93" i="13"/>
  <c r="O94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8" i="13"/>
  <c r="O119" i="13"/>
  <c r="O120" i="13"/>
  <c r="O121" i="13"/>
  <c r="O122" i="13"/>
  <c r="O123" i="13"/>
  <c r="O124" i="13"/>
  <c r="O125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3" i="13"/>
  <c r="I34" i="13"/>
  <c r="I35" i="13"/>
  <c r="I36" i="13"/>
  <c r="I37" i="13"/>
  <c r="I38" i="13"/>
  <c r="I40" i="13"/>
  <c r="I41" i="13"/>
  <c r="I43" i="13"/>
  <c r="I44" i="13"/>
  <c r="I45" i="13"/>
  <c r="I46" i="13"/>
  <c r="I48" i="13"/>
  <c r="I49" i="13"/>
  <c r="I50" i="13"/>
  <c r="I51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5" i="13"/>
  <c r="I76" i="13"/>
  <c r="I77" i="13"/>
  <c r="I78" i="13"/>
  <c r="I79" i="13"/>
  <c r="I80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2" i="13"/>
  <c r="I123" i="13"/>
  <c r="I124" i="13"/>
  <c r="I125" i="13"/>
  <c r="G8" i="13"/>
  <c r="G10" i="13"/>
  <c r="G12" i="13"/>
  <c r="G13" i="13"/>
  <c r="G14" i="13"/>
  <c r="G15" i="13"/>
  <c r="G16" i="13"/>
  <c r="G18" i="13"/>
  <c r="G20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9" i="13"/>
  <c r="G50" i="13"/>
  <c r="G51" i="13"/>
  <c r="G52" i="13"/>
  <c r="G53" i="13"/>
  <c r="G54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1" i="13"/>
  <c r="G73" i="13"/>
  <c r="G74" i="13"/>
  <c r="G75" i="13"/>
  <c r="G76" i="13"/>
  <c r="G77" i="13"/>
  <c r="G78" i="13"/>
  <c r="G79" i="13"/>
  <c r="G80" i="13"/>
  <c r="G81" i="13"/>
  <c r="G82" i="13"/>
  <c r="G83" i="13"/>
  <c r="G85" i="13"/>
  <c r="G86" i="13"/>
  <c r="G87" i="13"/>
  <c r="G88" i="13"/>
  <c r="G89" i="13"/>
  <c r="G90" i="13"/>
  <c r="G91" i="13"/>
  <c r="G93" i="13"/>
  <c r="G94" i="13"/>
  <c r="G96" i="13"/>
  <c r="G97" i="13"/>
  <c r="G98" i="13"/>
  <c r="G100" i="13"/>
  <c r="G101" i="13"/>
  <c r="G102" i="13"/>
  <c r="G103" i="13"/>
  <c r="G104" i="13"/>
  <c r="G105" i="13"/>
  <c r="G106" i="13"/>
  <c r="G108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AL8" i="2"/>
  <c r="AM8" i="2"/>
  <c r="AN8" i="2"/>
  <c r="AO8" i="2"/>
  <c r="AP8" i="2"/>
  <c r="AQ8" i="2"/>
  <c r="AR8" i="2"/>
  <c r="AS8" i="2"/>
  <c r="AL9" i="2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L11" i="2"/>
  <c r="AM11" i="2"/>
  <c r="AN11" i="2"/>
  <c r="AO11" i="2"/>
  <c r="AP11" i="2"/>
  <c r="AQ11" i="2"/>
  <c r="AR11" i="2"/>
  <c r="AS11" i="2"/>
  <c r="AL12" i="2"/>
  <c r="AM12" i="2"/>
  <c r="AN12" i="2"/>
  <c r="AO12" i="2"/>
  <c r="AP12" i="2"/>
  <c r="AQ12" i="2"/>
  <c r="AR12" i="2"/>
  <c r="AS12" i="2"/>
  <c r="A10" i="8"/>
  <c r="B10" i="8"/>
  <c r="E10" i="8"/>
  <c r="F10" i="8"/>
  <c r="U10" i="8"/>
  <c r="V10" i="8"/>
  <c r="W10" i="8"/>
  <c r="X10" i="8"/>
  <c r="Y10" i="8"/>
  <c r="C10" i="8" s="1"/>
  <c r="AA10" i="8"/>
  <c r="AB10" i="8"/>
  <c r="AC10" i="8"/>
  <c r="AD10" i="8"/>
  <c r="AE10" i="8"/>
  <c r="BI10" i="8" s="1"/>
  <c r="AF10" i="8"/>
  <c r="AM10" i="8"/>
  <c r="AN10" i="8"/>
  <c r="AO10" i="8"/>
  <c r="AP10" i="8"/>
  <c r="AQ10" i="8"/>
  <c r="AR10" i="8"/>
  <c r="AS10" i="8"/>
  <c r="AX10" i="8" s="1"/>
  <c r="AT10" i="8"/>
  <c r="T10" i="8" s="1"/>
  <c r="A11" i="8"/>
  <c r="B11" i="8"/>
  <c r="C11" i="8"/>
  <c r="E11" i="8"/>
  <c r="F11" i="8"/>
  <c r="J11" i="8"/>
  <c r="K11" i="8"/>
  <c r="S11" i="8"/>
  <c r="O11" i="8" s="1"/>
  <c r="M11" i="8" s="1"/>
  <c r="U11" i="8"/>
  <c r="V11" i="8"/>
  <c r="W11" i="8"/>
  <c r="X11" i="8"/>
  <c r="Y11" i="8"/>
  <c r="D11" i="8" s="1"/>
  <c r="AH11" i="8" s="1"/>
  <c r="BF11" i="8" s="1"/>
  <c r="AA11" i="8"/>
  <c r="AB11" i="8"/>
  <c r="AC11" i="8"/>
  <c r="AD11" i="8" s="1"/>
  <c r="AE11" i="8"/>
  <c r="AF11" i="8"/>
  <c r="AM11" i="8"/>
  <c r="AN11" i="8"/>
  <c r="AO11" i="8"/>
  <c r="AP11" i="8"/>
  <c r="AQ11" i="8"/>
  <c r="AR11" i="8"/>
  <c r="AS11" i="8"/>
  <c r="AT11" i="8"/>
  <c r="T11" i="8" s="1"/>
  <c r="AX11" i="8"/>
  <c r="AY11" i="8"/>
  <c r="BI11" i="8"/>
  <c r="L11" i="8" s="1"/>
  <c r="A12" i="8"/>
  <c r="B12" i="8"/>
  <c r="C12" i="8"/>
  <c r="AG12" i="8" s="1"/>
  <c r="BD12" i="8" s="1"/>
  <c r="D12" i="8"/>
  <c r="AH12" i="8" s="1"/>
  <c r="BF12" i="8" s="1"/>
  <c r="E12" i="8"/>
  <c r="F12" i="8"/>
  <c r="U12" i="8"/>
  <c r="V12" i="8"/>
  <c r="W12" i="8"/>
  <c r="X12" i="8"/>
  <c r="Y12" i="8"/>
  <c r="AA12" i="8"/>
  <c r="AB12" i="8"/>
  <c r="AC12" i="8"/>
  <c r="AD12" i="8"/>
  <c r="AE12" i="8"/>
  <c r="AF12" i="8"/>
  <c r="AM12" i="8"/>
  <c r="AN12" i="8"/>
  <c r="AO12" i="8"/>
  <c r="AP12" i="8"/>
  <c r="AQ12" i="8"/>
  <c r="AR12" i="8"/>
  <c r="AS12" i="8"/>
  <c r="AX12" i="8" s="1"/>
  <c r="AT12" i="8"/>
  <c r="T12" i="8" s="1"/>
  <c r="AE7" i="24"/>
  <c r="AD7" i="24"/>
  <c r="AC7" i="19"/>
  <c r="AB7" i="19"/>
  <c r="Z9" i="8"/>
  <c r="Y8" i="8"/>
  <c r="Y9" i="8"/>
  <c r="Y7" i="8"/>
  <c r="AF85" i="14" l="1"/>
  <c r="AF46" i="14"/>
  <c r="AD69" i="14"/>
  <c r="AD111" i="14"/>
  <c r="AD49" i="14"/>
  <c r="G56" i="14"/>
  <c r="AD50" i="14"/>
  <c r="AG111" i="14"/>
  <c r="AE111" i="14"/>
  <c r="AD35" i="14"/>
  <c r="C35" i="14" s="1"/>
  <c r="E58" i="14"/>
  <c r="F65" i="14"/>
  <c r="AH55" i="14"/>
  <c r="F49" i="14"/>
  <c r="E45" i="14"/>
  <c r="AD45" i="14" s="1"/>
  <c r="AH107" i="14"/>
  <c r="AH106" i="14"/>
  <c r="F105" i="14"/>
  <c r="AF104" i="14"/>
  <c r="F104" i="14"/>
  <c r="AG104" i="14" s="1"/>
  <c r="AC103" i="14"/>
  <c r="E97" i="14"/>
  <c r="AD97" i="14" s="1"/>
  <c r="C97" i="14" s="1"/>
  <c r="F93" i="14"/>
  <c r="AE93" i="14" s="1"/>
  <c r="E90" i="14"/>
  <c r="AH81" i="14"/>
  <c r="AC81" i="14"/>
  <c r="E79" i="14"/>
  <c r="AD79" i="14" s="1"/>
  <c r="AC75" i="14"/>
  <c r="E74" i="14"/>
  <c r="F73" i="14"/>
  <c r="AE73" i="14" s="1"/>
  <c r="G73" i="14" s="1"/>
  <c r="AC67" i="14"/>
  <c r="C67" i="14" s="1"/>
  <c r="AC63" i="14"/>
  <c r="AC62" i="14"/>
  <c r="AD61" i="14"/>
  <c r="AC49" i="14"/>
  <c r="C49" i="14" s="1"/>
  <c r="AC47" i="14"/>
  <c r="AC46" i="14"/>
  <c r="AC45" i="14"/>
  <c r="AF44" i="14"/>
  <c r="E44" i="14"/>
  <c r="AD36" i="14"/>
  <c r="E35" i="14"/>
  <c r="F34" i="14"/>
  <c r="AE34" i="14" s="1"/>
  <c r="G34" i="14" s="1"/>
  <c r="AC30" i="14"/>
  <c r="E27" i="14"/>
  <c r="AC24" i="14"/>
  <c r="AC23" i="14"/>
  <c r="AD22" i="14"/>
  <c r="AH12" i="14"/>
  <c r="AH10" i="14"/>
  <c r="AC122" i="14"/>
  <c r="AH121" i="14"/>
  <c r="AF103" i="14"/>
  <c r="C34" i="14"/>
  <c r="AC124" i="14"/>
  <c r="AC115" i="14"/>
  <c r="AC114" i="14"/>
  <c r="AD112" i="14"/>
  <c r="G111" i="14"/>
  <c r="AC110" i="14"/>
  <c r="AF106" i="14"/>
  <c r="AC98" i="14"/>
  <c r="F88" i="14"/>
  <c r="AC84" i="14"/>
  <c r="AF83" i="14"/>
  <c r="F82" i="14"/>
  <c r="AE79" i="14"/>
  <c r="AC70" i="14"/>
  <c r="AH68" i="14"/>
  <c r="AC68" i="14"/>
  <c r="E64" i="14"/>
  <c r="AD64" i="14" s="1"/>
  <c r="AC56" i="14"/>
  <c r="E54" i="14"/>
  <c r="AD54" i="14" s="1"/>
  <c r="E53" i="14"/>
  <c r="F51" i="14"/>
  <c r="AG51" i="14" s="1"/>
  <c r="H51" i="14" s="1"/>
  <c r="E48" i="14"/>
  <c r="AD48" i="14" s="1"/>
  <c r="F36" i="14"/>
  <c r="AF36" i="14"/>
  <c r="F33" i="14"/>
  <c r="E25" i="14"/>
  <c r="AD25" i="14" s="1"/>
  <c r="AF25" i="14"/>
  <c r="F11" i="14"/>
  <c r="F10" i="14"/>
  <c r="AE10" i="14" s="1"/>
  <c r="G10" i="14" s="1"/>
  <c r="AF9" i="14"/>
  <c r="F9" i="14"/>
  <c r="AC8" i="14"/>
  <c r="F125" i="14"/>
  <c r="AF125" i="14"/>
  <c r="F121" i="14"/>
  <c r="AF120" i="14"/>
  <c r="E120" i="14"/>
  <c r="AD120" i="14" s="1"/>
  <c r="C120" i="14" s="1"/>
  <c r="AC83" i="14"/>
  <c r="F72" i="14"/>
  <c r="C12" i="14"/>
  <c r="F123" i="14"/>
  <c r="E117" i="14"/>
  <c r="AD117" i="14" s="1"/>
  <c r="AF117" i="14"/>
  <c r="AC117" i="14"/>
  <c r="F115" i="14"/>
  <c r="AF113" i="14"/>
  <c r="F112" i="14"/>
  <c r="F109" i="14"/>
  <c r="F108" i="14"/>
  <c r="AC99" i="14"/>
  <c r="AF98" i="14"/>
  <c r="E98" i="14"/>
  <c r="AD98" i="14" s="1"/>
  <c r="AC86" i="14"/>
  <c r="AC85" i="14"/>
  <c r="AD77" i="14"/>
  <c r="AC71" i="14"/>
  <c r="C71" i="14" s="1"/>
  <c r="AC60" i="14"/>
  <c r="AD58" i="14"/>
  <c r="C58" i="14" s="1"/>
  <c r="E57" i="14"/>
  <c r="AD57" i="14" s="1"/>
  <c r="AC36" i="14"/>
  <c r="C36" i="14" s="1"/>
  <c r="AD27" i="14"/>
  <c r="AC20" i="14"/>
  <c r="E18" i="14"/>
  <c r="AD18" i="14" s="1"/>
  <c r="C18" i="14" s="1"/>
  <c r="C16" i="14"/>
  <c r="C125" i="14"/>
  <c r="AD119" i="14"/>
  <c r="C119" i="14" s="1"/>
  <c r="F119" i="14"/>
  <c r="AG119" i="14" s="1"/>
  <c r="AD41" i="14"/>
  <c r="AC111" i="14"/>
  <c r="C111" i="14" s="1"/>
  <c r="AC55" i="14"/>
  <c r="AF47" i="14"/>
  <c r="AD110" i="14"/>
  <c r="AD107" i="14"/>
  <c r="C89" i="14"/>
  <c r="AE88" i="14"/>
  <c r="AC88" i="14"/>
  <c r="C88" i="14" s="1"/>
  <c r="E86" i="14"/>
  <c r="AD86" i="14" s="1"/>
  <c r="AF86" i="14"/>
  <c r="AF84" i="14"/>
  <c r="AD74" i="14"/>
  <c r="AH69" i="14"/>
  <c r="F68" i="14"/>
  <c r="AF68" i="14"/>
  <c r="AD65" i="14"/>
  <c r="AH61" i="14"/>
  <c r="F60" i="14"/>
  <c r="AG60" i="14" s="1"/>
  <c r="H60" i="14" s="1"/>
  <c r="AF60" i="14"/>
  <c r="AC41" i="14"/>
  <c r="AC40" i="14"/>
  <c r="F38" i="14"/>
  <c r="AF38" i="14"/>
  <c r="AD33" i="14"/>
  <c r="AH22" i="14"/>
  <c r="AH21" i="14"/>
  <c r="AC21" i="14"/>
  <c r="E20" i="14"/>
  <c r="AD20" i="14" s="1"/>
  <c r="C20" i="14" s="1"/>
  <c r="AF14" i="14"/>
  <c r="E13" i="14"/>
  <c r="AD13" i="14" s="1"/>
  <c r="AE9" i="14"/>
  <c r="E8" i="14"/>
  <c r="AD8" i="14" s="1"/>
  <c r="AF8" i="14"/>
  <c r="C77" i="14"/>
  <c r="F52" i="14"/>
  <c r="E46" i="14"/>
  <c r="AD46" i="14" s="1"/>
  <c r="E30" i="14"/>
  <c r="AD30" i="14" s="1"/>
  <c r="AC11" i="14"/>
  <c r="E122" i="14"/>
  <c r="AD122" i="14" s="1"/>
  <c r="AC116" i="14"/>
  <c r="AC104" i="14"/>
  <c r="C104" i="14" s="1"/>
  <c r="AH101" i="14"/>
  <c r="AC94" i="14"/>
  <c r="AD91" i="14"/>
  <c r="C91" i="14" s="1"/>
  <c r="AD88" i="14"/>
  <c r="AD85" i="14"/>
  <c r="AC73" i="14"/>
  <c r="AD72" i="14"/>
  <c r="C72" i="14" s="1"/>
  <c r="AE71" i="14"/>
  <c r="AE70" i="14"/>
  <c r="G70" i="14" s="1"/>
  <c r="AG54" i="14"/>
  <c r="H54" i="14" s="1"/>
  <c r="AD43" i="14"/>
  <c r="C43" i="14" s="1"/>
  <c r="AE42" i="14"/>
  <c r="AC42" i="14"/>
  <c r="C42" i="14" s="1"/>
  <c r="E28" i="14"/>
  <c r="AD10" i="14"/>
  <c r="C10" i="14" s="1"/>
  <c r="AE122" i="14"/>
  <c r="AD118" i="14"/>
  <c r="C27" i="14"/>
  <c r="AC112" i="14"/>
  <c r="AE50" i="14"/>
  <c r="AE116" i="14"/>
  <c r="G116" i="14" s="1"/>
  <c r="AD115" i="14"/>
  <c r="AH105" i="14"/>
  <c r="F100" i="14"/>
  <c r="AE100" i="14" s="1"/>
  <c r="G100" i="14" s="1"/>
  <c r="E94" i="14"/>
  <c r="AD94" i="14" s="1"/>
  <c r="C94" i="14" s="1"/>
  <c r="AC93" i="14"/>
  <c r="AH89" i="14"/>
  <c r="F87" i="14"/>
  <c r="AG87" i="14" s="1"/>
  <c r="H87" i="14" s="1"/>
  <c r="AD82" i="14"/>
  <c r="C82" i="14" s="1"/>
  <c r="AD81" i="14"/>
  <c r="F80" i="14"/>
  <c r="AF79" i="14"/>
  <c r="G79" i="14" s="1"/>
  <c r="AH74" i="14"/>
  <c r="AC74" i="14"/>
  <c r="AD70" i="14"/>
  <c r="F69" i="14"/>
  <c r="AE69" i="14" s="1"/>
  <c r="G69" i="14" s="1"/>
  <c r="AC69" i="14"/>
  <c r="C69" i="14" s="1"/>
  <c r="AF61" i="14"/>
  <c r="AH52" i="14"/>
  <c r="F41" i="14"/>
  <c r="AE41" i="14" s="1"/>
  <c r="G41" i="14" s="1"/>
  <c r="E40" i="14"/>
  <c r="AD40" i="14" s="1"/>
  <c r="AF40" i="14"/>
  <c r="AH29" i="14"/>
  <c r="AC28" i="14"/>
  <c r="AH26" i="14"/>
  <c r="H26" i="14" s="1"/>
  <c r="AF22" i="14"/>
  <c r="E21" i="14"/>
  <c r="AD21" i="14" s="1"/>
  <c r="C21" i="14" s="1"/>
  <c r="AH123" i="14"/>
  <c r="AC123" i="14"/>
  <c r="C123" i="14" s="1"/>
  <c r="C124" i="14"/>
  <c r="AE123" i="14"/>
  <c r="G123" i="14" s="1"/>
  <c r="AG123" i="14"/>
  <c r="AG125" i="14"/>
  <c r="H125" i="14" s="1"/>
  <c r="AE125" i="14"/>
  <c r="AE121" i="14"/>
  <c r="G121" i="14" s="1"/>
  <c r="AG121" i="14"/>
  <c r="H121" i="14" s="1"/>
  <c r="G120" i="14"/>
  <c r="H122" i="14"/>
  <c r="AG120" i="14"/>
  <c r="H120" i="14" s="1"/>
  <c r="AE120" i="14"/>
  <c r="C118" i="14"/>
  <c r="G122" i="14"/>
  <c r="H119" i="14"/>
  <c r="E121" i="14"/>
  <c r="AD121" i="14" s="1"/>
  <c r="C121" i="14" s="1"/>
  <c r="AE119" i="14"/>
  <c r="G119" i="14" s="1"/>
  <c r="F118" i="14"/>
  <c r="F124" i="14"/>
  <c r="AE109" i="14"/>
  <c r="AG109" i="14"/>
  <c r="H109" i="14" s="1"/>
  <c r="AG107" i="14"/>
  <c r="H104" i="14"/>
  <c r="G93" i="14"/>
  <c r="C116" i="14"/>
  <c r="AG115" i="14"/>
  <c r="H115" i="14" s="1"/>
  <c r="H116" i="14"/>
  <c r="H111" i="14"/>
  <c r="C108" i="14"/>
  <c r="AE107" i="14"/>
  <c r="G107" i="14" s="1"/>
  <c r="AG108" i="14"/>
  <c r="H108" i="14" s="1"/>
  <c r="AE108" i="14"/>
  <c r="G108" i="14" s="1"/>
  <c r="F106" i="14"/>
  <c r="E106" i="14"/>
  <c r="AD106" i="14" s="1"/>
  <c r="C106" i="14" s="1"/>
  <c r="F114" i="14"/>
  <c r="E114" i="14"/>
  <c r="AD114" i="14" s="1"/>
  <c r="C114" i="14" s="1"/>
  <c r="C112" i="14"/>
  <c r="AE104" i="14"/>
  <c r="G104" i="14" s="1"/>
  <c r="F103" i="14"/>
  <c r="E103" i="14"/>
  <c r="AD103" i="14" s="1"/>
  <c r="C103" i="14" s="1"/>
  <c r="C96" i="14"/>
  <c r="AG105" i="14"/>
  <c r="AE105" i="14"/>
  <c r="G105" i="14" s="1"/>
  <c r="AG94" i="14"/>
  <c r="H94" i="14" s="1"/>
  <c r="AE94" i="14"/>
  <c r="G94" i="14" s="1"/>
  <c r="AE117" i="14"/>
  <c r="G117" i="14" s="1"/>
  <c r="AG117" i="14"/>
  <c r="H117" i="14" s="1"/>
  <c r="C105" i="14"/>
  <c r="H107" i="14"/>
  <c r="AE115" i="14"/>
  <c r="G115" i="14" s="1"/>
  <c r="E113" i="14"/>
  <c r="AD113" i="14" s="1"/>
  <c r="C113" i="14" s="1"/>
  <c r="AG112" i="14"/>
  <c r="H112" i="14" s="1"/>
  <c r="AE112" i="14"/>
  <c r="G112" i="14" s="1"/>
  <c r="G109" i="14"/>
  <c r="C107" i="14"/>
  <c r="E102" i="14"/>
  <c r="AD102" i="14" s="1"/>
  <c r="F101" i="14"/>
  <c r="E101" i="14"/>
  <c r="AD101" i="14" s="1"/>
  <c r="E109" i="14"/>
  <c r="AD109" i="14" s="1"/>
  <c r="C109" i="14" s="1"/>
  <c r="AE98" i="14"/>
  <c r="G98" i="14" s="1"/>
  <c r="AG98" i="14"/>
  <c r="H98" i="14" s="1"/>
  <c r="G88" i="14"/>
  <c r="C86" i="14"/>
  <c r="E84" i="14"/>
  <c r="AD84" i="14" s="1"/>
  <c r="C84" i="14" s="1"/>
  <c r="F84" i="14"/>
  <c r="H81" i="14"/>
  <c r="AE78" i="14"/>
  <c r="F77" i="14"/>
  <c r="AG58" i="14"/>
  <c r="AE58" i="14"/>
  <c r="G58" i="14" s="1"/>
  <c r="AG56" i="14"/>
  <c r="H56" i="14" s="1"/>
  <c r="F40" i="14"/>
  <c r="AE20" i="14"/>
  <c r="AG20" i="14"/>
  <c r="G20" i="14"/>
  <c r="F96" i="14"/>
  <c r="F95" i="14"/>
  <c r="AC13" i="14"/>
  <c r="C13" i="14" s="1"/>
  <c r="F113" i="14"/>
  <c r="F102" i="14"/>
  <c r="AG97" i="14"/>
  <c r="H97" i="14" s="1"/>
  <c r="C93" i="14"/>
  <c r="F91" i="14"/>
  <c r="AG86" i="14"/>
  <c r="H86" i="14" s="1"/>
  <c r="C85" i="14"/>
  <c r="AE82" i="14"/>
  <c r="G82" i="14" s="1"/>
  <c r="AG82" i="14"/>
  <c r="H82" i="14" s="1"/>
  <c r="AD80" i="14"/>
  <c r="C80" i="14" s="1"/>
  <c r="E76" i="14"/>
  <c r="AD76" i="14" s="1"/>
  <c r="F76" i="14"/>
  <c r="G71" i="14"/>
  <c r="AG71" i="14"/>
  <c r="H71" i="14" s="1"/>
  <c r="G64" i="14"/>
  <c r="AD59" i="14"/>
  <c r="AE59" i="14"/>
  <c r="AD52" i="14"/>
  <c r="C52" i="14" s="1"/>
  <c r="H46" i="14"/>
  <c r="AF24" i="14"/>
  <c r="AG17" i="14"/>
  <c r="H17" i="14" s="1"/>
  <c r="AE17" i="14"/>
  <c r="G17" i="14" s="1"/>
  <c r="E92" i="14"/>
  <c r="AD92" i="14" s="1"/>
  <c r="F92" i="14"/>
  <c r="AE72" i="14"/>
  <c r="G72" i="14" s="1"/>
  <c r="AG72" i="14"/>
  <c r="H72" i="14" s="1"/>
  <c r="AE90" i="14"/>
  <c r="G90" i="14" s="1"/>
  <c r="C59" i="14"/>
  <c r="AH13" i="14"/>
  <c r="G97" i="14"/>
  <c r="C95" i="14"/>
  <c r="C78" i="14"/>
  <c r="E75" i="14"/>
  <c r="AD75" i="14" s="1"/>
  <c r="C75" i="14" s="1"/>
  <c r="F75" i="14"/>
  <c r="C74" i="14"/>
  <c r="F57" i="14"/>
  <c r="C51" i="14"/>
  <c r="AG48" i="14"/>
  <c r="H48" i="14" s="1"/>
  <c r="AE27" i="14"/>
  <c r="AD90" i="14"/>
  <c r="C90" i="14" s="1"/>
  <c r="C102" i="14"/>
  <c r="E99" i="14"/>
  <c r="AD99" i="14" s="1"/>
  <c r="F99" i="14"/>
  <c r="AG90" i="14"/>
  <c r="F85" i="14"/>
  <c r="C79" i="14"/>
  <c r="G67" i="14"/>
  <c r="AD66" i="14"/>
  <c r="C66" i="14" s="1"/>
  <c r="C63" i="14"/>
  <c r="G48" i="14"/>
  <c r="C41" i="14"/>
  <c r="E15" i="14"/>
  <c r="AD15" i="14" s="1"/>
  <c r="C15" i="14" s="1"/>
  <c r="F15" i="14"/>
  <c r="G86" i="14"/>
  <c r="C76" i="14"/>
  <c r="AG26" i="14"/>
  <c r="AE26" i="14"/>
  <c r="G26" i="14" s="1"/>
  <c r="F110" i="14"/>
  <c r="AE89" i="14"/>
  <c r="G89" i="14" s="1"/>
  <c r="E87" i="14"/>
  <c r="AD87" i="14" s="1"/>
  <c r="AE74" i="14"/>
  <c r="AG74" i="14"/>
  <c r="H74" i="14" s="1"/>
  <c r="AD73" i="14"/>
  <c r="C73" i="14" s="1"/>
  <c r="C70" i="14"/>
  <c r="AE68" i="14"/>
  <c r="AE63" i="14"/>
  <c r="G63" i="14" s="1"/>
  <c r="AG63" i="14"/>
  <c r="H63" i="14" s="1"/>
  <c r="C19" i="14"/>
  <c r="C87" i="14"/>
  <c r="E83" i="14"/>
  <c r="AD83" i="14" s="1"/>
  <c r="C83" i="14" s="1"/>
  <c r="F83" i="14"/>
  <c r="G74" i="14"/>
  <c r="C65" i="14"/>
  <c r="AC101" i="14"/>
  <c r="E100" i="14"/>
  <c r="AD100" i="14" s="1"/>
  <c r="C100" i="14" s="1"/>
  <c r="AC92" i="14"/>
  <c r="C92" i="14" s="1"/>
  <c r="H90" i="14"/>
  <c r="H89" i="14"/>
  <c r="AG88" i="14"/>
  <c r="H88" i="14" s="1"/>
  <c r="AE87" i="14"/>
  <c r="G87" i="14" s="1"/>
  <c r="AE81" i="14"/>
  <c r="G81" i="14" s="1"/>
  <c r="AE80" i="14"/>
  <c r="G80" i="14" s="1"/>
  <c r="AG80" i="14"/>
  <c r="H80" i="14" s="1"/>
  <c r="G78" i="14"/>
  <c r="AG70" i="14"/>
  <c r="H70" i="14" s="1"/>
  <c r="C68" i="14"/>
  <c r="AE65" i="14"/>
  <c r="G65" i="14" s="1"/>
  <c r="AG65" i="14"/>
  <c r="H65" i="14" s="1"/>
  <c r="C50" i="14"/>
  <c r="AG49" i="14"/>
  <c r="H49" i="14" s="1"/>
  <c r="AE49" i="14"/>
  <c r="G49" i="14" s="1"/>
  <c r="AG33" i="14"/>
  <c r="H33" i="14" s="1"/>
  <c r="AE33" i="14"/>
  <c r="G33" i="14" s="1"/>
  <c r="E32" i="14"/>
  <c r="AD32" i="14" s="1"/>
  <c r="F32" i="14"/>
  <c r="AF32" i="14"/>
  <c r="AG67" i="14"/>
  <c r="H58" i="14"/>
  <c r="G42" i="14"/>
  <c r="AD37" i="14"/>
  <c r="C37" i="14" s="1"/>
  <c r="AE35" i="14"/>
  <c r="AG34" i="14"/>
  <c r="H34" i="14" s="1"/>
  <c r="C32" i="14"/>
  <c r="AE28" i="14"/>
  <c r="G28" i="14" s="1"/>
  <c r="AG28" i="14"/>
  <c r="H28" i="14" s="1"/>
  <c r="G9" i="14"/>
  <c r="AG9" i="14"/>
  <c r="H9" i="14" s="1"/>
  <c r="C64" i="14"/>
  <c r="E63" i="14"/>
  <c r="AD63" i="14" s="1"/>
  <c r="E55" i="14"/>
  <c r="AD55" i="14" s="1"/>
  <c r="C55" i="14" s="1"/>
  <c r="F55" i="14"/>
  <c r="AC54" i="14"/>
  <c r="C54" i="14" s="1"/>
  <c r="AD44" i="14"/>
  <c r="C44" i="14" s="1"/>
  <c r="H43" i="14"/>
  <c r="AG35" i="14"/>
  <c r="H35" i="14" s="1"/>
  <c r="C33" i="14"/>
  <c r="AG30" i="14"/>
  <c r="H30" i="14" s="1"/>
  <c r="E24" i="14"/>
  <c r="AD24" i="14" s="1"/>
  <c r="E14" i="14"/>
  <c r="AD14" i="14" s="1"/>
  <c r="C14" i="14" s="1"/>
  <c r="AG68" i="14"/>
  <c r="H68" i="14" s="1"/>
  <c r="G68" i="14"/>
  <c r="C57" i="14"/>
  <c r="G54" i="14"/>
  <c r="E47" i="14"/>
  <c r="AD47" i="14" s="1"/>
  <c r="C47" i="14" s="1"/>
  <c r="F47" i="14"/>
  <c r="C46" i="14"/>
  <c r="C31" i="14"/>
  <c r="AG27" i="14"/>
  <c r="H27" i="14" s="1"/>
  <c r="C25" i="14"/>
  <c r="F24" i="14"/>
  <c r="AE11" i="14"/>
  <c r="G11" i="14" s="1"/>
  <c r="AG11" i="14"/>
  <c r="C9" i="14"/>
  <c r="F8" i="14"/>
  <c r="AG64" i="14"/>
  <c r="H64" i="14" s="1"/>
  <c r="AG59" i="14"/>
  <c r="H59" i="14" s="1"/>
  <c r="G46" i="14"/>
  <c r="E39" i="14"/>
  <c r="AD39" i="14" s="1"/>
  <c r="C39" i="14" s="1"/>
  <c r="F39" i="14"/>
  <c r="G35" i="14"/>
  <c r="AD28" i="14"/>
  <c r="C28" i="14" s="1"/>
  <c r="C26" i="14"/>
  <c r="C23" i="14"/>
  <c r="H19" i="14"/>
  <c r="AE19" i="14"/>
  <c r="G19" i="14" s="1"/>
  <c r="AG19" i="14"/>
  <c r="AG18" i="14"/>
  <c r="H18" i="14" s="1"/>
  <c r="AE18" i="14"/>
  <c r="G18" i="14" s="1"/>
  <c r="C17" i="14"/>
  <c r="H11" i="14"/>
  <c r="H67" i="14"/>
  <c r="F66" i="14"/>
  <c r="AD53" i="14"/>
  <c r="C53" i="14" s="1"/>
  <c r="AE52" i="14"/>
  <c r="G52" i="14" s="1"/>
  <c r="AG52" i="14"/>
  <c r="H52" i="14" s="1"/>
  <c r="AG50" i="14"/>
  <c r="H50" i="14" s="1"/>
  <c r="C48" i="14"/>
  <c r="E31" i="14"/>
  <c r="AD31" i="14" s="1"/>
  <c r="F31" i="14"/>
  <c r="G27" i="14"/>
  <c r="F25" i="14"/>
  <c r="F16" i="14"/>
  <c r="AG10" i="14"/>
  <c r="H10" i="14" s="1"/>
  <c r="E62" i="14"/>
  <c r="AD62" i="14" s="1"/>
  <c r="C62" i="14" s="1"/>
  <c r="F62" i="14"/>
  <c r="AC61" i="14"/>
  <c r="C61" i="14" s="1"/>
  <c r="AD60" i="14"/>
  <c r="C60" i="14" s="1"/>
  <c r="G59" i="14"/>
  <c r="E56" i="14"/>
  <c r="AD56" i="14" s="1"/>
  <c r="C56" i="14" s="1"/>
  <c r="G50" i="14"/>
  <c r="AE44" i="14"/>
  <c r="G44" i="14" s="1"/>
  <c r="AG44" i="14"/>
  <c r="H44" i="14" s="1"/>
  <c r="AE43" i="14"/>
  <c r="G43" i="14" s="1"/>
  <c r="AG42" i="14"/>
  <c r="H42" i="14" s="1"/>
  <c r="C40" i="14"/>
  <c r="E38" i="14"/>
  <c r="AD38" i="14" s="1"/>
  <c r="C38" i="14" s="1"/>
  <c r="AE36" i="14"/>
  <c r="AG36" i="14"/>
  <c r="H36" i="14" s="1"/>
  <c r="G36" i="14"/>
  <c r="G30" i="14"/>
  <c r="AC29" i="14"/>
  <c r="C29" i="14" s="1"/>
  <c r="E23" i="14"/>
  <c r="AD23" i="14" s="1"/>
  <c r="F23" i="14"/>
  <c r="AC22" i="14"/>
  <c r="C22" i="14" s="1"/>
  <c r="H20" i="14"/>
  <c r="E19" i="14"/>
  <c r="AD19" i="14" s="1"/>
  <c r="E11" i="14"/>
  <c r="AD11" i="14" s="1"/>
  <c r="C11" i="14" s="1"/>
  <c r="F22" i="14"/>
  <c r="F14" i="14"/>
  <c r="F61" i="14"/>
  <c r="F53" i="14"/>
  <c r="F45" i="14"/>
  <c r="F37" i="14"/>
  <c r="F29" i="14"/>
  <c r="F21" i="14"/>
  <c r="F13" i="14"/>
  <c r="F12" i="14"/>
  <c r="P12" i="8"/>
  <c r="N12" i="8" s="1"/>
  <c r="P10" i="8"/>
  <c r="N10" i="8" s="1"/>
  <c r="AU11" i="8"/>
  <c r="BH11" i="8"/>
  <c r="I10" i="8"/>
  <c r="J10" i="8"/>
  <c r="K10" i="8"/>
  <c r="L10" i="8"/>
  <c r="G10" i="8"/>
  <c r="H10" i="8"/>
  <c r="BE11" i="8"/>
  <c r="AL11" i="8" s="1"/>
  <c r="P11" i="8"/>
  <c r="N11" i="8" s="1"/>
  <c r="AG10" i="8"/>
  <c r="BD10" i="8" s="1"/>
  <c r="AG11" i="8"/>
  <c r="BD11" i="8" s="1"/>
  <c r="I11" i="8"/>
  <c r="BH12" i="8"/>
  <c r="AY12" i="8"/>
  <c r="H11" i="8"/>
  <c r="S12" i="8"/>
  <c r="BC11" i="8"/>
  <c r="G11" i="8"/>
  <c r="D10" i="8"/>
  <c r="AH10" i="8" s="1"/>
  <c r="BF10" i="8" s="1"/>
  <c r="BI12" i="8"/>
  <c r="AY10" i="8"/>
  <c r="S10" i="8"/>
  <c r="A9" i="8"/>
  <c r="B9" i="8"/>
  <c r="E9" i="8"/>
  <c r="F9" i="8"/>
  <c r="U9" i="8"/>
  <c r="V9" i="8"/>
  <c r="W9" i="8"/>
  <c r="X9" i="8"/>
  <c r="C9" i="8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AX9" i="8" s="1"/>
  <c r="AT9" i="8"/>
  <c r="T9" i="8" s="1"/>
  <c r="A8" i="10"/>
  <c r="B8" i="10"/>
  <c r="C8" i="10"/>
  <c r="D8" i="10"/>
  <c r="O8" i="10"/>
  <c r="Q8" i="10"/>
  <c r="R8" i="10"/>
  <c r="S8" i="10"/>
  <c r="T8" i="10"/>
  <c r="V8" i="10"/>
  <c r="AX8" i="10" s="1"/>
  <c r="W8" i="10"/>
  <c r="X8" i="10"/>
  <c r="Y8" i="10"/>
  <c r="Z8" i="10" s="1"/>
  <c r="AA8" i="10"/>
  <c r="AB8" i="10" s="1"/>
  <c r="AF8" i="10"/>
  <c r="AG8" i="10"/>
  <c r="AH8" i="10"/>
  <c r="AI8" i="10"/>
  <c r="AJ8" i="10"/>
  <c r="AK8" i="10"/>
  <c r="AZ8" i="10"/>
  <c r="A9" i="10"/>
  <c r="B9" i="10"/>
  <c r="C9" i="10"/>
  <c r="D9" i="10"/>
  <c r="O9" i="10"/>
  <c r="M9" i="10" s="1"/>
  <c r="P9" i="10"/>
  <c r="N9" i="10" s="1"/>
  <c r="L9" i="10" s="1"/>
  <c r="Q9" i="10"/>
  <c r="R9" i="10"/>
  <c r="AT9" i="10" s="1"/>
  <c r="S9" i="10"/>
  <c r="T9" i="10"/>
  <c r="W9" i="10"/>
  <c r="X9" i="10"/>
  <c r="Y9" i="10"/>
  <c r="Z9" i="10" s="1"/>
  <c r="AA9" i="10"/>
  <c r="AB9" i="10" s="1"/>
  <c r="AF9" i="10"/>
  <c r="AG9" i="10"/>
  <c r="AH9" i="10"/>
  <c r="AI9" i="10"/>
  <c r="AJ9" i="10"/>
  <c r="AK9" i="10"/>
  <c r="AZ9" i="10"/>
  <c r="A10" i="10"/>
  <c r="B10" i="10"/>
  <c r="C10" i="10"/>
  <c r="D10" i="10"/>
  <c r="P10" i="10"/>
  <c r="N10" i="10" s="1"/>
  <c r="L10" i="10" s="1"/>
  <c r="Q10" i="10"/>
  <c r="R10" i="10"/>
  <c r="S10" i="10"/>
  <c r="T10" i="10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AZ10" i="10"/>
  <c r="A11" i="10"/>
  <c r="B11" i="10"/>
  <c r="C11" i="10"/>
  <c r="D11" i="10"/>
  <c r="Q11" i="10"/>
  <c r="R11" i="10"/>
  <c r="S11" i="10"/>
  <c r="T11" i="10"/>
  <c r="V11" i="10"/>
  <c r="AX11" i="10" s="1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Z11" i="10"/>
  <c r="A8" i="8"/>
  <c r="B8" i="8"/>
  <c r="E8" i="8"/>
  <c r="F8" i="8"/>
  <c r="U8" i="8"/>
  <c r="V8" i="8"/>
  <c r="W8" i="8"/>
  <c r="X8" i="8"/>
  <c r="C8" i="8"/>
  <c r="AG8" i="8" s="1"/>
  <c r="AA8" i="8"/>
  <c r="AB8" i="8"/>
  <c r="AC8" i="8"/>
  <c r="AD8" i="8" s="1"/>
  <c r="AE8" i="8"/>
  <c r="AF8" i="8" s="1"/>
  <c r="AM8" i="8"/>
  <c r="AN8" i="8"/>
  <c r="AO8" i="8"/>
  <c r="AP8" i="8"/>
  <c r="AQ8" i="8"/>
  <c r="AR8" i="8"/>
  <c r="AS8" i="8"/>
  <c r="S8" i="8" s="1"/>
  <c r="AT8" i="8"/>
  <c r="T8" i="8" s="1"/>
  <c r="Q2" i="16"/>
  <c r="G125" i="14" l="1"/>
  <c r="H105" i="14"/>
  <c r="C24" i="14"/>
  <c r="AG41" i="14"/>
  <c r="H41" i="14" s="1"/>
  <c r="AE60" i="14"/>
  <c r="G60" i="14" s="1"/>
  <c r="AG100" i="14"/>
  <c r="H100" i="14" s="1"/>
  <c r="C110" i="14"/>
  <c r="C99" i="14"/>
  <c r="C45" i="14"/>
  <c r="AE51" i="14"/>
  <c r="G51" i="14" s="1"/>
  <c r="H123" i="14"/>
  <c r="C122" i="14"/>
  <c r="C30" i="14"/>
  <c r="AG73" i="14"/>
  <c r="H73" i="14" s="1"/>
  <c r="C115" i="14"/>
  <c r="AE38" i="14"/>
  <c r="G38" i="14" s="1"/>
  <c r="AG38" i="14"/>
  <c r="H38" i="14" s="1"/>
  <c r="C81" i="14"/>
  <c r="AG93" i="14"/>
  <c r="H93" i="14" s="1"/>
  <c r="C8" i="14"/>
  <c r="C98" i="14"/>
  <c r="AG69" i="14"/>
  <c r="H69" i="14" s="1"/>
  <c r="C117" i="14"/>
  <c r="AE124" i="14"/>
  <c r="G124" i="14" s="1"/>
  <c r="AG124" i="14"/>
  <c r="H124" i="14" s="1"/>
  <c r="AE118" i="14"/>
  <c r="G118" i="14" s="1"/>
  <c r="AG118" i="14"/>
  <c r="H118" i="14" s="1"/>
  <c r="AE39" i="14"/>
  <c r="G39" i="14" s="1"/>
  <c r="AG39" i="14"/>
  <c r="H39" i="14" s="1"/>
  <c r="AE110" i="14"/>
  <c r="G110" i="14" s="1"/>
  <c r="AG110" i="14"/>
  <c r="H110" i="14" s="1"/>
  <c r="AE101" i="14"/>
  <c r="G101" i="14" s="1"/>
  <c r="AG101" i="14"/>
  <c r="H101" i="14" s="1"/>
  <c r="AE40" i="14"/>
  <c r="G40" i="14" s="1"/>
  <c r="AG40" i="14"/>
  <c r="H40" i="14" s="1"/>
  <c r="AE83" i="14"/>
  <c r="G83" i="14" s="1"/>
  <c r="AG83" i="14"/>
  <c r="H83" i="14" s="1"/>
  <c r="AE99" i="14"/>
  <c r="G99" i="14" s="1"/>
  <c r="AG99" i="14"/>
  <c r="H99" i="14" s="1"/>
  <c r="AE84" i="14"/>
  <c r="G84" i="14" s="1"/>
  <c r="AG84" i="14"/>
  <c r="H84" i="14" s="1"/>
  <c r="AE114" i="14"/>
  <c r="G114" i="14" s="1"/>
  <c r="AG114" i="14"/>
  <c r="H114" i="14" s="1"/>
  <c r="AE37" i="14"/>
  <c r="G37" i="14" s="1"/>
  <c r="AG37" i="14"/>
  <c r="H37" i="14" s="1"/>
  <c r="AE95" i="14"/>
  <c r="G95" i="14" s="1"/>
  <c r="AG95" i="14"/>
  <c r="H95" i="14" s="1"/>
  <c r="AE45" i="14"/>
  <c r="G45" i="14" s="1"/>
  <c r="AG45" i="14"/>
  <c r="H45" i="14" s="1"/>
  <c r="AE62" i="14"/>
  <c r="G62" i="14" s="1"/>
  <c r="AG62" i="14"/>
  <c r="H62" i="14" s="1"/>
  <c r="AE53" i="14"/>
  <c r="G53" i="14" s="1"/>
  <c r="AG53" i="14"/>
  <c r="H53" i="14" s="1"/>
  <c r="AE12" i="14"/>
  <c r="G12" i="14" s="1"/>
  <c r="AG12" i="14"/>
  <c r="H12" i="14" s="1"/>
  <c r="AE14" i="14"/>
  <c r="G14" i="14" s="1"/>
  <c r="AG14" i="14"/>
  <c r="H14" i="14" s="1"/>
  <c r="AE31" i="14"/>
  <c r="G31" i="14" s="1"/>
  <c r="AG31" i="14"/>
  <c r="H31" i="14" s="1"/>
  <c r="AE32" i="14"/>
  <c r="G32" i="14" s="1"/>
  <c r="AG32" i="14"/>
  <c r="H32" i="14" s="1"/>
  <c r="C101" i="14"/>
  <c r="AE76" i="14"/>
  <c r="G76" i="14" s="1"/>
  <c r="AG76" i="14"/>
  <c r="H76" i="14" s="1"/>
  <c r="AE91" i="14"/>
  <c r="G91" i="14" s="1"/>
  <c r="AG91" i="14"/>
  <c r="H91" i="14" s="1"/>
  <c r="AE47" i="14"/>
  <c r="G47" i="14" s="1"/>
  <c r="AG47" i="14"/>
  <c r="H47" i="14" s="1"/>
  <c r="AE75" i="14"/>
  <c r="G75" i="14" s="1"/>
  <c r="AG75" i="14"/>
  <c r="H75" i="14" s="1"/>
  <c r="AG57" i="14"/>
  <c r="H57" i="14" s="1"/>
  <c r="AE57" i="14"/>
  <c r="G57" i="14" s="1"/>
  <c r="AG8" i="14"/>
  <c r="H8" i="14" s="1"/>
  <c r="AE8" i="14"/>
  <c r="G8" i="14" s="1"/>
  <c r="AE13" i="14"/>
  <c r="G13" i="14" s="1"/>
  <c r="AG13" i="14"/>
  <c r="AE22" i="14"/>
  <c r="G22" i="14" s="1"/>
  <c r="AG22" i="14"/>
  <c r="H22" i="14" s="1"/>
  <c r="AE55" i="14"/>
  <c r="G55" i="14" s="1"/>
  <c r="AG55" i="14"/>
  <c r="H55" i="14" s="1"/>
  <c r="H13" i="14"/>
  <c r="AE92" i="14"/>
  <c r="G92" i="14" s="1"/>
  <c r="AG92" i="14"/>
  <c r="H92" i="14" s="1"/>
  <c r="AE103" i="14"/>
  <c r="G103" i="14" s="1"/>
  <c r="AG103" i="14"/>
  <c r="H103" i="14" s="1"/>
  <c r="AE106" i="14"/>
  <c r="G106" i="14" s="1"/>
  <c r="AG106" i="14"/>
  <c r="H106" i="14" s="1"/>
  <c r="AG16" i="14"/>
  <c r="H16" i="14" s="1"/>
  <c r="AE16" i="14"/>
  <c r="G16" i="14" s="1"/>
  <c r="AG85" i="14"/>
  <c r="H85" i="14" s="1"/>
  <c r="AE85" i="14"/>
  <c r="G85" i="14" s="1"/>
  <c r="AG77" i="14"/>
  <c r="H77" i="14" s="1"/>
  <c r="AE77" i="14"/>
  <c r="G77" i="14" s="1"/>
  <c r="AE113" i="14"/>
  <c r="G113" i="14" s="1"/>
  <c r="AG113" i="14"/>
  <c r="H113" i="14" s="1"/>
  <c r="AG25" i="14"/>
  <c r="H25" i="14" s="1"/>
  <c r="AE25" i="14"/>
  <c r="G25" i="14" s="1"/>
  <c r="AG96" i="14"/>
  <c r="H96" i="14" s="1"/>
  <c r="AE96" i="14"/>
  <c r="G96" i="14" s="1"/>
  <c r="AE61" i="14"/>
  <c r="G61" i="14" s="1"/>
  <c r="AG61" i="14"/>
  <c r="H61" i="14" s="1"/>
  <c r="AE21" i="14"/>
  <c r="G21" i="14" s="1"/>
  <c r="AG21" i="14"/>
  <c r="H21" i="14" s="1"/>
  <c r="AE23" i="14"/>
  <c r="G23" i="14" s="1"/>
  <c r="AG23" i="14"/>
  <c r="H23" i="14" s="1"/>
  <c r="AE29" i="14"/>
  <c r="G29" i="14" s="1"/>
  <c r="AG29" i="14"/>
  <c r="H29" i="14" s="1"/>
  <c r="AG66" i="14"/>
  <c r="H66" i="14" s="1"/>
  <c r="AE66" i="14"/>
  <c r="G66" i="14" s="1"/>
  <c r="AE24" i="14"/>
  <c r="G24" i="14" s="1"/>
  <c r="AG24" i="14"/>
  <c r="H24" i="14" s="1"/>
  <c r="AE15" i="14"/>
  <c r="G15" i="14" s="1"/>
  <c r="AG15" i="14"/>
  <c r="H15" i="14" s="1"/>
  <c r="AE102" i="14"/>
  <c r="G102" i="14" s="1"/>
  <c r="AG102" i="14"/>
  <c r="H102" i="14" s="1"/>
  <c r="AK11" i="8"/>
  <c r="BH10" i="8"/>
  <c r="O12" i="8"/>
  <c r="M12" i="8" s="1"/>
  <c r="BE10" i="8"/>
  <c r="AL10" i="8" s="1"/>
  <c r="AV11" i="8"/>
  <c r="AW11" i="8"/>
  <c r="R11" i="8" s="1"/>
  <c r="O10" i="8"/>
  <c r="M10" i="8" s="1"/>
  <c r="BC10" i="8"/>
  <c r="AK10" i="8" s="1"/>
  <c r="G12" i="8"/>
  <c r="H12" i="8"/>
  <c r="L12" i="8"/>
  <c r="I12" i="8"/>
  <c r="J12" i="8"/>
  <c r="K12" i="8"/>
  <c r="BE12" i="8" s="1"/>
  <c r="AL12" i="8" s="1"/>
  <c r="AU10" i="8"/>
  <c r="AW10" i="8" s="1"/>
  <c r="R10" i="8" s="1"/>
  <c r="AT8" i="10"/>
  <c r="AV8" i="10"/>
  <c r="AV11" i="10"/>
  <c r="AT11" i="10"/>
  <c r="AV9" i="10"/>
  <c r="BD8" i="8"/>
  <c r="AY8" i="10"/>
  <c r="I8" i="10" s="1"/>
  <c r="AV10" i="10"/>
  <c r="AY11" i="10"/>
  <c r="G11" i="10" s="1"/>
  <c r="BI9" i="8"/>
  <c r="J9" i="8" s="1"/>
  <c r="AT10" i="10"/>
  <c r="AG9" i="8"/>
  <c r="BD9" i="8" s="1"/>
  <c r="D9" i="8"/>
  <c r="AH9" i="8" s="1"/>
  <c r="BF9" i="8" s="1"/>
  <c r="D8" i="8"/>
  <c r="AH8" i="8" s="1"/>
  <c r="BF8" i="8" s="1"/>
  <c r="BI8" i="8"/>
  <c r="I8" i="8" s="1"/>
  <c r="P9" i="8"/>
  <c r="N9" i="8" s="1"/>
  <c r="AY9" i="8"/>
  <c r="S9" i="8"/>
  <c r="K9" i="10"/>
  <c r="O11" i="10"/>
  <c r="AY10" i="10"/>
  <c r="J10" i="10" s="1"/>
  <c r="P8" i="10"/>
  <c r="O10" i="10"/>
  <c r="AY9" i="10"/>
  <c r="F9" i="10" s="1"/>
  <c r="U8" i="10"/>
  <c r="M8" i="10"/>
  <c r="K8" i="10" s="1"/>
  <c r="V10" i="10"/>
  <c r="U11" i="10"/>
  <c r="P11" i="10"/>
  <c r="V9" i="10"/>
  <c r="P8" i="8"/>
  <c r="N8" i="8" s="1"/>
  <c r="O8" i="8"/>
  <c r="M8" i="8" s="1"/>
  <c r="AX8" i="8"/>
  <c r="AY8" i="8"/>
  <c r="AU12" i="8" l="1"/>
  <c r="AW12" i="8" s="1"/>
  <c r="R12" i="8" s="1"/>
  <c r="BC12" i="8"/>
  <c r="AK12" i="8" s="1"/>
  <c r="AV10" i="8"/>
  <c r="AV12" i="8"/>
  <c r="AZ11" i="8"/>
  <c r="Q11" i="8"/>
  <c r="L9" i="8"/>
  <c r="H9" i="8"/>
  <c r="AU9" i="8" s="1"/>
  <c r="J8" i="10"/>
  <c r="I9" i="8"/>
  <c r="G8" i="10"/>
  <c r="E8" i="10"/>
  <c r="AM8" i="10" s="1"/>
  <c r="F8" i="10"/>
  <c r="E11" i="10"/>
  <c r="AW11" i="10" s="1"/>
  <c r="H8" i="10"/>
  <c r="J11" i="10"/>
  <c r="G9" i="8"/>
  <c r="BB9" i="8" s="1"/>
  <c r="K9" i="8"/>
  <c r="H11" i="10"/>
  <c r="F11" i="10"/>
  <c r="I11" i="10"/>
  <c r="BH8" i="8"/>
  <c r="D7" i="24"/>
  <c r="C7" i="24"/>
  <c r="D7" i="19"/>
  <c r="C7" i="19"/>
  <c r="G9" i="10"/>
  <c r="I9" i="10"/>
  <c r="F10" i="10"/>
  <c r="D7" i="8"/>
  <c r="C7" i="8"/>
  <c r="BH9" i="8"/>
  <c r="H8" i="8"/>
  <c r="AU8" i="8" s="1"/>
  <c r="K8" i="8"/>
  <c r="G8" i="8"/>
  <c r="J8" i="8"/>
  <c r="BC8" i="8" s="1"/>
  <c r="AK8" i="8" s="1"/>
  <c r="L8" i="8"/>
  <c r="O9" i="8"/>
  <c r="M9" i="8" s="1"/>
  <c r="BA9" i="8" s="1"/>
  <c r="M10" i="10"/>
  <c r="K10" i="10" s="1"/>
  <c r="E10" i="10"/>
  <c r="E9" i="10"/>
  <c r="N8" i="10"/>
  <c r="L8" i="10" s="1"/>
  <c r="AQ8" i="10"/>
  <c r="H10" i="10"/>
  <c r="I10" i="10"/>
  <c r="AU10" i="10" s="1"/>
  <c r="AE10" i="10" s="1"/>
  <c r="H9" i="10"/>
  <c r="J9" i="10"/>
  <c r="AX9" i="10"/>
  <c r="U9" i="10"/>
  <c r="N11" i="10"/>
  <c r="L11" i="10" s="1"/>
  <c r="AX10" i="10"/>
  <c r="U10" i="10"/>
  <c r="G10" i="10"/>
  <c r="M11" i="10"/>
  <c r="K11" i="10" s="1"/>
  <c r="AQ11" i="10" s="1"/>
  <c r="D7" i="26"/>
  <c r="AK7" i="26"/>
  <c r="AJ7" i="22"/>
  <c r="AF7" i="10"/>
  <c r="AZ12" i="8" l="1"/>
  <c r="Q12" i="8"/>
  <c r="Q10" i="8"/>
  <c r="AZ10" i="8"/>
  <c r="Z11" i="8"/>
  <c r="BG11" i="8"/>
  <c r="AR11" i="10"/>
  <c r="AC11" i="10" s="1"/>
  <c r="AW9" i="8"/>
  <c r="R9" i="8" s="1"/>
  <c r="AJ9" i="8"/>
  <c r="AS8" i="10"/>
  <c r="AD8" i="10" s="1"/>
  <c r="AM11" i="10"/>
  <c r="AO11" i="10" s="1"/>
  <c r="BE9" i="8"/>
  <c r="AL9" i="8" s="1"/>
  <c r="AW8" i="10"/>
  <c r="AP8" i="10"/>
  <c r="AR8" i="10"/>
  <c r="AC8" i="10" s="1"/>
  <c r="AO8" i="10"/>
  <c r="AP11" i="10"/>
  <c r="AW10" i="10"/>
  <c r="AV8" i="8"/>
  <c r="AZ8" i="8" s="1"/>
  <c r="AW9" i="10"/>
  <c r="AU9" i="10"/>
  <c r="AE9" i="10" s="1"/>
  <c r="AN8" i="10"/>
  <c r="AS9" i="10"/>
  <c r="AD9" i="10" s="1"/>
  <c r="BE8" i="8"/>
  <c r="AL8" i="8" s="1"/>
  <c r="AU8" i="10"/>
  <c r="AE8" i="10" s="1"/>
  <c r="AV9" i="8"/>
  <c r="BC9" i="8"/>
  <c r="AK9" i="8" s="1"/>
  <c r="AU11" i="10"/>
  <c r="AE11" i="10" s="1"/>
  <c r="AP10" i="10"/>
  <c r="AM10" i="10"/>
  <c r="AO10" i="10" s="1"/>
  <c r="AS10" i="10"/>
  <c r="AD10" i="10" s="1"/>
  <c r="AR9" i="10"/>
  <c r="AQ9" i="10"/>
  <c r="AS11" i="10"/>
  <c r="AD11" i="10" s="1"/>
  <c r="AR10" i="10"/>
  <c r="AQ10" i="10"/>
  <c r="AP9" i="10"/>
  <c r="AM9" i="10"/>
  <c r="AO9" i="10" s="1"/>
  <c r="AW8" i="8"/>
  <c r="R8" i="8" s="1"/>
  <c r="AC2" i="24"/>
  <c r="AA2" i="19"/>
  <c r="Z2" i="8"/>
  <c r="I2" i="16"/>
  <c r="Z10" i="8" l="1"/>
  <c r="BG10" i="8"/>
  <c r="Z12" i="8"/>
  <c r="BG12" i="8"/>
  <c r="AI11" i="8"/>
  <c r="BB11" i="8"/>
  <c r="BA11" i="8"/>
  <c r="AN11" i="10"/>
  <c r="Q8" i="8"/>
  <c r="AC10" i="10"/>
  <c r="Q9" i="8"/>
  <c r="AZ9" i="8"/>
  <c r="AC9" i="10"/>
  <c r="AN9" i="10"/>
  <c r="AN10" i="10"/>
  <c r="AC7" i="8"/>
  <c r="BG8" i="8" l="1"/>
  <c r="Z8" i="8"/>
  <c r="BB8" i="8" s="1"/>
  <c r="AJ11" i="8"/>
  <c r="AI12" i="8"/>
  <c r="BA12" i="8"/>
  <c r="BB12" i="8"/>
  <c r="AI10" i="8"/>
  <c r="BA10" i="8"/>
  <c r="BB10" i="8"/>
  <c r="BG9" i="8"/>
  <c r="AI9" i="8"/>
  <c r="U7" i="28"/>
  <c r="T7" i="28"/>
  <c r="AA7" i="32"/>
  <c r="Z7" i="32"/>
  <c r="W7" i="32"/>
  <c r="V7" i="32"/>
  <c r="B17" i="11"/>
  <c r="B18" i="11"/>
  <c r="A4" i="31" s="1"/>
  <c r="X7" i="32"/>
  <c r="Y7" i="32"/>
  <c r="AB7" i="32"/>
  <c r="A1" i="32"/>
  <c r="BE7" i="32"/>
  <c r="AP7" i="32"/>
  <c r="AO7" i="32"/>
  <c r="AN7" i="32"/>
  <c r="AI7" i="32"/>
  <c r="AJ7" i="32" s="1"/>
  <c r="AG7" i="32"/>
  <c r="AH7" i="32" s="1"/>
  <c r="AF7" i="32"/>
  <c r="AE7" i="32"/>
  <c r="U7" i="32"/>
  <c r="D7" i="32"/>
  <c r="C7" i="32"/>
  <c r="B7" i="32"/>
  <c r="A7" i="32"/>
  <c r="AI8" i="8" l="1"/>
  <c r="BA8" i="8"/>
  <c r="AJ10" i="8"/>
  <c r="AJ12" i="8"/>
  <c r="AJ8" i="8"/>
  <c r="BA7" i="32"/>
  <c r="AY7" i="32"/>
  <c r="T7" i="32"/>
  <c r="R7" i="32" s="1"/>
  <c r="S7" i="32"/>
  <c r="Q7" i="32" s="1"/>
  <c r="AD7" i="32"/>
  <c r="AC7" i="32" s="1"/>
  <c r="AV7" i="32" s="1"/>
  <c r="P2" i="16"/>
  <c r="BD7" i="32"/>
  <c r="X3" i="32" s="1"/>
  <c r="AL4" i="32"/>
  <c r="AR11" i="31"/>
  <c r="AQ11" i="31"/>
  <c r="AP11" i="31"/>
  <c r="AO11" i="31"/>
  <c r="AN11" i="31"/>
  <c r="AM11" i="31"/>
  <c r="AL11" i="31"/>
  <c r="AK11" i="31"/>
  <c r="AR10" i="31"/>
  <c r="AQ10" i="31"/>
  <c r="AP10" i="31"/>
  <c r="AO10" i="31"/>
  <c r="AN10" i="31"/>
  <c r="AM10" i="31"/>
  <c r="AL10" i="31"/>
  <c r="AK10" i="31"/>
  <c r="AR9" i="31"/>
  <c r="AQ9" i="31"/>
  <c r="AP9" i="31"/>
  <c r="AO9" i="31"/>
  <c r="AN9" i="31"/>
  <c r="AM9" i="31"/>
  <c r="AL9" i="31"/>
  <c r="AK9" i="31"/>
  <c r="AR8" i="31"/>
  <c r="AQ8" i="31"/>
  <c r="AP8" i="31"/>
  <c r="AO8" i="31"/>
  <c r="AN8" i="31"/>
  <c r="AM8" i="31"/>
  <c r="AL8" i="31"/>
  <c r="AK8" i="31"/>
  <c r="AR7" i="31"/>
  <c r="AQ7" i="31"/>
  <c r="AP7" i="31"/>
  <c r="AO7" i="31"/>
  <c r="AN7" i="31"/>
  <c r="AM7" i="31"/>
  <c r="AL7" i="31"/>
  <c r="AK7" i="31"/>
  <c r="A4" i="32"/>
  <c r="A3" i="31"/>
  <c r="A3" i="32" s="1"/>
  <c r="W7" i="28"/>
  <c r="V7" i="28"/>
  <c r="X7" i="28"/>
  <c r="O2" i="16"/>
  <c r="A1" i="28"/>
  <c r="A4" i="27"/>
  <c r="A4" i="28" s="1"/>
  <c r="BA7" i="28"/>
  <c r="AL7" i="28"/>
  <c r="Q7" i="28" s="1"/>
  <c r="O7" i="28" s="1"/>
  <c r="AK7" i="28"/>
  <c r="AJ7" i="28"/>
  <c r="AE7" i="28"/>
  <c r="AF7" i="28" s="1"/>
  <c r="AC7" i="28"/>
  <c r="AD7" i="28" s="1"/>
  <c r="AB7" i="28"/>
  <c r="AA7" i="28"/>
  <c r="S7" i="28"/>
  <c r="D7" i="28"/>
  <c r="C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H7" i="32"/>
  <c r="F7" i="32"/>
  <c r="J7" i="32"/>
  <c r="I7" i="32"/>
  <c r="E7" i="32"/>
  <c r="G7" i="32"/>
  <c r="AU7" i="28"/>
  <c r="AW7" i="28"/>
  <c r="Z7" i="28"/>
  <c r="AY7" i="28" s="1"/>
  <c r="R7" i="28"/>
  <c r="P7" i="28" s="1"/>
  <c r="N7" i="28" s="1"/>
  <c r="AZ7" i="28"/>
  <c r="U3" i="28" s="1"/>
  <c r="M7" i="28"/>
  <c r="C7" i="22"/>
  <c r="N7" i="32" l="1"/>
  <c r="M7" i="32"/>
  <c r="AU7" i="32"/>
  <c r="P7" i="32"/>
  <c r="BC7" i="32"/>
  <c r="O7" i="32"/>
  <c r="BB7" i="32"/>
  <c r="AR7" i="32"/>
  <c r="AS7" i="32" s="1"/>
  <c r="E7" i="28"/>
  <c r="AN7" i="28" s="1"/>
  <c r="H7" i="28"/>
  <c r="J7" i="28"/>
  <c r="Y7" i="28"/>
  <c r="AR7" i="28" s="1"/>
  <c r="I7" i="28"/>
  <c r="F7" i="28"/>
  <c r="G7" i="28"/>
  <c r="G3" i="15"/>
  <c r="E8" i="15" l="1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AT7" i="32"/>
  <c r="AW7" i="32"/>
  <c r="AX7" i="32"/>
  <c r="AL7" i="32" s="1"/>
  <c r="AZ7" i="32"/>
  <c r="AM7" i="32" s="1"/>
  <c r="AQ7" i="28"/>
  <c r="AX7" i="28"/>
  <c r="L7" i="28"/>
  <c r="K7" i="28"/>
  <c r="AV7" i="28"/>
  <c r="AI7" i="28" s="1"/>
  <c r="AP7" i="28"/>
  <c r="AS7" i="28"/>
  <c r="AG7" i="28" s="1"/>
  <c r="AT7" i="28"/>
  <c r="AH7" i="28" s="1"/>
  <c r="AO7" i="28"/>
  <c r="AK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B14" i="11"/>
  <c r="B13" i="11"/>
  <c r="B12" i="11"/>
  <c r="B11" i="11"/>
  <c r="B10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C4" i="11"/>
  <c r="C3" i="11"/>
  <c r="C2" i="11"/>
  <c r="B4" i="11"/>
  <c r="B3" i="11"/>
  <c r="B2" i="11"/>
  <c r="A1" i="31" l="1"/>
  <c r="A1" i="27"/>
  <c r="A4" i="25"/>
  <c r="A4" i="26" s="1"/>
  <c r="E7" i="26"/>
  <c r="A1" i="24"/>
  <c r="A1" i="26"/>
  <c r="A1" i="25"/>
  <c r="BE7" i="26"/>
  <c r="AP7" i="26"/>
  <c r="AA7" i="26" s="1"/>
  <c r="Z7" i="26" s="1"/>
  <c r="AO7" i="26"/>
  <c r="AN7" i="26"/>
  <c r="AM7" i="26"/>
  <c r="AL7" i="26"/>
  <c r="AF7" i="26"/>
  <c r="AG7" i="26" s="1"/>
  <c r="AD7" i="26"/>
  <c r="AE7" i="26" s="1"/>
  <c r="AC7" i="26"/>
  <c r="AB7" i="26"/>
  <c r="Y7" i="26"/>
  <c r="X7" i="26"/>
  <c r="W7" i="26"/>
  <c r="V7" i="26"/>
  <c r="F7" i="26"/>
  <c r="C7" i="26"/>
  <c r="B7" i="26"/>
  <c r="A7" i="26"/>
  <c r="AV7" i="26" l="1"/>
  <c r="T7" i="26"/>
  <c r="R7" i="26" s="1"/>
  <c r="P7" i="26" s="1"/>
  <c r="U7" i="26"/>
  <c r="S7" i="26" s="1"/>
  <c r="Q7" i="26" s="1"/>
  <c r="N2" i="16"/>
  <c r="AY7" i="26"/>
  <c r="BC7" i="26"/>
  <c r="BA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G7" i="24"/>
  <c r="AT7" i="23"/>
  <c r="A1" i="23"/>
  <c r="AY7" i="24"/>
  <c r="Y7" i="24" s="1"/>
  <c r="U7" i="24" s="1"/>
  <c r="S7" i="24" s="1"/>
  <c r="AX7" i="24"/>
  <c r="BD7" i="24" s="1"/>
  <c r="AW7" i="24"/>
  <c r="AV7" i="24"/>
  <c r="AU7" i="24"/>
  <c r="AT7" i="24"/>
  <c r="AS7" i="24"/>
  <c r="AR7" i="24"/>
  <c r="AJ7" i="24"/>
  <c r="AK7" i="24" s="1"/>
  <c r="AH7" i="24"/>
  <c r="AG7" i="24"/>
  <c r="AF7" i="24"/>
  <c r="AC7" i="24"/>
  <c r="AB7" i="24"/>
  <c r="AA7" i="24"/>
  <c r="Z7" i="24"/>
  <c r="H7" i="24"/>
  <c r="BF7" i="24" s="1"/>
  <c r="E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A4" i="23" l="1"/>
  <c r="BD7" i="26"/>
  <c r="X3" i="26" s="1"/>
  <c r="BI7" i="24"/>
  <c r="BK7" i="24"/>
  <c r="BM7" i="24"/>
  <c r="BN7" i="24"/>
  <c r="AA3" i="24" s="1"/>
  <c r="AI7" i="24"/>
  <c r="X7" i="24"/>
  <c r="T7" i="24" s="1"/>
  <c r="R7" i="24" s="1"/>
  <c r="BC7" i="24"/>
  <c r="AT7" i="19"/>
  <c r="H7" i="26" l="1"/>
  <c r="AW7" i="26" s="1"/>
  <c r="G7" i="26"/>
  <c r="AR7" i="26" s="1"/>
  <c r="M7" i="26"/>
  <c r="K7" i="26"/>
  <c r="L7" i="26"/>
  <c r="I7" i="26"/>
  <c r="J7" i="26"/>
  <c r="J7" i="24"/>
  <c r="K7" i="24"/>
  <c r="M7" i="24"/>
  <c r="N7" i="24"/>
  <c r="L7" i="24"/>
  <c r="O7" i="24"/>
  <c r="I7" i="24"/>
  <c r="L2" i="16"/>
  <c r="K2" i="16"/>
  <c r="BG7" i="24" l="1"/>
  <c r="BH7" i="24"/>
  <c r="AP7" i="24" s="1"/>
  <c r="AX7" i="26"/>
  <c r="AI7" i="26" s="1"/>
  <c r="AZ7" i="26"/>
  <c r="AJ7" i="26" s="1"/>
  <c r="AZ7" i="24"/>
  <c r="BA7" i="24" s="1"/>
  <c r="V7" i="24" s="1"/>
  <c r="BJ7" i="24"/>
  <c r="AQ7" i="24" s="1"/>
  <c r="AH7" i="26"/>
  <c r="O7" i="26"/>
  <c r="N7" i="26"/>
  <c r="AU7" i="26"/>
  <c r="AT7" i="26"/>
  <c r="BB7" i="26"/>
  <c r="Q7" i="24"/>
  <c r="P7" i="24"/>
  <c r="AB7" i="22"/>
  <c r="D7" i="22"/>
  <c r="BB7" i="24" l="1"/>
  <c r="W7" i="24" s="1"/>
  <c r="BE7" i="24"/>
  <c r="AS7" i="26"/>
  <c r="BL7" i="24" l="1"/>
  <c r="AN7" i="24" l="1"/>
  <c r="AO7" i="24" l="1"/>
  <c r="BE7" i="22" l="1"/>
  <c r="AO7" i="22"/>
  <c r="S7" i="22" s="1"/>
  <c r="Q7" i="22" s="1"/>
  <c r="AN7" i="22"/>
  <c r="AM7" i="22"/>
  <c r="AL7" i="22"/>
  <c r="AK7" i="22"/>
  <c r="AE7" i="22"/>
  <c r="AF7" i="22" s="1"/>
  <c r="AC7" i="22"/>
  <c r="AD7" i="22" s="1"/>
  <c r="AA7" i="22"/>
  <c r="Z7" i="22"/>
  <c r="W7" i="22"/>
  <c r="V7" i="22"/>
  <c r="U7" i="22"/>
  <c r="T7" i="22"/>
  <c r="E7" i="22"/>
  <c r="B7" i="22"/>
  <c r="A7" i="22"/>
  <c r="A1" i="22"/>
  <c r="A1" i="21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F7" i="19"/>
  <c r="A1" i="19"/>
  <c r="A1" i="20"/>
  <c r="AX7" i="19"/>
  <c r="W7" i="19" s="1"/>
  <c r="S7" i="19" s="1"/>
  <c r="Q7" i="19" s="1"/>
  <c r="AW7" i="19"/>
  <c r="BD7" i="19" s="1"/>
  <c r="AV7" i="19"/>
  <c r="AU7" i="19"/>
  <c r="AS7" i="19"/>
  <c r="AR7" i="19"/>
  <c r="AQ7" i="19"/>
  <c r="AI7" i="19"/>
  <c r="AJ7" i="19" s="1"/>
  <c r="AG7" i="19"/>
  <c r="AH7" i="19" s="1"/>
  <c r="AE7" i="19"/>
  <c r="AD7" i="19"/>
  <c r="AA7" i="19"/>
  <c r="Z7" i="19"/>
  <c r="Y7" i="19"/>
  <c r="X7" i="19"/>
  <c r="G7" i="19"/>
  <c r="BF7" i="19" s="1"/>
  <c r="E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D7" i="22" l="1"/>
  <c r="V3" i="22" s="1"/>
  <c r="BN7" i="19"/>
  <c r="Y3" i="19" s="1"/>
  <c r="Y7" i="22"/>
  <c r="R7" i="22"/>
  <c r="P7" i="22" s="1"/>
  <c r="N7" i="22" s="1"/>
  <c r="BA7" i="22"/>
  <c r="AY7" i="22"/>
  <c r="O7" i="22"/>
  <c r="BK7" i="19"/>
  <c r="V7" i="19"/>
  <c r="R7" i="19" s="1"/>
  <c r="P7" i="19" s="1"/>
  <c r="BC7" i="19"/>
  <c r="BI7" i="19"/>
  <c r="BM7" i="19"/>
  <c r="J2" i="16"/>
  <c r="BC7" i="22" l="1"/>
  <c r="X7" i="22"/>
  <c r="AV7" i="22" s="1"/>
  <c r="I7" i="19"/>
  <c r="AZ7" i="19" s="1"/>
  <c r="H7" i="19"/>
  <c r="BG7" i="19" s="1"/>
  <c r="M7" i="19"/>
  <c r="L7" i="19"/>
  <c r="K7" i="19"/>
  <c r="J7" i="19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BA7" i="19" s="1"/>
  <c r="T7" i="19" s="1"/>
  <c r="A4" i="20"/>
  <c r="A4" i="19"/>
  <c r="BE7" i="19" l="1"/>
  <c r="BL7" i="19" l="1"/>
  <c r="AM7" i="19"/>
  <c r="AN7" i="19" l="1"/>
  <c r="AZ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D7" i="15"/>
  <c r="C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E7" i="14"/>
  <c r="AD7" i="14" s="1"/>
  <c r="AH7" i="14"/>
  <c r="AC7" i="14"/>
  <c r="C2" i="14"/>
  <c r="F7" i="14"/>
  <c r="F7" i="15"/>
  <c r="E7" i="15"/>
  <c r="AG7" i="14" l="1"/>
  <c r="H7" i="14" s="1"/>
  <c r="AE7" i="14"/>
  <c r="G7" i="14" s="1"/>
  <c r="C7" i="14"/>
  <c r="B7" i="10" l="1"/>
  <c r="AD4" i="10"/>
  <c r="AG4" i="8"/>
  <c r="D7" i="10" l="1"/>
  <c r="AS7" i="2" l="1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AK7" i="10" l="1"/>
  <c r="V7" i="10" l="1"/>
  <c r="U7" i="10" s="1"/>
  <c r="AQ7" i="10" s="1"/>
  <c r="B7" i="8"/>
  <c r="AX7" i="10" l="1"/>
  <c r="A7" i="8"/>
  <c r="AE7" i="8" l="1"/>
  <c r="AF7" i="8" l="1"/>
  <c r="AD7" i="8"/>
  <c r="C7" i="10" l="1"/>
  <c r="P7" i="10" l="1"/>
  <c r="O7" i="10"/>
  <c r="AH7" i="8"/>
  <c r="AG7" i="8"/>
  <c r="BH7" i="8" l="1"/>
  <c r="N7" i="10"/>
  <c r="L7" i="10" s="1"/>
  <c r="M7" i="10"/>
  <c r="K7" i="10" s="1"/>
  <c r="AA7" i="10"/>
  <c r="AB7" i="10" s="1"/>
  <c r="Y7" i="10"/>
  <c r="AY7" i="10" l="1"/>
  <c r="S3" i="10" s="1"/>
  <c r="Z7" i="10"/>
  <c r="F7" i="8"/>
  <c r="E7" i="8"/>
  <c r="H7" i="10" l="1"/>
  <c r="F7" i="10"/>
  <c r="J7" i="10"/>
  <c r="BI7" i="8"/>
  <c r="E7" i="10"/>
  <c r="G7" i="10"/>
  <c r="I7" i="10"/>
  <c r="AX7" i="8"/>
  <c r="AY7" i="8"/>
  <c r="AU7" i="10" l="1"/>
  <c r="AS7" i="10"/>
  <c r="V3" i="8"/>
  <c r="AR7" i="10"/>
  <c r="H7" i="8"/>
  <c r="L7" i="8"/>
  <c r="J7" i="8"/>
  <c r="K7" i="8"/>
  <c r="I7" i="8"/>
  <c r="G7" i="8"/>
  <c r="AP7" i="10"/>
  <c r="BC7" i="8" l="1"/>
  <c r="BE7" i="8"/>
  <c r="V7" i="8"/>
  <c r="W7" i="8"/>
  <c r="X7" i="8"/>
  <c r="BD7" i="8" l="1"/>
  <c r="BF7" i="8"/>
  <c r="R7" i="10"/>
  <c r="S7" i="10"/>
  <c r="T7" i="10"/>
  <c r="Q7" i="10"/>
  <c r="AU7" i="8" l="1"/>
  <c r="AV7" i="8" s="1"/>
  <c r="Q7" i="8" s="1"/>
  <c r="Z7" i="8" s="1"/>
  <c r="BB7" i="8" s="1"/>
  <c r="AM7" i="10"/>
  <c r="AW7" i="10"/>
  <c r="BA7" i="8" l="1"/>
  <c r="AN7" i="10"/>
  <c r="AO7" i="10"/>
  <c r="AW7" i="8"/>
  <c r="R7" i="8" s="1"/>
  <c r="AZ7" i="8"/>
  <c r="AT7" i="10"/>
  <c r="AD7" i="10" s="1"/>
  <c r="AV7" i="10"/>
  <c r="AE7" i="10" s="1"/>
  <c r="AI7" i="8" l="1"/>
  <c r="BG7" i="8" l="1"/>
  <c r="AC7" i="10" l="1"/>
  <c r="A3" i="2" l="1"/>
  <c r="A3" i="10" s="1"/>
  <c r="A4" i="10"/>
  <c r="A4" i="8"/>
  <c r="A4" i="2"/>
  <c r="A1" i="10"/>
  <c r="A1" i="8"/>
  <c r="A1" i="13"/>
  <c r="A1" i="9"/>
  <c r="A1" i="2"/>
  <c r="A7" i="10" l="1"/>
  <c r="A3" i="8"/>
  <c r="AJ7" i="8" l="1"/>
  <c r="AK7" i="8" l="1"/>
  <c r="AL7" i="8"/>
  <c r="I7" i="22"/>
  <c r="K7" i="22"/>
  <c r="G7" i="22"/>
  <c r="AR7" i="22" s="1"/>
  <c r="J7" i="22"/>
  <c r="F7" i="22"/>
  <c r="AQ7" i="22" s="1"/>
  <c r="H7" i="22"/>
  <c r="AX7" i="22" l="1"/>
  <c r="AH7" i="22" s="1"/>
  <c r="AZ7" i="22"/>
  <c r="AI7" i="22" s="1"/>
  <c r="AW7" i="22"/>
  <c r="AG7" i="22" s="1"/>
  <c r="AT7" i="22"/>
  <c r="L7" i="22"/>
  <c r="AU7" i="22"/>
  <c r="BB7" i="22"/>
  <c r="AS7" i="22"/>
  <c r="M7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  <comment ref="AK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돋움"/>
            <family val="3"/>
            <charset val="129"/>
          </rPr>
          <t>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크면</t>
        </r>
        <r>
          <rPr>
            <b/>
            <sz val="9"/>
            <color indexed="81"/>
            <rFont val="Tahoma"/>
            <family val="2"/>
          </rPr>
          <t xml:space="preserve">, 0,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나타내서</t>
        </r>
        <r>
          <rPr>
            <b/>
            <sz val="9"/>
            <color indexed="81"/>
            <rFont val="Tahoma"/>
            <family val="2"/>
          </rPr>
          <t xml:space="preserve"> JD, JB</t>
        </r>
        <r>
          <rPr>
            <b/>
            <sz val="9"/>
            <color indexed="81"/>
            <rFont val="돋움"/>
            <family val="3"/>
            <charset val="129"/>
          </rPr>
          <t>값에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영향을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준다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  <comment ref="AO5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돋움"/>
            <family val="3"/>
            <charset val="129"/>
          </rPr>
          <t>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크면</t>
        </r>
        <r>
          <rPr>
            <b/>
            <sz val="9"/>
            <color indexed="81"/>
            <rFont val="Tahoma"/>
            <family val="2"/>
          </rPr>
          <t xml:space="preserve">, 0,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나타내서</t>
        </r>
        <r>
          <rPr>
            <b/>
            <sz val="9"/>
            <color indexed="81"/>
            <rFont val="Tahoma"/>
            <family val="2"/>
          </rPr>
          <t xml:space="preserve"> JD, JB</t>
        </r>
        <r>
          <rPr>
            <b/>
            <sz val="9"/>
            <color indexed="81"/>
            <rFont val="돋움"/>
            <family val="3"/>
            <charset val="129"/>
          </rPr>
          <t>값에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영향을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준다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  <comment ref="AP5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돋움"/>
            <family val="3"/>
            <charset val="129"/>
          </rPr>
          <t>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크면</t>
        </r>
        <r>
          <rPr>
            <b/>
            <sz val="9"/>
            <color indexed="81"/>
            <rFont val="Tahoma"/>
            <family val="2"/>
          </rPr>
          <t xml:space="preserve">, 0,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나타내서</t>
        </r>
        <r>
          <rPr>
            <b/>
            <sz val="9"/>
            <color indexed="81"/>
            <rFont val="Tahoma"/>
            <family val="2"/>
          </rPr>
          <t xml:space="preserve"> JD, JB</t>
        </r>
        <r>
          <rPr>
            <b/>
            <sz val="9"/>
            <color indexed="81"/>
            <rFont val="돋움"/>
            <family val="3"/>
            <charset val="129"/>
          </rPr>
          <t>값에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영향을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준다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  <comment ref="AL5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돋움"/>
            <family val="3"/>
            <charset val="129"/>
          </rPr>
          <t>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크면</t>
        </r>
        <r>
          <rPr>
            <b/>
            <sz val="9"/>
            <color indexed="81"/>
            <rFont val="Tahoma"/>
            <family val="2"/>
          </rPr>
          <t xml:space="preserve">, 0,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나타내서</t>
        </r>
        <r>
          <rPr>
            <b/>
            <sz val="9"/>
            <color indexed="81"/>
            <rFont val="Tahoma"/>
            <family val="2"/>
          </rPr>
          <t xml:space="preserve"> JD, JB</t>
        </r>
        <r>
          <rPr>
            <b/>
            <sz val="9"/>
            <color indexed="81"/>
            <rFont val="돋움"/>
            <family val="3"/>
            <charset val="129"/>
          </rPr>
          <t>값에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영향을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준다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  <comment ref="AP5" authorId="0" shapeId="0" xr:uid="{00000000-0006-0000-1400-000002000000}">
      <text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돋움"/>
            <family val="3"/>
            <charset val="129"/>
          </rPr>
          <t>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크면</t>
        </r>
        <r>
          <rPr>
            <b/>
            <sz val="9"/>
            <color indexed="81"/>
            <rFont val="Tahoma"/>
            <family val="2"/>
          </rPr>
          <t xml:space="preserve">, 0,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나타내서</t>
        </r>
        <r>
          <rPr>
            <b/>
            <sz val="9"/>
            <color indexed="81"/>
            <rFont val="Tahoma"/>
            <family val="2"/>
          </rPr>
          <t xml:space="preserve"> JD, JB</t>
        </r>
        <r>
          <rPr>
            <b/>
            <sz val="9"/>
            <color indexed="81"/>
            <rFont val="돋움"/>
            <family val="3"/>
            <charset val="129"/>
          </rPr>
          <t>값에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영향을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준다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<sst xmlns="http://schemas.openxmlformats.org/spreadsheetml/2006/main" count="1274" uniqueCount="326">
  <si>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</si>
  <si>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</si>
  <si>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</si>
  <si>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</si>
  <si>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</si>
  <si>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</si>
  <si>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</si>
  <si>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</si>
  <si>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</si>
  <si>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</si>
  <si>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</si>
  <si>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</si>
  <si>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</si>
  <si>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</si>
  <si>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</si>
  <si>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</si>
  <si>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</si>
  <si>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</si>
  <si>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</si>
  <si>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</si>
  <si>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</si>
  <si>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</si>
  <si>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</si>
  <si>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</si>
  <si>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</si>
  <si>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</si>
  <si>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</si>
  <si>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</si>
  <si>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</si>
  <si>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</si>
  <si>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</si>
  <si>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</si>
  <si>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</si>
  <si>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</si>
  <si>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</si>
  <si>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</si>
  <si>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</si>
  <si>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</si>
  <si>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</si>
  <si>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</si>
  <si>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</si>
  <si>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</si>
  <si>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</si>
  <si>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</si>
  <si>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</si>
  <si>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</si>
  <si>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</si>
  <si>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</si>
  <si>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</si>
  <si>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</si>
  <si>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</si>
  <si>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</si>
  <si>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A보정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</si>
  <si>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</si>
  <si>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</si>
  <si>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</si>
  <si>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</si>
  <si>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</si>
  <si>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</si>
  <si>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</si>
  <si>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</si>
  <si>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</si>
  <si>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</si>
  <si>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</si>
  <si>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</si>
  <si>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</si>
  <si>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</si>
  <si>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</si>
  <si>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</si>
  <si>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</si>
  <si>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</si>
  <si>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</si>
  <si>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</si>
  <si>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</si>
  <si>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</si>
  <si>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</si>
  <si>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</si>
  <si>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</si>
  <si>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</si>
  <si>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</si>
  <si>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</si>
  <si>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</si>
  <si>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</si>
  <si>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</si>
  <si>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</si>
  <si>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</si>
  <si>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</si>
  <si>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</si>
  <si>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</si>
  <si>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</si>
  <si>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</si>
  <si>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</si>
  <si>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</si>
  <si>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</si>
  <si>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</si>
  <si>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</si>
  <si>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</si>
  <si>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</si>
  <si>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</si>
  <si>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</si>
  <si>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</si>
  <si>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</si>
  <si>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</si>
  <si>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</si>
  <si>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</si>
  <si>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</si>
  <si>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</si>
  <si>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</si>
  <si>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</si>
  <si>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</si>
  <si>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</si>
  <si>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</si>
  <si>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</si>
  <si>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</si>
  <si>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</si>
  <si>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</si>
  <si>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</si>
  <si>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</si>
  <si>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</si>
  <si>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</si>
  <si>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</si>
  <si>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</si>
  <si>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</si>
  <si>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</si>
  <si>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</si>
  <si>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</si>
  <si>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</si>
  <si>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</si>
  <si>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</si>
  <si>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</si>
  <si>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</si>
  <si>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</si>
  <si>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</si>
  <si>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</si>
  <si>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</si>
  <si>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</si>
  <si>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</si>
  <si>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</si>
  <si>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</si>
  <si>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</si>
  <si>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</si>
  <si>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</si>
  <si>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</si>
  <si>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</si>
  <si>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</si>
  <si>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</si>
  <si>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</si>
  <si>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</si>
  <si>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</si>
  <si>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</si>
  <si>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</si>
  <si>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</si>
  <si>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</si>
  <si>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</si>
  <si>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</si>
  <si>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</si>
  <si>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</si>
  <si>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</si>
  <si>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</si>
  <si>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</si>
  <si>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</si>
  <si>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</si>
  <si>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</si>
  <si>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</si>
  <si>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</si>
  <si>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</si>
  <si>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</si>
  <si>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</si>
  <si>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</si>
  <si>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</si>
  <si>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</si>
  <si>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</si>
  <si>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</si>
  <si>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</si>
  <si>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</si>
  <si>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</si>
  <si>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</si>
  <si>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</si>
  <si>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</si>
  <si>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</si>
  <si>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</si>
  <si>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</si>
  <si>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</si>
  <si>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</si>
  <si>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</si>
  <si>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</si>
  <si>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</si>
  <si>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</si>
  <si>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</si>
  <si>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</si>
  <si>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</si>
  <si>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</si>
  <si>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</si>
  <si>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</si>
  <si>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</si>
  <si>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</si>
  <si>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</si>
  <si>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</si>
  <si>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</si>
  <si>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</si>
  <si>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</si>
  <si>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</si>
  <si>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</si>
  <si>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</si>
  <si>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</si>
  <si>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</si>
  <si>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</si>
  <si>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</si>
  <si>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</si>
  <si>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</si>
  <si>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</si>
  <si>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</si>
  <si>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</si>
  <si>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</si>
  <si>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</si>
  <si>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</si>
  <si>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</si>
  <si>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</si>
  <si>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동양엘리베이터 삼진테크 HPI (매립형)</t>
    <phoneticPr fontId="1" type="noConversion"/>
  </si>
  <si>
    <t>삼일매립형 (성원) - 김운호소장</t>
    <phoneticPr fontId="1" type="noConversion"/>
  </si>
  <si>
    <t>신영기전 (매립형)</t>
    <phoneticPr fontId="1" type="noConversion"/>
  </si>
  <si>
    <t>대명 돌출 HPI</t>
    <phoneticPr fontId="1" type="noConversion"/>
  </si>
  <si>
    <t>한진EMCC S-05B 돌출</t>
    <phoneticPr fontId="1" type="noConversion"/>
  </si>
  <si>
    <t>GSE EMCC 탭너트버전 (팝너트)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</si>
  <si>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</si>
  <si>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</si>
  <si>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</si>
  <si>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</si>
  <si>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</si>
  <si>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</si>
  <si>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</si>
  <si>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</si>
  <si>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</si>
  <si>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</si>
  <si>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</si>
  <si>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</si>
  <si>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</si>
  <si>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</si>
  <si>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</si>
  <si>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</si>
  <si>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</si>
  <si>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</si>
  <si>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</si>
  <si>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</si>
  <si>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</si>
  <si>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</si>
  <si>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</si>
  <si>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</si>
  <si>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</si>
  <si>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</si>
  <si>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</si>
  <si>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</si>
  <si>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</si>
  <si>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</si>
  <si>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</si>
  <si>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</si>
  <si>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</si>
  <si>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</si>
  <si>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</si>
  <si>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</si>
  <si>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</si>
  <si>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</si>
  <si>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</si>
  <si>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</si>
  <si>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</si>
  <si>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</si>
  <si>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</si>
  <si>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</si>
  <si>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</si>
  <si>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</si>
  <si>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</si>
  <si>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</si>
  <si>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</si>
  <si>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</si>
  <si>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</si>
  <si>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</si>
  <si>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</si>
  <si>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</si>
  <si>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</si>
  <si>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</si>
  <si>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</si>
  <si>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</si>
  <si>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</si>
  <si>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</si>
  <si>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</si>
  <si>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</si>
  <si>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</si>
  <si>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</si>
  <si>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</si>
  <si>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</si>
  <si>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</si>
  <si>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</si>
  <si>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</si>
  <si>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</si>
  <si>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</si>
  <si>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</si>
  <si>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</si>
  <si>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</si>
  <si>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</si>
  <si>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</si>
  <si>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</si>
  <si>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</si>
  <si>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</si>
  <si>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</si>
  <si>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</si>
  <si>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</si>
  <si>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</si>
  <si>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</si>
  <si>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</si>
  <si>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김한준</t>
    <phoneticPr fontId="1" type="noConversion"/>
  </si>
  <si>
    <t>김진섭</t>
    <phoneticPr fontId="1" type="noConversion"/>
  </si>
  <si>
    <t>이미래</t>
  </si>
  <si>
    <t>경기도 의정부 드림밸리아파트-4차</t>
  </si>
  <si>
    <t>OTIS HIX-A162</t>
  </si>
  <si>
    <t>박철우</t>
  </si>
  <si>
    <t>VIB 1.2T</t>
    <phoneticPr fontId="1" type="noConversion"/>
  </si>
  <si>
    <t>10-1</t>
    <phoneticPr fontId="1" type="noConversion"/>
  </si>
  <si>
    <t>10-2</t>
  </si>
  <si>
    <t>10-2</t>
    <phoneticPr fontId="1" type="noConversion"/>
  </si>
  <si>
    <t>11-1</t>
    <phoneticPr fontId="1" type="noConversion"/>
  </si>
  <si>
    <t>11-2</t>
  </si>
  <si>
    <t>11-2</t>
    <phoneticPr fontId="1" type="noConversion"/>
  </si>
  <si>
    <t>12-1</t>
    <phoneticPr fontId="1" type="noConversion"/>
  </si>
  <si>
    <t>12-2</t>
  </si>
  <si>
    <t>12-2</t>
    <phoneticPr fontId="1" type="noConversion"/>
  </si>
  <si>
    <t>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</si>
</sst>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"/>
    <numFmt numFmtId="177" formatCode="_-* #,##0.0_-;\-* #,##0.0_-;_-* &quot;-&quot;_-;_-@_-"/>
    <numFmt numFmtId="178" formatCode="_-* #,##0.0_-;\-* #,##0.0_-;_-* &quot;-&quot;?_-;_-@_-"/>
  </numFmts>
  <fonts count="7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6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</cellStyleXfs>
  <cellXfs count="49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6" fillId="0" borderId="2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28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29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16" fillId="19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0" borderId="0" xfId="0" applyFont="1" applyFill="1" applyAlignment="1">
      <alignment horizontal="center"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Font="1" applyBorder="1">
      <alignment vertical="center"/>
    </xf>
    <xf numFmtId="0" fontId="17" fillId="0" borderId="0" xfId="0" applyFont="1" applyAlignment="1">
      <alignment vertical="center"/>
    </xf>
    <xf numFmtId="0" fontId="17" fillId="2" borderId="0" xfId="0" applyFont="1" applyFill="1" applyAlignment="1">
      <alignment vertical="center"/>
    </xf>
    <xf numFmtId="176" fontId="0" fillId="21" borderId="1" xfId="0" applyNumberForma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177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7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6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 vertical="center" shrinkToFit="1"/>
    </xf>
    <xf numFmtId="0" fontId="7" fillId="0" borderId="1" xfId="0" applyFont="1" applyFill="1" applyBorder="1" applyAlignment="1">
      <alignment horizontal="center" vertical="center" shrinkToFit="1"/>
    </xf>
    <xf numFmtId="178" fontId="7" fillId="21" borderId="1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48" fillId="0" borderId="0" xfId="0" applyFont="1" applyBorder="1" applyAlignment="1">
      <alignment horizontal="center" vertical="center" wrapText="1"/>
    </xf>
    <xf numFmtId="0" fontId="49" fillId="17" borderId="0" xfId="0" applyFont="1" applyFill="1" applyBorder="1" applyAlignment="1">
      <alignment horizontal="center" vertical="center"/>
    </xf>
    <xf numFmtId="0" fontId="50" fillId="0" borderId="0" xfId="0" applyFont="1" applyBorder="1" applyAlignment="1">
      <alignment horizontal="center" vertical="center" wrapText="1"/>
    </xf>
    <xf numFmtId="0" fontId="49" fillId="18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7" fillId="0" borderId="0" xfId="0" applyFont="1" applyBorder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Border="1" applyAlignment="1">
      <alignment horizontal="center" vertical="center"/>
    </xf>
    <xf numFmtId="0" fontId="59" fillId="0" borderId="0" xfId="0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 applyBorder="1" applyAlignme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23" borderId="0" xfId="0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7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Fill="1" applyBorder="1" applyAlignment="1">
      <alignment vertical="center"/>
    </xf>
    <xf numFmtId="0" fontId="54" fillId="0" borderId="2" xfId="0" applyFont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0" fillId="12" borderId="0" xfId="0" applyFill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Fill="1" applyBorder="1" applyAlignment="1">
      <alignment horizontal="center" vertical="center"/>
    </xf>
    <xf numFmtId="0" fontId="63" fillId="9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65" fillId="0" borderId="0" xfId="0" applyFont="1" applyFill="1" applyAlignment="1">
      <alignment horizontal="left" vertical="center"/>
    </xf>
    <xf numFmtId="0" fontId="66" fillId="0" borderId="0" xfId="0" applyFont="1" applyFill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4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0" fillId="7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13" borderId="0" xfId="0" applyFont="1" applyFill="1" applyBorder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 applyFill="1" applyAlignment="1">
      <alignment vertical="center"/>
    </xf>
    <xf numFmtId="0" fontId="16" fillId="0" borderId="0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5" fillId="0" borderId="0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vertical="center"/>
    </xf>
    <xf numFmtId="0" fontId="25" fillId="0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2" fillId="0" borderId="2" xfId="0" applyFont="1" applyFill="1" applyBorder="1">
      <alignment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4" fillId="18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9" fillId="0" borderId="1" xfId="1" applyNumberFormat="1" applyFont="1" applyFill="1" applyBorder="1" applyAlignment="1">
      <alignment horizontal="center" vertical="center" shrinkToFit="1"/>
    </xf>
    <xf numFmtId="0" fontId="42" fillId="0" borderId="1" xfId="0" applyNumberFormat="1" applyFont="1" applyBorder="1" applyAlignment="1">
      <alignment horizontal="center" vertical="center" shrinkToFit="1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7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5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/>
    </xf>
    <xf numFmtId="0" fontId="18" fillId="0" borderId="1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71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shrinkToFit="1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 applyAlignment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4" xfId="0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11" borderId="14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8" borderId="1" xfId="0" applyFont="1" applyFill="1" applyBorder="1" applyAlignment="1">
      <alignment horizontal="center" vertical="center"/>
    </xf>
    <xf numFmtId="0" fontId="35" fillId="13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9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Fill="1" applyBorder="1" applyAlignment="1">
      <alignment horizontal="center" vertical="center"/>
    </xf>
    <xf numFmtId="0" fontId="68" fillId="0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67" fillId="0" borderId="1" xfId="0" applyFont="1" applyFill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8" borderId="1" xfId="0" applyFont="1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14" fontId="4" fillId="0" borderId="2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8" fillId="19" borderId="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4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2" fillId="25" borderId="3" xfId="0" applyFont="1" applyFill="1" applyBorder="1" applyAlignment="1">
      <alignment horizontal="center" vertical="center" wrapText="1"/>
    </xf>
    <xf numFmtId="0" fontId="62" fillId="25" borderId="4" xfId="0" applyFont="1" applyFill="1" applyBorder="1" applyAlignment="1">
      <alignment horizontal="center" vertical="center" wrapText="1"/>
    </xf>
    <xf numFmtId="0" fontId="39" fillId="25" borderId="3" xfId="0" applyFont="1" applyFill="1" applyBorder="1" applyAlignment="1">
      <alignment horizontal="center" vertical="center" wrapText="1"/>
    </xf>
    <xf numFmtId="0" fontId="39" fillId="25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Fill="1" applyBorder="1" applyAlignment="1">
      <alignment horizontal="center" vertical="center"/>
    </xf>
    <xf numFmtId="0" fontId="59" fillId="0" borderId="6" xfId="0" applyFont="1" applyFill="1" applyBorder="1" applyAlignment="1">
      <alignment horizontal="center" vertical="center"/>
    </xf>
    <xf numFmtId="0" fontId="59" fillId="0" borderId="7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70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/>
    </xf>
    <xf numFmtId="0" fontId="24" fillId="0" borderId="13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6" fillId="0" borderId="6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8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2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10</xdr:row>
      <xdr:rowOff>85725</xdr:rowOff>
    </xdr:from>
    <xdr:to>
      <xdr:col>2</xdr:col>
      <xdr:colOff>1628775</xdr:colOff>
      <xdr:row>10</xdr:row>
      <xdr:rowOff>819150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09650" y="6267450"/>
          <a:ext cx="1466850" cy="733425"/>
        </a:xfrm>
        <a:prstGeom prst="rect">
          <a:avLst/>
        </a:prstGeom>
      </xdr:spPr>
    </xdr:pic>
    <xdr:clientData/>
  </xdr:twoCellAnchor>
  <xdr:twoCellAnchor editAs="oneCell">
    <xdr:from>
      <xdr:col>2</xdr:col>
      <xdr:colOff>76201</xdr:colOff>
      <xdr:row>11</xdr:row>
      <xdr:rowOff>47625</xdr:rowOff>
    </xdr:from>
    <xdr:to>
      <xdr:col>2</xdr:col>
      <xdr:colOff>1703447</xdr:colOff>
      <xdr:row>11</xdr:row>
      <xdr:rowOff>752475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926" y="7019925"/>
          <a:ext cx="1627246" cy="704850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</xdr:colOff>
      <xdr:row>12</xdr:row>
      <xdr:rowOff>28575</xdr:rowOff>
    </xdr:from>
    <xdr:to>
      <xdr:col>2</xdr:col>
      <xdr:colOff>1647825</xdr:colOff>
      <xdr:row>12</xdr:row>
      <xdr:rowOff>728976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90600" y="7791450"/>
          <a:ext cx="1504950" cy="700401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13</xdr:row>
      <xdr:rowOff>0</xdr:rowOff>
    </xdr:from>
    <xdr:to>
      <xdr:col>2</xdr:col>
      <xdr:colOff>1562100</xdr:colOff>
      <xdr:row>13</xdr:row>
      <xdr:rowOff>712151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47751" y="8553450"/>
          <a:ext cx="1362074" cy="712151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133351</xdr:colOff>
      <xdr:row>14</xdr:row>
      <xdr:rowOff>66675</xdr:rowOff>
    </xdr:from>
    <xdr:to>
      <xdr:col>2</xdr:col>
      <xdr:colOff>1657351</xdr:colOff>
      <xdr:row>14</xdr:row>
      <xdr:rowOff>808275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1076" y="9410700"/>
          <a:ext cx="1524000" cy="7416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15</xdr:row>
      <xdr:rowOff>76201</xdr:rowOff>
    </xdr:from>
    <xdr:to>
      <xdr:col>2</xdr:col>
      <xdr:colOff>1704975</xdr:colOff>
      <xdr:row>15</xdr:row>
      <xdr:rowOff>701349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71551" y="10210801"/>
          <a:ext cx="1581149" cy="62514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4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4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246530</xdr:colOff>
          <xdr:row>0</xdr:row>
          <xdr:rowOff>448234</xdr:rowOff>
        </xdr:from>
        <xdr:to>
          <xdr:col>31</xdr:col>
          <xdr:colOff>392207</xdr:colOff>
          <xdr:row>3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5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010030" y="448234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5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5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C23"/>
  <sheetViews>
    <sheetView workbookViewId="0">
      <selection activeCell="B8" sqref="B8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</cols>
  <sheetData>
    <row r="1" spans="1:3" ht="24" customHeight="1" x14ac:dyDescent="0.3">
      <c r="A1" s="108" t="s">
        <v>37</v>
      </c>
      <c r="B1" s="224" t="s">
        <v>312</v>
      </c>
    </row>
    <row r="2" spans="1:3" ht="20.25" customHeight="1" x14ac:dyDescent="0.3">
      <c r="A2" s="115" t="s">
        <v>36</v>
      </c>
      <c r="B2" t="str">
        <f>"(와이드) 실측자료( " &amp; B1 &amp; " )"</f>
        <v>(와이드) 실측자료( 경기도 의정부 드림밸리아파트-4차 )</v>
      </c>
      <c r="C2" t="str">
        <f>"(와이드) 제작치수 자료( "&amp;B1&amp;" )"</f>
        <v>(와이드) 제작치수 자료( 경기도 의정부 드림밸리아파트-4차 )</v>
      </c>
    </row>
    <row r="3" spans="1:3" ht="20.25" customHeight="1" x14ac:dyDescent="0.3">
      <c r="A3" s="116" t="s">
        <v>38</v>
      </c>
      <c r="B3" t="str">
        <f>"(멍텅구리) 실측자료( " &amp; B1 &amp; " )"</f>
        <v>(멍텅구리) 실측자료( 경기도 의정부 드림밸리아파트-4차 )</v>
      </c>
      <c r="C3" t="str">
        <f>"(멍텅구리) 제작치수 자료( "&amp;B1&amp;" )"</f>
        <v>(멍텅구리) 제작치수 자료( 경기도 의정부 드림밸리아파트-4차 )</v>
      </c>
    </row>
    <row r="4" spans="1:3" ht="20.25" customHeight="1" x14ac:dyDescent="0.3">
      <c r="A4" s="125" t="s">
        <v>39</v>
      </c>
      <c r="B4" s="127" t="str">
        <f>"(쪽쟘) 실측자료( " &amp; B1 &amp; " )"</f>
        <v>(쪽쟘) 실측자료( 경기도 의정부 드림밸리아파트-4차 )</v>
      </c>
      <c r="C4" s="127" t="str">
        <f>"(쪽쟘) 제작치수 자료( "&amp;B1&amp;" )"</f>
        <v>(쪽쟘) 제작치수 자료( 경기도 의정부 드림밸리아파트-4차 )</v>
      </c>
    </row>
    <row r="5" spans="1:3" ht="84" customHeight="1" x14ac:dyDescent="0.3">
      <c r="A5" s="259" t="s">
        <v>299</v>
      </c>
      <c r="B5" s="261" t="s">
        <v>313</v>
      </c>
    </row>
    <row r="6" spans="1:3" ht="16.5" customHeight="1" x14ac:dyDescent="0.3">
      <c r="A6" s="108" t="s">
        <v>40</v>
      </c>
      <c r="B6" s="7" t="s">
        <v>314</v>
      </c>
    </row>
    <row r="7" spans="1:3" ht="16.5" customHeight="1" x14ac:dyDescent="0.3">
      <c r="A7" s="115" t="s">
        <v>194</v>
      </c>
      <c r="B7" s="225" t="s">
        <v>315</v>
      </c>
    </row>
    <row r="8" spans="1:3" ht="16.5" customHeight="1" x14ac:dyDescent="0.3">
      <c r="A8" s="126" t="s">
        <v>195</v>
      </c>
      <c r="B8" s="225" t="s">
        <v>300</v>
      </c>
    </row>
    <row r="9" spans="1:3" ht="16.5" customHeight="1" x14ac:dyDescent="0.3">
      <c r="A9" s="108" t="s">
        <v>196</v>
      </c>
      <c r="B9" s="225" t="s">
        <v>300</v>
      </c>
    </row>
    <row r="10" spans="1:3" ht="16.5" customHeight="1" x14ac:dyDescent="0.3">
      <c r="A10" s="162" t="s">
        <v>197</v>
      </c>
      <c r="B10" s="29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("&amp;와이드제작!V2&amp;"), A + ("&amp;와이드제작!Z3&amp;")"</f>
        <v>제작치수 반영 : MH + (2), JB/JD +(5 ),  늘어난치수K -(4),  C + (8),   U + (8), OP - (2), R - (2),  기둥차감 (4), A + (3)</v>
      </c>
      <c r="C10" s="291"/>
    </row>
    <row r="11" spans="1:3" ht="16.5" customHeight="1" x14ac:dyDescent="0.3">
      <c r="A11" s="163" t="s">
        <v>198</v>
      </c>
      <c r="B11" s="29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("&amp;멍텅제작!AA2&amp;"),  A + ("&amp;멍텅제작!W3&amp;")"</f>
        <v>제작치수 반영 : JB/JD +(5 ),  늘어난치수K -(4),  C + (8),  U +(8), OP - (2), R - (2),  기둥차감 (4),  A + (3)</v>
      </c>
      <c r="C11" s="291"/>
    </row>
    <row r="12" spans="1:3" ht="16.5" customHeight="1" x14ac:dyDescent="0.3">
      <c r="A12" s="163" t="s">
        <v>199</v>
      </c>
      <c r="B12" s="291" t="str">
        <f>"제작치수 반영 : JB/JD +(" &amp;쪽쟘제작!G3&amp; " ),  늘어난치수K -(" &amp;쪽쟘제작!I3&amp;"), OP - ("&amp; 쪽쟘제작!I3&amp;"),  기둥차감 ("&amp;쪽쟘제작!P3&amp;")"</f>
        <v>제작치수 반영 : JB/JD +(0 ),  늘어난치수K -(0), OP - (0),  기둥차감 (0)</v>
      </c>
      <c r="C12" s="291"/>
    </row>
    <row r="13" spans="1:3" ht="16.5" customHeight="1" x14ac:dyDescent="0.3">
      <c r="A13" s="163" t="s">
        <v>258</v>
      </c>
      <c r="B13" s="29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("&amp;SO와이드제작!Y2&amp;"),  A + ("&amp;SO와이드제작!AC3&amp;")"</f>
        <v>제작치수 반영 : MH + (2), JB/JD +(5 ),  늘어난치수K -(4),  C + (8),   U + (8), OP - (2), R - (2),  기둥차감 (0),  A + (3)</v>
      </c>
      <c r="C13" s="291"/>
    </row>
    <row r="14" spans="1:3" ht="16.5" customHeight="1" x14ac:dyDescent="0.3">
      <c r="A14" s="163" t="s">
        <v>259</v>
      </c>
      <c r="B14" s="29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("&amp;SO멍텅제작!AE2&amp;"), A + (" &amp;SO멍텅제작!Z3 &amp;")"</f>
        <v>제작치수 반영 : JB/JD +(5 ),  늘어난치수K -(4),  C + (8),  U +(8), OP1/OP2 - (2), R - (2),  기둥차감 (4), A + (3)</v>
      </c>
      <c r="C14" s="291"/>
    </row>
    <row r="15" spans="1:3" ht="16.5" customHeight="1" x14ac:dyDescent="0.3">
      <c r="A15" s="163" t="s">
        <v>264</v>
      </c>
      <c r="B15" s="29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-(4),  C + (8),   U + (8), OP1/OP3 - (2), R - (2),  기둥차감 - (4), A + (3)</v>
      </c>
      <c r="C15" s="291"/>
    </row>
    <row r="16" spans="1:3" ht="16.5" customHeight="1" x14ac:dyDescent="0.3">
      <c r="A16" s="163" t="s">
        <v>265</v>
      </c>
      <c r="B16" s="29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-(4),  C + (8),  U +(8), OP1/OP3 - (2), R - (2),  기둥차감 - (4), A + (3)</v>
      </c>
      <c r="C16" s="291"/>
    </row>
    <row r="17" spans="1:3" s="228" customFormat="1" ht="16.5" customHeight="1" x14ac:dyDescent="0.3">
      <c r="A17" s="163" t="s">
        <v>279</v>
      </c>
      <c r="B17" s="29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-(4),  C + (8),   U + (8), OP - (2), R - (2),  기둥차감 - (4), A + (3)</v>
      </c>
      <c r="C17" s="291"/>
    </row>
    <row r="18" spans="1:3" s="228" customFormat="1" ht="16.5" customHeight="1" x14ac:dyDescent="0.3">
      <c r="A18" s="163" t="s">
        <v>280</v>
      </c>
      <c r="B18" s="291" t="str">
        <f>"제작치수 반영 : JB/JD +(" &amp;'3UP제작'!L3&amp; " ),  늘어난치수K -(" &amp;'3UP제작'!AL2&amp;"),  C + ("&amp;'3UP제작'!R3&amp;"),   U + ("&amp;'3UP제작'!AE2&amp;"), OP - ("&amp; '3UP제작'!B2&amp;"), R - ("&amp;'3UP제작'!D2&amp;"),  기둥차감 - ("&amp;'3UP제작'!AE2&amp;"), A + (" &amp;'3UP제작'!AE3 &amp;")"</f>
        <v>제작치수 반영 : JB/JD +(5 ),  늘어난치수K -(4),  C + (8),   U + (8), OP - (2), R - (2),  기둥차감 - (8), A + (3)</v>
      </c>
      <c r="C18" s="291"/>
    </row>
    <row r="21" spans="1:3" x14ac:dyDescent="0.3">
      <c r="B21" t="s">
        <v>278</v>
      </c>
    </row>
    <row r="23" spans="1:3" ht="45.75" customHeight="1" x14ac:dyDescent="0.3">
      <c r="A23" s="40" t="s">
        <v>306</v>
      </c>
      <c r="B23" s="263" t="s">
        <v>311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data!$E$4:$E$13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data!$D$3:$D$22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7"/>
  <sheetViews>
    <sheetView topLeftCell="A4"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</row>
    <row r="2" spans="1:17" ht="19.5" customHeight="1" x14ac:dyDescent="0.3">
      <c r="A2" s="114">
        <f>IF('와이드(실측)'!C7&gt;0,1,0)</f>
        <v>1</v>
      </c>
      <c r="B2" s="114">
        <f>IF('멍텅(실측)'!C7&gt;1,1,0)</f>
        <v>0</v>
      </c>
      <c r="C2" s="114">
        <f>IF('쪽쟘(실측)'!C7&gt;1,1,0)</f>
        <v>1</v>
      </c>
      <c r="D2" s="114" t="str">
        <f>정보!B1</f>
        <v>경기도 의정부 드림밸리아파트-4차</v>
      </c>
      <c r="E2" s="114" t="str">
        <f>정보!B6</f>
        <v>박철우</v>
      </c>
      <c r="F2" s="114" t="str">
        <f>정보!B7</f>
        <v>VIB 1.2T</v>
      </c>
      <c r="G2" s="114" t="str">
        <f>정보!B8</f>
        <v>HL 1.2T</v>
      </c>
      <c r="H2" s="114" t="str">
        <f>정보!B9</f>
        <v>HL 1.2T</v>
      </c>
      <c r="I2" t="str">
        <f>정보!B5</f>
        <v>OTIS HIX-A162</v>
      </c>
      <c r="J2" s="158">
        <f ca="1">TODAY()</f>
        <v>44881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IF('2UP실측'!G7&gt;1,1,0)</f>
        <v>0</v>
      </c>
      <c r="P2">
        <f>IF('3UP실측'!G7&gt;1,1,0)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207</v>
      </c>
      <c r="E4" t="s">
        <v>224</v>
      </c>
    </row>
    <row r="5" spans="1:17" ht="60.75" customHeight="1" x14ac:dyDescent="0.3">
      <c r="D5" s="228" t="s">
        <v>305</v>
      </c>
      <c r="E5" t="s">
        <v>225</v>
      </c>
      <c r="G5" t="s">
        <v>307</v>
      </c>
    </row>
    <row r="6" spans="1:17" ht="60.75" customHeight="1" x14ac:dyDescent="0.3">
      <c r="D6" s="228" t="s">
        <v>210</v>
      </c>
      <c r="E6" t="s">
        <v>226</v>
      </c>
      <c r="G6" t="s">
        <v>308</v>
      </c>
    </row>
    <row r="7" spans="1:17" ht="60.75" customHeight="1" x14ac:dyDescent="0.3">
      <c r="D7" s="228" t="s">
        <v>211</v>
      </c>
      <c r="E7" t="s">
        <v>227</v>
      </c>
    </row>
    <row r="8" spans="1:17" ht="67.5" customHeight="1" x14ac:dyDescent="0.3">
      <c r="D8" s="228" t="s">
        <v>212</v>
      </c>
      <c r="E8" t="s">
        <v>228</v>
      </c>
    </row>
    <row r="9" spans="1:17" ht="62.25" customHeight="1" x14ac:dyDescent="0.3">
      <c r="D9" s="228" t="s">
        <v>298</v>
      </c>
      <c r="E9" t="s">
        <v>229</v>
      </c>
    </row>
    <row r="10" spans="1:17" ht="62.25" customHeight="1" x14ac:dyDescent="0.3">
      <c r="D10" s="228" t="s">
        <v>217</v>
      </c>
      <c r="E10" t="s">
        <v>230</v>
      </c>
    </row>
    <row r="11" spans="1:17" ht="71.25" customHeight="1" x14ac:dyDescent="0.3">
      <c r="D11" s="228" t="s">
        <v>218</v>
      </c>
      <c r="E11" t="s">
        <v>231</v>
      </c>
    </row>
    <row r="12" spans="1:17" ht="62.25" customHeight="1" x14ac:dyDescent="0.3">
      <c r="D12" s="228" t="s">
        <v>219</v>
      </c>
      <c r="E12" t="s">
        <v>309</v>
      </c>
    </row>
    <row r="13" spans="1:17" ht="62.25" customHeight="1" x14ac:dyDescent="0.3">
      <c r="D13" s="228" t="s">
        <v>220</v>
      </c>
      <c r="E13" t="s">
        <v>310</v>
      </c>
    </row>
    <row r="14" spans="1:17" ht="62.25" customHeight="1" x14ac:dyDescent="0.3">
      <c r="D14" s="228" t="s">
        <v>221</v>
      </c>
    </row>
    <row r="15" spans="1:17" ht="66.75" customHeight="1" x14ac:dyDescent="0.3">
      <c r="D15" s="228" t="s">
        <v>222</v>
      </c>
    </row>
    <row r="16" spans="1:17" ht="60.75" customHeight="1" x14ac:dyDescent="0.3">
      <c r="D16" s="228" t="s">
        <v>223</v>
      </c>
    </row>
    <row r="17" spans="4:4" x14ac:dyDescent="0.3">
      <c r="D17" s="22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opLeftCell="E1" zoomScale="85" zoomScaleNormal="85" workbookViewId="0">
      <selection activeCell="M16" sqref="M16"/>
    </sheetView>
  </sheetViews>
  <sheetFormatPr defaultRowHeight="16.5" x14ac:dyDescent="0.3"/>
  <cols>
    <col min="1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297" t="str">
        <f>정보!B2 &amp; "  " &amp; 정보!B6 &amp;" 소장"</f>
        <v>(와이드) 실측자료( 경기도 의정부 드림밸리아파트-4차 )  박철우 소장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60"/>
      <c r="Z1" s="260"/>
      <c r="AA1" s="260"/>
      <c r="AB1" s="260"/>
      <c r="AC1" s="260"/>
      <c r="AD1" s="260"/>
      <c r="AE1" s="260"/>
      <c r="AF1" s="260"/>
      <c r="AG1" s="260"/>
      <c r="AH1" s="110"/>
      <c r="AI1" s="110"/>
      <c r="AJ1" s="110"/>
    </row>
    <row r="2" spans="1:45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296"/>
      <c r="Z2" s="296"/>
      <c r="AA2" s="296"/>
      <c r="AB2" s="296"/>
      <c r="AC2" s="296"/>
      <c r="AD2" s="296"/>
      <c r="AE2" s="120"/>
      <c r="AF2" s="120"/>
      <c r="AG2" s="1"/>
      <c r="AH2" s="113"/>
      <c r="AI2" s="113"/>
      <c r="AJ2" s="113"/>
    </row>
    <row r="3" spans="1:45" ht="33" customHeight="1" x14ac:dyDescent="0.3">
      <c r="A3" s="9" t="str">
        <f>"현장명 : " &amp; 정보!B1 &amp; ",   (재질) : " &amp; 정보!B7</f>
        <v>현장명 : 경기도 의정부 드림밸리아파트-4차,   (재질) : VIB 1.2T</v>
      </c>
      <c r="B3" s="9"/>
      <c r="C3" s="2"/>
      <c r="D3" s="2"/>
      <c r="E3" s="2"/>
      <c r="F3" s="2"/>
      <c r="G3" s="2"/>
      <c r="H3" s="2"/>
      <c r="I3" s="2"/>
      <c r="J3" s="58"/>
      <c r="K3" s="58"/>
      <c r="L3" s="305" t="s">
        <v>99</v>
      </c>
      <c r="M3" s="305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296"/>
      <c r="Z3" s="296"/>
      <c r="AA3" s="296"/>
      <c r="AB3" s="296"/>
      <c r="AC3" s="296"/>
      <c r="AD3" s="296"/>
      <c r="AE3" s="57"/>
      <c r="AF3" s="57"/>
      <c r="AG3" s="57"/>
      <c r="AH3" s="57"/>
      <c r="AI3" s="57"/>
      <c r="AJ3" s="57"/>
    </row>
    <row r="4" spans="1:45" ht="33" customHeight="1" x14ac:dyDescent="0.3">
      <c r="A4" s="293" t="str">
        <f>정보!B10</f>
        <v>제작치수 반영 : MH + (2), JB/JD +(5 ),  늘어난치수K -(4),  C + (8),   U + (8), OP - (2), R - (2),  기둥차감 (4),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2"/>
      <c r="W4" s="292"/>
      <c r="X4" s="292"/>
      <c r="Y4" s="294"/>
      <c r="Z4" s="294"/>
      <c r="AA4" s="294"/>
      <c r="AB4" s="294"/>
      <c r="AC4" s="294"/>
      <c r="AD4" s="295"/>
      <c r="AE4" s="304" t="s">
        <v>216</v>
      </c>
      <c r="AF4" s="304"/>
      <c r="AG4" s="122"/>
      <c r="AH4" s="112"/>
      <c r="AI4" s="112"/>
      <c r="AJ4" s="112"/>
    </row>
    <row r="5" spans="1:45" ht="25.9" customHeight="1" x14ac:dyDescent="0.3">
      <c r="A5" s="298" t="s">
        <v>0</v>
      </c>
      <c r="B5" s="298" t="s">
        <v>1</v>
      </c>
      <c r="C5" s="298" t="s">
        <v>2</v>
      </c>
      <c r="D5" s="298" t="s">
        <v>24</v>
      </c>
      <c r="E5" s="298" t="s">
        <v>3</v>
      </c>
      <c r="F5" s="298" t="s">
        <v>18</v>
      </c>
      <c r="G5" s="298" t="s">
        <v>4</v>
      </c>
      <c r="H5" s="298" t="s">
        <v>5</v>
      </c>
      <c r="I5" s="298" t="s">
        <v>6</v>
      </c>
      <c r="J5" s="298" t="s">
        <v>7</v>
      </c>
      <c r="K5" s="306" t="s">
        <v>47</v>
      </c>
      <c r="L5" s="306" t="s">
        <v>9</v>
      </c>
      <c r="M5" s="298" t="s">
        <v>12</v>
      </c>
      <c r="N5" s="298" t="s">
        <v>13</v>
      </c>
      <c r="O5" s="298" t="s">
        <v>10</v>
      </c>
      <c r="P5" s="298" t="s">
        <v>11</v>
      </c>
      <c r="Q5" s="298" t="s">
        <v>14</v>
      </c>
      <c r="R5" s="298" t="s">
        <v>15</v>
      </c>
      <c r="S5" s="298" t="s">
        <v>16</v>
      </c>
      <c r="T5" s="298" t="s">
        <v>17</v>
      </c>
      <c r="U5" s="298" t="s">
        <v>19</v>
      </c>
      <c r="V5" s="299" t="s">
        <v>48</v>
      </c>
      <c r="W5" s="299" t="s">
        <v>22</v>
      </c>
      <c r="X5" s="299" t="s">
        <v>23</v>
      </c>
      <c r="Y5" s="298" t="s">
        <v>21</v>
      </c>
      <c r="Z5" s="298"/>
      <c r="AA5" s="298"/>
      <c r="AB5" s="298"/>
      <c r="AC5" s="300" t="s">
        <v>92</v>
      </c>
      <c r="AD5" s="300" t="s">
        <v>93</v>
      </c>
      <c r="AE5" s="302" t="s">
        <v>213</v>
      </c>
      <c r="AF5" s="303"/>
      <c r="AG5" s="299" t="s">
        <v>200</v>
      </c>
      <c r="AH5" s="299" t="s">
        <v>204</v>
      </c>
      <c r="AI5" s="299"/>
      <c r="AJ5" s="299"/>
    </row>
    <row r="6" spans="1:45" ht="44.25" customHeight="1" x14ac:dyDescent="0.3">
      <c r="A6" s="298"/>
      <c r="B6" s="298"/>
      <c r="C6" s="298"/>
      <c r="D6" s="298"/>
      <c r="E6" s="298"/>
      <c r="F6" s="298"/>
      <c r="G6" s="298"/>
      <c r="H6" s="298"/>
      <c r="I6" s="298"/>
      <c r="J6" s="298"/>
      <c r="K6" s="306"/>
      <c r="L6" s="306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9"/>
      <c r="X6" s="299"/>
      <c r="Y6" s="46" t="s">
        <v>43</v>
      </c>
      <c r="Z6" s="46" t="s">
        <v>44</v>
      </c>
      <c r="AA6" s="46" t="s">
        <v>45</v>
      </c>
      <c r="AB6" s="46" t="s">
        <v>46</v>
      </c>
      <c r="AC6" s="301"/>
      <c r="AD6" s="301"/>
      <c r="AE6" s="121" t="s">
        <v>214</v>
      </c>
      <c r="AF6" s="121" t="s">
        <v>215</v>
      </c>
      <c r="AG6" s="298"/>
      <c r="AH6" s="109" t="s">
        <v>201</v>
      </c>
      <c r="AI6" s="109" t="s">
        <v>202</v>
      </c>
      <c r="AJ6" s="109" t="s">
        <v>203</v>
      </c>
      <c r="AK6" s="81" t="s">
        <v>117</v>
      </c>
    </row>
    <row r="7" spans="1:45" s="47" customFormat="1" ht="23.25" customHeight="1" x14ac:dyDescent="0.3">
      <c r="A7" s="275" t="s">
        <v>316</v>
      </c>
      <c r="B7" s="227">
        <v>1</v>
      </c>
      <c r="C7" s="227">
        <v>280</v>
      </c>
      <c r="D7" s="227">
        <v>280</v>
      </c>
      <c r="E7" s="227">
        <v>901</v>
      </c>
      <c r="F7" s="227">
        <v>994</v>
      </c>
      <c r="G7" s="227">
        <v>263</v>
      </c>
      <c r="H7" s="227">
        <v>263</v>
      </c>
      <c r="I7" s="227">
        <v>278</v>
      </c>
      <c r="J7" s="227">
        <v>278</v>
      </c>
      <c r="K7" s="226">
        <v>25</v>
      </c>
      <c r="L7" s="226">
        <v>25</v>
      </c>
      <c r="M7" s="227">
        <v>10</v>
      </c>
      <c r="N7" s="227">
        <v>10</v>
      </c>
      <c r="O7" s="227">
        <v>14</v>
      </c>
      <c r="P7" s="227">
        <v>13</v>
      </c>
      <c r="Q7" s="227">
        <v>2103</v>
      </c>
      <c r="R7" s="227">
        <v>2098</v>
      </c>
      <c r="S7" s="227">
        <v>2103</v>
      </c>
      <c r="T7" s="227">
        <v>2097</v>
      </c>
      <c r="U7" s="227">
        <v>25</v>
      </c>
      <c r="V7" s="227">
        <v>5</v>
      </c>
      <c r="W7" s="227">
        <v>25</v>
      </c>
      <c r="X7" s="227">
        <v>25</v>
      </c>
      <c r="Y7" s="227">
        <v>14</v>
      </c>
      <c r="Z7" s="227">
        <v>10</v>
      </c>
      <c r="AA7" s="227">
        <v>14</v>
      </c>
      <c r="AB7" s="227">
        <v>12</v>
      </c>
      <c r="AC7" s="227"/>
      <c r="AD7" s="227"/>
      <c r="AE7" s="227"/>
      <c r="AF7" s="227"/>
      <c r="AG7" s="227">
        <v>100</v>
      </c>
      <c r="AH7" s="227">
        <v>15</v>
      </c>
      <c r="AI7" s="227">
        <v>10</v>
      </c>
      <c r="AJ7" s="227">
        <v>10</v>
      </c>
      <c r="AK7" s="82"/>
      <c r="AL7" s="85">
        <f>Y7+$AK7</f>
        <v>14</v>
      </c>
      <c r="AM7" s="85">
        <f>Z7+$AK7</f>
        <v>10</v>
      </c>
      <c r="AN7" s="85">
        <f>AA7+$AK7</f>
        <v>14</v>
      </c>
      <c r="AO7" s="85">
        <f>AB7+$AK7</f>
        <v>12</v>
      </c>
      <c r="AP7" s="85">
        <f>G7-$AK7</f>
        <v>263</v>
      </c>
      <c r="AQ7" s="85">
        <f>H7-$AK7</f>
        <v>263</v>
      </c>
      <c r="AR7" s="85">
        <f>I7-$AK7</f>
        <v>278</v>
      </c>
      <c r="AS7" s="85">
        <f>J7-$AK7</f>
        <v>278</v>
      </c>
    </row>
    <row r="8" spans="1:45" ht="23.25" customHeight="1" x14ac:dyDescent="0.3">
      <c r="A8" s="275" t="s">
        <v>318</v>
      </c>
      <c r="B8" s="238">
        <v>1</v>
      </c>
      <c r="C8" s="238">
        <v>280</v>
      </c>
      <c r="D8" s="238">
        <v>280</v>
      </c>
      <c r="E8" s="238">
        <v>902</v>
      </c>
      <c r="F8" s="238">
        <v>989</v>
      </c>
      <c r="G8" s="238">
        <v>249</v>
      </c>
      <c r="H8" s="238">
        <v>249</v>
      </c>
      <c r="I8" s="238">
        <v>263</v>
      </c>
      <c r="J8" s="238">
        <v>263</v>
      </c>
      <c r="K8" s="226">
        <v>25</v>
      </c>
      <c r="L8" s="226">
        <v>25</v>
      </c>
      <c r="M8" s="238">
        <v>10</v>
      </c>
      <c r="N8" s="238">
        <v>10</v>
      </c>
      <c r="O8" s="238">
        <v>13</v>
      </c>
      <c r="P8" s="238">
        <v>13</v>
      </c>
      <c r="Q8" s="238">
        <v>2108</v>
      </c>
      <c r="R8" s="238">
        <v>2093</v>
      </c>
      <c r="S8" s="238">
        <v>2109</v>
      </c>
      <c r="T8" s="238">
        <v>2094</v>
      </c>
      <c r="U8" s="238">
        <v>25</v>
      </c>
      <c r="V8" s="238">
        <v>0</v>
      </c>
      <c r="W8" s="238">
        <v>25</v>
      </c>
      <c r="X8" s="238">
        <v>25</v>
      </c>
      <c r="Y8" s="238">
        <v>15</v>
      </c>
      <c r="Z8" s="238">
        <v>15</v>
      </c>
      <c r="AA8" s="238">
        <v>15</v>
      </c>
      <c r="AB8" s="238">
        <v>15</v>
      </c>
      <c r="AC8" s="221"/>
      <c r="AD8" s="221"/>
      <c r="AE8" s="221"/>
      <c r="AF8" s="221"/>
      <c r="AG8" s="271">
        <v>100</v>
      </c>
      <c r="AH8" s="271">
        <v>15</v>
      </c>
      <c r="AI8" s="271">
        <v>10</v>
      </c>
      <c r="AJ8" s="271">
        <v>10</v>
      </c>
      <c r="AK8" s="82"/>
      <c r="AL8" s="273">
        <f t="shared" ref="AL8:AL12" si="0">Y8+$AK8</f>
        <v>15</v>
      </c>
      <c r="AM8" s="273">
        <f t="shared" ref="AM8:AM12" si="1">Z8+$AK8</f>
        <v>15</v>
      </c>
      <c r="AN8" s="273">
        <f t="shared" ref="AN8:AN12" si="2">AA8+$AK8</f>
        <v>15</v>
      </c>
      <c r="AO8" s="273">
        <f t="shared" ref="AO8:AO12" si="3">AB8+$AK8</f>
        <v>15</v>
      </c>
      <c r="AP8" s="273">
        <f t="shared" ref="AP8:AP12" si="4">G8-$AK8</f>
        <v>249</v>
      </c>
      <c r="AQ8" s="273">
        <f t="shared" ref="AQ8:AQ12" si="5">H8-$AK8</f>
        <v>249</v>
      </c>
      <c r="AR8" s="273">
        <f t="shared" ref="AR8:AR12" si="6">I8-$AK8</f>
        <v>263</v>
      </c>
      <c r="AS8" s="273">
        <f t="shared" ref="AS8:AS12" si="7">J8-$AK8</f>
        <v>263</v>
      </c>
    </row>
    <row r="9" spans="1:45" ht="23.25" customHeight="1" x14ac:dyDescent="0.3">
      <c r="A9" s="275" t="s">
        <v>319</v>
      </c>
      <c r="B9" s="159">
        <v>1</v>
      </c>
      <c r="C9" s="159">
        <v>290</v>
      </c>
      <c r="D9" s="159">
        <v>290</v>
      </c>
      <c r="E9" s="159">
        <v>899</v>
      </c>
      <c r="F9" s="159">
        <v>987</v>
      </c>
      <c r="G9" s="159">
        <v>243</v>
      </c>
      <c r="H9" s="159">
        <v>243</v>
      </c>
      <c r="I9" s="159">
        <v>258</v>
      </c>
      <c r="J9" s="159">
        <v>258</v>
      </c>
      <c r="K9" s="28">
        <v>25</v>
      </c>
      <c r="L9" s="28">
        <v>25</v>
      </c>
      <c r="M9" s="159">
        <v>10</v>
      </c>
      <c r="N9" s="159">
        <v>10</v>
      </c>
      <c r="O9" s="159">
        <v>14</v>
      </c>
      <c r="P9" s="159">
        <v>15</v>
      </c>
      <c r="Q9" s="159">
        <v>2104</v>
      </c>
      <c r="R9" s="159">
        <v>2097</v>
      </c>
      <c r="S9" s="159">
        <v>2101</v>
      </c>
      <c r="T9" s="159">
        <v>2096</v>
      </c>
      <c r="U9" s="159">
        <v>25</v>
      </c>
      <c r="V9" s="271">
        <v>0</v>
      </c>
      <c r="W9" s="268">
        <v>25</v>
      </c>
      <c r="X9" s="268">
        <v>25</v>
      </c>
      <c r="Y9" s="159">
        <v>16</v>
      </c>
      <c r="Z9" s="159">
        <v>16</v>
      </c>
      <c r="AA9" s="159">
        <v>14</v>
      </c>
      <c r="AB9" s="159">
        <v>14</v>
      </c>
      <c r="AC9" s="159"/>
      <c r="AD9" s="159"/>
      <c r="AE9" s="159"/>
      <c r="AF9" s="159"/>
      <c r="AG9" s="271">
        <v>100</v>
      </c>
      <c r="AH9" s="271">
        <v>15</v>
      </c>
      <c r="AI9" s="271">
        <v>10</v>
      </c>
      <c r="AJ9" s="271">
        <v>10</v>
      </c>
      <c r="AK9" s="82"/>
      <c r="AL9" s="273">
        <f t="shared" si="0"/>
        <v>16</v>
      </c>
      <c r="AM9" s="273">
        <f t="shared" si="1"/>
        <v>16</v>
      </c>
      <c r="AN9" s="273">
        <f t="shared" si="2"/>
        <v>14</v>
      </c>
      <c r="AO9" s="273">
        <f t="shared" si="3"/>
        <v>14</v>
      </c>
      <c r="AP9" s="273">
        <f t="shared" si="4"/>
        <v>243</v>
      </c>
      <c r="AQ9" s="273">
        <f t="shared" si="5"/>
        <v>243</v>
      </c>
      <c r="AR9" s="273">
        <f t="shared" si="6"/>
        <v>258</v>
      </c>
      <c r="AS9" s="273">
        <f t="shared" si="7"/>
        <v>258</v>
      </c>
    </row>
    <row r="10" spans="1:45" ht="23.25" customHeight="1" x14ac:dyDescent="0.3">
      <c r="A10" s="275" t="s">
        <v>321</v>
      </c>
      <c r="B10" s="130">
        <v>1</v>
      </c>
      <c r="C10" s="130">
        <v>265</v>
      </c>
      <c r="D10" s="130">
        <v>265</v>
      </c>
      <c r="E10" s="130">
        <v>903</v>
      </c>
      <c r="F10" s="130">
        <v>996</v>
      </c>
      <c r="G10" s="130">
        <v>265</v>
      </c>
      <c r="H10" s="130">
        <v>265</v>
      </c>
      <c r="I10" s="130">
        <v>279</v>
      </c>
      <c r="J10" s="130">
        <v>279</v>
      </c>
      <c r="K10" s="28">
        <v>25</v>
      </c>
      <c r="L10" s="28">
        <v>25</v>
      </c>
      <c r="M10" s="130">
        <v>10</v>
      </c>
      <c r="N10" s="130">
        <v>10</v>
      </c>
      <c r="O10" s="130">
        <v>9</v>
      </c>
      <c r="P10" s="130">
        <v>8</v>
      </c>
      <c r="Q10" s="130">
        <v>2107</v>
      </c>
      <c r="R10" s="130">
        <v>2098</v>
      </c>
      <c r="S10" s="130">
        <v>2107</v>
      </c>
      <c r="T10" s="130">
        <v>2098</v>
      </c>
      <c r="U10" s="130">
        <v>25</v>
      </c>
      <c r="V10" s="271">
        <v>0</v>
      </c>
      <c r="W10" s="130">
        <v>25</v>
      </c>
      <c r="X10" s="130">
        <v>25</v>
      </c>
      <c r="Y10" s="130">
        <v>14</v>
      </c>
      <c r="Z10" s="130">
        <v>16</v>
      </c>
      <c r="AA10" s="130">
        <v>19</v>
      </c>
      <c r="AB10" s="130">
        <v>19</v>
      </c>
      <c r="AC10" s="130"/>
      <c r="AD10" s="130"/>
      <c r="AE10" s="130"/>
      <c r="AF10" s="130"/>
      <c r="AG10" s="271">
        <v>100</v>
      </c>
      <c r="AH10" s="271">
        <v>15</v>
      </c>
      <c r="AI10" s="271">
        <v>10</v>
      </c>
      <c r="AJ10" s="271">
        <v>10</v>
      </c>
      <c r="AK10" s="82">
        <v>4</v>
      </c>
      <c r="AL10" s="273">
        <f t="shared" si="0"/>
        <v>18</v>
      </c>
      <c r="AM10" s="273">
        <f t="shared" si="1"/>
        <v>20</v>
      </c>
      <c r="AN10" s="273">
        <f t="shared" si="2"/>
        <v>23</v>
      </c>
      <c r="AO10" s="273">
        <f t="shared" si="3"/>
        <v>23</v>
      </c>
      <c r="AP10" s="273">
        <f t="shared" si="4"/>
        <v>261</v>
      </c>
      <c r="AQ10" s="273">
        <f t="shared" si="5"/>
        <v>261</v>
      </c>
      <c r="AR10" s="273">
        <f t="shared" si="6"/>
        <v>275</v>
      </c>
      <c r="AS10" s="273">
        <f t="shared" si="7"/>
        <v>275</v>
      </c>
    </row>
    <row r="11" spans="1:45" ht="23.25" customHeight="1" x14ac:dyDescent="0.3">
      <c r="A11" s="275" t="s">
        <v>322</v>
      </c>
      <c r="B11" s="68">
        <v>1</v>
      </c>
      <c r="C11" s="68">
        <v>280</v>
      </c>
      <c r="D11" s="68">
        <v>280</v>
      </c>
      <c r="E11" s="74">
        <v>901</v>
      </c>
      <c r="F11" s="74">
        <v>994</v>
      </c>
      <c r="G11" s="74">
        <v>263</v>
      </c>
      <c r="H11" s="74">
        <v>263</v>
      </c>
      <c r="I11" s="74">
        <v>278</v>
      </c>
      <c r="J11" s="86">
        <v>278</v>
      </c>
      <c r="K11" s="28">
        <v>25</v>
      </c>
      <c r="L11" s="28">
        <v>25</v>
      </c>
      <c r="M11" s="86">
        <v>6</v>
      </c>
      <c r="N11" s="86">
        <v>10</v>
      </c>
      <c r="O11" s="86">
        <v>9</v>
      </c>
      <c r="P11" s="86">
        <v>12</v>
      </c>
      <c r="Q11" s="86">
        <v>2103</v>
      </c>
      <c r="R11" s="86">
        <v>2097</v>
      </c>
      <c r="S11" s="86">
        <v>2104</v>
      </c>
      <c r="T11" s="86">
        <v>2098</v>
      </c>
      <c r="U11" s="86">
        <v>25</v>
      </c>
      <c r="V11" s="86">
        <v>5</v>
      </c>
      <c r="W11" s="68">
        <v>25</v>
      </c>
      <c r="X11" s="68">
        <v>25</v>
      </c>
      <c r="Y11" s="68">
        <v>15</v>
      </c>
      <c r="Z11" s="68">
        <v>10</v>
      </c>
      <c r="AA11" s="68">
        <v>18</v>
      </c>
      <c r="AB11" s="68">
        <v>15</v>
      </c>
      <c r="AC11" s="68"/>
      <c r="AD11" s="68"/>
      <c r="AE11" s="119"/>
      <c r="AF11" s="119"/>
      <c r="AG11" s="271">
        <v>100</v>
      </c>
      <c r="AH11" s="271">
        <v>15</v>
      </c>
      <c r="AI11" s="271">
        <v>10</v>
      </c>
      <c r="AJ11" s="271">
        <v>10</v>
      </c>
      <c r="AK11" s="82"/>
      <c r="AL11" s="273">
        <f t="shared" si="0"/>
        <v>15</v>
      </c>
      <c r="AM11" s="273">
        <f t="shared" si="1"/>
        <v>10</v>
      </c>
      <c r="AN11" s="273">
        <f t="shared" si="2"/>
        <v>18</v>
      </c>
      <c r="AO11" s="273">
        <f t="shared" si="3"/>
        <v>15</v>
      </c>
      <c r="AP11" s="273">
        <f t="shared" si="4"/>
        <v>263</v>
      </c>
      <c r="AQ11" s="273">
        <f t="shared" si="5"/>
        <v>263</v>
      </c>
      <c r="AR11" s="273">
        <f t="shared" si="6"/>
        <v>278</v>
      </c>
      <c r="AS11" s="273">
        <f t="shared" si="7"/>
        <v>278</v>
      </c>
    </row>
    <row r="12" spans="1:45" ht="23.25" customHeight="1" x14ac:dyDescent="0.3">
      <c r="A12" s="275" t="s">
        <v>324</v>
      </c>
      <c r="B12" s="68">
        <v>1</v>
      </c>
      <c r="C12" s="68">
        <v>275</v>
      </c>
      <c r="D12" s="68">
        <v>275</v>
      </c>
      <c r="E12" s="74">
        <v>901</v>
      </c>
      <c r="F12" s="74">
        <v>996</v>
      </c>
      <c r="G12" s="74">
        <v>269</v>
      </c>
      <c r="H12" s="74">
        <v>269</v>
      </c>
      <c r="I12" s="74">
        <v>283</v>
      </c>
      <c r="J12" s="86">
        <v>283</v>
      </c>
      <c r="K12" s="28">
        <v>25</v>
      </c>
      <c r="L12" s="28">
        <v>25</v>
      </c>
      <c r="M12" s="86">
        <v>10</v>
      </c>
      <c r="N12" s="86">
        <v>10</v>
      </c>
      <c r="O12" s="86">
        <v>9</v>
      </c>
      <c r="P12" s="86">
        <v>12</v>
      </c>
      <c r="Q12" s="86">
        <v>2103</v>
      </c>
      <c r="R12" s="86">
        <v>2097</v>
      </c>
      <c r="S12" s="86">
        <v>2104</v>
      </c>
      <c r="T12" s="86">
        <v>2099</v>
      </c>
      <c r="U12" s="86">
        <v>25</v>
      </c>
      <c r="V12" s="86">
        <v>0</v>
      </c>
      <c r="W12" s="68">
        <v>25</v>
      </c>
      <c r="X12" s="68">
        <v>25</v>
      </c>
      <c r="Y12" s="68">
        <v>17</v>
      </c>
      <c r="Z12" s="68">
        <v>13</v>
      </c>
      <c r="AA12" s="68">
        <v>19</v>
      </c>
      <c r="AB12" s="68">
        <v>14</v>
      </c>
      <c r="AC12" s="68"/>
      <c r="AD12" s="68"/>
      <c r="AE12" s="119"/>
      <c r="AF12" s="119"/>
      <c r="AG12" s="271">
        <v>100</v>
      </c>
      <c r="AH12" s="271">
        <v>15</v>
      </c>
      <c r="AI12" s="271">
        <v>10</v>
      </c>
      <c r="AJ12" s="271">
        <v>10</v>
      </c>
      <c r="AK12" s="82"/>
      <c r="AL12" s="273">
        <f t="shared" si="0"/>
        <v>17</v>
      </c>
      <c r="AM12" s="273">
        <f t="shared" si="1"/>
        <v>13</v>
      </c>
      <c r="AN12" s="273">
        <f t="shared" si="2"/>
        <v>19</v>
      </c>
      <c r="AO12" s="273">
        <f t="shared" si="3"/>
        <v>14</v>
      </c>
      <c r="AP12" s="273">
        <f t="shared" si="4"/>
        <v>269</v>
      </c>
      <c r="AQ12" s="273">
        <f t="shared" si="5"/>
        <v>269</v>
      </c>
      <c r="AR12" s="273">
        <f t="shared" si="6"/>
        <v>283</v>
      </c>
      <c r="AS12" s="273">
        <f t="shared" si="7"/>
        <v>283</v>
      </c>
    </row>
    <row r="13" spans="1:45" ht="23.25" customHeight="1" x14ac:dyDescent="0.3">
      <c r="A13" s="275"/>
      <c r="B13" s="68"/>
      <c r="C13" s="68"/>
      <c r="D13" s="68"/>
      <c r="E13" s="74"/>
      <c r="F13" s="74"/>
      <c r="G13" s="74"/>
      <c r="H13" s="74"/>
      <c r="I13" s="74"/>
      <c r="J13" s="86"/>
      <c r="K13" s="28"/>
      <c r="L13" s="28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68"/>
      <c r="X13" s="68"/>
      <c r="Y13" s="68"/>
      <c r="Z13" s="68"/>
      <c r="AA13" s="68"/>
      <c r="AB13" s="68"/>
      <c r="AC13" s="68"/>
      <c r="AD13" s="68"/>
      <c r="AE13" s="119"/>
      <c r="AF13" s="119"/>
      <c r="AG13" s="68"/>
      <c r="AH13" s="132"/>
      <c r="AI13" s="132"/>
      <c r="AJ13" s="132"/>
    </row>
    <row r="14" spans="1:45" ht="23.25" customHeight="1" x14ac:dyDescent="0.3">
      <c r="A14" s="275"/>
      <c r="B14" s="68"/>
      <c r="C14" s="68"/>
      <c r="D14" s="68"/>
      <c r="E14" s="74"/>
      <c r="F14" s="74"/>
      <c r="G14" s="74"/>
      <c r="H14" s="74"/>
      <c r="I14" s="74"/>
      <c r="J14" s="86"/>
      <c r="K14" s="28"/>
      <c r="L14" s="28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68"/>
      <c r="X14" s="68"/>
      <c r="Y14" s="68"/>
      <c r="Z14" s="68"/>
      <c r="AA14" s="68"/>
      <c r="AB14" s="68"/>
      <c r="AC14" s="68"/>
      <c r="AD14" s="68"/>
      <c r="AE14" s="119"/>
      <c r="AF14" s="119"/>
      <c r="AG14" s="68"/>
      <c r="AH14" s="132"/>
      <c r="AI14" s="132"/>
      <c r="AJ14" s="132"/>
    </row>
    <row r="15" spans="1:45" ht="23.25" customHeight="1" x14ac:dyDescent="0.3">
      <c r="A15" s="275"/>
      <c r="B15" s="68"/>
      <c r="C15" s="68"/>
      <c r="D15" s="68"/>
      <c r="E15" s="74"/>
      <c r="F15" s="74"/>
      <c r="G15" s="74"/>
      <c r="H15" s="74"/>
      <c r="I15" s="74"/>
      <c r="J15" s="86"/>
      <c r="K15" s="28"/>
      <c r="L15" s="28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68"/>
      <c r="X15" s="68"/>
      <c r="Y15" s="68"/>
      <c r="Z15" s="68"/>
      <c r="AA15" s="68"/>
      <c r="AB15" s="68"/>
      <c r="AC15" s="68"/>
      <c r="AD15" s="68"/>
      <c r="AE15" s="119"/>
      <c r="AF15" s="119"/>
      <c r="AG15" s="68"/>
      <c r="AH15" s="132"/>
      <c r="AI15" s="132"/>
      <c r="AJ15" s="132"/>
    </row>
    <row r="16" spans="1:45" ht="23.25" customHeight="1" x14ac:dyDescent="0.3">
      <c r="A16" s="275"/>
      <c r="B16" s="68"/>
      <c r="C16" s="68"/>
      <c r="D16" s="68"/>
      <c r="E16" s="74"/>
      <c r="F16" s="74"/>
      <c r="G16" s="74"/>
      <c r="H16" s="74"/>
      <c r="I16" s="74"/>
      <c r="J16" s="86"/>
      <c r="K16" s="28"/>
      <c r="L16" s="28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68"/>
      <c r="X16" s="68"/>
      <c r="Y16" s="68"/>
      <c r="Z16" s="68"/>
      <c r="AA16" s="68"/>
      <c r="AB16" s="68"/>
      <c r="AC16" s="68"/>
      <c r="AD16" s="68"/>
      <c r="AE16" s="119"/>
      <c r="AF16" s="119"/>
      <c r="AG16" s="68"/>
      <c r="AH16" s="132"/>
      <c r="AI16" s="132"/>
      <c r="AJ16" s="132"/>
    </row>
    <row r="17" spans="1:36" ht="23.25" customHeight="1" x14ac:dyDescent="0.3">
      <c r="A17" s="275"/>
      <c r="B17" s="68"/>
      <c r="C17" s="68"/>
      <c r="D17" s="68"/>
      <c r="E17" s="74"/>
      <c r="F17" s="74"/>
      <c r="G17" s="74"/>
      <c r="H17" s="74"/>
      <c r="I17" s="74"/>
      <c r="J17" s="86"/>
      <c r="K17" s="28"/>
      <c r="L17" s="28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68"/>
      <c r="X17" s="68"/>
      <c r="Y17" s="68"/>
      <c r="Z17" s="68"/>
      <c r="AA17" s="68"/>
      <c r="AB17" s="68"/>
      <c r="AC17" s="68"/>
      <c r="AD17" s="68"/>
      <c r="AE17" s="119"/>
      <c r="AF17" s="119"/>
      <c r="AG17" s="68"/>
      <c r="AH17" s="132"/>
      <c r="AI17" s="132"/>
      <c r="AJ17" s="132"/>
    </row>
    <row r="18" spans="1:36" ht="23.25" customHeight="1" x14ac:dyDescent="0.3">
      <c r="A18" s="275"/>
      <c r="B18" s="68"/>
      <c r="C18" s="68"/>
      <c r="D18" s="68"/>
      <c r="E18" s="74"/>
      <c r="F18" s="74"/>
      <c r="G18" s="74"/>
      <c r="H18" s="74"/>
      <c r="I18" s="74"/>
      <c r="J18" s="86"/>
      <c r="K18" s="28"/>
      <c r="L18" s="28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68"/>
      <c r="X18" s="68"/>
      <c r="Y18" s="68"/>
      <c r="Z18" s="68"/>
      <c r="AA18" s="68"/>
      <c r="AB18" s="68"/>
      <c r="AC18" s="68"/>
      <c r="AD18" s="68"/>
      <c r="AE18" s="119"/>
      <c r="AF18" s="119"/>
      <c r="AG18" s="68"/>
      <c r="AH18" s="132"/>
      <c r="AI18" s="132"/>
      <c r="AJ18" s="132"/>
    </row>
    <row r="19" spans="1:36" ht="23.25" customHeight="1" x14ac:dyDescent="0.3">
      <c r="A19" s="275"/>
      <c r="B19" s="68"/>
      <c r="C19" s="68"/>
      <c r="D19" s="68"/>
      <c r="E19" s="74"/>
      <c r="F19" s="74"/>
      <c r="G19" s="74"/>
      <c r="H19" s="74"/>
      <c r="I19" s="74"/>
      <c r="J19" s="86"/>
      <c r="K19" s="28"/>
      <c r="L19" s="28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68"/>
      <c r="X19" s="68"/>
      <c r="Y19" s="68"/>
      <c r="Z19" s="68"/>
      <c r="AA19" s="68"/>
      <c r="AB19" s="68"/>
      <c r="AC19" s="68"/>
      <c r="AD19" s="68"/>
      <c r="AE19" s="119"/>
      <c r="AF19" s="119"/>
      <c r="AG19" s="68"/>
      <c r="AH19" s="132"/>
      <c r="AI19" s="132"/>
      <c r="AJ19" s="132"/>
    </row>
    <row r="20" spans="1:36" ht="23.25" customHeight="1" x14ac:dyDescent="0.3">
      <c r="A20" s="275"/>
      <c r="B20" s="68"/>
      <c r="C20" s="68"/>
      <c r="D20" s="68"/>
      <c r="E20" s="74"/>
      <c r="F20" s="74"/>
      <c r="G20" s="74"/>
      <c r="H20" s="74"/>
      <c r="I20" s="74"/>
      <c r="J20" s="86"/>
      <c r="K20" s="28"/>
      <c r="L20" s="28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68"/>
      <c r="X20" s="68"/>
      <c r="Y20" s="68"/>
      <c r="Z20" s="68"/>
      <c r="AA20" s="68"/>
      <c r="AB20" s="68"/>
      <c r="AC20" s="68"/>
      <c r="AD20" s="68"/>
      <c r="AE20" s="119"/>
      <c r="AF20" s="119"/>
      <c r="AG20" s="68"/>
      <c r="AH20" s="132"/>
      <c r="AI20" s="132"/>
      <c r="AJ20" s="132"/>
    </row>
    <row r="21" spans="1:36" ht="23.25" customHeight="1" x14ac:dyDescent="0.3">
      <c r="A21" s="275"/>
      <c r="B21" s="68"/>
      <c r="C21" s="68"/>
      <c r="D21" s="68"/>
      <c r="E21" s="74"/>
      <c r="F21" s="74"/>
      <c r="G21" s="74"/>
      <c r="H21" s="74"/>
      <c r="I21" s="74"/>
      <c r="J21" s="74"/>
      <c r="K21" s="28"/>
      <c r="L21" s="28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68"/>
      <c r="X21" s="68"/>
      <c r="Y21" s="68"/>
      <c r="Z21" s="68"/>
      <c r="AA21" s="68"/>
      <c r="AB21" s="68"/>
      <c r="AC21" s="68"/>
      <c r="AD21" s="68"/>
      <c r="AE21" s="119"/>
      <c r="AF21" s="119"/>
      <c r="AG21" s="68"/>
      <c r="AH21" s="132"/>
      <c r="AI21" s="132"/>
      <c r="AJ21" s="132"/>
    </row>
    <row r="22" spans="1:36" ht="23.25" customHeight="1" x14ac:dyDescent="0.3">
      <c r="A22" s="274"/>
      <c r="B22" s="68"/>
      <c r="C22" s="68"/>
      <c r="D22" s="68"/>
      <c r="E22" s="74"/>
      <c r="F22" s="74"/>
      <c r="G22" s="74"/>
      <c r="H22" s="74"/>
      <c r="I22" s="74"/>
      <c r="J22" s="74"/>
      <c r="K22" s="28"/>
      <c r="L22" s="28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68"/>
      <c r="X22" s="68"/>
      <c r="Y22" s="68"/>
      <c r="Z22" s="68"/>
      <c r="AA22" s="68"/>
      <c r="AB22" s="68"/>
      <c r="AC22" s="68"/>
      <c r="AD22" s="68"/>
      <c r="AE22" s="119"/>
      <c r="AF22" s="119"/>
      <c r="AG22" s="68"/>
      <c r="AH22" s="132"/>
      <c r="AI22" s="132"/>
      <c r="AJ22" s="132"/>
    </row>
    <row r="23" spans="1:36" ht="23.25" customHeight="1" x14ac:dyDescent="0.3">
      <c r="A23" s="68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</row>
    <row r="24" spans="1:36" ht="23.25" customHeight="1" x14ac:dyDescent="0.3">
      <c r="A24" s="142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</row>
    <row r="25" spans="1:36" ht="23.25" customHeight="1" x14ac:dyDescent="0.3">
      <c r="A25" s="142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</row>
    <row r="26" spans="1:36" ht="23.25" customHeight="1" x14ac:dyDescent="0.3">
      <c r="A26" s="142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</row>
    <row r="27" spans="1:36" ht="23.25" customHeight="1" x14ac:dyDescent="0.3">
      <c r="A27" s="142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2"/>
  <sheetViews>
    <sheetView zoomScale="85" zoomScaleNormal="85" workbookViewId="0">
      <selection sqref="A1:AU1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63" customWidth="1"/>
    <col min="61" max="61" width="8.375" customWidth="1"/>
  </cols>
  <sheetData>
    <row r="1" spans="1:61" ht="70.5" customHeight="1" x14ac:dyDescent="0.3">
      <c r="A1" s="307" t="str">
        <f>정보!C2&amp;정보!B6</f>
        <v>(와이드) 제작치수 자료( 경기도 의정부 드림밸리아파트-4차 )박철우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60"/>
      <c r="AT1" s="60"/>
    </row>
    <row r="2" spans="1:61" ht="29.25" customHeight="1" x14ac:dyDescent="0.3">
      <c r="A2" s="48" t="s">
        <v>97</v>
      </c>
      <c r="B2" s="201">
        <v>2</v>
      </c>
      <c r="C2" s="51" t="s">
        <v>87</v>
      </c>
      <c r="D2" s="52">
        <v>2</v>
      </c>
      <c r="E2" s="49"/>
      <c r="F2" s="49" t="s">
        <v>88</v>
      </c>
      <c r="G2" s="53">
        <v>2</v>
      </c>
      <c r="H2" s="10"/>
      <c r="I2" s="356" t="s">
        <v>114</v>
      </c>
      <c r="J2" s="357"/>
      <c r="K2" s="357"/>
      <c r="L2" s="357"/>
      <c r="M2" s="358">
        <v>1</v>
      </c>
      <c r="N2" s="358"/>
      <c r="O2" s="324" t="s">
        <v>90</v>
      </c>
      <c r="P2" s="325"/>
      <c r="Q2" s="326">
        <v>8</v>
      </c>
      <c r="R2" s="326"/>
      <c r="S2" s="328" t="s">
        <v>84</v>
      </c>
      <c r="T2" s="329"/>
      <c r="U2" s="329"/>
      <c r="V2" s="330">
        <v>4</v>
      </c>
      <c r="W2" s="330"/>
      <c r="X2" s="351" t="s">
        <v>206</v>
      </c>
      <c r="Y2" s="352"/>
      <c r="Z2" s="355" t="str">
        <f>정보!B5</f>
        <v>OTIS HIX-A162</v>
      </c>
      <c r="AA2" s="355"/>
      <c r="AB2" s="355"/>
      <c r="AC2" s="355"/>
      <c r="AD2" s="355"/>
      <c r="AE2" s="355"/>
      <c r="AF2" s="355"/>
      <c r="AG2" s="355"/>
      <c r="AH2" s="353" t="s">
        <v>91</v>
      </c>
      <c r="AI2" s="354"/>
      <c r="AJ2" s="359">
        <v>4</v>
      </c>
      <c r="AK2" s="359"/>
      <c r="AL2" s="21"/>
      <c r="AM2" s="312" t="s">
        <v>236</v>
      </c>
      <c r="AN2" s="346"/>
      <c r="AO2" s="347">
        <v>0</v>
      </c>
      <c r="AP2" s="347"/>
      <c r="AQ2" s="113"/>
      <c r="AR2" s="113"/>
    </row>
    <row r="3" spans="1:61" ht="24.75" customHeight="1" x14ac:dyDescent="0.3">
      <c r="A3" s="50" t="str">
        <f>'와이드(실측)'!A3</f>
        <v>현장명 : 경기도 의정부 드림밸리아파트-4차,   (재질) : VIB 1.2T</v>
      </c>
      <c r="B3" s="2"/>
      <c r="C3" s="2"/>
      <c r="D3" s="2"/>
      <c r="E3" s="2"/>
      <c r="F3" s="2"/>
      <c r="G3" s="2"/>
      <c r="H3" s="2"/>
      <c r="I3" s="349" t="s">
        <v>235</v>
      </c>
      <c r="J3" s="349"/>
      <c r="K3" s="349"/>
      <c r="L3" s="349"/>
      <c r="M3" s="360">
        <v>5</v>
      </c>
      <c r="N3" s="360"/>
      <c r="O3" s="333" t="s">
        <v>78</v>
      </c>
      <c r="P3" s="333"/>
      <c r="Q3" s="334">
        <v>8</v>
      </c>
      <c r="R3" s="334"/>
      <c r="S3" s="335" t="s">
        <v>234</v>
      </c>
      <c r="T3" s="335"/>
      <c r="U3" s="335"/>
      <c r="V3" s="336">
        <f>BI7</f>
        <v>0</v>
      </c>
      <c r="W3" s="336"/>
      <c r="X3" s="327" t="s">
        <v>79</v>
      </c>
      <c r="Y3" s="327"/>
      <c r="Z3" s="337">
        <v>3</v>
      </c>
      <c r="AA3" s="337"/>
      <c r="AB3" s="3"/>
      <c r="AE3" s="338"/>
      <c r="AF3" s="338"/>
      <c r="AG3" s="200"/>
      <c r="AH3" s="350" t="s">
        <v>74</v>
      </c>
      <c r="AI3" s="350"/>
      <c r="AJ3" s="45">
        <v>4</v>
      </c>
      <c r="AK3" s="31" t="s">
        <v>75</v>
      </c>
      <c r="AL3" s="30">
        <v>4</v>
      </c>
      <c r="AM3" s="348" t="s">
        <v>237</v>
      </c>
      <c r="AN3" s="348"/>
      <c r="AO3" s="30"/>
      <c r="AP3" s="30"/>
      <c r="AQ3" s="30"/>
      <c r="AR3" s="30"/>
      <c r="BI3" s="308" t="s">
        <v>260</v>
      </c>
    </row>
    <row r="4" spans="1:61" ht="33" customHeight="1" x14ac:dyDescent="0.3">
      <c r="A4" s="341" t="str">
        <f>정보!B10</f>
        <v>제작치수 반영 : MH + (2), JB/JD +(5 ),  늘어난치수K -(4),  C + (8),   U + (8), OP - (2), R - (2),  기둥차감 (4), A + (3)</v>
      </c>
      <c r="B4" s="341"/>
      <c r="C4" s="341"/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1"/>
      <c r="U4" s="341"/>
      <c r="V4" s="341"/>
      <c r="W4" s="341"/>
      <c r="X4" s="341"/>
      <c r="Y4" s="341"/>
      <c r="Z4" s="341"/>
      <c r="AA4" s="341"/>
      <c r="AB4" s="341"/>
      <c r="AC4" s="341"/>
      <c r="AD4" s="341"/>
      <c r="AE4" s="341"/>
      <c r="AF4" s="341"/>
      <c r="AG4" s="368">
        <f ca="1">TODAY()</f>
        <v>44881</v>
      </c>
      <c r="AH4" s="292"/>
      <c r="AI4" s="292"/>
      <c r="AJ4" s="24"/>
      <c r="AK4" s="367" t="s">
        <v>118</v>
      </c>
      <c r="AL4" s="367"/>
      <c r="AM4" s="304" t="s">
        <v>216</v>
      </c>
      <c r="AN4" s="304"/>
      <c r="AO4" s="140"/>
      <c r="AP4" s="339" t="s">
        <v>242</v>
      </c>
      <c r="AQ4" s="339"/>
      <c r="AR4" s="340"/>
      <c r="BI4" s="309"/>
    </row>
    <row r="5" spans="1:61" ht="25.9" customHeight="1" x14ac:dyDescent="0.3">
      <c r="A5" s="298" t="s">
        <v>0</v>
      </c>
      <c r="B5" s="298" t="s">
        <v>1</v>
      </c>
      <c r="C5" s="298" t="s">
        <v>2</v>
      </c>
      <c r="D5" s="298" t="s">
        <v>2</v>
      </c>
      <c r="E5" s="298" t="s">
        <v>3</v>
      </c>
      <c r="F5" s="298" t="s">
        <v>18</v>
      </c>
      <c r="G5" s="306" t="s">
        <v>41</v>
      </c>
      <c r="H5" s="306" t="s">
        <v>42</v>
      </c>
      <c r="I5" s="342" t="s">
        <v>106</v>
      </c>
      <c r="J5" s="342" t="s">
        <v>107</v>
      </c>
      <c r="K5" s="363" t="s">
        <v>108</v>
      </c>
      <c r="L5" s="363" t="s">
        <v>109</v>
      </c>
      <c r="M5" s="365" t="s">
        <v>72</v>
      </c>
      <c r="N5" s="365" t="s">
        <v>73</v>
      </c>
      <c r="O5" s="298" t="s">
        <v>8</v>
      </c>
      <c r="P5" s="298" t="s">
        <v>9</v>
      </c>
      <c r="Q5" s="298" t="s">
        <v>12</v>
      </c>
      <c r="R5" s="298" t="s">
        <v>13</v>
      </c>
      <c r="S5" s="298" t="s">
        <v>10</v>
      </c>
      <c r="T5" s="298" t="s">
        <v>11</v>
      </c>
      <c r="U5" s="344" t="s">
        <v>14</v>
      </c>
      <c r="V5" s="344" t="s">
        <v>15</v>
      </c>
      <c r="W5" s="345" t="s">
        <v>16</v>
      </c>
      <c r="X5" s="345" t="s">
        <v>17</v>
      </c>
      <c r="Y5" s="298" t="s">
        <v>19</v>
      </c>
      <c r="Z5" s="298" t="s">
        <v>20</v>
      </c>
      <c r="AA5" s="299" t="s">
        <v>22</v>
      </c>
      <c r="AB5" s="299" t="s">
        <v>23</v>
      </c>
      <c r="AC5" s="331" t="s">
        <v>80</v>
      </c>
      <c r="AD5" s="332"/>
      <c r="AE5" s="332"/>
      <c r="AF5" s="332"/>
      <c r="AG5" s="322" t="s">
        <v>92</v>
      </c>
      <c r="AH5" s="322" t="s">
        <v>93</v>
      </c>
      <c r="AI5" s="310" t="s">
        <v>100</v>
      </c>
      <c r="AJ5" s="299" t="s">
        <v>62</v>
      </c>
      <c r="AK5" s="299" t="s">
        <v>34</v>
      </c>
      <c r="AL5" s="299" t="s">
        <v>35</v>
      </c>
      <c r="AM5" s="302" t="s">
        <v>213</v>
      </c>
      <c r="AN5" s="303"/>
      <c r="AO5" s="320" t="s">
        <v>200</v>
      </c>
      <c r="AP5" s="320" t="s">
        <v>205</v>
      </c>
      <c r="AQ5" s="320"/>
      <c r="AR5" s="320"/>
      <c r="AS5" s="313" t="s">
        <v>101</v>
      </c>
      <c r="AT5" s="313" t="s">
        <v>102</v>
      </c>
      <c r="AU5" s="309" t="s">
        <v>81</v>
      </c>
      <c r="AV5" s="315" t="s">
        <v>85</v>
      </c>
      <c r="AW5" s="318" t="s">
        <v>103</v>
      </c>
      <c r="AX5" s="317" t="s">
        <v>95</v>
      </c>
      <c r="AY5" s="317" t="s">
        <v>96</v>
      </c>
      <c r="AZ5" s="308" t="s">
        <v>94</v>
      </c>
      <c r="BC5" s="312" t="s">
        <v>28</v>
      </c>
      <c r="BD5" s="312"/>
      <c r="BE5" s="312" t="s">
        <v>29</v>
      </c>
      <c r="BF5" s="312"/>
      <c r="BG5" s="11" t="s">
        <v>50</v>
      </c>
      <c r="BH5" s="362" t="s">
        <v>105</v>
      </c>
      <c r="BI5" s="361" t="s">
        <v>233</v>
      </c>
    </row>
    <row r="6" spans="1:61" ht="48" customHeight="1" x14ac:dyDescent="0.3">
      <c r="A6" s="298"/>
      <c r="B6" s="298"/>
      <c r="C6" s="298"/>
      <c r="D6" s="298"/>
      <c r="E6" s="298"/>
      <c r="F6" s="298"/>
      <c r="G6" s="306"/>
      <c r="H6" s="306"/>
      <c r="I6" s="343"/>
      <c r="J6" s="343"/>
      <c r="K6" s="364"/>
      <c r="L6" s="364"/>
      <c r="M6" s="366"/>
      <c r="N6" s="366"/>
      <c r="O6" s="298"/>
      <c r="P6" s="298"/>
      <c r="Q6" s="298"/>
      <c r="R6" s="298"/>
      <c r="S6" s="298"/>
      <c r="T6" s="298"/>
      <c r="U6" s="344"/>
      <c r="V6" s="344"/>
      <c r="W6" s="345"/>
      <c r="X6" s="345"/>
      <c r="Y6" s="298"/>
      <c r="Z6" s="298"/>
      <c r="AA6" s="299"/>
      <c r="AB6" s="299"/>
      <c r="AC6" s="23" t="s">
        <v>68</v>
      </c>
      <c r="AD6" s="23" t="s">
        <v>69</v>
      </c>
      <c r="AE6" s="23" t="s">
        <v>70</v>
      </c>
      <c r="AF6" s="23" t="s">
        <v>71</v>
      </c>
      <c r="AG6" s="323"/>
      <c r="AH6" s="323"/>
      <c r="AI6" s="311"/>
      <c r="AJ6" s="299"/>
      <c r="AK6" s="298"/>
      <c r="AL6" s="298"/>
      <c r="AM6" s="121" t="s">
        <v>214</v>
      </c>
      <c r="AN6" s="121" t="s">
        <v>215</v>
      </c>
      <c r="AO6" s="321"/>
      <c r="AP6" s="207" t="s">
        <v>201</v>
      </c>
      <c r="AQ6" s="207" t="s">
        <v>202</v>
      </c>
      <c r="AR6" s="207" t="s">
        <v>203</v>
      </c>
      <c r="AS6" s="314"/>
      <c r="AT6" s="314"/>
      <c r="AU6" s="309"/>
      <c r="AV6" s="316"/>
      <c r="AW6" s="319"/>
      <c r="AX6" s="317"/>
      <c r="AY6" s="317"/>
      <c r="AZ6" s="309"/>
      <c r="BA6" s="4" t="s">
        <v>27</v>
      </c>
      <c r="BB6" s="4" t="s">
        <v>26</v>
      </c>
      <c r="BC6" s="64" t="s">
        <v>30</v>
      </c>
      <c r="BD6" s="64" t="s">
        <v>31</v>
      </c>
      <c r="BE6" s="64" t="s">
        <v>32</v>
      </c>
      <c r="BF6" s="64" t="s">
        <v>33</v>
      </c>
      <c r="BG6" s="12" t="s">
        <v>49</v>
      </c>
      <c r="BH6" s="362"/>
      <c r="BI6" s="361"/>
    </row>
    <row r="7" spans="1:61" ht="26.25" customHeight="1" x14ac:dyDescent="0.3">
      <c r="A7" s="54" t="str">
        <f>'와이드(실측)'!A7</f>
        <v>10-1</v>
      </c>
      <c r="B7" s="54" t="str">
        <f>'와이드(실측)'!B7&amp;"F"</f>
        <v>1F</v>
      </c>
      <c r="C7" s="54">
        <f>'와이드(실측)'!C7+와이드MH더함-IF(AND(소장="추영덕",Y7=0),1.2)</f>
        <v>282</v>
      </c>
      <c r="D7" s="54">
        <f>'와이드(실측)'!D7+와이드MH더함-IF(AND(소장="추영덕",Y7=0),1.2)</f>
        <v>282</v>
      </c>
      <c r="E7" s="54">
        <f>'와이드(실측)'!E7-와이드OP</f>
        <v>899</v>
      </c>
      <c r="F7" s="54">
        <f>'와이드(실측)'!F7-와이드R</f>
        <v>992</v>
      </c>
      <c r="G7" s="77">
        <f>'와이드(실측)'!G7+와이드JBJD키움치수+IF(BI7=1,AC7,0)</f>
        <v>268</v>
      </c>
      <c r="H7" s="77">
        <f>'와이드(실측)'!H7+와이드JBJD키움치수+IF(BI7=1,AE7,0)</f>
        <v>268</v>
      </c>
      <c r="I7" s="77">
        <f>'와이드(실측)'!I7+MAX(AS7,AT7)+와이드JBJD키움치수+IF(BI7=1,AC7,0)</f>
        <v>283</v>
      </c>
      <c r="J7" s="77">
        <f>'와이드(실측)'!I7+MAX(AS7,AT7)+와이드JBJD키움치수+IF(BI7=1,AD7,0)-IF(와이드JB하부늘치=1,'와이드(실측)'!Y7-'와이드(실측)'!Z7,0)</f>
        <v>279</v>
      </c>
      <c r="K7" s="77">
        <f>'와이드(실측)'!J7+MAX(AS7,AT7)+와이드JBJD키움치수+IF(BI7=1,AE7,0)</f>
        <v>283</v>
      </c>
      <c r="L7" s="77">
        <f>'와이드(실측)'!J7+MAX(AS7,AT7)+와이드JBJD키움치수+IF(BI7=1,AF7,0)-IF(와이드JB하부늘치=1,'와이드(실측)'!AA7-'와이드(실측)'!AB7,0)</f>
        <v>281</v>
      </c>
      <c r="M7" s="78">
        <f t="shared" ref="M7:N7" si="0">IF(소장="손상민",0,O7-1.5)</f>
        <v>31.5</v>
      </c>
      <c r="N7" s="78">
        <f t="shared" si="0"/>
        <v>31.5</v>
      </c>
      <c r="O7" s="78">
        <f>IF(S7&lt;9,'와이드(실측)'!K7+1.2,IF(ISNUMBER('와이드(실측)'!K7),'와이드(실측)'!K7+와이드C값,0))</f>
        <v>33</v>
      </c>
      <c r="P7" s="78">
        <f>IF(T7&lt;9,'와이드(실측)'!L7+1.2,IF(ISNUMBER('와이드(실측)'!L7),'와이드(실측)'!L7+와이드C값,0))</f>
        <v>33</v>
      </c>
      <c r="Q7" s="55">
        <f>IF(소장="손상민",'와이드(실측)'!M7,ROUNDUP(AV7,1)-0.6)</f>
        <v>10.3</v>
      </c>
      <c r="R7" s="62">
        <f>IF(소장="손상민",'와이드(실측)'!N7,ROUNDUP(AW7,1)-0.6)</f>
        <v>10.3</v>
      </c>
      <c r="S7" s="54">
        <f>IF(ISNUMBER('와이드(실측)'!O7),'와이드(실측)'!O7+와이드제작!AS7+와이드A늘림,0)</f>
        <v>17</v>
      </c>
      <c r="T7" s="54">
        <f>IF(ISNUMBER('와이드(실측)'!P7),'와이드(실측)'!P7+와이드제작!AT7+와이드A늘림,0)</f>
        <v>16</v>
      </c>
      <c r="U7" s="54">
        <f>'와이드(실측)'!Q7-와이드기둥차감</f>
        <v>2099</v>
      </c>
      <c r="V7" s="54">
        <f>'와이드(실측)'!R7-와이드기둥차감</f>
        <v>2094</v>
      </c>
      <c r="W7" s="54">
        <f>'와이드(실측)'!S7-와이드기둥차감</f>
        <v>2099</v>
      </c>
      <c r="X7" s="54">
        <f>'와이드(실측)'!T7-와이드기둥차감</f>
        <v>2093</v>
      </c>
      <c r="Y7" s="54">
        <f>IF(소장="손상민",IF(ISNUMBER('와이드(실측)'!U7),'와이드(실측)'!U7+1.2,0),IF(ISNUMBER('와이드(실측)'!U7),'와이드(실측)'!U7+와이드U,0))</f>
        <v>33</v>
      </c>
      <c r="Z7" s="54">
        <f>IF(소장="손상민",IF(ISNUMBER('와이드(실측)'!V7),'와이드(실측)'!V7+1.2,0),IF(ISNUMBER('와이드(실측)'!V7),'와이드(실측)'!V7+1.5+와이드제작!Q7+1,0))</f>
        <v>17.8</v>
      </c>
      <c r="AA7" s="54">
        <f>'와이드(실측)'!W7+뒷날개치수더함</f>
        <v>25</v>
      </c>
      <c r="AB7" s="54">
        <f>'와이드(실측)'!X7+뒷날개치수더함</f>
        <v>25</v>
      </c>
      <c r="AC7" s="78">
        <f>'와이드(실측)'!Y7-와이드늘치</f>
        <v>10</v>
      </c>
      <c r="AD7" s="78">
        <f>IF(와이드JB하부늘치=1,AC7,'와이드(실측)'!Z7-와이드늘치)</f>
        <v>10</v>
      </c>
      <c r="AE7" s="78">
        <f>'와이드(실측)'!AA7-와이드늘치</f>
        <v>10</v>
      </c>
      <c r="AF7" s="78">
        <f>IF(와이드JB하부늘치=1,AE7,'와이드(실측)'!AB7-와이드늘치)</f>
        <v>10</v>
      </c>
      <c r="AG7" s="54">
        <f xml:space="preserve"> IF(소장&lt;&gt;"손상민",IF('와이드(실측)'!AC7&gt;0,'와이드(실측)'!AC7,C7-1.2),IF('와이드(실측)'!AC7&gt;0,'와이드(실측)'!AC7+1.2,C7) )</f>
        <v>280.8</v>
      </c>
      <c r="AH7" s="54">
        <f xml:space="preserve"> IF(소장&lt;&gt;"손상민",IF('와이드(실측)'!AD7&gt;0,'와이드(실측)'!AD7,D7-1.2),IF('와이드(실측)'!AD7&gt;0,'와이드(실측)'!AD7+1.2,D7))</f>
        <v>280.8</v>
      </c>
      <c r="AI7" s="79">
        <f>IF(Z7&gt;0,Z7-MAX(Q7,R7),0)</f>
        <v>7.5</v>
      </c>
      <c r="AJ7" s="54" t="str">
        <f t="shared" ref="AJ7" si="1">BA7&amp;"*"&amp;BB7</f>
        <v>1055*631</v>
      </c>
      <c r="AK7" s="54" t="str">
        <f t="shared" ref="AK7" si="2">BD7&amp;"*"&amp;BC7</f>
        <v>2379.8*363.2</v>
      </c>
      <c r="AL7" s="54" t="str">
        <f t="shared" ref="AL7" si="3">BF7&amp;"*"&amp;BE7</f>
        <v>2379.8*362.2</v>
      </c>
      <c r="AM7" s="54">
        <f>IF('와이드(실측)'!AE7&gt;0,'와이드(실측)'!AE7-'와이드(실측)'!W7+1.2,0)</f>
        <v>0</v>
      </c>
      <c r="AN7" s="54">
        <f>IF('와이드(실측)'!AF7&gt;0,'와이드(실측)'!AF7-'와이드(실측)'!W7+1.2,0)</f>
        <v>0</v>
      </c>
      <c r="AO7" s="78">
        <f>'와이드(실측)'!AG7</f>
        <v>100</v>
      </c>
      <c r="AP7" s="78">
        <f>IF('와이드(실측)'!AH7&gt;5,'와이드(실측)'!AH7+뒷날개치수더함,'와이드(실측)'!AH7)</f>
        <v>15</v>
      </c>
      <c r="AQ7" s="78">
        <f>'와이드(실측)'!AI7</f>
        <v>10</v>
      </c>
      <c r="AR7" s="78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38">
        <f>DEGREES(ATAN((F7-E7)/2/(H7)))</f>
        <v>9.8432495507407474</v>
      </c>
      <c r="AV7" s="39">
        <f>ABS(G7-COS(RADIANS(AU7))*I7)</f>
        <v>10.833995379273006</v>
      </c>
      <c r="AW7" s="39">
        <f>ABS(H7-COS(RADIANS(AU7))*K7)</f>
        <v>10.833995379273006</v>
      </c>
      <c r="AX7" s="39">
        <f>'와이드(실측)'!M7+AS7</f>
        <v>10</v>
      </c>
      <c r="AY7" s="39">
        <f>'와이드(실측)'!N7+AS7</f>
        <v>10</v>
      </c>
      <c r="AZ7" s="38">
        <f>AV7-MAX(AX7,AY7)</f>
        <v>0.83399537927300571</v>
      </c>
      <c r="BA7" s="65">
        <f t="shared" ref="BA7:BA12" si="4">IF(소장&lt;&gt;"손상민",F7+IF(Y7+Z7&gt;0,N7+M7,0),F7)</f>
        <v>1055</v>
      </c>
      <c r="BB7" s="66">
        <f>MAX(C7,D7)+MAX(G7,H7)+AA7-1.2*$AJ$3+IF(BI7=0,MAX(AE7,AC7),0)+IF(Y7=0,1.2,0)+IF(Z7=0,1.2,0)+IF(소장&lt;&gt;"손상민", Y7+Z7,IF('와이드(실측)'!U7=0,0,2.4))</f>
        <v>631</v>
      </c>
      <c r="BC7" s="65">
        <f>S7+O7+MAX(I7,J7)+AB7-1.2*$AL$3+IF(BI7=0,MAX(AD7,AC7),0)+IF(S7=0,1.2,0)-IF(AR7=90,2.4,0)</f>
        <v>363.2</v>
      </c>
      <c r="BD7" s="65">
        <f>MAX(U7,V7)+AG7</f>
        <v>2379.8000000000002</v>
      </c>
      <c r="BE7" s="65">
        <f>T7+P7+MAX(K7,L7)+AB7-1.2*$AL$3+IF(BI7=0,MAX(AE7,AF7),0)+IF(T7=0,1.2,0)-IF(AR7=90,2.4,0)</f>
        <v>362.2</v>
      </c>
      <c r="BF7" s="65">
        <f>MAX(W7,X7)+AH7</f>
        <v>2379.8000000000002</v>
      </c>
      <c r="BG7" s="11">
        <f t="shared" ref="BG7" si="5">I7-G7-Q7</f>
        <v>4.6999999999999993</v>
      </c>
      <c r="BH7" s="67" t="str">
        <f>IF(AND(C7&lt;&gt;D7,Y7&gt;0),"NG","")</f>
        <v/>
      </c>
      <c r="BI7" s="131">
        <f>IF(AND(MIN(AC7,AE7)&gt;=9.2,F7-E7&gt;15),0,1)</f>
        <v>0</v>
      </c>
    </row>
    <row r="8" spans="1:61" s="228" customFormat="1" ht="26.25" customHeight="1" x14ac:dyDescent="0.3">
      <c r="A8" s="54" t="str">
        <f>'와이드(실측)'!A8</f>
        <v>10-2</v>
      </c>
      <c r="B8" s="54" t="str">
        <f>'와이드(실측)'!B8&amp;"F"</f>
        <v>1F</v>
      </c>
      <c r="C8" s="54">
        <f>'와이드(실측)'!C8+와이드MH더함-IF(AND(소장="추영덕",Y8=0),1.2)</f>
        <v>282</v>
      </c>
      <c r="D8" s="54">
        <f>'와이드(실측)'!D8+와이드MH더함-IF(AND(소장="추영덕",Y8=0),1.2)</f>
        <v>282</v>
      </c>
      <c r="E8" s="54">
        <f>'와이드(실측)'!E8-와이드OP</f>
        <v>900</v>
      </c>
      <c r="F8" s="54">
        <f>'와이드(실측)'!F8-와이드R</f>
        <v>987</v>
      </c>
      <c r="G8" s="77">
        <f>'와이드(실측)'!G8+와이드JBJD키움치수+IF(BI8=1,AC8,0)</f>
        <v>254</v>
      </c>
      <c r="H8" s="77">
        <f>'와이드(실측)'!H8+와이드JBJD키움치수+IF(BI8=1,AE8,0)</f>
        <v>254</v>
      </c>
      <c r="I8" s="77">
        <f>'와이드(실측)'!I8+MAX(AS8,AT8)+와이드JBJD키움치수+IF(BI8=1,AC8,0)</f>
        <v>268</v>
      </c>
      <c r="J8" s="77">
        <f>'와이드(실측)'!I8+MAX(AS8,AT8)+와이드JBJD키움치수+IF(BI8=1,AD8,0)-IF(와이드JB하부늘치=1,'와이드(실측)'!Y8-'와이드(실측)'!Z8,0)</f>
        <v>268</v>
      </c>
      <c r="K8" s="77">
        <f>'와이드(실측)'!J8+MAX(AS8,AT8)+와이드JBJD키움치수+IF(BI8=1,AE8,0)</f>
        <v>268</v>
      </c>
      <c r="L8" s="77">
        <f>'와이드(실측)'!J8+MAX(AS8,AT8)+와이드JBJD키움치수+IF(BI8=1,AF8,0)-IF(와이드JB하부늘치=1,'와이드(실측)'!AA8-'와이드(실측)'!AB8,0)</f>
        <v>268</v>
      </c>
      <c r="M8" s="78">
        <f t="shared" ref="M8" si="6">IF(소장="손상민",0,O8-1.5)</f>
        <v>31.5</v>
      </c>
      <c r="N8" s="78">
        <f t="shared" ref="N8" si="7">IF(소장="손상민",0,P8-1.5)</f>
        <v>31.5</v>
      </c>
      <c r="O8" s="78">
        <f>IF(S8&lt;9,'와이드(실측)'!K8+1.2,IF(ISNUMBER('와이드(실측)'!K8),'와이드(실측)'!K8+와이드C값,0))</f>
        <v>33</v>
      </c>
      <c r="P8" s="78">
        <f>IF(T8&lt;9,'와이드(실측)'!L8+1.2,IF(ISNUMBER('와이드(실측)'!L8),'와이드(실측)'!L8+와이드C값,0))</f>
        <v>33</v>
      </c>
      <c r="Q8" s="55">
        <f>IF(소장="손상민",'와이드(실측)'!M8,ROUNDUP(AV8,1)-0.6)</f>
        <v>9.6</v>
      </c>
      <c r="R8" s="62">
        <f>IF(소장="손상민",'와이드(실측)'!N8,ROUNDUP(AW8,1)-0.6)</f>
        <v>9.6</v>
      </c>
      <c r="S8" s="54">
        <f>IF(ISNUMBER('와이드(실측)'!O8),'와이드(실측)'!O8+와이드제작!AS8+와이드A늘림,0)</f>
        <v>16</v>
      </c>
      <c r="T8" s="276">
        <f>IF(ISNUMBER('와이드(실측)'!P8),'와이드(실측)'!P8+와이드제작!AT8+와이드A늘림,0)</f>
        <v>16</v>
      </c>
      <c r="U8" s="54">
        <f>'와이드(실측)'!Q8-와이드기둥차감</f>
        <v>2104</v>
      </c>
      <c r="V8" s="54">
        <f>'와이드(실측)'!R8-와이드기둥차감</f>
        <v>2089</v>
      </c>
      <c r="W8" s="54">
        <f>'와이드(실측)'!S8-와이드기둥차감</f>
        <v>2105</v>
      </c>
      <c r="X8" s="54">
        <f>'와이드(실측)'!T8-와이드기둥차감</f>
        <v>2090</v>
      </c>
      <c r="Y8" s="54">
        <f>IF(소장="손상민",IF(ISNUMBER('와이드(실측)'!U8),'와이드(실측)'!U8+1.2,0),IF(ISNUMBER('와이드(실측)'!U8),'와이드(실측)'!U8+와이드U,0))</f>
        <v>33</v>
      </c>
      <c r="Z8" s="54">
        <f>IF(소장="손상민",IF(ISNUMBER('와이드(실측)'!V8),'와이드(실측)'!V8+1.2,0),IF(ISNUMBER('와이드(실측)'!V8),'와이드(실측)'!V8+1.5+와이드제작!Q8+1,0))</f>
        <v>12.1</v>
      </c>
      <c r="AA8" s="54">
        <f>'와이드(실측)'!W8+뒷날개치수더함</f>
        <v>25</v>
      </c>
      <c r="AB8" s="54">
        <f>'와이드(실측)'!X8+뒷날개치수더함</f>
        <v>25</v>
      </c>
      <c r="AC8" s="78">
        <f>'와이드(실측)'!Y8-와이드늘치</f>
        <v>11</v>
      </c>
      <c r="AD8" s="78">
        <f>IF(와이드JB하부늘치=1,AC8,'와이드(실측)'!Z8-와이드늘치)</f>
        <v>11</v>
      </c>
      <c r="AE8" s="78">
        <f>'와이드(실측)'!AA8-와이드늘치</f>
        <v>11</v>
      </c>
      <c r="AF8" s="78">
        <f>IF(와이드JB하부늘치=1,AE8,'와이드(실측)'!AB8-와이드늘치)</f>
        <v>11</v>
      </c>
      <c r="AG8" s="54">
        <f xml:space="preserve"> IF(소장&lt;&gt;"손상민",IF('와이드(실측)'!AC8&gt;0,'와이드(실측)'!AC8,C8-1.2),IF('와이드(실측)'!AC8&gt;0,'와이드(실측)'!AC8+1.2,C8) )</f>
        <v>280.8</v>
      </c>
      <c r="AH8" s="54">
        <f xml:space="preserve"> IF(소장&lt;&gt;"손상민",IF('와이드(실측)'!AD8&gt;0,'와이드(실측)'!AD8,D8-1.2),IF('와이드(실측)'!AD8&gt;0,'와이드(실측)'!AD8+1.2,D8))</f>
        <v>280.8</v>
      </c>
      <c r="AI8" s="79">
        <f>IF(Z8&gt;0,Z8-MAX(Q8,R8),0)</f>
        <v>2.5</v>
      </c>
      <c r="AJ8" s="54" t="str">
        <f t="shared" ref="AJ8" si="8">BA8&amp;"*"&amp;BB8</f>
        <v>1050*612.3</v>
      </c>
      <c r="AK8" s="54" t="str">
        <f t="shared" ref="AK8" si="9">BD8&amp;"*"&amp;BC8</f>
        <v>2384.8*348.2</v>
      </c>
      <c r="AL8" s="54" t="str">
        <f t="shared" ref="AL8" si="10">BF8&amp;"*"&amp;BE8</f>
        <v>2385.8*348.2</v>
      </c>
      <c r="AM8" s="54">
        <f>IF('와이드(실측)'!AE8&gt;0,'와이드(실측)'!AE8-'와이드(실측)'!W8+1.2,0)</f>
        <v>0</v>
      </c>
      <c r="AN8" s="54">
        <f>IF('와이드(실측)'!AF8&gt;0,'와이드(실측)'!AF8-'와이드(실측)'!W8+1.2,0)</f>
        <v>0</v>
      </c>
      <c r="AO8" s="78">
        <f>'와이드(실측)'!AG8</f>
        <v>100</v>
      </c>
      <c r="AP8" s="78">
        <f>IF('와이드(실측)'!AH8&gt;5,'와이드(실측)'!AH8+뒷날개치수더함,'와이드(실측)'!AH8)</f>
        <v>15</v>
      </c>
      <c r="AQ8" s="78">
        <f>'와이드(실측)'!AI8</f>
        <v>10</v>
      </c>
      <c r="AR8" s="78">
        <f>'와이드(실측)'!AJ8</f>
        <v>10</v>
      </c>
      <c r="AS8" s="22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 s="22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38">
        <f>DEGREES(ATAN((F8-E8)/2/(H8)))</f>
        <v>9.7181868271638265</v>
      </c>
      <c r="AV8" s="39">
        <f>ABS(G8-COS(RADIANS(AU8))*I8)</f>
        <v>10.154183258292278</v>
      </c>
      <c r="AW8" s="39">
        <f>ABS(H8-COS(RADIANS(AU8))*K8)</f>
        <v>10.154183258292278</v>
      </c>
      <c r="AX8" s="39">
        <f>'와이드(실측)'!M8+AS8</f>
        <v>10</v>
      </c>
      <c r="AY8" s="39">
        <f>'와이드(실측)'!N8+AS8</f>
        <v>10</v>
      </c>
      <c r="AZ8" s="38">
        <f>AV8-MAX(AX8,AY8)</f>
        <v>0.15418325829227797</v>
      </c>
      <c r="BA8" s="65">
        <f t="shared" si="4"/>
        <v>1050</v>
      </c>
      <c r="BB8" s="66">
        <f>MAX(C8,D8)+MAX(G8,H8)+AA8-1.2*$AJ$3+IF(BI8=0,MAX(AE8,AC8),0)+IF(Y8=0,1.2,0)+IF(Z8=0,1.2,0)+IF(소장&lt;&gt;"손상민", Y8+Z8,IF('와이드(실측)'!U8=0,0,2.4))</f>
        <v>612.30000000000007</v>
      </c>
      <c r="BC8" s="65">
        <f>S8+O8+MAX(I8,J8)+AB8-1.2*$AL$3+IF(BI8=0,MAX(AD8,AC8),0)+IF(S8=0,1.2,0)-IF(AR8=90,2.4,0)</f>
        <v>348.2</v>
      </c>
      <c r="BD8" s="65">
        <f>MAX(U8,V8)+AG8</f>
        <v>2384.8000000000002</v>
      </c>
      <c r="BE8" s="65">
        <f>T8+P8+MAX(K8,L8)+AB8-1.2*$AL$3+IF(BI8=0,MAX(AE8,AF8),0)+IF(T8=0,1.2,0)-IF(AR8=90,2.4,0)</f>
        <v>348.2</v>
      </c>
      <c r="BF8" s="65">
        <f>MAX(W8,X8)+AH8</f>
        <v>2385.8000000000002</v>
      </c>
      <c r="BG8" s="11">
        <f t="shared" ref="BG8" si="11">I8-G8-Q8</f>
        <v>4.4000000000000004</v>
      </c>
      <c r="BH8" s="67" t="str">
        <f>IF(AND(C8&lt;&gt;D8,Y8&gt;0),"NG","")</f>
        <v/>
      </c>
      <c r="BI8" s="131">
        <f>IF(AND(MIN(AC8,AE8)&gt;=9.2,F8-E8&gt;15),0,1)</f>
        <v>0</v>
      </c>
    </row>
    <row r="9" spans="1:61" s="228" customFormat="1" ht="26.25" customHeight="1" x14ac:dyDescent="0.3">
      <c r="A9" s="54" t="str">
        <f>'와이드(실측)'!A9</f>
        <v>11-1</v>
      </c>
      <c r="B9" s="54" t="str">
        <f>'와이드(실측)'!B9&amp;"F"</f>
        <v>1F</v>
      </c>
      <c r="C9" s="54">
        <f>'와이드(실측)'!C9+와이드MH더함-IF(AND(소장="추영덕",Y9=0),1.2)</f>
        <v>292</v>
      </c>
      <c r="D9" s="54">
        <f>'와이드(실측)'!D9+와이드MH더함-IF(AND(소장="추영덕",Y9=0),1.2)</f>
        <v>292</v>
      </c>
      <c r="E9" s="54">
        <f>'와이드(실측)'!E9-와이드OP</f>
        <v>897</v>
      </c>
      <c r="F9" s="54">
        <f>'와이드(실측)'!F9-와이드R</f>
        <v>985</v>
      </c>
      <c r="G9" s="77">
        <f>'와이드(실측)'!G9+와이드JBJD키움치수+IF(BI9=1,AC9,0)</f>
        <v>248</v>
      </c>
      <c r="H9" s="77">
        <f>'와이드(실측)'!H9+와이드JBJD키움치수+IF(BI9=1,AE9,0)</f>
        <v>248</v>
      </c>
      <c r="I9" s="77">
        <f>'와이드(실측)'!I9+MAX(AS9,AT9)+와이드JBJD키움치수+IF(BI9=1,AC9,0)</f>
        <v>263</v>
      </c>
      <c r="J9" s="77">
        <f>'와이드(실측)'!I9+MAX(AS9,AT9)+와이드JBJD키움치수+IF(BI9=1,AD9,0)-IF(와이드JB하부늘치=1,'와이드(실측)'!Y9-'와이드(실측)'!Z9,0)</f>
        <v>263</v>
      </c>
      <c r="K9" s="77">
        <f>'와이드(실측)'!J9+MAX(AS9,AT9)+와이드JBJD키움치수+IF(BI9=1,AE9,0)</f>
        <v>263</v>
      </c>
      <c r="L9" s="77">
        <f>'와이드(실측)'!J9+MAX(AS9,AT9)+와이드JBJD키움치수+IF(BI9=1,AF9,0)-IF(와이드JB하부늘치=1,'와이드(실측)'!AA9-'와이드(실측)'!AB9,0)</f>
        <v>263</v>
      </c>
      <c r="M9" s="78">
        <f t="shared" ref="M9" si="12">IF(소장="손상민",0,O9-1.5)</f>
        <v>31.5</v>
      </c>
      <c r="N9" s="78">
        <f t="shared" ref="N9" si="13">IF(소장="손상민",0,P9-1.5)</f>
        <v>31.5</v>
      </c>
      <c r="O9" s="78">
        <f>IF(S9&lt;9,'와이드(실측)'!K9+1.2,IF(ISNUMBER('와이드(실측)'!K9),'와이드(실측)'!K9+와이드C값,0))</f>
        <v>33</v>
      </c>
      <c r="P9" s="78">
        <f>IF(T9&lt;9,'와이드(실측)'!L9+1.2,IF(ISNUMBER('와이드(실측)'!L9),'와이드(실측)'!L9+와이드C값,0))</f>
        <v>33</v>
      </c>
      <c r="Q9" s="55">
        <f>IF(소장="손상민",'와이드(실측)'!M9,ROUNDUP(AV9,1)-0.6)</f>
        <v>10.4</v>
      </c>
      <c r="R9" s="62">
        <f>IF(소장="손상민",'와이드(실측)'!N9,ROUNDUP(AW9,1)-0.6)</f>
        <v>10.4</v>
      </c>
      <c r="S9" s="54">
        <f>IF(ISNUMBER('와이드(실측)'!O9),'와이드(실측)'!O9+와이드제작!AS9+와이드A늘림,0)</f>
        <v>17</v>
      </c>
      <c r="T9" s="54">
        <f>IF(ISNUMBER('와이드(실측)'!P9),'와이드(실측)'!P9+와이드제작!AT9+와이드A늘림,0)</f>
        <v>18</v>
      </c>
      <c r="U9" s="54">
        <f>'와이드(실측)'!Q9-와이드기둥차감</f>
        <v>2100</v>
      </c>
      <c r="V9" s="54">
        <f>'와이드(실측)'!R9-와이드기둥차감</f>
        <v>2093</v>
      </c>
      <c r="W9" s="54">
        <f>'와이드(실측)'!S9-와이드기둥차감</f>
        <v>2097</v>
      </c>
      <c r="X9" s="54">
        <f>'와이드(실측)'!T9-와이드기둥차감</f>
        <v>2092</v>
      </c>
      <c r="Y9" s="54">
        <f>IF(소장="손상민",IF(ISNUMBER('와이드(실측)'!U9),'와이드(실측)'!U9+1.2,0),IF(ISNUMBER('와이드(실측)'!U9),'와이드(실측)'!U9+와이드U,0))</f>
        <v>33</v>
      </c>
      <c r="Z9" s="54">
        <f>IF(소장="손상민",IF(ISNUMBER('와이드(실측)'!V9),'와이드(실측)'!V9+1.2,0),IF(ISNUMBER('와이드(실측)'!V9),'와이드(실측)'!V9+1.5+와이드제작!Q9+1,0))</f>
        <v>12.9</v>
      </c>
      <c r="AA9" s="54">
        <f>'와이드(실측)'!W9+뒷날개치수더함</f>
        <v>25</v>
      </c>
      <c r="AB9" s="54">
        <f>'와이드(실측)'!X9+뒷날개치수더함</f>
        <v>25</v>
      </c>
      <c r="AC9" s="78">
        <f>'와이드(실측)'!Y9-와이드늘치</f>
        <v>12</v>
      </c>
      <c r="AD9" s="78">
        <f>IF(와이드JB하부늘치=1,AC9,'와이드(실측)'!Z9-와이드늘치)</f>
        <v>12</v>
      </c>
      <c r="AE9" s="78">
        <f>'와이드(실측)'!AA9-와이드늘치</f>
        <v>10</v>
      </c>
      <c r="AF9" s="78">
        <f>IF(와이드JB하부늘치=1,AE9,'와이드(실측)'!AB9-와이드늘치)</f>
        <v>10</v>
      </c>
      <c r="AG9" s="54">
        <f xml:space="preserve"> IF(소장&lt;&gt;"손상민",IF('와이드(실측)'!AC9&gt;0,'와이드(실측)'!AC9,C9-1.2),IF('와이드(실측)'!AC9&gt;0,'와이드(실측)'!AC9+1.2,C9) )</f>
        <v>290.8</v>
      </c>
      <c r="AH9" s="54">
        <f xml:space="preserve"> IF(소장&lt;&gt;"손상민",IF('와이드(실측)'!AD9&gt;0,'와이드(실측)'!AD9,D9-1.2),IF('와이드(실측)'!AD9&gt;0,'와이드(실측)'!AD9+1.2,D9))</f>
        <v>290.8</v>
      </c>
      <c r="AI9" s="79">
        <f>IF(Z9&gt;0,Z9-MAX(Q9,R9),0)</f>
        <v>2.5</v>
      </c>
      <c r="AJ9" s="54" t="str">
        <f t="shared" ref="AJ9" si="14">BA9&amp;"*"&amp;BB9</f>
        <v>1048*618.1</v>
      </c>
      <c r="AK9" s="54" t="str">
        <f t="shared" ref="AK9" si="15">BD9&amp;"*"&amp;BC9</f>
        <v>2390.8*345.2</v>
      </c>
      <c r="AL9" s="54" t="str">
        <f t="shared" ref="AL9" si="16">BF9&amp;"*"&amp;BE9</f>
        <v>2387.8*344.2</v>
      </c>
      <c r="AM9" s="54">
        <f>IF('와이드(실측)'!AE9&gt;0,'와이드(실측)'!AE9-'와이드(실측)'!W9+1.2,0)</f>
        <v>0</v>
      </c>
      <c r="AN9" s="54">
        <f>IF('와이드(실측)'!AF9&gt;0,'와이드(실측)'!AF9-'와이드(실측)'!W9+1.2,0)</f>
        <v>0</v>
      </c>
      <c r="AO9" s="78">
        <f>'와이드(실측)'!AG9</f>
        <v>100</v>
      </c>
      <c r="AP9" s="78">
        <f>IF('와이드(실측)'!AH9&gt;5,'와이드(실측)'!AH9+뒷날개치수더함,'와이드(실측)'!AH9)</f>
        <v>15</v>
      </c>
      <c r="AQ9" s="78">
        <f>'와이드(실측)'!AI9</f>
        <v>10</v>
      </c>
      <c r="AR9" s="78">
        <f>'와이드(실측)'!AJ9</f>
        <v>10</v>
      </c>
      <c r="AS9" s="228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 s="228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38">
        <f>DEGREES(ATAN((F9-E9)/2/(H9)))</f>
        <v>10.060689795322972</v>
      </c>
      <c r="AV9" s="39">
        <f>ABS(G9-COS(RADIANS(AU9))*I9)</f>
        <v>10.955918970266396</v>
      </c>
      <c r="AW9" s="39">
        <f>ABS(H9-COS(RADIANS(AU9))*K9)</f>
        <v>10.955918970266396</v>
      </c>
      <c r="AX9" s="39">
        <f>'와이드(실측)'!M9+AS9</f>
        <v>10</v>
      </c>
      <c r="AY9" s="39">
        <f>'와이드(실측)'!N9+AS9</f>
        <v>10</v>
      </c>
      <c r="AZ9" s="38">
        <f>AV9-MAX(AX9,AY9)</f>
        <v>0.95591897026639572</v>
      </c>
      <c r="BA9" s="65">
        <f t="shared" si="4"/>
        <v>1048</v>
      </c>
      <c r="BB9" s="66">
        <f>MAX(C9,D9)+MAX(G9,H9)+AA9-1.2*$AJ$3+IF(BI9=0,MAX(AE9,AC9),0)+IF(Y9=0,1.2,0)+IF(Z9=0,1.2,0)+IF(소장&lt;&gt;"손상민", Y9+Z9,IF('와이드(실측)'!U9=0,0,2.4))</f>
        <v>618.1</v>
      </c>
      <c r="BC9" s="65">
        <f>S9+O9+MAX(I9,J9)+AB9-1.2*$AL$3+IF(BI9=0,MAX(AD9,AC9),0)+IF(S9=0,1.2,0)-IF(AR9=90,2.4,0)</f>
        <v>345.2</v>
      </c>
      <c r="BD9" s="65">
        <f>MAX(U9,V9)+AG9</f>
        <v>2390.8000000000002</v>
      </c>
      <c r="BE9" s="65">
        <f>T9+P9+MAX(K9,L9)+AB9-1.2*$AL$3+IF(BI9=0,MAX(AE9,AF9),0)+IF(T9=0,1.2,0)-IF(AR9=90,2.4,0)</f>
        <v>344.2</v>
      </c>
      <c r="BF9" s="65">
        <f>MAX(W9,X9)+AH9</f>
        <v>2387.8000000000002</v>
      </c>
      <c r="BG9" s="11">
        <f t="shared" ref="BG9" si="17">I9-G9-Q9</f>
        <v>4.5999999999999996</v>
      </c>
      <c r="BH9" s="67" t="str">
        <f>IF(AND(C9&lt;&gt;D9,Y9&gt;0),"NG","")</f>
        <v/>
      </c>
      <c r="BI9" s="131">
        <f>IF(AND(MIN(AC9,AE9)&gt;=9.2,F9-E9&gt;15),0,1)</f>
        <v>0</v>
      </c>
    </row>
    <row r="10" spans="1:61" s="228" customFormat="1" ht="26.25" customHeight="1" x14ac:dyDescent="0.3">
      <c r="A10" s="54" t="str">
        <f>'와이드(실측)'!A10</f>
        <v>11-2</v>
      </c>
      <c r="B10" s="54" t="str">
        <f>'와이드(실측)'!B10&amp;"F"</f>
        <v>1F</v>
      </c>
      <c r="C10" s="54">
        <f>'와이드(실측)'!C10+와이드MH더함-IF(AND(소장="추영덕",Y10=0),1.2)</f>
        <v>267</v>
      </c>
      <c r="D10" s="54">
        <f>'와이드(실측)'!D10+와이드MH더함-IF(AND(소장="추영덕",Y10=0),1.2)</f>
        <v>267</v>
      </c>
      <c r="E10" s="54">
        <f>'와이드(실측)'!E10-와이드OP</f>
        <v>901</v>
      </c>
      <c r="F10" s="54">
        <f>'와이드(실측)'!F10-와이드R</f>
        <v>994</v>
      </c>
      <c r="G10" s="77">
        <f>'와이드(실측)'!G10+와이드JBJD키움치수+IF(BI10=1,AC10,0)</f>
        <v>270</v>
      </c>
      <c r="H10" s="77">
        <f>'와이드(실측)'!H10+와이드JBJD키움치수+IF(BI10=1,AE10,0)</f>
        <v>270</v>
      </c>
      <c r="I10" s="77">
        <f>'와이드(실측)'!I10+MAX(AS10,AT10)+와이드JBJD키움치수+IF(BI10=1,AC10,0)</f>
        <v>284</v>
      </c>
      <c r="J10" s="77">
        <f>'와이드(실측)'!I10+MAX(AS10,AT10)+와이드JBJD키움치수+IF(BI10=1,AD10,0)-IF(와이드JB하부늘치=1,'와이드(실측)'!Y10-'와이드(실측)'!Z10,0)</f>
        <v>286</v>
      </c>
      <c r="K10" s="77">
        <f>'와이드(실측)'!J10+MAX(AS10,AT10)+와이드JBJD키움치수+IF(BI10=1,AE10,0)</f>
        <v>284</v>
      </c>
      <c r="L10" s="77">
        <f>'와이드(실측)'!J10+MAX(AS10,AT10)+와이드JBJD키움치수+IF(BI10=1,AF10,0)-IF(와이드JB하부늘치=1,'와이드(실측)'!AA10-'와이드(실측)'!AB10,0)</f>
        <v>284</v>
      </c>
      <c r="M10" s="78">
        <f t="shared" ref="M10:M12" si="18">IF(소장="손상민",0,O10-1.5)</f>
        <v>31.5</v>
      </c>
      <c r="N10" s="78">
        <f t="shared" ref="N10:N12" si="19">IF(소장="손상민",0,P10-1.5)</f>
        <v>31.5</v>
      </c>
      <c r="O10" s="78">
        <f>IF(S10&lt;9,'와이드(실측)'!K10+1.2,IF(ISNUMBER('와이드(실측)'!K10),'와이드(실측)'!K10+와이드C값,0))</f>
        <v>33</v>
      </c>
      <c r="P10" s="78">
        <f>IF(T10&lt;9,'와이드(실측)'!L10+1.2,IF(ISNUMBER('와이드(실측)'!L10),'와이드(실측)'!L10+와이드C값,0))</f>
        <v>33</v>
      </c>
      <c r="Q10" s="55">
        <f>IF(소장="손상민",'와이드(실측)'!M10,ROUNDUP(AV10,1)-0.6)</f>
        <v>9.3000000000000007</v>
      </c>
      <c r="R10" s="62">
        <f>IF(소장="손상민",'와이드(실측)'!N10,ROUNDUP(AW10,1)-0.6)</f>
        <v>9.3000000000000007</v>
      </c>
      <c r="S10" s="54">
        <f>IF(ISNUMBER('와이드(실측)'!O10),'와이드(실측)'!O10+와이드제작!AS10+와이드A늘림,0)</f>
        <v>12</v>
      </c>
      <c r="T10" s="54">
        <f>IF(ISNUMBER('와이드(실측)'!P10),'와이드(실측)'!P10+와이드제작!AT10+와이드A늘림,0)</f>
        <v>11</v>
      </c>
      <c r="U10" s="54">
        <f>'와이드(실측)'!Q10-와이드기둥차감</f>
        <v>2103</v>
      </c>
      <c r="V10" s="54">
        <f>'와이드(실측)'!R10-와이드기둥차감</f>
        <v>2094</v>
      </c>
      <c r="W10" s="54">
        <f>'와이드(실측)'!S10-와이드기둥차감</f>
        <v>2103</v>
      </c>
      <c r="X10" s="54">
        <f>'와이드(실측)'!T10-와이드기둥차감</f>
        <v>2094</v>
      </c>
      <c r="Y10" s="54">
        <f>IF(소장="손상민",IF(ISNUMBER('와이드(실측)'!U10),'와이드(실측)'!U10+1.2,0),IF(ISNUMBER('와이드(실측)'!U10),'와이드(실측)'!U10+와이드U,0))</f>
        <v>33</v>
      </c>
      <c r="Z10" s="54">
        <f>IF(소장="손상민",IF(ISNUMBER('와이드(실측)'!V10),'와이드(실측)'!V10+1.2,0),IF(ISNUMBER('와이드(실측)'!V10),'와이드(실측)'!V10+1.5+와이드제작!Q10+1,0))</f>
        <v>11.8</v>
      </c>
      <c r="AA10" s="54">
        <f>'와이드(실측)'!W10+뒷날개치수더함</f>
        <v>25</v>
      </c>
      <c r="AB10" s="54">
        <f>'와이드(실측)'!X10+뒷날개치수더함</f>
        <v>25</v>
      </c>
      <c r="AC10" s="78">
        <f>'와이드(실측)'!Y10-와이드늘치</f>
        <v>10</v>
      </c>
      <c r="AD10" s="78">
        <f>IF(와이드JB하부늘치=1,AC10,'와이드(실측)'!Z10-와이드늘치)</f>
        <v>10</v>
      </c>
      <c r="AE10" s="78">
        <f>'와이드(실측)'!AA10-와이드늘치</f>
        <v>15</v>
      </c>
      <c r="AF10" s="78">
        <f>IF(와이드JB하부늘치=1,AE10,'와이드(실측)'!AB10-와이드늘치)</f>
        <v>15</v>
      </c>
      <c r="AG10" s="54">
        <f xml:space="preserve"> IF(소장&lt;&gt;"손상민",IF('와이드(실측)'!AC10&gt;0,'와이드(실측)'!AC10,C10-1.2),IF('와이드(실측)'!AC10&gt;0,'와이드(실측)'!AC10+1.2,C10) )</f>
        <v>265.8</v>
      </c>
      <c r="AH10" s="54">
        <f xml:space="preserve"> IF(소장&lt;&gt;"손상민",IF('와이드(실측)'!AD10&gt;0,'와이드(실측)'!AD10,D10-1.2),IF('와이드(실측)'!AD10&gt;0,'와이드(실측)'!AD10+1.2,D10))</f>
        <v>265.8</v>
      </c>
      <c r="AI10" s="79">
        <f t="shared" ref="AI10:AI12" si="20">IF(Z10&gt;0,Z10-MAX(Q10,R10),0)</f>
        <v>2.5</v>
      </c>
      <c r="AJ10" s="54" t="str">
        <f t="shared" ref="AJ10:AJ12" si="21">BA10&amp;"*"&amp;BB10</f>
        <v>1057*617</v>
      </c>
      <c r="AK10" s="54" t="str">
        <f t="shared" ref="AK10:AK12" si="22">BD10&amp;"*"&amp;BC10</f>
        <v>2368.8*361.2</v>
      </c>
      <c r="AL10" s="54" t="str">
        <f t="shared" ref="AL10:AL12" si="23">BF10&amp;"*"&amp;BE10</f>
        <v>2368.8*363.2</v>
      </c>
      <c r="AM10" s="54">
        <f>IF('와이드(실측)'!AE10&gt;0,'와이드(실측)'!AE10-'와이드(실측)'!W10+1.2,0)</f>
        <v>0</v>
      </c>
      <c r="AN10" s="54">
        <f>IF('와이드(실측)'!AF10&gt;0,'와이드(실측)'!AF10-'와이드(실측)'!W10+1.2,0)</f>
        <v>0</v>
      </c>
      <c r="AO10" s="78">
        <f>'와이드(실측)'!AG10</f>
        <v>100</v>
      </c>
      <c r="AP10" s="78">
        <f>IF('와이드(실측)'!AH10&gt;5,'와이드(실측)'!AH10+뒷날개치수더함,'와이드(실측)'!AH10)</f>
        <v>15</v>
      </c>
      <c r="AQ10" s="78">
        <f>'와이드(실측)'!AI10</f>
        <v>10</v>
      </c>
      <c r="AR10" s="78">
        <f>'와이드(실측)'!AJ10</f>
        <v>10</v>
      </c>
      <c r="AS10" s="228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 s="228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38">
        <f t="shared" ref="AU10:AU12" si="24">DEGREES(ATAN((F10-E10)/2/(H10)))</f>
        <v>9.7717473520208653</v>
      </c>
      <c r="AV10" s="39">
        <f t="shared" ref="AV10:AV12" si="25">ABS(G10-COS(RADIANS(AU10))*I10)</f>
        <v>9.8796454349246119</v>
      </c>
      <c r="AW10" s="39">
        <f t="shared" ref="AW10:AW12" si="26">ABS(H10-COS(RADIANS(AU10))*K10)</f>
        <v>9.8796454349246119</v>
      </c>
      <c r="AX10" s="39">
        <f>'와이드(실측)'!M10+AS10</f>
        <v>10</v>
      </c>
      <c r="AY10" s="39">
        <f>'와이드(실측)'!N10+AS10</f>
        <v>10</v>
      </c>
      <c r="AZ10" s="38">
        <f t="shared" ref="AZ10:AZ12" si="27">AV10-MAX(AX10,AY10)</f>
        <v>-0.12035456507538811</v>
      </c>
      <c r="BA10" s="65">
        <f t="shared" si="4"/>
        <v>1057</v>
      </c>
      <c r="BB10" s="66">
        <f>MAX(C10,D10)+MAX(G10,H10)+AA10-1.2*$AJ$3+IF(BI10=0,MAX(AE10,AC10),0)+IF(Y10=0,1.2,0)+IF(Z10=0,1.2,0)+IF(소장&lt;&gt;"손상민", Y10+Z10,IF('와이드(실측)'!U10=0,0,2.4))</f>
        <v>617</v>
      </c>
      <c r="BC10" s="65">
        <f t="shared" ref="BC10:BC12" si="28">S10+O10+MAX(I10,J10)+AB10-1.2*$AL$3+IF(BI10=0,MAX(AD10,AC10),0)+IF(S10=0,1.2,0)-IF(AR10=90,2.4,0)</f>
        <v>361.2</v>
      </c>
      <c r="BD10" s="65">
        <f t="shared" ref="BD10:BD12" si="29">MAX(U10,V10)+AG10</f>
        <v>2368.8000000000002</v>
      </c>
      <c r="BE10" s="65">
        <f t="shared" ref="BE10:BE12" si="30">T10+P10+MAX(K10,L10)+AB10-1.2*$AL$3+IF(BI10=0,MAX(AE10,AF10),0)+IF(T10=0,1.2,0)-IF(AR10=90,2.4,0)</f>
        <v>363.2</v>
      </c>
      <c r="BF10" s="65">
        <f t="shared" ref="BF10:BF12" si="31">MAX(W10,X10)+AH10</f>
        <v>2368.8000000000002</v>
      </c>
      <c r="BG10" s="11">
        <f t="shared" ref="BG10:BG12" si="32">I10-G10-Q10</f>
        <v>4.6999999999999993</v>
      </c>
      <c r="BH10" s="67" t="str">
        <f t="shared" ref="BH10:BH12" si="33">IF(AND(C10&lt;&gt;D10,Y10&gt;0),"NG","")</f>
        <v/>
      </c>
      <c r="BI10" s="131">
        <f t="shared" ref="BI10:BI12" si="34">IF(AND(MIN(AC10,AE10)&gt;=9.2,F10-E10&gt;15),0,1)</f>
        <v>0</v>
      </c>
    </row>
    <row r="11" spans="1:61" s="228" customFormat="1" ht="26.25" customHeight="1" x14ac:dyDescent="0.3">
      <c r="A11" s="54" t="str">
        <f>'와이드(실측)'!A11</f>
        <v>12-1</v>
      </c>
      <c r="B11" s="54" t="str">
        <f>'와이드(실측)'!B11&amp;"F"</f>
        <v>1F</v>
      </c>
      <c r="C11" s="54">
        <f>'와이드(실측)'!C11+와이드MH더함-IF(AND(소장="추영덕",Y11=0),1.2)</f>
        <v>282</v>
      </c>
      <c r="D11" s="54">
        <f>'와이드(실측)'!D11+와이드MH더함-IF(AND(소장="추영덕",Y11=0),1.2)</f>
        <v>282</v>
      </c>
      <c r="E11" s="54">
        <f>'와이드(실측)'!E11-와이드OP</f>
        <v>899</v>
      </c>
      <c r="F11" s="54">
        <f>'와이드(실측)'!F11-와이드R</f>
        <v>992</v>
      </c>
      <c r="G11" s="77">
        <f>'와이드(실측)'!G11+와이드JBJD키움치수+IF(BI11=1,AC11,0)</f>
        <v>268</v>
      </c>
      <c r="H11" s="77">
        <f>'와이드(실측)'!H11+와이드JBJD키움치수+IF(BI11=1,AE11,0)</f>
        <v>268</v>
      </c>
      <c r="I11" s="77">
        <f>'와이드(실측)'!I11+MAX(AS11,AT11)+와이드JBJD키움치수+IF(BI11=1,AC11,0)</f>
        <v>283</v>
      </c>
      <c r="J11" s="77">
        <f>'와이드(실측)'!I11+MAX(AS11,AT11)+와이드JBJD키움치수+IF(BI11=1,AD11,0)-IF(와이드JB하부늘치=1,'와이드(실측)'!Y11-'와이드(실측)'!Z11,0)</f>
        <v>278</v>
      </c>
      <c r="K11" s="77">
        <f>'와이드(실측)'!J11+MAX(AS11,AT11)+와이드JBJD키움치수+IF(BI11=1,AE11,0)</f>
        <v>283</v>
      </c>
      <c r="L11" s="77">
        <f>'와이드(실측)'!J11+MAX(AS11,AT11)+와이드JBJD키움치수+IF(BI11=1,AF11,0)-IF(와이드JB하부늘치=1,'와이드(실측)'!AA11-'와이드(실측)'!AB11,0)</f>
        <v>280</v>
      </c>
      <c r="M11" s="78">
        <f t="shared" si="18"/>
        <v>31.5</v>
      </c>
      <c r="N11" s="78">
        <f t="shared" si="19"/>
        <v>31.5</v>
      </c>
      <c r="O11" s="78">
        <f>IF(S11&lt;9,'와이드(실측)'!K11+1.2,IF(ISNUMBER('와이드(실측)'!K11),'와이드(실측)'!K11+와이드C값,0))</f>
        <v>33</v>
      </c>
      <c r="P11" s="78">
        <f>IF(T11&lt;9,'와이드(실측)'!L11+1.2,IF(ISNUMBER('와이드(실측)'!L11),'와이드(실측)'!L11+와이드C값,0))</f>
        <v>33</v>
      </c>
      <c r="Q11" s="55">
        <f>IF(소장="손상민",'와이드(실측)'!M11,ROUNDUP(AV11,1)-0.6)</f>
        <v>10.3</v>
      </c>
      <c r="R11" s="62">
        <f>IF(소장="손상민",'와이드(실측)'!N11,ROUNDUP(AW11,1)-0.6)</f>
        <v>10.3</v>
      </c>
      <c r="S11" s="54">
        <f>IF(ISNUMBER('와이드(실측)'!O11),'와이드(실측)'!O11+와이드제작!AS11+와이드A늘림,0)</f>
        <v>12</v>
      </c>
      <c r="T11" s="54">
        <f>IF(ISNUMBER('와이드(실측)'!P11),'와이드(실측)'!P11+와이드제작!AT11+와이드A늘림,0)</f>
        <v>15</v>
      </c>
      <c r="U11" s="54">
        <f>'와이드(실측)'!Q11-와이드기둥차감</f>
        <v>2099</v>
      </c>
      <c r="V11" s="54">
        <f>'와이드(실측)'!R11-와이드기둥차감</f>
        <v>2093</v>
      </c>
      <c r="W11" s="54">
        <f>'와이드(실측)'!S11-와이드기둥차감</f>
        <v>2100</v>
      </c>
      <c r="X11" s="54">
        <f>'와이드(실측)'!T11-와이드기둥차감</f>
        <v>2094</v>
      </c>
      <c r="Y11" s="54">
        <f>IF(소장="손상민",IF(ISNUMBER('와이드(실측)'!U11),'와이드(실측)'!U11+1.2,0),IF(ISNUMBER('와이드(실측)'!U11),'와이드(실측)'!U11+와이드U,0))</f>
        <v>33</v>
      </c>
      <c r="Z11" s="54">
        <f>IF(소장="손상민",IF(ISNUMBER('와이드(실측)'!V11),'와이드(실측)'!V11+1.2,0),IF(ISNUMBER('와이드(실측)'!V11),'와이드(실측)'!V11+1.5+와이드제작!Q11+1,0))</f>
        <v>17.8</v>
      </c>
      <c r="AA11" s="54">
        <f>'와이드(실측)'!W11+뒷날개치수더함</f>
        <v>25</v>
      </c>
      <c r="AB11" s="54">
        <f>'와이드(실측)'!X11+뒷날개치수더함</f>
        <v>25</v>
      </c>
      <c r="AC11" s="78">
        <f>'와이드(실측)'!Y11-와이드늘치</f>
        <v>11</v>
      </c>
      <c r="AD11" s="78">
        <f>IF(와이드JB하부늘치=1,AC11,'와이드(실측)'!Z11-와이드늘치)</f>
        <v>11</v>
      </c>
      <c r="AE11" s="78">
        <f>'와이드(실측)'!AA11-와이드늘치</f>
        <v>14</v>
      </c>
      <c r="AF11" s="78">
        <f>IF(와이드JB하부늘치=1,AE11,'와이드(실측)'!AB11-와이드늘치)</f>
        <v>14</v>
      </c>
      <c r="AG11" s="54">
        <f xml:space="preserve"> IF(소장&lt;&gt;"손상민",IF('와이드(실측)'!AC11&gt;0,'와이드(실측)'!AC11,C11-1.2),IF('와이드(실측)'!AC11&gt;0,'와이드(실측)'!AC11+1.2,C11) )</f>
        <v>280.8</v>
      </c>
      <c r="AH11" s="54">
        <f xml:space="preserve"> IF(소장&lt;&gt;"손상민",IF('와이드(실측)'!AD11&gt;0,'와이드(실측)'!AD11,D11-1.2),IF('와이드(실측)'!AD11&gt;0,'와이드(실측)'!AD11+1.2,D11))</f>
        <v>280.8</v>
      </c>
      <c r="AI11" s="79">
        <f t="shared" si="20"/>
        <v>7.5</v>
      </c>
      <c r="AJ11" s="54" t="str">
        <f t="shared" si="21"/>
        <v>1055*635</v>
      </c>
      <c r="AK11" s="54" t="str">
        <f t="shared" si="22"/>
        <v>2379.8*359.2</v>
      </c>
      <c r="AL11" s="54" t="str">
        <f t="shared" si="23"/>
        <v>2380.8*365.2</v>
      </c>
      <c r="AM11" s="54">
        <f>IF('와이드(실측)'!AE11&gt;0,'와이드(실측)'!AE11-'와이드(실측)'!W11+1.2,0)</f>
        <v>0</v>
      </c>
      <c r="AN11" s="54">
        <f>IF('와이드(실측)'!AF11&gt;0,'와이드(실측)'!AF11-'와이드(실측)'!W11+1.2,0)</f>
        <v>0</v>
      </c>
      <c r="AO11" s="78">
        <f>'와이드(실측)'!AG11</f>
        <v>100</v>
      </c>
      <c r="AP11" s="78">
        <f>IF('와이드(실측)'!AH11&gt;5,'와이드(실측)'!AH11+뒷날개치수더함,'와이드(실측)'!AH11)</f>
        <v>15</v>
      </c>
      <c r="AQ11" s="78">
        <f>'와이드(실측)'!AI11</f>
        <v>10</v>
      </c>
      <c r="AR11" s="78">
        <f>'와이드(실측)'!AJ11</f>
        <v>10</v>
      </c>
      <c r="AS11" s="228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 s="228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38">
        <f t="shared" si="24"/>
        <v>9.8432495507407474</v>
      </c>
      <c r="AV11" s="39">
        <f t="shared" si="25"/>
        <v>10.833995379273006</v>
      </c>
      <c r="AW11" s="39">
        <f t="shared" si="26"/>
        <v>10.833995379273006</v>
      </c>
      <c r="AX11" s="39">
        <f>'와이드(실측)'!M11+AS11</f>
        <v>6</v>
      </c>
      <c r="AY11" s="39">
        <f>'와이드(실측)'!N11+AS11</f>
        <v>10</v>
      </c>
      <c r="AZ11" s="38">
        <f t="shared" si="27"/>
        <v>0.83399537927300571</v>
      </c>
      <c r="BA11" s="65">
        <f t="shared" si="4"/>
        <v>1055</v>
      </c>
      <c r="BB11" s="66">
        <f>MAX(C11,D11)+MAX(G11,H11)+AA11-1.2*$AJ$3+IF(BI11=0,MAX(AE11,AC11),0)+IF(Y11=0,1.2,0)+IF(Z11=0,1.2,0)+IF(소장&lt;&gt;"손상민", Y11+Z11,IF('와이드(실측)'!U11=0,0,2.4))</f>
        <v>635</v>
      </c>
      <c r="BC11" s="65">
        <f t="shared" si="28"/>
        <v>359.2</v>
      </c>
      <c r="BD11" s="65">
        <f t="shared" si="29"/>
        <v>2379.8000000000002</v>
      </c>
      <c r="BE11" s="65">
        <f t="shared" si="30"/>
        <v>365.2</v>
      </c>
      <c r="BF11" s="65">
        <f t="shared" si="31"/>
        <v>2380.8000000000002</v>
      </c>
      <c r="BG11" s="11">
        <f t="shared" si="32"/>
        <v>4.6999999999999993</v>
      </c>
      <c r="BH11" s="67" t="str">
        <f t="shared" si="33"/>
        <v/>
      </c>
      <c r="BI11" s="131">
        <f t="shared" si="34"/>
        <v>0</v>
      </c>
    </row>
    <row r="12" spans="1:61" s="228" customFormat="1" ht="26.25" customHeight="1" x14ac:dyDescent="0.3">
      <c r="A12" s="54" t="str">
        <f>'와이드(실측)'!A12</f>
        <v>12-2</v>
      </c>
      <c r="B12" s="54" t="str">
        <f>'와이드(실측)'!B12&amp;"F"</f>
        <v>1F</v>
      </c>
      <c r="C12" s="54">
        <f>'와이드(실측)'!C12+와이드MH더함-IF(AND(소장="추영덕",Y12=0),1.2)</f>
        <v>277</v>
      </c>
      <c r="D12" s="54">
        <f>'와이드(실측)'!D12+와이드MH더함-IF(AND(소장="추영덕",Y12=0),1.2)</f>
        <v>277</v>
      </c>
      <c r="E12" s="54">
        <f>'와이드(실측)'!E12-와이드OP</f>
        <v>899</v>
      </c>
      <c r="F12" s="54">
        <f>'와이드(실측)'!F12-와이드R</f>
        <v>994</v>
      </c>
      <c r="G12" s="77">
        <f>'와이드(실측)'!G12+와이드JBJD키움치수+IF(BI12=1,AC12,0)</f>
        <v>274</v>
      </c>
      <c r="H12" s="77">
        <f>'와이드(실측)'!H12+와이드JBJD키움치수+IF(BI12=1,AE12,0)</f>
        <v>274</v>
      </c>
      <c r="I12" s="77">
        <f>'와이드(실측)'!I12+MAX(AS12,AT12)+와이드JBJD키움치수+IF(BI12=1,AC12,0)</f>
        <v>288</v>
      </c>
      <c r="J12" s="77">
        <f>'와이드(실측)'!I12+MAX(AS12,AT12)+와이드JBJD키움치수+IF(BI12=1,AD12,0)-IF(와이드JB하부늘치=1,'와이드(실측)'!Y12-'와이드(실측)'!Z12,0)</f>
        <v>284</v>
      </c>
      <c r="K12" s="77">
        <f>'와이드(실측)'!J12+MAX(AS12,AT12)+와이드JBJD키움치수+IF(BI12=1,AE12,0)</f>
        <v>288</v>
      </c>
      <c r="L12" s="77">
        <f>'와이드(실측)'!J12+MAX(AS12,AT12)+와이드JBJD키움치수+IF(BI12=1,AF12,0)-IF(와이드JB하부늘치=1,'와이드(실측)'!AA12-'와이드(실측)'!AB12,0)</f>
        <v>283</v>
      </c>
      <c r="M12" s="78">
        <f t="shared" si="18"/>
        <v>31.5</v>
      </c>
      <c r="N12" s="78">
        <f t="shared" si="19"/>
        <v>31.5</v>
      </c>
      <c r="O12" s="78">
        <f>IF(S12&lt;9,'와이드(실측)'!K12+1.2,IF(ISNUMBER('와이드(실측)'!K12),'와이드(실측)'!K12+와이드C값,0))</f>
        <v>33</v>
      </c>
      <c r="P12" s="78">
        <f>IF(T12&lt;9,'와이드(실측)'!L12+1.2,IF(ISNUMBER('와이드(실측)'!L12),'와이드(실측)'!L12+와이드C값,0))</f>
        <v>33</v>
      </c>
      <c r="Q12" s="55">
        <f>IF(소장="손상민",'와이드(실측)'!M12,ROUNDUP(AV12,1)-0.6)</f>
        <v>9.1999999999999993</v>
      </c>
      <c r="R12" s="62">
        <f>IF(소장="손상민",'와이드(실측)'!N12,ROUNDUP(AW12,1)-0.6)</f>
        <v>9.1999999999999993</v>
      </c>
      <c r="S12" s="54">
        <f>IF(ISNUMBER('와이드(실측)'!O12),'와이드(실측)'!O12+와이드제작!AS12+와이드A늘림,0)</f>
        <v>12</v>
      </c>
      <c r="T12" s="54">
        <f>IF(ISNUMBER('와이드(실측)'!P12),'와이드(실측)'!P12+와이드제작!AT12+와이드A늘림,0)</f>
        <v>15</v>
      </c>
      <c r="U12" s="54">
        <f>'와이드(실측)'!Q12-와이드기둥차감</f>
        <v>2099</v>
      </c>
      <c r="V12" s="54">
        <f>'와이드(실측)'!R12-와이드기둥차감</f>
        <v>2093</v>
      </c>
      <c r="W12" s="54">
        <f>'와이드(실측)'!S12-와이드기둥차감</f>
        <v>2100</v>
      </c>
      <c r="X12" s="54">
        <f>'와이드(실측)'!T12-와이드기둥차감</f>
        <v>2095</v>
      </c>
      <c r="Y12" s="54">
        <f>IF(소장="손상민",IF(ISNUMBER('와이드(실측)'!U12),'와이드(실측)'!U12+1.2,0),IF(ISNUMBER('와이드(실측)'!U12),'와이드(실측)'!U12+와이드U,0))</f>
        <v>33</v>
      </c>
      <c r="Z12" s="54">
        <f>IF(소장="손상민",IF(ISNUMBER('와이드(실측)'!V12),'와이드(실측)'!V12+1.2,0),IF(ISNUMBER('와이드(실측)'!V12),'와이드(실측)'!V12+1.5+와이드제작!Q12+1,0))</f>
        <v>11.7</v>
      </c>
      <c r="AA12" s="54">
        <f>'와이드(실측)'!W12+뒷날개치수더함</f>
        <v>25</v>
      </c>
      <c r="AB12" s="54">
        <f>'와이드(실측)'!X12+뒷날개치수더함</f>
        <v>25</v>
      </c>
      <c r="AC12" s="78">
        <f>'와이드(실측)'!Y12-와이드늘치</f>
        <v>13</v>
      </c>
      <c r="AD12" s="78">
        <f>IF(와이드JB하부늘치=1,AC12,'와이드(실측)'!Z12-와이드늘치)</f>
        <v>13</v>
      </c>
      <c r="AE12" s="78">
        <f>'와이드(실측)'!AA12-와이드늘치</f>
        <v>15</v>
      </c>
      <c r="AF12" s="78">
        <f>IF(와이드JB하부늘치=1,AE12,'와이드(실측)'!AB12-와이드늘치)</f>
        <v>15</v>
      </c>
      <c r="AG12" s="54">
        <f xml:space="preserve"> IF(소장&lt;&gt;"손상민",IF('와이드(실측)'!AC12&gt;0,'와이드(실측)'!AC12,C12-1.2),IF('와이드(실측)'!AC12&gt;0,'와이드(실측)'!AC12+1.2,C12) )</f>
        <v>275.8</v>
      </c>
      <c r="AH12" s="54">
        <f xml:space="preserve"> IF(소장&lt;&gt;"손상민",IF('와이드(실측)'!AD12&gt;0,'와이드(실측)'!AD12,D12-1.2),IF('와이드(실측)'!AD12&gt;0,'와이드(실측)'!AD12+1.2,D12))</f>
        <v>275.8</v>
      </c>
      <c r="AI12" s="79">
        <f t="shared" si="20"/>
        <v>2.5</v>
      </c>
      <c r="AJ12" s="54" t="str">
        <f t="shared" si="21"/>
        <v>1057*630.9</v>
      </c>
      <c r="AK12" s="54" t="str">
        <f t="shared" si="22"/>
        <v>2374.8*366.2</v>
      </c>
      <c r="AL12" s="54" t="str">
        <f t="shared" si="23"/>
        <v>2375.8*371.2</v>
      </c>
      <c r="AM12" s="54">
        <f>IF('와이드(실측)'!AE12&gt;0,'와이드(실측)'!AE12-'와이드(실측)'!W12+1.2,0)</f>
        <v>0</v>
      </c>
      <c r="AN12" s="54">
        <f>IF('와이드(실측)'!AF12&gt;0,'와이드(실측)'!AF12-'와이드(실측)'!W12+1.2,0)</f>
        <v>0</v>
      </c>
      <c r="AO12" s="78">
        <f>'와이드(실측)'!AG12</f>
        <v>100</v>
      </c>
      <c r="AP12" s="78">
        <f>IF('와이드(실측)'!AH12&gt;5,'와이드(실측)'!AH12+뒷날개치수더함,'와이드(실측)'!AH12)</f>
        <v>15</v>
      </c>
      <c r="AQ12" s="78">
        <f>'와이드(실측)'!AI12</f>
        <v>10</v>
      </c>
      <c r="AR12" s="78">
        <f>'와이드(실측)'!AJ12</f>
        <v>10</v>
      </c>
      <c r="AS12" s="228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 s="228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38">
        <f t="shared" si="24"/>
        <v>9.8349173545343245</v>
      </c>
      <c r="AV12" s="39">
        <f t="shared" si="25"/>
        <v>9.7675479540423567</v>
      </c>
      <c r="AW12" s="39">
        <f t="shared" si="26"/>
        <v>9.7675479540423567</v>
      </c>
      <c r="AX12" s="39">
        <f>'와이드(실측)'!M12+AS12</f>
        <v>10</v>
      </c>
      <c r="AY12" s="39">
        <f>'와이드(실측)'!N12+AS12</f>
        <v>10</v>
      </c>
      <c r="AZ12" s="38">
        <f t="shared" si="27"/>
        <v>-0.23245204595764335</v>
      </c>
      <c r="BA12" s="65">
        <f t="shared" si="4"/>
        <v>1057</v>
      </c>
      <c r="BB12" s="66">
        <f>MAX(C12,D12)+MAX(G12,H12)+AA12-1.2*$AJ$3+IF(BI12=0,MAX(AE12,AC12),0)+IF(Y12=0,1.2,0)+IF(Z12=0,1.2,0)+IF(소장&lt;&gt;"손상민", Y12+Z12,IF('와이드(실측)'!U12=0,0,2.4))</f>
        <v>630.90000000000009</v>
      </c>
      <c r="BC12" s="65">
        <f t="shared" si="28"/>
        <v>366.2</v>
      </c>
      <c r="BD12" s="65">
        <f t="shared" si="29"/>
        <v>2374.8000000000002</v>
      </c>
      <c r="BE12" s="65">
        <f t="shared" si="30"/>
        <v>371.2</v>
      </c>
      <c r="BF12" s="65">
        <f t="shared" si="31"/>
        <v>2375.8000000000002</v>
      </c>
      <c r="BG12" s="11">
        <f t="shared" si="32"/>
        <v>4.8000000000000007</v>
      </c>
      <c r="BH12" s="67" t="str">
        <f t="shared" si="33"/>
        <v/>
      </c>
      <c r="BI12" s="131">
        <f t="shared" si="34"/>
        <v>0</v>
      </c>
    </row>
  </sheetData>
  <mergeCells count="81">
    <mergeCell ref="BI5:BI6"/>
    <mergeCell ref="BH5:BH6"/>
    <mergeCell ref="AM4:AN4"/>
    <mergeCell ref="AM5:AN5"/>
    <mergeCell ref="K5:K6"/>
    <mergeCell ref="O5:O6"/>
    <mergeCell ref="M5:M6"/>
    <mergeCell ref="N5:N6"/>
    <mergeCell ref="AA5:AA6"/>
    <mergeCell ref="R5:R6"/>
    <mergeCell ref="U5:U6"/>
    <mergeCell ref="X5:X6"/>
    <mergeCell ref="L5:L6"/>
    <mergeCell ref="Y5:Y6"/>
    <mergeCell ref="AK4:AL4"/>
    <mergeCell ref="AG4:AI4"/>
    <mergeCell ref="AM2:AN2"/>
    <mergeCell ref="AO2:AP2"/>
    <mergeCell ref="AM3:AN3"/>
    <mergeCell ref="I3:L3"/>
    <mergeCell ref="AH3:AI3"/>
    <mergeCell ref="X2:Y2"/>
    <mergeCell ref="AH2:AI2"/>
    <mergeCell ref="Z2:AG2"/>
    <mergeCell ref="I2:L2"/>
    <mergeCell ref="M2:N2"/>
    <mergeCell ref="AJ2:AK2"/>
    <mergeCell ref="M3:N3"/>
    <mergeCell ref="B5:B6"/>
    <mergeCell ref="C5:C6"/>
    <mergeCell ref="E5:E6"/>
    <mergeCell ref="F5:F6"/>
    <mergeCell ref="D5:D6"/>
    <mergeCell ref="S5:S6"/>
    <mergeCell ref="T5:T6"/>
    <mergeCell ref="AP4:AR4"/>
    <mergeCell ref="Z5:Z6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A5:A6"/>
    <mergeCell ref="AT5:AT6"/>
    <mergeCell ref="AO5:AO6"/>
    <mergeCell ref="AP5:AR5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2">
    <cfRule type="cellIs" dxfId="87" priority="52" operator="greaterThan">
      <formula>3</formula>
    </cfRule>
  </conditionalFormatting>
  <conditionalFormatting sqref="F7:F12">
    <cfRule type="cellIs" dxfId="86" priority="39" operator="greaterThan">
      <formula>1210</formula>
    </cfRule>
  </conditionalFormatting>
  <conditionalFormatting sqref="I7:L12 C7:D12">
    <cfRule type="cellIs" dxfId="85" priority="38" operator="greaterThan">
      <formula>500</formula>
    </cfRule>
  </conditionalFormatting>
  <conditionalFormatting sqref="C7:D12">
    <cfRule type="cellIs" dxfId="84" priority="36" operator="notEqual">
      <formula>$D7</formula>
    </cfRule>
  </conditionalFormatting>
  <conditionalFormatting sqref="D7:D12">
    <cfRule type="cellIs" dxfId="83" priority="35" operator="notEqual">
      <formula>$C7</formula>
    </cfRule>
  </conditionalFormatting>
  <conditionalFormatting sqref="AO7:AR12">
    <cfRule type="cellIs" dxfId="82" priority="17" operator="greaterThan">
      <formula>1.2</formula>
    </cfRule>
  </conditionalFormatting>
  <conditionalFormatting sqref="AO7:AO12">
    <cfRule type="cellIs" dxfId="81" priority="16" operator="greaterThan">
      <formula>0</formula>
    </cfRule>
  </conditionalFormatting>
  <conditionalFormatting sqref="G7:G12">
    <cfRule type="cellIs" dxfId="80" priority="14" operator="notEqual">
      <formula>H7</formula>
    </cfRule>
  </conditionalFormatting>
  <conditionalFormatting sqref="H7:H12">
    <cfRule type="cellIs" dxfId="79" priority="13" operator="notEqual">
      <formula>G7</formula>
    </cfRule>
  </conditionalFormatting>
  <conditionalFormatting sqref="I7:I12">
    <cfRule type="cellIs" dxfId="78" priority="12" operator="notEqual">
      <formula>J7</formula>
    </cfRule>
  </conditionalFormatting>
  <conditionalFormatting sqref="J7:J12">
    <cfRule type="cellIs" dxfId="77" priority="11" operator="notEqual">
      <formula>I7</formula>
    </cfRule>
  </conditionalFormatting>
  <conditionalFormatting sqref="K7:K12">
    <cfRule type="cellIs" dxfId="76" priority="10" operator="notEqual">
      <formula>L7</formula>
    </cfRule>
  </conditionalFormatting>
  <conditionalFormatting sqref="L7:L12">
    <cfRule type="cellIs" dxfId="75" priority="9" operator="notEqual">
      <formula>K7</formula>
    </cfRule>
  </conditionalFormatting>
  <conditionalFormatting sqref="AG7:AG12">
    <cfRule type="cellIs" dxfId="74" priority="8" operator="notEqual">
      <formula>AH7</formula>
    </cfRule>
  </conditionalFormatting>
  <conditionalFormatting sqref="AH7:AH12">
    <cfRule type="cellIs" dxfId="73" priority="7" operator="notEqual">
      <formula>AG7</formula>
    </cfRule>
  </conditionalFormatting>
  <conditionalFormatting sqref="AC7:AF12">
    <cfRule type="expression" dxfId="72" priority="6">
      <formula>$BI7</formula>
    </cfRule>
  </conditionalFormatting>
  <conditionalFormatting sqref="Y7:Y12">
    <cfRule type="expression" dxfId="71" priority="2">
      <formula>소장="손상민"</formula>
    </cfRule>
  </conditionalFormatting>
  <conditionalFormatting sqref="Z7:Z12">
    <cfRule type="expression" dxfId="70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8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Y7" sqref="Y7:AA11"/>
    </sheetView>
  </sheetViews>
  <sheetFormatPr defaultRowHeight="16.5" x14ac:dyDescent="0.3"/>
  <cols>
    <col min="1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296" t="str">
        <f>정보!B3 &amp; "  " &amp; 정보!B6 &amp;" 소장"</f>
        <v>(멍텅구리) 실측자료( 경기도 의정부 드림밸리아파트-4차 )  박철우 소장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124"/>
      <c r="AC1" s="124"/>
      <c r="AD1" s="133"/>
    </row>
    <row r="2" spans="1:39" ht="15" customHeigh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18"/>
      <c r="W2" s="5"/>
      <c r="X2" s="18"/>
      <c r="Y2" s="5"/>
      <c r="Z2" s="113"/>
      <c r="AA2" s="113"/>
      <c r="AB2" s="124"/>
      <c r="AC2" s="124"/>
      <c r="AD2" s="133"/>
    </row>
    <row r="3" spans="1:39" ht="33" customHeight="1" x14ac:dyDescent="0.3">
      <c r="A3" s="8" t="str">
        <f>"현장명 : " &amp; 정보!B1 &amp; ",   (재질) : " &amp; 정보!B8</f>
        <v>현장명 : 경기도 의정부 드림밸리아파트-4차,   (재질) : HL 1.2T</v>
      </c>
      <c r="B3" s="2"/>
      <c r="C3" s="2"/>
      <c r="D3" s="2"/>
      <c r="E3" s="2"/>
      <c r="F3" s="2"/>
      <c r="G3" s="380"/>
      <c r="H3" s="380"/>
      <c r="I3" s="377"/>
      <c r="J3" s="377"/>
      <c r="K3" s="378"/>
      <c r="L3" s="378"/>
      <c r="M3" s="379"/>
      <c r="N3" s="379"/>
      <c r="O3" s="379"/>
      <c r="P3" s="374" t="s">
        <v>98</v>
      </c>
      <c r="Q3" s="374"/>
      <c r="R3" s="375"/>
      <c r="S3" s="375"/>
      <c r="T3" s="376"/>
      <c r="U3" s="376"/>
    </row>
    <row r="4" spans="1:39" ht="33" customHeight="1" x14ac:dyDescent="0.3">
      <c r="A4" s="293" t="str">
        <f>정보!B11</f>
        <v>제작치수 반영 : JB/JD +(5 ),  늘어난치수K -(4),  C + (8),  U +(8), OP - (2), R - (2),  기둥차감 (4), 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112"/>
      <c r="AA4" s="112"/>
      <c r="AB4" s="304" t="s">
        <v>216</v>
      </c>
      <c r="AC4" s="304"/>
      <c r="AD4" s="137" t="s">
        <v>241</v>
      </c>
    </row>
    <row r="5" spans="1:39" ht="25.9" customHeight="1" x14ac:dyDescent="0.3">
      <c r="A5" s="298" t="s">
        <v>0</v>
      </c>
      <c r="B5" s="298" t="s">
        <v>1</v>
      </c>
      <c r="C5" s="298" t="s">
        <v>3</v>
      </c>
      <c r="D5" s="298" t="s">
        <v>18</v>
      </c>
      <c r="E5" s="298" t="s">
        <v>4</v>
      </c>
      <c r="F5" s="298" t="s">
        <v>5</v>
      </c>
      <c r="G5" s="298" t="s">
        <v>6</v>
      </c>
      <c r="H5" s="298" t="s">
        <v>7</v>
      </c>
      <c r="I5" s="298" t="s">
        <v>8</v>
      </c>
      <c r="J5" s="298" t="s">
        <v>9</v>
      </c>
      <c r="K5" s="298" t="s">
        <v>10</v>
      </c>
      <c r="L5" s="298" t="s">
        <v>11</v>
      </c>
      <c r="M5" s="298" t="s">
        <v>14</v>
      </c>
      <c r="N5" s="298" t="s">
        <v>15</v>
      </c>
      <c r="O5" s="298" t="s">
        <v>16</v>
      </c>
      <c r="P5" s="298" t="s">
        <v>17</v>
      </c>
      <c r="Q5" s="298" t="s">
        <v>19</v>
      </c>
      <c r="R5" s="298" t="s">
        <v>20</v>
      </c>
      <c r="S5" s="369" t="s">
        <v>22</v>
      </c>
      <c r="T5" s="369" t="s">
        <v>23</v>
      </c>
      <c r="U5" s="371" t="s">
        <v>21</v>
      </c>
      <c r="V5" s="372"/>
      <c r="W5" s="372"/>
      <c r="X5" s="373"/>
      <c r="Y5" s="299" t="s">
        <v>204</v>
      </c>
      <c r="Z5" s="299"/>
      <c r="AA5" s="299"/>
      <c r="AB5" s="302" t="s">
        <v>213</v>
      </c>
      <c r="AC5" s="303"/>
      <c r="AD5" s="136" t="s">
        <v>238</v>
      </c>
    </row>
    <row r="6" spans="1:39" ht="47.25" customHeight="1" x14ac:dyDescent="0.3">
      <c r="A6" s="298"/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370"/>
      <c r="T6" s="370"/>
      <c r="U6" s="17" t="s">
        <v>53</v>
      </c>
      <c r="V6" s="17" t="s">
        <v>54</v>
      </c>
      <c r="W6" s="17" t="s">
        <v>55</v>
      </c>
      <c r="X6" s="17" t="s">
        <v>56</v>
      </c>
      <c r="Y6" s="109" t="s">
        <v>201</v>
      </c>
      <c r="Z6" s="109" t="s">
        <v>202</v>
      </c>
      <c r="AA6" s="109" t="s">
        <v>203</v>
      </c>
      <c r="AB6" s="121" t="s">
        <v>214</v>
      </c>
      <c r="AC6" s="121" t="s">
        <v>215</v>
      </c>
      <c r="AD6" s="136" t="s">
        <v>239</v>
      </c>
      <c r="AE6" s="83" t="s">
        <v>116</v>
      </c>
    </row>
    <row r="7" spans="1:39" ht="27" customHeight="1" x14ac:dyDescent="0.3">
      <c r="A7" s="205"/>
      <c r="B7" s="205"/>
      <c r="C7" s="205"/>
      <c r="D7" s="205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5"/>
      <c r="T7" s="205"/>
      <c r="U7" s="205"/>
      <c r="V7" s="205"/>
      <c r="W7" s="205"/>
      <c r="X7" s="205"/>
      <c r="Y7" s="206"/>
      <c r="Z7" s="206"/>
      <c r="AA7" s="206"/>
      <c r="AB7" s="123"/>
      <c r="AC7" s="123"/>
      <c r="AD7" s="132"/>
      <c r="AE7" s="84"/>
      <c r="AF7" s="80">
        <f t="shared" ref="AF7:AI11" si="0">U7+$AE7</f>
        <v>0</v>
      </c>
      <c r="AG7" s="80">
        <f t="shared" si="0"/>
        <v>0</v>
      </c>
      <c r="AH7" s="80">
        <f t="shared" si="0"/>
        <v>0</v>
      </c>
      <c r="AI7" s="80">
        <f t="shared" si="0"/>
        <v>0</v>
      </c>
      <c r="AJ7" s="80">
        <f t="shared" ref="AJ7:AM11" si="1">E7-$AE7</f>
        <v>0</v>
      </c>
      <c r="AK7" s="80">
        <f t="shared" si="1"/>
        <v>0</v>
      </c>
      <c r="AL7" s="80">
        <f t="shared" si="1"/>
        <v>0</v>
      </c>
      <c r="AM7" s="80">
        <f t="shared" si="1"/>
        <v>0</v>
      </c>
    </row>
    <row r="8" spans="1:39" ht="27" customHeight="1" x14ac:dyDescent="0.3">
      <c r="A8" s="205"/>
      <c r="B8" s="205"/>
      <c r="C8" s="205"/>
      <c r="D8" s="205"/>
      <c r="E8" s="206"/>
      <c r="F8" s="206"/>
      <c r="G8" s="206"/>
      <c r="H8" s="206"/>
      <c r="I8" s="206"/>
      <c r="J8" s="206"/>
      <c r="K8" s="206"/>
      <c r="L8" s="206"/>
      <c r="M8" s="206"/>
      <c r="N8" s="206"/>
      <c r="O8" s="206"/>
      <c r="P8" s="206"/>
      <c r="Q8" s="206"/>
      <c r="R8" s="206"/>
      <c r="S8" s="264"/>
      <c r="T8" s="264"/>
      <c r="U8" s="205"/>
      <c r="V8" s="205"/>
      <c r="W8" s="205"/>
      <c r="X8" s="205"/>
      <c r="Y8" s="265"/>
      <c r="Z8" s="265"/>
      <c r="AA8" s="265"/>
      <c r="AB8" s="123"/>
      <c r="AC8" s="123"/>
      <c r="AD8" s="132"/>
      <c r="AE8" s="84"/>
      <c r="AF8" s="80">
        <f t="shared" si="0"/>
        <v>0</v>
      </c>
      <c r="AG8" s="80">
        <f t="shared" si="0"/>
        <v>0</v>
      </c>
      <c r="AH8" s="80">
        <f t="shared" si="0"/>
        <v>0</v>
      </c>
      <c r="AI8" s="80">
        <f t="shared" si="0"/>
        <v>0</v>
      </c>
      <c r="AJ8" s="80">
        <f t="shared" si="1"/>
        <v>0</v>
      </c>
      <c r="AK8" s="80">
        <f t="shared" si="1"/>
        <v>0</v>
      </c>
      <c r="AL8" s="80">
        <f t="shared" si="1"/>
        <v>0</v>
      </c>
      <c r="AM8" s="80">
        <f t="shared" si="1"/>
        <v>0</v>
      </c>
    </row>
    <row r="9" spans="1:39" ht="27" customHeight="1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264"/>
      <c r="T9" s="264"/>
      <c r="U9" s="69"/>
      <c r="V9" s="69"/>
      <c r="W9" s="69"/>
      <c r="X9" s="69"/>
      <c r="Y9" s="265"/>
      <c r="Z9" s="265"/>
      <c r="AA9" s="265"/>
      <c r="AB9" s="128"/>
      <c r="AC9" s="128"/>
      <c r="AD9" s="132"/>
      <c r="AF9" s="129">
        <f t="shared" si="0"/>
        <v>0</v>
      </c>
      <c r="AG9" s="129">
        <f t="shared" si="0"/>
        <v>0</v>
      </c>
      <c r="AH9" s="129">
        <f t="shared" si="0"/>
        <v>0</v>
      </c>
      <c r="AI9" s="129">
        <f t="shared" si="0"/>
        <v>0</v>
      </c>
      <c r="AJ9" s="129">
        <f t="shared" si="1"/>
        <v>0</v>
      </c>
      <c r="AK9" s="129">
        <f t="shared" si="1"/>
        <v>0</v>
      </c>
      <c r="AL9" s="129">
        <f t="shared" si="1"/>
        <v>0</v>
      </c>
      <c r="AM9" s="129">
        <f t="shared" si="1"/>
        <v>0</v>
      </c>
    </row>
    <row r="10" spans="1:39" ht="27" customHeight="1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264"/>
      <c r="T10" s="264"/>
      <c r="U10" s="69"/>
      <c r="V10" s="69"/>
      <c r="W10" s="69"/>
      <c r="X10" s="69"/>
      <c r="Y10" s="265"/>
      <c r="Z10" s="265"/>
      <c r="AA10" s="265"/>
      <c r="AB10" s="128"/>
      <c r="AC10" s="128"/>
      <c r="AD10" s="132"/>
      <c r="AF10" s="129">
        <f t="shared" si="0"/>
        <v>0</v>
      </c>
      <c r="AG10" s="129">
        <f t="shared" si="0"/>
        <v>0</v>
      </c>
      <c r="AH10" s="129">
        <f t="shared" si="0"/>
        <v>0</v>
      </c>
      <c r="AI10" s="129">
        <f t="shared" si="0"/>
        <v>0</v>
      </c>
      <c r="AJ10" s="129">
        <f t="shared" si="1"/>
        <v>0</v>
      </c>
      <c r="AK10" s="129">
        <f t="shared" si="1"/>
        <v>0</v>
      </c>
      <c r="AL10" s="129">
        <f t="shared" si="1"/>
        <v>0</v>
      </c>
      <c r="AM10" s="129">
        <f t="shared" si="1"/>
        <v>0</v>
      </c>
    </row>
    <row r="11" spans="1:39" ht="27" customHeight="1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264"/>
      <c r="T11" s="264"/>
      <c r="U11" s="69"/>
      <c r="V11" s="69"/>
      <c r="W11" s="69"/>
      <c r="X11" s="69"/>
      <c r="Y11" s="265"/>
      <c r="Z11" s="265"/>
      <c r="AA11" s="265"/>
      <c r="AB11" s="128"/>
      <c r="AC11" s="128"/>
      <c r="AD11" s="132"/>
      <c r="AF11" s="129">
        <f t="shared" si="0"/>
        <v>0</v>
      </c>
      <c r="AG11" s="129">
        <f t="shared" si="0"/>
        <v>0</v>
      </c>
      <c r="AH11" s="129">
        <f t="shared" si="0"/>
        <v>0</v>
      </c>
      <c r="AI11" s="129">
        <f t="shared" si="0"/>
        <v>0</v>
      </c>
      <c r="AJ11" s="129">
        <f t="shared" si="1"/>
        <v>0</v>
      </c>
      <c r="AK11" s="129">
        <f t="shared" si="1"/>
        <v>0</v>
      </c>
      <c r="AL11" s="129">
        <f t="shared" si="1"/>
        <v>0</v>
      </c>
      <c r="AM11" s="129">
        <f t="shared" si="1"/>
        <v>0</v>
      </c>
    </row>
    <row r="12" spans="1:39" ht="27" customHeight="1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111"/>
      <c r="Z12" s="111"/>
      <c r="AA12" s="111"/>
      <c r="AB12" s="132"/>
      <c r="AC12" s="132"/>
      <c r="AD12" s="132"/>
    </row>
    <row r="13" spans="1:39" ht="27" customHeight="1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111"/>
      <c r="Z13" s="111"/>
      <c r="AA13" s="111"/>
      <c r="AB13" s="132"/>
      <c r="AC13" s="132"/>
      <c r="AD13" s="132"/>
    </row>
    <row r="14" spans="1:39" ht="27" customHeight="1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111"/>
      <c r="Z14" s="111"/>
      <c r="AA14" s="111"/>
      <c r="AB14" s="132"/>
      <c r="AC14" s="132"/>
      <c r="AD14" s="132"/>
    </row>
    <row r="15" spans="1:39" ht="27" customHeight="1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111"/>
      <c r="Z15" s="111"/>
      <c r="AA15" s="111"/>
      <c r="AB15" s="132"/>
      <c r="AC15" s="132"/>
      <c r="AD15" s="132"/>
    </row>
    <row r="16" spans="1:39" ht="27" customHeight="1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111"/>
      <c r="Z16" s="111"/>
      <c r="AA16" s="111"/>
      <c r="AB16" s="132"/>
      <c r="AC16" s="132"/>
      <c r="AD16" s="132"/>
    </row>
    <row r="17" spans="1:30" ht="27" customHeight="1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111"/>
      <c r="Z17" s="111"/>
      <c r="AA17" s="111"/>
      <c r="AB17" s="132"/>
      <c r="AC17" s="132"/>
      <c r="AD17" s="132"/>
    </row>
    <row r="18" spans="1:30" ht="27" customHeight="1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111"/>
      <c r="Z18" s="111"/>
      <c r="AA18" s="111"/>
      <c r="AB18" s="132"/>
      <c r="AC18" s="132"/>
      <c r="AD18" s="132"/>
    </row>
    <row r="19" spans="1:30" ht="27" customHeight="1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111"/>
      <c r="Z19" s="111"/>
      <c r="AA19" s="111"/>
      <c r="AB19" s="132"/>
      <c r="AC19" s="132"/>
      <c r="AD19" s="132"/>
    </row>
    <row r="20" spans="1:30" ht="27" customHeight="1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111"/>
      <c r="Z20" s="111"/>
      <c r="AA20" s="111"/>
      <c r="AB20" s="132"/>
      <c r="AC20" s="132"/>
      <c r="AD20" s="132"/>
    </row>
    <row r="21" spans="1:30" ht="27" customHeight="1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111"/>
      <c r="Z21" s="111"/>
      <c r="AA21" s="111"/>
      <c r="AB21" s="132"/>
      <c r="AC21" s="132"/>
      <c r="AD21" s="132"/>
    </row>
    <row r="22" spans="1:30" ht="27" customHeight="1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111"/>
      <c r="Z22" s="111"/>
      <c r="AA22" s="111"/>
      <c r="AB22" s="132"/>
      <c r="AC22" s="132"/>
      <c r="AD22" s="132"/>
    </row>
    <row r="23" spans="1:30" ht="27" customHeight="1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111"/>
      <c r="Z23" s="111"/>
      <c r="AA23" s="111"/>
      <c r="AB23" s="132"/>
      <c r="AC23" s="132"/>
      <c r="AD23" s="132"/>
    </row>
    <row r="24" spans="1:30" ht="27" customHeight="1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111"/>
      <c r="Z24" s="111"/>
      <c r="AA24" s="111"/>
      <c r="AB24" s="132"/>
      <c r="AC24" s="132"/>
      <c r="AD24" s="132"/>
    </row>
    <row r="25" spans="1:30" ht="27" customHeight="1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111"/>
      <c r="Z25" s="111"/>
      <c r="AA25" s="111"/>
      <c r="AB25" s="132"/>
      <c r="AC25" s="132"/>
      <c r="AD25" s="132"/>
    </row>
    <row r="26" spans="1:30" ht="27" customHeight="1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111"/>
      <c r="Z26" s="111"/>
      <c r="AA26" s="111"/>
      <c r="AB26" s="132"/>
      <c r="AC26" s="132"/>
      <c r="AD26" s="132"/>
    </row>
    <row r="27" spans="1:30" ht="27" customHeight="1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111"/>
      <c r="Z27" s="111"/>
      <c r="AA27" s="111"/>
      <c r="AB27" s="132"/>
      <c r="AC27" s="132"/>
      <c r="AD27" s="132"/>
    </row>
    <row r="28" spans="1:30" ht="27" customHeight="1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111"/>
      <c r="Z28" s="111"/>
      <c r="AA28" s="111"/>
      <c r="AB28" s="132"/>
      <c r="AC28" s="132"/>
      <c r="AD28" s="132"/>
    </row>
    <row r="29" spans="1:30" ht="27" customHeight="1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111"/>
      <c r="Z29" s="111"/>
      <c r="AA29" s="111"/>
      <c r="AB29" s="132"/>
      <c r="AC29" s="132"/>
      <c r="AD29" s="132"/>
    </row>
    <row r="30" spans="1:30" ht="27" customHeight="1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111"/>
      <c r="Z30" s="111"/>
      <c r="AA30" s="111"/>
      <c r="AB30" s="132"/>
      <c r="AC30" s="132"/>
      <c r="AD30" s="132"/>
    </row>
    <row r="31" spans="1:30" ht="27" customHeight="1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111"/>
      <c r="Z31" s="111"/>
      <c r="AA31" s="111"/>
      <c r="AB31" s="132"/>
      <c r="AC31" s="132"/>
      <c r="AD31" s="132"/>
    </row>
  </sheetData>
  <mergeCells count="33">
    <mergeCell ref="K5:K6"/>
    <mergeCell ref="I5:I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S5:S6"/>
    <mergeCell ref="G3:H3"/>
    <mergeCell ref="J5:J6"/>
    <mergeCell ref="O5:O6"/>
    <mergeCell ref="L5:L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N5:N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AZ11"/>
  <sheetViews>
    <sheetView zoomScale="85" zoomScaleNormal="85" workbookViewId="0">
      <selection activeCell="A7" sqref="A7:XFD1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7" width="5.75" style="13" customWidth="1"/>
    <col min="38" max="38" width="7.375" style="14" customWidth="1"/>
    <col min="41" max="41" width="7.75" customWidth="1"/>
    <col min="43" max="48" width="9" style="13"/>
    <col min="51" max="51" width="8.125" customWidth="1"/>
  </cols>
  <sheetData>
    <row r="1" spans="1:52" ht="64.150000000000006" customHeight="1" x14ac:dyDescent="0.3">
      <c r="A1" s="296" t="str">
        <f>정보!C3&amp;정보!B6</f>
        <v>(멍텅구리) 제작치수 자료( 경기도 의정부 드림밸리아파트-4차 )박철우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124"/>
      <c r="AJ1" s="124"/>
      <c r="AK1" s="381" t="s">
        <v>76</v>
      </c>
      <c r="AL1" s="381"/>
      <c r="AQ1" s="43"/>
    </row>
    <row r="2" spans="1:52" ht="28.5" customHeight="1" x14ac:dyDescent="0.3">
      <c r="A2" s="42" t="s">
        <v>86</v>
      </c>
      <c r="B2" s="76">
        <v>2</v>
      </c>
      <c r="C2" s="40" t="s">
        <v>87</v>
      </c>
      <c r="D2" s="75">
        <v>2</v>
      </c>
      <c r="E2" s="5"/>
      <c r="F2" s="15"/>
      <c r="G2" s="388" t="s">
        <v>82</v>
      </c>
      <c r="H2" s="388"/>
      <c r="I2" s="388"/>
      <c r="J2" s="394">
        <v>0</v>
      </c>
      <c r="K2" s="394"/>
      <c r="L2" s="391" t="s">
        <v>114</v>
      </c>
      <c r="M2" s="391"/>
      <c r="N2" s="391"/>
      <c r="O2" s="391"/>
      <c r="P2" s="392">
        <v>1</v>
      </c>
      <c r="Q2" s="392"/>
      <c r="R2" s="389" t="s">
        <v>104</v>
      </c>
      <c r="S2" s="390"/>
      <c r="T2" s="204">
        <v>0</v>
      </c>
      <c r="U2" s="395" t="s">
        <v>89</v>
      </c>
      <c r="V2" s="396"/>
      <c r="W2" s="387">
        <v>8</v>
      </c>
      <c r="X2" s="387"/>
      <c r="Y2" s="383" t="s">
        <v>83</v>
      </c>
      <c r="Z2" s="384"/>
      <c r="AA2" s="385">
        <v>4</v>
      </c>
      <c r="AB2" s="385"/>
      <c r="AC2" s="192" t="s">
        <v>115</v>
      </c>
      <c r="AD2" s="382">
        <v>4</v>
      </c>
      <c r="AE2" s="382"/>
      <c r="AF2" s="117"/>
      <c r="AG2" s="117"/>
      <c r="AH2" s="117"/>
      <c r="AI2" s="117"/>
      <c r="AJ2" s="117"/>
      <c r="AK2" s="381"/>
      <c r="AL2" s="381"/>
      <c r="AQ2" s="43"/>
    </row>
    <row r="3" spans="1:52" ht="33" customHeight="1" x14ac:dyDescent="0.3">
      <c r="A3" s="56" t="str">
        <f>'멍텅(실측)'!A3</f>
        <v>현장명 : 경기도 의정부 드림밸리아파트-4차,   (재질) : HL 1.2T</v>
      </c>
      <c r="B3" s="2"/>
      <c r="C3" s="2"/>
      <c r="D3" s="2"/>
      <c r="E3" s="2"/>
      <c r="F3" s="2"/>
      <c r="G3" s="398" t="s">
        <v>77</v>
      </c>
      <c r="H3" s="398"/>
      <c r="I3" s="398"/>
      <c r="J3" s="397">
        <v>5</v>
      </c>
      <c r="K3" s="397"/>
      <c r="L3" s="398" t="s">
        <v>78</v>
      </c>
      <c r="M3" s="398"/>
      <c r="N3" s="399">
        <v>8</v>
      </c>
      <c r="O3" s="399"/>
      <c r="P3" s="400" t="s">
        <v>234</v>
      </c>
      <c r="Q3" s="400"/>
      <c r="R3" s="400"/>
      <c r="S3" s="401">
        <f>AY7</f>
        <v>1</v>
      </c>
      <c r="T3" s="401"/>
      <c r="U3" s="393" t="s">
        <v>79</v>
      </c>
      <c r="V3" s="393"/>
      <c r="W3" s="386">
        <v>3</v>
      </c>
      <c r="X3" s="386"/>
      <c r="AA3" s="306" t="s">
        <v>74</v>
      </c>
      <c r="AB3" s="306"/>
      <c r="AC3" s="197">
        <v>3</v>
      </c>
      <c r="AD3" s="181" t="s">
        <v>75</v>
      </c>
      <c r="AE3" s="199">
        <v>4</v>
      </c>
      <c r="AF3" s="30"/>
      <c r="AG3" s="30"/>
      <c r="AH3" s="30"/>
      <c r="AI3" s="30"/>
      <c r="AJ3" s="30"/>
      <c r="AK3" s="44"/>
      <c r="AL3" s="43"/>
      <c r="AQ3" s="43"/>
    </row>
    <row r="4" spans="1:52" ht="33" customHeight="1" x14ac:dyDescent="0.3">
      <c r="A4" s="293" t="str">
        <f>'멍텅(실측)'!A4:Y4</f>
        <v>제작치수 반영 : JB/JD +(5 ),  늘어난치수K -(4),  C + (8),  U +(8), OP - (2), R - (2),  기둥차감 (4), 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4"/>
      <c r="AD4" s="410">
        <f ca="1">TODAY()</f>
        <v>44881</v>
      </c>
      <c r="AE4" s="294"/>
      <c r="AF4" s="408" t="s">
        <v>242</v>
      </c>
      <c r="AG4" s="408"/>
      <c r="AH4" s="409"/>
      <c r="AI4" s="304" t="s">
        <v>216</v>
      </c>
      <c r="AJ4" s="304"/>
      <c r="AK4" s="44"/>
      <c r="AL4" s="43"/>
      <c r="AQ4" s="43"/>
      <c r="AY4" s="308" t="s">
        <v>260</v>
      </c>
    </row>
    <row r="5" spans="1:52" ht="25.9" customHeight="1" x14ac:dyDescent="0.3">
      <c r="A5" s="298" t="s">
        <v>0</v>
      </c>
      <c r="B5" s="298" t="s">
        <v>1</v>
      </c>
      <c r="C5" s="298" t="s">
        <v>3</v>
      </c>
      <c r="D5" s="298" t="s">
        <v>18</v>
      </c>
      <c r="E5" s="299" t="s">
        <v>59</v>
      </c>
      <c r="F5" s="299" t="s">
        <v>60</v>
      </c>
      <c r="G5" s="402" t="s">
        <v>61</v>
      </c>
      <c r="H5" s="402" t="s">
        <v>65</v>
      </c>
      <c r="I5" s="411" t="s">
        <v>66</v>
      </c>
      <c r="J5" s="411" t="s">
        <v>67</v>
      </c>
      <c r="K5" s="369" t="s">
        <v>63</v>
      </c>
      <c r="L5" s="369" t="s">
        <v>64</v>
      </c>
      <c r="M5" s="298" t="s">
        <v>8</v>
      </c>
      <c r="N5" s="298" t="s">
        <v>9</v>
      </c>
      <c r="O5" s="298" t="s">
        <v>10</v>
      </c>
      <c r="P5" s="298" t="s">
        <v>11</v>
      </c>
      <c r="Q5" s="298" t="s">
        <v>14</v>
      </c>
      <c r="R5" s="298" t="s">
        <v>15</v>
      </c>
      <c r="S5" s="298" t="s">
        <v>16</v>
      </c>
      <c r="T5" s="298" t="s">
        <v>17</v>
      </c>
      <c r="U5" s="298" t="s">
        <v>19</v>
      </c>
      <c r="V5" s="404" t="s">
        <v>20</v>
      </c>
      <c r="W5" s="369" t="s">
        <v>22</v>
      </c>
      <c r="X5" s="369" t="s">
        <v>23</v>
      </c>
      <c r="Y5" s="371" t="s">
        <v>21</v>
      </c>
      <c r="Z5" s="372"/>
      <c r="AA5" s="372"/>
      <c r="AB5" s="373"/>
      <c r="AC5" s="299" t="s">
        <v>25</v>
      </c>
      <c r="AD5" s="406" t="s">
        <v>34</v>
      </c>
      <c r="AE5" s="299" t="s">
        <v>35</v>
      </c>
      <c r="AF5" s="320" t="s">
        <v>204</v>
      </c>
      <c r="AG5" s="320"/>
      <c r="AH5" s="320"/>
      <c r="AI5" s="302" t="s">
        <v>213</v>
      </c>
      <c r="AJ5" s="303"/>
      <c r="AK5" s="314" t="s">
        <v>52</v>
      </c>
      <c r="AL5" s="405" t="s">
        <v>51</v>
      </c>
      <c r="AS5" s="309" t="s">
        <v>28</v>
      </c>
      <c r="AT5" s="309"/>
      <c r="AU5" s="309" t="s">
        <v>29</v>
      </c>
      <c r="AV5" s="309"/>
      <c r="AY5" s="309"/>
    </row>
    <row r="6" spans="1:52" ht="48" customHeight="1" x14ac:dyDescent="0.3">
      <c r="A6" s="298"/>
      <c r="B6" s="298"/>
      <c r="C6" s="298"/>
      <c r="D6" s="298"/>
      <c r="E6" s="298"/>
      <c r="F6" s="298"/>
      <c r="G6" s="403"/>
      <c r="H6" s="403"/>
      <c r="I6" s="412"/>
      <c r="J6" s="412"/>
      <c r="K6" s="370"/>
      <c r="L6" s="370"/>
      <c r="M6" s="298"/>
      <c r="N6" s="298"/>
      <c r="O6" s="298"/>
      <c r="P6" s="298"/>
      <c r="Q6" s="298"/>
      <c r="R6" s="298"/>
      <c r="S6" s="298"/>
      <c r="T6" s="298"/>
      <c r="U6" s="298"/>
      <c r="V6" s="404"/>
      <c r="W6" s="370"/>
      <c r="X6" s="370"/>
      <c r="Y6" s="17" t="s">
        <v>57</v>
      </c>
      <c r="Z6" s="17" t="s">
        <v>58</v>
      </c>
      <c r="AA6" s="17" t="s">
        <v>55</v>
      </c>
      <c r="AB6" s="17" t="s">
        <v>56</v>
      </c>
      <c r="AC6" s="298"/>
      <c r="AD6" s="407"/>
      <c r="AE6" s="298"/>
      <c r="AF6" s="207" t="s">
        <v>201</v>
      </c>
      <c r="AG6" s="207" t="s">
        <v>202</v>
      </c>
      <c r="AH6" s="207" t="s">
        <v>203</v>
      </c>
      <c r="AI6" s="121" t="s">
        <v>214</v>
      </c>
      <c r="AJ6" s="121" t="s">
        <v>215</v>
      </c>
      <c r="AK6" s="314"/>
      <c r="AL6" s="405"/>
      <c r="AM6" s="35" t="s">
        <v>81</v>
      </c>
      <c r="AN6" s="71" t="s">
        <v>111</v>
      </c>
      <c r="AO6" s="73" t="s">
        <v>112</v>
      </c>
      <c r="AP6" s="36" t="s">
        <v>110</v>
      </c>
      <c r="AQ6" s="13" t="s">
        <v>27</v>
      </c>
      <c r="AR6" s="13" t="s">
        <v>26</v>
      </c>
      <c r="AS6" s="13" t="s">
        <v>30</v>
      </c>
      <c r="AT6" s="13" t="s">
        <v>31</v>
      </c>
      <c r="AU6" s="13" t="s">
        <v>30</v>
      </c>
      <c r="AV6" s="13" t="s">
        <v>31</v>
      </c>
      <c r="AW6" s="12" t="s">
        <v>49</v>
      </c>
      <c r="AX6" s="70" t="s">
        <v>113</v>
      </c>
      <c r="AY6" s="134" t="s">
        <v>232</v>
      </c>
      <c r="AZ6" s="138" t="s">
        <v>240</v>
      </c>
    </row>
    <row r="7" spans="1:52" ht="26.25" customHeight="1" x14ac:dyDescent="0.3">
      <c r="A7" s="6">
        <f>'멍텅(실측)'!A7</f>
        <v>0</v>
      </c>
      <c r="B7" s="6" t="str">
        <f>'멍텅(실측)'!B7&amp;"F"</f>
        <v>F</v>
      </c>
      <c r="C7" s="6">
        <f>'멍텅(실측)'!C7-멍텅OP</f>
        <v>-2</v>
      </c>
      <c r="D7" s="6">
        <f>'멍텅(실측)'!D7-멍텅R</f>
        <v>-2</v>
      </c>
      <c r="E7" s="77">
        <f>'멍텅(실측)'!E7+AK7+IF(AY7=1,Y7,0)+멍텅JBJD늘림치수</f>
        <v>1</v>
      </c>
      <c r="F7" s="77">
        <f>'멍텅(실측)'!F7+AK7+IF(AY7=1,AA7,0)+멍텅JBJD늘림치수</f>
        <v>1</v>
      </c>
      <c r="G7" s="77">
        <f>'멍텅(실측)'!G7+AK7+IF(AY7=1,Y7,0)+멍텅JB강제키움+멍텅JBJD늘림치수</f>
        <v>1</v>
      </c>
      <c r="H7" s="77">
        <f>'멍텅(실측)'!G7+AK7+IF(AY7=1,Z7,0)+멍텅JB강제키움+멍텅JBJD늘림치수-IF(멍텅JB하부늘치=1,'멍텅(실측)'!U7-'멍텅(실측)'!V7,0)</f>
        <v>1</v>
      </c>
      <c r="I7" s="77">
        <f>'멍텅(실측)'!H7+AK7+IF(AY7=1,AA7,0)+멍텅JB강제키움+멍텅JBJD늘림치수</f>
        <v>1</v>
      </c>
      <c r="J7" s="77">
        <f>'멍텅(실측)'!H7+AK7+IF(AY7=1,AB7,0)+멍텅JB강제키움+멍텅JBJD늘림치수-IF(멍텅JB하부늘치=1,'멍텅(실측)'!W7-'멍텅(실측)'!X7,0)</f>
        <v>1</v>
      </c>
      <c r="K7" s="19">
        <f t="shared" ref="K7:L7" si="0">M7+IF(소장="손상민",0,-1.5)</f>
        <v>-0.5</v>
      </c>
      <c r="L7" s="29">
        <f t="shared" si="0"/>
        <v>-0.5</v>
      </c>
      <c r="M7" s="6">
        <f>IF(O7&gt;0,'멍텅(실측)'!I7+멍텅C늘림,'멍텅(실측)'!I7+1)</f>
        <v>1</v>
      </c>
      <c r="N7" s="29">
        <f>IF(P7&gt;0,'멍텅(실측)'!J7+멍텅C늘림,'멍텅(실측)'!J7+1)</f>
        <v>1</v>
      </c>
      <c r="O7" s="6">
        <f>IF(ISNUMBER('멍텅(실측)'!K7),'멍텅(실측)'!K7+멍텅제작!AK7+멍텅A늘림,0)</f>
        <v>0</v>
      </c>
      <c r="P7" s="22">
        <f>IF(ISNUMBER('멍텅(실측)'!L7),'멍텅(실측)'!L7+멍텅제작!AK7+멍텅A늘림,0)</f>
        <v>0</v>
      </c>
      <c r="Q7" s="6">
        <f>'멍텅(실측)'!M7-멍텅기둥차감</f>
        <v>-4</v>
      </c>
      <c r="R7" s="37">
        <f>'멍텅(실측)'!N7-멍텅기둥차감</f>
        <v>-4</v>
      </c>
      <c r="S7" s="37">
        <f>'멍텅(실측)'!O7-멍텅기둥차감</f>
        <v>-4</v>
      </c>
      <c r="T7" s="37">
        <f>'멍텅(실측)'!P7-멍텅기둥차감</f>
        <v>-4</v>
      </c>
      <c r="U7" s="41">
        <f>IF(ISNUMBER('멍텅(실측)'!Q7),IF(V7&gt;0,'멍텅(실측)'!Q7+멍텅U늘림,'멍텅(실측)'!Q7+1.2),0)</f>
        <v>0</v>
      </c>
      <c r="V7" s="41">
        <f>IF(OR(멍텅G="", 멍텅G=0),IF(ISNUMBER('멍텅(실측)'!R7),IF('멍텅(실측)'!R7+멍텅A늘림+AK7&gt;9,'멍텅(실측)'!R7+멍텅A늘림+AK7,'멍텅(실측)'!R7+멍텅A늘림+AK7),0),멍텅G)</f>
        <v>0</v>
      </c>
      <c r="W7" s="6">
        <f>'멍텅(실측)'!S7+뒷날개치수더함</f>
        <v>0</v>
      </c>
      <c r="X7" s="29">
        <f>'멍텅(실측)'!T7+뒷날개치수더함</f>
        <v>0</v>
      </c>
      <c r="Y7" s="28">
        <f>'멍텅(실측)'!U7-멍텅늘치차감</f>
        <v>-4</v>
      </c>
      <c r="Z7" s="28">
        <f>IF(멍텅JB하부늘치=1,Y7,'멍텅(실측)'!V7-멍텅늘치차감)</f>
        <v>-4</v>
      </c>
      <c r="AA7" s="28">
        <f>'멍텅(실측)'!W7-멍텅늘치차감</f>
        <v>-4</v>
      </c>
      <c r="AB7" s="28">
        <f>IF(멍텅JB하부늘치=1,AA7,'멍텅(실측)'!X7-멍텅늘치차감)</f>
        <v>-4</v>
      </c>
      <c r="AC7" s="26" t="str">
        <f t="shared" ref="AC7" si="1">AQ7&amp;"*"&amp;AR7</f>
        <v>-2*-1.4</v>
      </c>
      <c r="AD7" s="27" t="str">
        <f t="shared" ref="AD7" si="2">AT7&amp;"*"&amp;AS7</f>
        <v>-4*-1.6</v>
      </c>
      <c r="AE7" s="25" t="str">
        <f t="shared" ref="AE7" si="3">AV7&amp;"*"&amp;AU7</f>
        <v>-4*-1.6</v>
      </c>
      <c r="AF7" s="143">
        <f>IF('멍텅(실측)'!Y7&gt;5,'멍텅(실측)'!Y7+뒷날개치수더함,'멍텅(실측)'!Y7)</f>
        <v>0</v>
      </c>
      <c r="AG7" s="143">
        <f>'멍텅(실측)'!Z7</f>
        <v>0</v>
      </c>
      <c r="AH7" s="143">
        <f>'멍텅(실측)'!AA7</f>
        <v>0</v>
      </c>
      <c r="AI7" s="54">
        <f>IF('멍텅(실측)'!AB7&gt;0,'멍텅(실측)'!AB7-'멍텅(실측)'!S7+1.2,0)</f>
        <v>0</v>
      </c>
      <c r="AJ7" s="54">
        <f>IF('멍텅(실측)'!AC7&gt;0,'멍텅(실측)'!AC7-'멍텅(실측)'!S7+1.2,0)</f>
        <v>0</v>
      </c>
      <c r="AK7" s="20">
        <f>IF(ISNUMBER('멍텅(실측)'!K7),IF(9-MIN('멍텅(실측)'!K7+멍텅A늘림,'멍텅(실측)'!L7+멍텅A늘림)+AL7&lt;AL7,AL7,9-MIN('멍텅(실측)'!K7+멍텅A늘림,'멍텅(실측)'!L7+멍텅A늘림)+AL7),0)</f>
        <v>0</v>
      </c>
      <c r="AL7" s="32"/>
      <c r="AM7" s="34">
        <f t="shared" ref="AM7" si="4">DEGREES(ATAN((D7-C7)/2/(E7)))</f>
        <v>0</v>
      </c>
      <c r="AN7" s="59">
        <f t="shared" ref="AN7" si="5">E7-COS(RADIANS(AM7))*G7</f>
        <v>0</v>
      </c>
      <c r="AO7" s="59">
        <f t="shared" ref="AO7" si="6">F7-COS(RADIANS(AM7))*I7</f>
        <v>0</v>
      </c>
      <c r="AP7" s="72" t="str">
        <f t="shared" ref="AP7" si="7">IF(E7+Y7&lt;&gt;F7+AA7,"JD비대칭","")</f>
        <v/>
      </c>
      <c r="AQ7" s="13">
        <f>D7 + IF(U7+V7&gt;0, K7+L7,0)</f>
        <v>-2</v>
      </c>
      <c r="AR7" s="16">
        <f>U7+MAX(E7,F7)+W7+V7-1.2*$AC$3+IF(AY7=0,MAX(Y7,AA7))+IF(V7=0,1.2,0)</f>
        <v>-1.3999999999999997</v>
      </c>
      <c r="AS7" s="33">
        <f>O7+M7+MAX(G7,H7)+X7-1.2*$AE$3+IF(AY7=0,MAX(Y7,Z7))+IF(O7=0,1.2,0)-IF(AH7=90,2.4,0)</f>
        <v>-1.5999999999999999</v>
      </c>
      <c r="AT7" s="13">
        <f t="shared" ref="AT7" si="8">MAX(Q7,R7)</f>
        <v>-4</v>
      </c>
      <c r="AU7" s="33">
        <f>P7+N7+MAX(I7,J7)+X7-1.2*$AE$3+IF(AY7=0,MAX(AA7,AB7))+IF(P7=0,1.2,0)-IF(AH7=90,2.4,0)</f>
        <v>-1.5999999999999999</v>
      </c>
      <c r="AV7" s="13">
        <f t="shared" ref="AV7" si="9">MAX(S7,T7)</f>
        <v>-4</v>
      </c>
      <c r="AW7">
        <f t="shared" ref="AW7" si="10">G7-E7</f>
        <v>0</v>
      </c>
      <c r="AX7">
        <f t="shared" ref="AX7" si="11">9-V7</f>
        <v>9</v>
      </c>
      <c r="AY7" s="135">
        <f>IF(AND(MIN(Y7,AA7)&gt;=9.2,D7-C7&gt;15),0,1)</f>
        <v>1</v>
      </c>
      <c r="AZ7" s="139">
        <f>IF(소장="손상민",'멍텅(실측)'!AD7,0)</f>
        <v>0</v>
      </c>
    </row>
    <row r="8" spans="1:52" s="228" customFormat="1" ht="26.25" customHeight="1" x14ac:dyDescent="0.3">
      <c r="A8" s="264">
        <f>'멍텅(실측)'!A8</f>
        <v>0</v>
      </c>
      <c r="B8" s="264" t="str">
        <f>'멍텅(실측)'!B8&amp;"F"</f>
        <v>F</v>
      </c>
      <c r="C8" s="264">
        <f>'멍텅(실측)'!C8-멍텅OP</f>
        <v>-2</v>
      </c>
      <c r="D8" s="264">
        <f>'멍텅(실측)'!D8-멍텅R</f>
        <v>-2</v>
      </c>
      <c r="E8" s="77">
        <f>'멍텅(실측)'!E8+AK8+IF(AY8=1,Y8,0)+멍텅JBJD늘림치수</f>
        <v>1</v>
      </c>
      <c r="F8" s="77">
        <f>'멍텅(실측)'!F8+AK8+IF(AY8=1,AA8,0)+멍텅JBJD늘림치수</f>
        <v>1</v>
      </c>
      <c r="G8" s="77">
        <f>'멍텅(실측)'!G8+AK8+IF(AY8=1,Y8,0)+멍텅JB강제키움+멍텅JBJD늘림치수</f>
        <v>1</v>
      </c>
      <c r="H8" s="77">
        <f>'멍텅(실측)'!G8+AK8+IF(AY8=1,Z8,0)+멍텅JB강제키움+멍텅JBJD늘림치수-IF(멍텅JB하부늘치=1,'멍텅(실측)'!U8-'멍텅(실측)'!V8,0)</f>
        <v>1</v>
      </c>
      <c r="I8" s="77">
        <f>'멍텅(실측)'!H8+AK8+IF(AY8=1,AA8,0)+멍텅JB강제키움+멍텅JBJD늘림치수</f>
        <v>1</v>
      </c>
      <c r="J8" s="77">
        <f>'멍텅(실측)'!H8+AK8+IF(AY8=1,AB8,0)+멍텅JB강제키움+멍텅JBJD늘림치수-IF(멍텅JB하부늘치=1,'멍텅(실측)'!W8-'멍텅(실측)'!X8,0)</f>
        <v>1</v>
      </c>
      <c r="K8" s="264">
        <f t="shared" ref="K8:K11" si="12">M8+IF(소장="손상민",0,-1.5)</f>
        <v>-0.5</v>
      </c>
      <c r="L8" s="264">
        <f t="shared" ref="L8:L11" si="13">N8+IF(소장="손상민",0,-1.5)</f>
        <v>-0.5</v>
      </c>
      <c r="M8" s="264">
        <f>IF(O8&gt;0,'멍텅(실측)'!I8+멍텅C늘림,'멍텅(실측)'!I8+1)</f>
        <v>1</v>
      </c>
      <c r="N8" s="264">
        <f>IF(P8&gt;0,'멍텅(실측)'!J8+멍텅C늘림,'멍텅(실측)'!J8+1)</f>
        <v>1</v>
      </c>
      <c r="O8" s="264">
        <f>IF(ISNUMBER('멍텅(실측)'!K8),'멍텅(실측)'!K8+멍텅제작!AK8+멍텅A늘림,0)</f>
        <v>0</v>
      </c>
      <c r="P8" s="264">
        <f>IF(ISNUMBER('멍텅(실측)'!L8),'멍텅(실측)'!L8+멍텅제작!AK8+멍텅A늘림,0)</f>
        <v>0</v>
      </c>
      <c r="Q8" s="264">
        <f>'멍텅(실측)'!M8-멍텅기둥차감</f>
        <v>-4</v>
      </c>
      <c r="R8" s="264">
        <f>'멍텅(실측)'!N8-멍텅기둥차감</f>
        <v>-4</v>
      </c>
      <c r="S8" s="264">
        <f>'멍텅(실측)'!O8-멍텅기둥차감</f>
        <v>-4</v>
      </c>
      <c r="T8" s="264">
        <f>'멍텅(실측)'!P8-멍텅기둥차감</f>
        <v>-4</v>
      </c>
      <c r="U8" s="265">
        <f>IF(ISNUMBER('멍텅(실측)'!Q8),IF(V8&gt;0,'멍텅(실측)'!Q8+멍텅U늘림,'멍텅(실측)'!Q8+1.2),0)</f>
        <v>0</v>
      </c>
      <c r="V8" s="265">
        <f>IF(OR(멍텅G="", 멍텅G=0),IF(ISNUMBER('멍텅(실측)'!R8),IF('멍텅(실측)'!R8+멍텅A늘림+AK8&gt;9,'멍텅(실측)'!R8+멍텅A늘림+AK8,'멍텅(실측)'!R8+멍텅A늘림+AK8),0),멍텅G)</f>
        <v>0</v>
      </c>
      <c r="W8" s="264">
        <f>'멍텅(실측)'!S8+뒷날개치수더함</f>
        <v>0</v>
      </c>
      <c r="X8" s="264">
        <f>'멍텅(실측)'!T8+뒷날개치수더함</f>
        <v>0</v>
      </c>
      <c r="Y8" s="226">
        <f>'멍텅(실측)'!U8-멍텅늘치차감</f>
        <v>-4</v>
      </c>
      <c r="Z8" s="226">
        <f>IF(멍텅JB하부늘치=1,Y8,'멍텅(실측)'!V8-멍텅늘치차감)</f>
        <v>-4</v>
      </c>
      <c r="AA8" s="226">
        <f>'멍텅(실측)'!W8-멍텅늘치차감</f>
        <v>-4</v>
      </c>
      <c r="AB8" s="226">
        <f>IF(멍텅JB하부늘치=1,AA8,'멍텅(실측)'!X8-멍텅늘치차감)</f>
        <v>-4</v>
      </c>
      <c r="AC8" s="26" t="str">
        <f t="shared" ref="AC8:AC11" si="14">AQ8&amp;"*"&amp;AR8</f>
        <v>-2*-1.4</v>
      </c>
      <c r="AD8" s="27" t="str">
        <f t="shared" ref="AD8:AD11" si="15">AT8&amp;"*"&amp;AS8</f>
        <v>-4*-1.6</v>
      </c>
      <c r="AE8" s="25" t="str">
        <f t="shared" ref="AE8:AE11" si="16">AV8&amp;"*"&amp;AU8</f>
        <v>-4*-1.6</v>
      </c>
      <c r="AF8" s="265">
        <f>IF('멍텅(실측)'!Y8&gt;5,'멍텅(실측)'!Y8+뒷날개치수더함,'멍텅(실측)'!Y8)</f>
        <v>0</v>
      </c>
      <c r="AG8" s="265">
        <f>'멍텅(실측)'!Z8</f>
        <v>0</v>
      </c>
      <c r="AH8" s="265">
        <f>'멍텅(실측)'!AA8</f>
        <v>0</v>
      </c>
      <c r="AI8" s="54">
        <f>IF('멍텅(실측)'!AB8&gt;0,'멍텅(실측)'!AB8-'멍텅(실측)'!S8+1.2,0)</f>
        <v>0</v>
      </c>
      <c r="AJ8" s="54">
        <f>IF('멍텅(실측)'!AC8&gt;0,'멍텅(실측)'!AC8-'멍텅(실측)'!S8+1.2,0)</f>
        <v>0</v>
      </c>
      <c r="AK8" s="266">
        <f>IF(ISNUMBER('멍텅(실측)'!K8),IF(9-MIN('멍텅(실측)'!K8+멍텅A늘림,'멍텅(실측)'!L8+멍텅A늘림)+AL8&lt;AL8,AL8,9-MIN('멍텅(실측)'!K8+멍텅A늘림,'멍텅(실측)'!L8+멍텅A늘림)+AL8),0)</f>
        <v>0</v>
      </c>
      <c r="AL8" s="267"/>
      <c r="AM8" s="34">
        <f t="shared" ref="AM8:AM11" si="17">DEGREES(ATAN((D8-C8)/2/(E8)))</f>
        <v>0</v>
      </c>
      <c r="AN8" s="59">
        <f t="shared" ref="AN8:AN11" si="18">E8-COS(RADIANS(AM8))*G8</f>
        <v>0</v>
      </c>
      <c r="AO8" s="59">
        <f t="shared" ref="AO8:AO11" si="19">F8-COS(RADIANS(AM8))*I8</f>
        <v>0</v>
      </c>
      <c r="AP8" s="72" t="str">
        <f t="shared" ref="AP8:AP11" si="20">IF(E8+Y8&lt;&gt;F8+AA8,"JD비대칭","")</f>
        <v/>
      </c>
      <c r="AQ8" s="266">
        <f t="shared" ref="AQ8:AQ11" si="21">D8 + IF(U8+V8&gt;0, K8+L8,0)</f>
        <v>-2</v>
      </c>
      <c r="AR8" s="266">
        <f t="shared" ref="AR8:AR11" si="22">U8+MAX(E8,F8)+W8+V8-1.2*$AC$3+IF(AY8=0,MAX(Y8,AA8))+IF(V8=0,1.2,0)</f>
        <v>-1.3999999999999997</v>
      </c>
      <c r="AS8" s="266">
        <f t="shared" ref="AS8:AS11" si="23">O8+M8+MAX(G8,H8)+X8-1.2*$AE$3+IF(AY8=0,MAX(Y8,Z8))+IF(O8=0,1.2,0)-IF(AH8=90,2.4,0)</f>
        <v>-1.5999999999999999</v>
      </c>
      <c r="AT8" s="266">
        <f t="shared" ref="AT8:AT11" si="24">MAX(Q8,R8)</f>
        <v>-4</v>
      </c>
      <c r="AU8" s="266">
        <f t="shared" ref="AU8:AU11" si="25">P8+N8+MAX(I8,J8)+X8-1.2*$AE$3+IF(AY8=0,MAX(AA8,AB8))+IF(P8=0,1.2,0)-IF(AH8=90,2.4,0)</f>
        <v>-1.5999999999999999</v>
      </c>
      <c r="AV8" s="266">
        <f t="shared" ref="AV8:AV11" si="26">MAX(S8,T8)</f>
        <v>-4</v>
      </c>
      <c r="AW8" s="228">
        <f t="shared" ref="AW8:AW11" si="27">G8-E8</f>
        <v>0</v>
      </c>
      <c r="AX8" s="228">
        <f t="shared" ref="AX8:AX11" si="28">9-V8</f>
        <v>9</v>
      </c>
      <c r="AY8" s="135">
        <f t="shared" ref="AY8:AY11" si="29">IF(AND(MIN(Y8,AA8)&gt;=9.2,D8-C8&gt;15),0,1)</f>
        <v>1</v>
      </c>
      <c r="AZ8" s="139">
        <f>IF(소장="손상민",'멍텅(실측)'!AD8,0)</f>
        <v>0</v>
      </c>
    </row>
    <row r="9" spans="1:52" s="228" customFormat="1" ht="26.25" customHeight="1" x14ac:dyDescent="0.3">
      <c r="A9" s="264">
        <f>'멍텅(실측)'!A9</f>
        <v>0</v>
      </c>
      <c r="B9" s="264" t="str">
        <f>'멍텅(실측)'!B9&amp;"F"</f>
        <v>F</v>
      </c>
      <c r="C9" s="264">
        <f>'멍텅(실측)'!C9-멍텅OP</f>
        <v>-2</v>
      </c>
      <c r="D9" s="264">
        <f>'멍텅(실측)'!D9-멍텅R</f>
        <v>-2</v>
      </c>
      <c r="E9" s="77">
        <f>'멍텅(실측)'!E9+AK9+IF(AY9=1,Y9,0)+멍텅JBJD늘림치수</f>
        <v>1</v>
      </c>
      <c r="F9" s="77">
        <f>'멍텅(실측)'!F9+AK9+IF(AY9=1,AA9,0)+멍텅JBJD늘림치수</f>
        <v>1</v>
      </c>
      <c r="G9" s="77">
        <f>'멍텅(실측)'!G9+AK9+IF(AY9=1,Y9,0)+멍텅JB강제키움+멍텅JBJD늘림치수</f>
        <v>1</v>
      </c>
      <c r="H9" s="77">
        <f>'멍텅(실측)'!G9+AK9+IF(AY9=1,Z9,0)+멍텅JB강제키움+멍텅JBJD늘림치수-IF(멍텅JB하부늘치=1,'멍텅(실측)'!U9-'멍텅(실측)'!V9,0)</f>
        <v>1</v>
      </c>
      <c r="I9" s="77">
        <f>'멍텅(실측)'!H9+AK9+IF(AY9=1,AA9,0)+멍텅JB강제키움+멍텅JBJD늘림치수</f>
        <v>1</v>
      </c>
      <c r="J9" s="77">
        <f>'멍텅(실측)'!H9+AK9+IF(AY9=1,AB9,0)+멍텅JB강제키움+멍텅JBJD늘림치수-IF(멍텅JB하부늘치=1,'멍텅(실측)'!W9-'멍텅(실측)'!X9,0)</f>
        <v>1</v>
      </c>
      <c r="K9" s="264">
        <f t="shared" si="12"/>
        <v>-0.5</v>
      </c>
      <c r="L9" s="264">
        <f t="shared" si="13"/>
        <v>-0.5</v>
      </c>
      <c r="M9" s="264">
        <f>IF(O9&gt;0,'멍텅(실측)'!I9+멍텅C늘림,'멍텅(실측)'!I9+1)</f>
        <v>1</v>
      </c>
      <c r="N9" s="264">
        <f>IF(P9&gt;0,'멍텅(실측)'!J9+멍텅C늘림,'멍텅(실측)'!J9+1)</f>
        <v>1</v>
      </c>
      <c r="O9" s="264">
        <f>IF(ISNUMBER('멍텅(실측)'!K9),'멍텅(실측)'!K9+멍텅제작!AK9+멍텅A늘림,0)</f>
        <v>0</v>
      </c>
      <c r="P9" s="264">
        <f>IF(ISNUMBER('멍텅(실측)'!L9),'멍텅(실측)'!L9+멍텅제작!AK9+멍텅A늘림,0)</f>
        <v>0</v>
      </c>
      <c r="Q9" s="264">
        <f>'멍텅(실측)'!M9-멍텅기둥차감</f>
        <v>-4</v>
      </c>
      <c r="R9" s="264">
        <f>'멍텅(실측)'!N9-멍텅기둥차감</f>
        <v>-4</v>
      </c>
      <c r="S9" s="264">
        <f>'멍텅(실측)'!O9-멍텅기둥차감</f>
        <v>-4</v>
      </c>
      <c r="T9" s="264">
        <f>'멍텅(실측)'!P9-멍텅기둥차감</f>
        <v>-4</v>
      </c>
      <c r="U9" s="265">
        <f>IF(ISNUMBER('멍텅(실측)'!Q9),IF(V9&gt;0,'멍텅(실측)'!Q9+멍텅U늘림,'멍텅(실측)'!Q9+1.2),0)</f>
        <v>0</v>
      </c>
      <c r="V9" s="265">
        <f>IF(OR(멍텅G="", 멍텅G=0),IF(ISNUMBER('멍텅(실측)'!R9),IF('멍텅(실측)'!R9+멍텅A늘림+AK9&gt;9,'멍텅(실측)'!R9+멍텅A늘림+AK9,'멍텅(실측)'!R9+멍텅A늘림+AK9),0),멍텅G)</f>
        <v>0</v>
      </c>
      <c r="W9" s="264">
        <f>'멍텅(실측)'!S9+뒷날개치수더함</f>
        <v>0</v>
      </c>
      <c r="X9" s="264">
        <f>'멍텅(실측)'!T9+뒷날개치수더함</f>
        <v>0</v>
      </c>
      <c r="Y9" s="226">
        <f>'멍텅(실측)'!U9-멍텅늘치차감</f>
        <v>-4</v>
      </c>
      <c r="Z9" s="226">
        <f>IF(멍텅JB하부늘치=1,Y9,'멍텅(실측)'!V9-멍텅늘치차감)</f>
        <v>-4</v>
      </c>
      <c r="AA9" s="226">
        <f>'멍텅(실측)'!W9-멍텅늘치차감</f>
        <v>-4</v>
      </c>
      <c r="AB9" s="226">
        <f>IF(멍텅JB하부늘치=1,AA9,'멍텅(실측)'!X9-멍텅늘치차감)</f>
        <v>-4</v>
      </c>
      <c r="AC9" s="26" t="str">
        <f t="shared" si="14"/>
        <v>-2*-1.4</v>
      </c>
      <c r="AD9" s="27" t="str">
        <f t="shared" si="15"/>
        <v>-4*-1.6</v>
      </c>
      <c r="AE9" s="25" t="str">
        <f t="shared" si="16"/>
        <v>-4*-1.6</v>
      </c>
      <c r="AF9" s="265">
        <f>IF('멍텅(실측)'!Y9&gt;5,'멍텅(실측)'!Y9+뒷날개치수더함,'멍텅(실측)'!Y9)</f>
        <v>0</v>
      </c>
      <c r="AG9" s="265">
        <f>'멍텅(실측)'!Z9</f>
        <v>0</v>
      </c>
      <c r="AH9" s="265">
        <f>'멍텅(실측)'!AA9</f>
        <v>0</v>
      </c>
      <c r="AI9" s="54">
        <f>IF('멍텅(실측)'!AB9&gt;0,'멍텅(실측)'!AB9-'멍텅(실측)'!S9+1.2,0)</f>
        <v>0</v>
      </c>
      <c r="AJ9" s="54">
        <f>IF('멍텅(실측)'!AC9&gt;0,'멍텅(실측)'!AC9-'멍텅(실측)'!S9+1.2,0)</f>
        <v>0</v>
      </c>
      <c r="AK9" s="266">
        <f>IF(ISNUMBER('멍텅(실측)'!K9),IF(9-MIN('멍텅(실측)'!K9+멍텅A늘림,'멍텅(실측)'!L9+멍텅A늘림)+AL9&lt;AL9,AL9,9-MIN('멍텅(실측)'!K9+멍텅A늘림,'멍텅(실측)'!L9+멍텅A늘림)+AL9),0)</f>
        <v>0</v>
      </c>
      <c r="AL9" s="267"/>
      <c r="AM9" s="34">
        <f t="shared" si="17"/>
        <v>0</v>
      </c>
      <c r="AN9" s="59">
        <f t="shared" si="18"/>
        <v>0</v>
      </c>
      <c r="AO9" s="59">
        <f t="shared" si="19"/>
        <v>0</v>
      </c>
      <c r="AP9" s="72" t="str">
        <f t="shared" si="20"/>
        <v/>
      </c>
      <c r="AQ9" s="266">
        <f t="shared" si="21"/>
        <v>-2</v>
      </c>
      <c r="AR9" s="266">
        <f t="shared" si="22"/>
        <v>-1.3999999999999997</v>
      </c>
      <c r="AS9" s="266">
        <f t="shared" si="23"/>
        <v>-1.5999999999999999</v>
      </c>
      <c r="AT9" s="266">
        <f t="shared" si="24"/>
        <v>-4</v>
      </c>
      <c r="AU9" s="266">
        <f t="shared" si="25"/>
        <v>-1.5999999999999999</v>
      </c>
      <c r="AV9" s="266">
        <f t="shared" si="26"/>
        <v>-4</v>
      </c>
      <c r="AW9" s="228">
        <f t="shared" si="27"/>
        <v>0</v>
      </c>
      <c r="AX9" s="228">
        <f t="shared" si="28"/>
        <v>9</v>
      </c>
      <c r="AY9" s="135">
        <f t="shared" si="29"/>
        <v>1</v>
      </c>
      <c r="AZ9" s="139">
        <f>IF(소장="손상민",'멍텅(실측)'!AD9,0)</f>
        <v>0</v>
      </c>
    </row>
    <row r="10" spans="1:52" s="228" customFormat="1" ht="26.25" customHeight="1" x14ac:dyDescent="0.3">
      <c r="A10" s="264">
        <f>'멍텅(실측)'!A10</f>
        <v>0</v>
      </c>
      <c r="B10" s="264" t="str">
        <f>'멍텅(실측)'!B10&amp;"F"</f>
        <v>F</v>
      </c>
      <c r="C10" s="264">
        <f>'멍텅(실측)'!C10-멍텅OP</f>
        <v>-2</v>
      </c>
      <c r="D10" s="264">
        <f>'멍텅(실측)'!D10-멍텅R</f>
        <v>-2</v>
      </c>
      <c r="E10" s="77">
        <f>'멍텅(실측)'!E10+AK10+IF(AY10=1,Y10,0)+멍텅JBJD늘림치수</f>
        <v>1</v>
      </c>
      <c r="F10" s="77">
        <f>'멍텅(실측)'!F10+AK10+IF(AY10=1,AA10,0)+멍텅JBJD늘림치수</f>
        <v>1</v>
      </c>
      <c r="G10" s="77">
        <f>'멍텅(실측)'!G10+AK10+IF(AY10=1,Y10,0)+멍텅JB강제키움+멍텅JBJD늘림치수</f>
        <v>1</v>
      </c>
      <c r="H10" s="77">
        <f>'멍텅(실측)'!G10+AK10+IF(AY10=1,Z10,0)+멍텅JB강제키움+멍텅JBJD늘림치수-IF(멍텅JB하부늘치=1,'멍텅(실측)'!U10-'멍텅(실측)'!V10,0)</f>
        <v>1</v>
      </c>
      <c r="I10" s="77">
        <f>'멍텅(실측)'!H10+AK10+IF(AY10=1,AA10,0)+멍텅JB강제키움+멍텅JBJD늘림치수</f>
        <v>1</v>
      </c>
      <c r="J10" s="77">
        <f>'멍텅(실측)'!H10+AK10+IF(AY10=1,AB10,0)+멍텅JB강제키움+멍텅JBJD늘림치수-IF(멍텅JB하부늘치=1,'멍텅(실측)'!W10-'멍텅(실측)'!X10,0)</f>
        <v>1</v>
      </c>
      <c r="K10" s="264">
        <f t="shared" si="12"/>
        <v>-0.5</v>
      </c>
      <c r="L10" s="264">
        <f t="shared" si="13"/>
        <v>-0.5</v>
      </c>
      <c r="M10" s="264">
        <f>IF(O10&gt;0,'멍텅(실측)'!I10+멍텅C늘림,'멍텅(실측)'!I10+1)</f>
        <v>1</v>
      </c>
      <c r="N10" s="264">
        <f>IF(P10&gt;0,'멍텅(실측)'!J10+멍텅C늘림,'멍텅(실측)'!J10+1)</f>
        <v>1</v>
      </c>
      <c r="O10" s="264">
        <f>IF(ISNUMBER('멍텅(실측)'!K10),'멍텅(실측)'!K10+멍텅제작!AK10+멍텅A늘림,0)</f>
        <v>0</v>
      </c>
      <c r="P10" s="264">
        <f>IF(ISNUMBER('멍텅(실측)'!L10),'멍텅(실측)'!L10+멍텅제작!AK10+멍텅A늘림,0)</f>
        <v>0</v>
      </c>
      <c r="Q10" s="264">
        <f>'멍텅(실측)'!M10-멍텅기둥차감</f>
        <v>-4</v>
      </c>
      <c r="R10" s="264">
        <f>'멍텅(실측)'!N10-멍텅기둥차감</f>
        <v>-4</v>
      </c>
      <c r="S10" s="264">
        <f>'멍텅(실측)'!O10-멍텅기둥차감</f>
        <v>-4</v>
      </c>
      <c r="T10" s="264">
        <f>'멍텅(실측)'!P10-멍텅기둥차감</f>
        <v>-4</v>
      </c>
      <c r="U10" s="265">
        <f>IF(ISNUMBER('멍텅(실측)'!Q10),IF(V10&gt;0,'멍텅(실측)'!Q10+멍텅U늘림,'멍텅(실측)'!Q10+1.2),0)</f>
        <v>0</v>
      </c>
      <c r="V10" s="265">
        <f>IF(OR(멍텅G="", 멍텅G=0),IF(ISNUMBER('멍텅(실측)'!R10),IF('멍텅(실측)'!R10+멍텅A늘림+AK10&gt;9,'멍텅(실측)'!R10+멍텅A늘림+AK10,'멍텅(실측)'!R10+멍텅A늘림+AK10),0),멍텅G)</f>
        <v>0</v>
      </c>
      <c r="W10" s="264">
        <f>'멍텅(실측)'!S10+뒷날개치수더함</f>
        <v>0</v>
      </c>
      <c r="X10" s="264">
        <f>'멍텅(실측)'!T10+뒷날개치수더함</f>
        <v>0</v>
      </c>
      <c r="Y10" s="226">
        <f>'멍텅(실측)'!U10-멍텅늘치차감</f>
        <v>-4</v>
      </c>
      <c r="Z10" s="226">
        <f>IF(멍텅JB하부늘치=1,Y10,'멍텅(실측)'!V10-멍텅늘치차감)</f>
        <v>-4</v>
      </c>
      <c r="AA10" s="226">
        <f>'멍텅(실측)'!W10-멍텅늘치차감</f>
        <v>-4</v>
      </c>
      <c r="AB10" s="226">
        <f>IF(멍텅JB하부늘치=1,AA10,'멍텅(실측)'!X10-멍텅늘치차감)</f>
        <v>-4</v>
      </c>
      <c r="AC10" s="26" t="str">
        <f t="shared" si="14"/>
        <v>-2*-1.4</v>
      </c>
      <c r="AD10" s="27" t="str">
        <f t="shared" si="15"/>
        <v>-4*-1.6</v>
      </c>
      <c r="AE10" s="25" t="str">
        <f t="shared" si="16"/>
        <v>-4*-1.6</v>
      </c>
      <c r="AF10" s="265">
        <f>IF('멍텅(실측)'!Y10&gt;5,'멍텅(실측)'!Y10+뒷날개치수더함,'멍텅(실측)'!Y10)</f>
        <v>0</v>
      </c>
      <c r="AG10" s="265">
        <f>'멍텅(실측)'!Z10</f>
        <v>0</v>
      </c>
      <c r="AH10" s="265">
        <f>'멍텅(실측)'!AA10</f>
        <v>0</v>
      </c>
      <c r="AI10" s="54">
        <f>IF('멍텅(실측)'!AB10&gt;0,'멍텅(실측)'!AB10-'멍텅(실측)'!S10+1.2,0)</f>
        <v>0</v>
      </c>
      <c r="AJ10" s="54">
        <f>IF('멍텅(실측)'!AC10&gt;0,'멍텅(실측)'!AC10-'멍텅(실측)'!S10+1.2,0)</f>
        <v>0</v>
      </c>
      <c r="AK10" s="266">
        <f>IF(ISNUMBER('멍텅(실측)'!K10),IF(9-MIN('멍텅(실측)'!K10+멍텅A늘림,'멍텅(실측)'!L10+멍텅A늘림)+AL10&lt;AL10,AL10,9-MIN('멍텅(실측)'!K10+멍텅A늘림,'멍텅(실측)'!L10+멍텅A늘림)+AL10),0)</f>
        <v>0</v>
      </c>
      <c r="AL10" s="267"/>
      <c r="AM10" s="34">
        <f t="shared" si="17"/>
        <v>0</v>
      </c>
      <c r="AN10" s="59">
        <f t="shared" si="18"/>
        <v>0</v>
      </c>
      <c r="AO10" s="59">
        <f t="shared" si="19"/>
        <v>0</v>
      </c>
      <c r="AP10" s="72" t="str">
        <f t="shared" si="20"/>
        <v/>
      </c>
      <c r="AQ10" s="266">
        <f t="shared" si="21"/>
        <v>-2</v>
      </c>
      <c r="AR10" s="266">
        <f t="shared" si="22"/>
        <v>-1.3999999999999997</v>
      </c>
      <c r="AS10" s="266">
        <f t="shared" si="23"/>
        <v>-1.5999999999999999</v>
      </c>
      <c r="AT10" s="266">
        <f t="shared" si="24"/>
        <v>-4</v>
      </c>
      <c r="AU10" s="266">
        <f t="shared" si="25"/>
        <v>-1.5999999999999999</v>
      </c>
      <c r="AV10" s="266">
        <f t="shared" si="26"/>
        <v>-4</v>
      </c>
      <c r="AW10" s="228">
        <f t="shared" si="27"/>
        <v>0</v>
      </c>
      <c r="AX10" s="228">
        <f t="shared" si="28"/>
        <v>9</v>
      </c>
      <c r="AY10" s="135">
        <f t="shared" si="29"/>
        <v>1</v>
      </c>
      <c r="AZ10" s="139">
        <f>IF(소장="손상민",'멍텅(실측)'!AD10,0)</f>
        <v>0</v>
      </c>
    </row>
    <row r="11" spans="1:52" s="228" customFormat="1" ht="26.25" customHeight="1" x14ac:dyDescent="0.3">
      <c r="A11" s="264">
        <f>'멍텅(실측)'!A11</f>
        <v>0</v>
      </c>
      <c r="B11" s="264" t="str">
        <f>'멍텅(실측)'!B11&amp;"F"</f>
        <v>F</v>
      </c>
      <c r="C11" s="264">
        <f>'멍텅(실측)'!C11-멍텅OP</f>
        <v>-2</v>
      </c>
      <c r="D11" s="264">
        <f>'멍텅(실측)'!D11-멍텅R</f>
        <v>-2</v>
      </c>
      <c r="E11" s="77">
        <f>'멍텅(실측)'!E11+AK11+IF(AY11=1,Y11,0)+멍텅JBJD늘림치수</f>
        <v>1</v>
      </c>
      <c r="F11" s="77">
        <f>'멍텅(실측)'!F11+AK11+IF(AY11=1,AA11,0)+멍텅JBJD늘림치수</f>
        <v>1</v>
      </c>
      <c r="G11" s="77">
        <f>'멍텅(실측)'!G11+AK11+IF(AY11=1,Y11,0)+멍텅JB강제키움+멍텅JBJD늘림치수</f>
        <v>1</v>
      </c>
      <c r="H11" s="77">
        <f>'멍텅(실측)'!G11+AK11+IF(AY11=1,Z11,0)+멍텅JB강제키움+멍텅JBJD늘림치수-IF(멍텅JB하부늘치=1,'멍텅(실측)'!U11-'멍텅(실측)'!V11,0)</f>
        <v>1</v>
      </c>
      <c r="I11" s="77">
        <f>'멍텅(실측)'!H11+AK11+IF(AY11=1,AA11,0)+멍텅JB강제키움+멍텅JBJD늘림치수</f>
        <v>1</v>
      </c>
      <c r="J11" s="77">
        <f>'멍텅(실측)'!H11+AK11+IF(AY11=1,AB11,0)+멍텅JB강제키움+멍텅JBJD늘림치수-IF(멍텅JB하부늘치=1,'멍텅(실측)'!W11-'멍텅(실측)'!X11,0)</f>
        <v>1</v>
      </c>
      <c r="K11" s="264">
        <f t="shared" si="12"/>
        <v>-0.5</v>
      </c>
      <c r="L11" s="264">
        <f t="shared" si="13"/>
        <v>-0.5</v>
      </c>
      <c r="M11" s="264">
        <f>IF(O11&gt;0,'멍텅(실측)'!I11+멍텅C늘림,'멍텅(실측)'!I11+1)</f>
        <v>1</v>
      </c>
      <c r="N11" s="264">
        <f>IF(P11&gt;0,'멍텅(실측)'!J11+멍텅C늘림,'멍텅(실측)'!J11+1)</f>
        <v>1</v>
      </c>
      <c r="O11" s="264">
        <f>IF(ISNUMBER('멍텅(실측)'!K11),'멍텅(실측)'!K11+멍텅제작!AK11+멍텅A늘림,0)</f>
        <v>0</v>
      </c>
      <c r="P11" s="264">
        <f>IF(ISNUMBER('멍텅(실측)'!L11),'멍텅(실측)'!L11+멍텅제작!AK11+멍텅A늘림,0)</f>
        <v>0</v>
      </c>
      <c r="Q11" s="264">
        <f>'멍텅(실측)'!M11-멍텅기둥차감</f>
        <v>-4</v>
      </c>
      <c r="R11" s="264">
        <f>'멍텅(실측)'!N11-멍텅기둥차감</f>
        <v>-4</v>
      </c>
      <c r="S11" s="264">
        <f>'멍텅(실측)'!O11-멍텅기둥차감</f>
        <v>-4</v>
      </c>
      <c r="T11" s="264">
        <f>'멍텅(실측)'!P11-멍텅기둥차감</f>
        <v>-4</v>
      </c>
      <c r="U11" s="265">
        <f>IF(ISNUMBER('멍텅(실측)'!Q11),IF(V11&gt;0,'멍텅(실측)'!Q11+멍텅U늘림,'멍텅(실측)'!Q11+1.2),0)</f>
        <v>0</v>
      </c>
      <c r="V11" s="265">
        <f>IF(OR(멍텅G="", 멍텅G=0),IF(ISNUMBER('멍텅(실측)'!R11),IF('멍텅(실측)'!R11+멍텅A늘림+AK11&gt;9,'멍텅(실측)'!R11+멍텅A늘림+AK11,'멍텅(실측)'!R11+멍텅A늘림+AK11),0),멍텅G)</f>
        <v>0</v>
      </c>
      <c r="W11" s="264">
        <f>'멍텅(실측)'!S11+뒷날개치수더함</f>
        <v>0</v>
      </c>
      <c r="X11" s="264">
        <f>'멍텅(실측)'!T11+뒷날개치수더함</f>
        <v>0</v>
      </c>
      <c r="Y11" s="226">
        <f>'멍텅(실측)'!U11-멍텅늘치차감</f>
        <v>-4</v>
      </c>
      <c r="Z11" s="226">
        <f>IF(멍텅JB하부늘치=1,Y11,'멍텅(실측)'!V11-멍텅늘치차감)</f>
        <v>-4</v>
      </c>
      <c r="AA11" s="226">
        <f>'멍텅(실측)'!W11-멍텅늘치차감</f>
        <v>-4</v>
      </c>
      <c r="AB11" s="226">
        <f>IF(멍텅JB하부늘치=1,AA11,'멍텅(실측)'!X11-멍텅늘치차감)</f>
        <v>-4</v>
      </c>
      <c r="AC11" s="26" t="str">
        <f t="shared" si="14"/>
        <v>-2*-1.4</v>
      </c>
      <c r="AD11" s="27" t="str">
        <f t="shared" si="15"/>
        <v>-4*-1.6</v>
      </c>
      <c r="AE11" s="25" t="str">
        <f t="shared" si="16"/>
        <v>-4*-1.6</v>
      </c>
      <c r="AF11" s="265">
        <f>IF('멍텅(실측)'!Y11&gt;5,'멍텅(실측)'!Y11+뒷날개치수더함,'멍텅(실측)'!Y11)</f>
        <v>0</v>
      </c>
      <c r="AG11" s="265">
        <f>'멍텅(실측)'!Z11</f>
        <v>0</v>
      </c>
      <c r="AH11" s="265">
        <f>'멍텅(실측)'!AA11</f>
        <v>0</v>
      </c>
      <c r="AI11" s="54">
        <f>IF('멍텅(실측)'!AB11&gt;0,'멍텅(실측)'!AB11-'멍텅(실측)'!S11+1.2,0)</f>
        <v>0</v>
      </c>
      <c r="AJ11" s="54">
        <f>IF('멍텅(실측)'!AC11&gt;0,'멍텅(실측)'!AC11-'멍텅(실측)'!S11+1.2,0)</f>
        <v>0</v>
      </c>
      <c r="AK11" s="266">
        <f>IF(ISNUMBER('멍텅(실측)'!K11),IF(9-MIN('멍텅(실측)'!K11+멍텅A늘림,'멍텅(실측)'!L11+멍텅A늘림)+AL11&lt;AL11,AL11,9-MIN('멍텅(실측)'!K11+멍텅A늘림,'멍텅(실측)'!L11+멍텅A늘림)+AL11),0)</f>
        <v>0</v>
      </c>
      <c r="AL11" s="267"/>
      <c r="AM11" s="34">
        <f t="shared" si="17"/>
        <v>0</v>
      </c>
      <c r="AN11" s="59">
        <f t="shared" si="18"/>
        <v>0</v>
      </c>
      <c r="AO11" s="59">
        <f t="shared" si="19"/>
        <v>0</v>
      </c>
      <c r="AP11" s="72" t="str">
        <f t="shared" si="20"/>
        <v/>
      </c>
      <c r="AQ11" s="266">
        <f t="shared" si="21"/>
        <v>-2</v>
      </c>
      <c r="AR11" s="266">
        <f t="shared" si="22"/>
        <v>-1.3999999999999997</v>
      </c>
      <c r="AS11" s="266">
        <f t="shared" si="23"/>
        <v>-1.5999999999999999</v>
      </c>
      <c r="AT11" s="266">
        <f t="shared" si="24"/>
        <v>-4</v>
      </c>
      <c r="AU11" s="266">
        <f t="shared" si="25"/>
        <v>-1.5999999999999999</v>
      </c>
      <c r="AV11" s="266">
        <f t="shared" si="26"/>
        <v>-4</v>
      </c>
      <c r="AW11" s="228">
        <f t="shared" si="27"/>
        <v>0</v>
      </c>
      <c r="AX11" s="228">
        <f t="shared" si="28"/>
        <v>9</v>
      </c>
      <c r="AY11" s="135">
        <f t="shared" si="29"/>
        <v>1</v>
      </c>
      <c r="AZ11" s="139">
        <f>IF(소장="손상민",'멍텅(실측)'!AD11,0)</f>
        <v>0</v>
      </c>
    </row>
  </sheetData>
  <mergeCells count="60">
    <mergeCell ref="G3:I3"/>
    <mergeCell ref="AF4:AH4"/>
    <mergeCell ref="AI4:AJ4"/>
    <mergeCell ref="AD4:AE4"/>
    <mergeCell ref="F5:F6"/>
    <mergeCell ref="H5:H6"/>
    <mergeCell ref="R5:R6"/>
    <mergeCell ref="N5:N6"/>
    <mergeCell ref="I5:I6"/>
    <mergeCell ref="J5:J6"/>
    <mergeCell ref="A4:AB4"/>
    <mergeCell ref="A5:A6"/>
    <mergeCell ref="B5:B6"/>
    <mergeCell ref="C5:C6"/>
    <mergeCell ref="D5:D6"/>
    <mergeCell ref="E5:E6"/>
    <mergeCell ref="G5:G6"/>
    <mergeCell ref="AU5:AV5"/>
    <mergeCell ref="T5:T6"/>
    <mergeCell ref="U5:U6"/>
    <mergeCell ref="V5:V6"/>
    <mergeCell ref="W5:W6"/>
    <mergeCell ref="X5:X6"/>
    <mergeCell ref="AL5:AL6"/>
    <mergeCell ref="AK5:AK6"/>
    <mergeCell ref="AC5:AC6"/>
    <mergeCell ref="AD5:AD6"/>
    <mergeCell ref="AE5:AE6"/>
    <mergeCell ref="AS5:AT5"/>
    <mergeCell ref="Y5:AB5"/>
    <mergeCell ref="AF5:AH5"/>
    <mergeCell ref="AI5:AJ5"/>
    <mergeCell ref="S5:S6"/>
    <mergeCell ref="J2:K2"/>
    <mergeCell ref="U2:V2"/>
    <mergeCell ref="J3:K3"/>
    <mergeCell ref="L3:M3"/>
    <mergeCell ref="N3:O3"/>
    <mergeCell ref="P3:R3"/>
    <mergeCell ref="S3:T3"/>
    <mergeCell ref="M5:M6"/>
    <mergeCell ref="O5:O6"/>
    <mergeCell ref="L5:L6"/>
    <mergeCell ref="K5:K6"/>
    <mergeCell ref="AY4:AY5"/>
    <mergeCell ref="AK1:AL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Q5:Q6"/>
  </mergeCells>
  <phoneticPr fontId="1" type="noConversion"/>
  <conditionalFormatting sqref="D7:D11">
    <cfRule type="cellIs" dxfId="69" priority="26" operator="greaterThan">
      <formula>1210</formula>
    </cfRule>
  </conditionalFormatting>
  <conditionalFormatting sqref="AF7:AH11">
    <cfRule type="cellIs" dxfId="68" priority="13" operator="greaterThan">
      <formula>1.2</formula>
    </cfRule>
  </conditionalFormatting>
  <conditionalFormatting sqref="G7:J11">
    <cfRule type="cellIs" dxfId="67" priority="11" operator="greaterThan">
      <formula>500</formula>
    </cfRule>
  </conditionalFormatting>
  <conditionalFormatting sqref="E7:E11">
    <cfRule type="cellIs" dxfId="66" priority="10" operator="notEqual">
      <formula>F7</formula>
    </cfRule>
  </conditionalFormatting>
  <conditionalFormatting sqref="F7:F11">
    <cfRule type="cellIs" dxfId="65" priority="9" operator="notEqual">
      <formula>E7</formula>
    </cfRule>
  </conditionalFormatting>
  <conditionalFormatting sqref="I7:I11">
    <cfRule type="cellIs" dxfId="64" priority="6" operator="notEqual">
      <formula>J7</formula>
    </cfRule>
  </conditionalFormatting>
  <conditionalFormatting sqref="J7:J11">
    <cfRule type="cellIs" dxfId="63" priority="4" operator="notEqual">
      <formula>I7</formula>
    </cfRule>
  </conditionalFormatting>
  <conditionalFormatting sqref="G7:G11">
    <cfRule type="cellIs" dxfId="62" priority="3" operator="notEqual">
      <formula>H7</formula>
    </cfRule>
  </conditionalFormatting>
  <conditionalFormatting sqref="H7:H11">
    <cfRule type="cellIs" dxfId="61" priority="2" operator="notEqual">
      <formula>G7</formula>
    </cfRule>
  </conditionalFormatting>
  <conditionalFormatting sqref="Y7:AB11">
    <cfRule type="expression" dxfId="60" priority="1">
      <formula>$AY7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topLeftCell="A97" zoomScaleNormal="100" workbookViewId="0">
      <selection activeCell="J125" sqref="J125:M125"/>
    </sheetView>
  </sheetViews>
  <sheetFormatPr defaultRowHeight="16.5" x14ac:dyDescent="0.3"/>
  <cols>
    <col min="1" max="1" width="6.875" style="281" customWidth="1"/>
    <col min="2" max="2" width="6.875" style="91" customWidth="1"/>
    <col min="3" max="3" width="9.875" style="91" customWidth="1"/>
    <col min="4" max="19" width="6.875" style="91" customWidth="1"/>
    <col min="20" max="20" width="11.75" style="91" customWidth="1"/>
    <col min="21" max="16384" width="9" style="91"/>
  </cols>
  <sheetData>
    <row r="1" spans="1:22" ht="64.150000000000006" customHeight="1" x14ac:dyDescent="0.3">
      <c r="A1" s="414" t="str">
        <f>정보!B4 &amp; "  " &amp; 정보!B6 &amp;" 소장"</f>
        <v>(쪽쟘) 실측자료( 경기도 의정부 드림밸리아파트-4차 )  박철우 소장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4"/>
      <c r="M1" s="414"/>
      <c r="N1" s="414"/>
      <c r="O1" s="414"/>
      <c r="P1" s="414"/>
      <c r="Q1" s="414"/>
      <c r="R1" s="414"/>
      <c r="S1" s="414"/>
      <c r="T1" s="414"/>
      <c r="U1" s="414"/>
      <c r="V1" s="414"/>
    </row>
    <row r="2" spans="1:22" ht="15" customHeight="1" x14ac:dyDescent="0.3">
      <c r="A2" s="27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</row>
    <row r="3" spans="1:22" ht="33" customHeight="1" x14ac:dyDescent="0.3">
      <c r="A3" s="278" t="str">
        <f>"현장명 : " &amp;정보!B1&amp;" , 재질 : " &amp;정보!B9</f>
        <v>현장명 : 경기도 의정부 드림밸리아파트-4차 , 재질 : HL 1.2T</v>
      </c>
      <c r="B3" s="92"/>
      <c r="C3" s="92"/>
      <c r="D3" s="92"/>
      <c r="E3" s="92"/>
      <c r="F3" s="93"/>
      <c r="G3" s="93"/>
      <c r="H3" s="93"/>
      <c r="I3" s="93"/>
      <c r="J3" s="94"/>
      <c r="K3" s="94"/>
      <c r="L3" s="94"/>
      <c r="M3" s="94"/>
      <c r="N3" s="94"/>
      <c r="O3" s="94"/>
      <c r="P3" s="94"/>
      <c r="Q3" s="94"/>
    </row>
    <row r="4" spans="1:22" ht="33" customHeight="1" x14ac:dyDescent="0.3">
      <c r="A4" s="279" t="str">
        <f>정보!B12</f>
        <v>제작치수 반영 : JB/JD +(0 ),  늘어난치수K -(0), OP - (0),  기둥차감 (0)</v>
      </c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</row>
    <row r="5" spans="1:22" ht="25.9" customHeight="1" x14ac:dyDescent="0.3">
      <c r="A5" s="417" t="s">
        <v>119</v>
      </c>
      <c r="B5" s="413" t="s">
        <v>120</v>
      </c>
      <c r="C5" s="413" t="s">
        <v>121</v>
      </c>
      <c r="D5" s="413" t="s">
        <v>122</v>
      </c>
      <c r="E5" s="413" t="s">
        <v>123</v>
      </c>
      <c r="F5" s="413" t="s">
        <v>124</v>
      </c>
      <c r="G5" s="413" t="s">
        <v>125</v>
      </c>
      <c r="H5" s="413" t="s">
        <v>126</v>
      </c>
      <c r="I5" s="413" t="s">
        <v>127</v>
      </c>
      <c r="J5" s="413" t="s">
        <v>129</v>
      </c>
      <c r="K5" s="413" t="s">
        <v>15</v>
      </c>
      <c r="L5" s="413" t="s">
        <v>130</v>
      </c>
      <c r="M5" s="413" t="s">
        <v>131</v>
      </c>
      <c r="N5" s="413" t="s">
        <v>132</v>
      </c>
      <c r="O5" s="413" t="s">
        <v>133</v>
      </c>
      <c r="P5" s="415" t="s">
        <v>134</v>
      </c>
      <c r="Q5" s="415" t="s">
        <v>135</v>
      </c>
      <c r="R5" s="413" t="s">
        <v>136</v>
      </c>
      <c r="S5" s="413"/>
      <c r="T5" s="299" t="s">
        <v>204</v>
      </c>
      <c r="U5" s="299"/>
      <c r="V5" s="299"/>
    </row>
    <row r="6" spans="1:22" ht="25.9" customHeight="1" x14ac:dyDescent="0.3">
      <c r="A6" s="417"/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6"/>
      <c r="Q6" s="416"/>
      <c r="R6" s="95" t="s">
        <v>138</v>
      </c>
      <c r="S6" s="95" t="s">
        <v>139</v>
      </c>
      <c r="T6" s="109" t="s">
        <v>201</v>
      </c>
      <c r="U6" s="109" t="s">
        <v>202</v>
      </c>
      <c r="V6" s="109" t="s">
        <v>203</v>
      </c>
    </row>
    <row r="7" spans="1:22" ht="18" customHeight="1" x14ac:dyDescent="0.3">
      <c r="A7" s="280" t="s">
        <v>316</v>
      </c>
      <c r="B7" s="230">
        <v>20</v>
      </c>
      <c r="C7" s="230">
        <v>900</v>
      </c>
      <c r="D7" s="230">
        <v>65</v>
      </c>
      <c r="E7" s="230">
        <v>65</v>
      </c>
      <c r="F7" s="230">
        <v>34</v>
      </c>
      <c r="G7" s="230">
        <v>30</v>
      </c>
      <c r="H7" s="230">
        <v>31</v>
      </c>
      <c r="I7" s="230">
        <f t="shared" ref="I7:I31" si="0">H7</f>
        <v>31</v>
      </c>
      <c r="J7" s="231">
        <v>2095</v>
      </c>
      <c r="K7" s="231">
        <v>2095</v>
      </c>
      <c r="L7" s="231">
        <v>2095</v>
      </c>
      <c r="M7" s="231">
        <v>2095</v>
      </c>
      <c r="N7" s="231">
        <v>32</v>
      </c>
      <c r="O7" s="231">
        <f t="shared" ref="O7:O24" si="1">N7</f>
        <v>32</v>
      </c>
      <c r="P7" s="231">
        <v>25</v>
      </c>
      <c r="Q7" s="231">
        <v>25</v>
      </c>
      <c r="R7" s="230"/>
      <c r="S7" s="230"/>
      <c r="T7" s="229">
        <v>15</v>
      </c>
      <c r="U7" s="229">
        <v>10</v>
      </c>
      <c r="V7" s="229">
        <v>10</v>
      </c>
    </row>
    <row r="8" spans="1:22" ht="18" customHeight="1" x14ac:dyDescent="0.3">
      <c r="A8" s="280" t="s">
        <v>316</v>
      </c>
      <c r="B8" s="230">
        <v>19</v>
      </c>
      <c r="C8" s="230">
        <v>900</v>
      </c>
      <c r="D8" s="272">
        <v>65</v>
      </c>
      <c r="E8" s="272">
        <v>65</v>
      </c>
      <c r="F8" s="230">
        <v>35</v>
      </c>
      <c r="G8" s="230">
        <f>F8</f>
        <v>35</v>
      </c>
      <c r="H8" s="230">
        <v>34</v>
      </c>
      <c r="I8" s="230">
        <f t="shared" si="0"/>
        <v>34</v>
      </c>
      <c r="J8" s="231">
        <v>2095</v>
      </c>
      <c r="K8" s="231">
        <v>2095</v>
      </c>
      <c r="L8" s="231">
        <v>2095</v>
      </c>
      <c r="M8" s="231">
        <v>2095</v>
      </c>
      <c r="N8" s="231">
        <v>31</v>
      </c>
      <c r="O8" s="231">
        <f t="shared" si="1"/>
        <v>31</v>
      </c>
      <c r="P8" s="231">
        <v>25</v>
      </c>
      <c r="Q8" s="231">
        <v>25</v>
      </c>
      <c r="R8" s="230"/>
      <c r="S8" s="230"/>
      <c r="T8" s="271">
        <v>15</v>
      </c>
      <c r="U8" s="271">
        <v>10</v>
      </c>
      <c r="V8" s="271">
        <v>10</v>
      </c>
    </row>
    <row r="9" spans="1:22" x14ac:dyDescent="0.3">
      <c r="A9" s="280" t="s">
        <v>316</v>
      </c>
      <c r="B9" s="230">
        <v>18</v>
      </c>
      <c r="C9" s="230">
        <v>899</v>
      </c>
      <c r="D9" s="272">
        <v>65</v>
      </c>
      <c r="E9" s="272">
        <v>65</v>
      </c>
      <c r="F9" s="230">
        <v>33</v>
      </c>
      <c r="G9" s="230">
        <v>29</v>
      </c>
      <c r="H9" s="230">
        <v>34</v>
      </c>
      <c r="I9" s="230">
        <f t="shared" si="0"/>
        <v>34</v>
      </c>
      <c r="J9" s="231">
        <v>2095</v>
      </c>
      <c r="K9" s="231">
        <v>2095</v>
      </c>
      <c r="L9" s="231">
        <v>2095</v>
      </c>
      <c r="M9" s="231">
        <v>2095</v>
      </c>
      <c r="N9" s="231">
        <v>28</v>
      </c>
      <c r="O9" s="231">
        <f t="shared" si="1"/>
        <v>28</v>
      </c>
      <c r="P9" s="231">
        <v>25</v>
      </c>
      <c r="Q9" s="231">
        <v>25</v>
      </c>
      <c r="R9" s="230"/>
      <c r="S9" s="230"/>
      <c r="T9" s="271">
        <v>15</v>
      </c>
      <c r="U9" s="271">
        <v>10</v>
      </c>
      <c r="V9" s="271">
        <v>10</v>
      </c>
    </row>
    <row r="10" spans="1:22" x14ac:dyDescent="0.3">
      <c r="A10" s="280" t="s">
        <v>316</v>
      </c>
      <c r="B10" s="230">
        <v>17</v>
      </c>
      <c r="C10" s="230">
        <v>899</v>
      </c>
      <c r="D10" s="272">
        <v>65</v>
      </c>
      <c r="E10" s="272">
        <v>65</v>
      </c>
      <c r="F10" s="230">
        <v>34</v>
      </c>
      <c r="G10" s="230">
        <f>F10</f>
        <v>34</v>
      </c>
      <c r="H10" s="230">
        <v>33</v>
      </c>
      <c r="I10" s="230">
        <f t="shared" si="0"/>
        <v>33</v>
      </c>
      <c r="J10" s="231">
        <v>2095</v>
      </c>
      <c r="K10" s="231">
        <v>2095</v>
      </c>
      <c r="L10" s="231">
        <v>2095</v>
      </c>
      <c r="M10" s="231">
        <v>2095</v>
      </c>
      <c r="N10" s="231">
        <v>31</v>
      </c>
      <c r="O10" s="231">
        <f t="shared" si="1"/>
        <v>31</v>
      </c>
      <c r="P10" s="231">
        <v>25</v>
      </c>
      <c r="Q10" s="231">
        <v>25</v>
      </c>
      <c r="R10" s="230"/>
      <c r="S10" s="230"/>
      <c r="T10" s="271">
        <v>15</v>
      </c>
      <c r="U10" s="271">
        <v>10</v>
      </c>
      <c r="V10" s="271">
        <v>10</v>
      </c>
    </row>
    <row r="11" spans="1:22" x14ac:dyDescent="0.3">
      <c r="A11" s="280" t="s">
        <v>316</v>
      </c>
      <c r="B11" s="230">
        <v>16</v>
      </c>
      <c r="C11" s="230">
        <v>899</v>
      </c>
      <c r="D11" s="272">
        <v>65</v>
      </c>
      <c r="E11" s="272">
        <v>65</v>
      </c>
      <c r="F11" s="230">
        <v>34</v>
      </c>
      <c r="G11" s="230">
        <v>30</v>
      </c>
      <c r="H11" s="230">
        <v>31</v>
      </c>
      <c r="I11" s="230">
        <f t="shared" si="0"/>
        <v>31</v>
      </c>
      <c r="J11" s="231">
        <v>2095</v>
      </c>
      <c r="K11" s="231">
        <v>2095</v>
      </c>
      <c r="L11" s="231">
        <v>2095</v>
      </c>
      <c r="M11" s="231">
        <v>2095</v>
      </c>
      <c r="N11" s="231">
        <v>29</v>
      </c>
      <c r="O11" s="231">
        <f t="shared" si="1"/>
        <v>29</v>
      </c>
      <c r="P11" s="231">
        <v>25</v>
      </c>
      <c r="Q11" s="231">
        <v>25</v>
      </c>
      <c r="R11" s="230"/>
      <c r="S11" s="230"/>
      <c r="T11" s="271">
        <v>15</v>
      </c>
      <c r="U11" s="271">
        <v>10</v>
      </c>
      <c r="V11" s="271">
        <v>10</v>
      </c>
    </row>
    <row r="12" spans="1:22" x14ac:dyDescent="0.3">
      <c r="A12" s="280" t="s">
        <v>316</v>
      </c>
      <c r="B12" s="230">
        <v>15</v>
      </c>
      <c r="C12" s="230">
        <v>899</v>
      </c>
      <c r="D12" s="272">
        <v>65</v>
      </c>
      <c r="E12" s="272">
        <v>65</v>
      </c>
      <c r="F12" s="230">
        <v>33</v>
      </c>
      <c r="G12" s="230">
        <f t="shared" ref="G12:G16" si="2">F12</f>
        <v>33</v>
      </c>
      <c r="H12" s="230">
        <v>33</v>
      </c>
      <c r="I12" s="230">
        <f t="shared" si="0"/>
        <v>33</v>
      </c>
      <c r="J12" s="231">
        <v>2095</v>
      </c>
      <c r="K12" s="231">
        <v>2095</v>
      </c>
      <c r="L12" s="231">
        <v>2095</v>
      </c>
      <c r="M12" s="231">
        <v>2095</v>
      </c>
      <c r="N12" s="231">
        <v>30</v>
      </c>
      <c r="O12" s="231">
        <f t="shared" si="1"/>
        <v>30</v>
      </c>
      <c r="P12" s="231">
        <v>25</v>
      </c>
      <c r="Q12" s="231">
        <v>25</v>
      </c>
      <c r="R12" s="230"/>
      <c r="S12" s="230"/>
      <c r="T12" s="271">
        <v>15</v>
      </c>
      <c r="U12" s="271">
        <v>10</v>
      </c>
      <c r="V12" s="271">
        <v>10</v>
      </c>
    </row>
    <row r="13" spans="1:22" x14ac:dyDescent="0.3">
      <c r="A13" s="280" t="s">
        <v>316</v>
      </c>
      <c r="B13" s="230">
        <v>14</v>
      </c>
      <c r="C13" s="230">
        <v>899</v>
      </c>
      <c r="D13" s="272">
        <v>65</v>
      </c>
      <c r="E13" s="272">
        <v>65</v>
      </c>
      <c r="F13" s="230">
        <v>34</v>
      </c>
      <c r="G13" s="230">
        <f t="shared" si="2"/>
        <v>34</v>
      </c>
      <c r="H13" s="230">
        <v>32</v>
      </c>
      <c r="I13" s="230">
        <f t="shared" si="0"/>
        <v>32</v>
      </c>
      <c r="J13" s="231">
        <v>2095</v>
      </c>
      <c r="K13" s="231">
        <v>2095</v>
      </c>
      <c r="L13" s="231">
        <v>2095</v>
      </c>
      <c r="M13" s="231">
        <v>2095</v>
      </c>
      <c r="N13" s="231">
        <v>30</v>
      </c>
      <c r="O13" s="231">
        <f t="shared" si="1"/>
        <v>30</v>
      </c>
      <c r="P13" s="231">
        <v>25</v>
      </c>
      <c r="Q13" s="231">
        <v>25</v>
      </c>
      <c r="R13" s="230"/>
      <c r="S13" s="230"/>
      <c r="T13" s="271">
        <v>15</v>
      </c>
      <c r="U13" s="271">
        <v>10</v>
      </c>
      <c r="V13" s="271">
        <v>10</v>
      </c>
    </row>
    <row r="14" spans="1:22" x14ac:dyDescent="0.3">
      <c r="A14" s="280" t="s">
        <v>316</v>
      </c>
      <c r="B14" s="230">
        <v>13</v>
      </c>
      <c r="C14" s="230">
        <v>899</v>
      </c>
      <c r="D14" s="272">
        <v>65</v>
      </c>
      <c r="E14" s="272">
        <v>65</v>
      </c>
      <c r="F14" s="230">
        <v>33</v>
      </c>
      <c r="G14" s="230">
        <f t="shared" si="2"/>
        <v>33</v>
      </c>
      <c r="H14" s="230">
        <v>32</v>
      </c>
      <c r="I14" s="230">
        <f t="shared" si="0"/>
        <v>32</v>
      </c>
      <c r="J14" s="231">
        <v>2095</v>
      </c>
      <c r="K14" s="231">
        <v>2095</v>
      </c>
      <c r="L14" s="231">
        <v>2095</v>
      </c>
      <c r="M14" s="231">
        <v>2095</v>
      </c>
      <c r="N14" s="231">
        <v>30</v>
      </c>
      <c r="O14" s="231">
        <f t="shared" si="1"/>
        <v>30</v>
      </c>
      <c r="P14" s="231">
        <v>25</v>
      </c>
      <c r="Q14" s="231">
        <v>25</v>
      </c>
      <c r="R14" s="230"/>
      <c r="S14" s="230"/>
      <c r="T14" s="271">
        <v>15</v>
      </c>
      <c r="U14" s="271">
        <v>10</v>
      </c>
      <c r="V14" s="271">
        <v>10</v>
      </c>
    </row>
    <row r="15" spans="1:22" x14ac:dyDescent="0.3">
      <c r="A15" s="280" t="s">
        <v>316</v>
      </c>
      <c r="B15" s="230">
        <v>12</v>
      </c>
      <c r="C15" s="230">
        <v>899</v>
      </c>
      <c r="D15" s="272">
        <v>65</v>
      </c>
      <c r="E15" s="272">
        <v>65</v>
      </c>
      <c r="F15" s="230">
        <v>30</v>
      </c>
      <c r="G15" s="230">
        <f t="shared" si="2"/>
        <v>30</v>
      </c>
      <c r="H15" s="230">
        <v>30</v>
      </c>
      <c r="I15" s="230">
        <f t="shared" si="0"/>
        <v>30</v>
      </c>
      <c r="J15" s="231">
        <v>2095</v>
      </c>
      <c r="K15" s="231">
        <v>2095</v>
      </c>
      <c r="L15" s="231">
        <v>2095</v>
      </c>
      <c r="M15" s="231">
        <v>2095</v>
      </c>
      <c r="N15" s="231">
        <v>30</v>
      </c>
      <c r="O15" s="231">
        <f t="shared" si="1"/>
        <v>30</v>
      </c>
      <c r="P15" s="231">
        <v>25</v>
      </c>
      <c r="Q15" s="231">
        <v>25</v>
      </c>
      <c r="R15" s="230"/>
      <c r="S15" s="230"/>
      <c r="T15" s="271">
        <v>15</v>
      </c>
      <c r="U15" s="271">
        <v>10</v>
      </c>
      <c r="V15" s="271">
        <v>10</v>
      </c>
    </row>
    <row r="16" spans="1:22" x14ac:dyDescent="0.3">
      <c r="A16" s="280" t="s">
        <v>316</v>
      </c>
      <c r="B16" s="230">
        <v>11</v>
      </c>
      <c r="C16" s="230">
        <v>898</v>
      </c>
      <c r="D16" s="272">
        <v>65</v>
      </c>
      <c r="E16" s="272">
        <v>65</v>
      </c>
      <c r="F16" s="230">
        <v>32</v>
      </c>
      <c r="G16" s="230">
        <f t="shared" si="2"/>
        <v>32</v>
      </c>
      <c r="H16" s="230">
        <v>30</v>
      </c>
      <c r="I16" s="230">
        <f t="shared" si="0"/>
        <v>30</v>
      </c>
      <c r="J16" s="231">
        <v>2095</v>
      </c>
      <c r="K16" s="231">
        <v>2095</v>
      </c>
      <c r="L16" s="231">
        <v>2095</v>
      </c>
      <c r="M16" s="231">
        <v>2095</v>
      </c>
      <c r="N16" s="231">
        <v>30</v>
      </c>
      <c r="O16" s="231">
        <f t="shared" si="1"/>
        <v>30</v>
      </c>
      <c r="P16" s="231">
        <v>25</v>
      </c>
      <c r="Q16" s="231">
        <v>25</v>
      </c>
      <c r="R16" s="230"/>
      <c r="S16" s="230"/>
      <c r="T16" s="271">
        <v>15</v>
      </c>
      <c r="U16" s="271">
        <v>10</v>
      </c>
      <c r="V16" s="271">
        <v>10</v>
      </c>
    </row>
    <row r="17" spans="1:22" x14ac:dyDescent="0.3">
      <c r="A17" s="280" t="s">
        <v>316</v>
      </c>
      <c r="B17" s="230">
        <v>10</v>
      </c>
      <c r="C17" s="230">
        <v>899</v>
      </c>
      <c r="D17" s="272">
        <v>65</v>
      </c>
      <c r="E17" s="272">
        <v>65</v>
      </c>
      <c r="F17" s="230">
        <v>34</v>
      </c>
      <c r="G17" s="230">
        <v>30</v>
      </c>
      <c r="H17" s="230">
        <v>32</v>
      </c>
      <c r="I17" s="230">
        <f t="shared" si="0"/>
        <v>32</v>
      </c>
      <c r="J17" s="231">
        <v>2095</v>
      </c>
      <c r="K17" s="231">
        <v>2095</v>
      </c>
      <c r="L17" s="231">
        <v>2095</v>
      </c>
      <c r="M17" s="231">
        <v>2095</v>
      </c>
      <c r="N17" s="231">
        <v>29</v>
      </c>
      <c r="O17" s="231">
        <f t="shared" si="1"/>
        <v>29</v>
      </c>
      <c r="P17" s="231">
        <v>25</v>
      </c>
      <c r="Q17" s="231">
        <v>25</v>
      </c>
      <c r="R17" s="230"/>
      <c r="S17" s="230"/>
      <c r="T17" s="271">
        <v>15</v>
      </c>
      <c r="U17" s="271">
        <v>10</v>
      </c>
      <c r="V17" s="271">
        <v>10</v>
      </c>
    </row>
    <row r="18" spans="1:22" x14ac:dyDescent="0.3">
      <c r="A18" s="280" t="s">
        <v>316</v>
      </c>
      <c r="B18" s="230">
        <v>9</v>
      </c>
      <c r="C18" s="230">
        <v>899</v>
      </c>
      <c r="D18" s="272">
        <v>65</v>
      </c>
      <c r="E18" s="272">
        <v>65</v>
      </c>
      <c r="F18" s="230">
        <v>32</v>
      </c>
      <c r="G18" s="230">
        <f>F18</f>
        <v>32</v>
      </c>
      <c r="H18" s="230">
        <v>32</v>
      </c>
      <c r="I18" s="230">
        <f t="shared" si="0"/>
        <v>32</v>
      </c>
      <c r="J18" s="231">
        <v>2095</v>
      </c>
      <c r="K18" s="231">
        <v>2095</v>
      </c>
      <c r="L18" s="231">
        <v>2095</v>
      </c>
      <c r="M18" s="231">
        <v>2095</v>
      </c>
      <c r="N18" s="231">
        <v>30</v>
      </c>
      <c r="O18" s="231">
        <f t="shared" si="1"/>
        <v>30</v>
      </c>
      <c r="P18" s="231">
        <v>25</v>
      </c>
      <c r="Q18" s="231">
        <v>25</v>
      </c>
      <c r="R18" s="230"/>
      <c r="S18" s="230"/>
      <c r="T18" s="271">
        <v>15</v>
      </c>
      <c r="U18" s="271">
        <v>10</v>
      </c>
      <c r="V18" s="271">
        <v>10</v>
      </c>
    </row>
    <row r="19" spans="1:22" x14ac:dyDescent="0.3">
      <c r="A19" s="280" t="s">
        <v>316</v>
      </c>
      <c r="B19" s="230">
        <v>8</v>
      </c>
      <c r="C19" s="230">
        <v>900</v>
      </c>
      <c r="D19" s="272">
        <v>65</v>
      </c>
      <c r="E19" s="272">
        <v>65</v>
      </c>
      <c r="F19" s="230">
        <v>34</v>
      </c>
      <c r="G19" s="230">
        <v>30</v>
      </c>
      <c r="H19" s="230">
        <v>34</v>
      </c>
      <c r="I19" s="230">
        <f t="shared" si="0"/>
        <v>34</v>
      </c>
      <c r="J19" s="231">
        <v>2095</v>
      </c>
      <c r="K19" s="231">
        <v>2095</v>
      </c>
      <c r="L19" s="231">
        <v>2095</v>
      </c>
      <c r="M19" s="231">
        <v>2095</v>
      </c>
      <c r="N19" s="231">
        <v>31</v>
      </c>
      <c r="O19" s="231">
        <f t="shared" si="1"/>
        <v>31</v>
      </c>
      <c r="P19" s="231">
        <v>25</v>
      </c>
      <c r="Q19" s="231">
        <v>25</v>
      </c>
      <c r="R19" s="230"/>
      <c r="S19" s="230"/>
      <c r="T19" s="271">
        <v>15</v>
      </c>
      <c r="U19" s="271">
        <v>10</v>
      </c>
      <c r="V19" s="271">
        <v>10</v>
      </c>
    </row>
    <row r="20" spans="1:22" x14ac:dyDescent="0.3">
      <c r="A20" s="280" t="s">
        <v>316</v>
      </c>
      <c r="B20" s="230">
        <v>7</v>
      </c>
      <c r="C20" s="230">
        <v>898</v>
      </c>
      <c r="D20" s="272">
        <v>65</v>
      </c>
      <c r="E20" s="272">
        <v>65</v>
      </c>
      <c r="F20" s="230">
        <v>33</v>
      </c>
      <c r="G20" s="230">
        <f>F20</f>
        <v>33</v>
      </c>
      <c r="H20" s="230">
        <v>33</v>
      </c>
      <c r="I20" s="230">
        <f t="shared" si="0"/>
        <v>33</v>
      </c>
      <c r="J20" s="231">
        <v>2095</v>
      </c>
      <c r="K20" s="231">
        <v>2095</v>
      </c>
      <c r="L20" s="231">
        <v>2095</v>
      </c>
      <c r="M20" s="231">
        <v>2095</v>
      </c>
      <c r="N20" s="231">
        <v>31</v>
      </c>
      <c r="O20" s="231">
        <f t="shared" si="1"/>
        <v>31</v>
      </c>
      <c r="P20" s="231">
        <v>25</v>
      </c>
      <c r="Q20" s="231">
        <v>25</v>
      </c>
      <c r="R20" s="230"/>
      <c r="S20" s="230"/>
      <c r="T20" s="271">
        <v>15</v>
      </c>
      <c r="U20" s="271">
        <v>10</v>
      </c>
      <c r="V20" s="271">
        <v>10</v>
      </c>
    </row>
    <row r="21" spans="1:22" x14ac:dyDescent="0.3">
      <c r="A21" s="280" t="s">
        <v>316</v>
      </c>
      <c r="B21" s="230">
        <v>6</v>
      </c>
      <c r="C21" s="230">
        <v>900</v>
      </c>
      <c r="D21" s="272">
        <v>65</v>
      </c>
      <c r="E21" s="272">
        <v>65</v>
      </c>
      <c r="F21" s="230">
        <v>31</v>
      </c>
      <c r="G21" s="230">
        <v>35</v>
      </c>
      <c r="H21" s="230">
        <v>32</v>
      </c>
      <c r="I21" s="230">
        <f t="shared" si="0"/>
        <v>32</v>
      </c>
      <c r="J21" s="231">
        <v>2095</v>
      </c>
      <c r="K21" s="231">
        <v>2095</v>
      </c>
      <c r="L21" s="231">
        <v>2095</v>
      </c>
      <c r="M21" s="231">
        <v>2095</v>
      </c>
      <c r="N21" s="231">
        <v>31</v>
      </c>
      <c r="O21" s="231">
        <f t="shared" si="1"/>
        <v>31</v>
      </c>
      <c r="P21" s="231">
        <v>25</v>
      </c>
      <c r="Q21" s="231">
        <v>25</v>
      </c>
      <c r="R21" s="230"/>
      <c r="S21" s="230"/>
      <c r="T21" s="271">
        <v>15</v>
      </c>
      <c r="U21" s="271">
        <v>10</v>
      </c>
      <c r="V21" s="271">
        <v>10</v>
      </c>
    </row>
    <row r="22" spans="1:22" x14ac:dyDescent="0.3">
      <c r="A22" s="280" t="s">
        <v>316</v>
      </c>
      <c r="B22" s="230">
        <v>5</v>
      </c>
      <c r="C22" s="230">
        <v>899</v>
      </c>
      <c r="D22" s="272">
        <v>65</v>
      </c>
      <c r="E22" s="272">
        <v>65</v>
      </c>
      <c r="F22" s="230">
        <v>32</v>
      </c>
      <c r="G22" s="230">
        <f t="shared" ref="G22:G47" si="3">F22</f>
        <v>32</v>
      </c>
      <c r="H22" s="230">
        <v>31</v>
      </c>
      <c r="I22" s="230">
        <f t="shared" si="0"/>
        <v>31</v>
      </c>
      <c r="J22" s="231">
        <v>2095</v>
      </c>
      <c r="K22" s="231">
        <v>2095</v>
      </c>
      <c r="L22" s="231">
        <v>2095</v>
      </c>
      <c r="M22" s="231">
        <v>2095</v>
      </c>
      <c r="N22" s="231">
        <v>31</v>
      </c>
      <c r="O22" s="231">
        <f t="shared" si="1"/>
        <v>31</v>
      </c>
      <c r="P22" s="231">
        <v>25</v>
      </c>
      <c r="Q22" s="231">
        <v>25</v>
      </c>
      <c r="R22" s="230"/>
      <c r="S22" s="230"/>
      <c r="T22" s="271">
        <v>15</v>
      </c>
      <c r="U22" s="271">
        <v>10</v>
      </c>
      <c r="V22" s="271">
        <v>10</v>
      </c>
    </row>
    <row r="23" spans="1:22" x14ac:dyDescent="0.3">
      <c r="A23" s="280" t="s">
        <v>316</v>
      </c>
      <c r="B23" s="230">
        <v>4</v>
      </c>
      <c r="C23" s="230">
        <v>899</v>
      </c>
      <c r="D23" s="272">
        <v>65</v>
      </c>
      <c r="E23" s="272">
        <v>65</v>
      </c>
      <c r="F23" s="230">
        <v>33</v>
      </c>
      <c r="G23" s="230">
        <f t="shared" si="3"/>
        <v>33</v>
      </c>
      <c r="H23" s="230">
        <v>34</v>
      </c>
      <c r="I23" s="230">
        <f t="shared" si="0"/>
        <v>34</v>
      </c>
      <c r="J23" s="231">
        <v>2095</v>
      </c>
      <c r="K23" s="231">
        <v>2095</v>
      </c>
      <c r="L23" s="231">
        <v>2095</v>
      </c>
      <c r="M23" s="231">
        <v>2095</v>
      </c>
      <c r="N23" s="231">
        <v>30</v>
      </c>
      <c r="O23" s="231">
        <f t="shared" si="1"/>
        <v>30</v>
      </c>
      <c r="P23" s="231">
        <v>25</v>
      </c>
      <c r="Q23" s="231">
        <v>25</v>
      </c>
      <c r="R23" s="230"/>
      <c r="S23" s="230"/>
      <c r="T23" s="271">
        <v>15</v>
      </c>
      <c r="U23" s="271">
        <v>10</v>
      </c>
      <c r="V23" s="271">
        <v>10</v>
      </c>
    </row>
    <row r="24" spans="1:22" x14ac:dyDescent="0.3">
      <c r="A24" s="280" t="s">
        <v>316</v>
      </c>
      <c r="B24" s="230">
        <v>3</v>
      </c>
      <c r="C24" s="230">
        <v>899</v>
      </c>
      <c r="D24" s="272">
        <v>65</v>
      </c>
      <c r="E24" s="272">
        <v>65</v>
      </c>
      <c r="F24" s="230">
        <v>30</v>
      </c>
      <c r="G24" s="230">
        <f t="shared" si="3"/>
        <v>30</v>
      </c>
      <c r="H24" s="230">
        <v>30</v>
      </c>
      <c r="I24" s="230">
        <f t="shared" si="0"/>
        <v>30</v>
      </c>
      <c r="J24" s="231">
        <v>2095</v>
      </c>
      <c r="K24" s="231">
        <v>2095</v>
      </c>
      <c r="L24" s="231">
        <v>2095</v>
      </c>
      <c r="M24" s="231">
        <v>2095</v>
      </c>
      <c r="N24" s="231">
        <v>30</v>
      </c>
      <c r="O24" s="231">
        <f t="shared" si="1"/>
        <v>30</v>
      </c>
      <c r="P24" s="231">
        <v>25</v>
      </c>
      <c r="Q24" s="231">
        <v>25</v>
      </c>
      <c r="R24" s="230"/>
      <c r="S24" s="230"/>
      <c r="T24" s="271">
        <v>15</v>
      </c>
      <c r="U24" s="271">
        <v>10</v>
      </c>
      <c r="V24" s="271">
        <v>10</v>
      </c>
    </row>
    <row r="25" spans="1:22" x14ac:dyDescent="0.3">
      <c r="A25" s="280" t="s">
        <v>316</v>
      </c>
      <c r="B25" s="230">
        <v>2</v>
      </c>
      <c r="C25" s="230">
        <v>899</v>
      </c>
      <c r="D25" s="272">
        <v>65</v>
      </c>
      <c r="E25" s="272">
        <v>65</v>
      </c>
      <c r="F25" s="230">
        <v>32</v>
      </c>
      <c r="G25" s="230">
        <f t="shared" si="3"/>
        <v>32</v>
      </c>
      <c r="H25" s="230">
        <v>32</v>
      </c>
      <c r="I25" s="230">
        <f t="shared" si="0"/>
        <v>32</v>
      </c>
      <c r="J25" s="231">
        <v>2095</v>
      </c>
      <c r="K25" s="231">
        <v>2095</v>
      </c>
      <c r="L25" s="231">
        <v>2095</v>
      </c>
      <c r="M25" s="231">
        <v>2095</v>
      </c>
      <c r="N25" s="231">
        <v>33</v>
      </c>
      <c r="O25" s="231">
        <v>28</v>
      </c>
      <c r="P25" s="231">
        <v>25</v>
      </c>
      <c r="Q25" s="231">
        <v>25</v>
      </c>
      <c r="R25" s="230"/>
      <c r="S25" s="230"/>
      <c r="T25" s="271">
        <v>15</v>
      </c>
      <c r="U25" s="271">
        <v>10</v>
      </c>
      <c r="V25" s="271">
        <v>10</v>
      </c>
    </row>
    <row r="26" spans="1:22" ht="18" customHeight="1" x14ac:dyDescent="0.3">
      <c r="A26" s="280" t="s">
        <v>316</v>
      </c>
      <c r="B26" s="236" t="s">
        <v>325</v>
      </c>
      <c r="C26" s="236">
        <v>893</v>
      </c>
      <c r="D26" s="236">
        <v>70</v>
      </c>
      <c r="E26" s="236">
        <v>70</v>
      </c>
      <c r="F26" s="236">
        <v>38</v>
      </c>
      <c r="G26" s="236">
        <f t="shared" si="3"/>
        <v>38</v>
      </c>
      <c r="H26" s="236">
        <v>38</v>
      </c>
      <c r="I26" s="236">
        <f t="shared" si="0"/>
        <v>38</v>
      </c>
      <c r="J26" s="231">
        <v>2092</v>
      </c>
      <c r="K26" s="231">
        <v>2092</v>
      </c>
      <c r="L26" s="231">
        <v>2089</v>
      </c>
      <c r="M26" s="231">
        <v>2089</v>
      </c>
      <c r="N26" s="231">
        <v>34</v>
      </c>
      <c r="O26" s="231">
        <f t="shared" ref="O26:O45" si="4">N26</f>
        <v>34</v>
      </c>
      <c r="P26" s="231">
        <v>25</v>
      </c>
      <c r="Q26" s="231">
        <v>25</v>
      </c>
      <c r="R26" s="236"/>
      <c r="S26" s="236"/>
      <c r="T26" s="271">
        <v>15</v>
      </c>
      <c r="U26" s="271">
        <v>10</v>
      </c>
      <c r="V26" s="271">
        <v>10</v>
      </c>
    </row>
    <row r="27" spans="1:22" ht="18" customHeight="1" x14ac:dyDescent="0.3">
      <c r="A27" s="280" t="s">
        <v>317</v>
      </c>
      <c r="B27" s="236">
        <v>20</v>
      </c>
      <c r="C27" s="236">
        <v>899</v>
      </c>
      <c r="D27" s="236">
        <v>65</v>
      </c>
      <c r="E27" s="236">
        <v>65</v>
      </c>
      <c r="F27" s="236">
        <v>30</v>
      </c>
      <c r="G27" s="236">
        <f t="shared" si="3"/>
        <v>30</v>
      </c>
      <c r="H27" s="236">
        <v>32</v>
      </c>
      <c r="I27" s="236">
        <f t="shared" si="0"/>
        <v>32</v>
      </c>
      <c r="J27" s="231">
        <v>2095</v>
      </c>
      <c r="K27" s="231">
        <v>2095</v>
      </c>
      <c r="L27" s="231">
        <v>2095</v>
      </c>
      <c r="M27" s="231">
        <v>2095</v>
      </c>
      <c r="N27" s="231">
        <v>32</v>
      </c>
      <c r="O27" s="231">
        <f t="shared" si="4"/>
        <v>32</v>
      </c>
      <c r="P27" s="231">
        <v>25</v>
      </c>
      <c r="Q27" s="231">
        <v>25</v>
      </c>
      <c r="R27" s="236"/>
      <c r="S27" s="236"/>
      <c r="T27" s="271">
        <v>15</v>
      </c>
      <c r="U27" s="271">
        <v>10</v>
      </c>
      <c r="V27" s="271">
        <v>10</v>
      </c>
    </row>
    <row r="28" spans="1:22" x14ac:dyDescent="0.3">
      <c r="A28" s="280" t="s">
        <v>317</v>
      </c>
      <c r="B28" s="236">
        <v>19</v>
      </c>
      <c r="C28" s="236">
        <v>899</v>
      </c>
      <c r="D28" s="272">
        <v>65</v>
      </c>
      <c r="E28" s="272">
        <v>65</v>
      </c>
      <c r="F28" s="236">
        <v>30</v>
      </c>
      <c r="G28" s="236">
        <f t="shared" si="3"/>
        <v>30</v>
      </c>
      <c r="H28" s="236">
        <v>33</v>
      </c>
      <c r="I28" s="236">
        <f t="shared" si="0"/>
        <v>33</v>
      </c>
      <c r="J28" s="231">
        <v>2095</v>
      </c>
      <c r="K28" s="231">
        <v>2095</v>
      </c>
      <c r="L28" s="231">
        <v>2095</v>
      </c>
      <c r="M28" s="231">
        <v>2095</v>
      </c>
      <c r="N28" s="231">
        <v>31</v>
      </c>
      <c r="O28" s="231">
        <f t="shared" si="4"/>
        <v>31</v>
      </c>
      <c r="P28" s="231">
        <v>25</v>
      </c>
      <c r="Q28" s="231">
        <v>25</v>
      </c>
      <c r="R28" s="236"/>
      <c r="S28" s="236"/>
      <c r="T28" s="271">
        <v>15</v>
      </c>
      <c r="U28" s="271">
        <v>10</v>
      </c>
      <c r="V28" s="271">
        <v>10</v>
      </c>
    </row>
    <row r="29" spans="1:22" x14ac:dyDescent="0.3">
      <c r="A29" s="280" t="s">
        <v>317</v>
      </c>
      <c r="B29" s="236">
        <v>18</v>
      </c>
      <c r="C29" s="236">
        <v>896</v>
      </c>
      <c r="D29" s="272">
        <v>65</v>
      </c>
      <c r="E29" s="272">
        <v>65</v>
      </c>
      <c r="F29" s="236">
        <v>30</v>
      </c>
      <c r="G29" s="236">
        <f t="shared" si="3"/>
        <v>30</v>
      </c>
      <c r="H29" s="236">
        <v>31</v>
      </c>
      <c r="I29" s="236">
        <f t="shared" si="0"/>
        <v>31</v>
      </c>
      <c r="J29" s="231">
        <v>2095</v>
      </c>
      <c r="K29" s="231">
        <v>2095</v>
      </c>
      <c r="L29" s="231">
        <v>2095</v>
      </c>
      <c r="M29" s="231">
        <v>2095</v>
      </c>
      <c r="N29" s="231">
        <v>30</v>
      </c>
      <c r="O29" s="231">
        <f t="shared" si="4"/>
        <v>30</v>
      </c>
      <c r="P29" s="231">
        <v>25</v>
      </c>
      <c r="Q29" s="231">
        <v>25</v>
      </c>
      <c r="R29" s="236"/>
      <c r="S29" s="236"/>
      <c r="T29" s="271">
        <v>15</v>
      </c>
      <c r="U29" s="271">
        <v>10</v>
      </c>
      <c r="V29" s="271">
        <v>10</v>
      </c>
    </row>
    <row r="30" spans="1:22" x14ac:dyDescent="0.3">
      <c r="A30" s="280" t="s">
        <v>317</v>
      </c>
      <c r="B30" s="236">
        <v>17</v>
      </c>
      <c r="C30" s="236">
        <v>899</v>
      </c>
      <c r="D30" s="272">
        <v>65</v>
      </c>
      <c r="E30" s="272">
        <v>65</v>
      </c>
      <c r="F30" s="236">
        <v>31</v>
      </c>
      <c r="G30" s="236">
        <f t="shared" si="3"/>
        <v>31</v>
      </c>
      <c r="H30" s="236">
        <v>32</v>
      </c>
      <c r="I30" s="236">
        <f t="shared" si="0"/>
        <v>32</v>
      </c>
      <c r="J30" s="231">
        <v>2095</v>
      </c>
      <c r="K30" s="231">
        <v>2095</v>
      </c>
      <c r="L30" s="231">
        <v>2095</v>
      </c>
      <c r="M30" s="231">
        <v>2095</v>
      </c>
      <c r="N30" s="231">
        <v>29</v>
      </c>
      <c r="O30" s="231">
        <f t="shared" si="4"/>
        <v>29</v>
      </c>
      <c r="P30" s="231">
        <v>25</v>
      </c>
      <c r="Q30" s="231">
        <v>25</v>
      </c>
      <c r="R30" s="236"/>
      <c r="S30" s="236"/>
      <c r="T30" s="271">
        <v>15</v>
      </c>
      <c r="U30" s="271">
        <v>10</v>
      </c>
      <c r="V30" s="271">
        <v>10</v>
      </c>
    </row>
    <row r="31" spans="1:22" x14ac:dyDescent="0.3">
      <c r="A31" s="280" t="s">
        <v>317</v>
      </c>
      <c r="B31" s="236">
        <v>16</v>
      </c>
      <c r="C31" s="236">
        <v>897</v>
      </c>
      <c r="D31" s="272">
        <v>65</v>
      </c>
      <c r="E31" s="272">
        <v>65</v>
      </c>
      <c r="F31" s="236">
        <v>31</v>
      </c>
      <c r="G31" s="236">
        <f t="shared" si="3"/>
        <v>31</v>
      </c>
      <c r="H31" s="236">
        <v>33</v>
      </c>
      <c r="I31" s="236">
        <f t="shared" si="0"/>
        <v>33</v>
      </c>
      <c r="J31" s="231">
        <v>2095</v>
      </c>
      <c r="K31" s="231">
        <v>2095</v>
      </c>
      <c r="L31" s="231">
        <v>2095</v>
      </c>
      <c r="M31" s="231">
        <v>2095</v>
      </c>
      <c r="N31" s="231">
        <v>30</v>
      </c>
      <c r="O31" s="231">
        <f t="shared" si="4"/>
        <v>30</v>
      </c>
      <c r="P31" s="231">
        <v>25</v>
      </c>
      <c r="Q31" s="231">
        <v>25</v>
      </c>
      <c r="R31" s="236"/>
      <c r="S31" s="236"/>
      <c r="T31" s="271">
        <v>15</v>
      </c>
      <c r="U31" s="271">
        <v>10</v>
      </c>
      <c r="V31" s="271">
        <v>10</v>
      </c>
    </row>
    <row r="32" spans="1:22" x14ac:dyDescent="0.3">
      <c r="A32" s="280" t="s">
        <v>317</v>
      </c>
      <c r="B32" s="236">
        <v>15</v>
      </c>
      <c r="C32" s="236">
        <v>898</v>
      </c>
      <c r="D32" s="272">
        <v>65</v>
      </c>
      <c r="E32" s="272">
        <v>65</v>
      </c>
      <c r="F32" s="236">
        <v>33</v>
      </c>
      <c r="G32" s="236">
        <f t="shared" si="3"/>
        <v>33</v>
      </c>
      <c r="H32" s="236">
        <v>31</v>
      </c>
      <c r="I32" s="236">
        <v>35</v>
      </c>
      <c r="J32" s="231">
        <v>2095</v>
      </c>
      <c r="K32" s="231">
        <v>2095</v>
      </c>
      <c r="L32" s="231">
        <v>2095</v>
      </c>
      <c r="M32" s="231">
        <v>2095</v>
      </c>
      <c r="N32" s="231">
        <v>30</v>
      </c>
      <c r="O32" s="231">
        <f t="shared" si="4"/>
        <v>30</v>
      </c>
      <c r="P32" s="231">
        <v>25</v>
      </c>
      <c r="Q32" s="231">
        <v>25</v>
      </c>
      <c r="R32" s="236"/>
      <c r="S32" s="236"/>
      <c r="T32" s="271">
        <v>15</v>
      </c>
      <c r="U32" s="271">
        <v>10</v>
      </c>
      <c r="V32" s="271">
        <v>10</v>
      </c>
    </row>
    <row r="33" spans="1:22" x14ac:dyDescent="0.3">
      <c r="A33" s="280" t="s">
        <v>317</v>
      </c>
      <c r="B33" s="236">
        <v>14</v>
      </c>
      <c r="C33" s="236">
        <v>899</v>
      </c>
      <c r="D33" s="272">
        <v>65</v>
      </c>
      <c r="E33" s="272">
        <v>65</v>
      </c>
      <c r="F33" s="236">
        <v>31</v>
      </c>
      <c r="G33" s="236">
        <f t="shared" si="3"/>
        <v>31</v>
      </c>
      <c r="H33" s="236">
        <v>32</v>
      </c>
      <c r="I33" s="236">
        <f t="shared" ref="I33:I38" si="5">H33</f>
        <v>32</v>
      </c>
      <c r="J33" s="231">
        <v>2095</v>
      </c>
      <c r="K33" s="231">
        <v>2095</v>
      </c>
      <c r="L33" s="231">
        <v>2095</v>
      </c>
      <c r="M33" s="231">
        <v>2095</v>
      </c>
      <c r="N33" s="231">
        <v>31</v>
      </c>
      <c r="O33" s="231">
        <f t="shared" si="4"/>
        <v>31</v>
      </c>
      <c r="P33" s="231">
        <v>25</v>
      </c>
      <c r="Q33" s="231">
        <v>25</v>
      </c>
      <c r="R33" s="236"/>
      <c r="S33" s="236"/>
      <c r="T33" s="271">
        <v>15</v>
      </c>
      <c r="U33" s="271">
        <v>10</v>
      </c>
      <c r="V33" s="271">
        <v>10</v>
      </c>
    </row>
    <row r="34" spans="1:22" x14ac:dyDescent="0.3">
      <c r="A34" s="280" t="s">
        <v>317</v>
      </c>
      <c r="B34" s="236">
        <v>13</v>
      </c>
      <c r="C34" s="236">
        <v>899</v>
      </c>
      <c r="D34" s="272">
        <v>65</v>
      </c>
      <c r="E34" s="272">
        <v>65</v>
      </c>
      <c r="F34" s="236">
        <v>32</v>
      </c>
      <c r="G34" s="236">
        <f t="shared" si="3"/>
        <v>32</v>
      </c>
      <c r="H34" s="236">
        <v>32</v>
      </c>
      <c r="I34" s="236">
        <f t="shared" si="5"/>
        <v>32</v>
      </c>
      <c r="J34" s="231">
        <v>2095</v>
      </c>
      <c r="K34" s="231">
        <v>2095</v>
      </c>
      <c r="L34" s="231">
        <v>2095</v>
      </c>
      <c r="M34" s="231">
        <v>2095</v>
      </c>
      <c r="N34" s="231">
        <v>32</v>
      </c>
      <c r="O34" s="231">
        <f t="shared" si="4"/>
        <v>32</v>
      </c>
      <c r="P34" s="231">
        <v>25</v>
      </c>
      <c r="Q34" s="231">
        <v>25</v>
      </c>
      <c r="R34" s="236"/>
      <c r="S34" s="236"/>
      <c r="T34" s="271">
        <v>15</v>
      </c>
      <c r="U34" s="271">
        <v>10</v>
      </c>
      <c r="V34" s="271">
        <v>10</v>
      </c>
    </row>
    <row r="35" spans="1:22" x14ac:dyDescent="0.3">
      <c r="A35" s="280" t="s">
        <v>317</v>
      </c>
      <c r="B35" s="236">
        <v>12</v>
      </c>
      <c r="C35" s="236">
        <v>899</v>
      </c>
      <c r="D35" s="272">
        <v>65</v>
      </c>
      <c r="E35" s="272">
        <v>65</v>
      </c>
      <c r="F35" s="236">
        <v>31</v>
      </c>
      <c r="G35" s="236">
        <f t="shared" si="3"/>
        <v>31</v>
      </c>
      <c r="H35" s="236">
        <v>32</v>
      </c>
      <c r="I35" s="236">
        <f t="shared" si="5"/>
        <v>32</v>
      </c>
      <c r="J35" s="231">
        <v>2095</v>
      </c>
      <c r="K35" s="231">
        <v>2095</v>
      </c>
      <c r="L35" s="231">
        <v>2095</v>
      </c>
      <c r="M35" s="231">
        <v>2095</v>
      </c>
      <c r="N35" s="231">
        <v>31</v>
      </c>
      <c r="O35" s="231">
        <f t="shared" si="4"/>
        <v>31</v>
      </c>
      <c r="P35" s="231">
        <v>25</v>
      </c>
      <c r="Q35" s="231">
        <v>25</v>
      </c>
      <c r="R35" s="236"/>
      <c r="S35" s="236"/>
      <c r="T35" s="271">
        <v>15</v>
      </c>
      <c r="U35" s="271">
        <v>10</v>
      </c>
      <c r="V35" s="271">
        <v>10</v>
      </c>
    </row>
    <row r="36" spans="1:22" x14ac:dyDescent="0.3">
      <c r="A36" s="280" t="s">
        <v>317</v>
      </c>
      <c r="B36" s="236">
        <v>11</v>
      </c>
      <c r="C36" s="236">
        <v>899</v>
      </c>
      <c r="D36" s="272">
        <v>65</v>
      </c>
      <c r="E36" s="272">
        <v>65</v>
      </c>
      <c r="F36" s="236">
        <v>32</v>
      </c>
      <c r="G36" s="236">
        <f t="shared" si="3"/>
        <v>32</v>
      </c>
      <c r="H36" s="236">
        <v>30</v>
      </c>
      <c r="I36" s="236">
        <f t="shared" si="5"/>
        <v>30</v>
      </c>
      <c r="J36" s="231">
        <v>2095</v>
      </c>
      <c r="K36" s="231">
        <v>2095</v>
      </c>
      <c r="L36" s="231">
        <v>2095</v>
      </c>
      <c r="M36" s="231">
        <v>2095</v>
      </c>
      <c r="N36" s="231">
        <v>31</v>
      </c>
      <c r="O36" s="231">
        <f t="shared" si="4"/>
        <v>31</v>
      </c>
      <c r="P36" s="231">
        <v>25</v>
      </c>
      <c r="Q36" s="231">
        <v>25</v>
      </c>
      <c r="R36" s="236"/>
      <c r="S36" s="236"/>
      <c r="T36" s="271">
        <v>15</v>
      </c>
      <c r="U36" s="271">
        <v>10</v>
      </c>
      <c r="V36" s="271">
        <v>10</v>
      </c>
    </row>
    <row r="37" spans="1:22" x14ac:dyDescent="0.3">
      <c r="A37" s="280" t="s">
        <v>317</v>
      </c>
      <c r="B37" s="236">
        <v>10</v>
      </c>
      <c r="C37" s="236">
        <v>899</v>
      </c>
      <c r="D37" s="272">
        <v>65</v>
      </c>
      <c r="E37" s="272">
        <v>65</v>
      </c>
      <c r="F37" s="236">
        <v>32</v>
      </c>
      <c r="G37" s="236">
        <f t="shared" si="3"/>
        <v>32</v>
      </c>
      <c r="H37" s="236">
        <v>30</v>
      </c>
      <c r="I37" s="236">
        <f t="shared" si="5"/>
        <v>30</v>
      </c>
      <c r="J37" s="231">
        <v>2095</v>
      </c>
      <c r="K37" s="231">
        <v>2095</v>
      </c>
      <c r="L37" s="231">
        <v>2095</v>
      </c>
      <c r="M37" s="231">
        <v>2095</v>
      </c>
      <c r="N37" s="231">
        <v>32</v>
      </c>
      <c r="O37" s="231">
        <f t="shared" si="4"/>
        <v>32</v>
      </c>
      <c r="P37" s="231">
        <v>25</v>
      </c>
      <c r="Q37" s="231">
        <v>25</v>
      </c>
      <c r="R37" s="236"/>
      <c r="S37" s="236"/>
      <c r="T37" s="271">
        <v>15</v>
      </c>
      <c r="U37" s="271">
        <v>10</v>
      </c>
      <c r="V37" s="271">
        <v>10</v>
      </c>
    </row>
    <row r="38" spans="1:22" x14ac:dyDescent="0.3">
      <c r="A38" s="280" t="s">
        <v>317</v>
      </c>
      <c r="B38" s="236">
        <v>9</v>
      </c>
      <c r="C38" s="236">
        <v>899</v>
      </c>
      <c r="D38" s="272">
        <v>65</v>
      </c>
      <c r="E38" s="272">
        <v>65</v>
      </c>
      <c r="F38" s="236">
        <v>32</v>
      </c>
      <c r="G38" s="236">
        <f t="shared" si="3"/>
        <v>32</v>
      </c>
      <c r="H38" s="236">
        <v>31</v>
      </c>
      <c r="I38" s="236">
        <f t="shared" si="5"/>
        <v>31</v>
      </c>
      <c r="J38" s="231">
        <v>2095</v>
      </c>
      <c r="K38" s="231">
        <v>2095</v>
      </c>
      <c r="L38" s="231">
        <v>2095</v>
      </c>
      <c r="M38" s="231">
        <v>2095</v>
      </c>
      <c r="N38" s="231">
        <v>29</v>
      </c>
      <c r="O38" s="231">
        <f t="shared" si="4"/>
        <v>29</v>
      </c>
      <c r="P38" s="231">
        <v>25</v>
      </c>
      <c r="Q38" s="231">
        <v>25</v>
      </c>
      <c r="R38" s="236"/>
      <c r="S38" s="236"/>
      <c r="T38" s="271">
        <v>15</v>
      </c>
      <c r="U38" s="271">
        <v>10</v>
      </c>
      <c r="V38" s="271">
        <v>10</v>
      </c>
    </row>
    <row r="39" spans="1:22" x14ac:dyDescent="0.3">
      <c r="A39" s="280" t="s">
        <v>317</v>
      </c>
      <c r="B39" s="236">
        <v>8</v>
      </c>
      <c r="C39" s="236">
        <v>898</v>
      </c>
      <c r="D39" s="272">
        <v>65</v>
      </c>
      <c r="E39" s="272">
        <v>65</v>
      </c>
      <c r="F39" s="236">
        <v>31</v>
      </c>
      <c r="G39" s="236">
        <f t="shared" si="3"/>
        <v>31</v>
      </c>
      <c r="H39" s="236">
        <v>31</v>
      </c>
      <c r="I39" s="236">
        <v>27</v>
      </c>
      <c r="J39" s="231">
        <v>2095</v>
      </c>
      <c r="K39" s="231">
        <v>2095</v>
      </c>
      <c r="L39" s="231">
        <v>2095</v>
      </c>
      <c r="M39" s="231">
        <v>2095</v>
      </c>
      <c r="N39" s="231">
        <v>29</v>
      </c>
      <c r="O39" s="231">
        <f t="shared" si="4"/>
        <v>29</v>
      </c>
      <c r="P39" s="231">
        <v>25</v>
      </c>
      <c r="Q39" s="231">
        <v>25</v>
      </c>
      <c r="R39" s="236"/>
      <c r="S39" s="236"/>
      <c r="T39" s="271">
        <v>15</v>
      </c>
      <c r="U39" s="271">
        <v>10</v>
      </c>
      <c r="V39" s="271">
        <v>10</v>
      </c>
    </row>
    <row r="40" spans="1:22" x14ac:dyDescent="0.3">
      <c r="A40" s="280" t="s">
        <v>317</v>
      </c>
      <c r="B40" s="236">
        <v>7</v>
      </c>
      <c r="C40" s="236">
        <v>899</v>
      </c>
      <c r="D40" s="272">
        <v>65</v>
      </c>
      <c r="E40" s="272">
        <v>65</v>
      </c>
      <c r="F40" s="236">
        <v>33</v>
      </c>
      <c r="G40" s="236">
        <f t="shared" si="3"/>
        <v>33</v>
      </c>
      <c r="H40" s="236">
        <v>31</v>
      </c>
      <c r="I40" s="236">
        <f t="shared" ref="I40:I41" si="6">H40</f>
        <v>31</v>
      </c>
      <c r="J40" s="231">
        <v>2095</v>
      </c>
      <c r="K40" s="231">
        <v>2095</v>
      </c>
      <c r="L40" s="231">
        <v>2095</v>
      </c>
      <c r="M40" s="231">
        <v>2095</v>
      </c>
      <c r="N40" s="231">
        <v>27</v>
      </c>
      <c r="O40" s="231">
        <f t="shared" si="4"/>
        <v>27</v>
      </c>
      <c r="P40" s="231">
        <v>25</v>
      </c>
      <c r="Q40" s="231">
        <v>25</v>
      </c>
      <c r="R40" s="236"/>
      <c r="S40" s="236"/>
      <c r="T40" s="271">
        <v>15</v>
      </c>
      <c r="U40" s="271">
        <v>10</v>
      </c>
      <c r="V40" s="271">
        <v>10</v>
      </c>
    </row>
    <row r="41" spans="1:22" x14ac:dyDescent="0.3">
      <c r="A41" s="280" t="s">
        <v>317</v>
      </c>
      <c r="B41" s="236">
        <v>6</v>
      </c>
      <c r="C41" s="236">
        <v>900</v>
      </c>
      <c r="D41" s="272">
        <v>65</v>
      </c>
      <c r="E41" s="272">
        <v>65</v>
      </c>
      <c r="F41" s="236">
        <v>33</v>
      </c>
      <c r="G41" s="236">
        <f t="shared" si="3"/>
        <v>33</v>
      </c>
      <c r="H41" s="236">
        <v>31</v>
      </c>
      <c r="I41" s="236">
        <f t="shared" si="6"/>
        <v>31</v>
      </c>
      <c r="J41" s="231">
        <v>2095</v>
      </c>
      <c r="K41" s="231">
        <v>2095</v>
      </c>
      <c r="L41" s="231">
        <v>2095</v>
      </c>
      <c r="M41" s="231">
        <v>2095</v>
      </c>
      <c r="N41" s="231">
        <v>29</v>
      </c>
      <c r="O41" s="231">
        <f t="shared" si="4"/>
        <v>29</v>
      </c>
      <c r="P41" s="231">
        <v>25</v>
      </c>
      <c r="Q41" s="231">
        <v>25</v>
      </c>
      <c r="R41" s="236"/>
      <c r="S41" s="236"/>
      <c r="T41" s="271">
        <v>15</v>
      </c>
      <c r="U41" s="271">
        <v>10</v>
      </c>
      <c r="V41" s="271">
        <v>10</v>
      </c>
    </row>
    <row r="42" spans="1:22" x14ac:dyDescent="0.3">
      <c r="A42" s="280" t="s">
        <v>317</v>
      </c>
      <c r="B42" s="236">
        <v>5</v>
      </c>
      <c r="C42" s="236">
        <v>898</v>
      </c>
      <c r="D42" s="272">
        <v>65</v>
      </c>
      <c r="E42" s="272">
        <v>65</v>
      </c>
      <c r="F42" s="236">
        <v>30</v>
      </c>
      <c r="G42" s="236">
        <f t="shared" si="3"/>
        <v>30</v>
      </c>
      <c r="H42" s="236">
        <v>35</v>
      </c>
      <c r="I42" s="236">
        <v>31</v>
      </c>
      <c r="J42" s="231">
        <v>2095</v>
      </c>
      <c r="K42" s="231">
        <v>2095</v>
      </c>
      <c r="L42" s="231">
        <v>2095</v>
      </c>
      <c r="M42" s="231">
        <v>2095</v>
      </c>
      <c r="N42" s="231">
        <v>26</v>
      </c>
      <c r="O42" s="231">
        <f t="shared" si="4"/>
        <v>26</v>
      </c>
      <c r="P42" s="231">
        <v>25</v>
      </c>
      <c r="Q42" s="231">
        <v>25</v>
      </c>
      <c r="R42" s="236"/>
      <c r="S42" s="236"/>
      <c r="T42" s="271">
        <v>15</v>
      </c>
      <c r="U42" s="271">
        <v>10</v>
      </c>
      <c r="V42" s="271">
        <v>10</v>
      </c>
    </row>
    <row r="43" spans="1:22" x14ac:dyDescent="0.3">
      <c r="A43" s="280" t="s">
        <v>317</v>
      </c>
      <c r="B43" s="236">
        <v>4</v>
      </c>
      <c r="C43" s="236">
        <v>899</v>
      </c>
      <c r="D43" s="272">
        <v>65</v>
      </c>
      <c r="E43" s="272">
        <v>65</v>
      </c>
      <c r="F43" s="236">
        <v>29</v>
      </c>
      <c r="G43" s="236">
        <f t="shared" si="3"/>
        <v>29</v>
      </c>
      <c r="H43" s="236">
        <v>33</v>
      </c>
      <c r="I43" s="236">
        <f t="shared" ref="I43:I46" si="7">H43</f>
        <v>33</v>
      </c>
      <c r="J43" s="231">
        <v>2095</v>
      </c>
      <c r="K43" s="231">
        <v>2095</v>
      </c>
      <c r="L43" s="231">
        <v>2095</v>
      </c>
      <c r="M43" s="231">
        <v>2095</v>
      </c>
      <c r="N43" s="231">
        <v>28</v>
      </c>
      <c r="O43" s="231">
        <f t="shared" si="4"/>
        <v>28</v>
      </c>
      <c r="P43" s="231">
        <v>25</v>
      </c>
      <c r="Q43" s="231">
        <v>25</v>
      </c>
      <c r="R43" s="236"/>
      <c r="S43" s="236"/>
      <c r="T43" s="271">
        <v>15</v>
      </c>
      <c r="U43" s="271">
        <v>10</v>
      </c>
      <c r="V43" s="271">
        <v>10</v>
      </c>
    </row>
    <row r="44" spans="1:22" x14ac:dyDescent="0.3">
      <c r="A44" s="280" t="s">
        <v>317</v>
      </c>
      <c r="B44" s="236">
        <v>3</v>
      </c>
      <c r="C44" s="236">
        <v>900</v>
      </c>
      <c r="D44" s="272">
        <v>65</v>
      </c>
      <c r="E44" s="272">
        <v>65</v>
      </c>
      <c r="F44" s="236">
        <v>30</v>
      </c>
      <c r="G44" s="236">
        <f t="shared" si="3"/>
        <v>30</v>
      </c>
      <c r="H44" s="236">
        <v>30</v>
      </c>
      <c r="I44" s="236">
        <f t="shared" si="7"/>
        <v>30</v>
      </c>
      <c r="J44" s="231">
        <v>2095</v>
      </c>
      <c r="K44" s="231">
        <v>2095</v>
      </c>
      <c r="L44" s="231">
        <v>2095</v>
      </c>
      <c r="M44" s="231">
        <v>2095</v>
      </c>
      <c r="N44" s="231">
        <v>28</v>
      </c>
      <c r="O44" s="231">
        <f t="shared" si="4"/>
        <v>28</v>
      </c>
      <c r="P44" s="231">
        <v>25</v>
      </c>
      <c r="Q44" s="231">
        <v>25</v>
      </c>
      <c r="R44" s="236"/>
      <c r="S44" s="236"/>
      <c r="T44" s="271">
        <v>15</v>
      </c>
      <c r="U44" s="271">
        <v>10</v>
      </c>
      <c r="V44" s="271">
        <v>10</v>
      </c>
    </row>
    <row r="45" spans="1:22" x14ac:dyDescent="0.3">
      <c r="A45" s="280" t="s">
        <v>317</v>
      </c>
      <c r="B45" s="270">
        <v>2</v>
      </c>
      <c r="C45" s="270">
        <v>898</v>
      </c>
      <c r="D45" s="272">
        <v>65</v>
      </c>
      <c r="E45" s="272">
        <v>65</v>
      </c>
      <c r="F45" s="270">
        <v>31</v>
      </c>
      <c r="G45" s="270">
        <f t="shared" si="3"/>
        <v>31</v>
      </c>
      <c r="H45" s="270">
        <v>31</v>
      </c>
      <c r="I45" s="270">
        <f t="shared" si="7"/>
        <v>31</v>
      </c>
      <c r="J45" s="231">
        <v>2095</v>
      </c>
      <c r="K45" s="231">
        <v>2095</v>
      </c>
      <c r="L45" s="231">
        <v>2095</v>
      </c>
      <c r="M45" s="231">
        <v>2095</v>
      </c>
      <c r="N45" s="231">
        <v>29</v>
      </c>
      <c r="O45" s="231">
        <f t="shared" si="4"/>
        <v>29</v>
      </c>
      <c r="P45" s="231">
        <v>25</v>
      </c>
      <c r="Q45" s="231">
        <v>25</v>
      </c>
      <c r="R45" s="270"/>
      <c r="S45" s="270"/>
      <c r="T45" s="271">
        <v>15</v>
      </c>
      <c r="U45" s="271">
        <v>10</v>
      </c>
      <c r="V45" s="271">
        <v>10</v>
      </c>
    </row>
    <row r="46" spans="1:22" x14ac:dyDescent="0.3">
      <c r="A46" s="280" t="s">
        <v>317</v>
      </c>
      <c r="B46" s="270" t="s">
        <v>325</v>
      </c>
      <c r="C46" s="270">
        <v>889</v>
      </c>
      <c r="D46" s="270">
        <v>70</v>
      </c>
      <c r="E46" s="270">
        <v>70</v>
      </c>
      <c r="F46" s="270">
        <v>40</v>
      </c>
      <c r="G46" s="270">
        <f t="shared" si="3"/>
        <v>40</v>
      </c>
      <c r="H46" s="270">
        <v>45</v>
      </c>
      <c r="I46" s="270">
        <f t="shared" si="7"/>
        <v>45</v>
      </c>
      <c r="J46" s="231">
        <v>2092</v>
      </c>
      <c r="K46" s="231">
        <v>2092</v>
      </c>
      <c r="L46" s="231">
        <v>2092</v>
      </c>
      <c r="M46" s="231">
        <v>2092</v>
      </c>
      <c r="N46" s="231">
        <v>34</v>
      </c>
      <c r="O46" s="231">
        <v>38</v>
      </c>
      <c r="P46" s="231">
        <v>25</v>
      </c>
      <c r="Q46" s="231">
        <v>25</v>
      </c>
      <c r="R46" s="270"/>
      <c r="S46" s="270"/>
      <c r="T46" s="271">
        <v>15</v>
      </c>
      <c r="U46" s="271">
        <v>10</v>
      </c>
      <c r="V46" s="271">
        <v>10</v>
      </c>
    </row>
    <row r="47" spans="1:22" x14ac:dyDescent="0.3">
      <c r="A47" s="280" t="s">
        <v>319</v>
      </c>
      <c r="B47" s="270">
        <v>20</v>
      </c>
      <c r="C47" s="270">
        <v>898</v>
      </c>
      <c r="D47" s="270">
        <v>65</v>
      </c>
      <c r="E47" s="270">
        <v>65</v>
      </c>
      <c r="F47" s="270">
        <v>34</v>
      </c>
      <c r="G47" s="270">
        <f t="shared" si="3"/>
        <v>34</v>
      </c>
      <c r="H47" s="270">
        <v>37</v>
      </c>
      <c r="I47" s="270">
        <v>33</v>
      </c>
      <c r="J47" s="231">
        <v>2095</v>
      </c>
      <c r="K47" s="231">
        <v>2095</v>
      </c>
      <c r="L47" s="231">
        <v>2095</v>
      </c>
      <c r="M47" s="231">
        <v>2095</v>
      </c>
      <c r="N47" s="231">
        <v>35</v>
      </c>
      <c r="O47" s="231">
        <f t="shared" ref="O47:O55" si="8">N47</f>
        <v>35</v>
      </c>
      <c r="P47" s="231">
        <v>25</v>
      </c>
      <c r="Q47" s="231">
        <v>25</v>
      </c>
      <c r="R47" s="270"/>
      <c r="S47" s="270"/>
      <c r="T47" s="271">
        <v>15</v>
      </c>
      <c r="U47" s="271">
        <v>10</v>
      </c>
      <c r="V47" s="271">
        <v>10</v>
      </c>
    </row>
    <row r="48" spans="1:22" x14ac:dyDescent="0.3">
      <c r="A48" s="280" t="s">
        <v>319</v>
      </c>
      <c r="B48" s="270">
        <v>19</v>
      </c>
      <c r="C48" s="270">
        <v>897</v>
      </c>
      <c r="D48" s="272">
        <v>65</v>
      </c>
      <c r="E48" s="272">
        <v>65</v>
      </c>
      <c r="F48" s="270">
        <v>36</v>
      </c>
      <c r="G48" s="270">
        <v>32</v>
      </c>
      <c r="H48" s="270">
        <v>34</v>
      </c>
      <c r="I48" s="270">
        <f t="shared" ref="I48:I51" si="9">H48</f>
        <v>34</v>
      </c>
      <c r="J48" s="231">
        <v>2095</v>
      </c>
      <c r="K48" s="231">
        <v>2095</v>
      </c>
      <c r="L48" s="231">
        <v>2095</v>
      </c>
      <c r="M48" s="231">
        <v>2095</v>
      </c>
      <c r="N48" s="231">
        <v>35</v>
      </c>
      <c r="O48" s="231">
        <f t="shared" si="8"/>
        <v>35</v>
      </c>
      <c r="P48" s="231">
        <v>25</v>
      </c>
      <c r="Q48" s="231">
        <v>25</v>
      </c>
      <c r="R48" s="270"/>
      <c r="S48" s="270"/>
      <c r="T48" s="271">
        <v>15</v>
      </c>
      <c r="U48" s="271">
        <v>10</v>
      </c>
      <c r="V48" s="271">
        <v>10</v>
      </c>
    </row>
    <row r="49" spans="1:22" x14ac:dyDescent="0.3">
      <c r="A49" s="280" t="s">
        <v>319</v>
      </c>
      <c r="B49" s="270">
        <v>18</v>
      </c>
      <c r="C49" s="270">
        <v>899</v>
      </c>
      <c r="D49" s="272">
        <v>65</v>
      </c>
      <c r="E49" s="272">
        <v>65</v>
      </c>
      <c r="F49" s="270">
        <v>34</v>
      </c>
      <c r="G49" s="270">
        <f t="shared" ref="G49:G54" si="10">F49</f>
        <v>34</v>
      </c>
      <c r="H49" s="270">
        <v>34</v>
      </c>
      <c r="I49" s="270">
        <f t="shared" si="9"/>
        <v>34</v>
      </c>
      <c r="J49" s="231">
        <v>2095</v>
      </c>
      <c r="K49" s="231">
        <v>2095</v>
      </c>
      <c r="L49" s="231">
        <v>2095</v>
      </c>
      <c r="M49" s="231">
        <v>2095</v>
      </c>
      <c r="N49" s="231">
        <v>33</v>
      </c>
      <c r="O49" s="231">
        <f t="shared" si="8"/>
        <v>33</v>
      </c>
      <c r="P49" s="231">
        <v>25</v>
      </c>
      <c r="Q49" s="231">
        <v>25</v>
      </c>
      <c r="R49" s="270"/>
      <c r="S49" s="270"/>
      <c r="T49" s="271">
        <v>15</v>
      </c>
      <c r="U49" s="271">
        <v>10</v>
      </c>
      <c r="V49" s="271">
        <v>10</v>
      </c>
    </row>
    <row r="50" spans="1:22" x14ac:dyDescent="0.3">
      <c r="A50" s="280" t="s">
        <v>319</v>
      </c>
      <c r="B50" s="270">
        <v>17</v>
      </c>
      <c r="C50" s="270">
        <v>897</v>
      </c>
      <c r="D50" s="272">
        <v>65</v>
      </c>
      <c r="E50" s="272">
        <v>65</v>
      </c>
      <c r="F50" s="270">
        <v>34</v>
      </c>
      <c r="G50" s="270">
        <f t="shared" si="10"/>
        <v>34</v>
      </c>
      <c r="H50" s="270">
        <v>35</v>
      </c>
      <c r="I50" s="270">
        <f t="shared" si="9"/>
        <v>35</v>
      </c>
      <c r="J50" s="231">
        <v>2095</v>
      </c>
      <c r="K50" s="231">
        <v>2095</v>
      </c>
      <c r="L50" s="231">
        <v>2095</v>
      </c>
      <c r="M50" s="231">
        <v>2095</v>
      </c>
      <c r="N50" s="231">
        <v>36</v>
      </c>
      <c r="O50" s="231">
        <f t="shared" si="8"/>
        <v>36</v>
      </c>
      <c r="P50" s="231">
        <v>25</v>
      </c>
      <c r="Q50" s="231">
        <v>25</v>
      </c>
      <c r="R50" s="270"/>
      <c r="S50" s="270"/>
      <c r="T50" s="271">
        <v>15</v>
      </c>
      <c r="U50" s="271">
        <v>10</v>
      </c>
      <c r="V50" s="271">
        <v>10</v>
      </c>
    </row>
    <row r="51" spans="1:22" x14ac:dyDescent="0.3">
      <c r="A51" s="280" t="s">
        <v>319</v>
      </c>
      <c r="B51" s="270">
        <v>16</v>
      </c>
      <c r="C51" s="270">
        <v>897</v>
      </c>
      <c r="D51" s="272">
        <v>65</v>
      </c>
      <c r="E51" s="272">
        <v>65</v>
      </c>
      <c r="F51" s="270">
        <v>34</v>
      </c>
      <c r="G51" s="270">
        <f t="shared" si="10"/>
        <v>34</v>
      </c>
      <c r="H51" s="270">
        <v>34</v>
      </c>
      <c r="I51" s="270">
        <f t="shared" si="9"/>
        <v>34</v>
      </c>
      <c r="J51" s="231">
        <v>2095</v>
      </c>
      <c r="K51" s="231">
        <v>2095</v>
      </c>
      <c r="L51" s="231">
        <v>2095</v>
      </c>
      <c r="M51" s="231">
        <v>2095</v>
      </c>
      <c r="N51" s="231">
        <v>34</v>
      </c>
      <c r="O51" s="231">
        <f t="shared" si="8"/>
        <v>34</v>
      </c>
      <c r="P51" s="231">
        <v>25</v>
      </c>
      <c r="Q51" s="231">
        <v>25</v>
      </c>
      <c r="R51" s="270"/>
      <c r="S51" s="270"/>
      <c r="T51" s="271">
        <v>15</v>
      </c>
      <c r="U51" s="271">
        <v>10</v>
      </c>
      <c r="V51" s="271">
        <v>10</v>
      </c>
    </row>
    <row r="52" spans="1:22" x14ac:dyDescent="0.3">
      <c r="A52" s="280" t="s">
        <v>319</v>
      </c>
      <c r="B52" s="270">
        <v>15</v>
      </c>
      <c r="C52" s="270">
        <v>899</v>
      </c>
      <c r="D52" s="272">
        <v>65</v>
      </c>
      <c r="E52" s="272">
        <v>65</v>
      </c>
      <c r="F52" s="270">
        <v>34</v>
      </c>
      <c r="G52" s="270">
        <f t="shared" si="10"/>
        <v>34</v>
      </c>
      <c r="H52" s="270">
        <v>35</v>
      </c>
      <c r="I52" s="270">
        <v>30</v>
      </c>
      <c r="J52" s="231">
        <v>2095</v>
      </c>
      <c r="K52" s="231">
        <v>2095</v>
      </c>
      <c r="L52" s="231">
        <v>2095</v>
      </c>
      <c r="M52" s="231">
        <v>2095</v>
      </c>
      <c r="N52" s="231">
        <v>32</v>
      </c>
      <c r="O52" s="231">
        <f t="shared" si="8"/>
        <v>32</v>
      </c>
      <c r="P52" s="231">
        <v>25</v>
      </c>
      <c r="Q52" s="231">
        <v>25</v>
      </c>
      <c r="R52" s="270"/>
      <c r="S52" s="270"/>
      <c r="T52" s="271">
        <v>15</v>
      </c>
      <c r="U52" s="271">
        <v>10</v>
      </c>
      <c r="V52" s="271">
        <v>10</v>
      </c>
    </row>
    <row r="53" spans="1:22" x14ac:dyDescent="0.3">
      <c r="A53" s="280" t="s">
        <v>319</v>
      </c>
      <c r="B53" s="270">
        <v>14</v>
      </c>
      <c r="C53" s="270">
        <v>900</v>
      </c>
      <c r="D53" s="272">
        <v>65</v>
      </c>
      <c r="E53" s="272">
        <v>65</v>
      </c>
      <c r="F53" s="270">
        <v>32</v>
      </c>
      <c r="G53" s="270">
        <f t="shared" si="10"/>
        <v>32</v>
      </c>
      <c r="H53" s="270">
        <v>34</v>
      </c>
      <c r="I53" s="270">
        <f t="shared" ref="I53:I73" si="11">H53</f>
        <v>34</v>
      </c>
      <c r="J53" s="231">
        <v>2095</v>
      </c>
      <c r="K53" s="231">
        <v>2095</v>
      </c>
      <c r="L53" s="231">
        <v>2095</v>
      </c>
      <c r="M53" s="231">
        <v>2095</v>
      </c>
      <c r="N53" s="231">
        <v>35</v>
      </c>
      <c r="O53" s="231">
        <f t="shared" si="8"/>
        <v>35</v>
      </c>
      <c r="P53" s="231">
        <v>25</v>
      </c>
      <c r="Q53" s="231">
        <v>25</v>
      </c>
      <c r="R53" s="270"/>
      <c r="S53" s="270"/>
      <c r="T53" s="271">
        <v>15</v>
      </c>
      <c r="U53" s="271">
        <v>10</v>
      </c>
      <c r="V53" s="271">
        <v>10</v>
      </c>
    </row>
    <row r="54" spans="1:22" x14ac:dyDescent="0.3">
      <c r="A54" s="280" t="s">
        <v>319</v>
      </c>
      <c r="B54" s="270">
        <v>13</v>
      </c>
      <c r="C54" s="270">
        <v>899</v>
      </c>
      <c r="D54" s="272">
        <v>65</v>
      </c>
      <c r="E54" s="272">
        <v>65</v>
      </c>
      <c r="F54" s="270">
        <v>32</v>
      </c>
      <c r="G54" s="270">
        <f t="shared" si="10"/>
        <v>32</v>
      </c>
      <c r="H54" s="270">
        <v>35</v>
      </c>
      <c r="I54" s="270">
        <f t="shared" si="11"/>
        <v>35</v>
      </c>
      <c r="J54" s="231">
        <v>2095</v>
      </c>
      <c r="K54" s="231">
        <v>2095</v>
      </c>
      <c r="L54" s="231">
        <v>2095</v>
      </c>
      <c r="M54" s="231">
        <v>2095</v>
      </c>
      <c r="N54" s="231">
        <v>33</v>
      </c>
      <c r="O54" s="231">
        <f t="shared" si="8"/>
        <v>33</v>
      </c>
      <c r="P54" s="231">
        <v>25</v>
      </c>
      <c r="Q54" s="231">
        <v>25</v>
      </c>
      <c r="R54" s="270"/>
      <c r="S54" s="270"/>
      <c r="T54" s="271">
        <v>15</v>
      </c>
      <c r="U54" s="271">
        <v>10</v>
      </c>
      <c r="V54" s="271">
        <v>10</v>
      </c>
    </row>
    <row r="55" spans="1:22" x14ac:dyDescent="0.3">
      <c r="A55" s="280" t="s">
        <v>319</v>
      </c>
      <c r="B55" s="270">
        <v>12</v>
      </c>
      <c r="C55" s="270">
        <v>899</v>
      </c>
      <c r="D55" s="272">
        <v>65</v>
      </c>
      <c r="E55" s="272">
        <v>65</v>
      </c>
      <c r="F55" s="270">
        <v>34</v>
      </c>
      <c r="G55" s="270">
        <v>30</v>
      </c>
      <c r="H55" s="270">
        <v>34</v>
      </c>
      <c r="I55" s="270">
        <f t="shared" si="11"/>
        <v>34</v>
      </c>
      <c r="J55" s="231">
        <v>2095</v>
      </c>
      <c r="K55" s="231">
        <v>2095</v>
      </c>
      <c r="L55" s="231">
        <v>2095</v>
      </c>
      <c r="M55" s="231">
        <v>2095</v>
      </c>
      <c r="N55" s="231">
        <v>35</v>
      </c>
      <c r="O55" s="231">
        <f t="shared" si="8"/>
        <v>35</v>
      </c>
      <c r="P55" s="231">
        <v>25</v>
      </c>
      <c r="Q55" s="231">
        <v>25</v>
      </c>
      <c r="R55" s="270"/>
      <c r="S55" s="270"/>
      <c r="T55" s="271">
        <v>15</v>
      </c>
      <c r="U55" s="271">
        <v>10</v>
      </c>
      <c r="V55" s="271">
        <v>10</v>
      </c>
    </row>
    <row r="56" spans="1:22" x14ac:dyDescent="0.3">
      <c r="A56" s="280" t="s">
        <v>319</v>
      </c>
      <c r="B56" s="270">
        <v>11</v>
      </c>
      <c r="C56" s="270">
        <v>899</v>
      </c>
      <c r="D56" s="272">
        <v>65</v>
      </c>
      <c r="E56" s="272">
        <v>65</v>
      </c>
      <c r="F56" s="270">
        <v>30</v>
      </c>
      <c r="G56" s="270">
        <v>34</v>
      </c>
      <c r="H56" s="270">
        <v>34</v>
      </c>
      <c r="I56" s="270">
        <f t="shared" si="11"/>
        <v>34</v>
      </c>
      <c r="J56" s="231">
        <v>2095</v>
      </c>
      <c r="K56" s="231">
        <v>2095</v>
      </c>
      <c r="L56" s="231">
        <v>2095</v>
      </c>
      <c r="M56" s="231">
        <v>2095</v>
      </c>
      <c r="N56" s="231">
        <v>37</v>
      </c>
      <c r="O56" s="231">
        <v>33</v>
      </c>
      <c r="P56" s="231">
        <v>25</v>
      </c>
      <c r="Q56" s="231">
        <v>25</v>
      </c>
      <c r="R56" s="270"/>
      <c r="S56" s="270"/>
      <c r="T56" s="271">
        <v>15</v>
      </c>
      <c r="U56" s="271">
        <v>10</v>
      </c>
      <c r="V56" s="271">
        <v>10</v>
      </c>
    </row>
    <row r="57" spans="1:22" x14ac:dyDescent="0.3">
      <c r="A57" s="280" t="s">
        <v>319</v>
      </c>
      <c r="B57" s="270">
        <v>10</v>
      </c>
      <c r="C57" s="270">
        <v>899</v>
      </c>
      <c r="D57" s="272">
        <v>65</v>
      </c>
      <c r="E57" s="272">
        <v>65</v>
      </c>
      <c r="F57" s="270">
        <v>33</v>
      </c>
      <c r="G57" s="270">
        <f t="shared" ref="G57:G69" si="12">F57</f>
        <v>33</v>
      </c>
      <c r="H57" s="270">
        <v>35</v>
      </c>
      <c r="I57" s="270">
        <f t="shared" si="11"/>
        <v>35</v>
      </c>
      <c r="J57" s="231">
        <v>2095</v>
      </c>
      <c r="K57" s="231">
        <v>2095</v>
      </c>
      <c r="L57" s="231">
        <v>2095</v>
      </c>
      <c r="M57" s="231">
        <v>2095</v>
      </c>
      <c r="N57" s="231">
        <v>34</v>
      </c>
      <c r="O57" s="231">
        <f t="shared" ref="O57:O84" si="13">N57</f>
        <v>34</v>
      </c>
      <c r="P57" s="231">
        <v>25</v>
      </c>
      <c r="Q57" s="231">
        <v>25</v>
      </c>
      <c r="R57" s="270"/>
      <c r="S57" s="270"/>
      <c r="T57" s="271">
        <v>15</v>
      </c>
      <c r="U57" s="271">
        <v>10</v>
      </c>
      <c r="V57" s="271">
        <v>10</v>
      </c>
    </row>
    <row r="58" spans="1:22" x14ac:dyDescent="0.3">
      <c r="A58" s="280" t="s">
        <v>319</v>
      </c>
      <c r="B58" s="270">
        <v>9</v>
      </c>
      <c r="C58" s="270">
        <v>899</v>
      </c>
      <c r="D58" s="272">
        <v>65</v>
      </c>
      <c r="E58" s="272">
        <v>65</v>
      </c>
      <c r="F58" s="270">
        <v>31</v>
      </c>
      <c r="G58" s="270">
        <f t="shared" si="12"/>
        <v>31</v>
      </c>
      <c r="H58" s="270">
        <v>31</v>
      </c>
      <c r="I58" s="270">
        <f t="shared" si="11"/>
        <v>31</v>
      </c>
      <c r="J58" s="231">
        <v>2095</v>
      </c>
      <c r="K58" s="231">
        <v>2095</v>
      </c>
      <c r="L58" s="231">
        <v>2095</v>
      </c>
      <c r="M58" s="231">
        <v>2095</v>
      </c>
      <c r="N58" s="231">
        <v>35</v>
      </c>
      <c r="O58" s="231">
        <f t="shared" si="13"/>
        <v>35</v>
      </c>
      <c r="P58" s="231">
        <v>25</v>
      </c>
      <c r="Q58" s="231">
        <v>25</v>
      </c>
      <c r="R58" s="270"/>
      <c r="S58" s="270"/>
      <c r="T58" s="271">
        <v>15</v>
      </c>
      <c r="U58" s="271">
        <v>10</v>
      </c>
      <c r="V58" s="271">
        <v>10</v>
      </c>
    </row>
    <row r="59" spans="1:22" x14ac:dyDescent="0.3">
      <c r="A59" s="280" t="s">
        <v>319</v>
      </c>
      <c r="B59" s="270">
        <v>8</v>
      </c>
      <c r="C59" s="270">
        <v>898</v>
      </c>
      <c r="D59" s="272">
        <v>65</v>
      </c>
      <c r="E59" s="272">
        <v>65</v>
      </c>
      <c r="F59" s="270">
        <v>31</v>
      </c>
      <c r="G59" s="270">
        <f t="shared" si="12"/>
        <v>31</v>
      </c>
      <c r="H59" s="270">
        <v>35</v>
      </c>
      <c r="I59" s="270">
        <f t="shared" si="11"/>
        <v>35</v>
      </c>
      <c r="J59" s="231">
        <v>2095</v>
      </c>
      <c r="K59" s="231">
        <v>2095</v>
      </c>
      <c r="L59" s="231">
        <v>2095</v>
      </c>
      <c r="M59" s="231">
        <v>2095</v>
      </c>
      <c r="N59" s="231">
        <v>32</v>
      </c>
      <c r="O59" s="231">
        <f t="shared" si="13"/>
        <v>32</v>
      </c>
      <c r="P59" s="231">
        <v>25</v>
      </c>
      <c r="Q59" s="231">
        <v>25</v>
      </c>
      <c r="R59" s="270"/>
      <c r="S59" s="270"/>
      <c r="T59" s="271">
        <v>15</v>
      </c>
      <c r="U59" s="271">
        <v>10</v>
      </c>
      <c r="V59" s="271">
        <v>10</v>
      </c>
    </row>
    <row r="60" spans="1:22" x14ac:dyDescent="0.3">
      <c r="A60" s="280" t="s">
        <v>319</v>
      </c>
      <c r="B60" s="270">
        <v>7</v>
      </c>
      <c r="C60" s="270">
        <v>899</v>
      </c>
      <c r="D60" s="272">
        <v>65</v>
      </c>
      <c r="E60" s="272">
        <v>65</v>
      </c>
      <c r="F60" s="270">
        <v>31</v>
      </c>
      <c r="G60" s="270">
        <f t="shared" si="12"/>
        <v>31</v>
      </c>
      <c r="H60" s="270">
        <v>33</v>
      </c>
      <c r="I60" s="270">
        <f t="shared" si="11"/>
        <v>33</v>
      </c>
      <c r="J60" s="231">
        <v>2095</v>
      </c>
      <c r="K60" s="231">
        <v>2095</v>
      </c>
      <c r="L60" s="231">
        <v>2095</v>
      </c>
      <c r="M60" s="231">
        <v>2095</v>
      </c>
      <c r="N60" s="231">
        <v>34</v>
      </c>
      <c r="O60" s="231">
        <f t="shared" si="13"/>
        <v>34</v>
      </c>
      <c r="P60" s="231">
        <v>25</v>
      </c>
      <c r="Q60" s="231">
        <v>25</v>
      </c>
      <c r="R60" s="270"/>
      <c r="S60" s="270"/>
      <c r="T60" s="271">
        <v>15</v>
      </c>
      <c r="U60" s="271">
        <v>10</v>
      </c>
      <c r="V60" s="271">
        <v>10</v>
      </c>
    </row>
    <row r="61" spans="1:22" x14ac:dyDescent="0.3">
      <c r="A61" s="280" t="s">
        <v>319</v>
      </c>
      <c r="B61" s="270">
        <v>6</v>
      </c>
      <c r="C61" s="270">
        <v>900</v>
      </c>
      <c r="D61" s="272">
        <v>65</v>
      </c>
      <c r="E61" s="272">
        <v>65</v>
      </c>
      <c r="F61" s="270">
        <v>30</v>
      </c>
      <c r="G61" s="270">
        <f t="shared" si="12"/>
        <v>30</v>
      </c>
      <c r="H61" s="270">
        <v>31</v>
      </c>
      <c r="I61" s="270">
        <f t="shared" si="11"/>
        <v>31</v>
      </c>
      <c r="J61" s="231">
        <v>2095</v>
      </c>
      <c r="K61" s="231">
        <v>2095</v>
      </c>
      <c r="L61" s="231">
        <v>2095</v>
      </c>
      <c r="M61" s="231">
        <v>2095</v>
      </c>
      <c r="N61" s="231">
        <v>35</v>
      </c>
      <c r="O61" s="231">
        <f t="shared" si="13"/>
        <v>35</v>
      </c>
      <c r="P61" s="231">
        <v>25</v>
      </c>
      <c r="Q61" s="231">
        <v>25</v>
      </c>
      <c r="R61" s="270"/>
      <c r="S61" s="270"/>
      <c r="T61" s="271">
        <v>15</v>
      </c>
      <c r="U61" s="271">
        <v>10</v>
      </c>
      <c r="V61" s="271">
        <v>10</v>
      </c>
    </row>
    <row r="62" spans="1:22" x14ac:dyDescent="0.3">
      <c r="A62" s="280" t="s">
        <v>319</v>
      </c>
      <c r="B62" s="270">
        <v>5</v>
      </c>
      <c r="C62" s="270">
        <v>899</v>
      </c>
      <c r="D62" s="272">
        <v>65</v>
      </c>
      <c r="E62" s="272">
        <v>65</v>
      </c>
      <c r="F62" s="270">
        <v>31</v>
      </c>
      <c r="G62" s="270">
        <f t="shared" si="12"/>
        <v>31</v>
      </c>
      <c r="H62" s="270">
        <v>34</v>
      </c>
      <c r="I62" s="270">
        <f t="shared" si="11"/>
        <v>34</v>
      </c>
      <c r="J62" s="231">
        <v>2095</v>
      </c>
      <c r="K62" s="231">
        <v>2095</v>
      </c>
      <c r="L62" s="231">
        <v>2095</v>
      </c>
      <c r="M62" s="231">
        <v>2095</v>
      </c>
      <c r="N62" s="231">
        <v>34</v>
      </c>
      <c r="O62" s="231">
        <f t="shared" si="13"/>
        <v>34</v>
      </c>
      <c r="P62" s="231">
        <v>25</v>
      </c>
      <c r="Q62" s="231">
        <v>25</v>
      </c>
      <c r="R62" s="270"/>
      <c r="S62" s="270"/>
      <c r="T62" s="271">
        <v>15</v>
      </c>
      <c r="U62" s="271">
        <v>10</v>
      </c>
      <c r="V62" s="271">
        <v>10</v>
      </c>
    </row>
    <row r="63" spans="1:22" x14ac:dyDescent="0.3">
      <c r="A63" s="280" t="s">
        <v>319</v>
      </c>
      <c r="B63" s="270">
        <v>4</v>
      </c>
      <c r="C63" s="270">
        <v>900</v>
      </c>
      <c r="D63" s="272">
        <v>65</v>
      </c>
      <c r="E63" s="272">
        <v>65</v>
      </c>
      <c r="F63" s="270">
        <v>31</v>
      </c>
      <c r="G63" s="270">
        <f t="shared" si="12"/>
        <v>31</v>
      </c>
      <c r="H63" s="270">
        <v>32</v>
      </c>
      <c r="I63" s="270">
        <f t="shared" si="11"/>
        <v>32</v>
      </c>
      <c r="J63" s="231">
        <v>2095</v>
      </c>
      <c r="K63" s="231">
        <v>2095</v>
      </c>
      <c r="L63" s="231">
        <v>2095</v>
      </c>
      <c r="M63" s="231">
        <v>2095</v>
      </c>
      <c r="N63" s="231">
        <v>34</v>
      </c>
      <c r="O63" s="231">
        <f t="shared" si="13"/>
        <v>34</v>
      </c>
      <c r="P63" s="231">
        <v>25</v>
      </c>
      <c r="Q63" s="231">
        <v>25</v>
      </c>
      <c r="R63" s="270"/>
      <c r="S63" s="270"/>
      <c r="T63" s="271">
        <v>15</v>
      </c>
      <c r="U63" s="271">
        <v>10</v>
      </c>
      <c r="V63" s="271">
        <v>10</v>
      </c>
    </row>
    <row r="64" spans="1:22" x14ac:dyDescent="0.3">
      <c r="A64" s="280" t="s">
        <v>319</v>
      </c>
      <c r="B64" s="270">
        <v>3</v>
      </c>
      <c r="C64" s="270">
        <v>899</v>
      </c>
      <c r="D64" s="272">
        <v>65</v>
      </c>
      <c r="E64" s="272">
        <v>65</v>
      </c>
      <c r="F64" s="270">
        <v>31</v>
      </c>
      <c r="G64" s="270">
        <f t="shared" si="12"/>
        <v>31</v>
      </c>
      <c r="H64" s="270">
        <v>31</v>
      </c>
      <c r="I64" s="270">
        <f t="shared" si="11"/>
        <v>31</v>
      </c>
      <c r="J64" s="231">
        <v>2095</v>
      </c>
      <c r="K64" s="231">
        <v>2095</v>
      </c>
      <c r="L64" s="231">
        <v>2095</v>
      </c>
      <c r="M64" s="231">
        <v>2095</v>
      </c>
      <c r="N64" s="231">
        <v>33</v>
      </c>
      <c r="O64" s="231">
        <f t="shared" si="13"/>
        <v>33</v>
      </c>
      <c r="P64" s="231">
        <v>25</v>
      </c>
      <c r="Q64" s="231">
        <v>25</v>
      </c>
      <c r="R64" s="270"/>
      <c r="S64" s="270"/>
      <c r="T64" s="271">
        <v>15</v>
      </c>
      <c r="U64" s="271">
        <v>10</v>
      </c>
      <c r="V64" s="271">
        <v>10</v>
      </c>
    </row>
    <row r="65" spans="1:22" x14ac:dyDescent="0.3">
      <c r="A65" s="280" t="s">
        <v>319</v>
      </c>
      <c r="B65" s="270">
        <v>2</v>
      </c>
      <c r="C65" s="270">
        <v>899</v>
      </c>
      <c r="D65" s="272">
        <v>65</v>
      </c>
      <c r="E65" s="272">
        <v>65</v>
      </c>
      <c r="F65" s="270">
        <v>28</v>
      </c>
      <c r="G65" s="270">
        <f t="shared" si="12"/>
        <v>28</v>
      </c>
      <c r="H65" s="270">
        <v>31</v>
      </c>
      <c r="I65" s="270">
        <f t="shared" si="11"/>
        <v>31</v>
      </c>
      <c r="J65" s="231">
        <v>2095</v>
      </c>
      <c r="K65" s="231">
        <v>2095</v>
      </c>
      <c r="L65" s="231">
        <v>2095</v>
      </c>
      <c r="M65" s="231">
        <v>2095</v>
      </c>
      <c r="N65" s="231">
        <v>32</v>
      </c>
      <c r="O65" s="231">
        <f t="shared" si="13"/>
        <v>32</v>
      </c>
      <c r="P65" s="231">
        <v>25</v>
      </c>
      <c r="Q65" s="231">
        <v>25</v>
      </c>
      <c r="R65" s="270"/>
      <c r="S65" s="270"/>
      <c r="T65" s="271">
        <v>15</v>
      </c>
      <c r="U65" s="271">
        <v>10</v>
      </c>
      <c r="V65" s="271">
        <v>10</v>
      </c>
    </row>
    <row r="66" spans="1:22" x14ac:dyDescent="0.3">
      <c r="A66" s="280" t="s">
        <v>319</v>
      </c>
      <c r="B66" s="270" t="s">
        <v>325</v>
      </c>
      <c r="C66" s="270">
        <v>893</v>
      </c>
      <c r="D66" s="270">
        <v>70</v>
      </c>
      <c r="E66" s="270">
        <v>70</v>
      </c>
      <c r="F66" s="270">
        <v>25</v>
      </c>
      <c r="G66" s="270">
        <f t="shared" si="12"/>
        <v>25</v>
      </c>
      <c r="H66" s="270">
        <v>25</v>
      </c>
      <c r="I66" s="270">
        <f t="shared" si="11"/>
        <v>25</v>
      </c>
      <c r="J66" s="231">
        <v>2093</v>
      </c>
      <c r="K66" s="231">
        <v>2093</v>
      </c>
      <c r="L66" s="231">
        <v>2093</v>
      </c>
      <c r="M66" s="231">
        <v>2093</v>
      </c>
      <c r="N66" s="231">
        <v>35</v>
      </c>
      <c r="O66" s="231">
        <f t="shared" si="13"/>
        <v>35</v>
      </c>
      <c r="P66" s="231">
        <v>25</v>
      </c>
      <c r="Q66" s="231">
        <v>25</v>
      </c>
      <c r="R66" s="270"/>
      <c r="S66" s="270"/>
      <c r="T66" s="271">
        <v>15</v>
      </c>
      <c r="U66" s="271">
        <v>10</v>
      </c>
      <c r="V66" s="271">
        <v>10</v>
      </c>
    </row>
    <row r="67" spans="1:22" x14ac:dyDescent="0.3">
      <c r="A67" s="280" t="s">
        <v>320</v>
      </c>
      <c r="B67" s="270">
        <v>19</v>
      </c>
      <c r="C67" s="270">
        <v>897</v>
      </c>
      <c r="D67" s="270">
        <v>65</v>
      </c>
      <c r="E67" s="270">
        <v>65</v>
      </c>
      <c r="F67" s="270">
        <v>34</v>
      </c>
      <c r="G67" s="270">
        <f t="shared" si="12"/>
        <v>34</v>
      </c>
      <c r="H67" s="270">
        <v>33</v>
      </c>
      <c r="I67" s="270">
        <f t="shared" si="11"/>
        <v>33</v>
      </c>
      <c r="J67" s="231">
        <v>2095</v>
      </c>
      <c r="K67" s="231">
        <v>2095</v>
      </c>
      <c r="L67" s="231">
        <v>2095</v>
      </c>
      <c r="M67" s="231">
        <v>2095</v>
      </c>
      <c r="N67" s="231">
        <v>33</v>
      </c>
      <c r="O67" s="231">
        <f t="shared" si="13"/>
        <v>33</v>
      </c>
      <c r="P67" s="231">
        <v>25</v>
      </c>
      <c r="Q67" s="231">
        <v>25</v>
      </c>
      <c r="R67" s="270"/>
      <c r="S67" s="270"/>
      <c r="T67" s="271">
        <v>15</v>
      </c>
      <c r="U67" s="271">
        <v>10</v>
      </c>
      <c r="V67" s="271">
        <v>10</v>
      </c>
    </row>
    <row r="68" spans="1:22" x14ac:dyDescent="0.3">
      <c r="A68" s="280" t="s">
        <v>320</v>
      </c>
      <c r="B68" s="270">
        <v>18</v>
      </c>
      <c r="C68" s="270">
        <v>899</v>
      </c>
      <c r="D68" s="272">
        <v>65</v>
      </c>
      <c r="E68" s="272">
        <v>65</v>
      </c>
      <c r="F68" s="270">
        <v>35</v>
      </c>
      <c r="G68" s="270">
        <f t="shared" si="12"/>
        <v>35</v>
      </c>
      <c r="H68" s="270">
        <v>33</v>
      </c>
      <c r="I68" s="270">
        <f t="shared" si="11"/>
        <v>33</v>
      </c>
      <c r="J68" s="231">
        <v>2095</v>
      </c>
      <c r="K68" s="231">
        <v>2095</v>
      </c>
      <c r="L68" s="231">
        <v>2095</v>
      </c>
      <c r="M68" s="231">
        <v>2095</v>
      </c>
      <c r="N68" s="231">
        <v>33</v>
      </c>
      <c r="O68" s="231">
        <f t="shared" si="13"/>
        <v>33</v>
      </c>
      <c r="P68" s="231">
        <v>25</v>
      </c>
      <c r="Q68" s="231">
        <v>25</v>
      </c>
      <c r="R68" s="270"/>
      <c r="S68" s="270"/>
      <c r="T68" s="271">
        <v>15</v>
      </c>
      <c r="U68" s="271">
        <v>10</v>
      </c>
      <c r="V68" s="271">
        <v>10</v>
      </c>
    </row>
    <row r="69" spans="1:22" x14ac:dyDescent="0.3">
      <c r="A69" s="280" t="s">
        <v>320</v>
      </c>
      <c r="B69" s="270">
        <v>17</v>
      </c>
      <c r="C69" s="270">
        <v>899</v>
      </c>
      <c r="D69" s="272">
        <v>65</v>
      </c>
      <c r="E69" s="272">
        <v>65</v>
      </c>
      <c r="F69" s="270">
        <v>34</v>
      </c>
      <c r="G69" s="270">
        <f t="shared" si="12"/>
        <v>34</v>
      </c>
      <c r="H69" s="270">
        <v>35</v>
      </c>
      <c r="I69" s="270">
        <f t="shared" si="11"/>
        <v>35</v>
      </c>
      <c r="J69" s="231">
        <v>2095</v>
      </c>
      <c r="K69" s="231">
        <v>2095</v>
      </c>
      <c r="L69" s="231">
        <v>2095</v>
      </c>
      <c r="M69" s="231">
        <v>2095</v>
      </c>
      <c r="N69" s="231">
        <v>33</v>
      </c>
      <c r="O69" s="231">
        <f t="shared" si="13"/>
        <v>33</v>
      </c>
      <c r="P69" s="231">
        <v>25</v>
      </c>
      <c r="Q69" s="231">
        <v>25</v>
      </c>
      <c r="R69" s="270"/>
      <c r="S69" s="270"/>
      <c r="T69" s="271">
        <v>15</v>
      </c>
      <c r="U69" s="271">
        <v>10</v>
      </c>
      <c r="V69" s="271">
        <v>10</v>
      </c>
    </row>
    <row r="70" spans="1:22" x14ac:dyDescent="0.3">
      <c r="A70" s="280" t="s">
        <v>320</v>
      </c>
      <c r="B70" s="270">
        <v>16</v>
      </c>
      <c r="C70" s="270">
        <v>899</v>
      </c>
      <c r="D70" s="272">
        <v>65</v>
      </c>
      <c r="E70" s="272">
        <v>65</v>
      </c>
      <c r="F70" s="270">
        <v>31</v>
      </c>
      <c r="G70" s="270">
        <v>35</v>
      </c>
      <c r="H70" s="270">
        <v>35</v>
      </c>
      <c r="I70" s="270">
        <f t="shared" si="11"/>
        <v>35</v>
      </c>
      <c r="J70" s="231">
        <v>2095</v>
      </c>
      <c r="K70" s="231">
        <v>2095</v>
      </c>
      <c r="L70" s="231">
        <v>2095</v>
      </c>
      <c r="M70" s="231">
        <v>2095</v>
      </c>
      <c r="N70" s="231">
        <v>31</v>
      </c>
      <c r="O70" s="231">
        <f t="shared" si="13"/>
        <v>31</v>
      </c>
      <c r="P70" s="231">
        <v>25</v>
      </c>
      <c r="Q70" s="231">
        <v>25</v>
      </c>
      <c r="R70" s="270"/>
      <c r="S70" s="270"/>
      <c r="T70" s="271">
        <v>15</v>
      </c>
      <c r="U70" s="271">
        <v>10</v>
      </c>
      <c r="V70" s="271">
        <v>10</v>
      </c>
    </row>
    <row r="71" spans="1:22" x14ac:dyDescent="0.3">
      <c r="A71" s="280" t="s">
        <v>320</v>
      </c>
      <c r="B71" s="270">
        <v>15</v>
      </c>
      <c r="C71" s="270">
        <v>898</v>
      </c>
      <c r="D71" s="272">
        <v>65</v>
      </c>
      <c r="E71" s="272">
        <v>65</v>
      </c>
      <c r="F71" s="270">
        <v>34</v>
      </c>
      <c r="G71" s="270">
        <f>F71</f>
        <v>34</v>
      </c>
      <c r="H71" s="270">
        <v>35</v>
      </c>
      <c r="I71" s="270">
        <f t="shared" si="11"/>
        <v>35</v>
      </c>
      <c r="J71" s="231">
        <v>2095</v>
      </c>
      <c r="K71" s="231">
        <v>2095</v>
      </c>
      <c r="L71" s="231">
        <v>2095</v>
      </c>
      <c r="M71" s="231">
        <v>2095</v>
      </c>
      <c r="N71" s="231">
        <v>32</v>
      </c>
      <c r="O71" s="231">
        <f t="shared" si="13"/>
        <v>32</v>
      </c>
      <c r="P71" s="231">
        <v>25</v>
      </c>
      <c r="Q71" s="231">
        <v>25</v>
      </c>
      <c r="R71" s="270"/>
      <c r="S71" s="270"/>
      <c r="T71" s="271">
        <v>15</v>
      </c>
      <c r="U71" s="271">
        <v>10</v>
      </c>
      <c r="V71" s="271">
        <v>10</v>
      </c>
    </row>
    <row r="72" spans="1:22" x14ac:dyDescent="0.3">
      <c r="A72" s="280" t="s">
        <v>320</v>
      </c>
      <c r="B72" s="270">
        <v>14</v>
      </c>
      <c r="C72" s="270">
        <v>899</v>
      </c>
      <c r="D72" s="272">
        <v>65</v>
      </c>
      <c r="E72" s="272">
        <v>65</v>
      </c>
      <c r="F72" s="270">
        <v>34</v>
      </c>
      <c r="G72" s="270">
        <v>30</v>
      </c>
      <c r="H72" s="270">
        <v>34</v>
      </c>
      <c r="I72" s="270">
        <f t="shared" si="11"/>
        <v>34</v>
      </c>
      <c r="J72" s="231">
        <v>2095</v>
      </c>
      <c r="K72" s="231">
        <v>2095</v>
      </c>
      <c r="L72" s="231">
        <v>2095</v>
      </c>
      <c r="M72" s="231">
        <v>2095</v>
      </c>
      <c r="N72" s="231">
        <v>30</v>
      </c>
      <c r="O72" s="231">
        <f t="shared" si="13"/>
        <v>30</v>
      </c>
      <c r="P72" s="231">
        <v>25</v>
      </c>
      <c r="Q72" s="231">
        <v>25</v>
      </c>
      <c r="R72" s="270"/>
      <c r="S72" s="270"/>
      <c r="T72" s="271">
        <v>15</v>
      </c>
      <c r="U72" s="271">
        <v>10</v>
      </c>
      <c r="V72" s="271">
        <v>10</v>
      </c>
    </row>
    <row r="73" spans="1:22" x14ac:dyDescent="0.3">
      <c r="A73" s="280" t="s">
        <v>320</v>
      </c>
      <c r="B73" s="270">
        <v>13</v>
      </c>
      <c r="C73" s="270">
        <v>898</v>
      </c>
      <c r="D73" s="272">
        <v>65</v>
      </c>
      <c r="E73" s="272">
        <v>65</v>
      </c>
      <c r="F73" s="270">
        <v>35</v>
      </c>
      <c r="G73" s="270">
        <f t="shared" ref="G73:G83" si="14">F73</f>
        <v>35</v>
      </c>
      <c r="H73" s="270">
        <v>33</v>
      </c>
      <c r="I73" s="270">
        <f t="shared" si="11"/>
        <v>33</v>
      </c>
      <c r="J73" s="231">
        <v>2095</v>
      </c>
      <c r="K73" s="231">
        <v>2095</v>
      </c>
      <c r="L73" s="231">
        <v>2095</v>
      </c>
      <c r="M73" s="231">
        <v>2095</v>
      </c>
      <c r="N73" s="231">
        <v>31</v>
      </c>
      <c r="O73" s="231">
        <f t="shared" si="13"/>
        <v>31</v>
      </c>
      <c r="P73" s="231">
        <v>25</v>
      </c>
      <c r="Q73" s="231">
        <v>25</v>
      </c>
      <c r="R73" s="270"/>
      <c r="S73" s="270"/>
      <c r="T73" s="271">
        <v>15</v>
      </c>
      <c r="U73" s="271">
        <v>10</v>
      </c>
      <c r="V73" s="271">
        <v>10</v>
      </c>
    </row>
    <row r="74" spans="1:22" x14ac:dyDescent="0.3">
      <c r="A74" s="280" t="s">
        <v>320</v>
      </c>
      <c r="B74" s="270">
        <v>12</v>
      </c>
      <c r="C74" s="270">
        <v>899</v>
      </c>
      <c r="D74" s="272">
        <v>65</v>
      </c>
      <c r="E74" s="272">
        <v>65</v>
      </c>
      <c r="F74" s="270">
        <v>34</v>
      </c>
      <c r="G74" s="270">
        <f t="shared" si="14"/>
        <v>34</v>
      </c>
      <c r="H74" s="270">
        <v>35</v>
      </c>
      <c r="I74" s="270">
        <v>30</v>
      </c>
      <c r="J74" s="231">
        <v>2095</v>
      </c>
      <c r="K74" s="231">
        <v>2095</v>
      </c>
      <c r="L74" s="231">
        <v>2095</v>
      </c>
      <c r="M74" s="231">
        <v>2095</v>
      </c>
      <c r="N74" s="231">
        <v>34</v>
      </c>
      <c r="O74" s="231">
        <f t="shared" si="13"/>
        <v>34</v>
      </c>
      <c r="P74" s="231">
        <v>25</v>
      </c>
      <c r="Q74" s="231">
        <v>25</v>
      </c>
      <c r="R74" s="270"/>
      <c r="S74" s="270"/>
      <c r="T74" s="271">
        <v>15</v>
      </c>
      <c r="U74" s="271">
        <v>10</v>
      </c>
      <c r="V74" s="271">
        <v>10</v>
      </c>
    </row>
    <row r="75" spans="1:22" x14ac:dyDescent="0.3">
      <c r="A75" s="280" t="s">
        <v>320</v>
      </c>
      <c r="B75" s="270">
        <v>11</v>
      </c>
      <c r="C75" s="270">
        <v>898</v>
      </c>
      <c r="D75" s="272">
        <v>65</v>
      </c>
      <c r="E75" s="272">
        <v>65</v>
      </c>
      <c r="F75" s="270">
        <v>33</v>
      </c>
      <c r="G75" s="270">
        <f t="shared" si="14"/>
        <v>33</v>
      </c>
      <c r="H75" s="270">
        <v>31</v>
      </c>
      <c r="I75" s="270">
        <f t="shared" ref="I75:I80" si="15">H75</f>
        <v>31</v>
      </c>
      <c r="J75" s="231">
        <v>2095</v>
      </c>
      <c r="K75" s="231">
        <v>2095</v>
      </c>
      <c r="L75" s="231">
        <v>2095</v>
      </c>
      <c r="M75" s="231">
        <v>2095</v>
      </c>
      <c r="N75" s="231">
        <v>34</v>
      </c>
      <c r="O75" s="231">
        <f t="shared" si="13"/>
        <v>34</v>
      </c>
      <c r="P75" s="231">
        <v>25</v>
      </c>
      <c r="Q75" s="231">
        <v>25</v>
      </c>
      <c r="R75" s="270"/>
      <c r="S75" s="270"/>
      <c r="T75" s="271">
        <v>15</v>
      </c>
      <c r="U75" s="271">
        <v>10</v>
      </c>
      <c r="V75" s="271">
        <v>10</v>
      </c>
    </row>
    <row r="76" spans="1:22" x14ac:dyDescent="0.3">
      <c r="A76" s="280" t="s">
        <v>320</v>
      </c>
      <c r="B76" s="270">
        <v>10</v>
      </c>
      <c r="C76" s="270">
        <v>899</v>
      </c>
      <c r="D76" s="272">
        <v>65</v>
      </c>
      <c r="E76" s="272">
        <v>65</v>
      </c>
      <c r="F76" s="270">
        <v>32</v>
      </c>
      <c r="G76" s="270">
        <f t="shared" si="14"/>
        <v>32</v>
      </c>
      <c r="H76" s="270">
        <v>32</v>
      </c>
      <c r="I76" s="270">
        <f t="shared" si="15"/>
        <v>32</v>
      </c>
      <c r="J76" s="231">
        <v>2095</v>
      </c>
      <c r="K76" s="231">
        <v>2095</v>
      </c>
      <c r="L76" s="231">
        <v>2095</v>
      </c>
      <c r="M76" s="231">
        <v>2095</v>
      </c>
      <c r="N76" s="231">
        <v>35</v>
      </c>
      <c r="O76" s="231">
        <f t="shared" si="13"/>
        <v>35</v>
      </c>
      <c r="P76" s="231">
        <v>25</v>
      </c>
      <c r="Q76" s="231">
        <v>25</v>
      </c>
      <c r="R76" s="270"/>
      <c r="S76" s="270"/>
      <c r="T76" s="271">
        <v>15</v>
      </c>
      <c r="U76" s="271">
        <v>10</v>
      </c>
      <c r="V76" s="271">
        <v>10</v>
      </c>
    </row>
    <row r="77" spans="1:22" x14ac:dyDescent="0.3">
      <c r="A77" s="280" t="s">
        <v>320</v>
      </c>
      <c r="B77" s="270">
        <v>9</v>
      </c>
      <c r="C77" s="270">
        <v>899</v>
      </c>
      <c r="D77" s="272">
        <v>65</v>
      </c>
      <c r="E77" s="272">
        <v>65</v>
      </c>
      <c r="F77" s="270">
        <v>32</v>
      </c>
      <c r="G77" s="270">
        <f t="shared" si="14"/>
        <v>32</v>
      </c>
      <c r="H77" s="270">
        <v>33</v>
      </c>
      <c r="I77" s="270">
        <f t="shared" si="15"/>
        <v>33</v>
      </c>
      <c r="J77" s="231">
        <v>2095</v>
      </c>
      <c r="K77" s="231">
        <v>2095</v>
      </c>
      <c r="L77" s="231">
        <v>2095</v>
      </c>
      <c r="M77" s="231">
        <v>2095</v>
      </c>
      <c r="N77" s="231">
        <v>33</v>
      </c>
      <c r="O77" s="231">
        <f t="shared" si="13"/>
        <v>33</v>
      </c>
      <c r="P77" s="231">
        <v>25</v>
      </c>
      <c r="Q77" s="231">
        <v>25</v>
      </c>
      <c r="R77" s="270"/>
      <c r="S77" s="270"/>
      <c r="T77" s="271">
        <v>15</v>
      </c>
      <c r="U77" s="271">
        <v>10</v>
      </c>
      <c r="V77" s="271">
        <v>10</v>
      </c>
    </row>
    <row r="78" spans="1:22" x14ac:dyDescent="0.3">
      <c r="A78" s="280" t="s">
        <v>320</v>
      </c>
      <c r="B78" s="270">
        <v>8</v>
      </c>
      <c r="C78" s="270">
        <v>899</v>
      </c>
      <c r="D78" s="272">
        <v>65</v>
      </c>
      <c r="E78" s="272">
        <v>65</v>
      </c>
      <c r="F78" s="270">
        <v>32</v>
      </c>
      <c r="G78" s="270">
        <f t="shared" si="14"/>
        <v>32</v>
      </c>
      <c r="H78" s="270">
        <v>31</v>
      </c>
      <c r="I78" s="270">
        <f t="shared" si="15"/>
        <v>31</v>
      </c>
      <c r="J78" s="231">
        <v>2095</v>
      </c>
      <c r="K78" s="231">
        <v>2095</v>
      </c>
      <c r="L78" s="231">
        <v>2095</v>
      </c>
      <c r="M78" s="231">
        <v>2095</v>
      </c>
      <c r="N78" s="231">
        <v>33</v>
      </c>
      <c r="O78" s="231">
        <f t="shared" si="13"/>
        <v>33</v>
      </c>
      <c r="P78" s="231">
        <v>25</v>
      </c>
      <c r="Q78" s="231">
        <v>25</v>
      </c>
      <c r="R78" s="270"/>
      <c r="S78" s="270"/>
      <c r="T78" s="271">
        <v>15</v>
      </c>
      <c r="U78" s="271">
        <v>10</v>
      </c>
      <c r="V78" s="271">
        <v>10</v>
      </c>
    </row>
    <row r="79" spans="1:22" x14ac:dyDescent="0.3">
      <c r="A79" s="280" t="s">
        <v>320</v>
      </c>
      <c r="B79" s="270">
        <v>7</v>
      </c>
      <c r="C79" s="270">
        <v>898</v>
      </c>
      <c r="D79" s="272">
        <v>65</v>
      </c>
      <c r="E79" s="272">
        <v>65</v>
      </c>
      <c r="F79" s="270">
        <v>31</v>
      </c>
      <c r="G79" s="270">
        <f t="shared" si="14"/>
        <v>31</v>
      </c>
      <c r="H79" s="270">
        <v>31</v>
      </c>
      <c r="I79" s="270">
        <f t="shared" si="15"/>
        <v>31</v>
      </c>
      <c r="J79" s="231">
        <v>2095</v>
      </c>
      <c r="K79" s="231">
        <v>2095</v>
      </c>
      <c r="L79" s="231">
        <v>2095</v>
      </c>
      <c r="M79" s="231">
        <v>2095</v>
      </c>
      <c r="N79" s="231">
        <v>35</v>
      </c>
      <c r="O79" s="231">
        <f t="shared" si="13"/>
        <v>35</v>
      </c>
      <c r="P79" s="231">
        <v>25</v>
      </c>
      <c r="Q79" s="231">
        <v>25</v>
      </c>
      <c r="R79" s="270"/>
      <c r="S79" s="270"/>
      <c r="T79" s="271">
        <v>15</v>
      </c>
      <c r="U79" s="271">
        <v>10</v>
      </c>
      <c r="V79" s="271">
        <v>10</v>
      </c>
    </row>
    <row r="80" spans="1:22" x14ac:dyDescent="0.3">
      <c r="A80" s="280" t="s">
        <v>320</v>
      </c>
      <c r="B80" s="270">
        <v>6</v>
      </c>
      <c r="C80" s="270">
        <v>898</v>
      </c>
      <c r="D80" s="272">
        <v>65</v>
      </c>
      <c r="E80" s="272">
        <v>65</v>
      </c>
      <c r="F80" s="270">
        <v>31</v>
      </c>
      <c r="G80" s="270">
        <f t="shared" si="14"/>
        <v>31</v>
      </c>
      <c r="H80" s="270">
        <v>33</v>
      </c>
      <c r="I80" s="270">
        <f t="shared" si="15"/>
        <v>33</v>
      </c>
      <c r="J80" s="231">
        <v>2095</v>
      </c>
      <c r="K80" s="231">
        <v>2095</v>
      </c>
      <c r="L80" s="231">
        <v>2095</v>
      </c>
      <c r="M80" s="231">
        <v>2095</v>
      </c>
      <c r="N80" s="231">
        <v>35</v>
      </c>
      <c r="O80" s="231">
        <f t="shared" si="13"/>
        <v>35</v>
      </c>
      <c r="P80" s="231">
        <v>25</v>
      </c>
      <c r="Q80" s="231">
        <v>25</v>
      </c>
      <c r="R80" s="270"/>
      <c r="S80" s="270"/>
      <c r="T80" s="271">
        <v>15</v>
      </c>
      <c r="U80" s="271">
        <v>10</v>
      </c>
      <c r="V80" s="271">
        <v>10</v>
      </c>
    </row>
    <row r="81" spans="1:22" x14ac:dyDescent="0.3">
      <c r="A81" s="280" t="s">
        <v>320</v>
      </c>
      <c r="B81" s="270">
        <v>5</v>
      </c>
      <c r="C81" s="270">
        <v>898</v>
      </c>
      <c r="D81" s="272">
        <v>65</v>
      </c>
      <c r="E81" s="272">
        <v>65</v>
      </c>
      <c r="F81" s="270">
        <v>33</v>
      </c>
      <c r="G81" s="270">
        <f t="shared" si="14"/>
        <v>33</v>
      </c>
      <c r="H81" s="270">
        <v>34</v>
      </c>
      <c r="I81" s="270">
        <v>30</v>
      </c>
      <c r="J81" s="231">
        <v>2095</v>
      </c>
      <c r="K81" s="231">
        <v>2095</v>
      </c>
      <c r="L81" s="231">
        <v>2095</v>
      </c>
      <c r="M81" s="231">
        <v>2095</v>
      </c>
      <c r="N81" s="231">
        <v>32</v>
      </c>
      <c r="O81" s="231">
        <f t="shared" si="13"/>
        <v>32</v>
      </c>
      <c r="P81" s="231">
        <v>25</v>
      </c>
      <c r="Q81" s="231">
        <v>25</v>
      </c>
      <c r="R81" s="270"/>
      <c r="S81" s="270"/>
      <c r="T81" s="271">
        <v>15</v>
      </c>
      <c r="U81" s="271">
        <v>10</v>
      </c>
      <c r="V81" s="271">
        <v>10</v>
      </c>
    </row>
    <row r="82" spans="1:22" x14ac:dyDescent="0.3">
      <c r="A82" s="280" t="s">
        <v>320</v>
      </c>
      <c r="B82" s="270">
        <v>4</v>
      </c>
      <c r="C82" s="270">
        <v>899</v>
      </c>
      <c r="D82" s="272">
        <v>65</v>
      </c>
      <c r="E82" s="272">
        <v>65</v>
      </c>
      <c r="F82" s="270">
        <v>31</v>
      </c>
      <c r="G82" s="270">
        <f t="shared" si="14"/>
        <v>31</v>
      </c>
      <c r="H82" s="270">
        <v>33</v>
      </c>
      <c r="I82" s="270">
        <f t="shared" ref="I82:I97" si="16">H82</f>
        <v>33</v>
      </c>
      <c r="J82" s="231">
        <v>2095</v>
      </c>
      <c r="K82" s="231">
        <v>2095</v>
      </c>
      <c r="L82" s="231">
        <v>2095</v>
      </c>
      <c r="M82" s="231">
        <v>2095</v>
      </c>
      <c r="N82" s="231">
        <v>33</v>
      </c>
      <c r="O82" s="231">
        <f t="shared" si="13"/>
        <v>33</v>
      </c>
      <c r="P82" s="231">
        <v>25</v>
      </c>
      <c r="Q82" s="231">
        <v>25</v>
      </c>
      <c r="R82" s="270"/>
      <c r="S82" s="270"/>
      <c r="T82" s="271">
        <v>15</v>
      </c>
      <c r="U82" s="271">
        <v>10</v>
      </c>
      <c r="V82" s="271">
        <v>10</v>
      </c>
    </row>
    <row r="83" spans="1:22" x14ac:dyDescent="0.3">
      <c r="A83" s="280" t="s">
        <v>320</v>
      </c>
      <c r="B83" s="270">
        <v>3</v>
      </c>
      <c r="C83" s="270">
        <v>898</v>
      </c>
      <c r="D83" s="272">
        <v>65</v>
      </c>
      <c r="E83" s="272">
        <v>65</v>
      </c>
      <c r="F83" s="270">
        <v>31</v>
      </c>
      <c r="G83" s="270">
        <f t="shared" si="14"/>
        <v>31</v>
      </c>
      <c r="H83" s="270">
        <v>30</v>
      </c>
      <c r="I83" s="270">
        <f t="shared" si="16"/>
        <v>30</v>
      </c>
      <c r="J83" s="231">
        <v>2095</v>
      </c>
      <c r="K83" s="231">
        <v>2095</v>
      </c>
      <c r="L83" s="231">
        <v>2095</v>
      </c>
      <c r="M83" s="231">
        <v>2095</v>
      </c>
      <c r="N83" s="231">
        <v>32</v>
      </c>
      <c r="O83" s="231">
        <f t="shared" si="13"/>
        <v>32</v>
      </c>
      <c r="P83" s="231">
        <v>25</v>
      </c>
      <c r="Q83" s="231">
        <v>25</v>
      </c>
      <c r="R83" s="270"/>
      <c r="S83" s="270"/>
      <c r="T83" s="271">
        <v>15</v>
      </c>
      <c r="U83" s="271">
        <v>10</v>
      </c>
      <c r="V83" s="271">
        <v>10</v>
      </c>
    </row>
    <row r="84" spans="1:22" x14ac:dyDescent="0.3">
      <c r="A84" s="280" t="s">
        <v>320</v>
      </c>
      <c r="B84" s="270">
        <v>2</v>
      </c>
      <c r="C84" s="270">
        <v>898</v>
      </c>
      <c r="D84" s="272">
        <v>65</v>
      </c>
      <c r="E84" s="272">
        <v>65</v>
      </c>
      <c r="F84" s="270">
        <v>35</v>
      </c>
      <c r="G84" s="270">
        <v>31</v>
      </c>
      <c r="H84" s="270">
        <v>31</v>
      </c>
      <c r="I84" s="270">
        <f t="shared" si="16"/>
        <v>31</v>
      </c>
      <c r="J84" s="231">
        <v>2095</v>
      </c>
      <c r="K84" s="231">
        <v>2095</v>
      </c>
      <c r="L84" s="231">
        <v>2095</v>
      </c>
      <c r="M84" s="231">
        <v>2095</v>
      </c>
      <c r="N84" s="231">
        <v>32</v>
      </c>
      <c r="O84" s="231">
        <f t="shared" si="13"/>
        <v>32</v>
      </c>
      <c r="P84" s="231">
        <v>25</v>
      </c>
      <c r="Q84" s="231">
        <v>25</v>
      </c>
      <c r="R84" s="270"/>
      <c r="S84" s="270"/>
      <c r="T84" s="271">
        <v>15</v>
      </c>
      <c r="U84" s="271">
        <v>10</v>
      </c>
      <c r="V84" s="271">
        <v>10</v>
      </c>
    </row>
    <row r="85" spans="1:22" x14ac:dyDescent="0.3">
      <c r="A85" s="280" t="s">
        <v>320</v>
      </c>
      <c r="B85" s="270" t="s">
        <v>325</v>
      </c>
      <c r="C85" s="270">
        <v>889</v>
      </c>
      <c r="D85" s="270">
        <v>70</v>
      </c>
      <c r="E85" s="270">
        <v>70</v>
      </c>
      <c r="F85" s="270">
        <v>20</v>
      </c>
      <c r="G85" s="270">
        <f t="shared" ref="G85:G91" si="17">F85</f>
        <v>20</v>
      </c>
      <c r="H85" s="270">
        <v>20</v>
      </c>
      <c r="I85" s="270">
        <f t="shared" si="16"/>
        <v>20</v>
      </c>
      <c r="J85" s="231">
        <v>2090</v>
      </c>
      <c r="K85" s="231">
        <v>2090</v>
      </c>
      <c r="L85" s="231">
        <v>2090</v>
      </c>
      <c r="M85" s="231">
        <v>2090</v>
      </c>
      <c r="N85" s="231">
        <v>30</v>
      </c>
      <c r="O85" s="231">
        <v>25</v>
      </c>
      <c r="P85" s="231">
        <v>25</v>
      </c>
      <c r="Q85" s="231">
        <v>25</v>
      </c>
      <c r="R85" s="270"/>
      <c r="S85" s="270"/>
      <c r="T85" s="271">
        <v>15</v>
      </c>
      <c r="U85" s="271">
        <v>10</v>
      </c>
      <c r="V85" s="271">
        <v>10</v>
      </c>
    </row>
    <row r="86" spans="1:22" x14ac:dyDescent="0.3">
      <c r="A86" s="280" t="s">
        <v>322</v>
      </c>
      <c r="B86" s="270">
        <v>20</v>
      </c>
      <c r="C86" s="270">
        <v>897</v>
      </c>
      <c r="D86" s="270">
        <v>65</v>
      </c>
      <c r="E86" s="270">
        <v>65</v>
      </c>
      <c r="F86" s="270">
        <v>32</v>
      </c>
      <c r="G86" s="270">
        <f t="shared" si="17"/>
        <v>32</v>
      </c>
      <c r="H86" s="270">
        <v>32</v>
      </c>
      <c r="I86" s="270">
        <f t="shared" si="16"/>
        <v>32</v>
      </c>
      <c r="J86" s="231">
        <v>2095</v>
      </c>
      <c r="K86" s="231">
        <v>2095</v>
      </c>
      <c r="L86" s="231">
        <v>2095</v>
      </c>
      <c r="M86" s="231">
        <v>2095</v>
      </c>
      <c r="N86" s="231">
        <v>34</v>
      </c>
      <c r="O86" s="231">
        <f>N86</f>
        <v>34</v>
      </c>
      <c r="P86" s="231">
        <v>25</v>
      </c>
      <c r="Q86" s="231">
        <v>25</v>
      </c>
      <c r="R86" s="270"/>
      <c r="S86" s="270"/>
      <c r="T86" s="271">
        <v>15</v>
      </c>
      <c r="U86" s="271">
        <v>10</v>
      </c>
      <c r="V86" s="271">
        <v>10</v>
      </c>
    </row>
    <row r="87" spans="1:22" x14ac:dyDescent="0.3">
      <c r="A87" s="280" t="s">
        <v>322</v>
      </c>
      <c r="B87" s="270">
        <v>19</v>
      </c>
      <c r="C87" s="270">
        <v>897</v>
      </c>
      <c r="D87" s="272">
        <v>65</v>
      </c>
      <c r="E87" s="272">
        <v>65</v>
      </c>
      <c r="F87" s="270">
        <v>32</v>
      </c>
      <c r="G87" s="270">
        <f t="shared" si="17"/>
        <v>32</v>
      </c>
      <c r="H87" s="270">
        <v>30</v>
      </c>
      <c r="I87" s="270">
        <f t="shared" si="16"/>
        <v>30</v>
      </c>
      <c r="J87" s="231">
        <v>2095</v>
      </c>
      <c r="K87" s="231">
        <v>2095</v>
      </c>
      <c r="L87" s="231">
        <v>2095</v>
      </c>
      <c r="M87" s="231">
        <v>2095</v>
      </c>
      <c r="N87" s="231">
        <v>36</v>
      </c>
      <c r="O87" s="231">
        <v>32</v>
      </c>
      <c r="P87" s="231">
        <v>25</v>
      </c>
      <c r="Q87" s="231">
        <v>25</v>
      </c>
      <c r="R87" s="270"/>
      <c r="S87" s="270"/>
      <c r="T87" s="271">
        <v>15</v>
      </c>
      <c r="U87" s="271">
        <v>10</v>
      </c>
      <c r="V87" s="271">
        <v>10</v>
      </c>
    </row>
    <row r="88" spans="1:22" x14ac:dyDescent="0.3">
      <c r="A88" s="280" t="s">
        <v>322</v>
      </c>
      <c r="B88" s="270">
        <v>18</v>
      </c>
      <c r="C88" s="270">
        <v>896</v>
      </c>
      <c r="D88" s="272">
        <v>65</v>
      </c>
      <c r="E88" s="272">
        <v>65</v>
      </c>
      <c r="F88" s="270">
        <v>31</v>
      </c>
      <c r="G88" s="270">
        <f t="shared" si="17"/>
        <v>31</v>
      </c>
      <c r="H88" s="270">
        <v>30</v>
      </c>
      <c r="I88" s="270">
        <f t="shared" si="16"/>
        <v>30</v>
      </c>
      <c r="J88" s="231">
        <v>2095</v>
      </c>
      <c r="K88" s="231">
        <v>2095</v>
      </c>
      <c r="L88" s="231">
        <v>2095</v>
      </c>
      <c r="M88" s="231">
        <v>2095</v>
      </c>
      <c r="N88" s="231">
        <v>37</v>
      </c>
      <c r="O88" s="231">
        <v>33</v>
      </c>
      <c r="P88" s="231">
        <v>25</v>
      </c>
      <c r="Q88" s="231">
        <v>25</v>
      </c>
      <c r="R88" s="270"/>
      <c r="S88" s="270"/>
      <c r="T88" s="271">
        <v>15</v>
      </c>
      <c r="U88" s="271">
        <v>10</v>
      </c>
      <c r="V88" s="271">
        <v>10</v>
      </c>
    </row>
    <row r="89" spans="1:22" x14ac:dyDescent="0.3">
      <c r="A89" s="280" t="s">
        <v>322</v>
      </c>
      <c r="B89" s="270">
        <v>17</v>
      </c>
      <c r="C89" s="270">
        <v>897</v>
      </c>
      <c r="D89" s="272">
        <v>65</v>
      </c>
      <c r="E89" s="272">
        <v>65</v>
      </c>
      <c r="F89" s="270">
        <v>34</v>
      </c>
      <c r="G89" s="270">
        <f t="shared" si="17"/>
        <v>34</v>
      </c>
      <c r="H89" s="270">
        <v>33</v>
      </c>
      <c r="I89" s="270">
        <f t="shared" si="16"/>
        <v>33</v>
      </c>
      <c r="J89" s="231">
        <v>2095</v>
      </c>
      <c r="K89" s="231">
        <v>2095</v>
      </c>
      <c r="L89" s="231">
        <v>2095</v>
      </c>
      <c r="M89" s="231">
        <v>2095</v>
      </c>
      <c r="N89" s="231">
        <v>31</v>
      </c>
      <c r="O89" s="231">
        <f t="shared" ref="O89:O94" si="18">N89</f>
        <v>31</v>
      </c>
      <c r="P89" s="231">
        <v>25</v>
      </c>
      <c r="Q89" s="231">
        <v>25</v>
      </c>
      <c r="R89" s="270"/>
      <c r="S89" s="270"/>
      <c r="T89" s="271">
        <v>15</v>
      </c>
      <c r="U89" s="271">
        <v>10</v>
      </c>
      <c r="V89" s="271">
        <v>10</v>
      </c>
    </row>
    <row r="90" spans="1:22" x14ac:dyDescent="0.3">
      <c r="A90" s="280" t="s">
        <v>322</v>
      </c>
      <c r="B90" s="270">
        <v>16</v>
      </c>
      <c r="C90" s="270">
        <v>898</v>
      </c>
      <c r="D90" s="272">
        <v>65</v>
      </c>
      <c r="E90" s="272">
        <v>65</v>
      </c>
      <c r="F90" s="270">
        <v>32</v>
      </c>
      <c r="G90" s="270">
        <f t="shared" si="17"/>
        <v>32</v>
      </c>
      <c r="H90" s="270">
        <v>31</v>
      </c>
      <c r="I90" s="270">
        <f t="shared" si="16"/>
        <v>31</v>
      </c>
      <c r="J90" s="231">
        <v>2095</v>
      </c>
      <c r="K90" s="231">
        <v>2095</v>
      </c>
      <c r="L90" s="231">
        <v>2095</v>
      </c>
      <c r="M90" s="231">
        <v>2095</v>
      </c>
      <c r="N90" s="231">
        <v>35</v>
      </c>
      <c r="O90" s="231">
        <f t="shared" si="18"/>
        <v>35</v>
      </c>
      <c r="P90" s="231">
        <v>25</v>
      </c>
      <c r="Q90" s="231">
        <v>25</v>
      </c>
      <c r="R90" s="270"/>
      <c r="S90" s="270"/>
      <c r="T90" s="271">
        <v>15</v>
      </c>
      <c r="U90" s="271">
        <v>10</v>
      </c>
      <c r="V90" s="271">
        <v>10</v>
      </c>
    </row>
    <row r="91" spans="1:22" x14ac:dyDescent="0.3">
      <c r="A91" s="280" t="s">
        <v>322</v>
      </c>
      <c r="B91" s="270">
        <v>15</v>
      </c>
      <c r="C91" s="270">
        <v>900</v>
      </c>
      <c r="D91" s="272">
        <v>65</v>
      </c>
      <c r="E91" s="272">
        <v>65</v>
      </c>
      <c r="F91" s="270">
        <v>33</v>
      </c>
      <c r="G91" s="270">
        <f t="shared" si="17"/>
        <v>33</v>
      </c>
      <c r="H91" s="270">
        <v>31</v>
      </c>
      <c r="I91" s="270">
        <f t="shared" si="16"/>
        <v>31</v>
      </c>
      <c r="J91" s="231">
        <v>2095</v>
      </c>
      <c r="K91" s="231">
        <v>2095</v>
      </c>
      <c r="L91" s="231">
        <v>2095</v>
      </c>
      <c r="M91" s="231">
        <v>2095</v>
      </c>
      <c r="N91" s="231">
        <v>34</v>
      </c>
      <c r="O91" s="231">
        <f t="shared" si="18"/>
        <v>34</v>
      </c>
      <c r="P91" s="231">
        <v>25</v>
      </c>
      <c r="Q91" s="231">
        <v>25</v>
      </c>
      <c r="R91" s="270"/>
      <c r="S91" s="270"/>
      <c r="T91" s="271">
        <v>15</v>
      </c>
      <c r="U91" s="271">
        <v>10</v>
      </c>
      <c r="V91" s="271">
        <v>10</v>
      </c>
    </row>
    <row r="92" spans="1:22" x14ac:dyDescent="0.3">
      <c r="A92" s="280" t="s">
        <v>322</v>
      </c>
      <c r="B92" s="270">
        <v>14</v>
      </c>
      <c r="C92" s="270">
        <v>900</v>
      </c>
      <c r="D92" s="272">
        <v>65</v>
      </c>
      <c r="E92" s="272">
        <v>65</v>
      </c>
      <c r="F92" s="270">
        <v>34</v>
      </c>
      <c r="G92" s="270">
        <v>30</v>
      </c>
      <c r="H92" s="270">
        <v>30</v>
      </c>
      <c r="I92" s="270">
        <f t="shared" si="16"/>
        <v>30</v>
      </c>
      <c r="J92" s="231">
        <v>2095</v>
      </c>
      <c r="K92" s="231">
        <v>2095</v>
      </c>
      <c r="L92" s="231">
        <v>2095</v>
      </c>
      <c r="M92" s="231">
        <v>2095</v>
      </c>
      <c r="N92" s="231">
        <v>35</v>
      </c>
      <c r="O92" s="231">
        <f t="shared" si="18"/>
        <v>35</v>
      </c>
      <c r="P92" s="231">
        <v>25</v>
      </c>
      <c r="Q92" s="231">
        <v>25</v>
      </c>
      <c r="R92" s="270"/>
      <c r="S92" s="270"/>
      <c r="T92" s="271">
        <v>15</v>
      </c>
      <c r="U92" s="271">
        <v>10</v>
      </c>
      <c r="V92" s="271">
        <v>10</v>
      </c>
    </row>
    <row r="93" spans="1:22" x14ac:dyDescent="0.3">
      <c r="A93" s="280" t="s">
        <v>322</v>
      </c>
      <c r="B93" s="270">
        <v>13</v>
      </c>
      <c r="C93" s="270">
        <v>900</v>
      </c>
      <c r="D93" s="272">
        <v>65</v>
      </c>
      <c r="E93" s="272">
        <v>65</v>
      </c>
      <c r="F93" s="270">
        <v>33</v>
      </c>
      <c r="G93" s="270">
        <f t="shared" ref="G93:G94" si="19">F93</f>
        <v>33</v>
      </c>
      <c r="H93" s="270">
        <v>31</v>
      </c>
      <c r="I93" s="270">
        <f t="shared" si="16"/>
        <v>31</v>
      </c>
      <c r="J93" s="231">
        <v>2095</v>
      </c>
      <c r="K93" s="231">
        <v>2095</v>
      </c>
      <c r="L93" s="231">
        <v>2095</v>
      </c>
      <c r="M93" s="231">
        <v>2095</v>
      </c>
      <c r="N93" s="231">
        <v>31</v>
      </c>
      <c r="O93" s="231">
        <f t="shared" si="18"/>
        <v>31</v>
      </c>
      <c r="P93" s="231">
        <v>25</v>
      </c>
      <c r="Q93" s="231">
        <v>25</v>
      </c>
      <c r="R93" s="270"/>
      <c r="S93" s="270"/>
      <c r="T93" s="271">
        <v>15</v>
      </c>
      <c r="U93" s="271">
        <v>10</v>
      </c>
      <c r="V93" s="271">
        <v>10</v>
      </c>
    </row>
    <row r="94" spans="1:22" x14ac:dyDescent="0.3">
      <c r="A94" s="280" t="s">
        <v>322</v>
      </c>
      <c r="B94" s="270">
        <v>12</v>
      </c>
      <c r="C94" s="270">
        <v>899</v>
      </c>
      <c r="D94" s="272">
        <v>65</v>
      </c>
      <c r="E94" s="272">
        <v>65</v>
      </c>
      <c r="F94" s="270">
        <v>31</v>
      </c>
      <c r="G94" s="270">
        <f t="shared" si="19"/>
        <v>31</v>
      </c>
      <c r="H94" s="270">
        <v>30</v>
      </c>
      <c r="I94" s="270">
        <f t="shared" si="16"/>
        <v>30</v>
      </c>
      <c r="J94" s="231">
        <v>2095</v>
      </c>
      <c r="K94" s="231">
        <v>2095</v>
      </c>
      <c r="L94" s="231">
        <v>2095</v>
      </c>
      <c r="M94" s="231">
        <v>2095</v>
      </c>
      <c r="N94" s="231">
        <v>34</v>
      </c>
      <c r="O94" s="231">
        <f t="shared" si="18"/>
        <v>34</v>
      </c>
      <c r="P94" s="231">
        <v>25</v>
      </c>
      <c r="Q94" s="231">
        <v>25</v>
      </c>
      <c r="R94" s="270"/>
      <c r="S94" s="270"/>
      <c r="T94" s="271">
        <v>15</v>
      </c>
      <c r="U94" s="271">
        <v>10</v>
      </c>
      <c r="V94" s="271">
        <v>10</v>
      </c>
    </row>
    <row r="95" spans="1:22" x14ac:dyDescent="0.3">
      <c r="A95" s="280" t="s">
        <v>322</v>
      </c>
      <c r="B95" s="270">
        <v>11</v>
      </c>
      <c r="C95" s="270">
        <v>900</v>
      </c>
      <c r="D95" s="272">
        <v>65</v>
      </c>
      <c r="E95" s="272">
        <v>65</v>
      </c>
      <c r="F95" s="270">
        <v>30</v>
      </c>
      <c r="G95" s="270">
        <v>34</v>
      </c>
      <c r="H95" s="270">
        <v>31</v>
      </c>
      <c r="I95" s="270">
        <f t="shared" si="16"/>
        <v>31</v>
      </c>
      <c r="J95" s="231">
        <v>2095</v>
      </c>
      <c r="K95" s="231">
        <v>2095</v>
      </c>
      <c r="L95" s="231">
        <v>2095</v>
      </c>
      <c r="M95" s="231">
        <v>2095</v>
      </c>
      <c r="N95" s="231">
        <v>34</v>
      </c>
      <c r="O95" s="231">
        <v>30</v>
      </c>
      <c r="P95" s="231">
        <v>25</v>
      </c>
      <c r="Q95" s="231">
        <v>25</v>
      </c>
      <c r="R95" s="270"/>
      <c r="S95" s="270"/>
      <c r="T95" s="271">
        <v>15</v>
      </c>
      <c r="U95" s="271">
        <v>10</v>
      </c>
      <c r="V95" s="271">
        <v>10</v>
      </c>
    </row>
    <row r="96" spans="1:22" x14ac:dyDescent="0.3">
      <c r="A96" s="280" t="s">
        <v>322</v>
      </c>
      <c r="B96" s="270">
        <v>10</v>
      </c>
      <c r="C96" s="270">
        <v>900</v>
      </c>
      <c r="D96" s="272">
        <v>65</v>
      </c>
      <c r="E96" s="272">
        <v>65</v>
      </c>
      <c r="F96" s="270">
        <v>33</v>
      </c>
      <c r="G96" s="270">
        <f t="shared" ref="G96:G98" si="20">F96</f>
        <v>33</v>
      </c>
      <c r="H96" s="270">
        <v>31</v>
      </c>
      <c r="I96" s="270">
        <f t="shared" si="16"/>
        <v>31</v>
      </c>
      <c r="J96" s="231">
        <v>2095</v>
      </c>
      <c r="K96" s="231">
        <v>2095</v>
      </c>
      <c r="L96" s="231">
        <v>2095</v>
      </c>
      <c r="M96" s="231">
        <v>2095</v>
      </c>
      <c r="N96" s="231">
        <v>36</v>
      </c>
      <c r="O96" s="231">
        <f t="shared" ref="O96:O116" si="21">N96</f>
        <v>36</v>
      </c>
      <c r="P96" s="231">
        <v>25</v>
      </c>
      <c r="Q96" s="231">
        <v>25</v>
      </c>
      <c r="R96" s="270"/>
      <c r="S96" s="270"/>
      <c r="T96" s="271">
        <v>15</v>
      </c>
      <c r="U96" s="271">
        <v>10</v>
      </c>
      <c r="V96" s="271">
        <v>10</v>
      </c>
    </row>
    <row r="97" spans="1:22" x14ac:dyDescent="0.3">
      <c r="A97" s="280" t="s">
        <v>322</v>
      </c>
      <c r="B97" s="270">
        <v>9</v>
      </c>
      <c r="C97" s="270">
        <v>900</v>
      </c>
      <c r="D97" s="272">
        <v>65</v>
      </c>
      <c r="E97" s="272">
        <v>65</v>
      </c>
      <c r="F97" s="270">
        <v>32</v>
      </c>
      <c r="G97" s="270">
        <f t="shared" si="20"/>
        <v>32</v>
      </c>
      <c r="H97" s="270">
        <v>31</v>
      </c>
      <c r="I97" s="270">
        <f t="shared" si="16"/>
        <v>31</v>
      </c>
      <c r="J97" s="231">
        <v>2095</v>
      </c>
      <c r="K97" s="231">
        <v>2095</v>
      </c>
      <c r="L97" s="231">
        <v>2095</v>
      </c>
      <c r="M97" s="231">
        <v>2095</v>
      </c>
      <c r="N97" s="231">
        <v>32</v>
      </c>
      <c r="O97" s="231">
        <f t="shared" si="21"/>
        <v>32</v>
      </c>
      <c r="P97" s="231">
        <v>25</v>
      </c>
      <c r="Q97" s="231">
        <v>25</v>
      </c>
      <c r="R97" s="270"/>
      <c r="S97" s="270"/>
      <c r="T97" s="271">
        <v>15</v>
      </c>
      <c r="U97" s="271">
        <v>10</v>
      </c>
      <c r="V97" s="271">
        <v>10</v>
      </c>
    </row>
    <row r="98" spans="1:22" x14ac:dyDescent="0.3">
      <c r="A98" s="280" t="s">
        <v>322</v>
      </c>
      <c r="B98" s="270">
        <v>8</v>
      </c>
      <c r="C98" s="270">
        <v>900</v>
      </c>
      <c r="D98" s="272">
        <v>65</v>
      </c>
      <c r="E98" s="272">
        <v>65</v>
      </c>
      <c r="F98" s="270">
        <v>31</v>
      </c>
      <c r="G98" s="270">
        <f t="shared" si="20"/>
        <v>31</v>
      </c>
      <c r="H98" s="270">
        <v>34</v>
      </c>
      <c r="I98" s="270">
        <v>30</v>
      </c>
      <c r="J98" s="231">
        <v>2095</v>
      </c>
      <c r="K98" s="231">
        <v>2095</v>
      </c>
      <c r="L98" s="231">
        <v>2095</v>
      </c>
      <c r="M98" s="231">
        <v>2095</v>
      </c>
      <c r="N98" s="231">
        <v>32</v>
      </c>
      <c r="O98" s="231">
        <f t="shared" si="21"/>
        <v>32</v>
      </c>
      <c r="P98" s="231">
        <v>25</v>
      </c>
      <c r="Q98" s="231">
        <v>25</v>
      </c>
      <c r="R98" s="270"/>
      <c r="S98" s="270"/>
      <c r="T98" s="271">
        <v>15</v>
      </c>
      <c r="U98" s="271">
        <v>10</v>
      </c>
      <c r="V98" s="271">
        <v>10</v>
      </c>
    </row>
    <row r="99" spans="1:22" x14ac:dyDescent="0.3">
      <c r="A99" s="280" t="s">
        <v>322</v>
      </c>
      <c r="B99" s="270">
        <v>7</v>
      </c>
      <c r="C99" s="270">
        <v>900</v>
      </c>
      <c r="D99" s="272">
        <v>65</v>
      </c>
      <c r="E99" s="272">
        <v>65</v>
      </c>
      <c r="F99" s="270">
        <v>28</v>
      </c>
      <c r="G99" s="270">
        <v>32</v>
      </c>
      <c r="H99" s="270">
        <v>31</v>
      </c>
      <c r="I99" s="270">
        <f t="shared" ref="I99:I120" si="22">H99</f>
        <v>31</v>
      </c>
      <c r="J99" s="231">
        <v>2095</v>
      </c>
      <c r="K99" s="231">
        <v>2095</v>
      </c>
      <c r="L99" s="231">
        <v>2095</v>
      </c>
      <c r="M99" s="231">
        <v>2095</v>
      </c>
      <c r="N99" s="231">
        <v>32</v>
      </c>
      <c r="O99" s="231">
        <f t="shared" si="21"/>
        <v>32</v>
      </c>
      <c r="P99" s="231">
        <v>25</v>
      </c>
      <c r="Q99" s="231">
        <v>25</v>
      </c>
      <c r="R99" s="270"/>
      <c r="S99" s="270"/>
      <c r="T99" s="271">
        <v>15</v>
      </c>
      <c r="U99" s="271">
        <v>10</v>
      </c>
      <c r="V99" s="271">
        <v>10</v>
      </c>
    </row>
    <row r="100" spans="1:22" x14ac:dyDescent="0.3">
      <c r="A100" s="280" t="s">
        <v>322</v>
      </c>
      <c r="B100" s="270">
        <v>6</v>
      </c>
      <c r="C100" s="270">
        <v>900</v>
      </c>
      <c r="D100" s="272">
        <v>65</v>
      </c>
      <c r="E100" s="272">
        <v>65</v>
      </c>
      <c r="F100" s="270">
        <v>32</v>
      </c>
      <c r="G100" s="270">
        <f t="shared" ref="G100:G106" si="23">F100</f>
        <v>32</v>
      </c>
      <c r="H100" s="270">
        <v>33</v>
      </c>
      <c r="I100" s="270">
        <f t="shared" si="22"/>
        <v>33</v>
      </c>
      <c r="J100" s="231">
        <v>2095</v>
      </c>
      <c r="K100" s="231">
        <v>2095</v>
      </c>
      <c r="L100" s="231">
        <v>2095</v>
      </c>
      <c r="M100" s="231">
        <v>2095</v>
      </c>
      <c r="N100" s="231">
        <v>33</v>
      </c>
      <c r="O100" s="231">
        <f t="shared" si="21"/>
        <v>33</v>
      </c>
      <c r="P100" s="231">
        <v>25</v>
      </c>
      <c r="Q100" s="231">
        <v>25</v>
      </c>
      <c r="R100" s="270"/>
      <c r="S100" s="270"/>
      <c r="T100" s="271">
        <v>15</v>
      </c>
      <c r="U100" s="271">
        <v>10</v>
      </c>
      <c r="V100" s="271">
        <v>10</v>
      </c>
    </row>
    <row r="101" spans="1:22" x14ac:dyDescent="0.3">
      <c r="A101" s="280" t="s">
        <v>322</v>
      </c>
      <c r="B101" s="270">
        <v>5</v>
      </c>
      <c r="C101" s="270">
        <v>900</v>
      </c>
      <c r="D101" s="272">
        <v>65</v>
      </c>
      <c r="E101" s="272">
        <v>65</v>
      </c>
      <c r="F101" s="270">
        <v>31</v>
      </c>
      <c r="G101" s="270">
        <f t="shared" si="23"/>
        <v>31</v>
      </c>
      <c r="H101" s="270">
        <v>31</v>
      </c>
      <c r="I101" s="270">
        <f t="shared" si="22"/>
        <v>31</v>
      </c>
      <c r="J101" s="231">
        <v>2095</v>
      </c>
      <c r="K101" s="231">
        <v>2095</v>
      </c>
      <c r="L101" s="231">
        <v>2095</v>
      </c>
      <c r="M101" s="231">
        <v>2095</v>
      </c>
      <c r="N101" s="231">
        <v>31</v>
      </c>
      <c r="O101" s="231">
        <f t="shared" si="21"/>
        <v>31</v>
      </c>
      <c r="P101" s="231">
        <v>25</v>
      </c>
      <c r="Q101" s="231">
        <v>25</v>
      </c>
      <c r="R101" s="270"/>
      <c r="S101" s="270"/>
      <c r="T101" s="271">
        <v>15</v>
      </c>
      <c r="U101" s="271">
        <v>10</v>
      </c>
      <c r="V101" s="271">
        <v>10</v>
      </c>
    </row>
    <row r="102" spans="1:22" x14ac:dyDescent="0.3">
      <c r="A102" s="280" t="s">
        <v>322</v>
      </c>
      <c r="B102" s="270">
        <v>4</v>
      </c>
      <c r="C102" s="270">
        <v>900</v>
      </c>
      <c r="D102" s="272">
        <v>65</v>
      </c>
      <c r="E102" s="272">
        <v>65</v>
      </c>
      <c r="F102" s="270">
        <v>30</v>
      </c>
      <c r="G102" s="270">
        <f t="shared" si="23"/>
        <v>30</v>
      </c>
      <c r="H102" s="270">
        <v>32</v>
      </c>
      <c r="I102" s="270">
        <f t="shared" si="22"/>
        <v>32</v>
      </c>
      <c r="J102" s="231">
        <v>2095</v>
      </c>
      <c r="K102" s="231">
        <v>2095</v>
      </c>
      <c r="L102" s="231">
        <v>2095</v>
      </c>
      <c r="M102" s="231">
        <v>2095</v>
      </c>
      <c r="N102" s="231">
        <v>31</v>
      </c>
      <c r="O102" s="231">
        <f t="shared" si="21"/>
        <v>31</v>
      </c>
      <c r="P102" s="231">
        <v>25</v>
      </c>
      <c r="Q102" s="231">
        <v>25</v>
      </c>
      <c r="R102" s="270"/>
      <c r="S102" s="270"/>
      <c r="T102" s="271">
        <v>15</v>
      </c>
      <c r="U102" s="271">
        <v>10</v>
      </c>
      <c r="V102" s="271">
        <v>10</v>
      </c>
    </row>
    <row r="103" spans="1:22" x14ac:dyDescent="0.3">
      <c r="A103" s="280" t="s">
        <v>322</v>
      </c>
      <c r="B103" s="270">
        <v>3</v>
      </c>
      <c r="C103" s="270">
        <v>900</v>
      </c>
      <c r="D103" s="272">
        <v>65</v>
      </c>
      <c r="E103" s="272">
        <v>65</v>
      </c>
      <c r="F103" s="270">
        <v>29</v>
      </c>
      <c r="G103" s="270">
        <f t="shared" si="23"/>
        <v>29</v>
      </c>
      <c r="H103" s="270">
        <v>32</v>
      </c>
      <c r="I103" s="270">
        <f t="shared" si="22"/>
        <v>32</v>
      </c>
      <c r="J103" s="231">
        <v>2095</v>
      </c>
      <c r="K103" s="231">
        <v>2095</v>
      </c>
      <c r="L103" s="231">
        <v>2095</v>
      </c>
      <c r="M103" s="231">
        <v>2095</v>
      </c>
      <c r="N103" s="231">
        <v>30</v>
      </c>
      <c r="O103" s="231">
        <f t="shared" si="21"/>
        <v>30</v>
      </c>
      <c r="P103" s="231">
        <v>25</v>
      </c>
      <c r="Q103" s="231">
        <v>25</v>
      </c>
      <c r="R103" s="270"/>
      <c r="S103" s="270"/>
      <c r="T103" s="271">
        <v>15</v>
      </c>
      <c r="U103" s="271">
        <v>10</v>
      </c>
      <c r="V103" s="271">
        <v>10</v>
      </c>
    </row>
    <row r="104" spans="1:22" x14ac:dyDescent="0.3">
      <c r="A104" s="280" t="s">
        <v>322</v>
      </c>
      <c r="B104" s="270">
        <v>2</v>
      </c>
      <c r="C104" s="270">
        <v>900</v>
      </c>
      <c r="D104" s="272">
        <v>65</v>
      </c>
      <c r="E104" s="272">
        <v>65</v>
      </c>
      <c r="F104" s="270">
        <v>30</v>
      </c>
      <c r="G104" s="270">
        <f t="shared" si="23"/>
        <v>30</v>
      </c>
      <c r="H104" s="270">
        <v>32</v>
      </c>
      <c r="I104" s="270">
        <f t="shared" si="22"/>
        <v>32</v>
      </c>
      <c r="J104" s="231">
        <v>2095</v>
      </c>
      <c r="K104" s="231">
        <v>2095</v>
      </c>
      <c r="L104" s="231">
        <v>2095</v>
      </c>
      <c r="M104" s="231">
        <v>2095</v>
      </c>
      <c r="N104" s="231">
        <v>30</v>
      </c>
      <c r="O104" s="231">
        <f t="shared" si="21"/>
        <v>30</v>
      </c>
      <c r="P104" s="231">
        <v>25</v>
      </c>
      <c r="Q104" s="231">
        <v>25</v>
      </c>
      <c r="R104" s="270"/>
      <c r="S104" s="270"/>
      <c r="T104" s="271">
        <v>15</v>
      </c>
      <c r="U104" s="271">
        <v>10</v>
      </c>
      <c r="V104" s="271">
        <v>10</v>
      </c>
    </row>
    <row r="105" spans="1:22" x14ac:dyDescent="0.3">
      <c r="A105" s="280" t="s">
        <v>322</v>
      </c>
      <c r="B105" s="270" t="s">
        <v>325</v>
      </c>
      <c r="C105" s="270">
        <v>892</v>
      </c>
      <c r="D105" s="270">
        <v>75</v>
      </c>
      <c r="E105" s="270">
        <v>75</v>
      </c>
      <c r="F105" s="270">
        <v>44</v>
      </c>
      <c r="G105" s="270">
        <f t="shared" si="23"/>
        <v>44</v>
      </c>
      <c r="H105" s="270">
        <v>39</v>
      </c>
      <c r="I105" s="270">
        <f t="shared" si="22"/>
        <v>39</v>
      </c>
      <c r="J105" s="231">
        <v>2091</v>
      </c>
      <c r="K105" s="231">
        <v>2091</v>
      </c>
      <c r="L105" s="231">
        <v>2091</v>
      </c>
      <c r="M105" s="231">
        <v>2091</v>
      </c>
      <c r="N105" s="231">
        <v>15</v>
      </c>
      <c r="O105" s="231">
        <f t="shared" si="21"/>
        <v>15</v>
      </c>
      <c r="P105" s="231">
        <v>25</v>
      </c>
      <c r="Q105" s="231">
        <v>25</v>
      </c>
      <c r="R105" s="270"/>
      <c r="S105" s="270"/>
      <c r="T105" s="271">
        <v>15</v>
      </c>
      <c r="U105" s="271">
        <v>10</v>
      </c>
      <c r="V105" s="271">
        <v>10</v>
      </c>
    </row>
    <row r="106" spans="1:22" x14ac:dyDescent="0.3">
      <c r="A106" s="280" t="s">
        <v>323</v>
      </c>
      <c r="B106" s="270">
        <v>20</v>
      </c>
      <c r="C106" s="270">
        <v>899</v>
      </c>
      <c r="D106" s="270">
        <v>70</v>
      </c>
      <c r="E106" s="270">
        <v>70</v>
      </c>
      <c r="F106" s="270">
        <v>36</v>
      </c>
      <c r="G106" s="270">
        <f t="shared" si="23"/>
        <v>36</v>
      </c>
      <c r="H106" s="270">
        <v>34</v>
      </c>
      <c r="I106" s="270">
        <f t="shared" si="22"/>
        <v>34</v>
      </c>
      <c r="J106" s="231">
        <v>2095</v>
      </c>
      <c r="K106" s="231">
        <v>2095</v>
      </c>
      <c r="L106" s="231">
        <v>2095</v>
      </c>
      <c r="M106" s="231">
        <v>2095</v>
      </c>
      <c r="N106" s="231">
        <v>35</v>
      </c>
      <c r="O106" s="231">
        <f t="shared" si="21"/>
        <v>35</v>
      </c>
      <c r="P106" s="231">
        <v>25</v>
      </c>
      <c r="Q106" s="231">
        <v>25</v>
      </c>
      <c r="R106" s="270"/>
      <c r="S106" s="270"/>
      <c r="T106" s="271">
        <v>15</v>
      </c>
      <c r="U106" s="271">
        <v>10</v>
      </c>
      <c r="V106" s="271">
        <v>10</v>
      </c>
    </row>
    <row r="107" spans="1:22" x14ac:dyDescent="0.3">
      <c r="A107" s="280" t="s">
        <v>323</v>
      </c>
      <c r="B107" s="270">
        <v>19</v>
      </c>
      <c r="C107" s="270">
        <v>897</v>
      </c>
      <c r="D107" s="272">
        <v>70</v>
      </c>
      <c r="E107" s="272">
        <v>70</v>
      </c>
      <c r="F107" s="270">
        <v>34</v>
      </c>
      <c r="G107" s="270">
        <v>28</v>
      </c>
      <c r="H107" s="270">
        <v>32</v>
      </c>
      <c r="I107" s="270">
        <f t="shared" si="22"/>
        <v>32</v>
      </c>
      <c r="J107" s="231">
        <v>2095</v>
      </c>
      <c r="K107" s="231">
        <v>2095</v>
      </c>
      <c r="L107" s="231">
        <v>2095</v>
      </c>
      <c r="M107" s="231">
        <v>2095</v>
      </c>
      <c r="N107" s="231">
        <v>35</v>
      </c>
      <c r="O107" s="231">
        <f t="shared" si="21"/>
        <v>35</v>
      </c>
      <c r="P107" s="231">
        <v>25</v>
      </c>
      <c r="Q107" s="231">
        <v>25</v>
      </c>
      <c r="R107" s="270"/>
      <c r="S107" s="270"/>
      <c r="T107" s="271">
        <v>15</v>
      </c>
      <c r="U107" s="271">
        <v>10</v>
      </c>
      <c r="V107" s="271">
        <v>10</v>
      </c>
    </row>
    <row r="108" spans="1:22" x14ac:dyDescent="0.3">
      <c r="A108" s="280" t="s">
        <v>323</v>
      </c>
      <c r="B108" s="270">
        <v>18</v>
      </c>
      <c r="C108" s="270">
        <v>897</v>
      </c>
      <c r="D108" s="272">
        <v>70</v>
      </c>
      <c r="E108" s="272">
        <v>70</v>
      </c>
      <c r="F108" s="270">
        <v>34</v>
      </c>
      <c r="G108" s="270">
        <f>F108</f>
        <v>34</v>
      </c>
      <c r="H108" s="270">
        <v>35</v>
      </c>
      <c r="I108" s="270">
        <f t="shared" si="22"/>
        <v>35</v>
      </c>
      <c r="J108" s="231">
        <v>2095</v>
      </c>
      <c r="K108" s="231">
        <v>2095</v>
      </c>
      <c r="L108" s="231">
        <v>2095</v>
      </c>
      <c r="M108" s="231">
        <v>2095</v>
      </c>
      <c r="N108" s="231">
        <v>36</v>
      </c>
      <c r="O108" s="231">
        <f t="shared" si="21"/>
        <v>36</v>
      </c>
      <c r="P108" s="231">
        <v>25</v>
      </c>
      <c r="Q108" s="231">
        <v>25</v>
      </c>
      <c r="R108" s="270"/>
      <c r="S108" s="270"/>
      <c r="T108" s="271">
        <v>15</v>
      </c>
      <c r="U108" s="271">
        <v>10</v>
      </c>
      <c r="V108" s="271">
        <v>10</v>
      </c>
    </row>
    <row r="109" spans="1:22" x14ac:dyDescent="0.3">
      <c r="A109" s="280" t="s">
        <v>323</v>
      </c>
      <c r="B109" s="270">
        <v>17</v>
      </c>
      <c r="C109" s="270">
        <v>900</v>
      </c>
      <c r="D109" s="272">
        <v>70</v>
      </c>
      <c r="E109" s="272">
        <v>70</v>
      </c>
      <c r="F109" s="270">
        <v>34</v>
      </c>
      <c r="G109" s="270">
        <v>30</v>
      </c>
      <c r="H109" s="270">
        <v>32</v>
      </c>
      <c r="I109" s="270">
        <f t="shared" si="22"/>
        <v>32</v>
      </c>
      <c r="J109" s="231">
        <v>2095</v>
      </c>
      <c r="K109" s="231">
        <v>2095</v>
      </c>
      <c r="L109" s="231">
        <v>2095</v>
      </c>
      <c r="M109" s="231">
        <v>2095</v>
      </c>
      <c r="N109" s="231">
        <v>34</v>
      </c>
      <c r="O109" s="231">
        <f t="shared" si="21"/>
        <v>34</v>
      </c>
      <c r="P109" s="231">
        <v>25</v>
      </c>
      <c r="Q109" s="231">
        <v>25</v>
      </c>
      <c r="R109" s="270"/>
      <c r="S109" s="270"/>
      <c r="T109" s="271">
        <v>15</v>
      </c>
      <c r="U109" s="271">
        <v>10</v>
      </c>
      <c r="V109" s="271">
        <v>10</v>
      </c>
    </row>
    <row r="110" spans="1:22" x14ac:dyDescent="0.3">
      <c r="A110" s="280" t="s">
        <v>323</v>
      </c>
      <c r="B110" s="270">
        <v>16</v>
      </c>
      <c r="C110" s="270">
        <v>899</v>
      </c>
      <c r="D110" s="272">
        <v>70</v>
      </c>
      <c r="E110" s="272">
        <v>70</v>
      </c>
      <c r="F110" s="270">
        <v>32</v>
      </c>
      <c r="G110" s="270">
        <v>36</v>
      </c>
      <c r="H110" s="270">
        <v>35</v>
      </c>
      <c r="I110" s="270">
        <f t="shared" si="22"/>
        <v>35</v>
      </c>
      <c r="J110" s="231">
        <v>2095</v>
      </c>
      <c r="K110" s="231">
        <v>2095</v>
      </c>
      <c r="L110" s="231">
        <v>2095</v>
      </c>
      <c r="M110" s="231">
        <v>2095</v>
      </c>
      <c r="N110" s="231">
        <v>34</v>
      </c>
      <c r="O110" s="231">
        <f t="shared" si="21"/>
        <v>34</v>
      </c>
      <c r="P110" s="231">
        <v>25</v>
      </c>
      <c r="Q110" s="231">
        <v>25</v>
      </c>
      <c r="R110" s="270"/>
      <c r="S110" s="270"/>
      <c r="T110" s="271">
        <v>15</v>
      </c>
      <c r="U110" s="271">
        <v>10</v>
      </c>
      <c r="V110" s="271">
        <v>10</v>
      </c>
    </row>
    <row r="111" spans="1:22" x14ac:dyDescent="0.3">
      <c r="A111" s="280" t="s">
        <v>323</v>
      </c>
      <c r="B111" s="270">
        <v>15</v>
      </c>
      <c r="C111" s="270">
        <v>899</v>
      </c>
      <c r="D111" s="272">
        <v>70</v>
      </c>
      <c r="E111" s="272">
        <v>70</v>
      </c>
      <c r="F111" s="270">
        <v>32</v>
      </c>
      <c r="G111" s="270">
        <f t="shared" ref="G111:G125" si="24">F111</f>
        <v>32</v>
      </c>
      <c r="H111" s="270">
        <v>30</v>
      </c>
      <c r="I111" s="270">
        <f t="shared" si="22"/>
        <v>30</v>
      </c>
      <c r="J111" s="231">
        <v>2095</v>
      </c>
      <c r="K111" s="231">
        <v>2095</v>
      </c>
      <c r="L111" s="231">
        <v>2095</v>
      </c>
      <c r="M111" s="231">
        <v>2095</v>
      </c>
      <c r="N111" s="231">
        <v>33</v>
      </c>
      <c r="O111" s="231">
        <f t="shared" si="21"/>
        <v>33</v>
      </c>
      <c r="P111" s="231">
        <v>25</v>
      </c>
      <c r="Q111" s="231">
        <v>25</v>
      </c>
      <c r="R111" s="270"/>
      <c r="S111" s="270"/>
      <c r="T111" s="271">
        <v>15</v>
      </c>
      <c r="U111" s="271">
        <v>10</v>
      </c>
      <c r="V111" s="271">
        <v>10</v>
      </c>
    </row>
    <row r="112" spans="1:22" x14ac:dyDescent="0.3">
      <c r="A112" s="280" t="s">
        <v>323</v>
      </c>
      <c r="B112" s="270">
        <v>14</v>
      </c>
      <c r="C112" s="270">
        <v>897</v>
      </c>
      <c r="D112" s="272">
        <v>70</v>
      </c>
      <c r="E112" s="272">
        <v>70</v>
      </c>
      <c r="F112" s="270">
        <v>33</v>
      </c>
      <c r="G112" s="270">
        <f t="shared" si="24"/>
        <v>33</v>
      </c>
      <c r="H112" s="270">
        <v>33</v>
      </c>
      <c r="I112" s="270">
        <f t="shared" si="22"/>
        <v>33</v>
      </c>
      <c r="J112" s="231">
        <v>2095</v>
      </c>
      <c r="K112" s="231">
        <v>2095</v>
      </c>
      <c r="L112" s="231">
        <v>2095</v>
      </c>
      <c r="M112" s="231">
        <v>2095</v>
      </c>
      <c r="N112" s="231">
        <v>34</v>
      </c>
      <c r="O112" s="231">
        <f t="shared" si="21"/>
        <v>34</v>
      </c>
      <c r="P112" s="231">
        <v>25</v>
      </c>
      <c r="Q112" s="231">
        <v>25</v>
      </c>
      <c r="R112" s="270"/>
      <c r="S112" s="270"/>
      <c r="T112" s="271">
        <v>15</v>
      </c>
      <c r="U112" s="271">
        <v>10</v>
      </c>
      <c r="V112" s="271">
        <v>10</v>
      </c>
    </row>
    <row r="113" spans="1:22" x14ac:dyDescent="0.3">
      <c r="A113" s="280" t="s">
        <v>323</v>
      </c>
      <c r="B113" s="270">
        <v>13</v>
      </c>
      <c r="C113" s="270">
        <v>899</v>
      </c>
      <c r="D113" s="272">
        <v>70</v>
      </c>
      <c r="E113" s="272">
        <v>70</v>
      </c>
      <c r="F113" s="270">
        <v>35</v>
      </c>
      <c r="G113" s="270">
        <f t="shared" si="24"/>
        <v>35</v>
      </c>
      <c r="H113" s="270">
        <v>31</v>
      </c>
      <c r="I113" s="270">
        <f t="shared" si="22"/>
        <v>31</v>
      </c>
      <c r="J113" s="231">
        <v>2095</v>
      </c>
      <c r="K113" s="231">
        <v>2095</v>
      </c>
      <c r="L113" s="231">
        <v>2095</v>
      </c>
      <c r="M113" s="231">
        <v>2095</v>
      </c>
      <c r="N113" s="231">
        <v>33</v>
      </c>
      <c r="O113" s="231">
        <f t="shared" si="21"/>
        <v>33</v>
      </c>
      <c r="P113" s="231">
        <v>25</v>
      </c>
      <c r="Q113" s="231">
        <v>25</v>
      </c>
      <c r="R113" s="270"/>
      <c r="S113" s="270"/>
      <c r="T113" s="271">
        <v>15</v>
      </c>
      <c r="U113" s="271">
        <v>10</v>
      </c>
      <c r="V113" s="271">
        <v>10</v>
      </c>
    </row>
    <row r="114" spans="1:22" x14ac:dyDescent="0.3">
      <c r="A114" s="280" t="s">
        <v>323</v>
      </c>
      <c r="B114" s="270">
        <v>12</v>
      </c>
      <c r="C114" s="270">
        <v>899</v>
      </c>
      <c r="D114" s="272">
        <v>70</v>
      </c>
      <c r="E114" s="272">
        <v>70</v>
      </c>
      <c r="F114" s="270">
        <v>33</v>
      </c>
      <c r="G114" s="270">
        <f t="shared" si="24"/>
        <v>33</v>
      </c>
      <c r="H114" s="270">
        <v>31</v>
      </c>
      <c r="I114" s="270">
        <f t="shared" si="22"/>
        <v>31</v>
      </c>
      <c r="J114" s="231">
        <v>2095</v>
      </c>
      <c r="K114" s="231">
        <v>2095</v>
      </c>
      <c r="L114" s="231">
        <v>2095</v>
      </c>
      <c r="M114" s="231">
        <v>2095</v>
      </c>
      <c r="N114" s="231">
        <v>32</v>
      </c>
      <c r="O114" s="231">
        <f t="shared" si="21"/>
        <v>32</v>
      </c>
      <c r="P114" s="231">
        <v>25</v>
      </c>
      <c r="Q114" s="231">
        <v>25</v>
      </c>
      <c r="R114" s="270"/>
      <c r="S114" s="270"/>
      <c r="T114" s="271">
        <v>15</v>
      </c>
      <c r="U114" s="271">
        <v>10</v>
      </c>
      <c r="V114" s="271">
        <v>10</v>
      </c>
    </row>
    <row r="115" spans="1:22" x14ac:dyDescent="0.3">
      <c r="A115" s="280" t="s">
        <v>323</v>
      </c>
      <c r="B115" s="270">
        <v>11</v>
      </c>
      <c r="C115" s="270">
        <v>900</v>
      </c>
      <c r="D115" s="272">
        <v>70</v>
      </c>
      <c r="E115" s="272">
        <v>70</v>
      </c>
      <c r="F115" s="270">
        <v>34</v>
      </c>
      <c r="G115" s="270">
        <f t="shared" si="24"/>
        <v>34</v>
      </c>
      <c r="H115" s="270">
        <v>31</v>
      </c>
      <c r="I115" s="270">
        <f t="shared" si="22"/>
        <v>31</v>
      </c>
      <c r="J115" s="231">
        <v>2095</v>
      </c>
      <c r="K115" s="231">
        <v>2095</v>
      </c>
      <c r="L115" s="231">
        <v>2095</v>
      </c>
      <c r="M115" s="231">
        <v>2095</v>
      </c>
      <c r="N115" s="231">
        <v>32</v>
      </c>
      <c r="O115" s="231">
        <f t="shared" si="21"/>
        <v>32</v>
      </c>
      <c r="P115" s="231">
        <v>25</v>
      </c>
      <c r="Q115" s="231">
        <v>25</v>
      </c>
      <c r="R115" s="270"/>
      <c r="S115" s="270"/>
      <c r="T115" s="271">
        <v>15</v>
      </c>
      <c r="U115" s="271">
        <v>10</v>
      </c>
      <c r="V115" s="271">
        <v>10</v>
      </c>
    </row>
    <row r="116" spans="1:22" x14ac:dyDescent="0.3">
      <c r="A116" s="280" t="s">
        <v>323</v>
      </c>
      <c r="B116" s="270">
        <v>10</v>
      </c>
      <c r="C116" s="270">
        <v>898</v>
      </c>
      <c r="D116" s="272">
        <v>70</v>
      </c>
      <c r="E116" s="272">
        <v>70</v>
      </c>
      <c r="F116" s="270">
        <v>34</v>
      </c>
      <c r="G116" s="270">
        <f t="shared" si="24"/>
        <v>34</v>
      </c>
      <c r="H116" s="270">
        <v>34</v>
      </c>
      <c r="I116" s="270">
        <f t="shared" si="22"/>
        <v>34</v>
      </c>
      <c r="J116" s="231">
        <v>2095</v>
      </c>
      <c r="K116" s="231">
        <v>2095</v>
      </c>
      <c r="L116" s="231">
        <v>2095</v>
      </c>
      <c r="M116" s="231">
        <v>2095</v>
      </c>
      <c r="N116" s="231">
        <v>33</v>
      </c>
      <c r="O116" s="231">
        <f t="shared" si="21"/>
        <v>33</v>
      </c>
      <c r="P116" s="231">
        <v>25</v>
      </c>
      <c r="Q116" s="231">
        <v>25</v>
      </c>
      <c r="R116" s="270"/>
      <c r="S116" s="270"/>
      <c r="T116" s="271">
        <v>15</v>
      </c>
      <c r="U116" s="271">
        <v>10</v>
      </c>
      <c r="V116" s="271">
        <v>10</v>
      </c>
    </row>
    <row r="117" spans="1:22" x14ac:dyDescent="0.3">
      <c r="A117" s="280" t="s">
        <v>323</v>
      </c>
      <c r="B117" s="270">
        <v>9</v>
      </c>
      <c r="C117" s="270">
        <v>898</v>
      </c>
      <c r="D117" s="272">
        <v>70</v>
      </c>
      <c r="E117" s="272">
        <v>70</v>
      </c>
      <c r="F117" s="270">
        <v>34</v>
      </c>
      <c r="G117" s="270">
        <f t="shared" si="24"/>
        <v>34</v>
      </c>
      <c r="H117" s="270">
        <v>32</v>
      </c>
      <c r="I117" s="270">
        <f t="shared" si="22"/>
        <v>32</v>
      </c>
      <c r="J117" s="231">
        <v>2095</v>
      </c>
      <c r="K117" s="231">
        <v>2095</v>
      </c>
      <c r="L117" s="231">
        <v>2095</v>
      </c>
      <c r="M117" s="231">
        <v>2095</v>
      </c>
      <c r="N117" s="231">
        <v>31</v>
      </c>
      <c r="O117" s="231">
        <v>36</v>
      </c>
      <c r="P117" s="231">
        <v>25</v>
      </c>
      <c r="Q117" s="231">
        <v>25</v>
      </c>
      <c r="R117" s="270"/>
      <c r="S117" s="270"/>
      <c r="T117" s="271">
        <v>15</v>
      </c>
      <c r="U117" s="271">
        <v>10</v>
      </c>
      <c r="V117" s="271">
        <v>10</v>
      </c>
    </row>
    <row r="118" spans="1:22" x14ac:dyDescent="0.3">
      <c r="A118" s="280" t="s">
        <v>323</v>
      </c>
      <c r="B118" s="270">
        <v>8</v>
      </c>
      <c r="C118" s="270">
        <v>900</v>
      </c>
      <c r="D118" s="272">
        <v>70</v>
      </c>
      <c r="E118" s="272">
        <v>70</v>
      </c>
      <c r="F118" s="270">
        <v>32</v>
      </c>
      <c r="G118" s="270">
        <f t="shared" si="24"/>
        <v>32</v>
      </c>
      <c r="H118" s="270">
        <v>31</v>
      </c>
      <c r="I118" s="270">
        <f t="shared" si="22"/>
        <v>31</v>
      </c>
      <c r="J118" s="231">
        <v>2095</v>
      </c>
      <c r="K118" s="231">
        <v>2095</v>
      </c>
      <c r="L118" s="231">
        <v>2095</v>
      </c>
      <c r="M118" s="231">
        <v>2095</v>
      </c>
      <c r="N118" s="231">
        <v>33</v>
      </c>
      <c r="O118" s="231">
        <f t="shared" ref="O118:O125" si="25">N118</f>
        <v>33</v>
      </c>
      <c r="P118" s="231">
        <v>25</v>
      </c>
      <c r="Q118" s="231">
        <v>25</v>
      </c>
      <c r="R118" s="270"/>
      <c r="S118" s="270"/>
      <c r="T118" s="271">
        <v>15</v>
      </c>
      <c r="U118" s="271">
        <v>10</v>
      </c>
      <c r="V118" s="271">
        <v>10</v>
      </c>
    </row>
    <row r="119" spans="1:22" x14ac:dyDescent="0.3">
      <c r="A119" s="280" t="s">
        <v>323</v>
      </c>
      <c r="B119" s="270">
        <v>7</v>
      </c>
      <c r="C119" s="270">
        <v>899</v>
      </c>
      <c r="D119" s="272">
        <v>70</v>
      </c>
      <c r="E119" s="272">
        <v>70</v>
      </c>
      <c r="F119" s="270">
        <v>31</v>
      </c>
      <c r="G119" s="270">
        <f t="shared" si="24"/>
        <v>31</v>
      </c>
      <c r="H119" s="270">
        <v>30</v>
      </c>
      <c r="I119" s="270">
        <f t="shared" si="22"/>
        <v>30</v>
      </c>
      <c r="J119" s="231">
        <v>2095</v>
      </c>
      <c r="K119" s="231">
        <v>2095</v>
      </c>
      <c r="L119" s="231">
        <v>2095</v>
      </c>
      <c r="M119" s="231">
        <v>2095</v>
      </c>
      <c r="N119" s="231">
        <v>30</v>
      </c>
      <c r="O119" s="231">
        <f t="shared" si="25"/>
        <v>30</v>
      </c>
      <c r="P119" s="231">
        <v>25</v>
      </c>
      <c r="Q119" s="231">
        <v>25</v>
      </c>
      <c r="R119" s="270"/>
      <c r="S119" s="270"/>
      <c r="T119" s="271">
        <v>15</v>
      </c>
      <c r="U119" s="271">
        <v>10</v>
      </c>
      <c r="V119" s="271">
        <v>10</v>
      </c>
    </row>
    <row r="120" spans="1:22" x14ac:dyDescent="0.3">
      <c r="A120" s="280" t="s">
        <v>323</v>
      </c>
      <c r="B120" s="270">
        <v>6</v>
      </c>
      <c r="C120" s="270">
        <v>899</v>
      </c>
      <c r="D120" s="272">
        <v>70</v>
      </c>
      <c r="E120" s="272">
        <v>70</v>
      </c>
      <c r="F120" s="270">
        <v>29</v>
      </c>
      <c r="G120" s="270">
        <f t="shared" si="24"/>
        <v>29</v>
      </c>
      <c r="H120" s="270">
        <v>31</v>
      </c>
      <c r="I120" s="270">
        <f t="shared" si="22"/>
        <v>31</v>
      </c>
      <c r="J120" s="231">
        <v>2095</v>
      </c>
      <c r="K120" s="231">
        <v>2095</v>
      </c>
      <c r="L120" s="231">
        <v>2095</v>
      </c>
      <c r="M120" s="231">
        <v>2095</v>
      </c>
      <c r="N120" s="231">
        <v>36</v>
      </c>
      <c r="O120" s="231">
        <f t="shared" si="25"/>
        <v>36</v>
      </c>
      <c r="P120" s="231">
        <v>25</v>
      </c>
      <c r="Q120" s="231">
        <v>25</v>
      </c>
      <c r="R120" s="270"/>
      <c r="S120" s="270"/>
      <c r="T120" s="271">
        <v>15</v>
      </c>
      <c r="U120" s="271">
        <v>10</v>
      </c>
      <c r="V120" s="271">
        <v>10</v>
      </c>
    </row>
    <row r="121" spans="1:22" x14ac:dyDescent="0.3">
      <c r="A121" s="280" t="s">
        <v>323</v>
      </c>
      <c r="B121" s="270">
        <v>5</v>
      </c>
      <c r="C121" s="270">
        <v>899</v>
      </c>
      <c r="D121" s="272">
        <v>70</v>
      </c>
      <c r="E121" s="272">
        <v>70</v>
      </c>
      <c r="F121" s="270">
        <v>31</v>
      </c>
      <c r="G121" s="270">
        <f t="shared" si="24"/>
        <v>31</v>
      </c>
      <c r="H121" s="270">
        <v>33</v>
      </c>
      <c r="I121" s="270">
        <v>29</v>
      </c>
      <c r="J121" s="231">
        <v>2095</v>
      </c>
      <c r="K121" s="231">
        <v>2095</v>
      </c>
      <c r="L121" s="231">
        <v>2095</v>
      </c>
      <c r="M121" s="231">
        <v>2095</v>
      </c>
      <c r="N121" s="231">
        <v>30</v>
      </c>
      <c r="O121" s="231">
        <f t="shared" si="25"/>
        <v>30</v>
      </c>
      <c r="P121" s="231">
        <v>25</v>
      </c>
      <c r="Q121" s="231">
        <v>25</v>
      </c>
      <c r="R121" s="270"/>
      <c r="S121" s="270"/>
      <c r="T121" s="271">
        <v>15</v>
      </c>
      <c r="U121" s="271">
        <v>10</v>
      </c>
      <c r="V121" s="271">
        <v>10</v>
      </c>
    </row>
    <row r="122" spans="1:22" x14ac:dyDescent="0.3">
      <c r="A122" s="280" t="s">
        <v>323</v>
      </c>
      <c r="B122" s="270">
        <v>4</v>
      </c>
      <c r="C122" s="270">
        <v>899</v>
      </c>
      <c r="D122" s="272">
        <v>70</v>
      </c>
      <c r="E122" s="272">
        <v>70</v>
      </c>
      <c r="F122" s="270">
        <v>31</v>
      </c>
      <c r="G122" s="270">
        <f t="shared" si="24"/>
        <v>31</v>
      </c>
      <c r="H122" s="270">
        <v>32</v>
      </c>
      <c r="I122" s="270">
        <f t="shared" ref="I122:I125" si="26">H122</f>
        <v>32</v>
      </c>
      <c r="J122" s="231">
        <v>2095</v>
      </c>
      <c r="K122" s="231">
        <v>2095</v>
      </c>
      <c r="L122" s="231">
        <v>2095</v>
      </c>
      <c r="M122" s="231">
        <v>2095</v>
      </c>
      <c r="N122" s="231">
        <v>31</v>
      </c>
      <c r="O122" s="231">
        <f t="shared" si="25"/>
        <v>31</v>
      </c>
      <c r="P122" s="231">
        <v>25</v>
      </c>
      <c r="Q122" s="231">
        <v>25</v>
      </c>
      <c r="R122" s="270"/>
      <c r="S122" s="270"/>
      <c r="T122" s="271">
        <v>15</v>
      </c>
      <c r="U122" s="271">
        <v>10</v>
      </c>
      <c r="V122" s="271">
        <v>10</v>
      </c>
    </row>
    <row r="123" spans="1:22" x14ac:dyDescent="0.3">
      <c r="A123" s="280" t="s">
        <v>323</v>
      </c>
      <c r="B123" s="270">
        <v>3</v>
      </c>
      <c r="C123" s="270">
        <v>898</v>
      </c>
      <c r="D123" s="272">
        <v>70</v>
      </c>
      <c r="E123" s="272">
        <v>70</v>
      </c>
      <c r="F123" s="270">
        <v>31</v>
      </c>
      <c r="G123" s="270">
        <f t="shared" si="24"/>
        <v>31</v>
      </c>
      <c r="H123" s="270">
        <v>33</v>
      </c>
      <c r="I123" s="270">
        <f t="shared" si="26"/>
        <v>33</v>
      </c>
      <c r="J123" s="231">
        <v>2095</v>
      </c>
      <c r="K123" s="231">
        <v>2095</v>
      </c>
      <c r="L123" s="231">
        <v>2095</v>
      </c>
      <c r="M123" s="231">
        <v>2095</v>
      </c>
      <c r="N123" s="231">
        <v>32</v>
      </c>
      <c r="O123" s="231">
        <f t="shared" si="25"/>
        <v>32</v>
      </c>
      <c r="P123" s="231">
        <v>25</v>
      </c>
      <c r="Q123" s="231">
        <v>25</v>
      </c>
      <c r="R123" s="270"/>
      <c r="S123" s="270"/>
      <c r="T123" s="271">
        <v>15</v>
      </c>
      <c r="U123" s="271">
        <v>10</v>
      </c>
      <c r="V123" s="271">
        <v>10</v>
      </c>
    </row>
    <row r="124" spans="1:22" x14ac:dyDescent="0.3">
      <c r="A124" s="280" t="s">
        <v>323</v>
      </c>
      <c r="B124" s="270">
        <v>2</v>
      </c>
      <c r="C124" s="270">
        <v>898</v>
      </c>
      <c r="D124" s="272">
        <v>70</v>
      </c>
      <c r="E124" s="272">
        <v>70</v>
      </c>
      <c r="F124" s="270">
        <v>32</v>
      </c>
      <c r="G124" s="270">
        <f t="shared" si="24"/>
        <v>32</v>
      </c>
      <c r="H124" s="270">
        <v>32</v>
      </c>
      <c r="I124" s="270">
        <f t="shared" si="26"/>
        <v>32</v>
      </c>
      <c r="J124" s="231">
        <v>2095</v>
      </c>
      <c r="K124" s="231">
        <v>2095</v>
      </c>
      <c r="L124" s="231">
        <v>2095</v>
      </c>
      <c r="M124" s="231">
        <v>2095</v>
      </c>
      <c r="N124" s="231">
        <v>30</v>
      </c>
      <c r="O124" s="231">
        <f t="shared" si="25"/>
        <v>30</v>
      </c>
      <c r="P124" s="231">
        <v>25</v>
      </c>
      <c r="Q124" s="231">
        <v>25</v>
      </c>
      <c r="R124" s="270"/>
      <c r="S124" s="270"/>
      <c r="T124" s="271">
        <v>15</v>
      </c>
      <c r="U124" s="271">
        <v>10</v>
      </c>
      <c r="V124" s="271">
        <v>10</v>
      </c>
    </row>
    <row r="125" spans="1:22" x14ac:dyDescent="0.3">
      <c r="A125" s="280" t="s">
        <v>323</v>
      </c>
      <c r="B125" s="270" t="s">
        <v>325</v>
      </c>
      <c r="C125" s="270">
        <v>891</v>
      </c>
      <c r="D125" s="270">
        <v>80</v>
      </c>
      <c r="E125" s="270">
        <v>80</v>
      </c>
      <c r="F125" s="270">
        <v>39</v>
      </c>
      <c r="G125" s="270">
        <f t="shared" si="24"/>
        <v>39</v>
      </c>
      <c r="H125" s="270">
        <v>45</v>
      </c>
      <c r="I125" s="270">
        <f t="shared" si="26"/>
        <v>45</v>
      </c>
      <c r="J125" s="231">
        <v>2094</v>
      </c>
      <c r="K125" s="231">
        <v>2094</v>
      </c>
      <c r="L125" s="231">
        <v>2094</v>
      </c>
      <c r="M125" s="231">
        <v>2094</v>
      </c>
      <c r="N125" s="231">
        <v>25</v>
      </c>
      <c r="O125" s="231">
        <f t="shared" si="25"/>
        <v>25</v>
      </c>
      <c r="P125" s="231">
        <v>25</v>
      </c>
      <c r="Q125" s="231">
        <v>25</v>
      </c>
      <c r="R125" s="270"/>
      <c r="S125" s="270"/>
      <c r="T125" s="271">
        <v>15</v>
      </c>
      <c r="U125" s="271">
        <v>10</v>
      </c>
      <c r="V125" s="271">
        <v>10</v>
      </c>
    </row>
    <row r="126" spans="1:22" x14ac:dyDescent="0.3">
      <c r="A126" s="280"/>
      <c r="B126" s="270"/>
      <c r="C126" s="270"/>
      <c r="D126" s="270"/>
      <c r="E126" s="270"/>
      <c r="F126" s="270"/>
      <c r="G126" s="270"/>
      <c r="H126" s="270"/>
      <c r="I126" s="270"/>
      <c r="J126" s="231"/>
      <c r="K126" s="231"/>
      <c r="L126" s="231"/>
      <c r="M126" s="231"/>
      <c r="N126" s="231"/>
      <c r="O126" s="231"/>
      <c r="P126" s="231"/>
      <c r="Q126" s="231"/>
      <c r="R126" s="270"/>
      <c r="S126" s="270"/>
      <c r="T126" s="269"/>
      <c r="U126" s="269"/>
      <c r="V126" s="269"/>
    </row>
    <row r="127" spans="1:22" x14ac:dyDescent="0.3">
      <c r="A127" s="280"/>
      <c r="B127" s="270"/>
      <c r="C127" s="270"/>
      <c r="D127" s="270"/>
      <c r="E127" s="270"/>
      <c r="F127" s="270"/>
      <c r="G127" s="270"/>
      <c r="H127" s="270"/>
      <c r="I127" s="270"/>
      <c r="J127" s="231"/>
      <c r="K127" s="231"/>
      <c r="L127" s="231"/>
      <c r="M127" s="231"/>
      <c r="N127" s="231"/>
      <c r="O127" s="231"/>
      <c r="P127" s="231"/>
      <c r="Q127" s="231"/>
      <c r="R127" s="270"/>
      <c r="S127" s="270"/>
      <c r="T127" s="269"/>
      <c r="U127" s="269"/>
      <c r="V127" s="269"/>
    </row>
    <row r="128" spans="1:22" x14ac:dyDescent="0.3">
      <c r="A128" s="280"/>
      <c r="B128" s="270"/>
      <c r="C128" s="270"/>
      <c r="D128" s="270"/>
      <c r="E128" s="270"/>
      <c r="F128" s="270"/>
      <c r="G128" s="270"/>
      <c r="H128" s="270"/>
      <c r="I128" s="270"/>
      <c r="J128" s="231"/>
      <c r="K128" s="231"/>
      <c r="L128" s="231"/>
      <c r="M128" s="231"/>
      <c r="N128" s="231"/>
      <c r="O128" s="231"/>
      <c r="P128" s="231"/>
      <c r="Q128" s="231"/>
      <c r="R128" s="270"/>
      <c r="S128" s="270"/>
      <c r="T128" s="269"/>
      <c r="U128" s="269"/>
      <c r="V128" s="269"/>
    </row>
    <row r="129" spans="1:22" x14ac:dyDescent="0.3">
      <c r="A129" s="280"/>
      <c r="B129" s="270"/>
      <c r="C129" s="270"/>
      <c r="D129" s="270"/>
      <c r="E129" s="270"/>
      <c r="F129" s="270"/>
      <c r="G129" s="270"/>
      <c r="H129" s="270"/>
      <c r="I129" s="270"/>
      <c r="J129" s="231"/>
      <c r="K129" s="231"/>
      <c r="L129" s="231"/>
      <c r="M129" s="231"/>
      <c r="N129" s="231"/>
      <c r="O129" s="231"/>
      <c r="P129" s="231"/>
      <c r="Q129" s="231"/>
      <c r="R129" s="270"/>
      <c r="S129" s="270"/>
      <c r="T129" s="269"/>
      <c r="U129" s="269"/>
      <c r="V129" s="269"/>
    </row>
    <row r="130" spans="1:22" x14ac:dyDescent="0.3">
      <c r="A130" s="280"/>
      <c r="B130" s="270"/>
      <c r="C130" s="270"/>
      <c r="D130" s="270"/>
      <c r="E130" s="270"/>
      <c r="F130" s="270"/>
      <c r="G130" s="270"/>
      <c r="H130" s="270"/>
      <c r="I130" s="270"/>
      <c r="J130" s="231"/>
      <c r="K130" s="231"/>
      <c r="L130" s="231"/>
      <c r="M130" s="231"/>
      <c r="N130" s="231"/>
      <c r="O130" s="231"/>
      <c r="P130" s="231"/>
      <c r="Q130" s="231"/>
      <c r="R130" s="270"/>
      <c r="S130" s="270"/>
      <c r="T130" s="269"/>
      <c r="U130" s="269"/>
      <c r="V130" s="269"/>
    </row>
    <row r="131" spans="1:22" x14ac:dyDescent="0.3">
      <c r="A131" s="280"/>
      <c r="B131" s="270"/>
      <c r="C131" s="270"/>
      <c r="D131" s="270"/>
      <c r="E131" s="270"/>
      <c r="F131" s="270"/>
      <c r="G131" s="270"/>
      <c r="H131" s="270"/>
      <c r="I131" s="270"/>
      <c r="J131" s="231"/>
      <c r="K131" s="231"/>
      <c r="L131" s="231"/>
      <c r="M131" s="231"/>
      <c r="N131" s="231"/>
      <c r="O131" s="231"/>
      <c r="P131" s="231"/>
      <c r="Q131" s="231"/>
      <c r="R131" s="270"/>
      <c r="S131" s="270"/>
      <c r="T131" s="269"/>
      <c r="U131" s="269"/>
      <c r="V131" s="269"/>
    </row>
    <row r="132" spans="1:22" x14ac:dyDescent="0.3">
      <c r="A132" s="280"/>
      <c r="B132" s="270"/>
      <c r="C132" s="270"/>
      <c r="D132" s="270"/>
      <c r="E132" s="270"/>
      <c r="F132" s="270"/>
      <c r="G132" s="270"/>
      <c r="H132" s="270"/>
      <c r="I132" s="270"/>
      <c r="J132" s="231"/>
      <c r="K132" s="231"/>
      <c r="L132" s="231"/>
      <c r="M132" s="231"/>
      <c r="N132" s="231"/>
      <c r="O132" s="231"/>
      <c r="P132" s="231"/>
      <c r="Q132" s="231"/>
      <c r="R132" s="270"/>
      <c r="S132" s="270"/>
      <c r="T132" s="269"/>
      <c r="U132" s="269"/>
      <c r="V132" s="269"/>
    </row>
    <row r="133" spans="1:22" x14ac:dyDescent="0.3">
      <c r="A133" s="280"/>
      <c r="B133" s="270"/>
      <c r="C133" s="270"/>
      <c r="D133" s="270"/>
      <c r="E133" s="270"/>
      <c r="F133" s="270"/>
      <c r="G133" s="270"/>
      <c r="H133" s="270"/>
      <c r="I133" s="270"/>
      <c r="J133" s="231"/>
      <c r="K133" s="231"/>
      <c r="L133" s="231"/>
      <c r="M133" s="231"/>
      <c r="N133" s="231"/>
      <c r="O133" s="231"/>
      <c r="P133" s="231"/>
      <c r="Q133" s="231"/>
      <c r="R133" s="270"/>
      <c r="S133" s="270"/>
      <c r="T133" s="269"/>
      <c r="U133" s="269"/>
      <c r="V133" s="269"/>
    </row>
    <row r="134" spans="1:22" x14ac:dyDescent="0.3">
      <c r="A134" s="280"/>
      <c r="B134" s="270"/>
      <c r="C134" s="270"/>
      <c r="D134" s="270"/>
      <c r="E134" s="270"/>
      <c r="F134" s="270"/>
      <c r="G134" s="270"/>
      <c r="H134" s="270"/>
      <c r="I134" s="270"/>
      <c r="J134" s="231"/>
      <c r="K134" s="231"/>
      <c r="L134" s="231"/>
      <c r="M134" s="231"/>
      <c r="N134" s="231"/>
      <c r="O134" s="231"/>
      <c r="P134" s="231"/>
      <c r="Q134" s="231"/>
      <c r="R134" s="270"/>
      <c r="S134" s="270"/>
      <c r="T134" s="269"/>
      <c r="U134" s="269"/>
      <c r="V134" s="269"/>
    </row>
    <row r="135" spans="1:22" x14ac:dyDescent="0.3">
      <c r="A135" s="280"/>
      <c r="B135" s="270"/>
      <c r="C135" s="270"/>
      <c r="D135" s="270"/>
      <c r="E135" s="270"/>
      <c r="F135" s="270"/>
      <c r="G135" s="270"/>
      <c r="H135" s="270"/>
      <c r="I135" s="270"/>
      <c r="J135" s="231"/>
      <c r="K135" s="231"/>
      <c r="L135" s="231"/>
      <c r="M135" s="231"/>
      <c r="N135" s="231"/>
      <c r="O135" s="231"/>
      <c r="P135" s="231"/>
      <c r="Q135" s="231"/>
      <c r="R135" s="270"/>
      <c r="S135" s="270"/>
      <c r="T135" s="269"/>
      <c r="U135" s="269"/>
      <c r="V135" s="269"/>
    </row>
    <row r="136" spans="1:22" x14ac:dyDescent="0.3">
      <c r="A136" s="280"/>
      <c r="B136" s="270"/>
      <c r="C136" s="270"/>
      <c r="D136" s="270"/>
      <c r="E136" s="270"/>
      <c r="F136" s="270"/>
      <c r="G136" s="270"/>
      <c r="H136" s="270"/>
      <c r="I136" s="270"/>
      <c r="J136" s="231"/>
      <c r="K136" s="231"/>
      <c r="L136" s="231"/>
      <c r="M136" s="231"/>
      <c r="N136" s="231"/>
      <c r="O136" s="231"/>
      <c r="P136" s="231"/>
      <c r="Q136" s="231"/>
      <c r="R136" s="270"/>
      <c r="S136" s="270"/>
      <c r="T136" s="269"/>
      <c r="U136" s="269"/>
      <c r="V136" s="269"/>
    </row>
    <row r="137" spans="1:22" x14ac:dyDescent="0.3">
      <c r="A137" s="280"/>
      <c r="B137" s="270"/>
      <c r="C137" s="270"/>
      <c r="D137" s="270"/>
      <c r="E137" s="270"/>
      <c r="F137" s="270"/>
      <c r="G137" s="270"/>
      <c r="H137" s="270"/>
      <c r="I137" s="270"/>
      <c r="J137" s="231"/>
      <c r="K137" s="231"/>
      <c r="L137" s="231"/>
      <c r="M137" s="231"/>
      <c r="N137" s="231"/>
      <c r="O137" s="231"/>
      <c r="P137" s="231"/>
      <c r="Q137" s="231"/>
      <c r="R137" s="270"/>
      <c r="S137" s="270"/>
      <c r="T137" s="269"/>
      <c r="U137" s="269"/>
      <c r="V137" s="269"/>
    </row>
    <row r="138" spans="1:22" x14ac:dyDescent="0.3">
      <c r="A138" s="280"/>
      <c r="B138" s="270"/>
      <c r="C138" s="270"/>
      <c r="D138" s="270"/>
      <c r="E138" s="270"/>
      <c r="F138" s="270"/>
      <c r="G138" s="270"/>
      <c r="H138" s="270"/>
      <c r="I138" s="270"/>
      <c r="J138" s="231"/>
      <c r="K138" s="231"/>
      <c r="L138" s="231"/>
      <c r="M138" s="231"/>
      <c r="N138" s="231"/>
      <c r="O138" s="231"/>
      <c r="P138" s="231"/>
      <c r="Q138" s="231"/>
      <c r="R138" s="270"/>
      <c r="S138" s="270"/>
      <c r="T138" s="269"/>
      <c r="U138" s="269"/>
      <c r="V138" s="269"/>
    </row>
    <row r="139" spans="1:22" x14ac:dyDescent="0.3">
      <c r="A139" s="280"/>
      <c r="B139" s="270"/>
      <c r="C139" s="270"/>
      <c r="D139" s="270"/>
      <c r="E139" s="270"/>
      <c r="F139" s="270"/>
      <c r="G139" s="270"/>
      <c r="H139" s="270"/>
      <c r="I139" s="270"/>
      <c r="J139" s="231"/>
      <c r="K139" s="231"/>
      <c r="L139" s="231"/>
      <c r="M139" s="231"/>
      <c r="N139" s="231"/>
      <c r="O139" s="231"/>
      <c r="P139" s="231"/>
      <c r="Q139" s="231"/>
      <c r="R139" s="270"/>
      <c r="S139" s="270"/>
      <c r="T139" s="269"/>
      <c r="U139" s="269"/>
      <c r="V139" s="269"/>
    </row>
    <row r="140" spans="1:22" x14ac:dyDescent="0.3">
      <c r="A140" s="280"/>
      <c r="B140" s="270"/>
      <c r="C140" s="270"/>
      <c r="D140" s="270"/>
      <c r="E140" s="270"/>
      <c r="F140" s="270"/>
      <c r="G140" s="270"/>
      <c r="H140" s="270"/>
      <c r="I140" s="270"/>
      <c r="J140" s="231"/>
      <c r="K140" s="231"/>
      <c r="L140" s="231"/>
      <c r="M140" s="231"/>
      <c r="N140" s="231"/>
      <c r="O140" s="231"/>
      <c r="P140" s="231"/>
      <c r="Q140" s="231"/>
      <c r="R140" s="270"/>
      <c r="S140" s="270"/>
      <c r="T140" s="269"/>
      <c r="U140" s="269"/>
      <c r="V140" s="269"/>
    </row>
    <row r="141" spans="1:22" x14ac:dyDescent="0.3">
      <c r="A141" s="280"/>
      <c r="B141" s="270"/>
      <c r="C141" s="270"/>
      <c r="D141" s="270"/>
      <c r="E141" s="270"/>
      <c r="F141" s="270"/>
      <c r="G141" s="270"/>
      <c r="H141" s="270"/>
      <c r="I141" s="270"/>
      <c r="J141" s="231"/>
      <c r="K141" s="231"/>
      <c r="L141" s="231"/>
      <c r="M141" s="231"/>
      <c r="N141" s="231"/>
      <c r="O141" s="231"/>
      <c r="P141" s="231"/>
      <c r="Q141" s="231"/>
      <c r="R141" s="270"/>
      <c r="S141" s="270"/>
      <c r="T141" s="269"/>
      <c r="U141" s="269"/>
      <c r="V141" s="269"/>
    </row>
    <row r="142" spans="1:22" x14ac:dyDescent="0.3">
      <c r="A142" s="280"/>
      <c r="B142" s="270"/>
      <c r="C142" s="270"/>
      <c r="D142" s="270"/>
      <c r="E142" s="270"/>
      <c r="F142" s="270"/>
      <c r="G142" s="270"/>
      <c r="H142" s="270"/>
      <c r="I142" s="270"/>
      <c r="J142" s="231"/>
      <c r="K142" s="231"/>
      <c r="L142" s="231"/>
      <c r="M142" s="231"/>
      <c r="N142" s="231"/>
      <c r="O142" s="231"/>
      <c r="P142" s="231"/>
      <c r="Q142" s="231"/>
      <c r="R142" s="270"/>
      <c r="S142" s="270"/>
      <c r="T142" s="269"/>
      <c r="U142" s="269"/>
      <c r="V142" s="269"/>
    </row>
    <row r="143" spans="1:22" x14ac:dyDescent="0.3">
      <c r="A143" s="280"/>
      <c r="B143" s="270"/>
      <c r="C143" s="270"/>
      <c r="D143" s="270"/>
      <c r="E143" s="270"/>
      <c r="F143" s="270"/>
      <c r="G143" s="270"/>
      <c r="H143" s="270"/>
      <c r="I143" s="270"/>
      <c r="J143" s="231"/>
      <c r="K143" s="231"/>
      <c r="L143" s="231"/>
      <c r="M143" s="231"/>
      <c r="N143" s="231"/>
      <c r="O143" s="231"/>
      <c r="P143" s="231"/>
      <c r="Q143" s="231"/>
      <c r="R143" s="270"/>
      <c r="S143" s="270"/>
      <c r="T143" s="269"/>
      <c r="U143" s="269"/>
      <c r="V143" s="269"/>
    </row>
    <row r="144" spans="1:22" x14ac:dyDescent="0.3">
      <c r="A144" s="280"/>
      <c r="B144" s="270"/>
      <c r="C144" s="270"/>
      <c r="D144" s="270"/>
      <c r="E144" s="270"/>
      <c r="F144" s="270"/>
      <c r="G144" s="270"/>
      <c r="H144" s="270"/>
      <c r="I144" s="270"/>
      <c r="J144" s="231"/>
      <c r="K144" s="231"/>
      <c r="L144" s="231"/>
      <c r="M144" s="231"/>
      <c r="N144" s="231"/>
      <c r="O144" s="231"/>
      <c r="P144" s="231"/>
      <c r="Q144" s="231"/>
      <c r="R144" s="270"/>
      <c r="S144" s="270"/>
      <c r="T144" s="269"/>
      <c r="U144" s="269"/>
      <c r="V144" s="269"/>
    </row>
    <row r="145" spans="1:22" x14ac:dyDescent="0.3">
      <c r="A145" s="280"/>
      <c r="B145" s="270"/>
      <c r="C145" s="270"/>
      <c r="D145" s="270"/>
      <c r="E145" s="270"/>
      <c r="F145" s="270"/>
      <c r="G145" s="270"/>
      <c r="H145" s="270"/>
      <c r="I145" s="270"/>
      <c r="J145" s="231"/>
      <c r="K145" s="231"/>
      <c r="L145" s="231"/>
      <c r="M145" s="231"/>
      <c r="N145" s="231"/>
      <c r="O145" s="231"/>
      <c r="P145" s="231"/>
      <c r="Q145" s="231"/>
      <c r="R145" s="270"/>
      <c r="S145" s="270"/>
      <c r="T145" s="269"/>
      <c r="U145" s="269"/>
      <c r="V145" s="269"/>
    </row>
    <row r="146" spans="1:22" x14ac:dyDescent="0.3">
      <c r="A146" s="280"/>
      <c r="B146" s="270"/>
      <c r="C146" s="270"/>
      <c r="D146" s="270"/>
      <c r="E146" s="270"/>
      <c r="F146" s="270"/>
      <c r="G146" s="270"/>
      <c r="H146" s="270"/>
      <c r="I146" s="270"/>
      <c r="J146" s="231"/>
      <c r="K146" s="231"/>
      <c r="L146" s="231"/>
      <c r="M146" s="231"/>
      <c r="N146" s="231"/>
      <c r="O146" s="231"/>
      <c r="P146" s="231"/>
      <c r="Q146" s="231"/>
      <c r="R146" s="270"/>
      <c r="S146" s="270"/>
      <c r="T146" s="269"/>
      <c r="U146" s="269"/>
      <c r="V146" s="269"/>
    </row>
    <row r="147" spans="1:22" x14ac:dyDescent="0.3">
      <c r="A147" s="280"/>
      <c r="B147" s="270"/>
      <c r="C147" s="270"/>
      <c r="D147" s="270"/>
      <c r="E147" s="270"/>
      <c r="F147" s="270"/>
      <c r="G147" s="270"/>
      <c r="H147" s="270"/>
      <c r="I147" s="270"/>
      <c r="J147" s="231"/>
      <c r="K147" s="231"/>
      <c r="L147" s="231"/>
      <c r="M147" s="231"/>
      <c r="N147" s="231"/>
      <c r="O147" s="231"/>
      <c r="P147" s="231"/>
      <c r="Q147" s="231"/>
      <c r="R147" s="270"/>
      <c r="S147" s="270"/>
      <c r="T147" s="269"/>
      <c r="U147" s="269"/>
      <c r="V147" s="269"/>
    </row>
    <row r="148" spans="1:22" x14ac:dyDescent="0.3">
      <c r="A148" s="280"/>
      <c r="B148" s="270"/>
      <c r="C148" s="270"/>
      <c r="D148" s="270"/>
      <c r="E148" s="270"/>
      <c r="F148" s="270"/>
      <c r="G148" s="270"/>
      <c r="H148" s="270"/>
      <c r="I148" s="270"/>
      <c r="J148" s="231"/>
      <c r="K148" s="231"/>
      <c r="L148" s="231"/>
      <c r="M148" s="231"/>
      <c r="N148" s="231"/>
      <c r="O148" s="231"/>
      <c r="P148" s="231"/>
      <c r="Q148" s="231"/>
      <c r="R148" s="270"/>
      <c r="S148" s="270"/>
      <c r="T148" s="269"/>
      <c r="U148" s="269"/>
      <c r="V148" s="269"/>
    </row>
    <row r="149" spans="1:22" x14ac:dyDescent="0.3">
      <c r="A149" s="280"/>
      <c r="B149" s="270"/>
      <c r="C149" s="270"/>
      <c r="D149" s="270"/>
      <c r="E149" s="270"/>
      <c r="F149" s="270"/>
      <c r="G149" s="270"/>
      <c r="H149" s="270"/>
      <c r="I149" s="270"/>
      <c r="J149" s="231"/>
      <c r="K149" s="231"/>
      <c r="L149" s="231"/>
      <c r="M149" s="231"/>
      <c r="N149" s="231"/>
      <c r="O149" s="231"/>
      <c r="P149" s="231"/>
      <c r="Q149" s="231"/>
      <c r="R149" s="270"/>
      <c r="S149" s="270"/>
      <c r="T149" s="269"/>
      <c r="U149" s="269"/>
      <c r="V149" s="269"/>
    </row>
    <row r="150" spans="1:22" x14ac:dyDescent="0.3">
      <c r="A150" s="280"/>
      <c r="B150" s="270"/>
      <c r="C150" s="270"/>
      <c r="D150" s="270"/>
      <c r="E150" s="270"/>
      <c r="F150" s="270"/>
      <c r="G150" s="270"/>
      <c r="H150" s="270"/>
      <c r="I150" s="270"/>
      <c r="J150" s="231"/>
      <c r="K150" s="231"/>
      <c r="L150" s="231"/>
      <c r="M150" s="231"/>
      <c r="N150" s="231"/>
      <c r="O150" s="231"/>
      <c r="P150" s="231"/>
      <c r="Q150" s="231"/>
      <c r="R150" s="270"/>
      <c r="S150" s="270"/>
      <c r="T150" s="269"/>
      <c r="U150" s="269"/>
      <c r="V150" s="269"/>
    </row>
    <row r="151" spans="1:22" x14ac:dyDescent="0.3">
      <c r="A151" s="280"/>
      <c r="B151" s="270"/>
      <c r="C151" s="270"/>
      <c r="D151" s="270"/>
      <c r="E151" s="270"/>
      <c r="F151" s="270"/>
      <c r="G151" s="270"/>
      <c r="H151" s="270"/>
      <c r="I151" s="270"/>
      <c r="J151" s="231"/>
      <c r="K151" s="231"/>
      <c r="L151" s="231"/>
      <c r="M151" s="231"/>
      <c r="N151" s="231"/>
      <c r="O151" s="231"/>
      <c r="P151" s="231"/>
      <c r="Q151" s="231"/>
      <c r="R151" s="270"/>
      <c r="S151" s="270"/>
      <c r="T151" s="269"/>
      <c r="U151" s="269"/>
      <c r="V151" s="269"/>
    </row>
    <row r="152" spans="1:22" x14ac:dyDescent="0.3">
      <c r="A152" s="280"/>
      <c r="B152" s="270"/>
      <c r="C152" s="270"/>
      <c r="D152" s="270"/>
      <c r="E152" s="270"/>
      <c r="F152" s="270"/>
      <c r="G152" s="270"/>
      <c r="H152" s="270"/>
      <c r="I152" s="270"/>
      <c r="J152" s="231"/>
      <c r="K152" s="231"/>
      <c r="L152" s="231"/>
      <c r="M152" s="231"/>
      <c r="N152" s="231"/>
      <c r="O152" s="231"/>
      <c r="P152" s="231"/>
      <c r="Q152" s="231"/>
      <c r="R152" s="270"/>
      <c r="S152" s="270"/>
      <c r="T152" s="269"/>
      <c r="U152" s="269"/>
      <c r="V152" s="269"/>
    </row>
    <row r="153" spans="1:22" x14ac:dyDescent="0.3">
      <c r="A153" s="280"/>
      <c r="B153" s="270"/>
      <c r="C153" s="270"/>
      <c r="D153" s="270"/>
      <c r="E153" s="270"/>
      <c r="F153" s="270"/>
      <c r="G153" s="270"/>
      <c r="H153" s="270"/>
      <c r="I153" s="270"/>
      <c r="J153" s="231"/>
      <c r="K153" s="231"/>
      <c r="L153" s="231"/>
      <c r="M153" s="231"/>
      <c r="N153" s="231"/>
      <c r="O153" s="231"/>
      <c r="P153" s="231"/>
      <c r="Q153" s="231"/>
      <c r="R153" s="270"/>
      <c r="S153" s="270"/>
      <c r="T153" s="269"/>
      <c r="U153" s="269"/>
      <c r="V153" s="269"/>
    </row>
    <row r="154" spans="1:22" x14ac:dyDescent="0.3">
      <c r="A154" s="280"/>
      <c r="B154" s="270"/>
      <c r="C154" s="270"/>
      <c r="D154" s="270"/>
      <c r="E154" s="270"/>
      <c r="F154" s="270"/>
      <c r="G154" s="270"/>
      <c r="H154" s="270"/>
      <c r="I154" s="270"/>
      <c r="J154" s="231"/>
      <c r="K154" s="231"/>
      <c r="L154" s="231"/>
      <c r="M154" s="231"/>
      <c r="N154" s="231"/>
      <c r="O154" s="231"/>
      <c r="P154" s="231"/>
      <c r="Q154" s="231"/>
      <c r="R154" s="270"/>
      <c r="S154" s="270"/>
      <c r="T154" s="269"/>
      <c r="U154" s="269"/>
      <c r="V154" s="269"/>
    </row>
    <row r="155" spans="1:22" x14ac:dyDescent="0.3">
      <c r="A155" s="280"/>
      <c r="B155" s="270"/>
      <c r="C155" s="270"/>
      <c r="D155" s="270"/>
      <c r="E155" s="270"/>
      <c r="F155" s="270"/>
      <c r="G155" s="270"/>
      <c r="H155" s="270"/>
      <c r="I155" s="270"/>
      <c r="J155" s="231"/>
      <c r="K155" s="231"/>
      <c r="L155" s="231"/>
      <c r="M155" s="231"/>
      <c r="N155" s="231"/>
      <c r="O155" s="231"/>
      <c r="P155" s="231"/>
      <c r="Q155" s="231"/>
      <c r="R155" s="270"/>
      <c r="S155" s="270"/>
      <c r="T155" s="269"/>
      <c r="U155" s="269"/>
      <c r="V155" s="269"/>
    </row>
    <row r="156" spans="1:22" x14ac:dyDescent="0.3">
      <c r="A156" s="280"/>
      <c r="B156" s="270"/>
      <c r="C156" s="270"/>
      <c r="D156" s="270"/>
      <c r="E156" s="270"/>
      <c r="F156" s="270"/>
      <c r="G156" s="270"/>
      <c r="H156" s="270"/>
      <c r="I156" s="270"/>
      <c r="J156" s="231"/>
      <c r="K156" s="231"/>
      <c r="L156" s="231"/>
      <c r="M156" s="231"/>
      <c r="N156" s="231"/>
      <c r="O156" s="231"/>
      <c r="P156" s="231"/>
      <c r="Q156" s="231"/>
      <c r="R156" s="270"/>
      <c r="S156" s="270"/>
      <c r="T156" s="269"/>
      <c r="U156" s="269"/>
      <c r="V156" s="269"/>
    </row>
    <row r="157" spans="1:22" x14ac:dyDescent="0.3">
      <c r="A157" s="280"/>
      <c r="B157" s="270"/>
      <c r="C157" s="270"/>
      <c r="D157" s="270"/>
      <c r="E157" s="270"/>
      <c r="F157" s="270"/>
      <c r="G157" s="270"/>
      <c r="H157" s="270"/>
      <c r="I157" s="270"/>
      <c r="J157" s="231"/>
      <c r="K157" s="231"/>
      <c r="L157" s="231"/>
      <c r="M157" s="231"/>
      <c r="N157" s="231"/>
      <c r="O157" s="231"/>
      <c r="P157" s="231"/>
      <c r="Q157" s="231"/>
      <c r="R157" s="270"/>
      <c r="S157" s="270"/>
      <c r="T157" s="269"/>
      <c r="U157" s="269"/>
      <c r="V157" s="269"/>
    </row>
    <row r="158" spans="1:22" x14ac:dyDescent="0.3">
      <c r="A158" s="280"/>
      <c r="B158" s="270"/>
      <c r="C158" s="270"/>
      <c r="D158" s="270"/>
      <c r="E158" s="270"/>
      <c r="F158" s="270"/>
      <c r="G158" s="270"/>
      <c r="H158" s="270"/>
      <c r="I158" s="270"/>
      <c r="J158" s="231"/>
      <c r="K158" s="231"/>
      <c r="L158" s="231"/>
      <c r="M158" s="231"/>
      <c r="N158" s="231"/>
      <c r="O158" s="231"/>
      <c r="P158" s="231"/>
      <c r="Q158" s="231"/>
      <c r="R158" s="270"/>
      <c r="S158" s="270"/>
      <c r="T158" s="269"/>
      <c r="U158" s="269"/>
      <c r="V158" s="269"/>
    </row>
    <row r="159" spans="1:22" x14ac:dyDescent="0.3">
      <c r="A159" s="280"/>
      <c r="B159" s="270"/>
      <c r="C159" s="270"/>
      <c r="D159" s="270"/>
      <c r="E159" s="270"/>
      <c r="F159" s="270"/>
      <c r="G159" s="270"/>
      <c r="H159" s="270"/>
      <c r="I159" s="270"/>
      <c r="J159" s="231"/>
      <c r="K159" s="231"/>
      <c r="L159" s="231"/>
      <c r="M159" s="231"/>
      <c r="N159" s="231"/>
      <c r="O159" s="231"/>
      <c r="P159" s="231"/>
      <c r="Q159" s="231"/>
      <c r="R159" s="270"/>
      <c r="S159" s="270"/>
      <c r="T159" s="269"/>
      <c r="U159" s="269"/>
      <c r="V159" s="269"/>
    </row>
    <row r="160" spans="1:22" x14ac:dyDescent="0.3">
      <c r="A160" s="280"/>
      <c r="B160" s="270"/>
      <c r="C160" s="270"/>
      <c r="D160" s="270"/>
      <c r="E160" s="270"/>
      <c r="F160" s="270"/>
      <c r="G160" s="270"/>
      <c r="H160" s="270"/>
      <c r="I160" s="270"/>
      <c r="J160" s="231"/>
      <c r="K160" s="231"/>
      <c r="L160" s="231"/>
      <c r="M160" s="231"/>
      <c r="N160" s="231"/>
      <c r="O160" s="231"/>
      <c r="P160" s="231"/>
      <c r="Q160" s="231"/>
      <c r="R160" s="270"/>
      <c r="S160" s="270"/>
      <c r="T160" s="269"/>
      <c r="U160" s="269"/>
      <c r="V160" s="269"/>
    </row>
    <row r="161" spans="1:22" x14ac:dyDescent="0.3">
      <c r="A161" s="280"/>
      <c r="B161" s="270"/>
      <c r="C161" s="270"/>
      <c r="D161" s="270"/>
      <c r="E161" s="270"/>
      <c r="F161" s="270"/>
      <c r="G161" s="270"/>
      <c r="H161" s="270"/>
      <c r="I161" s="270"/>
      <c r="J161" s="231"/>
      <c r="K161" s="231"/>
      <c r="L161" s="231"/>
      <c r="M161" s="231"/>
      <c r="N161" s="231"/>
      <c r="O161" s="231"/>
      <c r="P161" s="231"/>
      <c r="Q161" s="231"/>
      <c r="R161" s="270"/>
      <c r="S161" s="270"/>
      <c r="T161" s="269"/>
      <c r="U161" s="269"/>
      <c r="V161" s="269"/>
    </row>
    <row r="162" spans="1:22" x14ac:dyDescent="0.3">
      <c r="A162" s="280"/>
      <c r="B162" s="270"/>
      <c r="C162" s="270"/>
      <c r="D162" s="270"/>
      <c r="E162" s="270"/>
      <c r="F162" s="270"/>
      <c r="G162" s="270"/>
      <c r="H162" s="270"/>
      <c r="I162" s="270"/>
      <c r="J162" s="231"/>
      <c r="K162" s="231"/>
      <c r="L162" s="231"/>
      <c r="M162" s="231"/>
      <c r="N162" s="231"/>
      <c r="O162" s="231"/>
      <c r="P162" s="231"/>
      <c r="Q162" s="231"/>
      <c r="R162" s="270"/>
      <c r="S162" s="270"/>
      <c r="T162" s="269"/>
      <c r="U162" s="269"/>
      <c r="V162" s="269"/>
    </row>
    <row r="163" spans="1:22" x14ac:dyDescent="0.3">
      <c r="A163" s="280"/>
      <c r="B163" s="270"/>
      <c r="C163" s="270"/>
      <c r="D163" s="270"/>
      <c r="E163" s="270"/>
      <c r="F163" s="270"/>
      <c r="G163" s="270"/>
      <c r="H163" s="270"/>
      <c r="I163" s="270"/>
      <c r="J163" s="231"/>
      <c r="K163" s="231"/>
      <c r="L163" s="231"/>
      <c r="M163" s="231"/>
      <c r="N163" s="231"/>
      <c r="O163" s="231"/>
      <c r="P163" s="231"/>
      <c r="Q163" s="231"/>
      <c r="R163" s="270"/>
      <c r="S163" s="270"/>
      <c r="T163" s="269"/>
      <c r="U163" s="269"/>
      <c r="V163" s="269"/>
    </row>
    <row r="164" spans="1:22" x14ac:dyDescent="0.3">
      <c r="A164" s="280"/>
      <c r="B164" s="270"/>
      <c r="C164" s="270"/>
      <c r="D164" s="270"/>
      <c r="E164" s="270"/>
      <c r="F164" s="270"/>
      <c r="G164" s="270"/>
      <c r="H164" s="270"/>
      <c r="I164" s="270"/>
      <c r="J164" s="231"/>
      <c r="K164" s="231"/>
      <c r="L164" s="231"/>
      <c r="M164" s="231"/>
      <c r="N164" s="231"/>
      <c r="O164" s="231"/>
      <c r="P164" s="231"/>
      <c r="Q164" s="231"/>
      <c r="R164" s="270"/>
      <c r="S164" s="270"/>
      <c r="T164" s="269"/>
      <c r="U164" s="269"/>
      <c r="V164" s="269"/>
    </row>
    <row r="165" spans="1:22" x14ac:dyDescent="0.3">
      <c r="A165" s="280"/>
      <c r="B165" s="270"/>
      <c r="C165" s="270"/>
      <c r="D165" s="270"/>
      <c r="E165" s="270"/>
      <c r="F165" s="270"/>
      <c r="G165" s="270"/>
      <c r="H165" s="270"/>
      <c r="I165" s="270"/>
      <c r="J165" s="231"/>
      <c r="K165" s="231"/>
      <c r="L165" s="231"/>
      <c r="M165" s="231"/>
      <c r="N165" s="231"/>
      <c r="O165" s="231"/>
      <c r="P165" s="231"/>
      <c r="Q165" s="231"/>
      <c r="R165" s="270"/>
      <c r="S165" s="270"/>
      <c r="T165" s="269"/>
      <c r="U165" s="269"/>
      <c r="V165" s="269"/>
    </row>
    <row r="166" spans="1:22" x14ac:dyDescent="0.3">
      <c r="A166" s="280"/>
      <c r="B166" s="270"/>
      <c r="C166" s="270"/>
      <c r="D166" s="270"/>
      <c r="E166" s="270"/>
      <c r="F166" s="270"/>
      <c r="G166" s="270"/>
      <c r="H166" s="270"/>
      <c r="I166" s="270"/>
      <c r="J166" s="231"/>
      <c r="K166" s="231"/>
      <c r="L166" s="231"/>
      <c r="M166" s="231"/>
      <c r="N166" s="231"/>
      <c r="O166" s="231"/>
      <c r="P166" s="231"/>
      <c r="Q166" s="231"/>
      <c r="R166" s="270"/>
      <c r="S166" s="270"/>
      <c r="T166" s="269"/>
      <c r="U166" s="269"/>
      <c r="V166" s="269"/>
    </row>
    <row r="167" spans="1:22" x14ac:dyDescent="0.3">
      <c r="A167" s="280"/>
      <c r="B167" s="270"/>
      <c r="C167" s="270"/>
      <c r="D167" s="270"/>
      <c r="E167" s="270"/>
      <c r="F167" s="270"/>
      <c r="G167" s="270"/>
      <c r="H167" s="270"/>
      <c r="I167" s="270"/>
      <c r="J167" s="231"/>
      <c r="K167" s="231"/>
      <c r="L167" s="231"/>
      <c r="M167" s="231"/>
      <c r="N167" s="231"/>
      <c r="O167" s="231"/>
      <c r="P167" s="231"/>
      <c r="Q167" s="231"/>
      <c r="R167" s="270"/>
      <c r="S167" s="270"/>
      <c r="T167" s="269"/>
      <c r="U167" s="269"/>
      <c r="V167" s="269"/>
    </row>
    <row r="168" spans="1:22" x14ac:dyDescent="0.3">
      <c r="A168" s="280"/>
      <c r="B168" s="270"/>
      <c r="C168" s="270"/>
      <c r="D168" s="270"/>
      <c r="E168" s="270"/>
      <c r="F168" s="270"/>
      <c r="G168" s="270"/>
      <c r="H168" s="270"/>
      <c r="I168" s="270"/>
      <c r="J168" s="231"/>
      <c r="K168" s="231"/>
      <c r="L168" s="231"/>
      <c r="M168" s="231"/>
      <c r="N168" s="231"/>
      <c r="O168" s="231"/>
      <c r="P168" s="231"/>
      <c r="Q168" s="231"/>
      <c r="R168" s="270"/>
      <c r="S168" s="270"/>
      <c r="T168" s="269"/>
      <c r="U168" s="269"/>
      <c r="V168" s="269"/>
    </row>
    <row r="169" spans="1:22" x14ac:dyDescent="0.3">
      <c r="A169" s="280"/>
      <c r="B169" s="270"/>
      <c r="C169" s="270"/>
      <c r="D169" s="270"/>
      <c r="E169" s="270"/>
      <c r="F169" s="270"/>
      <c r="G169" s="270"/>
      <c r="H169" s="270"/>
      <c r="I169" s="270"/>
      <c r="J169" s="231"/>
      <c r="K169" s="231"/>
      <c r="L169" s="231"/>
      <c r="M169" s="231"/>
      <c r="N169" s="231"/>
      <c r="O169" s="231"/>
      <c r="P169" s="231"/>
      <c r="Q169" s="231"/>
      <c r="R169" s="270"/>
      <c r="S169" s="270"/>
      <c r="T169" s="269"/>
      <c r="U169" s="269"/>
      <c r="V169" s="269"/>
    </row>
    <row r="170" spans="1:22" x14ac:dyDescent="0.3">
      <c r="A170" s="280"/>
      <c r="B170" s="270"/>
      <c r="C170" s="270"/>
      <c r="D170" s="270"/>
      <c r="E170" s="270"/>
      <c r="F170" s="270"/>
      <c r="G170" s="270"/>
      <c r="H170" s="270"/>
      <c r="I170" s="270"/>
      <c r="J170" s="231"/>
      <c r="K170" s="231"/>
      <c r="L170" s="231"/>
      <c r="M170" s="231"/>
      <c r="N170" s="231"/>
      <c r="O170" s="231"/>
      <c r="P170" s="231"/>
      <c r="Q170" s="231"/>
      <c r="R170" s="270"/>
      <c r="S170" s="270"/>
      <c r="T170" s="269"/>
      <c r="U170" s="269"/>
      <c r="V170" s="269"/>
    </row>
    <row r="171" spans="1:22" x14ac:dyDescent="0.3">
      <c r="A171" s="280"/>
      <c r="B171" s="270"/>
      <c r="C171" s="270"/>
      <c r="D171" s="270"/>
      <c r="E171" s="270"/>
      <c r="F171" s="270"/>
      <c r="G171" s="270"/>
      <c r="H171" s="270"/>
      <c r="I171" s="270"/>
      <c r="J171" s="231"/>
      <c r="K171" s="231"/>
      <c r="L171" s="231"/>
      <c r="M171" s="231"/>
      <c r="N171" s="231"/>
      <c r="O171" s="231"/>
      <c r="P171" s="231"/>
      <c r="Q171" s="231"/>
      <c r="R171" s="270"/>
      <c r="S171" s="270"/>
      <c r="T171" s="269"/>
      <c r="U171" s="269"/>
      <c r="V171" s="269"/>
    </row>
    <row r="172" spans="1:22" x14ac:dyDescent="0.3">
      <c r="A172" s="280"/>
      <c r="B172" s="270"/>
      <c r="C172" s="270"/>
      <c r="D172" s="270"/>
      <c r="E172" s="270"/>
      <c r="F172" s="270"/>
      <c r="G172" s="270"/>
      <c r="H172" s="270"/>
      <c r="I172" s="270"/>
      <c r="J172" s="231"/>
      <c r="K172" s="231"/>
      <c r="L172" s="231"/>
      <c r="M172" s="231"/>
      <c r="N172" s="231"/>
      <c r="O172" s="231"/>
      <c r="P172" s="231"/>
      <c r="Q172" s="231"/>
      <c r="R172" s="270"/>
      <c r="S172" s="270"/>
      <c r="T172" s="269"/>
      <c r="U172" s="269"/>
      <c r="V172" s="269"/>
    </row>
    <row r="173" spans="1:22" x14ac:dyDescent="0.3">
      <c r="A173" s="280"/>
      <c r="B173" s="270"/>
      <c r="C173" s="270"/>
      <c r="D173" s="270"/>
      <c r="E173" s="270"/>
      <c r="F173" s="270"/>
      <c r="G173" s="270"/>
      <c r="H173" s="270"/>
      <c r="I173" s="270"/>
      <c r="J173" s="231"/>
      <c r="K173" s="231"/>
      <c r="L173" s="231"/>
      <c r="M173" s="231"/>
      <c r="N173" s="231"/>
      <c r="O173" s="231"/>
      <c r="P173" s="231"/>
      <c r="Q173" s="231"/>
      <c r="R173" s="270"/>
      <c r="S173" s="270"/>
      <c r="T173" s="269"/>
      <c r="U173" s="269"/>
      <c r="V173" s="269"/>
    </row>
    <row r="174" spans="1:22" x14ac:dyDescent="0.3">
      <c r="A174" s="280"/>
      <c r="B174" s="270"/>
      <c r="C174" s="270"/>
      <c r="D174" s="270"/>
      <c r="E174" s="270"/>
      <c r="F174" s="270"/>
      <c r="G174" s="270"/>
      <c r="H174" s="270"/>
      <c r="I174" s="270"/>
      <c r="J174" s="231"/>
      <c r="K174" s="231"/>
      <c r="L174" s="231"/>
      <c r="M174" s="231"/>
      <c r="N174" s="231"/>
      <c r="O174" s="231"/>
      <c r="P174" s="231"/>
      <c r="Q174" s="231"/>
      <c r="R174" s="270"/>
      <c r="S174" s="270"/>
      <c r="T174" s="269"/>
      <c r="U174" s="269"/>
      <c r="V174" s="269"/>
    </row>
    <row r="175" spans="1:22" x14ac:dyDescent="0.3">
      <c r="A175" s="280"/>
      <c r="B175" s="270"/>
      <c r="C175" s="270"/>
      <c r="D175" s="270"/>
      <c r="E175" s="270"/>
      <c r="F175" s="270"/>
      <c r="G175" s="270"/>
      <c r="H175" s="270"/>
      <c r="I175" s="270"/>
      <c r="J175" s="231"/>
      <c r="K175" s="231"/>
      <c r="L175" s="231"/>
      <c r="M175" s="231"/>
      <c r="N175" s="231"/>
      <c r="O175" s="231"/>
      <c r="P175" s="231"/>
      <c r="Q175" s="231"/>
      <c r="R175" s="270"/>
      <c r="S175" s="270"/>
      <c r="T175" s="269"/>
      <c r="U175" s="269"/>
      <c r="V175" s="269"/>
    </row>
    <row r="176" spans="1:22" x14ac:dyDescent="0.3">
      <c r="A176" s="280"/>
      <c r="B176" s="270"/>
      <c r="C176" s="270"/>
      <c r="D176" s="270"/>
      <c r="E176" s="270"/>
      <c r="F176" s="270"/>
      <c r="G176" s="270"/>
      <c r="H176" s="270"/>
      <c r="I176" s="270"/>
      <c r="J176" s="231"/>
      <c r="K176" s="231"/>
      <c r="L176" s="231"/>
      <c r="M176" s="231"/>
      <c r="N176" s="231"/>
      <c r="O176" s="231"/>
      <c r="P176" s="231"/>
      <c r="Q176" s="231"/>
      <c r="R176" s="270"/>
      <c r="S176" s="270"/>
      <c r="T176" s="269"/>
      <c r="U176" s="269"/>
      <c r="V176" s="269"/>
    </row>
    <row r="177" spans="1:22" x14ac:dyDescent="0.3">
      <c r="A177" s="280"/>
      <c r="B177" s="270"/>
      <c r="C177" s="270"/>
      <c r="D177" s="270"/>
      <c r="E177" s="270"/>
      <c r="F177" s="270"/>
      <c r="G177" s="270"/>
      <c r="H177" s="270"/>
      <c r="I177" s="270"/>
      <c r="J177" s="231"/>
      <c r="K177" s="231"/>
      <c r="L177" s="231"/>
      <c r="M177" s="231"/>
      <c r="N177" s="231"/>
      <c r="O177" s="231"/>
      <c r="P177" s="231"/>
      <c r="Q177" s="231"/>
      <c r="R177" s="270"/>
      <c r="S177" s="270"/>
      <c r="T177" s="269"/>
      <c r="U177" s="269"/>
      <c r="V177" s="269"/>
    </row>
    <row r="178" spans="1:22" x14ac:dyDescent="0.3">
      <c r="A178" s="280"/>
      <c r="B178" s="270"/>
      <c r="C178" s="270"/>
      <c r="D178" s="270"/>
      <c r="E178" s="270"/>
      <c r="F178" s="270"/>
      <c r="G178" s="270"/>
      <c r="H178" s="270"/>
      <c r="I178" s="270"/>
      <c r="J178" s="231"/>
      <c r="K178" s="231"/>
      <c r="L178" s="231"/>
      <c r="M178" s="231"/>
      <c r="N178" s="231"/>
      <c r="O178" s="231"/>
      <c r="P178" s="231"/>
      <c r="Q178" s="231"/>
      <c r="R178" s="270"/>
      <c r="S178" s="270"/>
      <c r="T178" s="269"/>
      <c r="U178" s="269"/>
      <c r="V178" s="269"/>
    </row>
    <row r="179" spans="1:22" x14ac:dyDescent="0.3">
      <c r="A179" s="280"/>
      <c r="B179" s="270"/>
      <c r="C179" s="270"/>
      <c r="D179" s="270"/>
      <c r="E179" s="270"/>
      <c r="F179" s="270"/>
      <c r="G179" s="270"/>
      <c r="H179" s="270"/>
      <c r="I179" s="270"/>
      <c r="J179" s="231"/>
      <c r="K179" s="231"/>
      <c r="L179" s="231"/>
      <c r="M179" s="231"/>
      <c r="N179" s="231"/>
      <c r="O179" s="231"/>
      <c r="P179" s="231"/>
      <c r="Q179" s="231"/>
      <c r="R179" s="270"/>
      <c r="S179" s="270"/>
      <c r="T179" s="269"/>
      <c r="U179" s="269"/>
      <c r="V179" s="269"/>
    </row>
    <row r="180" spans="1:22" x14ac:dyDescent="0.3">
      <c r="A180" s="280"/>
      <c r="B180" s="270"/>
      <c r="C180" s="270"/>
      <c r="D180" s="270"/>
      <c r="E180" s="270"/>
      <c r="F180" s="270"/>
      <c r="G180" s="270"/>
      <c r="H180" s="270"/>
      <c r="I180" s="270"/>
      <c r="J180" s="231"/>
      <c r="K180" s="231"/>
      <c r="L180" s="231"/>
      <c r="M180" s="231"/>
      <c r="N180" s="231"/>
      <c r="O180" s="231"/>
      <c r="P180" s="231"/>
      <c r="Q180" s="231"/>
      <c r="R180" s="270"/>
      <c r="S180" s="270"/>
      <c r="T180" s="269"/>
      <c r="U180" s="269"/>
      <c r="V180" s="269"/>
    </row>
    <row r="181" spans="1:22" x14ac:dyDescent="0.3">
      <c r="A181" s="280"/>
      <c r="B181" s="270"/>
      <c r="C181" s="270"/>
      <c r="D181" s="270"/>
      <c r="E181" s="270"/>
      <c r="F181" s="270"/>
      <c r="G181" s="270"/>
      <c r="H181" s="270"/>
      <c r="I181" s="270"/>
      <c r="J181" s="231"/>
      <c r="K181" s="231"/>
      <c r="L181" s="231"/>
      <c r="M181" s="231"/>
      <c r="N181" s="231"/>
      <c r="O181" s="231"/>
      <c r="P181" s="231"/>
      <c r="Q181" s="231"/>
      <c r="R181" s="270"/>
      <c r="S181" s="270"/>
      <c r="T181" s="269"/>
      <c r="U181" s="269"/>
      <c r="V181" s="269"/>
    </row>
    <row r="182" spans="1:22" x14ac:dyDescent="0.3">
      <c r="A182" s="280"/>
      <c r="B182" s="270"/>
      <c r="C182" s="270"/>
      <c r="D182" s="270"/>
      <c r="E182" s="270"/>
      <c r="F182" s="270"/>
      <c r="G182" s="270"/>
      <c r="H182" s="270"/>
      <c r="I182" s="270"/>
      <c r="J182" s="231"/>
      <c r="K182" s="231"/>
      <c r="L182" s="231"/>
      <c r="M182" s="231"/>
      <c r="N182" s="231"/>
      <c r="O182" s="231"/>
      <c r="P182" s="231"/>
      <c r="Q182" s="231"/>
      <c r="R182" s="270"/>
      <c r="S182" s="270"/>
      <c r="T182" s="269"/>
      <c r="U182" s="269"/>
      <c r="V182" s="269"/>
    </row>
    <row r="183" spans="1:22" x14ac:dyDescent="0.3">
      <c r="A183" s="280"/>
      <c r="B183" s="270"/>
      <c r="C183" s="270"/>
      <c r="D183" s="270"/>
      <c r="E183" s="270"/>
      <c r="F183" s="270"/>
      <c r="G183" s="270"/>
      <c r="H183" s="270"/>
      <c r="I183" s="270"/>
      <c r="J183" s="231"/>
      <c r="K183" s="231"/>
      <c r="L183" s="231"/>
      <c r="M183" s="231"/>
      <c r="N183" s="231"/>
      <c r="O183" s="231"/>
      <c r="P183" s="231"/>
      <c r="Q183" s="231"/>
      <c r="R183" s="270"/>
      <c r="S183" s="270"/>
      <c r="T183" s="269"/>
      <c r="U183" s="269"/>
      <c r="V183" s="269"/>
    </row>
    <row r="184" spans="1:22" x14ac:dyDescent="0.3">
      <c r="A184" s="280"/>
      <c r="B184" s="270"/>
      <c r="C184" s="270"/>
      <c r="D184" s="270"/>
      <c r="E184" s="270"/>
      <c r="F184" s="270"/>
      <c r="G184" s="270"/>
      <c r="H184" s="270"/>
      <c r="I184" s="270"/>
      <c r="J184" s="231"/>
      <c r="K184" s="231"/>
      <c r="L184" s="231"/>
      <c r="M184" s="231"/>
      <c r="N184" s="231"/>
      <c r="O184" s="231"/>
      <c r="P184" s="231"/>
      <c r="Q184" s="231"/>
      <c r="R184" s="270"/>
      <c r="S184" s="270"/>
      <c r="T184" s="269"/>
      <c r="U184" s="269"/>
      <c r="V184" s="269"/>
    </row>
    <row r="185" spans="1:22" x14ac:dyDescent="0.3">
      <c r="A185" s="280"/>
      <c r="B185" s="270"/>
      <c r="C185" s="270"/>
      <c r="D185" s="270"/>
      <c r="E185" s="270"/>
      <c r="F185" s="270"/>
      <c r="G185" s="270"/>
      <c r="H185" s="270"/>
      <c r="I185" s="270"/>
      <c r="J185" s="231"/>
      <c r="K185" s="231"/>
      <c r="L185" s="231"/>
      <c r="M185" s="231"/>
      <c r="N185" s="231"/>
      <c r="O185" s="231"/>
      <c r="P185" s="231"/>
      <c r="Q185" s="231"/>
      <c r="R185" s="270"/>
      <c r="S185" s="270"/>
      <c r="T185" s="269"/>
      <c r="U185" s="269"/>
      <c r="V185" s="269"/>
    </row>
    <row r="186" spans="1:22" x14ac:dyDescent="0.3">
      <c r="A186" s="280"/>
      <c r="B186" s="270"/>
      <c r="C186" s="270"/>
      <c r="D186" s="270"/>
      <c r="E186" s="270"/>
      <c r="F186" s="270"/>
      <c r="G186" s="270"/>
      <c r="H186" s="270"/>
      <c r="I186" s="270"/>
      <c r="J186" s="231"/>
      <c r="K186" s="231"/>
      <c r="L186" s="231"/>
      <c r="M186" s="231"/>
      <c r="N186" s="231"/>
      <c r="O186" s="231"/>
      <c r="P186" s="231"/>
      <c r="Q186" s="231"/>
      <c r="R186" s="270"/>
      <c r="S186" s="270"/>
      <c r="T186" s="269"/>
      <c r="U186" s="269"/>
      <c r="V186" s="269"/>
    </row>
    <row r="187" spans="1:22" x14ac:dyDescent="0.3">
      <c r="A187" s="280"/>
      <c r="B187" s="270"/>
      <c r="C187" s="270"/>
      <c r="D187" s="270"/>
      <c r="E187" s="270"/>
      <c r="F187" s="270"/>
      <c r="G187" s="270"/>
      <c r="H187" s="270"/>
      <c r="I187" s="270"/>
      <c r="J187" s="231"/>
      <c r="K187" s="231"/>
      <c r="L187" s="231"/>
      <c r="M187" s="231"/>
      <c r="N187" s="231"/>
      <c r="O187" s="231"/>
      <c r="P187" s="231"/>
      <c r="Q187" s="231"/>
      <c r="R187" s="270"/>
      <c r="S187" s="270"/>
      <c r="T187" s="269"/>
      <c r="U187" s="269"/>
      <c r="V187" s="269"/>
    </row>
    <row r="188" spans="1:22" x14ac:dyDescent="0.3">
      <c r="A188" s="280"/>
      <c r="B188" s="270"/>
      <c r="C188" s="270"/>
      <c r="D188" s="270"/>
      <c r="E188" s="270"/>
      <c r="F188" s="270"/>
      <c r="G188" s="270"/>
      <c r="H188" s="270"/>
      <c r="I188" s="270"/>
      <c r="J188" s="231"/>
      <c r="K188" s="231"/>
      <c r="L188" s="231"/>
      <c r="M188" s="231"/>
      <c r="N188" s="231"/>
      <c r="O188" s="231"/>
      <c r="P188" s="231"/>
      <c r="Q188" s="231"/>
      <c r="R188" s="270"/>
      <c r="S188" s="270"/>
      <c r="T188" s="269"/>
      <c r="U188" s="269"/>
      <c r="V188" s="269"/>
    </row>
    <row r="189" spans="1:22" x14ac:dyDescent="0.3">
      <c r="A189" s="280"/>
      <c r="B189" s="270"/>
      <c r="C189" s="270"/>
      <c r="D189" s="270"/>
      <c r="E189" s="270"/>
      <c r="F189" s="270"/>
      <c r="G189" s="270"/>
      <c r="H189" s="270"/>
      <c r="I189" s="270"/>
      <c r="J189" s="231"/>
      <c r="K189" s="231"/>
      <c r="L189" s="231"/>
      <c r="M189" s="231"/>
      <c r="N189" s="231"/>
      <c r="O189" s="231"/>
      <c r="P189" s="231"/>
      <c r="Q189" s="231"/>
      <c r="R189" s="270"/>
      <c r="S189" s="270"/>
      <c r="T189" s="269"/>
      <c r="U189" s="269"/>
      <c r="V189" s="269"/>
    </row>
    <row r="190" spans="1:22" x14ac:dyDescent="0.3">
      <c r="A190" s="280"/>
      <c r="B190" s="270"/>
      <c r="C190" s="270"/>
      <c r="D190" s="270"/>
      <c r="E190" s="270"/>
      <c r="F190" s="270"/>
      <c r="G190" s="270"/>
      <c r="H190" s="270"/>
      <c r="I190" s="270"/>
      <c r="J190" s="231"/>
      <c r="K190" s="231"/>
      <c r="L190" s="231"/>
      <c r="M190" s="231"/>
      <c r="N190" s="231"/>
      <c r="O190" s="231"/>
      <c r="P190" s="231"/>
      <c r="Q190" s="231"/>
      <c r="R190" s="270"/>
      <c r="S190" s="270"/>
      <c r="T190" s="269"/>
      <c r="U190" s="269"/>
      <c r="V190" s="269"/>
    </row>
    <row r="191" spans="1:22" x14ac:dyDescent="0.3">
      <c r="A191" s="280"/>
      <c r="B191" s="270"/>
      <c r="C191" s="270"/>
      <c r="D191" s="270"/>
      <c r="E191" s="270"/>
      <c r="F191" s="270"/>
      <c r="G191" s="270"/>
      <c r="H191" s="270"/>
      <c r="I191" s="270"/>
      <c r="J191" s="231"/>
      <c r="K191" s="231"/>
      <c r="L191" s="231"/>
      <c r="M191" s="231"/>
      <c r="N191" s="231"/>
      <c r="O191" s="231"/>
      <c r="P191" s="231"/>
      <c r="Q191" s="231"/>
      <c r="R191" s="270"/>
      <c r="S191" s="270"/>
      <c r="T191" s="269"/>
      <c r="U191" s="269"/>
      <c r="V191" s="269"/>
    </row>
    <row r="192" spans="1:22" x14ac:dyDescent="0.3">
      <c r="A192" s="280"/>
      <c r="B192" s="270"/>
      <c r="C192" s="270"/>
      <c r="D192" s="270"/>
      <c r="E192" s="270"/>
      <c r="F192" s="270"/>
      <c r="G192" s="270"/>
      <c r="H192" s="270"/>
      <c r="I192" s="270"/>
      <c r="J192" s="231"/>
      <c r="K192" s="231"/>
      <c r="L192" s="231"/>
      <c r="M192" s="231"/>
      <c r="N192" s="231"/>
      <c r="O192" s="231"/>
      <c r="P192" s="231"/>
      <c r="Q192" s="231"/>
      <c r="R192" s="270"/>
      <c r="S192" s="270"/>
      <c r="T192" s="269"/>
      <c r="U192" s="269"/>
      <c r="V192" s="269"/>
    </row>
    <row r="193" spans="1:22" x14ac:dyDescent="0.3">
      <c r="A193" s="280"/>
      <c r="B193" s="270"/>
      <c r="C193" s="270"/>
      <c r="D193" s="270"/>
      <c r="E193" s="270"/>
      <c r="F193" s="270"/>
      <c r="G193" s="270"/>
      <c r="H193" s="270"/>
      <c r="I193" s="270"/>
      <c r="J193" s="231"/>
      <c r="K193" s="231"/>
      <c r="L193" s="231"/>
      <c r="M193" s="231"/>
      <c r="N193" s="231"/>
      <c r="O193" s="231"/>
      <c r="P193" s="231"/>
      <c r="Q193" s="231"/>
      <c r="R193" s="270"/>
      <c r="S193" s="270"/>
      <c r="T193" s="269"/>
      <c r="U193" s="269"/>
      <c r="V193" s="269"/>
    </row>
    <row r="194" spans="1:22" x14ac:dyDescent="0.3">
      <c r="A194" s="280"/>
      <c r="B194" s="270"/>
      <c r="C194" s="270"/>
      <c r="D194" s="270"/>
      <c r="E194" s="270"/>
      <c r="F194" s="270"/>
      <c r="G194" s="270"/>
      <c r="H194" s="270"/>
      <c r="I194" s="270"/>
      <c r="J194" s="231"/>
      <c r="K194" s="231"/>
      <c r="L194" s="231"/>
      <c r="M194" s="231"/>
      <c r="N194" s="231"/>
      <c r="O194" s="231"/>
      <c r="P194" s="231"/>
      <c r="Q194" s="231"/>
      <c r="R194" s="270"/>
      <c r="S194" s="270"/>
      <c r="T194" s="269"/>
      <c r="U194" s="269"/>
      <c r="V194" s="269"/>
    </row>
    <row r="195" spans="1:22" x14ac:dyDescent="0.3">
      <c r="A195" s="280"/>
      <c r="B195" s="270"/>
      <c r="C195" s="270"/>
      <c r="D195" s="270"/>
      <c r="E195" s="270"/>
      <c r="F195" s="270"/>
      <c r="G195" s="270"/>
      <c r="H195" s="270"/>
      <c r="I195" s="270"/>
      <c r="J195" s="231"/>
      <c r="K195" s="231"/>
      <c r="L195" s="231"/>
      <c r="M195" s="231"/>
      <c r="N195" s="231"/>
      <c r="O195" s="231"/>
      <c r="P195" s="231"/>
      <c r="Q195" s="231"/>
      <c r="R195" s="270"/>
      <c r="S195" s="270"/>
      <c r="T195" s="269"/>
      <c r="U195" s="269"/>
      <c r="V195" s="269"/>
    </row>
    <row r="196" spans="1:22" x14ac:dyDescent="0.3">
      <c r="A196" s="280"/>
      <c r="B196" s="270"/>
      <c r="C196" s="270"/>
      <c r="D196" s="270"/>
      <c r="E196" s="270"/>
      <c r="F196" s="270"/>
      <c r="G196" s="270"/>
      <c r="H196" s="270"/>
      <c r="I196" s="270"/>
      <c r="J196" s="231"/>
      <c r="K196" s="231"/>
      <c r="L196" s="231"/>
      <c r="M196" s="231"/>
      <c r="N196" s="231"/>
      <c r="O196" s="231"/>
      <c r="P196" s="231"/>
      <c r="Q196" s="231"/>
      <c r="R196" s="270"/>
      <c r="S196" s="270"/>
      <c r="T196" s="269"/>
      <c r="U196" s="269"/>
      <c r="V196" s="269"/>
    </row>
    <row r="197" spans="1:22" x14ac:dyDescent="0.3">
      <c r="A197" s="280"/>
      <c r="B197" s="270"/>
      <c r="C197" s="270"/>
      <c r="D197" s="270"/>
      <c r="E197" s="270"/>
      <c r="F197" s="270"/>
      <c r="G197" s="270"/>
      <c r="H197" s="270"/>
      <c r="I197" s="270"/>
      <c r="J197" s="231"/>
      <c r="K197" s="231"/>
      <c r="L197" s="231"/>
      <c r="M197" s="231"/>
      <c r="N197" s="231"/>
      <c r="O197" s="231"/>
      <c r="P197" s="231"/>
      <c r="Q197" s="231"/>
      <c r="R197" s="270"/>
      <c r="S197" s="270"/>
      <c r="T197" s="269"/>
      <c r="U197" s="269"/>
      <c r="V197" s="269"/>
    </row>
    <row r="198" spans="1:22" x14ac:dyDescent="0.3">
      <c r="A198" s="280"/>
      <c r="B198" s="270"/>
      <c r="C198" s="270"/>
      <c r="D198" s="270"/>
      <c r="E198" s="270"/>
      <c r="F198" s="270"/>
      <c r="G198" s="270"/>
      <c r="H198" s="270"/>
      <c r="I198" s="270"/>
      <c r="J198" s="231"/>
      <c r="K198" s="231"/>
      <c r="L198" s="231"/>
      <c r="M198" s="231"/>
      <c r="N198" s="231"/>
      <c r="O198" s="231"/>
      <c r="P198" s="231"/>
      <c r="Q198" s="231"/>
      <c r="R198" s="270"/>
      <c r="S198" s="270"/>
      <c r="T198" s="269"/>
      <c r="U198" s="269"/>
      <c r="V198" s="269"/>
    </row>
    <row r="199" spans="1:22" x14ac:dyDescent="0.3">
      <c r="A199" s="280"/>
      <c r="B199" s="270"/>
      <c r="C199" s="270"/>
      <c r="D199" s="270"/>
      <c r="E199" s="270"/>
      <c r="F199" s="270"/>
      <c r="G199" s="270"/>
      <c r="H199" s="270"/>
      <c r="I199" s="270"/>
      <c r="J199" s="231"/>
      <c r="K199" s="231"/>
      <c r="L199" s="231"/>
      <c r="M199" s="231"/>
      <c r="N199" s="231"/>
      <c r="O199" s="231"/>
      <c r="P199" s="231"/>
      <c r="Q199" s="231"/>
      <c r="R199" s="270"/>
      <c r="S199" s="270"/>
      <c r="T199" s="269"/>
      <c r="U199" s="269"/>
      <c r="V199" s="269"/>
    </row>
    <row r="200" spans="1:22" x14ac:dyDescent="0.3">
      <c r="A200" s="280"/>
      <c r="B200" s="270"/>
      <c r="C200" s="270"/>
      <c r="D200" s="270"/>
      <c r="E200" s="270"/>
      <c r="F200" s="270"/>
      <c r="G200" s="270"/>
      <c r="H200" s="270"/>
      <c r="I200" s="270"/>
      <c r="J200" s="231"/>
      <c r="K200" s="231"/>
      <c r="L200" s="231"/>
      <c r="M200" s="231"/>
      <c r="N200" s="231"/>
      <c r="O200" s="231"/>
      <c r="P200" s="231"/>
      <c r="Q200" s="231"/>
      <c r="R200" s="270"/>
      <c r="S200" s="270"/>
      <c r="T200" s="269"/>
      <c r="U200" s="269"/>
      <c r="V200" s="269"/>
    </row>
    <row r="201" spans="1:22" x14ac:dyDescent="0.3">
      <c r="A201" s="280"/>
      <c r="B201" s="270"/>
      <c r="C201" s="270"/>
      <c r="D201" s="270"/>
      <c r="E201" s="270"/>
      <c r="F201" s="270"/>
      <c r="G201" s="270"/>
      <c r="H201" s="270"/>
      <c r="I201" s="270"/>
      <c r="J201" s="231"/>
      <c r="K201" s="231"/>
      <c r="L201" s="231"/>
      <c r="M201" s="231"/>
      <c r="N201" s="231"/>
      <c r="O201" s="231"/>
      <c r="P201" s="231"/>
      <c r="Q201" s="231"/>
      <c r="R201" s="270"/>
      <c r="S201" s="270"/>
      <c r="T201" s="269"/>
      <c r="U201" s="269"/>
      <c r="V201" s="269"/>
    </row>
    <row r="202" spans="1:22" x14ac:dyDescent="0.3">
      <c r="A202" s="280"/>
      <c r="B202" s="270"/>
      <c r="C202" s="270"/>
      <c r="D202" s="270"/>
      <c r="E202" s="270"/>
      <c r="F202" s="270"/>
      <c r="G202" s="270"/>
      <c r="H202" s="270"/>
      <c r="I202" s="270"/>
      <c r="J202" s="231"/>
      <c r="K202" s="231"/>
      <c r="L202" s="231"/>
      <c r="M202" s="231"/>
      <c r="N202" s="231"/>
      <c r="O202" s="231"/>
      <c r="P202" s="231"/>
      <c r="Q202" s="231"/>
      <c r="R202" s="270"/>
      <c r="S202" s="270"/>
      <c r="T202" s="269"/>
      <c r="U202" s="269"/>
      <c r="V202" s="269"/>
    </row>
    <row r="203" spans="1:22" x14ac:dyDescent="0.3">
      <c r="A203" s="280"/>
      <c r="B203" s="270"/>
      <c r="C203" s="270"/>
      <c r="D203" s="270"/>
      <c r="E203" s="270"/>
      <c r="F203" s="270"/>
      <c r="G203" s="270"/>
      <c r="H203" s="270"/>
      <c r="I203" s="270"/>
      <c r="J203" s="231"/>
      <c r="K203" s="231"/>
      <c r="L203" s="231"/>
      <c r="M203" s="231"/>
      <c r="N203" s="231"/>
      <c r="O203" s="231"/>
      <c r="P203" s="231"/>
      <c r="Q203" s="231"/>
      <c r="R203" s="270"/>
      <c r="S203" s="270"/>
      <c r="T203" s="269"/>
      <c r="U203" s="269"/>
      <c r="V203" s="269"/>
    </row>
    <row r="204" spans="1:22" x14ac:dyDescent="0.3">
      <c r="A204" s="280"/>
      <c r="B204" s="270"/>
      <c r="C204" s="270"/>
      <c r="D204" s="270"/>
      <c r="E204" s="270"/>
      <c r="F204" s="270"/>
      <c r="G204" s="270"/>
      <c r="H204" s="270"/>
      <c r="I204" s="270"/>
      <c r="J204" s="231"/>
      <c r="K204" s="231"/>
      <c r="L204" s="231"/>
      <c r="M204" s="231"/>
      <c r="N204" s="231"/>
      <c r="O204" s="231"/>
      <c r="P204" s="231"/>
      <c r="Q204" s="231"/>
      <c r="R204" s="270"/>
      <c r="S204" s="270"/>
      <c r="T204" s="269"/>
      <c r="U204" s="269"/>
      <c r="V204" s="269"/>
    </row>
    <row r="205" spans="1:22" x14ac:dyDescent="0.3">
      <c r="A205" s="280"/>
      <c r="B205" s="270"/>
      <c r="C205" s="270"/>
      <c r="D205" s="270"/>
      <c r="E205" s="270"/>
      <c r="F205" s="270"/>
      <c r="G205" s="270"/>
      <c r="H205" s="270"/>
      <c r="I205" s="270"/>
      <c r="J205" s="231"/>
      <c r="K205" s="231"/>
      <c r="L205" s="231"/>
      <c r="M205" s="231"/>
      <c r="N205" s="231"/>
      <c r="O205" s="231"/>
      <c r="P205" s="231"/>
      <c r="Q205" s="231"/>
      <c r="R205" s="270"/>
      <c r="S205" s="270"/>
      <c r="T205" s="269"/>
      <c r="U205" s="269"/>
      <c r="V205" s="269"/>
    </row>
    <row r="206" spans="1:22" x14ac:dyDescent="0.3">
      <c r="A206" s="280"/>
      <c r="B206" s="270"/>
      <c r="C206" s="270"/>
      <c r="D206" s="270"/>
      <c r="E206" s="270"/>
      <c r="F206" s="270"/>
      <c r="G206" s="270"/>
      <c r="H206" s="270"/>
      <c r="I206" s="270"/>
      <c r="J206" s="231"/>
      <c r="K206" s="231"/>
      <c r="L206" s="231"/>
      <c r="M206" s="231"/>
      <c r="N206" s="231"/>
      <c r="O206" s="231"/>
      <c r="P206" s="231"/>
      <c r="Q206" s="231"/>
      <c r="R206" s="270"/>
      <c r="S206" s="270"/>
      <c r="T206" s="269"/>
      <c r="U206" s="269"/>
      <c r="V206" s="269"/>
    </row>
    <row r="207" spans="1:22" x14ac:dyDescent="0.3">
      <c r="A207" s="280"/>
      <c r="B207" s="270"/>
      <c r="C207" s="270"/>
      <c r="D207" s="270"/>
      <c r="E207" s="270"/>
      <c r="F207" s="270"/>
      <c r="G207" s="270"/>
      <c r="H207" s="270"/>
      <c r="I207" s="270"/>
      <c r="J207" s="231"/>
      <c r="K207" s="231"/>
      <c r="L207" s="231"/>
      <c r="M207" s="231"/>
      <c r="N207" s="231"/>
      <c r="O207" s="231"/>
      <c r="P207" s="231"/>
      <c r="Q207" s="231"/>
      <c r="R207" s="270"/>
      <c r="S207" s="270"/>
      <c r="T207" s="269"/>
      <c r="U207" s="269"/>
      <c r="V207" s="269"/>
    </row>
    <row r="208" spans="1:22" x14ac:dyDescent="0.3">
      <c r="A208" s="280"/>
      <c r="B208" s="270"/>
      <c r="C208" s="270"/>
      <c r="D208" s="270"/>
      <c r="E208" s="270"/>
      <c r="F208" s="270"/>
      <c r="G208" s="270"/>
      <c r="H208" s="270"/>
      <c r="I208" s="270"/>
      <c r="J208" s="231"/>
      <c r="K208" s="231"/>
      <c r="L208" s="231"/>
      <c r="M208" s="231"/>
      <c r="N208" s="231"/>
      <c r="O208" s="231"/>
      <c r="P208" s="231"/>
      <c r="Q208" s="231"/>
      <c r="R208" s="270"/>
      <c r="S208" s="270"/>
      <c r="T208" s="269"/>
      <c r="U208" s="269"/>
      <c r="V208" s="269"/>
    </row>
    <row r="209" spans="1:22" x14ac:dyDescent="0.3">
      <c r="A209" s="280"/>
      <c r="B209" s="270"/>
      <c r="C209" s="270"/>
      <c r="D209" s="270"/>
      <c r="E209" s="270"/>
      <c r="F209" s="270"/>
      <c r="G209" s="270"/>
      <c r="H209" s="270"/>
      <c r="I209" s="270"/>
      <c r="J209" s="231"/>
      <c r="K209" s="231"/>
      <c r="L209" s="231"/>
      <c r="M209" s="231"/>
      <c r="N209" s="231"/>
      <c r="O209" s="231"/>
      <c r="P209" s="231"/>
      <c r="Q209" s="231"/>
      <c r="R209" s="270"/>
      <c r="S209" s="270"/>
      <c r="T209" s="269"/>
      <c r="U209" s="269"/>
      <c r="V209" s="269"/>
    </row>
    <row r="210" spans="1:22" x14ac:dyDescent="0.3">
      <c r="A210" s="280"/>
      <c r="B210" s="270"/>
      <c r="C210" s="270"/>
      <c r="D210" s="270"/>
      <c r="E210" s="270"/>
      <c r="F210" s="270"/>
      <c r="G210" s="270"/>
      <c r="H210" s="270"/>
      <c r="I210" s="270"/>
      <c r="J210" s="231"/>
      <c r="K210" s="231"/>
      <c r="L210" s="231"/>
      <c r="M210" s="231"/>
      <c r="N210" s="231"/>
      <c r="O210" s="231"/>
      <c r="P210" s="231"/>
      <c r="Q210" s="231"/>
      <c r="R210" s="270"/>
      <c r="S210" s="270"/>
      <c r="T210" s="269"/>
      <c r="U210" s="269"/>
      <c r="V210" s="269"/>
    </row>
    <row r="211" spans="1:22" x14ac:dyDescent="0.3">
      <c r="A211" s="280"/>
      <c r="B211" s="270"/>
      <c r="C211" s="270"/>
      <c r="D211" s="270"/>
      <c r="E211" s="270"/>
      <c r="F211" s="270"/>
      <c r="G211" s="270"/>
      <c r="H211" s="270"/>
      <c r="I211" s="270"/>
      <c r="J211" s="231"/>
      <c r="K211" s="231"/>
      <c r="L211" s="231"/>
      <c r="M211" s="231"/>
      <c r="N211" s="231"/>
      <c r="O211" s="231"/>
      <c r="P211" s="231"/>
      <c r="Q211" s="231"/>
      <c r="R211" s="270"/>
      <c r="S211" s="270"/>
      <c r="T211" s="269"/>
      <c r="U211" s="269"/>
      <c r="V211" s="269"/>
    </row>
    <row r="212" spans="1:22" x14ac:dyDescent="0.3">
      <c r="A212" s="280"/>
      <c r="B212" s="270"/>
      <c r="C212" s="270"/>
      <c r="D212" s="270"/>
      <c r="E212" s="270"/>
      <c r="F212" s="270"/>
      <c r="G212" s="270"/>
      <c r="H212" s="270"/>
      <c r="I212" s="270"/>
      <c r="J212" s="231"/>
      <c r="K212" s="231"/>
      <c r="L212" s="231"/>
      <c r="M212" s="231"/>
      <c r="N212" s="231"/>
      <c r="O212" s="231"/>
      <c r="P212" s="231"/>
      <c r="Q212" s="231"/>
      <c r="R212" s="270"/>
      <c r="S212" s="270"/>
      <c r="T212" s="269"/>
      <c r="U212" s="269"/>
      <c r="V212" s="269"/>
    </row>
    <row r="213" spans="1:22" x14ac:dyDescent="0.3">
      <c r="A213" s="280"/>
      <c r="B213" s="270"/>
      <c r="C213" s="270"/>
      <c r="D213" s="270"/>
      <c r="E213" s="270"/>
      <c r="F213" s="270"/>
      <c r="G213" s="270"/>
      <c r="H213" s="270"/>
      <c r="I213" s="270"/>
      <c r="J213" s="231"/>
      <c r="K213" s="231"/>
      <c r="L213" s="231"/>
      <c r="M213" s="231"/>
      <c r="N213" s="231"/>
      <c r="O213" s="231"/>
      <c r="P213" s="231"/>
      <c r="Q213" s="231"/>
      <c r="R213" s="270"/>
      <c r="S213" s="270"/>
      <c r="T213" s="269"/>
      <c r="U213" s="269"/>
      <c r="V213" s="269"/>
    </row>
    <row r="214" spans="1:22" x14ac:dyDescent="0.3">
      <c r="A214" s="280"/>
      <c r="B214" s="270"/>
      <c r="C214" s="270"/>
      <c r="D214" s="270"/>
      <c r="E214" s="270"/>
      <c r="F214" s="270"/>
      <c r="G214" s="270"/>
      <c r="H214" s="270"/>
      <c r="I214" s="270"/>
      <c r="J214" s="231"/>
      <c r="K214" s="231"/>
      <c r="L214" s="231"/>
      <c r="M214" s="231"/>
      <c r="N214" s="231"/>
      <c r="O214" s="231"/>
      <c r="P214" s="231"/>
      <c r="Q214" s="231"/>
      <c r="R214" s="270"/>
      <c r="S214" s="270"/>
      <c r="T214" s="269"/>
      <c r="U214" s="269"/>
      <c r="V214" s="269"/>
    </row>
    <row r="215" spans="1:22" x14ac:dyDescent="0.3">
      <c r="A215" s="280"/>
      <c r="B215" s="270"/>
      <c r="C215" s="270"/>
      <c r="D215" s="270"/>
      <c r="E215" s="270"/>
      <c r="F215" s="270"/>
      <c r="G215" s="270"/>
      <c r="H215" s="270"/>
      <c r="I215" s="270"/>
      <c r="J215" s="231"/>
      <c r="K215" s="231"/>
      <c r="L215" s="231"/>
      <c r="M215" s="231"/>
      <c r="N215" s="231"/>
      <c r="O215" s="231"/>
      <c r="P215" s="231"/>
      <c r="Q215" s="231"/>
      <c r="R215" s="270"/>
      <c r="S215" s="270"/>
      <c r="T215" s="269"/>
      <c r="U215" s="269"/>
      <c r="V215" s="269"/>
    </row>
    <row r="216" spans="1:22" x14ac:dyDescent="0.3">
      <c r="A216" s="280"/>
      <c r="B216" s="270"/>
      <c r="C216" s="270"/>
      <c r="D216" s="270"/>
      <c r="E216" s="270"/>
      <c r="F216" s="270"/>
      <c r="G216" s="270"/>
      <c r="H216" s="270"/>
      <c r="I216" s="270"/>
      <c r="J216" s="231"/>
      <c r="K216" s="231"/>
      <c r="L216" s="231"/>
      <c r="M216" s="231"/>
      <c r="N216" s="231"/>
      <c r="O216" s="231"/>
      <c r="P216" s="231"/>
      <c r="Q216" s="231"/>
      <c r="R216" s="270"/>
      <c r="S216" s="270"/>
      <c r="T216" s="269"/>
      <c r="U216" s="269"/>
      <c r="V216" s="269"/>
    </row>
    <row r="217" spans="1:22" x14ac:dyDescent="0.3">
      <c r="A217" s="280"/>
      <c r="B217" s="270"/>
      <c r="C217" s="270"/>
      <c r="D217" s="270"/>
      <c r="E217" s="270"/>
      <c r="F217" s="270"/>
      <c r="G217" s="270"/>
      <c r="H217" s="270"/>
      <c r="I217" s="270"/>
      <c r="J217" s="231"/>
      <c r="K217" s="231"/>
      <c r="L217" s="231"/>
      <c r="M217" s="231"/>
      <c r="N217" s="231"/>
      <c r="O217" s="231"/>
      <c r="P217" s="231"/>
      <c r="Q217" s="231"/>
      <c r="R217" s="270"/>
      <c r="S217" s="270"/>
      <c r="T217" s="269"/>
      <c r="U217" s="269"/>
      <c r="V217" s="269"/>
    </row>
    <row r="218" spans="1:22" x14ac:dyDescent="0.3">
      <c r="A218" s="280"/>
      <c r="B218" s="270"/>
      <c r="C218" s="270"/>
      <c r="D218" s="270"/>
      <c r="E218" s="270"/>
      <c r="F218" s="270"/>
      <c r="G218" s="270"/>
      <c r="H218" s="270"/>
      <c r="I218" s="270"/>
      <c r="J218" s="231"/>
      <c r="K218" s="231"/>
      <c r="L218" s="231"/>
      <c r="M218" s="231"/>
      <c r="N218" s="231"/>
      <c r="O218" s="231"/>
      <c r="P218" s="231"/>
      <c r="Q218" s="231"/>
      <c r="R218" s="270"/>
      <c r="S218" s="270"/>
      <c r="T218" s="269"/>
      <c r="U218" s="269"/>
      <c r="V218" s="269"/>
    </row>
    <row r="219" spans="1:22" x14ac:dyDescent="0.3">
      <c r="A219" s="280"/>
      <c r="B219" s="270"/>
      <c r="C219" s="270"/>
      <c r="D219" s="270"/>
      <c r="E219" s="270"/>
      <c r="F219" s="270"/>
      <c r="G219" s="270"/>
      <c r="H219" s="270"/>
      <c r="I219" s="270"/>
      <c r="J219" s="231"/>
      <c r="K219" s="231"/>
      <c r="L219" s="231"/>
      <c r="M219" s="231"/>
      <c r="N219" s="231"/>
      <c r="O219" s="231"/>
      <c r="P219" s="231"/>
      <c r="Q219" s="231"/>
      <c r="R219" s="270"/>
      <c r="S219" s="270"/>
      <c r="T219" s="269"/>
      <c r="U219" s="269"/>
      <c r="V219" s="269"/>
    </row>
    <row r="220" spans="1:22" x14ac:dyDescent="0.3">
      <c r="A220" s="280"/>
      <c r="B220" s="270"/>
      <c r="C220" s="270"/>
      <c r="D220" s="270"/>
      <c r="E220" s="270"/>
      <c r="F220" s="270"/>
      <c r="G220" s="270"/>
      <c r="H220" s="270"/>
      <c r="I220" s="270"/>
      <c r="J220" s="231"/>
      <c r="K220" s="231"/>
      <c r="L220" s="231"/>
      <c r="M220" s="231"/>
      <c r="N220" s="231"/>
      <c r="O220" s="231"/>
      <c r="P220" s="231"/>
      <c r="Q220" s="231"/>
      <c r="R220" s="270"/>
      <c r="S220" s="270"/>
      <c r="T220" s="269"/>
      <c r="U220" s="269"/>
      <c r="V220" s="269"/>
    </row>
    <row r="221" spans="1:22" x14ac:dyDescent="0.3">
      <c r="A221" s="280"/>
      <c r="B221" s="270"/>
      <c r="C221" s="270"/>
      <c r="D221" s="270"/>
      <c r="E221" s="270"/>
      <c r="F221" s="270"/>
      <c r="G221" s="270"/>
      <c r="H221" s="270"/>
      <c r="I221" s="270"/>
      <c r="J221" s="231"/>
      <c r="K221" s="231"/>
      <c r="L221" s="231"/>
      <c r="M221" s="231"/>
      <c r="N221" s="231"/>
      <c r="O221" s="231"/>
      <c r="P221" s="231"/>
      <c r="Q221" s="231"/>
      <c r="R221" s="270"/>
      <c r="S221" s="270"/>
      <c r="T221" s="269"/>
      <c r="U221" s="269"/>
      <c r="V221" s="269"/>
    </row>
    <row r="222" spans="1:22" x14ac:dyDescent="0.3">
      <c r="A222" s="280"/>
      <c r="B222" s="270"/>
      <c r="C222" s="270"/>
      <c r="D222" s="270"/>
      <c r="E222" s="270"/>
      <c r="F222" s="270"/>
      <c r="G222" s="270"/>
      <c r="H222" s="270"/>
      <c r="I222" s="270"/>
      <c r="J222" s="231"/>
      <c r="K222" s="231"/>
      <c r="L222" s="231"/>
      <c r="M222" s="231"/>
      <c r="N222" s="231"/>
      <c r="O222" s="231"/>
      <c r="P222" s="231"/>
      <c r="Q222" s="231"/>
      <c r="R222" s="270"/>
      <c r="S222" s="270"/>
      <c r="T222" s="269"/>
      <c r="U222" s="269"/>
      <c r="V222" s="269"/>
    </row>
    <row r="223" spans="1:22" x14ac:dyDescent="0.3">
      <c r="A223" s="280"/>
      <c r="B223" s="270"/>
      <c r="C223" s="270"/>
      <c r="D223" s="270"/>
      <c r="E223" s="270"/>
      <c r="F223" s="270"/>
      <c r="G223" s="270"/>
      <c r="H223" s="270"/>
      <c r="I223" s="270"/>
      <c r="J223" s="231"/>
      <c r="K223" s="231"/>
      <c r="L223" s="231"/>
      <c r="M223" s="231"/>
      <c r="N223" s="231"/>
      <c r="O223" s="231"/>
      <c r="P223" s="231"/>
      <c r="Q223" s="231"/>
      <c r="R223" s="270"/>
      <c r="S223" s="270"/>
      <c r="T223" s="269"/>
      <c r="U223" s="269"/>
      <c r="V223" s="269"/>
    </row>
    <row r="224" spans="1:22" x14ac:dyDescent="0.3">
      <c r="A224" s="280"/>
      <c r="B224" s="270"/>
      <c r="C224" s="270"/>
      <c r="D224" s="270"/>
      <c r="E224" s="270"/>
      <c r="F224" s="270"/>
      <c r="G224" s="270"/>
      <c r="H224" s="270"/>
      <c r="I224" s="270"/>
      <c r="J224" s="231"/>
      <c r="K224" s="231"/>
      <c r="L224" s="231"/>
      <c r="M224" s="231"/>
      <c r="N224" s="231"/>
      <c r="O224" s="231"/>
      <c r="P224" s="231"/>
      <c r="Q224" s="231"/>
      <c r="R224" s="270"/>
      <c r="S224" s="270"/>
      <c r="T224" s="269"/>
      <c r="U224" s="269"/>
      <c r="V224" s="269"/>
    </row>
    <row r="225" spans="1:22" x14ac:dyDescent="0.3">
      <c r="A225" s="280"/>
      <c r="B225" s="270"/>
      <c r="C225" s="270"/>
      <c r="D225" s="270"/>
      <c r="E225" s="270"/>
      <c r="F225" s="270"/>
      <c r="G225" s="270"/>
      <c r="H225" s="270"/>
      <c r="I225" s="270"/>
      <c r="J225" s="231"/>
      <c r="K225" s="231"/>
      <c r="L225" s="231"/>
      <c r="M225" s="231"/>
      <c r="N225" s="231"/>
      <c r="O225" s="231"/>
      <c r="P225" s="231"/>
      <c r="Q225" s="231"/>
      <c r="R225" s="270"/>
      <c r="S225" s="270"/>
      <c r="T225" s="269"/>
      <c r="U225" s="269"/>
      <c r="V225" s="269"/>
    </row>
    <row r="226" spans="1:22" x14ac:dyDescent="0.3">
      <c r="A226" s="280"/>
      <c r="B226" s="270"/>
      <c r="C226" s="270"/>
      <c r="D226" s="270"/>
      <c r="E226" s="270"/>
      <c r="F226" s="270"/>
      <c r="G226" s="270"/>
      <c r="H226" s="270"/>
      <c r="I226" s="270"/>
      <c r="J226" s="231"/>
      <c r="K226" s="231"/>
      <c r="L226" s="231"/>
      <c r="M226" s="231"/>
      <c r="N226" s="231"/>
      <c r="O226" s="231"/>
      <c r="P226" s="231"/>
      <c r="Q226" s="231"/>
      <c r="R226" s="270"/>
      <c r="S226" s="270"/>
      <c r="T226" s="269"/>
      <c r="U226" s="269"/>
      <c r="V226" s="269"/>
    </row>
    <row r="227" spans="1:22" x14ac:dyDescent="0.3">
      <c r="A227" s="280"/>
      <c r="B227" s="270"/>
      <c r="C227" s="270"/>
      <c r="D227" s="270"/>
      <c r="E227" s="270"/>
      <c r="F227" s="270"/>
      <c r="G227" s="270"/>
      <c r="H227" s="270"/>
      <c r="I227" s="270"/>
      <c r="J227" s="231"/>
      <c r="K227" s="231"/>
      <c r="L227" s="231"/>
      <c r="M227" s="231"/>
      <c r="N227" s="231"/>
      <c r="O227" s="231"/>
      <c r="P227" s="231"/>
      <c r="Q227" s="231"/>
      <c r="R227" s="270"/>
      <c r="S227" s="270"/>
      <c r="T227" s="269"/>
      <c r="U227" s="269"/>
      <c r="V227" s="269"/>
    </row>
    <row r="228" spans="1:22" x14ac:dyDescent="0.3">
      <c r="A228" s="280"/>
      <c r="B228" s="270"/>
      <c r="C228" s="270"/>
      <c r="D228" s="270"/>
      <c r="E228" s="270"/>
      <c r="F228" s="270"/>
      <c r="G228" s="270"/>
      <c r="H228" s="270"/>
      <c r="I228" s="270"/>
      <c r="J228" s="231"/>
      <c r="K228" s="231"/>
      <c r="L228" s="231"/>
      <c r="M228" s="231"/>
      <c r="N228" s="231"/>
      <c r="O228" s="231"/>
      <c r="P228" s="231"/>
      <c r="Q228" s="231"/>
      <c r="R228" s="270"/>
      <c r="S228" s="270"/>
      <c r="T228" s="269"/>
      <c r="U228" s="269"/>
      <c r="V228" s="269"/>
    </row>
    <row r="229" spans="1:22" x14ac:dyDescent="0.3">
      <c r="A229" s="280"/>
      <c r="B229" s="270"/>
      <c r="C229" s="270"/>
      <c r="D229" s="270"/>
      <c r="E229" s="270"/>
      <c r="F229" s="270"/>
      <c r="G229" s="270"/>
      <c r="H229" s="270"/>
      <c r="I229" s="270"/>
      <c r="J229" s="231"/>
      <c r="K229" s="231"/>
      <c r="L229" s="231"/>
      <c r="M229" s="231"/>
      <c r="N229" s="231"/>
      <c r="O229" s="231"/>
      <c r="P229" s="231"/>
      <c r="Q229" s="231"/>
      <c r="R229" s="270"/>
      <c r="S229" s="270"/>
      <c r="T229" s="269"/>
      <c r="U229" s="269"/>
      <c r="V229" s="269"/>
    </row>
    <row r="230" spans="1:22" x14ac:dyDescent="0.3">
      <c r="A230" s="280"/>
      <c r="B230" s="270"/>
      <c r="C230" s="270"/>
      <c r="D230" s="270"/>
      <c r="E230" s="270"/>
      <c r="F230" s="270"/>
      <c r="G230" s="270"/>
      <c r="H230" s="270"/>
      <c r="I230" s="270"/>
      <c r="J230" s="231"/>
      <c r="K230" s="231"/>
      <c r="L230" s="231"/>
      <c r="M230" s="231"/>
      <c r="N230" s="231"/>
      <c r="O230" s="231"/>
      <c r="P230" s="231"/>
      <c r="Q230" s="231"/>
      <c r="R230" s="270"/>
      <c r="S230" s="270"/>
      <c r="T230" s="269"/>
      <c r="U230" s="269"/>
      <c r="V230" s="269"/>
    </row>
    <row r="231" spans="1:22" x14ac:dyDescent="0.3">
      <c r="A231" s="280"/>
      <c r="B231" s="270"/>
      <c r="C231" s="270"/>
      <c r="D231" s="270"/>
      <c r="E231" s="270"/>
      <c r="F231" s="270"/>
      <c r="G231" s="270"/>
      <c r="H231" s="270"/>
      <c r="I231" s="270"/>
      <c r="J231" s="231"/>
      <c r="K231" s="231"/>
      <c r="L231" s="231"/>
      <c r="M231" s="231"/>
      <c r="N231" s="231"/>
      <c r="O231" s="231"/>
      <c r="P231" s="231"/>
      <c r="Q231" s="231"/>
      <c r="R231" s="270"/>
      <c r="S231" s="270"/>
      <c r="T231" s="269"/>
      <c r="U231" s="269"/>
      <c r="V231" s="269"/>
    </row>
    <row r="232" spans="1:22" x14ac:dyDescent="0.3">
      <c r="A232" s="280"/>
      <c r="B232" s="270"/>
      <c r="C232" s="270"/>
      <c r="D232" s="270"/>
      <c r="E232" s="270"/>
      <c r="F232" s="270"/>
      <c r="G232" s="270"/>
      <c r="H232" s="270"/>
      <c r="I232" s="270"/>
      <c r="J232" s="231"/>
      <c r="K232" s="231"/>
      <c r="L232" s="231"/>
      <c r="M232" s="231"/>
      <c r="N232" s="231"/>
      <c r="O232" s="231"/>
      <c r="P232" s="231"/>
      <c r="Q232" s="231"/>
      <c r="R232" s="270"/>
      <c r="S232" s="270"/>
      <c r="T232" s="269"/>
      <c r="U232" s="269"/>
      <c r="V232" s="269"/>
    </row>
    <row r="233" spans="1:22" x14ac:dyDescent="0.3">
      <c r="A233" s="280"/>
      <c r="B233" s="270"/>
      <c r="C233" s="270"/>
      <c r="D233" s="270"/>
      <c r="E233" s="270"/>
      <c r="F233" s="270"/>
      <c r="G233" s="270"/>
      <c r="H233" s="270"/>
      <c r="I233" s="270"/>
      <c r="J233" s="231"/>
      <c r="K233" s="231"/>
      <c r="L233" s="231"/>
      <c r="M233" s="231"/>
      <c r="N233" s="231"/>
      <c r="O233" s="231"/>
      <c r="P233" s="231"/>
      <c r="Q233" s="231"/>
      <c r="R233" s="270"/>
      <c r="S233" s="270"/>
      <c r="T233" s="269"/>
      <c r="U233" s="269"/>
      <c r="V233" s="269"/>
    </row>
    <row r="234" spans="1:22" x14ac:dyDescent="0.3">
      <c r="A234" s="280"/>
      <c r="B234" s="270"/>
      <c r="C234" s="270"/>
      <c r="D234" s="270"/>
      <c r="E234" s="270"/>
      <c r="F234" s="270"/>
      <c r="G234" s="270"/>
      <c r="H234" s="270"/>
      <c r="I234" s="270"/>
      <c r="J234" s="231"/>
      <c r="K234" s="231"/>
      <c r="L234" s="231"/>
      <c r="M234" s="231"/>
      <c r="N234" s="231"/>
      <c r="O234" s="231"/>
      <c r="P234" s="231"/>
      <c r="Q234" s="231"/>
      <c r="R234" s="270"/>
      <c r="S234" s="270"/>
      <c r="T234" s="269"/>
      <c r="U234" s="269"/>
      <c r="V234" s="269"/>
    </row>
    <row r="235" spans="1:22" x14ac:dyDescent="0.3">
      <c r="A235" s="280"/>
      <c r="B235" s="270"/>
      <c r="C235" s="270"/>
      <c r="D235" s="270"/>
      <c r="E235" s="270"/>
      <c r="F235" s="270"/>
      <c r="G235" s="270"/>
      <c r="H235" s="270"/>
      <c r="I235" s="270"/>
      <c r="J235" s="231"/>
      <c r="K235" s="231"/>
      <c r="L235" s="231"/>
      <c r="M235" s="231"/>
      <c r="N235" s="231"/>
      <c r="O235" s="231"/>
      <c r="P235" s="231"/>
      <c r="Q235" s="231"/>
      <c r="R235" s="270"/>
      <c r="S235" s="270"/>
      <c r="T235" s="269"/>
      <c r="U235" s="269"/>
      <c r="V235" s="269"/>
    </row>
    <row r="236" spans="1:22" x14ac:dyDescent="0.3">
      <c r="A236" s="280"/>
      <c r="B236" s="270"/>
      <c r="C236" s="270"/>
      <c r="D236" s="270"/>
      <c r="E236" s="270"/>
      <c r="F236" s="270"/>
      <c r="G236" s="270"/>
      <c r="H236" s="270"/>
      <c r="I236" s="270"/>
      <c r="J236" s="231"/>
      <c r="K236" s="231"/>
      <c r="L236" s="231"/>
      <c r="M236" s="231"/>
      <c r="N236" s="231"/>
      <c r="O236" s="231"/>
      <c r="P236" s="231"/>
      <c r="Q236" s="231"/>
      <c r="R236" s="270"/>
      <c r="S236" s="270"/>
      <c r="T236" s="269"/>
      <c r="U236" s="269"/>
      <c r="V236" s="269"/>
    </row>
    <row r="237" spans="1:22" x14ac:dyDescent="0.3">
      <c r="A237" s="280"/>
      <c r="B237" s="270"/>
      <c r="C237" s="270"/>
      <c r="D237" s="270"/>
      <c r="E237" s="270"/>
      <c r="F237" s="270"/>
      <c r="G237" s="270"/>
      <c r="H237" s="270"/>
      <c r="I237" s="270"/>
      <c r="J237" s="231"/>
      <c r="K237" s="231"/>
      <c r="L237" s="231"/>
      <c r="M237" s="231"/>
      <c r="N237" s="231"/>
      <c r="O237" s="231"/>
      <c r="P237" s="231"/>
      <c r="Q237" s="231"/>
      <c r="R237" s="270"/>
      <c r="S237" s="270"/>
      <c r="T237" s="269"/>
      <c r="U237" s="269"/>
      <c r="V237" s="269"/>
    </row>
    <row r="238" spans="1:22" x14ac:dyDescent="0.3">
      <c r="A238" s="280"/>
      <c r="B238" s="270"/>
      <c r="C238" s="270"/>
      <c r="D238" s="270"/>
      <c r="E238" s="270"/>
      <c r="F238" s="270"/>
      <c r="G238" s="270"/>
      <c r="H238" s="270"/>
      <c r="I238" s="270"/>
      <c r="J238" s="231"/>
      <c r="K238" s="231"/>
      <c r="L238" s="231"/>
      <c r="M238" s="231"/>
      <c r="N238" s="231"/>
      <c r="O238" s="231"/>
      <c r="P238" s="231"/>
      <c r="Q238" s="231"/>
      <c r="R238" s="270"/>
      <c r="S238" s="270"/>
      <c r="T238" s="269"/>
      <c r="U238" s="269"/>
      <c r="V238" s="269"/>
    </row>
    <row r="239" spans="1:22" x14ac:dyDescent="0.3">
      <c r="A239" s="280"/>
      <c r="B239" s="270"/>
      <c r="C239" s="270"/>
      <c r="D239" s="270"/>
      <c r="E239" s="270"/>
      <c r="F239" s="270"/>
      <c r="G239" s="270"/>
      <c r="H239" s="270"/>
      <c r="I239" s="270"/>
      <c r="J239" s="231"/>
      <c r="K239" s="231"/>
      <c r="L239" s="231"/>
      <c r="M239" s="231"/>
      <c r="N239" s="231"/>
      <c r="O239" s="231"/>
      <c r="P239" s="231"/>
      <c r="Q239" s="231"/>
      <c r="R239" s="270"/>
      <c r="S239" s="270"/>
      <c r="T239" s="269"/>
      <c r="U239" s="269"/>
      <c r="V239" s="269"/>
    </row>
    <row r="240" spans="1:22" x14ac:dyDescent="0.3">
      <c r="A240" s="280"/>
      <c r="B240" s="270"/>
      <c r="C240" s="270"/>
      <c r="D240" s="270"/>
      <c r="E240" s="270"/>
      <c r="F240" s="270"/>
      <c r="G240" s="270"/>
      <c r="H240" s="270"/>
      <c r="I240" s="270"/>
      <c r="J240" s="231"/>
      <c r="K240" s="231"/>
      <c r="L240" s="231"/>
      <c r="M240" s="231"/>
      <c r="N240" s="231"/>
      <c r="O240" s="231"/>
      <c r="P240" s="231"/>
      <c r="Q240" s="231"/>
      <c r="R240" s="270"/>
      <c r="S240" s="270"/>
      <c r="T240" s="269"/>
      <c r="U240" s="269"/>
      <c r="V240" s="269"/>
    </row>
    <row r="241" spans="1:22" x14ac:dyDescent="0.3">
      <c r="A241" s="280"/>
      <c r="B241" s="270"/>
      <c r="C241" s="270"/>
      <c r="D241" s="270"/>
      <c r="E241" s="270"/>
      <c r="F241" s="270"/>
      <c r="G241" s="270"/>
      <c r="H241" s="270"/>
      <c r="I241" s="270"/>
      <c r="J241" s="231"/>
      <c r="K241" s="231"/>
      <c r="L241" s="231"/>
      <c r="M241" s="231"/>
      <c r="N241" s="231"/>
      <c r="O241" s="231"/>
      <c r="P241" s="231"/>
      <c r="Q241" s="231"/>
      <c r="R241" s="270"/>
      <c r="S241" s="270"/>
      <c r="T241" s="269"/>
      <c r="U241" s="269"/>
      <c r="V241" s="269"/>
    </row>
    <row r="242" spans="1:22" x14ac:dyDescent="0.3">
      <c r="A242" s="280"/>
      <c r="B242" s="270"/>
      <c r="C242" s="270"/>
      <c r="D242" s="270"/>
      <c r="E242" s="270"/>
      <c r="F242" s="270"/>
      <c r="G242" s="270"/>
      <c r="H242" s="270"/>
      <c r="I242" s="270"/>
      <c r="J242" s="231"/>
      <c r="K242" s="231"/>
      <c r="L242" s="231"/>
      <c r="M242" s="231"/>
      <c r="N242" s="231"/>
      <c r="O242" s="231"/>
      <c r="P242" s="231"/>
      <c r="Q242" s="231"/>
      <c r="R242" s="270"/>
      <c r="S242" s="270"/>
      <c r="T242" s="269"/>
      <c r="U242" s="269"/>
      <c r="V242" s="269"/>
    </row>
    <row r="243" spans="1:22" x14ac:dyDescent="0.3">
      <c r="A243" s="280"/>
      <c r="B243" s="270"/>
      <c r="C243" s="270"/>
      <c r="D243" s="270"/>
      <c r="E243" s="270"/>
      <c r="F243" s="270"/>
      <c r="G243" s="270"/>
      <c r="H243" s="270"/>
      <c r="I243" s="270"/>
      <c r="J243" s="231"/>
      <c r="K243" s="231"/>
      <c r="L243" s="231"/>
      <c r="M243" s="231"/>
      <c r="N243" s="231"/>
      <c r="O243" s="231"/>
      <c r="P243" s="231"/>
      <c r="Q243" s="231"/>
      <c r="R243" s="270"/>
      <c r="S243" s="270"/>
      <c r="T243" s="269"/>
      <c r="U243" s="269"/>
      <c r="V243" s="269"/>
    </row>
    <row r="244" spans="1:22" x14ac:dyDescent="0.3">
      <c r="A244" s="280"/>
      <c r="B244" s="270"/>
      <c r="C244" s="270"/>
      <c r="D244" s="270"/>
      <c r="E244" s="270"/>
      <c r="F244" s="270"/>
      <c r="G244" s="270"/>
      <c r="H244" s="270"/>
      <c r="I244" s="270"/>
      <c r="J244" s="231"/>
      <c r="K244" s="231"/>
      <c r="L244" s="231"/>
      <c r="M244" s="231"/>
      <c r="N244" s="231"/>
      <c r="O244" s="231"/>
      <c r="P244" s="231"/>
      <c r="Q244" s="231"/>
      <c r="R244" s="270"/>
      <c r="S244" s="270"/>
      <c r="T244" s="269"/>
      <c r="U244" s="269"/>
      <c r="V244" s="269"/>
    </row>
    <row r="245" spans="1:22" x14ac:dyDescent="0.3">
      <c r="A245" s="280"/>
      <c r="B245" s="270"/>
      <c r="C245" s="270"/>
      <c r="D245" s="270"/>
      <c r="E245" s="270"/>
      <c r="F245" s="270"/>
      <c r="G245" s="270"/>
      <c r="H245" s="270"/>
      <c r="I245" s="270"/>
      <c r="J245" s="231"/>
      <c r="K245" s="231"/>
      <c r="L245" s="231"/>
      <c r="M245" s="231"/>
      <c r="N245" s="231"/>
      <c r="O245" s="231"/>
      <c r="P245" s="231"/>
      <c r="Q245" s="231"/>
      <c r="R245" s="270"/>
      <c r="S245" s="270"/>
      <c r="T245" s="269"/>
      <c r="U245" s="269"/>
      <c r="V245" s="269"/>
    </row>
    <row r="246" spans="1:22" x14ac:dyDescent="0.3">
      <c r="A246" s="280"/>
      <c r="B246" s="270"/>
      <c r="C246" s="270"/>
      <c r="D246" s="270"/>
      <c r="E246" s="270"/>
      <c r="F246" s="270"/>
      <c r="G246" s="270"/>
      <c r="H246" s="270"/>
      <c r="I246" s="270"/>
      <c r="J246" s="231"/>
      <c r="K246" s="231"/>
      <c r="L246" s="231"/>
      <c r="M246" s="231"/>
      <c r="N246" s="231"/>
      <c r="O246" s="231"/>
      <c r="P246" s="231"/>
      <c r="Q246" s="231"/>
      <c r="R246" s="270"/>
      <c r="S246" s="270"/>
      <c r="T246" s="269"/>
      <c r="U246" s="269"/>
      <c r="V246" s="269"/>
    </row>
    <row r="247" spans="1:22" x14ac:dyDescent="0.3">
      <c r="A247" s="280"/>
      <c r="B247" s="270"/>
      <c r="C247" s="270"/>
      <c r="D247" s="270"/>
      <c r="E247" s="270"/>
      <c r="F247" s="270"/>
      <c r="G247" s="270"/>
      <c r="H247" s="270"/>
      <c r="I247" s="270"/>
      <c r="J247" s="231"/>
      <c r="K247" s="231"/>
      <c r="L247" s="231"/>
      <c r="M247" s="231"/>
      <c r="N247" s="231"/>
      <c r="O247" s="231"/>
      <c r="P247" s="231"/>
      <c r="Q247" s="231"/>
      <c r="R247" s="270"/>
      <c r="S247" s="270"/>
      <c r="T247" s="269"/>
      <c r="U247" s="269"/>
      <c r="V247" s="269"/>
    </row>
    <row r="248" spans="1:22" x14ac:dyDescent="0.3">
      <c r="A248" s="280"/>
      <c r="B248" s="270"/>
      <c r="C248" s="270"/>
      <c r="D248" s="270"/>
      <c r="E248" s="270"/>
      <c r="F248" s="270"/>
      <c r="G248" s="270"/>
      <c r="H248" s="270"/>
      <c r="I248" s="270"/>
      <c r="J248" s="231"/>
      <c r="K248" s="231"/>
      <c r="L248" s="231"/>
      <c r="M248" s="231"/>
      <c r="N248" s="231"/>
      <c r="O248" s="231"/>
      <c r="P248" s="231"/>
      <c r="Q248" s="231"/>
      <c r="R248" s="270"/>
      <c r="S248" s="270"/>
      <c r="T248" s="269"/>
      <c r="U248" s="269"/>
      <c r="V248" s="269"/>
    </row>
    <row r="249" spans="1:22" x14ac:dyDescent="0.3">
      <c r="A249" s="280"/>
      <c r="B249" s="270"/>
      <c r="C249" s="270"/>
      <c r="D249" s="270"/>
      <c r="E249" s="270"/>
      <c r="F249" s="270"/>
      <c r="G249" s="270"/>
      <c r="H249" s="270"/>
      <c r="I249" s="270"/>
      <c r="J249" s="231"/>
      <c r="K249" s="231"/>
      <c r="L249" s="231"/>
      <c r="M249" s="231"/>
      <c r="N249" s="231"/>
      <c r="O249" s="231"/>
      <c r="P249" s="231"/>
      <c r="Q249" s="231"/>
      <c r="R249" s="270"/>
      <c r="S249" s="270"/>
      <c r="T249" s="269"/>
      <c r="U249" s="269"/>
      <c r="V249" s="269"/>
    </row>
    <row r="250" spans="1:22" x14ac:dyDescent="0.3">
      <c r="A250" s="280"/>
      <c r="B250" s="270"/>
      <c r="C250" s="270"/>
      <c r="D250" s="270"/>
      <c r="E250" s="270"/>
      <c r="F250" s="270"/>
      <c r="G250" s="270"/>
      <c r="H250" s="270"/>
      <c r="I250" s="270"/>
      <c r="J250" s="231"/>
      <c r="K250" s="231"/>
      <c r="L250" s="231"/>
      <c r="M250" s="231"/>
      <c r="N250" s="231"/>
      <c r="O250" s="231"/>
      <c r="P250" s="231"/>
      <c r="Q250" s="231"/>
      <c r="R250" s="270"/>
      <c r="S250" s="270"/>
      <c r="T250" s="269"/>
      <c r="U250" s="269"/>
      <c r="V250" s="269"/>
    </row>
    <row r="251" spans="1:22" x14ac:dyDescent="0.3">
      <c r="A251" s="280"/>
      <c r="B251" s="270"/>
      <c r="C251" s="270"/>
      <c r="D251" s="270"/>
      <c r="E251" s="270"/>
      <c r="F251" s="270"/>
      <c r="G251" s="270"/>
      <c r="H251" s="270"/>
      <c r="I251" s="270"/>
      <c r="J251" s="231"/>
      <c r="K251" s="231"/>
      <c r="L251" s="231"/>
      <c r="M251" s="231"/>
      <c r="N251" s="231"/>
      <c r="O251" s="231"/>
      <c r="P251" s="231"/>
      <c r="Q251" s="231"/>
      <c r="R251" s="270"/>
      <c r="S251" s="270"/>
      <c r="T251" s="269"/>
      <c r="U251" s="269"/>
      <c r="V251" s="269"/>
    </row>
    <row r="252" spans="1:22" x14ac:dyDescent="0.3">
      <c r="A252" s="280"/>
      <c r="B252" s="270"/>
      <c r="C252" s="270"/>
      <c r="D252" s="270"/>
      <c r="E252" s="270"/>
      <c r="F252" s="270"/>
      <c r="G252" s="270"/>
      <c r="H252" s="270"/>
      <c r="I252" s="270"/>
      <c r="J252" s="231"/>
      <c r="K252" s="231"/>
      <c r="L252" s="231"/>
      <c r="M252" s="231"/>
      <c r="N252" s="231"/>
      <c r="O252" s="231"/>
      <c r="P252" s="231"/>
      <c r="Q252" s="231"/>
      <c r="R252" s="270"/>
      <c r="S252" s="270"/>
      <c r="T252" s="269"/>
      <c r="U252" s="269"/>
      <c r="V252" s="269"/>
    </row>
    <row r="253" spans="1:22" x14ac:dyDescent="0.3">
      <c r="A253" s="280"/>
      <c r="B253" s="270"/>
      <c r="C253" s="270"/>
      <c r="D253" s="270"/>
      <c r="E253" s="270"/>
      <c r="F253" s="270"/>
      <c r="G253" s="270"/>
      <c r="H253" s="270"/>
      <c r="I253" s="270"/>
      <c r="J253" s="231"/>
      <c r="K253" s="231"/>
      <c r="L253" s="231"/>
      <c r="M253" s="231"/>
      <c r="N253" s="231"/>
      <c r="O253" s="231"/>
      <c r="P253" s="231"/>
      <c r="Q253" s="231"/>
      <c r="R253" s="270"/>
      <c r="S253" s="270"/>
      <c r="T253" s="269"/>
      <c r="U253" s="269"/>
      <c r="V253" s="269"/>
    </row>
    <row r="254" spans="1:22" x14ac:dyDescent="0.3">
      <c r="A254" s="280"/>
      <c r="B254" s="270"/>
      <c r="C254" s="270"/>
      <c r="D254" s="270"/>
      <c r="E254" s="270"/>
      <c r="F254" s="270"/>
      <c r="G254" s="270"/>
      <c r="H254" s="270"/>
      <c r="I254" s="270"/>
      <c r="J254" s="231"/>
      <c r="K254" s="231"/>
      <c r="L254" s="231"/>
      <c r="M254" s="231"/>
      <c r="N254" s="231"/>
      <c r="O254" s="231"/>
      <c r="P254" s="231"/>
      <c r="Q254" s="231"/>
      <c r="R254" s="270"/>
      <c r="S254" s="270"/>
      <c r="T254" s="269"/>
      <c r="U254" s="269"/>
      <c r="V254" s="269"/>
    </row>
    <row r="255" spans="1:22" x14ac:dyDescent="0.3">
      <c r="A255" s="280"/>
      <c r="B255" s="270"/>
      <c r="C255" s="270"/>
      <c r="D255" s="270"/>
      <c r="E255" s="270"/>
      <c r="F255" s="270"/>
      <c r="G255" s="270"/>
      <c r="H255" s="270"/>
      <c r="I255" s="270"/>
      <c r="J255" s="231"/>
      <c r="K255" s="231"/>
      <c r="L255" s="231"/>
      <c r="M255" s="231"/>
      <c r="N255" s="231"/>
      <c r="O255" s="231"/>
      <c r="P255" s="231"/>
      <c r="Q255" s="231"/>
      <c r="R255" s="270"/>
      <c r="S255" s="270"/>
      <c r="T255" s="269"/>
      <c r="U255" s="269"/>
      <c r="V255" s="269"/>
    </row>
    <row r="256" spans="1:22" x14ac:dyDescent="0.3">
      <c r="A256" s="280"/>
      <c r="B256" s="270"/>
      <c r="C256" s="270"/>
      <c r="D256" s="270"/>
      <c r="E256" s="270"/>
      <c r="F256" s="270"/>
      <c r="G256" s="270"/>
      <c r="H256" s="270"/>
      <c r="I256" s="270"/>
      <c r="J256" s="231"/>
      <c r="K256" s="231"/>
      <c r="L256" s="231"/>
      <c r="M256" s="231"/>
      <c r="N256" s="231"/>
      <c r="O256" s="231"/>
      <c r="P256" s="231"/>
      <c r="Q256" s="231"/>
      <c r="R256" s="270"/>
      <c r="S256" s="270"/>
      <c r="T256" s="269"/>
      <c r="U256" s="269"/>
      <c r="V256" s="269"/>
    </row>
    <row r="257" spans="1:22" x14ac:dyDescent="0.3">
      <c r="A257" s="280"/>
      <c r="B257" s="270"/>
      <c r="C257" s="270"/>
      <c r="D257" s="270"/>
      <c r="E257" s="270"/>
      <c r="F257" s="270"/>
      <c r="G257" s="270"/>
      <c r="H257" s="270"/>
      <c r="I257" s="270"/>
      <c r="J257" s="231"/>
      <c r="K257" s="231"/>
      <c r="L257" s="231"/>
      <c r="M257" s="231"/>
      <c r="N257" s="231"/>
      <c r="O257" s="231"/>
      <c r="P257" s="231"/>
      <c r="Q257" s="231"/>
      <c r="R257" s="270"/>
      <c r="S257" s="270"/>
      <c r="T257" s="269"/>
      <c r="U257" s="269"/>
      <c r="V257" s="269"/>
    </row>
    <row r="258" spans="1:22" x14ac:dyDescent="0.3">
      <c r="A258" s="280"/>
      <c r="B258" s="270"/>
      <c r="C258" s="270"/>
      <c r="D258" s="270"/>
      <c r="E258" s="270"/>
      <c r="F258" s="270"/>
      <c r="G258" s="270"/>
      <c r="H258" s="270"/>
      <c r="I258" s="270"/>
      <c r="J258" s="231"/>
      <c r="K258" s="231"/>
      <c r="L258" s="231"/>
      <c r="M258" s="231"/>
      <c r="N258" s="231"/>
      <c r="O258" s="231"/>
      <c r="P258" s="231"/>
      <c r="Q258" s="231"/>
      <c r="R258" s="270"/>
      <c r="S258" s="270"/>
      <c r="T258" s="269"/>
      <c r="U258" s="269"/>
      <c r="V258" s="269"/>
    </row>
    <row r="259" spans="1:22" x14ac:dyDescent="0.3">
      <c r="A259" s="280"/>
      <c r="B259" s="270"/>
      <c r="C259" s="270"/>
      <c r="D259" s="270"/>
      <c r="E259" s="270"/>
      <c r="F259" s="270"/>
      <c r="G259" s="270"/>
      <c r="H259" s="270"/>
      <c r="I259" s="270"/>
      <c r="J259" s="231"/>
      <c r="K259" s="231"/>
      <c r="L259" s="231"/>
      <c r="M259" s="231"/>
      <c r="N259" s="231"/>
      <c r="O259" s="231"/>
      <c r="P259" s="231"/>
      <c r="Q259" s="231"/>
      <c r="R259" s="270"/>
      <c r="S259" s="270"/>
      <c r="T259" s="269"/>
      <c r="U259" s="269"/>
      <c r="V259" s="269"/>
    </row>
    <row r="260" spans="1:22" x14ac:dyDescent="0.3">
      <c r="A260" s="280"/>
      <c r="B260" s="270"/>
      <c r="C260" s="270"/>
      <c r="D260" s="270"/>
      <c r="E260" s="270"/>
      <c r="F260" s="270"/>
      <c r="G260" s="270"/>
      <c r="H260" s="270"/>
      <c r="I260" s="270"/>
      <c r="J260" s="231"/>
      <c r="K260" s="231"/>
      <c r="L260" s="231"/>
      <c r="M260" s="231"/>
      <c r="N260" s="231"/>
      <c r="O260" s="231"/>
      <c r="P260" s="231"/>
      <c r="Q260" s="231"/>
      <c r="R260" s="270"/>
      <c r="S260" s="270"/>
      <c r="T260" s="269"/>
      <c r="U260" s="269"/>
      <c r="V260" s="269"/>
    </row>
    <row r="261" spans="1:22" x14ac:dyDescent="0.3">
      <c r="A261" s="280"/>
      <c r="B261" s="270"/>
      <c r="C261" s="270"/>
      <c r="D261" s="270"/>
      <c r="E261" s="270"/>
      <c r="F261" s="270"/>
      <c r="G261" s="270"/>
      <c r="H261" s="270"/>
      <c r="I261" s="270"/>
      <c r="J261" s="231"/>
      <c r="K261" s="231"/>
      <c r="L261" s="231"/>
      <c r="M261" s="231"/>
      <c r="N261" s="231"/>
      <c r="O261" s="231"/>
      <c r="P261" s="231"/>
      <c r="Q261" s="231"/>
      <c r="R261" s="270"/>
      <c r="S261" s="270"/>
      <c r="T261" s="269"/>
      <c r="U261" s="269"/>
      <c r="V261" s="269"/>
    </row>
    <row r="262" spans="1:22" x14ac:dyDescent="0.3">
      <c r="A262" s="280"/>
      <c r="B262" s="270"/>
      <c r="C262" s="270"/>
      <c r="D262" s="270"/>
      <c r="E262" s="270"/>
      <c r="F262" s="270"/>
      <c r="G262" s="270"/>
      <c r="H262" s="270"/>
      <c r="I262" s="270"/>
      <c r="J262" s="231"/>
      <c r="K262" s="231"/>
      <c r="L262" s="231"/>
      <c r="M262" s="231"/>
      <c r="N262" s="231"/>
      <c r="O262" s="231"/>
      <c r="P262" s="231"/>
      <c r="Q262" s="231"/>
      <c r="R262" s="270"/>
      <c r="S262" s="270"/>
      <c r="T262" s="269"/>
      <c r="U262" s="269"/>
      <c r="V262" s="269"/>
    </row>
    <row r="263" spans="1:22" x14ac:dyDescent="0.3">
      <c r="A263" s="280"/>
      <c r="B263" s="270"/>
      <c r="C263" s="270"/>
      <c r="D263" s="270"/>
      <c r="E263" s="270"/>
      <c r="F263" s="270"/>
      <c r="G263" s="270"/>
      <c r="H263" s="270"/>
      <c r="I263" s="270"/>
      <c r="J263" s="231"/>
      <c r="K263" s="231"/>
      <c r="L263" s="231"/>
      <c r="M263" s="231"/>
      <c r="N263" s="231"/>
      <c r="O263" s="231"/>
      <c r="P263" s="231"/>
      <c r="Q263" s="231"/>
      <c r="R263" s="270"/>
      <c r="S263" s="270"/>
      <c r="T263" s="269"/>
      <c r="U263" s="269"/>
      <c r="V263" s="269"/>
    </row>
    <row r="264" spans="1:22" x14ac:dyDescent="0.3">
      <c r="A264" s="280"/>
      <c r="B264" s="270"/>
      <c r="C264" s="270"/>
      <c r="D264" s="270"/>
      <c r="E264" s="270"/>
      <c r="F264" s="270"/>
      <c r="G264" s="270"/>
      <c r="H264" s="270"/>
      <c r="I264" s="270"/>
      <c r="J264" s="231"/>
      <c r="K264" s="231"/>
      <c r="L264" s="231"/>
      <c r="M264" s="231"/>
      <c r="N264" s="231"/>
      <c r="O264" s="231"/>
      <c r="P264" s="231"/>
      <c r="Q264" s="231"/>
      <c r="R264" s="270"/>
      <c r="S264" s="270"/>
      <c r="T264" s="269"/>
      <c r="U264" s="269"/>
      <c r="V264" s="269"/>
    </row>
    <row r="265" spans="1:22" x14ac:dyDescent="0.3">
      <c r="A265" s="280"/>
      <c r="B265" s="270"/>
      <c r="C265" s="270"/>
      <c r="D265" s="270"/>
      <c r="E265" s="270"/>
      <c r="F265" s="270"/>
      <c r="G265" s="270"/>
      <c r="H265" s="270"/>
      <c r="I265" s="270"/>
      <c r="J265" s="231"/>
      <c r="K265" s="231"/>
      <c r="L265" s="231"/>
      <c r="M265" s="231"/>
      <c r="N265" s="231"/>
      <c r="O265" s="231"/>
      <c r="P265" s="231"/>
      <c r="Q265" s="231"/>
      <c r="R265" s="270"/>
      <c r="S265" s="270"/>
      <c r="T265" s="269"/>
      <c r="U265" s="269"/>
      <c r="V265" s="269"/>
    </row>
    <row r="266" spans="1:22" x14ac:dyDescent="0.3">
      <c r="A266" s="280"/>
      <c r="B266" s="270"/>
      <c r="C266" s="270"/>
      <c r="D266" s="270"/>
      <c r="E266" s="270"/>
      <c r="F266" s="270"/>
      <c r="G266" s="270"/>
      <c r="H266" s="270"/>
      <c r="I266" s="270"/>
      <c r="J266" s="231"/>
      <c r="K266" s="231"/>
      <c r="L266" s="231"/>
      <c r="M266" s="231"/>
      <c r="N266" s="231"/>
      <c r="O266" s="231"/>
      <c r="P266" s="231"/>
      <c r="Q266" s="231"/>
      <c r="R266" s="270"/>
      <c r="S266" s="270"/>
      <c r="T266" s="269"/>
      <c r="U266" s="269"/>
      <c r="V266" s="269"/>
    </row>
    <row r="267" spans="1:22" x14ac:dyDescent="0.3">
      <c r="A267" s="280"/>
      <c r="B267" s="270"/>
      <c r="C267" s="270"/>
      <c r="D267" s="270"/>
      <c r="E267" s="270"/>
      <c r="F267" s="270"/>
      <c r="G267" s="270"/>
      <c r="H267" s="270"/>
      <c r="I267" s="270"/>
      <c r="J267" s="231"/>
      <c r="K267" s="231"/>
      <c r="L267" s="231"/>
      <c r="M267" s="231"/>
      <c r="N267" s="231"/>
      <c r="O267" s="231"/>
      <c r="P267" s="231"/>
      <c r="Q267" s="231"/>
      <c r="R267" s="270"/>
      <c r="S267" s="270"/>
      <c r="T267" s="269"/>
      <c r="U267" s="269"/>
      <c r="V267" s="269"/>
    </row>
    <row r="268" spans="1:22" x14ac:dyDescent="0.3">
      <c r="A268" s="280"/>
      <c r="B268" s="270"/>
      <c r="C268" s="270"/>
      <c r="D268" s="270"/>
      <c r="E268" s="270"/>
      <c r="F268" s="270"/>
      <c r="G268" s="270"/>
      <c r="H268" s="270"/>
      <c r="I268" s="270"/>
      <c r="J268" s="231"/>
      <c r="K268" s="231"/>
      <c r="L268" s="231"/>
      <c r="M268" s="231"/>
      <c r="N268" s="231"/>
      <c r="O268" s="231"/>
      <c r="P268" s="231"/>
      <c r="Q268" s="231"/>
      <c r="R268" s="270"/>
      <c r="S268" s="270"/>
      <c r="T268" s="269"/>
      <c r="U268" s="269"/>
      <c r="V268" s="269"/>
    </row>
    <row r="269" spans="1:22" x14ac:dyDescent="0.3">
      <c r="A269" s="280"/>
      <c r="B269" s="270"/>
      <c r="C269" s="270"/>
      <c r="D269" s="270"/>
      <c r="E269" s="270"/>
      <c r="F269" s="270"/>
      <c r="G269" s="270"/>
      <c r="H269" s="270"/>
      <c r="I269" s="270"/>
      <c r="J269" s="231"/>
      <c r="K269" s="231"/>
      <c r="L269" s="231"/>
      <c r="M269" s="231"/>
      <c r="N269" s="231"/>
      <c r="O269" s="231"/>
      <c r="P269" s="231"/>
      <c r="Q269" s="231"/>
      <c r="R269" s="270"/>
      <c r="S269" s="270"/>
      <c r="T269" s="269"/>
      <c r="U269" s="269"/>
      <c r="V269" s="269"/>
    </row>
    <row r="270" spans="1:22" x14ac:dyDescent="0.3">
      <c r="A270" s="280"/>
      <c r="B270" s="270"/>
      <c r="C270" s="270"/>
      <c r="D270" s="270"/>
      <c r="E270" s="270"/>
      <c r="F270" s="270"/>
      <c r="G270" s="270"/>
      <c r="H270" s="270"/>
      <c r="I270" s="270"/>
      <c r="J270" s="231"/>
      <c r="K270" s="231"/>
      <c r="L270" s="231"/>
      <c r="M270" s="231"/>
      <c r="N270" s="231"/>
      <c r="O270" s="231"/>
      <c r="P270" s="231"/>
      <c r="Q270" s="231"/>
      <c r="R270" s="270"/>
      <c r="S270" s="270"/>
      <c r="T270" s="269"/>
      <c r="U270" s="269"/>
      <c r="V270" s="269"/>
    </row>
    <row r="271" spans="1:22" x14ac:dyDescent="0.3">
      <c r="A271" s="280"/>
      <c r="B271" s="270"/>
      <c r="C271" s="270"/>
      <c r="D271" s="270"/>
      <c r="E271" s="270"/>
      <c r="F271" s="270"/>
      <c r="G271" s="270"/>
      <c r="H271" s="270"/>
      <c r="I271" s="270"/>
      <c r="J271" s="231"/>
      <c r="K271" s="231"/>
      <c r="L271" s="231"/>
      <c r="M271" s="231"/>
      <c r="N271" s="231"/>
      <c r="O271" s="231"/>
      <c r="P271" s="231"/>
      <c r="Q271" s="231"/>
      <c r="R271" s="270"/>
      <c r="S271" s="270"/>
      <c r="T271" s="269"/>
      <c r="U271" s="269"/>
      <c r="V271" s="269"/>
    </row>
    <row r="272" spans="1:22" x14ac:dyDescent="0.3">
      <c r="A272" s="280"/>
      <c r="B272" s="270"/>
      <c r="C272" s="270"/>
      <c r="D272" s="270"/>
      <c r="E272" s="270"/>
      <c r="F272" s="270"/>
      <c r="G272" s="270"/>
      <c r="H272" s="270"/>
      <c r="I272" s="270"/>
      <c r="J272" s="231"/>
      <c r="K272" s="231"/>
      <c r="L272" s="231"/>
      <c r="M272" s="231"/>
      <c r="N272" s="231"/>
      <c r="O272" s="231"/>
      <c r="P272" s="231"/>
      <c r="Q272" s="231"/>
      <c r="R272" s="270"/>
      <c r="S272" s="270"/>
      <c r="T272" s="269"/>
      <c r="U272" s="269"/>
      <c r="V272" s="269"/>
    </row>
    <row r="273" spans="1:22" x14ac:dyDescent="0.3">
      <c r="A273" s="280"/>
      <c r="B273" s="270"/>
      <c r="C273" s="270"/>
      <c r="D273" s="270"/>
      <c r="E273" s="270"/>
      <c r="F273" s="270"/>
      <c r="G273" s="270"/>
      <c r="H273" s="270"/>
      <c r="I273" s="270"/>
      <c r="J273" s="231"/>
      <c r="K273" s="231"/>
      <c r="L273" s="231"/>
      <c r="M273" s="231"/>
      <c r="N273" s="231"/>
      <c r="O273" s="231"/>
      <c r="P273" s="231"/>
      <c r="Q273" s="231"/>
      <c r="R273" s="270"/>
      <c r="S273" s="270"/>
      <c r="T273" s="269"/>
      <c r="U273" s="269"/>
      <c r="V273" s="269"/>
    </row>
    <row r="274" spans="1:22" x14ac:dyDescent="0.3">
      <c r="A274" s="280"/>
      <c r="B274" s="270"/>
      <c r="C274" s="270"/>
      <c r="D274" s="270"/>
      <c r="E274" s="270"/>
      <c r="F274" s="270"/>
      <c r="G274" s="270"/>
      <c r="H274" s="270"/>
      <c r="I274" s="270"/>
      <c r="J274" s="231"/>
      <c r="K274" s="231"/>
      <c r="L274" s="231"/>
      <c r="M274" s="231"/>
      <c r="N274" s="231"/>
      <c r="O274" s="231"/>
      <c r="P274" s="231"/>
      <c r="Q274" s="231"/>
      <c r="R274" s="270"/>
      <c r="S274" s="270"/>
      <c r="T274" s="269"/>
      <c r="U274" s="269"/>
      <c r="V274" s="269"/>
    </row>
    <row r="275" spans="1:22" x14ac:dyDescent="0.3">
      <c r="A275" s="280"/>
      <c r="B275" s="270"/>
      <c r="C275" s="270"/>
      <c r="D275" s="270"/>
      <c r="E275" s="270"/>
      <c r="F275" s="270"/>
      <c r="G275" s="270"/>
      <c r="H275" s="270"/>
      <c r="I275" s="270"/>
      <c r="J275" s="231"/>
      <c r="K275" s="231"/>
      <c r="L275" s="231"/>
      <c r="M275" s="231"/>
      <c r="N275" s="231"/>
      <c r="O275" s="231"/>
      <c r="P275" s="231"/>
      <c r="Q275" s="231"/>
      <c r="R275" s="270"/>
      <c r="S275" s="270"/>
      <c r="T275" s="269"/>
      <c r="U275" s="269"/>
      <c r="V275" s="269"/>
    </row>
    <row r="276" spans="1:22" x14ac:dyDescent="0.3">
      <c r="A276" s="280"/>
      <c r="B276" s="270"/>
      <c r="C276" s="270"/>
      <c r="D276" s="270"/>
      <c r="E276" s="270"/>
      <c r="F276" s="270"/>
      <c r="G276" s="270"/>
      <c r="H276" s="270"/>
      <c r="I276" s="270"/>
      <c r="J276" s="231"/>
      <c r="K276" s="231"/>
      <c r="L276" s="231"/>
      <c r="M276" s="231"/>
      <c r="N276" s="231"/>
      <c r="O276" s="231"/>
      <c r="P276" s="231"/>
      <c r="Q276" s="231"/>
      <c r="R276" s="270"/>
      <c r="S276" s="270"/>
      <c r="T276" s="269"/>
      <c r="U276" s="269"/>
      <c r="V276" s="269"/>
    </row>
    <row r="277" spans="1:22" x14ac:dyDescent="0.3">
      <c r="A277" s="280"/>
      <c r="B277" s="270"/>
      <c r="C277" s="270"/>
      <c r="D277" s="270"/>
      <c r="E277" s="270"/>
      <c r="F277" s="270"/>
      <c r="G277" s="270"/>
      <c r="H277" s="270"/>
      <c r="I277" s="270"/>
      <c r="J277" s="231"/>
      <c r="K277" s="231"/>
      <c r="L277" s="231"/>
      <c r="M277" s="231"/>
      <c r="N277" s="231"/>
      <c r="O277" s="231"/>
      <c r="P277" s="231"/>
      <c r="Q277" s="231"/>
      <c r="R277" s="270"/>
      <c r="S277" s="270"/>
      <c r="T277" s="269"/>
      <c r="U277" s="269"/>
      <c r="V277" s="269"/>
    </row>
    <row r="278" spans="1:22" x14ac:dyDescent="0.3">
      <c r="A278" s="280"/>
      <c r="B278" s="270"/>
      <c r="C278" s="270"/>
      <c r="D278" s="270"/>
      <c r="E278" s="270"/>
      <c r="F278" s="270"/>
      <c r="G278" s="270"/>
      <c r="H278" s="270"/>
      <c r="I278" s="270"/>
      <c r="J278" s="231"/>
      <c r="K278" s="231"/>
      <c r="L278" s="231"/>
      <c r="M278" s="231"/>
      <c r="N278" s="231"/>
      <c r="O278" s="231"/>
      <c r="P278" s="231"/>
      <c r="Q278" s="231"/>
      <c r="R278" s="270"/>
      <c r="S278" s="270"/>
      <c r="T278" s="269"/>
      <c r="U278" s="269"/>
      <c r="V278" s="269"/>
    </row>
    <row r="279" spans="1:22" x14ac:dyDescent="0.3">
      <c r="A279" s="280"/>
      <c r="B279" s="270"/>
      <c r="C279" s="270"/>
      <c r="D279" s="270"/>
      <c r="E279" s="270"/>
      <c r="F279" s="270"/>
      <c r="G279" s="270"/>
      <c r="H279" s="270"/>
      <c r="I279" s="270"/>
      <c r="J279" s="231"/>
      <c r="K279" s="231"/>
      <c r="L279" s="231"/>
      <c r="M279" s="231"/>
      <c r="N279" s="231"/>
      <c r="O279" s="231"/>
      <c r="P279" s="231"/>
      <c r="Q279" s="231"/>
      <c r="R279" s="270"/>
      <c r="S279" s="270"/>
      <c r="T279" s="269"/>
      <c r="U279" s="269"/>
      <c r="V279" s="269"/>
    </row>
    <row r="280" spans="1:22" x14ac:dyDescent="0.3">
      <c r="A280" s="280"/>
      <c r="B280" s="270"/>
      <c r="C280" s="270"/>
      <c r="D280" s="270"/>
      <c r="E280" s="270"/>
      <c r="F280" s="270"/>
      <c r="G280" s="270"/>
      <c r="H280" s="270"/>
      <c r="I280" s="270"/>
      <c r="J280" s="231"/>
      <c r="K280" s="231"/>
      <c r="L280" s="231"/>
      <c r="M280" s="231"/>
      <c r="N280" s="231"/>
      <c r="O280" s="231"/>
      <c r="P280" s="231"/>
      <c r="Q280" s="231"/>
      <c r="R280" s="270"/>
      <c r="S280" s="270"/>
      <c r="T280" s="269"/>
      <c r="U280" s="269"/>
      <c r="V280" s="269"/>
    </row>
    <row r="281" spans="1:22" x14ac:dyDescent="0.3">
      <c r="A281" s="280"/>
      <c r="B281" s="270"/>
      <c r="C281" s="270"/>
      <c r="D281" s="270"/>
      <c r="E281" s="270"/>
      <c r="F281" s="270"/>
      <c r="G281" s="270"/>
      <c r="H281" s="270"/>
      <c r="I281" s="270"/>
      <c r="J281" s="231"/>
      <c r="K281" s="231"/>
      <c r="L281" s="231"/>
      <c r="M281" s="231"/>
      <c r="N281" s="231"/>
      <c r="O281" s="231"/>
      <c r="P281" s="231"/>
      <c r="Q281" s="231"/>
      <c r="R281" s="270"/>
      <c r="S281" s="270"/>
      <c r="T281" s="269"/>
      <c r="U281" s="269"/>
      <c r="V281" s="269"/>
    </row>
    <row r="282" spans="1:22" x14ac:dyDescent="0.3">
      <c r="A282" s="280"/>
      <c r="B282" s="270"/>
      <c r="C282" s="270"/>
      <c r="D282" s="270"/>
      <c r="E282" s="270"/>
      <c r="F282" s="270"/>
      <c r="G282" s="270"/>
      <c r="H282" s="270"/>
      <c r="I282" s="270"/>
      <c r="J282" s="231"/>
      <c r="K282" s="231"/>
      <c r="L282" s="231"/>
      <c r="M282" s="231"/>
      <c r="N282" s="231"/>
      <c r="O282" s="231"/>
      <c r="P282" s="231"/>
      <c r="Q282" s="231"/>
      <c r="R282" s="270"/>
      <c r="S282" s="270"/>
      <c r="T282" s="269"/>
      <c r="U282" s="269"/>
      <c r="V282" s="269"/>
    </row>
    <row r="283" spans="1:22" x14ac:dyDescent="0.3">
      <c r="A283" s="280"/>
      <c r="B283" s="270"/>
      <c r="C283" s="270"/>
      <c r="D283" s="270"/>
      <c r="E283" s="270"/>
      <c r="F283" s="270"/>
      <c r="G283" s="270"/>
      <c r="H283" s="270"/>
      <c r="I283" s="270"/>
      <c r="J283" s="231"/>
      <c r="K283" s="231"/>
      <c r="L283" s="231"/>
      <c r="M283" s="231"/>
      <c r="N283" s="231"/>
      <c r="O283" s="231"/>
      <c r="P283" s="231"/>
      <c r="Q283" s="231"/>
      <c r="R283" s="270"/>
      <c r="S283" s="270"/>
      <c r="T283" s="269"/>
      <c r="U283" s="269"/>
      <c r="V283" s="269"/>
    </row>
    <row r="284" spans="1:22" x14ac:dyDescent="0.3">
      <c r="A284" s="280"/>
      <c r="B284" s="270"/>
      <c r="C284" s="270"/>
      <c r="D284" s="270"/>
      <c r="E284" s="270"/>
      <c r="F284" s="270"/>
      <c r="G284" s="270"/>
      <c r="H284" s="270"/>
      <c r="I284" s="270"/>
      <c r="J284" s="231"/>
      <c r="K284" s="231"/>
      <c r="L284" s="231"/>
      <c r="M284" s="231"/>
      <c r="N284" s="231"/>
      <c r="O284" s="231"/>
      <c r="P284" s="231"/>
      <c r="Q284" s="231"/>
      <c r="R284" s="270"/>
      <c r="S284" s="270"/>
      <c r="T284" s="269"/>
      <c r="U284" s="269"/>
      <c r="V284" s="269"/>
    </row>
    <row r="285" spans="1:22" x14ac:dyDescent="0.3">
      <c r="A285" s="280"/>
      <c r="B285" s="270"/>
      <c r="C285" s="270"/>
      <c r="D285" s="270"/>
      <c r="E285" s="270"/>
      <c r="F285" s="270"/>
      <c r="G285" s="270"/>
      <c r="H285" s="270"/>
      <c r="I285" s="270"/>
      <c r="J285" s="231"/>
      <c r="K285" s="231"/>
      <c r="L285" s="231"/>
      <c r="M285" s="231"/>
      <c r="N285" s="231"/>
      <c r="O285" s="231"/>
      <c r="P285" s="231"/>
      <c r="Q285" s="231"/>
      <c r="R285" s="270"/>
      <c r="S285" s="270"/>
      <c r="T285" s="269"/>
      <c r="U285" s="269"/>
      <c r="V285" s="269"/>
    </row>
    <row r="286" spans="1:22" x14ac:dyDescent="0.3">
      <c r="A286" s="280"/>
      <c r="B286" s="270"/>
      <c r="C286" s="270"/>
      <c r="D286" s="270"/>
      <c r="E286" s="270"/>
      <c r="F286" s="270"/>
      <c r="G286" s="270"/>
      <c r="H286" s="270"/>
      <c r="I286" s="270"/>
      <c r="J286" s="231"/>
      <c r="K286" s="231"/>
      <c r="L286" s="231"/>
      <c r="M286" s="231"/>
      <c r="N286" s="231"/>
      <c r="O286" s="231"/>
      <c r="P286" s="231"/>
      <c r="Q286" s="231"/>
      <c r="R286" s="270"/>
      <c r="S286" s="270"/>
      <c r="T286" s="269"/>
      <c r="U286" s="269"/>
      <c r="V286" s="269"/>
    </row>
    <row r="287" spans="1:22" x14ac:dyDescent="0.3">
      <c r="A287" s="280"/>
      <c r="B287" s="270"/>
      <c r="C287" s="270"/>
      <c r="D287" s="270"/>
      <c r="E287" s="270"/>
      <c r="F287" s="270"/>
      <c r="G287" s="270"/>
      <c r="H287" s="270"/>
      <c r="I287" s="270"/>
      <c r="J287" s="231"/>
      <c r="K287" s="231"/>
      <c r="L287" s="231"/>
      <c r="M287" s="231"/>
      <c r="N287" s="231"/>
      <c r="O287" s="231"/>
      <c r="P287" s="231"/>
      <c r="Q287" s="231"/>
      <c r="R287" s="270"/>
      <c r="S287" s="270"/>
      <c r="T287" s="269"/>
      <c r="U287" s="269"/>
      <c r="V287" s="269"/>
    </row>
    <row r="288" spans="1:22" x14ac:dyDescent="0.3">
      <c r="A288" s="280"/>
      <c r="B288" s="270"/>
      <c r="C288" s="270"/>
      <c r="D288" s="270"/>
      <c r="E288" s="270"/>
      <c r="F288" s="270"/>
      <c r="G288" s="270"/>
      <c r="H288" s="270"/>
      <c r="I288" s="270"/>
      <c r="J288" s="231"/>
      <c r="K288" s="231"/>
      <c r="L288" s="231"/>
      <c r="M288" s="231"/>
      <c r="N288" s="231"/>
      <c r="O288" s="231"/>
      <c r="P288" s="231"/>
      <c r="Q288" s="231"/>
      <c r="R288" s="270"/>
      <c r="S288" s="270"/>
      <c r="T288" s="269"/>
      <c r="U288" s="269"/>
      <c r="V288" s="269"/>
    </row>
    <row r="289" spans="1:22" x14ac:dyDescent="0.3">
      <c r="A289" s="280"/>
      <c r="B289" s="270"/>
      <c r="C289" s="270"/>
      <c r="D289" s="270"/>
      <c r="E289" s="270"/>
      <c r="F289" s="270"/>
      <c r="G289" s="270"/>
      <c r="H289" s="270"/>
      <c r="I289" s="270"/>
      <c r="J289" s="231"/>
      <c r="K289" s="231"/>
      <c r="L289" s="231"/>
      <c r="M289" s="231"/>
      <c r="N289" s="231"/>
      <c r="O289" s="231"/>
      <c r="P289" s="231"/>
      <c r="Q289" s="231"/>
      <c r="R289" s="270"/>
      <c r="S289" s="270"/>
      <c r="T289" s="269"/>
      <c r="U289" s="269"/>
      <c r="V289" s="269"/>
    </row>
    <row r="290" spans="1:22" x14ac:dyDescent="0.3">
      <c r="A290" s="280"/>
      <c r="B290" s="270"/>
      <c r="C290" s="270"/>
      <c r="D290" s="270"/>
      <c r="E290" s="270"/>
      <c r="F290" s="270"/>
      <c r="G290" s="270"/>
      <c r="H290" s="270"/>
      <c r="I290" s="270"/>
      <c r="J290" s="231"/>
      <c r="K290" s="231"/>
      <c r="L290" s="231"/>
      <c r="M290" s="231"/>
      <c r="N290" s="231"/>
      <c r="O290" s="231"/>
      <c r="P290" s="231"/>
      <c r="Q290" s="231"/>
      <c r="R290" s="270"/>
      <c r="S290" s="270"/>
      <c r="T290" s="269"/>
      <c r="U290" s="269"/>
      <c r="V290" s="269"/>
    </row>
    <row r="291" spans="1:22" x14ac:dyDescent="0.3">
      <c r="A291" s="280"/>
      <c r="B291" s="270"/>
      <c r="C291" s="270"/>
      <c r="D291" s="270"/>
      <c r="E291" s="270"/>
      <c r="F291" s="270"/>
      <c r="G291" s="270"/>
      <c r="H291" s="270"/>
      <c r="I291" s="270"/>
      <c r="J291" s="231"/>
      <c r="K291" s="231"/>
      <c r="L291" s="231"/>
      <c r="M291" s="231"/>
      <c r="N291" s="231"/>
      <c r="O291" s="231"/>
      <c r="P291" s="231"/>
      <c r="Q291" s="231"/>
      <c r="R291" s="270"/>
      <c r="S291" s="270"/>
      <c r="T291" s="269"/>
      <c r="U291" s="269"/>
      <c r="V291" s="269"/>
    </row>
    <row r="292" spans="1:22" x14ac:dyDescent="0.3">
      <c r="A292" s="280"/>
      <c r="B292" s="270"/>
      <c r="C292" s="270"/>
      <c r="D292" s="270"/>
      <c r="E292" s="270"/>
      <c r="F292" s="270"/>
      <c r="G292" s="270"/>
      <c r="H292" s="270"/>
      <c r="I292" s="270"/>
      <c r="J292" s="231"/>
      <c r="K292" s="231"/>
      <c r="L292" s="231"/>
      <c r="M292" s="231"/>
      <c r="N292" s="231"/>
      <c r="O292" s="231"/>
      <c r="P292" s="231"/>
      <c r="Q292" s="231"/>
      <c r="R292" s="270"/>
      <c r="S292" s="270"/>
      <c r="T292" s="269"/>
      <c r="U292" s="269"/>
      <c r="V292" s="269"/>
    </row>
    <row r="293" spans="1:22" x14ac:dyDescent="0.3">
      <c r="A293" s="280"/>
      <c r="B293" s="270"/>
      <c r="C293" s="270"/>
      <c r="D293" s="270"/>
      <c r="E293" s="270"/>
      <c r="F293" s="270"/>
      <c r="G293" s="270"/>
      <c r="H293" s="270"/>
      <c r="I293" s="270"/>
      <c r="J293" s="231"/>
      <c r="K293" s="231"/>
      <c r="L293" s="231"/>
      <c r="M293" s="231"/>
      <c r="N293" s="231"/>
      <c r="O293" s="231"/>
      <c r="P293" s="231"/>
      <c r="Q293" s="231"/>
      <c r="R293" s="270"/>
      <c r="S293" s="270"/>
      <c r="T293" s="269"/>
      <c r="U293" s="269"/>
      <c r="V293" s="269"/>
    </row>
    <row r="294" spans="1:22" x14ac:dyDescent="0.3">
      <c r="A294" s="280"/>
      <c r="B294" s="270"/>
      <c r="C294" s="270"/>
      <c r="D294" s="270"/>
      <c r="E294" s="270"/>
      <c r="F294" s="270"/>
      <c r="G294" s="270"/>
      <c r="H294" s="270"/>
      <c r="I294" s="270"/>
      <c r="J294" s="231"/>
      <c r="K294" s="231"/>
      <c r="L294" s="231"/>
      <c r="M294" s="231"/>
      <c r="N294" s="231"/>
      <c r="O294" s="231"/>
      <c r="P294" s="231"/>
      <c r="Q294" s="231"/>
      <c r="R294" s="270"/>
      <c r="S294" s="270"/>
      <c r="T294" s="269"/>
      <c r="U294" s="269"/>
      <c r="V294" s="269"/>
    </row>
    <row r="295" spans="1:22" x14ac:dyDescent="0.3">
      <c r="A295" s="280"/>
      <c r="B295" s="270"/>
      <c r="C295" s="270"/>
      <c r="D295" s="270"/>
      <c r="E295" s="270"/>
      <c r="F295" s="270"/>
      <c r="G295" s="270"/>
      <c r="H295" s="270"/>
      <c r="I295" s="270"/>
      <c r="J295" s="231"/>
      <c r="K295" s="231"/>
      <c r="L295" s="231"/>
      <c r="M295" s="231"/>
      <c r="N295" s="231"/>
      <c r="O295" s="231"/>
      <c r="P295" s="231"/>
      <c r="Q295" s="231"/>
      <c r="R295" s="270"/>
      <c r="S295" s="270"/>
      <c r="T295" s="269"/>
      <c r="U295" s="269"/>
      <c r="V295" s="269"/>
    </row>
    <row r="296" spans="1:22" x14ac:dyDescent="0.3">
      <c r="A296" s="280"/>
      <c r="B296" s="270"/>
      <c r="C296" s="270"/>
      <c r="D296" s="270"/>
      <c r="E296" s="270"/>
      <c r="F296" s="270"/>
      <c r="G296" s="270"/>
      <c r="H296" s="270"/>
      <c r="I296" s="270"/>
      <c r="J296" s="231"/>
      <c r="K296" s="231"/>
      <c r="L296" s="231"/>
      <c r="M296" s="231"/>
      <c r="N296" s="231"/>
      <c r="O296" s="231"/>
      <c r="P296" s="231"/>
      <c r="Q296" s="231"/>
      <c r="R296" s="270"/>
      <c r="S296" s="270"/>
      <c r="T296" s="269"/>
      <c r="U296" s="269"/>
      <c r="V296" s="269"/>
    </row>
    <row r="297" spans="1:22" x14ac:dyDescent="0.3">
      <c r="A297" s="280"/>
      <c r="B297" s="270"/>
      <c r="C297" s="270"/>
      <c r="D297" s="270"/>
      <c r="E297" s="270"/>
      <c r="F297" s="270"/>
      <c r="G297" s="270"/>
      <c r="H297" s="270"/>
      <c r="I297" s="270"/>
      <c r="J297" s="231"/>
      <c r="K297" s="231"/>
      <c r="L297" s="231"/>
      <c r="M297" s="231"/>
      <c r="N297" s="231"/>
      <c r="O297" s="231"/>
      <c r="P297" s="231"/>
      <c r="Q297" s="231"/>
      <c r="R297" s="270"/>
      <c r="S297" s="270"/>
      <c r="T297" s="269"/>
      <c r="U297" s="269"/>
      <c r="V297" s="269"/>
    </row>
    <row r="298" spans="1:22" x14ac:dyDescent="0.3">
      <c r="A298" s="280"/>
      <c r="B298" s="270"/>
      <c r="C298" s="270"/>
      <c r="D298" s="270"/>
      <c r="E298" s="270"/>
      <c r="F298" s="270"/>
      <c r="G298" s="270"/>
      <c r="H298" s="270"/>
      <c r="I298" s="270"/>
      <c r="J298" s="231"/>
      <c r="K298" s="231"/>
      <c r="L298" s="231"/>
      <c r="M298" s="231"/>
      <c r="N298" s="231"/>
      <c r="O298" s="231"/>
      <c r="P298" s="231"/>
      <c r="Q298" s="231"/>
      <c r="R298" s="270"/>
      <c r="S298" s="270"/>
      <c r="T298" s="269"/>
      <c r="U298" s="269"/>
      <c r="V298" s="269"/>
    </row>
    <row r="299" spans="1:22" x14ac:dyDescent="0.3">
      <c r="A299" s="280"/>
      <c r="B299" s="270"/>
      <c r="C299" s="270"/>
      <c r="D299" s="270"/>
      <c r="E299" s="270"/>
      <c r="F299" s="270"/>
      <c r="G299" s="270"/>
      <c r="H299" s="270"/>
      <c r="I299" s="270"/>
      <c r="J299" s="231"/>
      <c r="K299" s="231"/>
      <c r="L299" s="231"/>
      <c r="M299" s="231"/>
      <c r="N299" s="231"/>
      <c r="O299" s="231"/>
      <c r="P299" s="231"/>
      <c r="Q299" s="231"/>
      <c r="R299" s="270"/>
      <c r="S299" s="270"/>
      <c r="T299" s="269"/>
      <c r="U299" s="269"/>
      <c r="V299" s="269"/>
    </row>
    <row r="300" spans="1:22" x14ac:dyDescent="0.3">
      <c r="A300" s="280"/>
      <c r="B300" s="270"/>
      <c r="C300" s="270"/>
      <c r="D300" s="270"/>
      <c r="E300" s="270"/>
      <c r="F300" s="270"/>
      <c r="G300" s="270"/>
      <c r="H300" s="270"/>
      <c r="I300" s="270"/>
      <c r="J300" s="231"/>
      <c r="K300" s="231"/>
      <c r="L300" s="231"/>
      <c r="M300" s="231"/>
      <c r="N300" s="231"/>
      <c r="O300" s="231"/>
      <c r="P300" s="231"/>
      <c r="Q300" s="231"/>
      <c r="R300" s="270"/>
      <c r="S300" s="270"/>
      <c r="T300" s="269"/>
      <c r="U300" s="269"/>
      <c r="V300" s="269"/>
    </row>
    <row r="301" spans="1:22" x14ac:dyDescent="0.3">
      <c r="A301" s="280"/>
      <c r="B301" s="270"/>
      <c r="C301" s="270"/>
      <c r="D301" s="270"/>
      <c r="E301" s="270"/>
      <c r="F301" s="270"/>
      <c r="G301" s="270"/>
      <c r="H301" s="270"/>
      <c r="I301" s="270"/>
      <c r="J301" s="231"/>
      <c r="K301" s="231"/>
      <c r="L301" s="231"/>
      <c r="M301" s="231"/>
      <c r="N301" s="231"/>
      <c r="O301" s="231"/>
      <c r="P301" s="231"/>
      <c r="Q301" s="231"/>
      <c r="R301" s="270"/>
      <c r="S301" s="270"/>
      <c r="T301" s="269"/>
      <c r="U301" s="269"/>
      <c r="V301" s="269"/>
    </row>
    <row r="302" spans="1:22" x14ac:dyDescent="0.3">
      <c r="A302" s="280"/>
      <c r="B302" s="270"/>
      <c r="C302" s="270"/>
      <c r="D302" s="270"/>
      <c r="E302" s="270"/>
      <c r="F302" s="270"/>
      <c r="G302" s="270"/>
      <c r="H302" s="270"/>
      <c r="I302" s="270"/>
      <c r="J302" s="231"/>
      <c r="K302" s="231"/>
      <c r="L302" s="231"/>
      <c r="M302" s="231"/>
      <c r="N302" s="231"/>
      <c r="O302" s="231"/>
      <c r="P302" s="231"/>
      <c r="Q302" s="231"/>
      <c r="R302" s="270"/>
      <c r="S302" s="270"/>
      <c r="T302" s="269"/>
      <c r="U302" s="269"/>
      <c r="V302" s="269"/>
    </row>
    <row r="303" spans="1:22" x14ac:dyDescent="0.3">
      <c r="A303" s="280"/>
      <c r="B303" s="270"/>
      <c r="C303" s="270"/>
      <c r="D303" s="270"/>
      <c r="E303" s="270"/>
      <c r="F303" s="270"/>
      <c r="G303" s="270"/>
      <c r="H303" s="270"/>
      <c r="I303" s="270"/>
      <c r="J303" s="231"/>
      <c r="K303" s="231"/>
      <c r="L303" s="231"/>
      <c r="M303" s="231"/>
      <c r="N303" s="231"/>
      <c r="O303" s="231"/>
      <c r="P303" s="231"/>
      <c r="Q303" s="231"/>
      <c r="R303" s="270"/>
      <c r="S303" s="270"/>
      <c r="T303" s="269"/>
      <c r="U303" s="269"/>
      <c r="V303" s="269"/>
    </row>
    <row r="304" spans="1:22" x14ac:dyDescent="0.3">
      <c r="A304" s="280"/>
      <c r="B304" s="270"/>
      <c r="C304" s="270"/>
      <c r="D304" s="270"/>
      <c r="E304" s="270"/>
      <c r="F304" s="270"/>
      <c r="G304" s="270"/>
      <c r="H304" s="270"/>
      <c r="I304" s="270"/>
      <c r="J304" s="231"/>
      <c r="K304" s="231"/>
      <c r="L304" s="231"/>
      <c r="M304" s="231"/>
      <c r="N304" s="231"/>
      <c r="O304" s="231"/>
      <c r="P304" s="231"/>
      <c r="Q304" s="231"/>
      <c r="R304" s="270"/>
      <c r="S304" s="270"/>
      <c r="T304" s="269"/>
      <c r="U304" s="269"/>
      <c r="V304" s="269"/>
    </row>
    <row r="305" spans="1:22" x14ac:dyDescent="0.3">
      <c r="A305" s="280"/>
      <c r="B305" s="270"/>
      <c r="C305" s="270"/>
      <c r="D305" s="270"/>
      <c r="E305" s="270"/>
      <c r="F305" s="270"/>
      <c r="G305" s="270"/>
      <c r="H305" s="270"/>
      <c r="I305" s="270"/>
      <c r="J305" s="231"/>
      <c r="K305" s="231"/>
      <c r="L305" s="231"/>
      <c r="M305" s="231"/>
      <c r="N305" s="231"/>
      <c r="O305" s="231"/>
      <c r="P305" s="231"/>
      <c r="Q305" s="231"/>
      <c r="R305" s="270"/>
      <c r="S305" s="270"/>
      <c r="T305" s="269"/>
      <c r="U305" s="269"/>
      <c r="V305" s="269"/>
    </row>
    <row r="306" spans="1:22" x14ac:dyDescent="0.3">
      <c r="A306" s="280"/>
      <c r="B306" s="270"/>
      <c r="C306" s="270"/>
      <c r="D306" s="270"/>
      <c r="E306" s="270"/>
      <c r="F306" s="270"/>
      <c r="G306" s="270"/>
      <c r="H306" s="270"/>
      <c r="I306" s="270"/>
      <c r="J306" s="231"/>
      <c r="K306" s="231"/>
      <c r="L306" s="231"/>
      <c r="M306" s="231"/>
      <c r="N306" s="231"/>
      <c r="O306" s="231"/>
      <c r="P306" s="231"/>
      <c r="Q306" s="231"/>
      <c r="R306" s="270"/>
      <c r="S306" s="270"/>
      <c r="T306" s="269"/>
      <c r="U306" s="269"/>
      <c r="V306" s="269"/>
    </row>
    <row r="307" spans="1:22" x14ac:dyDescent="0.3">
      <c r="A307" s="280"/>
      <c r="B307" s="270"/>
      <c r="C307" s="270"/>
      <c r="D307" s="270"/>
      <c r="E307" s="270"/>
      <c r="F307" s="270"/>
      <c r="G307" s="270"/>
      <c r="H307" s="270"/>
      <c r="I307" s="270"/>
      <c r="J307" s="231"/>
      <c r="K307" s="231"/>
      <c r="L307" s="231"/>
      <c r="M307" s="231"/>
      <c r="N307" s="231"/>
      <c r="O307" s="231"/>
      <c r="P307" s="231"/>
      <c r="Q307" s="231"/>
      <c r="R307" s="270"/>
      <c r="S307" s="270"/>
      <c r="T307" s="269"/>
      <c r="U307" s="269"/>
      <c r="V307" s="269"/>
    </row>
    <row r="308" spans="1:22" x14ac:dyDescent="0.3">
      <c r="A308" s="280"/>
      <c r="B308" s="270"/>
      <c r="C308" s="270"/>
      <c r="D308" s="270"/>
      <c r="E308" s="270"/>
      <c r="F308" s="270"/>
      <c r="G308" s="270"/>
      <c r="H308" s="270"/>
      <c r="I308" s="270"/>
      <c r="J308" s="231"/>
      <c r="K308" s="231"/>
      <c r="L308" s="231"/>
      <c r="M308" s="231"/>
      <c r="N308" s="231"/>
      <c r="O308" s="231"/>
      <c r="P308" s="231"/>
      <c r="Q308" s="231"/>
      <c r="R308" s="270"/>
      <c r="S308" s="270"/>
      <c r="T308" s="269"/>
      <c r="U308" s="269"/>
      <c r="V308" s="269"/>
    </row>
    <row r="309" spans="1:22" x14ac:dyDescent="0.3">
      <c r="A309" s="280"/>
      <c r="B309" s="270"/>
      <c r="C309" s="270"/>
      <c r="D309" s="270"/>
      <c r="E309" s="270"/>
      <c r="F309" s="270"/>
      <c r="G309" s="270"/>
      <c r="H309" s="270"/>
      <c r="I309" s="270"/>
      <c r="J309" s="231"/>
      <c r="K309" s="231"/>
      <c r="L309" s="231"/>
      <c r="M309" s="231"/>
      <c r="N309" s="231"/>
      <c r="O309" s="231"/>
      <c r="P309" s="231"/>
      <c r="Q309" s="231"/>
      <c r="R309" s="270"/>
      <c r="S309" s="270"/>
      <c r="T309" s="269"/>
      <c r="U309" s="269"/>
      <c r="V309" s="269"/>
    </row>
    <row r="310" spans="1:22" x14ac:dyDescent="0.3">
      <c r="A310" s="280"/>
      <c r="B310" s="270"/>
      <c r="C310" s="270"/>
      <c r="D310" s="270"/>
      <c r="E310" s="270"/>
      <c r="F310" s="270"/>
      <c r="G310" s="270"/>
      <c r="H310" s="270"/>
      <c r="I310" s="270"/>
      <c r="J310" s="231"/>
      <c r="K310" s="231"/>
      <c r="L310" s="231"/>
      <c r="M310" s="231"/>
      <c r="N310" s="231"/>
      <c r="O310" s="231"/>
      <c r="P310" s="231"/>
      <c r="Q310" s="231"/>
      <c r="R310" s="270"/>
      <c r="S310" s="270"/>
      <c r="T310" s="269"/>
      <c r="U310" s="269"/>
      <c r="V310" s="269"/>
    </row>
    <row r="311" spans="1:22" x14ac:dyDescent="0.3">
      <c r="A311" s="280"/>
      <c r="B311" s="270"/>
      <c r="C311" s="270"/>
      <c r="D311" s="270"/>
      <c r="E311" s="270"/>
      <c r="F311" s="270"/>
      <c r="G311" s="270"/>
      <c r="H311" s="270"/>
      <c r="I311" s="270"/>
      <c r="J311" s="231"/>
      <c r="K311" s="231"/>
      <c r="L311" s="231"/>
      <c r="M311" s="231"/>
      <c r="N311" s="231"/>
      <c r="O311" s="231"/>
      <c r="P311" s="231"/>
      <c r="Q311" s="231"/>
      <c r="R311" s="270"/>
      <c r="S311" s="270"/>
      <c r="T311" s="269"/>
      <c r="U311" s="269"/>
      <c r="V311" s="269"/>
    </row>
    <row r="312" spans="1:22" x14ac:dyDescent="0.3">
      <c r="A312" s="280"/>
      <c r="B312" s="270"/>
      <c r="C312" s="270"/>
      <c r="D312" s="270"/>
      <c r="E312" s="270"/>
      <c r="F312" s="270"/>
      <c r="G312" s="270"/>
      <c r="H312" s="270"/>
      <c r="I312" s="270"/>
      <c r="J312" s="231"/>
      <c r="K312" s="231"/>
      <c r="L312" s="231"/>
      <c r="M312" s="231"/>
      <c r="N312" s="231"/>
      <c r="O312" s="231"/>
      <c r="P312" s="231"/>
      <c r="Q312" s="231"/>
      <c r="R312" s="270"/>
      <c r="S312" s="270"/>
      <c r="T312" s="269"/>
      <c r="U312" s="269"/>
      <c r="V312" s="269"/>
    </row>
    <row r="313" spans="1:22" x14ac:dyDescent="0.3">
      <c r="A313" s="280"/>
      <c r="B313" s="270"/>
      <c r="C313" s="270"/>
      <c r="D313" s="270"/>
      <c r="E313" s="270"/>
      <c r="F313" s="270"/>
      <c r="G313" s="270"/>
      <c r="H313" s="270"/>
      <c r="I313" s="270"/>
      <c r="J313" s="231"/>
      <c r="K313" s="231"/>
      <c r="L313" s="231"/>
      <c r="M313" s="231"/>
      <c r="N313" s="231"/>
      <c r="O313" s="231"/>
      <c r="P313" s="231"/>
      <c r="Q313" s="231"/>
      <c r="R313" s="270"/>
      <c r="S313" s="270"/>
      <c r="T313" s="269"/>
      <c r="U313" s="269"/>
      <c r="V313" s="269"/>
    </row>
    <row r="314" spans="1:22" x14ac:dyDescent="0.3">
      <c r="A314" s="280"/>
      <c r="B314" s="270"/>
      <c r="C314" s="270"/>
      <c r="D314" s="270"/>
      <c r="E314" s="270"/>
      <c r="F314" s="270"/>
      <c r="G314" s="270"/>
      <c r="H314" s="270"/>
      <c r="I314" s="270"/>
      <c r="J314" s="231"/>
      <c r="K314" s="231"/>
      <c r="L314" s="231"/>
      <c r="M314" s="231"/>
      <c r="N314" s="231"/>
      <c r="O314" s="231"/>
      <c r="P314" s="231"/>
      <c r="Q314" s="231"/>
      <c r="R314" s="270"/>
      <c r="S314" s="270"/>
      <c r="T314" s="269"/>
      <c r="U314" s="269"/>
      <c r="V314" s="269"/>
    </row>
    <row r="315" spans="1:22" x14ac:dyDescent="0.3">
      <c r="A315" s="280"/>
      <c r="B315" s="270"/>
      <c r="C315" s="270"/>
      <c r="D315" s="270"/>
      <c r="E315" s="270"/>
      <c r="F315" s="270"/>
      <c r="G315" s="270"/>
      <c r="H315" s="270"/>
      <c r="I315" s="270"/>
      <c r="J315" s="231"/>
      <c r="K315" s="231"/>
      <c r="L315" s="231"/>
      <c r="M315" s="231"/>
      <c r="N315" s="231"/>
      <c r="O315" s="231"/>
      <c r="P315" s="231"/>
      <c r="Q315" s="231"/>
      <c r="R315" s="270"/>
      <c r="S315" s="270"/>
      <c r="T315" s="269"/>
      <c r="U315" s="269"/>
      <c r="V315" s="269"/>
    </row>
    <row r="316" spans="1:22" x14ac:dyDescent="0.3">
      <c r="A316" s="280"/>
      <c r="B316" s="270"/>
      <c r="C316" s="270"/>
      <c r="D316" s="270"/>
      <c r="E316" s="270"/>
      <c r="F316" s="270"/>
      <c r="G316" s="270"/>
      <c r="H316" s="270"/>
      <c r="I316" s="270"/>
      <c r="J316" s="231"/>
      <c r="K316" s="231"/>
      <c r="L316" s="231"/>
      <c r="M316" s="231"/>
      <c r="N316" s="231"/>
      <c r="O316" s="231"/>
      <c r="P316" s="231"/>
      <c r="Q316" s="231"/>
      <c r="R316" s="270"/>
      <c r="S316" s="270"/>
      <c r="T316" s="269"/>
      <c r="U316" s="269"/>
      <c r="V316" s="269"/>
    </row>
    <row r="317" spans="1:22" x14ac:dyDescent="0.3">
      <c r="A317" s="280"/>
      <c r="B317" s="270"/>
      <c r="C317" s="270"/>
      <c r="D317" s="270"/>
      <c r="E317" s="270"/>
      <c r="F317" s="270"/>
      <c r="G317" s="270"/>
      <c r="H317" s="270"/>
      <c r="I317" s="270"/>
      <c r="J317" s="231"/>
      <c r="K317" s="231"/>
      <c r="L317" s="231"/>
      <c r="M317" s="231"/>
      <c r="N317" s="231"/>
      <c r="O317" s="231"/>
      <c r="P317" s="231"/>
      <c r="Q317" s="231"/>
      <c r="R317" s="270"/>
      <c r="S317" s="270"/>
      <c r="T317" s="269"/>
      <c r="U317" s="269"/>
      <c r="V317" s="269"/>
    </row>
    <row r="318" spans="1:22" x14ac:dyDescent="0.3">
      <c r="A318" s="280"/>
      <c r="B318" s="270"/>
      <c r="C318" s="270"/>
      <c r="D318" s="270"/>
      <c r="E318" s="270"/>
      <c r="F318" s="270"/>
      <c r="G318" s="270"/>
      <c r="H318" s="270"/>
      <c r="I318" s="270"/>
      <c r="J318" s="231"/>
      <c r="K318" s="231"/>
      <c r="L318" s="231"/>
      <c r="M318" s="231"/>
      <c r="N318" s="231"/>
      <c r="O318" s="231"/>
      <c r="P318" s="231"/>
      <c r="Q318" s="231"/>
      <c r="R318" s="270"/>
      <c r="S318" s="270"/>
      <c r="T318" s="269"/>
      <c r="U318" s="269"/>
      <c r="V318" s="269"/>
    </row>
    <row r="319" spans="1:22" x14ac:dyDescent="0.3">
      <c r="A319" s="280"/>
      <c r="B319" s="270"/>
      <c r="C319" s="270"/>
      <c r="D319" s="270"/>
      <c r="E319" s="270"/>
      <c r="F319" s="270"/>
      <c r="G319" s="270"/>
      <c r="H319" s="270"/>
      <c r="I319" s="270"/>
      <c r="J319" s="231"/>
      <c r="K319" s="231"/>
      <c r="L319" s="231"/>
      <c r="M319" s="231"/>
      <c r="N319" s="231"/>
      <c r="O319" s="231"/>
      <c r="P319" s="231"/>
      <c r="Q319" s="231"/>
      <c r="R319" s="270"/>
      <c r="S319" s="270"/>
      <c r="T319" s="269"/>
      <c r="U319" s="269"/>
      <c r="V319" s="269"/>
    </row>
    <row r="320" spans="1:22" x14ac:dyDescent="0.3">
      <c r="A320" s="280"/>
      <c r="B320" s="270"/>
      <c r="C320" s="270"/>
      <c r="D320" s="270"/>
      <c r="E320" s="270"/>
      <c r="F320" s="270"/>
      <c r="G320" s="270"/>
      <c r="H320" s="270"/>
      <c r="I320" s="270"/>
      <c r="J320" s="231"/>
      <c r="K320" s="231"/>
      <c r="L320" s="231"/>
      <c r="M320" s="231"/>
      <c r="N320" s="231"/>
      <c r="O320" s="231"/>
      <c r="P320" s="231"/>
      <c r="Q320" s="231"/>
      <c r="R320" s="270"/>
      <c r="S320" s="270"/>
      <c r="T320" s="269"/>
      <c r="U320" s="269"/>
      <c r="V320" s="269"/>
    </row>
    <row r="321" spans="1:22" x14ac:dyDescent="0.3">
      <c r="A321" s="280"/>
      <c r="B321" s="270"/>
      <c r="C321" s="270"/>
      <c r="D321" s="270"/>
      <c r="E321" s="270"/>
      <c r="F321" s="270"/>
      <c r="G321" s="270"/>
      <c r="H321" s="270"/>
      <c r="I321" s="270"/>
      <c r="J321" s="231"/>
      <c r="K321" s="231"/>
      <c r="L321" s="231"/>
      <c r="M321" s="231"/>
      <c r="N321" s="231"/>
      <c r="O321" s="231"/>
      <c r="P321" s="231"/>
      <c r="Q321" s="231"/>
      <c r="R321" s="270"/>
      <c r="S321" s="270"/>
      <c r="T321" s="269"/>
      <c r="U321" s="269"/>
      <c r="V321" s="269"/>
    </row>
    <row r="322" spans="1:22" x14ac:dyDescent="0.3">
      <c r="A322" s="280"/>
      <c r="B322" s="270"/>
      <c r="C322" s="270"/>
      <c r="D322" s="270"/>
      <c r="E322" s="270"/>
      <c r="F322" s="270"/>
      <c r="G322" s="270"/>
      <c r="H322" s="270"/>
      <c r="I322" s="270"/>
      <c r="J322" s="231"/>
      <c r="K322" s="231"/>
      <c r="L322" s="231"/>
      <c r="M322" s="231"/>
      <c r="N322" s="231"/>
      <c r="O322" s="231"/>
      <c r="P322" s="231"/>
      <c r="Q322" s="231"/>
      <c r="R322" s="270"/>
      <c r="S322" s="270"/>
      <c r="T322" s="269"/>
      <c r="U322" s="269"/>
      <c r="V322" s="269"/>
    </row>
    <row r="323" spans="1:22" x14ac:dyDescent="0.3">
      <c r="A323" s="280"/>
      <c r="B323" s="270"/>
      <c r="C323" s="270"/>
      <c r="D323" s="270"/>
      <c r="E323" s="270"/>
      <c r="F323" s="270"/>
      <c r="G323" s="270"/>
      <c r="H323" s="270"/>
      <c r="I323" s="270"/>
      <c r="J323" s="231"/>
      <c r="K323" s="231"/>
      <c r="L323" s="231"/>
      <c r="M323" s="231"/>
      <c r="N323" s="231"/>
      <c r="O323" s="231"/>
      <c r="P323" s="231"/>
      <c r="Q323" s="231"/>
      <c r="R323" s="270"/>
      <c r="S323" s="270"/>
      <c r="T323" s="269"/>
      <c r="U323" s="269"/>
      <c r="V323" s="269"/>
    </row>
    <row r="324" spans="1:22" x14ac:dyDescent="0.3">
      <c r="A324" s="280"/>
      <c r="B324" s="270"/>
      <c r="C324" s="270"/>
      <c r="D324" s="270"/>
      <c r="E324" s="270"/>
      <c r="F324" s="270"/>
      <c r="G324" s="270"/>
      <c r="H324" s="270"/>
      <c r="I324" s="270"/>
      <c r="J324" s="231"/>
      <c r="K324" s="231"/>
      <c r="L324" s="231"/>
      <c r="M324" s="231"/>
      <c r="N324" s="231"/>
      <c r="O324" s="231"/>
      <c r="P324" s="231"/>
      <c r="Q324" s="231"/>
      <c r="R324" s="270"/>
      <c r="S324" s="270"/>
      <c r="T324" s="269"/>
      <c r="U324" s="269"/>
      <c r="V324" s="269"/>
    </row>
    <row r="325" spans="1:22" x14ac:dyDescent="0.3">
      <c r="A325" s="280"/>
      <c r="B325" s="270"/>
      <c r="C325" s="270"/>
      <c r="D325" s="270"/>
      <c r="E325" s="270"/>
      <c r="F325" s="270"/>
      <c r="G325" s="270"/>
      <c r="H325" s="270"/>
      <c r="I325" s="270"/>
      <c r="J325" s="231"/>
      <c r="K325" s="231"/>
      <c r="L325" s="231"/>
      <c r="M325" s="231"/>
      <c r="N325" s="231"/>
      <c r="O325" s="231"/>
      <c r="P325" s="231"/>
      <c r="Q325" s="231"/>
      <c r="R325" s="270"/>
      <c r="S325" s="270"/>
      <c r="T325" s="269"/>
      <c r="U325" s="269"/>
      <c r="V325" s="269"/>
    </row>
    <row r="326" spans="1:22" x14ac:dyDescent="0.3">
      <c r="A326" s="280"/>
      <c r="B326" s="270"/>
      <c r="C326" s="270"/>
      <c r="D326" s="270"/>
      <c r="E326" s="270"/>
      <c r="F326" s="270"/>
      <c r="G326" s="270"/>
      <c r="H326" s="270"/>
      <c r="I326" s="270"/>
      <c r="J326" s="231"/>
      <c r="K326" s="231"/>
      <c r="L326" s="231"/>
      <c r="M326" s="231"/>
      <c r="N326" s="231"/>
      <c r="O326" s="231"/>
      <c r="P326" s="231"/>
      <c r="Q326" s="231"/>
      <c r="R326" s="270"/>
      <c r="S326" s="270"/>
      <c r="T326" s="269"/>
      <c r="U326" s="269"/>
      <c r="V326" s="269"/>
    </row>
    <row r="327" spans="1:22" x14ac:dyDescent="0.3">
      <c r="A327" s="280"/>
      <c r="B327" s="270"/>
      <c r="C327" s="270"/>
      <c r="D327" s="270"/>
      <c r="E327" s="270"/>
      <c r="F327" s="270"/>
      <c r="G327" s="270"/>
      <c r="H327" s="270"/>
      <c r="I327" s="270"/>
      <c r="J327" s="231"/>
      <c r="K327" s="231"/>
      <c r="L327" s="231"/>
      <c r="M327" s="231"/>
      <c r="N327" s="231"/>
      <c r="O327" s="231"/>
      <c r="P327" s="231"/>
      <c r="Q327" s="231"/>
      <c r="R327" s="270"/>
      <c r="S327" s="270"/>
      <c r="T327" s="269"/>
      <c r="U327" s="269"/>
      <c r="V327" s="269"/>
    </row>
    <row r="328" spans="1:22" x14ac:dyDescent="0.3">
      <c r="A328" s="280"/>
      <c r="B328" s="270"/>
      <c r="C328" s="270"/>
      <c r="D328" s="270"/>
      <c r="E328" s="270"/>
      <c r="F328" s="270"/>
      <c r="G328" s="270"/>
      <c r="H328" s="270"/>
      <c r="I328" s="270"/>
      <c r="J328" s="231"/>
      <c r="K328" s="231"/>
      <c r="L328" s="231"/>
      <c r="M328" s="231"/>
      <c r="N328" s="231"/>
      <c r="O328" s="231"/>
      <c r="P328" s="231"/>
      <c r="Q328" s="231"/>
      <c r="R328" s="270"/>
      <c r="S328" s="270"/>
      <c r="T328" s="269"/>
      <c r="U328" s="269"/>
      <c r="V328" s="269"/>
    </row>
    <row r="329" spans="1:22" x14ac:dyDescent="0.3">
      <c r="A329" s="280"/>
      <c r="B329" s="270"/>
      <c r="C329" s="270"/>
      <c r="D329" s="270"/>
      <c r="E329" s="270"/>
      <c r="F329" s="270"/>
      <c r="G329" s="270"/>
      <c r="H329" s="270"/>
      <c r="I329" s="270"/>
      <c r="J329" s="231"/>
      <c r="K329" s="231"/>
      <c r="L329" s="231"/>
      <c r="M329" s="231"/>
      <c r="N329" s="231"/>
      <c r="O329" s="231"/>
      <c r="P329" s="231"/>
      <c r="Q329" s="231"/>
      <c r="R329" s="270"/>
      <c r="S329" s="270"/>
      <c r="T329" s="269"/>
      <c r="U329" s="269"/>
      <c r="V329" s="269"/>
    </row>
    <row r="330" spans="1:22" x14ac:dyDescent="0.3">
      <c r="A330" s="280"/>
      <c r="B330" s="270"/>
      <c r="C330" s="270"/>
      <c r="D330" s="270"/>
      <c r="E330" s="270"/>
      <c r="F330" s="270"/>
      <c r="G330" s="270"/>
      <c r="H330" s="270"/>
      <c r="I330" s="270"/>
      <c r="J330" s="231"/>
      <c r="K330" s="231"/>
      <c r="L330" s="231"/>
      <c r="M330" s="231"/>
      <c r="N330" s="231"/>
      <c r="O330" s="231"/>
      <c r="P330" s="231"/>
      <c r="Q330" s="231"/>
      <c r="R330" s="270"/>
      <c r="S330" s="270"/>
      <c r="T330" s="269"/>
      <c r="U330" s="269"/>
      <c r="V330" s="269"/>
    </row>
    <row r="331" spans="1:22" x14ac:dyDescent="0.3">
      <c r="A331" s="280"/>
      <c r="B331" s="270"/>
      <c r="C331" s="270"/>
      <c r="D331" s="270"/>
      <c r="E331" s="270"/>
      <c r="F331" s="270"/>
      <c r="G331" s="270"/>
      <c r="H331" s="270"/>
      <c r="I331" s="270"/>
      <c r="J331" s="231"/>
      <c r="K331" s="231"/>
      <c r="L331" s="231"/>
      <c r="M331" s="231"/>
      <c r="N331" s="231"/>
      <c r="O331" s="231"/>
      <c r="P331" s="231"/>
      <c r="Q331" s="231"/>
      <c r="R331" s="270"/>
      <c r="S331" s="270"/>
      <c r="T331" s="269"/>
      <c r="U331" s="269"/>
      <c r="V331" s="269"/>
    </row>
    <row r="332" spans="1:22" x14ac:dyDescent="0.3">
      <c r="A332" s="280"/>
      <c r="B332" s="270"/>
      <c r="C332" s="270"/>
      <c r="D332" s="270"/>
      <c r="E332" s="270"/>
      <c r="F332" s="270"/>
      <c r="G332" s="270"/>
      <c r="H332" s="270"/>
      <c r="I332" s="270"/>
      <c r="J332" s="231"/>
      <c r="K332" s="231"/>
      <c r="L332" s="231"/>
      <c r="M332" s="231"/>
      <c r="N332" s="231"/>
      <c r="O332" s="231"/>
      <c r="P332" s="231"/>
      <c r="Q332" s="231"/>
      <c r="R332" s="270"/>
      <c r="S332" s="270"/>
      <c r="T332" s="269"/>
      <c r="U332" s="269"/>
      <c r="V332" s="269"/>
    </row>
    <row r="333" spans="1:22" x14ac:dyDescent="0.3">
      <c r="A333" s="280"/>
      <c r="B333" s="270"/>
      <c r="C333" s="270"/>
      <c r="D333" s="270"/>
      <c r="E333" s="270"/>
      <c r="F333" s="270"/>
      <c r="G333" s="270"/>
      <c r="H333" s="270"/>
      <c r="I333" s="270"/>
      <c r="J333" s="231"/>
      <c r="K333" s="231"/>
      <c r="L333" s="231"/>
      <c r="M333" s="231"/>
      <c r="N333" s="231"/>
      <c r="O333" s="231"/>
      <c r="P333" s="231"/>
      <c r="Q333" s="231"/>
      <c r="R333" s="270"/>
      <c r="S333" s="270"/>
      <c r="T333" s="269"/>
      <c r="U333" s="269"/>
      <c r="V333" s="269"/>
    </row>
    <row r="334" spans="1:22" x14ac:dyDescent="0.3">
      <c r="A334" s="280"/>
      <c r="B334" s="270"/>
      <c r="C334" s="270"/>
      <c r="D334" s="270"/>
      <c r="E334" s="270"/>
      <c r="F334" s="270"/>
      <c r="G334" s="270"/>
      <c r="H334" s="270"/>
      <c r="I334" s="270"/>
      <c r="J334" s="231"/>
      <c r="K334" s="231"/>
      <c r="L334" s="231"/>
      <c r="M334" s="231"/>
      <c r="N334" s="231"/>
      <c r="O334" s="231"/>
      <c r="P334" s="231"/>
      <c r="Q334" s="231"/>
      <c r="R334" s="270"/>
      <c r="S334" s="270"/>
      <c r="T334" s="269"/>
      <c r="U334" s="269"/>
      <c r="V334" s="269"/>
    </row>
    <row r="335" spans="1:22" x14ac:dyDescent="0.3">
      <c r="A335" s="280"/>
      <c r="B335" s="270"/>
      <c r="C335" s="270"/>
      <c r="D335" s="270"/>
      <c r="E335" s="270"/>
      <c r="F335" s="270"/>
      <c r="G335" s="270"/>
      <c r="H335" s="270"/>
      <c r="I335" s="270"/>
      <c r="J335" s="231"/>
      <c r="K335" s="231"/>
      <c r="L335" s="231"/>
      <c r="M335" s="231"/>
      <c r="N335" s="231"/>
      <c r="O335" s="231"/>
      <c r="P335" s="231"/>
      <c r="Q335" s="231"/>
      <c r="R335" s="270"/>
      <c r="S335" s="270"/>
      <c r="T335" s="269"/>
      <c r="U335" s="269"/>
      <c r="V335" s="269"/>
    </row>
    <row r="336" spans="1:22" x14ac:dyDescent="0.3">
      <c r="A336" s="280"/>
      <c r="B336" s="270"/>
      <c r="C336" s="270"/>
      <c r="D336" s="270"/>
      <c r="E336" s="270"/>
      <c r="F336" s="270"/>
      <c r="G336" s="270"/>
      <c r="H336" s="270"/>
      <c r="I336" s="270"/>
      <c r="J336" s="231"/>
      <c r="K336" s="231"/>
      <c r="L336" s="231"/>
      <c r="M336" s="231"/>
      <c r="N336" s="231"/>
      <c r="O336" s="231"/>
      <c r="P336" s="231"/>
      <c r="Q336" s="231"/>
      <c r="R336" s="270"/>
      <c r="S336" s="270"/>
      <c r="T336" s="269"/>
      <c r="U336" s="269"/>
      <c r="V336" s="269"/>
    </row>
    <row r="337" spans="1:22" x14ac:dyDescent="0.3">
      <c r="A337" s="280"/>
      <c r="B337" s="270"/>
      <c r="C337" s="270"/>
      <c r="D337" s="270"/>
      <c r="E337" s="270"/>
      <c r="F337" s="270"/>
      <c r="G337" s="270"/>
      <c r="H337" s="270"/>
      <c r="I337" s="270"/>
      <c r="J337" s="231"/>
      <c r="K337" s="231"/>
      <c r="L337" s="231"/>
      <c r="M337" s="231"/>
      <c r="N337" s="231"/>
      <c r="O337" s="231"/>
      <c r="P337" s="231"/>
      <c r="Q337" s="231"/>
      <c r="R337" s="270"/>
      <c r="S337" s="270"/>
      <c r="T337" s="269"/>
      <c r="U337" s="269"/>
      <c r="V337" s="269"/>
    </row>
    <row r="338" spans="1:22" x14ac:dyDescent="0.3">
      <c r="A338" s="280"/>
      <c r="B338" s="270"/>
      <c r="C338" s="270"/>
      <c r="D338" s="270"/>
      <c r="E338" s="270"/>
      <c r="F338" s="270"/>
      <c r="G338" s="270"/>
      <c r="H338" s="270"/>
      <c r="I338" s="270"/>
      <c r="J338" s="231"/>
      <c r="K338" s="231"/>
      <c r="L338" s="231"/>
      <c r="M338" s="231"/>
      <c r="N338" s="231"/>
      <c r="O338" s="231"/>
      <c r="P338" s="231"/>
      <c r="Q338" s="231"/>
      <c r="R338" s="270"/>
      <c r="S338" s="270"/>
      <c r="T338" s="269"/>
      <c r="U338" s="269"/>
      <c r="V338" s="269"/>
    </row>
    <row r="339" spans="1:22" x14ac:dyDescent="0.3">
      <c r="A339" s="280"/>
      <c r="B339" s="270"/>
      <c r="C339" s="270"/>
      <c r="D339" s="270"/>
      <c r="E339" s="270"/>
      <c r="F339" s="270"/>
      <c r="G339" s="270"/>
      <c r="H339" s="270"/>
      <c r="I339" s="270"/>
      <c r="J339" s="231"/>
      <c r="K339" s="231"/>
      <c r="L339" s="231"/>
      <c r="M339" s="231"/>
      <c r="N339" s="231"/>
      <c r="O339" s="231"/>
      <c r="P339" s="231"/>
      <c r="Q339" s="231"/>
      <c r="R339" s="270"/>
      <c r="S339" s="270"/>
      <c r="T339" s="269"/>
      <c r="U339" s="269"/>
      <c r="V339" s="269"/>
    </row>
    <row r="340" spans="1:22" x14ac:dyDescent="0.3">
      <c r="A340" s="280"/>
      <c r="B340" s="270"/>
      <c r="C340" s="270"/>
      <c r="D340" s="270"/>
      <c r="E340" s="270"/>
      <c r="F340" s="270"/>
      <c r="G340" s="270"/>
      <c r="H340" s="270"/>
      <c r="I340" s="270"/>
      <c r="J340" s="231"/>
      <c r="K340" s="231"/>
      <c r="L340" s="231"/>
      <c r="M340" s="231"/>
      <c r="N340" s="231"/>
      <c r="O340" s="231"/>
      <c r="P340" s="231"/>
      <c r="Q340" s="231"/>
      <c r="R340" s="270"/>
      <c r="S340" s="270"/>
      <c r="T340" s="269"/>
      <c r="U340" s="269"/>
      <c r="V340" s="269"/>
    </row>
    <row r="341" spans="1:22" x14ac:dyDescent="0.3">
      <c r="A341" s="280"/>
      <c r="B341" s="270"/>
      <c r="C341" s="270"/>
      <c r="D341" s="270"/>
      <c r="E341" s="270"/>
      <c r="F341" s="270"/>
      <c r="G341" s="270"/>
      <c r="H341" s="270"/>
      <c r="I341" s="270"/>
      <c r="J341" s="231"/>
      <c r="K341" s="231"/>
      <c r="L341" s="231"/>
      <c r="M341" s="231"/>
      <c r="N341" s="231"/>
      <c r="O341" s="231"/>
      <c r="P341" s="231"/>
      <c r="Q341" s="231"/>
      <c r="R341" s="270"/>
      <c r="S341" s="270"/>
      <c r="T341" s="269"/>
      <c r="U341" s="269"/>
      <c r="V341" s="269"/>
    </row>
    <row r="342" spans="1:22" x14ac:dyDescent="0.3">
      <c r="A342" s="280"/>
      <c r="B342" s="270"/>
      <c r="C342" s="270"/>
      <c r="D342" s="270"/>
      <c r="E342" s="270"/>
      <c r="F342" s="270"/>
      <c r="G342" s="270"/>
      <c r="H342" s="270"/>
      <c r="I342" s="270"/>
      <c r="J342" s="231"/>
      <c r="K342" s="231"/>
      <c r="L342" s="231"/>
      <c r="M342" s="231"/>
      <c r="N342" s="231"/>
      <c r="O342" s="231"/>
      <c r="P342" s="231"/>
      <c r="Q342" s="231"/>
      <c r="R342" s="270"/>
      <c r="S342" s="270"/>
      <c r="T342" s="269"/>
      <c r="U342" s="269"/>
      <c r="V342" s="269"/>
    </row>
    <row r="343" spans="1:22" x14ac:dyDescent="0.3">
      <c r="A343" s="280"/>
      <c r="B343" s="270"/>
      <c r="C343" s="270"/>
      <c r="D343" s="270"/>
      <c r="E343" s="270"/>
      <c r="F343" s="270"/>
      <c r="G343" s="270"/>
      <c r="H343" s="270"/>
      <c r="I343" s="270"/>
      <c r="J343" s="231"/>
      <c r="K343" s="231"/>
      <c r="L343" s="231"/>
      <c r="M343" s="231"/>
      <c r="N343" s="231"/>
      <c r="O343" s="231"/>
      <c r="P343" s="231"/>
      <c r="Q343" s="231"/>
      <c r="R343" s="270"/>
      <c r="S343" s="270"/>
      <c r="T343" s="269"/>
      <c r="U343" s="269"/>
      <c r="V343" s="269"/>
    </row>
    <row r="344" spans="1:22" x14ac:dyDescent="0.3">
      <c r="A344" s="280"/>
      <c r="B344" s="270"/>
      <c r="C344" s="270"/>
      <c r="D344" s="270"/>
      <c r="E344" s="270"/>
      <c r="F344" s="270"/>
      <c r="G344" s="270"/>
      <c r="H344" s="270"/>
      <c r="I344" s="270"/>
      <c r="J344" s="231"/>
      <c r="K344" s="231"/>
      <c r="L344" s="231"/>
      <c r="M344" s="231"/>
      <c r="N344" s="231"/>
      <c r="O344" s="231"/>
      <c r="P344" s="231"/>
      <c r="Q344" s="231"/>
      <c r="R344" s="270"/>
      <c r="S344" s="270"/>
      <c r="T344" s="269"/>
      <c r="U344" s="269"/>
      <c r="V344" s="269"/>
    </row>
    <row r="345" spans="1:22" x14ac:dyDescent="0.3">
      <c r="A345" s="280"/>
      <c r="B345" s="270"/>
      <c r="C345" s="270"/>
      <c r="D345" s="270"/>
      <c r="E345" s="270"/>
      <c r="F345" s="270"/>
      <c r="G345" s="270"/>
      <c r="H345" s="270"/>
      <c r="I345" s="270"/>
      <c r="J345" s="231"/>
      <c r="K345" s="231"/>
      <c r="L345" s="231"/>
      <c r="M345" s="231"/>
      <c r="N345" s="231"/>
      <c r="O345" s="231"/>
      <c r="P345" s="231"/>
      <c r="Q345" s="231"/>
      <c r="R345" s="270"/>
      <c r="S345" s="270"/>
      <c r="T345" s="269"/>
      <c r="U345" s="269"/>
      <c r="V345" s="269"/>
    </row>
    <row r="346" spans="1:22" x14ac:dyDescent="0.3">
      <c r="A346" s="280"/>
      <c r="B346" s="270"/>
      <c r="C346" s="270"/>
      <c r="D346" s="270"/>
      <c r="E346" s="270"/>
      <c r="F346" s="270"/>
      <c r="G346" s="270"/>
      <c r="H346" s="270"/>
      <c r="I346" s="270"/>
      <c r="J346" s="231"/>
      <c r="K346" s="231"/>
      <c r="L346" s="231"/>
      <c r="M346" s="231"/>
      <c r="N346" s="231"/>
      <c r="O346" s="231"/>
      <c r="P346" s="231"/>
      <c r="Q346" s="231"/>
      <c r="R346" s="270"/>
      <c r="S346" s="270"/>
      <c r="T346" s="269"/>
      <c r="U346" s="269"/>
      <c r="V346" s="269"/>
    </row>
    <row r="347" spans="1:22" x14ac:dyDescent="0.3">
      <c r="A347" s="280"/>
      <c r="B347" s="270"/>
      <c r="C347" s="270"/>
      <c r="D347" s="270"/>
      <c r="E347" s="270"/>
      <c r="F347" s="270"/>
      <c r="G347" s="270"/>
      <c r="H347" s="270"/>
      <c r="I347" s="270"/>
      <c r="J347" s="231"/>
      <c r="K347" s="231"/>
      <c r="L347" s="231"/>
      <c r="M347" s="231"/>
      <c r="N347" s="231"/>
      <c r="O347" s="231"/>
      <c r="P347" s="231"/>
      <c r="Q347" s="231"/>
      <c r="R347" s="270"/>
      <c r="S347" s="270"/>
      <c r="T347" s="269"/>
      <c r="U347" s="269"/>
      <c r="V347" s="269"/>
    </row>
    <row r="348" spans="1:22" x14ac:dyDescent="0.3">
      <c r="A348" s="280"/>
      <c r="B348" s="270"/>
      <c r="C348" s="270"/>
      <c r="D348" s="270"/>
      <c r="E348" s="270"/>
      <c r="F348" s="270"/>
      <c r="G348" s="270"/>
      <c r="H348" s="270"/>
      <c r="I348" s="270"/>
      <c r="J348" s="231"/>
      <c r="K348" s="231"/>
      <c r="L348" s="231"/>
      <c r="M348" s="231"/>
      <c r="N348" s="231"/>
      <c r="O348" s="231"/>
      <c r="P348" s="231"/>
      <c r="Q348" s="231"/>
      <c r="R348" s="270"/>
      <c r="S348" s="270"/>
      <c r="T348" s="269"/>
      <c r="U348" s="269"/>
      <c r="V348" s="269"/>
    </row>
    <row r="349" spans="1:22" x14ac:dyDescent="0.3">
      <c r="A349" s="280"/>
      <c r="B349" s="270"/>
      <c r="C349" s="270"/>
      <c r="D349" s="270"/>
      <c r="E349" s="270"/>
      <c r="F349" s="270"/>
      <c r="G349" s="270"/>
      <c r="H349" s="270"/>
      <c r="I349" s="270"/>
      <c r="J349" s="231"/>
      <c r="K349" s="231"/>
      <c r="L349" s="231"/>
      <c r="M349" s="231"/>
      <c r="N349" s="231"/>
      <c r="O349" s="231"/>
      <c r="P349" s="231"/>
      <c r="Q349" s="231"/>
      <c r="R349" s="270"/>
      <c r="S349" s="270"/>
      <c r="T349" s="269"/>
      <c r="U349" s="269"/>
      <c r="V349" s="269"/>
    </row>
    <row r="350" spans="1:22" x14ac:dyDescent="0.3">
      <c r="A350" s="280"/>
      <c r="B350" s="270"/>
      <c r="C350" s="270"/>
      <c r="D350" s="270"/>
      <c r="E350" s="270"/>
      <c r="F350" s="270"/>
      <c r="G350" s="270"/>
      <c r="H350" s="270"/>
      <c r="I350" s="270"/>
      <c r="J350" s="231"/>
      <c r="K350" s="231"/>
      <c r="L350" s="231"/>
      <c r="M350" s="231"/>
      <c r="N350" s="231"/>
      <c r="O350" s="231"/>
      <c r="P350" s="231"/>
      <c r="Q350" s="231"/>
      <c r="R350" s="270"/>
      <c r="S350" s="270"/>
      <c r="T350" s="269"/>
      <c r="U350" s="269"/>
      <c r="V350" s="269"/>
    </row>
    <row r="351" spans="1:22" x14ac:dyDescent="0.3">
      <c r="A351" s="280"/>
      <c r="B351" s="270"/>
      <c r="C351" s="270"/>
      <c r="D351" s="270"/>
      <c r="E351" s="270"/>
      <c r="F351" s="270"/>
      <c r="G351" s="270"/>
      <c r="H351" s="270"/>
      <c r="I351" s="270"/>
      <c r="J351" s="231"/>
      <c r="K351" s="231"/>
      <c r="L351" s="231"/>
      <c r="M351" s="231"/>
      <c r="N351" s="231"/>
      <c r="O351" s="231"/>
      <c r="P351" s="231"/>
      <c r="Q351" s="231"/>
      <c r="R351" s="270"/>
      <c r="S351" s="270"/>
      <c r="T351" s="269"/>
      <c r="U351" s="269"/>
      <c r="V351" s="269"/>
    </row>
    <row r="352" spans="1:22" x14ac:dyDescent="0.3">
      <c r="A352" s="280"/>
      <c r="B352" s="270"/>
      <c r="C352" s="270"/>
      <c r="D352" s="270"/>
      <c r="E352" s="270"/>
      <c r="F352" s="270"/>
      <c r="G352" s="270"/>
      <c r="H352" s="270"/>
      <c r="I352" s="270"/>
      <c r="J352" s="231"/>
      <c r="K352" s="231"/>
      <c r="L352" s="231"/>
      <c r="M352" s="231"/>
      <c r="N352" s="231"/>
      <c r="O352" s="231"/>
      <c r="P352" s="231"/>
      <c r="Q352" s="231"/>
      <c r="R352" s="270"/>
      <c r="S352" s="270"/>
      <c r="T352" s="269"/>
      <c r="U352" s="269"/>
      <c r="V352" s="269"/>
    </row>
    <row r="353" spans="1:22" x14ac:dyDescent="0.3">
      <c r="A353" s="280"/>
      <c r="B353" s="270"/>
      <c r="C353" s="270"/>
      <c r="D353" s="270"/>
      <c r="E353" s="270"/>
      <c r="F353" s="270"/>
      <c r="G353" s="270"/>
      <c r="H353" s="270"/>
      <c r="I353" s="270"/>
      <c r="J353" s="231"/>
      <c r="K353" s="231"/>
      <c r="L353" s="231"/>
      <c r="M353" s="231"/>
      <c r="N353" s="231"/>
      <c r="O353" s="231"/>
      <c r="P353" s="231"/>
      <c r="Q353" s="231"/>
      <c r="R353" s="270"/>
      <c r="S353" s="270"/>
      <c r="T353" s="269"/>
      <c r="U353" s="269"/>
      <c r="V353" s="269"/>
    </row>
    <row r="354" spans="1:22" x14ac:dyDescent="0.3">
      <c r="A354" s="280"/>
      <c r="B354" s="270"/>
      <c r="C354" s="270"/>
      <c r="D354" s="270"/>
      <c r="E354" s="270"/>
      <c r="F354" s="270"/>
      <c r="G354" s="270"/>
      <c r="H354" s="270"/>
      <c r="I354" s="270"/>
      <c r="J354" s="231"/>
      <c r="K354" s="231"/>
      <c r="L354" s="231"/>
      <c r="M354" s="231"/>
      <c r="N354" s="231"/>
      <c r="O354" s="231"/>
      <c r="P354" s="231"/>
      <c r="Q354" s="231"/>
      <c r="R354" s="270"/>
      <c r="S354" s="270"/>
      <c r="T354" s="269"/>
      <c r="U354" s="269"/>
      <c r="V354" s="269"/>
    </row>
    <row r="355" spans="1:22" x14ac:dyDescent="0.3">
      <c r="A355" s="280"/>
      <c r="B355" s="270"/>
      <c r="C355" s="270"/>
      <c r="D355" s="270"/>
      <c r="E355" s="270"/>
      <c r="F355" s="270"/>
      <c r="G355" s="270"/>
      <c r="H355" s="270"/>
      <c r="I355" s="270"/>
      <c r="J355" s="231"/>
      <c r="K355" s="231"/>
      <c r="L355" s="231"/>
      <c r="M355" s="231"/>
      <c r="N355" s="231"/>
      <c r="O355" s="231"/>
      <c r="P355" s="231"/>
      <c r="Q355" s="231"/>
      <c r="R355" s="270"/>
      <c r="S355" s="270"/>
      <c r="T355" s="269"/>
      <c r="U355" s="269"/>
      <c r="V355" s="269"/>
    </row>
    <row r="356" spans="1:22" x14ac:dyDescent="0.3">
      <c r="A356" s="280"/>
      <c r="B356" s="270"/>
      <c r="C356" s="270"/>
      <c r="D356" s="270"/>
      <c r="E356" s="270"/>
      <c r="F356" s="270"/>
      <c r="G356" s="270"/>
      <c r="H356" s="270"/>
      <c r="I356" s="270"/>
      <c r="J356" s="231"/>
      <c r="K356" s="231"/>
      <c r="L356" s="231"/>
      <c r="M356" s="231"/>
      <c r="N356" s="231"/>
      <c r="O356" s="231"/>
      <c r="P356" s="231"/>
      <c r="Q356" s="231"/>
      <c r="R356" s="270"/>
      <c r="S356" s="270"/>
      <c r="T356" s="269"/>
      <c r="U356" s="269"/>
      <c r="V356" s="269"/>
    </row>
    <row r="357" spans="1:22" x14ac:dyDescent="0.3">
      <c r="A357" s="280"/>
      <c r="B357" s="270"/>
      <c r="C357" s="270"/>
      <c r="D357" s="270"/>
      <c r="E357" s="270"/>
      <c r="F357" s="270"/>
      <c r="G357" s="270"/>
      <c r="H357" s="270"/>
      <c r="I357" s="270"/>
      <c r="J357" s="231"/>
      <c r="K357" s="231"/>
      <c r="L357" s="231"/>
      <c r="M357" s="231"/>
      <c r="N357" s="231"/>
      <c r="O357" s="231"/>
      <c r="P357" s="231"/>
      <c r="Q357" s="231"/>
      <c r="R357" s="270"/>
      <c r="S357" s="270"/>
      <c r="T357" s="269"/>
      <c r="U357" s="269"/>
      <c r="V357" s="269"/>
    </row>
    <row r="358" spans="1:22" x14ac:dyDescent="0.3">
      <c r="A358" s="280"/>
      <c r="B358" s="270"/>
      <c r="C358" s="270"/>
      <c r="D358" s="270"/>
      <c r="E358" s="270"/>
      <c r="F358" s="270"/>
      <c r="G358" s="270"/>
      <c r="H358" s="270"/>
      <c r="I358" s="270"/>
      <c r="J358" s="231"/>
      <c r="K358" s="231"/>
      <c r="L358" s="231"/>
      <c r="M358" s="231"/>
      <c r="N358" s="231"/>
      <c r="O358" s="231"/>
      <c r="P358" s="231"/>
      <c r="Q358" s="231"/>
      <c r="R358" s="270"/>
      <c r="S358" s="270"/>
      <c r="T358" s="269"/>
      <c r="U358" s="269"/>
      <c r="V358" s="269"/>
    </row>
  </sheetData>
  <mergeCells count="20"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129"/>
  <sheetViews>
    <sheetView tabSelected="1" zoomScale="85" zoomScaleNormal="85" workbookViewId="0">
      <selection sqref="A1:AA126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296" t="str">
        <f>정보!B1 &amp; " (쪽쟘제작치수)  " &amp; 정보!B6 &amp;" 소장"</f>
        <v>경기도 의정부 드림밸리아파트-4차 (쪽쟘제작치수)  박철우 소장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</row>
    <row r="2" spans="1:34" ht="30.75" customHeight="1" x14ac:dyDescent="0.3">
      <c r="A2" s="89"/>
      <c r="B2" s="89"/>
      <c r="C2" s="418" t="str">
        <f>"총 : " &amp; COUNTA(A7:A159) &amp;" (SET)"</f>
        <v>총 : 119 (SET)</v>
      </c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9" t="s">
        <v>140</v>
      </c>
      <c r="Q2" s="420"/>
      <c r="R2" s="420"/>
      <c r="S2" s="420"/>
      <c r="T2" s="96"/>
      <c r="U2" s="421">
        <v>1.2</v>
      </c>
      <c r="V2" s="421"/>
      <c r="W2" s="89"/>
      <c r="X2" s="89"/>
      <c r="Y2" s="113"/>
      <c r="Z2" s="113"/>
      <c r="AA2" s="113"/>
    </row>
    <row r="3" spans="1:34" ht="33" customHeight="1" x14ac:dyDescent="0.3">
      <c r="A3" s="56" t="str">
        <f>정보!B9</f>
        <v>HL 1.2T</v>
      </c>
      <c r="B3" s="2"/>
      <c r="C3" s="2"/>
      <c r="D3" s="2"/>
      <c r="E3" s="422" t="s">
        <v>141</v>
      </c>
      <c r="F3" s="422"/>
      <c r="G3" s="97">
        <v>0</v>
      </c>
      <c r="H3" s="90" t="s">
        <v>142</v>
      </c>
      <c r="I3" s="423">
        <v>0</v>
      </c>
      <c r="J3" s="423"/>
      <c r="K3" s="98"/>
      <c r="L3" s="98"/>
      <c r="M3" s="424" t="s">
        <v>83</v>
      </c>
      <c r="N3" s="424"/>
      <c r="O3" s="424"/>
      <c r="P3" s="425">
        <v>0</v>
      </c>
      <c r="Q3" s="425"/>
      <c r="R3" s="426" t="s">
        <v>91</v>
      </c>
      <c r="S3" s="426"/>
      <c r="T3" s="99"/>
      <c r="U3" s="427">
        <v>0</v>
      </c>
      <c r="V3" s="427"/>
      <c r="W3" s="100"/>
      <c r="X3" s="100"/>
      <c r="Y3" s="100"/>
      <c r="Z3" s="100"/>
      <c r="AA3" s="100"/>
    </row>
    <row r="4" spans="1:34" ht="33" customHeight="1" x14ac:dyDescent="0.3">
      <c r="A4" s="293" t="str">
        <f>정보!B12</f>
        <v>제작치수 반영 : JB/JD +(0 ),  늘어난치수K -(0), OP - (0),  기둥차감 (0)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339" t="s">
        <v>242</v>
      </c>
      <c r="Z4" s="339"/>
      <c r="AA4" s="340"/>
    </row>
    <row r="5" spans="1:34" ht="25.9" customHeight="1" x14ac:dyDescent="0.3">
      <c r="A5" s="298" t="s">
        <v>0</v>
      </c>
      <c r="B5" s="298" t="s">
        <v>120</v>
      </c>
      <c r="C5" s="299" t="s">
        <v>143</v>
      </c>
      <c r="D5" s="298" t="s">
        <v>121</v>
      </c>
      <c r="E5" s="299" t="s">
        <v>144</v>
      </c>
      <c r="F5" s="431" t="s">
        <v>145</v>
      </c>
      <c r="G5" s="299" t="s">
        <v>34</v>
      </c>
      <c r="H5" s="299" t="s">
        <v>146</v>
      </c>
      <c r="I5" s="299" t="s">
        <v>208</v>
      </c>
      <c r="J5" s="431" t="s">
        <v>209</v>
      </c>
      <c r="K5" s="299" t="s">
        <v>147</v>
      </c>
      <c r="L5" s="299" t="s">
        <v>148</v>
      </c>
      <c r="M5" s="429" t="s">
        <v>149</v>
      </c>
      <c r="N5" s="429" t="s">
        <v>150</v>
      </c>
      <c r="O5" s="298" t="s">
        <v>128</v>
      </c>
      <c r="P5" s="298" t="s">
        <v>15</v>
      </c>
      <c r="Q5" s="298" t="s">
        <v>130</v>
      </c>
      <c r="R5" s="298" t="s">
        <v>131</v>
      </c>
      <c r="S5" s="299" t="s">
        <v>151</v>
      </c>
      <c r="T5" s="429" t="s">
        <v>152</v>
      </c>
      <c r="U5" s="299" t="s">
        <v>134</v>
      </c>
      <c r="V5" s="299" t="s">
        <v>153</v>
      </c>
      <c r="W5" s="298" t="s">
        <v>136</v>
      </c>
      <c r="X5" s="298"/>
      <c r="Y5" s="433" t="s">
        <v>204</v>
      </c>
      <c r="Z5" s="433"/>
      <c r="AA5" s="433"/>
      <c r="AE5" s="309" t="s">
        <v>154</v>
      </c>
      <c r="AF5" s="309"/>
      <c r="AG5" s="309" t="s">
        <v>155</v>
      </c>
      <c r="AH5" s="309"/>
    </row>
    <row r="6" spans="1:34" ht="36.75" customHeight="1" x14ac:dyDescent="0.3">
      <c r="A6" s="428"/>
      <c r="B6" s="428"/>
      <c r="C6" s="428"/>
      <c r="D6" s="428"/>
      <c r="E6" s="428"/>
      <c r="F6" s="365"/>
      <c r="G6" s="428"/>
      <c r="H6" s="428"/>
      <c r="I6" s="428"/>
      <c r="J6" s="365"/>
      <c r="K6" s="369"/>
      <c r="L6" s="369"/>
      <c r="M6" s="430"/>
      <c r="N6" s="430"/>
      <c r="O6" s="428"/>
      <c r="P6" s="428"/>
      <c r="Q6" s="428"/>
      <c r="R6" s="428"/>
      <c r="S6" s="428"/>
      <c r="T6" s="432"/>
      <c r="U6" s="369"/>
      <c r="V6" s="369"/>
      <c r="W6" s="101" t="s">
        <v>137</v>
      </c>
      <c r="X6" s="101" t="s">
        <v>156</v>
      </c>
      <c r="Y6" s="118" t="s">
        <v>201</v>
      </c>
      <c r="Z6" s="118" t="s">
        <v>202</v>
      </c>
      <c r="AA6" s="118" t="s">
        <v>203</v>
      </c>
      <c r="AB6" t="s">
        <v>157</v>
      </c>
      <c r="AC6" s="88" t="s">
        <v>27</v>
      </c>
      <c r="AD6" s="88" t="s">
        <v>158</v>
      </c>
      <c r="AE6" s="88" t="s">
        <v>32</v>
      </c>
      <c r="AF6" s="88" t="s">
        <v>33</v>
      </c>
      <c r="AG6" s="88" t="s">
        <v>159</v>
      </c>
      <c r="AH6" s="88" t="s">
        <v>160</v>
      </c>
    </row>
    <row r="7" spans="1:34" ht="19.5" customHeight="1" x14ac:dyDescent="0.3">
      <c r="A7" s="102" t="str">
        <f>'쪽쟘(실측)'!A7</f>
        <v>10-1</v>
      </c>
      <c r="B7" s="102" t="str">
        <f>'쪽쟘(실측)'!B7&amp;"F"</f>
        <v>20F</v>
      </c>
      <c r="C7" s="102" t="str">
        <f>AC7&amp;"*"&amp;AD7</f>
        <v>962*118.4</v>
      </c>
      <c r="D7" s="102">
        <f>'쪽쟘(실측)'!C7-쪽쟘OP차감</f>
        <v>900</v>
      </c>
      <c r="E7" s="102">
        <f>'쪽쟘(실측)'!D7+쪽쟘J늘림+MAX(W7:X7)</f>
        <v>65</v>
      </c>
      <c r="F7" s="103">
        <f>'쪽쟘(실측)'!E7+쪽쟘J늘림+MAX(W7:X7)</f>
        <v>65</v>
      </c>
      <c r="G7" s="104" t="str">
        <f>AF7&amp;"*"&amp;AE7</f>
        <v>2095*120.4</v>
      </c>
      <c r="H7" s="105" t="str">
        <f>AH7&amp;"*"&amp;AG7</f>
        <v>2095*117.4</v>
      </c>
      <c r="I7" s="102">
        <f>IF('쪽쟘(실측)'!F7&gt;0,'쪽쟘(실측)'!F7-1.5,0)+뒷날개치수더함</f>
        <v>32.5</v>
      </c>
      <c r="J7" s="102">
        <f>IF('쪽쟘(실측)'!H7&gt;0,'쪽쟘(실측)'!H7-1.5,0)+뒷날개치수더함</f>
        <v>29.5</v>
      </c>
      <c r="K7" s="102">
        <f>IF('쪽쟘(실측)'!F7&gt;0,'쪽쟘(실측)'!F7+0,0)+뒷날개치수더함</f>
        <v>34</v>
      </c>
      <c r="L7" s="102">
        <f>IF('쪽쟘(실측)'!G7&gt;0,'쪽쟘(실측)'!G7+0,0)+뒷날개치수더함</f>
        <v>30</v>
      </c>
      <c r="M7" s="102">
        <f>IF('쪽쟘(실측)'!H7&gt;0,'쪽쟘(실측)'!H7+0,0)+뒷날개치수더함</f>
        <v>31</v>
      </c>
      <c r="N7" s="102">
        <f>IF('쪽쟘(실측)'!I7&gt;0,'쪽쟘(실측)'!I7+0,0)+뒷날개치수더함</f>
        <v>31</v>
      </c>
      <c r="O7" s="102">
        <f>'쪽쟘(실측)'!J7-쪽쟘기둥차감</f>
        <v>2095</v>
      </c>
      <c r="P7" s="102">
        <f>'쪽쟘(실측)'!K7-쪽쟘기둥차감</f>
        <v>2095</v>
      </c>
      <c r="Q7" s="102">
        <f>'쪽쟘(실측)'!L7-쪽쟘기둥차감</f>
        <v>2095</v>
      </c>
      <c r="R7" s="102">
        <f>'쪽쟘(실측)'!M7-쪽쟘기둥차감</f>
        <v>2095</v>
      </c>
      <c r="S7" s="102">
        <f>'쪽쟘(실측)'!N7+뒷날개치수더함</f>
        <v>32</v>
      </c>
      <c r="T7" s="102">
        <f>'쪽쟘(실측)'!O7+뒷날개치수더함</f>
        <v>32</v>
      </c>
      <c r="U7" s="102">
        <f>'쪽쟘(실측)'!P7+뒷날개치수더함</f>
        <v>25</v>
      </c>
      <c r="V7" s="102">
        <f>'쪽쟘(실측)'!Q7+뒷날개치수더함</f>
        <v>25</v>
      </c>
      <c r="W7" s="102">
        <f>'쪽쟘(실측)'!R7-쪽쟘늘치차감</f>
        <v>0</v>
      </c>
      <c r="X7" s="102">
        <f>'쪽쟘(실측)'!S7-쪽쟘늘치차감</f>
        <v>0</v>
      </c>
      <c r="Y7" s="143">
        <f>IF('쪽쟘(실측)'!T7&gt;5,'쪽쟘(실측)'!T7+뒷날개치수더함,0)</f>
        <v>15</v>
      </c>
      <c r="Z7" s="143">
        <f>'쪽쟘(실측)'!U7</f>
        <v>10</v>
      </c>
      <c r="AA7" s="143">
        <f>'쪽쟘(실측)'!V7</f>
        <v>10</v>
      </c>
      <c r="AC7">
        <f t="shared" ref="AC7" si="0">D7+I7+J7</f>
        <v>962</v>
      </c>
      <c r="AD7">
        <f t="shared" ref="AD7" si="1">U7+E7+MAX(S7,T7)-쪽쟘소재t*3+IF(S7=0,S7*쪽쟘소재t,0)</f>
        <v>118.4</v>
      </c>
      <c r="AE7">
        <f t="shared" ref="AE7" si="2">MAX(K7,L7)+F7+V7-쪽쟘소재t*3+IF(K7=0,쪽쟘소재t)-IF(AA7=90,2.4,0)</f>
        <v>120.4</v>
      </c>
      <c r="AF7">
        <f t="shared" ref="AF7" si="3">MAX(O7,P7)</f>
        <v>2095</v>
      </c>
      <c r="AG7">
        <f t="shared" ref="AG7" si="4">MAX(M7,N7)+F7+V7-쪽쟘소재t*3+IF(M7=0,쪽쟘소재t)-IF(AA7=90,2.4,0)</f>
        <v>117.4</v>
      </c>
      <c r="AH7">
        <f>MAX(Q7,R7)</f>
        <v>2095</v>
      </c>
    </row>
    <row r="8" spans="1:34" s="228" customFormat="1" ht="19.5" customHeight="1" x14ac:dyDescent="0.3">
      <c r="A8" s="232" t="str">
        <f>'쪽쟘(실측)'!A8</f>
        <v>10-1</v>
      </c>
      <c r="B8" s="232" t="str">
        <f>'쪽쟘(실측)'!B8&amp;"F"</f>
        <v>19F</v>
      </c>
      <c r="C8" s="232" t="str">
        <f t="shared" ref="C8:C71" si="5">AC8&amp;"*"&amp;AD8</f>
        <v>966*117.4</v>
      </c>
      <c r="D8" s="232">
        <f>'쪽쟘(실측)'!C8-쪽쟘OP차감</f>
        <v>900</v>
      </c>
      <c r="E8" s="232">
        <f>'쪽쟘(실측)'!D8+쪽쟘J늘림+MAX(W8:X8)</f>
        <v>65</v>
      </c>
      <c r="F8" s="233">
        <f>'쪽쟘(실측)'!E8+쪽쟘J늘림+MAX(W8:X8)</f>
        <v>65</v>
      </c>
      <c r="G8" s="234" t="str">
        <f t="shared" ref="G8:G71" si="6">AF8&amp;"*"&amp;AE8</f>
        <v>2095*121.4</v>
      </c>
      <c r="H8" s="235" t="str">
        <f t="shared" ref="H8:H71" si="7">AH8&amp;"*"&amp;AG8</f>
        <v>2095*120.4</v>
      </c>
      <c r="I8" s="232">
        <f>IF('쪽쟘(실측)'!F8&gt;0,'쪽쟘(실측)'!F8-1.5,0)+뒷날개치수더함</f>
        <v>33.5</v>
      </c>
      <c r="J8" s="232">
        <f>IF('쪽쟘(실측)'!H8&gt;0,'쪽쟘(실측)'!H8-1.5,0)+뒷날개치수더함</f>
        <v>32.5</v>
      </c>
      <c r="K8" s="232">
        <f>IF('쪽쟘(실측)'!F8&gt;0,'쪽쟘(실측)'!F8+0,0)+뒷날개치수더함</f>
        <v>35</v>
      </c>
      <c r="L8" s="232">
        <f>IF('쪽쟘(실측)'!G8&gt;0,'쪽쟘(실측)'!G8+0,0)+뒷날개치수더함</f>
        <v>35</v>
      </c>
      <c r="M8" s="232">
        <f>IF('쪽쟘(실측)'!H8&gt;0,'쪽쟘(실측)'!H8+0,0)+뒷날개치수더함</f>
        <v>34</v>
      </c>
      <c r="N8" s="232">
        <f>IF('쪽쟘(실측)'!I8&gt;0,'쪽쟘(실측)'!I8+0,0)+뒷날개치수더함</f>
        <v>34</v>
      </c>
      <c r="O8" s="232">
        <f>'쪽쟘(실측)'!J8-쪽쟘기둥차감</f>
        <v>2095</v>
      </c>
      <c r="P8" s="232">
        <f>'쪽쟘(실측)'!K8-쪽쟘기둥차감</f>
        <v>2095</v>
      </c>
      <c r="Q8" s="232">
        <f>'쪽쟘(실측)'!L8-쪽쟘기둥차감</f>
        <v>2095</v>
      </c>
      <c r="R8" s="232">
        <f>'쪽쟘(실측)'!M8-쪽쟘기둥차감</f>
        <v>2095</v>
      </c>
      <c r="S8" s="232">
        <f>'쪽쟘(실측)'!N8+뒷날개치수더함</f>
        <v>31</v>
      </c>
      <c r="T8" s="232">
        <f>'쪽쟘(실측)'!O8+뒷날개치수더함</f>
        <v>31</v>
      </c>
      <c r="U8" s="232">
        <f>'쪽쟘(실측)'!P8+뒷날개치수더함</f>
        <v>25</v>
      </c>
      <c r="V8" s="232">
        <f>'쪽쟘(실측)'!Q8+뒷날개치수더함</f>
        <v>25</v>
      </c>
      <c r="W8" s="232">
        <f>'쪽쟘(실측)'!R8-쪽쟘늘치차감</f>
        <v>0</v>
      </c>
      <c r="X8" s="232">
        <f>'쪽쟘(실측)'!S8-쪽쟘늘치차감</f>
        <v>0</v>
      </c>
      <c r="Y8" s="271">
        <f>IF('쪽쟘(실측)'!T8&gt;5,'쪽쟘(실측)'!T8+뒷날개치수더함,0)</f>
        <v>15</v>
      </c>
      <c r="Z8" s="271">
        <f>'쪽쟘(실측)'!U8</f>
        <v>10</v>
      </c>
      <c r="AA8" s="271">
        <f>'쪽쟘(실측)'!V8</f>
        <v>10</v>
      </c>
      <c r="AC8" s="228">
        <f t="shared" ref="AC8:AC71" si="8">D8+I8+J8</f>
        <v>966</v>
      </c>
      <c r="AD8" s="228">
        <f t="shared" ref="AD8:AD71" si="9">U8+E8+MAX(S8,T8)-쪽쟘소재t*3+IF(S8=0,S8*쪽쟘소재t,0)</f>
        <v>117.4</v>
      </c>
      <c r="AE8" s="228">
        <f t="shared" ref="AE8:AE71" si="10">MAX(K8,L8)+F8+V8-쪽쟘소재t*3+IF(K8=0,쪽쟘소재t)-IF(AA8=90,2.4,0)</f>
        <v>121.4</v>
      </c>
      <c r="AF8" s="228">
        <f t="shared" ref="AF8:AF71" si="11">MAX(O8,P8)</f>
        <v>2095</v>
      </c>
      <c r="AG8" s="228">
        <f t="shared" ref="AG8:AG71" si="12">MAX(M8,N8)+F8+V8-쪽쟘소재t*3+IF(M8=0,쪽쟘소재t)-IF(AA8=90,2.4,0)</f>
        <v>120.4</v>
      </c>
      <c r="AH8" s="228">
        <f t="shared" ref="AH8:AH71" si="13">MAX(Q8,R8)</f>
        <v>2095</v>
      </c>
    </row>
    <row r="9" spans="1:34" s="228" customFormat="1" ht="19.5" customHeight="1" x14ac:dyDescent="0.3">
      <c r="A9" s="232" t="str">
        <f>'쪽쟘(실측)'!A9</f>
        <v>10-1</v>
      </c>
      <c r="B9" s="232" t="str">
        <f>'쪽쟘(실측)'!B9&amp;"F"</f>
        <v>18F</v>
      </c>
      <c r="C9" s="232" t="str">
        <f t="shared" si="5"/>
        <v>963*114.4</v>
      </c>
      <c r="D9" s="232">
        <f>'쪽쟘(실측)'!C9-쪽쟘OP차감</f>
        <v>899</v>
      </c>
      <c r="E9" s="232">
        <f>'쪽쟘(실측)'!D9+쪽쟘J늘림+MAX(W9:X9)</f>
        <v>65</v>
      </c>
      <c r="F9" s="233">
        <f>'쪽쟘(실측)'!E9+쪽쟘J늘림+MAX(W9:X9)</f>
        <v>65</v>
      </c>
      <c r="G9" s="234" t="str">
        <f t="shared" si="6"/>
        <v>2095*119.4</v>
      </c>
      <c r="H9" s="235" t="str">
        <f t="shared" si="7"/>
        <v>2095*120.4</v>
      </c>
      <c r="I9" s="232">
        <f>IF('쪽쟘(실측)'!F9&gt;0,'쪽쟘(실측)'!F9-1.5,0)+뒷날개치수더함</f>
        <v>31.5</v>
      </c>
      <c r="J9" s="232">
        <f>IF('쪽쟘(실측)'!H9&gt;0,'쪽쟘(실측)'!H9-1.5,0)+뒷날개치수더함</f>
        <v>32.5</v>
      </c>
      <c r="K9" s="232">
        <f>IF('쪽쟘(실측)'!F9&gt;0,'쪽쟘(실측)'!F9+0,0)+뒷날개치수더함</f>
        <v>33</v>
      </c>
      <c r="L9" s="232">
        <f>IF('쪽쟘(실측)'!G9&gt;0,'쪽쟘(실측)'!G9+0,0)+뒷날개치수더함</f>
        <v>29</v>
      </c>
      <c r="M9" s="232">
        <f>IF('쪽쟘(실측)'!H9&gt;0,'쪽쟘(실측)'!H9+0,0)+뒷날개치수더함</f>
        <v>34</v>
      </c>
      <c r="N9" s="232">
        <f>IF('쪽쟘(실측)'!I9&gt;0,'쪽쟘(실측)'!I9+0,0)+뒷날개치수더함</f>
        <v>34</v>
      </c>
      <c r="O9" s="232">
        <f>'쪽쟘(실측)'!J9-쪽쟘기둥차감</f>
        <v>2095</v>
      </c>
      <c r="P9" s="232">
        <f>'쪽쟘(실측)'!K9-쪽쟘기둥차감</f>
        <v>2095</v>
      </c>
      <c r="Q9" s="232">
        <f>'쪽쟘(실측)'!L9-쪽쟘기둥차감</f>
        <v>2095</v>
      </c>
      <c r="R9" s="232">
        <f>'쪽쟘(실측)'!M9-쪽쟘기둥차감</f>
        <v>2095</v>
      </c>
      <c r="S9" s="232">
        <f>'쪽쟘(실측)'!N9+뒷날개치수더함</f>
        <v>28</v>
      </c>
      <c r="T9" s="232">
        <f>'쪽쟘(실측)'!O9+뒷날개치수더함</f>
        <v>28</v>
      </c>
      <c r="U9" s="232">
        <f>'쪽쟘(실측)'!P9+뒷날개치수더함</f>
        <v>25</v>
      </c>
      <c r="V9" s="232">
        <f>'쪽쟘(실측)'!Q9+뒷날개치수더함</f>
        <v>25</v>
      </c>
      <c r="W9" s="232">
        <f>'쪽쟘(실측)'!R9-쪽쟘늘치차감</f>
        <v>0</v>
      </c>
      <c r="X9" s="232">
        <f>'쪽쟘(실측)'!S9-쪽쟘늘치차감</f>
        <v>0</v>
      </c>
      <c r="Y9" s="271">
        <f>IF('쪽쟘(실측)'!T9&gt;5,'쪽쟘(실측)'!T9+뒷날개치수더함,0)</f>
        <v>15</v>
      </c>
      <c r="Z9" s="271">
        <f>'쪽쟘(실측)'!U9</f>
        <v>10</v>
      </c>
      <c r="AA9" s="271">
        <f>'쪽쟘(실측)'!V9</f>
        <v>10</v>
      </c>
      <c r="AC9" s="228">
        <f t="shared" si="8"/>
        <v>963</v>
      </c>
      <c r="AD9" s="228">
        <f t="shared" si="9"/>
        <v>114.4</v>
      </c>
      <c r="AE9" s="228">
        <f t="shared" si="10"/>
        <v>119.4</v>
      </c>
      <c r="AF9" s="228">
        <f t="shared" si="11"/>
        <v>2095</v>
      </c>
      <c r="AG9" s="228">
        <f t="shared" si="12"/>
        <v>120.4</v>
      </c>
      <c r="AH9" s="228">
        <f t="shared" si="13"/>
        <v>2095</v>
      </c>
    </row>
    <row r="10" spans="1:34" s="228" customFormat="1" ht="19.5" customHeight="1" x14ac:dyDescent="0.3">
      <c r="A10" s="232" t="str">
        <f>'쪽쟘(실측)'!A10</f>
        <v>10-1</v>
      </c>
      <c r="B10" s="232" t="str">
        <f>'쪽쟘(실측)'!B10&amp;"F"</f>
        <v>17F</v>
      </c>
      <c r="C10" s="232" t="str">
        <f t="shared" si="5"/>
        <v>963*117.4</v>
      </c>
      <c r="D10" s="232">
        <f>'쪽쟘(실측)'!C10-쪽쟘OP차감</f>
        <v>899</v>
      </c>
      <c r="E10" s="232">
        <f>'쪽쟘(실측)'!D10+쪽쟘J늘림+MAX(W10:X10)</f>
        <v>65</v>
      </c>
      <c r="F10" s="233">
        <f>'쪽쟘(실측)'!E10+쪽쟘J늘림+MAX(W10:X10)</f>
        <v>65</v>
      </c>
      <c r="G10" s="234" t="str">
        <f t="shared" si="6"/>
        <v>2095*120.4</v>
      </c>
      <c r="H10" s="235" t="str">
        <f t="shared" si="7"/>
        <v>2095*119.4</v>
      </c>
      <c r="I10" s="232">
        <f>IF('쪽쟘(실측)'!F10&gt;0,'쪽쟘(실측)'!F10-1.5,0)+뒷날개치수더함</f>
        <v>32.5</v>
      </c>
      <c r="J10" s="232">
        <f>IF('쪽쟘(실측)'!H10&gt;0,'쪽쟘(실측)'!H10-1.5,0)+뒷날개치수더함</f>
        <v>31.5</v>
      </c>
      <c r="K10" s="232">
        <f>IF('쪽쟘(실측)'!F10&gt;0,'쪽쟘(실측)'!F10+0,0)+뒷날개치수더함</f>
        <v>34</v>
      </c>
      <c r="L10" s="232">
        <f>IF('쪽쟘(실측)'!G10&gt;0,'쪽쟘(실측)'!G10+0,0)+뒷날개치수더함</f>
        <v>34</v>
      </c>
      <c r="M10" s="232">
        <f>IF('쪽쟘(실측)'!H10&gt;0,'쪽쟘(실측)'!H10+0,0)+뒷날개치수더함</f>
        <v>33</v>
      </c>
      <c r="N10" s="232">
        <f>IF('쪽쟘(실측)'!I10&gt;0,'쪽쟘(실측)'!I10+0,0)+뒷날개치수더함</f>
        <v>33</v>
      </c>
      <c r="O10" s="232">
        <f>'쪽쟘(실측)'!J10-쪽쟘기둥차감</f>
        <v>2095</v>
      </c>
      <c r="P10" s="232">
        <f>'쪽쟘(실측)'!K10-쪽쟘기둥차감</f>
        <v>2095</v>
      </c>
      <c r="Q10" s="232">
        <f>'쪽쟘(실측)'!L10-쪽쟘기둥차감</f>
        <v>2095</v>
      </c>
      <c r="R10" s="232">
        <f>'쪽쟘(실측)'!M10-쪽쟘기둥차감</f>
        <v>2095</v>
      </c>
      <c r="S10" s="232">
        <f>'쪽쟘(실측)'!N10+뒷날개치수더함</f>
        <v>31</v>
      </c>
      <c r="T10" s="232">
        <f>'쪽쟘(실측)'!O10+뒷날개치수더함</f>
        <v>31</v>
      </c>
      <c r="U10" s="232">
        <f>'쪽쟘(실측)'!P10+뒷날개치수더함</f>
        <v>25</v>
      </c>
      <c r="V10" s="232">
        <f>'쪽쟘(실측)'!Q10+뒷날개치수더함</f>
        <v>25</v>
      </c>
      <c r="W10" s="232">
        <f>'쪽쟘(실측)'!R10-쪽쟘늘치차감</f>
        <v>0</v>
      </c>
      <c r="X10" s="232">
        <f>'쪽쟘(실측)'!S10-쪽쟘늘치차감</f>
        <v>0</v>
      </c>
      <c r="Y10" s="271">
        <f>IF('쪽쟘(실측)'!T10&gt;5,'쪽쟘(실측)'!T10+뒷날개치수더함,0)</f>
        <v>15</v>
      </c>
      <c r="Z10" s="271">
        <f>'쪽쟘(실측)'!U10</f>
        <v>10</v>
      </c>
      <c r="AA10" s="271">
        <f>'쪽쟘(실측)'!V10</f>
        <v>10</v>
      </c>
      <c r="AC10" s="228">
        <f t="shared" si="8"/>
        <v>963</v>
      </c>
      <c r="AD10" s="228">
        <f t="shared" si="9"/>
        <v>117.4</v>
      </c>
      <c r="AE10" s="228">
        <f t="shared" si="10"/>
        <v>120.4</v>
      </c>
      <c r="AF10" s="228">
        <f t="shared" si="11"/>
        <v>2095</v>
      </c>
      <c r="AG10" s="228">
        <f t="shared" si="12"/>
        <v>119.4</v>
      </c>
      <c r="AH10" s="228">
        <f t="shared" si="13"/>
        <v>2095</v>
      </c>
    </row>
    <row r="11" spans="1:34" s="228" customFormat="1" ht="19.5" customHeight="1" x14ac:dyDescent="0.3">
      <c r="A11" s="232" t="str">
        <f>'쪽쟘(실측)'!A11</f>
        <v>10-1</v>
      </c>
      <c r="B11" s="232" t="str">
        <f>'쪽쟘(실측)'!B11&amp;"F"</f>
        <v>16F</v>
      </c>
      <c r="C11" s="232" t="str">
        <f t="shared" si="5"/>
        <v>961*115.4</v>
      </c>
      <c r="D11" s="232">
        <f>'쪽쟘(실측)'!C11-쪽쟘OP차감</f>
        <v>899</v>
      </c>
      <c r="E11" s="232">
        <f>'쪽쟘(실측)'!D11+쪽쟘J늘림+MAX(W11:X11)</f>
        <v>65</v>
      </c>
      <c r="F11" s="233">
        <f>'쪽쟘(실측)'!E11+쪽쟘J늘림+MAX(W11:X11)</f>
        <v>65</v>
      </c>
      <c r="G11" s="234" t="str">
        <f t="shared" si="6"/>
        <v>2095*120.4</v>
      </c>
      <c r="H11" s="235" t="str">
        <f t="shared" si="7"/>
        <v>2095*117.4</v>
      </c>
      <c r="I11" s="232">
        <f>IF('쪽쟘(실측)'!F11&gt;0,'쪽쟘(실측)'!F11-1.5,0)+뒷날개치수더함</f>
        <v>32.5</v>
      </c>
      <c r="J11" s="232">
        <f>IF('쪽쟘(실측)'!H11&gt;0,'쪽쟘(실측)'!H11-1.5,0)+뒷날개치수더함</f>
        <v>29.5</v>
      </c>
      <c r="K11" s="232">
        <f>IF('쪽쟘(실측)'!F11&gt;0,'쪽쟘(실측)'!F11+0,0)+뒷날개치수더함</f>
        <v>34</v>
      </c>
      <c r="L11" s="232">
        <f>IF('쪽쟘(실측)'!G11&gt;0,'쪽쟘(실측)'!G11+0,0)+뒷날개치수더함</f>
        <v>30</v>
      </c>
      <c r="M11" s="232">
        <f>IF('쪽쟘(실측)'!H11&gt;0,'쪽쟘(실측)'!H11+0,0)+뒷날개치수더함</f>
        <v>31</v>
      </c>
      <c r="N11" s="232">
        <f>IF('쪽쟘(실측)'!I11&gt;0,'쪽쟘(실측)'!I11+0,0)+뒷날개치수더함</f>
        <v>31</v>
      </c>
      <c r="O11" s="232">
        <f>'쪽쟘(실측)'!J11-쪽쟘기둥차감</f>
        <v>2095</v>
      </c>
      <c r="P11" s="232">
        <f>'쪽쟘(실측)'!K11-쪽쟘기둥차감</f>
        <v>2095</v>
      </c>
      <c r="Q11" s="232">
        <f>'쪽쟘(실측)'!L11-쪽쟘기둥차감</f>
        <v>2095</v>
      </c>
      <c r="R11" s="232">
        <f>'쪽쟘(실측)'!M11-쪽쟘기둥차감</f>
        <v>2095</v>
      </c>
      <c r="S11" s="232">
        <f>'쪽쟘(실측)'!N11+뒷날개치수더함</f>
        <v>29</v>
      </c>
      <c r="T11" s="232">
        <f>'쪽쟘(실측)'!O11+뒷날개치수더함</f>
        <v>29</v>
      </c>
      <c r="U11" s="232">
        <f>'쪽쟘(실측)'!P11+뒷날개치수더함</f>
        <v>25</v>
      </c>
      <c r="V11" s="232">
        <f>'쪽쟘(실측)'!Q11+뒷날개치수더함</f>
        <v>25</v>
      </c>
      <c r="W11" s="232">
        <f>'쪽쟘(실측)'!R11-쪽쟘늘치차감</f>
        <v>0</v>
      </c>
      <c r="X11" s="232">
        <f>'쪽쟘(실측)'!S11-쪽쟘늘치차감</f>
        <v>0</v>
      </c>
      <c r="Y11" s="271">
        <f>IF('쪽쟘(실측)'!T11&gt;5,'쪽쟘(실측)'!T11+뒷날개치수더함,0)</f>
        <v>15</v>
      </c>
      <c r="Z11" s="271">
        <f>'쪽쟘(실측)'!U11</f>
        <v>10</v>
      </c>
      <c r="AA11" s="271">
        <f>'쪽쟘(실측)'!V11</f>
        <v>10</v>
      </c>
      <c r="AC11" s="228">
        <f t="shared" si="8"/>
        <v>961</v>
      </c>
      <c r="AD11" s="228">
        <f t="shared" si="9"/>
        <v>115.4</v>
      </c>
      <c r="AE11" s="228">
        <f t="shared" si="10"/>
        <v>120.4</v>
      </c>
      <c r="AF11" s="228">
        <f t="shared" si="11"/>
        <v>2095</v>
      </c>
      <c r="AG11" s="228">
        <f t="shared" si="12"/>
        <v>117.4</v>
      </c>
      <c r="AH11" s="228">
        <f t="shared" si="13"/>
        <v>2095</v>
      </c>
    </row>
    <row r="12" spans="1:34" s="228" customFormat="1" ht="19.5" customHeight="1" x14ac:dyDescent="0.3">
      <c r="A12" s="232" t="str">
        <f>'쪽쟘(실측)'!A12</f>
        <v>10-1</v>
      </c>
      <c r="B12" s="232" t="str">
        <f>'쪽쟘(실측)'!B12&amp;"F"</f>
        <v>15F</v>
      </c>
      <c r="C12" s="232" t="str">
        <f t="shared" si="5"/>
        <v>962*116.4</v>
      </c>
      <c r="D12" s="232">
        <f>'쪽쟘(실측)'!C12-쪽쟘OP차감</f>
        <v>899</v>
      </c>
      <c r="E12" s="232">
        <f>'쪽쟘(실측)'!D12+쪽쟘J늘림+MAX(W12:X12)</f>
        <v>65</v>
      </c>
      <c r="F12" s="233">
        <f>'쪽쟘(실측)'!E12+쪽쟘J늘림+MAX(W12:X12)</f>
        <v>65</v>
      </c>
      <c r="G12" s="234" t="str">
        <f t="shared" si="6"/>
        <v>2095*119.4</v>
      </c>
      <c r="H12" s="235" t="str">
        <f t="shared" si="7"/>
        <v>2095*119.4</v>
      </c>
      <c r="I12" s="232">
        <f>IF('쪽쟘(실측)'!F12&gt;0,'쪽쟘(실측)'!F12-1.5,0)+뒷날개치수더함</f>
        <v>31.5</v>
      </c>
      <c r="J12" s="232">
        <f>IF('쪽쟘(실측)'!H12&gt;0,'쪽쟘(실측)'!H12-1.5,0)+뒷날개치수더함</f>
        <v>31.5</v>
      </c>
      <c r="K12" s="232">
        <f>IF('쪽쟘(실측)'!F12&gt;0,'쪽쟘(실측)'!F12+0,0)+뒷날개치수더함</f>
        <v>33</v>
      </c>
      <c r="L12" s="232">
        <f>IF('쪽쟘(실측)'!G12&gt;0,'쪽쟘(실측)'!G12+0,0)+뒷날개치수더함</f>
        <v>33</v>
      </c>
      <c r="M12" s="232">
        <f>IF('쪽쟘(실측)'!H12&gt;0,'쪽쟘(실측)'!H12+0,0)+뒷날개치수더함</f>
        <v>33</v>
      </c>
      <c r="N12" s="232">
        <f>IF('쪽쟘(실측)'!I12&gt;0,'쪽쟘(실측)'!I12+0,0)+뒷날개치수더함</f>
        <v>33</v>
      </c>
      <c r="O12" s="232">
        <f>'쪽쟘(실측)'!J12-쪽쟘기둥차감</f>
        <v>2095</v>
      </c>
      <c r="P12" s="232">
        <f>'쪽쟘(실측)'!K12-쪽쟘기둥차감</f>
        <v>2095</v>
      </c>
      <c r="Q12" s="232">
        <f>'쪽쟘(실측)'!L12-쪽쟘기둥차감</f>
        <v>2095</v>
      </c>
      <c r="R12" s="232">
        <f>'쪽쟘(실측)'!M12-쪽쟘기둥차감</f>
        <v>2095</v>
      </c>
      <c r="S12" s="232">
        <f>'쪽쟘(실측)'!N12+뒷날개치수더함</f>
        <v>30</v>
      </c>
      <c r="T12" s="232">
        <f>'쪽쟘(실측)'!O12+뒷날개치수더함</f>
        <v>30</v>
      </c>
      <c r="U12" s="232">
        <f>'쪽쟘(실측)'!P12+뒷날개치수더함</f>
        <v>25</v>
      </c>
      <c r="V12" s="232">
        <f>'쪽쟘(실측)'!Q12+뒷날개치수더함</f>
        <v>25</v>
      </c>
      <c r="W12" s="232">
        <f>'쪽쟘(실측)'!R12-쪽쟘늘치차감</f>
        <v>0</v>
      </c>
      <c r="X12" s="232">
        <f>'쪽쟘(실측)'!S12-쪽쟘늘치차감</f>
        <v>0</v>
      </c>
      <c r="Y12" s="271">
        <f>IF('쪽쟘(실측)'!T12&gt;5,'쪽쟘(실측)'!T12+뒷날개치수더함,0)</f>
        <v>15</v>
      </c>
      <c r="Z12" s="271">
        <f>'쪽쟘(실측)'!U12</f>
        <v>10</v>
      </c>
      <c r="AA12" s="271">
        <f>'쪽쟘(실측)'!V12</f>
        <v>10</v>
      </c>
      <c r="AC12" s="228">
        <f t="shared" si="8"/>
        <v>962</v>
      </c>
      <c r="AD12" s="228">
        <f t="shared" si="9"/>
        <v>116.4</v>
      </c>
      <c r="AE12" s="228">
        <f t="shared" si="10"/>
        <v>119.4</v>
      </c>
      <c r="AF12" s="228">
        <f t="shared" si="11"/>
        <v>2095</v>
      </c>
      <c r="AG12" s="228">
        <f t="shared" si="12"/>
        <v>119.4</v>
      </c>
      <c r="AH12" s="228">
        <f t="shared" si="13"/>
        <v>2095</v>
      </c>
    </row>
    <row r="13" spans="1:34" s="228" customFormat="1" ht="19.5" customHeight="1" x14ac:dyDescent="0.3">
      <c r="A13" s="232" t="str">
        <f>'쪽쟘(실측)'!A13</f>
        <v>10-1</v>
      </c>
      <c r="B13" s="232" t="str">
        <f>'쪽쟘(실측)'!B13&amp;"F"</f>
        <v>14F</v>
      </c>
      <c r="C13" s="232" t="str">
        <f t="shared" si="5"/>
        <v>962*116.4</v>
      </c>
      <c r="D13" s="232">
        <f>'쪽쟘(실측)'!C13-쪽쟘OP차감</f>
        <v>899</v>
      </c>
      <c r="E13" s="232">
        <f>'쪽쟘(실측)'!D13+쪽쟘J늘림+MAX(W13:X13)</f>
        <v>65</v>
      </c>
      <c r="F13" s="233">
        <f>'쪽쟘(실측)'!E13+쪽쟘J늘림+MAX(W13:X13)</f>
        <v>65</v>
      </c>
      <c r="G13" s="234" t="str">
        <f t="shared" si="6"/>
        <v>2095*120.4</v>
      </c>
      <c r="H13" s="235" t="str">
        <f t="shared" si="7"/>
        <v>2095*118.4</v>
      </c>
      <c r="I13" s="232">
        <f>IF('쪽쟘(실측)'!F13&gt;0,'쪽쟘(실측)'!F13-1.5,0)+뒷날개치수더함</f>
        <v>32.5</v>
      </c>
      <c r="J13" s="232">
        <f>IF('쪽쟘(실측)'!H13&gt;0,'쪽쟘(실측)'!H13-1.5,0)+뒷날개치수더함</f>
        <v>30.5</v>
      </c>
      <c r="K13" s="232">
        <f>IF('쪽쟘(실측)'!F13&gt;0,'쪽쟘(실측)'!F13+0,0)+뒷날개치수더함</f>
        <v>34</v>
      </c>
      <c r="L13" s="232">
        <f>IF('쪽쟘(실측)'!G13&gt;0,'쪽쟘(실측)'!G13+0,0)+뒷날개치수더함</f>
        <v>34</v>
      </c>
      <c r="M13" s="232">
        <f>IF('쪽쟘(실측)'!H13&gt;0,'쪽쟘(실측)'!H13+0,0)+뒷날개치수더함</f>
        <v>32</v>
      </c>
      <c r="N13" s="232">
        <f>IF('쪽쟘(실측)'!I13&gt;0,'쪽쟘(실측)'!I13+0,0)+뒷날개치수더함</f>
        <v>32</v>
      </c>
      <c r="O13" s="232">
        <f>'쪽쟘(실측)'!J13-쪽쟘기둥차감</f>
        <v>2095</v>
      </c>
      <c r="P13" s="232">
        <f>'쪽쟘(실측)'!K13-쪽쟘기둥차감</f>
        <v>2095</v>
      </c>
      <c r="Q13" s="232">
        <f>'쪽쟘(실측)'!L13-쪽쟘기둥차감</f>
        <v>2095</v>
      </c>
      <c r="R13" s="232">
        <f>'쪽쟘(실측)'!M13-쪽쟘기둥차감</f>
        <v>2095</v>
      </c>
      <c r="S13" s="232">
        <f>'쪽쟘(실측)'!N13+뒷날개치수더함</f>
        <v>30</v>
      </c>
      <c r="T13" s="232">
        <f>'쪽쟘(실측)'!O13+뒷날개치수더함</f>
        <v>30</v>
      </c>
      <c r="U13" s="232">
        <f>'쪽쟘(실측)'!P13+뒷날개치수더함</f>
        <v>25</v>
      </c>
      <c r="V13" s="232">
        <f>'쪽쟘(실측)'!Q13+뒷날개치수더함</f>
        <v>25</v>
      </c>
      <c r="W13" s="232">
        <f>'쪽쟘(실측)'!R13-쪽쟘늘치차감</f>
        <v>0</v>
      </c>
      <c r="X13" s="232">
        <f>'쪽쟘(실측)'!S13-쪽쟘늘치차감</f>
        <v>0</v>
      </c>
      <c r="Y13" s="271">
        <f>IF('쪽쟘(실측)'!T13&gt;5,'쪽쟘(실측)'!T13+뒷날개치수더함,0)</f>
        <v>15</v>
      </c>
      <c r="Z13" s="271">
        <f>'쪽쟘(실측)'!U13</f>
        <v>10</v>
      </c>
      <c r="AA13" s="271">
        <f>'쪽쟘(실측)'!V13</f>
        <v>10</v>
      </c>
      <c r="AC13" s="228">
        <f t="shared" si="8"/>
        <v>962</v>
      </c>
      <c r="AD13" s="228">
        <f t="shared" si="9"/>
        <v>116.4</v>
      </c>
      <c r="AE13" s="228">
        <f t="shared" si="10"/>
        <v>120.4</v>
      </c>
      <c r="AF13" s="228">
        <f t="shared" si="11"/>
        <v>2095</v>
      </c>
      <c r="AG13" s="228">
        <f t="shared" si="12"/>
        <v>118.4</v>
      </c>
      <c r="AH13" s="228">
        <f t="shared" si="13"/>
        <v>2095</v>
      </c>
    </row>
    <row r="14" spans="1:34" s="228" customFormat="1" ht="19.5" customHeight="1" x14ac:dyDescent="0.3">
      <c r="A14" s="232" t="str">
        <f>'쪽쟘(실측)'!A14</f>
        <v>10-1</v>
      </c>
      <c r="B14" s="232" t="str">
        <f>'쪽쟘(실측)'!B14&amp;"F"</f>
        <v>13F</v>
      </c>
      <c r="C14" s="232" t="str">
        <f t="shared" si="5"/>
        <v>961*116.4</v>
      </c>
      <c r="D14" s="232">
        <f>'쪽쟘(실측)'!C14-쪽쟘OP차감</f>
        <v>899</v>
      </c>
      <c r="E14" s="232">
        <f>'쪽쟘(실측)'!D14+쪽쟘J늘림+MAX(W14:X14)</f>
        <v>65</v>
      </c>
      <c r="F14" s="233">
        <f>'쪽쟘(실측)'!E14+쪽쟘J늘림+MAX(W14:X14)</f>
        <v>65</v>
      </c>
      <c r="G14" s="234" t="str">
        <f t="shared" si="6"/>
        <v>2095*119.4</v>
      </c>
      <c r="H14" s="235" t="str">
        <f t="shared" si="7"/>
        <v>2095*118.4</v>
      </c>
      <c r="I14" s="232">
        <f>IF('쪽쟘(실측)'!F14&gt;0,'쪽쟘(실측)'!F14-1.5,0)+뒷날개치수더함</f>
        <v>31.5</v>
      </c>
      <c r="J14" s="232">
        <f>IF('쪽쟘(실측)'!H14&gt;0,'쪽쟘(실측)'!H14-1.5,0)+뒷날개치수더함</f>
        <v>30.5</v>
      </c>
      <c r="K14" s="232">
        <f>IF('쪽쟘(실측)'!F14&gt;0,'쪽쟘(실측)'!F14+0,0)+뒷날개치수더함</f>
        <v>33</v>
      </c>
      <c r="L14" s="232">
        <f>IF('쪽쟘(실측)'!G14&gt;0,'쪽쟘(실측)'!G14+0,0)+뒷날개치수더함</f>
        <v>33</v>
      </c>
      <c r="M14" s="232">
        <f>IF('쪽쟘(실측)'!H14&gt;0,'쪽쟘(실측)'!H14+0,0)+뒷날개치수더함</f>
        <v>32</v>
      </c>
      <c r="N14" s="232">
        <f>IF('쪽쟘(실측)'!I14&gt;0,'쪽쟘(실측)'!I14+0,0)+뒷날개치수더함</f>
        <v>32</v>
      </c>
      <c r="O14" s="232">
        <f>'쪽쟘(실측)'!J14-쪽쟘기둥차감</f>
        <v>2095</v>
      </c>
      <c r="P14" s="232">
        <f>'쪽쟘(실측)'!K14-쪽쟘기둥차감</f>
        <v>2095</v>
      </c>
      <c r="Q14" s="232">
        <f>'쪽쟘(실측)'!L14-쪽쟘기둥차감</f>
        <v>2095</v>
      </c>
      <c r="R14" s="232">
        <f>'쪽쟘(실측)'!M14-쪽쟘기둥차감</f>
        <v>2095</v>
      </c>
      <c r="S14" s="232">
        <f>'쪽쟘(실측)'!N14+뒷날개치수더함</f>
        <v>30</v>
      </c>
      <c r="T14" s="232">
        <f>'쪽쟘(실측)'!O14+뒷날개치수더함</f>
        <v>30</v>
      </c>
      <c r="U14" s="232">
        <f>'쪽쟘(실측)'!P14+뒷날개치수더함</f>
        <v>25</v>
      </c>
      <c r="V14" s="232">
        <f>'쪽쟘(실측)'!Q14+뒷날개치수더함</f>
        <v>25</v>
      </c>
      <c r="W14" s="232">
        <f>'쪽쟘(실측)'!R14-쪽쟘늘치차감</f>
        <v>0</v>
      </c>
      <c r="X14" s="232">
        <f>'쪽쟘(실측)'!S14-쪽쟘늘치차감</f>
        <v>0</v>
      </c>
      <c r="Y14" s="271">
        <f>IF('쪽쟘(실측)'!T14&gt;5,'쪽쟘(실측)'!T14+뒷날개치수더함,0)</f>
        <v>15</v>
      </c>
      <c r="Z14" s="271">
        <f>'쪽쟘(실측)'!U14</f>
        <v>10</v>
      </c>
      <c r="AA14" s="271">
        <f>'쪽쟘(실측)'!V14</f>
        <v>10</v>
      </c>
      <c r="AC14" s="228">
        <f t="shared" si="8"/>
        <v>961</v>
      </c>
      <c r="AD14" s="228">
        <f t="shared" si="9"/>
        <v>116.4</v>
      </c>
      <c r="AE14" s="228">
        <f t="shared" si="10"/>
        <v>119.4</v>
      </c>
      <c r="AF14" s="228">
        <f t="shared" si="11"/>
        <v>2095</v>
      </c>
      <c r="AG14" s="228">
        <f t="shared" si="12"/>
        <v>118.4</v>
      </c>
      <c r="AH14" s="228">
        <f t="shared" si="13"/>
        <v>2095</v>
      </c>
    </row>
    <row r="15" spans="1:34" s="228" customFormat="1" ht="19.5" customHeight="1" x14ac:dyDescent="0.3">
      <c r="A15" s="232" t="str">
        <f>'쪽쟘(실측)'!A15</f>
        <v>10-1</v>
      </c>
      <c r="B15" s="232" t="str">
        <f>'쪽쟘(실측)'!B15&amp;"F"</f>
        <v>12F</v>
      </c>
      <c r="C15" s="232" t="str">
        <f t="shared" si="5"/>
        <v>956*116.4</v>
      </c>
      <c r="D15" s="232">
        <f>'쪽쟘(실측)'!C15-쪽쟘OP차감</f>
        <v>899</v>
      </c>
      <c r="E15" s="232">
        <f>'쪽쟘(실측)'!D15+쪽쟘J늘림+MAX(W15:X15)</f>
        <v>65</v>
      </c>
      <c r="F15" s="233">
        <f>'쪽쟘(실측)'!E15+쪽쟘J늘림+MAX(W15:X15)</f>
        <v>65</v>
      </c>
      <c r="G15" s="234" t="str">
        <f t="shared" si="6"/>
        <v>2095*116.4</v>
      </c>
      <c r="H15" s="235" t="str">
        <f t="shared" si="7"/>
        <v>2095*116.4</v>
      </c>
      <c r="I15" s="232">
        <f>IF('쪽쟘(실측)'!F15&gt;0,'쪽쟘(실측)'!F15-1.5,0)+뒷날개치수더함</f>
        <v>28.5</v>
      </c>
      <c r="J15" s="232">
        <f>IF('쪽쟘(실측)'!H15&gt;0,'쪽쟘(실측)'!H15-1.5,0)+뒷날개치수더함</f>
        <v>28.5</v>
      </c>
      <c r="K15" s="232">
        <f>IF('쪽쟘(실측)'!F15&gt;0,'쪽쟘(실측)'!F15+0,0)+뒷날개치수더함</f>
        <v>30</v>
      </c>
      <c r="L15" s="232">
        <f>IF('쪽쟘(실측)'!G15&gt;0,'쪽쟘(실측)'!G15+0,0)+뒷날개치수더함</f>
        <v>30</v>
      </c>
      <c r="M15" s="232">
        <f>IF('쪽쟘(실측)'!H15&gt;0,'쪽쟘(실측)'!H15+0,0)+뒷날개치수더함</f>
        <v>30</v>
      </c>
      <c r="N15" s="232">
        <f>IF('쪽쟘(실측)'!I15&gt;0,'쪽쟘(실측)'!I15+0,0)+뒷날개치수더함</f>
        <v>30</v>
      </c>
      <c r="O15" s="232">
        <f>'쪽쟘(실측)'!J15-쪽쟘기둥차감</f>
        <v>2095</v>
      </c>
      <c r="P15" s="232">
        <f>'쪽쟘(실측)'!K15-쪽쟘기둥차감</f>
        <v>2095</v>
      </c>
      <c r="Q15" s="232">
        <f>'쪽쟘(실측)'!L15-쪽쟘기둥차감</f>
        <v>2095</v>
      </c>
      <c r="R15" s="232">
        <f>'쪽쟘(실측)'!M15-쪽쟘기둥차감</f>
        <v>2095</v>
      </c>
      <c r="S15" s="232">
        <f>'쪽쟘(실측)'!N15+뒷날개치수더함</f>
        <v>30</v>
      </c>
      <c r="T15" s="232">
        <f>'쪽쟘(실측)'!O15+뒷날개치수더함</f>
        <v>30</v>
      </c>
      <c r="U15" s="232">
        <f>'쪽쟘(실측)'!P15+뒷날개치수더함</f>
        <v>25</v>
      </c>
      <c r="V15" s="232">
        <f>'쪽쟘(실측)'!Q15+뒷날개치수더함</f>
        <v>25</v>
      </c>
      <c r="W15" s="232">
        <f>'쪽쟘(실측)'!R15-쪽쟘늘치차감</f>
        <v>0</v>
      </c>
      <c r="X15" s="232">
        <f>'쪽쟘(실측)'!S15-쪽쟘늘치차감</f>
        <v>0</v>
      </c>
      <c r="Y15" s="271">
        <f>IF('쪽쟘(실측)'!T15&gt;5,'쪽쟘(실측)'!T15+뒷날개치수더함,0)</f>
        <v>15</v>
      </c>
      <c r="Z15" s="271">
        <f>'쪽쟘(실측)'!U15</f>
        <v>10</v>
      </c>
      <c r="AA15" s="271">
        <f>'쪽쟘(실측)'!V15</f>
        <v>10</v>
      </c>
      <c r="AC15" s="228">
        <f t="shared" si="8"/>
        <v>956</v>
      </c>
      <c r="AD15" s="228">
        <f t="shared" si="9"/>
        <v>116.4</v>
      </c>
      <c r="AE15" s="228">
        <f t="shared" si="10"/>
        <v>116.4</v>
      </c>
      <c r="AF15" s="228">
        <f t="shared" si="11"/>
        <v>2095</v>
      </c>
      <c r="AG15" s="228">
        <f t="shared" si="12"/>
        <v>116.4</v>
      </c>
      <c r="AH15" s="228">
        <f t="shared" si="13"/>
        <v>2095</v>
      </c>
    </row>
    <row r="16" spans="1:34" s="228" customFormat="1" ht="19.5" customHeight="1" x14ac:dyDescent="0.3">
      <c r="A16" s="232" t="str">
        <f>'쪽쟘(실측)'!A16</f>
        <v>10-1</v>
      </c>
      <c r="B16" s="232" t="str">
        <f>'쪽쟘(실측)'!B16&amp;"F"</f>
        <v>11F</v>
      </c>
      <c r="C16" s="232" t="str">
        <f t="shared" si="5"/>
        <v>957*116.4</v>
      </c>
      <c r="D16" s="232">
        <f>'쪽쟘(실측)'!C16-쪽쟘OP차감</f>
        <v>898</v>
      </c>
      <c r="E16" s="232">
        <f>'쪽쟘(실측)'!D16+쪽쟘J늘림+MAX(W16:X16)</f>
        <v>65</v>
      </c>
      <c r="F16" s="233">
        <f>'쪽쟘(실측)'!E16+쪽쟘J늘림+MAX(W16:X16)</f>
        <v>65</v>
      </c>
      <c r="G16" s="234" t="str">
        <f t="shared" si="6"/>
        <v>2095*118.4</v>
      </c>
      <c r="H16" s="235" t="str">
        <f t="shared" si="7"/>
        <v>2095*116.4</v>
      </c>
      <c r="I16" s="232">
        <f>IF('쪽쟘(실측)'!F16&gt;0,'쪽쟘(실측)'!F16-1.5,0)+뒷날개치수더함</f>
        <v>30.5</v>
      </c>
      <c r="J16" s="232">
        <f>IF('쪽쟘(실측)'!H16&gt;0,'쪽쟘(실측)'!H16-1.5,0)+뒷날개치수더함</f>
        <v>28.5</v>
      </c>
      <c r="K16" s="232">
        <f>IF('쪽쟘(실측)'!F16&gt;0,'쪽쟘(실측)'!F16+0,0)+뒷날개치수더함</f>
        <v>32</v>
      </c>
      <c r="L16" s="232">
        <f>IF('쪽쟘(실측)'!G16&gt;0,'쪽쟘(실측)'!G16+0,0)+뒷날개치수더함</f>
        <v>32</v>
      </c>
      <c r="M16" s="232">
        <f>IF('쪽쟘(실측)'!H16&gt;0,'쪽쟘(실측)'!H16+0,0)+뒷날개치수더함</f>
        <v>30</v>
      </c>
      <c r="N16" s="232">
        <f>IF('쪽쟘(실측)'!I16&gt;0,'쪽쟘(실측)'!I16+0,0)+뒷날개치수더함</f>
        <v>30</v>
      </c>
      <c r="O16" s="232">
        <f>'쪽쟘(실측)'!J16-쪽쟘기둥차감</f>
        <v>2095</v>
      </c>
      <c r="P16" s="232">
        <f>'쪽쟘(실측)'!K16-쪽쟘기둥차감</f>
        <v>2095</v>
      </c>
      <c r="Q16" s="232">
        <f>'쪽쟘(실측)'!L16-쪽쟘기둥차감</f>
        <v>2095</v>
      </c>
      <c r="R16" s="232">
        <f>'쪽쟘(실측)'!M16-쪽쟘기둥차감</f>
        <v>2095</v>
      </c>
      <c r="S16" s="232">
        <f>'쪽쟘(실측)'!N16+뒷날개치수더함</f>
        <v>30</v>
      </c>
      <c r="T16" s="232">
        <f>'쪽쟘(실측)'!O16+뒷날개치수더함</f>
        <v>30</v>
      </c>
      <c r="U16" s="232">
        <f>'쪽쟘(실측)'!P16+뒷날개치수더함</f>
        <v>25</v>
      </c>
      <c r="V16" s="232">
        <f>'쪽쟘(실측)'!Q16+뒷날개치수더함</f>
        <v>25</v>
      </c>
      <c r="W16" s="232">
        <f>'쪽쟘(실측)'!R16-쪽쟘늘치차감</f>
        <v>0</v>
      </c>
      <c r="X16" s="232">
        <f>'쪽쟘(실측)'!S16-쪽쟘늘치차감</f>
        <v>0</v>
      </c>
      <c r="Y16" s="271">
        <f>IF('쪽쟘(실측)'!T16&gt;5,'쪽쟘(실측)'!T16+뒷날개치수더함,0)</f>
        <v>15</v>
      </c>
      <c r="Z16" s="271">
        <f>'쪽쟘(실측)'!U16</f>
        <v>10</v>
      </c>
      <c r="AA16" s="271">
        <f>'쪽쟘(실측)'!V16</f>
        <v>10</v>
      </c>
      <c r="AC16" s="228">
        <f t="shared" si="8"/>
        <v>957</v>
      </c>
      <c r="AD16" s="228">
        <f t="shared" si="9"/>
        <v>116.4</v>
      </c>
      <c r="AE16" s="228">
        <f t="shared" si="10"/>
        <v>118.4</v>
      </c>
      <c r="AF16" s="228">
        <f t="shared" si="11"/>
        <v>2095</v>
      </c>
      <c r="AG16" s="228">
        <f t="shared" si="12"/>
        <v>116.4</v>
      </c>
      <c r="AH16" s="228">
        <f t="shared" si="13"/>
        <v>2095</v>
      </c>
    </row>
    <row r="17" spans="1:34" s="228" customFormat="1" ht="19.5" customHeight="1" x14ac:dyDescent="0.3">
      <c r="A17" s="232" t="str">
        <f>'쪽쟘(실측)'!A17</f>
        <v>10-1</v>
      </c>
      <c r="B17" s="232" t="str">
        <f>'쪽쟘(실측)'!B17&amp;"F"</f>
        <v>10F</v>
      </c>
      <c r="C17" s="232" t="str">
        <f t="shared" si="5"/>
        <v>962*115.4</v>
      </c>
      <c r="D17" s="232">
        <f>'쪽쟘(실측)'!C17-쪽쟘OP차감</f>
        <v>899</v>
      </c>
      <c r="E17" s="232">
        <f>'쪽쟘(실측)'!D17+쪽쟘J늘림+MAX(W17:X17)</f>
        <v>65</v>
      </c>
      <c r="F17" s="233">
        <f>'쪽쟘(실측)'!E17+쪽쟘J늘림+MAX(W17:X17)</f>
        <v>65</v>
      </c>
      <c r="G17" s="234" t="str">
        <f t="shared" si="6"/>
        <v>2095*120.4</v>
      </c>
      <c r="H17" s="235" t="str">
        <f t="shared" si="7"/>
        <v>2095*118.4</v>
      </c>
      <c r="I17" s="232">
        <f>IF('쪽쟘(실측)'!F17&gt;0,'쪽쟘(실측)'!F17-1.5,0)+뒷날개치수더함</f>
        <v>32.5</v>
      </c>
      <c r="J17" s="232">
        <f>IF('쪽쟘(실측)'!H17&gt;0,'쪽쟘(실측)'!H17-1.5,0)+뒷날개치수더함</f>
        <v>30.5</v>
      </c>
      <c r="K17" s="232">
        <f>IF('쪽쟘(실측)'!F17&gt;0,'쪽쟘(실측)'!F17+0,0)+뒷날개치수더함</f>
        <v>34</v>
      </c>
      <c r="L17" s="232">
        <f>IF('쪽쟘(실측)'!G17&gt;0,'쪽쟘(실측)'!G17+0,0)+뒷날개치수더함</f>
        <v>30</v>
      </c>
      <c r="M17" s="232">
        <f>IF('쪽쟘(실측)'!H17&gt;0,'쪽쟘(실측)'!H17+0,0)+뒷날개치수더함</f>
        <v>32</v>
      </c>
      <c r="N17" s="232">
        <f>IF('쪽쟘(실측)'!I17&gt;0,'쪽쟘(실측)'!I17+0,0)+뒷날개치수더함</f>
        <v>32</v>
      </c>
      <c r="O17" s="232">
        <f>'쪽쟘(실측)'!J17-쪽쟘기둥차감</f>
        <v>2095</v>
      </c>
      <c r="P17" s="232">
        <f>'쪽쟘(실측)'!K17-쪽쟘기둥차감</f>
        <v>2095</v>
      </c>
      <c r="Q17" s="232">
        <f>'쪽쟘(실측)'!L17-쪽쟘기둥차감</f>
        <v>2095</v>
      </c>
      <c r="R17" s="232">
        <f>'쪽쟘(실측)'!M17-쪽쟘기둥차감</f>
        <v>2095</v>
      </c>
      <c r="S17" s="232">
        <f>'쪽쟘(실측)'!N17+뒷날개치수더함</f>
        <v>29</v>
      </c>
      <c r="T17" s="232">
        <f>'쪽쟘(실측)'!O17+뒷날개치수더함</f>
        <v>29</v>
      </c>
      <c r="U17" s="232">
        <f>'쪽쟘(실측)'!P17+뒷날개치수더함</f>
        <v>25</v>
      </c>
      <c r="V17" s="232">
        <f>'쪽쟘(실측)'!Q17+뒷날개치수더함</f>
        <v>25</v>
      </c>
      <c r="W17" s="232">
        <f>'쪽쟘(실측)'!R17-쪽쟘늘치차감</f>
        <v>0</v>
      </c>
      <c r="X17" s="232">
        <f>'쪽쟘(실측)'!S17-쪽쟘늘치차감</f>
        <v>0</v>
      </c>
      <c r="Y17" s="271">
        <f>IF('쪽쟘(실측)'!T17&gt;5,'쪽쟘(실측)'!T17+뒷날개치수더함,0)</f>
        <v>15</v>
      </c>
      <c r="Z17" s="271">
        <f>'쪽쟘(실측)'!U17</f>
        <v>10</v>
      </c>
      <c r="AA17" s="271">
        <f>'쪽쟘(실측)'!V17</f>
        <v>10</v>
      </c>
      <c r="AC17" s="228">
        <f t="shared" si="8"/>
        <v>962</v>
      </c>
      <c r="AD17" s="228">
        <f t="shared" si="9"/>
        <v>115.4</v>
      </c>
      <c r="AE17" s="228">
        <f t="shared" si="10"/>
        <v>120.4</v>
      </c>
      <c r="AF17" s="228">
        <f t="shared" si="11"/>
        <v>2095</v>
      </c>
      <c r="AG17" s="228">
        <f t="shared" si="12"/>
        <v>118.4</v>
      </c>
      <c r="AH17" s="228">
        <f t="shared" si="13"/>
        <v>2095</v>
      </c>
    </row>
    <row r="18" spans="1:34" s="228" customFormat="1" ht="19.5" customHeight="1" x14ac:dyDescent="0.3">
      <c r="A18" s="232" t="str">
        <f>'쪽쟘(실측)'!A18</f>
        <v>10-1</v>
      </c>
      <c r="B18" s="232" t="str">
        <f>'쪽쟘(실측)'!B18&amp;"F"</f>
        <v>9F</v>
      </c>
      <c r="C18" s="232" t="str">
        <f t="shared" si="5"/>
        <v>960*116.4</v>
      </c>
      <c r="D18" s="232">
        <f>'쪽쟘(실측)'!C18-쪽쟘OP차감</f>
        <v>899</v>
      </c>
      <c r="E18" s="232">
        <f>'쪽쟘(실측)'!D18+쪽쟘J늘림+MAX(W18:X18)</f>
        <v>65</v>
      </c>
      <c r="F18" s="233">
        <f>'쪽쟘(실측)'!E18+쪽쟘J늘림+MAX(W18:X18)</f>
        <v>65</v>
      </c>
      <c r="G18" s="234" t="str">
        <f t="shared" si="6"/>
        <v>2095*118.4</v>
      </c>
      <c r="H18" s="235" t="str">
        <f t="shared" si="7"/>
        <v>2095*118.4</v>
      </c>
      <c r="I18" s="232">
        <f>IF('쪽쟘(실측)'!F18&gt;0,'쪽쟘(실측)'!F18-1.5,0)+뒷날개치수더함</f>
        <v>30.5</v>
      </c>
      <c r="J18" s="232">
        <f>IF('쪽쟘(실측)'!H18&gt;0,'쪽쟘(실측)'!H18-1.5,0)+뒷날개치수더함</f>
        <v>30.5</v>
      </c>
      <c r="K18" s="232">
        <f>IF('쪽쟘(실측)'!F18&gt;0,'쪽쟘(실측)'!F18+0,0)+뒷날개치수더함</f>
        <v>32</v>
      </c>
      <c r="L18" s="232">
        <f>IF('쪽쟘(실측)'!G18&gt;0,'쪽쟘(실측)'!G18+0,0)+뒷날개치수더함</f>
        <v>32</v>
      </c>
      <c r="M18" s="232">
        <f>IF('쪽쟘(실측)'!H18&gt;0,'쪽쟘(실측)'!H18+0,0)+뒷날개치수더함</f>
        <v>32</v>
      </c>
      <c r="N18" s="232">
        <f>IF('쪽쟘(실측)'!I18&gt;0,'쪽쟘(실측)'!I18+0,0)+뒷날개치수더함</f>
        <v>32</v>
      </c>
      <c r="O18" s="232">
        <f>'쪽쟘(실측)'!J18-쪽쟘기둥차감</f>
        <v>2095</v>
      </c>
      <c r="P18" s="232">
        <f>'쪽쟘(실측)'!K18-쪽쟘기둥차감</f>
        <v>2095</v>
      </c>
      <c r="Q18" s="232">
        <f>'쪽쟘(실측)'!L18-쪽쟘기둥차감</f>
        <v>2095</v>
      </c>
      <c r="R18" s="232">
        <f>'쪽쟘(실측)'!M18-쪽쟘기둥차감</f>
        <v>2095</v>
      </c>
      <c r="S18" s="232">
        <f>'쪽쟘(실측)'!N18+뒷날개치수더함</f>
        <v>30</v>
      </c>
      <c r="T18" s="232">
        <f>'쪽쟘(실측)'!O18+뒷날개치수더함</f>
        <v>30</v>
      </c>
      <c r="U18" s="232">
        <f>'쪽쟘(실측)'!P18+뒷날개치수더함</f>
        <v>25</v>
      </c>
      <c r="V18" s="232">
        <f>'쪽쟘(실측)'!Q18+뒷날개치수더함</f>
        <v>25</v>
      </c>
      <c r="W18" s="232">
        <f>'쪽쟘(실측)'!R18-쪽쟘늘치차감</f>
        <v>0</v>
      </c>
      <c r="X18" s="232">
        <f>'쪽쟘(실측)'!S18-쪽쟘늘치차감</f>
        <v>0</v>
      </c>
      <c r="Y18" s="271">
        <f>IF('쪽쟘(실측)'!T18&gt;5,'쪽쟘(실측)'!T18+뒷날개치수더함,0)</f>
        <v>15</v>
      </c>
      <c r="Z18" s="271">
        <f>'쪽쟘(실측)'!U18</f>
        <v>10</v>
      </c>
      <c r="AA18" s="271">
        <f>'쪽쟘(실측)'!V18</f>
        <v>10</v>
      </c>
      <c r="AC18" s="228">
        <f t="shared" si="8"/>
        <v>960</v>
      </c>
      <c r="AD18" s="228">
        <f t="shared" si="9"/>
        <v>116.4</v>
      </c>
      <c r="AE18" s="228">
        <f t="shared" si="10"/>
        <v>118.4</v>
      </c>
      <c r="AF18" s="228">
        <f t="shared" si="11"/>
        <v>2095</v>
      </c>
      <c r="AG18" s="228">
        <f t="shared" si="12"/>
        <v>118.4</v>
      </c>
      <c r="AH18" s="228">
        <f t="shared" si="13"/>
        <v>2095</v>
      </c>
    </row>
    <row r="19" spans="1:34" s="228" customFormat="1" ht="19.5" customHeight="1" x14ac:dyDescent="0.3">
      <c r="A19" s="232" t="str">
        <f>'쪽쟘(실측)'!A19</f>
        <v>10-1</v>
      </c>
      <c r="B19" s="232" t="str">
        <f>'쪽쟘(실측)'!B19&amp;"F"</f>
        <v>8F</v>
      </c>
      <c r="C19" s="232" t="str">
        <f t="shared" si="5"/>
        <v>965*117.4</v>
      </c>
      <c r="D19" s="232">
        <f>'쪽쟘(실측)'!C19-쪽쟘OP차감</f>
        <v>900</v>
      </c>
      <c r="E19" s="232">
        <f>'쪽쟘(실측)'!D19+쪽쟘J늘림+MAX(W19:X19)</f>
        <v>65</v>
      </c>
      <c r="F19" s="233">
        <f>'쪽쟘(실측)'!E19+쪽쟘J늘림+MAX(W19:X19)</f>
        <v>65</v>
      </c>
      <c r="G19" s="234" t="str">
        <f t="shared" si="6"/>
        <v>2095*120.4</v>
      </c>
      <c r="H19" s="235" t="str">
        <f t="shared" si="7"/>
        <v>2095*120.4</v>
      </c>
      <c r="I19" s="232">
        <f>IF('쪽쟘(실측)'!F19&gt;0,'쪽쟘(실측)'!F19-1.5,0)+뒷날개치수더함</f>
        <v>32.5</v>
      </c>
      <c r="J19" s="232">
        <f>IF('쪽쟘(실측)'!H19&gt;0,'쪽쟘(실측)'!H19-1.5,0)+뒷날개치수더함</f>
        <v>32.5</v>
      </c>
      <c r="K19" s="232">
        <f>IF('쪽쟘(실측)'!F19&gt;0,'쪽쟘(실측)'!F19+0,0)+뒷날개치수더함</f>
        <v>34</v>
      </c>
      <c r="L19" s="232">
        <f>IF('쪽쟘(실측)'!G19&gt;0,'쪽쟘(실측)'!G19+0,0)+뒷날개치수더함</f>
        <v>30</v>
      </c>
      <c r="M19" s="232">
        <f>IF('쪽쟘(실측)'!H19&gt;0,'쪽쟘(실측)'!H19+0,0)+뒷날개치수더함</f>
        <v>34</v>
      </c>
      <c r="N19" s="232">
        <f>IF('쪽쟘(실측)'!I19&gt;0,'쪽쟘(실측)'!I19+0,0)+뒷날개치수더함</f>
        <v>34</v>
      </c>
      <c r="O19" s="232">
        <f>'쪽쟘(실측)'!J19-쪽쟘기둥차감</f>
        <v>2095</v>
      </c>
      <c r="P19" s="232">
        <f>'쪽쟘(실측)'!K19-쪽쟘기둥차감</f>
        <v>2095</v>
      </c>
      <c r="Q19" s="232">
        <f>'쪽쟘(실측)'!L19-쪽쟘기둥차감</f>
        <v>2095</v>
      </c>
      <c r="R19" s="232">
        <f>'쪽쟘(실측)'!M19-쪽쟘기둥차감</f>
        <v>2095</v>
      </c>
      <c r="S19" s="232">
        <f>'쪽쟘(실측)'!N19+뒷날개치수더함</f>
        <v>31</v>
      </c>
      <c r="T19" s="232">
        <f>'쪽쟘(실측)'!O19+뒷날개치수더함</f>
        <v>31</v>
      </c>
      <c r="U19" s="232">
        <f>'쪽쟘(실측)'!P19+뒷날개치수더함</f>
        <v>25</v>
      </c>
      <c r="V19" s="232">
        <f>'쪽쟘(실측)'!Q19+뒷날개치수더함</f>
        <v>25</v>
      </c>
      <c r="W19" s="232">
        <f>'쪽쟘(실측)'!R19-쪽쟘늘치차감</f>
        <v>0</v>
      </c>
      <c r="X19" s="232">
        <f>'쪽쟘(실측)'!S19-쪽쟘늘치차감</f>
        <v>0</v>
      </c>
      <c r="Y19" s="271">
        <f>IF('쪽쟘(실측)'!T19&gt;5,'쪽쟘(실측)'!T19+뒷날개치수더함,0)</f>
        <v>15</v>
      </c>
      <c r="Z19" s="271">
        <f>'쪽쟘(실측)'!U19</f>
        <v>10</v>
      </c>
      <c r="AA19" s="271">
        <f>'쪽쟘(실측)'!V19</f>
        <v>10</v>
      </c>
      <c r="AC19" s="228">
        <f t="shared" si="8"/>
        <v>965</v>
      </c>
      <c r="AD19" s="228">
        <f t="shared" si="9"/>
        <v>117.4</v>
      </c>
      <c r="AE19" s="228">
        <f t="shared" si="10"/>
        <v>120.4</v>
      </c>
      <c r="AF19" s="228">
        <f t="shared" si="11"/>
        <v>2095</v>
      </c>
      <c r="AG19" s="228">
        <f t="shared" si="12"/>
        <v>120.4</v>
      </c>
      <c r="AH19" s="228">
        <f t="shared" si="13"/>
        <v>2095</v>
      </c>
    </row>
    <row r="20" spans="1:34" s="228" customFormat="1" ht="19.5" customHeight="1" x14ac:dyDescent="0.3">
      <c r="A20" s="232" t="str">
        <f>'쪽쟘(실측)'!A20</f>
        <v>10-1</v>
      </c>
      <c r="B20" s="232" t="str">
        <f>'쪽쟘(실측)'!B20&amp;"F"</f>
        <v>7F</v>
      </c>
      <c r="C20" s="232" t="str">
        <f t="shared" si="5"/>
        <v>961*117.4</v>
      </c>
      <c r="D20" s="232">
        <f>'쪽쟘(실측)'!C20-쪽쟘OP차감</f>
        <v>898</v>
      </c>
      <c r="E20" s="232">
        <f>'쪽쟘(실측)'!D20+쪽쟘J늘림+MAX(W20:X20)</f>
        <v>65</v>
      </c>
      <c r="F20" s="233">
        <f>'쪽쟘(실측)'!E20+쪽쟘J늘림+MAX(W20:X20)</f>
        <v>65</v>
      </c>
      <c r="G20" s="234" t="str">
        <f t="shared" si="6"/>
        <v>2095*119.4</v>
      </c>
      <c r="H20" s="235" t="str">
        <f t="shared" si="7"/>
        <v>2095*119.4</v>
      </c>
      <c r="I20" s="232">
        <f>IF('쪽쟘(실측)'!F20&gt;0,'쪽쟘(실측)'!F20-1.5,0)+뒷날개치수더함</f>
        <v>31.5</v>
      </c>
      <c r="J20" s="232">
        <f>IF('쪽쟘(실측)'!H20&gt;0,'쪽쟘(실측)'!H20-1.5,0)+뒷날개치수더함</f>
        <v>31.5</v>
      </c>
      <c r="K20" s="232">
        <f>IF('쪽쟘(실측)'!F20&gt;0,'쪽쟘(실측)'!F20+0,0)+뒷날개치수더함</f>
        <v>33</v>
      </c>
      <c r="L20" s="232">
        <f>IF('쪽쟘(실측)'!G20&gt;0,'쪽쟘(실측)'!G20+0,0)+뒷날개치수더함</f>
        <v>33</v>
      </c>
      <c r="M20" s="232">
        <f>IF('쪽쟘(실측)'!H20&gt;0,'쪽쟘(실측)'!H20+0,0)+뒷날개치수더함</f>
        <v>33</v>
      </c>
      <c r="N20" s="232">
        <f>IF('쪽쟘(실측)'!I20&gt;0,'쪽쟘(실측)'!I20+0,0)+뒷날개치수더함</f>
        <v>33</v>
      </c>
      <c r="O20" s="232">
        <f>'쪽쟘(실측)'!J20-쪽쟘기둥차감</f>
        <v>2095</v>
      </c>
      <c r="P20" s="232">
        <f>'쪽쟘(실측)'!K20-쪽쟘기둥차감</f>
        <v>2095</v>
      </c>
      <c r="Q20" s="232">
        <f>'쪽쟘(실측)'!L20-쪽쟘기둥차감</f>
        <v>2095</v>
      </c>
      <c r="R20" s="232">
        <f>'쪽쟘(실측)'!M20-쪽쟘기둥차감</f>
        <v>2095</v>
      </c>
      <c r="S20" s="232">
        <f>'쪽쟘(실측)'!N20+뒷날개치수더함</f>
        <v>31</v>
      </c>
      <c r="T20" s="232">
        <f>'쪽쟘(실측)'!O20+뒷날개치수더함</f>
        <v>31</v>
      </c>
      <c r="U20" s="232">
        <f>'쪽쟘(실측)'!P20+뒷날개치수더함</f>
        <v>25</v>
      </c>
      <c r="V20" s="232">
        <f>'쪽쟘(실측)'!Q20+뒷날개치수더함</f>
        <v>25</v>
      </c>
      <c r="W20" s="232">
        <f>'쪽쟘(실측)'!R20-쪽쟘늘치차감</f>
        <v>0</v>
      </c>
      <c r="X20" s="232">
        <f>'쪽쟘(실측)'!S20-쪽쟘늘치차감</f>
        <v>0</v>
      </c>
      <c r="Y20" s="271">
        <f>IF('쪽쟘(실측)'!T20&gt;5,'쪽쟘(실측)'!T20+뒷날개치수더함,0)</f>
        <v>15</v>
      </c>
      <c r="Z20" s="271">
        <f>'쪽쟘(실측)'!U20</f>
        <v>10</v>
      </c>
      <c r="AA20" s="271">
        <f>'쪽쟘(실측)'!V20</f>
        <v>10</v>
      </c>
      <c r="AC20" s="228">
        <f t="shared" si="8"/>
        <v>961</v>
      </c>
      <c r="AD20" s="228">
        <f t="shared" si="9"/>
        <v>117.4</v>
      </c>
      <c r="AE20" s="228">
        <f t="shared" si="10"/>
        <v>119.4</v>
      </c>
      <c r="AF20" s="228">
        <f t="shared" si="11"/>
        <v>2095</v>
      </c>
      <c r="AG20" s="228">
        <f t="shared" si="12"/>
        <v>119.4</v>
      </c>
      <c r="AH20" s="228">
        <f t="shared" si="13"/>
        <v>2095</v>
      </c>
    </row>
    <row r="21" spans="1:34" s="228" customFormat="1" ht="19.5" customHeight="1" x14ac:dyDescent="0.3">
      <c r="A21" s="232" t="str">
        <f>'쪽쟘(실측)'!A21</f>
        <v>10-1</v>
      </c>
      <c r="B21" s="232" t="str">
        <f>'쪽쟘(실측)'!B21&amp;"F"</f>
        <v>6F</v>
      </c>
      <c r="C21" s="232" t="str">
        <f t="shared" si="5"/>
        <v>960*117.4</v>
      </c>
      <c r="D21" s="232">
        <f>'쪽쟘(실측)'!C21-쪽쟘OP차감</f>
        <v>900</v>
      </c>
      <c r="E21" s="232">
        <f>'쪽쟘(실측)'!D21+쪽쟘J늘림+MAX(W21:X21)</f>
        <v>65</v>
      </c>
      <c r="F21" s="233">
        <f>'쪽쟘(실측)'!E21+쪽쟘J늘림+MAX(W21:X21)</f>
        <v>65</v>
      </c>
      <c r="G21" s="234" t="str">
        <f t="shared" si="6"/>
        <v>2095*121.4</v>
      </c>
      <c r="H21" s="235" t="str">
        <f t="shared" si="7"/>
        <v>2095*118.4</v>
      </c>
      <c r="I21" s="232">
        <f>IF('쪽쟘(실측)'!F21&gt;0,'쪽쟘(실측)'!F21-1.5,0)+뒷날개치수더함</f>
        <v>29.5</v>
      </c>
      <c r="J21" s="232">
        <f>IF('쪽쟘(실측)'!H21&gt;0,'쪽쟘(실측)'!H21-1.5,0)+뒷날개치수더함</f>
        <v>30.5</v>
      </c>
      <c r="K21" s="232">
        <f>IF('쪽쟘(실측)'!F21&gt;0,'쪽쟘(실측)'!F21+0,0)+뒷날개치수더함</f>
        <v>31</v>
      </c>
      <c r="L21" s="232">
        <f>IF('쪽쟘(실측)'!G21&gt;0,'쪽쟘(실측)'!G21+0,0)+뒷날개치수더함</f>
        <v>35</v>
      </c>
      <c r="M21" s="232">
        <f>IF('쪽쟘(실측)'!H21&gt;0,'쪽쟘(실측)'!H21+0,0)+뒷날개치수더함</f>
        <v>32</v>
      </c>
      <c r="N21" s="232">
        <f>IF('쪽쟘(실측)'!I21&gt;0,'쪽쟘(실측)'!I21+0,0)+뒷날개치수더함</f>
        <v>32</v>
      </c>
      <c r="O21" s="232">
        <f>'쪽쟘(실측)'!J21-쪽쟘기둥차감</f>
        <v>2095</v>
      </c>
      <c r="P21" s="232">
        <f>'쪽쟘(실측)'!K21-쪽쟘기둥차감</f>
        <v>2095</v>
      </c>
      <c r="Q21" s="232">
        <f>'쪽쟘(실측)'!L21-쪽쟘기둥차감</f>
        <v>2095</v>
      </c>
      <c r="R21" s="232">
        <f>'쪽쟘(실측)'!M21-쪽쟘기둥차감</f>
        <v>2095</v>
      </c>
      <c r="S21" s="232">
        <f>'쪽쟘(실측)'!N21+뒷날개치수더함</f>
        <v>31</v>
      </c>
      <c r="T21" s="232">
        <f>'쪽쟘(실측)'!O21+뒷날개치수더함</f>
        <v>31</v>
      </c>
      <c r="U21" s="232">
        <f>'쪽쟘(실측)'!P21+뒷날개치수더함</f>
        <v>25</v>
      </c>
      <c r="V21" s="232">
        <f>'쪽쟘(실측)'!Q21+뒷날개치수더함</f>
        <v>25</v>
      </c>
      <c r="W21" s="232">
        <f>'쪽쟘(실측)'!R21-쪽쟘늘치차감</f>
        <v>0</v>
      </c>
      <c r="X21" s="232">
        <f>'쪽쟘(실측)'!S21-쪽쟘늘치차감</f>
        <v>0</v>
      </c>
      <c r="Y21" s="271">
        <f>IF('쪽쟘(실측)'!T21&gt;5,'쪽쟘(실측)'!T21+뒷날개치수더함,0)</f>
        <v>15</v>
      </c>
      <c r="Z21" s="271">
        <f>'쪽쟘(실측)'!U21</f>
        <v>10</v>
      </c>
      <c r="AA21" s="271">
        <f>'쪽쟘(실측)'!V21</f>
        <v>10</v>
      </c>
      <c r="AC21" s="228">
        <f t="shared" si="8"/>
        <v>960</v>
      </c>
      <c r="AD21" s="228">
        <f t="shared" si="9"/>
        <v>117.4</v>
      </c>
      <c r="AE21" s="228">
        <f t="shared" si="10"/>
        <v>121.4</v>
      </c>
      <c r="AF21" s="228">
        <f t="shared" si="11"/>
        <v>2095</v>
      </c>
      <c r="AG21" s="228">
        <f t="shared" si="12"/>
        <v>118.4</v>
      </c>
      <c r="AH21" s="228">
        <f t="shared" si="13"/>
        <v>2095</v>
      </c>
    </row>
    <row r="22" spans="1:34" s="228" customFormat="1" ht="19.5" customHeight="1" x14ac:dyDescent="0.3">
      <c r="A22" s="232" t="str">
        <f>'쪽쟘(실측)'!A22</f>
        <v>10-1</v>
      </c>
      <c r="B22" s="232" t="str">
        <f>'쪽쟘(실측)'!B22&amp;"F"</f>
        <v>5F</v>
      </c>
      <c r="C22" s="232" t="str">
        <f t="shared" si="5"/>
        <v>959*117.4</v>
      </c>
      <c r="D22" s="232">
        <f>'쪽쟘(실측)'!C22-쪽쟘OP차감</f>
        <v>899</v>
      </c>
      <c r="E22" s="232">
        <f>'쪽쟘(실측)'!D22+쪽쟘J늘림+MAX(W22:X22)</f>
        <v>65</v>
      </c>
      <c r="F22" s="233">
        <f>'쪽쟘(실측)'!E22+쪽쟘J늘림+MAX(W22:X22)</f>
        <v>65</v>
      </c>
      <c r="G22" s="234" t="str">
        <f t="shared" si="6"/>
        <v>2095*118.4</v>
      </c>
      <c r="H22" s="235" t="str">
        <f t="shared" si="7"/>
        <v>2095*117.4</v>
      </c>
      <c r="I22" s="232">
        <f>IF('쪽쟘(실측)'!F22&gt;0,'쪽쟘(실측)'!F22-1.5,0)+뒷날개치수더함</f>
        <v>30.5</v>
      </c>
      <c r="J22" s="232">
        <f>IF('쪽쟘(실측)'!H22&gt;0,'쪽쟘(실측)'!H22-1.5,0)+뒷날개치수더함</f>
        <v>29.5</v>
      </c>
      <c r="K22" s="232">
        <f>IF('쪽쟘(실측)'!F22&gt;0,'쪽쟘(실측)'!F22+0,0)+뒷날개치수더함</f>
        <v>32</v>
      </c>
      <c r="L22" s="232">
        <f>IF('쪽쟘(실측)'!G22&gt;0,'쪽쟘(실측)'!G22+0,0)+뒷날개치수더함</f>
        <v>32</v>
      </c>
      <c r="M22" s="232">
        <f>IF('쪽쟘(실측)'!H22&gt;0,'쪽쟘(실측)'!H22+0,0)+뒷날개치수더함</f>
        <v>31</v>
      </c>
      <c r="N22" s="232">
        <f>IF('쪽쟘(실측)'!I22&gt;0,'쪽쟘(실측)'!I22+0,0)+뒷날개치수더함</f>
        <v>31</v>
      </c>
      <c r="O22" s="232">
        <f>'쪽쟘(실측)'!J22-쪽쟘기둥차감</f>
        <v>2095</v>
      </c>
      <c r="P22" s="232">
        <f>'쪽쟘(실측)'!K22-쪽쟘기둥차감</f>
        <v>2095</v>
      </c>
      <c r="Q22" s="232">
        <f>'쪽쟘(실측)'!L22-쪽쟘기둥차감</f>
        <v>2095</v>
      </c>
      <c r="R22" s="232">
        <f>'쪽쟘(실측)'!M22-쪽쟘기둥차감</f>
        <v>2095</v>
      </c>
      <c r="S22" s="232">
        <f>'쪽쟘(실측)'!N22+뒷날개치수더함</f>
        <v>31</v>
      </c>
      <c r="T22" s="232">
        <f>'쪽쟘(실측)'!O22+뒷날개치수더함</f>
        <v>31</v>
      </c>
      <c r="U22" s="232">
        <f>'쪽쟘(실측)'!P22+뒷날개치수더함</f>
        <v>25</v>
      </c>
      <c r="V22" s="232">
        <f>'쪽쟘(실측)'!Q22+뒷날개치수더함</f>
        <v>25</v>
      </c>
      <c r="W22" s="232">
        <f>'쪽쟘(실측)'!R22-쪽쟘늘치차감</f>
        <v>0</v>
      </c>
      <c r="X22" s="232">
        <f>'쪽쟘(실측)'!S22-쪽쟘늘치차감</f>
        <v>0</v>
      </c>
      <c r="Y22" s="271">
        <f>IF('쪽쟘(실측)'!T22&gt;5,'쪽쟘(실측)'!T22+뒷날개치수더함,0)</f>
        <v>15</v>
      </c>
      <c r="Z22" s="271">
        <f>'쪽쟘(실측)'!U22</f>
        <v>10</v>
      </c>
      <c r="AA22" s="271">
        <f>'쪽쟘(실측)'!V22</f>
        <v>10</v>
      </c>
      <c r="AC22" s="228">
        <f t="shared" si="8"/>
        <v>959</v>
      </c>
      <c r="AD22" s="228">
        <f t="shared" si="9"/>
        <v>117.4</v>
      </c>
      <c r="AE22" s="228">
        <f t="shared" si="10"/>
        <v>118.4</v>
      </c>
      <c r="AF22" s="228">
        <f t="shared" si="11"/>
        <v>2095</v>
      </c>
      <c r="AG22" s="228">
        <f t="shared" si="12"/>
        <v>117.4</v>
      </c>
      <c r="AH22" s="228">
        <f t="shared" si="13"/>
        <v>2095</v>
      </c>
    </row>
    <row r="23" spans="1:34" s="228" customFormat="1" ht="19.5" customHeight="1" x14ac:dyDescent="0.3">
      <c r="A23" s="232" t="str">
        <f>'쪽쟘(실측)'!A23</f>
        <v>10-1</v>
      </c>
      <c r="B23" s="232" t="str">
        <f>'쪽쟘(실측)'!B23&amp;"F"</f>
        <v>4F</v>
      </c>
      <c r="C23" s="232" t="str">
        <f t="shared" si="5"/>
        <v>963*116.4</v>
      </c>
      <c r="D23" s="232">
        <f>'쪽쟘(실측)'!C23-쪽쟘OP차감</f>
        <v>899</v>
      </c>
      <c r="E23" s="232">
        <f>'쪽쟘(실측)'!D23+쪽쟘J늘림+MAX(W23:X23)</f>
        <v>65</v>
      </c>
      <c r="F23" s="233">
        <f>'쪽쟘(실측)'!E23+쪽쟘J늘림+MAX(W23:X23)</f>
        <v>65</v>
      </c>
      <c r="G23" s="234" t="str">
        <f t="shared" si="6"/>
        <v>2095*119.4</v>
      </c>
      <c r="H23" s="235" t="str">
        <f t="shared" si="7"/>
        <v>2095*120.4</v>
      </c>
      <c r="I23" s="232">
        <f>IF('쪽쟘(실측)'!F23&gt;0,'쪽쟘(실측)'!F23-1.5,0)+뒷날개치수더함</f>
        <v>31.5</v>
      </c>
      <c r="J23" s="232">
        <f>IF('쪽쟘(실측)'!H23&gt;0,'쪽쟘(실측)'!H23-1.5,0)+뒷날개치수더함</f>
        <v>32.5</v>
      </c>
      <c r="K23" s="232">
        <f>IF('쪽쟘(실측)'!F23&gt;0,'쪽쟘(실측)'!F23+0,0)+뒷날개치수더함</f>
        <v>33</v>
      </c>
      <c r="L23" s="232">
        <f>IF('쪽쟘(실측)'!G23&gt;0,'쪽쟘(실측)'!G23+0,0)+뒷날개치수더함</f>
        <v>33</v>
      </c>
      <c r="M23" s="232">
        <f>IF('쪽쟘(실측)'!H23&gt;0,'쪽쟘(실측)'!H23+0,0)+뒷날개치수더함</f>
        <v>34</v>
      </c>
      <c r="N23" s="232">
        <f>IF('쪽쟘(실측)'!I23&gt;0,'쪽쟘(실측)'!I23+0,0)+뒷날개치수더함</f>
        <v>34</v>
      </c>
      <c r="O23" s="232">
        <f>'쪽쟘(실측)'!J23-쪽쟘기둥차감</f>
        <v>2095</v>
      </c>
      <c r="P23" s="232">
        <f>'쪽쟘(실측)'!K23-쪽쟘기둥차감</f>
        <v>2095</v>
      </c>
      <c r="Q23" s="232">
        <f>'쪽쟘(실측)'!L23-쪽쟘기둥차감</f>
        <v>2095</v>
      </c>
      <c r="R23" s="232">
        <f>'쪽쟘(실측)'!M23-쪽쟘기둥차감</f>
        <v>2095</v>
      </c>
      <c r="S23" s="232">
        <f>'쪽쟘(실측)'!N23+뒷날개치수더함</f>
        <v>30</v>
      </c>
      <c r="T23" s="232">
        <f>'쪽쟘(실측)'!O23+뒷날개치수더함</f>
        <v>30</v>
      </c>
      <c r="U23" s="232">
        <f>'쪽쟘(실측)'!P23+뒷날개치수더함</f>
        <v>25</v>
      </c>
      <c r="V23" s="232">
        <f>'쪽쟘(실측)'!Q23+뒷날개치수더함</f>
        <v>25</v>
      </c>
      <c r="W23" s="232">
        <f>'쪽쟘(실측)'!R23-쪽쟘늘치차감</f>
        <v>0</v>
      </c>
      <c r="X23" s="232">
        <f>'쪽쟘(실측)'!S23-쪽쟘늘치차감</f>
        <v>0</v>
      </c>
      <c r="Y23" s="271">
        <f>IF('쪽쟘(실측)'!T23&gt;5,'쪽쟘(실측)'!T23+뒷날개치수더함,0)</f>
        <v>15</v>
      </c>
      <c r="Z23" s="271">
        <f>'쪽쟘(실측)'!U23</f>
        <v>10</v>
      </c>
      <c r="AA23" s="271">
        <f>'쪽쟘(실측)'!V23</f>
        <v>10</v>
      </c>
      <c r="AC23" s="228">
        <f t="shared" si="8"/>
        <v>963</v>
      </c>
      <c r="AD23" s="228">
        <f t="shared" si="9"/>
        <v>116.4</v>
      </c>
      <c r="AE23" s="228">
        <f t="shared" si="10"/>
        <v>119.4</v>
      </c>
      <c r="AF23" s="228">
        <f t="shared" si="11"/>
        <v>2095</v>
      </c>
      <c r="AG23" s="228">
        <f t="shared" si="12"/>
        <v>120.4</v>
      </c>
      <c r="AH23" s="228">
        <f t="shared" si="13"/>
        <v>2095</v>
      </c>
    </row>
    <row r="24" spans="1:34" s="228" customFormat="1" ht="19.5" customHeight="1" x14ac:dyDescent="0.3">
      <c r="A24" s="232" t="str">
        <f>'쪽쟘(실측)'!A24</f>
        <v>10-1</v>
      </c>
      <c r="B24" s="232" t="str">
        <f>'쪽쟘(실측)'!B24&amp;"F"</f>
        <v>3F</v>
      </c>
      <c r="C24" s="232" t="str">
        <f t="shared" si="5"/>
        <v>956*116.4</v>
      </c>
      <c r="D24" s="232">
        <f>'쪽쟘(실측)'!C24-쪽쟘OP차감</f>
        <v>899</v>
      </c>
      <c r="E24" s="232">
        <f>'쪽쟘(실측)'!D24+쪽쟘J늘림+MAX(W24:X24)</f>
        <v>65</v>
      </c>
      <c r="F24" s="233">
        <f>'쪽쟘(실측)'!E24+쪽쟘J늘림+MAX(W24:X24)</f>
        <v>65</v>
      </c>
      <c r="G24" s="234" t="str">
        <f t="shared" si="6"/>
        <v>2095*116.4</v>
      </c>
      <c r="H24" s="235" t="str">
        <f t="shared" si="7"/>
        <v>2095*116.4</v>
      </c>
      <c r="I24" s="232">
        <f>IF('쪽쟘(실측)'!F24&gt;0,'쪽쟘(실측)'!F24-1.5,0)+뒷날개치수더함</f>
        <v>28.5</v>
      </c>
      <c r="J24" s="232">
        <f>IF('쪽쟘(실측)'!H24&gt;0,'쪽쟘(실측)'!H24-1.5,0)+뒷날개치수더함</f>
        <v>28.5</v>
      </c>
      <c r="K24" s="232">
        <f>IF('쪽쟘(실측)'!F24&gt;0,'쪽쟘(실측)'!F24+0,0)+뒷날개치수더함</f>
        <v>30</v>
      </c>
      <c r="L24" s="232">
        <f>IF('쪽쟘(실측)'!G24&gt;0,'쪽쟘(실측)'!G24+0,0)+뒷날개치수더함</f>
        <v>30</v>
      </c>
      <c r="M24" s="232">
        <f>IF('쪽쟘(실측)'!H24&gt;0,'쪽쟘(실측)'!H24+0,0)+뒷날개치수더함</f>
        <v>30</v>
      </c>
      <c r="N24" s="232">
        <f>IF('쪽쟘(실측)'!I24&gt;0,'쪽쟘(실측)'!I24+0,0)+뒷날개치수더함</f>
        <v>30</v>
      </c>
      <c r="O24" s="232">
        <f>'쪽쟘(실측)'!J24-쪽쟘기둥차감</f>
        <v>2095</v>
      </c>
      <c r="P24" s="232">
        <f>'쪽쟘(실측)'!K24-쪽쟘기둥차감</f>
        <v>2095</v>
      </c>
      <c r="Q24" s="232">
        <f>'쪽쟘(실측)'!L24-쪽쟘기둥차감</f>
        <v>2095</v>
      </c>
      <c r="R24" s="232">
        <f>'쪽쟘(실측)'!M24-쪽쟘기둥차감</f>
        <v>2095</v>
      </c>
      <c r="S24" s="232">
        <f>'쪽쟘(실측)'!N24+뒷날개치수더함</f>
        <v>30</v>
      </c>
      <c r="T24" s="232">
        <f>'쪽쟘(실측)'!O24+뒷날개치수더함</f>
        <v>30</v>
      </c>
      <c r="U24" s="232">
        <f>'쪽쟘(실측)'!P24+뒷날개치수더함</f>
        <v>25</v>
      </c>
      <c r="V24" s="232">
        <f>'쪽쟘(실측)'!Q24+뒷날개치수더함</f>
        <v>25</v>
      </c>
      <c r="W24" s="232">
        <f>'쪽쟘(실측)'!R24-쪽쟘늘치차감</f>
        <v>0</v>
      </c>
      <c r="X24" s="232">
        <f>'쪽쟘(실측)'!S24-쪽쟘늘치차감</f>
        <v>0</v>
      </c>
      <c r="Y24" s="271">
        <f>IF('쪽쟘(실측)'!T24&gt;5,'쪽쟘(실측)'!T24+뒷날개치수더함,0)</f>
        <v>15</v>
      </c>
      <c r="Z24" s="271">
        <f>'쪽쟘(실측)'!U24</f>
        <v>10</v>
      </c>
      <c r="AA24" s="271">
        <f>'쪽쟘(실측)'!V24</f>
        <v>10</v>
      </c>
      <c r="AC24" s="228">
        <f t="shared" si="8"/>
        <v>956</v>
      </c>
      <c r="AD24" s="228">
        <f t="shared" si="9"/>
        <v>116.4</v>
      </c>
      <c r="AE24" s="228">
        <f t="shared" si="10"/>
        <v>116.4</v>
      </c>
      <c r="AF24" s="228">
        <f t="shared" si="11"/>
        <v>2095</v>
      </c>
      <c r="AG24" s="228">
        <f t="shared" si="12"/>
        <v>116.4</v>
      </c>
      <c r="AH24" s="228">
        <f t="shared" si="13"/>
        <v>2095</v>
      </c>
    </row>
    <row r="25" spans="1:34" s="228" customFormat="1" ht="19.5" customHeight="1" x14ac:dyDescent="0.3">
      <c r="A25" s="232" t="str">
        <f>'쪽쟘(실측)'!A25</f>
        <v>10-1</v>
      </c>
      <c r="B25" s="232" t="str">
        <f>'쪽쟘(실측)'!B25&amp;"F"</f>
        <v>2F</v>
      </c>
      <c r="C25" s="232" t="str">
        <f t="shared" si="5"/>
        <v>960*119.4</v>
      </c>
      <c r="D25" s="232">
        <f>'쪽쟘(실측)'!C25-쪽쟘OP차감</f>
        <v>899</v>
      </c>
      <c r="E25" s="232">
        <f>'쪽쟘(실측)'!D25+쪽쟘J늘림+MAX(W25:X25)</f>
        <v>65</v>
      </c>
      <c r="F25" s="233">
        <f>'쪽쟘(실측)'!E25+쪽쟘J늘림+MAX(W25:X25)</f>
        <v>65</v>
      </c>
      <c r="G25" s="234" t="str">
        <f t="shared" si="6"/>
        <v>2095*118.4</v>
      </c>
      <c r="H25" s="235" t="str">
        <f t="shared" si="7"/>
        <v>2095*118.4</v>
      </c>
      <c r="I25" s="232">
        <f>IF('쪽쟘(실측)'!F25&gt;0,'쪽쟘(실측)'!F25-1.5,0)+뒷날개치수더함</f>
        <v>30.5</v>
      </c>
      <c r="J25" s="232">
        <f>IF('쪽쟘(실측)'!H25&gt;0,'쪽쟘(실측)'!H25-1.5,0)+뒷날개치수더함</f>
        <v>30.5</v>
      </c>
      <c r="K25" s="232">
        <f>IF('쪽쟘(실측)'!F25&gt;0,'쪽쟘(실측)'!F25+0,0)+뒷날개치수더함</f>
        <v>32</v>
      </c>
      <c r="L25" s="232">
        <f>IF('쪽쟘(실측)'!G25&gt;0,'쪽쟘(실측)'!G25+0,0)+뒷날개치수더함</f>
        <v>32</v>
      </c>
      <c r="M25" s="232">
        <f>IF('쪽쟘(실측)'!H25&gt;0,'쪽쟘(실측)'!H25+0,0)+뒷날개치수더함</f>
        <v>32</v>
      </c>
      <c r="N25" s="232">
        <f>IF('쪽쟘(실측)'!I25&gt;0,'쪽쟘(실측)'!I25+0,0)+뒷날개치수더함</f>
        <v>32</v>
      </c>
      <c r="O25" s="232">
        <f>'쪽쟘(실측)'!J25-쪽쟘기둥차감</f>
        <v>2095</v>
      </c>
      <c r="P25" s="232">
        <f>'쪽쟘(실측)'!K25-쪽쟘기둥차감</f>
        <v>2095</v>
      </c>
      <c r="Q25" s="232">
        <f>'쪽쟘(실측)'!L25-쪽쟘기둥차감</f>
        <v>2095</v>
      </c>
      <c r="R25" s="232">
        <f>'쪽쟘(실측)'!M25-쪽쟘기둥차감</f>
        <v>2095</v>
      </c>
      <c r="S25" s="232">
        <f>'쪽쟘(실측)'!N25+뒷날개치수더함</f>
        <v>33</v>
      </c>
      <c r="T25" s="232">
        <f>'쪽쟘(실측)'!O25+뒷날개치수더함</f>
        <v>28</v>
      </c>
      <c r="U25" s="232">
        <f>'쪽쟘(실측)'!P25+뒷날개치수더함</f>
        <v>25</v>
      </c>
      <c r="V25" s="232">
        <f>'쪽쟘(실측)'!Q25+뒷날개치수더함</f>
        <v>25</v>
      </c>
      <c r="W25" s="232">
        <f>'쪽쟘(실측)'!R25-쪽쟘늘치차감</f>
        <v>0</v>
      </c>
      <c r="X25" s="232">
        <f>'쪽쟘(실측)'!S25-쪽쟘늘치차감</f>
        <v>0</v>
      </c>
      <c r="Y25" s="271">
        <f>IF('쪽쟘(실측)'!T25&gt;5,'쪽쟘(실측)'!T25+뒷날개치수더함,0)</f>
        <v>15</v>
      </c>
      <c r="Z25" s="271">
        <f>'쪽쟘(실측)'!U25</f>
        <v>10</v>
      </c>
      <c r="AA25" s="271">
        <f>'쪽쟘(실측)'!V25</f>
        <v>10</v>
      </c>
      <c r="AC25" s="228">
        <f t="shared" si="8"/>
        <v>960</v>
      </c>
      <c r="AD25" s="228">
        <f t="shared" si="9"/>
        <v>119.4</v>
      </c>
      <c r="AE25" s="228">
        <f t="shared" si="10"/>
        <v>118.4</v>
      </c>
      <c r="AF25" s="228">
        <f t="shared" si="11"/>
        <v>2095</v>
      </c>
      <c r="AG25" s="228">
        <f t="shared" si="12"/>
        <v>118.4</v>
      </c>
      <c r="AH25" s="228">
        <f t="shared" si="13"/>
        <v>2095</v>
      </c>
    </row>
    <row r="26" spans="1:34" s="228" customFormat="1" ht="19.5" customHeight="1" x14ac:dyDescent="0.3">
      <c r="A26" s="232" t="str">
        <f>'쪽쟘(실측)'!A26</f>
        <v>10-1</v>
      </c>
      <c r="B26" s="232" t="str">
        <f>'쪽쟘(실측)'!B26&amp;"F"</f>
        <v>B1F</v>
      </c>
      <c r="C26" s="232" t="str">
        <f t="shared" si="5"/>
        <v>966*125.4</v>
      </c>
      <c r="D26" s="232">
        <f>'쪽쟘(실측)'!C26-쪽쟘OP차감</f>
        <v>893</v>
      </c>
      <c r="E26" s="232">
        <f>'쪽쟘(실측)'!D26+쪽쟘J늘림+MAX(W26:X26)</f>
        <v>70</v>
      </c>
      <c r="F26" s="233">
        <f>'쪽쟘(실측)'!E26+쪽쟘J늘림+MAX(W26:X26)</f>
        <v>70</v>
      </c>
      <c r="G26" s="234" t="str">
        <f t="shared" si="6"/>
        <v>2092*129.4</v>
      </c>
      <c r="H26" s="235" t="str">
        <f t="shared" si="7"/>
        <v>2089*129.4</v>
      </c>
      <c r="I26" s="232">
        <f>IF('쪽쟘(실측)'!F26&gt;0,'쪽쟘(실측)'!F26-1.5,0)+뒷날개치수더함</f>
        <v>36.5</v>
      </c>
      <c r="J26" s="232">
        <f>IF('쪽쟘(실측)'!H26&gt;0,'쪽쟘(실측)'!H26-1.5,0)+뒷날개치수더함</f>
        <v>36.5</v>
      </c>
      <c r="K26" s="282">
        <f>IF('쪽쟘(실측)'!F26&gt;0,'쪽쟘(실측)'!F26+0,0)+뒷날개치수더함</f>
        <v>38</v>
      </c>
      <c r="L26" s="282">
        <f>IF('쪽쟘(실측)'!G26&gt;0,'쪽쟘(실측)'!G26+0,0)+뒷날개치수더함</f>
        <v>38</v>
      </c>
      <c r="M26" s="282">
        <f>IF('쪽쟘(실측)'!H26&gt;0,'쪽쟘(실측)'!H26+0,0)+뒷날개치수더함</f>
        <v>38</v>
      </c>
      <c r="N26" s="282">
        <f>IF('쪽쟘(실측)'!I26&gt;0,'쪽쟘(실측)'!I26+0,0)+뒷날개치수더함</f>
        <v>38</v>
      </c>
      <c r="O26" s="232">
        <f>'쪽쟘(실측)'!J26-쪽쟘기둥차감</f>
        <v>2092</v>
      </c>
      <c r="P26" s="232">
        <f>'쪽쟘(실측)'!K26-쪽쟘기둥차감</f>
        <v>2092</v>
      </c>
      <c r="Q26" s="232">
        <f>'쪽쟘(실측)'!L26-쪽쟘기둥차감</f>
        <v>2089</v>
      </c>
      <c r="R26" s="232">
        <f>'쪽쟘(실측)'!M26-쪽쟘기둥차감</f>
        <v>2089</v>
      </c>
      <c r="S26" s="232">
        <f>'쪽쟘(실측)'!N26+뒷날개치수더함</f>
        <v>34</v>
      </c>
      <c r="T26" s="232">
        <f>'쪽쟘(실측)'!O26+뒷날개치수더함</f>
        <v>34</v>
      </c>
      <c r="U26" s="232">
        <f>'쪽쟘(실측)'!P26+뒷날개치수더함</f>
        <v>25</v>
      </c>
      <c r="V26" s="232">
        <f>'쪽쟘(실측)'!Q26+뒷날개치수더함</f>
        <v>25</v>
      </c>
      <c r="W26" s="232">
        <f>'쪽쟘(실측)'!R26-쪽쟘늘치차감</f>
        <v>0</v>
      </c>
      <c r="X26" s="232">
        <f>'쪽쟘(실측)'!S26-쪽쟘늘치차감</f>
        <v>0</v>
      </c>
      <c r="Y26" s="271">
        <f>IF('쪽쟘(실측)'!T26&gt;5,'쪽쟘(실측)'!T26+뒷날개치수더함,0)</f>
        <v>15</v>
      </c>
      <c r="Z26" s="271">
        <f>'쪽쟘(실측)'!U26</f>
        <v>10</v>
      </c>
      <c r="AA26" s="271">
        <f>'쪽쟘(실측)'!V26</f>
        <v>10</v>
      </c>
      <c r="AC26" s="228">
        <f t="shared" si="8"/>
        <v>966</v>
      </c>
      <c r="AD26" s="228">
        <f t="shared" si="9"/>
        <v>125.4</v>
      </c>
      <c r="AE26" s="228">
        <f t="shared" si="10"/>
        <v>129.4</v>
      </c>
      <c r="AF26" s="228">
        <f t="shared" si="11"/>
        <v>2092</v>
      </c>
      <c r="AG26" s="228">
        <f t="shared" si="12"/>
        <v>129.4</v>
      </c>
      <c r="AH26" s="228">
        <f t="shared" si="13"/>
        <v>2089</v>
      </c>
    </row>
    <row r="27" spans="1:34" s="228" customFormat="1" ht="19.5" customHeight="1" x14ac:dyDescent="0.3">
      <c r="A27" s="232" t="str">
        <f>'쪽쟘(실측)'!A27</f>
        <v>10-2</v>
      </c>
      <c r="B27" s="232" t="str">
        <f>'쪽쟘(실측)'!B27&amp;"F"</f>
        <v>20F</v>
      </c>
      <c r="C27" s="232" t="str">
        <f t="shared" si="5"/>
        <v>958*118.4</v>
      </c>
      <c r="D27" s="232">
        <f>'쪽쟘(실측)'!C27-쪽쟘OP차감</f>
        <v>899</v>
      </c>
      <c r="E27" s="232">
        <f>'쪽쟘(실측)'!D27+쪽쟘J늘림+MAX(W27:X27)</f>
        <v>65</v>
      </c>
      <c r="F27" s="233">
        <f>'쪽쟘(실측)'!E27+쪽쟘J늘림+MAX(W27:X27)</f>
        <v>65</v>
      </c>
      <c r="G27" s="234" t="str">
        <f t="shared" si="6"/>
        <v>2095*116.4</v>
      </c>
      <c r="H27" s="235" t="str">
        <f t="shared" si="7"/>
        <v>2095*118.4</v>
      </c>
      <c r="I27" s="232">
        <f>IF('쪽쟘(실측)'!F27&gt;0,'쪽쟘(실측)'!F27-1.5,0)+뒷날개치수더함</f>
        <v>28.5</v>
      </c>
      <c r="J27" s="232">
        <f>IF('쪽쟘(실측)'!H27&gt;0,'쪽쟘(실측)'!H27-1.5,0)+뒷날개치수더함</f>
        <v>30.5</v>
      </c>
      <c r="K27" s="232">
        <f>IF('쪽쟘(실측)'!F27&gt;0,'쪽쟘(실측)'!F27+0,0)+뒷날개치수더함</f>
        <v>30</v>
      </c>
      <c r="L27" s="232">
        <f>IF('쪽쟘(실측)'!G27&gt;0,'쪽쟘(실측)'!G27+0,0)+뒷날개치수더함</f>
        <v>30</v>
      </c>
      <c r="M27" s="232">
        <f>IF('쪽쟘(실측)'!H27&gt;0,'쪽쟘(실측)'!H27+0,0)+뒷날개치수더함</f>
        <v>32</v>
      </c>
      <c r="N27" s="232">
        <f>IF('쪽쟘(실측)'!I27&gt;0,'쪽쟘(실측)'!I27+0,0)+뒷날개치수더함</f>
        <v>32</v>
      </c>
      <c r="O27" s="232">
        <f>'쪽쟘(실측)'!J27-쪽쟘기둥차감</f>
        <v>2095</v>
      </c>
      <c r="P27" s="232">
        <f>'쪽쟘(실측)'!K27-쪽쟘기둥차감</f>
        <v>2095</v>
      </c>
      <c r="Q27" s="232">
        <f>'쪽쟘(실측)'!L27-쪽쟘기둥차감</f>
        <v>2095</v>
      </c>
      <c r="R27" s="232">
        <f>'쪽쟘(실측)'!M27-쪽쟘기둥차감</f>
        <v>2095</v>
      </c>
      <c r="S27" s="232">
        <f>'쪽쟘(실측)'!N27+뒷날개치수더함</f>
        <v>32</v>
      </c>
      <c r="T27" s="232">
        <f>'쪽쟘(실측)'!O27+뒷날개치수더함</f>
        <v>32</v>
      </c>
      <c r="U27" s="232">
        <f>'쪽쟘(실측)'!P27+뒷날개치수더함</f>
        <v>25</v>
      </c>
      <c r="V27" s="232">
        <f>'쪽쟘(실측)'!Q27+뒷날개치수더함</f>
        <v>25</v>
      </c>
      <c r="W27" s="232">
        <f>'쪽쟘(실측)'!R27-쪽쟘늘치차감</f>
        <v>0</v>
      </c>
      <c r="X27" s="232">
        <f>'쪽쟘(실측)'!S27-쪽쟘늘치차감</f>
        <v>0</v>
      </c>
      <c r="Y27" s="271">
        <f>IF('쪽쟘(실측)'!T27&gt;5,'쪽쟘(실측)'!T27+뒷날개치수더함,0)</f>
        <v>15</v>
      </c>
      <c r="Z27" s="271">
        <f>'쪽쟘(실측)'!U27</f>
        <v>10</v>
      </c>
      <c r="AA27" s="271">
        <f>'쪽쟘(실측)'!V27</f>
        <v>10</v>
      </c>
      <c r="AC27" s="228">
        <f t="shared" si="8"/>
        <v>958</v>
      </c>
      <c r="AD27" s="228">
        <f t="shared" si="9"/>
        <v>118.4</v>
      </c>
      <c r="AE27" s="228">
        <f t="shared" si="10"/>
        <v>116.4</v>
      </c>
      <c r="AF27" s="228">
        <f t="shared" si="11"/>
        <v>2095</v>
      </c>
      <c r="AG27" s="228">
        <f t="shared" si="12"/>
        <v>118.4</v>
      </c>
      <c r="AH27" s="228">
        <f t="shared" si="13"/>
        <v>2095</v>
      </c>
    </row>
    <row r="28" spans="1:34" s="228" customFormat="1" ht="19.5" customHeight="1" x14ac:dyDescent="0.3">
      <c r="A28" s="232" t="str">
        <f>'쪽쟘(실측)'!A28</f>
        <v>10-2</v>
      </c>
      <c r="B28" s="232" t="str">
        <f>'쪽쟘(실측)'!B28&amp;"F"</f>
        <v>19F</v>
      </c>
      <c r="C28" s="232" t="str">
        <f t="shared" si="5"/>
        <v>959*117.4</v>
      </c>
      <c r="D28" s="232">
        <f>'쪽쟘(실측)'!C28-쪽쟘OP차감</f>
        <v>899</v>
      </c>
      <c r="E28" s="232">
        <f>'쪽쟘(실측)'!D28+쪽쟘J늘림+MAX(W28:X28)</f>
        <v>65</v>
      </c>
      <c r="F28" s="233">
        <f>'쪽쟘(실측)'!E28+쪽쟘J늘림+MAX(W28:X28)</f>
        <v>65</v>
      </c>
      <c r="G28" s="234" t="str">
        <f t="shared" si="6"/>
        <v>2095*116.4</v>
      </c>
      <c r="H28" s="235" t="str">
        <f t="shared" si="7"/>
        <v>2095*119.4</v>
      </c>
      <c r="I28" s="232">
        <f>IF('쪽쟘(실측)'!F28&gt;0,'쪽쟘(실측)'!F28-1.5,0)+뒷날개치수더함</f>
        <v>28.5</v>
      </c>
      <c r="J28" s="232">
        <f>IF('쪽쟘(실측)'!H28&gt;0,'쪽쟘(실측)'!H28-1.5,0)+뒷날개치수더함</f>
        <v>31.5</v>
      </c>
      <c r="K28" s="232">
        <f>IF('쪽쟘(실측)'!F28&gt;0,'쪽쟘(실측)'!F28+0,0)+뒷날개치수더함</f>
        <v>30</v>
      </c>
      <c r="L28" s="232">
        <f>IF('쪽쟘(실측)'!G28&gt;0,'쪽쟘(실측)'!G28+0,0)+뒷날개치수더함</f>
        <v>30</v>
      </c>
      <c r="M28" s="232">
        <f>IF('쪽쟘(실측)'!H28&gt;0,'쪽쟘(실측)'!H28+0,0)+뒷날개치수더함</f>
        <v>33</v>
      </c>
      <c r="N28" s="232">
        <f>IF('쪽쟘(실측)'!I28&gt;0,'쪽쟘(실측)'!I28+0,0)+뒷날개치수더함</f>
        <v>33</v>
      </c>
      <c r="O28" s="232">
        <f>'쪽쟘(실측)'!J28-쪽쟘기둥차감</f>
        <v>2095</v>
      </c>
      <c r="P28" s="232">
        <f>'쪽쟘(실측)'!K28-쪽쟘기둥차감</f>
        <v>2095</v>
      </c>
      <c r="Q28" s="232">
        <f>'쪽쟘(실측)'!L28-쪽쟘기둥차감</f>
        <v>2095</v>
      </c>
      <c r="R28" s="232">
        <f>'쪽쟘(실측)'!M28-쪽쟘기둥차감</f>
        <v>2095</v>
      </c>
      <c r="S28" s="232">
        <f>'쪽쟘(실측)'!N28+뒷날개치수더함</f>
        <v>31</v>
      </c>
      <c r="T28" s="232">
        <f>'쪽쟘(실측)'!O28+뒷날개치수더함</f>
        <v>31</v>
      </c>
      <c r="U28" s="232">
        <f>'쪽쟘(실측)'!P28+뒷날개치수더함</f>
        <v>25</v>
      </c>
      <c r="V28" s="232">
        <f>'쪽쟘(실측)'!Q28+뒷날개치수더함</f>
        <v>25</v>
      </c>
      <c r="W28" s="232">
        <f>'쪽쟘(실측)'!R28-쪽쟘늘치차감</f>
        <v>0</v>
      </c>
      <c r="X28" s="232">
        <f>'쪽쟘(실측)'!S28-쪽쟘늘치차감</f>
        <v>0</v>
      </c>
      <c r="Y28" s="271">
        <f>IF('쪽쟘(실측)'!T28&gt;5,'쪽쟘(실측)'!T28+뒷날개치수더함,0)</f>
        <v>15</v>
      </c>
      <c r="Z28" s="271">
        <f>'쪽쟘(실측)'!U28</f>
        <v>10</v>
      </c>
      <c r="AA28" s="271">
        <f>'쪽쟘(실측)'!V28</f>
        <v>10</v>
      </c>
      <c r="AC28" s="228">
        <f t="shared" si="8"/>
        <v>959</v>
      </c>
      <c r="AD28" s="228">
        <f t="shared" si="9"/>
        <v>117.4</v>
      </c>
      <c r="AE28" s="228">
        <f t="shared" si="10"/>
        <v>116.4</v>
      </c>
      <c r="AF28" s="228">
        <f t="shared" si="11"/>
        <v>2095</v>
      </c>
      <c r="AG28" s="228">
        <f t="shared" si="12"/>
        <v>119.4</v>
      </c>
      <c r="AH28" s="228">
        <f t="shared" si="13"/>
        <v>2095</v>
      </c>
    </row>
    <row r="29" spans="1:34" s="228" customFormat="1" ht="19.5" customHeight="1" x14ac:dyDescent="0.3">
      <c r="A29" s="232" t="str">
        <f>'쪽쟘(실측)'!A29</f>
        <v>10-2</v>
      </c>
      <c r="B29" s="232" t="str">
        <f>'쪽쟘(실측)'!B29&amp;"F"</f>
        <v>18F</v>
      </c>
      <c r="C29" s="232" t="str">
        <f t="shared" si="5"/>
        <v>954*116.4</v>
      </c>
      <c r="D29" s="232">
        <f>'쪽쟘(실측)'!C29-쪽쟘OP차감</f>
        <v>896</v>
      </c>
      <c r="E29" s="232">
        <f>'쪽쟘(실측)'!D29+쪽쟘J늘림+MAX(W29:X29)</f>
        <v>65</v>
      </c>
      <c r="F29" s="233">
        <f>'쪽쟘(실측)'!E29+쪽쟘J늘림+MAX(W29:X29)</f>
        <v>65</v>
      </c>
      <c r="G29" s="234" t="str">
        <f t="shared" si="6"/>
        <v>2095*116.4</v>
      </c>
      <c r="H29" s="235" t="str">
        <f t="shared" si="7"/>
        <v>2095*117.4</v>
      </c>
      <c r="I29" s="232">
        <f>IF('쪽쟘(실측)'!F29&gt;0,'쪽쟘(실측)'!F29-1.5,0)+뒷날개치수더함</f>
        <v>28.5</v>
      </c>
      <c r="J29" s="232">
        <f>IF('쪽쟘(실측)'!H29&gt;0,'쪽쟘(실측)'!H29-1.5,0)+뒷날개치수더함</f>
        <v>29.5</v>
      </c>
      <c r="K29" s="232">
        <f>IF('쪽쟘(실측)'!F29&gt;0,'쪽쟘(실측)'!F29+0,0)+뒷날개치수더함</f>
        <v>30</v>
      </c>
      <c r="L29" s="232">
        <f>IF('쪽쟘(실측)'!G29&gt;0,'쪽쟘(실측)'!G29+0,0)+뒷날개치수더함</f>
        <v>30</v>
      </c>
      <c r="M29" s="232">
        <f>IF('쪽쟘(실측)'!H29&gt;0,'쪽쟘(실측)'!H29+0,0)+뒷날개치수더함</f>
        <v>31</v>
      </c>
      <c r="N29" s="232">
        <f>IF('쪽쟘(실측)'!I29&gt;0,'쪽쟘(실측)'!I29+0,0)+뒷날개치수더함</f>
        <v>31</v>
      </c>
      <c r="O29" s="232">
        <f>'쪽쟘(실측)'!J29-쪽쟘기둥차감</f>
        <v>2095</v>
      </c>
      <c r="P29" s="232">
        <f>'쪽쟘(실측)'!K29-쪽쟘기둥차감</f>
        <v>2095</v>
      </c>
      <c r="Q29" s="232">
        <f>'쪽쟘(실측)'!L29-쪽쟘기둥차감</f>
        <v>2095</v>
      </c>
      <c r="R29" s="232">
        <f>'쪽쟘(실측)'!M29-쪽쟘기둥차감</f>
        <v>2095</v>
      </c>
      <c r="S29" s="232">
        <f>'쪽쟘(실측)'!N29+뒷날개치수더함</f>
        <v>30</v>
      </c>
      <c r="T29" s="232">
        <f>'쪽쟘(실측)'!O29+뒷날개치수더함</f>
        <v>30</v>
      </c>
      <c r="U29" s="232">
        <f>'쪽쟘(실측)'!P29+뒷날개치수더함</f>
        <v>25</v>
      </c>
      <c r="V29" s="232">
        <f>'쪽쟘(실측)'!Q29+뒷날개치수더함</f>
        <v>25</v>
      </c>
      <c r="W29" s="232">
        <f>'쪽쟘(실측)'!R29-쪽쟘늘치차감</f>
        <v>0</v>
      </c>
      <c r="X29" s="232">
        <f>'쪽쟘(실측)'!S29-쪽쟘늘치차감</f>
        <v>0</v>
      </c>
      <c r="Y29" s="271">
        <f>IF('쪽쟘(실측)'!T29&gt;5,'쪽쟘(실측)'!T29+뒷날개치수더함,0)</f>
        <v>15</v>
      </c>
      <c r="Z29" s="271">
        <f>'쪽쟘(실측)'!U29</f>
        <v>10</v>
      </c>
      <c r="AA29" s="271">
        <f>'쪽쟘(실측)'!V29</f>
        <v>10</v>
      </c>
      <c r="AC29" s="228">
        <f t="shared" si="8"/>
        <v>954</v>
      </c>
      <c r="AD29" s="228">
        <f t="shared" si="9"/>
        <v>116.4</v>
      </c>
      <c r="AE29" s="228">
        <f t="shared" si="10"/>
        <v>116.4</v>
      </c>
      <c r="AF29" s="228">
        <f t="shared" si="11"/>
        <v>2095</v>
      </c>
      <c r="AG29" s="228">
        <f t="shared" si="12"/>
        <v>117.4</v>
      </c>
      <c r="AH29" s="228">
        <f t="shared" si="13"/>
        <v>2095</v>
      </c>
    </row>
    <row r="30" spans="1:34" s="228" customFormat="1" ht="19.5" customHeight="1" x14ac:dyDescent="0.3">
      <c r="A30" s="232" t="str">
        <f>'쪽쟘(실측)'!A30</f>
        <v>10-2</v>
      </c>
      <c r="B30" s="232" t="str">
        <f>'쪽쟘(실측)'!B30&amp;"F"</f>
        <v>17F</v>
      </c>
      <c r="C30" s="232" t="str">
        <f t="shared" si="5"/>
        <v>959*115.4</v>
      </c>
      <c r="D30" s="232">
        <f>'쪽쟘(실측)'!C30-쪽쟘OP차감</f>
        <v>899</v>
      </c>
      <c r="E30" s="232">
        <f>'쪽쟘(실측)'!D30+쪽쟘J늘림+MAX(W30:X30)</f>
        <v>65</v>
      </c>
      <c r="F30" s="233">
        <f>'쪽쟘(실측)'!E30+쪽쟘J늘림+MAX(W30:X30)</f>
        <v>65</v>
      </c>
      <c r="G30" s="234" t="str">
        <f t="shared" si="6"/>
        <v>2095*117.4</v>
      </c>
      <c r="H30" s="235" t="str">
        <f t="shared" si="7"/>
        <v>2095*118.4</v>
      </c>
      <c r="I30" s="232">
        <f>IF('쪽쟘(실측)'!F30&gt;0,'쪽쟘(실측)'!F30-1.5,0)+뒷날개치수더함</f>
        <v>29.5</v>
      </c>
      <c r="J30" s="232">
        <f>IF('쪽쟘(실측)'!H30&gt;0,'쪽쟘(실측)'!H30-1.5,0)+뒷날개치수더함</f>
        <v>30.5</v>
      </c>
      <c r="K30" s="232">
        <f>IF('쪽쟘(실측)'!F30&gt;0,'쪽쟘(실측)'!F30+0,0)+뒷날개치수더함</f>
        <v>31</v>
      </c>
      <c r="L30" s="232">
        <f>IF('쪽쟘(실측)'!G30&gt;0,'쪽쟘(실측)'!G30+0,0)+뒷날개치수더함</f>
        <v>31</v>
      </c>
      <c r="M30" s="232">
        <f>IF('쪽쟘(실측)'!H30&gt;0,'쪽쟘(실측)'!H30+0,0)+뒷날개치수더함</f>
        <v>32</v>
      </c>
      <c r="N30" s="232">
        <f>IF('쪽쟘(실측)'!I30&gt;0,'쪽쟘(실측)'!I30+0,0)+뒷날개치수더함</f>
        <v>32</v>
      </c>
      <c r="O30" s="232">
        <f>'쪽쟘(실측)'!J30-쪽쟘기둥차감</f>
        <v>2095</v>
      </c>
      <c r="P30" s="232">
        <f>'쪽쟘(실측)'!K30-쪽쟘기둥차감</f>
        <v>2095</v>
      </c>
      <c r="Q30" s="232">
        <f>'쪽쟘(실측)'!L30-쪽쟘기둥차감</f>
        <v>2095</v>
      </c>
      <c r="R30" s="232">
        <f>'쪽쟘(실측)'!M30-쪽쟘기둥차감</f>
        <v>2095</v>
      </c>
      <c r="S30" s="232">
        <f>'쪽쟘(실측)'!N30+뒷날개치수더함</f>
        <v>29</v>
      </c>
      <c r="T30" s="232">
        <f>'쪽쟘(실측)'!O30+뒷날개치수더함</f>
        <v>29</v>
      </c>
      <c r="U30" s="232">
        <f>'쪽쟘(실측)'!P30+뒷날개치수더함</f>
        <v>25</v>
      </c>
      <c r="V30" s="232">
        <f>'쪽쟘(실측)'!Q30+뒷날개치수더함</f>
        <v>25</v>
      </c>
      <c r="W30" s="232">
        <f>'쪽쟘(실측)'!R30-쪽쟘늘치차감</f>
        <v>0</v>
      </c>
      <c r="X30" s="232">
        <f>'쪽쟘(실측)'!S30-쪽쟘늘치차감</f>
        <v>0</v>
      </c>
      <c r="Y30" s="271">
        <f>IF('쪽쟘(실측)'!T30&gt;5,'쪽쟘(실측)'!T30+뒷날개치수더함,0)</f>
        <v>15</v>
      </c>
      <c r="Z30" s="271">
        <f>'쪽쟘(실측)'!U30</f>
        <v>10</v>
      </c>
      <c r="AA30" s="271">
        <f>'쪽쟘(실측)'!V30</f>
        <v>10</v>
      </c>
      <c r="AC30" s="228">
        <f t="shared" si="8"/>
        <v>959</v>
      </c>
      <c r="AD30" s="228">
        <f t="shared" si="9"/>
        <v>115.4</v>
      </c>
      <c r="AE30" s="228">
        <f t="shared" si="10"/>
        <v>117.4</v>
      </c>
      <c r="AF30" s="228">
        <f t="shared" si="11"/>
        <v>2095</v>
      </c>
      <c r="AG30" s="228">
        <f t="shared" si="12"/>
        <v>118.4</v>
      </c>
      <c r="AH30" s="228">
        <f t="shared" si="13"/>
        <v>2095</v>
      </c>
    </row>
    <row r="31" spans="1:34" s="228" customFormat="1" ht="19.5" customHeight="1" x14ac:dyDescent="0.3">
      <c r="A31" s="232" t="str">
        <f>'쪽쟘(실측)'!A31</f>
        <v>10-2</v>
      </c>
      <c r="B31" s="232" t="str">
        <f>'쪽쟘(실측)'!B31&amp;"F"</f>
        <v>16F</v>
      </c>
      <c r="C31" s="232" t="str">
        <f t="shared" si="5"/>
        <v>958*116.4</v>
      </c>
      <c r="D31" s="232">
        <f>'쪽쟘(실측)'!C31-쪽쟘OP차감</f>
        <v>897</v>
      </c>
      <c r="E31" s="232">
        <f>'쪽쟘(실측)'!D31+쪽쟘J늘림+MAX(W31:X31)</f>
        <v>65</v>
      </c>
      <c r="F31" s="233">
        <f>'쪽쟘(실측)'!E31+쪽쟘J늘림+MAX(W31:X31)</f>
        <v>65</v>
      </c>
      <c r="G31" s="234" t="str">
        <f t="shared" si="6"/>
        <v>2095*117.4</v>
      </c>
      <c r="H31" s="235" t="str">
        <f t="shared" si="7"/>
        <v>2095*119.4</v>
      </c>
      <c r="I31" s="232">
        <f>IF('쪽쟘(실측)'!F31&gt;0,'쪽쟘(실측)'!F31-1.5,0)+뒷날개치수더함</f>
        <v>29.5</v>
      </c>
      <c r="J31" s="232">
        <f>IF('쪽쟘(실측)'!H31&gt;0,'쪽쟘(실측)'!H31-1.5,0)+뒷날개치수더함</f>
        <v>31.5</v>
      </c>
      <c r="K31" s="232">
        <f>IF('쪽쟘(실측)'!F31&gt;0,'쪽쟘(실측)'!F31+0,0)+뒷날개치수더함</f>
        <v>31</v>
      </c>
      <c r="L31" s="232">
        <f>IF('쪽쟘(실측)'!G31&gt;0,'쪽쟘(실측)'!G31+0,0)+뒷날개치수더함</f>
        <v>31</v>
      </c>
      <c r="M31" s="232">
        <f>IF('쪽쟘(실측)'!H31&gt;0,'쪽쟘(실측)'!H31+0,0)+뒷날개치수더함</f>
        <v>33</v>
      </c>
      <c r="N31" s="232">
        <f>IF('쪽쟘(실측)'!I31&gt;0,'쪽쟘(실측)'!I31+0,0)+뒷날개치수더함</f>
        <v>33</v>
      </c>
      <c r="O31" s="232">
        <f>'쪽쟘(실측)'!J31-쪽쟘기둥차감</f>
        <v>2095</v>
      </c>
      <c r="P31" s="232">
        <f>'쪽쟘(실측)'!K31-쪽쟘기둥차감</f>
        <v>2095</v>
      </c>
      <c r="Q31" s="232">
        <f>'쪽쟘(실측)'!L31-쪽쟘기둥차감</f>
        <v>2095</v>
      </c>
      <c r="R31" s="232">
        <f>'쪽쟘(실측)'!M31-쪽쟘기둥차감</f>
        <v>2095</v>
      </c>
      <c r="S31" s="232">
        <f>'쪽쟘(실측)'!N31+뒷날개치수더함</f>
        <v>30</v>
      </c>
      <c r="T31" s="232">
        <f>'쪽쟘(실측)'!O31+뒷날개치수더함</f>
        <v>30</v>
      </c>
      <c r="U31" s="232">
        <f>'쪽쟘(실측)'!P31+뒷날개치수더함</f>
        <v>25</v>
      </c>
      <c r="V31" s="232">
        <f>'쪽쟘(실측)'!Q31+뒷날개치수더함</f>
        <v>25</v>
      </c>
      <c r="W31" s="232">
        <f>'쪽쟘(실측)'!R31-쪽쟘늘치차감</f>
        <v>0</v>
      </c>
      <c r="X31" s="232">
        <f>'쪽쟘(실측)'!S31-쪽쟘늘치차감</f>
        <v>0</v>
      </c>
      <c r="Y31" s="271">
        <f>IF('쪽쟘(실측)'!T31&gt;5,'쪽쟘(실측)'!T31+뒷날개치수더함,0)</f>
        <v>15</v>
      </c>
      <c r="Z31" s="271">
        <f>'쪽쟘(실측)'!U31</f>
        <v>10</v>
      </c>
      <c r="AA31" s="271">
        <f>'쪽쟘(실측)'!V31</f>
        <v>10</v>
      </c>
      <c r="AC31" s="228">
        <f t="shared" si="8"/>
        <v>958</v>
      </c>
      <c r="AD31" s="228">
        <f t="shared" si="9"/>
        <v>116.4</v>
      </c>
      <c r="AE31" s="228">
        <f t="shared" si="10"/>
        <v>117.4</v>
      </c>
      <c r="AF31" s="228">
        <f t="shared" si="11"/>
        <v>2095</v>
      </c>
      <c r="AG31" s="228">
        <f t="shared" si="12"/>
        <v>119.4</v>
      </c>
      <c r="AH31" s="228">
        <f t="shared" si="13"/>
        <v>2095</v>
      </c>
    </row>
    <row r="32" spans="1:34" s="228" customFormat="1" ht="19.5" customHeight="1" x14ac:dyDescent="0.3">
      <c r="A32" s="232" t="str">
        <f>'쪽쟘(실측)'!A32</f>
        <v>10-2</v>
      </c>
      <c r="B32" s="232" t="str">
        <f>'쪽쟘(실측)'!B32&amp;"F"</f>
        <v>15F</v>
      </c>
      <c r="C32" s="232" t="str">
        <f t="shared" si="5"/>
        <v>959*116.4</v>
      </c>
      <c r="D32" s="232">
        <f>'쪽쟘(실측)'!C32-쪽쟘OP차감</f>
        <v>898</v>
      </c>
      <c r="E32" s="232">
        <f>'쪽쟘(실측)'!D32+쪽쟘J늘림+MAX(W32:X32)</f>
        <v>65</v>
      </c>
      <c r="F32" s="233">
        <f>'쪽쟘(실측)'!E32+쪽쟘J늘림+MAX(W32:X32)</f>
        <v>65</v>
      </c>
      <c r="G32" s="234" t="str">
        <f t="shared" si="6"/>
        <v>2095*119.4</v>
      </c>
      <c r="H32" s="235" t="str">
        <f t="shared" si="7"/>
        <v>2095*121.4</v>
      </c>
      <c r="I32" s="232">
        <f>IF('쪽쟘(실측)'!F32&gt;0,'쪽쟘(실측)'!F32-1.5,0)+뒷날개치수더함</f>
        <v>31.5</v>
      </c>
      <c r="J32" s="232">
        <f>IF('쪽쟘(실측)'!H32&gt;0,'쪽쟘(실측)'!H32-1.5,0)+뒷날개치수더함</f>
        <v>29.5</v>
      </c>
      <c r="K32" s="232">
        <f>IF('쪽쟘(실측)'!F32&gt;0,'쪽쟘(실측)'!F32+0,0)+뒷날개치수더함</f>
        <v>33</v>
      </c>
      <c r="L32" s="232">
        <f>IF('쪽쟘(실측)'!G32&gt;0,'쪽쟘(실측)'!G32+0,0)+뒷날개치수더함</f>
        <v>33</v>
      </c>
      <c r="M32" s="232">
        <f>IF('쪽쟘(실측)'!H32&gt;0,'쪽쟘(실측)'!H32+0,0)+뒷날개치수더함</f>
        <v>31</v>
      </c>
      <c r="N32" s="232">
        <f>IF('쪽쟘(실측)'!I32&gt;0,'쪽쟘(실측)'!I32+0,0)+뒷날개치수더함</f>
        <v>35</v>
      </c>
      <c r="O32" s="232">
        <f>'쪽쟘(실측)'!J32-쪽쟘기둥차감</f>
        <v>2095</v>
      </c>
      <c r="P32" s="232">
        <f>'쪽쟘(실측)'!K32-쪽쟘기둥차감</f>
        <v>2095</v>
      </c>
      <c r="Q32" s="232">
        <f>'쪽쟘(실측)'!L32-쪽쟘기둥차감</f>
        <v>2095</v>
      </c>
      <c r="R32" s="232">
        <f>'쪽쟘(실측)'!M32-쪽쟘기둥차감</f>
        <v>2095</v>
      </c>
      <c r="S32" s="232">
        <f>'쪽쟘(실측)'!N32+뒷날개치수더함</f>
        <v>30</v>
      </c>
      <c r="T32" s="232">
        <f>'쪽쟘(실측)'!O32+뒷날개치수더함</f>
        <v>30</v>
      </c>
      <c r="U32" s="232">
        <f>'쪽쟘(실측)'!P32+뒷날개치수더함</f>
        <v>25</v>
      </c>
      <c r="V32" s="232">
        <f>'쪽쟘(실측)'!Q32+뒷날개치수더함</f>
        <v>25</v>
      </c>
      <c r="W32" s="232">
        <f>'쪽쟘(실측)'!R32-쪽쟘늘치차감</f>
        <v>0</v>
      </c>
      <c r="X32" s="232">
        <f>'쪽쟘(실측)'!S32-쪽쟘늘치차감</f>
        <v>0</v>
      </c>
      <c r="Y32" s="271">
        <f>IF('쪽쟘(실측)'!T32&gt;5,'쪽쟘(실측)'!T32+뒷날개치수더함,0)</f>
        <v>15</v>
      </c>
      <c r="Z32" s="271">
        <f>'쪽쟘(실측)'!U32</f>
        <v>10</v>
      </c>
      <c r="AA32" s="271">
        <f>'쪽쟘(실측)'!V32</f>
        <v>10</v>
      </c>
      <c r="AC32" s="228">
        <f t="shared" si="8"/>
        <v>959</v>
      </c>
      <c r="AD32" s="228">
        <f t="shared" si="9"/>
        <v>116.4</v>
      </c>
      <c r="AE32" s="228">
        <f t="shared" si="10"/>
        <v>119.4</v>
      </c>
      <c r="AF32" s="228">
        <f t="shared" si="11"/>
        <v>2095</v>
      </c>
      <c r="AG32" s="228">
        <f t="shared" si="12"/>
        <v>121.4</v>
      </c>
      <c r="AH32" s="228">
        <f t="shared" si="13"/>
        <v>2095</v>
      </c>
    </row>
    <row r="33" spans="1:34" s="228" customFormat="1" ht="19.5" customHeight="1" x14ac:dyDescent="0.3">
      <c r="A33" s="232" t="str">
        <f>'쪽쟘(실측)'!A33</f>
        <v>10-2</v>
      </c>
      <c r="B33" s="232" t="str">
        <f>'쪽쟘(실측)'!B33&amp;"F"</f>
        <v>14F</v>
      </c>
      <c r="C33" s="232" t="str">
        <f t="shared" si="5"/>
        <v>959*117.4</v>
      </c>
      <c r="D33" s="232">
        <f>'쪽쟘(실측)'!C33-쪽쟘OP차감</f>
        <v>899</v>
      </c>
      <c r="E33" s="232">
        <f>'쪽쟘(실측)'!D33+쪽쟘J늘림+MAX(W33:X33)</f>
        <v>65</v>
      </c>
      <c r="F33" s="233">
        <f>'쪽쟘(실측)'!E33+쪽쟘J늘림+MAX(W33:X33)</f>
        <v>65</v>
      </c>
      <c r="G33" s="234" t="str">
        <f t="shared" si="6"/>
        <v>2095*117.4</v>
      </c>
      <c r="H33" s="235" t="str">
        <f t="shared" si="7"/>
        <v>2095*118.4</v>
      </c>
      <c r="I33" s="232">
        <f>IF('쪽쟘(실측)'!F33&gt;0,'쪽쟘(실측)'!F33-1.5,0)+뒷날개치수더함</f>
        <v>29.5</v>
      </c>
      <c r="J33" s="232">
        <f>IF('쪽쟘(실측)'!H33&gt;0,'쪽쟘(실측)'!H33-1.5,0)+뒷날개치수더함</f>
        <v>30.5</v>
      </c>
      <c r="K33" s="232">
        <f>IF('쪽쟘(실측)'!F33&gt;0,'쪽쟘(실측)'!F33+0,0)+뒷날개치수더함</f>
        <v>31</v>
      </c>
      <c r="L33" s="232">
        <f>IF('쪽쟘(실측)'!G33&gt;0,'쪽쟘(실측)'!G33+0,0)+뒷날개치수더함</f>
        <v>31</v>
      </c>
      <c r="M33" s="232">
        <f>IF('쪽쟘(실측)'!H33&gt;0,'쪽쟘(실측)'!H33+0,0)+뒷날개치수더함</f>
        <v>32</v>
      </c>
      <c r="N33" s="232">
        <f>IF('쪽쟘(실측)'!I33&gt;0,'쪽쟘(실측)'!I33+0,0)+뒷날개치수더함</f>
        <v>32</v>
      </c>
      <c r="O33" s="232">
        <f>'쪽쟘(실측)'!J33-쪽쟘기둥차감</f>
        <v>2095</v>
      </c>
      <c r="P33" s="232">
        <f>'쪽쟘(실측)'!K33-쪽쟘기둥차감</f>
        <v>2095</v>
      </c>
      <c r="Q33" s="232">
        <f>'쪽쟘(실측)'!L33-쪽쟘기둥차감</f>
        <v>2095</v>
      </c>
      <c r="R33" s="232">
        <f>'쪽쟘(실측)'!M33-쪽쟘기둥차감</f>
        <v>2095</v>
      </c>
      <c r="S33" s="232">
        <f>'쪽쟘(실측)'!N33+뒷날개치수더함</f>
        <v>31</v>
      </c>
      <c r="T33" s="232">
        <f>'쪽쟘(실측)'!O33+뒷날개치수더함</f>
        <v>31</v>
      </c>
      <c r="U33" s="232">
        <f>'쪽쟘(실측)'!P33+뒷날개치수더함</f>
        <v>25</v>
      </c>
      <c r="V33" s="232">
        <f>'쪽쟘(실측)'!Q33+뒷날개치수더함</f>
        <v>25</v>
      </c>
      <c r="W33" s="232">
        <f>'쪽쟘(실측)'!R33-쪽쟘늘치차감</f>
        <v>0</v>
      </c>
      <c r="X33" s="232">
        <f>'쪽쟘(실측)'!S33-쪽쟘늘치차감</f>
        <v>0</v>
      </c>
      <c r="Y33" s="271">
        <f>IF('쪽쟘(실측)'!T33&gt;5,'쪽쟘(실측)'!T33+뒷날개치수더함,0)</f>
        <v>15</v>
      </c>
      <c r="Z33" s="271">
        <f>'쪽쟘(실측)'!U33</f>
        <v>10</v>
      </c>
      <c r="AA33" s="271">
        <f>'쪽쟘(실측)'!V33</f>
        <v>10</v>
      </c>
      <c r="AC33" s="228">
        <f t="shared" si="8"/>
        <v>959</v>
      </c>
      <c r="AD33" s="228">
        <f t="shared" si="9"/>
        <v>117.4</v>
      </c>
      <c r="AE33" s="228">
        <f t="shared" si="10"/>
        <v>117.4</v>
      </c>
      <c r="AF33" s="228">
        <f t="shared" si="11"/>
        <v>2095</v>
      </c>
      <c r="AG33" s="228">
        <f t="shared" si="12"/>
        <v>118.4</v>
      </c>
      <c r="AH33" s="228">
        <f t="shared" si="13"/>
        <v>2095</v>
      </c>
    </row>
    <row r="34" spans="1:34" s="228" customFormat="1" ht="19.5" customHeight="1" x14ac:dyDescent="0.3">
      <c r="A34" s="232" t="str">
        <f>'쪽쟘(실측)'!A34</f>
        <v>10-2</v>
      </c>
      <c r="B34" s="232" t="str">
        <f>'쪽쟘(실측)'!B34&amp;"F"</f>
        <v>13F</v>
      </c>
      <c r="C34" s="232" t="str">
        <f t="shared" si="5"/>
        <v>960*118.4</v>
      </c>
      <c r="D34" s="232">
        <f>'쪽쟘(실측)'!C34-쪽쟘OP차감</f>
        <v>899</v>
      </c>
      <c r="E34" s="232">
        <f>'쪽쟘(실측)'!D34+쪽쟘J늘림+MAX(W34:X34)</f>
        <v>65</v>
      </c>
      <c r="F34" s="233">
        <f>'쪽쟘(실측)'!E34+쪽쟘J늘림+MAX(W34:X34)</f>
        <v>65</v>
      </c>
      <c r="G34" s="234" t="str">
        <f t="shared" si="6"/>
        <v>2095*118.4</v>
      </c>
      <c r="H34" s="235" t="str">
        <f t="shared" si="7"/>
        <v>2095*118.4</v>
      </c>
      <c r="I34" s="232">
        <f>IF('쪽쟘(실측)'!F34&gt;0,'쪽쟘(실측)'!F34-1.5,0)+뒷날개치수더함</f>
        <v>30.5</v>
      </c>
      <c r="J34" s="232">
        <f>IF('쪽쟘(실측)'!H34&gt;0,'쪽쟘(실측)'!H34-1.5,0)+뒷날개치수더함</f>
        <v>30.5</v>
      </c>
      <c r="K34" s="232">
        <f>IF('쪽쟘(실측)'!F34&gt;0,'쪽쟘(실측)'!F34+0,0)+뒷날개치수더함</f>
        <v>32</v>
      </c>
      <c r="L34" s="232">
        <f>IF('쪽쟘(실측)'!G34&gt;0,'쪽쟘(실측)'!G34+0,0)+뒷날개치수더함</f>
        <v>32</v>
      </c>
      <c r="M34" s="232">
        <f>IF('쪽쟘(실측)'!H34&gt;0,'쪽쟘(실측)'!H34+0,0)+뒷날개치수더함</f>
        <v>32</v>
      </c>
      <c r="N34" s="232">
        <f>IF('쪽쟘(실측)'!I34&gt;0,'쪽쟘(실측)'!I34+0,0)+뒷날개치수더함</f>
        <v>32</v>
      </c>
      <c r="O34" s="232">
        <f>'쪽쟘(실측)'!J34-쪽쟘기둥차감</f>
        <v>2095</v>
      </c>
      <c r="P34" s="232">
        <f>'쪽쟘(실측)'!K34-쪽쟘기둥차감</f>
        <v>2095</v>
      </c>
      <c r="Q34" s="232">
        <f>'쪽쟘(실측)'!L34-쪽쟘기둥차감</f>
        <v>2095</v>
      </c>
      <c r="R34" s="232">
        <f>'쪽쟘(실측)'!M34-쪽쟘기둥차감</f>
        <v>2095</v>
      </c>
      <c r="S34" s="232">
        <f>'쪽쟘(실측)'!N34+뒷날개치수더함</f>
        <v>32</v>
      </c>
      <c r="T34" s="232">
        <f>'쪽쟘(실측)'!O34+뒷날개치수더함</f>
        <v>32</v>
      </c>
      <c r="U34" s="232">
        <f>'쪽쟘(실측)'!P34+뒷날개치수더함</f>
        <v>25</v>
      </c>
      <c r="V34" s="232">
        <f>'쪽쟘(실측)'!Q34+뒷날개치수더함</f>
        <v>25</v>
      </c>
      <c r="W34" s="232">
        <f>'쪽쟘(실측)'!R34-쪽쟘늘치차감</f>
        <v>0</v>
      </c>
      <c r="X34" s="232">
        <f>'쪽쟘(실측)'!S34-쪽쟘늘치차감</f>
        <v>0</v>
      </c>
      <c r="Y34" s="271">
        <f>IF('쪽쟘(실측)'!T34&gt;5,'쪽쟘(실측)'!T34+뒷날개치수더함,0)</f>
        <v>15</v>
      </c>
      <c r="Z34" s="271">
        <f>'쪽쟘(실측)'!U34</f>
        <v>10</v>
      </c>
      <c r="AA34" s="271">
        <f>'쪽쟘(실측)'!V34</f>
        <v>10</v>
      </c>
      <c r="AC34" s="228">
        <f t="shared" si="8"/>
        <v>960</v>
      </c>
      <c r="AD34" s="228">
        <f t="shared" si="9"/>
        <v>118.4</v>
      </c>
      <c r="AE34" s="228">
        <f t="shared" si="10"/>
        <v>118.4</v>
      </c>
      <c r="AF34" s="228">
        <f t="shared" si="11"/>
        <v>2095</v>
      </c>
      <c r="AG34" s="228">
        <f t="shared" si="12"/>
        <v>118.4</v>
      </c>
      <c r="AH34" s="228">
        <f t="shared" si="13"/>
        <v>2095</v>
      </c>
    </row>
    <row r="35" spans="1:34" s="228" customFormat="1" ht="19.5" customHeight="1" x14ac:dyDescent="0.3">
      <c r="A35" s="232" t="str">
        <f>'쪽쟘(실측)'!A35</f>
        <v>10-2</v>
      </c>
      <c r="B35" s="232" t="str">
        <f>'쪽쟘(실측)'!B35&amp;"F"</f>
        <v>12F</v>
      </c>
      <c r="C35" s="232" t="str">
        <f t="shared" si="5"/>
        <v>959*117.4</v>
      </c>
      <c r="D35" s="232">
        <f>'쪽쟘(실측)'!C35-쪽쟘OP차감</f>
        <v>899</v>
      </c>
      <c r="E35" s="232">
        <f>'쪽쟘(실측)'!D35+쪽쟘J늘림+MAX(W35:X35)</f>
        <v>65</v>
      </c>
      <c r="F35" s="233">
        <f>'쪽쟘(실측)'!E35+쪽쟘J늘림+MAX(W35:X35)</f>
        <v>65</v>
      </c>
      <c r="G35" s="234" t="str">
        <f t="shared" si="6"/>
        <v>2095*117.4</v>
      </c>
      <c r="H35" s="235" t="str">
        <f t="shared" si="7"/>
        <v>2095*118.4</v>
      </c>
      <c r="I35" s="232">
        <f>IF('쪽쟘(실측)'!F35&gt;0,'쪽쟘(실측)'!F35-1.5,0)+뒷날개치수더함</f>
        <v>29.5</v>
      </c>
      <c r="J35" s="232">
        <f>IF('쪽쟘(실측)'!H35&gt;0,'쪽쟘(실측)'!H35-1.5,0)+뒷날개치수더함</f>
        <v>30.5</v>
      </c>
      <c r="K35" s="232">
        <f>IF('쪽쟘(실측)'!F35&gt;0,'쪽쟘(실측)'!F35+0,0)+뒷날개치수더함</f>
        <v>31</v>
      </c>
      <c r="L35" s="232">
        <f>IF('쪽쟘(실측)'!G35&gt;0,'쪽쟘(실측)'!G35+0,0)+뒷날개치수더함</f>
        <v>31</v>
      </c>
      <c r="M35" s="232">
        <f>IF('쪽쟘(실측)'!H35&gt;0,'쪽쟘(실측)'!H35+0,0)+뒷날개치수더함</f>
        <v>32</v>
      </c>
      <c r="N35" s="232">
        <f>IF('쪽쟘(실측)'!I35&gt;0,'쪽쟘(실측)'!I35+0,0)+뒷날개치수더함</f>
        <v>32</v>
      </c>
      <c r="O35" s="232">
        <f>'쪽쟘(실측)'!J35-쪽쟘기둥차감</f>
        <v>2095</v>
      </c>
      <c r="P35" s="232">
        <f>'쪽쟘(실측)'!K35-쪽쟘기둥차감</f>
        <v>2095</v>
      </c>
      <c r="Q35" s="232">
        <f>'쪽쟘(실측)'!L35-쪽쟘기둥차감</f>
        <v>2095</v>
      </c>
      <c r="R35" s="232">
        <f>'쪽쟘(실측)'!M35-쪽쟘기둥차감</f>
        <v>2095</v>
      </c>
      <c r="S35" s="232">
        <f>'쪽쟘(실측)'!N35+뒷날개치수더함</f>
        <v>31</v>
      </c>
      <c r="T35" s="232">
        <f>'쪽쟘(실측)'!O35+뒷날개치수더함</f>
        <v>31</v>
      </c>
      <c r="U35" s="232">
        <f>'쪽쟘(실측)'!P35+뒷날개치수더함</f>
        <v>25</v>
      </c>
      <c r="V35" s="232">
        <f>'쪽쟘(실측)'!Q35+뒷날개치수더함</f>
        <v>25</v>
      </c>
      <c r="W35" s="232">
        <f>'쪽쟘(실측)'!R35-쪽쟘늘치차감</f>
        <v>0</v>
      </c>
      <c r="X35" s="232">
        <f>'쪽쟘(실측)'!S35-쪽쟘늘치차감</f>
        <v>0</v>
      </c>
      <c r="Y35" s="271">
        <f>IF('쪽쟘(실측)'!T35&gt;5,'쪽쟘(실측)'!T35+뒷날개치수더함,0)</f>
        <v>15</v>
      </c>
      <c r="Z35" s="271">
        <f>'쪽쟘(실측)'!U35</f>
        <v>10</v>
      </c>
      <c r="AA35" s="271">
        <f>'쪽쟘(실측)'!V35</f>
        <v>10</v>
      </c>
      <c r="AC35" s="228">
        <f t="shared" si="8"/>
        <v>959</v>
      </c>
      <c r="AD35" s="228">
        <f t="shared" si="9"/>
        <v>117.4</v>
      </c>
      <c r="AE35" s="228">
        <f t="shared" si="10"/>
        <v>117.4</v>
      </c>
      <c r="AF35" s="228">
        <f t="shared" si="11"/>
        <v>2095</v>
      </c>
      <c r="AG35" s="228">
        <f t="shared" si="12"/>
        <v>118.4</v>
      </c>
      <c r="AH35" s="228">
        <f t="shared" si="13"/>
        <v>2095</v>
      </c>
    </row>
    <row r="36" spans="1:34" s="228" customFormat="1" ht="19.5" customHeight="1" x14ac:dyDescent="0.3">
      <c r="A36" s="232" t="str">
        <f>'쪽쟘(실측)'!A36</f>
        <v>10-2</v>
      </c>
      <c r="B36" s="232" t="str">
        <f>'쪽쟘(실측)'!B36&amp;"F"</f>
        <v>11F</v>
      </c>
      <c r="C36" s="232" t="str">
        <f t="shared" si="5"/>
        <v>958*117.4</v>
      </c>
      <c r="D36" s="232">
        <f>'쪽쟘(실측)'!C36-쪽쟘OP차감</f>
        <v>899</v>
      </c>
      <c r="E36" s="232">
        <f>'쪽쟘(실측)'!D36+쪽쟘J늘림+MAX(W36:X36)</f>
        <v>65</v>
      </c>
      <c r="F36" s="233">
        <f>'쪽쟘(실측)'!E36+쪽쟘J늘림+MAX(W36:X36)</f>
        <v>65</v>
      </c>
      <c r="G36" s="234" t="str">
        <f t="shared" si="6"/>
        <v>2095*118.4</v>
      </c>
      <c r="H36" s="235" t="str">
        <f t="shared" si="7"/>
        <v>2095*116.4</v>
      </c>
      <c r="I36" s="232">
        <f>IF('쪽쟘(실측)'!F36&gt;0,'쪽쟘(실측)'!F36-1.5,0)+뒷날개치수더함</f>
        <v>30.5</v>
      </c>
      <c r="J36" s="232">
        <f>IF('쪽쟘(실측)'!H36&gt;0,'쪽쟘(실측)'!H36-1.5,0)+뒷날개치수더함</f>
        <v>28.5</v>
      </c>
      <c r="K36" s="232">
        <f>IF('쪽쟘(실측)'!F36&gt;0,'쪽쟘(실측)'!F36+0,0)+뒷날개치수더함</f>
        <v>32</v>
      </c>
      <c r="L36" s="232">
        <f>IF('쪽쟘(실측)'!G36&gt;0,'쪽쟘(실측)'!G36+0,0)+뒷날개치수더함</f>
        <v>32</v>
      </c>
      <c r="M36" s="232">
        <f>IF('쪽쟘(실측)'!H36&gt;0,'쪽쟘(실측)'!H36+0,0)+뒷날개치수더함</f>
        <v>30</v>
      </c>
      <c r="N36" s="232">
        <f>IF('쪽쟘(실측)'!I36&gt;0,'쪽쟘(실측)'!I36+0,0)+뒷날개치수더함</f>
        <v>30</v>
      </c>
      <c r="O36" s="232">
        <f>'쪽쟘(실측)'!J36-쪽쟘기둥차감</f>
        <v>2095</v>
      </c>
      <c r="P36" s="232">
        <f>'쪽쟘(실측)'!K36-쪽쟘기둥차감</f>
        <v>2095</v>
      </c>
      <c r="Q36" s="232">
        <f>'쪽쟘(실측)'!L36-쪽쟘기둥차감</f>
        <v>2095</v>
      </c>
      <c r="R36" s="232">
        <f>'쪽쟘(실측)'!M36-쪽쟘기둥차감</f>
        <v>2095</v>
      </c>
      <c r="S36" s="232">
        <f>'쪽쟘(실측)'!N36+뒷날개치수더함</f>
        <v>31</v>
      </c>
      <c r="T36" s="232">
        <f>'쪽쟘(실측)'!O36+뒷날개치수더함</f>
        <v>31</v>
      </c>
      <c r="U36" s="232">
        <f>'쪽쟘(실측)'!P36+뒷날개치수더함</f>
        <v>25</v>
      </c>
      <c r="V36" s="232">
        <f>'쪽쟘(실측)'!Q36+뒷날개치수더함</f>
        <v>25</v>
      </c>
      <c r="W36" s="232">
        <f>'쪽쟘(실측)'!R36-쪽쟘늘치차감</f>
        <v>0</v>
      </c>
      <c r="X36" s="232">
        <f>'쪽쟘(실측)'!S36-쪽쟘늘치차감</f>
        <v>0</v>
      </c>
      <c r="Y36" s="271">
        <f>IF('쪽쟘(실측)'!T36&gt;5,'쪽쟘(실측)'!T36+뒷날개치수더함,0)</f>
        <v>15</v>
      </c>
      <c r="Z36" s="271">
        <f>'쪽쟘(실측)'!U36</f>
        <v>10</v>
      </c>
      <c r="AA36" s="271">
        <f>'쪽쟘(실측)'!V36</f>
        <v>10</v>
      </c>
      <c r="AC36" s="228">
        <f t="shared" si="8"/>
        <v>958</v>
      </c>
      <c r="AD36" s="228">
        <f t="shared" si="9"/>
        <v>117.4</v>
      </c>
      <c r="AE36" s="228">
        <f t="shared" si="10"/>
        <v>118.4</v>
      </c>
      <c r="AF36" s="228">
        <f t="shared" si="11"/>
        <v>2095</v>
      </c>
      <c r="AG36" s="228">
        <f t="shared" si="12"/>
        <v>116.4</v>
      </c>
      <c r="AH36" s="228">
        <f t="shared" si="13"/>
        <v>2095</v>
      </c>
    </row>
    <row r="37" spans="1:34" s="228" customFormat="1" ht="19.5" customHeight="1" x14ac:dyDescent="0.3">
      <c r="A37" s="232" t="str">
        <f>'쪽쟘(실측)'!A37</f>
        <v>10-2</v>
      </c>
      <c r="B37" s="232" t="str">
        <f>'쪽쟘(실측)'!B37&amp;"F"</f>
        <v>10F</v>
      </c>
      <c r="C37" s="232" t="str">
        <f t="shared" si="5"/>
        <v>958*118.4</v>
      </c>
      <c r="D37" s="232">
        <f>'쪽쟘(실측)'!C37-쪽쟘OP차감</f>
        <v>899</v>
      </c>
      <c r="E37" s="232">
        <f>'쪽쟘(실측)'!D37+쪽쟘J늘림+MAX(W37:X37)</f>
        <v>65</v>
      </c>
      <c r="F37" s="233">
        <f>'쪽쟘(실측)'!E37+쪽쟘J늘림+MAX(W37:X37)</f>
        <v>65</v>
      </c>
      <c r="G37" s="234" t="str">
        <f t="shared" si="6"/>
        <v>2095*118.4</v>
      </c>
      <c r="H37" s="235" t="str">
        <f t="shared" si="7"/>
        <v>2095*116.4</v>
      </c>
      <c r="I37" s="232">
        <f>IF('쪽쟘(실측)'!F37&gt;0,'쪽쟘(실측)'!F37-1.5,0)+뒷날개치수더함</f>
        <v>30.5</v>
      </c>
      <c r="J37" s="232">
        <f>IF('쪽쟘(실측)'!H37&gt;0,'쪽쟘(실측)'!H37-1.5,0)+뒷날개치수더함</f>
        <v>28.5</v>
      </c>
      <c r="K37" s="232">
        <f>IF('쪽쟘(실측)'!F37&gt;0,'쪽쟘(실측)'!F37+0,0)+뒷날개치수더함</f>
        <v>32</v>
      </c>
      <c r="L37" s="232">
        <f>IF('쪽쟘(실측)'!G37&gt;0,'쪽쟘(실측)'!G37+0,0)+뒷날개치수더함</f>
        <v>32</v>
      </c>
      <c r="M37" s="232">
        <f>IF('쪽쟘(실측)'!H37&gt;0,'쪽쟘(실측)'!H37+0,0)+뒷날개치수더함</f>
        <v>30</v>
      </c>
      <c r="N37" s="232">
        <f>IF('쪽쟘(실측)'!I37&gt;0,'쪽쟘(실측)'!I37+0,0)+뒷날개치수더함</f>
        <v>30</v>
      </c>
      <c r="O37" s="232">
        <f>'쪽쟘(실측)'!J37-쪽쟘기둥차감</f>
        <v>2095</v>
      </c>
      <c r="P37" s="232">
        <f>'쪽쟘(실측)'!K37-쪽쟘기둥차감</f>
        <v>2095</v>
      </c>
      <c r="Q37" s="232">
        <f>'쪽쟘(실측)'!L37-쪽쟘기둥차감</f>
        <v>2095</v>
      </c>
      <c r="R37" s="232">
        <f>'쪽쟘(실측)'!M37-쪽쟘기둥차감</f>
        <v>2095</v>
      </c>
      <c r="S37" s="232">
        <f>'쪽쟘(실측)'!N37+뒷날개치수더함</f>
        <v>32</v>
      </c>
      <c r="T37" s="232">
        <f>'쪽쟘(실측)'!O37+뒷날개치수더함</f>
        <v>32</v>
      </c>
      <c r="U37" s="232">
        <f>'쪽쟘(실측)'!P37+뒷날개치수더함</f>
        <v>25</v>
      </c>
      <c r="V37" s="232">
        <f>'쪽쟘(실측)'!Q37+뒷날개치수더함</f>
        <v>25</v>
      </c>
      <c r="W37" s="232">
        <f>'쪽쟘(실측)'!R37-쪽쟘늘치차감</f>
        <v>0</v>
      </c>
      <c r="X37" s="232">
        <f>'쪽쟘(실측)'!S37-쪽쟘늘치차감</f>
        <v>0</v>
      </c>
      <c r="Y37" s="271">
        <f>IF('쪽쟘(실측)'!T37&gt;5,'쪽쟘(실측)'!T37+뒷날개치수더함,0)</f>
        <v>15</v>
      </c>
      <c r="Z37" s="271">
        <f>'쪽쟘(실측)'!U37</f>
        <v>10</v>
      </c>
      <c r="AA37" s="271">
        <f>'쪽쟘(실측)'!V37</f>
        <v>10</v>
      </c>
      <c r="AC37" s="228">
        <f t="shared" si="8"/>
        <v>958</v>
      </c>
      <c r="AD37" s="228">
        <f t="shared" si="9"/>
        <v>118.4</v>
      </c>
      <c r="AE37" s="228">
        <f t="shared" si="10"/>
        <v>118.4</v>
      </c>
      <c r="AF37" s="228">
        <f t="shared" si="11"/>
        <v>2095</v>
      </c>
      <c r="AG37" s="228">
        <f t="shared" si="12"/>
        <v>116.4</v>
      </c>
      <c r="AH37" s="228">
        <f t="shared" si="13"/>
        <v>2095</v>
      </c>
    </row>
    <row r="38" spans="1:34" s="228" customFormat="1" ht="19.5" customHeight="1" x14ac:dyDescent="0.3">
      <c r="A38" s="232" t="str">
        <f>'쪽쟘(실측)'!A38</f>
        <v>10-2</v>
      </c>
      <c r="B38" s="232" t="str">
        <f>'쪽쟘(실측)'!B38&amp;"F"</f>
        <v>9F</v>
      </c>
      <c r="C38" s="232" t="str">
        <f t="shared" si="5"/>
        <v>959*115.4</v>
      </c>
      <c r="D38" s="232">
        <f>'쪽쟘(실측)'!C38-쪽쟘OP차감</f>
        <v>899</v>
      </c>
      <c r="E38" s="232">
        <f>'쪽쟘(실측)'!D38+쪽쟘J늘림+MAX(W38:X38)</f>
        <v>65</v>
      </c>
      <c r="F38" s="233">
        <f>'쪽쟘(실측)'!E38+쪽쟘J늘림+MAX(W38:X38)</f>
        <v>65</v>
      </c>
      <c r="G38" s="234" t="str">
        <f t="shared" si="6"/>
        <v>2095*118.4</v>
      </c>
      <c r="H38" s="235" t="str">
        <f t="shared" si="7"/>
        <v>2095*117.4</v>
      </c>
      <c r="I38" s="232">
        <f>IF('쪽쟘(실측)'!F38&gt;0,'쪽쟘(실측)'!F38-1.5,0)+뒷날개치수더함</f>
        <v>30.5</v>
      </c>
      <c r="J38" s="232">
        <f>IF('쪽쟘(실측)'!H38&gt;0,'쪽쟘(실측)'!H38-1.5,0)+뒷날개치수더함</f>
        <v>29.5</v>
      </c>
      <c r="K38" s="232">
        <f>IF('쪽쟘(실측)'!F38&gt;0,'쪽쟘(실측)'!F38+0,0)+뒷날개치수더함</f>
        <v>32</v>
      </c>
      <c r="L38" s="232">
        <f>IF('쪽쟘(실측)'!G38&gt;0,'쪽쟘(실측)'!G38+0,0)+뒷날개치수더함</f>
        <v>32</v>
      </c>
      <c r="M38" s="232">
        <f>IF('쪽쟘(실측)'!H38&gt;0,'쪽쟘(실측)'!H38+0,0)+뒷날개치수더함</f>
        <v>31</v>
      </c>
      <c r="N38" s="232">
        <f>IF('쪽쟘(실측)'!I38&gt;0,'쪽쟘(실측)'!I38+0,0)+뒷날개치수더함</f>
        <v>31</v>
      </c>
      <c r="O38" s="232">
        <f>'쪽쟘(실측)'!J38-쪽쟘기둥차감</f>
        <v>2095</v>
      </c>
      <c r="P38" s="232">
        <f>'쪽쟘(실측)'!K38-쪽쟘기둥차감</f>
        <v>2095</v>
      </c>
      <c r="Q38" s="232">
        <f>'쪽쟘(실측)'!L38-쪽쟘기둥차감</f>
        <v>2095</v>
      </c>
      <c r="R38" s="232">
        <f>'쪽쟘(실측)'!M38-쪽쟘기둥차감</f>
        <v>2095</v>
      </c>
      <c r="S38" s="232">
        <f>'쪽쟘(실측)'!N38+뒷날개치수더함</f>
        <v>29</v>
      </c>
      <c r="T38" s="232">
        <f>'쪽쟘(실측)'!O38+뒷날개치수더함</f>
        <v>29</v>
      </c>
      <c r="U38" s="232">
        <f>'쪽쟘(실측)'!P38+뒷날개치수더함</f>
        <v>25</v>
      </c>
      <c r="V38" s="232">
        <f>'쪽쟘(실측)'!Q38+뒷날개치수더함</f>
        <v>25</v>
      </c>
      <c r="W38" s="232">
        <f>'쪽쟘(실측)'!R38-쪽쟘늘치차감</f>
        <v>0</v>
      </c>
      <c r="X38" s="232">
        <f>'쪽쟘(실측)'!S38-쪽쟘늘치차감</f>
        <v>0</v>
      </c>
      <c r="Y38" s="271">
        <f>IF('쪽쟘(실측)'!T38&gt;5,'쪽쟘(실측)'!T38+뒷날개치수더함,0)</f>
        <v>15</v>
      </c>
      <c r="Z38" s="271">
        <f>'쪽쟘(실측)'!U38</f>
        <v>10</v>
      </c>
      <c r="AA38" s="271">
        <f>'쪽쟘(실측)'!V38</f>
        <v>10</v>
      </c>
      <c r="AC38" s="228">
        <f t="shared" si="8"/>
        <v>959</v>
      </c>
      <c r="AD38" s="228">
        <f t="shared" si="9"/>
        <v>115.4</v>
      </c>
      <c r="AE38" s="228">
        <f t="shared" si="10"/>
        <v>118.4</v>
      </c>
      <c r="AF38" s="228">
        <f t="shared" si="11"/>
        <v>2095</v>
      </c>
      <c r="AG38" s="228">
        <f t="shared" si="12"/>
        <v>117.4</v>
      </c>
      <c r="AH38" s="228">
        <f t="shared" si="13"/>
        <v>2095</v>
      </c>
    </row>
    <row r="39" spans="1:34" s="228" customFormat="1" ht="19.5" customHeight="1" x14ac:dyDescent="0.3">
      <c r="A39" s="232" t="str">
        <f>'쪽쟘(실측)'!A39</f>
        <v>10-2</v>
      </c>
      <c r="B39" s="232" t="str">
        <f>'쪽쟘(실측)'!B39&amp;"F"</f>
        <v>8F</v>
      </c>
      <c r="C39" s="232" t="str">
        <f t="shared" si="5"/>
        <v>957*115.4</v>
      </c>
      <c r="D39" s="232">
        <f>'쪽쟘(실측)'!C39-쪽쟘OP차감</f>
        <v>898</v>
      </c>
      <c r="E39" s="232">
        <f>'쪽쟘(실측)'!D39+쪽쟘J늘림+MAX(W39:X39)</f>
        <v>65</v>
      </c>
      <c r="F39" s="233">
        <f>'쪽쟘(실측)'!E39+쪽쟘J늘림+MAX(W39:X39)</f>
        <v>65</v>
      </c>
      <c r="G39" s="234" t="str">
        <f t="shared" si="6"/>
        <v>2095*117.4</v>
      </c>
      <c r="H39" s="235" t="str">
        <f t="shared" si="7"/>
        <v>2095*117.4</v>
      </c>
      <c r="I39" s="232">
        <f>IF('쪽쟘(실측)'!F39&gt;0,'쪽쟘(실측)'!F39-1.5,0)+뒷날개치수더함</f>
        <v>29.5</v>
      </c>
      <c r="J39" s="232">
        <f>IF('쪽쟘(실측)'!H39&gt;0,'쪽쟘(실측)'!H39-1.5,0)+뒷날개치수더함</f>
        <v>29.5</v>
      </c>
      <c r="K39" s="232">
        <f>IF('쪽쟘(실측)'!F39&gt;0,'쪽쟘(실측)'!F39+0,0)+뒷날개치수더함</f>
        <v>31</v>
      </c>
      <c r="L39" s="232">
        <f>IF('쪽쟘(실측)'!G39&gt;0,'쪽쟘(실측)'!G39+0,0)+뒷날개치수더함</f>
        <v>31</v>
      </c>
      <c r="M39" s="232">
        <f>IF('쪽쟘(실측)'!H39&gt;0,'쪽쟘(실측)'!H39+0,0)+뒷날개치수더함</f>
        <v>31</v>
      </c>
      <c r="N39" s="232">
        <f>IF('쪽쟘(실측)'!I39&gt;0,'쪽쟘(실측)'!I39+0,0)+뒷날개치수더함</f>
        <v>27</v>
      </c>
      <c r="O39" s="232">
        <f>'쪽쟘(실측)'!J39-쪽쟘기둥차감</f>
        <v>2095</v>
      </c>
      <c r="P39" s="232">
        <f>'쪽쟘(실측)'!K39-쪽쟘기둥차감</f>
        <v>2095</v>
      </c>
      <c r="Q39" s="232">
        <f>'쪽쟘(실측)'!L39-쪽쟘기둥차감</f>
        <v>2095</v>
      </c>
      <c r="R39" s="232">
        <f>'쪽쟘(실측)'!M39-쪽쟘기둥차감</f>
        <v>2095</v>
      </c>
      <c r="S39" s="232">
        <f>'쪽쟘(실측)'!N39+뒷날개치수더함</f>
        <v>29</v>
      </c>
      <c r="T39" s="232">
        <f>'쪽쟘(실측)'!O39+뒷날개치수더함</f>
        <v>29</v>
      </c>
      <c r="U39" s="232">
        <f>'쪽쟘(실측)'!P39+뒷날개치수더함</f>
        <v>25</v>
      </c>
      <c r="V39" s="232">
        <f>'쪽쟘(실측)'!Q39+뒷날개치수더함</f>
        <v>25</v>
      </c>
      <c r="W39" s="232">
        <f>'쪽쟘(실측)'!R39-쪽쟘늘치차감</f>
        <v>0</v>
      </c>
      <c r="X39" s="232">
        <f>'쪽쟘(실측)'!S39-쪽쟘늘치차감</f>
        <v>0</v>
      </c>
      <c r="Y39" s="271">
        <f>IF('쪽쟘(실측)'!T39&gt;5,'쪽쟘(실측)'!T39+뒷날개치수더함,0)</f>
        <v>15</v>
      </c>
      <c r="Z39" s="271">
        <f>'쪽쟘(실측)'!U39</f>
        <v>10</v>
      </c>
      <c r="AA39" s="271">
        <f>'쪽쟘(실측)'!V39</f>
        <v>10</v>
      </c>
      <c r="AC39" s="228">
        <f t="shared" si="8"/>
        <v>957</v>
      </c>
      <c r="AD39" s="228">
        <f t="shared" si="9"/>
        <v>115.4</v>
      </c>
      <c r="AE39" s="228">
        <f t="shared" si="10"/>
        <v>117.4</v>
      </c>
      <c r="AF39" s="228">
        <f t="shared" si="11"/>
        <v>2095</v>
      </c>
      <c r="AG39" s="228">
        <f t="shared" si="12"/>
        <v>117.4</v>
      </c>
      <c r="AH39" s="228">
        <f t="shared" si="13"/>
        <v>2095</v>
      </c>
    </row>
    <row r="40" spans="1:34" s="228" customFormat="1" ht="19.5" customHeight="1" x14ac:dyDescent="0.3">
      <c r="A40" s="232" t="str">
        <f>'쪽쟘(실측)'!A40</f>
        <v>10-2</v>
      </c>
      <c r="B40" s="232" t="str">
        <f>'쪽쟘(실측)'!B40&amp;"F"</f>
        <v>7F</v>
      </c>
      <c r="C40" s="232" t="str">
        <f t="shared" si="5"/>
        <v>960*113.4</v>
      </c>
      <c r="D40" s="232">
        <f>'쪽쟘(실측)'!C40-쪽쟘OP차감</f>
        <v>899</v>
      </c>
      <c r="E40" s="232">
        <f>'쪽쟘(실측)'!D40+쪽쟘J늘림+MAX(W40:X40)</f>
        <v>65</v>
      </c>
      <c r="F40" s="233">
        <f>'쪽쟘(실측)'!E40+쪽쟘J늘림+MAX(W40:X40)</f>
        <v>65</v>
      </c>
      <c r="G40" s="234" t="str">
        <f t="shared" si="6"/>
        <v>2095*119.4</v>
      </c>
      <c r="H40" s="235" t="str">
        <f t="shared" si="7"/>
        <v>2095*117.4</v>
      </c>
      <c r="I40" s="232">
        <f>IF('쪽쟘(실측)'!F40&gt;0,'쪽쟘(실측)'!F40-1.5,0)+뒷날개치수더함</f>
        <v>31.5</v>
      </c>
      <c r="J40" s="232">
        <f>IF('쪽쟘(실측)'!H40&gt;0,'쪽쟘(실측)'!H40-1.5,0)+뒷날개치수더함</f>
        <v>29.5</v>
      </c>
      <c r="K40" s="232">
        <f>IF('쪽쟘(실측)'!F40&gt;0,'쪽쟘(실측)'!F40+0,0)+뒷날개치수더함</f>
        <v>33</v>
      </c>
      <c r="L40" s="232">
        <f>IF('쪽쟘(실측)'!G40&gt;0,'쪽쟘(실측)'!G40+0,0)+뒷날개치수더함</f>
        <v>33</v>
      </c>
      <c r="M40" s="232">
        <f>IF('쪽쟘(실측)'!H40&gt;0,'쪽쟘(실측)'!H40+0,0)+뒷날개치수더함</f>
        <v>31</v>
      </c>
      <c r="N40" s="232">
        <f>IF('쪽쟘(실측)'!I40&gt;0,'쪽쟘(실측)'!I40+0,0)+뒷날개치수더함</f>
        <v>31</v>
      </c>
      <c r="O40" s="232">
        <f>'쪽쟘(실측)'!J40-쪽쟘기둥차감</f>
        <v>2095</v>
      </c>
      <c r="P40" s="232">
        <f>'쪽쟘(실측)'!K40-쪽쟘기둥차감</f>
        <v>2095</v>
      </c>
      <c r="Q40" s="232">
        <f>'쪽쟘(실측)'!L40-쪽쟘기둥차감</f>
        <v>2095</v>
      </c>
      <c r="R40" s="232">
        <f>'쪽쟘(실측)'!M40-쪽쟘기둥차감</f>
        <v>2095</v>
      </c>
      <c r="S40" s="232">
        <f>'쪽쟘(실측)'!N40+뒷날개치수더함</f>
        <v>27</v>
      </c>
      <c r="T40" s="232">
        <f>'쪽쟘(실측)'!O40+뒷날개치수더함</f>
        <v>27</v>
      </c>
      <c r="U40" s="232">
        <f>'쪽쟘(실측)'!P40+뒷날개치수더함</f>
        <v>25</v>
      </c>
      <c r="V40" s="232">
        <f>'쪽쟘(실측)'!Q40+뒷날개치수더함</f>
        <v>25</v>
      </c>
      <c r="W40" s="232">
        <f>'쪽쟘(실측)'!R40-쪽쟘늘치차감</f>
        <v>0</v>
      </c>
      <c r="X40" s="232">
        <f>'쪽쟘(실측)'!S40-쪽쟘늘치차감</f>
        <v>0</v>
      </c>
      <c r="Y40" s="271">
        <f>IF('쪽쟘(실측)'!T40&gt;5,'쪽쟘(실측)'!T40+뒷날개치수더함,0)</f>
        <v>15</v>
      </c>
      <c r="Z40" s="271">
        <f>'쪽쟘(실측)'!U40</f>
        <v>10</v>
      </c>
      <c r="AA40" s="271">
        <f>'쪽쟘(실측)'!V40</f>
        <v>10</v>
      </c>
      <c r="AC40" s="228">
        <f t="shared" si="8"/>
        <v>960</v>
      </c>
      <c r="AD40" s="228">
        <f t="shared" si="9"/>
        <v>113.4</v>
      </c>
      <c r="AE40" s="228">
        <f t="shared" si="10"/>
        <v>119.4</v>
      </c>
      <c r="AF40" s="228">
        <f t="shared" si="11"/>
        <v>2095</v>
      </c>
      <c r="AG40" s="228">
        <f t="shared" si="12"/>
        <v>117.4</v>
      </c>
      <c r="AH40" s="228">
        <f t="shared" si="13"/>
        <v>2095</v>
      </c>
    </row>
    <row r="41" spans="1:34" s="228" customFormat="1" ht="19.5" customHeight="1" x14ac:dyDescent="0.3">
      <c r="A41" s="232" t="str">
        <f>'쪽쟘(실측)'!A41</f>
        <v>10-2</v>
      </c>
      <c r="B41" s="232" t="str">
        <f>'쪽쟘(실측)'!B41&amp;"F"</f>
        <v>6F</v>
      </c>
      <c r="C41" s="232" t="str">
        <f t="shared" si="5"/>
        <v>961*115.4</v>
      </c>
      <c r="D41" s="232">
        <f>'쪽쟘(실측)'!C41-쪽쟘OP차감</f>
        <v>900</v>
      </c>
      <c r="E41" s="232">
        <f>'쪽쟘(실측)'!D41+쪽쟘J늘림+MAX(W41:X41)</f>
        <v>65</v>
      </c>
      <c r="F41" s="233">
        <f>'쪽쟘(실측)'!E41+쪽쟘J늘림+MAX(W41:X41)</f>
        <v>65</v>
      </c>
      <c r="G41" s="234" t="str">
        <f t="shared" si="6"/>
        <v>2095*119.4</v>
      </c>
      <c r="H41" s="235" t="str">
        <f t="shared" si="7"/>
        <v>2095*117.4</v>
      </c>
      <c r="I41" s="232">
        <f>IF('쪽쟘(실측)'!F41&gt;0,'쪽쟘(실측)'!F41-1.5,0)+뒷날개치수더함</f>
        <v>31.5</v>
      </c>
      <c r="J41" s="232">
        <f>IF('쪽쟘(실측)'!H41&gt;0,'쪽쟘(실측)'!H41-1.5,0)+뒷날개치수더함</f>
        <v>29.5</v>
      </c>
      <c r="K41" s="232">
        <f>IF('쪽쟘(실측)'!F41&gt;0,'쪽쟘(실측)'!F41+0,0)+뒷날개치수더함</f>
        <v>33</v>
      </c>
      <c r="L41" s="232">
        <f>IF('쪽쟘(실측)'!G41&gt;0,'쪽쟘(실측)'!G41+0,0)+뒷날개치수더함</f>
        <v>33</v>
      </c>
      <c r="M41" s="232">
        <f>IF('쪽쟘(실측)'!H41&gt;0,'쪽쟘(실측)'!H41+0,0)+뒷날개치수더함</f>
        <v>31</v>
      </c>
      <c r="N41" s="232">
        <f>IF('쪽쟘(실측)'!I41&gt;0,'쪽쟘(실측)'!I41+0,0)+뒷날개치수더함</f>
        <v>31</v>
      </c>
      <c r="O41" s="232">
        <f>'쪽쟘(실측)'!J41-쪽쟘기둥차감</f>
        <v>2095</v>
      </c>
      <c r="P41" s="232">
        <f>'쪽쟘(실측)'!K41-쪽쟘기둥차감</f>
        <v>2095</v>
      </c>
      <c r="Q41" s="232">
        <f>'쪽쟘(실측)'!L41-쪽쟘기둥차감</f>
        <v>2095</v>
      </c>
      <c r="R41" s="232">
        <f>'쪽쟘(실측)'!M41-쪽쟘기둥차감</f>
        <v>2095</v>
      </c>
      <c r="S41" s="232">
        <f>'쪽쟘(실측)'!N41+뒷날개치수더함</f>
        <v>29</v>
      </c>
      <c r="T41" s="232">
        <f>'쪽쟘(실측)'!O41+뒷날개치수더함</f>
        <v>29</v>
      </c>
      <c r="U41" s="232">
        <f>'쪽쟘(실측)'!P41+뒷날개치수더함</f>
        <v>25</v>
      </c>
      <c r="V41" s="232">
        <f>'쪽쟘(실측)'!Q41+뒷날개치수더함</f>
        <v>25</v>
      </c>
      <c r="W41" s="232">
        <f>'쪽쟘(실측)'!R41-쪽쟘늘치차감</f>
        <v>0</v>
      </c>
      <c r="X41" s="232">
        <f>'쪽쟘(실측)'!S41-쪽쟘늘치차감</f>
        <v>0</v>
      </c>
      <c r="Y41" s="271">
        <f>IF('쪽쟘(실측)'!T41&gt;5,'쪽쟘(실측)'!T41+뒷날개치수더함,0)</f>
        <v>15</v>
      </c>
      <c r="Z41" s="271">
        <f>'쪽쟘(실측)'!U41</f>
        <v>10</v>
      </c>
      <c r="AA41" s="271">
        <f>'쪽쟘(실측)'!V41</f>
        <v>10</v>
      </c>
      <c r="AC41" s="228">
        <f t="shared" si="8"/>
        <v>961</v>
      </c>
      <c r="AD41" s="228">
        <f t="shared" si="9"/>
        <v>115.4</v>
      </c>
      <c r="AE41" s="228">
        <f t="shared" si="10"/>
        <v>119.4</v>
      </c>
      <c r="AF41" s="228">
        <f t="shared" si="11"/>
        <v>2095</v>
      </c>
      <c r="AG41" s="228">
        <f t="shared" si="12"/>
        <v>117.4</v>
      </c>
      <c r="AH41" s="228">
        <f t="shared" si="13"/>
        <v>2095</v>
      </c>
    </row>
    <row r="42" spans="1:34" s="228" customFormat="1" ht="19.5" customHeight="1" x14ac:dyDescent="0.3">
      <c r="A42" s="232" t="str">
        <f>'쪽쟘(실측)'!A42</f>
        <v>10-2</v>
      </c>
      <c r="B42" s="232" t="str">
        <f>'쪽쟘(실측)'!B42&amp;"F"</f>
        <v>5F</v>
      </c>
      <c r="C42" s="232" t="str">
        <f t="shared" si="5"/>
        <v>960*112.4</v>
      </c>
      <c r="D42" s="232">
        <f>'쪽쟘(실측)'!C42-쪽쟘OP차감</f>
        <v>898</v>
      </c>
      <c r="E42" s="232">
        <f>'쪽쟘(실측)'!D42+쪽쟘J늘림+MAX(W42:X42)</f>
        <v>65</v>
      </c>
      <c r="F42" s="233">
        <f>'쪽쟘(실측)'!E42+쪽쟘J늘림+MAX(W42:X42)</f>
        <v>65</v>
      </c>
      <c r="G42" s="234" t="str">
        <f t="shared" si="6"/>
        <v>2095*116.4</v>
      </c>
      <c r="H42" s="235" t="str">
        <f t="shared" si="7"/>
        <v>2095*121.4</v>
      </c>
      <c r="I42" s="232">
        <f>IF('쪽쟘(실측)'!F42&gt;0,'쪽쟘(실측)'!F42-1.5,0)+뒷날개치수더함</f>
        <v>28.5</v>
      </c>
      <c r="J42" s="232">
        <f>IF('쪽쟘(실측)'!H42&gt;0,'쪽쟘(실측)'!H42-1.5,0)+뒷날개치수더함</f>
        <v>33.5</v>
      </c>
      <c r="K42" s="232">
        <f>IF('쪽쟘(실측)'!F42&gt;0,'쪽쟘(실측)'!F42+0,0)+뒷날개치수더함</f>
        <v>30</v>
      </c>
      <c r="L42" s="232">
        <f>IF('쪽쟘(실측)'!G42&gt;0,'쪽쟘(실측)'!G42+0,0)+뒷날개치수더함</f>
        <v>30</v>
      </c>
      <c r="M42" s="232">
        <f>IF('쪽쟘(실측)'!H42&gt;0,'쪽쟘(실측)'!H42+0,0)+뒷날개치수더함</f>
        <v>35</v>
      </c>
      <c r="N42" s="232">
        <f>IF('쪽쟘(실측)'!I42&gt;0,'쪽쟘(실측)'!I42+0,0)+뒷날개치수더함</f>
        <v>31</v>
      </c>
      <c r="O42" s="232">
        <f>'쪽쟘(실측)'!J42-쪽쟘기둥차감</f>
        <v>2095</v>
      </c>
      <c r="P42" s="232">
        <f>'쪽쟘(실측)'!K42-쪽쟘기둥차감</f>
        <v>2095</v>
      </c>
      <c r="Q42" s="232">
        <f>'쪽쟘(실측)'!L42-쪽쟘기둥차감</f>
        <v>2095</v>
      </c>
      <c r="R42" s="232">
        <f>'쪽쟘(실측)'!M42-쪽쟘기둥차감</f>
        <v>2095</v>
      </c>
      <c r="S42" s="232">
        <f>'쪽쟘(실측)'!N42+뒷날개치수더함</f>
        <v>26</v>
      </c>
      <c r="T42" s="232">
        <f>'쪽쟘(실측)'!O42+뒷날개치수더함</f>
        <v>26</v>
      </c>
      <c r="U42" s="232">
        <f>'쪽쟘(실측)'!P42+뒷날개치수더함</f>
        <v>25</v>
      </c>
      <c r="V42" s="232">
        <f>'쪽쟘(실측)'!Q42+뒷날개치수더함</f>
        <v>25</v>
      </c>
      <c r="W42" s="232">
        <f>'쪽쟘(실측)'!R42-쪽쟘늘치차감</f>
        <v>0</v>
      </c>
      <c r="X42" s="232">
        <f>'쪽쟘(실측)'!S42-쪽쟘늘치차감</f>
        <v>0</v>
      </c>
      <c r="Y42" s="271">
        <f>IF('쪽쟘(실측)'!T42&gt;5,'쪽쟘(실측)'!T42+뒷날개치수더함,0)</f>
        <v>15</v>
      </c>
      <c r="Z42" s="271">
        <f>'쪽쟘(실측)'!U42</f>
        <v>10</v>
      </c>
      <c r="AA42" s="271">
        <f>'쪽쟘(실측)'!V42</f>
        <v>10</v>
      </c>
      <c r="AC42" s="228">
        <f t="shared" si="8"/>
        <v>960</v>
      </c>
      <c r="AD42" s="228">
        <f t="shared" si="9"/>
        <v>112.4</v>
      </c>
      <c r="AE42" s="228">
        <f t="shared" si="10"/>
        <v>116.4</v>
      </c>
      <c r="AF42" s="228">
        <f t="shared" si="11"/>
        <v>2095</v>
      </c>
      <c r="AG42" s="228">
        <f t="shared" si="12"/>
        <v>121.4</v>
      </c>
      <c r="AH42" s="228">
        <f t="shared" si="13"/>
        <v>2095</v>
      </c>
    </row>
    <row r="43" spans="1:34" s="228" customFormat="1" ht="19.5" customHeight="1" x14ac:dyDescent="0.3">
      <c r="A43" s="232" t="str">
        <f>'쪽쟘(실측)'!A43</f>
        <v>10-2</v>
      </c>
      <c r="B43" s="232" t="str">
        <f>'쪽쟘(실측)'!B43&amp;"F"</f>
        <v>4F</v>
      </c>
      <c r="C43" s="232" t="str">
        <f t="shared" si="5"/>
        <v>958*114.4</v>
      </c>
      <c r="D43" s="232">
        <f>'쪽쟘(실측)'!C43-쪽쟘OP차감</f>
        <v>899</v>
      </c>
      <c r="E43" s="232">
        <f>'쪽쟘(실측)'!D43+쪽쟘J늘림+MAX(W43:X43)</f>
        <v>65</v>
      </c>
      <c r="F43" s="233">
        <f>'쪽쟘(실측)'!E43+쪽쟘J늘림+MAX(W43:X43)</f>
        <v>65</v>
      </c>
      <c r="G43" s="234" t="str">
        <f t="shared" si="6"/>
        <v>2095*115.4</v>
      </c>
      <c r="H43" s="235" t="str">
        <f t="shared" si="7"/>
        <v>2095*119.4</v>
      </c>
      <c r="I43" s="232">
        <f>IF('쪽쟘(실측)'!F43&gt;0,'쪽쟘(실측)'!F43-1.5,0)+뒷날개치수더함</f>
        <v>27.5</v>
      </c>
      <c r="J43" s="232">
        <f>IF('쪽쟘(실측)'!H43&gt;0,'쪽쟘(실측)'!H43-1.5,0)+뒷날개치수더함</f>
        <v>31.5</v>
      </c>
      <c r="K43" s="232">
        <f>IF('쪽쟘(실측)'!F43&gt;0,'쪽쟘(실측)'!F43+0,0)+뒷날개치수더함</f>
        <v>29</v>
      </c>
      <c r="L43" s="232">
        <f>IF('쪽쟘(실측)'!G43&gt;0,'쪽쟘(실측)'!G43+0,0)+뒷날개치수더함</f>
        <v>29</v>
      </c>
      <c r="M43" s="232">
        <f>IF('쪽쟘(실측)'!H43&gt;0,'쪽쟘(실측)'!H43+0,0)+뒷날개치수더함</f>
        <v>33</v>
      </c>
      <c r="N43" s="232">
        <f>IF('쪽쟘(실측)'!I43&gt;0,'쪽쟘(실측)'!I43+0,0)+뒷날개치수더함</f>
        <v>33</v>
      </c>
      <c r="O43" s="232">
        <f>'쪽쟘(실측)'!J43-쪽쟘기둥차감</f>
        <v>2095</v>
      </c>
      <c r="P43" s="232">
        <f>'쪽쟘(실측)'!K43-쪽쟘기둥차감</f>
        <v>2095</v>
      </c>
      <c r="Q43" s="232">
        <f>'쪽쟘(실측)'!L43-쪽쟘기둥차감</f>
        <v>2095</v>
      </c>
      <c r="R43" s="232">
        <f>'쪽쟘(실측)'!M43-쪽쟘기둥차감</f>
        <v>2095</v>
      </c>
      <c r="S43" s="232">
        <f>'쪽쟘(실측)'!N43+뒷날개치수더함</f>
        <v>28</v>
      </c>
      <c r="T43" s="232">
        <f>'쪽쟘(실측)'!O43+뒷날개치수더함</f>
        <v>28</v>
      </c>
      <c r="U43" s="232">
        <f>'쪽쟘(실측)'!P43+뒷날개치수더함</f>
        <v>25</v>
      </c>
      <c r="V43" s="232">
        <f>'쪽쟘(실측)'!Q43+뒷날개치수더함</f>
        <v>25</v>
      </c>
      <c r="W43" s="232">
        <f>'쪽쟘(실측)'!R43-쪽쟘늘치차감</f>
        <v>0</v>
      </c>
      <c r="X43" s="232">
        <f>'쪽쟘(실측)'!S43-쪽쟘늘치차감</f>
        <v>0</v>
      </c>
      <c r="Y43" s="271">
        <f>IF('쪽쟘(실측)'!T43&gt;5,'쪽쟘(실측)'!T43+뒷날개치수더함,0)</f>
        <v>15</v>
      </c>
      <c r="Z43" s="271">
        <f>'쪽쟘(실측)'!U43</f>
        <v>10</v>
      </c>
      <c r="AA43" s="271">
        <f>'쪽쟘(실측)'!V43</f>
        <v>10</v>
      </c>
      <c r="AC43" s="228">
        <f t="shared" si="8"/>
        <v>958</v>
      </c>
      <c r="AD43" s="228">
        <f t="shared" si="9"/>
        <v>114.4</v>
      </c>
      <c r="AE43" s="228">
        <f t="shared" si="10"/>
        <v>115.4</v>
      </c>
      <c r="AF43" s="228">
        <f t="shared" si="11"/>
        <v>2095</v>
      </c>
      <c r="AG43" s="228">
        <f t="shared" si="12"/>
        <v>119.4</v>
      </c>
      <c r="AH43" s="228">
        <f t="shared" si="13"/>
        <v>2095</v>
      </c>
    </row>
    <row r="44" spans="1:34" s="228" customFormat="1" ht="19.5" customHeight="1" x14ac:dyDescent="0.3">
      <c r="A44" s="232" t="str">
        <f>'쪽쟘(실측)'!A44</f>
        <v>10-2</v>
      </c>
      <c r="B44" s="232" t="str">
        <f>'쪽쟘(실측)'!B44&amp;"F"</f>
        <v>3F</v>
      </c>
      <c r="C44" s="232" t="str">
        <f t="shared" si="5"/>
        <v>957*114.4</v>
      </c>
      <c r="D44" s="232">
        <f>'쪽쟘(실측)'!C44-쪽쟘OP차감</f>
        <v>900</v>
      </c>
      <c r="E44" s="232">
        <f>'쪽쟘(실측)'!D44+쪽쟘J늘림+MAX(W44:X44)</f>
        <v>65</v>
      </c>
      <c r="F44" s="233">
        <f>'쪽쟘(실측)'!E44+쪽쟘J늘림+MAX(W44:X44)</f>
        <v>65</v>
      </c>
      <c r="G44" s="234" t="str">
        <f t="shared" si="6"/>
        <v>2095*116.4</v>
      </c>
      <c r="H44" s="235" t="str">
        <f t="shared" si="7"/>
        <v>2095*116.4</v>
      </c>
      <c r="I44" s="232">
        <f>IF('쪽쟘(실측)'!F44&gt;0,'쪽쟘(실측)'!F44-1.5,0)+뒷날개치수더함</f>
        <v>28.5</v>
      </c>
      <c r="J44" s="232">
        <f>IF('쪽쟘(실측)'!H44&gt;0,'쪽쟘(실측)'!H44-1.5,0)+뒷날개치수더함</f>
        <v>28.5</v>
      </c>
      <c r="K44" s="232">
        <f>IF('쪽쟘(실측)'!F44&gt;0,'쪽쟘(실측)'!F44+0,0)+뒷날개치수더함</f>
        <v>30</v>
      </c>
      <c r="L44" s="232">
        <f>IF('쪽쟘(실측)'!G44&gt;0,'쪽쟘(실측)'!G44+0,0)+뒷날개치수더함</f>
        <v>30</v>
      </c>
      <c r="M44" s="232">
        <f>IF('쪽쟘(실측)'!H44&gt;0,'쪽쟘(실측)'!H44+0,0)+뒷날개치수더함</f>
        <v>30</v>
      </c>
      <c r="N44" s="232">
        <f>IF('쪽쟘(실측)'!I44&gt;0,'쪽쟘(실측)'!I44+0,0)+뒷날개치수더함</f>
        <v>30</v>
      </c>
      <c r="O44" s="232">
        <f>'쪽쟘(실측)'!J44-쪽쟘기둥차감</f>
        <v>2095</v>
      </c>
      <c r="P44" s="232">
        <f>'쪽쟘(실측)'!K44-쪽쟘기둥차감</f>
        <v>2095</v>
      </c>
      <c r="Q44" s="232">
        <f>'쪽쟘(실측)'!L44-쪽쟘기둥차감</f>
        <v>2095</v>
      </c>
      <c r="R44" s="232">
        <f>'쪽쟘(실측)'!M44-쪽쟘기둥차감</f>
        <v>2095</v>
      </c>
      <c r="S44" s="232">
        <f>'쪽쟘(실측)'!N44+뒷날개치수더함</f>
        <v>28</v>
      </c>
      <c r="T44" s="232">
        <f>'쪽쟘(실측)'!O44+뒷날개치수더함</f>
        <v>28</v>
      </c>
      <c r="U44" s="232">
        <f>'쪽쟘(실측)'!P44+뒷날개치수더함</f>
        <v>25</v>
      </c>
      <c r="V44" s="232">
        <f>'쪽쟘(실측)'!Q44+뒷날개치수더함</f>
        <v>25</v>
      </c>
      <c r="W44" s="232">
        <f>'쪽쟘(실측)'!R44-쪽쟘늘치차감</f>
        <v>0</v>
      </c>
      <c r="X44" s="232">
        <f>'쪽쟘(실측)'!S44-쪽쟘늘치차감</f>
        <v>0</v>
      </c>
      <c r="Y44" s="271">
        <f>IF('쪽쟘(실측)'!T44&gt;5,'쪽쟘(실측)'!T44+뒷날개치수더함,0)</f>
        <v>15</v>
      </c>
      <c r="Z44" s="271">
        <f>'쪽쟘(실측)'!U44</f>
        <v>10</v>
      </c>
      <c r="AA44" s="271">
        <f>'쪽쟘(실측)'!V44</f>
        <v>10</v>
      </c>
      <c r="AC44" s="228">
        <f t="shared" si="8"/>
        <v>957</v>
      </c>
      <c r="AD44" s="228">
        <f t="shared" si="9"/>
        <v>114.4</v>
      </c>
      <c r="AE44" s="228">
        <f t="shared" si="10"/>
        <v>116.4</v>
      </c>
      <c r="AF44" s="228">
        <f t="shared" si="11"/>
        <v>2095</v>
      </c>
      <c r="AG44" s="228">
        <f t="shared" si="12"/>
        <v>116.4</v>
      </c>
      <c r="AH44" s="228">
        <f t="shared" si="13"/>
        <v>2095</v>
      </c>
    </row>
    <row r="45" spans="1:34" s="228" customFormat="1" ht="19.5" customHeight="1" x14ac:dyDescent="0.3">
      <c r="A45" s="232" t="str">
        <f>'쪽쟘(실측)'!A45</f>
        <v>10-2</v>
      </c>
      <c r="B45" s="232" t="str">
        <f>'쪽쟘(실측)'!B45&amp;"F"</f>
        <v>2F</v>
      </c>
      <c r="C45" s="232" t="str">
        <f t="shared" si="5"/>
        <v>957*115.4</v>
      </c>
      <c r="D45" s="232">
        <f>'쪽쟘(실측)'!C45-쪽쟘OP차감</f>
        <v>898</v>
      </c>
      <c r="E45" s="232">
        <f>'쪽쟘(실측)'!D45+쪽쟘J늘림+MAX(W45:X45)</f>
        <v>65</v>
      </c>
      <c r="F45" s="233">
        <f>'쪽쟘(실측)'!E45+쪽쟘J늘림+MAX(W45:X45)</f>
        <v>65</v>
      </c>
      <c r="G45" s="234" t="str">
        <f t="shared" si="6"/>
        <v>2095*117.4</v>
      </c>
      <c r="H45" s="235" t="str">
        <f t="shared" si="7"/>
        <v>2095*117.4</v>
      </c>
      <c r="I45" s="232">
        <f>IF('쪽쟘(실측)'!F45&gt;0,'쪽쟘(실측)'!F45-1.5,0)+뒷날개치수더함</f>
        <v>29.5</v>
      </c>
      <c r="J45" s="232">
        <f>IF('쪽쟘(실측)'!H45&gt;0,'쪽쟘(실측)'!H45-1.5,0)+뒷날개치수더함</f>
        <v>29.5</v>
      </c>
      <c r="K45" s="232">
        <f>IF('쪽쟘(실측)'!F45&gt;0,'쪽쟘(실측)'!F45+0,0)+뒷날개치수더함</f>
        <v>31</v>
      </c>
      <c r="L45" s="232">
        <f>IF('쪽쟘(실측)'!G45&gt;0,'쪽쟘(실측)'!G45+0,0)+뒷날개치수더함</f>
        <v>31</v>
      </c>
      <c r="M45" s="232">
        <f>IF('쪽쟘(실측)'!H45&gt;0,'쪽쟘(실측)'!H45+0,0)+뒷날개치수더함</f>
        <v>31</v>
      </c>
      <c r="N45" s="232">
        <f>IF('쪽쟘(실측)'!I45&gt;0,'쪽쟘(실측)'!I45+0,0)+뒷날개치수더함</f>
        <v>31</v>
      </c>
      <c r="O45" s="232">
        <f>'쪽쟘(실측)'!J45-쪽쟘기둥차감</f>
        <v>2095</v>
      </c>
      <c r="P45" s="232">
        <f>'쪽쟘(실측)'!K45-쪽쟘기둥차감</f>
        <v>2095</v>
      </c>
      <c r="Q45" s="232">
        <f>'쪽쟘(실측)'!L45-쪽쟘기둥차감</f>
        <v>2095</v>
      </c>
      <c r="R45" s="232">
        <f>'쪽쟘(실측)'!M45-쪽쟘기둥차감</f>
        <v>2095</v>
      </c>
      <c r="S45" s="232">
        <f>'쪽쟘(실측)'!N45+뒷날개치수더함</f>
        <v>29</v>
      </c>
      <c r="T45" s="232">
        <f>'쪽쟘(실측)'!O45+뒷날개치수더함</f>
        <v>29</v>
      </c>
      <c r="U45" s="232">
        <f>'쪽쟘(실측)'!P45+뒷날개치수더함</f>
        <v>25</v>
      </c>
      <c r="V45" s="232">
        <f>'쪽쟘(실측)'!Q45+뒷날개치수더함</f>
        <v>25</v>
      </c>
      <c r="W45" s="232">
        <f>'쪽쟘(실측)'!R45-쪽쟘늘치차감</f>
        <v>0</v>
      </c>
      <c r="X45" s="232">
        <f>'쪽쟘(실측)'!S45-쪽쟘늘치차감</f>
        <v>0</v>
      </c>
      <c r="Y45" s="271">
        <f>IF('쪽쟘(실측)'!T45&gt;5,'쪽쟘(실측)'!T45+뒷날개치수더함,0)</f>
        <v>15</v>
      </c>
      <c r="Z45" s="271">
        <f>'쪽쟘(실측)'!U45</f>
        <v>10</v>
      </c>
      <c r="AA45" s="271">
        <f>'쪽쟘(실측)'!V45</f>
        <v>10</v>
      </c>
      <c r="AC45" s="228">
        <f t="shared" si="8"/>
        <v>957</v>
      </c>
      <c r="AD45" s="228">
        <f t="shared" si="9"/>
        <v>115.4</v>
      </c>
      <c r="AE45" s="228">
        <f t="shared" si="10"/>
        <v>117.4</v>
      </c>
      <c r="AF45" s="228">
        <f t="shared" si="11"/>
        <v>2095</v>
      </c>
      <c r="AG45" s="228">
        <f t="shared" si="12"/>
        <v>117.4</v>
      </c>
      <c r="AH45" s="228">
        <f t="shared" si="13"/>
        <v>2095</v>
      </c>
    </row>
    <row r="46" spans="1:34" s="228" customFormat="1" ht="19.5" customHeight="1" x14ac:dyDescent="0.3">
      <c r="A46" s="232" t="str">
        <f>'쪽쟘(실측)'!A46</f>
        <v>10-2</v>
      </c>
      <c r="B46" s="232" t="str">
        <f>'쪽쟘(실측)'!B46&amp;"F"</f>
        <v>B1F</v>
      </c>
      <c r="C46" s="232" t="str">
        <f t="shared" si="5"/>
        <v>971*129.4</v>
      </c>
      <c r="D46" s="232">
        <f>'쪽쟘(실측)'!C46-쪽쟘OP차감</f>
        <v>889</v>
      </c>
      <c r="E46" s="232">
        <f>'쪽쟘(실측)'!D46+쪽쟘J늘림+MAX(W46:X46)</f>
        <v>70</v>
      </c>
      <c r="F46" s="233">
        <f>'쪽쟘(실측)'!E46+쪽쟘J늘림+MAX(W46:X46)</f>
        <v>70</v>
      </c>
      <c r="G46" s="234" t="str">
        <f t="shared" si="6"/>
        <v>2092*131.4</v>
      </c>
      <c r="H46" s="235" t="str">
        <f t="shared" si="7"/>
        <v>2092*136.4</v>
      </c>
      <c r="I46" s="232">
        <f>IF('쪽쟘(실측)'!F46&gt;0,'쪽쟘(실측)'!F46-1.5,0)+뒷날개치수더함</f>
        <v>38.5</v>
      </c>
      <c r="J46" s="232">
        <f>IF('쪽쟘(실측)'!H46&gt;0,'쪽쟘(실측)'!H46-1.5,0)+뒷날개치수더함</f>
        <v>43.5</v>
      </c>
      <c r="K46" s="282">
        <f>IF('쪽쟘(실측)'!F46&gt;0,'쪽쟘(실측)'!F46+0,0)+뒷날개치수더함</f>
        <v>40</v>
      </c>
      <c r="L46" s="282">
        <f>IF('쪽쟘(실측)'!G46&gt;0,'쪽쟘(실측)'!G46+0,0)+뒷날개치수더함</f>
        <v>40</v>
      </c>
      <c r="M46" s="282">
        <f>IF('쪽쟘(실측)'!H46&gt;0,'쪽쟘(실측)'!H46+0,0)+뒷날개치수더함</f>
        <v>45</v>
      </c>
      <c r="N46" s="282">
        <f>IF('쪽쟘(실측)'!I46&gt;0,'쪽쟘(실측)'!I46+0,0)+뒷날개치수더함</f>
        <v>45</v>
      </c>
      <c r="O46" s="232">
        <f>'쪽쟘(실측)'!J46-쪽쟘기둥차감</f>
        <v>2092</v>
      </c>
      <c r="P46" s="232">
        <f>'쪽쟘(실측)'!K46-쪽쟘기둥차감</f>
        <v>2092</v>
      </c>
      <c r="Q46" s="232">
        <f>'쪽쟘(실측)'!L46-쪽쟘기둥차감</f>
        <v>2092</v>
      </c>
      <c r="R46" s="232">
        <f>'쪽쟘(실측)'!M46-쪽쟘기둥차감</f>
        <v>2092</v>
      </c>
      <c r="S46" s="232">
        <f>'쪽쟘(실측)'!N46+뒷날개치수더함</f>
        <v>34</v>
      </c>
      <c r="T46" s="232">
        <f>'쪽쟘(실측)'!O46+뒷날개치수더함</f>
        <v>38</v>
      </c>
      <c r="U46" s="232">
        <f>'쪽쟘(실측)'!P46+뒷날개치수더함</f>
        <v>25</v>
      </c>
      <c r="V46" s="232">
        <f>'쪽쟘(실측)'!Q46+뒷날개치수더함</f>
        <v>25</v>
      </c>
      <c r="W46" s="232">
        <f>'쪽쟘(실측)'!R46-쪽쟘늘치차감</f>
        <v>0</v>
      </c>
      <c r="X46" s="232">
        <f>'쪽쟘(실측)'!S46-쪽쟘늘치차감</f>
        <v>0</v>
      </c>
      <c r="Y46" s="271">
        <f>IF('쪽쟘(실측)'!T46&gt;5,'쪽쟘(실측)'!T46+뒷날개치수더함,0)</f>
        <v>15</v>
      </c>
      <c r="Z46" s="271">
        <f>'쪽쟘(실측)'!U46</f>
        <v>10</v>
      </c>
      <c r="AA46" s="271">
        <f>'쪽쟘(실측)'!V46</f>
        <v>10</v>
      </c>
      <c r="AC46" s="228">
        <f t="shared" si="8"/>
        <v>971</v>
      </c>
      <c r="AD46" s="228">
        <f t="shared" si="9"/>
        <v>129.4</v>
      </c>
      <c r="AE46" s="228">
        <f t="shared" si="10"/>
        <v>131.4</v>
      </c>
      <c r="AF46" s="228">
        <f t="shared" si="11"/>
        <v>2092</v>
      </c>
      <c r="AG46" s="228">
        <f t="shared" si="12"/>
        <v>136.4</v>
      </c>
      <c r="AH46" s="228">
        <f t="shared" si="13"/>
        <v>2092</v>
      </c>
    </row>
    <row r="47" spans="1:34" s="228" customFormat="1" ht="19.5" customHeight="1" x14ac:dyDescent="0.3">
      <c r="A47" s="232" t="str">
        <f>'쪽쟘(실측)'!A47</f>
        <v>11-1</v>
      </c>
      <c r="B47" s="232" t="str">
        <f>'쪽쟘(실측)'!B47&amp;"F"</f>
        <v>20F</v>
      </c>
      <c r="C47" s="232" t="str">
        <f t="shared" si="5"/>
        <v>966*121.4</v>
      </c>
      <c r="D47" s="232">
        <f>'쪽쟘(실측)'!C47-쪽쟘OP차감</f>
        <v>898</v>
      </c>
      <c r="E47" s="232">
        <f>'쪽쟘(실측)'!D47+쪽쟘J늘림+MAX(W47:X47)</f>
        <v>65</v>
      </c>
      <c r="F47" s="233">
        <f>'쪽쟘(실측)'!E47+쪽쟘J늘림+MAX(W47:X47)</f>
        <v>65</v>
      </c>
      <c r="G47" s="234" t="str">
        <f t="shared" si="6"/>
        <v>2095*120.4</v>
      </c>
      <c r="H47" s="235" t="str">
        <f t="shared" si="7"/>
        <v>2095*123.4</v>
      </c>
      <c r="I47" s="232">
        <f>IF('쪽쟘(실측)'!F47&gt;0,'쪽쟘(실측)'!F47-1.5,0)+뒷날개치수더함</f>
        <v>32.5</v>
      </c>
      <c r="J47" s="232">
        <f>IF('쪽쟘(실측)'!H47&gt;0,'쪽쟘(실측)'!H47-1.5,0)+뒷날개치수더함</f>
        <v>35.5</v>
      </c>
      <c r="K47" s="232">
        <f>IF('쪽쟘(실측)'!F47&gt;0,'쪽쟘(실측)'!F47+0,0)+뒷날개치수더함</f>
        <v>34</v>
      </c>
      <c r="L47" s="232">
        <f>IF('쪽쟘(실측)'!G47&gt;0,'쪽쟘(실측)'!G47+0,0)+뒷날개치수더함</f>
        <v>34</v>
      </c>
      <c r="M47" s="232">
        <f>IF('쪽쟘(실측)'!H47&gt;0,'쪽쟘(실측)'!H47+0,0)+뒷날개치수더함</f>
        <v>37</v>
      </c>
      <c r="N47" s="232">
        <f>IF('쪽쟘(실측)'!I47&gt;0,'쪽쟘(실측)'!I47+0,0)+뒷날개치수더함</f>
        <v>33</v>
      </c>
      <c r="O47" s="232">
        <f>'쪽쟘(실측)'!J47-쪽쟘기둥차감</f>
        <v>2095</v>
      </c>
      <c r="P47" s="232">
        <f>'쪽쟘(실측)'!K47-쪽쟘기둥차감</f>
        <v>2095</v>
      </c>
      <c r="Q47" s="232">
        <f>'쪽쟘(실측)'!L47-쪽쟘기둥차감</f>
        <v>2095</v>
      </c>
      <c r="R47" s="232">
        <f>'쪽쟘(실측)'!M47-쪽쟘기둥차감</f>
        <v>2095</v>
      </c>
      <c r="S47" s="232">
        <f>'쪽쟘(실측)'!N47+뒷날개치수더함</f>
        <v>35</v>
      </c>
      <c r="T47" s="232">
        <f>'쪽쟘(실측)'!O47+뒷날개치수더함</f>
        <v>35</v>
      </c>
      <c r="U47" s="232">
        <f>'쪽쟘(실측)'!P47+뒷날개치수더함</f>
        <v>25</v>
      </c>
      <c r="V47" s="232">
        <f>'쪽쟘(실측)'!Q47+뒷날개치수더함</f>
        <v>25</v>
      </c>
      <c r="W47" s="232">
        <f>'쪽쟘(실측)'!R47-쪽쟘늘치차감</f>
        <v>0</v>
      </c>
      <c r="X47" s="232">
        <f>'쪽쟘(실측)'!S47-쪽쟘늘치차감</f>
        <v>0</v>
      </c>
      <c r="Y47" s="271">
        <f>IF('쪽쟘(실측)'!T47&gt;5,'쪽쟘(실측)'!T47+뒷날개치수더함,0)</f>
        <v>15</v>
      </c>
      <c r="Z47" s="271">
        <f>'쪽쟘(실측)'!U47</f>
        <v>10</v>
      </c>
      <c r="AA47" s="271">
        <f>'쪽쟘(실측)'!V47</f>
        <v>10</v>
      </c>
      <c r="AC47" s="228">
        <f t="shared" si="8"/>
        <v>966</v>
      </c>
      <c r="AD47" s="228">
        <f t="shared" si="9"/>
        <v>121.4</v>
      </c>
      <c r="AE47" s="228">
        <f t="shared" si="10"/>
        <v>120.4</v>
      </c>
      <c r="AF47" s="228">
        <f t="shared" si="11"/>
        <v>2095</v>
      </c>
      <c r="AG47" s="228">
        <f t="shared" si="12"/>
        <v>123.4</v>
      </c>
      <c r="AH47" s="228">
        <f t="shared" si="13"/>
        <v>2095</v>
      </c>
    </row>
    <row r="48" spans="1:34" s="228" customFormat="1" ht="19.5" customHeight="1" x14ac:dyDescent="0.3">
      <c r="A48" s="232" t="str">
        <f>'쪽쟘(실측)'!A48</f>
        <v>11-1</v>
      </c>
      <c r="B48" s="232" t="str">
        <f>'쪽쟘(실측)'!B48&amp;"F"</f>
        <v>19F</v>
      </c>
      <c r="C48" s="232" t="str">
        <f t="shared" si="5"/>
        <v>964*121.4</v>
      </c>
      <c r="D48" s="232">
        <f>'쪽쟘(실측)'!C48-쪽쟘OP차감</f>
        <v>897</v>
      </c>
      <c r="E48" s="232">
        <f>'쪽쟘(실측)'!D48+쪽쟘J늘림+MAX(W48:X48)</f>
        <v>65</v>
      </c>
      <c r="F48" s="233">
        <f>'쪽쟘(실측)'!E48+쪽쟘J늘림+MAX(W48:X48)</f>
        <v>65</v>
      </c>
      <c r="G48" s="234" t="str">
        <f t="shared" si="6"/>
        <v>2095*122.4</v>
      </c>
      <c r="H48" s="235" t="str">
        <f t="shared" si="7"/>
        <v>2095*120.4</v>
      </c>
      <c r="I48" s="232">
        <f>IF('쪽쟘(실측)'!F48&gt;0,'쪽쟘(실측)'!F48-1.5,0)+뒷날개치수더함</f>
        <v>34.5</v>
      </c>
      <c r="J48" s="232">
        <f>IF('쪽쟘(실측)'!H48&gt;0,'쪽쟘(실측)'!H48-1.5,0)+뒷날개치수더함</f>
        <v>32.5</v>
      </c>
      <c r="K48" s="232">
        <f>IF('쪽쟘(실측)'!F48&gt;0,'쪽쟘(실측)'!F48+0,0)+뒷날개치수더함</f>
        <v>36</v>
      </c>
      <c r="L48" s="232">
        <f>IF('쪽쟘(실측)'!G48&gt;0,'쪽쟘(실측)'!G48+0,0)+뒷날개치수더함</f>
        <v>32</v>
      </c>
      <c r="M48" s="232">
        <f>IF('쪽쟘(실측)'!H48&gt;0,'쪽쟘(실측)'!H48+0,0)+뒷날개치수더함</f>
        <v>34</v>
      </c>
      <c r="N48" s="232">
        <f>IF('쪽쟘(실측)'!I48&gt;0,'쪽쟘(실측)'!I48+0,0)+뒷날개치수더함</f>
        <v>34</v>
      </c>
      <c r="O48" s="232">
        <f>'쪽쟘(실측)'!J48-쪽쟘기둥차감</f>
        <v>2095</v>
      </c>
      <c r="P48" s="232">
        <f>'쪽쟘(실측)'!K48-쪽쟘기둥차감</f>
        <v>2095</v>
      </c>
      <c r="Q48" s="232">
        <f>'쪽쟘(실측)'!L48-쪽쟘기둥차감</f>
        <v>2095</v>
      </c>
      <c r="R48" s="232">
        <f>'쪽쟘(실측)'!M48-쪽쟘기둥차감</f>
        <v>2095</v>
      </c>
      <c r="S48" s="232">
        <f>'쪽쟘(실측)'!N48+뒷날개치수더함</f>
        <v>35</v>
      </c>
      <c r="T48" s="232">
        <f>'쪽쟘(실측)'!O48+뒷날개치수더함</f>
        <v>35</v>
      </c>
      <c r="U48" s="232">
        <f>'쪽쟘(실측)'!P48+뒷날개치수더함</f>
        <v>25</v>
      </c>
      <c r="V48" s="232">
        <f>'쪽쟘(실측)'!Q48+뒷날개치수더함</f>
        <v>25</v>
      </c>
      <c r="W48" s="232">
        <f>'쪽쟘(실측)'!R48-쪽쟘늘치차감</f>
        <v>0</v>
      </c>
      <c r="X48" s="232">
        <f>'쪽쟘(실측)'!S48-쪽쟘늘치차감</f>
        <v>0</v>
      </c>
      <c r="Y48" s="271">
        <f>IF('쪽쟘(실측)'!T48&gt;5,'쪽쟘(실측)'!T48+뒷날개치수더함,0)</f>
        <v>15</v>
      </c>
      <c r="Z48" s="271">
        <f>'쪽쟘(실측)'!U48</f>
        <v>10</v>
      </c>
      <c r="AA48" s="271">
        <f>'쪽쟘(실측)'!V48</f>
        <v>10</v>
      </c>
      <c r="AC48" s="228">
        <f t="shared" si="8"/>
        <v>964</v>
      </c>
      <c r="AD48" s="228">
        <f t="shared" si="9"/>
        <v>121.4</v>
      </c>
      <c r="AE48" s="228">
        <f t="shared" si="10"/>
        <v>122.4</v>
      </c>
      <c r="AF48" s="228">
        <f t="shared" si="11"/>
        <v>2095</v>
      </c>
      <c r="AG48" s="228">
        <f t="shared" si="12"/>
        <v>120.4</v>
      </c>
      <c r="AH48" s="228">
        <f t="shared" si="13"/>
        <v>2095</v>
      </c>
    </row>
    <row r="49" spans="1:34" s="228" customFormat="1" ht="19.5" customHeight="1" x14ac:dyDescent="0.3">
      <c r="A49" s="232" t="str">
        <f>'쪽쟘(실측)'!A49</f>
        <v>11-1</v>
      </c>
      <c r="B49" s="232" t="str">
        <f>'쪽쟘(실측)'!B49&amp;"F"</f>
        <v>18F</v>
      </c>
      <c r="C49" s="232" t="str">
        <f t="shared" si="5"/>
        <v>964*119.4</v>
      </c>
      <c r="D49" s="232">
        <f>'쪽쟘(실측)'!C49-쪽쟘OP차감</f>
        <v>899</v>
      </c>
      <c r="E49" s="232">
        <f>'쪽쟘(실측)'!D49+쪽쟘J늘림+MAX(W49:X49)</f>
        <v>65</v>
      </c>
      <c r="F49" s="233">
        <f>'쪽쟘(실측)'!E49+쪽쟘J늘림+MAX(W49:X49)</f>
        <v>65</v>
      </c>
      <c r="G49" s="234" t="str">
        <f t="shared" si="6"/>
        <v>2095*120.4</v>
      </c>
      <c r="H49" s="235" t="str">
        <f t="shared" si="7"/>
        <v>2095*120.4</v>
      </c>
      <c r="I49" s="232">
        <f>IF('쪽쟘(실측)'!F49&gt;0,'쪽쟘(실측)'!F49-1.5,0)+뒷날개치수더함</f>
        <v>32.5</v>
      </c>
      <c r="J49" s="232">
        <f>IF('쪽쟘(실측)'!H49&gt;0,'쪽쟘(실측)'!H49-1.5,0)+뒷날개치수더함</f>
        <v>32.5</v>
      </c>
      <c r="K49" s="232">
        <f>IF('쪽쟘(실측)'!F49&gt;0,'쪽쟘(실측)'!F49+0,0)+뒷날개치수더함</f>
        <v>34</v>
      </c>
      <c r="L49" s="232">
        <f>IF('쪽쟘(실측)'!G49&gt;0,'쪽쟘(실측)'!G49+0,0)+뒷날개치수더함</f>
        <v>34</v>
      </c>
      <c r="M49" s="232">
        <f>IF('쪽쟘(실측)'!H49&gt;0,'쪽쟘(실측)'!H49+0,0)+뒷날개치수더함</f>
        <v>34</v>
      </c>
      <c r="N49" s="232">
        <f>IF('쪽쟘(실측)'!I49&gt;0,'쪽쟘(실측)'!I49+0,0)+뒷날개치수더함</f>
        <v>34</v>
      </c>
      <c r="O49" s="232">
        <f>'쪽쟘(실측)'!J49-쪽쟘기둥차감</f>
        <v>2095</v>
      </c>
      <c r="P49" s="232">
        <f>'쪽쟘(실측)'!K49-쪽쟘기둥차감</f>
        <v>2095</v>
      </c>
      <c r="Q49" s="232">
        <f>'쪽쟘(실측)'!L49-쪽쟘기둥차감</f>
        <v>2095</v>
      </c>
      <c r="R49" s="232">
        <f>'쪽쟘(실측)'!M49-쪽쟘기둥차감</f>
        <v>2095</v>
      </c>
      <c r="S49" s="232">
        <f>'쪽쟘(실측)'!N49+뒷날개치수더함</f>
        <v>33</v>
      </c>
      <c r="T49" s="232">
        <f>'쪽쟘(실측)'!O49+뒷날개치수더함</f>
        <v>33</v>
      </c>
      <c r="U49" s="232">
        <f>'쪽쟘(실측)'!P49+뒷날개치수더함</f>
        <v>25</v>
      </c>
      <c r="V49" s="232">
        <f>'쪽쟘(실측)'!Q49+뒷날개치수더함</f>
        <v>25</v>
      </c>
      <c r="W49" s="232">
        <f>'쪽쟘(실측)'!R49-쪽쟘늘치차감</f>
        <v>0</v>
      </c>
      <c r="X49" s="232">
        <f>'쪽쟘(실측)'!S49-쪽쟘늘치차감</f>
        <v>0</v>
      </c>
      <c r="Y49" s="271">
        <f>IF('쪽쟘(실측)'!T49&gt;5,'쪽쟘(실측)'!T49+뒷날개치수더함,0)</f>
        <v>15</v>
      </c>
      <c r="Z49" s="271">
        <f>'쪽쟘(실측)'!U49</f>
        <v>10</v>
      </c>
      <c r="AA49" s="271">
        <f>'쪽쟘(실측)'!V49</f>
        <v>10</v>
      </c>
      <c r="AC49" s="228">
        <f t="shared" si="8"/>
        <v>964</v>
      </c>
      <c r="AD49" s="228">
        <f t="shared" si="9"/>
        <v>119.4</v>
      </c>
      <c r="AE49" s="228">
        <f t="shared" si="10"/>
        <v>120.4</v>
      </c>
      <c r="AF49" s="228">
        <f t="shared" si="11"/>
        <v>2095</v>
      </c>
      <c r="AG49" s="228">
        <f t="shared" si="12"/>
        <v>120.4</v>
      </c>
      <c r="AH49" s="228">
        <f t="shared" si="13"/>
        <v>2095</v>
      </c>
    </row>
    <row r="50" spans="1:34" s="228" customFormat="1" ht="19.5" customHeight="1" x14ac:dyDescent="0.3">
      <c r="A50" s="232" t="str">
        <f>'쪽쟘(실측)'!A50</f>
        <v>11-1</v>
      </c>
      <c r="B50" s="232" t="str">
        <f>'쪽쟘(실측)'!B50&amp;"F"</f>
        <v>17F</v>
      </c>
      <c r="C50" s="232" t="str">
        <f t="shared" si="5"/>
        <v>963*122.4</v>
      </c>
      <c r="D50" s="232">
        <f>'쪽쟘(실측)'!C50-쪽쟘OP차감</f>
        <v>897</v>
      </c>
      <c r="E50" s="232">
        <f>'쪽쟘(실측)'!D50+쪽쟘J늘림+MAX(W50:X50)</f>
        <v>65</v>
      </c>
      <c r="F50" s="233">
        <f>'쪽쟘(실측)'!E50+쪽쟘J늘림+MAX(W50:X50)</f>
        <v>65</v>
      </c>
      <c r="G50" s="234" t="str">
        <f t="shared" si="6"/>
        <v>2095*120.4</v>
      </c>
      <c r="H50" s="235" t="str">
        <f t="shared" si="7"/>
        <v>2095*121.4</v>
      </c>
      <c r="I50" s="232">
        <f>IF('쪽쟘(실측)'!F50&gt;0,'쪽쟘(실측)'!F50-1.5,0)+뒷날개치수더함</f>
        <v>32.5</v>
      </c>
      <c r="J50" s="232">
        <f>IF('쪽쟘(실측)'!H50&gt;0,'쪽쟘(실측)'!H50-1.5,0)+뒷날개치수더함</f>
        <v>33.5</v>
      </c>
      <c r="K50" s="232">
        <f>IF('쪽쟘(실측)'!F50&gt;0,'쪽쟘(실측)'!F50+0,0)+뒷날개치수더함</f>
        <v>34</v>
      </c>
      <c r="L50" s="232">
        <f>IF('쪽쟘(실측)'!G50&gt;0,'쪽쟘(실측)'!G50+0,0)+뒷날개치수더함</f>
        <v>34</v>
      </c>
      <c r="M50" s="232">
        <f>IF('쪽쟘(실측)'!H50&gt;0,'쪽쟘(실측)'!H50+0,0)+뒷날개치수더함</f>
        <v>35</v>
      </c>
      <c r="N50" s="232">
        <f>IF('쪽쟘(실측)'!I50&gt;0,'쪽쟘(실측)'!I50+0,0)+뒷날개치수더함</f>
        <v>35</v>
      </c>
      <c r="O50" s="232">
        <f>'쪽쟘(실측)'!J50-쪽쟘기둥차감</f>
        <v>2095</v>
      </c>
      <c r="P50" s="232">
        <f>'쪽쟘(실측)'!K50-쪽쟘기둥차감</f>
        <v>2095</v>
      </c>
      <c r="Q50" s="232">
        <f>'쪽쟘(실측)'!L50-쪽쟘기둥차감</f>
        <v>2095</v>
      </c>
      <c r="R50" s="232">
        <f>'쪽쟘(실측)'!M50-쪽쟘기둥차감</f>
        <v>2095</v>
      </c>
      <c r="S50" s="232">
        <f>'쪽쟘(실측)'!N50+뒷날개치수더함</f>
        <v>36</v>
      </c>
      <c r="T50" s="232">
        <f>'쪽쟘(실측)'!O50+뒷날개치수더함</f>
        <v>36</v>
      </c>
      <c r="U50" s="232">
        <f>'쪽쟘(실측)'!P50+뒷날개치수더함</f>
        <v>25</v>
      </c>
      <c r="V50" s="232">
        <f>'쪽쟘(실측)'!Q50+뒷날개치수더함</f>
        <v>25</v>
      </c>
      <c r="W50" s="232">
        <f>'쪽쟘(실측)'!R50-쪽쟘늘치차감</f>
        <v>0</v>
      </c>
      <c r="X50" s="232">
        <f>'쪽쟘(실측)'!S50-쪽쟘늘치차감</f>
        <v>0</v>
      </c>
      <c r="Y50" s="271">
        <f>IF('쪽쟘(실측)'!T50&gt;5,'쪽쟘(실측)'!T50+뒷날개치수더함,0)</f>
        <v>15</v>
      </c>
      <c r="Z50" s="271">
        <f>'쪽쟘(실측)'!U50</f>
        <v>10</v>
      </c>
      <c r="AA50" s="271">
        <f>'쪽쟘(실측)'!V50</f>
        <v>10</v>
      </c>
      <c r="AC50" s="228">
        <f t="shared" si="8"/>
        <v>963</v>
      </c>
      <c r="AD50" s="228">
        <f t="shared" si="9"/>
        <v>122.4</v>
      </c>
      <c r="AE50" s="228">
        <f t="shared" si="10"/>
        <v>120.4</v>
      </c>
      <c r="AF50" s="228">
        <f t="shared" si="11"/>
        <v>2095</v>
      </c>
      <c r="AG50" s="228">
        <f t="shared" si="12"/>
        <v>121.4</v>
      </c>
      <c r="AH50" s="228">
        <f t="shared" si="13"/>
        <v>2095</v>
      </c>
    </row>
    <row r="51" spans="1:34" s="228" customFormat="1" ht="19.5" customHeight="1" x14ac:dyDescent="0.3">
      <c r="A51" s="232" t="str">
        <f>'쪽쟘(실측)'!A51</f>
        <v>11-1</v>
      </c>
      <c r="B51" s="232" t="str">
        <f>'쪽쟘(실측)'!B51&amp;"F"</f>
        <v>16F</v>
      </c>
      <c r="C51" s="232" t="str">
        <f t="shared" si="5"/>
        <v>962*120.4</v>
      </c>
      <c r="D51" s="232">
        <f>'쪽쟘(실측)'!C51-쪽쟘OP차감</f>
        <v>897</v>
      </c>
      <c r="E51" s="232">
        <f>'쪽쟘(실측)'!D51+쪽쟘J늘림+MAX(W51:X51)</f>
        <v>65</v>
      </c>
      <c r="F51" s="233">
        <f>'쪽쟘(실측)'!E51+쪽쟘J늘림+MAX(W51:X51)</f>
        <v>65</v>
      </c>
      <c r="G51" s="234" t="str">
        <f t="shared" si="6"/>
        <v>2095*120.4</v>
      </c>
      <c r="H51" s="235" t="str">
        <f t="shared" si="7"/>
        <v>2095*120.4</v>
      </c>
      <c r="I51" s="232">
        <f>IF('쪽쟘(실측)'!F51&gt;0,'쪽쟘(실측)'!F51-1.5,0)+뒷날개치수더함</f>
        <v>32.5</v>
      </c>
      <c r="J51" s="232">
        <f>IF('쪽쟘(실측)'!H51&gt;0,'쪽쟘(실측)'!H51-1.5,0)+뒷날개치수더함</f>
        <v>32.5</v>
      </c>
      <c r="K51" s="232">
        <f>IF('쪽쟘(실측)'!F51&gt;0,'쪽쟘(실측)'!F51+0,0)+뒷날개치수더함</f>
        <v>34</v>
      </c>
      <c r="L51" s="232">
        <f>IF('쪽쟘(실측)'!G51&gt;0,'쪽쟘(실측)'!G51+0,0)+뒷날개치수더함</f>
        <v>34</v>
      </c>
      <c r="M51" s="232">
        <f>IF('쪽쟘(실측)'!H51&gt;0,'쪽쟘(실측)'!H51+0,0)+뒷날개치수더함</f>
        <v>34</v>
      </c>
      <c r="N51" s="232">
        <f>IF('쪽쟘(실측)'!I51&gt;0,'쪽쟘(실측)'!I51+0,0)+뒷날개치수더함</f>
        <v>34</v>
      </c>
      <c r="O51" s="232">
        <f>'쪽쟘(실측)'!J51-쪽쟘기둥차감</f>
        <v>2095</v>
      </c>
      <c r="P51" s="232">
        <f>'쪽쟘(실측)'!K51-쪽쟘기둥차감</f>
        <v>2095</v>
      </c>
      <c r="Q51" s="232">
        <f>'쪽쟘(실측)'!L51-쪽쟘기둥차감</f>
        <v>2095</v>
      </c>
      <c r="R51" s="232">
        <f>'쪽쟘(실측)'!M51-쪽쟘기둥차감</f>
        <v>2095</v>
      </c>
      <c r="S51" s="232">
        <f>'쪽쟘(실측)'!N51+뒷날개치수더함</f>
        <v>34</v>
      </c>
      <c r="T51" s="232">
        <f>'쪽쟘(실측)'!O51+뒷날개치수더함</f>
        <v>34</v>
      </c>
      <c r="U51" s="232">
        <f>'쪽쟘(실측)'!P51+뒷날개치수더함</f>
        <v>25</v>
      </c>
      <c r="V51" s="232">
        <f>'쪽쟘(실측)'!Q51+뒷날개치수더함</f>
        <v>25</v>
      </c>
      <c r="W51" s="232">
        <f>'쪽쟘(실측)'!R51-쪽쟘늘치차감</f>
        <v>0</v>
      </c>
      <c r="X51" s="232">
        <f>'쪽쟘(실측)'!S51-쪽쟘늘치차감</f>
        <v>0</v>
      </c>
      <c r="Y51" s="271">
        <f>IF('쪽쟘(실측)'!T51&gt;5,'쪽쟘(실측)'!T51+뒷날개치수더함,0)</f>
        <v>15</v>
      </c>
      <c r="Z51" s="271">
        <f>'쪽쟘(실측)'!U51</f>
        <v>10</v>
      </c>
      <c r="AA51" s="271">
        <f>'쪽쟘(실측)'!V51</f>
        <v>10</v>
      </c>
      <c r="AC51" s="228">
        <f t="shared" si="8"/>
        <v>962</v>
      </c>
      <c r="AD51" s="228">
        <f t="shared" si="9"/>
        <v>120.4</v>
      </c>
      <c r="AE51" s="228">
        <f t="shared" si="10"/>
        <v>120.4</v>
      </c>
      <c r="AF51" s="228">
        <f t="shared" si="11"/>
        <v>2095</v>
      </c>
      <c r="AG51" s="228">
        <f t="shared" si="12"/>
        <v>120.4</v>
      </c>
      <c r="AH51" s="228">
        <f t="shared" si="13"/>
        <v>2095</v>
      </c>
    </row>
    <row r="52" spans="1:34" s="228" customFormat="1" ht="19.5" customHeight="1" x14ac:dyDescent="0.3">
      <c r="A52" s="232" t="str">
        <f>'쪽쟘(실측)'!A52</f>
        <v>11-1</v>
      </c>
      <c r="B52" s="232" t="str">
        <f>'쪽쟘(실측)'!B52&amp;"F"</f>
        <v>15F</v>
      </c>
      <c r="C52" s="232" t="str">
        <f t="shared" si="5"/>
        <v>965*118.4</v>
      </c>
      <c r="D52" s="232">
        <f>'쪽쟘(실측)'!C52-쪽쟘OP차감</f>
        <v>899</v>
      </c>
      <c r="E52" s="232">
        <f>'쪽쟘(실측)'!D52+쪽쟘J늘림+MAX(W52:X52)</f>
        <v>65</v>
      </c>
      <c r="F52" s="233">
        <f>'쪽쟘(실측)'!E52+쪽쟘J늘림+MAX(W52:X52)</f>
        <v>65</v>
      </c>
      <c r="G52" s="234" t="str">
        <f t="shared" si="6"/>
        <v>2095*120.4</v>
      </c>
      <c r="H52" s="235" t="str">
        <f t="shared" si="7"/>
        <v>2095*121.4</v>
      </c>
      <c r="I52" s="232">
        <f>IF('쪽쟘(실측)'!F52&gt;0,'쪽쟘(실측)'!F52-1.5,0)+뒷날개치수더함</f>
        <v>32.5</v>
      </c>
      <c r="J52" s="232">
        <f>IF('쪽쟘(실측)'!H52&gt;0,'쪽쟘(실측)'!H52-1.5,0)+뒷날개치수더함</f>
        <v>33.5</v>
      </c>
      <c r="K52" s="232">
        <f>IF('쪽쟘(실측)'!F52&gt;0,'쪽쟘(실측)'!F52+0,0)+뒷날개치수더함</f>
        <v>34</v>
      </c>
      <c r="L52" s="232">
        <f>IF('쪽쟘(실측)'!G52&gt;0,'쪽쟘(실측)'!G52+0,0)+뒷날개치수더함</f>
        <v>34</v>
      </c>
      <c r="M52" s="232">
        <f>IF('쪽쟘(실측)'!H52&gt;0,'쪽쟘(실측)'!H52+0,0)+뒷날개치수더함</f>
        <v>35</v>
      </c>
      <c r="N52" s="232">
        <f>IF('쪽쟘(실측)'!I52&gt;0,'쪽쟘(실측)'!I52+0,0)+뒷날개치수더함</f>
        <v>30</v>
      </c>
      <c r="O52" s="232">
        <f>'쪽쟘(실측)'!J52-쪽쟘기둥차감</f>
        <v>2095</v>
      </c>
      <c r="P52" s="232">
        <f>'쪽쟘(실측)'!K52-쪽쟘기둥차감</f>
        <v>2095</v>
      </c>
      <c r="Q52" s="232">
        <f>'쪽쟘(실측)'!L52-쪽쟘기둥차감</f>
        <v>2095</v>
      </c>
      <c r="R52" s="232">
        <f>'쪽쟘(실측)'!M52-쪽쟘기둥차감</f>
        <v>2095</v>
      </c>
      <c r="S52" s="232">
        <f>'쪽쟘(실측)'!N52+뒷날개치수더함</f>
        <v>32</v>
      </c>
      <c r="T52" s="232">
        <f>'쪽쟘(실측)'!O52+뒷날개치수더함</f>
        <v>32</v>
      </c>
      <c r="U52" s="232">
        <f>'쪽쟘(실측)'!P52+뒷날개치수더함</f>
        <v>25</v>
      </c>
      <c r="V52" s="232">
        <f>'쪽쟘(실측)'!Q52+뒷날개치수더함</f>
        <v>25</v>
      </c>
      <c r="W52" s="232">
        <f>'쪽쟘(실측)'!R52-쪽쟘늘치차감</f>
        <v>0</v>
      </c>
      <c r="X52" s="232">
        <f>'쪽쟘(실측)'!S52-쪽쟘늘치차감</f>
        <v>0</v>
      </c>
      <c r="Y52" s="271">
        <f>IF('쪽쟘(실측)'!T52&gt;5,'쪽쟘(실측)'!T52+뒷날개치수더함,0)</f>
        <v>15</v>
      </c>
      <c r="Z52" s="271">
        <f>'쪽쟘(실측)'!U52</f>
        <v>10</v>
      </c>
      <c r="AA52" s="271">
        <f>'쪽쟘(실측)'!V52</f>
        <v>10</v>
      </c>
      <c r="AC52" s="228">
        <f t="shared" si="8"/>
        <v>965</v>
      </c>
      <c r="AD52" s="228">
        <f t="shared" si="9"/>
        <v>118.4</v>
      </c>
      <c r="AE52" s="228">
        <f t="shared" si="10"/>
        <v>120.4</v>
      </c>
      <c r="AF52" s="228">
        <f t="shared" si="11"/>
        <v>2095</v>
      </c>
      <c r="AG52" s="228">
        <f t="shared" si="12"/>
        <v>121.4</v>
      </c>
      <c r="AH52" s="228">
        <f t="shared" si="13"/>
        <v>2095</v>
      </c>
    </row>
    <row r="53" spans="1:34" s="228" customFormat="1" ht="19.5" customHeight="1" x14ac:dyDescent="0.3">
      <c r="A53" s="232" t="str">
        <f>'쪽쟘(실측)'!A53</f>
        <v>11-1</v>
      </c>
      <c r="B53" s="232" t="str">
        <f>'쪽쟘(실측)'!B53&amp;"F"</f>
        <v>14F</v>
      </c>
      <c r="C53" s="232" t="str">
        <f t="shared" si="5"/>
        <v>963*121.4</v>
      </c>
      <c r="D53" s="232">
        <f>'쪽쟘(실측)'!C53-쪽쟘OP차감</f>
        <v>900</v>
      </c>
      <c r="E53" s="232">
        <f>'쪽쟘(실측)'!D53+쪽쟘J늘림+MAX(W53:X53)</f>
        <v>65</v>
      </c>
      <c r="F53" s="233">
        <f>'쪽쟘(실측)'!E53+쪽쟘J늘림+MAX(W53:X53)</f>
        <v>65</v>
      </c>
      <c r="G53" s="234" t="str">
        <f t="shared" si="6"/>
        <v>2095*118.4</v>
      </c>
      <c r="H53" s="235" t="str">
        <f t="shared" si="7"/>
        <v>2095*120.4</v>
      </c>
      <c r="I53" s="232">
        <f>IF('쪽쟘(실측)'!F53&gt;0,'쪽쟘(실측)'!F53-1.5,0)+뒷날개치수더함</f>
        <v>30.5</v>
      </c>
      <c r="J53" s="232">
        <f>IF('쪽쟘(실측)'!H53&gt;0,'쪽쟘(실측)'!H53-1.5,0)+뒷날개치수더함</f>
        <v>32.5</v>
      </c>
      <c r="K53" s="232">
        <f>IF('쪽쟘(실측)'!F53&gt;0,'쪽쟘(실측)'!F53+0,0)+뒷날개치수더함</f>
        <v>32</v>
      </c>
      <c r="L53" s="232">
        <f>IF('쪽쟘(실측)'!G53&gt;0,'쪽쟘(실측)'!G53+0,0)+뒷날개치수더함</f>
        <v>32</v>
      </c>
      <c r="M53" s="232">
        <f>IF('쪽쟘(실측)'!H53&gt;0,'쪽쟘(실측)'!H53+0,0)+뒷날개치수더함</f>
        <v>34</v>
      </c>
      <c r="N53" s="232">
        <f>IF('쪽쟘(실측)'!I53&gt;0,'쪽쟘(실측)'!I53+0,0)+뒷날개치수더함</f>
        <v>34</v>
      </c>
      <c r="O53" s="232">
        <f>'쪽쟘(실측)'!J53-쪽쟘기둥차감</f>
        <v>2095</v>
      </c>
      <c r="P53" s="232">
        <f>'쪽쟘(실측)'!K53-쪽쟘기둥차감</f>
        <v>2095</v>
      </c>
      <c r="Q53" s="232">
        <f>'쪽쟘(실측)'!L53-쪽쟘기둥차감</f>
        <v>2095</v>
      </c>
      <c r="R53" s="232">
        <f>'쪽쟘(실측)'!M53-쪽쟘기둥차감</f>
        <v>2095</v>
      </c>
      <c r="S53" s="232">
        <f>'쪽쟘(실측)'!N53+뒷날개치수더함</f>
        <v>35</v>
      </c>
      <c r="T53" s="232">
        <f>'쪽쟘(실측)'!O53+뒷날개치수더함</f>
        <v>35</v>
      </c>
      <c r="U53" s="232">
        <f>'쪽쟘(실측)'!P53+뒷날개치수더함</f>
        <v>25</v>
      </c>
      <c r="V53" s="232">
        <f>'쪽쟘(실측)'!Q53+뒷날개치수더함</f>
        <v>25</v>
      </c>
      <c r="W53" s="232">
        <f>'쪽쟘(실측)'!R53-쪽쟘늘치차감</f>
        <v>0</v>
      </c>
      <c r="X53" s="232">
        <f>'쪽쟘(실측)'!S53-쪽쟘늘치차감</f>
        <v>0</v>
      </c>
      <c r="Y53" s="271">
        <f>IF('쪽쟘(실측)'!T53&gt;5,'쪽쟘(실측)'!T53+뒷날개치수더함,0)</f>
        <v>15</v>
      </c>
      <c r="Z53" s="271">
        <f>'쪽쟘(실측)'!U53</f>
        <v>10</v>
      </c>
      <c r="AA53" s="271">
        <f>'쪽쟘(실측)'!V53</f>
        <v>10</v>
      </c>
      <c r="AC53" s="228">
        <f t="shared" si="8"/>
        <v>963</v>
      </c>
      <c r="AD53" s="228">
        <f t="shared" si="9"/>
        <v>121.4</v>
      </c>
      <c r="AE53" s="228">
        <f t="shared" si="10"/>
        <v>118.4</v>
      </c>
      <c r="AF53" s="228">
        <f t="shared" si="11"/>
        <v>2095</v>
      </c>
      <c r="AG53" s="228">
        <f t="shared" si="12"/>
        <v>120.4</v>
      </c>
      <c r="AH53" s="228">
        <f t="shared" si="13"/>
        <v>2095</v>
      </c>
    </row>
    <row r="54" spans="1:34" s="228" customFormat="1" ht="19.5" customHeight="1" x14ac:dyDescent="0.3">
      <c r="A54" s="232" t="str">
        <f>'쪽쟘(실측)'!A54</f>
        <v>11-1</v>
      </c>
      <c r="B54" s="232" t="str">
        <f>'쪽쟘(실측)'!B54&amp;"F"</f>
        <v>13F</v>
      </c>
      <c r="C54" s="232" t="str">
        <f t="shared" si="5"/>
        <v>963*119.4</v>
      </c>
      <c r="D54" s="232">
        <f>'쪽쟘(실측)'!C54-쪽쟘OP차감</f>
        <v>899</v>
      </c>
      <c r="E54" s="232">
        <f>'쪽쟘(실측)'!D54+쪽쟘J늘림+MAX(W54:X54)</f>
        <v>65</v>
      </c>
      <c r="F54" s="233">
        <f>'쪽쟘(실측)'!E54+쪽쟘J늘림+MAX(W54:X54)</f>
        <v>65</v>
      </c>
      <c r="G54" s="234" t="str">
        <f t="shared" si="6"/>
        <v>2095*118.4</v>
      </c>
      <c r="H54" s="235" t="str">
        <f t="shared" si="7"/>
        <v>2095*121.4</v>
      </c>
      <c r="I54" s="232">
        <f>IF('쪽쟘(실측)'!F54&gt;0,'쪽쟘(실측)'!F54-1.5,0)+뒷날개치수더함</f>
        <v>30.5</v>
      </c>
      <c r="J54" s="232">
        <f>IF('쪽쟘(실측)'!H54&gt;0,'쪽쟘(실측)'!H54-1.5,0)+뒷날개치수더함</f>
        <v>33.5</v>
      </c>
      <c r="K54" s="232">
        <f>IF('쪽쟘(실측)'!F54&gt;0,'쪽쟘(실측)'!F54+0,0)+뒷날개치수더함</f>
        <v>32</v>
      </c>
      <c r="L54" s="232">
        <f>IF('쪽쟘(실측)'!G54&gt;0,'쪽쟘(실측)'!G54+0,0)+뒷날개치수더함</f>
        <v>32</v>
      </c>
      <c r="M54" s="232">
        <f>IF('쪽쟘(실측)'!H54&gt;0,'쪽쟘(실측)'!H54+0,0)+뒷날개치수더함</f>
        <v>35</v>
      </c>
      <c r="N54" s="232">
        <f>IF('쪽쟘(실측)'!I54&gt;0,'쪽쟘(실측)'!I54+0,0)+뒷날개치수더함</f>
        <v>35</v>
      </c>
      <c r="O54" s="232">
        <f>'쪽쟘(실측)'!J54-쪽쟘기둥차감</f>
        <v>2095</v>
      </c>
      <c r="P54" s="232">
        <f>'쪽쟘(실측)'!K54-쪽쟘기둥차감</f>
        <v>2095</v>
      </c>
      <c r="Q54" s="232">
        <f>'쪽쟘(실측)'!L54-쪽쟘기둥차감</f>
        <v>2095</v>
      </c>
      <c r="R54" s="232">
        <f>'쪽쟘(실측)'!M54-쪽쟘기둥차감</f>
        <v>2095</v>
      </c>
      <c r="S54" s="232">
        <f>'쪽쟘(실측)'!N54+뒷날개치수더함</f>
        <v>33</v>
      </c>
      <c r="T54" s="232">
        <f>'쪽쟘(실측)'!O54+뒷날개치수더함</f>
        <v>33</v>
      </c>
      <c r="U54" s="232">
        <f>'쪽쟘(실측)'!P54+뒷날개치수더함</f>
        <v>25</v>
      </c>
      <c r="V54" s="232">
        <f>'쪽쟘(실측)'!Q54+뒷날개치수더함</f>
        <v>25</v>
      </c>
      <c r="W54" s="232">
        <f>'쪽쟘(실측)'!R54-쪽쟘늘치차감</f>
        <v>0</v>
      </c>
      <c r="X54" s="232">
        <f>'쪽쟘(실측)'!S54-쪽쟘늘치차감</f>
        <v>0</v>
      </c>
      <c r="Y54" s="271">
        <f>IF('쪽쟘(실측)'!T54&gt;5,'쪽쟘(실측)'!T54+뒷날개치수더함,0)</f>
        <v>15</v>
      </c>
      <c r="Z54" s="271">
        <f>'쪽쟘(실측)'!U54</f>
        <v>10</v>
      </c>
      <c r="AA54" s="271">
        <f>'쪽쟘(실측)'!V54</f>
        <v>10</v>
      </c>
      <c r="AC54" s="228">
        <f t="shared" si="8"/>
        <v>963</v>
      </c>
      <c r="AD54" s="228">
        <f t="shared" si="9"/>
        <v>119.4</v>
      </c>
      <c r="AE54" s="228">
        <f t="shared" si="10"/>
        <v>118.4</v>
      </c>
      <c r="AF54" s="228">
        <f t="shared" si="11"/>
        <v>2095</v>
      </c>
      <c r="AG54" s="228">
        <f t="shared" si="12"/>
        <v>121.4</v>
      </c>
      <c r="AH54" s="228">
        <f t="shared" si="13"/>
        <v>2095</v>
      </c>
    </row>
    <row r="55" spans="1:34" s="228" customFormat="1" ht="19.5" customHeight="1" x14ac:dyDescent="0.3">
      <c r="A55" s="232" t="str">
        <f>'쪽쟘(실측)'!A55</f>
        <v>11-1</v>
      </c>
      <c r="B55" s="232" t="str">
        <f>'쪽쟘(실측)'!B55&amp;"F"</f>
        <v>12F</v>
      </c>
      <c r="C55" s="232" t="str">
        <f t="shared" si="5"/>
        <v>964*121.4</v>
      </c>
      <c r="D55" s="232">
        <f>'쪽쟘(실측)'!C55-쪽쟘OP차감</f>
        <v>899</v>
      </c>
      <c r="E55" s="232">
        <f>'쪽쟘(실측)'!D55+쪽쟘J늘림+MAX(W55:X55)</f>
        <v>65</v>
      </c>
      <c r="F55" s="233">
        <f>'쪽쟘(실측)'!E55+쪽쟘J늘림+MAX(W55:X55)</f>
        <v>65</v>
      </c>
      <c r="G55" s="234" t="str">
        <f t="shared" si="6"/>
        <v>2095*120.4</v>
      </c>
      <c r="H55" s="235" t="str">
        <f t="shared" si="7"/>
        <v>2095*120.4</v>
      </c>
      <c r="I55" s="232">
        <f>IF('쪽쟘(실측)'!F55&gt;0,'쪽쟘(실측)'!F55-1.5,0)+뒷날개치수더함</f>
        <v>32.5</v>
      </c>
      <c r="J55" s="232">
        <f>IF('쪽쟘(실측)'!H55&gt;0,'쪽쟘(실측)'!H55-1.5,0)+뒷날개치수더함</f>
        <v>32.5</v>
      </c>
      <c r="K55" s="232">
        <f>IF('쪽쟘(실측)'!F55&gt;0,'쪽쟘(실측)'!F55+0,0)+뒷날개치수더함</f>
        <v>34</v>
      </c>
      <c r="L55" s="232">
        <f>IF('쪽쟘(실측)'!G55&gt;0,'쪽쟘(실측)'!G55+0,0)+뒷날개치수더함</f>
        <v>30</v>
      </c>
      <c r="M55" s="232">
        <f>IF('쪽쟘(실측)'!H55&gt;0,'쪽쟘(실측)'!H55+0,0)+뒷날개치수더함</f>
        <v>34</v>
      </c>
      <c r="N55" s="232">
        <f>IF('쪽쟘(실측)'!I55&gt;0,'쪽쟘(실측)'!I55+0,0)+뒷날개치수더함</f>
        <v>34</v>
      </c>
      <c r="O55" s="232">
        <f>'쪽쟘(실측)'!J55-쪽쟘기둥차감</f>
        <v>2095</v>
      </c>
      <c r="P55" s="232">
        <f>'쪽쟘(실측)'!K55-쪽쟘기둥차감</f>
        <v>2095</v>
      </c>
      <c r="Q55" s="232">
        <f>'쪽쟘(실측)'!L55-쪽쟘기둥차감</f>
        <v>2095</v>
      </c>
      <c r="R55" s="232">
        <f>'쪽쟘(실측)'!M55-쪽쟘기둥차감</f>
        <v>2095</v>
      </c>
      <c r="S55" s="232">
        <f>'쪽쟘(실측)'!N55+뒷날개치수더함</f>
        <v>35</v>
      </c>
      <c r="T55" s="232">
        <f>'쪽쟘(실측)'!O55+뒷날개치수더함</f>
        <v>35</v>
      </c>
      <c r="U55" s="232">
        <f>'쪽쟘(실측)'!P55+뒷날개치수더함</f>
        <v>25</v>
      </c>
      <c r="V55" s="232">
        <f>'쪽쟘(실측)'!Q55+뒷날개치수더함</f>
        <v>25</v>
      </c>
      <c r="W55" s="232">
        <f>'쪽쟘(실측)'!R55-쪽쟘늘치차감</f>
        <v>0</v>
      </c>
      <c r="X55" s="232">
        <f>'쪽쟘(실측)'!S55-쪽쟘늘치차감</f>
        <v>0</v>
      </c>
      <c r="Y55" s="271">
        <f>IF('쪽쟘(실측)'!T55&gt;5,'쪽쟘(실측)'!T55+뒷날개치수더함,0)</f>
        <v>15</v>
      </c>
      <c r="Z55" s="271">
        <f>'쪽쟘(실측)'!U55</f>
        <v>10</v>
      </c>
      <c r="AA55" s="271">
        <f>'쪽쟘(실측)'!V55</f>
        <v>10</v>
      </c>
      <c r="AC55" s="228">
        <f t="shared" si="8"/>
        <v>964</v>
      </c>
      <c r="AD55" s="228">
        <f t="shared" si="9"/>
        <v>121.4</v>
      </c>
      <c r="AE55" s="228">
        <f t="shared" si="10"/>
        <v>120.4</v>
      </c>
      <c r="AF55" s="228">
        <f t="shared" si="11"/>
        <v>2095</v>
      </c>
      <c r="AG55" s="228">
        <f t="shared" si="12"/>
        <v>120.4</v>
      </c>
      <c r="AH55" s="228">
        <f t="shared" si="13"/>
        <v>2095</v>
      </c>
    </row>
    <row r="56" spans="1:34" s="228" customFormat="1" ht="19.5" customHeight="1" x14ac:dyDescent="0.3">
      <c r="A56" s="232" t="str">
        <f>'쪽쟘(실측)'!A56</f>
        <v>11-1</v>
      </c>
      <c r="B56" s="232" t="str">
        <f>'쪽쟘(실측)'!B56&amp;"F"</f>
        <v>11F</v>
      </c>
      <c r="C56" s="232" t="str">
        <f t="shared" si="5"/>
        <v>960*123.4</v>
      </c>
      <c r="D56" s="232">
        <f>'쪽쟘(실측)'!C56-쪽쟘OP차감</f>
        <v>899</v>
      </c>
      <c r="E56" s="232">
        <f>'쪽쟘(실측)'!D56+쪽쟘J늘림+MAX(W56:X56)</f>
        <v>65</v>
      </c>
      <c r="F56" s="233">
        <f>'쪽쟘(실측)'!E56+쪽쟘J늘림+MAX(W56:X56)</f>
        <v>65</v>
      </c>
      <c r="G56" s="234" t="str">
        <f t="shared" si="6"/>
        <v>2095*120.4</v>
      </c>
      <c r="H56" s="235" t="str">
        <f t="shared" si="7"/>
        <v>2095*120.4</v>
      </c>
      <c r="I56" s="232">
        <f>IF('쪽쟘(실측)'!F56&gt;0,'쪽쟘(실측)'!F56-1.5,0)+뒷날개치수더함</f>
        <v>28.5</v>
      </c>
      <c r="J56" s="232">
        <f>IF('쪽쟘(실측)'!H56&gt;0,'쪽쟘(실측)'!H56-1.5,0)+뒷날개치수더함</f>
        <v>32.5</v>
      </c>
      <c r="K56" s="232">
        <f>IF('쪽쟘(실측)'!F56&gt;0,'쪽쟘(실측)'!F56+0,0)+뒷날개치수더함</f>
        <v>30</v>
      </c>
      <c r="L56" s="232">
        <f>IF('쪽쟘(실측)'!G56&gt;0,'쪽쟘(실측)'!G56+0,0)+뒷날개치수더함</f>
        <v>34</v>
      </c>
      <c r="M56" s="232">
        <f>IF('쪽쟘(실측)'!H56&gt;0,'쪽쟘(실측)'!H56+0,0)+뒷날개치수더함</f>
        <v>34</v>
      </c>
      <c r="N56" s="232">
        <f>IF('쪽쟘(실측)'!I56&gt;0,'쪽쟘(실측)'!I56+0,0)+뒷날개치수더함</f>
        <v>34</v>
      </c>
      <c r="O56" s="232">
        <f>'쪽쟘(실측)'!J56-쪽쟘기둥차감</f>
        <v>2095</v>
      </c>
      <c r="P56" s="232">
        <f>'쪽쟘(실측)'!K56-쪽쟘기둥차감</f>
        <v>2095</v>
      </c>
      <c r="Q56" s="232">
        <f>'쪽쟘(실측)'!L56-쪽쟘기둥차감</f>
        <v>2095</v>
      </c>
      <c r="R56" s="232">
        <f>'쪽쟘(실측)'!M56-쪽쟘기둥차감</f>
        <v>2095</v>
      </c>
      <c r="S56" s="232">
        <f>'쪽쟘(실측)'!N56+뒷날개치수더함</f>
        <v>37</v>
      </c>
      <c r="T56" s="232">
        <f>'쪽쟘(실측)'!O56+뒷날개치수더함</f>
        <v>33</v>
      </c>
      <c r="U56" s="232">
        <f>'쪽쟘(실측)'!P56+뒷날개치수더함</f>
        <v>25</v>
      </c>
      <c r="V56" s="232">
        <f>'쪽쟘(실측)'!Q56+뒷날개치수더함</f>
        <v>25</v>
      </c>
      <c r="W56" s="232">
        <f>'쪽쟘(실측)'!R56-쪽쟘늘치차감</f>
        <v>0</v>
      </c>
      <c r="X56" s="232">
        <f>'쪽쟘(실측)'!S56-쪽쟘늘치차감</f>
        <v>0</v>
      </c>
      <c r="Y56" s="271">
        <f>IF('쪽쟘(실측)'!T56&gt;5,'쪽쟘(실측)'!T56+뒷날개치수더함,0)</f>
        <v>15</v>
      </c>
      <c r="Z56" s="271">
        <f>'쪽쟘(실측)'!U56</f>
        <v>10</v>
      </c>
      <c r="AA56" s="271">
        <f>'쪽쟘(실측)'!V56</f>
        <v>10</v>
      </c>
      <c r="AC56" s="228">
        <f t="shared" si="8"/>
        <v>960</v>
      </c>
      <c r="AD56" s="228">
        <f t="shared" si="9"/>
        <v>123.4</v>
      </c>
      <c r="AE56" s="228">
        <f t="shared" si="10"/>
        <v>120.4</v>
      </c>
      <c r="AF56" s="228">
        <f t="shared" si="11"/>
        <v>2095</v>
      </c>
      <c r="AG56" s="228">
        <f t="shared" si="12"/>
        <v>120.4</v>
      </c>
      <c r="AH56" s="228">
        <f t="shared" si="13"/>
        <v>2095</v>
      </c>
    </row>
    <row r="57" spans="1:34" s="228" customFormat="1" ht="19.5" customHeight="1" x14ac:dyDescent="0.3">
      <c r="A57" s="232" t="str">
        <f>'쪽쟘(실측)'!A57</f>
        <v>11-1</v>
      </c>
      <c r="B57" s="232" t="str">
        <f>'쪽쟘(실측)'!B57&amp;"F"</f>
        <v>10F</v>
      </c>
      <c r="C57" s="232" t="str">
        <f t="shared" si="5"/>
        <v>964*120.4</v>
      </c>
      <c r="D57" s="232">
        <f>'쪽쟘(실측)'!C57-쪽쟘OP차감</f>
        <v>899</v>
      </c>
      <c r="E57" s="232">
        <f>'쪽쟘(실측)'!D57+쪽쟘J늘림+MAX(W57:X57)</f>
        <v>65</v>
      </c>
      <c r="F57" s="233">
        <f>'쪽쟘(실측)'!E57+쪽쟘J늘림+MAX(W57:X57)</f>
        <v>65</v>
      </c>
      <c r="G57" s="234" t="str">
        <f t="shared" si="6"/>
        <v>2095*119.4</v>
      </c>
      <c r="H57" s="235" t="str">
        <f t="shared" si="7"/>
        <v>2095*121.4</v>
      </c>
      <c r="I57" s="232">
        <f>IF('쪽쟘(실측)'!F57&gt;0,'쪽쟘(실측)'!F57-1.5,0)+뒷날개치수더함</f>
        <v>31.5</v>
      </c>
      <c r="J57" s="232">
        <f>IF('쪽쟘(실측)'!H57&gt;0,'쪽쟘(실측)'!H57-1.5,0)+뒷날개치수더함</f>
        <v>33.5</v>
      </c>
      <c r="K57" s="232">
        <f>IF('쪽쟘(실측)'!F57&gt;0,'쪽쟘(실측)'!F57+0,0)+뒷날개치수더함</f>
        <v>33</v>
      </c>
      <c r="L57" s="232">
        <f>IF('쪽쟘(실측)'!G57&gt;0,'쪽쟘(실측)'!G57+0,0)+뒷날개치수더함</f>
        <v>33</v>
      </c>
      <c r="M57" s="232">
        <f>IF('쪽쟘(실측)'!H57&gt;0,'쪽쟘(실측)'!H57+0,0)+뒷날개치수더함</f>
        <v>35</v>
      </c>
      <c r="N57" s="232">
        <f>IF('쪽쟘(실측)'!I57&gt;0,'쪽쟘(실측)'!I57+0,0)+뒷날개치수더함</f>
        <v>35</v>
      </c>
      <c r="O57" s="232">
        <f>'쪽쟘(실측)'!J57-쪽쟘기둥차감</f>
        <v>2095</v>
      </c>
      <c r="P57" s="232">
        <f>'쪽쟘(실측)'!K57-쪽쟘기둥차감</f>
        <v>2095</v>
      </c>
      <c r="Q57" s="232">
        <f>'쪽쟘(실측)'!L57-쪽쟘기둥차감</f>
        <v>2095</v>
      </c>
      <c r="R57" s="232">
        <f>'쪽쟘(실측)'!M57-쪽쟘기둥차감</f>
        <v>2095</v>
      </c>
      <c r="S57" s="232">
        <f>'쪽쟘(실측)'!N57+뒷날개치수더함</f>
        <v>34</v>
      </c>
      <c r="T57" s="232">
        <f>'쪽쟘(실측)'!O57+뒷날개치수더함</f>
        <v>34</v>
      </c>
      <c r="U57" s="232">
        <f>'쪽쟘(실측)'!P57+뒷날개치수더함</f>
        <v>25</v>
      </c>
      <c r="V57" s="232">
        <f>'쪽쟘(실측)'!Q57+뒷날개치수더함</f>
        <v>25</v>
      </c>
      <c r="W57" s="232">
        <f>'쪽쟘(실측)'!R57-쪽쟘늘치차감</f>
        <v>0</v>
      </c>
      <c r="X57" s="232">
        <f>'쪽쟘(실측)'!S57-쪽쟘늘치차감</f>
        <v>0</v>
      </c>
      <c r="Y57" s="271">
        <f>IF('쪽쟘(실측)'!T57&gt;5,'쪽쟘(실측)'!T57+뒷날개치수더함,0)</f>
        <v>15</v>
      </c>
      <c r="Z57" s="271">
        <f>'쪽쟘(실측)'!U57</f>
        <v>10</v>
      </c>
      <c r="AA57" s="271">
        <f>'쪽쟘(실측)'!V57</f>
        <v>10</v>
      </c>
      <c r="AC57" s="228">
        <f t="shared" si="8"/>
        <v>964</v>
      </c>
      <c r="AD57" s="228">
        <f t="shared" si="9"/>
        <v>120.4</v>
      </c>
      <c r="AE57" s="228">
        <f t="shared" si="10"/>
        <v>119.4</v>
      </c>
      <c r="AF57" s="228">
        <f t="shared" si="11"/>
        <v>2095</v>
      </c>
      <c r="AG57" s="228">
        <f t="shared" si="12"/>
        <v>121.4</v>
      </c>
      <c r="AH57" s="228">
        <f t="shared" si="13"/>
        <v>2095</v>
      </c>
    </row>
    <row r="58" spans="1:34" s="228" customFormat="1" ht="19.5" customHeight="1" x14ac:dyDescent="0.3">
      <c r="A58" s="232" t="str">
        <f>'쪽쟘(실측)'!A58</f>
        <v>11-1</v>
      </c>
      <c r="B58" s="232" t="str">
        <f>'쪽쟘(실측)'!B58&amp;"F"</f>
        <v>9F</v>
      </c>
      <c r="C58" s="232" t="str">
        <f t="shared" si="5"/>
        <v>958*121.4</v>
      </c>
      <c r="D58" s="232">
        <f>'쪽쟘(실측)'!C58-쪽쟘OP차감</f>
        <v>899</v>
      </c>
      <c r="E58" s="232">
        <f>'쪽쟘(실측)'!D58+쪽쟘J늘림+MAX(W58:X58)</f>
        <v>65</v>
      </c>
      <c r="F58" s="233">
        <f>'쪽쟘(실측)'!E58+쪽쟘J늘림+MAX(W58:X58)</f>
        <v>65</v>
      </c>
      <c r="G58" s="234" t="str">
        <f t="shared" si="6"/>
        <v>2095*117.4</v>
      </c>
      <c r="H58" s="235" t="str">
        <f t="shared" si="7"/>
        <v>2095*117.4</v>
      </c>
      <c r="I58" s="232">
        <f>IF('쪽쟘(실측)'!F58&gt;0,'쪽쟘(실측)'!F58-1.5,0)+뒷날개치수더함</f>
        <v>29.5</v>
      </c>
      <c r="J58" s="232">
        <f>IF('쪽쟘(실측)'!H58&gt;0,'쪽쟘(실측)'!H58-1.5,0)+뒷날개치수더함</f>
        <v>29.5</v>
      </c>
      <c r="K58" s="232">
        <f>IF('쪽쟘(실측)'!F58&gt;0,'쪽쟘(실측)'!F58+0,0)+뒷날개치수더함</f>
        <v>31</v>
      </c>
      <c r="L58" s="232">
        <f>IF('쪽쟘(실측)'!G58&gt;0,'쪽쟘(실측)'!G58+0,0)+뒷날개치수더함</f>
        <v>31</v>
      </c>
      <c r="M58" s="232">
        <f>IF('쪽쟘(실측)'!H58&gt;0,'쪽쟘(실측)'!H58+0,0)+뒷날개치수더함</f>
        <v>31</v>
      </c>
      <c r="N58" s="232">
        <f>IF('쪽쟘(실측)'!I58&gt;0,'쪽쟘(실측)'!I58+0,0)+뒷날개치수더함</f>
        <v>31</v>
      </c>
      <c r="O58" s="232">
        <f>'쪽쟘(실측)'!J58-쪽쟘기둥차감</f>
        <v>2095</v>
      </c>
      <c r="P58" s="232">
        <f>'쪽쟘(실측)'!K58-쪽쟘기둥차감</f>
        <v>2095</v>
      </c>
      <c r="Q58" s="232">
        <f>'쪽쟘(실측)'!L58-쪽쟘기둥차감</f>
        <v>2095</v>
      </c>
      <c r="R58" s="232">
        <f>'쪽쟘(실측)'!M58-쪽쟘기둥차감</f>
        <v>2095</v>
      </c>
      <c r="S58" s="232">
        <f>'쪽쟘(실측)'!N58+뒷날개치수더함</f>
        <v>35</v>
      </c>
      <c r="T58" s="232">
        <f>'쪽쟘(실측)'!O58+뒷날개치수더함</f>
        <v>35</v>
      </c>
      <c r="U58" s="232">
        <f>'쪽쟘(실측)'!P58+뒷날개치수더함</f>
        <v>25</v>
      </c>
      <c r="V58" s="232">
        <f>'쪽쟘(실측)'!Q58+뒷날개치수더함</f>
        <v>25</v>
      </c>
      <c r="W58" s="232">
        <f>'쪽쟘(실측)'!R58-쪽쟘늘치차감</f>
        <v>0</v>
      </c>
      <c r="X58" s="232">
        <f>'쪽쟘(실측)'!S58-쪽쟘늘치차감</f>
        <v>0</v>
      </c>
      <c r="Y58" s="271">
        <f>IF('쪽쟘(실측)'!T58&gt;5,'쪽쟘(실측)'!T58+뒷날개치수더함,0)</f>
        <v>15</v>
      </c>
      <c r="Z58" s="271">
        <f>'쪽쟘(실측)'!U58</f>
        <v>10</v>
      </c>
      <c r="AA58" s="271">
        <f>'쪽쟘(실측)'!V58</f>
        <v>10</v>
      </c>
      <c r="AC58" s="228">
        <f t="shared" si="8"/>
        <v>958</v>
      </c>
      <c r="AD58" s="228">
        <f t="shared" si="9"/>
        <v>121.4</v>
      </c>
      <c r="AE58" s="228">
        <f t="shared" si="10"/>
        <v>117.4</v>
      </c>
      <c r="AF58" s="228">
        <f t="shared" si="11"/>
        <v>2095</v>
      </c>
      <c r="AG58" s="228">
        <f t="shared" si="12"/>
        <v>117.4</v>
      </c>
      <c r="AH58" s="228">
        <f t="shared" si="13"/>
        <v>2095</v>
      </c>
    </row>
    <row r="59" spans="1:34" s="228" customFormat="1" ht="19.5" customHeight="1" x14ac:dyDescent="0.3">
      <c r="A59" s="232" t="str">
        <f>'쪽쟘(실측)'!A59</f>
        <v>11-1</v>
      </c>
      <c r="B59" s="232" t="str">
        <f>'쪽쟘(실측)'!B59&amp;"F"</f>
        <v>8F</v>
      </c>
      <c r="C59" s="232" t="str">
        <f t="shared" si="5"/>
        <v>961*118.4</v>
      </c>
      <c r="D59" s="232">
        <f>'쪽쟘(실측)'!C59-쪽쟘OP차감</f>
        <v>898</v>
      </c>
      <c r="E59" s="232">
        <f>'쪽쟘(실측)'!D59+쪽쟘J늘림+MAX(W59:X59)</f>
        <v>65</v>
      </c>
      <c r="F59" s="233">
        <f>'쪽쟘(실측)'!E59+쪽쟘J늘림+MAX(W59:X59)</f>
        <v>65</v>
      </c>
      <c r="G59" s="234" t="str">
        <f t="shared" si="6"/>
        <v>2095*117.4</v>
      </c>
      <c r="H59" s="235" t="str">
        <f t="shared" si="7"/>
        <v>2095*121.4</v>
      </c>
      <c r="I59" s="232">
        <f>IF('쪽쟘(실측)'!F59&gt;0,'쪽쟘(실측)'!F59-1.5,0)+뒷날개치수더함</f>
        <v>29.5</v>
      </c>
      <c r="J59" s="232">
        <f>IF('쪽쟘(실측)'!H59&gt;0,'쪽쟘(실측)'!H59-1.5,0)+뒷날개치수더함</f>
        <v>33.5</v>
      </c>
      <c r="K59" s="232">
        <f>IF('쪽쟘(실측)'!F59&gt;0,'쪽쟘(실측)'!F59+0,0)+뒷날개치수더함</f>
        <v>31</v>
      </c>
      <c r="L59" s="232">
        <f>IF('쪽쟘(실측)'!G59&gt;0,'쪽쟘(실측)'!G59+0,0)+뒷날개치수더함</f>
        <v>31</v>
      </c>
      <c r="M59" s="232">
        <f>IF('쪽쟘(실측)'!H59&gt;0,'쪽쟘(실측)'!H59+0,0)+뒷날개치수더함</f>
        <v>35</v>
      </c>
      <c r="N59" s="232">
        <f>IF('쪽쟘(실측)'!I59&gt;0,'쪽쟘(실측)'!I59+0,0)+뒷날개치수더함</f>
        <v>35</v>
      </c>
      <c r="O59" s="232">
        <f>'쪽쟘(실측)'!J59-쪽쟘기둥차감</f>
        <v>2095</v>
      </c>
      <c r="P59" s="232">
        <f>'쪽쟘(실측)'!K59-쪽쟘기둥차감</f>
        <v>2095</v>
      </c>
      <c r="Q59" s="232">
        <f>'쪽쟘(실측)'!L59-쪽쟘기둥차감</f>
        <v>2095</v>
      </c>
      <c r="R59" s="232">
        <f>'쪽쟘(실측)'!M59-쪽쟘기둥차감</f>
        <v>2095</v>
      </c>
      <c r="S59" s="232">
        <f>'쪽쟘(실측)'!N59+뒷날개치수더함</f>
        <v>32</v>
      </c>
      <c r="T59" s="232">
        <f>'쪽쟘(실측)'!O59+뒷날개치수더함</f>
        <v>32</v>
      </c>
      <c r="U59" s="232">
        <f>'쪽쟘(실측)'!P59+뒷날개치수더함</f>
        <v>25</v>
      </c>
      <c r="V59" s="232">
        <f>'쪽쟘(실측)'!Q59+뒷날개치수더함</f>
        <v>25</v>
      </c>
      <c r="W59" s="232">
        <f>'쪽쟘(실측)'!R59-쪽쟘늘치차감</f>
        <v>0</v>
      </c>
      <c r="X59" s="232">
        <f>'쪽쟘(실측)'!S59-쪽쟘늘치차감</f>
        <v>0</v>
      </c>
      <c r="Y59" s="271">
        <f>IF('쪽쟘(실측)'!T59&gt;5,'쪽쟘(실측)'!T59+뒷날개치수더함,0)</f>
        <v>15</v>
      </c>
      <c r="Z59" s="271">
        <f>'쪽쟘(실측)'!U59</f>
        <v>10</v>
      </c>
      <c r="AA59" s="271">
        <f>'쪽쟘(실측)'!V59</f>
        <v>10</v>
      </c>
      <c r="AC59" s="228">
        <f t="shared" si="8"/>
        <v>961</v>
      </c>
      <c r="AD59" s="228">
        <f t="shared" si="9"/>
        <v>118.4</v>
      </c>
      <c r="AE59" s="228">
        <f t="shared" si="10"/>
        <v>117.4</v>
      </c>
      <c r="AF59" s="228">
        <f t="shared" si="11"/>
        <v>2095</v>
      </c>
      <c r="AG59" s="228">
        <f t="shared" si="12"/>
        <v>121.4</v>
      </c>
      <c r="AH59" s="228">
        <f t="shared" si="13"/>
        <v>2095</v>
      </c>
    </row>
    <row r="60" spans="1:34" s="228" customFormat="1" ht="19.5" customHeight="1" x14ac:dyDescent="0.3">
      <c r="A60" s="232" t="str">
        <f>'쪽쟘(실측)'!A60</f>
        <v>11-1</v>
      </c>
      <c r="B60" s="232" t="str">
        <f>'쪽쟘(실측)'!B60&amp;"F"</f>
        <v>7F</v>
      </c>
      <c r="C60" s="232" t="str">
        <f t="shared" si="5"/>
        <v>960*120.4</v>
      </c>
      <c r="D60" s="232">
        <f>'쪽쟘(실측)'!C60-쪽쟘OP차감</f>
        <v>899</v>
      </c>
      <c r="E60" s="232">
        <f>'쪽쟘(실측)'!D60+쪽쟘J늘림+MAX(W60:X60)</f>
        <v>65</v>
      </c>
      <c r="F60" s="233">
        <f>'쪽쟘(실측)'!E60+쪽쟘J늘림+MAX(W60:X60)</f>
        <v>65</v>
      </c>
      <c r="G60" s="234" t="str">
        <f t="shared" si="6"/>
        <v>2095*117.4</v>
      </c>
      <c r="H60" s="235" t="str">
        <f t="shared" si="7"/>
        <v>2095*119.4</v>
      </c>
      <c r="I60" s="232">
        <f>IF('쪽쟘(실측)'!F60&gt;0,'쪽쟘(실측)'!F60-1.5,0)+뒷날개치수더함</f>
        <v>29.5</v>
      </c>
      <c r="J60" s="232">
        <f>IF('쪽쟘(실측)'!H60&gt;0,'쪽쟘(실측)'!H60-1.5,0)+뒷날개치수더함</f>
        <v>31.5</v>
      </c>
      <c r="K60" s="232">
        <f>IF('쪽쟘(실측)'!F60&gt;0,'쪽쟘(실측)'!F60+0,0)+뒷날개치수더함</f>
        <v>31</v>
      </c>
      <c r="L60" s="232">
        <f>IF('쪽쟘(실측)'!G60&gt;0,'쪽쟘(실측)'!G60+0,0)+뒷날개치수더함</f>
        <v>31</v>
      </c>
      <c r="M60" s="232">
        <f>IF('쪽쟘(실측)'!H60&gt;0,'쪽쟘(실측)'!H60+0,0)+뒷날개치수더함</f>
        <v>33</v>
      </c>
      <c r="N60" s="232">
        <f>IF('쪽쟘(실측)'!I60&gt;0,'쪽쟘(실측)'!I60+0,0)+뒷날개치수더함</f>
        <v>33</v>
      </c>
      <c r="O60" s="232">
        <f>'쪽쟘(실측)'!J60-쪽쟘기둥차감</f>
        <v>2095</v>
      </c>
      <c r="P60" s="232">
        <f>'쪽쟘(실측)'!K60-쪽쟘기둥차감</f>
        <v>2095</v>
      </c>
      <c r="Q60" s="232">
        <f>'쪽쟘(실측)'!L60-쪽쟘기둥차감</f>
        <v>2095</v>
      </c>
      <c r="R60" s="232">
        <f>'쪽쟘(실측)'!M60-쪽쟘기둥차감</f>
        <v>2095</v>
      </c>
      <c r="S60" s="232">
        <f>'쪽쟘(실측)'!N60+뒷날개치수더함</f>
        <v>34</v>
      </c>
      <c r="T60" s="232">
        <f>'쪽쟘(실측)'!O60+뒷날개치수더함</f>
        <v>34</v>
      </c>
      <c r="U60" s="232">
        <f>'쪽쟘(실측)'!P60+뒷날개치수더함</f>
        <v>25</v>
      </c>
      <c r="V60" s="232">
        <f>'쪽쟘(실측)'!Q60+뒷날개치수더함</f>
        <v>25</v>
      </c>
      <c r="W60" s="232">
        <f>'쪽쟘(실측)'!R60-쪽쟘늘치차감</f>
        <v>0</v>
      </c>
      <c r="X60" s="232">
        <f>'쪽쟘(실측)'!S60-쪽쟘늘치차감</f>
        <v>0</v>
      </c>
      <c r="Y60" s="271">
        <f>IF('쪽쟘(실측)'!T60&gt;5,'쪽쟘(실측)'!T60+뒷날개치수더함,0)</f>
        <v>15</v>
      </c>
      <c r="Z60" s="271">
        <f>'쪽쟘(실측)'!U60</f>
        <v>10</v>
      </c>
      <c r="AA60" s="271">
        <f>'쪽쟘(실측)'!V60</f>
        <v>10</v>
      </c>
      <c r="AC60" s="228">
        <f t="shared" si="8"/>
        <v>960</v>
      </c>
      <c r="AD60" s="228">
        <f t="shared" si="9"/>
        <v>120.4</v>
      </c>
      <c r="AE60" s="228">
        <f t="shared" si="10"/>
        <v>117.4</v>
      </c>
      <c r="AF60" s="228">
        <f t="shared" si="11"/>
        <v>2095</v>
      </c>
      <c r="AG60" s="228">
        <f t="shared" si="12"/>
        <v>119.4</v>
      </c>
      <c r="AH60" s="228">
        <f t="shared" si="13"/>
        <v>2095</v>
      </c>
    </row>
    <row r="61" spans="1:34" s="228" customFormat="1" ht="19.5" customHeight="1" x14ac:dyDescent="0.3">
      <c r="A61" s="232" t="str">
        <f>'쪽쟘(실측)'!A61</f>
        <v>11-1</v>
      </c>
      <c r="B61" s="232" t="str">
        <f>'쪽쟘(실측)'!B61&amp;"F"</f>
        <v>6F</v>
      </c>
      <c r="C61" s="232" t="str">
        <f t="shared" si="5"/>
        <v>958*121.4</v>
      </c>
      <c r="D61" s="232">
        <f>'쪽쟘(실측)'!C61-쪽쟘OP차감</f>
        <v>900</v>
      </c>
      <c r="E61" s="232">
        <f>'쪽쟘(실측)'!D61+쪽쟘J늘림+MAX(W61:X61)</f>
        <v>65</v>
      </c>
      <c r="F61" s="233">
        <f>'쪽쟘(실측)'!E61+쪽쟘J늘림+MAX(W61:X61)</f>
        <v>65</v>
      </c>
      <c r="G61" s="234" t="str">
        <f t="shared" si="6"/>
        <v>2095*116.4</v>
      </c>
      <c r="H61" s="235" t="str">
        <f t="shared" si="7"/>
        <v>2095*117.4</v>
      </c>
      <c r="I61" s="232">
        <f>IF('쪽쟘(실측)'!F61&gt;0,'쪽쟘(실측)'!F61-1.5,0)+뒷날개치수더함</f>
        <v>28.5</v>
      </c>
      <c r="J61" s="232">
        <f>IF('쪽쟘(실측)'!H61&gt;0,'쪽쟘(실측)'!H61-1.5,0)+뒷날개치수더함</f>
        <v>29.5</v>
      </c>
      <c r="K61" s="232">
        <f>IF('쪽쟘(실측)'!F61&gt;0,'쪽쟘(실측)'!F61+0,0)+뒷날개치수더함</f>
        <v>30</v>
      </c>
      <c r="L61" s="232">
        <f>IF('쪽쟘(실측)'!G61&gt;0,'쪽쟘(실측)'!G61+0,0)+뒷날개치수더함</f>
        <v>30</v>
      </c>
      <c r="M61" s="232">
        <f>IF('쪽쟘(실측)'!H61&gt;0,'쪽쟘(실측)'!H61+0,0)+뒷날개치수더함</f>
        <v>31</v>
      </c>
      <c r="N61" s="232">
        <f>IF('쪽쟘(실측)'!I61&gt;0,'쪽쟘(실측)'!I61+0,0)+뒷날개치수더함</f>
        <v>31</v>
      </c>
      <c r="O61" s="232">
        <f>'쪽쟘(실측)'!J61-쪽쟘기둥차감</f>
        <v>2095</v>
      </c>
      <c r="P61" s="232">
        <f>'쪽쟘(실측)'!K61-쪽쟘기둥차감</f>
        <v>2095</v>
      </c>
      <c r="Q61" s="232">
        <f>'쪽쟘(실측)'!L61-쪽쟘기둥차감</f>
        <v>2095</v>
      </c>
      <c r="R61" s="232">
        <f>'쪽쟘(실측)'!M61-쪽쟘기둥차감</f>
        <v>2095</v>
      </c>
      <c r="S61" s="232">
        <f>'쪽쟘(실측)'!N61+뒷날개치수더함</f>
        <v>35</v>
      </c>
      <c r="T61" s="232">
        <f>'쪽쟘(실측)'!O61+뒷날개치수더함</f>
        <v>35</v>
      </c>
      <c r="U61" s="232">
        <f>'쪽쟘(실측)'!P61+뒷날개치수더함</f>
        <v>25</v>
      </c>
      <c r="V61" s="232">
        <f>'쪽쟘(실측)'!Q61+뒷날개치수더함</f>
        <v>25</v>
      </c>
      <c r="W61" s="232">
        <f>'쪽쟘(실측)'!R61-쪽쟘늘치차감</f>
        <v>0</v>
      </c>
      <c r="X61" s="232">
        <f>'쪽쟘(실측)'!S61-쪽쟘늘치차감</f>
        <v>0</v>
      </c>
      <c r="Y61" s="271">
        <f>IF('쪽쟘(실측)'!T61&gt;5,'쪽쟘(실측)'!T61+뒷날개치수더함,0)</f>
        <v>15</v>
      </c>
      <c r="Z61" s="271">
        <f>'쪽쟘(실측)'!U61</f>
        <v>10</v>
      </c>
      <c r="AA61" s="271">
        <f>'쪽쟘(실측)'!V61</f>
        <v>10</v>
      </c>
      <c r="AC61" s="228">
        <f t="shared" si="8"/>
        <v>958</v>
      </c>
      <c r="AD61" s="228">
        <f t="shared" si="9"/>
        <v>121.4</v>
      </c>
      <c r="AE61" s="228">
        <f t="shared" si="10"/>
        <v>116.4</v>
      </c>
      <c r="AF61" s="228">
        <f t="shared" si="11"/>
        <v>2095</v>
      </c>
      <c r="AG61" s="228">
        <f t="shared" si="12"/>
        <v>117.4</v>
      </c>
      <c r="AH61" s="228">
        <f t="shared" si="13"/>
        <v>2095</v>
      </c>
    </row>
    <row r="62" spans="1:34" s="228" customFormat="1" ht="19.5" customHeight="1" x14ac:dyDescent="0.3">
      <c r="A62" s="232" t="str">
        <f>'쪽쟘(실측)'!A62</f>
        <v>11-1</v>
      </c>
      <c r="B62" s="232" t="str">
        <f>'쪽쟘(실측)'!B62&amp;"F"</f>
        <v>5F</v>
      </c>
      <c r="C62" s="232" t="str">
        <f t="shared" si="5"/>
        <v>961*120.4</v>
      </c>
      <c r="D62" s="232">
        <f>'쪽쟘(실측)'!C62-쪽쟘OP차감</f>
        <v>899</v>
      </c>
      <c r="E62" s="232">
        <f>'쪽쟘(실측)'!D62+쪽쟘J늘림+MAX(W62:X62)</f>
        <v>65</v>
      </c>
      <c r="F62" s="233">
        <f>'쪽쟘(실측)'!E62+쪽쟘J늘림+MAX(W62:X62)</f>
        <v>65</v>
      </c>
      <c r="G62" s="234" t="str">
        <f t="shared" si="6"/>
        <v>2095*117.4</v>
      </c>
      <c r="H62" s="235" t="str">
        <f t="shared" si="7"/>
        <v>2095*120.4</v>
      </c>
      <c r="I62" s="232">
        <f>IF('쪽쟘(실측)'!F62&gt;0,'쪽쟘(실측)'!F62-1.5,0)+뒷날개치수더함</f>
        <v>29.5</v>
      </c>
      <c r="J62" s="232">
        <f>IF('쪽쟘(실측)'!H62&gt;0,'쪽쟘(실측)'!H62-1.5,0)+뒷날개치수더함</f>
        <v>32.5</v>
      </c>
      <c r="K62" s="232">
        <f>IF('쪽쟘(실측)'!F62&gt;0,'쪽쟘(실측)'!F62+0,0)+뒷날개치수더함</f>
        <v>31</v>
      </c>
      <c r="L62" s="232">
        <f>IF('쪽쟘(실측)'!G62&gt;0,'쪽쟘(실측)'!G62+0,0)+뒷날개치수더함</f>
        <v>31</v>
      </c>
      <c r="M62" s="232">
        <f>IF('쪽쟘(실측)'!H62&gt;0,'쪽쟘(실측)'!H62+0,0)+뒷날개치수더함</f>
        <v>34</v>
      </c>
      <c r="N62" s="232">
        <f>IF('쪽쟘(실측)'!I62&gt;0,'쪽쟘(실측)'!I62+0,0)+뒷날개치수더함</f>
        <v>34</v>
      </c>
      <c r="O62" s="232">
        <f>'쪽쟘(실측)'!J62-쪽쟘기둥차감</f>
        <v>2095</v>
      </c>
      <c r="P62" s="232">
        <f>'쪽쟘(실측)'!K62-쪽쟘기둥차감</f>
        <v>2095</v>
      </c>
      <c r="Q62" s="232">
        <f>'쪽쟘(실측)'!L62-쪽쟘기둥차감</f>
        <v>2095</v>
      </c>
      <c r="R62" s="232">
        <f>'쪽쟘(실측)'!M62-쪽쟘기둥차감</f>
        <v>2095</v>
      </c>
      <c r="S62" s="232">
        <f>'쪽쟘(실측)'!N62+뒷날개치수더함</f>
        <v>34</v>
      </c>
      <c r="T62" s="232">
        <f>'쪽쟘(실측)'!O62+뒷날개치수더함</f>
        <v>34</v>
      </c>
      <c r="U62" s="232">
        <f>'쪽쟘(실측)'!P62+뒷날개치수더함</f>
        <v>25</v>
      </c>
      <c r="V62" s="232">
        <f>'쪽쟘(실측)'!Q62+뒷날개치수더함</f>
        <v>25</v>
      </c>
      <c r="W62" s="232">
        <f>'쪽쟘(실측)'!R62-쪽쟘늘치차감</f>
        <v>0</v>
      </c>
      <c r="X62" s="232">
        <f>'쪽쟘(실측)'!S62-쪽쟘늘치차감</f>
        <v>0</v>
      </c>
      <c r="Y62" s="271">
        <f>IF('쪽쟘(실측)'!T62&gt;5,'쪽쟘(실측)'!T62+뒷날개치수더함,0)</f>
        <v>15</v>
      </c>
      <c r="Z62" s="271">
        <f>'쪽쟘(실측)'!U62</f>
        <v>10</v>
      </c>
      <c r="AA62" s="271">
        <f>'쪽쟘(실측)'!V62</f>
        <v>10</v>
      </c>
      <c r="AC62" s="228">
        <f t="shared" si="8"/>
        <v>961</v>
      </c>
      <c r="AD62" s="228">
        <f t="shared" si="9"/>
        <v>120.4</v>
      </c>
      <c r="AE62" s="228">
        <f t="shared" si="10"/>
        <v>117.4</v>
      </c>
      <c r="AF62" s="228">
        <f t="shared" si="11"/>
        <v>2095</v>
      </c>
      <c r="AG62" s="228">
        <f t="shared" si="12"/>
        <v>120.4</v>
      </c>
      <c r="AH62" s="228">
        <f t="shared" si="13"/>
        <v>2095</v>
      </c>
    </row>
    <row r="63" spans="1:34" s="228" customFormat="1" ht="19.5" customHeight="1" x14ac:dyDescent="0.3">
      <c r="A63" s="232" t="str">
        <f>'쪽쟘(실측)'!A63</f>
        <v>11-1</v>
      </c>
      <c r="B63" s="232" t="str">
        <f>'쪽쟘(실측)'!B63&amp;"F"</f>
        <v>4F</v>
      </c>
      <c r="C63" s="232" t="str">
        <f t="shared" si="5"/>
        <v>960*120.4</v>
      </c>
      <c r="D63" s="232">
        <f>'쪽쟘(실측)'!C63-쪽쟘OP차감</f>
        <v>900</v>
      </c>
      <c r="E63" s="232">
        <f>'쪽쟘(실측)'!D63+쪽쟘J늘림+MAX(W63:X63)</f>
        <v>65</v>
      </c>
      <c r="F63" s="233">
        <f>'쪽쟘(실측)'!E63+쪽쟘J늘림+MAX(W63:X63)</f>
        <v>65</v>
      </c>
      <c r="G63" s="234" t="str">
        <f t="shared" si="6"/>
        <v>2095*117.4</v>
      </c>
      <c r="H63" s="235" t="str">
        <f t="shared" si="7"/>
        <v>2095*118.4</v>
      </c>
      <c r="I63" s="232">
        <f>IF('쪽쟘(실측)'!F63&gt;0,'쪽쟘(실측)'!F63-1.5,0)+뒷날개치수더함</f>
        <v>29.5</v>
      </c>
      <c r="J63" s="232">
        <f>IF('쪽쟘(실측)'!H63&gt;0,'쪽쟘(실측)'!H63-1.5,0)+뒷날개치수더함</f>
        <v>30.5</v>
      </c>
      <c r="K63" s="232">
        <f>IF('쪽쟘(실측)'!F63&gt;0,'쪽쟘(실측)'!F63+0,0)+뒷날개치수더함</f>
        <v>31</v>
      </c>
      <c r="L63" s="232">
        <f>IF('쪽쟘(실측)'!G63&gt;0,'쪽쟘(실측)'!G63+0,0)+뒷날개치수더함</f>
        <v>31</v>
      </c>
      <c r="M63" s="232">
        <f>IF('쪽쟘(실측)'!H63&gt;0,'쪽쟘(실측)'!H63+0,0)+뒷날개치수더함</f>
        <v>32</v>
      </c>
      <c r="N63" s="232">
        <f>IF('쪽쟘(실측)'!I63&gt;0,'쪽쟘(실측)'!I63+0,0)+뒷날개치수더함</f>
        <v>32</v>
      </c>
      <c r="O63" s="232">
        <f>'쪽쟘(실측)'!J63-쪽쟘기둥차감</f>
        <v>2095</v>
      </c>
      <c r="P63" s="232">
        <f>'쪽쟘(실측)'!K63-쪽쟘기둥차감</f>
        <v>2095</v>
      </c>
      <c r="Q63" s="232">
        <f>'쪽쟘(실측)'!L63-쪽쟘기둥차감</f>
        <v>2095</v>
      </c>
      <c r="R63" s="232">
        <f>'쪽쟘(실측)'!M63-쪽쟘기둥차감</f>
        <v>2095</v>
      </c>
      <c r="S63" s="232">
        <f>'쪽쟘(실측)'!N63+뒷날개치수더함</f>
        <v>34</v>
      </c>
      <c r="T63" s="232">
        <f>'쪽쟘(실측)'!O63+뒷날개치수더함</f>
        <v>34</v>
      </c>
      <c r="U63" s="232">
        <f>'쪽쟘(실측)'!P63+뒷날개치수더함</f>
        <v>25</v>
      </c>
      <c r="V63" s="232">
        <f>'쪽쟘(실측)'!Q63+뒷날개치수더함</f>
        <v>25</v>
      </c>
      <c r="W63" s="232">
        <f>'쪽쟘(실측)'!R63-쪽쟘늘치차감</f>
        <v>0</v>
      </c>
      <c r="X63" s="232">
        <f>'쪽쟘(실측)'!S63-쪽쟘늘치차감</f>
        <v>0</v>
      </c>
      <c r="Y63" s="271">
        <f>IF('쪽쟘(실측)'!T63&gt;5,'쪽쟘(실측)'!T63+뒷날개치수더함,0)</f>
        <v>15</v>
      </c>
      <c r="Z63" s="271">
        <f>'쪽쟘(실측)'!U63</f>
        <v>10</v>
      </c>
      <c r="AA63" s="271">
        <f>'쪽쟘(실측)'!V63</f>
        <v>10</v>
      </c>
      <c r="AC63" s="228">
        <f t="shared" si="8"/>
        <v>960</v>
      </c>
      <c r="AD63" s="228">
        <f t="shared" si="9"/>
        <v>120.4</v>
      </c>
      <c r="AE63" s="228">
        <f t="shared" si="10"/>
        <v>117.4</v>
      </c>
      <c r="AF63" s="228">
        <f t="shared" si="11"/>
        <v>2095</v>
      </c>
      <c r="AG63" s="228">
        <f t="shared" si="12"/>
        <v>118.4</v>
      </c>
      <c r="AH63" s="228">
        <f t="shared" si="13"/>
        <v>2095</v>
      </c>
    </row>
    <row r="64" spans="1:34" s="228" customFormat="1" ht="19.5" customHeight="1" x14ac:dyDescent="0.3">
      <c r="A64" s="232" t="str">
        <f>'쪽쟘(실측)'!A64</f>
        <v>11-1</v>
      </c>
      <c r="B64" s="232" t="str">
        <f>'쪽쟘(실측)'!B64&amp;"F"</f>
        <v>3F</v>
      </c>
      <c r="C64" s="232" t="str">
        <f t="shared" si="5"/>
        <v>958*119.4</v>
      </c>
      <c r="D64" s="232">
        <f>'쪽쟘(실측)'!C64-쪽쟘OP차감</f>
        <v>899</v>
      </c>
      <c r="E64" s="232">
        <f>'쪽쟘(실측)'!D64+쪽쟘J늘림+MAX(W64:X64)</f>
        <v>65</v>
      </c>
      <c r="F64" s="233">
        <f>'쪽쟘(실측)'!E64+쪽쟘J늘림+MAX(W64:X64)</f>
        <v>65</v>
      </c>
      <c r="G64" s="234" t="str">
        <f t="shared" si="6"/>
        <v>2095*117.4</v>
      </c>
      <c r="H64" s="235" t="str">
        <f t="shared" si="7"/>
        <v>2095*117.4</v>
      </c>
      <c r="I64" s="232">
        <f>IF('쪽쟘(실측)'!F64&gt;0,'쪽쟘(실측)'!F64-1.5,0)+뒷날개치수더함</f>
        <v>29.5</v>
      </c>
      <c r="J64" s="232">
        <f>IF('쪽쟘(실측)'!H64&gt;0,'쪽쟘(실측)'!H64-1.5,0)+뒷날개치수더함</f>
        <v>29.5</v>
      </c>
      <c r="K64" s="232">
        <f>IF('쪽쟘(실측)'!F64&gt;0,'쪽쟘(실측)'!F64+0,0)+뒷날개치수더함</f>
        <v>31</v>
      </c>
      <c r="L64" s="232">
        <f>IF('쪽쟘(실측)'!G64&gt;0,'쪽쟘(실측)'!G64+0,0)+뒷날개치수더함</f>
        <v>31</v>
      </c>
      <c r="M64" s="232">
        <f>IF('쪽쟘(실측)'!H64&gt;0,'쪽쟘(실측)'!H64+0,0)+뒷날개치수더함</f>
        <v>31</v>
      </c>
      <c r="N64" s="232">
        <f>IF('쪽쟘(실측)'!I64&gt;0,'쪽쟘(실측)'!I64+0,0)+뒷날개치수더함</f>
        <v>31</v>
      </c>
      <c r="O64" s="232">
        <f>'쪽쟘(실측)'!J64-쪽쟘기둥차감</f>
        <v>2095</v>
      </c>
      <c r="P64" s="232">
        <f>'쪽쟘(실측)'!K64-쪽쟘기둥차감</f>
        <v>2095</v>
      </c>
      <c r="Q64" s="232">
        <f>'쪽쟘(실측)'!L64-쪽쟘기둥차감</f>
        <v>2095</v>
      </c>
      <c r="R64" s="232">
        <f>'쪽쟘(실측)'!M64-쪽쟘기둥차감</f>
        <v>2095</v>
      </c>
      <c r="S64" s="232">
        <f>'쪽쟘(실측)'!N64+뒷날개치수더함</f>
        <v>33</v>
      </c>
      <c r="T64" s="232">
        <f>'쪽쟘(실측)'!O64+뒷날개치수더함</f>
        <v>33</v>
      </c>
      <c r="U64" s="232">
        <f>'쪽쟘(실측)'!P64+뒷날개치수더함</f>
        <v>25</v>
      </c>
      <c r="V64" s="232">
        <f>'쪽쟘(실측)'!Q64+뒷날개치수더함</f>
        <v>25</v>
      </c>
      <c r="W64" s="232">
        <f>'쪽쟘(실측)'!R64-쪽쟘늘치차감</f>
        <v>0</v>
      </c>
      <c r="X64" s="232">
        <f>'쪽쟘(실측)'!S64-쪽쟘늘치차감</f>
        <v>0</v>
      </c>
      <c r="Y64" s="271">
        <f>IF('쪽쟘(실측)'!T64&gt;5,'쪽쟘(실측)'!T64+뒷날개치수더함,0)</f>
        <v>15</v>
      </c>
      <c r="Z64" s="271">
        <f>'쪽쟘(실측)'!U64</f>
        <v>10</v>
      </c>
      <c r="AA64" s="271">
        <f>'쪽쟘(실측)'!V64</f>
        <v>10</v>
      </c>
      <c r="AC64" s="228">
        <f t="shared" si="8"/>
        <v>958</v>
      </c>
      <c r="AD64" s="228">
        <f t="shared" si="9"/>
        <v>119.4</v>
      </c>
      <c r="AE64" s="228">
        <f t="shared" si="10"/>
        <v>117.4</v>
      </c>
      <c r="AF64" s="228">
        <f t="shared" si="11"/>
        <v>2095</v>
      </c>
      <c r="AG64" s="228">
        <f t="shared" si="12"/>
        <v>117.4</v>
      </c>
      <c r="AH64" s="228">
        <f t="shared" si="13"/>
        <v>2095</v>
      </c>
    </row>
    <row r="65" spans="1:34" s="228" customFormat="1" ht="19.5" customHeight="1" x14ac:dyDescent="0.3">
      <c r="A65" s="232" t="str">
        <f>'쪽쟘(실측)'!A65</f>
        <v>11-1</v>
      </c>
      <c r="B65" s="232" t="str">
        <f>'쪽쟘(실측)'!B65&amp;"F"</f>
        <v>2F</v>
      </c>
      <c r="C65" s="232" t="str">
        <f t="shared" si="5"/>
        <v>955*118.4</v>
      </c>
      <c r="D65" s="232">
        <f>'쪽쟘(실측)'!C65-쪽쟘OP차감</f>
        <v>899</v>
      </c>
      <c r="E65" s="232">
        <f>'쪽쟘(실측)'!D65+쪽쟘J늘림+MAX(W65:X65)</f>
        <v>65</v>
      </c>
      <c r="F65" s="233">
        <f>'쪽쟘(실측)'!E65+쪽쟘J늘림+MAX(W65:X65)</f>
        <v>65</v>
      </c>
      <c r="G65" s="234" t="str">
        <f t="shared" si="6"/>
        <v>2095*114.4</v>
      </c>
      <c r="H65" s="235" t="str">
        <f t="shared" si="7"/>
        <v>2095*117.4</v>
      </c>
      <c r="I65" s="232">
        <f>IF('쪽쟘(실측)'!F65&gt;0,'쪽쟘(실측)'!F65-1.5,0)+뒷날개치수더함</f>
        <v>26.5</v>
      </c>
      <c r="J65" s="232">
        <f>IF('쪽쟘(실측)'!H65&gt;0,'쪽쟘(실측)'!H65-1.5,0)+뒷날개치수더함</f>
        <v>29.5</v>
      </c>
      <c r="K65" s="232">
        <f>IF('쪽쟘(실측)'!F65&gt;0,'쪽쟘(실측)'!F65+0,0)+뒷날개치수더함</f>
        <v>28</v>
      </c>
      <c r="L65" s="232">
        <f>IF('쪽쟘(실측)'!G65&gt;0,'쪽쟘(실측)'!G65+0,0)+뒷날개치수더함</f>
        <v>28</v>
      </c>
      <c r="M65" s="232">
        <f>IF('쪽쟘(실측)'!H65&gt;0,'쪽쟘(실측)'!H65+0,0)+뒷날개치수더함</f>
        <v>31</v>
      </c>
      <c r="N65" s="232">
        <f>IF('쪽쟘(실측)'!I65&gt;0,'쪽쟘(실측)'!I65+0,0)+뒷날개치수더함</f>
        <v>31</v>
      </c>
      <c r="O65" s="232">
        <f>'쪽쟘(실측)'!J65-쪽쟘기둥차감</f>
        <v>2095</v>
      </c>
      <c r="P65" s="232">
        <f>'쪽쟘(실측)'!K65-쪽쟘기둥차감</f>
        <v>2095</v>
      </c>
      <c r="Q65" s="232">
        <f>'쪽쟘(실측)'!L65-쪽쟘기둥차감</f>
        <v>2095</v>
      </c>
      <c r="R65" s="232">
        <f>'쪽쟘(실측)'!M65-쪽쟘기둥차감</f>
        <v>2095</v>
      </c>
      <c r="S65" s="232">
        <f>'쪽쟘(실측)'!N65+뒷날개치수더함</f>
        <v>32</v>
      </c>
      <c r="T65" s="232">
        <f>'쪽쟘(실측)'!O65+뒷날개치수더함</f>
        <v>32</v>
      </c>
      <c r="U65" s="232">
        <f>'쪽쟘(실측)'!P65+뒷날개치수더함</f>
        <v>25</v>
      </c>
      <c r="V65" s="232">
        <f>'쪽쟘(실측)'!Q65+뒷날개치수더함</f>
        <v>25</v>
      </c>
      <c r="W65" s="232">
        <f>'쪽쟘(실측)'!R65-쪽쟘늘치차감</f>
        <v>0</v>
      </c>
      <c r="X65" s="232">
        <f>'쪽쟘(실측)'!S65-쪽쟘늘치차감</f>
        <v>0</v>
      </c>
      <c r="Y65" s="271">
        <f>IF('쪽쟘(실측)'!T65&gt;5,'쪽쟘(실측)'!T65+뒷날개치수더함,0)</f>
        <v>15</v>
      </c>
      <c r="Z65" s="271">
        <f>'쪽쟘(실측)'!U65</f>
        <v>10</v>
      </c>
      <c r="AA65" s="271">
        <f>'쪽쟘(실측)'!V65</f>
        <v>10</v>
      </c>
      <c r="AC65" s="228">
        <f t="shared" si="8"/>
        <v>955</v>
      </c>
      <c r="AD65" s="228">
        <f t="shared" si="9"/>
        <v>118.4</v>
      </c>
      <c r="AE65" s="228">
        <f t="shared" si="10"/>
        <v>114.4</v>
      </c>
      <c r="AF65" s="228">
        <f t="shared" si="11"/>
        <v>2095</v>
      </c>
      <c r="AG65" s="228">
        <f t="shared" si="12"/>
        <v>117.4</v>
      </c>
      <c r="AH65" s="228">
        <f t="shared" si="13"/>
        <v>2095</v>
      </c>
    </row>
    <row r="66" spans="1:34" s="228" customFormat="1" ht="19.5" customHeight="1" x14ac:dyDescent="0.3">
      <c r="A66" s="232" t="str">
        <f>'쪽쟘(실측)'!A66</f>
        <v>11-1</v>
      </c>
      <c r="B66" s="232" t="str">
        <f>'쪽쟘(실측)'!B66&amp;"F"</f>
        <v>B1F</v>
      </c>
      <c r="C66" s="232" t="str">
        <f t="shared" si="5"/>
        <v>940*126.4</v>
      </c>
      <c r="D66" s="232">
        <f>'쪽쟘(실측)'!C66-쪽쟘OP차감</f>
        <v>893</v>
      </c>
      <c r="E66" s="232">
        <f>'쪽쟘(실측)'!D66+쪽쟘J늘림+MAX(W66:X66)</f>
        <v>70</v>
      </c>
      <c r="F66" s="233">
        <f>'쪽쟘(실측)'!E66+쪽쟘J늘림+MAX(W66:X66)</f>
        <v>70</v>
      </c>
      <c r="G66" s="234" t="str">
        <f t="shared" si="6"/>
        <v>2093*116.4</v>
      </c>
      <c r="H66" s="235" t="str">
        <f t="shared" si="7"/>
        <v>2093*116.4</v>
      </c>
      <c r="I66" s="232">
        <f>IF('쪽쟘(실측)'!F66&gt;0,'쪽쟘(실측)'!F66-1.5,0)+뒷날개치수더함</f>
        <v>23.5</v>
      </c>
      <c r="J66" s="232">
        <f>IF('쪽쟘(실측)'!H66&gt;0,'쪽쟘(실측)'!H66-1.5,0)+뒷날개치수더함</f>
        <v>23.5</v>
      </c>
      <c r="K66" s="282">
        <f>IF('쪽쟘(실측)'!F66&gt;0,'쪽쟘(실측)'!F66+0,0)+뒷날개치수더함</f>
        <v>25</v>
      </c>
      <c r="L66" s="282">
        <f>IF('쪽쟘(실측)'!G66&gt;0,'쪽쟘(실측)'!G66+0,0)+뒷날개치수더함</f>
        <v>25</v>
      </c>
      <c r="M66" s="282">
        <f>IF('쪽쟘(실측)'!H66&gt;0,'쪽쟘(실측)'!H66+0,0)+뒷날개치수더함</f>
        <v>25</v>
      </c>
      <c r="N66" s="282">
        <f>IF('쪽쟘(실측)'!I66&gt;0,'쪽쟘(실측)'!I66+0,0)+뒷날개치수더함</f>
        <v>25</v>
      </c>
      <c r="O66" s="232">
        <f>'쪽쟘(실측)'!J66-쪽쟘기둥차감</f>
        <v>2093</v>
      </c>
      <c r="P66" s="232">
        <f>'쪽쟘(실측)'!K66-쪽쟘기둥차감</f>
        <v>2093</v>
      </c>
      <c r="Q66" s="232">
        <f>'쪽쟘(실측)'!L66-쪽쟘기둥차감</f>
        <v>2093</v>
      </c>
      <c r="R66" s="232">
        <f>'쪽쟘(실측)'!M66-쪽쟘기둥차감</f>
        <v>2093</v>
      </c>
      <c r="S66" s="232">
        <f>'쪽쟘(실측)'!N66+뒷날개치수더함</f>
        <v>35</v>
      </c>
      <c r="T66" s="232">
        <f>'쪽쟘(실측)'!O66+뒷날개치수더함</f>
        <v>35</v>
      </c>
      <c r="U66" s="232">
        <f>'쪽쟘(실측)'!P66+뒷날개치수더함</f>
        <v>25</v>
      </c>
      <c r="V66" s="232">
        <f>'쪽쟘(실측)'!Q66+뒷날개치수더함</f>
        <v>25</v>
      </c>
      <c r="W66" s="232">
        <f>'쪽쟘(실측)'!R66-쪽쟘늘치차감</f>
        <v>0</v>
      </c>
      <c r="X66" s="232">
        <f>'쪽쟘(실측)'!S66-쪽쟘늘치차감</f>
        <v>0</v>
      </c>
      <c r="Y66" s="271">
        <f>IF('쪽쟘(실측)'!T66&gt;5,'쪽쟘(실측)'!T66+뒷날개치수더함,0)</f>
        <v>15</v>
      </c>
      <c r="Z66" s="271">
        <f>'쪽쟘(실측)'!U66</f>
        <v>10</v>
      </c>
      <c r="AA66" s="271">
        <f>'쪽쟘(실측)'!V66</f>
        <v>10</v>
      </c>
      <c r="AC66" s="228">
        <f t="shared" si="8"/>
        <v>940</v>
      </c>
      <c r="AD66" s="228">
        <f t="shared" si="9"/>
        <v>126.4</v>
      </c>
      <c r="AE66" s="228">
        <f t="shared" si="10"/>
        <v>116.4</v>
      </c>
      <c r="AF66" s="228">
        <f t="shared" si="11"/>
        <v>2093</v>
      </c>
      <c r="AG66" s="228">
        <f t="shared" si="12"/>
        <v>116.4</v>
      </c>
      <c r="AH66" s="228">
        <f t="shared" si="13"/>
        <v>2093</v>
      </c>
    </row>
    <row r="67" spans="1:34" s="228" customFormat="1" ht="19.5" customHeight="1" x14ac:dyDescent="0.3">
      <c r="A67" s="232" t="str">
        <f>'쪽쟘(실측)'!A67</f>
        <v>11-2</v>
      </c>
      <c r="B67" s="232" t="str">
        <f>'쪽쟘(실측)'!B67&amp;"F"</f>
        <v>19F</v>
      </c>
      <c r="C67" s="232" t="str">
        <f t="shared" si="5"/>
        <v>961*119.4</v>
      </c>
      <c r="D67" s="232">
        <f>'쪽쟘(실측)'!C67-쪽쟘OP차감</f>
        <v>897</v>
      </c>
      <c r="E67" s="232">
        <f>'쪽쟘(실측)'!D67+쪽쟘J늘림+MAX(W67:X67)</f>
        <v>65</v>
      </c>
      <c r="F67" s="233">
        <f>'쪽쟘(실측)'!E67+쪽쟘J늘림+MAX(W67:X67)</f>
        <v>65</v>
      </c>
      <c r="G67" s="234" t="str">
        <f t="shared" si="6"/>
        <v>2095*120.4</v>
      </c>
      <c r="H67" s="235" t="str">
        <f t="shared" si="7"/>
        <v>2095*119.4</v>
      </c>
      <c r="I67" s="232">
        <f>IF('쪽쟘(실측)'!F67&gt;0,'쪽쟘(실측)'!F67-1.5,0)+뒷날개치수더함</f>
        <v>32.5</v>
      </c>
      <c r="J67" s="232">
        <f>IF('쪽쟘(실측)'!H67&gt;0,'쪽쟘(실측)'!H67-1.5,0)+뒷날개치수더함</f>
        <v>31.5</v>
      </c>
      <c r="K67" s="232">
        <f>IF('쪽쟘(실측)'!F67&gt;0,'쪽쟘(실측)'!F67+0,0)+뒷날개치수더함</f>
        <v>34</v>
      </c>
      <c r="L67" s="232">
        <f>IF('쪽쟘(실측)'!G67&gt;0,'쪽쟘(실측)'!G67+0,0)+뒷날개치수더함</f>
        <v>34</v>
      </c>
      <c r="M67" s="232">
        <f>IF('쪽쟘(실측)'!H67&gt;0,'쪽쟘(실측)'!H67+0,0)+뒷날개치수더함</f>
        <v>33</v>
      </c>
      <c r="N67" s="232">
        <f>IF('쪽쟘(실측)'!I67&gt;0,'쪽쟘(실측)'!I67+0,0)+뒷날개치수더함</f>
        <v>33</v>
      </c>
      <c r="O67" s="232">
        <f>'쪽쟘(실측)'!J67-쪽쟘기둥차감</f>
        <v>2095</v>
      </c>
      <c r="P67" s="232">
        <f>'쪽쟘(실측)'!K67-쪽쟘기둥차감</f>
        <v>2095</v>
      </c>
      <c r="Q67" s="232">
        <f>'쪽쟘(실측)'!L67-쪽쟘기둥차감</f>
        <v>2095</v>
      </c>
      <c r="R67" s="232">
        <f>'쪽쟘(실측)'!M67-쪽쟘기둥차감</f>
        <v>2095</v>
      </c>
      <c r="S67" s="232">
        <f>'쪽쟘(실측)'!N67+뒷날개치수더함</f>
        <v>33</v>
      </c>
      <c r="T67" s="232">
        <f>'쪽쟘(실측)'!O67+뒷날개치수더함</f>
        <v>33</v>
      </c>
      <c r="U67" s="232">
        <f>'쪽쟘(실측)'!P67+뒷날개치수더함</f>
        <v>25</v>
      </c>
      <c r="V67" s="232">
        <f>'쪽쟘(실측)'!Q67+뒷날개치수더함</f>
        <v>25</v>
      </c>
      <c r="W67" s="232">
        <f>'쪽쟘(실측)'!R67-쪽쟘늘치차감</f>
        <v>0</v>
      </c>
      <c r="X67" s="232">
        <f>'쪽쟘(실측)'!S67-쪽쟘늘치차감</f>
        <v>0</v>
      </c>
      <c r="Y67" s="271">
        <f>IF('쪽쟘(실측)'!T67&gt;5,'쪽쟘(실측)'!T67+뒷날개치수더함,0)</f>
        <v>15</v>
      </c>
      <c r="Z67" s="271">
        <f>'쪽쟘(실측)'!U67</f>
        <v>10</v>
      </c>
      <c r="AA67" s="271">
        <f>'쪽쟘(실측)'!V67</f>
        <v>10</v>
      </c>
      <c r="AC67" s="228">
        <f t="shared" si="8"/>
        <v>961</v>
      </c>
      <c r="AD67" s="228">
        <f t="shared" si="9"/>
        <v>119.4</v>
      </c>
      <c r="AE67" s="228">
        <f t="shared" si="10"/>
        <v>120.4</v>
      </c>
      <c r="AF67" s="228">
        <f t="shared" si="11"/>
        <v>2095</v>
      </c>
      <c r="AG67" s="228">
        <f t="shared" si="12"/>
        <v>119.4</v>
      </c>
      <c r="AH67" s="228">
        <f t="shared" si="13"/>
        <v>2095</v>
      </c>
    </row>
    <row r="68" spans="1:34" s="228" customFormat="1" ht="19.5" customHeight="1" x14ac:dyDescent="0.3">
      <c r="A68" s="232" t="str">
        <f>'쪽쟘(실측)'!A68</f>
        <v>11-2</v>
      </c>
      <c r="B68" s="232" t="str">
        <f>'쪽쟘(실측)'!B68&amp;"F"</f>
        <v>18F</v>
      </c>
      <c r="C68" s="232" t="str">
        <f t="shared" si="5"/>
        <v>964*119.4</v>
      </c>
      <c r="D68" s="232">
        <f>'쪽쟘(실측)'!C68-쪽쟘OP차감</f>
        <v>899</v>
      </c>
      <c r="E68" s="232">
        <f>'쪽쟘(실측)'!D68+쪽쟘J늘림+MAX(W68:X68)</f>
        <v>65</v>
      </c>
      <c r="F68" s="233">
        <f>'쪽쟘(실측)'!E68+쪽쟘J늘림+MAX(W68:X68)</f>
        <v>65</v>
      </c>
      <c r="G68" s="234" t="str">
        <f t="shared" si="6"/>
        <v>2095*121.4</v>
      </c>
      <c r="H68" s="235" t="str">
        <f t="shared" si="7"/>
        <v>2095*119.4</v>
      </c>
      <c r="I68" s="232">
        <f>IF('쪽쟘(실측)'!F68&gt;0,'쪽쟘(실측)'!F68-1.5,0)+뒷날개치수더함</f>
        <v>33.5</v>
      </c>
      <c r="J68" s="232">
        <f>IF('쪽쟘(실측)'!H68&gt;0,'쪽쟘(실측)'!H68-1.5,0)+뒷날개치수더함</f>
        <v>31.5</v>
      </c>
      <c r="K68" s="232">
        <f>IF('쪽쟘(실측)'!F68&gt;0,'쪽쟘(실측)'!F68+0,0)+뒷날개치수더함</f>
        <v>35</v>
      </c>
      <c r="L68" s="232">
        <f>IF('쪽쟘(실측)'!G68&gt;0,'쪽쟘(실측)'!G68+0,0)+뒷날개치수더함</f>
        <v>35</v>
      </c>
      <c r="M68" s="232">
        <f>IF('쪽쟘(실측)'!H68&gt;0,'쪽쟘(실측)'!H68+0,0)+뒷날개치수더함</f>
        <v>33</v>
      </c>
      <c r="N68" s="232">
        <f>IF('쪽쟘(실측)'!I68&gt;0,'쪽쟘(실측)'!I68+0,0)+뒷날개치수더함</f>
        <v>33</v>
      </c>
      <c r="O68" s="232">
        <f>'쪽쟘(실측)'!J68-쪽쟘기둥차감</f>
        <v>2095</v>
      </c>
      <c r="P68" s="232">
        <f>'쪽쟘(실측)'!K68-쪽쟘기둥차감</f>
        <v>2095</v>
      </c>
      <c r="Q68" s="232">
        <f>'쪽쟘(실측)'!L68-쪽쟘기둥차감</f>
        <v>2095</v>
      </c>
      <c r="R68" s="232">
        <f>'쪽쟘(실측)'!M68-쪽쟘기둥차감</f>
        <v>2095</v>
      </c>
      <c r="S68" s="232">
        <f>'쪽쟘(실측)'!N68+뒷날개치수더함</f>
        <v>33</v>
      </c>
      <c r="T68" s="232">
        <f>'쪽쟘(실측)'!O68+뒷날개치수더함</f>
        <v>33</v>
      </c>
      <c r="U68" s="232">
        <f>'쪽쟘(실측)'!P68+뒷날개치수더함</f>
        <v>25</v>
      </c>
      <c r="V68" s="232">
        <f>'쪽쟘(실측)'!Q68+뒷날개치수더함</f>
        <v>25</v>
      </c>
      <c r="W68" s="232">
        <f>'쪽쟘(실측)'!R68-쪽쟘늘치차감</f>
        <v>0</v>
      </c>
      <c r="X68" s="232">
        <f>'쪽쟘(실측)'!S68-쪽쟘늘치차감</f>
        <v>0</v>
      </c>
      <c r="Y68" s="271">
        <f>IF('쪽쟘(실측)'!T68&gt;5,'쪽쟘(실측)'!T68+뒷날개치수더함,0)</f>
        <v>15</v>
      </c>
      <c r="Z68" s="271">
        <f>'쪽쟘(실측)'!U68</f>
        <v>10</v>
      </c>
      <c r="AA68" s="271">
        <f>'쪽쟘(실측)'!V68</f>
        <v>10</v>
      </c>
      <c r="AC68" s="228">
        <f t="shared" si="8"/>
        <v>964</v>
      </c>
      <c r="AD68" s="228">
        <f t="shared" si="9"/>
        <v>119.4</v>
      </c>
      <c r="AE68" s="228">
        <f t="shared" si="10"/>
        <v>121.4</v>
      </c>
      <c r="AF68" s="228">
        <f t="shared" si="11"/>
        <v>2095</v>
      </c>
      <c r="AG68" s="228">
        <f t="shared" si="12"/>
        <v>119.4</v>
      </c>
      <c r="AH68" s="228">
        <f t="shared" si="13"/>
        <v>2095</v>
      </c>
    </row>
    <row r="69" spans="1:34" s="228" customFormat="1" ht="19.5" customHeight="1" x14ac:dyDescent="0.3">
      <c r="A69" s="232" t="str">
        <f>'쪽쟘(실측)'!A69</f>
        <v>11-2</v>
      </c>
      <c r="B69" s="232" t="str">
        <f>'쪽쟘(실측)'!B69&amp;"F"</f>
        <v>17F</v>
      </c>
      <c r="C69" s="232" t="str">
        <f t="shared" si="5"/>
        <v>965*119.4</v>
      </c>
      <c r="D69" s="232">
        <f>'쪽쟘(실측)'!C69-쪽쟘OP차감</f>
        <v>899</v>
      </c>
      <c r="E69" s="232">
        <f>'쪽쟘(실측)'!D69+쪽쟘J늘림+MAX(W69:X69)</f>
        <v>65</v>
      </c>
      <c r="F69" s="233">
        <f>'쪽쟘(실측)'!E69+쪽쟘J늘림+MAX(W69:X69)</f>
        <v>65</v>
      </c>
      <c r="G69" s="234" t="str">
        <f t="shared" si="6"/>
        <v>2095*120.4</v>
      </c>
      <c r="H69" s="235" t="str">
        <f t="shared" si="7"/>
        <v>2095*121.4</v>
      </c>
      <c r="I69" s="232">
        <f>IF('쪽쟘(실측)'!F69&gt;0,'쪽쟘(실측)'!F69-1.5,0)+뒷날개치수더함</f>
        <v>32.5</v>
      </c>
      <c r="J69" s="232">
        <f>IF('쪽쟘(실측)'!H69&gt;0,'쪽쟘(실측)'!H69-1.5,0)+뒷날개치수더함</f>
        <v>33.5</v>
      </c>
      <c r="K69" s="232">
        <f>IF('쪽쟘(실측)'!F69&gt;0,'쪽쟘(실측)'!F69+0,0)+뒷날개치수더함</f>
        <v>34</v>
      </c>
      <c r="L69" s="232">
        <f>IF('쪽쟘(실측)'!G69&gt;0,'쪽쟘(실측)'!G69+0,0)+뒷날개치수더함</f>
        <v>34</v>
      </c>
      <c r="M69" s="232">
        <f>IF('쪽쟘(실측)'!H69&gt;0,'쪽쟘(실측)'!H69+0,0)+뒷날개치수더함</f>
        <v>35</v>
      </c>
      <c r="N69" s="232">
        <f>IF('쪽쟘(실측)'!I69&gt;0,'쪽쟘(실측)'!I69+0,0)+뒷날개치수더함</f>
        <v>35</v>
      </c>
      <c r="O69" s="232">
        <f>'쪽쟘(실측)'!J69-쪽쟘기둥차감</f>
        <v>2095</v>
      </c>
      <c r="P69" s="232">
        <f>'쪽쟘(실측)'!K69-쪽쟘기둥차감</f>
        <v>2095</v>
      </c>
      <c r="Q69" s="232">
        <f>'쪽쟘(실측)'!L69-쪽쟘기둥차감</f>
        <v>2095</v>
      </c>
      <c r="R69" s="232">
        <f>'쪽쟘(실측)'!M69-쪽쟘기둥차감</f>
        <v>2095</v>
      </c>
      <c r="S69" s="232">
        <f>'쪽쟘(실측)'!N69+뒷날개치수더함</f>
        <v>33</v>
      </c>
      <c r="T69" s="232">
        <f>'쪽쟘(실측)'!O69+뒷날개치수더함</f>
        <v>33</v>
      </c>
      <c r="U69" s="232">
        <f>'쪽쟘(실측)'!P69+뒷날개치수더함</f>
        <v>25</v>
      </c>
      <c r="V69" s="232">
        <f>'쪽쟘(실측)'!Q69+뒷날개치수더함</f>
        <v>25</v>
      </c>
      <c r="W69" s="232">
        <f>'쪽쟘(실측)'!R69-쪽쟘늘치차감</f>
        <v>0</v>
      </c>
      <c r="X69" s="232">
        <f>'쪽쟘(실측)'!S69-쪽쟘늘치차감</f>
        <v>0</v>
      </c>
      <c r="Y69" s="271">
        <f>IF('쪽쟘(실측)'!T69&gt;5,'쪽쟘(실측)'!T69+뒷날개치수더함,0)</f>
        <v>15</v>
      </c>
      <c r="Z69" s="271">
        <f>'쪽쟘(실측)'!U69</f>
        <v>10</v>
      </c>
      <c r="AA69" s="271">
        <f>'쪽쟘(실측)'!V69</f>
        <v>10</v>
      </c>
      <c r="AC69" s="228">
        <f t="shared" si="8"/>
        <v>965</v>
      </c>
      <c r="AD69" s="228">
        <f t="shared" si="9"/>
        <v>119.4</v>
      </c>
      <c r="AE69" s="228">
        <f t="shared" si="10"/>
        <v>120.4</v>
      </c>
      <c r="AF69" s="228">
        <f t="shared" si="11"/>
        <v>2095</v>
      </c>
      <c r="AG69" s="228">
        <f t="shared" si="12"/>
        <v>121.4</v>
      </c>
      <c r="AH69" s="228">
        <f t="shared" si="13"/>
        <v>2095</v>
      </c>
    </row>
    <row r="70" spans="1:34" s="228" customFormat="1" ht="19.5" customHeight="1" x14ac:dyDescent="0.3">
      <c r="A70" s="232" t="str">
        <f>'쪽쟘(실측)'!A70</f>
        <v>11-2</v>
      </c>
      <c r="B70" s="232" t="str">
        <f>'쪽쟘(실측)'!B70&amp;"F"</f>
        <v>16F</v>
      </c>
      <c r="C70" s="232" t="str">
        <f t="shared" si="5"/>
        <v>962*117.4</v>
      </c>
      <c r="D70" s="232">
        <f>'쪽쟘(실측)'!C70-쪽쟘OP차감</f>
        <v>899</v>
      </c>
      <c r="E70" s="232">
        <f>'쪽쟘(실측)'!D70+쪽쟘J늘림+MAX(W70:X70)</f>
        <v>65</v>
      </c>
      <c r="F70" s="233">
        <f>'쪽쟘(실측)'!E70+쪽쟘J늘림+MAX(W70:X70)</f>
        <v>65</v>
      </c>
      <c r="G70" s="234" t="str">
        <f t="shared" si="6"/>
        <v>2095*121.4</v>
      </c>
      <c r="H70" s="235" t="str">
        <f t="shared" si="7"/>
        <v>2095*121.4</v>
      </c>
      <c r="I70" s="232">
        <f>IF('쪽쟘(실측)'!F70&gt;0,'쪽쟘(실측)'!F70-1.5,0)+뒷날개치수더함</f>
        <v>29.5</v>
      </c>
      <c r="J70" s="232">
        <f>IF('쪽쟘(실측)'!H70&gt;0,'쪽쟘(실측)'!H70-1.5,0)+뒷날개치수더함</f>
        <v>33.5</v>
      </c>
      <c r="K70" s="232">
        <f>IF('쪽쟘(실측)'!F70&gt;0,'쪽쟘(실측)'!F70+0,0)+뒷날개치수더함</f>
        <v>31</v>
      </c>
      <c r="L70" s="232">
        <f>IF('쪽쟘(실측)'!G70&gt;0,'쪽쟘(실측)'!G70+0,0)+뒷날개치수더함</f>
        <v>35</v>
      </c>
      <c r="M70" s="232">
        <f>IF('쪽쟘(실측)'!H70&gt;0,'쪽쟘(실측)'!H70+0,0)+뒷날개치수더함</f>
        <v>35</v>
      </c>
      <c r="N70" s="232">
        <f>IF('쪽쟘(실측)'!I70&gt;0,'쪽쟘(실측)'!I70+0,0)+뒷날개치수더함</f>
        <v>35</v>
      </c>
      <c r="O70" s="232">
        <f>'쪽쟘(실측)'!J70-쪽쟘기둥차감</f>
        <v>2095</v>
      </c>
      <c r="P70" s="232">
        <f>'쪽쟘(실측)'!K70-쪽쟘기둥차감</f>
        <v>2095</v>
      </c>
      <c r="Q70" s="232">
        <f>'쪽쟘(실측)'!L70-쪽쟘기둥차감</f>
        <v>2095</v>
      </c>
      <c r="R70" s="232">
        <f>'쪽쟘(실측)'!M70-쪽쟘기둥차감</f>
        <v>2095</v>
      </c>
      <c r="S70" s="232">
        <f>'쪽쟘(실측)'!N70+뒷날개치수더함</f>
        <v>31</v>
      </c>
      <c r="T70" s="232">
        <f>'쪽쟘(실측)'!O70+뒷날개치수더함</f>
        <v>31</v>
      </c>
      <c r="U70" s="232">
        <f>'쪽쟘(실측)'!P70+뒷날개치수더함</f>
        <v>25</v>
      </c>
      <c r="V70" s="232">
        <f>'쪽쟘(실측)'!Q70+뒷날개치수더함</f>
        <v>25</v>
      </c>
      <c r="W70" s="232">
        <f>'쪽쟘(실측)'!R70-쪽쟘늘치차감</f>
        <v>0</v>
      </c>
      <c r="X70" s="232">
        <f>'쪽쟘(실측)'!S70-쪽쟘늘치차감</f>
        <v>0</v>
      </c>
      <c r="Y70" s="271">
        <f>IF('쪽쟘(실측)'!T70&gt;5,'쪽쟘(실측)'!T70+뒷날개치수더함,0)</f>
        <v>15</v>
      </c>
      <c r="Z70" s="271">
        <f>'쪽쟘(실측)'!U70</f>
        <v>10</v>
      </c>
      <c r="AA70" s="271">
        <f>'쪽쟘(실측)'!V70</f>
        <v>10</v>
      </c>
      <c r="AC70" s="228">
        <f t="shared" si="8"/>
        <v>962</v>
      </c>
      <c r="AD70" s="228">
        <f t="shared" si="9"/>
        <v>117.4</v>
      </c>
      <c r="AE70" s="228">
        <f t="shared" si="10"/>
        <v>121.4</v>
      </c>
      <c r="AF70" s="228">
        <f t="shared" si="11"/>
        <v>2095</v>
      </c>
      <c r="AG70" s="228">
        <f t="shared" si="12"/>
        <v>121.4</v>
      </c>
      <c r="AH70" s="228">
        <f t="shared" si="13"/>
        <v>2095</v>
      </c>
    </row>
    <row r="71" spans="1:34" s="228" customFormat="1" ht="19.5" customHeight="1" x14ac:dyDescent="0.3">
      <c r="A71" s="232" t="str">
        <f>'쪽쟘(실측)'!A71</f>
        <v>11-2</v>
      </c>
      <c r="B71" s="232" t="str">
        <f>'쪽쟘(실측)'!B71&amp;"F"</f>
        <v>15F</v>
      </c>
      <c r="C71" s="232" t="str">
        <f t="shared" si="5"/>
        <v>964*118.4</v>
      </c>
      <c r="D71" s="232">
        <f>'쪽쟘(실측)'!C71-쪽쟘OP차감</f>
        <v>898</v>
      </c>
      <c r="E71" s="232">
        <f>'쪽쟘(실측)'!D71+쪽쟘J늘림+MAX(W71:X71)</f>
        <v>65</v>
      </c>
      <c r="F71" s="233">
        <f>'쪽쟘(실측)'!E71+쪽쟘J늘림+MAX(W71:X71)</f>
        <v>65</v>
      </c>
      <c r="G71" s="234" t="str">
        <f t="shared" si="6"/>
        <v>2095*120.4</v>
      </c>
      <c r="H71" s="235" t="str">
        <f t="shared" si="7"/>
        <v>2095*121.4</v>
      </c>
      <c r="I71" s="232">
        <f>IF('쪽쟘(실측)'!F71&gt;0,'쪽쟘(실측)'!F71-1.5,0)+뒷날개치수더함</f>
        <v>32.5</v>
      </c>
      <c r="J71" s="232">
        <f>IF('쪽쟘(실측)'!H71&gt;0,'쪽쟘(실측)'!H71-1.5,0)+뒷날개치수더함</f>
        <v>33.5</v>
      </c>
      <c r="K71" s="232">
        <f>IF('쪽쟘(실측)'!F71&gt;0,'쪽쟘(실측)'!F71+0,0)+뒷날개치수더함</f>
        <v>34</v>
      </c>
      <c r="L71" s="232">
        <f>IF('쪽쟘(실측)'!G71&gt;0,'쪽쟘(실측)'!G71+0,0)+뒷날개치수더함</f>
        <v>34</v>
      </c>
      <c r="M71" s="232">
        <f>IF('쪽쟘(실측)'!H71&gt;0,'쪽쟘(실측)'!H71+0,0)+뒷날개치수더함</f>
        <v>35</v>
      </c>
      <c r="N71" s="232">
        <f>IF('쪽쟘(실측)'!I71&gt;0,'쪽쟘(실측)'!I71+0,0)+뒷날개치수더함</f>
        <v>35</v>
      </c>
      <c r="O71" s="232">
        <f>'쪽쟘(실측)'!J71-쪽쟘기둥차감</f>
        <v>2095</v>
      </c>
      <c r="P71" s="232">
        <f>'쪽쟘(실측)'!K71-쪽쟘기둥차감</f>
        <v>2095</v>
      </c>
      <c r="Q71" s="232">
        <f>'쪽쟘(실측)'!L71-쪽쟘기둥차감</f>
        <v>2095</v>
      </c>
      <c r="R71" s="232">
        <f>'쪽쟘(실측)'!M71-쪽쟘기둥차감</f>
        <v>2095</v>
      </c>
      <c r="S71" s="232">
        <f>'쪽쟘(실측)'!N71+뒷날개치수더함</f>
        <v>32</v>
      </c>
      <c r="T71" s="232">
        <f>'쪽쟘(실측)'!O71+뒷날개치수더함</f>
        <v>32</v>
      </c>
      <c r="U71" s="232">
        <f>'쪽쟘(실측)'!P71+뒷날개치수더함</f>
        <v>25</v>
      </c>
      <c r="V71" s="232">
        <f>'쪽쟘(실측)'!Q71+뒷날개치수더함</f>
        <v>25</v>
      </c>
      <c r="W71" s="232">
        <f>'쪽쟘(실측)'!R71-쪽쟘늘치차감</f>
        <v>0</v>
      </c>
      <c r="X71" s="232">
        <f>'쪽쟘(실측)'!S71-쪽쟘늘치차감</f>
        <v>0</v>
      </c>
      <c r="Y71" s="271">
        <f>IF('쪽쟘(실측)'!T71&gt;5,'쪽쟘(실측)'!T71+뒷날개치수더함,0)</f>
        <v>15</v>
      </c>
      <c r="Z71" s="271">
        <f>'쪽쟘(실측)'!U71</f>
        <v>10</v>
      </c>
      <c r="AA71" s="271">
        <f>'쪽쟘(실측)'!V71</f>
        <v>10</v>
      </c>
      <c r="AC71" s="228">
        <f t="shared" si="8"/>
        <v>964</v>
      </c>
      <c r="AD71" s="228">
        <f t="shared" si="9"/>
        <v>118.4</v>
      </c>
      <c r="AE71" s="228">
        <f t="shared" si="10"/>
        <v>120.4</v>
      </c>
      <c r="AF71" s="228">
        <f t="shared" si="11"/>
        <v>2095</v>
      </c>
      <c r="AG71" s="228">
        <f t="shared" si="12"/>
        <v>121.4</v>
      </c>
      <c r="AH71" s="228">
        <f t="shared" si="13"/>
        <v>2095</v>
      </c>
    </row>
    <row r="72" spans="1:34" s="228" customFormat="1" ht="19.5" customHeight="1" x14ac:dyDescent="0.3">
      <c r="A72" s="232" t="str">
        <f>'쪽쟘(실측)'!A72</f>
        <v>11-2</v>
      </c>
      <c r="B72" s="232" t="str">
        <f>'쪽쟘(실측)'!B72&amp;"F"</f>
        <v>14F</v>
      </c>
      <c r="C72" s="232" t="str">
        <f t="shared" ref="C72:C117" si="14">AC72&amp;"*"&amp;AD72</f>
        <v>964*116.4</v>
      </c>
      <c r="D72" s="232">
        <f>'쪽쟘(실측)'!C72-쪽쟘OP차감</f>
        <v>899</v>
      </c>
      <c r="E72" s="232">
        <f>'쪽쟘(실측)'!D72+쪽쟘J늘림+MAX(W72:X72)</f>
        <v>65</v>
      </c>
      <c r="F72" s="233">
        <f>'쪽쟘(실측)'!E72+쪽쟘J늘림+MAX(W72:X72)</f>
        <v>65</v>
      </c>
      <c r="G72" s="234" t="str">
        <f t="shared" ref="G72:G117" si="15">AF72&amp;"*"&amp;AE72</f>
        <v>2095*120.4</v>
      </c>
      <c r="H72" s="235" t="str">
        <f t="shared" ref="H72:H117" si="16">AH72&amp;"*"&amp;AG72</f>
        <v>2095*120.4</v>
      </c>
      <c r="I72" s="232">
        <f>IF('쪽쟘(실측)'!F72&gt;0,'쪽쟘(실측)'!F72-1.5,0)+뒷날개치수더함</f>
        <v>32.5</v>
      </c>
      <c r="J72" s="232">
        <f>IF('쪽쟘(실측)'!H72&gt;0,'쪽쟘(실측)'!H72-1.5,0)+뒷날개치수더함</f>
        <v>32.5</v>
      </c>
      <c r="K72" s="232">
        <f>IF('쪽쟘(실측)'!F72&gt;0,'쪽쟘(실측)'!F72+0,0)+뒷날개치수더함</f>
        <v>34</v>
      </c>
      <c r="L72" s="232">
        <f>IF('쪽쟘(실측)'!G72&gt;0,'쪽쟘(실측)'!G72+0,0)+뒷날개치수더함</f>
        <v>30</v>
      </c>
      <c r="M72" s="232">
        <f>IF('쪽쟘(실측)'!H72&gt;0,'쪽쟘(실측)'!H72+0,0)+뒷날개치수더함</f>
        <v>34</v>
      </c>
      <c r="N72" s="232">
        <f>IF('쪽쟘(실측)'!I72&gt;0,'쪽쟘(실측)'!I72+0,0)+뒷날개치수더함</f>
        <v>34</v>
      </c>
      <c r="O72" s="232">
        <f>'쪽쟘(실측)'!J72-쪽쟘기둥차감</f>
        <v>2095</v>
      </c>
      <c r="P72" s="232">
        <f>'쪽쟘(실측)'!K72-쪽쟘기둥차감</f>
        <v>2095</v>
      </c>
      <c r="Q72" s="232">
        <f>'쪽쟘(실측)'!L72-쪽쟘기둥차감</f>
        <v>2095</v>
      </c>
      <c r="R72" s="232">
        <f>'쪽쟘(실측)'!M72-쪽쟘기둥차감</f>
        <v>2095</v>
      </c>
      <c r="S72" s="232">
        <f>'쪽쟘(실측)'!N72+뒷날개치수더함</f>
        <v>30</v>
      </c>
      <c r="T72" s="232">
        <f>'쪽쟘(실측)'!O72+뒷날개치수더함</f>
        <v>30</v>
      </c>
      <c r="U72" s="232">
        <f>'쪽쟘(실측)'!P72+뒷날개치수더함</f>
        <v>25</v>
      </c>
      <c r="V72" s="232">
        <f>'쪽쟘(실측)'!Q72+뒷날개치수더함</f>
        <v>25</v>
      </c>
      <c r="W72" s="232">
        <f>'쪽쟘(실측)'!R72-쪽쟘늘치차감</f>
        <v>0</v>
      </c>
      <c r="X72" s="232">
        <f>'쪽쟘(실측)'!S72-쪽쟘늘치차감</f>
        <v>0</v>
      </c>
      <c r="Y72" s="271">
        <f>IF('쪽쟘(실측)'!T72&gt;5,'쪽쟘(실측)'!T72+뒷날개치수더함,0)</f>
        <v>15</v>
      </c>
      <c r="Z72" s="271">
        <f>'쪽쟘(실측)'!U72</f>
        <v>10</v>
      </c>
      <c r="AA72" s="271">
        <f>'쪽쟘(실측)'!V72</f>
        <v>10</v>
      </c>
      <c r="AC72" s="228">
        <f t="shared" ref="AC72:AC117" si="17">D72+I72+J72</f>
        <v>964</v>
      </c>
      <c r="AD72" s="228">
        <f t="shared" ref="AD72:AD117" si="18">U72+E72+MAX(S72,T72)-쪽쟘소재t*3+IF(S72=0,S72*쪽쟘소재t,0)</f>
        <v>116.4</v>
      </c>
      <c r="AE72" s="228">
        <f t="shared" ref="AE72:AE117" si="19">MAX(K72,L72)+F72+V72-쪽쟘소재t*3+IF(K72=0,쪽쟘소재t)-IF(AA72=90,2.4,0)</f>
        <v>120.4</v>
      </c>
      <c r="AF72" s="228">
        <f t="shared" ref="AF72:AF117" si="20">MAX(O72,P72)</f>
        <v>2095</v>
      </c>
      <c r="AG72" s="228">
        <f t="shared" ref="AG72:AG117" si="21">MAX(M72,N72)+F72+V72-쪽쟘소재t*3+IF(M72=0,쪽쟘소재t)-IF(AA72=90,2.4,0)</f>
        <v>120.4</v>
      </c>
      <c r="AH72" s="228">
        <f t="shared" ref="AH72:AH117" si="22">MAX(Q72,R72)</f>
        <v>2095</v>
      </c>
    </row>
    <row r="73" spans="1:34" s="228" customFormat="1" ht="19.5" customHeight="1" x14ac:dyDescent="0.3">
      <c r="A73" s="232" t="str">
        <f>'쪽쟘(실측)'!A73</f>
        <v>11-2</v>
      </c>
      <c r="B73" s="232" t="str">
        <f>'쪽쟘(실측)'!B73&amp;"F"</f>
        <v>13F</v>
      </c>
      <c r="C73" s="232" t="str">
        <f t="shared" si="14"/>
        <v>963*117.4</v>
      </c>
      <c r="D73" s="232">
        <f>'쪽쟘(실측)'!C73-쪽쟘OP차감</f>
        <v>898</v>
      </c>
      <c r="E73" s="232">
        <f>'쪽쟘(실측)'!D73+쪽쟘J늘림+MAX(W73:X73)</f>
        <v>65</v>
      </c>
      <c r="F73" s="233">
        <f>'쪽쟘(실측)'!E73+쪽쟘J늘림+MAX(W73:X73)</f>
        <v>65</v>
      </c>
      <c r="G73" s="234" t="str">
        <f t="shared" si="15"/>
        <v>2095*121.4</v>
      </c>
      <c r="H73" s="235" t="str">
        <f t="shared" si="16"/>
        <v>2095*119.4</v>
      </c>
      <c r="I73" s="232">
        <f>IF('쪽쟘(실측)'!F73&gt;0,'쪽쟘(실측)'!F73-1.5,0)+뒷날개치수더함</f>
        <v>33.5</v>
      </c>
      <c r="J73" s="232">
        <f>IF('쪽쟘(실측)'!H73&gt;0,'쪽쟘(실측)'!H73-1.5,0)+뒷날개치수더함</f>
        <v>31.5</v>
      </c>
      <c r="K73" s="232">
        <f>IF('쪽쟘(실측)'!F73&gt;0,'쪽쟘(실측)'!F73+0,0)+뒷날개치수더함</f>
        <v>35</v>
      </c>
      <c r="L73" s="232">
        <f>IF('쪽쟘(실측)'!G73&gt;0,'쪽쟘(실측)'!G73+0,0)+뒷날개치수더함</f>
        <v>35</v>
      </c>
      <c r="M73" s="232">
        <f>IF('쪽쟘(실측)'!H73&gt;0,'쪽쟘(실측)'!H73+0,0)+뒷날개치수더함</f>
        <v>33</v>
      </c>
      <c r="N73" s="232">
        <f>IF('쪽쟘(실측)'!I73&gt;0,'쪽쟘(실측)'!I73+0,0)+뒷날개치수더함</f>
        <v>33</v>
      </c>
      <c r="O73" s="232">
        <f>'쪽쟘(실측)'!J73-쪽쟘기둥차감</f>
        <v>2095</v>
      </c>
      <c r="P73" s="232">
        <f>'쪽쟘(실측)'!K73-쪽쟘기둥차감</f>
        <v>2095</v>
      </c>
      <c r="Q73" s="232">
        <f>'쪽쟘(실측)'!L73-쪽쟘기둥차감</f>
        <v>2095</v>
      </c>
      <c r="R73" s="232">
        <f>'쪽쟘(실측)'!M73-쪽쟘기둥차감</f>
        <v>2095</v>
      </c>
      <c r="S73" s="232">
        <f>'쪽쟘(실측)'!N73+뒷날개치수더함</f>
        <v>31</v>
      </c>
      <c r="T73" s="232">
        <f>'쪽쟘(실측)'!O73+뒷날개치수더함</f>
        <v>31</v>
      </c>
      <c r="U73" s="232">
        <f>'쪽쟘(실측)'!P73+뒷날개치수더함</f>
        <v>25</v>
      </c>
      <c r="V73" s="232">
        <f>'쪽쟘(실측)'!Q73+뒷날개치수더함</f>
        <v>25</v>
      </c>
      <c r="W73" s="232">
        <f>'쪽쟘(실측)'!R73-쪽쟘늘치차감</f>
        <v>0</v>
      </c>
      <c r="X73" s="232">
        <f>'쪽쟘(실측)'!S73-쪽쟘늘치차감</f>
        <v>0</v>
      </c>
      <c r="Y73" s="271">
        <f>IF('쪽쟘(실측)'!T73&gt;5,'쪽쟘(실측)'!T73+뒷날개치수더함,0)</f>
        <v>15</v>
      </c>
      <c r="Z73" s="271">
        <f>'쪽쟘(실측)'!U73</f>
        <v>10</v>
      </c>
      <c r="AA73" s="271">
        <f>'쪽쟘(실측)'!V73</f>
        <v>10</v>
      </c>
      <c r="AC73" s="228">
        <f t="shared" si="17"/>
        <v>963</v>
      </c>
      <c r="AD73" s="228">
        <f t="shared" si="18"/>
        <v>117.4</v>
      </c>
      <c r="AE73" s="228">
        <f t="shared" si="19"/>
        <v>121.4</v>
      </c>
      <c r="AF73" s="228">
        <f t="shared" si="20"/>
        <v>2095</v>
      </c>
      <c r="AG73" s="228">
        <f t="shared" si="21"/>
        <v>119.4</v>
      </c>
      <c r="AH73" s="228">
        <f t="shared" si="22"/>
        <v>2095</v>
      </c>
    </row>
    <row r="74" spans="1:34" s="228" customFormat="1" ht="19.5" customHeight="1" x14ac:dyDescent="0.3">
      <c r="A74" s="232" t="str">
        <f>'쪽쟘(실측)'!A74</f>
        <v>11-2</v>
      </c>
      <c r="B74" s="232" t="str">
        <f>'쪽쟘(실측)'!B74&amp;"F"</f>
        <v>12F</v>
      </c>
      <c r="C74" s="232" t="str">
        <f t="shared" si="14"/>
        <v>965*120.4</v>
      </c>
      <c r="D74" s="232">
        <f>'쪽쟘(실측)'!C74-쪽쟘OP차감</f>
        <v>899</v>
      </c>
      <c r="E74" s="232">
        <f>'쪽쟘(실측)'!D74+쪽쟘J늘림+MAX(W74:X74)</f>
        <v>65</v>
      </c>
      <c r="F74" s="233">
        <f>'쪽쟘(실측)'!E74+쪽쟘J늘림+MAX(W74:X74)</f>
        <v>65</v>
      </c>
      <c r="G74" s="234" t="str">
        <f t="shared" si="15"/>
        <v>2095*120.4</v>
      </c>
      <c r="H74" s="235" t="str">
        <f t="shared" si="16"/>
        <v>2095*121.4</v>
      </c>
      <c r="I74" s="232">
        <f>IF('쪽쟘(실측)'!F74&gt;0,'쪽쟘(실측)'!F74-1.5,0)+뒷날개치수더함</f>
        <v>32.5</v>
      </c>
      <c r="J74" s="232">
        <f>IF('쪽쟘(실측)'!H74&gt;0,'쪽쟘(실측)'!H74-1.5,0)+뒷날개치수더함</f>
        <v>33.5</v>
      </c>
      <c r="K74" s="232">
        <f>IF('쪽쟘(실측)'!F74&gt;0,'쪽쟘(실측)'!F74+0,0)+뒷날개치수더함</f>
        <v>34</v>
      </c>
      <c r="L74" s="232">
        <f>IF('쪽쟘(실측)'!G74&gt;0,'쪽쟘(실측)'!G74+0,0)+뒷날개치수더함</f>
        <v>34</v>
      </c>
      <c r="M74" s="232">
        <f>IF('쪽쟘(실측)'!H74&gt;0,'쪽쟘(실측)'!H74+0,0)+뒷날개치수더함</f>
        <v>35</v>
      </c>
      <c r="N74" s="232">
        <f>IF('쪽쟘(실측)'!I74&gt;0,'쪽쟘(실측)'!I74+0,0)+뒷날개치수더함</f>
        <v>30</v>
      </c>
      <c r="O74" s="232">
        <f>'쪽쟘(실측)'!J74-쪽쟘기둥차감</f>
        <v>2095</v>
      </c>
      <c r="P74" s="232">
        <f>'쪽쟘(실측)'!K74-쪽쟘기둥차감</f>
        <v>2095</v>
      </c>
      <c r="Q74" s="232">
        <f>'쪽쟘(실측)'!L74-쪽쟘기둥차감</f>
        <v>2095</v>
      </c>
      <c r="R74" s="232">
        <f>'쪽쟘(실측)'!M74-쪽쟘기둥차감</f>
        <v>2095</v>
      </c>
      <c r="S74" s="232">
        <f>'쪽쟘(실측)'!N74+뒷날개치수더함</f>
        <v>34</v>
      </c>
      <c r="T74" s="232">
        <f>'쪽쟘(실측)'!O74+뒷날개치수더함</f>
        <v>34</v>
      </c>
      <c r="U74" s="232">
        <f>'쪽쟘(실측)'!P74+뒷날개치수더함</f>
        <v>25</v>
      </c>
      <c r="V74" s="232">
        <f>'쪽쟘(실측)'!Q74+뒷날개치수더함</f>
        <v>25</v>
      </c>
      <c r="W74" s="232">
        <f>'쪽쟘(실측)'!R74-쪽쟘늘치차감</f>
        <v>0</v>
      </c>
      <c r="X74" s="232">
        <f>'쪽쟘(실측)'!S74-쪽쟘늘치차감</f>
        <v>0</v>
      </c>
      <c r="Y74" s="271">
        <f>IF('쪽쟘(실측)'!T74&gt;5,'쪽쟘(실측)'!T74+뒷날개치수더함,0)</f>
        <v>15</v>
      </c>
      <c r="Z74" s="271">
        <f>'쪽쟘(실측)'!U74</f>
        <v>10</v>
      </c>
      <c r="AA74" s="271">
        <f>'쪽쟘(실측)'!V74</f>
        <v>10</v>
      </c>
      <c r="AC74" s="228">
        <f t="shared" si="17"/>
        <v>965</v>
      </c>
      <c r="AD74" s="228">
        <f t="shared" si="18"/>
        <v>120.4</v>
      </c>
      <c r="AE74" s="228">
        <f t="shared" si="19"/>
        <v>120.4</v>
      </c>
      <c r="AF74" s="228">
        <f t="shared" si="20"/>
        <v>2095</v>
      </c>
      <c r="AG74" s="228">
        <f t="shared" si="21"/>
        <v>121.4</v>
      </c>
      <c r="AH74" s="228">
        <f t="shared" si="22"/>
        <v>2095</v>
      </c>
    </row>
    <row r="75" spans="1:34" s="228" customFormat="1" ht="19.5" customHeight="1" x14ac:dyDescent="0.3">
      <c r="A75" s="232" t="str">
        <f>'쪽쟘(실측)'!A75</f>
        <v>11-2</v>
      </c>
      <c r="B75" s="232" t="str">
        <f>'쪽쟘(실측)'!B75&amp;"F"</f>
        <v>11F</v>
      </c>
      <c r="C75" s="232" t="str">
        <f t="shared" si="14"/>
        <v>959*120.4</v>
      </c>
      <c r="D75" s="232">
        <f>'쪽쟘(실측)'!C75-쪽쟘OP차감</f>
        <v>898</v>
      </c>
      <c r="E75" s="232">
        <f>'쪽쟘(실측)'!D75+쪽쟘J늘림+MAX(W75:X75)</f>
        <v>65</v>
      </c>
      <c r="F75" s="233">
        <f>'쪽쟘(실측)'!E75+쪽쟘J늘림+MAX(W75:X75)</f>
        <v>65</v>
      </c>
      <c r="G75" s="234" t="str">
        <f t="shared" si="15"/>
        <v>2095*119.4</v>
      </c>
      <c r="H75" s="235" t="str">
        <f t="shared" si="16"/>
        <v>2095*117.4</v>
      </c>
      <c r="I75" s="232">
        <f>IF('쪽쟘(실측)'!F75&gt;0,'쪽쟘(실측)'!F75-1.5,0)+뒷날개치수더함</f>
        <v>31.5</v>
      </c>
      <c r="J75" s="232">
        <f>IF('쪽쟘(실측)'!H75&gt;0,'쪽쟘(실측)'!H75-1.5,0)+뒷날개치수더함</f>
        <v>29.5</v>
      </c>
      <c r="K75" s="232">
        <f>IF('쪽쟘(실측)'!F75&gt;0,'쪽쟘(실측)'!F75+0,0)+뒷날개치수더함</f>
        <v>33</v>
      </c>
      <c r="L75" s="232">
        <f>IF('쪽쟘(실측)'!G75&gt;0,'쪽쟘(실측)'!G75+0,0)+뒷날개치수더함</f>
        <v>33</v>
      </c>
      <c r="M75" s="232">
        <f>IF('쪽쟘(실측)'!H75&gt;0,'쪽쟘(실측)'!H75+0,0)+뒷날개치수더함</f>
        <v>31</v>
      </c>
      <c r="N75" s="232">
        <f>IF('쪽쟘(실측)'!I75&gt;0,'쪽쟘(실측)'!I75+0,0)+뒷날개치수더함</f>
        <v>31</v>
      </c>
      <c r="O75" s="232">
        <f>'쪽쟘(실측)'!J75-쪽쟘기둥차감</f>
        <v>2095</v>
      </c>
      <c r="P75" s="232">
        <f>'쪽쟘(실측)'!K75-쪽쟘기둥차감</f>
        <v>2095</v>
      </c>
      <c r="Q75" s="232">
        <f>'쪽쟘(실측)'!L75-쪽쟘기둥차감</f>
        <v>2095</v>
      </c>
      <c r="R75" s="232">
        <f>'쪽쟘(실측)'!M75-쪽쟘기둥차감</f>
        <v>2095</v>
      </c>
      <c r="S75" s="232">
        <f>'쪽쟘(실측)'!N75+뒷날개치수더함</f>
        <v>34</v>
      </c>
      <c r="T75" s="232">
        <f>'쪽쟘(실측)'!O75+뒷날개치수더함</f>
        <v>34</v>
      </c>
      <c r="U75" s="232">
        <f>'쪽쟘(실측)'!P75+뒷날개치수더함</f>
        <v>25</v>
      </c>
      <c r="V75" s="232">
        <f>'쪽쟘(실측)'!Q75+뒷날개치수더함</f>
        <v>25</v>
      </c>
      <c r="W75" s="232">
        <f>'쪽쟘(실측)'!R75-쪽쟘늘치차감</f>
        <v>0</v>
      </c>
      <c r="X75" s="232">
        <f>'쪽쟘(실측)'!S75-쪽쟘늘치차감</f>
        <v>0</v>
      </c>
      <c r="Y75" s="271">
        <f>IF('쪽쟘(실측)'!T75&gt;5,'쪽쟘(실측)'!T75+뒷날개치수더함,0)</f>
        <v>15</v>
      </c>
      <c r="Z75" s="271">
        <f>'쪽쟘(실측)'!U75</f>
        <v>10</v>
      </c>
      <c r="AA75" s="271">
        <f>'쪽쟘(실측)'!V75</f>
        <v>10</v>
      </c>
      <c r="AC75" s="228">
        <f t="shared" si="17"/>
        <v>959</v>
      </c>
      <c r="AD75" s="228">
        <f t="shared" si="18"/>
        <v>120.4</v>
      </c>
      <c r="AE75" s="228">
        <f t="shared" si="19"/>
        <v>119.4</v>
      </c>
      <c r="AF75" s="228">
        <f t="shared" si="20"/>
        <v>2095</v>
      </c>
      <c r="AG75" s="228">
        <f t="shared" si="21"/>
        <v>117.4</v>
      </c>
      <c r="AH75" s="228">
        <f t="shared" si="22"/>
        <v>2095</v>
      </c>
    </row>
    <row r="76" spans="1:34" s="228" customFormat="1" ht="19.5" customHeight="1" x14ac:dyDescent="0.3">
      <c r="A76" s="232" t="str">
        <f>'쪽쟘(실측)'!A76</f>
        <v>11-2</v>
      </c>
      <c r="B76" s="232" t="str">
        <f>'쪽쟘(실측)'!B76&amp;"F"</f>
        <v>10F</v>
      </c>
      <c r="C76" s="232" t="str">
        <f t="shared" si="14"/>
        <v>960*121.4</v>
      </c>
      <c r="D76" s="232">
        <f>'쪽쟘(실측)'!C76-쪽쟘OP차감</f>
        <v>899</v>
      </c>
      <c r="E76" s="232">
        <f>'쪽쟘(실측)'!D76+쪽쟘J늘림+MAX(W76:X76)</f>
        <v>65</v>
      </c>
      <c r="F76" s="233">
        <f>'쪽쟘(실측)'!E76+쪽쟘J늘림+MAX(W76:X76)</f>
        <v>65</v>
      </c>
      <c r="G76" s="234" t="str">
        <f t="shared" si="15"/>
        <v>2095*118.4</v>
      </c>
      <c r="H76" s="235" t="str">
        <f t="shared" si="16"/>
        <v>2095*118.4</v>
      </c>
      <c r="I76" s="232">
        <f>IF('쪽쟘(실측)'!F76&gt;0,'쪽쟘(실측)'!F76-1.5,0)+뒷날개치수더함</f>
        <v>30.5</v>
      </c>
      <c r="J76" s="232">
        <f>IF('쪽쟘(실측)'!H76&gt;0,'쪽쟘(실측)'!H76-1.5,0)+뒷날개치수더함</f>
        <v>30.5</v>
      </c>
      <c r="K76" s="232">
        <f>IF('쪽쟘(실측)'!F76&gt;0,'쪽쟘(실측)'!F76+0,0)+뒷날개치수더함</f>
        <v>32</v>
      </c>
      <c r="L76" s="232">
        <f>IF('쪽쟘(실측)'!G76&gt;0,'쪽쟘(실측)'!G76+0,0)+뒷날개치수더함</f>
        <v>32</v>
      </c>
      <c r="M76" s="232">
        <f>IF('쪽쟘(실측)'!H76&gt;0,'쪽쟘(실측)'!H76+0,0)+뒷날개치수더함</f>
        <v>32</v>
      </c>
      <c r="N76" s="232">
        <f>IF('쪽쟘(실측)'!I76&gt;0,'쪽쟘(실측)'!I76+0,0)+뒷날개치수더함</f>
        <v>32</v>
      </c>
      <c r="O76" s="232">
        <f>'쪽쟘(실측)'!J76-쪽쟘기둥차감</f>
        <v>2095</v>
      </c>
      <c r="P76" s="232">
        <f>'쪽쟘(실측)'!K76-쪽쟘기둥차감</f>
        <v>2095</v>
      </c>
      <c r="Q76" s="232">
        <f>'쪽쟘(실측)'!L76-쪽쟘기둥차감</f>
        <v>2095</v>
      </c>
      <c r="R76" s="232">
        <f>'쪽쟘(실측)'!M76-쪽쟘기둥차감</f>
        <v>2095</v>
      </c>
      <c r="S76" s="232">
        <f>'쪽쟘(실측)'!N76+뒷날개치수더함</f>
        <v>35</v>
      </c>
      <c r="T76" s="232">
        <f>'쪽쟘(실측)'!O76+뒷날개치수더함</f>
        <v>35</v>
      </c>
      <c r="U76" s="232">
        <f>'쪽쟘(실측)'!P76+뒷날개치수더함</f>
        <v>25</v>
      </c>
      <c r="V76" s="232">
        <f>'쪽쟘(실측)'!Q76+뒷날개치수더함</f>
        <v>25</v>
      </c>
      <c r="W76" s="232">
        <f>'쪽쟘(실측)'!R76-쪽쟘늘치차감</f>
        <v>0</v>
      </c>
      <c r="X76" s="232">
        <f>'쪽쟘(실측)'!S76-쪽쟘늘치차감</f>
        <v>0</v>
      </c>
      <c r="Y76" s="271">
        <f>IF('쪽쟘(실측)'!T76&gt;5,'쪽쟘(실측)'!T76+뒷날개치수더함,0)</f>
        <v>15</v>
      </c>
      <c r="Z76" s="271">
        <f>'쪽쟘(실측)'!U76</f>
        <v>10</v>
      </c>
      <c r="AA76" s="271">
        <f>'쪽쟘(실측)'!V76</f>
        <v>10</v>
      </c>
      <c r="AC76" s="228">
        <f t="shared" si="17"/>
        <v>960</v>
      </c>
      <c r="AD76" s="228">
        <f t="shared" si="18"/>
        <v>121.4</v>
      </c>
      <c r="AE76" s="228">
        <f t="shared" si="19"/>
        <v>118.4</v>
      </c>
      <c r="AF76" s="228">
        <f t="shared" si="20"/>
        <v>2095</v>
      </c>
      <c r="AG76" s="228">
        <f t="shared" si="21"/>
        <v>118.4</v>
      </c>
      <c r="AH76" s="228">
        <f t="shared" si="22"/>
        <v>2095</v>
      </c>
    </row>
    <row r="77" spans="1:34" s="228" customFormat="1" ht="19.5" customHeight="1" x14ac:dyDescent="0.3">
      <c r="A77" s="232" t="str">
        <f>'쪽쟘(실측)'!A77</f>
        <v>11-2</v>
      </c>
      <c r="B77" s="232" t="str">
        <f>'쪽쟘(실측)'!B77&amp;"F"</f>
        <v>9F</v>
      </c>
      <c r="C77" s="232" t="str">
        <f t="shared" si="14"/>
        <v>961*119.4</v>
      </c>
      <c r="D77" s="232">
        <f>'쪽쟘(실측)'!C77-쪽쟘OP차감</f>
        <v>899</v>
      </c>
      <c r="E77" s="232">
        <f>'쪽쟘(실측)'!D77+쪽쟘J늘림+MAX(W77:X77)</f>
        <v>65</v>
      </c>
      <c r="F77" s="233">
        <f>'쪽쟘(실측)'!E77+쪽쟘J늘림+MAX(W77:X77)</f>
        <v>65</v>
      </c>
      <c r="G77" s="234" t="str">
        <f t="shared" si="15"/>
        <v>2095*118.4</v>
      </c>
      <c r="H77" s="235" t="str">
        <f t="shared" si="16"/>
        <v>2095*119.4</v>
      </c>
      <c r="I77" s="232">
        <f>IF('쪽쟘(실측)'!F77&gt;0,'쪽쟘(실측)'!F77-1.5,0)+뒷날개치수더함</f>
        <v>30.5</v>
      </c>
      <c r="J77" s="232">
        <f>IF('쪽쟘(실측)'!H77&gt;0,'쪽쟘(실측)'!H77-1.5,0)+뒷날개치수더함</f>
        <v>31.5</v>
      </c>
      <c r="K77" s="232">
        <f>IF('쪽쟘(실측)'!F77&gt;0,'쪽쟘(실측)'!F77+0,0)+뒷날개치수더함</f>
        <v>32</v>
      </c>
      <c r="L77" s="232">
        <f>IF('쪽쟘(실측)'!G77&gt;0,'쪽쟘(실측)'!G77+0,0)+뒷날개치수더함</f>
        <v>32</v>
      </c>
      <c r="M77" s="232">
        <f>IF('쪽쟘(실측)'!H77&gt;0,'쪽쟘(실측)'!H77+0,0)+뒷날개치수더함</f>
        <v>33</v>
      </c>
      <c r="N77" s="232">
        <f>IF('쪽쟘(실측)'!I77&gt;0,'쪽쟘(실측)'!I77+0,0)+뒷날개치수더함</f>
        <v>33</v>
      </c>
      <c r="O77" s="232">
        <f>'쪽쟘(실측)'!J77-쪽쟘기둥차감</f>
        <v>2095</v>
      </c>
      <c r="P77" s="232">
        <f>'쪽쟘(실측)'!K77-쪽쟘기둥차감</f>
        <v>2095</v>
      </c>
      <c r="Q77" s="232">
        <f>'쪽쟘(실측)'!L77-쪽쟘기둥차감</f>
        <v>2095</v>
      </c>
      <c r="R77" s="232">
        <f>'쪽쟘(실측)'!M77-쪽쟘기둥차감</f>
        <v>2095</v>
      </c>
      <c r="S77" s="232">
        <f>'쪽쟘(실측)'!N77+뒷날개치수더함</f>
        <v>33</v>
      </c>
      <c r="T77" s="232">
        <f>'쪽쟘(실측)'!O77+뒷날개치수더함</f>
        <v>33</v>
      </c>
      <c r="U77" s="232">
        <f>'쪽쟘(실측)'!P77+뒷날개치수더함</f>
        <v>25</v>
      </c>
      <c r="V77" s="232">
        <f>'쪽쟘(실측)'!Q77+뒷날개치수더함</f>
        <v>25</v>
      </c>
      <c r="W77" s="232">
        <f>'쪽쟘(실측)'!R77-쪽쟘늘치차감</f>
        <v>0</v>
      </c>
      <c r="X77" s="232">
        <f>'쪽쟘(실측)'!S77-쪽쟘늘치차감</f>
        <v>0</v>
      </c>
      <c r="Y77" s="271">
        <f>IF('쪽쟘(실측)'!T77&gt;5,'쪽쟘(실측)'!T77+뒷날개치수더함,0)</f>
        <v>15</v>
      </c>
      <c r="Z77" s="271">
        <f>'쪽쟘(실측)'!U77</f>
        <v>10</v>
      </c>
      <c r="AA77" s="271">
        <f>'쪽쟘(실측)'!V77</f>
        <v>10</v>
      </c>
      <c r="AC77" s="228">
        <f t="shared" si="17"/>
        <v>961</v>
      </c>
      <c r="AD77" s="228">
        <f t="shared" si="18"/>
        <v>119.4</v>
      </c>
      <c r="AE77" s="228">
        <f t="shared" si="19"/>
        <v>118.4</v>
      </c>
      <c r="AF77" s="228">
        <f t="shared" si="20"/>
        <v>2095</v>
      </c>
      <c r="AG77" s="228">
        <f t="shared" si="21"/>
        <v>119.4</v>
      </c>
      <c r="AH77" s="228">
        <f t="shared" si="22"/>
        <v>2095</v>
      </c>
    </row>
    <row r="78" spans="1:34" s="228" customFormat="1" ht="19.5" customHeight="1" x14ac:dyDescent="0.3">
      <c r="A78" s="232" t="str">
        <f>'쪽쟘(실측)'!A78</f>
        <v>11-2</v>
      </c>
      <c r="B78" s="232" t="str">
        <f>'쪽쟘(실측)'!B78&amp;"F"</f>
        <v>8F</v>
      </c>
      <c r="C78" s="232" t="str">
        <f t="shared" si="14"/>
        <v>959*119.4</v>
      </c>
      <c r="D78" s="232">
        <f>'쪽쟘(실측)'!C78-쪽쟘OP차감</f>
        <v>899</v>
      </c>
      <c r="E78" s="232">
        <f>'쪽쟘(실측)'!D78+쪽쟘J늘림+MAX(W78:X78)</f>
        <v>65</v>
      </c>
      <c r="F78" s="233">
        <f>'쪽쟘(실측)'!E78+쪽쟘J늘림+MAX(W78:X78)</f>
        <v>65</v>
      </c>
      <c r="G78" s="234" t="str">
        <f t="shared" si="15"/>
        <v>2095*118.4</v>
      </c>
      <c r="H78" s="235" t="str">
        <f t="shared" si="16"/>
        <v>2095*117.4</v>
      </c>
      <c r="I78" s="232">
        <f>IF('쪽쟘(실측)'!F78&gt;0,'쪽쟘(실측)'!F78-1.5,0)+뒷날개치수더함</f>
        <v>30.5</v>
      </c>
      <c r="J78" s="232">
        <f>IF('쪽쟘(실측)'!H78&gt;0,'쪽쟘(실측)'!H78-1.5,0)+뒷날개치수더함</f>
        <v>29.5</v>
      </c>
      <c r="K78" s="232">
        <f>IF('쪽쟘(실측)'!F78&gt;0,'쪽쟘(실측)'!F78+0,0)+뒷날개치수더함</f>
        <v>32</v>
      </c>
      <c r="L78" s="232">
        <f>IF('쪽쟘(실측)'!G78&gt;0,'쪽쟘(실측)'!G78+0,0)+뒷날개치수더함</f>
        <v>32</v>
      </c>
      <c r="M78" s="232">
        <f>IF('쪽쟘(실측)'!H78&gt;0,'쪽쟘(실측)'!H78+0,0)+뒷날개치수더함</f>
        <v>31</v>
      </c>
      <c r="N78" s="232">
        <f>IF('쪽쟘(실측)'!I78&gt;0,'쪽쟘(실측)'!I78+0,0)+뒷날개치수더함</f>
        <v>31</v>
      </c>
      <c r="O78" s="232">
        <f>'쪽쟘(실측)'!J78-쪽쟘기둥차감</f>
        <v>2095</v>
      </c>
      <c r="P78" s="232">
        <f>'쪽쟘(실측)'!K78-쪽쟘기둥차감</f>
        <v>2095</v>
      </c>
      <c r="Q78" s="232">
        <f>'쪽쟘(실측)'!L78-쪽쟘기둥차감</f>
        <v>2095</v>
      </c>
      <c r="R78" s="232">
        <f>'쪽쟘(실측)'!M78-쪽쟘기둥차감</f>
        <v>2095</v>
      </c>
      <c r="S78" s="232">
        <f>'쪽쟘(실측)'!N78+뒷날개치수더함</f>
        <v>33</v>
      </c>
      <c r="T78" s="232">
        <f>'쪽쟘(실측)'!O78+뒷날개치수더함</f>
        <v>33</v>
      </c>
      <c r="U78" s="232">
        <f>'쪽쟘(실측)'!P78+뒷날개치수더함</f>
        <v>25</v>
      </c>
      <c r="V78" s="232">
        <f>'쪽쟘(실측)'!Q78+뒷날개치수더함</f>
        <v>25</v>
      </c>
      <c r="W78" s="232">
        <f>'쪽쟘(실측)'!R78-쪽쟘늘치차감</f>
        <v>0</v>
      </c>
      <c r="X78" s="232">
        <f>'쪽쟘(실측)'!S78-쪽쟘늘치차감</f>
        <v>0</v>
      </c>
      <c r="Y78" s="271">
        <f>IF('쪽쟘(실측)'!T78&gt;5,'쪽쟘(실측)'!T78+뒷날개치수더함,0)</f>
        <v>15</v>
      </c>
      <c r="Z78" s="271">
        <f>'쪽쟘(실측)'!U78</f>
        <v>10</v>
      </c>
      <c r="AA78" s="271">
        <f>'쪽쟘(실측)'!V78</f>
        <v>10</v>
      </c>
      <c r="AC78" s="228">
        <f t="shared" si="17"/>
        <v>959</v>
      </c>
      <c r="AD78" s="228">
        <f t="shared" si="18"/>
        <v>119.4</v>
      </c>
      <c r="AE78" s="228">
        <f t="shared" si="19"/>
        <v>118.4</v>
      </c>
      <c r="AF78" s="228">
        <f t="shared" si="20"/>
        <v>2095</v>
      </c>
      <c r="AG78" s="228">
        <f t="shared" si="21"/>
        <v>117.4</v>
      </c>
      <c r="AH78" s="228">
        <f t="shared" si="22"/>
        <v>2095</v>
      </c>
    </row>
    <row r="79" spans="1:34" s="228" customFormat="1" ht="19.5" customHeight="1" x14ac:dyDescent="0.3">
      <c r="A79" s="232" t="str">
        <f>'쪽쟘(실측)'!A79</f>
        <v>11-2</v>
      </c>
      <c r="B79" s="232" t="str">
        <f>'쪽쟘(실측)'!B79&amp;"F"</f>
        <v>7F</v>
      </c>
      <c r="C79" s="232" t="str">
        <f t="shared" si="14"/>
        <v>957*121.4</v>
      </c>
      <c r="D79" s="232">
        <f>'쪽쟘(실측)'!C79-쪽쟘OP차감</f>
        <v>898</v>
      </c>
      <c r="E79" s="232">
        <f>'쪽쟘(실측)'!D79+쪽쟘J늘림+MAX(W79:X79)</f>
        <v>65</v>
      </c>
      <c r="F79" s="233">
        <f>'쪽쟘(실측)'!E79+쪽쟘J늘림+MAX(W79:X79)</f>
        <v>65</v>
      </c>
      <c r="G79" s="234" t="str">
        <f t="shared" si="15"/>
        <v>2095*117.4</v>
      </c>
      <c r="H79" s="235" t="str">
        <f t="shared" si="16"/>
        <v>2095*117.4</v>
      </c>
      <c r="I79" s="232">
        <f>IF('쪽쟘(실측)'!F79&gt;0,'쪽쟘(실측)'!F79-1.5,0)+뒷날개치수더함</f>
        <v>29.5</v>
      </c>
      <c r="J79" s="232">
        <f>IF('쪽쟘(실측)'!H79&gt;0,'쪽쟘(실측)'!H79-1.5,0)+뒷날개치수더함</f>
        <v>29.5</v>
      </c>
      <c r="K79" s="232">
        <f>IF('쪽쟘(실측)'!F79&gt;0,'쪽쟘(실측)'!F79+0,0)+뒷날개치수더함</f>
        <v>31</v>
      </c>
      <c r="L79" s="232">
        <f>IF('쪽쟘(실측)'!G79&gt;0,'쪽쟘(실측)'!G79+0,0)+뒷날개치수더함</f>
        <v>31</v>
      </c>
      <c r="M79" s="232">
        <f>IF('쪽쟘(실측)'!H79&gt;0,'쪽쟘(실측)'!H79+0,0)+뒷날개치수더함</f>
        <v>31</v>
      </c>
      <c r="N79" s="232">
        <f>IF('쪽쟘(실측)'!I79&gt;0,'쪽쟘(실측)'!I79+0,0)+뒷날개치수더함</f>
        <v>31</v>
      </c>
      <c r="O79" s="232">
        <f>'쪽쟘(실측)'!J79-쪽쟘기둥차감</f>
        <v>2095</v>
      </c>
      <c r="P79" s="232">
        <f>'쪽쟘(실측)'!K79-쪽쟘기둥차감</f>
        <v>2095</v>
      </c>
      <c r="Q79" s="232">
        <f>'쪽쟘(실측)'!L79-쪽쟘기둥차감</f>
        <v>2095</v>
      </c>
      <c r="R79" s="232">
        <f>'쪽쟘(실측)'!M79-쪽쟘기둥차감</f>
        <v>2095</v>
      </c>
      <c r="S79" s="232">
        <f>'쪽쟘(실측)'!N79+뒷날개치수더함</f>
        <v>35</v>
      </c>
      <c r="T79" s="232">
        <f>'쪽쟘(실측)'!O79+뒷날개치수더함</f>
        <v>35</v>
      </c>
      <c r="U79" s="232">
        <f>'쪽쟘(실측)'!P79+뒷날개치수더함</f>
        <v>25</v>
      </c>
      <c r="V79" s="232">
        <f>'쪽쟘(실측)'!Q79+뒷날개치수더함</f>
        <v>25</v>
      </c>
      <c r="W79" s="232">
        <f>'쪽쟘(실측)'!R79-쪽쟘늘치차감</f>
        <v>0</v>
      </c>
      <c r="X79" s="232">
        <f>'쪽쟘(실측)'!S79-쪽쟘늘치차감</f>
        <v>0</v>
      </c>
      <c r="Y79" s="271">
        <f>IF('쪽쟘(실측)'!T79&gt;5,'쪽쟘(실측)'!T79+뒷날개치수더함,0)</f>
        <v>15</v>
      </c>
      <c r="Z79" s="271">
        <f>'쪽쟘(실측)'!U79</f>
        <v>10</v>
      </c>
      <c r="AA79" s="271">
        <f>'쪽쟘(실측)'!V79</f>
        <v>10</v>
      </c>
      <c r="AC79" s="228">
        <f t="shared" si="17"/>
        <v>957</v>
      </c>
      <c r="AD79" s="228">
        <f t="shared" si="18"/>
        <v>121.4</v>
      </c>
      <c r="AE79" s="228">
        <f t="shared" si="19"/>
        <v>117.4</v>
      </c>
      <c r="AF79" s="228">
        <f t="shared" si="20"/>
        <v>2095</v>
      </c>
      <c r="AG79" s="228">
        <f t="shared" si="21"/>
        <v>117.4</v>
      </c>
      <c r="AH79" s="228">
        <f t="shared" si="22"/>
        <v>2095</v>
      </c>
    </row>
    <row r="80" spans="1:34" s="228" customFormat="1" ht="19.5" customHeight="1" x14ac:dyDescent="0.3">
      <c r="A80" s="232" t="str">
        <f>'쪽쟘(실측)'!A80</f>
        <v>11-2</v>
      </c>
      <c r="B80" s="232" t="str">
        <f>'쪽쟘(실측)'!B80&amp;"F"</f>
        <v>6F</v>
      </c>
      <c r="C80" s="232" t="str">
        <f t="shared" si="14"/>
        <v>959*121.4</v>
      </c>
      <c r="D80" s="232">
        <f>'쪽쟘(실측)'!C80-쪽쟘OP차감</f>
        <v>898</v>
      </c>
      <c r="E80" s="232">
        <f>'쪽쟘(실측)'!D80+쪽쟘J늘림+MAX(W80:X80)</f>
        <v>65</v>
      </c>
      <c r="F80" s="233">
        <f>'쪽쟘(실측)'!E80+쪽쟘J늘림+MAX(W80:X80)</f>
        <v>65</v>
      </c>
      <c r="G80" s="234" t="str">
        <f t="shared" si="15"/>
        <v>2095*117.4</v>
      </c>
      <c r="H80" s="235" t="str">
        <f t="shared" si="16"/>
        <v>2095*119.4</v>
      </c>
      <c r="I80" s="232">
        <f>IF('쪽쟘(실측)'!F80&gt;0,'쪽쟘(실측)'!F80-1.5,0)+뒷날개치수더함</f>
        <v>29.5</v>
      </c>
      <c r="J80" s="232">
        <f>IF('쪽쟘(실측)'!H80&gt;0,'쪽쟘(실측)'!H80-1.5,0)+뒷날개치수더함</f>
        <v>31.5</v>
      </c>
      <c r="K80" s="232">
        <f>IF('쪽쟘(실측)'!F80&gt;0,'쪽쟘(실측)'!F80+0,0)+뒷날개치수더함</f>
        <v>31</v>
      </c>
      <c r="L80" s="232">
        <f>IF('쪽쟘(실측)'!G80&gt;0,'쪽쟘(실측)'!G80+0,0)+뒷날개치수더함</f>
        <v>31</v>
      </c>
      <c r="M80" s="232">
        <f>IF('쪽쟘(실측)'!H80&gt;0,'쪽쟘(실측)'!H80+0,0)+뒷날개치수더함</f>
        <v>33</v>
      </c>
      <c r="N80" s="232">
        <f>IF('쪽쟘(실측)'!I80&gt;0,'쪽쟘(실측)'!I80+0,0)+뒷날개치수더함</f>
        <v>33</v>
      </c>
      <c r="O80" s="232">
        <f>'쪽쟘(실측)'!J80-쪽쟘기둥차감</f>
        <v>2095</v>
      </c>
      <c r="P80" s="232">
        <f>'쪽쟘(실측)'!K80-쪽쟘기둥차감</f>
        <v>2095</v>
      </c>
      <c r="Q80" s="232">
        <f>'쪽쟘(실측)'!L80-쪽쟘기둥차감</f>
        <v>2095</v>
      </c>
      <c r="R80" s="232">
        <f>'쪽쟘(실측)'!M80-쪽쟘기둥차감</f>
        <v>2095</v>
      </c>
      <c r="S80" s="232">
        <f>'쪽쟘(실측)'!N80+뒷날개치수더함</f>
        <v>35</v>
      </c>
      <c r="T80" s="232">
        <f>'쪽쟘(실측)'!O80+뒷날개치수더함</f>
        <v>35</v>
      </c>
      <c r="U80" s="232">
        <f>'쪽쟘(실측)'!P80+뒷날개치수더함</f>
        <v>25</v>
      </c>
      <c r="V80" s="232">
        <f>'쪽쟘(실측)'!Q80+뒷날개치수더함</f>
        <v>25</v>
      </c>
      <c r="W80" s="232">
        <f>'쪽쟘(실측)'!R80-쪽쟘늘치차감</f>
        <v>0</v>
      </c>
      <c r="X80" s="232">
        <f>'쪽쟘(실측)'!S80-쪽쟘늘치차감</f>
        <v>0</v>
      </c>
      <c r="Y80" s="271">
        <f>IF('쪽쟘(실측)'!T80&gt;5,'쪽쟘(실측)'!T80+뒷날개치수더함,0)</f>
        <v>15</v>
      </c>
      <c r="Z80" s="271">
        <f>'쪽쟘(실측)'!U80</f>
        <v>10</v>
      </c>
      <c r="AA80" s="271">
        <f>'쪽쟘(실측)'!V80</f>
        <v>10</v>
      </c>
      <c r="AC80" s="228">
        <f t="shared" si="17"/>
        <v>959</v>
      </c>
      <c r="AD80" s="228">
        <f t="shared" si="18"/>
        <v>121.4</v>
      </c>
      <c r="AE80" s="228">
        <f t="shared" si="19"/>
        <v>117.4</v>
      </c>
      <c r="AF80" s="228">
        <f t="shared" si="20"/>
        <v>2095</v>
      </c>
      <c r="AG80" s="228">
        <f t="shared" si="21"/>
        <v>119.4</v>
      </c>
      <c r="AH80" s="228">
        <f t="shared" si="22"/>
        <v>2095</v>
      </c>
    </row>
    <row r="81" spans="1:34" s="228" customFormat="1" ht="19.5" customHeight="1" x14ac:dyDescent="0.3">
      <c r="A81" s="232" t="str">
        <f>'쪽쟘(실측)'!A81</f>
        <v>11-2</v>
      </c>
      <c r="B81" s="232" t="str">
        <f>'쪽쟘(실측)'!B81&amp;"F"</f>
        <v>5F</v>
      </c>
      <c r="C81" s="232" t="str">
        <f t="shared" si="14"/>
        <v>962*118.4</v>
      </c>
      <c r="D81" s="232">
        <f>'쪽쟘(실측)'!C81-쪽쟘OP차감</f>
        <v>898</v>
      </c>
      <c r="E81" s="232">
        <f>'쪽쟘(실측)'!D81+쪽쟘J늘림+MAX(W81:X81)</f>
        <v>65</v>
      </c>
      <c r="F81" s="233">
        <f>'쪽쟘(실측)'!E81+쪽쟘J늘림+MAX(W81:X81)</f>
        <v>65</v>
      </c>
      <c r="G81" s="234" t="str">
        <f t="shared" si="15"/>
        <v>2095*119.4</v>
      </c>
      <c r="H81" s="235" t="str">
        <f t="shared" si="16"/>
        <v>2095*120.4</v>
      </c>
      <c r="I81" s="232">
        <f>IF('쪽쟘(실측)'!F81&gt;0,'쪽쟘(실측)'!F81-1.5,0)+뒷날개치수더함</f>
        <v>31.5</v>
      </c>
      <c r="J81" s="232">
        <f>IF('쪽쟘(실측)'!H81&gt;0,'쪽쟘(실측)'!H81-1.5,0)+뒷날개치수더함</f>
        <v>32.5</v>
      </c>
      <c r="K81" s="232">
        <f>IF('쪽쟘(실측)'!F81&gt;0,'쪽쟘(실측)'!F81+0,0)+뒷날개치수더함</f>
        <v>33</v>
      </c>
      <c r="L81" s="232">
        <f>IF('쪽쟘(실측)'!G81&gt;0,'쪽쟘(실측)'!G81+0,0)+뒷날개치수더함</f>
        <v>33</v>
      </c>
      <c r="M81" s="232">
        <f>IF('쪽쟘(실측)'!H81&gt;0,'쪽쟘(실측)'!H81+0,0)+뒷날개치수더함</f>
        <v>34</v>
      </c>
      <c r="N81" s="232">
        <f>IF('쪽쟘(실측)'!I81&gt;0,'쪽쟘(실측)'!I81+0,0)+뒷날개치수더함</f>
        <v>30</v>
      </c>
      <c r="O81" s="232">
        <f>'쪽쟘(실측)'!J81-쪽쟘기둥차감</f>
        <v>2095</v>
      </c>
      <c r="P81" s="232">
        <f>'쪽쟘(실측)'!K81-쪽쟘기둥차감</f>
        <v>2095</v>
      </c>
      <c r="Q81" s="232">
        <f>'쪽쟘(실측)'!L81-쪽쟘기둥차감</f>
        <v>2095</v>
      </c>
      <c r="R81" s="232">
        <f>'쪽쟘(실측)'!M81-쪽쟘기둥차감</f>
        <v>2095</v>
      </c>
      <c r="S81" s="232">
        <f>'쪽쟘(실측)'!N81+뒷날개치수더함</f>
        <v>32</v>
      </c>
      <c r="T81" s="232">
        <f>'쪽쟘(실측)'!O81+뒷날개치수더함</f>
        <v>32</v>
      </c>
      <c r="U81" s="232">
        <f>'쪽쟘(실측)'!P81+뒷날개치수더함</f>
        <v>25</v>
      </c>
      <c r="V81" s="232">
        <f>'쪽쟘(실측)'!Q81+뒷날개치수더함</f>
        <v>25</v>
      </c>
      <c r="W81" s="232">
        <f>'쪽쟘(실측)'!R81-쪽쟘늘치차감</f>
        <v>0</v>
      </c>
      <c r="X81" s="232">
        <f>'쪽쟘(실측)'!S81-쪽쟘늘치차감</f>
        <v>0</v>
      </c>
      <c r="Y81" s="271">
        <f>IF('쪽쟘(실측)'!T81&gt;5,'쪽쟘(실측)'!T81+뒷날개치수더함,0)</f>
        <v>15</v>
      </c>
      <c r="Z81" s="271">
        <f>'쪽쟘(실측)'!U81</f>
        <v>10</v>
      </c>
      <c r="AA81" s="271">
        <f>'쪽쟘(실측)'!V81</f>
        <v>10</v>
      </c>
      <c r="AC81" s="228">
        <f t="shared" si="17"/>
        <v>962</v>
      </c>
      <c r="AD81" s="228">
        <f t="shared" si="18"/>
        <v>118.4</v>
      </c>
      <c r="AE81" s="228">
        <f t="shared" si="19"/>
        <v>119.4</v>
      </c>
      <c r="AF81" s="228">
        <f t="shared" si="20"/>
        <v>2095</v>
      </c>
      <c r="AG81" s="228">
        <f t="shared" si="21"/>
        <v>120.4</v>
      </c>
      <c r="AH81" s="228">
        <f t="shared" si="22"/>
        <v>2095</v>
      </c>
    </row>
    <row r="82" spans="1:34" s="228" customFormat="1" ht="19.5" customHeight="1" x14ac:dyDescent="0.3">
      <c r="A82" s="232" t="str">
        <f>'쪽쟘(실측)'!A82</f>
        <v>11-2</v>
      </c>
      <c r="B82" s="232" t="str">
        <f>'쪽쟘(실측)'!B82&amp;"F"</f>
        <v>4F</v>
      </c>
      <c r="C82" s="232" t="str">
        <f t="shared" si="14"/>
        <v>960*119.4</v>
      </c>
      <c r="D82" s="232">
        <f>'쪽쟘(실측)'!C82-쪽쟘OP차감</f>
        <v>899</v>
      </c>
      <c r="E82" s="232">
        <f>'쪽쟘(실측)'!D82+쪽쟘J늘림+MAX(W82:X82)</f>
        <v>65</v>
      </c>
      <c r="F82" s="233">
        <f>'쪽쟘(실측)'!E82+쪽쟘J늘림+MAX(W82:X82)</f>
        <v>65</v>
      </c>
      <c r="G82" s="234" t="str">
        <f t="shared" si="15"/>
        <v>2095*117.4</v>
      </c>
      <c r="H82" s="235" t="str">
        <f t="shared" si="16"/>
        <v>2095*119.4</v>
      </c>
      <c r="I82" s="232">
        <f>IF('쪽쟘(실측)'!F82&gt;0,'쪽쟘(실측)'!F82-1.5,0)+뒷날개치수더함</f>
        <v>29.5</v>
      </c>
      <c r="J82" s="232">
        <f>IF('쪽쟘(실측)'!H82&gt;0,'쪽쟘(실측)'!H82-1.5,0)+뒷날개치수더함</f>
        <v>31.5</v>
      </c>
      <c r="K82" s="232">
        <f>IF('쪽쟘(실측)'!F82&gt;0,'쪽쟘(실측)'!F82+0,0)+뒷날개치수더함</f>
        <v>31</v>
      </c>
      <c r="L82" s="232">
        <f>IF('쪽쟘(실측)'!G82&gt;0,'쪽쟘(실측)'!G82+0,0)+뒷날개치수더함</f>
        <v>31</v>
      </c>
      <c r="M82" s="232">
        <f>IF('쪽쟘(실측)'!H82&gt;0,'쪽쟘(실측)'!H82+0,0)+뒷날개치수더함</f>
        <v>33</v>
      </c>
      <c r="N82" s="232">
        <f>IF('쪽쟘(실측)'!I82&gt;0,'쪽쟘(실측)'!I82+0,0)+뒷날개치수더함</f>
        <v>33</v>
      </c>
      <c r="O82" s="232">
        <f>'쪽쟘(실측)'!J82-쪽쟘기둥차감</f>
        <v>2095</v>
      </c>
      <c r="P82" s="232">
        <f>'쪽쟘(실측)'!K82-쪽쟘기둥차감</f>
        <v>2095</v>
      </c>
      <c r="Q82" s="232">
        <f>'쪽쟘(실측)'!L82-쪽쟘기둥차감</f>
        <v>2095</v>
      </c>
      <c r="R82" s="232">
        <f>'쪽쟘(실측)'!M82-쪽쟘기둥차감</f>
        <v>2095</v>
      </c>
      <c r="S82" s="232">
        <f>'쪽쟘(실측)'!N82+뒷날개치수더함</f>
        <v>33</v>
      </c>
      <c r="T82" s="232">
        <f>'쪽쟘(실측)'!O82+뒷날개치수더함</f>
        <v>33</v>
      </c>
      <c r="U82" s="232">
        <f>'쪽쟘(실측)'!P82+뒷날개치수더함</f>
        <v>25</v>
      </c>
      <c r="V82" s="232">
        <f>'쪽쟘(실측)'!Q82+뒷날개치수더함</f>
        <v>25</v>
      </c>
      <c r="W82" s="232">
        <f>'쪽쟘(실측)'!R82-쪽쟘늘치차감</f>
        <v>0</v>
      </c>
      <c r="X82" s="232">
        <f>'쪽쟘(실측)'!S82-쪽쟘늘치차감</f>
        <v>0</v>
      </c>
      <c r="Y82" s="271">
        <f>IF('쪽쟘(실측)'!T82&gt;5,'쪽쟘(실측)'!T82+뒷날개치수더함,0)</f>
        <v>15</v>
      </c>
      <c r="Z82" s="271">
        <f>'쪽쟘(실측)'!U82</f>
        <v>10</v>
      </c>
      <c r="AA82" s="271">
        <f>'쪽쟘(실측)'!V82</f>
        <v>10</v>
      </c>
      <c r="AC82" s="228">
        <f t="shared" si="17"/>
        <v>960</v>
      </c>
      <c r="AD82" s="228">
        <f t="shared" si="18"/>
        <v>119.4</v>
      </c>
      <c r="AE82" s="228">
        <f t="shared" si="19"/>
        <v>117.4</v>
      </c>
      <c r="AF82" s="228">
        <f t="shared" si="20"/>
        <v>2095</v>
      </c>
      <c r="AG82" s="228">
        <f t="shared" si="21"/>
        <v>119.4</v>
      </c>
      <c r="AH82" s="228">
        <f t="shared" si="22"/>
        <v>2095</v>
      </c>
    </row>
    <row r="83" spans="1:34" s="228" customFormat="1" ht="19.5" customHeight="1" x14ac:dyDescent="0.3">
      <c r="A83" s="232" t="str">
        <f>'쪽쟘(실측)'!A83</f>
        <v>11-2</v>
      </c>
      <c r="B83" s="232" t="str">
        <f>'쪽쟘(실측)'!B83&amp;"F"</f>
        <v>3F</v>
      </c>
      <c r="C83" s="232" t="str">
        <f t="shared" si="14"/>
        <v>956*118.4</v>
      </c>
      <c r="D83" s="232">
        <f>'쪽쟘(실측)'!C83-쪽쟘OP차감</f>
        <v>898</v>
      </c>
      <c r="E83" s="232">
        <f>'쪽쟘(실측)'!D83+쪽쟘J늘림+MAX(W83:X83)</f>
        <v>65</v>
      </c>
      <c r="F83" s="233">
        <f>'쪽쟘(실측)'!E83+쪽쟘J늘림+MAX(W83:X83)</f>
        <v>65</v>
      </c>
      <c r="G83" s="234" t="str">
        <f t="shared" si="15"/>
        <v>2095*117.4</v>
      </c>
      <c r="H83" s="235" t="str">
        <f t="shared" si="16"/>
        <v>2095*116.4</v>
      </c>
      <c r="I83" s="232">
        <f>IF('쪽쟘(실측)'!F83&gt;0,'쪽쟘(실측)'!F83-1.5,0)+뒷날개치수더함</f>
        <v>29.5</v>
      </c>
      <c r="J83" s="232">
        <f>IF('쪽쟘(실측)'!H83&gt;0,'쪽쟘(실측)'!H83-1.5,0)+뒷날개치수더함</f>
        <v>28.5</v>
      </c>
      <c r="K83" s="232">
        <f>IF('쪽쟘(실측)'!F83&gt;0,'쪽쟘(실측)'!F83+0,0)+뒷날개치수더함</f>
        <v>31</v>
      </c>
      <c r="L83" s="232">
        <f>IF('쪽쟘(실측)'!G83&gt;0,'쪽쟘(실측)'!G83+0,0)+뒷날개치수더함</f>
        <v>31</v>
      </c>
      <c r="M83" s="232">
        <f>IF('쪽쟘(실측)'!H83&gt;0,'쪽쟘(실측)'!H83+0,0)+뒷날개치수더함</f>
        <v>30</v>
      </c>
      <c r="N83" s="232">
        <f>IF('쪽쟘(실측)'!I83&gt;0,'쪽쟘(실측)'!I83+0,0)+뒷날개치수더함</f>
        <v>30</v>
      </c>
      <c r="O83" s="232">
        <f>'쪽쟘(실측)'!J83-쪽쟘기둥차감</f>
        <v>2095</v>
      </c>
      <c r="P83" s="232">
        <f>'쪽쟘(실측)'!K83-쪽쟘기둥차감</f>
        <v>2095</v>
      </c>
      <c r="Q83" s="232">
        <f>'쪽쟘(실측)'!L83-쪽쟘기둥차감</f>
        <v>2095</v>
      </c>
      <c r="R83" s="232">
        <f>'쪽쟘(실측)'!M83-쪽쟘기둥차감</f>
        <v>2095</v>
      </c>
      <c r="S83" s="232">
        <f>'쪽쟘(실측)'!N83+뒷날개치수더함</f>
        <v>32</v>
      </c>
      <c r="T83" s="232">
        <f>'쪽쟘(실측)'!O83+뒷날개치수더함</f>
        <v>32</v>
      </c>
      <c r="U83" s="232">
        <f>'쪽쟘(실측)'!P83+뒷날개치수더함</f>
        <v>25</v>
      </c>
      <c r="V83" s="232">
        <f>'쪽쟘(실측)'!Q83+뒷날개치수더함</f>
        <v>25</v>
      </c>
      <c r="W83" s="232">
        <f>'쪽쟘(실측)'!R83-쪽쟘늘치차감</f>
        <v>0</v>
      </c>
      <c r="X83" s="232">
        <f>'쪽쟘(실측)'!S83-쪽쟘늘치차감</f>
        <v>0</v>
      </c>
      <c r="Y83" s="271">
        <f>IF('쪽쟘(실측)'!T83&gt;5,'쪽쟘(실측)'!T83+뒷날개치수더함,0)</f>
        <v>15</v>
      </c>
      <c r="Z83" s="271">
        <f>'쪽쟘(실측)'!U83</f>
        <v>10</v>
      </c>
      <c r="AA83" s="271">
        <f>'쪽쟘(실측)'!V83</f>
        <v>10</v>
      </c>
      <c r="AC83" s="228">
        <f t="shared" si="17"/>
        <v>956</v>
      </c>
      <c r="AD83" s="228">
        <f t="shared" si="18"/>
        <v>118.4</v>
      </c>
      <c r="AE83" s="228">
        <f t="shared" si="19"/>
        <v>117.4</v>
      </c>
      <c r="AF83" s="228">
        <f t="shared" si="20"/>
        <v>2095</v>
      </c>
      <c r="AG83" s="228">
        <f t="shared" si="21"/>
        <v>116.4</v>
      </c>
      <c r="AH83" s="228">
        <f t="shared" si="22"/>
        <v>2095</v>
      </c>
    </row>
    <row r="84" spans="1:34" s="228" customFormat="1" ht="19.5" customHeight="1" x14ac:dyDescent="0.3">
      <c r="A84" s="232" t="str">
        <f>'쪽쟘(실측)'!A84</f>
        <v>11-2</v>
      </c>
      <c r="B84" s="232" t="str">
        <f>'쪽쟘(실측)'!B84&amp;"F"</f>
        <v>2F</v>
      </c>
      <c r="C84" s="232" t="str">
        <f t="shared" si="14"/>
        <v>961*118.4</v>
      </c>
      <c r="D84" s="232">
        <f>'쪽쟘(실측)'!C84-쪽쟘OP차감</f>
        <v>898</v>
      </c>
      <c r="E84" s="232">
        <f>'쪽쟘(실측)'!D84+쪽쟘J늘림+MAX(W84:X84)</f>
        <v>65</v>
      </c>
      <c r="F84" s="233">
        <f>'쪽쟘(실측)'!E84+쪽쟘J늘림+MAX(W84:X84)</f>
        <v>65</v>
      </c>
      <c r="G84" s="234" t="str">
        <f t="shared" si="15"/>
        <v>2095*121.4</v>
      </c>
      <c r="H84" s="235" t="str">
        <f t="shared" si="16"/>
        <v>2095*117.4</v>
      </c>
      <c r="I84" s="232">
        <f>IF('쪽쟘(실측)'!F84&gt;0,'쪽쟘(실측)'!F84-1.5,0)+뒷날개치수더함</f>
        <v>33.5</v>
      </c>
      <c r="J84" s="232">
        <f>IF('쪽쟘(실측)'!H84&gt;0,'쪽쟘(실측)'!H84-1.5,0)+뒷날개치수더함</f>
        <v>29.5</v>
      </c>
      <c r="K84" s="232">
        <f>IF('쪽쟘(실측)'!F84&gt;0,'쪽쟘(실측)'!F84+0,0)+뒷날개치수더함</f>
        <v>35</v>
      </c>
      <c r="L84" s="232">
        <f>IF('쪽쟘(실측)'!G84&gt;0,'쪽쟘(실측)'!G84+0,0)+뒷날개치수더함</f>
        <v>31</v>
      </c>
      <c r="M84" s="232">
        <f>IF('쪽쟘(실측)'!H84&gt;0,'쪽쟘(실측)'!H84+0,0)+뒷날개치수더함</f>
        <v>31</v>
      </c>
      <c r="N84" s="232">
        <f>IF('쪽쟘(실측)'!I84&gt;0,'쪽쟘(실측)'!I84+0,0)+뒷날개치수더함</f>
        <v>31</v>
      </c>
      <c r="O84" s="232">
        <f>'쪽쟘(실측)'!J84-쪽쟘기둥차감</f>
        <v>2095</v>
      </c>
      <c r="P84" s="232">
        <f>'쪽쟘(실측)'!K84-쪽쟘기둥차감</f>
        <v>2095</v>
      </c>
      <c r="Q84" s="232">
        <f>'쪽쟘(실측)'!L84-쪽쟘기둥차감</f>
        <v>2095</v>
      </c>
      <c r="R84" s="232">
        <f>'쪽쟘(실측)'!M84-쪽쟘기둥차감</f>
        <v>2095</v>
      </c>
      <c r="S84" s="232">
        <f>'쪽쟘(실측)'!N84+뒷날개치수더함</f>
        <v>32</v>
      </c>
      <c r="T84" s="232">
        <f>'쪽쟘(실측)'!O84+뒷날개치수더함</f>
        <v>32</v>
      </c>
      <c r="U84" s="232">
        <f>'쪽쟘(실측)'!P84+뒷날개치수더함</f>
        <v>25</v>
      </c>
      <c r="V84" s="232">
        <f>'쪽쟘(실측)'!Q84+뒷날개치수더함</f>
        <v>25</v>
      </c>
      <c r="W84" s="232">
        <f>'쪽쟘(실측)'!R84-쪽쟘늘치차감</f>
        <v>0</v>
      </c>
      <c r="X84" s="232">
        <f>'쪽쟘(실측)'!S84-쪽쟘늘치차감</f>
        <v>0</v>
      </c>
      <c r="Y84" s="271">
        <f>IF('쪽쟘(실측)'!T84&gt;5,'쪽쟘(실측)'!T84+뒷날개치수더함,0)</f>
        <v>15</v>
      </c>
      <c r="Z84" s="271">
        <f>'쪽쟘(실측)'!U84</f>
        <v>10</v>
      </c>
      <c r="AA84" s="271">
        <f>'쪽쟘(실측)'!V84</f>
        <v>10</v>
      </c>
      <c r="AC84" s="228">
        <f t="shared" si="17"/>
        <v>961</v>
      </c>
      <c r="AD84" s="228">
        <f t="shared" si="18"/>
        <v>118.4</v>
      </c>
      <c r="AE84" s="228">
        <f t="shared" si="19"/>
        <v>121.4</v>
      </c>
      <c r="AF84" s="228">
        <f t="shared" si="20"/>
        <v>2095</v>
      </c>
      <c r="AG84" s="228">
        <f t="shared" si="21"/>
        <v>117.4</v>
      </c>
      <c r="AH84" s="228">
        <f t="shared" si="22"/>
        <v>2095</v>
      </c>
    </row>
    <row r="85" spans="1:34" s="228" customFormat="1" ht="19.5" customHeight="1" x14ac:dyDescent="0.3">
      <c r="A85" s="232" t="str">
        <f>'쪽쟘(실측)'!A85</f>
        <v>11-2</v>
      </c>
      <c r="B85" s="232" t="str">
        <f>'쪽쟘(실측)'!B85&amp;"F"</f>
        <v>B1F</v>
      </c>
      <c r="C85" s="232" t="str">
        <f t="shared" si="14"/>
        <v>926*121.4</v>
      </c>
      <c r="D85" s="232">
        <f>'쪽쟘(실측)'!C85-쪽쟘OP차감</f>
        <v>889</v>
      </c>
      <c r="E85" s="232">
        <f>'쪽쟘(실측)'!D85+쪽쟘J늘림+MAX(W85:X85)</f>
        <v>70</v>
      </c>
      <c r="F85" s="233">
        <f>'쪽쟘(실측)'!E85+쪽쟘J늘림+MAX(W85:X85)</f>
        <v>70</v>
      </c>
      <c r="G85" s="234" t="str">
        <f t="shared" si="15"/>
        <v>2090*111.4</v>
      </c>
      <c r="H85" s="235" t="str">
        <f t="shared" si="16"/>
        <v>2090*111.4</v>
      </c>
      <c r="I85" s="232">
        <f>IF('쪽쟘(실측)'!F85&gt;0,'쪽쟘(실측)'!F85-1.5,0)+뒷날개치수더함</f>
        <v>18.5</v>
      </c>
      <c r="J85" s="232">
        <f>IF('쪽쟘(실측)'!H85&gt;0,'쪽쟘(실측)'!H85-1.5,0)+뒷날개치수더함</f>
        <v>18.5</v>
      </c>
      <c r="K85" s="282">
        <f>IF('쪽쟘(실측)'!F85&gt;0,'쪽쟘(실측)'!F85+0,0)+뒷날개치수더함</f>
        <v>20</v>
      </c>
      <c r="L85" s="282">
        <f>IF('쪽쟘(실측)'!G85&gt;0,'쪽쟘(실측)'!G85+0,0)+뒷날개치수더함</f>
        <v>20</v>
      </c>
      <c r="M85" s="282">
        <f>IF('쪽쟘(실측)'!H85&gt;0,'쪽쟘(실측)'!H85+0,0)+뒷날개치수더함</f>
        <v>20</v>
      </c>
      <c r="N85" s="282">
        <f>IF('쪽쟘(실측)'!I85&gt;0,'쪽쟘(실측)'!I85+0,0)+뒷날개치수더함</f>
        <v>20</v>
      </c>
      <c r="O85" s="232">
        <f>'쪽쟘(실측)'!J85-쪽쟘기둥차감</f>
        <v>2090</v>
      </c>
      <c r="P85" s="232">
        <f>'쪽쟘(실측)'!K85-쪽쟘기둥차감</f>
        <v>2090</v>
      </c>
      <c r="Q85" s="232">
        <f>'쪽쟘(실측)'!L85-쪽쟘기둥차감</f>
        <v>2090</v>
      </c>
      <c r="R85" s="232">
        <f>'쪽쟘(실측)'!M85-쪽쟘기둥차감</f>
        <v>2090</v>
      </c>
      <c r="S85" s="232">
        <f>'쪽쟘(실측)'!N85+뒷날개치수더함</f>
        <v>30</v>
      </c>
      <c r="T85" s="232">
        <f>'쪽쟘(실측)'!O85+뒷날개치수더함</f>
        <v>25</v>
      </c>
      <c r="U85" s="232">
        <f>'쪽쟘(실측)'!P85+뒷날개치수더함</f>
        <v>25</v>
      </c>
      <c r="V85" s="232">
        <f>'쪽쟘(실측)'!Q85+뒷날개치수더함</f>
        <v>25</v>
      </c>
      <c r="W85" s="232">
        <f>'쪽쟘(실측)'!R85-쪽쟘늘치차감</f>
        <v>0</v>
      </c>
      <c r="X85" s="232">
        <f>'쪽쟘(실측)'!S85-쪽쟘늘치차감</f>
        <v>0</v>
      </c>
      <c r="Y85" s="271">
        <f>IF('쪽쟘(실측)'!T85&gt;5,'쪽쟘(실측)'!T85+뒷날개치수더함,0)</f>
        <v>15</v>
      </c>
      <c r="Z85" s="271">
        <f>'쪽쟘(실측)'!U85</f>
        <v>10</v>
      </c>
      <c r="AA85" s="271">
        <f>'쪽쟘(실측)'!V85</f>
        <v>10</v>
      </c>
      <c r="AC85" s="228">
        <f t="shared" si="17"/>
        <v>926</v>
      </c>
      <c r="AD85" s="228">
        <f t="shared" si="18"/>
        <v>121.4</v>
      </c>
      <c r="AE85" s="228">
        <f t="shared" si="19"/>
        <v>111.4</v>
      </c>
      <c r="AF85" s="228">
        <f t="shared" si="20"/>
        <v>2090</v>
      </c>
      <c r="AG85" s="228">
        <f t="shared" si="21"/>
        <v>111.4</v>
      </c>
      <c r="AH85" s="228">
        <f t="shared" si="22"/>
        <v>2090</v>
      </c>
    </row>
    <row r="86" spans="1:34" s="228" customFormat="1" ht="19.5" customHeight="1" x14ac:dyDescent="0.3">
      <c r="A86" s="232" t="str">
        <f>'쪽쟘(실측)'!A86</f>
        <v>12-1</v>
      </c>
      <c r="B86" s="232" t="str">
        <f>'쪽쟘(실측)'!B86&amp;"F"</f>
        <v>20F</v>
      </c>
      <c r="C86" s="232" t="str">
        <f t="shared" si="14"/>
        <v>958*120.4</v>
      </c>
      <c r="D86" s="232">
        <f>'쪽쟘(실측)'!C86-쪽쟘OP차감</f>
        <v>897</v>
      </c>
      <c r="E86" s="232">
        <f>'쪽쟘(실측)'!D86+쪽쟘J늘림+MAX(W86:X86)</f>
        <v>65</v>
      </c>
      <c r="F86" s="233">
        <f>'쪽쟘(실측)'!E86+쪽쟘J늘림+MAX(W86:X86)</f>
        <v>65</v>
      </c>
      <c r="G86" s="234" t="str">
        <f t="shared" si="15"/>
        <v>2095*118.4</v>
      </c>
      <c r="H86" s="235" t="str">
        <f t="shared" si="16"/>
        <v>2095*118.4</v>
      </c>
      <c r="I86" s="232">
        <f>IF('쪽쟘(실측)'!F86&gt;0,'쪽쟘(실측)'!F86-1.5,0)+뒷날개치수더함</f>
        <v>30.5</v>
      </c>
      <c r="J86" s="232">
        <f>IF('쪽쟘(실측)'!H86&gt;0,'쪽쟘(실측)'!H86-1.5,0)+뒷날개치수더함</f>
        <v>30.5</v>
      </c>
      <c r="K86" s="232">
        <f>IF('쪽쟘(실측)'!F86&gt;0,'쪽쟘(실측)'!F86+0,0)+뒷날개치수더함</f>
        <v>32</v>
      </c>
      <c r="L86" s="232">
        <f>IF('쪽쟘(실측)'!G86&gt;0,'쪽쟘(실측)'!G86+0,0)+뒷날개치수더함</f>
        <v>32</v>
      </c>
      <c r="M86" s="232">
        <f>IF('쪽쟘(실측)'!H86&gt;0,'쪽쟘(실측)'!H86+0,0)+뒷날개치수더함</f>
        <v>32</v>
      </c>
      <c r="N86" s="232">
        <f>IF('쪽쟘(실측)'!I86&gt;0,'쪽쟘(실측)'!I86+0,0)+뒷날개치수더함</f>
        <v>32</v>
      </c>
      <c r="O86" s="232">
        <f>'쪽쟘(실측)'!J86-쪽쟘기둥차감</f>
        <v>2095</v>
      </c>
      <c r="P86" s="232">
        <f>'쪽쟘(실측)'!K86-쪽쟘기둥차감</f>
        <v>2095</v>
      </c>
      <c r="Q86" s="232">
        <f>'쪽쟘(실측)'!L86-쪽쟘기둥차감</f>
        <v>2095</v>
      </c>
      <c r="R86" s="232">
        <f>'쪽쟘(실측)'!M86-쪽쟘기둥차감</f>
        <v>2095</v>
      </c>
      <c r="S86" s="232">
        <f>'쪽쟘(실측)'!N86+뒷날개치수더함</f>
        <v>34</v>
      </c>
      <c r="T86" s="232">
        <f>'쪽쟘(실측)'!O86+뒷날개치수더함</f>
        <v>34</v>
      </c>
      <c r="U86" s="232">
        <f>'쪽쟘(실측)'!P86+뒷날개치수더함</f>
        <v>25</v>
      </c>
      <c r="V86" s="232">
        <f>'쪽쟘(실측)'!Q86+뒷날개치수더함</f>
        <v>25</v>
      </c>
      <c r="W86" s="232">
        <f>'쪽쟘(실측)'!R86-쪽쟘늘치차감</f>
        <v>0</v>
      </c>
      <c r="X86" s="232">
        <f>'쪽쟘(실측)'!S86-쪽쟘늘치차감</f>
        <v>0</v>
      </c>
      <c r="Y86" s="271">
        <f>IF('쪽쟘(실측)'!T86&gt;5,'쪽쟘(실측)'!T86+뒷날개치수더함,0)</f>
        <v>15</v>
      </c>
      <c r="Z86" s="271">
        <f>'쪽쟘(실측)'!U86</f>
        <v>10</v>
      </c>
      <c r="AA86" s="271">
        <f>'쪽쟘(실측)'!V86</f>
        <v>10</v>
      </c>
      <c r="AC86" s="228">
        <f t="shared" si="17"/>
        <v>958</v>
      </c>
      <c r="AD86" s="228">
        <f t="shared" si="18"/>
        <v>120.4</v>
      </c>
      <c r="AE86" s="228">
        <f t="shared" si="19"/>
        <v>118.4</v>
      </c>
      <c r="AF86" s="228">
        <f t="shared" si="20"/>
        <v>2095</v>
      </c>
      <c r="AG86" s="228">
        <f t="shared" si="21"/>
        <v>118.4</v>
      </c>
      <c r="AH86" s="228">
        <f t="shared" si="22"/>
        <v>2095</v>
      </c>
    </row>
    <row r="87" spans="1:34" s="228" customFormat="1" ht="19.5" customHeight="1" x14ac:dyDescent="0.3">
      <c r="A87" s="232" t="str">
        <f>'쪽쟘(실측)'!A87</f>
        <v>12-1</v>
      </c>
      <c r="B87" s="232" t="str">
        <f>'쪽쟘(실측)'!B87&amp;"F"</f>
        <v>19F</v>
      </c>
      <c r="C87" s="232" t="str">
        <f t="shared" si="14"/>
        <v>956*122.4</v>
      </c>
      <c r="D87" s="232">
        <f>'쪽쟘(실측)'!C87-쪽쟘OP차감</f>
        <v>897</v>
      </c>
      <c r="E87" s="232">
        <f>'쪽쟘(실측)'!D87+쪽쟘J늘림+MAX(W87:X87)</f>
        <v>65</v>
      </c>
      <c r="F87" s="233">
        <f>'쪽쟘(실측)'!E87+쪽쟘J늘림+MAX(W87:X87)</f>
        <v>65</v>
      </c>
      <c r="G87" s="234" t="str">
        <f t="shared" si="15"/>
        <v>2095*118.4</v>
      </c>
      <c r="H87" s="235" t="str">
        <f t="shared" si="16"/>
        <v>2095*116.4</v>
      </c>
      <c r="I87" s="232">
        <f>IF('쪽쟘(실측)'!F87&gt;0,'쪽쟘(실측)'!F87-1.5,0)+뒷날개치수더함</f>
        <v>30.5</v>
      </c>
      <c r="J87" s="232">
        <f>IF('쪽쟘(실측)'!H87&gt;0,'쪽쟘(실측)'!H87-1.5,0)+뒷날개치수더함</f>
        <v>28.5</v>
      </c>
      <c r="K87" s="232">
        <f>IF('쪽쟘(실측)'!F87&gt;0,'쪽쟘(실측)'!F87+0,0)+뒷날개치수더함</f>
        <v>32</v>
      </c>
      <c r="L87" s="232">
        <f>IF('쪽쟘(실측)'!G87&gt;0,'쪽쟘(실측)'!G87+0,0)+뒷날개치수더함</f>
        <v>32</v>
      </c>
      <c r="M87" s="232">
        <f>IF('쪽쟘(실측)'!H87&gt;0,'쪽쟘(실측)'!H87+0,0)+뒷날개치수더함</f>
        <v>30</v>
      </c>
      <c r="N87" s="232">
        <f>IF('쪽쟘(실측)'!I87&gt;0,'쪽쟘(실측)'!I87+0,0)+뒷날개치수더함</f>
        <v>30</v>
      </c>
      <c r="O87" s="232">
        <f>'쪽쟘(실측)'!J87-쪽쟘기둥차감</f>
        <v>2095</v>
      </c>
      <c r="P87" s="232">
        <f>'쪽쟘(실측)'!K87-쪽쟘기둥차감</f>
        <v>2095</v>
      </c>
      <c r="Q87" s="232">
        <f>'쪽쟘(실측)'!L87-쪽쟘기둥차감</f>
        <v>2095</v>
      </c>
      <c r="R87" s="232">
        <f>'쪽쟘(실측)'!M87-쪽쟘기둥차감</f>
        <v>2095</v>
      </c>
      <c r="S87" s="232">
        <f>'쪽쟘(실측)'!N87+뒷날개치수더함</f>
        <v>36</v>
      </c>
      <c r="T87" s="232">
        <f>'쪽쟘(실측)'!O87+뒷날개치수더함</f>
        <v>32</v>
      </c>
      <c r="U87" s="232">
        <f>'쪽쟘(실측)'!P87+뒷날개치수더함</f>
        <v>25</v>
      </c>
      <c r="V87" s="232">
        <f>'쪽쟘(실측)'!Q87+뒷날개치수더함</f>
        <v>25</v>
      </c>
      <c r="W87" s="232">
        <f>'쪽쟘(실측)'!R87-쪽쟘늘치차감</f>
        <v>0</v>
      </c>
      <c r="X87" s="232">
        <f>'쪽쟘(실측)'!S87-쪽쟘늘치차감</f>
        <v>0</v>
      </c>
      <c r="Y87" s="271">
        <f>IF('쪽쟘(실측)'!T87&gt;5,'쪽쟘(실측)'!T87+뒷날개치수더함,0)</f>
        <v>15</v>
      </c>
      <c r="Z87" s="271">
        <f>'쪽쟘(실측)'!U87</f>
        <v>10</v>
      </c>
      <c r="AA87" s="271">
        <f>'쪽쟘(실측)'!V87</f>
        <v>10</v>
      </c>
      <c r="AC87" s="228">
        <f t="shared" si="17"/>
        <v>956</v>
      </c>
      <c r="AD87" s="228">
        <f t="shared" si="18"/>
        <v>122.4</v>
      </c>
      <c r="AE87" s="228">
        <f t="shared" si="19"/>
        <v>118.4</v>
      </c>
      <c r="AF87" s="228">
        <f t="shared" si="20"/>
        <v>2095</v>
      </c>
      <c r="AG87" s="228">
        <f t="shared" si="21"/>
        <v>116.4</v>
      </c>
      <c r="AH87" s="228">
        <f t="shared" si="22"/>
        <v>2095</v>
      </c>
    </row>
    <row r="88" spans="1:34" s="228" customFormat="1" ht="19.5" customHeight="1" x14ac:dyDescent="0.3">
      <c r="A88" s="232" t="str">
        <f>'쪽쟘(실측)'!A88</f>
        <v>12-1</v>
      </c>
      <c r="B88" s="232" t="str">
        <f>'쪽쟘(실측)'!B88&amp;"F"</f>
        <v>18F</v>
      </c>
      <c r="C88" s="232" t="str">
        <f t="shared" si="14"/>
        <v>954*123.4</v>
      </c>
      <c r="D88" s="232">
        <f>'쪽쟘(실측)'!C88-쪽쟘OP차감</f>
        <v>896</v>
      </c>
      <c r="E88" s="232">
        <f>'쪽쟘(실측)'!D88+쪽쟘J늘림+MAX(W88:X88)</f>
        <v>65</v>
      </c>
      <c r="F88" s="233">
        <f>'쪽쟘(실측)'!E88+쪽쟘J늘림+MAX(W88:X88)</f>
        <v>65</v>
      </c>
      <c r="G88" s="234" t="str">
        <f t="shared" si="15"/>
        <v>2095*117.4</v>
      </c>
      <c r="H88" s="235" t="str">
        <f t="shared" si="16"/>
        <v>2095*116.4</v>
      </c>
      <c r="I88" s="232">
        <f>IF('쪽쟘(실측)'!F88&gt;0,'쪽쟘(실측)'!F88-1.5,0)+뒷날개치수더함</f>
        <v>29.5</v>
      </c>
      <c r="J88" s="232">
        <f>IF('쪽쟘(실측)'!H88&gt;0,'쪽쟘(실측)'!H88-1.5,0)+뒷날개치수더함</f>
        <v>28.5</v>
      </c>
      <c r="K88" s="232">
        <f>IF('쪽쟘(실측)'!F88&gt;0,'쪽쟘(실측)'!F88+0,0)+뒷날개치수더함</f>
        <v>31</v>
      </c>
      <c r="L88" s="232">
        <f>IF('쪽쟘(실측)'!G88&gt;0,'쪽쟘(실측)'!G88+0,0)+뒷날개치수더함</f>
        <v>31</v>
      </c>
      <c r="M88" s="232">
        <f>IF('쪽쟘(실측)'!H88&gt;0,'쪽쟘(실측)'!H88+0,0)+뒷날개치수더함</f>
        <v>30</v>
      </c>
      <c r="N88" s="232">
        <f>IF('쪽쟘(실측)'!I88&gt;0,'쪽쟘(실측)'!I88+0,0)+뒷날개치수더함</f>
        <v>30</v>
      </c>
      <c r="O88" s="232">
        <f>'쪽쟘(실측)'!J88-쪽쟘기둥차감</f>
        <v>2095</v>
      </c>
      <c r="P88" s="232">
        <f>'쪽쟘(실측)'!K88-쪽쟘기둥차감</f>
        <v>2095</v>
      </c>
      <c r="Q88" s="232">
        <f>'쪽쟘(실측)'!L88-쪽쟘기둥차감</f>
        <v>2095</v>
      </c>
      <c r="R88" s="232">
        <f>'쪽쟘(실측)'!M88-쪽쟘기둥차감</f>
        <v>2095</v>
      </c>
      <c r="S88" s="232">
        <f>'쪽쟘(실측)'!N88+뒷날개치수더함</f>
        <v>37</v>
      </c>
      <c r="T88" s="232">
        <f>'쪽쟘(실측)'!O88+뒷날개치수더함</f>
        <v>33</v>
      </c>
      <c r="U88" s="232">
        <f>'쪽쟘(실측)'!P88+뒷날개치수더함</f>
        <v>25</v>
      </c>
      <c r="V88" s="232">
        <f>'쪽쟘(실측)'!Q88+뒷날개치수더함</f>
        <v>25</v>
      </c>
      <c r="W88" s="232">
        <f>'쪽쟘(실측)'!R88-쪽쟘늘치차감</f>
        <v>0</v>
      </c>
      <c r="X88" s="232">
        <f>'쪽쟘(실측)'!S88-쪽쟘늘치차감</f>
        <v>0</v>
      </c>
      <c r="Y88" s="271">
        <f>IF('쪽쟘(실측)'!T88&gt;5,'쪽쟘(실측)'!T88+뒷날개치수더함,0)</f>
        <v>15</v>
      </c>
      <c r="Z88" s="271">
        <f>'쪽쟘(실측)'!U88</f>
        <v>10</v>
      </c>
      <c r="AA88" s="271">
        <f>'쪽쟘(실측)'!V88</f>
        <v>10</v>
      </c>
      <c r="AC88" s="228">
        <f t="shared" si="17"/>
        <v>954</v>
      </c>
      <c r="AD88" s="228">
        <f t="shared" si="18"/>
        <v>123.4</v>
      </c>
      <c r="AE88" s="228">
        <f t="shared" si="19"/>
        <v>117.4</v>
      </c>
      <c r="AF88" s="228">
        <f t="shared" si="20"/>
        <v>2095</v>
      </c>
      <c r="AG88" s="228">
        <f t="shared" si="21"/>
        <v>116.4</v>
      </c>
      <c r="AH88" s="228">
        <f t="shared" si="22"/>
        <v>2095</v>
      </c>
    </row>
    <row r="89" spans="1:34" s="228" customFormat="1" ht="19.5" customHeight="1" x14ac:dyDescent="0.3">
      <c r="A89" s="232" t="str">
        <f>'쪽쟘(실측)'!A89</f>
        <v>12-1</v>
      </c>
      <c r="B89" s="232" t="str">
        <f>'쪽쟘(실측)'!B89&amp;"F"</f>
        <v>17F</v>
      </c>
      <c r="C89" s="232" t="str">
        <f t="shared" si="14"/>
        <v>961*117.4</v>
      </c>
      <c r="D89" s="232">
        <f>'쪽쟘(실측)'!C89-쪽쟘OP차감</f>
        <v>897</v>
      </c>
      <c r="E89" s="232">
        <f>'쪽쟘(실측)'!D89+쪽쟘J늘림+MAX(W89:X89)</f>
        <v>65</v>
      </c>
      <c r="F89" s="233">
        <f>'쪽쟘(실측)'!E89+쪽쟘J늘림+MAX(W89:X89)</f>
        <v>65</v>
      </c>
      <c r="G89" s="234" t="str">
        <f t="shared" si="15"/>
        <v>2095*120.4</v>
      </c>
      <c r="H89" s="235" t="str">
        <f t="shared" si="16"/>
        <v>2095*119.4</v>
      </c>
      <c r="I89" s="232">
        <f>IF('쪽쟘(실측)'!F89&gt;0,'쪽쟘(실측)'!F89-1.5,0)+뒷날개치수더함</f>
        <v>32.5</v>
      </c>
      <c r="J89" s="232">
        <f>IF('쪽쟘(실측)'!H89&gt;0,'쪽쟘(실측)'!H89-1.5,0)+뒷날개치수더함</f>
        <v>31.5</v>
      </c>
      <c r="K89" s="232">
        <f>IF('쪽쟘(실측)'!F89&gt;0,'쪽쟘(실측)'!F89+0,0)+뒷날개치수더함</f>
        <v>34</v>
      </c>
      <c r="L89" s="232">
        <f>IF('쪽쟘(실측)'!G89&gt;0,'쪽쟘(실측)'!G89+0,0)+뒷날개치수더함</f>
        <v>34</v>
      </c>
      <c r="M89" s="232">
        <f>IF('쪽쟘(실측)'!H89&gt;0,'쪽쟘(실측)'!H89+0,0)+뒷날개치수더함</f>
        <v>33</v>
      </c>
      <c r="N89" s="232">
        <f>IF('쪽쟘(실측)'!I89&gt;0,'쪽쟘(실측)'!I89+0,0)+뒷날개치수더함</f>
        <v>33</v>
      </c>
      <c r="O89" s="232">
        <f>'쪽쟘(실측)'!J89-쪽쟘기둥차감</f>
        <v>2095</v>
      </c>
      <c r="P89" s="232">
        <f>'쪽쟘(실측)'!K89-쪽쟘기둥차감</f>
        <v>2095</v>
      </c>
      <c r="Q89" s="232">
        <f>'쪽쟘(실측)'!L89-쪽쟘기둥차감</f>
        <v>2095</v>
      </c>
      <c r="R89" s="232">
        <f>'쪽쟘(실측)'!M89-쪽쟘기둥차감</f>
        <v>2095</v>
      </c>
      <c r="S89" s="232">
        <f>'쪽쟘(실측)'!N89+뒷날개치수더함</f>
        <v>31</v>
      </c>
      <c r="T89" s="232">
        <f>'쪽쟘(실측)'!O89+뒷날개치수더함</f>
        <v>31</v>
      </c>
      <c r="U89" s="232">
        <f>'쪽쟘(실측)'!P89+뒷날개치수더함</f>
        <v>25</v>
      </c>
      <c r="V89" s="232">
        <f>'쪽쟘(실측)'!Q89+뒷날개치수더함</f>
        <v>25</v>
      </c>
      <c r="W89" s="232">
        <f>'쪽쟘(실측)'!R89-쪽쟘늘치차감</f>
        <v>0</v>
      </c>
      <c r="X89" s="232">
        <f>'쪽쟘(실측)'!S89-쪽쟘늘치차감</f>
        <v>0</v>
      </c>
      <c r="Y89" s="271">
        <f>IF('쪽쟘(실측)'!T89&gt;5,'쪽쟘(실측)'!T89+뒷날개치수더함,0)</f>
        <v>15</v>
      </c>
      <c r="Z89" s="271">
        <f>'쪽쟘(실측)'!U89</f>
        <v>10</v>
      </c>
      <c r="AA89" s="271">
        <f>'쪽쟘(실측)'!V89</f>
        <v>10</v>
      </c>
      <c r="AC89" s="228">
        <f t="shared" si="17"/>
        <v>961</v>
      </c>
      <c r="AD89" s="228">
        <f t="shared" si="18"/>
        <v>117.4</v>
      </c>
      <c r="AE89" s="228">
        <f t="shared" si="19"/>
        <v>120.4</v>
      </c>
      <c r="AF89" s="228">
        <f t="shared" si="20"/>
        <v>2095</v>
      </c>
      <c r="AG89" s="228">
        <f t="shared" si="21"/>
        <v>119.4</v>
      </c>
      <c r="AH89" s="228">
        <f t="shared" si="22"/>
        <v>2095</v>
      </c>
    </row>
    <row r="90" spans="1:34" s="228" customFormat="1" ht="19.5" customHeight="1" x14ac:dyDescent="0.3">
      <c r="A90" s="232" t="str">
        <f>'쪽쟘(실측)'!A90</f>
        <v>12-1</v>
      </c>
      <c r="B90" s="232" t="str">
        <f>'쪽쟘(실측)'!B90&amp;"F"</f>
        <v>16F</v>
      </c>
      <c r="C90" s="232" t="str">
        <f t="shared" si="14"/>
        <v>958*121.4</v>
      </c>
      <c r="D90" s="232">
        <f>'쪽쟘(실측)'!C90-쪽쟘OP차감</f>
        <v>898</v>
      </c>
      <c r="E90" s="232">
        <f>'쪽쟘(실측)'!D90+쪽쟘J늘림+MAX(W90:X90)</f>
        <v>65</v>
      </c>
      <c r="F90" s="233">
        <f>'쪽쟘(실측)'!E90+쪽쟘J늘림+MAX(W90:X90)</f>
        <v>65</v>
      </c>
      <c r="G90" s="234" t="str">
        <f t="shared" si="15"/>
        <v>2095*118.4</v>
      </c>
      <c r="H90" s="235" t="str">
        <f t="shared" si="16"/>
        <v>2095*117.4</v>
      </c>
      <c r="I90" s="232">
        <f>IF('쪽쟘(실측)'!F90&gt;0,'쪽쟘(실측)'!F90-1.5,0)+뒷날개치수더함</f>
        <v>30.5</v>
      </c>
      <c r="J90" s="232">
        <f>IF('쪽쟘(실측)'!H90&gt;0,'쪽쟘(실측)'!H90-1.5,0)+뒷날개치수더함</f>
        <v>29.5</v>
      </c>
      <c r="K90" s="232">
        <f>IF('쪽쟘(실측)'!F90&gt;0,'쪽쟘(실측)'!F90+0,0)+뒷날개치수더함</f>
        <v>32</v>
      </c>
      <c r="L90" s="232">
        <f>IF('쪽쟘(실측)'!G90&gt;0,'쪽쟘(실측)'!G90+0,0)+뒷날개치수더함</f>
        <v>32</v>
      </c>
      <c r="M90" s="232">
        <f>IF('쪽쟘(실측)'!H90&gt;0,'쪽쟘(실측)'!H90+0,0)+뒷날개치수더함</f>
        <v>31</v>
      </c>
      <c r="N90" s="232">
        <f>IF('쪽쟘(실측)'!I90&gt;0,'쪽쟘(실측)'!I90+0,0)+뒷날개치수더함</f>
        <v>31</v>
      </c>
      <c r="O90" s="232">
        <f>'쪽쟘(실측)'!J90-쪽쟘기둥차감</f>
        <v>2095</v>
      </c>
      <c r="P90" s="232">
        <f>'쪽쟘(실측)'!K90-쪽쟘기둥차감</f>
        <v>2095</v>
      </c>
      <c r="Q90" s="232">
        <f>'쪽쟘(실측)'!L90-쪽쟘기둥차감</f>
        <v>2095</v>
      </c>
      <c r="R90" s="232">
        <f>'쪽쟘(실측)'!M90-쪽쟘기둥차감</f>
        <v>2095</v>
      </c>
      <c r="S90" s="232">
        <f>'쪽쟘(실측)'!N90+뒷날개치수더함</f>
        <v>35</v>
      </c>
      <c r="T90" s="232">
        <f>'쪽쟘(실측)'!O90+뒷날개치수더함</f>
        <v>35</v>
      </c>
      <c r="U90" s="232">
        <f>'쪽쟘(실측)'!P90+뒷날개치수더함</f>
        <v>25</v>
      </c>
      <c r="V90" s="232">
        <f>'쪽쟘(실측)'!Q90+뒷날개치수더함</f>
        <v>25</v>
      </c>
      <c r="W90" s="232">
        <f>'쪽쟘(실측)'!R90-쪽쟘늘치차감</f>
        <v>0</v>
      </c>
      <c r="X90" s="232">
        <f>'쪽쟘(실측)'!S90-쪽쟘늘치차감</f>
        <v>0</v>
      </c>
      <c r="Y90" s="271">
        <f>IF('쪽쟘(실측)'!T90&gt;5,'쪽쟘(실측)'!T90+뒷날개치수더함,0)</f>
        <v>15</v>
      </c>
      <c r="Z90" s="271">
        <f>'쪽쟘(실측)'!U90</f>
        <v>10</v>
      </c>
      <c r="AA90" s="271">
        <f>'쪽쟘(실측)'!V90</f>
        <v>10</v>
      </c>
      <c r="AC90" s="228">
        <f t="shared" si="17"/>
        <v>958</v>
      </c>
      <c r="AD90" s="228">
        <f t="shared" si="18"/>
        <v>121.4</v>
      </c>
      <c r="AE90" s="228">
        <f t="shared" si="19"/>
        <v>118.4</v>
      </c>
      <c r="AF90" s="228">
        <f t="shared" si="20"/>
        <v>2095</v>
      </c>
      <c r="AG90" s="228">
        <f t="shared" si="21"/>
        <v>117.4</v>
      </c>
      <c r="AH90" s="228">
        <f t="shared" si="22"/>
        <v>2095</v>
      </c>
    </row>
    <row r="91" spans="1:34" s="228" customFormat="1" ht="19.5" customHeight="1" x14ac:dyDescent="0.3">
      <c r="A91" s="232" t="str">
        <f>'쪽쟘(실측)'!A91</f>
        <v>12-1</v>
      </c>
      <c r="B91" s="232" t="str">
        <f>'쪽쟘(실측)'!B91&amp;"F"</f>
        <v>15F</v>
      </c>
      <c r="C91" s="232" t="str">
        <f t="shared" si="14"/>
        <v>961*120.4</v>
      </c>
      <c r="D91" s="232">
        <f>'쪽쟘(실측)'!C91-쪽쟘OP차감</f>
        <v>900</v>
      </c>
      <c r="E91" s="232">
        <f>'쪽쟘(실측)'!D91+쪽쟘J늘림+MAX(W91:X91)</f>
        <v>65</v>
      </c>
      <c r="F91" s="233">
        <f>'쪽쟘(실측)'!E91+쪽쟘J늘림+MAX(W91:X91)</f>
        <v>65</v>
      </c>
      <c r="G91" s="234" t="str">
        <f t="shared" si="15"/>
        <v>2095*119.4</v>
      </c>
      <c r="H91" s="235" t="str">
        <f t="shared" si="16"/>
        <v>2095*117.4</v>
      </c>
      <c r="I91" s="232">
        <f>IF('쪽쟘(실측)'!F91&gt;0,'쪽쟘(실측)'!F91-1.5,0)+뒷날개치수더함</f>
        <v>31.5</v>
      </c>
      <c r="J91" s="232">
        <f>IF('쪽쟘(실측)'!H91&gt;0,'쪽쟘(실측)'!H91-1.5,0)+뒷날개치수더함</f>
        <v>29.5</v>
      </c>
      <c r="K91" s="232">
        <f>IF('쪽쟘(실측)'!F91&gt;0,'쪽쟘(실측)'!F91+0,0)+뒷날개치수더함</f>
        <v>33</v>
      </c>
      <c r="L91" s="232">
        <f>IF('쪽쟘(실측)'!G91&gt;0,'쪽쟘(실측)'!G91+0,0)+뒷날개치수더함</f>
        <v>33</v>
      </c>
      <c r="M91" s="232">
        <f>IF('쪽쟘(실측)'!H91&gt;0,'쪽쟘(실측)'!H91+0,0)+뒷날개치수더함</f>
        <v>31</v>
      </c>
      <c r="N91" s="232">
        <f>IF('쪽쟘(실측)'!I91&gt;0,'쪽쟘(실측)'!I91+0,0)+뒷날개치수더함</f>
        <v>31</v>
      </c>
      <c r="O91" s="232">
        <f>'쪽쟘(실측)'!J91-쪽쟘기둥차감</f>
        <v>2095</v>
      </c>
      <c r="P91" s="232">
        <f>'쪽쟘(실측)'!K91-쪽쟘기둥차감</f>
        <v>2095</v>
      </c>
      <c r="Q91" s="232">
        <f>'쪽쟘(실측)'!L91-쪽쟘기둥차감</f>
        <v>2095</v>
      </c>
      <c r="R91" s="232">
        <f>'쪽쟘(실측)'!M91-쪽쟘기둥차감</f>
        <v>2095</v>
      </c>
      <c r="S91" s="232">
        <f>'쪽쟘(실측)'!N91+뒷날개치수더함</f>
        <v>34</v>
      </c>
      <c r="T91" s="232">
        <f>'쪽쟘(실측)'!O91+뒷날개치수더함</f>
        <v>34</v>
      </c>
      <c r="U91" s="232">
        <f>'쪽쟘(실측)'!P91+뒷날개치수더함</f>
        <v>25</v>
      </c>
      <c r="V91" s="232">
        <f>'쪽쟘(실측)'!Q91+뒷날개치수더함</f>
        <v>25</v>
      </c>
      <c r="W91" s="232">
        <f>'쪽쟘(실측)'!R91-쪽쟘늘치차감</f>
        <v>0</v>
      </c>
      <c r="X91" s="232">
        <f>'쪽쟘(실측)'!S91-쪽쟘늘치차감</f>
        <v>0</v>
      </c>
      <c r="Y91" s="271">
        <f>IF('쪽쟘(실측)'!T91&gt;5,'쪽쟘(실측)'!T91+뒷날개치수더함,0)</f>
        <v>15</v>
      </c>
      <c r="Z91" s="271">
        <f>'쪽쟘(실측)'!U91</f>
        <v>10</v>
      </c>
      <c r="AA91" s="271">
        <f>'쪽쟘(실측)'!V91</f>
        <v>10</v>
      </c>
      <c r="AC91" s="228">
        <f t="shared" si="17"/>
        <v>961</v>
      </c>
      <c r="AD91" s="228">
        <f t="shared" si="18"/>
        <v>120.4</v>
      </c>
      <c r="AE91" s="228">
        <f t="shared" si="19"/>
        <v>119.4</v>
      </c>
      <c r="AF91" s="228">
        <f t="shared" si="20"/>
        <v>2095</v>
      </c>
      <c r="AG91" s="228">
        <f t="shared" si="21"/>
        <v>117.4</v>
      </c>
      <c r="AH91" s="228">
        <f t="shared" si="22"/>
        <v>2095</v>
      </c>
    </row>
    <row r="92" spans="1:34" s="228" customFormat="1" ht="19.5" customHeight="1" x14ac:dyDescent="0.3">
      <c r="A92" s="232" t="str">
        <f>'쪽쟘(실측)'!A92</f>
        <v>12-1</v>
      </c>
      <c r="B92" s="232" t="str">
        <f>'쪽쟘(실측)'!B92&amp;"F"</f>
        <v>14F</v>
      </c>
      <c r="C92" s="232" t="str">
        <f t="shared" si="14"/>
        <v>961*121.4</v>
      </c>
      <c r="D92" s="232">
        <f>'쪽쟘(실측)'!C92-쪽쟘OP차감</f>
        <v>900</v>
      </c>
      <c r="E92" s="232">
        <f>'쪽쟘(실측)'!D92+쪽쟘J늘림+MAX(W92:X92)</f>
        <v>65</v>
      </c>
      <c r="F92" s="233">
        <f>'쪽쟘(실측)'!E92+쪽쟘J늘림+MAX(W92:X92)</f>
        <v>65</v>
      </c>
      <c r="G92" s="234" t="str">
        <f t="shared" si="15"/>
        <v>2095*120.4</v>
      </c>
      <c r="H92" s="235" t="str">
        <f t="shared" si="16"/>
        <v>2095*116.4</v>
      </c>
      <c r="I92" s="232">
        <f>IF('쪽쟘(실측)'!F92&gt;0,'쪽쟘(실측)'!F92-1.5,0)+뒷날개치수더함</f>
        <v>32.5</v>
      </c>
      <c r="J92" s="232">
        <f>IF('쪽쟘(실측)'!H92&gt;0,'쪽쟘(실측)'!H92-1.5,0)+뒷날개치수더함</f>
        <v>28.5</v>
      </c>
      <c r="K92" s="232">
        <f>IF('쪽쟘(실측)'!F92&gt;0,'쪽쟘(실측)'!F92+0,0)+뒷날개치수더함</f>
        <v>34</v>
      </c>
      <c r="L92" s="232">
        <f>IF('쪽쟘(실측)'!G92&gt;0,'쪽쟘(실측)'!G92+0,0)+뒷날개치수더함</f>
        <v>30</v>
      </c>
      <c r="M92" s="232">
        <f>IF('쪽쟘(실측)'!H92&gt;0,'쪽쟘(실측)'!H92+0,0)+뒷날개치수더함</f>
        <v>30</v>
      </c>
      <c r="N92" s="232">
        <f>IF('쪽쟘(실측)'!I92&gt;0,'쪽쟘(실측)'!I92+0,0)+뒷날개치수더함</f>
        <v>30</v>
      </c>
      <c r="O92" s="232">
        <f>'쪽쟘(실측)'!J92-쪽쟘기둥차감</f>
        <v>2095</v>
      </c>
      <c r="P92" s="232">
        <f>'쪽쟘(실측)'!K92-쪽쟘기둥차감</f>
        <v>2095</v>
      </c>
      <c r="Q92" s="232">
        <f>'쪽쟘(실측)'!L92-쪽쟘기둥차감</f>
        <v>2095</v>
      </c>
      <c r="R92" s="232">
        <f>'쪽쟘(실측)'!M92-쪽쟘기둥차감</f>
        <v>2095</v>
      </c>
      <c r="S92" s="232">
        <f>'쪽쟘(실측)'!N92+뒷날개치수더함</f>
        <v>35</v>
      </c>
      <c r="T92" s="232">
        <f>'쪽쟘(실측)'!O92+뒷날개치수더함</f>
        <v>35</v>
      </c>
      <c r="U92" s="232">
        <f>'쪽쟘(실측)'!P92+뒷날개치수더함</f>
        <v>25</v>
      </c>
      <c r="V92" s="232">
        <f>'쪽쟘(실측)'!Q92+뒷날개치수더함</f>
        <v>25</v>
      </c>
      <c r="W92" s="232">
        <f>'쪽쟘(실측)'!R92-쪽쟘늘치차감</f>
        <v>0</v>
      </c>
      <c r="X92" s="232">
        <f>'쪽쟘(실측)'!S92-쪽쟘늘치차감</f>
        <v>0</v>
      </c>
      <c r="Y92" s="271">
        <f>IF('쪽쟘(실측)'!T92&gt;5,'쪽쟘(실측)'!T92+뒷날개치수더함,0)</f>
        <v>15</v>
      </c>
      <c r="Z92" s="271">
        <f>'쪽쟘(실측)'!U92</f>
        <v>10</v>
      </c>
      <c r="AA92" s="271">
        <f>'쪽쟘(실측)'!V92</f>
        <v>10</v>
      </c>
      <c r="AC92" s="228">
        <f t="shared" si="17"/>
        <v>961</v>
      </c>
      <c r="AD92" s="228">
        <f t="shared" si="18"/>
        <v>121.4</v>
      </c>
      <c r="AE92" s="228">
        <f t="shared" si="19"/>
        <v>120.4</v>
      </c>
      <c r="AF92" s="228">
        <f t="shared" si="20"/>
        <v>2095</v>
      </c>
      <c r="AG92" s="228">
        <f t="shared" si="21"/>
        <v>116.4</v>
      </c>
      <c r="AH92" s="228">
        <f t="shared" si="22"/>
        <v>2095</v>
      </c>
    </row>
    <row r="93" spans="1:34" s="228" customFormat="1" ht="19.5" customHeight="1" x14ac:dyDescent="0.3">
      <c r="A93" s="232" t="str">
        <f>'쪽쟘(실측)'!A93</f>
        <v>12-1</v>
      </c>
      <c r="B93" s="232" t="str">
        <f>'쪽쟘(실측)'!B93&amp;"F"</f>
        <v>13F</v>
      </c>
      <c r="C93" s="232" t="str">
        <f t="shared" si="14"/>
        <v>961*117.4</v>
      </c>
      <c r="D93" s="232">
        <f>'쪽쟘(실측)'!C93-쪽쟘OP차감</f>
        <v>900</v>
      </c>
      <c r="E93" s="232">
        <f>'쪽쟘(실측)'!D93+쪽쟘J늘림+MAX(W93:X93)</f>
        <v>65</v>
      </c>
      <c r="F93" s="233">
        <f>'쪽쟘(실측)'!E93+쪽쟘J늘림+MAX(W93:X93)</f>
        <v>65</v>
      </c>
      <c r="G93" s="234" t="str">
        <f t="shared" si="15"/>
        <v>2095*119.4</v>
      </c>
      <c r="H93" s="235" t="str">
        <f t="shared" si="16"/>
        <v>2095*117.4</v>
      </c>
      <c r="I93" s="232">
        <f>IF('쪽쟘(실측)'!F93&gt;0,'쪽쟘(실측)'!F93-1.5,0)+뒷날개치수더함</f>
        <v>31.5</v>
      </c>
      <c r="J93" s="232">
        <f>IF('쪽쟘(실측)'!H93&gt;0,'쪽쟘(실측)'!H93-1.5,0)+뒷날개치수더함</f>
        <v>29.5</v>
      </c>
      <c r="K93" s="232">
        <f>IF('쪽쟘(실측)'!F93&gt;0,'쪽쟘(실측)'!F93+0,0)+뒷날개치수더함</f>
        <v>33</v>
      </c>
      <c r="L93" s="232">
        <f>IF('쪽쟘(실측)'!G93&gt;0,'쪽쟘(실측)'!G93+0,0)+뒷날개치수더함</f>
        <v>33</v>
      </c>
      <c r="M93" s="232">
        <f>IF('쪽쟘(실측)'!H93&gt;0,'쪽쟘(실측)'!H93+0,0)+뒷날개치수더함</f>
        <v>31</v>
      </c>
      <c r="N93" s="232">
        <f>IF('쪽쟘(실측)'!I93&gt;0,'쪽쟘(실측)'!I93+0,0)+뒷날개치수더함</f>
        <v>31</v>
      </c>
      <c r="O93" s="232">
        <f>'쪽쟘(실측)'!J93-쪽쟘기둥차감</f>
        <v>2095</v>
      </c>
      <c r="P93" s="232">
        <f>'쪽쟘(실측)'!K93-쪽쟘기둥차감</f>
        <v>2095</v>
      </c>
      <c r="Q93" s="232">
        <f>'쪽쟘(실측)'!L93-쪽쟘기둥차감</f>
        <v>2095</v>
      </c>
      <c r="R93" s="232">
        <f>'쪽쟘(실측)'!M93-쪽쟘기둥차감</f>
        <v>2095</v>
      </c>
      <c r="S93" s="232">
        <f>'쪽쟘(실측)'!N93+뒷날개치수더함</f>
        <v>31</v>
      </c>
      <c r="T93" s="232">
        <f>'쪽쟘(실측)'!O93+뒷날개치수더함</f>
        <v>31</v>
      </c>
      <c r="U93" s="232">
        <f>'쪽쟘(실측)'!P93+뒷날개치수더함</f>
        <v>25</v>
      </c>
      <c r="V93" s="232">
        <f>'쪽쟘(실측)'!Q93+뒷날개치수더함</f>
        <v>25</v>
      </c>
      <c r="W93" s="232">
        <f>'쪽쟘(실측)'!R93-쪽쟘늘치차감</f>
        <v>0</v>
      </c>
      <c r="X93" s="232">
        <f>'쪽쟘(실측)'!S93-쪽쟘늘치차감</f>
        <v>0</v>
      </c>
      <c r="Y93" s="271">
        <f>IF('쪽쟘(실측)'!T93&gt;5,'쪽쟘(실측)'!T93+뒷날개치수더함,0)</f>
        <v>15</v>
      </c>
      <c r="Z93" s="271">
        <f>'쪽쟘(실측)'!U93</f>
        <v>10</v>
      </c>
      <c r="AA93" s="271">
        <f>'쪽쟘(실측)'!V93</f>
        <v>10</v>
      </c>
      <c r="AC93" s="228">
        <f t="shared" si="17"/>
        <v>961</v>
      </c>
      <c r="AD93" s="228">
        <f t="shared" si="18"/>
        <v>117.4</v>
      </c>
      <c r="AE93" s="228">
        <f t="shared" si="19"/>
        <v>119.4</v>
      </c>
      <c r="AF93" s="228">
        <f t="shared" si="20"/>
        <v>2095</v>
      </c>
      <c r="AG93" s="228">
        <f t="shared" si="21"/>
        <v>117.4</v>
      </c>
      <c r="AH93" s="228">
        <f t="shared" si="22"/>
        <v>2095</v>
      </c>
    </row>
    <row r="94" spans="1:34" s="228" customFormat="1" ht="19.5" customHeight="1" x14ac:dyDescent="0.3">
      <c r="A94" s="232" t="str">
        <f>'쪽쟘(실측)'!A94</f>
        <v>12-1</v>
      </c>
      <c r="B94" s="232" t="str">
        <f>'쪽쟘(실측)'!B94&amp;"F"</f>
        <v>12F</v>
      </c>
      <c r="C94" s="232" t="str">
        <f t="shared" si="14"/>
        <v>957*120.4</v>
      </c>
      <c r="D94" s="232">
        <f>'쪽쟘(실측)'!C94-쪽쟘OP차감</f>
        <v>899</v>
      </c>
      <c r="E94" s="232">
        <f>'쪽쟘(실측)'!D94+쪽쟘J늘림+MAX(W94:X94)</f>
        <v>65</v>
      </c>
      <c r="F94" s="233">
        <f>'쪽쟘(실측)'!E94+쪽쟘J늘림+MAX(W94:X94)</f>
        <v>65</v>
      </c>
      <c r="G94" s="234" t="str">
        <f t="shared" si="15"/>
        <v>2095*117.4</v>
      </c>
      <c r="H94" s="235" t="str">
        <f t="shared" si="16"/>
        <v>2095*116.4</v>
      </c>
      <c r="I94" s="232">
        <f>IF('쪽쟘(실측)'!F94&gt;0,'쪽쟘(실측)'!F94-1.5,0)+뒷날개치수더함</f>
        <v>29.5</v>
      </c>
      <c r="J94" s="232">
        <f>IF('쪽쟘(실측)'!H94&gt;0,'쪽쟘(실측)'!H94-1.5,0)+뒷날개치수더함</f>
        <v>28.5</v>
      </c>
      <c r="K94" s="232">
        <f>IF('쪽쟘(실측)'!F94&gt;0,'쪽쟘(실측)'!F94+0,0)+뒷날개치수더함</f>
        <v>31</v>
      </c>
      <c r="L94" s="232">
        <f>IF('쪽쟘(실측)'!G94&gt;0,'쪽쟘(실측)'!G94+0,0)+뒷날개치수더함</f>
        <v>31</v>
      </c>
      <c r="M94" s="232">
        <f>IF('쪽쟘(실측)'!H94&gt;0,'쪽쟘(실측)'!H94+0,0)+뒷날개치수더함</f>
        <v>30</v>
      </c>
      <c r="N94" s="232">
        <f>IF('쪽쟘(실측)'!I94&gt;0,'쪽쟘(실측)'!I94+0,0)+뒷날개치수더함</f>
        <v>30</v>
      </c>
      <c r="O94" s="232">
        <f>'쪽쟘(실측)'!J94-쪽쟘기둥차감</f>
        <v>2095</v>
      </c>
      <c r="P94" s="232">
        <f>'쪽쟘(실측)'!K94-쪽쟘기둥차감</f>
        <v>2095</v>
      </c>
      <c r="Q94" s="232">
        <f>'쪽쟘(실측)'!L94-쪽쟘기둥차감</f>
        <v>2095</v>
      </c>
      <c r="R94" s="232">
        <f>'쪽쟘(실측)'!M94-쪽쟘기둥차감</f>
        <v>2095</v>
      </c>
      <c r="S94" s="232">
        <f>'쪽쟘(실측)'!N94+뒷날개치수더함</f>
        <v>34</v>
      </c>
      <c r="T94" s="232">
        <f>'쪽쟘(실측)'!O94+뒷날개치수더함</f>
        <v>34</v>
      </c>
      <c r="U94" s="232">
        <f>'쪽쟘(실측)'!P94+뒷날개치수더함</f>
        <v>25</v>
      </c>
      <c r="V94" s="232">
        <f>'쪽쟘(실측)'!Q94+뒷날개치수더함</f>
        <v>25</v>
      </c>
      <c r="W94" s="232">
        <f>'쪽쟘(실측)'!R94-쪽쟘늘치차감</f>
        <v>0</v>
      </c>
      <c r="X94" s="232">
        <f>'쪽쟘(실측)'!S94-쪽쟘늘치차감</f>
        <v>0</v>
      </c>
      <c r="Y94" s="271">
        <f>IF('쪽쟘(실측)'!T94&gt;5,'쪽쟘(실측)'!T94+뒷날개치수더함,0)</f>
        <v>15</v>
      </c>
      <c r="Z94" s="271">
        <f>'쪽쟘(실측)'!U94</f>
        <v>10</v>
      </c>
      <c r="AA94" s="271">
        <f>'쪽쟘(실측)'!V94</f>
        <v>10</v>
      </c>
      <c r="AC94" s="228">
        <f t="shared" si="17"/>
        <v>957</v>
      </c>
      <c r="AD94" s="228">
        <f t="shared" si="18"/>
        <v>120.4</v>
      </c>
      <c r="AE94" s="228">
        <f t="shared" si="19"/>
        <v>117.4</v>
      </c>
      <c r="AF94" s="228">
        <f t="shared" si="20"/>
        <v>2095</v>
      </c>
      <c r="AG94" s="228">
        <f t="shared" si="21"/>
        <v>116.4</v>
      </c>
      <c r="AH94" s="228">
        <f t="shared" si="22"/>
        <v>2095</v>
      </c>
    </row>
    <row r="95" spans="1:34" s="228" customFormat="1" ht="19.5" customHeight="1" x14ac:dyDescent="0.3">
      <c r="A95" s="232" t="str">
        <f>'쪽쟘(실측)'!A95</f>
        <v>12-1</v>
      </c>
      <c r="B95" s="232" t="str">
        <f>'쪽쟘(실측)'!B95&amp;"F"</f>
        <v>11F</v>
      </c>
      <c r="C95" s="232" t="str">
        <f t="shared" si="14"/>
        <v>958*120.4</v>
      </c>
      <c r="D95" s="232">
        <f>'쪽쟘(실측)'!C95-쪽쟘OP차감</f>
        <v>900</v>
      </c>
      <c r="E95" s="232">
        <f>'쪽쟘(실측)'!D95+쪽쟘J늘림+MAX(W95:X95)</f>
        <v>65</v>
      </c>
      <c r="F95" s="233">
        <f>'쪽쟘(실측)'!E95+쪽쟘J늘림+MAX(W95:X95)</f>
        <v>65</v>
      </c>
      <c r="G95" s="234" t="str">
        <f t="shared" si="15"/>
        <v>2095*120.4</v>
      </c>
      <c r="H95" s="235" t="str">
        <f t="shared" si="16"/>
        <v>2095*117.4</v>
      </c>
      <c r="I95" s="232">
        <f>IF('쪽쟘(실측)'!F95&gt;0,'쪽쟘(실측)'!F95-1.5,0)+뒷날개치수더함</f>
        <v>28.5</v>
      </c>
      <c r="J95" s="232">
        <f>IF('쪽쟘(실측)'!H95&gt;0,'쪽쟘(실측)'!H95-1.5,0)+뒷날개치수더함</f>
        <v>29.5</v>
      </c>
      <c r="K95" s="232">
        <f>IF('쪽쟘(실측)'!F95&gt;0,'쪽쟘(실측)'!F95+0,0)+뒷날개치수더함</f>
        <v>30</v>
      </c>
      <c r="L95" s="232">
        <f>IF('쪽쟘(실측)'!G95&gt;0,'쪽쟘(실측)'!G95+0,0)+뒷날개치수더함</f>
        <v>34</v>
      </c>
      <c r="M95" s="232">
        <f>IF('쪽쟘(실측)'!H95&gt;0,'쪽쟘(실측)'!H95+0,0)+뒷날개치수더함</f>
        <v>31</v>
      </c>
      <c r="N95" s="232">
        <f>IF('쪽쟘(실측)'!I95&gt;0,'쪽쟘(실측)'!I95+0,0)+뒷날개치수더함</f>
        <v>31</v>
      </c>
      <c r="O95" s="232">
        <f>'쪽쟘(실측)'!J95-쪽쟘기둥차감</f>
        <v>2095</v>
      </c>
      <c r="P95" s="232">
        <f>'쪽쟘(실측)'!K95-쪽쟘기둥차감</f>
        <v>2095</v>
      </c>
      <c r="Q95" s="232">
        <f>'쪽쟘(실측)'!L95-쪽쟘기둥차감</f>
        <v>2095</v>
      </c>
      <c r="R95" s="232">
        <f>'쪽쟘(실측)'!M95-쪽쟘기둥차감</f>
        <v>2095</v>
      </c>
      <c r="S95" s="232">
        <f>'쪽쟘(실측)'!N95+뒷날개치수더함</f>
        <v>34</v>
      </c>
      <c r="T95" s="232">
        <f>'쪽쟘(실측)'!O95+뒷날개치수더함</f>
        <v>30</v>
      </c>
      <c r="U95" s="232">
        <f>'쪽쟘(실측)'!P95+뒷날개치수더함</f>
        <v>25</v>
      </c>
      <c r="V95" s="232">
        <f>'쪽쟘(실측)'!Q95+뒷날개치수더함</f>
        <v>25</v>
      </c>
      <c r="W95" s="232">
        <f>'쪽쟘(실측)'!R95-쪽쟘늘치차감</f>
        <v>0</v>
      </c>
      <c r="X95" s="232">
        <f>'쪽쟘(실측)'!S95-쪽쟘늘치차감</f>
        <v>0</v>
      </c>
      <c r="Y95" s="271">
        <f>IF('쪽쟘(실측)'!T95&gt;5,'쪽쟘(실측)'!T95+뒷날개치수더함,0)</f>
        <v>15</v>
      </c>
      <c r="Z95" s="271">
        <f>'쪽쟘(실측)'!U95</f>
        <v>10</v>
      </c>
      <c r="AA95" s="271">
        <f>'쪽쟘(실측)'!V95</f>
        <v>10</v>
      </c>
      <c r="AC95" s="228">
        <f t="shared" si="17"/>
        <v>958</v>
      </c>
      <c r="AD95" s="228">
        <f t="shared" si="18"/>
        <v>120.4</v>
      </c>
      <c r="AE95" s="228">
        <f t="shared" si="19"/>
        <v>120.4</v>
      </c>
      <c r="AF95" s="228">
        <f t="shared" si="20"/>
        <v>2095</v>
      </c>
      <c r="AG95" s="228">
        <f t="shared" si="21"/>
        <v>117.4</v>
      </c>
      <c r="AH95" s="228">
        <f t="shared" si="22"/>
        <v>2095</v>
      </c>
    </row>
    <row r="96" spans="1:34" s="228" customFormat="1" ht="19.5" customHeight="1" x14ac:dyDescent="0.3">
      <c r="A96" s="232" t="str">
        <f>'쪽쟘(실측)'!A96</f>
        <v>12-1</v>
      </c>
      <c r="B96" s="232" t="str">
        <f>'쪽쟘(실측)'!B96&amp;"F"</f>
        <v>10F</v>
      </c>
      <c r="C96" s="232" t="str">
        <f t="shared" si="14"/>
        <v>961*122.4</v>
      </c>
      <c r="D96" s="232">
        <f>'쪽쟘(실측)'!C96-쪽쟘OP차감</f>
        <v>900</v>
      </c>
      <c r="E96" s="232">
        <f>'쪽쟘(실측)'!D96+쪽쟘J늘림+MAX(W96:X96)</f>
        <v>65</v>
      </c>
      <c r="F96" s="233">
        <f>'쪽쟘(실측)'!E96+쪽쟘J늘림+MAX(W96:X96)</f>
        <v>65</v>
      </c>
      <c r="G96" s="234" t="str">
        <f t="shared" si="15"/>
        <v>2095*119.4</v>
      </c>
      <c r="H96" s="235" t="str">
        <f t="shared" si="16"/>
        <v>2095*117.4</v>
      </c>
      <c r="I96" s="232">
        <f>IF('쪽쟘(실측)'!F96&gt;0,'쪽쟘(실측)'!F96-1.5,0)+뒷날개치수더함</f>
        <v>31.5</v>
      </c>
      <c r="J96" s="232">
        <f>IF('쪽쟘(실측)'!H96&gt;0,'쪽쟘(실측)'!H96-1.5,0)+뒷날개치수더함</f>
        <v>29.5</v>
      </c>
      <c r="K96" s="232">
        <f>IF('쪽쟘(실측)'!F96&gt;0,'쪽쟘(실측)'!F96+0,0)+뒷날개치수더함</f>
        <v>33</v>
      </c>
      <c r="L96" s="232">
        <f>IF('쪽쟘(실측)'!G96&gt;0,'쪽쟘(실측)'!G96+0,0)+뒷날개치수더함</f>
        <v>33</v>
      </c>
      <c r="M96" s="232">
        <f>IF('쪽쟘(실측)'!H96&gt;0,'쪽쟘(실측)'!H96+0,0)+뒷날개치수더함</f>
        <v>31</v>
      </c>
      <c r="N96" s="232">
        <f>IF('쪽쟘(실측)'!I96&gt;0,'쪽쟘(실측)'!I96+0,0)+뒷날개치수더함</f>
        <v>31</v>
      </c>
      <c r="O96" s="232">
        <f>'쪽쟘(실측)'!J96-쪽쟘기둥차감</f>
        <v>2095</v>
      </c>
      <c r="P96" s="232">
        <f>'쪽쟘(실측)'!K96-쪽쟘기둥차감</f>
        <v>2095</v>
      </c>
      <c r="Q96" s="232">
        <f>'쪽쟘(실측)'!L96-쪽쟘기둥차감</f>
        <v>2095</v>
      </c>
      <c r="R96" s="232">
        <f>'쪽쟘(실측)'!M96-쪽쟘기둥차감</f>
        <v>2095</v>
      </c>
      <c r="S96" s="232">
        <f>'쪽쟘(실측)'!N96+뒷날개치수더함</f>
        <v>36</v>
      </c>
      <c r="T96" s="232">
        <f>'쪽쟘(실측)'!O96+뒷날개치수더함</f>
        <v>36</v>
      </c>
      <c r="U96" s="232">
        <f>'쪽쟘(실측)'!P96+뒷날개치수더함</f>
        <v>25</v>
      </c>
      <c r="V96" s="232">
        <f>'쪽쟘(실측)'!Q96+뒷날개치수더함</f>
        <v>25</v>
      </c>
      <c r="W96" s="232">
        <f>'쪽쟘(실측)'!R96-쪽쟘늘치차감</f>
        <v>0</v>
      </c>
      <c r="X96" s="232">
        <f>'쪽쟘(실측)'!S96-쪽쟘늘치차감</f>
        <v>0</v>
      </c>
      <c r="Y96" s="271">
        <f>IF('쪽쟘(실측)'!T96&gt;5,'쪽쟘(실측)'!T96+뒷날개치수더함,0)</f>
        <v>15</v>
      </c>
      <c r="Z96" s="271">
        <f>'쪽쟘(실측)'!U96</f>
        <v>10</v>
      </c>
      <c r="AA96" s="271">
        <f>'쪽쟘(실측)'!V96</f>
        <v>10</v>
      </c>
      <c r="AC96" s="228">
        <f t="shared" si="17"/>
        <v>961</v>
      </c>
      <c r="AD96" s="228">
        <f t="shared" si="18"/>
        <v>122.4</v>
      </c>
      <c r="AE96" s="228">
        <f t="shared" si="19"/>
        <v>119.4</v>
      </c>
      <c r="AF96" s="228">
        <f t="shared" si="20"/>
        <v>2095</v>
      </c>
      <c r="AG96" s="228">
        <f t="shared" si="21"/>
        <v>117.4</v>
      </c>
      <c r="AH96" s="228">
        <f t="shared" si="22"/>
        <v>2095</v>
      </c>
    </row>
    <row r="97" spans="1:34" s="228" customFormat="1" ht="19.5" customHeight="1" x14ac:dyDescent="0.3">
      <c r="A97" s="232" t="str">
        <f>'쪽쟘(실측)'!A97</f>
        <v>12-1</v>
      </c>
      <c r="B97" s="232" t="str">
        <f>'쪽쟘(실측)'!B97&amp;"F"</f>
        <v>9F</v>
      </c>
      <c r="C97" s="232" t="str">
        <f t="shared" si="14"/>
        <v>960*118.4</v>
      </c>
      <c r="D97" s="232">
        <f>'쪽쟘(실측)'!C97-쪽쟘OP차감</f>
        <v>900</v>
      </c>
      <c r="E97" s="232">
        <f>'쪽쟘(실측)'!D97+쪽쟘J늘림+MAX(W97:X97)</f>
        <v>65</v>
      </c>
      <c r="F97" s="233">
        <f>'쪽쟘(실측)'!E97+쪽쟘J늘림+MAX(W97:X97)</f>
        <v>65</v>
      </c>
      <c r="G97" s="234" t="str">
        <f t="shared" si="15"/>
        <v>2095*118.4</v>
      </c>
      <c r="H97" s="235" t="str">
        <f t="shared" si="16"/>
        <v>2095*117.4</v>
      </c>
      <c r="I97" s="232">
        <f>IF('쪽쟘(실측)'!F97&gt;0,'쪽쟘(실측)'!F97-1.5,0)+뒷날개치수더함</f>
        <v>30.5</v>
      </c>
      <c r="J97" s="232">
        <f>IF('쪽쟘(실측)'!H97&gt;0,'쪽쟘(실측)'!H97-1.5,0)+뒷날개치수더함</f>
        <v>29.5</v>
      </c>
      <c r="K97" s="232">
        <f>IF('쪽쟘(실측)'!F97&gt;0,'쪽쟘(실측)'!F97+0,0)+뒷날개치수더함</f>
        <v>32</v>
      </c>
      <c r="L97" s="232">
        <f>IF('쪽쟘(실측)'!G97&gt;0,'쪽쟘(실측)'!G97+0,0)+뒷날개치수더함</f>
        <v>32</v>
      </c>
      <c r="M97" s="232">
        <f>IF('쪽쟘(실측)'!H97&gt;0,'쪽쟘(실측)'!H97+0,0)+뒷날개치수더함</f>
        <v>31</v>
      </c>
      <c r="N97" s="232">
        <f>IF('쪽쟘(실측)'!I97&gt;0,'쪽쟘(실측)'!I97+0,0)+뒷날개치수더함</f>
        <v>31</v>
      </c>
      <c r="O97" s="232">
        <f>'쪽쟘(실측)'!J97-쪽쟘기둥차감</f>
        <v>2095</v>
      </c>
      <c r="P97" s="232">
        <f>'쪽쟘(실측)'!K97-쪽쟘기둥차감</f>
        <v>2095</v>
      </c>
      <c r="Q97" s="232">
        <f>'쪽쟘(실측)'!L97-쪽쟘기둥차감</f>
        <v>2095</v>
      </c>
      <c r="R97" s="232">
        <f>'쪽쟘(실측)'!M97-쪽쟘기둥차감</f>
        <v>2095</v>
      </c>
      <c r="S97" s="232">
        <f>'쪽쟘(실측)'!N97+뒷날개치수더함</f>
        <v>32</v>
      </c>
      <c r="T97" s="232">
        <f>'쪽쟘(실측)'!O97+뒷날개치수더함</f>
        <v>32</v>
      </c>
      <c r="U97" s="232">
        <f>'쪽쟘(실측)'!P97+뒷날개치수더함</f>
        <v>25</v>
      </c>
      <c r="V97" s="232">
        <f>'쪽쟘(실측)'!Q97+뒷날개치수더함</f>
        <v>25</v>
      </c>
      <c r="W97" s="232">
        <f>'쪽쟘(실측)'!R97-쪽쟘늘치차감</f>
        <v>0</v>
      </c>
      <c r="X97" s="232">
        <f>'쪽쟘(실측)'!S97-쪽쟘늘치차감</f>
        <v>0</v>
      </c>
      <c r="Y97" s="271">
        <f>IF('쪽쟘(실측)'!T97&gt;5,'쪽쟘(실측)'!T97+뒷날개치수더함,0)</f>
        <v>15</v>
      </c>
      <c r="Z97" s="271">
        <f>'쪽쟘(실측)'!U97</f>
        <v>10</v>
      </c>
      <c r="AA97" s="271">
        <f>'쪽쟘(실측)'!V97</f>
        <v>10</v>
      </c>
      <c r="AC97" s="228">
        <f t="shared" si="17"/>
        <v>960</v>
      </c>
      <c r="AD97" s="228">
        <f t="shared" si="18"/>
        <v>118.4</v>
      </c>
      <c r="AE97" s="228">
        <f t="shared" si="19"/>
        <v>118.4</v>
      </c>
      <c r="AF97" s="228">
        <f t="shared" si="20"/>
        <v>2095</v>
      </c>
      <c r="AG97" s="228">
        <f t="shared" si="21"/>
        <v>117.4</v>
      </c>
      <c r="AH97" s="228">
        <f t="shared" si="22"/>
        <v>2095</v>
      </c>
    </row>
    <row r="98" spans="1:34" s="228" customFormat="1" ht="19.5" customHeight="1" x14ac:dyDescent="0.3">
      <c r="A98" s="232" t="str">
        <f>'쪽쟘(실측)'!A98</f>
        <v>12-1</v>
      </c>
      <c r="B98" s="232" t="str">
        <f>'쪽쟘(실측)'!B98&amp;"F"</f>
        <v>8F</v>
      </c>
      <c r="C98" s="232" t="str">
        <f t="shared" si="14"/>
        <v>962*118.4</v>
      </c>
      <c r="D98" s="232">
        <f>'쪽쟘(실측)'!C98-쪽쟘OP차감</f>
        <v>900</v>
      </c>
      <c r="E98" s="232">
        <f>'쪽쟘(실측)'!D98+쪽쟘J늘림+MAX(W98:X98)</f>
        <v>65</v>
      </c>
      <c r="F98" s="233">
        <f>'쪽쟘(실측)'!E98+쪽쟘J늘림+MAX(W98:X98)</f>
        <v>65</v>
      </c>
      <c r="G98" s="234" t="str">
        <f t="shared" si="15"/>
        <v>2095*117.4</v>
      </c>
      <c r="H98" s="235" t="str">
        <f t="shared" si="16"/>
        <v>2095*120.4</v>
      </c>
      <c r="I98" s="232">
        <f>IF('쪽쟘(실측)'!F98&gt;0,'쪽쟘(실측)'!F98-1.5,0)+뒷날개치수더함</f>
        <v>29.5</v>
      </c>
      <c r="J98" s="232">
        <f>IF('쪽쟘(실측)'!H98&gt;0,'쪽쟘(실측)'!H98-1.5,0)+뒷날개치수더함</f>
        <v>32.5</v>
      </c>
      <c r="K98" s="232">
        <f>IF('쪽쟘(실측)'!F98&gt;0,'쪽쟘(실측)'!F98+0,0)+뒷날개치수더함</f>
        <v>31</v>
      </c>
      <c r="L98" s="232">
        <f>IF('쪽쟘(실측)'!G98&gt;0,'쪽쟘(실측)'!G98+0,0)+뒷날개치수더함</f>
        <v>31</v>
      </c>
      <c r="M98" s="232">
        <f>IF('쪽쟘(실측)'!H98&gt;0,'쪽쟘(실측)'!H98+0,0)+뒷날개치수더함</f>
        <v>34</v>
      </c>
      <c r="N98" s="232">
        <f>IF('쪽쟘(실측)'!I98&gt;0,'쪽쟘(실측)'!I98+0,0)+뒷날개치수더함</f>
        <v>30</v>
      </c>
      <c r="O98" s="232">
        <f>'쪽쟘(실측)'!J98-쪽쟘기둥차감</f>
        <v>2095</v>
      </c>
      <c r="P98" s="232">
        <f>'쪽쟘(실측)'!K98-쪽쟘기둥차감</f>
        <v>2095</v>
      </c>
      <c r="Q98" s="232">
        <f>'쪽쟘(실측)'!L98-쪽쟘기둥차감</f>
        <v>2095</v>
      </c>
      <c r="R98" s="232">
        <f>'쪽쟘(실측)'!M98-쪽쟘기둥차감</f>
        <v>2095</v>
      </c>
      <c r="S98" s="232">
        <f>'쪽쟘(실측)'!N98+뒷날개치수더함</f>
        <v>32</v>
      </c>
      <c r="T98" s="232">
        <f>'쪽쟘(실측)'!O98+뒷날개치수더함</f>
        <v>32</v>
      </c>
      <c r="U98" s="232">
        <f>'쪽쟘(실측)'!P98+뒷날개치수더함</f>
        <v>25</v>
      </c>
      <c r="V98" s="232">
        <f>'쪽쟘(실측)'!Q98+뒷날개치수더함</f>
        <v>25</v>
      </c>
      <c r="W98" s="232">
        <f>'쪽쟘(실측)'!R98-쪽쟘늘치차감</f>
        <v>0</v>
      </c>
      <c r="X98" s="232">
        <f>'쪽쟘(실측)'!S98-쪽쟘늘치차감</f>
        <v>0</v>
      </c>
      <c r="Y98" s="271">
        <f>IF('쪽쟘(실측)'!T98&gt;5,'쪽쟘(실측)'!T98+뒷날개치수더함,0)</f>
        <v>15</v>
      </c>
      <c r="Z98" s="271">
        <f>'쪽쟘(실측)'!U98</f>
        <v>10</v>
      </c>
      <c r="AA98" s="271">
        <f>'쪽쟘(실측)'!V98</f>
        <v>10</v>
      </c>
      <c r="AC98" s="228">
        <f t="shared" si="17"/>
        <v>962</v>
      </c>
      <c r="AD98" s="228">
        <f t="shared" si="18"/>
        <v>118.4</v>
      </c>
      <c r="AE98" s="228">
        <f t="shared" si="19"/>
        <v>117.4</v>
      </c>
      <c r="AF98" s="228">
        <f t="shared" si="20"/>
        <v>2095</v>
      </c>
      <c r="AG98" s="228">
        <f t="shared" si="21"/>
        <v>120.4</v>
      </c>
      <c r="AH98" s="228">
        <f t="shared" si="22"/>
        <v>2095</v>
      </c>
    </row>
    <row r="99" spans="1:34" s="228" customFormat="1" ht="19.5" customHeight="1" x14ac:dyDescent="0.3">
      <c r="A99" s="232" t="str">
        <f>'쪽쟘(실측)'!A99</f>
        <v>12-1</v>
      </c>
      <c r="B99" s="232" t="str">
        <f>'쪽쟘(실측)'!B99&amp;"F"</f>
        <v>7F</v>
      </c>
      <c r="C99" s="232" t="str">
        <f t="shared" si="14"/>
        <v>956*118.4</v>
      </c>
      <c r="D99" s="232">
        <f>'쪽쟘(실측)'!C99-쪽쟘OP차감</f>
        <v>900</v>
      </c>
      <c r="E99" s="232">
        <f>'쪽쟘(실측)'!D99+쪽쟘J늘림+MAX(W99:X99)</f>
        <v>65</v>
      </c>
      <c r="F99" s="233">
        <f>'쪽쟘(실측)'!E99+쪽쟘J늘림+MAX(W99:X99)</f>
        <v>65</v>
      </c>
      <c r="G99" s="234" t="str">
        <f t="shared" si="15"/>
        <v>2095*118.4</v>
      </c>
      <c r="H99" s="235" t="str">
        <f t="shared" si="16"/>
        <v>2095*117.4</v>
      </c>
      <c r="I99" s="232">
        <f>IF('쪽쟘(실측)'!F99&gt;0,'쪽쟘(실측)'!F99-1.5,0)+뒷날개치수더함</f>
        <v>26.5</v>
      </c>
      <c r="J99" s="232">
        <f>IF('쪽쟘(실측)'!H99&gt;0,'쪽쟘(실측)'!H99-1.5,0)+뒷날개치수더함</f>
        <v>29.5</v>
      </c>
      <c r="K99" s="232">
        <f>IF('쪽쟘(실측)'!F99&gt;0,'쪽쟘(실측)'!F99+0,0)+뒷날개치수더함</f>
        <v>28</v>
      </c>
      <c r="L99" s="232">
        <f>IF('쪽쟘(실측)'!G99&gt;0,'쪽쟘(실측)'!G99+0,0)+뒷날개치수더함</f>
        <v>32</v>
      </c>
      <c r="M99" s="232">
        <f>IF('쪽쟘(실측)'!H99&gt;0,'쪽쟘(실측)'!H99+0,0)+뒷날개치수더함</f>
        <v>31</v>
      </c>
      <c r="N99" s="232">
        <f>IF('쪽쟘(실측)'!I99&gt;0,'쪽쟘(실측)'!I99+0,0)+뒷날개치수더함</f>
        <v>31</v>
      </c>
      <c r="O99" s="232">
        <f>'쪽쟘(실측)'!J99-쪽쟘기둥차감</f>
        <v>2095</v>
      </c>
      <c r="P99" s="232">
        <f>'쪽쟘(실측)'!K99-쪽쟘기둥차감</f>
        <v>2095</v>
      </c>
      <c r="Q99" s="232">
        <f>'쪽쟘(실측)'!L99-쪽쟘기둥차감</f>
        <v>2095</v>
      </c>
      <c r="R99" s="232">
        <f>'쪽쟘(실측)'!M99-쪽쟘기둥차감</f>
        <v>2095</v>
      </c>
      <c r="S99" s="232">
        <f>'쪽쟘(실측)'!N99+뒷날개치수더함</f>
        <v>32</v>
      </c>
      <c r="T99" s="232">
        <f>'쪽쟘(실측)'!O99+뒷날개치수더함</f>
        <v>32</v>
      </c>
      <c r="U99" s="232">
        <f>'쪽쟘(실측)'!P99+뒷날개치수더함</f>
        <v>25</v>
      </c>
      <c r="V99" s="232">
        <f>'쪽쟘(실측)'!Q99+뒷날개치수더함</f>
        <v>25</v>
      </c>
      <c r="W99" s="232">
        <f>'쪽쟘(실측)'!R99-쪽쟘늘치차감</f>
        <v>0</v>
      </c>
      <c r="X99" s="232">
        <f>'쪽쟘(실측)'!S99-쪽쟘늘치차감</f>
        <v>0</v>
      </c>
      <c r="Y99" s="271">
        <f>IF('쪽쟘(실측)'!T99&gt;5,'쪽쟘(실측)'!T99+뒷날개치수더함,0)</f>
        <v>15</v>
      </c>
      <c r="Z99" s="271">
        <f>'쪽쟘(실측)'!U99</f>
        <v>10</v>
      </c>
      <c r="AA99" s="271">
        <f>'쪽쟘(실측)'!V99</f>
        <v>10</v>
      </c>
      <c r="AC99" s="228">
        <f t="shared" si="17"/>
        <v>956</v>
      </c>
      <c r="AD99" s="228">
        <f t="shared" si="18"/>
        <v>118.4</v>
      </c>
      <c r="AE99" s="228">
        <f t="shared" si="19"/>
        <v>118.4</v>
      </c>
      <c r="AF99" s="228">
        <f t="shared" si="20"/>
        <v>2095</v>
      </c>
      <c r="AG99" s="228">
        <f t="shared" si="21"/>
        <v>117.4</v>
      </c>
      <c r="AH99" s="228">
        <f t="shared" si="22"/>
        <v>2095</v>
      </c>
    </row>
    <row r="100" spans="1:34" s="228" customFormat="1" ht="19.5" customHeight="1" x14ac:dyDescent="0.3">
      <c r="A100" s="232" t="str">
        <f>'쪽쟘(실측)'!A100</f>
        <v>12-1</v>
      </c>
      <c r="B100" s="232" t="str">
        <f>'쪽쟘(실측)'!B100&amp;"F"</f>
        <v>6F</v>
      </c>
      <c r="C100" s="232" t="str">
        <f t="shared" si="14"/>
        <v>962*119.4</v>
      </c>
      <c r="D100" s="232">
        <f>'쪽쟘(실측)'!C100-쪽쟘OP차감</f>
        <v>900</v>
      </c>
      <c r="E100" s="232">
        <f>'쪽쟘(실측)'!D100+쪽쟘J늘림+MAX(W100:X100)</f>
        <v>65</v>
      </c>
      <c r="F100" s="233">
        <f>'쪽쟘(실측)'!E100+쪽쟘J늘림+MAX(W100:X100)</f>
        <v>65</v>
      </c>
      <c r="G100" s="234" t="str">
        <f t="shared" si="15"/>
        <v>2095*118.4</v>
      </c>
      <c r="H100" s="235" t="str">
        <f t="shared" si="16"/>
        <v>2095*119.4</v>
      </c>
      <c r="I100" s="232">
        <f>IF('쪽쟘(실측)'!F100&gt;0,'쪽쟘(실측)'!F100-1.5,0)+뒷날개치수더함</f>
        <v>30.5</v>
      </c>
      <c r="J100" s="232">
        <f>IF('쪽쟘(실측)'!H100&gt;0,'쪽쟘(실측)'!H100-1.5,0)+뒷날개치수더함</f>
        <v>31.5</v>
      </c>
      <c r="K100" s="232">
        <f>IF('쪽쟘(실측)'!F100&gt;0,'쪽쟘(실측)'!F100+0,0)+뒷날개치수더함</f>
        <v>32</v>
      </c>
      <c r="L100" s="232">
        <f>IF('쪽쟘(실측)'!G100&gt;0,'쪽쟘(실측)'!G100+0,0)+뒷날개치수더함</f>
        <v>32</v>
      </c>
      <c r="M100" s="232">
        <f>IF('쪽쟘(실측)'!H100&gt;0,'쪽쟘(실측)'!H100+0,0)+뒷날개치수더함</f>
        <v>33</v>
      </c>
      <c r="N100" s="232">
        <f>IF('쪽쟘(실측)'!I100&gt;0,'쪽쟘(실측)'!I100+0,0)+뒷날개치수더함</f>
        <v>33</v>
      </c>
      <c r="O100" s="232">
        <f>'쪽쟘(실측)'!J100-쪽쟘기둥차감</f>
        <v>2095</v>
      </c>
      <c r="P100" s="232">
        <f>'쪽쟘(실측)'!K100-쪽쟘기둥차감</f>
        <v>2095</v>
      </c>
      <c r="Q100" s="232">
        <f>'쪽쟘(실측)'!L100-쪽쟘기둥차감</f>
        <v>2095</v>
      </c>
      <c r="R100" s="232">
        <f>'쪽쟘(실측)'!M100-쪽쟘기둥차감</f>
        <v>2095</v>
      </c>
      <c r="S100" s="232">
        <f>'쪽쟘(실측)'!N100+뒷날개치수더함</f>
        <v>33</v>
      </c>
      <c r="T100" s="232">
        <f>'쪽쟘(실측)'!O100+뒷날개치수더함</f>
        <v>33</v>
      </c>
      <c r="U100" s="232">
        <f>'쪽쟘(실측)'!P100+뒷날개치수더함</f>
        <v>25</v>
      </c>
      <c r="V100" s="232">
        <f>'쪽쟘(실측)'!Q100+뒷날개치수더함</f>
        <v>25</v>
      </c>
      <c r="W100" s="232">
        <f>'쪽쟘(실측)'!R100-쪽쟘늘치차감</f>
        <v>0</v>
      </c>
      <c r="X100" s="232">
        <f>'쪽쟘(실측)'!S100-쪽쟘늘치차감</f>
        <v>0</v>
      </c>
      <c r="Y100" s="271">
        <f>IF('쪽쟘(실측)'!T100&gt;5,'쪽쟘(실측)'!T100+뒷날개치수더함,0)</f>
        <v>15</v>
      </c>
      <c r="Z100" s="271">
        <f>'쪽쟘(실측)'!U100</f>
        <v>10</v>
      </c>
      <c r="AA100" s="271">
        <f>'쪽쟘(실측)'!V100</f>
        <v>10</v>
      </c>
      <c r="AC100" s="228">
        <f t="shared" si="17"/>
        <v>962</v>
      </c>
      <c r="AD100" s="228">
        <f t="shared" si="18"/>
        <v>119.4</v>
      </c>
      <c r="AE100" s="228">
        <f t="shared" si="19"/>
        <v>118.4</v>
      </c>
      <c r="AF100" s="228">
        <f t="shared" si="20"/>
        <v>2095</v>
      </c>
      <c r="AG100" s="228">
        <f t="shared" si="21"/>
        <v>119.4</v>
      </c>
      <c r="AH100" s="228">
        <f t="shared" si="22"/>
        <v>2095</v>
      </c>
    </row>
    <row r="101" spans="1:34" s="228" customFormat="1" ht="19.5" customHeight="1" x14ac:dyDescent="0.3">
      <c r="A101" s="232" t="str">
        <f>'쪽쟘(실측)'!A101</f>
        <v>12-1</v>
      </c>
      <c r="B101" s="232" t="str">
        <f>'쪽쟘(실측)'!B101&amp;"F"</f>
        <v>5F</v>
      </c>
      <c r="C101" s="232" t="str">
        <f t="shared" si="14"/>
        <v>959*117.4</v>
      </c>
      <c r="D101" s="232">
        <f>'쪽쟘(실측)'!C101-쪽쟘OP차감</f>
        <v>900</v>
      </c>
      <c r="E101" s="232">
        <f>'쪽쟘(실측)'!D101+쪽쟘J늘림+MAX(W101:X101)</f>
        <v>65</v>
      </c>
      <c r="F101" s="233">
        <f>'쪽쟘(실측)'!E101+쪽쟘J늘림+MAX(W101:X101)</f>
        <v>65</v>
      </c>
      <c r="G101" s="234" t="str">
        <f t="shared" si="15"/>
        <v>2095*117.4</v>
      </c>
      <c r="H101" s="235" t="str">
        <f t="shared" si="16"/>
        <v>2095*117.4</v>
      </c>
      <c r="I101" s="232">
        <f>IF('쪽쟘(실측)'!F101&gt;0,'쪽쟘(실측)'!F101-1.5,0)+뒷날개치수더함</f>
        <v>29.5</v>
      </c>
      <c r="J101" s="232">
        <f>IF('쪽쟘(실측)'!H101&gt;0,'쪽쟘(실측)'!H101-1.5,0)+뒷날개치수더함</f>
        <v>29.5</v>
      </c>
      <c r="K101" s="232">
        <f>IF('쪽쟘(실측)'!F101&gt;0,'쪽쟘(실측)'!F101+0,0)+뒷날개치수더함</f>
        <v>31</v>
      </c>
      <c r="L101" s="232">
        <f>IF('쪽쟘(실측)'!G101&gt;0,'쪽쟘(실측)'!G101+0,0)+뒷날개치수더함</f>
        <v>31</v>
      </c>
      <c r="M101" s="232">
        <f>IF('쪽쟘(실측)'!H101&gt;0,'쪽쟘(실측)'!H101+0,0)+뒷날개치수더함</f>
        <v>31</v>
      </c>
      <c r="N101" s="232">
        <f>IF('쪽쟘(실측)'!I101&gt;0,'쪽쟘(실측)'!I101+0,0)+뒷날개치수더함</f>
        <v>31</v>
      </c>
      <c r="O101" s="232">
        <f>'쪽쟘(실측)'!J101-쪽쟘기둥차감</f>
        <v>2095</v>
      </c>
      <c r="P101" s="232">
        <f>'쪽쟘(실측)'!K101-쪽쟘기둥차감</f>
        <v>2095</v>
      </c>
      <c r="Q101" s="232">
        <f>'쪽쟘(실측)'!L101-쪽쟘기둥차감</f>
        <v>2095</v>
      </c>
      <c r="R101" s="232">
        <f>'쪽쟘(실측)'!M101-쪽쟘기둥차감</f>
        <v>2095</v>
      </c>
      <c r="S101" s="232">
        <f>'쪽쟘(실측)'!N101+뒷날개치수더함</f>
        <v>31</v>
      </c>
      <c r="T101" s="232">
        <f>'쪽쟘(실측)'!O101+뒷날개치수더함</f>
        <v>31</v>
      </c>
      <c r="U101" s="232">
        <f>'쪽쟘(실측)'!P101+뒷날개치수더함</f>
        <v>25</v>
      </c>
      <c r="V101" s="232">
        <f>'쪽쟘(실측)'!Q101+뒷날개치수더함</f>
        <v>25</v>
      </c>
      <c r="W101" s="232">
        <f>'쪽쟘(실측)'!R101-쪽쟘늘치차감</f>
        <v>0</v>
      </c>
      <c r="X101" s="232">
        <f>'쪽쟘(실측)'!S101-쪽쟘늘치차감</f>
        <v>0</v>
      </c>
      <c r="Y101" s="271">
        <f>IF('쪽쟘(실측)'!T101&gt;5,'쪽쟘(실측)'!T101+뒷날개치수더함,0)</f>
        <v>15</v>
      </c>
      <c r="Z101" s="271">
        <f>'쪽쟘(실측)'!U101</f>
        <v>10</v>
      </c>
      <c r="AA101" s="271">
        <f>'쪽쟘(실측)'!V101</f>
        <v>10</v>
      </c>
      <c r="AC101" s="228">
        <f t="shared" si="17"/>
        <v>959</v>
      </c>
      <c r="AD101" s="228">
        <f t="shared" si="18"/>
        <v>117.4</v>
      </c>
      <c r="AE101" s="228">
        <f t="shared" si="19"/>
        <v>117.4</v>
      </c>
      <c r="AF101" s="228">
        <f t="shared" si="20"/>
        <v>2095</v>
      </c>
      <c r="AG101" s="228">
        <f t="shared" si="21"/>
        <v>117.4</v>
      </c>
      <c r="AH101" s="228">
        <f t="shared" si="22"/>
        <v>2095</v>
      </c>
    </row>
    <row r="102" spans="1:34" s="228" customFormat="1" ht="19.5" customHeight="1" x14ac:dyDescent="0.3">
      <c r="A102" s="232" t="str">
        <f>'쪽쟘(실측)'!A102</f>
        <v>12-1</v>
      </c>
      <c r="B102" s="232" t="str">
        <f>'쪽쟘(실측)'!B102&amp;"F"</f>
        <v>4F</v>
      </c>
      <c r="C102" s="232" t="str">
        <f t="shared" si="14"/>
        <v>959*117.4</v>
      </c>
      <c r="D102" s="232">
        <f>'쪽쟘(실측)'!C102-쪽쟘OP차감</f>
        <v>900</v>
      </c>
      <c r="E102" s="232">
        <f>'쪽쟘(실측)'!D102+쪽쟘J늘림+MAX(W102:X102)</f>
        <v>65</v>
      </c>
      <c r="F102" s="233">
        <f>'쪽쟘(실측)'!E102+쪽쟘J늘림+MAX(W102:X102)</f>
        <v>65</v>
      </c>
      <c r="G102" s="234" t="str">
        <f t="shared" si="15"/>
        <v>2095*116.4</v>
      </c>
      <c r="H102" s="235" t="str">
        <f t="shared" si="16"/>
        <v>2095*118.4</v>
      </c>
      <c r="I102" s="232">
        <f>IF('쪽쟘(실측)'!F102&gt;0,'쪽쟘(실측)'!F102-1.5,0)+뒷날개치수더함</f>
        <v>28.5</v>
      </c>
      <c r="J102" s="232">
        <f>IF('쪽쟘(실측)'!H102&gt;0,'쪽쟘(실측)'!H102-1.5,0)+뒷날개치수더함</f>
        <v>30.5</v>
      </c>
      <c r="K102" s="232">
        <f>IF('쪽쟘(실측)'!F102&gt;0,'쪽쟘(실측)'!F102+0,0)+뒷날개치수더함</f>
        <v>30</v>
      </c>
      <c r="L102" s="232">
        <f>IF('쪽쟘(실측)'!G102&gt;0,'쪽쟘(실측)'!G102+0,0)+뒷날개치수더함</f>
        <v>30</v>
      </c>
      <c r="M102" s="232">
        <f>IF('쪽쟘(실측)'!H102&gt;0,'쪽쟘(실측)'!H102+0,0)+뒷날개치수더함</f>
        <v>32</v>
      </c>
      <c r="N102" s="232">
        <f>IF('쪽쟘(실측)'!I102&gt;0,'쪽쟘(실측)'!I102+0,0)+뒷날개치수더함</f>
        <v>32</v>
      </c>
      <c r="O102" s="232">
        <f>'쪽쟘(실측)'!J102-쪽쟘기둥차감</f>
        <v>2095</v>
      </c>
      <c r="P102" s="232">
        <f>'쪽쟘(실측)'!K102-쪽쟘기둥차감</f>
        <v>2095</v>
      </c>
      <c r="Q102" s="232">
        <f>'쪽쟘(실측)'!L102-쪽쟘기둥차감</f>
        <v>2095</v>
      </c>
      <c r="R102" s="232">
        <f>'쪽쟘(실측)'!M102-쪽쟘기둥차감</f>
        <v>2095</v>
      </c>
      <c r="S102" s="232">
        <f>'쪽쟘(실측)'!N102+뒷날개치수더함</f>
        <v>31</v>
      </c>
      <c r="T102" s="232">
        <f>'쪽쟘(실측)'!O102+뒷날개치수더함</f>
        <v>31</v>
      </c>
      <c r="U102" s="232">
        <f>'쪽쟘(실측)'!P102+뒷날개치수더함</f>
        <v>25</v>
      </c>
      <c r="V102" s="232">
        <f>'쪽쟘(실측)'!Q102+뒷날개치수더함</f>
        <v>25</v>
      </c>
      <c r="W102" s="232">
        <f>'쪽쟘(실측)'!R102-쪽쟘늘치차감</f>
        <v>0</v>
      </c>
      <c r="X102" s="232">
        <f>'쪽쟘(실측)'!S102-쪽쟘늘치차감</f>
        <v>0</v>
      </c>
      <c r="Y102" s="271">
        <f>IF('쪽쟘(실측)'!T102&gt;5,'쪽쟘(실측)'!T102+뒷날개치수더함,0)</f>
        <v>15</v>
      </c>
      <c r="Z102" s="271">
        <f>'쪽쟘(실측)'!U102</f>
        <v>10</v>
      </c>
      <c r="AA102" s="271">
        <f>'쪽쟘(실측)'!V102</f>
        <v>10</v>
      </c>
      <c r="AC102" s="228">
        <f t="shared" si="17"/>
        <v>959</v>
      </c>
      <c r="AD102" s="228">
        <f t="shared" si="18"/>
        <v>117.4</v>
      </c>
      <c r="AE102" s="228">
        <f t="shared" si="19"/>
        <v>116.4</v>
      </c>
      <c r="AF102" s="228">
        <f t="shared" si="20"/>
        <v>2095</v>
      </c>
      <c r="AG102" s="228">
        <f t="shared" si="21"/>
        <v>118.4</v>
      </c>
      <c r="AH102" s="228">
        <f t="shared" si="22"/>
        <v>2095</v>
      </c>
    </row>
    <row r="103" spans="1:34" s="228" customFormat="1" ht="19.5" customHeight="1" x14ac:dyDescent="0.3">
      <c r="A103" s="232" t="str">
        <f>'쪽쟘(실측)'!A103</f>
        <v>12-1</v>
      </c>
      <c r="B103" s="232" t="str">
        <f>'쪽쟘(실측)'!B103&amp;"F"</f>
        <v>3F</v>
      </c>
      <c r="C103" s="232" t="str">
        <f t="shared" si="14"/>
        <v>958*116.4</v>
      </c>
      <c r="D103" s="232">
        <f>'쪽쟘(실측)'!C103-쪽쟘OP차감</f>
        <v>900</v>
      </c>
      <c r="E103" s="232">
        <f>'쪽쟘(실측)'!D103+쪽쟘J늘림+MAX(W103:X103)</f>
        <v>65</v>
      </c>
      <c r="F103" s="233">
        <f>'쪽쟘(실측)'!E103+쪽쟘J늘림+MAX(W103:X103)</f>
        <v>65</v>
      </c>
      <c r="G103" s="234" t="str">
        <f t="shared" si="15"/>
        <v>2095*115.4</v>
      </c>
      <c r="H103" s="235" t="str">
        <f t="shared" si="16"/>
        <v>2095*118.4</v>
      </c>
      <c r="I103" s="232">
        <f>IF('쪽쟘(실측)'!F103&gt;0,'쪽쟘(실측)'!F103-1.5,0)+뒷날개치수더함</f>
        <v>27.5</v>
      </c>
      <c r="J103" s="232">
        <f>IF('쪽쟘(실측)'!H103&gt;0,'쪽쟘(실측)'!H103-1.5,0)+뒷날개치수더함</f>
        <v>30.5</v>
      </c>
      <c r="K103" s="232">
        <f>IF('쪽쟘(실측)'!F103&gt;0,'쪽쟘(실측)'!F103+0,0)+뒷날개치수더함</f>
        <v>29</v>
      </c>
      <c r="L103" s="232">
        <f>IF('쪽쟘(실측)'!G103&gt;0,'쪽쟘(실측)'!G103+0,0)+뒷날개치수더함</f>
        <v>29</v>
      </c>
      <c r="M103" s="232">
        <f>IF('쪽쟘(실측)'!H103&gt;0,'쪽쟘(실측)'!H103+0,0)+뒷날개치수더함</f>
        <v>32</v>
      </c>
      <c r="N103" s="232">
        <f>IF('쪽쟘(실측)'!I103&gt;0,'쪽쟘(실측)'!I103+0,0)+뒷날개치수더함</f>
        <v>32</v>
      </c>
      <c r="O103" s="232">
        <f>'쪽쟘(실측)'!J103-쪽쟘기둥차감</f>
        <v>2095</v>
      </c>
      <c r="P103" s="232">
        <f>'쪽쟘(실측)'!K103-쪽쟘기둥차감</f>
        <v>2095</v>
      </c>
      <c r="Q103" s="232">
        <f>'쪽쟘(실측)'!L103-쪽쟘기둥차감</f>
        <v>2095</v>
      </c>
      <c r="R103" s="232">
        <f>'쪽쟘(실측)'!M103-쪽쟘기둥차감</f>
        <v>2095</v>
      </c>
      <c r="S103" s="232">
        <f>'쪽쟘(실측)'!N103+뒷날개치수더함</f>
        <v>30</v>
      </c>
      <c r="T103" s="232">
        <f>'쪽쟘(실측)'!O103+뒷날개치수더함</f>
        <v>30</v>
      </c>
      <c r="U103" s="232">
        <f>'쪽쟘(실측)'!P103+뒷날개치수더함</f>
        <v>25</v>
      </c>
      <c r="V103" s="232">
        <f>'쪽쟘(실측)'!Q103+뒷날개치수더함</f>
        <v>25</v>
      </c>
      <c r="W103" s="232">
        <f>'쪽쟘(실측)'!R103-쪽쟘늘치차감</f>
        <v>0</v>
      </c>
      <c r="X103" s="232">
        <f>'쪽쟘(실측)'!S103-쪽쟘늘치차감</f>
        <v>0</v>
      </c>
      <c r="Y103" s="271">
        <f>IF('쪽쟘(실측)'!T103&gt;5,'쪽쟘(실측)'!T103+뒷날개치수더함,0)</f>
        <v>15</v>
      </c>
      <c r="Z103" s="271">
        <f>'쪽쟘(실측)'!U103</f>
        <v>10</v>
      </c>
      <c r="AA103" s="271">
        <f>'쪽쟘(실측)'!V103</f>
        <v>10</v>
      </c>
      <c r="AC103" s="228">
        <f t="shared" si="17"/>
        <v>958</v>
      </c>
      <c r="AD103" s="228">
        <f t="shared" si="18"/>
        <v>116.4</v>
      </c>
      <c r="AE103" s="228">
        <f t="shared" si="19"/>
        <v>115.4</v>
      </c>
      <c r="AF103" s="228">
        <f t="shared" si="20"/>
        <v>2095</v>
      </c>
      <c r="AG103" s="228">
        <f t="shared" si="21"/>
        <v>118.4</v>
      </c>
      <c r="AH103" s="228">
        <f t="shared" si="22"/>
        <v>2095</v>
      </c>
    </row>
    <row r="104" spans="1:34" s="228" customFormat="1" ht="19.5" customHeight="1" x14ac:dyDescent="0.3">
      <c r="A104" s="232" t="str">
        <f>'쪽쟘(실측)'!A104</f>
        <v>12-1</v>
      </c>
      <c r="B104" s="232" t="str">
        <f>'쪽쟘(실측)'!B104&amp;"F"</f>
        <v>2F</v>
      </c>
      <c r="C104" s="232" t="str">
        <f t="shared" si="14"/>
        <v>959*116.4</v>
      </c>
      <c r="D104" s="232">
        <f>'쪽쟘(실측)'!C104-쪽쟘OP차감</f>
        <v>900</v>
      </c>
      <c r="E104" s="232">
        <f>'쪽쟘(실측)'!D104+쪽쟘J늘림+MAX(W104:X104)</f>
        <v>65</v>
      </c>
      <c r="F104" s="233">
        <f>'쪽쟘(실측)'!E104+쪽쟘J늘림+MAX(W104:X104)</f>
        <v>65</v>
      </c>
      <c r="G104" s="234" t="str">
        <f t="shared" si="15"/>
        <v>2095*116.4</v>
      </c>
      <c r="H104" s="235" t="str">
        <f t="shared" si="16"/>
        <v>2095*118.4</v>
      </c>
      <c r="I104" s="232">
        <f>IF('쪽쟘(실측)'!F104&gt;0,'쪽쟘(실측)'!F104-1.5,0)+뒷날개치수더함</f>
        <v>28.5</v>
      </c>
      <c r="J104" s="232">
        <f>IF('쪽쟘(실측)'!H104&gt;0,'쪽쟘(실측)'!H104-1.5,0)+뒷날개치수더함</f>
        <v>30.5</v>
      </c>
      <c r="K104" s="232">
        <f>IF('쪽쟘(실측)'!F104&gt;0,'쪽쟘(실측)'!F104+0,0)+뒷날개치수더함</f>
        <v>30</v>
      </c>
      <c r="L104" s="232">
        <f>IF('쪽쟘(실측)'!G104&gt;0,'쪽쟘(실측)'!G104+0,0)+뒷날개치수더함</f>
        <v>30</v>
      </c>
      <c r="M104" s="232">
        <f>IF('쪽쟘(실측)'!H104&gt;0,'쪽쟘(실측)'!H104+0,0)+뒷날개치수더함</f>
        <v>32</v>
      </c>
      <c r="N104" s="232">
        <f>IF('쪽쟘(실측)'!I104&gt;0,'쪽쟘(실측)'!I104+0,0)+뒷날개치수더함</f>
        <v>32</v>
      </c>
      <c r="O104" s="232">
        <f>'쪽쟘(실측)'!J104-쪽쟘기둥차감</f>
        <v>2095</v>
      </c>
      <c r="P104" s="232">
        <f>'쪽쟘(실측)'!K104-쪽쟘기둥차감</f>
        <v>2095</v>
      </c>
      <c r="Q104" s="232">
        <f>'쪽쟘(실측)'!L104-쪽쟘기둥차감</f>
        <v>2095</v>
      </c>
      <c r="R104" s="232">
        <f>'쪽쟘(실측)'!M104-쪽쟘기둥차감</f>
        <v>2095</v>
      </c>
      <c r="S104" s="232">
        <f>'쪽쟘(실측)'!N104+뒷날개치수더함</f>
        <v>30</v>
      </c>
      <c r="T104" s="232">
        <f>'쪽쟘(실측)'!O104+뒷날개치수더함</f>
        <v>30</v>
      </c>
      <c r="U104" s="232">
        <f>'쪽쟘(실측)'!P104+뒷날개치수더함</f>
        <v>25</v>
      </c>
      <c r="V104" s="232">
        <f>'쪽쟘(실측)'!Q104+뒷날개치수더함</f>
        <v>25</v>
      </c>
      <c r="W104" s="232">
        <f>'쪽쟘(실측)'!R104-쪽쟘늘치차감</f>
        <v>0</v>
      </c>
      <c r="X104" s="232">
        <f>'쪽쟘(실측)'!S104-쪽쟘늘치차감</f>
        <v>0</v>
      </c>
      <c r="Y104" s="271">
        <f>IF('쪽쟘(실측)'!T104&gt;5,'쪽쟘(실측)'!T104+뒷날개치수더함,0)</f>
        <v>15</v>
      </c>
      <c r="Z104" s="271">
        <f>'쪽쟘(실측)'!U104</f>
        <v>10</v>
      </c>
      <c r="AA104" s="271">
        <f>'쪽쟘(실측)'!V104</f>
        <v>10</v>
      </c>
      <c r="AC104" s="228">
        <f t="shared" si="17"/>
        <v>959</v>
      </c>
      <c r="AD104" s="228">
        <f t="shared" si="18"/>
        <v>116.4</v>
      </c>
      <c r="AE104" s="228">
        <f t="shared" si="19"/>
        <v>116.4</v>
      </c>
      <c r="AF104" s="228">
        <f t="shared" si="20"/>
        <v>2095</v>
      </c>
      <c r="AG104" s="228">
        <f t="shared" si="21"/>
        <v>118.4</v>
      </c>
      <c r="AH104" s="228">
        <f t="shared" si="22"/>
        <v>2095</v>
      </c>
    </row>
    <row r="105" spans="1:34" s="228" customFormat="1" ht="19.5" customHeight="1" x14ac:dyDescent="0.3">
      <c r="A105" s="232" t="str">
        <f>'쪽쟘(실측)'!A105</f>
        <v>12-1</v>
      </c>
      <c r="B105" s="232" t="str">
        <f>'쪽쟘(실측)'!B105&amp;"F"</f>
        <v>B1F</v>
      </c>
      <c r="C105" s="232" t="str">
        <f t="shared" si="14"/>
        <v>972*111.4</v>
      </c>
      <c r="D105" s="232">
        <f>'쪽쟘(실측)'!C105-쪽쟘OP차감</f>
        <v>892</v>
      </c>
      <c r="E105" s="232">
        <f>'쪽쟘(실측)'!D105+쪽쟘J늘림+MAX(W105:X105)</f>
        <v>75</v>
      </c>
      <c r="F105" s="233">
        <f>'쪽쟘(실측)'!E105+쪽쟘J늘림+MAX(W105:X105)</f>
        <v>75</v>
      </c>
      <c r="G105" s="234" t="str">
        <f t="shared" si="15"/>
        <v>2091*140.4</v>
      </c>
      <c r="H105" s="235" t="str">
        <f t="shared" si="16"/>
        <v>2091*135.4</v>
      </c>
      <c r="I105" s="232">
        <f>IF('쪽쟘(실측)'!F105&gt;0,'쪽쟘(실측)'!F105-1.5,0)+뒷날개치수더함</f>
        <v>42.5</v>
      </c>
      <c r="J105" s="232">
        <f>IF('쪽쟘(실측)'!H105&gt;0,'쪽쟘(실측)'!H105-1.5,0)+뒷날개치수더함</f>
        <v>37.5</v>
      </c>
      <c r="K105" s="282">
        <f>IF('쪽쟘(실측)'!F105&gt;0,'쪽쟘(실측)'!F105+0,0)+뒷날개치수더함</f>
        <v>44</v>
      </c>
      <c r="L105" s="282">
        <f>IF('쪽쟘(실측)'!G105&gt;0,'쪽쟘(실측)'!G105+0,0)+뒷날개치수더함</f>
        <v>44</v>
      </c>
      <c r="M105" s="282">
        <f>IF('쪽쟘(실측)'!H105&gt;0,'쪽쟘(실측)'!H105+0,0)+뒷날개치수더함</f>
        <v>39</v>
      </c>
      <c r="N105" s="282">
        <f>IF('쪽쟘(실측)'!I105&gt;0,'쪽쟘(실측)'!I105+0,0)+뒷날개치수더함</f>
        <v>39</v>
      </c>
      <c r="O105" s="232">
        <f>'쪽쟘(실측)'!J105-쪽쟘기둥차감</f>
        <v>2091</v>
      </c>
      <c r="P105" s="232">
        <f>'쪽쟘(실측)'!K105-쪽쟘기둥차감</f>
        <v>2091</v>
      </c>
      <c r="Q105" s="232">
        <f>'쪽쟘(실측)'!L105-쪽쟘기둥차감</f>
        <v>2091</v>
      </c>
      <c r="R105" s="232">
        <f>'쪽쟘(실측)'!M105-쪽쟘기둥차감</f>
        <v>2091</v>
      </c>
      <c r="S105" s="232">
        <f>'쪽쟘(실측)'!N105+뒷날개치수더함</f>
        <v>15</v>
      </c>
      <c r="T105" s="232">
        <f>'쪽쟘(실측)'!O105+뒷날개치수더함</f>
        <v>15</v>
      </c>
      <c r="U105" s="232">
        <f>'쪽쟘(실측)'!P105+뒷날개치수더함</f>
        <v>25</v>
      </c>
      <c r="V105" s="232">
        <f>'쪽쟘(실측)'!Q105+뒷날개치수더함</f>
        <v>25</v>
      </c>
      <c r="W105" s="232">
        <f>'쪽쟘(실측)'!R105-쪽쟘늘치차감</f>
        <v>0</v>
      </c>
      <c r="X105" s="232">
        <f>'쪽쟘(실측)'!S105-쪽쟘늘치차감</f>
        <v>0</v>
      </c>
      <c r="Y105" s="271">
        <f>IF('쪽쟘(실측)'!T105&gt;5,'쪽쟘(실측)'!T105+뒷날개치수더함,0)</f>
        <v>15</v>
      </c>
      <c r="Z105" s="271">
        <f>'쪽쟘(실측)'!U105</f>
        <v>10</v>
      </c>
      <c r="AA105" s="271">
        <f>'쪽쟘(실측)'!V105</f>
        <v>10</v>
      </c>
      <c r="AC105" s="228">
        <f t="shared" si="17"/>
        <v>972</v>
      </c>
      <c r="AD105" s="228">
        <f t="shared" si="18"/>
        <v>111.4</v>
      </c>
      <c r="AE105" s="228">
        <f t="shared" si="19"/>
        <v>140.4</v>
      </c>
      <c r="AF105" s="228">
        <f t="shared" si="20"/>
        <v>2091</v>
      </c>
      <c r="AG105" s="228">
        <f t="shared" si="21"/>
        <v>135.4</v>
      </c>
      <c r="AH105" s="228">
        <f t="shared" si="22"/>
        <v>2091</v>
      </c>
    </row>
    <row r="106" spans="1:34" s="228" customFormat="1" ht="19.5" customHeight="1" x14ac:dyDescent="0.3">
      <c r="A106" s="232" t="str">
        <f>'쪽쟘(실측)'!A106</f>
        <v>12-2</v>
      </c>
      <c r="B106" s="232" t="str">
        <f>'쪽쟘(실측)'!B106&amp;"F"</f>
        <v>20F</v>
      </c>
      <c r="C106" s="232" t="str">
        <f t="shared" si="14"/>
        <v>966*126.4</v>
      </c>
      <c r="D106" s="232">
        <f>'쪽쟘(실측)'!C106-쪽쟘OP차감</f>
        <v>899</v>
      </c>
      <c r="E106" s="232">
        <f>'쪽쟘(실측)'!D106+쪽쟘J늘림+MAX(W106:X106)</f>
        <v>70</v>
      </c>
      <c r="F106" s="233">
        <f>'쪽쟘(실측)'!E106+쪽쟘J늘림+MAX(W106:X106)</f>
        <v>70</v>
      </c>
      <c r="G106" s="234" t="str">
        <f t="shared" si="15"/>
        <v>2095*127.4</v>
      </c>
      <c r="H106" s="235" t="str">
        <f t="shared" si="16"/>
        <v>2095*125.4</v>
      </c>
      <c r="I106" s="232">
        <f>IF('쪽쟘(실측)'!F106&gt;0,'쪽쟘(실측)'!F106-1.5,0)+뒷날개치수더함</f>
        <v>34.5</v>
      </c>
      <c r="J106" s="232">
        <f>IF('쪽쟘(실측)'!H106&gt;0,'쪽쟘(실측)'!H106-1.5,0)+뒷날개치수더함</f>
        <v>32.5</v>
      </c>
      <c r="K106" s="232">
        <f>IF('쪽쟘(실측)'!F106&gt;0,'쪽쟘(실측)'!F106+0,0)+뒷날개치수더함</f>
        <v>36</v>
      </c>
      <c r="L106" s="232">
        <f>IF('쪽쟘(실측)'!G106&gt;0,'쪽쟘(실측)'!G106+0,0)+뒷날개치수더함</f>
        <v>36</v>
      </c>
      <c r="M106" s="232">
        <f>IF('쪽쟘(실측)'!H106&gt;0,'쪽쟘(실측)'!H106+0,0)+뒷날개치수더함</f>
        <v>34</v>
      </c>
      <c r="N106" s="232">
        <f>IF('쪽쟘(실측)'!I106&gt;0,'쪽쟘(실측)'!I106+0,0)+뒷날개치수더함</f>
        <v>34</v>
      </c>
      <c r="O106" s="232">
        <f>'쪽쟘(실측)'!J106-쪽쟘기둥차감</f>
        <v>2095</v>
      </c>
      <c r="P106" s="232">
        <f>'쪽쟘(실측)'!K106-쪽쟘기둥차감</f>
        <v>2095</v>
      </c>
      <c r="Q106" s="232">
        <f>'쪽쟘(실측)'!L106-쪽쟘기둥차감</f>
        <v>2095</v>
      </c>
      <c r="R106" s="232">
        <f>'쪽쟘(실측)'!M106-쪽쟘기둥차감</f>
        <v>2095</v>
      </c>
      <c r="S106" s="232">
        <f>'쪽쟘(실측)'!N106+뒷날개치수더함</f>
        <v>35</v>
      </c>
      <c r="T106" s="232">
        <f>'쪽쟘(실측)'!O106+뒷날개치수더함</f>
        <v>35</v>
      </c>
      <c r="U106" s="232">
        <f>'쪽쟘(실측)'!P106+뒷날개치수더함</f>
        <v>25</v>
      </c>
      <c r="V106" s="232">
        <f>'쪽쟘(실측)'!Q106+뒷날개치수더함</f>
        <v>25</v>
      </c>
      <c r="W106" s="232">
        <f>'쪽쟘(실측)'!R106-쪽쟘늘치차감</f>
        <v>0</v>
      </c>
      <c r="X106" s="232">
        <f>'쪽쟘(실측)'!S106-쪽쟘늘치차감</f>
        <v>0</v>
      </c>
      <c r="Y106" s="271">
        <f>IF('쪽쟘(실측)'!T106&gt;5,'쪽쟘(실측)'!T106+뒷날개치수더함,0)</f>
        <v>15</v>
      </c>
      <c r="Z106" s="271">
        <f>'쪽쟘(실측)'!U106</f>
        <v>10</v>
      </c>
      <c r="AA106" s="271">
        <f>'쪽쟘(실측)'!V106</f>
        <v>10</v>
      </c>
      <c r="AC106" s="228">
        <f t="shared" si="17"/>
        <v>966</v>
      </c>
      <c r="AD106" s="228">
        <f t="shared" si="18"/>
        <v>126.4</v>
      </c>
      <c r="AE106" s="228">
        <f t="shared" si="19"/>
        <v>127.4</v>
      </c>
      <c r="AF106" s="228">
        <f t="shared" si="20"/>
        <v>2095</v>
      </c>
      <c r="AG106" s="228">
        <f t="shared" si="21"/>
        <v>125.4</v>
      </c>
      <c r="AH106" s="228">
        <f t="shared" si="22"/>
        <v>2095</v>
      </c>
    </row>
    <row r="107" spans="1:34" s="228" customFormat="1" ht="19.5" customHeight="1" x14ac:dyDescent="0.3">
      <c r="A107" s="232" t="str">
        <f>'쪽쟘(실측)'!A107</f>
        <v>12-2</v>
      </c>
      <c r="B107" s="232" t="str">
        <f>'쪽쟘(실측)'!B107&amp;"F"</f>
        <v>19F</v>
      </c>
      <c r="C107" s="232" t="str">
        <f t="shared" si="14"/>
        <v>960*126.4</v>
      </c>
      <c r="D107" s="232">
        <f>'쪽쟘(실측)'!C107-쪽쟘OP차감</f>
        <v>897</v>
      </c>
      <c r="E107" s="232">
        <f>'쪽쟘(실측)'!D107+쪽쟘J늘림+MAX(W107:X107)</f>
        <v>70</v>
      </c>
      <c r="F107" s="233">
        <f>'쪽쟘(실측)'!E107+쪽쟘J늘림+MAX(W107:X107)</f>
        <v>70</v>
      </c>
      <c r="G107" s="234" t="str">
        <f t="shared" si="15"/>
        <v>2095*125.4</v>
      </c>
      <c r="H107" s="235" t="str">
        <f t="shared" si="16"/>
        <v>2095*123.4</v>
      </c>
      <c r="I107" s="232">
        <f>IF('쪽쟘(실측)'!F107&gt;0,'쪽쟘(실측)'!F107-1.5,0)+뒷날개치수더함</f>
        <v>32.5</v>
      </c>
      <c r="J107" s="232">
        <f>IF('쪽쟘(실측)'!H107&gt;0,'쪽쟘(실측)'!H107-1.5,0)+뒷날개치수더함</f>
        <v>30.5</v>
      </c>
      <c r="K107" s="232">
        <f>IF('쪽쟘(실측)'!F107&gt;0,'쪽쟘(실측)'!F107+0,0)+뒷날개치수더함</f>
        <v>34</v>
      </c>
      <c r="L107" s="232">
        <f>IF('쪽쟘(실측)'!G107&gt;0,'쪽쟘(실측)'!G107+0,0)+뒷날개치수더함</f>
        <v>28</v>
      </c>
      <c r="M107" s="232">
        <f>IF('쪽쟘(실측)'!H107&gt;0,'쪽쟘(실측)'!H107+0,0)+뒷날개치수더함</f>
        <v>32</v>
      </c>
      <c r="N107" s="232">
        <f>IF('쪽쟘(실측)'!I107&gt;0,'쪽쟘(실측)'!I107+0,0)+뒷날개치수더함</f>
        <v>32</v>
      </c>
      <c r="O107" s="232">
        <f>'쪽쟘(실측)'!J107-쪽쟘기둥차감</f>
        <v>2095</v>
      </c>
      <c r="P107" s="232">
        <f>'쪽쟘(실측)'!K107-쪽쟘기둥차감</f>
        <v>2095</v>
      </c>
      <c r="Q107" s="232">
        <f>'쪽쟘(실측)'!L107-쪽쟘기둥차감</f>
        <v>2095</v>
      </c>
      <c r="R107" s="232">
        <f>'쪽쟘(실측)'!M107-쪽쟘기둥차감</f>
        <v>2095</v>
      </c>
      <c r="S107" s="232">
        <f>'쪽쟘(실측)'!N107+뒷날개치수더함</f>
        <v>35</v>
      </c>
      <c r="T107" s="232">
        <f>'쪽쟘(실측)'!O107+뒷날개치수더함</f>
        <v>35</v>
      </c>
      <c r="U107" s="232">
        <f>'쪽쟘(실측)'!P107+뒷날개치수더함</f>
        <v>25</v>
      </c>
      <c r="V107" s="232">
        <f>'쪽쟘(실측)'!Q107+뒷날개치수더함</f>
        <v>25</v>
      </c>
      <c r="W107" s="232">
        <f>'쪽쟘(실측)'!R107-쪽쟘늘치차감</f>
        <v>0</v>
      </c>
      <c r="X107" s="232">
        <f>'쪽쟘(실측)'!S107-쪽쟘늘치차감</f>
        <v>0</v>
      </c>
      <c r="Y107" s="271">
        <f>IF('쪽쟘(실측)'!T107&gt;5,'쪽쟘(실측)'!T107+뒷날개치수더함,0)</f>
        <v>15</v>
      </c>
      <c r="Z107" s="271">
        <f>'쪽쟘(실측)'!U107</f>
        <v>10</v>
      </c>
      <c r="AA107" s="271">
        <f>'쪽쟘(실측)'!V107</f>
        <v>10</v>
      </c>
      <c r="AC107" s="228">
        <f t="shared" si="17"/>
        <v>960</v>
      </c>
      <c r="AD107" s="228">
        <f t="shared" si="18"/>
        <v>126.4</v>
      </c>
      <c r="AE107" s="228">
        <f t="shared" si="19"/>
        <v>125.4</v>
      </c>
      <c r="AF107" s="228">
        <f t="shared" si="20"/>
        <v>2095</v>
      </c>
      <c r="AG107" s="228">
        <f t="shared" si="21"/>
        <v>123.4</v>
      </c>
      <c r="AH107" s="228">
        <f t="shared" si="22"/>
        <v>2095</v>
      </c>
    </row>
    <row r="108" spans="1:34" s="228" customFormat="1" ht="19.5" customHeight="1" x14ac:dyDescent="0.3">
      <c r="A108" s="232" t="str">
        <f>'쪽쟘(실측)'!A108</f>
        <v>12-2</v>
      </c>
      <c r="B108" s="232" t="str">
        <f>'쪽쟘(실측)'!B108&amp;"F"</f>
        <v>18F</v>
      </c>
      <c r="C108" s="232" t="str">
        <f t="shared" si="14"/>
        <v>963*127.4</v>
      </c>
      <c r="D108" s="232">
        <f>'쪽쟘(실측)'!C108-쪽쟘OP차감</f>
        <v>897</v>
      </c>
      <c r="E108" s="232">
        <f>'쪽쟘(실측)'!D108+쪽쟘J늘림+MAX(W108:X108)</f>
        <v>70</v>
      </c>
      <c r="F108" s="233">
        <f>'쪽쟘(실측)'!E108+쪽쟘J늘림+MAX(W108:X108)</f>
        <v>70</v>
      </c>
      <c r="G108" s="234" t="str">
        <f t="shared" si="15"/>
        <v>2095*125.4</v>
      </c>
      <c r="H108" s="235" t="str">
        <f t="shared" si="16"/>
        <v>2095*126.4</v>
      </c>
      <c r="I108" s="232">
        <f>IF('쪽쟘(실측)'!F108&gt;0,'쪽쟘(실측)'!F108-1.5,0)+뒷날개치수더함</f>
        <v>32.5</v>
      </c>
      <c r="J108" s="232">
        <f>IF('쪽쟘(실측)'!H108&gt;0,'쪽쟘(실측)'!H108-1.5,0)+뒷날개치수더함</f>
        <v>33.5</v>
      </c>
      <c r="K108" s="232">
        <f>IF('쪽쟘(실측)'!F108&gt;0,'쪽쟘(실측)'!F108+0,0)+뒷날개치수더함</f>
        <v>34</v>
      </c>
      <c r="L108" s="232">
        <f>IF('쪽쟘(실측)'!G108&gt;0,'쪽쟘(실측)'!G108+0,0)+뒷날개치수더함</f>
        <v>34</v>
      </c>
      <c r="M108" s="232">
        <f>IF('쪽쟘(실측)'!H108&gt;0,'쪽쟘(실측)'!H108+0,0)+뒷날개치수더함</f>
        <v>35</v>
      </c>
      <c r="N108" s="232">
        <f>IF('쪽쟘(실측)'!I108&gt;0,'쪽쟘(실측)'!I108+0,0)+뒷날개치수더함</f>
        <v>35</v>
      </c>
      <c r="O108" s="232">
        <f>'쪽쟘(실측)'!J108-쪽쟘기둥차감</f>
        <v>2095</v>
      </c>
      <c r="P108" s="232">
        <f>'쪽쟘(실측)'!K108-쪽쟘기둥차감</f>
        <v>2095</v>
      </c>
      <c r="Q108" s="232">
        <f>'쪽쟘(실측)'!L108-쪽쟘기둥차감</f>
        <v>2095</v>
      </c>
      <c r="R108" s="232">
        <f>'쪽쟘(실측)'!M108-쪽쟘기둥차감</f>
        <v>2095</v>
      </c>
      <c r="S108" s="232">
        <f>'쪽쟘(실측)'!N108+뒷날개치수더함</f>
        <v>36</v>
      </c>
      <c r="T108" s="232">
        <f>'쪽쟘(실측)'!O108+뒷날개치수더함</f>
        <v>36</v>
      </c>
      <c r="U108" s="232">
        <f>'쪽쟘(실측)'!P108+뒷날개치수더함</f>
        <v>25</v>
      </c>
      <c r="V108" s="232">
        <f>'쪽쟘(실측)'!Q108+뒷날개치수더함</f>
        <v>25</v>
      </c>
      <c r="W108" s="232">
        <f>'쪽쟘(실측)'!R108-쪽쟘늘치차감</f>
        <v>0</v>
      </c>
      <c r="X108" s="232">
        <f>'쪽쟘(실측)'!S108-쪽쟘늘치차감</f>
        <v>0</v>
      </c>
      <c r="Y108" s="271">
        <f>IF('쪽쟘(실측)'!T108&gt;5,'쪽쟘(실측)'!T108+뒷날개치수더함,0)</f>
        <v>15</v>
      </c>
      <c r="Z108" s="271">
        <f>'쪽쟘(실측)'!U108</f>
        <v>10</v>
      </c>
      <c r="AA108" s="271">
        <f>'쪽쟘(실측)'!V108</f>
        <v>10</v>
      </c>
      <c r="AC108" s="228">
        <f t="shared" si="17"/>
        <v>963</v>
      </c>
      <c r="AD108" s="228">
        <f t="shared" si="18"/>
        <v>127.4</v>
      </c>
      <c r="AE108" s="228">
        <f t="shared" si="19"/>
        <v>125.4</v>
      </c>
      <c r="AF108" s="228">
        <f t="shared" si="20"/>
        <v>2095</v>
      </c>
      <c r="AG108" s="228">
        <f t="shared" si="21"/>
        <v>126.4</v>
      </c>
      <c r="AH108" s="228">
        <f t="shared" si="22"/>
        <v>2095</v>
      </c>
    </row>
    <row r="109" spans="1:34" s="228" customFormat="1" ht="19.5" customHeight="1" x14ac:dyDescent="0.3">
      <c r="A109" s="232" t="str">
        <f>'쪽쟘(실측)'!A109</f>
        <v>12-2</v>
      </c>
      <c r="B109" s="232" t="str">
        <f>'쪽쟘(실측)'!B109&amp;"F"</f>
        <v>17F</v>
      </c>
      <c r="C109" s="232" t="str">
        <f t="shared" si="14"/>
        <v>963*125.4</v>
      </c>
      <c r="D109" s="232">
        <f>'쪽쟘(실측)'!C109-쪽쟘OP차감</f>
        <v>900</v>
      </c>
      <c r="E109" s="232">
        <f>'쪽쟘(실측)'!D109+쪽쟘J늘림+MAX(W109:X109)</f>
        <v>70</v>
      </c>
      <c r="F109" s="233">
        <f>'쪽쟘(실측)'!E109+쪽쟘J늘림+MAX(W109:X109)</f>
        <v>70</v>
      </c>
      <c r="G109" s="234" t="str">
        <f t="shared" si="15"/>
        <v>2095*125.4</v>
      </c>
      <c r="H109" s="235" t="str">
        <f t="shared" si="16"/>
        <v>2095*123.4</v>
      </c>
      <c r="I109" s="232">
        <f>IF('쪽쟘(실측)'!F109&gt;0,'쪽쟘(실측)'!F109-1.5,0)+뒷날개치수더함</f>
        <v>32.5</v>
      </c>
      <c r="J109" s="232">
        <f>IF('쪽쟘(실측)'!H109&gt;0,'쪽쟘(실측)'!H109-1.5,0)+뒷날개치수더함</f>
        <v>30.5</v>
      </c>
      <c r="K109" s="232">
        <f>IF('쪽쟘(실측)'!F109&gt;0,'쪽쟘(실측)'!F109+0,0)+뒷날개치수더함</f>
        <v>34</v>
      </c>
      <c r="L109" s="232">
        <f>IF('쪽쟘(실측)'!G109&gt;0,'쪽쟘(실측)'!G109+0,0)+뒷날개치수더함</f>
        <v>30</v>
      </c>
      <c r="M109" s="232">
        <f>IF('쪽쟘(실측)'!H109&gt;0,'쪽쟘(실측)'!H109+0,0)+뒷날개치수더함</f>
        <v>32</v>
      </c>
      <c r="N109" s="232">
        <f>IF('쪽쟘(실측)'!I109&gt;0,'쪽쟘(실측)'!I109+0,0)+뒷날개치수더함</f>
        <v>32</v>
      </c>
      <c r="O109" s="232">
        <f>'쪽쟘(실측)'!J109-쪽쟘기둥차감</f>
        <v>2095</v>
      </c>
      <c r="P109" s="232">
        <f>'쪽쟘(실측)'!K109-쪽쟘기둥차감</f>
        <v>2095</v>
      </c>
      <c r="Q109" s="232">
        <f>'쪽쟘(실측)'!L109-쪽쟘기둥차감</f>
        <v>2095</v>
      </c>
      <c r="R109" s="232">
        <f>'쪽쟘(실측)'!M109-쪽쟘기둥차감</f>
        <v>2095</v>
      </c>
      <c r="S109" s="232">
        <f>'쪽쟘(실측)'!N109+뒷날개치수더함</f>
        <v>34</v>
      </c>
      <c r="T109" s="232">
        <f>'쪽쟘(실측)'!O109+뒷날개치수더함</f>
        <v>34</v>
      </c>
      <c r="U109" s="232">
        <f>'쪽쟘(실측)'!P109+뒷날개치수더함</f>
        <v>25</v>
      </c>
      <c r="V109" s="232">
        <f>'쪽쟘(실측)'!Q109+뒷날개치수더함</f>
        <v>25</v>
      </c>
      <c r="W109" s="232">
        <f>'쪽쟘(실측)'!R109-쪽쟘늘치차감</f>
        <v>0</v>
      </c>
      <c r="X109" s="232">
        <f>'쪽쟘(실측)'!S109-쪽쟘늘치차감</f>
        <v>0</v>
      </c>
      <c r="Y109" s="271">
        <f>IF('쪽쟘(실측)'!T109&gt;5,'쪽쟘(실측)'!T109+뒷날개치수더함,0)</f>
        <v>15</v>
      </c>
      <c r="Z109" s="271">
        <f>'쪽쟘(실측)'!U109</f>
        <v>10</v>
      </c>
      <c r="AA109" s="271">
        <f>'쪽쟘(실측)'!V109</f>
        <v>10</v>
      </c>
      <c r="AC109" s="228">
        <f t="shared" si="17"/>
        <v>963</v>
      </c>
      <c r="AD109" s="228">
        <f t="shared" si="18"/>
        <v>125.4</v>
      </c>
      <c r="AE109" s="228">
        <f t="shared" si="19"/>
        <v>125.4</v>
      </c>
      <c r="AF109" s="228">
        <f t="shared" si="20"/>
        <v>2095</v>
      </c>
      <c r="AG109" s="228">
        <f t="shared" si="21"/>
        <v>123.4</v>
      </c>
      <c r="AH109" s="228">
        <f t="shared" si="22"/>
        <v>2095</v>
      </c>
    </row>
    <row r="110" spans="1:34" s="228" customFormat="1" ht="19.5" customHeight="1" x14ac:dyDescent="0.3">
      <c r="A110" s="232" t="str">
        <f>'쪽쟘(실측)'!A110</f>
        <v>12-2</v>
      </c>
      <c r="B110" s="232" t="str">
        <f>'쪽쟘(실측)'!B110&amp;"F"</f>
        <v>16F</v>
      </c>
      <c r="C110" s="232" t="str">
        <f t="shared" si="14"/>
        <v>963*125.4</v>
      </c>
      <c r="D110" s="232">
        <f>'쪽쟘(실측)'!C110-쪽쟘OP차감</f>
        <v>899</v>
      </c>
      <c r="E110" s="232">
        <f>'쪽쟘(실측)'!D110+쪽쟘J늘림+MAX(W110:X110)</f>
        <v>70</v>
      </c>
      <c r="F110" s="233">
        <f>'쪽쟘(실측)'!E110+쪽쟘J늘림+MAX(W110:X110)</f>
        <v>70</v>
      </c>
      <c r="G110" s="234" t="str">
        <f t="shared" si="15"/>
        <v>2095*127.4</v>
      </c>
      <c r="H110" s="235" t="str">
        <f t="shared" si="16"/>
        <v>2095*126.4</v>
      </c>
      <c r="I110" s="232">
        <f>IF('쪽쟘(실측)'!F110&gt;0,'쪽쟘(실측)'!F110-1.5,0)+뒷날개치수더함</f>
        <v>30.5</v>
      </c>
      <c r="J110" s="232">
        <f>IF('쪽쟘(실측)'!H110&gt;0,'쪽쟘(실측)'!H110-1.5,0)+뒷날개치수더함</f>
        <v>33.5</v>
      </c>
      <c r="K110" s="232">
        <f>IF('쪽쟘(실측)'!F110&gt;0,'쪽쟘(실측)'!F110+0,0)+뒷날개치수더함</f>
        <v>32</v>
      </c>
      <c r="L110" s="232">
        <f>IF('쪽쟘(실측)'!G110&gt;0,'쪽쟘(실측)'!G110+0,0)+뒷날개치수더함</f>
        <v>36</v>
      </c>
      <c r="M110" s="232">
        <f>IF('쪽쟘(실측)'!H110&gt;0,'쪽쟘(실측)'!H110+0,0)+뒷날개치수더함</f>
        <v>35</v>
      </c>
      <c r="N110" s="232">
        <f>IF('쪽쟘(실측)'!I110&gt;0,'쪽쟘(실측)'!I110+0,0)+뒷날개치수더함</f>
        <v>35</v>
      </c>
      <c r="O110" s="232">
        <f>'쪽쟘(실측)'!J110-쪽쟘기둥차감</f>
        <v>2095</v>
      </c>
      <c r="P110" s="232">
        <f>'쪽쟘(실측)'!K110-쪽쟘기둥차감</f>
        <v>2095</v>
      </c>
      <c r="Q110" s="232">
        <f>'쪽쟘(실측)'!L110-쪽쟘기둥차감</f>
        <v>2095</v>
      </c>
      <c r="R110" s="232">
        <f>'쪽쟘(실측)'!M110-쪽쟘기둥차감</f>
        <v>2095</v>
      </c>
      <c r="S110" s="232">
        <f>'쪽쟘(실측)'!N110+뒷날개치수더함</f>
        <v>34</v>
      </c>
      <c r="T110" s="232">
        <f>'쪽쟘(실측)'!O110+뒷날개치수더함</f>
        <v>34</v>
      </c>
      <c r="U110" s="232">
        <f>'쪽쟘(실측)'!P110+뒷날개치수더함</f>
        <v>25</v>
      </c>
      <c r="V110" s="232">
        <f>'쪽쟘(실측)'!Q110+뒷날개치수더함</f>
        <v>25</v>
      </c>
      <c r="W110" s="232">
        <f>'쪽쟘(실측)'!R110-쪽쟘늘치차감</f>
        <v>0</v>
      </c>
      <c r="X110" s="232">
        <f>'쪽쟘(실측)'!S110-쪽쟘늘치차감</f>
        <v>0</v>
      </c>
      <c r="Y110" s="271">
        <f>IF('쪽쟘(실측)'!T110&gt;5,'쪽쟘(실측)'!T110+뒷날개치수더함,0)</f>
        <v>15</v>
      </c>
      <c r="Z110" s="271">
        <f>'쪽쟘(실측)'!U110</f>
        <v>10</v>
      </c>
      <c r="AA110" s="271">
        <f>'쪽쟘(실측)'!V110</f>
        <v>10</v>
      </c>
      <c r="AC110" s="228">
        <f t="shared" si="17"/>
        <v>963</v>
      </c>
      <c r="AD110" s="228">
        <f t="shared" si="18"/>
        <v>125.4</v>
      </c>
      <c r="AE110" s="228">
        <f t="shared" si="19"/>
        <v>127.4</v>
      </c>
      <c r="AF110" s="228">
        <f t="shared" si="20"/>
        <v>2095</v>
      </c>
      <c r="AG110" s="228">
        <f t="shared" si="21"/>
        <v>126.4</v>
      </c>
      <c r="AH110" s="228">
        <f t="shared" si="22"/>
        <v>2095</v>
      </c>
    </row>
    <row r="111" spans="1:34" s="228" customFormat="1" ht="19.5" customHeight="1" x14ac:dyDescent="0.3">
      <c r="A111" s="232" t="str">
        <f>'쪽쟘(실측)'!A111</f>
        <v>12-2</v>
      </c>
      <c r="B111" s="232" t="str">
        <f>'쪽쟘(실측)'!B111&amp;"F"</f>
        <v>15F</v>
      </c>
      <c r="C111" s="232" t="str">
        <f t="shared" si="14"/>
        <v>958*124.4</v>
      </c>
      <c r="D111" s="232">
        <f>'쪽쟘(실측)'!C111-쪽쟘OP차감</f>
        <v>899</v>
      </c>
      <c r="E111" s="232">
        <f>'쪽쟘(실측)'!D111+쪽쟘J늘림+MAX(W111:X111)</f>
        <v>70</v>
      </c>
      <c r="F111" s="233">
        <f>'쪽쟘(실측)'!E111+쪽쟘J늘림+MAX(W111:X111)</f>
        <v>70</v>
      </c>
      <c r="G111" s="234" t="str">
        <f t="shared" si="15"/>
        <v>2095*123.4</v>
      </c>
      <c r="H111" s="235" t="str">
        <f t="shared" si="16"/>
        <v>2095*121.4</v>
      </c>
      <c r="I111" s="232">
        <f>IF('쪽쟘(실측)'!F111&gt;0,'쪽쟘(실측)'!F111-1.5,0)+뒷날개치수더함</f>
        <v>30.5</v>
      </c>
      <c r="J111" s="232">
        <f>IF('쪽쟘(실측)'!H111&gt;0,'쪽쟘(실측)'!H111-1.5,0)+뒷날개치수더함</f>
        <v>28.5</v>
      </c>
      <c r="K111" s="232">
        <f>IF('쪽쟘(실측)'!F111&gt;0,'쪽쟘(실측)'!F111+0,0)+뒷날개치수더함</f>
        <v>32</v>
      </c>
      <c r="L111" s="232">
        <f>IF('쪽쟘(실측)'!G111&gt;0,'쪽쟘(실측)'!G111+0,0)+뒷날개치수더함</f>
        <v>32</v>
      </c>
      <c r="M111" s="232">
        <f>IF('쪽쟘(실측)'!H111&gt;0,'쪽쟘(실측)'!H111+0,0)+뒷날개치수더함</f>
        <v>30</v>
      </c>
      <c r="N111" s="232">
        <f>IF('쪽쟘(실측)'!I111&gt;0,'쪽쟘(실측)'!I111+0,0)+뒷날개치수더함</f>
        <v>30</v>
      </c>
      <c r="O111" s="232">
        <f>'쪽쟘(실측)'!J111-쪽쟘기둥차감</f>
        <v>2095</v>
      </c>
      <c r="P111" s="232">
        <f>'쪽쟘(실측)'!K111-쪽쟘기둥차감</f>
        <v>2095</v>
      </c>
      <c r="Q111" s="232">
        <f>'쪽쟘(실측)'!L111-쪽쟘기둥차감</f>
        <v>2095</v>
      </c>
      <c r="R111" s="232">
        <f>'쪽쟘(실측)'!M111-쪽쟘기둥차감</f>
        <v>2095</v>
      </c>
      <c r="S111" s="232">
        <f>'쪽쟘(실측)'!N111+뒷날개치수더함</f>
        <v>33</v>
      </c>
      <c r="T111" s="232">
        <f>'쪽쟘(실측)'!O111+뒷날개치수더함</f>
        <v>33</v>
      </c>
      <c r="U111" s="232">
        <f>'쪽쟘(실측)'!P111+뒷날개치수더함</f>
        <v>25</v>
      </c>
      <c r="V111" s="232">
        <f>'쪽쟘(실측)'!Q111+뒷날개치수더함</f>
        <v>25</v>
      </c>
      <c r="W111" s="232">
        <f>'쪽쟘(실측)'!R111-쪽쟘늘치차감</f>
        <v>0</v>
      </c>
      <c r="X111" s="232">
        <f>'쪽쟘(실측)'!S111-쪽쟘늘치차감</f>
        <v>0</v>
      </c>
      <c r="Y111" s="271">
        <f>IF('쪽쟘(실측)'!T111&gt;5,'쪽쟘(실측)'!T111+뒷날개치수더함,0)</f>
        <v>15</v>
      </c>
      <c r="Z111" s="271">
        <f>'쪽쟘(실측)'!U111</f>
        <v>10</v>
      </c>
      <c r="AA111" s="271">
        <f>'쪽쟘(실측)'!V111</f>
        <v>10</v>
      </c>
      <c r="AC111" s="228">
        <f t="shared" si="17"/>
        <v>958</v>
      </c>
      <c r="AD111" s="228">
        <f t="shared" si="18"/>
        <v>124.4</v>
      </c>
      <c r="AE111" s="228">
        <f t="shared" si="19"/>
        <v>123.4</v>
      </c>
      <c r="AF111" s="228">
        <f t="shared" si="20"/>
        <v>2095</v>
      </c>
      <c r="AG111" s="228">
        <f t="shared" si="21"/>
        <v>121.4</v>
      </c>
      <c r="AH111" s="228">
        <f t="shared" si="22"/>
        <v>2095</v>
      </c>
    </row>
    <row r="112" spans="1:34" s="228" customFormat="1" ht="19.5" customHeight="1" x14ac:dyDescent="0.3">
      <c r="A112" s="232" t="str">
        <f>'쪽쟘(실측)'!A112</f>
        <v>12-2</v>
      </c>
      <c r="B112" s="232" t="str">
        <f>'쪽쟘(실측)'!B112&amp;"F"</f>
        <v>14F</v>
      </c>
      <c r="C112" s="232" t="str">
        <f t="shared" si="14"/>
        <v>960*125.4</v>
      </c>
      <c r="D112" s="232">
        <f>'쪽쟘(실측)'!C112-쪽쟘OP차감</f>
        <v>897</v>
      </c>
      <c r="E112" s="232">
        <f>'쪽쟘(실측)'!D112+쪽쟘J늘림+MAX(W112:X112)</f>
        <v>70</v>
      </c>
      <c r="F112" s="233">
        <f>'쪽쟘(실측)'!E112+쪽쟘J늘림+MAX(W112:X112)</f>
        <v>70</v>
      </c>
      <c r="G112" s="234" t="str">
        <f t="shared" si="15"/>
        <v>2095*124.4</v>
      </c>
      <c r="H112" s="235" t="str">
        <f t="shared" si="16"/>
        <v>2095*124.4</v>
      </c>
      <c r="I112" s="232">
        <f>IF('쪽쟘(실측)'!F112&gt;0,'쪽쟘(실측)'!F112-1.5,0)+뒷날개치수더함</f>
        <v>31.5</v>
      </c>
      <c r="J112" s="232">
        <f>IF('쪽쟘(실측)'!H112&gt;0,'쪽쟘(실측)'!H112-1.5,0)+뒷날개치수더함</f>
        <v>31.5</v>
      </c>
      <c r="K112" s="232">
        <f>IF('쪽쟘(실측)'!F112&gt;0,'쪽쟘(실측)'!F112+0,0)+뒷날개치수더함</f>
        <v>33</v>
      </c>
      <c r="L112" s="232">
        <f>IF('쪽쟘(실측)'!G112&gt;0,'쪽쟘(실측)'!G112+0,0)+뒷날개치수더함</f>
        <v>33</v>
      </c>
      <c r="M112" s="232">
        <f>IF('쪽쟘(실측)'!H112&gt;0,'쪽쟘(실측)'!H112+0,0)+뒷날개치수더함</f>
        <v>33</v>
      </c>
      <c r="N112" s="232">
        <f>IF('쪽쟘(실측)'!I112&gt;0,'쪽쟘(실측)'!I112+0,0)+뒷날개치수더함</f>
        <v>33</v>
      </c>
      <c r="O112" s="232">
        <f>'쪽쟘(실측)'!J112-쪽쟘기둥차감</f>
        <v>2095</v>
      </c>
      <c r="P112" s="232">
        <f>'쪽쟘(실측)'!K112-쪽쟘기둥차감</f>
        <v>2095</v>
      </c>
      <c r="Q112" s="232">
        <f>'쪽쟘(실측)'!L112-쪽쟘기둥차감</f>
        <v>2095</v>
      </c>
      <c r="R112" s="232">
        <f>'쪽쟘(실측)'!M112-쪽쟘기둥차감</f>
        <v>2095</v>
      </c>
      <c r="S112" s="232">
        <f>'쪽쟘(실측)'!N112+뒷날개치수더함</f>
        <v>34</v>
      </c>
      <c r="T112" s="232">
        <f>'쪽쟘(실측)'!O112+뒷날개치수더함</f>
        <v>34</v>
      </c>
      <c r="U112" s="232">
        <f>'쪽쟘(실측)'!P112+뒷날개치수더함</f>
        <v>25</v>
      </c>
      <c r="V112" s="232">
        <f>'쪽쟘(실측)'!Q112+뒷날개치수더함</f>
        <v>25</v>
      </c>
      <c r="W112" s="232">
        <f>'쪽쟘(실측)'!R112-쪽쟘늘치차감</f>
        <v>0</v>
      </c>
      <c r="X112" s="232">
        <f>'쪽쟘(실측)'!S112-쪽쟘늘치차감</f>
        <v>0</v>
      </c>
      <c r="Y112" s="271">
        <f>IF('쪽쟘(실측)'!T112&gt;5,'쪽쟘(실측)'!T112+뒷날개치수더함,0)</f>
        <v>15</v>
      </c>
      <c r="Z112" s="271">
        <f>'쪽쟘(실측)'!U112</f>
        <v>10</v>
      </c>
      <c r="AA112" s="271">
        <f>'쪽쟘(실측)'!V112</f>
        <v>10</v>
      </c>
      <c r="AC112" s="228">
        <f t="shared" si="17"/>
        <v>960</v>
      </c>
      <c r="AD112" s="228">
        <f t="shared" si="18"/>
        <v>125.4</v>
      </c>
      <c r="AE112" s="228">
        <f t="shared" si="19"/>
        <v>124.4</v>
      </c>
      <c r="AF112" s="228">
        <f t="shared" si="20"/>
        <v>2095</v>
      </c>
      <c r="AG112" s="228">
        <f t="shared" si="21"/>
        <v>124.4</v>
      </c>
      <c r="AH112" s="228">
        <f t="shared" si="22"/>
        <v>2095</v>
      </c>
    </row>
    <row r="113" spans="1:34" s="228" customFormat="1" ht="19.5" customHeight="1" x14ac:dyDescent="0.3">
      <c r="A113" s="232" t="str">
        <f>'쪽쟘(실측)'!A113</f>
        <v>12-2</v>
      </c>
      <c r="B113" s="232" t="str">
        <f>'쪽쟘(실측)'!B113&amp;"F"</f>
        <v>13F</v>
      </c>
      <c r="C113" s="232" t="str">
        <f t="shared" si="14"/>
        <v>962*124.4</v>
      </c>
      <c r="D113" s="232">
        <f>'쪽쟘(실측)'!C113-쪽쟘OP차감</f>
        <v>899</v>
      </c>
      <c r="E113" s="232">
        <f>'쪽쟘(실측)'!D113+쪽쟘J늘림+MAX(W113:X113)</f>
        <v>70</v>
      </c>
      <c r="F113" s="233">
        <f>'쪽쟘(실측)'!E113+쪽쟘J늘림+MAX(W113:X113)</f>
        <v>70</v>
      </c>
      <c r="G113" s="234" t="str">
        <f t="shared" si="15"/>
        <v>2095*126.4</v>
      </c>
      <c r="H113" s="235" t="str">
        <f t="shared" si="16"/>
        <v>2095*122.4</v>
      </c>
      <c r="I113" s="232">
        <f>IF('쪽쟘(실측)'!F113&gt;0,'쪽쟘(실측)'!F113-1.5,0)+뒷날개치수더함</f>
        <v>33.5</v>
      </c>
      <c r="J113" s="232">
        <f>IF('쪽쟘(실측)'!H113&gt;0,'쪽쟘(실측)'!H113-1.5,0)+뒷날개치수더함</f>
        <v>29.5</v>
      </c>
      <c r="K113" s="232">
        <f>IF('쪽쟘(실측)'!F113&gt;0,'쪽쟘(실측)'!F113+0,0)+뒷날개치수더함</f>
        <v>35</v>
      </c>
      <c r="L113" s="232">
        <f>IF('쪽쟘(실측)'!G113&gt;0,'쪽쟘(실측)'!G113+0,0)+뒷날개치수더함</f>
        <v>35</v>
      </c>
      <c r="M113" s="232">
        <f>IF('쪽쟘(실측)'!H113&gt;0,'쪽쟘(실측)'!H113+0,0)+뒷날개치수더함</f>
        <v>31</v>
      </c>
      <c r="N113" s="232">
        <f>IF('쪽쟘(실측)'!I113&gt;0,'쪽쟘(실측)'!I113+0,0)+뒷날개치수더함</f>
        <v>31</v>
      </c>
      <c r="O113" s="232">
        <f>'쪽쟘(실측)'!J113-쪽쟘기둥차감</f>
        <v>2095</v>
      </c>
      <c r="P113" s="232">
        <f>'쪽쟘(실측)'!K113-쪽쟘기둥차감</f>
        <v>2095</v>
      </c>
      <c r="Q113" s="232">
        <f>'쪽쟘(실측)'!L113-쪽쟘기둥차감</f>
        <v>2095</v>
      </c>
      <c r="R113" s="232">
        <f>'쪽쟘(실측)'!M113-쪽쟘기둥차감</f>
        <v>2095</v>
      </c>
      <c r="S113" s="232">
        <f>'쪽쟘(실측)'!N113+뒷날개치수더함</f>
        <v>33</v>
      </c>
      <c r="T113" s="232">
        <f>'쪽쟘(실측)'!O113+뒷날개치수더함</f>
        <v>33</v>
      </c>
      <c r="U113" s="232">
        <f>'쪽쟘(실측)'!P113+뒷날개치수더함</f>
        <v>25</v>
      </c>
      <c r="V113" s="232">
        <f>'쪽쟘(실측)'!Q113+뒷날개치수더함</f>
        <v>25</v>
      </c>
      <c r="W113" s="232">
        <f>'쪽쟘(실측)'!R113-쪽쟘늘치차감</f>
        <v>0</v>
      </c>
      <c r="X113" s="232">
        <f>'쪽쟘(실측)'!S113-쪽쟘늘치차감</f>
        <v>0</v>
      </c>
      <c r="Y113" s="271">
        <f>IF('쪽쟘(실측)'!T113&gt;5,'쪽쟘(실측)'!T113+뒷날개치수더함,0)</f>
        <v>15</v>
      </c>
      <c r="Z113" s="271">
        <f>'쪽쟘(실측)'!U113</f>
        <v>10</v>
      </c>
      <c r="AA113" s="271">
        <f>'쪽쟘(실측)'!V113</f>
        <v>10</v>
      </c>
      <c r="AC113" s="228">
        <f t="shared" si="17"/>
        <v>962</v>
      </c>
      <c r="AD113" s="228">
        <f t="shared" si="18"/>
        <v>124.4</v>
      </c>
      <c r="AE113" s="228">
        <f t="shared" si="19"/>
        <v>126.4</v>
      </c>
      <c r="AF113" s="228">
        <f t="shared" si="20"/>
        <v>2095</v>
      </c>
      <c r="AG113" s="228">
        <f t="shared" si="21"/>
        <v>122.4</v>
      </c>
      <c r="AH113" s="228">
        <f t="shared" si="22"/>
        <v>2095</v>
      </c>
    </row>
    <row r="114" spans="1:34" s="228" customFormat="1" ht="19.5" customHeight="1" x14ac:dyDescent="0.3">
      <c r="A114" s="232" t="str">
        <f>'쪽쟘(실측)'!A114</f>
        <v>12-2</v>
      </c>
      <c r="B114" s="232" t="str">
        <f>'쪽쟘(실측)'!B114&amp;"F"</f>
        <v>12F</v>
      </c>
      <c r="C114" s="232" t="str">
        <f t="shared" si="14"/>
        <v>960*123.4</v>
      </c>
      <c r="D114" s="232">
        <f>'쪽쟘(실측)'!C114-쪽쟘OP차감</f>
        <v>899</v>
      </c>
      <c r="E114" s="232">
        <f>'쪽쟘(실측)'!D114+쪽쟘J늘림+MAX(W114:X114)</f>
        <v>70</v>
      </c>
      <c r="F114" s="233">
        <f>'쪽쟘(실측)'!E114+쪽쟘J늘림+MAX(W114:X114)</f>
        <v>70</v>
      </c>
      <c r="G114" s="234" t="str">
        <f t="shared" si="15"/>
        <v>2095*124.4</v>
      </c>
      <c r="H114" s="235" t="str">
        <f t="shared" si="16"/>
        <v>2095*122.4</v>
      </c>
      <c r="I114" s="232">
        <f>IF('쪽쟘(실측)'!F114&gt;0,'쪽쟘(실측)'!F114-1.5,0)+뒷날개치수더함</f>
        <v>31.5</v>
      </c>
      <c r="J114" s="232">
        <f>IF('쪽쟘(실측)'!H114&gt;0,'쪽쟘(실측)'!H114-1.5,0)+뒷날개치수더함</f>
        <v>29.5</v>
      </c>
      <c r="K114" s="232">
        <f>IF('쪽쟘(실측)'!F114&gt;0,'쪽쟘(실측)'!F114+0,0)+뒷날개치수더함</f>
        <v>33</v>
      </c>
      <c r="L114" s="232">
        <f>IF('쪽쟘(실측)'!G114&gt;0,'쪽쟘(실측)'!G114+0,0)+뒷날개치수더함</f>
        <v>33</v>
      </c>
      <c r="M114" s="232">
        <f>IF('쪽쟘(실측)'!H114&gt;0,'쪽쟘(실측)'!H114+0,0)+뒷날개치수더함</f>
        <v>31</v>
      </c>
      <c r="N114" s="232">
        <f>IF('쪽쟘(실측)'!I114&gt;0,'쪽쟘(실측)'!I114+0,0)+뒷날개치수더함</f>
        <v>31</v>
      </c>
      <c r="O114" s="232">
        <f>'쪽쟘(실측)'!J114-쪽쟘기둥차감</f>
        <v>2095</v>
      </c>
      <c r="P114" s="232">
        <f>'쪽쟘(실측)'!K114-쪽쟘기둥차감</f>
        <v>2095</v>
      </c>
      <c r="Q114" s="232">
        <f>'쪽쟘(실측)'!L114-쪽쟘기둥차감</f>
        <v>2095</v>
      </c>
      <c r="R114" s="232">
        <f>'쪽쟘(실측)'!M114-쪽쟘기둥차감</f>
        <v>2095</v>
      </c>
      <c r="S114" s="232">
        <f>'쪽쟘(실측)'!N114+뒷날개치수더함</f>
        <v>32</v>
      </c>
      <c r="T114" s="232">
        <f>'쪽쟘(실측)'!O114+뒷날개치수더함</f>
        <v>32</v>
      </c>
      <c r="U114" s="232">
        <f>'쪽쟘(실측)'!P114+뒷날개치수더함</f>
        <v>25</v>
      </c>
      <c r="V114" s="232">
        <f>'쪽쟘(실측)'!Q114+뒷날개치수더함</f>
        <v>25</v>
      </c>
      <c r="W114" s="232">
        <f>'쪽쟘(실측)'!R114-쪽쟘늘치차감</f>
        <v>0</v>
      </c>
      <c r="X114" s="232">
        <f>'쪽쟘(실측)'!S114-쪽쟘늘치차감</f>
        <v>0</v>
      </c>
      <c r="Y114" s="271">
        <f>IF('쪽쟘(실측)'!T114&gt;5,'쪽쟘(실측)'!T114+뒷날개치수더함,0)</f>
        <v>15</v>
      </c>
      <c r="Z114" s="271">
        <f>'쪽쟘(실측)'!U114</f>
        <v>10</v>
      </c>
      <c r="AA114" s="271">
        <f>'쪽쟘(실측)'!V114</f>
        <v>10</v>
      </c>
      <c r="AC114" s="228">
        <f t="shared" si="17"/>
        <v>960</v>
      </c>
      <c r="AD114" s="228">
        <f t="shared" si="18"/>
        <v>123.4</v>
      </c>
      <c r="AE114" s="228">
        <f t="shared" si="19"/>
        <v>124.4</v>
      </c>
      <c r="AF114" s="228">
        <f t="shared" si="20"/>
        <v>2095</v>
      </c>
      <c r="AG114" s="228">
        <f t="shared" si="21"/>
        <v>122.4</v>
      </c>
      <c r="AH114" s="228">
        <f t="shared" si="22"/>
        <v>2095</v>
      </c>
    </row>
    <row r="115" spans="1:34" s="228" customFormat="1" ht="19.5" customHeight="1" x14ac:dyDescent="0.3">
      <c r="A115" s="232" t="str">
        <f>'쪽쟘(실측)'!A115</f>
        <v>12-2</v>
      </c>
      <c r="B115" s="232" t="str">
        <f>'쪽쟘(실측)'!B115&amp;"F"</f>
        <v>11F</v>
      </c>
      <c r="C115" s="232" t="str">
        <f t="shared" si="14"/>
        <v>962*123.4</v>
      </c>
      <c r="D115" s="232">
        <f>'쪽쟘(실측)'!C115-쪽쟘OP차감</f>
        <v>900</v>
      </c>
      <c r="E115" s="232">
        <f>'쪽쟘(실측)'!D115+쪽쟘J늘림+MAX(W115:X115)</f>
        <v>70</v>
      </c>
      <c r="F115" s="233">
        <f>'쪽쟘(실측)'!E115+쪽쟘J늘림+MAX(W115:X115)</f>
        <v>70</v>
      </c>
      <c r="G115" s="234" t="str">
        <f t="shared" si="15"/>
        <v>2095*125.4</v>
      </c>
      <c r="H115" s="235" t="str">
        <f t="shared" si="16"/>
        <v>2095*122.4</v>
      </c>
      <c r="I115" s="232">
        <f>IF('쪽쟘(실측)'!F115&gt;0,'쪽쟘(실측)'!F115-1.5,0)+뒷날개치수더함</f>
        <v>32.5</v>
      </c>
      <c r="J115" s="232">
        <f>IF('쪽쟘(실측)'!H115&gt;0,'쪽쟘(실측)'!H115-1.5,0)+뒷날개치수더함</f>
        <v>29.5</v>
      </c>
      <c r="K115" s="232">
        <f>IF('쪽쟘(실측)'!F115&gt;0,'쪽쟘(실측)'!F115+0,0)+뒷날개치수더함</f>
        <v>34</v>
      </c>
      <c r="L115" s="232">
        <f>IF('쪽쟘(실측)'!G115&gt;0,'쪽쟘(실측)'!G115+0,0)+뒷날개치수더함</f>
        <v>34</v>
      </c>
      <c r="M115" s="232">
        <f>IF('쪽쟘(실측)'!H115&gt;0,'쪽쟘(실측)'!H115+0,0)+뒷날개치수더함</f>
        <v>31</v>
      </c>
      <c r="N115" s="232">
        <f>IF('쪽쟘(실측)'!I115&gt;0,'쪽쟘(실측)'!I115+0,0)+뒷날개치수더함</f>
        <v>31</v>
      </c>
      <c r="O115" s="232">
        <f>'쪽쟘(실측)'!J115-쪽쟘기둥차감</f>
        <v>2095</v>
      </c>
      <c r="P115" s="232">
        <f>'쪽쟘(실측)'!K115-쪽쟘기둥차감</f>
        <v>2095</v>
      </c>
      <c r="Q115" s="232">
        <f>'쪽쟘(실측)'!L115-쪽쟘기둥차감</f>
        <v>2095</v>
      </c>
      <c r="R115" s="232">
        <f>'쪽쟘(실측)'!M115-쪽쟘기둥차감</f>
        <v>2095</v>
      </c>
      <c r="S115" s="232">
        <f>'쪽쟘(실측)'!N115+뒷날개치수더함</f>
        <v>32</v>
      </c>
      <c r="T115" s="232">
        <f>'쪽쟘(실측)'!O115+뒷날개치수더함</f>
        <v>32</v>
      </c>
      <c r="U115" s="232">
        <f>'쪽쟘(실측)'!P115+뒷날개치수더함</f>
        <v>25</v>
      </c>
      <c r="V115" s="232">
        <f>'쪽쟘(실측)'!Q115+뒷날개치수더함</f>
        <v>25</v>
      </c>
      <c r="W115" s="232">
        <f>'쪽쟘(실측)'!R115-쪽쟘늘치차감</f>
        <v>0</v>
      </c>
      <c r="X115" s="232">
        <f>'쪽쟘(실측)'!S115-쪽쟘늘치차감</f>
        <v>0</v>
      </c>
      <c r="Y115" s="271">
        <f>IF('쪽쟘(실측)'!T115&gt;5,'쪽쟘(실측)'!T115+뒷날개치수더함,0)</f>
        <v>15</v>
      </c>
      <c r="Z115" s="271">
        <f>'쪽쟘(실측)'!U115</f>
        <v>10</v>
      </c>
      <c r="AA115" s="271">
        <f>'쪽쟘(실측)'!V115</f>
        <v>10</v>
      </c>
      <c r="AC115" s="228">
        <f t="shared" si="17"/>
        <v>962</v>
      </c>
      <c r="AD115" s="228">
        <f t="shared" si="18"/>
        <v>123.4</v>
      </c>
      <c r="AE115" s="228">
        <f t="shared" si="19"/>
        <v>125.4</v>
      </c>
      <c r="AF115" s="228">
        <f t="shared" si="20"/>
        <v>2095</v>
      </c>
      <c r="AG115" s="228">
        <f t="shared" si="21"/>
        <v>122.4</v>
      </c>
      <c r="AH115" s="228">
        <f t="shared" si="22"/>
        <v>2095</v>
      </c>
    </row>
    <row r="116" spans="1:34" s="228" customFormat="1" ht="19.5" customHeight="1" x14ac:dyDescent="0.3">
      <c r="A116" s="232" t="str">
        <f>'쪽쟘(실측)'!A116</f>
        <v>12-2</v>
      </c>
      <c r="B116" s="232" t="str">
        <f>'쪽쟘(실측)'!B116&amp;"F"</f>
        <v>10F</v>
      </c>
      <c r="C116" s="232" t="str">
        <f t="shared" si="14"/>
        <v>963*124.4</v>
      </c>
      <c r="D116" s="232">
        <f>'쪽쟘(실측)'!C116-쪽쟘OP차감</f>
        <v>898</v>
      </c>
      <c r="E116" s="232">
        <f>'쪽쟘(실측)'!D116+쪽쟘J늘림+MAX(W116:X116)</f>
        <v>70</v>
      </c>
      <c r="F116" s="233">
        <f>'쪽쟘(실측)'!E116+쪽쟘J늘림+MAX(W116:X116)</f>
        <v>70</v>
      </c>
      <c r="G116" s="234" t="str">
        <f t="shared" si="15"/>
        <v>2095*125.4</v>
      </c>
      <c r="H116" s="235" t="str">
        <f t="shared" si="16"/>
        <v>2095*125.4</v>
      </c>
      <c r="I116" s="232">
        <f>IF('쪽쟘(실측)'!F116&gt;0,'쪽쟘(실측)'!F116-1.5,0)+뒷날개치수더함</f>
        <v>32.5</v>
      </c>
      <c r="J116" s="232">
        <f>IF('쪽쟘(실측)'!H116&gt;0,'쪽쟘(실측)'!H116-1.5,0)+뒷날개치수더함</f>
        <v>32.5</v>
      </c>
      <c r="K116" s="232">
        <f>IF('쪽쟘(실측)'!F116&gt;0,'쪽쟘(실측)'!F116+0,0)+뒷날개치수더함</f>
        <v>34</v>
      </c>
      <c r="L116" s="232">
        <f>IF('쪽쟘(실측)'!G116&gt;0,'쪽쟘(실측)'!G116+0,0)+뒷날개치수더함</f>
        <v>34</v>
      </c>
      <c r="M116" s="232">
        <f>IF('쪽쟘(실측)'!H116&gt;0,'쪽쟘(실측)'!H116+0,0)+뒷날개치수더함</f>
        <v>34</v>
      </c>
      <c r="N116" s="232">
        <f>IF('쪽쟘(실측)'!I116&gt;0,'쪽쟘(실측)'!I116+0,0)+뒷날개치수더함</f>
        <v>34</v>
      </c>
      <c r="O116" s="232">
        <f>'쪽쟘(실측)'!J116-쪽쟘기둥차감</f>
        <v>2095</v>
      </c>
      <c r="P116" s="232">
        <f>'쪽쟘(실측)'!K116-쪽쟘기둥차감</f>
        <v>2095</v>
      </c>
      <c r="Q116" s="232">
        <f>'쪽쟘(실측)'!L116-쪽쟘기둥차감</f>
        <v>2095</v>
      </c>
      <c r="R116" s="232">
        <f>'쪽쟘(실측)'!M116-쪽쟘기둥차감</f>
        <v>2095</v>
      </c>
      <c r="S116" s="232">
        <f>'쪽쟘(실측)'!N116+뒷날개치수더함</f>
        <v>33</v>
      </c>
      <c r="T116" s="232">
        <f>'쪽쟘(실측)'!O116+뒷날개치수더함</f>
        <v>33</v>
      </c>
      <c r="U116" s="232">
        <f>'쪽쟘(실측)'!P116+뒷날개치수더함</f>
        <v>25</v>
      </c>
      <c r="V116" s="232">
        <f>'쪽쟘(실측)'!Q116+뒷날개치수더함</f>
        <v>25</v>
      </c>
      <c r="W116" s="232">
        <f>'쪽쟘(실측)'!R116-쪽쟘늘치차감</f>
        <v>0</v>
      </c>
      <c r="X116" s="232">
        <f>'쪽쟘(실측)'!S116-쪽쟘늘치차감</f>
        <v>0</v>
      </c>
      <c r="Y116" s="271">
        <f>IF('쪽쟘(실측)'!T116&gt;5,'쪽쟘(실측)'!T116+뒷날개치수더함,0)</f>
        <v>15</v>
      </c>
      <c r="Z116" s="271">
        <f>'쪽쟘(실측)'!U116</f>
        <v>10</v>
      </c>
      <c r="AA116" s="271">
        <f>'쪽쟘(실측)'!V116</f>
        <v>10</v>
      </c>
      <c r="AC116" s="228">
        <f t="shared" si="17"/>
        <v>963</v>
      </c>
      <c r="AD116" s="228">
        <f t="shared" si="18"/>
        <v>124.4</v>
      </c>
      <c r="AE116" s="228">
        <f t="shared" si="19"/>
        <v>125.4</v>
      </c>
      <c r="AF116" s="228">
        <f t="shared" si="20"/>
        <v>2095</v>
      </c>
      <c r="AG116" s="228">
        <f t="shared" si="21"/>
        <v>125.4</v>
      </c>
      <c r="AH116" s="228">
        <f t="shared" si="22"/>
        <v>2095</v>
      </c>
    </row>
    <row r="117" spans="1:34" s="228" customFormat="1" ht="19.5" customHeight="1" x14ac:dyDescent="0.3">
      <c r="A117" s="232" t="str">
        <f>'쪽쟘(실측)'!A117</f>
        <v>12-2</v>
      </c>
      <c r="B117" s="232" t="str">
        <f>'쪽쟘(실측)'!B117&amp;"F"</f>
        <v>9F</v>
      </c>
      <c r="C117" s="232" t="str">
        <f t="shared" si="14"/>
        <v>961*127.4</v>
      </c>
      <c r="D117" s="232">
        <f>'쪽쟘(실측)'!C117-쪽쟘OP차감</f>
        <v>898</v>
      </c>
      <c r="E117" s="232">
        <f>'쪽쟘(실측)'!D117+쪽쟘J늘림+MAX(W117:X117)</f>
        <v>70</v>
      </c>
      <c r="F117" s="233">
        <f>'쪽쟘(실측)'!E117+쪽쟘J늘림+MAX(W117:X117)</f>
        <v>70</v>
      </c>
      <c r="G117" s="234" t="str">
        <f t="shared" si="15"/>
        <v>2095*125.4</v>
      </c>
      <c r="H117" s="235" t="str">
        <f t="shared" si="16"/>
        <v>2095*123.4</v>
      </c>
      <c r="I117" s="232">
        <f>IF('쪽쟘(실측)'!F117&gt;0,'쪽쟘(실측)'!F117-1.5,0)+뒷날개치수더함</f>
        <v>32.5</v>
      </c>
      <c r="J117" s="232">
        <f>IF('쪽쟘(실측)'!H117&gt;0,'쪽쟘(실측)'!H117-1.5,0)+뒷날개치수더함</f>
        <v>30.5</v>
      </c>
      <c r="K117" s="232">
        <f>IF('쪽쟘(실측)'!F117&gt;0,'쪽쟘(실측)'!F117+0,0)+뒷날개치수더함</f>
        <v>34</v>
      </c>
      <c r="L117" s="232">
        <f>IF('쪽쟘(실측)'!G117&gt;0,'쪽쟘(실측)'!G117+0,0)+뒷날개치수더함</f>
        <v>34</v>
      </c>
      <c r="M117" s="232">
        <f>IF('쪽쟘(실측)'!H117&gt;0,'쪽쟘(실측)'!H117+0,0)+뒷날개치수더함</f>
        <v>32</v>
      </c>
      <c r="N117" s="232">
        <f>IF('쪽쟘(실측)'!I117&gt;0,'쪽쟘(실측)'!I117+0,0)+뒷날개치수더함</f>
        <v>32</v>
      </c>
      <c r="O117" s="232">
        <f>'쪽쟘(실측)'!J117-쪽쟘기둥차감</f>
        <v>2095</v>
      </c>
      <c r="P117" s="232">
        <f>'쪽쟘(실측)'!K117-쪽쟘기둥차감</f>
        <v>2095</v>
      </c>
      <c r="Q117" s="232">
        <f>'쪽쟘(실측)'!L117-쪽쟘기둥차감</f>
        <v>2095</v>
      </c>
      <c r="R117" s="232">
        <f>'쪽쟘(실측)'!M117-쪽쟘기둥차감</f>
        <v>2095</v>
      </c>
      <c r="S117" s="232">
        <f>'쪽쟘(실측)'!N117+뒷날개치수더함</f>
        <v>31</v>
      </c>
      <c r="T117" s="232">
        <f>'쪽쟘(실측)'!O117+뒷날개치수더함</f>
        <v>36</v>
      </c>
      <c r="U117" s="232">
        <f>'쪽쟘(실측)'!P117+뒷날개치수더함</f>
        <v>25</v>
      </c>
      <c r="V117" s="232">
        <f>'쪽쟘(실측)'!Q117+뒷날개치수더함</f>
        <v>25</v>
      </c>
      <c r="W117" s="232">
        <f>'쪽쟘(실측)'!R117-쪽쟘늘치차감</f>
        <v>0</v>
      </c>
      <c r="X117" s="232">
        <f>'쪽쟘(실측)'!S117-쪽쟘늘치차감</f>
        <v>0</v>
      </c>
      <c r="Y117" s="271">
        <f>IF('쪽쟘(실측)'!T117&gt;5,'쪽쟘(실측)'!T117+뒷날개치수더함,0)</f>
        <v>15</v>
      </c>
      <c r="Z117" s="271">
        <f>'쪽쟘(실측)'!U117</f>
        <v>10</v>
      </c>
      <c r="AA117" s="271">
        <f>'쪽쟘(실측)'!V117</f>
        <v>10</v>
      </c>
      <c r="AC117" s="228">
        <f t="shared" si="17"/>
        <v>961</v>
      </c>
      <c r="AD117" s="228">
        <f t="shared" si="18"/>
        <v>127.4</v>
      </c>
      <c r="AE117" s="228">
        <f t="shared" si="19"/>
        <v>125.4</v>
      </c>
      <c r="AF117" s="228">
        <f t="shared" si="20"/>
        <v>2095</v>
      </c>
      <c r="AG117" s="228">
        <f t="shared" si="21"/>
        <v>123.4</v>
      </c>
      <c r="AH117" s="228">
        <f t="shared" si="22"/>
        <v>2095</v>
      </c>
    </row>
    <row r="118" spans="1:34" s="228" customFormat="1" ht="19.5" customHeight="1" x14ac:dyDescent="0.3">
      <c r="A118" s="232" t="str">
        <f>'쪽쟘(실측)'!A118</f>
        <v>12-2</v>
      </c>
      <c r="B118" s="232" t="str">
        <f>'쪽쟘(실측)'!B118&amp;"F"</f>
        <v>8F</v>
      </c>
      <c r="C118" s="232" t="str">
        <f t="shared" ref="C118:C125" si="23">AC118&amp;"*"&amp;AD118</f>
        <v>960*124.4</v>
      </c>
      <c r="D118" s="232">
        <f>'쪽쟘(실측)'!C118-쪽쟘OP차감</f>
        <v>900</v>
      </c>
      <c r="E118" s="232">
        <f>'쪽쟘(실측)'!D118+쪽쟘J늘림+MAX(W118:X118)</f>
        <v>70</v>
      </c>
      <c r="F118" s="233">
        <f>'쪽쟘(실측)'!E118+쪽쟘J늘림+MAX(W118:X118)</f>
        <v>70</v>
      </c>
      <c r="G118" s="234" t="str">
        <f t="shared" ref="G118:G125" si="24">AF118&amp;"*"&amp;AE118</f>
        <v>2095*123.4</v>
      </c>
      <c r="H118" s="235" t="str">
        <f t="shared" ref="H118:H125" si="25">AH118&amp;"*"&amp;AG118</f>
        <v>2095*122.4</v>
      </c>
      <c r="I118" s="232">
        <f>IF('쪽쟘(실측)'!F118&gt;0,'쪽쟘(실측)'!F118-1.5,0)+뒷날개치수더함</f>
        <v>30.5</v>
      </c>
      <c r="J118" s="232">
        <f>IF('쪽쟘(실측)'!H118&gt;0,'쪽쟘(실측)'!H118-1.5,0)+뒷날개치수더함</f>
        <v>29.5</v>
      </c>
      <c r="K118" s="232">
        <f>IF('쪽쟘(실측)'!F118&gt;0,'쪽쟘(실측)'!F118+0,0)+뒷날개치수더함</f>
        <v>32</v>
      </c>
      <c r="L118" s="232">
        <f>IF('쪽쟘(실측)'!G118&gt;0,'쪽쟘(실측)'!G118+0,0)+뒷날개치수더함</f>
        <v>32</v>
      </c>
      <c r="M118" s="232">
        <f>IF('쪽쟘(실측)'!H118&gt;0,'쪽쟘(실측)'!H118+0,0)+뒷날개치수더함</f>
        <v>31</v>
      </c>
      <c r="N118" s="232">
        <f>IF('쪽쟘(실측)'!I118&gt;0,'쪽쟘(실측)'!I118+0,0)+뒷날개치수더함</f>
        <v>31</v>
      </c>
      <c r="O118" s="232">
        <f>'쪽쟘(실측)'!J118-쪽쟘기둥차감</f>
        <v>2095</v>
      </c>
      <c r="P118" s="232">
        <f>'쪽쟘(실측)'!K118-쪽쟘기둥차감</f>
        <v>2095</v>
      </c>
      <c r="Q118" s="232">
        <f>'쪽쟘(실측)'!L118-쪽쟘기둥차감</f>
        <v>2095</v>
      </c>
      <c r="R118" s="232">
        <f>'쪽쟘(실측)'!M118-쪽쟘기둥차감</f>
        <v>2095</v>
      </c>
      <c r="S118" s="232">
        <f>'쪽쟘(실측)'!N118+뒷날개치수더함</f>
        <v>33</v>
      </c>
      <c r="T118" s="232">
        <f>'쪽쟘(실측)'!O118+뒷날개치수더함</f>
        <v>33</v>
      </c>
      <c r="U118" s="232">
        <f>'쪽쟘(실측)'!P118+뒷날개치수더함</f>
        <v>25</v>
      </c>
      <c r="V118" s="232">
        <f>'쪽쟘(실측)'!Q118+뒷날개치수더함</f>
        <v>25</v>
      </c>
      <c r="W118" s="232">
        <f>'쪽쟘(실측)'!R118-쪽쟘늘치차감</f>
        <v>0</v>
      </c>
      <c r="X118" s="232">
        <f>'쪽쟘(실측)'!S118-쪽쟘늘치차감</f>
        <v>0</v>
      </c>
      <c r="Y118" s="271">
        <f>IF('쪽쟘(실측)'!T118&gt;5,'쪽쟘(실측)'!T118+뒷날개치수더함,0)</f>
        <v>15</v>
      </c>
      <c r="Z118" s="271">
        <f>'쪽쟘(실측)'!U118</f>
        <v>10</v>
      </c>
      <c r="AA118" s="271">
        <f>'쪽쟘(실측)'!V118</f>
        <v>10</v>
      </c>
      <c r="AC118" s="228">
        <f t="shared" ref="AC118:AC125" si="26">D118+I118+J118</f>
        <v>960</v>
      </c>
      <c r="AD118" s="228">
        <f t="shared" ref="AD118:AD125" si="27">U118+E118+MAX(S118,T118)-쪽쟘소재t*3+IF(S118=0,S118*쪽쟘소재t,0)</f>
        <v>124.4</v>
      </c>
      <c r="AE118" s="228">
        <f t="shared" ref="AE118:AE125" si="28">MAX(K118,L118)+F118+V118-쪽쟘소재t*3+IF(K118=0,쪽쟘소재t)-IF(AA118=90,2.4,0)</f>
        <v>123.4</v>
      </c>
      <c r="AF118" s="228">
        <f t="shared" ref="AF118:AF125" si="29">MAX(O118,P118)</f>
        <v>2095</v>
      </c>
      <c r="AG118" s="228">
        <f t="shared" ref="AG118:AG125" si="30">MAX(M118,N118)+F118+V118-쪽쟘소재t*3+IF(M118=0,쪽쟘소재t)-IF(AA118=90,2.4,0)</f>
        <v>122.4</v>
      </c>
      <c r="AH118" s="228">
        <f t="shared" ref="AH118:AH125" si="31">MAX(Q118,R118)</f>
        <v>2095</v>
      </c>
    </row>
    <row r="119" spans="1:34" s="228" customFormat="1" ht="19.5" customHeight="1" x14ac:dyDescent="0.3">
      <c r="A119" s="232" t="str">
        <f>'쪽쟘(실측)'!A119</f>
        <v>12-2</v>
      </c>
      <c r="B119" s="232" t="str">
        <f>'쪽쟘(실측)'!B119&amp;"F"</f>
        <v>7F</v>
      </c>
      <c r="C119" s="232" t="str">
        <f t="shared" si="23"/>
        <v>957*121.4</v>
      </c>
      <c r="D119" s="232">
        <f>'쪽쟘(실측)'!C119-쪽쟘OP차감</f>
        <v>899</v>
      </c>
      <c r="E119" s="232">
        <f>'쪽쟘(실측)'!D119+쪽쟘J늘림+MAX(W119:X119)</f>
        <v>70</v>
      </c>
      <c r="F119" s="233">
        <f>'쪽쟘(실측)'!E119+쪽쟘J늘림+MAX(W119:X119)</f>
        <v>70</v>
      </c>
      <c r="G119" s="234" t="str">
        <f t="shared" si="24"/>
        <v>2095*122.4</v>
      </c>
      <c r="H119" s="235" t="str">
        <f t="shared" si="25"/>
        <v>2095*121.4</v>
      </c>
      <c r="I119" s="232">
        <f>IF('쪽쟘(실측)'!F119&gt;0,'쪽쟘(실측)'!F119-1.5,0)+뒷날개치수더함</f>
        <v>29.5</v>
      </c>
      <c r="J119" s="232">
        <f>IF('쪽쟘(실측)'!H119&gt;0,'쪽쟘(실측)'!H119-1.5,0)+뒷날개치수더함</f>
        <v>28.5</v>
      </c>
      <c r="K119" s="232">
        <f>IF('쪽쟘(실측)'!F119&gt;0,'쪽쟘(실측)'!F119+0,0)+뒷날개치수더함</f>
        <v>31</v>
      </c>
      <c r="L119" s="232">
        <f>IF('쪽쟘(실측)'!G119&gt;0,'쪽쟘(실측)'!G119+0,0)+뒷날개치수더함</f>
        <v>31</v>
      </c>
      <c r="M119" s="232">
        <f>IF('쪽쟘(실측)'!H119&gt;0,'쪽쟘(실측)'!H119+0,0)+뒷날개치수더함</f>
        <v>30</v>
      </c>
      <c r="N119" s="232">
        <f>IF('쪽쟘(실측)'!I119&gt;0,'쪽쟘(실측)'!I119+0,0)+뒷날개치수더함</f>
        <v>30</v>
      </c>
      <c r="O119" s="232">
        <f>'쪽쟘(실측)'!J119-쪽쟘기둥차감</f>
        <v>2095</v>
      </c>
      <c r="P119" s="232">
        <f>'쪽쟘(실측)'!K119-쪽쟘기둥차감</f>
        <v>2095</v>
      </c>
      <c r="Q119" s="232">
        <f>'쪽쟘(실측)'!L119-쪽쟘기둥차감</f>
        <v>2095</v>
      </c>
      <c r="R119" s="232">
        <f>'쪽쟘(실측)'!M119-쪽쟘기둥차감</f>
        <v>2095</v>
      </c>
      <c r="S119" s="232">
        <f>'쪽쟘(실측)'!N119+뒷날개치수더함</f>
        <v>30</v>
      </c>
      <c r="T119" s="232">
        <f>'쪽쟘(실측)'!O119+뒷날개치수더함</f>
        <v>30</v>
      </c>
      <c r="U119" s="232">
        <f>'쪽쟘(실측)'!P119+뒷날개치수더함</f>
        <v>25</v>
      </c>
      <c r="V119" s="232">
        <f>'쪽쟘(실측)'!Q119+뒷날개치수더함</f>
        <v>25</v>
      </c>
      <c r="W119" s="232">
        <f>'쪽쟘(실측)'!R119-쪽쟘늘치차감</f>
        <v>0</v>
      </c>
      <c r="X119" s="232">
        <f>'쪽쟘(실측)'!S119-쪽쟘늘치차감</f>
        <v>0</v>
      </c>
      <c r="Y119" s="271">
        <f>IF('쪽쟘(실측)'!T119&gt;5,'쪽쟘(실측)'!T119+뒷날개치수더함,0)</f>
        <v>15</v>
      </c>
      <c r="Z119" s="271">
        <f>'쪽쟘(실측)'!U119</f>
        <v>10</v>
      </c>
      <c r="AA119" s="271">
        <f>'쪽쟘(실측)'!V119</f>
        <v>10</v>
      </c>
      <c r="AC119" s="228">
        <f t="shared" si="26"/>
        <v>957</v>
      </c>
      <c r="AD119" s="228">
        <f t="shared" si="27"/>
        <v>121.4</v>
      </c>
      <c r="AE119" s="228">
        <f t="shared" si="28"/>
        <v>122.4</v>
      </c>
      <c r="AF119" s="228">
        <f t="shared" si="29"/>
        <v>2095</v>
      </c>
      <c r="AG119" s="228">
        <f t="shared" si="30"/>
        <v>121.4</v>
      </c>
      <c r="AH119" s="228">
        <f t="shared" si="31"/>
        <v>2095</v>
      </c>
    </row>
    <row r="120" spans="1:34" s="228" customFormat="1" ht="19.5" customHeight="1" x14ac:dyDescent="0.3">
      <c r="A120" s="232" t="str">
        <f>'쪽쟘(실측)'!A120</f>
        <v>12-2</v>
      </c>
      <c r="B120" s="232" t="str">
        <f>'쪽쟘(실측)'!B120&amp;"F"</f>
        <v>6F</v>
      </c>
      <c r="C120" s="232" t="str">
        <f t="shared" si="23"/>
        <v>956*127.4</v>
      </c>
      <c r="D120" s="232">
        <f>'쪽쟘(실측)'!C120-쪽쟘OP차감</f>
        <v>899</v>
      </c>
      <c r="E120" s="232">
        <f>'쪽쟘(실측)'!D120+쪽쟘J늘림+MAX(W120:X120)</f>
        <v>70</v>
      </c>
      <c r="F120" s="233">
        <f>'쪽쟘(실측)'!E120+쪽쟘J늘림+MAX(W120:X120)</f>
        <v>70</v>
      </c>
      <c r="G120" s="234" t="str">
        <f t="shared" si="24"/>
        <v>2095*120.4</v>
      </c>
      <c r="H120" s="235" t="str">
        <f t="shared" si="25"/>
        <v>2095*122.4</v>
      </c>
      <c r="I120" s="232">
        <f>IF('쪽쟘(실측)'!F120&gt;0,'쪽쟘(실측)'!F120-1.5,0)+뒷날개치수더함</f>
        <v>27.5</v>
      </c>
      <c r="J120" s="232">
        <f>IF('쪽쟘(실측)'!H120&gt;0,'쪽쟘(실측)'!H120-1.5,0)+뒷날개치수더함</f>
        <v>29.5</v>
      </c>
      <c r="K120" s="232">
        <f>IF('쪽쟘(실측)'!F120&gt;0,'쪽쟘(실측)'!F120+0,0)+뒷날개치수더함</f>
        <v>29</v>
      </c>
      <c r="L120" s="232">
        <f>IF('쪽쟘(실측)'!G120&gt;0,'쪽쟘(실측)'!G120+0,0)+뒷날개치수더함</f>
        <v>29</v>
      </c>
      <c r="M120" s="232">
        <f>IF('쪽쟘(실측)'!H120&gt;0,'쪽쟘(실측)'!H120+0,0)+뒷날개치수더함</f>
        <v>31</v>
      </c>
      <c r="N120" s="232">
        <f>IF('쪽쟘(실측)'!I120&gt;0,'쪽쟘(실측)'!I120+0,0)+뒷날개치수더함</f>
        <v>31</v>
      </c>
      <c r="O120" s="232">
        <f>'쪽쟘(실측)'!J120-쪽쟘기둥차감</f>
        <v>2095</v>
      </c>
      <c r="P120" s="232">
        <f>'쪽쟘(실측)'!K120-쪽쟘기둥차감</f>
        <v>2095</v>
      </c>
      <c r="Q120" s="232">
        <f>'쪽쟘(실측)'!L120-쪽쟘기둥차감</f>
        <v>2095</v>
      </c>
      <c r="R120" s="232">
        <f>'쪽쟘(실측)'!M120-쪽쟘기둥차감</f>
        <v>2095</v>
      </c>
      <c r="S120" s="232">
        <f>'쪽쟘(실측)'!N120+뒷날개치수더함</f>
        <v>36</v>
      </c>
      <c r="T120" s="232">
        <f>'쪽쟘(실측)'!O120+뒷날개치수더함</f>
        <v>36</v>
      </c>
      <c r="U120" s="232">
        <f>'쪽쟘(실측)'!P120+뒷날개치수더함</f>
        <v>25</v>
      </c>
      <c r="V120" s="232">
        <f>'쪽쟘(실측)'!Q120+뒷날개치수더함</f>
        <v>25</v>
      </c>
      <c r="W120" s="232">
        <f>'쪽쟘(실측)'!R120-쪽쟘늘치차감</f>
        <v>0</v>
      </c>
      <c r="X120" s="232">
        <f>'쪽쟘(실측)'!S120-쪽쟘늘치차감</f>
        <v>0</v>
      </c>
      <c r="Y120" s="271">
        <f>IF('쪽쟘(실측)'!T120&gt;5,'쪽쟘(실측)'!T120+뒷날개치수더함,0)</f>
        <v>15</v>
      </c>
      <c r="Z120" s="271">
        <f>'쪽쟘(실측)'!U120</f>
        <v>10</v>
      </c>
      <c r="AA120" s="271">
        <f>'쪽쟘(실측)'!V120</f>
        <v>10</v>
      </c>
      <c r="AC120" s="228">
        <f t="shared" si="26"/>
        <v>956</v>
      </c>
      <c r="AD120" s="228">
        <f t="shared" si="27"/>
        <v>127.4</v>
      </c>
      <c r="AE120" s="228">
        <f t="shared" si="28"/>
        <v>120.4</v>
      </c>
      <c r="AF120" s="228">
        <f t="shared" si="29"/>
        <v>2095</v>
      </c>
      <c r="AG120" s="228">
        <f t="shared" si="30"/>
        <v>122.4</v>
      </c>
      <c r="AH120" s="228">
        <f t="shared" si="31"/>
        <v>2095</v>
      </c>
    </row>
    <row r="121" spans="1:34" s="228" customFormat="1" ht="19.5" customHeight="1" x14ac:dyDescent="0.3">
      <c r="A121" s="232" t="str">
        <f>'쪽쟘(실측)'!A121</f>
        <v>12-2</v>
      </c>
      <c r="B121" s="232" t="str">
        <f>'쪽쟘(실측)'!B121&amp;"F"</f>
        <v>5F</v>
      </c>
      <c r="C121" s="232" t="str">
        <f t="shared" si="23"/>
        <v>960*121.4</v>
      </c>
      <c r="D121" s="232">
        <f>'쪽쟘(실측)'!C121-쪽쟘OP차감</f>
        <v>899</v>
      </c>
      <c r="E121" s="232">
        <f>'쪽쟘(실측)'!D121+쪽쟘J늘림+MAX(W121:X121)</f>
        <v>70</v>
      </c>
      <c r="F121" s="233">
        <f>'쪽쟘(실측)'!E121+쪽쟘J늘림+MAX(W121:X121)</f>
        <v>70</v>
      </c>
      <c r="G121" s="234" t="str">
        <f t="shared" si="24"/>
        <v>2095*122.4</v>
      </c>
      <c r="H121" s="235" t="str">
        <f t="shared" si="25"/>
        <v>2095*124.4</v>
      </c>
      <c r="I121" s="232">
        <f>IF('쪽쟘(실측)'!F121&gt;0,'쪽쟘(실측)'!F121-1.5,0)+뒷날개치수더함</f>
        <v>29.5</v>
      </c>
      <c r="J121" s="232">
        <f>IF('쪽쟘(실측)'!H121&gt;0,'쪽쟘(실측)'!H121-1.5,0)+뒷날개치수더함</f>
        <v>31.5</v>
      </c>
      <c r="K121" s="232">
        <f>IF('쪽쟘(실측)'!F121&gt;0,'쪽쟘(실측)'!F121+0,0)+뒷날개치수더함</f>
        <v>31</v>
      </c>
      <c r="L121" s="232">
        <f>IF('쪽쟘(실측)'!G121&gt;0,'쪽쟘(실측)'!G121+0,0)+뒷날개치수더함</f>
        <v>31</v>
      </c>
      <c r="M121" s="232">
        <f>IF('쪽쟘(실측)'!H121&gt;0,'쪽쟘(실측)'!H121+0,0)+뒷날개치수더함</f>
        <v>33</v>
      </c>
      <c r="N121" s="232">
        <f>IF('쪽쟘(실측)'!I121&gt;0,'쪽쟘(실측)'!I121+0,0)+뒷날개치수더함</f>
        <v>29</v>
      </c>
      <c r="O121" s="232">
        <f>'쪽쟘(실측)'!J121-쪽쟘기둥차감</f>
        <v>2095</v>
      </c>
      <c r="P121" s="232">
        <f>'쪽쟘(실측)'!K121-쪽쟘기둥차감</f>
        <v>2095</v>
      </c>
      <c r="Q121" s="232">
        <f>'쪽쟘(실측)'!L121-쪽쟘기둥차감</f>
        <v>2095</v>
      </c>
      <c r="R121" s="232">
        <f>'쪽쟘(실측)'!M121-쪽쟘기둥차감</f>
        <v>2095</v>
      </c>
      <c r="S121" s="232">
        <f>'쪽쟘(실측)'!N121+뒷날개치수더함</f>
        <v>30</v>
      </c>
      <c r="T121" s="232">
        <f>'쪽쟘(실측)'!O121+뒷날개치수더함</f>
        <v>30</v>
      </c>
      <c r="U121" s="232">
        <f>'쪽쟘(실측)'!P121+뒷날개치수더함</f>
        <v>25</v>
      </c>
      <c r="V121" s="232">
        <f>'쪽쟘(실측)'!Q121+뒷날개치수더함</f>
        <v>25</v>
      </c>
      <c r="W121" s="232">
        <f>'쪽쟘(실측)'!R121-쪽쟘늘치차감</f>
        <v>0</v>
      </c>
      <c r="X121" s="232">
        <f>'쪽쟘(실측)'!S121-쪽쟘늘치차감</f>
        <v>0</v>
      </c>
      <c r="Y121" s="271">
        <f>IF('쪽쟘(실측)'!T121&gt;5,'쪽쟘(실측)'!T121+뒷날개치수더함,0)</f>
        <v>15</v>
      </c>
      <c r="Z121" s="271">
        <f>'쪽쟘(실측)'!U121</f>
        <v>10</v>
      </c>
      <c r="AA121" s="271">
        <f>'쪽쟘(실측)'!V121</f>
        <v>10</v>
      </c>
      <c r="AC121" s="228">
        <f t="shared" si="26"/>
        <v>960</v>
      </c>
      <c r="AD121" s="228">
        <f t="shared" si="27"/>
        <v>121.4</v>
      </c>
      <c r="AE121" s="228">
        <f t="shared" si="28"/>
        <v>122.4</v>
      </c>
      <c r="AF121" s="228">
        <f t="shared" si="29"/>
        <v>2095</v>
      </c>
      <c r="AG121" s="228">
        <f t="shared" si="30"/>
        <v>124.4</v>
      </c>
      <c r="AH121" s="228">
        <f t="shared" si="31"/>
        <v>2095</v>
      </c>
    </row>
    <row r="122" spans="1:34" s="228" customFormat="1" ht="19.5" customHeight="1" x14ac:dyDescent="0.3">
      <c r="A122" s="232" t="str">
        <f>'쪽쟘(실측)'!A122</f>
        <v>12-2</v>
      </c>
      <c r="B122" s="232" t="str">
        <f>'쪽쟘(실측)'!B122&amp;"F"</f>
        <v>4F</v>
      </c>
      <c r="C122" s="232" t="str">
        <f t="shared" si="23"/>
        <v>959*122.4</v>
      </c>
      <c r="D122" s="232">
        <f>'쪽쟘(실측)'!C122-쪽쟘OP차감</f>
        <v>899</v>
      </c>
      <c r="E122" s="232">
        <f>'쪽쟘(실측)'!D122+쪽쟘J늘림+MAX(W122:X122)</f>
        <v>70</v>
      </c>
      <c r="F122" s="233">
        <f>'쪽쟘(실측)'!E122+쪽쟘J늘림+MAX(W122:X122)</f>
        <v>70</v>
      </c>
      <c r="G122" s="234" t="str">
        <f t="shared" si="24"/>
        <v>2095*122.4</v>
      </c>
      <c r="H122" s="235" t="str">
        <f t="shared" si="25"/>
        <v>2095*123.4</v>
      </c>
      <c r="I122" s="232">
        <f>IF('쪽쟘(실측)'!F122&gt;0,'쪽쟘(실측)'!F122-1.5,0)+뒷날개치수더함</f>
        <v>29.5</v>
      </c>
      <c r="J122" s="232">
        <f>IF('쪽쟘(실측)'!H122&gt;0,'쪽쟘(실측)'!H122-1.5,0)+뒷날개치수더함</f>
        <v>30.5</v>
      </c>
      <c r="K122" s="232">
        <f>IF('쪽쟘(실측)'!F122&gt;0,'쪽쟘(실측)'!F122+0,0)+뒷날개치수더함</f>
        <v>31</v>
      </c>
      <c r="L122" s="232">
        <f>IF('쪽쟘(실측)'!G122&gt;0,'쪽쟘(실측)'!G122+0,0)+뒷날개치수더함</f>
        <v>31</v>
      </c>
      <c r="M122" s="232">
        <f>IF('쪽쟘(실측)'!H122&gt;0,'쪽쟘(실측)'!H122+0,0)+뒷날개치수더함</f>
        <v>32</v>
      </c>
      <c r="N122" s="232">
        <f>IF('쪽쟘(실측)'!I122&gt;0,'쪽쟘(실측)'!I122+0,0)+뒷날개치수더함</f>
        <v>32</v>
      </c>
      <c r="O122" s="232">
        <f>'쪽쟘(실측)'!J122-쪽쟘기둥차감</f>
        <v>2095</v>
      </c>
      <c r="P122" s="232">
        <f>'쪽쟘(실측)'!K122-쪽쟘기둥차감</f>
        <v>2095</v>
      </c>
      <c r="Q122" s="232">
        <f>'쪽쟘(실측)'!L122-쪽쟘기둥차감</f>
        <v>2095</v>
      </c>
      <c r="R122" s="232">
        <f>'쪽쟘(실측)'!M122-쪽쟘기둥차감</f>
        <v>2095</v>
      </c>
      <c r="S122" s="232">
        <f>'쪽쟘(실측)'!N122+뒷날개치수더함</f>
        <v>31</v>
      </c>
      <c r="T122" s="232">
        <f>'쪽쟘(실측)'!O122+뒷날개치수더함</f>
        <v>31</v>
      </c>
      <c r="U122" s="232">
        <f>'쪽쟘(실측)'!P122+뒷날개치수더함</f>
        <v>25</v>
      </c>
      <c r="V122" s="232">
        <f>'쪽쟘(실측)'!Q122+뒷날개치수더함</f>
        <v>25</v>
      </c>
      <c r="W122" s="232">
        <f>'쪽쟘(실측)'!R122-쪽쟘늘치차감</f>
        <v>0</v>
      </c>
      <c r="X122" s="232">
        <f>'쪽쟘(실측)'!S122-쪽쟘늘치차감</f>
        <v>0</v>
      </c>
      <c r="Y122" s="271">
        <f>IF('쪽쟘(실측)'!T122&gt;5,'쪽쟘(실측)'!T122+뒷날개치수더함,0)</f>
        <v>15</v>
      </c>
      <c r="Z122" s="271">
        <f>'쪽쟘(실측)'!U122</f>
        <v>10</v>
      </c>
      <c r="AA122" s="271">
        <f>'쪽쟘(실측)'!V122</f>
        <v>10</v>
      </c>
      <c r="AC122" s="228">
        <f t="shared" si="26"/>
        <v>959</v>
      </c>
      <c r="AD122" s="228">
        <f t="shared" si="27"/>
        <v>122.4</v>
      </c>
      <c r="AE122" s="228">
        <f t="shared" si="28"/>
        <v>122.4</v>
      </c>
      <c r="AF122" s="228">
        <f t="shared" si="29"/>
        <v>2095</v>
      </c>
      <c r="AG122" s="228">
        <f t="shared" si="30"/>
        <v>123.4</v>
      </c>
      <c r="AH122" s="228">
        <f t="shared" si="31"/>
        <v>2095</v>
      </c>
    </row>
    <row r="123" spans="1:34" s="228" customFormat="1" ht="19.5" customHeight="1" x14ac:dyDescent="0.3">
      <c r="A123" s="232" t="str">
        <f>'쪽쟘(실측)'!A123</f>
        <v>12-2</v>
      </c>
      <c r="B123" s="232" t="str">
        <f>'쪽쟘(실측)'!B123&amp;"F"</f>
        <v>3F</v>
      </c>
      <c r="C123" s="232" t="str">
        <f t="shared" si="23"/>
        <v>959*123.4</v>
      </c>
      <c r="D123" s="232">
        <f>'쪽쟘(실측)'!C123-쪽쟘OP차감</f>
        <v>898</v>
      </c>
      <c r="E123" s="232">
        <f>'쪽쟘(실측)'!D123+쪽쟘J늘림+MAX(W123:X123)</f>
        <v>70</v>
      </c>
      <c r="F123" s="233">
        <f>'쪽쟘(실측)'!E123+쪽쟘J늘림+MAX(W123:X123)</f>
        <v>70</v>
      </c>
      <c r="G123" s="234" t="str">
        <f t="shared" si="24"/>
        <v>2095*122.4</v>
      </c>
      <c r="H123" s="235" t="str">
        <f t="shared" si="25"/>
        <v>2095*124.4</v>
      </c>
      <c r="I123" s="232">
        <f>IF('쪽쟘(실측)'!F123&gt;0,'쪽쟘(실측)'!F123-1.5,0)+뒷날개치수더함</f>
        <v>29.5</v>
      </c>
      <c r="J123" s="232">
        <f>IF('쪽쟘(실측)'!H123&gt;0,'쪽쟘(실측)'!H123-1.5,0)+뒷날개치수더함</f>
        <v>31.5</v>
      </c>
      <c r="K123" s="232">
        <f>IF('쪽쟘(실측)'!F123&gt;0,'쪽쟘(실측)'!F123+0,0)+뒷날개치수더함</f>
        <v>31</v>
      </c>
      <c r="L123" s="232">
        <f>IF('쪽쟘(실측)'!G123&gt;0,'쪽쟘(실측)'!G123+0,0)+뒷날개치수더함</f>
        <v>31</v>
      </c>
      <c r="M123" s="232">
        <f>IF('쪽쟘(실측)'!H123&gt;0,'쪽쟘(실측)'!H123+0,0)+뒷날개치수더함</f>
        <v>33</v>
      </c>
      <c r="N123" s="232">
        <f>IF('쪽쟘(실측)'!I123&gt;0,'쪽쟘(실측)'!I123+0,0)+뒷날개치수더함</f>
        <v>33</v>
      </c>
      <c r="O123" s="232">
        <f>'쪽쟘(실측)'!J123-쪽쟘기둥차감</f>
        <v>2095</v>
      </c>
      <c r="P123" s="232">
        <f>'쪽쟘(실측)'!K123-쪽쟘기둥차감</f>
        <v>2095</v>
      </c>
      <c r="Q123" s="232">
        <f>'쪽쟘(실측)'!L123-쪽쟘기둥차감</f>
        <v>2095</v>
      </c>
      <c r="R123" s="232">
        <f>'쪽쟘(실측)'!M123-쪽쟘기둥차감</f>
        <v>2095</v>
      </c>
      <c r="S123" s="232">
        <f>'쪽쟘(실측)'!N123+뒷날개치수더함</f>
        <v>32</v>
      </c>
      <c r="T123" s="232">
        <f>'쪽쟘(실측)'!O123+뒷날개치수더함</f>
        <v>32</v>
      </c>
      <c r="U123" s="232">
        <f>'쪽쟘(실측)'!P123+뒷날개치수더함</f>
        <v>25</v>
      </c>
      <c r="V123" s="232">
        <f>'쪽쟘(실측)'!Q123+뒷날개치수더함</f>
        <v>25</v>
      </c>
      <c r="W123" s="232">
        <f>'쪽쟘(실측)'!R123-쪽쟘늘치차감</f>
        <v>0</v>
      </c>
      <c r="X123" s="232">
        <f>'쪽쟘(실측)'!S123-쪽쟘늘치차감</f>
        <v>0</v>
      </c>
      <c r="Y123" s="271">
        <f>IF('쪽쟘(실측)'!T123&gt;5,'쪽쟘(실측)'!T123+뒷날개치수더함,0)</f>
        <v>15</v>
      </c>
      <c r="Z123" s="271">
        <f>'쪽쟘(실측)'!U123</f>
        <v>10</v>
      </c>
      <c r="AA123" s="271">
        <f>'쪽쟘(실측)'!V123</f>
        <v>10</v>
      </c>
      <c r="AC123" s="228">
        <f t="shared" si="26"/>
        <v>959</v>
      </c>
      <c r="AD123" s="228">
        <f t="shared" si="27"/>
        <v>123.4</v>
      </c>
      <c r="AE123" s="228">
        <f t="shared" si="28"/>
        <v>122.4</v>
      </c>
      <c r="AF123" s="228">
        <f t="shared" si="29"/>
        <v>2095</v>
      </c>
      <c r="AG123" s="228">
        <f t="shared" si="30"/>
        <v>124.4</v>
      </c>
      <c r="AH123" s="228">
        <f t="shared" si="31"/>
        <v>2095</v>
      </c>
    </row>
    <row r="124" spans="1:34" s="228" customFormat="1" ht="19.5" customHeight="1" x14ac:dyDescent="0.3">
      <c r="A124" s="232" t="str">
        <f>'쪽쟘(실측)'!A124</f>
        <v>12-2</v>
      </c>
      <c r="B124" s="232" t="str">
        <f>'쪽쟘(실측)'!B124&amp;"F"</f>
        <v>2F</v>
      </c>
      <c r="C124" s="232" t="str">
        <f t="shared" si="23"/>
        <v>959*121.4</v>
      </c>
      <c r="D124" s="232">
        <f>'쪽쟘(실측)'!C124-쪽쟘OP차감</f>
        <v>898</v>
      </c>
      <c r="E124" s="232">
        <f>'쪽쟘(실측)'!D124+쪽쟘J늘림+MAX(W124:X124)</f>
        <v>70</v>
      </c>
      <c r="F124" s="233">
        <f>'쪽쟘(실측)'!E124+쪽쟘J늘림+MAX(W124:X124)</f>
        <v>70</v>
      </c>
      <c r="G124" s="234" t="str">
        <f t="shared" si="24"/>
        <v>2095*123.4</v>
      </c>
      <c r="H124" s="235" t="str">
        <f t="shared" si="25"/>
        <v>2095*123.4</v>
      </c>
      <c r="I124" s="232">
        <f>IF('쪽쟘(실측)'!F124&gt;0,'쪽쟘(실측)'!F124-1.5,0)+뒷날개치수더함</f>
        <v>30.5</v>
      </c>
      <c r="J124" s="232">
        <f>IF('쪽쟘(실측)'!H124&gt;0,'쪽쟘(실측)'!H124-1.5,0)+뒷날개치수더함</f>
        <v>30.5</v>
      </c>
      <c r="K124" s="232">
        <f>IF('쪽쟘(실측)'!F124&gt;0,'쪽쟘(실측)'!F124+0,0)+뒷날개치수더함</f>
        <v>32</v>
      </c>
      <c r="L124" s="232">
        <f>IF('쪽쟘(실측)'!G124&gt;0,'쪽쟘(실측)'!G124+0,0)+뒷날개치수더함</f>
        <v>32</v>
      </c>
      <c r="M124" s="232">
        <f>IF('쪽쟘(실측)'!H124&gt;0,'쪽쟘(실측)'!H124+0,0)+뒷날개치수더함</f>
        <v>32</v>
      </c>
      <c r="N124" s="232">
        <f>IF('쪽쟘(실측)'!I124&gt;0,'쪽쟘(실측)'!I124+0,0)+뒷날개치수더함</f>
        <v>32</v>
      </c>
      <c r="O124" s="232">
        <f>'쪽쟘(실측)'!J124-쪽쟘기둥차감</f>
        <v>2095</v>
      </c>
      <c r="P124" s="232">
        <f>'쪽쟘(실측)'!K124-쪽쟘기둥차감</f>
        <v>2095</v>
      </c>
      <c r="Q124" s="232">
        <f>'쪽쟘(실측)'!L124-쪽쟘기둥차감</f>
        <v>2095</v>
      </c>
      <c r="R124" s="232">
        <f>'쪽쟘(실측)'!M124-쪽쟘기둥차감</f>
        <v>2095</v>
      </c>
      <c r="S124" s="232">
        <f>'쪽쟘(실측)'!N124+뒷날개치수더함</f>
        <v>30</v>
      </c>
      <c r="T124" s="232">
        <f>'쪽쟘(실측)'!O124+뒷날개치수더함</f>
        <v>30</v>
      </c>
      <c r="U124" s="232">
        <f>'쪽쟘(실측)'!P124+뒷날개치수더함</f>
        <v>25</v>
      </c>
      <c r="V124" s="232">
        <f>'쪽쟘(실측)'!Q124+뒷날개치수더함</f>
        <v>25</v>
      </c>
      <c r="W124" s="232">
        <f>'쪽쟘(실측)'!R124-쪽쟘늘치차감</f>
        <v>0</v>
      </c>
      <c r="X124" s="232">
        <f>'쪽쟘(실측)'!S124-쪽쟘늘치차감</f>
        <v>0</v>
      </c>
      <c r="Y124" s="271">
        <f>IF('쪽쟘(실측)'!T124&gt;5,'쪽쟘(실측)'!T124+뒷날개치수더함,0)</f>
        <v>15</v>
      </c>
      <c r="Z124" s="271">
        <f>'쪽쟘(실측)'!U124</f>
        <v>10</v>
      </c>
      <c r="AA124" s="271">
        <f>'쪽쟘(실측)'!V124</f>
        <v>10</v>
      </c>
      <c r="AC124" s="228">
        <f t="shared" si="26"/>
        <v>959</v>
      </c>
      <c r="AD124" s="228">
        <f t="shared" si="27"/>
        <v>121.4</v>
      </c>
      <c r="AE124" s="228">
        <f t="shared" si="28"/>
        <v>123.4</v>
      </c>
      <c r="AF124" s="228">
        <f t="shared" si="29"/>
        <v>2095</v>
      </c>
      <c r="AG124" s="228">
        <f t="shared" si="30"/>
        <v>123.4</v>
      </c>
      <c r="AH124" s="228">
        <f t="shared" si="31"/>
        <v>2095</v>
      </c>
    </row>
    <row r="125" spans="1:34" s="228" customFormat="1" ht="19.5" customHeight="1" x14ac:dyDescent="0.3">
      <c r="A125" s="232" t="str">
        <f>'쪽쟘(실측)'!A125</f>
        <v>12-2</v>
      </c>
      <c r="B125" s="232" t="str">
        <f>'쪽쟘(실측)'!B125&amp;"F"</f>
        <v>B1F</v>
      </c>
      <c r="C125" s="232" t="str">
        <f t="shared" si="23"/>
        <v>972*126.4</v>
      </c>
      <c r="D125" s="232">
        <f>'쪽쟘(실측)'!C125-쪽쟘OP차감</f>
        <v>891</v>
      </c>
      <c r="E125" s="232">
        <f>'쪽쟘(실측)'!D125+쪽쟘J늘림+MAX(W125:X125)</f>
        <v>80</v>
      </c>
      <c r="F125" s="233">
        <f>'쪽쟘(실측)'!E125+쪽쟘J늘림+MAX(W125:X125)</f>
        <v>80</v>
      </c>
      <c r="G125" s="234" t="str">
        <f t="shared" si="24"/>
        <v>2094*140.4</v>
      </c>
      <c r="H125" s="235" t="str">
        <f t="shared" si="25"/>
        <v>2094*146.4</v>
      </c>
      <c r="I125" s="232">
        <f>IF('쪽쟘(실측)'!F125&gt;0,'쪽쟘(실측)'!F125-1.5,0)+뒷날개치수더함</f>
        <v>37.5</v>
      </c>
      <c r="J125" s="232">
        <f>IF('쪽쟘(실측)'!H125&gt;0,'쪽쟘(실측)'!H125-1.5,0)+뒷날개치수더함</f>
        <v>43.5</v>
      </c>
      <c r="K125" s="282">
        <f>IF('쪽쟘(실측)'!F125&gt;0,'쪽쟘(실측)'!F125+0,0)+뒷날개치수더함</f>
        <v>39</v>
      </c>
      <c r="L125" s="282">
        <f>IF('쪽쟘(실측)'!G125&gt;0,'쪽쟘(실측)'!G125+0,0)+뒷날개치수더함</f>
        <v>39</v>
      </c>
      <c r="M125" s="282">
        <f>IF('쪽쟘(실측)'!H125&gt;0,'쪽쟘(실측)'!H125+0,0)+뒷날개치수더함</f>
        <v>45</v>
      </c>
      <c r="N125" s="282">
        <f>IF('쪽쟘(실측)'!I125&gt;0,'쪽쟘(실측)'!I125+0,0)+뒷날개치수더함</f>
        <v>45</v>
      </c>
      <c r="O125" s="232">
        <f>'쪽쟘(실측)'!J125-쪽쟘기둥차감</f>
        <v>2094</v>
      </c>
      <c r="P125" s="232">
        <f>'쪽쟘(실측)'!K125-쪽쟘기둥차감</f>
        <v>2094</v>
      </c>
      <c r="Q125" s="232">
        <f>'쪽쟘(실측)'!L125-쪽쟘기둥차감</f>
        <v>2094</v>
      </c>
      <c r="R125" s="232">
        <f>'쪽쟘(실측)'!M125-쪽쟘기둥차감</f>
        <v>2094</v>
      </c>
      <c r="S125" s="232">
        <f>'쪽쟘(실측)'!N125+뒷날개치수더함</f>
        <v>25</v>
      </c>
      <c r="T125" s="232">
        <f>'쪽쟘(실측)'!O125+뒷날개치수더함</f>
        <v>25</v>
      </c>
      <c r="U125" s="232">
        <f>'쪽쟘(실측)'!P125+뒷날개치수더함</f>
        <v>25</v>
      </c>
      <c r="V125" s="232">
        <f>'쪽쟘(실측)'!Q125+뒷날개치수더함</f>
        <v>25</v>
      </c>
      <c r="W125" s="232">
        <f>'쪽쟘(실측)'!R125-쪽쟘늘치차감</f>
        <v>0</v>
      </c>
      <c r="X125" s="232">
        <f>'쪽쟘(실측)'!S125-쪽쟘늘치차감</f>
        <v>0</v>
      </c>
      <c r="Y125" s="271">
        <f>IF('쪽쟘(실측)'!T125&gt;5,'쪽쟘(실측)'!T125+뒷날개치수더함,0)</f>
        <v>15</v>
      </c>
      <c r="Z125" s="271">
        <f>'쪽쟘(실측)'!U125</f>
        <v>10</v>
      </c>
      <c r="AA125" s="271">
        <f>'쪽쟘(실측)'!V125</f>
        <v>10</v>
      </c>
      <c r="AC125" s="228">
        <f t="shared" si="26"/>
        <v>972</v>
      </c>
      <c r="AD125" s="228">
        <f t="shared" si="27"/>
        <v>126.4</v>
      </c>
      <c r="AE125" s="228">
        <f t="shared" si="28"/>
        <v>140.4</v>
      </c>
      <c r="AF125" s="228">
        <f t="shared" si="29"/>
        <v>2094</v>
      </c>
      <c r="AG125" s="228">
        <f t="shared" si="30"/>
        <v>146.4</v>
      </c>
      <c r="AH125" s="228">
        <f t="shared" si="31"/>
        <v>2094</v>
      </c>
    </row>
    <row r="126" spans="1:34" x14ac:dyDescent="0.3">
      <c r="D126">
        <v>65</v>
      </c>
      <c r="E126" s="228">
        <f>COUNTIF($E$7:$E$125,65)</f>
        <v>94</v>
      </c>
    </row>
    <row r="127" spans="1:34" x14ac:dyDescent="0.3">
      <c r="D127">
        <v>70</v>
      </c>
      <c r="E127">
        <f>COUNTIF($E$7:$E$125,70)</f>
        <v>23</v>
      </c>
    </row>
    <row r="128" spans="1:34" x14ac:dyDescent="0.3">
      <c r="D128">
        <v>75</v>
      </c>
      <c r="E128" s="228">
        <f>COUNTIF($E$7:$E$125,75)</f>
        <v>1</v>
      </c>
    </row>
    <row r="129" spans="4:5" x14ac:dyDescent="0.3">
      <c r="D129">
        <v>80</v>
      </c>
      <c r="E129" s="228">
        <f>COUNTIF($E$7:$E$125,80)</f>
        <v>1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125 M7:M125 S7:S125">
    <cfRule type="cellIs" dxfId="59" priority="4" operator="notEqual">
      <formula>L7</formula>
    </cfRule>
  </conditionalFormatting>
  <conditionalFormatting sqref="L7:L125 N7:N125 T7:T125">
    <cfRule type="cellIs" dxfId="58" priority="3" operator="notEqual">
      <formula>K7</formula>
    </cfRule>
  </conditionalFormatting>
  <conditionalFormatting sqref="Y7:AA125">
    <cfRule type="cellIs" dxfId="57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46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25"/>
  <sheetViews>
    <sheetView zoomScaleNormal="100" workbookViewId="0">
      <selection activeCell="H10" sqref="H10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434" t="str">
        <f>정보!B1&amp;" (제작치수 샤링작지) "&amp;정보!B6&amp;" 소장"</f>
        <v>경기도 의정부 드림밸리아파트-4차 (제작치수 샤링작지) 박철우 소장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</row>
    <row r="2" spans="1:31" ht="30.75" customHeight="1" x14ac:dyDescent="0.3">
      <c r="A2" s="435" t="str">
        <f>"총 : " &amp; COUNTA(A7:A198) &amp;" (SET)"</f>
        <v>총 : 119 (SET)</v>
      </c>
      <c r="B2" s="435"/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19" t="s">
        <v>161</v>
      </c>
      <c r="Q2" s="420"/>
      <c r="R2" s="420"/>
      <c r="S2" s="420"/>
      <c r="T2" s="96"/>
      <c r="U2" s="421">
        <v>1.2</v>
      </c>
      <c r="V2" s="421"/>
      <c r="W2" s="89"/>
      <c r="X2" s="89"/>
    </row>
    <row r="3" spans="1:31" ht="33" customHeight="1" x14ac:dyDescent="0.3">
      <c r="A3" s="106" t="str">
        <f>정보!B9</f>
        <v>HL 1.2T</v>
      </c>
      <c r="B3" s="106"/>
      <c r="C3" s="106"/>
      <c r="D3" s="106"/>
      <c r="E3" s="106"/>
      <c r="F3" s="106"/>
      <c r="G3" s="436" t="str">
        <f>"예상매수 : " &amp; ROUNDUP((SUM(AB7:AB198)+SUM(AD7:AD198))/1200,0) &amp;" 매"</f>
        <v>예상매수 : 24 매</v>
      </c>
      <c r="H3" s="436"/>
      <c r="I3" s="423">
        <v>0</v>
      </c>
      <c r="J3" s="423"/>
      <c r="K3" s="98"/>
      <c r="L3" s="98"/>
      <c r="M3" s="424" t="s">
        <v>162</v>
      </c>
      <c r="N3" s="424"/>
      <c r="O3" s="424"/>
      <c r="P3" s="425">
        <v>0</v>
      </c>
      <c r="Q3" s="425"/>
      <c r="R3" s="426" t="s">
        <v>163</v>
      </c>
      <c r="S3" s="426"/>
      <c r="T3" s="99"/>
      <c r="U3" s="427">
        <v>4</v>
      </c>
      <c r="V3" s="427"/>
      <c r="W3" s="100"/>
      <c r="X3" s="100"/>
    </row>
    <row r="4" spans="1:31" ht="9.75" customHeight="1" x14ac:dyDescent="0.3">
      <c r="A4" s="293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</row>
    <row r="5" spans="1:31" ht="25.9" customHeight="1" x14ac:dyDescent="0.3">
      <c r="A5" s="298" t="s">
        <v>164</v>
      </c>
      <c r="B5" s="298" t="s">
        <v>165</v>
      </c>
      <c r="C5" s="299" t="s">
        <v>166</v>
      </c>
      <c r="D5" s="298" t="s">
        <v>167</v>
      </c>
      <c r="E5" s="299" t="s">
        <v>168</v>
      </c>
      <c r="F5" s="431" t="s">
        <v>169</v>
      </c>
      <c r="G5" s="299" t="s">
        <v>170</v>
      </c>
      <c r="H5" s="299" t="s">
        <v>171</v>
      </c>
      <c r="I5" s="437" t="s">
        <v>172</v>
      </c>
      <c r="J5" s="431" t="s">
        <v>173</v>
      </c>
      <c r="K5" s="299" t="s">
        <v>174</v>
      </c>
      <c r="L5" s="299" t="s">
        <v>148</v>
      </c>
      <c r="M5" s="429" t="s">
        <v>175</v>
      </c>
      <c r="N5" s="429" t="s">
        <v>176</v>
      </c>
      <c r="O5" s="298" t="s">
        <v>177</v>
      </c>
      <c r="P5" s="298" t="s">
        <v>178</v>
      </c>
      <c r="Q5" s="298" t="s">
        <v>179</v>
      </c>
      <c r="R5" s="298" t="s">
        <v>180</v>
      </c>
      <c r="S5" s="299" t="s">
        <v>181</v>
      </c>
      <c r="T5" s="429" t="s">
        <v>152</v>
      </c>
      <c r="U5" s="299" t="s">
        <v>182</v>
      </c>
      <c r="V5" s="299" t="s">
        <v>183</v>
      </c>
      <c r="W5" s="298" t="s">
        <v>184</v>
      </c>
      <c r="X5" s="298"/>
      <c r="AB5" s="309" t="s">
        <v>185</v>
      </c>
      <c r="AC5" s="309"/>
      <c r="AD5" s="309" t="s">
        <v>186</v>
      </c>
      <c r="AE5" s="309"/>
    </row>
    <row r="6" spans="1:31" ht="36.75" customHeight="1" x14ac:dyDescent="0.3">
      <c r="A6" s="428"/>
      <c r="B6" s="428"/>
      <c r="C6" s="428"/>
      <c r="D6" s="428"/>
      <c r="E6" s="428"/>
      <c r="F6" s="365"/>
      <c r="G6" s="428"/>
      <c r="H6" s="428"/>
      <c r="I6" s="438"/>
      <c r="J6" s="365"/>
      <c r="K6" s="369"/>
      <c r="L6" s="369"/>
      <c r="M6" s="430"/>
      <c r="N6" s="430"/>
      <c r="O6" s="428"/>
      <c r="P6" s="428"/>
      <c r="Q6" s="428"/>
      <c r="R6" s="428"/>
      <c r="S6" s="428"/>
      <c r="T6" s="432"/>
      <c r="U6" s="369"/>
      <c r="V6" s="369"/>
      <c r="W6" s="101" t="s">
        <v>187</v>
      </c>
      <c r="X6" s="101" t="s">
        <v>188</v>
      </c>
      <c r="Y6" t="s">
        <v>189</v>
      </c>
      <c r="Z6" s="88" t="s">
        <v>190</v>
      </c>
      <c r="AA6" s="88" t="s">
        <v>191</v>
      </c>
      <c r="AB6" s="88" t="s">
        <v>192</v>
      </c>
      <c r="AC6" s="88" t="s">
        <v>193</v>
      </c>
      <c r="AD6" s="88" t="s">
        <v>159</v>
      </c>
      <c r="AE6" s="88" t="s">
        <v>193</v>
      </c>
    </row>
    <row r="7" spans="1:31" ht="18.75" customHeight="1" x14ac:dyDescent="0.3">
      <c r="A7" s="102" t="str">
        <f>'쪽쟘(실측)'!A7</f>
        <v>10-1</v>
      </c>
      <c r="B7" s="102" t="str">
        <f>'쪽쟘(실측)'!B7&amp;"F"</f>
        <v>20F</v>
      </c>
      <c r="C7" s="102" t="str">
        <f>Z7&amp;"*"&amp;AA7</f>
        <v>962*118.4</v>
      </c>
      <c r="D7" s="102" t="e">
        <f>'쪽쟘(실측)'!C7-OP차감</f>
        <v>#NAME?</v>
      </c>
      <c r="E7" s="102" t="e">
        <f>'쪽쟘(실측)'!D7+쪽쟘J늘림+MAX(W7:X7)</f>
        <v>#VALUE!</v>
      </c>
      <c r="F7" s="103" t="e">
        <f>'쪽쟘(실측)'!E7+쪽쟘J늘림+MAX(W7:X7)</f>
        <v>#VALUE!</v>
      </c>
      <c r="G7" s="104"/>
      <c r="H7" s="105" t="str">
        <f>AE7&amp;"*"&amp;AD7</f>
        <v>2095*117.4</v>
      </c>
      <c r="I7" s="107">
        <f>IF('쪽쟘(실측)'!F7&gt;0,'쪽쟘(실측)'!F7+0.5,0)</f>
        <v>34.5</v>
      </c>
      <c r="J7" s="102">
        <f>IF('쪽쟘(실측)'!H7&gt;0,'쪽쟘(실측)'!H7+0.5,0)</f>
        <v>31.5</v>
      </c>
      <c r="K7" s="102">
        <f>IF('쪽쟘(실측)'!F7&gt;0,'쪽쟘(실측)'!F7+1.5,0)</f>
        <v>35.5</v>
      </c>
      <c r="L7" s="102">
        <f>IF('쪽쟘(실측)'!G7&gt;0,'쪽쟘(실측)'!G7+1.5,0)</f>
        <v>31.5</v>
      </c>
      <c r="M7" s="102">
        <f>IF('쪽쟘(실측)'!H7&gt;0,'쪽쟘(실측)'!H7+1.5,0)</f>
        <v>32.5</v>
      </c>
      <c r="N7" s="102">
        <f>IF('쪽쟘(실측)'!I7&gt;0,'쪽쟘(실측)'!I7+1.5,0)</f>
        <v>32.5</v>
      </c>
      <c r="O7" s="102" t="e">
        <f>'쪽쟘(실측)'!J7-기둥차감</f>
        <v>#NAME?</v>
      </c>
      <c r="P7" s="102" t="e">
        <f>'쪽쟘(실측)'!K7-기둥차감</f>
        <v>#NAME?</v>
      </c>
      <c r="Q7" s="102" t="e">
        <f>'쪽쟘(실측)'!L7-기둥차감</f>
        <v>#NAME?</v>
      </c>
      <c r="R7" s="102" t="e">
        <f>'쪽쟘(실측)'!M7-기둥차감</f>
        <v>#NAME?</v>
      </c>
      <c r="S7" s="102">
        <f>'쪽쟘(실측)'!N7+1.2</f>
        <v>33.200000000000003</v>
      </c>
      <c r="T7" s="102">
        <f>'쪽쟘(실측)'!O7+1.2</f>
        <v>33.200000000000003</v>
      </c>
      <c r="U7" s="102">
        <f>'쪽쟘(실측)'!P7</f>
        <v>25</v>
      </c>
      <c r="V7" s="102">
        <f>'쪽쟘(실측)'!Q7</f>
        <v>25</v>
      </c>
      <c r="W7" s="102" t="e">
        <f>'쪽쟘(실측)'!R7-늘치차감</f>
        <v>#NAME?</v>
      </c>
      <c r="X7" s="102" t="e">
        <f>'쪽쟘(실측)'!S7-늘치차감</f>
        <v>#NAME?</v>
      </c>
      <c r="Z7">
        <v>962</v>
      </c>
      <c r="AA7">
        <v>118.4</v>
      </c>
      <c r="AB7">
        <v>120.4</v>
      </c>
      <c r="AC7">
        <v>2095</v>
      </c>
      <c r="AD7">
        <v>117.4</v>
      </c>
      <c r="AE7">
        <v>2095</v>
      </c>
    </row>
    <row r="8" spans="1:31" s="228" customFormat="1" ht="18.75" customHeight="1" x14ac:dyDescent="0.3">
      <c r="A8" s="232" t="str">
        <f>'쪽쟘(실측)'!A8</f>
        <v>10-1</v>
      </c>
      <c r="B8" s="232" t="str">
        <f>'쪽쟘(실측)'!B8&amp;"F"</f>
        <v>19F</v>
      </c>
      <c r="C8" s="232" t="str">
        <f t="shared" ref="C8:C71" si="0">Z8&amp;"*"&amp;AA8</f>
        <v>966*117.4</v>
      </c>
      <c r="D8" s="232" t="e">
        <f>'쪽쟘(실측)'!C8-OP차감</f>
        <v>#NAME?</v>
      </c>
      <c r="E8" s="232" t="e">
        <f>'쪽쟘(실측)'!D8+쪽쟘J늘림+MAX(W8:X8)</f>
        <v>#VALUE!</v>
      </c>
      <c r="F8" s="233" t="e">
        <f>'쪽쟘(실측)'!E8+쪽쟘J늘림+MAX(W8:X8)</f>
        <v>#VALUE!</v>
      </c>
      <c r="G8" s="234" t="str">
        <f t="shared" ref="G8:G71" si="1">AC8&amp;"*"&amp;AB8</f>
        <v>2095*121.4</v>
      </c>
      <c r="H8" s="235" t="str">
        <f t="shared" ref="H8:H71" si="2">AE8&amp;"*"&amp;AD8</f>
        <v>2095*120.4</v>
      </c>
      <c r="I8" s="107">
        <f>IF('쪽쟘(실측)'!F8&gt;0,'쪽쟘(실측)'!F8+0.5,0)</f>
        <v>35.5</v>
      </c>
      <c r="J8" s="232">
        <f>IF('쪽쟘(실측)'!H8&gt;0,'쪽쟘(실측)'!H8+0.5,0)</f>
        <v>34.5</v>
      </c>
      <c r="K8" s="232">
        <f>IF('쪽쟘(실측)'!F8&gt;0,'쪽쟘(실측)'!F8+1.5,0)</f>
        <v>36.5</v>
      </c>
      <c r="L8" s="232">
        <f>IF('쪽쟘(실측)'!G8&gt;0,'쪽쟘(실측)'!G8+1.5,0)</f>
        <v>36.5</v>
      </c>
      <c r="M8" s="232">
        <f>IF('쪽쟘(실측)'!H8&gt;0,'쪽쟘(실측)'!H8+1.5,0)</f>
        <v>35.5</v>
      </c>
      <c r="N8" s="232">
        <f>IF('쪽쟘(실측)'!I8&gt;0,'쪽쟘(실측)'!I8+1.5,0)</f>
        <v>35.5</v>
      </c>
      <c r="O8" s="232" t="e">
        <f>'쪽쟘(실측)'!J8-기둥차감</f>
        <v>#NAME?</v>
      </c>
      <c r="P8" s="232" t="e">
        <f>'쪽쟘(실측)'!K8-기둥차감</f>
        <v>#NAME?</v>
      </c>
      <c r="Q8" s="232" t="e">
        <f>'쪽쟘(실측)'!L8-기둥차감</f>
        <v>#NAME?</v>
      </c>
      <c r="R8" s="232" t="e">
        <f>'쪽쟘(실측)'!M8-기둥차감</f>
        <v>#NAME?</v>
      </c>
      <c r="S8" s="232">
        <f>'쪽쟘(실측)'!N8+1.2</f>
        <v>32.200000000000003</v>
      </c>
      <c r="T8" s="232">
        <f>'쪽쟘(실측)'!O8+1.2</f>
        <v>32.200000000000003</v>
      </c>
      <c r="U8" s="232">
        <f>'쪽쟘(실측)'!P8</f>
        <v>25</v>
      </c>
      <c r="V8" s="232">
        <f>'쪽쟘(실측)'!Q8</f>
        <v>25</v>
      </c>
      <c r="W8" s="232" t="e">
        <f>'쪽쟘(실측)'!R8-늘치차감</f>
        <v>#NAME?</v>
      </c>
      <c r="X8" s="232" t="e">
        <f>'쪽쟘(실측)'!S8-늘치차감</f>
        <v>#NAME?</v>
      </c>
      <c r="Z8" s="228">
        <v>966</v>
      </c>
      <c r="AA8" s="228">
        <v>117.4</v>
      </c>
      <c r="AB8" s="228">
        <v>121.4</v>
      </c>
      <c r="AC8" s="228">
        <v>2095</v>
      </c>
      <c r="AD8" s="228">
        <v>120.4</v>
      </c>
      <c r="AE8" s="228">
        <v>2095</v>
      </c>
    </row>
    <row r="9" spans="1:31" s="228" customFormat="1" ht="18.75" customHeight="1" x14ac:dyDescent="0.3">
      <c r="A9" s="232" t="str">
        <f>'쪽쟘(실측)'!A9</f>
        <v>10-1</v>
      </c>
      <c r="B9" s="232" t="str">
        <f>'쪽쟘(실측)'!B9&amp;"F"</f>
        <v>18F</v>
      </c>
      <c r="C9" s="232" t="str">
        <f t="shared" si="0"/>
        <v>963*114.4</v>
      </c>
      <c r="D9" s="232" t="e">
        <f>'쪽쟘(실측)'!C9-OP차감</f>
        <v>#NAME?</v>
      </c>
      <c r="E9" s="232" t="e">
        <f>'쪽쟘(실측)'!D9+쪽쟘J늘림+MAX(W9:X9)</f>
        <v>#VALUE!</v>
      </c>
      <c r="F9" s="233" t="e">
        <f>'쪽쟘(실측)'!E9+쪽쟘J늘림+MAX(W9:X9)</f>
        <v>#VALUE!</v>
      </c>
      <c r="G9" s="234"/>
      <c r="H9" s="235" t="str">
        <f t="shared" si="2"/>
        <v>2095*120.4</v>
      </c>
      <c r="I9" s="107">
        <f>IF('쪽쟘(실측)'!F9&gt;0,'쪽쟘(실측)'!F9+0.5,0)</f>
        <v>33.5</v>
      </c>
      <c r="J9" s="232">
        <f>IF('쪽쟘(실측)'!H9&gt;0,'쪽쟘(실측)'!H9+0.5,0)</f>
        <v>34.5</v>
      </c>
      <c r="K9" s="232">
        <f>IF('쪽쟘(실측)'!F9&gt;0,'쪽쟘(실측)'!F9+1.5,0)</f>
        <v>34.5</v>
      </c>
      <c r="L9" s="232">
        <f>IF('쪽쟘(실측)'!G9&gt;0,'쪽쟘(실측)'!G9+1.5,0)</f>
        <v>30.5</v>
      </c>
      <c r="M9" s="232">
        <f>IF('쪽쟘(실측)'!H9&gt;0,'쪽쟘(실측)'!H9+1.5,0)</f>
        <v>35.5</v>
      </c>
      <c r="N9" s="232">
        <f>IF('쪽쟘(실측)'!I9&gt;0,'쪽쟘(실측)'!I9+1.5,0)</f>
        <v>35.5</v>
      </c>
      <c r="O9" s="232" t="e">
        <f>'쪽쟘(실측)'!J9-기둥차감</f>
        <v>#NAME?</v>
      </c>
      <c r="P9" s="232" t="e">
        <f>'쪽쟘(실측)'!K9-기둥차감</f>
        <v>#NAME?</v>
      </c>
      <c r="Q9" s="232" t="e">
        <f>'쪽쟘(실측)'!L9-기둥차감</f>
        <v>#NAME?</v>
      </c>
      <c r="R9" s="232" t="e">
        <f>'쪽쟘(실측)'!M9-기둥차감</f>
        <v>#NAME?</v>
      </c>
      <c r="S9" s="232">
        <f>'쪽쟘(실측)'!N9+1.2</f>
        <v>29.2</v>
      </c>
      <c r="T9" s="232">
        <f>'쪽쟘(실측)'!O9+1.2</f>
        <v>29.2</v>
      </c>
      <c r="U9" s="232">
        <f>'쪽쟘(실측)'!P9</f>
        <v>25</v>
      </c>
      <c r="V9" s="232">
        <f>'쪽쟘(실측)'!Q9</f>
        <v>25</v>
      </c>
      <c r="W9" s="232" t="e">
        <f>'쪽쟘(실측)'!R9-늘치차감</f>
        <v>#NAME?</v>
      </c>
      <c r="X9" s="232" t="e">
        <f>'쪽쟘(실측)'!S9-늘치차감</f>
        <v>#NAME?</v>
      </c>
      <c r="Z9" s="228">
        <v>963</v>
      </c>
      <c r="AA9" s="228">
        <v>114.4</v>
      </c>
      <c r="AB9" s="228">
        <v>119.4</v>
      </c>
      <c r="AC9" s="228">
        <v>2095</v>
      </c>
      <c r="AD9" s="228">
        <v>120.4</v>
      </c>
      <c r="AE9" s="228">
        <v>2095</v>
      </c>
    </row>
    <row r="10" spans="1:31" s="228" customFormat="1" ht="18.75" customHeight="1" x14ac:dyDescent="0.3">
      <c r="A10" s="232" t="str">
        <f>'쪽쟘(실측)'!A10</f>
        <v>10-1</v>
      </c>
      <c r="B10" s="232" t="str">
        <f>'쪽쟘(실측)'!B10&amp;"F"</f>
        <v>17F</v>
      </c>
      <c r="C10" s="232" t="str">
        <f t="shared" si="0"/>
        <v>963*117.4</v>
      </c>
      <c r="D10" s="232" t="e">
        <f>'쪽쟘(실측)'!C10-OP차감</f>
        <v>#NAME?</v>
      </c>
      <c r="E10" s="232" t="e">
        <f>'쪽쟘(실측)'!D10+쪽쟘J늘림+MAX(W10:X10)</f>
        <v>#VALUE!</v>
      </c>
      <c r="F10" s="233" t="e">
        <f>'쪽쟘(실측)'!E10+쪽쟘J늘림+MAX(W10:X10)</f>
        <v>#VALUE!</v>
      </c>
      <c r="G10" s="234" t="str">
        <f t="shared" si="1"/>
        <v>2095*120.4</v>
      </c>
      <c r="H10" s="235" t="str">
        <f t="shared" si="2"/>
        <v>2095*119.4</v>
      </c>
      <c r="I10" s="107">
        <f>IF('쪽쟘(실측)'!F10&gt;0,'쪽쟘(실측)'!F10+0.5,0)</f>
        <v>34.5</v>
      </c>
      <c r="J10" s="232">
        <f>IF('쪽쟘(실측)'!H10&gt;0,'쪽쟘(실측)'!H10+0.5,0)</f>
        <v>33.5</v>
      </c>
      <c r="K10" s="232">
        <f>IF('쪽쟘(실측)'!F10&gt;0,'쪽쟘(실측)'!F10+1.5,0)</f>
        <v>35.5</v>
      </c>
      <c r="L10" s="232">
        <f>IF('쪽쟘(실측)'!G10&gt;0,'쪽쟘(실측)'!G10+1.5,0)</f>
        <v>35.5</v>
      </c>
      <c r="M10" s="232">
        <f>IF('쪽쟘(실측)'!H10&gt;0,'쪽쟘(실측)'!H10+1.5,0)</f>
        <v>34.5</v>
      </c>
      <c r="N10" s="232">
        <f>IF('쪽쟘(실측)'!I10&gt;0,'쪽쟘(실측)'!I10+1.5,0)</f>
        <v>34.5</v>
      </c>
      <c r="O10" s="232" t="e">
        <f>'쪽쟘(실측)'!J10-기둥차감</f>
        <v>#NAME?</v>
      </c>
      <c r="P10" s="232" t="e">
        <f>'쪽쟘(실측)'!K10-기둥차감</f>
        <v>#NAME?</v>
      </c>
      <c r="Q10" s="232" t="e">
        <f>'쪽쟘(실측)'!L10-기둥차감</f>
        <v>#NAME?</v>
      </c>
      <c r="R10" s="232" t="e">
        <f>'쪽쟘(실측)'!M10-기둥차감</f>
        <v>#NAME?</v>
      </c>
      <c r="S10" s="232">
        <f>'쪽쟘(실측)'!N10+1.2</f>
        <v>32.200000000000003</v>
      </c>
      <c r="T10" s="232">
        <f>'쪽쟘(실측)'!O10+1.2</f>
        <v>32.200000000000003</v>
      </c>
      <c r="U10" s="232">
        <f>'쪽쟘(실측)'!P10</f>
        <v>25</v>
      </c>
      <c r="V10" s="232">
        <f>'쪽쟘(실측)'!Q10</f>
        <v>25</v>
      </c>
      <c r="W10" s="232" t="e">
        <f>'쪽쟘(실측)'!R10-늘치차감</f>
        <v>#NAME?</v>
      </c>
      <c r="X10" s="232" t="e">
        <f>'쪽쟘(실측)'!S10-늘치차감</f>
        <v>#NAME?</v>
      </c>
      <c r="Z10" s="228">
        <v>963</v>
      </c>
      <c r="AA10" s="228">
        <v>117.4</v>
      </c>
      <c r="AB10" s="228">
        <v>120.4</v>
      </c>
      <c r="AC10" s="228">
        <v>2095</v>
      </c>
      <c r="AD10" s="228">
        <v>119.4</v>
      </c>
      <c r="AE10" s="228">
        <v>2095</v>
      </c>
    </row>
    <row r="11" spans="1:31" s="228" customFormat="1" ht="18.75" customHeight="1" x14ac:dyDescent="0.3">
      <c r="A11" s="232" t="str">
        <f>'쪽쟘(실측)'!A11</f>
        <v>10-1</v>
      </c>
      <c r="B11" s="232" t="str">
        <f>'쪽쟘(실측)'!B11&amp;"F"</f>
        <v>16F</v>
      </c>
      <c r="C11" s="232" t="str">
        <f t="shared" si="0"/>
        <v>961*115.4</v>
      </c>
      <c r="D11" s="232" t="e">
        <f>'쪽쟘(실측)'!C11-OP차감</f>
        <v>#NAME?</v>
      </c>
      <c r="E11" s="232" t="e">
        <f>'쪽쟘(실측)'!D11+쪽쟘J늘림+MAX(W11:X11)</f>
        <v>#VALUE!</v>
      </c>
      <c r="F11" s="233" t="e">
        <f>'쪽쟘(실측)'!E11+쪽쟘J늘림+MAX(W11:X11)</f>
        <v>#VALUE!</v>
      </c>
      <c r="G11" s="234"/>
      <c r="H11" s="235" t="str">
        <f t="shared" si="2"/>
        <v>2095*117.4</v>
      </c>
      <c r="I11" s="107">
        <f>IF('쪽쟘(실측)'!F11&gt;0,'쪽쟘(실측)'!F11+0.5,0)</f>
        <v>34.5</v>
      </c>
      <c r="J11" s="232">
        <f>IF('쪽쟘(실측)'!H11&gt;0,'쪽쟘(실측)'!H11+0.5,0)</f>
        <v>31.5</v>
      </c>
      <c r="K11" s="232">
        <f>IF('쪽쟘(실측)'!F11&gt;0,'쪽쟘(실측)'!F11+1.5,0)</f>
        <v>35.5</v>
      </c>
      <c r="L11" s="232">
        <f>IF('쪽쟘(실측)'!G11&gt;0,'쪽쟘(실측)'!G11+1.5,0)</f>
        <v>31.5</v>
      </c>
      <c r="M11" s="232">
        <f>IF('쪽쟘(실측)'!H11&gt;0,'쪽쟘(실측)'!H11+1.5,0)</f>
        <v>32.5</v>
      </c>
      <c r="N11" s="232">
        <f>IF('쪽쟘(실측)'!I11&gt;0,'쪽쟘(실측)'!I11+1.5,0)</f>
        <v>32.5</v>
      </c>
      <c r="O11" s="232" t="e">
        <f>'쪽쟘(실측)'!J11-기둥차감</f>
        <v>#NAME?</v>
      </c>
      <c r="P11" s="232" t="e">
        <f>'쪽쟘(실측)'!K11-기둥차감</f>
        <v>#NAME?</v>
      </c>
      <c r="Q11" s="232" t="e">
        <f>'쪽쟘(실측)'!L11-기둥차감</f>
        <v>#NAME?</v>
      </c>
      <c r="R11" s="232" t="e">
        <f>'쪽쟘(실측)'!M11-기둥차감</f>
        <v>#NAME?</v>
      </c>
      <c r="S11" s="232">
        <f>'쪽쟘(실측)'!N11+1.2</f>
        <v>30.2</v>
      </c>
      <c r="T11" s="232">
        <f>'쪽쟘(실측)'!O11+1.2</f>
        <v>30.2</v>
      </c>
      <c r="U11" s="232">
        <f>'쪽쟘(실측)'!P11</f>
        <v>25</v>
      </c>
      <c r="V11" s="232">
        <f>'쪽쟘(실측)'!Q11</f>
        <v>25</v>
      </c>
      <c r="W11" s="232" t="e">
        <f>'쪽쟘(실측)'!R11-늘치차감</f>
        <v>#NAME?</v>
      </c>
      <c r="X11" s="232" t="e">
        <f>'쪽쟘(실측)'!S11-늘치차감</f>
        <v>#NAME?</v>
      </c>
      <c r="Z11" s="228">
        <v>961</v>
      </c>
      <c r="AA11" s="228">
        <v>115.4</v>
      </c>
      <c r="AB11" s="228">
        <v>120.4</v>
      </c>
      <c r="AC11" s="228">
        <v>2095</v>
      </c>
      <c r="AD11" s="228">
        <v>117.4</v>
      </c>
      <c r="AE11" s="228">
        <v>2095</v>
      </c>
    </row>
    <row r="12" spans="1:31" s="228" customFormat="1" ht="18.75" customHeight="1" x14ac:dyDescent="0.3">
      <c r="A12" s="232" t="str">
        <f>'쪽쟘(실측)'!A12</f>
        <v>10-1</v>
      </c>
      <c r="B12" s="232" t="str">
        <f>'쪽쟘(실측)'!B12&amp;"F"</f>
        <v>15F</v>
      </c>
      <c r="C12" s="232" t="str">
        <f t="shared" si="0"/>
        <v>962*116.4</v>
      </c>
      <c r="D12" s="232" t="e">
        <f>'쪽쟘(실측)'!C12-OP차감</f>
        <v>#NAME?</v>
      </c>
      <c r="E12" s="232" t="e">
        <f>'쪽쟘(실측)'!D12+쪽쟘J늘림+MAX(W12:X12)</f>
        <v>#VALUE!</v>
      </c>
      <c r="F12" s="233" t="e">
        <f>'쪽쟘(실측)'!E12+쪽쟘J늘림+MAX(W12:X12)</f>
        <v>#VALUE!</v>
      </c>
      <c r="G12" s="234" t="str">
        <f t="shared" si="1"/>
        <v>2095*119.4</v>
      </c>
      <c r="H12" s="235" t="str">
        <f t="shared" si="2"/>
        <v>2095*119.4</v>
      </c>
      <c r="I12" s="107">
        <f>IF('쪽쟘(실측)'!F12&gt;0,'쪽쟘(실측)'!F12+0.5,0)</f>
        <v>33.5</v>
      </c>
      <c r="J12" s="232">
        <f>IF('쪽쟘(실측)'!H12&gt;0,'쪽쟘(실측)'!H12+0.5,0)</f>
        <v>33.5</v>
      </c>
      <c r="K12" s="232">
        <f>IF('쪽쟘(실측)'!F12&gt;0,'쪽쟘(실측)'!F12+1.5,0)</f>
        <v>34.5</v>
      </c>
      <c r="L12" s="232">
        <f>IF('쪽쟘(실측)'!G12&gt;0,'쪽쟘(실측)'!G12+1.5,0)</f>
        <v>34.5</v>
      </c>
      <c r="M12" s="232">
        <f>IF('쪽쟘(실측)'!H12&gt;0,'쪽쟘(실측)'!H12+1.5,0)</f>
        <v>34.5</v>
      </c>
      <c r="N12" s="232">
        <f>IF('쪽쟘(실측)'!I12&gt;0,'쪽쟘(실측)'!I12+1.5,0)</f>
        <v>34.5</v>
      </c>
      <c r="O12" s="232" t="e">
        <f>'쪽쟘(실측)'!J12-기둥차감</f>
        <v>#NAME?</v>
      </c>
      <c r="P12" s="232" t="e">
        <f>'쪽쟘(실측)'!K12-기둥차감</f>
        <v>#NAME?</v>
      </c>
      <c r="Q12" s="232" t="e">
        <f>'쪽쟘(실측)'!L12-기둥차감</f>
        <v>#NAME?</v>
      </c>
      <c r="R12" s="232" t="e">
        <f>'쪽쟘(실측)'!M12-기둥차감</f>
        <v>#NAME?</v>
      </c>
      <c r="S12" s="232">
        <f>'쪽쟘(실측)'!N12+1.2</f>
        <v>31.2</v>
      </c>
      <c r="T12" s="232">
        <f>'쪽쟘(실측)'!O12+1.2</f>
        <v>31.2</v>
      </c>
      <c r="U12" s="232">
        <f>'쪽쟘(실측)'!P12</f>
        <v>25</v>
      </c>
      <c r="V12" s="232">
        <f>'쪽쟘(실측)'!Q12</f>
        <v>25</v>
      </c>
      <c r="W12" s="232" t="e">
        <f>'쪽쟘(실측)'!R12-늘치차감</f>
        <v>#NAME?</v>
      </c>
      <c r="X12" s="232" t="e">
        <f>'쪽쟘(실측)'!S12-늘치차감</f>
        <v>#NAME?</v>
      </c>
      <c r="Z12" s="228">
        <v>962</v>
      </c>
      <c r="AA12" s="228">
        <v>116.4</v>
      </c>
      <c r="AB12" s="228">
        <v>119.4</v>
      </c>
      <c r="AC12" s="228">
        <v>2095</v>
      </c>
      <c r="AD12" s="228">
        <v>119.4</v>
      </c>
      <c r="AE12" s="228">
        <v>2095</v>
      </c>
    </row>
    <row r="13" spans="1:31" s="228" customFormat="1" ht="18.75" customHeight="1" x14ac:dyDescent="0.3">
      <c r="A13" s="232" t="str">
        <f>'쪽쟘(실측)'!A13</f>
        <v>10-1</v>
      </c>
      <c r="B13" s="232" t="str">
        <f>'쪽쟘(실측)'!B13&amp;"F"</f>
        <v>14F</v>
      </c>
      <c r="C13" s="232" t="str">
        <f t="shared" si="0"/>
        <v>962*116.4</v>
      </c>
      <c r="D13" s="232" t="e">
        <f>'쪽쟘(실측)'!C13-OP차감</f>
        <v>#NAME?</v>
      </c>
      <c r="E13" s="232" t="e">
        <f>'쪽쟘(실측)'!D13+쪽쟘J늘림+MAX(W13:X13)</f>
        <v>#VALUE!</v>
      </c>
      <c r="F13" s="233" t="e">
        <f>'쪽쟘(실측)'!E13+쪽쟘J늘림+MAX(W13:X13)</f>
        <v>#VALUE!</v>
      </c>
      <c r="G13" s="234" t="str">
        <f t="shared" si="1"/>
        <v>2095*120.4</v>
      </c>
      <c r="H13" s="235" t="str">
        <f t="shared" si="2"/>
        <v>2095*118.4</v>
      </c>
      <c r="I13" s="107">
        <f>IF('쪽쟘(실측)'!F13&gt;0,'쪽쟘(실측)'!F13+0.5,0)</f>
        <v>34.5</v>
      </c>
      <c r="J13" s="232">
        <f>IF('쪽쟘(실측)'!H13&gt;0,'쪽쟘(실측)'!H13+0.5,0)</f>
        <v>32.5</v>
      </c>
      <c r="K13" s="232">
        <f>IF('쪽쟘(실측)'!F13&gt;0,'쪽쟘(실측)'!F13+1.5,0)</f>
        <v>35.5</v>
      </c>
      <c r="L13" s="232">
        <f>IF('쪽쟘(실측)'!G13&gt;0,'쪽쟘(실측)'!G13+1.5,0)</f>
        <v>35.5</v>
      </c>
      <c r="M13" s="232">
        <f>IF('쪽쟘(실측)'!H13&gt;0,'쪽쟘(실측)'!H13+1.5,0)</f>
        <v>33.5</v>
      </c>
      <c r="N13" s="232">
        <f>IF('쪽쟘(실측)'!I13&gt;0,'쪽쟘(실측)'!I13+1.5,0)</f>
        <v>33.5</v>
      </c>
      <c r="O13" s="232" t="e">
        <f>'쪽쟘(실측)'!J13-기둥차감</f>
        <v>#NAME?</v>
      </c>
      <c r="P13" s="232" t="e">
        <f>'쪽쟘(실측)'!K13-기둥차감</f>
        <v>#NAME?</v>
      </c>
      <c r="Q13" s="232" t="e">
        <f>'쪽쟘(실측)'!L13-기둥차감</f>
        <v>#NAME?</v>
      </c>
      <c r="R13" s="232" t="e">
        <f>'쪽쟘(실측)'!M13-기둥차감</f>
        <v>#NAME?</v>
      </c>
      <c r="S13" s="232">
        <f>'쪽쟘(실측)'!N13+1.2</f>
        <v>31.2</v>
      </c>
      <c r="T13" s="232">
        <f>'쪽쟘(실측)'!O13+1.2</f>
        <v>31.2</v>
      </c>
      <c r="U13" s="232">
        <f>'쪽쟘(실측)'!P13</f>
        <v>25</v>
      </c>
      <c r="V13" s="232">
        <f>'쪽쟘(실측)'!Q13</f>
        <v>25</v>
      </c>
      <c r="W13" s="232" t="e">
        <f>'쪽쟘(실측)'!R13-늘치차감</f>
        <v>#NAME?</v>
      </c>
      <c r="X13" s="232" t="e">
        <f>'쪽쟘(실측)'!S13-늘치차감</f>
        <v>#NAME?</v>
      </c>
      <c r="Z13" s="228">
        <v>962</v>
      </c>
      <c r="AA13" s="228">
        <v>116.4</v>
      </c>
      <c r="AB13" s="228">
        <v>120.4</v>
      </c>
      <c r="AC13" s="228">
        <v>2095</v>
      </c>
      <c r="AD13" s="228">
        <v>118.4</v>
      </c>
      <c r="AE13" s="228">
        <v>2095</v>
      </c>
    </row>
    <row r="14" spans="1:31" s="228" customFormat="1" ht="18.75" customHeight="1" x14ac:dyDescent="0.3">
      <c r="A14" s="232" t="str">
        <f>'쪽쟘(실측)'!A14</f>
        <v>10-1</v>
      </c>
      <c r="B14" s="232" t="str">
        <f>'쪽쟘(실측)'!B14&amp;"F"</f>
        <v>13F</v>
      </c>
      <c r="C14" s="232" t="str">
        <f t="shared" si="0"/>
        <v>961*116.4</v>
      </c>
      <c r="D14" s="232" t="e">
        <f>'쪽쟘(실측)'!C14-OP차감</f>
        <v>#NAME?</v>
      </c>
      <c r="E14" s="232" t="e">
        <f>'쪽쟘(실측)'!D14+쪽쟘J늘림+MAX(W14:X14)</f>
        <v>#VALUE!</v>
      </c>
      <c r="F14" s="233" t="e">
        <f>'쪽쟘(실측)'!E14+쪽쟘J늘림+MAX(W14:X14)</f>
        <v>#VALUE!</v>
      </c>
      <c r="G14" s="234" t="str">
        <f t="shared" si="1"/>
        <v>2095*119.4</v>
      </c>
      <c r="H14" s="235" t="str">
        <f t="shared" si="2"/>
        <v>2095*118.4</v>
      </c>
      <c r="I14" s="107">
        <f>IF('쪽쟘(실측)'!F14&gt;0,'쪽쟘(실측)'!F14+0.5,0)</f>
        <v>33.5</v>
      </c>
      <c r="J14" s="232">
        <f>IF('쪽쟘(실측)'!H14&gt;0,'쪽쟘(실측)'!H14+0.5,0)</f>
        <v>32.5</v>
      </c>
      <c r="K14" s="232">
        <f>IF('쪽쟘(실측)'!F14&gt;0,'쪽쟘(실측)'!F14+1.5,0)</f>
        <v>34.5</v>
      </c>
      <c r="L14" s="232">
        <f>IF('쪽쟘(실측)'!G14&gt;0,'쪽쟘(실측)'!G14+1.5,0)</f>
        <v>34.5</v>
      </c>
      <c r="M14" s="232">
        <f>IF('쪽쟘(실측)'!H14&gt;0,'쪽쟘(실측)'!H14+1.5,0)</f>
        <v>33.5</v>
      </c>
      <c r="N14" s="232">
        <f>IF('쪽쟘(실측)'!I14&gt;0,'쪽쟘(실측)'!I14+1.5,0)</f>
        <v>33.5</v>
      </c>
      <c r="O14" s="232" t="e">
        <f>'쪽쟘(실측)'!J14-기둥차감</f>
        <v>#NAME?</v>
      </c>
      <c r="P14" s="232" t="e">
        <f>'쪽쟘(실측)'!K14-기둥차감</f>
        <v>#NAME?</v>
      </c>
      <c r="Q14" s="232" t="e">
        <f>'쪽쟘(실측)'!L14-기둥차감</f>
        <v>#NAME?</v>
      </c>
      <c r="R14" s="232" t="e">
        <f>'쪽쟘(실측)'!M14-기둥차감</f>
        <v>#NAME?</v>
      </c>
      <c r="S14" s="232">
        <f>'쪽쟘(실측)'!N14+1.2</f>
        <v>31.2</v>
      </c>
      <c r="T14" s="232">
        <f>'쪽쟘(실측)'!O14+1.2</f>
        <v>31.2</v>
      </c>
      <c r="U14" s="232">
        <f>'쪽쟘(실측)'!P14</f>
        <v>25</v>
      </c>
      <c r="V14" s="232">
        <f>'쪽쟘(실측)'!Q14</f>
        <v>25</v>
      </c>
      <c r="W14" s="232" t="e">
        <f>'쪽쟘(실측)'!R14-늘치차감</f>
        <v>#NAME?</v>
      </c>
      <c r="X14" s="232" t="e">
        <f>'쪽쟘(실측)'!S14-늘치차감</f>
        <v>#NAME?</v>
      </c>
      <c r="Z14" s="228">
        <v>961</v>
      </c>
      <c r="AA14" s="228">
        <v>116.4</v>
      </c>
      <c r="AB14" s="228">
        <v>119.4</v>
      </c>
      <c r="AC14" s="228">
        <v>2095</v>
      </c>
      <c r="AD14" s="228">
        <v>118.4</v>
      </c>
      <c r="AE14" s="228">
        <v>2095</v>
      </c>
    </row>
    <row r="15" spans="1:31" s="228" customFormat="1" ht="18.75" customHeight="1" x14ac:dyDescent="0.3">
      <c r="A15" s="232" t="str">
        <f>'쪽쟘(실측)'!A15</f>
        <v>10-1</v>
      </c>
      <c r="B15" s="232" t="str">
        <f>'쪽쟘(실측)'!B15&amp;"F"</f>
        <v>12F</v>
      </c>
      <c r="C15" s="232" t="str">
        <f t="shared" si="0"/>
        <v>956*116.4</v>
      </c>
      <c r="D15" s="232" t="e">
        <f>'쪽쟘(실측)'!C15-OP차감</f>
        <v>#NAME?</v>
      </c>
      <c r="E15" s="232" t="e">
        <f>'쪽쟘(실측)'!D15+쪽쟘J늘림+MAX(W15:X15)</f>
        <v>#VALUE!</v>
      </c>
      <c r="F15" s="233" t="e">
        <f>'쪽쟘(실측)'!E15+쪽쟘J늘림+MAX(W15:X15)</f>
        <v>#VALUE!</v>
      </c>
      <c r="G15" s="234" t="str">
        <f t="shared" si="1"/>
        <v>2095*116.4</v>
      </c>
      <c r="H15" s="235" t="str">
        <f t="shared" si="2"/>
        <v>2095*116.4</v>
      </c>
      <c r="I15" s="107">
        <f>IF('쪽쟘(실측)'!F15&gt;0,'쪽쟘(실측)'!F15+0.5,0)</f>
        <v>30.5</v>
      </c>
      <c r="J15" s="232">
        <f>IF('쪽쟘(실측)'!H15&gt;0,'쪽쟘(실측)'!H15+0.5,0)</f>
        <v>30.5</v>
      </c>
      <c r="K15" s="232">
        <f>IF('쪽쟘(실측)'!F15&gt;0,'쪽쟘(실측)'!F15+1.5,0)</f>
        <v>31.5</v>
      </c>
      <c r="L15" s="232">
        <f>IF('쪽쟘(실측)'!G15&gt;0,'쪽쟘(실측)'!G15+1.5,0)</f>
        <v>31.5</v>
      </c>
      <c r="M15" s="232">
        <f>IF('쪽쟘(실측)'!H15&gt;0,'쪽쟘(실측)'!H15+1.5,0)</f>
        <v>31.5</v>
      </c>
      <c r="N15" s="232">
        <f>IF('쪽쟘(실측)'!I15&gt;0,'쪽쟘(실측)'!I15+1.5,0)</f>
        <v>31.5</v>
      </c>
      <c r="O15" s="232" t="e">
        <f>'쪽쟘(실측)'!J15-기둥차감</f>
        <v>#NAME?</v>
      </c>
      <c r="P15" s="232" t="e">
        <f>'쪽쟘(실측)'!K15-기둥차감</f>
        <v>#NAME?</v>
      </c>
      <c r="Q15" s="232" t="e">
        <f>'쪽쟘(실측)'!L15-기둥차감</f>
        <v>#NAME?</v>
      </c>
      <c r="R15" s="232" t="e">
        <f>'쪽쟘(실측)'!M15-기둥차감</f>
        <v>#NAME?</v>
      </c>
      <c r="S15" s="232">
        <f>'쪽쟘(실측)'!N15+1.2</f>
        <v>31.2</v>
      </c>
      <c r="T15" s="232">
        <f>'쪽쟘(실측)'!O15+1.2</f>
        <v>31.2</v>
      </c>
      <c r="U15" s="232">
        <f>'쪽쟘(실측)'!P15</f>
        <v>25</v>
      </c>
      <c r="V15" s="232">
        <f>'쪽쟘(실측)'!Q15</f>
        <v>25</v>
      </c>
      <c r="W15" s="232" t="e">
        <f>'쪽쟘(실측)'!R15-늘치차감</f>
        <v>#NAME?</v>
      </c>
      <c r="X15" s="232" t="e">
        <f>'쪽쟘(실측)'!S15-늘치차감</f>
        <v>#NAME?</v>
      </c>
      <c r="Z15" s="228">
        <v>956</v>
      </c>
      <c r="AA15" s="228">
        <v>116.4</v>
      </c>
      <c r="AB15" s="228">
        <v>116.4</v>
      </c>
      <c r="AC15" s="228">
        <v>2095</v>
      </c>
      <c r="AD15" s="228">
        <v>116.4</v>
      </c>
      <c r="AE15" s="228">
        <v>2095</v>
      </c>
    </row>
    <row r="16" spans="1:31" s="228" customFormat="1" ht="18.75" customHeight="1" x14ac:dyDescent="0.3">
      <c r="A16" s="232" t="str">
        <f>'쪽쟘(실측)'!A16</f>
        <v>10-1</v>
      </c>
      <c r="B16" s="232" t="str">
        <f>'쪽쟘(실측)'!B16&amp;"F"</f>
        <v>11F</v>
      </c>
      <c r="C16" s="232" t="str">
        <f t="shared" si="0"/>
        <v>957*116.4</v>
      </c>
      <c r="D16" s="232" t="e">
        <f>'쪽쟘(실측)'!C16-OP차감</f>
        <v>#NAME?</v>
      </c>
      <c r="E16" s="232" t="e">
        <f>'쪽쟘(실측)'!D16+쪽쟘J늘림+MAX(W16:X16)</f>
        <v>#VALUE!</v>
      </c>
      <c r="F16" s="233" t="e">
        <f>'쪽쟘(실측)'!E16+쪽쟘J늘림+MAX(W16:X16)</f>
        <v>#VALUE!</v>
      </c>
      <c r="G16" s="234" t="str">
        <f t="shared" si="1"/>
        <v>2095*118.4</v>
      </c>
      <c r="H16" s="235" t="str">
        <f t="shared" si="2"/>
        <v>2095*116.4</v>
      </c>
      <c r="I16" s="107">
        <f>IF('쪽쟘(실측)'!F16&gt;0,'쪽쟘(실측)'!F16+0.5,0)</f>
        <v>32.5</v>
      </c>
      <c r="J16" s="232">
        <f>IF('쪽쟘(실측)'!H16&gt;0,'쪽쟘(실측)'!H16+0.5,0)</f>
        <v>30.5</v>
      </c>
      <c r="K16" s="232">
        <f>IF('쪽쟘(실측)'!F16&gt;0,'쪽쟘(실측)'!F16+1.5,0)</f>
        <v>33.5</v>
      </c>
      <c r="L16" s="232">
        <f>IF('쪽쟘(실측)'!G16&gt;0,'쪽쟘(실측)'!G16+1.5,0)</f>
        <v>33.5</v>
      </c>
      <c r="M16" s="232">
        <f>IF('쪽쟘(실측)'!H16&gt;0,'쪽쟘(실측)'!H16+1.5,0)</f>
        <v>31.5</v>
      </c>
      <c r="N16" s="232">
        <f>IF('쪽쟘(실측)'!I16&gt;0,'쪽쟘(실측)'!I16+1.5,0)</f>
        <v>31.5</v>
      </c>
      <c r="O16" s="232" t="e">
        <f>'쪽쟘(실측)'!J16-기둥차감</f>
        <v>#NAME?</v>
      </c>
      <c r="P16" s="232" t="e">
        <f>'쪽쟘(실측)'!K16-기둥차감</f>
        <v>#NAME?</v>
      </c>
      <c r="Q16" s="232" t="e">
        <f>'쪽쟘(실측)'!L16-기둥차감</f>
        <v>#NAME?</v>
      </c>
      <c r="R16" s="232" t="e">
        <f>'쪽쟘(실측)'!M16-기둥차감</f>
        <v>#NAME?</v>
      </c>
      <c r="S16" s="232">
        <f>'쪽쟘(실측)'!N16+1.2</f>
        <v>31.2</v>
      </c>
      <c r="T16" s="232">
        <f>'쪽쟘(실측)'!O16+1.2</f>
        <v>31.2</v>
      </c>
      <c r="U16" s="232">
        <f>'쪽쟘(실측)'!P16</f>
        <v>25</v>
      </c>
      <c r="V16" s="232">
        <f>'쪽쟘(실측)'!Q16</f>
        <v>25</v>
      </c>
      <c r="W16" s="232" t="e">
        <f>'쪽쟘(실측)'!R16-늘치차감</f>
        <v>#NAME?</v>
      </c>
      <c r="X16" s="232" t="e">
        <f>'쪽쟘(실측)'!S16-늘치차감</f>
        <v>#NAME?</v>
      </c>
      <c r="Z16" s="228">
        <v>957</v>
      </c>
      <c r="AA16" s="228">
        <v>116.4</v>
      </c>
      <c r="AB16" s="228">
        <v>118.4</v>
      </c>
      <c r="AC16" s="228">
        <v>2095</v>
      </c>
      <c r="AD16" s="228">
        <v>116.4</v>
      </c>
      <c r="AE16" s="228">
        <v>2095</v>
      </c>
    </row>
    <row r="17" spans="1:31" s="228" customFormat="1" ht="18.75" customHeight="1" x14ac:dyDescent="0.3">
      <c r="A17" s="232" t="str">
        <f>'쪽쟘(실측)'!A17</f>
        <v>10-1</v>
      </c>
      <c r="B17" s="232" t="str">
        <f>'쪽쟘(실측)'!B17&amp;"F"</f>
        <v>10F</v>
      </c>
      <c r="C17" s="232" t="str">
        <f t="shared" si="0"/>
        <v>962*115.4</v>
      </c>
      <c r="D17" s="232" t="e">
        <f>'쪽쟘(실측)'!C17-OP차감</f>
        <v>#NAME?</v>
      </c>
      <c r="E17" s="232" t="e">
        <f>'쪽쟘(실측)'!D17+쪽쟘J늘림+MAX(W17:X17)</f>
        <v>#VALUE!</v>
      </c>
      <c r="F17" s="233" t="e">
        <f>'쪽쟘(실측)'!E17+쪽쟘J늘림+MAX(W17:X17)</f>
        <v>#VALUE!</v>
      </c>
      <c r="G17" s="234"/>
      <c r="H17" s="235" t="str">
        <f t="shared" si="2"/>
        <v>2095*118.4</v>
      </c>
      <c r="I17" s="107">
        <f>IF('쪽쟘(실측)'!F17&gt;0,'쪽쟘(실측)'!F17+0.5,0)</f>
        <v>34.5</v>
      </c>
      <c r="J17" s="232">
        <f>IF('쪽쟘(실측)'!H17&gt;0,'쪽쟘(실측)'!H17+0.5,0)</f>
        <v>32.5</v>
      </c>
      <c r="K17" s="232">
        <f>IF('쪽쟘(실측)'!F17&gt;0,'쪽쟘(실측)'!F17+1.5,0)</f>
        <v>35.5</v>
      </c>
      <c r="L17" s="232">
        <f>IF('쪽쟘(실측)'!G17&gt;0,'쪽쟘(실측)'!G17+1.5,0)</f>
        <v>31.5</v>
      </c>
      <c r="M17" s="232">
        <f>IF('쪽쟘(실측)'!H17&gt;0,'쪽쟘(실측)'!H17+1.5,0)</f>
        <v>33.5</v>
      </c>
      <c r="N17" s="232">
        <f>IF('쪽쟘(실측)'!I17&gt;0,'쪽쟘(실측)'!I17+1.5,0)</f>
        <v>33.5</v>
      </c>
      <c r="O17" s="232" t="e">
        <f>'쪽쟘(실측)'!J17-기둥차감</f>
        <v>#NAME?</v>
      </c>
      <c r="P17" s="232" t="e">
        <f>'쪽쟘(실측)'!K17-기둥차감</f>
        <v>#NAME?</v>
      </c>
      <c r="Q17" s="232" t="e">
        <f>'쪽쟘(실측)'!L17-기둥차감</f>
        <v>#NAME?</v>
      </c>
      <c r="R17" s="232" t="e">
        <f>'쪽쟘(실측)'!M17-기둥차감</f>
        <v>#NAME?</v>
      </c>
      <c r="S17" s="232">
        <f>'쪽쟘(실측)'!N17+1.2</f>
        <v>30.2</v>
      </c>
      <c r="T17" s="232">
        <f>'쪽쟘(실측)'!O17+1.2</f>
        <v>30.2</v>
      </c>
      <c r="U17" s="232">
        <f>'쪽쟘(실측)'!P17</f>
        <v>25</v>
      </c>
      <c r="V17" s="232">
        <f>'쪽쟘(실측)'!Q17</f>
        <v>25</v>
      </c>
      <c r="W17" s="232" t="e">
        <f>'쪽쟘(실측)'!R17-늘치차감</f>
        <v>#NAME?</v>
      </c>
      <c r="X17" s="232" t="e">
        <f>'쪽쟘(실측)'!S17-늘치차감</f>
        <v>#NAME?</v>
      </c>
      <c r="Z17" s="228">
        <v>962</v>
      </c>
      <c r="AA17" s="228">
        <v>115.4</v>
      </c>
      <c r="AB17" s="228">
        <v>120.4</v>
      </c>
      <c r="AC17" s="228">
        <v>2095</v>
      </c>
      <c r="AD17" s="228">
        <v>118.4</v>
      </c>
      <c r="AE17" s="228">
        <v>2095</v>
      </c>
    </row>
    <row r="18" spans="1:31" s="228" customFormat="1" ht="18.75" customHeight="1" x14ac:dyDescent="0.3">
      <c r="A18" s="232" t="str">
        <f>'쪽쟘(실측)'!A18</f>
        <v>10-1</v>
      </c>
      <c r="B18" s="232" t="str">
        <f>'쪽쟘(실측)'!B18&amp;"F"</f>
        <v>9F</v>
      </c>
      <c r="C18" s="232" t="str">
        <f t="shared" si="0"/>
        <v>960*116.4</v>
      </c>
      <c r="D18" s="232" t="e">
        <f>'쪽쟘(실측)'!C18-OP차감</f>
        <v>#NAME?</v>
      </c>
      <c r="E18" s="232" t="e">
        <f>'쪽쟘(실측)'!D18+쪽쟘J늘림+MAX(W18:X18)</f>
        <v>#VALUE!</v>
      </c>
      <c r="F18" s="233" t="e">
        <f>'쪽쟘(실측)'!E18+쪽쟘J늘림+MAX(W18:X18)</f>
        <v>#VALUE!</v>
      </c>
      <c r="G18" s="234" t="str">
        <f t="shared" si="1"/>
        <v>2095*118.4</v>
      </c>
      <c r="H18" s="235" t="str">
        <f t="shared" si="2"/>
        <v>2095*118.4</v>
      </c>
      <c r="I18" s="107">
        <f>IF('쪽쟘(실측)'!F18&gt;0,'쪽쟘(실측)'!F18+0.5,0)</f>
        <v>32.5</v>
      </c>
      <c r="J18" s="232">
        <f>IF('쪽쟘(실측)'!H18&gt;0,'쪽쟘(실측)'!H18+0.5,0)</f>
        <v>32.5</v>
      </c>
      <c r="K18" s="232">
        <f>IF('쪽쟘(실측)'!F18&gt;0,'쪽쟘(실측)'!F18+1.5,0)</f>
        <v>33.5</v>
      </c>
      <c r="L18" s="232">
        <f>IF('쪽쟘(실측)'!G18&gt;0,'쪽쟘(실측)'!G18+1.5,0)</f>
        <v>33.5</v>
      </c>
      <c r="M18" s="232">
        <f>IF('쪽쟘(실측)'!H18&gt;0,'쪽쟘(실측)'!H18+1.5,0)</f>
        <v>33.5</v>
      </c>
      <c r="N18" s="232">
        <f>IF('쪽쟘(실측)'!I18&gt;0,'쪽쟘(실측)'!I18+1.5,0)</f>
        <v>33.5</v>
      </c>
      <c r="O18" s="232" t="e">
        <f>'쪽쟘(실측)'!J18-기둥차감</f>
        <v>#NAME?</v>
      </c>
      <c r="P18" s="232" t="e">
        <f>'쪽쟘(실측)'!K18-기둥차감</f>
        <v>#NAME?</v>
      </c>
      <c r="Q18" s="232" t="e">
        <f>'쪽쟘(실측)'!L18-기둥차감</f>
        <v>#NAME?</v>
      </c>
      <c r="R18" s="232" t="e">
        <f>'쪽쟘(실측)'!M18-기둥차감</f>
        <v>#NAME?</v>
      </c>
      <c r="S18" s="232">
        <f>'쪽쟘(실측)'!N18+1.2</f>
        <v>31.2</v>
      </c>
      <c r="T18" s="232">
        <f>'쪽쟘(실측)'!O18+1.2</f>
        <v>31.2</v>
      </c>
      <c r="U18" s="232">
        <f>'쪽쟘(실측)'!P18</f>
        <v>25</v>
      </c>
      <c r="V18" s="232">
        <f>'쪽쟘(실측)'!Q18</f>
        <v>25</v>
      </c>
      <c r="W18" s="232" t="e">
        <f>'쪽쟘(실측)'!R18-늘치차감</f>
        <v>#NAME?</v>
      </c>
      <c r="X18" s="232" t="e">
        <f>'쪽쟘(실측)'!S18-늘치차감</f>
        <v>#NAME?</v>
      </c>
      <c r="Z18" s="228">
        <v>960</v>
      </c>
      <c r="AA18" s="228">
        <v>116.4</v>
      </c>
      <c r="AB18" s="228">
        <v>118.4</v>
      </c>
      <c r="AC18" s="228">
        <v>2095</v>
      </c>
      <c r="AD18" s="228">
        <v>118.4</v>
      </c>
      <c r="AE18" s="228">
        <v>2095</v>
      </c>
    </row>
    <row r="19" spans="1:31" s="228" customFormat="1" ht="18.75" customHeight="1" x14ac:dyDescent="0.3">
      <c r="A19" s="232" t="str">
        <f>'쪽쟘(실측)'!A19</f>
        <v>10-1</v>
      </c>
      <c r="B19" s="232" t="str">
        <f>'쪽쟘(실측)'!B19&amp;"F"</f>
        <v>8F</v>
      </c>
      <c r="C19" s="232" t="str">
        <f t="shared" si="0"/>
        <v>965*117.4</v>
      </c>
      <c r="D19" s="232" t="e">
        <f>'쪽쟘(실측)'!C19-OP차감</f>
        <v>#NAME?</v>
      </c>
      <c r="E19" s="232" t="e">
        <f>'쪽쟘(실측)'!D19+쪽쟘J늘림+MAX(W19:X19)</f>
        <v>#VALUE!</v>
      </c>
      <c r="F19" s="233" t="e">
        <f>'쪽쟘(실측)'!E19+쪽쟘J늘림+MAX(W19:X19)</f>
        <v>#VALUE!</v>
      </c>
      <c r="G19" s="234"/>
      <c r="H19" s="235" t="str">
        <f t="shared" si="2"/>
        <v>2095*120.4</v>
      </c>
      <c r="I19" s="107">
        <f>IF('쪽쟘(실측)'!F19&gt;0,'쪽쟘(실측)'!F19+0.5,0)</f>
        <v>34.5</v>
      </c>
      <c r="J19" s="232">
        <f>IF('쪽쟘(실측)'!H19&gt;0,'쪽쟘(실측)'!H19+0.5,0)</f>
        <v>34.5</v>
      </c>
      <c r="K19" s="232">
        <f>IF('쪽쟘(실측)'!F19&gt;0,'쪽쟘(실측)'!F19+1.5,0)</f>
        <v>35.5</v>
      </c>
      <c r="L19" s="232">
        <f>IF('쪽쟘(실측)'!G19&gt;0,'쪽쟘(실측)'!G19+1.5,0)</f>
        <v>31.5</v>
      </c>
      <c r="M19" s="232">
        <f>IF('쪽쟘(실측)'!H19&gt;0,'쪽쟘(실측)'!H19+1.5,0)</f>
        <v>35.5</v>
      </c>
      <c r="N19" s="232">
        <f>IF('쪽쟘(실측)'!I19&gt;0,'쪽쟘(실측)'!I19+1.5,0)</f>
        <v>35.5</v>
      </c>
      <c r="O19" s="232" t="e">
        <f>'쪽쟘(실측)'!J19-기둥차감</f>
        <v>#NAME?</v>
      </c>
      <c r="P19" s="232" t="e">
        <f>'쪽쟘(실측)'!K19-기둥차감</f>
        <v>#NAME?</v>
      </c>
      <c r="Q19" s="232" t="e">
        <f>'쪽쟘(실측)'!L19-기둥차감</f>
        <v>#NAME?</v>
      </c>
      <c r="R19" s="232" t="e">
        <f>'쪽쟘(실측)'!M19-기둥차감</f>
        <v>#NAME?</v>
      </c>
      <c r="S19" s="232">
        <f>'쪽쟘(실측)'!N19+1.2</f>
        <v>32.200000000000003</v>
      </c>
      <c r="T19" s="232">
        <f>'쪽쟘(실측)'!O19+1.2</f>
        <v>32.200000000000003</v>
      </c>
      <c r="U19" s="232">
        <f>'쪽쟘(실측)'!P19</f>
        <v>25</v>
      </c>
      <c r="V19" s="232">
        <f>'쪽쟘(실측)'!Q19</f>
        <v>25</v>
      </c>
      <c r="W19" s="232" t="e">
        <f>'쪽쟘(실측)'!R19-늘치차감</f>
        <v>#NAME?</v>
      </c>
      <c r="X19" s="232" t="e">
        <f>'쪽쟘(실측)'!S19-늘치차감</f>
        <v>#NAME?</v>
      </c>
      <c r="Z19" s="228">
        <v>965</v>
      </c>
      <c r="AA19" s="228">
        <v>117.4</v>
      </c>
      <c r="AB19" s="228">
        <v>120.4</v>
      </c>
      <c r="AC19" s="228">
        <v>2095</v>
      </c>
      <c r="AD19" s="228">
        <v>120.4</v>
      </c>
      <c r="AE19" s="228">
        <v>2095</v>
      </c>
    </row>
    <row r="20" spans="1:31" s="228" customFormat="1" ht="18.75" customHeight="1" x14ac:dyDescent="0.3">
      <c r="A20" s="232" t="str">
        <f>'쪽쟘(실측)'!A20</f>
        <v>10-1</v>
      </c>
      <c r="B20" s="232" t="str">
        <f>'쪽쟘(실측)'!B20&amp;"F"</f>
        <v>7F</v>
      </c>
      <c r="C20" s="232" t="str">
        <f t="shared" si="0"/>
        <v>961*117.4</v>
      </c>
      <c r="D20" s="232" t="e">
        <f>'쪽쟘(실측)'!C20-OP차감</f>
        <v>#NAME?</v>
      </c>
      <c r="E20" s="232" t="e">
        <f>'쪽쟘(실측)'!D20+쪽쟘J늘림+MAX(W20:X20)</f>
        <v>#VALUE!</v>
      </c>
      <c r="F20" s="233" t="e">
        <f>'쪽쟘(실측)'!E20+쪽쟘J늘림+MAX(W20:X20)</f>
        <v>#VALUE!</v>
      </c>
      <c r="G20" s="234" t="str">
        <f t="shared" si="1"/>
        <v>2095*119.4</v>
      </c>
      <c r="H20" s="235" t="str">
        <f t="shared" si="2"/>
        <v>2095*119.4</v>
      </c>
      <c r="I20" s="107">
        <f>IF('쪽쟘(실측)'!F20&gt;0,'쪽쟘(실측)'!F20+0.5,0)</f>
        <v>33.5</v>
      </c>
      <c r="J20" s="232">
        <f>IF('쪽쟘(실측)'!H20&gt;0,'쪽쟘(실측)'!H20+0.5,0)</f>
        <v>33.5</v>
      </c>
      <c r="K20" s="232">
        <f>IF('쪽쟘(실측)'!F20&gt;0,'쪽쟘(실측)'!F20+1.5,0)</f>
        <v>34.5</v>
      </c>
      <c r="L20" s="232">
        <f>IF('쪽쟘(실측)'!G20&gt;0,'쪽쟘(실측)'!G20+1.5,0)</f>
        <v>34.5</v>
      </c>
      <c r="M20" s="232">
        <f>IF('쪽쟘(실측)'!H20&gt;0,'쪽쟘(실측)'!H20+1.5,0)</f>
        <v>34.5</v>
      </c>
      <c r="N20" s="232">
        <f>IF('쪽쟘(실측)'!I20&gt;0,'쪽쟘(실측)'!I20+1.5,0)</f>
        <v>34.5</v>
      </c>
      <c r="O20" s="232" t="e">
        <f>'쪽쟘(실측)'!J20-기둥차감</f>
        <v>#NAME?</v>
      </c>
      <c r="P20" s="232" t="e">
        <f>'쪽쟘(실측)'!K20-기둥차감</f>
        <v>#NAME?</v>
      </c>
      <c r="Q20" s="232" t="e">
        <f>'쪽쟘(실측)'!L20-기둥차감</f>
        <v>#NAME?</v>
      </c>
      <c r="R20" s="232" t="e">
        <f>'쪽쟘(실측)'!M20-기둥차감</f>
        <v>#NAME?</v>
      </c>
      <c r="S20" s="232">
        <f>'쪽쟘(실측)'!N20+1.2</f>
        <v>32.200000000000003</v>
      </c>
      <c r="T20" s="232">
        <f>'쪽쟘(실측)'!O20+1.2</f>
        <v>32.200000000000003</v>
      </c>
      <c r="U20" s="232">
        <f>'쪽쟘(실측)'!P20</f>
        <v>25</v>
      </c>
      <c r="V20" s="232">
        <f>'쪽쟘(실측)'!Q20</f>
        <v>25</v>
      </c>
      <c r="W20" s="232" t="e">
        <f>'쪽쟘(실측)'!R20-늘치차감</f>
        <v>#NAME?</v>
      </c>
      <c r="X20" s="232" t="e">
        <f>'쪽쟘(실측)'!S20-늘치차감</f>
        <v>#NAME?</v>
      </c>
      <c r="Z20" s="228">
        <v>961</v>
      </c>
      <c r="AA20" s="228">
        <v>117.4</v>
      </c>
      <c r="AB20" s="228">
        <v>119.4</v>
      </c>
      <c r="AC20" s="228">
        <v>2095</v>
      </c>
      <c r="AD20" s="228">
        <v>119.4</v>
      </c>
      <c r="AE20" s="228">
        <v>2095</v>
      </c>
    </row>
    <row r="21" spans="1:31" s="228" customFormat="1" ht="18.75" customHeight="1" x14ac:dyDescent="0.3">
      <c r="A21" s="232" t="str">
        <f>'쪽쟘(실측)'!A21</f>
        <v>10-1</v>
      </c>
      <c r="B21" s="232" t="str">
        <f>'쪽쟘(실측)'!B21&amp;"F"</f>
        <v>6F</v>
      </c>
      <c r="C21" s="232" t="str">
        <f t="shared" si="0"/>
        <v>960*117.4</v>
      </c>
      <c r="D21" s="232" t="e">
        <f>'쪽쟘(실측)'!C21-OP차감</f>
        <v>#NAME?</v>
      </c>
      <c r="E21" s="232" t="e">
        <f>'쪽쟘(실측)'!D21+쪽쟘J늘림+MAX(W21:X21)</f>
        <v>#VALUE!</v>
      </c>
      <c r="F21" s="233" t="e">
        <f>'쪽쟘(실측)'!E21+쪽쟘J늘림+MAX(W21:X21)</f>
        <v>#VALUE!</v>
      </c>
      <c r="G21" s="234"/>
      <c r="H21" s="235" t="str">
        <f t="shared" si="2"/>
        <v>2095*118.4</v>
      </c>
      <c r="I21" s="107">
        <f>IF('쪽쟘(실측)'!F21&gt;0,'쪽쟘(실측)'!F21+0.5,0)</f>
        <v>31.5</v>
      </c>
      <c r="J21" s="232">
        <f>IF('쪽쟘(실측)'!H21&gt;0,'쪽쟘(실측)'!H21+0.5,0)</f>
        <v>32.5</v>
      </c>
      <c r="K21" s="232">
        <f>IF('쪽쟘(실측)'!F21&gt;0,'쪽쟘(실측)'!F21+1.5,0)</f>
        <v>32.5</v>
      </c>
      <c r="L21" s="232">
        <f>IF('쪽쟘(실측)'!G21&gt;0,'쪽쟘(실측)'!G21+1.5,0)</f>
        <v>36.5</v>
      </c>
      <c r="M21" s="232">
        <f>IF('쪽쟘(실측)'!H21&gt;0,'쪽쟘(실측)'!H21+1.5,0)</f>
        <v>33.5</v>
      </c>
      <c r="N21" s="232">
        <f>IF('쪽쟘(실측)'!I21&gt;0,'쪽쟘(실측)'!I21+1.5,0)</f>
        <v>33.5</v>
      </c>
      <c r="O21" s="232" t="e">
        <f>'쪽쟘(실측)'!J21-기둥차감</f>
        <v>#NAME?</v>
      </c>
      <c r="P21" s="232" t="e">
        <f>'쪽쟘(실측)'!K21-기둥차감</f>
        <v>#NAME?</v>
      </c>
      <c r="Q21" s="232" t="e">
        <f>'쪽쟘(실측)'!L21-기둥차감</f>
        <v>#NAME?</v>
      </c>
      <c r="R21" s="232" t="e">
        <f>'쪽쟘(실측)'!M21-기둥차감</f>
        <v>#NAME?</v>
      </c>
      <c r="S21" s="232">
        <f>'쪽쟘(실측)'!N21+1.2</f>
        <v>32.200000000000003</v>
      </c>
      <c r="T21" s="232">
        <f>'쪽쟘(실측)'!O21+1.2</f>
        <v>32.200000000000003</v>
      </c>
      <c r="U21" s="232">
        <f>'쪽쟘(실측)'!P21</f>
        <v>25</v>
      </c>
      <c r="V21" s="232">
        <f>'쪽쟘(실측)'!Q21</f>
        <v>25</v>
      </c>
      <c r="W21" s="232" t="e">
        <f>'쪽쟘(실측)'!R21-늘치차감</f>
        <v>#NAME?</v>
      </c>
      <c r="X21" s="232" t="e">
        <f>'쪽쟘(실측)'!S21-늘치차감</f>
        <v>#NAME?</v>
      </c>
      <c r="Z21" s="228">
        <v>960</v>
      </c>
      <c r="AA21" s="228">
        <v>117.4</v>
      </c>
      <c r="AB21" s="228">
        <v>121.4</v>
      </c>
      <c r="AC21" s="228">
        <v>2095</v>
      </c>
      <c r="AD21" s="228">
        <v>118.4</v>
      </c>
      <c r="AE21" s="228">
        <v>2095</v>
      </c>
    </row>
    <row r="22" spans="1:31" s="228" customFormat="1" ht="18.75" customHeight="1" x14ac:dyDescent="0.3">
      <c r="A22" s="232" t="str">
        <f>'쪽쟘(실측)'!A22</f>
        <v>10-1</v>
      </c>
      <c r="B22" s="232" t="str">
        <f>'쪽쟘(실측)'!B22&amp;"F"</f>
        <v>5F</v>
      </c>
      <c r="C22" s="232" t="str">
        <f t="shared" si="0"/>
        <v>959*117.4</v>
      </c>
      <c r="D22" s="232" t="e">
        <f>'쪽쟘(실측)'!C22-OP차감</f>
        <v>#NAME?</v>
      </c>
      <c r="E22" s="232" t="e">
        <f>'쪽쟘(실측)'!D22+쪽쟘J늘림+MAX(W22:X22)</f>
        <v>#VALUE!</v>
      </c>
      <c r="F22" s="233" t="e">
        <f>'쪽쟘(실측)'!E22+쪽쟘J늘림+MAX(W22:X22)</f>
        <v>#VALUE!</v>
      </c>
      <c r="G22" s="234" t="str">
        <f t="shared" si="1"/>
        <v>2095*118.4</v>
      </c>
      <c r="H22" s="235" t="str">
        <f t="shared" si="2"/>
        <v>2095*117.4</v>
      </c>
      <c r="I22" s="107">
        <f>IF('쪽쟘(실측)'!F22&gt;0,'쪽쟘(실측)'!F22+0.5,0)</f>
        <v>32.5</v>
      </c>
      <c r="J22" s="232">
        <f>IF('쪽쟘(실측)'!H22&gt;0,'쪽쟘(실측)'!H22+0.5,0)</f>
        <v>31.5</v>
      </c>
      <c r="K22" s="232">
        <f>IF('쪽쟘(실측)'!F22&gt;0,'쪽쟘(실측)'!F22+1.5,0)</f>
        <v>33.5</v>
      </c>
      <c r="L22" s="232">
        <f>IF('쪽쟘(실측)'!G22&gt;0,'쪽쟘(실측)'!G22+1.5,0)</f>
        <v>33.5</v>
      </c>
      <c r="M22" s="232">
        <f>IF('쪽쟘(실측)'!H22&gt;0,'쪽쟘(실측)'!H22+1.5,0)</f>
        <v>32.5</v>
      </c>
      <c r="N22" s="232">
        <f>IF('쪽쟘(실측)'!I22&gt;0,'쪽쟘(실측)'!I22+1.5,0)</f>
        <v>32.5</v>
      </c>
      <c r="O22" s="232" t="e">
        <f>'쪽쟘(실측)'!J22-기둥차감</f>
        <v>#NAME?</v>
      </c>
      <c r="P22" s="232" t="e">
        <f>'쪽쟘(실측)'!K22-기둥차감</f>
        <v>#NAME?</v>
      </c>
      <c r="Q22" s="232" t="e">
        <f>'쪽쟘(실측)'!L22-기둥차감</f>
        <v>#NAME?</v>
      </c>
      <c r="R22" s="232" t="e">
        <f>'쪽쟘(실측)'!M22-기둥차감</f>
        <v>#NAME?</v>
      </c>
      <c r="S22" s="232">
        <f>'쪽쟘(실측)'!N22+1.2</f>
        <v>32.200000000000003</v>
      </c>
      <c r="T22" s="232">
        <f>'쪽쟘(실측)'!O22+1.2</f>
        <v>32.200000000000003</v>
      </c>
      <c r="U22" s="232">
        <f>'쪽쟘(실측)'!P22</f>
        <v>25</v>
      </c>
      <c r="V22" s="232">
        <f>'쪽쟘(실측)'!Q22</f>
        <v>25</v>
      </c>
      <c r="W22" s="232" t="e">
        <f>'쪽쟘(실측)'!R22-늘치차감</f>
        <v>#NAME?</v>
      </c>
      <c r="X22" s="232" t="e">
        <f>'쪽쟘(실측)'!S22-늘치차감</f>
        <v>#NAME?</v>
      </c>
      <c r="Z22" s="228">
        <v>959</v>
      </c>
      <c r="AA22" s="228">
        <v>117.4</v>
      </c>
      <c r="AB22" s="228">
        <v>118.4</v>
      </c>
      <c r="AC22" s="228">
        <v>2095</v>
      </c>
      <c r="AD22" s="228">
        <v>117.4</v>
      </c>
      <c r="AE22" s="228">
        <v>2095</v>
      </c>
    </row>
    <row r="23" spans="1:31" s="228" customFormat="1" ht="18.75" customHeight="1" x14ac:dyDescent="0.3">
      <c r="A23" s="232" t="str">
        <f>'쪽쟘(실측)'!A23</f>
        <v>10-1</v>
      </c>
      <c r="B23" s="232" t="str">
        <f>'쪽쟘(실측)'!B23&amp;"F"</f>
        <v>4F</v>
      </c>
      <c r="C23" s="232" t="str">
        <f t="shared" si="0"/>
        <v>963*116.4</v>
      </c>
      <c r="D23" s="232" t="e">
        <f>'쪽쟘(실측)'!C23-OP차감</f>
        <v>#NAME?</v>
      </c>
      <c r="E23" s="232" t="e">
        <f>'쪽쟘(실측)'!D23+쪽쟘J늘림+MAX(W23:X23)</f>
        <v>#VALUE!</v>
      </c>
      <c r="F23" s="233" t="e">
        <f>'쪽쟘(실측)'!E23+쪽쟘J늘림+MAX(W23:X23)</f>
        <v>#VALUE!</v>
      </c>
      <c r="G23" s="234" t="str">
        <f t="shared" si="1"/>
        <v>2095*119.4</v>
      </c>
      <c r="H23" s="235" t="str">
        <f t="shared" si="2"/>
        <v>2095*120.4</v>
      </c>
      <c r="I23" s="107">
        <f>IF('쪽쟘(실측)'!F23&gt;0,'쪽쟘(실측)'!F23+0.5,0)</f>
        <v>33.5</v>
      </c>
      <c r="J23" s="232">
        <f>IF('쪽쟘(실측)'!H23&gt;0,'쪽쟘(실측)'!H23+0.5,0)</f>
        <v>34.5</v>
      </c>
      <c r="K23" s="232">
        <f>IF('쪽쟘(실측)'!F23&gt;0,'쪽쟘(실측)'!F23+1.5,0)</f>
        <v>34.5</v>
      </c>
      <c r="L23" s="232">
        <f>IF('쪽쟘(실측)'!G23&gt;0,'쪽쟘(실측)'!G23+1.5,0)</f>
        <v>34.5</v>
      </c>
      <c r="M23" s="232">
        <f>IF('쪽쟘(실측)'!H23&gt;0,'쪽쟘(실측)'!H23+1.5,0)</f>
        <v>35.5</v>
      </c>
      <c r="N23" s="232">
        <f>IF('쪽쟘(실측)'!I23&gt;0,'쪽쟘(실측)'!I23+1.5,0)</f>
        <v>35.5</v>
      </c>
      <c r="O23" s="232" t="e">
        <f>'쪽쟘(실측)'!J23-기둥차감</f>
        <v>#NAME?</v>
      </c>
      <c r="P23" s="232" t="e">
        <f>'쪽쟘(실측)'!K23-기둥차감</f>
        <v>#NAME?</v>
      </c>
      <c r="Q23" s="232" t="e">
        <f>'쪽쟘(실측)'!L23-기둥차감</f>
        <v>#NAME?</v>
      </c>
      <c r="R23" s="232" t="e">
        <f>'쪽쟘(실측)'!M23-기둥차감</f>
        <v>#NAME?</v>
      </c>
      <c r="S23" s="232">
        <f>'쪽쟘(실측)'!N23+1.2</f>
        <v>31.2</v>
      </c>
      <c r="T23" s="232">
        <f>'쪽쟘(실측)'!O23+1.2</f>
        <v>31.2</v>
      </c>
      <c r="U23" s="232">
        <f>'쪽쟘(실측)'!P23</f>
        <v>25</v>
      </c>
      <c r="V23" s="232">
        <f>'쪽쟘(실측)'!Q23</f>
        <v>25</v>
      </c>
      <c r="W23" s="232" t="e">
        <f>'쪽쟘(실측)'!R23-늘치차감</f>
        <v>#NAME?</v>
      </c>
      <c r="X23" s="232" t="e">
        <f>'쪽쟘(실측)'!S23-늘치차감</f>
        <v>#NAME?</v>
      </c>
      <c r="Z23" s="228">
        <v>963</v>
      </c>
      <c r="AA23" s="228">
        <v>116.4</v>
      </c>
      <c r="AB23" s="228">
        <v>119.4</v>
      </c>
      <c r="AC23" s="228">
        <v>2095</v>
      </c>
      <c r="AD23" s="228">
        <v>120.4</v>
      </c>
      <c r="AE23" s="228">
        <v>2095</v>
      </c>
    </row>
    <row r="24" spans="1:31" s="228" customFormat="1" ht="18.75" customHeight="1" x14ac:dyDescent="0.3">
      <c r="A24" s="232" t="str">
        <f>'쪽쟘(실측)'!A24</f>
        <v>10-1</v>
      </c>
      <c r="B24" s="232" t="str">
        <f>'쪽쟘(실측)'!B24&amp;"F"</f>
        <v>3F</v>
      </c>
      <c r="C24" s="232" t="str">
        <f t="shared" si="0"/>
        <v>956*116.4</v>
      </c>
      <c r="D24" s="232" t="e">
        <f>'쪽쟘(실측)'!C24-OP차감</f>
        <v>#NAME?</v>
      </c>
      <c r="E24" s="232" t="e">
        <f>'쪽쟘(실측)'!D24+쪽쟘J늘림+MAX(W24:X24)</f>
        <v>#VALUE!</v>
      </c>
      <c r="F24" s="233" t="e">
        <f>'쪽쟘(실측)'!E24+쪽쟘J늘림+MAX(W24:X24)</f>
        <v>#VALUE!</v>
      </c>
      <c r="G24" s="234" t="str">
        <f t="shared" si="1"/>
        <v>2095*116.4</v>
      </c>
      <c r="H24" s="235" t="str">
        <f t="shared" si="2"/>
        <v>2095*116.4</v>
      </c>
      <c r="I24" s="107">
        <f>IF('쪽쟘(실측)'!F24&gt;0,'쪽쟘(실측)'!F24+0.5,0)</f>
        <v>30.5</v>
      </c>
      <c r="J24" s="232">
        <f>IF('쪽쟘(실측)'!H24&gt;0,'쪽쟘(실측)'!H24+0.5,0)</f>
        <v>30.5</v>
      </c>
      <c r="K24" s="232">
        <f>IF('쪽쟘(실측)'!F24&gt;0,'쪽쟘(실측)'!F24+1.5,0)</f>
        <v>31.5</v>
      </c>
      <c r="L24" s="232">
        <f>IF('쪽쟘(실측)'!G24&gt;0,'쪽쟘(실측)'!G24+1.5,0)</f>
        <v>31.5</v>
      </c>
      <c r="M24" s="232">
        <f>IF('쪽쟘(실측)'!H24&gt;0,'쪽쟘(실측)'!H24+1.5,0)</f>
        <v>31.5</v>
      </c>
      <c r="N24" s="232">
        <f>IF('쪽쟘(실측)'!I24&gt;0,'쪽쟘(실측)'!I24+1.5,0)</f>
        <v>31.5</v>
      </c>
      <c r="O24" s="232" t="e">
        <f>'쪽쟘(실측)'!J24-기둥차감</f>
        <v>#NAME?</v>
      </c>
      <c r="P24" s="232" t="e">
        <f>'쪽쟘(실측)'!K24-기둥차감</f>
        <v>#NAME?</v>
      </c>
      <c r="Q24" s="232" t="e">
        <f>'쪽쟘(실측)'!L24-기둥차감</f>
        <v>#NAME?</v>
      </c>
      <c r="R24" s="232" t="e">
        <f>'쪽쟘(실측)'!M24-기둥차감</f>
        <v>#NAME?</v>
      </c>
      <c r="S24" s="232">
        <f>'쪽쟘(실측)'!N24+1.2</f>
        <v>31.2</v>
      </c>
      <c r="T24" s="232">
        <f>'쪽쟘(실측)'!O24+1.2</f>
        <v>31.2</v>
      </c>
      <c r="U24" s="232">
        <f>'쪽쟘(실측)'!P24</f>
        <v>25</v>
      </c>
      <c r="V24" s="232">
        <f>'쪽쟘(실측)'!Q24</f>
        <v>25</v>
      </c>
      <c r="W24" s="232" t="e">
        <f>'쪽쟘(실측)'!R24-늘치차감</f>
        <v>#NAME?</v>
      </c>
      <c r="X24" s="232" t="e">
        <f>'쪽쟘(실측)'!S24-늘치차감</f>
        <v>#NAME?</v>
      </c>
      <c r="Z24" s="228">
        <v>956</v>
      </c>
      <c r="AA24" s="228">
        <v>116.4</v>
      </c>
      <c r="AB24" s="228">
        <v>116.4</v>
      </c>
      <c r="AC24" s="228">
        <v>2095</v>
      </c>
      <c r="AD24" s="228">
        <v>116.4</v>
      </c>
      <c r="AE24" s="228">
        <v>2095</v>
      </c>
    </row>
    <row r="25" spans="1:31" s="228" customFormat="1" ht="18.75" customHeight="1" x14ac:dyDescent="0.3">
      <c r="A25" s="232" t="str">
        <f>'쪽쟘(실측)'!A25</f>
        <v>10-1</v>
      </c>
      <c r="B25" s="232" t="str">
        <f>'쪽쟘(실측)'!B25&amp;"F"</f>
        <v>2F</v>
      </c>
      <c r="C25" s="232" t="str">
        <f t="shared" si="0"/>
        <v>960*119.4</v>
      </c>
      <c r="D25" s="232" t="e">
        <f>'쪽쟘(실측)'!C25-OP차감</f>
        <v>#NAME?</v>
      </c>
      <c r="E25" s="232" t="e">
        <f>'쪽쟘(실측)'!D25+쪽쟘J늘림+MAX(W25:X25)</f>
        <v>#VALUE!</v>
      </c>
      <c r="F25" s="233" t="e">
        <f>'쪽쟘(실측)'!E25+쪽쟘J늘림+MAX(W25:X25)</f>
        <v>#VALUE!</v>
      </c>
      <c r="G25" s="234" t="str">
        <f t="shared" si="1"/>
        <v>2095*118.4</v>
      </c>
      <c r="H25" s="235" t="str">
        <f t="shared" si="2"/>
        <v>2095*118.4</v>
      </c>
      <c r="I25" s="107">
        <f>IF('쪽쟘(실측)'!F25&gt;0,'쪽쟘(실측)'!F25+0.5,0)</f>
        <v>32.5</v>
      </c>
      <c r="J25" s="232">
        <f>IF('쪽쟘(실측)'!H25&gt;0,'쪽쟘(실측)'!H25+0.5,0)</f>
        <v>32.5</v>
      </c>
      <c r="K25" s="232">
        <f>IF('쪽쟘(실측)'!F25&gt;0,'쪽쟘(실측)'!F25+1.5,0)</f>
        <v>33.5</v>
      </c>
      <c r="L25" s="232">
        <f>IF('쪽쟘(실측)'!G25&gt;0,'쪽쟘(실측)'!G25+1.5,0)</f>
        <v>33.5</v>
      </c>
      <c r="M25" s="232">
        <f>IF('쪽쟘(실측)'!H25&gt;0,'쪽쟘(실측)'!H25+1.5,0)</f>
        <v>33.5</v>
      </c>
      <c r="N25" s="232">
        <f>IF('쪽쟘(실측)'!I25&gt;0,'쪽쟘(실측)'!I25+1.5,0)</f>
        <v>33.5</v>
      </c>
      <c r="O25" s="232" t="e">
        <f>'쪽쟘(실측)'!J25-기둥차감</f>
        <v>#NAME?</v>
      </c>
      <c r="P25" s="232" t="e">
        <f>'쪽쟘(실측)'!K25-기둥차감</f>
        <v>#NAME?</v>
      </c>
      <c r="Q25" s="232" t="e">
        <f>'쪽쟘(실측)'!L25-기둥차감</f>
        <v>#NAME?</v>
      </c>
      <c r="R25" s="232" t="e">
        <f>'쪽쟘(실측)'!M25-기둥차감</f>
        <v>#NAME?</v>
      </c>
      <c r="S25" s="232">
        <f>'쪽쟘(실측)'!N25+1.2</f>
        <v>34.200000000000003</v>
      </c>
      <c r="T25" s="232">
        <f>'쪽쟘(실측)'!O25+1.2</f>
        <v>29.2</v>
      </c>
      <c r="U25" s="232">
        <f>'쪽쟘(실측)'!P25</f>
        <v>25</v>
      </c>
      <c r="V25" s="232">
        <f>'쪽쟘(실측)'!Q25</f>
        <v>25</v>
      </c>
      <c r="W25" s="232" t="e">
        <f>'쪽쟘(실측)'!R25-늘치차감</f>
        <v>#NAME?</v>
      </c>
      <c r="X25" s="232" t="e">
        <f>'쪽쟘(실측)'!S25-늘치차감</f>
        <v>#NAME?</v>
      </c>
      <c r="Z25" s="228">
        <v>960</v>
      </c>
      <c r="AA25" s="228">
        <v>119.4</v>
      </c>
      <c r="AB25" s="228">
        <v>118.4</v>
      </c>
      <c r="AC25" s="228">
        <v>2095</v>
      </c>
      <c r="AD25" s="228">
        <v>118.4</v>
      </c>
      <c r="AE25" s="228">
        <v>2095</v>
      </c>
    </row>
    <row r="26" spans="1:31" s="228" customFormat="1" ht="18.75" customHeight="1" thickBot="1" x14ac:dyDescent="0.35">
      <c r="A26" s="287" t="str">
        <f>'쪽쟘(실측)'!A26</f>
        <v>10-1</v>
      </c>
      <c r="B26" s="287" t="str">
        <f>'쪽쟘(실측)'!B26&amp;"F"</f>
        <v>B1F</v>
      </c>
      <c r="C26" s="287" t="str">
        <f t="shared" si="0"/>
        <v>966*125.4</v>
      </c>
      <c r="D26" s="287" t="e">
        <f>'쪽쟘(실측)'!C26-OP차감</f>
        <v>#NAME?</v>
      </c>
      <c r="E26" s="287" t="e">
        <f>'쪽쟘(실측)'!D26+쪽쟘J늘림+MAX(W26:X26)</f>
        <v>#VALUE!</v>
      </c>
      <c r="F26" s="288" t="e">
        <f>'쪽쟘(실측)'!E26+쪽쟘J늘림+MAX(W26:X26)</f>
        <v>#VALUE!</v>
      </c>
      <c r="G26" s="289"/>
      <c r="H26" s="290"/>
      <c r="I26" s="107">
        <f>IF('쪽쟘(실측)'!F26&gt;0,'쪽쟘(실측)'!F26+0.5,0)</f>
        <v>38.5</v>
      </c>
      <c r="J26" s="232">
        <f>IF('쪽쟘(실측)'!H26&gt;0,'쪽쟘(실측)'!H26+0.5,0)</f>
        <v>38.5</v>
      </c>
      <c r="K26" s="232">
        <f>IF('쪽쟘(실측)'!F26&gt;0,'쪽쟘(실측)'!F26+1.5,0)</f>
        <v>39.5</v>
      </c>
      <c r="L26" s="232">
        <f>IF('쪽쟘(실측)'!G26&gt;0,'쪽쟘(실측)'!G26+1.5,0)</f>
        <v>39.5</v>
      </c>
      <c r="M26" s="232">
        <f>IF('쪽쟘(실측)'!H26&gt;0,'쪽쟘(실측)'!H26+1.5,0)</f>
        <v>39.5</v>
      </c>
      <c r="N26" s="232">
        <f>IF('쪽쟘(실측)'!I26&gt;0,'쪽쟘(실측)'!I26+1.5,0)</f>
        <v>39.5</v>
      </c>
      <c r="O26" s="232" t="e">
        <f>'쪽쟘(실측)'!J26-기둥차감</f>
        <v>#NAME?</v>
      </c>
      <c r="P26" s="232" t="e">
        <f>'쪽쟘(실측)'!K26-기둥차감</f>
        <v>#NAME?</v>
      </c>
      <c r="Q26" s="232" t="e">
        <f>'쪽쟘(실측)'!L26-기둥차감</f>
        <v>#NAME?</v>
      </c>
      <c r="R26" s="232" t="e">
        <f>'쪽쟘(실측)'!M26-기둥차감</f>
        <v>#NAME?</v>
      </c>
      <c r="S26" s="232">
        <f>'쪽쟘(실측)'!N26+1.2</f>
        <v>35.200000000000003</v>
      </c>
      <c r="T26" s="232">
        <f>'쪽쟘(실측)'!O26+1.2</f>
        <v>35.200000000000003</v>
      </c>
      <c r="U26" s="232">
        <f>'쪽쟘(실측)'!P26</f>
        <v>25</v>
      </c>
      <c r="V26" s="232">
        <f>'쪽쟘(실측)'!Q26</f>
        <v>25</v>
      </c>
      <c r="W26" s="232" t="e">
        <f>'쪽쟘(실측)'!R26-늘치차감</f>
        <v>#NAME?</v>
      </c>
      <c r="X26" s="232" t="e">
        <f>'쪽쟘(실측)'!S26-늘치차감</f>
        <v>#NAME?</v>
      </c>
      <c r="Z26" s="228">
        <v>966</v>
      </c>
      <c r="AA26" s="228">
        <v>125.4</v>
      </c>
      <c r="AB26" s="228">
        <v>129.4</v>
      </c>
      <c r="AC26" s="228">
        <v>2092</v>
      </c>
      <c r="AD26" s="228">
        <v>129.4</v>
      </c>
      <c r="AE26" s="228">
        <v>2089</v>
      </c>
    </row>
    <row r="27" spans="1:31" s="228" customFormat="1" ht="18.75" customHeight="1" x14ac:dyDescent="0.3">
      <c r="A27" s="283" t="str">
        <f>'쪽쟘(실측)'!A27</f>
        <v>10-2</v>
      </c>
      <c r="B27" s="283" t="str">
        <f>'쪽쟘(실측)'!B27&amp;"F"</f>
        <v>20F</v>
      </c>
      <c r="C27" s="283" t="str">
        <f t="shared" si="0"/>
        <v>958*118.4</v>
      </c>
      <c r="D27" s="283" t="e">
        <f>'쪽쟘(실측)'!C27-OP차감</f>
        <v>#NAME?</v>
      </c>
      <c r="E27" s="283" t="e">
        <f>'쪽쟘(실측)'!D27+쪽쟘J늘림+MAX(W27:X27)</f>
        <v>#VALUE!</v>
      </c>
      <c r="F27" s="284" t="e">
        <f>'쪽쟘(실측)'!E27+쪽쟘J늘림+MAX(W27:X27)</f>
        <v>#VALUE!</v>
      </c>
      <c r="G27" s="285" t="str">
        <f t="shared" si="1"/>
        <v>2095*116.4</v>
      </c>
      <c r="H27" s="286" t="str">
        <f t="shared" si="2"/>
        <v>2095*118.4</v>
      </c>
      <c r="I27" s="107">
        <f>IF('쪽쟘(실측)'!F27&gt;0,'쪽쟘(실측)'!F27+0.5,0)</f>
        <v>30.5</v>
      </c>
      <c r="J27" s="232">
        <f>IF('쪽쟘(실측)'!H27&gt;0,'쪽쟘(실측)'!H27+0.5,0)</f>
        <v>32.5</v>
      </c>
      <c r="K27" s="232">
        <f>IF('쪽쟘(실측)'!F27&gt;0,'쪽쟘(실측)'!F27+1.5,0)</f>
        <v>31.5</v>
      </c>
      <c r="L27" s="232">
        <f>IF('쪽쟘(실측)'!G27&gt;0,'쪽쟘(실측)'!G27+1.5,0)</f>
        <v>31.5</v>
      </c>
      <c r="M27" s="232">
        <f>IF('쪽쟘(실측)'!H27&gt;0,'쪽쟘(실측)'!H27+1.5,0)</f>
        <v>33.5</v>
      </c>
      <c r="N27" s="232">
        <f>IF('쪽쟘(실측)'!I27&gt;0,'쪽쟘(실측)'!I27+1.5,0)</f>
        <v>33.5</v>
      </c>
      <c r="O27" s="232" t="e">
        <f>'쪽쟘(실측)'!J27-기둥차감</f>
        <v>#NAME?</v>
      </c>
      <c r="P27" s="232" t="e">
        <f>'쪽쟘(실측)'!K27-기둥차감</f>
        <v>#NAME?</v>
      </c>
      <c r="Q27" s="232" t="e">
        <f>'쪽쟘(실측)'!L27-기둥차감</f>
        <v>#NAME?</v>
      </c>
      <c r="R27" s="232" t="e">
        <f>'쪽쟘(실측)'!M27-기둥차감</f>
        <v>#NAME?</v>
      </c>
      <c r="S27" s="232">
        <f>'쪽쟘(실측)'!N27+1.2</f>
        <v>33.200000000000003</v>
      </c>
      <c r="T27" s="232">
        <f>'쪽쟘(실측)'!O27+1.2</f>
        <v>33.200000000000003</v>
      </c>
      <c r="U27" s="232">
        <f>'쪽쟘(실측)'!P27</f>
        <v>25</v>
      </c>
      <c r="V27" s="232">
        <f>'쪽쟘(실측)'!Q27</f>
        <v>25</v>
      </c>
      <c r="W27" s="232" t="e">
        <f>'쪽쟘(실측)'!R27-늘치차감</f>
        <v>#NAME?</v>
      </c>
      <c r="X27" s="232" t="e">
        <f>'쪽쟘(실측)'!S27-늘치차감</f>
        <v>#NAME?</v>
      </c>
      <c r="Z27" s="228">
        <v>958</v>
      </c>
      <c r="AA27" s="228">
        <v>118.4</v>
      </c>
      <c r="AB27" s="228">
        <v>116.4</v>
      </c>
      <c r="AC27" s="228">
        <v>2095</v>
      </c>
      <c r="AD27" s="228">
        <v>118.4</v>
      </c>
      <c r="AE27" s="228">
        <v>2095</v>
      </c>
    </row>
    <row r="28" spans="1:31" s="228" customFormat="1" ht="18.75" customHeight="1" x14ac:dyDescent="0.3">
      <c r="A28" s="232" t="str">
        <f>'쪽쟘(실측)'!A28</f>
        <v>10-2</v>
      </c>
      <c r="B28" s="232" t="str">
        <f>'쪽쟘(실측)'!B28&amp;"F"</f>
        <v>19F</v>
      </c>
      <c r="C28" s="232" t="str">
        <f t="shared" si="0"/>
        <v>959*117.4</v>
      </c>
      <c r="D28" s="232" t="e">
        <f>'쪽쟘(실측)'!C28-OP차감</f>
        <v>#NAME?</v>
      </c>
      <c r="E28" s="232" t="e">
        <f>'쪽쟘(실측)'!D28+쪽쟘J늘림+MAX(W28:X28)</f>
        <v>#VALUE!</v>
      </c>
      <c r="F28" s="233" t="e">
        <f>'쪽쟘(실측)'!E28+쪽쟘J늘림+MAX(W28:X28)</f>
        <v>#VALUE!</v>
      </c>
      <c r="G28" s="234" t="str">
        <f t="shared" si="1"/>
        <v>2095*116.4</v>
      </c>
      <c r="H28" s="235" t="str">
        <f t="shared" si="2"/>
        <v>2095*119.4</v>
      </c>
      <c r="I28" s="107">
        <f>IF('쪽쟘(실측)'!F28&gt;0,'쪽쟘(실측)'!F28+0.5,0)</f>
        <v>30.5</v>
      </c>
      <c r="J28" s="232">
        <f>IF('쪽쟘(실측)'!H28&gt;0,'쪽쟘(실측)'!H28+0.5,0)</f>
        <v>33.5</v>
      </c>
      <c r="K28" s="232">
        <f>IF('쪽쟘(실측)'!F28&gt;0,'쪽쟘(실측)'!F28+1.5,0)</f>
        <v>31.5</v>
      </c>
      <c r="L28" s="232">
        <f>IF('쪽쟘(실측)'!G28&gt;0,'쪽쟘(실측)'!G28+1.5,0)</f>
        <v>31.5</v>
      </c>
      <c r="M28" s="232">
        <f>IF('쪽쟘(실측)'!H28&gt;0,'쪽쟘(실측)'!H28+1.5,0)</f>
        <v>34.5</v>
      </c>
      <c r="N28" s="232">
        <f>IF('쪽쟘(실측)'!I28&gt;0,'쪽쟘(실측)'!I28+1.5,0)</f>
        <v>34.5</v>
      </c>
      <c r="O28" s="232" t="e">
        <f>'쪽쟘(실측)'!J28-기둥차감</f>
        <v>#NAME?</v>
      </c>
      <c r="P28" s="232" t="e">
        <f>'쪽쟘(실측)'!K28-기둥차감</f>
        <v>#NAME?</v>
      </c>
      <c r="Q28" s="232" t="e">
        <f>'쪽쟘(실측)'!L28-기둥차감</f>
        <v>#NAME?</v>
      </c>
      <c r="R28" s="232" t="e">
        <f>'쪽쟘(실측)'!M28-기둥차감</f>
        <v>#NAME?</v>
      </c>
      <c r="S28" s="232">
        <f>'쪽쟘(실측)'!N28+1.2</f>
        <v>32.200000000000003</v>
      </c>
      <c r="T28" s="232">
        <f>'쪽쟘(실측)'!O28+1.2</f>
        <v>32.200000000000003</v>
      </c>
      <c r="U28" s="232">
        <f>'쪽쟘(실측)'!P28</f>
        <v>25</v>
      </c>
      <c r="V28" s="232">
        <f>'쪽쟘(실측)'!Q28</f>
        <v>25</v>
      </c>
      <c r="W28" s="232" t="e">
        <f>'쪽쟘(실측)'!R28-늘치차감</f>
        <v>#NAME?</v>
      </c>
      <c r="X28" s="232" t="e">
        <f>'쪽쟘(실측)'!S28-늘치차감</f>
        <v>#NAME?</v>
      </c>
      <c r="Z28" s="228">
        <v>959</v>
      </c>
      <c r="AA28" s="228">
        <v>117.4</v>
      </c>
      <c r="AB28" s="228">
        <v>116.4</v>
      </c>
      <c r="AC28" s="228">
        <v>2095</v>
      </c>
      <c r="AD28" s="228">
        <v>119.4</v>
      </c>
      <c r="AE28" s="228">
        <v>2095</v>
      </c>
    </row>
    <row r="29" spans="1:31" s="228" customFormat="1" ht="18.75" customHeight="1" x14ac:dyDescent="0.3">
      <c r="A29" s="232" t="str">
        <f>'쪽쟘(실측)'!A29</f>
        <v>10-2</v>
      </c>
      <c r="B29" s="232" t="str">
        <f>'쪽쟘(실측)'!B29&amp;"F"</f>
        <v>18F</v>
      </c>
      <c r="C29" s="232" t="str">
        <f t="shared" si="0"/>
        <v>954*116.4</v>
      </c>
      <c r="D29" s="232" t="e">
        <f>'쪽쟘(실측)'!C29-OP차감</f>
        <v>#NAME?</v>
      </c>
      <c r="E29" s="232" t="e">
        <f>'쪽쟘(실측)'!D29+쪽쟘J늘림+MAX(W29:X29)</f>
        <v>#VALUE!</v>
      </c>
      <c r="F29" s="233" t="e">
        <f>'쪽쟘(실측)'!E29+쪽쟘J늘림+MAX(W29:X29)</f>
        <v>#VALUE!</v>
      </c>
      <c r="G29" s="234" t="str">
        <f t="shared" si="1"/>
        <v>2095*116.4</v>
      </c>
      <c r="H29" s="235" t="str">
        <f t="shared" si="2"/>
        <v>2095*117.4</v>
      </c>
      <c r="I29" s="107">
        <f>IF('쪽쟘(실측)'!F29&gt;0,'쪽쟘(실측)'!F29+0.5,0)</f>
        <v>30.5</v>
      </c>
      <c r="J29" s="232">
        <f>IF('쪽쟘(실측)'!H29&gt;0,'쪽쟘(실측)'!H29+0.5,0)</f>
        <v>31.5</v>
      </c>
      <c r="K29" s="232">
        <f>IF('쪽쟘(실측)'!F29&gt;0,'쪽쟘(실측)'!F29+1.5,0)</f>
        <v>31.5</v>
      </c>
      <c r="L29" s="232">
        <f>IF('쪽쟘(실측)'!G29&gt;0,'쪽쟘(실측)'!G29+1.5,0)</f>
        <v>31.5</v>
      </c>
      <c r="M29" s="232">
        <f>IF('쪽쟘(실측)'!H29&gt;0,'쪽쟘(실측)'!H29+1.5,0)</f>
        <v>32.5</v>
      </c>
      <c r="N29" s="232">
        <f>IF('쪽쟘(실측)'!I29&gt;0,'쪽쟘(실측)'!I29+1.5,0)</f>
        <v>32.5</v>
      </c>
      <c r="O29" s="232" t="e">
        <f>'쪽쟘(실측)'!J29-기둥차감</f>
        <v>#NAME?</v>
      </c>
      <c r="P29" s="232" t="e">
        <f>'쪽쟘(실측)'!K29-기둥차감</f>
        <v>#NAME?</v>
      </c>
      <c r="Q29" s="232" t="e">
        <f>'쪽쟘(실측)'!L29-기둥차감</f>
        <v>#NAME?</v>
      </c>
      <c r="R29" s="232" t="e">
        <f>'쪽쟘(실측)'!M29-기둥차감</f>
        <v>#NAME?</v>
      </c>
      <c r="S29" s="232">
        <f>'쪽쟘(실측)'!N29+1.2</f>
        <v>31.2</v>
      </c>
      <c r="T29" s="232">
        <f>'쪽쟘(실측)'!O29+1.2</f>
        <v>31.2</v>
      </c>
      <c r="U29" s="232">
        <f>'쪽쟘(실측)'!P29</f>
        <v>25</v>
      </c>
      <c r="V29" s="232">
        <f>'쪽쟘(실측)'!Q29</f>
        <v>25</v>
      </c>
      <c r="W29" s="232" t="e">
        <f>'쪽쟘(실측)'!R29-늘치차감</f>
        <v>#NAME?</v>
      </c>
      <c r="X29" s="232" t="e">
        <f>'쪽쟘(실측)'!S29-늘치차감</f>
        <v>#NAME?</v>
      </c>
      <c r="Z29" s="228">
        <v>954</v>
      </c>
      <c r="AA29" s="228">
        <v>116.4</v>
      </c>
      <c r="AB29" s="228">
        <v>116.4</v>
      </c>
      <c r="AC29" s="228">
        <v>2095</v>
      </c>
      <c r="AD29" s="228">
        <v>117.4</v>
      </c>
      <c r="AE29" s="228">
        <v>2095</v>
      </c>
    </row>
    <row r="30" spans="1:31" s="228" customFormat="1" ht="18.75" customHeight="1" x14ac:dyDescent="0.3">
      <c r="A30" s="232" t="str">
        <f>'쪽쟘(실측)'!A30</f>
        <v>10-2</v>
      </c>
      <c r="B30" s="232" t="str">
        <f>'쪽쟘(실측)'!B30&amp;"F"</f>
        <v>17F</v>
      </c>
      <c r="C30" s="232" t="str">
        <f t="shared" si="0"/>
        <v>959*115.4</v>
      </c>
      <c r="D30" s="232" t="e">
        <f>'쪽쟘(실측)'!C30-OP차감</f>
        <v>#NAME?</v>
      </c>
      <c r="E30" s="232" t="e">
        <f>'쪽쟘(실측)'!D30+쪽쟘J늘림+MAX(W30:X30)</f>
        <v>#VALUE!</v>
      </c>
      <c r="F30" s="233" t="e">
        <f>'쪽쟘(실측)'!E30+쪽쟘J늘림+MAX(W30:X30)</f>
        <v>#VALUE!</v>
      </c>
      <c r="G30" s="234" t="str">
        <f t="shared" si="1"/>
        <v>2095*117.4</v>
      </c>
      <c r="H30" s="235" t="str">
        <f t="shared" si="2"/>
        <v>2095*118.4</v>
      </c>
      <c r="I30" s="107">
        <f>IF('쪽쟘(실측)'!F30&gt;0,'쪽쟘(실측)'!F30+0.5,0)</f>
        <v>31.5</v>
      </c>
      <c r="J30" s="232">
        <f>IF('쪽쟘(실측)'!H30&gt;0,'쪽쟘(실측)'!H30+0.5,0)</f>
        <v>32.5</v>
      </c>
      <c r="K30" s="232">
        <f>IF('쪽쟘(실측)'!F30&gt;0,'쪽쟘(실측)'!F30+1.5,0)</f>
        <v>32.5</v>
      </c>
      <c r="L30" s="232">
        <f>IF('쪽쟘(실측)'!G30&gt;0,'쪽쟘(실측)'!G30+1.5,0)</f>
        <v>32.5</v>
      </c>
      <c r="M30" s="232">
        <f>IF('쪽쟘(실측)'!H30&gt;0,'쪽쟘(실측)'!H30+1.5,0)</f>
        <v>33.5</v>
      </c>
      <c r="N30" s="232">
        <f>IF('쪽쟘(실측)'!I30&gt;0,'쪽쟘(실측)'!I30+1.5,0)</f>
        <v>33.5</v>
      </c>
      <c r="O30" s="232" t="e">
        <f>'쪽쟘(실측)'!J30-기둥차감</f>
        <v>#NAME?</v>
      </c>
      <c r="P30" s="232" t="e">
        <f>'쪽쟘(실측)'!K30-기둥차감</f>
        <v>#NAME?</v>
      </c>
      <c r="Q30" s="232" t="e">
        <f>'쪽쟘(실측)'!L30-기둥차감</f>
        <v>#NAME?</v>
      </c>
      <c r="R30" s="232" t="e">
        <f>'쪽쟘(실측)'!M30-기둥차감</f>
        <v>#NAME?</v>
      </c>
      <c r="S30" s="232">
        <f>'쪽쟘(실측)'!N30+1.2</f>
        <v>30.2</v>
      </c>
      <c r="T30" s="232">
        <f>'쪽쟘(실측)'!O30+1.2</f>
        <v>30.2</v>
      </c>
      <c r="U30" s="232">
        <f>'쪽쟘(실측)'!P30</f>
        <v>25</v>
      </c>
      <c r="V30" s="232">
        <f>'쪽쟘(실측)'!Q30</f>
        <v>25</v>
      </c>
      <c r="W30" s="232" t="e">
        <f>'쪽쟘(실측)'!R30-늘치차감</f>
        <v>#NAME?</v>
      </c>
      <c r="X30" s="232" t="e">
        <f>'쪽쟘(실측)'!S30-늘치차감</f>
        <v>#NAME?</v>
      </c>
      <c r="Z30" s="228">
        <v>959</v>
      </c>
      <c r="AA30" s="228">
        <v>115.4</v>
      </c>
      <c r="AB30" s="228">
        <v>117.4</v>
      </c>
      <c r="AC30" s="228">
        <v>2095</v>
      </c>
      <c r="AD30" s="228">
        <v>118.4</v>
      </c>
      <c r="AE30" s="228">
        <v>2095</v>
      </c>
    </row>
    <row r="31" spans="1:31" s="228" customFormat="1" ht="18.75" customHeight="1" x14ac:dyDescent="0.3">
      <c r="A31" s="232" t="str">
        <f>'쪽쟘(실측)'!A31</f>
        <v>10-2</v>
      </c>
      <c r="B31" s="232" t="str">
        <f>'쪽쟘(실측)'!B31&amp;"F"</f>
        <v>16F</v>
      </c>
      <c r="C31" s="232" t="str">
        <f t="shared" si="0"/>
        <v>958*116.4</v>
      </c>
      <c r="D31" s="232" t="e">
        <f>'쪽쟘(실측)'!C31-OP차감</f>
        <v>#NAME?</v>
      </c>
      <c r="E31" s="232" t="e">
        <f>'쪽쟘(실측)'!D31+쪽쟘J늘림+MAX(W31:X31)</f>
        <v>#VALUE!</v>
      </c>
      <c r="F31" s="233" t="e">
        <f>'쪽쟘(실측)'!E31+쪽쟘J늘림+MAX(W31:X31)</f>
        <v>#VALUE!</v>
      </c>
      <c r="G31" s="234" t="str">
        <f t="shared" si="1"/>
        <v>2095*117.4</v>
      </c>
      <c r="H31" s="235" t="str">
        <f t="shared" si="2"/>
        <v>2095*119.4</v>
      </c>
      <c r="I31" s="107">
        <f>IF('쪽쟘(실측)'!F31&gt;0,'쪽쟘(실측)'!F31+0.5,0)</f>
        <v>31.5</v>
      </c>
      <c r="J31" s="232">
        <f>IF('쪽쟘(실측)'!H31&gt;0,'쪽쟘(실측)'!H31+0.5,0)</f>
        <v>33.5</v>
      </c>
      <c r="K31" s="232">
        <f>IF('쪽쟘(실측)'!F31&gt;0,'쪽쟘(실측)'!F31+1.5,0)</f>
        <v>32.5</v>
      </c>
      <c r="L31" s="232">
        <f>IF('쪽쟘(실측)'!G31&gt;0,'쪽쟘(실측)'!G31+1.5,0)</f>
        <v>32.5</v>
      </c>
      <c r="M31" s="232">
        <f>IF('쪽쟘(실측)'!H31&gt;0,'쪽쟘(실측)'!H31+1.5,0)</f>
        <v>34.5</v>
      </c>
      <c r="N31" s="232">
        <f>IF('쪽쟘(실측)'!I31&gt;0,'쪽쟘(실측)'!I31+1.5,0)</f>
        <v>34.5</v>
      </c>
      <c r="O31" s="232" t="e">
        <f>'쪽쟘(실측)'!J31-기둥차감</f>
        <v>#NAME?</v>
      </c>
      <c r="P31" s="232" t="e">
        <f>'쪽쟘(실측)'!K31-기둥차감</f>
        <v>#NAME?</v>
      </c>
      <c r="Q31" s="232" t="e">
        <f>'쪽쟘(실측)'!L31-기둥차감</f>
        <v>#NAME?</v>
      </c>
      <c r="R31" s="232" t="e">
        <f>'쪽쟘(실측)'!M31-기둥차감</f>
        <v>#NAME?</v>
      </c>
      <c r="S31" s="232">
        <f>'쪽쟘(실측)'!N31+1.2</f>
        <v>31.2</v>
      </c>
      <c r="T31" s="232">
        <f>'쪽쟘(실측)'!O31+1.2</f>
        <v>31.2</v>
      </c>
      <c r="U31" s="232">
        <f>'쪽쟘(실측)'!P31</f>
        <v>25</v>
      </c>
      <c r="V31" s="232">
        <f>'쪽쟘(실측)'!Q31</f>
        <v>25</v>
      </c>
      <c r="W31" s="232" t="e">
        <f>'쪽쟘(실측)'!R31-늘치차감</f>
        <v>#NAME?</v>
      </c>
      <c r="X31" s="232" t="e">
        <f>'쪽쟘(실측)'!S31-늘치차감</f>
        <v>#NAME?</v>
      </c>
      <c r="Z31" s="228">
        <v>958</v>
      </c>
      <c r="AA31" s="228">
        <v>116.4</v>
      </c>
      <c r="AB31" s="228">
        <v>117.4</v>
      </c>
      <c r="AC31" s="228">
        <v>2095</v>
      </c>
      <c r="AD31" s="228">
        <v>119.4</v>
      </c>
      <c r="AE31" s="228">
        <v>2095</v>
      </c>
    </row>
    <row r="32" spans="1:31" s="228" customFormat="1" ht="18.75" customHeight="1" x14ac:dyDescent="0.3">
      <c r="A32" s="232" t="str">
        <f>'쪽쟘(실측)'!A32</f>
        <v>10-2</v>
      </c>
      <c r="B32" s="232" t="str">
        <f>'쪽쟘(실측)'!B32&amp;"F"</f>
        <v>15F</v>
      </c>
      <c r="C32" s="232" t="str">
        <f t="shared" si="0"/>
        <v>959*116.4</v>
      </c>
      <c r="D32" s="232" t="e">
        <f>'쪽쟘(실측)'!C32-OP차감</f>
        <v>#NAME?</v>
      </c>
      <c r="E32" s="232" t="e">
        <f>'쪽쟘(실측)'!D32+쪽쟘J늘림+MAX(W32:X32)</f>
        <v>#VALUE!</v>
      </c>
      <c r="F32" s="233" t="e">
        <f>'쪽쟘(실측)'!E32+쪽쟘J늘림+MAX(W32:X32)</f>
        <v>#VALUE!</v>
      </c>
      <c r="G32" s="234" t="str">
        <f t="shared" si="1"/>
        <v>2095*119.4</v>
      </c>
      <c r="H32" s="235"/>
      <c r="I32" s="107">
        <f>IF('쪽쟘(실측)'!F32&gt;0,'쪽쟘(실측)'!F32+0.5,0)</f>
        <v>33.5</v>
      </c>
      <c r="J32" s="232">
        <f>IF('쪽쟘(실측)'!H32&gt;0,'쪽쟘(실측)'!H32+0.5,0)</f>
        <v>31.5</v>
      </c>
      <c r="K32" s="232">
        <f>IF('쪽쟘(실측)'!F32&gt;0,'쪽쟘(실측)'!F32+1.5,0)</f>
        <v>34.5</v>
      </c>
      <c r="L32" s="232">
        <f>IF('쪽쟘(실측)'!G32&gt;0,'쪽쟘(실측)'!G32+1.5,0)</f>
        <v>34.5</v>
      </c>
      <c r="M32" s="232">
        <f>IF('쪽쟘(실측)'!H32&gt;0,'쪽쟘(실측)'!H32+1.5,0)</f>
        <v>32.5</v>
      </c>
      <c r="N32" s="232">
        <f>IF('쪽쟘(실측)'!I32&gt;0,'쪽쟘(실측)'!I32+1.5,0)</f>
        <v>36.5</v>
      </c>
      <c r="O32" s="232" t="e">
        <f>'쪽쟘(실측)'!J32-기둥차감</f>
        <v>#NAME?</v>
      </c>
      <c r="P32" s="232" t="e">
        <f>'쪽쟘(실측)'!K32-기둥차감</f>
        <v>#NAME?</v>
      </c>
      <c r="Q32" s="232" t="e">
        <f>'쪽쟘(실측)'!L32-기둥차감</f>
        <v>#NAME?</v>
      </c>
      <c r="R32" s="232" t="e">
        <f>'쪽쟘(실측)'!M32-기둥차감</f>
        <v>#NAME?</v>
      </c>
      <c r="S32" s="232">
        <f>'쪽쟘(실측)'!N32+1.2</f>
        <v>31.2</v>
      </c>
      <c r="T32" s="232">
        <f>'쪽쟘(실측)'!O32+1.2</f>
        <v>31.2</v>
      </c>
      <c r="U32" s="232">
        <f>'쪽쟘(실측)'!P32</f>
        <v>25</v>
      </c>
      <c r="V32" s="232">
        <f>'쪽쟘(실측)'!Q32</f>
        <v>25</v>
      </c>
      <c r="W32" s="232" t="e">
        <f>'쪽쟘(실측)'!R32-늘치차감</f>
        <v>#NAME?</v>
      </c>
      <c r="X32" s="232" t="e">
        <f>'쪽쟘(실측)'!S32-늘치차감</f>
        <v>#NAME?</v>
      </c>
      <c r="Z32" s="228">
        <v>959</v>
      </c>
      <c r="AA32" s="228">
        <v>116.4</v>
      </c>
      <c r="AB32" s="228">
        <v>119.4</v>
      </c>
      <c r="AC32" s="228">
        <v>2095</v>
      </c>
      <c r="AD32" s="228">
        <v>121.4</v>
      </c>
      <c r="AE32" s="228">
        <v>2095</v>
      </c>
    </row>
    <row r="33" spans="1:31" s="228" customFormat="1" ht="18.75" customHeight="1" x14ac:dyDescent="0.3">
      <c r="A33" s="232" t="str">
        <f>'쪽쟘(실측)'!A33</f>
        <v>10-2</v>
      </c>
      <c r="B33" s="232" t="str">
        <f>'쪽쟘(실측)'!B33&amp;"F"</f>
        <v>14F</v>
      </c>
      <c r="C33" s="232" t="str">
        <f t="shared" si="0"/>
        <v>959*117.4</v>
      </c>
      <c r="D33" s="232" t="e">
        <f>'쪽쟘(실측)'!C33-OP차감</f>
        <v>#NAME?</v>
      </c>
      <c r="E33" s="232" t="e">
        <f>'쪽쟘(실측)'!D33+쪽쟘J늘림+MAX(W33:X33)</f>
        <v>#VALUE!</v>
      </c>
      <c r="F33" s="233" t="e">
        <f>'쪽쟘(실측)'!E33+쪽쟘J늘림+MAX(W33:X33)</f>
        <v>#VALUE!</v>
      </c>
      <c r="G33" s="234" t="str">
        <f t="shared" si="1"/>
        <v>2095*117.4</v>
      </c>
      <c r="H33" s="235" t="str">
        <f t="shared" si="2"/>
        <v>2095*118.4</v>
      </c>
      <c r="I33" s="107">
        <f>IF('쪽쟘(실측)'!F33&gt;0,'쪽쟘(실측)'!F33+0.5,0)</f>
        <v>31.5</v>
      </c>
      <c r="J33" s="232">
        <f>IF('쪽쟘(실측)'!H33&gt;0,'쪽쟘(실측)'!H33+0.5,0)</f>
        <v>32.5</v>
      </c>
      <c r="K33" s="232">
        <f>IF('쪽쟘(실측)'!F33&gt;0,'쪽쟘(실측)'!F33+1.5,0)</f>
        <v>32.5</v>
      </c>
      <c r="L33" s="232">
        <f>IF('쪽쟘(실측)'!G33&gt;0,'쪽쟘(실측)'!G33+1.5,0)</f>
        <v>32.5</v>
      </c>
      <c r="M33" s="232">
        <f>IF('쪽쟘(실측)'!H33&gt;0,'쪽쟘(실측)'!H33+1.5,0)</f>
        <v>33.5</v>
      </c>
      <c r="N33" s="232">
        <f>IF('쪽쟘(실측)'!I33&gt;0,'쪽쟘(실측)'!I33+1.5,0)</f>
        <v>33.5</v>
      </c>
      <c r="O33" s="232" t="e">
        <f>'쪽쟘(실측)'!J33-기둥차감</f>
        <v>#NAME?</v>
      </c>
      <c r="P33" s="232" t="e">
        <f>'쪽쟘(실측)'!K33-기둥차감</f>
        <v>#NAME?</v>
      </c>
      <c r="Q33" s="232" t="e">
        <f>'쪽쟘(실측)'!L33-기둥차감</f>
        <v>#NAME?</v>
      </c>
      <c r="R33" s="232" t="e">
        <f>'쪽쟘(실측)'!M33-기둥차감</f>
        <v>#NAME?</v>
      </c>
      <c r="S33" s="232">
        <f>'쪽쟘(실측)'!N33+1.2</f>
        <v>32.200000000000003</v>
      </c>
      <c r="T33" s="232">
        <f>'쪽쟘(실측)'!O33+1.2</f>
        <v>32.200000000000003</v>
      </c>
      <c r="U33" s="232">
        <f>'쪽쟘(실측)'!P33</f>
        <v>25</v>
      </c>
      <c r="V33" s="232">
        <f>'쪽쟘(실측)'!Q33</f>
        <v>25</v>
      </c>
      <c r="W33" s="232" t="e">
        <f>'쪽쟘(실측)'!R33-늘치차감</f>
        <v>#NAME?</v>
      </c>
      <c r="X33" s="232" t="e">
        <f>'쪽쟘(실측)'!S33-늘치차감</f>
        <v>#NAME?</v>
      </c>
      <c r="Z33" s="228">
        <v>959</v>
      </c>
      <c r="AA33" s="228">
        <v>117.4</v>
      </c>
      <c r="AB33" s="228">
        <v>117.4</v>
      </c>
      <c r="AC33" s="228">
        <v>2095</v>
      </c>
      <c r="AD33" s="228">
        <v>118.4</v>
      </c>
      <c r="AE33" s="228">
        <v>2095</v>
      </c>
    </row>
    <row r="34" spans="1:31" s="228" customFormat="1" ht="18.75" customHeight="1" x14ac:dyDescent="0.3">
      <c r="A34" s="232" t="str">
        <f>'쪽쟘(실측)'!A34</f>
        <v>10-2</v>
      </c>
      <c r="B34" s="232" t="str">
        <f>'쪽쟘(실측)'!B34&amp;"F"</f>
        <v>13F</v>
      </c>
      <c r="C34" s="232" t="str">
        <f t="shared" si="0"/>
        <v>960*118.4</v>
      </c>
      <c r="D34" s="232" t="e">
        <f>'쪽쟘(실측)'!C34-OP차감</f>
        <v>#NAME?</v>
      </c>
      <c r="E34" s="232" t="e">
        <f>'쪽쟘(실측)'!D34+쪽쟘J늘림+MAX(W34:X34)</f>
        <v>#VALUE!</v>
      </c>
      <c r="F34" s="233" t="e">
        <f>'쪽쟘(실측)'!E34+쪽쟘J늘림+MAX(W34:X34)</f>
        <v>#VALUE!</v>
      </c>
      <c r="G34" s="234" t="str">
        <f t="shared" si="1"/>
        <v>2095*118.4</v>
      </c>
      <c r="H34" s="235" t="str">
        <f t="shared" si="2"/>
        <v>2095*118.4</v>
      </c>
      <c r="I34" s="107">
        <f>IF('쪽쟘(실측)'!F34&gt;0,'쪽쟘(실측)'!F34+0.5,0)</f>
        <v>32.5</v>
      </c>
      <c r="J34" s="232">
        <f>IF('쪽쟘(실측)'!H34&gt;0,'쪽쟘(실측)'!H34+0.5,0)</f>
        <v>32.5</v>
      </c>
      <c r="K34" s="232">
        <f>IF('쪽쟘(실측)'!F34&gt;0,'쪽쟘(실측)'!F34+1.5,0)</f>
        <v>33.5</v>
      </c>
      <c r="L34" s="232">
        <f>IF('쪽쟘(실측)'!G34&gt;0,'쪽쟘(실측)'!G34+1.5,0)</f>
        <v>33.5</v>
      </c>
      <c r="M34" s="232">
        <f>IF('쪽쟘(실측)'!H34&gt;0,'쪽쟘(실측)'!H34+1.5,0)</f>
        <v>33.5</v>
      </c>
      <c r="N34" s="232">
        <f>IF('쪽쟘(실측)'!I34&gt;0,'쪽쟘(실측)'!I34+1.5,0)</f>
        <v>33.5</v>
      </c>
      <c r="O34" s="232" t="e">
        <f>'쪽쟘(실측)'!J34-기둥차감</f>
        <v>#NAME?</v>
      </c>
      <c r="P34" s="232" t="e">
        <f>'쪽쟘(실측)'!K34-기둥차감</f>
        <v>#NAME?</v>
      </c>
      <c r="Q34" s="232" t="e">
        <f>'쪽쟘(실측)'!L34-기둥차감</f>
        <v>#NAME?</v>
      </c>
      <c r="R34" s="232" t="e">
        <f>'쪽쟘(실측)'!M34-기둥차감</f>
        <v>#NAME?</v>
      </c>
      <c r="S34" s="232">
        <f>'쪽쟘(실측)'!N34+1.2</f>
        <v>33.200000000000003</v>
      </c>
      <c r="T34" s="232">
        <f>'쪽쟘(실측)'!O34+1.2</f>
        <v>33.200000000000003</v>
      </c>
      <c r="U34" s="232">
        <f>'쪽쟘(실측)'!P34</f>
        <v>25</v>
      </c>
      <c r="V34" s="232">
        <f>'쪽쟘(실측)'!Q34</f>
        <v>25</v>
      </c>
      <c r="W34" s="232" t="e">
        <f>'쪽쟘(실측)'!R34-늘치차감</f>
        <v>#NAME?</v>
      </c>
      <c r="X34" s="232" t="e">
        <f>'쪽쟘(실측)'!S34-늘치차감</f>
        <v>#NAME?</v>
      </c>
      <c r="Z34" s="228">
        <v>960</v>
      </c>
      <c r="AA34" s="228">
        <v>118.4</v>
      </c>
      <c r="AB34" s="228">
        <v>118.4</v>
      </c>
      <c r="AC34" s="228">
        <v>2095</v>
      </c>
      <c r="AD34" s="228">
        <v>118.4</v>
      </c>
      <c r="AE34" s="228">
        <v>2095</v>
      </c>
    </row>
    <row r="35" spans="1:31" s="228" customFormat="1" ht="18.75" customHeight="1" x14ac:dyDescent="0.3">
      <c r="A35" s="232" t="str">
        <f>'쪽쟘(실측)'!A35</f>
        <v>10-2</v>
      </c>
      <c r="B35" s="232" t="str">
        <f>'쪽쟘(실측)'!B35&amp;"F"</f>
        <v>12F</v>
      </c>
      <c r="C35" s="232" t="str">
        <f t="shared" si="0"/>
        <v>959*117.4</v>
      </c>
      <c r="D35" s="232" t="e">
        <f>'쪽쟘(실측)'!C35-OP차감</f>
        <v>#NAME?</v>
      </c>
      <c r="E35" s="232" t="e">
        <f>'쪽쟘(실측)'!D35+쪽쟘J늘림+MAX(W35:X35)</f>
        <v>#VALUE!</v>
      </c>
      <c r="F35" s="233" t="e">
        <f>'쪽쟘(실측)'!E35+쪽쟘J늘림+MAX(W35:X35)</f>
        <v>#VALUE!</v>
      </c>
      <c r="G35" s="234" t="str">
        <f t="shared" si="1"/>
        <v>2095*117.4</v>
      </c>
      <c r="H35" s="235" t="str">
        <f t="shared" si="2"/>
        <v>2095*118.4</v>
      </c>
      <c r="I35" s="107">
        <f>IF('쪽쟘(실측)'!F35&gt;0,'쪽쟘(실측)'!F35+0.5,0)</f>
        <v>31.5</v>
      </c>
      <c r="J35" s="232">
        <f>IF('쪽쟘(실측)'!H35&gt;0,'쪽쟘(실측)'!H35+0.5,0)</f>
        <v>32.5</v>
      </c>
      <c r="K35" s="232">
        <f>IF('쪽쟘(실측)'!F35&gt;0,'쪽쟘(실측)'!F35+1.5,0)</f>
        <v>32.5</v>
      </c>
      <c r="L35" s="232">
        <f>IF('쪽쟘(실측)'!G35&gt;0,'쪽쟘(실측)'!G35+1.5,0)</f>
        <v>32.5</v>
      </c>
      <c r="M35" s="232">
        <f>IF('쪽쟘(실측)'!H35&gt;0,'쪽쟘(실측)'!H35+1.5,0)</f>
        <v>33.5</v>
      </c>
      <c r="N35" s="232">
        <f>IF('쪽쟘(실측)'!I35&gt;0,'쪽쟘(실측)'!I35+1.5,0)</f>
        <v>33.5</v>
      </c>
      <c r="O35" s="232" t="e">
        <f>'쪽쟘(실측)'!J35-기둥차감</f>
        <v>#NAME?</v>
      </c>
      <c r="P35" s="232" t="e">
        <f>'쪽쟘(실측)'!K35-기둥차감</f>
        <v>#NAME?</v>
      </c>
      <c r="Q35" s="232" t="e">
        <f>'쪽쟘(실측)'!L35-기둥차감</f>
        <v>#NAME?</v>
      </c>
      <c r="R35" s="232" t="e">
        <f>'쪽쟘(실측)'!M35-기둥차감</f>
        <v>#NAME?</v>
      </c>
      <c r="S35" s="232">
        <f>'쪽쟘(실측)'!N35+1.2</f>
        <v>32.200000000000003</v>
      </c>
      <c r="T35" s="232">
        <f>'쪽쟘(실측)'!O35+1.2</f>
        <v>32.200000000000003</v>
      </c>
      <c r="U35" s="232">
        <f>'쪽쟘(실측)'!P35</f>
        <v>25</v>
      </c>
      <c r="V35" s="232">
        <f>'쪽쟘(실측)'!Q35</f>
        <v>25</v>
      </c>
      <c r="W35" s="232" t="e">
        <f>'쪽쟘(실측)'!R35-늘치차감</f>
        <v>#NAME?</v>
      </c>
      <c r="X35" s="232" t="e">
        <f>'쪽쟘(실측)'!S35-늘치차감</f>
        <v>#NAME?</v>
      </c>
      <c r="Z35" s="228">
        <v>959</v>
      </c>
      <c r="AA35" s="228">
        <v>117.4</v>
      </c>
      <c r="AB35" s="228">
        <v>117.4</v>
      </c>
      <c r="AC35" s="228">
        <v>2095</v>
      </c>
      <c r="AD35" s="228">
        <v>118.4</v>
      </c>
      <c r="AE35" s="228">
        <v>2095</v>
      </c>
    </row>
    <row r="36" spans="1:31" s="228" customFormat="1" ht="18.75" customHeight="1" x14ac:dyDescent="0.3">
      <c r="A36" s="232" t="str">
        <f>'쪽쟘(실측)'!A36</f>
        <v>10-2</v>
      </c>
      <c r="B36" s="232" t="str">
        <f>'쪽쟘(실측)'!B36&amp;"F"</f>
        <v>11F</v>
      </c>
      <c r="C36" s="232" t="str">
        <f t="shared" si="0"/>
        <v>958*117.4</v>
      </c>
      <c r="D36" s="232" t="e">
        <f>'쪽쟘(실측)'!C36-OP차감</f>
        <v>#NAME?</v>
      </c>
      <c r="E36" s="232" t="e">
        <f>'쪽쟘(실측)'!D36+쪽쟘J늘림+MAX(W36:X36)</f>
        <v>#VALUE!</v>
      </c>
      <c r="F36" s="233" t="e">
        <f>'쪽쟘(실측)'!E36+쪽쟘J늘림+MAX(W36:X36)</f>
        <v>#VALUE!</v>
      </c>
      <c r="G36" s="234" t="str">
        <f t="shared" si="1"/>
        <v>2095*118.4</v>
      </c>
      <c r="H36" s="235" t="str">
        <f t="shared" si="2"/>
        <v>2095*116.4</v>
      </c>
      <c r="I36" s="107">
        <f>IF('쪽쟘(실측)'!F36&gt;0,'쪽쟘(실측)'!F36+0.5,0)</f>
        <v>32.5</v>
      </c>
      <c r="J36" s="232">
        <f>IF('쪽쟘(실측)'!H36&gt;0,'쪽쟘(실측)'!H36+0.5,0)</f>
        <v>30.5</v>
      </c>
      <c r="K36" s="232">
        <f>IF('쪽쟘(실측)'!F36&gt;0,'쪽쟘(실측)'!F36+1.5,0)</f>
        <v>33.5</v>
      </c>
      <c r="L36" s="232">
        <f>IF('쪽쟘(실측)'!G36&gt;0,'쪽쟘(실측)'!G36+1.5,0)</f>
        <v>33.5</v>
      </c>
      <c r="M36" s="232">
        <f>IF('쪽쟘(실측)'!H36&gt;0,'쪽쟘(실측)'!H36+1.5,0)</f>
        <v>31.5</v>
      </c>
      <c r="N36" s="232">
        <f>IF('쪽쟘(실측)'!I36&gt;0,'쪽쟘(실측)'!I36+1.5,0)</f>
        <v>31.5</v>
      </c>
      <c r="O36" s="232" t="e">
        <f>'쪽쟘(실측)'!J36-기둥차감</f>
        <v>#NAME?</v>
      </c>
      <c r="P36" s="232" t="e">
        <f>'쪽쟘(실측)'!K36-기둥차감</f>
        <v>#NAME?</v>
      </c>
      <c r="Q36" s="232" t="e">
        <f>'쪽쟘(실측)'!L36-기둥차감</f>
        <v>#NAME?</v>
      </c>
      <c r="R36" s="232" t="e">
        <f>'쪽쟘(실측)'!M36-기둥차감</f>
        <v>#NAME?</v>
      </c>
      <c r="S36" s="232">
        <f>'쪽쟘(실측)'!N36+1.2</f>
        <v>32.200000000000003</v>
      </c>
      <c r="T36" s="232">
        <f>'쪽쟘(실측)'!O36+1.2</f>
        <v>32.200000000000003</v>
      </c>
      <c r="U36" s="232">
        <f>'쪽쟘(실측)'!P36</f>
        <v>25</v>
      </c>
      <c r="V36" s="232">
        <f>'쪽쟘(실측)'!Q36</f>
        <v>25</v>
      </c>
      <c r="W36" s="232" t="e">
        <f>'쪽쟘(실측)'!R36-늘치차감</f>
        <v>#NAME?</v>
      </c>
      <c r="X36" s="232" t="e">
        <f>'쪽쟘(실측)'!S36-늘치차감</f>
        <v>#NAME?</v>
      </c>
      <c r="Z36" s="228">
        <v>958</v>
      </c>
      <c r="AA36" s="228">
        <v>117.4</v>
      </c>
      <c r="AB36" s="228">
        <v>118.4</v>
      </c>
      <c r="AC36" s="228">
        <v>2095</v>
      </c>
      <c r="AD36" s="228">
        <v>116.4</v>
      </c>
      <c r="AE36" s="228">
        <v>2095</v>
      </c>
    </row>
    <row r="37" spans="1:31" s="228" customFormat="1" ht="18.75" customHeight="1" x14ac:dyDescent="0.3">
      <c r="A37" s="232" t="str">
        <f>'쪽쟘(실측)'!A37</f>
        <v>10-2</v>
      </c>
      <c r="B37" s="232" t="str">
        <f>'쪽쟘(실측)'!B37&amp;"F"</f>
        <v>10F</v>
      </c>
      <c r="C37" s="232" t="str">
        <f t="shared" si="0"/>
        <v>958*118.4</v>
      </c>
      <c r="D37" s="232" t="e">
        <f>'쪽쟘(실측)'!C37-OP차감</f>
        <v>#NAME?</v>
      </c>
      <c r="E37" s="232" t="e">
        <f>'쪽쟘(실측)'!D37+쪽쟘J늘림+MAX(W37:X37)</f>
        <v>#VALUE!</v>
      </c>
      <c r="F37" s="233" t="e">
        <f>'쪽쟘(실측)'!E37+쪽쟘J늘림+MAX(W37:X37)</f>
        <v>#VALUE!</v>
      </c>
      <c r="G37" s="234" t="str">
        <f t="shared" si="1"/>
        <v>2095*118.4</v>
      </c>
      <c r="H37" s="235" t="str">
        <f t="shared" si="2"/>
        <v>2095*116.4</v>
      </c>
      <c r="I37" s="107">
        <f>IF('쪽쟘(실측)'!F37&gt;0,'쪽쟘(실측)'!F37+0.5,0)</f>
        <v>32.5</v>
      </c>
      <c r="J37" s="232">
        <f>IF('쪽쟘(실측)'!H37&gt;0,'쪽쟘(실측)'!H37+0.5,0)</f>
        <v>30.5</v>
      </c>
      <c r="K37" s="232">
        <f>IF('쪽쟘(실측)'!F37&gt;0,'쪽쟘(실측)'!F37+1.5,0)</f>
        <v>33.5</v>
      </c>
      <c r="L37" s="232">
        <f>IF('쪽쟘(실측)'!G37&gt;0,'쪽쟘(실측)'!G37+1.5,0)</f>
        <v>33.5</v>
      </c>
      <c r="M37" s="232">
        <f>IF('쪽쟘(실측)'!H37&gt;0,'쪽쟘(실측)'!H37+1.5,0)</f>
        <v>31.5</v>
      </c>
      <c r="N37" s="232">
        <f>IF('쪽쟘(실측)'!I37&gt;0,'쪽쟘(실측)'!I37+1.5,0)</f>
        <v>31.5</v>
      </c>
      <c r="O37" s="232" t="e">
        <f>'쪽쟘(실측)'!J37-기둥차감</f>
        <v>#NAME?</v>
      </c>
      <c r="P37" s="232" t="e">
        <f>'쪽쟘(실측)'!K37-기둥차감</f>
        <v>#NAME?</v>
      </c>
      <c r="Q37" s="232" t="e">
        <f>'쪽쟘(실측)'!L37-기둥차감</f>
        <v>#NAME?</v>
      </c>
      <c r="R37" s="232" t="e">
        <f>'쪽쟘(실측)'!M37-기둥차감</f>
        <v>#NAME?</v>
      </c>
      <c r="S37" s="232">
        <f>'쪽쟘(실측)'!N37+1.2</f>
        <v>33.200000000000003</v>
      </c>
      <c r="T37" s="232">
        <f>'쪽쟘(실측)'!O37+1.2</f>
        <v>33.200000000000003</v>
      </c>
      <c r="U37" s="232">
        <f>'쪽쟘(실측)'!P37</f>
        <v>25</v>
      </c>
      <c r="V37" s="232">
        <f>'쪽쟘(실측)'!Q37</f>
        <v>25</v>
      </c>
      <c r="W37" s="232" t="e">
        <f>'쪽쟘(실측)'!R37-늘치차감</f>
        <v>#NAME?</v>
      </c>
      <c r="X37" s="232" t="e">
        <f>'쪽쟘(실측)'!S37-늘치차감</f>
        <v>#NAME?</v>
      </c>
      <c r="Z37" s="228">
        <v>958</v>
      </c>
      <c r="AA37" s="228">
        <v>118.4</v>
      </c>
      <c r="AB37" s="228">
        <v>118.4</v>
      </c>
      <c r="AC37" s="228">
        <v>2095</v>
      </c>
      <c r="AD37" s="228">
        <v>116.4</v>
      </c>
      <c r="AE37" s="228">
        <v>2095</v>
      </c>
    </row>
    <row r="38" spans="1:31" s="228" customFormat="1" ht="18.75" customHeight="1" x14ac:dyDescent="0.3">
      <c r="A38" s="232" t="str">
        <f>'쪽쟘(실측)'!A38</f>
        <v>10-2</v>
      </c>
      <c r="B38" s="232" t="str">
        <f>'쪽쟘(실측)'!B38&amp;"F"</f>
        <v>9F</v>
      </c>
      <c r="C38" s="232" t="str">
        <f t="shared" si="0"/>
        <v>959*115.4</v>
      </c>
      <c r="D38" s="232" t="e">
        <f>'쪽쟘(실측)'!C38-OP차감</f>
        <v>#NAME?</v>
      </c>
      <c r="E38" s="232" t="e">
        <f>'쪽쟘(실측)'!D38+쪽쟘J늘림+MAX(W38:X38)</f>
        <v>#VALUE!</v>
      </c>
      <c r="F38" s="233" t="e">
        <f>'쪽쟘(실측)'!E38+쪽쟘J늘림+MAX(W38:X38)</f>
        <v>#VALUE!</v>
      </c>
      <c r="G38" s="234" t="str">
        <f t="shared" si="1"/>
        <v>2095*118.4</v>
      </c>
      <c r="H38" s="235" t="str">
        <f t="shared" si="2"/>
        <v>2095*117.4</v>
      </c>
      <c r="I38" s="107">
        <f>IF('쪽쟘(실측)'!F38&gt;0,'쪽쟘(실측)'!F38+0.5,0)</f>
        <v>32.5</v>
      </c>
      <c r="J38" s="232">
        <f>IF('쪽쟘(실측)'!H38&gt;0,'쪽쟘(실측)'!H38+0.5,0)</f>
        <v>31.5</v>
      </c>
      <c r="K38" s="232">
        <f>IF('쪽쟘(실측)'!F38&gt;0,'쪽쟘(실측)'!F38+1.5,0)</f>
        <v>33.5</v>
      </c>
      <c r="L38" s="232">
        <f>IF('쪽쟘(실측)'!G38&gt;0,'쪽쟘(실측)'!G38+1.5,0)</f>
        <v>33.5</v>
      </c>
      <c r="M38" s="232">
        <f>IF('쪽쟘(실측)'!H38&gt;0,'쪽쟘(실측)'!H38+1.5,0)</f>
        <v>32.5</v>
      </c>
      <c r="N38" s="232">
        <f>IF('쪽쟘(실측)'!I38&gt;0,'쪽쟘(실측)'!I38+1.5,0)</f>
        <v>32.5</v>
      </c>
      <c r="O38" s="232" t="e">
        <f>'쪽쟘(실측)'!J38-기둥차감</f>
        <v>#NAME?</v>
      </c>
      <c r="P38" s="232" t="e">
        <f>'쪽쟘(실측)'!K38-기둥차감</f>
        <v>#NAME?</v>
      </c>
      <c r="Q38" s="232" t="e">
        <f>'쪽쟘(실측)'!L38-기둥차감</f>
        <v>#NAME?</v>
      </c>
      <c r="R38" s="232" t="e">
        <f>'쪽쟘(실측)'!M38-기둥차감</f>
        <v>#NAME?</v>
      </c>
      <c r="S38" s="232">
        <f>'쪽쟘(실측)'!N38+1.2</f>
        <v>30.2</v>
      </c>
      <c r="T38" s="232">
        <f>'쪽쟘(실측)'!O38+1.2</f>
        <v>30.2</v>
      </c>
      <c r="U38" s="232">
        <f>'쪽쟘(실측)'!P38</f>
        <v>25</v>
      </c>
      <c r="V38" s="232">
        <f>'쪽쟘(실측)'!Q38</f>
        <v>25</v>
      </c>
      <c r="W38" s="232" t="e">
        <f>'쪽쟘(실측)'!R38-늘치차감</f>
        <v>#NAME?</v>
      </c>
      <c r="X38" s="232" t="e">
        <f>'쪽쟘(실측)'!S38-늘치차감</f>
        <v>#NAME?</v>
      </c>
      <c r="Z38" s="228">
        <v>959</v>
      </c>
      <c r="AA38" s="228">
        <v>115.4</v>
      </c>
      <c r="AB38" s="228">
        <v>118.4</v>
      </c>
      <c r="AC38" s="228">
        <v>2095</v>
      </c>
      <c r="AD38" s="228">
        <v>117.4</v>
      </c>
      <c r="AE38" s="228">
        <v>2095</v>
      </c>
    </row>
    <row r="39" spans="1:31" s="228" customFormat="1" ht="18.75" customHeight="1" x14ac:dyDescent="0.3">
      <c r="A39" s="232" t="str">
        <f>'쪽쟘(실측)'!A39</f>
        <v>10-2</v>
      </c>
      <c r="B39" s="232" t="str">
        <f>'쪽쟘(실측)'!B39&amp;"F"</f>
        <v>8F</v>
      </c>
      <c r="C39" s="232" t="str">
        <f t="shared" si="0"/>
        <v>957*115.4</v>
      </c>
      <c r="D39" s="232" t="e">
        <f>'쪽쟘(실측)'!C39-OP차감</f>
        <v>#NAME?</v>
      </c>
      <c r="E39" s="232" t="e">
        <f>'쪽쟘(실측)'!D39+쪽쟘J늘림+MAX(W39:X39)</f>
        <v>#VALUE!</v>
      </c>
      <c r="F39" s="233" t="e">
        <f>'쪽쟘(실측)'!E39+쪽쟘J늘림+MAX(W39:X39)</f>
        <v>#VALUE!</v>
      </c>
      <c r="G39" s="234" t="str">
        <f t="shared" si="1"/>
        <v>2095*117.4</v>
      </c>
      <c r="H39" s="235"/>
      <c r="I39" s="107">
        <f>IF('쪽쟘(실측)'!F39&gt;0,'쪽쟘(실측)'!F39+0.5,0)</f>
        <v>31.5</v>
      </c>
      <c r="J39" s="232">
        <f>IF('쪽쟘(실측)'!H39&gt;0,'쪽쟘(실측)'!H39+0.5,0)</f>
        <v>31.5</v>
      </c>
      <c r="K39" s="232">
        <f>IF('쪽쟘(실측)'!F39&gt;0,'쪽쟘(실측)'!F39+1.5,0)</f>
        <v>32.5</v>
      </c>
      <c r="L39" s="232">
        <f>IF('쪽쟘(실측)'!G39&gt;0,'쪽쟘(실측)'!G39+1.5,0)</f>
        <v>32.5</v>
      </c>
      <c r="M39" s="232">
        <f>IF('쪽쟘(실측)'!H39&gt;0,'쪽쟘(실측)'!H39+1.5,0)</f>
        <v>32.5</v>
      </c>
      <c r="N39" s="232">
        <f>IF('쪽쟘(실측)'!I39&gt;0,'쪽쟘(실측)'!I39+1.5,0)</f>
        <v>28.5</v>
      </c>
      <c r="O39" s="232" t="e">
        <f>'쪽쟘(실측)'!J39-기둥차감</f>
        <v>#NAME?</v>
      </c>
      <c r="P39" s="232" t="e">
        <f>'쪽쟘(실측)'!K39-기둥차감</f>
        <v>#NAME?</v>
      </c>
      <c r="Q39" s="232" t="e">
        <f>'쪽쟘(실측)'!L39-기둥차감</f>
        <v>#NAME?</v>
      </c>
      <c r="R39" s="232" t="e">
        <f>'쪽쟘(실측)'!M39-기둥차감</f>
        <v>#NAME?</v>
      </c>
      <c r="S39" s="232">
        <f>'쪽쟘(실측)'!N39+1.2</f>
        <v>30.2</v>
      </c>
      <c r="T39" s="232">
        <f>'쪽쟘(실측)'!O39+1.2</f>
        <v>30.2</v>
      </c>
      <c r="U39" s="232">
        <f>'쪽쟘(실측)'!P39</f>
        <v>25</v>
      </c>
      <c r="V39" s="232">
        <f>'쪽쟘(실측)'!Q39</f>
        <v>25</v>
      </c>
      <c r="W39" s="232" t="e">
        <f>'쪽쟘(실측)'!R39-늘치차감</f>
        <v>#NAME?</v>
      </c>
      <c r="X39" s="232" t="e">
        <f>'쪽쟘(실측)'!S39-늘치차감</f>
        <v>#NAME?</v>
      </c>
      <c r="Z39" s="228">
        <v>957</v>
      </c>
      <c r="AA39" s="228">
        <v>115.4</v>
      </c>
      <c r="AB39" s="228">
        <v>117.4</v>
      </c>
      <c r="AC39" s="228">
        <v>2095</v>
      </c>
      <c r="AD39" s="228">
        <v>117.4</v>
      </c>
      <c r="AE39" s="228">
        <v>2095</v>
      </c>
    </row>
    <row r="40" spans="1:31" s="228" customFormat="1" ht="18.75" customHeight="1" x14ac:dyDescent="0.3">
      <c r="A40" s="232" t="str">
        <f>'쪽쟘(실측)'!A40</f>
        <v>10-2</v>
      </c>
      <c r="B40" s="232" t="str">
        <f>'쪽쟘(실측)'!B40&amp;"F"</f>
        <v>7F</v>
      </c>
      <c r="C40" s="232" t="str">
        <f t="shared" si="0"/>
        <v>960*113.4</v>
      </c>
      <c r="D40" s="232" t="e">
        <f>'쪽쟘(실측)'!C40-OP차감</f>
        <v>#NAME?</v>
      </c>
      <c r="E40" s="232" t="e">
        <f>'쪽쟘(실측)'!D40+쪽쟘J늘림+MAX(W40:X40)</f>
        <v>#VALUE!</v>
      </c>
      <c r="F40" s="233" t="e">
        <f>'쪽쟘(실측)'!E40+쪽쟘J늘림+MAX(W40:X40)</f>
        <v>#VALUE!</v>
      </c>
      <c r="G40" s="234" t="str">
        <f t="shared" si="1"/>
        <v>2095*119.4</v>
      </c>
      <c r="H40" s="235" t="str">
        <f t="shared" si="2"/>
        <v>2095*117.4</v>
      </c>
      <c r="I40" s="107">
        <f>IF('쪽쟘(실측)'!F40&gt;0,'쪽쟘(실측)'!F40+0.5,0)</f>
        <v>33.5</v>
      </c>
      <c r="J40" s="232">
        <f>IF('쪽쟘(실측)'!H40&gt;0,'쪽쟘(실측)'!H40+0.5,0)</f>
        <v>31.5</v>
      </c>
      <c r="K40" s="232">
        <f>IF('쪽쟘(실측)'!F40&gt;0,'쪽쟘(실측)'!F40+1.5,0)</f>
        <v>34.5</v>
      </c>
      <c r="L40" s="232">
        <f>IF('쪽쟘(실측)'!G40&gt;0,'쪽쟘(실측)'!G40+1.5,0)</f>
        <v>34.5</v>
      </c>
      <c r="M40" s="232">
        <f>IF('쪽쟘(실측)'!H40&gt;0,'쪽쟘(실측)'!H40+1.5,0)</f>
        <v>32.5</v>
      </c>
      <c r="N40" s="232">
        <f>IF('쪽쟘(실측)'!I40&gt;0,'쪽쟘(실측)'!I40+1.5,0)</f>
        <v>32.5</v>
      </c>
      <c r="O40" s="232" t="e">
        <f>'쪽쟘(실측)'!J40-기둥차감</f>
        <v>#NAME?</v>
      </c>
      <c r="P40" s="232" t="e">
        <f>'쪽쟘(실측)'!K40-기둥차감</f>
        <v>#NAME?</v>
      </c>
      <c r="Q40" s="232" t="e">
        <f>'쪽쟘(실측)'!L40-기둥차감</f>
        <v>#NAME?</v>
      </c>
      <c r="R40" s="232" t="e">
        <f>'쪽쟘(실측)'!M40-기둥차감</f>
        <v>#NAME?</v>
      </c>
      <c r="S40" s="232">
        <f>'쪽쟘(실측)'!N40+1.2</f>
        <v>28.2</v>
      </c>
      <c r="T40" s="232">
        <f>'쪽쟘(실측)'!O40+1.2</f>
        <v>28.2</v>
      </c>
      <c r="U40" s="232">
        <f>'쪽쟘(실측)'!P40</f>
        <v>25</v>
      </c>
      <c r="V40" s="232">
        <f>'쪽쟘(실측)'!Q40</f>
        <v>25</v>
      </c>
      <c r="W40" s="232" t="e">
        <f>'쪽쟘(실측)'!R40-늘치차감</f>
        <v>#NAME?</v>
      </c>
      <c r="X40" s="232" t="e">
        <f>'쪽쟘(실측)'!S40-늘치차감</f>
        <v>#NAME?</v>
      </c>
      <c r="Z40" s="228">
        <v>960</v>
      </c>
      <c r="AA40" s="228">
        <v>113.4</v>
      </c>
      <c r="AB40" s="228">
        <v>119.4</v>
      </c>
      <c r="AC40" s="228">
        <v>2095</v>
      </c>
      <c r="AD40" s="228">
        <v>117.4</v>
      </c>
      <c r="AE40" s="228">
        <v>2095</v>
      </c>
    </row>
    <row r="41" spans="1:31" s="228" customFormat="1" ht="18.75" customHeight="1" x14ac:dyDescent="0.3">
      <c r="A41" s="232" t="str">
        <f>'쪽쟘(실측)'!A41</f>
        <v>10-2</v>
      </c>
      <c r="B41" s="232" t="str">
        <f>'쪽쟘(실측)'!B41&amp;"F"</f>
        <v>6F</v>
      </c>
      <c r="C41" s="232" t="str">
        <f t="shared" si="0"/>
        <v>961*115.4</v>
      </c>
      <c r="D41" s="232" t="e">
        <f>'쪽쟘(실측)'!C41-OP차감</f>
        <v>#NAME?</v>
      </c>
      <c r="E41" s="232" t="e">
        <f>'쪽쟘(실측)'!D41+쪽쟘J늘림+MAX(W41:X41)</f>
        <v>#VALUE!</v>
      </c>
      <c r="F41" s="233" t="e">
        <f>'쪽쟘(실측)'!E41+쪽쟘J늘림+MAX(W41:X41)</f>
        <v>#VALUE!</v>
      </c>
      <c r="G41" s="234" t="str">
        <f t="shared" si="1"/>
        <v>2095*119.4</v>
      </c>
      <c r="H41" s="235" t="str">
        <f t="shared" si="2"/>
        <v>2095*117.4</v>
      </c>
      <c r="I41" s="107">
        <f>IF('쪽쟘(실측)'!F41&gt;0,'쪽쟘(실측)'!F41+0.5,0)</f>
        <v>33.5</v>
      </c>
      <c r="J41" s="232">
        <f>IF('쪽쟘(실측)'!H41&gt;0,'쪽쟘(실측)'!H41+0.5,0)</f>
        <v>31.5</v>
      </c>
      <c r="K41" s="232">
        <f>IF('쪽쟘(실측)'!F41&gt;0,'쪽쟘(실측)'!F41+1.5,0)</f>
        <v>34.5</v>
      </c>
      <c r="L41" s="232">
        <f>IF('쪽쟘(실측)'!G41&gt;0,'쪽쟘(실측)'!G41+1.5,0)</f>
        <v>34.5</v>
      </c>
      <c r="M41" s="232">
        <f>IF('쪽쟘(실측)'!H41&gt;0,'쪽쟘(실측)'!H41+1.5,0)</f>
        <v>32.5</v>
      </c>
      <c r="N41" s="232">
        <f>IF('쪽쟘(실측)'!I41&gt;0,'쪽쟘(실측)'!I41+1.5,0)</f>
        <v>32.5</v>
      </c>
      <c r="O41" s="232" t="e">
        <f>'쪽쟘(실측)'!J41-기둥차감</f>
        <v>#NAME?</v>
      </c>
      <c r="P41" s="232" t="e">
        <f>'쪽쟘(실측)'!K41-기둥차감</f>
        <v>#NAME?</v>
      </c>
      <c r="Q41" s="232" t="e">
        <f>'쪽쟘(실측)'!L41-기둥차감</f>
        <v>#NAME?</v>
      </c>
      <c r="R41" s="232" t="e">
        <f>'쪽쟘(실측)'!M41-기둥차감</f>
        <v>#NAME?</v>
      </c>
      <c r="S41" s="232">
        <f>'쪽쟘(실측)'!N41+1.2</f>
        <v>30.2</v>
      </c>
      <c r="T41" s="232">
        <f>'쪽쟘(실측)'!O41+1.2</f>
        <v>30.2</v>
      </c>
      <c r="U41" s="232">
        <f>'쪽쟘(실측)'!P41</f>
        <v>25</v>
      </c>
      <c r="V41" s="232">
        <f>'쪽쟘(실측)'!Q41</f>
        <v>25</v>
      </c>
      <c r="W41" s="232" t="e">
        <f>'쪽쟘(실측)'!R41-늘치차감</f>
        <v>#NAME?</v>
      </c>
      <c r="X41" s="232" t="e">
        <f>'쪽쟘(실측)'!S41-늘치차감</f>
        <v>#NAME?</v>
      </c>
      <c r="Z41" s="228">
        <v>961</v>
      </c>
      <c r="AA41" s="228">
        <v>115.4</v>
      </c>
      <c r="AB41" s="228">
        <v>119.4</v>
      </c>
      <c r="AC41" s="228">
        <v>2095</v>
      </c>
      <c r="AD41" s="228">
        <v>117.4</v>
      </c>
      <c r="AE41" s="228">
        <v>2095</v>
      </c>
    </row>
    <row r="42" spans="1:31" s="228" customFormat="1" ht="18.75" customHeight="1" x14ac:dyDescent="0.3">
      <c r="A42" s="232" t="str">
        <f>'쪽쟘(실측)'!A42</f>
        <v>10-2</v>
      </c>
      <c r="B42" s="232" t="str">
        <f>'쪽쟘(실측)'!B42&amp;"F"</f>
        <v>5F</v>
      </c>
      <c r="C42" s="232" t="str">
        <f t="shared" si="0"/>
        <v>960*112.4</v>
      </c>
      <c r="D42" s="232" t="e">
        <f>'쪽쟘(실측)'!C42-OP차감</f>
        <v>#NAME?</v>
      </c>
      <c r="E42" s="232" t="e">
        <f>'쪽쟘(실측)'!D42+쪽쟘J늘림+MAX(W42:X42)</f>
        <v>#VALUE!</v>
      </c>
      <c r="F42" s="233" t="e">
        <f>'쪽쟘(실측)'!E42+쪽쟘J늘림+MAX(W42:X42)</f>
        <v>#VALUE!</v>
      </c>
      <c r="G42" s="234" t="str">
        <f t="shared" si="1"/>
        <v>2095*116.4</v>
      </c>
      <c r="H42" s="235"/>
      <c r="I42" s="107">
        <f>IF('쪽쟘(실측)'!F42&gt;0,'쪽쟘(실측)'!F42+0.5,0)</f>
        <v>30.5</v>
      </c>
      <c r="J42" s="232">
        <f>IF('쪽쟘(실측)'!H42&gt;0,'쪽쟘(실측)'!H42+0.5,0)</f>
        <v>35.5</v>
      </c>
      <c r="K42" s="232">
        <f>IF('쪽쟘(실측)'!F42&gt;0,'쪽쟘(실측)'!F42+1.5,0)</f>
        <v>31.5</v>
      </c>
      <c r="L42" s="232">
        <f>IF('쪽쟘(실측)'!G42&gt;0,'쪽쟘(실측)'!G42+1.5,0)</f>
        <v>31.5</v>
      </c>
      <c r="M42" s="232">
        <f>IF('쪽쟘(실측)'!H42&gt;0,'쪽쟘(실측)'!H42+1.5,0)</f>
        <v>36.5</v>
      </c>
      <c r="N42" s="232">
        <f>IF('쪽쟘(실측)'!I42&gt;0,'쪽쟘(실측)'!I42+1.5,0)</f>
        <v>32.5</v>
      </c>
      <c r="O42" s="232" t="e">
        <f>'쪽쟘(실측)'!J42-기둥차감</f>
        <v>#NAME?</v>
      </c>
      <c r="P42" s="232" t="e">
        <f>'쪽쟘(실측)'!K42-기둥차감</f>
        <v>#NAME?</v>
      </c>
      <c r="Q42" s="232" t="e">
        <f>'쪽쟘(실측)'!L42-기둥차감</f>
        <v>#NAME?</v>
      </c>
      <c r="R42" s="232" t="e">
        <f>'쪽쟘(실측)'!M42-기둥차감</f>
        <v>#NAME?</v>
      </c>
      <c r="S42" s="232">
        <f>'쪽쟘(실측)'!N42+1.2</f>
        <v>27.2</v>
      </c>
      <c r="T42" s="232">
        <f>'쪽쟘(실측)'!O42+1.2</f>
        <v>27.2</v>
      </c>
      <c r="U42" s="232">
        <f>'쪽쟘(실측)'!P42</f>
        <v>25</v>
      </c>
      <c r="V42" s="232">
        <f>'쪽쟘(실측)'!Q42</f>
        <v>25</v>
      </c>
      <c r="W42" s="232" t="e">
        <f>'쪽쟘(실측)'!R42-늘치차감</f>
        <v>#NAME?</v>
      </c>
      <c r="X42" s="232" t="e">
        <f>'쪽쟘(실측)'!S42-늘치차감</f>
        <v>#NAME?</v>
      </c>
      <c r="Z42" s="228">
        <v>960</v>
      </c>
      <c r="AA42" s="228">
        <v>112.4</v>
      </c>
      <c r="AB42" s="228">
        <v>116.4</v>
      </c>
      <c r="AC42" s="228">
        <v>2095</v>
      </c>
      <c r="AD42" s="228">
        <v>121.4</v>
      </c>
      <c r="AE42" s="228">
        <v>2095</v>
      </c>
    </row>
    <row r="43" spans="1:31" s="228" customFormat="1" ht="18.75" customHeight="1" x14ac:dyDescent="0.3">
      <c r="A43" s="232" t="str">
        <f>'쪽쟘(실측)'!A43</f>
        <v>10-2</v>
      </c>
      <c r="B43" s="232" t="str">
        <f>'쪽쟘(실측)'!B43&amp;"F"</f>
        <v>4F</v>
      </c>
      <c r="C43" s="232" t="str">
        <f t="shared" si="0"/>
        <v>958*114.4</v>
      </c>
      <c r="D43" s="232" t="e">
        <f>'쪽쟘(실측)'!C43-OP차감</f>
        <v>#NAME?</v>
      </c>
      <c r="E43" s="232" t="e">
        <f>'쪽쟘(실측)'!D43+쪽쟘J늘림+MAX(W43:X43)</f>
        <v>#VALUE!</v>
      </c>
      <c r="F43" s="233" t="e">
        <f>'쪽쟘(실측)'!E43+쪽쟘J늘림+MAX(W43:X43)</f>
        <v>#VALUE!</v>
      </c>
      <c r="G43" s="234" t="str">
        <f t="shared" si="1"/>
        <v>2095*115.4</v>
      </c>
      <c r="H43" s="235" t="str">
        <f t="shared" si="2"/>
        <v>2095*119.4</v>
      </c>
      <c r="I43" s="107">
        <f>IF('쪽쟘(실측)'!F43&gt;0,'쪽쟘(실측)'!F43+0.5,0)</f>
        <v>29.5</v>
      </c>
      <c r="J43" s="232">
        <f>IF('쪽쟘(실측)'!H43&gt;0,'쪽쟘(실측)'!H43+0.5,0)</f>
        <v>33.5</v>
      </c>
      <c r="K43" s="232">
        <f>IF('쪽쟘(실측)'!F43&gt;0,'쪽쟘(실측)'!F43+1.5,0)</f>
        <v>30.5</v>
      </c>
      <c r="L43" s="232">
        <f>IF('쪽쟘(실측)'!G43&gt;0,'쪽쟘(실측)'!G43+1.5,0)</f>
        <v>30.5</v>
      </c>
      <c r="M43" s="232">
        <f>IF('쪽쟘(실측)'!H43&gt;0,'쪽쟘(실측)'!H43+1.5,0)</f>
        <v>34.5</v>
      </c>
      <c r="N43" s="232">
        <f>IF('쪽쟘(실측)'!I43&gt;0,'쪽쟘(실측)'!I43+1.5,0)</f>
        <v>34.5</v>
      </c>
      <c r="O43" s="232" t="e">
        <f>'쪽쟘(실측)'!J43-기둥차감</f>
        <v>#NAME?</v>
      </c>
      <c r="P43" s="232" t="e">
        <f>'쪽쟘(실측)'!K43-기둥차감</f>
        <v>#NAME?</v>
      </c>
      <c r="Q43" s="232" t="e">
        <f>'쪽쟘(실측)'!L43-기둥차감</f>
        <v>#NAME?</v>
      </c>
      <c r="R43" s="232" t="e">
        <f>'쪽쟘(실측)'!M43-기둥차감</f>
        <v>#NAME?</v>
      </c>
      <c r="S43" s="232">
        <f>'쪽쟘(실측)'!N43+1.2</f>
        <v>29.2</v>
      </c>
      <c r="T43" s="232">
        <f>'쪽쟘(실측)'!O43+1.2</f>
        <v>29.2</v>
      </c>
      <c r="U43" s="232">
        <f>'쪽쟘(실측)'!P43</f>
        <v>25</v>
      </c>
      <c r="V43" s="232">
        <f>'쪽쟘(실측)'!Q43</f>
        <v>25</v>
      </c>
      <c r="W43" s="232" t="e">
        <f>'쪽쟘(실측)'!R43-늘치차감</f>
        <v>#NAME?</v>
      </c>
      <c r="X43" s="232" t="e">
        <f>'쪽쟘(실측)'!S43-늘치차감</f>
        <v>#NAME?</v>
      </c>
      <c r="Z43" s="228">
        <v>958</v>
      </c>
      <c r="AA43" s="228">
        <v>114.4</v>
      </c>
      <c r="AB43" s="228">
        <v>115.4</v>
      </c>
      <c r="AC43" s="228">
        <v>2095</v>
      </c>
      <c r="AD43" s="228">
        <v>119.4</v>
      </c>
      <c r="AE43" s="228">
        <v>2095</v>
      </c>
    </row>
    <row r="44" spans="1:31" s="228" customFormat="1" ht="18.75" customHeight="1" x14ac:dyDescent="0.3">
      <c r="A44" s="232" t="str">
        <f>'쪽쟘(실측)'!A44</f>
        <v>10-2</v>
      </c>
      <c r="B44" s="232" t="str">
        <f>'쪽쟘(실측)'!B44&amp;"F"</f>
        <v>3F</v>
      </c>
      <c r="C44" s="232" t="str">
        <f t="shared" si="0"/>
        <v>957*114.4</v>
      </c>
      <c r="D44" s="232" t="e">
        <f>'쪽쟘(실측)'!C44-OP차감</f>
        <v>#NAME?</v>
      </c>
      <c r="E44" s="232" t="e">
        <f>'쪽쟘(실측)'!D44+쪽쟘J늘림+MAX(W44:X44)</f>
        <v>#VALUE!</v>
      </c>
      <c r="F44" s="233" t="e">
        <f>'쪽쟘(실측)'!E44+쪽쟘J늘림+MAX(W44:X44)</f>
        <v>#VALUE!</v>
      </c>
      <c r="G44" s="234" t="str">
        <f t="shared" si="1"/>
        <v>2095*116.4</v>
      </c>
      <c r="H44" s="235" t="str">
        <f t="shared" si="2"/>
        <v>2095*116.4</v>
      </c>
      <c r="I44" s="107">
        <f>IF('쪽쟘(실측)'!F44&gt;0,'쪽쟘(실측)'!F44+0.5,0)</f>
        <v>30.5</v>
      </c>
      <c r="J44" s="232">
        <f>IF('쪽쟘(실측)'!H44&gt;0,'쪽쟘(실측)'!H44+0.5,0)</f>
        <v>30.5</v>
      </c>
      <c r="K44" s="232">
        <f>IF('쪽쟘(실측)'!F44&gt;0,'쪽쟘(실측)'!F44+1.5,0)</f>
        <v>31.5</v>
      </c>
      <c r="L44" s="232">
        <f>IF('쪽쟘(실측)'!G44&gt;0,'쪽쟘(실측)'!G44+1.5,0)</f>
        <v>31.5</v>
      </c>
      <c r="M44" s="232">
        <f>IF('쪽쟘(실측)'!H44&gt;0,'쪽쟘(실측)'!H44+1.5,0)</f>
        <v>31.5</v>
      </c>
      <c r="N44" s="232">
        <f>IF('쪽쟘(실측)'!I44&gt;0,'쪽쟘(실측)'!I44+1.5,0)</f>
        <v>31.5</v>
      </c>
      <c r="O44" s="232" t="e">
        <f>'쪽쟘(실측)'!J44-기둥차감</f>
        <v>#NAME?</v>
      </c>
      <c r="P44" s="232" t="e">
        <f>'쪽쟘(실측)'!K44-기둥차감</f>
        <v>#NAME?</v>
      </c>
      <c r="Q44" s="232" t="e">
        <f>'쪽쟘(실측)'!L44-기둥차감</f>
        <v>#NAME?</v>
      </c>
      <c r="R44" s="232" t="e">
        <f>'쪽쟘(실측)'!M44-기둥차감</f>
        <v>#NAME?</v>
      </c>
      <c r="S44" s="232">
        <f>'쪽쟘(실측)'!N44+1.2</f>
        <v>29.2</v>
      </c>
      <c r="T44" s="232">
        <f>'쪽쟘(실측)'!O44+1.2</f>
        <v>29.2</v>
      </c>
      <c r="U44" s="232">
        <f>'쪽쟘(실측)'!P44</f>
        <v>25</v>
      </c>
      <c r="V44" s="232">
        <f>'쪽쟘(실측)'!Q44</f>
        <v>25</v>
      </c>
      <c r="W44" s="232" t="e">
        <f>'쪽쟘(실측)'!R44-늘치차감</f>
        <v>#NAME?</v>
      </c>
      <c r="X44" s="232" t="e">
        <f>'쪽쟘(실측)'!S44-늘치차감</f>
        <v>#NAME?</v>
      </c>
      <c r="Z44" s="228">
        <v>957</v>
      </c>
      <c r="AA44" s="228">
        <v>114.4</v>
      </c>
      <c r="AB44" s="228">
        <v>116.4</v>
      </c>
      <c r="AC44" s="228">
        <v>2095</v>
      </c>
      <c r="AD44" s="228">
        <v>116.4</v>
      </c>
      <c r="AE44" s="228">
        <v>2095</v>
      </c>
    </row>
    <row r="45" spans="1:31" s="228" customFormat="1" ht="18.75" customHeight="1" x14ac:dyDescent="0.3">
      <c r="A45" s="232" t="str">
        <f>'쪽쟘(실측)'!A45</f>
        <v>10-2</v>
      </c>
      <c r="B45" s="232" t="str">
        <f>'쪽쟘(실측)'!B45&amp;"F"</f>
        <v>2F</v>
      </c>
      <c r="C45" s="232" t="str">
        <f t="shared" si="0"/>
        <v>957*115.4</v>
      </c>
      <c r="D45" s="232" t="e">
        <f>'쪽쟘(실측)'!C45-OP차감</f>
        <v>#NAME?</v>
      </c>
      <c r="E45" s="232" t="e">
        <f>'쪽쟘(실측)'!D45+쪽쟘J늘림+MAX(W45:X45)</f>
        <v>#VALUE!</v>
      </c>
      <c r="F45" s="233" t="e">
        <f>'쪽쟘(실측)'!E45+쪽쟘J늘림+MAX(W45:X45)</f>
        <v>#VALUE!</v>
      </c>
      <c r="G45" s="234" t="str">
        <f t="shared" si="1"/>
        <v>2095*117.4</v>
      </c>
      <c r="H45" s="235" t="str">
        <f t="shared" si="2"/>
        <v>2095*117.4</v>
      </c>
      <c r="I45" s="107">
        <f>IF('쪽쟘(실측)'!F45&gt;0,'쪽쟘(실측)'!F45+0.5,0)</f>
        <v>31.5</v>
      </c>
      <c r="J45" s="232">
        <f>IF('쪽쟘(실측)'!H45&gt;0,'쪽쟘(실측)'!H45+0.5,0)</f>
        <v>31.5</v>
      </c>
      <c r="K45" s="232">
        <f>IF('쪽쟘(실측)'!F45&gt;0,'쪽쟘(실측)'!F45+1.5,0)</f>
        <v>32.5</v>
      </c>
      <c r="L45" s="232">
        <f>IF('쪽쟘(실측)'!G45&gt;0,'쪽쟘(실측)'!G45+1.5,0)</f>
        <v>32.5</v>
      </c>
      <c r="M45" s="232">
        <f>IF('쪽쟘(실측)'!H45&gt;0,'쪽쟘(실측)'!H45+1.5,0)</f>
        <v>32.5</v>
      </c>
      <c r="N45" s="232">
        <f>IF('쪽쟘(실측)'!I45&gt;0,'쪽쟘(실측)'!I45+1.5,0)</f>
        <v>32.5</v>
      </c>
      <c r="O45" s="232" t="e">
        <f>'쪽쟘(실측)'!J45-기둥차감</f>
        <v>#NAME?</v>
      </c>
      <c r="P45" s="232" t="e">
        <f>'쪽쟘(실측)'!K45-기둥차감</f>
        <v>#NAME?</v>
      </c>
      <c r="Q45" s="232" t="e">
        <f>'쪽쟘(실측)'!L45-기둥차감</f>
        <v>#NAME?</v>
      </c>
      <c r="R45" s="232" t="e">
        <f>'쪽쟘(실측)'!M45-기둥차감</f>
        <v>#NAME?</v>
      </c>
      <c r="S45" s="232">
        <f>'쪽쟘(실측)'!N45+1.2</f>
        <v>30.2</v>
      </c>
      <c r="T45" s="232">
        <f>'쪽쟘(실측)'!O45+1.2</f>
        <v>30.2</v>
      </c>
      <c r="U45" s="232">
        <f>'쪽쟘(실측)'!P45</f>
        <v>25</v>
      </c>
      <c r="V45" s="232">
        <f>'쪽쟘(실측)'!Q45</f>
        <v>25</v>
      </c>
      <c r="W45" s="232" t="e">
        <f>'쪽쟘(실측)'!R45-늘치차감</f>
        <v>#NAME?</v>
      </c>
      <c r="X45" s="232" t="e">
        <f>'쪽쟘(실측)'!S45-늘치차감</f>
        <v>#NAME?</v>
      </c>
      <c r="Z45" s="228">
        <v>957</v>
      </c>
      <c r="AA45" s="228">
        <v>115.4</v>
      </c>
      <c r="AB45" s="228">
        <v>117.4</v>
      </c>
      <c r="AC45" s="228">
        <v>2095</v>
      </c>
      <c r="AD45" s="228">
        <v>117.4</v>
      </c>
      <c r="AE45" s="228">
        <v>2095</v>
      </c>
    </row>
    <row r="46" spans="1:31" s="228" customFormat="1" ht="18.75" customHeight="1" thickBot="1" x14ac:dyDescent="0.35">
      <c r="A46" s="287" t="str">
        <f>'쪽쟘(실측)'!A46</f>
        <v>10-2</v>
      </c>
      <c r="B46" s="287" t="str">
        <f>'쪽쟘(실측)'!B46&amp;"F"</f>
        <v>B1F</v>
      </c>
      <c r="C46" s="287" t="str">
        <f t="shared" si="0"/>
        <v>971*129.4</v>
      </c>
      <c r="D46" s="287" t="e">
        <f>'쪽쟘(실측)'!C46-OP차감</f>
        <v>#NAME?</v>
      </c>
      <c r="E46" s="287" t="e">
        <f>'쪽쟘(실측)'!D46+쪽쟘J늘림+MAX(W46:X46)</f>
        <v>#VALUE!</v>
      </c>
      <c r="F46" s="288" t="e">
        <f>'쪽쟘(실측)'!E46+쪽쟘J늘림+MAX(W46:X46)</f>
        <v>#VALUE!</v>
      </c>
      <c r="G46" s="289"/>
      <c r="H46" s="290"/>
      <c r="I46" s="107">
        <f>IF('쪽쟘(실측)'!F46&gt;0,'쪽쟘(실측)'!F46+0.5,0)</f>
        <v>40.5</v>
      </c>
      <c r="J46" s="232">
        <f>IF('쪽쟘(실측)'!H46&gt;0,'쪽쟘(실측)'!H46+0.5,0)</f>
        <v>45.5</v>
      </c>
      <c r="K46" s="232">
        <f>IF('쪽쟘(실측)'!F46&gt;0,'쪽쟘(실측)'!F46+1.5,0)</f>
        <v>41.5</v>
      </c>
      <c r="L46" s="232">
        <f>IF('쪽쟘(실측)'!G46&gt;0,'쪽쟘(실측)'!G46+1.5,0)</f>
        <v>41.5</v>
      </c>
      <c r="M46" s="232">
        <f>IF('쪽쟘(실측)'!H46&gt;0,'쪽쟘(실측)'!H46+1.5,0)</f>
        <v>46.5</v>
      </c>
      <c r="N46" s="232">
        <f>IF('쪽쟘(실측)'!I46&gt;0,'쪽쟘(실측)'!I46+1.5,0)</f>
        <v>46.5</v>
      </c>
      <c r="O46" s="232" t="e">
        <f>'쪽쟘(실측)'!J46-기둥차감</f>
        <v>#NAME?</v>
      </c>
      <c r="P46" s="232" t="e">
        <f>'쪽쟘(실측)'!K46-기둥차감</f>
        <v>#NAME?</v>
      </c>
      <c r="Q46" s="232" t="e">
        <f>'쪽쟘(실측)'!L46-기둥차감</f>
        <v>#NAME?</v>
      </c>
      <c r="R46" s="232" t="e">
        <f>'쪽쟘(실측)'!M46-기둥차감</f>
        <v>#NAME?</v>
      </c>
      <c r="S46" s="232">
        <f>'쪽쟘(실측)'!N46+1.2</f>
        <v>35.200000000000003</v>
      </c>
      <c r="T46" s="232">
        <f>'쪽쟘(실측)'!O46+1.2</f>
        <v>39.200000000000003</v>
      </c>
      <c r="U46" s="232">
        <f>'쪽쟘(실측)'!P46</f>
        <v>25</v>
      </c>
      <c r="V46" s="232">
        <f>'쪽쟘(실측)'!Q46</f>
        <v>25</v>
      </c>
      <c r="W46" s="232" t="e">
        <f>'쪽쟘(실측)'!R46-늘치차감</f>
        <v>#NAME?</v>
      </c>
      <c r="X46" s="232" t="e">
        <f>'쪽쟘(실측)'!S46-늘치차감</f>
        <v>#NAME?</v>
      </c>
      <c r="Z46" s="228">
        <v>971</v>
      </c>
      <c r="AA46" s="228">
        <v>129.4</v>
      </c>
      <c r="AB46" s="228">
        <v>131.4</v>
      </c>
      <c r="AC46" s="228">
        <v>2092</v>
      </c>
      <c r="AD46" s="228">
        <v>136.4</v>
      </c>
      <c r="AE46" s="228">
        <v>2092</v>
      </c>
    </row>
    <row r="47" spans="1:31" s="228" customFormat="1" ht="18.75" customHeight="1" x14ac:dyDescent="0.3">
      <c r="A47" s="283" t="str">
        <f>'쪽쟘(실측)'!A47</f>
        <v>11-1</v>
      </c>
      <c r="B47" s="283" t="str">
        <f>'쪽쟘(실측)'!B47&amp;"F"</f>
        <v>20F</v>
      </c>
      <c r="C47" s="283" t="str">
        <f t="shared" si="0"/>
        <v>966*121.4</v>
      </c>
      <c r="D47" s="283" t="e">
        <f>'쪽쟘(실측)'!C47-OP차감</f>
        <v>#NAME?</v>
      </c>
      <c r="E47" s="283" t="e">
        <f>'쪽쟘(실측)'!D47+쪽쟘J늘림+MAX(W47:X47)</f>
        <v>#VALUE!</v>
      </c>
      <c r="F47" s="284" t="e">
        <f>'쪽쟘(실측)'!E47+쪽쟘J늘림+MAX(W47:X47)</f>
        <v>#VALUE!</v>
      </c>
      <c r="G47" s="285" t="str">
        <f t="shared" si="1"/>
        <v>2095*120.4</v>
      </c>
      <c r="H47" s="286"/>
      <c r="I47" s="107">
        <f>IF('쪽쟘(실측)'!F47&gt;0,'쪽쟘(실측)'!F47+0.5,0)</f>
        <v>34.5</v>
      </c>
      <c r="J47" s="232">
        <f>IF('쪽쟘(실측)'!H47&gt;0,'쪽쟘(실측)'!H47+0.5,0)</f>
        <v>37.5</v>
      </c>
      <c r="K47" s="232">
        <f>IF('쪽쟘(실측)'!F47&gt;0,'쪽쟘(실측)'!F47+1.5,0)</f>
        <v>35.5</v>
      </c>
      <c r="L47" s="232">
        <f>IF('쪽쟘(실측)'!G47&gt;0,'쪽쟘(실측)'!G47+1.5,0)</f>
        <v>35.5</v>
      </c>
      <c r="M47" s="232">
        <f>IF('쪽쟘(실측)'!H47&gt;0,'쪽쟘(실측)'!H47+1.5,0)</f>
        <v>38.5</v>
      </c>
      <c r="N47" s="232">
        <f>IF('쪽쟘(실측)'!I47&gt;0,'쪽쟘(실측)'!I47+1.5,0)</f>
        <v>34.5</v>
      </c>
      <c r="O47" s="232" t="e">
        <f>'쪽쟘(실측)'!J47-기둥차감</f>
        <v>#NAME?</v>
      </c>
      <c r="P47" s="232" t="e">
        <f>'쪽쟘(실측)'!K47-기둥차감</f>
        <v>#NAME?</v>
      </c>
      <c r="Q47" s="232" t="e">
        <f>'쪽쟘(실측)'!L47-기둥차감</f>
        <v>#NAME?</v>
      </c>
      <c r="R47" s="232" t="e">
        <f>'쪽쟘(실측)'!M47-기둥차감</f>
        <v>#NAME?</v>
      </c>
      <c r="S47" s="232">
        <f>'쪽쟘(실측)'!N47+1.2</f>
        <v>36.200000000000003</v>
      </c>
      <c r="T47" s="232">
        <f>'쪽쟘(실측)'!O47+1.2</f>
        <v>36.200000000000003</v>
      </c>
      <c r="U47" s="232">
        <f>'쪽쟘(실측)'!P47</f>
        <v>25</v>
      </c>
      <c r="V47" s="232">
        <f>'쪽쟘(실측)'!Q47</f>
        <v>25</v>
      </c>
      <c r="W47" s="232" t="e">
        <f>'쪽쟘(실측)'!R47-늘치차감</f>
        <v>#NAME?</v>
      </c>
      <c r="X47" s="232" t="e">
        <f>'쪽쟘(실측)'!S47-늘치차감</f>
        <v>#NAME?</v>
      </c>
      <c r="Z47" s="228">
        <v>966</v>
      </c>
      <c r="AA47" s="228">
        <v>121.4</v>
      </c>
      <c r="AB47" s="228">
        <v>120.4</v>
      </c>
      <c r="AC47" s="228">
        <v>2095</v>
      </c>
      <c r="AD47" s="228">
        <v>123.4</v>
      </c>
      <c r="AE47" s="228">
        <v>2095</v>
      </c>
    </row>
    <row r="48" spans="1:31" s="228" customFormat="1" ht="18.75" customHeight="1" x14ac:dyDescent="0.3">
      <c r="A48" s="232" t="str">
        <f>'쪽쟘(실측)'!A48</f>
        <v>11-1</v>
      </c>
      <c r="B48" s="232" t="str">
        <f>'쪽쟘(실측)'!B48&amp;"F"</f>
        <v>19F</v>
      </c>
      <c r="C48" s="232" t="str">
        <f t="shared" si="0"/>
        <v>964*121.4</v>
      </c>
      <c r="D48" s="232" t="e">
        <f>'쪽쟘(실측)'!C48-OP차감</f>
        <v>#NAME?</v>
      </c>
      <c r="E48" s="232" t="e">
        <f>'쪽쟘(실측)'!D48+쪽쟘J늘림+MAX(W48:X48)</f>
        <v>#VALUE!</v>
      </c>
      <c r="F48" s="233" t="e">
        <f>'쪽쟘(실측)'!E48+쪽쟘J늘림+MAX(W48:X48)</f>
        <v>#VALUE!</v>
      </c>
      <c r="G48" s="234"/>
      <c r="H48" s="235" t="str">
        <f t="shared" si="2"/>
        <v>2095*120.4</v>
      </c>
      <c r="I48" s="107">
        <f>IF('쪽쟘(실측)'!F48&gt;0,'쪽쟘(실측)'!F48+0.5,0)</f>
        <v>36.5</v>
      </c>
      <c r="J48" s="232">
        <f>IF('쪽쟘(실측)'!H48&gt;0,'쪽쟘(실측)'!H48+0.5,0)</f>
        <v>34.5</v>
      </c>
      <c r="K48" s="232">
        <f>IF('쪽쟘(실측)'!F48&gt;0,'쪽쟘(실측)'!F48+1.5,0)</f>
        <v>37.5</v>
      </c>
      <c r="L48" s="232">
        <f>IF('쪽쟘(실측)'!G48&gt;0,'쪽쟘(실측)'!G48+1.5,0)</f>
        <v>33.5</v>
      </c>
      <c r="M48" s="232">
        <f>IF('쪽쟘(실측)'!H48&gt;0,'쪽쟘(실측)'!H48+1.5,0)</f>
        <v>35.5</v>
      </c>
      <c r="N48" s="232">
        <f>IF('쪽쟘(실측)'!I48&gt;0,'쪽쟘(실측)'!I48+1.5,0)</f>
        <v>35.5</v>
      </c>
      <c r="O48" s="232" t="e">
        <f>'쪽쟘(실측)'!J48-기둥차감</f>
        <v>#NAME?</v>
      </c>
      <c r="P48" s="232" t="e">
        <f>'쪽쟘(실측)'!K48-기둥차감</f>
        <v>#NAME?</v>
      </c>
      <c r="Q48" s="232" t="e">
        <f>'쪽쟘(실측)'!L48-기둥차감</f>
        <v>#NAME?</v>
      </c>
      <c r="R48" s="232" t="e">
        <f>'쪽쟘(실측)'!M48-기둥차감</f>
        <v>#NAME?</v>
      </c>
      <c r="S48" s="232">
        <f>'쪽쟘(실측)'!N48+1.2</f>
        <v>36.200000000000003</v>
      </c>
      <c r="T48" s="232">
        <f>'쪽쟘(실측)'!O48+1.2</f>
        <v>36.200000000000003</v>
      </c>
      <c r="U48" s="232">
        <f>'쪽쟘(실측)'!P48</f>
        <v>25</v>
      </c>
      <c r="V48" s="232">
        <f>'쪽쟘(실측)'!Q48</f>
        <v>25</v>
      </c>
      <c r="W48" s="232" t="e">
        <f>'쪽쟘(실측)'!R48-늘치차감</f>
        <v>#NAME?</v>
      </c>
      <c r="X48" s="232" t="e">
        <f>'쪽쟘(실측)'!S48-늘치차감</f>
        <v>#NAME?</v>
      </c>
      <c r="Z48" s="228">
        <v>964</v>
      </c>
      <c r="AA48" s="228">
        <v>121.4</v>
      </c>
      <c r="AB48" s="228">
        <v>122.4</v>
      </c>
      <c r="AC48" s="228">
        <v>2095</v>
      </c>
      <c r="AD48" s="228">
        <v>120.4</v>
      </c>
      <c r="AE48" s="228">
        <v>2095</v>
      </c>
    </row>
    <row r="49" spans="1:31" s="228" customFormat="1" ht="18.75" customHeight="1" x14ac:dyDescent="0.3">
      <c r="A49" s="232" t="str">
        <f>'쪽쟘(실측)'!A49</f>
        <v>11-1</v>
      </c>
      <c r="B49" s="232" t="str">
        <f>'쪽쟘(실측)'!B49&amp;"F"</f>
        <v>18F</v>
      </c>
      <c r="C49" s="232" t="str">
        <f t="shared" si="0"/>
        <v>964*119.4</v>
      </c>
      <c r="D49" s="232" t="e">
        <f>'쪽쟘(실측)'!C49-OP차감</f>
        <v>#NAME?</v>
      </c>
      <c r="E49" s="232" t="e">
        <f>'쪽쟘(실측)'!D49+쪽쟘J늘림+MAX(W49:X49)</f>
        <v>#VALUE!</v>
      </c>
      <c r="F49" s="233" t="e">
        <f>'쪽쟘(실측)'!E49+쪽쟘J늘림+MAX(W49:X49)</f>
        <v>#VALUE!</v>
      </c>
      <c r="G49" s="234" t="str">
        <f t="shared" si="1"/>
        <v>2095*120.4</v>
      </c>
      <c r="H49" s="235" t="str">
        <f t="shared" si="2"/>
        <v>2095*120.4</v>
      </c>
      <c r="I49" s="107">
        <f>IF('쪽쟘(실측)'!F49&gt;0,'쪽쟘(실측)'!F49+0.5,0)</f>
        <v>34.5</v>
      </c>
      <c r="J49" s="232">
        <f>IF('쪽쟘(실측)'!H49&gt;0,'쪽쟘(실측)'!H49+0.5,0)</f>
        <v>34.5</v>
      </c>
      <c r="K49" s="232">
        <f>IF('쪽쟘(실측)'!F49&gt;0,'쪽쟘(실측)'!F49+1.5,0)</f>
        <v>35.5</v>
      </c>
      <c r="L49" s="232">
        <f>IF('쪽쟘(실측)'!G49&gt;0,'쪽쟘(실측)'!G49+1.5,0)</f>
        <v>35.5</v>
      </c>
      <c r="M49" s="232">
        <f>IF('쪽쟘(실측)'!H49&gt;0,'쪽쟘(실측)'!H49+1.5,0)</f>
        <v>35.5</v>
      </c>
      <c r="N49" s="232">
        <f>IF('쪽쟘(실측)'!I49&gt;0,'쪽쟘(실측)'!I49+1.5,0)</f>
        <v>35.5</v>
      </c>
      <c r="O49" s="232" t="e">
        <f>'쪽쟘(실측)'!J49-기둥차감</f>
        <v>#NAME?</v>
      </c>
      <c r="P49" s="232" t="e">
        <f>'쪽쟘(실측)'!K49-기둥차감</f>
        <v>#NAME?</v>
      </c>
      <c r="Q49" s="232" t="e">
        <f>'쪽쟘(실측)'!L49-기둥차감</f>
        <v>#NAME?</v>
      </c>
      <c r="R49" s="232" t="e">
        <f>'쪽쟘(실측)'!M49-기둥차감</f>
        <v>#NAME?</v>
      </c>
      <c r="S49" s="232">
        <f>'쪽쟘(실측)'!N49+1.2</f>
        <v>34.200000000000003</v>
      </c>
      <c r="T49" s="232">
        <f>'쪽쟘(실측)'!O49+1.2</f>
        <v>34.200000000000003</v>
      </c>
      <c r="U49" s="232">
        <f>'쪽쟘(실측)'!P49</f>
        <v>25</v>
      </c>
      <c r="V49" s="232">
        <f>'쪽쟘(실측)'!Q49</f>
        <v>25</v>
      </c>
      <c r="W49" s="232" t="e">
        <f>'쪽쟘(실측)'!R49-늘치차감</f>
        <v>#NAME?</v>
      </c>
      <c r="X49" s="232" t="e">
        <f>'쪽쟘(실측)'!S49-늘치차감</f>
        <v>#NAME?</v>
      </c>
      <c r="Z49" s="228">
        <v>964</v>
      </c>
      <c r="AA49" s="228">
        <v>119.4</v>
      </c>
      <c r="AB49" s="228">
        <v>120.4</v>
      </c>
      <c r="AC49" s="228">
        <v>2095</v>
      </c>
      <c r="AD49" s="228">
        <v>120.4</v>
      </c>
      <c r="AE49" s="228">
        <v>2095</v>
      </c>
    </row>
    <row r="50" spans="1:31" s="228" customFormat="1" ht="18.75" customHeight="1" x14ac:dyDescent="0.3">
      <c r="A50" s="232" t="str">
        <f>'쪽쟘(실측)'!A50</f>
        <v>11-1</v>
      </c>
      <c r="B50" s="232" t="str">
        <f>'쪽쟘(실측)'!B50&amp;"F"</f>
        <v>17F</v>
      </c>
      <c r="C50" s="232" t="str">
        <f t="shared" si="0"/>
        <v>963*122.4</v>
      </c>
      <c r="D50" s="232" t="e">
        <f>'쪽쟘(실측)'!C50-OP차감</f>
        <v>#NAME?</v>
      </c>
      <c r="E50" s="232" t="e">
        <f>'쪽쟘(실측)'!D50+쪽쟘J늘림+MAX(W50:X50)</f>
        <v>#VALUE!</v>
      </c>
      <c r="F50" s="233" t="e">
        <f>'쪽쟘(실측)'!E50+쪽쟘J늘림+MAX(W50:X50)</f>
        <v>#VALUE!</v>
      </c>
      <c r="G50" s="234" t="str">
        <f t="shared" si="1"/>
        <v>2095*120.4</v>
      </c>
      <c r="H50" s="235" t="str">
        <f t="shared" si="2"/>
        <v>2095*121.4</v>
      </c>
      <c r="I50" s="107">
        <f>IF('쪽쟘(실측)'!F50&gt;0,'쪽쟘(실측)'!F50+0.5,0)</f>
        <v>34.5</v>
      </c>
      <c r="J50" s="232">
        <f>IF('쪽쟘(실측)'!H50&gt;0,'쪽쟘(실측)'!H50+0.5,0)</f>
        <v>35.5</v>
      </c>
      <c r="K50" s="232">
        <f>IF('쪽쟘(실측)'!F50&gt;0,'쪽쟘(실측)'!F50+1.5,0)</f>
        <v>35.5</v>
      </c>
      <c r="L50" s="232">
        <f>IF('쪽쟘(실측)'!G50&gt;0,'쪽쟘(실측)'!G50+1.5,0)</f>
        <v>35.5</v>
      </c>
      <c r="M50" s="232">
        <f>IF('쪽쟘(실측)'!H50&gt;0,'쪽쟘(실측)'!H50+1.5,0)</f>
        <v>36.5</v>
      </c>
      <c r="N50" s="232">
        <f>IF('쪽쟘(실측)'!I50&gt;0,'쪽쟘(실측)'!I50+1.5,0)</f>
        <v>36.5</v>
      </c>
      <c r="O50" s="232" t="e">
        <f>'쪽쟘(실측)'!J50-기둥차감</f>
        <v>#NAME?</v>
      </c>
      <c r="P50" s="232" t="e">
        <f>'쪽쟘(실측)'!K50-기둥차감</f>
        <v>#NAME?</v>
      </c>
      <c r="Q50" s="232" t="e">
        <f>'쪽쟘(실측)'!L50-기둥차감</f>
        <v>#NAME?</v>
      </c>
      <c r="R50" s="232" t="e">
        <f>'쪽쟘(실측)'!M50-기둥차감</f>
        <v>#NAME?</v>
      </c>
      <c r="S50" s="232">
        <f>'쪽쟘(실측)'!N50+1.2</f>
        <v>37.200000000000003</v>
      </c>
      <c r="T50" s="232">
        <f>'쪽쟘(실측)'!O50+1.2</f>
        <v>37.200000000000003</v>
      </c>
      <c r="U50" s="232">
        <f>'쪽쟘(실측)'!P50</f>
        <v>25</v>
      </c>
      <c r="V50" s="232">
        <f>'쪽쟘(실측)'!Q50</f>
        <v>25</v>
      </c>
      <c r="W50" s="232" t="e">
        <f>'쪽쟘(실측)'!R50-늘치차감</f>
        <v>#NAME?</v>
      </c>
      <c r="X50" s="232" t="e">
        <f>'쪽쟘(실측)'!S50-늘치차감</f>
        <v>#NAME?</v>
      </c>
      <c r="Z50" s="228">
        <v>963</v>
      </c>
      <c r="AA50" s="228">
        <v>122.4</v>
      </c>
      <c r="AB50" s="228">
        <v>120.4</v>
      </c>
      <c r="AC50" s="228">
        <v>2095</v>
      </c>
      <c r="AD50" s="228">
        <v>121.4</v>
      </c>
      <c r="AE50" s="228">
        <v>2095</v>
      </c>
    </row>
    <row r="51" spans="1:31" s="228" customFormat="1" ht="18.75" customHeight="1" x14ac:dyDescent="0.3">
      <c r="A51" s="232" t="str">
        <f>'쪽쟘(실측)'!A51</f>
        <v>11-1</v>
      </c>
      <c r="B51" s="232" t="str">
        <f>'쪽쟘(실측)'!B51&amp;"F"</f>
        <v>16F</v>
      </c>
      <c r="C51" s="232" t="str">
        <f t="shared" si="0"/>
        <v>962*120.4</v>
      </c>
      <c r="D51" s="232" t="e">
        <f>'쪽쟘(실측)'!C51-OP차감</f>
        <v>#NAME?</v>
      </c>
      <c r="E51" s="232" t="e">
        <f>'쪽쟘(실측)'!D51+쪽쟘J늘림+MAX(W51:X51)</f>
        <v>#VALUE!</v>
      </c>
      <c r="F51" s="233" t="e">
        <f>'쪽쟘(실측)'!E51+쪽쟘J늘림+MAX(W51:X51)</f>
        <v>#VALUE!</v>
      </c>
      <c r="G51" s="234" t="str">
        <f t="shared" si="1"/>
        <v>2095*120.4</v>
      </c>
      <c r="H51" s="235" t="str">
        <f t="shared" si="2"/>
        <v>2095*120.4</v>
      </c>
      <c r="I51" s="107">
        <f>IF('쪽쟘(실측)'!F51&gt;0,'쪽쟘(실측)'!F51+0.5,0)</f>
        <v>34.5</v>
      </c>
      <c r="J51" s="232">
        <f>IF('쪽쟘(실측)'!H51&gt;0,'쪽쟘(실측)'!H51+0.5,0)</f>
        <v>34.5</v>
      </c>
      <c r="K51" s="232">
        <f>IF('쪽쟘(실측)'!F51&gt;0,'쪽쟘(실측)'!F51+1.5,0)</f>
        <v>35.5</v>
      </c>
      <c r="L51" s="232">
        <f>IF('쪽쟘(실측)'!G51&gt;0,'쪽쟘(실측)'!G51+1.5,0)</f>
        <v>35.5</v>
      </c>
      <c r="M51" s="232">
        <f>IF('쪽쟘(실측)'!H51&gt;0,'쪽쟘(실측)'!H51+1.5,0)</f>
        <v>35.5</v>
      </c>
      <c r="N51" s="232">
        <f>IF('쪽쟘(실측)'!I51&gt;0,'쪽쟘(실측)'!I51+1.5,0)</f>
        <v>35.5</v>
      </c>
      <c r="O51" s="232" t="e">
        <f>'쪽쟘(실측)'!J51-기둥차감</f>
        <v>#NAME?</v>
      </c>
      <c r="P51" s="232" t="e">
        <f>'쪽쟘(실측)'!K51-기둥차감</f>
        <v>#NAME?</v>
      </c>
      <c r="Q51" s="232" t="e">
        <f>'쪽쟘(실측)'!L51-기둥차감</f>
        <v>#NAME?</v>
      </c>
      <c r="R51" s="232" t="e">
        <f>'쪽쟘(실측)'!M51-기둥차감</f>
        <v>#NAME?</v>
      </c>
      <c r="S51" s="232">
        <f>'쪽쟘(실측)'!N51+1.2</f>
        <v>35.200000000000003</v>
      </c>
      <c r="T51" s="232">
        <f>'쪽쟘(실측)'!O51+1.2</f>
        <v>35.200000000000003</v>
      </c>
      <c r="U51" s="232">
        <f>'쪽쟘(실측)'!P51</f>
        <v>25</v>
      </c>
      <c r="V51" s="232">
        <f>'쪽쟘(실측)'!Q51</f>
        <v>25</v>
      </c>
      <c r="W51" s="232" t="e">
        <f>'쪽쟘(실측)'!R51-늘치차감</f>
        <v>#NAME?</v>
      </c>
      <c r="X51" s="232" t="e">
        <f>'쪽쟘(실측)'!S51-늘치차감</f>
        <v>#NAME?</v>
      </c>
      <c r="Z51" s="228">
        <v>962</v>
      </c>
      <c r="AA51" s="228">
        <v>120.4</v>
      </c>
      <c r="AB51" s="228">
        <v>120.4</v>
      </c>
      <c r="AC51" s="228">
        <v>2095</v>
      </c>
      <c r="AD51" s="228">
        <v>120.4</v>
      </c>
      <c r="AE51" s="228">
        <v>2095</v>
      </c>
    </row>
    <row r="52" spans="1:31" s="228" customFormat="1" ht="18.75" customHeight="1" x14ac:dyDescent="0.3">
      <c r="A52" s="232" t="str">
        <f>'쪽쟘(실측)'!A52</f>
        <v>11-1</v>
      </c>
      <c r="B52" s="232" t="str">
        <f>'쪽쟘(실측)'!B52&amp;"F"</f>
        <v>15F</v>
      </c>
      <c r="C52" s="232" t="str">
        <f t="shared" si="0"/>
        <v>965*118.4</v>
      </c>
      <c r="D52" s="232" t="e">
        <f>'쪽쟘(실측)'!C52-OP차감</f>
        <v>#NAME?</v>
      </c>
      <c r="E52" s="232" t="e">
        <f>'쪽쟘(실측)'!D52+쪽쟘J늘림+MAX(W52:X52)</f>
        <v>#VALUE!</v>
      </c>
      <c r="F52" s="233" t="e">
        <f>'쪽쟘(실측)'!E52+쪽쟘J늘림+MAX(W52:X52)</f>
        <v>#VALUE!</v>
      </c>
      <c r="G52" s="234" t="str">
        <f t="shared" si="1"/>
        <v>2095*120.4</v>
      </c>
      <c r="H52" s="235"/>
      <c r="I52" s="107">
        <f>IF('쪽쟘(실측)'!F52&gt;0,'쪽쟘(실측)'!F52+0.5,0)</f>
        <v>34.5</v>
      </c>
      <c r="J52" s="232">
        <f>IF('쪽쟘(실측)'!H52&gt;0,'쪽쟘(실측)'!H52+0.5,0)</f>
        <v>35.5</v>
      </c>
      <c r="K52" s="232">
        <f>IF('쪽쟘(실측)'!F52&gt;0,'쪽쟘(실측)'!F52+1.5,0)</f>
        <v>35.5</v>
      </c>
      <c r="L52" s="232">
        <f>IF('쪽쟘(실측)'!G52&gt;0,'쪽쟘(실측)'!G52+1.5,0)</f>
        <v>35.5</v>
      </c>
      <c r="M52" s="232">
        <f>IF('쪽쟘(실측)'!H52&gt;0,'쪽쟘(실측)'!H52+1.5,0)</f>
        <v>36.5</v>
      </c>
      <c r="N52" s="232">
        <f>IF('쪽쟘(실측)'!I52&gt;0,'쪽쟘(실측)'!I52+1.5,0)</f>
        <v>31.5</v>
      </c>
      <c r="O52" s="232" t="e">
        <f>'쪽쟘(실측)'!J52-기둥차감</f>
        <v>#NAME?</v>
      </c>
      <c r="P52" s="232" t="e">
        <f>'쪽쟘(실측)'!K52-기둥차감</f>
        <v>#NAME?</v>
      </c>
      <c r="Q52" s="232" t="e">
        <f>'쪽쟘(실측)'!L52-기둥차감</f>
        <v>#NAME?</v>
      </c>
      <c r="R52" s="232" t="e">
        <f>'쪽쟘(실측)'!M52-기둥차감</f>
        <v>#NAME?</v>
      </c>
      <c r="S52" s="232">
        <f>'쪽쟘(실측)'!N52+1.2</f>
        <v>33.200000000000003</v>
      </c>
      <c r="T52" s="232">
        <f>'쪽쟘(실측)'!O52+1.2</f>
        <v>33.200000000000003</v>
      </c>
      <c r="U52" s="232">
        <f>'쪽쟘(실측)'!P52</f>
        <v>25</v>
      </c>
      <c r="V52" s="232">
        <f>'쪽쟘(실측)'!Q52</f>
        <v>25</v>
      </c>
      <c r="W52" s="232" t="e">
        <f>'쪽쟘(실측)'!R52-늘치차감</f>
        <v>#NAME?</v>
      </c>
      <c r="X52" s="232" t="e">
        <f>'쪽쟘(실측)'!S52-늘치차감</f>
        <v>#NAME?</v>
      </c>
      <c r="Z52" s="228">
        <v>965</v>
      </c>
      <c r="AA52" s="228">
        <v>118.4</v>
      </c>
      <c r="AB52" s="228">
        <v>120.4</v>
      </c>
      <c r="AC52" s="228">
        <v>2095</v>
      </c>
      <c r="AD52" s="228">
        <v>121.4</v>
      </c>
      <c r="AE52" s="228">
        <v>2095</v>
      </c>
    </row>
    <row r="53" spans="1:31" s="228" customFormat="1" ht="18.75" customHeight="1" x14ac:dyDescent="0.3">
      <c r="A53" s="232" t="str">
        <f>'쪽쟘(실측)'!A53</f>
        <v>11-1</v>
      </c>
      <c r="B53" s="232" t="str">
        <f>'쪽쟘(실측)'!B53&amp;"F"</f>
        <v>14F</v>
      </c>
      <c r="C53" s="232" t="str">
        <f t="shared" si="0"/>
        <v>963*121.4</v>
      </c>
      <c r="D53" s="232" t="e">
        <f>'쪽쟘(실측)'!C53-OP차감</f>
        <v>#NAME?</v>
      </c>
      <c r="E53" s="232" t="e">
        <f>'쪽쟘(실측)'!D53+쪽쟘J늘림+MAX(W53:X53)</f>
        <v>#VALUE!</v>
      </c>
      <c r="F53" s="233" t="e">
        <f>'쪽쟘(실측)'!E53+쪽쟘J늘림+MAX(W53:X53)</f>
        <v>#VALUE!</v>
      </c>
      <c r="G53" s="234" t="str">
        <f t="shared" si="1"/>
        <v>2095*118.4</v>
      </c>
      <c r="H53" s="235" t="str">
        <f t="shared" si="2"/>
        <v>2095*120.4</v>
      </c>
      <c r="I53" s="107">
        <f>IF('쪽쟘(실측)'!F53&gt;0,'쪽쟘(실측)'!F53+0.5,0)</f>
        <v>32.5</v>
      </c>
      <c r="J53" s="232">
        <f>IF('쪽쟘(실측)'!H53&gt;0,'쪽쟘(실측)'!H53+0.5,0)</f>
        <v>34.5</v>
      </c>
      <c r="K53" s="232">
        <f>IF('쪽쟘(실측)'!F53&gt;0,'쪽쟘(실측)'!F53+1.5,0)</f>
        <v>33.5</v>
      </c>
      <c r="L53" s="232">
        <f>IF('쪽쟘(실측)'!G53&gt;0,'쪽쟘(실측)'!G53+1.5,0)</f>
        <v>33.5</v>
      </c>
      <c r="M53" s="232">
        <f>IF('쪽쟘(실측)'!H53&gt;0,'쪽쟘(실측)'!H53+1.5,0)</f>
        <v>35.5</v>
      </c>
      <c r="N53" s="232">
        <f>IF('쪽쟘(실측)'!I53&gt;0,'쪽쟘(실측)'!I53+1.5,0)</f>
        <v>35.5</v>
      </c>
      <c r="O53" s="232" t="e">
        <f>'쪽쟘(실측)'!J53-기둥차감</f>
        <v>#NAME?</v>
      </c>
      <c r="P53" s="232" t="e">
        <f>'쪽쟘(실측)'!K53-기둥차감</f>
        <v>#NAME?</v>
      </c>
      <c r="Q53" s="232" t="e">
        <f>'쪽쟘(실측)'!L53-기둥차감</f>
        <v>#NAME?</v>
      </c>
      <c r="R53" s="232" t="e">
        <f>'쪽쟘(실측)'!M53-기둥차감</f>
        <v>#NAME?</v>
      </c>
      <c r="S53" s="232">
        <f>'쪽쟘(실측)'!N53+1.2</f>
        <v>36.200000000000003</v>
      </c>
      <c r="T53" s="232">
        <f>'쪽쟘(실측)'!O53+1.2</f>
        <v>36.200000000000003</v>
      </c>
      <c r="U53" s="232">
        <f>'쪽쟘(실측)'!P53</f>
        <v>25</v>
      </c>
      <c r="V53" s="232">
        <f>'쪽쟘(실측)'!Q53</f>
        <v>25</v>
      </c>
      <c r="W53" s="232" t="e">
        <f>'쪽쟘(실측)'!R53-늘치차감</f>
        <v>#NAME?</v>
      </c>
      <c r="X53" s="232" t="e">
        <f>'쪽쟘(실측)'!S53-늘치차감</f>
        <v>#NAME?</v>
      </c>
      <c r="Z53" s="228">
        <v>963</v>
      </c>
      <c r="AA53" s="228">
        <v>121.4</v>
      </c>
      <c r="AB53" s="228">
        <v>118.4</v>
      </c>
      <c r="AC53" s="228">
        <v>2095</v>
      </c>
      <c r="AD53" s="228">
        <v>120.4</v>
      </c>
      <c r="AE53" s="228">
        <v>2095</v>
      </c>
    </row>
    <row r="54" spans="1:31" s="228" customFormat="1" ht="18.75" customHeight="1" x14ac:dyDescent="0.3">
      <c r="A54" s="232" t="str">
        <f>'쪽쟘(실측)'!A54</f>
        <v>11-1</v>
      </c>
      <c r="B54" s="232" t="str">
        <f>'쪽쟘(실측)'!B54&amp;"F"</f>
        <v>13F</v>
      </c>
      <c r="C54" s="232" t="str">
        <f t="shared" si="0"/>
        <v>963*119.4</v>
      </c>
      <c r="D54" s="232" t="e">
        <f>'쪽쟘(실측)'!C54-OP차감</f>
        <v>#NAME?</v>
      </c>
      <c r="E54" s="232" t="e">
        <f>'쪽쟘(실측)'!D54+쪽쟘J늘림+MAX(W54:X54)</f>
        <v>#VALUE!</v>
      </c>
      <c r="F54" s="233" t="e">
        <f>'쪽쟘(실측)'!E54+쪽쟘J늘림+MAX(W54:X54)</f>
        <v>#VALUE!</v>
      </c>
      <c r="G54" s="234" t="str">
        <f t="shared" si="1"/>
        <v>2095*118.4</v>
      </c>
      <c r="H54" s="235" t="str">
        <f t="shared" si="2"/>
        <v>2095*121.4</v>
      </c>
      <c r="I54" s="107">
        <f>IF('쪽쟘(실측)'!F54&gt;0,'쪽쟘(실측)'!F54+0.5,0)</f>
        <v>32.5</v>
      </c>
      <c r="J54" s="232">
        <f>IF('쪽쟘(실측)'!H54&gt;0,'쪽쟘(실측)'!H54+0.5,0)</f>
        <v>35.5</v>
      </c>
      <c r="K54" s="232">
        <f>IF('쪽쟘(실측)'!F54&gt;0,'쪽쟘(실측)'!F54+1.5,0)</f>
        <v>33.5</v>
      </c>
      <c r="L54" s="232">
        <f>IF('쪽쟘(실측)'!G54&gt;0,'쪽쟘(실측)'!G54+1.5,0)</f>
        <v>33.5</v>
      </c>
      <c r="M54" s="232">
        <f>IF('쪽쟘(실측)'!H54&gt;0,'쪽쟘(실측)'!H54+1.5,0)</f>
        <v>36.5</v>
      </c>
      <c r="N54" s="232">
        <f>IF('쪽쟘(실측)'!I54&gt;0,'쪽쟘(실측)'!I54+1.5,0)</f>
        <v>36.5</v>
      </c>
      <c r="O54" s="232" t="e">
        <f>'쪽쟘(실측)'!J54-기둥차감</f>
        <v>#NAME?</v>
      </c>
      <c r="P54" s="232" t="e">
        <f>'쪽쟘(실측)'!K54-기둥차감</f>
        <v>#NAME?</v>
      </c>
      <c r="Q54" s="232" t="e">
        <f>'쪽쟘(실측)'!L54-기둥차감</f>
        <v>#NAME?</v>
      </c>
      <c r="R54" s="232" t="e">
        <f>'쪽쟘(실측)'!M54-기둥차감</f>
        <v>#NAME?</v>
      </c>
      <c r="S54" s="232">
        <f>'쪽쟘(실측)'!N54+1.2</f>
        <v>34.200000000000003</v>
      </c>
      <c r="T54" s="232">
        <f>'쪽쟘(실측)'!O54+1.2</f>
        <v>34.200000000000003</v>
      </c>
      <c r="U54" s="232">
        <f>'쪽쟘(실측)'!P54</f>
        <v>25</v>
      </c>
      <c r="V54" s="232">
        <f>'쪽쟘(실측)'!Q54</f>
        <v>25</v>
      </c>
      <c r="W54" s="232" t="e">
        <f>'쪽쟘(실측)'!R54-늘치차감</f>
        <v>#NAME?</v>
      </c>
      <c r="X54" s="232" t="e">
        <f>'쪽쟘(실측)'!S54-늘치차감</f>
        <v>#NAME?</v>
      </c>
      <c r="Z54" s="228">
        <v>963</v>
      </c>
      <c r="AA54" s="228">
        <v>119.4</v>
      </c>
      <c r="AB54" s="228">
        <v>118.4</v>
      </c>
      <c r="AC54" s="228">
        <v>2095</v>
      </c>
      <c r="AD54" s="228">
        <v>121.4</v>
      </c>
      <c r="AE54" s="228">
        <v>2095</v>
      </c>
    </row>
    <row r="55" spans="1:31" s="228" customFormat="1" ht="18.75" customHeight="1" x14ac:dyDescent="0.3">
      <c r="A55" s="232" t="str">
        <f>'쪽쟘(실측)'!A55</f>
        <v>11-1</v>
      </c>
      <c r="B55" s="232" t="str">
        <f>'쪽쟘(실측)'!B55&amp;"F"</f>
        <v>12F</v>
      </c>
      <c r="C55" s="232" t="str">
        <f t="shared" si="0"/>
        <v>964*121.4</v>
      </c>
      <c r="D55" s="232" t="e">
        <f>'쪽쟘(실측)'!C55-OP차감</f>
        <v>#NAME?</v>
      </c>
      <c r="E55" s="232" t="e">
        <f>'쪽쟘(실측)'!D55+쪽쟘J늘림+MAX(W55:X55)</f>
        <v>#VALUE!</v>
      </c>
      <c r="F55" s="233" t="e">
        <f>'쪽쟘(실측)'!E55+쪽쟘J늘림+MAX(W55:X55)</f>
        <v>#VALUE!</v>
      </c>
      <c r="G55" s="234"/>
      <c r="H55" s="235" t="str">
        <f t="shared" si="2"/>
        <v>2095*120.4</v>
      </c>
      <c r="I55" s="107">
        <f>IF('쪽쟘(실측)'!F55&gt;0,'쪽쟘(실측)'!F55+0.5,0)</f>
        <v>34.5</v>
      </c>
      <c r="J55" s="232">
        <f>IF('쪽쟘(실측)'!H55&gt;0,'쪽쟘(실측)'!H55+0.5,0)</f>
        <v>34.5</v>
      </c>
      <c r="K55" s="232">
        <f>IF('쪽쟘(실측)'!F55&gt;0,'쪽쟘(실측)'!F55+1.5,0)</f>
        <v>35.5</v>
      </c>
      <c r="L55" s="232">
        <f>IF('쪽쟘(실측)'!G55&gt;0,'쪽쟘(실측)'!G55+1.5,0)</f>
        <v>31.5</v>
      </c>
      <c r="M55" s="232">
        <f>IF('쪽쟘(실측)'!H55&gt;0,'쪽쟘(실측)'!H55+1.5,0)</f>
        <v>35.5</v>
      </c>
      <c r="N55" s="232">
        <f>IF('쪽쟘(실측)'!I55&gt;0,'쪽쟘(실측)'!I55+1.5,0)</f>
        <v>35.5</v>
      </c>
      <c r="O55" s="232" t="e">
        <f>'쪽쟘(실측)'!J55-기둥차감</f>
        <v>#NAME?</v>
      </c>
      <c r="P55" s="232" t="e">
        <f>'쪽쟘(실측)'!K55-기둥차감</f>
        <v>#NAME?</v>
      </c>
      <c r="Q55" s="232" t="e">
        <f>'쪽쟘(실측)'!L55-기둥차감</f>
        <v>#NAME?</v>
      </c>
      <c r="R55" s="232" t="e">
        <f>'쪽쟘(실측)'!M55-기둥차감</f>
        <v>#NAME?</v>
      </c>
      <c r="S55" s="232">
        <f>'쪽쟘(실측)'!N55+1.2</f>
        <v>36.200000000000003</v>
      </c>
      <c r="T55" s="232">
        <f>'쪽쟘(실측)'!O55+1.2</f>
        <v>36.200000000000003</v>
      </c>
      <c r="U55" s="232">
        <f>'쪽쟘(실측)'!P55</f>
        <v>25</v>
      </c>
      <c r="V55" s="232">
        <f>'쪽쟘(실측)'!Q55</f>
        <v>25</v>
      </c>
      <c r="W55" s="232" t="e">
        <f>'쪽쟘(실측)'!R55-늘치차감</f>
        <v>#NAME?</v>
      </c>
      <c r="X55" s="232" t="e">
        <f>'쪽쟘(실측)'!S55-늘치차감</f>
        <v>#NAME?</v>
      </c>
      <c r="Z55" s="228">
        <v>964</v>
      </c>
      <c r="AA55" s="228">
        <v>121.4</v>
      </c>
      <c r="AB55" s="228">
        <v>120.4</v>
      </c>
      <c r="AC55" s="228">
        <v>2095</v>
      </c>
      <c r="AD55" s="228">
        <v>120.4</v>
      </c>
      <c r="AE55" s="228">
        <v>2095</v>
      </c>
    </row>
    <row r="56" spans="1:31" s="228" customFormat="1" ht="18.75" customHeight="1" x14ac:dyDescent="0.3">
      <c r="A56" s="232" t="str">
        <f>'쪽쟘(실측)'!A56</f>
        <v>11-1</v>
      </c>
      <c r="B56" s="232" t="str">
        <f>'쪽쟘(실측)'!B56&amp;"F"</f>
        <v>11F</v>
      </c>
      <c r="C56" s="232" t="str">
        <f t="shared" si="0"/>
        <v>960*123.4</v>
      </c>
      <c r="D56" s="232" t="e">
        <f>'쪽쟘(실측)'!C56-OP차감</f>
        <v>#NAME?</v>
      </c>
      <c r="E56" s="232" t="e">
        <f>'쪽쟘(실측)'!D56+쪽쟘J늘림+MAX(W56:X56)</f>
        <v>#VALUE!</v>
      </c>
      <c r="F56" s="233" t="e">
        <f>'쪽쟘(실측)'!E56+쪽쟘J늘림+MAX(W56:X56)</f>
        <v>#VALUE!</v>
      </c>
      <c r="G56" s="234"/>
      <c r="H56" s="235" t="str">
        <f t="shared" si="2"/>
        <v>2095*120.4</v>
      </c>
      <c r="I56" s="107">
        <f>IF('쪽쟘(실측)'!F56&gt;0,'쪽쟘(실측)'!F56+0.5,0)</f>
        <v>30.5</v>
      </c>
      <c r="J56" s="232">
        <f>IF('쪽쟘(실측)'!H56&gt;0,'쪽쟘(실측)'!H56+0.5,0)</f>
        <v>34.5</v>
      </c>
      <c r="K56" s="232">
        <f>IF('쪽쟘(실측)'!F56&gt;0,'쪽쟘(실측)'!F56+1.5,0)</f>
        <v>31.5</v>
      </c>
      <c r="L56" s="232">
        <f>IF('쪽쟘(실측)'!G56&gt;0,'쪽쟘(실측)'!G56+1.5,0)</f>
        <v>35.5</v>
      </c>
      <c r="M56" s="232">
        <f>IF('쪽쟘(실측)'!H56&gt;0,'쪽쟘(실측)'!H56+1.5,0)</f>
        <v>35.5</v>
      </c>
      <c r="N56" s="232">
        <f>IF('쪽쟘(실측)'!I56&gt;0,'쪽쟘(실측)'!I56+1.5,0)</f>
        <v>35.5</v>
      </c>
      <c r="O56" s="232" t="e">
        <f>'쪽쟘(실측)'!J56-기둥차감</f>
        <v>#NAME?</v>
      </c>
      <c r="P56" s="232" t="e">
        <f>'쪽쟘(실측)'!K56-기둥차감</f>
        <v>#NAME?</v>
      </c>
      <c r="Q56" s="232" t="e">
        <f>'쪽쟘(실측)'!L56-기둥차감</f>
        <v>#NAME?</v>
      </c>
      <c r="R56" s="232" t="e">
        <f>'쪽쟘(실측)'!M56-기둥차감</f>
        <v>#NAME?</v>
      </c>
      <c r="S56" s="232">
        <f>'쪽쟘(실측)'!N56+1.2</f>
        <v>38.200000000000003</v>
      </c>
      <c r="T56" s="232">
        <f>'쪽쟘(실측)'!O56+1.2</f>
        <v>34.200000000000003</v>
      </c>
      <c r="U56" s="232">
        <f>'쪽쟘(실측)'!P56</f>
        <v>25</v>
      </c>
      <c r="V56" s="232">
        <f>'쪽쟘(실측)'!Q56</f>
        <v>25</v>
      </c>
      <c r="W56" s="232" t="e">
        <f>'쪽쟘(실측)'!R56-늘치차감</f>
        <v>#NAME?</v>
      </c>
      <c r="X56" s="232" t="e">
        <f>'쪽쟘(실측)'!S56-늘치차감</f>
        <v>#NAME?</v>
      </c>
      <c r="Z56" s="228">
        <v>960</v>
      </c>
      <c r="AA56" s="228">
        <v>123.4</v>
      </c>
      <c r="AB56" s="228">
        <v>120.4</v>
      </c>
      <c r="AC56" s="228">
        <v>2095</v>
      </c>
      <c r="AD56" s="228">
        <v>120.4</v>
      </c>
      <c r="AE56" s="228">
        <v>2095</v>
      </c>
    </row>
    <row r="57" spans="1:31" s="228" customFormat="1" ht="18.75" customHeight="1" x14ac:dyDescent="0.3">
      <c r="A57" s="232" t="str">
        <f>'쪽쟘(실측)'!A57</f>
        <v>11-1</v>
      </c>
      <c r="B57" s="232" t="str">
        <f>'쪽쟘(실측)'!B57&amp;"F"</f>
        <v>10F</v>
      </c>
      <c r="C57" s="232" t="str">
        <f t="shared" si="0"/>
        <v>964*120.4</v>
      </c>
      <c r="D57" s="232" t="e">
        <f>'쪽쟘(실측)'!C57-OP차감</f>
        <v>#NAME?</v>
      </c>
      <c r="E57" s="232" t="e">
        <f>'쪽쟘(실측)'!D57+쪽쟘J늘림+MAX(W57:X57)</f>
        <v>#VALUE!</v>
      </c>
      <c r="F57" s="233" t="e">
        <f>'쪽쟘(실측)'!E57+쪽쟘J늘림+MAX(W57:X57)</f>
        <v>#VALUE!</v>
      </c>
      <c r="G57" s="234" t="str">
        <f t="shared" si="1"/>
        <v>2095*119.4</v>
      </c>
      <c r="H57" s="235" t="str">
        <f t="shared" si="2"/>
        <v>2095*121.4</v>
      </c>
      <c r="I57" s="107">
        <f>IF('쪽쟘(실측)'!F57&gt;0,'쪽쟘(실측)'!F57+0.5,0)</f>
        <v>33.5</v>
      </c>
      <c r="J57" s="232">
        <f>IF('쪽쟘(실측)'!H57&gt;0,'쪽쟘(실측)'!H57+0.5,0)</f>
        <v>35.5</v>
      </c>
      <c r="K57" s="232">
        <f>IF('쪽쟘(실측)'!F57&gt;0,'쪽쟘(실측)'!F57+1.5,0)</f>
        <v>34.5</v>
      </c>
      <c r="L57" s="232">
        <f>IF('쪽쟘(실측)'!G57&gt;0,'쪽쟘(실측)'!G57+1.5,0)</f>
        <v>34.5</v>
      </c>
      <c r="M57" s="232">
        <f>IF('쪽쟘(실측)'!H57&gt;0,'쪽쟘(실측)'!H57+1.5,0)</f>
        <v>36.5</v>
      </c>
      <c r="N57" s="232">
        <f>IF('쪽쟘(실측)'!I57&gt;0,'쪽쟘(실측)'!I57+1.5,0)</f>
        <v>36.5</v>
      </c>
      <c r="O57" s="232" t="e">
        <f>'쪽쟘(실측)'!J57-기둥차감</f>
        <v>#NAME?</v>
      </c>
      <c r="P57" s="232" t="e">
        <f>'쪽쟘(실측)'!K57-기둥차감</f>
        <v>#NAME?</v>
      </c>
      <c r="Q57" s="232" t="e">
        <f>'쪽쟘(실측)'!L57-기둥차감</f>
        <v>#NAME?</v>
      </c>
      <c r="R57" s="232" t="e">
        <f>'쪽쟘(실측)'!M57-기둥차감</f>
        <v>#NAME?</v>
      </c>
      <c r="S57" s="232">
        <f>'쪽쟘(실측)'!N57+1.2</f>
        <v>35.200000000000003</v>
      </c>
      <c r="T57" s="232">
        <f>'쪽쟘(실측)'!O57+1.2</f>
        <v>35.200000000000003</v>
      </c>
      <c r="U57" s="232">
        <f>'쪽쟘(실측)'!P57</f>
        <v>25</v>
      </c>
      <c r="V57" s="232">
        <f>'쪽쟘(실측)'!Q57</f>
        <v>25</v>
      </c>
      <c r="W57" s="232" t="e">
        <f>'쪽쟘(실측)'!R57-늘치차감</f>
        <v>#NAME?</v>
      </c>
      <c r="X57" s="232" t="e">
        <f>'쪽쟘(실측)'!S57-늘치차감</f>
        <v>#NAME?</v>
      </c>
      <c r="Z57" s="228">
        <v>964</v>
      </c>
      <c r="AA57" s="228">
        <v>120.4</v>
      </c>
      <c r="AB57" s="228">
        <v>119.4</v>
      </c>
      <c r="AC57" s="228">
        <v>2095</v>
      </c>
      <c r="AD57" s="228">
        <v>121.4</v>
      </c>
      <c r="AE57" s="228">
        <v>2095</v>
      </c>
    </row>
    <row r="58" spans="1:31" s="228" customFormat="1" ht="18.75" customHeight="1" x14ac:dyDescent="0.3">
      <c r="A58" s="232" t="str">
        <f>'쪽쟘(실측)'!A58</f>
        <v>11-1</v>
      </c>
      <c r="B58" s="232" t="str">
        <f>'쪽쟘(실측)'!B58&amp;"F"</f>
        <v>9F</v>
      </c>
      <c r="C58" s="232" t="str">
        <f t="shared" si="0"/>
        <v>958*121.4</v>
      </c>
      <c r="D58" s="232" t="e">
        <f>'쪽쟘(실측)'!C58-OP차감</f>
        <v>#NAME?</v>
      </c>
      <c r="E58" s="232" t="e">
        <f>'쪽쟘(실측)'!D58+쪽쟘J늘림+MAX(W58:X58)</f>
        <v>#VALUE!</v>
      </c>
      <c r="F58" s="233" t="e">
        <f>'쪽쟘(실측)'!E58+쪽쟘J늘림+MAX(W58:X58)</f>
        <v>#VALUE!</v>
      </c>
      <c r="G58" s="234" t="str">
        <f t="shared" si="1"/>
        <v>2095*117.4</v>
      </c>
      <c r="H58" s="235" t="str">
        <f t="shared" si="2"/>
        <v>2095*117.4</v>
      </c>
      <c r="I58" s="107">
        <f>IF('쪽쟘(실측)'!F58&gt;0,'쪽쟘(실측)'!F58+0.5,0)</f>
        <v>31.5</v>
      </c>
      <c r="J58" s="232">
        <f>IF('쪽쟘(실측)'!H58&gt;0,'쪽쟘(실측)'!H58+0.5,0)</f>
        <v>31.5</v>
      </c>
      <c r="K58" s="232">
        <f>IF('쪽쟘(실측)'!F58&gt;0,'쪽쟘(실측)'!F58+1.5,0)</f>
        <v>32.5</v>
      </c>
      <c r="L58" s="232">
        <f>IF('쪽쟘(실측)'!G58&gt;0,'쪽쟘(실측)'!G58+1.5,0)</f>
        <v>32.5</v>
      </c>
      <c r="M58" s="232">
        <f>IF('쪽쟘(실측)'!H58&gt;0,'쪽쟘(실측)'!H58+1.5,0)</f>
        <v>32.5</v>
      </c>
      <c r="N58" s="232">
        <f>IF('쪽쟘(실측)'!I58&gt;0,'쪽쟘(실측)'!I58+1.5,0)</f>
        <v>32.5</v>
      </c>
      <c r="O58" s="232" t="e">
        <f>'쪽쟘(실측)'!J58-기둥차감</f>
        <v>#NAME?</v>
      </c>
      <c r="P58" s="232" t="e">
        <f>'쪽쟘(실측)'!K58-기둥차감</f>
        <v>#NAME?</v>
      </c>
      <c r="Q58" s="232" t="e">
        <f>'쪽쟘(실측)'!L58-기둥차감</f>
        <v>#NAME?</v>
      </c>
      <c r="R58" s="232" t="e">
        <f>'쪽쟘(실측)'!M58-기둥차감</f>
        <v>#NAME?</v>
      </c>
      <c r="S58" s="232">
        <f>'쪽쟘(실측)'!N58+1.2</f>
        <v>36.200000000000003</v>
      </c>
      <c r="T58" s="232">
        <f>'쪽쟘(실측)'!O58+1.2</f>
        <v>36.200000000000003</v>
      </c>
      <c r="U58" s="232">
        <f>'쪽쟘(실측)'!P58</f>
        <v>25</v>
      </c>
      <c r="V58" s="232">
        <f>'쪽쟘(실측)'!Q58</f>
        <v>25</v>
      </c>
      <c r="W58" s="232" t="e">
        <f>'쪽쟘(실측)'!R58-늘치차감</f>
        <v>#NAME?</v>
      </c>
      <c r="X58" s="232" t="e">
        <f>'쪽쟘(실측)'!S58-늘치차감</f>
        <v>#NAME?</v>
      </c>
      <c r="Z58" s="228">
        <v>958</v>
      </c>
      <c r="AA58" s="228">
        <v>121.4</v>
      </c>
      <c r="AB58" s="228">
        <v>117.4</v>
      </c>
      <c r="AC58" s="228">
        <v>2095</v>
      </c>
      <c r="AD58" s="228">
        <v>117.4</v>
      </c>
      <c r="AE58" s="228">
        <v>2095</v>
      </c>
    </row>
    <row r="59" spans="1:31" s="228" customFormat="1" ht="18.75" customHeight="1" x14ac:dyDescent="0.3">
      <c r="A59" s="232" t="str">
        <f>'쪽쟘(실측)'!A59</f>
        <v>11-1</v>
      </c>
      <c r="B59" s="232" t="str">
        <f>'쪽쟘(실측)'!B59&amp;"F"</f>
        <v>8F</v>
      </c>
      <c r="C59" s="232" t="str">
        <f t="shared" si="0"/>
        <v>961*118.4</v>
      </c>
      <c r="D59" s="232" t="e">
        <f>'쪽쟘(실측)'!C59-OP차감</f>
        <v>#NAME?</v>
      </c>
      <c r="E59" s="232" t="e">
        <f>'쪽쟘(실측)'!D59+쪽쟘J늘림+MAX(W59:X59)</f>
        <v>#VALUE!</v>
      </c>
      <c r="F59" s="233" t="e">
        <f>'쪽쟘(실측)'!E59+쪽쟘J늘림+MAX(W59:X59)</f>
        <v>#VALUE!</v>
      </c>
      <c r="G59" s="234" t="str">
        <f t="shared" si="1"/>
        <v>2095*117.4</v>
      </c>
      <c r="H59" s="235" t="str">
        <f t="shared" si="2"/>
        <v>2095*121.4</v>
      </c>
      <c r="I59" s="107">
        <f>IF('쪽쟘(실측)'!F59&gt;0,'쪽쟘(실측)'!F59+0.5,0)</f>
        <v>31.5</v>
      </c>
      <c r="J59" s="232">
        <f>IF('쪽쟘(실측)'!H59&gt;0,'쪽쟘(실측)'!H59+0.5,0)</f>
        <v>35.5</v>
      </c>
      <c r="K59" s="232">
        <f>IF('쪽쟘(실측)'!F59&gt;0,'쪽쟘(실측)'!F59+1.5,0)</f>
        <v>32.5</v>
      </c>
      <c r="L59" s="232">
        <f>IF('쪽쟘(실측)'!G59&gt;0,'쪽쟘(실측)'!G59+1.5,0)</f>
        <v>32.5</v>
      </c>
      <c r="M59" s="232">
        <f>IF('쪽쟘(실측)'!H59&gt;0,'쪽쟘(실측)'!H59+1.5,0)</f>
        <v>36.5</v>
      </c>
      <c r="N59" s="232">
        <f>IF('쪽쟘(실측)'!I59&gt;0,'쪽쟘(실측)'!I59+1.5,0)</f>
        <v>36.5</v>
      </c>
      <c r="O59" s="232" t="e">
        <f>'쪽쟘(실측)'!J59-기둥차감</f>
        <v>#NAME?</v>
      </c>
      <c r="P59" s="232" t="e">
        <f>'쪽쟘(실측)'!K59-기둥차감</f>
        <v>#NAME?</v>
      </c>
      <c r="Q59" s="232" t="e">
        <f>'쪽쟘(실측)'!L59-기둥차감</f>
        <v>#NAME?</v>
      </c>
      <c r="R59" s="232" t="e">
        <f>'쪽쟘(실측)'!M59-기둥차감</f>
        <v>#NAME?</v>
      </c>
      <c r="S59" s="232">
        <f>'쪽쟘(실측)'!N59+1.2</f>
        <v>33.200000000000003</v>
      </c>
      <c r="T59" s="232">
        <f>'쪽쟘(실측)'!O59+1.2</f>
        <v>33.200000000000003</v>
      </c>
      <c r="U59" s="232">
        <f>'쪽쟘(실측)'!P59</f>
        <v>25</v>
      </c>
      <c r="V59" s="232">
        <f>'쪽쟘(실측)'!Q59</f>
        <v>25</v>
      </c>
      <c r="W59" s="232" t="e">
        <f>'쪽쟘(실측)'!R59-늘치차감</f>
        <v>#NAME?</v>
      </c>
      <c r="X59" s="232" t="e">
        <f>'쪽쟘(실측)'!S59-늘치차감</f>
        <v>#NAME?</v>
      </c>
      <c r="Z59" s="228">
        <v>961</v>
      </c>
      <c r="AA59" s="228">
        <v>118.4</v>
      </c>
      <c r="AB59" s="228">
        <v>117.4</v>
      </c>
      <c r="AC59" s="228">
        <v>2095</v>
      </c>
      <c r="AD59" s="228">
        <v>121.4</v>
      </c>
      <c r="AE59" s="228">
        <v>2095</v>
      </c>
    </row>
    <row r="60" spans="1:31" s="228" customFormat="1" ht="18.75" customHeight="1" x14ac:dyDescent="0.3">
      <c r="A60" s="232" t="str">
        <f>'쪽쟘(실측)'!A60</f>
        <v>11-1</v>
      </c>
      <c r="B60" s="232" t="str">
        <f>'쪽쟘(실측)'!B60&amp;"F"</f>
        <v>7F</v>
      </c>
      <c r="C60" s="232" t="str">
        <f t="shared" si="0"/>
        <v>960*120.4</v>
      </c>
      <c r="D60" s="232" t="e">
        <f>'쪽쟘(실측)'!C60-OP차감</f>
        <v>#NAME?</v>
      </c>
      <c r="E60" s="232" t="e">
        <f>'쪽쟘(실측)'!D60+쪽쟘J늘림+MAX(W60:X60)</f>
        <v>#VALUE!</v>
      </c>
      <c r="F60" s="233" t="e">
        <f>'쪽쟘(실측)'!E60+쪽쟘J늘림+MAX(W60:X60)</f>
        <v>#VALUE!</v>
      </c>
      <c r="G60" s="234" t="str">
        <f t="shared" si="1"/>
        <v>2095*117.4</v>
      </c>
      <c r="H60" s="235" t="str">
        <f t="shared" si="2"/>
        <v>2095*119.4</v>
      </c>
      <c r="I60" s="107">
        <f>IF('쪽쟘(실측)'!F60&gt;0,'쪽쟘(실측)'!F60+0.5,0)</f>
        <v>31.5</v>
      </c>
      <c r="J60" s="232">
        <f>IF('쪽쟘(실측)'!H60&gt;0,'쪽쟘(실측)'!H60+0.5,0)</f>
        <v>33.5</v>
      </c>
      <c r="K60" s="232">
        <f>IF('쪽쟘(실측)'!F60&gt;0,'쪽쟘(실측)'!F60+1.5,0)</f>
        <v>32.5</v>
      </c>
      <c r="L60" s="232">
        <f>IF('쪽쟘(실측)'!G60&gt;0,'쪽쟘(실측)'!G60+1.5,0)</f>
        <v>32.5</v>
      </c>
      <c r="M60" s="232">
        <f>IF('쪽쟘(실측)'!H60&gt;0,'쪽쟘(실측)'!H60+1.5,0)</f>
        <v>34.5</v>
      </c>
      <c r="N60" s="232">
        <f>IF('쪽쟘(실측)'!I60&gt;0,'쪽쟘(실측)'!I60+1.5,0)</f>
        <v>34.5</v>
      </c>
      <c r="O60" s="232" t="e">
        <f>'쪽쟘(실측)'!J60-기둥차감</f>
        <v>#NAME?</v>
      </c>
      <c r="P60" s="232" t="e">
        <f>'쪽쟘(실측)'!K60-기둥차감</f>
        <v>#NAME?</v>
      </c>
      <c r="Q60" s="232" t="e">
        <f>'쪽쟘(실측)'!L60-기둥차감</f>
        <v>#NAME?</v>
      </c>
      <c r="R60" s="232" t="e">
        <f>'쪽쟘(실측)'!M60-기둥차감</f>
        <v>#NAME?</v>
      </c>
      <c r="S60" s="232">
        <f>'쪽쟘(실측)'!N60+1.2</f>
        <v>35.200000000000003</v>
      </c>
      <c r="T60" s="232">
        <f>'쪽쟘(실측)'!O60+1.2</f>
        <v>35.200000000000003</v>
      </c>
      <c r="U60" s="232">
        <f>'쪽쟘(실측)'!P60</f>
        <v>25</v>
      </c>
      <c r="V60" s="232">
        <f>'쪽쟘(실측)'!Q60</f>
        <v>25</v>
      </c>
      <c r="W60" s="232" t="e">
        <f>'쪽쟘(실측)'!R60-늘치차감</f>
        <v>#NAME?</v>
      </c>
      <c r="X60" s="232" t="e">
        <f>'쪽쟘(실측)'!S60-늘치차감</f>
        <v>#NAME?</v>
      </c>
      <c r="Z60" s="228">
        <v>960</v>
      </c>
      <c r="AA60" s="228">
        <v>120.4</v>
      </c>
      <c r="AB60" s="228">
        <v>117.4</v>
      </c>
      <c r="AC60" s="228">
        <v>2095</v>
      </c>
      <c r="AD60" s="228">
        <v>119.4</v>
      </c>
      <c r="AE60" s="228">
        <v>2095</v>
      </c>
    </row>
    <row r="61" spans="1:31" s="228" customFormat="1" ht="18.75" customHeight="1" x14ac:dyDescent="0.3">
      <c r="A61" s="232" t="str">
        <f>'쪽쟘(실측)'!A61</f>
        <v>11-1</v>
      </c>
      <c r="B61" s="232" t="str">
        <f>'쪽쟘(실측)'!B61&amp;"F"</f>
        <v>6F</v>
      </c>
      <c r="C61" s="232" t="str">
        <f t="shared" si="0"/>
        <v>958*121.4</v>
      </c>
      <c r="D61" s="232" t="e">
        <f>'쪽쟘(실측)'!C61-OP차감</f>
        <v>#NAME?</v>
      </c>
      <c r="E61" s="232" t="e">
        <f>'쪽쟘(실측)'!D61+쪽쟘J늘림+MAX(W61:X61)</f>
        <v>#VALUE!</v>
      </c>
      <c r="F61" s="233" t="e">
        <f>'쪽쟘(실측)'!E61+쪽쟘J늘림+MAX(W61:X61)</f>
        <v>#VALUE!</v>
      </c>
      <c r="G61" s="234" t="str">
        <f t="shared" si="1"/>
        <v>2095*116.4</v>
      </c>
      <c r="H61" s="235" t="str">
        <f t="shared" si="2"/>
        <v>2095*117.4</v>
      </c>
      <c r="I61" s="107">
        <f>IF('쪽쟘(실측)'!F61&gt;0,'쪽쟘(실측)'!F61+0.5,0)</f>
        <v>30.5</v>
      </c>
      <c r="J61" s="232">
        <f>IF('쪽쟘(실측)'!H61&gt;0,'쪽쟘(실측)'!H61+0.5,0)</f>
        <v>31.5</v>
      </c>
      <c r="K61" s="232">
        <f>IF('쪽쟘(실측)'!F61&gt;0,'쪽쟘(실측)'!F61+1.5,0)</f>
        <v>31.5</v>
      </c>
      <c r="L61" s="232">
        <f>IF('쪽쟘(실측)'!G61&gt;0,'쪽쟘(실측)'!G61+1.5,0)</f>
        <v>31.5</v>
      </c>
      <c r="M61" s="232">
        <f>IF('쪽쟘(실측)'!H61&gt;0,'쪽쟘(실측)'!H61+1.5,0)</f>
        <v>32.5</v>
      </c>
      <c r="N61" s="232">
        <f>IF('쪽쟘(실측)'!I61&gt;0,'쪽쟘(실측)'!I61+1.5,0)</f>
        <v>32.5</v>
      </c>
      <c r="O61" s="232" t="e">
        <f>'쪽쟘(실측)'!J61-기둥차감</f>
        <v>#NAME?</v>
      </c>
      <c r="P61" s="232" t="e">
        <f>'쪽쟘(실측)'!K61-기둥차감</f>
        <v>#NAME?</v>
      </c>
      <c r="Q61" s="232" t="e">
        <f>'쪽쟘(실측)'!L61-기둥차감</f>
        <v>#NAME?</v>
      </c>
      <c r="R61" s="232" t="e">
        <f>'쪽쟘(실측)'!M61-기둥차감</f>
        <v>#NAME?</v>
      </c>
      <c r="S61" s="232">
        <f>'쪽쟘(실측)'!N61+1.2</f>
        <v>36.200000000000003</v>
      </c>
      <c r="T61" s="232">
        <f>'쪽쟘(실측)'!O61+1.2</f>
        <v>36.200000000000003</v>
      </c>
      <c r="U61" s="232">
        <f>'쪽쟘(실측)'!P61</f>
        <v>25</v>
      </c>
      <c r="V61" s="232">
        <f>'쪽쟘(실측)'!Q61</f>
        <v>25</v>
      </c>
      <c r="W61" s="232" t="e">
        <f>'쪽쟘(실측)'!R61-늘치차감</f>
        <v>#NAME?</v>
      </c>
      <c r="X61" s="232" t="e">
        <f>'쪽쟘(실측)'!S61-늘치차감</f>
        <v>#NAME?</v>
      </c>
      <c r="Z61" s="228">
        <v>958</v>
      </c>
      <c r="AA61" s="228">
        <v>121.4</v>
      </c>
      <c r="AB61" s="228">
        <v>116.4</v>
      </c>
      <c r="AC61" s="228">
        <v>2095</v>
      </c>
      <c r="AD61" s="228">
        <v>117.4</v>
      </c>
      <c r="AE61" s="228">
        <v>2095</v>
      </c>
    </row>
    <row r="62" spans="1:31" s="228" customFormat="1" ht="18.75" customHeight="1" x14ac:dyDescent="0.3">
      <c r="A62" s="232" t="str">
        <f>'쪽쟘(실측)'!A62</f>
        <v>11-1</v>
      </c>
      <c r="B62" s="232" t="str">
        <f>'쪽쟘(실측)'!B62&amp;"F"</f>
        <v>5F</v>
      </c>
      <c r="C62" s="232" t="str">
        <f t="shared" si="0"/>
        <v>961*120.4</v>
      </c>
      <c r="D62" s="232" t="e">
        <f>'쪽쟘(실측)'!C62-OP차감</f>
        <v>#NAME?</v>
      </c>
      <c r="E62" s="232" t="e">
        <f>'쪽쟘(실측)'!D62+쪽쟘J늘림+MAX(W62:X62)</f>
        <v>#VALUE!</v>
      </c>
      <c r="F62" s="233" t="e">
        <f>'쪽쟘(실측)'!E62+쪽쟘J늘림+MAX(W62:X62)</f>
        <v>#VALUE!</v>
      </c>
      <c r="G62" s="234" t="str">
        <f t="shared" si="1"/>
        <v>2095*117.4</v>
      </c>
      <c r="H62" s="235" t="str">
        <f t="shared" si="2"/>
        <v>2095*120.4</v>
      </c>
      <c r="I62" s="107">
        <f>IF('쪽쟘(실측)'!F62&gt;0,'쪽쟘(실측)'!F62+0.5,0)</f>
        <v>31.5</v>
      </c>
      <c r="J62" s="232">
        <f>IF('쪽쟘(실측)'!H62&gt;0,'쪽쟘(실측)'!H62+0.5,0)</f>
        <v>34.5</v>
      </c>
      <c r="K62" s="232">
        <f>IF('쪽쟘(실측)'!F62&gt;0,'쪽쟘(실측)'!F62+1.5,0)</f>
        <v>32.5</v>
      </c>
      <c r="L62" s="232">
        <f>IF('쪽쟘(실측)'!G62&gt;0,'쪽쟘(실측)'!G62+1.5,0)</f>
        <v>32.5</v>
      </c>
      <c r="M62" s="232">
        <f>IF('쪽쟘(실측)'!H62&gt;0,'쪽쟘(실측)'!H62+1.5,0)</f>
        <v>35.5</v>
      </c>
      <c r="N62" s="232">
        <f>IF('쪽쟘(실측)'!I62&gt;0,'쪽쟘(실측)'!I62+1.5,0)</f>
        <v>35.5</v>
      </c>
      <c r="O62" s="232" t="e">
        <f>'쪽쟘(실측)'!J62-기둥차감</f>
        <v>#NAME?</v>
      </c>
      <c r="P62" s="232" t="e">
        <f>'쪽쟘(실측)'!K62-기둥차감</f>
        <v>#NAME?</v>
      </c>
      <c r="Q62" s="232" t="e">
        <f>'쪽쟘(실측)'!L62-기둥차감</f>
        <v>#NAME?</v>
      </c>
      <c r="R62" s="232" t="e">
        <f>'쪽쟘(실측)'!M62-기둥차감</f>
        <v>#NAME?</v>
      </c>
      <c r="S62" s="232">
        <f>'쪽쟘(실측)'!N62+1.2</f>
        <v>35.200000000000003</v>
      </c>
      <c r="T62" s="232">
        <f>'쪽쟘(실측)'!O62+1.2</f>
        <v>35.200000000000003</v>
      </c>
      <c r="U62" s="232">
        <f>'쪽쟘(실측)'!P62</f>
        <v>25</v>
      </c>
      <c r="V62" s="232">
        <f>'쪽쟘(실측)'!Q62</f>
        <v>25</v>
      </c>
      <c r="W62" s="232" t="e">
        <f>'쪽쟘(실측)'!R62-늘치차감</f>
        <v>#NAME?</v>
      </c>
      <c r="X62" s="232" t="e">
        <f>'쪽쟘(실측)'!S62-늘치차감</f>
        <v>#NAME?</v>
      </c>
      <c r="Z62" s="228">
        <v>961</v>
      </c>
      <c r="AA62" s="228">
        <v>120.4</v>
      </c>
      <c r="AB62" s="228">
        <v>117.4</v>
      </c>
      <c r="AC62" s="228">
        <v>2095</v>
      </c>
      <c r="AD62" s="228">
        <v>120.4</v>
      </c>
      <c r="AE62" s="228">
        <v>2095</v>
      </c>
    </row>
    <row r="63" spans="1:31" s="228" customFormat="1" ht="18.75" customHeight="1" x14ac:dyDescent="0.3">
      <c r="A63" s="232" t="str">
        <f>'쪽쟘(실측)'!A63</f>
        <v>11-1</v>
      </c>
      <c r="B63" s="232" t="str">
        <f>'쪽쟘(실측)'!B63&amp;"F"</f>
        <v>4F</v>
      </c>
      <c r="C63" s="232" t="str">
        <f t="shared" si="0"/>
        <v>960*120.4</v>
      </c>
      <c r="D63" s="232" t="e">
        <f>'쪽쟘(실측)'!C63-OP차감</f>
        <v>#NAME?</v>
      </c>
      <c r="E63" s="232" t="e">
        <f>'쪽쟘(실측)'!D63+쪽쟘J늘림+MAX(W63:X63)</f>
        <v>#VALUE!</v>
      </c>
      <c r="F63" s="233" t="e">
        <f>'쪽쟘(실측)'!E63+쪽쟘J늘림+MAX(W63:X63)</f>
        <v>#VALUE!</v>
      </c>
      <c r="G63" s="234" t="str">
        <f t="shared" si="1"/>
        <v>2095*117.4</v>
      </c>
      <c r="H63" s="235" t="str">
        <f t="shared" si="2"/>
        <v>2095*118.4</v>
      </c>
      <c r="I63" s="107">
        <f>IF('쪽쟘(실측)'!F63&gt;0,'쪽쟘(실측)'!F63+0.5,0)</f>
        <v>31.5</v>
      </c>
      <c r="J63" s="232">
        <f>IF('쪽쟘(실측)'!H63&gt;0,'쪽쟘(실측)'!H63+0.5,0)</f>
        <v>32.5</v>
      </c>
      <c r="K63" s="232">
        <f>IF('쪽쟘(실측)'!F63&gt;0,'쪽쟘(실측)'!F63+1.5,0)</f>
        <v>32.5</v>
      </c>
      <c r="L63" s="232">
        <f>IF('쪽쟘(실측)'!G63&gt;0,'쪽쟘(실측)'!G63+1.5,0)</f>
        <v>32.5</v>
      </c>
      <c r="M63" s="232">
        <f>IF('쪽쟘(실측)'!H63&gt;0,'쪽쟘(실측)'!H63+1.5,0)</f>
        <v>33.5</v>
      </c>
      <c r="N63" s="232">
        <f>IF('쪽쟘(실측)'!I63&gt;0,'쪽쟘(실측)'!I63+1.5,0)</f>
        <v>33.5</v>
      </c>
      <c r="O63" s="232" t="e">
        <f>'쪽쟘(실측)'!J63-기둥차감</f>
        <v>#NAME?</v>
      </c>
      <c r="P63" s="232" t="e">
        <f>'쪽쟘(실측)'!K63-기둥차감</f>
        <v>#NAME?</v>
      </c>
      <c r="Q63" s="232" t="e">
        <f>'쪽쟘(실측)'!L63-기둥차감</f>
        <v>#NAME?</v>
      </c>
      <c r="R63" s="232" t="e">
        <f>'쪽쟘(실측)'!M63-기둥차감</f>
        <v>#NAME?</v>
      </c>
      <c r="S63" s="232">
        <f>'쪽쟘(실측)'!N63+1.2</f>
        <v>35.200000000000003</v>
      </c>
      <c r="T63" s="232">
        <f>'쪽쟘(실측)'!O63+1.2</f>
        <v>35.200000000000003</v>
      </c>
      <c r="U63" s="232">
        <f>'쪽쟘(실측)'!P63</f>
        <v>25</v>
      </c>
      <c r="V63" s="232">
        <f>'쪽쟘(실측)'!Q63</f>
        <v>25</v>
      </c>
      <c r="W63" s="232" t="e">
        <f>'쪽쟘(실측)'!R63-늘치차감</f>
        <v>#NAME?</v>
      </c>
      <c r="X63" s="232" t="e">
        <f>'쪽쟘(실측)'!S63-늘치차감</f>
        <v>#NAME?</v>
      </c>
      <c r="Z63" s="228">
        <v>960</v>
      </c>
      <c r="AA63" s="228">
        <v>120.4</v>
      </c>
      <c r="AB63" s="228">
        <v>117.4</v>
      </c>
      <c r="AC63" s="228">
        <v>2095</v>
      </c>
      <c r="AD63" s="228">
        <v>118.4</v>
      </c>
      <c r="AE63" s="228">
        <v>2095</v>
      </c>
    </row>
    <row r="64" spans="1:31" s="228" customFormat="1" ht="18.75" customHeight="1" x14ac:dyDescent="0.3">
      <c r="A64" s="232" t="str">
        <f>'쪽쟘(실측)'!A64</f>
        <v>11-1</v>
      </c>
      <c r="B64" s="232" t="str">
        <f>'쪽쟘(실측)'!B64&amp;"F"</f>
        <v>3F</v>
      </c>
      <c r="C64" s="232" t="str">
        <f t="shared" si="0"/>
        <v>958*119.4</v>
      </c>
      <c r="D64" s="232" t="e">
        <f>'쪽쟘(실측)'!C64-OP차감</f>
        <v>#NAME?</v>
      </c>
      <c r="E64" s="232" t="e">
        <f>'쪽쟘(실측)'!D64+쪽쟘J늘림+MAX(W64:X64)</f>
        <v>#VALUE!</v>
      </c>
      <c r="F64" s="233" t="e">
        <f>'쪽쟘(실측)'!E64+쪽쟘J늘림+MAX(W64:X64)</f>
        <v>#VALUE!</v>
      </c>
      <c r="G64" s="234" t="str">
        <f t="shared" si="1"/>
        <v>2095*117.4</v>
      </c>
      <c r="H64" s="235" t="str">
        <f t="shared" si="2"/>
        <v>2095*117.4</v>
      </c>
      <c r="I64" s="107">
        <f>IF('쪽쟘(실측)'!F64&gt;0,'쪽쟘(실측)'!F64+0.5,0)</f>
        <v>31.5</v>
      </c>
      <c r="J64" s="232">
        <f>IF('쪽쟘(실측)'!H64&gt;0,'쪽쟘(실측)'!H64+0.5,0)</f>
        <v>31.5</v>
      </c>
      <c r="K64" s="232">
        <f>IF('쪽쟘(실측)'!F64&gt;0,'쪽쟘(실측)'!F64+1.5,0)</f>
        <v>32.5</v>
      </c>
      <c r="L64" s="232">
        <f>IF('쪽쟘(실측)'!G64&gt;0,'쪽쟘(실측)'!G64+1.5,0)</f>
        <v>32.5</v>
      </c>
      <c r="M64" s="232">
        <f>IF('쪽쟘(실측)'!H64&gt;0,'쪽쟘(실측)'!H64+1.5,0)</f>
        <v>32.5</v>
      </c>
      <c r="N64" s="232">
        <f>IF('쪽쟘(실측)'!I64&gt;0,'쪽쟘(실측)'!I64+1.5,0)</f>
        <v>32.5</v>
      </c>
      <c r="O64" s="232" t="e">
        <f>'쪽쟘(실측)'!J64-기둥차감</f>
        <v>#NAME?</v>
      </c>
      <c r="P64" s="232" t="e">
        <f>'쪽쟘(실측)'!K64-기둥차감</f>
        <v>#NAME?</v>
      </c>
      <c r="Q64" s="232" t="e">
        <f>'쪽쟘(실측)'!L64-기둥차감</f>
        <v>#NAME?</v>
      </c>
      <c r="R64" s="232" t="e">
        <f>'쪽쟘(실측)'!M64-기둥차감</f>
        <v>#NAME?</v>
      </c>
      <c r="S64" s="232">
        <f>'쪽쟘(실측)'!N64+1.2</f>
        <v>34.200000000000003</v>
      </c>
      <c r="T64" s="232">
        <f>'쪽쟘(실측)'!O64+1.2</f>
        <v>34.200000000000003</v>
      </c>
      <c r="U64" s="232">
        <f>'쪽쟘(실측)'!P64</f>
        <v>25</v>
      </c>
      <c r="V64" s="232">
        <f>'쪽쟘(실측)'!Q64</f>
        <v>25</v>
      </c>
      <c r="W64" s="232" t="e">
        <f>'쪽쟘(실측)'!R64-늘치차감</f>
        <v>#NAME?</v>
      </c>
      <c r="X64" s="232" t="e">
        <f>'쪽쟘(실측)'!S64-늘치차감</f>
        <v>#NAME?</v>
      </c>
      <c r="Z64" s="228">
        <v>958</v>
      </c>
      <c r="AA64" s="228">
        <v>119.4</v>
      </c>
      <c r="AB64" s="228">
        <v>117.4</v>
      </c>
      <c r="AC64" s="228">
        <v>2095</v>
      </c>
      <c r="AD64" s="228">
        <v>117.4</v>
      </c>
      <c r="AE64" s="228">
        <v>2095</v>
      </c>
    </row>
    <row r="65" spans="1:31" s="228" customFormat="1" ht="18.75" customHeight="1" x14ac:dyDescent="0.3">
      <c r="A65" s="232" t="str">
        <f>'쪽쟘(실측)'!A65</f>
        <v>11-1</v>
      </c>
      <c r="B65" s="232" t="str">
        <f>'쪽쟘(실측)'!B65&amp;"F"</f>
        <v>2F</v>
      </c>
      <c r="C65" s="232" t="str">
        <f t="shared" si="0"/>
        <v>955*118.4</v>
      </c>
      <c r="D65" s="232" t="e">
        <f>'쪽쟘(실측)'!C65-OP차감</f>
        <v>#NAME?</v>
      </c>
      <c r="E65" s="232" t="e">
        <f>'쪽쟘(실측)'!D65+쪽쟘J늘림+MAX(W65:X65)</f>
        <v>#VALUE!</v>
      </c>
      <c r="F65" s="233" t="e">
        <f>'쪽쟘(실측)'!E65+쪽쟘J늘림+MAX(W65:X65)</f>
        <v>#VALUE!</v>
      </c>
      <c r="G65" s="234" t="str">
        <f t="shared" si="1"/>
        <v>2095*114.4</v>
      </c>
      <c r="H65" s="235" t="str">
        <f t="shared" si="2"/>
        <v>2095*117.4</v>
      </c>
      <c r="I65" s="107">
        <f>IF('쪽쟘(실측)'!F65&gt;0,'쪽쟘(실측)'!F65+0.5,0)</f>
        <v>28.5</v>
      </c>
      <c r="J65" s="232">
        <f>IF('쪽쟘(실측)'!H65&gt;0,'쪽쟘(실측)'!H65+0.5,0)</f>
        <v>31.5</v>
      </c>
      <c r="K65" s="232">
        <f>IF('쪽쟘(실측)'!F65&gt;0,'쪽쟘(실측)'!F65+1.5,0)</f>
        <v>29.5</v>
      </c>
      <c r="L65" s="232">
        <f>IF('쪽쟘(실측)'!G65&gt;0,'쪽쟘(실측)'!G65+1.5,0)</f>
        <v>29.5</v>
      </c>
      <c r="M65" s="232">
        <f>IF('쪽쟘(실측)'!H65&gt;0,'쪽쟘(실측)'!H65+1.5,0)</f>
        <v>32.5</v>
      </c>
      <c r="N65" s="232">
        <f>IF('쪽쟘(실측)'!I65&gt;0,'쪽쟘(실측)'!I65+1.5,0)</f>
        <v>32.5</v>
      </c>
      <c r="O65" s="232" t="e">
        <f>'쪽쟘(실측)'!J65-기둥차감</f>
        <v>#NAME?</v>
      </c>
      <c r="P65" s="232" t="e">
        <f>'쪽쟘(실측)'!K65-기둥차감</f>
        <v>#NAME?</v>
      </c>
      <c r="Q65" s="232" t="e">
        <f>'쪽쟘(실측)'!L65-기둥차감</f>
        <v>#NAME?</v>
      </c>
      <c r="R65" s="232" t="e">
        <f>'쪽쟘(실측)'!M65-기둥차감</f>
        <v>#NAME?</v>
      </c>
      <c r="S65" s="232">
        <f>'쪽쟘(실측)'!N65+1.2</f>
        <v>33.200000000000003</v>
      </c>
      <c r="T65" s="232">
        <f>'쪽쟘(실측)'!O65+1.2</f>
        <v>33.200000000000003</v>
      </c>
      <c r="U65" s="232">
        <f>'쪽쟘(실측)'!P65</f>
        <v>25</v>
      </c>
      <c r="V65" s="232">
        <f>'쪽쟘(실측)'!Q65</f>
        <v>25</v>
      </c>
      <c r="W65" s="232" t="e">
        <f>'쪽쟘(실측)'!R65-늘치차감</f>
        <v>#NAME?</v>
      </c>
      <c r="X65" s="232" t="e">
        <f>'쪽쟘(실측)'!S65-늘치차감</f>
        <v>#NAME?</v>
      </c>
      <c r="Z65" s="228">
        <v>955</v>
      </c>
      <c r="AA65" s="228">
        <v>118.4</v>
      </c>
      <c r="AB65" s="228">
        <v>114.4</v>
      </c>
      <c r="AC65" s="228">
        <v>2095</v>
      </c>
      <c r="AD65" s="228">
        <v>117.4</v>
      </c>
      <c r="AE65" s="228">
        <v>2095</v>
      </c>
    </row>
    <row r="66" spans="1:31" s="228" customFormat="1" ht="18.75" customHeight="1" thickBot="1" x14ac:dyDescent="0.35">
      <c r="A66" s="287" t="str">
        <f>'쪽쟘(실측)'!A66</f>
        <v>11-1</v>
      </c>
      <c r="B66" s="287" t="str">
        <f>'쪽쟘(실측)'!B66&amp;"F"</f>
        <v>B1F</v>
      </c>
      <c r="C66" s="287" t="str">
        <f t="shared" si="0"/>
        <v>940*126.4</v>
      </c>
      <c r="D66" s="287" t="e">
        <f>'쪽쟘(실측)'!C66-OP차감</f>
        <v>#NAME?</v>
      </c>
      <c r="E66" s="287" t="e">
        <f>'쪽쟘(실측)'!D66+쪽쟘J늘림+MAX(W66:X66)</f>
        <v>#VALUE!</v>
      </c>
      <c r="F66" s="288" t="e">
        <f>'쪽쟘(실측)'!E66+쪽쟘J늘림+MAX(W66:X66)</f>
        <v>#VALUE!</v>
      </c>
      <c r="G66" s="289"/>
      <c r="H66" s="290"/>
      <c r="I66" s="107">
        <f>IF('쪽쟘(실측)'!F66&gt;0,'쪽쟘(실측)'!F66+0.5,0)</f>
        <v>25.5</v>
      </c>
      <c r="J66" s="232">
        <f>IF('쪽쟘(실측)'!H66&gt;0,'쪽쟘(실측)'!H66+0.5,0)</f>
        <v>25.5</v>
      </c>
      <c r="K66" s="232">
        <f>IF('쪽쟘(실측)'!F66&gt;0,'쪽쟘(실측)'!F66+1.5,0)</f>
        <v>26.5</v>
      </c>
      <c r="L66" s="232">
        <f>IF('쪽쟘(실측)'!G66&gt;0,'쪽쟘(실측)'!G66+1.5,0)</f>
        <v>26.5</v>
      </c>
      <c r="M66" s="232">
        <f>IF('쪽쟘(실측)'!H66&gt;0,'쪽쟘(실측)'!H66+1.5,0)</f>
        <v>26.5</v>
      </c>
      <c r="N66" s="232">
        <f>IF('쪽쟘(실측)'!I66&gt;0,'쪽쟘(실측)'!I66+1.5,0)</f>
        <v>26.5</v>
      </c>
      <c r="O66" s="232" t="e">
        <f>'쪽쟘(실측)'!J66-기둥차감</f>
        <v>#NAME?</v>
      </c>
      <c r="P66" s="232" t="e">
        <f>'쪽쟘(실측)'!K66-기둥차감</f>
        <v>#NAME?</v>
      </c>
      <c r="Q66" s="232" t="e">
        <f>'쪽쟘(실측)'!L66-기둥차감</f>
        <v>#NAME?</v>
      </c>
      <c r="R66" s="232" t="e">
        <f>'쪽쟘(실측)'!M66-기둥차감</f>
        <v>#NAME?</v>
      </c>
      <c r="S66" s="232">
        <f>'쪽쟘(실측)'!N66+1.2</f>
        <v>36.200000000000003</v>
      </c>
      <c r="T66" s="232">
        <f>'쪽쟘(실측)'!O66+1.2</f>
        <v>36.200000000000003</v>
      </c>
      <c r="U66" s="232">
        <f>'쪽쟘(실측)'!P66</f>
        <v>25</v>
      </c>
      <c r="V66" s="232">
        <f>'쪽쟘(실측)'!Q66</f>
        <v>25</v>
      </c>
      <c r="W66" s="232" t="e">
        <f>'쪽쟘(실측)'!R66-늘치차감</f>
        <v>#NAME?</v>
      </c>
      <c r="X66" s="232" t="e">
        <f>'쪽쟘(실측)'!S66-늘치차감</f>
        <v>#NAME?</v>
      </c>
      <c r="Z66" s="228">
        <v>940</v>
      </c>
      <c r="AA66" s="228">
        <v>126.4</v>
      </c>
      <c r="AB66" s="228">
        <v>116.4</v>
      </c>
      <c r="AC66" s="228">
        <v>2093</v>
      </c>
      <c r="AD66" s="228">
        <v>116.4</v>
      </c>
      <c r="AE66" s="228">
        <v>2093</v>
      </c>
    </row>
    <row r="67" spans="1:31" s="228" customFormat="1" ht="18.75" customHeight="1" x14ac:dyDescent="0.3">
      <c r="A67" s="283" t="str">
        <f>'쪽쟘(실측)'!A67</f>
        <v>11-2</v>
      </c>
      <c r="B67" s="283" t="str">
        <f>'쪽쟘(실측)'!B67&amp;"F"</f>
        <v>19F</v>
      </c>
      <c r="C67" s="283" t="str">
        <f t="shared" si="0"/>
        <v>961*119.4</v>
      </c>
      <c r="D67" s="283" t="e">
        <f>'쪽쟘(실측)'!C67-OP차감</f>
        <v>#NAME?</v>
      </c>
      <c r="E67" s="283" t="e">
        <f>'쪽쟘(실측)'!D67+쪽쟘J늘림+MAX(W67:X67)</f>
        <v>#VALUE!</v>
      </c>
      <c r="F67" s="284" t="e">
        <f>'쪽쟘(실측)'!E67+쪽쟘J늘림+MAX(W67:X67)</f>
        <v>#VALUE!</v>
      </c>
      <c r="G67" s="285" t="str">
        <f t="shared" si="1"/>
        <v>2095*120.4</v>
      </c>
      <c r="H67" s="286" t="str">
        <f t="shared" si="2"/>
        <v>2095*119.4</v>
      </c>
      <c r="I67" s="107">
        <f>IF('쪽쟘(실측)'!F67&gt;0,'쪽쟘(실측)'!F67+0.5,0)</f>
        <v>34.5</v>
      </c>
      <c r="J67" s="232">
        <f>IF('쪽쟘(실측)'!H67&gt;0,'쪽쟘(실측)'!H67+0.5,0)</f>
        <v>33.5</v>
      </c>
      <c r="K67" s="232">
        <f>IF('쪽쟘(실측)'!F67&gt;0,'쪽쟘(실측)'!F67+1.5,0)</f>
        <v>35.5</v>
      </c>
      <c r="L67" s="232">
        <f>IF('쪽쟘(실측)'!G67&gt;0,'쪽쟘(실측)'!G67+1.5,0)</f>
        <v>35.5</v>
      </c>
      <c r="M67" s="232">
        <f>IF('쪽쟘(실측)'!H67&gt;0,'쪽쟘(실측)'!H67+1.5,0)</f>
        <v>34.5</v>
      </c>
      <c r="N67" s="232">
        <f>IF('쪽쟘(실측)'!I67&gt;0,'쪽쟘(실측)'!I67+1.5,0)</f>
        <v>34.5</v>
      </c>
      <c r="O67" s="232" t="e">
        <f>'쪽쟘(실측)'!J67-기둥차감</f>
        <v>#NAME?</v>
      </c>
      <c r="P67" s="232" t="e">
        <f>'쪽쟘(실측)'!K67-기둥차감</f>
        <v>#NAME?</v>
      </c>
      <c r="Q67" s="232" t="e">
        <f>'쪽쟘(실측)'!L67-기둥차감</f>
        <v>#NAME?</v>
      </c>
      <c r="R67" s="232" t="e">
        <f>'쪽쟘(실측)'!M67-기둥차감</f>
        <v>#NAME?</v>
      </c>
      <c r="S67" s="232">
        <f>'쪽쟘(실측)'!N67+1.2</f>
        <v>34.200000000000003</v>
      </c>
      <c r="T67" s="232">
        <f>'쪽쟘(실측)'!O67+1.2</f>
        <v>34.200000000000003</v>
      </c>
      <c r="U67" s="232">
        <f>'쪽쟘(실측)'!P67</f>
        <v>25</v>
      </c>
      <c r="V67" s="232">
        <f>'쪽쟘(실측)'!Q67</f>
        <v>25</v>
      </c>
      <c r="W67" s="232" t="e">
        <f>'쪽쟘(실측)'!R67-늘치차감</f>
        <v>#NAME?</v>
      </c>
      <c r="X67" s="232" t="e">
        <f>'쪽쟘(실측)'!S67-늘치차감</f>
        <v>#NAME?</v>
      </c>
      <c r="Z67" s="228">
        <v>961</v>
      </c>
      <c r="AA67" s="228">
        <v>119.4</v>
      </c>
      <c r="AB67" s="228">
        <v>120.4</v>
      </c>
      <c r="AC67" s="228">
        <v>2095</v>
      </c>
      <c r="AD67" s="228">
        <v>119.4</v>
      </c>
      <c r="AE67" s="228">
        <v>2095</v>
      </c>
    </row>
    <row r="68" spans="1:31" s="228" customFormat="1" ht="18.75" customHeight="1" x14ac:dyDescent="0.3">
      <c r="A68" s="232" t="str">
        <f>'쪽쟘(실측)'!A68</f>
        <v>11-2</v>
      </c>
      <c r="B68" s="232" t="str">
        <f>'쪽쟘(실측)'!B68&amp;"F"</f>
        <v>18F</v>
      </c>
      <c r="C68" s="232" t="str">
        <f t="shared" si="0"/>
        <v>964*119.4</v>
      </c>
      <c r="D68" s="232" t="e">
        <f>'쪽쟘(실측)'!C68-OP차감</f>
        <v>#NAME?</v>
      </c>
      <c r="E68" s="232" t="e">
        <f>'쪽쟘(실측)'!D68+쪽쟘J늘림+MAX(W68:X68)</f>
        <v>#VALUE!</v>
      </c>
      <c r="F68" s="233" t="e">
        <f>'쪽쟘(실측)'!E68+쪽쟘J늘림+MAX(W68:X68)</f>
        <v>#VALUE!</v>
      </c>
      <c r="G68" s="234" t="str">
        <f t="shared" si="1"/>
        <v>2095*121.4</v>
      </c>
      <c r="H68" s="235" t="str">
        <f t="shared" si="2"/>
        <v>2095*119.4</v>
      </c>
      <c r="I68" s="107">
        <f>IF('쪽쟘(실측)'!F68&gt;0,'쪽쟘(실측)'!F68+0.5,0)</f>
        <v>35.5</v>
      </c>
      <c r="J68" s="232">
        <f>IF('쪽쟘(실측)'!H68&gt;0,'쪽쟘(실측)'!H68+0.5,0)</f>
        <v>33.5</v>
      </c>
      <c r="K68" s="232">
        <f>IF('쪽쟘(실측)'!F68&gt;0,'쪽쟘(실측)'!F68+1.5,0)</f>
        <v>36.5</v>
      </c>
      <c r="L68" s="232">
        <f>IF('쪽쟘(실측)'!G68&gt;0,'쪽쟘(실측)'!G68+1.5,0)</f>
        <v>36.5</v>
      </c>
      <c r="M68" s="232">
        <f>IF('쪽쟘(실측)'!H68&gt;0,'쪽쟘(실측)'!H68+1.5,0)</f>
        <v>34.5</v>
      </c>
      <c r="N68" s="232">
        <f>IF('쪽쟘(실측)'!I68&gt;0,'쪽쟘(실측)'!I68+1.5,0)</f>
        <v>34.5</v>
      </c>
      <c r="O68" s="232" t="e">
        <f>'쪽쟘(실측)'!J68-기둥차감</f>
        <v>#NAME?</v>
      </c>
      <c r="P68" s="232" t="e">
        <f>'쪽쟘(실측)'!K68-기둥차감</f>
        <v>#NAME?</v>
      </c>
      <c r="Q68" s="232" t="e">
        <f>'쪽쟘(실측)'!L68-기둥차감</f>
        <v>#NAME?</v>
      </c>
      <c r="R68" s="232" t="e">
        <f>'쪽쟘(실측)'!M68-기둥차감</f>
        <v>#NAME?</v>
      </c>
      <c r="S68" s="232">
        <f>'쪽쟘(실측)'!N68+1.2</f>
        <v>34.200000000000003</v>
      </c>
      <c r="T68" s="232">
        <f>'쪽쟘(실측)'!O68+1.2</f>
        <v>34.200000000000003</v>
      </c>
      <c r="U68" s="232">
        <f>'쪽쟘(실측)'!P68</f>
        <v>25</v>
      </c>
      <c r="V68" s="232">
        <f>'쪽쟘(실측)'!Q68</f>
        <v>25</v>
      </c>
      <c r="W68" s="232" t="e">
        <f>'쪽쟘(실측)'!R68-늘치차감</f>
        <v>#NAME?</v>
      </c>
      <c r="X68" s="232" t="e">
        <f>'쪽쟘(실측)'!S68-늘치차감</f>
        <v>#NAME?</v>
      </c>
      <c r="Z68" s="228">
        <v>964</v>
      </c>
      <c r="AA68" s="228">
        <v>119.4</v>
      </c>
      <c r="AB68" s="228">
        <v>121.4</v>
      </c>
      <c r="AC68" s="228">
        <v>2095</v>
      </c>
      <c r="AD68" s="228">
        <v>119.4</v>
      </c>
      <c r="AE68" s="228">
        <v>2095</v>
      </c>
    </row>
    <row r="69" spans="1:31" s="228" customFormat="1" ht="18.75" customHeight="1" x14ac:dyDescent="0.3">
      <c r="A69" s="232" t="str">
        <f>'쪽쟘(실측)'!A69</f>
        <v>11-2</v>
      </c>
      <c r="B69" s="232" t="str">
        <f>'쪽쟘(실측)'!B69&amp;"F"</f>
        <v>17F</v>
      </c>
      <c r="C69" s="232" t="str">
        <f t="shared" si="0"/>
        <v>965*119.4</v>
      </c>
      <c r="D69" s="232" t="e">
        <f>'쪽쟘(실측)'!C69-OP차감</f>
        <v>#NAME?</v>
      </c>
      <c r="E69" s="232" t="e">
        <f>'쪽쟘(실측)'!D69+쪽쟘J늘림+MAX(W69:X69)</f>
        <v>#VALUE!</v>
      </c>
      <c r="F69" s="233" t="e">
        <f>'쪽쟘(실측)'!E69+쪽쟘J늘림+MAX(W69:X69)</f>
        <v>#VALUE!</v>
      </c>
      <c r="G69" s="234" t="str">
        <f t="shared" si="1"/>
        <v>2095*120.4</v>
      </c>
      <c r="H69" s="235" t="str">
        <f t="shared" si="2"/>
        <v>2095*121.4</v>
      </c>
      <c r="I69" s="107">
        <f>IF('쪽쟘(실측)'!F69&gt;0,'쪽쟘(실측)'!F69+0.5,0)</f>
        <v>34.5</v>
      </c>
      <c r="J69" s="232">
        <f>IF('쪽쟘(실측)'!H69&gt;0,'쪽쟘(실측)'!H69+0.5,0)</f>
        <v>35.5</v>
      </c>
      <c r="K69" s="232">
        <f>IF('쪽쟘(실측)'!F69&gt;0,'쪽쟘(실측)'!F69+1.5,0)</f>
        <v>35.5</v>
      </c>
      <c r="L69" s="232">
        <f>IF('쪽쟘(실측)'!G69&gt;0,'쪽쟘(실측)'!G69+1.5,0)</f>
        <v>35.5</v>
      </c>
      <c r="M69" s="232">
        <f>IF('쪽쟘(실측)'!H69&gt;0,'쪽쟘(실측)'!H69+1.5,0)</f>
        <v>36.5</v>
      </c>
      <c r="N69" s="232">
        <f>IF('쪽쟘(실측)'!I69&gt;0,'쪽쟘(실측)'!I69+1.5,0)</f>
        <v>36.5</v>
      </c>
      <c r="O69" s="232" t="e">
        <f>'쪽쟘(실측)'!J69-기둥차감</f>
        <v>#NAME?</v>
      </c>
      <c r="P69" s="232" t="e">
        <f>'쪽쟘(실측)'!K69-기둥차감</f>
        <v>#NAME?</v>
      </c>
      <c r="Q69" s="232" t="e">
        <f>'쪽쟘(실측)'!L69-기둥차감</f>
        <v>#NAME?</v>
      </c>
      <c r="R69" s="232" t="e">
        <f>'쪽쟘(실측)'!M69-기둥차감</f>
        <v>#NAME?</v>
      </c>
      <c r="S69" s="232">
        <f>'쪽쟘(실측)'!N69+1.2</f>
        <v>34.200000000000003</v>
      </c>
      <c r="T69" s="232">
        <f>'쪽쟘(실측)'!O69+1.2</f>
        <v>34.200000000000003</v>
      </c>
      <c r="U69" s="232">
        <f>'쪽쟘(실측)'!P69</f>
        <v>25</v>
      </c>
      <c r="V69" s="232">
        <f>'쪽쟘(실측)'!Q69</f>
        <v>25</v>
      </c>
      <c r="W69" s="232" t="e">
        <f>'쪽쟘(실측)'!R69-늘치차감</f>
        <v>#NAME?</v>
      </c>
      <c r="X69" s="232" t="e">
        <f>'쪽쟘(실측)'!S69-늘치차감</f>
        <v>#NAME?</v>
      </c>
      <c r="Z69" s="228">
        <v>965</v>
      </c>
      <c r="AA69" s="228">
        <v>119.4</v>
      </c>
      <c r="AB69" s="228">
        <v>120.4</v>
      </c>
      <c r="AC69" s="228">
        <v>2095</v>
      </c>
      <c r="AD69" s="228">
        <v>121.4</v>
      </c>
      <c r="AE69" s="228">
        <v>2095</v>
      </c>
    </row>
    <row r="70" spans="1:31" s="228" customFormat="1" ht="18.75" customHeight="1" x14ac:dyDescent="0.3">
      <c r="A70" s="232" t="str">
        <f>'쪽쟘(실측)'!A70</f>
        <v>11-2</v>
      </c>
      <c r="B70" s="232" t="str">
        <f>'쪽쟘(실측)'!B70&amp;"F"</f>
        <v>16F</v>
      </c>
      <c r="C70" s="232" t="str">
        <f t="shared" si="0"/>
        <v>962*117.4</v>
      </c>
      <c r="D70" s="232" t="e">
        <f>'쪽쟘(실측)'!C70-OP차감</f>
        <v>#NAME?</v>
      </c>
      <c r="E70" s="232" t="e">
        <f>'쪽쟘(실측)'!D70+쪽쟘J늘림+MAX(W70:X70)</f>
        <v>#VALUE!</v>
      </c>
      <c r="F70" s="233" t="e">
        <f>'쪽쟘(실측)'!E70+쪽쟘J늘림+MAX(W70:X70)</f>
        <v>#VALUE!</v>
      </c>
      <c r="G70" s="234"/>
      <c r="H70" s="235" t="str">
        <f t="shared" si="2"/>
        <v>2095*121.4</v>
      </c>
      <c r="I70" s="107">
        <f>IF('쪽쟘(실측)'!F70&gt;0,'쪽쟘(실측)'!F70+0.5,0)</f>
        <v>31.5</v>
      </c>
      <c r="J70" s="232">
        <f>IF('쪽쟘(실측)'!H70&gt;0,'쪽쟘(실측)'!H70+0.5,0)</f>
        <v>35.5</v>
      </c>
      <c r="K70" s="232">
        <f>IF('쪽쟘(실측)'!F70&gt;0,'쪽쟘(실측)'!F70+1.5,0)</f>
        <v>32.5</v>
      </c>
      <c r="L70" s="232">
        <f>IF('쪽쟘(실측)'!G70&gt;0,'쪽쟘(실측)'!G70+1.5,0)</f>
        <v>36.5</v>
      </c>
      <c r="M70" s="232">
        <f>IF('쪽쟘(실측)'!H70&gt;0,'쪽쟘(실측)'!H70+1.5,0)</f>
        <v>36.5</v>
      </c>
      <c r="N70" s="232">
        <f>IF('쪽쟘(실측)'!I70&gt;0,'쪽쟘(실측)'!I70+1.5,0)</f>
        <v>36.5</v>
      </c>
      <c r="O70" s="232" t="e">
        <f>'쪽쟘(실측)'!J70-기둥차감</f>
        <v>#NAME?</v>
      </c>
      <c r="P70" s="232" t="e">
        <f>'쪽쟘(실측)'!K70-기둥차감</f>
        <v>#NAME?</v>
      </c>
      <c r="Q70" s="232" t="e">
        <f>'쪽쟘(실측)'!L70-기둥차감</f>
        <v>#NAME?</v>
      </c>
      <c r="R70" s="232" t="e">
        <f>'쪽쟘(실측)'!M70-기둥차감</f>
        <v>#NAME?</v>
      </c>
      <c r="S70" s="232">
        <f>'쪽쟘(실측)'!N70+1.2</f>
        <v>32.200000000000003</v>
      </c>
      <c r="T70" s="232">
        <f>'쪽쟘(실측)'!O70+1.2</f>
        <v>32.200000000000003</v>
      </c>
      <c r="U70" s="232">
        <f>'쪽쟘(실측)'!P70</f>
        <v>25</v>
      </c>
      <c r="V70" s="232">
        <f>'쪽쟘(실측)'!Q70</f>
        <v>25</v>
      </c>
      <c r="W70" s="232" t="e">
        <f>'쪽쟘(실측)'!R70-늘치차감</f>
        <v>#NAME?</v>
      </c>
      <c r="X70" s="232" t="e">
        <f>'쪽쟘(실측)'!S70-늘치차감</f>
        <v>#NAME?</v>
      </c>
      <c r="Z70" s="228">
        <v>962</v>
      </c>
      <c r="AA70" s="228">
        <v>117.4</v>
      </c>
      <c r="AB70" s="228">
        <v>121.4</v>
      </c>
      <c r="AC70" s="228">
        <v>2095</v>
      </c>
      <c r="AD70" s="228">
        <v>121.4</v>
      </c>
      <c r="AE70" s="228">
        <v>2095</v>
      </c>
    </row>
    <row r="71" spans="1:31" s="228" customFormat="1" ht="18.75" customHeight="1" x14ac:dyDescent="0.3">
      <c r="A71" s="232" t="str">
        <f>'쪽쟘(실측)'!A71</f>
        <v>11-2</v>
      </c>
      <c r="B71" s="232" t="str">
        <f>'쪽쟘(실측)'!B71&amp;"F"</f>
        <v>15F</v>
      </c>
      <c r="C71" s="232" t="str">
        <f t="shared" si="0"/>
        <v>964*118.4</v>
      </c>
      <c r="D71" s="232" t="e">
        <f>'쪽쟘(실측)'!C71-OP차감</f>
        <v>#NAME?</v>
      </c>
      <c r="E71" s="232" t="e">
        <f>'쪽쟘(실측)'!D71+쪽쟘J늘림+MAX(W71:X71)</f>
        <v>#VALUE!</v>
      </c>
      <c r="F71" s="233" t="e">
        <f>'쪽쟘(실측)'!E71+쪽쟘J늘림+MAX(W71:X71)</f>
        <v>#VALUE!</v>
      </c>
      <c r="G71" s="234" t="str">
        <f t="shared" si="1"/>
        <v>2095*120.4</v>
      </c>
      <c r="H71" s="235" t="str">
        <f t="shared" si="2"/>
        <v>2095*121.4</v>
      </c>
      <c r="I71" s="107">
        <f>IF('쪽쟘(실측)'!F71&gt;0,'쪽쟘(실측)'!F71+0.5,0)</f>
        <v>34.5</v>
      </c>
      <c r="J71" s="232">
        <f>IF('쪽쟘(실측)'!H71&gt;0,'쪽쟘(실측)'!H71+0.5,0)</f>
        <v>35.5</v>
      </c>
      <c r="K71" s="232">
        <f>IF('쪽쟘(실측)'!F71&gt;0,'쪽쟘(실측)'!F71+1.5,0)</f>
        <v>35.5</v>
      </c>
      <c r="L71" s="232">
        <f>IF('쪽쟘(실측)'!G71&gt;0,'쪽쟘(실측)'!G71+1.5,0)</f>
        <v>35.5</v>
      </c>
      <c r="M71" s="232">
        <f>IF('쪽쟘(실측)'!H71&gt;0,'쪽쟘(실측)'!H71+1.5,0)</f>
        <v>36.5</v>
      </c>
      <c r="N71" s="232">
        <f>IF('쪽쟘(실측)'!I71&gt;0,'쪽쟘(실측)'!I71+1.5,0)</f>
        <v>36.5</v>
      </c>
      <c r="O71" s="232" t="e">
        <f>'쪽쟘(실측)'!J71-기둥차감</f>
        <v>#NAME?</v>
      </c>
      <c r="P71" s="232" t="e">
        <f>'쪽쟘(실측)'!K71-기둥차감</f>
        <v>#NAME?</v>
      </c>
      <c r="Q71" s="232" t="e">
        <f>'쪽쟘(실측)'!L71-기둥차감</f>
        <v>#NAME?</v>
      </c>
      <c r="R71" s="232" t="e">
        <f>'쪽쟘(실측)'!M71-기둥차감</f>
        <v>#NAME?</v>
      </c>
      <c r="S71" s="232">
        <f>'쪽쟘(실측)'!N71+1.2</f>
        <v>33.200000000000003</v>
      </c>
      <c r="T71" s="232">
        <f>'쪽쟘(실측)'!O71+1.2</f>
        <v>33.200000000000003</v>
      </c>
      <c r="U71" s="232">
        <f>'쪽쟘(실측)'!P71</f>
        <v>25</v>
      </c>
      <c r="V71" s="232">
        <f>'쪽쟘(실측)'!Q71</f>
        <v>25</v>
      </c>
      <c r="W71" s="232" t="e">
        <f>'쪽쟘(실측)'!R71-늘치차감</f>
        <v>#NAME?</v>
      </c>
      <c r="X71" s="232" t="e">
        <f>'쪽쟘(실측)'!S71-늘치차감</f>
        <v>#NAME?</v>
      </c>
      <c r="Z71" s="228">
        <v>964</v>
      </c>
      <c r="AA71" s="228">
        <v>118.4</v>
      </c>
      <c r="AB71" s="228">
        <v>120.4</v>
      </c>
      <c r="AC71" s="228">
        <v>2095</v>
      </c>
      <c r="AD71" s="228">
        <v>121.4</v>
      </c>
      <c r="AE71" s="228">
        <v>2095</v>
      </c>
    </row>
    <row r="72" spans="1:31" s="228" customFormat="1" ht="18.75" customHeight="1" x14ac:dyDescent="0.3">
      <c r="A72" s="232" t="str">
        <f>'쪽쟘(실측)'!A72</f>
        <v>11-2</v>
      </c>
      <c r="B72" s="232" t="str">
        <f>'쪽쟘(실측)'!B72&amp;"F"</f>
        <v>14F</v>
      </c>
      <c r="C72" s="232" t="str">
        <f t="shared" ref="C72:C125" si="3">Z72&amp;"*"&amp;AA72</f>
        <v>964*116.4</v>
      </c>
      <c r="D72" s="232" t="e">
        <f>'쪽쟘(실측)'!C72-OP차감</f>
        <v>#NAME?</v>
      </c>
      <c r="E72" s="232" t="e">
        <f>'쪽쟘(실측)'!D72+쪽쟘J늘림+MAX(W72:X72)</f>
        <v>#VALUE!</v>
      </c>
      <c r="F72" s="233" t="e">
        <f>'쪽쟘(실측)'!E72+쪽쟘J늘림+MAX(W72:X72)</f>
        <v>#VALUE!</v>
      </c>
      <c r="G72" s="234"/>
      <c r="H72" s="235" t="str">
        <f t="shared" ref="H72:H124" si="4">AE72&amp;"*"&amp;AD72</f>
        <v>2095*120.4</v>
      </c>
      <c r="I72" s="107">
        <f>IF('쪽쟘(실측)'!F72&gt;0,'쪽쟘(실측)'!F72+0.5,0)</f>
        <v>34.5</v>
      </c>
      <c r="J72" s="232">
        <f>IF('쪽쟘(실측)'!H72&gt;0,'쪽쟘(실측)'!H72+0.5,0)</f>
        <v>34.5</v>
      </c>
      <c r="K72" s="232">
        <f>IF('쪽쟘(실측)'!F72&gt;0,'쪽쟘(실측)'!F72+1.5,0)</f>
        <v>35.5</v>
      </c>
      <c r="L72" s="232">
        <f>IF('쪽쟘(실측)'!G72&gt;0,'쪽쟘(실측)'!G72+1.5,0)</f>
        <v>31.5</v>
      </c>
      <c r="M72" s="232">
        <f>IF('쪽쟘(실측)'!H72&gt;0,'쪽쟘(실측)'!H72+1.5,0)</f>
        <v>35.5</v>
      </c>
      <c r="N72" s="232">
        <f>IF('쪽쟘(실측)'!I72&gt;0,'쪽쟘(실측)'!I72+1.5,0)</f>
        <v>35.5</v>
      </c>
      <c r="O72" s="232" t="e">
        <f>'쪽쟘(실측)'!J72-기둥차감</f>
        <v>#NAME?</v>
      </c>
      <c r="P72" s="232" t="e">
        <f>'쪽쟘(실측)'!K72-기둥차감</f>
        <v>#NAME?</v>
      </c>
      <c r="Q72" s="232" t="e">
        <f>'쪽쟘(실측)'!L72-기둥차감</f>
        <v>#NAME?</v>
      </c>
      <c r="R72" s="232" t="e">
        <f>'쪽쟘(실측)'!M72-기둥차감</f>
        <v>#NAME?</v>
      </c>
      <c r="S72" s="232">
        <f>'쪽쟘(실측)'!N72+1.2</f>
        <v>31.2</v>
      </c>
      <c r="T72" s="232">
        <f>'쪽쟘(실측)'!O72+1.2</f>
        <v>31.2</v>
      </c>
      <c r="U72" s="232">
        <f>'쪽쟘(실측)'!P72</f>
        <v>25</v>
      </c>
      <c r="V72" s="232">
        <f>'쪽쟘(실측)'!Q72</f>
        <v>25</v>
      </c>
      <c r="W72" s="232" t="e">
        <f>'쪽쟘(실측)'!R72-늘치차감</f>
        <v>#NAME?</v>
      </c>
      <c r="X72" s="232" t="e">
        <f>'쪽쟘(실측)'!S72-늘치차감</f>
        <v>#NAME?</v>
      </c>
      <c r="Z72" s="228">
        <v>964</v>
      </c>
      <c r="AA72" s="228">
        <v>116.4</v>
      </c>
      <c r="AB72" s="228">
        <v>120.4</v>
      </c>
      <c r="AC72" s="228">
        <v>2095</v>
      </c>
      <c r="AD72" s="228">
        <v>120.4</v>
      </c>
      <c r="AE72" s="228">
        <v>2095</v>
      </c>
    </row>
    <row r="73" spans="1:31" s="228" customFormat="1" ht="18.75" customHeight="1" x14ac:dyDescent="0.3">
      <c r="A73" s="232" t="str">
        <f>'쪽쟘(실측)'!A73</f>
        <v>11-2</v>
      </c>
      <c r="B73" s="232" t="str">
        <f>'쪽쟘(실측)'!B73&amp;"F"</f>
        <v>13F</v>
      </c>
      <c r="C73" s="232" t="str">
        <f t="shared" si="3"/>
        <v>963*117.4</v>
      </c>
      <c r="D73" s="232" t="e">
        <f>'쪽쟘(실측)'!C73-OP차감</f>
        <v>#NAME?</v>
      </c>
      <c r="E73" s="232" t="e">
        <f>'쪽쟘(실측)'!D73+쪽쟘J늘림+MAX(W73:X73)</f>
        <v>#VALUE!</v>
      </c>
      <c r="F73" s="233" t="e">
        <f>'쪽쟘(실측)'!E73+쪽쟘J늘림+MAX(W73:X73)</f>
        <v>#VALUE!</v>
      </c>
      <c r="G73" s="234" t="str">
        <f t="shared" ref="G73:G124" si="5">AC73&amp;"*"&amp;AB73</f>
        <v>2095*121.4</v>
      </c>
      <c r="H73" s="235" t="str">
        <f t="shared" si="4"/>
        <v>2095*119.4</v>
      </c>
      <c r="I73" s="107">
        <f>IF('쪽쟘(실측)'!F73&gt;0,'쪽쟘(실측)'!F73+0.5,0)</f>
        <v>35.5</v>
      </c>
      <c r="J73" s="232">
        <f>IF('쪽쟘(실측)'!H73&gt;0,'쪽쟘(실측)'!H73+0.5,0)</f>
        <v>33.5</v>
      </c>
      <c r="K73" s="232">
        <f>IF('쪽쟘(실측)'!F73&gt;0,'쪽쟘(실측)'!F73+1.5,0)</f>
        <v>36.5</v>
      </c>
      <c r="L73" s="232">
        <f>IF('쪽쟘(실측)'!G73&gt;0,'쪽쟘(실측)'!G73+1.5,0)</f>
        <v>36.5</v>
      </c>
      <c r="M73" s="232">
        <f>IF('쪽쟘(실측)'!H73&gt;0,'쪽쟘(실측)'!H73+1.5,0)</f>
        <v>34.5</v>
      </c>
      <c r="N73" s="232">
        <f>IF('쪽쟘(실측)'!I73&gt;0,'쪽쟘(실측)'!I73+1.5,0)</f>
        <v>34.5</v>
      </c>
      <c r="O73" s="232" t="e">
        <f>'쪽쟘(실측)'!J73-기둥차감</f>
        <v>#NAME?</v>
      </c>
      <c r="P73" s="232" t="e">
        <f>'쪽쟘(실측)'!K73-기둥차감</f>
        <v>#NAME?</v>
      </c>
      <c r="Q73" s="232" t="e">
        <f>'쪽쟘(실측)'!L73-기둥차감</f>
        <v>#NAME?</v>
      </c>
      <c r="R73" s="232" t="e">
        <f>'쪽쟘(실측)'!M73-기둥차감</f>
        <v>#NAME?</v>
      </c>
      <c r="S73" s="232">
        <f>'쪽쟘(실측)'!N73+1.2</f>
        <v>32.200000000000003</v>
      </c>
      <c r="T73" s="232">
        <f>'쪽쟘(실측)'!O73+1.2</f>
        <v>32.200000000000003</v>
      </c>
      <c r="U73" s="232">
        <f>'쪽쟘(실측)'!P73</f>
        <v>25</v>
      </c>
      <c r="V73" s="232">
        <f>'쪽쟘(실측)'!Q73</f>
        <v>25</v>
      </c>
      <c r="W73" s="232" t="e">
        <f>'쪽쟘(실측)'!R73-늘치차감</f>
        <v>#NAME?</v>
      </c>
      <c r="X73" s="232" t="e">
        <f>'쪽쟘(실측)'!S73-늘치차감</f>
        <v>#NAME?</v>
      </c>
      <c r="Z73" s="228">
        <v>963</v>
      </c>
      <c r="AA73" s="228">
        <v>117.4</v>
      </c>
      <c r="AB73" s="228">
        <v>121.4</v>
      </c>
      <c r="AC73" s="228">
        <v>2095</v>
      </c>
      <c r="AD73" s="228">
        <v>119.4</v>
      </c>
      <c r="AE73" s="228">
        <v>2095</v>
      </c>
    </row>
    <row r="74" spans="1:31" s="228" customFormat="1" ht="18.75" customHeight="1" x14ac:dyDescent="0.3">
      <c r="A74" s="232" t="str">
        <f>'쪽쟘(실측)'!A74</f>
        <v>11-2</v>
      </c>
      <c r="B74" s="232" t="str">
        <f>'쪽쟘(실측)'!B74&amp;"F"</f>
        <v>12F</v>
      </c>
      <c r="C74" s="232" t="str">
        <f t="shared" si="3"/>
        <v>965*120.4</v>
      </c>
      <c r="D74" s="232" t="e">
        <f>'쪽쟘(실측)'!C74-OP차감</f>
        <v>#NAME?</v>
      </c>
      <c r="E74" s="232" t="e">
        <f>'쪽쟘(실측)'!D74+쪽쟘J늘림+MAX(W74:X74)</f>
        <v>#VALUE!</v>
      </c>
      <c r="F74" s="233" t="e">
        <f>'쪽쟘(실측)'!E74+쪽쟘J늘림+MAX(W74:X74)</f>
        <v>#VALUE!</v>
      </c>
      <c r="G74" s="234" t="str">
        <f t="shared" si="5"/>
        <v>2095*120.4</v>
      </c>
      <c r="H74" s="235"/>
      <c r="I74" s="107">
        <f>IF('쪽쟘(실측)'!F74&gt;0,'쪽쟘(실측)'!F74+0.5,0)</f>
        <v>34.5</v>
      </c>
      <c r="J74" s="232">
        <f>IF('쪽쟘(실측)'!H74&gt;0,'쪽쟘(실측)'!H74+0.5,0)</f>
        <v>35.5</v>
      </c>
      <c r="K74" s="232">
        <f>IF('쪽쟘(실측)'!F74&gt;0,'쪽쟘(실측)'!F74+1.5,0)</f>
        <v>35.5</v>
      </c>
      <c r="L74" s="232">
        <f>IF('쪽쟘(실측)'!G74&gt;0,'쪽쟘(실측)'!G74+1.5,0)</f>
        <v>35.5</v>
      </c>
      <c r="M74" s="232">
        <f>IF('쪽쟘(실측)'!H74&gt;0,'쪽쟘(실측)'!H74+1.5,0)</f>
        <v>36.5</v>
      </c>
      <c r="N74" s="232">
        <f>IF('쪽쟘(실측)'!I74&gt;0,'쪽쟘(실측)'!I74+1.5,0)</f>
        <v>31.5</v>
      </c>
      <c r="O74" s="232" t="e">
        <f>'쪽쟘(실측)'!J74-기둥차감</f>
        <v>#NAME?</v>
      </c>
      <c r="P74" s="232" t="e">
        <f>'쪽쟘(실측)'!K74-기둥차감</f>
        <v>#NAME?</v>
      </c>
      <c r="Q74" s="232" t="e">
        <f>'쪽쟘(실측)'!L74-기둥차감</f>
        <v>#NAME?</v>
      </c>
      <c r="R74" s="232" t="e">
        <f>'쪽쟘(실측)'!M74-기둥차감</f>
        <v>#NAME?</v>
      </c>
      <c r="S74" s="232">
        <f>'쪽쟘(실측)'!N74+1.2</f>
        <v>35.200000000000003</v>
      </c>
      <c r="T74" s="232">
        <f>'쪽쟘(실측)'!O74+1.2</f>
        <v>35.200000000000003</v>
      </c>
      <c r="U74" s="232">
        <f>'쪽쟘(실측)'!P74</f>
        <v>25</v>
      </c>
      <c r="V74" s="232">
        <f>'쪽쟘(실측)'!Q74</f>
        <v>25</v>
      </c>
      <c r="W74" s="232" t="e">
        <f>'쪽쟘(실측)'!R74-늘치차감</f>
        <v>#NAME?</v>
      </c>
      <c r="X74" s="232" t="e">
        <f>'쪽쟘(실측)'!S74-늘치차감</f>
        <v>#NAME?</v>
      </c>
      <c r="Z74" s="228">
        <v>965</v>
      </c>
      <c r="AA74" s="228">
        <v>120.4</v>
      </c>
      <c r="AB74" s="228">
        <v>120.4</v>
      </c>
      <c r="AC74" s="228">
        <v>2095</v>
      </c>
      <c r="AD74" s="228">
        <v>121.4</v>
      </c>
      <c r="AE74" s="228">
        <v>2095</v>
      </c>
    </row>
    <row r="75" spans="1:31" s="228" customFormat="1" ht="18.75" customHeight="1" x14ac:dyDescent="0.3">
      <c r="A75" s="232" t="str">
        <f>'쪽쟘(실측)'!A75</f>
        <v>11-2</v>
      </c>
      <c r="B75" s="232" t="str">
        <f>'쪽쟘(실측)'!B75&amp;"F"</f>
        <v>11F</v>
      </c>
      <c r="C75" s="232" t="str">
        <f t="shared" si="3"/>
        <v>959*120.4</v>
      </c>
      <c r="D75" s="232" t="e">
        <f>'쪽쟘(실측)'!C75-OP차감</f>
        <v>#NAME?</v>
      </c>
      <c r="E75" s="232" t="e">
        <f>'쪽쟘(실측)'!D75+쪽쟘J늘림+MAX(W75:X75)</f>
        <v>#VALUE!</v>
      </c>
      <c r="F75" s="233" t="e">
        <f>'쪽쟘(실측)'!E75+쪽쟘J늘림+MAX(W75:X75)</f>
        <v>#VALUE!</v>
      </c>
      <c r="G75" s="234" t="str">
        <f t="shared" si="5"/>
        <v>2095*119.4</v>
      </c>
      <c r="H75" s="235" t="str">
        <f t="shared" si="4"/>
        <v>2095*117.4</v>
      </c>
      <c r="I75" s="107">
        <f>IF('쪽쟘(실측)'!F75&gt;0,'쪽쟘(실측)'!F75+0.5,0)</f>
        <v>33.5</v>
      </c>
      <c r="J75" s="232">
        <f>IF('쪽쟘(실측)'!H75&gt;0,'쪽쟘(실측)'!H75+0.5,0)</f>
        <v>31.5</v>
      </c>
      <c r="K75" s="232">
        <f>IF('쪽쟘(실측)'!F75&gt;0,'쪽쟘(실측)'!F75+1.5,0)</f>
        <v>34.5</v>
      </c>
      <c r="L75" s="232">
        <f>IF('쪽쟘(실측)'!G75&gt;0,'쪽쟘(실측)'!G75+1.5,0)</f>
        <v>34.5</v>
      </c>
      <c r="M75" s="232">
        <f>IF('쪽쟘(실측)'!H75&gt;0,'쪽쟘(실측)'!H75+1.5,0)</f>
        <v>32.5</v>
      </c>
      <c r="N75" s="232">
        <f>IF('쪽쟘(실측)'!I75&gt;0,'쪽쟘(실측)'!I75+1.5,0)</f>
        <v>32.5</v>
      </c>
      <c r="O75" s="232" t="e">
        <f>'쪽쟘(실측)'!J75-기둥차감</f>
        <v>#NAME?</v>
      </c>
      <c r="P75" s="232" t="e">
        <f>'쪽쟘(실측)'!K75-기둥차감</f>
        <v>#NAME?</v>
      </c>
      <c r="Q75" s="232" t="e">
        <f>'쪽쟘(실측)'!L75-기둥차감</f>
        <v>#NAME?</v>
      </c>
      <c r="R75" s="232" t="e">
        <f>'쪽쟘(실측)'!M75-기둥차감</f>
        <v>#NAME?</v>
      </c>
      <c r="S75" s="232">
        <f>'쪽쟘(실측)'!N75+1.2</f>
        <v>35.200000000000003</v>
      </c>
      <c r="T75" s="232">
        <f>'쪽쟘(실측)'!O75+1.2</f>
        <v>35.200000000000003</v>
      </c>
      <c r="U75" s="232">
        <f>'쪽쟘(실측)'!P75</f>
        <v>25</v>
      </c>
      <c r="V75" s="232">
        <f>'쪽쟘(실측)'!Q75</f>
        <v>25</v>
      </c>
      <c r="W75" s="232" t="e">
        <f>'쪽쟘(실측)'!R75-늘치차감</f>
        <v>#NAME?</v>
      </c>
      <c r="X75" s="232" t="e">
        <f>'쪽쟘(실측)'!S75-늘치차감</f>
        <v>#NAME?</v>
      </c>
      <c r="Z75" s="228">
        <v>959</v>
      </c>
      <c r="AA75" s="228">
        <v>120.4</v>
      </c>
      <c r="AB75" s="228">
        <v>119.4</v>
      </c>
      <c r="AC75" s="228">
        <v>2095</v>
      </c>
      <c r="AD75" s="228">
        <v>117.4</v>
      </c>
      <c r="AE75" s="228">
        <v>2095</v>
      </c>
    </row>
    <row r="76" spans="1:31" s="228" customFormat="1" ht="18.75" customHeight="1" x14ac:dyDescent="0.3">
      <c r="A76" s="232" t="str">
        <f>'쪽쟘(실측)'!A76</f>
        <v>11-2</v>
      </c>
      <c r="B76" s="232" t="str">
        <f>'쪽쟘(실측)'!B76&amp;"F"</f>
        <v>10F</v>
      </c>
      <c r="C76" s="232" t="str">
        <f t="shared" si="3"/>
        <v>960*121.4</v>
      </c>
      <c r="D76" s="232" t="e">
        <f>'쪽쟘(실측)'!C76-OP차감</f>
        <v>#NAME?</v>
      </c>
      <c r="E76" s="232" t="e">
        <f>'쪽쟘(실측)'!D76+쪽쟘J늘림+MAX(W76:X76)</f>
        <v>#VALUE!</v>
      </c>
      <c r="F76" s="233" t="e">
        <f>'쪽쟘(실측)'!E76+쪽쟘J늘림+MAX(W76:X76)</f>
        <v>#VALUE!</v>
      </c>
      <c r="G76" s="234" t="str">
        <f t="shared" si="5"/>
        <v>2095*118.4</v>
      </c>
      <c r="H76" s="235" t="str">
        <f t="shared" si="4"/>
        <v>2095*118.4</v>
      </c>
      <c r="I76" s="107">
        <f>IF('쪽쟘(실측)'!F76&gt;0,'쪽쟘(실측)'!F76+0.5,0)</f>
        <v>32.5</v>
      </c>
      <c r="J76" s="232">
        <f>IF('쪽쟘(실측)'!H76&gt;0,'쪽쟘(실측)'!H76+0.5,0)</f>
        <v>32.5</v>
      </c>
      <c r="K76" s="232">
        <f>IF('쪽쟘(실측)'!F76&gt;0,'쪽쟘(실측)'!F76+1.5,0)</f>
        <v>33.5</v>
      </c>
      <c r="L76" s="232">
        <f>IF('쪽쟘(실측)'!G76&gt;0,'쪽쟘(실측)'!G76+1.5,0)</f>
        <v>33.5</v>
      </c>
      <c r="M76" s="232">
        <f>IF('쪽쟘(실측)'!H76&gt;0,'쪽쟘(실측)'!H76+1.5,0)</f>
        <v>33.5</v>
      </c>
      <c r="N76" s="232">
        <f>IF('쪽쟘(실측)'!I76&gt;0,'쪽쟘(실측)'!I76+1.5,0)</f>
        <v>33.5</v>
      </c>
      <c r="O76" s="232" t="e">
        <f>'쪽쟘(실측)'!J76-기둥차감</f>
        <v>#NAME?</v>
      </c>
      <c r="P76" s="232" t="e">
        <f>'쪽쟘(실측)'!K76-기둥차감</f>
        <v>#NAME?</v>
      </c>
      <c r="Q76" s="232" t="e">
        <f>'쪽쟘(실측)'!L76-기둥차감</f>
        <v>#NAME?</v>
      </c>
      <c r="R76" s="232" t="e">
        <f>'쪽쟘(실측)'!M76-기둥차감</f>
        <v>#NAME?</v>
      </c>
      <c r="S76" s="232">
        <f>'쪽쟘(실측)'!N76+1.2</f>
        <v>36.200000000000003</v>
      </c>
      <c r="T76" s="232">
        <f>'쪽쟘(실측)'!O76+1.2</f>
        <v>36.200000000000003</v>
      </c>
      <c r="U76" s="232">
        <f>'쪽쟘(실측)'!P76</f>
        <v>25</v>
      </c>
      <c r="V76" s="232">
        <f>'쪽쟘(실측)'!Q76</f>
        <v>25</v>
      </c>
      <c r="W76" s="232" t="e">
        <f>'쪽쟘(실측)'!R76-늘치차감</f>
        <v>#NAME?</v>
      </c>
      <c r="X76" s="232" t="e">
        <f>'쪽쟘(실측)'!S76-늘치차감</f>
        <v>#NAME?</v>
      </c>
      <c r="Z76" s="228">
        <v>960</v>
      </c>
      <c r="AA76" s="228">
        <v>121.4</v>
      </c>
      <c r="AB76" s="228">
        <v>118.4</v>
      </c>
      <c r="AC76" s="228">
        <v>2095</v>
      </c>
      <c r="AD76" s="228">
        <v>118.4</v>
      </c>
      <c r="AE76" s="228">
        <v>2095</v>
      </c>
    </row>
    <row r="77" spans="1:31" s="228" customFormat="1" ht="18.75" customHeight="1" x14ac:dyDescent="0.3">
      <c r="A77" s="232" t="str">
        <f>'쪽쟘(실측)'!A77</f>
        <v>11-2</v>
      </c>
      <c r="B77" s="232" t="str">
        <f>'쪽쟘(실측)'!B77&amp;"F"</f>
        <v>9F</v>
      </c>
      <c r="C77" s="232" t="str">
        <f t="shared" si="3"/>
        <v>961*119.4</v>
      </c>
      <c r="D77" s="232" t="e">
        <f>'쪽쟘(실측)'!C77-OP차감</f>
        <v>#NAME?</v>
      </c>
      <c r="E77" s="232" t="e">
        <f>'쪽쟘(실측)'!D77+쪽쟘J늘림+MAX(W77:X77)</f>
        <v>#VALUE!</v>
      </c>
      <c r="F77" s="233" t="e">
        <f>'쪽쟘(실측)'!E77+쪽쟘J늘림+MAX(W77:X77)</f>
        <v>#VALUE!</v>
      </c>
      <c r="G77" s="234" t="str">
        <f t="shared" si="5"/>
        <v>2095*118.4</v>
      </c>
      <c r="H77" s="235" t="str">
        <f t="shared" si="4"/>
        <v>2095*119.4</v>
      </c>
      <c r="I77" s="107">
        <f>IF('쪽쟘(실측)'!F77&gt;0,'쪽쟘(실측)'!F77+0.5,0)</f>
        <v>32.5</v>
      </c>
      <c r="J77" s="232">
        <f>IF('쪽쟘(실측)'!H77&gt;0,'쪽쟘(실측)'!H77+0.5,0)</f>
        <v>33.5</v>
      </c>
      <c r="K77" s="232">
        <f>IF('쪽쟘(실측)'!F77&gt;0,'쪽쟘(실측)'!F77+1.5,0)</f>
        <v>33.5</v>
      </c>
      <c r="L77" s="232">
        <f>IF('쪽쟘(실측)'!G77&gt;0,'쪽쟘(실측)'!G77+1.5,0)</f>
        <v>33.5</v>
      </c>
      <c r="M77" s="232">
        <f>IF('쪽쟘(실측)'!H77&gt;0,'쪽쟘(실측)'!H77+1.5,0)</f>
        <v>34.5</v>
      </c>
      <c r="N77" s="232">
        <f>IF('쪽쟘(실측)'!I77&gt;0,'쪽쟘(실측)'!I77+1.5,0)</f>
        <v>34.5</v>
      </c>
      <c r="O77" s="232" t="e">
        <f>'쪽쟘(실측)'!J77-기둥차감</f>
        <v>#NAME?</v>
      </c>
      <c r="P77" s="232" t="e">
        <f>'쪽쟘(실측)'!K77-기둥차감</f>
        <v>#NAME?</v>
      </c>
      <c r="Q77" s="232" t="e">
        <f>'쪽쟘(실측)'!L77-기둥차감</f>
        <v>#NAME?</v>
      </c>
      <c r="R77" s="232" t="e">
        <f>'쪽쟘(실측)'!M77-기둥차감</f>
        <v>#NAME?</v>
      </c>
      <c r="S77" s="232">
        <f>'쪽쟘(실측)'!N77+1.2</f>
        <v>34.200000000000003</v>
      </c>
      <c r="T77" s="232">
        <f>'쪽쟘(실측)'!O77+1.2</f>
        <v>34.200000000000003</v>
      </c>
      <c r="U77" s="232">
        <f>'쪽쟘(실측)'!P77</f>
        <v>25</v>
      </c>
      <c r="V77" s="232">
        <f>'쪽쟘(실측)'!Q77</f>
        <v>25</v>
      </c>
      <c r="W77" s="232" t="e">
        <f>'쪽쟘(실측)'!R77-늘치차감</f>
        <v>#NAME?</v>
      </c>
      <c r="X77" s="232" t="e">
        <f>'쪽쟘(실측)'!S77-늘치차감</f>
        <v>#NAME?</v>
      </c>
      <c r="Z77" s="228">
        <v>961</v>
      </c>
      <c r="AA77" s="228">
        <v>119.4</v>
      </c>
      <c r="AB77" s="228">
        <v>118.4</v>
      </c>
      <c r="AC77" s="228">
        <v>2095</v>
      </c>
      <c r="AD77" s="228">
        <v>119.4</v>
      </c>
      <c r="AE77" s="228">
        <v>2095</v>
      </c>
    </row>
    <row r="78" spans="1:31" s="228" customFormat="1" ht="18.75" customHeight="1" x14ac:dyDescent="0.3">
      <c r="A78" s="232" t="str">
        <f>'쪽쟘(실측)'!A78</f>
        <v>11-2</v>
      </c>
      <c r="B78" s="232" t="str">
        <f>'쪽쟘(실측)'!B78&amp;"F"</f>
        <v>8F</v>
      </c>
      <c r="C78" s="232" t="str">
        <f t="shared" si="3"/>
        <v>959*119.4</v>
      </c>
      <c r="D78" s="232" t="e">
        <f>'쪽쟘(실측)'!C78-OP차감</f>
        <v>#NAME?</v>
      </c>
      <c r="E78" s="232" t="e">
        <f>'쪽쟘(실측)'!D78+쪽쟘J늘림+MAX(W78:X78)</f>
        <v>#VALUE!</v>
      </c>
      <c r="F78" s="233" t="e">
        <f>'쪽쟘(실측)'!E78+쪽쟘J늘림+MAX(W78:X78)</f>
        <v>#VALUE!</v>
      </c>
      <c r="G78" s="234" t="str">
        <f t="shared" si="5"/>
        <v>2095*118.4</v>
      </c>
      <c r="H78" s="235" t="str">
        <f t="shared" si="4"/>
        <v>2095*117.4</v>
      </c>
      <c r="I78" s="107">
        <f>IF('쪽쟘(실측)'!F78&gt;0,'쪽쟘(실측)'!F78+0.5,0)</f>
        <v>32.5</v>
      </c>
      <c r="J78" s="232">
        <f>IF('쪽쟘(실측)'!H78&gt;0,'쪽쟘(실측)'!H78+0.5,0)</f>
        <v>31.5</v>
      </c>
      <c r="K78" s="232">
        <f>IF('쪽쟘(실측)'!F78&gt;0,'쪽쟘(실측)'!F78+1.5,0)</f>
        <v>33.5</v>
      </c>
      <c r="L78" s="232">
        <f>IF('쪽쟘(실측)'!G78&gt;0,'쪽쟘(실측)'!G78+1.5,0)</f>
        <v>33.5</v>
      </c>
      <c r="M78" s="232">
        <f>IF('쪽쟘(실측)'!H78&gt;0,'쪽쟘(실측)'!H78+1.5,0)</f>
        <v>32.5</v>
      </c>
      <c r="N78" s="232">
        <f>IF('쪽쟘(실측)'!I78&gt;0,'쪽쟘(실측)'!I78+1.5,0)</f>
        <v>32.5</v>
      </c>
      <c r="O78" s="232" t="e">
        <f>'쪽쟘(실측)'!J78-기둥차감</f>
        <v>#NAME?</v>
      </c>
      <c r="P78" s="232" t="e">
        <f>'쪽쟘(실측)'!K78-기둥차감</f>
        <v>#NAME?</v>
      </c>
      <c r="Q78" s="232" t="e">
        <f>'쪽쟘(실측)'!L78-기둥차감</f>
        <v>#NAME?</v>
      </c>
      <c r="R78" s="232" t="e">
        <f>'쪽쟘(실측)'!M78-기둥차감</f>
        <v>#NAME?</v>
      </c>
      <c r="S78" s="232">
        <f>'쪽쟘(실측)'!N78+1.2</f>
        <v>34.200000000000003</v>
      </c>
      <c r="T78" s="232">
        <f>'쪽쟘(실측)'!O78+1.2</f>
        <v>34.200000000000003</v>
      </c>
      <c r="U78" s="232">
        <f>'쪽쟘(실측)'!P78</f>
        <v>25</v>
      </c>
      <c r="V78" s="232">
        <f>'쪽쟘(실측)'!Q78</f>
        <v>25</v>
      </c>
      <c r="W78" s="232" t="e">
        <f>'쪽쟘(실측)'!R78-늘치차감</f>
        <v>#NAME?</v>
      </c>
      <c r="X78" s="232" t="e">
        <f>'쪽쟘(실측)'!S78-늘치차감</f>
        <v>#NAME?</v>
      </c>
      <c r="Z78" s="228">
        <v>959</v>
      </c>
      <c r="AA78" s="228">
        <v>119.4</v>
      </c>
      <c r="AB78" s="228">
        <v>118.4</v>
      </c>
      <c r="AC78" s="228">
        <v>2095</v>
      </c>
      <c r="AD78" s="228">
        <v>117.4</v>
      </c>
      <c r="AE78" s="228">
        <v>2095</v>
      </c>
    </row>
    <row r="79" spans="1:31" s="228" customFormat="1" ht="18.75" customHeight="1" x14ac:dyDescent="0.3">
      <c r="A79" s="232" t="str">
        <f>'쪽쟘(실측)'!A79</f>
        <v>11-2</v>
      </c>
      <c r="B79" s="232" t="str">
        <f>'쪽쟘(실측)'!B79&amp;"F"</f>
        <v>7F</v>
      </c>
      <c r="C79" s="232" t="str">
        <f t="shared" si="3"/>
        <v>957*121.4</v>
      </c>
      <c r="D79" s="232" t="e">
        <f>'쪽쟘(실측)'!C79-OP차감</f>
        <v>#NAME?</v>
      </c>
      <c r="E79" s="232" t="e">
        <f>'쪽쟘(실측)'!D79+쪽쟘J늘림+MAX(W79:X79)</f>
        <v>#VALUE!</v>
      </c>
      <c r="F79" s="233" t="e">
        <f>'쪽쟘(실측)'!E79+쪽쟘J늘림+MAX(W79:X79)</f>
        <v>#VALUE!</v>
      </c>
      <c r="G79" s="234" t="str">
        <f t="shared" si="5"/>
        <v>2095*117.4</v>
      </c>
      <c r="H79" s="235" t="str">
        <f t="shared" si="4"/>
        <v>2095*117.4</v>
      </c>
      <c r="I79" s="107">
        <f>IF('쪽쟘(실측)'!F79&gt;0,'쪽쟘(실측)'!F79+0.5,0)</f>
        <v>31.5</v>
      </c>
      <c r="J79" s="232">
        <f>IF('쪽쟘(실측)'!H79&gt;0,'쪽쟘(실측)'!H79+0.5,0)</f>
        <v>31.5</v>
      </c>
      <c r="K79" s="232">
        <f>IF('쪽쟘(실측)'!F79&gt;0,'쪽쟘(실측)'!F79+1.5,0)</f>
        <v>32.5</v>
      </c>
      <c r="L79" s="232">
        <f>IF('쪽쟘(실측)'!G79&gt;0,'쪽쟘(실측)'!G79+1.5,0)</f>
        <v>32.5</v>
      </c>
      <c r="M79" s="232">
        <f>IF('쪽쟘(실측)'!H79&gt;0,'쪽쟘(실측)'!H79+1.5,0)</f>
        <v>32.5</v>
      </c>
      <c r="N79" s="232">
        <f>IF('쪽쟘(실측)'!I79&gt;0,'쪽쟘(실측)'!I79+1.5,0)</f>
        <v>32.5</v>
      </c>
      <c r="O79" s="232" t="e">
        <f>'쪽쟘(실측)'!J79-기둥차감</f>
        <v>#NAME?</v>
      </c>
      <c r="P79" s="232" t="e">
        <f>'쪽쟘(실측)'!K79-기둥차감</f>
        <v>#NAME?</v>
      </c>
      <c r="Q79" s="232" t="e">
        <f>'쪽쟘(실측)'!L79-기둥차감</f>
        <v>#NAME?</v>
      </c>
      <c r="R79" s="232" t="e">
        <f>'쪽쟘(실측)'!M79-기둥차감</f>
        <v>#NAME?</v>
      </c>
      <c r="S79" s="232">
        <f>'쪽쟘(실측)'!N79+1.2</f>
        <v>36.200000000000003</v>
      </c>
      <c r="T79" s="232">
        <f>'쪽쟘(실측)'!O79+1.2</f>
        <v>36.200000000000003</v>
      </c>
      <c r="U79" s="232">
        <f>'쪽쟘(실측)'!P79</f>
        <v>25</v>
      </c>
      <c r="V79" s="232">
        <f>'쪽쟘(실측)'!Q79</f>
        <v>25</v>
      </c>
      <c r="W79" s="232" t="e">
        <f>'쪽쟘(실측)'!R79-늘치차감</f>
        <v>#NAME?</v>
      </c>
      <c r="X79" s="232" t="e">
        <f>'쪽쟘(실측)'!S79-늘치차감</f>
        <v>#NAME?</v>
      </c>
      <c r="Z79" s="228">
        <v>957</v>
      </c>
      <c r="AA79" s="228">
        <v>121.4</v>
      </c>
      <c r="AB79" s="228">
        <v>117.4</v>
      </c>
      <c r="AC79" s="228">
        <v>2095</v>
      </c>
      <c r="AD79" s="228">
        <v>117.4</v>
      </c>
      <c r="AE79" s="228">
        <v>2095</v>
      </c>
    </row>
    <row r="80" spans="1:31" s="228" customFormat="1" ht="18.75" customHeight="1" x14ac:dyDescent="0.3">
      <c r="A80" s="232" t="str">
        <f>'쪽쟘(실측)'!A80</f>
        <v>11-2</v>
      </c>
      <c r="B80" s="232" t="str">
        <f>'쪽쟘(실측)'!B80&amp;"F"</f>
        <v>6F</v>
      </c>
      <c r="C80" s="232" t="str">
        <f t="shared" si="3"/>
        <v>959*121.4</v>
      </c>
      <c r="D80" s="232" t="e">
        <f>'쪽쟘(실측)'!C80-OP차감</f>
        <v>#NAME?</v>
      </c>
      <c r="E80" s="232" t="e">
        <f>'쪽쟘(실측)'!D80+쪽쟘J늘림+MAX(W80:X80)</f>
        <v>#VALUE!</v>
      </c>
      <c r="F80" s="233" t="e">
        <f>'쪽쟘(실측)'!E80+쪽쟘J늘림+MAX(W80:X80)</f>
        <v>#VALUE!</v>
      </c>
      <c r="G80" s="234" t="str">
        <f t="shared" si="5"/>
        <v>2095*117.4</v>
      </c>
      <c r="H80" s="235" t="str">
        <f t="shared" si="4"/>
        <v>2095*119.4</v>
      </c>
      <c r="I80" s="107">
        <f>IF('쪽쟘(실측)'!F80&gt;0,'쪽쟘(실측)'!F80+0.5,0)</f>
        <v>31.5</v>
      </c>
      <c r="J80" s="232">
        <f>IF('쪽쟘(실측)'!H80&gt;0,'쪽쟘(실측)'!H80+0.5,0)</f>
        <v>33.5</v>
      </c>
      <c r="K80" s="232">
        <f>IF('쪽쟘(실측)'!F80&gt;0,'쪽쟘(실측)'!F80+1.5,0)</f>
        <v>32.5</v>
      </c>
      <c r="L80" s="232">
        <f>IF('쪽쟘(실측)'!G80&gt;0,'쪽쟘(실측)'!G80+1.5,0)</f>
        <v>32.5</v>
      </c>
      <c r="M80" s="232">
        <f>IF('쪽쟘(실측)'!H80&gt;0,'쪽쟘(실측)'!H80+1.5,0)</f>
        <v>34.5</v>
      </c>
      <c r="N80" s="232">
        <f>IF('쪽쟘(실측)'!I80&gt;0,'쪽쟘(실측)'!I80+1.5,0)</f>
        <v>34.5</v>
      </c>
      <c r="O80" s="232" t="e">
        <f>'쪽쟘(실측)'!J80-기둥차감</f>
        <v>#NAME?</v>
      </c>
      <c r="P80" s="232" t="e">
        <f>'쪽쟘(실측)'!K80-기둥차감</f>
        <v>#NAME?</v>
      </c>
      <c r="Q80" s="232" t="e">
        <f>'쪽쟘(실측)'!L80-기둥차감</f>
        <v>#NAME?</v>
      </c>
      <c r="R80" s="232" t="e">
        <f>'쪽쟘(실측)'!M80-기둥차감</f>
        <v>#NAME?</v>
      </c>
      <c r="S80" s="232">
        <f>'쪽쟘(실측)'!N80+1.2</f>
        <v>36.200000000000003</v>
      </c>
      <c r="T80" s="232">
        <f>'쪽쟘(실측)'!O80+1.2</f>
        <v>36.200000000000003</v>
      </c>
      <c r="U80" s="232">
        <f>'쪽쟘(실측)'!P80</f>
        <v>25</v>
      </c>
      <c r="V80" s="232">
        <f>'쪽쟘(실측)'!Q80</f>
        <v>25</v>
      </c>
      <c r="W80" s="232" t="e">
        <f>'쪽쟘(실측)'!R80-늘치차감</f>
        <v>#NAME?</v>
      </c>
      <c r="X80" s="232" t="e">
        <f>'쪽쟘(실측)'!S80-늘치차감</f>
        <v>#NAME?</v>
      </c>
      <c r="Z80" s="228">
        <v>959</v>
      </c>
      <c r="AA80" s="228">
        <v>121.4</v>
      </c>
      <c r="AB80" s="228">
        <v>117.4</v>
      </c>
      <c r="AC80" s="228">
        <v>2095</v>
      </c>
      <c r="AD80" s="228">
        <v>119.4</v>
      </c>
      <c r="AE80" s="228">
        <v>2095</v>
      </c>
    </row>
    <row r="81" spans="1:31" s="228" customFormat="1" ht="18.75" customHeight="1" x14ac:dyDescent="0.3">
      <c r="A81" s="232" t="str">
        <f>'쪽쟘(실측)'!A81</f>
        <v>11-2</v>
      </c>
      <c r="B81" s="232" t="str">
        <f>'쪽쟘(실측)'!B81&amp;"F"</f>
        <v>5F</v>
      </c>
      <c r="C81" s="232" t="str">
        <f t="shared" si="3"/>
        <v>962*118.4</v>
      </c>
      <c r="D81" s="232" t="e">
        <f>'쪽쟘(실측)'!C81-OP차감</f>
        <v>#NAME?</v>
      </c>
      <c r="E81" s="232" t="e">
        <f>'쪽쟘(실측)'!D81+쪽쟘J늘림+MAX(W81:X81)</f>
        <v>#VALUE!</v>
      </c>
      <c r="F81" s="233" t="e">
        <f>'쪽쟘(실측)'!E81+쪽쟘J늘림+MAX(W81:X81)</f>
        <v>#VALUE!</v>
      </c>
      <c r="G81" s="234" t="str">
        <f t="shared" si="5"/>
        <v>2095*119.4</v>
      </c>
      <c r="H81" s="235"/>
      <c r="I81" s="107">
        <f>IF('쪽쟘(실측)'!F81&gt;0,'쪽쟘(실측)'!F81+0.5,0)</f>
        <v>33.5</v>
      </c>
      <c r="J81" s="232">
        <f>IF('쪽쟘(실측)'!H81&gt;0,'쪽쟘(실측)'!H81+0.5,0)</f>
        <v>34.5</v>
      </c>
      <c r="K81" s="232">
        <f>IF('쪽쟘(실측)'!F81&gt;0,'쪽쟘(실측)'!F81+1.5,0)</f>
        <v>34.5</v>
      </c>
      <c r="L81" s="232">
        <f>IF('쪽쟘(실측)'!G81&gt;0,'쪽쟘(실측)'!G81+1.5,0)</f>
        <v>34.5</v>
      </c>
      <c r="M81" s="232">
        <f>IF('쪽쟘(실측)'!H81&gt;0,'쪽쟘(실측)'!H81+1.5,0)</f>
        <v>35.5</v>
      </c>
      <c r="N81" s="232">
        <f>IF('쪽쟘(실측)'!I81&gt;0,'쪽쟘(실측)'!I81+1.5,0)</f>
        <v>31.5</v>
      </c>
      <c r="O81" s="232" t="e">
        <f>'쪽쟘(실측)'!J81-기둥차감</f>
        <v>#NAME?</v>
      </c>
      <c r="P81" s="232" t="e">
        <f>'쪽쟘(실측)'!K81-기둥차감</f>
        <v>#NAME?</v>
      </c>
      <c r="Q81" s="232" t="e">
        <f>'쪽쟘(실측)'!L81-기둥차감</f>
        <v>#NAME?</v>
      </c>
      <c r="R81" s="232" t="e">
        <f>'쪽쟘(실측)'!M81-기둥차감</f>
        <v>#NAME?</v>
      </c>
      <c r="S81" s="232">
        <f>'쪽쟘(실측)'!N81+1.2</f>
        <v>33.200000000000003</v>
      </c>
      <c r="T81" s="232">
        <f>'쪽쟘(실측)'!O81+1.2</f>
        <v>33.200000000000003</v>
      </c>
      <c r="U81" s="232">
        <f>'쪽쟘(실측)'!P81</f>
        <v>25</v>
      </c>
      <c r="V81" s="232">
        <f>'쪽쟘(실측)'!Q81</f>
        <v>25</v>
      </c>
      <c r="W81" s="232" t="e">
        <f>'쪽쟘(실측)'!R81-늘치차감</f>
        <v>#NAME?</v>
      </c>
      <c r="X81" s="232" t="e">
        <f>'쪽쟘(실측)'!S81-늘치차감</f>
        <v>#NAME?</v>
      </c>
      <c r="Z81" s="228">
        <v>962</v>
      </c>
      <c r="AA81" s="228">
        <v>118.4</v>
      </c>
      <c r="AB81" s="228">
        <v>119.4</v>
      </c>
      <c r="AC81" s="228">
        <v>2095</v>
      </c>
      <c r="AD81" s="228">
        <v>120.4</v>
      </c>
      <c r="AE81" s="228">
        <v>2095</v>
      </c>
    </row>
    <row r="82" spans="1:31" s="228" customFormat="1" ht="18.75" customHeight="1" x14ac:dyDescent="0.3">
      <c r="A82" s="232" t="str">
        <f>'쪽쟘(실측)'!A82</f>
        <v>11-2</v>
      </c>
      <c r="B82" s="232" t="str">
        <f>'쪽쟘(실측)'!B82&amp;"F"</f>
        <v>4F</v>
      </c>
      <c r="C82" s="232" t="str">
        <f t="shared" si="3"/>
        <v>960*119.4</v>
      </c>
      <c r="D82" s="232" t="e">
        <f>'쪽쟘(실측)'!C82-OP차감</f>
        <v>#NAME?</v>
      </c>
      <c r="E82" s="232" t="e">
        <f>'쪽쟘(실측)'!D82+쪽쟘J늘림+MAX(W82:X82)</f>
        <v>#VALUE!</v>
      </c>
      <c r="F82" s="233" t="e">
        <f>'쪽쟘(실측)'!E82+쪽쟘J늘림+MAX(W82:X82)</f>
        <v>#VALUE!</v>
      </c>
      <c r="G82" s="234" t="str">
        <f t="shared" si="5"/>
        <v>2095*117.4</v>
      </c>
      <c r="H82" s="235" t="str">
        <f t="shared" si="4"/>
        <v>2095*119.4</v>
      </c>
      <c r="I82" s="107">
        <f>IF('쪽쟘(실측)'!F82&gt;0,'쪽쟘(실측)'!F82+0.5,0)</f>
        <v>31.5</v>
      </c>
      <c r="J82" s="232">
        <f>IF('쪽쟘(실측)'!H82&gt;0,'쪽쟘(실측)'!H82+0.5,0)</f>
        <v>33.5</v>
      </c>
      <c r="K82" s="232">
        <f>IF('쪽쟘(실측)'!F82&gt;0,'쪽쟘(실측)'!F82+1.5,0)</f>
        <v>32.5</v>
      </c>
      <c r="L82" s="232">
        <f>IF('쪽쟘(실측)'!G82&gt;0,'쪽쟘(실측)'!G82+1.5,0)</f>
        <v>32.5</v>
      </c>
      <c r="M82" s="232">
        <f>IF('쪽쟘(실측)'!H82&gt;0,'쪽쟘(실측)'!H82+1.5,0)</f>
        <v>34.5</v>
      </c>
      <c r="N82" s="232">
        <f>IF('쪽쟘(실측)'!I82&gt;0,'쪽쟘(실측)'!I82+1.5,0)</f>
        <v>34.5</v>
      </c>
      <c r="O82" s="232" t="e">
        <f>'쪽쟘(실측)'!J82-기둥차감</f>
        <v>#NAME?</v>
      </c>
      <c r="P82" s="232" t="e">
        <f>'쪽쟘(실측)'!K82-기둥차감</f>
        <v>#NAME?</v>
      </c>
      <c r="Q82" s="232" t="e">
        <f>'쪽쟘(실측)'!L82-기둥차감</f>
        <v>#NAME?</v>
      </c>
      <c r="R82" s="232" t="e">
        <f>'쪽쟘(실측)'!M82-기둥차감</f>
        <v>#NAME?</v>
      </c>
      <c r="S82" s="232">
        <f>'쪽쟘(실측)'!N82+1.2</f>
        <v>34.200000000000003</v>
      </c>
      <c r="T82" s="232">
        <f>'쪽쟘(실측)'!O82+1.2</f>
        <v>34.200000000000003</v>
      </c>
      <c r="U82" s="232">
        <f>'쪽쟘(실측)'!P82</f>
        <v>25</v>
      </c>
      <c r="V82" s="232">
        <f>'쪽쟘(실측)'!Q82</f>
        <v>25</v>
      </c>
      <c r="W82" s="232" t="e">
        <f>'쪽쟘(실측)'!R82-늘치차감</f>
        <v>#NAME?</v>
      </c>
      <c r="X82" s="232" t="e">
        <f>'쪽쟘(실측)'!S82-늘치차감</f>
        <v>#NAME?</v>
      </c>
      <c r="Z82" s="228">
        <v>960</v>
      </c>
      <c r="AA82" s="228">
        <v>119.4</v>
      </c>
      <c r="AB82" s="228">
        <v>117.4</v>
      </c>
      <c r="AC82" s="228">
        <v>2095</v>
      </c>
      <c r="AD82" s="228">
        <v>119.4</v>
      </c>
      <c r="AE82" s="228">
        <v>2095</v>
      </c>
    </row>
    <row r="83" spans="1:31" s="228" customFormat="1" ht="18.75" customHeight="1" x14ac:dyDescent="0.3">
      <c r="A83" s="232" t="str">
        <f>'쪽쟘(실측)'!A83</f>
        <v>11-2</v>
      </c>
      <c r="B83" s="232" t="str">
        <f>'쪽쟘(실측)'!B83&amp;"F"</f>
        <v>3F</v>
      </c>
      <c r="C83" s="232" t="str">
        <f t="shared" si="3"/>
        <v>956*118.4</v>
      </c>
      <c r="D83" s="232" t="e">
        <f>'쪽쟘(실측)'!C83-OP차감</f>
        <v>#NAME?</v>
      </c>
      <c r="E83" s="232" t="e">
        <f>'쪽쟘(실측)'!D83+쪽쟘J늘림+MAX(W83:X83)</f>
        <v>#VALUE!</v>
      </c>
      <c r="F83" s="233" t="e">
        <f>'쪽쟘(실측)'!E83+쪽쟘J늘림+MAX(W83:X83)</f>
        <v>#VALUE!</v>
      </c>
      <c r="G83" s="234" t="str">
        <f t="shared" si="5"/>
        <v>2095*117.4</v>
      </c>
      <c r="H83" s="235" t="str">
        <f t="shared" si="4"/>
        <v>2095*116.4</v>
      </c>
      <c r="I83" s="107">
        <f>IF('쪽쟘(실측)'!F83&gt;0,'쪽쟘(실측)'!F83+0.5,0)</f>
        <v>31.5</v>
      </c>
      <c r="J83" s="232">
        <f>IF('쪽쟘(실측)'!H83&gt;0,'쪽쟘(실측)'!H83+0.5,0)</f>
        <v>30.5</v>
      </c>
      <c r="K83" s="232">
        <f>IF('쪽쟘(실측)'!F83&gt;0,'쪽쟘(실측)'!F83+1.5,0)</f>
        <v>32.5</v>
      </c>
      <c r="L83" s="232">
        <f>IF('쪽쟘(실측)'!G83&gt;0,'쪽쟘(실측)'!G83+1.5,0)</f>
        <v>32.5</v>
      </c>
      <c r="M83" s="232">
        <f>IF('쪽쟘(실측)'!H83&gt;0,'쪽쟘(실측)'!H83+1.5,0)</f>
        <v>31.5</v>
      </c>
      <c r="N83" s="232">
        <f>IF('쪽쟘(실측)'!I83&gt;0,'쪽쟘(실측)'!I83+1.5,0)</f>
        <v>31.5</v>
      </c>
      <c r="O83" s="232" t="e">
        <f>'쪽쟘(실측)'!J83-기둥차감</f>
        <v>#NAME?</v>
      </c>
      <c r="P83" s="232" t="e">
        <f>'쪽쟘(실측)'!K83-기둥차감</f>
        <v>#NAME?</v>
      </c>
      <c r="Q83" s="232" t="e">
        <f>'쪽쟘(실측)'!L83-기둥차감</f>
        <v>#NAME?</v>
      </c>
      <c r="R83" s="232" t="e">
        <f>'쪽쟘(실측)'!M83-기둥차감</f>
        <v>#NAME?</v>
      </c>
      <c r="S83" s="232">
        <f>'쪽쟘(실측)'!N83+1.2</f>
        <v>33.200000000000003</v>
      </c>
      <c r="T83" s="232">
        <f>'쪽쟘(실측)'!O83+1.2</f>
        <v>33.200000000000003</v>
      </c>
      <c r="U83" s="232">
        <f>'쪽쟘(실측)'!P83</f>
        <v>25</v>
      </c>
      <c r="V83" s="232">
        <f>'쪽쟘(실측)'!Q83</f>
        <v>25</v>
      </c>
      <c r="W83" s="232" t="e">
        <f>'쪽쟘(실측)'!R83-늘치차감</f>
        <v>#NAME?</v>
      </c>
      <c r="X83" s="232" t="e">
        <f>'쪽쟘(실측)'!S83-늘치차감</f>
        <v>#NAME?</v>
      </c>
      <c r="Z83" s="228">
        <v>956</v>
      </c>
      <c r="AA83" s="228">
        <v>118.4</v>
      </c>
      <c r="AB83" s="228">
        <v>117.4</v>
      </c>
      <c r="AC83" s="228">
        <v>2095</v>
      </c>
      <c r="AD83" s="228">
        <v>116.4</v>
      </c>
      <c r="AE83" s="228">
        <v>2095</v>
      </c>
    </row>
    <row r="84" spans="1:31" s="228" customFormat="1" ht="18.75" customHeight="1" x14ac:dyDescent="0.3">
      <c r="A84" s="232" t="str">
        <f>'쪽쟘(실측)'!A84</f>
        <v>11-2</v>
      </c>
      <c r="B84" s="232" t="str">
        <f>'쪽쟘(실측)'!B84&amp;"F"</f>
        <v>2F</v>
      </c>
      <c r="C84" s="232" t="str">
        <f t="shared" si="3"/>
        <v>961*118.4</v>
      </c>
      <c r="D84" s="232" t="e">
        <f>'쪽쟘(실측)'!C84-OP차감</f>
        <v>#NAME?</v>
      </c>
      <c r="E84" s="232" t="e">
        <f>'쪽쟘(실측)'!D84+쪽쟘J늘림+MAX(W84:X84)</f>
        <v>#VALUE!</v>
      </c>
      <c r="F84" s="233" t="e">
        <f>'쪽쟘(실측)'!E84+쪽쟘J늘림+MAX(W84:X84)</f>
        <v>#VALUE!</v>
      </c>
      <c r="G84" s="234"/>
      <c r="H84" s="235" t="str">
        <f t="shared" si="4"/>
        <v>2095*117.4</v>
      </c>
      <c r="I84" s="107">
        <f>IF('쪽쟘(실측)'!F84&gt;0,'쪽쟘(실측)'!F84+0.5,0)</f>
        <v>35.5</v>
      </c>
      <c r="J84" s="232">
        <f>IF('쪽쟘(실측)'!H84&gt;0,'쪽쟘(실측)'!H84+0.5,0)</f>
        <v>31.5</v>
      </c>
      <c r="K84" s="232">
        <f>IF('쪽쟘(실측)'!F84&gt;0,'쪽쟘(실측)'!F84+1.5,0)</f>
        <v>36.5</v>
      </c>
      <c r="L84" s="232">
        <f>IF('쪽쟘(실측)'!G84&gt;0,'쪽쟘(실측)'!G84+1.5,0)</f>
        <v>32.5</v>
      </c>
      <c r="M84" s="232">
        <f>IF('쪽쟘(실측)'!H84&gt;0,'쪽쟘(실측)'!H84+1.5,0)</f>
        <v>32.5</v>
      </c>
      <c r="N84" s="232">
        <f>IF('쪽쟘(실측)'!I84&gt;0,'쪽쟘(실측)'!I84+1.5,0)</f>
        <v>32.5</v>
      </c>
      <c r="O84" s="232" t="e">
        <f>'쪽쟘(실측)'!J84-기둥차감</f>
        <v>#NAME?</v>
      </c>
      <c r="P84" s="232" t="e">
        <f>'쪽쟘(실측)'!K84-기둥차감</f>
        <v>#NAME?</v>
      </c>
      <c r="Q84" s="232" t="e">
        <f>'쪽쟘(실측)'!L84-기둥차감</f>
        <v>#NAME?</v>
      </c>
      <c r="R84" s="232" t="e">
        <f>'쪽쟘(실측)'!M84-기둥차감</f>
        <v>#NAME?</v>
      </c>
      <c r="S84" s="232">
        <f>'쪽쟘(실측)'!N84+1.2</f>
        <v>33.200000000000003</v>
      </c>
      <c r="T84" s="232">
        <f>'쪽쟘(실측)'!O84+1.2</f>
        <v>33.200000000000003</v>
      </c>
      <c r="U84" s="232">
        <f>'쪽쟘(실측)'!P84</f>
        <v>25</v>
      </c>
      <c r="V84" s="232">
        <f>'쪽쟘(실측)'!Q84</f>
        <v>25</v>
      </c>
      <c r="W84" s="232" t="e">
        <f>'쪽쟘(실측)'!R84-늘치차감</f>
        <v>#NAME?</v>
      </c>
      <c r="X84" s="232" t="e">
        <f>'쪽쟘(실측)'!S84-늘치차감</f>
        <v>#NAME?</v>
      </c>
      <c r="Z84" s="228">
        <v>961</v>
      </c>
      <c r="AA84" s="228">
        <v>118.4</v>
      </c>
      <c r="AB84" s="228">
        <v>121.4</v>
      </c>
      <c r="AC84" s="228">
        <v>2095</v>
      </c>
      <c r="AD84" s="228">
        <v>117.4</v>
      </c>
      <c r="AE84" s="228">
        <v>2095</v>
      </c>
    </row>
    <row r="85" spans="1:31" s="228" customFormat="1" ht="18.75" customHeight="1" thickBot="1" x14ac:dyDescent="0.35">
      <c r="A85" s="287" t="str">
        <f>'쪽쟘(실측)'!A85</f>
        <v>11-2</v>
      </c>
      <c r="B85" s="287" t="str">
        <f>'쪽쟘(실측)'!B85&amp;"F"</f>
        <v>B1F</v>
      </c>
      <c r="C85" s="287" t="str">
        <f t="shared" si="3"/>
        <v>926*121.4</v>
      </c>
      <c r="D85" s="287" t="e">
        <f>'쪽쟘(실측)'!C85-OP차감</f>
        <v>#NAME?</v>
      </c>
      <c r="E85" s="287" t="e">
        <f>'쪽쟘(실측)'!D85+쪽쟘J늘림+MAX(W85:X85)</f>
        <v>#VALUE!</v>
      </c>
      <c r="F85" s="288" t="e">
        <f>'쪽쟘(실측)'!E85+쪽쟘J늘림+MAX(W85:X85)</f>
        <v>#VALUE!</v>
      </c>
      <c r="G85" s="289"/>
      <c r="H85" s="290"/>
      <c r="I85" s="107">
        <f>IF('쪽쟘(실측)'!F85&gt;0,'쪽쟘(실측)'!F85+0.5,0)</f>
        <v>20.5</v>
      </c>
      <c r="J85" s="232">
        <f>IF('쪽쟘(실측)'!H85&gt;0,'쪽쟘(실측)'!H85+0.5,0)</f>
        <v>20.5</v>
      </c>
      <c r="K85" s="232">
        <f>IF('쪽쟘(실측)'!F85&gt;0,'쪽쟘(실측)'!F85+1.5,0)</f>
        <v>21.5</v>
      </c>
      <c r="L85" s="232">
        <f>IF('쪽쟘(실측)'!G85&gt;0,'쪽쟘(실측)'!G85+1.5,0)</f>
        <v>21.5</v>
      </c>
      <c r="M85" s="232">
        <f>IF('쪽쟘(실측)'!H85&gt;0,'쪽쟘(실측)'!H85+1.5,0)</f>
        <v>21.5</v>
      </c>
      <c r="N85" s="232">
        <f>IF('쪽쟘(실측)'!I85&gt;0,'쪽쟘(실측)'!I85+1.5,0)</f>
        <v>21.5</v>
      </c>
      <c r="O85" s="232" t="e">
        <f>'쪽쟘(실측)'!J85-기둥차감</f>
        <v>#NAME?</v>
      </c>
      <c r="P85" s="232" t="e">
        <f>'쪽쟘(실측)'!K85-기둥차감</f>
        <v>#NAME?</v>
      </c>
      <c r="Q85" s="232" t="e">
        <f>'쪽쟘(실측)'!L85-기둥차감</f>
        <v>#NAME?</v>
      </c>
      <c r="R85" s="232" t="e">
        <f>'쪽쟘(실측)'!M85-기둥차감</f>
        <v>#NAME?</v>
      </c>
      <c r="S85" s="232">
        <f>'쪽쟘(실측)'!N85+1.2</f>
        <v>31.2</v>
      </c>
      <c r="T85" s="232">
        <f>'쪽쟘(실측)'!O85+1.2</f>
        <v>26.2</v>
      </c>
      <c r="U85" s="232">
        <f>'쪽쟘(실측)'!P85</f>
        <v>25</v>
      </c>
      <c r="V85" s="232">
        <f>'쪽쟘(실측)'!Q85</f>
        <v>25</v>
      </c>
      <c r="W85" s="232" t="e">
        <f>'쪽쟘(실측)'!R85-늘치차감</f>
        <v>#NAME?</v>
      </c>
      <c r="X85" s="232" t="e">
        <f>'쪽쟘(실측)'!S85-늘치차감</f>
        <v>#NAME?</v>
      </c>
      <c r="Z85" s="228">
        <v>926</v>
      </c>
      <c r="AA85" s="228">
        <v>121.4</v>
      </c>
      <c r="AB85" s="228">
        <v>111.4</v>
      </c>
      <c r="AC85" s="228">
        <v>2090</v>
      </c>
      <c r="AD85" s="228">
        <v>111.4</v>
      </c>
      <c r="AE85" s="228">
        <v>2090</v>
      </c>
    </row>
    <row r="86" spans="1:31" s="228" customFormat="1" ht="18.75" customHeight="1" x14ac:dyDescent="0.3">
      <c r="A86" s="283" t="str">
        <f>'쪽쟘(실측)'!A86</f>
        <v>12-1</v>
      </c>
      <c r="B86" s="283" t="str">
        <f>'쪽쟘(실측)'!B86&amp;"F"</f>
        <v>20F</v>
      </c>
      <c r="C86" s="283" t="str">
        <f t="shared" si="3"/>
        <v>958*120.4</v>
      </c>
      <c r="D86" s="283" t="e">
        <f>'쪽쟘(실측)'!C86-OP차감</f>
        <v>#NAME?</v>
      </c>
      <c r="E86" s="283" t="e">
        <f>'쪽쟘(실측)'!D86+쪽쟘J늘림+MAX(W86:X86)</f>
        <v>#VALUE!</v>
      </c>
      <c r="F86" s="284" t="e">
        <f>'쪽쟘(실측)'!E86+쪽쟘J늘림+MAX(W86:X86)</f>
        <v>#VALUE!</v>
      </c>
      <c r="G86" s="285" t="str">
        <f t="shared" si="5"/>
        <v>2095*118.4</v>
      </c>
      <c r="H86" s="286" t="str">
        <f t="shared" si="4"/>
        <v>2095*118.4</v>
      </c>
      <c r="I86" s="107">
        <f>IF('쪽쟘(실측)'!F86&gt;0,'쪽쟘(실측)'!F86+0.5,0)</f>
        <v>32.5</v>
      </c>
      <c r="J86" s="232">
        <f>IF('쪽쟘(실측)'!H86&gt;0,'쪽쟘(실측)'!H86+0.5,0)</f>
        <v>32.5</v>
      </c>
      <c r="K86" s="232">
        <f>IF('쪽쟘(실측)'!F86&gt;0,'쪽쟘(실측)'!F86+1.5,0)</f>
        <v>33.5</v>
      </c>
      <c r="L86" s="232">
        <f>IF('쪽쟘(실측)'!G86&gt;0,'쪽쟘(실측)'!G86+1.5,0)</f>
        <v>33.5</v>
      </c>
      <c r="M86" s="232">
        <f>IF('쪽쟘(실측)'!H86&gt;0,'쪽쟘(실측)'!H86+1.5,0)</f>
        <v>33.5</v>
      </c>
      <c r="N86" s="232">
        <f>IF('쪽쟘(실측)'!I86&gt;0,'쪽쟘(실측)'!I86+1.5,0)</f>
        <v>33.5</v>
      </c>
      <c r="O86" s="232" t="e">
        <f>'쪽쟘(실측)'!J86-기둥차감</f>
        <v>#NAME?</v>
      </c>
      <c r="P86" s="232" t="e">
        <f>'쪽쟘(실측)'!K86-기둥차감</f>
        <v>#NAME?</v>
      </c>
      <c r="Q86" s="232" t="e">
        <f>'쪽쟘(실측)'!L86-기둥차감</f>
        <v>#NAME?</v>
      </c>
      <c r="R86" s="232" t="e">
        <f>'쪽쟘(실측)'!M86-기둥차감</f>
        <v>#NAME?</v>
      </c>
      <c r="S86" s="232">
        <f>'쪽쟘(실측)'!N86+1.2</f>
        <v>35.200000000000003</v>
      </c>
      <c r="T86" s="232">
        <f>'쪽쟘(실측)'!O86+1.2</f>
        <v>35.200000000000003</v>
      </c>
      <c r="U86" s="232">
        <f>'쪽쟘(실측)'!P86</f>
        <v>25</v>
      </c>
      <c r="V86" s="232">
        <f>'쪽쟘(실측)'!Q86</f>
        <v>25</v>
      </c>
      <c r="W86" s="232" t="e">
        <f>'쪽쟘(실측)'!R86-늘치차감</f>
        <v>#NAME?</v>
      </c>
      <c r="X86" s="232" t="e">
        <f>'쪽쟘(실측)'!S86-늘치차감</f>
        <v>#NAME?</v>
      </c>
      <c r="Z86" s="228">
        <v>958</v>
      </c>
      <c r="AA86" s="228">
        <v>120.4</v>
      </c>
      <c r="AB86" s="228">
        <v>118.4</v>
      </c>
      <c r="AC86" s="228">
        <v>2095</v>
      </c>
      <c r="AD86" s="228">
        <v>118.4</v>
      </c>
      <c r="AE86" s="228">
        <v>2095</v>
      </c>
    </row>
    <row r="87" spans="1:31" s="228" customFormat="1" ht="18.75" customHeight="1" x14ac:dyDescent="0.3">
      <c r="A87" s="232" t="str">
        <f>'쪽쟘(실측)'!A87</f>
        <v>12-1</v>
      </c>
      <c r="B87" s="232" t="str">
        <f>'쪽쟘(실측)'!B87&amp;"F"</f>
        <v>19F</v>
      </c>
      <c r="C87" s="232" t="str">
        <f t="shared" si="3"/>
        <v>956*122.4</v>
      </c>
      <c r="D87" s="232" t="e">
        <f>'쪽쟘(실측)'!C87-OP차감</f>
        <v>#NAME?</v>
      </c>
      <c r="E87" s="232" t="e">
        <f>'쪽쟘(실측)'!D87+쪽쟘J늘림+MAX(W87:X87)</f>
        <v>#VALUE!</v>
      </c>
      <c r="F87" s="233" t="e">
        <f>'쪽쟘(실측)'!E87+쪽쟘J늘림+MAX(W87:X87)</f>
        <v>#VALUE!</v>
      </c>
      <c r="G87" s="234" t="str">
        <f t="shared" si="5"/>
        <v>2095*118.4</v>
      </c>
      <c r="H87" s="235" t="str">
        <f t="shared" si="4"/>
        <v>2095*116.4</v>
      </c>
      <c r="I87" s="107">
        <f>IF('쪽쟘(실측)'!F87&gt;0,'쪽쟘(실측)'!F87+0.5,0)</f>
        <v>32.5</v>
      </c>
      <c r="J87" s="232">
        <f>IF('쪽쟘(실측)'!H87&gt;0,'쪽쟘(실측)'!H87+0.5,0)</f>
        <v>30.5</v>
      </c>
      <c r="K87" s="232">
        <f>IF('쪽쟘(실측)'!F87&gt;0,'쪽쟘(실측)'!F87+1.5,0)</f>
        <v>33.5</v>
      </c>
      <c r="L87" s="232">
        <f>IF('쪽쟘(실측)'!G87&gt;0,'쪽쟘(실측)'!G87+1.5,0)</f>
        <v>33.5</v>
      </c>
      <c r="M87" s="232">
        <f>IF('쪽쟘(실측)'!H87&gt;0,'쪽쟘(실측)'!H87+1.5,0)</f>
        <v>31.5</v>
      </c>
      <c r="N87" s="232">
        <f>IF('쪽쟘(실측)'!I87&gt;0,'쪽쟘(실측)'!I87+1.5,0)</f>
        <v>31.5</v>
      </c>
      <c r="O87" s="232" t="e">
        <f>'쪽쟘(실측)'!J87-기둥차감</f>
        <v>#NAME?</v>
      </c>
      <c r="P87" s="232" t="e">
        <f>'쪽쟘(실측)'!K87-기둥차감</f>
        <v>#NAME?</v>
      </c>
      <c r="Q87" s="232" t="e">
        <f>'쪽쟘(실측)'!L87-기둥차감</f>
        <v>#NAME?</v>
      </c>
      <c r="R87" s="232" t="e">
        <f>'쪽쟘(실측)'!M87-기둥차감</f>
        <v>#NAME?</v>
      </c>
      <c r="S87" s="232">
        <f>'쪽쟘(실측)'!N87+1.2</f>
        <v>37.200000000000003</v>
      </c>
      <c r="T87" s="232">
        <f>'쪽쟘(실측)'!O87+1.2</f>
        <v>33.200000000000003</v>
      </c>
      <c r="U87" s="232">
        <f>'쪽쟘(실측)'!P87</f>
        <v>25</v>
      </c>
      <c r="V87" s="232">
        <f>'쪽쟘(실측)'!Q87</f>
        <v>25</v>
      </c>
      <c r="W87" s="232" t="e">
        <f>'쪽쟘(실측)'!R87-늘치차감</f>
        <v>#NAME?</v>
      </c>
      <c r="X87" s="232" t="e">
        <f>'쪽쟘(실측)'!S87-늘치차감</f>
        <v>#NAME?</v>
      </c>
      <c r="Z87" s="228">
        <v>956</v>
      </c>
      <c r="AA87" s="228">
        <v>122.4</v>
      </c>
      <c r="AB87" s="228">
        <v>118.4</v>
      </c>
      <c r="AC87" s="228">
        <v>2095</v>
      </c>
      <c r="AD87" s="228">
        <v>116.4</v>
      </c>
      <c r="AE87" s="228">
        <v>2095</v>
      </c>
    </row>
    <row r="88" spans="1:31" s="228" customFormat="1" ht="18.75" customHeight="1" x14ac:dyDescent="0.3">
      <c r="A88" s="232" t="str">
        <f>'쪽쟘(실측)'!A88</f>
        <v>12-1</v>
      </c>
      <c r="B88" s="232" t="str">
        <f>'쪽쟘(실측)'!B88&amp;"F"</f>
        <v>18F</v>
      </c>
      <c r="C88" s="232" t="str">
        <f t="shared" si="3"/>
        <v>954*123.4</v>
      </c>
      <c r="D88" s="232" t="e">
        <f>'쪽쟘(실측)'!C88-OP차감</f>
        <v>#NAME?</v>
      </c>
      <c r="E88" s="232" t="e">
        <f>'쪽쟘(실측)'!D88+쪽쟘J늘림+MAX(W88:X88)</f>
        <v>#VALUE!</v>
      </c>
      <c r="F88" s="233" t="e">
        <f>'쪽쟘(실측)'!E88+쪽쟘J늘림+MAX(W88:X88)</f>
        <v>#VALUE!</v>
      </c>
      <c r="G88" s="234" t="str">
        <f t="shared" si="5"/>
        <v>2095*117.4</v>
      </c>
      <c r="H88" s="235" t="str">
        <f t="shared" si="4"/>
        <v>2095*116.4</v>
      </c>
      <c r="I88" s="107">
        <f>IF('쪽쟘(실측)'!F88&gt;0,'쪽쟘(실측)'!F88+0.5,0)</f>
        <v>31.5</v>
      </c>
      <c r="J88" s="232">
        <f>IF('쪽쟘(실측)'!H88&gt;0,'쪽쟘(실측)'!H88+0.5,0)</f>
        <v>30.5</v>
      </c>
      <c r="K88" s="232">
        <f>IF('쪽쟘(실측)'!F88&gt;0,'쪽쟘(실측)'!F88+1.5,0)</f>
        <v>32.5</v>
      </c>
      <c r="L88" s="232">
        <f>IF('쪽쟘(실측)'!G88&gt;0,'쪽쟘(실측)'!G88+1.5,0)</f>
        <v>32.5</v>
      </c>
      <c r="M88" s="232">
        <f>IF('쪽쟘(실측)'!H88&gt;0,'쪽쟘(실측)'!H88+1.5,0)</f>
        <v>31.5</v>
      </c>
      <c r="N88" s="232">
        <f>IF('쪽쟘(실측)'!I88&gt;0,'쪽쟘(실측)'!I88+1.5,0)</f>
        <v>31.5</v>
      </c>
      <c r="O88" s="232" t="e">
        <f>'쪽쟘(실측)'!J88-기둥차감</f>
        <v>#NAME?</v>
      </c>
      <c r="P88" s="232" t="e">
        <f>'쪽쟘(실측)'!K88-기둥차감</f>
        <v>#NAME?</v>
      </c>
      <c r="Q88" s="232" t="e">
        <f>'쪽쟘(실측)'!L88-기둥차감</f>
        <v>#NAME?</v>
      </c>
      <c r="R88" s="232" t="e">
        <f>'쪽쟘(실측)'!M88-기둥차감</f>
        <v>#NAME?</v>
      </c>
      <c r="S88" s="232">
        <f>'쪽쟘(실측)'!N88+1.2</f>
        <v>38.200000000000003</v>
      </c>
      <c r="T88" s="232">
        <f>'쪽쟘(실측)'!O88+1.2</f>
        <v>34.200000000000003</v>
      </c>
      <c r="U88" s="232">
        <f>'쪽쟘(실측)'!P88</f>
        <v>25</v>
      </c>
      <c r="V88" s="232">
        <f>'쪽쟘(실측)'!Q88</f>
        <v>25</v>
      </c>
      <c r="W88" s="232" t="e">
        <f>'쪽쟘(실측)'!R88-늘치차감</f>
        <v>#NAME?</v>
      </c>
      <c r="X88" s="232" t="e">
        <f>'쪽쟘(실측)'!S88-늘치차감</f>
        <v>#NAME?</v>
      </c>
      <c r="Z88" s="228">
        <v>954</v>
      </c>
      <c r="AA88" s="228">
        <v>123.4</v>
      </c>
      <c r="AB88" s="228">
        <v>117.4</v>
      </c>
      <c r="AC88" s="228">
        <v>2095</v>
      </c>
      <c r="AD88" s="228">
        <v>116.4</v>
      </c>
      <c r="AE88" s="228">
        <v>2095</v>
      </c>
    </row>
    <row r="89" spans="1:31" s="228" customFormat="1" ht="18.75" customHeight="1" x14ac:dyDescent="0.3">
      <c r="A89" s="232" t="str">
        <f>'쪽쟘(실측)'!A89</f>
        <v>12-1</v>
      </c>
      <c r="B89" s="232" t="str">
        <f>'쪽쟘(실측)'!B89&amp;"F"</f>
        <v>17F</v>
      </c>
      <c r="C89" s="232" t="str">
        <f t="shared" si="3"/>
        <v>961*117.4</v>
      </c>
      <c r="D89" s="232" t="e">
        <f>'쪽쟘(실측)'!C89-OP차감</f>
        <v>#NAME?</v>
      </c>
      <c r="E89" s="232" t="e">
        <f>'쪽쟘(실측)'!D89+쪽쟘J늘림+MAX(W89:X89)</f>
        <v>#VALUE!</v>
      </c>
      <c r="F89" s="233" t="e">
        <f>'쪽쟘(실측)'!E89+쪽쟘J늘림+MAX(W89:X89)</f>
        <v>#VALUE!</v>
      </c>
      <c r="G89" s="234" t="str">
        <f t="shared" si="5"/>
        <v>2095*120.4</v>
      </c>
      <c r="H89" s="235" t="str">
        <f t="shared" si="4"/>
        <v>2095*119.4</v>
      </c>
      <c r="I89" s="107">
        <f>IF('쪽쟘(실측)'!F89&gt;0,'쪽쟘(실측)'!F89+0.5,0)</f>
        <v>34.5</v>
      </c>
      <c r="J89" s="232">
        <f>IF('쪽쟘(실측)'!H89&gt;0,'쪽쟘(실측)'!H89+0.5,0)</f>
        <v>33.5</v>
      </c>
      <c r="K89" s="232">
        <f>IF('쪽쟘(실측)'!F89&gt;0,'쪽쟘(실측)'!F89+1.5,0)</f>
        <v>35.5</v>
      </c>
      <c r="L89" s="232">
        <f>IF('쪽쟘(실측)'!G89&gt;0,'쪽쟘(실측)'!G89+1.5,0)</f>
        <v>35.5</v>
      </c>
      <c r="M89" s="232">
        <f>IF('쪽쟘(실측)'!H89&gt;0,'쪽쟘(실측)'!H89+1.5,0)</f>
        <v>34.5</v>
      </c>
      <c r="N89" s="232">
        <f>IF('쪽쟘(실측)'!I89&gt;0,'쪽쟘(실측)'!I89+1.5,0)</f>
        <v>34.5</v>
      </c>
      <c r="O89" s="232" t="e">
        <f>'쪽쟘(실측)'!J89-기둥차감</f>
        <v>#NAME?</v>
      </c>
      <c r="P89" s="232" t="e">
        <f>'쪽쟘(실측)'!K89-기둥차감</f>
        <v>#NAME?</v>
      </c>
      <c r="Q89" s="232" t="e">
        <f>'쪽쟘(실측)'!L89-기둥차감</f>
        <v>#NAME?</v>
      </c>
      <c r="R89" s="232" t="e">
        <f>'쪽쟘(실측)'!M89-기둥차감</f>
        <v>#NAME?</v>
      </c>
      <c r="S89" s="232">
        <f>'쪽쟘(실측)'!N89+1.2</f>
        <v>32.200000000000003</v>
      </c>
      <c r="T89" s="232">
        <f>'쪽쟘(실측)'!O89+1.2</f>
        <v>32.200000000000003</v>
      </c>
      <c r="U89" s="232">
        <f>'쪽쟘(실측)'!P89</f>
        <v>25</v>
      </c>
      <c r="V89" s="232">
        <f>'쪽쟘(실측)'!Q89</f>
        <v>25</v>
      </c>
      <c r="W89" s="232" t="e">
        <f>'쪽쟘(실측)'!R89-늘치차감</f>
        <v>#NAME?</v>
      </c>
      <c r="X89" s="232" t="e">
        <f>'쪽쟘(실측)'!S89-늘치차감</f>
        <v>#NAME?</v>
      </c>
      <c r="Z89" s="228">
        <v>961</v>
      </c>
      <c r="AA89" s="228">
        <v>117.4</v>
      </c>
      <c r="AB89" s="228">
        <v>120.4</v>
      </c>
      <c r="AC89" s="228">
        <v>2095</v>
      </c>
      <c r="AD89" s="228">
        <v>119.4</v>
      </c>
      <c r="AE89" s="228">
        <v>2095</v>
      </c>
    </row>
    <row r="90" spans="1:31" s="228" customFormat="1" ht="18.75" customHeight="1" x14ac:dyDescent="0.3">
      <c r="A90" s="232" t="str">
        <f>'쪽쟘(실측)'!A90</f>
        <v>12-1</v>
      </c>
      <c r="B90" s="232" t="str">
        <f>'쪽쟘(실측)'!B90&amp;"F"</f>
        <v>16F</v>
      </c>
      <c r="C90" s="232" t="str">
        <f t="shared" si="3"/>
        <v>958*121.4</v>
      </c>
      <c r="D90" s="232" t="e">
        <f>'쪽쟘(실측)'!C90-OP차감</f>
        <v>#NAME?</v>
      </c>
      <c r="E90" s="232" t="e">
        <f>'쪽쟘(실측)'!D90+쪽쟘J늘림+MAX(W90:X90)</f>
        <v>#VALUE!</v>
      </c>
      <c r="F90" s="233" t="e">
        <f>'쪽쟘(실측)'!E90+쪽쟘J늘림+MAX(W90:X90)</f>
        <v>#VALUE!</v>
      </c>
      <c r="G90" s="234" t="str">
        <f t="shared" si="5"/>
        <v>2095*118.4</v>
      </c>
      <c r="H90" s="235" t="str">
        <f t="shared" si="4"/>
        <v>2095*117.4</v>
      </c>
      <c r="I90" s="107">
        <f>IF('쪽쟘(실측)'!F90&gt;0,'쪽쟘(실측)'!F90+0.5,0)</f>
        <v>32.5</v>
      </c>
      <c r="J90" s="232">
        <f>IF('쪽쟘(실측)'!H90&gt;0,'쪽쟘(실측)'!H90+0.5,0)</f>
        <v>31.5</v>
      </c>
      <c r="K90" s="232">
        <f>IF('쪽쟘(실측)'!F90&gt;0,'쪽쟘(실측)'!F90+1.5,0)</f>
        <v>33.5</v>
      </c>
      <c r="L90" s="232">
        <f>IF('쪽쟘(실측)'!G90&gt;0,'쪽쟘(실측)'!G90+1.5,0)</f>
        <v>33.5</v>
      </c>
      <c r="M90" s="232">
        <f>IF('쪽쟘(실측)'!H90&gt;0,'쪽쟘(실측)'!H90+1.5,0)</f>
        <v>32.5</v>
      </c>
      <c r="N90" s="232">
        <f>IF('쪽쟘(실측)'!I90&gt;0,'쪽쟘(실측)'!I90+1.5,0)</f>
        <v>32.5</v>
      </c>
      <c r="O90" s="232" t="e">
        <f>'쪽쟘(실측)'!J90-기둥차감</f>
        <v>#NAME?</v>
      </c>
      <c r="P90" s="232" t="e">
        <f>'쪽쟘(실측)'!K90-기둥차감</f>
        <v>#NAME?</v>
      </c>
      <c r="Q90" s="232" t="e">
        <f>'쪽쟘(실측)'!L90-기둥차감</f>
        <v>#NAME?</v>
      </c>
      <c r="R90" s="232" t="e">
        <f>'쪽쟘(실측)'!M90-기둥차감</f>
        <v>#NAME?</v>
      </c>
      <c r="S90" s="232">
        <f>'쪽쟘(실측)'!N90+1.2</f>
        <v>36.200000000000003</v>
      </c>
      <c r="T90" s="232">
        <f>'쪽쟘(실측)'!O90+1.2</f>
        <v>36.200000000000003</v>
      </c>
      <c r="U90" s="232">
        <f>'쪽쟘(실측)'!P90</f>
        <v>25</v>
      </c>
      <c r="V90" s="232">
        <f>'쪽쟘(실측)'!Q90</f>
        <v>25</v>
      </c>
      <c r="W90" s="232" t="e">
        <f>'쪽쟘(실측)'!R90-늘치차감</f>
        <v>#NAME?</v>
      </c>
      <c r="X90" s="232" t="e">
        <f>'쪽쟘(실측)'!S90-늘치차감</f>
        <v>#NAME?</v>
      </c>
      <c r="Z90" s="228">
        <v>958</v>
      </c>
      <c r="AA90" s="228">
        <v>121.4</v>
      </c>
      <c r="AB90" s="228">
        <v>118.4</v>
      </c>
      <c r="AC90" s="228">
        <v>2095</v>
      </c>
      <c r="AD90" s="228">
        <v>117.4</v>
      </c>
      <c r="AE90" s="228">
        <v>2095</v>
      </c>
    </row>
    <row r="91" spans="1:31" s="228" customFormat="1" ht="18.75" customHeight="1" x14ac:dyDescent="0.3">
      <c r="A91" s="232" t="str">
        <f>'쪽쟘(실측)'!A91</f>
        <v>12-1</v>
      </c>
      <c r="B91" s="232" t="str">
        <f>'쪽쟘(실측)'!B91&amp;"F"</f>
        <v>15F</v>
      </c>
      <c r="C91" s="232" t="str">
        <f t="shared" si="3"/>
        <v>961*120.4</v>
      </c>
      <c r="D91" s="232" t="e">
        <f>'쪽쟘(실측)'!C91-OP차감</f>
        <v>#NAME?</v>
      </c>
      <c r="E91" s="232" t="e">
        <f>'쪽쟘(실측)'!D91+쪽쟘J늘림+MAX(W91:X91)</f>
        <v>#VALUE!</v>
      </c>
      <c r="F91" s="233" t="e">
        <f>'쪽쟘(실측)'!E91+쪽쟘J늘림+MAX(W91:X91)</f>
        <v>#VALUE!</v>
      </c>
      <c r="G91" s="234" t="str">
        <f t="shared" si="5"/>
        <v>2095*119.4</v>
      </c>
      <c r="H91" s="235" t="str">
        <f t="shared" si="4"/>
        <v>2095*117.4</v>
      </c>
      <c r="I91" s="107">
        <f>IF('쪽쟘(실측)'!F91&gt;0,'쪽쟘(실측)'!F91+0.5,0)</f>
        <v>33.5</v>
      </c>
      <c r="J91" s="232">
        <f>IF('쪽쟘(실측)'!H91&gt;0,'쪽쟘(실측)'!H91+0.5,0)</f>
        <v>31.5</v>
      </c>
      <c r="K91" s="232">
        <f>IF('쪽쟘(실측)'!F91&gt;0,'쪽쟘(실측)'!F91+1.5,0)</f>
        <v>34.5</v>
      </c>
      <c r="L91" s="232">
        <f>IF('쪽쟘(실측)'!G91&gt;0,'쪽쟘(실측)'!G91+1.5,0)</f>
        <v>34.5</v>
      </c>
      <c r="M91" s="232">
        <f>IF('쪽쟘(실측)'!H91&gt;0,'쪽쟘(실측)'!H91+1.5,0)</f>
        <v>32.5</v>
      </c>
      <c r="N91" s="232">
        <f>IF('쪽쟘(실측)'!I91&gt;0,'쪽쟘(실측)'!I91+1.5,0)</f>
        <v>32.5</v>
      </c>
      <c r="O91" s="232" t="e">
        <f>'쪽쟘(실측)'!J91-기둥차감</f>
        <v>#NAME?</v>
      </c>
      <c r="P91" s="232" t="e">
        <f>'쪽쟘(실측)'!K91-기둥차감</f>
        <v>#NAME?</v>
      </c>
      <c r="Q91" s="232" t="e">
        <f>'쪽쟘(실측)'!L91-기둥차감</f>
        <v>#NAME?</v>
      </c>
      <c r="R91" s="232" t="e">
        <f>'쪽쟘(실측)'!M91-기둥차감</f>
        <v>#NAME?</v>
      </c>
      <c r="S91" s="232">
        <f>'쪽쟘(실측)'!N91+1.2</f>
        <v>35.200000000000003</v>
      </c>
      <c r="T91" s="232">
        <f>'쪽쟘(실측)'!O91+1.2</f>
        <v>35.200000000000003</v>
      </c>
      <c r="U91" s="232">
        <f>'쪽쟘(실측)'!P91</f>
        <v>25</v>
      </c>
      <c r="V91" s="232">
        <f>'쪽쟘(실측)'!Q91</f>
        <v>25</v>
      </c>
      <c r="W91" s="232" t="e">
        <f>'쪽쟘(실측)'!R91-늘치차감</f>
        <v>#NAME?</v>
      </c>
      <c r="X91" s="232" t="e">
        <f>'쪽쟘(실측)'!S91-늘치차감</f>
        <v>#NAME?</v>
      </c>
      <c r="Z91" s="228">
        <v>961</v>
      </c>
      <c r="AA91" s="228">
        <v>120.4</v>
      </c>
      <c r="AB91" s="228">
        <v>119.4</v>
      </c>
      <c r="AC91" s="228">
        <v>2095</v>
      </c>
      <c r="AD91" s="228">
        <v>117.4</v>
      </c>
      <c r="AE91" s="228">
        <v>2095</v>
      </c>
    </row>
    <row r="92" spans="1:31" s="228" customFormat="1" ht="18.75" customHeight="1" x14ac:dyDescent="0.3">
      <c r="A92" s="232" t="str">
        <f>'쪽쟘(실측)'!A92</f>
        <v>12-1</v>
      </c>
      <c r="B92" s="232" t="str">
        <f>'쪽쟘(실측)'!B92&amp;"F"</f>
        <v>14F</v>
      </c>
      <c r="C92" s="232" t="str">
        <f t="shared" si="3"/>
        <v>961*121.4</v>
      </c>
      <c r="D92" s="232" t="e">
        <f>'쪽쟘(실측)'!C92-OP차감</f>
        <v>#NAME?</v>
      </c>
      <c r="E92" s="232" t="e">
        <f>'쪽쟘(실측)'!D92+쪽쟘J늘림+MAX(W92:X92)</f>
        <v>#VALUE!</v>
      </c>
      <c r="F92" s="233" t="e">
        <f>'쪽쟘(실측)'!E92+쪽쟘J늘림+MAX(W92:X92)</f>
        <v>#VALUE!</v>
      </c>
      <c r="G92" s="234"/>
      <c r="H92" s="235" t="str">
        <f t="shared" si="4"/>
        <v>2095*116.4</v>
      </c>
      <c r="I92" s="107">
        <f>IF('쪽쟘(실측)'!F92&gt;0,'쪽쟘(실측)'!F92+0.5,0)</f>
        <v>34.5</v>
      </c>
      <c r="J92" s="232">
        <f>IF('쪽쟘(실측)'!H92&gt;0,'쪽쟘(실측)'!H92+0.5,0)</f>
        <v>30.5</v>
      </c>
      <c r="K92" s="232">
        <f>IF('쪽쟘(실측)'!F92&gt;0,'쪽쟘(실측)'!F92+1.5,0)</f>
        <v>35.5</v>
      </c>
      <c r="L92" s="232">
        <f>IF('쪽쟘(실측)'!G92&gt;0,'쪽쟘(실측)'!G92+1.5,0)</f>
        <v>31.5</v>
      </c>
      <c r="M92" s="232">
        <f>IF('쪽쟘(실측)'!H92&gt;0,'쪽쟘(실측)'!H92+1.5,0)</f>
        <v>31.5</v>
      </c>
      <c r="N92" s="232">
        <f>IF('쪽쟘(실측)'!I92&gt;0,'쪽쟘(실측)'!I92+1.5,0)</f>
        <v>31.5</v>
      </c>
      <c r="O92" s="232" t="e">
        <f>'쪽쟘(실측)'!J92-기둥차감</f>
        <v>#NAME?</v>
      </c>
      <c r="P92" s="232" t="e">
        <f>'쪽쟘(실측)'!K92-기둥차감</f>
        <v>#NAME?</v>
      </c>
      <c r="Q92" s="232" t="e">
        <f>'쪽쟘(실측)'!L92-기둥차감</f>
        <v>#NAME?</v>
      </c>
      <c r="R92" s="232" t="e">
        <f>'쪽쟘(실측)'!M92-기둥차감</f>
        <v>#NAME?</v>
      </c>
      <c r="S92" s="232">
        <f>'쪽쟘(실측)'!N92+1.2</f>
        <v>36.200000000000003</v>
      </c>
      <c r="T92" s="232">
        <f>'쪽쟘(실측)'!O92+1.2</f>
        <v>36.200000000000003</v>
      </c>
      <c r="U92" s="232">
        <f>'쪽쟘(실측)'!P92</f>
        <v>25</v>
      </c>
      <c r="V92" s="232">
        <f>'쪽쟘(실측)'!Q92</f>
        <v>25</v>
      </c>
      <c r="W92" s="232" t="e">
        <f>'쪽쟘(실측)'!R92-늘치차감</f>
        <v>#NAME?</v>
      </c>
      <c r="X92" s="232" t="e">
        <f>'쪽쟘(실측)'!S92-늘치차감</f>
        <v>#NAME?</v>
      </c>
      <c r="Z92" s="228">
        <v>961</v>
      </c>
      <c r="AA92" s="228">
        <v>121.4</v>
      </c>
      <c r="AB92" s="228">
        <v>120.4</v>
      </c>
      <c r="AC92" s="228">
        <v>2095</v>
      </c>
      <c r="AD92" s="228">
        <v>116.4</v>
      </c>
      <c r="AE92" s="228">
        <v>2095</v>
      </c>
    </row>
    <row r="93" spans="1:31" s="228" customFormat="1" ht="18.75" customHeight="1" x14ac:dyDescent="0.3">
      <c r="A93" s="232" t="str">
        <f>'쪽쟘(실측)'!A93</f>
        <v>12-1</v>
      </c>
      <c r="B93" s="232" t="str">
        <f>'쪽쟘(실측)'!B93&amp;"F"</f>
        <v>13F</v>
      </c>
      <c r="C93" s="232" t="str">
        <f t="shared" si="3"/>
        <v>961*117.4</v>
      </c>
      <c r="D93" s="232" t="e">
        <f>'쪽쟘(실측)'!C93-OP차감</f>
        <v>#NAME?</v>
      </c>
      <c r="E93" s="232" t="e">
        <f>'쪽쟘(실측)'!D93+쪽쟘J늘림+MAX(W93:X93)</f>
        <v>#VALUE!</v>
      </c>
      <c r="F93" s="233" t="e">
        <f>'쪽쟘(실측)'!E93+쪽쟘J늘림+MAX(W93:X93)</f>
        <v>#VALUE!</v>
      </c>
      <c r="G93" s="234" t="str">
        <f t="shared" si="5"/>
        <v>2095*119.4</v>
      </c>
      <c r="H93" s="235" t="str">
        <f t="shared" si="4"/>
        <v>2095*117.4</v>
      </c>
      <c r="I93" s="107">
        <f>IF('쪽쟘(실측)'!F93&gt;0,'쪽쟘(실측)'!F93+0.5,0)</f>
        <v>33.5</v>
      </c>
      <c r="J93" s="232">
        <f>IF('쪽쟘(실측)'!H93&gt;0,'쪽쟘(실측)'!H93+0.5,0)</f>
        <v>31.5</v>
      </c>
      <c r="K93" s="232">
        <f>IF('쪽쟘(실측)'!F93&gt;0,'쪽쟘(실측)'!F93+1.5,0)</f>
        <v>34.5</v>
      </c>
      <c r="L93" s="232">
        <f>IF('쪽쟘(실측)'!G93&gt;0,'쪽쟘(실측)'!G93+1.5,0)</f>
        <v>34.5</v>
      </c>
      <c r="M93" s="232">
        <f>IF('쪽쟘(실측)'!H93&gt;0,'쪽쟘(실측)'!H93+1.5,0)</f>
        <v>32.5</v>
      </c>
      <c r="N93" s="232">
        <f>IF('쪽쟘(실측)'!I93&gt;0,'쪽쟘(실측)'!I93+1.5,0)</f>
        <v>32.5</v>
      </c>
      <c r="O93" s="232" t="e">
        <f>'쪽쟘(실측)'!J93-기둥차감</f>
        <v>#NAME?</v>
      </c>
      <c r="P93" s="232" t="e">
        <f>'쪽쟘(실측)'!K93-기둥차감</f>
        <v>#NAME?</v>
      </c>
      <c r="Q93" s="232" t="e">
        <f>'쪽쟘(실측)'!L93-기둥차감</f>
        <v>#NAME?</v>
      </c>
      <c r="R93" s="232" t="e">
        <f>'쪽쟘(실측)'!M93-기둥차감</f>
        <v>#NAME?</v>
      </c>
      <c r="S93" s="232">
        <f>'쪽쟘(실측)'!N93+1.2</f>
        <v>32.200000000000003</v>
      </c>
      <c r="T93" s="232">
        <f>'쪽쟘(실측)'!O93+1.2</f>
        <v>32.200000000000003</v>
      </c>
      <c r="U93" s="232">
        <f>'쪽쟘(실측)'!P93</f>
        <v>25</v>
      </c>
      <c r="V93" s="232">
        <f>'쪽쟘(실측)'!Q93</f>
        <v>25</v>
      </c>
      <c r="W93" s="232" t="e">
        <f>'쪽쟘(실측)'!R93-늘치차감</f>
        <v>#NAME?</v>
      </c>
      <c r="X93" s="232" t="e">
        <f>'쪽쟘(실측)'!S93-늘치차감</f>
        <v>#NAME?</v>
      </c>
      <c r="Z93" s="228">
        <v>961</v>
      </c>
      <c r="AA93" s="228">
        <v>117.4</v>
      </c>
      <c r="AB93" s="228">
        <v>119.4</v>
      </c>
      <c r="AC93" s="228">
        <v>2095</v>
      </c>
      <c r="AD93" s="228">
        <v>117.4</v>
      </c>
      <c r="AE93" s="228">
        <v>2095</v>
      </c>
    </row>
    <row r="94" spans="1:31" s="228" customFormat="1" ht="18.75" customHeight="1" x14ac:dyDescent="0.3">
      <c r="A94" s="232" t="str">
        <f>'쪽쟘(실측)'!A94</f>
        <v>12-1</v>
      </c>
      <c r="B94" s="232" t="str">
        <f>'쪽쟘(실측)'!B94&amp;"F"</f>
        <v>12F</v>
      </c>
      <c r="C94" s="232" t="str">
        <f t="shared" si="3"/>
        <v>957*120.4</v>
      </c>
      <c r="D94" s="232" t="e">
        <f>'쪽쟘(실측)'!C94-OP차감</f>
        <v>#NAME?</v>
      </c>
      <c r="E94" s="232" t="e">
        <f>'쪽쟘(실측)'!D94+쪽쟘J늘림+MAX(W94:X94)</f>
        <v>#VALUE!</v>
      </c>
      <c r="F94" s="233" t="e">
        <f>'쪽쟘(실측)'!E94+쪽쟘J늘림+MAX(W94:X94)</f>
        <v>#VALUE!</v>
      </c>
      <c r="G94" s="234" t="str">
        <f t="shared" si="5"/>
        <v>2095*117.4</v>
      </c>
      <c r="H94" s="235" t="str">
        <f t="shared" si="4"/>
        <v>2095*116.4</v>
      </c>
      <c r="I94" s="107">
        <f>IF('쪽쟘(실측)'!F94&gt;0,'쪽쟘(실측)'!F94+0.5,0)</f>
        <v>31.5</v>
      </c>
      <c r="J94" s="232">
        <f>IF('쪽쟘(실측)'!H94&gt;0,'쪽쟘(실측)'!H94+0.5,0)</f>
        <v>30.5</v>
      </c>
      <c r="K94" s="232">
        <f>IF('쪽쟘(실측)'!F94&gt;0,'쪽쟘(실측)'!F94+1.5,0)</f>
        <v>32.5</v>
      </c>
      <c r="L94" s="232">
        <f>IF('쪽쟘(실측)'!G94&gt;0,'쪽쟘(실측)'!G94+1.5,0)</f>
        <v>32.5</v>
      </c>
      <c r="M94" s="232">
        <f>IF('쪽쟘(실측)'!H94&gt;0,'쪽쟘(실측)'!H94+1.5,0)</f>
        <v>31.5</v>
      </c>
      <c r="N94" s="232">
        <f>IF('쪽쟘(실측)'!I94&gt;0,'쪽쟘(실측)'!I94+1.5,0)</f>
        <v>31.5</v>
      </c>
      <c r="O94" s="232" t="e">
        <f>'쪽쟘(실측)'!J94-기둥차감</f>
        <v>#NAME?</v>
      </c>
      <c r="P94" s="232" t="e">
        <f>'쪽쟘(실측)'!K94-기둥차감</f>
        <v>#NAME?</v>
      </c>
      <c r="Q94" s="232" t="e">
        <f>'쪽쟘(실측)'!L94-기둥차감</f>
        <v>#NAME?</v>
      </c>
      <c r="R94" s="232" t="e">
        <f>'쪽쟘(실측)'!M94-기둥차감</f>
        <v>#NAME?</v>
      </c>
      <c r="S94" s="232">
        <f>'쪽쟘(실측)'!N94+1.2</f>
        <v>35.200000000000003</v>
      </c>
      <c r="T94" s="232">
        <f>'쪽쟘(실측)'!O94+1.2</f>
        <v>35.200000000000003</v>
      </c>
      <c r="U94" s="232">
        <f>'쪽쟘(실측)'!P94</f>
        <v>25</v>
      </c>
      <c r="V94" s="232">
        <f>'쪽쟘(실측)'!Q94</f>
        <v>25</v>
      </c>
      <c r="W94" s="232" t="e">
        <f>'쪽쟘(실측)'!R94-늘치차감</f>
        <v>#NAME?</v>
      </c>
      <c r="X94" s="232" t="e">
        <f>'쪽쟘(실측)'!S94-늘치차감</f>
        <v>#NAME?</v>
      </c>
      <c r="Z94" s="228">
        <v>957</v>
      </c>
      <c r="AA94" s="228">
        <v>120.4</v>
      </c>
      <c r="AB94" s="228">
        <v>117.4</v>
      </c>
      <c r="AC94" s="228">
        <v>2095</v>
      </c>
      <c r="AD94" s="228">
        <v>116.4</v>
      </c>
      <c r="AE94" s="228">
        <v>2095</v>
      </c>
    </row>
    <row r="95" spans="1:31" s="228" customFormat="1" ht="18.75" customHeight="1" x14ac:dyDescent="0.3">
      <c r="A95" s="232" t="str">
        <f>'쪽쟘(실측)'!A95</f>
        <v>12-1</v>
      </c>
      <c r="B95" s="232" t="str">
        <f>'쪽쟘(실측)'!B95&amp;"F"</f>
        <v>11F</v>
      </c>
      <c r="C95" s="232" t="str">
        <f t="shared" si="3"/>
        <v>958*120.4</v>
      </c>
      <c r="D95" s="232" t="e">
        <f>'쪽쟘(실측)'!C95-OP차감</f>
        <v>#NAME?</v>
      </c>
      <c r="E95" s="232" t="e">
        <f>'쪽쟘(실측)'!D95+쪽쟘J늘림+MAX(W95:X95)</f>
        <v>#VALUE!</v>
      </c>
      <c r="F95" s="233" t="e">
        <f>'쪽쟘(실측)'!E95+쪽쟘J늘림+MAX(W95:X95)</f>
        <v>#VALUE!</v>
      </c>
      <c r="G95" s="234"/>
      <c r="H95" s="235" t="str">
        <f t="shared" si="4"/>
        <v>2095*117.4</v>
      </c>
      <c r="I95" s="107">
        <f>IF('쪽쟘(실측)'!F95&gt;0,'쪽쟘(실측)'!F95+0.5,0)</f>
        <v>30.5</v>
      </c>
      <c r="J95" s="232">
        <f>IF('쪽쟘(실측)'!H95&gt;0,'쪽쟘(실측)'!H95+0.5,0)</f>
        <v>31.5</v>
      </c>
      <c r="K95" s="232">
        <f>IF('쪽쟘(실측)'!F95&gt;0,'쪽쟘(실측)'!F95+1.5,0)</f>
        <v>31.5</v>
      </c>
      <c r="L95" s="232">
        <f>IF('쪽쟘(실측)'!G95&gt;0,'쪽쟘(실측)'!G95+1.5,0)</f>
        <v>35.5</v>
      </c>
      <c r="M95" s="232">
        <f>IF('쪽쟘(실측)'!H95&gt;0,'쪽쟘(실측)'!H95+1.5,0)</f>
        <v>32.5</v>
      </c>
      <c r="N95" s="232">
        <f>IF('쪽쟘(실측)'!I95&gt;0,'쪽쟘(실측)'!I95+1.5,0)</f>
        <v>32.5</v>
      </c>
      <c r="O95" s="232" t="e">
        <f>'쪽쟘(실측)'!J95-기둥차감</f>
        <v>#NAME?</v>
      </c>
      <c r="P95" s="232" t="e">
        <f>'쪽쟘(실측)'!K95-기둥차감</f>
        <v>#NAME?</v>
      </c>
      <c r="Q95" s="232" t="e">
        <f>'쪽쟘(실측)'!L95-기둥차감</f>
        <v>#NAME?</v>
      </c>
      <c r="R95" s="232" t="e">
        <f>'쪽쟘(실측)'!M95-기둥차감</f>
        <v>#NAME?</v>
      </c>
      <c r="S95" s="232">
        <f>'쪽쟘(실측)'!N95+1.2</f>
        <v>35.200000000000003</v>
      </c>
      <c r="T95" s="232">
        <f>'쪽쟘(실측)'!O95+1.2</f>
        <v>31.2</v>
      </c>
      <c r="U95" s="232">
        <f>'쪽쟘(실측)'!P95</f>
        <v>25</v>
      </c>
      <c r="V95" s="232">
        <f>'쪽쟘(실측)'!Q95</f>
        <v>25</v>
      </c>
      <c r="W95" s="232" t="e">
        <f>'쪽쟘(실측)'!R95-늘치차감</f>
        <v>#NAME?</v>
      </c>
      <c r="X95" s="232" t="e">
        <f>'쪽쟘(실측)'!S95-늘치차감</f>
        <v>#NAME?</v>
      </c>
      <c r="Z95" s="228">
        <v>958</v>
      </c>
      <c r="AA95" s="228">
        <v>120.4</v>
      </c>
      <c r="AB95" s="228">
        <v>120.4</v>
      </c>
      <c r="AC95" s="228">
        <v>2095</v>
      </c>
      <c r="AD95" s="228">
        <v>117.4</v>
      </c>
      <c r="AE95" s="228">
        <v>2095</v>
      </c>
    </row>
    <row r="96" spans="1:31" s="228" customFormat="1" ht="18.75" customHeight="1" x14ac:dyDescent="0.3">
      <c r="A96" s="232" t="str">
        <f>'쪽쟘(실측)'!A96</f>
        <v>12-1</v>
      </c>
      <c r="B96" s="232" t="str">
        <f>'쪽쟘(실측)'!B96&amp;"F"</f>
        <v>10F</v>
      </c>
      <c r="C96" s="232" t="str">
        <f t="shared" si="3"/>
        <v>961*122.4</v>
      </c>
      <c r="D96" s="232" t="e">
        <f>'쪽쟘(실측)'!C96-OP차감</f>
        <v>#NAME?</v>
      </c>
      <c r="E96" s="232" t="e">
        <f>'쪽쟘(실측)'!D96+쪽쟘J늘림+MAX(W96:X96)</f>
        <v>#VALUE!</v>
      </c>
      <c r="F96" s="233" t="e">
        <f>'쪽쟘(실측)'!E96+쪽쟘J늘림+MAX(W96:X96)</f>
        <v>#VALUE!</v>
      </c>
      <c r="G96" s="234" t="str">
        <f t="shared" si="5"/>
        <v>2095*119.4</v>
      </c>
      <c r="H96" s="235" t="str">
        <f t="shared" si="4"/>
        <v>2095*117.4</v>
      </c>
      <c r="I96" s="107">
        <f>IF('쪽쟘(실측)'!F96&gt;0,'쪽쟘(실측)'!F96+0.5,0)</f>
        <v>33.5</v>
      </c>
      <c r="J96" s="232">
        <f>IF('쪽쟘(실측)'!H96&gt;0,'쪽쟘(실측)'!H96+0.5,0)</f>
        <v>31.5</v>
      </c>
      <c r="K96" s="232">
        <f>IF('쪽쟘(실측)'!F96&gt;0,'쪽쟘(실측)'!F96+1.5,0)</f>
        <v>34.5</v>
      </c>
      <c r="L96" s="232">
        <f>IF('쪽쟘(실측)'!G96&gt;0,'쪽쟘(실측)'!G96+1.5,0)</f>
        <v>34.5</v>
      </c>
      <c r="M96" s="232">
        <f>IF('쪽쟘(실측)'!H96&gt;0,'쪽쟘(실측)'!H96+1.5,0)</f>
        <v>32.5</v>
      </c>
      <c r="N96" s="232">
        <f>IF('쪽쟘(실측)'!I96&gt;0,'쪽쟘(실측)'!I96+1.5,0)</f>
        <v>32.5</v>
      </c>
      <c r="O96" s="232" t="e">
        <f>'쪽쟘(실측)'!J96-기둥차감</f>
        <v>#NAME?</v>
      </c>
      <c r="P96" s="232" t="e">
        <f>'쪽쟘(실측)'!K96-기둥차감</f>
        <v>#NAME?</v>
      </c>
      <c r="Q96" s="232" t="e">
        <f>'쪽쟘(실측)'!L96-기둥차감</f>
        <v>#NAME?</v>
      </c>
      <c r="R96" s="232" t="e">
        <f>'쪽쟘(실측)'!M96-기둥차감</f>
        <v>#NAME?</v>
      </c>
      <c r="S96" s="232">
        <f>'쪽쟘(실측)'!N96+1.2</f>
        <v>37.200000000000003</v>
      </c>
      <c r="T96" s="232">
        <f>'쪽쟘(실측)'!O96+1.2</f>
        <v>37.200000000000003</v>
      </c>
      <c r="U96" s="232">
        <f>'쪽쟘(실측)'!P96</f>
        <v>25</v>
      </c>
      <c r="V96" s="232">
        <f>'쪽쟘(실측)'!Q96</f>
        <v>25</v>
      </c>
      <c r="W96" s="232" t="e">
        <f>'쪽쟘(실측)'!R96-늘치차감</f>
        <v>#NAME?</v>
      </c>
      <c r="X96" s="232" t="e">
        <f>'쪽쟘(실측)'!S96-늘치차감</f>
        <v>#NAME?</v>
      </c>
      <c r="Z96" s="228">
        <v>961</v>
      </c>
      <c r="AA96" s="228">
        <v>122.4</v>
      </c>
      <c r="AB96" s="228">
        <v>119.4</v>
      </c>
      <c r="AC96" s="228">
        <v>2095</v>
      </c>
      <c r="AD96" s="228">
        <v>117.4</v>
      </c>
      <c r="AE96" s="228">
        <v>2095</v>
      </c>
    </row>
    <row r="97" spans="1:31" s="228" customFormat="1" ht="18.75" customHeight="1" x14ac:dyDescent="0.3">
      <c r="A97" s="232" t="str">
        <f>'쪽쟘(실측)'!A97</f>
        <v>12-1</v>
      </c>
      <c r="B97" s="232" t="str">
        <f>'쪽쟘(실측)'!B97&amp;"F"</f>
        <v>9F</v>
      </c>
      <c r="C97" s="232" t="str">
        <f t="shared" si="3"/>
        <v>960*118.4</v>
      </c>
      <c r="D97" s="232" t="e">
        <f>'쪽쟘(실측)'!C97-OP차감</f>
        <v>#NAME?</v>
      </c>
      <c r="E97" s="232" t="e">
        <f>'쪽쟘(실측)'!D97+쪽쟘J늘림+MAX(W97:X97)</f>
        <v>#VALUE!</v>
      </c>
      <c r="F97" s="233" t="e">
        <f>'쪽쟘(실측)'!E97+쪽쟘J늘림+MAX(W97:X97)</f>
        <v>#VALUE!</v>
      </c>
      <c r="G97" s="234" t="str">
        <f t="shared" si="5"/>
        <v>2095*118.4</v>
      </c>
      <c r="H97" s="235" t="str">
        <f t="shared" si="4"/>
        <v>2095*117.4</v>
      </c>
      <c r="I97" s="107">
        <f>IF('쪽쟘(실측)'!F97&gt;0,'쪽쟘(실측)'!F97+0.5,0)</f>
        <v>32.5</v>
      </c>
      <c r="J97" s="232">
        <f>IF('쪽쟘(실측)'!H97&gt;0,'쪽쟘(실측)'!H97+0.5,0)</f>
        <v>31.5</v>
      </c>
      <c r="K97" s="232">
        <f>IF('쪽쟘(실측)'!F97&gt;0,'쪽쟘(실측)'!F97+1.5,0)</f>
        <v>33.5</v>
      </c>
      <c r="L97" s="232">
        <f>IF('쪽쟘(실측)'!G97&gt;0,'쪽쟘(실측)'!G97+1.5,0)</f>
        <v>33.5</v>
      </c>
      <c r="M97" s="232">
        <f>IF('쪽쟘(실측)'!H97&gt;0,'쪽쟘(실측)'!H97+1.5,0)</f>
        <v>32.5</v>
      </c>
      <c r="N97" s="232">
        <f>IF('쪽쟘(실측)'!I97&gt;0,'쪽쟘(실측)'!I97+1.5,0)</f>
        <v>32.5</v>
      </c>
      <c r="O97" s="232" t="e">
        <f>'쪽쟘(실측)'!J97-기둥차감</f>
        <v>#NAME?</v>
      </c>
      <c r="P97" s="232" t="e">
        <f>'쪽쟘(실측)'!K97-기둥차감</f>
        <v>#NAME?</v>
      </c>
      <c r="Q97" s="232" t="e">
        <f>'쪽쟘(실측)'!L97-기둥차감</f>
        <v>#NAME?</v>
      </c>
      <c r="R97" s="232" t="e">
        <f>'쪽쟘(실측)'!M97-기둥차감</f>
        <v>#NAME?</v>
      </c>
      <c r="S97" s="232">
        <f>'쪽쟘(실측)'!N97+1.2</f>
        <v>33.200000000000003</v>
      </c>
      <c r="T97" s="232">
        <f>'쪽쟘(실측)'!O97+1.2</f>
        <v>33.200000000000003</v>
      </c>
      <c r="U97" s="232">
        <f>'쪽쟘(실측)'!P97</f>
        <v>25</v>
      </c>
      <c r="V97" s="232">
        <f>'쪽쟘(실측)'!Q97</f>
        <v>25</v>
      </c>
      <c r="W97" s="232" t="e">
        <f>'쪽쟘(실측)'!R97-늘치차감</f>
        <v>#NAME?</v>
      </c>
      <c r="X97" s="232" t="e">
        <f>'쪽쟘(실측)'!S97-늘치차감</f>
        <v>#NAME?</v>
      </c>
      <c r="Z97" s="228">
        <v>960</v>
      </c>
      <c r="AA97" s="228">
        <v>118.4</v>
      </c>
      <c r="AB97" s="228">
        <v>118.4</v>
      </c>
      <c r="AC97" s="228">
        <v>2095</v>
      </c>
      <c r="AD97" s="228">
        <v>117.4</v>
      </c>
      <c r="AE97" s="228">
        <v>2095</v>
      </c>
    </row>
    <row r="98" spans="1:31" s="228" customFormat="1" ht="18.75" customHeight="1" x14ac:dyDescent="0.3">
      <c r="A98" s="232" t="str">
        <f>'쪽쟘(실측)'!A98</f>
        <v>12-1</v>
      </c>
      <c r="B98" s="232" t="str">
        <f>'쪽쟘(실측)'!B98&amp;"F"</f>
        <v>8F</v>
      </c>
      <c r="C98" s="232" t="str">
        <f t="shared" si="3"/>
        <v>962*118.4</v>
      </c>
      <c r="D98" s="232" t="e">
        <f>'쪽쟘(실측)'!C98-OP차감</f>
        <v>#NAME?</v>
      </c>
      <c r="E98" s="232" t="e">
        <f>'쪽쟘(실측)'!D98+쪽쟘J늘림+MAX(W98:X98)</f>
        <v>#VALUE!</v>
      </c>
      <c r="F98" s="233" t="e">
        <f>'쪽쟘(실측)'!E98+쪽쟘J늘림+MAX(W98:X98)</f>
        <v>#VALUE!</v>
      </c>
      <c r="G98" s="234" t="str">
        <f t="shared" si="5"/>
        <v>2095*117.4</v>
      </c>
      <c r="H98" s="235"/>
      <c r="I98" s="107">
        <f>IF('쪽쟘(실측)'!F98&gt;0,'쪽쟘(실측)'!F98+0.5,0)</f>
        <v>31.5</v>
      </c>
      <c r="J98" s="232">
        <f>IF('쪽쟘(실측)'!H98&gt;0,'쪽쟘(실측)'!H98+0.5,0)</f>
        <v>34.5</v>
      </c>
      <c r="K98" s="232">
        <f>IF('쪽쟘(실측)'!F98&gt;0,'쪽쟘(실측)'!F98+1.5,0)</f>
        <v>32.5</v>
      </c>
      <c r="L98" s="232">
        <f>IF('쪽쟘(실측)'!G98&gt;0,'쪽쟘(실측)'!G98+1.5,0)</f>
        <v>32.5</v>
      </c>
      <c r="M98" s="232">
        <f>IF('쪽쟘(실측)'!H98&gt;0,'쪽쟘(실측)'!H98+1.5,0)</f>
        <v>35.5</v>
      </c>
      <c r="N98" s="232">
        <f>IF('쪽쟘(실측)'!I98&gt;0,'쪽쟘(실측)'!I98+1.5,0)</f>
        <v>31.5</v>
      </c>
      <c r="O98" s="232" t="e">
        <f>'쪽쟘(실측)'!J98-기둥차감</f>
        <v>#NAME?</v>
      </c>
      <c r="P98" s="232" t="e">
        <f>'쪽쟘(실측)'!K98-기둥차감</f>
        <v>#NAME?</v>
      </c>
      <c r="Q98" s="232" t="e">
        <f>'쪽쟘(실측)'!L98-기둥차감</f>
        <v>#NAME?</v>
      </c>
      <c r="R98" s="232" t="e">
        <f>'쪽쟘(실측)'!M98-기둥차감</f>
        <v>#NAME?</v>
      </c>
      <c r="S98" s="232">
        <f>'쪽쟘(실측)'!N98+1.2</f>
        <v>33.200000000000003</v>
      </c>
      <c r="T98" s="232">
        <f>'쪽쟘(실측)'!O98+1.2</f>
        <v>33.200000000000003</v>
      </c>
      <c r="U98" s="232">
        <f>'쪽쟘(실측)'!P98</f>
        <v>25</v>
      </c>
      <c r="V98" s="232">
        <f>'쪽쟘(실측)'!Q98</f>
        <v>25</v>
      </c>
      <c r="W98" s="232" t="e">
        <f>'쪽쟘(실측)'!R98-늘치차감</f>
        <v>#NAME?</v>
      </c>
      <c r="X98" s="232" t="e">
        <f>'쪽쟘(실측)'!S98-늘치차감</f>
        <v>#NAME?</v>
      </c>
      <c r="Z98" s="228">
        <v>962</v>
      </c>
      <c r="AA98" s="228">
        <v>118.4</v>
      </c>
      <c r="AB98" s="228">
        <v>117.4</v>
      </c>
      <c r="AC98" s="228">
        <v>2095</v>
      </c>
      <c r="AD98" s="228">
        <v>120.4</v>
      </c>
      <c r="AE98" s="228">
        <v>2095</v>
      </c>
    </row>
    <row r="99" spans="1:31" s="228" customFormat="1" ht="18.75" customHeight="1" x14ac:dyDescent="0.3">
      <c r="A99" s="232" t="str">
        <f>'쪽쟘(실측)'!A99</f>
        <v>12-1</v>
      </c>
      <c r="B99" s="232" t="str">
        <f>'쪽쟘(실측)'!B99&amp;"F"</f>
        <v>7F</v>
      </c>
      <c r="C99" s="232" t="str">
        <f t="shared" si="3"/>
        <v>956*118.4</v>
      </c>
      <c r="D99" s="232" t="e">
        <f>'쪽쟘(실측)'!C99-OP차감</f>
        <v>#NAME?</v>
      </c>
      <c r="E99" s="232" t="e">
        <f>'쪽쟘(실측)'!D99+쪽쟘J늘림+MAX(W99:X99)</f>
        <v>#VALUE!</v>
      </c>
      <c r="F99" s="233" t="e">
        <f>'쪽쟘(실측)'!E99+쪽쟘J늘림+MAX(W99:X99)</f>
        <v>#VALUE!</v>
      </c>
      <c r="G99" s="234"/>
      <c r="H99" s="235" t="str">
        <f t="shared" si="4"/>
        <v>2095*117.4</v>
      </c>
      <c r="I99" s="107">
        <f>IF('쪽쟘(실측)'!F99&gt;0,'쪽쟘(실측)'!F99+0.5,0)</f>
        <v>28.5</v>
      </c>
      <c r="J99" s="232">
        <f>IF('쪽쟘(실측)'!H99&gt;0,'쪽쟘(실측)'!H99+0.5,0)</f>
        <v>31.5</v>
      </c>
      <c r="K99" s="232">
        <f>IF('쪽쟘(실측)'!F99&gt;0,'쪽쟘(실측)'!F99+1.5,0)</f>
        <v>29.5</v>
      </c>
      <c r="L99" s="232">
        <f>IF('쪽쟘(실측)'!G99&gt;0,'쪽쟘(실측)'!G99+1.5,0)</f>
        <v>33.5</v>
      </c>
      <c r="M99" s="232">
        <f>IF('쪽쟘(실측)'!H99&gt;0,'쪽쟘(실측)'!H99+1.5,0)</f>
        <v>32.5</v>
      </c>
      <c r="N99" s="232">
        <f>IF('쪽쟘(실측)'!I99&gt;0,'쪽쟘(실측)'!I99+1.5,0)</f>
        <v>32.5</v>
      </c>
      <c r="O99" s="232" t="e">
        <f>'쪽쟘(실측)'!J99-기둥차감</f>
        <v>#NAME?</v>
      </c>
      <c r="P99" s="232" t="e">
        <f>'쪽쟘(실측)'!K99-기둥차감</f>
        <v>#NAME?</v>
      </c>
      <c r="Q99" s="232" t="e">
        <f>'쪽쟘(실측)'!L99-기둥차감</f>
        <v>#NAME?</v>
      </c>
      <c r="R99" s="232" t="e">
        <f>'쪽쟘(실측)'!M99-기둥차감</f>
        <v>#NAME?</v>
      </c>
      <c r="S99" s="232">
        <f>'쪽쟘(실측)'!N99+1.2</f>
        <v>33.200000000000003</v>
      </c>
      <c r="T99" s="232">
        <f>'쪽쟘(실측)'!O99+1.2</f>
        <v>33.200000000000003</v>
      </c>
      <c r="U99" s="232">
        <f>'쪽쟘(실측)'!P99</f>
        <v>25</v>
      </c>
      <c r="V99" s="232">
        <f>'쪽쟘(실측)'!Q99</f>
        <v>25</v>
      </c>
      <c r="W99" s="232" t="e">
        <f>'쪽쟘(실측)'!R99-늘치차감</f>
        <v>#NAME?</v>
      </c>
      <c r="X99" s="232" t="e">
        <f>'쪽쟘(실측)'!S99-늘치차감</f>
        <v>#NAME?</v>
      </c>
      <c r="Z99" s="228">
        <v>956</v>
      </c>
      <c r="AA99" s="228">
        <v>118.4</v>
      </c>
      <c r="AB99" s="228">
        <v>118.4</v>
      </c>
      <c r="AC99" s="228">
        <v>2095</v>
      </c>
      <c r="AD99" s="228">
        <v>117.4</v>
      </c>
      <c r="AE99" s="228">
        <v>2095</v>
      </c>
    </row>
    <row r="100" spans="1:31" s="228" customFormat="1" ht="18.75" customHeight="1" x14ac:dyDescent="0.3">
      <c r="A100" s="232" t="str">
        <f>'쪽쟘(실측)'!A100</f>
        <v>12-1</v>
      </c>
      <c r="B100" s="232" t="str">
        <f>'쪽쟘(실측)'!B100&amp;"F"</f>
        <v>6F</v>
      </c>
      <c r="C100" s="232" t="str">
        <f t="shared" si="3"/>
        <v>962*119.4</v>
      </c>
      <c r="D100" s="232" t="e">
        <f>'쪽쟘(실측)'!C100-OP차감</f>
        <v>#NAME?</v>
      </c>
      <c r="E100" s="232" t="e">
        <f>'쪽쟘(실측)'!D100+쪽쟘J늘림+MAX(W100:X100)</f>
        <v>#VALUE!</v>
      </c>
      <c r="F100" s="233" t="e">
        <f>'쪽쟘(실측)'!E100+쪽쟘J늘림+MAX(W100:X100)</f>
        <v>#VALUE!</v>
      </c>
      <c r="G100" s="234" t="str">
        <f t="shared" si="5"/>
        <v>2095*118.4</v>
      </c>
      <c r="H100" s="235" t="str">
        <f t="shared" si="4"/>
        <v>2095*119.4</v>
      </c>
      <c r="I100" s="107">
        <f>IF('쪽쟘(실측)'!F100&gt;0,'쪽쟘(실측)'!F100+0.5,0)</f>
        <v>32.5</v>
      </c>
      <c r="J100" s="232">
        <f>IF('쪽쟘(실측)'!H100&gt;0,'쪽쟘(실측)'!H100+0.5,0)</f>
        <v>33.5</v>
      </c>
      <c r="K100" s="232">
        <f>IF('쪽쟘(실측)'!F100&gt;0,'쪽쟘(실측)'!F100+1.5,0)</f>
        <v>33.5</v>
      </c>
      <c r="L100" s="232">
        <f>IF('쪽쟘(실측)'!G100&gt;0,'쪽쟘(실측)'!G100+1.5,0)</f>
        <v>33.5</v>
      </c>
      <c r="M100" s="232">
        <f>IF('쪽쟘(실측)'!H100&gt;0,'쪽쟘(실측)'!H100+1.5,0)</f>
        <v>34.5</v>
      </c>
      <c r="N100" s="232">
        <f>IF('쪽쟘(실측)'!I100&gt;0,'쪽쟘(실측)'!I100+1.5,0)</f>
        <v>34.5</v>
      </c>
      <c r="O100" s="232" t="e">
        <f>'쪽쟘(실측)'!J100-기둥차감</f>
        <v>#NAME?</v>
      </c>
      <c r="P100" s="232" t="e">
        <f>'쪽쟘(실측)'!K100-기둥차감</f>
        <v>#NAME?</v>
      </c>
      <c r="Q100" s="232" t="e">
        <f>'쪽쟘(실측)'!L100-기둥차감</f>
        <v>#NAME?</v>
      </c>
      <c r="R100" s="232" t="e">
        <f>'쪽쟘(실측)'!M100-기둥차감</f>
        <v>#NAME?</v>
      </c>
      <c r="S100" s="232">
        <f>'쪽쟘(실측)'!N100+1.2</f>
        <v>34.200000000000003</v>
      </c>
      <c r="T100" s="232">
        <f>'쪽쟘(실측)'!O100+1.2</f>
        <v>34.200000000000003</v>
      </c>
      <c r="U100" s="232">
        <f>'쪽쟘(실측)'!P100</f>
        <v>25</v>
      </c>
      <c r="V100" s="232">
        <f>'쪽쟘(실측)'!Q100</f>
        <v>25</v>
      </c>
      <c r="W100" s="232" t="e">
        <f>'쪽쟘(실측)'!R100-늘치차감</f>
        <v>#NAME?</v>
      </c>
      <c r="X100" s="232" t="e">
        <f>'쪽쟘(실측)'!S100-늘치차감</f>
        <v>#NAME?</v>
      </c>
      <c r="Z100" s="228">
        <v>962</v>
      </c>
      <c r="AA100" s="228">
        <v>119.4</v>
      </c>
      <c r="AB100" s="228">
        <v>118.4</v>
      </c>
      <c r="AC100" s="228">
        <v>2095</v>
      </c>
      <c r="AD100" s="228">
        <v>119.4</v>
      </c>
      <c r="AE100" s="228">
        <v>2095</v>
      </c>
    </row>
    <row r="101" spans="1:31" s="228" customFormat="1" ht="18.75" customHeight="1" x14ac:dyDescent="0.3">
      <c r="A101" s="232" t="str">
        <f>'쪽쟘(실측)'!A101</f>
        <v>12-1</v>
      </c>
      <c r="B101" s="232" t="str">
        <f>'쪽쟘(실측)'!B101&amp;"F"</f>
        <v>5F</v>
      </c>
      <c r="C101" s="232" t="str">
        <f t="shared" si="3"/>
        <v>959*117.4</v>
      </c>
      <c r="D101" s="232" t="e">
        <f>'쪽쟘(실측)'!C101-OP차감</f>
        <v>#NAME?</v>
      </c>
      <c r="E101" s="232" t="e">
        <f>'쪽쟘(실측)'!D101+쪽쟘J늘림+MAX(W101:X101)</f>
        <v>#VALUE!</v>
      </c>
      <c r="F101" s="233" t="e">
        <f>'쪽쟘(실측)'!E101+쪽쟘J늘림+MAX(W101:X101)</f>
        <v>#VALUE!</v>
      </c>
      <c r="G101" s="234" t="str">
        <f t="shared" si="5"/>
        <v>2095*117.4</v>
      </c>
      <c r="H101" s="235" t="str">
        <f t="shared" si="4"/>
        <v>2095*117.4</v>
      </c>
      <c r="I101" s="107">
        <f>IF('쪽쟘(실측)'!F101&gt;0,'쪽쟘(실측)'!F101+0.5,0)</f>
        <v>31.5</v>
      </c>
      <c r="J101" s="232">
        <f>IF('쪽쟘(실측)'!H101&gt;0,'쪽쟘(실측)'!H101+0.5,0)</f>
        <v>31.5</v>
      </c>
      <c r="K101" s="232">
        <f>IF('쪽쟘(실측)'!F101&gt;0,'쪽쟘(실측)'!F101+1.5,0)</f>
        <v>32.5</v>
      </c>
      <c r="L101" s="232">
        <f>IF('쪽쟘(실측)'!G101&gt;0,'쪽쟘(실측)'!G101+1.5,0)</f>
        <v>32.5</v>
      </c>
      <c r="M101" s="232">
        <f>IF('쪽쟘(실측)'!H101&gt;0,'쪽쟘(실측)'!H101+1.5,0)</f>
        <v>32.5</v>
      </c>
      <c r="N101" s="232">
        <f>IF('쪽쟘(실측)'!I101&gt;0,'쪽쟘(실측)'!I101+1.5,0)</f>
        <v>32.5</v>
      </c>
      <c r="O101" s="232" t="e">
        <f>'쪽쟘(실측)'!J101-기둥차감</f>
        <v>#NAME?</v>
      </c>
      <c r="P101" s="232" t="e">
        <f>'쪽쟘(실측)'!K101-기둥차감</f>
        <v>#NAME?</v>
      </c>
      <c r="Q101" s="232" t="e">
        <f>'쪽쟘(실측)'!L101-기둥차감</f>
        <v>#NAME?</v>
      </c>
      <c r="R101" s="232" t="e">
        <f>'쪽쟘(실측)'!M101-기둥차감</f>
        <v>#NAME?</v>
      </c>
      <c r="S101" s="232">
        <f>'쪽쟘(실측)'!N101+1.2</f>
        <v>32.200000000000003</v>
      </c>
      <c r="T101" s="232">
        <f>'쪽쟘(실측)'!O101+1.2</f>
        <v>32.200000000000003</v>
      </c>
      <c r="U101" s="232">
        <f>'쪽쟘(실측)'!P101</f>
        <v>25</v>
      </c>
      <c r="V101" s="232">
        <f>'쪽쟘(실측)'!Q101</f>
        <v>25</v>
      </c>
      <c r="W101" s="232" t="e">
        <f>'쪽쟘(실측)'!R101-늘치차감</f>
        <v>#NAME?</v>
      </c>
      <c r="X101" s="232" t="e">
        <f>'쪽쟘(실측)'!S101-늘치차감</f>
        <v>#NAME?</v>
      </c>
      <c r="Z101" s="228">
        <v>959</v>
      </c>
      <c r="AA101" s="228">
        <v>117.4</v>
      </c>
      <c r="AB101" s="228">
        <v>117.4</v>
      </c>
      <c r="AC101" s="228">
        <v>2095</v>
      </c>
      <c r="AD101" s="228">
        <v>117.4</v>
      </c>
      <c r="AE101" s="228">
        <v>2095</v>
      </c>
    </row>
    <row r="102" spans="1:31" s="228" customFormat="1" ht="18.75" customHeight="1" x14ac:dyDescent="0.3">
      <c r="A102" s="232" t="str">
        <f>'쪽쟘(실측)'!A102</f>
        <v>12-1</v>
      </c>
      <c r="B102" s="232" t="str">
        <f>'쪽쟘(실측)'!B102&amp;"F"</f>
        <v>4F</v>
      </c>
      <c r="C102" s="232" t="str">
        <f t="shared" si="3"/>
        <v>959*117.4</v>
      </c>
      <c r="D102" s="232" t="e">
        <f>'쪽쟘(실측)'!C102-OP차감</f>
        <v>#NAME?</v>
      </c>
      <c r="E102" s="232" t="e">
        <f>'쪽쟘(실측)'!D102+쪽쟘J늘림+MAX(W102:X102)</f>
        <v>#VALUE!</v>
      </c>
      <c r="F102" s="233" t="e">
        <f>'쪽쟘(실측)'!E102+쪽쟘J늘림+MAX(W102:X102)</f>
        <v>#VALUE!</v>
      </c>
      <c r="G102" s="234" t="str">
        <f t="shared" si="5"/>
        <v>2095*116.4</v>
      </c>
      <c r="H102" s="235" t="str">
        <f t="shared" si="4"/>
        <v>2095*118.4</v>
      </c>
      <c r="I102" s="107">
        <f>IF('쪽쟘(실측)'!F102&gt;0,'쪽쟘(실측)'!F102+0.5,0)</f>
        <v>30.5</v>
      </c>
      <c r="J102" s="232">
        <f>IF('쪽쟘(실측)'!H102&gt;0,'쪽쟘(실측)'!H102+0.5,0)</f>
        <v>32.5</v>
      </c>
      <c r="K102" s="232">
        <f>IF('쪽쟘(실측)'!F102&gt;0,'쪽쟘(실측)'!F102+1.5,0)</f>
        <v>31.5</v>
      </c>
      <c r="L102" s="232">
        <f>IF('쪽쟘(실측)'!G102&gt;0,'쪽쟘(실측)'!G102+1.5,0)</f>
        <v>31.5</v>
      </c>
      <c r="M102" s="232">
        <f>IF('쪽쟘(실측)'!H102&gt;0,'쪽쟘(실측)'!H102+1.5,0)</f>
        <v>33.5</v>
      </c>
      <c r="N102" s="232">
        <f>IF('쪽쟘(실측)'!I102&gt;0,'쪽쟘(실측)'!I102+1.5,0)</f>
        <v>33.5</v>
      </c>
      <c r="O102" s="232" t="e">
        <f>'쪽쟘(실측)'!J102-기둥차감</f>
        <v>#NAME?</v>
      </c>
      <c r="P102" s="232" t="e">
        <f>'쪽쟘(실측)'!K102-기둥차감</f>
        <v>#NAME?</v>
      </c>
      <c r="Q102" s="232" t="e">
        <f>'쪽쟘(실측)'!L102-기둥차감</f>
        <v>#NAME?</v>
      </c>
      <c r="R102" s="232" t="e">
        <f>'쪽쟘(실측)'!M102-기둥차감</f>
        <v>#NAME?</v>
      </c>
      <c r="S102" s="232">
        <f>'쪽쟘(실측)'!N102+1.2</f>
        <v>32.200000000000003</v>
      </c>
      <c r="T102" s="232">
        <f>'쪽쟘(실측)'!O102+1.2</f>
        <v>32.200000000000003</v>
      </c>
      <c r="U102" s="232">
        <f>'쪽쟘(실측)'!P102</f>
        <v>25</v>
      </c>
      <c r="V102" s="232">
        <f>'쪽쟘(실측)'!Q102</f>
        <v>25</v>
      </c>
      <c r="W102" s="232" t="e">
        <f>'쪽쟘(실측)'!R102-늘치차감</f>
        <v>#NAME?</v>
      </c>
      <c r="X102" s="232" t="e">
        <f>'쪽쟘(실측)'!S102-늘치차감</f>
        <v>#NAME?</v>
      </c>
      <c r="Z102" s="228">
        <v>959</v>
      </c>
      <c r="AA102" s="228">
        <v>117.4</v>
      </c>
      <c r="AB102" s="228">
        <v>116.4</v>
      </c>
      <c r="AC102" s="228">
        <v>2095</v>
      </c>
      <c r="AD102" s="228">
        <v>118.4</v>
      </c>
      <c r="AE102" s="228">
        <v>2095</v>
      </c>
    </row>
    <row r="103" spans="1:31" s="228" customFormat="1" ht="18.75" customHeight="1" x14ac:dyDescent="0.3">
      <c r="A103" s="232" t="str">
        <f>'쪽쟘(실측)'!A103</f>
        <v>12-1</v>
      </c>
      <c r="B103" s="232" t="str">
        <f>'쪽쟘(실측)'!B103&amp;"F"</f>
        <v>3F</v>
      </c>
      <c r="C103" s="232" t="str">
        <f t="shared" si="3"/>
        <v>958*116.4</v>
      </c>
      <c r="D103" s="232" t="e">
        <f>'쪽쟘(실측)'!C103-OP차감</f>
        <v>#NAME?</v>
      </c>
      <c r="E103" s="232" t="e">
        <f>'쪽쟘(실측)'!D103+쪽쟘J늘림+MAX(W103:X103)</f>
        <v>#VALUE!</v>
      </c>
      <c r="F103" s="233" t="e">
        <f>'쪽쟘(실측)'!E103+쪽쟘J늘림+MAX(W103:X103)</f>
        <v>#VALUE!</v>
      </c>
      <c r="G103" s="234" t="str">
        <f t="shared" si="5"/>
        <v>2095*115.4</v>
      </c>
      <c r="H103" s="235" t="str">
        <f t="shared" si="4"/>
        <v>2095*118.4</v>
      </c>
      <c r="I103" s="107">
        <f>IF('쪽쟘(실측)'!F103&gt;0,'쪽쟘(실측)'!F103+0.5,0)</f>
        <v>29.5</v>
      </c>
      <c r="J103" s="232">
        <f>IF('쪽쟘(실측)'!H103&gt;0,'쪽쟘(실측)'!H103+0.5,0)</f>
        <v>32.5</v>
      </c>
      <c r="K103" s="232">
        <f>IF('쪽쟘(실측)'!F103&gt;0,'쪽쟘(실측)'!F103+1.5,0)</f>
        <v>30.5</v>
      </c>
      <c r="L103" s="232">
        <f>IF('쪽쟘(실측)'!G103&gt;0,'쪽쟘(실측)'!G103+1.5,0)</f>
        <v>30.5</v>
      </c>
      <c r="M103" s="232">
        <f>IF('쪽쟘(실측)'!H103&gt;0,'쪽쟘(실측)'!H103+1.5,0)</f>
        <v>33.5</v>
      </c>
      <c r="N103" s="232">
        <f>IF('쪽쟘(실측)'!I103&gt;0,'쪽쟘(실측)'!I103+1.5,0)</f>
        <v>33.5</v>
      </c>
      <c r="O103" s="232" t="e">
        <f>'쪽쟘(실측)'!J103-기둥차감</f>
        <v>#NAME?</v>
      </c>
      <c r="P103" s="232" t="e">
        <f>'쪽쟘(실측)'!K103-기둥차감</f>
        <v>#NAME?</v>
      </c>
      <c r="Q103" s="232" t="e">
        <f>'쪽쟘(실측)'!L103-기둥차감</f>
        <v>#NAME?</v>
      </c>
      <c r="R103" s="232" t="e">
        <f>'쪽쟘(실측)'!M103-기둥차감</f>
        <v>#NAME?</v>
      </c>
      <c r="S103" s="232">
        <f>'쪽쟘(실측)'!N103+1.2</f>
        <v>31.2</v>
      </c>
      <c r="T103" s="232">
        <f>'쪽쟘(실측)'!O103+1.2</f>
        <v>31.2</v>
      </c>
      <c r="U103" s="232">
        <f>'쪽쟘(실측)'!P103</f>
        <v>25</v>
      </c>
      <c r="V103" s="232">
        <f>'쪽쟘(실측)'!Q103</f>
        <v>25</v>
      </c>
      <c r="W103" s="232" t="e">
        <f>'쪽쟘(실측)'!R103-늘치차감</f>
        <v>#NAME?</v>
      </c>
      <c r="X103" s="232" t="e">
        <f>'쪽쟘(실측)'!S103-늘치차감</f>
        <v>#NAME?</v>
      </c>
      <c r="Z103" s="228">
        <v>958</v>
      </c>
      <c r="AA103" s="228">
        <v>116.4</v>
      </c>
      <c r="AB103" s="228">
        <v>115.4</v>
      </c>
      <c r="AC103" s="228">
        <v>2095</v>
      </c>
      <c r="AD103" s="228">
        <v>118.4</v>
      </c>
      <c r="AE103" s="228">
        <v>2095</v>
      </c>
    </row>
    <row r="104" spans="1:31" s="228" customFormat="1" ht="18.75" customHeight="1" x14ac:dyDescent="0.3">
      <c r="A104" s="232" t="str">
        <f>'쪽쟘(실측)'!A104</f>
        <v>12-1</v>
      </c>
      <c r="B104" s="232" t="str">
        <f>'쪽쟘(실측)'!B104&amp;"F"</f>
        <v>2F</v>
      </c>
      <c r="C104" s="232" t="str">
        <f t="shared" si="3"/>
        <v>959*116.4</v>
      </c>
      <c r="D104" s="232" t="e">
        <f>'쪽쟘(실측)'!C104-OP차감</f>
        <v>#NAME?</v>
      </c>
      <c r="E104" s="232" t="e">
        <f>'쪽쟘(실측)'!D104+쪽쟘J늘림+MAX(W104:X104)</f>
        <v>#VALUE!</v>
      </c>
      <c r="F104" s="233" t="e">
        <f>'쪽쟘(실측)'!E104+쪽쟘J늘림+MAX(W104:X104)</f>
        <v>#VALUE!</v>
      </c>
      <c r="G104" s="234" t="str">
        <f t="shared" si="5"/>
        <v>2095*116.4</v>
      </c>
      <c r="H104" s="235" t="str">
        <f t="shared" si="4"/>
        <v>2095*118.4</v>
      </c>
      <c r="I104" s="107">
        <f>IF('쪽쟘(실측)'!F104&gt;0,'쪽쟘(실측)'!F104+0.5,0)</f>
        <v>30.5</v>
      </c>
      <c r="J104" s="232">
        <f>IF('쪽쟘(실측)'!H104&gt;0,'쪽쟘(실측)'!H104+0.5,0)</f>
        <v>32.5</v>
      </c>
      <c r="K104" s="232">
        <f>IF('쪽쟘(실측)'!F104&gt;0,'쪽쟘(실측)'!F104+1.5,0)</f>
        <v>31.5</v>
      </c>
      <c r="L104" s="232">
        <f>IF('쪽쟘(실측)'!G104&gt;0,'쪽쟘(실측)'!G104+1.5,0)</f>
        <v>31.5</v>
      </c>
      <c r="M104" s="232">
        <f>IF('쪽쟘(실측)'!H104&gt;0,'쪽쟘(실측)'!H104+1.5,0)</f>
        <v>33.5</v>
      </c>
      <c r="N104" s="232">
        <f>IF('쪽쟘(실측)'!I104&gt;0,'쪽쟘(실측)'!I104+1.5,0)</f>
        <v>33.5</v>
      </c>
      <c r="O104" s="232" t="e">
        <f>'쪽쟘(실측)'!J104-기둥차감</f>
        <v>#NAME?</v>
      </c>
      <c r="P104" s="232" t="e">
        <f>'쪽쟘(실측)'!K104-기둥차감</f>
        <v>#NAME?</v>
      </c>
      <c r="Q104" s="232" t="e">
        <f>'쪽쟘(실측)'!L104-기둥차감</f>
        <v>#NAME?</v>
      </c>
      <c r="R104" s="232" t="e">
        <f>'쪽쟘(실측)'!M104-기둥차감</f>
        <v>#NAME?</v>
      </c>
      <c r="S104" s="232">
        <f>'쪽쟘(실측)'!N104+1.2</f>
        <v>31.2</v>
      </c>
      <c r="T104" s="232">
        <f>'쪽쟘(실측)'!O104+1.2</f>
        <v>31.2</v>
      </c>
      <c r="U104" s="232">
        <f>'쪽쟘(실측)'!P104</f>
        <v>25</v>
      </c>
      <c r="V104" s="232">
        <f>'쪽쟘(실측)'!Q104</f>
        <v>25</v>
      </c>
      <c r="W104" s="232" t="e">
        <f>'쪽쟘(실측)'!R104-늘치차감</f>
        <v>#NAME?</v>
      </c>
      <c r="X104" s="232" t="e">
        <f>'쪽쟘(실측)'!S104-늘치차감</f>
        <v>#NAME?</v>
      </c>
      <c r="Z104" s="228">
        <v>959</v>
      </c>
      <c r="AA104" s="228">
        <v>116.4</v>
      </c>
      <c r="AB104" s="228">
        <v>116.4</v>
      </c>
      <c r="AC104" s="228">
        <v>2095</v>
      </c>
      <c r="AD104" s="228">
        <v>118.4</v>
      </c>
      <c r="AE104" s="228">
        <v>2095</v>
      </c>
    </row>
    <row r="105" spans="1:31" s="228" customFormat="1" ht="18.75" customHeight="1" thickBot="1" x14ac:dyDescent="0.35">
      <c r="A105" s="287" t="str">
        <f>'쪽쟘(실측)'!A105</f>
        <v>12-1</v>
      </c>
      <c r="B105" s="287" t="str">
        <f>'쪽쟘(실측)'!B105&amp;"F"</f>
        <v>B1F</v>
      </c>
      <c r="C105" s="287" t="str">
        <f t="shared" si="3"/>
        <v>972*111.4</v>
      </c>
      <c r="D105" s="287" t="e">
        <f>'쪽쟘(실측)'!C105-OP차감</f>
        <v>#NAME?</v>
      </c>
      <c r="E105" s="287" t="e">
        <f>'쪽쟘(실측)'!D105+쪽쟘J늘림+MAX(W105:X105)</f>
        <v>#VALUE!</v>
      </c>
      <c r="F105" s="288" t="e">
        <f>'쪽쟘(실측)'!E105+쪽쟘J늘림+MAX(W105:X105)</f>
        <v>#VALUE!</v>
      </c>
      <c r="G105" s="289"/>
      <c r="H105" s="290"/>
      <c r="I105" s="107">
        <f>IF('쪽쟘(실측)'!F105&gt;0,'쪽쟘(실측)'!F105+0.5,0)</f>
        <v>44.5</v>
      </c>
      <c r="J105" s="232">
        <f>IF('쪽쟘(실측)'!H105&gt;0,'쪽쟘(실측)'!H105+0.5,0)</f>
        <v>39.5</v>
      </c>
      <c r="K105" s="232">
        <f>IF('쪽쟘(실측)'!F105&gt;0,'쪽쟘(실측)'!F105+1.5,0)</f>
        <v>45.5</v>
      </c>
      <c r="L105" s="232">
        <f>IF('쪽쟘(실측)'!G105&gt;0,'쪽쟘(실측)'!G105+1.5,0)</f>
        <v>45.5</v>
      </c>
      <c r="M105" s="232">
        <f>IF('쪽쟘(실측)'!H105&gt;0,'쪽쟘(실측)'!H105+1.5,0)</f>
        <v>40.5</v>
      </c>
      <c r="N105" s="232">
        <f>IF('쪽쟘(실측)'!I105&gt;0,'쪽쟘(실측)'!I105+1.5,0)</f>
        <v>40.5</v>
      </c>
      <c r="O105" s="232" t="e">
        <f>'쪽쟘(실측)'!J105-기둥차감</f>
        <v>#NAME?</v>
      </c>
      <c r="P105" s="232" t="e">
        <f>'쪽쟘(실측)'!K105-기둥차감</f>
        <v>#NAME?</v>
      </c>
      <c r="Q105" s="232" t="e">
        <f>'쪽쟘(실측)'!L105-기둥차감</f>
        <v>#NAME?</v>
      </c>
      <c r="R105" s="232" t="e">
        <f>'쪽쟘(실측)'!M105-기둥차감</f>
        <v>#NAME?</v>
      </c>
      <c r="S105" s="232">
        <f>'쪽쟘(실측)'!N105+1.2</f>
        <v>16.2</v>
      </c>
      <c r="T105" s="232">
        <f>'쪽쟘(실측)'!O105+1.2</f>
        <v>16.2</v>
      </c>
      <c r="U105" s="232">
        <f>'쪽쟘(실측)'!P105</f>
        <v>25</v>
      </c>
      <c r="V105" s="232">
        <f>'쪽쟘(실측)'!Q105</f>
        <v>25</v>
      </c>
      <c r="W105" s="232" t="e">
        <f>'쪽쟘(실측)'!R105-늘치차감</f>
        <v>#NAME?</v>
      </c>
      <c r="X105" s="232" t="e">
        <f>'쪽쟘(실측)'!S105-늘치차감</f>
        <v>#NAME?</v>
      </c>
      <c r="Z105" s="228">
        <v>972</v>
      </c>
      <c r="AA105" s="228">
        <v>111.4</v>
      </c>
      <c r="AB105" s="228">
        <v>140.4</v>
      </c>
      <c r="AC105" s="228">
        <v>2091</v>
      </c>
      <c r="AD105" s="228">
        <v>135.4</v>
      </c>
      <c r="AE105" s="228">
        <v>2091</v>
      </c>
    </row>
    <row r="106" spans="1:31" s="228" customFormat="1" ht="18.75" customHeight="1" x14ac:dyDescent="0.3">
      <c r="A106" s="283" t="str">
        <f>'쪽쟘(실측)'!A106</f>
        <v>12-2</v>
      </c>
      <c r="B106" s="283" t="str">
        <f>'쪽쟘(실측)'!B106&amp;"F"</f>
        <v>20F</v>
      </c>
      <c r="C106" s="283" t="str">
        <f t="shared" si="3"/>
        <v>966*126.4</v>
      </c>
      <c r="D106" s="283" t="e">
        <f>'쪽쟘(실측)'!C106-OP차감</f>
        <v>#NAME?</v>
      </c>
      <c r="E106" s="283" t="e">
        <f>'쪽쟘(실측)'!D106+쪽쟘J늘림+MAX(W106:X106)</f>
        <v>#VALUE!</v>
      </c>
      <c r="F106" s="284" t="e">
        <f>'쪽쟘(실측)'!E106+쪽쟘J늘림+MAX(W106:X106)</f>
        <v>#VALUE!</v>
      </c>
      <c r="G106" s="285" t="str">
        <f t="shared" si="5"/>
        <v>2095*127.4</v>
      </c>
      <c r="H106" s="286" t="str">
        <f t="shared" si="4"/>
        <v>2095*125.4</v>
      </c>
      <c r="I106" s="107">
        <f>IF('쪽쟘(실측)'!F106&gt;0,'쪽쟘(실측)'!F106+0.5,0)</f>
        <v>36.5</v>
      </c>
      <c r="J106" s="232">
        <f>IF('쪽쟘(실측)'!H106&gt;0,'쪽쟘(실측)'!H106+0.5,0)</f>
        <v>34.5</v>
      </c>
      <c r="K106" s="232">
        <f>IF('쪽쟘(실측)'!F106&gt;0,'쪽쟘(실측)'!F106+1.5,0)</f>
        <v>37.5</v>
      </c>
      <c r="L106" s="232">
        <f>IF('쪽쟘(실측)'!G106&gt;0,'쪽쟘(실측)'!G106+1.5,0)</f>
        <v>37.5</v>
      </c>
      <c r="M106" s="232">
        <f>IF('쪽쟘(실측)'!H106&gt;0,'쪽쟘(실측)'!H106+1.5,0)</f>
        <v>35.5</v>
      </c>
      <c r="N106" s="232">
        <f>IF('쪽쟘(실측)'!I106&gt;0,'쪽쟘(실측)'!I106+1.5,0)</f>
        <v>35.5</v>
      </c>
      <c r="O106" s="232" t="e">
        <f>'쪽쟘(실측)'!J106-기둥차감</f>
        <v>#NAME?</v>
      </c>
      <c r="P106" s="232" t="e">
        <f>'쪽쟘(실측)'!K106-기둥차감</f>
        <v>#NAME?</v>
      </c>
      <c r="Q106" s="232" t="e">
        <f>'쪽쟘(실측)'!L106-기둥차감</f>
        <v>#NAME?</v>
      </c>
      <c r="R106" s="232" t="e">
        <f>'쪽쟘(실측)'!M106-기둥차감</f>
        <v>#NAME?</v>
      </c>
      <c r="S106" s="232">
        <f>'쪽쟘(실측)'!N106+1.2</f>
        <v>36.200000000000003</v>
      </c>
      <c r="T106" s="232">
        <f>'쪽쟘(실측)'!O106+1.2</f>
        <v>36.200000000000003</v>
      </c>
      <c r="U106" s="232">
        <f>'쪽쟘(실측)'!P106</f>
        <v>25</v>
      </c>
      <c r="V106" s="232">
        <f>'쪽쟘(실측)'!Q106</f>
        <v>25</v>
      </c>
      <c r="W106" s="232" t="e">
        <f>'쪽쟘(실측)'!R106-늘치차감</f>
        <v>#NAME?</v>
      </c>
      <c r="X106" s="232" t="e">
        <f>'쪽쟘(실측)'!S106-늘치차감</f>
        <v>#NAME?</v>
      </c>
      <c r="Z106" s="228">
        <v>966</v>
      </c>
      <c r="AA106" s="228">
        <v>126.4</v>
      </c>
      <c r="AB106" s="228">
        <v>127.4</v>
      </c>
      <c r="AC106" s="228">
        <v>2095</v>
      </c>
      <c r="AD106" s="228">
        <v>125.4</v>
      </c>
      <c r="AE106" s="228">
        <v>2095</v>
      </c>
    </row>
    <row r="107" spans="1:31" s="228" customFormat="1" ht="18.75" customHeight="1" x14ac:dyDescent="0.3">
      <c r="A107" s="232" t="str">
        <f>'쪽쟘(실측)'!A107</f>
        <v>12-2</v>
      </c>
      <c r="B107" s="232" t="str">
        <f>'쪽쟘(실측)'!B107&amp;"F"</f>
        <v>19F</v>
      </c>
      <c r="C107" s="232" t="str">
        <f t="shared" si="3"/>
        <v>960*126.4</v>
      </c>
      <c r="D107" s="232" t="e">
        <f>'쪽쟘(실측)'!C107-OP차감</f>
        <v>#NAME?</v>
      </c>
      <c r="E107" s="232" t="e">
        <f>'쪽쟘(실측)'!D107+쪽쟘J늘림+MAX(W107:X107)</f>
        <v>#VALUE!</v>
      </c>
      <c r="F107" s="233" t="e">
        <f>'쪽쟘(실측)'!E107+쪽쟘J늘림+MAX(W107:X107)</f>
        <v>#VALUE!</v>
      </c>
      <c r="G107" s="234"/>
      <c r="H107" s="235" t="str">
        <f t="shared" si="4"/>
        <v>2095*123.4</v>
      </c>
      <c r="I107" s="107">
        <f>IF('쪽쟘(실측)'!F107&gt;0,'쪽쟘(실측)'!F107+0.5,0)</f>
        <v>34.5</v>
      </c>
      <c r="J107" s="232">
        <f>IF('쪽쟘(실측)'!H107&gt;0,'쪽쟘(실측)'!H107+0.5,0)</f>
        <v>32.5</v>
      </c>
      <c r="K107" s="232">
        <f>IF('쪽쟘(실측)'!F107&gt;0,'쪽쟘(실측)'!F107+1.5,0)</f>
        <v>35.5</v>
      </c>
      <c r="L107" s="232">
        <f>IF('쪽쟘(실측)'!G107&gt;0,'쪽쟘(실측)'!G107+1.5,0)</f>
        <v>29.5</v>
      </c>
      <c r="M107" s="232">
        <f>IF('쪽쟘(실측)'!H107&gt;0,'쪽쟘(실측)'!H107+1.5,0)</f>
        <v>33.5</v>
      </c>
      <c r="N107" s="232">
        <f>IF('쪽쟘(실측)'!I107&gt;0,'쪽쟘(실측)'!I107+1.5,0)</f>
        <v>33.5</v>
      </c>
      <c r="O107" s="232" t="e">
        <f>'쪽쟘(실측)'!J107-기둥차감</f>
        <v>#NAME?</v>
      </c>
      <c r="P107" s="232" t="e">
        <f>'쪽쟘(실측)'!K107-기둥차감</f>
        <v>#NAME?</v>
      </c>
      <c r="Q107" s="232" t="e">
        <f>'쪽쟘(실측)'!L107-기둥차감</f>
        <v>#NAME?</v>
      </c>
      <c r="R107" s="232" t="e">
        <f>'쪽쟘(실측)'!M107-기둥차감</f>
        <v>#NAME?</v>
      </c>
      <c r="S107" s="232">
        <f>'쪽쟘(실측)'!N107+1.2</f>
        <v>36.200000000000003</v>
      </c>
      <c r="T107" s="232">
        <f>'쪽쟘(실측)'!O107+1.2</f>
        <v>36.200000000000003</v>
      </c>
      <c r="U107" s="232">
        <f>'쪽쟘(실측)'!P107</f>
        <v>25</v>
      </c>
      <c r="V107" s="232">
        <f>'쪽쟘(실측)'!Q107</f>
        <v>25</v>
      </c>
      <c r="W107" s="232" t="e">
        <f>'쪽쟘(실측)'!R107-늘치차감</f>
        <v>#NAME?</v>
      </c>
      <c r="X107" s="232" t="e">
        <f>'쪽쟘(실측)'!S107-늘치차감</f>
        <v>#NAME?</v>
      </c>
      <c r="Z107" s="228">
        <v>960</v>
      </c>
      <c r="AA107" s="228">
        <v>126.4</v>
      </c>
      <c r="AB107" s="228">
        <v>125.4</v>
      </c>
      <c r="AC107" s="228">
        <v>2095</v>
      </c>
      <c r="AD107" s="228">
        <v>123.4</v>
      </c>
      <c r="AE107" s="228">
        <v>2095</v>
      </c>
    </row>
    <row r="108" spans="1:31" s="228" customFormat="1" ht="18.75" customHeight="1" x14ac:dyDescent="0.3">
      <c r="A108" s="232" t="str">
        <f>'쪽쟘(실측)'!A108</f>
        <v>12-2</v>
      </c>
      <c r="B108" s="232" t="str">
        <f>'쪽쟘(실측)'!B108&amp;"F"</f>
        <v>18F</v>
      </c>
      <c r="C108" s="232" t="str">
        <f t="shared" si="3"/>
        <v>963*127.4</v>
      </c>
      <c r="D108" s="232" t="e">
        <f>'쪽쟘(실측)'!C108-OP차감</f>
        <v>#NAME?</v>
      </c>
      <c r="E108" s="232" t="e">
        <f>'쪽쟘(실측)'!D108+쪽쟘J늘림+MAX(W108:X108)</f>
        <v>#VALUE!</v>
      </c>
      <c r="F108" s="233" t="e">
        <f>'쪽쟘(실측)'!E108+쪽쟘J늘림+MAX(W108:X108)</f>
        <v>#VALUE!</v>
      </c>
      <c r="G108" s="234" t="str">
        <f t="shared" si="5"/>
        <v>2095*125.4</v>
      </c>
      <c r="H108" s="235" t="str">
        <f t="shared" si="4"/>
        <v>2095*126.4</v>
      </c>
      <c r="I108" s="107">
        <f>IF('쪽쟘(실측)'!F108&gt;0,'쪽쟘(실측)'!F108+0.5,0)</f>
        <v>34.5</v>
      </c>
      <c r="J108" s="232">
        <f>IF('쪽쟘(실측)'!H108&gt;0,'쪽쟘(실측)'!H108+0.5,0)</f>
        <v>35.5</v>
      </c>
      <c r="K108" s="232">
        <f>IF('쪽쟘(실측)'!F108&gt;0,'쪽쟘(실측)'!F108+1.5,0)</f>
        <v>35.5</v>
      </c>
      <c r="L108" s="232">
        <f>IF('쪽쟘(실측)'!G108&gt;0,'쪽쟘(실측)'!G108+1.5,0)</f>
        <v>35.5</v>
      </c>
      <c r="M108" s="232">
        <f>IF('쪽쟘(실측)'!H108&gt;0,'쪽쟘(실측)'!H108+1.5,0)</f>
        <v>36.5</v>
      </c>
      <c r="N108" s="232">
        <f>IF('쪽쟘(실측)'!I108&gt;0,'쪽쟘(실측)'!I108+1.5,0)</f>
        <v>36.5</v>
      </c>
      <c r="O108" s="232" t="e">
        <f>'쪽쟘(실측)'!J108-기둥차감</f>
        <v>#NAME?</v>
      </c>
      <c r="P108" s="232" t="e">
        <f>'쪽쟘(실측)'!K108-기둥차감</f>
        <v>#NAME?</v>
      </c>
      <c r="Q108" s="232" t="e">
        <f>'쪽쟘(실측)'!L108-기둥차감</f>
        <v>#NAME?</v>
      </c>
      <c r="R108" s="232" t="e">
        <f>'쪽쟘(실측)'!M108-기둥차감</f>
        <v>#NAME?</v>
      </c>
      <c r="S108" s="232">
        <f>'쪽쟘(실측)'!N108+1.2</f>
        <v>37.200000000000003</v>
      </c>
      <c r="T108" s="232">
        <f>'쪽쟘(실측)'!O108+1.2</f>
        <v>37.200000000000003</v>
      </c>
      <c r="U108" s="232">
        <f>'쪽쟘(실측)'!P108</f>
        <v>25</v>
      </c>
      <c r="V108" s="232">
        <f>'쪽쟘(실측)'!Q108</f>
        <v>25</v>
      </c>
      <c r="W108" s="232" t="e">
        <f>'쪽쟘(실측)'!R108-늘치차감</f>
        <v>#NAME?</v>
      </c>
      <c r="X108" s="232" t="e">
        <f>'쪽쟘(실측)'!S108-늘치차감</f>
        <v>#NAME?</v>
      </c>
      <c r="Z108" s="228">
        <v>963</v>
      </c>
      <c r="AA108" s="228">
        <v>127.4</v>
      </c>
      <c r="AB108" s="228">
        <v>125.4</v>
      </c>
      <c r="AC108" s="228">
        <v>2095</v>
      </c>
      <c r="AD108" s="228">
        <v>126.4</v>
      </c>
      <c r="AE108" s="228">
        <v>2095</v>
      </c>
    </row>
    <row r="109" spans="1:31" s="228" customFormat="1" ht="18.75" customHeight="1" x14ac:dyDescent="0.3">
      <c r="A109" s="232" t="str">
        <f>'쪽쟘(실측)'!A109</f>
        <v>12-2</v>
      </c>
      <c r="B109" s="232" t="str">
        <f>'쪽쟘(실측)'!B109&amp;"F"</f>
        <v>17F</v>
      </c>
      <c r="C109" s="232" t="str">
        <f t="shared" si="3"/>
        <v>963*125.4</v>
      </c>
      <c r="D109" s="232" t="e">
        <f>'쪽쟘(실측)'!C109-OP차감</f>
        <v>#NAME?</v>
      </c>
      <c r="E109" s="232" t="e">
        <f>'쪽쟘(실측)'!D109+쪽쟘J늘림+MAX(W109:X109)</f>
        <v>#VALUE!</v>
      </c>
      <c r="F109" s="233" t="e">
        <f>'쪽쟘(실측)'!E109+쪽쟘J늘림+MAX(W109:X109)</f>
        <v>#VALUE!</v>
      </c>
      <c r="G109" s="234"/>
      <c r="H109" s="235" t="str">
        <f t="shared" si="4"/>
        <v>2095*123.4</v>
      </c>
      <c r="I109" s="107">
        <f>IF('쪽쟘(실측)'!F109&gt;0,'쪽쟘(실측)'!F109+0.5,0)</f>
        <v>34.5</v>
      </c>
      <c r="J109" s="232">
        <f>IF('쪽쟘(실측)'!H109&gt;0,'쪽쟘(실측)'!H109+0.5,0)</f>
        <v>32.5</v>
      </c>
      <c r="K109" s="232">
        <f>IF('쪽쟘(실측)'!F109&gt;0,'쪽쟘(실측)'!F109+1.5,0)</f>
        <v>35.5</v>
      </c>
      <c r="L109" s="232">
        <f>IF('쪽쟘(실측)'!G109&gt;0,'쪽쟘(실측)'!G109+1.5,0)</f>
        <v>31.5</v>
      </c>
      <c r="M109" s="232">
        <f>IF('쪽쟘(실측)'!H109&gt;0,'쪽쟘(실측)'!H109+1.5,0)</f>
        <v>33.5</v>
      </c>
      <c r="N109" s="232">
        <f>IF('쪽쟘(실측)'!I109&gt;0,'쪽쟘(실측)'!I109+1.5,0)</f>
        <v>33.5</v>
      </c>
      <c r="O109" s="232" t="e">
        <f>'쪽쟘(실측)'!J109-기둥차감</f>
        <v>#NAME?</v>
      </c>
      <c r="P109" s="232" t="e">
        <f>'쪽쟘(실측)'!K109-기둥차감</f>
        <v>#NAME?</v>
      </c>
      <c r="Q109" s="232" t="e">
        <f>'쪽쟘(실측)'!L109-기둥차감</f>
        <v>#NAME?</v>
      </c>
      <c r="R109" s="232" t="e">
        <f>'쪽쟘(실측)'!M109-기둥차감</f>
        <v>#NAME?</v>
      </c>
      <c r="S109" s="232">
        <f>'쪽쟘(실측)'!N109+1.2</f>
        <v>35.200000000000003</v>
      </c>
      <c r="T109" s="232">
        <f>'쪽쟘(실측)'!O109+1.2</f>
        <v>35.200000000000003</v>
      </c>
      <c r="U109" s="232">
        <f>'쪽쟘(실측)'!P109</f>
        <v>25</v>
      </c>
      <c r="V109" s="232">
        <f>'쪽쟘(실측)'!Q109</f>
        <v>25</v>
      </c>
      <c r="W109" s="232" t="e">
        <f>'쪽쟘(실측)'!R109-늘치차감</f>
        <v>#NAME?</v>
      </c>
      <c r="X109" s="232" t="e">
        <f>'쪽쟘(실측)'!S109-늘치차감</f>
        <v>#NAME?</v>
      </c>
      <c r="Z109" s="228">
        <v>963</v>
      </c>
      <c r="AA109" s="228">
        <v>125.4</v>
      </c>
      <c r="AB109" s="228">
        <v>125.4</v>
      </c>
      <c r="AC109" s="228">
        <v>2095</v>
      </c>
      <c r="AD109" s="228">
        <v>123.4</v>
      </c>
      <c r="AE109" s="228">
        <v>2095</v>
      </c>
    </row>
    <row r="110" spans="1:31" s="228" customFormat="1" ht="18.75" customHeight="1" x14ac:dyDescent="0.3">
      <c r="A110" s="232" t="str">
        <f>'쪽쟘(실측)'!A110</f>
        <v>12-2</v>
      </c>
      <c r="B110" s="232" t="str">
        <f>'쪽쟘(실측)'!B110&amp;"F"</f>
        <v>16F</v>
      </c>
      <c r="C110" s="232" t="str">
        <f t="shared" si="3"/>
        <v>963*125.4</v>
      </c>
      <c r="D110" s="232" t="e">
        <f>'쪽쟘(실측)'!C110-OP차감</f>
        <v>#NAME?</v>
      </c>
      <c r="E110" s="232" t="e">
        <f>'쪽쟘(실측)'!D110+쪽쟘J늘림+MAX(W110:X110)</f>
        <v>#VALUE!</v>
      </c>
      <c r="F110" s="233" t="e">
        <f>'쪽쟘(실측)'!E110+쪽쟘J늘림+MAX(W110:X110)</f>
        <v>#VALUE!</v>
      </c>
      <c r="G110" s="234"/>
      <c r="H110" s="235" t="str">
        <f t="shared" si="4"/>
        <v>2095*126.4</v>
      </c>
      <c r="I110" s="107">
        <f>IF('쪽쟘(실측)'!F110&gt;0,'쪽쟘(실측)'!F110+0.5,0)</f>
        <v>32.5</v>
      </c>
      <c r="J110" s="232">
        <f>IF('쪽쟘(실측)'!H110&gt;0,'쪽쟘(실측)'!H110+0.5,0)</f>
        <v>35.5</v>
      </c>
      <c r="K110" s="232">
        <f>IF('쪽쟘(실측)'!F110&gt;0,'쪽쟘(실측)'!F110+1.5,0)</f>
        <v>33.5</v>
      </c>
      <c r="L110" s="232">
        <f>IF('쪽쟘(실측)'!G110&gt;0,'쪽쟘(실측)'!G110+1.5,0)</f>
        <v>37.5</v>
      </c>
      <c r="M110" s="232">
        <f>IF('쪽쟘(실측)'!H110&gt;0,'쪽쟘(실측)'!H110+1.5,0)</f>
        <v>36.5</v>
      </c>
      <c r="N110" s="232">
        <f>IF('쪽쟘(실측)'!I110&gt;0,'쪽쟘(실측)'!I110+1.5,0)</f>
        <v>36.5</v>
      </c>
      <c r="O110" s="232" t="e">
        <f>'쪽쟘(실측)'!J110-기둥차감</f>
        <v>#NAME?</v>
      </c>
      <c r="P110" s="232" t="e">
        <f>'쪽쟘(실측)'!K110-기둥차감</f>
        <v>#NAME?</v>
      </c>
      <c r="Q110" s="232" t="e">
        <f>'쪽쟘(실측)'!L110-기둥차감</f>
        <v>#NAME?</v>
      </c>
      <c r="R110" s="232" t="e">
        <f>'쪽쟘(실측)'!M110-기둥차감</f>
        <v>#NAME?</v>
      </c>
      <c r="S110" s="232">
        <f>'쪽쟘(실측)'!N110+1.2</f>
        <v>35.200000000000003</v>
      </c>
      <c r="T110" s="232">
        <f>'쪽쟘(실측)'!O110+1.2</f>
        <v>35.200000000000003</v>
      </c>
      <c r="U110" s="232">
        <f>'쪽쟘(실측)'!P110</f>
        <v>25</v>
      </c>
      <c r="V110" s="232">
        <f>'쪽쟘(실측)'!Q110</f>
        <v>25</v>
      </c>
      <c r="W110" s="232" t="e">
        <f>'쪽쟘(실측)'!R110-늘치차감</f>
        <v>#NAME?</v>
      </c>
      <c r="X110" s="232" t="e">
        <f>'쪽쟘(실측)'!S110-늘치차감</f>
        <v>#NAME?</v>
      </c>
      <c r="Z110" s="228">
        <v>963</v>
      </c>
      <c r="AA110" s="228">
        <v>125.4</v>
      </c>
      <c r="AB110" s="228">
        <v>127.4</v>
      </c>
      <c r="AC110" s="228">
        <v>2095</v>
      </c>
      <c r="AD110" s="228">
        <v>126.4</v>
      </c>
      <c r="AE110" s="228">
        <v>2095</v>
      </c>
    </row>
    <row r="111" spans="1:31" s="228" customFormat="1" ht="18.75" customHeight="1" x14ac:dyDescent="0.3">
      <c r="A111" s="232" t="str">
        <f>'쪽쟘(실측)'!A111</f>
        <v>12-2</v>
      </c>
      <c r="B111" s="232" t="str">
        <f>'쪽쟘(실측)'!B111&amp;"F"</f>
        <v>15F</v>
      </c>
      <c r="C111" s="232" t="str">
        <f t="shared" si="3"/>
        <v>958*124.4</v>
      </c>
      <c r="D111" s="232" t="e">
        <f>'쪽쟘(실측)'!C111-OP차감</f>
        <v>#NAME?</v>
      </c>
      <c r="E111" s="232" t="e">
        <f>'쪽쟘(실측)'!D111+쪽쟘J늘림+MAX(W111:X111)</f>
        <v>#VALUE!</v>
      </c>
      <c r="F111" s="233" t="e">
        <f>'쪽쟘(실측)'!E111+쪽쟘J늘림+MAX(W111:X111)</f>
        <v>#VALUE!</v>
      </c>
      <c r="G111" s="234" t="str">
        <f t="shared" si="5"/>
        <v>2095*123.4</v>
      </c>
      <c r="H111" s="235" t="str">
        <f t="shared" si="4"/>
        <v>2095*121.4</v>
      </c>
      <c r="I111" s="107">
        <f>IF('쪽쟘(실측)'!F111&gt;0,'쪽쟘(실측)'!F111+0.5,0)</f>
        <v>32.5</v>
      </c>
      <c r="J111" s="232">
        <f>IF('쪽쟘(실측)'!H111&gt;0,'쪽쟘(실측)'!H111+0.5,0)</f>
        <v>30.5</v>
      </c>
      <c r="K111" s="232">
        <f>IF('쪽쟘(실측)'!F111&gt;0,'쪽쟘(실측)'!F111+1.5,0)</f>
        <v>33.5</v>
      </c>
      <c r="L111" s="232">
        <f>IF('쪽쟘(실측)'!G111&gt;0,'쪽쟘(실측)'!G111+1.5,0)</f>
        <v>33.5</v>
      </c>
      <c r="M111" s="232">
        <f>IF('쪽쟘(실측)'!H111&gt;0,'쪽쟘(실측)'!H111+1.5,0)</f>
        <v>31.5</v>
      </c>
      <c r="N111" s="232">
        <f>IF('쪽쟘(실측)'!I111&gt;0,'쪽쟘(실측)'!I111+1.5,0)</f>
        <v>31.5</v>
      </c>
      <c r="O111" s="232" t="e">
        <f>'쪽쟘(실측)'!J111-기둥차감</f>
        <v>#NAME?</v>
      </c>
      <c r="P111" s="232" t="e">
        <f>'쪽쟘(실측)'!K111-기둥차감</f>
        <v>#NAME?</v>
      </c>
      <c r="Q111" s="232" t="e">
        <f>'쪽쟘(실측)'!L111-기둥차감</f>
        <v>#NAME?</v>
      </c>
      <c r="R111" s="232" t="e">
        <f>'쪽쟘(실측)'!M111-기둥차감</f>
        <v>#NAME?</v>
      </c>
      <c r="S111" s="232">
        <f>'쪽쟘(실측)'!N111+1.2</f>
        <v>34.200000000000003</v>
      </c>
      <c r="T111" s="232">
        <f>'쪽쟘(실측)'!O111+1.2</f>
        <v>34.200000000000003</v>
      </c>
      <c r="U111" s="232">
        <f>'쪽쟘(실측)'!P111</f>
        <v>25</v>
      </c>
      <c r="V111" s="232">
        <f>'쪽쟘(실측)'!Q111</f>
        <v>25</v>
      </c>
      <c r="W111" s="232" t="e">
        <f>'쪽쟘(실측)'!R111-늘치차감</f>
        <v>#NAME?</v>
      </c>
      <c r="X111" s="232" t="e">
        <f>'쪽쟘(실측)'!S111-늘치차감</f>
        <v>#NAME?</v>
      </c>
      <c r="Z111" s="228">
        <v>958</v>
      </c>
      <c r="AA111" s="228">
        <v>124.4</v>
      </c>
      <c r="AB111" s="228">
        <v>123.4</v>
      </c>
      <c r="AC111" s="228">
        <v>2095</v>
      </c>
      <c r="AD111" s="228">
        <v>121.4</v>
      </c>
      <c r="AE111" s="228">
        <v>2095</v>
      </c>
    </row>
    <row r="112" spans="1:31" s="228" customFormat="1" ht="18.75" customHeight="1" x14ac:dyDescent="0.3">
      <c r="A112" s="232" t="str">
        <f>'쪽쟘(실측)'!A112</f>
        <v>12-2</v>
      </c>
      <c r="B112" s="232" t="str">
        <f>'쪽쟘(실측)'!B112&amp;"F"</f>
        <v>14F</v>
      </c>
      <c r="C112" s="232" t="str">
        <f t="shared" si="3"/>
        <v>960*125.4</v>
      </c>
      <c r="D112" s="232" t="e">
        <f>'쪽쟘(실측)'!C112-OP차감</f>
        <v>#NAME?</v>
      </c>
      <c r="E112" s="232" t="e">
        <f>'쪽쟘(실측)'!D112+쪽쟘J늘림+MAX(W112:X112)</f>
        <v>#VALUE!</v>
      </c>
      <c r="F112" s="233" t="e">
        <f>'쪽쟘(실측)'!E112+쪽쟘J늘림+MAX(W112:X112)</f>
        <v>#VALUE!</v>
      </c>
      <c r="G112" s="234" t="str">
        <f t="shared" si="5"/>
        <v>2095*124.4</v>
      </c>
      <c r="H112" s="235" t="str">
        <f t="shared" si="4"/>
        <v>2095*124.4</v>
      </c>
      <c r="I112" s="107">
        <f>IF('쪽쟘(실측)'!F112&gt;0,'쪽쟘(실측)'!F112+0.5,0)</f>
        <v>33.5</v>
      </c>
      <c r="J112" s="232">
        <f>IF('쪽쟘(실측)'!H112&gt;0,'쪽쟘(실측)'!H112+0.5,0)</f>
        <v>33.5</v>
      </c>
      <c r="K112" s="232">
        <f>IF('쪽쟘(실측)'!F112&gt;0,'쪽쟘(실측)'!F112+1.5,0)</f>
        <v>34.5</v>
      </c>
      <c r="L112" s="232">
        <f>IF('쪽쟘(실측)'!G112&gt;0,'쪽쟘(실측)'!G112+1.5,0)</f>
        <v>34.5</v>
      </c>
      <c r="M112" s="232">
        <f>IF('쪽쟘(실측)'!H112&gt;0,'쪽쟘(실측)'!H112+1.5,0)</f>
        <v>34.5</v>
      </c>
      <c r="N112" s="232">
        <f>IF('쪽쟘(실측)'!I112&gt;0,'쪽쟘(실측)'!I112+1.5,0)</f>
        <v>34.5</v>
      </c>
      <c r="O112" s="232" t="e">
        <f>'쪽쟘(실측)'!J112-기둥차감</f>
        <v>#NAME?</v>
      </c>
      <c r="P112" s="232" t="e">
        <f>'쪽쟘(실측)'!K112-기둥차감</f>
        <v>#NAME?</v>
      </c>
      <c r="Q112" s="232" t="e">
        <f>'쪽쟘(실측)'!L112-기둥차감</f>
        <v>#NAME?</v>
      </c>
      <c r="R112" s="232" t="e">
        <f>'쪽쟘(실측)'!M112-기둥차감</f>
        <v>#NAME?</v>
      </c>
      <c r="S112" s="232">
        <f>'쪽쟘(실측)'!N112+1.2</f>
        <v>35.200000000000003</v>
      </c>
      <c r="T112" s="232">
        <f>'쪽쟘(실측)'!O112+1.2</f>
        <v>35.200000000000003</v>
      </c>
      <c r="U112" s="232">
        <f>'쪽쟘(실측)'!P112</f>
        <v>25</v>
      </c>
      <c r="V112" s="232">
        <f>'쪽쟘(실측)'!Q112</f>
        <v>25</v>
      </c>
      <c r="W112" s="232" t="e">
        <f>'쪽쟘(실측)'!R112-늘치차감</f>
        <v>#NAME?</v>
      </c>
      <c r="X112" s="232" t="e">
        <f>'쪽쟘(실측)'!S112-늘치차감</f>
        <v>#NAME?</v>
      </c>
      <c r="Z112" s="228">
        <v>960</v>
      </c>
      <c r="AA112" s="228">
        <v>125.4</v>
      </c>
      <c r="AB112" s="228">
        <v>124.4</v>
      </c>
      <c r="AC112" s="228">
        <v>2095</v>
      </c>
      <c r="AD112" s="228">
        <v>124.4</v>
      </c>
      <c r="AE112" s="228">
        <v>2095</v>
      </c>
    </row>
    <row r="113" spans="1:31" s="228" customFormat="1" ht="18.75" customHeight="1" x14ac:dyDescent="0.3">
      <c r="A113" s="232" t="str">
        <f>'쪽쟘(실측)'!A113</f>
        <v>12-2</v>
      </c>
      <c r="B113" s="232" t="str">
        <f>'쪽쟘(실측)'!B113&amp;"F"</f>
        <v>13F</v>
      </c>
      <c r="C113" s="232" t="str">
        <f t="shared" si="3"/>
        <v>962*124.4</v>
      </c>
      <c r="D113" s="232" t="e">
        <f>'쪽쟘(실측)'!C113-OP차감</f>
        <v>#NAME?</v>
      </c>
      <c r="E113" s="232" t="e">
        <f>'쪽쟘(실측)'!D113+쪽쟘J늘림+MAX(W113:X113)</f>
        <v>#VALUE!</v>
      </c>
      <c r="F113" s="233" t="e">
        <f>'쪽쟘(실측)'!E113+쪽쟘J늘림+MAX(W113:X113)</f>
        <v>#VALUE!</v>
      </c>
      <c r="G113" s="234" t="str">
        <f t="shared" si="5"/>
        <v>2095*126.4</v>
      </c>
      <c r="H113" s="235" t="str">
        <f t="shared" si="4"/>
        <v>2095*122.4</v>
      </c>
      <c r="I113" s="107">
        <f>IF('쪽쟘(실측)'!F113&gt;0,'쪽쟘(실측)'!F113+0.5,0)</f>
        <v>35.5</v>
      </c>
      <c r="J113" s="232">
        <f>IF('쪽쟘(실측)'!H113&gt;0,'쪽쟘(실측)'!H113+0.5,0)</f>
        <v>31.5</v>
      </c>
      <c r="K113" s="232">
        <f>IF('쪽쟘(실측)'!F113&gt;0,'쪽쟘(실측)'!F113+1.5,0)</f>
        <v>36.5</v>
      </c>
      <c r="L113" s="232">
        <f>IF('쪽쟘(실측)'!G113&gt;0,'쪽쟘(실측)'!G113+1.5,0)</f>
        <v>36.5</v>
      </c>
      <c r="M113" s="232">
        <f>IF('쪽쟘(실측)'!H113&gt;0,'쪽쟘(실측)'!H113+1.5,0)</f>
        <v>32.5</v>
      </c>
      <c r="N113" s="232">
        <f>IF('쪽쟘(실측)'!I113&gt;0,'쪽쟘(실측)'!I113+1.5,0)</f>
        <v>32.5</v>
      </c>
      <c r="O113" s="232" t="e">
        <f>'쪽쟘(실측)'!J113-기둥차감</f>
        <v>#NAME?</v>
      </c>
      <c r="P113" s="232" t="e">
        <f>'쪽쟘(실측)'!K113-기둥차감</f>
        <v>#NAME?</v>
      </c>
      <c r="Q113" s="232" t="e">
        <f>'쪽쟘(실측)'!L113-기둥차감</f>
        <v>#NAME?</v>
      </c>
      <c r="R113" s="232" t="e">
        <f>'쪽쟘(실측)'!M113-기둥차감</f>
        <v>#NAME?</v>
      </c>
      <c r="S113" s="232">
        <f>'쪽쟘(실측)'!N113+1.2</f>
        <v>34.200000000000003</v>
      </c>
      <c r="T113" s="232">
        <f>'쪽쟘(실측)'!O113+1.2</f>
        <v>34.200000000000003</v>
      </c>
      <c r="U113" s="232">
        <f>'쪽쟘(실측)'!P113</f>
        <v>25</v>
      </c>
      <c r="V113" s="232">
        <f>'쪽쟘(실측)'!Q113</f>
        <v>25</v>
      </c>
      <c r="W113" s="232" t="e">
        <f>'쪽쟘(실측)'!R113-늘치차감</f>
        <v>#NAME?</v>
      </c>
      <c r="X113" s="232" t="e">
        <f>'쪽쟘(실측)'!S113-늘치차감</f>
        <v>#NAME?</v>
      </c>
      <c r="Z113" s="228">
        <v>962</v>
      </c>
      <c r="AA113" s="228">
        <v>124.4</v>
      </c>
      <c r="AB113" s="228">
        <v>126.4</v>
      </c>
      <c r="AC113" s="228">
        <v>2095</v>
      </c>
      <c r="AD113" s="228">
        <v>122.4</v>
      </c>
      <c r="AE113" s="228">
        <v>2095</v>
      </c>
    </row>
    <row r="114" spans="1:31" s="228" customFormat="1" ht="18.75" customHeight="1" x14ac:dyDescent="0.3">
      <c r="A114" s="232" t="str">
        <f>'쪽쟘(실측)'!A114</f>
        <v>12-2</v>
      </c>
      <c r="B114" s="232" t="str">
        <f>'쪽쟘(실측)'!B114&amp;"F"</f>
        <v>12F</v>
      </c>
      <c r="C114" s="232" t="str">
        <f t="shared" si="3"/>
        <v>960*123.4</v>
      </c>
      <c r="D114" s="232" t="e">
        <f>'쪽쟘(실측)'!C114-OP차감</f>
        <v>#NAME?</v>
      </c>
      <c r="E114" s="232" t="e">
        <f>'쪽쟘(실측)'!D114+쪽쟘J늘림+MAX(W114:X114)</f>
        <v>#VALUE!</v>
      </c>
      <c r="F114" s="233" t="e">
        <f>'쪽쟘(실측)'!E114+쪽쟘J늘림+MAX(W114:X114)</f>
        <v>#VALUE!</v>
      </c>
      <c r="G114" s="234" t="str">
        <f t="shared" si="5"/>
        <v>2095*124.4</v>
      </c>
      <c r="H114" s="235" t="str">
        <f t="shared" si="4"/>
        <v>2095*122.4</v>
      </c>
      <c r="I114" s="107">
        <f>IF('쪽쟘(실측)'!F114&gt;0,'쪽쟘(실측)'!F114+0.5,0)</f>
        <v>33.5</v>
      </c>
      <c r="J114" s="232">
        <f>IF('쪽쟘(실측)'!H114&gt;0,'쪽쟘(실측)'!H114+0.5,0)</f>
        <v>31.5</v>
      </c>
      <c r="K114" s="232">
        <f>IF('쪽쟘(실측)'!F114&gt;0,'쪽쟘(실측)'!F114+1.5,0)</f>
        <v>34.5</v>
      </c>
      <c r="L114" s="232">
        <f>IF('쪽쟘(실측)'!G114&gt;0,'쪽쟘(실측)'!G114+1.5,0)</f>
        <v>34.5</v>
      </c>
      <c r="M114" s="232">
        <f>IF('쪽쟘(실측)'!H114&gt;0,'쪽쟘(실측)'!H114+1.5,0)</f>
        <v>32.5</v>
      </c>
      <c r="N114" s="232">
        <f>IF('쪽쟘(실측)'!I114&gt;0,'쪽쟘(실측)'!I114+1.5,0)</f>
        <v>32.5</v>
      </c>
      <c r="O114" s="232" t="e">
        <f>'쪽쟘(실측)'!J114-기둥차감</f>
        <v>#NAME?</v>
      </c>
      <c r="P114" s="232" t="e">
        <f>'쪽쟘(실측)'!K114-기둥차감</f>
        <v>#NAME?</v>
      </c>
      <c r="Q114" s="232" t="e">
        <f>'쪽쟘(실측)'!L114-기둥차감</f>
        <v>#NAME?</v>
      </c>
      <c r="R114" s="232" t="e">
        <f>'쪽쟘(실측)'!M114-기둥차감</f>
        <v>#NAME?</v>
      </c>
      <c r="S114" s="232">
        <f>'쪽쟘(실측)'!N114+1.2</f>
        <v>33.200000000000003</v>
      </c>
      <c r="T114" s="232">
        <f>'쪽쟘(실측)'!O114+1.2</f>
        <v>33.200000000000003</v>
      </c>
      <c r="U114" s="232">
        <f>'쪽쟘(실측)'!P114</f>
        <v>25</v>
      </c>
      <c r="V114" s="232">
        <f>'쪽쟘(실측)'!Q114</f>
        <v>25</v>
      </c>
      <c r="W114" s="232" t="e">
        <f>'쪽쟘(실측)'!R114-늘치차감</f>
        <v>#NAME?</v>
      </c>
      <c r="X114" s="232" t="e">
        <f>'쪽쟘(실측)'!S114-늘치차감</f>
        <v>#NAME?</v>
      </c>
      <c r="Z114" s="228">
        <v>960</v>
      </c>
      <c r="AA114" s="228">
        <v>123.4</v>
      </c>
      <c r="AB114" s="228">
        <v>124.4</v>
      </c>
      <c r="AC114" s="228">
        <v>2095</v>
      </c>
      <c r="AD114" s="228">
        <v>122.4</v>
      </c>
      <c r="AE114" s="228">
        <v>2095</v>
      </c>
    </row>
    <row r="115" spans="1:31" s="228" customFormat="1" ht="18.75" customHeight="1" x14ac:dyDescent="0.3">
      <c r="A115" s="232" t="str">
        <f>'쪽쟘(실측)'!A115</f>
        <v>12-2</v>
      </c>
      <c r="B115" s="232" t="str">
        <f>'쪽쟘(실측)'!B115&amp;"F"</f>
        <v>11F</v>
      </c>
      <c r="C115" s="232" t="str">
        <f t="shared" si="3"/>
        <v>962*123.4</v>
      </c>
      <c r="D115" s="232" t="e">
        <f>'쪽쟘(실측)'!C115-OP차감</f>
        <v>#NAME?</v>
      </c>
      <c r="E115" s="232" t="e">
        <f>'쪽쟘(실측)'!D115+쪽쟘J늘림+MAX(W115:X115)</f>
        <v>#VALUE!</v>
      </c>
      <c r="F115" s="233" t="e">
        <f>'쪽쟘(실측)'!E115+쪽쟘J늘림+MAX(W115:X115)</f>
        <v>#VALUE!</v>
      </c>
      <c r="G115" s="234" t="str">
        <f t="shared" si="5"/>
        <v>2095*125.4</v>
      </c>
      <c r="H115" s="235" t="str">
        <f t="shared" si="4"/>
        <v>2095*122.4</v>
      </c>
      <c r="I115" s="107">
        <f>IF('쪽쟘(실측)'!F115&gt;0,'쪽쟘(실측)'!F115+0.5,0)</f>
        <v>34.5</v>
      </c>
      <c r="J115" s="232">
        <f>IF('쪽쟘(실측)'!H115&gt;0,'쪽쟘(실측)'!H115+0.5,0)</f>
        <v>31.5</v>
      </c>
      <c r="K115" s="232">
        <f>IF('쪽쟘(실측)'!F115&gt;0,'쪽쟘(실측)'!F115+1.5,0)</f>
        <v>35.5</v>
      </c>
      <c r="L115" s="232">
        <f>IF('쪽쟘(실측)'!G115&gt;0,'쪽쟘(실측)'!G115+1.5,0)</f>
        <v>35.5</v>
      </c>
      <c r="M115" s="232">
        <f>IF('쪽쟘(실측)'!H115&gt;0,'쪽쟘(실측)'!H115+1.5,0)</f>
        <v>32.5</v>
      </c>
      <c r="N115" s="232">
        <f>IF('쪽쟘(실측)'!I115&gt;0,'쪽쟘(실측)'!I115+1.5,0)</f>
        <v>32.5</v>
      </c>
      <c r="O115" s="232" t="e">
        <f>'쪽쟘(실측)'!J115-기둥차감</f>
        <v>#NAME?</v>
      </c>
      <c r="P115" s="232" t="e">
        <f>'쪽쟘(실측)'!K115-기둥차감</f>
        <v>#NAME?</v>
      </c>
      <c r="Q115" s="232" t="e">
        <f>'쪽쟘(실측)'!L115-기둥차감</f>
        <v>#NAME?</v>
      </c>
      <c r="R115" s="232" t="e">
        <f>'쪽쟘(실측)'!M115-기둥차감</f>
        <v>#NAME?</v>
      </c>
      <c r="S115" s="232">
        <f>'쪽쟘(실측)'!N115+1.2</f>
        <v>33.200000000000003</v>
      </c>
      <c r="T115" s="232">
        <f>'쪽쟘(실측)'!O115+1.2</f>
        <v>33.200000000000003</v>
      </c>
      <c r="U115" s="232">
        <f>'쪽쟘(실측)'!P115</f>
        <v>25</v>
      </c>
      <c r="V115" s="232">
        <f>'쪽쟘(실측)'!Q115</f>
        <v>25</v>
      </c>
      <c r="W115" s="232" t="e">
        <f>'쪽쟘(실측)'!R115-늘치차감</f>
        <v>#NAME?</v>
      </c>
      <c r="X115" s="232" t="e">
        <f>'쪽쟘(실측)'!S115-늘치차감</f>
        <v>#NAME?</v>
      </c>
      <c r="Z115" s="228">
        <v>962</v>
      </c>
      <c r="AA115" s="228">
        <v>123.4</v>
      </c>
      <c r="AB115" s="228">
        <v>125.4</v>
      </c>
      <c r="AC115" s="228">
        <v>2095</v>
      </c>
      <c r="AD115" s="228">
        <v>122.4</v>
      </c>
      <c r="AE115" s="228">
        <v>2095</v>
      </c>
    </row>
    <row r="116" spans="1:31" s="228" customFormat="1" ht="18.75" customHeight="1" x14ac:dyDescent="0.3">
      <c r="A116" s="232" t="str">
        <f>'쪽쟘(실측)'!A116</f>
        <v>12-2</v>
      </c>
      <c r="B116" s="232" t="str">
        <f>'쪽쟘(실측)'!B116&amp;"F"</f>
        <v>10F</v>
      </c>
      <c r="C116" s="232" t="str">
        <f t="shared" si="3"/>
        <v>963*124.4</v>
      </c>
      <c r="D116" s="232" t="e">
        <f>'쪽쟘(실측)'!C116-OP차감</f>
        <v>#NAME?</v>
      </c>
      <c r="E116" s="232" t="e">
        <f>'쪽쟘(실측)'!D116+쪽쟘J늘림+MAX(W116:X116)</f>
        <v>#VALUE!</v>
      </c>
      <c r="F116" s="233" t="e">
        <f>'쪽쟘(실측)'!E116+쪽쟘J늘림+MAX(W116:X116)</f>
        <v>#VALUE!</v>
      </c>
      <c r="G116" s="234" t="str">
        <f t="shared" si="5"/>
        <v>2095*125.4</v>
      </c>
      <c r="H116" s="235" t="str">
        <f t="shared" si="4"/>
        <v>2095*125.4</v>
      </c>
      <c r="I116" s="107">
        <f>IF('쪽쟘(실측)'!F116&gt;0,'쪽쟘(실측)'!F116+0.5,0)</f>
        <v>34.5</v>
      </c>
      <c r="J116" s="232">
        <f>IF('쪽쟘(실측)'!H116&gt;0,'쪽쟘(실측)'!H116+0.5,0)</f>
        <v>34.5</v>
      </c>
      <c r="K116" s="232">
        <f>IF('쪽쟘(실측)'!F116&gt;0,'쪽쟘(실측)'!F116+1.5,0)</f>
        <v>35.5</v>
      </c>
      <c r="L116" s="232">
        <f>IF('쪽쟘(실측)'!G116&gt;0,'쪽쟘(실측)'!G116+1.5,0)</f>
        <v>35.5</v>
      </c>
      <c r="M116" s="232">
        <f>IF('쪽쟘(실측)'!H116&gt;0,'쪽쟘(실측)'!H116+1.5,0)</f>
        <v>35.5</v>
      </c>
      <c r="N116" s="232">
        <f>IF('쪽쟘(실측)'!I116&gt;0,'쪽쟘(실측)'!I116+1.5,0)</f>
        <v>35.5</v>
      </c>
      <c r="O116" s="232" t="e">
        <f>'쪽쟘(실측)'!J116-기둥차감</f>
        <v>#NAME?</v>
      </c>
      <c r="P116" s="232" t="e">
        <f>'쪽쟘(실측)'!K116-기둥차감</f>
        <v>#NAME?</v>
      </c>
      <c r="Q116" s="232" t="e">
        <f>'쪽쟘(실측)'!L116-기둥차감</f>
        <v>#NAME?</v>
      </c>
      <c r="R116" s="232" t="e">
        <f>'쪽쟘(실측)'!M116-기둥차감</f>
        <v>#NAME?</v>
      </c>
      <c r="S116" s="232">
        <f>'쪽쟘(실측)'!N116+1.2</f>
        <v>34.200000000000003</v>
      </c>
      <c r="T116" s="232">
        <f>'쪽쟘(실측)'!O116+1.2</f>
        <v>34.200000000000003</v>
      </c>
      <c r="U116" s="232">
        <f>'쪽쟘(실측)'!P116</f>
        <v>25</v>
      </c>
      <c r="V116" s="232">
        <f>'쪽쟘(실측)'!Q116</f>
        <v>25</v>
      </c>
      <c r="W116" s="232" t="e">
        <f>'쪽쟘(실측)'!R116-늘치차감</f>
        <v>#NAME?</v>
      </c>
      <c r="X116" s="232" t="e">
        <f>'쪽쟘(실측)'!S116-늘치차감</f>
        <v>#NAME?</v>
      </c>
      <c r="Z116" s="228">
        <v>963</v>
      </c>
      <c r="AA116" s="228">
        <v>124.4</v>
      </c>
      <c r="AB116" s="228">
        <v>125.4</v>
      </c>
      <c r="AC116" s="228">
        <v>2095</v>
      </c>
      <c r="AD116" s="228">
        <v>125.4</v>
      </c>
      <c r="AE116" s="228">
        <v>2095</v>
      </c>
    </row>
    <row r="117" spans="1:31" s="228" customFormat="1" ht="18.75" customHeight="1" x14ac:dyDescent="0.3">
      <c r="A117" s="232" t="str">
        <f>'쪽쟘(실측)'!A117</f>
        <v>12-2</v>
      </c>
      <c r="B117" s="232" t="str">
        <f>'쪽쟘(실측)'!B117&amp;"F"</f>
        <v>9F</v>
      </c>
      <c r="C117" s="232" t="str">
        <f t="shared" si="3"/>
        <v>961*127.4</v>
      </c>
      <c r="D117" s="232" t="e">
        <f>'쪽쟘(실측)'!C117-OP차감</f>
        <v>#NAME?</v>
      </c>
      <c r="E117" s="232" t="e">
        <f>'쪽쟘(실측)'!D117+쪽쟘J늘림+MAX(W117:X117)</f>
        <v>#VALUE!</v>
      </c>
      <c r="F117" s="233" t="e">
        <f>'쪽쟘(실측)'!E117+쪽쟘J늘림+MAX(W117:X117)</f>
        <v>#VALUE!</v>
      </c>
      <c r="G117" s="234" t="str">
        <f t="shared" si="5"/>
        <v>2095*125.4</v>
      </c>
      <c r="H117" s="235" t="str">
        <f t="shared" si="4"/>
        <v>2095*123.4</v>
      </c>
      <c r="I117" s="107">
        <f>IF('쪽쟘(실측)'!F117&gt;0,'쪽쟘(실측)'!F117+0.5,0)</f>
        <v>34.5</v>
      </c>
      <c r="J117" s="232">
        <f>IF('쪽쟘(실측)'!H117&gt;0,'쪽쟘(실측)'!H117+0.5,0)</f>
        <v>32.5</v>
      </c>
      <c r="K117" s="232">
        <f>IF('쪽쟘(실측)'!F117&gt;0,'쪽쟘(실측)'!F117+1.5,0)</f>
        <v>35.5</v>
      </c>
      <c r="L117" s="232">
        <f>IF('쪽쟘(실측)'!G117&gt;0,'쪽쟘(실측)'!G117+1.5,0)</f>
        <v>35.5</v>
      </c>
      <c r="M117" s="232">
        <f>IF('쪽쟘(실측)'!H117&gt;0,'쪽쟘(실측)'!H117+1.5,0)</f>
        <v>33.5</v>
      </c>
      <c r="N117" s="232">
        <f>IF('쪽쟘(실측)'!I117&gt;0,'쪽쟘(실측)'!I117+1.5,0)</f>
        <v>33.5</v>
      </c>
      <c r="O117" s="232" t="e">
        <f>'쪽쟘(실측)'!J117-기둥차감</f>
        <v>#NAME?</v>
      </c>
      <c r="P117" s="232" t="e">
        <f>'쪽쟘(실측)'!K117-기둥차감</f>
        <v>#NAME?</v>
      </c>
      <c r="Q117" s="232" t="e">
        <f>'쪽쟘(실측)'!L117-기둥차감</f>
        <v>#NAME?</v>
      </c>
      <c r="R117" s="232" t="e">
        <f>'쪽쟘(실측)'!M117-기둥차감</f>
        <v>#NAME?</v>
      </c>
      <c r="S117" s="232">
        <f>'쪽쟘(실측)'!N117+1.2</f>
        <v>32.200000000000003</v>
      </c>
      <c r="T117" s="232">
        <f>'쪽쟘(실측)'!O117+1.2</f>
        <v>37.200000000000003</v>
      </c>
      <c r="U117" s="232">
        <f>'쪽쟘(실측)'!P117</f>
        <v>25</v>
      </c>
      <c r="V117" s="232">
        <f>'쪽쟘(실측)'!Q117</f>
        <v>25</v>
      </c>
      <c r="W117" s="232" t="e">
        <f>'쪽쟘(실측)'!R117-늘치차감</f>
        <v>#NAME?</v>
      </c>
      <c r="X117" s="232" t="e">
        <f>'쪽쟘(실측)'!S117-늘치차감</f>
        <v>#NAME?</v>
      </c>
      <c r="Z117" s="228">
        <v>961</v>
      </c>
      <c r="AA117" s="228">
        <v>127.4</v>
      </c>
      <c r="AB117" s="228">
        <v>125.4</v>
      </c>
      <c r="AC117" s="228">
        <v>2095</v>
      </c>
      <c r="AD117" s="228">
        <v>123.4</v>
      </c>
      <c r="AE117" s="228">
        <v>2095</v>
      </c>
    </row>
    <row r="118" spans="1:31" s="228" customFormat="1" ht="18.75" customHeight="1" x14ac:dyDescent="0.3">
      <c r="A118" s="232" t="str">
        <f>'쪽쟘(실측)'!A118</f>
        <v>12-2</v>
      </c>
      <c r="B118" s="232" t="str">
        <f>'쪽쟘(실측)'!B118&amp;"F"</f>
        <v>8F</v>
      </c>
      <c r="C118" s="232" t="str">
        <f t="shared" si="3"/>
        <v>960*124.4</v>
      </c>
      <c r="D118" s="232" t="e">
        <f>'쪽쟘(실측)'!C118-OP차감</f>
        <v>#NAME?</v>
      </c>
      <c r="E118" s="232" t="e">
        <f>'쪽쟘(실측)'!D118+쪽쟘J늘림+MAX(W118:X118)</f>
        <v>#VALUE!</v>
      </c>
      <c r="F118" s="233" t="e">
        <f>'쪽쟘(실측)'!E118+쪽쟘J늘림+MAX(W118:X118)</f>
        <v>#VALUE!</v>
      </c>
      <c r="G118" s="234" t="str">
        <f t="shared" si="5"/>
        <v>2095*123.4</v>
      </c>
      <c r="H118" s="235" t="str">
        <f t="shared" si="4"/>
        <v>2095*122.4</v>
      </c>
      <c r="I118" s="107">
        <f>IF('쪽쟘(실측)'!F118&gt;0,'쪽쟘(실측)'!F118+0.5,0)</f>
        <v>32.5</v>
      </c>
      <c r="J118" s="232">
        <f>IF('쪽쟘(실측)'!H118&gt;0,'쪽쟘(실측)'!H118+0.5,0)</f>
        <v>31.5</v>
      </c>
      <c r="K118" s="232">
        <f>IF('쪽쟘(실측)'!F118&gt;0,'쪽쟘(실측)'!F118+1.5,0)</f>
        <v>33.5</v>
      </c>
      <c r="L118" s="232">
        <f>IF('쪽쟘(실측)'!G118&gt;0,'쪽쟘(실측)'!G118+1.5,0)</f>
        <v>33.5</v>
      </c>
      <c r="M118" s="232">
        <f>IF('쪽쟘(실측)'!H118&gt;0,'쪽쟘(실측)'!H118+1.5,0)</f>
        <v>32.5</v>
      </c>
      <c r="N118" s="232">
        <f>IF('쪽쟘(실측)'!I118&gt;0,'쪽쟘(실측)'!I118+1.5,0)</f>
        <v>32.5</v>
      </c>
      <c r="O118" s="232" t="e">
        <f>'쪽쟘(실측)'!J118-기둥차감</f>
        <v>#NAME?</v>
      </c>
      <c r="P118" s="232" t="e">
        <f>'쪽쟘(실측)'!K118-기둥차감</f>
        <v>#NAME?</v>
      </c>
      <c r="Q118" s="232" t="e">
        <f>'쪽쟘(실측)'!L118-기둥차감</f>
        <v>#NAME?</v>
      </c>
      <c r="R118" s="232" t="e">
        <f>'쪽쟘(실측)'!M118-기둥차감</f>
        <v>#NAME?</v>
      </c>
      <c r="S118" s="232">
        <f>'쪽쟘(실측)'!N118+1.2</f>
        <v>34.200000000000003</v>
      </c>
      <c r="T118" s="232">
        <f>'쪽쟘(실측)'!O118+1.2</f>
        <v>34.200000000000003</v>
      </c>
      <c r="U118" s="232">
        <f>'쪽쟘(실측)'!P118</f>
        <v>25</v>
      </c>
      <c r="V118" s="232">
        <f>'쪽쟘(실측)'!Q118</f>
        <v>25</v>
      </c>
      <c r="W118" s="232" t="e">
        <f>'쪽쟘(실측)'!R118-늘치차감</f>
        <v>#NAME?</v>
      </c>
      <c r="X118" s="232" t="e">
        <f>'쪽쟘(실측)'!S118-늘치차감</f>
        <v>#NAME?</v>
      </c>
      <c r="Z118" s="228">
        <v>960</v>
      </c>
      <c r="AA118" s="228">
        <v>124.4</v>
      </c>
      <c r="AB118" s="228">
        <v>123.4</v>
      </c>
      <c r="AC118" s="228">
        <v>2095</v>
      </c>
      <c r="AD118" s="228">
        <v>122.4</v>
      </c>
      <c r="AE118" s="228">
        <v>2095</v>
      </c>
    </row>
    <row r="119" spans="1:31" s="228" customFormat="1" ht="18.75" customHeight="1" x14ac:dyDescent="0.3">
      <c r="A119" s="232" t="str">
        <f>'쪽쟘(실측)'!A119</f>
        <v>12-2</v>
      </c>
      <c r="B119" s="232" t="str">
        <f>'쪽쟘(실측)'!B119&amp;"F"</f>
        <v>7F</v>
      </c>
      <c r="C119" s="232" t="str">
        <f t="shared" si="3"/>
        <v>957*121.4</v>
      </c>
      <c r="D119" s="232" t="e">
        <f>'쪽쟘(실측)'!C119-OP차감</f>
        <v>#NAME?</v>
      </c>
      <c r="E119" s="232" t="e">
        <f>'쪽쟘(실측)'!D119+쪽쟘J늘림+MAX(W119:X119)</f>
        <v>#VALUE!</v>
      </c>
      <c r="F119" s="233" t="e">
        <f>'쪽쟘(실측)'!E119+쪽쟘J늘림+MAX(W119:X119)</f>
        <v>#VALUE!</v>
      </c>
      <c r="G119" s="234" t="str">
        <f t="shared" si="5"/>
        <v>2095*122.4</v>
      </c>
      <c r="H119" s="235" t="str">
        <f t="shared" si="4"/>
        <v>2095*121.4</v>
      </c>
      <c r="I119" s="107">
        <f>IF('쪽쟘(실측)'!F119&gt;0,'쪽쟘(실측)'!F119+0.5,0)</f>
        <v>31.5</v>
      </c>
      <c r="J119" s="232">
        <f>IF('쪽쟘(실측)'!H119&gt;0,'쪽쟘(실측)'!H119+0.5,0)</f>
        <v>30.5</v>
      </c>
      <c r="K119" s="232">
        <f>IF('쪽쟘(실측)'!F119&gt;0,'쪽쟘(실측)'!F119+1.5,0)</f>
        <v>32.5</v>
      </c>
      <c r="L119" s="232">
        <f>IF('쪽쟘(실측)'!G119&gt;0,'쪽쟘(실측)'!G119+1.5,0)</f>
        <v>32.5</v>
      </c>
      <c r="M119" s="232">
        <f>IF('쪽쟘(실측)'!H119&gt;0,'쪽쟘(실측)'!H119+1.5,0)</f>
        <v>31.5</v>
      </c>
      <c r="N119" s="232">
        <f>IF('쪽쟘(실측)'!I119&gt;0,'쪽쟘(실측)'!I119+1.5,0)</f>
        <v>31.5</v>
      </c>
      <c r="O119" s="232" t="e">
        <f>'쪽쟘(실측)'!J119-기둥차감</f>
        <v>#NAME?</v>
      </c>
      <c r="P119" s="232" t="e">
        <f>'쪽쟘(실측)'!K119-기둥차감</f>
        <v>#NAME?</v>
      </c>
      <c r="Q119" s="232" t="e">
        <f>'쪽쟘(실측)'!L119-기둥차감</f>
        <v>#NAME?</v>
      </c>
      <c r="R119" s="232" t="e">
        <f>'쪽쟘(실측)'!M119-기둥차감</f>
        <v>#NAME?</v>
      </c>
      <c r="S119" s="232">
        <f>'쪽쟘(실측)'!N119+1.2</f>
        <v>31.2</v>
      </c>
      <c r="T119" s="232">
        <f>'쪽쟘(실측)'!O119+1.2</f>
        <v>31.2</v>
      </c>
      <c r="U119" s="232">
        <f>'쪽쟘(실측)'!P119</f>
        <v>25</v>
      </c>
      <c r="V119" s="232">
        <f>'쪽쟘(실측)'!Q119</f>
        <v>25</v>
      </c>
      <c r="W119" s="232" t="e">
        <f>'쪽쟘(실측)'!R119-늘치차감</f>
        <v>#NAME?</v>
      </c>
      <c r="X119" s="232" t="e">
        <f>'쪽쟘(실측)'!S119-늘치차감</f>
        <v>#NAME?</v>
      </c>
      <c r="Z119" s="228">
        <v>957</v>
      </c>
      <c r="AA119" s="228">
        <v>121.4</v>
      </c>
      <c r="AB119" s="228">
        <v>122.4</v>
      </c>
      <c r="AC119" s="228">
        <v>2095</v>
      </c>
      <c r="AD119" s="228">
        <v>121.4</v>
      </c>
      <c r="AE119" s="228">
        <v>2095</v>
      </c>
    </row>
    <row r="120" spans="1:31" s="228" customFormat="1" ht="18.75" customHeight="1" x14ac:dyDescent="0.3">
      <c r="A120" s="232" t="str">
        <f>'쪽쟘(실측)'!A120</f>
        <v>12-2</v>
      </c>
      <c r="B120" s="232" t="str">
        <f>'쪽쟘(실측)'!B120&amp;"F"</f>
        <v>6F</v>
      </c>
      <c r="C120" s="232" t="str">
        <f t="shared" si="3"/>
        <v>956*127.4</v>
      </c>
      <c r="D120" s="232" t="e">
        <f>'쪽쟘(실측)'!C120-OP차감</f>
        <v>#NAME?</v>
      </c>
      <c r="E120" s="232" t="e">
        <f>'쪽쟘(실측)'!D120+쪽쟘J늘림+MAX(W120:X120)</f>
        <v>#VALUE!</v>
      </c>
      <c r="F120" s="233" t="e">
        <f>'쪽쟘(실측)'!E120+쪽쟘J늘림+MAX(W120:X120)</f>
        <v>#VALUE!</v>
      </c>
      <c r="G120" s="234" t="str">
        <f t="shared" si="5"/>
        <v>2095*120.4</v>
      </c>
      <c r="H120" s="235" t="str">
        <f t="shared" si="4"/>
        <v>2095*122.4</v>
      </c>
      <c r="I120" s="107">
        <f>IF('쪽쟘(실측)'!F120&gt;0,'쪽쟘(실측)'!F120+0.5,0)</f>
        <v>29.5</v>
      </c>
      <c r="J120" s="232">
        <f>IF('쪽쟘(실측)'!H120&gt;0,'쪽쟘(실측)'!H120+0.5,0)</f>
        <v>31.5</v>
      </c>
      <c r="K120" s="232">
        <f>IF('쪽쟘(실측)'!F120&gt;0,'쪽쟘(실측)'!F120+1.5,0)</f>
        <v>30.5</v>
      </c>
      <c r="L120" s="232">
        <f>IF('쪽쟘(실측)'!G120&gt;0,'쪽쟘(실측)'!G120+1.5,0)</f>
        <v>30.5</v>
      </c>
      <c r="M120" s="232">
        <f>IF('쪽쟘(실측)'!H120&gt;0,'쪽쟘(실측)'!H120+1.5,0)</f>
        <v>32.5</v>
      </c>
      <c r="N120" s="232">
        <f>IF('쪽쟘(실측)'!I120&gt;0,'쪽쟘(실측)'!I120+1.5,0)</f>
        <v>32.5</v>
      </c>
      <c r="O120" s="232" t="e">
        <f>'쪽쟘(실측)'!J120-기둥차감</f>
        <v>#NAME?</v>
      </c>
      <c r="P120" s="232" t="e">
        <f>'쪽쟘(실측)'!K120-기둥차감</f>
        <v>#NAME?</v>
      </c>
      <c r="Q120" s="232" t="e">
        <f>'쪽쟘(실측)'!L120-기둥차감</f>
        <v>#NAME?</v>
      </c>
      <c r="R120" s="232" t="e">
        <f>'쪽쟘(실측)'!M120-기둥차감</f>
        <v>#NAME?</v>
      </c>
      <c r="S120" s="232">
        <f>'쪽쟘(실측)'!N120+1.2</f>
        <v>37.200000000000003</v>
      </c>
      <c r="T120" s="232">
        <f>'쪽쟘(실측)'!O120+1.2</f>
        <v>37.200000000000003</v>
      </c>
      <c r="U120" s="232">
        <f>'쪽쟘(실측)'!P120</f>
        <v>25</v>
      </c>
      <c r="V120" s="232">
        <f>'쪽쟘(실측)'!Q120</f>
        <v>25</v>
      </c>
      <c r="W120" s="232" t="e">
        <f>'쪽쟘(실측)'!R120-늘치차감</f>
        <v>#NAME?</v>
      </c>
      <c r="X120" s="232" t="e">
        <f>'쪽쟘(실측)'!S120-늘치차감</f>
        <v>#NAME?</v>
      </c>
      <c r="Z120" s="228">
        <v>956</v>
      </c>
      <c r="AA120" s="228">
        <v>127.4</v>
      </c>
      <c r="AB120" s="228">
        <v>120.4</v>
      </c>
      <c r="AC120" s="228">
        <v>2095</v>
      </c>
      <c r="AD120" s="228">
        <v>122.4</v>
      </c>
      <c r="AE120" s="228">
        <v>2095</v>
      </c>
    </row>
    <row r="121" spans="1:31" s="228" customFormat="1" ht="18.75" customHeight="1" x14ac:dyDescent="0.3">
      <c r="A121" s="232" t="str">
        <f>'쪽쟘(실측)'!A121</f>
        <v>12-2</v>
      </c>
      <c r="B121" s="232" t="str">
        <f>'쪽쟘(실측)'!B121&amp;"F"</f>
        <v>5F</v>
      </c>
      <c r="C121" s="232" t="str">
        <f t="shared" si="3"/>
        <v>960*121.4</v>
      </c>
      <c r="D121" s="232" t="e">
        <f>'쪽쟘(실측)'!C121-OP차감</f>
        <v>#NAME?</v>
      </c>
      <c r="E121" s="232" t="e">
        <f>'쪽쟘(실측)'!D121+쪽쟘J늘림+MAX(W121:X121)</f>
        <v>#VALUE!</v>
      </c>
      <c r="F121" s="233" t="e">
        <f>'쪽쟘(실측)'!E121+쪽쟘J늘림+MAX(W121:X121)</f>
        <v>#VALUE!</v>
      </c>
      <c r="G121" s="234" t="str">
        <f t="shared" si="5"/>
        <v>2095*122.4</v>
      </c>
      <c r="H121" s="235"/>
      <c r="I121" s="107">
        <f>IF('쪽쟘(실측)'!F121&gt;0,'쪽쟘(실측)'!F121+0.5,0)</f>
        <v>31.5</v>
      </c>
      <c r="J121" s="232">
        <f>IF('쪽쟘(실측)'!H121&gt;0,'쪽쟘(실측)'!H121+0.5,0)</f>
        <v>33.5</v>
      </c>
      <c r="K121" s="232">
        <f>IF('쪽쟘(실측)'!F121&gt;0,'쪽쟘(실측)'!F121+1.5,0)</f>
        <v>32.5</v>
      </c>
      <c r="L121" s="232">
        <f>IF('쪽쟘(실측)'!G121&gt;0,'쪽쟘(실측)'!G121+1.5,0)</f>
        <v>32.5</v>
      </c>
      <c r="M121" s="232">
        <f>IF('쪽쟘(실측)'!H121&gt;0,'쪽쟘(실측)'!H121+1.5,0)</f>
        <v>34.5</v>
      </c>
      <c r="N121" s="232">
        <f>IF('쪽쟘(실측)'!I121&gt;0,'쪽쟘(실측)'!I121+1.5,0)</f>
        <v>30.5</v>
      </c>
      <c r="O121" s="232" t="e">
        <f>'쪽쟘(실측)'!J121-기둥차감</f>
        <v>#NAME?</v>
      </c>
      <c r="P121" s="232" t="e">
        <f>'쪽쟘(실측)'!K121-기둥차감</f>
        <v>#NAME?</v>
      </c>
      <c r="Q121" s="232" t="e">
        <f>'쪽쟘(실측)'!L121-기둥차감</f>
        <v>#NAME?</v>
      </c>
      <c r="R121" s="232" t="e">
        <f>'쪽쟘(실측)'!M121-기둥차감</f>
        <v>#NAME?</v>
      </c>
      <c r="S121" s="232">
        <f>'쪽쟘(실측)'!N121+1.2</f>
        <v>31.2</v>
      </c>
      <c r="T121" s="232">
        <f>'쪽쟘(실측)'!O121+1.2</f>
        <v>31.2</v>
      </c>
      <c r="U121" s="232">
        <f>'쪽쟘(실측)'!P121</f>
        <v>25</v>
      </c>
      <c r="V121" s="232">
        <f>'쪽쟘(실측)'!Q121</f>
        <v>25</v>
      </c>
      <c r="W121" s="232" t="e">
        <f>'쪽쟘(실측)'!R121-늘치차감</f>
        <v>#NAME?</v>
      </c>
      <c r="X121" s="232" t="e">
        <f>'쪽쟘(실측)'!S121-늘치차감</f>
        <v>#NAME?</v>
      </c>
      <c r="Z121" s="228">
        <v>960</v>
      </c>
      <c r="AA121" s="228">
        <v>121.4</v>
      </c>
      <c r="AB121" s="228">
        <v>122.4</v>
      </c>
      <c r="AC121" s="228">
        <v>2095</v>
      </c>
      <c r="AD121" s="228">
        <v>124.4</v>
      </c>
      <c r="AE121" s="228">
        <v>2095</v>
      </c>
    </row>
    <row r="122" spans="1:31" s="228" customFormat="1" ht="18.75" customHeight="1" x14ac:dyDescent="0.3">
      <c r="A122" s="232" t="str">
        <f>'쪽쟘(실측)'!A122</f>
        <v>12-2</v>
      </c>
      <c r="B122" s="232" t="str">
        <f>'쪽쟘(실측)'!B122&amp;"F"</f>
        <v>4F</v>
      </c>
      <c r="C122" s="232" t="str">
        <f t="shared" si="3"/>
        <v>959*122.4</v>
      </c>
      <c r="D122" s="232" t="e">
        <f>'쪽쟘(실측)'!C122-OP차감</f>
        <v>#NAME?</v>
      </c>
      <c r="E122" s="232" t="e">
        <f>'쪽쟘(실측)'!D122+쪽쟘J늘림+MAX(W122:X122)</f>
        <v>#VALUE!</v>
      </c>
      <c r="F122" s="233" t="e">
        <f>'쪽쟘(실측)'!E122+쪽쟘J늘림+MAX(W122:X122)</f>
        <v>#VALUE!</v>
      </c>
      <c r="G122" s="234" t="str">
        <f t="shared" si="5"/>
        <v>2095*122.4</v>
      </c>
      <c r="H122" s="235" t="str">
        <f t="shared" si="4"/>
        <v>2095*123.4</v>
      </c>
      <c r="I122" s="107">
        <f>IF('쪽쟘(실측)'!F122&gt;0,'쪽쟘(실측)'!F122+0.5,0)</f>
        <v>31.5</v>
      </c>
      <c r="J122" s="232">
        <f>IF('쪽쟘(실측)'!H122&gt;0,'쪽쟘(실측)'!H122+0.5,0)</f>
        <v>32.5</v>
      </c>
      <c r="K122" s="232">
        <f>IF('쪽쟘(실측)'!F122&gt;0,'쪽쟘(실측)'!F122+1.5,0)</f>
        <v>32.5</v>
      </c>
      <c r="L122" s="232">
        <f>IF('쪽쟘(실측)'!G122&gt;0,'쪽쟘(실측)'!G122+1.5,0)</f>
        <v>32.5</v>
      </c>
      <c r="M122" s="232">
        <f>IF('쪽쟘(실측)'!H122&gt;0,'쪽쟘(실측)'!H122+1.5,0)</f>
        <v>33.5</v>
      </c>
      <c r="N122" s="232">
        <f>IF('쪽쟘(실측)'!I122&gt;0,'쪽쟘(실측)'!I122+1.5,0)</f>
        <v>33.5</v>
      </c>
      <c r="O122" s="232" t="e">
        <f>'쪽쟘(실측)'!J122-기둥차감</f>
        <v>#NAME?</v>
      </c>
      <c r="P122" s="232" t="e">
        <f>'쪽쟘(실측)'!K122-기둥차감</f>
        <v>#NAME?</v>
      </c>
      <c r="Q122" s="232" t="e">
        <f>'쪽쟘(실측)'!L122-기둥차감</f>
        <v>#NAME?</v>
      </c>
      <c r="R122" s="232" t="e">
        <f>'쪽쟘(실측)'!M122-기둥차감</f>
        <v>#NAME?</v>
      </c>
      <c r="S122" s="232">
        <f>'쪽쟘(실측)'!N122+1.2</f>
        <v>32.200000000000003</v>
      </c>
      <c r="T122" s="232">
        <f>'쪽쟘(실측)'!O122+1.2</f>
        <v>32.200000000000003</v>
      </c>
      <c r="U122" s="232">
        <f>'쪽쟘(실측)'!P122</f>
        <v>25</v>
      </c>
      <c r="V122" s="232">
        <f>'쪽쟘(실측)'!Q122</f>
        <v>25</v>
      </c>
      <c r="W122" s="232" t="e">
        <f>'쪽쟘(실측)'!R122-늘치차감</f>
        <v>#NAME?</v>
      </c>
      <c r="X122" s="232" t="e">
        <f>'쪽쟘(실측)'!S122-늘치차감</f>
        <v>#NAME?</v>
      </c>
      <c r="Z122" s="228">
        <v>959</v>
      </c>
      <c r="AA122" s="228">
        <v>122.4</v>
      </c>
      <c r="AB122" s="228">
        <v>122.4</v>
      </c>
      <c r="AC122" s="228">
        <v>2095</v>
      </c>
      <c r="AD122" s="228">
        <v>123.4</v>
      </c>
      <c r="AE122" s="228">
        <v>2095</v>
      </c>
    </row>
    <row r="123" spans="1:31" s="228" customFormat="1" ht="18.75" customHeight="1" x14ac:dyDescent="0.3">
      <c r="A123" s="232" t="str">
        <f>'쪽쟘(실측)'!A123</f>
        <v>12-2</v>
      </c>
      <c r="B123" s="232" t="str">
        <f>'쪽쟘(실측)'!B123&amp;"F"</f>
        <v>3F</v>
      </c>
      <c r="C123" s="232" t="str">
        <f t="shared" si="3"/>
        <v>959*123.4</v>
      </c>
      <c r="D123" s="232" t="e">
        <f>'쪽쟘(실측)'!C123-OP차감</f>
        <v>#NAME?</v>
      </c>
      <c r="E123" s="232" t="e">
        <f>'쪽쟘(실측)'!D123+쪽쟘J늘림+MAX(W123:X123)</f>
        <v>#VALUE!</v>
      </c>
      <c r="F123" s="233" t="e">
        <f>'쪽쟘(실측)'!E123+쪽쟘J늘림+MAX(W123:X123)</f>
        <v>#VALUE!</v>
      </c>
      <c r="G123" s="234" t="str">
        <f t="shared" si="5"/>
        <v>2095*122.4</v>
      </c>
      <c r="H123" s="235" t="str">
        <f t="shared" si="4"/>
        <v>2095*124.4</v>
      </c>
      <c r="I123" s="107">
        <f>IF('쪽쟘(실측)'!F123&gt;0,'쪽쟘(실측)'!F123+0.5,0)</f>
        <v>31.5</v>
      </c>
      <c r="J123" s="232">
        <f>IF('쪽쟘(실측)'!H123&gt;0,'쪽쟘(실측)'!H123+0.5,0)</f>
        <v>33.5</v>
      </c>
      <c r="K123" s="232">
        <f>IF('쪽쟘(실측)'!F123&gt;0,'쪽쟘(실측)'!F123+1.5,0)</f>
        <v>32.5</v>
      </c>
      <c r="L123" s="232">
        <f>IF('쪽쟘(실측)'!G123&gt;0,'쪽쟘(실측)'!G123+1.5,0)</f>
        <v>32.5</v>
      </c>
      <c r="M123" s="232">
        <f>IF('쪽쟘(실측)'!H123&gt;0,'쪽쟘(실측)'!H123+1.5,0)</f>
        <v>34.5</v>
      </c>
      <c r="N123" s="232">
        <f>IF('쪽쟘(실측)'!I123&gt;0,'쪽쟘(실측)'!I123+1.5,0)</f>
        <v>34.5</v>
      </c>
      <c r="O123" s="232" t="e">
        <f>'쪽쟘(실측)'!J123-기둥차감</f>
        <v>#NAME?</v>
      </c>
      <c r="P123" s="232" t="e">
        <f>'쪽쟘(실측)'!K123-기둥차감</f>
        <v>#NAME?</v>
      </c>
      <c r="Q123" s="232" t="e">
        <f>'쪽쟘(실측)'!L123-기둥차감</f>
        <v>#NAME?</v>
      </c>
      <c r="R123" s="232" t="e">
        <f>'쪽쟘(실측)'!M123-기둥차감</f>
        <v>#NAME?</v>
      </c>
      <c r="S123" s="232">
        <f>'쪽쟘(실측)'!N123+1.2</f>
        <v>33.200000000000003</v>
      </c>
      <c r="T123" s="232">
        <f>'쪽쟘(실측)'!O123+1.2</f>
        <v>33.200000000000003</v>
      </c>
      <c r="U123" s="232">
        <f>'쪽쟘(실측)'!P123</f>
        <v>25</v>
      </c>
      <c r="V123" s="232">
        <f>'쪽쟘(실측)'!Q123</f>
        <v>25</v>
      </c>
      <c r="W123" s="232" t="e">
        <f>'쪽쟘(실측)'!R123-늘치차감</f>
        <v>#NAME?</v>
      </c>
      <c r="X123" s="232" t="e">
        <f>'쪽쟘(실측)'!S123-늘치차감</f>
        <v>#NAME?</v>
      </c>
      <c r="Z123" s="228">
        <v>959</v>
      </c>
      <c r="AA123" s="228">
        <v>123.4</v>
      </c>
      <c r="AB123" s="228">
        <v>122.4</v>
      </c>
      <c r="AC123" s="228">
        <v>2095</v>
      </c>
      <c r="AD123" s="228">
        <v>124.4</v>
      </c>
      <c r="AE123" s="228">
        <v>2095</v>
      </c>
    </row>
    <row r="124" spans="1:31" s="228" customFormat="1" ht="18.75" customHeight="1" x14ac:dyDescent="0.3">
      <c r="A124" s="232" t="str">
        <f>'쪽쟘(실측)'!A124</f>
        <v>12-2</v>
      </c>
      <c r="B124" s="232" t="str">
        <f>'쪽쟘(실측)'!B124&amp;"F"</f>
        <v>2F</v>
      </c>
      <c r="C124" s="232" t="str">
        <f t="shared" si="3"/>
        <v>959*121.4</v>
      </c>
      <c r="D124" s="232" t="e">
        <f>'쪽쟘(실측)'!C124-OP차감</f>
        <v>#NAME?</v>
      </c>
      <c r="E124" s="232" t="e">
        <f>'쪽쟘(실측)'!D124+쪽쟘J늘림+MAX(W124:X124)</f>
        <v>#VALUE!</v>
      </c>
      <c r="F124" s="233" t="e">
        <f>'쪽쟘(실측)'!E124+쪽쟘J늘림+MAX(W124:X124)</f>
        <v>#VALUE!</v>
      </c>
      <c r="G124" s="234" t="str">
        <f t="shared" si="5"/>
        <v>2095*123.4</v>
      </c>
      <c r="H124" s="235" t="str">
        <f t="shared" si="4"/>
        <v>2095*123.4</v>
      </c>
      <c r="I124" s="107">
        <f>IF('쪽쟘(실측)'!F124&gt;0,'쪽쟘(실측)'!F124+0.5,0)</f>
        <v>32.5</v>
      </c>
      <c r="J124" s="232">
        <f>IF('쪽쟘(실측)'!H124&gt;0,'쪽쟘(실측)'!H124+0.5,0)</f>
        <v>32.5</v>
      </c>
      <c r="K124" s="232">
        <f>IF('쪽쟘(실측)'!F124&gt;0,'쪽쟘(실측)'!F124+1.5,0)</f>
        <v>33.5</v>
      </c>
      <c r="L124" s="232">
        <f>IF('쪽쟘(실측)'!G124&gt;0,'쪽쟘(실측)'!G124+1.5,0)</f>
        <v>33.5</v>
      </c>
      <c r="M124" s="232">
        <f>IF('쪽쟘(실측)'!H124&gt;0,'쪽쟘(실측)'!H124+1.5,0)</f>
        <v>33.5</v>
      </c>
      <c r="N124" s="232">
        <f>IF('쪽쟘(실측)'!I124&gt;0,'쪽쟘(실측)'!I124+1.5,0)</f>
        <v>33.5</v>
      </c>
      <c r="O124" s="232" t="e">
        <f>'쪽쟘(실측)'!J124-기둥차감</f>
        <v>#NAME?</v>
      </c>
      <c r="P124" s="232" t="e">
        <f>'쪽쟘(실측)'!K124-기둥차감</f>
        <v>#NAME?</v>
      </c>
      <c r="Q124" s="232" t="e">
        <f>'쪽쟘(실측)'!L124-기둥차감</f>
        <v>#NAME?</v>
      </c>
      <c r="R124" s="232" t="e">
        <f>'쪽쟘(실측)'!M124-기둥차감</f>
        <v>#NAME?</v>
      </c>
      <c r="S124" s="232">
        <f>'쪽쟘(실측)'!N124+1.2</f>
        <v>31.2</v>
      </c>
      <c r="T124" s="232">
        <f>'쪽쟘(실측)'!O124+1.2</f>
        <v>31.2</v>
      </c>
      <c r="U124" s="232">
        <f>'쪽쟘(실측)'!P124</f>
        <v>25</v>
      </c>
      <c r="V124" s="232">
        <f>'쪽쟘(실측)'!Q124</f>
        <v>25</v>
      </c>
      <c r="W124" s="232" t="e">
        <f>'쪽쟘(실측)'!R124-늘치차감</f>
        <v>#NAME?</v>
      </c>
      <c r="X124" s="232" t="e">
        <f>'쪽쟘(실측)'!S124-늘치차감</f>
        <v>#NAME?</v>
      </c>
      <c r="Z124" s="228">
        <v>959</v>
      </c>
      <c r="AA124" s="228">
        <v>121.4</v>
      </c>
      <c r="AB124" s="228">
        <v>123.4</v>
      </c>
      <c r="AC124" s="228">
        <v>2095</v>
      </c>
      <c r="AD124" s="228">
        <v>123.4</v>
      </c>
      <c r="AE124" s="228">
        <v>2095</v>
      </c>
    </row>
    <row r="125" spans="1:31" s="228" customFormat="1" ht="18.75" customHeight="1" x14ac:dyDescent="0.3">
      <c r="A125" s="232" t="str">
        <f>'쪽쟘(실측)'!A125</f>
        <v>12-2</v>
      </c>
      <c r="B125" s="232" t="str">
        <f>'쪽쟘(실측)'!B125&amp;"F"</f>
        <v>B1F</v>
      </c>
      <c r="C125" s="232" t="str">
        <f t="shared" si="3"/>
        <v>972*126.4</v>
      </c>
      <c r="D125" s="232" t="e">
        <f>'쪽쟘(실측)'!C125-OP차감</f>
        <v>#NAME?</v>
      </c>
      <c r="E125" s="232" t="e">
        <f>'쪽쟘(실측)'!D125+쪽쟘J늘림+MAX(W125:X125)</f>
        <v>#VALUE!</v>
      </c>
      <c r="F125" s="233" t="e">
        <f>'쪽쟘(실측)'!E125+쪽쟘J늘림+MAX(W125:X125)</f>
        <v>#VALUE!</v>
      </c>
      <c r="G125" s="234"/>
      <c r="H125" s="235"/>
      <c r="I125" s="107">
        <f>IF('쪽쟘(실측)'!F125&gt;0,'쪽쟘(실측)'!F125+0.5,0)</f>
        <v>39.5</v>
      </c>
      <c r="J125" s="232">
        <f>IF('쪽쟘(실측)'!H125&gt;0,'쪽쟘(실측)'!H125+0.5,0)</f>
        <v>45.5</v>
      </c>
      <c r="K125" s="232">
        <f>IF('쪽쟘(실측)'!F125&gt;0,'쪽쟘(실측)'!F125+1.5,0)</f>
        <v>40.5</v>
      </c>
      <c r="L125" s="232">
        <f>IF('쪽쟘(실측)'!G125&gt;0,'쪽쟘(실측)'!G125+1.5,0)</f>
        <v>40.5</v>
      </c>
      <c r="M125" s="232">
        <f>IF('쪽쟘(실측)'!H125&gt;0,'쪽쟘(실측)'!H125+1.5,0)</f>
        <v>46.5</v>
      </c>
      <c r="N125" s="232">
        <f>IF('쪽쟘(실측)'!I125&gt;0,'쪽쟘(실측)'!I125+1.5,0)</f>
        <v>46.5</v>
      </c>
      <c r="O125" s="232" t="e">
        <f>'쪽쟘(실측)'!J125-기둥차감</f>
        <v>#NAME?</v>
      </c>
      <c r="P125" s="232" t="e">
        <f>'쪽쟘(실측)'!K125-기둥차감</f>
        <v>#NAME?</v>
      </c>
      <c r="Q125" s="232" t="e">
        <f>'쪽쟘(실측)'!L125-기둥차감</f>
        <v>#NAME?</v>
      </c>
      <c r="R125" s="232" t="e">
        <f>'쪽쟘(실측)'!M125-기둥차감</f>
        <v>#NAME?</v>
      </c>
      <c r="S125" s="232">
        <f>'쪽쟘(실측)'!N125+1.2</f>
        <v>26.2</v>
      </c>
      <c r="T125" s="232">
        <f>'쪽쟘(실측)'!O125+1.2</f>
        <v>26.2</v>
      </c>
      <c r="U125" s="232">
        <f>'쪽쟘(실측)'!P125</f>
        <v>25</v>
      </c>
      <c r="V125" s="232">
        <f>'쪽쟘(실측)'!Q125</f>
        <v>25</v>
      </c>
      <c r="W125" s="232" t="e">
        <f>'쪽쟘(실측)'!R125-늘치차감</f>
        <v>#NAME?</v>
      </c>
      <c r="X125" s="232" t="e">
        <f>'쪽쟘(실측)'!S125-늘치차감</f>
        <v>#NAME?</v>
      </c>
      <c r="Z125" s="228">
        <v>972</v>
      </c>
      <c r="AA125" s="228">
        <v>126.4</v>
      </c>
      <c r="AB125" s="228">
        <v>140.4</v>
      </c>
      <c r="AC125" s="228">
        <v>2094</v>
      </c>
      <c r="AD125" s="228">
        <v>146.4</v>
      </c>
      <c r="AE125" s="22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125 K7:K125">
    <cfRule type="cellIs" dxfId="56" priority="3" operator="notEqual">
      <formula>L7</formula>
    </cfRule>
  </conditionalFormatting>
  <conditionalFormatting sqref="T7:T125 L7:L125">
    <cfRule type="cellIs" dxfId="55" priority="2" operator="notEqual">
      <formula>K7</formula>
    </cfRule>
  </conditionalFormatting>
  <conditionalFormatting sqref="M7:N125">
    <cfRule type="cellIs" dxfId="54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297" t="str">
        <f>"(SO와이드) " &amp;정보!B1 &amp; "  " &amp; 정보!B6 &amp;" 소장"</f>
        <v>(SO와이드) 경기도 의정부 드림밸리아파트-4차  박철우 소장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60"/>
      <c r="AJ1" s="147"/>
      <c r="AK1" s="147"/>
      <c r="AL1" s="147"/>
    </row>
    <row r="2" spans="1:47" ht="15" customHeight="1" x14ac:dyDescent="0.3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153"/>
      <c r="AJ2" s="153"/>
      <c r="AK2" s="153"/>
      <c r="AL2" s="153"/>
    </row>
    <row r="3" spans="1:47" ht="33" customHeight="1" x14ac:dyDescent="0.3">
      <c r="A3" s="9" t="str">
        <f>"현장명 : " &amp; 정보!B1 &amp; ",   (재질) : " &amp; 정보!B7</f>
        <v>현장명 : 경기도 의정부 드림밸리아파트-4차,   (재질) : VIB 1.2T</v>
      </c>
      <c r="B3" s="9"/>
      <c r="C3" s="2"/>
      <c r="D3" s="2"/>
      <c r="E3" s="2"/>
      <c r="F3" s="2"/>
      <c r="G3" s="2"/>
      <c r="H3" s="2"/>
      <c r="I3" s="2"/>
      <c r="J3" s="2"/>
      <c r="K3" s="58"/>
      <c r="L3" s="58"/>
      <c r="M3" s="305" t="s">
        <v>99</v>
      </c>
      <c r="N3" s="305"/>
      <c r="O3" s="57"/>
      <c r="P3" s="57"/>
      <c r="Q3" s="57"/>
      <c r="R3" s="57"/>
      <c r="S3" s="57"/>
      <c r="T3" s="57"/>
      <c r="U3" s="57"/>
      <c r="V3" s="57"/>
      <c r="W3" s="57"/>
      <c r="X3" s="57"/>
      <c r="Y3" s="297"/>
      <c r="Z3" s="297"/>
      <c r="AA3" s="297"/>
      <c r="AB3" s="297"/>
      <c r="AC3" s="297"/>
      <c r="AD3" s="297"/>
      <c r="AE3" s="297"/>
      <c r="AF3" s="297"/>
      <c r="AG3" s="297"/>
      <c r="AH3" s="297"/>
      <c r="AI3" s="57"/>
      <c r="AJ3" s="57"/>
      <c r="AK3" s="57"/>
      <c r="AL3" s="57"/>
    </row>
    <row r="4" spans="1:47" ht="33" customHeight="1" x14ac:dyDescent="0.3">
      <c r="A4" s="439" t="str">
        <f>정보!B10</f>
        <v>제작치수 반영 : MH + (2), JB/JD +(5 ),  늘어난치수K -(4),  C + (8),   U + (8), OP - (2), R - (2),  기둥차감 (4), A + (3)</v>
      </c>
      <c r="B4" s="439"/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292"/>
      <c r="W4" s="292"/>
      <c r="X4" s="292"/>
      <c r="Y4" s="294"/>
      <c r="Z4" s="294"/>
      <c r="AA4" s="294"/>
      <c r="AB4" s="294"/>
      <c r="AC4" s="294"/>
      <c r="AD4" s="294"/>
      <c r="AE4" s="294"/>
      <c r="AF4" s="295"/>
      <c r="AG4" s="304" t="s">
        <v>216</v>
      </c>
      <c r="AH4" s="304"/>
      <c r="AI4" s="122"/>
      <c r="AJ4" s="151"/>
      <c r="AK4" s="151"/>
      <c r="AL4" s="151"/>
    </row>
    <row r="5" spans="1:47" ht="25.9" customHeight="1" x14ac:dyDescent="0.3">
      <c r="A5" s="298" t="s">
        <v>0</v>
      </c>
      <c r="B5" s="298" t="s">
        <v>1</v>
      </c>
      <c r="C5" s="298" t="s">
        <v>2</v>
      </c>
      <c r="D5" s="298" t="s">
        <v>24</v>
      </c>
      <c r="E5" s="298" t="s">
        <v>243</v>
      </c>
      <c r="F5" s="298" t="s">
        <v>246</v>
      </c>
      <c r="G5" s="298" t="s">
        <v>18</v>
      </c>
      <c r="H5" s="298" t="s">
        <v>4</v>
      </c>
      <c r="I5" s="298" t="s">
        <v>5</v>
      </c>
      <c r="J5" s="298" t="s">
        <v>6</v>
      </c>
      <c r="K5" s="298" t="s">
        <v>7</v>
      </c>
      <c r="L5" s="306" t="s">
        <v>8</v>
      </c>
      <c r="M5" s="306" t="s">
        <v>9</v>
      </c>
      <c r="N5" s="298" t="s">
        <v>12</v>
      </c>
      <c r="O5" s="298" t="s">
        <v>13</v>
      </c>
      <c r="P5" s="298" t="s">
        <v>10</v>
      </c>
      <c r="Q5" s="298" t="s">
        <v>11</v>
      </c>
      <c r="R5" s="298" t="s">
        <v>14</v>
      </c>
      <c r="S5" s="298" t="s">
        <v>15</v>
      </c>
      <c r="T5" s="298" t="s">
        <v>16</v>
      </c>
      <c r="U5" s="298" t="s">
        <v>17</v>
      </c>
      <c r="V5" s="298" t="s">
        <v>19</v>
      </c>
      <c r="W5" s="299" t="s">
        <v>48</v>
      </c>
      <c r="X5" s="299" t="s">
        <v>22</v>
      </c>
      <c r="Y5" s="440" t="s">
        <v>244</v>
      </c>
      <c r="Z5" s="441" t="s">
        <v>250</v>
      </c>
      <c r="AA5" s="298" t="s">
        <v>21</v>
      </c>
      <c r="AB5" s="298"/>
      <c r="AC5" s="298"/>
      <c r="AD5" s="298"/>
      <c r="AE5" s="300" t="s">
        <v>92</v>
      </c>
      <c r="AF5" s="300" t="s">
        <v>93</v>
      </c>
      <c r="AG5" s="302" t="s">
        <v>213</v>
      </c>
      <c r="AH5" s="303"/>
      <c r="AI5" s="299" t="s">
        <v>200</v>
      </c>
      <c r="AJ5" s="299" t="s">
        <v>204</v>
      </c>
      <c r="AK5" s="299"/>
      <c r="AL5" s="299"/>
    </row>
    <row r="6" spans="1:47" ht="44.25" customHeight="1" x14ac:dyDescent="0.3">
      <c r="A6" s="298"/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306"/>
      <c r="M6" s="306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9"/>
      <c r="Y6" s="440"/>
      <c r="Z6" s="441"/>
      <c r="AA6" s="145" t="s">
        <v>43</v>
      </c>
      <c r="AB6" s="145" t="s">
        <v>44</v>
      </c>
      <c r="AC6" s="145" t="s">
        <v>45</v>
      </c>
      <c r="AD6" s="145" t="s">
        <v>46</v>
      </c>
      <c r="AE6" s="301"/>
      <c r="AF6" s="301"/>
      <c r="AG6" s="121" t="s">
        <v>214</v>
      </c>
      <c r="AH6" s="121" t="s">
        <v>215</v>
      </c>
      <c r="AI6" s="298"/>
      <c r="AJ6" s="144" t="s">
        <v>201</v>
      </c>
      <c r="AK6" s="144" t="s">
        <v>202</v>
      </c>
      <c r="AL6" s="144" t="s">
        <v>81</v>
      </c>
      <c r="AM6" s="81" t="s">
        <v>116</v>
      </c>
    </row>
    <row r="7" spans="1:47" s="149" customFormat="1" ht="23.25" customHeight="1" x14ac:dyDescent="0.3">
      <c r="A7" s="206"/>
      <c r="B7" s="205"/>
      <c r="C7" s="205"/>
      <c r="D7" s="205"/>
      <c r="E7" s="205"/>
      <c r="F7" s="205"/>
      <c r="G7" s="205"/>
      <c r="H7" s="258"/>
      <c r="I7" s="258"/>
      <c r="J7" s="258"/>
      <c r="K7" s="258"/>
      <c r="L7" s="205"/>
      <c r="M7" s="205"/>
      <c r="N7" s="205"/>
      <c r="O7" s="205"/>
      <c r="P7" s="161"/>
      <c r="Q7" s="161"/>
      <c r="R7" s="205"/>
      <c r="S7" s="205"/>
      <c r="T7" s="205"/>
      <c r="U7" s="205"/>
      <c r="V7" s="161"/>
      <c r="W7" s="205"/>
      <c r="X7" s="205"/>
      <c r="Y7" s="205"/>
      <c r="Z7" s="205"/>
      <c r="AA7" s="205"/>
      <c r="AB7" s="205"/>
      <c r="AC7" s="205"/>
      <c r="AD7" s="205"/>
      <c r="AE7" s="206"/>
      <c r="AF7" s="206"/>
      <c r="AG7" s="206"/>
      <c r="AH7" s="206"/>
      <c r="AI7" s="206"/>
      <c r="AJ7" s="206"/>
      <c r="AK7" s="206"/>
      <c r="AL7" s="206"/>
      <c r="AM7" s="82"/>
      <c r="AN7" s="149">
        <f>AA7+$AM7</f>
        <v>0</v>
      </c>
      <c r="AO7" s="149">
        <f>AB7+$AM7</f>
        <v>0</v>
      </c>
      <c r="AP7" s="149">
        <f>AC7+$AM7</f>
        <v>0</v>
      </c>
      <c r="AQ7" s="149">
        <f>AD7+$AM7</f>
        <v>0</v>
      </c>
      <c r="AR7" s="149">
        <f>H7-$AM7</f>
        <v>0</v>
      </c>
      <c r="AS7" s="149">
        <f>I7-$AM7</f>
        <v>0</v>
      </c>
      <c r="AT7" s="149">
        <f>J7-$AM7</f>
        <v>0</v>
      </c>
      <c r="AU7" s="149">
        <f>K7-$AM7</f>
        <v>0</v>
      </c>
    </row>
    <row r="8" spans="1:47" ht="23.25" customHeight="1" x14ac:dyDescent="0.3">
      <c r="A8" s="206"/>
      <c r="B8" s="205"/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161"/>
      <c r="W8" s="205"/>
      <c r="X8" s="205"/>
      <c r="Y8" s="205"/>
      <c r="Z8" s="205"/>
      <c r="AA8" s="205"/>
      <c r="AB8" s="205"/>
      <c r="AC8" s="205"/>
      <c r="AD8" s="205"/>
      <c r="AE8" s="206"/>
      <c r="AF8" s="206"/>
      <c r="AG8" s="206"/>
      <c r="AH8" s="206"/>
      <c r="AI8" s="206"/>
      <c r="AJ8" s="206"/>
      <c r="AK8" s="206"/>
      <c r="AL8" s="206"/>
      <c r="AM8" s="82"/>
      <c r="AN8" s="149">
        <f t="shared" ref="AN8" si="0">AA8+$AM8</f>
        <v>0</v>
      </c>
      <c r="AO8" s="149">
        <f>AB8+$AM8</f>
        <v>0</v>
      </c>
      <c r="AP8" s="149">
        <f>AC8+$AM8</f>
        <v>0</v>
      </c>
      <c r="AQ8" s="149">
        <f>AD8+$AM8</f>
        <v>0</v>
      </c>
      <c r="AR8" s="149">
        <f t="shared" ref="AR8" si="1">H8-$AM8</f>
        <v>0</v>
      </c>
      <c r="AS8" s="149">
        <f>I8-$AM8</f>
        <v>0</v>
      </c>
      <c r="AT8" s="149">
        <f>J8-$AM8</f>
        <v>0</v>
      </c>
      <c r="AU8" s="149">
        <f>K8-$AM8</f>
        <v>0</v>
      </c>
    </row>
    <row r="9" spans="1:47" ht="23.25" customHeight="1" x14ac:dyDescent="0.3">
      <c r="A9" s="206"/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161"/>
      <c r="Q9" s="161"/>
      <c r="R9" s="205"/>
      <c r="S9" s="205"/>
      <c r="T9" s="205"/>
      <c r="U9" s="205"/>
      <c r="V9" s="161"/>
      <c r="W9" s="205"/>
      <c r="X9" s="205"/>
      <c r="Y9" s="205"/>
      <c r="Z9" s="205"/>
      <c r="AA9" s="205"/>
      <c r="AB9" s="205"/>
      <c r="AC9" s="205"/>
      <c r="AD9" s="205"/>
      <c r="AE9" s="206"/>
      <c r="AF9" s="206"/>
      <c r="AG9" s="206"/>
      <c r="AH9" s="206"/>
      <c r="AI9" s="206"/>
      <c r="AJ9" s="206"/>
      <c r="AK9" s="206"/>
      <c r="AL9" s="206"/>
    </row>
    <row r="10" spans="1:47" ht="23.25" customHeight="1" x14ac:dyDescent="0.3">
      <c r="A10" s="206"/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161"/>
      <c r="Q10" s="161"/>
      <c r="R10" s="205"/>
      <c r="S10" s="205"/>
      <c r="T10" s="205"/>
      <c r="U10" s="205"/>
      <c r="V10" s="161"/>
      <c r="W10" s="205"/>
      <c r="X10" s="205"/>
      <c r="Y10" s="205"/>
      <c r="Z10" s="205"/>
      <c r="AA10" s="205"/>
      <c r="AB10" s="205"/>
      <c r="AC10" s="205"/>
      <c r="AD10" s="205"/>
      <c r="AE10" s="206"/>
      <c r="AF10" s="206"/>
      <c r="AG10" s="206"/>
      <c r="AH10" s="206"/>
      <c r="AI10" s="206"/>
      <c r="AJ10" s="206"/>
      <c r="AK10" s="206"/>
      <c r="AL10" s="206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63" customWidth="1"/>
    <col min="66" max="66" width="8.375" customWidth="1"/>
  </cols>
  <sheetData>
    <row r="1" spans="1:66" ht="70.5" customHeight="1" x14ac:dyDescent="0.3">
      <c r="A1" s="452" t="str">
        <f>"(SO와이드) " &amp;정보!B1&amp; " ("&amp;정보!B6&amp;" 소장) 제작치수변환"</f>
        <v>(SO와이드) 경기도 의정부 드림밸리아파트-4차 (박철우 소장) 제작치수변환</v>
      </c>
      <c r="B1" s="452"/>
      <c r="C1" s="452"/>
      <c r="D1" s="452"/>
      <c r="E1" s="452"/>
      <c r="F1" s="452"/>
      <c r="G1" s="452"/>
      <c r="H1" s="452"/>
      <c r="I1" s="452"/>
      <c r="J1" s="452"/>
      <c r="K1" s="452"/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2"/>
      <c r="AC1" s="452"/>
      <c r="AD1" s="452"/>
      <c r="AE1" s="452"/>
      <c r="AF1" s="452"/>
      <c r="AG1" s="452"/>
      <c r="AH1" s="452"/>
      <c r="AI1" s="452"/>
      <c r="AJ1" s="452"/>
      <c r="AK1" s="452"/>
      <c r="AL1" s="452"/>
      <c r="AM1" s="452"/>
      <c r="AN1" s="452"/>
      <c r="AO1" s="452"/>
      <c r="AP1" s="452"/>
      <c r="AQ1" s="452"/>
      <c r="AR1" s="452"/>
      <c r="AS1" s="452"/>
      <c r="AT1" s="452"/>
      <c r="AU1" s="452"/>
      <c r="AV1" s="452"/>
      <c r="AW1" s="60"/>
      <c r="AX1" s="60"/>
    </row>
    <row r="2" spans="1:66" ht="29.25" customHeight="1" x14ac:dyDescent="0.3">
      <c r="A2" s="191" t="s">
        <v>86</v>
      </c>
      <c r="B2" s="211">
        <v>2</v>
      </c>
      <c r="C2" s="212" t="s">
        <v>87</v>
      </c>
      <c r="D2" s="213">
        <v>2</v>
      </c>
      <c r="E2" s="156"/>
      <c r="F2" s="156"/>
      <c r="G2" s="192" t="s">
        <v>88</v>
      </c>
      <c r="H2" s="214">
        <v>2</v>
      </c>
      <c r="I2" s="153"/>
      <c r="J2" s="356" t="s">
        <v>114</v>
      </c>
      <c r="K2" s="357"/>
      <c r="L2" s="357"/>
      <c r="M2" s="357"/>
      <c r="N2" s="357"/>
      <c r="O2" s="357"/>
      <c r="P2" s="358">
        <v>1</v>
      </c>
      <c r="Q2" s="358"/>
      <c r="R2" s="324" t="s">
        <v>90</v>
      </c>
      <c r="S2" s="325"/>
      <c r="T2" s="326">
        <v>8</v>
      </c>
      <c r="U2" s="326"/>
      <c r="V2" s="328" t="s">
        <v>84</v>
      </c>
      <c r="W2" s="329"/>
      <c r="X2" s="329"/>
      <c r="Y2" s="330">
        <v>0</v>
      </c>
      <c r="Z2" s="330"/>
      <c r="AA2" s="457" t="str">
        <f>정보!B5</f>
        <v>OTIS HIX-A162</v>
      </c>
      <c r="AB2" s="458"/>
      <c r="AC2" s="458"/>
      <c r="AD2" s="458"/>
      <c r="AE2" s="458"/>
      <c r="AF2" s="458"/>
      <c r="AG2" s="458"/>
      <c r="AH2" s="458"/>
      <c r="AI2" s="458"/>
      <c r="AJ2" s="458"/>
      <c r="AK2" s="459"/>
      <c r="AL2" s="324" t="s">
        <v>91</v>
      </c>
      <c r="AM2" s="325"/>
      <c r="AN2" s="453">
        <v>4</v>
      </c>
      <c r="AO2" s="453"/>
      <c r="AP2" s="153"/>
      <c r="AQ2" s="454" t="s">
        <v>236</v>
      </c>
      <c r="AR2" s="455"/>
      <c r="AS2" s="456">
        <v>0</v>
      </c>
      <c r="AT2" s="456"/>
      <c r="AU2" s="153"/>
      <c r="AV2" s="153"/>
    </row>
    <row r="3" spans="1:66" ht="24.75" customHeight="1" x14ac:dyDescent="0.3">
      <c r="A3" s="50" t="str">
        <f>'SO와이드(실측)'!A3</f>
        <v>현장명 : 경기도 의정부 드림밸리아파트-4차,   (재질) : VIB 1.2T</v>
      </c>
      <c r="B3" s="2"/>
      <c r="C3" s="2"/>
      <c r="D3" s="2"/>
      <c r="E3" s="2"/>
      <c r="F3" s="2"/>
      <c r="G3" s="2"/>
      <c r="H3" s="2"/>
      <c r="I3" s="2"/>
      <c r="J3" s="349" t="s">
        <v>235</v>
      </c>
      <c r="K3" s="349"/>
      <c r="L3" s="349"/>
      <c r="M3" s="349"/>
      <c r="N3" s="349"/>
      <c r="O3" s="349"/>
      <c r="P3" s="360">
        <v>5</v>
      </c>
      <c r="Q3" s="360"/>
      <c r="R3" s="333" t="s">
        <v>78</v>
      </c>
      <c r="S3" s="333"/>
      <c r="T3" s="334">
        <v>8</v>
      </c>
      <c r="U3" s="334"/>
      <c r="V3" s="335" t="s">
        <v>234</v>
      </c>
      <c r="W3" s="335"/>
      <c r="X3" s="335"/>
      <c r="Y3" s="336">
        <f>BN7</f>
        <v>1</v>
      </c>
      <c r="Z3" s="336"/>
      <c r="AA3" s="450" t="s">
        <v>79</v>
      </c>
      <c r="AB3" s="450"/>
      <c r="AC3" s="451">
        <v>3</v>
      </c>
      <c r="AD3" s="451"/>
      <c r="AE3" s="3"/>
      <c r="AF3" s="3"/>
      <c r="AI3" s="208"/>
      <c r="AJ3" s="208"/>
      <c r="AK3" s="208"/>
      <c r="AL3" s="306" t="s">
        <v>74</v>
      </c>
      <c r="AM3" s="306"/>
      <c r="AN3" s="209">
        <v>5</v>
      </c>
      <c r="AO3" s="198" t="s">
        <v>75</v>
      </c>
      <c r="AP3" s="210">
        <v>4</v>
      </c>
      <c r="AQ3" s="348" t="s">
        <v>237</v>
      </c>
      <c r="AR3" s="348"/>
      <c r="AS3" s="30"/>
      <c r="AT3" s="30"/>
      <c r="AU3" s="30"/>
      <c r="AV3" s="30"/>
      <c r="BN3" s="308" t="s">
        <v>260</v>
      </c>
    </row>
    <row r="4" spans="1:66" ht="33" customHeight="1" x14ac:dyDescent="0.3">
      <c r="A4" s="341" t="str">
        <f>정보!B10</f>
        <v>제작치수 반영 : MH + (2), JB/JD +(5 ),  늘어난치수K -(4),  C + (8),   U + (8), OP - (2), R - (2),  기둥차감 (4), A + (3)</v>
      </c>
      <c r="B4" s="341"/>
      <c r="C4" s="341"/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1"/>
      <c r="U4" s="341"/>
      <c r="V4" s="341"/>
      <c r="W4" s="341"/>
      <c r="X4" s="341"/>
      <c r="Y4" s="341"/>
      <c r="Z4" s="341"/>
      <c r="AA4" s="341"/>
      <c r="AB4" s="341"/>
      <c r="AC4" s="341"/>
      <c r="AD4" s="341"/>
      <c r="AE4" s="341"/>
      <c r="AF4" s="341"/>
      <c r="AG4" s="341"/>
      <c r="AH4" s="341"/>
      <c r="AI4" s="341"/>
      <c r="AJ4" s="341"/>
      <c r="AK4" s="368">
        <f ca="1">TODAY()</f>
        <v>44881</v>
      </c>
      <c r="AL4" s="292"/>
      <c r="AM4" s="292"/>
      <c r="AN4" s="151"/>
      <c r="AO4" s="367" t="s">
        <v>118</v>
      </c>
      <c r="AP4" s="367"/>
      <c r="AQ4" s="304" t="s">
        <v>216</v>
      </c>
      <c r="AR4" s="304"/>
      <c r="AS4" s="140"/>
      <c r="AT4" s="339" t="s">
        <v>242</v>
      </c>
      <c r="AU4" s="339"/>
      <c r="AV4" s="340"/>
      <c r="BN4" s="309"/>
    </row>
    <row r="5" spans="1:66" ht="25.9" customHeight="1" x14ac:dyDescent="0.3">
      <c r="A5" s="298" t="s">
        <v>0</v>
      </c>
      <c r="B5" s="298" t="s">
        <v>1</v>
      </c>
      <c r="C5" s="298" t="s">
        <v>2</v>
      </c>
      <c r="D5" s="298" t="s">
        <v>2</v>
      </c>
      <c r="E5" s="298" t="s">
        <v>243</v>
      </c>
      <c r="F5" s="298" t="s">
        <v>253</v>
      </c>
      <c r="G5" s="298" t="s">
        <v>18</v>
      </c>
      <c r="H5" s="345" t="s">
        <v>4</v>
      </c>
      <c r="I5" s="412" t="s">
        <v>42</v>
      </c>
      <c r="J5" s="342" t="s">
        <v>106</v>
      </c>
      <c r="K5" s="342" t="s">
        <v>107</v>
      </c>
      <c r="L5" s="363" t="s">
        <v>108</v>
      </c>
      <c r="M5" s="363" t="s">
        <v>109</v>
      </c>
      <c r="N5" s="446" t="s">
        <v>247</v>
      </c>
      <c r="O5" s="448" t="s">
        <v>248</v>
      </c>
      <c r="P5" s="365" t="s">
        <v>72</v>
      </c>
      <c r="Q5" s="365" t="s">
        <v>73</v>
      </c>
      <c r="R5" s="298" t="s">
        <v>8</v>
      </c>
      <c r="S5" s="298" t="s">
        <v>9</v>
      </c>
      <c r="T5" s="298" t="s">
        <v>12</v>
      </c>
      <c r="U5" s="298" t="s">
        <v>13</v>
      </c>
      <c r="V5" s="298" t="s">
        <v>10</v>
      </c>
      <c r="W5" s="298" t="s">
        <v>11</v>
      </c>
      <c r="X5" s="344" t="s">
        <v>14</v>
      </c>
      <c r="Y5" s="344" t="s">
        <v>15</v>
      </c>
      <c r="Z5" s="345" t="s">
        <v>16</v>
      </c>
      <c r="AA5" s="345" t="s">
        <v>17</v>
      </c>
      <c r="AB5" s="298" t="s">
        <v>19</v>
      </c>
      <c r="AC5" s="298" t="s">
        <v>20</v>
      </c>
      <c r="AD5" s="299" t="s">
        <v>22</v>
      </c>
      <c r="AE5" s="440" t="s">
        <v>249</v>
      </c>
      <c r="AF5" s="441" t="s">
        <v>245</v>
      </c>
      <c r="AG5" s="331" t="s">
        <v>80</v>
      </c>
      <c r="AH5" s="332"/>
      <c r="AI5" s="332"/>
      <c r="AJ5" s="332"/>
      <c r="AK5" s="322" t="s">
        <v>92</v>
      </c>
      <c r="AL5" s="322" t="s">
        <v>93</v>
      </c>
      <c r="AM5" s="310" t="s">
        <v>100</v>
      </c>
      <c r="AN5" s="299" t="s">
        <v>62</v>
      </c>
      <c r="AO5" s="299" t="s">
        <v>34</v>
      </c>
      <c r="AP5" s="299" t="s">
        <v>35</v>
      </c>
      <c r="AQ5" s="302" t="s">
        <v>213</v>
      </c>
      <c r="AR5" s="303"/>
      <c r="AS5" s="444" t="s">
        <v>200</v>
      </c>
      <c r="AT5" s="444" t="s">
        <v>205</v>
      </c>
      <c r="AU5" s="444"/>
      <c r="AV5" s="444"/>
      <c r="AW5" s="313" t="s">
        <v>101</v>
      </c>
      <c r="AX5" s="313" t="s">
        <v>102</v>
      </c>
      <c r="AY5" s="443" t="s">
        <v>251</v>
      </c>
      <c r="AZ5" s="442" t="s">
        <v>252</v>
      </c>
      <c r="BA5" s="315" t="s">
        <v>85</v>
      </c>
      <c r="BB5" s="318" t="s">
        <v>103</v>
      </c>
      <c r="BC5" s="317" t="s">
        <v>95</v>
      </c>
      <c r="BD5" s="317" t="s">
        <v>96</v>
      </c>
      <c r="BE5" s="308" t="s">
        <v>94</v>
      </c>
      <c r="BH5" s="312" t="s">
        <v>28</v>
      </c>
      <c r="BI5" s="312"/>
      <c r="BJ5" s="312" t="s">
        <v>29</v>
      </c>
      <c r="BK5" s="312"/>
      <c r="BL5" s="11" t="s">
        <v>50</v>
      </c>
      <c r="BM5" s="362" t="s">
        <v>105</v>
      </c>
      <c r="BN5" s="361" t="s">
        <v>233</v>
      </c>
    </row>
    <row r="6" spans="1:66" ht="48" customHeight="1" x14ac:dyDescent="0.3">
      <c r="A6" s="298"/>
      <c r="B6" s="298"/>
      <c r="C6" s="298"/>
      <c r="D6" s="298"/>
      <c r="E6" s="298"/>
      <c r="F6" s="298"/>
      <c r="G6" s="298"/>
      <c r="H6" s="345"/>
      <c r="I6" s="412"/>
      <c r="J6" s="343"/>
      <c r="K6" s="343"/>
      <c r="L6" s="364"/>
      <c r="M6" s="364"/>
      <c r="N6" s="447"/>
      <c r="O6" s="449"/>
      <c r="P6" s="366"/>
      <c r="Q6" s="366"/>
      <c r="R6" s="298"/>
      <c r="S6" s="298"/>
      <c r="T6" s="298"/>
      <c r="U6" s="298"/>
      <c r="V6" s="298"/>
      <c r="W6" s="298"/>
      <c r="X6" s="344"/>
      <c r="Y6" s="344"/>
      <c r="Z6" s="345"/>
      <c r="AA6" s="345"/>
      <c r="AB6" s="298"/>
      <c r="AC6" s="298"/>
      <c r="AD6" s="299"/>
      <c r="AE6" s="440"/>
      <c r="AF6" s="441"/>
      <c r="AG6" s="145" t="s">
        <v>53</v>
      </c>
      <c r="AH6" s="145" t="s">
        <v>69</v>
      </c>
      <c r="AI6" s="145" t="s">
        <v>70</v>
      </c>
      <c r="AJ6" s="145" t="s">
        <v>71</v>
      </c>
      <c r="AK6" s="323"/>
      <c r="AL6" s="323"/>
      <c r="AM6" s="311"/>
      <c r="AN6" s="299"/>
      <c r="AO6" s="298"/>
      <c r="AP6" s="298"/>
      <c r="AQ6" s="121" t="s">
        <v>214</v>
      </c>
      <c r="AR6" s="121" t="s">
        <v>215</v>
      </c>
      <c r="AS6" s="445"/>
      <c r="AT6" s="150" t="s">
        <v>201</v>
      </c>
      <c r="AU6" s="150" t="s">
        <v>202</v>
      </c>
      <c r="AV6" s="150" t="s">
        <v>81</v>
      </c>
      <c r="AW6" s="314"/>
      <c r="AX6" s="314"/>
      <c r="AY6" s="442"/>
      <c r="AZ6" s="442"/>
      <c r="BA6" s="316"/>
      <c r="BB6" s="319"/>
      <c r="BC6" s="317"/>
      <c r="BD6" s="317"/>
      <c r="BE6" s="309"/>
      <c r="BF6" s="149" t="s">
        <v>27</v>
      </c>
      <c r="BG6" s="149" t="s">
        <v>26</v>
      </c>
      <c r="BH6" s="152" t="s">
        <v>30</v>
      </c>
      <c r="BI6" s="152" t="s">
        <v>31</v>
      </c>
      <c r="BJ6" s="152" t="s">
        <v>30</v>
      </c>
      <c r="BK6" s="152" t="s">
        <v>33</v>
      </c>
      <c r="BL6" s="12" t="s">
        <v>49</v>
      </c>
      <c r="BM6" s="362"/>
      <c r="BN6" s="361"/>
    </row>
    <row r="7" spans="1:66" ht="25.5" customHeight="1" x14ac:dyDescent="0.3">
      <c r="A7" s="54">
        <f>'SO와이드(실측)'!A7</f>
        <v>0</v>
      </c>
      <c r="B7" s="54" t="str">
        <f>'SO와이드(실측)'!B7&amp;"F"</f>
        <v>F</v>
      </c>
      <c r="C7" s="54">
        <f>'SO와이드(실측)'!C7+와이드MH더함-IF(AND(소장="추영덕",AB7=0),1.2)</f>
        <v>2</v>
      </c>
      <c r="D7" s="54">
        <f>'SO와이드(실측)'!D7+와이드MH더함-IF(AND(소장="추영덕",AB7=0),1.2)</f>
        <v>2</v>
      </c>
      <c r="E7" s="54">
        <f>'SO와이드(실측)'!E7-와이드OP</f>
        <v>-2</v>
      </c>
      <c r="F7" s="54">
        <f>'SO와이드(실측)'!F7-와이드OP</f>
        <v>-2</v>
      </c>
      <c r="G7" s="54">
        <f>'SO와이드(실측)'!G7-와이드R</f>
        <v>-2</v>
      </c>
      <c r="H7" s="77">
        <f>'SO와이드(실측)'!H7+와이드JBJD키움치수+IF(BN7=1,AG7,0)</f>
        <v>1</v>
      </c>
      <c r="I7" s="77">
        <f>'SO와이드(실측)'!I7+와이드JBJD키움치수+IF(BN7=1,AI7,0)</f>
        <v>1</v>
      </c>
      <c r="J7" s="77">
        <f>'SO와이드(실측)'!J7+MAX(AW7,AX7)+와이드JBJD키움치수+IF(BN7=1,AG7,0)</f>
        <v>1</v>
      </c>
      <c r="K7" s="77">
        <f>'SO와이드(실측)'!J7+MAX(AW7,AX7)+와이드JBJD키움치수+IF(BN7=1,AH7,0)-IF(와이드JB하부늘치=1,'SO와이드(실측)'!AA7-'SO와이드(실측)'!AB7,0)</f>
        <v>1</v>
      </c>
      <c r="L7" s="77">
        <f>'SO와이드(실측)'!K7+MAX(AW7,AX7)+와이드JBJD키움치수+IF(BN7=1,AI7,0)</f>
        <v>1</v>
      </c>
      <c r="M7" s="77">
        <f>'SO와이드(실측)'!K7+MAX(AW7,AX7)+와이드JBJD키움치수+IF(BN7=1,AJ7,0)-IF(와이드JB하부늘치=1,'SO와이드(실측)'!AC7-'SO와이드(실측)'!AD7,0)</f>
        <v>1</v>
      </c>
      <c r="N7" s="164">
        <f>IF(BN7=0,H7+AG7-(I7+AI7),H7-I7)</f>
        <v>0</v>
      </c>
      <c r="O7" s="160">
        <f>IF(BN7=0,J7+AG7-(L7+AI7),J7-L7)</f>
        <v>0</v>
      </c>
      <c r="P7" s="78">
        <f t="shared" ref="P7:Q7" si="0">IF(소장="손상민",0,R7-1.5)</f>
        <v>-0.30000000000000004</v>
      </c>
      <c r="Q7" s="78">
        <f t="shared" si="0"/>
        <v>-0.30000000000000004</v>
      </c>
      <c r="R7" s="78">
        <f>IF(V7&lt;9,'SO와이드(실측)'!L7+1.2,IF(ISNUMBER('SO와이드(실측)'!L7),'SO와이드(실측)'!L7+와이드C값,0))</f>
        <v>1.2</v>
      </c>
      <c r="S7" s="78">
        <f>IF(W7&lt;9,'SO와이드(실측)'!M7+1.2,IF(ISNUMBER('SO와이드(실측)'!M7),'SO와이드(실측)'!M7+와이드C값,0))</f>
        <v>1.2</v>
      </c>
      <c r="T7" s="222">
        <f>IF(소장="손상민",'SO와이드(실측)'!N7,ROUNDUP(BA7,1)-0.6)</f>
        <v>-0.39999999999999997</v>
      </c>
      <c r="U7" s="223">
        <f>IF(소장="손상민",'SO와이드(실측)'!O7,ROUNDUP(BB7,1)-0.6)</f>
        <v>-0.39999999999999997</v>
      </c>
      <c r="V7" s="54">
        <f>IF(ISNUMBER('SO와이드(실측)'!P7),'SO와이드(실측)'!P7+SO와이드제작!AW7+와이드A늘림,0)</f>
        <v>0</v>
      </c>
      <c r="W7" s="54">
        <f>IF(ISNUMBER('SO와이드(실측)'!Q7),'SO와이드(실측)'!Q7+SO와이드제작!AX7+와이드A늘림,0)</f>
        <v>0</v>
      </c>
      <c r="X7" s="54">
        <f>'SO와이드(실측)'!R7-와이드기둥차감</f>
        <v>0</v>
      </c>
      <c r="Y7" s="54">
        <f>'SO와이드(실측)'!S7-와이드기둥차감</f>
        <v>0</v>
      </c>
      <c r="Z7" s="54">
        <f>'SO와이드(실측)'!T7-와이드기둥차감</f>
        <v>0</v>
      </c>
      <c r="AA7" s="54">
        <f>'SO와이드(실측)'!U7-와이드기둥차감</f>
        <v>0</v>
      </c>
      <c r="AB7" s="54">
        <f>IF(소장&lt;&gt;"손상민",IF(ISNUMBER('SO와이드(실측)'!V7),'SO와이드(실측)'!V7+와이드U,0),IF(ISNUMBER('SO와이드(실측)'!V7),'SO와이드(실측)'!V7+1.2,0))</f>
        <v>0</v>
      </c>
      <c r="AC7" s="54">
        <f>IF(소장&lt;&gt;"손상민",IF(ISNUMBER('SO와이드(실측)'!W7),'SO와이드(실측)'!W7+1.5+SO와이드제작!T7+1,0),IF(ISNUMBER('SO와이드(실측)'!V7),'SO와이드(실측)'!W7+1.2,0))</f>
        <v>0</v>
      </c>
      <c r="AD7" s="54">
        <f>'SO와이드(실측)'!X7+뒷날개치수더함</f>
        <v>0</v>
      </c>
      <c r="AE7" s="54">
        <f>'SO와이드(실측)'!Y7+뒷날개치수더함</f>
        <v>0</v>
      </c>
      <c r="AF7" s="54">
        <f>'SO와이드(실측)'!Z7+뒷날개치수더함</f>
        <v>0</v>
      </c>
      <c r="AG7" s="78">
        <f>'SO와이드(실측)'!AA7-와이드늘치</f>
        <v>-4</v>
      </c>
      <c r="AH7" s="78">
        <f>IF(와이드JB하부늘치=1,AG7,'SO와이드(실측)'!AB7-와이드늘치)</f>
        <v>-4</v>
      </c>
      <c r="AI7" s="78">
        <f>'SO와이드(실측)'!AC7-와이드늘치</f>
        <v>-4</v>
      </c>
      <c r="AJ7" s="78">
        <f>IF(와이드JB하부늘치=1,AI7,'SO와이드(실측)'!AD7-와이드늘치)</f>
        <v>-4</v>
      </c>
      <c r="AK7" s="54">
        <f xml:space="preserve"> IF(소장&lt;&gt;"손상민",IF('SO와이드(실측)'!AE7&gt;0,'SO와이드(실측)'!AE7,C7-1.2),IF('SO와이드(실측)'!AE7&gt;0,'SO와이드(실측)'!AE7+1.2,C7))</f>
        <v>0.8</v>
      </c>
      <c r="AL7" s="54">
        <f xml:space="preserve"> IF(소장&lt;&gt;"손상민",IF('SO와이드(실측)'!AF7&gt;0,'SO와이드(실측)'!AF7,D7-1.2),IF('SO와이드(실측)'!AF7&gt;0,'SO와이드(실측)'!AF7+1.2,D7) )</f>
        <v>0.8</v>
      </c>
      <c r="AM7" s="79">
        <f>IF(AC7&gt;0,AC7-MAX(T7,U7),0)</f>
        <v>0</v>
      </c>
      <c r="AN7" s="54" t="str">
        <f t="shared" ref="AN7" si="1">BF7&amp;"*"&amp;BG7</f>
        <v>-2*-0.6</v>
      </c>
      <c r="AO7" s="54" t="str">
        <f t="shared" ref="AO7" si="2">BI7&amp;"*"&amp;BH7</f>
        <v>0.8*-1.4</v>
      </c>
      <c r="AP7" s="54" t="str">
        <f t="shared" ref="AP7" si="3">BK7&amp;"*"&amp;BJ7</f>
        <v>0.8*-1.4</v>
      </c>
      <c r="AQ7" s="54">
        <f>IF('SO와이드(실측)'!AG7&gt;0,'SO와이드(실측)'!AG7-'SO와이드(실측)'!X7+1.2,0)</f>
        <v>0</v>
      </c>
      <c r="AR7" s="54">
        <f>IF('SO와이드(실측)'!AH7&gt;0,'SO와이드(실측)'!AH7-'SO와이드(실측)'!X7+1.2,0)</f>
        <v>0</v>
      </c>
      <c r="AS7" s="78">
        <f>'SO와이드(실측)'!AI7</f>
        <v>0</v>
      </c>
      <c r="AT7" s="78">
        <f>IF('SO와이드(실측)'!AJ7&gt;5,'SO와이드(실측)'!AJ7+뒷날개치수더함,'SO와이드(실측)'!AJ7)</f>
        <v>0</v>
      </c>
      <c r="AU7" s="78">
        <f>'SO와이드(실측)'!AK7</f>
        <v>0</v>
      </c>
      <c r="AV7" s="78">
        <f>'SO와이드(실측)'!AL7</f>
        <v>0</v>
      </c>
      <c r="AW7">
        <f>IF(AND(ISNUMBER('SO와이드(실측)'!Q7),ISNUMBER('SO와이드(실측)'!P7)),IF(ISNUMBER('SO와이드(실측)'!P7),IF(9-MIN('SO와이드(실측)'!P7+와이드A늘림,'SO와이드(실측)'!Q7+와이드A늘림)&lt;0,0,9-MIN('SO와이드(실측)'!P7+와이드A늘림,'SO와이드(실측)'!Q7+와이드A늘림)),0),IF(ISNUMBER('SO와이드(실측)'!P7),IF(9-'SO와이드(실측)'!P7-와이드A늘림&lt;0,0,9-'SO와이드(실측)'!P7-와이드A늘림),0))</f>
        <v>0</v>
      </c>
      <c r="AX7">
        <f>IF(AND(ISNUMBER('SO와이드(실측)'!P7),ISNUMBER('SO와이드(실측)'!Q7)),IF(ISNUMBER('SO와이드(실측)'!Q7),IF(9-MIN('SO와이드(실측)'!Q7+와이드A늘림,'SO와이드(실측)'!P7+와이드A늘림)&lt;0,0,9-MIN('SO와이드(실측)'!Q7+와이드A늘림,'SO와이드(실측)'!P7+와이드A늘림)),0),IF(ISNUMBER('SO와이드(실측)'!Q7),IF(9-'SO와이드(실측)'!Q7-와이드A늘림&lt;0,0,9-'SO와이드(실측)'!Q7-와이드A늘림),0))</f>
        <v>0</v>
      </c>
      <c r="AY7" s="38">
        <f>DEGREES(ATAN((G7-(E7+F7))/2/(H7)))</f>
        <v>45</v>
      </c>
      <c r="AZ7" s="38">
        <f>DEGREES(ATAN((G7-(E7+F7))/2/(I7)))</f>
        <v>45</v>
      </c>
      <c r="BA7" s="39">
        <f>INT(ABS(H7-COS(RADIANS(AY7))*J7)*10)/10</f>
        <v>0.2</v>
      </c>
      <c r="BB7" s="39">
        <f>INT(ABS(I7-COS(RADIANS(AZ7))*L7)*10)/10</f>
        <v>0.2</v>
      </c>
      <c r="BC7" s="39">
        <f>'SO와이드(실측)'!N7+AW7</f>
        <v>0</v>
      </c>
      <c r="BD7" s="39">
        <f>'SO와이드(실측)'!O7+AW7</f>
        <v>0</v>
      </c>
      <c r="BE7" s="38">
        <f>BA7-MAX(BC7,BD7)</f>
        <v>0.2</v>
      </c>
      <c r="BF7" s="65">
        <f>IF(소장&lt;&gt;"손상민",G7+IF(AB7+AC7&gt;0,P7+Q7,0),G7)</f>
        <v>-2</v>
      </c>
      <c r="BG7" s="66">
        <f>MAX(C7,D7)+MAX(H7,I7)+AD7-1.2*$AN$3+IF(BN7=0,MAX(AI7,AG7),0)+IF(AB7=0,1.2,0)+IF(AC7=0,1.2,0)+IF(소장&lt;&gt;"손상민", AB7+AC7,IF('SO와이드(실측)'!V7=0,0,2.4))</f>
        <v>-0.60000000000000009</v>
      </c>
      <c r="BH7" s="65">
        <f>V7+R7+MAX(J7,K7)+AE7-1.2*$AP$3+IF(BN7=0,MAX(AH7,AG7),0)+IF(V7=0,1.2,0)-IF(AV7=90,2.4,0)</f>
        <v>-1.3999999999999997</v>
      </c>
      <c r="BI7" s="65">
        <f>MAX(X7,Y7)+AK7</f>
        <v>0.8</v>
      </c>
      <c r="BJ7" s="65">
        <f>W7+S7+MAX(L7,M7)+AF7-1.2*$AP$3+IF(BN7=0,MAX(AI7,AJ7),0)+IF(W7=0,1.2,0)-IF(AV7=90,2.4,0)</f>
        <v>-1.3999999999999997</v>
      </c>
      <c r="BK7" s="65">
        <f>MAX(Z7,AA7)+AL7</f>
        <v>0.8</v>
      </c>
      <c r="BL7" s="11">
        <f t="shared" ref="BL7" si="4">J7-H7-T7</f>
        <v>0.39999999999999997</v>
      </c>
      <c r="BM7" s="67" t="str">
        <f>IF(AND(C7&lt;&gt;D7,AB7&gt;0),"NG","")</f>
        <v/>
      </c>
      <c r="BN7" s="131">
        <f>IF(AND(MIN(AG7,AI7)&gt;=9.2,G7-E7-F7&gt;15),0,1)</f>
        <v>1</v>
      </c>
    </row>
  </sheetData>
  <mergeCells count="84"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BA5:BA6"/>
    <mergeCell ref="AO5:AO6"/>
    <mergeCell ref="AP5:AP6"/>
    <mergeCell ref="AQ5:AR5"/>
    <mergeCell ref="AS5:AS6"/>
    <mergeCell ref="AT5:AV5"/>
    <mergeCell ref="AW5:AW6"/>
    <mergeCell ref="AF5:AF6"/>
    <mergeCell ref="AZ5:AZ6"/>
    <mergeCell ref="AX5:AX6"/>
    <mergeCell ref="AY5:AY6"/>
    <mergeCell ref="AN5:AN6"/>
    <mergeCell ref="AT4:AV4"/>
    <mergeCell ref="A4:AJ4"/>
    <mergeCell ref="BN3:BN4"/>
    <mergeCell ref="BJ5:BK5"/>
    <mergeCell ref="BM5:BM6"/>
    <mergeCell ref="BN5:BN6"/>
    <mergeCell ref="BB5:BB6"/>
    <mergeCell ref="BC5:BC6"/>
    <mergeCell ref="BD5:BD6"/>
    <mergeCell ref="AE5:AE6"/>
    <mergeCell ref="AG5:AJ5"/>
    <mergeCell ref="AK5:AK6"/>
    <mergeCell ref="AL5:AL6"/>
    <mergeCell ref="AM5:AM6"/>
    <mergeCell ref="BE5:BE6"/>
    <mergeCell ref="BH5:BI5"/>
  </mergeCells>
  <phoneticPr fontId="1" type="noConversion"/>
  <conditionalFormatting sqref="AM7">
    <cfRule type="cellIs" dxfId="53" priority="34" operator="greaterThan">
      <formula>3</formula>
    </cfRule>
  </conditionalFormatting>
  <conditionalFormatting sqref="G7">
    <cfRule type="cellIs" dxfId="52" priority="31" operator="greaterThan">
      <formula>1210</formula>
    </cfRule>
  </conditionalFormatting>
  <conditionalFormatting sqref="C7:D7">
    <cfRule type="cellIs" dxfId="51" priority="29" operator="notEqual">
      <formula>$D7</formula>
    </cfRule>
  </conditionalFormatting>
  <conditionalFormatting sqref="D7">
    <cfRule type="cellIs" dxfId="50" priority="28" operator="notEqual">
      <formula>$C7</formula>
    </cfRule>
  </conditionalFormatting>
  <conditionalFormatting sqref="AS7:AV7">
    <cfRule type="cellIs" dxfId="49" priority="14" operator="greaterThan">
      <formula>1.2</formula>
    </cfRule>
  </conditionalFormatting>
  <conditionalFormatting sqref="AS7">
    <cfRule type="cellIs" dxfId="48" priority="13" operator="greaterThan">
      <formula>0</formula>
    </cfRule>
  </conditionalFormatting>
  <conditionalFormatting sqref="H7">
    <cfRule type="cellIs" dxfId="47" priority="11" operator="notEqual">
      <formula>I7</formula>
    </cfRule>
  </conditionalFormatting>
  <conditionalFormatting sqref="I7">
    <cfRule type="cellIs" dxfId="46" priority="10" operator="notEqual">
      <formula>$H$7</formula>
    </cfRule>
  </conditionalFormatting>
  <conditionalFormatting sqref="J7">
    <cfRule type="cellIs" dxfId="45" priority="9" operator="notEqual">
      <formula>K7</formula>
    </cfRule>
  </conditionalFormatting>
  <conditionalFormatting sqref="K7">
    <cfRule type="cellIs" dxfId="44" priority="8" operator="notEqual">
      <formula>J7</formula>
    </cfRule>
  </conditionalFormatting>
  <conditionalFormatting sqref="M7">
    <cfRule type="cellIs" dxfId="43" priority="7" operator="notEqual">
      <formula>L7</formula>
    </cfRule>
  </conditionalFormatting>
  <conditionalFormatting sqref="L7">
    <cfRule type="cellIs" dxfId="42" priority="6" operator="notEqual">
      <formula>M7</formula>
    </cfRule>
  </conditionalFormatting>
  <conditionalFormatting sqref="AK7">
    <cfRule type="cellIs" dxfId="41" priority="5" operator="notEqual">
      <formula>AL7</formula>
    </cfRule>
  </conditionalFormatting>
  <conditionalFormatting sqref="AL7">
    <cfRule type="cellIs" dxfId="40" priority="4" operator="notEqual">
      <formula>AK7</formula>
    </cfRule>
  </conditionalFormatting>
  <conditionalFormatting sqref="AG7:AJ7">
    <cfRule type="expression" dxfId="39" priority="3">
      <formula>$BN7</formula>
    </cfRule>
  </conditionalFormatting>
  <conditionalFormatting sqref="AB7">
    <cfRule type="expression" dxfId="38" priority="2">
      <formula>소장="손상민"</formula>
    </cfRule>
  </conditionalFormatting>
  <conditionalFormatting sqref="AC7">
    <cfRule type="expression" dxfId="37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296" t="str">
        <f>"(SO멍텅구리) "&amp;정보!B1&amp;" "&amp;정보!B6&amp;" 소장"</f>
        <v>(SO멍텅구리) 경기도 의정부 드림밸리아파트-4차 박철우 소장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153"/>
      <c r="AE1" s="153"/>
      <c r="AF1" s="153"/>
    </row>
    <row r="2" spans="1:41" ht="15" customHeight="1" x14ac:dyDescent="0.3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</row>
    <row r="3" spans="1:41" ht="33" customHeight="1" x14ac:dyDescent="0.3">
      <c r="A3" s="8" t="str">
        <f>"현장명 : " &amp; 정보!B1 &amp; ",   (재질) : " &amp; 정보!B8</f>
        <v>현장명 : 경기도 의정부 드림밸리아파트-4차,   (재질) : HL 1.2T</v>
      </c>
      <c r="B3" s="2"/>
      <c r="C3" s="2"/>
      <c r="D3" s="2"/>
      <c r="E3" s="2"/>
      <c r="F3" s="2"/>
      <c r="G3" s="2"/>
      <c r="H3" s="380"/>
      <c r="I3" s="380"/>
      <c r="J3" s="377"/>
      <c r="K3" s="377"/>
      <c r="L3" s="378"/>
      <c r="M3" s="378"/>
      <c r="N3" s="379"/>
      <c r="O3" s="379"/>
      <c r="P3" s="379"/>
      <c r="Q3" s="374" t="s">
        <v>98</v>
      </c>
      <c r="R3" s="374"/>
      <c r="S3" s="375"/>
      <c r="T3" s="375"/>
      <c r="U3" s="376"/>
      <c r="V3" s="376"/>
      <c r="W3" s="376"/>
    </row>
    <row r="4" spans="1:41" ht="33" customHeight="1" x14ac:dyDescent="0.3">
      <c r="A4" s="293" t="str">
        <f>정보!B14</f>
        <v>제작치수 반영 : JB/JD +(5 ),  늘어난치수K -(4),  C + (8),  U +(8), OP1/OP2 - (2), R - (2),  기둥차감 (4),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2"/>
      <c r="X4" s="292"/>
      <c r="Y4" s="292"/>
      <c r="Z4" s="292"/>
      <c r="AA4" s="292"/>
      <c r="AB4" s="292"/>
      <c r="AC4" s="460"/>
      <c r="AD4" s="304" t="s">
        <v>216</v>
      </c>
      <c r="AE4" s="304"/>
      <c r="AF4" s="137" t="s">
        <v>241</v>
      </c>
    </row>
    <row r="5" spans="1:41" ht="25.9" customHeight="1" x14ac:dyDescent="0.3">
      <c r="A5" s="298" t="s">
        <v>0</v>
      </c>
      <c r="B5" s="298" t="s">
        <v>1</v>
      </c>
      <c r="C5" s="298" t="s">
        <v>255</v>
      </c>
      <c r="D5" s="298" t="s">
        <v>254</v>
      </c>
      <c r="E5" s="298" t="s">
        <v>18</v>
      </c>
      <c r="F5" s="298" t="s">
        <v>4</v>
      </c>
      <c r="G5" s="298" t="s">
        <v>5</v>
      </c>
      <c r="H5" s="298" t="s">
        <v>6</v>
      </c>
      <c r="I5" s="298" t="s">
        <v>7</v>
      </c>
      <c r="J5" s="298" t="s">
        <v>8</v>
      </c>
      <c r="K5" s="298" t="s">
        <v>9</v>
      </c>
      <c r="L5" s="298" t="s">
        <v>10</v>
      </c>
      <c r="M5" s="298" t="s">
        <v>11</v>
      </c>
      <c r="N5" s="298" t="s">
        <v>14</v>
      </c>
      <c r="O5" s="298" t="s">
        <v>15</v>
      </c>
      <c r="P5" s="298" t="s">
        <v>16</v>
      </c>
      <c r="Q5" s="298" t="s">
        <v>17</v>
      </c>
      <c r="R5" s="298" t="s">
        <v>19</v>
      </c>
      <c r="S5" s="298" t="s">
        <v>20</v>
      </c>
      <c r="T5" s="369" t="s">
        <v>22</v>
      </c>
      <c r="U5" s="440" t="s">
        <v>249</v>
      </c>
      <c r="V5" s="441" t="s">
        <v>245</v>
      </c>
      <c r="W5" s="371" t="s">
        <v>21</v>
      </c>
      <c r="X5" s="372"/>
      <c r="Y5" s="372"/>
      <c r="Z5" s="373"/>
      <c r="AA5" s="299" t="s">
        <v>204</v>
      </c>
      <c r="AB5" s="299"/>
      <c r="AC5" s="299"/>
      <c r="AD5" s="302" t="s">
        <v>213</v>
      </c>
      <c r="AE5" s="303"/>
      <c r="AF5" s="136" t="s">
        <v>238</v>
      </c>
    </row>
    <row r="6" spans="1:41" ht="47.25" customHeight="1" x14ac:dyDescent="0.3">
      <c r="A6" s="298"/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370"/>
      <c r="U6" s="440"/>
      <c r="V6" s="441"/>
      <c r="W6" s="145" t="s">
        <v>53</v>
      </c>
      <c r="X6" s="145" t="s">
        <v>54</v>
      </c>
      <c r="Y6" s="145" t="s">
        <v>55</v>
      </c>
      <c r="Z6" s="145" t="s">
        <v>56</v>
      </c>
      <c r="AA6" s="144" t="s">
        <v>201</v>
      </c>
      <c r="AB6" s="144" t="s">
        <v>202</v>
      </c>
      <c r="AC6" s="144" t="s">
        <v>81</v>
      </c>
      <c r="AD6" s="121" t="s">
        <v>214</v>
      </c>
      <c r="AE6" s="121" t="s">
        <v>215</v>
      </c>
      <c r="AF6" s="136" t="s">
        <v>239</v>
      </c>
      <c r="AG6" s="83" t="s">
        <v>116</v>
      </c>
    </row>
    <row r="7" spans="1:41" ht="27" customHeight="1" x14ac:dyDescent="0.3">
      <c r="A7" s="205"/>
      <c r="B7" s="205"/>
      <c r="C7" s="205"/>
      <c r="D7" s="205"/>
      <c r="E7" s="205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6"/>
      <c r="T7" s="205"/>
      <c r="U7" s="205"/>
      <c r="V7" s="205"/>
      <c r="W7" s="205"/>
      <c r="X7" s="205"/>
      <c r="Y7" s="205"/>
      <c r="Z7" s="205"/>
      <c r="AA7" s="206"/>
      <c r="AB7" s="206"/>
      <c r="AC7" s="206"/>
      <c r="AD7" s="206"/>
      <c r="AE7" s="206"/>
      <c r="AF7" s="206"/>
      <c r="AG7" s="84"/>
      <c r="AH7" s="149">
        <f t="shared" ref="AH7:AK11" si="0">W7+$AG7</f>
        <v>0</v>
      </c>
      <c r="AI7" s="149">
        <f t="shared" si="0"/>
        <v>0</v>
      </c>
      <c r="AJ7" s="149">
        <f t="shared" si="0"/>
        <v>0</v>
      </c>
      <c r="AK7" s="149">
        <f t="shared" si="0"/>
        <v>0</v>
      </c>
      <c r="AL7" s="149">
        <f t="shared" ref="AL7:AO11" si="1">F7-$AG7</f>
        <v>0</v>
      </c>
      <c r="AM7" s="149">
        <f t="shared" si="1"/>
        <v>0</v>
      </c>
      <c r="AN7" s="149">
        <f t="shared" si="1"/>
        <v>0</v>
      </c>
      <c r="AO7" s="149">
        <f t="shared" si="1"/>
        <v>0</v>
      </c>
    </row>
    <row r="8" spans="1:41" ht="27" customHeight="1" x14ac:dyDescent="0.3">
      <c r="A8" s="205"/>
      <c r="B8" s="205"/>
      <c r="C8" s="205"/>
      <c r="D8" s="205"/>
      <c r="E8" s="205"/>
      <c r="F8" s="206"/>
      <c r="G8" s="206"/>
      <c r="H8" s="206"/>
      <c r="I8" s="206"/>
      <c r="J8" s="206"/>
      <c r="K8" s="206"/>
      <c r="L8" s="206"/>
      <c r="M8" s="206"/>
      <c r="N8" s="206"/>
      <c r="O8" s="206"/>
      <c r="P8" s="206"/>
      <c r="Q8" s="206"/>
      <c r="R8" s="206"/>
      <c r="S8" s="206"/>
      <c r="T8" s="205"/>
      <c r="U8" s="205"/>
      <c r="V8" s="205"/>
      <c r="W8" s="205"/>
      <c r="X8" s="205"/>
      <c r="Y8" s="205"/>
      <c r="Z8" s="205"/>
      <c r="AA8" s="206"/>
      <c r="AB8" s="206"/>
      <c r="AC8" s="206"/>
      <c r="AD8" s="206"/>
      <c r="AE8" s="206"/>
      <c r="AF8" s="206"/>
      <c r="AG8" s="84"/>
      <c r="AH8" s="149">
        <f t="shared" si="0"/>
        <v>0</v>
      </c>
      <c r="AI8" s="149">
        <f t="shared" si="0"/>
        <v>0</v>
      </c>
      <c r="AJ8" s="149">
        <f t="shared" si="0"/>
        <v>0</v>
      </c>
      <c r="AK8" s="149">
        <f t="shared" si="0"/>
        <v>0</v>
      </c>
      <c r="AL8" s="149">
        <f t="shared" si="1"/>
        <v>0</v>
      </c>
      <c r="AM8" s="149">
        <f t="shared" si="1"/>
        <v>0</v>
      </c>
      <c r="AN8" s="149">
        <f t="shared" si="1"/>
        <v>0</v>
      </c>
      <c r="AO8" s="149">
        <f t="shared" si="1"/>
        <v>0</v>
      </c>
    </row>
    <row r="9" spans="1:41" ht="27" customHeight="1" x14ac:dyDescent="0.3">
      <c r="A9" s="205"/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6"/>
      <c r="AB9" s="206"/>
      <c r="AC9" s="206"/>
      <c r="AD9" s="206"/>
      <c r="AE9" s="206"/>
      <c r="AF9" s="206"/>
      <c r="AG9" s="84"/>
      <c r="AH9" s="149">
        <f t="shared" si="0"/>
        <v>0</v>
      </c>
      <c r="AI9" s="149">
        <f t="shared" si="0"/>
        <v>0</v>
      </c>
      <c r="AJ9" s="149">
        <f t="shared" si="0"/>
        <v>0</v>
      </c>
      <c r="AK9" s="149">
        <f t="shared" si="0"/>
        <v>0</v>
      </c>
      <c r="AL9" s="149">
        <f t="shared" si="1"/>
        <v>0</v>
      </c>
      <c r="AM9" s="149">
        <f t="shared" si="1"/>
        <v>0</v>
      </c>
      <c r="AN9" s="149">
        <f t="shared" si="1"/>
        <v>0</v>
      </c>
      <c r="AO9" s="149">
        <f t="shared" si="1"/>
        <v>0</v>
      </c>
    </row>
    <row r="10" spans="1:41" ht="27" customHeight="1" x14ac:dyDescent="0.3">
      <c r="A10" s="144"/>
      <c r="B10" s="144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65"/>
      <c r="T10" s="144"/>
      <c r="U10" s="144"/>
      <c r="V10" s="144"/>
      <c r="W10" s="144"/>
      <c r="X10" s="144"/>
      <c r="Y10" s="144"/>
      <c r="Z10" s="144"/>
      <c r="AA10" s="146"/>
      <c r="AB10" s="146"/>
      <c r="AC10" s="146"/>
      <c r="AD10" s="146"/>
      <c r="AE10" s="146"/>
      <c r="AF10" s="146"/>
      <c r="AG10" s="84"/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1"/>
        <v>0</v>
      </c>
      <c r="AM10" s="149">
        <f t="shared" si="1"/>
        <v>0</v>
      </c>
      <c r="AN10" s="149">
        <f t="shared" si="1"/>
        <v>0</v>
      </c>
      <c r="AO10" s="149">
        <f t="shared" si="1"/>
        <v>0</v>
      </c>
    </row>
    <row r="11" spans="1:41" ht="27" customHeight="1" x14ac:dyDescent="0.3">
      <c r="A11" s="144"/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65"/>
      <c r="T11" s="144"/>
      <c r="U11" s="144"/>
      <c r="V11" s="144"/>
      <c r="W11" s="144"/>
      <c r="X11" s="144"/>
      <c r="Y11" s="144"/>
      <c r="Z11" s="144"/>
      <c r="AA11" s="146"/>
      <c r="AB11" s="146"/>
      <c r="AC11" s="146"/>
      <c r="AD11" s="146"/>
      <c r="AE11" s="146"/>
      <c r="AF11" s="146"/>
      <c r="AG11" s="84"/>
      <c r="AH11" s="149">
        <f t="shared" si="0"/>
        <v>0</v>
      </c>
      <c r="AI11" s="149">
        <f t="shared" si="0"/>
        <v>0</v>
      </c>
      <c r="AJ11" s="149">
        <f t="shared" si="0"/>
        <v>0</v>
      </c>
      <c r="AK11" s="149">
        <f t="shared" si="0"/>
        <v>0</v>
      </c>
      <c r="AL11" s="149">
        <f t="shared" si="1"/>
        <v>0</v>
      </c>
      <c r="AM11" s="149">
        <f t="shared" si="1"/>
        <v>0</v>
      </c>
      <c r="AN11" s="149">
        <f t="shared" si="1"/>
        <v>0</v>
      </c>
      <c r="AO11" s="149">
        <f t="shared" si="1"/>
        <v>0</v>
      </c>
    </row>
    <row r="12" spans="1:41" ht="27" customHeigh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6"/>
      <c r="T12" s="185"/>
      <c r="U12" s="185"/>
      <c r="V12" s="185"/>
      <c r="W12" s="185"/>
      <c r="X12" s="185"/>
      <c r="Y12" s="185"/>
      <c r="Z12" s="185"/>
      <c r="AA12" s="186"/>
      <c r="AB12" s="186"/>
      <c r="AC12" s="186"/>
      <c r="AD12" s="186"/>
      <c r="AE12" s="186"/>
      <c r="AF12" s="186"/>
      <c r="AG12" s="84"/>
      <c r="AH12" s="187">
        <f t="shared" ref="AH12:AH17" si="2">W12+$AG12</f>
        <v>0</v>
      </c>
      <c r="AI12" s="187">
        <f t="shared" ref="AI12:AI17" si="3">X12+$AG12</f>
        <v>0</v>
      </c>
      <c r="AJ12" s="187">
        <f t="shared" ref="AJ12:AJ17" si="4">Y12+$AG12</f>
        <v>0</v>
      </c>
      <c r="AK12" s="187">
        <f t="shared" ref="AK12:AK17" si="5">Z12+$AG12</f>
        <v>0</v>
      </c>
      <c r="AL12" s="187">
        <f t="shared" ref="AL12:AL17" si="6">F12-$AG12</f>
        <v>0</v>
      </c>
      <c r="AM12" s="187">
        <f t="shared" ref="AM12:AM17" si="7">G12-$AG12</f>
        <v>0</v>
      </c>
      <c r="AN12" s="187">
        <f t="shared" ref="AN12:AN17" si="8">H12-$AG12</f>
        <v>0</v>
      </c>
      <c r="AO12" s="187">
        <f t="shared" ref="AO12:AO17" si="9">I12-$AG12</f>
        <v>0</v>
      </c>
    </row>
    <row r="13" spans="1:41" ht="27" customHeight="1" x14ac:dyDescent="0.3">
      <c r="A13" s="185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6"/>
      <c r="T13" s="185"/>
      <c r="U13" s="185"/>
      <c r="V13" s="185"/>
      <c r="W13" s="185"/>
      <c r="X13" s="185"/>
      <c r="Y13" s="185"/>
      <c r="Z13" s="185"/>
      <c r="AA13" s="186"/>
      <c r="AB13" s="186"/>
      <c r="AC13" s="186"/>
      <c r="AD13" s="186"/>
      <c r="AE13" s="186"/>
      <c r="AF13" s="186"/>
      <c r="AG13" s="84"/>
      <c r="AH13" s="187">
        <f t="shared" si="2"/>
        <v>0</v>
      </c>
      <c r="AI13" s="187">
        <f t="shared" si="3"/>
        <v>0</v>
      </c>
      <c r="AJ13" s="187">
        <f t="shared" si="4"/>
        <v>0</v>
      </c>
      <c r="AK13" s="187">
        <f t="shared" si="5"/>
        <v>0</v>
      </c>
      <c r="AL13" s="187">
        <f t="shared" si="6"/>
        <v>0</v>
      </c>
      <c r="AM13" s="187">
        <f t="shared" si="7"/>
        <v>0</v>
      </c>
      <c r="AN13" s="187">
        <f t="shared" si="8"/>
        <v>0</v>
      </c>
      <c r="AO13" s="187">
        <f t="shared" si="9"/>
        <v>0</v>
      </c>
    </row>
    <row r="14" spans="1:41" ht="27" customHeight="1" x14ac:dyDescent="0.3">
      <c r="A14" s="185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6"/>
      <c r="T14" s="185"/>
      <c r="U14" s="185"/>
      <c r="V14" s="185"/>
      <c r="W14" s="185"/>
      <c r="X14" s="185"/>
      <c r="Y14" s="185"/>
      <c r="Z14" s="185"/>
      <c r="AA14" s="186"/>
      <c r="AB14" s="186"/>
      <c r="AC14" s="186"/>
      <c r="AD14" s="186"/>
      <c r="AE14" s="186"/>
      <c r="AF14" s="186"/>
      <c r="AG14" s="84"/>
      <c r="AH14" s="187">
        <f t="shared" si="2"/>
        <v>0</v>
      </c>
      <c r="AI14" s="187">
        <f t="shared" si="3"/>
        <v>0</v>
      </c>
      <c r="AJ14" s="187">
        <f t="shared" si="4"/>
        <v>0</v>
      </c>
      <c r="AK14" s="187">
        <f t="shared" si="5"/>
        <v>0</v>
      </c>
      <c r="AL14" s="187">
        <f t="shared" si="6"/>
        <v>0</v>
      </c>
      <c r="AM14" s="187">
        <f t="shared" si="7"/>
        <v>0</v>
      </c>
      <c r="AN14" s="187">
        <f t="shared" si="8"/>
        <v>0</v>
      </c>
      <c r="AO14" s="187">
        <f t="shared" si="9"/>
        <v>0</v>
      </c>
    </row>
    <row r="15" spans="1:41" ht="27" customHeight="1" x14ac:dyDescent="0.3">
      <c r="A15" s="185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6"/>
      <c r="T15" s="185"/>
      <c r="U15" s="185"/>
      <c r="V15" s="185"/>
      <c r="W15" s="185"/>
      <c r="X15" s="185"/>
      <c r="Y15" s="185"/>
      <c r="Z15" s="185"/>
      <c r="AA15" s="186"/>
      <c r="AB15" s="186"/>
      <c r="AC15" s="186"/>
      <c r="AD15" s="186"/>
      <c r="AE15" s="186"/>
      <c r="AF15" s="186"/>
      <c r="AG15" s="84"/>
      <c r="AH15" s="187">
        <f t="shared" si="2"/>
        <v>0</v>
      </c>
      <c r="AI15" s="187">
        <f t="shared" si="3"/>
        <v>0</v>
      </c>
      <c r="AJ15" s="187">
        <f t="shared" si="4"/>
        <v>0</v>
      </c>
      <c r="AK15" s="187">
        <f t="shared" si="5"/>
        <v>0</v>
      </c>
      <c r="AL15" s="187">
        <f t="shared" si="6"/>
        <v>0</v>
      </c>
      <c r="AM15" s="187">
        <f t="shared" si="7"/>
        <v>0</v>
      </c>
      <c r="AN15" s="187">
        <f t="shared" si="8"/>
        <v>0</v>
      </c>
      <c r="AO15" s="187">
        <f t="shared" si="9"/>
        <v>0</v>
      </c>
    </row>
    <row r="16" spans="1:41" ht="27" customHeight="1" x14ac:dyDescent="0.3">
      <c r="A16" s="185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6"/>
      <c r="T16" s="185"/>
      <c r="U16" s="185"/>
      <c r="V16" s="185"/>
      <c r="W16" s="185"/>
      <c r="X16" s="185"/>
      <c r="Y16" s="185"/>
      <c r="Z16" s="185"/>
      <c r="AA16" s="186"/>
      <c r="AB16" s="186"/>
      <c r="AC16" s="186"/>
      <c r="AD16" s="186"/>
      <c r="AE16" s="186"/>
      <c r="AF16" s="186"/>
      <c r="AG16" s="84"/>
      <c r="AH16" s="187">
        <f t="shared" si="2"/>
        <v>0</v>
      </c>
      <c r="AI16" s="187">
        <f t="shared" si="3"/>
        <v>0</v>
      </c>
      <c r="AJ16" s="187">
        <f t="shared" si="4"/>
        <v>0</v>
      </c>
      <c r="AK16" s="187">
        <f t="shared" si="5"/>
        <v>0</v>
      </c>
      <c r="AL16" s="187">
        <f t="shared" si="6"/>
        <v>0</v>
      </c>
      <c r="AM16" s="187">
        <f t="shared" si="7"/>
        <v>0</v>
      </c>
      <c r="AN16" s="187">
        <f t="shared" si="8"/>
        <v>0</v>
      </c>
      <c r="AO16" s="187">
        <f t="shared" si="9"/>
        <v>0</v>
      </c>
    </row>
    <row r="17" spans="1:41" ht="27" customHeight="1" x14ac:dyDescent="0.3">
      <c r="A17" s="185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6"/>
      <c r="T17" s="185"/>
      <c r="U17" s="185"/>
      <c r="V17" s="185"/>
      <c r="W17" s="185"/>
      <c r="X17" s="185"/>
      <c r="Y17" s="185"/>
      <c r="Z17" s="185"/>
      <c r="AA17" s="186"/>
      <c r="AB17" s="186"/>
      <c r="AC17" s="186"/>
      <c r="AD17" s="186"/>
      <c r="AE17" s="186"/>
      <c r="AF17" s="186"/>
      <c r="AG17" s="84"/>
      <c r="AH17" s="187">
        <f t="shared" si="2"/>
        <v>0</v>
      </c>
      <c r="AI17" s="187">
        <f t="shared" si="3"/>
        <v>0</v>
      </c>
      <c r="AJ17" s="187">
        <f t="shared" si="4"/>
        <v>0</v>
      </c>
      <c r="AK17" s="187">
        <f t="shared" si="5"/>
        <v>0</v>
      </c>
      <c r="AL17" s="187">
        <f t="shared" si="6"/>
        <v>0</v>
      </c>
      <c r="AM17" s="187">
        <f t="shared" si="7"/>
        <v>0</v>
      </c>
      <c r="AN17" s="187">
        <f t="shared" si="8"/>
        <v>0</v>
      </c>
      <c r="AO17" s="187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E7"/>
  <sheetViews>
    <sheetView zoomScale="70" zoomScaleNormal="70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1" width="5.75" style="149" customWidth="1"/>
    <col min="42" max="42" width="7.375" style="149" customWidth="1"/>
    <col min="46" max="46" width="7.75" customWidth="1"/>
    <col min="48" max="53" width="9" style="149"/>
    <col min="56" max="56" width="8.125" customWidth="1"/>
  </cols>
  <sheetData>
    <row r="1" spans="1:57" ht="64.150000000000006" customHeight="1" x14ac:dyDescent="0.3">
      <c r="A1" s="296" t="str">
        <f>"(SO멍텅구리) " &amp;정보!B1&amp;" " &amp;정보!B6 &amp; " 소장"</f>
        <v>(SO멍텅구리) 경기도 의정부 드림밸리아파트-4차 박철우 소장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296"/>
      <c r="AM1" s="153"/>
      <c r="AN1" s="153"/>
      <c r="AO1" s="381" t="s">
        <v>76</v>
      </c>
      <c r="AP1" s="381"/>
      <c r="AV1" s="43"/>
    </row>
    <row r="2" spans="1:57" ht="28.5" customHeight="1" x14ac:dyDescent="0.3">
      <c r="A2" s="191" t="s">
        <v>86</v>
      </c>
      <c r="B2" s="218">
        <v>2</v>
      </c>
      <c r="C2" s="468" t="s">
        <v>297</v>
      </c>
      <c r="D2" s="468"/>
      <c r="E2" s="219">
        <v>2</v>
      </c>
      <c r="F2" s="153"/>
      <c r="G2" s="153"/>
      <c r="H2" s="388" t="s">
        <v>82</v>
      </c>
      <c r="I2" s="388"/>
      <c r="J2" s="388"/>
      <c r="K2" s="394">
        <v>0</v>
      </c>
      <c r="L2" s="394"/>
      <c r="M2" s="394"/>
      <c r="N2" s="394"/>
      <c r="O2" s="463" t="s">
        <v>114</v>
      </c>
      <c r="P2" s="463"/>
      <c r="Q2" s="463"/>
      <c r="R2" s="463"/>
      <c r="S2" s="392">
        <v>1</v>
      </c>
      <c r="T2" s="392"/>
      <c r="U2" s="389" t="s">
        <v>104</v>
      </c>
      <c r="V2" s="390"/>
      <c r="W2" s="188">
        <v>0</v>
      </c>
      <c r="X2" s="464" t="s">
        <v>89</v>
      </c>
      <c r="Y2" s="393"/>
      <c r="Z2" s="465">
        <v>8</v>
      </c>
      <c r="AA2" s="465"/>
      <c r="AB2" s="40"/>
      <c r="AC2" s="383" t="s">
        <v>83</v>
      </c>
      <c r="AD2" s="384"/>
      <c r="AE2" s="466">
        <v>4</v>
      </c>
      <c r="AF2" s="466"/>
      <c r="AG2" s="192" t="s">
        <v>91</v>
      </c>
      <c r="AH2" s="467">
        <v>4</v>
      </c>
      <c r="AI2" s="467"/>
      <c r="AJ2" s="117"/>
      <c r="AK2" s="117"/>
      <c r="AL2" s="117"/>
      <c r="AM2" s="117"/>
      <c r="AN2" s="117"/>
      <c r="AO2" s="381"/>
      <c r="AP2" s="381"/>
      <c r="AV2" s="43"/>
    </row>
    <row r="3" spans="1:57" ht="33" customHeight="1" x14ac:dyDescent="0.3">
      <c r="A3" s="56" t="str">
        <f>'SO멍텅(실측)'!A3</f>
        <v>현장명 : 경기도 의정부 드림밸리아파트-4차,   (재질) : HL 1.2T</v>
      </c>
      <c r="B3" s="2"/>
      <c r="C3" s="2"/>
      <c r="D3" s="2"/>
      <c r="E3" s="2"/>
      <c r="F3" s="2"/>
      <c r="G3" s="2"/>
      <c r="H3" s="215"/>
      <c r="I3" s="398" t="s">
        <v>77</v>
      </c>
      <c r="J3" s="398"/>
      <c r="K3" s="397">
        <v>5</v>
      </c>
      <c r="L3" s="397"/>
      <c r="M3" s="397"/>
      <c r="N3" s="397"/>
      <c r="O3" s="398" t="s">
        <v>78</v>
      </c>
      <c r="P3" s="398"/>
      <c r="Q3" s="399">
        <v>8</v>
      </c>
      <c r="R3" s="399"/>
      <c r="S3" s="400" t="s">
        <v>234</v>
      </c>
      <c r="T3" s="400"/>
      <c r="U3" s="400"/>
      <c r="V3" s="401">
        <f>BD7</f>
        <v>1</v>
      </c>
      <c r="W3" s="401"/>
      <c r="X3" s="393" t="s">
        <v>79</v>
      </c>
      <c r="Y3" s="393"/>
      <c r="Z3" s="386">
        <v>3</v>
      </c>
      <c r="AA3" s="386"/>
      <c r="AB3" s="154"/>
      <c r="AE3" s="306" t="s">
        <v>74</v>
      </c>
      <c r="AF3" s="306"/>
      <c r="AG3" s="216">
        <v>4</v>
      </c>
      <c r="AH3" s="186" t="s">
        <v>75</v>
      </c>
      <c r="AI3" s="217">
        <v>4</v>
      </c>
      <c r="AJ3" s="30"/>
      <c r="AK3" s="30"/>
      <c r="AL3" s="30"/>
      <c r="AM3" s="30"/>
      <c r="AN3" s="30"/>
      <c r="AO3" s="44"/>
      <c r="AP3" s="43"/>
      <c r="AV3" s="43"/>
    </row>
    <row r="4" spans="1:57" ht="33" customHeight="1" x14ac:dyDescent="0.3">
      <c r="A4" s="293" t="str">
        <f>'SO멍텅(실측)'!A4:AA4</f>
        <v>제작치수 반영 : JB/JD +(5 ),  늘어난치수K -(4),  C + (8),  U +(8), OP1/OP2 - (2), R - (2),  기둥차감 (4),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151"/>
      <c r="AH4" s="410">
        <f ca="1">TODAY()</f>
        <v>44881</v>
      </c>
      <c r="AI4" s="294"/>
      <c r="AJ4" s="408" t="s">
        <v>242</v>
      </c>
      <c r="AK4" s="408"/>
      <c r="AL4" s="409"/>
      <c r="AM4" s="304" t="s">
        <v>216</v>
      </c>
      <c r="AN4" s="304"/>
      <c r="AO4" s="44"/>
      <c r="AP4" s="43"/>
      <c r="AV4" s="43"/>
      <c r="BD4" s="308" t="s">
        <v>260</v>
      </c>
    </row>
    <row r="5" spans="1:57" ht="25.9" customHeight="1" x14ac:dyDescent="0.3">
      <c r="A5" s="298" t="s">
        <v>0</v>
      </c>
      <c r="B5" s="298" t="s">
        <v>1</v>
      </c>
      <c r="C5" s="298" t="s">
        <v>255</v>
      </c>
      <c r="D5" s="298" t="s">
        <v>254</v>
      </c>
      <c r="E5" s="298" t="s">
        <v>18</v>
      </c>
      <c r="F5" s="299" t="s">
        <v>59</v>
      </c>
      <c r="G5" s="299" t="s">
        <v>60</v>
      </c>
      <c r="H5" s="411" t="s">
        <v>61</v>
      </c>
      <c r="I5" s="411" t="s">
        <v>65</v>
      </c>
      <c r="J5" s="461" t="s">
        <v>66</v>
      </c>
      <c r="K5" s="461" t="s">
        <v>67</v>
      </c>
      <c r="L5" s="446" t="s">
        <v>247</v>
      </c>
      <c r="M5" s="448" t="s">
        <v>248</v>
      </c>
      <c r="N5" s="369" t="s">
        <v>63</v>
      </c>
      <c r="O5" s="369" t="s">
        <v>64</v>
      </c>
      <c r="P5" s="298" t="s">
        <v>8</v>
      </c>
      <c r="Q5" s="298" t="s">
        <v>9</v>
      </c>
      <c r="R5" s="298" t="s">
        <v>10</v>
      </c>
      <c r="S5" s="298" t="s">
        <v>11</v>
      </c>
      <c r="T5" s="298" t="s">
        <v>14</v>
      </c>
      <c r="U5" s="298" t="s">
        <v>15</v>
      </c>
      <c r="V5" s="298" t="s">
        <v>16</v>
      </c>
      <c r="W5" s="298" t="s">
        <v>17</v>
      </c>
      <c r="X5" s="298" t="s">
        <v>19</v>
      </c>
      <c r="Y5" s="404" t="s">
        <v>20</v>
      </c>
      <c r="Z5" s="369" t="s">
        <v>22</v>
      </c>
      <c r="AA5" s="440" t="s">
        <v>249</v>
      </c>
      <c r="AB5" s="441" t="s">
        <v>245</v>
      </c>
      <c r="AC5" s="371" t="s">
        <v>21</v>
      </c>
      <c r="AD5" s="372"/>
      <c r="AE5" s="372"/>
      <c r="AF5" s="373"/>
      <c r="AG5" s="299" t="s">
        <v>25</v>
      </c>
      <c r="AH5" s="406" t="s">
        <v>34</v>
      </c>
      <c r="AI5" s="299" t="s">
        <v>35</v>
      </c>
      <c r="AJ5" s="444" t="s">
        <v>204</v>
      </c>
      <c r="AK5" s="444"/>
      <c r="AL5" s="444"/>
      <c r="AM5" s="302" t="s">
        <v>213</v>
      </c>
      <c r="AN5" s="303"/>
      <c r="AO5" s="314" t="s">
        <v>52</v>
      </c>
      <c r="AP5" s="405" t="s">
        <v>51</v>
      </c>
      <c r="AX5" s="309" t="s">
        <v>28</v>
      </c>
      <c r="AY5" s="309"/>
      <c r="AZ5" s="309" t="s">
        <v>29</v>
      </c>
      <c r="BA5" s="309"/>
      <c r="BD5" s="309"/>
    </row>
    <row r="6" spans="1:57" ht="48" customHeight="1" x14ac:dyDescent="0.3">
      <c r="A6" s="298"/>
      <c r="B6" s="298"/>
      <c r="C6" s="298"/>
      <c r="D6" s="298"/>
      <c r="E6" s="298"/>
      <c r="F6" s="298"/>
      <c r="G6" s="298"/>
      <c r="H6" s="412"/>
      <c r="I6" s="412"/>
      <c r="J6" s="462"/>
      <c r="K6" s="462"/>
      <c r="L6" s="447"/>
      <c r="M6" s="449"/>
      <c r="N6" s="370"/>
      <c r="O6" s="370"/>
      <c r="P6" s="298"/>
      <c r="Q6" s="298"/>
      <c r="R6" s="298"/>
      <c r="S6" s="298"/>
      <c r="T6" s="298"/>
      <c r="U6" s="298"/>
      <c r="V6" s="298"/>
      <c r="W6" s="298"/>
      <c r="X6" s="298"/>
      <c r="Y6" s="404"/>
      <c r="Z6" s="370"/>
      <c r="AA6" s="440"/>
      <c r="AB6" s="441"/>
      <c r="AC6" s="145" t="s">
        <v>57</v>
      </c>
      <c r="AD6" s="145" t="s">
        <v>58</v>
      </c>
      <c r="AE6" s="145" t="s">
        <v>55</v>
      </c>
      <c r="AF6" s="145" t="s">
        <v>56</v>
      </c>
      <c r="AG6" s="298"/>
      <c r="AH6" s="407"/>
      <c r="AI6" s="298"/>
      <c r="AJ6" s="150" t="s">
        <v>201</v>
      </c>
      <c r="AK6" s="150" t="s">
        <v>202</v>
      </c>
      <c r="AL6" s="150" t="s">
        <v>81</v>
      </c>
      <c r="AM6" s="121" t="s">
        <v>214</v>
      </c>
      <c r="AN6" s="121" t="s">
        <v>215</v>
      </c>
      <c r="AO6" s="314"/>
      <c r="AP6" s="405"/>
      <c r="AQ6" s="35" t="s">
        <v>256</v>
      </c>
      <c r="AR6" s="35" t="s">
        <v>257</v>
      </c>
      <c r="AS6" s="155" t="s">
        <v>111</v>
      </c>
      <c r="AT6" s="73" t="s">
        <v>112</v>
      </c>
      <c r="AU6" s="36" t="s">
        <v>110</v>
      </c>
      <c r="AV6" s="149" t="s">
        <v>27</v>
      </c>
      <c r="AW6" s="149" t="s">
        <v>26</v>
      </c>
      <c r="AX6" s="149" t="s">
        <v>30</v>
      </c>
      <c r="AY6" s="149" t="s">
        <v>31</v>
      </c>
      <c r="AZ6" s="149" t="s">
        <v>30</v>
      </c>
      <c r="BA6" s="149" t="s">
        <v>31</v>
      </c>
      <c r="BB6" s="12" t="s">
        <v>49</v>
      </c>
      <c r="BC6" s="148" t="s">
        <v>113</v>
      </c>
      <c r="BD6" s="134" t="s">
        <v>232</v>
      </c>
      <c r="BE6" s="138" t="s">
        <v>240</v>
      </c>
    </row>
    <row r="7" spans="1:57" ht="30.75" customHeight="1" x14ac:dyDescent="0.3">
      <c r="A7" s="144">
        <f>'SO멍텅(실측)'!A7</f>
        <v>0</v>
      </c>
      <c r="B7" s="144" t="str">
        <f>'SO멍텅(실측)'!B7&amp;"F"</f>
        <v>F</v>
      </c>
      <c r="C7" s="237">
        <f>'SO멍텅(실측)'!C7-멍텅OP</f>
        <v>-2</v>
      </c>
      <c r="D7" s="144">
        <f>'SO멍텅(실측)'!D7-멍텅OP</f>
        <v>-2</v>
      </c>
      <c r="E7" s="144">
        <f>'SO멍텅(실측)'!E7-멍텅R</f>
        <v>-2</v>
      </c>
      <c r="F7" s="146">
        <f>'SO멍텅(실측)'!F7+AO7+IF(BD7=1,AC7,0)+멍텅JBJD늘림치수</f>
        <v>1</v>
      </c>
      <c r="G7" s="146">
        <f>'SO멍텅(실측)'!G7+AO7+IF(BD7=1,AE7,0)+멍텅JBJD늘림치수</f>
        <v>1</v>
      </c>
      <c r="H7" s="61">
        <f>'SO멍텅(실측)'!H7+AO7+IF(BD7=1,AC7,0)+멍텅JB강제키움+멍텅JBJD늘림치수</f>
        <v>1</v>
      </c>
      <c r="I7" s="61">
        <f>'SO멍텅(실측)'!H7+AO7+IF(BD7=1,AD7,0)+멍텅JB강제키움+멍텅JBJD늘림치수-IF(멍텅JB하부늘치=1,'SO멍텅(실측)'!W7-'SO멍텅(실측)'!X7,0)</f>
        <v>1</v>
      </c>
      <c r="J7" s="61">
        <f>'SO멍텅(실측)'!I7+AO7+IF(BD7=1,AE7,0)+멍텅JB강제키움+멍텅JBJD늘림치수</f>
        <v>1</v>
      </c>
      <c r="K7" s="61">
        <f>'SO멍텅(실측)'!I7+AO7+IF(BD7=1,AF7,0)+멍텅JB강제키움+멍텅JBJD늘림치수-IF(멍텅JB하부늘치=1,'SO멍텅(실측)'!Y7-'SO멍텅(실측)'!Z7,0)</f>
        <v>1</v>
      </c>
      <c r="L7" s="164">
        <f>IF(BE7=0,F7+AC7-(G7+AE7),F7-G7)</f>
        <v>0</v>
      </c>
      <c r="M7" s="160">
        <f>IF(BL7=0,H7+AC7-(J7+AE7),H7-J7)</f>
        <v>0</v>
      </c>
      <c r="N7" s="144">
        <f t="shared" ref="N7:O7" si="0">P7+IF(소장="손상민",0,-1.5)</f>
        <v>-0.5</v>
      </c>
      <c r="O7" s="144">
        <f t="shared" si="0"/>
        <v>-0.5</v>
      </c>
      <c r="P7" s="144">
        <f>IF(R7&gt;0,'SO멍텅(실측)'!J7+멍텅C늘림,'SO멍텅(실측)'!J7+1)</f>
        <v>1</v>
      </c>
      <c r="Q7" s="144">
        <f>IF(S7&gt;0,'SO멍텅(실측)'!K7+멍텅C늘림,'SO멍텅(실측)'!K7+1)</f>
        <v>1</v>
      </c>
      <c r="R7" s="144">
        <f>IF(ISNUMBER('SO멍텅(실측)'!L7),'SO멍텅(실측)'!L7+SO멍텅제작!AO7+멍텅A늘림,0)</f>
        <v>0</v>
      </c>
      <c r="S7" s="144">
        <f>IF(ISNUMBER('SO멍텅(실측)'!M7),'SO멍텅(실측)'!M7+SO멍텅제작!AO7+멍텅A늘림,0)</f>
        <v>0</v>
      </c>
      <c r="T7" s="144">
        <f>'SO멍텅(실측)'!N7-멍텅기둥차감</f>
        <v>-4</v>
      </c>
      <c r="U7" s="144">
        <f>'SO멍텅(실측)'!O7-멍텅기둥차감</f>
        <v>-4</v>
      </c>
      <c r="V7" s="144">
        <f>'SO멍텅(실측)'!P7-멍텅기둥차감</f>
        <v>-4</v>
      </c>
      <c r="W7" s="144">
        <f>'SO멍텅(실측)'!Q7-멍텅기둥차감</f>
        <v>-4</v>
      </c>
      <c r="X7" s="146">
        <f>IF(ISNUMBER('SO멍텅(실측)'!R7),IF(Y7&gt;0,'SO멍텅(실측)'!R7+멍텅U늘림,'SO멍텅(실측)'!R7+1.2),0)</f>
        <v>0</v>
      </c>
      <c r="Y7" s="146">
        <f>IF(OR(멍텅G="", 멍텅G=0),IF(ISNUMBER('SO멍텅(실측)'!S7),IF('SO멍텅(실측)'!S7+멍텅A늘림+AO7&gt;9,'SO멍텅(실측)'!S7+멍텅A늘림+AO7,'SO멍텅(실측)'!S7+멍텅A늘림+AO7),0),멍텅G)</f>
        <v>0</v>
      </c>
      <c r="Z7" s="144">
        <f>'SO멍텅(실측)'!T7+뒷날개치수더함</f>
        <v>0</v>
      </c>
      <c r="AA7" s="144">
        <f>'SO멍텅(실측)'!U7+뒷날개치수더함</f>
        <v>0</v>
      </c>
      <c r="AB7" s="144">
        <f>'SO멍텅(실측)'!V7+뒷날개치수더함</f>
        <v>0</v>
      </c>
      <c r="AC7" s="28">
        <f>'SO멍텅(실측)'!W7-멍텅늘치차감</f>
        <v>-4</v>
      </c>
      <c r="AD7" s="28">
        <f>IF(멍텅JB하부늘치=1,AC7,'SO멍텅(실측)'!X7-멍텅늘치차감)</f>
        <v>-4</v>
      </c>
      <c r="AE7" s="28">
        <f>'SO멍텅(실측)'!Y7-멍텅늘치차감</f>
        <v>-4</v>
      </c>
      <c r="AF7" s="28">
        <f>IF(멍텅JB하부늘치=1,AE7,'SO멍텅(실측)'!Z7-멍텅늘치차감)</f>
        <v>-4</v>
      </c>
      <c r="AG7" s="26" t="str">
        <f t="shared" ref="AG7" si="1">AV7&amp;"*"&amp;AW7</f>
        <v>-2*-2.6</v>
      </c>
      <c r="AH7" s="27" t="str">
        <f t="shared" ref="AH7" si="2">AY7&amp;"*"&amp;AX7</f>
        <v>-4*-1.6</v>
      </c>
      <c r="AI7" s="25" t="str">
        <f t="shared" ref="AI7" si="3">BA7&amp;"*"&amp;AZ7</f>
        <v>-4*-1.6</v>
      </c>
      <c r="AJ7" s="146">
        <f>IF('SO멍텅(실측)'!AA7&gt;5,'SO멍텅(실측)'!AA7+뒷날개치수더함,'SO멍텅(실측)'!AA7)</f>
        <v>0</v>
      </c>
      <c r="AK7" s="146">
        <f>'SO멍텅(실측)'!AB7</f>
        <v>0</v>
      </c>
      <c r="AL7" s="146">
        <f>'SO멍텅(실측)'!AC7</f>
        <v>0</v>
      </c>
      <c r="AM7" s="54">
        <f>IF('SO멍텅(실측)'!AD7&gt;0,'SO멍텅(실측)'!AD7-'SO멍텅(실측)'!T7+1.2,0)</f>
        <v>0</v>
      </c>
      <c r="AN7" s="54">
        <f>IF('SO멍텅(실측)'!AE7&gt;0,'SO멍텅(실측)'!AE7-'SO멍텅(실측)'!T7+1.2,0)</f>
        <v>0</v>
      </c>
      <c r="AO7" s="149">
        <f>IF(ISNUMBER('SO멍텅(실측)'!L7),IF(9-MIN('SO멍텅(실측)'!L7+멍텅A늘림,'SO멍텅(실측)'!M7+멍텅A늘림)+AP7&lt;AP7,AP7,9-MIN('SO멍텅(실측)'!L7+멍텅A늘림,'SO멍텅(실측)'!M7+멍텅A늘림)+AP7),0)</f>
        <v>0</v>
      </c>
      <c r="AP7" s="157"/>
      <c r="AQ7" s="34">
        <f>DEGREES(ATAN((E7-(C7+D7))/2/(F7)))</f>
        <v>45</v>
      </c>
      <c r="AR7" s="34">
        <f>DEGREES(ATAN((E7-(C7+D7))/2/(G7)))</f>
        <v>45</v>
      </c>
      <c r="AS7" s="59">
        <f>ABS(F7-COS(RADIANS(AQ7))*H7)</f>
        <v>0.29289321881345243</v>
      </c>
      <c r="AT7" s="59">
        <f>G7-COS(RADIANS(AR7))*J7</f>
        <v>0.29289321881345243</v>
      </c>
      <c r="AU7" s="72" t="str">
        <f t="shared" ref="AU7" si="4">IF(F7+AC7&lt;&gt;G7+AE7,"JD비대칭","")</f>
        <v/>
      </c>
      <c r="AV7" s="149">
        <f>E7 + IF(X7+Y7&gt;0, N7+O7,0)</f>
        <v>-2</v>
      </c>
      <c r="AW7" s="149">
        <f>X7+MAX(F7,G7)+Z7+Y7-1.2*$AG$3+IF(BD7=0,MAX(AC7,AE7))+IF(Y7=0,1.2,0)</f>
        <v>-2.5999999999999996</v>
      </c>
      <c r="AX7" s="149">
        <f>R7+P7+MAX(H7,I7)+AA7-1.2*$AI$3+IF(BD7=0,MAX(AC7,AD7))+IF(R7=0,1.2,0)-IF(AL7=90,2.4,0)</f>
        <v>-1.5999999999999999</v>
      </c>
      <c r="AY7" s="149">
        <f t="shared" ref="AY7" si="5">MAX(T7,U7)</f>
        <v>-4</v>
      </c>
      <c r="AZ7" s="149">
        <f>S7+Q7+MAX(J7,K7)+AB7-1.2*$AI$3+IF(BD7=0,MAX(AE7,AF7))+IF(S7=0,1.2,0)-IF(AL7=90,2.4,0)</f>
        <v>-1.5999999999999999</v>
      </c>
      <c r="BA7" s="149">
        <f t="shared" ref="BA7" si="6">MAX(V7,W7)</f>
        <v>-4</v>
      </c>
      <c r="BB7">
        <f t="shared" ref="BB7" si="7">H7-F7</f>
        <v>0</v>
      </c>
      <c r="BC7">
        <f t="shared" ref="BC7" si="8">9-Y7</f>
        <v>9</v>
      </c>
      <c r="BD7" s="135">
        <f>IF(AND(MIN(AC7,AE7)&gt;=9.2,E7-(C7+D7)&gt;15),0,1)</f>
        <v>1</v>
      </c>
      <c r="BE7" s="139">
        <f>IF(소장="손상민",'SO멍텅(실측)'!AF7,0)</f>
        <v>0</v>
      </c>
    </row>
  </sheetData>
  <mergeCells count="65">
    <mergeCell ref="A1:AL1"/>
    <mergeCell ref="AO1:AP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Z3:AA3"/>
    <mergeCell ref="AJ4:AL4"/>
    <mergeCell ref="AM4:AN4"/>
    <mergeCell ref="I3:J3"/>
    <mergeCell ref="K3:N3"/>
    <mergeCell ref="O3:P3"/>
    <mergeCell ref="Q3:R3"/>
    <mergeCell ref="S3:U3"/>
    <mergeCell ref="AE3:AF3"/>
    <mergeCell ref="A4:AF4"/>
    <mergeCell ref="AH4:AI4"/>
    <mergeCell ref="V3:W3"/>
    <mergeCell ref="X3:Y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I5:AI6"/>
    <mergeCell ref="AB5:AB6"/>
    <mergeCell ref="AA5:AA6"/>
    <mergeCell ref="AC5:AF5"/>
    <mergeCell ref="AG5:AG6"/>
    <mergeCell ref="AJ5:AL5"/>
    <mergeCell ref="N5:N6"/>
    <mergeCell ref="BD4:BD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P5:AP6"/>
    <mergeCell ref="AX5:AY5"/>
    <mergeCell ref="AZ5:BA5"/>
    <mergeCell ref="AH5:AH6"/>
  </mergeCells>
  <phoneticPr fontId="1" type="noConversion"/>
  <conditionalFormatting sqref="E7">
    <cfRule type="cellIs" dxfId="36" priority="23" operator="greaterThan">
      <formula>1210</formula>
    </cfRule>
  </conditionalFormatting>
  <conditionalFormatting sqref="F7">
    <cfRule type="cellIs" dxfId="35" priority="21" operator="notEqual">
      <formula>G7</formula>
    </cfRule>
  </conditionalFormatting>
  <conditionalFormatting sqref="G7">
    <cfRule type="cellIs" dxfId="34" priority="20" operator="notEqual">
      <formula>F7</formula>
    </cfRule>
  </conditionalFormatting>
  <conditionalFormatting sqref="AJ7:AL7">
    <cfRule type="cellIs" dxfId="33" priority="11" operator="greaterThan">
      <formula>1.2</formula>
    </cfRule>
  </conditionalFormatting>
  <conditionalFormatting sqref="L7:M7">
    <cfRule type="cellIs" dxfId="32" priority="7" operator="greaterThan">
      <formula>500</formula>
    </cfRule>
  </conditionalFormatting>
  <conditionalFormatting sqref="J7">
    <cfRule type="cellIs" dxfId="31" priority="5" operator="notEqual">
      <formula>K7</formula>
    </cfRule>
  </conditionalFormatting>
  <conditionalFormatting sqref="K7">
    <cfRule type="cellIs" dxfId="30" priority="4" operator="notEqual">
      <formula>J7</formula>
    </cfRule>
  </conditionalFormatting>
  <conditionalFormatting sqref="H7">
    <cfRule type="cellIs" dxfId="29" priority="3" operator="notEqual">
      <formula>I7</formula>
    </cfRule>
  </conditionalFormatting>
  <conditionalFormatting sqref="I7">
    <cfRule type="cellIs" dxfId="28" priority="2" operator="notEqual">
      <formula>H7</formula>
    </cfRule>
  </conditionalFormatting>
  <conditionalFormatting sqref="AC7:AF7">
    <cfRule type="expression" dxfId="27" priority="1">
      <formula>$BD7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297" t="str">
        <f>"(4CO막판 와이드) " &amp;정보!B1 &amp; "  " &amp; 정보!B6 &amp;" 소장"</f>
        <v>(4CO막판 와이드) 경기도 의정부 드림밸리아파트-4차  박철우 소장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60"/>
      <c r="AK1" s="166"/>
      <c r="AL1" s="166"/>
      <c r="AM1" s="166"/>
    </row>
    <row r="2" spans="1:48" ht="15" customHeight="1" x14ac:dyDescent="0.3">
      <c r="A2" s="175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297"/>
      <c r="AC2" s="297"/>
      <c r="AD2" s="297"/>
      <c r="AE2" s="297"/>
      <c r="AF2" s="297"/>
      <c r="AG2" s="297"/>
      <c r="AH2" s="297"/>
      <c r="AI2" s="297"/>
      <c r="AJ2" s="175"/>
      <c r="AK2" s="175"/>
      <c r="AL2" s="175"/>
      <c r="AM2" s="175"/>
    </row>
    <row r="3" spans="1:48" ht="33" customHeight="1" x14ac:dyDescent="0.3">
      <c r="A3" s="9" t="str">
        <f>"현장명 : " &amp; 정보!B1 &amp; ",   (재질) : " &amp; 정보!B7</f>
        <v>현장명 : 경기도 의정부 드림밸리아파트-4차,   (재질) : VIB 1.2T</v>
      </c>
      <c r="B3" s="9"/>
      <c r="C3" s="2"/>
      <c r="D3" s="2"/>
      <c r="E3" s="2"/>
      <c r="F3" s="2"/>
      <c r="G3" s="2"/>
      <c r="H3" s="2"/>
      <c r="I3" s="2"/>
      <c r="J3" s="2"/>
      <c r="K3" s="2"/>
      <c r="L3" s="2"/>
      <c r="M3" s="58"/>
      <c r="N3" s="58"/>
      <c r="O3" s="305" t="s">
        <v>99</v>
      </c>
      <c r="P3" s="305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297"/>
      <c r="AC3" s="297"/>
      <c r="AD3" s="297"/>
      <c r="AE3" s="297"/>
      <c r="AF3" s="297"/>
      <c r="AG3" s="297"/>
      <c r="AH3" s="297"/>
      <c r="AI3" s="297"/>
      <c r="AJ3" s="57"/>
      <c r="AK3" s="57"/>
      <c r="AL3" s="57"/>
      <c r="AM3" s="57"/>
    </row>
    <row r="4" spans="1:48" ht="33" customHeight="1" x14ac:dyDescent="0.3">
      <c r="A4" s="439" t="str">
        <f>정보!B15</f>
        <v>제작치수 반영 : MH + (2), JB/JD +(5 ),  늘어난치수K -(4),  C + (8),   U + (8), OP1/OP3 - (2), R - (2),  기둥차감 - (4), A + (3)</v>
      </c>
      <c r="B4" s="439"/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292"/>
      <c r="Y4" s="292"/>
      <c r="Z4" s="292"/>
      <c r="AA4" s="294"/>
      <c r="AB4" s="294"/>
      <c r="AC4" s="294"/>
      <c r="AD4" s="294"/>
      <c r="AE4" s="294"/>
      <c r="AF4" s="294"/>
      <c r="AG4" s="295"/>
      <c r="AH4" s="304" t="s">
        <v>216</v>
      </c>
      <c r="AI4" s="304"/>
      <c r="AJ4" s="122"/>
      <c r="AK4" s="170"/>
      <c r="AL4" s="170"/>
      <c r="AM4" s="170"/>
    </row>
    <row r="5" spans="1:48" ht="25.9" customHeight="1" x14ac:dyDescent="0.3">
      <c r="A5" s="298" t="s">
        <v>0</v>
      </c>
      <c r="B5" s="298" t="s">
        <v>1</v>
      </c>
      <c r="C5" s="298" t="s">
        <v>2</v>
      </c>
      <c r="D5" s="298" t="s">
        <v>24</v>
      </c>
      <c r="E5" s="298" t="s">
        <v>261</v>
      </c>
      <c r="F5" s="298" t="s">
        <v>246</v>
      </c>
      <c r="G5" s="298" t="s">
        <v>262</v>
      </c>
      <c r="H5" s="298" t="s">
        <v>18</v>
      </c>
      <c r="I5" s="298" t="s">
        <v>4</v>
      </c>
      <c r="J5" s="298" t="s">
        <v>5</v>
      </c>
      <c r="K5" s="298" t="s">
        <v>263</v>
      </c>
      <c r="L5" s="298" t="s">
        <v>6</v>
      </c>
      <c r="M5" s="298" t="s">
        <v>7</v>
      </c>
      <c r="N5" s="306" t="s">
        <v>47</v>
      </c>
      <c r="O5" s="306" t="s">
        <v>9</v>
      </c>
      <c r="P5" s="298" t="s">
        <v>12</v>
      </c>
      <c r="Q5" s="298" t="s">
        <v>13</v>
      </c>
      <c r="R5" s="298" t="s">
        <v>10</v>
      </c>
      <c r="S5" s="298" t="s">
        <v>11</v>
      </c>
      <c r="T5" s="298" t="s">
        <v>14</v>
      </c>
      <c r="U5" s="298" t="s">
        <v>15</v>
      </c>
      <c r="V5" s="298" t="s">
        <v>16</v>
      </c>
      <c r="W5" s="298" t="s">
        <v>17</v>
      </c>
      <c r="X5" s="298" t="s">
        <v>19</v>
      </c>
      <c r="Y5" s="299" t="s">
        <v>48</v>
      </c>
      <c r="Z5" s="299" t="s">
        <v>22</v>
      </c>
      <c r="AA5" s="299" t="s">
        <v>23</v>
      </c>
      <c r="AB5" s="298" t="s">
        <v>21</v>
      </c>
      <c r="AC5" s="298"/>
      <c r="AD5" s="298"/>
      <c r="AE5" s="298"/>
      <c r="AF5" s="300" t="s">
        <v>92</v>
      </c>
      <c r="AG5" s="300" t="s">
        <v>93</v>
      </c>
      <c r="AH5" s="302" t="s">
        <v>213</v>
      </c>
      <c r="AI5" s="303"/>
      <c r="AJ5" s="299" t="s">
        <v>200</v>
      </c>
      <c r="AK5" s="299" t="s">
        <v>204</v>
      </c>
      <c r="AL5" s="299"/>
      <c r="AM5" s="299"/>
    </row>
    <row r="6" spans="1:48" ht="44.25" customHeight="1" x14ac:dyDescent="0.3">
      <c r="A6" s="298"/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298"/>
      <c r="M6" s="298"/>
      <c r="N6" s="306"/>
      <c r="O6" s="306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9"/>
      <c r="AA6" s="299"/>
      <c r="AB6" s="169" t="s">
        <v>43</v>
      </c>
      <c r="AC6" s="169" t="s">
        <v>44</v>
      </c>
      <c r="AD6" s="169" t="s">
        <v>45</v>
      </c>
      <c r="AE6" s="169" t="s">
        <v>46</v>
      </c>
      <c r="AF6" s="301"/>
      <c r="AG6" s="301"/>
      <c r="AH6" s="121" t="s">
        <v>214</v>
      </c>
      <c r="AI6" s="121" t="s">
        <v>215</v>
      </c>
      <c r="AJ6" s="298"/>
      <c r="AK6" s="167" t="s">
        <v>201</v>
      </c>
      <c r="AL6" s="167" t="s">
        <v>202</v>
      </c>
      <c r="AM6" s="167" t="s">
        <v>203</v>
      </c>
      <c r="AN6" s="81" t="s">
        <v>117</v>
      </c>
    </row>
    <row r="7" spans="1:48" s="173" customFormat="1" ht="23.25" customHeight="1" x14ac:dyDescent="0.3">
      <c r="A7" s="186"/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28"/>
      <c r="O7" s="28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/>
      <c r="AH7" s="186"/>
      <c r="AI7" s="186"/>
      <c r="AJ7" s="186"/>
      <c r="AK7" s="186"/>
      <c r="AL7" s="186"/>
      <c r="AM7" s="186"/>
      <c r="AN7" s="82"/>
      <c r="AO7" s="173">
        <f>AB7+$AN7</f>
        <v>0</v>
      </c>
      <c r="AP7" s="173">
        <f>AC7+$AN7</f>
        <v>0</v>
      </c>
      <c r="AQ7" s="173">
        <f>AD7+$AN7</f>
        <v>0</v>
      </c>
      <c r="AR7" s="173">
        <f>AE7+$AN7</f>
        <v>0</v>
      </c>
      <c r="AS7" s="173">
        <f>I7-$AN7</f>
        <v>0</v>
      </c>
      <c r="AT7" s="173">
        <f>J7-$AN7</f>
        <v>0</v>
      </c>
      <c r="AU7" s="173">
        <f>L7-$AN7</f>
        <v>0</v>
      </c>
      <c r="AV7" s="173">
        <f>M7-$AN7</f>
        <v>0</v>
      </c>
    </row>
    <row r="8" spans="1:48" ht="23.25" customHeight="1" x14ac:dyDescent="0.3">
      <c r="A8" s="186"/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28"/>
      <c r="O8" s="28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82"/>
      <c r="AO8" s="173">
        <f t="shared" ref="AO8" si="0">AB8+$AN8</f>
        <v>0</v>
      </c>
      <c r="AP8" s="173">
        <f>AC8+$AN8</f>
        <v>0</v>
      </c>
      <c r="AQ8" s="173">
        <f>AD8+$AN8</f>
        <v>0</v>
      </c>
      <c r="AR8" s="173">
        <f>AE8+$AN8</f>
        <v>0</v>
      </c>
      <c r="AS8" s="173">
        <f t="shared" ref="AS8" si="1">I8-$AN8</f>
        <v>0</v>
      </c>
      <c r="AT8" s="173">
        <f>J8-$AN8</f>
        <v>0</v>
      </c>
      <c r="AU8" s="173">
        <f>L8-$AN8</f>
        <v>0</v>
      </c>
      <c r="AV8" s="173">
        <f>M8-$AN8</f>
        <v>0</v>
      </c>
    </row>
    <row r="9" spans="1:48" ht="23.25" customHeight="1" x14ac:dyDescent="0.3">
      <c r="A9" s="186"/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28"/>
      <c r="O9" s="28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82"/>
      <c r="AO9" s="187">
        <f t="shared" ref="AO9:AO16" si="2">AB9+$AN9</f>
        <v>0</v>
      </c>
      <c r="AP9" s="187">
        <f t="shared" ref="AP9:AP16" si="3">AC9+$AN9</f>
        <v>0</v>
      </c>
      <c r="AQ9" s="187">
        <f t="shared" ref="AQ9:AQ16" si="4">AD9+$AN9</f>
        <v>0</v>
      </c>
      <c r="AR9" s="187">
        <f t="shared" ref="AR9:AR16" si="5">AE9+$AN9</f>
        <v>0</v>
      </c>
      <c r="AS9" s="187">
        <f t="shared" ref="AS9:AS16" si="6">I9-$AN9</f>
        <v>0</v>
      </c>
      <c r="AT9" s="187">
        <f t="shared" ref="AT9:AT16" si="7">J9-$AN9</f>
        <v>0</v>
      </c>
      <c r="AU9" s="187">
        <f t="shared" ref="AU9:AU16" si="8">L9-$AN9</f>
        <v>0</v>
      </c>
      <c r="AV9" s="187">
        <f t="shared" ref="AV9:AV16" si="9">M9-$AN9</f>
        <v>0</v>
      </c>
    </row>
    <row r="10" spans="1:48" ht="23.25" customHeight="1" x14ac:dyDescent="0.3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28"/>
      <c r="O10" s="28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82"/>
      <c r="AO10" s="187">
        <f t="shared" si="2"/>
        <v>0</v>
      </c>
      <c r="AP10" s="187">
        <f t="shared" si="3"/>
        <v>0</v>
      </c>
      <c r="AQ10" s="187">
        <f t="shared" si="4"/>
        <v>0</v>
      </c>
      <c r="AR10" s="187">
        <f t="shared" si="5"/>
        <v>0</v>
      </c>
      <c r="AS10" s="187">
        <f t="shared" si="6"/>
        <v>0</v>
      </c>
      <c r="AT10" s="187">
        <f t="shared" si="7"/>
        <v>0</v>
      </c>
      <c r="AU10" s="187">
        <f t="shared" si="8"/>
        <v>0</v>
      </c>
      <c r="AV10" s="187">
        <f t="shared" si="9"/>
        <v>0</v>
      </c>
    </row>
    <row r="11" spans="1:48" ht="23.25" customHeight="1" x14ac:dyDescent="0.3">
      <c r="A11" s="186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28"/>
      <c r="O11" s="28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82"/>
      <c r="AO11" s="187">
        <f t="shared" si="2"/>
        <v>0</v>
      </c>
      <c r="AP11" s="187">
        <f t="shared" si="3"/>
        <v>0</v>
      </c>
      <c r="AQ11" s="187">
        <f t="shared" si="4"/>
        <v>0</v>
      </c>
      <c r="AR11" s="187">
        <f t="shared" si="5"/>
        <v>0</v>
      </c>
      <c r="AS11" s="187">
        <f t="shared" si="6"/>
        <v>0</v>
      </c>
      <c r="AT11" s="187">
        <f t="shared" si="7"/>
        <v>0</v>
      </c>
      <c r="AU11" s="187">
        <f t="shared" si="8"/>
        <v>0</v>
      </c>
      <c r="AV11" s="187">
        <f t="shared" si="9"/>
        <v>0</v>
      </c>
    </row>
    <row r="12" spans="1:48" ht="23.25" customHeigh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28"/>
      <c r="O12" s="28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82"/>
      <c r="AO12" s="187">
        <f t="shared" si="2"/>
        <v>0</v>
      </c>
      <c r="AP12" s="187">
        <f t="shared" si="3"/>
        <v>0</v>
      </c>
      <c r="AQ12" s="187">
        <f t="shared" si="4"/>
        <v>0</v>
      </c>
      <c r="AR12" s="187">
        <f t="shared" si="5"/>
        <v>0</v>
      </c>
      <c r="AS12" s="187">
        <f t="shared" si="6"/>
        <v>0</v>
      </c>
      <c r="AT12" s="187">
        <f t="shared" si="7"/>
        <v>0</v>
      </c>
      <c r="AU12" s="187">
        <f t="shared" si="8"/>
        <v>0</v>
      </c>
      <c r="AV12" s="187">
        <f t="shared" si="9"/>
        <v>0</v>
      </c>
    </row>
    <row r="13" spans="1:48" ht="23.25" customHeight="1" x14ac:dyDescent="0.3">
      <c r="A13" s="186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28"/>
      <c r="O13" s="28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82"/>
      <c r="AO13" s="187">
        <f t="shared" si="2"/>
        <v>0</v>
      </c>
      <c r="AP13" s="187">
        <f t="shared" si="3"/>
        <v>0</v>
      </c>
      <c r="AQ13" s="187">
        <f t="shared" si="4"/>
        <v>0</v>
      </c>
      <c r="AR13" s="187">
        <f t="shared" si="5"/>
        <v>0</v>
      </c>
      <c r="AS13" s="187">
        <f t="shared" si="6"/>
        <v>0</v>
      </c>
      <c r="AT13" s="187">
        <f t="shared" si="7"/>
        <v>0</v>
      </c>
      <c r="AU13" s="187">
        <f t="shared" si="8"/>
        <v>0</v>
      </c>
      <c r="AV13" s="187">
        <f t="shared" si="9"/>
        <v>0</v>
      </c>
    </row>
    <row r="14" spans="1:48" ht="23.25" customHeight="1" x14ac:dyDescent="0.3">
      <c r="A14" s="186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28"/>
      <c r="O14" s="28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82"/>
      <c r="AO14" s="187">
        <f t="shared" si="2"/>
        <v>0</v>
      </c>
      <c r="AP14" s="187">
        <f t="shared" si="3"/>
        <v>0</v>
      </c>
      <c r="AQ14" s="187">
        <f t="shared" si="4"/>
        <v>0</v>
      </c>
      <c r="AR14" s="187">
        <f t="shared" si="5"/>
        <v>0</v>
      </c>
      <c r="AS14" s="187">
        <f t="shared" si="6"/>
        <v>0</v>
      </c>
      <c r="AT14" s="187">
        <f t="shared" si="7"/>
        <v>0</v>
      </c>
      <c r="AU14" s="187">
        <f t="shared" si="8"/>
        <v>0</v>
      </c>
      <c r="AV14" s="187">
        <f t="shared" si="9"/>
        <v>0</v>
      </c>
    </row>
    <row r="15" spans="1:48" ht="23.25" customHeight="1" x14ac:dyDescent="0.3">
      <c r="A15" s="186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28"/>
      <c r="O15" s="28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82"/>
      <c r="AO15" s="187">
        <f t="shared" si="2"/>
        <v>0</v>
      </c>
      <c r="AP15" s="187">
        <f t="shared" si="3"/>
        <v>0</v>
      </c>
      <c r="AQ15" s="187">
        <f t="shared" si="4"/>
        <v>0</v>
      </c>
      <c r="AR15" s="187">
        <f t="shared" si="5"/>
        <v>0</v>
      </c>
      <c r="AS15" s="187">
        <f t="shared" si="6"/>
        <v>0</v>
      </c>
      <c r="AT15" s="187">
        <f t="shared" si="7"/>
        <v>0</v>
      </c>
      <c r="AU15" s="187">
        <f t="shared" si="8"/>
        <v>0</v>
      </c>
      <c r="AV15" s="187">
        <f t="shared" si="9"/>
        <v>0</v>
      </c>
    </row>
    <row r="16" spans="1:48" ht="23.25" customHeight="1" x14ac:dyDescent="0.3">
      <c r="A16" s="186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28"/>
      <c r="O16" s="28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82"/>
      <c r="AO16" s="187">
        <f t="shared" si="2"/>
        <v>0</v>
      </c>
      <c r="AP16" s="187">
        <f t="shared" si="3"/>
        <v>0</v>
      </c>
      <c r="AQ16" s="187">
        <f t="shared" si="4"/>
        <v>0</v>
      </c>
      <c r="AR16" s="187">
        <f t="shared" si="5"/>
        <v>0</v>
      </c>
      <c r="AS16" s="187">
        <f t="shared" si="6"/>
        <v>0</v>
      </c>
      <c r="AT16" s="187">
        <f t="shared" si="7"/>
        <v>0</v>
      </c>
      <c r="AU16" s="187">
        <f t="shared" si="8"/>
        <v>0</v>
      </c>
      <c r="AV16" s="187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63" customWidth="1"/>
    <col min="66" max="66" width="8.375" customWidth="1"/>
  </cols>
  <sheetData>
    <row r="1" spans="1:66" ht="70.5" customHeight="1" x14ac:dyDescent="0.3">
      <c r="A1" s="307" t="str">
        <f>"(4CO 막판 와이드) " &amp;정보!B1&amp; " ("&amp;정보!B6&amp;" 소장) 제작치수"</f>
        <v>(4CO 막판 와이드) 경기도 의정부 드림밸리아파트-4차 (박철우 소장) 제작치수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07"/>
      <c r="AX1" s="60"/>
      <c r="AY1" s="60"/>
    </row>
    <row r="2" spans="1:66" ht="29.25" customHeight="1" x14ac:dyDescent="0.3">
      <c r="A2" s="191" t="s">
        <v>97</v>
      </c>
      <c r="B2" s="211">
        <v>2</v>
      </c>
      <c r="C2" s="212" t="s">
        <v>87</v>
      </c>
      <c r="D2" s="213">
        <v>2</v>
      </c>
      <c r="E2" s="178"/>
      <c r="F2" s="178"/>
      <c r="G2" s="178"/>
      <c r="H2" s="192" t="s">
        <v>88</v>
      </c>
      <c r="I2" s="214">
        <v>2</v>
      </c>
      <c r="J2" s="175"/>
      <c r="K2" s="175"/>
      <c r="L2" s="356" t="s">
        <v>114</v>
      </c>
      <c r="M2" s="357"/>
      <c r="N2" s="357"/>
      <c r="O2" s="357"/>
      <c r="P2" s="357"/>
      <c r="Q2" s="357"/>
      <c r="R2" s="358">
        <v>1</v>
      </c>
      <c r="S2" s="358"/>
      <c r="T2" s="349" t="s">
        <v>90</v>
      </c>
      <c r="U2" s="333"/>
      <c r="V2" s="326">
        <v>8</v>
      </c>
      <c r="W2" s="326"/>
      <c r="X2" s="413" t="s">
        <v>84</v>
      </c>
      <c r="Y2" s="335"/>
      <c r="Z2" s="335"/>
      <c r="AA2" s="330">
        <v>4</v>
      </c>
      <c r="AB2" s="330"/>
      <c r="AC2" s="457" t="str">
        <f>정보!B5</f>
        <v>OTIS HIX-A162</v>
      </c>
      <c r="AD2" s="458"/>
      <c r="AE2" s="458"/>
      <c r="AF2" s="458"/>
      <c r="AG2" s="458"/>
      <c r="AH2" s="458"/>
      <c r="AI2" s="458"/>
      <c r="AJ2" s="458"/>
      <c r="AK2" s="458"/>
      <c r="AL2" s="459"/>
      <c r="AM2" s="324" t="s">
        <v>91</v>
      </c>
      <c r="AN2" s="325"/>
      <c r="AO2" s="469">
        <v>4</v>
      </c>
      <c r="AP2" s="469"/>
      <c r="AQ2" s="175"/>
      <c r="AR2" s="454" t="s">
        <v>236</v>
      </c>
      <c r="AS2" s="455"/>
      <c r="AT2" s="456">
        <v>0</v>
      </c>
      <c r="AU2" s="456"/>
      <c r="AV2" s="175"/>
      <c r="AW2" s="175"/>
    </row>
    <row r="3" spans="1:66" ht="24.75" customHeight="1" x14ac:dyDescent="0.3">
      <c r="A3" s="50" t="str">
        <f>'4CO와이드(실측)'!A3</f>
        <v>현장명 : 경기도 의정부 드림밸리아파트-4차,   (재질) :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357" t="s">
        <v>235</v>
      </c>
      <c r="M3" s="357"/>
      <c r="N3" s="357"/>
      <c r="O3" s="357"/>
      <c r="P3" s="357"/>
      <c r="Q3" s="357"/>
      <c r="R3" s="360">
        <v>5</v>
      </c>
      <c r="S3" s="360"/>
      <c r="T3" s="333" t="s">
        <v>78</v>
      </c>
      <c r="U3" s="333"/>
      <c r="V3" s="334">
        <v>8</v>
      </c>
      <c r="W3" s="334"/>
      <c r="X3" s="335" t="s">
        <v>234</v>
      </c>
      <c r="Y3" s="335"/>
      <c r="Z3" s="335"/>
      <c r="AA3" s="336">
        <f>BN7</f>
        <v>1</v>
      </c>
      <c r="AB3" s="336"/>
      <c r="AC3" s="335" t="s">
        <v>79</v>
      </c>
      <c r="AD3" s="335"/>
      <c r="AE3" s="451">
        <v>3</v>
      </c>
      <c r="AF3" s="451"/>
      <c r="AG3" s="3"/>
      <c r="AJ3" s="338"/>
      <c r="AK3" s="338"/>
      <c r="AL3" s="200"/>
      <c r="AM3" s="306" t="s">
        <v>74</v>
      </c>
      <c r="AN3" s="306"/>
      <c r="AO3" s="216">
        <v>5</v>
      </c>
      <c r="AP3" s="186" t="s">
        <v>75</v>
      </c>
      <c r="AQ3" s="217">
        <v>4</v>
      </c>
      <c r="AR3" s="348" t="s">
        <v>237</v>
      </c>
      <c r="AS3" s="348"/>
      <c r="AT3" s="30"/>
      <c r="AU3" s="30"/>
      <c r="AV3" s="30"/>
      <c r="AW3" s="30"/>
      <c r="BN3" s="308" t="s">
        <v>260</v>
      </c>
    </row>
    <row r="4" spans="1:66" ht="33" customHeight="1" x14ac:dyDescent="0.3">
      <c r="A4" s="341" t="str">
        <f>정보!B15</f>
        <v>제작치수 반영 : MH + (2), JB/JD +(5 ),  늘어난치수K -(4),  C + (8),   U + (8), OP1/OP3 - (2), R - (2),  기둥차감 - (4), A + (3)</v>
      </c>
      <c r="B4" s="341"/>
      <c r="C4" s="341"/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1"/>
      <c r="U4" s="341"/>
      <c r="V4" s="341"/>
      <c r="W4" s="341"/>
      <c r="X4" s="341"/>
      <c r="Y4" s="341"/>
      <c r="Z4" s="341"/>
      <c r="AA4" s="341"/>
      <c r="AB4" s="341"/>
      <c r="AC4" s="341"/>
      <c r="AD4" s="341"/>
      <c r="AE4" s="341"/>
      <c r="AF4" s="341"/>
      <c r="AG4" s="341"/>
      <c r="AH4" s="341"/>
      <c r="AI4" s="341"/>
      <c r="AJ4" s="341"/>
      <c r="AK4" s="341"/>
      <c r="AL4" s="368">
        <f ca="1">TODAY()</f>
        <v>44881</v>
      </c>
      <c r="AM4" s="292"/>
      <c r="AN4" s="292"/>
      <c r="AO4" s="170"/>
      <c r="AP4" s="367" t="s">
        <v>118</v>
      </c>
      <c r="AQ4" s="367"/>
      <c r="AR4" s="304" t="s">
        <v>216</v>
      </c>
      <c r="AS4" s="304"/>
      <c r="AT4" s="140"/>
      <c r="AU4" s="339" t="s">
        <v>242</v>
      </c>
      <c r="AV4" s="339"/>
      <c r="AW4" s="340"/>
      <c r="BN4" s="309"/>
    </row>
    <row r="5" spans="1:66" ht="25.9" customHeight="1" x14ac:dyDescent="0.3">
      <c r="A5" s="298" t="s">
        <v>0</v>
      </c>
      <c r="B5" s="298" t="s">
        <v>1</v>
      </c>
      <c r="C5" s="298" t="s">
        <v>2</v>
      </c>
      <c r="D5" s="298" t="s">
        <v>2</v>
      </c>
      <c r="E5" s="298" t="s">
        <v>266</v>
      </c>
      <c r="F5" s="299" t="s">
        <v>268</v>
      </c>
      <c r="G5" s="298" t="s">
        <v>267</v>
      </c>
      <c r="H5" s="298" t="s">
        <v>18</v>
      </c>
      <c r="I5" s="345" t="s">
        <v>41</v>
      </c>
      <c r="J5" s="412" t="s">
        <v>42</v>
      </c>
      <c r="K5" s="412" t="s">
        <v>269</v>
      </c>
      <c r="L5" s="342" t="s">
        <v>106</v>
      </c>
      <c r="M5" s="342" t="s">
        <v>107</v>
      </c>
      <c r="N5" s="363" t="s">
        <v>108</v>
      </c>
      <c r="O5" s="363" t="s">
        <v>109</v>
      </c>
      <c r="P5" s="446" t="s">
        <v>303</v>
      </c>
      <c r="Q5" s="446" t="s">
        <v>304</v>
      </c>
      <c r="R5" s="365" t="s">
        <v>72</v>
      </c>
      <c r="S5" s="365" t="s">
        <v>73</v>
      </c>
      <c r="T5" s="298" t="s">
        <v>8</v>
      </c>
      <c r="U5" s="298" t="s">
        <v>9</v>
      </c>
      <c r="V5" s="298" t="s">
        <v>12</v>
      </c>
      <c r="W5" s="298" t="s">
        <v>13</v>
      </c>
      <c r="X5" s="298" t="s">
        <v>10</v>
      </c>
      <c r="Y5" s="298" t="s">
        <v>11</v>
      </c>
      <c r="Z5" s="344" t="s">
        <v>14</v>
      </c>
      <c r="AA5" s="344" t="s">
        <v>15</v>
      </c>
      <c r="AB5" s="345" t="s">
        <v>16</v>
      </c>
      <c r="AC5" s="345" t="s">
        <v>17</v>
      </c>
      <c r="AD5" s="298" t="s">
        <v>19</v>
      </c>
      <c r="AE5" s="298" t="s">
        <v>20</v>
      </c>
      <c r="AF5" s="299" t="s">
        <v>22</v>
      </c>
      <c r="AG5" s="299" t="s">
        <v>23</v>
      </c>
      <c r="AH5" s="331" t="s">
        <v>80</v>
      </c>
      <c r="AI5" s="332"/>
      <c r="AJ5" s="332"/>
      <c r="AK5" s="332"/>
      <c r="AL5" s="322" t="s">
        <v>92</v>
      </c>
      <c r="AM5" s="322" t="s">
        <v>93</v>
      </c>
      <c r="AN5" s="310" t="s">
        <v>100</v>
      </c>
      <c r="AO5" s="299" t="s">
        <v>62</v>
      </c>
      <c r="AP5" s="299" t="s">
        <v>34</v>
      </c>
      <c r="AQ5" s="299" t="s">
        <v>35</v>
      </c>
      <c r="AR5" s="302" t="s">
        <v>213</v>
      </c>
      <c r="AS5" s="303"/>
      <c r="AT5" s="444" t="s">
        <v>200</v>
      </c>
      <c r="AU5" s="444" t="s">
        <v>205</v>
      </c>
      <c r="AV5" s="444"/>
      <c r="AW5" s="444"/>
      <c r="AX5" s="313" t="s">
        <v>101</v>
      </c>
      <c r="AY5" s="313" t="s">
        <v>102</v>
      </c>
      <c r="AZ5" s="309" t="s">
        <v>81</v>
      </c>
      <c r="BA5" s="315" t="s">
        <v>85</v>
      </c>
      <c r="BB5" s="318" t="s">
        <v>103</v>
      </c>
      <c r="BC5" s="317" t="s">
        <v>95</v>
      </c>
      <c r="BD5" s="317" t="s">
        <v>96</v>
      </c>
      <c r="BE5" s="308" t="s">
        <v>94</v>
      </c>
      <c r="BH5" s="312" t="s">
        <v>28</v>
      </c>
      <c r="BI5" s="312"/>
      <c r="BJ5" s="312" t="s">
        <v>29</v>
      </c>
      <c r="BK5" s="312"/>
      <c r="BL5" s="11" t="s">
        <v>50</v>
      </c>
      <c r="BM5" s="362" t="s">
        <v>105</v>
      </c>
      <c r="BN5" s="361" t="s">
        <v>233</v>
      </c>
    </row>
    <row r="6" spans="1:66" ht="48" customHeight="1" x14ac:dyDescent="0.3">
      <c r="A6" s="298"/>
      <c r="B6" s="298"/>
      <c r="C6" s="298"/>
      <c r="D6" s="298"/>
      <c r="E6" s="298"/>
      <c r="F6" s="298"/>
      <c r="G6" s="298"/>
      <c r="H6" s="298"/>
      <c r="I6" s="345"/>
      <c r="J6" s="412"/>
      <c r="K6" s="412"/>
      <c r="L6" s="343"/>
      <c r="M6" s="343"/>
      <c r="N6" s="364"/>
      <c r="O6" s="364"/>
      <c r="P6" s="447"/>
      <c r="Q6" s="447"/>
      <c r="R6" s="366"/>
      <c r="S6" s="366"/>
      <c r="T6" s="298"/>
      <c r="U6" s="298"/>
      <c r="V6" s="298"/>
      <c r="W6" s="298"/>
      <c r="X6" s="298"/>
      <c r="Y6" s="298"/>
      <c r="Z6" s="344"/>
      <c r="AA6" s="344"/>
      <c r="AB6" s="345"/>
      <c r="AC6" s="345"/>
      <c r="AD6" s="298"/>
      <c r="AE6" s="298"/>
      <c r="AF6" s="299"/>
      <c r="AG6" s="299"/>
      <c r="AH6" s="169" t="s">
        <v>68</v>
      </c>
      <c r="AI6" s="169" t="s">
        <v>69</v>
      </c>
      <c r="AJ6" s="169" t="s">
        <v>70</v>
      </c>
      <c r="AK6" s="169" t="s">
        <v>71</v>
      </c>
      <c r="AL6" s="323"/>
      <c r="AM6" s="323"/>
      <c r="AN6" s="311"/>
      <c r="AO6" s="299"/>
      <c r="AP6" s="298"/>
      <c r="AQ6" s="298"/>
      <c r="AR6" s="121" t="s">
        <v>214</v>
      </c>
      <c r="AS6" s="121" t="s">
        <v>215</v>
      </c>
      <c r="AT6" s="445"/>
      <c r="AU6" s="174" t="s">
        <v>201</v>
      </c>
      <c r="AV6" s="174" t="s">
        <v>202</v>
      </c>
      <c r="AW6" s="174" t="s">
        <v>203</v>
      </c>
      <c r="AX6" s="314"/>
      <c r="AY6" s="314"/>
      <c r="AZ6" s="309"/>
      <c r="BA6" s="316"/>
      <c r="BB6" s="319"/>
      <c r="BC6" s="317"/>
      <c r="BD6" s="317"/>
      <c r="BE6" s="309"/>
      <c r="BF6" s="173" t="s">
        <v>27</v>
      </c>
      <c r="BG6" s="173" t="s">
        <v>26</v>
      </c>
      <c r="BH6" s="171" t="s">
        <v>30</v>
      </c>
      <c r="BI6" s="171" t="s">
        <v>31</v>
      </c>
      <c r="BJ6" s="171" t="s">
        <v>32</v>
      </c>
      <c r="BK6" s="171" t="s">
        <v>33</v>
      </c>
      <c r="BL6" s="12" t="s">
        <v>49</v>
      </c>
      <c r="BM6" s="362"/>
      <c r="BN6" s="361"/>
    </row>
    <row r="7" spans="1:66" ht="25.5" customHeight="1" x14ac:dyDescent="0.3">
      <c r="A7" s="54">
        <f>'4CO와이드(실측)'!A7</f>
        <v>0</v>
      </c>
      <c r="B7" s="54" t="str">
        <f>'4CO와이드(실측)'!B7&amp;"F"</f>
        <v>F</v>
      </c>
      <c r="C7" s="54">
        <f>'4CO와이드(실측)'!C7+와이드MH더함-IF(AND(소장="추영덕",AD7=0),1.2)</f>
        <v>2</v>
      </c>
      <c r="D7" s="54">
        <f>'4CO와이드(실측)'!D7+와이드MH더함-IF(AND(소장="추영덕",AD7=0),1.2)</f>
        <v>2</v>
      </c>
      <c r="E7" s="54">
        <f>'4CO와이드(실측)'!E7-와이드OP</f>
        <v>-2</v>
      </c>
      <c r="F7" s="54">
        <f>'4CO와이드(실측)'!F7</f>
        <v>0</v>
      </c>
      <c r="G7" s="54">
        <f>'4CO와이드(실측)'!G7-와이드OP</f>
        <v>-2</v>
      </c>
      <c r="H7" s="54">
        <f>'4CO와이드(실측)'!H7-와이드R</f>
        <v>-2</v>
      </c>
      <c r="I7" s="77">
        <f>'4CO와이드(실측)'!I7+와이드JBJD키움치수+IF(BN7=1,AH7,0)</f>
        <v>1</v>
      </c>
      <c r="J7" s="77">
        <f>'4CO와이드(실측)'!J7+와이드JBJD키움치수+IF(BN7=1,MAX(AH7,AJ7),0)</f>
        <v>1</v>
      </c>
      <c r="K7" s="77">
        <f>'4CO와이드(실측)'!K7+와이드JBJD키움치수+IF(BN7=1,AJ7,0)</f>
        <v>1</v>
      </c>
      <c r="L7" s="77">
        <f>'4CO와이드(실측)'!L7+MAX(AX7,AY7)+와이드JBJD키움치수+IF(BN7=1,AH7,0)</f>
        <v>1</v>
      </c>
      <c r="M7" s="77">
        <f>'4CO와이드(실측)'!L7+MAX(AX7,AY7)+와이드JBJD키움치수+IF(BN7=1,AI7,0)-IF(와이드JB하부늘치=1,'4CO와이드(실측)'!AB7-'4CO와이드(실측)'!AC7,0)</f>
        <v>1</v>
      </c>
      <c r="N7" s="77">
        <f>'4CO와이드(실측)'!M7+MAX(AX7,AY7)+와이드JBJD키움치수+IF(BN7=1,AJ7,0)</f>
        <v>1</v>
      </c>
      <c r="O7" s="77">
        <f>'4CO와이드(실측)'!M7+MAX(AX7,AY7)+와이드JBJD키움치수+IF(BN7=1,AK7,0)-IF(와이드JB하부늘치=1,'4CO와이드(실측)'!AD7-'4CO와이드(실측)'!AE7,0)</f>
        <v>1</v>
      </c>
      <c r="P7" s="179">
        <f>IF(BN7=0,J7+AH7-(I7+AH7),J7-I7)</f>
        <v>0</v>
      </c>
      <c r="Q7" s="179">
        <f>IF(BN7=0,J7+AJ7-(K7+AH7),J7-K7)</f>
        <v>0</v>
      </c>
      <c r="R7" s="78">
        <f t="shared" ref="R7:S7" si="0">IF(소장="손상민",0,T7-1.5)</f>
        <v>-0.30000000000000004</v>
      </c>
      <c r="S7" s="78">
        <f t="shared" si="0"/>
        <v>-0.30000000000000004</v>
      </c>
      <c r="T7" s="78">
        <f>IF(X7&lt;9,'4CO와이드(실측)'!N7+1.2,IF(ISNUMBER('4CO와이드(실측)'!N7),'4CO와이드(실측)'!N7+와이드C값,0))</f>
        <v>1.2</v>
      </c>
      <c r="U7" s="78">
        <f>IF(Y7&lt;9,'4CO와이드(실측)'!O7+1.2,IF(ISNUMBER('4CO와이드(실측)'!O7),'4CO와이드(실측)'!O7+와이드C값,0))</f>
        <v>1.2</v>
      </c>
      <c r="V7" s="222">
        <f>IF(소장="손상민",'4CO와이드(실측)'!P7,ROUNDUP(BA7,1)-0.6)</f>
        <v>-0.29999999999999993</v>
      </c>
      <c r="W7" s="223">
        <f>IF(소장="손상민",'4CO와이드(실측)'!Q7,ROUNDUP(BB7,1)-0.6)</f>
        <v>-0.29999999999999993</v>
      </c>
      <c r="X7" s="54">
        <f>IF(ISNUMBER('4CO와이드(실측)'!R7),'4CO와이드(실측)'!R7+'4CO와이드제작'!AX7+와이드A늘림,0)</f>
        <v>0</v>
      </c>
      <c r="Y7" s="54">
        <f>IF(ISNUMBER('4CO와이드(실측)'!S7),'4CO와이드(실측)'!S7+'4CO와이드제작'!AY7+와이드A늘림,0)</f>
        <v>0</v>
      </c>
      <c r="Z7" s="54">
        <f>'4CO와이드(실측)'!T7-와이드기둥차감</f>
        <v>-4</v>
      </c>
      <c r="AA7" s="54">
        <f>'4CO와이드(실측)'!U7-와이드기둥차감</f>
        <v>-4</v>
      </c>
      <c r="AB7" s="54">
        <f>'4CO와이드(실측)'!V7-와이드기둥차감</f>
        <v>-4</v>
      </c>
      <c r="AC7" s="54">
        <f>'4CO와이드(실측)'!W7-와이드기둥차감</f>
        <v>-4</v>
      </c>
      <c r="AD7" s="54">
        <f>IF(소장&lt;&gt;"손상민",IF(ISNUMBER('4CO와이드(실측)'!X7),'4CO와이드(실측)'!X7+와이드U,0),IF(ISNUMBER('4CO와이드(실측)'!X7),'4CO와이드(실측)'!X7+1.2,0))</f>
        <v>0</v>
      </c>
      <c r="AE7" s="54">
        <f>IF(소장&lt;&gt;"손상민",IF(ISNUMBER('4CO와이드(실측)'!Y7),'4CO와이드(실측)'!Y7+1.5+'4CO와이드제작'!V7+1,0),IF(ISNUMBER('4CO와이드(실측)'!Y7),'4CO와이드(실측)'!Y7+1.2,0))</f>
        <v>0</v>
      </c>
      <c r="AF7" s="54">
        <f>'4CO와이드(실측)'!Z7+뒷날개치수더함</f>
        <v>0</v>
      </c>
      <c r="AG7" s="54">
        <f>'4CO와이드(실측)'!AA7+뒷날개치수더함</f>
        <v>0</v>
      </c>
      <c r="AH7" s="78">
        <f>'4CO와이드(실측)'!AB7-와이드늘치</f>
        <v>-4</v>
      </c>
      <c r="AI7" s="78">
        <f>IF(와이드JB하부늘치=1,AH7,'4CO와이드(실측)'!AC7-와이드늘치)</f>
        <v>-4</v>
      </c>
      <c r="AJ7" s="78">
        <f>'4CO와이드(실측)'!AD7-와이드늘치</f>
        <v>-4</v>
      </c>
      <c r="AK7" s="78">
        <f>IF(와이드JB하부늘치=1,AJ7,'4CO와이드(실측)'!AE7-와이드늘치)</f>
        <v>-4</v>
      </c>
      <c r="AL7" s="54">
        <f xml:space="preserve"> IF(소장&lt;&gt;"손상민",IF('4CO와이드(실측)'!AF7&gt;0,'4CO와이드(실측)'!AF7,C7-1.2),IF('4CO와이드(실측)'!AF7&gt;0,'4CO와이드(실측)'!AF7+1.2,C7) )</f>
        <v>0.8</v>
      </c>
      <c r="AM7" s="54">
        <f xml:space="preserve"> IF(소장&lt;&gt;"손상민",IF('4CO와이드(실측)'!AG7&gt;0,'4CO와이드(실측)'!AG7,D7-1.2),IF('4CO와이드(실측)'!AG7&gt;0,'4CO와이드(실측)'!AG7+1.2,D7))</f>
        <v>0.8</v>
      </c>
      <c r="AN7" s="79">
        <f>IF(AE7&gt;0,AE7-MAX(V7,W7),0)</f>
        <v>0</v>
      </c>
      <c r="AO7" s="54" t="str">
        <f t="shared" ref="AO7" si="1">BF7&amp;"*"&amp;BG7</f>
        <v>-2*-0.6</v>
      </c>
      <c r="AP7" s="54" t="str">
        <f t="shared" ref="AP7" si="2">BI7&amp;"*"&amp;BH7</f>
        <v>-3.2*-1.4</v>
      </c>
      <c r="AQ7" s="54" t="str">
        <f t="shared" ref="AQ7" si="3">BK7&amp;"*"&amp;BJ7</f>
        <v>-3.2*-1.4</v>
      </c>
      <c r="AR7" s="54">
        <f>IF('4CO와이드(실측)'!AH7&gt;0,'4CO와이드(실측)'!AH7-'4CO와이드(실측)'!Z7+1.2,0)</f>
        <v>0</v>
      </c>
      <c r="AS7" s="54">
        <f>IF('4CO와이드(실측)'!AI7&gt;0,'4CO와이드(실측)'!AI7-'4CO와이드(실측)'!Z7+1.2,0)</f>
        <v>0</v>
      </c>
      <c r="AT7" s="78">
        <f>'4CO와이드(실측)'!AJ7</f>
        <v>0</v>
      </c>
      <c r="AU7" s="78">
        <f>IF('4CO와이드(실측)'!AK7&gt;5,'4CO와이드(실측)'!AK7+뒷날개치수더함,'4CO와이드(실측)'!AK7)</f>
        <v>0</v>
      </c>
      <c r="AV7" s="78">
        <f>'4CO와이드(실측)'!AL7</f>
        <v>0</v>
      </c>
      <c r="AW7" s="78">
        <f>'4CO와이드(실측)'!AM7</f>
        <v>0</v>
      </c>
      <c r="AX7">
        <f>IF(AND(ISNUMBER('4CO와이드(실측)'!S7),ISNUMBER('4CO와이드(실측)'!R7)),IF(ISNUMBER('4CO와이드(실측)'!R7),IF(9-MIN('4CO와이드(실측)'!R7+와이드A늘림,'4CO와이드(실측)'!S7+와이드A늘림)&lt;0,0,9-MIN('4CO와이드(실측)'!R7+와이드A늘림,'4CO와이드(실측)'!S7+와이드A늘림)),0),IF(ISNUMBER('4CO와이드(실측)'!R7),IF(9-'4CO와이드(실측)'!R7-와이드A늘림&lt;0,0,9-'4CO와이드(실측)'!R7-와이드A늘림),0))</f>
        <v>0</v>
      </c>
      <c r="AY7">
        <f>IF(AND(ISNUMBER('4CO와이드(실측)'!R7),ISNUMBER('4CO와이드(실측)'!S7)),IF(ISNUMBER('4CO와이드(실측)'!S7),IF(9-MIN('4CO와이드(실측)'!S7+와이드A늘림,'4CO와이드(실측)'!R7+와이드A늘림)&lt;0,0,9-MIN('4CO와이드(실측)'!S7+와이드A늘림,'4CO와이드(실측)'!R7+와이드A늘림)),0),IF(ISNUMBER('4CO와이드(실측)'!S7),IF(9-'4CO와이드(실측)'!S7-와이드A늘림&lt;0,0,9-'4CO와이드(실측)'!S7-와이드A늘림),0))</f>
        <v>0</v>
      </c>
      <c r="AZ7" s="38">
        <f>DEGREES(ATAN((H7-(E7+F7+G7))/2/(I7)))</f>
        <v>45</v>
      </c>
      <c r="BA7" s="39">
        <f>ABS(I7-COS(RADIANS(AZ7))*L7)</f>
        <v>0.29289321881345243</v>
      </c>
      <c r="BB7" s="39">
        <f>ABS(K7-COS(RADIANS(AZ7))*N7)</f>
        <v>0.29289321881345243</v>
      </c>
      <c r="BC7" s="39">
        <f>'4CO와이드(실측)'!P7+AX7</f>
        <v>0</v>
      </c>
      <c r="BD7" s="39">
        <f>'4CO와이드(실측)'!Q7+AX7</f>
        <v>0</v>
      </c>
      <c r="BE7" s="38">
        <f>BA7-MAX(BC7,BD7)</f>
        <v>0.29289321881345243</v>
      </c>
      <c r="BF7" s="65">
        <f>IF(소장&lt;&gt;"손상민",H7+IF(AD7+AE7&gt;0,R7+S7,0),H7)</f>
        <v>-2</v>
      </c>
      <c r="BG7" s="66">
        <f>MAX(C7,D7)+MAX(I7,J7)+AF7-1.2*$AO$3+IF(BN7=0,MAX(AJ7,AH7),0)+IF(AD7=0,1.2,0)+IF(AE7=0,1.2,0)+IF(소장&lt;&gt;"손상민", AD7+AE7, IF('4CO와이드(실측)'!X7=0,0,2.4))</f>
        <v>-0.60000000000000009</v>
      </c>
      <c r="BH7" s="65">
        <f>X7+T7+MAX(L7,M7)+AG7-1.2*$AQ$3+IF(BN7=0,MAX(AI7,AH7),0)+IF(X7=0,1.2,0)-IF(AW7=90,2.4,0)</f>
        <v>-1.3999999999999997</v>
      </c>
      <c r="BI7" s="65">
        <f>MAX(Z7,AA7)+AL7</f>
        <v>-3.2</v>
      </c>
      <c r="BJ7" s="65">
        <f>Y7+U7+MAX(N7,O7)+AG7-1.2*$AQ$3+IF(BN7=0,MAX(AJ7,AK7),0)+IF(Y7=0,1.2,0)-IF(AW7=90,2.4,0)</f>
        <v>-1.3999999999999997</v>
      </c>
      <c r="BK7" s="65">
        <f>MAX(AB7,AC7)+AM7</f>
        <v>-3.2</v>
      </c>
      <c r="BL7" s="11">
        <f>L7-I7-V7</f>
        <v>0.29999999999999993</v>
      </c>
      <c r="BM7" s="67" t="str">
        <f>IF(AND(C7&lt;&gt;D7,AD7&gt;0),"NG","")</f>
        <v/>
      </c>
      <c r="BN7" s="131">
        <f>IF(AND(MIN(AH7,AJ7)&gt;=9.2,H7-E7&gt;15),0,1)</f>
        <v>1</v>
      </c>
    </row>
  </sheetData>
  <mergeCells count="85"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T5:AT6"/>
    <mergeCell ref="AU5:AW5"/>
    <mergeCell ref="AX5:AX6"/>
    <mergeCell ref="AG5:AG6"/>
    <mergeCell ref="AH5:AK5"/>
    <mergeCell ref="AY5:AY6"/>
    <mergeCell ref="AZ5:AZ6"/>
    <mergeCell ref="BA5:BA6"/>
    <mergeCell ref="AM5:AM6"/>
    <mergeCell ref="AN5:AN6"/>
    <mergeCell ref="AO5:AO6"/>
    <mergeCell ref="AP5:AP6"/>
    <mergeCell ref="AQ5:AQ6"/>
    <mergeCell ref="AR5:AS5"/>
    <mergeCell ref="AM3:AN3"/>
    <mergeCell ref="A5:A6"/>
    <mergeCell ref="B5:B6"/>
    <mergeCell ref="C5:C6"/>
    <mergeCell ref="D5:D6"/>
    <mergeCell ref="E5:E6"/>
    <mergeCell ref="AL5:AL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U5:U6"/>
    <mergeCell ref="R3:S3"/>
    <mergeCell ref="V5:V6"/>
    <mergeCell ref="AR3:AS3"/>
    <mergeCell ref="BN3:BN4"/>
    <mergeCell ref="A4:AK4"/>
    <mergeCell ref="AL4:AN4"/>
    <mergeCell ref="AP4:AQ4"/>
    <mergeCell ref="AR4:AS4"/>
    <mergeCell ref="AU4:AW4"/>
    <mergeCell ref="AA3:AB3"/>
    <mergeCell ref="AC3:AD3"/>
    <mergeCell ref="T3:U3"/>
    <mergeCell ref="V3:W3"/>
    <mergeCell ref="X3:Z3"/>
    <mergeCell ref="L3:Q3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T5:T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296" t="str">
        <f>"(4CO멍텅구리) " &amp;정보!B1 &amp; "  " &amp; 정보!B6 &amp;" 소장"</f>
        <v>(4CO멍텅구리) 경기도 의정부 드림밸리아파트-4차  박철우 소장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175"/>
      <c r="AF1" s="175"/>
      <c r="AG1" s="175"/>
    </row>
    <row r="2" spans="1:42" ht="15" customHeight="1" x14ac:dyDescent="0.3">
      <c r="A2" s="175"/>
      <c r="B2" s="175"/>
      <c r="C2" s="175"/>
      <c r="D2" s="182"/>
      <c r="E2" s="182"/>
      <c r="F2" s="175"/>
      <c r="G2" s="175"/>
      <c r="H2" s="182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</row>
    <row r="3" spans="1:42" ht="33" customHeight="1" x14ac:dyDescent="0.3">
      <c r="A3" s="8" t="str">
        <f>"현장명 : " &amp; 정보!B1 &amp; ",   (재질) : " &amp; 정보!B8</f>
        <v>현장명 : 경기도 의정부 드림밸리아파트-4차,   (재질) : HL 1.2T</v>
      </c>
      <c r="B3" s="2"/>
      <c r="C3" s="2"/>
      <c r="D3" s="2"/>
      <c r="E3" s="2"/>
      <c r="F3" s="2"/>
      <c r="G3" s="2"/>
      <c r="H3" s="2"/>
      <c r="I3" s="2"/>
      <c r="J3" s="380"/>
      <c r="K3" s="380"/>
      <c r="L3" s="377"/>
      <c r="M3" s="377"/>
      <c r="N3" s="378"/>
      <c r="O3" s="378"/>
      <c r="P3" s="379"/>
      <c r="Q3" s="379"/>
      <c r="R3" s="379"/>
      <c r="S3" s="374" t="s">
        <v>98</v>
      </c>
      <c r="T3" s="374"/>
      <c r="U3" s="375"/>
      <c r="V3" s="375"/>
      <c r="W3" s="376"/>
      <c r="X3" s="376"/>
    </row>
    <row r="4" spans="1:42" ht="33" customHeight="1" x14ac:dyDescent="0.3">
      <c r="A4" s="293" t="str">
        <f>정보!B16</f>
        <v>제작치수 반영 : JB/JD +(5 ),  늘어난치수K -(4),  C + (8),  U +(8), OP1/OP3 - (2), R - (2),  기둥차감 - (4),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170"/>
      <c r="AD4" s="170"/>
      <c r="AE4" s="304" t="s">
        <v>216</v>
      </c>
      <c r="AF4" s="304"/>
      <c r="AG4" s="137" t="s">
        <v>241</v>
      </c>
    </row>
    <row r="5" spans="1:42" ht="25.9" customHeight="1" x14ac:dyDescent="0.3">
      <c r="A5" s="298" t="s">
        <v>0</v>
      </c>
      <c r="B5" s="298" t="s">
        <v>1</v>
      </c>
      <c r="C5" s="298" t="s">
        <v>270</v>
      </c>
      <c r="D5" s="298" t="s">
        <v>271</v>
      </c>
      <c r="E5" s="298" t="s">
        <v>262</v>
      </c>
      <c r="F5" s="298" t="s">
        <v>18</v>
      </c>
      <c r="G5" s="298" t="s">
        <v>4</v>
      </c>
      <c r="H5" s="298" t="s">
        <v>272</v>
      </c>
      <c r="I5" s="298" t="s">
        <v>273</v>
      </c>
      <c r="J5" s="298" t="s">
        <v>6</v>
      </c>
      <c r="K5" s="298" t="s">
        <v>7</v>
      </c>
      <c r="L5" s="298" t="s">
        <v>8</v>
      </c>
      <c r="M5" s="298" t="s">
        <v>9</v>
      </c>
      <c r="N5" s="298" t="s">
        <v>10</v>
      </c>
      <c r="O5" s="298" t="s">
        <v>11</v>
      </c>
      <c r="P5" s="298" t="s">
        <v>14</v>
      </c>
      <c r="Q5" s="298" t="s">
        <v>15</v>
      </c>
      <c r="R5" s="298" t="s">
        <v>16</v>
      </c>
      <c r="S5" s="298" t="s">
        <v>17</v>
      </c>
      <c r="T5" s="298" t="s">
        <v>19</v>
      </c>
      <c r="U5" s="298" t="s">
        <v>20</v>
      </c>
      <c r="V5" s="369" t="s">
        <v>22</v>
      </c>
      <c r="W5" s="369" t="s">
        <v>23</v>
      </c>
      <c r="X5" s="371" t="s">
        <v>21</v>
      </c>
      <c r="Y5" s="372"/>
      <c r="Z5" s="372"/>
      <c r="AA5" s="373"/>
      <c r="AB5" s="299" t="s">
        <v>204</v>
      </c>
      <c r="AC5" s="299"/>
      <c r="AD5" s="299"/>
      <c r="AE5" s="302" t="s">
        <v>213</v>
      </c>
      <c r="AF5" s="303"/>
      <c r="AG5" s="136" t="s">
        <v>238</v>
      </c>
    </row>
    <row r="6" spans="1:42" ht="47.25" customHeight="1" x14ac:dyDescent="0.3">
      <c r="A6" s="298"/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370"/>
      <c r="W6" s="370"/>
      <c r="X6" s="169" t="s">
        <v>53</v>
      </c>
      <c r="Y6" s="169" t="s">
        <v>54</v>
      </c>
      <c r="Z6" s="169" t="s">
        <v>55</v>
      </c>
      <c r="AA6" s="169" t="s">
        <v>56</v>
      </c>
      <c r="AB6" s="167" t="s">
        <v>201</v>
      </c>
      <c r="AC6" s="167" t="s">
        <v>202</v>
      </c>
      <c r="AD6" s="167" t="s">
        <v>203</v>
      </c>
      <c r="AE6" s="121" t="s">
        <v>214</v>
      </c>
      <c r="AF6" s="121" t="s">
        <v>215</v>
      </c>
      <c r="AG6" s="136" t="s">
        <v>239</v>
      </c>
      <c r="AH6" s="83" t="s">
        <v>116</v>
      </c>
    </row>
    <row r="7" spans="1:42" ht="27" customHeight="1" x14ac:dyDescent="0.3">
      <c r="A7" s="186"/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28"/>
      <c r="M7" s="28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/>
      <c r="AH7" s="84"/>
      <c r="AI7" s="173">
        <f t="shared" ref="AI7:AL11" si="0">X7+$AH7</f>
        <v>0</v>
      </c>
      <c r="AJ7" s="173">
        <f t="shared" si="0"/>
        <v>0</v>
      </c>
      <c r="AK7" s="173">
        <f t="shared" si="0"/>
        <v>0</v>
      </c>
      <c r="AL7" s="173">
        <f t="shared" si="0"/>
        <v>0</v>
      </c>
      <c r="AM7" s="173">
        <f>G7-$AH7</f>
        <v>0</v>
      </c>
      <c r="AN7" s="173">
        <f t="shared" ref="AN7:AP11" si="1">I7-$AH7</f>
        <v>0</v>
      </c>
      <c r="AO7" s="173">
        <f t="shared" si="1"/>
        <v>0</v>
      </c>
      <c r="AP7" s="173">
        <f t="shared" si="1"/>
        <v>0</v>
      </c>
    </row>
    <row r="8" spans="1:42" ht="27" customHeight="1" x14ac:dyDescent="0.3">
      <c r="A8" s="186"/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28"/>
      <c r="M8" s="28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/>
      <c r="AH8" s="84"/>
      <c r="AI8" s="173">
        <f t="shared" si="0"/>
        <v>0</v>
      </c>
      <c r="AJ8" s="173">
        <f t="shared" si="0"/>
        <v>0</v>
      </c>
      <c r="AK8" s="173">
        <f t="shared" si="0"/>
        <v>0</v>
      </c>
      <c r="AL8" s="173">
        <f t="shared" si="0"/>
        <v>0</v>
      </c>
      <c r="AM8" s="173">
        <f>G8-$AH8</f>
        <v>0</v>
      </c>
      <c r="AN8" s="173">
        <f t="shared" si="1"/>
        <v>0</v>
      </c>
      <c r="AO8" s="173">
        <f t="shared" si="1"/>
        <v>0</v>
      </c>
      <c r="AP8" s="173">
        <f t="shared" si="1"/>
        <v>0</v>
      </c>
    </row>
    <row r="9" spans="1:42" ht="27" customHeight="1" x14ac:dyDescent="0.3">
      <c r="A9" s="186"/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28"/>
      <c r="M9" s="28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84"/>
      <c r="AI9" s="173">
        <f t="shared" si="0"/>
        <v>0</v>
      </c>
      <c r="AJ9" s="173">
        <f t="shared" si="0"/>
        <v>0</v>
      </c>
      <c r="AK9" s="173">
        <f t="shared" si="0"/>
        <v>0</v>
      </c>
      <c r="AL9" s="173">
        <f t="shared" si="0"/>
        <v>0</v>
      </c>
      <c r="AM9" s="173">
        <f>G9-$AH9</f>
        <v>0</v>
      </c>
      <c r="AN9" s="173">
        <f t="shared" si="1"/>
        <v>0</v>
      </c>
      <c r="AO9" s="173">
        <f t="shared" si="1"/>
        <v>0</v>
      </c>
      <c r="AP9" s="173">
        <f t="shared" si="1"/>
        <v>0</v>
      </c>
    </row>
    <row r="10" spans="1:42" ht="27" customHeight="1" x14ac:dyDescent="0.3">
      <c r="A10" s="167"/>
      <c r="B10" s="167"/>
      <c r="C10" s="167"/>
      <c r="D10" s="180"/>
      <c r="E10" s="180"/>
      <c r="F10" s="167"/>
      <c r="G10" s="167"/>
      <c r="H10" s="180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Z10" s="167"/>
      <c r="AA10" s="167"/>
      <c r="AB10" s="168"/>
      <c r="AC10" s="168"/>
      <c r="AD10" s="168"/>
      <c r="AE10" s="168"/>
      <c r="AF10" s="168"/>
      <c r="AG10" s="168"/>
      <c r="AH10" s="84"/>
      <c r="AI10" s="173">
        <f t="shared" si="0"/>
        <v>0</v>
      </c>
      <c r="AJ10" s="173">
        <f t="shared" si="0"/>
        <v>0</v>
      </c>
      <c r="AK10" s="173">
        <f t="shared" si="0"/>
        <v>0</v>
      </c>
      <c r="AL10" s="173">
        <f t="shared" si="0"/>
        <v>0</v>
      </c>
      <c r="AM10" s="173">
        <f>G10-$AH10</f>
        <v>0</v>
      </c>
      <c r="AN10" s="173">
        <f t="shared" si="1"/>
        <v>0</v>
      </c>
      <c r="AO10" s="173">
        <f t="shared" si="1"/>
        <v>0</v>
      </c>
      <c r="AP10" s="173">
        <f t="shared" si="1"/>
        <v>0</v>
      </c>
    </row>
    <row r="11" spans="1:42" ht="27" customHeight="1" x14ac:dyDescent="0.3">
      <c r="A11" s="167"/>
      <c r="B11" s="167"/>
      <c r="C11" s="167"/>
      <c r="D11" s="180"/>
      <c r="E11" s="180"/>
      <c r="F11" s="167"/>
      <c r="G11" s="167"/>
      <c r="H11" s="180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8"/>
      <c r="AC11" s="168"/>
      <c r="AD11" s="168"/>
      <c r="AE11" s="168"/>
      <c r="AF11" s="168"/>
      <c r="AG11" s="168"/>
      <c r="AH11" s="84"/>
      <c r="AI11" s="173">
        <f t="shared" si="0"/>
        <v>0</v>
      </c>
      <c r="AJ11" s="173">
        <f t="shared" si="0"/>
        <v>0</v>
      </c>
      <c r="AK11" s="173">
        <f t="shared" si="0"/>
        <v>0</v>
      </c>
      <c r="AL11" s="173">
        <f t="shared" si="0"/>
        <v>0</v>
      </c>
      <c r="AM11" s="173">
        <f>G11-$AH11</f>
        <v>0</v>
      </c>
      <c r="AN11" s="173">
        <f t="shared" si="1"/>
        <v>0</v>
      </c>
      <c r="AO11" s="173">
        <f t="shared" si="1"/>
        <v>0</v>
      </c>
      <c r="AP11" s="17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E8"/>
  <sheetViews>
    <sheetView zoomScale="85" zoomScaleNormal="85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2" width="5.75" style="173" customWidth="1"/>
    <col min="43" max="43" width="7.375" style="173" customWidth="1"/>
    <col min="46" max="46" width="7.75" customWidth="1"/>
    <col min="48" max="53" width="9" style="173"/>
    <col min="56" max="56" width="8.125" customWidth="1"/>
  </cols>
  <sheetData>
    <row r="1" spans="1:57" ht="64.150000000000006" customHeight="1" x14ac:dyDescent="0.3">
      <c r="A1" s="296" t="str">
        <f>"(4CO멍텅구리) " &amp;정보!B1 &amp; "  " &amp; 정보!B6 &amp;" 소장 제작치수"</f>
        <v>(4CO멍텅구리) 경기도 의정부 드림밸리아파트-4차  박철우 소장 제작치수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296"/>
      <c r="AM1" s="296"/>
      <c r="AN1" s="175"/>
      <c r="AO1" s="175"/>
      <c r="AP1" s="381" t="s">
        <v>76</v>
      </c>
      <c r="AQ1" s="381"/>
      <c r="AV1" s="43"/>
    </row>
    <row r="2" spans="1:57" ht="28.5" customHeight="1" x14ac:dyDescent="0.3">
      <c r="A2" s="191" t="s">
        <v>86</v>
      </c>
      <c r="B2" s="218">
        <v>2</v>
      </c>
      <c r="C2" s="40"/>
      <c r="D2" s="40"/>
      <c r="E2" s="190" t="s">
        <v>87</v>
      </c>
      <c r="F2" s="219">
        <v>2</v>
      </c>
      <c r="G2" s="175"/>
      <c r="H2" s="182"/>
      <c r="I2" s="175"/>
      <c r="J2" s="352" t="s">
        <v>82</v>
      </c>
      <c r="K2" s="352"/>
      <c r="L2" s="352"/>
      <c r="M2" s="203">
        <v>0</v>
      </c>
      <c r="N2" s="193"/>
      <c r="O2" s="193"/>
      <c r="P2" s="193"/>
      <c r="Q2" s="463" t="s">
        <v>114</v>
      </c>
      <c r="R2" s="463"/>
      <c r="S2" s="463"/>
      <c r="T2" s="463"/>
      <c r="U2" s="392">
        <v>1</v>
      </c>
      <c r="V2" s="392"/>
      <c r="W2" s="389" t="s">
        <v>104</v>
      </c>
      <c r="X2" s="390"/>
      <c r="Y2" s="188">
        <v>0</v>
      </c>
      <c r="Z2" s="395" t="s">
        <v>89</v>
      </c>
      <c r="AA2" s="396"/>
      <c r="AB2" s="184">
        <v>8</v>
      </c>
      <c r="AC2" s="195"/>
      <c r="AD2" s="383" t="s">
        <v>83</v>
      </c>
      <c r="AE2" s="384"/>
      <c r="AF2" s="466">
        <v>4</v>
      </c>
      <c r="AG2" s="466"/>
      <c r="AH2" s="220" t="s">
        <v>115</v>
      </c>
      <c r="AI2" s="467">
        <v>4</v>
      </c>
      <c r="AJ2" s="467"/>
      <c r="AK2" s="117"/>
      <c r="AL2" s="117"/>
      <c r="AM2" s="117"/>
      <c r="AN2" s="117"/>
      <c r="AO2" s="117"/>
      <c r="AP2" s="381"/>
      <c r="AQ2" s="381"/>
      <c r="AV2" s="43"/>
    </row>
    <row r="3" spans="1:57" ht="33" customHeight="1" x14ac:dyDescent="0.3">
      <c r="A3" s="56" t="str">
        <f>'4CO멍텅(실측)'!A3</f>
        <v>현장명 : 경기도 의정부 드림밸리아파트-4차,   (재질) : HL 1.2T</v>
      </c>
      <c r="B3" s="2"/>
      <c r="C3" s="2"/>
      <c r="D3" s="2"/>
      <c r="E3" s="2"/>
      <c r="F3" s="2"/>
      <c r="G3" s="2"/>
      <c r="H3" s="2"/>
      <c r="I3" s="2"/>
      <c r="J3" s="2"/>
      <c r="K3" s="398" t="s">
        <v>77</v>
      </c>
      <c r="L3" s="398"/>
      <c r="M3" s="202">
        <v>5</v>
      </c>
      <c r="N3" s="194"/>
      <c r="O3" s="194"/>
      <c r="P3" s="194"/>
      <c r="Q3" s="398" t="s">
        <v>78</v>
      </c>
      <c r="R3" s="398"/>
      <c r="S3" s="399">
        <v>8</v>
      </c>
      <c r="T3" s="399"/>
      <c r="U3" s="400" t="s">
        <v>234</v>
      </c>
      <c r="V3" s="400"/>
      <c r="W3" s="400"/>
      <c r="X3" s="401">
        <f>BD7</f>
        <v>1</v>
      </c>
      <c r="Y3" s="401"/>
      <c r="Z3" s="393" t="s">
        <v>79</v>
      </c>
      <c r="AA3" s="393"/>
      <c r="AB3" s="183">
        <v>3</v>
      </c>
      <c r="AC3" s="196"/>
      <c r="AF3" s="306" t="s">
        <v>74</v>
      </c>
      <c r="AG3" s="306"/>
      <c r="AH3" s="216">
        <v>4</v>
      </c>
      <c r="AI3" s="186" t="s">
        <v>75</v>
      </c>
      <c r="AJ3" s="217">
        <v>4</v>
      </c>
      <c r="AK3" s="30"/>
      <c r="AL3" s="30"/>
      <c r="AM3" s="30"/>
      <c r="AN3" s="30"/>
      <c r="AO3" s="30"/>
      <c r="AP3" s="44"/>
      <c r="AQ3" s="43"/>
      <c r="AV3" s="43"/>
    </row>
    <row r="4" spans="1:57" ht="33" customHeight="1" x14ac:dyDescent="0.3">
      <c r="A4" s="293" t="str">
        <f>'4CO멍텅(실측)'!A4:AB4</f>
        <v>제작치수 반영 : JB/JD +(5 ),  늘어난치수K -(4),  C + (8),  U +(8), OP1/OP3 - (2), R - (2),  기둥차감 - (4),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170"/>
      <c r="AI4" s="410">
        <f ca="1">TODAY()</f>
        <v>44881</v>
      </c>
      <c r="AJ4" s="294"/>
      <c r="AK4" s="408" t="s">
        <v>242</v>
      </c>
      <c r="AL4" s="408"/>
      <c r="AM4" s="409"/>
      <c r="AN4" s="304" t="s">
        <v>216</v>
      </c>
      <c r="AO4" s="304"/>
      <c r="AP4" s="44"/>
      <c r="AQ4" s="43"/>
      <c r="AV4" s="43"/>
      <c r="BD4" s="308" t="s">
        <v>260</v>
      </c>
    </row>
    <row r="5" spans="1:57" ht="25.9" customHeight="1" x14ac:dyDescent="0.3">
      <c r="A5" s="298" t="s">
        <v>0</v>
      </c>
      <c r="B5" s="298" t="s">
        <v>1</v>
      </c>
      <c r="C5" s="298" t="s">
        <v>274</v>
      </c>
      <c r="D5" s="299" t="s">
        <v>268</v>
      </c>
      <c r="E5" s="298" t="s">
        <v>275</v>
      </c>
      <c r="F5" s="298" t="s">
        <v>18</v>
      </c>
      <c r="G5" s="299" t="s">
        <v>59</v>
      </c>
      <c r="H5" s="299" t="s">
        <v>276</v>
      </c>
      <c r="I5" s="299" t="s">
        <v>277</v>
      </c>
      <c r="J5" s="411" t="s">
        <v>61</v>
      </c>
      <c r="K5" s="411" t="s">
        <v>65</v>
      </c>
      <c r="L5" s="461" t="s">
        <v>66</v>
      </c>
      <c r="M5" s="461" t="s">
        <v>67</v>
      </c>
      <c r="N5" s="446" t="s">
        <v>301</v>
      </c>
      <c r="O5" s="446" t="s">
        <v>302</v>
      </c>
      <c r="P5" s="369" t="s">
        <v>63</v>
      </c>
      <c r="Q5" s="369" t="s">
        <v>64</v>
      </c>
      <c r="R5" s="298" t="s">
        <v>8</v>
      </c>
      <c r="S5" s="298" t="s">
        <v>9</v>
      </c>
      <c r="T5" s="298" t="s">
        <v>10</v>
      </c>
      <c r="U5" s="298" t="s">
        <v>11</v>
      </c>
      <c r="V5" s="298" t="s">
        <v>14</v>
      </c>
      <c r="W5" s="298" t="s">
        <v>15</v>
      </c>
      <c r="X5" s="298" t="s">
        <v>16</v>
      </c>
      <c r="Y5" s="298" t="s">
        <v>17</v>
      </c>
      <c r="Z5" s="298" t="s">
        <v>19</v>
      </c>
      <c r="AA5" s="306" t="s">
        <v>20</v>
      </c>
      <c r="AB5" s="369" t="s">
        <v>22</v>
      </c>
      <c r="AC5" s="369" t="s">
        <v>23</v>
      </c>
      <c r="AD5" s="371" t="s">
        <v>21</v>
      </c>
      <c r="AE5" s="372"/>
      <c r="AF5" s="372"/>
      <c r="AG5" s="373"/>
      <c r="AH5" s="299" t="s">
        <v>25</v>
      </c>
      <c r="AI5" s="406" t="s">
        <v>34</v>
      </c>
      <c r="AJ5" s="299" t="s">
        <v>35</v>
      </c>
      <c r="AK5" s="444" t="s">
        <v>204</v>
      </c>
      <c r="AL5" s="444"/>
      <c r="AM5" s="444"/>
      <c r="AN5" s="302" t="s">
        <v>213</v>
      </c>
      <c r="AO5" s="303"/>
      <c r="AP5" s="314" t="s">
        <v>52</v>
      </c>
      <c r="AQ5" s="405" t="s">
        <v>51</v>
      </c>
      <c r="AX5" s="309" t="s">
        <v>28</v>
      </c>
      <c r="AY5" s="309"/>
      <c r="AZ5" s="309" t="s">
        <v>29</v>
      </c>
      <c r="BA5" s="309"/>
      <c r="BD5" s="309"/>
    </row>
    <row r="6" spans="1:57" ht="48" customHeight="1" x14ac:dyDescent="0.3">
      <c r="A6" s="298"/>
      <c r="B6" s="298"/>
      <c r="C6" s="298"/>
      <c r="D6" s="298"/>
      <c r="E6" s="298"/>
      <c r="F6" s="298"/>
      <c r="G6" s="298"/>
      <c r="H6" s="298"/>
      <c r="I6" s="298"/>
      <c r="J6" s="412"/>
      <c r="K6" s="412"/>
      <c r="L6" s="462"/>
      <c r="M6" s="462"/>
      <c r="N6" s="447"/>
      <c r="O6" s="447"/>
      <c r="P6" s="370"/>
      <c r="Q6" s="370"/>
      <c r="R6" s="298"/>
      <c r="S6" s="298"/>
      <c r="T6" s="298"/>
      <c r="U6" s="298"/>
      <c r="V6" s="298"/>
      <c r="W6" s="298"/>
      <c r="X6" s="298"/>
      <c r="Y6" s="298"/>
      <c r="Z6" s="298"/>
      <c r="AA6" s="306"/>
      <c r="AB6" s="370"/>
      <c r="AC6" s="370"/>
      <c r="AD6" s="169" t="s">
        <v>57</v>
      </c>
      <c r="AE6" s="169" t="s">
        <v>58</v>
      </c>
      <c r="AF6" s="169" t="s">
        <v>55</v>
      </c>
      <c r="AG6" s="169" t="s">
        <v>56</v>
      </c>
      <c r="AH6" s="298"/>
      <c r="AI6" s="407"/>
      <c r="AJ6" s="298"/>
      <c r="AK6" s="174" t="s">
        <v>201</v>
      </c>
      <c r="AL6" s="174" t="s">
        <v>202</v>
      </c>
      <c r="AM6" s="174" t="s">
        <v>203</v>
      </c>
      <c r="AN6" s="121" t="s">
        <v>214</v>
      </c>
      <c r="AO6" s="121" t="s">
        <v>215</v>
      </c>
      <c r="AP6" s="314"/>
      <c r="AQ6" s="405"/>
      <c r="AR6" s="35" t="s">
        <v>81</v>
      </c>
      <c r="AS6" s="177" t="s">
        <v>111</v>
      </c>
      <c r="AT6" s="73" t="s">
        <v>112</v>
      </c>
      <c r="AU6" s="36" t="s">
        <v>110</v>
      </c>
      <c r="AV6" s="173" t="s">
        <v>27</v>
      </c>
      <c r="AW6" s="173" t="s">
        <v>26</v>
      </c>
      <c r="AX6" s="173" t="s">
        <v>30</v>
      </c>
      <c r="AY6" s="173" t="s">
        <v>31</v>
      </c>
      <c r="AZ6" s="173" t="s">
        <v>30</v>
      </c>
      <c r="BA6" s="173" t="s">
        <v>31</v>
      </c>
      <c r="BB6" s="12" t="s">
        <v>49</v>
      </c>
      <c r="BC6" s="172" t="s">
        <v>113</v>
      </c>
      <c r="BD6" s="134" t="s">
        <v>232</v>
      </c>
      <c r="BE6" s="138" t="s">
        <v>240</v>
      </c>
    </row>
    <row r="7" spans="1:57" ht="26.25" customHeight="1" x14ac:dyDescent="0.3">
      <c r="A7" s="167">
        <f>'4CO멍텅(실측)'!A7</f>
        <v>0</v>
      </c>
      <c r="B7" s="167" t="str">
        <f>'4CO멍텅(실측)'!B7&amp;"F"</f>
        <v>F</v>
      </c>
      <c r="C7" s="167">
        <f>'4CO멍텅(실측)'!C7-멍텅OP</f>
        <v>-2</v>
      </c>
      <c r="D7" s="262">
        <f>'4CO멍텅(실측)'!D7</f>
        <v>0</v>
      </c>
      <c r="E7" s="180">
        <f>'4CO멍텅(실측)'!E7-멍텅OP</f>
        <v>-2</v>
      </c>
      <c r="F7" s="167">
        <f>'4CO멍텅(실측)'!F7-멍텅R</f>
        <v>-2</v>
      </c>
      <c r="G7" s="168">
        <f>'4CO멍텅(실측)'!G7+AP7+IF(BD7=1,AD7,0)+멍텅JBJD늘림치수</f>
        <v>1</v>
      </c>
      <c r="H7" s="181">
        <f>'4CO멍텅(실측)'!H7+AP7+IF(BD7=1,MAX(AD7,AF7),0)+멍텅JBJD늘림치수</f>
        <v>1</v>
      </c>
      <c r="I7" s="168">
        <f>'4CO멍텅(실측)'!I7+AP7+IF(BD7=1,AF7,0)+멍텅JBJD늘림치수</f>
        <v>1</v>
      </c>
      <c r="J7" s="61">
        <f>'4CO멍텅(실측)'!J7+AP7+IF(BD7=1,AD7,0)+멍텅JB강제키움+멍텅JBJD늘림치수</f>
        <v>1</v>
      </c>
      <c r="K7" s="61">
        <f>'4CO멍텅(실측)'!J7+AP7+IF(BD7=1,AE7,0)+멍텅JB강제키움+멍텅JBJD늘림치수-IF(멍텅JB하부늘치=1,'4CO멍텅(실측)'!X7-'4CO멍텅(실측)'!Y7,0)</f>
        <v>1</v>
      </c>
      <c r="L7" s="61">
        <f>'4CO멍텅(실측)'!K7+AP7+IF(BD7=1,AF7,0)+멍텅JB강제키움+멍텅JBJD늘림치수</f>
        <v>1</v>
      </c>
      <c r="M7" s="61">
        <f>'4CO멍텅(실측)'!K7+AP7+IF(BD7=1,AG7,0)+멍텅JB강제키움+멍텅JBJD늘림치수-IF(멍텅JB하부늘치=1,'4CO멍텅(실측)'!Z7-'4CO멍텅(실측)'!AA7,0)</f>
        <v>1</v>
      </c>
      <c r="N7" s="189">
        <f>IF(BD7=0,H7+AD7-(G7+AD7),H7-G7)</f>
        <v>0</v>
      </c>
      <c r="O7" s="189">
        <f>IF(BD7=0,H7+AD7-(I7+AD7),H7-I7)</f>
        <v>0</v>
      </c>
      <c r="P7" s="167">
        <f t="shared" ref="P7:Q7" si="0">R7+IF(소장="손상민",0,-1.5)</f>
        <v>-0.5</v>
      </c>
      <c r="Q7" s="167">
        <f t="shared" si="0"/>
        <v>-0.5</v>
      </c>
      <c r="R7" s="167">
        <f>IF(T7&gt;0,'4CO멍텅(실측)'!L7+멍텅C늘림,'4CO멍텅(실측)'!L7+1)</f>
        <v>1</v>
      </c>
      <c r="S7" s="167">
        <f>IF(U7&gt;0,'4CO멍텅(실측)'!M7+멍텅C늘림,'4CO멍텅(실측)'!M7+1)</f>
        <v>1</v>
      </c>
      <c r="T7" s="167">
        <f>IF(ISNUMBER('4CO멍텅(실측)'!N7),'4CO멍텅(실측)'!N7+'4CO멍텅제작'!AP7+멍텅A늘림,0)</f>
        <v>0</v>
      </c>
      <c r="U7" s="167">
        <f>IF(ISNUMBER('4CO멍텅(실측)'!O7),'4CO멍텅(실측)'!O7+'4CO멍텅제작'!AP7+멍텅A늘림,0)</f>
        <v>0</v>
      </c>
      <c r="V7" s="167">
        <f>'4CO멍텅(실측)'!P7-멍텅기둥차감</f>
        <v>-4</v>
      </c>
      <c r="W7" s="167">
        <f>'4CO멍텅(실측)'!Q7-멍텅기둥차감</f>
        <v>-4</v>
      </c>
      <c r="X7" s="167">
        <f>'4CO멍텅(실측)'!R7-멍텅기둥차감</f>
        <v>-4</v>
      </c>
      <c r="Y7" s="167">
        <f>'4CO멍텅(실측)'!S7-멍텅기둥차감</f>
        <v>-4</v>
      </c>
      <c r="Z7" s="168">
        <f>IF(ISNUMBER('4CO멍텅(실측)'!T7),IF(AA7&gt;0,'4CO멍텅(실측)'!T7+멍텅U늘림,'4CO멍텅(실측)'!T7+1.2),0)</f>
        <v>0</v>
      </c>
      <c r="AA7" s="168">
        <f>IF(OR(멍텅G="", 멍텅G=0),IF(ISNUMBER('4CO멍텅(실측)'!U7),IF('4CO멍텅(실측)'!U7+멍텅A늘림+AP7&gt;9,'4CO멍텅(실측)'!U7+멍텅A늘림+AP7,'4CO멍텅(실측)'!U7+멍텅A늘림+AP7),0),멍텅G)</f>
        <v>0</v>
      </c>
      <c r="AB7" s="167">
        <f>'4CO멍텅(실측)'!V7+뒷날개치수더함</f>
        <v>0</v>
      </c>
      <c r="AC7" s="167">
        <f>'4CO멍텅(실측)'!W7+뒷날개치수더함</f>
        <v>0</v>
      </c>
      <c r="AD7" s="28">
        <f>'4CO멍텅(실측)'!X7-멍텅늘치차감</f>
        <v>-4</v>
      </c>
      <c r="AE7" s="28">
        <f>IF(멍텅JB하부늘치=1,AD7,'4CO멍텅(실측)'!Y7-멍텅늘치차감)</f>
        <v>-4</v>
      </c>
      <c r="AF7" s="28">
        <f>'4CO멍텅(실측)'!Z7-멍텅늘치차감</f>
        <v>-4</v>
      </c>
      <c r="AG7" s="28">
        <f>IF(멍텅JB하부늘치=1,AF7,'4CO멍텅(실측)'!AA7-멍텅늘치차감)</f>
        <v>-4</v>
      </c>
      <c r="AH7" s="26" t="str">
        <f t="shared" ref="AH7" si="1">AV7&amp;"*"&amp;AW7</f>
        <v>-2*-2.6</v>
      </c>
      <c r="AI7" s="27" t="str">
        <f t="shared" ref="AI7" si="2">AY7&amp;"*"&amp;AX7</f>
        <v>-4*-1.6</v>
      </c>
      <c r="AJ7" s="25" t="str">
        <f t="shared" ref="AJ7" si="3">BA7&amp;"*"&amp;AZ7</f>
        <v>-4*-1.6</v>
      </c>
      <c r="AK7" s="168">
        <f>IF('4CO멍텅(실측)'!AB7&gt;5,'4CO멍텅(실측)'!AB7+뒷날개치수더함,'4CO멍텅(실측)'!AB7)</f>
        <v>0</v>
      </c>
      <c r="AL7" s="168">
        <f>'4CO멍텅(실측)'!AC7</f>
        <v>0</v>
      </c>
      <c r="AM7" s="168">
        <f>'4CO멍텅(실측)'!AD7</f>
        <v>0</v>
      </c>
      <c r="AN7" s="54">
        <f>IF('4CO멍텅(실측)'!AE7&gt;0,'4CO멍텅(실측)'!AE7-'4CO멍텅(실측)'!V7+1.2,0)</f>
        <v>0</v>
      </c>
      <c r="AO7" s="54">
        <f>IF('4CO멍텅(실측)'!AF7&gt;0,'4CO멍텅(실측)'!AF7-'4CO멍텅(실측)'!V7+1.2,0)</f>
        <v>0</v>
      </c>
      <c r="AP7" s="173">
        <f>IF(ISNUMBER('4CO멍텅(실측)'!N7),IF(9-MIN('4CO멍텅(실측)'!N7+멍텅A늘림,'4CO멍텅(실측)'!O7+멍텅A늘림)+AQ7&lt;AQ7,AQ7,9-MIN('4CO멍텅(실측)'!N7+멍텅A늘림,'4CO멍텅(실측)'!O7+멍텅A늘림)+AQ7),0)</f>
        <v>0</v>
      </c>
      <c r="AQ7" s="176"/>
      <c r="AR7" s="34">
        <f>DEGREES(ATAN((F7-(C7+D7+E7))/2/(G7)))</f>
        <v>45</v>
      </c>
      <c r="AS7" s="59">
        <f t="shared" ref="AS7" si="4">G7-COS(RADIANS(AR7))*J7</f>
        <v>0.29289321881345243</v>
      </c>
      <c r="AT7" s="59">
        <f t="shared" ref="AT7" si="5">I7-COS(RADIANS(AR7))*L7</f>
        <v>0.29289321881345243</v>
      </c>
      <c r="AU7" s="72" t="str">
        <f t="shared" ref="AU7" si="6">IF(G7+AD7&lt;&gt;I7+AF7,"JD비대칭","")</f>
        <v/>
      </c>
      <c r="AV7" s="173">
        <f>F7 + IF(Z7+AA7&gt;0, P7+Q7,0)</f>
        <v>-2</v>
      </c>
      <c r="AW7" s="173">
        <f>Z7+H7+AB7+AA7-1.2*$AH$3+IF(BD7=0,MAX(AD7,AF7))+IF(AA7=0,1.2,0)</f>
        <v>-2.5999999999999996</v>
      </c>
      <c r="AX7" s="173">
        <f>T7+R7+MAX(J7,K7)+AC7-1.2*$AJ$3+IF(BD7=0,MAX(AD7,AE7))+IF(T7=0,1.2,0)-IF(AM7=90,2.4,0)</f>
        <v>-1.5999999999999999</v>
      </c>
      <c r="AY7" s="173">
        <f t="shared" ref="AY7" si="7">MAX(V7,W7)</f>
        <v>-4</v>
      </c>
      <c r="AZ7" s="173">
        <f>U7+S7+MAX(L7,M7)+AC7-1.2*$AJ$3+IF(BD7=0,MAX(AF7,AG7))+IF(U7=0,1.2,0)-IF(AM7=90,2.4,0)</f>
        <v>-1.5999999999999999</v>
      </c>
      <c r="BA7" s="173">
        <f t="shared" ref="BA7" si="8">MAX(X7,Y7)</f>
        <v>-4</v>
      </c>
      <c r="BB7">
        <f t="shared" ref="BB7" si="9">J7-G7</f>
        <v>0</v>
      </c>
      <c r="BC7">
        <f t="shared" ref="BC7" si="10">9-AA7</f>
        <v>9</v>
      </c>
      <c r="BD7" s="135">
        <f>IF(AND(MIN(AD7,AF7)&gt;=9.2,F7-C7&gt;15),0,1)</f>
        <v>1</v>
      </c>
      <c r="BE7" s="139">
        <f>IF(소장="손상민",'4CO멍텅(실측)'!AG7,0)</f>
        <v>0</v>
      </c>
    </row>
    <row r="8" spans="1:57" x14ac:dyDescent="0.3">
      <c r="AP8"/>
      <c r="AQ8"/>
      <c r="AV8"/>
      <c r="AW8"/>
      <c r="AX8"/>
      <c r="AY8"/>
      <c r="AZ8"/>
      <c r="BA8"/>
    </row>
  </sheetData>
  <mergeCells count="61">
    <mergeCell ref="Z5:Z6"/>
    <mergeCell ref="X5:X6"/>
    <mergeCell ref="Y5:Y6"/>
    <mergeCell ref="V5:V6"/>
    <mergeCell ref="N5:N6"/>
    <mergeCell ref="O5:O6"/>
    <mergeCell ref="W5:W6"/>
    <mergeCell ref="AZ5:BA5"/>
    <mergeCell ref="AB5:AB6"/>
    <mergeCell ref="AC5:AC6"/>
    <mergeCell ref="AD5:AG5"/>
    <mergeCell ref="AH5:AH6"/>
    <mergeCell ref="AI5:AI6"/>
    <mergeCell ref="AJ5:AJ6"/>
    <mergeCell ref="AK5:AM5"/>
    <mergeCell ref="AN5:AO5"/>
    <mergeCell ref="AP5:AP6"/>
    <mergeCell ref="AQ5:AQ6"/>
    <mergeCell ref="AX5:AY5"/>
    <mergeCell ref="AN4:AO4"/>
    <mergeCell ref="BD4:BD5"/>
    <mergeCell ref="AF3:AG3"/>
    <mergeCell ref="A4:AG4"/>
    <mergeCell ref="AI4:AJ4"/>
    <mergeCell ref="AK4:AM4"/>
    <mergeCell ref="AA5:AA6"/>
    <mergeCell ref="P5:P6"/>
    <mergeCell ref="Q5:Q6"/>
    <mergeCell ref="R5:R6"/>
    <mergeCell ref="S5:S6"/>
    <mergeCell ref="T5:T6"/>
    <mergeCell ref="U5:U6"/>
    <mergeCell ref="K3:L3"/>
    <mergeCell ref="A5:A6"/>
    <mergeCell ref="B5:B6"/>
    <mergeCell ref="Q3:R3"/>
    <mergeCell ref="S3:T3"/>
    <mergeCell ref="U3:W3"/>
    <mergeCell ref="A1:AM1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AP1:AQ2"/>
    <mergeCell ref="J2:L2"/>
    <mergeCell ref="Q2:T2"/>
    <mergeCell ref="U2:V2"/>
    <mergeCell ref="W2:X2"/>
    <mergeCell ref="Z2:AA2"/>
    <mergeCell ref="AD2:AE2"/>
    <mergeCell ref="AF2:AG2"/>
    <mergeCell ref="AI2:AJ2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$BD7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style="228" customWidth="1"/>
    <col min="3" max="4" width="9.875" style="228" customWidth="1"/>
    <col min="5" max="28" width="6.875" style="228" customWidth="1"/>
    <col min="29" max="30" width="7.75" style="228" customWidth="1"/>
    <col min="31" max="31" width="13.75" style="228" customWidth="1"/>
    <col min="32" max="40" width="5.625" style="228" customWidth="1"/>
    <col min="41" max="16384" width="9" style="228"/>
  </cols>
  <sheetData>
    <row r="1" spans="1:40" ht="64.150000000000006" customHeight="1" x14ac:dyDescent="0.3">
      <c r="A1" s="296" t="str">
        <f>" 2UP " &amp; 정보!B3 &amp; "  " &amp; 정보!B6 &amp;" 소장"</f>
        <v xml:space="preserve"> 2UP (멍텅구리) 실측자료( 경기도 의정부 드림밸리아파트-4차 )  박철우 소장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45"/>
      <c r="AD1" s="245"/>
      <c r="AE1" s="245"/>
    </row>
    <row r="2" spans="1:40" ht="15" customHeight="1" x14ac:dyDescent="0.3">
      <c r="A2" s="245"/>
      <c r="B2" s="245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45"/>
      <c r="Z2" s="245"/>
      <c r="AA2" s="245"/>
      <c r="AB2" s="245"/>
      <c r="AC2" s="245"/>
      <c r="AD2" s="245"/>
      <c r="AE2" s="245"/>
    </row>
    <row r="3" spans="1:40" ht="33" customHeight="1" x14ac:dyDescent="0.3">
      <c r="A3" s="8" t="str">
        <f>"현장명 : " &amp; 정보!B1 &amp; ",   (재질) : " &amp; 정보!B8</f>
        <v>현장명 : 경기도 의정부 드림밸리아파트-4차,   (재질) : HL 1.2T</v>
      </c>
      <c r="B3" s="2"/>
      <c r="C3" s="2"/>
      <c r="D3" s="2"/>
      <c r="E3" s="2"/>
      <c r="F3" s="2"/>
      <c r="G3" s="380"/>
      <c r="H3" s="380"/>
      <c r="I3" s="380"/>
      <c r="J3" s="254"/>
      <c r="K3" s="377"/>
      <c r="L3" s="377"/>
      <c r="M3" s="378"/>
      <c r="N3" s="378"/>
      <c r="O3" s="379"/>
      <c r="P3" s="379"/>
      <c r="Q3" s="379"/>
      <c r="R3" s="246"/>
      <c r="S3" s="374" t="s">
        <v>98</v>
      </c>
      <c r="T3" s="374"/>
      <c r="U3" s="374"/>
      <c r="V3" s="375"/>
      <c r="W3" s="375"/>
      <c r="X3" s="376"/>
      <c r="Y3" s="376"/>
    </row>
    <row r="4" spans="1:40" ht="33" customHeight="1" x14ac:dyDescent="0.3">
      <c r="A4" s="293" t="str">
        <f>정보!B17</f>
        <v>제작치수 반영 : JB/JD +(5 ),  늘어난치수K -(4),  C + (8),   U + (8), OP - (2), R - (2),  기둥차감 - (4),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304" t="s">
        <v>216</v>
      </c>
      <c r="AD4" s="304"/>
      <c r="AE4" s="137" t="s">
        <v>241</v>
      </c>
    </row>
    <row r="5" spans="1:40" ht="25.9" customHeight="1" x14ac:dyDescent="0.3">
      <c r="A5" s="298" t="s">
        <v>0</v>
      </c>
      <c r="B5" s="298" t="s">
        <v>1</v>
      </c>
      <c r="C5" s="298" t="s">
        <v>3</v>
      </c>
      <c r="D5" s="298" t="s">
        <v>18</v>
      </c>
      <c r="E5" s="298" t="s">
        <v>4</v>
      </c>
      <c r="F5" s="298" t="s">
        <v>5</v>
      </c>
      <c r="G5" s="411" t="s">
        <v>281</v>
      </c>
      <c r="H5" s="411" t="s">
        <v>282</v>
      </c>
      <c r="I5" s="461" t="s">
        <v>283</v>
      </c>
      <c r="J5" s="461" t="s">
        <v>284</v>
      </c>
      <c r="K5" s="298" t="s">
        <v>8</v>
      </c>
      <c r="L5" s="298" t="s">
        <v>9</v>
      </c>
      <c r="M5" s="298" t="s">
        <v>10</v>
      </c>
      <c r="N5" s="298" t="s">
        <v>11</v>
      </c>
      <c r="O5" s="472" t="s">
        <v>14</v>
      </c>
      <c r="P5" s="470" t="s">
        <v>289</v>
      </c>
      <c r="Q5" s="470" t="s">
        <v>290</v>
      </c>
      <c r="R5" s="461" t="s">
        <v>130</v>
      </c>
      <c r="S5" s="461" t="s">
        <v>287</v>
      </c>
      <c r="T5" s="461" t="s">
        <v>288</v>
      </c>
      <c r="U5" s="298" t="s">
        <v>19</v>
      </c>
      <c r="V5" s="298" t="s">
        <v>20</v>
      </c>
      <c r="W5" s="369" t="s">
        <v>22</v>
      </c>
      <c r="X5" s="369" t="s">
        <v>23</v>
      </c>
      <c r="Y5" s="371" t="s">
        <v>21</v>
      </c>
      <c r="Z5" s="372"/>
      <c r="AA5" s="372"/>
      <c r="AB5" s="373"/>
      <c r="AC5" s="302" t="s">
        <v>213</v>
      </c>
      <c r="AD5" s="303"/>
      <c r="AE5" s="136" t="s">
        <v>238</v>
      </c>
    </row>
    <row r="6" spans="1:40" ht="47.25" customHeight="1" x14ac:dyDescent="0.3">
      <c r="A6" s="298"/>
      <c r="B6" s="298"/>
      <c r="C6" s="298"/>
      <c r="D6" s="298"/>
      <c r="E6" s="298"/>
      <c r="F6" s="298"/>
      <c r="G6" s="412"/>
      <c r="H6" s="412"/>
      <c r="I6" s="462"/>
      <c r="J6" s="462"/>
      <c r="K6" s="298"/>
      <c r="L6" s="298"/>
      <c r="M6" s="298"/>
      <c r="N6" s="298"/>
      <c r="O6" s="471"/>
      <c r="P6" s="471"/>
      <c r="Q6" s="471"/>
      <c r="R6" s="462"/>
      <c r="S6" s="462"/>
      <c r="T6" s="462"/>
      <c r="U6" s="298"/>
      <c r="V6" s="298"/>
      <c r="W6" s="370"/>
      <c r="X6" s="370"/>
      <c r="Y6" s="241" t="s">
        <v>53</v>
      </c>
      <c r="Z6" s="241" t="s">
        <v>54</v>
      </c>
      <c r="AA6" s="241" t="s">
        <v>55</v>
      </c>
      <c r="AB6" s="241" t="s">
        <v>56</v>
      </c>
      <c r="AC6" s="121" t="s">
        <v>214</v>
      </c>
      <c r="AD6" s="121" t="s">
        <v>215</v>
      </c>
      <c r="AE6" s="136" t="s">
        <v>239</v>
      </c>
      <c r="AF6" s="83" t="s">
        <v>116</v>
      </c>
    </row>
    <row r="7" spans="1:40" ht="27" customHeight="1" x14ac:dyDescent="0.3">
      <c r="A7" s="239"/>
      <c r="B7" s="239"/>
      <c r="C7" s="239"/>
      <c r="D7" s="239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39"/>
      <c r="X7" s="239"/>
      <c r="Y7" s="239"/>
      <c r="Z7" s="239"/>
      <c r="AA7" s="239"/>
      <c r="AB7" s="239"/>
      <c r="AC7" s="240"/>
      <c r="AD7" s="240"/>
      <c r="AE7" s="240"/>
      <c r="AF7" s="84"/>
      <c r="AG7" s="244"/>
      <c r="AH7" s="244"/>
      <c r="AI7" s="244">
        <f t="shared" ref="AI7:AJ11" si="0">AA7+$AF7</f>
        <v>0</v>
      </c>
      <c r="AJ7" s="244">
        <f t="shared" si="0"/>
        <v>0</v>
      </c>
      <c r="AK7" s="244">
        <f t="shared" ref="AK7:AM11" si="1">E7-$AF7</f>
        <v>0</v>
      </c>
      <c r="AL7" s="244">
        <f t="shared" si="1"/>
        <v>0</v>
      </c>
      <c r="AM7" s="244">
        <f t="shared" si="1"/>
        <v>0</v>
      </c>
      <c r="AN7" s="244">
        <f>I7-$AF7</f>
        <v>0</v>
      </c>
    </row>
    <row r="8" spans="1:40" ht="27" customHeight="1" x14ac:dyDescent="0.3">
      <c r="A8" s="239"/>
      <c r="B8" s="239"/>
      <c r="C8" s="239"/>
      <c r="D8" s="239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39"/>
      <c r="X8" s="239"/>
      <c r="Y8" s="239"/>
      <c r="Z8" s="239"/>
      <c r="AA8" s="239"/>
      <c r="AB8" s="239"/>
      <c r="AC8" s="240"/>
      <c r="AD8" s="240"/>
      <c r="AE8" s="240"/>
      <c r="AF8" s="84"/>
      <c r="AG8" s="244"/>
      <c r="AH8" s="244"/>
      <c r="AI8" s="244">
        <f t="shared" si="0"/>
        <v>0</v>
      </c>
      <c r="AJ8" s="244">
        <f t="shared" si="0"/>
        <v>0</v>
      </c>
      <c r="AK8" s="244">
        <f t="shared" si="1"/>
        <v>0</v>
      </c>
      <c r="AL8" s="244">
        <f t="shared" si="1"/>
        <v>0</v>
      </c>
      <c r="AM8" s="244">
        <f t="shared" si="1"/>
        <v>0</v>
      </c>
      <c r="AN8" s="244">
        <f>I8-$AF8</f>
        <v>0</v>
      </c>
    </row>
    <row r="9" spans="1:40" ht="27" customHeight="1" x14ac:dyDescent="0.3">
      <c r="A9" s="239"/>
      <c r="B9" s="239"/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40"/>
      <c r="AD9" s="240"/>
      <c r="AE9" s="240"/>
      <c r="AF9" s="84"/>
      <c r="AG9" s="244"/>
      <c r="AH9" s="244"/>
      <c r="AI9" s="244">
        <f t="shared" si="0"/>
        <v>0</v>
      </c>
      <c r="AJ9" s="244">
        <f t="shared" si="0"/>
        <v>0</v>
      </c>
      <c r="AK9" s="244">
        <f t="shared" si="1"/>
        <v>0</v>
      </c>
      <c r="AL9" s="244">
        <f t="shared" si="1"/>
        <v>0</v>
      </c>
      <c r="AM9" s="244">
        <f t="shared" si="1"/>
        <v>0</v>
      </c>
      <c r="AN9" s="244">
        <f>I9-$AF9</f>
        <v>0</v>
      </c>
    </row>
    <row r="10" spans="1:40" ht="27" customHeight="1" x14ac:dyDescent="0.3">
      <c r="A10" s="239"/>
      <c r="B10" s="239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39"/>
      <c r="AB10" s="239"/>
      <c r="AC10" s="240"/>
      <c r="AD10" s="240"/>
      <c r="AE10" s="240"/>
      <c r="AF10" s="84"/>
      <c r="AG10" s="244"/>
      <c r="AH10" s="244"/>
      <c r="AI10" s="244">
        <f t="shared" si="0"/>
        <v>0</v>
      </c>
      <c r="AJ10" s="244">
        <f t="shared" si="0"/>
        <v>0</v>
      </c>
      <c r="AK10" s="244">
        <f t="shared" si="1"/>
        <v>0</v>
      </c>
      <c r="AL10" s="244">
        <f t="shared" si="1"/>
        <v>0</v>
      </c>
      <c r="AM10" s="244">
        <f t="shared" si="1"/>
        <v>0</v>
      </c>
      <c r="AN10" s="244">
        <f>I10-$AF10</f>
        <v>0</v>
      </c>
    </row>
    <row r="11" spans="1:40" ht="27" customHeight="1" x14ac:dyDescent="0.3">
      <c r="A11" s="239"/>
      <c r="B11" s="239"/>
      <c r="C11" s="239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40"/>
      <c r="AD11" s="240"/>
      <c r="AE11" s="240"/>
      <c r="AF11" s="84"/>
      <c r="AG11" s="244"/>
      <c r="AH11" s="244"/>
      <c r="AI11" s="244">
        <f t="shared" si="0"/>
        <v>0</v>
      </c>
      <c r="AJ11" s="244">
        <f t="shared" si="0"/>
        <v>0</v>
      </c>
      <c r="AK11" s="244">
        <f t="shared" si="1"/>
        <v>0</v>
      </c>
      <c r="AL11" s="244">
        <f t="shared" si="1"/>
        <v>0</v>
      </c>
      <c r="AM11" s="244">
        <f t="shared" si="1"/>
        <v>0</v>
      </c>
      <c r="AN11" s="244">
        <f>I11-$AF11</f>
        <v>0</v>
      </c>
    </row>
    <row r="12" spans="1:40" ht="27" customHeight="1" x14ac:dyDescent="0.3">
      <c r="A12" s="239"/>
      <c r="B12" s="239"/>
      <c r="C12" s="239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40"/>
      <c r="AD12" s="240"/>
      <c r="AE12" s="240"/>
    </row>
    <row r="13" spans="1:40" ht="27" customHeight="1" x14ac:dyDescent="0.3">
      <c r="A13" s="239"/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  <c r="AC13" s="240"/>
      <c r="AD13" s="240"/>
      <c r="AE13" s="240"/>
    </row>
    <row r="14" spans="1:40" ht="27" customHeight="1" x14ac:dyDescent="0.3">
      <c r="A14" s="239"/>
      <c r="B14" s="239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  <c r="AC14" s="240"/>
      <c r="AD14" s="240"/>
      <c r="AE14" s="240"/>
    </row>
    <row r="15" spans="1:40" ht="27" customHeight="1" x14ac:dyDescent="0.3">
      <c r="A15" s="239"/>
      <c r="B15" s="239"/>
      <c r="C15" s="239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40"/>
      <c r="AD15" s="240"/>
      <c r="AE15" s="240"/>
    </row>
    <row r="16" spans="1:40" ht="27" customHeight="1" x14ac:dyDescent="0.3">
      <c r="A16" s="239"/>
      <c r="B16" s="239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40"/>
      <c r="AD16" s="240"/>
      <c r="AE16" s="240"/>
    </row>
    <row r="17" spans="1:31" ht="27" customHeight="1" x14ac:dyDescent="0.3">
      <c r="A17" s="239"/>
      <c r="B17" s="239"/>
      <c r="C17" s="239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39"/>
      <c r="S17" s="239"/>
      <c r="T17" s="239"/>
      <c r="U17" s="239"/>
      <c r="V17" s="239"/>
      <c r="W17" s="239"/>
      <c r="X17" s="239"/>
      <c r="Y17" s="239"/>
      <c r="Z17" s="239"/>
      <c r="AA17" s="239"/>
      <c r="AB17" s="239"/>
      <c r="AC17" s="240"/>
      <c r="AD17" s="240"/>
      <c r="AE17" s="240"/>
    </row>
    <row r="18" spans="1:31" ht="27" customHeight="1" x14ac:dyDescent="0.3">
      <c r="A18" s="239"/>
      <c r="B18" s="239"/>
      <c r="C18" s="239"/>
      <c r="D18" s="239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39"/>
      <c r="AB18" s="239"/>
      <c r="AC18" s="240"/>
      <c r="AD18" s="240"/>
      <c r="AE18" s="240"/>
    </row>
    <row r="19" spans="1:31" ht="27" customHeight="1" x14ac:dyDescent="0.3">
      <c r="A19" s="239"/>
      <c r="B19" s="239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39"/>
      <c r="S19" s="239"/>
      <c r="T19" s="239"/>
      <c r="U19" s="239"/>
      <c r="V19" s="239"/>
      <c r="W19" s="239"/>
      <c r="X19" s="239"/>
      <c r="Y19" s="239"/>
      <c r="Z19" s="239"/>
      <c r="AA19" s="239"/>
      <c r="AB19" s="239"/>
      <c r="AC19" s="240"/>
      <c r="AD19" s="240"/>
      <c r="AE19" s="240"/>
    </row>
    <row r="20" spans="1:31" ht="27" customHeight="1" x14ac:dyDescent="0.3">
      <c r="A20" s="239"/>
      <c r="B20" s="239"/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39"/>
      <c r="AB20" s="239"/>
      <c r="AC20" s="240"/>
      <c r="AD20" s="240"/>
      <c r="AE20" s="240"/>
    </row>
    <row r="21" spans="1:31" ht="27" customHeight="1" x14ac:dyDescent="0.3">
      <c r="A21" s="239"/>
      <c r="B21" s="239"/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40"/>
      <c r="AD21" s="240"/>
      <c r="AE21" s="240"/>
    </row>
    <row r="22" spans="1:31" ht="27" customHeight="1" x14ac:dyDescent="0.3">
      <c r="A22" s="239"/>
      <c r="B22" s="239"/>
      <c r="C22" s="239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39"/>
      <c r="T22" s="239"/>
      <c r="U22" s="239"/>
      <c r="V22" s="239"/>
      <c r="W22" s="239"/>
      <c r="X22" s="239"/>
      <c r="Y22" s="239"/>
      <c r="Z22" s="239"/>
      <c r="AA22" s="239"/>
      <c r="AB22" s="239"/>
      <c r="AC22" s="240"/>
      <c r="AD22" s="240"/>
      <c r="AE22" s="240"/>
    </row>
    <row r="23" spans="1:31" ht="27" customHeight="1" x14ac:dyDescent="0.3">
      <c r="A23" s="239"/>
      <c r="B23" s="239"/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239"/>
      <c r="T23" s="239"/>
      <c r="U23" s="239"/>
      <c r="V23" s="239"/>
      <c r="W23" s="239"/>
      <c r="X23" s="239"/>
      <c r="Y23" s="239"/>
      <c r="Z23" s="239"/>
      <c r="AA23" s="239"/>
      <c r="AB23" s="239"/>
      <c r="AC23" s="240"/>
      <c r="AD23" s="240"/>
      <c r="AE23" s="240"/>
    </row>
    <row r="24" spans="1:31" ht="27" customHeight="1" x14ac:dyDescent="0.3">
      <c r="A24" s="239"/>
      <c r="B24" s="239"/>
      <c r="C24" s="239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39"/>
      <c r="AC24" s="240"/>
      <c r="AD24" s="240"/>
      <c r="AE24" s="240"/>
    </row>
    <row r="25" spans="1:31" ht="27" customHeight="1" x14ac:dyDescent="0.3">
      <c r="A25" s="239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  <c r="Z25" s="239"/>
      <c r="AA25" s="239"/>
      <c r="AB25" s="239"/>
      <c r="AC25" s="240"/>
      <c r="AD25" s="240"/>
      <c r="AE25" s="240"/>
    </row>
    <row r="26" spans="1:31" ht="27" customHeight="1" x14ac:dyDescent="0.3">
      <c r="A26" s="239"/>
      <c r="B26" s="239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39"/>
      <c r="AB26" s="239"/>
      <c r="AC26" s="240"/>
      <c r="AD26" s="240"/>
      <c r="AE26" s="240"/>
    </row>
    <row r="27" spans="1:31" ht="27" customHeight="1" x14ac:dyDescent="0.3">
      <c r="A27" s="239"/>
      <c r="B27" s="239"/>
      <c r="C27" s="239"/>
      <c r="D27" s="239"/>
      <c r="E27" s="239"/>
      <c r="F27" s="239"/>
      <c r="G27" s="239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40"/>
      <c r="AD27" s="240"/>
      <c r="AE27" s="240"/>
    </row>
    <row r="28" spans="1:31" ht="27" customHeight="1" x14ac:dyDescent="0.3">
      <c r="A28" s="239"/>
      <c r="B28" s="239"/>
      <c r="C28" s="239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/>
      <c r="T28" s="239"/>
      <c r="U28" s="239"/>
      <c r="V28" s="239"/>
      <c r="W28" s="239"/>
      <c r="X28" s="239"/>
      <c r="Y28" s="239"/>
      <c r="Z28" s="239"/>
      <c r="AA28" s="239"/>
      <c r="AB28" s="239"/>
      <c r="AC28" s="240"/>
      <c r="AD28" s="240"/>
      <c r="AE28" s="240"/>
    </row>
    <row r="29" spans="1:31" ht="27" customHeight="1" x14ac:dyDescent="0.3">
      <c r="A29" s="239"/>
      <c r="B29" s="239"/>
      <c r="C29" s="239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  <c r="AC29" s="240"/>
      <c r="AD29" s="240"/>
      <c r="AE29" s="240"/>
    </row>
    <row r="30" spans="1:31" ht="27" customHeight="1" x14ac:dyDescent="0.3">
      <c r="A30" s="239"/>
      <c r="B30" s="239"/>
      <c r="C30" s="239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40"/>
      <c r="AD30" s="240"/>
      <c r="AE30" s="240"/>
    </row>
    <row r="31" spans="1:31" ht="27" customHeight="1" x14ac:dyDescent="0.3">
      <c r="A31" s="239"/>
      <c r="B31" s="239"/>
      <c r="C31" s="239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40"/>
      <c r="AD31" s="240"/>
      <c r="AE31" s="240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A8"/>
  <sheetViews>
    <sheetView zoomScale="85" zoomScaleNormal="85" workbookViewId="0">
      <selection sqref="A1:AI1"/>
    </sheetView>
  </sheetViews>
  <sheetFormatPr defaultRowHeight="16.5" x14ac:dyDescent="0.3"/>
  <cols>
    <col min="1" max="1" width="6.875" style="228" customWidth="1"/>
    <col min="2" max="2" width="5.875" style="228" customWidth="1"/>
    <col min="3" max="3" width="8.25" style="228" customWidth="1"/>
    <col min="4" max="4" width="8.5" style="228" customWidth="1"/>
    <col min="5" max="12" width="6.875" style="228" customWidth="1"/>
    <col min="13" max="14" width="6.25" style="228" customWidth="1"/>
    <col min="15" max="16" width="5.75" style="228" customWidth="1"/>
    <col min="17" max="32" width="6.875" style="228" customWidth="1"/>
    <col min="33" max="33" width="11.5" style="228" customWidth="1"/>
    <col min="34" max="34" width="13.875" style="228" customWidth="1"/>
    <col min="35" max="35" width="13.625" style="228" customWidth="1"/>
    <col min="36" max="37" width="8.125" style="228" customWidth="1"/>
    <col min="38" max="38" width="5.75" style="244" customWidth="1"/>
    <col min="39" max="39" width="7.375" style="244" customWidth="1"/>
    <col min="40" max="41" width="9" style="228"/>
    <col min="42" max="42" width="7.75" style="228" customWidth="1"/>
    <col min="43" max="43" width="9" style="228"/>
    <col min="44" max="49" width="9" style="244"/>
    <col min="50" max="51" width="9" style="228"/>
    <col min="52" max="52" width="8.125" style="228" customWidth="1"/>
    <col min="53" max="16384" width="9" style="228"/>
  </cols>
  <sheetData>
    <row r="1" spans="1:53" ht="64.150000000000006" customHeight="1" x14ac:dyDescent="0.3">
      <c r="A1" s="296" t="str">
        <f>"(2UP 멍텅구리) " &amp;정보!B1&amp; " ("&amp;정보!B6&amp;" 소장) 제작치수"</f>
        <v>(2UP 멍텅구리) 경기도 의정부 드림밸리아파트-4차 (박철우 소장) 제작치수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45"/>
      <c r="AK1" s="245"/>
      <c r="AL1" s="381" t="s">
        <v>76</v>
      </c>
      <c r="AM1" s="381"/>
      <c r="AR1" s="43"/>
    </row>
    <row r="2" spans="1:53" ht="28.5" customHeight="1" x14ac:dyDescent="0.3">
      <c r="A2" s="250" t="s">
        <v>86</v>
      </c>
      <c r="B2" s="76">
        <v>2</v>
      </c>
      <c r="C2" s="40" t="s">
        <v>87</v>
      </c>
      <c r="D2" s="75">
        <v>2</v>
      </c>
      <c r="E2" s="245"/>
      <c r="F2" s="245"/>
      <c r="G2" s="352" t="s">
        <v>82</v>
      </c>
      <c r="H2" s="352"/>
      <c r="I2" s="352"/>
      <c r="J2" s="394">
        <v>0</v>
      </c>
      <c r="K2" s="394"/>
      <c r="L2" s="394"/>
      <c r="M2" s="394"/>
      <c r="N2" s="473" t="s">
        <v>114</v>
      </c>
      <c r="O2" s="473"/>
      <c r="P2" s="473"/>
      <c r="Q2" s="473"/>
      <c r="R2" s="392">
        <v>1</v>
      </c>
      <c r="S2" s="392"/>
      <c r="T2" s="474" t="s">
        <v>104</v>
      </c>
      <c r="U2" s="475"/>
      <c r="V2" s="476"/>
      <c r="W2" s="204">
        <v>0</v>
      </c>
      <c r="X2" s="256"/>
      <c r="Y2" s="395" t="s">
        <v>89</v>
      </c>
      <c r="Z2" s="396"/>
      <c r="AA2" s="387">
        <v>8</v>
      </c>
      <c r="AB2" s="387"/>
      <c r="AC2" s="383" t="s">
        <v>83</v>
      </c>
      <c r="AD2" s="384"/>
      <c r="AE2" s="385">
        <v>4</v>
      </c>
      <c r="AF2" s="385"/>
      <c r="AG2" s="249" t="s">
        <v>115</v>
      </c>
      <c r="AH2" s="382">
        <v>4</v>
      </c>
      <c r="AI2" s="382"/>
      <c r="AJ2" s="117"/>
      <c r="AK2" s="117"/>
      <c r="AL2" s="381"/>
      <c r="AM2" s="381"/>
      <c r="AR2" s="43"/>
    </row>
    <row r="3" spans="1:53" ht="33" customHeight="1" x14ac:dyDescent="0.3">
      <c r="A3" s="56" t="str">
        <f>'2UP실측'!A3</f>
        <v>현장명 : 경기도 의정부 드림밸리아파트-4차,   (재질) : HL 1.2T</v>
      </c>
      <c r="B3" s="2"/>
      <c r="C3" s="2"/>
      <c r="D3" s="2"/>
      <c r="E3" s="2"/>
      <c r="F3" s="2"/>
      <c r="G3" s="398" t="s">
        <v>77</v>
      </c>
      <c r="H3" s="398"/>
      <c r="I3" s="398"/>
      <c r="J3" s="397">
        <v>5</v>
      </c>
      <c r="K3" s="397"/>
      <c r="L3" s="397"/>
      <c r="M3" s="397"/>
      <c r="N3" s="398" t="s">
        <v>78</v>
      </c>
      <c r="O3" s="398"/>
      <c r="P3" s="399">
        <v>8</v>
      </c>
      <c r="Q3" s="399"/>
      <c r="R3" s="477" t="s">
        <v>234</v>
      </c>
      <c r="S3" s="477"/>
      <c r="T3" s="477"/>
      <c r="U3" s="401">
        <f>AZ7</f>
        <v>1</v>
      </c>
      <c r="V3" s="401"/>
      <c r="W3" s="401"/>
      <c r="X3" s="257"/>
      <c r="Y3" s="393" t="s">
        <v>79</v>
      </c>
      <c r="Z3" s="393"/>
      <c r="AA3" s="386">
        <v>3</v>
      </c>
      <c r="AB3" s="386"/>
      <c r="AE3" s="306" t="s">
        <v>74</v>
      </c>
      <c r="AF3" s="306"/>
      <c r="AG3" s="197">
        <v>3</v>
      </c>
      <c r="AH3" s="240" t="s">
        <v>75</v>
      </c>
      <c r="AI3" s="199">
        <v>4</v>
      </c>
      <c r="AJ3" s="30"/>
      <c r="AK3" s="30"/>
      <c r="AL3" s="44"/>
      <c r="AM3" s="43"/>
      <c r="AR3" s="43"/>
    </row>
    <row r="4" spans="1:53" ht="33" customHeight="1" x14ac:dyDescent="0.3">
      <c r="A4" s="293" t="str">
        <f>'2UP실측'!A4:AB4</f>
        <v>제작치수 반영 : JB/JD +(5 ),  늘어난치수K -(4),  C + (8),   U + (8), OP - (2), R - (2),  기둥차감 - (4),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42"/>
      <c r="AH4" s="410">
        <f ca="1">TODAY()</f>
        <v>44881</v>
      </c>
      <c r="AI4" s="294"/>
      <c r="AJ4" s="304" t="s">
        <v>216</v>
      </c>
      <c r="AK4" s="304"/>
      <c r="AL4" s="44"/>
      <c r="AM4" s="43"/>
      <c r="AR4" s="43"/>
      <c r="AZ4" s="308" t="s">
        <v>260</v>
      </c>
    </row>
    <row r="5" spans="1:53" ht="25.9" customHeight="1" x14ac:dyDescent="0.3">
      <c r="A5" s="298" t="s">
        <v>0</v>
      </c>
      <c r="B5" s="298" t="s">
        <v>1</v>
      </c>
      <c r="C5" s="298" t="s">
        <v>3</v>
      </c>
      <c r="D5" s="298" t="s">
        <v>18</v>
      </c>
      <c r="E5" s="299" t="s">
        <v>59</v>
      </c>
      <c r="F5" s="299" t="s">
        <v>60</v>
      </c>
      <c r="G5" s="402" t="s">
        <v>61</v>
      </c>
      <c r="H5" s="402" t="s">
        <v>65</v>
      </c>
      <c r="I5" s="411" t="s">
        <v>66</v>
      </c>
      <c r="J5" s="411" t="s">
        <v>67</v>
      </c>
      <c r="K5" s="478" t="s">
        <v>285</v>
      </c>
      <c r="L5" s="478" t="s">
        <v>286</v>
      </c>
      <c r="M5" s="369" t="s">
        <v>63</v>
      </c>
      <c r="N5" s="369" t="s">
        <v>64</v>
      </c>
      <c r="O5" s="298" t="s">
        <v>8</v>
      </c>
      <c r="P5" s="298" t="s">
        <v>9</v>
      </c>
      <c r="Q5" s="298" t="s">
        <v>10</v>
      </c>
      <c r="R5" s="298" t="s">
        <v>11</v>
      </c>
      <c r="S5" s="472" t="s">
        <v>14</v>
      </c>
      <c r="T5" s="470" t="s">
        <v>289</v>
      </c>
      <c r="U5" s="470" t="s">
        <v>290</v>
      </c>
      <c r="V5" s="461" t="s">
        <v>130</v>
      </c>
      <c r="W5" s="461" t="s">
        <v>287</v>
      </c>
      <c r="X5" s="461" t="s">
        <v>288</v>
      </c>
      <c r="Y5" s="298" t="s">
        <v>19</v>
      </c>
      <c r="Z5" s="404" t="s">
        <v>20</v>
      </c>
      <c r="AA5" s="369" t="s">
        <v>22</v>
      </c>
      <c r="AB5" s="369" t="s">
        <v>23</v>
      </c>
      <c r="AC5" s="371" t="s">
        <v>21</v>
      </c>
      <c r="AD5" s="372"/>
      <c r="AE5" s="372"/>
      <c r="AF5" s="373"/>
      <c r="AG5" s="299" t="s">
        <v>25</v>
      </c>
      <c r="AH5" s="406" t="s">
        <v>34</v>
      </c>
      <c r="AI5" s="299" t="s">
        <v>35</v>
      </c>
      <c r="AJ5" s="302" t="s">
        <v>213</v>
      </c>
      <c r="AK5" s="303"/>
      <c r="AL5" s="314" t="s">
        <v>52</v>
      </c>
      <c r="AM5" s="405" t="s">
        <v>51</v>
      </c>
      <c r="AT5" s="309" t="s">
        <v>28</v>
      </c>
      <c r="AU5" s="309"/>
      <c r="AV5" s="309" t="s">
        <v>29</v>
      </c>
      <c r="AW5" s="309"/>
      <c r="AZ5" s="309"/>
    </row>
    <row r="6" spans="1:53" ht="48" customHeight="1" x14ac:dyDescent="0.3">
      <c r="A6" s="298"/>
      <c r="B6" s="298"/>
      <c r="C6" s="298"/>
      <c r="D6" s="298"/>
      <c r="E6" s="298"/>
      <c r="F6" s="298"/>
      <c r="G6" s="403"/>
      <c r="H6" s="403"/>
      <c r="I6" s="412"/>
      <c r="J6" s="412"/>
      <c r="K6" s="479"/>
      <c r="L6" s="479"/>
      <c r="M6" s="370"/>
      <c r="N6" s="370"/>
      <c r="O6" s="298"/>
      <c r="P6" s="298"/>
      <c r="Q6" s="298"/>
      <c r="R6" s="298"/>
      <c r="S6" s="471"/>
      <c r="T6" s="471"/>
      <c r="U6" s="471"/>
      <c r="V6" s="462"/>
      <c r="W6" s="462"/>
      <c r="X6" s="462"/>
      <c r="Y6" s="298"/>
      <c r="Z6" s="404"/>
      <c r="AA6" s="370"/>
      <c r="AB6" s="370"/>
      <c r="AC6" s="241" t="s">
        <v>57</v>
      </c>
      <c r="AD6" s="241" t="s">
        <v>58</v>
      </c>
      <c r="AE6" s="241" t="s">
        <v>55</v>
      </c>
      <c r="AF6" s="241" t="s">
        <v>56</v>
      </c>
      <c r="AG6" s="298"/>
      <c r="AH6" s="407"/>
      <c r="AI6" s="298"/>
      <c r="AJ6" s="121" t="s">
        <v>214</v>
      </c>
      <c r="AK6" s="121" t="s">
        <v>215</v>
      </c>
      <c r="AL6" s="314"/>
      <c r="AM6" s="405"/>
      <c r="AN6" s="35" t="s">
        <v>81</v>
      </c>
      <c r="AO6" s="248" t="s">
        <v>111</v>
      </c>
      <c r="AP6" s="73" t="s">
        <v>112</v>
      </c>
      <c r="AQ6" s="36" t="s">
        <v>110</v>
      </c>
      <c r="AR6" s="244" t="s">
        <v>27</v>
      </c>
      <c r="AS6" s="244" t="s">
        <v>26</v>
      </c>
      <c r="AT6" s="244" t="s">
        <v>30</v>
      </c>
      <c r="AU6" s="244" t="s">
        <v>31</v>
      </c>
      <c r="AV6" s="244" t="s">
        <v>30</v>
      </c>
      <c r="AW6" s="244" t="s">
        <v>31</v>
      </c>
      <c r="AX6" s="12" t="s">
        <v>49</v>
      </c>
      <c r="AY6" s="243" t="s">
        <v>113</v>
      </c>
      <c r="AZ6" s="134" t="s">
        <v>232</v>
      </c>
      <c r="BA6" s="138" t="s">
        <v>240</v>
      </c>
    </row>
    <row r="7" spans="1:53" ht="26.25" customHeight="1" x14ac:dyDescent="0.3">
      <c r="A7" s="239">
        <f>'2UP실측'!A7</f>
        <v>0</v>
      </c>
      <c r="B7" s="239" t="str">
        <f>'2UP실측'!B7&amp;"F"</f>
        <v>F</v>
      </c>
      <c r="C7" s="239">
        <f>'2UP실측'!C7-멍텅OP</f>
        <v>-2</v>
      </c>
      <c r="D7" s="239">
        <f>'2UP실측'!D7-멍텅R</f>
        <v>-2</v>
      </c>
      <c r="E7" s="240">
        <f>'2UP실측'!E7+AL7+IF(AZ7=1,AC7,0)+멍텅JBJD늘림치수</f>
        <v>1</v>
      </c>
      <c r="F7" s="240">
        <f>'2UP실측'!F7+AL7+IF(AZ7=1,AE7,0)+멍텅JBJD늘림치수</f>
        <v>1</v>
      </c>
      <c r="G7" s="61">
        <f>'2UP실측'!G7+AL7+IF(AZ7=1,AC7,0)+멍텅JB강제키움+멍텅JBJD늘림치수</f>
        <v>1</v>
      </c>
      <c r="H7" s="61">
        <f>'2UP실측'!H7+AL7+IF(AZ7=1,AD7,0)+멍텅JB강제키움+멍텅JBJD늘림치수-IF(멍텅JB하부늘치=1,'2UP실측'!Y7-'2UP실측'!Z7,0)</f>
        <v>1</v>
      </c>
      <c r="I7" s="61">
        <f>'2UP실측'!I7+AL7+IF(AZ7=1,AE7,0)+멍텅JB강제키움+멍텅JBJD늘림치수</f>
        <v>1</v>
      </c>
      <c r="J7" s="61">
        <f>'2UP실측'!J7+AL7+IF(AZ7=1,AF7,0)+멍텅JB강제키움+멍텅JBJD늘림치수-IF(멍텅JB하부늘치=1,'2UP실측'!AA7-'2UP실측'!AB7,0)</f>
        <v>1</v>
      </c>
      <c r="K7" s="255">
        <f>H7-G7</f>
        <v>0</v>
      </c>
      <c r="L7" s="255">
        <f>J7-I7</f>
        <v>0</v>
      </c>
      <c r="M7" s="239">
        <f t="shared" ref="M7:N7" si="0">O7+IF(소장="손상민",0,-1.5)</f>
        <v>-0.5</v>
      </c>
      <c r="N7" s="239">
        <f t="shared" si="0"/>
        <v>-0.5</v>
      </c>
      <c r="O7" s="239">
        <f>IF(Q7&gt;0,'2UP실측'!K7+멍텅C늘림,'2UP실측'!K7+1)</f>
        <v>1</v>
      </c>
      <c r="P7" s="239">
        <f>IF(R7&gt;0,'2UP실측'!L7+멍텅C늘림,'2UP실측'!L7+1)</f>
        <v>1</v>
      </c>
      <c r="Q7" s="239">
        <f>IF(ISNUMBER('2UP실측'!M7),'2UP실측'!M7+'2UP제작'!AL7+멍텅A늘림,0)</f>
        <v>0</v>
      </c>
      <c r="R7" s="239">
        <f>IF(ISNUMBER('2UP실측'!N7),'2UP실측'!N7+'2UP제작'!AL7+멍텅A늘림,0)</f>
        <v>0</v>
      </c>
      <c r="S7" s="239">
        <f>'2UP실측'!O7-멍텅기둥차감</f>
        <v>-4</v>
      </c>
      <c r="T7" s="239">
        <f>'2UP실측'!P7</f>
        <v>0</v>
      </c>
      <c r="U7" s="239">
        <f>'2UP실측'!Q7-멍텅기둥차감</f>
        <v>-4</v>
      </c>
      <c r="V7" s="239">
        <f>'2UP실측'!R7-멍텅기둥차감</f>
        <v>-4</v>
      </c>
      <c r="W7" s="239">
        <f>'2UP실측'!S7</f>
        <v>0</v>
      </c>
      <c r="X7" s="239">
        <f>'2UP실측'!T7-멍텅기둥차감</f>
        <v>-4</v>
      </c>
      <c r="Y7" s="240">
        <f>IF(ISNUMBER('2UP실측'!U7),IF(Z7&gt;0,'2UP실측'!U7+멍텅U늘림,'2UP실측'!U7+1.2),0)</f>
        <v>0</v>
      </c>
      <c r="Z7" s="240">
        <f>IF(OR(멍텅G="", 멍텅G=0),IF(ISNUMBER('2UP실측'!V7),IF('2UP실측'!V7+멍텅A늘림+AL7&gt;9,'2UP실측'!V7+멍텅A늘림+AL7,'2UP실측'!V7+멍텅A늘림+AL7),0),멍텅G)</f>
        <v>0</v>
      </c>
      <c r="AA7" s="239">
        <f>'2UP실측'!W7+뒷날개치수더함</f>
        <v>0</v>
      </c>
      <c r="AB7" s="239">
        <f>'2UP실측'!X7+뒷날개치수더함</f>
        <v>0</v>
      </c>
      <c r="AC7" s="226">
        <f>'2UP실측'!Y7-멍텅늘치차감</f>
        <v>-4</v>
      </c>
      <c r="AD7" s="226">
        <f>IF(멍텅JB하부늘치=1,AC7,'2UP실측'!Z7-멍텅늘치차감)</f>
        <v>-4</v>
      </c>
      <c r="AE7" s="226">
        <f>'2UP실측'!AA7-멍텅늘치차감</f>
        <v>-4</v>
      </c>
      <c r="AF7" s="226">
        <f>IF(멍텅JB하부늘치=1,AE7,'2UP실측'!AB7-멍텅늘치차감)</f>
        <v>-4</v>
      </c>
      <c r="AG7" s="26" t="str">
        <f t="shared" ref="AG7" si="1">AR7&amp;"*"&amp;AS7</f>
        <v>-2*-1.4</v>
      </c>
      <c r="AH7" s="27" t="str">
        <f t="shared" ref="AH7" si="2">AU7&amp;"*"&amp;AT7</f>
        <v>-4*-1.6</v>
      </c>
      <c r="AI7" s="25" t="str">
        <f t="shared" ref="AI7" si="3">AW7&amp;"*"&amp;AV7</f>
        <v>-4*-1.6</v>
      </c>
      <c r="AJ7" s="54">
        <f>IF('2UP실측'!AC7&gt;0,'2UP실측'!AC7-'2UP실측'!W7+1.2,0)</f>
        <v>0</v>
      </c>
      <c r="AK7" s="54">
        <f>IF('2UP실측'!AD7&gt;0,'2UP실측'!AD7-'2UP실측'!W7+1.2,0)</f>
        <v>0</v>
      </c>
      <c r="AL7" s="244">
        <f>IF(ISNUMBER('2UP실측'!M7),IF(9-MIN('2UP실측'!M7+멍텅A늘림,'2UP실측'!N7+멍텅A늘림)+AM7&lt;AM7,AM7,9-MIN('2UP실측'!M7+멍텅A늘림,'2UP실측'!N7+멍텅A늘림)+AM7),0)</f>
        <v>0</v>
      </c>
      <c r="AM7" s="247"/>
      <c r="AN7" s="34">
        <f>DEGREES(ATAN((D7-C7)/2/(E7)))</f>
        <v>0</v>
      </c>
      <c r="AO7" s="59">
        <f>E7-COS(RADIANS(AN7))*G7</f>
        <v>0</v>
      </c>
      <c r="AP7" s="59">
        <f>F7-COS(RADIANS(AN7))*I7</f>
        <v>0</v>
      </c>
      <c r="AQ7" s="72" t="str">
        <f>IF(E7+AC7&lt;&gt;F7+AE7,"JD비대칭","")</f>
        <v/>
      </c>
      <c r="AR7" s="244">
        <f>D7 + IF(Y7+Z7&gt;0, M7+N7,0)</f>
        <v>-2</v>
      </c>
      <c r="AS7" s="244">
        <f>Y7+MAX(E7,F7)+AA7+Z7-1.2*$AG$3+IF(AZ7=0,MAX(AC7,AE7))+IF(Z7=0,1.2,0)</f>
        <v>-1.3999999999999997</v>
      </c>
      <c r="AT7" s="244">
        <f>Q7+O7+MAX(G7,H7)+AB7-1.2*$AI$3+IF(AZ7=0,MAX(AC7,AD7))+IF(Q7=0,1.2,0)</f>
        <v>-1.5999999999999999</v>
      </c>
      <c r="AU7" s="244">
        <f>MAX(S7,T7+U7)</f>
        <v>-4</v>
      </c>
      <c r="AV7" s="244">
        <f>R7+P7+MAX(I7,J7)+AB7-1.2*$AI$3+IF(AZ7=0,MAX(AE7,AF7))+IF(R7=0,1.2,0)</f>
        <v>-1.5999999999999999</v>
      </c>
      <c r="AW7" s="244">
        <f>MAX(V7,W7+X7)</f>
        <v>-4</v>
      </c>
      <c r="AX7" s="228">
        <f>G7-E7</f>
        <v>0</v>
      </c>
      <c r="AY7" s="228">
        <f>9-Z7</f>
        <v>9</v>
      </c>
      <c r="AZ7" s="135">
        <f>IF(AND(MIN(AC7,AE7)&gt;=9.2,D7-C7&gt;15),0,1)</f>
        <v>1</v>
      </c>
      <c r="BA7" s="139">
        <f>IF(소장="손상민",'2UP실측'!AE7,0)</f>
        <v>0</v>
      </c>
    </row>
    <row r="8" spans="1:53" x14ac:dyDescent="0.3">
      <c r="AL8" s="228"/>
      <c r="AM8" s="228"/>
      <c r="AR8" s="228"/>
      <c r="AS8" s="228"/>
      <c r="AT8" s="228"/>
      <c r="AU8" s="228"/>
      <c r="AV8" s="228"/>
      <c r="AW8" s="228"/>
    </row>
  </sheetData>
  <mergeCells count="62"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T5:AU5"/>
    <mergeCell ref="AV5:AW5"/>
    <mergeCell ref="AA5:AA6"/>
    <mergeCell ref="AB5:AB6"/>
    <mergeCell ref="AC5:AF5"/>
    <mergeCell ref="AG5:AG6"/>
    <mergeCell ref="AH5:AH6"/>
    <mergeCell ref="AI5:AI6"/>
    <mergeCell ref="AH4:AI4"/>
    <mergeCell ref="AJ4:AK4"/>
    <mergeCell ref="AZ4:AZ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M5:AM6"/>
    <mergeCell ref="U3:W3"/>
    <mergeCell ref="Y3:Z3"/>
    <mergeCell ref="AA3:AB3"/>
    <mergeCell ref="AE3:AF3"/>
    <mergeCell ref="A4:AF4"/>
    <mergeCell ref="G3:I3"/>
    <mergeCell ref="J3:M3"/>
    <mergeCell ref="N3:O3"/>
    <mergeCell ref="P3:Q3"/>
    <mergeCell ref="R3:T3"/>
    <mergeCell ref="A1:AI1"/>
    <mergeCell ref="AL1:AM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$AZ7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R31"/>
  <sheetViews>
    <sheetView zoomScale="85" zoomScaleNormal="85" workbookViewId="0">
      <selection activeCell="A7" sqref="A7"/>
    </sheetView>
  </sheetViews>
  <sheetFormatPr defaultRowHeight="16.5" x14ac:dyDescent="0.3"/>
  <cols>
    <col min="1" max="2" width="6.875" style="228" customWidth="1"/>
    <col min="3" max="4" width="9.875" style="228" customWidth="1"/>
    <col min="5" max="32" width="6.875" style="228" customWidth="1"/>
    <col min="33" max="34" width="7.75" style="228" customWidth="1"/>
    <col min="35" max="35" width="13.75" style="228" customWidth="1"/>
    <col min="36" max="44" width="5.625" style="228" customWidth="1"/>
    <col min="45" max="16384" width="9" style="228"/>
  </cols>
  <sheetData>
    <row r="1" spans="1:44" ht="64.150000000000006" customHeight="1" x14ac:dyDescent="0.3">
      <c r="A1" s="296" t="str">
        <f>"3UP " &amp;정보!B3 &amp; "  " &amp; 정보!B6 &amp;" 소장"</f>
        <v>3UP (멍텅구리) 실측자료( 경기도 의정부 드림밸리아파트-4차 )  박철우 소장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45"/>
      <c r="AH1" s="245"/>
      <c r="AI1" s="245"/>
    </row>
    <row r="2" spans="1:44" ht="15" customHeight="1" x14ac:dyDescent="0.3">
      <c r="A2" s="245"/>
      <c r="B2" s="245"/>
      <c r="C2" s="245"/>
      <c r="D2" s="245"/>
      <c r="E2" s="245"/>
      <c r="F2" s="245"/>
      <c r="G2" s="245"/>
      <c r="H2" s="253"/>
      <c r="I2" s="245"/>
      <c r="J2" s="245"/>
      <c r="K2" s="253"/>
      <c r="L2" s="245"/>
      <c r="M2" s="245"/>
      <c r="N2" s="245"/>
      <c r="O2" s="245"/>
      <c r="P2" s="245"/>
      <c r="Q2" s="245"/>
      <c r="R2" s="245"/>
      <c r="S2" s="253"/>
      <c r="T2" s="245"/>
      <c r="U2" s="245"/>
      <c r="V2" s="245"/>
      <c r="W2" s="253"/>
      <c r="X2" s="245"/>
      <c r="Y2" s="245"/>
      <c r="Z2" s="245"/>
      <c r="AA2" s="245"/>
      <c r="AB2" s="245"/>
      <c r="AC2" s="245"/>
      <c r="AD2" s="245"/>
      <c r="AE2" s="245"/>
      <c r="AF2" s="245"/>
      <c r="AG2" s="245"/>
      <c r="AH2" s="245"/>
      <c r="AI2" s="245"/>
    </row>
    <row r="3" spans="1:44" ht="33" customHeight="1" x14ac:dyDescent="0.3">
      <c r="A3" s="8" t="str">
        <f>"현장명 : " &amp; 정보!B1 &amp; ",   (재질) : " &amp; 정보!B8</f>
        <v>현장명 : 경기도 의정부 드림밸리아파트-4차,   (재질) : HL 1.2T</v>
      </c>
      <c r="B3" s="2"/>
      <c r="C3" s="2"/>
      <c r="D3" s="2"/>
      <c r="E3" s="2"/>
      <c r="F3" s="2"/>
      <c r="G3" s="380"/>
      <c r="H3" s="380"/>
      <c r="I3" s="380"/>
      <c r="J3" s="380"/>
      <c r="K3" s="254"/>
      <c r="L3" s="254"/>
      <c r="M3" s="377"/>
      <c r="N3" s="377"/>
      <c r="O3" s="378"/>
      <c r="P3" s="378"/>
      <c r="Q3" s="379"/>
      <c r="R3" s="379"/>
      <c r="S3" s="379"/>
      <c r="T3" s="379"/>
      <c r="U3" s="246"/>
      <c r="V3" s="374" t="s">
        <v>98</v>
      </c>
      <c r="W3" s="374"/>
      <c r="X3" s="374"/>
      <c r="Y3" s="374"/>
      <c r="Z3" s="375"/>
      <c r="AA3" s="375"/>
      <c r="AB3" s="376"/>
      <c r="AC3" s="376"/>
    </row>
    <row r="4" spans="1:44" ht="33" customHeight="1" x14ac:dyDescent="0.3">
      <c r="A4" s="293" t="str">
        <f>정보!B18</f>
        <v>제작치수 반영 : JB/JD +(5 ),  늘어난치수K -(4),  C + (8),   U + (8), OP - (2), R - (2),  기둥차감 - (8),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304" t="s">
        <v>216</v>
      </c>
      <c r="AH4" s="304"/>
      <c r="AI4" s="137" t="s">
        <v>241</v>
      </c>
    </row>
    <row r="5" spans="1:44" ht="25.9" customHeight="1" x14ac:dyDescent="0.3">
      <c r="A5" s="298" t="s">
        <v>0</v>
      </c>
      <c r="B5" s="298" t="s">
        <v>1</v>
      </c>
      <c r="C5" s="298" t="s">
        <v>3</v>
      </c>
      <c r="D5" s="298" t="s">
        <v>18</v>
      </c>
      <c r="E5" s="298" t="s">
        <v>4</v>
      </c>
      <c r="F5" s="298" t="s">
        <v>5</v>
      </c>
      <c r="G5" s="411" t="s">
        <v>281</v>
      </c>
      <c r="H5" s="411" t="s">
        <v>291</v>
      </c>
      <c r="I5" s="411" t="s">
        <v>282</v>
      </c>
      <c r="J5" s="461" t="s">
        <v>283</v>
      </c>
      <c r="K5" s="461" t="s">
        <v>292</v>
      </c>
      <c r="L5" s="461" t="s">
        <v>284</v>
      </c>
      <c r="M5" s="298" t="s">
        <v>8</v>
      </c>
      <c r="N5" s="298" t="s">
        <v>9</v>
      </c>
      <c r="O5" s="298" t="s">
        <v>10</v>
      </c>
      <c r="P5" s="298" t="s">
        <v>11</v>
      </c>
      <c r="Q5" s="472" t="s">
        <v>14</v>
      </c>
      <c r="R5" s="470" t="s">
        <v>289</v>
      </c>
      <c r="S5" s="470" t="s">
        <v>293</v>
      </c>
      <c r="T5" s="470" t="s">
        <v>290</v>
      </c>
      <c r="U5" s="461" t="s">
        <v>130</v>
      </c>
      <c r="V5" s="461" t="s">
        <v>287</v>
      </c>
      <c r="W5" s="461" t="s">
        <v>294</v>
      </c>
      <c r="X5" s="461" t="s">
        <v>288</v>
      </c>
      <c r="Y5" s="298" t="s">
        <v>19</v>
      </c>
      <c r="Z5" s="298" t="s">
        <v>20</v>
      </c>
      <c r="AA5" s="369" t="s">
        <v>22</v>
      </c>
      <c r="AB5" s="369" t="s">
        <v>23</v>
      </c>
      <c r="AC5" s="371" t="s">
        <v>21</v>
      </c>
      <c r="AD5" s="372"/>
      <c r="AE5" s="372"/>
      <c r="AF5" s="373"/>
      <c r="AG5" s="302" t="s">
        <v>213</v>
      </c>
      <c r="AH5" s="303"/>
      <c r="AI5" s="136" t="s">
        <v>238</v>
      </c>
    </row>
    <row r="6" spans="1:44" ht="47.25" customHeight="1" x14ac:dyDescent="0.3">
      <c r="A6" s="298"/>
      <c r="B6" s="298"/>
      <c r="C6" s="298"/>
      <c r="D6" s="298"/>
      <c r="E6" s="298"/>
      <c r="F6" s="298"/>
      <c r="G6" s="412"/>
      <c r="H6" s="412"/>
      <c r="I6" s="412"/>
      <c r="J6" s="462"/>
      <c r="K6" s="462"/>
      <c r="L6" s="462"/>
      <c r="M6" s="298"/>
      <c r="N6" s="298"/>
      <c r="O6" s="298"/>
      <c r="P6" s="298"/>
      <c r="Q6" s="471"/>
      <c r="R6" s="471"/>
      <c r="S6" s="471"/>
      <c r="T6" s="471"/>
      <c r="U6" s="462"/>
      <c r="V6" s="462"/>
      <c r="W6" s="462"/>
      <c r="X6" s="462"/>
      <c r="Y6" s="298"/>
      <c r="Z6" s="298"/>
      <c r="AA6" s="370"/>
      <c r="AB6" s="370"/>
      <c r="AC6" s="241" t="s">
        <v>53</v>
      </c>
      <c r="AD6" s="241" t="s">
        <v>54</v>
      </c>
      <c r="AE6" s="241" t="s">
        <v>55</v>
      </c>
      <c r="AF6" s="241" t="s">
        <v>56</v>
      </c>
      <c r="AG6" s="121" t="s">
        <v>214</v>
      </c>
      <c r="AH6" s="121" t="s">
        <v>215</v>
      </c>
      <c r="AI6" s="136" t="s">
        <v>239</v>
      </c>
      <c r="AJ6" s="83" t="s">
        <v>116</v>
      </c>
    </row>
    <row r="7" spans="1:44" ht="27" customHeight="1" x14ac:dyDescent="0.3">
      <c r="A7" s="239"/>
      <c r="B7" s="239"/>
      <c r="C7" s="239"/>
      <c r="D7" s="239"/>
      <c r="E7" s="240"/>
      <c r="F7" s="240"/>
      <c r="G7" s="240"/>
      <c r="H7" s="252"/>
      <c r="I7" s="240"/>
      <c r="J7" s="240"/>
      <c r="K7" s="252"/>
      <c r="L7" s="240"/>
      <c r="M7" s="240"/>
      <c r="N7" s="240"/>
      <c r="O7" s="240"/>
      <c r="P7" s="240"/>
      <c r="Q7" s="240"/>
      <c r="R7" s="240"/>
      <c r="S7" s="252"/>
      <c r="T7" s="240"/>
      <c r="U7" s="240"/>
      <c r="V7" s="252"/>
      <c r="W7" s="252"/>
      <c r="X7" s="252"/>
      <c r="Y7" s="240"/>
      <c r="Z7" s="240"/>
      <c r="AA7" s="239"/>
      <c r="AB7" s="239"/>
      <c r="AC7" s="239"/>
      <c r="AD7" s="239"/>
      <c r="AE7" s="239"/>
      <c r="AF7" s="239"/>
      <c r="AG7" s="240"/>
      <c r="AH7" s="240"/>
      <c r="AI7" s="240"/>
      <c r="AJ7" s="84"/>
      <c r="AK7" s="244">
        <f t="shared" ref="AK7:AN11" si="0">AC7+$AJ7</f>
        <v>0</v>
      </c>
      <c r="AL7" s="244">
        <f t="shared" si="0"/>
        <v>0</v>
      </c>
      <c r="AM7" s="244">
        <f t="shared" si="0"/>
        <v>0</v>
      </c>
      <c r="AN7" s="244">
        <f t="shared" si="0"/>
        <v>0</v>
      </c>
      <c r="AO7" s="244">
        <f t="shared" ref="AO7:AQ11" si="1">E7-$AJ7</f>
        <v>0</v>
      </c>
      <c r="AP7" s="244">
        <f t="shared" si="1"/>
        <v>0</v>
      </c>
      <c r="AQ7" s="244">
        <f t="shared" si="1"/>
        <v>0</v>
      </c>
      <c r="AR7" s="244">
        <f>J7-$AJ7</f>
        <v>0</v>
      </c>
    </row>
    <row r="8" spans="1:44" ht="27" customHeight="1" x14ac:dyDescent="0.3">
      <c r="A8" s="239"/>
      <c r="B8" s="239"/>
      <c r="C8" s="239"/>
      <c r="D8" s="239"/>
      <c r="E8" s="240"/>
      <c r="F8" s="240"/>
      <c r="G8" s="240"/>
      <c r="H8" s="252"/>
      <c r="I8" s="240"/>
      <c r="J8" s="240"/>
      <c r="K8" s="252"/>
      <c r="L8" s="240"/>
      <c r="M8" s="240"/>
      <c r="N8" s="240"/>
      <c r="O8" s="240"/>
      <c r="P8" s="240"/>
      <c r="Q8" s="240"/>
      <c r="R8" s="240"/>
      <c r="S8" s="252"/>
      <c r="T8" s="240"/>
      <c r="U8" s="240"/>
      <c r="V8" s="240"/>
      <c r="W8" s="252"/>
      <c r="X8" s="240"/>
      <c r="Y8" s="240"/>
      <c r="Z8" s="240"/>
      <c r="AA8" s="239"/>
      <c r="AB8" s="239"/>
      <c r="AC8" s="239"/>
      <c r="AD8" s="239"/>
      <c r="AE8" s="239"/>
      <c r="AF8" s="239"/>
      <c r="AG8" s="240"/>
      <c r="AH8" s="240"/>
      <c r="AI8" s="240"/>
      <c r="AJ8" s="84"/>
      <c r="AK8" s="244">
        <f t="shared" si="0"/>
        <v>0</v>
      </c>
      <c r="AL8" s="244">
        <f t="shared" si="0"/>
        <v>0</v>
      </c>
      <c r="AM8" s="244">
        <f t="shared" si="0"/>
        <v>0</v>
      </c>
      <c r="AN8" s="244">
        <f t="shared" si="0"/>
        <v>0</v>
      </c>
      <c r="AO8" s="244">
        <f t="shared" si="1"/>
        <v>0</v>
      </c>
      <c r="AP8" s="244">
        <f t="shared" si="1"/>
        <v>0</v>
      </c>
      <c r="AQ8" s="244">
        <f t="shared" si="1"/>
        <v>0</v>
      </c>
      <c r="AR8" s="244">
        <f>J8-$AJ8</f>
        <v>0</v>
      </c>
    </row>
    <row r="9" spans="1:44" ht="27" customHeight="1" x14ac:dyDescent="0.3">
      <c r="A9" s="239"/>
      <c r="B9" s="239"/>
      <c r="C9" s="239"/>
      <c r="D9" s="239"/>
      <c r="E9" s="239"/>
      <c r="F9" s="239"/>
      <c r="G9" s="239"/>
      <c r="H9" s="251"/>
      <c r="I9" s="239"/>
      <c r="J9" s="239"/>
      <c r="K9" s="251"/>
      <c r="L9" s="239"/>
      <c r="M9" s="239"/>
      <c r="N9" s="239"/>
      <c r="O9" s="239"/>
      <c r="P9" s="239"/>
      <c r="Q9" s="239"/>
      <c r="R9" s="239"/>
      <c r="S9" s="251"/>
      <c r="T9" s="239"/>
      <c r="U9" s="239"/>
      <c r="V9" s="239"/>
      <c r="W9" s="251"/>
      <c r="X9" s="239"/>
      <c r="Y9" s="239"/>
      <c r="Z9" s="239"/>
      <c r="AA9" s="239"/>
      <c r="AB9" s="239"/>
      <c r="AC9" s="239"/>
      <c r="AD9" s="239"/>
      <c r="AE9" s="239"/>
      <c r="AF9" s="239"/>
      <c r="AG9" s="240"/>
      <c r="AH9" s="240"/>
      <c r="AI9" s="240"/>
      <c r="AJ9" s="84"/>
      <c r="AK9" s="244">
        <f t="shared" si="0"/>
        <v>0</v>
      </c>
      <c r="AL9" s="244">
        <f t="shared" si="0"/>
        <v>0</v>
      </c>
      <c r="AM9" s="244">
        <f t="shared" si="0"/>
        <v>0</v>
      </c>
      <c r="AN9" s="244">
        <f t="shared" si="0"/>
        <v>0</v>
      </c>
      <c r="AO9" s="244">
        <f t="shared" si="1"/>
        <v>0</v>
      </c>
      <c r="AP9" s="244">
        <f t="shared" si="1"/>
        <v>0</v>
      </c>
      <c r="AQ9" s="244">
        <f t="shared" si="1"/>
        <v>0</v>
      </c>
      <c r="AR9" s="244">
        <f>J9-$AJ9</f>
        <v>0</v>
      </c>
    </row>
    <row r="10" spans="1:44" ht="27" customHeight="1" x14ac:dyDescent="0.3">
      <c r="A10" s="239"/>
      <c r="B10" s="239"/>
      <c r="C10" s="239"/>
      <c r="D10" s="239"/>
      <c r="E10" s="239"/>
      <c r="F10" s="239"/>
      <c r="G10" s="239"/>
      <c r="H10" s="251"/>
      <c r="I10" s="239"/>
      <c r="J10" s="239"/>
      <c r="K10" s="251"/>
      <c r="L10" s="239"/>
      <c r="M10" s="239"/>
      <c r="N10" s="239"/>
      <c r="O10" s="239"/>
      <c r="P10" s="239"/>
      <c r="Q10" s="239"/>
      <c r="R10" s="239"/>
      <c r="S10" s="251"/>
      <c r="T10" s="239"/>
      <c r="U10" s="239"/>
      <c r="V10" s="239"/>
      <c r="W10" s="251"/>
      <c r="X10" s="239"/>
      <c r="Y10" s="239"/>
      <c r="Z10" s="239"/>
      <c r="AA10" s="239"/>
      <c r="AB10" s="239"/>
      <c r="AC10" s="239"/>
      <c r="AD10" s="239"/>
      <c r="AE10" s="239"/>
      <c r="AF10" s="239"/>
      <c r="AG10" s="240"/>
      <c r="AH10" s="240"/>
      <c r="AI10" s="240"/>
      <c r="AJ10" s="84"/>
      <c r="AK10" s="244">
        <f t="shared" si="0"/>
        <v>0</v>
      </c>
      <c r="AL10" s="244">
        <f t="shared" si="0"/>
        <v>0</v>
      </c>
      <c r="AM10" s="244">
        <f t="shared" si="0"/>
        <v>0</v>
      </c>
      <c r="AN10" s="244">
        <f t="shared" si="0"/>
        <v>0</v>
      </c>
      <c r="AO10" s="244">
        <f t="shared" si="1"/>
        <v>0</v>
      </c>
      <c r="AP10" s="244">
        <f t="shared" si="1"/>
        <v>0</v>
      </c>
      <c r="AQ10" s="244">
        <f t="shared" si="1"/>
        <v>0</v>
      </c>
      <c r="AR10" s="244">
        <f>J10-$AJ10</f>
        <v>0</v>
      </c>
    </row>
    <row r="11" spans="1:44" ht="27" customHeight="1" x14ac:dyDescent="0.3">
      <c r="A11" s="239"/>
      <c r="B11" s="239"/>
      <c r="C11" s="239"/>
      <c r="D11" s="239"/>
      <c r="E11" s="239"/>
      <c r="F11" s="239"/>
      <c r="G11" s="239"/>
      <c r="H11" s="251"/>
      <c r="I11" s="239"/>
      <c r="J11" s="239"/>
      <c r="K11" s="251"/>
      <c r="L11" s="239"/>
      <c r="M11" s="239"/>
      <c r="N11" s="239"/>
      <c r="O11" s="239"/>
      <c r="P11" s="239"/>
      <c r="Q11" s="239"/>
      <c r="R11" s="239"/>
      <c r="S11" s="251"/>
      <c r="T11" s="239"/>
      <c r="U11" s="239"/>
      <c r="V11" s="239"/>
      <c r="W11" s="251"/>
      <c r="X11" s="239"/>
      <c r="Y11" s="239"/>
      <c r="Z11" s="239"/>
      <c r="AA11" s="239"/>
      <c r="AB11" s="239"/>
      <c r="AC11" s="239"/>
      <c r="AD11" s="239"/>
      <c r="AE11" s="239"/>
      <c r="AF11" s="239"/>
      <c r="AG11" s="240"/>
      <c r="AH11" s="240"/>
      <c r="AI11" s="240"/>
      <c r="AJ11" s="84"/>
      <c r="AK11" s="244">
        <f t="shared" si="0"/>
        <v>0</v>
      </c>
      <c r="AL11" s="244">
        <f t="shared" si="0"/>
        <v>0</v>
      </c>
      <c r="AM11" s="244">
        <f t="shared" si="0"/>
        <v>0</v>
      </c>
      <c r="AN11" s="244">
        <f t="shared" si="0"/>
        <v>0</v>
      </c>
      <c r="AO11" s="244">
        <f t="shared" si="1"/>
        <v>0</v>
      </c>
      <c r="AP11" s="244">
        <f t="shared" si="1"/>
        <v>0</v>
      </c>
      <c r="AQ11" s="244">
        <f t="shared" si="1"/>
        <v>0</v>
      </c>
      <c r="AR11" s="244">
        <f>J11-$AJ11</f>
        <v>0</v>
      </c>
    </row>
    <row r="12" spans="1:44" ht="27" customHeight="1" x14ac:dyDescent="0.3">
      <c r="A12" s="239"/>
      <c r="B12" s="239"/>
      <c r="C12" s="239"/>
      <c r="D12" s="239"/>
      <c r="E12" s="239"/>
      <c r="F12" s="239"/>
      <c r="G12" s="239"/>
      <c r="H12" s="251"/>
      <c r="I12" s="239"/>
      <c r="J12" s="239"/>
      <c r="K12" s="251"/>
      <c r="L12" s="239"/>
      <c r="M12" s="239"/>
      <c r="N12" s="239"/>
      <c r="O12" s="239"/>
      <c r="P12" s="239"/>
      <c r="Q12" s="239"/>
      <c r="R12" s="239"/>
      <c r="S12" s="251"/>
      <c r="T12" s="239"/>
      <c r="U12" s="239"/>
      <c r="V12" s="239"/>
      <c r="W12" s="251"/>
      <c r="X12" s="239"/>
      <c r="Y12" s="239"/>
      <c r="Z12" s="239"/>
      <c r="AA12" s="239"/>
      <c r="AB12" s="239"/>
      <c r="AC12" s="239"/>
      <c r="AD12" s="239"/>
      <c r="AE12" s="239"/>
      <c r="AF12" s="239"/>
      <c r="AG12" s="240"/>
      <c r="AH12" s="240"/>
      <c r="AI12" s="240"/>
    </row>
    <row r="13" spans="1:44" ht="27" customHeight="1" x14ac:dyDescent="0.3">
      <c r="A13" s="239"/>
      <c r="B13" s="239"/>
      <c r="C13" s="239"/>
      <c r="D13" s="239"/>
      <c r="E13" s="239"/>
      <c r="F13" s="239"/>
      <c r="G13" s="239"/>
      <c r="H13" s="251"/>
      <c r="I13" s="239"/>
      <c r="J13" s="239"/>
      <c r="K13" s="251"/>
      <c r="L13" s="239"/>
      <c r="M13" s="239"/>
      <c r="N13" s="239"/>
      <c r="O13" s="239"/>
      <c r="P13" s="239"/>
      <c r="Q13" s="239"/>
      <c r="R13" s="239"/>
      <c r="S13" s="251"/>
      <c r="T13" s="239"/>
      <c r="U13" s="239"/>
      <c r="V13" s="239"/>
      <c r="W13" s="251"/>
      <c r="X13" s="239"/>
      <c r="Y13" s="239"/>
      <c r="Z13" s="239"/>
      <c r="AA13" s="239"/>
      <c r="AB13" s="239"/>
      <c r="AC13" s="239"/>
      <c r="AD13" s="239"/>
      <c r="AE13" s="239"/>
      <c r="AF13" s="239"/>
      <c r="AG13" s="240"/>
      <c r="AH13" s="240"/>
      <c r="AI13" s="240"/>
    </row>
    <row r="14" spans="1:44" ht="27" customHeight="1" x14ac:dyDescent="0.3">
      <c r="A14" s="239"/>
      <c r="B14" s="239"/>
      <c r="C14" s="239"/>
      <c r="D14" s="239"/>
      <c r="E14" s="239"/>
      <c r="F14" s="239"/>
      <c r="G14" s="239"/>
      <c r="H14" s="251"/>
      <c r="I14" s="239"/>
      <c r="J14" s="239"/>
      <c r="K14" s="251"/>
      <c r="L14" s="239"/>
      <c r="M14" s="239"/>
      <c r="N14" s="239"/>
      <c r="O14" s="239"/>
      <c r="P14" s="239"/>
      <c r="Q14" s="239"/>
      <c r="R14" s="239"/>
      <c r="S14" s="251"/>
      <c r="T14" s="239"/>
      <c r="U14" s="239"/>
      <c r="V14" s="239"/>
      <c r="W14" s="251"/>
      <c r="X14" s="239"/>
      <c r="Y14" s="239"/>
      <c r="Z14" s="239"/>
      <c r="AA14" s="239"/>
      <c r="AB14" s="239"/>
      <c r="AC14" s="239"/>
      <c r="AD14" s="239"/>
      <c r="AE14" s="239"/>
      <c r="AF14" s="239"/>
      <c r="AG14" s="240"/>
      <c r="AH14" s="240"/>
      <c r="AI14" s="240"/>
    </row>
    <row r="15" spans="1:44" ht="27" customHeight="1" x14ac:dyDescent="0.3">
      <c r="A15" s="239"/>
      <c r="B15" s="239"/>
      <c r="C15" s="239"/>
      <c r="D15" s="239"/>
      <c r="E15" s="239"/>
      <c r="F15" s="239"/>
      <c r="G15" s="239"/>
      <c r="H15" s="251"/>
      <c r="I15" s="239"/>
      <c r="J15" s="239"/>
      <c r="K15" s="251"/>
      <c r="L15" s="239"/>
      <c r="M15" s="239"/>
      <c r="N15" s="239"/>
      <c r="O15" s="239"/>
      <c r="P15" s="239"/>
      <c r="Q15" s="239"/>
      <c r="R15" s="239"/>
      <c r="S15" s="251"/>
      <c r="T15" s="239"/>
      <c r="U15" s="239"/>
      <c r="V15" s="239"/>
      <c r="W15" s="251"/>
      <c r="X15" s="239"/>
      <c r="Y15" s="239"/>
      <c r="Z15" s="239"/>
      <c r="AA15" s="239"/>
      <c r="AB15" s="239"/>
      <c r="AC15" s="239"/>
      <c r="AD15" s="239"/>
      <c r="AE15" s="239"/>
      <c r="AF15" s="239"/>
      <c r="AG15" s="240"/>
      <c r="AH15" s="240"/>
      <c r="AI15" s="240"/>
    </row>
    <row r="16" spans="1:44" ht="27" customHeight="1" x14ac:dyDescent="0.3">
      <c r="A16" s="239"/>
      <c r="B16" s="239"/>
      <c r="C16" s="239"/>
      <c r="D16" s="239"/>
      <c r="E16" s="239"/>
      <c r="F16" s="239"/>
      <c r="G16" s="239"/>
      <c r="H16" s="251"/>
      <c r="I16" s="239"/>
      <c r="J16" s="239"/>
      <c r="K16" s="251"/>
      <c r="L16" s="239"/>
      <c r="M16" s="239"/>
      <c r="N16" s="239"/>
      <c r="O16" s="239"/>
      <c r="P16" s="239"/>
      <c r="Q16" s="239"/>
      <c r="R16" s="239"/>
      <c r="S16" s="251"/>
      <c r="T16" s="239"/>
      <c r="U16" s="239"/>
      <c r="V16" s="239"/>
      <c r="W16" s="251"/>
      <c r="X16" s="239"/>
      <c r="Y16" s="239"/>
      <c r="Z16" s="239"/>
      <c r="AA16" s="239"/>
      <c r="AB16" s="239"/>
      <c r="AC16" s="239"/>
      <c r="AD16" s="239"/>
      <c r="AE16" s="239"/>
      <c r="AF16" s="239"/>
      <c r="AG16" s="240"/>
      <c r="AH16" s="240"/>
      <c r="AI16" s="240"/>
    </row>
    <row r="17" spans="1:35" ht="27" customHeight="1" x14ac:dyDescent="0.3">
      <c r="A17" s="239"/>
      <c r="B17" s="239"/>
      <c r="C17" s="239"/>
      <c r="D17" s="239"/>
      <c r="E17" s="239"/>
      <c r="F17" s="239"/>
      <c r="G17" s="239"/>
      <c r="H17" s="251"/>
      <c r="I17" s="239"/>
      <c r="J17" s="239"/>
      <c r="K17" s="251"/>
      <c r="L17" s="239"/>
      <c r="M17" s="239"/>
      <c r="N17" s="239"/>
      <c r="O17" s="239"/>
      <c r="P17" s="239"/>
      <c r="Q17" s="239"/>
      <c r="R17" s="239"/>
      <c r="S17" s="251"/>
      <c r="T17" s="239"/>
      <c r="U17" s="239"/>
      <c r="V17" s="239"/>
      <c r="W17" s="251"/>
      <c r="X17" s="239"/>
      <c r="Y17" s="239"/>
      <c r="Z17" s="239"/>
      <c r="AA17" s="239"/>
      <c r="AB17" s="239"/>
      <c r="AC17" s="239"/>
      <c r="AD17" s="239"/>
      <c r="AE17" s="239"/>
      <c r="AF17" s="239"/>
      <c r="AG17" s="240"/>
      <c r="AH17" s="240"/>
      <c r="AI17" s="240"/>
    </row>
    <row r="18" spans="1:35" ht="27" customHeight="1" x14ac:dyDescent="0.3">
      <c r="A18" s="239"/>
      <c r="B18" s="239"/>
      <c r="C18" s="239"/>
      <c r="D18" s="239"/>
      <c r="E18" s="239"/>
      <c r="F18" s="239"/>
      <c r="G18" s="239"/>
      <c r="H18" s="251"/>
      <c r="I18" s="239"/>
      <c r="J18" s="239"/>
      <c r="K18" s="251"/>
      <c r="L18" s="239"/>
      <c r="M18" s="239"/>
      <c r="N18" s="239"/>
      <c r="O18" s="239"/>
      <c r="P18" s="239"/>
      <c r="Q18" s="239"/>
      <c r="R18" s="239"/>
      <c r="S18" s="251"/>
      <c r="T18" s="239"/>
      <c r="U18" s="239"/>
      <c r="V18" s="239"/>
      <c r="W18" s="251"/>
      <c r="X18" s="239"/>
      <c r="Y18" s="239"/>
      <c r="Z18" s="239"/>
      <c r="AA18" s="239"/>
      <c r="AB18" s="239"/>
      <c r="AC18" s="239"/>
      <c r="AD18" s="239"/>
      <c r="AE18" s="239"/>
      <c r="AF18" s="239"/>
      <c r="AG18" s="240"/>
      <c r="AH18" s="240"/>
      <c r="AI18" s="240"/>
    </row>
    <row r="19" spans="1:35" ht="27" customHeight="1" x14ac:dyDescent="0.3">
      <c r="A19" s="239"/>
      <c r="B19" s="239"/>
      <c r="C19" s="239"/>
      <c r="D19" s="239"/>
      <c r="E19" s="239"/>
      <c r="F19" s="239"/>
      <c r="G19" s="239"/>
      <c r="H19" s="251"/>
      <c r="I19" s="239"/>
      <c r="J19" s="239"/>
      <c r="K19" s="251"/>
      <c r="L19" s="239"/>
      <c r="M19" s="239"/>
      <c r="N19" s="239"/>
      <c r="O19" s="239"/>
      <c r="P19" s="239"/>
      <c r="Q19" s="239"/>
      <c r="R19" s="239"/>
      <c r="S19" s="251"/>
      <c r="T19" s="239"/>
      <c r="U19" s="239"/>
      <c r="V19" s="239"/>
      <c r="W19" s="251"/>
      <c r="X19" s="239"/>
      <c r="Y19" s="239"/>
      <c r="Z19" s="239"/>
      <c r="AA19" s="239"/>
      <c r="AB19" s="239"/>
      <c r="AC19" s="239"/>
      <c r="AD19" s="239"/>
      <c r="AE19" s="239"/>
      <c r="AF19" s="239"/>
      <c r="AG19" s="240"/>
      <c r="AH19" s="240"/>
      <c r="AI19" s="240"/>
    </row>
    <row r="20" spans="1:35" ht="27" customHeight="1" x14ac:dyDescent="0.3">
      <c r="A20" s="239"/>
      <c r="B20" s="239"/>
      <c r="C20" s="239"/>
      <c r="D20" s="239"/>
      <c r="E20" s="239"/>
      <c r="F20" s="239"/>
      <c r="G20" s="239"/>
      <c r="H20" s="251"/>
      <c r="I20" s="239"/>
      <c r="J20" s="239"/>
      <c r="K20" s="251"/>
      <c r="L20" s="239"/>
      <c r="M20" s="239"/>
      <c r="N20" s="239"/>
      <c r="O20" s="239"/>
      <c r="P20" s="239"/>
      <c r="Q20" s="239"/>
      <c r="R20" s="239"/>
      <c r="S20" s="251"/>
      <c r="T20" s="239"/>
      <c r="U20" s="239"/>
      <c r="V20" s="239"/>
      <c r="W20" s="251"/>
      <c r="X20" s="239"/>
      <c r="Y20" s="239"/>
      <c r="Z20" s="239"/>
      <c r="AA20" s="239"/>
      <c r="AB20" s="239"/>
      <c r="AC20" s="239"/>
      <c r="AD20" s="239"/>
      <c r="AE20" s="239"/>
      <c r="AF20" s="239"/>
      <c r="AG20" s="240"/>
      <c r="AH20" s="240"/>
      <c r="AI20" s="240"/>
    </row>
    <row r="21" spans="1:35" ht="27" customHeight="1" x14ac:dyDescent="0.3">
      <c r="A21" s="239"/>
      <c r="B21" s="239"/>
      <c r="C21" s="239"/>
      <c r="D21" s="239"/>
      <c r="E21" s="239"/>
      <c r="F21" s="239"/>
      <c r="G21" s="239"/>
      <c r="H21" s="251"/>
      <c r="I21" s="239"/>
      <c r="J21" s="239"/>
      <c r="K21" s="251"/>
      <c r="L21" s="239"/>
      <c r="M21" s="239"/>
      <c r="N21" s="239"/>
      <c r="O21" s="239"/>
      <c r="P21" s="239"/>
      <c r="Q21" s="239"/>
      <c r="R21" s="239"/>
      <c r="S21" s="251"/>
      <c r="T21" s="239"/>
      <c r="U21" s="239"/>
      <c r="V21" s="239"/>
      <c r="W21" s="251"/>
      <c r="X21" s="239"/>
      <c r="Y21" s="239"/>
      <c r="Z21" s="239"/>
      <c r="AA21" s="239"/>
      <c r="AB21" s="239"/>
      <c r="AC21" s="239"/>
      <c r="AD21" s="239"/>
      <c r="AE21" s="239"/>
      <c r="AF21" s="239"/>
      <c r="AG21" s="240"/>
      <c r="AH21" s="240"/>
      <c r="AI21" s="240"/>
    </row>
    <row r="22" spans="1:35" ht="27" customHeight="1" x14ac:dyDescent="0.3">
      <c r="A22" s="239"/>
      <c r="B22" s="239"/>
      <c r="C22" s="239"/>
      <c r="D22" s="239"/>
      <c r="E22" s="239"/>
      <c r="F22" s="239"/>
      <c r="G22" s="239"/>
      <c r="H22" s="251"/>
      <c r="I22" s="239"/>
      <c r="J22" s="239"/>
      <c r="K22" s="251"/>
      <c r="L22" s="239"/>
      <c r="M22" s="239"/>
      <c r="N22" s="239"/>
      <c r="O22" s="239"/>
      <c r="P22" s="239"/>
      <c r="Q22" s="239"/>
      <c r="R22" s="239"/>
      <c r="S22" s="251"/>
      <c r="T22" s="239"/>
      <c r="U22" s="239"/>
      <c r="V22" s="239"/>
      <c r="W22" s="251"/>
      <c r="X22" s="239"/>
      <c r="Y22" s="239"/>
      <c r="Z22" s="239"/>
      <c r="AA22" s="239"/>
      <c r="AB22" s="239"/>
      <c r="AC22" s="239"/>
      <c r="AD22" s="239"/>
      <c r="AE22" s="239"/>
      <c r="AF22" s="239"/>
      <c r="AG22" s="240"/>
      <c r="AH22" s="240"/>
      <c r="AI22" s="240"/>
    </row>
    <row r="23" spans="1:35" ht="27" customHeight="1" x14ac:dyDescent="0.3">
      <c r="A23" s="239"/>
      <c r="B23" s="239"/>
      <c r="C23" s="239"/>
      <c r="D23" s="239"/>
      <c r="E23" s="239"/>
      <c r="F23" s="239"/>
      <c r="G23" s="239"/>
      <c r="H23" s="251"/>
      <c r="I23" s="239"/>
      <c r="J23" s="239"/>
      <c r="K23" s="251"/>
      <c r="L23" s="239"/>
      <c r="M23" s="239"/>
      <c r="N23" s="239"/>
      <c r="O23" s="239"/>
      <c r="P23" s="239"/>
      <c r="Q23" s="239"/>
      <c r="R23" s="239"/>
      <c r="S23" s="251"/>
      <c r="T23" s="239"/>
      <c r="U23" s="239"/>
      <c r="V23" s="239"/>
      <c r="W23" s="251"/>
      <c r="X23" s="239"/>
      <c r="Y23" s="239"/>
      <c r="Z23" s="239"/>
      <c r="AA23" s="239"/>
      <c r="AB23" s="239"/>
      <c r="AC23" s="239"/>
      <c r="AD23" s="239"/>
      <c r="AE23" s="239"/>
      <c r="AF23" s="239"/>
      <c r="AG23" s="240"/>
      <c r="AH23" s="240"/>
      <c r="AI23" s="240"/>
    </row>
    <row r="24" spans="1:35" ht="27" customHeight="1" x14ac:dyDescent="0.3">
      <c r="A24" s="239"/>
      <c r="B24" s="239"/>
      <c r="C24" s="239"/>
      <c r="D24" s="239"/>
      <c r="E24" s="239"/>
      <c r="F24" s="239"/>
      <c r="G24" s="239"/>
      <c r="H24" s="251"/>
      <c r="I24" s="239"/>
      <c r="J24" s="239"/>
      <c r="K24" s="251"/>
      <c r="L24" s="239"/>
      <c r="M24" s="239"/>
      <c r="N24" s="239"/>
      <c r="O24" s="239"/>
      <c r="P24" s="239"/>
      <c r="Q24" s="239"/>
      <c r="R24" s="239"/>
      <c r="S24" s="251"/>
      <c r="T24" s="239"/>
      <c r="U24" s="239"/>
      <c r="V24" s="239"/>
      <c r="W24" s="251"/>
      <c r="X24" s="239"/>
      <c r="Y24" s="239"/>
      <c r="Z24" s="239"/>
      <c r="AA24" s="239"/>
      <c r="AB24" s="239"/>
      <c r="AC24" s="239"/>
      <c r="AD24" s="239"/>
      <c r="AE24" s="239"/>
      <c r="AF24" s="239"/>
      <c r="AG24" s="240"/>
      <c r="AH24" s="240"/>
      <c r="AI24" s="240"/>
    </row>
    <row r="25" spans="1:35" ht="27" customHeight="1" x14ac:dyDescent="0.3">
      <c r="A25" s="239"/>
      <c r="B25" s="239"/>
      <c r="C25" s="239"/>
      <c r="D25" s="239"/>
      <c r="E25" s="239"/>
      <c r="F25" s="239"/>
      <c r="G25" s="239"/>
      <c r="H25" s="251"/>
      <c r="I25" s="239"/>
      <c r="J25" s="239"/>
      <c r="K25" s="251"/>
      <c r="L25" s="239"/>
      <c r="M25" s="239"/>
      <c r="N25" s="239"/>
      <c r="O25" s="239"/>
      <c r="P25" s="239"/>
      <c r="Q25" s="239"/>
      <c r="R25" s="239"/>
      <c r="S25" s="251"/>
      <c r="T25" s="239"/>
      <c r="U25" s="239"/>
      <c r="V25" s="239"/>
      <c r="W25" s="251"/>
      <c r="X25" s="239"/>
      <c r="Y25" s="239"/>
      <c r="Z25" s="239"/>
      <c r="AA25" s="239"/>
      <c r="AB25" s="239"/>
      <c r="AC25" s="239"/>
      <c r="AD25" s="239"/>
      <c r="AE25" s="239"/>
      <c r="AF25" s="239"/>
      <c r="AG25" s="240"/>
      <c r="AH25" s="240"/>
      <c r="AI25" s="240"/>
    </row>
    <row r="26" spans="1:35" ht="27" customHeight="1" x14ac:dyDescent="0.3">
      <c r="A26" s="239"/>
      <c r="B26" s="239"/>
      <c r="C26" s="239"/>
      <c r="D26" s="239"/>
      <c r="E26" s="239"/>
      <c r="F26" s="239"/>
      <c r="G26" s="239"/>
      <c r="H26" s="251"/>
      <c r="I26" s="239"/>
      <c r="J26" s="239"/>
      <c r="K26" s="251"/>
      <c r="L26" s="239"/>
      <c r="M26" s="239"/>
      <c r="N26" s="239"/>
      <c r="O26" s="239"/>
      <c r="P26" s="239"/>
      <c r="Q26" s="239"/>
      <c r="R26" s="239"/>
      <c r="S26" s="251"/>
      <c r="T26" s="239"/>
      <c r="U26" s="239"/>
      <c r="V26" s="239"/>
      <c r="W26" s="251"/>
      <c r="X26" s="239"/>
      <c r="Y26" s="239"/>
      <c r="Z26" s="239"/>
      <c r="AA26" s="239"/>
      <c r="AB26" s="239"/>
      <c r="AC26" s="239"/>
      <c r="AD26" s="239"/>
      <c r="AE26" s="239"/>
      <c r="AF26" s="239"/>
      <c r="AG26" s="240"/>
      <c r="AH26" s="240"/>
      <c r="AI26" s="240"/>
    </row>
    <row r="27" spans="1:35" ht="27" customHeight="1" x14ac:dyDescent="0.3">
      <c r="A27" s="239"/>
      <c r="B27" s="239"/>
      <c r="C27" s="239"/>
      <c r="D27" s="239"/>
      <c r="E27" s="239"/>
      <c r="F27" s="239"/>
      <c r="G27" s="239"/>
      <c r="H27" s="251"/>
      <c r="I27" s="239"/>
      <c r="J27" s="239"/>
      <c r="K27" s="251"/>
      <c r="L27" s="239"/>
      <c r="M27" s="239"/>
      <c r="N27" s="239"/>
      <c r="O27" s="239"/>
      <c r="P27" s="239"/>
      <c r="Q27" s="239"/>
      <c r="R27" s="239"/>
      <c r="S27" s="251"/>
      <c r="T27" s="239"/>
      <c r="U27" s="239"/>
      <c r="V27" s="239"/>
      <c r="W27" s="251"/>
      <c r="X27" s="239"/>
      <c r="Y27" s="239"/>
      <c r="Z27" s="239"/>
      <c r="AA27" s="239"/>
      <c r="AB27" s="239"/>
      <c r="AC27" s="239"/>
      <c r="AD27" s="239"/>
      <c r="AE27" s="239"/>
      <c r="AF27" s="239"/>
      <c r="AG27" s="240"/>
      <c r="AH27" s="240"/>
      <c r="AI27" s="240"/>
    </row>
    <row r="28" spans="1:35" ht="27" customHeight="1" x14ac:dyDescent="0.3">
      <c r="A28" s="239"/>
      <c r="B28" s="239"/>
      <c r="C28" s="239"/>
      <c r="D28" s="239"/>
      <c r="E28" s="239"/>
      <c r="F28" s="239"/>
      <c r="G28" s="239"/>
      <c r="H28" s="251"/>
      <c r="I28" s="239"/>
      <c r="J28" s="239"/>
      <c r="K28" s="251"/>
      <c r="L28" s="239"/>
      <c r="M28" s="239"/>
      <c r="N28" s="239"/>
      <c r="O28" s="239"/>
      <c r="P28" s="239"/>
      <c r="Q28" s="239"/>
      <c r="R28" s="239"/>
      <c r="S28" s="251"/>
      <c r="T28" s="239"/>
      <c r="U28" s="239"/>
      <c r="V28" s="239"/>
      <c r="W28" s="251"/>
      <c r="X28" s="239"/>
      <c r="Y28" s="239"/>
      <c r="Z28" s="239"/>
      <c r="AA28" s="239"/>
      <c r="AB28" s="239"/>
      <c r="AC28" s="239"/>
      <c r="AD28" s="239"/>
      <c r="AE28" s="239"/>
      <c r="AF28" s="239"/>
      <c r="AG28" s="240"/>
      <c r="AH28" s="240"/>
      <c r="AI28" s="240"/>
    </row>
    <row r="29" spans="1:35" ht="27" customHeight="1" x14ac:dyDescent="0.3">
      <c r="A29" s="239"/>
      <c r="B29" s="239"/>
      <c r="C29" s="239"/>
      <c r="D29" s="239"/>
      <c r="E29" s="239"/>
      <c r="F29" s="239"/>
      <c r="G29" s="239"/>
      <c r="H29" s="251"/>
      <c r="I29" s="239"/>
      <c r="J29" s="239"/>
      <c r="K29" s="251"/>
      <c r="L29" s="239"/>
      <c r="M29" s="239"/>
      <c r="N29" s="239"/>
      <c r="O29" s="239"/>
      <c r="P29" s="239"/>
      <c r="Q29" s="239"/>
      <c r="R29" s="239"/>
      <c r="S29" s="251"/>
      <c r="T29" s="239"/>
      <c r="U29" s="239"/>
      <c r="V29" s="239"/>
      <c r="W29" s="251"/>
      <c r="X29" s="239"/>
      <c r="Y29" s="239"/>
      <c r="Z29" s="239"/>
      <c r="AA29" s="239"/>
      <c r="AB29" s="239"/>
      <c r="AC29" s="239"/>
      <c r="AD29" s="239"/>
      <c r="AE29" s="239"/>
      <c r="AF29" s="239"/>
      <c r="AG29" s="240"/>
      <c r="AH29" s="240"/>
      <c r="AI29" s="240"/>
    </row>
    <row r="30" spans="1:35" ht="27" customHeight="1" x14ac:dyDescent="0.3">
      <c r="A30" s="239"/>
      <c r="B30" s="239"/>
      <c r="C30" s="239"/>
      <c r="D30" s="239"/>
      <c r="E30" s="239"/>
      <c r="F30" s="239"/>
      <c r="G30" s="239"/>
      <c r="H30" s="251"/>
      <c r="I30" s="239"/>
      <c r="J30" s="239"/>
      <c r="K30" s="251"/>
      <c r="L30" s="239"/>
      <c r="M30" s="239"/>
      <c r="N30" s="239"/>
      <c r="O30" s="239"/>
      <c r="P30" s="239"/>
      <c r="Q30" s="239"/>
      <c r="R30" s="239"/>
      <c r="S30" s="251"/>
      <c r="T30" s="239"/>
      <c r="U30" s="239"/>
      <c r="V30" s="239"/>
      <c r="W30" s="251"/>
      <c r="X30" s="239"/>
      <c r="Y30" s="239"/>
      <c r="Z30" s="239"/>
      <c r="AA30" s="239"/>
      <c r="AB30" s="239"/>
      <c r="AC30" s="239"/>
      <c r="AD30" s="239"/>
      <c r="AE30" s="239"/>
      <c r="AF30" s="239"/>
      <c r="AG30" s="240"/>
      <c r="AH30" s="240"/>
      <c r="AI30" s="240"/>
    </row>
    <row r="31" spans="1:35" ht="27" customHeight="1" x14ac:dyDescent="0.3">
      <c r="A31" s="239"/>
      <c r="B31" s="239"/>
      <c r="C31" s="239"/>
      <c r="D31" s="239"/>
      <c r="E31" s="239"/>
      <c r="F31" s="239"/>
      <c r="G31" s="239"/>
      <c r="H31" s="251"/>
      <c r="I31" s="239"/>
      <c r="J31" s="239"/>
      <c r="K31" s="251"/>
      <c r="L31" s="239"/>
      <c r="M31" s="239"/>
      <c r="N31" s="239"/>
      <c r="O31" s="239"/>
      <c r="P31" s="239"/>
      <c r="Q31" s="239"/>
      <c r="R31" s="239"/>
      <c r="S31" s="251"/>
      <c r="T31" s="239"/>
      <c r="U31" s="239"/>
      <c r="V31" s="239"/>
      <c r="W31" s="251"/>
      <c r="X31" s="239"/>
      <c r="Y31" s="239"/>
      <c r="Z31" s="239"/>
      <c r="AA31" s="239"/>
      <c r="AB31" s="239"/>
      <c r="AC31" s="239"/>
      <c r="AD31" s="239"/>
      <c r="AE31" s="239"/>
      <c r="AF31" s="239"/>
      <c r="AG31" s="240"/>
      <c r="AH31" s="240"/>
      <c r="AI31" s="240"/>
    </row>
  </sheetData>
  <mergeCells count="40">
    <mergeCell ref="L5:L6"/>
    <mergeCell ref="M5:M6"/>
    <mergeCell ref="N5:N6"/>
    <mergeCell ref="O5:O6"/>
    <mergeCell ref="AG5:AH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F5"/>
    <mergeCell ref="P5:P6"/>
    <mergeCell ref="A4:AF4"/>
    <mergeCell ref="AG4:AH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F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0.39997558519241921"/>
    <pageSetUpPr fitToPage="1"/>
  </sheetPr>
  <dimension ref="A1:BE8"/>
  <sheetViews>
    <sheetView zoomScale="85" zoomScaleNormal="85" workbookViewId="0">
      <selection sqref="A1:AM1"/>
    </sheetView>
  </sheetViews>
  <sheetFormatPr defaultRowHeight="16.5" x14ac:dyDescent="0.3"/>
  <cols>
    <col min="1" max="1" width="6.875" style="228" customWidth="1"/>
    <col min="2" max="2" width="5.875" style="228" customWidth="1"/>
    <col min="3" max="3" width="8.25" style="228" customWidth="1"/>
    <col min="4" max="4" width="8.5" style="228" customWidth="1"/>
    <col min="5" max="14" width="6.875" style="228" customWidth="1"/>
    <col min="15" max="16" width="6.25" style="228" customWidth="1"/>
    <col min="17" max="18" width="5.75" style="228" customWidth="1"/>
    <col min="19" max="20" width="6.875" style="228" customWidth="1"/>
    <col min="21" max="28" width="6.25" style="228" customWidth="1"/>
    <col min="29" max="36" width="6.875" style="228" customWidth="1"/>
    <col min="37" max="37" width="11.5" style="228" customWidth="1"/>
    <col min="38" max="38" width="13.875" style="228" customWidth="1"/>
    <col min="39" max="39" width="13.625" style="228" customWidth="1"/>
    <col min="40" max="41" width="8.125" style="228" customWidth="1"/>
    <col min="42" max="42" width="5.75" style="244" customWidth="1"/>
    <col min="43" max="43" width="7.375" style="244" customWidth="1"/>
    <col min="44" max="45" width="9" style="228"/>
    <col min="46" max="46" width="7.75" style="228" customWidth="1"/>
    <col min="47" max="47" width="9" style="228"/>
    <col min="48" max="53" width="9" style="244"/>
    <col min="54" max="55" width="9" style="228"/>
    <col min="56" max="56" width="8.125" style="228" customWidth="1"/>
    <col min="57" max="16384" width="9" style="228"/>
  </cols>
  <sheetData>
    <row r="1" spans="1:57" ht="64.150000000000006" customHeight="1" x14ac:dyDescent="0.3">
      <c r="A1" s="296" t="str">
        <f>"(3UP 멍텅구리) " &amp;정보!B1&amp; " ("&amp;정보!B6&amp;" 소장) 제작치수"</f>
        <v>(3UP 멍텅구리) 경기도 의정부 드림밸리아파트-4차 (박철우 소장) 제작치수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296"/>
      <c r="AM1" s="296"/>
      <c r="AN1" s="245"/>
      <c r="AO1" s="245"/>
      <c r="AP1" s="381" t="s">
        <v>76</v>
      </c>
      <c r="AQ1" s="381"/>
      <c r="AV1" s="43"/>
    </row>
    <row r="2" spans="1:57" ht="28.5" customHeight="1" x14ac:dyDescent="0.3">
      <c r="A2" s="250" t="s">
        <v>86</v>
      </c>
      <c r="B2" s="76">
        <v>2</v>
      </c>
      <c r="C2" s="40" t="s">
        <v>87</v>
      </c>
      <c r="D2" s="75">
        <v>2</v>
      </c>
      <c r="E2" s="245"/>
      <c r="F2" s="245"/>
      <c r="G2" s="482" t="s">
        <v>82</v>
      </c>
      <c r="H2" s="483"/>
      <c r="I2" s="483"/>
      <c r="J2" s="483"/>
      <c r="K2" s="484"/>
      <c r="L2" s="394">
        <v>0</v>
      </c>
      <c r="M2" s="394"/>
      <c r="N2" s="394"/>
      <c r="O2" s="394"/>
      <c r="P2" s="391" t="s">
        <v>114</v>
      </c>
      <c r="Q2" s="391"/>
      <c r="R2" s="391"/>
      <c r="S2" s="391"/>
      <c r="T2" s="392">
        <v>1</v>
      </c>
      <c r="U2" s="392"/>
      <c r="V2" s="389" t="s">
        <v>104</v>
      </c>
      <c r="W2" s="389"/>
      <c r="X2" s="390"/>
      <c r="Y2" s="485">
        <v>0</v>
      </c>
      <c r="Z2" s="486"/>
      <c r="AA2" s="480"/>
      <c r="AB2" s="481"/>
      <c r="AC2" s="395" t="s">
        <v>89</v>
      </c>
      <c r="AD2" s="396"/>
      <c r="AE2" s="387">
        <v>8</v>
      </c>
      <c r="AF2" s="387"/>
      <c r="AG2" s="383" t="s">
        <v>83</v>
      </c>
      <c r="AH2" s="384"/>
      <c r="AI2" s="385">
        <v>4</v>
      </c>
      <c r="AJ2" s="385"/>
      <c r="AK2" s="249" t="s">
        <v>115</v>
      </c>
      <c r="AL2" s="382">
        <v>4</v>
      </c>
      <c r="AM2" s="382"/>
      <c r="AN2" s="117"/>
      <c r="AO2" s="117"/>
      <c r="AP2" s="381"/>
      <c r="AQ2" s="381"/>
      <c r="AV2" s="43"/>
    </row>
    <row r="3" spans="1:57" ht="33" customHeight="1" x14ac:dyDescent="0.3">
      <c r="A3" s="56" t="str">
        <f>'3UP실측'!A3</f>
        <v>현장명 : 경기도 의정부 드림밸리아파트-4차,   (재질) : HL 1.2T</v>
      </c>
      <c r="B3" s="2"/>
      <c r="C3" s="2"/>
      <c r="D3" s="2"/>
      <c r="E3" s="2"/>
      <c r="F3" s="2"/>
      <c r="G3" s="474" t="s">
        <v>77</v>
      </c>
      <c r="H3" s="489"/>
      <c r="I3" s="489"/>
      <c r="J3" s="489"/>
      <c r="K3" s="490"/>
      <c r="L3" s="397">
        <v>5</v>
      </c>
      <c r="M3" s="397"/>
      <c r="N3" s="397"/>
      <c r="O3" s="397"/>
      <c r="P3" s="398" t="s">
        <v>78</v>
      </c>
      <c r="Q3" s="398"/>
      <c r="R3" s="399">
        <v>8</v>
      </c>
      <c r="S3" s="399"/>
      <c r="T3" s="491" t="s">
        <v>296</v>
      </c>
      <c r="U3" s="492"/>
      <c r="V3" s="492"/>
      <c r="W3" s="493"/>
      <c r="X3" s="401">
        <f>BD7</f>
        <v>1</v>
      </c>
      <c r="Y3" s="401"/>
      <c r="Z3" s="401"/>
      <c r="AA3" s="487"/>
      <c r="AB3" s="488"/>
      <c r="AC3" s="393" t="s">
        <v>79</v>
      </c>
      <c r="AD3" s="393"/>
      <c r="AE3" s="386">
        <v>3</v>
      </c>
      <c r="AF3" s="386"/>
      <c r="AI3" s="306" t="s">
        <v>74</v>
      </c>
      <c r="AJ3" s="306"/>
      <c r="AK3" s="197">
        <v>3</v>
      </c>
      <c r="AL3" s="240" t="s">
        <v>75</v>
      </c>
      <c r="AM3" s="199">
        <v>4</v>
      </c>
      <c r="AN3" s="30"/>
      <c r="AO3" s="30"/>
      <c r="AP3" s="44"/>
      <c r="AQ3" s="43"/>
      <c r="AV3" s="43"/>
    </row>
    <row r="4" spans="1:57" ht="33" customHeight="1" x14ac:dyDescent="0.3">
      <c r="A4" s="293" t="str">
        <f>'3UP실측'!A4:AF4</f>
        <v>제작치수 반영 : JB/JD +(5 ),  늘어난치수K -(4),  C + (8),   U + (8), OP - (2), R - (2),  기둥차감 - (8), A + (3)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42"/>
      <c r="AL4" s="410">
        <f ca="1">TODAY()</f>
        <v>44881</v>
      </c>
      <c r="AM4" s="294"/>
      <c r="AN4" s="304" t="s">
        <v>216</v>
      </c>
      <c r="AO4" s="304"/>
      <c r="AP4" s="44"/>
      <c r="AQ4" s="43"/>
      <c r="AV4" s="43"/>
      <c r="BD4" s="308" t="s">
        <v>260</v>
      </c>
    </row>
    <row r="5" spans="1:57" ht="25.9" customHeight="1" x14ac:dyDescent="0.3">
      <c r="A5" s="298" t="s">
        <v>0</v>
      </c>
      <c r="B5" s="298" t="s">
        <v>1</v>
      </c>
      <c r="C5" s="298" t="s">
        <v>3</v>
      </c>
      <c r="D5" s="298" t="s">
        <v>18</v>
      </c>
      <c r="E5" s="299" t="s">
        <v>59</v>
      </c>
      <c r="F5" s="299" t="s">
        <v>60</v>
      </c>
      <c r="G5" s="411" t="s">
        <v>281</v>
      </c>
      <c r="H5" s="411" t="s">
        <v>291</v>
      </c>
      <c r="I5" s="411" t="s">
        <v>282</v>
      </c>
      <c r="J5" s="461" t="s">
        <v>283</v>
      </c>
      <c r="K5" s="461" t="s">
        <v>292</v>
      </c>
      <c r="L5" s="461" t="s">
        <v>284</v>
      </c>
      <c r="M5" s="478" t="s">
        <v>285</v>
      </c>
      <c r="N5" s="478" t="s">
        <v>295</v>
      </c>
      <c r="O5" s="369" t="s">
        <v>63</v>
      </c>
      <c r="P5" s="369" t="s">
        <v>64</v>
      </c>
      <c r="Q5" s="298" t="s">
        <v>8</v>
      </c>
      <c r="R5" s="298" t="s">
        <v>9</v>
      </c>
      <c r="S5" s="298" t="s">
        <v>10</v>
      </c>
      <c r="T5" s="298" t="s">
        <v>11</v>
      </c>
      <c r="U5" s="472" t="s">
        <v>14</v>
      </c>
      <c r="V5" s="470" t="s">
        <v>289</v>
      </c>
      <c r="W5" s="470" t="s">
        <v>293</v>
      </c>
      <c r="X5" s="470" t="s">
        <v>290</v>
      </c>
      <c r="Y5" s="461" t="s">
        <v>130</v>
      </c>
      <c r="Z5" s="461" t="s">
        <v>287</v>
      </c>
      <c r="AA5" s="461" t="s">
        <v>294</v>
      </c>
      <c r="AB5" s="461" t="s">
        <v>288</v>
      </c>
      <c r="AC5" s="298" t="s">
        <v>19</v>
      </c>
      <c r="AD5" s="404" t="s">
        <v>20</v>
      </c>
      <c r="AE5" s="369" t="s">
        <v>22</v>
      </c>
      <c r="AF5" s="369" t="s">
        <v>23</v>
      </c>
      <c r="AG5" s="371" t="s">
        <v>21</v>
      </c>
      <c r="AH5" s="372"/>
      <c r="AI5" s="372"/>
      <c r="AJ5" s="373"/>
      <c r="AK5" s="299" t="s">
        <v>25</v>
      </c>
      <c r="AL5" s="406" t="s">
        <v>34</v>
      </c>
      <c r="AM5" s="299" t="s">
        <v>35</v>
      </c>
      <c r="AN5" s="302" t="s">
        <v>213</v>
      </c>
      <c r="AO5" s="303"/>
      <c r="AP5" s="314" t="s">
        <v>52</v>
      </c>
      <c r="AQ5" s="405" t="s">
        <v>51</v>
      </c>
      <c r="AX5" s="309" t="s">
        <v>28</v>
      </c>
      <c r="AY5" s="309"/>
      <c r="AZ5" s="309" t="s">
        <v>29</v>
      </c>
      <c r="BA5" s="309"/>
      <c r="BD5" s="309"/>
    </row>
    <row r="6" spans="1:57" ht="48" customHeight="1" x14ac:dyDescent="0.3">
      <c r="A6" s="298"/>
      <c r="B6" s="298"/>
      <c r="C6" s="298"/>
      <c r="D6" s="298"/>
      <c r="E6" s="298"/>
      <c r="F6" s="298"/>
      <c r="G6" s="412"/>
      <c r="H6" s="412"/>
      <c r="I6" s="412"/>
      <c r="J6" s="462"/>
      <c r="K6" s="462"/>
      <c r="L6" s="462"/>
      <c r="M6" s="479"/>
      <c r="N6" s="479"/>
      <c r="O6" s="370"/>
      <c r="P6" s="370"/>
      <c r="Q6" s="298"/>
      <c r="R6" s="298"/>
      <c r="S6" s="298"/>
      <c r="T6" s="298"/>
      <c r="U6" s="471"/>
      <c r="V6" s="471"/>
      <c r="W6" s="471"/>
      <c r="X6" s="471"/>
      <c r="Y6" s="462"/>
      <c r="Z6" s="462"/>
      <c r="AA6" s="462"/>
      <c r="AB6" s="462"/>
      <c r="AC6" s="298"/>
      <c r="AD6" s="404"/>
      <c r="AE6" s="370"/>
      <c r="AF6" s="370"/>
      <c r="AG6" s="241" t="s">
        <v>57</v>
      </c>
      <c r="AH6" s="241" t="s">
        <v>58</v>
      </c>
      <c r="AI6" s="241" t="s">
        <v>55</v>
      </c>
      <c r="AJ6" s="241" t="s">
        <v>56</v>
      </c>
      <c r="AK6" s="298"/>
      <c r="AL6" s="407"/>
      <c r="AM6" s="298"/>
      <c r="AN6" s="121" t="s">
        <v>214</v>
      </c>
      <c r="AO6" s="121" t="s">
        <v>215</v>
      </c>
      <c r="AP6" s="314"/>
      <c r="AQ6" s="405"/>
      <c r="AR6" s="35" t="s">
        <v>81</v>
      </c>
      <c r="AS6" s="248" t="s">
        <v>111</v>
      </c>
      <c r="AT6" s="73" t="s">
        <v>112</v>
      </c>
      <c r="AU6" s="36" t="s">
        <v>110</v>
      </c>
      <c r="AV6" s="244" t="s">
        <v>27</v>
      </c>
      <c r="AW6" s="244" t="s">
        <v>26</v>
      </c>
      <c r="AX6" s="244" t="s">
        <v>30</v>
      </c>
      <c r="AY6" s="244" t="s">
        <v>31</v>
      </c>
      <c r="AZ6" s="244" t="s">
        <v>30</v>
      </c>
      <c r="BA6" s="244" t="s">
        <v>31</v>
      </c>
      <c r="BB6" s="12" t="s">
        <v>49</v>
      </c>
      <c r="BC6" s="243" t="s">
        <v>113</v>
      </c>
      <c r="BD6" s="134" t="s">
        <v>232</v>
      </c>
      <c r="BE6" s="138" t="s">
        <v>240</v>
      </c>
    </row>
    <row r="7" spans="1:57" ht="26.25" customHeight="1" x14ac:dyDescent="0.3">
      <c r="A7" s="239">
        <f>'3UP실측'!A7</f>
        <v>0</v>
      </c>
      <c r="B7" s="239" t="str">
        <f>'3UP실측'!B7&amp;"F"</f>
        <v>F</v>
      </c>
      <c r="C7" s="239">
        <f>'3UP실측'!C7-멍텅OP</f>
        <v>-2</v>
      </c>
      <c r="D7" s="239">
        <f>'3UP실측'!D7-멍텅R</f>
        <v>-2</v>
      </c>
      <c r="E7" s="240">
        <f>'3UP실측'!E7+AP7+IF(BD7=1,AG7,0)+멍텅JBJD늘림치수</f>
        <v>1</v>
      </c>
      <c r="F7" s="240">
        <f>'3UP실측'!F7+AP7+IF(BD7=1,AI7,0)+멍텅JBJD늘림치수</f>
        <v>1</v>
      </c>
      <c r="G7" s="61">
        <f>'3UP실측'!G7+AP7+IF(BD7=1,AG7,0)+멍텅JB강제키움+멍텅JBJD늘림치수</f>
        <v>1</v>
      </c>
      <c r="H7" s="61">
        <f>'3UP실측'!H7+AP7+IF(BD7=1,AG7,0)+멍텅JB강제키움+멍텅JBJD늘림치수</f>
        <v>1</v>
      </c>
      <c r="I7" s="61">
        <f>'3UP실측'!I7+AP7+IF(BD7=1,AH7,0)+멍텅JB강제키움+멍텅JBJD늘림치수-IF(멍텅JB하부늘치=1,'3UP실측'!AC7-'3UP실측'!AD7,0)</f>
        <v>1</v>
      </c>
      <c r="J7" s="61">
        <f>'3UP실측'!J7+AP7+IF(BD7=1,AI7,0)+멍텅JB강제키움+멍텅JBJD늘림치수</f>
        <v>1</v>
      </c>
      <c r="K7" s="61">
        <f>'3UP실측'!K7+AP7+IF(BD7=1,AI7,0)+멍텅JB강제키움+멍텅JBJD늘림치수</f>
        <v>1</v>
      </c>
      <c r="L7" s="61">
        <f>'3UP실측'!L7+AP7+IF(BD7=1,AJ7,0)+멍텅JB강제키움+멍텅JBJD늘림치수-IF(멍텅JB하부늘치=1,'3UP실측'!AE7-'3UP실측'!AF7,0)</f>
        <v>1</v>
      </c>
      <c r="M7" s="255">
        <f>H7-G7</f>
        <v>0</v>
      </c>
      <c r="N7" s="255">
        <f>K7-J7</f>
        <v>0</v>
      </c>
      <c r="O7" s="239">
        <f t="shared" ref="O7:P7" si="0">Q7+IF(소장="손상민",0,-1.5)</f>
        <v>-0.5</v>
      </c>
      <c r="P7" s="239">
        <f t="shared" si="0"/>
        <v>-0.5</v>
      </c>
      <c r="Q7" s="239">
        <f>IF(S7&gt;0,'3UP실측'!M7+멍텅C늘림,'3UP실측'!M7+1)</f>
        <v>1</v>
      </c>
      <c r="R7" s="239">
        <f>IF(T7&gt;0,'3UP실측'!N7+멍텅C늘림,'3UP실측'!N7+1)</f>
        <v>1</v>
      </c>
      <c r="S7" s="239">
        <f>IF(ISNUMBER('3UP실측'!O7),'3UP실측'!O7+'3UP제작'!AP7+멍텅A늘림,0)</f>
        <v>0</v>
      </c>
      <c r="T7" s="239">
        <f>IF(ISNUMBER('3UP실측'!P7),'3UP실측'!P7+'3UP제작'!AP7+멍텅A늘림,0)</f>
        <v>0</v>
      </c>
      <c r="U7" s="239">
        <f>'3UP실측'!Q7-멍텅기둥차감</f>
        <v>-4</v>
      </c>
      <c r="V7" s="239">
        <f>'3UP실측'!R7</f>
        <v>0</v>
      </c>
      <c r="W7" s="251">
        <f>'3UP실측'!S7</f>
        <v>0</v>
      </c>
      <c r="X7" s="251">
        <f>'3UP실측'!T7-멍텅기둥차감</f>
        <v>-4</v>
      </c>
      <c r="Y7" s="251">
        <f>'3UP실측'!U7-멍텅기둥차감</f>
        <v>-4</v>
      </c>
      <c r="Z7" s="251">
        <f>'3UP실측'!V7</f>
        <v>0</v>
      </c>
      <c r="AA7" s="251">
        <f>'3UP실측'!W7</f>
        <v>0</v>
      </c>
      <c r="AB7" s="251">
        <f>'3UP실측'!X7-멍텅기둥차감</f>
        <v>-4</v>
      </c>
      <c r="AC7" s="240">
        <f>IF(ISNUMBER('3UP실측'!Y7),IF(AD7&gt;0,'3UP실측'!Y7+멍텅U늘림,'3UP실측'!Y7+1.2),0)</f>
        <v>0</v>
      </c>
      <c r="AD7" s="240">
        <f>IF(OR(멍텅G="", 멍텅G=0),IF(ISNUMBER('3UP실측'!Z7),IF('3UP실측'!Z7+멍텅A늘림+AP7&gt;9,'3UP실측'!Z7+멍텅A늘림+AP7,'3UP실측'!Z7+멍텅A늘림+AP7),0),멍텅G)</f>
        <v>0</v>
      </c>
      <c r="AE7" s="239">
        <f>'3UP실측'!AA7+뒷날개치수더함</f>
        <v>0</v>
      </c>
      <c r="AF7" s="239">
        <f>'3UP실측'!AB7+뒷날개치수더함</f>
        <v>0</v>
      </c>
      <c r="AG7" s="226">
        <f>'3UP실측'!AC7-멍텅늘치차감</f>
        <v>-4</v>
      </c>
      <c r="AH7" s="226">
        <f>IF(멍텅JB하부늘치=1,AG7,'3UP실측'!AD7-멍텅늘치차감)</f>
        <v>-4</v>
      </c>
      <c r="AI7" s="226">
        <f>'3UP실측'!AE7-멍텅늘치차감</f>
        <v>-4</v>
      </c>
      <c r="AJ7" s="226">
        <f>IF(멍텅JB하부늘치=1,AI7,'3UP실측'!AF7-멍텅늘치차감)</f>
        <v>-4</v>
      </c>
      <c r="AK7" s="26" t="str">
        <f t="shared" ref="AK7" si="1">AV7&amp;"*"&amp;AW7</f>
        <v>-2*-1.4</v>
      </c>
      <c r="AL7" s="27" t="str">
        <f t="shared" ref="AL7" si="2">AY7&amp;"*"&amp;AX7</f>
        <v>-4*-1.6</v>
      </c>
      <c r="AM7" s="25" t="str">
        <f t="shared" ref="AM7" si="3">BA7&amp;"*"&amp;AZ7</f>
        <v>-4*-1.6</v>
      </c>
      <c r="AN7" s="54">
        <f>IF('3UP실측'!AG7&gt;0,'3UP실측'!AG7-'3UP실측'!AA7+1.2,0)</f>
        <v>0</v>
      </c>
      <c r="AO7" s="54">
        <f>IF('3UP실측'!AH7&gt;0,'3UP실측'!AH7-'3UP실측'!AA7+1.2,0)</f>
        <v>0</v>
      </c>
      <c r="AP7" s="244">
        <f>IF(ISNUMBER('3UP실측'!O7),IF(9-MIN('3UP실측'!O7+멍텅A늘림,'3UP실측'!P7+멍텅A늘림)+AQ7&lt;AQ7,AQ7,9-MIN('3UP실측'!O7+멍텅A늘림,'3UP실측'!P7+멍텅A늘림)+AQ7),0)</f>
        <v>0</v>
      </c>
      <c r="AQ7" s="247"/>
      <c r="AR7" s="34">
        <f>DEGREES(ATAN((D7-C7)/2/(E7)))</f>
        <v>0</v>
      </c>
      <c r="AS7" s="59">
        <f>E7-COS(RADIANS(AR7))*G7</f>
        <v>0</v>
      </c>
      <c r="AT7" s="59">
        <f>F7-COS(RADIANS(AR7))*J7</f>
        <v>0</v>
      </c>
      <c r="AU7" s="72" t="str">
        <f>IF(E7+AG7&lt;&gt;F7+AI7,"JD비대칭","")</f>
        <v/>
      </c>
      <c r="AV7" s="244">
        <f>D7 + IF(AC7+AD7&gt;0, P7+Q7,0)</f>
        <v>-2</v>
      </c>
      <c r="AW7" s="244">
        <f>AC7+MAX(E7,F7)+AE7+AD7-1.2*$AK$3+IF(BD7=0,MAX(AG7,AI7))+IF(AD7=0,1.2,0)</f>
        <v>-1.3999999999999997</v>
      </c>
      <c r="AX7" s="244">
        <f>S7+Q7+MAX(G7,I7)+AF7-1.2*$AM$3+IF(BD7=0,MAX(AG7,AH7))+IF(S7=0,1.2,0)</f>
        <v>-1.5999999999999999</v>
      </c>
      <c r="AY7" s="244">
        <f>MAX(U7,V7+W7+X7)</f>
        <v>-4</v>
      </c>
      <c r="AZ7" s="244">
        <f>T7+R7+MAX(J7,L7)+AF7-1.2*$AM$3+IF(BD7=0,MAX(AI7,AJ7))+IF(T7=0,1.2,0)</f>
        <v>-1.5999999999999999</v>
      </c>
      <c r="BA7" s="244">
        <f>MAX(Y7,Z7+AA7+AB7)</f>
        <v>-4</v>
      </c>
      <c r="BB7" s="228">
        <f>G7-E7</f>
        <v>0</v>
      </c>
      <c r="BC7" s="228">
        <f>9-AD7</f>
        <v>9</v>
      </c>
      <c r="BD7" s="135">
        <f>IF(AND(MIN(AG7,AI7)&gt;=9.2,D7-C7&gt;15),0,1)</f>
        <v>1</v>
      </c>
      <c r="BE7" s="139">
        <f>IF(소장="손상민",'3UP실측'!AI7,0)</f>
        <v>0</v>
      </c>
    </row>
    <row r="8" spans="1:57" x14ac:dyDescent="0.3">
      <c r="AP8" s="228"/>
      <c r="AQ8" s="228"/>
      <c r="AV8" s="228"/>
      <c r="AW8" s="228"/>
      <c r="AX8" s="228"/>
      <c r="AY8" s="228"/>
      <c r="AZ8" s="228"/>
      <c r="BA8" s="228"/>
    </row>
  </sheetData>
  <mergeCells count="69">
    <mergeCell ref="AX5:AY5"/>
    <mergeCell ref="AZ5:BA5"/>
    <mergeCell ref="AK5:AK6"/>
    <mergeCell ref="AL5:AL6"/>
    <mergeCell ref="AM5:AM6"/>
    <mergeCell ref="AN5:AO5"/>
    <mergeCell ref="AP5:AP6"/>
    <mergeCell ref="AQ5:AQ6"/>
    <mergeCell ref="O5:O6"/>
    <mergeCell ref="P5:P6"/>
    <mergeCell ref="Q5:Q6"/>
    <mergeCell ref="R5:R6"/>
    <mergeCell ref="AG5:AJ5"/>
    <mergeCell ref="T5:T6"/>
    <mergeCell ref="U5:U6"/>
    <mergeCell ref="V5:V6"/>
    <mergeCell ref="X5:X6"/>
    <mergeCell ref="Y5:Y6"/>
    <mergeCell ref="Z5:Z6"/>
    <mergeCell ref="AB5:AB6"/>
    <mergeCell ref="AC5:AC6"/>
    <mergeCell ref="AD5:AD6"/>
    <mergeCell ref="AE5:AE6"/>
    <mergeCell ref="AF5:AF6"/>
    <mergeCell ref="G5:G6"/>
    <mergeCell ref="I5:I6"/>
    <mergeCell ref="J5:J6"/>
    <mergeCell ref="L5:L6"/>
    <mergeCell ref="M5:M6"/>
    <mergeCell ref="A4:AJ4"/>
    <mergeCell ref="AL4:AM4"/>
    <mergeCell ref="AN4:AO4"/>
    <mergeCell ref="BD4:BD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AE3:AF3"/>
    <mergeCell ref="AA3:AB3"/>
    <mergeCell ref="G3:K3"/>
    <mergeCell ref="T3:W3"/>
    <mergeCell ref="AI3:AJ3"/>
    <mergeCell ref="L3:O3"/>
    <mergeCell ref="P3:Q3"/>
    <mergeCell ref="R3:S3"/>
    <mergeCell ref="X3:Z3"/>
    <mergeCell ref="AC3:AD3"/>
    <mergeCell ref="A1:AM1"/>
    <mergeCell ref="AP1:AQ2"/>
    <mergeCell ref="L2:O2"/>
    <mergeCell ref="P2:S2"/>
    <mergeCell ref="T2:U2"/>
    <mergeCell ref="V2:X2"/>
    <mergeCell ref="AC2:AD2"/>
    <mergeCell ref="AE2:AF2"/>
    <mergeCell ref="AG2:AH2"/>
    <mergeCell ref="AA2:AB2"/>
    <mergeCell ref="G2:K2"/>
    <mergeCell ref="Y2:Z2"/>
    <mergeCell ref="AI2:AJ2"/>
    <mergeCell ref="AL2:AM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J7">
    <cfRule type="expression" dxfId="0" priority="1">
      <formula>$BD7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133</vt:i4>
      </vt:variant>
    </vt:vector>
  </HeadingPairs>
  <TitlesOfParts>
    <vt:vector size="15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2UP실측</vt:lpstr>
      <vt:lpstr>2UP제작</vt:lpstr>
      <vt:lpstr>3UP실측</vt:lpstr>
      <vt:lpstr>3UP제작</vt:lpstr>
      <vt:lpstr>'2UP실측'!Print_Area</vt:lpstr>
      <vt:lpstr>'2UP제작'!Print_Area</vt:lpstr>
      <vt:lpstr>'3UP실측'!Print_Area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그림범위HPI</vt:lpstr>
      <vt:lpstr>'4CO와이드제작'!뒷날개치수더함</vt:lpstr>
      <vt:lpstr>SO와이드제작!뒷날개치수더함</vt:lpstr>
      <vt:lpstr>뒷날개치수더함</vt:lpstr>
      <vt:lpstr>'2UP제작'!멍텅A늘림</vt:lpstr>
      <vt:lpstr>'3UP제작'!멍텅A늘림</vt:lpstr>
      <vt:lpstr>'4CO멍텅제작'!멍텅A늘림</vt:lpstr>
      <vt:lpstr>SO멍텅제작!멍텅A늘림</vt:lpstr>
      <vt:lpstr>멍텅A늘림</vt:lpstr>
      <vt:lpstr>'2UP제작'!멍텅C늘림</vt:lpstr>
      <vt:lpstr>'3UP제작'!멍텅C늘림</vt:lpstr>
      <vt:lpstr>'4CO멍텅제작'!멍텅C늘림</vt:lpstr>
      <vt:lpstr>SO멍텅제작!멍텅C늘림</vt:lpstr>
      <vt:lpstr>멍텅C늘림</vt:lpstr>
      <vt:lpstr>'2UP제작'!멍텅G</vt:lpstr>
      <vt:lpstr>'3UP제작'!멍텅G</vt:lpstr>
      <vt:lpstr>'4CO멍텅제작'!멍텅G</vt:lpstr>
      <vt:lpstr>SO멍텅제작!멍텅G</vt:lpstr>
      <vt:lpstr>멍텅G</vt:lpstr>
      <vt:lpstr>'2UP제작'!멍텅JBJD늘림치수</vt:lpstr>
      <vt:lpstr>'3UP제작'!멍텅JBJD늘림치수</vt:lpstr>
      <vt:lpstr>'4CO멍텅제작'!멍텅JBJD늘림치수</vt:lpstr>
      <vt:lpstr>SO멍텅제작!멍텅JBJD늘림치수</vt:lpstr>
      <vt:lpstr>멍텅JBJD늘림치수</vt:lpstr>
      <vt:lpstr>'2UP제작'!멍텅JB강제키움</vt:lpstr>
      <vt:lpstr>'3UP제작'!멍텅JB강제키움</vt:lpstr>
      <vt:lpstr>'4CO멍텅제작'!멍텅JB강제키움</vt:lpstr>
      <vt:lpstr>SO멍텅제작!멍텅JB강제키움</vt:lpstr>
      <vt:lpstr>멍텅JB강제키움</vt:lpstr>
      <vt:lpstr>'2UP제작'!멍텅JB하부늘치</vt:lpstr>
      <vt:lpstr>'3UP제작'!멍텅JB하부늘치</vt:lpstr>
      <vt:lpstr>'4CO멍텅제작'!멍텅JB하부늘치</vt:lpstr>
      <vt:lpstr>SO멍텅제작!멍텅JB하부늘치</vt:lpstr>
      <vt:lpstr>멍텅JB하부늘치</vt:lpstr>
      <vt:lpstr>'2UP제작'!멍텅OP</vt:lpstr>
      <vt:lpstr>'3UP제작'!멍텅OP</vt:lpstr>
      <vt:lpstr>'4CO멍텅제작'!멍텅OP</vt:lpstr>
      <vt:lpstr>SO멍텅제작!멍텅OP</vt:lpstr>
      <vt:lpstr>멍텅OP</vt:lpstr>
      <vt:lpstr>'2UP제작'!멍텅R</vt:lpstr>
      <vt:lpstr>'3UP제작'!멍텅R</vt:lpstr>
      <vt:lpstr>'4CO멍텅제작'!멍텅R</vt:lpstr>
      <vt:lpstr>SO멍텅제작!멍텅R</vt:lpstr>
      <vt:lpstr>멍텅R</vt:lpstr>
      <vt:lpstr>'2UP제작'!멍텅U늘림</vt:lpstr>
      <vt:lpstr>'3UP제작'!멍텅U늘림</vt:lpstr>
      <vt:lpstr>'4CO멍텅제작'!멍텅U늘림</vt:lpstr>
      <vt:lpstr>SO멍텅제작!멍텅U늘림</vt:lpstr>
      <vt:lpstr>멍텅U늘림</vt:lpstr>
      <vt:lpstr>'2UP제작'!멍텅기둥차감</vt:lpstr>
      <vt:lpstr>'3UP제작'!멍텅기둥차감</vt:lpstr>
      <vt:lpstr>'4CO멍텅제작'!멍텅기둥차감</vt:lpstr>
      <vt:lpstr>SO멍텅제작!멍텅기둥차감</vt:lpstr>
      <vt:lpstr>멍텅기둥차감</vt:lpstr>
      <vt:lpstr>'2UP제작'!멍텅늘치</vt:lpstr>
      <vt:lpstr>'3UP제작'!멍텅늘치</vt:lpstr>
      <vt:lpstr>'4CO멍텅제작'!멍텅늘치</vt:lpstr>
      <vt:lpstr>SO멍텅제작!멍텅늘치</vt:lpstr>
      <vt:lpstr>멍텅늘치</vt:lpstr>
      <vt:lpstr>'2UP제작'!멍텅늘치차감</vt:lpstr>
      <vt:lpstr>'3UP제작'!멍텅늘치차감</vt:lpstr>
      <vt:lpstr>'4CO멍텅제작'!멍텅늘치차감</vt:lpstr>
      <vt:lpstr>SO멍텅제작!멍텅늘치차감</vt:lpstr>
      <vt:lpstr>멍텅늘치차감</vt:lpstr>
      <vt:lpstr>소장</vt:lpstr>
      <vt:lpstr>'4CO와이드제작'!와이드A늘림</vt:lpstr>
      <vt:lpstr>SO와이드제작!와이드A늘림</vt:lpstr>
      <vt:lpstr>와이드A늘림</vt:lpstr>
      <vt:lpstr>'4CO와이드제작'!와이드C값</vt:lpstr>
      <vt:lpstr>SO와이드제작!와이드C값</vt:lpstr>
      <vt:lpstr>와이드C값</vt:lpstr>
      <vt:lpstr>'4CO와이드제작'!와이드C값키움</vt:lpstr>
      <vt:lpstr>SO와이드제작!와이드C값키움</vt:lpstr>
      <vt:lpstr>와이드C값키움</vt:lpstr>
      <vt:lpstr>'4CO와이드제작'!와이드JBJD키움치수</vt:lpstr>
      <vt:lpstr>SO와이드제작!와이드JBJD키움치수</vt:lpstr>
      <vt:lpstr>와이드JBJD키움치수</vt:lpstr>
      <vt:lpstr>'4CO와이드제작'!와이드JB하부늘치</vt:lpstr>
      <vt:lpstr>SO와이드제작!와이드JB하부늘치</vt:lpstr>
      <vt:lpstr>와이드JB하부늘치</vt:lpstr>
      <vt:lpstr>'4CO와이드제작'!와이드J값늘치포함</vt:lpstr>
      <vt:lpstr>SO와이드제작!와이드J값늘치포함</vt:lpstr>
      <vt:lpstr>와이드J값늘치포함</vt:lpstr>
      <vt:lpstr>'4CO와이드제작'!와이드J에늘치포함</vt:lpstr>
      <vt:lpstr>SO와이드제작!와이드J에늘치포함</vt:lpstr>
      <vt:lpstr>와이드J에늘치포함</vt:lpstr>
      <vt:lpstr>'4CO와이드제작'!와이드MH더함</vt:lpstr>
      <vt:lpstr>SO와이드제작!와이드MH더함</vt:lpstr>
      <vt:lpstr>와이드MH더함</vt:lpstr>
      <vt:lpstr>'4CO와이드제작'!와이드OP</vt:lpstr>
      <vt:lpstr>SO와이드제작!와이드OP</vt:lpstr>
      <vt:lpstr>와이드OP</vt:lpstr>
      <vt:lpstr>'4CO와이드제작'!와이드R</vt:lpstr>
      <vt:lpstr>SO와이드제작!와이드R</vt:lpstr>
      <vt:lpstr>와이드R</vt:lpstr>
      <vt:lpstr>'4CO와이드제작'!와이드U</vt:lpstr>
      <vt:lpstr>SO와이드제작!와이드U</vt:lpstr>
      <vt:lpstr>와이드U</vt:lpstr>
      <vt:lpstr>'4CO와이드제작'!와이드기둥차감</vt:lpstr>
      <vt:lpstr>SO와이드제작!와이드기둥차감</vt:lpstr>
      <vt:lpstr>와이드기둥차감</vt:lpstr>
      <vt:lpstr>'4CO와이드제작'!와이드늘치</vt:lpstr>
      <vt:lpstr>SO와이드제작!와이드늘치</vt:lpstr>
      <vt:lpstr>와이드늘치</vt:lpstr>
      <vt:lpstr>'4CO와이드제작'!와이드늘치차감</vt:lpstr>
      <vt:lpstr>SO와이드제작!와이드늘치차감</vt:lpstr>
      <vt:lpstr>와이드늘치차감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2022-11-16T05:50:24Z</cp:lastPrinted>
  <dcterms:created xsi:type="dcterms:W3CDTF">2020-01-09T06:39:51Z</dcterms:created>
  <dcterms:modified xsi:type="dcterms:W3CDTF">2022-11-16T05:50:26Z</dcterms:modified>
</cp:coreProperties>
</file>