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D9A83CB2-5468-4624-8D4A-BAFC7CDFE93A}" xr6:coauthVersionLast="47" xr6:coauthVersionMax="47" xr10:uidLastSave="{00000000-0000-0000-0000-000000000000}"/>
  <bookViews>
    <workbookView xWindow="-28920" yWindow="-120" windowWidth="29040" windowHeight="15840" tabRatio="866" xr2:uid="{00000000-000D-0000-FFFF-FFFF00000000}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<sst xmlns="http://schemas.openxmlformats.org/spreadsheetml/2006/main" count="135" uniqueCount="121">
  <si>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</si>
  <si>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</si>
  <si>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</si>
  <si>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</si>
  <si>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</si>
  <si>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</si>
  <si>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</si>
  <si>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</si>
  <si>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</si>
  <si>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</si>
  <si>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</si>
  <si>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</si>
  <si>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</si>
  <si>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</si>
  <si>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</si>
  <si>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</si>
  <si>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</si>
  <si>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</si>
  <si>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</si>
  <si>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</si>
  <si>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</si>
  <si>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</si>
  <si>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</si>
  <si>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</si>
  <si>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</si>
  <si>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</si>
  <si>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</si>
  <si>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</si>
  <si>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</si>
  <si>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</si>
  <si>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</si>
  <si>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</si>
  <si>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</si>
  <si>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</si>
  <si>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</si>
  <si>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</si>
  <si>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</si>
  <si>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</si>
  <si>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</si>
  <si>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</si>
  <si>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</si>
  <si>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</si>
  <si>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</si>
  <si>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</si>
  <si>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</si>
  <si>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</si>
  <si>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</si>
  <si>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</si>
  <si>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</si>
  <si>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</si>
  <si>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</si>
  <si>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</si>
  <si>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</si>
  <si>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</si>
  <si>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</si>
  <si>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</si>
  <si>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</si>
  <si>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</si>
  <si>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</si>
  <si>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</si>
  <si>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</si>
  <si>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</si>
  <si>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</si>
  <si>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</si>
  <si>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</si>
  <si>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</si>
  <si>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</si>
  <si>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</si>
  <si>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</si>
  <si>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</si>
  <si>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</si>
  <si>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</si>
  <si>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</si>
  <si>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</si>
  <si>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</si>
  <si>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</si>
  <si>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</si>
  <si>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</si>
  <si>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</si>
  <si>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</si>
  <si>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</si>
  <si>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</si>
  <si>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</si>
  <si>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</si>
  <si>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</si>
  <si>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</si>
  <si>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</si>
  <si>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</si>
  <si>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</si>
  <si>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</si>
  <si>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</si>
  <si>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</si>
  <si>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</si>
  <si>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</si>
  <si>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</si>
  <si>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</si>
  <si>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</si>
  <si>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</si>
  <si>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</si>
  <si>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</si>
  <si>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</si>
  <si>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</si>
  <si>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</si>
  <si>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</si>
  <si>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비상구 세로</t>
  </si>
  <si>
    <t>일방/관통</t>
  </si>
  <si>
    <t>본천장분할</t>
  </si>
  <si>
    <t>좌측 이격치수</t>
  </si>
  <si>
    <t>정일산업</t>
  </si>
  <si>
    <t>펜 위치 정보</t>
  </si>
  <si>
    <t>비상등위치</t>
  </si>
  <si>
    <t>L/C 재질</t>
  </si>
  <si>
    <t>008</t>
    <phoneticPr fontId="10" type="noConversion"/>
  </si>
  <si>
    <t>008_A</t>
    <phoneticPr fontId="10" type="noConversion"/>
  </si>
  <si>
    <t>하우징높이
026 적용</t>
    <phoneticPr fontId="10" type="noConversion"/>
  </si>
  <si>
    <t>MainCeiling</t>
    <phoneticPr fontId="10" type="noConversion"/>
  </si>
  <si>
    <t>15인승</t>
    <phoneticPr fontId="10" type="noConversion"/>
  </si>
  <si>
    <t>비상구 유무</t>
    <phoneticPr fontId="10" type="noConversion"/>
  </si>
  <si>
    <t>다온텍</t>
    <phoneticPr fontId="10" type="noConversion"/>
  </si>
  <si>
    <t>양촌 흥신로</t>
    <phoneticPr fontId="10" type="noConversion"/>
  </si>
  <si>
    <t>008_A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</si>
</sst>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2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49" fontId="11" fillId="5" borderId="0" xfId="0" quotePrefix="1" applyNumberFormat="1" applyFont="1" applyFill="1">
      <alignment vertical="center"/>
    </xf>
    <xf numFmtId="0" fontId="11" fillId="0" borderId="0" xfId="0" quotePrefix="1" applyFont="1" applyAlignment="1">
      <alignment horizontal="center" vertical="center"/>
    </xf>
    <xf numFmtId="0" fontId="1" fillId="8" borderId="4" xfId="0" applyFont="1" applyFill="1" applyBorder="1" applyAlignment="1" applyProtection="1">
      <alignment horizontal="center" vertical="center"/>
      <protection locked="0"/>
    </xf>
    <xf numFmtId="49" fontId="11" fillId="5" borderId="0" xfId="0" applyNumberFormat="1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V12" sqref="V12:Y12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34" t="s">
        <v>76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1:25" ht="34.5" customHeight="1" x14ac:dyDescent="0.3">
      <c r="A2" s="35" t="s">
        <v>82</v>
      </c>
      <c r="B2" s="27"/>
      <c r="C2" s="27"/>
      <c r="D2" s="37" t="s">
        <v>118</v>
      </c>
      <c r="E2" s="37"/>
      <c r="F2" s="37"/>
      <c r="G2" s="37"/>
      <c r="H2" s="37"/>
      <c r="I2" s="37"/>
      <c r="J2" s="37"/>
      <c r="K2" s="37"/>
      <c r="L2" s="37"/>
      <c r="M2" s="27" t="s">
        <v>18</v>
      </c>
      <c r="N2" s="27"/>
      <c r="O2" s="27"/>
      <c r="P2" s="43" t="s">
        <v>15</v>
      </c>
      <c r="Q2" s="44"/>
      <c r="R2" s="17"/>
      <c r="S2" s="43"/>
      <c r="T2" s="44"/>
      <c r="U2" s="25" t="s">
        <v>105</v>
      </c>
      <c r="V2" s="25"/>
      <c r="W2" s="29" t="s">
        <v>27</v>
      </c>
      <c r="X2" s="29"/>
      <c r="Y2" s="30"/>
    </row>
    <row r="3" spans="1:25" ht="34.5" customHeight="1" x14ac:dyDescent="0.3">
      <c r="A3" s="36" t="s">
        <v>78</v>
      </c>
      <c r="B3" s="33"/>
      <c r="C3" s="33"/>
      <c r="D3" s="38" t="s">
        <v>119</v>
      </c>
      <c r="E3" s="38"/>
      <c r="F3" s="38"/>
      <c r="G3" s="38"/>
      <c r="H3" s="38"/>
      <c r="I3" s="38"/>
      <c r="J3" s="38"/>
      <c r="K3" s="38"/>
      <c r="L3" s="38"/>
      <c r="M3" s="33" t="s">
        <v>0</v>
      </c>
      <c r="N3" s="33"/>
      <c r="O3" s="33"/>
      <c r="P3" s="39">
        <f ca="1">TODAY()</f>
        <v>45767</v>
      </c>
      <c r="Q3" s="40"/>
      <c r="R3" s="16" t="s">
        <v>46</v>
      </c>
      <c r="S3" s="41">
        <v>45764</v>
      </c>
      <c r="T3" s="42"/>
      <c r="U3" s="26"/>
      <c r="V3" s="26"/>
      <c r="W3" s="31"/>
      <c r="X3" s="31"/>
      <c r="Y3" s="32"/>
    </row>
    <row r="4" spans="1:25" ht="9" customHeight="1" x14ac:dyDescent="0.3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</row>
    <row r="5" spans="1:25" ht="37.5" customHeight="1" x14ac:dyDescent="0.3">
      <c r="A5" s="47" t="s">
        <v>52</v>
      </c>
      <c r="B5" s="27"/>
      <c r="C5" s="27"/>
      <c r="D5" s="27" t="s">
        <v>77</v>
      </c>
      <c r="E5" s="27"/>
      <c r="F5" s="27"/>
      <c r="G5" s="27" t="s">
        <v>5</v>
      </c>
      <c r="H5" s="27"/>
      <c r="I5" s="27"/>
      <c r="J5" s="23" t="s">
        <v>83</v>
      </c>
      <c r="K5" s="27"/>
      <c r="L5" s="27"/>
      <c r="M5" s="23" t="s">
        <v>48</v>
      </c>
      <c r="N5" s="27"/>
      <c r="O5" s="27"/>
      <c r="P5" s="23" t="s">
        <v>17</v>
      </c>
      <c r="Q5" s="27"/>
      <c r="R5" s="27"/>
      <c r="S5" s="23" t="s">
        <v>16</v>
      </c>
      <c r="T5" s="27"/>
      <c r="U5" s="27"/>
      <c r="V5" s="23" t="s">
        <v>60</v>
      </c>
      <c r="W5" s="23"/>
      <c r="X5" s="23"/>
      <c r="Y5" s="24"/>
    </row>
    <row r="6" spans="1:25" ht="37.5" customHeight="1" x14ac:dyDescent="0.3">
      <c r="A6" s="48"/>
      <c r="B6" s="46"/>
      <c r="C6" s="46"/>
      <c r="D6" s="45" t="s">
        <v>8</v>
      </c>
      <c r="E6" s="45"/>
      <c r="F6" s="45"/>
      <c r="G6" s="45" t="s">
        <v>116</v>
      </c>
      <c r="H6" s="45"/>
      <c r="I6" s="45"/>
      <c r="J6" s="45">
        <v>1</v>
      </c>
      <c r="K6" s="45"/>
      <c r="L6" s="45"/>
      <c r="M6" s="45">
        <v>900</v>
      </c>
      <c r="N6" s="45"/>
      <c r="O6" s="45"/>
      <c r="P6" s="45">
        <v>690</v>
      </c>
      <c r="Q6" s="45"/>
      <c r="R6" s="45"/>
      <c r="S6" s="45">
        <v>1660</v>
      </c>
      <c r="T6" s="45"/>
      <c r="U6" s="45"/>
      <c r="V6" s="45" t="str">
        <f>IF(ISERROR(SEARCH("세화",P8)),"",OP/2-23)</f>
        <v/>
      </c>
      <c r="W6" s="45"/>
      <c r="X6" s="45"/>
      <c r="Y6" s="73"/>
    </row>
    <row r="7" spans="1:25" ht="37.5" customHeight="1" x14ac:dyDescent="0.3">
      <c r="A7" s="48" t="s">
        <v>49</v>
      </c>
      <c r="B7" s="46"/>
      <c r="C7" s="46"/>
      <c r="D7" s="58" t="s">
        <v>93</v>
      </c>
      <c r="E7" s="58"/>
      <c r="F7" s="58"/>
      <c r="G7" s="46" t="s">
        <v>64</v>
      </c>
      <c r="H7" s="46"/>
      <c r="I7" s="46"/>
      <c r="J7" s="15">
        <v>25</v>
      </c>
      <c r="K7" s="59" t="s">
        <v>97</v>
      </c>
      <c r="L7" s="59"/>
      <c r="M7" s="15" t="s">
        <v>29</v>
      </c>
      <c r="N7" s="46" t="s">
        <v>117</v>
      </c>
      <c r="O7" s="46"/>
      <c r="P7" s="15" t="s">
        <v>35</v>
      </c>
      <c r="Q7" s="46" t="s">
        <v>102</v>
      </c>
      <c r="R7" s="46"/>
      <c r="S7" s="18">
        <v>700</v>
      </c>
      <c r="T7" s="46" t="s">
        <v>104</v>
      </c>
      <c r="U7" s="46"/>
      <c r="V7" s="18">
        <v>500</v>
      </c>
      <c r="W7" s="52" t="s">
        <v>114</v>
      </c>
      <c r="X7" s="53"/>
      <c r="Y7" s="21">
        <v>100</v>
      </c>
    </row>
    <row r="8" spans="1:25" ht="37.5" customHeight="1" x14ac:dyDescent="0.3">
      <c r="A8" s="36" t="s">
        <v>53</v>
      </c>
      <c r="B8" s="33"/>
      <c r="C8" s="33"/>
      <c r="D8" s="38">
        <v>12</v>
      </c>
      <c r="E8" s="38"/>
      <c r="F8" s="38"/>
      <c r="G8" s="33" t="s">
        <v>61</v>
      </c>
      <c r="H8" s="33"/>
      <c r="I8" s="33"/>
      <c r="J8" s="57">
        <f>IF(IFERROR(SEARCH("CO",D6),0)&gt;0,140,175)</f>
        <v>140</v>
      </c>
      <c r="K8" s="57"/>
      <c r="L8" s="57"/>
      <c r="M8" s="33" t="s">
        <v>85</v>
      </c>
      <c r="N8" s="33"/>
      <c r="O8" s="33"/>
      <c r="P8" s="31" t="s">
        <v>84</v>
      </c>
      <c r="Q8" s="31"/>
      <c r="R8" s="31"/>
      <c r="S8" s="49" t="s">
        <v>100</v>
      </c>
      <c r="T8" s="49"/>
      <c r="U8" s="49"/>
      <c r="V8" s="76" t="s">
        <v>120</v>
      </c>
      <c r="W8" s="76"/>
      <c r="X8" s="76"/>
      <c r="Y8" s="77"/>
    </row>
    <row r="9" spans="1:25" ht="9.75" customHeight="1" x14ac:dyDescent="0.3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</row>
    <row r="10" spans="1:25" ht="27.75" customHeight="1" x14ac:dyDescent="0.3">
      <c r="A10" s="54" t="s">
        <v>109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6"/>
      <c r="M10" s="54" t="s">
        <v>55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6"/>
    </row>
    <row r="11" spans="1:25" ht="27.75" customHeight="1" x14ac:dyDescent="0.3">
      <c r="A11" s="48" t="s">
        <v>22</v>
      </c>
      <c r="B11" s="46"/>
      <c r="C11" s="46"/>
      <c r="D11" s="46" t="s">
        <v>103</v>
      </c>
      <c r="E11" s="46"/>
      <c r="F11" s="46"/>
      <c r="G11" s="46" t="s">
        <v>107</v>
      </c>
      <c r="H11" s="46"/>
      <c r="I11" s="46"/>
      <c r="J11" s="78" t="s">
        <v>63</v>
      </c>
      <c r="K11" s="79"/>
      <c r="L11" s="80"/>
      <c r="M11" s="84" t="s">
        <v>111</v>
      </c>
      <c r="N11" s="85"/>
      <c r="O11" s="85"/>
      <c r="P11" s="86"/>
      <c r="Q11" s="86"/>
      <c r="R11" s="86"/>
      <c r="S11" s="85" t="s">
        <v>54</v>
      </c>
      <c r="T11" s="85"/>
      <c r="U11" s="85"/>
      <c r="V11" s="86"/>
      <c r="W11" s="86"/>
      <c r="X11" s="86"/>
      <c r="Y11" s="87"/>
    </row>
    <row r="12" spans="1:25" ht="27.75" customHeight="1" x14ac:dyDescent="0.3">
      <c r="A12" s="74">
        <v>1</v>
      </c>
      <c r="B12" s="75"/>
      <c r="C12" s="75"/>
      <c r="D12" s="75">
        <v>140</v>
      </c>
      <c r="E12" s="75"/>
      <c r="F12" s="75"/>
      <c r="G12" s="75">
        <v>75</v>
      </c>
      <c r="H12" s="75"/>
      <c r="I12" s="75"/>
      <c r="J12" s="81"/>
      <c r="K12" s="82"/>
      <c r="L12" s="83"/>
      <c r="M12" s="88" t="s">
        <v>66</v>
      </c>
      <c r="N12" s="51"/>
      <c r="O12" s="51"/>
      <c r="P12" s="89" t="s">
        <v>33</v>
      </c>
      <c r="Q12" s="89"/>
      <c r="R12" s="90">
        <v>1600</v>
      </c>
      <c r="S12" s="90"/>
      <c r="T12" s="89" t="s">
        <v>38</v>
      </c>
      <c r="U12" s="89"/>
      <c r="V12" s="90">
        <v>1600</v>
      </c>
      <c r="W12" s="90"/>
      <c r="X12" s="90"/>
      <c r="Y12" s="91"/>
    </row>
    <row r="13" spans="1:25" ht="9.75" customHeight="1" x14ac:dyDescent="0.3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</row>
    <row r="14" spans="1:25" ht="27.75" customHeight="1" x14ac:dyDescent="0.3">
      <c r="A14" s="70" t="s">
        <v>67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2"/>
    </row>
    <row r="15" spans="1:25" ht="27.75" customHeight="1" x14ac:dyDescent="0.3">
      <c r="A15" s="48" t="s">
        <v>101</v>
      </c>
      <c r="B15" s="46"/>
      <c r="C15" s="46"/>
      <c r="D15" s="46" t="s">
        <v>99</v>
      </c>
      <c r="E15" s="46"/>
      <c r="F15" s="46"/>
      <c r="G15" s="46" t="s">
        <v>38</v>
      </c>
      <c r="H15" s="46"/>
      <c r="I15" s="46"/>
      <c r="J15" s="50" t="s">
        <v>106</v>
      </c>
      <c r="K15" s="50"/>
      <c r="L15" s="66" t="s">
        <v>110</v>
      </c>
      <c r="M15" s="67"/>
      <c r="N15" s="60" t="s">
        <v>56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2"/>
    </row>
    <row r="16" spans="1:25" ht="27.75" customHeight="1" x14ac:dyDescent="0.3">
      <c r="A16" s="36">
        <f>SUM(D19:Y19)</f>
        <v>1650</v>
      </c>
      <c r="B16" s="33"/>
      <c r="C16" s="33"/>
      <c r="D16" s="33">
        <f>SUM(D20:Y20)</f>
        <v>1650</v>
      </c>
      <c r="E16" s="33"/>
      <c r="F16" s="33"/>
      <c r="G16" s="33">
        <f>SUM(D21:Y21)</f>
        <v>1650</v>
      </c>
      <c r="H16" s="33"/>
      <c r="I16" s="33"/>
      <c r="J16" s="51">
        <v>2</v>
      </c>
      <c r="K16" s="51"/>
      <c r="L16" s="68">
        <v>252.5</v>
      </c>
      <c r="M16" s="69"/>
      <c r="N16" s="63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5"/>
    </row>
    <row r="17" spans="1:25" ht="9.9499999999999993" customHeight="1" x14ac:dyDescent="0.3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ht="34.5" customHeight="1" x14ac:dyDescent="0.3">
      <c r="A18" s="35" t="s">
        <v>96</v>
      </c>
      <c r="B18" s="27"/>
      <c r="C18" s="27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8" t="s">
        <v>36</v>
      </c>
      <c r="B19" s="46"/>
      <c r="C19" s="46"/>
      <c r="D19" s="8">
        <v>80</v>
      </c>
      <c r="E19" s="8">
        <v>215</v>
      </c>
      <c r="F19" s="8">
        <v>160</v>
      </c>
      <c r="G19" s="8">
        <v>370</v>
      </c>
      <c r="H19" s="8">
        <v>370</v>
      </c>
      <c r="I19" s="8">
        <v>160</v>
      </c>
      <c r="J19" s="8">
        <v>215</v>
      </c>
      <c r="K19" s="8">
        <v>80</v>
      </c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8" t="s">
        <v>32</v>
      </c>
      <c r="B20" s="46"/>
      <c r="C20" s="46"/>
      <c r="D20" s="8">
        <v>80</v>
      </c>
      <c r="E20" s="8">
        <v>215</v>
      </c>
      <c r="F20" s="8">
        <v>160</v>
      </c>
      <c r="G20" s="8">
        <v>370</v>
      </c>
      <c r="H20" s="8">
        <v>370</v>
      </c>
      <c r="I20" s="8">
        <v>160</v>
      </c>
      <c r="J20" s="8">
        <v>215</v>
      </c>
      <c r="K20" s="8">
        <v>80</v>
      </c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36" t="s">
        <v>20</v>
      </c>
      <c r="B21" s="33"/>
      <c r="C21" s="33"/>
      <c r="D21" s="10">
        <v>105</v>
      </c>
      <c r="E21" s="10">
        <v>190</v>
      </c>
      <c r="F21" s="10">
        <v>160</v>
      </c>
      <c r="G21" s="10">
        <v>370</v>
      </c>
      <c r="H21" s="10">
        <v>370</v>
      </c>
      <c r="I21" s="10">
        <v>160</v>
      </c>
      <c r="J21" s="10">
        <v>190</v>
      </c>
      <c r="K21" s="10">
        <v>105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3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4000000}">
          <x14:formula1>
            <xm:f>DATA!$E$17:$E$33</xm:f>
          </x14:formula1>
          <xm:sqref>V8:Y8</xm:sqref>
        </x14:dataValidation>
        <x14:dataValidation type="list" allowBlank="1" showInputMessage="1" showErrorMessage="1" xr:uid="{00000000-0002-0000-0000-000005000000}">
          <x14:formula1>
            <xm:f>DATA!$A$84:$A$85</xm:f>
          </x14:formula1>
          <xm:sqref>J7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P7</xm:sqref>
        </x14:dataValidation>
        <x14:dataValidation type="list" allowBlank="1" showInputMessage="1" showErrorMessage="1" xr:uid="{00000000-0002-0000-0000-000007000000}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6"/>
  <sheetViews>
    <sheetView topLeftCell="A7" zoomScaleNormal="100" zoomScaleSheetLayoutView="75" workbookViewId="0">
      <selection activeCell="B28" sqref="B28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6" x14ac:dyDescent="0.3">
      <c r="B17" s="3" t="s">
        <v>51</v>
      </c>
      <c r="C17" s="3" t="s">
        <v>10</v>
      </c>
      <c r="E17" s="19" t="s">
        <v>112</v>
      </c>
      <c r="F17" s="20"/>
    </row>
    <row r="18" spans="1:6" x14ac:dyDescent="0.3">
      <c r="B18" s="4"/>
      <c r="C18" s="4"/>
      <c r="E18" s="19" t="s">
        <v>113</v>
      </c>
    </row>
    <row r="19" spans="1:6" x14ac:dyDescent="0.3">
      <c r="A19" s="3" t="str">
        <f>"&lt;1, 11&gt;"</f>
        <v>&lt;1, 11&gt;</v>
      </c>
      <c r="E19" s="12" t="s">
        <v>23</v>
      </c>
    </row>
    <row r="20" spans="1:6" x14ac:dyDescent="0.3">
      <c r="E20" s="13" t="s">
        <v>24</v>
      </c>
    </row>
    <row r="21" spans="1:6" x14ac:dyDescent="0.3">
      <c r="A21" s="3" t="s">
        <v>47</v>
      </c>
      <c r="E21" s="13" t="s">
        <v>34</v>
      </c>
    </row>
    <row r="22" spans="1:6" x14ac:dyDescent="0.3">
      <c r="E22" s="13" t="s">
        <v>98</v>
      </c>
    </row>
    <row r="23" spans="1:6" x14ac:dyDescent="0.3">
      <c r="A23" s="3" t="s">
        <v>79</v>
      </c>
      <c r="E23" s="13" t="s">
        <v>40</v>
      </c>
    </row>
    <row r="24" spans="1:6" x14ac:dyDescent="0.3">
      <c r="E24" s="13" t="s">
        <v>39</v>
      </c>
    </row>
    <row r="25" spans="1:6" x14ac:dyDescent="0.3">
      <c r="A25" s="3" t="s">
        <v>95</v>
      </c>
      <c r="E25" s="13" t="s">
        <v>37</v>
      </c>
    </row>
    <row r="26" spans="1:6" x14ac:dyDescent="0.3">
      <c r="E26" s="13" t="s">
        <v>44</v>
      </c>
    </row>
    <row r="27" spans="1:6" x14ac:dyDescent="0.3">
      <c r="A27" s="3" t="s">
        <v>14</v>
      </c>
      <c r="E27" s="13" t="s">
        <v>45</v>
      </c>
    </row>
    <row r="28" spans="1:6" x14ac:dyDescent="0.3">
      <c r="E28" s="13" t="s">
        <v>42</v>
      </c>
    </row>
    <row r="29" spans="1:6" x14ac:dyDescent="0.3">
      <c r="A29" s="3" t="s">
        <v>27</v>
      </c>
      <c r="E29" s="13" t="s">
        <v>31</v>
      </c>
    </row>
    <row r="30" spans="1:6" x14ac:dyDescent="0.3">
      <c r="A30" s="3" t="s">
        <v>26</v>
      </c>
      <c r="E30" s="13" t="s">
        <v>41</v>
      </c>
    </row>
    <row r="31" spans="1:6" x14ac:dyDescent="0.3">
      <c r="E31" s="13" t="s">
        <v>30</v>
      </c>
    </row>
    <row r="32" spans="1:6" x14ac:dyDescent="0.3">
      <c r="E32" s="13" t="s">
        <v>25</v>
      </c>
    </row>
    <row r="33" spans="1:5" x14ac:dyDescent="0.3">
      <c r="E33" s="22" t="s">
        <v>115</v>
      </c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108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revision>1</cp:revision>
  <cp:lastPrinted>2023-08-30T05:42:53Z</cp:lastPrinted>
  <dcterms:created xsi:type="dcterms:W3CDTF">2020-01-09T06:39:51Z</dcterms:created>
  <dcterms:modified xsi:type="dcterms:W3CDTF">2025-04-20T01:32:24Z</dcterms:modified>
  <cp:version>1100.0100.01</cp:version>
</cp:coreProperties>
</file>