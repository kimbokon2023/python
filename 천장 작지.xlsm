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55BD2EAD-F859-4C23-B2EF-271B4B121F40}" xr6:coauthVersionLast="47" xr6:coauthVersionMax="47" xr10:uidLastSave="{00000000-0000-0000-0000-000000000000}"/>
  <bookViews>
    <workbookView xWindow="28680" yWindow="-120" windowWidth="29040" windowHeight="15840" tabRatio="866" xr2:uid="{00000000-000D-0000-FFFF-FFFF00000000}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<sst xmlns="http://schemas.openxmlformats.org/spreadsheetml/2006/main" count="135" uniqueCount="122">
  <si>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</si>
  <si>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</si>
  <si>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</si>
  <si>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</si>
  <si>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</si>
  <si>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</si>
  <si>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</si>
  <si>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</si>
  <si>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</si>
  <si>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</si>
  <si>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</si>
  <si>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</si>
  <si>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</si>
  <si>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</si>
  <si>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</si>
  <si>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</si>
  <si>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</si>
  <si>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</si>
  <si>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</si>
  <si>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</si>
  <si>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</si>
  <si>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</si>
  <si>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</si>
  <si>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</si>
  <si>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</si>
  <si>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</si>
  <si>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</si>
  <si>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</si>
  <si>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</si>
  <si>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</si>
  <si>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</si>
  <si>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</si>
  <si>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</si>
  <si>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</si>
  <si>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</si>
  <si>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</si>
  <si>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</si>
  <si>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</si>
  <si>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</si>
  <si>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</si>
  <si>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</si>
  <si>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</si>
  <si>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</si>
  <si>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</si>
  <si>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</si>
  <si>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</si>
  <si>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</si>
  <si>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</si>
  <si>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</si>
  <si>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</si>
  <si>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</si>
  <si>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</si>
  <si>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</si>
  <si>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</si>
  <si>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</si>
  <si>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</si>
  <si>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</si>
  <si>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</si>
  <si>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</si>
  <si>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</si>
  <si>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</si>
  <si>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</si>
  <si>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</si>
  <si>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</si>
  <si>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</si>
  <si>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</si>
  <si>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</si>
  <si>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</si>
  <si>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</si>
  <si>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</si>
  <si>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</si>
  <si>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</si>
  <si>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</si>
  <si>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</si>
  <si>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</si>
  <si>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</si>
  <si>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</si>
  <si>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</si>
  <si>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</si>
  <si>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</si>
  <si>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</si>
  <si>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</si>
  <si>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</si>
  <si>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</si>
  <si>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</si>
  <si>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</si>
  <si>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</si>
  <si>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</si>
  <si>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</si>
  <si>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</si>
  <si>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</si>
  <si>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</si>
  <si>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</si>
  <si>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</si>
  <si>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</si>
  <si>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</si>
  <si>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</si>
  <si>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</si>
  <si>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</si>
  <si>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</si>
  <si>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</si>
  <si>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</si>
  <si>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</si>
  <si>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</si>
  <si>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</si>
  <si>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</si>
  <si>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</si>
  <si>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</si>
  <si>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</si>
  <si>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</si>
  <si>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</si>
  <si>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</si>
  <si>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</si>
  <si>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</si>
  <si>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008</t>
    <phoneticPr fontId="10" type="noConversion"/>
  </si>
  <si>
    <t>008_A</t>
    <phoneticPr fontId="10" type="noConversion"/>
  </si>
  <si>
    <t>하우징높이
026 적용</t>
    <phoneticPr fontId="10" type="noConversion"/>
  </si>
  <si>
    <t>개발테스트</t>
    <phoneticPr fontId="10" type="noConversion"/>
  </si>
  <si>
    <t>STS 201 M/R 1.2T</t>
    <phoneticPr fontId="10" type="noConversion"/>
  </si>
  <si>
    <t>본천장 개발</t>
    <phoneticPr fontId="10" type="noConversion"/>
  </si>
  <si>
    <t>MainCeiling</t>
    <phoneticPr fontId="10" type="noConversion"/>
  </si>
  <si>
    <t>MainCeiling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</si>
</sst>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2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49" fontId="11" fillId="5" borderId="0" xfId="0" quotePrefix="1" applyNumberFormat="1" applyFont="1" applyFill="1">
      <alignment vertical="center"/>
    </xf>
    <xf numFmtId="0" fontId="11" fillId="0" borderId="0" xfId="0" quotePrefix="1" applyFont="1" applyAlignment="1">
      <alignment horizontal="center" vertical="center"/>
    </xf>
    <xf numFmtId="0" fontId="1" fillId="8" borderId="4" xfId="0" applyFont="1" applyFill="1" applyBorder="1" applyAlignment="1" applyProtection="1">
      <alignment horizontal="center" vertical="center"/>
      <protection locked="0"/>
    </xf>
    <xf numFmtId="49" fontId="11" fillId="5" borderId="0" xfId="0" applyNumberFormat="1" applyFont="1" applyFill="1">
      <alignment vertical="center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AD47"/>
    <pageSetUpPr fitToPage="1"/>
  </sheetPr>
  <dimension ref="A1:Y21"/>
  <sheetViews>
    <sheetView tabSelected="1" topLeftCell="A4" zoomScaleNormal="100" zoomScaleSheetLayoutView="75" workbookViewId="0">
      <selection activeCell="V8" sqref="V8:Y8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77" t="s">
        <v>76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</row>
    <row r="2" spans="1:25" ht="34.5" customHeight="1" x14ac:dyDescent="0.3">
      <c r="A2" s="72" t="s">
        <v>82</v>
      </c>
      <c r="B2" s="73"/>
      <c r="C2" s="73"/>
      <c r="D2" s="78" t="s">
        <v>117</v>
      </c>
      <c r="E2" s="78"/>
      <c r="F2" s="78"/>
      <c r="G2" s="78"/>
      <c r="H2" s="78"/>
      <c r="I2" s="78"/>
      <c r="J2" s="78"/>
      <c r="K2" s="78"/>
      <c r="L2" s="78"/>
      <c r="M2" s="73" t="s">
        <v>18</v>
      </c>
      <c r="N2" s="73"/>
      <c r="O2" s="73"/>
      <c r="P2" s="83" t="s">
        <v>15</v>
      </c>
      <c r="Q2" s="84"/>
      <c r="R2" s="17"/>
      <c r="S2" s="83"/>
      <c r="T2" s="84"/>
      <c r="U2" s="87" t="s">
        <v>106</v>
      </c>
      <c r="V2" s="87"/>
      <c r="W2" s="89" t="s">
        <v>27</v>
      </c>
      <c r="X2" s="89"/>
      <c r="Y2" s="90"/>
    </row>
    <row r="3" spans="1:25" ht="34.5" customHeight="1" x14ac:dyDescent="0.3">
      <c r="A3" s="55" t="s">
        <v>78</v>
      </c>
      <c r="B3" s="48"/>
      <c r="C3" s="48"/>
      <c r="D3" s="67" t="s">
        <v>119</v>
      </c>
      <c r="E3" s="67"/>
      <c r="F3" s="67"/>
      <c r="G3" s="67"/>
      <c r="H3" s="67"/>
      <c r="I3" s="67"/>
      <c r="J3" s="67"/>
      <c r="K3" s="67"/>
      <c r="L3" s="67"/>
      <c r="M3" s="48" t="s">
        <v>0</v>
      </c>
      <c r="N3" s="48"/>
      <c r="O3" s="48"/>
      <c r="P3" s="79">
        <f ca="1">TODAY()</f>
        <v>45729</v>
      </c>
      <c r="Q3" s="80"/>
      <c r="R3" s="16" t="s">
        <v>46</v>
      </c>
      <c r="S3" s="81">
        <v>45643</v>
      </c>
      <c r="T3" s="82"/>
      <c r="U3" s="88"/>
      <c r="V3" s="88"/>
      <c r="W3" s="49"/>
      <c r="X3" s="49"/>
      <c r="Y3" s="91"/>
    </row>
    <row r="4" spans="1:25" ht="9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ht="37.5" customHeight="1" x14ac:dyDescent="0.3">
      <c r="A5" s="74" t="s">
        <v>52</v>
      </c>
      <c r="B5" s="73"/>
      <c r="C5" s="73"/>
      <c r="D5" s="73" t="s">
        <v>77</v>
      </c>
      <c r="E5" s="73"/>
      <c r="F5" s="73"/>
      <c r="G5" s="73" t="s">
        <v>5</v>
      </c>
      <c r="H5" s="73"/>
      <c r="I5" s="73"/>
      <c r="J5" s="85" t="s">
        <v>83</v>
      </c>
      <c r="K5" s="73"/>
      <c r="L5" s="73"/>
      <c r="M5" s="85" t="s">
        <v>48</v>
      </c>
      <c r="N5" s="73"/>
      <c r="O5" s="73"/>
      <c r="P5" s="85" t="s">
        <v>17</v>
      </c>
      <c r="Q5" s="73"/>
      <c r="R5" s="73"/>
      <c r="S5" s="85" t="s">
        <v>16</v>
      </c>
      <c r="T5" s="73"/>
      <c r="U5" s="73"/>
      <c r="V5" s="85" t="s">
        <v>60</v>
      </c>
      <c r="W5" s="85"/>
      <c r="X5" s="85"/>
      <c r="Y5" s="86"/>
    </row>
    <row r="6" spans="1:25" ht="37.5" customHeight="1" x14ac:dyDescent="0.3">
      <c r="A6" s="44"/>
      <c r="B6" s="45"/>
      <c r="C6" s="45"/>
      <c r="D6" s="38" t="s">
        <v>8</v>
      </c>
      <c r="E6" s="38"/>
      <c r="F6" s="38"/>
      <c r="G6" s="38" t="s">
        <v>104</v>
      </c>
      <c r="H6" s="38"/>
      <c r="I6" s="38"/>
      <c r="J6" s="38">
        <v>1</v>
      </c>
      <c r="K6" s="38"/>
      <c r="L6" s="38"/>
      <c r="M6" s="38">
        <v>900</v>
      </c>
      <c r="N6" s="38"/>
      <c r="O6" s="38"/>
      <c r="P6" s="38">
        <v>800</v>
      </c>
      <c r="Q6" s="38"/>
      <c r="R6" s="38"/>
      <c r="S6" s="38">
        <v>1660</v>
      </c>
      <c r="T6" s="38"/>
      <c r="U6" s="38"/>
      <c r="V6" s="38" t="str">
        <f>IF(ISERROR(SEARCH("세화",P8)),"",OP/2-23)</f>
        <v/>
      </c>
      <c r="W6" s="38"/>
      <c r="X6" s="38"/>
      <c r="Y6" s="43"/>
    </row>
    <row r="7" spans="1:25" ht="37.5" customHeight="1" x14ac:dyDescent="0.3">
      <c r="A7" s="44" t="s">
        <v>49</v>
      </c>
      <c r="B7" s="45"/>
      <c r="C7" s="45"/>
      <c r="D7" s="68" t="s">
        <v>93</v>
      </c>
      <c r="E7" s="68"/>
      <c r="F7" s="68"/>
      <c r="G7" s="45" t="s">
        <v>64</v>
      </c>
      <c r="H7" s="45"/>
      <c r="I7" s="45"/>
      <c r="J7" s="15">
        <v>25</v>
      </c>
      <c r="K7" s="69" t="s">
        <v>97</v>
      </c>
      <c r="L7" s="69"/>
      <c r="M7" s="15" t="s">
        <v>29</v>
      </c>
      <c r="N7" s="45" t="s">
        <v>107</v>
      </c>
      <c r="O7" s="45"/>
      <c r="P7" s="15"/>
      <c r="Q7" s="45" t="s">
        <v>102</v>
      </c>
      <c r="R7" s="45"/>
      <c r="S7" s="18">
        <v>700</v>
      </c>
      <c r="T7" s="45" t="s">
        <v>105</v>
      </c>
      <c r="U7" s="45"/>
      <c r="V7" s="18">
        <v>500</v>
      </c>
      <c r="W7" s="70" t="s">
        <v>116</v>
      </c>
      <c r="X7" s="71"/>
      <c r="Y7" s="21">
        <v>100</v>
      </c>
    </row>
    <row r="8" spans="1:25" ht="37.5" customHeight="1" x14ac:dyDescent="0.3">
      <c r="A8" s="55" t="s">
        <v>53</v>
      </c>
      <c r="B8" s="48"/>
      <c r="C8" s="48"/>
      <c r="D8" s="67">
        <v>12</v>
      </c>
      <c r="E8" s="67"/>
      <c r="F8" s="67"/>
      <c r="G8" s="48" t="s">
        <v>61</v>
      </c>
      <c r="H8" s="48"/>
      <c r="I8" s="48"/>
      <c r="J8" s="66">
        <f>IF(IFERROR(SEARCH("CO",D6),0)&gt;0,140,175)</f>
        <v>140</v>
      </c>
      <c r="K8" s="66"/>
      <c r="L8" s="66"/>
      <c r="M8" s="48" t="s">
        <v>85</v>
      </c>
      <c r="N8" s="48"/>
      <c r="O8" s="48"/>
      <c r="P8" s="49" t="s">
        <v>80</v>
      </c>
      <c r="Q8" s="49"/>
      <c r="R8" s="49"/>
      <c r="S8" s="75" t="s">
        <v>100</v>
      </c>
      <c r="T8" s="75"/>
      <c r="U8" s="75"/>
      <c r="V8" s="50" t="s">
        <v>121</v>
      </c>
      <c r="W8" s="50"/>
      <c r="X8" s="50"/>
      <c r="Y8" s="51"/>
    </row>
    <row r="9" spans="1:25" ht="9.75" customHeight="1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ht="27.75" customHeight="1" x14ac:dyDescent="0.3">
      <c r="A10" s="52" t="s">
        <v>111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4"/>
      <c r="M10" s="52" t="s">
        <v>55</v>
      </c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4"/>
    </row>
    <row r="11" spans="1:25" ht="27.75" customHeight="1" x14ac:dyDescent="0.3">
      <c r="A11" s="44" t="s">
        <v>22</v>
      </c>
      <c r="B11" s="45"/>
      <c r="C11" s="45"/>
      <c r="D11" s="45" t="s">
        <v>103</v>
      </c>
      <c r="E11" s="45"/>
      <c r="F11" s="45"/>
      <c r="G11" s="45" t="s">
        <v>109</v>
      </c>
      <c r="H11" s="45"/>
      <c r="I11" s="45"/>
      <c r="J11" s="23" t="s">
        <v>63</v>
      </c>
      <c r="K11" s="24"/>
      <c r="L11" s="25"/>
      <c r="M11" s="29" t="s">
        <v>113</v>
      </c>
      <c r="N11" s="30"/>
      <c r="O11" s="30"/>
      <c r="P11" s="31" t="s">
        <v>118</v>
      </c>
      <c r="Q11" s="31"/>
      <c r="R11" s="31"/>
      <c r="S11" s="30" t="s">
        <v>54</v>
      </c>
      <c r="T11" s="30"/>
      <c r="U11" s="30"/>
      <c r="V11" s="31"/>
      <c r="W11" s="31"/>
      <c r="X11" s="31"/>
      <c r="Y11" s="32"/>
    </row>
    <row r="12" spans="1:25" ht="27.75" customHeight="1" x14ac:dyDescent="0.3">
      <c r="A12" s="46">
        <v>1</v>
      </c>
      <c r="B12" s="47"/>
      <c r="C12" s="47"/>
      <c r="D12" s="47">
        <v>140</v>
      </c>
      <c r="E12" s="47"/>
      <c r="F12" s="47"/>
      <c r="G12" s="47">
        <v>75</v>
      </c>
      <c r="H12" s="47"/>
      <c r="I12" s="47"/>
      <c r="J12" s="26"/>
      <c r="K12" s="27"/>
      <c r="L12" s="28"/>
      <c r="M12" s="33" t="s">
        <v>66</v>
      </c>
      <c r="N12" s="34"/>
      <c r="O12" s="34"/>
      <c r="P12" s="35" t="s">
        <v>33</v>
      </c>
      <c r="Q12" s="35"/>
      <c r="R12" s="36">
        <v>1650</v>
      </c>
      <c r="S12" s="36"/>
      <c r="T12" s="35" t="s">
        <v>38</v>
      </c>
      <c r="U12" s="35"/>
      <c r="V12" s="36">
        <v>1650</v>
      </c>
      <c r="W12" s="36"/>
      <c r="X12" s="36"/>
      <c r="Y12" s="37"/>
    </row>
    <row r="13" spans="1:25" ht="9.75" customHeight="1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ht="27.75" customHeight="1" x14ac:dyDescent="0.3">
      <c r="A14" s="39" t="s">
        <v>67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1"/>
    </row>
    <row r="15" spans="1:25" ht="27.75" customHeight="1" x14ac:dyDescent="0.3">
      <c r="A15" s="44" t="s">
        <v>101</v>
      </c>
      <c r="B15" s="45"/>
      <c r="C15" s="45"/>
      <c r="D15" s="45" t="s">
        <v>99</v>
      </c>
      <c r="E15" s="45"/>
      <c r="F15" s="45"/>
      <c r="G15" s="45" t="s">
        <v>38</v>
      </c>
      <c r="H15" s="45"/>
      <c r="I15" s="45"/>
      <c r="J15" s="76" t="s">
        <v>108</v>
      </c>
      <c r="K15" s="76"/>
      <c r="L15" s="62" t="s">
        <v>112</v>
      </c>
      <c r="M15" s="63"/>
      <c r="N15" s="56" t="s">
        <v>56</v>
      </c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8"/>
    </row>
    <row r="16" spans="1:25" ht="27.75" customHeight="1" x14ac:dyDescent="0.3">
      <c r="A16" s="55">
        <f>SUM(D19:Y19)</f>
        <v>1650</v>
      </c>
      <c r="B16" s="48"/>
      <c r="C16" s="48"/>
      <c r="D16" s="48">
        <f>SUM(D20:Y20)</f>
        <v>1650</v>
      </c>
      <c r="E16" s="48"/>
      <c r="F16" s="48"/>
      <c r="G16" s="48">
        <f>SUM(D21:Y21)</f>
        <v>1650</v>
      </c>
      <c r="H16" s="48"/>
      <c r="I16" s="48"/>
      <c r="J16" s="34">
        <v>2</v>
      </c>
      <c r="K16" s="34"/>
      <c r="L16" s="64">
        <v>252.5</v>
      </c>
      <c r="M16" s="65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1"/>
    </row>
    <row r="17" spans="1:25" ht="9.9499999999999993" customHeigh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ht="34.5" customHeight="1" x14ac:dyDescent="0.3">
      <c r="A18" s="72" t="s">
        <v>96</v>
      </c>
      <c r="B18" s="73"/>
      <c r="C18" s="73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4" t="s">
        <v>36</v>
      </c>
      <c r="B19" s="45"/>
      <c r="C19" s="45"/>
      <c r="D19" s="8">
        <v>80</v>
      </c>
      <c r="E19" s="8">
        <v>215</v>
      </c>
      <c r="F19" s="8">
        <v>160</v>
      </c>
      <c r="G19" s="8">
        <v>370</v>
      </c>
      <c r="H19" s="8">
        <v>370</v>
      </c>
      <c r="I19" s="8">
        <v>160</v>
      </c>
      <c r="J19" s="8">
        <v>215</v>
      </c>
      <c r="K19" s="8">
        <v>80</v>
      </c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4" t="s">
        <v>32</v>
      </c>
      <c r="B20" s="45"/>
      <c r="C20" s="45"/>
      <c r="D20" s="8">
        <v>80</v>
      </c>
      <c r="E20" s="8">
        <v>215</v>
      </c>
      <c r="F20" s="8">
        <v>160</v>
      </c>
      <c r="G20" s="8">
        <v>370</v>
      </c>
      <c r="H20" s="8">
        <v>370</v>
      </c>
      <c r="I20" s="8">
        <v>160</v>
      </c>
      <c r="J20" s="8">
        <v>215</v>
      </c>
      <c r="K20" s="8">
        <v>80</v>
      </c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3">
      <c r="A21" s="55" t="s">
        <v>20</v>
      </c>
      <c r="B21" s="48"/>
      <c r="C21" s="48"/>
      <c r="D21" s="10">
        <v>105</v>
      </c>
      <c r="E21" s="10">
        <v>190</v>
      </c>
      <c r="F21" s="10">
        <v>160</v>
      </c>
      <c r="G21" s="10">
        <v>370</v>
      </c>
      <c r="H21" s="10">
        <v>370</v>
      </c>
      <c r="I21" s="10">
        <v>160</v>
      </c>
      <c r="J21" s="10">
        <v>190</v>
      </c>
      <c r="K21" s="10">
        <v>105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N7:O7"/>
    <mergeCell ref="Q7:R7"/>
    <mergeCell ref="T7:U7"/>
    <mergeCell ref="W7:X7"/>
    <mergeCell ref="M10:Y10"/>
    <mergeCell ref="A8:C8"/>
    <mergeCell ref="G8:I8"/>
    <mergeCell ref="J8:L8"/>
    <mergeCell ref="D8:F8"/>
    <mergeCell ref="D7:F7"/>
    <mergeCell ref="G7:I7"/>
    <mergeCell ref="K7:L7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3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4000000}">
          <x14:formula1>
            <xm:f>DATA!$E$17:$E$33</xm:f>
          </x14:formula1>
          <xm:sqref>V8:Y8</xm:sqref>
        </x14:dataValidation>
        <x14:dataValidation type="list" allowBlank="1" showInputMessage="1" showErrorMessage="1" xr:uid="{00000000-0002-0000-0000-000005000000}">
          <x14:formula1>
            <xm:f>DATA!$A$84:$A$85</xm:f>
          </x14:formula1>
          <xm:sqref>J7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P7</xm:sqref>
        </x14:dataValidation>
        <x14:dataValidation type="list" allowBlank="1" showInputMessage="1" showErrorMessage="1" xr:uid="{00000000-0002-0000-0000-000007000000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7" zoomScaleNormal="100" zoomScaleSheetLayoutView="75" workbookViewId="0">
      <selection activeCell="B28" sqref="B28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3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3">
      <c r="E3" s="2" t="s">
        <v>58</v>
      </c>
      <c r="F3" s="1">
        <v>301</v>
      </c>
      <c r="G3" s="1">
        <v>58</v>
      </c>
      <c r="H3" s="1">
        <v>420</v>
      </c>
    </row>
    <row r="4" spans="1:9" x14ac:dyDescent="0.3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3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3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3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3">
      <c r="E8" s="2" t="s">
        <v>65</v>
      </c>
      <c r="F8" s="1">
        <v>302</v>
      </c>
      <c r="G8" s="1">
        <v>62</v>
      </c>
      <c r="H8" s="1"/>
    </row>
    <row r="9" spans="1:9" x14ac:dyDescent="0.3">
      <c r="E9" s="2" t="s">
        <v>72</v>
      </c>
      <c r="F9" s="1">
        <v>240</v>
      </c>
      <c r="G9" s="1">
        <v>55</v>
      </c>
      <c r="H9" s="1">
        <v>370</v>
      </c>
    </row>
    <row r="10" spans="1:9" x14ac:dyDescent="0.3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69</v>
      </c>
      <c r="F14" s="1">
        <v>250</v>
      </c>
      <c r="G14" s="1">
        <v>60</v>
      </c>
      <c r="H14" s="1">
        <v>440</v>
      </c>
    </row>
    <row r="17" spans="1:6" x14ac:dyDescent="0.3">
      <c r="B17" s="3" t="s">
        <v>51</v>
      </c>
      <c r="C17" s="3" t="s">
        <v>10</v>
      </c>
      <c r="E17" s="19" t="s">
        <v>114</v>
      </c>
      <c r="F17" s="20"/>
    </row>
    <row r="18" spans="1:6" x14ac:dyDescent="0.3">
      <c r="B18" s="4"/>
      <c r="C18" s="4"/>
      <c r="E18" s="19" t="s">
        <v>115</v>
      </c>
    </row>
    <row r="19" spans="1:6" x14ac:dyDescent="0.3">
      <c r="A19" s="3" t="str">
        <f>"&lt;1, 11&gt;"</f>
        <v>&lt;1, 11&gt;</v>
      </c>
      <c r="E19" s="12" t="s">
        <v>23</v>
      </c>
    </row>
    <row r="20" spans="1:6" x14ac:dyDescent="0.3">
      <c r="E20" s="13" t="s">
        <v>24</v>
      </c>
    </row>
    <row r="21" spans="1:6" x14ac:dyDescent="0.3">
      <c r="A21" s="3" t="s">
        <v>47</v>
      </c>
      <c r="E21" s="13" t="s">
        <v>34</v>
      </c>
    </row>
    <row r="22" spans="1:6" x14ac:dyDescent="0.3">
      <c r="E22" s="13" t="s">
        <v>98</v>
      </c>
    </row>
    <row r="23" spans="1:6" x14ac:dyDescent="0.3">
      <c r="A23" s="3" t="s">
        <v>79</v>
      </c>
      <c r="E23" s="13" t="s">
        <v>40</v>
      </c>
    </row>
    <row r="24" spans="1:6" x14ac:dyDescent="0.3">
      <c r="E24" s="13" t="s">
        <v>39</v>
      </c>
    </row>
    <row r="25" spans="1:6" x14ac:dyDescent="0.3">
      <c r="A25" s="3" t="s">
        <v>95</v>
      </c>
      <c r="E25" s="13" t="s">
        <v>37</v>
      </c>
    </row>
    <row r="26" spans="1:6" x14ac:dyDescent="0.3">
      <c r="E26" s="13" t="s">
        <v>44</v>
      </c>
    </row>
    <row r="27" spans="1:6" x14ac:dyDescent="0.3">
      <c r="A27" s="3" t="s">
        <v>14</v>
      </c>
      <c r="E27" s="13" t="s">
        <v>45</v>
      </c>
    </row>
    <row r="28" spans="1:6" x14ac:dyDescent="0.3">
      <c r="E28" s="13" t="s">
        <v>42</v>
      </c>
    </row>
    <row r="29" spans="1:6" x14ac:dyDescent="0.3">
      <c r="A29" s="3" t="s">
        <v>27</v>
      </c>
      <c r="E29" s="13" t="s">
        <v>31</v>
      </c>
    </row>
    <row r="30" spans="1:6" x14ac:dyDescent="0.3">
      <c r="A30" s="3" t="s">
        <v>26</v>
      </c>
      <c r="E30" s="13" t="s">
        <v>41</v>
      </c>
    </row>
    <row r="31" spans="1:6" x14ac:dyDescent="0.3">
      <c r="E31" s="13" t="s">
        <v>30</v>
      </c>
    </row>
    <row r="32" spans="1:6" x14ac:dyDescent="0.3">
      <c r="E32" s="13" t="s">
        <v>25</v>
      </c>
    </row>
    <row r="33" spans="1:5" x14ac:dyDescent="0.3">
      <c r="E33" s="22" t="s">
        <v>120</v>
      </c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</v>
      </c>
      <c r="E39" s="14"/>
    </row>
    <row r="40" spans="1:5" x14ac:dyDescent="0.3">
      <c r="A40" s="3" t="s">
        <v>4</v>
      </c>
    </row>
    <row r="42" spans="1:5" x14ac:dyDescent="0.3">
      <c r="A42" s="3" t="s">
        <v>84</v>
      </c>
      <c r="B42">
        <f>32.5+55+20+55+25+65</f>
        <v>252.5</v>
      </c>
    </row>
    <row r="43" spans="1:5" x14ac:dyDescent="0.3">
      <c r="A43" s="3" t="s">
        <v>89</v>
      </c>
      <c r="B43">
        <f>35+50+50+25+65</f>
        <v>225</v>
      </c>
    </row>
    <row r="44" spans="1:5" x14ac:dyDescent="0.3">
      <c r="A44" s="3" t="s">
        <v>110</v>
      </c>
      <c r="B44">
        <f>30+75+75+25+65</f>
        <v>270</v>
      </c>
    </row>
    <row r="45" spans="1:5" x14ac:dyDescent="0.3">
      <c r="A45" s="3" t="s">
        <v>80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6</v>
      </c>
    </row>
    <row r="54" spans="1:1" x14ac:dyDescent="0.3">
      <c r="A54" s="3" t="s">
        <v>86</v>
      </c>
    </row>
    <row r="56" spans="1:1" x14ac:dyDescent="0.3">
      <c r="A56" s="3" t="s">
        <v>6</v>
      </c>
    </row>
    <row r="57" spans="1:1" x14ac:dyDescent="0.3">
      <c r="A57" s="3" t="s">
        <v>87</v>
      </c>
    </row>
    <row r="59" spans="1:1" x14ac:dyDescent="0.3">
      <c r="A59" s="3" t="s">
        <v>2</v>
      </c>
    </row>
    <row r="60" spans="1:1" x14ac:dyDescent="0.3">
      <c r="A60" s="3" t="s">
        <v>7</v>
      </c>
    </row>
    <row r="62" spans="1:1" x14ac:dyDescent="0.3">
      <c r="A62" s="3" t="s">
        <v>2</v>
      </c>
    </row>
    <row r="63" spans="1:1" x14ac:dyDescent="0.3">
      <c r="A63" s="3" t="s">
        <v>7</v>
      </c>
    </row>
    <row r="64" spans="1:1" x14ac:dyDescent="0.3">
      <c r="A64" s="3" t="s">
        <v>9</v>
      </c>
    </row>
    <row r="66" spans="1:2" x14ac:dyDescent="0.3">
      <c r="A66" s="3" t="s">
        <v>11</v>
      </c>
    </row>
    <row r="67" spans="1:2" x14ac:dyDescent="0.3">
      <c r="A67" s="3" t="s">
        <v>13</v>
      </c>
    </row>
    <row r="68" spans="1:2" x14ac:dyDescent="0.3">
      <c r="A68" s="3" t="s">
        <v>12</v>
      </c>
    </row>
    <row r="70" spans="1:2" x14ac:dyDescent="0.3">
      <c r="A70" s="3" t="s">
        <v>50</v>
      </c>
    </row>
    <row r="71" spans="1:2" x14ac:dyDescent="0.3">
      <c r="A71" s="3" t="s">
        <v>12</v>
      </c>
    </row>
    <row r="74" spans="1:2" x14ac:dyDescent="0.3">
      <c r="A74" s="3">
        <v>8</v>
      </c>
      <c r="B74" t="s">
        <v>90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8</v>
      </c>
    </row>
    <row r="81" spans="1:1" x14ac:dyDescent="0.3">
      <c r="A81" s="3" t="s">
        <v>21</v>
      </c>
    </row>
    <row r="82" spans="1:1" x14ac:dyDescent="0.3">
      <c r="A82" s="3" t="s">
        <v>43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35</v>
      </c>
    </row>
    <row r="95" spans="1:1" x14ac:dyDescent="0.3">
      <c r="A95" s="3" t="s">
        <v>28</v>
      </c>
    </row>
    <row r="96" spans="1:1" x14ac:dyDescent="0.3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revision>1</cp:revision>
  <cp:lastPrinted>2023-08-30T05:42:53Z</cp:lastPrinted>
  <dcterms:created xsi:type="dcterms:W3CDTF">2020-01-09T06:39:51Z</dcterms:created>
  <dcterms:modified xsi:type="dcterms:W3CDTF">2025-03-13T07:12:03Z</dcterms:modified>
  <cp:version>1100.0100.01</cp:version>
</cp:coreProperties>
</file>