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python\excel\"/>
    </mc:Choice>
  </mc:AlternateContent>
  <xr:revisionPtr revIDLastSave="0" documentId="13_ncr:1_{7D9485FE-68A1-48B8-8CB7-7FAD998E7196}" xr6:coauthVersionLast="47" xr6:coauthVersionMax="47" xr10:uidLastSave="{00000000-0000-0000-0000-000000000000}"/>
  <bookViews>
    <workbookView xWindow="-120" yWindow="-120" windowWidth="29040" windowHeight="15840" tabRatio="947" activeTab="2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" i="8" l="1"/>
  <c r="B8" i="8"/>
  <c r="E8" i="8"/>
  <c r="F8" i="8"/>
  <c r="T8" i="8"/>
  <c r="U8" i="8"/>
  <c r="V8" i="8"/>
  <c r="W8" i="8"/>
  <c r="X8" i="8"/>
  <c r="Y8" i="8"/>
  <c r="C8" i="8" s="1"/>
  <c r="AA8" i="8"/>
  <c r="AB8" i="8"/>
  <c r="AC8" i="8"/>
  <c r="AD8" i="8" s="1"/>
  <c r="AE8" i="8"/>
  <c r="BI8" i="8" s="1"/>
  <c r="AM8" i="8"/>
  <c r="AN8" i="8"/>
  <c r="AO8" i="8"/>
  <c r="AP8" i="8"/>
  <c r="AQ8" i="8"/>
  <c r="AR8" i="8"/>
  <c r="AS8" i="8"/>
  <c r="AX8" i="8" s="1"/>
  <c r="AT8" i="8"/>
  <c r="A9" i="8"/>
  <c r="B9" i="8"/>
  <c r="E9" i="8"/>
  <c r="F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M9" i="8"/>
  <c r="AN9" i="8"/>
  <c r="AO9" i="8"/>
  <c r="AP9" i="8"/>
  <c r="AQ9" i="8"/>
  <c r="AR9" i="8"/>
  <c r="AS9" i="8"/>
  <c r="S9" i="8" s="1"/>
  <c r="AT9" i="8"/>
  <c r="T9" i="8" s="1"/>
  <c r="AX9" i="8"/>
  <c r="A10" i="8"/>
  <c r="B10" i="8"/>
  <c r="E10" i="8"/>
  <c r="F10" i="8"/>
  <c r="T10" i="8"/>
  <c r="P10" i="8" s="1"/>
  <c r="N10" i="8" s="1"/>
  <c r="U10" i="8"/>
  <c r="V10" i="8"/>
  <c r="W10" i="8"/>
  <c r="X10" i="8"/>
  <c r="Y10" i="8"/>
  <c r="D10" i="8" s="1"/>
  <c r="AH10" i="8" s="1"/>
  <c r="BF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A11" i="8"/>
  <c r="B11" i="8"/>
  <c r="E11" i="8"/>
  <c r="F11" i="8"/>
  <c r="U11" i="8"/>
  <c r="V11" i="8"/>
  <c r="W11" i="8"/>
  <c r="X11" i="8"/>
  <c r="Y11" i="8"/>
  <c r="C11" i="8" s="1"/>
  <c r="Z11" i="8"/>
  <c r="AI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12" i="8"/>
  <c r="B12" i="8"/>
  <c r="E12" i="8"/>
  <c r="F12" i="8"/>
  <c r="S12" i="8"/>
  <c r="O12" i="8" s="1"/>
  <c r="M12" i="8" s="1"/>
  <c r="U12" i="8"/>
  <c r="V12" i="8"/>
  <c r="W12" i="8"/>
  <c r="X12" i="8"/>
  <c r="Y12" i="8"/>
  <c r="C12" i="8" s="1"/>
  <c r="AG12" i="8" s="1"/>
  <c r="Z12" i="8"/>
  <c r="AI12" i="8" s="1"/>
  <c r="AA12" i="8"/>
  <c r="AB12" i="8"/>
  <c r="AC12" i="8"/>
  <c r="AD12" i="8" s="1"/>
  <c r="AE12" i="8"/>
  <c r="AF12" i="8"/>
  <c r="AM12" i="8"/>
  <c r="AN12" i="8"/>
  <c r="AO12" i="8"/>
  <c r="AP12" i="8"/>
  <c r="AQ12" i="8"/>
  <c r="AR12" i="8"/>
  <c r="AS12" i="8"/>
  <c r="AX12" i="8" s="1"/>
  <c r="AT12" i="8"/>
  <c r="T12" i="8" s="1"/>
  <c r="AY12" i="8"/>
  <c r="A13" i="8"/>
  <c r="B13" i="8"/>
  <c r="E13" i="8"/>
  <c r="F13" i="8"/>
  <c r="S13" i="8"/>
  <c r="O13" i="8" s="1"/>
  <c r="M13" i="8" s="1"/>
  <c r="U13" i="8"/>
  <c r="V13" i="8"/>
  <c r="W13" i="8"/>
  <c r="X13" i="8"/>
  <c r="Y13" i="8"/>
  <c r="D13" i="8" s="1"/>
  <c r="AH13" i="8" s="1"/>
  <c r="AA13" i="8"/>
  <c r="AB13" i="8"/>
  <c r="AC13" i="8"/>
  <c r="AD13" i="8"/>
  <c r="AE13" i="8"/>
  <c r="AF13" i="8"/>
  <c r="AM13" i="8"/>
  <c r="AN13" i="8"/>
  <c r="AO13" i="8"/>
  <c r="AP13" i="8"/>
  <c r="AQ13" i="8"/>
  <c r="AR13" i="8"/>
  <c r="AS13" i="8"/>
  <c r="AX13" i="8" s="1"/>
  <c r="AT13" i="8"/>
  <c r="T13" i="8" s="1"/>
  <c r="AY13" i="8"/>
  <c r="AQ7" i="26"/>
  <c r="AP7" i="26"/>
  <c r="AP7" i="22"/>
  <c r="AO7" i="22"/>
  <c r="I8" i="14"/>
  <c r="J8" i="14"/>
  <c r="I9" i="14"/>
  <c r="J9" i="14"/>
  <c r="I10" i="14"/>
  <c r="J10" i="14"/>
  <c r="I11" i="14"/>
  <c r="J11" i="14"/>
  <c r="I12" i="14"/>
  <c r="J12" i="14"/>
  <c r="I13" i="14"/>
  <c r="J13" i="14"/>
  <c r="I14" i="14"/>
  <c r="J14" i="14"/>
  <c r="I15" i="14"/>
  <c r="J15" i="14"/>
  <c r="I16" i="14"/>
  <c r="J16" i="14"/>
  <c r="I17" i="14"/>
  <c r="J17" i="14"/>
  <c r="I18" i="14"/>
  <c r="J18" i="14"/>
  <c r="I19" i="14"/>
  <c r="J19" i="14"/>
  <c r="I20" i="14"/>
  <c r="J20" i="14"/>
  <c r="I21" i="14"/>
  <c r="J21" i="14"/>
  <c r="I22" i="14"/>
  <c r="J22" i="14"/>
  <c r="I23" i="14"/>
  <c r="J23" i="14"/>
  <c r="I24" i="14"/>
  <c r="J24" i="14"/>
  <c r="I25" i="14"/>
  <c r="J25" i="14"/>
  <c r="J7" i="14"/>
  <c r="I7" i="14"/>
  <c r="AK7" i="10"/>
  <c r="Y7" i="22"/>
  <c r="BF13" i="8" l="1"/>
  <c r="BI12" i="8"/>
  <c r="J12" i="8" s="1"/>
  <c r="BD12" i="8"/>
  <c r="BI9" i="8"/>
  <c r="G9" i="8" s="1"/>
  <c r="AG11" i="8"/>
  <c r="BD11" i="8" s="1"/>
  <c r="C10" i="8"/>
  <c r="C13" i="8"/>
  <c r="AG13" i="8" s="1"/>
  <c r="BD13" i="8" s="1"/>
  <c r="D11" i="8"/>
  <c r="AH11" i="8" s="1"/>
  <c r="BF11" i="8" s="1"/>
  <c r="BI11" i="8"/>
  <c r="I11" i="8" s="1"/>
  <c r="BI10" i="8"/>
  <c r="G10" i="8" s="1"/>
  <c r="H11" i="8"/>
  <c r="AU11" i="8" s="1"/>
  <c r="BA11" i="8"/>
  <c r="BA12" i="8"/>
  <c r="K12" i="8"/>
  <c r="G12" i="8"/>
  <c r="H12" i="8"/>
  <c r="I12" i="8"/>
  <c r="L12" i="8"/>
  <c r="P9" i="8"/>
  <c r="N9" i="8" s="1"/>
  <c r="H9" i="8"/>
  <c r="J9" i="8"/>
  <c r="I9" i="8"/>
  <c r="K9" i="8"/>
  <c r="O9" i="8"/>
  <c r="M9" i="8" s="1"/>
  <c r="I8" i="8"/>
  <c r="J8" i="8"/>
  <c r="K8" i="8"/>
  <c r="G8" i="8"/>
  <c r="H8" i="8"/>
  <c r="AG8" i="8"/>
  <c r="BD8" i="8" s="1"/>
  <c r="P13" i="8"/>
  <c r="N13" i="8" s="1"/>
  <c r="P11" i="8"/>
  <c r="N11" i="8" s="1"/>
  <c r="P12" i="8"/>
  <c r="N12" i="8" s="1"/>
  <c r="D12" i="8"/>
  <c r="AH12" i="8" s="1"/>
  <c r="BF12" i="8" s="1"/>
  <c r="AY9" i="8"/>
  <c r="C9" i="8"/>
  <c r="AF8" i="8"/>
  <c r="L8" i="8" s="1"/>
  <c r="P8" i="8"/>
  <c r="N8" i="8" s="1"/>
  <c r="BI13" i="8"/>
  <c r="G11" i="8"/>
  <c r="L10" i="8"/>
  <c r="AY10" i="8"/>
  <c r="S10" i="8"/>
  <c r="K10" i="8"/>
  <c r="BE10" i="8" s="1"/>
  <c r="AL10" i="8" s="1"/>
  <c r="AF9" i="8"/>
  <c r="L9" i="8" s="1"/>
  <c r="D8" i="8"/>
  <c r="AH8" i="8" s="1"/>
  <c r="BF8" i="8" s="1"/>
  <c r="L11" i="8"/>
  <c r="AY8" i="8"/>
  <c r="S8" i="8"/>
  <c r="AY11" i="8"/>
  <c r="S11" i="8"/>
  <c r="K11" i="8"/>
  <c r="H10" i="8"/>
  <c r="AU10" i="8" s="1"/>
  <c r="J10" i="8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BC12" i="8" l="1"/>
  <c r="AK12" i="8" s="1"/>
  <c r="J11" i="8"/>
  <c r="I10" i="8"/>
  <c r="AV10" i="8" s="1"/>
  <c r="BE12" i="8"/>
  <c r="BH8" i="8"/>
  <c r="BB11" i="8"/>
  <c r="AJ11" i="8" s="1"/>
  <c r="BH13" i="8"/>
  <c r="AG10" i="8"/>
  <c r="BD10" i="8" s="1"/>
  <c r="BH10" i="8"/>
  <c r="BH11" i="8"/>
  <c r="BB12" i="8"/>
  <c r="AJ12" i="8" s="1"/>
  <c r="BE8" i="8"/>
  <c r="AL8" i="8" s="1"/>
  <c r="AW11" i="8"/>
  <c r="R11" i="8" s="1"/>
  <c r="BH9" i="8"/>
  <c r="AG9" i="8"/>
  <c r="BD9" i="8" s="1"/>
  <c r="AU8" i="8"/>
  <c r="AW8" i="8" s="1"/>
  <c r="R8" i="8" s="1"/>
  <c r="AL12" i="8"/>
  <c r="AU9" i="8"/>
  <c r="AW9" i="8" s="1"/>
  <c r="R9" i="8" s="1"/>
  <c r="AV11" i="8"/>
  <c r="BH12" i="8"/>
  <c r="BE11" i="8"/>
  <c r="AL11" i="8" s="1"/>
  <c r="AW10" i="8"/>
  <c r="R10" i="8" s="1"/>
  <c r="H13" i="8"/>
  <c r="J13" i="8"/>
  <c r="K13" i="8"/>
  <c r="L13" i="8"/>
  <c r="G13" i="8"/>
  <c r="I13" i="8"/>
  <c r="AU12" i="8"/>
  <c r="AV12" i="8" s="1"/>
  <c r="O8" i="8"/>
  <c r="M8" i="8" s="1"/>
  <c r="BC9" i="8"/>
  <c r="O11" i="8"/>
  <c r="M11" i="8" s="1"/>
  <c r="BC11" i="8"/>
  <c r="AK11" i="8" s="1"/>
  <c r="O10" i="8"/>
  <c r="M10" i="8" s="1"/>
  <c r="BE9" i="8"/>
  <c r="AL9" i="8" s="1"/>
  <c r="C7" i="26"/>
  <c r="E7" i="26"/>
  <c r="AF4" i="26"/>
  <c r="AJ4" i="24"/>
  <c r="AE4" i="22"/>
  <c r="AI4" i="19"/>
  <c r="AA4" i="10"/>
  <c r="AE3" i="8"/>
  <c r="Q10" i="8" l="1"/>
  <c r="Z10" i="8" s="1"/>
  <c r="AZ10" i="8"/>
  <c r="BC13" i="8"/>
  <c r="AK13" i="8" s="1"/>
  <c r="BC8" i="8"/>
  <c r="AK8" i="8" s="1"/>
  <c r="AW12" i="8"/>
  <c r="R12" i="8" s="1"/>
  <c r="AV9" i="8"/>
  <c r="Q9" i="8" s="1"/>
  <c r="BE13" i="8"/>
  <c r="AL13" i="8" s="1"/>
  <c r="Q12" i="8"/>
  <c r="BG12" i="8" s="1"/>
  <c r="AZ12" i="8"/>
  <c r="AV8" i="8"/>
  <c r="AZ11" i="8"/>
  <c r="Q11" i="8"/>
  <c r="BG11" i="8" s="1"/>
  <c r="AU13" i="8"/>
  <c r="AV13" i="8" s="1"/>
  <c r="AK9" i="8"/>
  <c r="BG10" i="8"/>
  <c r="AZ9" i="8"/>
  <c r="BC10" i="8"/>
  <c r="AK10" i="8" s="1"/>
  <c r="AI10" i="8"/>
  <c r="BA10" i="8"/>
  <c r="BB10" i="8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S7" i="22"/>
  <c r="Q7" i="22" s="1"/>
  <c r="R7" i="22"/>
  <c r="P7" i="22" s="1"/>
  <c r="X7" i="22"/>
  <c r="W7" i="22"/>
  <c r="V7" i="22"/>
  <c r="U7" i="22"/>
  <c r="T7" i="22"/>
  <c r="E7" i="22"/>
  <c r="D7" i="22"/>
  <c r="C7" i="22"/>
  <c r="AE7" i="22"/>
  <c r="AF7" i="22" s="1"/>
  <c r="AC7" i="22"/>
  <c r="AD7" i="22" s="1"/>
  <c r="E7" i="8"/>
  <c r="AJ10" i="8" l="1"/>
  <c r="Q13" i="8"/>
  <c r="AZ13" i="8"/>
  <c r="AW13" i="8"/>
  <c r="R13" i="8" s="1"/>
  <c r="Z9" i="8"/>
  <c r="BG9" i="8"/>
  <c r="Q8" i="8"/>
  <c r="AZ8" i="8"/>
  <c r="AI7" i="32"/>
  <c r="AE4" i="32"/>
  <c r="AD7" i="28"/>
  <c r="AA4" i="28"/>
  <c r="AH7" i="32"/>
  <c r="AE7" i="26"/>
  <c r="AK7" i="32"/>
  <c r="C7" i="19"/>
  <c r="D7" i="24"/>
  <c r="AI9" i="8" l="1"/>
  <c r="BB9" i="8"/>
  <c r="BA9" i="8"/>
  <c r="Z8" i="8"/>
  <c r="BG8" i="8"/>
  <c r="Z13" i="8"/>
  <c r="BG13" i="8"/>
  <c r="AS7" i="32"/>
  <c r="T7" i="32" s="1"/>
  <c r="AR7" i="32"/>
  <c r="AI13" i="8" l="1"/>
  <c r="BA13" i="8"/>
  <c r="BB13" i="8"/>
  <c r="AJ9" i="8"/>
  <c r="AI8" i="8"/>
  <c r="BA8" i="8"/>
  <c r="BB8" i="8"/>
  <c r="S7" i="32"/>
  <c r="Q7" i="32" s="1"/>
  <c r="AD7" i="32"/>
  <c r="AC7" i="32" s="1"/>
  <c r="R7" i="32"/>
  <c r="U7" i="26"/>
  <c r="S7" i="26" s="1"/>
  <c r="AJ8" i="8" l="1"/>
  <c r="AJ13" i="8"/>
  <c r="AL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D8" i="14"/>
  <c r="K8" i="14"/>
  <c r="G8" i="15" s="1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9" i="14"/>
  <c r="B9" i="14"/>
  <c r="D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10" i="14"/>
  <c r="B10" i="14"/>
  <c r="D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11" i="14"/>
  <c r="B11" i="14"/>
  <c r="D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12" i="14"/>
  <c r="B12" i="14"/>
  <c r="D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13" i="14"/>
  <c r="B13" i="14"/>
  <c r="D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14" i="14"/>
  <c r="B14" i="14"/>
  <c r="D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15" i="14"/>
  <c r="B15" i="14"/>
  <c r="D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16" i="14"/>
  <c r="B16" i="14"/>
  <c r="D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17" i="14"/>
  <c r="B17" i="14"/>
  <c r="D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18" i="14"/>
  <c r="B18" i="14"/>
  <c r="D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19" i="14"/>
  <c r="B19" i="14"/>
  <c r="D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20" i="14"/>
  <c r="B20" i="14"/>
  <c r="D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21" i="14"/>
  <c r="B21" i="14"/>
  <c r="D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22" i="14"/>
  <c r="B22" i="14"/>
  <c r="D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23" i="14"/>
  <c r="B23" i="14"/>
  <c r="D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24" i="14"/>
  <c r="B24" i="14"/>
  <c r="D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25" i="14"/>
  <c r="B25" i="14"/>
  <c r="D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H8" i="15" l="1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E8" i="14" l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AG14" i="14"/>
  <c r="H14" i="14" s="1"/>
  <c r="G8" i="14"/>
  <c r="C25" i="14"/>
  <c r="C24" i="14"/>
  <c r="H25" i="14"/>
  <c r="C12" i="14"/>
  <c r="C21" i="14"/>
  <c r="G15" i="14"/>
  <c r="G13" i="14"/>
  <c r="C23" i="14"/>
  <c r="H18" i="14"/>
  <c r="C20" i="14"/>
  <c r="G24" i="14"/>
  <c r="C9" i="14"/>
  <c r="C14" i="14"/>
  <c r="C15" i="14"/>
  <c r="C13" i="14"/>
  <c r="C18" i="14"/>
  <c r="C22" i="14"/>
  <c r="C10" i="14"/>
  <c r="G22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O7" i="26" l="1"/>
  <c r="Q7" i="24"/>
  <c r="AX7" i="26"/>
  <c r="AH7" i="26" s="1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R7" i="14"/>
  <c r="Q7" i="14"/>
  <c r="H7" i="15" s="1"/>
  <c r="P7" i="14"/>
  <c r="O7" i="14"/>
  <c r="D7" i="14"/>
  <c r="B7" i="14"/>
  <c r="A7" i="14"/>
  <c r="G7" i="15" l="1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8" i="2" l="1"/>
  <c r="AR8" i="2"/>
  <c r="AQ8" i="2"/>
  <c r="AP8" i="2"/>
  <c r="AO8" i="2"/>
  <c r="AN8" i="2"/>
  <c r="AM8" i="2"/>
  <c r="AL8" i="2"/>
  <c r="AS7" i="2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U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V7" i="8" l="1"/>
  <c r="W7" i="8"/>
  <c r="X7" i="8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AT7" i="22" s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M3" i="22" l="1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/>
  <c r="BA7" i="8" s="1"/>
  <c r="AI7" i="8" l="1"/>
  <c r="BB7" i="8"/>
  <c r="AJ7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<sst xmlns="http://schemas.openxmlformats.org/spreadsheetml/2006/main" count="1170" uniqueCount="338">
  <si>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</si>
  <si>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</si>
  <si>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</si>
  <si>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</si>
  <si>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</si>
  <si>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</si>
  <si>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</si>
  <si>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</si>
  <si>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</si>
  <si>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</si>
  <si>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</si>
  <si>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</si>
  <si>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</si>
  <si>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</si>
  <si>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</si>
  <si>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</si>
  <si>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</si>
  <si>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</si>
  <si>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</si>
  <si>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</si>
  <si>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</si>
  <si>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</si>
  <si>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</si>
  <si>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</si>
  <si>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</si>
  <si>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</si>
  <si>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</si>
  <si>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</si>
  <si>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</si>
  <si>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</si>
  <si>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</si>
  <si>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</si>
  <si>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</si>
  <si>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</si>
  <si>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</si>
  <si>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</si>
  <si>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</si>
  <si>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</si>
  <si>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</si>
  <si>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</si>
  <si>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</si>
  <si>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</si>
  <si>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</si>
  <si>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</si>
  <si>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</si>
  <si>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</si>
  <si>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</si>
  <si>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</si>
  <si>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</si>
  <si>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</si>
  <si>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</si>
  <si>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</si>
  <si>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</si>
  <si>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</si>
  <si>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</si>
  <si>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</si>
  <si>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</si>
  <si>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</si>
  <si>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</si>
  <si>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</si>
  <si>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</si>
  <si>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</si>
  <si>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</si>
  <si>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</si>
  <si>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</si>
  <si>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</si>
  <si>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</si>
  <si>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</si>
  <si>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</si>
  <si>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</si>
  <si>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</si>
  <si>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</si>
  <si>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</si>
  <si>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</si>
  <si>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</si>
  <si>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</si>
  <si>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</si>
  <si>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</si>
  <si>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</si>
  <si>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</si>
  <si>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</si>
  <si>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</si>
  <si>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</si>
  <si>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</si>
  <si>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</si>
  <si>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</si>
  <si>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</si>
  <si>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</si>
  <si>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</si>
  <si>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</si>
  <si>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</si>
  <si>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</si>
  <si>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</si>
  <si>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</si>
  <si>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</si>
  <si>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</si>
  <si>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</si>
  <si>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</si>
  <si>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</si>
  <si>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</si>
  <si>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</si>
  <si>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</si>
  <si>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</si>
  <si>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</si>
  <si>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</si>
  <si>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</si>
  <si>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</si>
  <si>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</si>
  <si>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</si>
  <si>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</si>
  <si>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</si>
  <si>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</si>
  <si>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</si>
  <si>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</si>
  <si>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</si>
  <si>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</si>
  <si>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</si>
  <si>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</si>
  <si>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</si>
  <si>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</si>
  <si>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</si>
  <si>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</si>
  <si>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</si>
  <si>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</si>
  <si>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</si>
  <si>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</si>
  <si>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</si>
  <si>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</si>
  <si>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</si>
  <si>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</si>
  <si>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</si>
  <si>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</si>
  <si>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</si>
  <si>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</si>
  <si>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</si>
  <si>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</si>
  <si>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</si>
  <si>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</si>
  <si>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</si>
  <si>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</si>
  <si>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</si>
  <si>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</si>
  <si>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</si>
  <si>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</si>
  <si>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</si>
  <si>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</si>
  <si>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</si>
  <si>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</si>
  <si>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</si>
  <si>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</si>
  <si>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</si>
  <si>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</si>
  <si>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</si>
  <si>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</si>
  <si>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</si>
  <si>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</si>
  <si>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</si>
  <si>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</si>
  <si>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</si>
  <si>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</si>
  <si>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</si>
  <si>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</si>
  <si>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</si>
  <si>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</si>
  <si>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</si>
  <si>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</si>
  <si>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</si>
  <si>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</si>
  <si>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</si>
  <si>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</si>
  <si>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</si>
  <si>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</si>
  <si>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</si>
  <si>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</si>
  <si>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</si>
  <si>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</si>
  <si>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</si>
  <si>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</si>
  <si>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</si>
  <si>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</si>
  <si>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</si>
  <si>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</si>
  <si>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</si>
  <si>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</si>
  <si>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</si>
  <si>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</si>
  <si>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</si>
  <si>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</si>
  <si>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</si>
  <si>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</si>
  <si>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</si>
  <si>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</si>
  <si>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</si>
  <si>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</si>
  <si>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</si>
  <si>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</si>
  <si>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</si>
  <si>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</si>
  <si>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</si>
  <si>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</si>
  <si>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</si>
  <si>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</si>
  <si>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</si>
  <si>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</si>
  <si>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</si>
  <si>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</si>
  <si>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</si>
  <si>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</si>
  <si>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</si>
  <si>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</si>
  <si>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</si>
  <si>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</si>
  <si>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</si>
  <si>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</si>
  <si>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</si>
  <si>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</si>
  <si>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</si>
  <si>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</si>
  <si>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</si>
  <si>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</si>
  <si>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</si>
  <si>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</si>
  <si>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</si>
  <si>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</si>
  <si>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</si>
  <si>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</si>
  <si>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</si>
  <si>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</si>
  <si>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</si>
  <si>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</si>
  <si>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</si>
  <si>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</si>
  <si>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</si>
  <si>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</si>
  <si>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</si>
  <si>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</si>
  <si>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</si>
  <si>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</si>
  <si>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</si>
  <si>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</si>
  <si>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</si>
  <si>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</si>
  <si>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</si>
  <si>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</si>
  <si>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</si>
  <si>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</si>
  <si>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</si>
  <si>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</si>
  <si>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</si>
  <si>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</si>
  <si>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</si>
  <si>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</si>
  <si>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</si>
  <si>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</si>
  <si>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</si>
  <si>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</si>
  <si>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</si>
  <si>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</si>
  <si>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</si>
  <si>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</si>
  <si>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</si>
  <si>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</si>
  <si>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</si>
  <si>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</si>
  <si>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</si>
  <si>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</si>
  <si>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</si>
  <si>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</si>
  <si>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</si>
  <si>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</si>
  <si>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</si>
  <si>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</si>
  <si>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</si>
  <si>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</si>
  <si>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</si>
  <si>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</si>
  <si>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</si>
  <si>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</si>
  <si>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</si>
  <si>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</si>
  <si>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</si>
  <si>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</si>
  <si>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</si>
  <si>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</si>
  <si>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</si>
  <si>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</si>
  <si>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</si>
  <si>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</si>
  <si>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</si>
  <si>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</si>
  <si>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</si>
  <si>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</si>
  <si>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</si>
  <si>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</si>
  <si>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</si>
  <si>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</si>
  <si>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</si>
  <si>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</si>
  <si>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</si>
  <si>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</si>
  <si>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</si>
  <si>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</si>
  <si>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</si>
  <si>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</si>
  <si>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</si>
  <si>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</si>
  <si>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</si>
  <si>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</si>
  <si>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</si>
  <si>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</si>
  <si>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</si>
  <si>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</si>
  <si>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</si>
  <si>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</si>
  <si>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</si>
  <si>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</si>
  <si>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</si>
  <si>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</si>
  <si>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</si>
  <si>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</si>
  <si>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</si>
  <si>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</si>
  <si>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</si>
  <si>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</si>
  <si>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</si>
  <si>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</si>
  <si>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</si>
  <si>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</si>
  <si>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</si>
  <si>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상판
(좌)
단차</t>
    <phoneticPr fontId="1" type="noConversion"/>
  </si>
  <si>
    <t>상판
(우)
단차</t>
    <phoneticPr fontId="1" type="noConversion"/>
  </si>
  <si>
    <t>상판
(좌)
단차</t>
    <phoneticPr fontId="1" type="noConversion"/>
  </si>
  <si>
    <t>상판
(우)
단차</t>
    <phoneticPr fontId="1" type="noConversion"/>
  </si>
  <si>
    <t>이소정</t>
    <phoneticPr fontId="1" type="noConversion"/>
  </si>
  <si>
    <t>이미래</t>
  </si>
  <si>
    <t>(판매)퇴계원-2차</t>
  </si>
  <si>
    <t>김진섭</t>
  </si>
  <si>
    <t>304 Mirror 1.2T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</si>
</sst>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5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8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23" sqref="B23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(판매)퇴계원-2차 ) _김진섭소장</v>
      </c>
      <c r="C2" s="39" t="str">
        <f>"(와이드) 제작변환 자료( "&amp;B1&amp;" ) _"&amp;소장 &amp;"소장"</f>
        <v>(와이드) 제작변환 자료( (판매)퇴계원-2차 ) _김진섭소장</v>
      </c>
      <c r="D2" s="154" t="s">
        <v>312</v>
      </c>
      <c r="E2" s="150" t="str">
        <f>"(SO와이드) 실측서 ( " &amp; B1 &amp; " ) _"&amp;소장 &amp;"소장"</f>
        <v>(SO와이드) 실측서 ( (판매)퇴계원-2차 ) _김진섭소장</v>
      </c>
      <c r="F2" s="150" t="str">
        <f>"(SO와이드) 제작변환 ( " &amp; B1 &amp; " ) _"&amp;소장 &amp;"소장"</f>
        <v>(SO와이드) 제작변환 ( (판매)퇴계원-2차 ) _김진섭소장</v>
      </c>
      <c r="G2" s="152" t="s">
        <v>314</v>
      </c>
      <c r="H2" s="147" t="str">
        <f>"(4CO와이드) 실측서 ( " &amp; B1 &amp; " ) _"&amp;소장 &amp;"소장"</f>
        <v>(4CO와이드) 실측서 ( (판매)퇴계원-2차 ) _김진섭소장</v>
      </c>
      <c r="I2" s="147" t="str">
        <f>"(4CO와이드) 제작변환 ( " &amp; B1 &amp; " ) _"&amp;소장 &amp;"소장"</f>
        <v>(4CO와이드) 제작변환 ( (판매)퇴계원-2차 ) _김진섭소장</v>
      </c>
      <c r="J2" s="152" t="s">
        <v>316</v>
      </c>
      <c r="K2" s="153" t="str">
        <f>"(2UP) 실측서 ( " &amp; B1 &amp; " ) _"&amp;소장 &amp;"소장"</f>
        <v>(2UP) 실측서 ( (판매)퇴계원-2차 ) _김진섭소장</v>
      </c>
      <c r="L2" s="153" t="str">
        <f>"(2UP) 제작변환 ( " &amp; B1 &amp; " ) _"&amp;소장 &amp;"소장"</f>
        <v>(2UP) 제작변환 ( (판매)퇴계원-2차 ) _김진섭소장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(판매)퇴계원-2차 ) _김진섭소장</v>
      </c>
      <c r="C3" s="39" t="str">
        <f>"(멍텅구리) 제작변환 자료( "&amp;B1&amp;" ) _"&amp;소장 &amp;"소장"</f>
        <v>(멍텅구리) 제작변환 자료( (판매)퇴계원-2차 ) _김진섭소장</v>
      </c>
      <c r="D3" s="154" t="s">
        <v>313</v>
      </c>
      <c r="E3" s="150" t="str">
        <f>"(SO멍텅구리) 실측서 ( " &amp; B1 &amp; " ) _"&amp;소장 &amp;"소장"</f>
        <v>(SO멍텅구리) 실측서 ( (판매)퇴계원-2차 ) _김진섭소장</v>
      </c>
      <c r="F3" s="150" t="str">
        <f>"(SO멍텅구리) 제작변환 ( " &amp; B1 &amp; " ) _"&amp;소장 &amp;"소장"</f>
        <v>(SO멍텅구리) 제작변환 ( (판매)퇴계원-2차 ) _김진섭소장</v>
      </c>
      <c r="G3" s="152" t="s">
        <v>315</v>
      </c>
      <c r="H3" s="147" t="str">
        <f>"(4CO멍텅구리) 실측서 ( " &amp; B1 &amp; " ) _"&amp;소장 &amp;"소장"</f>
        <v>(4CO멍텅구리) 실측서 ( (판매)퇴계원-2차 ) _김진섭소장</v>
      </c>
      <c r="I3" s="147" t="str">
        <f>"(4CO멍텅구리) 제작변환 ( " &amp; B1 &amp; " ) _"&amp;소장 &amp;"소장"</f>
        <v>(4CO멍텅구리) 제작변환 ( (판매)퇴계원-2차 ) _김진섭소장</v>
      </c>
      <c r="J3" s="152" t="s">
        <v>317</v>
      </c>
      <c r="K3" s="153" t="str">
        <f>"(3UP) 실측서 ( " &amp; B1 &amp; " ) _"&amp;소장 &amp;"소장"</f>
        <v>(3UP) 실측서 ( (판매)퇴계원-2차 ) _김진섭소장</v>
      </c>
      <c r="L3" s="153" t="str">
        <f>"(3UP) 제작변환 ( " &amp; B1 &amp; " ) _"&amp;소장 &amp;"소장"</f>
        <v>(3UP) 제작변환 ( (판매)퇴계원-2차 ) _김진섭소장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(판매)퇴계원-2차 ) _김진섭소장</v>
      </c>
      <c r="C4" s="39" t="str">
        <f>"(쪽쟘) 제작변환 자료( "&amp;B1&amp;" ) _"&amp;소장 &amp;"소장"</f>
        <v>(쪽쟘) 제작변환 자료( (판매)퇴계원-2차 ) _김진섭소장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/>
      <c r="D5" s="145" t="s">
        <v>318</v>
      </c>
    </row>
    <row r="6" spans="1:12" ht="27.75" customHeight="1" x14ac:dyDescent="0.3">
      <c r="A6" s="144" t="s">
        <v>40</v>
      </c>
      <c r="B6" s="146" t="s">
        <v>336</v>
      </c>
    </row>
    <row r="7" spans="1:12" ht="16.5" customHeight="1" x14ac:dyDescent="0.3">
      <c r="A7" s="72" t="s">
        <v>193</v>
      </c>
      <c r="B7" s="118" t="s">
        <v>337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(0), JB/JD +(3 ),  늘어난치수K -(4),  C + (0),   U + (0), OP - (3), R - (0),  기둥차감 - (0), A + (0)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+(0 ),  늘어난치수K -(0),  C + (0),  U +(0), OP - (0), R - (0),  기둥차감 - (0),  A + (0)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(0),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(0), JB/JD +(0 ),  늘어난치수K -(0),  C + (0),   U + (0), OP - (0), R - (0),  기둥차감 - (0),  A + (0)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+(0 ),  늘어난치수K -(0),  C + (0),  U +(0), OP1/OP2 - (0), R - (0),  기둥차감 - (0), A + (0)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(0), JB/JD +(0 ),  늘어난치수K -(0),  C + (0),   U + (0), OP1/OP3 - (0), R - (0),  기둥차감 - (0), A + (0)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+(0 ),  늘어난치수K -(0),  C + (0),  U +(0), OP1/OP3 - (0), R - (0),  기둥차감 - (0), A + (0)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+(0 ),  늘어난치수K -(0),  C + (0),   U + (0), OP - (0), R - (0),  기둥차감 - (0), A + (0)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+(0 ),  늘어난치수K -(0),  C + (0),   U + (0), OP - (0), R - (0),  기둥차감 - (0), A + (0)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295</v>
      </c>
      <c r="B23" s="124" t="s">
        <v>334</v>
      </c>
    </row>
    <row r="26" spans="1:3" x14ac:dyDescent="0.3">
      <c r="A26">
        <v>20231101</v>
      </c>
      <c r="B26" t="s">
        <v>328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/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0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(판매)퇴계원-2차</v>
      </c>
      <c r="E2" s="3" t="str">
        <f>정보!B6</f>
        <v>김진섭</v>
      </c>
      <c r="F2" s="3" t="str">
        <f>정보!B7</f>
        <v>304 Mirror 1.2T</v>
      </c>
      <c r="G2" s="3" t="str">
        <f>정보!B8</f>
        <v>HL 1.2T</v>
      </c>
      <c r="H2" s="3" t="str">
        <f>정보!B9</f>
        <v>HL 1.2T</v>
      </c>
      <c r="I2">
        <f>정보!B5</f>
        <v>0</v>
      </c>
      <c r="J2" s="87">
        <f ca="1">TODAY()</f>
        <v>45596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이미래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294</v>
      </c>
      <c r="E5" t="s">
        <v>218</v>
      </c>
      <c r="G5" t="s">
        <v>296</v>
      </c>
    </row>
    <row r="6" spans="1:17" ht="60.75" customHeight="1" x14ac:dyDescent="0.3">
      <c r="D6" t="s">
        <v>209</v>
      </c>
      <c r="E6" t="s">
        <v>219</v>
      </c>
      <c r="G6" t="s">
        <v>333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310</v>
      </c>
    </row>
    <row r="13" spans="1:17" ht="62.25" customHeight="1" x14ac:dyDescent="0.3">
      <c r="E13" t="s">
        <v>297</v>
      </c>
    </row>
    <row r="14" spans="1:17" ht="62.25" customHeight="1" x14ac:dyDescent="0.3">
      <c r="E14" t="s">
        <v>311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abSelected="1" zoomScale="85" zoomScaleNormal="85" workbookViewId="0">
      <selection activeCell="V15" sqref="V15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(판매)퇴계원-2차 ) _김진섭소장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(0), JB/JD +(3 ),  늘어난치수K -(4),  C + (0),   U + (0), OP - (3),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4"/>
      <c r="B7" s="127"/>
      <c r="C7" s="4"/>
      <c r="D7" s="4"/>
      <c r="E7" s="4"/>
      <c r="F7" s="4"/>
      <c r="G7" s="4"/>
      <c r="H7" s="4"/>
      <c r="I7" s="4"/>
      <c r="J7" s="4"/>
      <c r="K7" s="13"/>
      <c r="L7" s="13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3"/>
      <c r="AL7" s="3">
        <f>Y7+$AK7</f>
        <v>0</v>
      </c>
      <c r="AM7" s="3">
        <f>Z7+$AK7</f>
        <v>0</v>
      </c>
      <c r="AN7" s="3">
        <f>AA7+$AK7</f>
        <v>0</v>
      </c>
      <c r="AO7" s="3">
        <f>AB7+$AK7</f>
        <v>0</v>
      </c>
      <c r="AP7" s="3">
        <f>G7-$AK7</f>
        <v>0</v>
      </c>
      <c r="AQ7" s="3">
        <f>H7-$AK7</f>
        <v>0</v>
      </c>
      <c r="AR7" s="3">
        <f>I7-$AK7</f>
        <v>0</v>
      </c>
      <c r="AS7" s="3">
        <f>J7-$AK7</f>
        <v>0</v>
      </c>
    </row>
    <row r="8" spans="1:45" ht="23.25" customHeight="1" x14ac:dyDescent="0.3">
      <c r="A8" s="4"/>
      <c r="B8" s="127"/>
      <c r="C8" s="4"/>
      <c r="D8" s="4"/>
      <c r="E8" s="4"/>
      <c r="F8" s="4"/>
      <c r="G8" s="4"/>
      <c r="H8" s="4"/>
      <c r="I8" s="4"/>
      <c r="J8" s="4"/>
      <c r="K8" s="13"/>
      <c r="L8" s="13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3"/>
      <c r="AL8" s="3">
        <f t="shared" ref="AL8" si="0">Y8+$AK8</f>
        <v>0</v>
      </c>
      <c r="AM8" s="3">
        <f>Z8+$AK8</f>
        <v>0</v>
      </c>
      <c r="AN8" s="3">
        <f>AA8+$AK8</f>
        <v>0</v>
      </c>
      <c r="AO8" s="3">
        <f>AB8+$AK8</f>
        <v>0</v>
      </c>
      <c r="AP8" s="3">
        <f t="shared" ref="AP8" si="1">G8-$AK8</f>
        <v>0</v>
      </c>
      <c r="AQ8" s="3">
        <f>H8-$AK8</f>
        <v>0</v>
      </c>
      <c r="AR8" s="3">
        <f>I8-$AK8</f>
        <v>0</v>
      </c>
      <c r="AS8" s="3">
        <f>J8-$AK8</f>
        <v>0</v>
      </c>
    </row>
    <row r="9" spans="1:45" ht="23.25" customHeight="1" x14ac:dyDescent="0.3">
      <c r="A9" s="4"/>
      <c r="B9" s="127"/>
      <c r="C9" s="4"/>
      <c r="D9" s="4"/>
      <c r="E9" s="4"/>
      <c r="F9" s="4"/>
      <c r="G9" s="4"/>
      <c r="H9" s="4"/>
      <c r="I9" s="4"/>
      <c r="J9" s="4"/>
      <c r="K9" s="13"/>
      <c r="L9" s="13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</row>
    <row r="10" spans="1:45" ht="23.25" customHeight="1" x14ac:dyDescent="0.3">
      <c r="A10" s="4"/>
      <c r="B10" s="127"/>
      <c r="C10" s="4"/>
      <c r="D10" s="4"/>
      <c r="E10" s="4"/>
      <c r="F10" s="4"/>
      <c r="G10" s="4"/>
      <c r="H10" s="4"/>
      <c r="I10" s="4"/>
      <c r="J10" s="4"/>
      <c r="K10" s="13"/>
      <c r="L10" s="13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</row>
    <row r="11" spans="1:45" ht="23.25" customHeight="1" x14ac:dyDescent="0.3">
      <c r="A11" s="4"/>
      <c r="B11" s="127"/>
      <c r="C11" s="4"/>
      <c r="D11" s="4"/>
      <c r="E11" s="4"/>
      <c r="F11" s="4"/>
      <c r="G11" s="4"/>
      <c r="H11" s="4"/>
      <c r="I11" s="4"/>
      <c r="J11" s="4"/>
      <c r="K11" s="13"/>
      <c r="L11" s="13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</row>
    <row r="12" spans="1:45" ht="23.25" customHeight="1" x14ac:dyDescent="0.3">
      <c r="A12" s="4"/>
      <c r="B12" s="127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</row>
    <row r="13" spans="1:45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3"/>
  <sheetViews>
    <sheetView zoomScale="85" zoomScaleNormal="85" workbookViewId="0">
      <selection sqref="A1:AK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(판매)퇴계원-2차 ) _김진섭소장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0</v>
      </c>
      <c r="E2" s="27"/>
      <c r="F2" s="27" t="s">
        <v>87</v>
      </c>
      <c r="G2" s="30">
        <v>0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>
        <f>정보!B5</f>
        <v>0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4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3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1</v>
      </c>
      <c r="W3" s="199"/>
      <c r="X3" s="192" t="s">
        <v>78</v>
      </c>
      <c r="Y3" s="192"/>
      <c r="Z3" s="200">
        <v>0</v>
      </c>
      <c r="AA3" s="200"/>
      <c r="AC3" s="201" t="s">
        <v>305</v>
      </c>
      <c r="AD3" s="201"/>
      <c r="AE3" s="201">
        <f>'와이드(실측)'!Y7</f>
        <v>0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319</v>
      </c>
      <c r="AP3" s="228"/>
      <c r="AQ3" s="231">
        <f>AU7</f>
        <v>-56.309932474020215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(0), JB/JD +(3 ),  늘어난치수K -(4),  C + (0),   U + (0), OP - (3), R - (0),  기둥차감 - (0), A + (0)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45596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F</v>
      </c>
      <c r="C7" s="31">
        <f>'와이드(실측)'!C7+와이드MH더함-IF(AND(소장="추영덕",Y7=0),1.2)</f>
        <v>0</v>
      </c>
      <c r="D7" s="31">
        <f>'와이드(실측)'!D7+와이드MH더함-IF(AND(소장="추영덕",Y7=0),1.2)</f>
        <v>0</v>
      </c>
      <c r="E7" s="135">
        <f>'와이드(실측)'!E7-와이드OP</f>
        <v>-3</v>
      </c>
      <c r="F7" s="31">
        <f>'와이드(실측)'!F7-와이드R</f>
        <v>0</v>
      </c>
      <c r="G7" s="50">
        <f>'와이드(실측)'!G7+와이드JBJD키움치수+IF(BI7=1,AC7,0)</f>
        <v>-1</v>
      </c>
      <c r="H7" s="50">
        <f>'와이드(실측)'!H7+와이드JBJD키움치수+IF(BI7=1,AE7,0)</f>
        <v>-1</v>
      </c>
      <c r="I7" s="50">
        <f>'와이드(실측)'!I7+MAX(AS7,AT7)+와이드JBJD키움치수+IF(BI7=1,AC7,0)</f>
        <v>-1</v>
      </c>
      <c r="J7" s="50">
        <f>'와이드(실측)'!I7+MAX(AS7,AT7)+와이드JBJD키움치수+IF(BI7=1,AD7,0)-IF(와이드JB하부늘치=1,'와이드(실측)'!Y7-'와이드(실측)'!Z7,0)</f>
        <v>-1</v>
      </c>
      <c r="K7" s="50">
        <f>'와이드(실측)'!J7+MAX(AS7,AT7)+와이드JBJD키움치수+IF(BI7=1,AE7,0)</f>
        <v>-1</v>
      </c>
      <c r="L7" s="50">
        <f>'와이드(실측)'!J7+MAX(AS7,AT7)+와이드JBJD키움치수+IF(BI7=1,AF7,0)-IF(와이드JB하부늘치=1,'와이드(실측)'!AA7-'와이드(실측)'!AB7,0)</f>
        <v>-1</v>
      </c>
      <c r="M7" s="31">
        <f t="shared" ref="M7:N7" si="0">IF(소장="손상민",0,O7-1.5)</f>
        <v>-0.30000000000000004</v>
      </c>
      <c r="N7" s="31">
        <f t="shared" si="0"/>
        <v>-0.30000000000000004</v>
      </c>
      <c r="O7" s="31">
        <f>IF(S7&lt;9,'와이드(실측)'!K7+1.2,IF(ISNUMBER('와이드(실측)'!K7),'와이드(실측)'!K7+와이드C값,0))</f>
        <v>1.2</v>
      </c>
      <c r="P7" s="31">
        <f>IF(T7&lt;9,'와이드(실측)'!L7+1.2,IF(ISNUMBER('와이드(실측)'!L7),'와이드(실측)'!L7+와이드C값,0))</f>
        <v>1.2</v>
      </c>
      <c r="Q7" s="32">
        <f>ROUNDUP(AV7,1)</f>
        <v>0.5</v>
      </c>
      <c r="R7" s="38">
        <f>ROUNDUP(AW7,1)</f>
        <v>0.5</v>
      </c>
      <c r="S7" s="31">
        <f>IF(ISNUMBER('와이드(실측)'!O7),'와이드(실측)'!O7+와이드제작!AS7+와이드A늘림,0)</f>
        <v>0</v>
      </c>
      <c r="T7" s="31">
        <f>IF(ISNUMBER('와이드(실측)'!P7),'와이드(실측)'!P7+와이드제작!AT7+와이드A늘림,0)</f>
        <v>0</v>
      </c>
      <c r="U7" s="31">
        <f>'와이드(실측)'!Q7-와이드기둥차감</f>
        <v>0</v>
      </c>
      <c r="V7" s="31">
        <f>'와이드(실측)'!R7-와이드기둥차감</f>
        <v>0</v>
      </c>
      <c r="W7" s="31">
        <f>'와이드(실측)'!S7-와이드기둥차감</f>
        <v>0</v>
      </c>
      <c r="X7" s="31">
        <f>'와이드(실측)'!T7-와이드기둥차감</f>
        <v>0</v>
      </c>
      <c r="Y7" s="31">
        <f>IF(소장="손상민",IF(ISNUMBER('와이드(실측)'!U7),'와이드(실측)'!U7+1.2,0),IF(ISNUMBER('와이드(실측)'!U7),'와이드(실측)'!U7+와이드U,0))</f>
        <v>0</v>
      </c>
      <c r="Z7" s="31">
        <f>IF(소장="손상민",MAX(Q7,R7)+3.2,IF(ISNUMBER('와이드(실측)'!V7),'와이드(실측)'!V7+1.5+와이드제작!Q7+1,0))</f>
        <v>0</v>
      </c>
      <c r="AA7" s="31">
        <f>'와이드(실측)'!W7+뒷날개치수더함</f>
        <v>0</v>
      </c>
      <c r="AB7" s="31">
        <f>'와이드(실측)'!X7+뒷날개치수더함</f>
        <v>0</v>
      </c>
      <c r="AC7" s="31">
        <f>'와이드(실측)'!Y7-와이드늘치</f>
        <v>-4</v>
      </c>
      <c r="AD7" s="31">
        <f>IF(와이드JB하부늘치=1,AC7,'와이드(실측)'!Z7-와이드늘치)</f>
        <v>-4</v>
      </c>
      <c r="AE7" s="31">
        <f>'와이드(실측)'!AA7-와이드늘치</f>
        <v>-4</v>
      </c>
      <c r="AF7" s="31">
        <f>IF(와이드JB하부늘치=1,AE7,'와이드(실측)'!AB7-와이드늘치)</f>
        <v>-4</v>
      </c>
      <c r="AG7" s="31">
        <f xml:space="preserve"> IF(소장&lt;&gt;"손상민",IF('와이드(실측)'!AC7&gt;0,'와이드(실측)'!AC7,C7-1.2),IF('와이드(실측)'!AC7&gt;0,'와이드(실측)'!AC7+1.2,C7) )</f>
        <v>-1.2</v>
      </c>
      <c r="AH7" s="31">
        <f xml:space="preserve"> IF(소장&lt;&gt;"손상민",IF('와이드(실측)'!AD7&gt;0,'와이드(실측)'!AD7,D7-1.2),IF('와이드(실측)'!AD7&gt;0,'와이드(실측)'!AD7+1.2,D7))</f>
        <v>-1.2</v>
      </c>
      <c r="AI7" s="51">
        <f>IF(Z7&gt;0,Z7-MAX(Q7,R7),0)</f>
        <v>0</v>
      </c>
      <c r="AJ7" s="31" t="str">
        <f t="shared" ref="AJ7" si="1">BA7&amp;"*"&amp;BB7</f>
        <v>0*-3.4</v>
      </c>
      <c r="AK7" s="31" t="str">
        <f t="shared" ref="AK7" si="2">BD7&amp;"*"&amp;BC7</f>
        <v>-1.2*-3.4</v>
      </c>
      <c r="AL7" s="31" t="str">
        <f t="shared" ref="AL7" si="3">BF7&amp;"*"&amp;BE7</f>
        <v>-1.2*-3.4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0</v>
      </c>
      <c r="AP7" s="31">
        <f>IF('와이드(실측)'!AH7&gt;5,'와이드(실측)'!AH7+뒷날개치수더함,'와이드(실측)'!AH7)</f>
        <v>0</v>
      </c>
      <c r="AQ7" s="31">
        <f>'와이드(실측)'!AI7</f>
        <v>0</v>
      </c>
      <c r="AR7" s="31">
        <f>'와이드(실측)'!AJ7</f>
        <v>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-56.309932474020215</v>
      </c>
      <c r="AV7" s="21">
        <f>ABS(G7-COS(RADIANS(AU7))*I7)</f>
        <v>0.44529980377477085</v>
      </c>
      <c r="AW7" s="21">
        <f>ABS(H7-COS(RADIANS(AU7))*K7)</f>
        <v>0.44529980377477085</v>
      </c>
      <c r="AX7" s="21">
        <f>'와이드(실측)'!M7+AS7</f>
        <v>0</v>
      </c>
      <c r="AY7" s="21">
        <f>'와이드(실측)'!N7+AS7</f>
        <v>0</v>
      </c>
      <c r="AZ7" s="20">
        <f>AV7-MAX(AX7,AY7)</f>
        <v>0.44529980377477085</v>
      </c>
      <c r="BA7" s="41">
        <f t="shared" ref="BA7:BA13" si="4">IF(소장&lt;&gt;"손상민",F7+IF(Y7+Z7&gt;0,N7+M7,0),F7)</f>
        <v>0</v>
      </c>
      <c r="BB7" s="42">
        <f>MAX(C7,D7)+MAX(G7,H7)+AA7-1.2*$AJ$3+IF(BI7=0,MAX(AE7,AC7),0)+IF(Y7=0,1.2,0)+IF(Z7=0,1.2,0)+IF(소장&lt;&gt;"손상민", Y7+Z7,IF('와이드(실측)'!U7=0,0,2.4))</f>
        <v>-3.3999999999999995</v>
      </c>
      <c r="BC7" s="41">
        <f>S7+O7+MAX(I7,J7)+AB7-1.2*$AL$3+IF(BI7=0,MAX(AD7,AC7),0)+IF(S7=0,1.2,0)-IF(AR7=90,2.4,0)</f>
        <v>-3.3999999999999995</v>
      </c>
      <c r="BD7" s="41">
        <f>MAX(U7,V7)+AG7</f>
        <v>-1.2</v>
      </c>
      <c r="BE7" s="41">
        <f>T7+P7+MAX(K7,L7)+AB7-1.2*$AL$3+IF(BI7=0,MAX(AE7,AF7),0)+IF(T7=0,1.2,0)-IF(AR7=90,2.4,0)</f>
        <v>-3.3999999999999995</v>
      </c>
      <c r="BF7" s="41">
        <f>MAX(W7,X7)+AH7</f>
        <v>-1.2</v>
      </c>
      <c r="BG7" s="6">
        <f t="shared" ref="BG7" si="5">I7-G7-Q7</f>
        <v>-0.5</v>
      </c>
      <c r="BH7" s="43" t="str">
        <f>IF(AND(C7&lt;&gt;D7,Y7&gt;0),"NG","")</f>
        <v/>
      </c>
      <c r="BI7" s="77">
        <f>IF(AND(MIN(AC7,AE7)&gt;=9.2,ABS(F7-E7)&gt;15),0,1)</f>
        <v>1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F</v>
      </c>
      <c r="C8" s="31">
        <f>'와이드(실측)'!C8+와이드MH더함-IF(AND(소장="추영덕",Y8=0),1.2)</f>
        <v>0</v>
      </c>
      <c r="D8" s="31">
        <f>'와이드(실측)'!D8+와이드MH더함-IF(AND(소장="추영덕",Y8=0),1.2)</f>
        <v>0</v>
      </c>
      <c r="E8" s="135">
        <f>'와이드(실측)'!E8-와이드OP</f>
        <v>-3</v>
      </c>
      <c r="F8" s="31">
        <f>'와이드(실측)'!F8-와이드R</f>
        <v>0</v>
      </c>
      <c r="G8" s="50">
        <f>'와이드(실측)'!G8+와이드JBJD키움치수+IF(BI8=1,AC8,0)</f>
        <v>-1</v>
      </c>
      <c r="H8" s="50">
        <f>'와이드(실측)'!H8+와이드JBJD키움치수+IF(BI8=1,AE8,0)</f>
        <v>-1</v>
      </c>
      <c r="I8" s="50">
        <f>'와이드(실측)'!I8+MAX(AS8,AT8)+와이드JBJD키움치수+IF(BI8=1,AC8,0)</f>
        <v>-1</v>
      </c>
      <c r="J8" s="50">
        <f>'와이드(실측)'!I8+MAX(AS8,AT8)+와이드JBJD키움치수+IF(BI8=1,AD8,0)-IF(와이드JB하부늘치=1,'와이드(실측)'!Y8-'와이드(실측)'!Z8,0)</f>
        <v>-1</v>
      </c>
      <c r="K8" s="50">
        <f>'와이드(실측)'!J8+MAX(AS8,AT8)+와이드JBJD키움치수+IF(BI8=1,AE8,0)</f>
        <v>-1</v>
      </c>
      <c r="L8" s="50">
        <f>'와이드(실측)'!J8+MAX(AS8,AT8)+와이드JBJD키움치수+IF(BI8=1,AF8,0)-IF(와이드JB하부늘치=1,'와이드(실측)'!AA8-'와이드(실측)'!AB8,0)</f>
        <v>-1</v>
      </c>
      <c r="M8" s="31">
        <f t="shared" ref="M8:M13" si="6">IF(소장="손상민",0,O8-1.5)</f>
        <v>-0.30000000000000004</v>
      </c>
      <c r="N8" s="31">
        <f t="shared" ref="N8:N13" si="7">IF(소장="손상민",0,P8-1.5)</f>
        <v>-0.30000000000000004</v>
      </c>
      <c r="O8" s="31">
        <f>IF(S8&lt;9,'와이드(실측)'!K8+1.2,IF(ISNUMBER('와이드(실측)'!K8),'와이드(실측)'!K8+와이드C값,0))</f>
        <v>1.2</v>
      </c>
      <c r="P8" s="31">
        <f>IF(T8&lt;9,'와이드(실측)'!L8+1.2,IF(ISNUMBER('와이드(실측)'!L8),'와이드(실측)'!L8+와이드C값,0))</f>
        <v>1.2</v>
      </c>
      <c r="Q8" s="32">
        <f t="shared" ref="Q8:Q13" si="8">ROUNDUP(AV8,1)</f>
        <v>0.5</v>
      </c>
      <c r="R8" s="38">
        <f t="shared" ref="R8:R13" si="9">ROUNDUP(AW8,1)</f>
        <v>0.5</v>
      </c>
      <c r="S8" s="31">
        <f>IF(ISNUMBER('와이드(실측)'!O8),'와이드(실측)'!O8+와이드제작!AS8+와이드A늘림,0)</f>
        <v>0</v>
      </c>
      <c r="T8" s="31">
        <f>IF(ISNUMBER('와이드(실측)'!P8),'와이드(실측)'!P8+와이드제작!AT8+와이드A늘림,0)</f>
        <v>0</v>
      </c>
      <c r="U8" s="31">
        <f>'와이드(실측)'!Q8-와이드기둥차감</f>
        <v>0</v>
      </c>
      <c r="V8" s="31">
        <f>'와이드(실측)'!R8-와이드기둥차감</f>
        <v>0</v>
      </c>
      <c r="W8" s="31">
        <f>'와이드(실측)'!S8-와이드기둥차감</f>
        <v>0</v>
      </c>
      <c r="X8" s="31">
        <f>'와이드(실측)'!T8-와이드기둥차감</f>
        <v>0</v>
      </c>
      <c r="Y8" s="31">
        <f>IF(소장="손상민",IF(ISNUMBER('와이드(실측)'!U8),'와이드(실측)'!U8+1.2,0),IF(ISNUMBER('와이드(실측)'!U8),'와이드(실측)'!U8+와이드U,0))</f>
        <v>0</v>
      </c>
      <c r="Z8" s="31">
        <f>IF(소장="손상민",MAX(Q8,R8)+3.2,IF(ISNUMBER('와이드(실측)'!V8),'와이드(실측)'!V8+1.5+와이드제작!Q8+1,0))</f>
        <v>0</v>
      </c>
      <c r="AA8" s="31">
        <f>'와이드(실측)'!W8+뒷날개치수더함</f>
        <v>0</v>
      </c>
      <c r="AB8" s="31">
        <f>'와이드(실측)'!X8+뒷날개치수더함</f>
        <v>0</v>
      </c>
      <c r="AC8" s="31">
        <f>'와이드(실측)'!Y8-와이드늘치</f>
        <v>-4</v>
      </c>
      <c r="AD8" s="31">
        <f>IF(와이드JB하부늘치=1,AC8,'와이드(실측)'!Z8-와이드늘치)</f>
        <v>-4</v>
      </c>
      <c r="AE8" s="31">
        <f>'와이드(실측)'!AA8-와이드늘치</f>
        <v>-4</v>
      </c>
      <c r="AF8" s="31">
        <f>IF(와이드JB하부늘치=1,AE8,'와이드(실측)'!AB8-와이드늘치)</f>
        <v>-4</v>
      </c>
      <c r="AG8" s="31">
        <f xml:space="preserve"> IF(소장&lt;&gt;"손상민",IF('와이드(실측)'!AC8&gt;0,'와이드(실측)'!AC8,C8-1.2),IF('와이드(실측)'!AC8&gt;0,'와이드(실측)'!AC8+1.2,C8) )</f>
        <v>-1.2</v>
      </c>
      <c r="AH8" s="31">
        <f xml:space="preserve"> IF(소장&lt;&gt;"손상민",IF('와이드(실측)'!AD8&gt;0,'와이드(실측)'!AD8,D8-1.2),IF('와이드(실측)'!AD8&gt;0,'와이드(실측)'!AD8+1.2,D8))</f>
        <v>-1.2</v>
      </c>
      <c r="AI8" s="51">
        <f t="shared" ref="AI8:AI13" si="10">IF(Z8&gt;0,Z8-MAX(Q8,R8),0)</f>
        <v>0</v>
      </c>
      <c r="AJ8" s="31" t="str">
        <f t="shared" ref="AJ8:AJ13" si="11">BA8&amp;"*"&amp;BB8</f>
        <v>0*-3.4</v>
      </c>
      <c r="AK8" s="31" t="str">
        <f t="shared" ref="AK8:AK13" si="12">BD8&amp;"*"&amp;BC8</f>
        <v>-1.2*-3.4</v>
      </c>
      <c r="AL8" s="31" t="str">
        <f t="shared" ref="AL8:AL13" si="13">BF8&amp;"*"&amp;BE8</f>
        <v>-1.2*-3.4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0</v>
      </c>
      <c r="AP8" s="31">
        <f>IF('와이드(실측)'!AH8&gt;5,'와이드(실측)'!AH8+뒷날개치수더함,'와이드(실측)'!AH8)</f>
        <v>0</v>
      </c>
      <c r="AQ8" s="31">
        <f>'와이드(실측)'!AI8</f>
        <v>0</v>
      </c>
      <c r="AR8" s="31">
        <f>'와이드(실측)'!AJ8</f>
        <v>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0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0</v>
      </c>
      <c r="AU8" s="20">
        <f t="shared" ref="AU8:AU13" si="14">DEGREES(ATAN((F8-E8)/2/(H8)))</f>
        <v>-56.309932474020215</v>
      </c>
      <c r="AV8" s="21">
        <f t="shared" ref="AV8:AV13" si="15">ABS(G8-COS(RADIANS(AU8))*I8)</f>
        <v>0.44529980377477085</v>
      </c>
      <c r="AW8" s="21">
        <f t="shared" ref="AW8:AW13" si="16">ABS(H8-COS(RADIANS(AU8))*K8)</f>
        <v>0.44529980377477085</v>
      </c>
      <c r="AX8" s="21">
        <f>'와이드(실측)'!M8+AS8</f>
        <v>0</v>
      </c>
      <c r="AY8" s="21">
        <f>'와이드(실측)'!N8+AS8</f>
        <v>0</v>
      </c>
      <c r="AZ8" s="20">
        <f t="shared" ref="AZ8:AZ13" si="17">AV8-MAX(AX8,AY8)</f>
        <v>0.44529980377477085</v>
      </c>
      <c r="BA8" s="41">
        <f t="shared" si="4"/>
        <v>0</v>
      </c>
      <c r="BB8" s="42">
        <f>MAX(C8,D8)+MAX(G8,H8)+AA8-1.2*$AJ$3+IF(BI8=0,MAX(AE8,AC8),0)+IF(Y8=0,1.2,0)+IF(Z8=0,1.2,0)+IF(소장&lt;&gt;"손상민", Y8+Z8,IF('와이드(실측)'!U8=0,0,2.4))</f>
        <v>-3.3999999999999995</v>
      </c>
      <c r="BC8" s="41">
        <f t="shared" ref="BC8:BC13" si="18">S8+O8+MAX(I8,J8)+AB8-1.2*$AL$3+IF(BI8=0,MAX(AD8,AC8),0)+IF(S8=0,1.2,0)-IF(AR8=90,2.4,0)</f>
        <v>-3.3999999999999995</v>
      </c>
      <c r="BD8" s="41">
        <f t="shared" ref="BD8:BD13" si="19">MAX(U8,V8)+AG8</f>
        <v>-1.2</v>
      </c>
      <c r="BE8" s="41">
        <f t="shared" ref="BE8:BE13" si="20">T8+P8+MAX(K8,L8)+AB8-1.2*$AL$3+IF(BI8=0,MAX(AE8,AF8),0)+IF(T8=0,1.2,0)-IF(AR8=90,2.4,0)</f>
        <v>-3.3999999999999995</v>
      </c>
      <c r="BF8" s="41">
        <f t="shared" ref="BF8:BF13" si="21">MAX(W8,X8)+AH8</f>
        <v>-1.2</v>
      </c>
      <c r="BG8" s="6">
        <f t="shared" ref="BG8:BG13" si="22">I8-G8-Q8</f>
        <v>-0.5</v>
      </c>
      <c r="BH8" s="43" t="str">
        <f t="shared" ref="BH8:BH13" si="23">IF(AND(C8&lt;&gt;D8,Y8&gt;0),"NG","")</f>
        <v/>
      </c>
      <c r="BI8" s="77">
        <f t="shared" ref="BI8:BI13" si="24">IF(AND(MIN(AC8,AE8)&gt;=9.2,ABS(F8-E8)&gt;15),0,1)</f>
        <v>1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F</v>
      </c>
      <c r="C9" s="31">
        <f>'와이드(실측)'!C9+와이드MH더함-IF(AND(소장="추영덕",Y9=0),1.2)</f>
        <v>0</v>
      </c>
      <c r="D9" s="31">
        <f>'와이드(실측)'!D9+와이드MH더함-IF(AND(소장="추영덕",Y9=0),1.2)</f>
        <v>0</v>
      </c>
      <c r="E9" s="135">
        <f>'와이드(실측)'!E9-와이드OP</f>
        <v>-3</v>
      </c>
      <c r="F9" s="31">
        <f>'와이드(실측)'!F9-와이드R</f>
        <v>0</v>
      </c>
      <c r="G9" s="50">
        <f>'와이드(실측)'!G9+와이드JBJD키움치수+IF(BI9=1,AC9,0)</f>
        <v>-1</v>
      </c>
      <c r="H9" s="50">
        <f>'와이드(실측)'!H9+와이드JBJD키움치수+IF(BI9=1,AE9,0)</f>
        <v>-1</v>
      </c>
      <c r="I9" s="50">
        <f>'와이드(실측)'!I9+MAX(AS9,AT9)+와이드JBJD키움치수+IF(BI9=1,AC9,0)</f>
        <v>-1</v>
      </c>
      <c r="J9" s="50">
        <f>'와이드(실측)'!I9+MAX(AS9,AT9)+와이드JBJD키움치수+IF(BI9=1,AD9,0)-IF(와이드JB하부늘치=1,'와이드(실측)'!Y9-'와이드(실측)'!Z9,0)</f>
        <v>-1</v>
      </c>
      <c r="K9" s="50">
        <f>'와이드(실측)'!J9+MAX(AS9,AT9)+와이드JBJD키움치수+IF(BI9=1,AE9,0)</f>
        <v>-1</v>
      </c>
      <c r="L9" s="50">
        <f>'와이드(실측)'!J9+MAX(AS9,AT9)+와이드JBJD키움치수+IF(BI9=1,AF9,0)-IF(와이드JB하부늘치=1,'와이드(실측)'!AA9-'와이드(실측)'!AB9,0)</f>
        <v>-1</v>
      </c>
      <c r="M9" s="31">
        <f t="shared" si="6"/>
        <v>-0.30000000000000004</v>
      </c>
      <c r="N9" s="31">
        <f t="shared" si="7"/>
        <v>-0.30000000000000004</v>
      </c>
      <c r="O9" s="31">
        <f>IF(S9&lt;9,'와이드(실측)'!K9+1.2,IF(ISNUMBER('와이드(실측)'!K9),'와이드(실측)'!K9+와이드C값,0))</f>
        <v>1.2</v>
      </c>
      <c r="P9" s="31">
        <f>IF(T9&lt;9,'와이드(실측)'!L9+1.2,IF(ISNUMBER('와이드(실측)'!L9),'와이드(실측)'!L9+와이드C값,0))</f>
        <v>1.2</v>
      </c>
      <c r="Q9" s="32">
        <f t="shared" si="8"/>
        <v>0.5</v>
      </c>
      <c r="R9" s="38">
        <f t="shared" si="9"/>
        <v>0.5</v>
      </c>
      <c r="S9" s="31">
        <f>IF(ISNUMBER('와이드(실측)'!O9),'와이드(실측)'!O9+와이드제작!AS9+와이드A늘림,0)</f>
        <v>0</v>
      </c>
      <c r="T9" s="31">
        <f>IF(ISNUMBER('와이드(실측)'!P9),'와이드(실측)'!P9+와이드제작!AT9+와이드A늘림,0)</f>
        <v>0</v>
      </c>
      <c r="U9" s="31">
        <f>'와이드(실측)'!Q9-와이드기둥차감</f>
        <v>0</v>
      </c>
      <c r="V9" s="31">
        <f>'와이드(실측)'!R9-와이드기둥차감</f>
        <v>0</v>
      </c>
      <c r="W9" s="31">
        <f>'와이드(실측)'!S9-와이드기둥차감</f>
        <v>0</v>
      </c>
      <c r="X9" s="31">
        <f>'와이드(실측)'!T9-와이드기둥차감</f>
        <v>0</v>
      </c>
      <c r="Y9" s="31">
        <f>IF(소장="손상민",IF(ISNUMBER('와이드(실측)'!U9),'와이드(실측)'!U9+1.2,0),IF(ISNUMBER('와이드(실측)'!U9),'와이드(실측)'!U9+와이드U,0))</f>
        <v>0</v>
      </c>
      <c r="Z9" s="31">
        <f>IF(소장="손상민",MAX(Q9,R9)+3.2,IF(ISNUMBER('와이드(실측)'!V9),'와이드(실측)'!V9+1.5+와이드제작!Q9+1,0))</f>
        <v>0</v>
      </c>
      <c r="AA9" s="31">
        <f>'와이드(실측)'!W9+뒷날개치수더함</f>
        <v>0</v>
      </c>
      <c r="AB9" s="31">
        <f>'와이드(실측)'!X9+뒷날개치수더함</f>
        <v>0</v>
      </c>
      <c r="AC9" s="31">
        <f>'와이드(실측)'!Y9-와이드늘치</f>
        <v>-4</v>
      </c>
      <c r="AD9" s="31">
        <f>IF(와이드JB하부늘치=1,AC9,'와이드(실측)'!Z9-와이드늘치)</f>
        <v>-4</v>
      </c>
      <c r="AE9" s="31">
        <f>'와이드(실측)'!AA9-와이드늘치</f>
        <v>-4</v>
      </c>
      <c r="AF9" s="31">
        <f>IF(와이드JB하부늘치=1,AE9,'와이드(실측)'!AB9-와이드늘치)</f>
        <v>-4</v>
      </c>
      <c r="AG9" s="31">
        <f xml:space="preserve"> IF(소장&lt;&gt;"손상민",IF('와이드(실측)'!AC9&gt;0,'와이드(실측)'!AC9,C9-1.2),IF('와이드(실측)'!AC9&gt;0,'와이드(실측)'!AC9+1.2,C9) )</f>
        <v>-1.2</v>
      </c>
      <c r="AH9" s="31">
        <f xml:space="preserve"> IF(소장&lt;&gt;"손상민",IF('와이드(실측)'!AD9&gt;0,'와이드(실측)'!AD9,D9-1.2),IF('와이드(실측)'!AD9&gt;0,'와이드(실측)'!AD9+1.2,D9))</f>
        <v>-1.2</v>
      </c>
      <c r="AI9" s="51">
        <f t="shared" si="10"/>
        <v>0</v>
      </c>
      <c r="AJ9" s="31" t="str">
        <f t="shared" si="11"/>
        <v>0*-3.4</v>
      </c>
      <c r="AK9" s="31" t="str">
        <f t="shared" si="12"/>
        <v>-1.2*-3.4</v>
      </c>
      <c r="AL9" s="31" t="str">
        <f t="shared" si="13"/>
        <v>-1.2*-3.4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0</v>
      </c>
      <c r="AP9" s="31">
        <f>IF('와이드(실측)'!AH9&gt;5,'와이드(실측)'!AH9+뒷날개치수더함,'와이드(실측)'!AH9)</f>
        <v>0</v>
      </c>
      <c r="AQ9" s="31">
        <f>'와이드(실측)'!AI9</f>
        <v>0</v>
      </c>
      <c r="AR9" s="31">
        <f>'와이드(실측)'!AJ9</f>
        <v>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0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0</v>
      </c>
      <c r="AU9" s="20">
        <f t="shared" si="14"/>
        <v>-56.309932474020215</v>
      </c>
      <c r="AV9" s="21">
        <f t="shared" si="15"/>
        <v>0.44529980377477085</v>
      </c>
      <c r="AW9" s="21">
        <f t="shared" si="16"/>
        <v>0.44529980377477085</v>
      </c>
      <c r="AX9" s="21">
        <f>'와이드(실측)'!M9+AS9</f>
        <v>0</v>
      </c>
      <c r="AY9" s="21">
        <f>'와이드(실측)'!N9+AS9</f>
        <v>0</v>
      </c>
      <c r="AZ9" s="20">
        <f t="shared" si="17"/>
        <v>0.44529980377477085</v>
      </c>
      <c r="BA9" s="41">
        <f t="shared" si="4"/>
        <v>0</v>
      </c>
      <c r="BB9" s="42">
        <f>MAX(C9,D9)+MAX(G9,H9)+AA9-1.2*$AJ$3+IF(BI9=0,MAX(AE9,AC9),0)+IF(Y9=0,1.2,0)+IF(Z9=0,1.2,0)+IF(소장&lt;&gt;"손상민", Y9+Z9,IF('와이드(실측)'!U9=0,0,2.4))</f>
        <v>-3.3999999999999995</v>
      </c>
      <c r="BC9" s="41">
        <f t="shared" si="18"/>
        <v>-3.3999999999999995</v>
      </c>
      <c r="BD9" s="41">
        <f t="shared" si="19"/>
        <v>-1.2</v>
      </c>
      <c r="BE9" s="41">
        <f t="shared" si="20"/>
        <v>-3.3999999999999995</v>
      </c>
      <c r="BF9" s="41">
        <f t="shared" si="21"/>
        <v>-1.2</v>
      </c>
      <c r="BG9" s="6">
        <f t="shared" si="22"/>
        <v>-0.5</v>
      </c>
      <c r="BH9" s="43" t="str">
        <f t="shared" si="23"/>
        <v/>
      </c>
      <c r="BI9" s="77">
        <f t="shared" si="24"/>
        <v>1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F</v>
      </c>
      <c r="C10" s="31">
        <f>'와이드(실측)'!C10+와이드MH더함-IF(AND(소장="추영덕",Y10=0),1.2)</f>
        <v>0</v>
      </c>
      <c r="D10" s="31">
        <f>'와이드(실측)'!D10+와이드MH더함-IF(AND(소장="추영덕",Y10=0),1.2)</f>
        <v>0</v>
      </c>
      <c r="E10" s="135">
        <f>'와이드(실측)'!E10-와이드OP</f>
        <v>-3</v>
      </c>
      <c r="F10" s="31">
        <f>'와이드(실측)'!F10-와이드R</f>
        <v>0</v>
      </c>
      <c r="G10" s="50">
        <f>'와이드(실측)'!G10+와이드JBJD키움치수+IF(BI10=1,AC10,0)</f>
        <v>-1</v>
      </c>
      <c r="H10" s="50">
        <f>'와이드(실측)'!H10+와이드JBJD키움치수+IF(BI10=1,AE10,0)</f>
        <v>-1</v>
      </c>
      <c r="I10" s="50">
        <f>'와이드(실측)'!I10+MAX(AS10,AT10)+와이드JBJD키움치수+IF(BI10=1,AC10,0)</f>
        <v>-1</v>
      </c>
      <c r="J10" s="50">
        <f>'와이드(실측)'!I10+MAX(AS10,AT10)+와이드JBJD키움치수+IF(BI10=1,AD10,0)-IF(와이드JB하부늘치=1,'와이드(실측)'!Y10-'와이드(실측)'!Z10,0)</f>
        <v>-1</v>
      </c>
      <c r="K10" s="50">
        <f>'와이드(실측)'!J10+MAX(AS10,AT10)+와이드JBJD키움치수+IF(BI10=1,AE10,0)</f>
        <v>-1</v>
      </c>
      <c r="L10" s="50">
        <f>'와이드(실측)'!J10+MAX(AS10,AT10)+와이드JBJD키움치수+IF(BI10=1,AF10,0)-IF(와이드JB하부늘치=1,'와이드(실측)'!AA10-'와이드(실측)'!AB10,0)</f>
        <v>-1</v>
      </c>
      <c r="M10" s="31">
        <f t="shared" si="6"/>
        <v>-0.30000000000000004</v>
      </c>
      <c r="N10" s="31">
        <f t="shared" si="7"/>
        <v>-0.30000000000000004</v>
      </c>
      <c r="O10" s="31">
        <f>IF(S10&lt;9,'와이드(실측)'!K10+1.2,IF(ISNUMBER('와이드(실측)'!K10),'와이드(실측)'!K10+와이드C값,0))</f>
        <v>1.2</v>
      </c>
      <c r="P10" s="31">
        <f>IF(T10&lt;9,'와이드(실측)'!L10+1.2,IF(ISNUMBER('와이드(실측)'!L10),'와이드(실측)'!L10+와이드C값,0))</f>
        <v>1.2</v>
      </c>
      <c r="Q10" s="32">
        <f t="shared" si="8"/>
        <v>0.5</v>
      </c>
      <c r="R10" s="38">
        <f t="shared" si="9"/>
        <v>0.5</v>
      </c>
      <c r="S10" s="31">
        <f>IF(ISNUMBER('와이드(실측)'!O10),'와이드(실측)'!O10+와이드제작!AS10+와이드A늘림,0)</f>
        <v>0</v>
      </c>
      <c r="T10" s="31">
        <f>IF(ISNUMBER('와이드(실측)'!P10),'와이드(실측)'!P10+와이드제작!AT10+와이드A늘림,0)</f>
        <v>0</v>
      </c>
      <c r="U10" s="31">
        <f>'와이드(실측)'!Q10-와이드기둥차감</f>
        <v>0</v>
      </c>
      <c r="V10" s="31">
        <f>'와이드(실측)'!R10-와이드기둥차감</f>
        <v>0</v>
      </c>
      <c r="W10" s="31">
        <f>'와이드(실측)'!S10-와이드기둥차감</f>
        <v>0</v>
      </c>
      <c r="X10" s="31">
        <f>'와이드(실측)'!T10-와이드기둥차감</f>
        <v>0</v>
      </c>
      <c r="Y10" s="31">
        <f>IF(소장="손상민",IF(ISNUMBER('와이드(실측)'!U10),'와이드(실측)'!U10+1.2,0),IF(ISNUMBER('와이드(실측)'!U10),'와이드(실측)'!U10+와이드U,0))</f>
        <v>0</v>
      </c>
      <c r="Z10" s="31">
        <f>IF(소장="손상민",MAX(Q10,R10)+3.2,IF(ISNUMBER('와이드(실측)'!V10),'와이드(실측)'!V10+1.5+와이드제작!Q10+1,0))</f>
        <v>0</v>
      </c>
      <c r="AA10" s="31">
        <f>'와이드(실측)'!W10+뒷날개치수더함</f>
        <v>0</v>
      </c>
      <c r="AB10" s="31">
        <f>'와이드(실측)'!X10+뒷날개치수더함</f>
        <v>0</v>
      </c>
      <c r="AC10" s="31">
        <f>'와이드(실측)'!Y10-와이드늘치</f>
        <v>-4</v>
      </c>
      <c r="AD10" s="31">
        <f>IF(와이드JB하부늘치=1,AC10,'와이드(실측)'!Z10-와이드늘치)</f>
        <v>-4</v>
      </c>
      <c r="AE10" s="31">
        <f>'와이드(실측)'!AA10-와이드늘치</f>
        <v>-4</v>
      </c>
      <c r="AF10" s="31">
        <f>IF(와이드JB하부늘치=1,AE10,'와이드(실측)'!AB10-와이드늘치)</f>
        <v>-4</v>
      </c>
      <c r="AG10" s="31">
        <f xml:space="preserve"> IF(소장&lt;&gt;"손상민",IF('와이드(실측)'!AC10&gt;0,'와이드(실측)'!AC10,C10-1.2),IF('와이드(실측)'!AC10&gt;0,'와이드(실측)'!AC10+1.2,C10) )</f>
        <v>-1.2</v>
      </c>
      <c r="AH10" s="31">
        <f xml:space="preserve"> IF(소장&lt;&gt;"손상민",IF('와이드(실측)'!AD10&gt;0,'와이드(실측)'!AD10,D10-1.2),IF('와이드(실측)'!AD10&gt;0,'와이드(실측)'!AD10+1.2,D10))</f>
        <v>-1.2</v>
      </c>
      <c r="AI10" s="51">
        <f t="shared" si="10"/>
        <v>0</v>
      </c>
      <c r="AJ10" s="31" t="str">
        <f t="shared" si="11"/>
        <v>0*-3.4</v>
      </c>
      <c r="AK10" s="31" t="str">
        <f t="shared" si="12"/>
        <v>-1.2*-3.4</v>
      </c>
      <c r="AL10" s="31" t="str">
        <f t="shared" si="13"/>
        <v>-1.2*-3.4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0</v>
      </c>
      <c r="AP10" s="31">
        <f>IF('와이드(실측)'!AH10&gt;5,'와이드(실측)'!AH10+뒷날개치수더함,'와이드(실측)'!AH10)</f>
        <v>0</v>
      </c>
      <c r="AQ10" s="31">
        <f>'와이드(실측)'!AI10</f>
        <v>0</v>
      </c>
      <c r="AR10" s="31">
        <f>'와이드(실측)'!AJ10</f>
        <v>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0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0</v>
      </c>
      <c r="AU10" s="20">
        <f t="shared" si="14"/>
        <v>-56.309932474020215</v>
      </c>
      <c r="AV10" s="21">
        <f t="shared" si="15"/>
        <v>0.44529980377477085</v>
      </c>
      <c r="AW10" s="21">
        <f t="shared" si="16"/>
        <v>0.44529980377477085</v>
      </c>
      <c r="AX10" s="21">
        <f>'와이드(실측)'!M10+AS10</f>
        <v>0</v>
      </c>
      <c r="AY10" s="21">
        <f>'와이드(실측)'!N10+AS10</f>
        <v>0</v>
      </c>
      <c r="AZ10" s="20">
        <f t="shared" si="17"/>
        <v>0.44529980377477085</v>
      </c>
      <c r="BA10" s="41">
        <f t="shared" si="4"/>
        <v>0</v>
      </c>
      <c r="BB10" s="42">
        <f>MAX(C10,D10)+MAX(G10,H10)+AA10-1.2*$AJ$3+IF(BI10=0,MAX(AE10,AC10),0)+IF(Y10=0,1.2,0)+IF(Z10=0,1.2,0)+IF(소장&lt;&gt;"손상민", Y10+Z10,IF('와이드(실측)'!U10=0,0,2.4))</f>
        <v>-3.3999999999999995</v>
      </c>
      <c r="BC10" s="41">
        <f t="shared" si="18"/>
        <v>-3.3999999999999995</v>
      </c>
      <c r="BD10" s="41">
        <f t="shared" si="19"/>
        <v>-1.2</v>
      </c>
      <c r="BE10" s="41">
        <f t="shared" si="20"/>
        <v>-3.3999999999999995</v>
      </c>
      <c r="BF10" s="41">
        <f t="shared" si="21"/>
        <v>-1.2</v>
      </c>
      <c r="BG10" s="6">
        <f t="shared" si="22"/>
        <v>-0.5</v>
      </c>
      <c r="BH10" s="43" t="str">
        <f t="shared" si="23"/>
        <v/>
      </c>
      <c r="BI10" s="77">
        <f t="shared" si="24"/>
        <v>1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F</v>
      </c>
      <c r="C11" s="31">
        <f>'와이드(실측)'!C11+와이드MH더함-IF(AND(소장="추영덕",Y11=0),1.2)</f>
        <v>0</v>
      </c>
      <c r="D11" s="31">
        <f>'와이드(실측)'!D11+와이드MH더함-IF(AND(소장="추영덕",Y11=0),1.2)</f>
        <v>0</v>
      </c>
      <c r="E11" s="135">
        <f>'와이드(실측)'!E11-와이드OP</f>
        <v>-3</v>
      </c>
      <c r="F11" s="31">
        <f>'와이드(실측)'!F11-와이드R</f>
        <v>0</v>
      </c>
      <c r="G11" s="50">
        <f>'와이드(실측)'!G11+와이드JBJD키움치수+IF(BI11=1,AC11,0)</f>
        <v>-1</v>
      </c>
      <c r="H11" s="50">
        <f>'와이드(실측)'!H11+와이드JBJD키움치수+IF(BI11=1,AE11,0)</f>
        <v>-1</v>
      </c>
      <c r="I11" s="50">
        <f>'와이드(실측)'!I11+MAX(AS11,AT11)+와이드JBJD키움치수+IF(BI11=1,AC11,0)</f>
        <v>-1</v>
      </c>
      <c r="J11" s="50">
        <f>'와이드(실측)'!I11+MAX(AS11,AT11)+와이드JBJD키움치수+IF(BI11=1,AD11,0)-IF(와이드JB하부늘치=1,'와이드(실측)'!Y11-'와이드(실측)'!Z11,0)</f>
        <v>-1</v>
      </c>
      <c r="K11" s="50">
        <f>'와이드(실측)'!J11+MAX(AS11,AT11)+와이드JBJD키움치수+IF(BI11=1,AE11,0)</f>
        <v>-1</v>
      </c>
      <c r="L11" s="50">
        <f>'와이드(실측)'!J11+MAX(AS11,AT11)+와이드JBJD키움치수+IF(BI11=1,AF11,0)-IF(와이드JB하부늘치=1,'와이드(실측)'!AA11-'와이드(실측)'!AB11,0)</f>
        <v>-1</v>
      </c>
      <c r="M11" s="31">
        <f t="shared" si="6"/>
        <v>-0.30000000000000004</v>
      </c>
      <c r="N11" s="31">
        <f t="shared" si="7"/>
        <v>-0.30000000000000004</v>
      </c>
      <c r="O11" s="31">
        <f>IF(S11&lt;9,'와이드(실측)'!K11+1.2,IF(ISNUMBER('와이드(실측)'!K11),'와이드(실측)'!K11+와이드C값,0))</f>
        <v>1.2</v>
      </c>
      <c r="P11" s="31">
        <f>IF(T11&lt;9,'와이드(실측)'!L11+1.2,IF(ISNUMBER('와이드(실측)'!L11),'와이드(실측)'!L11+와이드C값,0))</f>
        <v>1.2</v>
      </c>
      <c r="Q11" s="32">
        <f t="shared" si="8"/>
        <v>0.5</v>
      </c>
      <c r="R11" s="38">
        <f t="shared" si="9"/>
        <v>0.5</v>
      </c>
      <c r="S11" s="31">
        <f>IF(ISNUMBER('와이드(실측)'!O11),'와이드(실측)'!O11+와이드제작!AS11+와이드A늘림,0)</f>
        <v>0</v>
      </c>
      <c r="T11" s="31">
        <f>IF(ISNUMBER('와이드(실측)'!P11),'와이드(실측)'!P11+와이드제작!AT11+와이드A늘림,0)</f>
        <v>0</v>
      </c>
      <c r="U11" s="31">
        <f>'와이드(실측)'!Q11-와이드기둥차감</f>
        <v>0</v>
      </c>
      <c r="V11" s="31">
        <f>'와이드(실측)'!R11-와이드기둥차감</f>
        <v>0</v>
      </c>
      <c r="W11" s="31">
        <f>'와이드(실측)'!S11-와이드기둥차감</f>
        <v>0</v>
      </c>
      <c r="X11" s="31">
        <f>'와이드(실측)'!T11-와이드기둥차감</f>
        <v>0</v>
      </c>
      <c r="Y11" s="31">
        <f>IF(소장="손상민",IF(ISNUMBER('와이드(실측)'!U11),'와이드(실측)'!U11+1.2,0),IF(ISNUMBER('와이드(실측)'!U11),'와이드(실측)'!U11+와이드U,0))</f>
        <v>0</v>
      </c>
      <c r="Z11" s="31">
        <f>IF(소장="손상민",MAX(Q11,R11)+3.2,IF(ISNUMBER('와이드(실측)'!V11),'와이드(실측)'!V11+1.5+와이드제작!Q11+1,0))</f>
        <v>0</v>
      </c>
      <c r="AA11" s="31">
        <f>'와이드(실측)'!W11+뒷날개치수더함</f>
        <v>0</v>
      </c>
      <c r="AB11" s="31">
        <f>'와이드(실측)'!X11+뒷날개치수더함</f>
        <v>0</v>
      </c>
      <c r="AC11" s="31">
        <f>'와이드(실측)'!Y11-와이드늘치</f>
        <v>-4</v>
      </c>
      <c r="AD11" s="31">
        <f>IF(와이드JB하부늘치=1,AC11,'와이드(실측)'!Z11-와이드늘치)</f>
        <v>-4</v>
      </c>
      <c r="AE11" s="31">
        <f>'와이드(실측)'!AA11-와이드늘치</f>
        <v>-4</v>
      </c>
      <c r="AF11" s="31">
        <f>IF(와이드JB하부늘치=1,AE11,'와이드(실측)'!AB11-와이드늘치)</f>
        <v>-4</v>
      </c>
      <c r="AG11" s="31">
        <f xml:space="preserve"> IF(소장&lt;&gt;"손상민",IF('와이드(실측)'!AC11&gt;0,'와이드(실측)'!AC11,C11-1.2),IF('와이드(실측)'!AC11&gt;0,'와이드(실측)'!AC11+1.2,C11) )</f>
        <v>-1.2</v>
      </c>
      <c r="AH11" s="31">
        <f xml:space="preserve"> IF(소장&lt;&gt;"손상민",IF('와이드(실측)'!AD11&gt;0,'와이드(실측)'!AD11,D11-1.2),IF('와이드(실측)'!AD11&gt;0,'와이드(실측)'!AD11+1.2,D11))</f>
        <v>-1.2</v>
      </c>
      <c r="AI11" s="51">
        <f t="shared" si="10"/>
        <v>0</v>
      </c>
      <c r="AJ11" s="31" t="str">
        <f t="shared" si="11"/>
        <v>0*-3.4</v>
      </c>
      <c r="AK11" s="31" t="str">
        <f t="shared" si="12"/>
        <v>-1.2*-3.4</v>
      </c>
      <c r="AL11" s="31" t="str">
        <f t="shared" si="13"/>
        <v>-1.2*-3.4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0</v>
      </c>
      <c r="AP11" s="31">
        <f>IF('와이드(실측)'!AH11&gt;5,'와이드(실측)'!AH11+뒷날개치수더함,'와이드(실측)'!AH11)</f>
        <v>0</v>
      </c>
      <c r="AQ11" s="31">
        <f>'와이드(실측)'!AI11</f>
        <v>0</v>
      </c>
      <c r="AR11" s="31">
        <f>'와이드(실측)'!AJ11</f>
        <v>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0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0</v>
      </c>
      <c r="AU11" s="20">
        <f t="shared" si="14"/>
        <v>-56.309932474020215</v>
      </c>
      <c r="AV11" s="21">
        <f t="shared" si="15"/>
        <v>0.44529980377477085</v>
      </c>
      <c r="AW11" s="21">
        <f t="shared" si="16"/>
        <v>0.44529980377477085</v>
      </c>
      <c r="AX11" s="21">
        <f>'와이드(실측)'!M11+AS11</f>
        <v>0</v>
      </c>
      <c r="AY11" s="21">
        <f>'와이드(실측)'!N11+AS11</f>
        <v>0</v>
      </c>
      <c r="AZ11" s="20">
        <f t="shared" si="17"/>
        <v>0.44529980377477085</v>
      </c>
      <c r="BA11" s="41">
        <f t="shared" si="4"/>
        <v>0</v>
      </c>
      <c r="BB11" s="42">
        <f>MAX(C11,D11)+MAX(G11,H11)+AA11-1.2*$AJ$3+IF(BI11=0,MAX(AE11,AC11),0)+IF(Y11=0,1.2,0)+IF(Z11=0,1.2,0)+IF(소장&lt;&gt;"손상민", Y11+Z11,IF('와이드(실측)'!U11=0,0,2.4))</f>
        <v>-3.3999999999999995</v>
      </c>
      <c r="BC11" s="41">
        <f t="shared" si="18"/>
        <v>-3.3999999999999995</v>
      </c>
      <c r="BD11" s="41">
        <f t="shared" si="19"/>
        <v>-1.2</v>
      </c>
      <c r="BE11" s="41">
        <f t="shared" si="20"/>
        <v>-3.3999999999999995</v>
      </c>
      <c r="BF11" s="41">
        <f t="shared" si="21"/>
        <v>-1.2</v>
      </c>
      <c r="BG11" s="6">
        <f t="shared" si="22"/>
        <v>-0.5</v>
      </c>
      <c r="BH11" s="43" t="str">
        <f t="shared" si="23"/>
        <v/>
      </c>
      <c r="BI11" s="77">
        <f t="shared" si="24"/>
        <v>1</v>
      </c>
    </row>
    <row r="12" spans="1:61" ht="26.25" customHeight="1" x14ac:dyDescent="0.3">
      <c r="A12" s="31">
        <f>'와이드(실측)'!A12</f>
        <v>0</v>
      </c>
      <c r="B12" s="31" t="str">
        <f>'와이드(실측)'!B12&amp;"F"</f>
        <v>F</v>
      </c>
      <c r="C12" s="31">
        <f>'와이드(실측)'!C12+와이드MH더함-IF(AND(소장="추영덕",Y12=0),1.2)</f>
        <v>0</v>
      </c>
      <c r="D12" s="31">
        <f>'와이드(실측)'!D12+와이드MH더함-IF(AND(소장="추영덕",Y12=0),1.2)</f>
        <v>0</v>
      </c>
      <c r="E12" s="135">
        <f>'와이드(실측)'!E12-와이드OP</f>
        <v>-3</v>
      </c>
      <c r="F12" s="31">
        <f>'와이드(실측)'!F12-와이드R</f>
        <v>0</v>
      </c>
      <c r="G12" s="50">
        <f>'와이드(실측)'!G12+와이드JBJD키움치수+IF(BI12=1,AC12,0)</f>
        <v>-1</v>
      </c>
      <c r="H12" s="50">
        <f>'와이드(실측)'!H12+와이드JBJD키움치수+IF(BI12=1,AE12,0)</f>
        <v>-1</v>
      </c>
      <c r="I12" s="50">
        <f>'와이드(실측)'!I12+MAX(AS12,AT12)+와이드JBJD키움치수+IF(BI12=1,AC12,0)</f>
        <v>-1</v>
      </c>
      <c r="J12" s="50">
        <f>'와이드(실측)'!I12+MAX(AS12,AT12)+와이드JBJD키움치수+IF(BI12=1,AD12,0)-IF(와이드JB하부늘치=1,'와이드(실측)'!Y12-'와이드(실측)'!Z12,0)</f>
        <v>-1</v>
      </c>
      <c r="K12" s="50">
        <f>'와이드(실측)'!J12+MAX(AS12,AT12)+와이드JBJD키움치수+IF(BI12=1,AE12,0)</f>
        <v>-1</v>
      </c>
      <c r="L12" s="50">
        <f>'와이드(실측)'!J12+MAX(AS12,AT12)+와이드JBJD키움치수+IF(BI12=1,AF12,0)-IF(와이드JB하부늘치=1,'와이드(실측)'!AA12-'와이드(실측)'!AB12,0)</f>
        <v>-1</v>
      </c>
      <c r="M12" s="31">
        <f t="shared" si="6"/>
        <v>-0.30000000000000004</v>
      </c>
      <c r="N12" s="31">
        <f t="shared" si="7"/>
        <v>-0.30000000000000004</v>
      </c>
      <c r="O12" s="31">
        <f>IF(S12&lt;9,'와이드(실측)'!K12+1.2,IF(ISNUMBER('와이드(실측)'!K12),'와이드(실측)'!K12+와이드C값,0))</f>
        <v>1.2</v>
      </c>
      <c r="P12" s="31">
        <f>IF(T12&lt;9,'와이드(실측)'!L12+1.2,IF(ISNUMBER('와이드(실측)'!L12),'와이드(실측)'!L12+와이드C값,0))</f>
        <v>1.2</v>
      </c>
      <c r="Q12" s="32">
        <f t="shared" si="8"/>
        <v>0.5</v>
      </c>
      <c r="R12" s="38">
        <f t="shared" si="9"/>
        <v>0.5</v>
      </c>
      <c r="S12" s="31">
        <f>IF(ISNUMBER('와이드(실측)'!O12),'와이드(실측)'!O12+와이드제작!AS12+와이드A늘림,0)</f>
        <v>0</v>
      </c>
      <c r="T12" s="31">
        <f>IF(ISNUMBER('와이드(실측)'!P12),'와이드(실측)'!P12+와이드제작!AT12+와이드A늘림,0)</f>
        <v>0</v>
      </c>
      <c r="U12" s="31">
        <f>'와이드(실측)'!Q12-와이드기둥차감</f>
        <v>0</v>
      </c>
      <c r="V12" s="31">
        <f>'와이드(실측)'!R12-와이드기둥차감</f>
        <v>0</v>
      </c>
      <c r="W12" s="31">
        <f>'와이드(실측)'!S12-와이드기둥차감</f>
        <v>0</v>
      </c>
      <c r="X12" s="31">
        <f>'와이드(실측)'!T12-와이드기둥차감</f>
        <v>0</v>
      </c>
      <c r="Y12" s="31">
        <f>IF(소장="손상민",IF(ISNUMBER('와이드(실측)'!U12),'와이드(실측)'!U12+1.2,0),IF(ISNUMBER('와이드(실측)'!U12),'와이드(실측)'!U12+와이드U,0))</f>
        <v>0</v>
      </c>
      <c r="Z12" s="31">
        <f>IF(소장="손상민",MAX(Q12,R12)+3.2,IF(ISNUMBER('와이드(실측)'!V12),'와이드(실측)'!V12+1.5+와이드제작!Q12+1,0))</f>
        <v>0</v>
      </c>
      <c r="AA12" s="31">
        <f>'와이드(실측)'!W12+뒷날개치수더함</f>
        <v>0</v>
      </c>
      <c r="AB12" s="31">
        <f>'와이드(실측)'!X12+뒷날개치수더함</f>
        <v>0</v>
      </c>
      <c r="AC12" s="31">
        <f>'와이드(실측)'!Y12-와이드늘치</f>
        <v>-4</v>
      </c>
      <c r="AD12" s="31">
        <f>IF(와이드JB하부늘치=1,AC12,'와이드(실측)'!Z12-와이드늘치)</f>
        <v>-4</v>
      </c>
      <c r="AE12" s="31">
        <f>'와이드(실측)'!AA12-와이드늘치</f>
        <v>-4</v>
      </c>
      <c r="AF12" s="31">
        <f>IF(와이드JB하부늘치=1,AE12,'와이드(실측)'!AB12-와이드늘치)</f>
        <v>-4</v>
      </c>
      <c r="AG12" s="31">
        <f xml:space="preserve"> IF(소장&lt;&gt;"손상민",IF('와이드(실측)'!AC12&gt;0,'와이드(실측)'!AC12,C12-1.2),IF('와이드(실측)'!AC12&gt;0,'와이드(실측)'!AC12+1.2,C12) )</f>
        <v>-1.2</v>
      </c>
      <c r="AH12" s="31">
        <f xml:space="preserve"> IF(소장&lt;&gt;"손상민",IF('와이드(실측)'!AD12&gt;0,'와이드(실측)'!AD12,D12-1.2),IF('와이드(실측)'!AD12&gt;0,'와이드(실측)'!AD12+1.2,D12))</f>
        <v>-1.2</v>
      </c>
      <c r="AI12" s="51">
        <f t="shared" si="10"/>
        <v>0</v>
      </c>
      <c r="AJ12" s="31" t="str">
        <f t="shared" si="11"/>
        <v>0*-3.4</v>
      </c>
      <c r="AK12" s="31" t="str">
        <f t="shared" si="12"/>
        <v>-1.2*-3.4</v>
      </c>
      <c r="AL12" s="31" t="str">
        <f t="shared" si="13"/>
        <v>-1.2*-3.4</v>
      </c>
      <c r="AM12" s="31">
        <f>IF('와이드(실측)'!AE12&gt;0,'와이드(실측)'!AE12-'와이드(실측)'!W12+1.2,0)</f>
        <v>0</v>
      </c>
      <c r="AN12" s="31">
        <f>IF('와이드(실측)'!AF12&gt;0,'와이드(실측)'!AF12-'와이드(실측)'!W12+1.2,0)</f>
        <v>0</v>
      </c>
      <c r="AO12" s="31">
        <f>'와이드(실측)'!AG12</f>
        <v>0</v>
      </c>
      <c r="AP12" s="31">
        <f>IF('와이드(실측)'!AH12&gt;5,'와이드(실측)'!AH12+뒷날개치수더함,'와이드(실측)'!AH12)</f>
        <v>0</v>
      </c>
      <c r="AQ12" s="31">
        <f>'와이드(실측)'!AI12</f>
        <v>0</v>
      </c>
      <c r="AR12" s="31">
        <f>'와이드(실측)'!AJ12</f>
        <v>0</v>
      </c>
      <c r="AS12">
        <f>IF(AND(ISNUMBER('와이드(실측)'!P12),ISNUMBER('와이드(실측)'!O12)),IF(ISNUMBER('와이드(실측)'!O12),IF(9-MIN('와이드(실측)'!O12+와이드A늘림,'와이드(실측)'!P12+와이드A늘림)&lt;0,0,9-MIN('와이드(실측)'!O12+와이드A늘림,'와이드(실측)'!P12+와이드A늘림)),0),IF(ISNUMBER('와이드(실측)'!O12),IF(9-'와이드(실측)'!O12-와이드A늘림&lt;0,0,9-'와이드(실측)'!O12-와이드A늘림),0))</f>
        <v>0</v>
      </c>
      <c r="AT12">
        <f>IF(AND(ISNUMBER('와이드(실측)'!O12),ISNUMBER('와이드(실측)'!P12)),IF(ISNUMBER('와이드(실측)'!P12),IF(9-MIN('와이드(실측)'!P12+와이드A늘림,'와이드(실측)'!O12+와이드A늘림)&lt;0,0,9-MIN('와이드(실측)'!P12+와이드A늘림,'와이드(실측)'!O12+와이드A늘림)),0),IF(ISNUMBER('와이드(실측)'!P12),IF(9-'와이드(실측)'!P12-와이드A늘림&lt;0,0,9-'와이드(실측)'!P12-와이드A늘림),0))</f>
        <v>0</v>
      </c>
      <c r="AU12" s="20">
        <f t="shared" si="14"/>
        <v>-56.309932474020215</v>
      </c>
      <c r="AV12" s="21">
        <f t="shared" si="15"/>
        <v>0.44529980377477085</v>
      </c>
      <c r="AW12" s="21">
        <f t="shared" si="16"/>
        <v>0.44529980377477085</v>
      </c>
      <c r="AX12" s="21">
        <f>'와이드(실측)'!M12+AS12</f>
        <v>0</v>
      </c>
      <c r="AY12" s="21">
        <f>'와이드(실측)'!N12+AS12</f>
        <v>0</v>
      </c>
      <c r="AZ12" s="20">
        <f t="shared" si="17"/>
        <v>0.44529980377477085</v>
      </c>
      <c r="BA12" s="41">
        <f t="shared" si="4"/>
        <v>0</v>
      </c>
      <c r="BB12" s="42">
        <f>MAX(C12,D12)+MAX(G12,H12)+AA12-1.2*$AJ$3+IF(BI12=0,MAX(AE12,AC12),0)+IF(Y12=0,1.2,0)+IF(Z12=0,1.2,0)+IF(소장&lt;&gt;"손상민", Y12+Z12,IF('와이드(실측)'!U12=0,0,2.4))</f>
        <v>-3.3999999999999995</v>
      </c>
      <c r="BC12" s="41">
        <f t="shared" si="18"/>
        <v>-3.3999999999999995</v>
      </c>
      <c r="BD12" s="41">
        <f t="shared" si="19"/>
        <v>-1.2</v>
      </c>
      <c r="BE12" s="41">
        <f t="shared" si="20"/>
        <v>-3.3999999999999995</v>
      </c>
      <c r="BF12" s="41">
        <f t="shared" si="21"/>
        <v>-1.2</v>
      </c>
      <c r="BG12" s="6">
        <f t="shared" si="22"/>
        <v>-0.5</v>
      </c>
      <c r="BH12" s="43" t="str">
        <f t="shared" si="23"/>
        <v/>
      </c>
      <c r="BI12" s="77">
        <f t="shared" si="24"/>
        <v>1</v>
      </c>
    </row>
    <row r="13" spans="1:61" ht="26.25" customHeight="1" x14ac:dyDescent="0.3">
      <c r="A13" s="31">
        <f>'와이드(실측)'!A13</f>
        <v>0</v>
      </c>
      <c r="B13" s="31" t="str">
        <f>'와이드(실측)'!B13&amp;"F"</f>
        <v>F</v>
      </c>
      <c r="C13" s="31">
        <f>'와이드(실측)'!C13+와이드MH더함-IF(AND(소장="추영덕",Y13=0),1.2)</f>
        <v>0</v>
      </c>
      <c r="D13" s="31">
        <f>'와이드(실측)'!D13+와이드MH더함-IF(AND(소장="추영덕",Y13=0),1.2)</f>
        <v>0</v>
      </c>
      <c r="E13" s="135">
        <f>'와이드(실측)'!E13-와이드OP</f>
        <v>-3</v>
      </c>
      <c r="F13" s="31">
        <f>'와이드(실측)'!F13-와이드R</f>
        <v>0</v>
      </c>
      <c r="G13" s="50">
        <f>'와이드(실측)'!G13+와이드JBJD키움치수+IF(BI13=1,AC13,0)</f>
        <v>-1</v>
      </c>
      <c r="H13" s="50">
        <f>'와이드(실측)'!H13+와이드JBJD키움치수+IF(BI13=1,AE13,0)</f>
        <v>-1</v>
      </c>
      <c r="I13" s="50">
        <f>'와이드(실측)'!I13+MAX(AS13,AT13)+와이드JBJD키움치수+IF(BI13=1,AC13,0)</f>
        <v>-1</v>
      </c>
      <c r="J13" s="50">
        <f>'와이드(실측)'!I13+MAX(AS13,AT13)+와이드JBJD키움치수+IF(BI13=1,AD13,0)-IF(와이드JB하부늘치=1,'와이드(실측)'!Y13-'와이드(실측)'!Z13,0)</f>
        <v>-1</v>
      </c>
      <c r="K13" s="50">
        <f>'와이드(실측)'!J13+MAX(AS13,AT13)+와이드JBJD키움치수+IF(BI13=1,AE13,0)</f>
        <v>-1</v>
      </c>
      <c r="L13" s="50">
        <f>'와이드(실측)'!J13+MAX(AS13,AT13)+와이드JBJD키움치수+IF(BI13=1,AF13,0)-IF(와이드JB하부늘치=1,'와이드(실측)'!AA13-'와이드(실측)'!AB13,0)</f>
        <v>-1</v>
      </c>
      <c r="M13" s="31">
        <f t="shared" si="6"/>
        <v>-0.30000000000000004</v>
      </c>
      <c r="N13" s="31">
        <f t="shared" si="7"/>
        <v>-0.30000000000000004</v>
      </c>
      <c r="O13" s="31">
        <f>IF(S13&lt;9,'와이드(실측)'!K13+1.2,IF(ISNUMBER('와이드(실측)'!K13),'와이드(실측)'!K13+와이드C값,0))</f>
        <v>1.2</v>
      </c>
      <c r="P13" s="31">
        <f>IF(T13&lt;9,'와이드(실측)'!L13+1.2,IF(ISNUMBER('와이드(실측)'!L13),'와이드(실측)'!L13+와이드C값,0))</f>
        <v>1.2</v>
      </c>
      <c r="Q13" s="32">
        <f t="shared" si="8"/>
        <v>0.5</v>
      </c>
      <c r="R13" s="38">
        <f t="shared" si="9"/>
        <v>0.5</v>
      </c>
      <c r="S13" s="31">
        <f>IF(ISNUMBER('와이드(실측)'!O13),'와이드(실측)'!O13+와이드제작!AS13+와이드A늘림,0)</f>
        <v>0</v>
      </c>
      <c r="T13" s="31">
        <f>IF(ISNUMBER('와이드(실측)'!P13),'와이드(실측)'!P13+와이드제작!AT13+와이드A늘림,0)</f>
        <v>0</v>
      </c>
      <c r="U13" s="31">
        <f>'와이드(실측)'!Q13-와이드기둥차감</f>
        <v>0</v>
      </c>
      <c r="V13" s="31">
        <f>'와이드(실측)'!R13-와이드기둥차감</f>
        <v>0</v>
      </c>
      <c r="W13" s="31">
        <f>'와이드(실측)'!S13-와이드기둥차감</f>
        <v>0</v>
      </c>
      <c r="X13" s="31">
        <f>'와이드(실측)'!T13-와이드기둥차감</f>
        <v>0</v>
      </c>
      <c r="Y13" s="31">
        <f>IF(소장="손상민",IF(ISNUMBER('와이드(실측)'!U13),'와이드(실측)'!U13+1.2,0),IF(ISNUMBER('와이드(실측)'!U13),'와이드(실측)'!U13+와이드U,0))</f>
        <v>0</v>
      </c>
      <c r="Z13" s="31">
        <f>IF(소장="손상민",MAX(Q13,R13)+3.2,IF(ISNUMBER('와이드(실측)'!V13),'와이드(실측)'!V13+1.5+와이드제작!Q13+1,0))</f>
        <v>0</v>
      </c>
      <c r="AA13" s="31">
        <f>'와이드(실측)'!W13+뒷날개치수더함</f>
        <v>0</v>
      </c>
      <c r="AB13" s="31">
        <f>'와이드(실측)'!X13+뒷날개치수더함</f>
        <v>0</v>
      </c>
      <c r="AC13" s="31">
        <f>'와이드(실측)'!Y13-와이드늘치</f>
        <v>-4</v>
      </c>
      <c r="AD13" s="31">
        <f>IF(와이드JB하부늘치=1,AC13,'와이드(실측)'!Z13-와이드늘치)</f>
        <v>-4</v>
      </c>
      <c r="AE13" s="31">
        <f>'와이드(실측)'!AA13-와이드늘치</f>
        <v>-4</v>
      </c>
      <c r="AF13" s="31">
        <f>IF(와이드JB하부늘치=1,AE13,'와이드(실측)'!AB13-와이드늘치)</f>
        <v>-4</v>
      </c>
      <c r="AG13" s="31">
        <f xml:space="preserve"> IF(소장&lt;&gt;"손상민",IF('와이드(실측)'!AC13&gt;0,'와이드(실측)'!AC13,C13-1.2),IF('와이드(실측)'!AC13&gt;0,'와이드(실측)'!AC13+1.2,C13) )</f>
        <v>-1.2</v>
      </c>
      <c r="AH13" s="31">
        <f xml:space="preserve"> IF(소장&lt;&gt;"손상민",IF('와이드(실측)'!AD13&gt;0,'와이드(실측)'!AD13,D13-1.2),IF('와이드(실측)'!AD13&gt;0,'와이드(실측)'!AD13+1.2,D13))</f>
        <v>-1.2</v>
      </c>
      <c r="AI13" s="51">
        <f t="shared" si="10"/>
        <v>0</v>
      </c>
      <c r="AJ13" s="31" t="str">
        <f t="shared" si="11"/>
        <v>0*-3.4</v>
      </c>
      <c r="AK13" s="31" t="str">
        <f t="shared" si="12"/>
        <v>-1.2*-3.4</v>
      </c>
      <c r="AL13" s="31" t="str">
        <f t="shared" si="13"/>
        <v>-1.2*-3.4</v>
      </c>
      <c r="AM13" s="31">
        <f>IF('와이드(실측)'!AE13&gt;0,'와이드(실측)'!AE13-'와이드(실측)'!W13+1.2,0)</f>
        <v>0</v>
      </c>
      <c r="AN13" s="31">
        <f>IF('와이드(실측)'!AF13&gt;0,'와이드(실측)'!AF13-'와이드(실측)'!W13+1.2,0)</f>
        <v>0</v>
      </c>
      <c r="AO13" s="31">
        <f>'와이드(실측)'!AG13</f>
        <v>0</v>
      </c>
      <c r="AP13" s="31">
        <f>IF('와이드(실측)'!AH13&gt;5,'와이드(실측)'!AH13+뒷날개치수더함,'와이드(실측)'!AH13)</f>
        <v>0</v>
      </c>
      <c r="AQ13" s="31">
        <f>'와이드(실측)'!AI13</f>
        <v>0</v>
      </c>
      <c r="AR13" s="31">
        <f>'와이드(실측)'!AJ13</f>
        <v>0</v>
      </c>
      <c r="AS13">
        <f>IF(AND(ISNUMBER('와이드(실측)'!P13),ISNUMBER('와이드(실측)'!O13)),IF(ISNUMBER('와이드(실측)'!O13),IF(9-MIN('와이드(실측)'!O13+와이드A늘림,'와이드(실측)'!P13+와이드A늘림)&lt;0,0,9-MIN('와이드(실측)'!O13+와이드A늘림,'와이드(실측)'!P13+와이드A늘림)),0),IF(ISNUMBER('와이드(실측)'!O13),IF(9-'와이드(실측)'!O13-와이드A늘림&lt;0,0,9-'와이드(실측)'!O13-와이드A늘림),0))</f>
        <v>0</v>
      </c>
      <c r="AT13">
        <f>IF(AND(ISNUMBER('와이드(실측)'!O13),ISNUMBER('와이드(실측)'!P13)),IF(ISNUMBER('와이드(실측)'!P13),IF(9-MIN('와이드(실측)'!P13+와이드A늘림,'와이드(실측)'!O13+와이드A늘림)&lt;0,0,9-MIN('와이드(실측)'!P13+와이드A늘림,'와이드(실측)'!O13+와이드A늘림)),0),IF(ISNUMBER('와이드(실측)'!P13),IF(9-'와이드(실측)'!P13-와이드A늘림&lt;0,0,9-'와이드(실측)'!P13-와이드A늘림),0))</f>
        <v>0</v>
      </c>
      <c r="AU13" s="20">
        <f t="shared" si="14"/>
        <v>-56.309932474020215</v>
      </c>
      <c r="AV13" s="21">
        <f t="shared" si="15"/>
        <v>0.44529980377477085</v>
      </c>
      <c r="AW13" s="21">
        <f t="shared" si="16"/>
        <v>0.44529980377477085</v>
      </c>
      <c r="AX13" s="21">
        <f>'와이드(실측)'!M13+AS13</f>
        <v>0</v>
      </c>
      <c r="AY13" s="21">
        <f>'와이드(실측)'!N13+AS13</f>
        <v>0</v>
      </c>
      <c r="AZ13" s="20">
        <f t="shared" si="17"/>
        <v>0.44529980377477085</v>
      </c>
      <c r="BA13" s="41">
        <f t="shared" si="4"/>
        <v>0</v>
      </c>
      <c r="BB13" s="42">
        <f>MAX(C13,D13)+MAX(G13,H13)+AA13-1.2*$AJ$3+IF(BI13=0,MAX(AE13,AC13),0)+IF(Y13=0,1.2,0)+IF(Z13=0,1.2,0)+IF(소장&lt;&gt;"손상민", Y13+Z13,IF('와이드(실측)'!U13=0,0,2.4))</f>
        <v>-3.3999999999999995</v>
      </c>
      <c r="BC13" s="41">
        <f t="shared" si="18"/>
        <v>-3.3999999999999995</v>
      </c>
      <c r="BD13" s="41">
        <f t="shared" si="19"/>
        <v>-1.2</v>
      </c>
      <c r="BE13" s="41">
        <f t="shared" si="20"/>
        <v>-3.3999999999999995</v>
      </c>
      <c r="BF13" s="41">
        <f t="shared" si="21"/>
        <v>-1.2</v>
      </c>
      <c r="BG13" s="6">
        <f t="shared" si="22"/>
        <v>-0.5</v>
      </c>
      <c r="BH13" s="43" t="str">
        <f t="shared" si="23"/>
        <v/>
      </c>
      <c r="BI13" s="77">
        <f t="shared" si="24"/>
        <v>1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3">
    <cfRule type="cellIs" dxfId="85" priority="52" operator="greaterThan">
      <formula>3</formula>
    </cfRule>
  </conditionalFormatting>
  <conditionalFormatting sqref="F7:F13">
    <cfRule type="cellIs" dxfId="84" priority="39" operator="greaterThan">
      <formula>1210</formula>
    </cfRule>
  </conditionalFormatting>
  <conditionalFormatting sqref="I7:L13 C7:D13">
    <cfRule type="cellIs" dxfId="83" priority="38" operator="greaterThan">
      <formula>500</formula>
    </cfRule>
  </conditionalFormatting>
  <conditionalFormatting sqref="C7:D13">
    <cfRule type="cellIs" dxfId="82" priority="36" operator="notEqual">
      <formula>$D7</formula>
    </cfRule>
  </conditionalFormatting>
  <conditionalFormatting sqref="D7:D13">
    <cfRule type="cellIs" dxfId="81" priority="35" operator="notEqual">
      <formula>$C7</formula>
    </cfRule>
  </conditionalFormatting>
  <conditionalFormatting sqref="AO7:AR13">
    <cfRule type="cellIs" dxfId="80" priority="17" operator="greaterThan">
      <formula>1.2</formula>
    </cfRule>
  </conditionalFormatting>
  <conditionalFormatting sqref="AO7:AO13">
    <cfRule type="cellIs" dxfId="79" priority="16" operator="greaterThan">
      <formula>0</formula>
    </cfRule>
  </conditionalFormatting>
  <conditionalFormatting sqref="G7:G13">
    <cfRule type="cellIs" dxfId="78" priority="14" operator="notEqual">
      <formula>H7</formula>
    </cfRule>
  </conditionalFormatting>
  <conditionalFormatting sqref="H7:H13">
    <cfRule type="cellIs" dxfId="77" priority="13" operator="notEqual">
      <formula>G7</formula>
    </cfRule>
  </conditionalFormatting>
  <conditionalFormatting sqref="I7:I13">
    <cfRule type="cellIs" dxfId="76" priority="12" operator="notEqual">
      <formula>J7</formula>
    </cfRule>
  </conditionalFormatting>
  <conditionalFormatting sqref="J7:J13">
    <cfRule type="cellIs" dxfId="75" priority="11" operator="notEqual">
      <formula>I7</formula>
    </cfRule>
  </conditionalFormatting>
  <conditionalFormatting sqref="K7:K13">
    <cfRule type="cellIs" dxfId="74" priority="10" operator="notEqual">
      <formula>L7</formula>
    </cfRule>
  </conditionalFormatting>
  <conditionalFormatting sqref="L7:L13">
    <cfRule type="cellIs" dxfId="73" priority="9" operator="notEqual">
      <formula>K7</formula>
    </cfRule>
  </conditionalFormatting>
  <conditionalFormatting sqref="AG7:AG13">
    <cfRule type="cellIs" dxfId="72" priority="8" operator="notEqual">
      <formula>AH7</formula>
    </cfRule>
  </conditionalFormatting>
  <conditionalFormatting sqref="AH7:AH13">
    <cfRule type="cellIs" dxfId="71" priority="7" operator="notEqual">
      <formula>AG7</formula>
    </cfRule>
  </conditionalFormatting>
  <conditionalFormatting sqref="AC7:AF13">
    <cfRule type="expression" dxfId="70" priority="6">
      <formula>$BI7</formula>
    </cfRule>
  </conditionalFormatting>
  <conditionalFormatting sqref="Y7:Y13">
    <cfRule type="expression" dxfId="69" priority="2">
      <formula>소장="손상민"</formula>
    </cfRule>
  </conditionalFormatting>
  <conditionalFormatting sqref="Z7:Z13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activeCell="A7" sqref="A7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(판매)퇴계원-2차,   (재질) : HL 1.2T</v>
      </c>
      <c r="B3" s="2"/>
      <c r="C3" s="2"/>
      <c r="D3" s="2"/>
      <c r="E3" s="2"/>
      <c r="F3" s="2"/>
      <c r="G3" s="239"/>
      <c r="H3" s="239"/>
      <c r="I3" s="246"/>
      <c r="J3" s="246"/>
      <c r="K3" s="247"/>
      <c r="L3" s="247"/>
      <c r="M3" s="248"/>
      <c r="N3" s="248"/>
      <c r="O3" s="248"/>
      <c r="P3" s="243" t="s">
        <v>97</v>
      </c>
      <c r="Q3" s="243"/>
      <c r="R3" s="244"/>
      <c r="S3" s="244"/>
      <c r="T3" s="245"/>
      <c r="U3" s="245"/>
    </row>
    <row r="4" spans="1:39" ht="33" customHeight="1" x14ac:dyDescent="0.3">
      <c r="A4" s="163" t="str">
        <f>정보!B11</f>
        <v>제작치수 반영 : JB/JD +(0 ),  늘어난치수K -(0),  C + (0),  U +(0), OP - (0), R - (0),  기둥차감 - (0), 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40" t="s">
        <v>21</v>
      </c>
      <c r="V5" s="241"/>
      <c r="W5" s="241"/>
      <c r="X5" s="242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G3:H3"/>
    <mergeCell ref="K5:K6"/>
    <mergeCell ref="O5:O6"/>
    <mergeCell ref="N5:N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S5:S6"/>
    <mergeCell ref="L5:L6"/>
    <mergeCell ref="I5:I6"/>
    <mergeCell ref="J5:J6"/>
    <mergeCell ref="R5:R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70" zoomScaleNormal="70" workbookViewId="0">
      <selection activeCell="A7" sqref="A7:XFD7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0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(판매)퇴계원-2차,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0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320</v>
      </c>
      <c r="AG3" s="281"/>
      <c r="AH3" s="212"/>
      <c r="AI3" s="282" t="e">
        <f>AN7</f>
        <v>#DIV/0!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+(0 ),  늘어난치수K -(0),  C + (0),  U +(0), OP - (0), R - (0),  기둥차감 - (0),  A + (0)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306</v>
      </c>
      <c r="Z4" s="275"/>
      <c r="AA4" s="276">
        <f>'멍텅(실측)'!U7</f>
        <v>0</v>
      </c>
      <c r="AB4" s="276"/>
      <c r="AC4" s="9"/>
      <c r="AD4" s="222">
        <f ca="1">TODAY()</f>
        <v>45596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40" t="s">
        <v>21</v>
      </c>
      <c r="Z5" s="241"/>
      <c r="AA5" s="241"/>
      <c r="AB5" s="242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300</v>
      </c>
      <c r="AL5" s="177" t="s">
        <v>301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0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0</v>
      </c>
      <c r="Z7" s="13">
        <f>IF(멍텅JB하부늘치=1,Y7,'멍텅(실측)'!V7-멍텅늘치차감)</f>
        <v>0</v>
      </c>
      <c r="AA7" s="13">
        <f>'멍텅(실측)'!W7-멍텅늘치차감</f>
        <v>0</v>
      </c>
      <c r="AB7" s="13">
        <f>IF(멍텅JB하부늘치=1,AA7,'멍텅(실측)'!X7-멍텅늘치차감)</f>
        <v>0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IF(AND(ISNUMBER('멍텅(실측)'!L7),ISNUMBER('멍텅(실측)'!K7)),IF(ISNUMBER('멍텅(실측)'!K7),IF(9-MIN('멍텅(실측)'!K7+멍텅A늘림,'멍텅(실측)'!L7+멍텅A늘림)+AM7&lt;AM7,AM7,9-MIN('멍텅(실측)'!K7+멍텅A늘림,'멍텅(실측)'!L7+멍텅A늘림)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zoomScaleNormal="100" workbookViewId="0">
      <selection activeCell="E18" sqref="E18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(판매)퇴계원-2차 ) _김진섭소장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(판매)퇴계원-2차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(0),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133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133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133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133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133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133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133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133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133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133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133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133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133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133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133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133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133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133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133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133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133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133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133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133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133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133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133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133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60"/>
      <c r="B35" s="133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60"/>
      <c r="B36" s="133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60"/>
      <c r="B37" s="133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60"/>
      <c r="B38" s="133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60"/>
      <c r="B39" s="133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60"/>
      <c r="B40" s="133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60"/>
      <c r="B41" s="133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60"/>
      <c r="B42" s="133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60"/>
      <c r="B43" s="133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60"/>
      <c r="B44" s="133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60"/>
      <c r="B45" s="133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60"/>
      <c r="B46" s="133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60"/>
      <c r="B47" s="133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60"/>
      <c r="B48" s="133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60"/>
      <c r="B49" s="133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60"/>
      <c r="B50" s="133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60"/>
      <c r="B51" s="133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60"/>
      <c r="B52" s="133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60"/>
      <c r="B53" s="133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60"/>
      <c r="B54" s="133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60"/>
      <c r="B55" s="133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60"/>
      <c r="B56" s="133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60"/>
      <c r="B57" s="133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60"/>
      <c r="B58" s="133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60"/>
      <c r="B59" s="133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60"/>
      <c r="B60" s="133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60"/>
      <c r="B61" s="133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60"/>
      <c r="B62" s="133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60"/>
      <c r="B63" s="133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60"/>
      <c r="B64" s="133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60"/>
      <c r="B65" s="133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60"/>
      <c r="B66" s="133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60"/>
      <c r="B67" s="133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60"/>
      <c r="B68" s="133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60"/>
      <c r="B69" s="133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60"/>
      <c r="B70" s="133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60"/>
      <c r="B71" s="133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60"/>
      <c r="B72" s="133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60"/>
      <c r="B73" s="133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60"/>
      <c r="B74" s="133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60"/>
      <c r="B75" s="133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60"/>
      <c r="B76" s="133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60"/>
      <c r="B77" s="133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60"/>
      <c r="B78" s="133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60"/>
      <c r="B79" s="133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60"/>
      <c r="B80" s="133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60"/>
      <c r="B81" s="133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60"/>
      <c r="B82" s="133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60"/>
      <c r="B83" s="133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60"/>
      <c r="B84" s="133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60"/>
      <c r="B85" s="133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60"/>
      <c r="B86" s="133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60"/>
      <c r="B87" s="133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60"/>
      <c r="B88" s="133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60"/>
      <c r="B89" s="133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60"/>
      <c r="B90" s="133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60"/>
      <c r="B91" s="133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60"/>
      <c r="B92" s="133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60"/>
      <c r="B93" s="133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60"/>
      <c r="B94" s="133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60"/>
      <c r="B95" s="133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60"/>
      <c r="B96" s="133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60"/>
      <c r="B97" s="133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60"/>
      <c r="B98" s="133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60"/>
      <c r="B99" s="133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60"/>
      <c r="B100" s="133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60"/>
      <c r="B101" s="133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60"/>
      <c r="B102" s="133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60"/>
      <c r="B103" s="133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60"/>
      <c r="B104" s="133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60"/>
      <c r="B105" s="133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60"/>
      <c r="B106" s="133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60"/>
      <c r="B107" s="133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60"/>
      <c r="B108" s="133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60"/>
      <c r="B109" s="133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60"/>
      <c r="B110" s="133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60"/>
      <c r="B111" s="133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60"/>
      <c r="B112" s="133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60"/>
      <c r="B113" s="133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60"/>
      <c r="B114" s="133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60"/>
      <c r="B115" s="133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60"/>
      <c r="B116" s="133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60"/>
      <c r="B117" s="133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60"/>
      <c r="B118" s="133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60"/>
      <c r="B119" s="133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60"/>
      <c r="B120" s="133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60"/>
      <c r="B121" s="133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60"/>
      <c r="B122" s="133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60"/>
      <c r="B123" s="133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60"/>
      <c r="B124" s="133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60"/>
      <c r="B125" s="133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60"/>
      <c r="B126" s="133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60"/>
      <c r="B127" s="133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60"/>
      <c r="B128" s="133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60"/>
      <c r="B129" s="133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60"/>
      <c r="B130" s="133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60"/>
      <c r="B131" s="133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60"/>
      <c r="B132" s="133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60"/>
      <c r="B133" s="133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60"/>
      <c r="B134" s="133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60"/>
      <c r="B135" s="133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60"/>
      <c r="B136" s="133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60"/>
      <c r="B137" s="133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60"/>
      <c r="B138" s="133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60"/>
      <c r="B139" s="133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60"/>
      <c r="B140" s="133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60"/>
      <c r="B141" s="133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60"/>
      <c r="B142" s="133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60"/>
      <c r="B143" s="133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60"/>
      <c r="B144" s="133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60"/>
      <c r="B145" s="133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60"/>
      <c r="B146" s="133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60"/>
      <c r="B147" s="133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60"/>
      <c r="B148" s="133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60"/>
      <c r="B149" s="133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60"/>
      <c r="B150" s="133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60"/>
      <c r="B151" s="133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60"/>
      <c r="B152" s="133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60"/>
      <c r="B153" s="133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60"/>
      <c r="B154" s="133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60"/>
      <c r="B155" s="133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60"/>
      <c r="B156" s="133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60"/>
      <c r="B157" s="133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60"/>
      <c r="B158" s="133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60"/>
      <c r="B159" s="133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60"/>
      <c r="B160" s="133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60"/>
      <c r="B161" s="133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60"/>
      <c r="B162" s="133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60"/>
      <c r="B163" s="133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60"/>
      <c r="B164" s="133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60"/>
      <c r="B165" s="133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60"/>
      <c r="B166" s="133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60"/>
      <c r="B167" s="133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60"/>
      <c r="B168" s="133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60"/>
      <c r="B169" s="133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60"/>
      <c r="B170" s="133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60"/>
      <c r="B171" s="133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60"/>
      <c r="B172" s="133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60"/>
      <c r="B173" s="133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60"/>
      <c r="B174" s="133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60"/>
      <c r="B175" s="133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60"/>
      <c r="B176" s="133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60"/>
      <c r="B177" s="133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60"/>
      <c r="B178" s="133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60"/>
      <c r="B179" s="133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60"/>
      <c r="B180" s="133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60"/>
      <c r="B181" s="133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60"/>
      <c r="B182" s="133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60"/>
      <c r="B183" s="133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60"/>
      <c r="B184" s="133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60"/>
      <c r="B185" s="133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60"/>
      <c r="B186" s="133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60"/>
      <c r="B187" s="133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60"/>
      <c r="B188" s="133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60"/>
      <c r="B189" s="133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60"/>
      <c r="B190" s="133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60"/>
      <c r="B191" s="133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60"/>
      <c r="B192" s="133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60"/>
      <c r="B193" s="133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60"/>
      <c r="B194" s="133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60"/>
      <c r="B195" s="133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60"/>
      <c r="B196" s="133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60"/>
      <c r="B197" s="133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60"/>
      <c r="B198" s="133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60"/>
      <c r="B199" s="133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60"/>
      <c r="B200" s="133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60"/>
      <c r="B201" s="133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60"/>
      <c r="B202" s="133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60"/>
      <c r="B203" s="133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60"/>
      <c r="B204" s="133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60"/>
      <c r="B205" s="133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60"/>
      <c r="B206" s="133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60"/>
      <c r="B207" s="133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60"/>
      <c r="B208" s="133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60"/>
      <c r="B209" s="133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60"/>
      <c r="B210" s="133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60"/>
      <c r="B211" s="133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60"/>
      <c r="B212" s="133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60"/>
      <c r="B213" s="133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60"/>
      <c r="B214" s="133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60"/>
      <c r="B215" s="133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60"/>
      <c r="B216" s="133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60"/>
      <c r="B217" s="133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60"/>
      <c r="B218" s="133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60"/>
      <c r="B219" s="133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60"/>
      <c r="B220" s="133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60"/>
      <c r="B221" s="133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60"/>
      <c r="B222" s="133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60"/>
      <c r="B223" s="133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60"/>
      <c r="B224" s="133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60"/>
      <c r="B225" s="133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60"/>
      <c r="B226" s="133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60"/>
      <c r="B227" s="133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60"/>
      <c r="B228" s="133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60"/>
      <c r="B229" s="133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60"/>
      <c r="B230" s="133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60"/>
      <c r="B231" s="133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60"/>
      <c r="B232" s="133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60"/>
      <c r="B233" s="133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60"/>
      <c r="B234" s="133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60"/>
      <c r="B235" s="133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60"/>
      <c r="B236" s="133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60"/>
      <c r="B237" s="133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60"/>
      <c r="B238" s="133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60"/>
      <c r="B239" s="133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60"/>
      <c r="B240" s="133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60"/>
      <c r="B241" s="133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60"/>
      <c r="B242" s="133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60"/>
      <c r="B243" s="133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60"/>
      <c r="B244" s="133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60"/>
      <c r="B245" s="133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60"/>
      <c r="B246" s="133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60"/>
      <c r="B247" s="133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60"/>
      <c r="B248" s="133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60"/>
      <c r="B249" s="133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60"/>
      <c r="B250" s="133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60"/>
      <c r="B251" s="133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60"/>
      <c r="B252" s="133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60"/>
      <c r="B253" s="133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60"/>
      <c r="B254" s="133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60"/>
      <c r="B255" s="133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60"/>
      <c r="B256" s="133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60"/>
      <c r="B257" s="133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60"/>
      <c r="B258" s="133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60"/>
      <c r="B259" s="133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60"/>
      <c r="B260" s="133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60"/>
      <c r="B261" s="133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60"/>
      <c r="B262" s="133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60"/>
      <c r="B263" s="133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60"/>
      <c r="B264" s="133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60"/>
      <c r="B265" s="133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60"/>
      <c r="B266" s="133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60"/>
      <c r="B267" s="133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60"/>
      <c r="B268" s="133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60"/>
      <c r="B269" s="133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60"/>
      <c r="B270" s="133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60"/>
      <c r="B271" s="133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60"/>
      <c r="B272" s="133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60"/>
      <c r="B273" s="133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60"/>
      <c r="B274" s="133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60"/>
      <c r="B275" s="133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60"/>
      <c r="B276" s="133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60"/>
      <c r="B277" s="133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60"/>
      <c r="B278" s="133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60"/>
      <c r="B279" s="133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60"/>
      <c r="B280" s="133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60"/>
      <c r="B281" s="133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60"/>
      <c r="B282" s="133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60"/>
      <c r="B283" s="133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60"/>
      <c r="B284" s="133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60"/>
      <c r="B285" s="133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60"/>
      <c r="B286" s="133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60"/>
      <c r="B287" s="133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60"/>
      <c r="B288" s="133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60"/>
      <c r="B289" s="133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60"/>
      <c r="B290" s="133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60"/>
      <c r="B291" s="133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60"/>
      <c r="B292" s="133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60"/>
      <c r="B293" s="133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60"/>
      <c r="B294" s="133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60"/>
      <c r="B295" s="133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60"/>
      <c r="B296" s="133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60"/>
      <c r="B297" s="133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60"/>
      <c r="B298" s="133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60"/>
      <c r="B299" s="133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60"/>
      <c r="B300" s="133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60"/>
      <c r="B301" s="133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60"/>
      <c r="B302" s="133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60"/>
      <c r="B303" s="133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60"/>
      <c r="B304" s="133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60"/>
      <c r="B305" s="133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60"/>
      <c r="B306" s="133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60"/>
      <c r="B307" s="133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60"/>
      <c r="B308" s="133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60"/>
      <c r="B309" s="133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60"/>
      <c r="B310" s="133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60"/>
      <c r="B311" s="133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60"/>
      <c r="B312" s="133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60"/>
      <c r="B313" s="133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60"/>
      <c r="B314" s="133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60"/>
      <c r="B315" s="133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60"/>
      <c r="B316" s="133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60"/>
      <c r="B317" s="133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60"/>
      <c r="B318" s="133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60"/>
      <c r="B319" s="133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60"/>
      <c r="B320" s="133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60"/>
      <c r="B321" s="133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60"/>
      <c r="B322" s="133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60"/>
      <c r="B323" s="133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60"/>
      <c r="B324" s="133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60"/>
      <c r="B325" s="133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60"/>
      <c r="B326" s="133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60"/>
      <c r="B327" s="133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60"/>
      <c r="B328" s="133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60"/>
      <c r="B329" s="133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60"/>
      <c r="B330" s="133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60"/>
      <c r="B331" s="133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60"/>
      <c r="B332" s="133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60"/>
      <c r="B333" s="133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60"/>
      <c r="B334" s="133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60"/>
      <c r="B335" s="133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60"/>
      <c r="B336" s="133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60"/>
      <c r="B337" s="133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60"/>
      <c r="B338" s="133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60"/>
      <c r="B339" s="133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60"/>
      <c r="B340" s="133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60"/>
      <c r="B341" s="133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60"/>
      <c r="B342" s="133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60"/>
      <c r="B343" s="133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60"/>
      <c r="B344" s="133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60"/>
      <c r="B345" s="133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60"/>
      <c r="B346" s="133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60"/>
      <c r="B347" s="133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60"/>
      <c r="B348" s="133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60"/>
      <c r="B349" s="133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60"/>
      <c r="B350" s="133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25"/>
  <sheetViews>
    <sheetView zoomScale="85" zoomScaleNormal="85" workbookViewId="0">
      <selection sqref="A1:AA1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(판매)퇴계원-2차 (쪽쟘제작치수)  김진섭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COUNTA(A7:A168) &amp;" (SET)"</f>
        <v>총 : 19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39" t="s">
        <v>140</v>
      </c>
      <c r="F3" s="239"/>
      <c r="G3" s="62">
        <v>0</v>
      </c>
      <c r="H3" s="23" t="s">
        <v>141</v>
      </c>
      <c r="I3" s="292">
        <v>0</v>
      </c>
      <c r="J3" s="292"/>
      <c r="K3" s="63"/>
      <c r="L3" s="63"/>
      <c r="M3" s="247" t="s">
        <v>82</v>
      </c>
      <c r="N3" s="247"/>
      <c r="O3" s="247"/>
      <c r="P3" s="293">
        <v>0</v>
      </c>
      <c r="Q3" s="293"/>
      <c r="R3" s="244" t="s">
        <v>90</v>
      </c>
      <c r="S3" s="244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(0),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0*-3.6</v>
      </c>
      <c r="D7" s="50">
        <f>'쪽쟘(실측)'!C7-쪽쟘OP차감</f>
        <v>0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IF('쪽쟘(실측)'!F7&gt;0,'쪽쟘(실측)'!F7-3,0)+뒷날개치수더함</f>
        <v>0</v>
      </c>
      <c r="J7" s="50">
        <f>IF('쪽쟘(실측)'!H7&gt;0,'쪽쟘(실측)'!H7-3,0)+뒷날개치수더함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0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0*-3.6</v>
      </c>
      <c r="D8" s="50">
        <f>'쪽쟘(실측)'!C8-쪽쟘OP차감</f>
        <v>0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IF('쪽쟘(실측)'!F8&gt;0,'쪽쟘(실측)'!F8-3,0)+뒷날개치수더함</f>
        <v>0</v>
      </c>
      <c r="J8" s="50">
        <f>IF('쪽쟘(실측)'!H8&gt;0,'쪽쟘(실측)'!H8-3,0)+뒷날개치수더함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0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0*-3.6</v>
      </c>
      <c r="D9" s="50">
        <f>'쪽쟘(실측)'!C9-쪽쟘OP차감</f>
        <v>0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IF('쪽쟘(실측)'!F9&gt;0,'쪽쟘(실측)'!F9-3,0)+뒷날개치수더함</f>
        <v>0</v>
      </c>
      <c r="J9" s="50">
        <f>IF('쪽쟘(실측)'!H9&gt;0,'쪽쟘(실측)'!H9-3,0)+뒷날개치수더함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0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0*-3.6</v>
      </c>
      <c r="D10" s="50">
        <f>'쪽쟘(실측)'!C10-쪽쟘OP차감</f>
        <v>0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IF('쪽쟘(실측)'!F10&gt;0,'쪽쟘(실측)'!F10-3,0)+뒷날개치수더함</f>
        <v>0</v>
      </c>
      <c r="J10" s="50">
        <f>IF('쪽쟘(실측)'!H10&gt;0,'쪽쟘(실측)'!H10-3,0)+뒷날개치수더함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0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0*-3.6</v>
      </c>
      <c r="D11" s="50">
        <f>'쪽쟘(실측)'!C11-쪽쟘OP차감</f>
        <v>0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IF('쪽쟘(실측)'!F11&gt;0,'쪽쟘(실측)'!F11-3,0)+뒷날개치수더함</f>
        <v>0</v>
      </c>
      <c r="J11" s="50">
        <f>IF('쪽쟘(실측)'!H11&gt;0,'쪽쟘(실측)'!H11-3,0)+뒷날개치수더함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0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0*-3.6</v>
      </c>
      <c r="D12" s="50">
        <f>'쪽쟘(실측)'!C12-쪽쟘OP차감</f>
        <v>0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IF('쪽쟘(실측)'!F12&gt;0,'쪽쟘(실측)'!F12-3,0)+뒷날개치수더함</f>
        <v>0</v>
      </c>
      <c r="J12" s="50">
        <f>IF('쪽쟘(실측)'!H12&gt;0,'쪽쟘(실측)'!H12-3,0)+뒷날개치수더함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0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0*-3.6</v>
      </c>
      <c r="D13" s="50">
        <f>'쪽쟘(실측)'!C13-쪽쟘OP차감</f>
        <v>0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IF('쪽쟘(실측)'!F13&gt;0,'쪽쟘(실측)'!F13-3,0)+뒷날개치수더함</f>
        <v>0</v>
      </c>
      <c r="J13" s="50">
        <f>IF('쪽쟘(실측)'!H13&gt;0,'쪽쟘(실측)'!H13-3,0)+뒷날개치수더함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0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0*-3.6</v>
      </c>
      <c r="D14" s="50">
        <f>'쪽쟘(실측)'!C14-쪽쟘OP차감</f>
        <v>0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IF('쪽쟘(실측)'!F14&gt;0,'쪽쟘(실측)'!F14-3,0)+뒷날개치수더함</f>
        <v>0</v>
      </c>
      <c r="J14" s="50">
        <f>IF('쪽쟘(실측)'!H14&gt;0,'쪽쟘(실측)'!H14-3,0)+뒷날개치수더함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0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0*-3.6</v>
      </c>
      <c r="D15" s="50">
        <f>'쪽쟘(실측)'!C15-쪽쟘OP차감</f>
        <v>0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IF('쪽쟘(실측)'!F15&gt;0,'쪽쟘(실측)'!F15-3,0)+뒷날개치수더함</f>
        <v>0</v>
      </c>
      <c r="J15" s="50">
        <f>IF('쪽쟘(실측)'!H15&gt;0,'쪽쟘(실측)'!H15-3,0)+뒷날개치수더함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0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0*-3.6</v>
      </c>
      <c r="D16" s="50">
        <f>'쪽쟘(실측)'!C16-쪽쟘OP차감</f>
        <v>0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IF('쪽쟘(실측)'!F16&gt;0,'쪽쟘(실측)'!F16-3,0)+뒷날개치수더함</f>
        <v>0</v>
      </c>
      <c r="J16" s="50">
        <f>IF('쪽쟘(실측)'!H16&gt;0,'쪽쟘(실측)'!H16-3,0)+뒷날개치수더함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0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0*-3.6</v>
      </c>
      <c r="D17" s="50">
        <f>'쪽쟘(실측)'!C17-쪽쟘OP차감</f>
        <v>0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IF('쪽쟘(실측)'!F17&gt;0,'쪽쟘(실측)'!F17-3,0)+뒷날개치수더함</f>
        <v>0</v>
      </c>
      <c r="J17" s="50">
        <f>IF('쪽쟘(실측)'!H17&gt;0,'쪽쟘(실측)'!H17-3,0)+뒷날개치수더함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0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0*-3.6</v>
      </c>
      <c r="D18" s="50">
        <f>'쪽쟘(실측)'!C18-쪽쟘OP차감</f>
        <v>0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IF('쪽쟘(실측)'!F18&gt;0,'쪽쟘(실측)'!F18-3,0)+뒷날개치수더함</f>
        <v>0</v>
      </c>
      <c r="J18" s="50">
        <f>IF('쪽쟘(실측)'!H18&gt;0,'쪽쟘(실측)'!H18-3,0)+뒷날개치수더함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0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0*-3.6</v>
      </c>
      <c r="D19" s="50">
        <f>'쪽쟘(실측)'!C19-쪽쟘OP차감</f>
        <v>0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IF('쪽쟘(실측)'!F19&gt;0,'쪽쟘(실측)'!F19-3,0)+뒷날개치수더함</f>
        <v>0</v>
      </c>
      <c r="J19" s="50">
        <f>IF('쪽쟘(실측)'!H19&gt;0,'쪽쟘(실측)'!H19-3,0)+뒷날개치수더함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0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0*-3.6</v>
      </c>
      <c r="D20" s="50">
        <f>'쪽쟘(실측)'!C20-쪽쟘OP차감</f>
        <v>0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IF('쪽쟘(실측)'!F20&gt;0,'쪽쟘(실측)'!F20-3,0)+뒷날개치수더함</f>
        <v>0</v>
      </c>
      <c r="J20" s="50">
        <f>IF('쪽쟘(실측)'!H20&gt;0,'쪽쟘(실측)'!H20-3,0)+뒷날개치수더함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0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0*-3.6</v>
      </c>
      <c r="D21" s="50">
        <f>'쪽쟘(실측)'!C21-쪽쟘OP차감</f>
        <v>0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IF('쪽쟘(실측)'!F21&gt;0,'쪽쟘(실측)'!F21-3,0)+뒷날개치수더함</f>
        <v>0</v>
      </c>
      <c r="J21" s="50">
        <f>IF('쪽쟘(실측)'!H21&gt;0,'쪽쟘(실측)'!H21-3,0)+뒷날개치수더함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0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0*-3.6</v>
      </c>
      <c r="D22" s="50">
        <f>'쪽쟘(실측)'!C22-쪽쟘OP차감</f>
        <v>0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IF('쪽쟘(실측)'!F22&gt;0,'쪽쟘(실측)'!F22-3,0)+뒷날개치수더함</f>
        <v>0</v>
      </c>
      <c r="J22" s="50">
        <f>IF('쪽쟘(실측)'!H22&gt;0,'쪽쟘(실측)'!H22-3,0)+뒷날개치수더함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0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0*-3.6</v>
      </c>
      <c r="D23" s="50">
        <f>'쪽쟘(실측)'!C23-쪽쟘OP차감</f>
        <v>0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IF('쪽쟘(실측)'!F23&gt;0,'쪽쟘(실측)'!F23-3,0)+뒷날개치수더함</f>
        <v>0</v>
      </c>
      <c r="J23" s="50">
        <f>IF('쪽쟘(실측)'!H23&gt;0,'쪽쟘(실측)'!H23-3,0)+뒷날개치수더함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0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0*-3.6</v>
      </c>
      <c r="D24" s="50">
        <f>'쪽쟘(실측)'!C24-쪽쟘OP차감</f>
        <v>0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IF('쪽쟘(실측)'!F24&gt;0,'쪽쟘(실측)'!F24-3,0)+뒷날개치수더함</f>
        <v>0</v>
      </c>
      <c r="J24" s="50">
        <f>IF('쪽쟘(실측)'!H24&gt;0,'쪽쟘(실측)'!H24-3,0)+뒷날개치수더함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0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0*-3.6</v>
      </c>
      <c r="D25" s="50">
        <f>'쪽쟘(실측)'!C25-쪽쟘OP차감</f>
        <v>0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IF('쪽쟘(실측)'!F25&gt;0,'쪽쟘(실측)'!F25-3,0)+뒷날개치수더함</f>
        <v>0</v>
      </c>
      <c r="J25" s="50">
        <f>IF('쪽쟘(실측)'!H25&gt;0,'쪽쟘(실측)'!H25-3,0)+뒷날개치수더함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0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25 M7:M25 S7:S25">
    <cfRule type="cellIs" dxfId="58" priority="4" operator="notEqual">
      <formula>L7</formula>
    </cfRule>
  </conditionalFormatting>
  <conditionalFormatting sqref="L7:L25 N7:N25 T7:T25">
    <cfRule type="cellIs" dxfId="57" priority="3" operator="notEqual">
      <formula>K7</formula>
    </cfRule>
  </conditionalFormatting>
  <conditionalFormatting sqref="Y7:AA25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G7" sqref="G7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(판매)퇴계원-2차 (제작치수 샤링작지) 김진섭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1 매</v>
      </c>
      <c r="H3" s="289"/>
      <c r="I3" s="292">
        <v>0</v>
      </c>
      <c r="J3" s="292"/>
      <c r="K3" s="63"/>
      <c r="L3" s="63"/>
      <c r="M3" s="247" t="s">
        <v>161</v>
      </c>
      <c r="N3" s="247"/>
      <c r="O3" s="247"/>
      <c r="P3" s="293">
        <v>0</v>
      </c>
      <c r="Q3" s="293"/>
      <c r="R3" s="244" t="s">
        <v>162</v>
      </c>
      <c r="S3" s="244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961*133.4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2094*143.4</v>
      </c>
      <c r="H7" s="68" t="str">
        <f>IF(OR(쪽쟘제작!N7&lt;&gt;쪽쟘제작!M7,쪽쟘제작!Q7&lt;&gt;쪽쟘제작!R7),"",AE7&amp;"*"&amp;AD7)</f>
        <v>2094*141.4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  <c r="Z7">
        <v>961</v>
      </c>
      <c r="AA7">
        <v>133.4</v>
      </c>
      <c r="AB7">
        <v>143.4</v>
      </c>
      <c r="AC7">
        <v>2094</v>
      </c>
      <c r="AD7">
        <v>141.4</v>
      </c>
      <c r="AE7">
        <v>2094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953*121.4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2094*121.4</v>
      </c>
      <c r="H8" s="68" t="str">
        <f>IF(쪽쟘제작!N8&lt;&gt;쪽쟘제작!M8,"",AE8&amp;"*"&amp;AD8)</f>
        <v>2094*119.4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  <c r="Z8">
        <v>953</v>
      </c>
      <c r="AA8">
        <v>121.4</v>
      </c>
      <c r="AB8">
        <v>121.4</v>
      </c>
      <c r="AC8">
        <v>2094</v>
      </c>
      <c r="AD8">
        <v>119.4</v>
      </c>
      <c r="AE8">
        <v>2094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(판매)퇴계원-2차 ) _김진섭소장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(0), JB/JD +(3 ),  늘어난치수K -(4),  C + (0),   U + (0), OP - (3),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70" zoomScaleNormal="70" workbookViewId="0">
      <selection activeCell="BA7" sqref="BA7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(판매)퇴계원-2차 ) _김진섭소장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0</v>
      </c>
      <c r="C2" s="98" t="s">
        <v>86</v>
      </c>
      <c r="D2" s="112">
        <v>0</v>
      </c>
      <c r="E2" s="27"/>
      <c r="F2" s="27"/>
      <c r="G2" s="98" t="s">
        <v>87</v>
      </c>
      <c r="H2" s="113">
        <v>0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>
        <f>정보!B5</f>
        <v>0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0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0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0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321</v>
      </c>
      <c r="AT3" s="228"/>
      <c r="AU3" s="231" t="e">
        <f>AY7</f>
        <v>#DIV/0!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(0), JB/JD +(3 ),  늘어난치수K -(4),  C + (0),   U + (0), OP - (3),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307</v>
      </c>
      <c r="AH4" s="316"/>
      <c r="AI4" s="275">
        <f>'SO와이드(실측)'!AA7</f>
        <v>0</v>
      </c>
      <c r="AJ4" s="275"/>
      <c r="AK4" s="222">
        <f ca="1">TODAY()</f>
        <v>45596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0</v>
      </c>
      <c r="D7" s="31">
        <f>'SO와이드(실측)'!D7+SO와이드MH더함-IF(AND(소장="추영덕",AB7=0),1.2)</f>
        <v>0</v>
      </c>
      <c r="E7" s="31">
        <f>'SO와이드(실측)'!E7-SO와이드OP</f>
        <v>0</v>
      </c>
      <c r="F7" s="31">
        <f>'SO와이드(실측)'!F7-SO와이드OP</f>
        <v>0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0</v>
      </c>
      <c r="AH7" s="31">
        <f>IF(SO와이드JB하부늘치=1,AG7,'SO와이드(실측)'!AB7-SO와이드늘치)</f>
        <v>0</v>
      </c>
      <c r="AI7" s="31">
        <f>'SO와이드(실측)'!AC7-SO와이드늘치</f>
        <v>0</v>
      </c>
      <c r="AJ7" s="31">
        <f>IF(SO와이드JB하부늘치=1,AI7,'SO와이드(실측)'!AD7-SO와이드늘치)</f>
        <v>0</v>
      </c>
      <c r="AK7" s="31">
        <f xml:space="preserve"> IF(소장&lt;&gt;"손상민",IF('SO와이드(실측)'!AE7&gt;0,'SO와이드(실측)'!AE7,C7-1.2),IF('SO와이드(실측)'!AE7&gt;0,'SO와이드(실측)'!AE7+1.2,C7))</f>
        <v>-1.2</v>
      </c>
      <c r="AL7" s="31">
        <f xml:space="preserve"> IF(소장&lt;&gt;"손상민",IF('SO와이드(실측)'!AF7&gt;0,'SO와이드(실측)'!AF7,D7-1.2),IF('SO와이드(실측)'!AF7&gt;0,'SO와이드(실측)'!AF7+1.2,D7) )</f>
        <v>-1.2</v>
      </c>
      <c r="AM7" s="51">
        <f>IF(AC7&gt;0,AC7-MAX(T7,U7),0)</f>
        <v>0</v>
      </c>
      <c r="AN7" s="31" t="str">
        <f t="shared" ref="AN7" si="1">BF7&amp;"*"&amp;BG7</f>
        <v>0*-3.6</v>
      </c>
      <c r="AO7" s="31" t="str">
        <f t="shared" ref="AO7" si="2">BI7&amp;"*"&amp;BH7</f>
        <v>-1.2*-2.4</v>
      </c>
      <c r="AP7" s="31" t="str">
        <f t="shared" ref="AP7" si="3">BK7&amp;"*"&amp;BJ7</f>
        <v>-1.2*-2.4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-3.5999999999999996</v>
      </c>
      <c r="BH7" s="41">
        <f>V7+R7+MAX(J7,K7)+AE7-1.2*$AP$3+IF(BN7=0,MAX(AH7,AG7),0)+IF(V7=0,1.2,0)-IF(AV7=90,2.4,0)</f>
        <v>-2.3999999999999995</v>
      </c>
      <c r="BI7" s="41">
        <f>MAX(X7,Y7)+AK7</f>
        <v>-1.2</v>
      </c>
      <c r="BJ7" s="41">
        <f>W7+S7+MAX(L7,M7)+AF7-1.2*$AP$3+IF(BN7=0,MAX(AI7,AJ7),0)+IF(W7=0,1.2,0)-IF(AV7=90,2.4,0)</f>
        <v>-2.3999999999999995</v>
      </c>
      <c r="BK7" s="41">
        <f>MAX(Z7,AA7)+AL7</f>
        <v>-1.2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sqref="A1:AC1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(판매)퇴계원-2차,   (재질) : HL 1.2T</v>
      </c>
      <c r="B3" s="2"/>
      <c r="C3" s="2"/>
      <c r="D3" s="2"/>
      <c r="E3" s="2"/>
      <c r="F3" s="2"/>
      <c r="G3" s="2"/>
      <c r="H3" s="239"/>
      <c r="I3" s="239"/>
      <c r="J3" s="246"/>
      <c r="K3" s="246"/>
      <c r="L3" s="247"/>
      <c r="M3" s="247"/>
      <c r="N3" s="248"/>
      <c r="O3" s="248"/>
      <c r="P3" s="248"/>
      <c r="Q3" s="243" t="s">
        <v>97</v>
      </c>
      <c r="R3" s="243"/>
      <c r="S3" s="244"/>
      <c r="T3" s="244"/>
      <c r="U3" s="245"/>
      <c r="V3" s="245"/>
      <c r="W3" s="245"/>
    </row>
    <row r="4" spans="1:41" ht="33" customHeight="1" x14ac:dyDescent="0.3">
      <c r="A4" s="163" t="str">
        <f>정보!B14</f>
        <v>제작치수 반영 : JB/JD +(0 ),  늘어난치수K -(0),  C + (0),  U +(0), OP1/OP2 -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40" t="s">
        <v>21</v>
      </c>
      <c r="X5" s="241"/>
      <c r="Y5" s="241"/>
      <c r="Z5" s="242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9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9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/>
      <c r="AI10" s="3"/>
      <c r="AJ10" s="3"/>
      <c r="AK10" s="3"/>
      <c r="AL10" s="3"/>
      <c r="AM10" s="3"/>
      <c r="AN10" s="3"/>
      <c r="AO10" s="3"/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/>
      <c r="AI11" s="3"/>
      <c r="AJ11" s="3"/>
      <c r="AK11" s="3"/>
      <c r="AL11" s="3"/>
      <c r="AM11" s="3"/>
      <c r="AN11" s="3"/>
      <c r="AO11" s="3"/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/>
      <c r="AI12" s="3"/>
      <c r="AJ12" s="3"/>
      <c r="AK12" s="3"/>
      <c r="AL12" s="3"/>
      <c r="AM12" s="3"/>
      <c r="AN12" s="3"/>
      <c r="AO12" s="3"/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/>
      <c r="AI13" s="3"/>
      <c r="AJ13" s="3"/>
      <c r="AK13" s="3"/>
      <c r="AL13" s="3"/>
      <c r="AM13" s="3"/>
      <c r="AN13" s="3"/>
      <c r="AO13" s="3"/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/>
      <c r="AI14" s="3"/>
      <c r="AJ14" s="3"/>
      <c r="AK14" s="3"/>
      <c r="AL14" s="3"/>
      <c r="AM14" s="3"/>
      <c r="AN14" s="3"/>
      <c r="AO14" s="3"/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/>
      <c r="AI15" s="3"/>
      <c r="AJ15" s="3"/>
      <c r="AK15" s="3"/>
      <c r="AL15" s="3"/>
      <c r="AM15" s="3"/>
      <c r="AN15" s="3"/>
      <c r="AO15" s="3"/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/>
      <c r="AI16" s="3"/>
      <c r="AJ16" s="3"/>
      <c r="AK16" s="3"/>
      <c r="AL16" s="3"/>
      <c r="AM16" s="3"/>
      <c r="AN16" s="3"/>
      <c r="AO16" s="3"/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/>
      <c r="AI17" s="3"/>
      <c r="AJ17" s="3"/>
      <c r="AK17" s="3"/>
      <c r="AL17" s="3"/>
      <c r="AM17" s="3"/>
      <c r="AN17" s="3"/>
      <c r="AO17" s="3"/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67" zoomScaleNormal="67" workbookViewId="0">
      <selection activeCell="AT8" sqref="AT8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0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0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(판매)퇴계원-2차,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0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v>1</v>
      </c>
      <c r="W3" s="330"/>
      <c r="X3" s="218" t="s">
        <v>78</v>
      </c>
      <c r="Y3" s="218"/>
      <c r="Z3" s="334">
        <v>0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322</v>
      </c>
      <c r="AK3" s="281"/>
      <c r="AL3" s="212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+(0 ),  늘어난치수K -(0),  C + (0),  U +(0), OP1/OP2 -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308</v>
      </c>
      <c r="AD4" s="331"/>
      <c r="AE4" s="332">
        <f>'SO멍텅(실측)'!W7</f>
        <v>0</v>
      </c>
      <c r="AF4" s="332"/>
      <c r="AG4" s="158"/>
      <c r="AH4" s="329">
        <f ca="1">TODAY()</f>
        <v>45596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300</v>
      </c>
      <c r="AP5" s="177" t="s">
        <v>301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0</v>
      </c>
      <c r="D7" s="4">
        <f>'SO멍텅(실측)'!D7-SO멍텅OP</f>
        <v>0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IF(OR(SO멍텅G="", SO멍텅G=0),IF(ISNUMBER('SO멍텅(실측)'!S7),IF('SO멍텅(실측)'!S7+SO멍텅A늘림+MAX(AO7,AP7)&gt;9,'SO멍텅(실측)'!S7+SO멍텅A늘림+MAX(AO7,AP7),'SO멍텅(실측)'!S7+SO멍텅A늘림+MAX(AO7,AP7)),0),SO멍텅G)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0</v>
      </c>
      <c r="AD7" s="13">
        <f>IF(SO멍텅JB하부늘치=1,AC7,'SO멍텅(실측)'!X7-SO멍텅늘치차감)</f>
        <v>0</v>
      </c>
      <c r="AE7" s="13">
        <f>'SO멍텅(실측)'!Y7-SO멍텅늘치차감</f>
        <v>0</v>
      </c>
      <c r="AF7" s="13">
        <f>IF(SO멍텅JB하부늘치=1,AE7,'SO멍텅(실측)'!Z7-SO멍텅늘치차감)</f>
        <v>0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+AQ7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+AQ7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sqref="A1:AA1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(판매)퇴계원-2차 ) _김진섭소장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(0), JB/JD +(0 ),  늘어난치수K -(0),  C + (0),   U + (0), OP1/OP3 - (0), R - (0),  기둥차감 - (0), A + (0)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70" zoomScaleNormal="70" workbookViewId="0">
      <selection activeCell="AF14" sqref="AF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(판매)퇴계원-2차 ) _김진섭소장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0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0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>
        <f>정보!B5</f>
        <v>0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0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(판매)퇴계원-2차,   (재질) : 304 Mirror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0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0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323</v>
      </c>
      <c r="AU3" s="342"/>
      <c r="AV3" s="231" t="e">
        <f>AZ7</f>
        <v>#DIV/0!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(0), JB/JD +(0 ),  늘어난치수K -(0),  C + (0),   U + (0), OP1/OP3 -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309</v>
      </c>
      <c r="AI4" s="343"/>
      <c r="AJ4" s="343">
        <f>'4CO와이드(실측)'!AB7</f>
        <v>0</v>
      </c>
      <c r="AK4" s="343"/>
      <c r="AL4" s="222">
        <f ca="1">TODAY()</f>
        <v>45596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329</v>
      </c>
      <c r="Q5" s="311" t="s">
        <v>330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0</v>
      </c>
      <c r="D7" s="31">
        <f>'4CO와이드(실측)'!D7+CO4와이드MH더함-IF(AND(소장="추영덕",AD7=0),1.2)</f>
        <v>0</v>
      </c>
      <c r="E7" s="31">
        <f>'4CO와이드(실측)'!E7-CO4와이드OP/2</f>
        <v>0</v>
      </c>
      <c r="F7" s="31">
        <f>'4CO와이드(실측)'!F7</f>
        <v>0</v>
      </c>
      <c r="G7" s="31">
        <f>'4CO와이드(실측)'!G7-CO4와이드OP/2</f>
        <v>0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0</v>
      </c>
      <c r="AI7" s="31">
        <f>IF(CO4와이드JB하부늘치=1,AH7,'4CO와이드(실측)'!AC7-CO4와이드늘치)</f>
        <v>0</v>
      </c>
      <c r="AJ7" s="31">
        <f>'4CO와이드(실측)'!AD7-CO4와이드늘치</f>
        <v>0</v>
      </c>
      <c r="AK7" s="31">
        <f>IF(CO4와이드JB하부늘치=1,AJ7,'4CO와이드(실측)'!AE7-CO4와이드늘치)</f>
        <v>0</v>
      </c>
      <c r="AL7" s="31">
        <f xml:space="preserve"> IF(소장&lt;&gt;"손상민",IF('4CO와이드(실측)'!AF7&gt;0,'4CO와이드(실측)'!AF7,C7-1.2),IF('4CO와이드(실측)'!AF7&gt;0,'4CO와이드(실측)'!AF7+1.2,C7) )</f>
        <v>-1.2</v>
      </c>
      <c r="AM7" s="31">
        <f xml:space="preserve"> IF(소장&lt;&gt;"손상민",IF('4CO와이드(실측)'!AG7&gt;0,'4CO와이드(실측)'!AG7,D7-1.2),IF('4CO와이드(실측)'!AG7&gt;0,'4CO와이드(실측)'!AG7+1.2,D7))</f>
        <v>-1.2</v>
      </c>
      <c r="AN7" s="51">
        <f>IF(AE7&gt;0,AE7-MAX(V7,W7),0)</f>
        <v>0</v>
      </c>
      <c r="AO7" s="31" t="str">
        <f t="shared" ref="AO7" si="1">BF7&amp;"*"&amp;BG7</f>
        <v>0*-3.6</v>
      </c>
      <c r="AP7" s="31" t="str">
        <f t="shared" ref="AP7" si="2">BI7&amp;"*"&amp;BH7</f>
        <v>-1.2*-2.4</v>
      </c>
      <c r="AQ7" s="31" t="str">
        <f t="shared" ref="AQ7" si="3">BK7&amp;"*"&amp;BJ7</f>
        <v>-1.2*-2.4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-3.5999999999999996</v>
      </c>
      <c r="BH7" s="41">
        <f>X7+T7+MAX(L7,M7)+AG7-1.2*$AQ$3+IF(BN7=0,MAX(AI7,AH7),0)+IF(X7=0,1.2,0)-IF(AW7=90,2.4,0)</f>
        <v>-2.3999999999999995</v>
      </c>
      <c r="BI7" s="41">
        <f>MAX(Z7,AA7)+AL7</f>
        <v>-1.2</v>
      </c>
      <c r="BJ7" s="41">
        <f>Y7+U7+MAX(N7,O7)+AG7-1.2*$AQ$3+IF(BN7=0,MAX(AJ7,AK7),0)+IF(Y7=0,1.2,0)-IF(AW7=90,2.4,0)</f>
        <v>-2.3999999999999995</v>
      </c>
      <c r="BK7" s="41">
        <f>MAX(AB7,AC7)+AM7</f>
        <v>-1.2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sqref="A1:AD1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(판매)퇴계원-2차,   (재질) : HL 1.2T</v>
      </c>
      <c r="B3" s="2"/>
      <c r="C3" s="2"/>
      <c r="D3" s="2"/>
      <c r="E3" s="2"/>
      <c r="F3" s="2"/>
      <c r="G3" s="2"/>
      <c r="H3" s="2"/>
      <c r="I3" s="2"/>
      <c r="J3" s="239"/>
      <c r="K3" s="239"/>
      <c r="L3" s="246"/>
      <c r="M3" s="246"/>
      <c r="N3" s="247"/>
      <c r="O3" s="247"/>
      <c r="P3" s="248"/>
      <c r="Q3" s="248"/>
      <c r="R3" s="248"/>
      <c r="S3" s="243" t="s">
        <v>97</v>
      </c>
      <c r="T3" s="243"/>
      <c r="U3" s="244"/>
      <c r="V3" s="244"/>
      <c r="W3" s="245"/>
      <c r="X3" s="245"/>
    </row>
    <row r="4" spans="1:42" ht="33" customHeight="1" x14ac:dyDescent="0.3">
      <c r="A4" s="163" t="str">
        <f>정보!B16</f>
        <v>제작치수 반영 : JB/JD +(0 ),  늘어난치수K -(0),  C + (0),  U +(0), OP1/OP3 -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40" t="s">
        <v>21</v>
      </c>
      <c r="Y5" s="241"/>
      <c r="Z5" s="241"/>
      <c r="AA5" s="242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sqref="A1:AM1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0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302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0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(판매)퇴계원-2차,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0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0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324</v>
      </c>
      <c r="AL3" s="212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+(0 ),  늘어난치수K -(0),  C + (0),  U +(0), OP1/OP3 -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307</v>
      </c>
      <c r="AE4" s="343"/>
      <c r="AF4" s="343">
        <f>'4CO멍텅(실측)'!X7</f>
        <v>0</v>
      </c>
      <c r="AG4" s="343"/>
      <c r="AH4" s="9"/>
      <c r="AI4" s="222">
        <f ca="1">TODAY()</f>
        <v>45596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331</v>
      </c>
      <c r="O5" s="311" t="s">
        <v>332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40" t="s">
        <v>21</v>
      </c>
      <c r="AE5" s="241"/>
      <c r="AF5" s="241"/>
      <c r="AG5" s="242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300</v>
      </c>
      <c r="AQ5" s="177" t="s">
        <v>301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0</v>
      </c>
      <c r="D7" s="4">
        <f>'4CO멍텅(실측)'!D7</f>
        <v>0</v>
      </c>
      <c r="E7" s="4">
        <f>'4CO멍텅(실측)'!E7-CO4멍텅OP/2</f>
        <v>0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IF(BE7=0,H7+AF7-(I7+AF7),H7-I7)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0</v>
      </c>
      <c r="AE7" s="13">
        <f>IF(CO4멍텅JB하부늘치=1,AD7,'4CO멍텅(실측)'!Y7-CO4멍텅늘치차감)</f>
        <v>0</v>
      </c>
      <c r="AF7" s="13">
        <f>'4CO멍텅(실측)'!Z7-CO4멍텅늘치차감</f>
        <v>0</v>
      </c>
      <c r="AG7" s="13">
        <f>IF(CO4멍텅JB하부늘치=1,AF7,'4CO멍텅(실측)'!AA7-CO4멍텅늘치차감)</f>
        <v>0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+AR7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+AR7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(판매)퇴계원-2차,   (재질) : HL 1.2T</v>
      </c>
      <c r="B3" s="2"/>
      <c r="C3" s="2"/>
      <c r="D3" s="2"/>
      <c r="E3" s="2"/>
      <c r="F3" s="2"/>
      <c r="G3" s="239"/>
      <c r="H3" s="239"/>
      <c r="I3" s="239"/>
      <c r="J3" s="23"/>
      <c r="K3" s="246"/>
      <c r="L3" s="246"/>
      <c r="M3" s="247"/>
      <c r="N3" s="247"/>
      <c r="O3" s="248"/>
      <c r="P3" s="248"/>
      <c r="Q3" s="248"/>
      <c r="R3" s="120"/>
      <c r="S3" s="243" t="s">
        <v>97</v>
      </c>
      <c r="T3" s="243"/>
      <c r="U3" s="243"/>
      <c r="V3" s="244"/>
      <c r="W3" s="244"/>
      <c r="X3" s="245"/>
      <c r="Y3" s="245"/>
    </row>
    <row r="4" spans="1:40" ht="33" customHeight="1" x14ac:dyDescent="0.3">
      <c r="A4" s="163" t="str">
        <f>정보!B17</f>
        <v>제작치수 반영 : JB/JD +(0 ),  늘어난치수K -(0),  C + (0),   U + (0), OP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40" t="s">
        <v>21</v>
      </c>
      <c r="Z5" s="241"/>
      <c r="AA5" s="241"/>
      <c r="AB5" s="242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K5" sqref="K5:K6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213" t="s">
        <v>303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0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(판매)퇴계원-2차,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0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0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325</v>
      </c>
      <c r="AK3" s="212"/>
      <c r="AL3" s="160" t="e">
        <f>AO7</f>
        <v>#DIV/0!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+(0 ),  늘어난치수K -(0),  C + (0),   U + (0), OP - (0),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326</v>
      </c>
      <c r="Z4" s="355"/>
      <c r="AA4" s="356">
        <f>AC7</f>
        <v>0</v>
      </c>
      <c r="AB4" s="357"/>
      <c r="AC4" s="75"/>
      <c r="AD4" s="75"/>
      <c r="AE4" s="75"/>
      <c r="AF4" s="75"/>
      <c r="AG4" s="9"/>
      <c r="AH4" s="222">
        <f ca="1">TODAY()</f>
        <v>45596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40" t="s">
        <v>21</v>
      </c>
      <c r="AD5" s="241"/>
      <c r="AE5" s="241"/>
      <c r="AF5" s="242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300</v>
      </c>
      <c r="AM5" s="177" t="s">
        <v>301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0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0</v>
      </c>
      <c r="AD7" s="13">
        <f>IF(UP2멍텅JB하부늘치=1,AC7,'2UP(실측)'!Z7-UP2멍텅늘치차감)</f>
        <v>0</v>
      </c>
      <c r="AE7" s="13">
        <f>'2UP(실측)'!AA7-UP2멍텅늘치차감</f>
        <v>0</v>
      </c>
      <c r="AF7" s="13">
        <f>IF(UP2멍텅JB하부늘치=1,AE7,'2UP(실측)'!AB7-UP2멍텅늘치차감)</f>
        <v>0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(판매)퇴계원-2차 ) _김진섭소장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(판매)퇴계원-2차,   (재질) : HL 1.2T</v>
      </c>
      <c r="B3" s="2"/>
      <c r="C3" s="2"/>
      <c r="D3" s="2"/>
      <c r="E3" s="2"/>
      <c r="F3" s="2"/>
      <c r="G3" s="239"/>
      <c r="H3" s="239"/>
      <c r="I3" s="239"/>
      <c r="J3" s="239"/>
      <c r="K3" s="23"/>
      <c r="L3" s="23"/>
      <c r="M3" s="246"/>
      <c r="N3" s="246"/>
      <c r="O3" s="247"/>
      <c r="P3" s="247"/>
      <c r="Q3" s="248"/>
      <c r="R3" s="248"/>
      <c r="S3" s="248"/>
      <c r="T3" s="248"/>
      <c r="U3" s="120"/>
      <c r="V3" s="243" t="s">
        <v>97</v>
      </c>
      <c r="W3" s="243"/>
      <c r="X3" s="243"/>
      <c r="Y3" s="243"/>
      <c r="Z3" s="244"/>
      <c r="AA3" s="244"/>
      <c r="AB3" s="245"/>
      <c r="AC3" s="245"/>
    </row>
    <row r="4" spans="1:46" ht="33" customHeight="1" x14ac:dyDescent="0.3">
      <c r="A4" s="163" t="str">
        <f>정보!B18</f>
        <v>제작치수 반영 : JB/JD +(0 ),  늘어난치수K -(0),  C + (0),   U + (0), OP - (0), R - (0),  기둥차감 - (0), A +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40" t="s">
        <v>21</v>
      </c>
      <c r="AD5" s="241"/>
      <c r="AE5" s="241"/>
      <c r="AF5" s="241"/>
      <c r="AG5" s="241"/>
      <c r="AH5" s="242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298</v>
      </c>
      <c r="AE6" s="8" t="s">
        <v>53</v>
      </c>
      <c r="AF6" s="8" t="s">
        <v>54</v>
      </c>
      <c r="AG6" s="8" t="s">
        <v>299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(판매)퇴계원-2차 ) _김진섭소장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0</v>
      </c>
      <c r="C2" s="22" t="s">
        <v>86</v>
      </c>
      <c r="D2" s="48">
        <v>0</v>
      </c>
      <c r="E2" s="1"/>
      <c r="F2" s="1"/>
      <c r="G2" s="354" t="s">
        <v>304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0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(판매)퇴계원-2차,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0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0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321</v>
      </c>
      <c r="AQ3" s="374"/>
      <c r="AR3" s="160" t="e">
        <f>AU7</f>
        <v>#DIV/0!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+(0 ),  늘어난치수K -(0),  C + (0),   U + (0), OP - (0), R - (0),  기둥차감 - (0), A + (0)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327</v>
      </c>
      <c r="AD4" s="277"/>
      <c r="AE4" s="277">
        <f>AG7</f>
        <v>0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45596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40" t="s">
        <v>21</v>
      </c>
      <c r="AH5" s="241"/>
      <c r="AI5" s="241"/>
      <c r="AJ5" s="241"/>
      <c r="AK5" s="241"/>
      <c r="AL5" s="242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300</v>
      </c>
      <c r="AS5" s="177" t="s">
        <v>301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298</v>
      </c>
      <c r="AI6" s="8" t="s">
        <v>57</v>
      </c>
      <c r="AJ6" s="8" t="s">
        <v>54</v>
      </c>
      <c r="AK6" s="8" t="s">
        <v>299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0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0</v>
      </c>
      <c r="AH7" s="13">
        <f>IF(UP3멍텅JB하부늘치=1,AG7,'3UP(실측)'!AD7-UP3멍텅늘치차감)</f>
        <v>0</v>
      </c>
      <c r="AI7" s="13">
        <f>IF(UP3멍텅JB하부늘치=1,AG7,'3UP(실측)'!AE7-UP3멍텅늘치차감)</f>
        <v>0</v>
      </c>
      <c r="AJ7" s="13">
        <f>'3UP(실측)'!AF7-UP3멍텅늘치차감</f>
        <v>0</v>
      </c>
      <c r="AK7" s="13">
        <f>IF(UP3멍텅JB하부늘치=1,AJ7,'3UP(실측)'!AG7-UP3멍텅늘치차감)</f>
        <v>0</v>
      </c>
      <c r="AL7" s="13">
        <f>IF(UP3멍텅JB하부늘치=1,AJ7,'3UP(실측)'!AH7-UP3멍텅늘치차감)</f>
        <v>0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2022-12-02T03:36:41Z</cp:lastPrinted>
  <dcterms:created xsi:type="dcterms:W3CDTF">2020-01-09T06:39:51Z</dcterms:created>
  <dcterms:modified xsi:type="dcterms:W3CDTF">2024-10-31T07:09:48Z</dcterms:modified>
</cp:coreProperties>
</file>