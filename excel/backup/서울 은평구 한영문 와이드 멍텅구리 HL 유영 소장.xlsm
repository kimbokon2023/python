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16039BBA-6682-49B8-9762-D2944D3022C0}" xr6:coauthVersionLast="47" xr6:coauthVersionMax="47" xr10:uidLastSave="{00000000-0000-0000-0000-000000000000}"/>
  <bookViews>
    <workbookView xWindow="28680" yWindow="-120" windowWidth="29040" windowHeight="15840" tabRatio="947" activeTab="5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G8" i="10"/>
  <c r="O8" i="10"/>
  <c r="M8" i="10" s="1"/>
  <c r="K8" i="10" s="1"/>
  <c r="Q8" i="10"/>
  <c r="R8" i="10"/>
  <c r="S8" i="10"/>
  <c r="T8" i="10"/>
  <c r="W8" i="10"/>
  <c r="X8" i="10"/>
  <c r="Y8" i="10"/>
  <c r="Z8" i="10"/>
  <c r="AA8" i="10"/>
  <c r="AB8" i="10"/>
  <c r="AF8" i="10"/>
  <c r="AG8" i="10"/>
  <c r="AH8" i="10"/>
  <c r="AI8" i="10"/>
  <c r="AJ8" i="10"/>
  <c r="AK8" i="10"/>
  <c r="V8" i="10" s="1"/>
  <c r="AL8" i="10"/>
  <c r="I8" i="10" s="1"/>
  <c r="AU8" i="10"/>
  <c r="AW8" i="10"/>
  <c r="AZ8" i="10"/>
  <c r="E8" i="10" s="1"/>
  <c r="BA8" i="10"/>
  <c r="A9" i="10"/>
  <c r="B9" i="10"/>
  <c r="C9" i="10"/>
  <c r="D9" i="10"/>
  <c r="P9" i="10"/>
  <c r="N9" i="10" s="1"/>
  <c r="L9" i="10" s="1"/>
  <c r="Q9" i="10"/>
  <c r="R9" i="10"/>
  <c r="S9" i="10"/>
  <c r="AW9" i="10" s="1"/>
  <c r="T9" i="10"/>
  <c r="W9" i="10"/>
  <c r="X9" i="10"/>
  <c r="Y9" i="10"/>
  <c r="Z9" i="10"/>
  <c r="AA9" i="10"/>
  <c r="AB9" i="10" s="1"/>
  <c r="AF9" i="10"/>
  <c r="AG9" i="10"/>
  <c r="AH9" i="10"/>
  <c r="AI9" i="10"/>
  <c r="AJ9" i="10"/>
  <c r="AK9" i="10"/>
  <c r="V9" i="10" s="1"/>
  <c r="AL9" i="10"/>
  <c r="I9" i="10" s="1"/>
  <c r="AZ9" i="10"/>
  <c r="E9" i="10" s="1"/>
  <c r="BA9" i="10"/>
  <c r="A10" i="10"/>
  <c r="B10" i="10"/>
  <c r="C10" i="10"/>
  <c r="D10" i="10"/>
  <c r="O10" i="10"/>
  <c r="M10" i="10" s="1"/>
  <c r="K10" i="10" s="1"/>
  <c r="Q10" i="10"/>
  <c r="R10" i="10"/>
  <c r="AU10" i="10" s="1"/>
  <c r="S10" i="10"/>
  <c r="AW10" i="10" s="1"/>
  <c r="T10" i="10"/>
  <c r="W10" i="10"/>
  <c r="X10" i="10"/>
  <c r="Y10" i="10"/>
  <c r="Z10" i="10" s="1"/>
  <c r="AA10" i="10"/>
  <c r="AB10" i="10"/>
  <c r="AF10" i="10"/>
  <c r="AG10" i="10"/>
  <c r="AH10" i="10"/>
  <c r="AI10" i="10"/>
  <c r="AJ10" i="10"/>
  <c r="AK10" i="10"/>
  <c r="V10" i="10" s="1"/>
  <c r="AL10" i="10"/>
  <c r="BA10" i="10"/>
  <c r="A11" i="10"/>
  <c r="B11" i="10"/>
  <c r="C11" i="10"/>
  <c r="D11" i="10"/>
  <c r="Q11" i="10"/>
  <c r="AU11" i="10" s="1"/>
  <c r="R11" i="10"/>
  <c r="S11" i="10"/>
  <c r="T11" i="10"/>
  <c r="W11" i="10"/>
  <c r="X11" i="10"/>
  <c r="Y11" i="10"/>
  <c r="Z11" i="10"/>
  <c r="AA11" i="10"/>
  <c r="AB11" i="10" s="1"/>
  <c r="AF11" i="10"/>
  <c r="AG11" i="10"/>
  <c r="AH11" i="10"/>
  <c r="AI11" i="10"/>
  <c r="AJ11" i="10"/>
  <c r="AK11" i="10"/>
  <c r="V11" i="10" s="1"/>
  <c r="AL11" i="10"/>
  <c r="P11" i="10" s="1"/>
  <c r="AZ11" i="10"/>
  <c r="E11" i="10" s="1"/>
  <c r="BA11" i="10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U9" i="10" l="1"/>
  <c r="AW11" i="10"/>
  <c r="AN9" i="10"/>
  <c r="AX8" i="10"/>
  <c r="U9" i="10"/>
  <c r="AY9" i="10"/>
  <c r="AY8" i="10"/>
  <c r="U8" i="10"/>
  <c r="U11" i="10"/>
  <c r="AY11" i="10"/>
  <c r="AY10" i="10"/>
  <c r="U10" i="10"/>
  <c r="AN8" i="10"/>
  <c r="AO8" i="10" s="1"/>
  <c r="N11" i="10"/>
  <c r="L11" i="10" s="1"/>
  <c r="AV11" i="10"/>
  <c r="AE11" i="10" s="1"/>
  <c r="AN11" i="10"/>
  <c r="AO11" i="10" s="1"/>
  <c r="P10" i="10"/>
  <c r="P8" i="10"/>
  <c r="H8" i="10"/>
  <c r="AT8" i="10" s="1"/>
  <c r="AD8" i="10" s="1"/>
  <c r="J9" i="10"/>
  <c r="AV9" i="10" s="1"/>
  <c r="AE9" i="10" s="1"/>
  <c r="F8" i="10"/>
  <c r="I11" i="10"/>
  <c r="H11" i="10"/>
  <c r="H9" i="10"/>
  <c r="O11" i="10"/>
  <c r="G11" i="10"/>
  <c r="AX11" i="10" s="1"/>
  <c r="AZ10" i="10"/>
  <c r="O9" i="10"/>
  <c r="G9" i="10"/>
  <c r="AX9" i="10" s="1"/>
  <c r="J11" i="10"/>
  <c r="F11" i="10"/>
  <c r="F9" i="10"/>
  <c r="AP9" i="10" s="1"/>
  <c r="J8" i="10"/>
  <c r="C7" i="26"/>
  <c r="E7" i="26"/>
  <c r="AF4" i="26"/>
  <c r="AJ4" i="24"/>
  <c r="AE4" i="22"/>
  <c r="AI4" i="19"/>
  <c r="AA4" i="10"/>
  <c r="AE3" i="8"/>
  <c r="G10" i="10" l="1"/>
  <c r="E10" i="10"/>
  <c r="AS10" i="10" s="1"/>
  <c r="F10" i="10"/>
  <c r="AP8" i="10"/>
  <c r="AQ8" i="10"/>
  <c r="AS11" i="10"/>
  <c r="AP11" i="10"/>
  <c r="AS8" i="10"/>
  <c r="M11" i="10"/>
  <c r="K11" i="10" s="1"/>
  <c r="AR11" i="10" s="1"/>
  <c r="AT11" i="10"/>
  <c r="AD11" i="10" s="1"/>
  <c r="H10" i="10"/>
  <c r="I10" i="10"/>
  <c r="AV10" i="10" s="1"/>
  <c r="AE10" i="10" s="1"/>
  <c r="N10" i="10"/>
  <c r="L10" i="10" s="1"/>
  <c r="AR10" i="10" s="1"/>
  <c r="AQ11" i="10"/>
  <c r="J10" i="10"/>
  <c r="N8" i="10"/>
  <c r="L8" i="10" s="1"/>
  <c r="AR8" i="10" s="1"/>
  <c r="M9" i="10"/>
  <c r="K9" i="10" s="1"/>
  <c r="AR9" i="10" s="1"/>
  <c r="AT9" i="10"/>
  <c r="AD9" i="10" s="1"/>
  <c r="AT10" i="10"/>
  <c r="AD10" i="10" s="1"/>
  <c r="AQ9" i="10"/>
  <c r="AO9" i="10"/>
  <c r="AS9" i="10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C11" i="10" l="1"/>
  <c r="AC9" i="10"/>
  <c r="AC8" i="10"/>
  <c r="AV8" i="10"/>
  <c r="AE8" i="10" s="1"/>
  <c r="AQ10" i="10"/>
  <c r="AN10" i="10"/>
  <c r="AP10" i="10" s="1"/>
  <c r="AO10" i="10"/>
  <c r="AC10" i="10"/>
  <c r="AX10" i="10"/>
  <c r="AI7" i="32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M7" i="22" s="1"/>
  <c r="J7" i="22"/>
  <c r="V3" i="22"/>
  <c r="BD7" i="22"/>
  <c r="AW7" i="22"/>
  <c r="A4" i="22"/>
  <c r="AP7" i="8"/>
  <c r="Y7" i="14"/>
  <c r="O7" i="19" l="1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<sst xmlns="http://schemas.openxmlformats.org/spreadsheetml/2006/main" count="1171" uniqueCount="338">
  <si>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</si>
  <si>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</si>
  <si>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</si>
  <si>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</si>
  <si>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</si>
  <si>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</si>
  <si>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</si>
  <si>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</si>
  <si>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</si>
  <si>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</si>
  <si>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</si>
  <si>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</si>
  <si>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</si>
  <si>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</si>
  <si>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</si>
  <si>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</si>
  <si>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</si>
  <si>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</si>
  <si>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</si>
  <si>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</si>
  <si>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</si>
  <si>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</si>
  <si>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</si>
  <si>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</si>
  <si>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</si>
  <si>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</si>
  <si>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</si>
  <si>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</si>
  <si>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</si>
  <si>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</si>
  <si>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</si>
  <si>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</si>
  <si>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</si>
  <si>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</si>
  <si>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</si>
  <si>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</si>
  <si>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</si>
  <si>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</si>
  <si>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</si>
  <si>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</si>
  <si>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</si>
  <si>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</si>
  <si>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</si>
  <si>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</si>
  <si>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</si>
  <si>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</si>
  <si>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</si>
  <si>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</si>
  <si>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</si>
  <si>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</si>
  <si>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</si>
  <si>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</si>
  <si>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</si>
  <si>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</si>
  <si>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</si>
  <si>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</si>
  <si>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</si>
  <si>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</si>
  <si>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</si>
  <si>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</si>
  <si>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</si>
  <si>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</si>
  <si>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</si>
  <si>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</si>
  <si>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</si>
  <si>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</si>
  <si>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</si>
  <si>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</si>
  <si>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</si>
  <si>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</si>
  <si>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</si>
  <si>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</si>
  <si>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</si>
  <si>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</si>
  <si>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</si>
  <si>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</si>
  <si>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</si>
  <si>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</si>
  <si>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</si>
  <si>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</si>
  <si>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</si>
  <si>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</si>
  <si>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</si>
  <si>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</si>
  <si>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</si>
  <si>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</si>
  <si>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</si>
  <si>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</si>
  <si>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</si>
  <si>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</si>
  <si>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</si>
  <si>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</si>
  <si>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</si>
  <si>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</si>
  <si>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</si>
  <si>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</si>
  <si>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</si>
  <si>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</si>
  <si>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</si>
  <si>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</si>
  <si>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</si>
  <si>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</si>
  <si>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</si>
  <si>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</si>
  <si>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</si>
  <si>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</si>
  <si>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</si>
  <si>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</si>
  <si>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</si>
  <si>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</si>
  <si>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</si>
  <si>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</si>
  <si>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</si>
  <si>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</si>
  <si>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</si>
  <si>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</si>
  <si>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</si>
  <si>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</si>
  <si>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</si>
  <si>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</si>
  <si>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</si>
  <si>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</si>
  <si>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</si>
  <si>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</si>
  <si>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</si>
  <si>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</si>
  <si>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</si>
  <si>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</si>
  <si>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</si>
  <si>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</si>
  <si>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</si>
  <si>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</si>
  <si>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</si>
  <si>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</si>
  <si>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</si>
  <si>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</si>
  <si>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</si>
  <si>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</si>
  <si>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</si>
  <si>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</si>
  <si>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</si>
  <si>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</si>
  <si>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</si>
  <si>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</si>
  <si>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</si>
  <si>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</si>
  <si>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</si>
  <si>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</si>
  <si>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</si>
  <si>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</si>
  <si>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</si>
  <si>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</si>
  <si>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</si>
  <si>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</si>
  <si>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</si>
  <si>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</si>
  <si>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</si>
  <si>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</si>
  <si>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</si>
  <si>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</si>
  <si>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</si>
  <si>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</si>
  <si>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</si>
  <si>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</si>
  <si>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</si>
  <si>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</si>
  <si>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</si>
  <si>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</si>
  <si>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</si>
  <si>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</si>
  <si>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</si>
  <si>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</si>
  <si>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</si>
  <si>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</si>
  <si>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</si>
  <si>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</si>
  <si>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</si>
  <si>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</si>
  <si>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</si>
  <si>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</si>
  <si>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</si>
  <si>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</si>
  <si>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</si>
  <si>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</si>
  <si>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</si>
  <si>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</si>
  <si>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</si>
  <si>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</si>
  <si>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</si>
  <si>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</si>
  <si>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</si>
  <si>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</si>
  <si>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</si>
  <si>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</si>
  <si>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</si>
  <si>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</si>
  <si>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</si>
  <si>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</si>
  <si>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</si>
  <si>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</si>
  <si>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</si>
  <si>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</si>
  <si>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</si>
  <si>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</si>
  <si>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</si>
  <si>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</si>
  <si>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</si>
  <si>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</si>
  <si>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</si>
  <si>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</si>
  <si>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</si>
  <si>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</si>
  <si>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</si>
  <si>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</si>
  <si>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</si>
  <si>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</si>
  <si>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</si>
  <si>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</si>
  <si>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</si>
  <si>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</si>
  <si>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</si>
  <si>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</si>
  <si>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</si>
  <si>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</si>
  <si>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</si>
  <si>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</si>
  <si>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</si>
  <si>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</si>
  <si>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</si>
  <si>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</si>
  <si>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</si>
  <si>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</si>
  <si>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</si>
  <si>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</si>
  <si>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</si>
  <si>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</si>
  <si>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</si>
  <si>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</si>
  <si>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</si>
  <si>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</si>
  <si>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</si>
  <si>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</si>
  <si>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</si>
  <si>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</si>
  <si>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</si>
  <si>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</si>
  <si>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</si>
  <si>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</si>
  <si>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</si>
  <si>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</si>
  <si>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</si>
  <si>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</si>
  <si>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</si>
  <si>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</si>
  <si>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</si>
  <si>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</si>
  <si>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</si>
  <si>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</si>
  <si>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</si>
  <si>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</si>
  <si>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</si>
  <si>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</si>
  <si>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</si>
  <si>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</si>
  <si>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</si>
  <si>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</si>
  <si>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</si>
  <si>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</si>
  <si>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</si>
  <si>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</si>
  <si>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</si>
  <si>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</si>
  <si>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</si>
  <si>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</si>
  <si>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</si>
  <si>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</si>
  <si>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</si>
  <si>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</si>
  <si>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</si>
  <si>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</si>
  <si>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</si>
  <si>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</si>
  <si>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</si>
  <si>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</si>
  <si>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</si>
  <si>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</si>
  <si>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</si>
  <si>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</si>
  <si>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</si>
  <si>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</si>
  <si>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</si>
  <si>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</si>
  <si>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</si>
  <si>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</si>
  <si>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</si>
  <si>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</si>
  <si>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</si>
  <si>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</si>
  <si>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</si>
  <si>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</si>
  <si>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</si>
  <si>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</si>
  <si>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</si>
  <si>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</si>
  <si>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</si>
  <si>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</si>
  <si>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</si>
  <si>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</si>
  <si>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</si>
  <si>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</si>
  <si>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</si>
  <si>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</si>
  <si>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</si>
  <si>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</si>
  <si>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</si>
  <si>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</si>
  <si>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</si>
  <si>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</si>
  <si>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</si>
  <si>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</si>
  <si>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</si>
  <si>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</si>
  <si>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</si>
  <si>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</si>
  <si>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</si>
  <si>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</si>
  <si>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</si>
  <si>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</si>
  <si>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</si>
  <si>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</si>
  <si>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</si>
  <si>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</si>
  <si>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</si>
  <si>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</si>
  <si>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</si>
  <si>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서울 은평구 한영문</t>
  </si>
  <si>
    <t>TKEK HD S20D-OR</t>
  </si>
  <si>
    <t>유영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</si>
</sst>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은평구 한영문 ) _유영소장</v>
      </c>
      <c r="C2" s="39" t="str">
        <f>"(와이드) 제작변환 자료( "&amp;B1&amp;" ) _"&amp;소장 &amp;"소장"</f>
        <v>(와이드) 제작변환 자료( 서울 은평구 한영문 ) _유영소장</v>
      </c>
      <c r="D2" s="154" t="s">
        <v>317</v>
      </c>
      <c r="E2" s="150" t="str">
        <f>"(SO와이드) 실측서 ( " &amp; B1 &amp; " ) _"&amp;소장 &amp;"소장"</f>
        <v>(SO와이드) 실측서 ( 서울 은평구 한영문 ) _유영소장</v>
      </c>
      <c r="F2" s="150" t="str">
        <f>"(SO와이드) 제작변환 ( " &amp; B1 &amp; " ) _"&amp;소장 &amp;"소장"</f>
        <v>(SO와이드) 제작변환 ( 서울 은평구 한영문 ) _유영소장</v>
      </c>
      <c r="G2" s="152" t="s">
        <v>319</v>
      </c>
      <c r="H2" s="147" t="str">
        <f>"(4CO와이드) 실측서 ( " &amp; B1 &amp; " ) _"&amp;소장 &amp;"소장"</f>
        <v>(4CO와이드) 실측서 ( 서울 은평구 한영문 ) _유영소장</v>
      </c>
      <c r="I2" s="147" t="str">
        <f>"(4CO와이드) 제작변환 ( " &amp; B1 &amp; " ) _"&amp;소장 &amp;"소장"</f>
        <v>(4CO와이드) 제작변환 ( 서울 은평구 한영문 ) _유영소장</v>
      </c>
      <c r="J2" s="152" t="s">
        <v>321</v>
      </c>
      <c r="K2" s="153" t="str">
        <f>"(2UP) 실측서 ( " &amp; B1 &amp; " ) _"&amp;소장 &amp;"소장"</f>
        <v>(2UP) 실측서 ( 서울 은평구 한영문 ) _유영소장</v>
      </c>
      <c r="L2" s="153" t="str">
        <f>"(2UP) 제작변환 ( " &amp; B1 &amp; " ) _"&amp;소장 &amp;"소장"</f>
        <v>(2UP) 제작변환 ( 서울 은평구 한영문 ) _유영소장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은평구 한영문 ) _유영소장</v>
      </c>
      <c r="C3" s="39" t="str">
        <f>"(멍텅구리) 제작변환 자료( "&amp;B1&amp;" ) _"&amp;소장 &amp;"소장"</f>
        <v>(멍텅구리) 제작변환 자료( 서울 은평구 한영문 ) _유영소장</v>
      </c>
      <c r="D3" s="154" t="s">
        <v>318</v>
      </c>
      <c r="E3" s="150" t="str">
        <f>"(SO멍텅구리) 실측서 ( " &amp; B1 &amp; " ) _"&amp;소장 &amp;"소장"</f>
        <v>(SO멍텅구리) 실측서 ( 서울 은평구 한영문 ) _유영소장</v>
      </c>
      <c r="F3" s="150" t="str">
        <f>"(SO멍텅구리) 제작변환 ( " &amp; B1 &amp; " ) _"&amp;소장 &amp;"소장"</f>
        <v>(SO멍텅구리) 제작변환 ( 서울 은평구 한영문 ) _유영소장</v>
      </c>
      <c r="G3" s="152" t="s">
        <v>320</v>
      </c>
      <c r="H3" s="147" t="str">
        <f>"(4CO멍텅구리) 실측서 ( " &amp; B1 &amp; " ) _"&amp;소장 &amp;"소장"</f>
        <v>(4CO멍텅구리) 실측서 ( 서울 은평구 한영문 ) _유영소장</v>
      </c>
      <c r="I3" s="147" t="str">
        <f>"(4CO멍텅구리) 제작변환 ( " &amp; B1 &amp; " ) _"&amp;소장 &amp;"소장"</f>
        <v>(4CO멍텅구리) 제작변환 ( 서울 은평구 한영문 ) _유영소장</v>
      </c>
      <c r="J3" s="152" t="s">
        <v>322</v>
      </c>
      <c r="K3" s="153" t="str">
        <f>"(3UP) 실측서 ( " &amp; B1 &amp; " ) _"&amp;소장 &amp;"소장"</f>
        <v>(3UP) 실측서 ( 서울 은평구 한영문 ) _유영소장</v>
      </c>
      <c r="L3" s="153" t="str">
        <f>"(3UP) 제작변환 ( " &amp; B1 &amp; " ) _"&amp;소장 &amp;"소장"</f>
        <v>(3UP) 제작변환 ( 서울 은평구 한영문 ) _유영소장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은평구 한영문 ) _유영소장</v>
      </c>
      <c r="C4" s="39" t="str">
        <f>"(쪽쟘) 제작변환 자료( "&amp;B1&amp;" ) _"&amp;소장 &amp;"소장"</f>
        <v>(쪽쟘) 제작변환 자료( 서울 은평구 한영문 ) _유영소장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323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+(0 ),  늘어난치수K -(0),  C + (0),   U + (0), OP - (0), R - (0),  기둥차감 - (-2000),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(-2000),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서울 은평구 한영문</v>
      </c>
      <c r="E2" s="3" t="str">
        <f>정보!B6</f>
        <v>유영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45308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K7" sqref="AK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서울 은평구 한영문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(0), JB/JD +(0 ),  늘어난치수K -(0),  C + (0),   U + (0), OP - (0), R - (0),  기둥차감 - (-2000),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435</v>
      </c>
      <c r="D7" s="4">
        <v>435</v>
      </c>
      <c r="E7" s="4">
        <v>798</v>
      </c>
      <c r="F7" s="4">
        <v>883</v>
      </c>
      <c r="G7" s="4">
        <v>288</v>
      </c>
      <c r="H7" s="4">
        <v>288</v>
      </c>
      <c r="I7" s="4">
        <v>313</v>
      </c>
      <c r="J7" s="4">
        <v>313</v>
      </c>
      <c r="K7" s="13">
        <v>40</v>
      </c>
      <c r="L7" s="13">
        <v>40</v>
      </c>
      <c r="M7" s="4">
        <v>10</v>
      </c>
      <c r="N7" s="4">
        <v>10</v>
      </c>
      <c r="O7" s="4">
        <v>10</v>
      </c>
      <c r="P7" s="4">
        <v>10</v>
      </c>
      <c r="Q7" s="4">
        <v>96</v>
      </c>
      <c r="R7" s="4">
        <v>90</v>
      </c>
      <c r="S7" s="4">
        <v>96</v>
      </c>
      <c r="T7" s="4">
        <v>90</v>
      </c>
      <c r="U7" s="4">
        <v>40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>
        <v>80</v>
      </c>
      <c r="AH7" s="4">
        <v>20</v>
      </c>
      <c r="AI7" s="4">
        <v>10</v>
      </c>
      <c r="AJ7" s="4">
        <v>6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288</v>
      </c>
      <c r="AQ7" s="3">
        <f>H7-$AK7</f>
        <v>288</v>
      </c>
      <c r="AR7" s="3">
        <f>I7-$AK7</f>
        <v>313</v>
      </c>
      <c r="AS7" s="3">
        <f>J7-$AK7</f>
        <v>313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V3" sqref="V3:W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서울 은평구 한영문 ) _유영소장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-2000</v>
      </c>
      <c r="W2" s="221"/>
      <c r="X2" s="199" t="s">
        <v>205</v>
      </c>
      <c r="Y2" s="200"/>
      <c r="Z2" s="203" t="str">
        <f>정보!B5</f>
        <v>TKEK HD S20D-OR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0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서울 은평구 한영문,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0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1</v>
      </c>
      <c r="W3" s="226"/>
      <c r="X3" s="219" t="s">
        <v>78</v>
      </c>
      <c r="Y3" s="219"/>
      <c r="Z3" s="227">
        <v>0</v>
      </c>
      <c r="AA3" s="227"/>
      <c r="AC3" s="208" t="s">
        <v>310</v>
      </c>
      <c r="AD3" s="208"/>
      <c r="AE3" s="208">
        <f>'와이드(실측)'!Y7</f>
        <v>0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>
        <f>AU7</f>
        <v>8.3945211256532257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(0), JB/JD +(0 ),  늘어난치수K -(0),  C + (0),   U + (0), OP - (0), R - (0),  기둥차감 - (-2000), A + (0)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45308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435</v>
      </c>
      <c r="D7" s="31">
        <f>'와이드(실측)'!D7+와이드MH더함-IF(AND(소장="추영덕",Y7=0),1.2)</f>
        <v>435</v>
      </c>
      <c r="E7" s="135">
        <f>'와이드(실측)'!E7-와이드OP</f>
        <v>798</v>
      </c>
      <c r="F7" s="31">
        <f>'와이드(실측)'!F7-와이드R</f>
        <v>883</v>
      </c>
      <c r="G7" s="50">
        <f>'와이드(실측)'!G7+와이드JBJD키움치수+IF(BI7=1,AC7,0)</f>
        <v>288</v>
      </c>
      <c r="H7" s="50">
        <f>'와이드(실측)'!H7+와이드JBJD키움치수+IF(BI7=1,AE7,0)</f>
        <v>288</v>
      </c>
      <c r="I7" s="50">
        <f>'와이드(실측)'!I7+MAX(AS7,AT7)+와이드JBJD키움치수+IF(BI7=1,AC7,0)</f>
        <v>313</v>
      </c>
      <c r="J7" s="50">
        <f>'와이드(실측)'!I7+MAX(AS7,AT7)+와이드JBJD키움치수+IF(BI7=1,AD7,0)-IF(와이드JB하부늘치=1,'와이드(실측)'!Y7-'와이드(실측)'!Z7,0)</f>
        <v>313</v>
      </c>
      <c r="K7" s="50">
        <f>'와이드(실측)'!J7+MAX(AS7,AT7)+와이드JBJD키움치수+IF(BI7=1,AE7,0)</f>
        <v>313</v>
      </c>
      <c r="L7" s="50">
        <f>'와이드(실측)'!J7+MAX(AS7,AT7)+와이드JBJD키움치수+IF(BI7=1,AF7,0)-IF(와이드JB하부늘치=1,'와이드(실측)'!AA7-'와이드(실측)'!AB7,0)</f>
        <v>313</v>
      </c>
      <c r="M7" s="31">
        <f t="shared" ref="M7:N7" si="0">IF(소장="손상민",0,O7-1.5)</f>
        <v>38.5</v>
      </c>
      <c r="N7" s="31">
        <f t="shared" si="0"/>
        <v>38.5</v>
      </c>
      <c r="O7" s="31">
        <f>IF(S7&lt;9,'와이드(실측)'!K7+1.2,IF(ISNUMBER('와이드(실측)'!K7),'와이드(실측)'!K7+와이드C값,0))</f>
        <v>40</v>
      </c>
      <c r="P7" s="31">
        <f>IF(T7&lt;9,'와이드(실측)'!L7+1.2,IF(ISNUMBER('와이드(실측)'!L7),'와이드(실측)'!L7+와이드C값,0))</f>
        <v>40</v>
      </c>
      <c r="Q7" s="32">
        <f>ROUNDUP(AV7,1)</f>
        <v>21.700000000000003</v>
      </c>
      <c r="R7" s="38">
        <f>ROUNDUP(AW7,1)</f>
        <v>21.700000000000003</v>
      </c>
      <c r="S7" s="31">
        <f>IF(ISNUMBER('와이드(실측)'!O7),'와이드(실측)'!O7+와이드제작!AS7+와이드A늘림,0)</f>
        <v>10</v>
      </c>
      <c r="T7" s="31">
        <f>IF(ISNUMBER('와이드(실측)'!P7),'와이드(실측)'!P7+와이드제작!AT7+와이드A늘림,0)</f>
        <v>10</v>
      </c>
      <c r="U7" s="31">
        <f>'와이드(실측)'!Q7-와이드기둥차감</f>
        <v>2096</v>
      </c>
      <c r="V7" s="31">
        <f>'와이드(실측)'!R7-와이드기둥차감</f>
        <v>2090</v>
      </c>
      <c r="W7" s="31">
        <f>'와이드(실측)'!S7-와이드기둥차감</f>
        <v>2096</v>
      </c>
      <c r="X7" s="31">
        <f>'와이드(실측)'!T7-와이드기둥차감</f>
        <v>2090</v>
      </c>
      <c r="Y7" s="31">
        <f>IF(소장="손상민",IF(ISNUMBER('와이드(실측)'!U7),'와이드(실측)'!U7+1.2,0),IF(ISNUMBER('와이드(실측)'!U7),'와이드(실측)'!U7+와이드U,0))</f>
        <v>40</v>
      </c>
      <c r="Z7" s="31">
        <f>IF(소장="손상민",MAX(Q7,R7)+3.2,IF(ISNUMBER('와이드(실측)'!V7),'와이드(실측)'!V7+1.5+와이드제작!Q7+1,0))</f>
        <v>24.200000000000003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433.8</v>
      </c>
      <c r="AH7" s="31">
        <f xml:space="preserve"> IF(소장&lt;&gt;"손상민",IF('와이드(실측)'!AD7&gt;0,'와이드(실측)'!AD7,D7-1.2),IF('와이드(실측)'!AD7&gt;0,'와이드(실측)'!AD7+1.2,D7))</f>
        <v>433.8</v>
      </c>
      <c r="AI7" s="51">
        <f>IF(Z7&gt;0,Z7-MAX(Q7,R7),0)</f>
        <v>2.5</v>
      </c>
      <c r="AJ7" s="31" t="str">
        <f t="shared" ref="AJ7" si="1">BA7&amp;"*"&amp;BB7</f>
        <v>960*807.4</v>
      </c>
      <c r="AK7" s="31" t="str">
        <f t="shared" ref="AK7" si="2">BD7&amp;"*"&amp;BC7</f>
        <v>2529.8*388.2</v>
      </c>
      <c r="AL7" s="31" t="str">
        <f t="shared" ref="AL7" si="3">BF7&amp;"*"&amp;BE7</f>
        <v>2529.8*388.2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80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6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8.3945211256532257</v>
      </c>
      <c r="AV7" s="21">
        <f>ABS(G7-COS(RADIANS(AU7))*I7)</f>
        <v>21.646611130479812</v>
      </c>
      <c r="AW7" s="21">
        <f>ABS(H7-COS(RADIANS(AU7))*K7)</f>
        <v>21.646611130479812</v>
      </c>
      <c r="AX7" s="21">
        <f>'와이드(실측)'!M7+AS7</f>
        <v>10</v>
      </c>
      <c r="AY7" s="21">
        <f>'와이드(실측)'!N7+AS7</f>
        <v>10</v>
      </c>
      <c r="AZ7" s="20">
        <f>AV7-MAX(AX7,AY7)</f>
        <v>11.646611130479812</v>
      </c>
      <c r="BA7" s="41">
        <f>IF(소장&lt;&gt;"손상민",F7+IF(Y7+Z7&gt;0,N7+M7,0),F7)</f>
        <v>960</v>
      </c>
      <c r="BB7" s="42">
        <f>MAX(C7,D7)+MAX(G7,H7)+AA7-1.2*$AJ$3+IF(BI7=0,MAX(AE7,AC7),0)+IF(Y7=0,1.2,0)+IF(Z7=0,1.2,0)+IF(소장&lt;&gt;"손상민", Y7+Z7,IF('와이드(실측)'!U7=0,0,2.4))</f>
        <v>807.40000000000009</v>
      </c>
      <c r="BC7" s="41">
        <f>S7+O7+MAX(I7,J7)+AB7-1.2*$AL$3+IF(BI7=0,MAX(AD7,AC7),0)+IF(S7=0,1.2,0)-IF(AR7=90,2.4,0)</f>
        <v>388.2</v>
      </c>
      <c r="BD7" s="41">
        <f>MAX(U7,V7)+AG7</f>
        <v>2529.8000000000002</v>
      </c>
      <c r="BE7" s="41">
        <f>T7+P7+MAX(K7,L7)+AB7-1.2*$AL$3+IF(BI7=0,MAX(AE7,AF7),0)+IF(T7=0,1.2,0)-IF(AR7=90,2.4,0)</f>
        <v>388.2</v>
      </c>
      <c r="BF7" s="41">
        <f>MAX(W7,X7)+AH7</f>
        <v>2529.8000000000002</v>
      </c>
      <c r="BG7" s="6">
        <f t="shared" ref="BG7" si="4">I7-G7-Q7</f>
        <v>3.2999999999999972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J22" sqref="J22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은평구 한영문,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+(0 ),  늘어난치수K -(0),  C + (0),  U +(0), OP - (0), R - (0),  기둥차감 - (-2000), 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2</v>
      </c>
      <c r="C7" s="4">
        <v>798</v>
      </c>
      <c r="D7" s="4">
        <v>872</v>
      </c>
      <c r="E7" s="4">
        <v>287</v>
      </c>
      <c r="F7" s="4">
        <v>287</v>
      </c>
      <c r="G7" s="4">
        <v>288</v>
      </c>
      <c r="H7" s="4">
        <v>288</v>
      </c>
      <c r="I7" s="4">
        <v>40</v>
      </c>
      <c r="J7" s="4">
        <v>40</v>
      </c>
      <c r="K7" s="4">
        <v>14</v>
      </c>
      <c r="L7" s="4">
        <v>12</v>
      </c>
      <c r="M7" s="4">
        <v>105</v>
      </c>
      <c r="N7" s="4">
        <v>95</v>
      </c>
      <c r="O7" s="4">
        <v>105</v>
      </c>
      <c r="P7" s="4">
        <v>95</v>
      </c>
      <c r="Q7" s="4">
        <v>40</v>
      </c>
      <c r="R7" s="4">
        <v>9</v>
      </c>
      <c r="S7" s="4">
        <v>25</v>
      </c>
      <c r="T7" s="4">
        <v>30</v>
      </c>
      <c r="U7" s="4"/>
      <c r="V7" s="4"/>
      <c r="W7" s="4"/>
      <c r="X7" s="4"/>
      <c r="Y7" s="4">
        <v>20</v>
      </c>
      <c r="Z7" s="4">
        <v>10</v>
      </c>
      <c r="AA7" s="4">
        <v>6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287</v>
      </c>
      <c r="AK7" s="3">
        <f t="shared" si="1"/>
        <v>287</v>
      </c>
      <c r="AL7" s="3">
        <f t="shared" si="1"/>
        <v>288</v>
      </c>
      <c r="AM7" s="3">
        <f t="shared" si="1"/>
        <v>288</v>
      </c>
    </row>
    <row r="8" spans="1:39" ht="27" customHeight="1" x14ac:dyDescent="0.3">
      <c r="A8" s="127"/>
      <c r="B8" s="4">
        <v>3</v>
      </c>
      <c r="C8" s="4">
        <v>798</v>
      </c>
      <c r="D8" s="4">
        <v>872</v>
      </c>
      <c r="E8" s="4">
        <v>295</v>
      </c>
      <c r="F8" s="4">
        <v>295</v>
      </c>
      <c r="G8" s="4">
        <v>296</v>
      </c>
      <c r="H8" s="4">
        <v>296</v>
      </c>
      <c r="I8" s="4">
        <v>40</v>
      </c>
      <c r="J8" s="4">
        <v>40</v>
      </c>
      <c r="K8" s="4">
        <v>14</v>
      </c>
      <c r="L8" s="4">
        <v>12</v>
      </c>
      <c r="M8" s="4">
        <v>105</v>
      </c>
      <c r="N8" s="4">
        <v>90</v>
      </c>
      <c r="O8" s="4">
        <v>105</v>
      </c>
      <c r="P8" s="4">
        <v>90</v>
      </c>
      <c r="Q8" s="4">
        <v>40</v>
      </c>
      <c r="R8" s="4">
        <v>9</v>
      </c>
      <c r="S8" s="4">
        <v>25</v>
      </c>
      <c r="T8" s="4">
        <v>30</v>
      </c>
      <c r="U8" s="4"/>
      <c r="V8" s="4"/>
      <c r="W8" s="4"/>
      <c r="X8" s="4"/>
      <c r="Y8" s="4">
        <v>20</v>
      </c>
      <c r="Z8" s="4">
        <v>10</v>
      </c>
      <c r="AA8" s="4">
        <v>6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295</v>
      </c>
      <c r="AK8" s="3">
        <f t="shared" si="1"/>
        <v>295</v>
      </c>
      <c r="AL8" s="3">
        <f t="shared" si="1"/>
        <v>296</v>
      </c>
      <c r="AM8" s="3">
        <f t="shared" si="1"/>
        <v>296</v>
      </c>
    </row>
    <row r="9" spans="1:39" ht="27" customHeight="1" x14ac:dyDescent="0.3">
      <c r="A9" s="127"/>
      <c r="B9" s="4">
        <v>4</v>
      </c>
      <c r="C9" s="4">
        <v>798</v>
      </c>
      <c r="D9" s="4">
        <v>877</v>
      </c>
      <c r="E9" s="4">
        <v>309</v>
      </c>
      <c r="F9" s="4">
        <v>309</v>
      </c>
      <c r="G9" s="4">
        <v>310</v>
      </c>
      <c r="H9" s="4">
        <v>310</v>
      </c>
      <c r="I9" s="4">
        <v>40</v>
      </c>
      <c r="J9" s="4">
        <v>40</v>
      </c>
      <c r="K9" s="4">
        <v>14</v>
      </c>
      <c r="L9" s="4">
        <v>10</v>
      </c>
      <c r="M9" s="4">
        <v>100</v>
      </c>
      <c r="N9" s="4">
        <v>90</v>
      </c>
      <c r="O9" s="4">
        <v>100</v>
      </c>
      <c r="P9" s="4">
        <v>90</v>
      </c>
      <c r="Q9" s="4">
        <v>40</v>
      </c>
      <c r="R9" s="4">
        <v>9</v>
      </c>
      <c r="S9" s="4">
        <v>25</v>
      </c>
      <c r="T9" s="4">
        <v>30</v>
      </c>
      <c r="U9" s="4"/>
      <c r="V9" s="4"/>
      <c r="W9" s="4"/>
      <c r="X9" s="4"/>
      <c r="Y9" s="4">
        <v>20</v>
      </c>
      <c r="Z9" s="4">
        <v>10</v>
      </c>
      <c r="AA9" s="4">
        <v>6</v>
      </c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309</v>
      </c>
      <c r="AK9" s="3">
        <f t="shared" si="1"/>
        <v>309</v>
      </c>
      <c r="AL9" s="3">
        <f t="shared" si="1"/>
        <v>310</v>
      </c>
      <c r="AM9" s="3">
        <f t="shared" si="1"/>
        <v>310</v>
      </c>
    </row>
    <row r="10" spans="1:39" ht="27" customHeight="1" x14ac:dyDescent="0.3">
      <c r="A10" s="127"/>
      <c r="B10" s="4">
        <v>5</v>
      </c>
      <c r="C10" s="4">
        <v>798</v>
      </c>
      <c r="D10" s="4">
        <v>872</v>
      </c>
      <c r="E10" s="4">
        <v>295</v>
      </c>
      <c r="F10" s="4">
        <v>295</v>
      </c>
      <c r="G10" s="4">
        <v>296</v>
      </c>
      <c r="H10" s="4">
        <v>296</v>
      </c>
      <c r="I10" s="4">
        <v>40</v>
      </c>
      <c r="J10" s="4">
        <v>40</v>
      </c>
      <c r="K10" s="4">
        <v>12</v>
      </c>
      <c r="L10" s="4">
        <v>12</v>
      </c>
      <c r="M10" s="4">
        <v>100</v>
      </c>
      <c r="N10" s="4">
        <v>90</v>
      </c>
      <c r="O10" s="4">
        <v>100</v>
      </c>
      <c r="P10" s="4">
        <v>90</v>
      </c>
      <c r="Q10" s="4">
        <v>40</v>
      </c>
      <c r="R10" s="4">
        <v>9</v>
      </c>
      <c r="S10" s="4">
        <v>25</v>
      </c>
      <c r="T10" s="4">
        <v>30</v>
      </c>
      <c r="U10" s="4"/>
      <c r="V10" s="4"/>
      <c r="W10" s="4"/>
      <c r="X10" s="4"/>
      <c r="Y10" s="4">
        <v>20</v>
      </c>
      <c r="Z10" s="4">
        <v>10</v>
      </c>
      <c r="AA10" s="4">
        <v>6</v>
      </c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295</v>
      </c>
      <c r="AK10" s="3">
        <f t="shared" si="1"/>
        <v>295</v>
      </c>
      <c r="AL10" s="3">
        <f t="shared" si="1"/>
        <v>296</v>
      </c>
      <c r="AM10" s="3">
        <f t="shared" si="1"/>
        <v>296</v>
      </c>
    </row>
    <row r="11" spans="1:39" ht="27" customHeight="1" x14ac:dyDescent="0.3">
      <c r="A11" s="127"/>
      <c r="B11" s="4">
        <v>6</v>
      </c>
      <c r="C11" s="4">
        <v>798</v>
      </c>
      <c r="D11" s="4">
        <v>877</v>
      </c>
      <c r="E11" s="4">
        <v>317</v>
      </c>
      <c r="F11" s="4">
        <v>317</v>
      </c>
      <c r="G11" s="4">
        <v>318</v>
      </c>
      <c r="H11" s="4">
        <v>318</v>
      </c>
      <c r="I11" s="4">
        <v>40</v>
      </c>
      <c r="J11" s="4">
        <v>40</v>
      </c>
      <c r="K11" s="4">
        <v>16</v>
      </c>
      <c r="L11" s="4">
        <v>10</v>
      </c>
      <c r="M11" s="4">
        <v>90</v>
      </c>
      <c r="N11" s="4">
        <v>90</v>
      </c>
      <c r="O11" s="4">
        <v>96</v>
      </c>
      <c r="P11" s="4">
        <v>90</v>
      </c>
      <c r="Q11" s="4">
        <v>40</v>
      </c>
      <c r="R11" s="4">
        <v>9</v>
      </c>
      <c r="S11" s="4">
        <v>25</v>
      </c>
      <c r="T11" s="4">
        <v>30</v>
      </c>
      <c r="U11" s="4"/>
      <c r="V11" s="4"/>
      <c r="W11" s="4"/>
      <c r="X11" s="4"/>
      <c r="Y11" s="4">
        <v>20</v>
      </c>
      <c r="Z11" s="4">
        <v>10</v>
      </c>
      <c r="AA11" s="4">
        <v>6</v>
      </c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317</v>
      </c>
      <c r="AK11" s="3">
        <f t="shared" si="1"/>
        <v>317</v>
      </c>
      <c r="AL11" s="3">
        <f t="shared" si="1"/>
        <v>318</v>
      </c>
      <c r="AM11" s="3">
        <f t="shared" si="1"/>
        <v>318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1"/>
  <sheetViews>
    <sheetView tabSelected="1" zoomScale="70" zoomScaleNormal="70" workbookViewId="0">
      <selection activeCell="AA3" sqref="AA3:AB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-2000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서울 은평구 한영문,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0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7.3460448348199838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+(0 ),  늘어난치수K -(0),  C + (0),  U +(0), OP - (0), R - (0),  기둥차감 - (-2000),  A + (0)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0</v>
      </c>
      <c r="AB4" s="257"/>
      <c r="AC4" s="9"/>
      <c r="AD4" s="185">
        <f ca="1">TODAY()</f>
        <v>45308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2F</v>
      </c>
      <c r="C7" s="4">
        <f>'멍텅(실측)'!C7-멍텅OP</f>
        <v>798</v>
      </c>
      <c r="D7" s="4">
        <f>'멍텅(실측)'!D7-멍텅R</f>
        <v>872</v>
      </c>
      <c r="E7" s="50">
        <f>'멍텅(실측)'!E7+MAX(AK7,AL7)+IF(AZ7=1,Y7,0)+멍텅JBJD늘림치수</f>
        <v>287</v>
      </c>
      <c r="F7" s="50">
        <f>'멍텅(실측)'!F7+MAX(AK7,AL7)+IF(AZ7=1,AA7,0)+멍텅JBJD늘림치수</f>
        <v>287</v>
      </c>
      <c r="G7" s="50">
        <f>'멍텅(실측)'!G7+AK7+IF(AZ7=1,Y7,0)+멍텅JB강제키움+멍텅JBJD늘림치수</f>
        <v>288</v>
      </c>
      <c r="H7" s="50">
        <f>'멍텅(실측)'!G7+AK7+IF(AZ7=1,Z7,0)+멍텅JB강제키움+멍텅JBJD늘림치수-IF(멍텅JB하부늘치=1,'멍텅(실측)'!U7-'멍텅(실측)'!V7,0)</f>
        <v>288</v>
      </c>
      <c r="I7" s="50">
        <f>'멍텅(실측)'!H7+AL7+IF(AZ7=1,AA7,0)+멍텅JB강제키움+멍텅JBJD늘림치수</f>
        <v>288</v>
      </c>
      <c r="J7" s="50">
        <f>'멍텅(실측)'!H7+AL7+IF(AZ7=1,AB7,0)+멍텅JB강제키움+멍텅JBJD늘림치수-IF(멍텅JB하부늘치=1,'멍텅(실측)'!W7-'멍텅(실측)'!X7,0)</f>
        <v>288</v>
      </c>
      <c r="K7" s="4">
        <f t="shared" ref="K7:L7" si="0">M7+IF(소장="손상민",0,-1.5)</f>
        <v>38.5</v>
      </c>
      <c r="L7" s="4">
        <f t="shared" si="0"/>
        <v>38.5</v>
      </c>
      <c r="M7" s="4">
        <f>IF(O7&gt;0,'멍텅(실측)'!I7+멍텅C늘림,'멍텅(실측)'!I7+1)</f>
        <v>40</v>
      </c>
      <c r="N7" s="4">
        <f>IF(P7&gt;0,'멍텅(실측)'!J7+멍텅C늘림,'멍텅(실측)'!J7+1)</f>
        <v>40</v>
      </c>
      <c r="O7" s="4">
        <f>IF(ISNUMBER('멍텅(실측)'!K7),'멍텅(실측)'!K7+멍텅제작!AK7+멍텅A늘림,0)</f>
        <v>14</v>
      </c>
      <c r="P7" s="4">
        <f>IF(ISNUMBER('멍텅(실측)'!L7),'멍텅(실측)'!L7+멍텅제작!AL7+멍텅A늘림,0)</f>
        <v>12</v>
      </c>
      <c r="Q7" s="4">
        <f>'멍텅(실측)'!M7-멍텅기둥차감</f>
        <v>2105</v>
      </c>
      <c r="R7" s="4">
        <f>'멍텅(실측)'!N7-멍텅기둥차감</f>
        <v>2095</v>
      </c>
      <c r="S7" s="4">
        <f>'멍텅(실측)'!O7-멍텅기둥차감</f>
        <v>2105</v>
      </c>
      <c r="T7" s="4">
        <f>'멍텅(실측)'!P7-멍텅기둥차감</f>
        <v>2095</v>
      </c>
      <c r="U7" s="4">
        <f>IF(ISNUMBER('멍텅(실측)'!Q7),IF(V7&gt;0,'멍텅(실측)'!Q7+멍텅U늘림,'멍텅(실측)'!Q7+1.2),0)</f>
        <v>40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25</v>
      </c>
      <c r="X7" s="4">
        <f>'멍텅(실측)'!T7+뒷날개치수더함</f>
        <v>30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949*357.4</v>
      </c>
      <c r="AD7" s="12" t="str">
        <f t="shared" ref="AD7" si="2">AU7&amp;"*"&amp;AT7</f>
        <v>2105*367.2</v>
      </c>
      <c r="AE7" s="10" t="str">
        <f t="shared" ref="AE7" si="3">AW7&amp;"*"&amp;AV7</f>
        <v>2105*365.2</v>
      </c>
      <c r="AF7" s="4">
        <f>IF('멍텅(실측)'!Y7&gt;5,'멍텅(실측)'!Y7+뒷날개치수더함,'멍텅(실측)'!Y7)</f>
        <v>20</v>
      </c>
      <c r="AG7" s="4">
        <f>'멍텅(실측)'!Z7</f>
        <v>10</v>
      </c>
      <c r="AH7" s="4">
        <f>'멍텅(실측)'!AA7</f>
        <v>6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7.3460448348199838</v>
      </c>
      <c r="AO7" s="36">
        <f>IF(소장="박철우",E7-COS(RADIANS(AN7))*G7+2,E7-COS(RADIANS(AN7))*G7)</f>
        <v>1.3639014458281622</v>
      </c>
      <c r="AP7" s="36">
        <f>IF(소장="박철우",F7-COS(RADIANS(AN7))*I7+2,F7-COS(RADIANS(AN7))*I7)</f>
        <v>1.3639014458281622</v>
      </c>
      <c r="AQ7" s="46" t="str">
        <f t="shared" ref="AQ7" si="5">IF(E7+Y7&lt;&gt;F7+AA7,"JD비대칭","")</f>
        <v/>
      </c>
      <c r="AR7" s="3">
        <f>D7 + IF(U7+V7&gt;0, K7+L7,0)</f>
        <v>949</v>
      </c>
      <c r="AS7" s="3">
        <f>U7+MAX(E7,F7)+W7+V7-1.2*$AC$3+IF(AZ7=0,MAX(Y7,AA7))+IF(V7=0,1.2,0)</f>
        <v>357.4</v>
      </c>
      <c r="AT7" s="3">
        <f>O7+M7+MAX(G7,H7)+X7-1.2*$AE$3+IF(AZ7=0,MAX(Y7,Z7))+IF(O7=0,1.2,0)-IF(AH7=90,2.4,0)</f>
        <v>367.2</v>
      </c>
      <c r="AU7" s="3">
        <f t="shared" ref="AU7" si="6">MAX(Q7,R7)</f>
        <v>2105</v>
      </c>
      <c r="AV7" s="3">
        <f>P7+N7+MAX(I7,J7)+X7-1.2*$AE$3+IF(AZ7=0,MAX(AA7,AB7))+IF(P7=0,1.2,0)-IF(AH7=90,2.4,0)</f>
        <v>365.2</v>
      </c>
      <c r="AW7" s="3">
        <f t="shared" ref="AW7" si="7">MAX(S7,T7)</f>
        <v>2105</v>
      </c>
      <c r="AX7">
        <f t="shared" ref="AX7" si="8">G7-E7</f>
        <v>1</v>
      </c>
      <c r="AY7">
        <f t="shared" ref="AY7" si="9">9-V7</f>
        <v>0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3F</v>
      </c>
      <c r="C8" s="4">
        <f>'멍텅(실측)'!C8-멍텅OP</f>
        <v>798</v>
      </c>
      <c r="D8" s="4">
        <f>'멍텅(실측)'!D8-멍텅R</f>
        <v>872</v>
      </c>
      <c r="E8" s="50">
        <f>'멍텅(실측)'!E8+MAX(AK8,AL8)+IF(AZ8=1,Y8,0)+멍텅JBJD늘림치수</f>
        <v>295</v>
      </c>
      <c r="F8" s="50">
        <f>'멍텅(실측)'!F8+MAX(AK8,AL8)+IF(AZ8=1,AA8,0)+멍텅JBJD늘림치수</f>
        <v>295</v>
      </c>
      <c r="G8" s="50">
        <f>'멍텅(실측)'!G8+AK8+IF(AZ8=1,Y8,0)+멍텅JB강제키움+멍텅JBJD늘림치수</f>
        <v>296</v>
      </c>
      <c r="H8" s="50">
        <f>'멍텅(실측)'!G8+AK8+IF(AZ8=1,Z8,0)+멍텅JB강제키움+멍텅JBJD늘림치수-IF(멍텅JB하부늘치=1,'멍텅(실측)'!U8-'멍텅(실측)'!V8,0)</f>
        <v>296</v>
      </c>
      <c r="I8" s="50">
        <f>'멍텅(실측)'!H8+AL8+IF(AZ8=1,AA8,0)+멍텅JB강제키움+멍텅JBJD늘림치수</f>
        <v>296</v>
      </c>
      <c r="J8" s="50">
        <f>'멍텅(실측)'!H8+AL8+IF(AZ8=1,AB8,0)+멍텅JB강제키움+멍텅JBJD늘림치수-IF(멍텅JB하부늘치=1,'멍텅(실측)'!W8-'멍텅(실측)'!X8,0)</f>
        <v>296</v>
      </c>
      <c r="K8" s="4">
        <f t="shared" ref="K8:K11" si="10">M8+IF(소장="손상민",0,-1.5)</f>
        <v>38.5</v>
      </c>
      <c r="L8" s="4">
        <f t="shared" ref="L8:L11" si="11">N8+IF(소장="손상민",0,-1.5)</f>
        <v>38.5</v>
      </c>
      <c r="M8" s="4">
        <f>IF(O8&gt;0,'멍텅(실측)'!I8+멍텅C늘림,'멍텅(실측)'!I8+1)</f>
        <v>40</v>
      </c>
      <c r="N8" s="4">
        <f>IF(P8&gt;0,'멍텅(실측)'!J8+멍텅C늘림,'멍텅(실측)'!J8+1)</f>
        <v>40</v>
      </c>
      <c r="O8" s="4">
        <f>IF(ISNUMBER('멍텅(실측)'!K8),'멍텅(실측)'!K8+멍텅제작!AK8+멍텅A늘림,0)</f>
        <v>14</v>
      </c>
      <c r="P8" s="4">
        <f>IF(ISNUMBER('멍텅(실측)'!L8),'멍텅(실측)'!L8+멍텅제작!AL8+멍텅A늘림,0)</f>
        <v>12</v>
      </c>
      <c r="Q8" s="4">
        <f>'멍텅(실측)'!M8-멍텅기둥차감</f>
        <v>2105</v>
      </c>
      <c r="R8" s="4">
        <f>'멍텅(실측)'!N8-멍텅기둥차감</f>
        <v>2090</v>
      </c>
      <c r="S8" s="4">
        <f>'멍텅(실측)'!O8-멍텅기둥차감</f>
        <v>2105</v>
      </c>
      <c r="T8" s="4">
        <f>'멍텅(실측)'!P8-멍텅기둥차감</f>
        <v>2090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25</v>
      </c>
      <c r="X8" s="4">
        <f>'멍텅(실측)'!T8+뒷날개치수더함</f>
        <v>30</v>
      </c>
      <c r="Y8" s="13">
        <f>'멍텅(실측)'!U8-멍텅늘치차감</f>
        <v>0</v>
      </c>
      <c r="Z8" s="13">
        <f>IF(멍텅JB하부늘치=1,Y8,'멍텅(실측)'!V8-멍텅늘치차감)</f>
        <v>0</v>
      </c>
      <c r="AA8" s="13">
        <f>'멍텅(실측)'!W8-멍텅늘치차감</f>
        <v>0</v>
      </c>
      <c r="AB8" s="13">
        <f>IF(멍텅JB하부늘치=1,AA8,'멍텅(실측)'!X8-멍텅늘치차감)</f>
        <v>0</v>
      </c>
      <c r="AC8" s="11" t="str">
        <f t="shared" ref="AC8:AC11" si="12">AR8&amp;"*"&amp;AS8</f>
        <v>949*365.4</v>
      </c>
      <c r="AD8" s="12" t="str">
        <f t="shared" ref="AD8:AD11" si="13">AU8&amp;"*"&amp;AT8</f>
        <v>2105*375.2</v>
      </c>
      <c r="AE8" s="10" t="str">
        <f t="shared" ref="AE8:AE11" si="14">AW8&amp;"*"&amp;AV8</f>
        <v>2105*373.2</v>
      </c>
      <c r="AF8" s="4">
        <f>IF('멍텅(실측)'!Y8&gt;5,'멍텅(실측)'!Y8+뒷날개치수더함,'멍텅(실측)'!Y8)</f>
        <v>20</v>
      </c>
      <c r="AG8" s="4">
        <f>'멍텅(실측)'!Z8</f>
        <v>10</v>
      </c>
      <c r="AH8" s="4">
        <f>'멍텅(실측)'!AA8</f>
        <v>6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1" si="15">DEGREES(ATAN((D8-C8)/2/(E8)))</f>
        <v>7.1489194678792902</v>
      </c>
      <c r="AO8" s="36">
        <f>IF(소장="박철우",E8-COS(RADIANS(AN8))*G8+2,E8-COS(RADIANS(AN8))*G8)</f>
        <v>1.3010908145267308</v>
      </c>
      <c r="AP8" s="36">
        <f>IF(소장="박철우",F8-COS(RADIANS(AN8))*I8+2,F8-COS(RADIANS(AN8))*I8)</f>
        <v>1.3010908145267308</v>
      </c>
      <c r="AQ8" s="46" t="str">
        <f t="shared" ref="AQ8:AQ11" si="16">IF(E8+Y8&lt;&gt;F8+AA8,"JD비대칭","")</f>
        <v/>
      </c>
      <c r="AR8" s="3">
        <f t="shared" ref="AR8:AR11" si="17">D8 + IF(U8+V8&gt;0, K8+L8,0)</f>
        <v>949</v>
      </c>
      <c r="AS8" s="3">
        <f t="shared" ref="AS8:AS11" si="18">U8+MAX(E8,F8)+W8+V8-1.2*$AC$3+IF(AZ8=0,MAX(Y8,AA8))+IF(V8=0,1.2,0)</f>
        <v>365.4</v>
      </c>
      <c r="AT8" s="3">
        <f t="shared" ref="AT8:AT11" si="19">O8+M8+MAX(G8,H8)+X8-1.2*$AE$3+IF(AZ8=0,MAX(Y8,Z8))+IF(O8=0,1.2,0)-IF(AH8=90,2.4,0)</f>
        <v>375.2</v>
      </c>
      <c r="AU8" s="3">
        <f t="shared" ref="AU8:AU11" si="20">MAX(Q8,R8)</f>
        <v>2105</v>
      </c>
      <c r="AV8" s="3">
        <f t="shared" ref="AV8:AV11" si="21">P8+N8+MAX(I8,J8)+X8-1.2*$AE$3+IF(AZ8=0,MAX(AA8,AB8))+IF(P8=0,1.2,0)-IF(AH8=90,2.4,0)</f>
        <v>373.2</v>
      </c>
      <c r="AW8" s="3">
        <f t="shared" ref="AW8:AW11" si="22">MAX(S8,T8)</f>
        <v>2105</v>
      </c>
      <c r="AX8">
        <f t="shared" ref="AX8:AX11" si="23">G8-E8</f>
        <v>1</v>
      </c>
      <c r="AY8">
        <f t="shared" ref="AY8:AY11" si="24">9-V8</f>
        <v>0</v>
      </c>
      <c r="AZ8" s="79">
        <f t="shared" ref="AZ8:AZ11" si="25">IF(AND(MIN(Y8,AA8)&gt;=9.2,D8-C8&gt;15),0,1)</f>
        <v>1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4F</v>
      </c>
      <c r="C9" s="4">
        <f>'멍텅(실측)'!C9-멍텅OP</f>
        <v>798</v>
      </c>
      <c r="D9" s="4">
        <f>'멍텅(실측)'!D9-멍텅R</f>
        <v>877</v>
      </c>
      <c r="E9" s="50">
        <f>'멍텅(실측)'!E9+MAX(AK9,AL9)+IF(AZ9=1,Y9,0)+멍텅JBJD늘림치수</f>
        <v>309</v>
      </c>
      <c r="F9" s="50">
        <f>'멍텅(실측)'!F9+MAX(AK9,AL9)+IF(AZ9=1,AA9,0)+멍텅JBJD늘림치수</f>
        <v>309</v>
      </c>
      <c r="G9" s="50">
        <f>'멍텅(실측)'!G9+AK9+IF(AZ9=1,Y9,0)+멍텅JB강제키움+멍텅JBJD늘림치수</f>
        <v>310</v>
      </c>
      <c r="H9" s="50">
        <f>'멍텅(실측)'!G9+AK9+IF(AZ9=1,Z9,0)+멍텅JB강제키움+멍텅JBJD늘림치수-IF(멍텅JB하부늘치=1,'멍텅(실측)'!U9-'멍텅(실측)'!V9,0)</f>
        <v>310</v>
      </c>
      <c r="I9" s="50">
        <f>'멍텅(실측)'!H9+AL9+IF(AZ9=1,AA9,0)+멍텅JB강제키움+멍텅JBJD늘림치수</f>
        <v>310</v>
      </c>
      <c r="J9" s="50">
        <f>'멍텅(실측)'!H9+AL9+IF(AZ9=1,AB9,0)+멍텅JB강제키움+멍텅JBJD늘림치수-IF(멍텅JB하부늘치=1,'멍텅(실측)'!W9-'멍텅(실측)'!X9,0)</f>
        <v>310</v>
      </c>
      <c r="K9" s="4">
        <f t="shared" si="10"/>
        <v>38.5</v>
      </c>
      <c r="L9" s="4">
        <f t="shared" si="11"/>
        <v>38.5</v>
      </c>
      <c r="M9" s="4">
        <f>IF(O9&gt;0,'멍텅(실측)'!I9+멍텅C늘림,'멍텅(실측)'!I9+1)</f>
        <v>40</v>
      </c>
      <c r="N9" s="4">
        <f>IF(P9&gt;0,'멍텅(실측)'!J9+멍텅C늘림,'멍텅(실측)'!J9+1)</f>
        <v>40</v>
      </c>
      <c r="O9" s="4">
        <f>IF(ISNUMBER('멍텅(실측)'!K9),'멍텅(실측)'!K9+멍텅제작!AK9+멍텅A늘림,0)</f>
        <v>14</v>
      </c>
      <c r="P9" s="4">
        <f>IF(ISNUMBER('멍텅(실측)'!L9),'멍텅(실측)'!L9+멍텅제작!AL9+멍텅A늘림,0)</f>
        <v>10</v>
      </c>
      <c r="Q9" s="4">
        <f>'멍텅(실측)'!M9-멍텅기둥차감</f>
        <v>2100</v>
      </c>
      <c r="R9" s="4">
        <f>'멍텅(실측)'!N9-멍텅기둥차감</f>
        <v>2090</v>
      </c>
      <c r="S9" s="4">
        <f>'멍텅(실측)'!O9-멍텅기둥차감</f>
        <v>2100</v>
      </c>
      <c r="T9" s="4">
        <f>'멍텅(실측)'!P9-멍텅기둥차감</f>
        <v>2090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25</v>
      </c>
      <c r="X9" s="4">
        <f>'멍텅(실측)'!T9+뒷날개치수더함</f>
        <v>30</v>
      </c>
      <c r="Y9" s="13">
        <f>'멍텅(실측)'!U9-멍텅늘치차감</f>
        <v>0</v>
      </c>
      <c r="Z9" s="13">
        <f>IF(멍텅JB하부늘치=1,Y9,'멍텅(실측)'!V9-멍텅늘치차감)</f>
        <v>0</v>
      </c>
      <c r="AA9" s="13">
        <f>'멍텅(실측)'!W9-멍텅늘치차감</f>
        <v>0</v>
      </c>
      <c r="AB9" s="13">
        <f>IF(멍텅JB하부늘치=1,AA9,'멍텅(실측)'!X9-멍텅늘치차감)</f>
        <v>0</v>
      </c>
      <c r="AC9" s="11" t="str">
        <f t="shared" si="12"/>
        <v>954*379.4</v>
      </c>
      <c r="AD9" s="12" t="str">
        <f t="shared" si="13"/>
        <v>2100*389.2</v>
      </c>
      <c r="AE9" s="10" t="str">
        <f t="shared" si="14"/>
        <v>2100*385.2</v>
      </c>
      <c r="AF9" s="4">
        <f>IF('멍텅(실측)'!Y9&gt;5,'멍텅(실측)'!Y9+뒷날개치수더함,'멍텅(실측)'!Y9)</f>
        <v>20</v>
      </c>
      <c r="AG9" s="4">
        <f>'멍텅(실측)'!Z9</f>
        <v>10</v>
      </c>
      <c r="AH9" s="4">
        <f>'멍텅(실측)'!AA9</f>
        <v>6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5"/>
        <v>7.2847095274971778</v>
      </c>
      <c r="AO9" s="36">
        <f>IF(소장="박철우",E9-COS(RADIANS(AN9))*G9+2,E9-COS(RADIANS(AN9))*G9)</f>
        <v>1.5022217656206749</v>
      </c>
      <c r="AP9" s="36">
        <f>IF(소장="박철우",F9-COS(RADIANS(AN9))*I9+2,F9-COS(RADIANS(AN9))*I9)</f>
        <v>1.5022217656206749</v>
      </c>
      <c r="AQ9" s="46" t="str">
        <f t="shared" si="16"/>
        <v/>
      </c>
      <c r="AR9" s="3">
        <f t="shared" si="17"/>
        <v>954</v>
      </c>
      <c r="AS9" s="3">
        <f t="shared" si="18"/>
        <v>379.4</v>
      </c>
      <c r="AT9" s="3">
        <f t="shared" si="19"/>
        <v>389.2</v>
      </c>
      <c r="AU9" s="3">
        <f t="shared" si="20"/>
        <v>2100</v>
      </c>
      <c r="AV9" s="3">
        <f t="shared" si="21"/>
        <v>385.2</v>
      </c>
      <c r="AW9" s="3">
        <f t="shared" si="22"/>
        <v>2100</v>
      </c>
      <c r="AX9">
        <f t="shared" si="23"/>
        <v>1</v>
      </c>
      <c r="AY9">
        <f t="shared" si="24"/>
        <v>0</v>
      </c>
      <c r="AZ9" s="79">
        <f t="shared" si="25"/>
        <v>1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5F</v>
      </c>
      <c r="C10" s="4">
        <f>'멍텅(실측)'!C10-멍텅OP</f>
        <v>798</v>
      </c>
      <c r="D10" s="4">
        <f>'멍텅(실측)'!D10-멍텅R</f>
        <v>872</v>
      </c>
      <c r="E10" s="50">
        <f>'멍텅(실측)'!E10+MAX(AK10,AL10)+IF(AZ10=1,Y10,0)+멍텅JBJD늘림치수</f>
        <v>295</v>
      </c>
      <c r="F10" s="50">
        <f>'멍텅(실측)'!F10+MAX(AK10,AL10)+IF(AZ10=1,AA10,0)+멍텅JBJD늘림치수</f>
        <v>295</v>
      </c>
      <c r="G10" s="50">
        <f>'멍텅(실측)'!G10+AK10+IF(AZ10=1,Y10,0)+멍텅JB강제키움+멍텅JBJD늘림치수</f>
        <v>296</v>
      </c>
      <c r="H10" s="50">
        <f>'멍텅(실측)'!G10+AK10+IF(AZ10=1,Z10,0)+멍텅JB강제키움+멍텅JBJD늘림치수-IF(멍텅JB하부늘치=1,'멍텅(실측)'!U10-'멍텅(실측)'!V10,0)</f>
        <v>296</v>
      </c>
      <c r="I10" s="50">
        <f>'멍텅(실측)'!H10+AL10+IF(AZ10=1,AA10,0)+멍텅JB강제키움+멍텅JBJD늘림치수</f>
        <v>296</v>
      </c>
      <c r="J10" s="50">
        <f>'멍텅(실측)'!H10+AL10+IF(AZ10=1,AB10,0)+멍텅JB강제키움+멍텅JBJD늘림치수-IF(멍텅JB하부늘치=1,'멍텅(실측)'!W10-'멍텅(실측)'!X10,0)</f>
        <v>296</v>
      </c>
      <c r="K10" s="4">
        <f t="shared" si="10"/>
        <v>38.5</v>
      </c>
      <c r="L10" s="4">
        <f t="shared" si="11"/>
        <v>38.5</v>
      </c>
      <c r="M10" s="4">
        <f>IF(O10&gt;0,'멍텅(실측)'!I10+멍텅C늘림,'멍텅(실측)'!I10+1)</f>
        <v>40</v>
      </c>
      <c r="N10" s="4">
        <f>IF(P10&gt;0,'멍텅(실측)'!J10+멍텅C늘림,'멍텅(실측)'!J10+1)</f>
        <v>40</v>
      </c>
      <c r="O10" s="4">
        <f>IF(ISNUMBER('멍텅(실측)'!K10),'멍텅(실측)'!K10+멍텅제작!AK10+멍텅A늘림,0)</f>
        <v>12</v>
      </c>
      <c r="P10" s="4">
        <f>IF(ISNUMBER('멍텅(실측)'!L10),'멍텅(실측)'!L10+멍텅제작!AL10+멍텅A늘림,0)</f>
        <v>12</v>
      </c>
      <c r="Q10" s="4">
        <f>'멍텅(실측)'!M10-멍텅기둥차감</f>
        <v>2100</v>
      </c>
      <c r="R10" s="4">
        <f>'멍텅(실측)'!N10-멍텅기둥차감</f>
        <v>2090</v>
      </c>
      <c r="S10" s="4">
        <f>'멍텅(실측)'!O10-멍텅기둥차감</f>
        <v>2100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9</v>
      </c>
      <c r="W10" s="4">
        <f>'멍텅(실측)'!S10+뒷날개치수더함</f>
        <v>25</v>
      </c>
      <c r="X10" s="4">
        <f>'멍텅(실측)'!T10+뒷날개치수더함</f>
        <v>30</v>
      </c>
      <c r="Y10" s="13">
        <f>'멍텅(실측)'!U10-멍텅늘치차감</f>
        <v>0</v>
      </c>
      <c r="Z10" s="13">
        <f>IF(멍텅JB하부늘치=1,Y10,'멍텅(실측)'!V10-멍텅늘치차감)</f>
        <v>0</v>
      </c>
      <c r="AA10" s="13">
        <f>'멍텅(실측)'!W10-멍텅늘치차감</f>
        <v>0</v>
      </c>
      <c r="AB10" s="13">
        <f>IF(멍텅JB하부늘치=1,AA10,'멍텅(실측)'!X10-멍텅늘치차감)</f>
        <v>0</v>
      </c>
      <c r="AC10" s="11" t="str">
        <f t="shared" si="12"/>
        <v>949*365.4</v>
      </c>
      <c r="AD10" s="12" t="str">
        <f t="shared" si="13"/>
        <v>2100*373.2</v>
      </c>
      <c r="AE10" s="10" t="str">
        <f t="shared" si="14"/>
        <v>2100*373.2</v>
      </c>
      <c r="AF10" s="4">
        <f>IF('멍텅(실측)'!Y10&gt;5,'멍텅(실측)'!Y10+뒷날개치수더함,'멍텅(실측)'!Y10)</f>
        <v>20</v>
      </c>
      <c r="AG10" s="4">
        <f>'멍텅(실측)'!Z10</f>
        <v>10</v>
      </c>
      <c r="AH10" s="4">
        <f>'멍텅(실측)'!AA10</f>
        <v>6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5"/>
        <v>7.1489194678792902</v>
      </c>
      <c r="AO10" s="36">
        <f>IF(소장="박철우",E10-COS(RADIANS(AN10))*G10+2,E10-COS(RADIANS(AN10))*G10)</f>
        <v>1.3010908145267308</v>
      </c>
      <c r="AP10" s="36">
        <f>IF(소장="박철우",F10-COS(RADIANS(AN10))*I10+2,F10-COS(RADIANS(AN10))*I10)</f>
        <v>1.3010908145267308</v>
      </c>
      <c r="AQ10" s="46" t="str">
        <f t="shared" si="16"/>
        <v/>
      </c>
      <c r="AR10" s="3">
        <f t="shared" si="17"/>
        <v>949</v>
      </c>
      <c r="AS10" s="3">
        <f t="shared" si="18"/>
        <v>365.4</v>
      </c>
      <c r="AT10" s="3">
        <f t="shared" si="19"/>
        <v>373.2</v>
      </c>
      <c r="AU10" s="3">
        <f t="shared" si="20"/>
        <v>2100</v>
      </c>
      <c r="AV10" s="3">
        <f t="shared" si="21"/>
        <v>373.2</v>
      </c>
      <c r="AW10" s="3">
        <f t="shared" si="22"/>
        <v>2100</v>
      </c>
      <c r="AX10">
        <f t="shared" si="23"/>
        <v>1</v>
      </c>
      <c r="AY10">
        <f t="shared" si="24"/>
        <v>0</v>
      </c>
      <c r="AZ10" s="79">
        <f t="shared" si="25"/>
        <v>1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798</v>
      </c>
      <c r="D11" s="4">
        <f>'멍텅(실측)'!D11-멍텅R</f>
        <v>877</v>
      </c>
      <c r="E11" s="50">
        <f>'멍텅(실측)'!E11+MAX(AK11,AL11)+IF(AZ11=1,Y11,0)+멍텅JBJD늘림치수</f>
        <v>317</v>
      </c>
      <c r="F11" s="50">
        <f>'멍텅(실측)'!F11+MAX(AK11,AL11)+IF(AZ11=1,AA11,0)+멍텅JBJD늘림치수</f>
        <v>317</v>
      </c>
      <c r="G11" s="50">
        <f>'멍텅(실측)'!G11+AK11+IF(AZ11=1,Y11,0)+멍텅JB강제키움+멍텅JBJD늘림치수</f>
        <v>318</v>
      </c>
      <c r="H11" s="50">
        <f>'멍텅(실측)'!G11+AK11+IF(AZ11=1,Z11,0)+멍텅JB강제키움+멍텅JBJD늘림치수-IF(멍텅JB하부늘치=1,'멍텅(실측)'!U11-'멍텅(실측)'!V11,0)</f>
        <v>318</v>
      </c>
      <c r="I11" s="50">
        <f>'멍텅(실측)'!H11+AL11+IF(AZ11=1,AA11,0)+멍텅JB강제키움+멍텅JBJD늘림치수</f>
        <v>318</v>
      </c>
      <c r="J11" s="50">
        <f>'멍텅(실측)'!H11+AL11+IF(AZ11=1,AB11,0)+멍텅JB강제키움+멍텅JBJD늘림치수-IF(멍텅JB하부늘치=1,'멍텅(실측)'!W11-'멍텅(실측)'!X11,0)</f>
        <v>318</v>
      </c>
      <c r="K11" s="4">
        <f t="shared" si="10"/>
        <v>38.5</v>
      </c>
      <c r="L11" s="4">
        <f t="shared" si="11"/>
        <v>38.5</v>
      </c>
      <c r="M11" s="4">
        <f>IF(O11&gt;0,'멍텅(실측)'!I11+멍텅C늘림,'멍텅(실측)'!I11+1)</f>
        <v>40</v>
      </c>
      <c r="N11" s="4">
        <f>IF(P11&gt;0,'멍텅(실측)'!J11+멍텅C늘림,'멍텅(실측)'!J11+1)</f>
        <v>40</v>
      </c>
      <c r="O11" s="4">
        <f>IF(ISNUMBER('멍텅(실측)'!K11),'멍텅(실측)'!K11+멍텅제작!AK11+멍텅A늘림,0)</f>
        <v>16</v>
      </c>
      <c r="P11" s="4">
        <f>IF(ISNUMBER('멍텅(실측)'!L11),'멍텅(실측)'!L11+멍텅제작!AL11+멍텅A늘림,0)</f>
        <v>10</v>
      </c>
      <c r="Q11" s="4">
        <f>'멍텅(실측)'!M11-멍텅기둥차감</f>
        <v>2090</v>
      </c>
      <c r="R11" s="4">
        <f>'멍텅(실측)'!N11-멍텅기둥차감</f>
        <v>2090</v>
      </c>
      <c r="S11" s="4">
        <f>'멍텅(실측)'!O11-멍텅기둥차감</f>
        <v>2096</v>
      </c>
      <c r="T11" s="4">
        <f>'멍텅(실측)'!P11-멍텅기둥차감</f>
        <v>2090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9</v>
      </c>
      <c r="W11" s="4">
        <f>'멍텅(실측)'!S11+뒷날개치수더함</f>
        <v>25</v>
      </c>
      <c r="X11" s="4">
        <f>'멍텅(실측)'!T11+뒷날개치수더함</f>
        <v>30</v>
      </c>
      <c r="Y11" s="13">
        <f>'멍텅(실측)'!U11-멍텅늘치차감</f>
        <v>0</v>
      </c>
      <c r="Z11" s="13">
        <f>IF(멍텅JB하부늘치=1,Y11,'멍텅(실측)'!V11-멍텅늘치차감)</f>
        <v>0</v>
      </c>
      <c r="AA11" s="13">
        <f>'멍텅(실측)'!W11-멍텅늘치차감</f>
        <v>0</v>
      </c>
      <c r="AB11" s="13">
        <f>IF(멍텅JB하부늘치=1,AA11,'멍텅(실측)'!X11-멍텅늘치차감)</f>
        <v>0</v>
      </c>
      <c r="AC11" s="11" t="str">
        <f t="shared" si="12"/>
        <v>954*387.4</v>
      </c>
      <c r="AD11" s="12" t="str">
        <f t="shared" si="13"/>
        <v>2090*399.2</v>
      </c>
      <c r="AE11" s="10" t="str">
        <f t="shared" si="14"/>
        <v>2096*393.2</v>
      </c>
      <c r="AF11" s="4">
        <f>IF('멍텅(실측)'!Y11&gt;5,'멍텅(실측)'!Y11+뒷날개치수더함,'멍텅(실측)'!Y11)</f>
        <v>20</v>
      </c>
      <c r="AG11" s="4">
        <f>'멍텅(실측)'!Z11</f>
        <v>10</v>
      </c>
      <c r="AH11" s="4">
        <f>'멍텅(실측)'!AA11</f>
        <v>6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5"/>
        <v>7.102769881561926</v>
      </c>
      <c r="AO11" s="36">
        <f>IF(소장="박철우",E11-COS(RADIANS(AN11))*G11+2,E11-COS(RADIANS(AN11))*G11)</f>
        <v>1.4403442775531516</v>
      </c>
      <c r="AP11" s="36">
        <f>IF(소장="박철우",F11-COS(RADIANS(AN11))*I11+2,F11-COS(RADIANS(AN11))*I11)</f>
        <v>1.4403442775531516</v>
      </c>
      <c r="AQ11" s="46" t="str">
        <f t="shared" si="16"/>
        <v/>
      </c>
      <c r="AR11" s="3">
        <f t="shared" si="17"/>
        <v>954</v>
      </c>
      <c r="AS11" s="3">
        <f t="shared" si="18"/>
        <v>387.4</v>
      </c>
      <c r="AT11" s="3">
        <f t="shared" si="19"/>
        <v>399.2</v>
      </c>
      <c r="AU11" s="3">
        <f t="shared" si="20"/>
        <v>2090</v>
      </c>
      <c r="AV11" s="3">
        <f t="shared" si="21"/>
        <v>393.2</v>
      </c>
      <c r="AW11" s="3">
        <f t="shared" si="22"/>
        <v>2096</v>
      </c>
      <c r="AX11">
        <f t="shared" si="23"/>
        <v>1</v>
      </c>
      <c r="AY11">
        <f t="shared" si="24"/>
        <v>0</v>
      </c>
      <c r="AZ11" s="79">
        <f t="shared" si="25"/>
        <v>1</v>
      </c>
      <c r="BA11" s="83">
        <f>IF(소장="손상민",'멍텅(실측)'!AD11,0)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1">
    <cfRule type="cellIs" dxfId="67" priority="26" operator="greaterThan">
      <formula>1210</formula>
    </cfRule>
  </conditionalFormatting>
  <conditionalFormatting sqref="AF7:AH11">
    <cfRule type="cellIs" dxfId="66" priority="13" operator="greaterThan">
      <formula>1.2</formula>
    </cfRule>
  </conditionalFormatting>
  <conditionalFormatting sqref="G7:J11">
    <cfRule type="cellIs" dxfId="65" priority="11" operator="greaterThan">
      <formula>500</formula>
    </cfRule>
  </conditionalFormatting>
  <conditionalFormatting sqref="E7:E11">
    <cfRule type="cellIs" dxfId="64" priority="10" operator="notEqual">
      <formula>F7</formula>
    </cfRule>
  </conditionalFormatting>
  <conditionalFormatting sqref="F7:F11">
    <cfRule type="cellIs" dxfId="63" priority="9" operator="notEqual">
      <formula>E7</formula>
    </cfRule>
  </conditionalFormatting>
  <conditionalFormatting sqref="I7:I11">
    <cfRule type="cellIs" dxfId="62" priority="6" operator="notEqual">
      <formula>J7</formula>
    </cfRule>
  </conditionalFormatting>
  <conditionalFormatting sqref="J7:J11 H7:H11">
    <cfRule type="cellIs" dxfId="61" priority="4" operator="notEqual">
      <formula>G7</formula>
    </cfRule>
  </conditionalFormatting>
  <conditionalFormatting sqref="G7:G11">
    <cfRule type="cellIs" dxfId="60" priority="3" operator="notEqual">
      <formula>H7</formula>
    </cfRule>
  </conditionalFormatting>
  <conditionalFormatting sqref="Y7:AB11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은평구 한영문 ) _유영소장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은평구 한영문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서울 은평구 한영문 (쪽쟘제작치수)  유영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서울 은평구 한영문 (제작치수 샤링작지) 유영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-1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0*-3.6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0*-2.4</v>
      </c>
      <c r="H7" s="68" t="str">
        <f>IF(OR(쪽쟘제작!N7&lt;&gt;쪽쟘제작!M7,쪽쟘제작!Q7&lt;&gt;쪽쟘제작!R7),"",AE7&amp;"*"&amp;AD7)</f>
        <v>0*-2.4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0</v>
      </c>
      <c r="AA7">
        <f>쪽쟘제작!AD7</f>
        <v>-3.5999999999999996</v>
      </c>
      <c r="AB7">
        <f>쪽쟘제작!AE7</f>
        <v>-2.3999999999999995</v>
      </c>
      <c r="AC7">
        <f>쪽쟘제작!AF7</f>
        <v>0</v>
      </c>
      <c r="AD7">
        <f>쪽쟘제작!AG7</f>
        <v>-2.3999999999999995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서울 은평구 한영문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(0), JB/JD +(0 ),  늘어난치수K -(0),  C + (0),   U + (0), OP - (0), R - (0),  기둥차감 - (-2000),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서울 은평구 한영문 ) _유영소장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 t="str">
        <f>정보!B5</f>
        <v>TKEK HD S20D-OR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0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0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(0), JB/JD +(0 ),  늘어난치수K -(0),  C + (0),   U + (0), OP - (0), R - (0),  기둥차감 - (-2000),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0</v>
      </c>
      <c r="AJ4" s="256"/>
      <c r="AK4" s="185">
        <f ca="1">TODAY()</f>
        <v>45308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은평구 한영문,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서울 은평구 한영문,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0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0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+(0 ),  늘어난치수K -(0),  C + (0),  U +(0), OP1/OP2 -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0</v>
      </c>
      <c r="AF4" s="337"/>
      <c r="AG4" s="158"/>
      <c r="AH4" s="334">
        <f ca="1">TODAY()</f>
        <v>45308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서울 은평구 한영문 ) _유영소장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(0), JB/JD +(0 ),  늘어난치수K -(0),  C + (0),   U + (0), OP1/OP3 - (0), R - (0),  기둥차감 - (0), A + (0)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서울 은평구 한영문 ) _유영소장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 t="str">
        <f>정보!B5</f>
        <v>TKEK HD S20D-OR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0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0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(0), JB/JD +(0 ),  늘어난치수K -(0),  C + (0),   U + 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45308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서울 은평구 한영문,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0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0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+(0 ),  늘어난치수K -(0),  C + (0),  U +(0), OP1/OP3 -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45308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은평구 한영문,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서울 은평구 한영문,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0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0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45308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은평구 한영문 ) _유영소장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은평구 한영문,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+(0 ),  늘어난치수K -(0),  C + (0),   U + (0), OP - (0), R - (0),  기둥차감 - (0), A +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서울 은평구 한영문 ) _유영소장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서울 은평구 한영문,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0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0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+(0 ),  늘어난치수K -(0),  C + (0),   U + (0), OP - (0), R - (0),  기둥차감 - (0), A + (0)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45308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2024-01-17T05:23:53Z</dcterms:modified>
</cp:coreProperties>
</file>