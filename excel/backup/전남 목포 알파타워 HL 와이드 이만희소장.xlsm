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updateLinks="never"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설계작지변환\이만희소장\"/>
    </mc:Choice>
  </mc:AlternateContent>
  <xr:revisionPtr revIDLastSave="0" documentId="13_ncr:1_{14C38028-F0D7-476A-8D38-AF494E41302E}" xr6:coauthVersionLast="47" xr6:coauthVersionMax="47" xr10:uidLastSave="{00000000-0000-0000-0000-000000000000}"/>
  <bookViews>
    <workbookView xWindow="28680" yWindow="765" windowWidth="29040" windowHeight="15840" tabRatio="947" activeTab="3" xr2:uid="{00000000-000D-0000-FFFF-FFFF00000000}"/>
  </bookViews>
  <sheets>
    <sheet name="정보" sheetId="11" r:id="rId1"/>
    <sheet name="data" sheetId="16" r:id="rId2"/>
    <sheet name="와이드(실측)" sheetId="2" r:id="rId3"/>
    <sheet name="와이드제작" sheetId="8" r:id="rId4"/>
    <sheet name="멍텅(실측)" sheetId="9" r:id="rId5"/>
    <sheet name="멍텅제작" sheetId="10" r:id="rId6"/>
    <sheet name="쪽쟘(실측)" sheetId="13" r:id="rId7"/>
    <sheet name="쪽쟘제작" sheetId="14" r:id="rId8"/>
    <sheet name="쪽쟘샤링" sheetId="15" r:id="rId9"/>
    <sheet name="SO와이드(실측)" sheetId="20" r:id="rId10"/>
    <sheet name="SO와이드제작" sheetId="19" r:id="rId11"/>
    <sheet name="SO멍텅(실측)" sheetId="21" r:id="rId12"/>
    <sheet name="SO멍텅제작" sheetId="22" r:id="rId13"/>
    <sheet name="4CO와이드(실측)" sheetId="23" r:id="rId14"/>
    <sheet name="4CO와이드제작" sheetId="24" r:id="rId15"/>
    <sheet name="4CO멍텅(실측)" sheetId="25" r:id="rId16"/>
    <sheet name="4CO멍텅제작" sheetId="26" r:id="rId17"/>
    <sheet name="2UP(실측)" sheetId="27" r:id="rId18"/>
    <sheet name="2UP제작" sheetId="28" r:id="rId19"/>
    <sheet name="3UP(실측)" sheetId="31" r:id="rId20"/>
    <sheet name="3UP제작" sheetId="32" r:id="rId21"/>
  </sheets>
  <definedNames>
    <definedName name="CO4멍텅A늘림">'4CO멍텅제작'!$AB$3</definedName>
    <definedName name="CO4멍텅C늘림">'4CO멍텅제작'!$S$3</definedName>
    <definedName name="CO4멍텅G">'4CO멍텅제작'!$Y$2</definedName>
    <definedName name="CO4멍텅JBJD늘림치수">'4CO멍텅제작'!$M$3</definedName>
    <definedName name="CO4멍텅JB강제키움">'4CO멍텅제작'!$M$2</definedName>
    <definedName name="CO4멍텅JB하부늘치">'4CO멍텅제작'!$U$2</definedName>
    <definedName name="CO4멍텅OP">'4CO멍텅제작'!$B$2</definedName>
    <definedName name="CO4멍텅R">'4CO멍텅제작'!$F$2</definedName>
    <definedName name="CO4멍텅U늘림">'4CO멍텅제작'!$AB$2</definedName>
    <definedName name="CO4멍텅구리각도">'4CO멍텅제작'!$AM$3</definedName>
    <definedName name="CO4멍텅기둥차감">'4CO멍텅제작'!$AF$2</definedName>
    <definedName name="CO4멍텅늘치">'4CO멍텅제작'!$X$3</definedName>
    <definedName name="CO4멍텅늘치차감">'4CO멍텅제작'!$AI$2</definedName>
    <definedName name="CO4멍텅실측K">'4CO멍텅제작'!$AF$4</definedName>
    <definedName name="CO4와이드A늘림">'4CO와이드제작'!$AE$3</definedName>
    <definedName name="CO4와이드C값">'4CO와이드제작'!$V$3</definedName>
    <definedName name="CO4와이드JBJD키움치수">'4CO와이드제작'!$R$3</definedName>
    <definedName name="CO4와이드JB하부늘치">'4CO와이드제작'!$R$2</definedName>
    <definedName name="CO4와이드J값늘치포함">'4CO와이드제작'!$AA$3</definedName>
    <definedName name="CO4와이드MH더함">'4CO와이드제작'!$I$2</definedName>
    <definedName name="CO4와이드OP">'4CO와이드제작'!$B$2</definedName>
    <definedName name="CO4와이드R">'4CO와이드제작'!$D$2</definedName>
    <definedName name="CO4와이드U">'4CO와이드제작'!$V$2</definedName>
    <definedName name="CO4와이드각도">'4CO와이드제작'!$AV$3</definedName>
    <definedName name="CO4와이드기둥차감">'4CO와이드제작'!$AA$2</definedName>
    <definedName name="CO4와이드늘치">'4CO와이드제작'!$AO$2</definedName>
    <definedName name="CO4와이드실측K">'4CO와이드제작'!$AJ$4</definedName>
    <definedName name="_xlnm.Print_Area" localSheetId="17">'2UP(실측)'!$A$1:$AB$16</definedName>
    <definedName name="_xlnm.Print_Area" localSheetId="18">'2UP제작'!$A$1:$AR$7</definedName>
    <definedName name="_xlnm.Print_Area" localSheetId="19">'3UP(실측)'!$A$1:$AP$8</definedName>
    <definedName name="_xlnm.Print_Area" localSheetId="20">'3UP제작'!$A$1:$AX$7</definedName>
    <definedName name="_xlnm.Print_Area" localSheetId="15">'4CO멍텅(실측)'!$A$1:$AL$8</definedName>
    <definedName name="_xlnm.Print_Area" localSheetId="16">'4CO멍텅제작'!$A$1:$AV$7</definedName>
    <definedName name="_xlnm.Print_Area" localSheetId="13">'4CO와이드(실측)'!$A$1:$AJ$8</definedName>
    <definedName name="_xlnm.Print_Area" localSheetId="14">'4CO와이드제작'!$A$1:$BE$7</definedName>
    <definedName name="_xlnm.Print_Area" localSheetId="11">'SO멍텅(실측)'!$A$1:$AK$8</definedName>
    <definedName name="_xlnm.Print_Area" localSheetId="12">SO멍텅제작!$A$1:$AV$7</definedName>
    <definedName name="_xlnm.Print_Area" localSheetId="9">'SO와이드(실측)'!$A$1:$AI$8</definedName>
    <definedName name="_xlnm.Print_Area" localSheetId="10">SO와이드제작!$A$1:$BE$7</definedName>
    <definedName name="_xlnm.Print_Area" localSheetId="4">'멍텅(실측)'!$A$1:$AI$8</definedName>
    <definedName name="_xlnm.Print_Area" localSheetId="5">멍텅제작!$A$1:$AQ$7</definedName>
    <definedName name="_xlnm.Print_Area" localSheetId="2">'와이드(실측)'!$A$1:$AG$8</definedName>
    <definedName name="_xlnm.Print_Area" localSheetId="3">와이드제작!$A$1:$AZ$7</definedName>
    <definedName name="_xlnm.Print_Area" localSheetId="6">'쪽쟘(실측)'!$A$1:$T$8</definedName>
    <definedName name="_xlnm.Print_Area" localSheetId="8">쪽쟘샤링!$A$1:$X$8</definedName>
    <definedName name="_xlnm.Print_Area" localSheetId="7">쪽쟘제작!$A$1:$X$7</definedName>
    <definedName name="SO멍텅A늘림">SO멍텅제작!$Z$3</definedName>
    <definedName name="SO멍텅C늘림">SO멍텅제작!$Q$3</definedName>
    <definedName name="SO멍텅G">SO멍텅제작!$W$2</definedName>
    <definedName name="SO멍텅JBJD늘림치수">SO멍텅제작!$K$3</definedName>
    <definedName name="SO멍텅JB강제키움">SO멍텅제작!$K$2</definedName>
    <definedName name="SO멍텅JB하부늘치">SO멍텅제작!$S$2</definedName>
    <definedName name="SO멍텅OP">SO멍텅제작!$B$2</definedName>
    <definedName name="SO멍텅R">SO멍텅제작!$E$2</definedName>
    <definedName name="SO멍텅U늘림">SO멍텅제작!$Z$2</definedName>
    <definedName name="SO멍텅구리각도">SO멍텅제작!$AM$3</definedName>
    <definedName name="SO멍텅기둥차감">SO멍텅제작!$AE$2</definedName>
    <definedName name="SO멍텅늘치">SO멍텅제작!$V$3</definedName>
    <definedName name="SO멍텅늘치차감">SO멍텅제작!$AH$2</definedName>
    <definedName name="SO멍텅실측K">SO멍텅제작!$AE$4</definedName>
    <definedName name="SO와이드A늘림">SO와이드제작!$AC$3</definedName>
    <definedName name="SO와이드C값">SO와이드제작!$T$3</definedName>
    <definedName name="SO와이드JBJD키움치수">SO와이드제작!$P$3</definedName>
    <definedName name="SO와이드JB하부늘치">SO와이드제작!$P$2</definedName>
    <definedName name="SO와이드J값늘치포함">SO와이드제작!$Y$3</definedName>
    <definedName name="SO와이드MH더함">SO와이드제작!$H$2</definedName>
    <definedName name="SO와이드OP">SO와이드제작!$B$2</definedName>
    <definedName name="SO와이드R">SO와이드제작!$D$2</definedName>
    <definedName name="SO와이드U">SO와이드제작!$T$2</definedName>
    <definedName name="SO와이드각도">SO와이드제작!$AU$3</definedName>
    <definedName name="SO와이드기둥차감">SO와이드제작!$Y$2</definedName>
    <definedName name="SO와이드늘치">SO와이드제작!$AN$2</definedName>
    <definedName name="SO와이드실측K">SO와이드제작!$AI$4</definedName>
    <definedName name="UP2각도">'2UP제작'!$AL$3</definedName>
    <definedName name="UP2멍텅A늘림">'2UP제작'!$AA$3</definedName>
    <definedName name="UP2멍텅C늘림">'2UP제작'!$P$3</definedName>
    <definedName name="UP2멍텅G">'2UP제작'!$W$2</definedName>
    <definedName name="UP2멍텅JBJD늘림치수">'2UP제작'!$J$3</definedName>
    <definedName name="UP2멍텅JB강제키움">'2UP제작'!$J$2</definedName>
    <definedName name="UP2멍텅JB하부늘치">'2UP제작'!$R$2</definedName>
    <definedName name="UP2멍텅OP">'2UP제작'!$B$2</definedName>
    <definedName name="UP2멍텅R">'2UP제작'!$D$2</definedName>
    <definedName name="UP2멍텅U늘림">'2UP제작'!$AA$2</definedName>
    <definedName name="UP2멍텅기둥차감">'2UP제작'!$AE$2</definedName>
    <definedName name="UP2멍텅늘치">'2UP제작'!$U$3</definedName>
    <definedName name="UP2멍텅늘치차감">'2UP제작'!$AH$2</definedName>
    <definedName name="UP2멍텅실측K">'2UP제작'!$AA$4</definedName>
    <definedName name="UP3각도">'3UP제작'!$AR$3</definedName>
    <definedName name="UP3멍텅A늘림">'3UP제작'!$AE$3</definedName>
    <definedName name="UP3멍텅C늘림">'3UP제작'!$R$3</definedName>
    <definedName name="UP3멍텅G">'3UP제작'!$Y$2</definedName>
    <definedName name="UP3멍텅JBJD늘림치수">'3UP제작'!$L$3</definedName>
    <definedName name="UP3멍텅JB강제키움">'3UP제작'!$L$2</definedName>
    <definedName name="UP3멍텅JB하부늘치">'3UP제작'!$T$2</definedName>
    <definedName name="UP3멍텅OP">'3UP제작'!$B$2</definedName>
    <definedName name="UP3멍텅R">'3UP제작'!$D$2</definedName>
    <definedName name="UP3멍텅U늘림">'3UP제작'!$AE$2</definedName>
    <definedName name="UP3멍텅기둥차감">'3UP제작'!$AJ$2</definedName>
    <definedName name="UP3멍텅늘치">'3UP제작'!$X$3</definedName>
    <definedName name="UP3멍텅늘치차감">'3UP제작'!$AN$2</definedName>
    <definedName name="UP3멍텅실측K">'3UP제작'!$AE$4</definedName>
    <definedName name="그림범위HPI">data!$C:$C</definedName>
    <definedName name="뒷날개치수더함" localSheetId="14">'4CO와이드제작'!$AT$2</definedName>
    <definedName name="뒷날개치수더함" localSheetId="10">SO와이드제작!$AS$2</definedName>
    <definedName name="뒷날개치수더함">와이드제작!$AO$2</definedName>
    <definedName name="멍텅A늘림">멍텅제작!$W$3</definedName>
    <definedName name="멍텅C늘림">멍텅제작!$N$3</definedName>
    <definedName name="멍텅G">멍텅제작!$T$2</definedName>
    <definedName name="멍텅JBJD늘림치수">멍텅제작!$J$3</definedName>
    <definedName name="멍텅JB강제키움">멍텅제작!$J$2</definedName>
    <definedName name="멍텅JB하부늘치">멍텅제작!$P$2</definedName>
    <definedName name="멍텅OP">멍텅제작!$B$2</definedName>
    <definedName name="멍텅R">멍텅제작!$D$2</definedName>
    <definedName name="멍텅U늘림">멍텅제작!$W$2</definedName>
    <definedName name="멍텅구리각도">멍텅제작!$AI$3</definedName>
    <definedName name="멍텅기둥차감">멍텅제작!$AA$2</definedName>
    <definedName name="멍텅늘치">멍텅제작!$S$3</definedName>
    <definedName name="멍텅늘치차감">멍텅제작!$AD$2</definedName>
    <definedName name="멍텅실측K">멍텅제작!$AA$4</definedName>
    <definedName name="불러올이미지">INDEX(그림범위HPI,MATCH(정보!$B$5,항목범위HPI,0))</definedName>
    <definedName name="소장">정보!$B$6</definedName>
    <definedName name="와이드A늘림">와이드제작!$Z$3</definedName>
    <definedName name="와이드C값">와이드제작!$Q$3</definedName>
    <definedName name="와이드C값키움">와이드제작!$Q$3</definedName>
    <definedName name="와이드JBJD키움치수">와이드제작!$M$3</definedName>
    <definedName name="와이드JB하부늘치">와이드제작!$M$2</definedName>
    <definedName name="와이드J값늘치포함">와이드제작!$V$3</definedName>
    <definedName name="와이드J에늘치포함">와이드제작!$V$3</definedName>
    <definedName name="와이드MH더함">와이드제작!$G$2</definedName>
    <definedName name="와이드OP">와이드제작!$B$2</definedName>
    <definedName name="와이드R">와이드제작!$D$2</definedName>
    <definedName name="와이드U">와이드제작!$Q$2</definedName>
    <definedName name="와이드각도">와이드제작!$AQ$3</definedName>
    <definedName name="와이드기둥차감">와이드제작!$V$2</definedName>
    <definedName name="와이드늘치">와이드제작!$AJ$2</definedName>
    <definedName name="와이드늘치차감">와이드제작!$AJ$2</definedName>
    <definedName name="와이드실측K">와이드제작!$AE$3</definedName>
    <definedName name="쪽쟘J늘림" localSheetId="8">쪽쟘샤링!$G$3</definedName>
    <definedName name="쪽쟘J늘림">쪽쟘제작!$G$3</definedName>
    <definedName name="쪽쟘OP차감">쪽쟘제작!$I$3</definedName>
    <definedName name="쪽쟘기둥차감">쪽쟘제작!$P$3</definedName>
    <definedName name="쪽쟘늘치차감">쪽쟘제작!$U$3</definedName>
    <definedName name="쪽쟘소재t">쪽쟘제작!$U$2</definedName>
    <definedName name="항목범위HPI">data!$D:$D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L8" i="2" l="1"/>
  <c r="AM8" i="2"/>
  <c r="AN8" i="2"/>
  <c r="AO8" i="2"/>
  <c r="AP8" i="2"/>
  <c r="AQ8" i="2"/>
  <c r="AR8" i="2"/>
  <c r="AS8" i="2"/>
  <c r="AL9" i="2"/>
  <c r="AM9" i="2"/>
  <c r="AN9" i="2"/>
  <c r="AO9" i="2"/>
  <c r="AP9" i="2"/>
  <c r="AQ9" i="2"/>
  <c r="AR9" i="2"/>
  <c r="AS9" i="2"/>
  <c r="AL10" i="2"/>
  <c r="AM10" i="2"/>
  <c r="AN10" i="2"/>
  <c r="AO10" i="2"/>
  <c r="AP10" i="2"/>
  <c r="AQ10" i="2"/>
  <c r="AR10" i="2"/>
  <c r="AS10" i="2"/>
  <c r="AL11" i="2"/>
  <c r="AM11" i="2"/>
  <c r="AN11" i="2"/>
  <c r="AO11" i="2"/>
  <c r="AP11" i="2"/>
  <c r="AQ11" i="2"/>
  <c r="AR11" i="2"/>
  <c r="AS11" i="2"/>
  <c r="A8" i="8"/>
  <c r="B8" i="8"/>
  <c r="E8" i="8"/>
  <c r="F8" i="8"/>
  <c r="U8" i="8"/>
  <c r="V8" i="8"/>
  <c r="W8" i="8"/>
  <c r="X8" i="8"/>
  <c r="Y8" i="8"/>
  <c r="C8" i="8" s="1"/>
  <c r="AA8" i="8"/>
  <c r="AB8" i="8"/>
  <c r="AC8" i="8"/>
  <c r="AD8" i="8"/>
  <c r="AE8" i="8"/>
  <c r="BI8" i="8" s="1"/>
  <c r="AM8" i="8"/>
  <c r="AN8" i="8"/>
  <c r="AO8" i="8"/>
  <c r="AP8" i="8"/>
  <c r="AQ8" i="8"/>
  <c r="AR8" i="8"/>
  <c r="AS8" i="8"/>
  <c r="AX8" i="8" s="1"/>
  <c r="AT8" i="8"/>
  <c r="T8" i="8" s="1"/>
  <c r="A9" i="8"/>
  <c r="B9" i="8"/>
  <c r="E9" i="8"/>
  <c r="F9" i="8"/>
  <c r="U9" i="8"/>
  <c r="V9" i="8"/>
  <c r="W9" i="8"/>
  <c r="X9" i="8"/>
  <c r="Y9" i="8"/>
  <c r="D9" i="8" s="1"/>
  <c r="AH9" i="8" s="1"/>
  <c r="BF9" i="8" s="1"/>
  <c r="AA9" i="8"/>
  <c r="AB9" i="8"/>
  <c r="AC9" i="8"/>
  <c r="AD9" i="8" s="1"/>
  <c r="AE9" i="8"/>
  <c r="AF9" i="8"/>
  <c r="AM9" i="8"/>
  <c r="AN9" i="8"/>
  <c r="AO9" i="8"/>
  <c r="AP9" i="8"/>
  <c r="AQ9" i="8"/>
  <c r="AR9" i="8"/>
  <c r="AS9" i="8"/>
  <c r="S9" i="8" s="1"/>
  <c r="AT9" i="8"/>
  <c r="T9" i="8" s="1"/>
  <c r="BI9" i="8"/>
  <c r="L9" i="8" s="1"/>
  <c r="A10" i="8"/>
  <c r="B10" i="8"/>
  <c r="E10" i="8"/>
  <c r="F10" i="8"/>
  <c r="U10" i="8"/>
  <c r="V10" i="8"/>
  <c r="W10" i="8"/>
  <c r="X10" i="8"/>
  <c r="Y10" i="8"/>
  <c r="D10" i="8" s="1"/>
  <c r="AH10" i="8" s="1"/>
  <c r="BF10" i="8" s="1"/>
  <c r="AA10" i="8"/>
  <c r="AB10" i="8"/>
  <c r="AC10" i="8"/>
  <c r="AD10" i="8" s="1"/>
  <c r="AE10" i="8"/>
  <c r="AF10" i="8" s="1"/>
  <c r="AM10" i="8"/>
  <c r="AN10" i="8"/>
  <c r="AO10" i="8"/>
  <c r="AP10" i="8"/>
  <c r="AQ10" i="8"/>
  <c r="AR10" i="8"/>
  <c r="AS10" i="8"/>
  <c r="AX10" i="8" s="1"/>
  <c r="AT10" i="8"/>
  <c r="T10" i="8" s="1"/>
  <c r="P10" i="8" s="1"/>
  <c r="A11" i="8"/>
  <c r="B11" i="8"/>
  <c r="E11" i="8"/>
  <c r="F11" i="8"/>
  <c r="U11" i="8"/>
  <c r="V11" i="8"/>
  <c r="W11" i="8"/>
  <c r="X11" i="8"/>
  <c r="Y11" i="8"/>
  <c r="C11" i="8" s="1"/>
  <c r="AA11" i="8"/>
  <c r="AB11" i="8"/>
  <c r="AC11" i="8"/>
  <c r="AD11" i="8" s="1"/>
  <c r="AE11" i="8"/>
  <c r="AF11" i="8" s="1"/>
  <c r="AM11" i="8"/>
  <c r="AN11" i="8"/>
  <c r="AO11" i="8"/>
  <c r="AP11" i="8"/>
  <c r="AQ11" i="8"/>
  <c r="AR11" i="8"/>
  <c r="AS11" i="8"/>
  <c r="AX11" i="8" s="1"/>
  <c r="AT11" i="8"/>
  <c r="T11" i="8" s="1"/>
  <c r="AG11" i="8" l="1"/>
  <c r="BD11" i="8" s="1"/>
  <c r="AX9" i="8"/>
  <c r="D11" i="8"/>
  <c r="AH11" i="8" s="1"/>
  <c r="BF11" i="8" s="1"/>
  <c r="BI11" i="8"/>
  <c r="C10" i="8"/>
  <c r="AG10" i="8" s="1"/>
  <c r="BD10" i="8" s="1"/>
  <c r="J9" i="8"/>
  <c r="BI10" i="8"/>
  <c r="G10" i="8" s="1"/>
  <c r="N10" i="8"/>
  <c r="P9" i="8"/>
  <c r="N9" i="8" s="1"/>
  <c r="P8" i="8"/>
  <c r="N8" i="8" s="1"/>
  <c r="I8" i="8"/>
  <c r="J8" i="8"/>
  <c r="K8" i="8"/>
  <c r="G8" i="8"/>
  <c r="H8" i="8"/>
  <c r="O9" i="8"/>
  <c r="M9" i="8" s="1"/>
  <c r="P11" i="8"/>
  <c r="N11" i="8" s="1"/>
  <c r="AG8" i="8"/>
  <c r="BD8" i="8" s="1"/>
  <c r="I11" i="8"/>
  <c r="AY9" i="8"/>
  <c r="K9" i="8"/>
  <c r="C9" i="8"/>
  <c r="AF8" i="8"/>
  <c r="L8" i="8" s="1"/>
  <c r="G11" i="8"/>
  <c r="I9" i="8"/>
  <c r="AY10" i="8"/>
  <c r="S10" i="8"/>
  <c r="H9" i="8"/>
  <c r="G9" i="8"/>
  <c r="D8" i="8"/>
  <c r="AH8" i="8" s="1"/>
  <c r="BF8" i="8" s="1"/>
  <c r="L11" i="8"/>
  <c r="AY8" i="8"/>
  <c r="S8" i="8"/>
  <c r="AY11" i="8"/>
  <c r="S11" i="8"/>
  <c r="K11" i="8"/>
  <c r="J10" i="8" l="1"/>
  <c r="I10" i="8"/>
  <c r="K10" i="8"/>
  <c r="H10" i="8"/>
  <c r="AU10" i="8" s="1"/>
  <c r="AV10" i="8" s="1"/>
  <c r="L10" i="8"/>
  <c r="BH8" i="8"/>
  <c r="BH10" i="8"/>
  <c r="J11" i="8"/>
  <c r="H11" i="8"/>
  <c r="AU11" i="8" s="1"/>
  <c r="AV11" i="8" s="1"/>
  <c r="BE8" i="8"/>
  <c r="BE9" i="8"/>
  <c r="AL9" i="8" s="1"/>
  <c r="AW11" i="8"/>
  <c r="R11" i="8" s="1"/>
  <c r="BE10" i="8"/>
  <c r="AL10" i="8" s="1"/>
  <c r="BH11" i="8"/>
  <c r="Q10" i="8"/>
  <c r="Z10" i="8" s="1"/>
  <c r="AZ10" i="8"/>
  <c r="BH9" i="8"/>
  <c r="AG9" i="8"/>
  <c r="BD9" i="8" s="1"/>
  <c r="O8" i="8"/>
  <c r="M8" i="8" s="1"/>
  <c r="AW10" i="8"/>
  <c r="R10" i="8" s="1"/>
  <c r="BE11" i="8"/>
  <c r="AL11" i="8" s="1"/>
  <c r="AU8" i="8"/>
  <c r="AV8" i="8" s="1"/>
  <c r="O10" i="8"/>
  <c r="M10" i="8" s="1"/>
  <c r="BC9" i="8"/>
  <c r="AU9" i="8"/>
  <c r="AW9" i="8" s="1"/>
  <c r="R9" i="8" s="1"/>
  <c r="O11" i="8"/>
  <c r="M11" i="8" s="1"/>
  <c r="AL8" i="8"/>
  <c r="Q11" i="8" l="1"/>
  <c r="Z11" i="8" s="1"/>
  <c r="AZ11" i="8"/>
  <c r="BC10" i="8"/>
  <c r="AK10" i="8" s="1"/>
  <c r="AW8" i="8"/>
  <c r="R8" i="8" s="1"/>
  <c r="BG10" i="8"/>
  <c r="Q8" i="8"/>
  <c r="AZ8" i="8"/>
  <c r="BC8" i="8"/>
  <c r="AK8" i="8" s="1"/>
  <c r="BG11" i="8"/>
  <c r="AV9" i="8"/>
  <c r="AK9" i="8"/>
  <c r="AI11" i="8"/>
  <c r="BA11" i="8"/>
  <c r="BB11" i="8"/>
  <c r="BC11" i="8"/>
  <c r="AK11" i="8" s="1"/>
  <c r="AI10" i="8"/>
  <c r="BA10" i="8"/>
  <c r="BB10" i="8"/>
  <c r="AZ9" i="8" l="1"/>
  <c r="Q9" i="8"/>
  <c r="AJ10" i="8"/>
  <c r="AJ11" i="8"/>
  <c r="Z8" i="8"/>
  <c r="BG8" i="8"/>
  <c r="AI8" i="8" l="1"/>
  <c r="BA8" i="8"/>
  <c r="BB8" i="8"/>
  <c r="Z9" i="8"/>
  <c r="BG9" i="8"/>
  <c r="AJ8" i="8" l="1"/>
  <c r="AI9" i="8"/>
  <c r="BA9" i="8"/>
  <c r="BB9" i="8"/>
  <c r="AJ9" i="8" l="1"/>
  <c r="D8" i="14" l="1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7" i="14"/>
  <c r="O8" i="14"/>
  <c r="P8" i="14"/>
  <c r="Q8" i="14"/>
  <c r="R8" i="14"/>
  <c r="O9" i="14"/>
  <c r="P9" i="14"/>
  <c r="Q9" i="14"/>
  <c r="R9" i="14"/>
  <c r="O10" i="14"/>
  <c r="P10" i="14"/>
  <c r="Q10" i="14"/>
  <c r="R10" i="14"/>
  <c r="O11" i="14"/>
  <c r="P11" i="14"/>
  <c r="Q11" i="14"/>
  <c r="R11" i="14"/>
  <c r="O12" i="14"/>
  <c r="P12" i="14"/>
  <c r="Q12" i="14"/>
  <c r="R12" i="14"/>
  <c r="O13" i="14"/>
  <c r="P13" i="14"/>
  <c r="Q13" i="14"/>
  <c r="R13" i="14"/>
  <c r="O14" i="14"/>
  <c r="P14" i="14"/>
  <c r="Q14" i="14"/>
  <c r="R14" i="14"/>
  <c r="O15" i="14"/>
  <c r="P15" i="14"/>
  <c r="Q15" i="14"/>
  <c r="R15" i="14"/>
  <c r="O16" i="14"/>
  <c r="P16" i="14"/>
  <c r="Q16" i="14"/>
  <c r="R16" i="14"/>
  <c r="O17" i="14"/>
  <c r="P17" i="14"/>
  <c r="Q17" i="14"/>
  <c r="R17" i="14"/>
  <c r="O18" i="14"/>
  <c r="P18" i="14"/>
  <c r="Q18" i="14"/>
  <c r="R18" i="14"/>
  <c r="O19" i="14"/>
  <c r="P19" i="14"/>
  <c r="Q19" i="14"/>
  <c r="R19" i="14"/>
  <c r="O20" i="14"/>
  <c r="P20" i="14"/>
  <c r="Q20" i="14"/>
  <c r="R20" i="14"/>
  <c r="O21" i="14"/>
  <c r="P21" i="14"/>
  <c r="Q21" i="14"/>
  <c r="R21" i="14"/>
  <c r="O22" i="14"/>
  <c r="P22" i="14"/>
  <c r="Q22" i="14"/>
  <c r="R22" i="14"/>
  <c r="O23" i="14"/>
  <c r="P23" i="14"/>
  <c r="Q23" i="14"/>
  <c r="R23" i="14"/>
  <c r="O24" i="14"/>
  <c r="P24" i="14"/>
  <c r="Q24" i="14"/>
  <c r="R24" i="14"/>
  <c r="O25" i="14"/>
  <c r="P25" i="14"/>
  <c r="Q25" i="14"/>
  <c r="R25" i="14"/>
  <c r="O26" i="14"/>
  <c r="P26" i="14"/>
  <c r="Q26" i="14"/>
  <c r="R26" i="14"/>
  <c r="O27" i="14"/>
  <c r="P27" i="14"/>
  <c r="Q27" i="14"/>
  <c r="R27" i="14"/>
  <c r="AH27" i="14" s="1"/>
  <c r="O28" i="14"/>
  <c r="P28" i="14"/>
  <c r="Q28" i="14"/>
  <c r="R28" i="14"/>
  <c r="O29" i="14"/>
  <c r="P29" i="14"/>
  <c r="Q29" i="14"/>
  <c r="R29" i="14"/>
  <c r="AH29" i="14" s="1"/>
  <c r="O30" i="14"/>
  <c r="P30" i="14"/>
  <c r="Q30" i="14"/>
  <c r="R30" i="14"/>
  <c r="O31" i="14"/>
  <c r="P31" i="14"/>
  <c r="Q31" i="14"/>
  <c r="R31" i="14"/>
  <c r="AH31" i="14" s="1"/>
  <c r="O32" i="14"/>
  <c r="P32" i="14"/>
  <c r="Q32" i="14"/>
  <c r="R32" i="14"/>
  <c r="O33" i="14"/>
  <c r="P33" i="14"/>
  <c r="Q33" i="14"/>
  <c r="R33" i="14"/>
  <c r="O34" i="14"/>
  <c r="P34" i="14"/>
  <c r="Q34" i="14"/>
  <c r="R34" i="14"/>
  <c r="P7" i="14"/>
  <c r="Q7" i="14"/>
  <c r="R7" i="14"/>
  <c r="O7" i="14"/>
  <c r="V7" i="8"/>
  <c r="W7" i="8"/>
  <c r="X7" i="8"/>
  <c r="U7" i="8"/>
  <c r="A26" i="14"/>
  <c r="B26" i="14"/>
  <c r="I26" i="14"/>
  <c r="J26" i="14"/>
  <c r="K26" i="14"/>
  <c r="L26" i="14"/>
  <c r="M26" i="14"/>
  <c r="N26" i="14"/>
  <c r="S26" i="14"/>
  <c r="T26" i="14"/>
  <c r="U26" i="14"/>
  <c r="V26" i="14"/>
  <c r="W26" i="14"/>
  <c r="E26" i="14" s="1"/>
  <c r="X26" i="14"/>
  <c r="Y26" i="14"/>
  <c r="Z26" i="14"/>
  <c r="AA26" i="14"/>
  <c r="AF26" i="14"/>
  <c r="A27" i="14"/>
  <c r="B27" i="14"/>
  <c r="I27" i="14"/>
  <c r="J27" i="14"/>
  <c r="K27" i="14"/>
  <c r="L27" i="14"/>
  <c r="M27" i="14"/>
  <c r="N27" i="14"/>
  <c r="AF27" i="14"/>
  <c r="S27" i="14"/>
  <c r="T27" i="14"/>
  <c r="U27" i="14"/>
  <c r="V27" i="14"/>
  <c r="W27" i="14"/>
  <c r="X27" i="14"/>
  <c r="E27" i="14" s="1"/>
  <c r="Y27" i="14"/>
  <c r="Z27" i="14"/>
  <c r="AA27" i="14"/>
  <c r="A28" i="14"/>
  <c r="B28" i="14"/>
  <c r="I28" i="14"/>
  <c r="J28" i="14"/>
  <c r="K28" i="14"/>
  <c r="L28" i="14"/>
  <c r="M28" i="14"/>
  <c r="N28" i="14"/>
  <c r="AF28" i="14"/>
  <c r="S28" i="14"/>
  <c r="T28" i="14"/>
  <c r="U28" i="14"/>
  <c r="V28" i="14"/>
  <c r="W28" i="14"/>
  <c r="X28" i="14"/>
  <c r="Y28" i="14"/>
  <c r="Z28" i="14"/>
  <c r="AA28" i="14"/>
  <c r="A29" i="14"/>
  <c r="B29" i="14"/>
  <c r="I29" i="14"/>
  <c r="J29" i="14"/>
  <c r="K29" i="14"/>
  <c r="L29" i="14"/>
  <c r="M29" i="14"/>
  <c r="N29" i="14"/>
  <c r="S29" i="14"/>
  <c r="T29" i="14"/>
  <c r="U29" i="14"/>
  <c r="V29" i="14"/>
  <c r="W29" i="14"/>
  <c r="X29" i="14"/>
  <c r="Y29" i="14"/>
  <c r="Z29" i="14"/>
  <c r="AA29" i="14"/>
  <c r="AF29" i="14"/>
  <c r="A30" i="14"/>
  <c r="B30" i="14"/>
  <c r="I30" i="14"/>
  <c r="J30" i="14"/>
  <c r="K30" i="14"/>
  <c r="L30" i="14"/>
  <c r="M30" i="14"/>
  <c r="N30" i="14"/>
  <c r="AF30" i="14"/>
  <c r="S30" i="14"/>
  <c r="T30" i="14"/>
  <c r="U30" i="14"/>
  <c r="V30" i="14"/>
  <c r="W30" i="14"/>
  <c r="X30" i="14"/>
  <c r="Y30" i="14"/>
  <c r="Z30" i="14"/>
  <c r="AA30" i="14"/>
  <c r="A31" i="14"/>
  <c r="B31" i="14"/>
  <c r="I31" i="14"/>
  <c r="J31" i="14"/>
  <c r="K31" i="14"/>
  <c r="L31" i="14"/>
  <c r="M31" i="14"/>
  <c r="N31" i="14"/>
  <c r="S31" i="14"/>
  <c r="T31" i="14"/>
  <c r="U31" i="14"/>
  <c r="V31" i="14"/>
  <c r="W31" i="14"/>
  <c r="X31" i="14"/>
  <c r="Y31" i="14"/>
  <c r="Z31" i="14"/>
  <c r="AA31" i="14"/>
  <c r="A32" i="14"/>
  <c r="B32" i="14"/>
  <c r="I32" i="14"/>
  <c r="J32" i="14"/>
  <c r="K32" i="14"/>
  <c r="L32" i="14"/>
  <c r="M32" i="14"/>
  <c r="N32" i="14"/>
  <c r="S32" i="14"/>
  <c r="T32" i="14"/>
  <c r="U32" i="14"/>
  <c r="V32" i="14"/>
  <c r="W32" i="14"/>
  <c r="X32" i="14"/>
  <c r="Y32" i="14"/>
  <c r="Z32" i="14"/>
  <c r="AA32" i="14"/>
  <c r="AF32" i="14"/>
  <c r="A33" i="14"/>
  <c r="B33" i="14"/>
  <c r="I33" i="14"/>
  <c r="J33" i="14"/>
  <c r="K33" i="14"/>
  <c r="L33" i="14"/>
  <c r="M33" i="14"/>
  <c r="N33" i="14"/>
  <c r="S33" i="14"/>
  <c r="T33" i="14"/>
  <c r="U33" i="14"/>
  <c r="V33" i="14"/>
  <c r="W33" i="14"/>
  <c r="X33" i="14"/>
  <c r="Y33" i="14"/>
  <c r="Z33" i="14"/>
  <c r="AA33" i="14"/>
  <c r="A34" i="14"/>
  <c r="B34" i="14"/>
  <c r="I34" i="14"/>
  <c r="J34" i="14"/>
  <c r="K34" i="14"/>
  <c r="L34" i="14"/>
  <c r="M34" i="14"/>
  <c r="N34" i="14"/>
  <c r="S34" i="14"/>
  <c r="T34" i="14"/>
  <c r="U34" i="14"/>
  <c r="V34" i="14"/>
  <c r="W34" i="14"/>
  <c r="X34" i="14"/>
  <c r="Y34" i="14"/>
  <c r="Z34" i="14"/>
  <c r="AA34" i="14"/>
  <c r="B14" i="11"/>
  <c r="B13" i="11"/>
  <c r="B12" i="11"/>
  <c r="B11" i="11"/>
  <c r="B10" i="11"/>
  <c r="B18" i="11"/>
  <c r="I3" i="11"/>
  <c r="A1" i="26" s="1"/>
  <c r="K3" i="11"/>
  <c r="A1" i="31" s="1"/>
  <c r="L3" i="11"/>
  <c r="A1" i="32" s="1"/>
  <c r="L2" i="11"/>
  <c r="A1" i="28" s="1"/>
  <c r="K2" i="11"/>
  <c r="A1" i="27" s="1"/>
  <c r="I2" i="11"/>
  <c r="A1" i="24" s="1"/>
  <c r="H3" i="11"/>
  <c r="A1" i="25" s="1"/>
  <c r="H2" i="11"/>
  <c r="A1" i="23" s="1"/>
  <c r="F3" i="11"/>
  <c r="A1" i="22" s="1"/>
  <c r="F2" i="11"/>
  <c r="A1" i="19" s="1"/>
  <c r="E3" i="11"/>
  <c r="A1" i="21" s="1"/>
  <c r="E2" i="11"/>
  <c r="A1" i="20" s="1"/>
  <c r="C4" i="11"/>
  <c r="C3" i="11"/>
  <c r="A1" i="10" s="1"/>
  <c r="C2" i="11"/>
  <c r="A1" i="8" s="1"/>
  <c r="B4" i="11"/>
  <c r="A1" i="13" s="1"/>
  <c r="B3" i="11"/>
  <c r="A1" i="9" s="1"/>
  <c r="B2" i="11"/>
  <c r="A1" i="2" s="1"/>
  <c r="AC27" i="14" l="1"/>
  <c r="AC29" i="14"/>
  <c r="AH32" i="14"/>
  <c r="AH26" i="14"/>
  <c r="AH28" i="14"/>
  <c r="AH30" i="14"/>
  <c r="AH34" i="14"/>
  <c r="F28" i="14"/>
  <c r="F33" i="14"/>
  <c r="AG33" i="14" s="1"/>
  <c r="AC28" i="14"/>
  <c r="E33" i="14"/>
  <c r="AD33" i="14" s="1"/>
  <c r="F30" i="14"/>
  <c r="E29" i="14"/>
  <c r="AD29" i="14" s="1"/>
  <c r="C29" i="14" s="1"/>
  <c r="E31" i="14"/>
  <c r="AD31" i="14" s="1"/>
  <c r="AC31" i="14"/>
  <c r="AC26" i="14"/>
  <c r="AC32" i="14"/>
  <c r="AC30" i="14"/>
  <c r="E30" i="14"/>
  <c r="AD30" i="14" s="1"/>
  <c r="AH33" i="14"/>
  <c r="AC33" i="14"/>
  <c r="AF31" i="14"/>
  <c r="F29" i="14"/>
  <c r="AG29" i="14" s="1"/>
  <c r="H29" i="14" s="1"/>
  <c r="E28" i="14"/>
  <c r="AD28" i="14" s="1"/>
  <c r="AF33" i="14"/>
  <c r="AD27" i="14"/>
  <c r="C27" i="14" s="1"/>
  <c r="F27" i="14"/>
  <c r="AG27" i="14" s="1"/>
  <c r="H27" i="14" s="1"/>
  <c r="E32" i="14"/>
  <c r="AD32" i="14" s="1"/>
  <c r="AD26" i="14"/>
  <c r="AC34" i="14"/>
  <c r="E34" i="14"/>
  <c r="AD34" i="14" s="1"/>
  <c r="AF34" i="14"/>
  <c r="AE30" i="14"/>
  <c r="G30" i="14" s="1"/>
  <c r="AG30" i="14"/>
  <c r="H30" i="14" s="1"/>
  <c r="AG28" i="14"/>
  <c r="H28" i="14" s="1"/>
  <c r="AE28" i="14"/>
  <c r="G28" i="14" s="1"/>
  <c r="F34" i="14"/>
  <c r="F26" i="14"/>
  <c r="F32" i="14"/>
  <c r="F31" i="14"/>
  <c r="C7" i="26"/>
  <c r="E7" i="26"/>
  <c r="AF4" i="26"/>
  <c r="AJ4" i="24"/>
  <c r="AE4" i="22"/>
  <c r="AI4" i="19"/>
  <c r="AA4" i="10"/>
  <c r="AE3" i="8"/>
  <c r="AE29" i="14" l="1"/>
  <c r="G29" i="14" s="1"/>
  <c r="AE33" i="14"/>
  <c r="AE27" i="14"/>
  <c r="G27" i="14" s="1"/>
  <c r="C28" i="14"/>
  <c r="C26" i="14"/>
  <c r="C31" i="14"/>
  <c r="C32" i="14"/>
  <c r="C30" i="14"/>
  <c r="G33" i="14"/>
  <c r="H33" i="14"/>
  <c r="C34" i="14"/>
  <c r="C33" i="14"/>
  <c r="AE31" i="14"/>
  <c r="G31" i="14" s="1"/>
  <c r="AG31" i="14"/>
  <c r="H31" i="14" s="1"/>
  <c r="AE34" i="14"/>
  <c r="G34" i="14" s="1"/>
  <c r="AG34" i="14"/>
  <c r="H34" i="14" s="1"/>
  <c r="AE32" i="14"/>
  <c r="G32" i="14" s="1"/>
  <c r="AG32" i="14"/>
  <c r="H32" i="14" s="1"/>
  <c r="AE26" i="14"/>
  <c r="G26" i="14" s="1"/>
  <c r="AG26" i="14"/>
  <c r="H26" i="14" s="1"/>
  <c r="AJ7" i="32"/>
  <c r="AL7" i="32" s="1"/>
  <c r="AG7" i="32"/>
  <c r="AB7" i="32"/>
  <c r="Y7" i="32"/>
  <c r="X7" i="32"/>
  <c r="U7" i="32"/>
  <c r="D7" i="32"/>
  <c r="C7" i="32"/>
  <c r="AE7" i="28"/>
  <c r="AF7" i="28" s="1"/>
  <c r="AC7" i="28"/>
  <c r="X7" i="28"/>
  <c r="V7" i="28"/>
  <c r="U7" i="28"/>
  <c r="S7" i="28"/>
  <c r="AM7" i="28"/>
  <c r="AL7" i="28"/>
  <c r="Z7" i="28"/>
  <c r="R7" i="28"/>
  <c r="P7" i="28" s="1"/>
  <c r="Q7" i="28"/>
  <c r="O7" i="28" s="1"/>
  <c r="Y7" i="28"/>
  <c r="D7" i="28"/>
  <c r="C7" i="28"/>
  <c r="AF7" i="26"/>
  <c r="AG7" i="26" s="1"/>
  <c r="AD7" i="26"/>
  <c r="Y7" i="26"/>
  <c r="X7" i="26"/>
  <c r="W7" i="26"/>
  <c r="V7" i="26"/>
  <c r="Z7" i="26"/>
  <c r="AA7" i="26"/>
  <c r="F7" i="26"/>
  <c r="AI7" i="19"/>
  <c r="AJ7" i="19" s="1"/>
  <c r="AG7" i="19"/>
  <c r="AH7" i="19" s="1"/>
  <c r="AX7" i="19"/>
  <c r="AW7" i="19"/>
  <c r="W7" i="19"/>
  <c r="S7" i="19" s="1"/>
  <c r="V7" i="19"/>
  <c r="R7" i="19" s="1"/>
  <c r="AA7" i="19"/>
  <c r="Z7" i="19"/>
  <c r="Y7" i="19"/>
  <c r="X7" i="19"/>
  <c r="AB7" i="19"/>
  <c r="D7" i="19" s="1"/>
  <c r="G7" i="19"/>
  <c r="F7" i="19"/>
  <c r="E7" i="19"/>
  <c r="AJ7" i="24"/>
  <c r="AK7" i="24" s="1"/>
  <c r="AH7" i="24"/>
  <c r="AI7" i="24" s="1"/>
  <c r="AY7" i="24"/>
  <c r="AX7" i="24"/>
  <c r="Y7" i="24"/>
  <c r="U7" i="24" s="1"/>
  <c r="X7" i="24"/>
  <c r="T7" i="24" s="1"/>
  <c r="AC7" i="24"/>
  <c r="AB7" i="24"/>
  <c r="AA7" i="24"/>
  <c r="Z7" i="24"/>
  <c r="AD7" i="24"/>
  <c r="C7" i="24" s="1"/>
  <c r="H7" i="24"/>
  <c r="G7" i="24"/>
  <c r="E7" i="24"/>
  <c r="AP7" i="22"/>
  <c r="AO7" i="22"/>
  <c r="Y7" i="22"/>
  <c r="X7" i="22"/>
  <c r="W7" i="22"/>
  <c r="V7" i="22"/>
  <c r="U7" i="22"/>
  <c r="T7" i="22"/>
  <c r="S7" i="22"/>
  <c r="Q7" i="22" s="1"/>
  <c r="R7" i="22"/>
  <c r="P7" i="22" s="1"/>
  <c r="E7" i="22"/>
  <c r="D7" i="22"/>
  <c r="C7" i="22"/>
  <c r="AE7" i="22"/>
  <c r="AF7" i="22" s="1"/>
  <c r="AC7" i="22"/>
  <c r="AD7" i="22" s="1"/>
  <c r="E7" i="8"/>
  <c r="AI7" i="32" l="1"/>
  <c r="AE4" i="32"/>
  <c r="AD7" i="28"/>
  <c r="AA4" i="28"/>
  <c r="AH7" i="32"/>
  <c r="AE7" i="26"/>
  <c r="AK7" i="32"/>
  <c r="C7" i="19"/>
  <c r="D7" i="24"/>
  <c r="AS7" i="32" l="1"/>
  <c r="T7" i="32" s="1"/>
  <c r="AR7" i="32"/>
  <c r="S7" i="32" l="1"/>
  <c r="Q7" i="32" s="1"/>
  <c r="AD7" i="32"/>
  <c r="AC7" i="32" s="1"/>
  <c r="R7" i="32"/>
  <c r="AQ7" i="26"/>
  <c r="U7" i="26" s="1"/>
  <c r="S7" i="26" s="1"/>
  <c r="AP7" i="26"/>
  <c r="AL7" i="10" l="1"/>
  <c r="AK7" i="10"/>
  <c r="W7" i="32" l="1"/>
  <c r="AA7" i="32"/>
  <c r="Y7" i="8"/>
  <c r="Q2" i="16" l="1"/>
  <c r="D7" i="8" l="1"/>
  <c r="C7" i="8"/>
  <c r="D7" i="26"/>
  <c r="BE7" i="26" s="1"/>
  <c r="AK7" i="26"/>
  <c r="AJ7" i="22"/>
  <c r="AF7" i="10"/>
  <c r="AC2" i="24" l="1"/>
  <c r="AA2" i="19"/>
  <c r="Z2" i="8"/>
  <c r="I2" i="16"/>
  <c r="AC7" i="8" l="1"/>
  <c r="T7" i="28" l="1"/>
  <c r="Z7" i="32"/>
  <c r="V7" i="32"/>
  <c r="B17" i="11"/>
  <c r="A4" i="31"/>
  <c r="BH7" i="32"/>
  <c r="AQ7" i="32"/>
  <c r="AP7" i="32"/>
  <c r="AF7" i="32"/>
  <c r="AE7" i="32"/>
  <c r="B7" i="32"/>
  <c r="A7" i="32"/>
  <c r="BD7" i="32" l="1"/>
  <c r="BB7" i="32"/>
  <c r="P2" i="16"/>
  <c r="BG7" i="32"/>
  <c r="AN4" i="32"/>
  <c r="AT7" i="31"/>
  <c r="AS7" i="31"/>
  <c r="AR7" i="31"/>
  <c r="AQ7" i="31"/>
  <c r="AP7" i="31"/>
  <c r="AO7" i="31"/>
  <c r="AN7" i="31"/>
  <c r="AM7" i="31"/>
  <c r="A4" i="32"/>
  <c r="A3" i="31"/>
  <c r="A3" i="32" s="1"/>
  <c r="W7" i="28"/>
  <c r="O2" i="16"/>
  <c r="A4" i="27"/>
  <c r="A4" i="28" s="1"/>
  <c r="BB7" i="28"/>
  <c r="AK7" i="28"/>
  <c r="AJ7" i="28"/>
  <c r="AB7" i="28"/>
  <c r="AA7" i="28"/>
  <c r="B7" i="28"/>
  <c r="A7" i="28"/>
  <c r="AH4" i="28"/>
  <c r="AN11" i="27"/>
  <c r="AM11" i="27"/>
  <c r="AL11" i="27"/>
  <c r="AK11" i="27"/>
  <c r="AJ11" i="27"/>
  <c r="AI11" i="27"/>
  <c r="AN10" i="27"/>
  <c r="AM10" i="27"/>
  <c r="AL10" i="27"/>
  <c r="AK10" i="27"/>
  <c r="AJ10" i="27"/>
  <c r="AI10" i="27"/>
  <c r="AN9" i="27"/>
  <c r="AM9" i="27"/>
  <c r="AL9" i="27"/>
  <c r="AK9" i="27"/>
  <c r="AJ9" i="27"/>
  <c r="AI9" i="27"/>
  <c r="AN8" i="27"/>
  <c r="AM8" i="27"/>
  <c r="AL8" i="27"/>
  <c r="AK8" i="27"/>
  <c r="AJ8" i="27"/>
  <c r="AI8" i="27"/>
  <c r="AN7" i="27"/>
  <c r="AM7" i="27"/>
  <c r="AL7" i="27"/>
  <c r="AK7" i="27"/>
  <c r="AJ7" i="27"/>
  <c r="AI7" i="27"/>
  <c r="A3" i="27"/>
  <c r="A3" i="28" s="1"/>
  <c r="L7" i="32" l="1"/>
  <c r="K7" i="32"/>
  <c r="J7" i="32"/>
  <c r="E7" i="32"/>
  <c r="F7" i="32"/>
  <c r="H7" i="32"/>
  <c r="I7" i="32"/>
  <c r="G7" i="32"/>
  <c r="X3" i="32"/>
  <c r="AV7" i="28"/>
  <c r="AX7" i="28"/>
  <c r="AZ7" i="28"/>
  <c r="N7" i="28"/>
  <c r="BA7" i="28"/>
  <c r="M7" i="28"/>
  <c r="I7" i="28" l="1"/>
  <c r="E7" i="28"/>
  <c r="AO7" i="28" s="1"/>
  <c r="AL3" i="28" s="1"/>
  <c r="H7" i="28"/>
  <c r="J7" i="28"/>
  <c r="F7" i="28"/>
  <c r="G7" i="28"/>
  <c r="U3" i="28"/>
  <c r="M7" i="32"/>
  <c r="AZ7" i="32"/>
  <c r="AX7" i="32"/>
  <c r="P7" i="32"/>
  <c r="BF7" i="32"/>
  <c r="O7" i="32"/>
  <c r="BE7" i="32"/>
  <c r="AU7" i="32"/>
  <c r="AS7" i="28"/>
  <c r="G3" i="15"/>
  <c r="AV7" i="32" l="1"/>
  <c r="AR3" i="32"/>
  <c r="N7" i="32"/>
  <c r="AY7" i="32"/>
  <c r="AW7" i="32"/>
  <c r="BA7" i="32"/>
  <c r="AN7" i="32" s="1"/>
  <c r="BC7" i="32"/>
  <c r="AO7" i="32" s="1"/>
  <c r="AR7" i="28"/>
  <c r="AY7" i="28"/>
  <c r="L7" i="28"/>
  <c r="K7" i="28"/>
  <c r="AW7" i="28"/>
  <c r="AI7" i="28" s="1"/>
  <c r="AQ7" i="28"/>
  <c r="AT7" i="28"/>
  <c r="AG7" i="28" s="1"/>
  <c r="AU7" i="28"/>
  <c r="AH7" i="28" s="1"/>
  <c r="AP7" i="28"/>
  <c r="A8" i="14"/>
  <c r="B8" i="14"/>
  <c r="I8" i="14"/>
  <c r="J8" i="14"/>
  <c r="K8" i="14"/>
  <c r="L8" i="14"/>
  <c r="M8" i="14"/>
  <c r="N8" i="14"/>
  <c r="S8" i="14"/>
  <c r="T8" i="14"/>
  <c r="U8" i="14"/>
  <c r="V8" i="14"/>
  <c r="W8" i="14"/>
  <c r="X8" i="14"/>
  <c r="Y8" i="14"/>
  <c r="Z8" i="14"/>
  <c r="AA8" i="14"/>
  <c r="A9" i="14"/>
  <c r="B9" i="14"/>
  <c r="I9" i="14"/>
  <c r="J9" i="14"/>
  <c r="K9" i="14"/>
  <c r="L9" i="14"/>
  <c r="M9" i="14"/>
  <c r="N9" i="14"/>
  <c r="S9" i="14"/>
  <c r="T9" i="14"/>
  <c r="U9" i="14"/>
  <c r="V9" i="14"/>
  <c r="W9" i="14"/>
  <c r="X9" i="14"/>
  <c r="Y9" i="14"/>
  <c r="Z9" i="14"/>
  <c r="AA9" i="14"/>
  <c r="A10" i="14"/>
  <c r="B10" i="14"/>
  <c r="I10" i="14"/>
  <c r="J10" i="14"/>
  <c r="K10" i="14"/>
  <c r="L10" i="14"/>
  <c r="M10" i="14"/>
  <c r="N10" i="14"/>
  <c r="S10" i="14"/>
  <c r="T10" i="14"/>
  <c r="U10" i="14"/>
  <c r="V10" i="14"/>
  <c r="W10" i="14"/>
  <c r="X10" i="14"/>
  <c r="Y10" i="14"/>
  <c r="Z10" i="14"/>
  <c r="AA10" i="14"/>
  <c r="A11" i="14"/>
  <c r="B11" i="14"/>
  <c r="I11" i="14"/>
  <c r="J11" i="14"/>
  <c r="K11" i="14"/>
  <c r="L11" i="14"/>
  <c r="M11" i="14"/>
  <c r="N11" i="14"/>
  <c r="S11" i="14"/>
  <c r="T11" i="14"/>
  <c r="U11" i="14"/>
  <c r="V11" i="14"/>
  <c r="W11" i="14"/>
  <c r="X11" i="14"/>
  <c r="Y11" i="14"/>
  <c r="Z11" i="14"/>
  <c r="AA11" i="14"/>
  <c r="A12" i="14"/>
  <c r="B12" i="14"/>
  <c r="I12" i="14"/>
  <c r="J12" i="14"/>
  <c r="K12" i="14"/>
  <c r="L12" i="14"/>
  <c r="M12" i="14"/>
  <c r="N12" i="14"/>
  <c r="S12" i="14"/>
  <c r="T12" i="14"/>
  <c r="U12" i="14"/>
  <c r="V12" i="14"/>
  <c r="W12" i="14"/>
  <c r="X12" i="14"/>
  <c r="Y12" i="14"/>
  <c r="Z12" i="14"/>
  <c r="AA12" i="14"/>
  <c r="A13" i="14"/>
  <c r="B13" i="14"/>
  <c r="I13" i="14"/>
  <c r="J13" i="14"/>
  <c r="K13" i="14"/>
  <c r="L13" i="14"/>
  <c r="M13" i="14"/>
  <c r="N13" i="14"/>
  <c r="S13" i="14"/>
  <c r="T13" i="14"/>
  <c r="U13" i="14"/>
  <c r="V13" i="14"/>
  <c r="W13" i="14"/>
  <c r="X13" i="14"/>
  <c r="Y13" i="14"/>
  <c r="Z13" i="14"/>
  <c r="AA13" i="14"/>
  <c r="A14" i="14"/>
  <c r="B14" i="14"/>
  <c r="I14" i="14"/>
  <c r="J14" i="14"/>
  <c r="K14" i="14"/>
  <c r="L14" i="14"/>
  <c r="M14" i="14"/>
  <c r="N14" i="14"/>
  <c r="S14" i="14"/>
  <c r="T14" i="14"/>
  <c r="U14" i="14"/>
  <c r="V14" i="14"/>
  <c r="W14" i="14"/>
  <c r="X14" i="14"/>
  <c r="Y14" i="14"/>
  <c r="Z14" i="14"/>
  <c r="AA14" i="14"/>
  <c r="A15" i="14"/>
  <c r="B15" i="14"/>
  <c r="I15" i="14"/>
  <c r="J15" i="14"/>
  <c r="K15" i="14"/>
  <c r="L15" i="14"/>
  <c r="M15" i="14"/>
  <c r="N15" i="14"/>
  <c r="S15" i="14"/>
  <c r="T15" i="14"/>
  <c r="U15" i="14"/>
  <c r="V15" i="14"/>
  <c r="W15" i="14"/>
  <c r="X15" i="14"/>
  <c r="Y15" i="14"/>
  <c r="Z15" i="14"/>
  <c r="AA15" i="14"/>
  <c r="A16" i="14"/>
  <c r="B16" i="14"/>
  <c r="I16" i="14"/>
  <c r="J16" i="14"/>
  <c r="K16" i="14"/>
  <c r="L16" i="14"/>
  <c r="M16" i="14"/>
  <c r="N16" i="14"/>
  <c r="S16" i="14"/>
  <c r="T16" i="14"/>
  <c r="U16" i="14"/>
  <c r="V16" i="14"/>
  <c r="W16" i="14"/>
  <c r="X16" i="14"/>
  <c r="Y16" i="14"/>
  <c r="Z16" i="14"/>
  <c r="AA16" i="14"/>
  <c r="A17" i="14"/>
  <c r="B17" i="14"/>
  <c r="I17" i="14"/>
  <c r="J17" i="14"/>
  <c r="K17" i="14"/>
  <c r="L17" i="14"/>
  <c r="M17" i="14"/>
  <c r="N17" i="14"/>
  <c r="S17" i="14"/>
  <c r="T17" i="14"/>
  <c r="U17" i="14"/>
  <c r="V17" i="14"/>
  <c r="W17" i="14"/>
  <c r="X17" i="14"/>
  <c r="Y17" i="14"/>
  <c r="Z17" i="14"/>
  <c r="AA17" i="14"/>
  <c r="A18" i="14"/>
  <c r="B18" i="14"/>
  <c r="I18" i="14"/>
  <c r="J18" i="14"/>
  <c r="K18" i="14"/>
  <c r="L18" i="14"/>
  <c r="M18" i="14"/>
  <c r="N18" i="14"/>
  <c r="S18" i="14"/>
  <c r="T18" i="14"/>
  <c r="U18" i="14"/>
  <c r="V18" i="14"/>
  <c r="W18" i="14"/>
  <c r="X18" i="14"/>
  <c r="Y18" i="14"/>
  <c r="Z18" i="14"/>
  <c r="AA18" i="14"/>
  <c r="A19" i="14"/>
  <c r="B19" i="14"/>
  <c r="I19" i="14"/>
  <c r="J19" i="14"/>
  <c r="K19" i="14"/>
  <c r="L19" i="14"/>
  <c r="M19" i="14"/>
  <c r="N19" i="14"/>
  <c r="S19" i="14"/>
  <c r="T19" i="14"/>
  <c r="U19" i="14"/>
  <c r="V19" i="14"/>
  <c r="W19" i="14"/>
  <c r="X19" i="14"/>
  <c r="Y19" i="14"/>
  <c r="Z19" i="14"/>
  <c r="AA19" i="14"/>
  <c r="A20" i="14"/>
  <c r="B20" i="14"/>
  <c r="I20" i="14"/>
  <c r="J20" i="14"/>
  <c r="K20" i="14"/>
  <c r="L20" i="14"/>
  <c r="M20" i="14"/>
  <c r="N20" i="14"/>
  <c r="S20" i="14"/>
  <c r="T20" i="14"/>
  <c r="U20" i="14"/>
  <c r="V20" i="14"/>
  <c r="W20" i="14"/>
  <c r="X20" i="14"/>
  <c r="Y20" i="14"/>
  <c r="Z20" i="14"/>
  <c r="AA20" i="14"/>
  <c r="A21" i="14"/>
  <c r="B21" i="14"/>
  <c r="I21" i="14"/>
  <c r="J21" i="14"/>
  <c r="K21" i="14"/>
  <c r="L21" i="14"/>
  <c r="M21" i="14"/>
  <c r="N21" i="14"/>
  <c r="S21" i="14"/>
  <c r="T21" i="14"/>
  <c r="U21" i="14"/>
  <c r="V21" i="14"/>
  <c r="W21" i="14"/>
  <c r="X21" i="14"/>
  <c r="Y21" i="14"/>
  <c r="Z21" i="14"/>
  <c r="AA21" i="14"/>
  <c r="A22" i="14"/>
  <c r="B22" i="14"/>
  <c r="I22" i="14"/>
  <c r="J22" i="14"/>
  <c r="K22" i="14"/>
  <c r="L22" i="14"/>
  <c r="M22" i="14"/>
  <c r="N22" i="14"/>
  <c r="S22" i="14"/>
  <c r="T22" i="14"/>
  <c r="U22" i="14"/>
  <c r="V22" i="14"/>
  <c r="W22" i="14"/>
  <c r="X22" i="14"/>
  <c r="Y22" i="14"/>
  <c r="Z22" i="14"/>
  <c r="AA22" i="14"/>
  <c r="A23" i="14"/>
  <c r="B23" i="14"/>
  <c r="I23" i="14"/>
  <c r="J23" i="14"/>
  <c r="K23" i="14"/>
  <c r="L23" i="14"/>
  <c r="M23" i="14"/>
  <c r="N23" i="14"/>
  <c r="S23" i="14"/>
  <c r="T23" i="14"/>
  <c r="U23" i="14"/>
  <c r="V23" i="14"/>
  <c r="W23" i="14"/>
  <c r="X23" i="14"/>
  <c r="Y23" i="14"/>
  <c r="Z23" i="14"/>
  <c r="AA23" i="14"/>
  <c r="A24" i="14"/>
  <c r="B24" i="14"/>
  <c r="I24" i="14"/>
  <c r="J24" i="14"/>
  <c r="K24" i="14"/>
  <c r="L24" i="14"/>
  <c r="M24" i="14"/>
  <c r="N24" i="14"/>
  <c r="S24" i="14"/>
  <c r="T24" i="14"/>
  <c r="U24" i="14"/>
  <c r="V24" i="14"/>
  <c r="W24" i="14"/>
  <c r="X24" i="14"/>
  <c r="Y24" i="14"/>
  <c r="Z24" i="14"/>
  <c r="AA24" i="14"/>
  <c r="A25" i="14"/>
  <c r="B25" i="14"/>
  <c r="I25" i="14"/>
  <c r="J25" i="14"/>
  <c r="K25" i="14"/>
  <c r="L25" i="14"/>
  <c r="M25" i="14"/>
  <c r="N25" i="14"/>
  <c r="S25" i="14"/>
  <c r="T25" i="14"/>
  <c r="U25" i="14"/>
  <c r="V25" i="14"/>
  <c r="W25" i="14"/>
  <c r="X25" i="14"/>
  <c r="Y25" i="14"/>
  <c r="Z25" i="14"/>
  <c r="AA25" i="14"/>
  <c r="H8" i="15" l="1"/>
  <c r="G8" i="15"/>
  <c r="AM7" i="32"/>
  <c r="AF8" i="14"/>
  <c r="AF11" i="14"/>
  <c r="AC25" i="14"/>
  <c r="AH10" i="14"/>
  <c r="AH9" i="14"/>
  <c r="AF17" i="14"/>
  <c r="AH14" i="14"/>
  <c r="E9" i="14"/>
  <c r="AD9" i="14" s="1"/>
  <c r="AH8" i="14"/>
  <c r="AC24" i="14"/>
  <c r="AH25" i="14"/>
  <c r="AH11" i="14"/>
  <c r="E10" i="14"/>
  <c r="AD10" i="14" s="1"/>
  <c r="AH13" i="14"/>
  <c r="AH15" i="14"/>
  <c r="E24" i="14"/>
  <c r="AD24" i="14" s="1"/>
  <c r="F18" i="14"/>
  <c r="AG18" i="14" s="1"/>
  <c r="AF19" i="14"/>
  <c r="E15" i="14"/>
  <c r="AD15" i="14" s="1"/>
  <c r="E12" i="14"/>
  <c r="AD12" i="14" s="1"/>
  <c r="F25" i="14"/>
  <c r="AG25" i="14" s="1"/>
  <c r="AF13" i="14"/>
  <c r="AC23" i="14"/>
  <c r="AF23" i="14"/>
  <c r="AF12" i="14"/>
  <c r="AF25" i="14"/>
  <c r="AC12" i="14"/>
  <c r="E22" i="14"/>
  <c r="AD22" i="14" s="1"/>
  <c r="E14" i="14"/>
  <c r="AD14" i="14" s="1"/>
  <c r="E19" i="14"/>
  <c r="AD19" i="14" s="1"/>
  <c r="AH23" i="14"/>
  <c r="AF18" i="14"/>
  <c r="F24" i="14"/>
  <c r="AG24" i="14" s="1"/>
  <c r="AF15" i="14"/>
  <c r="AH17" i="14"/>
  <c r="E16" i="14"/>
  <c r="AD16" i="14" s="1"/>
  <c r="AC16" i="14"/>
  <c r="AH12" i="14"/>
  <c r="AF10" i="14"/>
  <c r="AC9" i="14"/>
  <c r="E17" i="14"/>
  <c r="AD17" i="14" s="1"/>
  <c r="AC21" i="14"/>
  <c r="E21" i="14"/>
  <c r="AD21" i="14" s="1"/>
  <c r="AC18" i="14"/>
  <c r="AF22" i="14"/>
  <c r="AH19" i="14"/>
  <c r="E18" i="14"/>
  <c r="AD18" i="14" s="1"/>
  <c r="F13" i="14"/>
  <c r="AE13" i="14" s="1"/>
  <c r="E8" i="14"/>
  <c r="AD8" i="14" s="1"/>
  <c r="AH21" i="14"/>
  <c r="E20" i="14"/>
  <c r="AD20" i="14" s="1"/>
  <c r="AF9" i="14"/>
  <c r="AC11" i="14"/>
  <c r="AF21" i="14"/>
  <c r="AH16" i="14"/>
  <c r="AF14" i="14"/>
  <c r="AC13" i="14"/>
  <c r="E11" i="14"/>
  <c r="AD11" i="14" s="1"/>
  <c r="F16" i="14"/>
  <c r="AG16" i="14" s="1"/>
  <c r="F22" i="14"/>
  <c r="AG22" i="14" s="1"/>
  <c r="AC22" i="14"/>
  <c r="F15" i="14"/>
  <c r="AE15" i="14" s="1"/>
  <c r="AC20" i="14"/>
  <c r="AH18" i="14"/>
  <c r="AF16" i="14"/>
  <c r="AC15" i="14"/>
  <c r="E23" i="14"/>
  <c r="AD23" i="14" s="1"/>
  <c r="AF24" i="14"/>
  <c r="AH20" i="14"/>
  <c r="F19" i="14"/>
  <c r="AE19" i="14" s="1"/>
  <c r="AC19" i="14"/>
  <c r="AC17" i="14"/>
  <c r="AF20" i="14"/>
  <c r="AC10" i="14"/>
  <c r="F8" i="14"/>
  <c r="AG8" i="14" s="1"/>
  <c r="F9" i="14"/>
  <c r="AG9" i="14" s="1"/>
  <c r="AH22" i="14"/>
  <c r="AC14" i="14"/>
  <c r="AC8" i="14"/>
  <c r="E25" i="14"/>
  <c r="AD25" i="14" s="1"/>
  <c r="AH24" i="14"/>
  <c r="F17" i="14"/>
  <c r="AE17" i="14" s="1"/>
  <c r="E13" i="14"/>
  <c r="AD13" i="14" s="1"/>
  <c r="F12" i="14"/>
  <c r="AG12" i="14" s="1"/>
  <c r="F11" i="14"/>
  <c r="AG11" i="14" s="1"/>
  <c r="F10" i="14"/>
  <c r="AG10" i="14" s="1"/>
  <c r="F14" i="14"/>
  <c r="AE14" i="14" s="1"/>
  <c r="F23" i="14"/>
  <c r="AE23" i="14" s="1"/>
  <c r="F21" i="14"/>
  <c r="AE21" i="14" s="1"/>
  <c r="F20" i="14"/>
  <c r="AG20" i="14" s="1"/>
  <c r="AH7" i="21"/>
  <c r="AI7" i="21"/>
  <c r="AJ7" i="21"/>
  <c r="AK7" i="21"/>
  <c r="AL7" i="21"/>
  <c r="AH8" i="21"/>
  <c r="AI8" i="21"/>
  <c r="AJ8" i="21"/>
  <c r="AK8" i="21"/>
  <c r="AL8" i="21"/>
  <c r="AH9" i="21"/>
  <c r="AI9" i="21"/>
  <c r="AJ9" i="21"/>
  <c r="AK9" i="21"/>
  <c r="AL9" i="21"/>
  <c r="AH10" i="21"/>
  <c r="AI10" i="21"/>
  <c r="AJ10" i="21"/>
  <c r="AK10" i="21"/>
  <c r="AL10" i="21"/>
  <c r="AE8" i="14" l="1"/>
  <c r="G8" i="14" s="1"/>
  <c r="AG13" i="14"/>
  <c r="H13" i="14" s="1"/>
  <c r="AE16" i="14"/>
  <c r="G16" i="14" s="1"/>
  <c r="AE25" i="14"/>
  <c r="G25" i="14" s="1"/>
  <c r="AG17" i="14"/>
  <c r="H17" i="14" s="1"/>
  <c r="AG21" i="14"/>
  <c r="H21" i="14" s="1"/>
  <c r="AG19" i="14"/>
  <c r="H19" i="14" s="1"/>
  <c r="AE20" i="14"/>
  <c r="G20" i="14" s="1"/>
  <c r="AE24" i="14"/>
  <c r="G24" i="14" s="1"/>
  <c r="AE10" i="14"/>
  <c r="G10" i="14" s="1"/>
  <c r="AE11" i="14"/>
  <c r="G11" i="14" s="1"/>
  <c r="AG15" i="14"/>
  <c r="H15" i="14" s="1"/>
  <c r="AE18" i="14"/>
  <c r="G18" i="14" s="1"/>
  <c r="AG23" i="14"/>
  <c r="H23" i="14" s="1"/>
  <c r="AE9" i="14"/>
  <c r="G9" i="14" s="1"/>
  <c r="AE12" i="14"/>
  <c r="G12" i="14" s="1"/>
  <c r="AE22" i="14"/>
  <c r="G22" i="14" s="1"/>
  <c r="AG14" i="14"/>
  <c r="H14" i="14" s="1"/>
  <c r="C25" i="14"/>
  <c r="C24" i="14"/>
  <c r="H25" i="14"/>
  <c r="C12" i="14"/>
  <c r="C21" i="14"/>
  <c r="G15" i="14"/>
  <c r="G13" i="14"/>
  <c r="C23" i="14"/>
  <c r="H18" i="14"/>
  <c r="C20" i="14"/>
  <c r="C9" i="14"/>
  <c r="C14" i="14"/>
  <c r="C15" i="14"/>
  <c r="C13" i="14"/>
  <c r="C18" i="14"/>
  <c r="C22" i="14"/>
  <c r="C10" i="14"/>
  <c r="C16" i="14"/>
  <c r="H9" i="14"/>
  <c r="C17" i="14"/>
  <c r="G19" i="14"/>
  <c r="H24" i="14"/>
  <c r="C8" i="14"/>
  <c r="C19" i="14"/>
  <c r="H8" i="14"/>
  <c r="H16" i="14"/>
  <c r="C11" i="14"/>
  <c r="H22" i="14"/>
  <c r="G17" i="14"/>
  <c r="H20" i="14"/>
  <c r="G21" i="14"/>
  <c r="H12" i="14"/>
  <c r="G23" i="14"/>
  <c r="G14" i="14"/>
  <c r="H10" i="14"/>
  <c r="H11" i="14"/>
  <c r="B16" i="11"/>
  <c r="B15" i="11"/>
  <c r="AH12" i="21"/>
  <c r="AI12" i="21"/>
  <c r="AJ12" i="21"/>
  <c r="AK12" i="21"/>
  <c r="AL12" i="21"/>
  <c r="AM12" i="21"/>
  <c r="AN12" i="21"/>
  <c r="AO12" i="21"/>
  <c r="AH13" i="21"/>
  <c r="AI13" i="21"/>
  <c r="AJ13" i="21"/>
  <c r="AK13" i="21"/>
  <c r="AL13" i="21"/>
  <c r="AM13" i="21"/>
  <c r="AN13" i="21"/>
  <c r="AO13" i="21"/>
  <c r="AH14" i="21"/>
  <c r="AI14" i="21"/>
  <c r="AJ14" i="21"/>
  <c r="AK14" i="21"/>
  <c r="AL14" i="21"/>
  <c r="AM14" i="21"/>
  <c r="AN14" i="21"/>
  <c r="AO14" i="21"/>
  <c r="AH15" i="21"/>
  <c r="AI15" i="21"/>
  <c r="AJ15" i="21"/>
  <c r="AK15" i="21"/>
  <c r="AL15" i="21"/>
  <c r="AM15" i="21"/>
  <c r="AN15" i="21"/>
  <c r="AO15" i="21"/>
  <c r="AH16" i="21"/>
  <c r="AI16" i="21"/>
  <c r="AJ16" i="21"/>
  <c r="AK16" i="21"/>
  <c r="AL16" i="21"/>
  <c r="AM16" i="21"/>
  <c r="AN16" i="21"/>
  <c r="AO16" i="21"/>
  <c r="AH17" i="21"/>
  <c r="AI17" i="21"/>
  <c r="AJ17" i="21"/>
  <c r="AK17" i="21"/>
  <c r="AL17" i="21"/>
  <c r="AM17" i="21"/>
  <c r="AN17" i="21"/>
  <c r="AO17" i="21"/>
  <c r="AO9" i="23"/>
  <c r="AP9" i="23"/>
  <c r="AQ9" i="23"/>
  <c r="AR9" i="23"/>
  <c r="AS9" i="23"/>
  <c r="AT9" i="23"/>
  <c r="AU9" i="23"/>
  <c r="AV9" i="23"/>
  <c r="AO10" i="23"/>
  <c r="AP10" i="23"/>
  <c r="AQ10" i="23"/>
  <c r="AR10" i="23"/>
  <c r="AS10" i="23"/>
  <c r="AT10" i="23"/>
  <c r="AU10" i="23"/>
  <c r="AV10" i="23"/>
  <c r="AO11" i="23"/>
  <c r="AP11" i="23"/>
  <c r="AQ11" i="23"/>
  <c r="AR11" i="23"/>
  <c r="AS11" i="23"/>
  <c r="AT11" i="23"/>
  <c r="AU11" i="23"/>
  <c r="AV11" i="23"/>
  <c r="AO12" i="23"/>
  <c r="AP12" i="23"/>
  <c r="AQ12" i="23"/>
  <c r="AR12" i="23"/>
  <c r="AS12" i="23"/>
  <c r="AT12" i="23"/>
  <c r="AU12" i="23"/>
  <c r="AV12" i="23"/>
  <c r="AO13" i="23"/>
  <c r="AP13" i="23"/>
  <c r="AQ13" i="23"/>
  <c r="AR13" i="23"/>
  <c r="AS13" i="23"/>
  <c r="AT13" i="23"/>
  <c r="AU13" i="23"/>
  <c r="AV13" i="23"/>
  <c r="AO14" i="23"/>
  <c r="AP14" i="23"/>
  <c r="AQ14" i="23"/>
  <c r="AR14" i="23"/>
  <c r="AS14" i="23"/>
  <c r="AT14" i="23"/>
  <c r="AU14" i="23"/>
  <c r="AV14" i="23"/>
  <c r="AO15" i="23"/>
  <c r="AP15" i="23"/>
  <c r="AQ15" i="23"/>
  <c r="AR15" i="23"/>
  <c r="AS15" i="23"/>
  <c r="AT15" i="23"/>
  <c r="AU15" i="23"/>
  <c r="AV15" i="23"/>
  <c r="AO16" i="23"/>
  <c r="AP16" i="23"/>
  <c r="AQ16" i="23"/>
  <c r="AR16" i="23"/>
  <c r="AS16" i="23"/>
  <c r="AT16" i="23"/>
  <c r="AU16" i="23"/>
  <c r="AV16" i="23"/>
  <c r="A4" i="25" l="1"/>
  <c r="A4" i="26" s="1"/>
  <c r="BF7" i="26"/>
  <c r="AO7" i="26"/>
  <c r="AN7" i="26"/>
  <c r="AM7" i="26"/>
  <c r="AL7" i="26"/>
  <c r="AC7" i="26"/>
  <c r="AB7" i="26"/>
  <c r="B7" i="26"/>
  <c r="A7" i="26"/>
  <c r="T7" i="26" l="1"/>
  <c r="Q7" i="26"/>
  <c r="N2" i="16"/>
  <c r="AZ7" i="26"/>
  <c r="BD7" i="26"/>
  <c r="BB7" i="26"/>
  <c r="AI4" i="26"/>
  <c r="AP11" i="25"/>
  <c r="AO11" i="25"/>
  <c r="AN11" i="25"/>
  <c r="AM11" i="25"/>
  <c r="AL11" i="25"/>
  <c r="AK11" i="25"/>
  <c r="AJ11" i="25"/>
  <c r="AI11" i="25"/>
  <c r="AP10" i="25"/>
  <c r="AO10" i="25"/>
  <c r="AN10" i="25"/>
  <c r="AM10" i="25"/>
  <c r="AL10" i="25"/>
  <c r="AK10" i="25"/>
  <c r="AJ10" i="25"/>
  <c r="AI10" i="25"/>
  <c r="AP9" i="25"/>
  <c r="AO9" i="25"/>
  <c r="AN9" i="25"/>
  <c r="AM9" i="25"/>
  <c r="AL9" i="25"/>
  <c r="AK9" i="25"/>
  <c r="AJ9" i="25"/>
  <c r="AI9" i="25"/>
  <c r="AP8" i="25"/>
  <c r="AO8" i="25"/>
  <c r="AN8" i="25"/>
  <c r="AM8" i="25"/>
  <c r="AL8" i="25"/>
  <c r="AK8" i="25"/>
  <c r="AJ8" i="25"/>
  <c r="AI8" i="25"/>
  <c r="AP7" i="25"/>
  <c r="AO7" i="25"/>
  <c r="AN7" i="25"/>
  <c r="AM7" i="25"/>
  <c r="AL7" i="25"/>
  <c r="AK7" i="25"/>
  <c r="AJ7" i="25"/>
  <c r="AI7" i="25"/>
  <c r="A3" i="25"/>
  <c r="A3" i="26" s="1"/>
  <c r="M2" i="16"/>
  <c r="A4" i="21"/>
  <c r="A4" i="24"/>
  <c r="F7" i="24"/>
  <c r="BN7" i="24" s="1"/>
  <c r="AT7" i="23"/>
  <c r="S7" i="24"/>
  <c r="BD7" i="24"/>
  <c r="AW7" i="24"/>
  <c r="AV7" i="24"/>
  <c r="AU7" i="24"/>
  <c r="AT7" i="24"/>
  <c r="AS7" i="24"/>
  <c r="AR7" i="24"/>
  <c r="AG7" i="24"/>
  <c r="AF7" i="24"/>
  <c r="AM7" i="24"/>
  <c r="AL7" i="24"/>
  <c r="B7" i="24"/>
  <c r="A7" i="24"/>
  <c r="AL4" i="24"/>
  <c r="AV8" i="23"/>
  <c r="AU8" i="23"/>
  <c r="AT8" i="23"/>
  <c r="AS8" i="23"/>
  <c r="AR8" i="23"/>
  <c r="AQ8" i="23"/>
  <c r="AP8" i="23"/>
  <c r="AO8" i="23"/>
  <c r="AV7" i="23"/>
  <c r="AU7" i="23"/>
  <c r="AS7" i="23"/>
  <c r="AR7" i="23"/>
  <c r="AQ7" i="23"/>
  <c r="AP7" i="23"/>
  <c r="AO7" i="23"/>
  <c r="A3" i="23"/>
  <c r="A3" i="24" s="1"/>
  <c r="R7" i="26" l="1"/>
  <c r="P7" i="26" s="1"/>
  <c r="AW7" i="26" s="1"/>
  <c r="A4" i="23"/>
  <c r="BI7" i="24"/>
  <c r="BK7" i="24"/>
  <c r="BM7" i="24"/>
  <c r="R7" i="24"/>
  <c r="BC7" i="24"/>
  <c r="AT7" i="19"/>
  <c r="K7" i="26" l="1"/>
  <c r="M7" i="26"/>
  <c r="L7" i="26"/>
  <c r="G7" i="26"/>
  <c r="AS7" i="26" s="1"/>
  <c r="AM3" i="26" s="1"/>
  <c r="J7" i="26"/>
  <c r="I7" i="26"/>
  <c r="H7" i="26"/>
  <c r="AA3" i="24"/>
  <c r="J7" i="24"/>
  <c r="K7" i="24"/>
  <c r="I7" i="24"/>
  <c r="L7" i="24"/>
  <c r="M7" i="24"/>
  <c r="N7" i="24"/>
  <c r="O7" i="24"/>
  <c r="X3" i="26"/>
  <c r="L2" i="16"/>
  <c r="K2" i="16"/>
  <c r="Q7" i="24" l="1"/>
  <c r="AX7" i="26"/>
  <c r="AH7" i="26" s="1"/>
  <c r="O7" i="26"/>
  <c r="BH7" i="24"/>
  <c r="AP7" i="24" s="1"/>
  <c r="AY7" i="26"/>
  <c r="AI7" i="26" s="1"/>
  <c r="BA7" i="26"/>
  <c r="AJ7" i="26" s="1"/>
  <c r="AZ7" i="24"/>
  <c r="BJ7" i="24"/>
  <c r="AQ7" i="24" s="1"/>
  <c r="N7" i="26"/>
  <c r="AV7" i="26"/>
  <c r="AU7" i="26"/>
  <c r="BC7" i="26"/>
  <c r="P7" i="24"/>
  <c r="AB7" i="22"/>
  <c r="BA7" i="24" l="1"/>
  <c r="V7" i="24" s="1"/>
  <c r="AV3" i="24"/>
  <c r="BB7" i="24"/>
  <c r="W7" i="24" s="1"/>
  <c r="AE7" i="24" s="1"/>
  <c r="AT7" i="26"/>
  <c r="BE7" i="24" l="1"/>
  <c r="BG7" i="24"/>
  <c r="BF7" i="24"/>
  <c r="BL7" i="24"/>
  <c r="AN7" i="24" l="1"/>
  <c r="AO7" i="24" l="1"/>
  <c r="BF7" i="22" l="1"/>
  <c r="AN7" i="22"/>
  <c r="AM7" i="22"/>
  <c r="AL7" i="22"/>
  <c r="AK7" i="22"/>
  <c r="AA7" i="22"/>
  <c r="Z7" i="22"/>
  <c r="B7" i="22"/>
  <c r="A7" i="22"/>
  <c r="AH4" i="22"/>
  <c r="AO11" i="21"/>
  <c r="AN11" i="21"/>
  <c r="AM11" i="21"/>
  <c r="AL11" i="21"/>
  <c r="AK11" i="21"/>
  <c r="AJ11" i="21"/>
  <c r="AI11" i="21"/>
  <c r="AH11" i="21"/>
  <c r="AO10" i="21"/>
  <c r="AN10" i="21"/>
  <c r="AM10" i="21"/>
  <c r="AO9" i="21"/>
  <c r="AN9" i="21"/>
  <c r="AM9" i="21"/>
  <c r="AO8" i="21"/>
  <c r="AN8" i="21"/>
  <c r="AM8" i="21"/>
  <c r="AO7" i="21"/>
  <c r="AN7" i="21"/>
  <c r="AM7" i="21"/>
  <c r="A3" i="21"/>
  <c r="A3" i="22" s="1"/>
  <c r="AF7" i="19"/>
  <c r="Q7" i="19"/>
  <c r="BD7" i="19"/>
  <c r="AV7" i="19"/>
  <c r="AU7" i="19"/>
  <c r="AS7" i="19"/>
  <c r="AR7" i="19"/>
  <c r="AQ7" i="19"/>
  <c r="AE7" i="19"/>
  <c r="AD7" i="19"/>
  <c r="AL7" i="19"/>
  <c r="AK7" i="19"/>
  <c r="B7" i="19"/>
  <c r="A7" i="19"/>
  <c r="AU8" i="20"/>
  <c r="AT8" i="20"/>
  <c r="AS8" i="20"/>
  <c r="AR8" i="20"/>
  <c r="AQ8" i="20"/>
  <c r="AP8" i="20"/>
  <c r="AO8" i="20"/>
  <c r="AN8" i="20"/>
  <c r="AU7" i="20"/>
  <c r="AT7" i="20"/>
  <c r="AS7" i="20"/>
  <c r="AR7" i="20"/>
  <c r="AQ7" i="20"/>
  <c r="AP7" i="20"/>
  <c r="AO7" i="20"/>
  <c r="AN7" i="20"/>
  <c r="A3" i="20"/>
  <c r="A3" i="19" s="1"/>
  <c r="AK4" i="19"/>
  <c r="BE7" i="22" l="1"/>
  <c r="BN7" i="19"/>
  <c r="N7" i="22"/>
  <c r="BB7" i="22"/>
  <c r="AZ7" i="22"/>
  <c r="O7" i="22"/>
  <c r="BK7" i="19"/>
  <c r="P7" i="19"/>
  <c r="BC7" i="19"/>
  <c r="BI7" i="19"/>
  <c r="BM7" i="19"/>
  <c r="J2" i="16"/>
  <c r="Y3" i="19" l="1"/>
  <c r="H7" i="19"/>
  <c r="I7" i="19"/>
  <c r="AZ7" i="19" s="1"/>
  <c r="K7" i="19"/>
  <c r="M7" i="19"/>
  <c r="J7" i="19"/>
  <c r="L7" i="19"/>
  <c r="K7" i="22"/>
  <c r="G7" i="22"/>
  <c r="F7" i="22"/>
  <c r="I7" i="22"/>
  <c r="H7" i="22"/>
  <c r="J7" i="22"/>
  <c r="V3" i="22"/>
  <c r="BD7" i="22"/>
  <c r="AW7" i="22"/>
  <c r="A4" i="22"/>
  <c r="AP7" i="8"/>
  <c r="Y7" i="14"/>
  <c r="BH7" i="19" l="1"/>
  <c r="AO7" i="19" s="1"/>
  <c r="BJ7" i="19"/>
  <c r="AP7" i="19" s="1"/>
  <c r="N7" i="19"/>
  <c r="O7" i="19"/>
  <c r="BB7" i="19"/>
  <c r="U7" i="19" s="1"/>
  <c r="AY7" i="19"/>
  <c r="A4" i="20"/>
  <c r="A4" i="19"/>
  <c r="BA7" i="19" l="1"/>
  <c r="T7" i="19" s="1"/>
  <c r="AC7" i="19" s="1"/>
  <c r="AU3" i="19"/>
  <c r="BE7" i="19" l="1"/>
  <c r="BG7" i="19"/>
  <c r="BF7" i="19"/>
  <c r="BL7" i="19"/>
  <c r="AM7" i="19"/>
  <c r="AN7" i="19" l="1"/>
  <c r="BA7" i="10" l="1"/>
  <c r="T7" i="14" l="1"/>
  <c r="S7" i="14"/>
  <c r="N7" i="14"/>
  <c r="M7" i="14"/>
  <c r="L7" i="14"/>
  <c r="K7" i="14"/>
  <c r="J7" i="14"/>
  <c r="I7" i="14"/>
  <c r="V7" i="14"/>
  <c r="U7" i="14"/>
  <c r="X7" i="10"/>
  <c r="W7" i="10"/>
  <c r="AB7" i="8"/>
  <c r="AA7" i="8"/>
  <c r="AF9" i="9" l="1"/>
  <c r="AG9" i="9"/>
  <c r="AH9" i="9"/>
  <c r="AI9" i="9"/>
  <c r="AJ9" i="9"/>
  <c r="AK9" i="9"/>
  <c r="AL9" i="9"/>
  <c r="AM9" i="9"/>
  <c r="AF10" i="9"/>
  <c r="AG10" i="9"/>
  <c r="AH10" i="9"/>
  <c r="AI10" i="9"/>
  <c r="AJ10" i="9"/>
  <c r="AK10" i="9"/>
  <c r="AL10" i="9"/>
  <c r="AM10" i="9"/>
  <c r="AF11" i="9"/>
  <c r="AG11" i="9"/>
  <c r="AH11" i="9"/>
  <c r="AI11" i="9"/>
  <c r="AJ11" i="9"/>
  <c r="AK11" i="9"/>
  <c r="AL11" i="9"/>
  <c r="AM11" i="9"/>
  <c r="AJ7" i="10" l="1"/>
  <c r="AI7" i="10"/>
  <c r="AN7" i="8" l="1"/>
  <c r="AM7" i="8"/>
  <c r="Z7" i="14" l="1"/>
  <c r="AA7" i="14"/>
  <c r="AO7" i="8" l="1"/>
  <c r="H2" i="16" l="1"/>
  <c r="G2" i="16"/>
  <c r="F2" i="16"/>
  <c r="E2" i="16"/>
  <c r="D2" i="16"/>
  <c r="C2" i="16" l="1"/>
  <c r="B2" i="16"/>
  <c r="A2" i="16"/>
  <c r="AG7" i="10"/>
  <c r="AH7" i="10"/>
  <c r="AQ7" i="8"/>
  <c r="AR7" i="8"/>
  <c r="A3" i="13" l="1"/>
  <c r="A1" i="15" l="1"/>
  <c r="A3" i="15"/>
  <c r="A3" i="14" l="1"/>
  <c r="A4" i="14"/>
  <c r="A4" i="13"/>
  <c r="A4" i="9"/>
  <c r="A1" i="14"/>
  <c r="A3" i="9"/>
  <c r="X8" i="15"/>
  <c r="W8" i="15"/>
  <c r="V8" i="15"/>
  <c r="U8" i="15"/>
  <c r="T8" i="15"/>
  <c r="S8" i="15"/>
  <c r="R8" i="15"/>
  <c r="Q8" i="15"/>
  <c r="P8" i="15"/>
  <c r="O8" i="15"/>
  <c r="N8" i="15"/>
  <c r="M8" i="15"/>
  <c r="L8" i="15"/>
  <c r="K8" i="15"/>
  <c r="J8" i="15"/>
  <c r="I8" i="15"/>
  <c r="D8" i="15"/>
  <c r="C8" i="15"/>
  <c r="B8" i="15"/>
  <c r="A8" i="15"/>
  <c r="X7" i="15"/>
  <c r="W7" i="15"/>
  <c r="V7" i="15"/>
  <c r="U7" i="15"/>
  <c r="T7" i="15"/>
  <c r="S7" i="15"/>
  <c r="R7" i="15"/>
  <c r="Q7" i="15"/>
  <c r="P7" i="15"/>
  <c r="O7" i="15"/>
  <c r="N7" i="15"/>
  <c r="M7" i="15"/>
  <c r="L7" i="15"/>
  <c r="K7" i="15"/>
  <c r="J7" i="15"/>
  <c r="I7" i="15"/>
  <c r="D7" i="15"/>
  <c r="C7" i="15"/>
  <c r="B7" i="15"/>
  <c r="A7" i="15"/>
  <c r="X7" i="14"/>
  <c r="W7" i="14"/>
  <c r="B7" i="14"/>
  <c r="A7" i="14"/>
  <c r="H7" i="15" l="1"/>
  <c r="G7" i="15"/>
  <c r="A2" i="15"/>
  <c r="AF7" i="14"/>
  <c r="E7" i="14"/>
  <c r="AD7" i="14" s="1"/>
  <c r="AH7" i="14"/>
  <c r="AC7" i="14"/>
  <c r="C2" i="14"/>
  <c r="F7" i="14"/>
  <c r="F8" i="15"/>
  <c r="E8" i="15"/>
  <c r="F7" i="15"/>
  <c r="E7" i="15"/>
  <c r="AG7" i="14" l="1"/>
  <c r="H7" i="14" s="1"/>
  <c r="AE7" i="14"/>
  <c r="G7" i="14" s="1"/>
  <c r="C7" i="14"/>
  <c r="B7" i="10" l="1"/>
  <c r="AD4" i="10"/>
  <c r="AG4" i="8"/>
  <c r="D7" i="10" l="1"/>
  <c r="AS7" i="2" l="1"/>
  <c r="AR7" i="2"/>
  <c r="AQ7" i="2"/>
  <c r="AP7" i="2"/>
  <c r="AO7" i="2"/>
  <c r="AN7" i="2"/>
  <c r="AM7" i="2"/>
  <c r="AL7" i="2"/>
  <c r="AM8" i="9" l="1"/>
  <c r="AL8" i="9"/>
  <c r="AK8" i="9"/>
  <c r="AJ8" i="9"/>
  <c r="AI8" i="9"/>
  <c r="AH8" i="9"/>
  <c r="AG8" i="9"/>
  <c r="AF8" i="9"/>
  <c r="AM7" i="9"/>
  <c r="AL7" i="9"/>
  <c r="AK7" i="9"/>
  <c r="AJ7" i="9"/>
  <c r="AI7" i="9"/>
  <c r="AH7" i="9"/>
  <c r="AG7" i="9"/>
  <c r="AF7" i="9"/>
  <c r="AS7" i="8" l="1"/>
  <c r="AT7" i="8"/>
  <c r="S7" i="8" l="1"/>
  <c r="O7" i="8" s="1"/>
  <c r="M7" i="8" s="1"/>
  <c r="T7" i="8"/>
  <c r="P7" i="8" s="1"/>
  <c r="N7" i="8" s="1"/>
  <c r="B7" i="8" l="1"/>
  <c r="A7" i="8" l="1"/>
  <c r="AE7" i="8" l="1"/>
  <c r="AF7" i="8" l="1"/>
  <c r="AD7" i="8"/>
  <c r="C7" i="10" l="1"/>
  <c r="O7" i="10" l="1"/>
  <c r="AH7" i="8"/>
  <c r="AG7" i="8"/>
  <c r="BH7" i="8" l="1"/>
  <c r="M7" i="10"/>
  <c r="K7" i="10" s="1"/>
  <c r="AA7" i="10"/>
  <c r="AB7" i="10" s="1"/>
  <c r="Y7" i="10"/>
  <c r="AZ7" i="10" l="1"/>
  <c r="S3" i="10" s="1"/>
  <c r="Z7" i="10"/>
  <c r="F7" i="8"/>
  <c r="BI7" i="8" s="1"/>
  <c r="H7" i="10" l="1"/>
  <c r="G7" i="10"/>
  <c r="AX7" i="8"/>
  <c r="AY7" i="8"/>
  <c r="AT7" i="10" l="1"/>
  <c r="BD7" i="8" l="1"/>
  <c r="BF7" i="8"/>
  <c r="R7" i="10"/>
  <c r="S7" i="10"/>
  <c r="T7" i="10"/>
  <c r="Q7" i="10"/>
  <c r="AU7" i="10" l="1"/>
  <c r="AD7" i="10" s="1"/>
  <c r="AW7" i="10"/>
  <c r="A3" i="2" l="1"/>
  <c r="A3" i="10" s="1"/>
  <c r="A4" i="10"/>
  <c r="A4" i="8"/>
  <c r="A4" i="2"/>
  <c r="A7" i="10" l="1"/>
  <c r="A3" i="8"/>
  <c r="AS7" i="22" l="1"/>
  <c r="AR7" i="22" l="1"/>
  <c r="L7" i="22"/>
  <c r="AY7" i="22"/>
  <c r="AH7" i="22" s="1"/>
  <c r="BA7" i="22"/>
  <c r="AI7" i="22" s="1"/>
  <c r="AX7" i="22"/>
  <c r="AG7" i="22" s="1"/>
  <c r="AU7" i="22"/>
  <c r="AV7" i="22"/>
  <c r="BC7" i="22"/>
  <c r="M7" i="22"/>
  <c r="J7" i="10"/>
  <c r="I7" i="10"/>
  <c r="V7" i="10"/>
  <c r="U7" i="10" s="1"/>
  <c r="E7" i="10"/>
  <c r="F7" i="10"/>
  <c r="P7" i="10"/>
  <c r="AT7" i="22" l="1"/>
  <c r="AM3" i="22"/>
  <c r="AX7" i="10"/>
  <c r="AS7" i="10"/>
  <c r="N7" i="10"/>
  <c r="L7" i="10" s="1"/>
  <c r="AR7" i="10" s="1"/>
  <c r="AY7" i="10"/>
  <c r="AQ7" i="10"/>
  <c r="AN7" i="10"/>
  <c r="AP7" i="10" l="1"/>
  <c r="AI3" i="10"/>
  <c r="AO7" i="10"/>
  <c r="AC7" i="10"/>
  <c r="AV7" i="10"/>
  <c r="AE7" i="10" s="1"/>
  <c r="I7" i="8"/>
  <c r="H7" i="8" l="1"/>
  <c r="L7" i="8"/>
  <c r="V3" i="8"/>
  <c r="K7" i="8"/>
  <c r="G7" i="8"/>
  <c r="J7" i="8"/>
  <c r="BC7" i="8" s="1"/>
  <c r="AK7" i="8" s="1"/>
  <c r="BE7" i="8" l="1"/>
  <c r="AL7" i="8" s="1"/>
  <c r="AU7" i="8"/>
  <c r="AV7" i="8" l="1"/>
  <c r="AZ7" i="8" s="1"/>
  <c r="AQ3" i="8"/>
  <c r="AW7" i="8"/>
  <c r="R7" i="8" s="1"/>
  <c r="Q7" i="8" l="1"/>
  <c r="BG7" i="8" s="1"/>
  <c r="Z7" i="8" l="1"/>
  <c r="BA7" i="8" s="1"/>
  <c r="BB7" i="8" l="1"/>
  <c r="AJ7" i="8" s="1"/>
  <c r="AI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</author>
  </authors>
  <commentList>
    <comment ref="K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와이드</t>
        </r>
      </text>
    </comment>
    <comment ref="L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SO</t>
        </r>
        <r>
          <rPr>
            <b/>
            <sz val="9"/>
            <color indexed="81"/>
            <rFont val="돋움"/>
            <family val="3"/>
            <charset val="129"/>
          </rPr>
          <t>멍텅</t>
        </r>
      </text>
    </comment>
    <comment ref="M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막판유</t>
        </r>
      </text>
    </comment>
    <comment ref="N1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4CO</t>
        </r>
        <r>
          <rPr>
            <b/>
            <sz val="9"/>
            <color indexed="81"/>
            <rFont val="돋움"/>
            <family val="3"/>
            <charset val="129"/>
          </rPr>
          <t>막판무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05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K2" authorId="0" shapeId="0" xr:uid="{00000000-0006-0000-0C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M2" authorId="0" shapeId="0" xr:uid="{00000000-0006-0000-10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J2" authorId="0" shapeId="0" xr:uid="{00000000-0006-0000-12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L2" authorId="0" shapeId="0" xr:uid="{00000000-0006-0000-1400-000001000000}">
      <text>
        <r>
          <rPr>
            <b/>
            <sz val="9"/>
            <color indexed="81"/>
            <rFont val="돋움"/>
            <family val="3"/>
            <charset val="129"/>
          </rPr>
          <t>상판과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면일치를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위한</t>
        </r>
        <r>
          <rPr>
            <b/>
            <sz val="9"/>
            <color indexed="81"/>
            <rFont val="Tahoma"/>
            <family val="2"/>
          </rPr>
          <t xml:space="preserve"> JB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가산</t>
        </r>
      </text>
    </comment>
  </commentList>
</comments>
</file>

<file path=xl/sharedStrings.xml><?xml version="1.0" encoding="utf-8"?>
<sst xmlns="http://schemas.openxmlformats.org/spreadsheetml/2006/main" count="1171" uniqueCount="338">
  <si>
    <t>동/호기</t>
    <phoneticPr fontId="1" type="noConversion"/>
  </si>
  <si>
    <t>층</t>
    <phoneticPr fontId="1" type="noConversion"/>
  </si>
  <si>
    <t>MH1</t>
    <phoneticPr fontId="1" type="noConversion"/>
  </si>
  <si>
    <t>OP</t>
    <phoneticPr fontId="1" type="noConversion"/>
  </si>
  <si>
    <t>JD1</t>
    <phoneticPr fontId="1" type="noConversion"/>
  </si>
  <si>
    <t>JD2</t>
    <phoneticPr fontId="1" type="noConversion"/>
  </si>
  <si>
    <t>JB1</t>
    <phoneticPr fontId="1" type="noConversion"/>
  </si>
  <si>
    <t>JB2</t>
    <phoneticPr fontId="1" type="noConversion"/>
  </si>
  <si>
    <t>C1</t>
    <phoneticPr fontId="1" type="noConversion"/>
  </si>
  <si>
    <t>C2</t>
    <phoneticPr fontId="1" type="noConversion"/>
  </si>
  <si>
    <t>A1</t>
    <phoneticPr fontId="1" type="noConversion"/>
  </si>
  <si>
    <t>A2</t>
    <phoneticPr fontId="1" type="noConversion"/>
  </si>
  <si>
    <t>B1</t>
    <phoneticPr fontId="1" type="noConversion"/>
  </si>
  <si>
    <t>B2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</si>
  <si>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</si>
  <si>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</si>
  <si>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</si>
  <si>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</si>
  <si>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R</t>
    <phoneticPr fontId="1" type="noConversion"/>
  </si>
  <si>
    <t>U</t>
    <phoneticPr fontId="1" type="noConversion"/>
  </si>
  <si>
    <t>G</t>
    <phoneticPr fontId="1" type="noConversion"/>
  </si>
  <si>
    <t>늘어난치수</t>
    <phoneticPr fontId="1" type="noConversion"/>
  </si>
  <si>
    <t>상판
날개</t>
    <phoneticPr fontId="1" type="noConversion"/>
  </si>
  <si>
    <t>사이드
날개</t>
    <phoneticPr fontId="1" type="noConversion"/>
  </si>
  <si>
    <t>MH2</t>
    <phoneticPr fontId="1" type="noConversion"/>
  </si>
  <si>
    <t>상판
W*H</t>
    <phoneticPr fontId="1" type="noConversion"/>
  </si>
  <si>
    <t>상판h</t>
    <phoneticPr fontId="1" type="noConversion"/>
  </si>
  <si>
    <t>상판W</t>
    <phoneticPr fontId="1" type="noConversion"/>
  </si>
  <si>
    <t>SIDE좌</t>
    <phoneticPr fontId="1" type="noConversion"/>
  </si>
  <si>
    <t>SIDE우</t>
    <phoneticPr fontId="1" type="noConversion"/>
  </si>
  <si>
    <t>W</t>
    <phoneticPr fontId="1" type="noConversion"/>
  </si>
  <si>
    <t>H</t>
    <phoneticPr fontId="1" type="noConversion"/>
  </si>
  <si>
    <t>W</t>
    <phoneticPr fontId="1" type="noConversion"/>
  </si>
  <si>
    <t>H</t>
    <phoneticPr fontId="1" type="noConversion"/>
  </si>
  <si>
    <t>사이드 (좌)
W*H</t>
    <phoneticPr fontId="1" type="noConversion"/>
  </si>
  <si>
    <t>사이드 (우)
W*H</t>
    <phoneticPr fontId="1" type="noConversion"/>
  </si>
  <si>
    <t>와이드쟘</t>
    <phoneticPr fontId="1" type="noConversion"/>
  </si>
  <si>
    <t>현장명</t>
    <phoneticPr fontId="1" type="noConversion"/>
  </si>
  <si>
    <t>멍텅구리</t>
    <phoneticPr fontId="1" type="noConversion"/>
  </si>
  <si>
    <t>쪽쟘</t>
    <phoneticPr fontId="1" type="noConversion"/>
  </si>
  <si>
    <t>작업소장</t>
    <phoneticPr fontId="1" type="noConversion"/>
  </si>
  <si>
    <t>JD1</t>
    <phoneticPr fontId="1" type="noConversion"/>
  </si>
  <si>
    <t>JD2</t>
    <phoneticPr fontId="1" type="noConversion"/>
  </si>
  <si>
    <t>(K1)
좌상</t>
    <phoneticPr fontId="1" type="noConversion"/>
  </si>
  <si>
    <t>(K1)
좌하</t>
    <phoneticPr fontId="1" type="noConversion"/>
  </si>
  <si>
    <t>(K2)
좌상</t>
    <phoneticPr fontId="1" type="noConversion"/>
  </si>
  <si>
    <t>(K2)
좌하</t>
    <phoneticPr fontId="1" type="noConversion"/>
  </si>
  <si>
    <t>C1</t>
    <phoneticPr fontId="1" type="noConversion"/>
  </si>
  <si>
    <t>G
돌출</t>
    <phoneticPr fontId="1" type="noConversion"/>
  </si>
  <si>
    <t>JB-JD-B1</t>
    <phoneticPr fontId="1" type="noConversion"/>
  </si>
  <si>
    <t>검증</t>
    <phoneticPr fontId="1" type="noConversion"/>
  </si>
  <si>
    <t>G보정</t>
    <phoneticPr fontId="1" type="noConversion"/>
  </si>
  <si>
    <t>좌(K1)
상</t>
    <phoneticPr fontId="1" type="noConversion"/>
  </si>
  <si>
    <t>좌(K1)
하</t>
    <phoneticPr fontId="1" type="noConversion"/>
  </si>
  <si>
    <t>우(K2)
상</t>
    <phoneticPr fontId="1" type="noConversion"/>
  </si>
  <si>
    <t>우(K2)
하</t>
    <phoneticPr fontId="1" type="noConversion"/>
  </si>
  <si>
    <t>좌(K1)
상</t>
    <phoneticPr fontId="1" type="noConversion"/>
  </si>
  <si>
    <t>좌(K1)
하</t>
    <phoneticPr fontId="1" type="noConversion"/>
  </si>
  <si>
    <t>JD1
상부</t>
    <phoneticPr fontId="1" type="noConversion"/>
  </si>
  <si>
    <t>JD2
상부</t>
    <phoneticPr fontId="1" type="noConversion"/>
  </si>
  <si>
    <t>JB1
상부</t>
    <phoneticPr fontId="1" type="noConversion"/>
  </si>
  <si>
    <t>상판
H x W</t>
    <phoneticPr fontId="1" type="noConversion"/>
  </si>
  <si>
    <t>상판
H1</t>
    <phoneticPr fontId="1" type="noConversion"/>
  </si>
  <si>
    <t>상판
H2</t>
    <phoneticPr fontId="1" type="noConversion"/>
  </si>
  <si>
    <t>JB1
하부</t>
    <phoneticPr fontId="1" type="noConversion"/>
  </si>
  <si>
    <t>JB2
상부</t>
    <phoneticPr fontId="1" type="noConversion"/>
  </si>
  <si>
    <t>JB2
하부</t>
    <phoneticPr fontId="1" type="noConversion"/>
  </si>
  <si>
    <t>좌(K1)
상</t>
    <phoneticPr fontId="1" type="noConversion"/>
  </si>
  <si>
    <t>K1
좌하</t>
    <phoneticPr fontId="1" type="noConversion"/>
  </si>
  <si>
    <t>우(K2)
상</t>
    <phoneticPr fontId="1" type="noConversion"/>
  </si>
  <si>
    <t>K2
우하</t>
    <phoneticPr fontId="1" type="noConversion"/>
  </si>
  <si>
    <t>H1</t>
    <phoneticPr fontId="1" type="noConversion"/>
  </si>
  <si>
    <t>H2</t>
    <phoneticPr fontId="1" type="noConversion"/>
  </si>
  <si>
    <t>상판절곡</t>
    <phoneticPr fontId="1" type="noConversion"/>
  </si>
  <si>
    <t>기둥절곡</t>
    <phoneticPr fontId="1" type="noConversion"/>
  </si>
  <si>
    <t>G값키우고, 
A늘리고 적용해야함.</t>
    <phoneticPr fontId="1" type="noConversion"/>
  </si>
  <si>
    <t>JB,JD늘림</t>
    <phoneticPr fontId="1" type="noConversion"/>
  </si>
  <si>
    <t>C값</t>
    <phoneticPr fontId="1" type="noConversion"/>
  </si>
  <si>
    <t>A늘림</t>
    <phoneticPr fontId="1" type="noConversion"/>
  </si>
  <si>
    <t>늘어난치수(제작치수)</t>
    <phoneticPr fontId="1" type="noConversion"/>
  </si>
  <si>
    <t>각도</t>
    <phoneticPr fontId="1" type="noConversion"/>
  </si>
  <si>
    <t>멍텅JB강제키움</t>
    <phoneticPr fontId="1" type="noConversion"/>
  </si>
  <si>
    <t>기둥차감</t>
    <phoneticPr fontId="1" type="noConversion"/>
  </si>
  <si>
    <t>기둥차감</t>
    <phoneticPr fontId="1" type="noConversion"/>
  </si>
  <si>
    <t>B
돌출</t>
    <phoneticPr fontId="1" type="noConversion"/>
  </si>
  <si>
    <t>OP-</t>
    <phoneticPr fontId="1" type="noConversion"/>
  </si>
  <si>
    <t>R-</t>
    <phoneticPr fontId="1" type="noConversion"/>
  </si>
  <si>
    <t>MH</t>
    <phoneticPr fontId="1" type="noConversion"/>
  </si>
  <si>
    <t>U늘림</t>
    <phoneticPr fontId="1" type="noConversion"/>
  </si>
  <si>
    <t>U값</t>
    <phoneticPr fontId="1" type="noConversion"/>
  </si>
  <si>
    <t>늘치차감</t>
    <phoneticPr fontId="1" type="noConversion"/>
  </si>
  <si>
    <t>Side
MH1</t>
    <phoneticPr fontId="1" type="noConversion"/>
  </si>
  <si>
    <t>Side
MH2</t>
    <phoneticPr fontId="1" type="noConversion"/>
  </si>
  <si>
    <t>돌출
차이</t>
    <phoneticPr fontId="1" type="noConversion"/>
  </si>
  <si>
    <t>작지
돌출
(좌)</t>
    <phoneticPr fontId="1" type="noConversion"/>
  </si>
  <si>
    <t>작지
돌출
(우)</t>
    <phoneticPr fontId="1" type="noConversion"/>
  </si>
  <si>
    <t>OP-</t>
    <phoneticPr fontId="1" type="noConversion"/>
  </si>
  <si>
    <t>고정</t>
    <phoneticPr fontId="1" type="noConversion"/>
  </si>
  <si>
    <t>고정</t>
    <phoneticPr fontId="1" type="noConversion"/>
  </si>
  <si>
    <t>G
체크</t>
    <phoneticPr fontId="1" type="noConversion"/>
  </si>
  <si>
    <t>A1
변동</t>
    <phoneticPr fontId="1" type="noConversion"/>
  </si>
  <si>
    <t>A2
변동</t>
    <phoneticPr fontId="1" type="noConversion"/>
  </si>
  <si>
    <t>B우
돌출</t>
    <phoneticPr fontId="1" type="noConversion"/>
  </si>
  <si>
    <t>G강제</t>
  </si>
  <si>
    <t>막판대칭</t>
    <phoneticPr fontId="1" type="noConversion"/>
  </si>
  <si>
    <t>JB1
(상부)</t>
    <phoneticPr fontId="1" type="noConversion"/>
  </si>
  <si>
    <t>JB1
(하부)</t>
    <phoneticPr fontId="1" type="noConversion"/>
  </si>
  <si>
    <t>JB2
(상부)</t>
    <phoneticPr fontId="1" type="noConversion"/>
  </si>
  <si>
    <t>JB2
(하부)</t>
    <phoneticPr fontId="1" type="noConversion"/>
  </si>
  <si>
    <t>JD비대칭</t>
    <phoneticPr fontId="1" type="noConversion"/>
  </si>
  <si>
    <t>상판(좌)
돌출</t>
    <phoneticPr fontId="1" type="noConversion"/>
  </si>
  <si>
    <t>상판(우)
돌출</t>
    <phoneticPr fontId="1" type="noConversion"/>
  </si>
  <si>
    <t>9mm
G차이</t>
    <phoneticPr fontId="1" type="noConversion"/>
  </si>
  <si>
    <t>JB(상하) 늘치 비틀기</t>
    <phoneticPr fontId="1" type="noConversion"/>
  </si>
  <si>
    <t>늘치차감</t>
    <phoneticPr fontId="1" type="noConversion"/>
  </si>
  <si>
    <t>조정
변수</t>
    <phoneticPr fontId="1" type="noConversion"/>
  </si>
  <si>
    <t>조정
변수</t>
    <phoneticPr fontId="1" type="noConversion"/>
  </si>
  <si>
    <t>기둥2600이상 견적</t>
    <phoneticPr fontId="1" type="noConversion"/>
  </si>
  <si>
    <t>동/호기</t>
    <phoneticPr fontId="1" type="noConversion"/>
  </si>
  <si>
    <t>층</t>
    <phoneticPr fontId="1" type="noConversion"/>
  </si>
  <si>
    <t>OP</t>
    <phoneticPr fontId="1" type="noConversion"/>
  </si>
  <si>
    <t>JD1</t>
    <phoneticPr fontId="1" type="noConversion"/>
  </si>
  <si>
    <t>JB1</t>
    <phoneticPr fontId="1" type="noConversion"/>
  </si>
  <si>
    <t>C1상</t>
    <phoneticPr fontId="1" type="noConversion"/>
  </si>
  <si>
    <t>C1하</t>
    <phoneticPr fontId="1" type="noConversion"/>
  </si>
  <si>
    <t>C2상</t>
    <phoneticPr fontId="1" type="noConversion"/>
  </si>
  <si>
    <t>C2하</t>
    <phoneticPr fontId="1" type="noConversion"/>
  </si>
  <si>
    <t>LH1</t>
    <phoneticPr fontId="1" type="noConversion"/>
  </si>
  <si>
    <t>LH1</t>
    <phoneticPr fontId="1" type="noConversion"/>
  </si>
  <si>
    <t>RH1</t>
    <phoneticPr fontId="1" type="noConversion"/>
  </si>
  <si>
    <t>RH2</t>
    <phoneticPr fontId="1" type="noConversion"/>
  </si>
  <si>
    <t>U좌</t>
    <phoneticPr fontId="1" type="noConversion"/>
  </si>
  <si>
    <t>U우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</si>
  <si>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</si>
  <si>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</si>
  <si>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</si>
  <si>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좌(K1)</t>
    <phoneticPr fontId="1" type="noConversion"/>
  </si>
  <si>
    <t>좌(K1)</t>
    <phoneticPr fontId="1" type="noConversion"/>
  </si>
  <si>
    <t>우(K2)</t>
    <phoneticPr fontId="1" type="noConversion"/>
  </si>
  <si>
    <t>쪽쟘소재thickness :</t>
  </si>
  <si>
    <t>JD, JB늘림</t>
    <phoneticPr fontId="1" type="noConversion"/>
  </si>
  <si>
    <t>쪽쟘OP차감</t>
  </si>
  <si>
    <t>상판
W*H</t>
    <phoneticPr fontId="1" type="noConversion"/>
  </si>
  <si>
    <t>JD
(K반영됨)</t>
    <phoneticPr fontId="1" type="noConversion"/>
  </si>
  <si>
    <t>JB
(K반영됨)</t>
    <phoneticPr fontId="1" type="noConversion"/>
  </si>
  <si>
    <t>사이드 (우)
W*H</t>
    <phoneticPr fontId="1" type="noConversion"/>
  </si>
  <si>
    <t>Side
C1
(상)</t>
    <phoneticPr fontId="1" type="noConversion"/>
  </si>
  <si>
    <t>Side
C1
(하)</t>
    <phoneticPr fontId="1" type="noConversion"/>
  </si>
  <si>
    <t>Side
C2
(상)</t>
    <phoneticPr fontId="1" type="noConversion"/>
  </si>
  <si>
    <t>Side
C2
(하)</t>
    <phoneticPr fontId="1" type="noConversion"/>
  </si>
  <si>
    <t>U1
(좌)</t>
    <phoneticPr fontId="1" type="noConversion"/>
  </si>
  <si>
    <t>U2
(우)</t>
    <phoneticPr fontId="1" type="noConversion"/>
  </si>
  <si>
    <t>사이드
날개</t>
    <phoneticPr fontId="1" type="noConversion"/>
  </si>
  <si>
    <t>SIDE좌</t>
    <phoneticPr fontId="1" type="noConversion"/>
  </si>
  <si>
    <t>SIDE우</t>
    <phoneticPr fontId="1" type="noConversion"/>
  </si>
  <si>
    <t>우(K2)</t>
    <phoneticPr fontId="1" type="noConversion"/>
  </si>
  <si>
    <t>G값보정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</si>
  <si>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</si>
  <si>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</si>
  <si>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</si>
  <si>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소재Thickness :</t>
    <phoneticPr fontId="1" type="noConversion"/>
  </si>
  <si>
    <t>기둥차감</t>
    <phoneticPr fontId="1" type="noConversion"/>
  </si>
  <si>
    <t>늘치차감</t>
    <phoneticPr fontId="1" type="noConversion"/>
  </si>
  <si>
    <t>동/호기</t>
    <phoneticPr fontId="1" type="noConversion"/>
  </si>
  <si>
    <t>층</t>
    <phoneticPr fontId="1" type="noConversion"/>
  </si>
  <si>
    <t>상판
W*H</t>
    <phoneticPr fontId="1" type="noConversion"/>
  </si>
  <si>
    <t>OP</t>
    <phoneticPr fontId="1" type="noConversion"/>
  </si>
  <si>
    <t>JD
(K반영됨)</t>
    <phoneticPr fontId="1" type="noConversion"/>
  </si>
  <si>
    <t>JB
(K반영됨)</t>
    <phoneticPr fontId="1" type="noConversion"/>
  </si>
  <si>
    <t>사이드 (좌)
W*H</t>
    <phoneticPr fontId="1" type="noConversion"/>
  </si>
  <si>
    <t>사이드 (우)
W*H</t>
    <phoneticPr fontId="1" type="noConversion"/>
  </si>
  <si>
    <r>
      <t xml:space="preserve">상판
C1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</si>
  <si>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C2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</si>
  <si>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Side
C1
(상)</t>
    <phoneticPr fontId="1" type="noConversion"/>
  </si>
  <si>
    <t>Side
C2
(상)</t>
    <phoneticPr fontId="1" type="noConversion"/>
  </si>
  <si>
    <t>Side
C2
(하)</t>
    <phoneticPr fontId="1" type="noConversion"/>
  </si>
  <si>
    <t>LH1</t>
    <phoneticPr fontId="1" type="noConversion"/>
  </si>
  <si>
    <t>LH2</t>
    <phoneticPr fontId="1" type="noConversion"/>
  </si>
  <si>
    <t>RH1</t>
    <phoneticPr fontId="1" type="noConversion"/>
  </si>
  <si>
    <t>RH2</t>
    <phoneticPr fontId="1" type="noConversion"/>
  </si>
  <si>
    <t>U1
(좌)</t>
    <phoneticPr fontId="1" type="noConversion"/>
  </si>
  <si>
    <t>상판
날개</t>
    <phoneticPr fontId="1" type="noConversion"/>
  </si>
  <si>
    <t>사이드
날개</t>
    <phoneticPr fontId="1" type="noConversion"/>
  </si>
  <si>
    <t>늘어난치수</t>
    <phoneticPr fontId="1" type="noConversion"/>
  </si>
  <si>
    <t>SIDE좌</t>
    <phoneticPr fontId="1" type="noConversion"/>
  </si>
  <si>
    <t>SIDE우</t>
    <phoneticPr fontId="1" type="noConversion"/>
  </si>
  <si>
    <t>좌(K1)</t>
    <phoneticPr fontId="1" type="noConversion"/>
  </si>
  <si>
    <t>우(K2)</t>
    <phoneticPr fontId="1" type="noConversion"/>
  </si>
  <si>
    <t>G값보정</t>
    <phoneticPr fontId="1" type="noConversion"/>
  </si>
  <si>
    <t>상판W</t>
    <phoneticPr fontId="1" type="noConversion"/>
  </si>
  <si>
    <t>상판h</t>
    <phoneticPr fontId="1" type="noConversion"/>
  </si>
  <si>
    <t>W</t>
    <phoneticPr fontId="1" type="noConversion"/>
  </si>
  <si>
    <t>H</t>
    <phoneticPr fontId="1" type="noConversion"/>
  </si>
  <si>
    <t>재질(와이드)</t>
    <phoneticPr fontId="1" type="noConversion"/>
  </si>
  <si>
    <t>재질(멍텅구리)</t>
    <phoneticPr fontId="1" type="noConversion"/>
  </si>
  <si>
    <t>재질(쪽쟘)</t>
    <phoneticPr fontId="1" type="noConversion"/>
  </si>
  <si>
    <t>제작치수(와이드)</t>
    <phoneticPr fontId="1" type="noConversion"/>
  </si>
  <si>
    <t>제작치수(멍텅)</t>
    <phoneticPr fontId="1" type="noConversion"/>
  </si>
  <si>
    <t>제작치수(쪽쟘)</t>
    <phoneticPr fontId="1" type="noConversion"/>
  </si>
  <si>
    <t>HPI높이</t>
    <phoneticPr fontId="1" type="noConversion"/>
  </si>
  <si>
    <t>첫번째</t>
    <phoneticPr fontId="1" type="noConversion"/>
  </si>
  <si>
    <t>끝부분</t>
    <phoneticPr fontId="1" type="noConversion"/>
  </si>
  <si>
    <t>각도</t>
    <phoneticPr fontId="1" type="noConversion"/>
  </si>
  <si>
    <t>기둥 뒷 해밍구조(모깍기)</t>
    <phoneticPr fontId="1" type="noConversion"/>
  </si>
  <si>
    <t>기둥 해밍구조(모깍기)</t>
    <phoneticPr fontId="1" type="noConversion"/>
  </si>
  <si>
    <t>HPI타입</t>
    <phoneticPr fontId="1" type="noConversion"/>
  </si>
  <si>
    <t>TKEK HD S20D-OR</t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</si>
  <si>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1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</si>
  <si>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r>
      <t xml:space="preserve">상판
</t>
    </r>
    <r>
      <rPr>
        <sz val="11"/>
        <color theme="1"/>
        <rFont val="맑은 고딕"/>
        <family val="3"/>
        <charset val="129"/>
        <scheme val="minor"/>
      </rPr>
      <t>H</t>
    </r>
    <r>
      <rPr>
        <sz val="11"/>
        <color theme="1"/>
        <rFont val="맑은 고딕"/>
        <family val="2"/>
        <charset val="129"/>
        <scheme val="minor"/>
      </rPr>
      <t xml:space="preserve">2
</t>
    </r>
    <r>
      <rPr>
        <sz val="11"/>
        <color rgb="FFFF0000"/>
        <rFont val="맑은 고딕"/>
        <family val="3"/>
        <charset val="129"/>
        <scheme val="minor"/>
      </rPr>
      <t>(상)</t>
    </r>
    <phoneticPr fontId="1" type="noConversion"/>
  </si>
  <si>
    <t>OTIS HIX-A162</t>
    <phoneticPr fontId="1" type="noConversion"/>
  </si>
  <si>
    <t>OTIS HIX-A164/165</t>
    <phoneticPr fontId="1" type="noConversion"/>
  </si>
  <si>
    <t>OTIS HIX-A201 돌출형</t>
    <phoneticPr fontId="1" type="noConversion"/>
  </si>
  <si>
    <t>추영덕소장</t>
    <phoneticPr fontId="1" type="noConversion"/>
  </si>
  <si>
    <t>상판E1
(K형태)</t>
    <phoneticPr fontId="1" type="noConversion"/>
  </si>
  <si>
    <t>상판E2
(K형태)</t>
    <phoneticPr fontId="1" type="noConversion"/>
  </si>
  <si>
    <t>뒷날개포함값</t>
    <phoneticPr fontId="1" type="noConversion"/>
  </si>
  <si>
    <t>OTIS HIL-A207 돌출형</t>
    <phoneticPr fontId="1" type="noConversion"/>
  </si>
  <si>
    <t>추영덕</t>
    <phoneticPr fontId="1" type="noConversion"/>
  </si>
  <si>
    <t>이만희</t>
    <phoneticPr fontId="1" type="noConversion"/>
  </si>
  <si>
    <t>손상민</t>
    <phoneticPr fontId="1" type="noConversion"/>
  </si>
  <si>
    <t>유영</t>
    <phoneticPr fontId="1" type="noConversion"/>
  </si>
  <si>
    <t>박철우</t>
    <phoneticPr fontId="1" type="noConversion"/>
  </si>
  <si>
    <t>조장우</t>
    <phoneticPr fontId="1" type="noConversion"/>
  </si>
  <si>
    <t>김운호</t>
    <phoneticPr fontId="1" type="noConversion"/>
  </si>
  <si>
    <t>김상훈</t>
    <phoneticPr fontId="1" type="noConversion"/>
  </si>
  <si>
    <t>늘치J에 
포함여부</t>
    <phoneticPr fontId="1" type="noConversion"/>
  </si>
  <si>
    <t>K값 J에 
포함여부</t>
    <phoneticPr fontId="1" type="noConversion"/>
  </si>
  <si>
    <t>K값 J에 포함</t>
    <phoneticPr fontId="1" type="noConversion"/>
  </si>
  <si>
    <t>JB, JD늘림</t>
    <phoneticPr fontId="1" type="noConversion"/>
  </si>
  <si>
    <t>뒷날개 치수더함</t>
    <phoneticPr fontId="1" type="noConversion"/>
  </si>
  <si>
    <t>(손상민소장)</t>
    <phoneticPr fontId="1" type="noConversion"/>
  </si>
  <si>
    <t>손상민소장</t>
    <phoneticPr fontId="1" type="noConversion"/>
  </si>
  <si>
    <t>상판 귀 좌우
돌출값</t>
    <phoneticPr fontId="1" type="noConversion"/>
  </si>
  <si>
    <t>손상민
상부돌출</t>
    <phoneticPr fontId="1" type="noConversion"/>
  </si>
  <si>
    <t>상판 돌출치수</t>
    <phoneticPr fontId="1" type="noConversion"/>
  </si>
  <si>
    <t>손상민소장 1.2가산</t>
    <phoneticPr fontId="1" type="noConversion"/>
  </si>
  <si>
    <t>OP1</t>
    <phoneticPr fontId="1" type="noConversion"/>
  </si>
  <si>
    <t>사이드
날개
(좌)</t>
    <phoneticPr fontId="1" type="noConversion"/>
  </si>
  <si>
    <t>사이드
날개
(우)</t>
    <phoneticPr fontId="1" type="noConversion"/>
  </si>
  <si>
    <t>OP2</t>
    <phoneticPr fontId="1" type="noConversion"/>
  </si>
  <si>
    <t>상판
양쪽
차이</t>
    <phoneticPr fontId="1" type="noConversion"/>
  </si>
  <si>
    <t>기둥
양쪽
차이</t>
    <phoneticPr fontId="1" type="noConversion"/>
  </si>
  <si>
    <t>사이드
날개
(좌)</t>
    <phoneticPr fontId="1" type="noConversion"/>
  </si>
  <si>
    <t>사이드
날개
(우)</t>
    <phoneticPr fontId="1" type="noConversion"/>
  </si>
  <si>
    <t>좌각도</t>
    <phoneticPr fontId="1" type="noConversion"/>
  </si>
  <si>
    <t>우각도</t>
    <phoneticPr fontId="1" type="noConversion"/>
  </si>
  <si>
    <t>OP2</t>
    <phoneticPr fontId="1" type="noConversion"/>
  </si>
  <si>
    <t>OP2</t>
    <phoneticPr fontId="1" type="noConversion"/>
  </si>
  <si>
    <t>OP1</t>
    <phoneticPr fontId="1" type="noConversion"/>
  </si>
  <si>
    <t>좌각도</t>
    <phoneticPr fontId="1" type="noConversion"/>
  </si>
  <si>
    <t>우각도</t>
    <phoneticPr fontId="1" type="noConversion"/>
  </si>
  <si>
    <t>제작치수(SO와이드)</t>
    <phoneticPr fontId="1" type="noConversion"/>
  </si>
  <si>
    <t>제작치수(SO멍텅)</t>
    <phoneticPr fontId="1" type="noConversion"/>
  </si>
  <si>
    <t>직각쟘
K값 포함</t>
    <phoneticPr fontId="1" type="noConversion"/>
  </si>
  <si>
    <t>OP1</t>
    <phoneticPr fontId="1" type="noConversion"/>
  </si>
  <si>
    <t>OP3</t>
    <phoneticPr fontId="1" type="noConversion"/>
  </si>
  <si>
    <t>JD3</t>
    <phoneticPr fontId="1" type="noConversion"/>
  </si>
  <si>
    <t>제작치수(4CO와이드)</t>
    <phoneticPr fontId="1" type="noConversion"/>
  </si>
  <si>
    <t>제작치수(4CO멍텅)</t>
    <phoneticPr fontId="1" type="noConversion"/>
  </si>
  <si>
    <t>OP1</t>
    <phoneticPr fontId="1" type="noConversion"/>
  </si>
  <si>
    <t>OP3</t>
    <phoneticPr fontId="1" type="noConversion"/>
  </si>
  <si>
    <t>OP2
차감0</t>
    <phoneticPr fontId="1" type="noConversion"/>
  </si>
  <si>
    <t>JD3</t>
    <phoneticPr fontId="1" type="noConversion"/>
  </si>
  <si>
    <t>OP1</t>
    <phoneticPr fontId="1" type="noConversion"/>
  </si>
  <si>
    <t>OP2</t>
    <phoneticPr fontId="1" type="noConversion"/>
  </si>
  <si>
    <t>JD2</t>
    <phoneticPr fontId="1" type="noConversion"/>
  </si>
  <si>
    <t>JD3</t>
    <phoneticPr fontId="1" type="noConversion"/>
  </si>
  <si>
    <t>OP1</t>
    <phoneticPr fontId="1" type="noConversion"/>
  </si>
  <si>
    <t>OP3</t>
    <phoneticPr fontId="1" type="noConversion"/>
  </si>
  <si>
    <t>JD2
상부</t>
    <phoneticPr fontId="1" type="noConversion"/>
  </si>
  <si>
    <t>JD3
상부</t>
    <phoneticPr fontId="1" type="noConversion"/>
  </si>
  <si>
    <t>전 작지 초기화 및 HPI 형태 초기화됨</t>
    <phoneticPr fontId="1" type="noConversion"/>
  </si>
  <si>
    <t>제작치수(2UP)</t>
    <phoneticPr fontId="1" type="noConversion"/>
  </si>
  <si>
    <t>제작치수(3UP)</t>
    <phoneticPr fontId="1" type="noConversion"/>
  </si>
  <si>
    <t>JB1
(상)</t>
    <phoneticPr fontId="1" type="noConversion"/>
  </si>
  <si>
    <t>JB1
(하)</t>
    <phoneticPr fontId="1" type="noConversion"/>
  </si>
  <si>
    <t>JB2
(상)</t>
    <phoneticPr fontId="1" type="noConversion"/>
  </si>
  <si>
    <t>JB2
(하)</t>
    <phoneticPr fontId="1" type="noConversion"/>
  </si>
  <si>
    <t>JB1
상하
차이</t>
    <phoneticPr fontId="1" type="noConversion"/>
  </si>
  <si>
    <t>JB2
상하
차이</t>
    <phoneticPr fontId="1" type="noConversion"/>
  </si>
  <si>
    <t>RH2
(상)</t>
    <phoneticPr fontId="1" type="noConversion"/>
  </si>
  <si>
    <t>RH2
(하)</t>
    <phoneticPr fontId="1" type="noConversion"/>
  </si>
  <si>
    <t>LH2
(상)</t>
    <phoneticPr fontId="1" type="noConversion"/>
  </si>
  <si>
    <t>LH2
(하)</t>
    <phoneticPr fontId="1" type="noConversion"/>
  </si>
  <si>
    <t>JB1
(중)</t>
    <phoneticPr fontId="1" type="noConversion"/>
  </si>
  <si>
    <t>JB2
(중)</t>
    <phoneticPr fontId="1" type="noConversion"/>
  </si>
  <si>
    <t>LH2
(중)</t>
    <phoneticPr fontId="1" type="noConversion"/>
  </si>
  <si>
    <t>RH2
(중)</t>
    <phoneticPr fontId="1" type="noConversion"/>
  </si>
  <si>
    <t>JB2
상하
차이</t>
    <phoneticPr fontId="1" type="noConversion"/>
  </si>
  <si>
    <t>K값 J에 포함</t>
    <phoneticPr fontId="1" type="noConversion"/>
  </si>
  <si>
    <t xml:space="preserve">R - </t>
    <phoneticPr fontId="1" type="noConversion"/>
  </si>
  <si>
    <t>OTIS HIL-A206 돌출형</t>
    <phoneticPr fontId="1" type="noConversion"/>
  </si>
  <si>
    <t>HPI타입</t>
    <phoneticPr fontId="1" type="noConversion"/>
  </si>
  <si>
    <t>HL 1.2T</t>
    <phoneticPr fontId="1" type="noConversion"/>
  </si>
  <si>
    <t>(좌)
단차</t>
    <phoneticPr fontId="1" type="noConversion"/>
  </si>
  <si>
    <t>(우)
단차</t>
    <phoneticPr fontId="1" type="noConversion"/>
  </si>
  <si>
    <t>(좌)
단차</t>
    <phoneticPr fontId="1" type="noConversion"/>
  </si>
  <si>
    <t>(우)
단차</t>
    <phoneticPr fontId="1" type="noConversion"/>
  </si>
  <si>
    <t>TKEK HD S20D-OR(손상민 5파이타공)</t>
    <phoneticPr fontId="1" type="noConversion"/>
  </si>
  <si>
    <t>설계자</t>
    <phoneticPr fontId="1" type="noConversion"/>
  </si>
  <si>
    <t>이미래</t>
    <phoneticPr fontId="1" type="noConversion"/>
  </si>
  <si>
    <t>김은비</t>
    <phoneticPr fontId="1" type="noConversion"/>
  </si>
  <si>
    <t>김진섭</t>
    <phoneticPr fontId="1" type="noConversion"/>
  </si>
  <si>
    <t>좌(K1)
중</t>
    <phoneticPr fontId="1" type="noConversion"/>
  </si>
  <si>
    <t>우(K2)
중</t>
    <phoneticPr fontId="1" type="noConversion"/>
  </si>
  <si>
    <t>A1
보정</t>
    <phoneticPr fontId="1" type="noConversion"/>
  </si>
  <si>
    <t>A2
보정</t>
    <phoneticPr fontId="1" type="noConversion"/>
  </si>
  <si>
    <t>CO4멍텅JB강제키움</t>
  </si>
  <si>
    <t>UP2멍텅JB강제키움</t>
  </si>
  <si>
    <t>UP3멍텅JB강제키움</t>
  </si>
  <si>
    <t>김은비</t>
  </si>
  <si>
    <t>실측K값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</si>
  <si>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</si>
  <si>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</si>
  <si>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</si>
  <si>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실측K</t>
    <phoneticPr fontId="1" type="noConversion"/>
  </si>
  <si>
    <t>이인종</t>
    <phoneticPr fontId="1" type="noConversion"/>
  </si>
  <si>
    <t>김한준</t>
    <phoneticPr fontId="1" type="noConversion"/>
  </si>
  <si>
    <t>SO와이드</t>
    <phoneticPr fontId="1" type="noConversion"/>
  </si>
  <si>
    <t>SO멍텅구</t>
  </si>
  <si>
    <t>4CO와이드</t>
    <phoneticPr fontId="1" type="noConversion"/>
  </si>
  <si>
    <t>4CO멍텅</t>
    <phoneticPr fontId="1" type="noConversion"/>
  </si>
  <si>
    <t>2UP</t>
    <phoneticPr fontId="1" type="noConversion"/>
  </si>
  <si>
    <t>3UP</t>
    <phoneticPr fontId="1" type="noConversion"/>
  </si>
  <si>
    <t>HPI
형상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</si>
  <si>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</si>
  <si>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</si>
  <si>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</si>
  <si>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</si>
  <si>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</si>
  <si>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</si>
  <si>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각도</t>
    <phoneticPr fontId="1" type="noConversion"/>
  </si>
  <si>
    <t>K실측</t>
    <phoneticPr fontId="1" type="noConversion"/>
  </si>
  <si>
    <t>K실측</t>
    <phoneticPr fontId="1" type="noConversion"/>
  </si>
  <si>
    <t>4CO 멍텅구리, 4CO 와이드 작지 OP값 손상민소장외는 마음껏 넣기</t>
    <phoneticPr fontId="1" type="noConversion"/>
  </si>
  <si>
    <t>전남 목포 알파타워</t>
  </si>
  <si>
    <t>TKEK HD S20D-OR</t>
  </si>
  <si>
    <t>이만희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</si>
</sst>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_(* #,##0_);_(* \(#,##0\);_(* &quot;-&quot;_);_(@_)"/>
    <numFmt numFmtId="177" formatCode="0.0"/>
    <numFmt numFmtId="178" formatCode="_-* #,##0.0_-;\-* #,##0.0_-;_-* &quot;-&quot;_-;_-@_-"/>
    <numFmt numFmtId="179" formatCode="_-* #,##0.0_-;\-* #,##0.0_-;_-* &quot;-&quot;?_-;_-@_-"/>
  </numFmts>
  <fonts count="7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6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5"/>
      <name val="맑은 고딕"/>
      <family val="3"/>
      <charset val="129"/>
      <scheme val="minor"/>
    </font>
    <font>
      <b/>
      <sz val="11"/>
      <color theme="8" tint="-0.499984740745262"/>
      <name val="맑은 고딕"/>
      <family val="3"/>
      <charset val="129"/>
      <scheme val="minor"/>
    </font>
    <font>
      <sz val="11"/>
      <color theme="8" tint="-0.499984740745262"/>
      <name val="맑은 고딕"/>
      <family val="2"/>
      <charset val="129"/>
      <scheme val="minor"/>
    </font>
    <font>
      <sz val="11"/>
      <color theme="8" tint="-0.499984740745262"/>
      <name val="맑은 고딕"/>
      <family val="3"/>
      <charset val="129"/>
      <scheme val="minor"/>
    </font>
    <font>
      <sz val="22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rgb="FFFF0000"/>
      <name val="맑은 고딕"/>
      <family val="2"/>
      <charset val="129"/>
      <scheme val="minor"/>
    </font>
    <font>
      <sz val="16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4"/>
      <color theme="0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sz val="14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rgb="FFC0000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20"/>
      <color rgb="FFFF0000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4"/>
      <color rgb="FFFF0000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0"/>
      <color rgb="FF7030A0"/>
      <name val="맑은 고딕"/>
      <family val="3"/>
      <charset val="129"/>
      <scheme val="minor"/>
    </font>
    <font>
      <b/>
      <sz val="11"/>
      <color theme="5" tint="-0.249977111117893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1"/>
      <color theme="8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  <font>
      <sz val="18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70C0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theme="0"/>
      <name val="맑은 고딕"/>
      <family val="3"/>
      <charset val="129"/>
      <scheme val="minor"/>
    </font>
    <font>
      <b/>
      <u/>
      <sz val="11"/>
      <color rgb="FF7030A0"/>
      <name val="맑은 고딕"/>
      <family val="3"/>
      <charset val="129"/>
      <scheme val="minor"/>
    </font>
    <font>
      <sz val="20"/>
      <name val="맑은 고딕"/>
      <family val="2"/>
      <charset val="129"/>
      <scheme val="minor"/>
    </font>
    <font>
      <sz val="12"/>
      <name val="맑은 고딕"/>
      <family val="2"/>
      <charset val="129"/>
      <scheme val="minor"/>
    </font>
    <font>
      <sz val="14"/>
      <name val="맑은 고딕"/>
      <family val="2"/>
      <charset val="129"/>
      <scheme val="minor"/>
    </font>
    <font>
      <b/>
      <sz val="16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20"/>
      <color theme="1"/>
      <name val="맑은 고딕"/>
      <family val="2"/>
      <charset val="129"/>
      <scheme val="minor"/>
    </font>
    <font>
      <b/>
      <sz val="18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20"/>
      <color theme="9" tint="-0.499984740745262"/>
      <name val="맑은 고딕"/>
      <family val="2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206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theme="9" tint="-0.499984740745262"/>
      <name val="맑은 고딕"/>
      <family val="2"/>
      <charset val="129"/>
      <scheme val="minor"/>
    </font>
    <font>
      <sz val="11"/>
      <color theme="9" tint="-0.499984740745262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i/>
      <sz val="11"/>
      <color theme="1"/>
      <name val="맑은 고딕"/>
      <family val="3"/>
      <charset val="129"/>
      <scheme val="minor"/>
    </font>
    <font>
      <i/>
      <sz val="9"/>
      <color theme="1"/>
      <name val="맑은 고딕"/>
      <family val="3"/>
      <charset val="129"/>
      <scheme val="minor"/>
    </font>
    <font>
      <i/>
      <sz val="9"/>
      <color rgb="FFFF0000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sz val="12"/>
      <color rgb="FFFF0000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176" fontId="37" fillId="0" borderId="0" applyFont="0" applyFill="0" applyBorder="0" applyAlignment="0" applyProtection="0">
      <alignment vertical="center"/>
    </xf>
    <xf numFmtId="176" fontId="37" fillId="0" borderId="0" applyFont="0" applyFill="0" applyBorder="0" applyAlignment="0" applyProtection="0">
      <alignment vertical="center"/>
    </xf>
  </cellStyleXfs>
  <cellXfs count="37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2" fillId="0" borderId="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2" xfId="0" applyFont="1" applyBorder="1">
      <alignment vertical="center"/>
    </xf>
    <xf numFmtId="0" fontId="0" fillId="6" borderId="0" xfId="0" applyFill="1">
      <alignment vertical="center"/>
    </xf>
    <xf numFmtId="0" fontId="0" fillId="6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23" fillId="15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77" fontId="28" fillId="0" borderId="0" xfId="0" applyNumberFormat="1" applyFont="1">
      <alignment vertical="center"/>
    </xf>
    <xf numFmtId="177" fontId="0" fillId="0" borderId="0" xfId="0" applyNumberFormat="1">
      <alignment vertical="center"/>
    </xf>
    <xf numFmtId="0" fontId="29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vertical="center" wrapText="1"/>
    </xf>
    <xf numFmtId="0" fontId="9" fillId="0" borderId="0" xfId="0" applyFont="1">
      <alignment vertical="center"/>
    </xf>
    <xf numFmtId="0" fontId="16" fillId="19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2" fillId="0" borderId="2" xfId="0" applyFont="1" applyBorder="1">
      <alignment vertical="center"/>
    </xf>
    <xf numFmtId="0" fontId="25" fillId="18" borderId="0" xfId="0" applyFont="1" applyFill="1" applyAlignment="1">
      <alignment horizontal="center" vertical="center"/>
    </xf>
    <xf numFmtId="0" fontId="25" fillId="16" borderId="0" xfId="0" applyFont="1" applyFill="1" applyAlignment="1">
      <alignment horizontal="center" vertical="center"/>
    </xf>
    <xf numFmtId="0" fontId="7" fillId="0" borderId="1" xfId="0" applyFont="1" applyBorder="1" applyAlignment="1">
      <alignment horizontal="center" vertical="center" shrinkToFit="1"/>
    </xf>
    <xf numFmtId="178" fontId="39" fillId="0" borderId="1" xfId="1" applyNumberFormat="1" applyFont="1" applyFill="1" applyBorder="1" applyAlignment="1">
      <alignment horizontal="center" vertical="center" shrinkToFit="1"/>
    </xf>
    <xf numFmtId="0" fontId="0" fillId="0" borderId="2" xfId="0" applyBorder="1">
      <alignment vertical="center"/>
    </xf>
    <xf numFmtId="0" fontId="17" fillId="0" borderId="0" xfId="0" applyFont="1">
      <alignment vertical="center"/>
    </xf>
    <xf numFmtId="0" fontId="17" fillId="2" borderId="0" xfId="0" applyFont="1" applyFill="1">
      <alignment vertical="center"/>
    </xf>
    <xf numFmtId="177" fontId="0" fillId="21" borderId="1" xfId="0" applyNumberFormat="1" applyFill="1" applyBorder="1" applyAlignment="1">
      <alignment horizontal="center" vertical="center"/>
    </xf>
    <xf numFmtId="0" fontId="31" fillId="0" borderId="0" xfId="0" applyFont="1">
      <alignment vertical="center"/>
    </xf>
    <xf numFmtId="178" fontId="42" fillId="0" borderId="1" xfId="0" applyNumberFormat="1" applyFont="1" applyBorder="1" applyAlignment="1">
      <alignment horizontal="center" vertical="center" shrinkToFit="1"/>
    </xf>
    <xf numFmtId="0" fontId="32" fillId="0" borderId="0" xfId="0" applyFont="1">
      <alignment vertical="center"/>
    </xf>
    <xf numFmtId="0" fontId="44" fillId="0" borderId="0" xfId="0" applyFont="1" applyAlignment="1">
      <alignment horizontal="center" vertical="center"/>
    </xf>
    <xf numFmtId="0" fontId="45" fillId="0" borderId="0" xfId="0" applyFont="1">
      <alignment vertical="center"/>
    </xf>
    <xf numFmtId="178" fontId="45" fillId="0" borderId="0" xfId="1" applyNumberFormat="1" applyFont="1">
      <alignment vertical="center"/>
    </xf>
    <xf numFmtId="0" fontId="8" fillId="3" borderId="0" xfId="0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177" fontId="0" fillId="9" borderId="1" xfId="0" applyNumberFormat="1" applyFill="1" applyBorder="1" applyAlignment="1">
      <alignment horizontal="center" vertical="center"/>
    </xf>
    <xf numFmtId="0" fontId="46" fillId="0" borderId="0" xfId="0" applyFont="1" applyAlignment="1">
      <alignment horizontal="center" vertical="center" wrapText="1"/>
    </xf>
    <xf numFmtId="0" fontId="4" fillId="18" borderId="0" xfId="0" applyFont="1" applyFill="1" applyAlignment="1">
      <alignment horizontal="center" vertical="center"/>
    </xf>
    <xf numFmtId="0" fontId="4" fillId="3" borderId="0" xfId="0" applyFont="1" applyFill="1">
      <alignment vertical="center"/>
    </xf>
    <xf numFmtId="0" fontId="0" fillId="0" borderId="1" xfId="0" applyBorder="1" applyAlignment="1">
      <alignment horizontal="center" vertical="center" shrinkToFit="1"/>
    </xf>
    <xf numFmtId="179" fontId="7" fillId="21" borderId="1" xfId="0" applyNumberFormat="1" applyFont="1" applyFill="1" applyBorder="1" applyAlignment="1">
      <alignment horizontal="center" vertical="center" shrinkToFit="1"/>
    </xf>
    <xf numFmtId="0" fontId="48" fillId="0" borderId="0" xfId="0" applyFont="1" applyAlignment="1">
      <alignment horizontal="center" vertical="center" wrapText="1"/>
    </xf>
    <xf numFmtId="0" fontId="49" fillId="17" borderId="0" xfId="0" applyFont="1" applyFill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53" fillId="0" borderId="2" xfId="0" applyFont="1" applyBorder="1">
      <alignment vertical="center"/>
    </xf>
    <xf numFmtId="0" fontId="53" fillId="0" borderId="0" xfId="0" applyFont="1">
      <alignment vertical="center"/>
    </xf>
    <xf numFmtId="0" fontId="55" fillId="0" borderId="1" xfId="0" applyFont="1" applyBorder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4" fillId="16" borderId="2" xfId="0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9" fillId="0" borderId="0" xfId="0" applyFont="1">
      <alignment vertical="center"/>
    </xf>
    <xf numFmtId="0" fontId="0" fillId="0" borderId="3" xfId="0" applyBorder="1" applyAlignment="1">
      <alignment horizontal="center" vertical="center"/>
    </xf>
    <xf numFmtId="0" fontId="0" fillId="9" borderId="1" xfId="0" applyFill="1" applyBorder="1" applyAlignment="1">
      <alignment horizontal="center" vertical="center" shrinkToFit="1"/>
    </xf>
    <xf numFmtId="0" fontId="0" fillId="11" borderId="1" xfId="0" applyFill="1" applyBorder="1" applyAlignment="1">
      <alignment horizontal="center" vertical="center" shrinkToFit="1"/>
    </xf>
    <xf numFmtId="0" fontId="29" fillId="0" borderId="0" xfId="0" applyFont="1">
      <alignment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6" borderId="1" xfId="0" applyFill="1" applyBorder="1" applyAlignment="1">
      <alignment horizontal="center" vertical="center"/>
    </xf>
    <xf numFmtId="0" fontId="34" fillId="2" borderId="1" xfId="0" applyFont="1" applyFill="1" applyBorder="1" applyAlignment="1">
      <alignment horizontal="center" vertical="center" wrapText="1"/>
    </xf>
    <xf numFmtId="0" fontId="4" fillId="0" borderId="2" xfId="0" applyFont="1" applyBorder="1">
      <alignment vertical="center"/>
    </xf>
    <xf numFmtId="0" fontId="0" fillId="7" borderId="0" xfId="0" applyFill="1" applyAlignment="1">
      <alignment horizontal="left" vertical="center"/>
    </xf>
    <xf numFmtId="0" fontId="0" fillId="11" borderId="0" xfId="0" applyFill="1" applyAlignment="1">
      <alignment horizontal="center" vertical="center"/>
    </xf>
    <xf numFmtId="0" fontId="0" fillId="8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0" fillId="7" borderId="0" xfId="0" applyFill="1" applyAlignment="1">
      <alignment horizontal="center" vertical="center"/>
    </xf>
    <xf numFmtId="0" fontId="16" fillId="0" borderId="10" xfId="0" applyFont="1" applyBorder="1">
      <alignment vertical="center"/>
    </xf>
    <xf numFmtId="0" fontId="54" fillId="0" borderId="2" xfId="0" applyFont="1" applyBorder="1">
      <alignment vertical="center"/>
    </xf>
    <xf numFmtId="0" fontId="0" fillId="13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63" fillId="9" borderId="1" xfId="0" applyFont="1" applyFill="1" applyBorder="1" applyAlignment="1">
      <alignment horizontal="center" vertical="center"/>
    </xf>
    <xf numFmtId="0" fontId="65" fillId="0" borderId="0" xfId="0" applyFont="1" applyAlignment="1">
      <alignment horizontal="left" vertical="center"/>
    </xf>
    <xf numFmtId="0" fontId="66" fillId="0" borderId="0" xfId="0" applyFont="1" applyAlignment="1">
      <alignment horizontal="left" vertical="center"/>
    </xf>
    <xf numFmtId="0" fontId="63" fillId="11" borderId="1" xfId="1" applyNumberFormat="1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shrinkToFit="1"/>
    </xf>
    <xf numFmtId="0" fontId="5" fillId="13" borderId="0" xfId="0" applyFont="1" applyFill="1" applyAlignment="1">
      <alignment horizontal="center" vertical="center"/>
    </xf>
    <xf numFmtId="0" fontId="29" fillId="19" borderId="0" xfId="0" applyFont="1" applyFill="1" applyAlignment="1">
      <alignment horizontal="center" vertical="center"/>
    </xf>
    <xf numFmtId="0" fontId="29" fillId="11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47" fillId="0" borderId="0" xfId="0" applyFont="1">
      <alignment vertical="center"/>
    </xf>
    <xf numFmtId="0" fontId="16" fillId="0" borderId="0" xfId="0" applyFont="1">
      <alignment vertical="center"/>
    </xf>
    <xf numFmtId="0" fontId="5" fillId="0" borderId="0" xfId="0" applyFont="1">
      <alignment vertical="center"/>
    </xf>
    <xf numFmtId="0" fontId="16" fillId="0" borderId="1" xfId="0" applyFont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24" fillId="11" borderId="1" xfId="0" applyFont="1" applyFill="1" applyBorder="1" applyAlignment="1">
      <alignment horizontal="center" vertical="center"/>
    </xf>
    <xf numFmtId="0" fontId="0" fillId="25" borderId="1" xfId="0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5" fillId="18" borderId="1" xfId="0" applyFont="1" applyFill="1" applyBorder="1" applyAlignment="1">
      <alignment horizontal="center" vertical="center"/>
    </xf>
    <xf numFmtId="0" fontId="25" fillId="16" borderId="1" xfId="0" applyFont="1" applyFill="1" applyBorder="1" applyAlignment="1">
      <alignment horizontal="center" vertical="center"/>
    </xf>
    <xf numFmtId="0" fontId="16" fillId="7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18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vertical="center" wrapText="1"/>
    </xf>
    <xf numFmtId="0" fontId="0" fillId="7" borderId="1" xfId="0" applyFill="1" applyBorder="1">
      <alignment vertical="center"/>
    </xf>
    <xf numFmtId="0" fontId="56" fillId="0" borderId="1" xfId="0" applyFont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5" fillId="0" borderId="0" xfId="0" applyFont="1">
      <alignment vertical="center"/>
    </xf>
    <xf numFmtId="0" fontId="70" fillId="2" borderId="0" xfId="0" applyFont="1" applyFill="1">
      <alignment vertical="center"/>
    </xf>
    <xf numFmtId="49" fontId="3" fillId="0" borderId="0" xfId="0" applyNumberFormat="1" applyFont="1" applyAlignment="1">
      <alignment horizontal="center" vertical="center"/>
    </xf>
    <xf numFmtId="49" fontId="2" fillId="0" borderId="2" xfId="0" applyNumberFormat="1" applyFont="1" applyBorder="1">
      <alignment vertical="center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>
      <alignment vertical="center"/>
    </xf>
    <xf numFmtId="49" fontId="6" fillId="0" borderId="2" xfId="0" applyNumberFormat="1" applyFont="1" applyBorder="1">
      <alignment vertical="center"/>
    </xf>
    <xf numFmtId="49" fontId="15" fillId="0" borderId="0" xfId="0" applyNumberFormat="1" applyFont="1" applyAlignment="1">
      <alignment horizontal="center" vertical="center"/>
    </xf>
    <xf numFmtId="49" fontId="52" fillId="0" borderId="2" xfId="0" applyNumberFormat="1" applyFont="1" applyBorder="1">
      <alignment vertical="center"/>
    </xf>
    <xf numFmtId="49" fontId="54" fillId="0" borderId="2" xfId="0" applyNumberFormat="1" applyFont="1" applyBorder="1">
      <alignment vertical="center"/>
    </xf>
    <xf numFmtId="49" fontId="55" fillId="0" borderId="1" xfId="0" applyNumberFormat="1" applyFont="1" applyBorder="1" applyAlignment="1">
      <alignment horizontal="center" vertical="center"/>
    </xf>
    <xf numFmtId="49" fontId="7" fillId="0" borderId="0" xfId="0" applyNumberFormat="1" applyFont="1">
      <alignment vertical="center"/>
    </xf>
    <xf numFmtId="0" fontId="7" fillId="0" borderId="1" xfId="0" quotePrefix="1" applyFont="1" applyBorder="1" applyAlignment="1">
      <alignment horizontal="center" vertical="center" shrinkToFit="1"/>
    </xf>
    <xf numFmtId="177" fontId="39" fillId="0" borderId="1" xfId="1" applyNumberFormat="1" applyFont="1" applyFill="1" applyBorder="1" applyAlignment="1">
      <alignment horizontal="center" vertical="center" shrinkToFit="1"/>
    </xf>
    <xf numFmtId="177" fontId="42" fillId="0" borderId="1" xfId="0" applyNumberFormat="1" applyFont="1" applyBorder="1" applyAlignment="1">
      <alignment horizontal="center" vertical="center" shrinkToFit="1"/>
    </xf>
    <xf numFmtId="0" fontId="4" fillId="6" borderId="1" xfId="0" applyFont="1" applyFill="1" applyBorder="1" applyAlignment="1">
      <alignment horizontal="center" vertical="center"/>
    </xf>
    <xf numFmtId="0" fontId="25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 wrapText="1"/>
    </xf>
    <xf numFmtId="0" fontId="16" fillId="2" borderId="1" xfId="0" applyFont="1" applyFill="1" applyBorder="1" applyAlignment="1">
      <alignment horizontal="center" vertical="center"/>
    </xf>
    <xf numFmtId="0" fontId="64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71" fillId="0" borderId="0" xfId="0" applyFont="1" applyAlignment="1">
      <alignment horizontal="left"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3" fillId="0" borderId="0" xfId="0" applyFont="1" applyAlignment="1">
      <alignment horizontal="right" vertical="center"/>
    </xf>
    <xf numFmtId="0" fontId="26" fillId="0" borderId="2" xfId="0" applyFont="1" applyBorder="1">
      <alignment vertical="center"/>
    </xf>
    <xf numFmtId="0" fontId="26" fillId="0" borderId="0" xfId="0" applyFont="1">
      <alignment vertical="center"/>
    </xf>
    <xf numFmtId="0" fontId="33" fillId="7" borderId="1" xfId="0" applyFont="1" applyFill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177" fontId="16" fillId="0" borderId="0" xfId="0" applyNumberFormat="1" applyFont="1" applyAlignment="1">
      <alignment horizontal="center" vertical="center"/>
    </xf>
    <xf numFmtId="177" fontId="55" fillId="0" borderId="0" xfId="0" applyNumberFormat="1" applyFont="1">
      <alignment vertical="center"/>
    </xf>
    <xf numFmtId="0" fontId="0" fillId="0" borderId="1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 wrapText="1"/>
    </xf>
    <xf numFmtId="0" fontId="9" fillId="20" borderId="1" xfId="0" applyFont="1" applyFill="1" applyBorder="1" applyAlignment="1">
      <alignment horizontal="center" vertical="center"/>
    </xf>
    <xf numFmtId="0" fontId="34" fillId="2" borderId="5" xfId="0" applyFont="1" applyFill="1" applyBorder="1" applyAlignment="1">
      <alignment horizontal="center" vertical="center" wrapText="1"/>
    </xf>
    <xf numFmtId="0" fontId="34" fillId="2" borderId="7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0" fillId="17" borderId="3" xfId="0" applyFont="1" applyFill="1" applyBorder="1" applyAlignment="1">
      <alignment horizontal="center" vertical="center" wrapText="1"/>
    </xf>
    <xf numFmtId="0" fontId="40" fillId="17" borderId="4" xfId="0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0" xfId="0" applyFont="1" applyAlignment="1">
      <alignment horizontal="center" vertical="center"/>
    </xf>
    <xf numFmtId="0" fontId="9" fillId="20" borderId="3" xfId="0" applyFont="1" applyFill="1" applyBorder="1" applyAlignment="1">
      <alignment horizontal="center" vertical="center" wrapText="1"/>
    </xf>
    <xf numFmtId="0" fontId="9" fillId="20" borderId="4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5" fillId="19" borderId="1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25" fillId="14" borderId="1" xfId="0" applyFont="1" applyFill="1" applyBorder="1" applyAlignment="1">
      <alignment horizontal="center" vertical="center"/>
    </xf>
    <xf numFmtId="0" fontId="21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26" fillId="11" borderId="1" xfId="0" applyFont="1" applyFill="1" applyBorder="1" applyAlignment="1">
      <alignment horizontal="center" vertical="center"/>
    </xf>
    <xf numFmtId="0" fontId="55" fillId="0" borderId="1" xfId="0" applyFont="1" applyBorder="1" applyAlignment="1">
      <alignment horizontal="center" vertical="center"/>
    </xf>
    <xf numFmtId="0" fontId="36" fillId="27" borderId="1" xfId="0" applyFont="1" applyFill="1" applyBorder="1" applyAlignment="1">
      <alignment horizontal="center" vertical="center"/>
    </xf>
    <xf numFmtId="0" fontId="35" fillId="13" borderId="0" xfId="0" applyFont="1" applyFill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2" fillId="8" borderId="1" xfId="0" applyFont="1" applyFill="1" applyBorder="1" applyAlignment="1">
      <alignment horizontal="center" vertical="center" wrapText="1"/>
    </xf>
    <xf numFmtId="0" fontId="44" fillId="8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32" fillId="6" borderId="1" xfId="0" applyFont="1" applyFill="1" applyBorder="1" applyAlignment="1">
      <alignment horizontal="center" vertical="center" wrapText="1"/>
    </xf>
    <xf numFmtId="0" fontId="44" fillId="6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3" fillId="0" borderId="7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3" fillId="17" borderId="1" xfId="0" applyFont="1" applyFill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68" fillId="0" borderId="1" xfId="0" applyFont="1" applyBorder="1" applyAlignment="1">
      <alignment horizontal="center" vertical="center"/>
    </xf>
    <xf numFmtId="0" fontId="23" fillId="22" borderId="1" xfId="0" applyFont="1" applyFill="1" applyBorder="1" applyAlignment="1">
      <alignment horizontal="center" vertical="center"/>
    </xf>
    <xf numFmtId="0" fontId="33" fillId="6" borderId="1" xfId="0" applyFont="1" applyFill="1" applyBorder="1" applyAlignment="1">
      <alignment horizontal="center" vertical="center"/>
    </xf>
    <xf numFmtId="0" fontId="16" fillId="17" borderId="2" xfId="0" applyFont="1" applyFill="1" applyBorder="1" applyAlignment="1">
      <alignment horizontal="center" vertical="center"/>
    </xf>
    <xf numFmtId="14" fontId="4" fillId="0" borderId="2" xfId="0" applyNumberFormat="1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53" fillId="16" borderId="0" xfId="0" applyFont="1" applyFill="1" applyAlignment="1">
      <alignment horizontal="center" vertical="center"/>
    </xf>
    <xf numFmtId="0" fontId="60" fillId="0" borderId="2" xfId="0" applyFont="1" applyBorder="1" applyAlignment="1">
      <alignment horizontal="center" vertical="center"/>
    </xf>
    <xf numFmtId="0" fontId="2" fillId="9" borderId="0" xfId="0" applyFont="1" applyFill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33" fillId="0" borderId="2" xfId="0" applyFont="1" applyBorder="1" applyAlignment="1">
      <alignment horizontal="center" vertical="center"/>
    </xf>
    <xf numFmtId="0" fontId="33" fillId="0" borderId="9" xfId="0" applyFont="1" applyBorder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25" borderId="1" xfId="0" applyFill="1" applyBorder="1" applyAlignment="1">
      <alignment horizontal="center" vertical="center" wrapText="1"/>
    </xf>
    <xf numFmtId="0" fontId="0" fillId="25" borderId="1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24" fillId="9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5" fillId="13" borderId="1" xfId="0" applyFont="1" applyFill="1" applyBorder="1" applyAlignment="1">
      <alignment horizontal="center" vertical="center"/>
    </xf>
    <xf numFmtId="0" fontId="24" fillId="19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7" fillId="0" borderId="1" xfId="0" applyFont="1" applyBorder="1" applyAlignment="1">
      <alignment horizontal="center" vertical="center"/>
    </xf>
    <xf numFmtId="0" fontId="47" fillId="22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47" fillId="17" borderId="1" xfId="0" applyFont="1" applyFill="1" applyBorder="1" applyAlignment="1">
      <alignment horizontal="center" vertical="center"/>
    </xf>
    <xf numFmtId="0" fontId="16" fillId="6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18" fillId="27" borderId="1" xfId="0" applyFont="1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 wrapText="1"/>
    </xf>
    <xf numFmtId="0" fontId="0" fillId="26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13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3" fillId="0" borderId="5" xfId="0" applyFont="1" applyBorder="1" applyAlignment="1">
      <alignment horizontal="center" vertical="center"/>
    </xf>
    <xf numFmtId="0" fontId="33" fillId="0" borderId="6" xfId="0" applyFont="1" applyBorder="1" applyAlignment="1">
      <alignment horizontal="center" vertical="center"/>
    </xf>
    <xf numFmtId="177" fontId="33" fillId="0" borderId="2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5" fillId="0" borderId="3" xfId="0" applyFont="1" applyBorder="1" applyAlignment="1">
      <alignment horizontal="center" vertical="center" wrapText="1"/>
    </xf>
    <xf numFmtId="0" fontId="55" fillId="0" borderId="4" xfId="0" applyFont="1" applyBorder="1" applyAlignment="1">
      <alignment horizontal="center" vertical="center" wrapText="1"/>
    </xf>
    <xf numFmtId="49" fontId="7" fillId="0" borderId="1" xfId="0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9" fillId="0" borderId="0" xfId="0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57" fillId="8" borderId="0" xfId="0" applyFont="1" applyFill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5" fillId="6" borderId="2" xfId="0" applyFont="1" applyFill="1" applyBorder="1" applyAlignment="1">
      <alignment horizontal="center" vertical="center"/>
    </xf>
    <xf numFmtId="0" fontId="58" fillId="19" borderId="0" xfId="0" applyFont="1" applyFill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57" fillId="0" borderId="0" xfId="0" applyFont="1" applyAlignment="1">
      <alignment horizontal="left" vertical="center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16" fillId="0" borderId="2" xfId="0" applyFont="1" applyBorder="1" applyAlignment="1">
      <alignment horizontal="left" vertical="center"/>
    </xf>
    <xf numFmtId="0" fontId="0" fillId="23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64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0" fillId="13" borderId="1" xfId="0" applyFill="1" applyBorder="1" applyAlignment="1">
      <alignment horizontal="center" vertical="center" wrapText="1"/>
    </xf>
    <xf numFmtId="0" fontId="0" fillId="13" borderId="1" xfId="0" applyFill="1" applyBorder="1" applyAlignment="1">
      <alignment horizontal="center" vertical="center"/>
    </xf>
    <xf numFmtId="0" fontId="75" fillId="17" borderId="2" xfId="0" applyFont="1" applyFill="1" applyBorder="1" applyAlignment="1">
      <alignment horizontal="center" vertical="center"/>
    </xf>
    <xf numFmtId="0" fontId="62" fillId="24" borderId="3" xfId="0" applyFont="1" applyFill="1" applyBorder="1" applyAlignment="1">
      <alignment horizontal="center" vertical="center" wrapText="1"/>
    </xf>
    <xf numFmtId="0" fontId="62" fillId="24" borderId="4" xfId="0" applyFont="1" applyFill="1" applyBorder="1" applyAlignment="1">
      <alignment horizontal="center" vertical="center" wrapText="1"/>
    </xf>
    <xf numFmtId="0" fontId="39" fillId="24" borderId="3" xfId="0" applyFont="1" applyFill="1" applyBorder="1" applyAlignment="1">
      <alignment horizontal="center" vertical="center" wrapText="1"/>
    </xf>
    <xf numFmtId="0" fontId="39" fillId="24" borderId="4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5" fillId="2" borderId="1" xfId="0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44" fillId="0" borderId="1" xfId="0" applyFont="1" applyBorder="1" applyAlignment="1">
      <alignment horizontal="center" vertical="center"/>
    </xf>
    <xf numFmtId="0" fontId="53" fillId="16" borderId="1" xfId="0" applyFont="1" applyFill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6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35" fillId="13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26" fillId="0" borderId="3" xfId="0" applyFont="1" applyBorder="1" applyAlignment="1">
      <alignment horizontal="center" vertical="center"/>
    </xf>
    <xf numFmtId="14" fontId="33" fillId="0" borderId="2" xfId="0" applyNumberFormat="1" applyFont="1" applyBorder="1" applyAlignment="1">
      <alignment horizontal="center" vertical="center"/>
    </xf>
    <xf numFmtId="0" fontId="68" fillId="27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3" fillId="2" borderId="1" xfId="0" applyFont="1" applyFill="1" applyBorder="1" applyAlignment="1">
      <alignment horizontal="center" vertical="center"/>
    </xf>
    <xf numFmtId="177" fontId="4" fillId="0" borderId="2" xfId="0" applyNumberFormat="1" applyFont="1" applyBorder="1" applyAlignment="1">
      <alignment horizontal="center" vertical="center"/>
    </xf>
    <xf numFmtId="0" fontId="76" fillId="13" borderId="1" xfId="0" applyFont="1" applyFill="1" applyBorder="1" applyAlignment="1">
      <alignment horizontal="center" vertical="center"/>
    </xf>
    <xf numFmtId="0" fontId="75" fillId="17" borderId="1" xfId="0" applyFont="1" applyFill="1" applyBorder="1" applyAlignment="1">
      <alignment horizontal="center" vertical="center"/>
    </xf>
    <xf numFmtId="0" fontId="75" fillId="22" borderId="1" xfId="0" applyFont="1" applyFill="1" applyBorder="1" applyAlignment="1">
      <alignment horizontal="center" vertical="center"/>
    </xf>
    <xf numFmtId="0" fontId="26" fillId="19" borderId="1" xfId="0" applyFont="1" applyFill="1" applyBorder="1" applyAlignment="1">
      <alignment horizontal="center" vertical="center"/>
    </xf>
    <xf numFmtId="0" fontId="26" fillId="16" borderId="1" xfId="0" applyFont="1" applyFill="1" applyBorder="1" applyAlignment="1">
      <alignment horizontal="center" vertical="center"/>
    </xf>
    <xf numFmtId="0" fontId="26" fillId="9" borderId="1" xfId="0" applyFont="1" applyFill="1" applyBorder="1" applyAlignment="1">
      <alignment horizontal="center" vertical="center"/>
    </xf>
    <xf numFmtId="0" fontId="29" fillId="0" borderId="1" xfId="0" applyFont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29" fillId="16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 wrapText="1"/>
    </xf>
    <xf numFmtId="0" fontId="0" fillId="10" borderId="4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69" fillId="0" borderId="1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5" fillId="0" borderId="6" xfId="0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left" vertical="center"/>
    </xf>
    <xf numFmtId="0" fontId="16" fillId="0" borderId="5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3" xfId="0" applyFill="1" applyBorder="1" applyAlignment="1">
      <alignment horizontal="center" vertical="center" wrapText="1"/>
    </xf>
    <xf numFmtId="0" fontId="0" fillId="6" borderId="4" xfId="0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/>
    </xf>
    <xf numFmtId="0" fontId="24" fillId="0" borderId="12" xfId="0" applyFont="1" applyBorder="1" applyAlignment="1">
      <alignment horizontal="center" vertical="center"/>
    </xf>
    <xf numFmtId="0" fontId="24" fillId="0" borderId="13" xfId="0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0" fontId="24" fillId="11" borderId="5" xfId="0" applyFont="1" applyFill="1" applyBorder="1" applyAlignment="1">
      <alignment horizontal="center" vertical="center"/>
    </xf>
    <xf numFmtId="0" fontId="24" fillId="11" borderId="7" xfId="0" applyFont="1" applyFill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</cellXfs>
  <cellStyles count="3">
    <cellStyle name="쉼표 [0]" xfId="1" builtinId="6"/>
    <cellStyle name="쉼표 [0] 2" xfId="2" xr:uid="{00000000-0005-0000-0000-000001000000}"/>
    <cellStyle name="표준" xfId="0" builtinId="0"/>
  </cellStyles>
  <dxfs count="86"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59996337778862885"/>
        </patternFill>
      </fill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theme="0" tint="-0.24994659260841701"/>
      </font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ont>
        <color theme="0" tint="-0.24994659260841701"/>
      </font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7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theme="7" tint="0.39994506668294322"/>
        </patternFill>
      </fill>
    </dxf>
    <dxf>
      <fill>
        <patternFill patternType="solid">
          <bgColor theme="7" tint="0.39994506668294322"/>
        </patternFill>
      </fill>
    </dxf>
    <dxf>
      <font>
        <color theme="0" tint="-0.24994659260841701"/>
      </font>
    </dxf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28576</xdr:colOff>
      <xdr:row>19</xdr:row>
      <xdr:rowOff>114300</xdr:rowOff>
    </xdr:from>
    <xdr:to>
      <xdr:col>0</xdr:col>
      <xdr:colOff>1609725</xdr:colOff>
      <xdr:row>21</xdr:row>
      <xdr:rowOff>104775</xdr:rowOff>
    </xdr:to>
    <xdr:sp macro="[0]!ClearSheet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8576" y="3914775"/>
          <a:ext cx="1581149" cy="409575"/>
        </a:xfrm>
        <a:prstGeom prst="rect">
          <a:avLst/>
        </a:prstGeom>
        <a:solidFill>
          <a:schemeClr val="accent5"/>
        </a:solidFill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>
              <a:ln>
                <a:noFill/>
              </a:ln>
            </a:rPr>
            <a:t>실측서 셀  </a:t>
          </a:r>
          <a:r>
            <a:rPr lang="ko-KR" altLang="en-US" sz="1100">
              <a:ln>
                <a:noFill/>
              </a:ln>
              <a:solidFill>
                <a:schemeClr val="tx1"/>
              </a:solidFill>
              <a:effectLst>
                <a:outerShdw blurRad="50800" dist="50800" dir="5400000" algn="ctr" rotWithShape="0">
                  <a:schemeClr val="accent2">
                    <a:lumMod val="40000"/>
                    <a:lumOff val="60000"/>
                  </a:schemeClr>
                </a:outerShdw>
              </a:effectLst>
            </a:rPr>
            <a:t>지우기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428625</xdr:colOff>
          <xdr:row>4</xdr:row>
          <xdr:rowOff>38100</xdr:rowOff>
        </xdr:from>
        <xdr:to>
          <xdr:col>2</xdr:col>
          <xdr:colOff>3295650</xdr:colOff>
          <xdr:row>5</xdr:row>
          <xdr:rowOff>7574</xdr:rowOff>
        </xdr:to>
        <xdr:pic>
          <xdr:nvPicPr>
            <xdr:cNvPr id="4" name="그림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149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81850" y="1114425"/>
              <a:ext cx="2867025" cy="103627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133350</xdr:colOff>
      <xdr:row>3</xdr:row>
      <xdr:rowOff>28576</xdr:rowOff>
    </xdr:from>
    <xdr:to>
      <xdr:col>2</xdr:col>
      <xdr:colOff>1352550</xdr:colOff>
      <xdr:row>3</xdr:row>
      <xdr:rowOff>712284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1075" y="771526"/>
          <a:ext cx="1219200" cy="683708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285750</xdr:colOff>
      <xdr:row>5</xdr:row>
      <xdr:rowOff>57150</xdr:rowOff>
    </xdr:from>
    <xdr:to>
      <xdr:col>2</xdr:col>
      <xdr:colOff>1514475</xdr:colOff>
      <xdr:row>5</xdr:row>
      <xdr:rowOff>726736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33475" y="2343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238125</xdr:colOff>
      <xdr:row>6</xdr:row>
      <xdr:rowOff>47625</xdr:rowOff>
    </xdr:from>
    <xdr:to>
      <xdr:col>2</xdr:col>
      <xdr:colOff>1466850</xdr:colOff>
      <xdr:row>6</xdr:row>
      <xdr:rowOff>717211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85850" y="3105150"/>
          <a:ext cx="1228725" cy="669586"/>
        </a:xfrm>
        <a:prstGeom prst="rect">
          <a:avLst/>
        </a:prstGeom>
      </xdr:spPr>
    </xdr:pic>
    <xdr:clientData/>
  </xdr:twoCellAnchor>
  <xdr:twoCellAnchor editAs="oneCell">
    <xdr:from>
      <xdr:col>2</xdr:col>
      <xdr:colOff>152401</xdr:colOff>
      <xdr:row>7</xdr:row>
      <xdr:rowOff>104776</xdr:rowOff>
    </xdr:from>
    <xdr:to>
      <xdr:col>2</xdr:col>
      <xdr:colOff>1714500</xdr:colOff>
      <xdr:row>7</xdr:row>
      <xdr:rowOff>809252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0126" y="3933826"/>
          <a:ext cx="1562099" cy="704476"/>
        </a:xfrm>
        <a:prstGeom prst="rect">
          <a:avLst/>
        </a:prstGeom>
      </xdr:spPr>
    </xdr:pic>
    <xdr:clientData/>
  </xdr:twoCellAnchor>
  <xdr:twoCellAnchor editAs="oneCell">
    <xdr:from>
      <xdr:col>2</xdr:col>
      <xdr:colOff>76200</xdr:colOff>
      <xdr:row>9</xdr:row>
      <xdr:rowOff>38101</xdr:rowOff>
    </xdr:from>
    <xdr:to>
      <xdr:col>2</xdr:col>
      <xdr:colOff>1743075</xdr:colOff>
      <xdr:row>9</xdr:row>
      <xdr:rowOff>716079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3925" y="5429251"/>
          <a:ext cx="1666875" cy="677978"/>
        </a:xfrm>
        <a:prstGeom prst="rect">
          <a:avLst/>
        </a:prstGeom>
      </xdr:spPr>
    </xdr:pic>
    <xdr:clientData/>
  </xdr:twoCellAnchor>
  <xdr:twoCellAnchor editAs="oneCell">
    <xdr:from>
      <xdr:col>2</xdr:col>
      <xdr:colOff>66675</xdr:colOff>
      <xdr:row>8</xdr:row>
      <xdr:rowOff>47625</xdr:rowOff>
    </xdr:from>
    <xdr:to>
      <xdr:col>2</xdr:col>
      <xdr:colOff>1771650</xdr:colOff>
      <xdr:row>8</xdr:row>
      <xdr:rowOff>747493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4400" y="4648200"/>
          <a:ext cx="1704975" cy="699868"/>
        </a:xfrm>
        <a:prstGeom prst="rect">
          <a:avLst/>
        </a:prstGeom>
      </xdr:spPr>
    </xdr:pic>
    <xdr:clientData/>
  </xdr:twoCellAnchor>
  <xdr:twoCellAnchor editAs="oneCell">
    <xdr:from>
      <xdr:col>2</xdr:col>
      <xdr:colOff>171450</xdr:colOff>
      <xdr:row>4</xdr:row>
      <xdr:rowOff>38101</xdr:rowOff>
    </xdr:from>
    <xdr:to>
      <xdr:col>2</xdr:col>
      <xdr:colOff>1495425</xdr:colOff>
      <xdr:row>4</xdr:row>
      <xdr:rowOff>713435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19175" y="1552576"/>
          <a:ext cx="1323975" cy="67533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56030</xdr:colOff>
          <xdr:row>0</xdr:row>
          <xdr:rowOff>33617</xdr:rowOff>
        </xdr:from>
        <xdr:to>
          <xdr:col>31</xdr:col>
          <xdr:colOff>89648</xdr:colOff>
          <xdr:row>2</xdr:row>
          <xdr:rowOff>380999</xdr:rowOff>
        </xdr:to>
        <xdr:pic>
          <xdr:nvPicPr>
            <xdr:cNvPr id="3" name="그림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36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3391030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179293</xdr:colOff>
          <xdr:row>0</xdr:row>
          <xdr:rowOff>22411</xdr:rowOff>
        </xdr:from>
        <xdr:to>
          <xdr:col>43</xdr:col>
          <xdr:colOff>448235</xdr:colOff>
          <xdr:row>0</xdr:row>
          <xdr:rowOff>866718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26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6035617" y="22411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22412</xdr:colOff>
      <xdr:row>0</xdr:row>
      <xdr:rowOff>952500</xdr:rowOff>
    </xdr:from>
    <xdr:to>
      <xdr:col>7</xdr:col>
      <xdr:colOff>347383</xdr:colOff>
      <xdr:row>1</xdr:row>
      <xdr:rowOff>358588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3041837" y="952500"/>
          <a:ext cx="1772771" cy="36811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600" b="1">
              <a:solidFill>
                <a:srgbClr val="FF0000"/>
              </a:solidFill>
            </a:rPr>
            <a:t>JD,JB</a:t>
          </a:r>
          <a:r>
            <a:rPr lang="en-US" altLang="ko-KR" sz="1600" b="1" baseline="0">
              <a:solidFill>
                <a:srgbClr val="FF0000"/>
              </a:solidFill>
            </a:rPr>
            <a:t> 70</a:t>
          </a:r>
          <a:r>
            <a:rPr lang="ko-KR" altLang="en-US" sz="1600" b="1" baseline="0">
              <a:solidFill>
                <a:srgbClr val="FF0000"/>
              </a:solidFill>
            </a:rPr>
            <a:t>이상 견적</a:t>
          </a:r>
          <a:endParaRPr lang="ko-KR" altLang="en-US" sz="1600" b="1">
            <a:solidFill>
              <a:srgbClr val="FF000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24</xdr:col>
          <xdr:colOff>78442</xdr:colOff>
          <xdr:row>0</xdr:row>
          <xdr:rowOff>33617</xdr:rowOff>
        </xdr:from>
        <xdr:to>
          <xdr:col>31</xdr:col>
          <xdr:colOff>224119</xdr:colOff>
          <xdr:row>2</xdr:row>
          <xdr:rowOff>380999</xdr:rowOff>
        </xdr:to>
        <xdr:pic>
          <xdr:nvPicPr>
            <xdr:cNvPr id="5" name="그림 4">
              <a:extLst>
                <a:ext uri="{FF2B5EF4-FFF2-40B4-BE49-F238E27FC236}">
                  <a16:creationId xmlns:a16="http://schemas.microsoft.com/office/drawing/2014/main" id="{00000000-0008-0000-0900-000005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77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841942" y="33617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37</xdr:col>
          <xdr:colOff>56029</xdr:colOff>
          <xdr:row>0</xdr:row>
          <xdr:rowOff>22412</xdr:rowOff>
        </xdr:from>
        <xdr:to>
          <xdr:col>43</xdr:col>
          <xdr:colOff>33617</xdr:colOff>
          <xdr:row>0</xdr:row>
          <xdr:rowOff>866719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A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587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497735" y="22412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44824</xdr:colOff>
          <xdr:row>0</xdr:row>
          <xdr:rowOff>22411</xdr:rowOff>
        </xdr:from>
        <xdr:to>
          <xdr:col>34</xdr:col>
          <xdr:colOff>78442</xdr:colOff>
          <xdr:row>2</xdr:row>
          <xdr:rowOff>369793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D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07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004677" y="22411"/>
              <a:ext cx="3720353" cy="13447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38</xdr:col>
          <xdr:colOff>78442</xdr:colOff>
          <xdr:row>0</xdr:row>
          <xdr:rowOff>33617</xdr:rowOff>
        </xdr:from>
        <xdr:to>
          <xdr:col>44</xdr:col>
          <xdr:colOff>56030</xdr:colOff>
          <xdr:row>0</xdr:row>
          <xdr:rowOff>877924</xdr:rowOff>
        </xdr:to>
        <xdr:pic>
          <xdr:nvPicPr>
            <xdr:cNvPr id="2" name="그림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불러올이미지" spid="_x0000_s6178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576177" y="33617"/>
              <a:ext cx="3720353" cy="844307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fo">
    <tabColor rgb="FFFFFF00"/>
  </sheetPr>
  <dimension ref="A1:L26"/>
  <sheetViews>
    <sheetView workbookViewId="0">
      <selection activeCell="B6" sqref="B6"/>
    </sheetView>
  </sheetViews>
  <sheetFormatPr defaultRowHeight="16.5" x14ac:dyDescent="0.3"/>
  <cols>
    <col min="1" max="1" width="21.5" customWidth="1"/>
    <col min="2" max="2" width="67.125" customWidth="1"/>
    <col min="3" max="3" width="74.125" customWidth="1"/>
    <col min="4" max="4" width="9.125" customWidth="1"/>
    <col min="5" max="14" width="5.75" customWidth="1"/>
  </cols>
  <sheetData>
    <row r="1" spans="1:12" ht="24" customHeight="1" x14ac:dyDescent="0.3">
      <c r="A1" s="148" t="s">
        <v>37</v>
      </c>
      <c r="B1" s="117" t="s">
        <v>335</v>
      </c>
    </row>
    <row r="2" spans="1:12" ht="20.25" customHeight="1" x14ac:dyDescent="0.3">
      <c r="A2" s="149" t="s">
        <v>36</v>
      </c>
      <c r="B2" s="39" t="str">
        <f>"(와이드) 실측서 ( " &amp; B1 &amp; " ) _"&amp;소장 &amp;"소장"</f>
        <v>(와이드) 실측서 ( 전남 목포 알파타워 ) _이만희소장</v>
      </c>
      <c r="C2" s="39" t="str">
        <f>"(와이드) 제작변환 자료( "&amp;B1&amp;" ) _"&amp;소장 &amp;"소장"</f>
        <v>(와이드) 제작변환 자료( 전남 목포 알파타워 ) _이만희소장</v>
      </c>
      <c r="D2" s="154" t="s">
        <v>318</v>
      </c>
      <c r="E2" s="150" t="str">
        <f>"(SO와이드) 실측서 ( " &amp; B1 &amp; " ) _"&amp;소장 &amp;"소장"</f>
        <v>(SO와이드) 실측서 ( 전남 목포 알파타워 ) _이만희소장</v>
      </c>
      <c r="F2" s="150" t="str">
        <f>"(SO와이드) 제작변환 ( " &amp; B1 &amp; " ) _"&amp;소장 &amp;"소장"</f>
        <v>(SO와이드) 제작변환 ( 전남 목포 알파타워 ) _이만희소장</v>
      </c>
      <c r="G2" s="152" t="s">
        <v>320</v>
      </c>
      <c r="H2" s="147" t="str">
        <f>"(4CO와이드) 실측서 ( " &amp; B1 &amp; " ) _"&amp;소장 &amp;"소장"</f>
        <v>(4CO와이드) 실측서 ( 전남 목포 알파타워 ) _이만희소장</v>
      </c>
      <c r="I2" s="147" t="str">
        <f>"(4CO와이드) 제작변환 ( " &amp; B1 &amp; " ) _"&amp;소장 &amp;"소장"</f>
        <v>(4CO와이드) 제작변환 ( 전남 목포 알파타워 ) _이만희소장</v>
      </c>
      <c r="J2" s="152" t="s">
        <v>322</v>
      </c>
      <c r="K2" s="153" t="str">
        <f>"(2UP) 실측서 ( " &amp; B1 &amp; " ) _"&amp;소장 &amp;"소장"</f>
        <v>(2UP) 실측서 ( 전남 목포 알파타워 ) _이만희소장</v>
      </c>
      <c r="L2" s="153" t="str">
        <f>"(2UP) 제작변환 ( " &amp; B1 &amp; " ) _"&amp;소장 &amp;"소장"</f>
        <v>(2UP) 제작변환 ( 전남 목포 알파타워 ) _이만희소장</v>
      </c>
    </row>
    <row r="3" spans="1:12" ht="20.25" customHeight="1" x14ac:dyDescent="0.3">
      <c r="A3" s="149" t="s">
        <v>38</v>
      </c>
      <c r="B3" s="39" t="str">
        <f>"(멍텅구리) 실측서 ( " &amp; B1 &amp; " ) _"&amp;소장 &amp;"소장"</f>
        <v>(멍텅구리) 실측서 ( 전남 목포 알파타워 ) _이만희소장</v>
      </c>
      <c r="C3" s="39" t="str">
        <f>"(멍텅구리) 제작변환 자료( "&amp;B1&amp;" ) _"&amp;소장 &amp;"소장"</f>
        <v>(멍텅구리) 제작변환 자료( 전남 목포 알파타워 ) _이만희소장</v>
      </c>
      <c r="D3" s="154" t="s">
        <v>319</v>
      </c>
      <c r="E3" s="150" t="str">
        <f>"(SO멍텅구리) 실측서 ( " &amp; B1 &amp; " ) _"&amp;소장 &amp;"소장"</f>
        <v>(SO멍텅구리) 실측서 ( 전남 목포 알파타워 ) _이만희소장</v>
      </c>
      <c r="F3" s="150" t="str">
        <f>"(SO멍텅구리) 제작변환 ( " &amp; B1 &amp; " ) _"&amp;소장 &amp;"소장"</f>
        <v>(SO멍텅구리) 제작변환 ( 전남 목포 알파타워 ) _이만희소장</v>
      </c>
      <c r="G3" s="152" t="s">
        <v>321</v>
      </c>
      <c r="H3" s="147" t="str">
        <f>"(4CO멍텅구리) 실측서 ( " &amp; B1 &amp; " ) _"&amp;소장 &amp;"소장"</f>
        <v>(4CO멍텅구리) 실측서 ( 전남 목포 알파타워 ) _이만희소장</v>
      </c>
      <c r="I3" s="147" t="str">
        <f>"(4CO멍텅구리) 제작변환 ( " &amp; B1 &amp; " ) _"&amp;소장 &amp;"소장"</f>
        <v>(4CO멍텅구리) 제작변환 ( 전남 목포 알파타워 ) _이만희소장</v>
      </c>
      <c r="J3" s="152" t="s">
        <v>323</v>
      </c>
      <c r="K3" s="153" t="str">
        <f>"(3UP) 실측서 ( " &amp; B1 &amp; " ) _"&amp;소장 &amp;"소장"</f>
        <v>(3UP) 실측서 ( 전남 목포 알파타워 ) _이만희소장</v>
      </c>
      <c r="L3" s="153" t="str">
        <f>"(3UP) 제작변환 ( " &amp; B1 &amp; " ) _"&amp;소장 &amp;"소장"</f>
        <v>(3UP) 제작변환 ( 전남 목포 알파타워 ) _이만희소장</v>
      </c>
    </row>
    <row r="4" spans="1:12" ht="20.25" customHeight="1" x14ac:dyDescent="0.3">
      <c r="A4" s="149" t="s">
        <v>39</v>
      </c>
      <c r="B4" s="39" t="str">
        <f>"(쪽쟘) 실측서 ( " &amp; B1 &amp; " ) _"&amp;소장 &amp;"소장"</f>
        <v>(쪽쟘) 실측서 ( 전남 목포 알파타워 ) _이만희소장</v>
      </c>
      <c r="C4" s="39" t="str">
        <f>"(쪽쟘) 제작변환 자료( "&amp;B1&amp;" ) _"&amp;소장 &amp;"소장"</f>
        <v>(쪽쟘) 제작변환 자료( 전남 목포 알파타워 ) _이만희소장</v>
      </c>
      <c r="D4" s="151"/>
      <c r="E4" s="151"/>
      <c r="F4" s="151"/>
      <c r="G4" s="151"/>
    </row>
    <row r="5" spans="1:12" ht="84" customHeight="1" x14ac:dyDescent="0.3">
      <c r="A5" s="1" t="s">
        <v>292</v>
      </c>
      <c r="B5" s="69" t="s">
        <v>336</v>
      </c>
      <c r="D5" s="145" t="s">
        <v>324</v>
      </c>
    </row>
    <row r="6" spans="1:12" ht="27.75" customHeight="1" x14ac:dyDescent="0.3">
      <c r="A6" s="144" t="s">
        <v>40</v>
      </c>
      <c r="B6" s="146" t="s">
        <v>337</v>
      </c>
    </row>
    <row r="7" spans="1:12" ht="16.5" customHeight="1" x14ac:dyDescent="0.3">
      <c r="A7" s="72" t="s">
        <v>193</v>
      </c>
      <c r="B7" s="118" t="s">
        <v>293</v>
      </c>
    </row>
    <row r="8" spans="1:12" ht="16.5" customHeight="1" x14ac:dyDescent="0.3">
      <c r="A8" s="76" t="s">
        <v>194</v>
      </c>
      <c r="B8" s="118" t="s">
        <v>293</v>
      </c>
    </row>
    <row r="9" spans="1:12" ht="16.5" customHeight="1" x14ac:dyDescent="0.3">
      <c r="A9" s="71" t="s">
        <v>195</v>
      </c>
      <c r="B9" s="118" t="s">
        <v>293</v>
      </c>
    </row>
    <row r="10" spans="1:12" ht="16.5" customHeight="1" x14ac:dyDescent="0.3">
      <c r="A10" s="89" t="s">
        <v>196</v>
      </c>
      <c r="B10" s="161" t="str">
        <f>"제작치수 반영 : MH + ("&amp;와이드제작!G2&amp;"), JB/JD +("&amp;와이드제작!M3&amp;" ),  늘어난치수K -("&amp;와이드제작!AJ2&amp;"),  C + ("&amp;와이드제작!Q3&amp;"),   U + ("&amp;와이드제작!Q2&amp;"), OP - ("&amp;와이드제작!B2&amp;"), R - ("&amp;와이드제작!D2&amp;"),  기둥차감 - ("&amp;와이드제작!V2&amp;"), A + ("&amp;와이드제작!Z3&amp;")"</f>
        <v>제작치수 반영 : MH + (2), JB/JD +(3 ),  늘어난치수K -(3),  C + (0),   U + (0), OP - (3), R - (0),  기둥차감 - (0), A + (1)</v>
      </c>
      <c r="C10" s="161"/>
    </row>
    <row r="11" spans="1:12" ht="16.5" customHeight="1" x14ac:dyDescent="0.3">
      <c r="A11" s="90" t="s">
        <v>197</v>
      </c>
      <c r="B11" s="161" t="str">
        <f>"제작치수 반영 : JB/JD +(" &amp;멍텅제작!J3&amp; " ),  늘어난치수K -(" &amp;멍텅제작!AD2&amp;"),  C + ("&amp;멍텅제작!N3&amp;"),  U +(" &amp;멍텅제작!W2&amp;"), OP - ("&amp; 멍텅제작!B2&amp;"), R - ("&amp;멍텅제작!D2&amp;"),  기둥차감 - ("&amp;멍텅제작!AA2&amp;"),  A + ("&amp;멍텅제작!W3&amp;")"</f>
        <v>제작치수 반영 : JB/JD +(3 ),  늘어난치수K -(3),  C + (0),  U +(0), OP - (3), R - (0),  기둥차감 - (0),  A + (1)</v>
      </c>
      <c r="C11" s="161"/>
    </row>
    <row r="12" spans="1:12" ht="16.5" customHeight="1" x14ac:dyDescent="0.3">
      <c r="A12" s="90" t="s">
        <v>198</v>
      </c>
      <c r="B12" s="161" t="str">
        <f>"제작치수 반영 : JB/JD +(" &amp;쪽쟘제작!G3&amp; " ),  늘어난치수K -(" &amp;쪽쟘늘치차감&amp;"), OP - ("&amp; 쪽쟘OP차감&amp;"),  기둥차감 - ("&amp;쪽쟘기둥차감&amp;")"</f>
        <v>제작치수 반영 : JB/JD +(0 ),  늘어난치수K -(0), OP - (3),  기둥차감 - (0)</v>
      </c>
      <c r="C12" s="161"/>
    </row>
    <row r="13" spans="1:12" ht="16.5" customHeight="1" x14ac:dyDescent="0.3">
      <c r="A13" s="90" t="s">
        <v>251</v>
      </c>
      <c r="B13" s="161" t="str">
        <f>"제작치수 반영 : MH + (" &amp;SO와이드제작!H2 &amp; "), JB/JD +(" &amp;SO와이드제작!P3&amp; " ),  늘어난치수K -(" &amp;SO와이드제작!AN2&amp;"),  C + ("&amp;SO와이드제작!T3&amp;"),   U + ("&amp;SO와이드제작!T2&amp;"), OP - ("&amp; SO와이드제작!B2&amp;"), R - ("&amp;SO와이드제작!D2&amp;"),  기둥차감 - ("&amp;SO와이드제작!Y2&amp;"),  A + ("&amp;SO와이드제작!AC3&amp;")"</f>
        <v>제작치수 반영 : MH + (2), JB/JD +(3 ),  늘어난치수K -(3),  C + (0),   U + (0), OP - (3), R - (0),  기둥차감 - (0),  A + (1)</v>
      </c>
      <c r="C13" s="161"/>
    </row>
    <row r="14" spans="1:12" ht="16.5" customHeight="1" x14ac:dyDescent="0.3">
      <c r="A14" s="90" t="s">
        <v>252</v>
      </c>
      <c r="B14" s="161" t="str">
        <f>"제작치수 반영 : JB/JD +(" &amp;SO멍텅제작!K3&amp; " ),  늘어난치수K -(" &amp;SO멍텅제작!AH2&amp;"),  C + ("&amp;SO멍텅제작!Q3&amp;"),  U +(" &amp;SO멍텅제작!Z2&amp;"), OP1/OP2 - ("&amp; SO멍텅제작!B2&amp;"), R - ("&amp;SO멍텅제작!E2&amp;"),  기둥차감 - ("&amp;SO멍텅제작!AE2&amp;"), A + (" &amp;SO멍텅제작!Z3 &amp;")"</f>
        <v>제작치수 반영 : JB/JD +(3 ),  늘어난치수K -(3),  C + (0),  U +(0), OP1/OP2 - (3), R - (0),  기둥차감 - (0), A + (1)</v>
      </c>
      <c r="C14" s="161"/>
    </row>
    <row r="15" spans="1:12" ht="16.5" customHeight="1" x14ac:dyDescent="0.3">
      <c r="A15" s="90" t="s">
        <v>257</v>
      </c>
      <c r="B15" s="161" t="str">
        <f>"제작치수 반영 : MH + (" &amp; '4CO와이드제작'!I2 &amp; "), JB/JD +(" &amp;'4CO와이드제작'!R3&amp; " ),  늘어난치수K -(" &amp;'4CO와이드제작'!AO2&amp;"),  C + ("&amp;'4CO와이드제작'!V3&amp;"),   U + ("&amp;'4CO와이드제작'!V2&amp;"), OP1/OP3 - ("&amp; '4CO와이드제작'!B2&amp;"), R - ("&amp;'4CO와이드제작'!D2&amp;"),  기둥차감 - ("&amp;'4CO와이드제작'!AA2&amp;"), A + (" &amp;'4CO와이드제작'!AE3 &amp;")"</f>
        <v>제작치수 반영 : MH + (2), JB/JD +(3 ),  늘어난치수K -(3),  C + (0),   U + (0), OP1/OP3 - (3), R - (0),  기둥차감 - (0), A + (1)</v>
      </c>
      <c r="C15" s="161"/>
    </row>
    <row r="16" spans="1:12" ht="16.5" customHeight="1" x14ac:dyDescent="0.3">
      <c r="A16" s="90" t="s">
        <v>258</v>
      </c>
      <c r="B16" s="161" t="str">
        <f>"제작치수 반영 : JB/JD +(" &amp;'4CO멍텅제작'!M3&amp; " ),  늘어난치수K -(" &amp;'4CO멍텅제작'!AI2&amp;"),  C + ("&amp;'4CO멍텅제작'!S3&amp;"),  U +(" &amp;'4CO멍텅제작'!AB2&amp;"), OP1/OP3 - ("&amp; '4CO멍텅제작'!B2&amp;"), R - ("&amp;'4CO멍텅제작'!F2&amp;"),  기둥차감 - ("&amp;'4CO멍텅제작'!AF2&amp;"), A + (" &amp;'4CO멍텅제작'!AB3 &amp;")"</f>
        <v>제작치수 반영 : JB/JD +(3 ),  늘어난치수K -(3),  C + (0),  U +(0), OP1/OP3 - (3), R - (0),  기둥차감 - (0), A + (1)</v>
      </c>
      <c r="C16" s="161"/>
    </row>
    <row r="17" spans="1:3" ht="16.5" customHeight="1" x14ac:dyDescent="0.3">
      <c r="A17" s="90" t="s">
        <v>272</v>
      </c>
      <c r="B17" s="161" t="str">
        <f>"제작치수 반영 : JB/JD +(" &amp;'2UP제작'!J3&amp; " ),  늘어난치수K -(" &amp;'2UP제작'!AH2&amp;"),  C + ("&amp;'2UP제작'!P3&amp;"),   U + ("&amp;'2UP제작'!P3&amp;"), OP - ("&amp; '2UP제작'!B2&amp;"), R - ("&amp;'2UP제작'!D2&amp;"),  기둥차감 - ("&amp;'2UP제작'!AE2&amp;"), A + (" &amp;'2UP제작'!AA3 &amp;")"</f>
        <v>제작치수 반영 : JB/JD +(3 ),  늘어난치수K -(3),  C + (0),   U + (0), OP - (3), R - (0),  기둥차감 - (0), A + (1)</v>
      </c>
      <c r="C17" s="161"/>
    </row>
    <row r="18" spans="1:3" ht="16.5" customHeight="1" x14ac:dyDescent="0.3">
      <c r="A18" s="90" t="s">
        <v>273</v>
      </c>
      <c r="B18" s="161" t="str">
        <f>"제작치수 반영 : JB/JD +(" &amp;'3UP제작'!L3&amp; " ),  늘어난치수K -(" &amp;'3UP제작'!AN2&amp;"),  C + ("&amp;'3UP제작'!R3&amp;"),   U + ("&amp;'3UP제작'!AE2&amp;"), OP - ("&amp; '3UP제작'!B2&amp;"), R - ("&amp;'3UP제작'!D2&amp;"),  기둥차감 - ("&amp;'3UP제작'!AJ2&amp;"), A + (" &amp;'3UP제작'!AE3 &amp;")"</f>
        <v>제작치수 반영 : JB/JD +(3 ),  늘어난치수K -(3),  C + (0),   U + (0), OP - (2), R - (0),  기둥차감 - (0), A + (1)</v>
      </c>
      <c r="C18" s="161"/>
    </row>
    <row r="21" spans="1:3" x14ac:dyDescent="0.3">
      <c r="B21" t="s">
        <v>271</v>
      </c>
    </row>
    <row r="23" spans="1:3" ht="37.5" customHeight="1" x14ac:dyDescent="0.3">
      <c r="A23" s="22" t="s">
        <v>299</v>
      </c>
      <c r="B23" s="124" t="s">
        <v>310</v>
      </c>
    </row>
    <row r="26" spans="1:3" x14ac:dyDescent="0.3">
      <c r="A26">
        <v>20231101</v>
      </c>
      <c r="B26" t="s">
        <v>334</v>
      </c>
    </row>
  </sheetData>
  <mergeCells count="9">
    <mergeCell ref="B17:C17"/>
    <mergeCell ref="B18:C18"/>
    <mergeCell ref="B15:C15"/>
    <mergeCell ref="B16:C16"/>
    <mergeCell ref="B10:C10"/>
    <mergeCell ref="B11:C11"/>
    <mergeCell ref="B12:C12"/>
    <mergeCell ref="B13:C13"/>
    <mergeCell ref="B14:C14"/>
  </mergeCells>
  <phoneticPr fontId="1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data!$E$4:$E$14</xm:f>
          </x14:formula1>
          <xm:sqref>B6</xm:sqref>
        </x14:dataValidation>
        <x14:dataValidation type="list" showInputMessage="1" showErrorMessage="1" xr:uid="{00000000-0002-0000-0000-000001000000}">
          <x14:formula1>
            <xm:f>data!$D$3:$D$10</xm:f>
          </x14:formula1>
          <xm:sqref>B5</xm:sqref>
        </x14:dataValidation>
        <x14:dataValidation type="list" allowBlank="1" showInputMessage="1" showErrorMessage="1" xr:uid="{00000000-0002-0000-0000-000002000000}">
          <x14:formula1>
            <xm:f>data!$G$4:$G$6</xm:f>
          </x14:formula1>
          <xm:sqref>B23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Q16"/>
  <sheetViews>
    <sheetView workbookViewId="0">
      <selection activeCell="D5" sqref="D5"/>
    </sheetView>
  </sheetViews>
  <sheetFormatPr defaultRowHeight="16.5" x14ac:dyDescent="0.3"/>
  <cols>
    <col min="1" max="1" width="5.875" customWidth="1"/>
    <col min="2" max="2" width="5.25" customWidth="1"/>
    <col min="3" max="3" width="23.375" customWidth="1"/>
    <col min="4" max="4" width="40.375" bestFit="1" customWidth="1"/>
    <col min="5" max="8" width="13.875" customWidth="1"/>
    <col min="9" max="9" width="29.875" bestFit="1" customWidth="1"/>
    <col min="10" max="10" width="11.125" bestFit="1" customWidth="1"/>
  </cols>
  <sheetData>
    <row r="1" spans="1:17" ht="19.5" customHeight="1" x14ac:dyDescent="0.3">
      <c r="A1" s="19">
        <v>1</v>
      </c>
      <c r="B1" s="19">
        <v>2</v>
      </c>
      <c r="C1" s="19">
        <v>3</v>
      </c>
      <c r="D1" s="19">
        <v>4</v>
      </c>
      <c r="E1" s="19">
        <v>5</v>
      </c>
      <c r="F1" s="19">
        <v>6</v>
      </c>
      <c r="G1" s="19">
        <v>7</v>
      </c>
      <c r="H1" s="19">
        <v>8</v>
      </c>
      <c r="I1" s="19">
        <v>9</v>
      </c>
      <c r="J1" s="19">
        <v>10</v>
      </c>
      <c r="K1" s="19">
        <v>11</v>
      </c>
      <c r="L1" s="19">
        <v>12</v>
      </c>
      <c r="M1" s="19">
        <v>13</v>
      </c>
      <c r="N1" s="19">
        <v>14</v>
      </c>
      <c r="O1" s="19">
        <v>15</v>
      </c>
      <c r="P1" s="19">
        <v>16</v>
      </c>
      <c r="Q1" s="19">
        <v>17</v>
      </c>
    </row>
    <row r="2" spans="1:17" ht="19.5" customHeight="1" x14ac:dyDescent="0.3">
      <c r="A2" s="3">
        <f>IF('와이드(실측)'!C7&gt;0,1,0)</f>
        <v>1</v>
      </c>
      <c r="B2" s="3">
        <f>IF('멍텅(실측)'!C7&gt;1,1,0)</f>
        <v>0</v>
      </c>
      <c r="C2" s="3">
        <f>IF('쪽쟘(실측)'!C7&gt;1,1,0)</f>
        <v>0</v>
      </c>
      <c r="D2" s="3" t="str">
        <f>정보!B1</f>
        <v>전남 목포 알파타워</v>
      </c>
      <c r="E2" s="3" t="str">
        <f>정보!B6</f>
        <v>이만희</v>
      </c>
      <c r="F2" s="3" t="str">
        <f>정보!B7</f>
        <v>HL 1.2T</v>
      </c>
      <c r="G2" s="3" t="str">
        <f>정보!B8</f>
        <v>HL 1.2T</v>
      </c>
      <c r="H2" s="3" t="str">
        <f>정보!B9</f>
        <v>HL 1.2T</v>
      </c>
      <c r="I2" t="str">
        <f>정보!B5</f>
        <v>TKEK HD S20D-OR</v>
      </c>
      <c r="J2" s="87">
        <f ca="1">TODAY()</f>
        <v>45299</v>
      </c>
      <c r="K2">
        <f>IF('SO와이드(실측)'!C7&gt;0,1,0)</f>
        <v>0</v>
      </c>
      <c r="L2">
        <f>IF('SO멍텅(실측)'!C7&gt;1,1,0)</f>
        <v>0</v>
      </c>
      <c r="M2">
        <f>IF('4CO와이드(실측)'!E7&gt;0,1,0)</f>
        <v>0</v>
      </c>
      <c r="N2">
        <f>IF('4CO멍텅(실측)'!G7&gt;1,1,0)</f>
        <v>0</v>
      </c>
      <c r="O2">
        <f>IF('2UP(실측)'!G7&gt;1,1,0)</f>
        <v>0</v>
      </c>
      <c r="P2">
        <f>IF('3UP(실측)'!G7&gt;1,1,0)</f>
        <v>0</v>
      </c>
      <c r="Q2" t="str">
        <f>정보!B23</f>
        <v>김은비</v>
      </c>
    </row>
    <row r="3" spans="1:17" ht="19.5" customHeight="1" x14ac:dyDescent="0.3"/>
    <row r="4" spans="1:17" ht="60.75" customHeight="1" x14ac:dyDescent="0.3">
      <c r="D4" t="s">
        <v>206</v>
      </c>
      <c r="E4" t="s">
        <v>217</v>
      </c>
    </row>
    <row r="5" spans="1:17" ht="60.75" customHeight="1" x14ac:dyDescent="0.3">
      <c r="D5" t="s">
        <v>298</v>
      </c>
      <c r="E5" t="s">
        <v>218</v>
      </c>
      <c r="G5" t="s">
        <v>300</v>
      </c>
    </row>
    <row r="6" spans="1:17" ht="60.75" customHeight="1" x14ac:dyDescent="0.3">
      <c r="D6" t="s">
        <v>209</v>
      </c>
      <c r="E6" t="s">
        <v>219</v>
      </c>
      <c r="G6" t="s">
        <v>301</v>
      </c>
    </row>
    <row r="7" spans="1:17" ht="60.75" customHeight="1" x14ac:dyDescent="0.3">
      <c r="D7" t="s">
        <v>210</v>
      </c>
      <c r="E7" t="s">
        <v>220</v>
      </c>
    </row>
    <row r="8" spans="1:17" ht="67.5" customHeight="1" x14ac:dyDescent="0.3">
      <c r="D8" t="s">
        <v>211</v>
      </c>
      <c r="E8" t="s">
        <v>221</v>
      </c>
    </row>
    <row r="9" spans="1:17" ht="62.25" customHeight="1" x14ac:dyDescent="0.3">
      <c r="D9" t="s">
        <v>291</v>
      </c>
      <c r="E9" t="s">
        <v>222</v>
      </c>
    </row>
    <row r="10" spans="1:17" ht="62.25" customHeight="1" x14ac:dyDescent="0.3">
      <c r="D10" t="s">
        <v>216</v>
      </c>
      <c r="E10" t="s">
        <v>223</v>
      </c>
    </row>
    <row r="11" spans="1:17" ht="71.25" customHeight="1" x14ac:dyDescent="0.3">
      <c r="E11" t="s">
        <v>224</v>
      </c>
    </row>
    <row r="12" spans="1:17" ht="62.25" customHeight="1" x14ac:dyDescent="0.3">
      <c r="E12" t="s">
        <v>316</v>
      </c>
    </row>
    <row r="13" spans="1:17" ht="62.25" customHeight="1" x14ac:dyDescent="0.3">
      <c r="E13" t="s">
        <v>302</v>
      </c>
    </row>
    <row r="14" spans="1:17" ht="62.25" customHeight="1" x14ac:dyDescent="0.3">
      <c r="E14" t="s">
        <v>317</v>
      </c>
    </row>
    <row r="15" spans="1:17" ht="66.75" customHeight="1" x14ac:dyDescent="0.3"/>
    <row r="16" spans="1:17" ht="60.75" customHeight="1" x14ac:dyDescent="0.3"/>
  </sheetData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idesheet">
    <pageSetUpPr fitToPage="1"/>
  </sheetPr>
  <dimension ref="A1:AS27"/>
  <sheetViews>
    <sheetView topLeftCell="E1" zoomScale="85" zoomScaleNormal="85" workbookViewId="0">
      <selection activeCell="G7" sqref="G7:J11"/>
    </sheetView>
  </sheetViews>
  <sheetFormatPr defaultRowHeight="16.5" x14ac:dyDescent="0.3"/>
  <cols>
    <col min="1" max="1" width="6.875" style="128" customWidth="1"/>
    <col min="2" max="2" width="6.875" customWidth="1"/>
    <col min="3" max="4" width="8.5" customWidth="1"/>
    <col min="5" max="6" width="9.875" customWidth="1"/>
    <col min="7" max="32" width="6.875" customWidth="1"/>
    <col min="33" max="36" width="7.375" customWidth="1"/>
    <col min="37" max="45" width="4.625" customWidth="1"/>
  </cols>
  <sheetData>
    <row r="1" spans="1:45" ht="64.150000000000006" customHeight="1" x14ac:dyDescent="0.3">
      <c r="A1" s="166" t="str">
        <f>정보!B2</f>
        <v>(와이드) 실측서 ( 전남 목포 알파타워 ) _이만희소장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23"/>
      <c r="Z1" s="123"/>
      <c r="AA1" s="123"/>
      <c r="AB1" s="123"/>
      <c r="AC1" s="123"/>
      <c r="AD1" s="123"/>
      <c r="AE1" s="123"/>
      <c r="AF1" s="123"/>
      <c r="AG1" s="123"/>
      <c r="AH1" s="56"/>
      <c r="AI1" s="56"/>
      <c r="AJ1" s="56"/>
    </row>
    <row r="2" spans="1:45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5"/>
      <c r="Z2" s="165"/>
      <c r="AA2" s="165"/>
      <c r="AB2" s="165"/>
      <c r="AC2" s="165"/>
      <c r="AD2" s="165"/>
      <c r="AE2" s="1"/>
      <c r="AF2" s="1"/>
      <c r="AG2" s="1"/>
      <c r="AH2" s="1"/>
      <c r="AI2" s="1"/>
      <c r="AJ2" s="1"/>
    </row>
    <row r="3" spans="1:45" ht="33" customHeight="1" x14ac:dyDescent="0.3">
      <c r="A3" s="126" t="str">
        <f>"현장명 : " &amp; 정보!B1 &amp; ",   (재질) : " &amp; 정보!B7</f>
        <v>현장명 : 전남 목포 알파타워,   (재질) : HL 1.2T</v>
      </c>
      <c r="B3" s="2"/>
      <c r="C3" s="2"/>
      <c r="D3" s="2"/>
      <c r="E3" s="2"/>
      <c r="F3" s="2"/>
      <c r="G3" s="2"/>
      <c r="H3" s="2"/>
      <c r="I3" s="2"/>
      <c r="J3" s="35"/>
      <c r="K3" s="35"/>
      <c r="L3" s="174" t="s">
        <v>98</v>
      </c>
      <c r="M3" s="17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165"/>
      <c r="Z3" s="165"/>
      <c r="AA3" s="165"/>
      <c r="AB3" s="165"/>
      <c r="AC3" s="165"/>
      <c r="AD3" s="165"/>
      <c r="AE3" s="34"/>
      <c r="AF3" s="34"/>
      <c r="AG3" s="34"/>
      <c r="AH3" s="34"/>
      <c r="AI3" s="34"/>
      <c r="AJ3" s="34"/>
    </row>
    <row r="4" spans="1:45" ht="33" customHeight="1" x14ac:dyDescent="0.3">
      <c r="A4" s="163" t="str">
        <f>정보!B10</f>
        <v>제작치수 반영 : MH + (2), JB/JD +(3 ),  늘어난치수K -(3),  C + (0),   U + (0), OP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2"/>
      <c r="W4" s="162"/>
      <c r="X4" s="162"/>
      <c r="Y4" s="162"/>
      <c r="Z4" s="162"/>
      <c r="AA4" s="162"/>
      <c r="AB4" s="162"/>
      <c r="AC4" s="162"/>
      <c r="AD4" s="164"/>
      <c r="AE4" s="173" t="s">
        <v>215</v>
      </c>
      <c r="AF4" s="173"/>
      <c r="AG4" s="75"/>
      <c r="AH4" s="9"/>
      <c r="AI4" s="9"/>
      <c r="AJ4" s="9"/>
    </row>
    <row r="5" spans="1:45" ht="25.9" customHeight="1" x14ac:dyDescent="0.3">
      <c r="A5" s="175" t="s">
        <v>0</v>
      </c>
      <c r="B5" s="167" t="s">
        <v>1</v>
      </c>
      <c r="C5" s="167" t="s">
        <v>2</v>
      </c>
      <c r="D5" s="167" t="s">
        <v>24</v>
      </c>
      <c r="E5" s="167" t="s">
        <v>3</v>
      </c>
      <c r="F5" s="167" t="s">
        <v>18</v>
      </c>
      <c r="G5" s="167" t="s">
        <v>4</v>
      </c>
      <c r="H5" s="167" t="s">
        <v>5</v>
      </c>
      <c r="I5" s="167" t="s">
        <v>6</v>
      </c>
      <c r="J5" s="167" t="s">
        <v>7</v>
      </c>
      <c r="K5" s="167" t="s">
        <v>47</v>
      </c>
      <c r="L5" s="167" t="s">
        <v>9</v>
      </c>
      <c r="M5" s="167" t="s">
        <v>12</v>
      </c>
      <c r="N5" s="167" t="s">
        <v>13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168" t="s">
        <v>48</v>
      </c>
      <c r="W5" s="168" t="s">
        <v>22</v>
      </c>
      <c r="X5" s="168" t="s">
        <v>23</v>
      </c>
      <c r="Y5" s="167" t="s">
        <v>21</v>
      </c>
      <c r="Z5" s="167"/>
      <c r="AA5" s="167"/>
      <c r="AB5" s="167"/>
      <c r="AC5" s="169" t="s">
        <v>91</v>
      </c>
      <c r="AD5" s="169" t="s">
        <v>92</v>
      </c>
      <c r="AE5" s="171" t="s">
        <v>212</v>
      </c>
      <c r="AF5" s="172"/>
      <c r="AG5" s="168" t="s">
        <v>199</v>
      </c>
      <c r="AH5" s="168" t="s">
        <v>203</v>
      </c>
      <c r="AI5" s="168"/>
      <c r="AJ5" s="168"/>
    </row>
    <row r="6" spans="1:45" ht="44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8"/>
      <c r="X6" s="168"/>
      <c r="Y6" s="8" t="s">
        <v>43</v>
      </c>
      <c r="Z6" s="8" t="s">
        <v>44</v>
      </c>
      <c r="AA6" s="8" t="s">
        <v>45</v>
      </c>
      <c r="AB6" s="8" t="s">
        <v>46</v>
      </c>
      <c r="AC6" s="170"/>
      <c r="AD6" s="170"/>
      <c r="AE6" s="74" t="s">
        <v>213</v>
      </c>
      <c r="AF6" s="74" t="s">
        <v>214</v>
      </c>
      <c r="AG6" s="167"/>
      <c r="AH6" s="4" t="s">
        <v>200</v>
      </c>
      <c r="AI6" s="4" t="s">
        <v>201</v>
      </c>
      <c r="AJ6" s="4" t="s">
        <v>202</v>
      </c>
      <c r="AK6" s="52" t="s">
        <v>116</v>
      </c>
    </row>
    <row r="7" spans="1:45" s="3" customFormat="1" ht="23.25" customHeight="1" x14ac:dyDescent="0.3">
      <c r="A7" s="127"/>
      <c r="B7" s="4">
        <v>5</v>
      </c>
      <c r="C7" s="4">
        <v>370</v>
      </c>
      <c r="D7" s="4">
        <v>370</v>
      </c>
      <c r="E7" s="4">
        <v>800</v>
      </c>
      <c r="F7" s="4">
        <v>880</v>
      </c>
      <c r="G7" s="4">
        <v>287</v>
      </c>
      <c r="H7" s="4">
        <v>287</v>
      </c>
      <c r="I7" s="4">
        <v>301</v>
      </c>
      <c r="J7" s="4">
        <v>301</v>
      </c>
      <c r="K7" s="13">
        <v>40</v>
      </c>
      <c r="L7" s="13">
        <v>40</v>
      </c>
      <c r="M7" s="4">
        <v>10</v>
      </c>
      <c r="N7" s="4">
        <v>10</v>
      </c>
      <c r="O7" s="4">
        <v>9</v>
      </c>
      <c r="P7" s="4">
        <v>9</v>
      </c>
      <c r="Q7" s="4">
        <v>2110</v>
      </c>
      <c r="R7" s="4">
        <v>2093</v>
      </c>
      <c r="S7" s="4">
        <v>2114</v>
      </c>
      <c r="T7" s="4">
        <v>2095</v>
      </c>
      <c r="U7" s="4">
        <v>40</v>
      </c>
      <c r="V7" s="4">
        <v>3</v>
      </c>
      <c r="W7" s="4">
        <v>20</v>
      </c>
      <c r="X7" s="4">
        <v>25</v>
      </c>
      <c r="Y7" s="4">
        <v>13</v>
      </c>
      <c r="Z7" s="4">
        <v>13</v>
      </c>
      <c r="AA7" s="4">
        <v>13</v>
      </c>
      <c r="AB7" s="4">
        <v>13</v>
      </c>
      <c r="AC7" s="4"/>
      <c r="AD7" s="4"/>
      <c r="AE7" s="4"/>
      <c r="AF7" s="4"/>
      <c r="AG7" s="4">
        <v>100</v>
      </c>
      <c r="AH7" s="4">
        <v>15</v>
      </c>
      <c r="AI7" s="4">
        <v>10</v>
      </c>
      <c r="AJ7" s="4">
        <v>10</v>
      </c>
      <c r="AK7" s="53">
        <v>3</v>
      </c>
      <c r="AL7" s="3">
        <f>Y7+$AK7</f>
        <v>16</v>
      </c>
      <c r="AM7" s="3">
        <f>Z7+$AK7</f>
        <v>16</v>
      </c>
      <c r="AN7" s="3">
        <f>AA7+$AK7</f>
        <v>16</v>
      </c>
      <c r="AO7" s="3">
        <f>AB7+$AK7</f>
        <v>16</v>
      </c>
      <c r="AP7" s="3">
        <f>G7-$AK7</f>
        <v>284</v>
      </c>
      <c r="AQ7" s="3">
        <f>H7-$AK7</f>
        <v>284</v>
      </c>
      <c r="AR7" s="3">
        <f>I7-$AK7</f>
        <v>298</v>
      </c>
      <c r="AS7" s="3">
        <f>J7-$AK7</f>
        <v>298</v>
      </c>
    </row>
    <row r="8" spans="1:45" ht="23.25" customHeight="1" x14ac:dyDescent="0.3">
      <c r="A8" s="127"/>
      <c r="B8" s="4">
        <v>4</v>
      </c>
      <c r="C8" s="4">
        <v>340</v>
      </c>
      <c r="D8" s="4">
        <v>340</v>
      </c>
      <c r="E8" s="4">
        <v>800</v>
      </c>
      <c r="F8" s="4">
        <v>877</v>
      </c>
      <c r="G8" s="4">
        <v>277</v>
      </c>
      <c r="H8" s="4">
        <v>277</v>
      </c>
      <c r="I8" s="4">
        <v>291</v>
      </c>
      <c r="J8" s="4">
        <v>291</v>
      </c>
      <c r="K8" s="13">
        <v>40</v>
      </c>
      <c r="L8" s="13">
        <v>40</v>
      </c>
      <c r="M8" s="4">
        <v>10</v>
      </c>
      <c r="N8" s="4">
        <v>10</v>
      </c>
      <c r="O8" s="4">
        <v>2</v>
      </c>
      <c r="P8" s="4">
        <v>3</v>
      </c>
      <c r="Q8" s="4">
        <v>2110</v>
      </c>
      <c r="R8" s="4">
        <v>2090</v>
      </c>
      <c r="S8" s="4">
        <v>2114</v>
      </c>
      <c r="T8" s="4">
        <v>2092</v>
      </c>
      <c r="U8" s="4">
        <v>40</v>
      </c>
      <c r="V8" s="4">
        <v>3</v>
      </c>
      <c r="W8" s="4">
        <v>20</v>
      </c>
      <c r="X8" s="4">
        <v>25</v>
      </c>
      <c r="Y8" s="4">
        <v>13</v>
      </c>
      <c r="Z8" s="4">
        <v>13</v>
      </c>
      <c r="AA8" s="4">
        <v>13</v>
      </c>
      <c r="AB8" s="4">
        <v>13</v>
      </c>
      <c r="AC8" s="4"/>
      <c r="AD8" s="4"/>
      <c r="AE8" s="4"/>
      <c r="AF8" s="4"/>
      <c r="AG8" s="4">
        <v>100</v>
      </c>
      <c r="AH8" s="4">
        <v>15</v>
      </c>
      <c r="AI8" s="4">
        <v>10</v>
      </c>
      <c r="AJ8" s="4">
        <v>10</v>
      </c>
      <c r="AK8" s="53">
        <v>3</v>
      </c>
      <c r="AL8" s="3">
        <f t="shared" ref="AL8:AL11" si="0">Y8+$AK8</f>
        <v>16</v>
      </c>
      <c r="AM8" s="3">
        <f t="shared" ref="AM8:AM11" si="1">Z8+$AK8</f>
        <v>16</v>
      </c>
      <c r="AN8" s="3">
        <f t="shared" ref="AN8:AN11" si="2">AA8+$AK8</f>
        <v>16</v>
      </c>
      <c r="AO8" s="3">
        <f t="shared" ref="AO8:AO11" si="3">AB8+$AK8</f>
        <v>16</v>
      </c>
      <c r="AP8" s="3">
        <f t="shared" ref="AP8:AP11" si="4">G8-$AK8</f>
        <v>274</v>
      </c>
      <c r="AQ8" s="3">
        <f t="shared" ref="AQ8:AQ11" si="5">H8-$AK8</f>
        <v>274</v>
      </c>
      <c r="AR8" s="3">
        <f t="shared" ref="AR8:AR11" si="6">I8-$AK8</f>
        <v>288</v>
      </c>
      <c r="AS8" s="3">
        <f t="shared" ref="AS8:AS11" si="7">J8-$AK8</f>
        <v>288</v>
      </c>
    </row>
    <row r="9" spans="1:45" ht="23.25" customHeight="1" x14ac:dyDescent="0.3">
      <c r="A9" s="127"/>
      <c r="B9" s="4">
        <v>3</v>
      </c>
      <c r="C9" s="4">
        <v>310</v>
      </c>
      <c r="D9" s="4">
        <v>310</v>
      </c>
      <c r="E9" s="4">
        <v>800</v>
      </c>
      <c r="F9" s="4">
        <v>877</v>
      </c>
      <c r="G9" s="4">
        <v>277</v>
      </c>
      <c r="H9" s="4">
        <v>277</v>
      </c>
      <c r="I9" s="4">
        <v>291</v>
      </c>
      <c r="J9" s="4">
        <v>291</v>
      </c>
      <c r="K9" s="13">
        <v>40</v>
      </c>
      <c r="L9" s="13">
        <v>40</v>
      </c>
      <c r="M9" s="4">
        <v>11</v>
      </c>
      <c r="N9" s="4">
        <v>11</v>
      </c>
      <c r="O9" s="4">
        <v>10</v>
      </c>
      <c r="P9" s="4">
        <v>7</v>
      </c>
      <c r="Q9" s="4">
        <v>2104</v>
      </c>
      <c r="R9" s="4">
        <v>2095</v>
      </c>
      <c r="S9" s="4">
        <v>2108</v>
      </c>
      <c r="T9" s="4">
        <v>2095</v>
      </c>
      <c r="U9" s="4">
        <v>40</v>
      </c>
      <c r="V9" s="4">
        <v>3</v>
      </c>
      <c r="W9" s="4">
        <v>20</v>
      </c>
      <c r="X9" s="4">
        <v>25</v>
      </c>
      <c r="Y9" s="4">
        <v>13</v>
      </c>
      <c r="Z9" s="4">
        <v>13</v>
      </c>
      <c r="AA9" s="4">
        <v>13</v>
      </c>
      <c r="AB9" s="4">
        <v>13</v>
      </c>
      <c r="AC9" s="4"/>
      <c r="AD9" s="4"/>
      <c r="AE9" s="4"/>
      <c r="AF9" s="4"/>
      <c r="AG9" s="4">
        <v>100</v>
      </c>
      <c r="AH9" s="4">
        <v>15</v>
      </c>
      <c r="AI9" s="4">
        <v>10</v>
      </c>
      <c r="AJ9" s="4">
        <v>10</v>
      </c>
      <c r="AK9" s="53">
        <v>3</v>
      </c>
      <c r="AL9" s="3">
        <f t="shared" si="0"/>
        <v>16</v>
      </c>
      <c r="AM9" s="3">
        <f t="shared" si="1"/>
        <v>16</v>
      </c>
      <c r="AN9" s="3">
        <f t="shared" si="2"/>
        <v>16</v>
      </c>
      <c r="AO9" s="3">
        <f t="shared" si="3"/>
        <v>16</v>
      </c>
      <c r="AP9" s="3">
        <f t="shared" si="4"/>
        <v>274</v>
      </c>
      <c r="AQ9" s="3">
        <f t="shared" si="5"/>
        <v>274</v>
      </c>
      <c r="AR9" s="3">
        <f t="shared" si="6"/>
        <v>288</v>
      </c>
      <c r="AS9" s="3">
        <f t="shared" si="7"/>
        <v>288</v>
      </c>
    </row>
    <row r="10" spans="1:45" ht="23.25" customHeight="1" x14ac:dyDescent="0.3">
      <c r="A10" s="127"/>
      <c r="B10" s="4">
        <v>2</v>
      </c>
      <c r="C10" s="4">
        <v>290</v>
      </c>
      <c r="D10" s="4">
        <v>290</v>
      </c>
      <c r="E10" s="4">
        <v>800</v>
      </c>
      <c r="F10" s="4">
        <v>880</v>
      </c>
      <c r="G10" s="4">
        <v>287</v>
      </c>
      <c r="H10" s="4">
        <v>287</v>
      </c>
      <c r="I10" s="4">
        <v>301</v>
      </c>
      <c r="J10" s="4">
        <v>301</v>
      </c>
      <c r="K10" s="13">
        <v>40</v>
      </c>
      <c r="L10" s="13">
        <v>40</v>
      </c>
      <c r="M10" s="4">
        <v>11</v>
      </c>
      <c r="N10" s="4">
        <v>10</v>
      </c>
      <c r="O10" s="4">
        <v>10</v>
      </c>
      <c r="P10" s="4">
        <v>7</v>
      </c>
      <c r="Q10" s="4">
        <v>2102</v>
      </c>
      <c r="R10" s="4">
        <v>2093</v>
      </c>
      <c r="S10" s="4">
        <v>2104</v>
      </c>
      <c r="T10" s="4">
        <v>2094</v>
      </c>
      <c r="U10" s="4">
        <v>40</v>
      </c>
      <c r="V10" s="4">
        <v>3</v>
      </c>
      <c r="W10" s="4">
        <v>20</v>
      </c>
      <c r="X10" s="4">
        <v>25</v>
      </c>
      <c r="Y10" s="4">
        <v>13</v>
      </c>
      <c r="Z10" s="4">
        <v>13</v>
      </c>
      <c r="AA10" s="4">
        <v>13</v>
      </c>
      <c r="AB10" s="4">
        <v>13</v>
      </c>
      <c r="AC10" s="4"/>
      <c r="AD10" s="4"/>
      <c r="AE10" s="4"/>
      <c r="AF10" s="4"/>
      <c r="AG10" s="4">
        <v>100</v>
      </c>
      <c r="AH10" s="4">
        <v>15</v>
      </c>
      <c r="AI10" s="4">
        <v>10</v>
      </c>
      <c r="AJ10" s="4">
        <v>10</v>
      </c>
      <c r="AK10" s="53">
        <v>3</v>
      </c>
      <c r="AL10" s="3">
        <f t="shared" si="0"/>
        <v>16</v>
      </c>
      <c r="AM10" s="3">
        <f t="shared" si="1"/>
        <v>16</v>
      </c>
      <c r="AN10" s="3">
        <f t="shared" si="2"/>
        <v>16</v>
      </c>
      <c r="AO10" s="3">
        <f t="shared" si="3"/>
        <v>16</v>
      </c>
      <c r="AP10" s="3">
        <f t="shared" si="4"/>
        <v>284</v>
      </c>
      <c r="AQ10" s="3">
        <f t="shared" si="5"/>
        <v>284</v>
      </c>
      <c r="AR10" s="3">
        <f t="shared" si="6"/>
        <v>298</v>
      </c>
      <c r="AS10" s="3">
        <f t="shared" si="7"/>
        <v>298</v>
      </c>
    </row>
    <row r="11" spans="1:45" ht="23.25" customHeight="1" x14ac:dyDescent="0.3">
      <c r="A11" s="127"/>
      <c r="B11" s="4">
        <v>1</v>
      </c>
      <c r="C11" s="4">
        <v>200</v>
      </c>
      <c r="D11" s="4">
        <v>200</v>
      </c>
      <c r="E11" s="4">
        <v>800</v>
      </c>
      <c r="F11" s="4">
        <v>877</v>
      </c>
      <c r="G11" s="4">
        <v>277</v>
      </c>
      <c r="H11" s="4">
        <v>277</v>
      </c>
      <c r="I11" s="4">
        <v>291</v>
      </c>
      <c r="J11" s="4">
        <v>291</v>
      </c>
      <c r="K11" s="13">
        <v>40</v>
      </c>
      <c r="L11" s="13">
        <v>40</v>
      </c>
      <c r="M11" s="4">
        <v>11</v>
      </c>
      <c r="N11" s="4">
        <v>11</v>
      </c>
      <c r="O11" s="4">
        <v>9</v>
      </c>
      <c r="P11" s="4">
        <v>7</v>
      </c>
      <c r="Q11" s="4">
        <v>2080</v>
      </c>
      <c r="R11" s="4">
        <v>2087</v>
      </c>
      <c r="S11" s="4">
        <v>2084</v>
      </c>
      <c r="T11" s="4">
        <v>2089</v>
      </c>
      <c r="U11" s="4">
        <v>40</v>
      </c>
      <c r="V11" s="4">
        <v>3</v>
      </c>
      <c r="W11" s="4">
        <v>20</v>
      </c>
      <c r="X11" s="4">
        <v>25</v>
      </c>
      <c r="Y11" s="4">
        <v>13</v>
      </c>
      <c r="Z11" s="4">
        <v>13</v>
      </c>
      <c r="AA11" s="4">
        <v>13</v>
      </c>
      <c r="AB11" s="4">
        <v>13</v>
      </c>
      <c r="AC11" s="4"/>
      <c r="AD11" s="4"/>
      <c r="AE11" s="4"/>
      <c r="AF11" s="4"/>
      <c r="AG11" s="4">
        <v>100</v>
      </c>
      <c r="AH11" s="4">
        <v>15</v>
      </c>
      <c r="AI11" s="4">
        <v>10</v>
      </c>
      <c r="AJ11" s="4">
        <v>10</v>
      </c>
      <c r="AK11" s="53">
        <v>3</v>
      </c>
      <c r="AL11" s="3">
        <f t="shared" si="0"/>
        <v>16</v>
      </c>
      <c r="AM11" s="3">
        <f t="shared" si="1"/>
        <v>16</v>
      </c>
      <c r="AN11" s="3">
        <f t="shared" si="2"/>
        <v>16</v>
      </c>
      <c r="AO11" s="3">
        <f t="shared" si="3"/>
        <v>16</v>
      </c>
      <c r="AP11" s="3">
        <f t="shared" si="4"/>
        <v>274</v>
      </c>
      <c r="AQ11" s="3">
        <f t="shared" si="5"/>
        <v>274</v>
      </c>
      <c r="AR11" s="3">
        <f t="shared" si="6"/>
        <v>288</v>
      </c>
      <c r="AS11" s="3">
        <f t="shared" si="7"/>
        <v>288</v>
      </c>
    </row>
    <row r="12" spans="1:45" ht="23.25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13"/>
      <c r="L12" s="13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53">
        <v>3</v>
      </c>
    </row>
    <row r="13" spans="1:45" ht="23.25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13"/>
      <c r="L13" s="13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</row>
    <row r="14" spans="1:45" ht="23.25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13"/>
      <c r="L14" s="13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</row>
    <row r="15" spans="1:45" ht="23.25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13"/>
      <c r="L15" s="13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</row>
    <row r="16" spans="1:45" ht="23.25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13"/>
      <c r="L16" s="13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</row>
    <row r="17" spans="1:36" ht="23.25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13"/>
      <c r="L17" s="13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</row>
    <row r="18" spans="1:36" ht="23.25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13"/>
      <c r="L18" s="13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</row>
    <row r="19" spans="1:36" ht="23.25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13"/>
      <c r="L19" s="13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</row>
    <row r="20" spans="1:36" ht="23.25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13"/>
      <c r="L20" s="13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</row>
    <row r="21" spans="1:36" ht="23.25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13"/>
      <c r="L21" s="13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</row>
    <row r="22" spans="1:36" ht="23.25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13"/>
      <c r="L22" s="13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</row>
    <row r="23" spans="1:36" ht="23.25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</row>
    <row r="24" spans="1:36" ht="23.25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</row>
    <row r="25" spans="1:36" ht="23.25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</row>
    <row r="26" spans="1:36" ht="23.25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</row>
    <row r="27" spans="1:36" ht="23.25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</row>
  </sheetData>
  <mergeCells count="37">
    <mergeCell ref="AE4:AF4"/>
    <mergeCell ref="L3:M3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U5:U6"/>
    <mergeCell ref="J5:J6"/>
    <mergeCell ref="K5:K6"/>
    <mergeCell ref="L5:L6"/>
    <mergeCell ref="M5:M6"/>
    <mergeCell ref="N5:N6"/>
    <mergeCell ref="O5:O6"/>
    <mergeCell ref="P5:P6"/>
    <mergeCell ref="Q5:Q6"/>
    <mergeCell ref="AH5:AJ5"/>
    <mergeCell ref="R5:R6"/>
    <mergeCell ref="S5:S6"/>
    <mergeCell ref="T5:T6"/>
    <mergeCell ref="V5:V6"/>
    <mergeCell ref="AG5:AG6"/>
    <mergeCell ref="W5:W6"/>
    <mergeCell ref="X5:X6"/>
    <mergeCell ref="Y5:AB5"/>
    <mergeCell ref="AC5:AC6"/>
    <mergeCell ref="AD5:AD6"/>
    <mergeCell ref="AE5:AF5"/>
    <mergeCell ref="V4:X4"/>
    <mergeCell ref="A4:U4"/>
    <mergeCell ref="Y4:AD4"/>
    <mergeCell ref="Y2:AD3"/>
    <mergeCell ref="A1:X1"/>
  </mergeCells>
  <phoneticPr fontId="1" type="noConversion"/>
  <pageMargins left="0.25" right="0.25" top="0.75" bottom="0.75" header="0.3" footer="0.3"/>
  <pageSetup paperSize="9" scale="55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idemake">
    <tabColor rgb="FF00B050"/>
    <pageSetUpPr fitToPage="1"/>
  </sheetPr>
  <dimension ref="A1:BI11"/>
  <sheetViews>
    <sheetView tabSelected="1" zoomScale="85" zoomScaleNormal="85" workbookViewId="0">
      <selection activeCell="AC14" sqref="AC14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6" width="5.75" customWidth="1"/>
    <col min="7" max="14" width="5.125" customWidth="1"/>
    <col min="15" max="16" width="4.375" customWidth="1"/>
    <col min="17" max="18" width="5.5" customWidth="1"/>
    <col min="19" max="20" width="4.375" customWidth="1"/>
    <col min="21" max="24" width="6" customWidth="1"/>
    <col min="25" max="28" width="5.5" bestFit="1" customWidth="1"/>
    <col min="29" max="32" width="4.75" customWidth="1"/>
    <col min="33" max="34" width="6.125" customWidth="1"/>
    <col min="35" max="35" width="4.75" customWidth="1"/>
    <col min="36" max="36" width="10.25" customWidth="1"/>
    <col min="37" max="38" width="10.5" customWidth="1"/>
    <col min="39" max="40" width="7.125" customWidth="1"/>
    <col min="41" max="41" width="7.75" customWidth="1"/>
    <col min="42" max="44" width="6.5" customWidth="1"/>
    <col min="45" max="46" width="4.375" customWidth="1"/>
    <col min="47" max="51" width="5" customWidth="1"/>
    <col min="52" max="52" width="6.375" bestFit="1" customWidth="1"/>
    <col min="53" max="53" width="5.75" customWidth="1"/>
    <col min="54" max="54" width="7.875" bestFit="1" customWidth="1"/>
    <col min="55" max="58" width="6.375" style="39" customWidth="1"/>
    <col min="61" max="61" width="8.375" customWidth="1"/>
  </cols>
  <sheetData>
    <row r="1" spans="1:61" ht="70.5" customHeight="1" x14ac:dyDescent="0.3">
      <c r="A1" s="176" t="str">
        <f>정보!C2</f>
        <v>(와이드) 제작변환 자료( 전남 목포 알파타워 ) _이만희소장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37"/>
      <c r="AT1" s="37"/>
    </row>
    <row r="2" spans="1:61" ht="29.25" customHeight="1" x14ac:dyDescent="0.3">
      <c r="A2" s="23" t="s">
        <v>96</v>
      </c>
      <c r="B2" s="105">
        <v>3</v>
      </c>
      <c r="C2" s="27" t="s">
        <v>86</v>
      </c>
      <c r="D2" s="29">
        <v>0</v>
      </c>
      <c r="E2" s="27"/>
      <c r="F2" s="27" t="s">
        <v>87</v>
      </c>
      <c r="G2" s="30">
        <v>2</v>
      </c>
      <c r="H2" s="1"/>
      <c r="I2" s="217" t="s">
        <v>113</v>
      </c>
      <c r="J2" s="218"/>
      <c r="K2" s="218"/>
      <c r="L2" s="218"/>
      <c r="M2" s="219">
        <v>1</v>
      </c>
      <c r="N2" s="219"/>
      <c r="O2" s="189" t="s">
        <v>89</v>
      </c>
      <c r="P2" s="190"/>
      <c r="Q2" s="191">
        <v>0</v>
      </c>
      <c r="R2" s="191"/>
      <c r="S2" s="167" t="s">
        <v>83</v>
      </c>
      <c r="T2" s="193"/>
      <c r="U2" s="193"/>
      <c r="V2" s="194">
        <v>0</v>
      </c>
      <c r="W2" s="194"/>
      <c r="X2" s="212" t="s">
        <v>205</v>
      </c>
      <c r="Y2" s="213"/>
      <c r="Z2" s="216" t="str">
        <f>정보!B5</f>
        <v>TKEK HD S20D-OR</v>
      </c>
      <c r="AA2" s="216"/>
      <c r="AB2" s="216"/>
      <c r="AC2" s="216"/>
      <c r="AD2" s="216"/>
      <c r="AE2" s="216"/>
      <c r="AF2" s="216"/>
      <c r="AG2" s="216"/>
      <c r="AH2" s="214" t="s">
        <v>90</v>
      </c>
      <c r="AI2" s="215"/>
      <c r="AJ2" s="226">
        <v>3</v>
      </c>
      <c r="AK2" s="226"/>
      <c r="AL2" s="1"/>
      <c r="AM2" s="181" t="s">
        <v>229</v>
      </c>
      <c r="AN2" s="223"/>
      <c r="AO2" s="224">
        <v>0</v>
      </c>
      <c r="AP2" s="224"/>
      <c r="AQ2" s="1"/>
      <c r="AR2" s="1"/>
    </row>
    <row r="3" spans="1:61" ht="24.75" customHeight="1" x14ac:dyDescent="0.3">
      <c r="A3" s="28" t="str">
        <f>'와이드(실측)'!A3</f>
        <v>현장명 : 전남 목포 알파타워,   (재질) : HL 1.2T</v>
      </c>
      <c r="B3" s="2"/>
      <c r="C3" s="2"/>
      <c r="D3" s="2"/>
      <c r="E3" s="2"/>
      <c r="F3" s="2"/>
      <c r="G3" s="2"/>
      <c r="H3" s="2"/>
      <c r="I3" s="189" t="s">
        <v>228</v>
      </c>
      <c r="J3" s="189"/>
      <c r="K3" s="189"/>
      <c r="L3" s="189"/>
      <c r="M3" s="220">
        <v>3</v>
      </c>
      <c r="N3" s="220"/>
      <c r="O3" s="190" t="s">
        <v>77</v>
      </c>
      <c r="P3" s="190"/>
      <c r="Q3" s="197">
        <v>0</v>
      </c>
      <c r="R3" s="197"/>
      <c r="S3" s="198" t="s">
        <v>227</v>
      </c>
      <c r="T3" s="198"/>
      <c r="U3" s="198"/>
      <c r="V3" s="199">
        <f>BI7</f>
        <v>0</v>
      </c>
      <c r="W3" s="199"/>
      <c r="X3" s="192" t="s">
        <v>78</v>
      </c>
      <c r="Y3" s="192"/>
      <c r="Z3" s="200">
        <v>1</v>
      </c>
      <c r="AA3" s="200"/>
      <c r="AC3" s="201" t="s">
        <v>311</v>
      </c>
      <c r="AD3" s="201"/>
      <c r="AE3" s="201">
        <f>'와이드(실측)'!Y7</f>
        <v>13</v>
      </c>
      <c r="AF3" s="201"/>
      <c r="AG3" s="3"/>
      <c r="AH3" s="211" t="s">
        <v>73</v>
      </c>
      <c r="AI3" s="211"/>
      <c r="AJ3" s="26">
        <v>4</v>
      </c>
      <c r="AK3" s="15" t="s">
        <v>74</v>
      </c>
      <c r="AL3" s="14">
        <v>4</v>
      </c>
      <c r="AM3" s="225" t="s">
        <v>230</v>
      </c>
      <c r="AN3" s="225"/>
      <c r="AO3" s="227" t="s">
        <v>325</v>
      </c>
      <c r="AP3" s="228"/>
      <c r="AQ3" s="231">
        <f>AU7</f>
        <v>8.1439318927512971</v>
      </c>
      <c r="AR3" s="232"/>
      <c r="BI3" s="177" t="s">
        <v>253</v>
      </c>
    </row>
    <row r="4" spans="1:61" ht="33" customHeight="1" x14ac:dyDescent="0.3">
      <c r="A4" s="202" t="str">
        <f>정보!B10</f>
        <v>제작치수 반영 : MH + (2), JB/JD +(3 ),  늘어난치수K -(3),  C + (0),   U + (0), OP - (3), R - (0),  기둥차감 - (0), A + (1)</v>
      </c>
      <c r="B4" s="202"/>
      <c r="C4" s="202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02"/>
      <c r="O4" s="202"/>
      <c r="P4" s="202"/>
      <c r="Q4" s="202"/>
      <c r="R4" s="202"/>
      <c r="S4" s="202"/>
      <c r="T4" s="202"/>
      <c r="U4" s="202"/>
      <c r="V4" s="202"/>
      <c r="W4" s="202"/>
      <c r="X4" s="202"/>
      <c r="Y4" s="202"/>
      <c r="Z4" s="202"/>
      <c r="AA4" s="202"/>
      <c r="AB4" s="202"/>
      <c r="AC4" s="202"/>
      <c r="AD4" s="202"/>
      <c r="AE4" s="202"/>
      <c r="AF4" s="202"/>
      <c r="AG4" s="222">
        <f ca="1">TODAY()</f>
        <v>45299</v>
      </c>
      <c r="AH4" s="162"/>
      <c r="AI4" s="162"/>
      <c r="AJ4" s="9"/>
      <c r="AK4" s="221" t="s">
        <v>117</v>
      </c>
      <c r="AL4" s="221"/>
      <c r="AM4" s="173" t="s">
        <v>215</v>
      </c>
      <c r="AN4" s="173"/>
      <c r="AO4" s="84"/>
      <c r="AP4" s="229" t="s">
        <v>235</v>
      </c>
      <c r="AQ4" s="229"/>
      <c r="AR4" s="230"/>
      <c r="BI4" s="178"/>
    </row>
    <row r="5" spans="1:61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3</v>
      </c>
      <c r="F5" s="167" t="s">
        <v>18</v>
      </c>
      <c r="G5" s="167" t="s">
        <v>41</v>
      </c>
      <c r="H5" s="167" t="s">
        <v>42</v>
      </c>
      <c r="I5" s="203" t="s">
        <v>105</v>
      </c>
      <c r="J5" s="203" t="s">
        <v>106</v>
      </c>
      <c r="K5" s="207" t="s">
        <v>107</v>
      </c>
      <c r="L5" s="207" t="s">
        <v>108</v>
      </c>
      <c r="M5" s="209" t="s">
        <v>71</v>
      </c>
      <c r="N5" s="209" t="s">
        <v>72</v>
      </c>
      <c r="O5" s="167" t="s">
        <v>8</v>
      </c>
      <c r="P5" s="167" t="s">
        <v>9</v>
      </c>
      <c r="Q5" s="167" t="s">
        <v>12</v>
      </c>
      <c r="R5" s="167" t="s">
        <v>13</v>
      </c>
      <c r="S5" s="167" t="s">
        <v>10</v>
      </c>
      <c r="T5" s="167" t="s">
        <v>11</v>
      </c>
      <c r="U5" s="205" t="s">
        <v>14</v>
      </c>
      <c r="V5" s="205" t="s">
        <v>15</v>
      </c>
      <c r="W5" s="206" t="s">
        <v>16</v>
      </c>
      <c r="X5" s="206" t="s">
        <v>17</v>
      </c>
      <c r="Y5" s="167" t="s">
        <v>19</v>
      </c>
      <c r="Z5" s="167" t="s">
        <v>20</v>
      </c>
      <c r="AA5" s="168" t="s">
        <v>22</v>
      </c>
      <c r="AB5" s="168" t="s">
        <v>23</v>
      </c>
      <c r="AC5" s="195" t="s">
        <v>79</v>
      </c>
      <c r="AD5" s="196"/>
      <c r="AE5" s="196"/>
      <c r="AF5" s="196"/>
      <c r="AG5" s="187" t="s">
        <v>91</v>
      </c>
      <c r="AH5" s="187" t="s">
        <v>92</v>
      </c>
      <c r="AI5" s="179" t="s">
        <v>99</v>
      </c>
      <c r="AJ5" s="168" t="s">
        <v>61</v>
      </c>
      <c r="AK5" s="168" t="s">
        <v>34</v>
      </c>
      <c r="AL5" s="168" t="s">
        <v>35</v>
      </c>
      <c r="AM5" s="171" t="s">
        <v>212</v>
      </c>
      <c r="AN5" s="172"/>
      <c r="AO5" s="235" t="s">
        <v>199</v>
      </c>
      <c r="AP5" s="235" t="s">
        <v>204</v>
      </c>
      <c r="AQ5" s="235"/>
      <c r="AR5" s="235"/>
      <c r="AS5" s="177" t="s">
        <v>100</v>
      </c>
      <c r="AT5" s="177" t="s">
        <v>101</v>
      </c>
      <c r="AU5" s="178" t="s">
        <v>80</v>
      </c>
      <c r="AV5" s="182" t="s">
        <v>84</v>
      </c>
      <c r="AW5" s="185" t="s">
        <v>102</v>
      </c>
      <c r="AX5" s="184" t="s">
        <v>94</v>
      </c>
      <c r="AY5" s="184" t="s">
        <v>95</v>
      </c>
      <c r="AZ5" s="177" t="s">
        <v>93</v>
      </c>
      <c r="BC5" s="181" t="s">
        <v>28</v>
      </c>
      <c r="BD5" s="181"/>
      <c r="BE5" s="181" t="s">
        <v>29</v>
      </c>
      <c r="BF5" s="181"/>
      <c r="BG5" s="6" t="s">
        <v>50</v>
      </c>
      <c r="BH5" s="234" t="s">
        <v>104</v>
      </c>
      <c r="BI5" s="233" t="s">
        <v>226</v>
      </c>
    </row>
    <row r="6" spans="1:61" ht="48" customHeight="1" x14ac:dyDescent="0.3">
      <c r="A6" s="167"/>
      <c r="B6" s="167"/>
      <c r="C6" s="167"/>
      <c r="D6" s="167"/>
      <c r="E6" s="167"/>
      <c r="F6" s="167"/>
      <c r="G6" s="167"/>
      <c r="H6" s="167"/>
      <c r="I6" s="204"/>
      <c r="J6" s="204"/>
      <c r="K6" s="208"/>
      <c r="L6" s="208"/>
      <c r="M6" s="210"/>
      <c r="N6" s="210"/>
      <c r="O6" s="167"/>
      <c r="P6" s="167"/>
      <c r="Q6" s="167"/>
      <c r="R6" s="167"/>
      <c r="S6" s="167"/>
      <c r="T6" s="167"/>
      <c r="U6" s="205"/>
      <c r="V6" s="205"/>
      <c r="W6" s="206"/>
      <c r="X6" s="206"/>
      <c r="Y6" s="167"/>
      <c r="Z6" s="167"/>
      <c r="AA6" s="168"/>
      <c r="AB6" s="168"/>
      <c r="AC6" s="8" t="s">
        <v>67</v>
      </c>
      <c r="AD6" s="8" t="s">
        <v>68</v>
      </c>
      <c r="AE6" s="8" t="s">
        <v>69</v>
      </c>
      <c r="AF6" s="8" t="s">
        <v>70</v>
      </c>
      <c r="AG6" s="188"/>
      <c r="AH6" s="188"/>
      <c r="AI6" s="180"/>
      <c r="AJ6" s="168"/>
      <c r="AK6" s="167"/>
      <c r="AL6" s="167"/>
      <c r="AM6" s="74" t="s">
        <v>213</v>
      </c>
      <c r="AN6" s="74" t="s">
        <v>214</v>
      </c>
      <c r="AO6" s="236"/>
      <c r="AP6" s="109" t="s">
        <v>200</v>
      </c>
      <c r="AQ6" s="109" t="s">
        <v>201</v>
      </c>
      <c r="AR6" s="109" t="s">
        <v>202</v>
      </c>
      <c r="AS6" s="178"/>
      <c r="AT6" s="178"/>
      <c r="AU6" s="178"/>
      <c r="AV6" s="183"/>
      <c r="AW6" s="186"/>
      <c r="AX6" s="184"/>
      <c r="AY6" s="184"/>
      <c r="AZ6" s="178"/>
      <c r="BA6" s="3" t="s">
        <v>27</v>
      </c>
      <c r="BB6" s="3" t="s">
        <v>26</v>
      </c>
      <c r="BC6" s="40" t="s">
        <v>30</v>
      </c>
      <c r="BD6" s="40" t="s">
        <v>31</v>
      </c>
      <c r="BE6" s="40" t="s">
        <v>32</v>
      </c>
      <c r="BF6" s="40" t="s">
        <v>33</v>
      </c>
      <c r="BG6" s="7" t="s">
        <v>49</v>
      </c>
      <c r="BH6" s="234"/>
      <c r="BI6" s="233"/>
    </row>
    <row r="7" spans="1:61" ht="26.25" customHeight="1" x14ac:dyDescent="0.3">
      <c r="A7" s="31">
        <f>'와이드(실측)'!A7</f>
        <v>0</v>
      </c>
      <c r="B7" s="31" t="str">
        <f>'와이드(실측)'!B7&amp;"F"</f>
        <v>5F</v>
      </c>
      <c r="C7" s="31">
        <f>'와이드(실측)'!C7+와이드MH더함-IF(AND(소장="추영덕",Y7=0),1.2)</f>
        <v>372</v>
      </c>
      <c r="D7" s="31">
        <f>'와이드(실측)'!D7+와이드MH더함-IF(AND(소장="추영덕",Y7=0),1.2)</f>
        <v>372</v>
      </c>
      <c r="E7" s="135">
        <f>'와이드(실측)'!E7-와이드OP</f>
        <v>797</v>
      </c>
      <c r="F7" s="31">
        <f>'와이드(실측)'!F7-와이드R</f>
        <v>880</v>
      </c>
      <c r="G7" s="50">
        <f>'와이드(실측)'!G7+와이드JBJD키움치수+IF(BI7=1,AC7,0)</f>
        <v>290</v>
      </c>
      <c r="H7" s="50">
        <f>'와이드(실측)'!H7+와이드JBJD키움치수+IF(BI7=1,AE7,0)</f>
        <v>290</v>
      </c>
      <c r="I7" s="50">
        <f>'와이드(실측)'!I7+MAX(AS7,AT7)+와이드JBJD키움치수+IF(BI7=1,AC7,0)</f>
        <v>304</v>
      </c>
      <c r="J7" s="50">
        <f>'와이드(실측)'!I7+MAX(AS7,AT7)+와이드JBJD키움치수+IF(BI7=1,AD7,0)-IF(와이드JB하부늘치=1,'와이드(실측)'!Y7-'와이드(실측)'!Z7,0)</f>
        <v>304</v>
      </c>
      <c r="K7" s="50">
        <f>'와이드(실측)'!J7+MAX(AS7,AT7)+와이드JBJD키움치수+IF(BI7=1,AE7,0)</f>
        <v>304</v>
      </c>
      <c r="L7" s="50">
        <f>'와이드(실측)'!J7+MAX(AS7,AT7)+와이드JBJD키움치수+IF(BI7=1,AF7,0)-IF(와이드JB하부늘치=1,'와이드(실측)'!AA7-'와이드(실측)'!AB7,0)</f>
        <v>304</v>
      </c>
      <c r="M7" s="31">
        <f t="shared" ref="M7:N7" si="0">IF(소장="손상민",0,O7-1.5)</f>
        <v>38.5</v>
      </c>
      <c r="N7" s="31">
        <f t="shared" si="0"/>
        <v>38.5</v>
      </c>
      <c r="O7" s="31">
        <f>IF(S7&lt;9,'와이드(실측)'!K7+1.2,IF(ISNUMBER('와이드(실측)'!K7),'와이드(실측)'!K7+와이드C값,0))</f>
        <v>40</v>
      </c>
      <c r="P7" s="31">
        <f>IF(T7&lt;9,'와이드(실측)'!L7+1.2,IF(ISNUMBER('와이드(실측)'!L7),'와이드(실측)'!L7+와이드C값,0))</f>
        <v>40</v>
      </c>
      <c r="Q7" s="32">
        <f>ROUNDUP(AV7,1)</f>
        <v>11</v>
      </c>
      <c r="R7" s="38">
        <f>ROUNDUP(AW7,1)</f>
        <v>11</v>
      </c>
      <c r="S7" s="31">
        <f>IF(ISNUMBER('와이드(실측)'!O7),'와이드(실측)'!O7+와이드제작!AS7+와이드A늘림,0)</f>
        <v>10</v>
      </c>
      <c r="T7" s="31">
        <f>IF(ISNUMBER('와이드(실측)'!P7),'와이드(실측)'!P7+와이드제작!AT7+와이드A늘림,0)</f>
        <v>10</v>
      </c>
      <c r="U7" s="31">
        <f>'와이드(실측)'!Q7-와이드기둥차감</f>
        <v>2110</v>
      </c>
      <c r="V7" s="31">
        <f>'와이드(실측)'!R7-와이드기둥차감</f>
        <v>2093</v>
      </c>
      <c r="W7" s="31">
        <f>'와이드(실측)'!S7-와이드기둥차감</f>
        <v>2114</v>
      </c>
      <c r="X7" s="31">
        <f>'와이드(실측)'!T7-와이드기둥차감</f>
        <v>2095</v>
      </c>
      <c r="Y7" s="31">
        <f>IF(소장="손상민",IF(ISNUMBER('와이드(실측)'!U7),'와이드(실측)'!U7+1.2,0),IF(ISNUMBER('와이드(실측)'!U7),'와이드(실측)'!U7+와이드U,0))</f>
        <v>40</v>
      </c>
      <c r="Z7" s="31">
        <f>IF(소장="손상민",MAX(Q7,R7)+3.2,IF(ISNUMBER('와이드(실측)'!V7),'와이드(실측)'!V7+1.5+와이드제작!Q7+1,0))</f>
        <v>16.5</v>
      </c>
      <c r="AA7" s="31">
        <f>'와이드(실측)'!W7+뒷날개치수더함</f>
        <v>20</v>
      </c>
      <c r="AB7" s="31">
        <f>'와이드(실측)'!X7+뒷날개치수더함</f>
        <v>25</v>
      </c>
      <c r="AC7" s="31">
        <f>'와이드(실측)'!Y7-와이드늘치</f>
        <v>10</v>
      </c>
      <c r="AD7" s="31">
        <f>IF(와이드JB하부늘치=1,AC7,'와이드(실측)'!Z7-와이드늘치)</f>
        <v>10</v>
      </c>
      <c r="AE7" s="31">
        <f>'와이드(실측)'!AA7-와이드늘치</f>
        <v>10</v>
      </c>
      <c r="AF7" s="31">
        <f>IF(와이드JB하부늘치=1,AE7,'와이드(실측)'!AB7-와이드늘치)</f>
        <v>10</v>
      </c>
      <c r="AG7" s="31">
        <f xml:space="preserve"> IF(소장&lt;&gt;"손상민",IF('와이드(실측)'!AC7&gt;0,'와이드(실측)'!AC7,C7-1.2),IF('와이드(실측)'!AC7&gt;0,'와이드(실측)'!AC7+1.2,C7) )</f>
        <v>370.8</v>
      </c>
      <c r="AH7" s="31">
        <f xml:space="preserve"> IF(소장&lt;&gt;"손상민",IF('와이드(실측)'!AD7&gt;0,'와이드(실측)'!AD7,D7-1.2),IF('와이드(실측)'!AD7&gt;0,'와이드(실측)'!AD7+1.2,D7))</f>
        <v>370.8</v>
      </c>
      <c r="AI7" s="51">
        <f>IF(Z7&gt;0,Z7-MAX(Q7,R7),0)</f>
        <v>5.5</v>
      </c>
      <c r="AJ7" s="31" t="str">
        <f t="shared" ref="AJ7" si="1">BA7&amp;"*"&amp;BB7</f>
        <v>957*743.7</v>
      </c>
      <c r="AK7" s="31" t="str">
        <f t="shared" ref="AK7" si="2">BD7&amp;"*"&amp;BC7</f>
        <v>2480.8*384.2</v>
      </c>
      <c r="AL7" s="31" t="str">
        <f t="shared" ref="AL7" si="3">BF7&amp;"*"&amp;BE7</f>
        <v>2484.8*384.2</v>
      </c>
      <c r="AM7" s="31">
        <f>IF('와이드(실측)'!AE7&gt;0,'와이드(실측)'!AE7-'와이드(실측)'!W7+1.2,0)</f>
        <v>0</v>
      </c>
      <c r="AN7" s="31">
        <f>IF('와이드(실측)'!AF7&gt;0,'와이드(실측)'!AF7-'와이드(실측)'!W7+1.2,0)</f>
        <v>0</v>
      </c>
      <c r="AO7" s="31">
        <f>'와이드(실측)'!AG7</f>
        <v>100</v>
      </c>
      <c r="AP7" s="31">
        <f>IF('와이드(실측)'!AH7&gt;5,'와이드(실측)'!AH7+뒷날개치수더함,'와이드(실측)'!AH7)</f>
        <v>15</v>
      </c>
      <c r="AQ7" s="31">
        <f>'와이드(실측)'!AI7</f>
        <v>10</v>
      </c>
      <c r="AR7" s="31">
        <f>'와이드(실측)'!AJ7</f>
        <v>10</v>
      </c>
      <c r="AS7">
        <f>IF(AND(ISNUMBER('와이드(실측)'!P7),ISNUMBER('와이드(실측)'!O7)),IF(ISNUMBER('와이드(실측)'!O7),IF(9-MIN('와이드(실측)'!O7+와이드A늘림,'와이드(실측)'!P7+와이드A늘림)&lt;0,0,9-MIN('와이드(실측)'!O7+와이드A늘림,'와이드(실측)'!P7+와이드A늘림)),0),IF(ISNUMBER('와이드(실측)'!O7),IF(9-'와이드(실측)'!O7-와이드A늘림&lt;0,0,9-'와이드(실측)'!O7-와이드A늘림),0))</f>
        <v>0</v>
      </c>
      <c r="AT7">
        <f>IF(AND(ISNUMBER('와이드(실측)'!O7),ISNUMBER('와이드(실측)'!P7)),IF(ISNUMBER('와이드(실측)'!P7),IF(9-MIN('와이드(실측)'!P7+와이드A늘림,'와이드(실측)'!O7+와이드A늘림)&lt;0,0,9-MIN('와이드(실측)'!P7+와이드A늘림,'와이드(실측)'!O7+와이드A늘림)),0),IF(ISNUMBER('와이드(실측)'!P7),IF(9-'와이드(실측)'!P7-와이드A늘림&lt;0,0,9-'와이드(실측)'!P7-와이드A늘림),0))</f>
        <v>0</v>
      </c>
      <c r="AU7" s="20">
        <f>DEGREES(ATAN((F7-E7)/2/(H7)))</f>
        <v>8.1439318927512971</v>
      </c>
      <c r="AV7" s="21">
        <f>ABS(G7-COS(RADIANS(AU7))*I7)</f>
        <v>10.934260263027113</v>
      </c>
      <c r="AW7" s="21">
        <f>ABS(H7-COS(RADIANS(AU7))*K7)</f>
        <v>10.934260263027113</v>
      </c>
      <c r="AX7" s="21">
        <f>'와이드(실측)'!M7+AS7</f>
        <v>10</v>
      </c>
      <c r="AY7" s="21">
        <f>'와이드(실측)'!N7+AS7</f>
        <v>10</v>
      </c>
      <c r="AZ7" s="20">
        <f>AV7-MAX(AX7,AY7)</f>
        <v>0.93426026302711307</v>
      </c>
      <c r="BA7" s="41">
        <f>IF(소장&lt;&gt;"손상민",F7+IF(Y7+Z7&gt;0,N7+M7,0),F7)</f>
        <v>957</v>
      </c>
      <c r="BB7" s="42">
        <f>MAX(C7,D7)+MAX(G7,H7)+AA7-1.2*$AJ$3+IF(BI7=0,MAX(AE7,AC7),0)+IF(Y7=0,1.2,0)+IF(Z7=0,1.2,0)+IF(소장&lt;&gt;"손상민", Y7+Z7,IF('와이드(실측)'!U7=0,0,2.4))</f>
        <v>743.7</v>
      </c>
      <c r="BC7" s="41">
        <f>S7+O7+MAX(I7,J7)+AB7-1.2*$AL$3+IF(BI7=0,MAX(AD7,AC7),0)+IF(S7=0,1.2,0)-IF(AR7=90,2.4,0)</f>
        <v>384.2</v>
      </c>
      <c r="BD7" s="41">
        <f>MAX(U7,V7)+AG7</f>
        <v>2480.8000000000002</v>
      </c>
      <c r="BE7" s="41">
        <f>T7+P7+MAX(K7,L7)+AB7-1.2*$AL$3+IF(BI7=0,MAX(AE7,AF7),0)+IF(T7=0,1.2,0)-IF(AR7=90,2.4,0)</f>
        <v>384.2</v>
      </c>
      <c r="BF7" s="41">
        <f>MAX(W7,X7)+AH7</f>
        <v>2484.8000000000002</v>
      </c>
      <c r="BG7" s="6">
        <f t="shared" ref="BG7" si="4">I7-G7-Q7</f>
        <v>3</v>
      </c>
      <c r="BH7" s="43" t="str">
        <f>IF(AND(C7&lt;&gt;D7,Y7&gt;0),"NG","")</f>
        <v/>
      </c>
      <c r="BI7" s="77">
        <f>IF(AND(MIN(AC7,AE7)&gt;=9.2,ABS(F7-E7)&gt;15),0,1)</f>
        <v>0</v>
      </c>
    </row>
    <row r="8" spans="1:61" ht="26.25" customHeight="1" x14ac:dyDescent="0.3">
      <c r="A8" s="31">
        <f>'와이드(실측)'!A8</f>
        <v>0</v>
      </c>
      <c r="B8" s="31" t="str">
        <f>'와이드(실측)'!B8&amp;"F"</f>
        <v>4F</v>
      </c>
      <c r="C8" s="31">
        <f>'와이드(실측)'!C8+와이드MH더함-IF(AND(소장="추영덕",Y8=0),1.2)</f>
        <v>342</v>
      </c>
      <c r="D8" s="31">
        <f>'와이드(실측)'!D8+와이드MH더함-IF(AND(소장="추영덕",Y8=0),1.2)</f>
        <v>342</v>
      </c>
      <c r="E8" s="135">
        <f>'와이드(실측)'!E8-와이드OP</f>
        <v>797</v>
      </c>
      <c r="F8" s="31">
        <f>'와이드(실측)'!F8-와이드R</f>
        <v>877</v>
      </c>
      <c r="G8" s="50">
        <f>'와이드(실측)'!G8+와이드JBJD키움치수+IF(BI8=1,AC8,0)</f>
        <v>280</v>
      </c>
      <c r="H8" s="50">
        <f>'와이드(실측)'!H8+와이드JBJD키움치수+IF(BI8=1,AE8,0)</f>
        <v>280</v>
      </c>
      <c r="I8" s="50">
        <f>'와이드(실측)'!I8+MAX(AS8,AT8)+와이드JBJD키움치수+IF(BI8=1,AC8,0)</f>
        <v>300</v>
      </c>
      <c r="J8" s="50">
        <f>'와이드(실측)'!I8+MAX(AS8,AT8)+와이드JBJD키움치수+IF(BI8=1,AD8,0)-IF(와이드JB하부늘치=1,'와이드(실측)'!Y8-'와이드(실측)'!Z8,0)</f>
        <v>300</v>
      </c>
      <c r="K8" s="50">
        <f>'와이드(실측)'!J8+MAX(AS8,AT8)+와이드JBJD키움치수+IF(BI8=1,AE8,0)</f>
        <v>300</v>
      </c>
      <c r="L8" s="50">
        <f>'와이드(실측)'!J8+MAX(AS8,AT8)+와이드JBJD키움치수+IF(BI8=1,AF8,0)-IF(와이드JB하부늘치=1,'와이드(실측)'!AA8-'와이드(실측)'!AB8,0)</f>
        <v>300</v>
      </c>
      <c r="M8" s="31">
        <f t="shared" ref="M8:M11" si="5">IF(소장="손상민",0,O8-1.5)</f>
        <v>38.5</v>
      </c>
      <c r="N8" s="31">
        <f t="shared" ref="N8:N11" si="6">IF(소장="손상민",0,P8-1.5)</f>
        <v>38.5</v>
      </c>
      <c r="O8" s="31">
        <f>IF(S8&lt;9,'와이드(실측)'!K8+1.2,IF(ISNUMBER('와이드(실측)'!K8),'와이드(실측)'!K8+와이드C값,0))</f>
        <v>40</v>
      </c>
      <c r="P8" s="31">
        <f>IF(T8&lt;9,'와이드(실측)'!L8+1.2,IF(ISNUMBER('와이드(실측)'!L8),'와이드(실측)'!L8+와이드C값,0))</f>
        <v>40</v>
      </c>
      <c r="Q8" s="32">
        <f t="shared" ref="Q8:Q11" si="7">ROUNDUP(AV8,1)</f>
        <v>17</v>
      </c>
      <c r="R8" s="38">
        <f t="shared" ref="R8:R11" si="8">ROUNDUP(AW8,1)</f>
        <v>17</v>
      </c>
      <c r="S8" s="31">
        <f>IF(ISNUMBER('와이드(실측)'!O8),'와이드(실측)'!O8+와이드제작!AS8+와이드A늘림,0)</f>
        <v>9</v>
      </c>
      <c r="T8" s="31">
        <f>IF(ISNUMBER('와이드(실측)'!P8),'와이드(실측)'!P8+와이드제작!AT8+와이드A늘림,0)</f>
        <v>10</v>
      </c>
      <c r="U8" s="31">
        <f>'와이드(실측)'!Q8-와이드기둥차감</f>
        <v>2110</v>
      </c>
      <c r="V8" s="31">
        <f>'와이드(실측)'!R8-와이드기둥차감</f>
        <v>2090</v>
      </c>
      <c r="W8" s="31">
        <f>'와이드(실측)'!S8-와이드기둥차감</f>
        <v>2114</v>
      </c>
      <c r="X8" s="31">
        <f>'와이드(실측)'!T8-와이드기둥차감</f>
        <v>2092</v>
      </c>
      <c r="Y8" s="31">
        <f>IF(소장="손상민",IF(ISNUMBER('와이드(실측)'!U8),'와이드(실측)'!U8+1.2,0),IF(ISNUMBER('와이드(실측)'!U8),'와이드(실측)'!U8+와이드U,0))</f>
        <v>40</v>
      </c>
      <c r="Z8" s="31">
        <f>IF(소장="손상민",MAX(Q8,R8)+3.2,IF(ISNUMBER('와이드(실측)'!V8),'와이드(실측)'!V8+1.5+와이드제작!Q8+1,0))</f>
        <v>22.5</v>
      </c>
      <c r="AA8" s="31">
        <f>'와이드(실측)'!W8+뒷날개치수더함</f>
        <v>20</v>
      </c>
      <c r="AB8" s="31">
        <f>'와이드(실측)'!X8+뒷날개치수더함</f>
        <v>25</v>
      </c>
      <c r="AC8" s="31">
        <f>'와이드(실측)'!Y8-와이드늘치</f>
        <v>10</v>
      </c>
      <c r="AD8" s="31">
        <f>IF(와이드JB하부늘치=1,AC8,'와이드(실측)'!Z8-와이드늘치)</f>
        <v>10</v>
      </c>
      <c r="AE8" s="31">
        <f>'와이드(실측)'!AA8-와이드늘치</f>
        <v>10</v>
      </c>
      <c r="AF8" s="31">
        <f>IF(와이드JB하부늘치=1,AE8,'와이드(실측)'!AB8-와이드늘치)</f>
        <v>10</v>
      </c>
      <c r="AG8" s="31">
        <f xml:space="preserve"> IF(소장&lt;&gt;"손상민",IF('와이드(실측)'!AC8&gt;0,'와이드(실측)'!AC8,C8-1.2),IF('와이드(실측)'!AC8&gt;0,'와이드(실측)'!AC8+1.2,C8) )</f>
        <v>340.8</v>
      </c>
      <c r="AH8" s="31">
        <f xml:space="preserve"> IF(소장&lt;&gt;"손상민",IF('와이드(실측)'!AD8&gt;0,'와이드(실측)'!AD8,D8-1.2),IF('와이드(실측)'!AD8&gt;0,'와이드(실측)'!AD8+1.2,D8))</f>
        <v>340.8</v>
      </c>
      <c r="AI8" s="51">
        <f t="shared" ref="AI8:AI11" si="9">IF(Z8&gt;0,Z8-MAX(Q8,R8),0)</f>
        <v>5.5</v>
      </c>
      <c r="AJ8" s="31" t="str">
        <f t="shared" ref="AJ8:AJ11" si="10">BA8&amp;"*"&amp;BB8</f>
        <v>954*709.7</v>
      </c>
      <c r="AK8" s="31" t="str">
        <f t="shared" ref="AK8:AK11" si="11">BD8&amp;"*"&amp;BC8</f>
        <v>2450.8*379.2</v>
      </c>
      <c r="AL8" s="31" t="str">
        <f t="shared" ref="AL8:AL11" si="12">BF8&amp;"*"&amp;BE8</f>
        <v>2454.8*380.2</v>
      </c>
      <c r="AM8" s="31">
        <f>IF('와이드(실측)'!AE8&gt;0,'와이드(실측)'!AE8-'와이드(실측)'!W8+1.2,0)</f>
        <v>0</v>
      </c>
      <c r="AN8" s="31">
        <f>IF('와이드(실측)'!AF8&gt;0,'와이드(실측)'!AF8-'와이드(실측)'!W8+1.2,0)</f>
        <v>0</v>
      </c>
      <c r="AO8" s="31">
        <f>'와이드(실측)'!AG8</f>
        <v>100</v>
      </c>
      <c r="AP8" s="31">
        <f>IF('와이드(실측)'!AH8&gt;5,'와이드(실측)'!AH8+뒷날개치수더함,'와이드(실측)'!AH8)</f>
        <v>15</v>
      </c>
      <c r="AQ8" s="31">
        <f>'와이드(실측)'!AI8</f>
        <v>10</v>
      </c>
      <c r="AR8" s="31">
        <f>'와이드(실측)'!AJ8</f>
        <v>10</v>
      </c>
      <c r="AS8">
        <f>IF(AND(ISNUMBER('와이드(실측)'!P8),ISNUMBER('와이드(실측)'!O8)),IF(ISNUMBER('와이드(실측)'!O8),IF(9-MIN('와이드(실측)'!O8+와이드A늘림,'와이드(실측)'!P8+와이드A늘림)&lt;0,0,9-MIN('와이드(실측)'!O8+와이드A늘림,'와이드(실측)'!P8+와이드A늘림)),0),IF(ISNUMBER('와이드(실측)'!O8),IF(9-'와이드(실측)'!O8-와이드A늘림&lt;0,0,9-'와이드(실측)'!O8-와이드A늘림),0))</f>
        <v>6</v>
      </c>
      <c r="AT8">
        <f>IF(AND(ISNUMBER('와이드(실측)'!O8),ISNUMBER('와이드(실측)'!P8)),IF(ISNUMBER('와이드(실측)'!P8),IF(9-MIN('와이드(실측)'!P8+와이드A늘림,'와이드(실측)'!O8+와이드A늘림)&lt;0,0,9-MIN('와이드(실측)'!P8+와이드A늘림,'와이드(실측)'!O8+와이드A늘림)),0),IF(ISNUMBER('와이드(실측)'!P8),IF(9-'와이드(실측)'!P8-와이드A늘림&lt;0,0,9-'와이드(실측)'!P8-와이드A늘림),0))</f>
        <v>6</v>
      </c>
      <c r="AU8" s="20">
        <f t="shared" ref="AU8:AU11" si="13">DEGREES(ATAN((F8-E8)/2/(H8)))</f>
        <v>8.1301023541559783</v>
      </c>
      <c r="AV8" s="21">
        <f t="shared" ref="AV8:AV11" si="14">ABS(G8-COS(RADIANS(AU8))*I8)</f>
        <v>16.984848098349971</v>
      </c>
      <c r="AW8" s="21">
        <f t="shared" ref="AW8:AW11" si="15">ABS(H8-COS(RADIANS(AU8))*K8)</f>
        <v>16.984848098349971</v>
      </c>
      <c r="AX8" s="21">
        <f>'와이드(실측)'!M8+AS8</f>
        <v>16</v>
      </c>
      <c r="AY8" s="21">
        <f>'와이드(실측)'!N8+AS8</f>
        <v>16</v>
      </c>
      <c r="AZ8" s="20">
        <f t="shared" ref="AZ8:AZ11" si="16">AV8-MAX(AX8,AY8)</f>
        <v>0.98484809834997122</v>
      </c>
      <c r="BA8" s="41">
        <f>IF(소장&lt;&gt;"손상민",F8+IF(Y8+Z8&gt;0,N8+M8,0),F8)</f>
        <v>954</v>
      </c>
      <c r="BB8" s="42">
        <f>MAX(C8,D8)+MAX(G8,H8)+AA8-1.2*$AJ$3+IF(BI8=0,MAX(AE8,AC8),0)+IF(Y8=0,1.2,0)+IF(Z8=0,1.2,0)+IF(소장&lt;&gt;"손상민", Y8+Z8,IF('와이드(실측)'!U8=0,0,2.4))</f>
        <v>709.7</v>
      </c>
      <c r="BC8" s="41">
        <f t="shared" ref="BC8:BC11" si="17">S8+O8+MAX(I8,J8)+AB8-1.2*$AL$3+IF(BI8=0,MAX(AD8,AC8),0)+IF(S8=0,1.2,0)-IF(AR8=90,2.4,0)</f>
        <v>379.2</v>
      </c>
      <c r="BD8" s="41">
        <f t="shared" ref="BD8:BD11" si="18">MAX(U8,V8)+AG8</f>
        <v>2450.8000000000002</v>
      </c>
      <c r="BE8" s="41">
        <f t="shared" ref="BE8:BE11" si="19">T8+P8+MAX(K8,L8)+AB8-1.2*$AL$3+IF(BI8=0,MAX(AE8,AF8),0)+IF(T8=0,1.2,0)-IF(AR8=90,2.4,0)</f>
        <v>380.2</v>
      </c>
      <c r="BF8" s="41">
        <f t="shared" ref="BF8:BF11" si="20">MAX(W8,X8)+AH8</f>
        <v>2454.8000000000002</v>
      </c>
      <c r="BG8" s="6">
        <f t="shared" ref="BG8:BG11" si="21">I8-G8-Q8</f>
        <v>3</v>
      </c>
      <c r="BH8" s="43" t="str">
        <f t="shared" ref="BH8:BH11" si="22">IF(AND(C8&lt;&gt;D8,Y8&gt;0),"NG","")</f>
        <v/>
      </c>
      <c r="BI8" s="77">
        <f t="shared" ref="BI8:BI11" si="23">IF(AND(MIN(AC8,AE8)&gt;=9.2,ABS(F8-E8)&gt;15),0,1)</f>
        <v>0</v>
      </c>
    </row>
    <row r="9" spans="1:61" ht="26.25" customHeight="1" x14ac:dyDescent="0.3">
      <c r="A9" s="31">
        <f>'와이드(실측)'!A9</f>
        <v>0</v>
      </c>
      <c r="B9" s="31" t="str">
        <f>'와이드(실측)'!B9&amp;"F"</f>
        <v>3F</v>
      </c>
      <c r="C9" s="31">
        <f>'와이드(실측)'!C9+와이드MH더함-IF(AND(소장="추영덕",Y9=0),1.2)</f>
        <v>312</v>
      </c>
      <c r="D9" s="31">
        <f>'와이드(실측)'!D9+와이드MH더함-IF(AND(소장="추영덕",Y9=0),1.2)</f>
        <v>312</v>
      </c>
      <c r="E9" s="135">
        <f>'와이드(실측)'!E9-와이드OP</f>
        <v>797</v>
      </c>
      <c r="F9" s="31">
        <f>'와이드(실측)'!F9-와이드R</f>
        <v>877</v>
      </c>
      <c r="G9" s="50">
        <f>'와이드(실측)'!G9+와이드JBJD키움치수+IF(BI9=1,AC9,0)</f>
        <v>280</v>
      </c>
      <c r="H9" s="50">
        <f>'와이드(실측)'!H9+와이드JBJD키움치수+IF(BI9=1,AE9,0)</f>
        <v>280</v>
      </c>
      <c r="I9" s="50">
        <f>'와이드(실측)'!I9+MAX(AS9,AT9)+와이드JBJD키움치수+IF(BI9=1,AC9,0)</f>
        <v>295</v>
      </c>
      <c r="J9" s="50">
        <f>'와이드(실측)'!I9+MAX(AS9,AT9)+와이드JBJD키움치수+IF(BI9=1,AD9,0)-IF(와이드JB하부늘치=1,'와이드(실측)'!Y9-'와이드(실측)'!Z9,0)</f>
        <v>295</v>
      </c>
      <c r="K9" s="50">
        <f>'와이드(실측)'!J9+MAX(AS9,AT9)+와이드JBJD키움치수+IF(BI9=1,AE9,0)</f>
        <v>295</v>
      </c>
      <c r="L9" s="50">
        <f>'와이드(실측)'!J9+MAX(AS9,AT9)+와이드JBJD키움치수+IF(BI9=1,AF9,0)-IF(와이드JB하부늘치=1,'와이드(실측)'!AA9-'와이드(실측)'!AB9,0)</f>
        <v>295</v>
      </c>
      <c r="M9" s="31">
        <f t="shared" si="5"/>
        <v>38.5</v>
      </c>
      <c r="N9" s="31">
        <f t="shared" si="6"/>
        <v>38.5</v>
      </c>
      <c r="O9" s="31">
        <f>IF(S9&lt;9,'와이드(실측)'!K9+1.2,IF(ISNUMBER('와이드(실측)'!K9),'와이드(실측)'!K9+와이드C값,0))</f>
        <v>40</v>
      </c>
      <c r="P9" s="31">
        <f>IF(T9&lt;9,'와이드(실측)'!L9+1.2,IF(ISNUMBER('와이드(실측)'!L9),'와이드(실측)'!L9+와이드C값,0))</f>
        <v>40</v>
      </c>
      <c r="Q9" s="32">
        <f t="shared" si="7"/>
        <v>12.1</v>
      </c>
      <c r="R9" s="38">
        <f t="shared" si="8"/>
        <v>12.1</v>
      </c>
      <c r="S9" s="31">
        <f>IF(ISNUMBER('와이드(실측)'!O9),'와이드(실측)'!O9+와이드제작!AS9+와이드A늘림,0)</f>
        <v>12</v>
      </c>
      <c r="T9" s="31">
        <f>IF(ISNUMBER('와이드(실측)'!P9),'와이드(실측)'!P9+와이드제작!AT9+와이드A늘림,0)</f>
        <v>9</v>
      </c>
      <c r="U9" s="31">
        <f>'와이드(실측)'!Q9-와이드기둥차감</f>
        <v>2104</v>
      </c>
      <c r="V9" s="31">
        <f>'와이드(실측)'!R9-와이드기둥차감</f>
        <v>2095</v>
      </c>
      <c r="W9" s="31">
        <f>'와이드(실측)'!S9-와이드기둥차감</f>
        <v>2108</v>
      </c>
      <c r="X9" s="31">
        <f>'와이드(실측)'!T9-와이드기둥차감</f>
        <v>2095</v>
      </c>
      <c r="Y9" s="31">
        <f>IF(소장="손상민",IF(ISNUMBER('와이드(실측)'!U9),'와이드(실측)'!U9+1.2,0),IF(ISNUMBER('와이드(실측)'!U9),'와이드(실측)'!U9+와이드U,0))</f>
        <v>40</v>
      </c>
      <c r="Z9" s="31">
        <f>IF(소장="손상민",MAX(Q9,R9)+3.2,IF(ISNUMBER('와이드(실측)'!V9),'와이드(실측)'!V9+1.5+와이드제작!Q9+1,0))</f>
        <v>17.600000000000001</v>
      </c>
      <c r="AA9" s="31">
        <f>'와이드(실측)'!W9+뒷날개치수더함</f>
        <v>20</v>
      </c>
      <c r="AB9" s="31">
        <f>'와이드(실측)'!X9+뒷날개치수더함</f>
        <v>25</v>
      </c>
      <c r="AC9" s="31">
        <f>'와이드(실측)'!Y9-와이드늘치</f>
        <v>10</v>
      </c>
      <c r="AD9" s="31">
        <f>IF(와이드JB하부늘치=1,AC9,'와이드(실측)'!Z9-와이드늘치)</f>
        <v>10</v>
      </c>
      <c r="AE9" s="31">
        <f>'와이드(실측)'!AA9-와이드늘치</f>
        <v>10</v>
      </c>
      <c r="AF9" s="31">
        <f>IF(와이드JB하부늘치=1,AE9,'와이드(실측)'!AB9-와이드늘치)</f>
        <v>10</v>
      </c>
      <c r="AG9" s="31">
        <f xml:space="preserve"> IF(소장&lt;&gt;"손상민",IF('와이드(실측)'!AC9&gt;0,'와이드(실측)'!AC9,C9-1.2),IF('와이드(실측)'!AC9&gt;0,'와이드(실측)'!AC9+1.2,C9) )</f>
        <v>310.8</v>
      </c>
      <c r="AH9" s="31">
        <f xml:space="preserve"> IF(소장&lt;&gt;"손상민",IF('와이드(실측)'!AD9&gt;0,'와이드(실측)'!AD9,D9-1.2),IF('와이드(실측)'!AD9&gt;0,'와이드(실측)'!AD9+1.2,D9))</f>
        <v>310.8</v>
      </c>
      <c r="AI9" s="51">
        <f t="shared" si="9"/>
        <v>5.5000000000000018</v>
      </c>
      <c r="AJ9" s="31" t="str">
        <f t="shared" si="10"/>
        <v>954*674.8</v>
      </c>
      <c r="AK9" s="31" t="str">
        <f t="shared" si="11"/>
        <v>2414.8*377.2</v>
      </c>
      <c r="AL9" s="31" t="str">
        <f t="shared" si="12"/>
        <v>2418.8*374.2</v>
      </c>
      <c r="AM9" s="31">
        <f>IF('와이드(실측)'!AE9&gt;0,'와이드(실측)'!AE9-'와이드(실측)'!W9+1.2,0)</f>
        <v>0</v>
      </c>
      <c r="AN9" s="31">
        <f>IF('와이드(실측)'!AF9&gt;0,'와이드(실측)'!AF9-'와이드(실측)'!W9+1.2,0)</f>
        <v>0</v>
      </c>
      <c r="AO9" s="31">
        <f>'와이드(실측)'!AG9</f>
        <v>100</v>
      </c>
      <c r="AP9" s="31">
        <f>IF('와이드(실측)'!AH9&gt;5,'와이드(실측)'!AH9+뒷날개치수더함,'와이드(실측)'!AH9)</f>
        <v>15</v>
      </c>
      <c r="AQ9" s="31">
        <f>'와이드(실측)'!AI9</f>
        <v>10</v>
      </c>
      <c r="AR9" s="31">
        <f>'와이드(실측)'!AJ9</f>
        <v>10</v>
      </c>
      <c r="AS9">
        <f>IF(AND(ISNUMBER('와이드(실측)'!P9),ISNUMBER('와이드(실측)'!O9)),IF(ISNUMBER('와이드(실측)'!O9),IF(9-MIN('와이드(실측)'!O9+와이드A늘림,'와이드(실측)'!P9+와이드A늘림)&lt;0,0,9-MIN('와이드(실측)'!O9+와이드A늘림,'와이드(실측)'!P9+와이드A늘림)),0),IF(ISNUMBER('와이드(실측)'!O9),IF(9-'와이드(실측)'!O9-와이드A늘림&lt;0,0,9-'와이드(실측)'!O9-와이드A늘림),0))</f>
        <v>1</v>
      </c>
      <c r="AT9">
        <f>IF(AND(ISNUMBER('와이드(실측)'!O9),ISNUMBER('와이드(실측)'!P9)),IF(ISNUMBER('와이드(실측)'!P9),IF(9-MIN('와이드(실측)'!P9+와이드A늘림,'와이드(실측)'!O9+와이드A늘림)&lt;0,0,9-MIN('와이드(실측)'!P9+와이드A늘림,'와이드(실측)'!O9+와이드A늘림)),0),IF(ISNUMBER('와이드(실측)'!P9),IF(9-'와이드(실측)'!P9-와이드A늘림&lt;0,0,9-'와이드(실측)'!P9-와이드A늘림),0))</f>
        <v>1</v>
      </c>
      <c r="AU9" s="20">
        <f t="shared" si="13"/>
        <v>8.1301023541559783</v>
      </c>
      <c r="AV9" s="21">
        <f t="shared" si="14"/>
        <v>12.035100630044155</v>
      </c>
      <c r="AW9" s="21">
        <f t="shared" si="15"/>
        <v>12.035100630044155</v>
      </c>
      <c r="AX9" s="21">
        <f>'와이드(실측)'!M9+AS9</f>
        <v>12</v>
      </c>
      <c r="AY9" s="21">
        <f>'와이드(실측)'!N9+AS9</f>
        <v>12</v>
      </c>
      <c r="AZ9" s="20">
        <f t="shared" si="16"/>
        <v>3.5100630044155423E-2</v>
      </c>
      <c r="BA9" s="41">
        <f>IF(소장&lt;&gt;"손상민",F9+IF(Y9+Z9&gt;0,N9+M9,0),F9)</f>
        <v>954</v>
      </c>
      <c r="BB9" s="42">
        <f>MAX(C9,D9)+MAX(G9,H9)+AA9-1.2*$AJ$3+IF(BI9=0,MAX(AE9,AC9),0)+IF(Y9=0,1.2,0)+IF(Z9=0,1.2,0)+IF(소장&lt;&gt;"손상민", Y9+Z9,IF('와이드(실측)'!U9=0,0,2.4))</f>
        <v>674.80000000000007</v>
      </c>
      <c r="BC9" s="41">
        <f t="shared" si="17"/>
        <v>377.2</v>
      </c>
      <c r="BD9" s="41">
        <f t="shared" si="18"/>
        <v>2414.8000000000002</v>
      </c>
      <c r="BE9" s="41">
        <f t="shared" si="19"/>
        <v>374.2</v>
      </c>
      <c r="BF9" s="41">
        <f t="shared" si="20"/>
        <v>2418.8000000000002</v>
      </c>
      <c r="BG9" s="6">
        <f t="shared" si="21"/>
        <v>2.9000000000000004</v>
      </c>
      <c r="BH9" s="43" t="str">
        <f t="shared" si="22"/>
        <v/>
      </c>
      <c r="BI9" s="77">
        <f t="shared" si="23"/>
        <v>0</v>
      </c>
    </row>
    <row r="10" spans="1:61" ht="26.25" customHeight="1" x14ac:dyDescent="0.3">
      <c r="A10" s="31">
        <f>'와이드(실측)'!A10</f>
        <v>0</v>
      </c>
      <c r="B10" s="31" t="str">
        <f>'와이드(실측)'!B10&amp;"F"</f>
        <v>2F</v>
      </c>
      <c r="C10" s="31">
        <f>'와이드(실측)'!C10+와이드MH더함-IF(AND(소장="추영덕",Y10=0),1.2)</f>
        <v>292</v>
      </c>
      <c r="D10" s="31">
        <f>'와이드(실측)'!D10+와이드MH더함-IF(AND(소장="추영덕",Y10=0),1.2)</f>
        <v>292</v>
      </c>
      <c r="E10" s="135">
        <f>'와이드(실측)'!E10-와이드OP</f>
        <v>797</v>
      </c>
      <c r="F10" s="31">
        <f>'와이드(실측)'!F10-와이드R</f>
        <v>880</v>
      </c>
      <c r="G10" s="50">
        <f>'와이드(실측)'!G10+와이드JBJD키움치수+IF(BI10=1,AC10,0)</f>
        <v>290</v>
      </c>
      <c r="H10" s="50">
        <f>'와이드(실측)'!H10+와이드JBJD키움치수+IF(BI10=1,AE10,0)</f>
        <v>290</v>
      </c>
      <c r="I10" s="50">
        <f>'와이드(실측)'!I10+MAX(AS10,AT10)+와이드JBJD키움치수+IF(BI10=1,AC10,0)</f>
        <v>305</v>
      </c>
      <c r="J10" s="50">
        <f>'와이드(실측)'!I10+MAX(AS10,AT10)+와이드JBJD키움치수+IF(BI10=1,AD10,0)-IF(와이드JB하부늘치=1,'와이드(실측)'!Y10-'와이드(실측)'!Z10,0)</f>
        <v>305</v>
      </c>
      <c r="K10" s="50">
        <f>'와이드(실측)'!J10+MAX(AS10,AT10)+와이드JBJD키움치수+IF(BI10=1,AE10,0)</f>
        <v>305</v>
      </c>
      <c r="L10" s="50">
        <f>'와이드(실측)'!J10+MAX(AS10,AT10)+와이드JBJD키움치수+IF(BI10=1,AF10,0)-IF(와이드JB하부늘치=1,'와이드(실측)'!AA10-'와이드(실측)'!AB10,0)</f>
        <v>305</v>
      </c>
      <c r="M10" s="31">
        <f t="shared" si="5"/>
        <v>38.5</v>
      </c>
      <c r="N10" s="31">
        <f t="shared" si="6"/>
        <v>38.5</v>
      </c>
      <c r="O10" s="31">
        <f>IF(S10&lt;9,'와이드(실측)'!K10+1.2,IF(ISNUMBER('와이드(실측)'!K10),'와이드(실측)'!K10+와이드C값,0))</f>
        <v>40</v>
      </c>
      <c r="P10" s="31">
        <f>IF(T10&lt;9,'와이드(실측)'!L10+1.2,IF(ISNUMBER('와이드(실측)'!L10),'와이드(실측)'!L10+와이드C값,0))</f>
        <v>40</v>
      </c>
      <c r="Q10" s="32">
        <f t="shared" si="7"/>
        <v>12</v>
      </c>
      <c r="R10" s="38">
        <f t="shared" si="8"/>
        <v>12</v>
      </c>
      <c r="S10" s="31">
        <f>IF(ISNUMBER('와이드(실측)'!O10),'와이드(실측)'!O10+와이드제작!AS10+와이드A늘림,0)</f>
        <v>12</v>
      </c>
      <c r="T10" s="31">
        <f>IF(ISNUMBER('와이드(실측)'!P10),'와이드(실측)'!P10+와이드제작!AT10+와이드A늘림,0)</f>
        <v>9</v>
      </c>
      <c r="U10" s="31">
        <f>'와이드(실측)'!Q10-와이드기둥차감</f>
        <v>2102</v>
      </c>
      <c r="V10" s="31">
        <f>'와이드(실측)'!R10-와이드기둥차감</f>
        <v>2093</v>
      </c>
      <c r="W10" s="31">
        <f>'와이드(실측)'!S10-와이드기둥차감</f>
        <v>2104</v>
      </c>
      <c r="X10" s="31">
        <f>'와이드(실측)'!T10-와이드기둥차감</f>
        <v>2094</v>
      </c>
      <c r="Y10" s="31">
        <f>IF(소장="손상민",IF(ISNUMBER('와이드(실측)'!U10),'와이드(실측)'!U10+1.2,0),IF(ISNUMBER('와이드(실측)'!U10),'와이드(실측)'!U10+와이드U,0))</f>
        <v>40</v>
      </c>
      <c r="Z10" s="31">
        <f>IF(소장="손상민",MAX(Q10,R10)+3.2,IF(ISNUMBER('와이드(실측)'!V10),'와이드(실측)'!V10+1.5+와이드제작!Q10+1,0))</f>
        <v>17.5</v>
      </c>
      <c r="AA10" s="31">
        <f>'와이드(실측)'!W10+뒷날개치수더함</f>
        <v>20</v>
      </c>
      <c r="AB10" s="31">
        <f>'와이드(실측)'!X10+뒷날개치수더함</f>
        <v>25</v>
      </c>
      <c r="AC10" s="31">
        <f>'와이드(실측)'!Y10-와이드늘치</f>
        <v>10</v>
      </c>
      <c r="AD10" s="31">
        <f>IF(와이드JB하부늘치=1,AC10,'와이드(실측)'!Z10-와이드늘치)</f>
        <v>10</v>
      </c>
      <c r="AE10" s="31">
        <f>'와이드(실측)'!AA10-와이드늘치</f>
        <v>10</v>
      </c>
      <c r="AF10" s="31">
        <f>IF(와이드JB하부늘치=1,AE10,'와이드(실측)'!AB10-와이드늘치)</f>
        <v>10</v>
      </c>
      <c r="AG10" s="31">
        <f xml:space="preserve"> IF(소장&lt;&gt;"손상민",IF('와이드(실측)'!AC10&gt;0,'와이드(실측)'!AC10,C10-1.2),IF('와이드(실측)'!AC10&gt;0,'와이드(실측)'!AC10+1.2,C10) )</f>
        <v>290.8</v>
      </c>
      <c r="AH10" s="31">
        <f xml:space="preserve"> IF(소장&lt;&gt;"손상민",IF('와이드(실측)'!AD10&gt;0,'와이드(실측)'!AD10,D10-1.2),IF('와이드(실측)'!AD10&gt;0,'와이드(실측)'!AD10+1.2,D10))</f>
        <v>290.8</v>
      </c>
      <c r="AI10" s="51">
        <f t="shared" si="9"/>
        <v>5.5</v>
      </c>
      <c r="AJ10" s="31" t="str">
        <f t="shared" si="10"/>
        <v>957*664.7</v>
      </c>
      <c r="AK10" s="31" t="str">
        <f t="shared" si="11"/>
        <v>2392.8*387.2</v>
      </c>
      <c r="AL10" s="31" t="str">
        <f t="shared" si="12"/>
        <v>2394.8*384.2</v>
      </c>
      <c r="AM10" s="31">
        <f>IF('와이드(실측)'!AE10&gt;0,'와이드(실측)'!AE10-'와이드(실측)'!W10+1.2,0)</f>
        <v>0</v>
      </c>
      <c r="AN10" s="31">
        <f>IF('와이드(실측)'!AF10&gt;0,'와이드(실측)'!AF10-'와이드(실측)'!W10+1.2,0)</f>
        <v>0</v>
      </c>
      <c r="AO10" s="31">
        <f>'와이드(실측)'!AG10</f>
        <v>100</v>
      </c>
      <c r="AP10" s="31">
        <f>IF('와이드(실측)'!AH10&gt;5,'와이드(실측)'!AH10+뒷날개치수더함,'와이드(실측)'!AH10)</f>
        <v>15</v>
      </c>
      <c r="AQ10" s="31">
        <f>'와이드(실측)'!AI10</f>
        <v>10</v>
      </c>
      <c r="AR10" s="31">
        <f>'와이드(실측)'!AJ10</f>
        <v>10</v>
      </c>
      <c r="AS10">
        <f>IF(AND(ISNUMBER('와이드(실측)'!P10),ISNUMBER('와이드(실측)'!O10)),IF(ISNUMBER('와이드(실측)'!O10),IF(9-MIN('와이드(실측)'!O10+와이드A늘림,'와이드(실측)'!P10+와이드A늘림)&lt;0,0,9-MIN('와이드(실측)'!O10+와이드A늘림,'와이드(실측)'!P10+와이드A늘림)),0),IF(ISNUMBER('와이드(실측)'!O10),IF(9-'와이드(실측)'!O10-와이드A늘림&lt;0,0,9-'와이드(실측)'!O10-와이드A늘림),0))</f>
        <v>1</v>
      </c>
      <c r="AT10">
        <f>IF(AND(ISNUMBER('와이드(실측)'!O10),ISNUMBER('와이드(실측)'!P10)),IF(ISNUMBER('와이드(실측)'!P10),IF(9-MIN('와이드(실측)'!P10+와이드A늘림,'와이드(실측)'!O10+와이드A늘림)&lt;0,0,9-MIN('와이드(실측)'!P10+와이드A늘림,'와이드(실측)'!O10+와이드A늘림)),0),IF(ISNUMBER('와이드(실측)'!P10),IF(9-'와이드(실측)'!P10-와이드A늘림&lt;0,0,9-'와이드(실측)'!P10-와이드A늘림),0))</f>
        <v>1</v>
      </c>
      <c r="AU10" s="20">
        <f t="shared" si="13"/>
        <v>8.1439318927512971</v>
      </c>
      <c r="AV10" s="21">
        <f t="shared" si="14"/>
        <v>11.924175592839731</v>
      </c>
      <c r="AW10" s="21">
        <f t="shared" si="15"/>
        <v>11.924175592839731</v>
      </c>
      <c r="AX10" s="21">
        <f>'와이드(실측)'!M10+AS10</f>
        <v>12</v>
      </c>
      <c r="AY10" s="21">
        <f>'와이드(실측)'!N10+AS10</f>
        <v>11</v>
      </c>
      <c r="AZ10" s="20">
        <f t="shared" si="16"/>
        <v>-7.5824407160268947E-2</v>
      </c>
      <c r="BA10" s="41">
        <f>IF(소장&lt;&gt;"손상민",F10+IF(Y10+Z10&gt;0,N10+M10,0),F10)</f>
        <v>957</v>
      </c>
      <c r="BB10" s="42">
        <f>MAX(C10,D10)+MAX(G10,H10)+AA10-1.2*$AJ$3+IF(BI10=0,MAX(AE10,AC10),0)+IF(Y10=0,1.2,0)+IF(Z10=0,1.2,0)+IF(소장&lt;&gt;"손상민", Y10+Z10,IF('와이드(실측)'!U10=0,0,2.4))</f>
        <v>664.7</v>
      </c>
      <c r="BC10" s="41">
        <f t="shared" si="17"/>
        <v>387.2</v>
      </c>
      <c r="BD10" s="41">
        <f t="shared" si="18"/>
        <v>2392.8000000000002</v>
      </c>
      <c r="BE10" s="41">
        <f t="shared" si="19"/>
        <v>384.2</v>
      </c>
      <c r="BF10" s="41">
        <f t="shared" si="20"/>
        <v>2394.8000000000002</v>
      </c>
      <c r="BG10" s="6">
        <f t="shared" si="21"/>
        <v>3</v>
      </c>
      <c r="BH10" s="43" t="str">
        <f t="shared" si="22"/>
        <v/>
      </c>
      <c r="BI10" s="77">
        <f t="shared" si="23"/>
        <v>0</v>
      </c>
    </row>
    <row r="11" spans="1:61" ht="26.25" customHeight="1" x14ac:dyDescent="0.3">
      <c r="A11" s="31">
        <f>'와이드(실측)'!A11</f>
        <v>0</v>
      </c>
      <c r="B11" s="31" t="str">
        <f>'와이드(실측)'!B11&amp;"F"</f>
        <v>1F</v>
      </c>
      <c r="C11" s="31">
        <f>'와이드(실측)'!C11+와이드MH더함-IF(AND(소장="추영덕",Y11=0),1.2)</f>
        <v>202</v>
      </c>
      <c r="D11" s="31">
        <f>'와이드(실측)'!D11+와이드MH더함-IF(AND(소장="추영덕",Y11=0),1.2)</f>
        <v>202</v>
      </c>
      <c r="E11" s="135">
        <f>'와이드(실측)'!E11-와이드OP</f>
        <v>797</v>
      </c>
      <c r="F11" s="31">
        <f>'와이드(실측)'!F11-와이드R</f>
        <v>877</v>
      </c>
      <c r="G11" s="50">
        <f>'와이드(실측)'!G11+와이드JBJD키움치수+IF(BI11=1,AC11,0)</f>
        <v>280</v>
      </c>
      <c r="H11" s="50">
        <f>'와이드(실측)'!H11+와이드JBJD키움치수+IF(BI11=1,AE11,0)</f>
        <v>280</v>
      </c>
      <c r="I11" s="50">
        <f>'와이드(실측)'!I11+MAX(AS11,AT11)+와이드JBJD키움치수+IF(BI11=1,AC11,0)</f>
        <v>295</v>
      </c>
      <c r="J11" s="50">
        <f>'와이드(실측)'!I11+MAX(AS11,AT11)+와이드JBJD키움치수+IF(BI11=1,AD11,0)-IF(와이드JB하부늘치=1,'와이드(실측)'!Y11-'와이드(실측)'!Z11,0)</f>
        <v>295</v>
      </c>
      <c r="K11" s="50">
        <f>'와이드(실측)'!J11+MAX(AS11,AT11)+와이드JBJD키움치수+IF(BI11=1,AE11,0)</f>
        <v>295</v>
      </c>
      <c r="L11" s="50">
        <f>'와이드(실측)'!J11+MAX(AS11,AT11)+와이드JBJD키움치수+IF(BI11=1,AF11,0)-IF(와이드JB하부늘치=1,'와이드(실측)'!AA11-'와이드(실측)'!AB11,0)</f>
        <v>295</v>
      </c>
      <c r="M11" s="31">
        <f t="shared" si="5"/>
        <v>38.5</v>
      </c>
      <c r="N11" s="31">
        <f t="shared" si="6"/>
        <v>38.5</v>
      </c>
      <c r="O11" s="31">
        <f>IF(S11&lt;9,'와이드(실측)'!K11+1.2,IF(ISNUMBER('와이드(실측)'!K11),'와이드(실측)'!K11+와이드C값,0))</f>
        <v>40</v>
      </c>
      <c r="P11" s="31">
        <f>IF(T11&lt;9,'와이드(실측)'!L11+1.2,IF(ISNUMBER('와이드(실측)'!L11),'와이드(실측)'!L11+와이드C값,0))</f>
        <v>40</v>
      </c>
      <c r="Q11" s="32">
        <f t="shared" si="7"/>
        <v>12.1</v>
      </c>
      <c r="R11" s="38">
        <f t="shared" si="8"/>
        <v>12.1</v>
      </c>
      <c r="S11" s="31">
        <f>IF(ISNUMBER('와이드(실측)'!O11),'와이드(실측)'!O11+와이드제작!AS11+와이드A늘림,0)</f>
        <v>11</v>
      </c>
      <c r="T11" s="31">
        <f>IF(ISNUMBER('와이드(실측)'!P11),'와이드(실측)'!P11+와이드제작!AT11+와이드A늘림,0)</f>
        <v>9</v>
      </c>
      <c r="U11" s="31">
        <f>'와이드(실측)'!Q11-와이드기둥차감</f>
        <v>2080</v>
      </c>
      <c r="V11" s="31">
        <f>'와이드(실측)'!R11-와이드기둥차감</f>
        <v>2087</v>
      </c>
      <c r="W11" s="31">
        <f>'와이드(실측)'!S11-와이드기둥차감</f>
        <v>2084</v>
      </c>
      <c r="X11" s="31">
        <f>'와이드(실측)'!T11-와이드기둥차감</f>
        <v>2089</v>
      </c>
      <c r="Y11" s="31">
        <f>IF(소장="손상민",IF(ISNUMBER('와이드(실측)'!U11),'와이드(실측)'!U11+1.2,0),IF(ISNUMBER('와이드(실측)'!U11),'와이드(실측)'!U11+와이드U,0))</f>
        <v>40</v>
      </c>
      <c r="Z11" s="31">
        <f>IF(소장="손상민",MAX(Q11,R11)+3.2,IF(ISNUMBER('와이드(실측)'!V11),'와이드(실측)'!V11+1.5+와이드제작!Q11+1,0))</f>
        <v>17.600000000000001</v>
      </c>
      <c r="AA11" s="31">
        <f>'와이드(실측)'!W11+뒷날개치수더함</f>
        <v>20</v>
      </c>
      <c r="AB11" s="31">
        <f>'와이드(실측)'!X11+뒷날개치수더함</f>
        <v>25</v>
      </c>
      <c r="AC11" s="31">
        <f>'와이드(실측)'!Y11-와이드늘치</f>
        <v>10</v>
      </c>
      <c r="AD11" s="31">
        <f>IF(와이드JB하부늘치=1,AC11,'와이드(실측)'!Z11-와이드늘치)</f>
        <v>10</v>
      </c>
      <c r="AE11" s="31">
        <f>'와이드(실측)'!AA11-와이드늘치</f>
        <v>10</v>
      </c>
      <c r="AF11" s="31">
        <f>IF(와이드JB하부늘치=1,AE11,'와이드(실측)'!AB11-와이드늘치)</f>
        <v>10</v>
      </c>
      <c r="AG11" s="31">
        <f xml:space="preserve"> IF(소장&lt;&gt;"손상민",IF('와이드(실측)'!AC11&gt;0,'와이드(실측)'!AC11,C11-1.2),IF('와이드(실측)'!AC11&gt;0,'와이드(실측)'!AC11+1.2,C11) )</f>
        <v>200.8</v>
      </c>
      <c r="AH11" s="31">
        <f xml:space="preserve"> IF(소장&lt;&gt;"손상민",IF('와이드(실측)'!AD11&gt;0,'와이드(실측)'!AD11,D11-1.2),IF('와이드(실측)'!AD11&gt;0,'와이드(실측)'!AD11+1.2,D11))</f>
        <v>200.8</v>
      </c>
      <c r="AI11" s="51">
        <f t="shared" si="9"/>
        <v>5.5000000000000018</v>
      </c>
      <c r="AJ11" s="31" t="str">
        <f t="shared" si="10"/>
        <v>954*564.8</v>
      </c>
      <c r="AK11" s="31" t="str">
        <f t="shared" si="11"/>
        <v>2287.8*376.2</v>
      </c>
      <c r="AL11" s="31" t="str">
        <f t="shared" si="12"/>
        <v>2289.8*374.2</v>
      </c>
      <c r="AM11" s="31">
        <f>IF('와이드(실측)'!AE11&gt;0,'와이드(실측)'!AE11-'와이드(실측)'!W11+1.2,0)</f>
        <v>0</v>
      </c>
      <c r="AN11" s="31">
        <f>IF('와이드(실측)'!AF11&gt;0,'와이드(실측)'!AF11-'와이드(실측)'!W11+1.2,0)</f>
        <v>0</v>
      </c>
      <c r="AO11" s="31">
        <f>'와이드(실측)'!AG11</f>
        <v>100</v>
      </c>
      <c r="AP11" s="31">
        <f>IF('와이드(실측)'!AH11&gt;5,'와이드(실측)'!AH11+뒷날개치수더함,'와이드(실측)'!AH11)</f>
        <v>15</v>
      </c>
      <c r="AQ11" s="31">
        <f>'와이드(실측)'!AI11</f>
        <v>10</v>
      </c>
      <c r="AR11" s="31">
        <f>'와이드(실측)'!AJ11</f>
        <v>10</v>
      </c>
      <c r="AS11">
        <f>IF(AND(ISNUMBER('와이드(실측)'!P11),ISNUMBER('와이드(실측)'!O11)),IF(ISNUMBER('와이드(실측)'!O11),IF(9-MIN('와이드(실측)'!O11+와이드A늘림,'와이드(실측)'!P11+와이드A늘림)&lt;0,0,9-MIN('와이드(실측)'!O11+와이드A늘림,'와이드(실측)'!P11+와이드A늘림)),0),IF(ISNUMBER('와이드(실측)'!O11),IF(9-'와이드(실측)'!O11-와이드A늘림&lt;0,0,9-'와이드(실측)'!O11-와이드A늘림),0))</f>
        <v>1</v>
      </c>
      <c r="AT11">
        <f>IF(AND(ISNUMBER('와이드(실측)'!O11),ISNUMBER('와이드(실측)'!P11)),IF(ISNUMBER('와이드(실측)'!P11),IF(9-MIN('와이드(실측)'!P11+와이드A늘림,'와이드(실측)'!O11+와이드A늘림)&lt;0,0,9-MIN('와이드(실측)'!P11+와이드A늘림,'와이드(실측)'!O11+와이드A늘림)),0),IF(ISNUMBER('와이드(실측)'!P11),IF(9-'와이드(실측)'!P11-와이드A늘림&lt;0,0,9-'와이드(실측)'!P11-와이드A늘림),0))</f>
        <v>1</v>
      </c>
      <c r="AU11" s="20">
        <f t="shared" si="13"/>
        <v>8.1301023541559783</v>
      </c>
      <c r="AV11" s="21">
        <f t="shared" si="14"/>
        <v>12.035100630044155</v>
      </c>
      <c r="AW11" s="21">
        <f t="shared" si="15"/>
        <v>12.035100630044155</v>
      </c>
      <c r="AX11" s="21">
        <f>'와이드(실측)'!M11+AS11</f>
        <v>12</v>
      </c>
      <c r="AY11" s="21">
        <f>'와이드(실측)'!N11+AS11</f>
        <v>12</v>
      </c>
      <c r="AZ11" s="20">
        <f t="shared" si="16"/>
        <v>3.5100630044155423E-2</v>
      </c>
      <c r="BA11" s="41">
        <f>IF(소장&lt;&gt;"손상민",F11+IF(Y11+Z11&gt;0,N11+M11,0),F11)</f>
        <v>954</v>
      </c>
      <c r="BB11" s="42">
        <f>MAX(C11,D11)+MAX(G11,H11)+AA11-1.2*$AJ$3+IF(BI11=0,MAX(AE11,AC11),0)+IF(Y11=0,1.2,0)+IF(Z11=0,1.2,0)+IF(소장&lt;&gt;"손상민", Y11+Z11,IF('와이드(실측)'!U11=0,0,2.4))</f>
        <v>564.79999999999995</v>
      </c>
      <c r="BC11" s="41">
        <f t="shared" si="17"/>
        <v>376.2</v>
      </c>
      <c r="BD11" s="41">
        <f t="shared" si="18"/>
        <v>2287.8000000000002</v>
      </c>
      <c r="BE11" s="41">
        <f t="shared" si="19"/>
        <v>374.2</v>
      </c>
      <c r="BF11" s="41">
        <f t="shared" si="20"/>
        <v>2289.8000000000002</v>
      </c>
      <c r="BG11" s="6">
        <f t="shared" si="21"/>
        <v>2.9000000000000004</v>
      </c>
      <c r="BH11" s="43" t="str">
        <f t="shared" si="22"/>
        <v/>
      </c>
      <c r="BI11" s="77">
        <f t="shared" si="23"/>
        <v>0</v>
      </c>
    </row>
  </sheetData>
  <mergeCells count="84">
    <mergeCell ref="BI5:BI6"/>
    <mergeCell ref="BH5:BH6"/>
    <mergeCell ref="AM4:AN4"/>
    <mergeCell ref="AM5:AN5"/>
    <mergeCell ref="AT5:AT6"/>
    <mergeCell ref="AO5:AO6"/>
    <mergeCell ref="AP5:AR5"/>
    <mergeCell ref="L5:L6"/>
    <mergeCell ref="Y5:Y6"/>
    <mergeCell ref="S5:S6"/>
    <mergeCell ref="T5:T6"/>
    <mergeCell ref="Z5:Z6"/>
    <mergeCell ref="AK4:AL4"/>
    <mergeCell ref="AG4:AI4"/>
    <mergeCell ref="AM2:AN2"/>
    <mergeCell ref="AO2:AP2"/>
    <mergeCell ref="AM3:AN3"/>
    <mergeCell ref="AJ2:AK2"/>
    <mergeCell ref="AO3:AP3"/>
    <mergeCell ref="AP4:AR4"/>
    <mergeCell ref="AQ3:AR3"/>
    <mergeCell ref="I3:L3"/>
    <mergeCell ref="AH3:AI3"/>
    <mergeCell ref="X2:Y2"/>
    <mergeCell ref="AH2:AI2"/>
    <mergeCell ref="Z2:AG2"/>
    <mergeCell ref="I2:L2"/>
    <mergeCell ref="M2:N2"/>
    <mergeCell ref="M3:N3"/>
    <mergeCell ref="AC3:AD3"/>
    <mergeCell ref="A5:A6"/>
    <mergeCell ref="B5:B6"/>
    <mergeCell ref="C5:C6"/>
    <mergeCell ref="E5:E6"/>
    <mergeCell ref="F5:F6"/>
    <mergeCell ref="D5:D6"/>
    <mergeCell ref="AB5:AB6"/>
    <mergeCell ref="P5:P6"/>
    <mergeCell ref="Q5:Q6"/>
    <mergeCell ref="I5:I6"/>
    <mergeCell ref="H5:H6"/>
    <mergeCell ref="J5:J6"/>
    <mergeCell ref="V5:V6"/>
    <mergeCell ref="W5:W6"/>
    <mergeCell ref="K5:K6"/>
    <mergeCell ref="O5:O6"/>
    <mergeCell ref="M5:M6"/>
    <mergeCell ref="N5:N6"/>
    <mergeCell ref="AA5:AA6"/>
    <mergeCell ref="R5:R6"/>
    <mergeCell ref="U5:U6"/>
    <mergeCell ref="X5:X6"/>
    <mergeCell ref="AH5:AH6"/>
    <mergeCell ref="O2:P2"/>
    <mergeCell ref="Q2:R2"/>
    <mergeCell ref="X3:Y3"/>
    <mergeCell ref="S2:U2"/>
    <mergeCell ref="V2:W2"/>
    <mergeCell ref="AC5:AF5"/>
    <mergeCell ref="O3:P3"/>
    <mergeCell ref="Q3:R3"/>
    <mergeCell ref="S3:U3"/>
    <mergeCell ref="V3:W3"/>
    <mergeCell ref="Z3:AA3"/>
    <mergeCell ref="AE3:AF3"/>
    <mergeCell ref="AG5:AG6"/>
    <mergeCell ref="A4:AF4"/>
    <mergeCell ref="G5:G6"/>
    <mergeCell ref="A1:AK1"/>
    <mergeCell ref="AL1:AR1"/>
    <mergeCell ref="BI3:BI4"/>
    <mergeCell ref="AI5:AI6"/>
    <mergeCell ref="AZ5:AZ6"/>
    <mergeCell ref="BE5:BF5"/>
    <mergeCell ref="AS5:AS6"/>
    <mergeCell ref="AJ5:AJ6"/>
    <mergeCell ref="AK5:AK6"/>
    <mergeCell ref="AL5:AL6"/>
    <mergeCell ref="BC5:BD5"/>
    <mergeCell ref="AU5:AU6"/>
    <mergeCell ref="AV5:AV6"/>
    <mergeCell ref="AY5:AY6"/>
    <mergeCell ref="AX5:AX6"/>
    <mergeCell ref="AW5:AW6"/>
  </mergeCells>
  <phoneticPr fontId="1" type="noConversion"/>
  <conditionalFormatting sqref="AI7:AI11">
    <cfRule type="cellIs" dxfId="85" priority="52" operator="greaterThan">
      <formula>3</formula>
    </cfRule>
  </conditionalFormatting>
  <conditionalFormatting sqref="F7:F11">
    <cfRule type="cellIs" dxfId="84" priority="39" operator="greaterThan">
      <formula>1210</formula>
    </cfRule>
  </conditionalFormatting>
  <conditionalFormatting sqref="I7:L11 C7:D11">
    <cfRule type="cellIs" dxfId="83" priority="38" operator="greaterThan">
      <formula>500</formula>
    </cfRule>
  </conditionalFormatting>
  <conditionalFormatting sqref="C7:D11">
    <cfRule type="cellIs" dxfId="82" priority="36" operator="notEqual">
      <formula>$D7</formula>
    </cfRule>
  </conditionalFormatting>
  <conditionalFormatting sqref="D7:D11">
    <cfRule type="cellIs" dxfId="81" priority="35" operator="notEqual">
      <formula>$C7</formula>
    </cfRule>
  </conditionalFormatting>
  <conditionalFormatting sqref="AO7:AR11">
    <cfRule type="cellIs" dxfId="80" priority="17" operator="greaterThan">
      <formula>1.2</formula>
    </cfRule>
  </conditionalFormatting>
  <conditionalFormatting sqref="AO7:AO11">
    <cfRule type="cellIs" dxfId="79" priority="16" operator="greaterThan">
      <formula>0</formula>
    </cfRule>
  </conditionalFormatting>
  <conditionalFormatting sqref="G7:G11">
    <cfRule type="cellIs" dxfId="78" priority="14" operator="notEqual">
      <formula>H7</formula>
    </cfRule>
  </conditionalFormatting>
  <conditionalFormatting sqref="H7:H11">
    <cfRule type="cellIs" dxfId="77" priority="13" operator="notEqual">
      <formula>G7</formula>
    </cfRule>
  </conditionalFormatting>
  <conditionalFormatting sqref="I7:I11">
    <cfRule type="cellIs" dxfId="76" priority="12" operator="notEqual">
      <formula>J7</formula>
    </cfRule>
  </conditionalFormatting>
  <conditionalFormatting sqref="J7:J11">
    <cfRule type="cellIs" dxfId="75" priority="11" operator="notEqual">
      <formula>I7</formula>
    </cfRule>
  </conditionalFormatting>
  <conditionalFormatting sqref="K7:K11">
    <cfRule type="cellIs" dxfId="74" priority="10" operator="notEqual">
      <formula>L7</formula>
    </cfRule>
  </conditionalFormatting>
  <conditionalFormatting sqref="L7:L11">
    <cfRule type="cellIs" dxfId="73" priority="9" operator="notEqual">
      <formula>K7</formula>
    </cfRule>
  </conditionalFormatting>
  <conditionalFormatting sqref="AG7:AG11">
    <cfRule type="cellIs" dxfId="72" priority="8" operator="notEqual">
      <formula>AH7</formula>
    </cfRule>
  </conditionalFormatting>
  <conditionalFormatting sqref="AH7:AH11">
    <cfRule type="cellIs" dxfId="71" priority="7" operator="notEqual">
      <formula>AG7</formula>
    </cfRule>
  </conditionalFormatting>
  <conditionalFormatting sqref="AC7:AF11">
    <cfRule type="expression" dxfId="70" priority="6">
      <formula>$BI7</formula>
    </cfRule>
  </conditionalFormatting>
  <conditionalFormatting sqref="Y7:Y11">
    <cfRule type="expression" dxfId="69" priority="2">
      <formula>소장="손상민"</formula>
    </cfRule>
  </conditionalFormatting>
  <conditionalFormatting sqref="Z7:Z11">
    <cfRule type="expression" dxfId="68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Normalsheet">
    <pageSetUpPr fitToPage="1"/>
  </sheetPr>
  <dimension ref="A1:AM31"/>
  <sheetViews>
    <sheetView zoomScale="85" zoomScaleNormal="85" workbookViewId="0">
      <selection sqref="A1:AA1"/>
    </sheetView>
  </sheetViews>
  <sheetFormatPr defaultRowHeight="16.5" x14ac:dyDescent="0.3"/>
  <cols>
    <col min="1" max="1" width="6.875" style="128" customWidth="1"/>
    <col min="2" max="2" width="6.875" customWidth="1"/>
    <col min="3" max="4" width="9.875" customWidth="1"/>
    <col min="5" max="24" width="6.875" customWidth="1"/>
    <col min="25" max="25" width="7.75" customWidth="1"/>
    <col min="26" max="27" width="7.375" customWidth="1"/>
    <col min="28" max="29" width="7.75" customWidth="1"/>
    <col min="30" max="30" width="13.75" customWidth="1"/>
    <col min="31" max="39" width="5.625" customWidth="1"/>
  </cols>
  <sheetData>
    <row r="1" spans="1:39" ht="64.150000000000006" customHeight="1" x14ac:dyDescent="0.3">
      <c r="A1" s="165" t="str">
        <f>정보!B3</f>
        <v>(멍텅구리) 실측서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"/>
      <c r="AC1" s="1"/>
      <c r="AD1" s="1"/>
    </row>
    <row r="2" spans="1:39" ht="15" customHeight="1" x14ac:dyDescent="0.3">
      <c r="A2" s="125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</row>
    <row r="3" spans="1:39" ht="33" customHeight="1" x14ac:dyDescent="0.3">
      <c r="A3" s="129" t="str">
        <f>"현장명 : " &amp; 정보!B1 &amp; ",   (재질) : " &amp; 정보!B8</f>
        <v>현장명 : 전남 목포 알파타워,   (재질) : HL 1.2T</v>
      </c>
      <c r="B3" s="2"/>
      <c r="C3" s="2"/>
      <c r="D3" s="2"/>
      <c r="E3" s="2"/>
      <c r="F3" s="2"/>
      <c r="G3" s="248"/>
      <c r="H3" s="248"/>
      <c r="I3" s="245"/>
      <c r="J3" s="245"/>
      <c r="K3" s="246"/>
      <c r="L3" s="246"/>
      <c r="M3" s="247"/>
      <c r="N3" s="247"/>
      <c r="O3" s="247"/>
      <c r="P3" s="242" t="s">
        <v>97</v>
      </c>
      <c r="Q3" s="242"/>
      <c r="R3" s="243"/>
      <c r="S3" s="243"/>
      <c r="T3" s="244"/>
      <c r="U3" s="244"/>
    </row>
    <row r="4" spans="1:39" ht="33" customHeight="1" x14ac:dyDescent="0.3">
      <c r="A4" s="163" t="str">
        <f>정보!B11</f>
        <v>제작치수 반영 : JB/JD +(3 ),  늘어난치수K -(3),  C + (0),  U +(0), OP - (3), R - (0),  기둥차감 - (0), 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9"/>
      <c r="AA4" s="9"/>
      <c r="AB4" s="173" t="s">
        <v>215</v>
      </c>
      <c r="AC4" s="173"/>
      <c r="AD4" s="81" t="s">
        <v>234</v>
      </c>
    </row>
    <row r="5" spans="1:39" ht="25.9" customHeight="1" x14ac:dyDescent="0.3">
      <c r="A5" s="175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167" t="s">
        <v>6</v>
      </c>
      <c r="H5" s="167" t="s">
        <v>7</v>
      </c>
      <c r="I5" s="167" t="s">
        <v>8</v>
      </c>
      <c r="J5" s="167" t="s">
        <v>9</v>
      </c>
      <c r="K5" s="167" t="s">
        <v>10</v>
      </c>
      <c r="L5" s="167" t="s">
        <v>11</v>
      </c>
      <c r="M5" s="167" t="s">
        <v>14</v>
      </c>
      <c r="N5" s="167" t="s">
        <v>15</v>
      </c>
      <c r="O5" s="167" t="s">
        <v>16</v>
      </c>
      <c r="P5" s="167" t="s">
        <v>17</v>
      </c>
      <c r="Q5" s="167" t="s">
        <v>19</v>
      </c>
      <c r="R5" s="167" t="s">
        <v>20</v>
      </c>
      <c r="S5" s="237" t="s">
        <v>22</v>
      </c>
      <c r="T5" s="237" t="s">
        <v>23</v>
      </c>
      <c r="U5" s="239" t="s">
        <v>21</v>
      </c>
      <c r="V5" s="240"/>
      <c r="W5" s="240"/>
      <c r="X5" s="241"/>
      <c r="Y5" s="168" t="s">
        <v>203</v>
      </c>
      <c r="Z5" s="168"/>
      <c r="AA5" s="168"/>
      <c r="AB5" s="171" t="s">
        <v>212</v>
      </c>
      <c r="AC5" s="172"/>
      <c r="AD5" s="80" t="s">
        <v>231</v>
      </c>
    </row>
    <row r="6" spans="1:39" ht="47.25" customHeight="1" x14ac:dyDescent="0.3">
      <c r="A6" s="175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238"/>
      <c r="T6" s="238"/>
      <c r="U6" s="8" t="s">
        <v>52</v>
      </c>
      <c r="V6" s="8" t="s">
        <v>53</v>
      </c>
      <c r="W6" s="8" t="s">
        <v>54</v>
      </c>
      <c r="X6" s="8" t="s">
        <v>55</v>
      </c>
      <c r="Y6" s="4" t="s">
        <v>200</v>
      </c>
      <c r="Z6" s="4" t="s">
        <v>201</v>
      </c>
      <c r="AA6" s="4" t="s">
        <v>202</v>
      </c>
      <c r="AB6" s="74" t="s">
        <v>213</v>
      </c>
      <c r="AC6" s="74" t="s">
        <v>214</v>
      </c>
      <c r="AD6" s="80" t="s">
        <v>232</v>
      </c>
      <c r="AE6" s="54" t="s">
        <v>115</v>
      </c>
    </row>
    <row r="7" spans="1:39" ht="27" customHeight="1" x14ac:dyDescent="0.3">
      <c r="A7" s="127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55"/>
      <c r="AF7" s="3">
        <f t="shared" ref="AF7:AI11" si="0">U7+$AE7</f>
        <v>0</v>
      </c>
      <c r="AG7" s="3">
        <f t="shared" si="0"/>
        <v>0</v>
      </c>
      <c r="AH7" s="3">
        <f t="shared" si="0"/>
        <v>0</v>
      </c>
      <c r="AI7" s="3">
        <f t="shared" si="0"/>
        <v>0</v>
      </c>
      <c r="AJ7" s="3">
        <f t="shared" ref="AJ7:AM11" si="1">E7-$AE7</f>
        <v>0</v>
      </c>
      <c r="AK7" s="3">
        <f t="shared" si="1"/>
        <v>0</v>
      </c>
      <c r="AL7" s="3">
        <f t="shared" si="1"/>
        <v>0</v>
      </c>
      <c r="AM7" s="3">
        <f t="shared" si="1"/>
        <v>0</v>
      </c>
    </row>
    <row r="8" spans="1:39" ht="27" customHeight="1" x14ac:dyDescent="0.3">
      <c r="A8" s="127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55"/>
      <c r="AF8" s="3">
        <f t="shared" si="0"/>
        <v>0</v>
      </c>
      <c r="AG8" s="3">
        <f t="shared" si="0"/>
        <v>0</v>
      </c>
      <c r="AH8" s="3">
        <f t="shared" si="0"/>
        <v>0</v>
      </c>
      <c r="AI8" s="3">
        <f t="shared" si="0"/>
        <v>0</v>
      </c>
      <c r="AJ8" s="3">
        <f t="shared" si="1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</row>
    <row r="9" spans="1:39" ht="27" customHeight="1" x14ac:dyDescent="0.3">
      <c r="A9" s="127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F9" s="3">
        <f t="shared" si="0"/>
        <v>0</v>
      </c>
      <c r="AG9" s="3">
        <f t="shared" si="0"/>
        <v>0</v>
      </c>
      <c r="AH9" s="3">
        <f t="shared" si="0"/>
        <v>0</v>
      </c>
      <c r="AI9" s="3">
        <f t="shared" si="0"/>
        <v>0</v>
      </c>
      <c r="AJ9" s="3">
        <f t="shared" si="1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</row>
    <row r="10" spans="1:39" ht="27" customHeight="1" x14ac:dyDescent="0.3">
      <c r="A10" s="127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F10" s="3">
        <f t="shared" si="0"/>
        <v>0</v>
      </c>
      <c r="AG10" s="3">
        <f t="shared" si="0"/>
        <v>0</v>
      </c>
      <c r="AH10" s="3">
        <f t="shared" si="0"/>
        <v>0</v>
      </c>
      <c r="AI10" s="3">
        <f t="shared" si="0"/>
        <v>0</v>
      </c>
      <c r="AJ10" s="3">
        <f t="shared" si="1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</row>
    <row r="11" spans="1:39" ht="27" customHeight="1" x14ac:dyDescent="0.3">
      <c r="A11" s="127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F11" s="3">
        <f t="shared" si="0"/>
        <v>0</v>
      </c>
      <c r="AG11" s="3">
        <f t="shared" si="0"/>
        <v>0</v>
      </c>
      <c r="AH11" s="3">
        <f t="shared" si="0"/>
        <v>0</v>
      </c>
      <c r="AI11" s="3">
        <f t="shared" si="0"/>
        <v>0</v>
      </c>
      <c r="AJ11" s="3">
        <f t="shared" si="1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</row>
    <row r="12" spans="1:39" ht="27" customHeight="1" x14ac:dyDescent="0.3">
      <c r="A12" s="127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</row>
    <row r="13" spans="1:39" ht="27" customHeight="1" x14ac:dyDescent="0.3">
      <c r="A13" s="127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</row>
    <row r="14" spans="1:39" ht="27" customHeight="1" x14ac:dyDescent="0.3">
      <c r="A14" s="127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</row>
    <row r="15" spans="1:39" ht="27" customHeight="1" x14ac:dyDescent="0.3">
      <c r="A15" s="127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</row>
    <row r="16" spans="1:39" ht="27" customHeight="1" x14ac:dyDescent="0.3">
      <c r="A16" s="127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</row>
    <row r="17" spans="1:30" ht="27" customHeight="1" x14ac:dyDescent="0.3">
      <c r="A17" s="127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</row>
    <row r="18" spans="1:30" ht="27" customHeight="1" x14ac:dyDescent="0.3">
      <c r="A18" s="127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ht="27" customHeight="1" x14ac:dyDescent="0.3">
      <c r="A19" s="127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ht="27" customHeight="1" x14ac:dyDescent="0.3">
      <c r="A20" s="127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</row>
    <row r="21" spans="1:30" ht="27" customHeight="1" x14ac:dyDescent="0.3">
      <c r="A21" s="127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</row>
    <row r="22" spans="1:30" ht="27" customHeight="1" x14ac:dyDescent="0.3">
      <c r="A22" s="127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</row>
    <row r="23" spans="1:30" ht="27" customHeight="1" x14ac:dyDescent="0.3">
      <c r="A23" s="127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</row>
    <row r="24" spans="1:30" ht="27" customHeight="1" x14ac:dyDescent="0.3">
      <c r="A24" s="127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</row>
    <row r="25" spans="1:30" ht="27" customHeight="1" x14ac:dyDescent="0.3">
      <c r="A25" s="127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</row>
    <row r="26" spans="1:30" ht="27" customHeight="1" x14ac:dyDescent="0.3">
      <c r="A26" s="127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</row>
    <row r="27" spans="1:30" ht="27" customHeight="1" x14ac:dyDescent="0.3">
      <c r="A27" s="127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</row>
    <row r="28" spans="1:30" ht="27" customHeight="1" x14ac:dyDescent="0.3">
      <c r="A28" s="127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ht="27" customHeight="1" x14ac:dyDescent="0.3">
      <c r="A29" s="127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ht="27" customHeight="1" x14ac:dyDescent="0.3">
      <c r="A30" s="127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</row>
    <row r="31" spans="1:30" ht="27" customHeight="1" x14ac:dyDescent="0.3">
      <c r="A31" s="127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</row>
  </sheetData>
  <mergeCells count="33">
    <mergeCell ref="S5:S6"/>
    <mergeCell ref="K5:K6"/>
    <mergeCell ref="A1:AA1"/>
    <mergeCell ref="T5:T6"/>
    <mergeCell ref="M5:M6"/>
    <mergeCell ref="U5:X5"/>
    <mergeCell ref="P3:Q3"/>
    <mergeCell ref="R3:S3"/>
    <mergeCell ref="T3:U3"/>
    <mergeCell ref="P5:P6"/>
    <mergeCell ref="Q5:Q6"/>
    <mergeCell ref="I3:J3"/>
    <mergeCell ref="K3:L3"/>
    <mergeCell ref="M3:O3"/>
    <mergeCell ref="L5:L6"/>
    <mergeCell ref="G3:H3"/>
    <mergeCell ref="N5:N6"/>
    <mergeCell ref="J5:J6"/>
    <mergeCell ref="O5:O6"/>
    <mergeCell ref="R5:R6"/>
    <mergeCell ref="AB4:AC4"/>
    <mergeCell ref="AB5:AC5"/>
    <mergeCell ref="Y5:AA5"/>
    <mergeCell ref="A4:Y4"/>
    <mergeCell ref="A5:A6"/>
    <mergeCell ref="B5:B6"/>
    <mergeCell ref="C5:C6"/>
    <mergeCell ref="D5:D6"/>
    <mergeCell ref="E5:E6"/>
    <mergeCell ref="F5:F6"/>
    <mergeCell ref="G5:G6"/>
    <mergeCell ref="H5:H6"/>
    <mergeCell ref="I5:I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4" tint="-0.249977111117893"/>
    <pageSetUpPr fitToPage="1"/>
  </sheetPr>
  <dimension ref="A1:BA7"/>
  <sheetViews>
    <sheetView zoomScale="85" zoomScaleNormal="85" workbookViewId="0">
      <selection sqref="A1:AH1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0" width="6.875" customWidth="1"/>
    <col min="11" max="12" width="6.25" customWidth="1"/>
    <col min="13" max="14" width="5.75" customWidth="1"/>
    <col min="15" max="28" width="6.875" customWidth="1"/>
    <col min="29" max="29" width="11.5" customWidth="1"/>
    <col min="30" max="30" width="13.875" customWidth="1"/>
    <col min="31" max="31" width="13.625" customWidth="1"/>
    <col min="32" max="36" width="8.125" customWidth="1"/>
    <col min="37" max="38" width="5.75" style="3" customWidth="1"/>
    <col min="39" max="39" width="7.375" style="3" customWidth="1"/>
    <col min="42" max="42" width="7.75" customWidth="1"/>
    <col min="44" max="49" width="9" style="3"/>
    <col min="52" max="52" width="8.125" customWidth="1"/>
  </cols>
  <sheetData>
    <row r="1" spans="1:53" ht="64.150000000000006" customHeight="1" x14ac:dyDescent="0.3">
      <c r="A1" s="165" t="str">
        <f>정보!C3</f>
        <v>(멍텅구리) 제작변환 자료(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"/>
      <c r="AJ1" s="1"/>
      <c r="AK1" s="249" t="s">
        <v>75</v>
      </c>
      <c r="AL1" s="249"/>
      <c r="AM1" s="249"/>
      <c r="AR1" s="24"/>
    </row>
    <row r="2" spans="1:53" ht="28.5" customHeight="1" x14ac:dyDescent="0.3">
      <c r="A2" s="23" t="s">
        <v>85</v>
      </c>
      <c r="B2" s="49">
        <v>3</v>
      </c>
      <c r="C2" s="22" t="s">
        <v>86</v>
      </c>
      <c r="D2" s="48">
        <v>0</v>
      </c>
      <c r="E2" s="1"/>
      <c r="F2" s="1"/>
      <c r="G2" s="256" t="s">
        <v>81</v>
      </c>
      <c r="H2" s="256"/>
      <c r="I2" s="256"/>
      <c r="J2" s="262">
        <v>0</v>
      </c>
      <c r="K2" s="262"/>
      <c r="L2" s="259" t="s">
        <v>113</v>
      </c>
      <c r="M2" s="259"/>
      <c r="N2" s="259"/>
      <c r="O2" s="259"/>
      <c r="P2" s="260">
        <v>1</v>
      </c>
      <c r="Q2" s="260"/>
      <c r="R2" s="257" t="s">
        <v>103</v>
      </c>
      <c r="S2" s="258"/>
      <c r="T2" s="108">
        <v>0</v>
      </c>
      <c r="U2" s="257" t="s">
        <v>88</v>
      </c>
      <c r="V2" s="258"/>
      <c r="W2" s="255">
        <v>0</v>
      </c>
      <c r="X2" s="255"/>
      <c r="Y2" s="251" t="s">
        <v>82</v>
      </c>
      <c r="Z2" s="252"/>
      <c r="AA2" s="253">
        <v>0</v>
      </c>
      <c r="AB2" s="253"/>
      <c r="AC2" s="98" t="s">
        <v>114</v>
      </c>
      <c r="AD2" s="250">
        <v>3</v>
      </c>
      <c r="AE2" s="250"/>
      <c r="AF2" s="1"/>
      <c r="AG2" s="1"/>
      <c r="AH2" s="1"/>
      <c r="AI2" s="1"/>
      <c r="AJ2" s="1"/>
      <c r="AK2" s="249"/>
      <c r="AL2" s="249"/>
      <c r="AM2" s="249"/>
      <c r="AR2" s="24"/>
    </row>
    <row r="3" spans="1:53" ht="33" customHeight="1" x14ac:dyDescent="0.3">
      <c r="A3" s="33" t="str">
        <f>'멍텅(실측)'!A3</f>
        <v>현장명 : 전남 목포 알파타워,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51" t="s">
        <v>77</v>
      </c>
      <c r="M3" s="251"/>
      <c r="N3" s="264">
        <v>0</v>
      </c>
      <c r="O3" s="264"/>
      <c r="P3" s="265" t="s">
        <v>227</v>
      </c>
      <c r="Q3" s="265"/>
      <c r="R3" s="265"/>
      <c r="S3" s="266">
        <f>AZ7</f>
        <v>1</v>
      </c>
      <c r="T3" s="266"/>
      <c r="U3" s="261" t="s">
        <v>78</v>
      </c>
      <c r="V3" s="261"/>
      <c r="W3" s="254">
        <v>1</v>
      </c>
      <c r="X3" s="254"/>
      <c r="AA3" s="209" t="s">
        <v>73</v>
      </c>
      <c r="AB3" s="209"/>
      <c r="AC3" s="102">
        <v>3</v>
      </c>
      <c r="AD3" s="4" t="s">
        <v>74</v>
      </c>
      <c r="AE3" s="104">
        <v>4</v>
      </c>
      <c r="AF3" s="280" t="s">
        <v>326</v>
      </c>
      <c r="AG3" s="281"/>
      <c r="AH3" s="212"/>
      <c r="AI3" s="282" t="e">
        <f>AN7</f>
        <v>#DIV/0!</v>
      </c>
      <c r="AJ3" s="229"/>
      <c r="AK3" s="25"/>
      <c r="AL3" s="25"/>
      <c r="AM3" s="24"/>
      <c r="AR3" s="24"/>
    </row>
    <row r="4" spans="1:53" ht="33" customHeight="1" x14ac:dyDescent="0.3">
      <c r="A4" s="277" t="str">
        <f>'멍텅(실측)'!A4:Y4</f>
        <v>제작치수 반영 : JB/JD +(3 ),  늘어난치수K -(3),  C + (0),  U +(0), OP - (3), R - (0),  기둥차감 - (0),  A + (1)</v>
      </c>
      <c r="B4" s="277"/>
      <c r="C4" s="277"/>
      <c r="D4" s="277"/>
      <c r="E4" s="277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5" t="s">
        <v>312</v>
      </c>
      <c r="Z4" s="275"/>
      <c r="AA4" s="276">
        <f>'멍텅(실측)'!U7</f>
        <v>0</v>
      </c>
      <c r="AB4" s="276"/>
      <c r="AC4" s="9"/>
      <c r="AD4" s="222">
        <f ca="1">TODAY()</f>
        <v>45299</v>
      </c>
      <c r="AE4" s="162"/>
      <c r="AF4" s="278" t="s">
        <v>235</v>
      </c>
      <c r="AG4" s="278"/>
      <c r="AH4" s="279"/>
      <c r="AI4" s="173" t="s">
        <v>215</v>
      </c>
      <c r="AJ4" s="173"/>
      <c r="AK4" s="25"/>
      <c r="AL4" s="25"/>
      <c r="AM4" s="24"/>
      <c r="AR4" s="24"/>
      <c r="AZ4" s="177" t="s">
        <v>253</v>
      </c>
    </row>
    <row r="5" spans="1:53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237" t="s">
        <v>62</v>
      </c>
      <c r="L5" s="237" t="s">
        <v>63</v>
      </c>
      <c r="M5" s="167" t="s">
        <v>8</v>
      </c>
      <c r="N5" s="167" t="s">
        <v>9</v>
      </c>
      <c r="O5" s="167" t="s">
        <v>10</v>
      </c>
      <c r="P5" s="167" t="s">
        <v>11</v>
      </c>
      <c r="Q5" s="167" t="s">
        <v>14</v>
      </c>
      <c r="R5" s="167" t="s">
        <v>15</v>
      </c>
      <c r="S5" s="167" t="s">
        <v>16</v>
      </c>
      <c r="T5" s="167" t="s">
        <v>17</v>
      </c>
      <c r="U5" s="167" t="s">
        <v>19</v>
      </c>
      <c r="V5" s="271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68" t="s">
        <v>25</v>
      </c>
      <c r="AD5" s="273" t="s">
        <v>34</v>
      </c>
      <c r="AE5" s="168" t="s">
        <v>35</v>
      </c>
      <c r="AF5" s="235" t="s">
        <v>203</v>
      </c>
      <c r="AG5" s="235"/>
      <c r="AH5" s="235"/>
      <c r="AI5" s="171" t="s">
        <v>212</v>
      </c>
      <c r="AJ5" s="172"/>
      <c r="AK5" s="177" t="s">
        <v>305</v>
      </c>
      <c r="AL5" s="177" t="s">
        <v>306</v>
      </c>
      <c r="AM5" s="272" t="s">
        <v>51</v>
      </c>
      <c r="AT5" s="178" t="s">
        <v>28</v>
      </c>
      <c r="AU5" s="178"/>
      <c r="AV5" s="178" t="s">
        <v>29</v>
      </c>
      <c r="AW5" s="178"/>
      <c r="AZ5" s="178"/>
    </row>
    <row r="6" spans="1:53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238"/>
      <c r="L6" s="238"/>
      <c r="M6" s="167"/>
      <c r="N6" s="167"/>
      <c r="O6" s="167"/>
      <c r="P6" s="167"/>
      <c r="Q6" s="167"/>
      <c r="R6" s="167"/>
      <c r="S6" s="167"/>
      <c r="T6" s="167"/>
      <c r="U6" s="167"/>
      <c r="V6" s="271"/>
      <c r="W6" s="238"/>
      <c r="X6" s="238"/>
      <c r="Y6" s="8" t="s">
        <v>56</v>
      </c>
      <c r="Z6" s="8" t="s">
        <v>57</v>
      </c>
      <c r="AA6" s="8" t="s">
        <v>54</v>
      </c>
      <c r="AB6" s="8" t="s">
        <v>55</v>
      </c>
      <c r="AC6" s="167"/>
      <c r="AD6" s="274"/>
      <c r="AE6" s="167"/>
      <c r="AF6" s="109" t="s">
        <v>200</v>
      </c>
      <c r="AG6" s="109" t="s">
        <v>201</v>
      </c>
      <c r="AH6" s="109" t="s">
        <v>202</v>
      </c>
      <c r="AI6" s="74" t="s">
        <v>213</v>
      </c>
      <c r="AJ6" s="74" t="s">
        <v>214</v>
      </c>
      <c r="AK6" s="178"/>
      <c r="AL6" s="178"/>
      <c r="AM6" s="272"/>
      <c r="AN6" s="18" t="s">
        <v>80</v>
      </c>
      <c r="AO6" s="45" t="s">
        <v>110</v>
      </c>
      <c r="AP6" s="47" t="s">
        <v>111</v>
      </c>
      <c r="AQ6" s="19" t="s">
        <v>109</v>
      </c>
      <c r="AR6" s="3" t="s">
        <v>27</v>
      </c>
      <c r="AS6" s="3" t="s">
        <v>26</v>
      </c>
      <c r="AT6" s="3" t="s">
        <v>30</v>
      </c>
      <c r="AU6" s="3" t="s">
        <v>31</v>
      </c>
      <c r="AV6" s="3" t="s">
        <v>30</v>
      </c>
      <c r="AW6" s="3" t="s">
        <v>31</v>
      </c>
      <c r="AX6" s="7" t="s">
        <v>49</v>
      </c>
      <c r="AY6" s="44" t="s">
        <v>112</v>
      </c>
      <c r="AZ6" s="78" t="s">
        <v>225</v>
      </c>
      <c r="BA6" s="82" t="s">
        <v>233</v>
      </c>
    </row>
    <row r="7" spans="1:53" ht="26.25" customHeight="1" x14ac:dyDescent="0.3">
      <c r="A7" s="4">
        <f>'멍텅(실측)'!A7</f>
        <v>0</v>
      </c>
      <c r="B7" s="4" t="str">
        <f>'멍텅(실측)'!B7&amp;"F"</f>
        <v>F</v>
      </c>
      <c r="C7" s="4">
        <f>'멍텅(실측)'!C7-멍텅OP</f>
        <v>-3</v>
      </c>
      <c r="D7" s="4">
        <f>'멍텅(실측)'!D7-멍텅R</f>
        <v>0</v>
      </c>
      <c r="E7" s="50">
        <f>'멍텅(실측)'!E7+MAX(AK7,AL7)+IF(AZ7=1,Y7,0)+멍텅JBJD늘림치수</f>
        <v>0</v>
      </c>
      <c r="F7" s="50">
        <f>'멍텅(실측)'!F7+MAX(AK7,AL7)+IF(AZ7=1,AA7,0)+멍텅JBJD늘림치수</f>
        <v>0</v>
      </c>
      <c r="G7" s="50">
        <f>'멍텅(실측)'!G7+AK7+IF(AZ7=1,Y7,0)+멍텅JB강제키움+멍텅JBJD늘림치수</f>
        <v>0</v>
      </c>
      <c r="H7" s="50">
        <f>'멍텅(실측)'!G7+AK7+IF(AZ7=1,Z7,0)+멍텅JB강제키움+멍텅JBJD늘림치수-IF(멍텅JB하부늘치=1,'멍텅(실측)'!U7-'멍텅(실측)'!V7,0)</f>
        <v>0</v>
      </c>
      <c r="I7" s="50">
        <f>'멍텅(실측)'!H7+AL7+IF(AZ7=1,AA7,0)+멍텅JB강제키움+멍텅JBJD늘림치수</f>
        <v>0</v>
      </c>
      <c r="J7" s="50">
        <f>'멍텅(실측)'!H7+AL7+IF(AZ7=1,AB7,0)+멍텅JB강제키움+멍텅JBJD늘림치수-IF(멍텅JB하부늘치=1,'멍텅(실측)'!W7-'멍텅(실측)'!X7,0)</f>
        <v>0</v>
      </c>
      <c r="K7" s="4">
        <f t="shared" ref="K7:L7" si="0">M7+IF(소장="손상민",0,-1.5)</f>
        <v>-0.5</v>
      </c>
      <c r="L7" s="4">
        <f t="shared" si="0"/>
        <v>-0.5</v>
      </c>
      <c r="M7" s="4">
        <f>IF(O7&gt;0,'멍텅(실측)'!I7+멍텅C늘림,'멍텅(실측)'!I7+1)</f>
        <v>1</v>
      </c>
      <c r="N7" s="4">
        <f>IF(P7&gt;0,'멍텅(실측)'!J7+멍텅C늘림,'멍텅(실측)'!J7+1)</f>
        <v>1</v>
      </c>
      <c r="O7" s="4">
        <f>IF(ISNUMBER('멍텅(실측)'!K7),'멍텅(실측)'!K7+멍텅제작!AK7+멍텅A늘림,0)</f>
        <v>0</v>
      </c>
      <c r="P7" s="4">
        <f>IF(ISNUMBER('멍텅(실측)'!L7),'멍텅(실측)'!L7+멍텅제작!AL7+멍텅A늘림,0)</f>
        <v>0</v>
      </c>
      <c r="Q7" s="4">
        <f>'멍텅(실측)'!M7-멍텅기둥차감</f>
        <v>0</v>
      </c>
      <c r="R7" s="4">
        <f>'멍텅(실측)'!N7-멍텅기둥차감</f>
        <v>0</v>
      </c>
      <c r="S7" s="4">
        <f>'멍텅(실측)'!O7-멍텅기둥차감</f>
        <v>0</v>
      </c>
      <c r="T7" s="4">
        <f>'멍텅(실측)'!P7-멍텅기둥차감</f>
        <v>0</v>
      </c>
      <c r="U7" s="4">
        <f>IF(ISNUMBER('멍텅(실측)'!Q7),IF(V7&gt;0,'멍텅(실측)'!Q7+멍텅U늘림,'멍텅(실측)'!Q7+1.2),0)</f>
        <v>0</v>
      </c>
      <c r="V7" s="4">
        <f>IF(OR(멍텅G="", 멍텅G=0),IF(ISNUMBER('멍텅(실측)'!R7),IF('멍텅(실측)'!R7+멍텅A늘림+MAX(AK7,AL7)&gt;9,'멍텅(실측)'!R7+멍텅A늘림+MAX(AK7,AL7),'멍텅(실측)'!R7+멍텅A늘림+MAX(AK7,AL7)),0),멍텅G)</f>
        <v>0</v>
      </c>
      <c r="W7" s="4">
        <f>'멍텅(실측)'!S7+뒷날개치수더함</f>
        <v>0</v>
      </c>
      <c r="X7" s="4">
        <f>'멍텅(실측)'!T7+뒷날개치수더함</f>
        <v>0</v>
      </c>
      <c r="Y7" s="13">
        <f>'멍텅(실측)'!U7-멍텅늘치차감</f>
        <v>-3</v>
      </c>
      <c r="Z7" s="13">
        <f>IF(멍텅JB하부늘치=1,Y7,'멍텅(실측)'!V7-멍텅늘치차감)</f>
        <v>-3</v>
      </c>
      <c r="AA7" s="13">
        <f>'멍텅(실측)'!W7-멍텅늘치차감</f>
        <v>-3</v>
      </c>
      <c r="AB7" s="13">
        <f>IF(멍텅JB하부늘치=1,AA7,'멍텅(실측)'!X7-멍텅늘치차감)</f>
        <v>-3</v>
      </c>
      <c r="AC7" s="11" t="str">
        <f t="shared" ref="AC7" si="1">AR7&amp;"*"&amp;AS7</f>
        <v>0*-2.4</v>
      </c>
      <c r="AD7" s="12" t="str">
        <f t="shared" ref="AD7" si="2">AU7&amp;"*"&amp;AT7</f>
        <v>0*-2.6</v>
      </c>
      <c r="AE7" s="10" t="str">
        <f t="shared" ref="AE7" si="3">AW7&amp;"*"&amp;AV7</f>
        <v>0*-2.6</v>
      </c>
      <c r="AF7" s="4">
        <f>IF('멍텅(실측)'!Y7&gt;5,'멍텅(실측)'!Y7+뒷날개치수더함,'멍텅(실측)'!Y7)</f>
        <v>0</v>
      </c>
      <c r="AG7" s="4">
        <f>'멍텅(실측)'!Z7</f>
        <v>0</v>
      </c>
      <c r="AH7" s="4">
        <f>'멍텅(실측)'!AA7</f>
        <v>0</v>
      </c>
      <c r="AI7" s="31">
        <f>IF('멍텅(실측)'!AB7&gt;0,'멍텅(실측)'!AB7-'멍텅(실측)'!S7+1.2,0)</f>
        <v>0</v>
      </c>
      <c r="AJ7" s="31">
        <f>IF('멍텅(실측)'!AC7&gt;0,'멍텅(실측)'!AC7-'멍텅(실측)'!S7+1.2,0)</f>
        <v>0</v>
      </c>
      <c r="AK7" s="3">
        <f>IF(AND(ISNUMBER('멍텅(실측)'!L7),ISNUMBER('멍텅(실측)'!K7)),IF(ISNUMBER('멍텅(실측)'!K7),IF(9-MIN('멍텅(실측)'!K7+멍텅A늘림,'멍텅(실측)'!L7+멍텅A늘림)&lt;AM7,AM7,9-MIN('멍텅(실측)'!K7+멍텅A늘림,'멍텅(실측)'!L7+멍텅A늘림) + AM7 ),0),IF(ISNUMBER('멍텅(실측)'!K7),IF(9-'멍텅(실측)'!K7-멍텅A늘림+AM7&lt;AM7,AM7,9-'멍텅(실측)'!K7-멍텅A늘림+AM7),0))</f>
        <v>0</v>
      </c>
      <c r="AL7" s="3">
        <f>IF(AND(ISNUMBER('멍텅(실측)'!K7),ISNUMBER('멍텅(실측)'!L7)),IF(ISNUMBER('멍텅(실측)'!L7),IF(9-MIN('멍텅(실측)'!L7+멍텅A늘림,'멍텅(실측)'!K7+멍텅A늘림)+AM7&lt;AM7,AM7,9-MIN('멍텅(실측)'!L7+멍텅A늘림,'멍텅(실측)'!K7+멍텅A늘림)+AM7),0),IF(ISNUMBER('멍텅(실측)'!L7),IF(9-'멍텅(실측)'!L7-멍텅A늘림+AM7&lt;AM7,AM7,9-'멍텅(실측)'!L7-멍텅A늘림+AM7),0))</f>
        <v>0</v>
      </c>
      <c r="AM7" s="16"/>
      <c r="AN7" s="17" t="e">
        <f t="shared" ref="AN7" si="4">DEGREES(ATAN((D7-C7)/2/(E7)))</f>
        <v>#DIV/0!</v>
      </c>
      <c r="AO7" s="36" t="e">
        <f>IF(소장="박철우",E7-COS(RADIANS(AN7))*G7+2,E7-COS(RADIANS(AN7))*G7)</f>
        <v>#DIV/0!</v>
      </c>
      <c r="AP7" s="36" t="e">
        <f>IF(소장="박철우",F7-COS(RADIANS(AN7))*I7+2,F7-COS(RADIANS(AN7))*I7)</f>
        <v>#DIV/0!</v>
      </c>
      <c r="AQ7" s="46" t="str">
        <f t="shared" ref="AQ7" si="5">IF(E7+Y7&lt;&gt;F7+AA7,"JD비대칭","")</f>
        <v/>
      </c>
      <c r="AR7" s="3">
        <f>D7 + IF(U7+V7&gt;0, K7+L7,0)</f>
        <v>0</v>
      </c>
      <c r="AS7" s="3">
        <f>U7+MAX(E7,F7)+W7+V7-1.2*$AC$3+IF(AZ7=0,MAX(Y7,AA7))+IF(V7=0,1.2,0)</f>
        <v>-2.3999999999999995</v>
      </c>
      <c r="AT7" s="3">
        <f>O7+M7+MAX(G7,H7)+X7-1.2*$AE$3+IF(AZ7=0,MAX(Y7,Z7))+IF(O7=0,1.2,0)-IF(AH7=90,2.4,0)</f>
        <v>-2.5999999999999996</v>
      </c>
      <c r="AU7" s="3">
        <f t="shared" ref="AU7" si="6">MAX(Q7,R7)</f>
        <v>0</v>
      </c>
      <c r="AV7" s="3">
        <f>P7+N7+MAX(I7,J7)+X7-1.2*$AE$3+IF(AZ7=0,MAX(AA7,AB7))+IF(P7=0,1.2,0)-IF(AH7=90,2.4,0)</f>
        <v>-2.5999999999999996</v>
      </c>
      <c r="AW7" s="3">
        <f t="shared" ref="AW7" si="7">MAX(S7,T7)</f>
        <v>0</v>
      </c>
      <c r="AX7">
        <f t="shared" ref="AX7" si="8">G7-E7</f>
        <v>0</v>
      </c>
      <c r="AY7">
        <f t="shared" ref="AY7" si="9">9-V7</f>
        <v>9</v>
      </c>
      <c r="AZ7" s="79">
        <f>IF(AND(MIN(Y7,AA7)&gt;=9.2,D7-C7&gt;15),0,1)</f>
        <v>1</v>
      </c>
      <c r="BA7" s="83">
        <f>IF(소장="손상민",'멍텅(실측)'!AD7,0)</f>
        <v>0</v>
      </c>
    </row>
  </sheetData>
  <mergeCells count="65">
    <mergeCell ref="AF4:AH4"/>
    <mergeCell ref="AI4:AJ4"/>
    <mergeCell ref="AD4:AE4"/>
    <mergeCell ref="AF3:AH3"/>
    <mergeCell ref="AI3:AJ3"/>
    <mergeCell ref="G5:G6"/>
    <mergeCell ref="Q5:Q6"/>
    <mergeCell ref="Y4:Z4"/>
    <mergeCell ref="AA4:AB4"/>
    <mergeCell ref="G3:I3"/>
    <mergeCell ref="M5:M6"/>
    <mergeCell ref="O5:O6"/>
    <mergeCell ref="L5:L6"/>
    <mergeCell ref="K5:K6"/>
    <mergeCell ref="A4:X4"/>
    <mergeCell ref="A5:A6"/>
    <mergeCell ref="B5:B6"/>
    <mergeCell ref="C5:C6"/>
    <mergeCell ref="D5:D6"/>
    <mergeCell ref="E5:E6"/>
    <mergeCell ref="F5:F6"/>
    <mergeCell ref="AV5:AW5"/>
    <mergeCell ref="T5:T6"/>
    <mergeCell ref="U5:U6"/>
    <mergeCell ref="V5:V6"/>
    <mergeCell ref="W5:W6"/>
    <mergeCell ref="X5:X6"/>
    <mergeCell ref="AM5:AM6"/>
    <mergeCell ref="AK5:AK6"/>
    <mergeCell ref="AC5:AC6"/>
    <mergeCell ref="AD5:AD6"/>
    <mergeCell ref="AE5:AE6"/>
    <mergeCell ref="AT5:AU5"/>
    <mergeCell ref="Y5:AB5"/>
    <mergeCell ref="AF5:AH5"/>
    <mergeCell ref="AI5:AJ5"/>
    <mergeCell ref="AL5:AL6"/>
    <mergeCell ref="H5:H6"/>
    <mergeCell ref="R5:R6"/>
    <mergeCell ref="N5:N6"/>
    <mergeCell ref="I5:I6"/>
    <mergeCell ref="J5:J6"/>
    <mergeCell ref="J2:K2"/>
    <mergeCell ref="U2:V2"/>
    <mergeCell ref="J3:K3"/>
    <mergeCell ref="L3:M3"/>
    <mergeCell ref="N3:O3"/>
    <mergeCell ref="P3:R3"/>
    <mergeCell ref="S3:T3"/>
    <mergeCell ref="AZ4:AZ5"/>
    <mergeCell ref="AK1:AM2"/>
    <mergeCell ref="AD2:AE2"/>
    <mergeCell ref="Y2:Z2"/>
    <mergeCell ref="AA2:AB2"/>
    <mergeCell ref="AA3:AB3"/>
    <mergeCell ref="A1:AH1"/>
    <mergeCell ref="W3:X3"/>
    <mergeCell ref="W2:X2"/>
    <mergeCell ref="G2:I2"/>
    <mergeCell ref="R2:S2"/>
    <mergeCell ref="L2:O2"/>
    <mergeCell ref="P2:Q2"/>
    <mergeCell ref="U3:V3"/>
    <mergeCell ref="P5:P6"/>
    <mergeCell ref="S5:S6"/>
  </mergeCells>
  <phoneticPr fontId="1" type="noConversion"/>
  <conditionalFormatting sqref="D7">
    <cfRule type="cellIs" dxfId="67" priority="26" operator="greaterThan">
      <formula>1210</formula>
    </cfRule>
  </conditionalFormatting>
  <conditionalFormatting sqref="AF7:AH7">
    <cfRule type="cellIs" dxfId="66" priority="13" operator="greaterThan">
      <formula>1.2</formula>
    </cfRule>
  </conditionalFormatting>
  <conditionalFormatting sqref="G7:J7">
    <cfRule type="cellIs" dxfId="65" priority="11" operator="greaterThan">
      <formula>500</formula>
    </cfRule>
  </conditionalFormatting>
  <conditionalFormatting sqref="E7">
    <cfRule type="cellIs" dxfId="64" priority="10" operator="notEqual">
      <formula>F7</formula>
    </cfRule>
  </conditionalFormatting>
  <conditionalFormatting sqref="F7">
    <cfRule type="cellIs" dxfId="63" priority="9" operator="notEqual">
      <formula>E7</formula>
    </cfRule>
  </conditionalFormatting>
  <conditionalFormatting sqref="I7">
    <cfRule type="cellIs" dxfId="62" priority="6" operator="notEqual">
      <formula>J7</formula>
    </cfRule>
  </conditionalFormatting>
  <conditionalFormatting sqref="J7 H7">
    <cfRule type="cellIs" dxfId="61" priority="4" operator="notEqual">
      <formula>G7</formula>
    </cfRule>
  </conditionalFormatting>
  <conditionalFormatting sqref="G7">
    <cfRule type="cellIs" dxfId="60" priority="3" operator="notEqual">
      <formula>H7</formula>
    </cfRule>
  </conditionalFormatting>
  <conditionalFormatting sqref="Y7:AB7">
    <cfRule type="expression" dxfId="59" priority="1">
      <formula>$AZ7</formula>
    </cfRule>
  </conditionalFormatting>
  <pageMargins left="0.23622047244094491" right="0.23622047244094491" top="0.74803149606299213" bottom="0.74803149606299213" header="0.31496062992125984" footer="0.31496062992125984"/>
  <pageSetup paperSize="9" scale="41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Narrowsheet">
    <pageSetUpPr fitToPage="1"/>
  </sheetPr>
  <dimension ref="A1:V358"/>
  <sheetViews>
    <sheetView topLeftCell="A5" zoomScaleNormal="100" workbookViewId="0">
      <selection activeCell="A7" sqref="A7:V35"/>
    </sheetView>
  </sheetViews>
  <sheetFormatPr defaultRowHeight="16.5" x14ac:dyDescent="0.3"/>
  <cols>
    <col min="1" max="1" width="6.875" style="134" customWidth="1"/>
    <col min="2" max="2" width="6.875" style="57" customWidth="1"/>
    <col min="3" max="3" width="9.875" style="57" customWidth="1"/>
    <col min="4" max="19" width="6.875" style="57" customWidth="1"/>
    <col min="20" max="20" width="11.75" style="57" customWidth="1"/>
    <col min="21" max="16384" width="9" style="57"/>
  </cols>
  <sheetData>
    <row r="1" spans="1:22" ht="64.150000000000006" customHeight="1" x14ac:dyDescent="0.3">
      <c r="A1" s="284" t="str">
        <f>정보!B4</f>
        <v>(쪽쟘) 실측서 ( 전남 목포 알파타워 ) _이만희소장</v>
      </c>
      <c r="B1" s="284"/>
      <c r="C1" s="284"/>
      <c r="D1" s="284"/>
      <c r="E1" s="284"/>
      <c r="F1" s="284"/>
      <c r="G1" s="284"/>
      <c r="H1" s="284"/>
      <c r="I1" s="284"/>
      <c r="J1" s="284"/>
      <c r="K1" s="284"/>
      <c r="L1" s="284"/>
      <c r="M1" s="284"/>
      <c r="N1" s="284"/>
      <c r="O1" s="284"/>
      <c r="P1" s="284"/>
      <c r="Q1" s="284"/>
      <c r="R1" s="284"/>
      <c r="S1" s="284"/>
      <c r="T1" s="284"/>
      <c r="U1" s="284"/>
      <c r="V1" s="284"/>
    </row>
    <row r="2" spans="1:22" ht="15" customHeight="1" x14ac:dyDescent="0.3">
      <c r="A2" s="130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</row>
    <row r="3" spans="1:22" ht="33" customHeight="1" x14ac:dyDescent="0.3">
      <c r="A3" s="131" t="str">
        <f>"현장명 : " &amp;정보!B1&amp;" , 재질 : " &amp;정보!B9</f>
        <v>현장명 : 전남 목포 알파타워 , 재질 : HL 1.2T</v>
      </c>
      <c r="B3" s="58"/>
      <c r="C3" s="58"/>
      <c r="D3" s="58"/>
      <c r="E3" s="58"/>
      <c r="F3" s="59"/>
      <c r="G3" s="59"/>
      <c r="H3" s="59"/>
      <c r="I3" s="59"/>
    </row>
    <row r="4" spans="1:22" ht="33" customHeight="1" x14ac:dyDescent="0.3">
      <c r="A4" s="132" t="str">
        <f>정보!B12</f>
        <v>제작치수 반영 : JB/JD +(0 ),  늘어난치수K -(0), OP - (3),  기둥차감 - (0)</v>
      </c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</row>
    <row r="5" spans="1:22" ht="25.9" customHeight="1" x14ac:dyDescent="0.3">
      <c r="A5" s="287" t="s">
        <v>118</v>
      </c>
      <c r="B5" s="283" t="s">
        <v>119</v>
      </c>
      <c r="C5" s="283" t="s">
        <v>120</v>
      </c>
      <c r="D5" s="283" t="s">
        <v>121</v>
      </c>
      <c r="E5" s="283" t="s">
        <v>122</v>
      </c>
      <c r="F5" s="283" t="s">
        <v>123</v>
      </c>
      <c r="G5" s="283" t="s">
        <v>124</v>
      </c>
      <c r="H5" s="283" t="s">
        <v>125</v>
      </c>
      <c r="I5" s="283" t="s">
        <v>126</v>
      </c>
      <c r="J5" s="283" t="s">
        <v>128</v>
      </c>
      <c r="K5" s="283" t="s">
        <v>15</v>
      </c>
      <c r="L5" s="283" t="s">
        <v>129</v>
      </c>
      <c r="M5" s="283" t="s">
        <v>130</v>
      </c>
      <c r="N5" s="283" t="s">
        <v>131</v>
      </c>
      <c r="O5" s="283" t="s">
        <v>132</v>
      </c>
      <c r="P5" s="285" t="s">
        <v>133</v>
      </c>
      <c r="Q5" s="285" t="s">
        <v>134</v>
      </c>
      <c r="R5" s="283" t="s">
        <v>135</v>
      </c>
      <c r="S5" s="283"/>
      <c r="T5" s="168" t="s">
        <v>203</v>
      </c>
      <c r="U5" s="168"/>
      <c r="V5" s="168"/>
    </row>
    <row r="6" spans="1:22" ht="25.9" customHeight="1" x14ac:dyDescent="0.3">
      <c r="A6" s="287"/>
      <c r="B6" s="283"/>
      <c r="C6" s="283"/>
      <c r="D6" s="283"/>
      <c r="E6" s="283"/>
      <c r="F6" s="283"/>
      <c r="G6" s="283"/>
      <c r="H6" s="283"/>
      <c r="I6" s="283"/>
      <c r="J6" s="283"/>
      <c r="K6" s="283"/>
      <c r="L6" s="283"/>
      <c r="M6" s="283"/>
      <c r="N6" s="283"/>
      <c r="O6" s="283"/>
      <c r="P6" s="286"/>
      <c r="Q6" s="286"/>
      <c r="R6" s="60" t="s">
        <v>137</v>
      </c>
      <c r="S6" s="60" t="s">
        <v>138</v>
      </c>
      <c r="T6" s="4" t="s">
        <v>200</v>
      </c>
      <c r="U6" s="4" t="s">
        <v>201</v>
      </c>
      <c r="V6" s="4" t="s">
        <v>202</v>
      </c>
    </row>
    <row r="7" spans="1:22" ht="18" customHeight="1" x14ac:dyDescent="0.3">
      <c r="A7" s="60"/>
      <c r="B7" s="60"/>
      <c r="C7" s="60"/>
      <c r="D7" s="60"/>
      <c r="E7" s="60"/>
      <c r="F7" s="60"/>
      <c r="G7" s="60"/>
      <c r="H7" s="60"/>
      <c r="I7" s="60"/>
      <c r="J7" s="119"/>
      <c r="K7" s="119"/>
      <c r="L7" s="119"/>
      <c r="M7" s="119"/>
      <c r="N7" s="119"/>
      <c r="O7" s="119"/>
      <c r="P7" s="119"/>
      <c r="Q7" s="119"/>
      <c r="R7" s="60"/>
      <c r="S7" s="60"/>
      <c r="T7" s="4"/>
      <c r="U7" s="4"/>
      <c r="V7" s="4"/>
    </row>
    <row r="8" spans="1:22" ht="18" customHeight="1" x14ac:dyDescent="0.3">
      <c r="A8" s="60"/>
      <c r="B8" s="60"/>
      <c r="C8" s="60"/>
      <c r="D8" s="60"/>
      <c r="E8" s="60"/>
      <c r="F8" s="60"/>
      <c r="G8" s="60"/>
      <c r="H8" s="60"/>
      <c r="I8" s="60"/>
      <c r="J8" s="119"/>
      <c r="K8" s="119"/>
      <c r="L8" s="119"/>
      <c r="M8" s="119"/>
      <c r="N8" s="119"/>
      <c r="O8" s="119"/>
      <c r="P8" s="119"/>
      <c r="Q8" s="119"/>
      <c r="R8" s="60"/>
      <c r="S8" s="60"/>
      <c r="T8" s="4"/>
      <c r="U8" s="4"/>
      <c r="V8" s="4"/>
    </row>
    <row r="9" spans="1:22" x14ac:dyDescent="0.3">
      <c r="A9" s="60"/>
      <c r="B9" s="60"/>
      <c r="C9" s="60"/>
      <c r="D9" s="60"/>
      <c r="E9" s="60"/>
      <c r="F9" s="60"/>
      <c r="G9" s="60"/>
      <c r="H9" s="60"/>
      <c r="I9" s="60"/>
      <c r="J9" s="119"/>
      <c r="K9" s="119"/>
      <c r="L9" s="119"/>
      <c r="M9" s="119"/>
      <c r="N9" s="119"/>
      <c r="O9" s="119"/>
      <c r="P9" s="119"/>
      <c r="Q9" s="119"/>
      <c r="R9" s="60"/>
      <c r="S9" s="60"/>
      <c r="T9" s="4"/>
      <c r="U9" s="4"/>
      <c r="V9" s="4"/>
    </row>
    <row r="10" spans="1:22" x14ac:dyDescent="0.3">
      <c r="A10" s="60"/>
      <c r="B10" s="60"/>
      <c r="C10" s="60"/>
      <c r="D10" s="60"/>
      <c r="E10" s="60"/>
      <c r="F10" s="60"/>
      <c r="G10" s="60"/>
      <c r="H10" s="60"/>
      <c r="I10" s="60"/>
      <c r="J10" s="119"/>
      <c r="K10" s="119"/>
      <c r="L10" s="119"/>
      <c r="M10" s="119"/>
      <c r="N10" s="119"/>
      <c r="O10" s="119"/>
      <c r="P10" s="119"/>
      <c r="Q10" s="119"/>
      <c r="R10" s="60"/>
      <c r="S10" s="60"/>
      <c r="T10" s="4"/>
      <c r="U10" s="4"/>
      <c r="V10" s="4"/>
    </row>
    <row r="11" spans="1:22" x14ac:dyDescent="0.3">
      <c r="A11" s="60"/>
      <c r="B11" s="60"/>
      <c r="C11" s="60"/>
      <c r="D11" s="60"/>
      <c r="E11" s="60"/>
      <c r="F11" s="60"/>
      <c r="G11" s="60"/>
      <c r="H11" s="60"/>
      <c r="I11" s="60"/>
      <c r="J11" s="119"/>
      <c r="K11" s="119"/>
      <c r="L11" s="119"/>
      <c r="M11" s="119"/>
      <c r="N11" s="119"/>
      <c r="O11" s="119"/>
      <c r="P11" s="119"/>
      <c r="Q11" s="119"/>
      <c r="R11" s="60"/>
      <c r="S11" s="60"/>
      <c r="T11" s="4"/>
      <c r="U11" s="4"/>
      <c r="V11" s="4"/>
    </row>
    <row r="12" spans="1:22" x14ac:dyDescent="0.3">
      <c r="A12" s="60"/>
      <c r="B12" s="60"/>
      <c r="C12" s="60"/>
      <c r="D12" s="60"/>
      <c r="E12" s="60"/>
      <c r="F12" s="60"/>
      <c r="G12" s="60"/>
      <c r="H12" s="60"/>
      <c r="I12" s="60"/>
      <c r="J12" s="119"/>
      <c r="K12" s="119"/>
      <c r="L12" s="119"/>
      <c r="M12" s="119"/>
      <c r="N12" s="119"/>
      <c r="O12" s="119"/>
      <c r="P12" s="119"/>
      <c r="Q12" s="119"/>
      <c r="R12" s="60"/>
      <c r="S12" s="60"/>
      <c r="T12" s="4"/>
      <c r="U12" s="4"/>
      <c r="V12" s="4"/>
    </row>
    <row r="13" spans="1:22" x14ac:dyDescent="0.3">
      <c r="A13" s="60"/>
      <c r="B13" s="60"/>
      <c r="C13" s="60"/>
      <c r="D13" s="60"/>
      <c r="E13" s="60"/>
      <c r="F13" s="60"/>
      <c r="G13" s="60"/>
      <c r="H13" s="60"/>
      <c r="I13" s="60"/>
      <c r="J13" s="119"/>
      <c r="K13" s="119"/>
      <c r="L13" s="119"/>
      <c r="M13" s="119"/>
      <c r="N13" s="119"/>
      <c r="O13" s="119"/>
      <c r="P13" s="119"/>
      <c r="Q13" s="119"/>
      <c r="R13" s="60"/>
      <c r="S13" s="60"/>
      <c r="T13" s="4"/>
      <c r="U13" s="4"/>
      <c r="V13" s="4"/>
    </row>
    <row r="14" spans="1:22" x14ac:dyDescent="0.3">
      <c r="A14" s="60"/>
      <c r="B14" s="60"/>
      <c r="C14" s="60"/>
      <c r="D14" s="60"/>
      <c r="E14" s="60"/>
      <c r="F14" s="60"/>
      <c r="G14" s="60"/>
      <c r="H14" s="60"/>
      <c r="I14" s="60"/>
      <c r="J14" s="119"/>
      <c r="K14" s="119"/>
      <c r="L14" s="119"/>
      <c r="M14" s="119"/>
      <c r="N14" s="119"/>
      <c r="O14" s="119"/>
      <c r="P14" s="119"/>
      <c r="Q14" s="119"/>
      <c r="R14" s="60"/>
      <c r="S14" s="60"/>
      <c r="T14" s="4"/>
      <c r="U14" s="4"/>
      <c r="V14" s="4"/>
    </row>
    <row r="15" spans="1:22" x14ac:dyDescent="0.3">
      <c r="A15" s="60"/>
      <c r="B15" s="60"/>
      <c r="C15" s="60"/>
      <c r="D15" s="60"/>
      <c r="E15" s="60"/>
      <c r="F15" s="60"/>
      <c r="G15" s="60"/>
      <c r="H15" s="60"/>
      <c r="I15" s="60"/>
      <c r="J15" s="119"/>
      <c r="K15" s="119"/>
      <c r="L15" s="119"/>
      <c r="M15" s="119"/>
      <c r="N15" s="119"/>
      <c r="O15" s="119"/>
      <c r="P15" s="119"/>
      <c r="Q15" s="119"/>
      <c r="R15" s="60"/>
      <c r="S15" s="60"/>
      <c r="T15" s="4"/>
      <c r="U15" s="4"/>
      <c r="V15" s="4"/>
    </row>
    <row r="16" spans="1:22" x14ac:dyDescent="0.3">
      <c r="A16" s="60"/>
      <c r="B16" s="60"/>
      <c r="C16" s="60"/>
      <c r="D16" s="60"/>
      <c r="E16" s="60"/>
      <c r="F16" s="60"/>
      <c r="G16" s="60"/>
      <c r="H16" s="60"/>
      <c r="I16" s="60"/>
      <c r="J16" s="119"/>
      <c r="K16" s="119"/>
      <c r="L16" s="119"/>
      <c r="M16" s="119"/>
      <c r="N16" s="119"/>
      <c r="O16" s="119"/>
      <c r="P16" s="119"/>
      <c r="Q16" s="119"/>
      <c r="R16" s="60"/>
      <c r="S16" s="60"/>
      <c r="T16" s="4"/>
      <c r="U16" s="4"/>
      <c r="V16" s="4"/>
    </row>
    <row r="17" spans="1:22" x14ac:dyDescent="0.3">
      <c r="A17" s="60"/>
      <c r="B17" s="60"/>
      <c r="C17" s="60"/>
      <c r="D17" s="60"/>
      <c r="E17" s="60"/>
      <c r="F17" s="60"/>
      <c r="G17" s="60"/>
      <c r="H17" s="60"/>
      <c r="I17" s="60"/>
      <c r="J17" s="119"/>
      <c r="K17" s="119"/>
      <c r="L17" s="119"/>
      <c r="M17" s="119"/>
      <c r="N17" s="119"/>
      <c r="O17" s="119"/>
      <c r="P17" s="119"/>
      <c r="Q17" s="119"/>
      <c r="R17" s="60"/>
      <c r="S17" s="60"/>
      <c r="T17" s="4"/>
      <c r="U17" s="4"/>
      <c r="V17" s="4"/>
    </row>
    <row r="18" spans="1:22" x14ac:dyDescent="0.3">
      <c r="A18" s="60"/>
      <c r="B18" s="60"/>
      <c r="C18" s="60"/>
      <c r="D18" s="60"/>
      <c r="E18" s="60"/>
      <c r="F18" s="60"/>
      <c r="G18" s="60"/>
      <c r="H18" s="60"/>
      <c r="I18" s="60"/>
      <c r="J18" s="119"/>
      <c r="K18" s="119"/>
      <c r="L18" s="119"/>
      <c r="M18" s="119"/>
      <c r="N18" s="119"/>
      <c r="O18" s="119"/>
      <c r="P18" s="119"/>
      <c r="Q18" s="119"/>
      <c r="R18" s="60"/>
      <c r="S18" s="60"/>
      <c r="T18" s="4"/>
      <c r="U18" s="4"/>
      <c r="V18" s="4"/>
    </row>
    <row r="19" spans="1:22" x14ac:dyDescent="0.3">
      <c r="A19" s="60"/>
      <c r="B19" s="60"/>
      <c r="C19" s="60"/>
      <c r="D19" s="60"/>
      <c r="E19" s="60"/>
      <c r="F19" s="60"/>
      <c r="G19" s="60"/>
      <c r="H19" s="60"/>
      <c r="I19" s="60"/>
      <c r="J19" s="119"/>
      <c r="K19" s="119"/>
      <c r="L19" s="119"/>
      <c r="M19" s="119"/>
      <c r="N19" s="119"/>
      <c r="O19" s="119"/>
      <c r="P19" s="119"/>
      <c r="Q19" s="119"/>
      <c r="R19" s="60"/>
      <c r="S19" s="60"/>
      <c r="T19" s="4"/>
      <c r="U19" s="4"/>
      <c r="V19" s="4"/>
    </row>
    <row r="20" spans="1:22" x14ac:dyDescent="0.3">
      <c r="A20" s="60"/>
      <c r="B20" s="60"/>
      <c r="C20" s="60"/>
      <c r="D20" s="60"/>
      <c r="E20" s="60"/>
      <c r="F20" s="60"/>
      <c r="G20" s="60"/>
      <c r="H20" s="60"/>
      <c r="I20" s="60"/>
      <c r="J20" s="119"/>
      <c r="K20" s="119"/>
      <c r="L20" s="119"/>
      <c r="M20" s="119"/>
      <c r="N20" s="119"/>
      <c r="O20" s="119"/>
      <c r="P20" s="119"/>
      <c r="Q20" s="119"/>
      <c r="R20" s="60"/>
      <c r="S20" s="60"/>
      <c r="T20" s="4"/>
      <c r="U20" s="4"/>
      <c r="V20" s="4"/>
    </row>
    <row r="21" spans="1:22" x14ac:dyDescent="0.3">
      <c r="A21" s="60"/>
      <c r="B21" s="60"/>
      <c r="C21" s="60"/>
      <c r="D21" s="60"/>
      <c r="E21" s="60"/>
      <c r="F21" s="60"/>
      <c r="G21" s="60"/>
      <c r="H21" s="60"/>
      <c r="I21" s="60"/>
      <c r="J21" s="119"/>
      <c r="K21" s="119"/>
      <c r="L21" s="119"/>
      <c r="M21" s="119"/>
      <c r="N21" s="119"/>
      <c r="O21" s="119"/>
      <c r="P21" s="119"/>
      <c r="Q21" s="119"/>
      <c r="R21" s="60"/>
      <c r="S21" s="60"/>
      <c r="T21" s="4"/>
      <c r="U21" s="4"/>
      <c r="V21" s="4"/>
    </row>
    <row r="22" spans="1:22" x14ac:dyDescent="0.3">
      <c r="A22" s="60"/>
      <c r="B22" s="60"/>
      <c r="C22" s="60"/>
      <c r="D22" s="60"/>
      <c r="E22" s="60"/>
      <c r="F22" s="60"/>
      <c r="G22" s="60"/>
      <c r="H22" s="60"/>
      <c r="I22" s="60"/>
      <c r="J22" s="119"/>
      <c r="K22" s="119"/>
      <c r="L22" s="119"/>
      <c r="M22" s="119"/>
      <c r="N22" s="119"/>
      <c r="O22" s="119"/>
      <c r="P22" s="119"/>
      <c r="Q22" s="119"/>
      <c r="R22" s="60"/>
      <c r="S22" s="60"/>
      <c r="T22" s="4"/>
      <c r="U22" s="4"/>
      <c r="V22" s="4"/>
    </row>
    <row r="23" spans="1:22" x14ac:dyDescent="0.3">
      <c r="A23" s="60"/>
      <c r="B23" s="60"/>
      <c r="C23" s="60"/>
      <c r="D23" s="60"/>
      <c r="E23" s="60"/>
      <c r="F23" s="60"/>
      <c r="G23" s="60"/>
      <c r="H23" s="60"/>
      <c r="I23" s="60"/>
      <c r="J23" s="119"/>
      <c r="K23" s="119"/>
      <c r="L23" s="119"/>
      <c r="M23" s="119"/>
      <c r="N23" s="119"/>
      <c r="O23" s="119"/>
      <c r="P23" s="119"/>
      <c r="Q23" s="119"/>
      <c r="R23" s="60"/>
      <c r="S23" s="60"/>
      <c r="T23" s="4"/>
      <c r="U23" s="4"/>
      <c r="V23" s="4"/>
    </row>
    <row r="24" spans="1:22" x14ac:dyDescent="0.3">
      <c r="A24" s="60"/>
      <c r="B24" s="60"/>
      <c r="C24" s="60"/>
      <c r="D24" s="60"/>
      <c r="E24" s="60"/>
      <c r="F24" s="60"/>
      <c r="G24" s="60"/>
      <c r="H24" s="60"/>
      <c r="I24" s="60"/>
      <c r="J24" s="119"/>
      <c r="K24" s="119"/>
      <c r="L24" s="119"/>
      <c r="M24" s="119"/>
      <c r="N24" s="119"/>
      <c r="O24" s="119"/>
      <c r="P24" s="119"/>
      <c r="Q24" s="119"/>
      <c r="R24" s="60"/>
      <c r="S24" s="60"/>
      <c r="T24" s="4"/>
      <c r="U24" s="4"/>
      <c r="V24" s="4"/>
    </row>
    <row r="25" spans="1:22" x14ac:dyDescent="0.3">
      <c r="A25" s="60"/>
      <c r="B25" s="60"/>
      <c r="C25" s="60"/>
      <c r="D25" s="60"/>
      <c r="E25" s="60"/>
      <c r="F25" s="60"/>
      <c r="G25" s="60"/>
      <c r="H25" s="60"/>
      <c r="I25" s="60"/>
      <c r="J25" s="119"/>
      <c r="K25" s="119"/>
      <c r="L25" s="119"/>
      <c r="M25" s="119"/>
      <c r="N25" s="119"/>
      <c r="O25" s="119"/>
      <c r="P25" s="119"/>
      <c r="Q25" s="119"/>
      <c r="R25" s="60"/>
      <c r="S25" s="60"/>
      <c r="T25" s="4"/>
      <c r="U25" s="4"/>
      <c r="V25" s="4"/>
    </row>
    <row r="26" spans="1:22" ht="18" customHeight="1" x14ac:dyDescent="0.3">
      <c r="A26" s="60"/>
      <c r="B26" s="60"/>
      <c r="C26" s="60"/>
      <c r="D26" s="60"/>
      <c r="E26" s="60"/>
      <c r="F26" s="60"/>
      <c r="G26" s="60"/>
      <c r="H26" s="60"/>
      <c r="I26" s="60"/>
      <c r="J26" s="119"/>
      <c r="K26" s="119"/>
      <c r="L26" s="119"/>
      <c r="M26" s="119"/>
      <c r="N26" s="119"/>
      <c r="O26" s="119"/>
      <c r="P26" s="119"/>
      <c r="Q26" s="119"/>
      <c r="R26" s="60"/>
      <c r="S26" s="60"/>
      <c r="T26" s="4"/>
      <c r="U26" s="4"/>
      <c r="V26" s="4"/>
    </row>
    <row r="27" spans="1:22" ht="18" customHeight="1" x14ac:dyDescent="0.3">
      <c r="A27" s="60"/>
      <c r="B27" s="60"/>
      <c r="C27" s="60"/>
      <c r="D27" s="60"/>
      <c r="E27" s="60"/>
      <c r="F27" s="60"/>
      <c r="G27" s="60"/>
      <c r="H27" s="60"/>
      <c r="I27" s="60"/>
      <c r="J27" s="119"/>
      <c r="K27" s="119"/>
      <c r="L27" s="119"/>
      <c r="M27" s="119"/>
      <c r="N27" s="119"/>
      <c r="O27" s="119"/>
      <c r="P27" s="119"/>
      <c r="Q27" s="119"/>
      <c r="R27" s="60"/>
      <c r="S27" s="60"/>
      <c r="T27" s="4"/>
      <c r="U27" s="4"/>
      <c r="V27" s="4"/>
    </row>
    <row r="28" spans="1:22" x14ac:dyDescent="0.3">
      <c r="A28" s="60"/>
      <c r="B28" s="60"/>
      <c r="C28" s="60"/>
      <c r="D28" s="60"/>
      <c r="E28" s="60"/>
      <c r="F28" s="60"/>
      <c r="G28" s="60"/>
      <c r="H28" s="60"/>
      <c r="I28" s="60"/>
      <c r="J28" s="119"/>
      <c r="K28" s="119"/>
      <c r="L28" s="119"/>
      <c r="M28" s="119"/>
      <c r="N28" s="119"/>
      <c r="O28" s="119"/>
      <c r="P28" s="119"/>
      <c r="Q28" s="119"/>
      <c r="R28" s="60"/>
      <c r="S28" s="60"/>
      <c r="T28" s="4"/>
      <c r="U28" s="4"/>
      <c r="V28" s="4"/>
    </row>
    <row r="29" spans="1:22" x14ac:dyDescent="0.3">
      <c r="A29" s="60"/>
      <c r="B29" s="60"/>
      <c r="C29" s="60"/>
      <c r="D29" s="60"/>
      <c r="E29" s="60"/>
      <c r="F29" s="60"/>
      <c r="G29" s="60"/>
      <c r="H29" s="60"/>
      <c r="I29" s="60"/>
      <c r="J29" s="119"/>
      <c r="K29" s="119"/>
      <c r="L29" s="119"/>
      <c r="M29" s="119"/>
      <c r="N29" s="119"/>
      <c r="O29" s="119"/>
      <c r="P29" s="119"/>
      <c r="Q29" s="119"/>
      <c r="R29" s="60"/>
      <c r="S29" s="60"/>
      <c r="T29" s="4"/>
      <c r="U29" s="4"/>
      <c r="V29" s="4"/>
    </row>
    <row r="30" spans="1:22" x14ac:dyDescent="0.3">
      <c r="A30" s="60"/>
      <c r="B30" s="60"/>
      <c r="C30" s="60"/>
      <c r="D30" s="60"/>
      <c r="E30" s="60"/>
      <c r="F30" s="60"/>
      <c r="G30" s="60"/>
      <c r="H30" s="60"/>
      <c r="I30" s="60"/>
      <c r="J30" s="119"/>
      <c r="K30" s="119"/>
      <c r="L30" s="119"/>
      <c r="M30" s="119"/>
      <c r="N30" s="119"/>
      <c r="O30" s="119"/>
      <c r="P30" s="119"/>
      <c r="Q30" s="119"/>
      <c r="R30" s="60"/>
      <c r="S30" s="60"/>
      <c r="T30" s="4"/>
      <c r="U30" s="4"/>
      <c r="V30" s="4"/>
    </row>
    <row r="31" spans="1:22" x14ac:dyDescent="0.3">
      <c r="A31" s="60"/>
      <c r="B31" s="60"/>
      <c r="C31" s="60"/>
      <c r="D31" s="60"/>
      <c r="E31" s="60"/>
      <c r="F31" s="60"/>
      <c r="G31" s="60"/>
      <c r="H31" s="60"/>
      <c r="I31" s="60"/>
      <c r="J31" s="119"/>
      <c r="K31" s="119"/>
      <c r="L31" s="119"/>
      <c r="M31" s="119"/>
      <c r="N31" s="119"/>
      <c r="O31" s="119"/>
      <c r="P31" s="119"/>
      <c r="Q31" s="119"/>
      <c r="R31" s="60"/>
      <c r="S31" s="60"/>
      <c r="T31" s="4"/>
      <c r="U31" s="4"/>
      <c r="V31" s="4"/>
    </row>
    <row r="32" spans="1:22" x14ac:dyDescent="0.3">
      <c r="A32" s="60"/>
      <c r="B32" s="60"/>
      <c r="C32" s="60"/>
      <c r="D32" s="60"/>
      <c r="E32" s="60"/>
      <c r="F32" s="60"/>
      <c r="G32" s="60"/>
      <c r="H32" s="60"/>
      <c r="I32" s="60"/>
      <c r="J32" s="119"/>
      <c r="K32" s="119"/>
      <c r="L32" s="119"/>
      <c r="M32" s="119"/>
      <c r="N32" s="119"/>
      <c r="O32" s="119"/>
      <c r="P32" s="119"/>
      <c r="Q32" s="119"/>
      <c r="R32" s="60"/>
      <c r="S32" s="60"/>
      <c r="T32" s="4"/>
      <c r="U32" s="4"/>
      <c r="V32" s="4"/>
    </row>
    <row r="33" spans="1:22" x14ac:dyDescent="0.3">
      <c r="A33" s="60"/>
      <c r="B33" s="60"/>
      <c r="C33" s="60"/>
      <c r="D33" s="60"/>
      <c r="E33" s="60"/>
      <c r="F33" s="60"/>
      <c r="G33" s="60"/>
      <c r="H33" s="60"/>
      <c r="I33" s="60"/>
      <c r="J33" s="119"/>
      <c r="K33" s="119"/>
      <c r="L33" s="119"/>
      <c r="M33" s="119"/>
      <c r="N33" s="119"/>
      <c r="O33" s="119"/>
      <c r="P33" s="119"/>
      <c r="Q33" s="119"/>
      <c r="R33" s="60"/>
      <c r="S33" s="60"/>
      <c r="T33" s="4"/>
      <c r="U33" s="4"/>
      <c r="V33" s="4"/>
    </row>
    <row r="34" spans="1:22" x14ac:dyDescent="0.3">
      <c r="A34" s="60"/>
      <c r="B34" s="60"/>
      <c r="C34" s="60"/>
      <c r="D34" s="60"/>
      <c r="E34" s="60"/>
      <c r="F34" s="60"/>
      <c r="G34" s="60"/>
      <c r="H34" s="60"/>
      <c r="I34" s="60"/>
      <c r="J34" s="119"/>
      <c r="K34" s="119"/>
      <c r="L34" s="119"/>
      <c r="M34" s="119"/>
      <c r="N34" s="119"/>
      <c r="O34" s="119"/>
      <c r="P34" s="119"/>
      <c r="Q34" s="119"/>
      <c r="R34" s="60"/>
      <c r="S34" s="60"/>
      <c r="T34" s="4"/>
      <c r="U34" s="4"/>
      <c r="V34" s="4"/>
    </row>
    <row r="35" spans="1:22" x14ac:dyDescent="0.3">
      <c r="A35" s="133"/>
      <c r="B35" s="60"/>
      <c r="C35" s="60"/>
      <c r="D35" s="60"/>
      <c r="E35" s="60"/>
      <c r="F35" s="60"/>
      <c r="G35" s="60"/>
      <c r="H35" s="60"/>
      <c r="I35" s="60"/>
      <c r="J35" s="119"/>
      <c r="K35" s="119"/>
      <c r="L35" s="119"/>
      <c r="M35" s="119"/>
      <c r="N35" s="119"/>
      <c r="O35" s="119"/>
      <c r="P35" s="119"/>
      <c r="Q35" s="119"/>
      <c r="R35" s="60"/>
      <c r="S35" s="60"/>
      <c r="T35" s="4"/>
      <c r="U35" s="4"/>
      <c r="V35" s="4"/>
    </row>
    <row r="36" spans="1:22" x14ac:dyDescent="0.3">
      <c r="A36" s="133"/>
      <c r="B36" s="60"/>
      <c r="C36" s="60"/>
      <c r="D36" s="60"/>
      <c r="E36" s="60"/>
      <c r="F36" s="60"/>
      <c r="G36" s="60"/>
      <c r="H36" s="60"/>
      <c r="I36" s="60"/>
      <c r="J36" s="119"/>
      <c r="K36" s="119"/>
      <c r="L36" s="119"/>
      <c r="M36" s="119"/>
      <c r="N36" s="119"/>
      <c r="O36" s="119"/>
      <c r="P36" s="119"/>
      <c r="Q36" s="119"/>
      <c r="R36" s="60"/>
      <c r="S36" s="60"/>
      <c r="T36" s="4"/>
      <c r="U36" s="4"/>
      <c r="V36" s="4"/>
    </row>
    <row r="37" spans="1:22" x14ac:dyDescent="0.3">
      <c r="A37" s="133"/>
      <c r="B37" s="60"/>
      <c r="C37" s="60"/>
      <c r="D37" s="60"/>
      <c r="E37" s="60"/>
      <c r="F37" s="60"/>
      <c r="G37" s="60"/>
      <c r="H37" s="60"/>
      <c r="I37" s="60"/>
      <c r="J37" s="119"/>
      <c r="K37" s="119"/>
      <c r="L37" s="119"/>
      <c r="M37" s="119"/>
      <c r="N37" s="119"/>
      <c r="O37" s="119"/>
      <c r="P37" s="119"/>
      <c r="Q37" s="119"/>
      <c r="R37" s="60"/>
      <c r="S37" s="60"/>
      <c r="T37" s="4"/>
      <c r="U37" s="4"/>
      <c r="V37" s="4"/>
    </row>
    <row r="38" spans="1:22" x14ac:dyDescent="0.3">
      <c r="A38" s="133"/>
      <c r="B38" s="60"/>
      <c r="C38" s="60"/>
      <c r="D38" s="60"/>
      <c r="E38" s="60"/>
      <c r="F38" s="60"/>
      <c r="G38" s="60"/>
      <c r="H38" s="60"/>
      <c r="I38" s="60"/>
      <c r="J38" s="119"/>
      <c r="K38" s="119"/>
      <c r="L38" s="119"/>
      <c r="M38" s="119"/>
      <c r="N38" s="119"/>
      <c r="O38" s="119"/>
      <c r="P38" s="119"/>
      <c r="Q38" s="119"/>
      <c r="R38" s="60"/>
      <c r="S38" s="60"/>
      <c r="T38" s="4"/>
      <c r="U38" s="4"/>
      <c r="V38" s="4"/>
    </row>
    <row r="39" spans="1:22" x14ac:dyDescent="0.3">
      <c r="A39" s="133"/>
      <c r="B39" s="60"/>
      <c r="C39" s="60"/>
      <c r="D39" s="60"/>
      <c r="E39" s="60"/>
      <c r="F39" s="60"/>
      <c r="G39" s="60"/>
      <c r="H39" s="60"/>
      <c r="I39" s="60"/>
      <c r="J39" s="119"/>
      <c r="K39" s="119"/>
      <c r="L39" s="119"/>
      <c r="M39" s="119"/>
      <c r="N39" s="119"/>
      <c r="O39" s="119"/>
      <c r="P39" s="119"/>
      <c r="Q39" s="119"/>
      <c r="R39" s="60"/>
      <c r="S39" s="60"/>
      <c r="T39" s="4"/>
      <c r="U39" s="4"/>
      <c r="V39" s="4"/>
    </row>
    <row r="40" spans="1:22" x14ac:dyDescent="0.3">
      <c r="A40" s="133"/>
      <c r="B40" s="60"/>
      <c r="C40" s="60"/>
      <c r="D40" s="60"/>
      <c r="E40" s="60"/>
      <c r="F40" s="60"/>
      <c r="G40" s="60"/>
      <c r="H40" s="60"/>
      <c r="I40" s="60"/>
      <c r="J40" s="119"/>
      <c r="K40" s="119"/>
      <c r="L40" s="119"/>
      <c r="M40" s="119"/>
      <c r="N40" s="119"/>
      <c r="O40" s="119"/>
      <c r="P40" s="119"/>
      <c r="Q40" s="119"/>
      <c r="R40" s="60"/>
      <c r="S40" s="60"/>
      <c r="T40" s="4"/>
      <c r="U40" s="4"/>
      <c r="V40" s="4"/>
    </row>
    <row r="41" spans="1:22" x14ac:dyDescent="0.3">
      <c r="A41" s="133"/>
      <c r="B41" s="60"/>
      <c r="C41" s="60"/>
      <c r="D41" s="60"/>
      <c r="E41" s="60"/>
      <c r="F41" s="60"/>
      <c r="G41" s="60"/>
      <c r="H41" s="60"/>
      <c r="I41" s="60"/>
      <c r="J41" s="119"/>
      <c r="K41" s="119"/>
      <c r="L41" s="119"/>
      <c r="M41" s="119"/>
      <c r="N41" s="119"/>
      <c r="O41" s="119"/>
      <c r="P41" s="119"/>
      <c r="Q41" s="119"/>
      <c r="R41" s="60"/>
      <c r="S41" s="60"/>
      <c r="T41" s="4"/>
      <c r="U41" s="4"/>
      <c r="V41" s="4"/>
    </row>
    <row r="42" spans="1:22" x14ac:dyDescent="0.3">
      <c r="A42" s="133"/>
      <c r="B42" s="60"/>
      <c r="C42" s="60"/>
      <c r="D42" s="60"/>
      <c r="E42" s="60"/>
      <c r="F42" s="60"/>
      <c r="G42" s="60"/>
      <c r="H42" s="60"/>
      <c r="I42" s="60"/>
      <c r="J42" s="119"/>
      <c r="K42" s="119"/>
      <c r="L42" s="119"/>
      <c r="M42" s="119"/>
      <c r="N42" s="119"/>
      <c r="O42" s="119"/>
      <c r="P42" s="119"/>
      <c r="Q42" s="119"/>
      <c r="R42" s="60"/>
      <c r="S42" s="60"/>
      <c r="T42" s="4"/>
      <c r="U42" s="4"/>
      <c r="V42" s="4"/>
    </row>
    <row r="43" spans="1:22" x14ac:dyDescent="0.3">
      <c r="A43" s="133"/>
      <c r="B43" s="60"/>
      <c r="C43" s="60"/>
      <c r="D43" s="60"/>
      <c r="E43" s="60"/>
      <c r="F43" s="60"/>
      <c r="G43" s="60"/>
      <c r="H43" s="60"/>
      <c r="I43" s="60"/>
      <c r="J43" s="119"/>
      <c r="K43" s="119"/>
      <c r="L43" s="119"/>
      <c r="M43" s="119"/>
      <c r="N43" s="119"/>
      <c r="O43" s="119"/>
      <c r="P43" s="119"/>
      <c r="Q43" s="119"/>
      <c r="R43" s="60"/>
      <c r="S43" s="60"/>
      <c r="T43" s="4"/>
      <c r="U43" s="4"/>
      <c r="V43" s="4"/>
    </row>
    <row r="44" spans="1:22" x14ac:dyDescent="0.3">
      <c r="A44" s="133"/>
      <c r="B44" s="60"/>
      <c r="C44" s="60"/>
      <c r="D44" s="60"/>
      <c r="E44" s="60"/>
      <c r="F44" s="60"/>
      <c r="G44" s="60"/>
      <c r="H44" s="60"/>
      <c r="I44" s="60"/>
      <c r="J44" s="119"/>
      <c r="K44" s="119"/>
      <c r="L44" s="119"/>
      <c r="M44" s="119"/>
      <c r="N44" s="119"/>
      <c r="O44" s="119"/>
      <c r="P44" s="119"/>
      <c r="Q44" s="119"/>
      <c r="R44" s="60"/>
      <c r="S44" s="60"/>
      <c r="T44" s="4"/>
      <c r="U44" s="4"/>
      <c r="V44" s="4"/>
    </row>
    <row r="45" spans="1:22" x14ac:dyDescent="0.3">
      <c r="A45" s="133"/>
      <c r="B45" s="60"/>
      <c r="C45" s="60"/>
      <c r="D45" s="60"/>
      <c r="E45" s="60"/>
      <c r="F45" s="60"/>
      <c r="G45" s="60"/>
      <c r="H45" s="60"/>
      <c r="I45" s="60"/>
      <c r="J45" s="119"/>
      <c r="K45" s="119"/>
      <c r="L45" s="119"/>
      <c r="M45" s="119"/>
      <c r="N45" s="119"/>
      <c r="O45" s="119"/>
      <c r="P45" s="119"/>
      <c r="Q45" s="119"/>
      <c r="R45" s="60"/>
      <c r="S45" s="60"/>
      <c r="T45" s="4"/>
      <c r="U45" s="4"/>
      <c r="V45" s="4"/>
    </row>
    <row r="46" spans="1:22" x14ac:dyDescent="0.3">
      <c r="A46" s="133"/>
      <c r="B46" s="60"/>
      <c r="C46" s="60"/>
      <c r="D46" s="60"/>
      <c r="E46" s="60"/>
      <c r="F46" s="60"/>
      <c r="G46" s="60"/>
      <c r="H46" s="60"/>
      <c r="I46" s="60"/>
      <c r="J46" s="119"/>
      <c r="K46" s="119"/>
      <c r="L46" s="119"/>
      <c r="M46" s="119"/>
      <c r="N46" s="119"/>
      <c r="O46" s="119"/>
      <c r="P46" s="119"/>
      <c r="Q46" s="119"/>
      <c r="R46" s="60"/>
      <c r="S46" s="60"/>
      <c r="T46" s="4"/>
      <c r="U46" s="4"/>
      <c r="V46" s="4"/>
    </row>
    <row r="47" spans="1:22" x14ac:dyDescent="0.3">
      <c r="A47" s="133"/>
      <c r="B47" s="60"/>
      <c r="C47" s="60"/>
      <c r="D47" s="60"/>
      <c r="E47" s="60"/>
      <c r="F47" s="60"/>
      <c r="G47" s="60"/>
      <c r="H47" s="60"/>
      <c r="I47" s="60"/>
      <c r="J47" s="119"/>
      <c r="K47" s="119"/>
      <c r="L47" s="119"/>
      <c r="M47" s="119"/>
      <c r="N47" s="119"/>
      <c r="O47" s="119"/>
      <c r="P47" s="119"/>
      <c r="Q47" s="119"/>
      <c r="R47" s="60"/>
      <c r="S47" s="60"/>
      <c r="T47" s="4"/>
      <c r="U47" s="4"/>
      <c r="V47" s="4"/>
    </row>
    <row r="48" spans="1:22" x14ac:dyDescent="0.3">
      <c r="A48" s="133"/>
      <c r="B48" s="60"/>
      <c r="C48" s="60"/>
      <c r="D48" s="60"/>
      <c r="E48" s="60"/>
      <c r="F48" s="60"/>
      <c r="G48" s="60"/>
      <c r="H48" s="60"/>
      <c r="I48" s="60"/>
      <c r="J48" s="119"/>
      <c r="K48" s="119"/>
      <c r="L48" s="119"/>
      <c r="M48" s="119"/>
      <c r="N48" s="119"/>
      <c r="O48" s="119"/>
      <c r="P48" s="119"/>
      <c r="Q48" s="119"/>
      <c r="R48" s="60"/>
      <c r="S48" s="60"/>
      <c r="T48" s="4"/>
      <c r="U48" s="4"/>
      <c r="V48" s="4"/>
    </row>
    <row r="49" spans="1:22" x14ac:dyDescent="0.3">
      <c r="A49" s="133"/>
      <c r="B49" s="60"/>
      <c r="C49" s="60"/>
      <c r="D49" s="60"/>
      <c r="E49" s="60"/>
      <c r="F49" s="60"/>
      <c r="G49" s="60"/>
      <c r="H49" s="60"/>
      <c r="I49" s="60"/>
      <c r="J49" s="119"/>
      <c r="K49" s="119"/>
      <c r="L49" s="119"/>
      <c r="M49" s="119"/>
      <c r="N49" s="119"/>
      <c r="O49" s="119"/>
      <c r="P49" s="119"/>
      <c r="Q49" s="119"/>
      <c r="R49" s="60"/>
      <c r="S49" s="60"/>
      <c r="T49" s="4"/>
      <c r="U49" s="4"/>
      <c r="V49" s="4"/>
    </row>
    <row r="50" spans="1:22" x14ac:dyDescent="0.3">
      <c r="A50" s="133"/>
      <c r="B50" s="60"/>
      <c r="C50" s="60"/>
      <c r="D50" s="60"/>
      <c r="E50" s="60"/>
      <c r="F50" s="60"/>
      <c r="G50" s="60"/>
      <c r="H50" s="60"/>
      <c r="I50" s="60"/>
      <c r="J50" s="119"/>
      <c r="K50" s="119"/>
      <c r="L50" s="119"/>
      <c r="M50" s="119"/>
      <c r="N50" s="119"/>
      <c r="O50" s="119"/>
      <c r="P50" s="119"/>
      <c r="Q50" s="119"/>
      <c r="R50" s="60"/>
      <c r="S50" s="60"/>
      <c r="T50" s="4"/>
      <c r="U50" s="4"/>
      <c r="V50" s="4"/>
    </row>
    <row r="51" spans="1:22" x14ac:dyDescent="0.3">
      <c r="A51" s="133"/>
      <c r="B51" s="60"/>
      <c r="C51" s="60"/>
      <c r="D51" s="60"/>
      <c r="E51" s="60"/>
      <c r="F51" s="60"/>
      <c r="G51" s="60"/>
      <c r="H51" s="60"/>
      <c r="I51" s="60"/>
      <c r="J51" s="119"/>
      <c r="K51" s="119"/>
      <c r="L51" s="119"/>
      <c r="M51" s="119"/>
      <c r="N51" s="119"/>
      <c r="O51" s="119"/>
      <c r="P51" s="119"/>
      <c r="Q51" s="119"/>
      <c r="R51" s="60"/>
      <c r="S51" s="60"/>
      <c r="T51" s="4"/>
      <c r="U51" s="4"/>
      <c r="V51" s="4"/>
    </row>
    <row r="52" spans="1:22" x14ac:dyDescent="0.3">
      <c r="A52" s="133"/>
      <c r="B52" s="60"/>
      <c r="C52" s="60"/>
      <c r="D52" s="60"/>
      <c r="E52" s="60"/>
      <c r="F52" s="60"/>
      <c r="G52" s="60"/>
      <c r="H52" s="60"/>
      <c r="I52" s="60"/>
      <c r="J52" s="119"/>
      <c r="K52" s="119"/>
      <c r="L52" s="119"/>
      <c r="M52" s="119"/>
      <c r="N52" s="119"/>
      <c r="O52" s="119"/>
      <c r="P52" s="119"/>
      <c r="Q52" s="119"/>
      <c r="R52" s="60"/>
      <c r="S52" s="60"/>
      <c r="T52" s="4"/>
      <c r="U52" s="4"/>
      <c r="V52" s="4"/>
    </row>
    <row r="53" spans="1:22" x14ac:dyDescent="0.3">
      <c r="A53" s="133"/>
      <c r="B53" s="60"/>
      <c r="C53" s="60"/>
      <c r="D53" s="60"/>
      <c r="E53" s="60"/>
      <c r="F53" s="60"/>
      <c r="G53" s="60"/>
      <c r="H53" s="60"/>
      <c r="I53" s="60"/>
      <c r="J53" s="119"/>
      <c r="K53" s="119"/>
      <c r="L53" s="119"/>
      <c r="M53" s="119"/>
      <c r="N53" s="119"/>
      <c r="O53" s="119"/>
      <c r="P53" s="119"/>
      <c r="Q53" s="119"/>
      <c r="R53" s="60"/>
      <c r="S53" s="60"/>
      <c r="T53" s="4"/>
      <c r="U53" s="4"/>
      <c r="V53" s="4"/>
    </row>
    <row r="54" spans="1:22" x14ac:dyDescent="0.3">
      <c r="A54" s="133"/>
      <c r="B54" s="60"/>
      <c r="C54" s="60"/>
      <c r="D54" s="60"/>
      <c r="E54" s="60"/>
      <c r="F54" s="60"/>
      <c r="G54" s="60"/>
      <c r="H54" s="60"/>
      <c r="I54" s="60"/>
      <c r="J54" s="119"/>
      <c r="K54" s="119"/>
      <c r="L54" s="119"/>
      <c r="M54" s="119"/>
      <c r="N54" s="119"/>
      <c r="O54" s="119"/>
      <c r="P54" s="119"/>
      <c r="Q54" s="119"/>
      <c r="R54" s="60"/>
      <c r="S54" s="60"/>
      <c r="T54" s="4"/>
      <c r="U54" s="4"/>
      <c r="V54" s="4"/>
    </row>
    <row r="55" spans="1:22" x14ac:dyDescent="0.3">
      <c r="A55" s="133"/>
      <c r="B55" s="60"/>
      <c r="C55" s="60"/>
      <c r="D55" s="60"/>
      <c r="E55" s="60"/>
      <c r="F55" s="60"/>
      <c r="G55" s="60"/>
      <c r="H55" s="60"/>
      <c r="I55" s="60"/>
      <c r="J55" s="119"/>
      <c r="K55" s="119"/>
      <c r="L55" s="119"/>
      <c r="M55" s="119"/>
      <c r="N55" s="119"/>
      <c r="O55" s="119"/>
      <c r="P55" s="119"/>
      <c r="Q55" s="119"/>
      <c r="R55" s="60"/>
      <c r="S55" s="60"/>
      <c r="T55" s="4"/>
      <c r="U55" s="4"/>
      <c r="V55" s="4"/>
    </row>
    <row r="56" spans="1:22" x14ac:dyDescent="0.3">
      <c r="A56" s="133"/>
      <c r="B56" s="60"/>
      <c r="C56" s="60"/>
      <c r="D56" s="60"/>
      <c r="E56" s="60"/>
      <c r="F56" s="60"/>
      <c r="G56" s="60"/>
      <c r="H56" s="60"/>
      <c r="I56" s="60"/>
      <c r="J56" s="119"/>
      <c r="K56" s="119"/>
      <c r="L56" s="119"/>
      <c r="M56" s="119"/>
      <c r="N56" s="119"/>
      <c r="O56" s="119"/>
      <c r="P56" s="119"/>
      <c r="Q56" s="119"/>
      <c r="R56" s="60"/>
      <c r="S56" s="60"/>
      <c r="T56" s="4"/>
      <c r="U56" s="4"/>
      <c r="V56" s="4"/>
    </row>
    <row r="57" spans="1:22" x14ac:dyDescent="0.3">
      <c r="A57" s="133"/>
      <c r="B57" s="60"/>
      <c r="C57" s="60"/>
      <c r="D57" s="60"/>
      <c r="E57" s="60"/>
      <c r="F57" s="60"/>
      <c r="G57" s="60"/>
      <c r="H57" s="60"/>
      <c r="I57" s="60"/>
      <c r="J57" s="119"/>
      <c r="K57" s="119"/>
      <c r="L57" s="119"/>
      <c r="M57" s="119"/>
      <c r="N57" s="119"/>
      <c r="O57" s="119"/>
      <c r="P57" s="119"/>
      <c r="Q57" s="119"/>
      <c r="R57" s="60"/>
      <c r="S57" s="60"/>
      <c r="T57" s="4"/>
      <c r="U57" s="4"/>
      <c r="V57" s="4"/>
    </row>
    <row r="58" spans="1:22" x14ac:dyDescent="0.3">
      <c r="A58" s="133"/>
      <c r="B58" s="60"/>
      <c r="C58" s="60"/>
      <c r="D58" s="60"/>
      <c r="E58" s="60"/>
      <c r="F58" s="60"/>
      <c r="G58" s="60"/>
      <c r="H58" s="60"/>
      <c r="I58" s="60"/>
      <c r="J58" s="119"/>
      <c r="K58" s="119"/>
      <c r="L58" s="119"/>
      <c r="M58" s="119"/>
      <c r="N58" s="119"/>
      <c r="O58" s="119"/>
      <c r="P58" s="119"/>
      <c r="Q58" s="119"/>
      <c r="R58" s="60"/>
      <c r="S58" s="60"/>
      <c r="T58" s="4"/>
      <c r="U58" s="4"/>
      <c r="V58" s="4"/>
    </row>
    <row r="59" spans="1:22" x14ac:dyDescent="0.3">
      <c r="A59" s="133"/>
      <c r="B59" s="60"/>
      <c r="C59" s="60"/>
      <c r="D59" s="60"/>
      <c r="E59" s="60"/>
      <c r="F59" s="60"/>
      <c r="G59" s="60"/>
      <c r="H59" s="60"/>
      <c r="I59" s="60"/>
      <c r="J59" s="119"/>
      <c r="K59" s="119"/>
      <c r="L59" s="119"/>
      <c r="M59" s="119"/>
      <c r="N59" s="119"/>
      <c r="O59" s="119"/>
      <c r="P59" s="119"/>
      <c r="Q59" s="119"/>
      <c r="R59" s="60"/>
      <c r="S59" s="60"/>
      <c r="T59" s="4"/>
      <c r="U59" s="4"/>
      <c r="V59" s="4"/>
    </row>
    <row r="60" spans="1:22" x14ac:dyDescent="0.3">
      <c r="A60" s="133"/>
      <c r="B60" s="60"/>
      <c r="C60" s="60"/>
      <c r="D60" s="60"/>
      <c r="E60" s="60"/>
      <c r="F60" s="60"/>
      <c r="G60" s="60"/>
      <c r="H60" s="60"/>
      <c r="I60" s="60"/>
      <c r="J60" s="119"/>
      <c r="K60" s="119"/>
      <c r="L60" s="119"/>
      <c r="M60" s="119"/>
      <c r="N60" s="119"/>
      <c r="O60" s="119"/>
      <c r="P60" s="119"/>
      <c r="Q60" s="119"/>
      <c r="R60" s="60"/>
      <c r="S60" s="60"/>
      <c r="T60" s="4"/>
      <c r="U60" s="4"/>
      <c r="V60" s="4"/>
    </row>
    <row r="61" spans="1:22" x14ac:dyDescent="0.3">
      <c r="A61" s="133"/>
      <c r="B61" s="60"/>
      <c r="C61" s="60"/>
      <c r="D61" s="60"/>
      <c r="E61" s="60"/>
      <c r="F61" s="60"/>
      <c r="G61" s="60"/>
      <c r="H61" s="60"/>
      <c r="I61" s="60"/>
      <c r="J61" s="119"/>
      <c r="K61" s="119"/>
      <c r="L61" s="119"/>
      <c r="M61" s="119"/>
      <c r="N61" s="119"/>
      <c r="O61" s="119"/>
      <c r="P61" s="119"/>
      <c r="Q61" s="119"/>
      <c r="R61" s="60"/>
      <c r="S61" s="60"/>
      <c r="T61" s="4"/>
      <c r="U61" s="4"/>
      <c r="V61" s="4"/>
    </row>
    <row r="62" spans="1:22" x14ac:dyDescent="0.3">
      <c r="A62" s="133"/>
      <c r="B62" s="60"/>
      <c r="C62" s="60"/>
      <c r="D62" s="60"/>
      <c r="E62" s="60"/>
      <c r="F62" s="60"/>
      <c r="G62" s="60"/>
      <c r="H62" s="60"/>
      <c r="I62" s="60"/>
      <c r="J62" s="119"/>
      <c r="K62" s="119"/>
      <c r="L62" s="119"/>
      <c r="M62" s="119"/>
      <c r="N62" s="119"/>
      <c r="O62" s="119"/>
      <c r="P62" s="119"/>
      <c r="Q62" s="119"/>
      <c r="R62" s="60"/>
      <c r="S62" s="60"/>
      <c r="T62" s="4"/>
      <c r="U62" s="4"/>
      <c r="V62" s="4"/>
    </row>
    <row r="63" spans="1:22" x14ac:dyDescent="0.3">
      <c r="A63" s="133"/>
      <c r="B63" s="60"/>
      <c r="C63" s="60"/>
      <c r="D63" s="60"/>
      <c r="E63" s="60"/>
      <c r="F63" s="60"/>
      <c r="G63" s="60"/>
      <c r="H63" s="60"/>
      <c r="I63" s="60"/>
      <c r="J63" s="119"/>
      <c r="K63" s="119"/>
      <c r="L63" s="119"/>
      <c r="M63" s="119"/>
      <c r="N63" s="119"/>
      <c r="O63" s="119"/>
      <c r="P63" s="119"/>
      <c r="Q63" s="119"/>
      <c r="R63" s="60"/>
      <c r="S63" s="60"/>
      <c r="T63" s="4"/>
      <c r="U63" s="4"/>
      <c r="V63" s="4"/>
    </row>
    <row r="64" spans="1:22" x14ac:dyDescent="0.3">
      <c r="A64" s="133"/>
      <c r="B64" s="60"/>
      <c r="C64" s="60"/>
      <c r="D64" s="60"/>
      <c r="E64" s="60"/>
      <c r="F64" s="60"/>
      <c r="G64" s="60"/>
      <c r="H64" s="60"/>
      <c r="I64" s="60"/>
      <c r="J64" s="119"/>
      <c r="K64" s="119"/>
      <c r="L64" s="119"/>
      <c r="M64" s="119"/>
      <c r="N64" s="119"/>
      <c r="O64" s="119"/>
      <c r="P64" s="119"/>
      <c r="Q64" s="119"/>
      <c r="R64" s="60"/>
      <c r="S64" s="60"/>
      <c r="T64" s="4"/>
      <c r="U64" s="4"/>
      <c r="V64" s="4"/>
    </row>
    <row r="65" spans="1:22" x14ac:dyDescent="0.3">
      <c r="A65" s="133"/>
      <c r="B65" s="60"/>
      <c r="C65" s="60"/>
      <c r="D65" s="60"/>
      <c r="E65" s="60"/>
      <c r="F65" s="60"/>
      <c r="G65" s="60"/>
      <c r="H65" s="60"/>
      <c r="I65" s="60"/>
      <c r="J65" s="119"/>
      <c r="K65" s="119"/>
      <c r="L65" s="119"/>
      <c r="M65" s="119"/>
      <c r="N65" s="119"/>
      <c r="O65" s="119"/>
      <c r="P65" s="119"/>
      <c r="Q65" s="119"/>
      <c r="R65" s="60"/>
      <c r="S65" s="60"/>
      <c r="T65" s="4"/>
      <c r="U65" s="4"/>
      <c r="V65" s="4"/>
    </row>
    <row r="66" spans="1:22" x14ac:dyDescent="0.3">
      <c r="A66" s="133"/>
      <c r="B66" s="60"/>
      <c r="C66" s="60"/>
      <c r="D66" s="60"/>
      <c r="E66" s="60"/>
      <c r="F66" s="60"/>
      <c r="G66" s="60"/>
      <c r="H66" s="60"/>
      <c r="I66" s="60"/>
      <c r="J66" s="119"/>
      <c r="K66" s="119"/>
      <c r="L66" s="119"/>
      <c r="M66" s="119"/>
      <c r="N66" s="119"/>
      <c r="O66" s="119"/>
      <c r="P66" s="119"/>
      <c r="Q66" s="119"/>
      <c r="R66" s="60"/>
      <c r="S66" s="60"/>
      <c r="T66" s="4"/>
      <c r="U66" s="4"/>
      <c r="V66" s="4"/>
    </row>
    <row r="67" spans="1:22" x14ac:dyDescent="0.3">
      <c r="A67" s="133"/>
      <c r="B67" s="60"/>
      <c r="C67" s="60"/>
      <c r="D67" s="60"/>
      <c r="E67" s="60"/>
      <c r="F67" s="60"/>
      <c r="G67" s="60"/>
      <c r="H67" s="60"/>
      <c r="I67" s="60"/>
      <c r="J67" s="119"/>
      <c r="K67" s="119"/>
      <c r="L67" s="119"/>
      <c r="M67" s="119"/>
      <c r="N67" s="119"/>
      <c r="O67" s="119"/>
      <c r="P67" s="119"/>
      <c r="Q67" s="119"/>
      <c r="R67" s="60"/>
      <c r="S67" s="60"/>
      <c r="T67" s="4"/>
      <c r="U67" s="4"/>
      <c r="V67" s="4"/>
    </row>
    <row r="68" spans="1:22" x14ac:dyDescent="0.3">
      <c r="A68" s="133"/>
      <c r="B68" s="60"/>
      <c r="C68" s="60"/>
      <c r="D68" s="60"/>
      <c r="E68" s="60"/>
      <c r="F68" s="60"/>
      <c r="G68" s="60"/>
      <c r="H68" s="60"/>
      <c r="I68" s="60"/>
      <c r="J68" s="119"/>
      <c r="K68" s="119"/>
      <c r="L68" s="119"/>
      <c r="M68" s="119"/>
      <c r="N68" s="119"/>
      <c r="O68" s="119"/>
      <c r="P68" s="119"/>
      <c r="Q68" s="119"/>
      <c r="R68" s="60"/>
      <c r="S68" s="60"/>
      <c r="T68" s="4"/>
      <c r="U68" s="4"/>
      <c r="V68" s="4"/>
    </row>
    <row r="69" spans="1:22" x14ac:dyDescent="0.3">
      <c r="A69" s="133"/>
      <c r="B69" s="60"/>
      <c r="C69" s="60"/>
      <c r="D69" s="60"/>
      <c r="E69" s="60"/>
      <c r="F69" s="60"/>
      <c r="G69" s="60"/>
      <c r="H69" s="60"/>
      <c r="I69" s="60"/>
      <c r="J69" s="119"/>
      <c r="K69" s="119"/>
      <c r="L69" s="119"/>
      <c r="M69" s="119"/>
      <c r="N69" s="119"/>
      <c r="O69" s="119"/>
      <c r="P69" s="119"/>
      <c r="Q69" s="119"/>
      <c r="R69" s="60"/>
      <c r="S69" s="60"/>
      <c r="T69" s="4"/>
      <c r="U69" s="4"/>
      <c r="V69" s="4"/>
    </row>
    <row r="70" spans="1:22" x14ac:dyDescent="0.3">
      <c r="A70" s="133"/>
      <c r="B70" s="60"/>
      <c r="C70" s="60"/>
      <c r="D70" s="60"/>
      <c r="E70" s="60"/>
      <c r="F70" s="60"/>
      <c r="G70" s="60"/>
      <c r="H70" s="60"/>
      <c r="I70" s="60"/>
      <c r="J70" s="119"/>
      <c r="K70" s="119"/>
      <c r="L70" s="119"/>
      <c r="M70" s="119"/>
      <c r="N70" s="119"/>
      <c r="O70" s="119"/>
      <c r="P70" s="119"/>
      <c r="Q70" s="119"/>
      <c r="R70" s="60"/>
      <c r="S70" s="60"/>
      <c r="T70" s="4"/>
      <c r="U70" s="4"/>
      <c r="V70" s="4"/>
    </row>
    <row r="71" spans="1:22" x14ac:dyDescent="0.3">
      <c r="A71" s="133"/>
      <c r="B71" s="60"/>
      <c r="C71" s="60"/>
      <c r="D71" s="60"/>
      <c r="E71" s="60"/>
      <c r="F71" s="60"/>
      <c r="G71" s="60"/>
      <c r="H71" s="60"/>
      <c r="I71" s="60"/>
      <c r="J71" s="119"/>
      <c r="K71" s="119"/>
      <c r="L71" s="119"/>
      <c r="M71" s="119"/>
      <c r="N71" s="119"/>
      <c r="O71" s="119"/>
      <c r="P71" s="119"/>
      <c r="Q71" s="119"/>
      <c r="R71" s="60"/>
      <c r="S71" s="60"/>
      <c r="T71" s="4"/>
      <c r="U71" s="4"/>
      <c r="V71" s="4"/>
    </row>
    <row r="72" spans="1:22" x14ac:dyDescent="0.3">
      <c r="A72" s="133"/>
      <c r="B72" s="60"/>
      <c r="C72" s="60"/>
      <c r="D72" s="60"/>
      <c r="E72" s="60"/>
      <c r="F72" s="60"/>
      <c r="G72" s="60"/>
      <c r="H72" s="60"/>
      <c r="I72" s="60"/>
      <c r="J72" s="119"/>
      <c r="K72" s="119"/>
      <c r="L72" s="119"/>
      <c r="M72" s="119"/>
      <c r="N72" s="119"/>
      <c r="O72" s="119"/>
      <c r="P72" s="119"/>
      <c r="Q72" s="119"/>
      <c r="R72" s="60"/>
      <c r="S72" s="60"/>
      <c r="T72" s="4"/>
      <c r="U72" s="4"/>
      <c r="V72" s="4"/>
    </row>
    <row r="73" spans="1:22" x14ac:dyDescent="0.3">
      <c r="A73" s="133"/>
      <c r="B73" s="60"/>
      <c r="C73" s="60"/>
      <c r="D73" s="60"/>
      <c r="E73" s="60"/>
      <c r="F73" s="60"/>
      <c r="G73" s="60"/>
      <c r="H73" s="60"/>
      <c r="I73" s="60"/>
      <c r="J73" s="119"/>
      <c r="K73" s="119"/>
      <c r="L73" s="119"/>
      <c r="M73" s="119"/>
      <c r="N73" s="119"/>
      <c r="O73" s="119"/>
      <c r="P73" s="119"/>
      <c r="Q73" s="119"/>
      <c r="R73" s="60"/>
      <c r="S73" s="60"/>
      <c r="T73" s="4"/>
      <c r="U73" s="4"/>
      <c r="V73" s="4"/>
    </row>
    <row r="74" spans="1:22" x14ac:dyDescent="0.3">
      <c r="A74" s="133"/>
      <c r="B74" s="60"/>
      <c r="C74" s="60"/>
      <c r="D74" s="60"/>
      <c r="E74" s="60"/>
      <c r="F74" s="60"/>
      <c r="G74" s="60"/>
      <c r="H74" s="60"/>
      <c r="I74" s="60"/>
      <c r="J74" s="119"/>
      <c r="K74" s="119"/>
      <c r="L74" s="119"/>
      <c r="M74" s="119"/>
      <c r="N74" s="119"/>
      <c r="O74" s="119"/>
      <c r="P74" s="119"/>
      <c r="Q74" s="119"/>
      <c r="R74" s="60"/>
      <c r="S74" s="60"/>
      <c r="T74" s="4"/>
      <c r="U74" s="4"/>
      <c r="V74" s="4"/>
    </row>
    <row r="75" spans="1:22" x14ac:dyDescent="0.3">
      <c r="A75" s="133"/>
      <c r="B75" s="60"/>
      <c r="C75" s="60"/>
      <c r="D75" s="60"/>
      <c r="E75" s="60"/>
      <c r="F75" s="60"/>
      <c r="G75" s="60"/>
      <c r="H75" s="60"/>
      <c r="I75" s="60"/>
      <c r="J75" s="119"/>
      <c r="K75" s="119"/>
      <c r="L75" s="119"/>
      <c r="M75" s="119"/>
      <c r="N75" s="119"/>
      <c r="O75" s="119"/>
      <c r="P75" s="119"/>
      <c r="Q75" s="119"/>
      <c r="R75" s="60"/>
      <c r="S75" s="60"/>
      <c r="T75" s="4"/>
      <c r="U75" s="4"/>
      <c r="V75" s="4"/>
    </row>
    <row r="76" spans="1:22" x14ac:dyDescent="0.3">
      <c r="A76" s="133"/>
      <c r="B76" s="60"/>
      <c r="C76" s="60"/>
      <c r="D76" s="60"/>
      <c r="E76" s="60"/>
      <c r="F76" s="60"/>
      <c r="G76" s="60"/>
      <c r="H76" s="60"/>
      <c r="I76" s="60"/>
      <c r="J76" s="119"/>
      <c r="K76" s="119"/>
      <c r="L76" s="119"/>
      <c r="M76" s="119"/>
      <c r="N76" s="119"/>
      <c r="O76" s="119"/>
      <c r="P76" s="119"/>
      <c r="Q76" s="119"/>
      <c r="R76" s="60"/>
      <c r="S76" s="60"/>
      <c r="T76" s="4"/>
      <c r="U76" s="4"/>
      <c r="V76" s="4"/>
    </row>
    <row r="77" spans="1:22" x14ac:dyDescent="0.3">
      <c r="A77" s="133"/>
      <c r="B77" s="60"/>
      <c r="C77" s="60"/>
      <c r="D77" s="60"/>
      <c r="E77" s="60"/>
      <c r="F77" s="60"/>
      <c r="G77" s="60"/>
      <c r="H77" s="60"/>
      <c r="I77" s="60"/>
      <c r="J77" s="119"/>
      <c r="K77" s="119"/>
      <c r="L77" s="119"/>
      <c r="M77" s="119"/>
      <c r="N77" s="119"/>
      <c r="O77" s="119"/>
      <c r="P77" s="119"/>
      <c r="Q77" s="119"/>
      <c r="R77" s="60"/>
      <c r="S77" s="60"/>
      <c r="T77" s="4"/>
      <c r="U77" s="4"/>
      <c r="V77" s="4"/>
    </row>
    <row r="78" spans="1:22" x14ac:dyDescent="0.3">
      <c r="A78" s="133"/>
      <c r="B78" s="60"/>
      <c r="C78" s="60"/>
      <c r="D78" s="60"/>
      <c r="E78" s="60"/>
      <c r="F78" s="60"/>
      <c r="G78" s="60"/>
      <c r="H78" s="60"/>
      <c r="I78" s="60"/>
      <c r="J78" s="119"/>
      <c r="K78" s="119"/>
      <c r="L78" s="119"/>
      <c r="M78" s="119"/>
      <c r="N78" s="119"/>
      <c r="O78" s="119"/>
      <c r="P78" s="119"/>
      <c r="Q78" s="119"/>
      <c r="R78" s="60"/>
      <c r="S78" s="60"/>
      <c r="T78" s="4"/>
      <c r="U78" s="4"/>
      <c r="V78" s="4"/>
    </row>
    <row r="79" spans="1:22" x14ac:dyDescent="0.3">
      <c r="A79" s="133"/>
      <c r="B79" s="60"/>
      <c r="C79" s="60"/>
      <c r="D79" s="60"/>
      <c r="E79" s="60"/>
      <c r="F79" s="60"/>
      <c r="G79" s="60"/>
      <c r="H79" s="60"/>
      <c r="I79" s="60"/>
      <c r="J79" s="119"/>
      <c r="K79" s="119"/>
      <c r="L79" s="119"/>
      <c r="M79" s="119"/>
      <c r="N79" s="119"/>
      <c r="O79" s="119"/>
      <c r="P79" s="119"/>
      <c r="Q79" s="119"/>
      <c r="R79" s="60"/>
      <c r="S79" s="60"/>
      <c r="T79" s="4"/>
      <c r="U79" s="4"/>
      <c r="V79" s="4"/>
    </row>
    <row r="80" spans="1:22" x14ac:dyDescent="0.3">
      <c r="A80" s="133"/>
      <c r="B80" s="60"/>
      <c r="C80" s="60"/>
      <c r="D80" s="60"/>
      <c r="E80" s="60"/>
      <c r="F80" s="60"/>
      <c r="G80" s="60"/>
      <c r="H80" s="60"/>
      <c r="I80" s="60"/>
      <c r="J80" s="119"/>
      <c r="K80" s="119"/>
      <c r="L80" s="119"/>
      <c r="M80" s="119"/>
      <c r="N80" s="119"/>
      <c r="O80" s="119"/>
      <c r="P80" s="119"/>
      <c r="Q80" s="119"/>
      <c r="R80" s="60"/>
      <c r="S80" s="60"/>
      <c r="T80" s="4"/>
      <c r="U80" s="4"/>
      <c r="V80" s="4"/>
    </row>
    <row r="81" spans="1:22" x14ac:dyDescent="0.3">
      <c r="A81" s="133"/>
      <c r="B81" s="60"/>
      <c r="C81" s="60"/>
      <c r="D81" s="60"/>
      <c r="E81" s="60"/>
      <c r="F81" s="60"/>
      <c r="G81" s="60"/>
      <c r="H81" s="60"/>
      <c r="I81" s="60"/>
      <c r="J81" s="119"/>
      <c r="K81" s="119"/>
      <c r="L81" s="119"/>
      <c r="M81" s="119"/>
      <c r="N81" s="119"/>
      <c r="O81" s="119"/>
      <c r="P81" s="119"/>
      <c r="Q81" s="119"/>
      <c r="R81" s="60"/>
      <c r="S81" s="60"/>
      <c r="T81" s="4"/>
      <c r="U81" s="4"/>
      <c r="V81" s="4"/>
    </row>
    <row r="82" spans="1:22" x14ac:dyDescent="0.3">
      <c r="A82" s="133"/>
      <c r="B82" s="60"/>
      <c r="C82" s="60"/>
      <c r="D82" s="60"/>
      <c r="E82" s="60"/>
      <c r="F82" s="60"/>
      <c r="G82" s="60"/>
      <c r="H82" s="60"/>
      <c r="I82" s="60"/>
      <c r="J82" s="119"/>
      <c r="K82" s="119"/>
      <c r="L82" s="119"/>
      <c r="M82" s="119"/>
      <c r="N82" s="119"/>
      <c r="O82" s="119"/>
      <c r="P82" s="119"/>
      <c r="Q82" s="119"/>
      <c r="R82" s="60"/>
      <c r="S82" s="60"/>
      <c r="T82" s="4"/>
      <c r="U82" s="4"/>
      <c r="V82" s="4"/>
    </row>
    <row r="83" spans="1:22" x14ac:dyDescent="0.3">
      <c r="A83" s="133"/>
      <c r="B83" s="60"/>
      <c r="C83" s="60"/>
      <c r="D83" s="60"/>
      <c r="E83" s="60"/>
      <c r="F83" s="60"/>
      <c r="G83" s="60"/>
      <c r="H83" s="60"/>
      <c r="I83" s="60"/>
      <c r="J83" s="119"/>
      <c r="K83" s="119"/>
      <c r="L83" s="119"/>
      <c r="M83" s="119"/>
      <c r="N83" s="119"/>
      <c r="O83" s="119"/>
      <c r="P83" s="119"/>
      <c r="Q83" s="119"/>
      <c r="R83" s="60"/>
      <c r="S83" s="60"/>
      <c r="T83" s="4"/>
      <c r="U83" s="4"/>
      <c r="V83" s="4"/>
    </row>
    <row r="84" spans="1:22" x14ac:dyDescent="0.3">
      <c r="A84" s="133"/>
      <c r="B84" s="60"/>
      <c r="C84" s="60"/>
      <c r="D84" s="60"/>
      <c r="E84" s="60"/>
      <c r="F84" s="60"/>
      <c r="G84" s="60"/>
      <c r="H84" s="60"/>
      <c r="I84" s="60"/>
      <c r="J84" s="119"/>
      <c r="K84" s="119"/>
      <c r="L84" s="119"/>
      <c r="M84" s="119"/>
      <c r="N84" s="119"/>
      <c r="O84" s="119"/>
      <c r="P84" s="119"/>
      <c r="Q84" s="119"/>
      <c r="R84" s="60"/>
      <c r="S84" s="60"/>
      <c r="T84" s="4"/>
      <c r="U84" s="4"/>
      <c r="V84" s="4"/>
    </row>
    <row r="85" spans="1:22" x14ac:dyDescent="0.3">
      <c r="A85" s="133"/>
      <c r="B85" s="60"/>
      <c r="C85" s="60"/>
      <c r="D85" s="60"/>
      <c r="E85" s="60"/>
      <c r="F85" s="60"/>
      <c r="G85" s="60"/>
      <c r="H85" s="60"/>
      <c r="I85" s="60"/>
      <c r="J85" s="119"/>
      <c r="K85" s="119"/>
      <c r="L85" s="119"/>
      <c r="M85" s="119"/>
      <c r="N85" s="119"/>
      <c r="O85" s="119"/>
      <c r="P85" s="119"/>
      <c r="Q85" s="119"/>
      <c r="R85" s="60"/>
      <c r="S85" s="60"/>
      <c r="T85" s="4"/>
      <c r="U85" s="4"/>
      <c r="V85" s="4"/>
    </row>
    <row r="86" spans="1:22" x14ac:dyDescent="0.3">
      <c r="A86" s="133"/>
      <c r="B86" s="60"/>
      <c r="C86" s="60"/>
      <c r="D86" s="60"/>
      <c r="E86" s="60"/>
      <c r="F86" s="60"/>
      <c r="G86" s="60"/>
      <c r="H86" s="60"/>
      <c r="I86" s="60"/>
      <c r="J86" s="119"/>
      <c r="K86" s="119"/>
      <c r="L86" s="119"/>
      <c r="M86" s="119"/>
      <c r="N86" s="119"/>
      <c r="O86" s="119"/>
      <c r="P86" s="119"/>
      <c r="Q86" s="119"/>
      <c r="R86" s="60"/>
      <c r="S86" s="60"/>
      <c r="T86" s="4"/>
      <c r="U86" s="4"/>
      <c r="V86" s="4"/>
    </row>
    <row r="87" spans="1:22" x14ac:dyDescent="0.3">
      <c r="A87" s="133"/>
      <c r="B87" s="60"/>
      <c r="C87" s="60"/>
      <c r="D87" s="60"/>
      <c r="E87" s="60"/>
      <c r="F87" s="60"/>
      <c r="G87" s="60"/>
      <c r="H87" s="60"/>
      <c r="I87" s="60"/>
      <c r="J87" s="119"/>
      <c r="K87" s="119"/>
      <c r="L87" s="119"/>
      <c r="M87" s="119"/>
      <c r="N87" s="119"/>
      <c r="O87" s="119"/>
      <c r="P87" s="119"/>
      <c r="Q87" s="119"/>
      <c r="R87" s="60"/>
      <c r="S87" s="60"/>
      <c r="T87" s="4"/>
      <c r="U87" s="4"/>
      <c r="V87" s="4"/>
    </row>
    <row r="88" spans="1:22" x14ac:dyDescent="0.3">
      <c r="A88" s="133"/>
      <c r="B88" s="60"/>
      <c r="C88" s="60"/>
      <c r="D88" s="60"/>
      <c r="E88" s="60"/>
      <c r="F88" s="60"/>
      <c r="G88" s="60"/>
      <c r="H88" s="60"/>
      <c r="I88" s="60"/>
      <c r="J88" s="119"/>
      <c r="K88" s="119"/>
      <c r="L88" s="119"/>
      <c r="M88" s="119"/>
      <c r="N88" s="119"/>
      <c r="O88" s="119"/>
      <c r="P88" s="119"/>
      <c r="Q88" s="119"/>
      <c r="R88" s="60"/>
      <c r="S88" s="60"/>
      <c r="T88" s="4"/>
      <c r="U88" s="4"/>
      <c r="V88" s="4"/>
    </row>
    <row r="89" spans="1:22" x14ac:dyDescent="0.3">
      <c r="A89" s="133"/>
      <c r="B89" s="60"/>
      <c r="C89" s="60"/>
      <c r="D89" s="60"/>
      <c r="E89" s="60"/>
      <c r="F89" s="60"/>
      <c r="G89" s="60"/>
      <c r="H89" s="60"/>
      <c r="I89" s="60"/>
      <c r="J89" s="119"/>
      <c r="K89" s="119"/>
      <c r="L89" s="119"/>
      <c r="M89" s="119"/>
      <c r="N89" s="119"/>
      <c r="O89" s="119"/>
      <c r="P89" s="119"/>
      <c r="Q89" s="119"/>
      <c r="R89" s="60"/>
      <c r="S89" s="60"/>
      <c r="T89" s="4"/>
      <c r="U89" s="4"/>
      <c r="V89" s="4"/>
    </row>
    <row r="90" spans="1:22" x14ac:dyDescent="0.3">
      <c r="A90" s="133"/>
      <c r="B90" s="60"/>
      <c r="C90" s="60"/>
      <c r="D90" s="60"/>
      <c r="E90" s="60"/>
      <c r="F90" s="60"/>
      <c r="G90" s="60"/>
      <c r="H90" s="60"/>
      <c r="I90" s="60"/>
      <c r="J90" s="119"/>
      <c r="K90" s="119"/>
      <c r="L90" s="119"/>
      <c r="M90" s="119"/>
      <c r="N90" s="119"/>
      <c r="O90" s="119"/>
      <c r="P90" s="119"/>
      <c r="Q90" s="119"/>
      <c r="R90" s="60"/>
      <c r="S90" s="60"/>
      <c r="T90" s="4"/>
      <c r="U90" s="4"/>
      <c r="V90" s="4"/>
    </row>
    <row r="91" spans="1:22" x14ac:dyDescent="0.3">
      <c r="A91" s="133"/>
      <c r="B91" s="60"/>
      <c r="C91" s="60"/>
      <c r="D91" s="60"/>
      <c r="E91" s="60"/>
      <c r="F91" s="60"/>
      <c r="G91" s="60"/>
      <c r="H91" s="60"/>
      <c r="I91" s="60"/>
      <c r="J91" s="119"/>
      <c r="K91" s="119"/>
      <c r="L91" s="119"/>
      <c r="M91" s="119"/>
      <c r="N91" s="119"/>
      <c r="O91" s="119"/>
      <c r="P91" s="119"/>
      <c r="Q91" s="119"/>
      <c r="R91" s="60"/>
      <c r="S91" s="60"/>
      <c r="T91" s="4"/>
      <c r="U91" s="4"/>
      <c r="V91" s="4"/>
    </row>
    <row r="92" spans="1:22" x14ac:dyDescent="0.3">
      <c r="A92" s="133"/>
      <c r="B92" s="60"/>
      <c r="C92" s="60"/>
      <c r="D92" s="60"/>
      <c r="E92" s="60"/>
      <c r="F92" s="60"/>
      <c r="G92" s="60"/>
      <c r="H92" s="60"/>
      <c r="I92" s="60"/>
      <c r="J92" s="119"/>
      <c r="K92" s="119"/>
      <c r="L92" s="119"/>
      <c r="M92" s="119"/>
      <c r="N92" s="119"/>
      <c r="O92" s="119"/>
      <c r="P92" s="119"/>
      <c r="Q92" s="119"/>
      <c r="R92" s="60"/>
      <c r="S92" s="60"/>
      <c r="T92" s="4"/>
      <c r="U92" s="4"/>
      <c r="V92" s="4"/>
    </row>
    <row r="93" spans="1:22" x14ac:dyDescent="0.3">
      <c r="A93" s="133"/>
      <c r="B93" s="60"/>
      <c r="C93" s="60"/>
      <c r="D93" s="60"/>
      <c r="E93" s="60"/>
      <c r="F93" s="60"/>
      <c r="G93" s="60"/>
      <c r="H93" s="60"/>
      <c r="I93" s="60"/>
      <c r="J93" s="119"/>
      <c r="K93" s="119"/>
      <c r="L93" s="119"/>
      <c r="M93" s="119"/>
      <c r="N93" s="119"/>
      <c r="O93" s="119"/>
      <c r="P93" s="119"/>
      <c r="Q93" s="119"/>
      <c r="R93" s="60"/>
      <c r="S93" s="60"/>
      <c r="T93" s="4"/>
      <c r="U93" s="4"/>
      <c r="V93" s="4"/>
    </row>
    <row r="94" spans="1:22" x14ac:dyDescent="0.3">
      <c r="A94" s="133"/>
      <c r="B94" s="60"/>
      <c r="C94" s="60"/>
      <c r="D94" s="60"/>
      <c r="E94" s="60"/>
      <c r="F94" s="60"/>
      <c r="G94" s="60"/>
      <c r="H94" s="60"/>
      <c r="I94" s="60"/>
      <c r="J94" s="119"/>
      <c r="K94" s="119"/>
      <c r="L94" s="119"/>
      <c r="M94" s="119"/>
      <c r="N94" s="119"/>
      <c r="O94" s="119"/>
      <c r="P94" s="119"/>
      <c r="Q94" s="119"/>
      <c r="R94" s="60"/>
      <c r="S94" s="60"/>
      <c r="T94" s="4"/>
      <c r="U94" s="4"/>
      <c r="V94" s="4"/>
    </row>
    <row r="95" spans="1:22" x14ac:dyDescent="0.3">
      <c r="A95" s="133"/>
      <c r="B95" s="60"/>
      <c r="C95" s="60"/>
      <c r="D95" s="60"/>
      <c r="E95" s="60"/>
      <c r="F95" s="60"/>
      <c r="G95" s="60"/>
      <c r="H95" s="60"/>
      <c r="I95" s="60"/>
      <c r="J95" s="119"/>
      <c r="K95" s="119"/>
      <c r="L95" s="119"/>
      <c r="M95" s="119"/>
      <c r="N95" s="119"/>
      <c r="O95" s="119"/>
      <c r="P95" s="119"/>
      <c r="Q95" s="119"/>
      <c r="R95" s="60"/>
      <c r="S95" s="60"/>
      <c r="T95" s="4"/>
      <c r="U95" s="4"/>
      <c r="V95" s="4"/>
    </row>
    <row r="96" spans="1:22" x14ac:dyDescent="0.3">
      <c r="A96" s="133"/>
      <c r="B96" s="60"/>
      <c r="C96" s="60"/>
      <c r="D96" s="60"/>
      <c r="E96" s="60"/>
      <c r="F96" s="60"/>
      <c r="G96" s="60"/>
      <c r="H96" s="60"/>
      <c r="I96" s="60"/>
      <c r="J96" s="119"/>
      <c r="K96" s="119"/>
      <c r="L96" s="119"/>
      <c r="M96" s="119"/>
      <c r="N96" s="119"/>
      <c r="O96" s="119"/>
      <c r="P96" s="119"/>
      <c r="Q96" s="119"/>
      <c r="R96" s="60"/>
      <c r="S96" s="60"/>
      <c r="T96" s="4"/>
      <c r="U96" s="4"/>
      <c r="V96" s="4"/>
    </row>
    <row r="97" spans="1:22" x14ac:dyDescent="0.3">
      <c r="A97" s="133"/>
      <c r="B97" s="60"/>
      <c r="C97" s="60"/>
      <c r="D97" s="60"/>
      <c r="E97" s="60"/>
      <c r="F97" s="60"/>
      <c r="G97" s="60"/>
      <c r="H97" s="60"/>
      <c r="I97" s="60"/>
      <c r="J97" s="119"/>
      <c r="K97" s="119"/>
      <c r="L97" s="119"/>
      <c r="M97" s="119"/>
      <c r="N97" s="119"/>
      <c r="O97" s="119"/>
      <c r="P97" s="119"/>
      <c r="Q97" s="119"/>
      <c r="R97" s="60"/>
      <c r="S97" s="60"/>
      <c r="T97" s="4"/>
      <c r="U97" s="4"/>
      <c r="V97" s="4"/>
    </row>
    <row r="98" spans="1:22" x14ac:dyDescent="0.3">
      <c r="A98" s="133"/>
      <c r="B98" s="60"/>
      <c r="C98" s="60"/>
      <c r="D98" s="60"/>
      <c r="E98" s="60"/>
      <c r="F98" s="60"/>
      <c r="G98" s="60"/>
      <c r="H98" s="60"/>
      <c r="I98" s="60"/>
      <c r="J98" s="119"/>
      <c r="K98" s="119"/>
      <c r="L98" s="119"/>
      <c r="M98" s="119"/>
      <c r="N98" s="119"/>
      <c r="O98" s="119"/>
      <c r="P98" s="119"/>
      <c r="Q98" s="119"/>
      <c r="R98" s="60"/>
      <c r="S98" s="60"/>
      <c r="T98" s="4"/>
      <c r="U98" s="4"/>
      <c r="V98" s="4"/>
    </row>
    <row r="99" spans="1:22" x14ac:dyDescent="0.3">
      <c r="A99" s="133"/>
      <c r="B99" s="60"/>
      <c r="C99" s="60"/>
      <c r="D99" s="60"/>
      <c r="E99" s="60"/>
      <c r="F99" s="60"/>
      <c r="G99" s="60"/>
      <c r="H99" s="60"/>
      <c r="I99" s="60"/>
      <c r="J99" s="119"/>
      <c r="K99" s="119"/>
      <c r="L99" s="119"/>
      <c r="M99" s="119"/>
      <c r="N99" s="119"/>
      <c r="O99" s="119"/>
      <c r="P99" s="119"/>
      <c r="Q99" s="119"/>
      <c r="R99" s="60"/>
      <c r="S99" s="60"/>
      <c r="T99" s="4"/>
      <c r="U99" s="4"/>
      <c r="V99" s="4"/>
    </row>
    <row r="100" spans="1:22" x14ac:dyDescent="0.3">
      <c r="A100" s="133"/>
      <c r="B100" s="60"/>
      <c r="C100" s="60"/>
      <c r="D100" s="60"/>
      <c r="E100" s="60"/>
      <c r="F100" s="60"/>
      <c r="G100" s="60"/>
      <c r="H100" s="60"/>
      <c r="I100" s="60"/>
      <c r="J100" s="119"/>
      <c r="K100" s="119"/>
      <c r="L100" s="119"/>
      <c r="M100" s="119"/>
      <c r="N100" s="119"/>
      <c r="O100" s="119"/>
      <c r="P100" s="119"/>
      <c r="Q100" s="119"/>
      <c r="R100" s="60"/>
      <c r="S100" s="60"/>
      <c r="T100" s="4"/>
      <c r="U100" s="4"/>
      <c r="V100" s="4"/>
    </row>
    <row r="101" spans="1:22" x14ac:dyDescent="0.3">
      <c r="A101" s="133"/>
      <c r="B101" s="60"/>
      <c r="C101" s="60"/>
      <c r="D101" s="60"/>
      <c r="E101" s="60"/>
      <c r="F101" s="60"/>
      <c r="G101" s="60"/>
      <c r="H101" s="60"/>
      <c r="I101" s="60"/>
      <c r="J101" s="119"/>
      <c r="K101" s="119"/>
      <c r="L101" s="119"/>
      <c r="M101" s="119"/>
      <c r="N101" s="119"/>
      <c r="O101" s="119"/>
      <c r="P101" s="119"/>
      <c r="Q101" s="119"/>
      <c r="R101" s="60"/>
      <c r="S101" s="60"/>
      <c r="T101" s="4"/>
      <c r="U101" s="4"/>
      <c r="V101" s="4"/>
    </row>
    <row r="102" spans="1:22" x14ac:dyDescent="0.3">
      <c r="A102" s="133"/>
      <c r="B102" s="60"/>
      <c r="C102" s="60"/>
      <c r="D102" s="60"/>
      <c r="E102" s="60"/>
      <c r="F102" s="60"/>
      <c r="G102" s="60"/>
      <c r="H102" s="60"/>
      <c r="I102" s="60"/>
      <c r="J102" s="119"/>
      <c r="K102" s="119"/>
      <c r="L102" s="119"/>
      <c r="M102" s="119"/>
      <c r="N102" s="119"/>
      <c r="O102" s="119"/>
      <c r="P102" s="119"/>
      <c r="Q102" s="119"/>
      <c r="R102" s="60"/>
      <c r="S102" s="60"/>
      <c r="T102" s="4"/>
      <c r="U102" s="4"/>
      <c r="V102" s="4"/>
    </row>
    <row r="103" spans="1:22" x14ac:dyDescent="0.3">
      <c r="A103" s="133"/>
      <c r="B103" s="60"/>
      <c r="C103" s="60"/>
      <c r="D103" s="60"/>
      <c r="E103" s="60"/>
      <c r="F103" s="60"/>
      <c r="G103" s="60"/>
      <c r="H103" s="60"/>
      <c r="I103" s="60"/>
      <c r="J103" s="119"/>
      <c r="K103" s="119"/>
      <c r="L103" s="119"/>
      <c r="M103" s="119"/>
      <c r="N103" s="119"/>
      <c r="O103" s="119"/>
      <c r="P103" s="119"/>
      <c r="Q103" s="119"/>
      <c r="R103" s="60"/>
      <c r="S103" s="60"/>
      <c r="T103" s="4"/>
      <c r="U103" s="4"/>
      <c r="V103" s="4"/>
    </row>
    <row r="104" spans="1:22" x14ac:dyDescent="0.3">
      <c r="A104" s="133"/>
      <c r="B104" s="60"/>
      <c r="C104" s="60"/>
      <c r="D104" s="60"/>
      <c r="E104" s="60"/>
      <c r="F104" s="60"/>
      <c r="G104" s="60"/>
      <c r="H104" s="60"/>
      <c r="I104" s="60"/>
      <c r="J104" s="119"/>
      <c r="K104" s="119"/>
      <c r="L104" s="119"/>
      <c r="M104" s="119"/>
      <c r="N104" s="119"/>
      <c r="O104" s="119"/>
      <c r="P104" s="119"/>
      <c r="Q104" s="119"/>
      <c r="R104" s="60"/>
      <c r="S104" s="60"/>
      <c r="T104" s="4"/>
      <c r="U104" s="4"/>
      <c r="V104" s="4"/>
    </row>
    <row r="105" spans="1:22" x14ac:dyDescent="0.3">
      <c r="A105" s="133"/>
      <c r="B105" s="60"/>
      <c r="C105" s="60"/>
      <c r="D105" s="60"/>
      <c r="E105" s="60"/>
      <c r="F105" s="60"/>
      <c r="G105" s="60"/>
      <c r="H105" s="60"/>
      <c r="I105" s="60"/>
      <c r="J105" s="119"/>
      <c r="K105" s="119"/>
      <c r="L105" s="119"/>
      <c r="M105" s="119"/>
      <c r="N105" s="119"/>
      <c r="O105" s="119"/>
      <c r="P105" s="119"/>
      <c r="Q105" s="119"/>
      <c r="R105" s="60"/>
      <c r="S105" s="60"/>
      <c r="T105" s="4"/>
      <c r="U105" s="4"/>
      <c r="V105" s="4"/>
    </row>
    <row r="106" spans="1:22" x14ac:dyDescent="0.3">
      <c r="A106" s="133"/>
      <c r="B106" s="60"/>
      <c r="C106" s="60"/>
      <c r="D106" s="60"/>
      <c r="E106" s="60"/>
      <c r="F106" s="60"/>
      <c r="G106" s="60"/>
      <c r="H106" s="60"/>
      <c r="I106" s="60"/>
      <c r="J106" s="119"/>
      <c r="K106" s="119"/>
      <c r="L106" s="119"/>
      <c r="M106" s="119"/>
      <c r="N106" s="119"/>
      <c r="O106" s="119"/>
      <c r="P106" s="119"/>
      <c r="Q106" s="119"/>
      <c r="R106" s="60"/>
      <c r="S106" s="60"/>
      <c r="T106" s="4"/>
      <c r="U106" s="4"/>
      <c r="V106" s="4"/>
    </row>
    <row r="107" spans="1:22" x14ac:dyDescent="0.3">
      <c r="A107" s="133"/>
      <c r="B107" s="60"/>
      <c r="C107" s="60"/>
      <c r="D107" s="60"/>
      <c r="E107" s="60"/>
      <c r="F107" s="60"/>
      <c r="G107" s="60"/>
      <c r="H107" s="60"/>
      <c r="I107" s="60"/>
      <c r="J107" s="119"/>
      <c r="K107" s="119"/>
      <c r="L107" s="119"/>
      <c r="M107" s="119"/>
      <c r="N107" s="119"/>
      <c r="O107" s="119"/>
      <c r="P107" s="119"/>
      <c r="Q107" s="119"/>
      <c r="R107" s="60"/>
      <c r="S107" s="60"/>
      <c r="T107" s="4"/>
      <c r="U107" s="4"/>
      <c r="V107" s="4"/>
    </row>
    <row r="108" spans="1:22" x14ac:dyDescent="0.3">
      <c r="A108" s="133"/>
      <c r="B108" s="60"/>
      <c r="C108" s="60"/>
      <c r="D108" s="60"/>
      <c r="E108" s="60"/>
      <c r="F108" s="60"/>
      <c r="G108" s="60"/>
      <c r="H108" s="60"/>
      <c r="I108" s="60"/>
      <c r="J108" s="119"/>
      <c r="K108" s="119"/>
      <c r="L108" s="119"/>
      <c r="M108" s="119"/>
      <c r="N108" s="119"/>
      <c r="O108" s="119"/>
      <c r="P108" s="119"/>
      <c r="Q108" s="119"/>
      <c r="R108" s="60"/>
      <c r="S108" s="60"/>
      <c r="T108" s="4"/>
      <c r="U108" s="4"/>
      <c r="V108" s="4"/>
    </row>
    <row r="109" spans="1:22" x14ac:dyDescent="0.3">
      <c r="A109" s="133"/>
      <c r="B109" s="60"/>
      <c r="C109" s="60"/>
      <c r="D109" s="60"/>
      <c r="E109" s="60"/>
      <c r="F109" s="60"/>
      <c r="G109" s="60"/>
      <c r="H109" s="60"/>
      <c r="I109" s="60"/>
      <c r="J109" s="119"/>
      <c r="K109" s="119"/>
      <c r="L109" s="119"/>
      <c r="M109" s="119"/>
      <c r="N109" s="119"/>
      <c r="O109" s="119"/>
      <c r="P109" s="119"/>
      <c r="Q109" s="119"/>
      <c r="R109" s="60"/>
      <c r="S109" s="60"/>
      <c r="T109" s="4"/>
      <c r="U109" s="4"/>
      <c r="V109" s="4"/>
    </row>
    <row r="110" spans="1:22" x14ac:dyDescent="0.3">
      <c r="A110" s="133"/>
      <c r="B110" s="60"/>
      <c r="C110" s="60"/>
      <c r="D110" s="60"/>
      <c r="E110" s="60"/>
      <c r="F110" s="60"/>
      <c r="G110" s="60"/>
      <c r="H110" s="60"/>
      <c r="I110" s="60"/>
      <c r="J110" s="119"/>
      <c r="K110" s="119"/>
      <c r="L110" s="119"/>
      <c r="M110" s="119"/>
      <c r="N110" s="119"/>
      <c r="O110" s="119"/>
      <c r="P110" s="119"/>
      <c r="Q110" s="119"/>
      <c r="R110" s="60"/>
      <c r="S110" s="60"/>
      <c r="T110" s="4"/>
      <c r="U110" s="4"/>
      <c r="V110" s="4"/>
    </row>
    <row r="111" spans="1:22" x14ac:dyDescent="0.3">
      <c r="A111" s="133"/>
      <c r="B111" s="60"/>
      <c r="C111" s="60"/>
      <c r="D111" s="60"/>
      <c r="E111" s="60"/>
      <c r="F111" s="60"/>
      <c r="G111" s="60"/>
      <c r="H111" s="60"/>
      <c r="I111" s="60"/>
      <c r="J111" s="119"/>
      <c r="K111" s="119"/>
      <c r="L111" s="119"/>
      <c r="M111" s="119"/>
      <c r="N111" s="119"/>
      <c r="O111" s="119"/>
      <c r="P111" s="119"/>
      <c r="Q111" s="119"/>
      <c r="R111" s="60"/>
      <c r="S111" s="60"/>
      <c r="T111" s="4"/>
      <c r="U111" s="4"/>
      <c r="V111" s="4"/>
    </row>
    <row r="112" spans="1:22" x14ac:dyDescent="0.3">
      <c r="A112" s="133"/>
      <c r="B112" s="60"/>
      <c r="C112" s="60"/>
      <c r="D112" s="60"/>
      <c r="E112" s="60"/>
      <c r="F112" s="60"/>
      <c r="G112" s="60"/>
      <c r="H112" s="60"/>
      <c r="I112" s="60"/>
      <c r="J112" s="119"/>
      <c r="K112" s="119"/>
      <c r="L112" s="119"/>
      <c r="M112" s="119"/>
      <c r="N112" s="119"/>
      <c r="O112" s="119"/>
      <c r="P112" s="119"/>
      <c r="Q112" s="119"/>
      <c r="R112" s="60"/>
      <c r="S112" s="60"/>
      <c r="T112" s="4"/>
      <c r="U112" s="4"/>
      <c r="V112" s="4"/>
    </row>
    <row r="113" spans="1:22" x14ac:dyDescent="0.3">
      <c r="A113" s="133"/>
      <c r="B113" s="60"/>
      <c r="C113" s="60"/>
      <c r="D113" s="60"/>
      <c r="E113" s="60"/>
      <c r="F113" s="60"/>
      <c r="G113" s="60"/>
      <c r="H113" s="60"/>
      <c r="I113" s="60"/>
      <c r="J113" s="119"/>
      <c r="K113" s="119"/>
      <c r="L113" s="119"/>
      <c r="M113" s="119"/>
      <c r="N113" s="119"/>
      <c r="O113" s="119"/>
      <c r="P113" s="119"/>
      <c r="Q113" s="119"/>
      <c r="R113" s="60"/>
      <c r="S113" s="60"/>
      <c r="T113" s="4"/>
      <c r="U113" s="4"/>
      <c r="V113" s="4"/>
    </row>
    <row r="114" spans="1:22" x14ac:dyDescent="0.3">
      <c r="A114" s="133"/>
      <c r="B114" s="60"/>
      <c r="C114" s="60"/>
      <c r="D114" s="60"/>
      <c r="E114" s="60"/>
      <c r="F114" s="60"/>
      <c r="G114" s="60"/>
      <c r="H114" s="60"/>
      <c r="I114" s="60"/>
      <c r="J114" s="119"/>
      <c r="K114" s="119"/>
      <c r="L114" s="119"/>
      <c r="M114" s="119"/>
      <c r="N114" s="119"/>
      <c r="O114" s="119"/>
      <c r="P114" s="119"/>
      <c r="Q114" s="119"/>
      <c r="R114" s="60"/>
      <c r="S114" s="60"/>
      <c r="T114" s="4"/>
      <c r="U114" s="4"/>
      <c r="V114" s="4"/>
    </row>
    <row r="115" spans="1:22" x14ac:dyDescent="0.3">
      <c r="A115" s="133"/>
      <c r="B115" s="60"/>
      <c r="C115" s="60"/>
      <c r="D115" s="60"/>
      <c r="E115" s="60"/>
      <c r="F115" s="60"/>
      <c r="G115" s="60"/>
      <c r="H115" s="60"/>
      <c r="I115" s="60"/>
      <c r="J115" s="119"/>
      <c r="K115" s="119"/>
      <c r="L115" s="119"/>
      <c r="M115" s="119"/>
      <c r="N115" s="119"/>
      <c r="O115" s="119"/>
      <c r="P115" s="119"/>
      <c r="Q115" s="119"/>
      <c r="R115" s="60"/>
      <c r="S115" s="60"/>
      <c r="T115" s="4"/>
      <c r="U115" s="4"/>
      <c r="V115" s="4"/>
    </row>
    <row r="116" spans="1:22" x14ac:dyDescent="0.3">
      <c r="A116" s="133"/>
      <c r="B116" s="60"/>
      <c r="C116" s="60"/>
      <c r="D116" s="60"/>
      <c r="E116" s="60"/>
      <c r="F116" s="60"/>
      <c r="G116" s="60"/>
      <c r="H116" s="60"/>
      <c r="I116" s="60"/>
      <c r="J116" s="119"/>
      <c r="K116" s="119"/>
      <c r="L116" s="119"/>
      <c r="M116" s="119"/>
      <c r="N116" s="119"/>
      <c r="O116" s="119"/>
      <c r="P116" s="119"/>
      <c r="Q116" s="119"/>
      <c r="R116" s="60"/>
      <c r="S116" s="60"/>
      <c r="T116" s="4"/>
      <c r="U116" s="4"/>
      <c r="V116" s="4"/>
    </row>
    <row r="117" spans="1:22" x14ac:dyDescent="0.3">
      <c r="A117" s="133"/>
      <c r="B117" s="60"/>
      <c r="C117" s="60"/>
      <c r="D117" s="60"/>
      <c r="E117" s="60"/>
      <c r="F117" s="60"/>
      <c r="G117" s="60"/>
      <c r="H117" s="60"/>
      <c r="I117" s="60"/>
      <c r="J117" s="119"/>
      <c r="K117" s="119"/>
      <c r="L117" s="119"/>
      <c r="M117" s="119"/>
      <c r="N117" s="119"/>
      <c r="O117" s="119"/>
      <c r="P117" s="119"/>
      <c r="Q117" s="119"/>
      <c r="R117" s="60"/>
      <c r="S117" s="60"/>
      <c r="T117" s="4"/>
      <c r="U117" s="4"/>
      <c r="V117" s="4"/>
    </row>
    <row r="118" spans="1:22" x14ac:dyDescent="0.3">
      <c r="A118" s="133"/>
      <c r="B118" s="60"/>
      <c r="C118" s="60"/>
      <c r="D118" s="60"/>
      <c r="E118" s="60"/>
      <c r="F118" s="60"/>
      <c r="G118" s="60"/>
      <c r="H118" s="60"/>
      <c r="I118" s="60"/>
      <c r="J118" s="119"/>
      <c r="K118" s="119"/>
      <c r="L118" s="119"/>
      <c r="M118" s="119"/>
      <c r="N118" s="119"/>
      <c r="O118" s="119"/>
      <c r="P118" s="119"/>
      <c r="Q118" s="119"/>
      <c r="R118" s="60"/>
      <c r="S118" s="60"/>
      <c r="T118" s="4"/>
      <c r="U118" s="4"/>
      <c r="V118" s="4"/>
    </row>
    <row r="119" spans="1:22" x14ac:dyDescent="0.3">
      <c r="A119" s="133"/>
      <c r="B119" s="60"/>
      <c r="C119" s="60"/>
      <c r="D119" s="60"/>
      <c r="E119" s="60"/>
      <c r="F119" s="60"/>
      <c r="G119" s="60"/>
      <c r="H119" s="60"/>
      <c r="I119" s="60"/>
      <c r="J119" s="119"/>
      <c r="K119" s="119"/>
      <c r="L119" s="119"/>
      <c r="M119" s="119"/>
      <c r="N119" s="119"/>
      <c r="O119" s="119"/>
      <c r="P119" s="119"/>
      <c r="Q119" s="119"/>
      <c r="R119" s="60"/>
      <c r="S119" s="60"/>
      <c r="T119" s="4"/>
      <c r="U119" s="4"/>
      <c r="V119" s="4"/>
    </row>
    <row r="120" spans="1:22" x14ac:dyDescent="0.3">
      <c r="A120" s="133"/>
      <c r="B120" s="60"/>
      <c r="C120" s="60"/>
      <c r="D120" s="60"/>
      <c r="E120" s="60"/>
      <c r="F120" s="60"/>
      <c r="G120" s="60"/>
      <c r="H120" s="60"/>
      <c r="I120" s="60"/>
      <c r="J120" s="119"/>
      <c r="K120" s="119"/>
      <c r="L120" s="119"/>
      <c r="M120" s="119"/>
      <c r="N120" s="119"/>
      <c r="O120" s="119"/>
      <c r="P120" s="119"/>
      <c r="Q120" s="119"/>
      <c r="R120" s="60"/>
      <c r="S120" s="60"/>
      <c r="T120" s="4"/>
      <c r="U120" s="4"/>
      <c r="V120" s="4"/>
    </row>
    <row r="121" spans="1:22" x14ac:dyDescent="0.3">
      <c r="A121" s="133"/>
      <c r="B121" s="60"/>
      <c r="C121" s="60"/>
      <c r="D121" s="60"/>
      <c r="E121" s="60"/>
      <c r="F121" s="60"/>
      <c r="G121" s="60"/>
      <c r="H121" s="60"/>
      <c r="I121" s="60"/>
      <c r="J121" s="119"/>
      <c r="K121" s="119"/>
      <c r="L121" s="119"/>
      <c r="M121" s="119"/>
      <c r="N121" s="119"/>
      <c r="O121" s="119"/>
      <c r="P121" s="119"/>
      <c r="Q121" s="119"/>
      <c r="R121" s="60"/>
      <c r="S121" s="60"/>
      <c r="T121" s="4"/>
      <c r="U121" s="4"/>
      <c r="V121" s="4"/>
    </row>
    <row r="122" spans="1:22" x14ac:dyDescent="0.3">
      <c r="A122" s="133"/>
      <c r="B122" s="60"/>
      <c r="C122" s="60"/>
      <c r="D122" s="60"/>
      <c r="E122" s="60"/>
      <c r="F122" s="60"/>
      <c r="G122" s="60"/>
      <c r="H122" s="60"/>
      <c r="I122" s="60"/>
      <c r="J122" s="119"/>
      <c r="K122" s="119"/>
      <c r="L122" s="119"/>
      <c r="M122" s="119"/>
      <c r="N122" s="119"/>
      <c r="O122" s="119"/>
      <c r="P122" s="119"/>
      <c r="Q122" s="119"/>
      <c r="R122" s="60"/>
      <c r="S122" s="60"/>
      <c r="T122" s="4"/>
      <c r="U122" s="4"/>
      <c r="V122" s="4"/>
    </row>
    <row r="123" spans="1:22" x14ac:dyDescent="0.3">
      <c r="A123" s="133"/>
      <c r="B123" s="60"/>
      <c r="C123" s="60"/>
      <c r="D123" s="60"/>
      <c r="E123" s="60"/>
      <c r="F123" s="60"/>
      <c r="G123" s="60"/>
      <c r="H123" s="60"/>
      <c r="I123" s="60"/>
      <c r="J123" s="119"/>
      <c r="K123" s="119"/>
      <c r="L123" s="119"/>
      <c r="M123" s="119"/>
      <c r="N123" s="119"/>
      <c r="O123" s="119"/>
      <c r="P123" s="119"/>
      <c r="Q123" s="119"/>
      <c r="R123" s="60"/>
      <c r="S123" s="60"/>
      <c r="T123" s="4"/>
      <c r="U123" s="4"/>
      <c r="V123" s="4"/>
    </row>
    <row r="124" spans="1:22" x14ac:dyDescent="0.3">
      <c r="A124" s="133"/>
      <c r="B124" s="60"/>
      <c r="C124" s="60"/>
      <c r="D124" s="60"/>
      <c r="E124" s="60"/>
      <c r="F124" s="60"/>
      <c r="G124" s="60"/>
      <c r="H124" s="60"/>
      <c r="I124" s="60"/>
      <c r="J124" s="119"/>
      <c r="K124" s="119"/>
      <c r="L124" s="119"/>
      <c r="M124" s="119"/>
      <c r="N124" s="119"/>
      <c r="O124" s="119"/>
      <c r="P124" s="119"/>
      <c r="Q124" s="119"/>
      <c r="R124" s="60"/>
      <c r="S124" s="60"/>
      <c r="T124" s="4"/>
      <c r="U124" s="4"/>
      <c r="V124" s="4"/>
    </row>
    <row r="125" spans="1:22" x14ac:dyDescent="0.3">
      <c r="A125" s="133"/>
      <c r="B125" s="60"/>
      <c r="C125" s="60"/>
      <c r="D125" s="60"/>
      <c r="E125" s="60"/>
      <c r="F125" s="60"/>
      <c r="G125" s="60"/>
      <c r="H125" s="60"/>
      <c r="I125" s="60"/>
      <c r="J125" s="119"/>
      <c r="K125" s="119"/>
      <c r="L125" s="119"/>
      <c r="M125" s="119"/>
      <c r="N125" s="119"/>
      <c r="O125" s="119"/>
      <c r="P125" s="119"/>
      <c r="Q125" s="119"/>
      <c r="R125" s="60"/>
      <c r="S125" s="60"/>
      <c r="T125" s="4"/>
      <c r="U125" s="4"/>
      <c r="V125" s="4"/>
    </row>
    <row r="126" spans="1:22" x14ac:dyDescent="0.3">
      <c r="A126" s="133"/>
      <c r="B126" s="60"/>
      <c r="C126" s="60"/>
      <c r="D126" s="60"/>
      <c r="E126" s="60"/>
      <c r="F126" s="60"/>
      <c r="G126" s="60"/>
      <c r="H126" s="60"/>
      <c r="I126" s="60"/>
      <c r="J126" s="119"/>
      <c r="K126" s="119"/>
      <c r="L126" s="119"/>
      <c r="M126" s="119"/>
      <c r="N126" s="119"/>
      <c r="O126" s="119"/>
      <c r="P126" s="119"/>
      <c r="Q126" s="119"/>
      <c r="R126" s="60"/>
      <c r="S126" s="60"/>
      <c r="T126" s="4"/>
      <c r="U126" s="4"/>
      <c r="V126" s="4"/>
    </row>
    <row r="127" spans="1:22" x14ac:dyDescent="0.3">
      <c r="A127" s="133"/>
      <c r="B127" s="60"/>
      <c r="C127" s="60"/>
      <c r="D127" s="60"/>
      <c r="E127" s="60"/>
      <c r="F127" s="60"/>
      <c r="G127" s="60"/>
      <c r="H127" s="60"/>
      <c r="I127" s="60"/>
      <c r="J127" s="119"/>
      <c r="K127" s="119"/>
      <c r="L127" s="119"/>
      <c r="M127" s="119"/>
      <c r="N127" s="119"/>
      <c r="O127" s="119"/>
      <c r="P127" s="119"/>
      <c r="Q127" s="119"/>
      <c r="R127" s="60"/>
      <c r="S127" s="60"/>
      <c r="T127" s="4"/>
      <c r="U127" s="4"/>
      <c r="V127" s="4"/>
    </row>
    <row r="128" spans="1:22" x14ac:dyDescent="0.3">
      <c r="A128" s="133"/>
      <c r="B128" s="60"/>
      <c r="C128" s="60"/>
      <c r="D128" s="60"/>
      <c r="E128" s="60"/>
      <c r="F128" s="60"/>
      <c r="G128" s="60"/>
      <c r="H128" s="60"/>
      <c r="I128" s="60"/>
      <c r="J128" s="119"/>
      <c r="K128" s="119"/>
      <c r="L128" s="119"/>
      <c r="M128" s="119"/>
      <c r="N128" s="119"/>
      <c r="O128" s="119"/>
      <c r="P128" s="119"/>
      <c r="Q128" s="119"/>
      <c r="R128" s="60"/>
      <c r="S128" s="60"/>
      <c r="T128" s="4"/>
      <c r="U128" s="4"/>
      <c r="V128" s="4"/>
    </row>
    <row r="129" spans="1:22" x14ac:dyDescent="0.3">
      <c r="A129" s="133"/>
      <c r="B129" s="60"/>
      <c r="C129" s="60"/>
      <c r="D129" s="60"/>
      <c r="E129" s="60"/>
      <c r="F129" s="60"/>
      <c r="G129" s="60"/>
      <c r="H129" s="60"/>
      <c r="I129" s="60"/>
      <c r="J129" s="119"/>
      <c r="K129" s="119"/>
      <c r="L129" s="119"/>
      <c r="M129" s="119"/>
      <c r="N129" s="119"/>
      <c r="O129" s="119"/>
      <c r="P129" s="119"/>
      <c r="Q129" s="119"/>
      <c r="R129" s="60"/>
      <c r="S129" s="60"/>
      <c r="T129" s="4"/>
      <c r="U129" s="4"/>
      <c r="V129" s="4"/>
    </row>
    <row r="130" spans="1:22" x14ac:dyDescent="0.3">
      <c r="A130" s="133"/>
      <c r="B130" s="60"/>
      <c r="C130" s="60"/>
      <c r="D130" s="60"/>
      <c r="E130" s="60"/>
      <c r="F130" s="60"/>
      <c r="G130" s="60"/>
      <c r="H130" s="60"/>
      <c r="I130" s="60"/>
      <c r="J130" s="119"/>
      <c r="K130" s="119"/>
      <c r="L130" s="119"/>
      <c r="M130" s="119"/>
      <c r="N130" s="119"/>
      <c r="O130" s="119"/>
      <c r="P130" s="119"/>
      <c r="Q130" s="119"/>
      <c r="R130" s="60"/>
      <c r="S130" s="60"/>
      <c r="T130" s="4"/>
      <c r="U130" s="4"/>
      <c r="V130" s="4"/>
    </row>
    <row r="131" spans="1:22" x14ac:dyDescent="0.3">
      <c r="A131" s="133"/>
      <c r="B131" s="60"/>
      <c r="C131" s="60"/>
      <c r="D131" s="60"/>
      <c r="E131" s="60"/>
      <c r="F131" s="60"/>
      <c r="G131" s="60"/>
      <c r="H131" s="60"/>
      <c r="I131" s="60"/>
      <c r="J131" s="119"/>
      <c r="K131" s="119"/>
      <c r="L131" s="119"/>
      <c r="M131" s="119"/>
      <c r="N131" s="119"/>
      <c r="O131" s="119"/>
      <c r="P131" s="119"/>
      <c r="Q131" s="119"/>
      <c r="R131" s="60"/>
      <c r="S131" s="60"/>
      <c r="T131" s="4"/>
      <c r="U131" s="4"/>
      <c r="V131" s="4"/>
    </row>
    <row r="132" spans="1:22" x14ac:dyDescent="0.3">
      <c r="A132" s="133"/>
      <c r="B132" s="60"/>
      <c r="C132" s="60"/>
      <c r="D132" s="60"/>
      <c r="E132" s="60"/>
      <c r="F132" s="60"/>
      <c r="G132" s="60"/>
      <c r="H132" s="60"/>
      <c r="I132" s="60"/>
      <c r="J132" s="119"/>
      <c r="K132" s="119"/>
      <c r="L132" s="119"/>
      <c r="M132" s="119"/>
      <c r="N132" s="119"/>
      <c r="O132" s="119"/>
      <c r="P132" s="119"/>
      <c r="Q132" s="119"/>
      <c r="R132" s="60"/>
      <c r="S132" s="60"/>
      <c r="T132" s="4"/>
      <c r="U132" s="4"/>
      <c r="V132" s="4"/>
    </row>
    <row r="133" spans="1:22" x14ac:dyDescent="0.3">
      <c r="A133" s="133"/>
      <c r="B133" s="60"/>
      <c r="C133" s="60"/>
      <c r="D133" s="60"/>
      <c r="E133" s="60"/>
      <c r="F133" s="60"/>
      <c r="G133" s="60"/>
      <c r="H133" s="60"/>
      <c r="I133" s="60"/>
      <c r="J133" s="119"/>
      <c r="K133" s="119"/>
      <c r="L133" s="119"/>
      <c r="M133" s="119"/>
      <c r="N133" s="119"/>
      <c r="O133" s="119"/>
      <c r="P133" s="119"/>
      <c r="Q133" s="119"/>
      <c r="R133" s="60"/>
      <c r="S133" s="60"/>
      <c r="T133" s="4"/>
      <c r="U133" s="4"/>
      <c r="V133" s="4"/>
    </row>
    <row r="134" spans="1:22" x14ac:dyDescent="0.3">
      <c r="A134" s="133"/>
      <c r="B134" s="60"/>
      <c r="C134" s="60"/>
      <c r="D134" s="60"/>
      <c r="E134" s="60"/>
      <c r="F134" s="60"/>
      <c r="G134" s="60"/>
      <c r="H134" s="60"/>
      <c r="I134" s="60"/>
      <c r="J134" s="119"/>
      <c r="K134" s="119"/>
      <c r="L134" s="119"/>
      <c r="M134" s="119"/>
      <c r="N134" s="119"/>
      <c r="O134" s="119"/>
      <c r="P134" s="119"/>
      <c r="Q134" s="119"/>
      <c r="R134" s="60"/>
      <c r="S134" s="60"/>
      <c r="T134" s="4"/>
      <c r="U134" s="4"/>
      <c r="V134" s="4"/>
    </row>
    <row r="135" spans="1:22" x14ac:dyDescent="0.3">
      <c r="A135" s="133"/>
      <c r="B135" s="60"/>
      <c r="C135" s="60"/>
      <c r="D135" s="60"/>
      <c r="E135" s="60"/>
      <c r="F135" s="60"/>
      <c r="G135" s="60"/>
      <c r="H135" s="60"/>
      <c r="I135" s="60"/>
      <c r="J135" s="119"/>
      <c r="K135" s="119"/>
      <c r="L135" s="119"/>
      <c r="M135" s="119"/>
      <c r="N135" s="119"/>
      <c r="O135" s="119"/>
      <c r="P135" s="119"/>
      <c r="Q135" s="119"/>
      <c r="R135" s="60"/>
      <c r="S135" s="60"/>
      <c r="T135" s="4"/>
      <c r="U135" s="4"/>
      <c r="V135" s="4"/>
    </row>
    <row r="136" spans="1:22" x14ac:dyDescent="0.3">
      <c r="A136" s="133"/>
      <c r="B136" s="60"/>
      <c r="C136" s="60"/>
      <c r="D136" s="60"/>
      <c r="E136" s="60"/>
      <c r="F136" s="60"/>
      <c r="G136" s="60"/>
      <c r="H136" s="60"/>
      <c r="I136" s="60"/>
      <c r="J136" s="119"/>
      <c r="K136" s="119"/>
      <c r="L136" s="119"/>
      <c r="M136" s="119"/>
      <c r="N136" s="119"/>
      <c r="O136" s="119"/>
      <c r="P136" s="119"/>
      <c r="Q136" s="119"/>
      <c r="R136" s="60"/>
      <c r="S136" s="60"/>
      <c r="T136" s="4"/>
      <c r="U136" s="4"/>
      <c r="V136" s="4"/>
    </row>
    <row r="137" spans="1:22" x14ac:dyDescent="0.3">
      <c r="A137" s="133"/>
      <c r="B137" s="60"/>
      <c r="C137" s="60"/>
      <c r="D137" s="60"/>
      <c r="E137" s="60"/>
      <c r="F137" s="60"/>
      <c r="G137" s="60"/>
      <c r="H137" s="60"/>
      <c r="I137" s="60"/>
      <c r="J137" s="119"/>
      <c r="K137" s="119"/>
      <c r="L137" s="119"/>
      <c r="M137" s="119"/>
      <c r="N137" s="119"/>
      <c r="O137" s="119"/>
      <c r="P137" s="119"/>
      <c r="Q137" s="119"/>
      <c r="R137" s="60"/>
      <c r="S137" s="60"/>
      <c r="T137" s="4"/>
      <c r="U137" s="4"/>
      <c r="V137" s="4"/>
    </row>
    <row r="138" spans="1:22" x14ac:dyDescent="0.3">
      <c r="A138" s="133"/>
      <c r="B138" s="60"/>
      <c r="C138" s="60"/>
      <c r="D138" s="60"/>
      <c r="E138" s="60"/>
      <c r="F138" s="60"/>
      <c r="G138" s="60"/>
      <c r="H138" s="60"/>
      <c r="I138" s="60"/>
      <c r="J138" s="119"/>
      <c r="K138" s="119"/>
      <c r="L138" s="119"/>
      <c r="M138" s="119"/>
      <c r="N138" s="119"/>
      <c r="O138" s="119"/>
      <c r="P138" s="119"/>
      <c r="Q138" s="119"/>
      <c r="R138" s="60"/>
      <c r="S138" s="60"/>
      <c r="T138" s="4"/>
      <c r="U138" s="4"/>
      <c r="V138" s="4"/>
    </row>
    <row r="139" spans="1:22" x14ac:dyDescent="0.3">
      <c r="A139" s="133"/>
      <c r="B139" s="60"/>
      <c r="C139" s="60"/>
      <c r="D139" s="60"/>
      <c r="E139" s="60"/>
      <c r="F139" s="60"/>
      <c r="G139" s="60"/>
      <c r="H139" s="60"/>
      <c r="I139" s="60"/>
      <c r="J139" s="119"/>
      <c r="K139" s="119"/>
      <c r="L139" s="119"/>
      <c r="M139" s="119"/>
      <c r="N139" s="119"/>
      <c r="O139" s="119"/>
      <c r="P139" s="119"/>
      <c r="Q139" s="119"/>
      <c r="R139" s="60"/>
      <c r="S139" s="60"/>
      <c r="T139" s="4"/>
      <c r="U139" s="4"/>
      <c r="V139" s="4"/>
    </row>
    <row r="140" spans="1:22" x14ac:dyDescent="0.3">
      <c r="A140" s="133"/>
      <c r="B140" s="60"/>
      <c r="C140" s="60"/>
      <c r="D140" s="60"/>
      <c r="E140" s="60"/>
      <c r="F140" s="60"/>
      <c r="G140" s="60"/>
      <c r="H140" s="60"/>
      <c r="I140" s="60"/>
      <c r="J140" s="119"/>
      <c r="K140" s="119"/>
      <c r="L140" s="119"/>
      <c r="M140" s="119"/>
      <c r="N140" s="119"/>
      <c r="O140" s="119"/>
      <c r="P140" s="119"/>
      <c r="Q140" s="119"/>
      <c r="R140" s="60"/>
      <c r="S140" s="60"/>
      <c r="T140" s="4"/>
      <c r="U140" s="4"/>
      <c r="V140" s="4"/>
    </row>
    <row r="141" spans="1:22" x14ac:dyDescent="0.3">
      <c r="A141" s="133"/>
      <c r="B141" s="60"/>
      <c r="C141" s="60"/>
      <c r="D141" s="60"/>
      <c r="E141" s="60"/>
      <c r="F141" s="60"/>
      <c r="G141" s="60"/>
      <c r="H141" s="60"/>
      <c r="I141" s="60"/>
      <c r="J141" s="119"/>
      <c r="K141" s="119"/>
      <c r="L141" s="119"/>
      <c r="M141" s="119"/>
      <c r="N141" s="119"/>
      <c r="O141" s="119"/>
      <c r="P141" s="119"/>
      <c r="Q141" s="119"/>
      <c r="R141" s="60"/>
      <c r="S141" s="60"/>
      <c r="T141" s="4"/>
      <c r="U141" s="4"/>
      <c r="V141" s="4"/>
    </row>
    <row r="142" spans="1:22" x14ac:dyDescent="0.3">
      <c r="A142" s="133"/>
      <c r="B142" s="60"/>
      <c r="C142" s="60"/>
      <c r="D142" s="60"/>
      <c r="E142" s="60"/>
      <c r="F142" s="60"/>
      <c r="G142" s="60"/>
      <c r="H142" s="60"/>
      <c r="I142" s="60"/>
      <c r="J142" s="119"/>
      <c r="K142" s="119"/>
      <c r="L142" s="119"/>
      <c r="M142" s="119"/>
      <c r="N142" s="119"/>
      <c r="O142" s="119"/>
      <c r="P142" s="119"/>
      <c r="Q142" s="119"/>
      <c r="R142" s="60"/>
      <c r="S142" s="60"/>
      <c r="T142" s="4"/>
      <c r="U142" s="4"/>
      <c r="V142" s="4"/>
    </row>
    <row r="143" spans="1:22" x14ac:dyDescent="0.3">
      <c r="A143" s="133"/>
      <c r="B143" s="60"/>
      <c r="C143" s="60"/>
      <c r="D143" s="60"/>
      <c r="E143" s="60"/>
      <c r="F143" s="60"/>
      <c r="G143" s="60"/>
      <c r="H143" s="60"/>
      <c r="I143" s="60"/>
      <c r="J143" s="119"/>
      <c r="K143" s="119"/>
      <c r="L143" s="119"/>
      <c r="M143" s="119"/>
      <c r="N143" s="119"/>
      <c r="O143" s="119"/>
      <c r="P143" s="119"/>
      <c r="Q143" s="119"/>
      <c r="R143" s="60"/>
      <c r="S143" s="60"/>
      <c r="T143" s="4"/>
      <c r="U143" s="4"/>
      <c r="V143" s="4"/>
    </row>
    <row r="144" spans="1:22" x14ac:dyDescent="0.3">
      <c r="A144" s="133"/>
      <c r="B144" s="60"/>
      <c r="C144" s="60"/>
      <c r="D144" s="60"/>
      <c r="E144" s="60"/>
      <c r="F144" s="60"/>
      <c r="G144" s="60"/>
      <c r="H144" s="60"/>
      <c r="I144" s="60"/>
      <c r="J144" s="119"/>
      <c r="K144" s="119"/>
      <c r="L144" s="119"/>
      <c r="M144" s="119"/>
      <c r="N144" s="119"/>
      <c r="O144" s="119"/>
      <c r="P144" s="119"/>
      <c r="Q144" s="119"/>
      <c r="R144" s="60"/>
      <c r="S144" s="60"/>
      <c r="T144" s="4"/>
      <c r="U144" s="4"/>
      <c r="V144" s="4"/>
    </row>
    <row r="145" spans="1:22" x14ac:dyDescent="0.3">
      <c r="A145" s="133"/>
      <c r="B145" s="60"/>
      <c r="C145" s="60"/>
      <c r="D145" s="60"/>
      <c r="E145" s="60"/>
      <c r="F145" s="60"/>
      <c r="G145" s="60"/>
      <c r="H145" s="60"/>
      <c r="I145" s="60"/>
      <c r="J145" s="119"/>
      <c r="K145" s="119"/>
      <c r="L145" s="119"/>
      <c r="M145" s="119"/>
      <c r="N145" s="119"/>
      <c r="O145" s="119"/>
      <c r="P145" s="119"/>
      <c r="Q145" s="119"/>
      <c r="R145" s="60"/>
      <c r="S145" s="60"/>
      <c r="T145" s="4"/>
      <c r="U145" s="4"/>
      <c r="V145" s="4"/>
    </row>
    <row r="146" spans="1:22" x14ac:dyDescent="0.3">
      <c r="A146" s="133"/>
      <c r="B146" s="60"/>
      <c r="C146" s="60"/>
      <c r="D146" s="60"/>
      <c r="E146" s="60"/>
      <c r="F146" s="60"/>
      <c r="G146" s="60"/>
      <c r="H146" s="60"/>
      <c r="I146" s="60"/>
      <c r="J146" s="119"/>
      <c r="K146" s="119"/>
      <c r="L146" s="119"/>
      <c r="M146" s="119"/>
      <c r="N146" s="119"/>
      <c r="O146" s="119"/>
      <c r="P146" s="119"/>
      <c r="Q146" s="119"/>
      <c r="R146" s="60"/>
      <c r="S146" s="60"/>
      <c r="T146" s="4"/>
      <c r="U146" s="4"/>
      <c r="V146" s="4"/>
    </row>
    <row r="147" spans="1:22" x14ac:dyDescent="0.3">
      <c r="A147" s="133"/>
      <c r="B147" s="60"/>
      <c r="C147" s="60"/>
      <c r="D147" s="60"/>
      <c r="E147" s="60"/>
      <c r="F147" s="60"/>
      <c r="G147" s="60"/>
      <c r="H147" s="60"/>
      <c r="I147" s="60"/>
      <c r="J147" s="119"/>
      <c r="K147" s="119"/>
      <c r="L147" s="119"/>
      <c r="M147" s="119"/>
      <c r="N147" s="119"/>
      <c r="O147" s="119"/>
      <c r="P147" s="119"/>
      <c r="Q147" s="119"/>
      <c r="R147" s="60"/>
      <c r="S147" s="60"/>
      <c r="T147" s="4"/>
      <c r="U147" s="4"/>
      <c r="V147" s="4"/>
    </row>
    <row r="148" spans="1:22" x14ac:dyDescent="0.3">
      <c r="A148" s="133"/>
      <c r="B148" s="60"/>
      <c r="C148" s="60"/>
      <c r="D148" s="60"/>
      <c r="E148" s="60"/>
      <c r="F148" s="60"/>
      <c r="G148" s="60"/>
      <c r="H148" s="60"/>
      <c r="I148" s="60"/>
      <c r="J148" s="119"/>
      <c r="K148" s="119"/>
      <c r="L148" s="119"/>
      <c r="M148" s="119"/>
      <c r="N148" s="119"/>
      <c r="O148" s="119"/>
      <c r="P148" s="119"/>
      <c r="Q148" s="119"/>
      <c r="R148" s="60"/>
      <c r="S148" s="60"/>
      <c r="T148" s="4"/>
      <c r="U148" s="4"/>
      <c r="V148" s="4"/>
    </row>
    <row r="149" spans="1:22" x14ac:dyDescent="0.3">
      <c r="A149" s="133"/>
      <c r="B149" s="60"/>
      <c r="C149" s="60"/>
      <c r="D149" s="60"/>
      <c r="E149" s="60"/>
      <c r="F149" s="60"/>
      <c r="G149" s="60"/>
      <c r="H149" s="60"/>
      <c r="I149" s="60"/>
      <c r="J149" s="119"/>
      <c r="K149" s="119"/>
      <c r="L149" s="119"/>
      <c r="M149" s="119"/>
      <c r="N149" s="119"/>
      <c r="O149" s="119"/>
      <c r="P149" s="119"/>
      <c r="Q149" s="119"/>
      <c r="R149" s="60"/>
      <c r="S149" s="60"/>
      <c r="T149" s="4"/>
      <c r="U149" s="4"/>
      <c r="V149" s="4"/>
    </row>
    <row r="150" spans="1:22" x14ac:dyDescent="0.3">
      <c r="A150" s="133"/>
      <c r="B150" s="60"/>
      <c r="C150" s="60"/>
      <c r="D150" s="60"/>
      <c r="E150" s="60"/>
      <c r="F150" s="60"/>
      <c r="G150" s="60"/>
      <c r="H150" s="60"/>
      <c r="I150" s="60"/>
      <c r="J150" s="119"/>
      <c r="K150" s="119"/>
      <c r="L150" s="119"/>
      <c r="M150" s="119"/>
      <c r="N150" s="119"/>
      <c r="O150" s="119"/>
      <c r="P150" s="119"/>
      <c r="Q150" s="119"/>
      <c r="R150" s="60"/>
      <c r="S150" s="60"/>
      <c r="T150" s="4"/>
      <c r="U150" s="4"/>
      <c r="V150" s="4"/>
    </row>
    <row r="151" spans="1:22" x14ac:dyDescent="0.3">
      <c r="A151" s="133"/>
      <c r="B151" s="60"/>
      <c r="C151" s="60"/>
      <c r="D151" s="60"/>
      <c r="E151" s="60"/>
      <c r="F151" s="60"/>
      <c r="G151" s="60"/>
      <c r="H151" s="60"/>
      <c r="I151" s="60"/>
      <c r="J151" s="119"/>
      <c r="K151" s="119"/>
      <c r="L151" s="119"/>
      <c r="M151" s="119"/>
      <c r="N151" s="119"/>
      <c r="O151" s="119"/>
      <c r="P151" s="119"/>
      <c r="Q151" s="119"/>
      <c r="R151" s="60"/>
      <c r="S151" s="60"/>
      <c r="T151" s="4"/>
      <c r="U151" s="4"/>
      <c r="V151" s="4"/>
    </row>
    <row r="152" spans="1:22" x14ac:dyDescent="0.3">
      <c r="A152" s="133"/>
      <c r="B152" s="60"/>
      <c r="C152" s="60"/>
      <c r="D152" s="60"/>
      <c r="E152" s="60"/>
      <c r="F152" s="60"/>
      <c r="G152" s="60"/>
      <c r="H152" s="60"/>
      <c r="I152" s="60"/>
      <c r="J152" s="119"/>
      <c r="K152" s="119"/>
      <c r="L152" s="119"/>
      <c r="M152" s="119"/>
      <c r="N152" s="119"/>
      <c r="O152" s="119"/>
      <c r="P152" s="119"/>
      <c r="Q152" s="119"/>
      <c r="R152" s="60"/>
      <c r="S152" s="60"/>
      <c r="T152" s="4"/>
      <c r="U152" s="4"/>
      <c r="V152" s="4"/>
    </row>
    <row r="153" spans="1:22" x14ac:dyDescent="0.3">
      <c r="A153" s="133"/>
      <c r="B153" s="60"/>
      <c r="C153" s="60"/>
      <c r="D153" s="60"/>
      <c r="E153" s="60"/>
      <c r="F153" s="60"/>
      <c r="G153" s="60"/>
      <c r="H153" s="60"/>
      <c r="I153" s="60"/>
      <c r="J153" s="119"/>
      <c r="K153" s="119"/>
      <c r="L153" s="119"/>
      <c r="M153" s="119"/>
      <c r="N153" s="119"/>
      <c r="O153" s="119"/>
      <c r="P153" s="119"/>
      <c r="Q153" s="119"/>
      <c r="R153" s="60"/>
      <c r="S153" s="60"/>
      <c r="T153" s="4"/>
      <c r="U153" s="4"/>
      <c r="V153" s="4"/>
    </row>
    <row r="154" spans="1:22" x14ac:dyDescent="0.3">
      <c r="A154" s="133"/>
      <c r="B154" s="60"/>
      <c r="C154" s="60"/>
      <c r="D154" s="60"/>
      <c r="E154" s="60"/>
      <c r="F154" s="60"/>
      <c r="G154" s="60"/>
      <c r="H154" s="60"/>
      <c r="I154" s="60"/>
      <c r="J154" s="119"/>
      <c r="K154" s="119"/>
      <c r="L154" s="119"/>
      <c r="M154" s="119"/>
      <c r="N154" s="119"/>
      <c r="O154" s="119"/>
      <c r="P154" s="119"/>
      <c r="Q154" s="119"/>
      <c r="R154" s="60"/>
      <c r="S154" s="60"/>
      <c r="T154" s="4"/>
      <c r="U154" s="4"/>
      <c r="V154" s="4"/>
    </row>
    <row r="155" spans="1:22" x14ac:dyDescent="0.3">
      <c r="A155" s="133"/>
      <c r="B155" s="60"/>
      <c r="C155" s="60"/>
      <c r="D155" s="60"/>
      <c r="E155" s="60"/>
      <c r="F155" s="60"/>
      <c r="G155" s="60"/>
      <c r="H155" s="60"/>
      <c r="I155" s="60"/>
      <c r="J155" s="119"/>
      <c r="K155" s="119"/>
      <c r="L155" s="119"/>
      <c r="M155" s="119"/>
      <c r="N155" s="119"/>
      <c r="O155" s="119"/>
      <c r="P155" s="119"/>
      <c r="Q155" s="119"/>
      <c r="R155" s="60"/>
      <c r="S155" s="60"/>
      <c r="T155" s="4"/>
      <c r="U155" s="4"/>
      <c r="V155" s="4"/>
    </row>
    <row r="156" spans="1:22" x14ac:dyDescent="0.3">
      <c r="A156" s="133"/>
      <c r="B156" s="60"/>
      <c r="C156" s="60"/>
      <c r="D156" s="60"/>
      <c r="E156" s="60"/>
      <c r="F156" s="60"/>
      <c r="G156" s="60"/>
      <c r="H156" s="60"/>
      <c r="I156" s="60"/>
      <c r="J156" s="119"/>
      <c r="K156" s="119"/>
      <c r="L156" s="119"/>
      <c r="M156" s="119"/>
      <c r="N156" s="119"/>
      <c r="O156" s="119"/>
      <c r="P156" s="119"/>
      <c r="Q156" s="119"/>
      <c r="R156" s="60"/>
      <c r="S156" s="60"/>
      <c r="T156" s="4"/>
      <c r="U156" s="4"/>
      <c r="V156" s="4"/>
    </row>
    <row r="157" spans="1:22" x14ac:dyDescent="0.3">
      <c r="A157" s="133"/>
      <c r="B157" s="60"/>
      <c r="C157" s="60"/>
      <c r="D157" s="60"/>
      <c r="E157" s="60"/>
      <c r="F157" s="60"/>
      <c r="G157" s="60"/>
      <c r="H157" s="60"/>
      <c r="I157" s="60"/>
      <c r="J157" s="119"/>
      <c r="K157" s="119"/>
      <c r="L157" s="119"/>
      <c r="M157" s="119"/>
      <c r="N157" s="119"/>
      <c r="O157" s="119"/>
      <c r="P157" s="119"/>
      <c r="Q157" s="119"/>
      <c r="R157" s="60"/>
      <c r="S157" s="60"/>
      <c r="T157" s="4"/>
      <c r="U157" s="4"/>
      <c r="V157" s="4"/>
    </row>
    <row r="158" spans="1:22" x14ac:dyDescent="0.3">
      <c r="A158" s="133"/>
      <c r="B158" s="60"/>
      <c r="C158" s="60"/>
      <c r="D158" s="60"/>
      <c r="E158" s="60"/>
      <c r="F158" s="60"/>
      <c r="G158" s="60"/>
      <c r="H158" s="60"/>
      <c r="I158" s="60"/>
      <c r="J158" s="119"/>
      <c r="K158" s="119"/>
      <c r="L158" s="119"/>
      <c r="M158" s="119"/>
      <c r="N158" s="119"/>
      <c r="O158" s="119"/>
      <c r="P158" s="119"/>
      <c r="Q158" s="119"/>
      <c r="R158" s="60"/>
      <c r="S158" s="60"/>
      <c r="T158" s="4"/>
      <c r="U158" s="4"/>
      <c r="V158" s="4"/>
    </row>
    <row r="159" spans="1:22" x14ac:dyDescent="0.3">
      <c r="A159" s="133"/>
      <c r="B159" s="60"/>
      <c r="C159" s="60"/>
      <c r="D159" s="60"/>
      <c r="E159" s="60"/>
      <c r="F159" s="60"/>
      <c r="G159" s="60"/>
      <c r="H159" s="60"/>
      <c r="I159" s="60"/>
      <c r="J159" s="119"/>
      <c r="K159" s="119"/>
      <c r="L159" s="119"/>
      <c r="M159" s="119"/>
      <c r="N159" s="119"/>
      <c r="O159" s="119"/>
      <c r="P159" s="119"/>
      <c r="Q159" s="119"/>
      <c r="R159" s="60"/>
      <c r="S159" s="60"/>
      <c r="T159" s="4"/>
      <c r="U159" s="4"/>
      <c r="V159" s="4"/>
    </row>
    <row r="160" spans="1:22" x14ac:dyDescent="0.3">
      <c r="A160" s="133"/>
      <c r="B160" s="60"/>
      <c r="C160" s="60"/>
      <c r="D160" s="60"/>
      <c r="E160" s="60"/>
      <c r="F160" s="60"/>
      <c r="G160" s="60"/>
      <c r="H160" s="60"/>
      <c r="I160" s="60"/>
      <c r="J160" s="119"/>
      <c r="K160" s="119"/>
      <c r="L160" s="119"/>
      <c r="M160" s="119"/>
      <c r="N160" s="119"/>
      <c r="O160" s="119"/>
      <c r="P160" s="119"/>
      <c r="Q160" s="119"/>
      <c r="R160" s="60"/>
      <c r="S160" s="60"/>
      <c r="T160" s="4"/>
      <c r="U160" s="4"/>
      <c r="V160" s="4"/>
    </row>
    <row r="161" spans="1:22" x14ac:dyDescent="0.3">
      <c r="A161" s="133"/>
      <c r="B161" s="60"/>
      <c r="C161" s="60"/>
      <c r="D161" s="60"/>
      <c r="E161" s="60"/>
      <c r="F161" s="60"/>
      <c r="G161" s="60"/>
      <c r="H161" s="60"/>
      <c r="I161" s="60"/>
      <c r="J161" s="119"/>
      <c r="K161" s="119"/>
      <c r="L161" s="119"/>
      <c r="M161" s="119"/>
      <c r="N161" s="119"/>
      <c r="O161" s="119"/>
      <c r="P161" s="119"/>
      <c r="Q161" s="119"/>
      <c r="R161" s="60"/>
      <c r="S161" s="60"/>
      <c r="T161" s="4"/>
      <c r="U161" s="4"/>
      <c r="V161" s="4"/>
    </row>
    <row r="162" spans="1:22" x14ac:dyDescent="0.3">
      <c r="A162" s="133"/>
      <c r="B162" s="60"/>
      <c r="C162" s="60"/>
      <c r="D162" s="60"/>
      <c r="E162" s="60"/>
      <c r="F162" s="60"/>
      <c r="G162" s="60"/>
      <c r="H162" s="60"/>
      <c r="I162" s="60"/>
      <c r="J162" s="119"/>
      <c r="K162" s="119"/>
      <c r="L162" s="119"/>
      <c r="M162" s="119"/>
      <c r="N162" s="119"/>
      <c r="O162" s="119"/>
      <c r="P162" s="119"/>
      <c r="Q162" s="119"/>
      <c r="R162" s="60"/>
      <c r="S162" s="60"/>
      <c r="T162" s="4"/>
      <c r="U162" s="4"/>
      <c r="V162" s="4"/>
    </row>
    <row r="163" spans="1:22" x14ac:dyDescent="0.3">
      <c r="A163" s="133"/>
      <c r="B163" s="60"/>
      <c r="C163" s="60"/>
      <c r="D163" s="60"/>
      <c r="E163" s="60"/>
      <c r="F163" s="60"/>
      <c r="G163" s="60"/>
      <c r="H163" s="60"/>
      <c r="I163" s="60"/>
      <c r="J163" s="119"/>
      <c r="K163" s="119"/>
      <c r="L163" s="119"/>
      <c r="M163" s="119"/>
      <c r="N163" s="119"/>
      <c r="O163" s="119"/>
      <c r="P163" s="119"/>
      <c r="Q163" s="119"/>
      <c r="R163" s="60"/>
      <c r="S163" s="60"/>
      <c r="T163" s="4"/>
      <c r="U163" s="4"/>
      <c r="V163" s="4"/>
    </row>
    <row r="164" spans="1:22" x14ac:dyDescent="0.3">
      <c r="A164" s="133"/>
      <c r="B164" s="60"/>
      <c r="C164" s="60"/>
      <c r="D164" s="60"/>
      <c r="E164" s="60"/>
      <c r="F164" s="60"/>
      <c r="G164" s="60"/>
      <c r="H164" s="60"/>
      <c r="I164" s="60"/>
      <c r="J164" s="119"/>
      <c r="K164" s="119"/>
      <c r="L164" s="119"/>
      <c r="M164" s="119"/>
      <c r="N164" s="119"/>
      <c r="O164" s="119"/>
      <c r="P164" s="119"/>
      <c r="Q164" s="119"/>
      <c r="R164" s="60"/>
      <c r="S164" s="60"/>
      <c r="T164" s="4"/>
      <c r="U164" s="4"/>
      <c r="V164" s="4"/>
    </row>
    <row r="165" spans="1:22" x14ac:dyDescent="0.3">
      <c r="A165" s="133"/>
      <c r="B165" s="60"/>
      <c r="C165" s="60"/>
      <c r="D165" s="60"/>
      <c r="E165" s="60"/>
      <c r="F165" s="60"/>
      <c r="G165" s="60"/>
      <c r="H165" s="60"/>
      <c r="I165" s="60"/>
      <c r="J165" s="119"/>
      <c r="K165" s="119"/>
      <c r="L165" s="119"/>
      <c r="M165" s="119"/>
      <c r="N165" s="119"/>
      <c r="O165" s="119"/>
      <c r="P165" s="119"/>
      <c r="Q165" s="119"/>
      <c r="R165" s="60"/>
      <c r="S165" s="60"/>
      <c r="T165" s="4"/>
      <c r="U165" s="4"/>
      <c r="V165" s="4"/>
    </row>
    <row r="166" spans="1:22" x14ac:dyDescent="0.3">
      <c r="A166" s="133"/>
      <c r="B166" s="60"/>
      <c r="C166" s="60"/>
      <c r="D166" s="60"/>
      <c r="E166" s="60"/>
      <c r="F166" s="60"/>
      <c r="G166" s="60"/>
      <c r="H166" s="60"/>
      <c r="I166" s="60"/>
      <c r="J166" s="119"/>
      <c r="K166" s="119"/>
      <c r="L166" s="119"/>
      <c r="M166" s="119"/>
      <c r="N166" s="119"/>
      <c r="O166" s="119"/>
      <c r="P166" s="119"/>
      <c r="Q166" s="119"/>
      <c r="R166" s="60"/>
      <c r="S166" s="60"/>
      <c r="T166" s="4"/>
      <c r="U166" s="4"/>
      <c r="V166" s="4"/>
    </row>
    <row r="167" spans="1:22" x14ac:dyDescent="0.3">
      <c r="A167" s="133"/>
      <c r="B167" s="60"/>
      <c r="C167" s="60"/>
      <c r="D167" s="60"/>
      <c r="E167" s="60"/>
      <c r="F167" s="60"/>
      <c r="G167" s="60"/>
      <c r="H167" s="60"/>
      <c r="I167" s="60"/>
      <c r="J167" s="119"/>
      <c r="K167" s="119"/>
      <c r="L167" s="119"/>
      <c r="M167" s="119"/>
      <c r="N167" s="119"/>
      <c r="O167" s="119"/>
      <c r="P167" s="119"/>
      <c r="Q167" s="119"/>
      <c r="R167" s="60"/>
      <c r="S167" s="60"/>
      <c r="T167" s="4"/>
      <c r="U167" s="4"/>
      <c r="V167" s="4"/>
    </row>
    <row r="168" spans="1:22" x14ac:dyDescent="0.3">
      <c r="A168" s="133"/>
      <c r="B168" s="60"/>
      <c r="C168" s="60"/>
      <c r="D168" s="60"/>
      <c r="E168" s="60"/>
      <c r="F168" s="60"/>
      <c r="G168" s="60"/>
      <c r="H168" s="60"/>
      <c r="I168" s="60"/>
      <c r="J168" s="119"/>
      <c r="K168" s="119"/>
      <c r="L168" s="119"/>
      <c r="M168" s="119"/>
      <c r="N168" s="119"/>
      <c r="O168" s="119"/>
      <c r="P168" s="119"/>
      <c r="Q168" s="119"/>
      <c r="R168" s="60"/>
      <c r="S168" s="60"/>
      <c r="T168" s="4"/>
      <c r="U168" s="4"/>
      <c r="V168" s="4"/>
    </row>
    <row r="169" spans="1:22" x14ac:dyDescent="0.3">
      <c r="A169" s="133"/>
      <c r="B169" s="60"/>
      <c r="C169" s="60"/>
      <c r="D169" s="60"/>
      <c r="E169" s="60"/>
      <c r="F169" s="60"/>
      <c r="G169" s="60"/>
      <c r="H169" s="60"/>
      <c r="I169" s="60"/>
      <c r="J169" s="119"/>
      <c r="K169" s="119"/>
      <c r="L169" s="119"/>
      <c r="M169" s="119"/>
      <c r="N169" s="119"/>
      <c r="O169" s="119"/>
      <c r="P169" s="119"/>
      <c r="Q169" s="119"/>
      <c r="R169" s="60"/>
      <c r="S169" s="60"/>
      <c r="T169" s="4"/>
      <c r="U169" s="4"/>
      <c r="V169" s="4"/>
    </row>
    <row r="170" spans="1:22" x14ac:dyDescent="0.3">
      <c r="A170" s="133"/>
      <c r="B170" s="60"/>
      <c r="C170" s="60"/>
      <c r="D170" s="60"/>
      <c r="E170" s="60"/>
      <c r="F170" s="60"/>
      <c r="G170" s="60"/>
      <c r="H170" s="60"/>
      <c r="I170" s="60"/>
      <c r="J170" s="119"/>
      <c r="K170" s="119"/>
      <c r="L170" s="119"/>
      <c r="M170" s="119"/>
      <c r="N170" s="119"/>
      <c r="O170" s="119"/>
      <c r="P170" s="119"/>
      <c r="Q170" s="119"/>
      <c r="R170" s="60"/>
      <c r="S170" s="60"/>
      <c r="T170" s="4"/>
      <c r="U170" s="4"/>
      <c r="V170" s="4"/>
    </row>
    <row r="171" spans="1:22" x14ac:dyDescent="0.3">
      <c r="A171" s="133"/>
      <c r="B171" s="60"/>
      <c r="C171" s="60"/>
      <c r="D171" s="60"/>
      <c r="E171" s="60"/>
      <c r="F171" s="60"/>
      <c r="G171" s="60"/>
      <c r="H171" s="60"/>
      <c r="I171" s="60"/>
      <c r="J171" s="119"/>
      <c r="K171" s="119"/>
      <c r="L171" s="119"/>
      <c r="M171" s="119"/>
      <c r="N171" s="119"/>
      <c r="O171" s="119"/>
      <c r="P171" s="119"/>
      <c r="Q171" s="119"/>
      <c r="R171" s="60"/>
      <c r="S171" s="60"/>
      <c r="T171" s="4"/>
      <c r="U171" s="4"/>
      <c r="V171" s="4"/>
    </row>
    <row r="172" spans="1:22" x14ac:dyDescent="0.3">
      <c r="A172" s="133"/>
      <c r="B172" s="60"/>
      <c r="C172" s="60"/>
      <c r="D172" s="60"/>
      <c r="E172" s="60"/>
      <c r="F172" s="60"/>
      <c r="G172" s="60"/>
      <c r="H172" s="60"/>
      <c r="I172" s="60"/>
      <c r="J172" s="119"/>
      <c r="K172" s="119"/>
      <c r="L172" s="119"/>
      <c r="M172" s="119"/>
      <c r="N172" s="119"/>
      <c r="O172" s="119"/>
      <c r="P172" s="119"/>
      <c r="Q172" s="119"/>
      <c r="R172" s="60"/>
      <c r="S172" s="60"/>
      <c r="T172" s="4"/>
      <c r="U172" s="4"/>
      <c r="V172" s="4"/>
    </row>
    <row r="173" spans="1:22" x14ac:dyDescent="0.3">
      <c r="A173" s="133"/>
      <c r="B173" s="60"/>
      <c r="C173" s="60"/>
      <c r="D173" s="60"/>
      <c r="E173" s="60"/>
      <c r="F173" s="60"/>
      <c r="G173" s="60"/>
      <c r="H173" s="60"/>
      <c r="I173" s="60"/>
      <c r="J173" s="119"/>
      <c r="K173" s="119"/>
      <c r="L173" s="119"/>
      <c r="M173" s="119"/>
      <c r="N173" s="119"/>
      <c r="O173" s="119"/>
      <c r="P173" s="119"/>
      <c r="Q173" s="119"/>
      <c r="R173" s="60"/>
      <c r="S173" s="60"/>
      <c r="T173" s="4"/>
      <c r="U173" s="4"/>
      <c r="V173" s="4"/>
    </row>
    <row r="174" spans="1:22" x14ac:dyDescent="0.3">
      <c r="A174" s="133"/>
      <c r="B174" s="60"/>
      <c r="C174" s="60"/>
      <c r="D174" s="60"/>
      <c r="E174" s="60"/>
      <c r="F174" s="60"/>
      <c r="G174" s="60"/>
      <c r="H174" s="60"/>
      <c r="I174" s="60"/>
      <c r="J174" s="119"/>
      <c r="K174" s="119"/>
      <c r="L174" s="119"/>
      <c r="M174" s="119"/>
      <c r="N174" s="119"/>
      <c r="O174" s="119"/>
      <c r="P174" s="119"/>
      <c r="Q174" s="119"/>
      <c r="R174" s="60"/>
      <c r="S174" s="60"/>
      <c r="T174" s="4"/>
      <c r="U174" s="4"/>
      <c r="V174" s="4"/>
    </row>
    <row r="175" spans="1:22" x14ac:dyDescent="0.3">
      <c r="A175" s="133"/>
      <c r="B175" s="60"/>
      <c r="C175" s="60"/>
      <c r="D175" s="60"/>
      <c r="E175" s="60"/>
      <c r="F175" s="60"/>
      <c r="G175" s="60"/>
      <c r="H175" s="60"/>
      <c r="I175" s="60"/>
      <c r="J175" s="119"/>
      <c r="K175" s="119"/>
      <c r="L175" s="119"/>
      <c r="M175" s="119"/>
      <c r="N175" s="119"/>
      <c r="O175" s="119"/>
      <c r="P175" s="119"/>
      <c r="Q175" s="119"/>
      <c r="R175" s="60"/>
      <c r="S175" s="60"/>
      <c r="T175" s="4"/>
      <c r="U175" s="4"/>
      <c r="V175" s="4"/>
    </row>
    <row r="176" spans="1:22" x14ac:dyDescent="0.3">
      <c r="A176" s="133"/>
      <c r="B176" s="60"/>
      <c r="C176" s="60"/>
      <c r="D176" s="60"/>
      <c r="E176" s="60"/>
      <c r="F176" s="60"/>
      <c r="G176" s="60"/>
      <c r="H176" s="60"/>
      <c r="I176" s="60"/>
      <c r="J176" s="119"/>
      <c r="K176" s="119"/>
      <c r="L176" s="119"/>
      <c r="M176" s="119"/>
      <c r="N176" s="119"/>
      <c r="O176" s="119"/>
      <c r="P176" s="119"/>
      <c r="Q176" s="119"/>
      <c r="R176" s="60"/>
      <c r="S176" s="60"/>
      <c r="T176" s="4"/>
      <c r="U176" s="4"/>
      <c r="V176" s="4"/>
    </row>
    <row r="177" spans="1:22" x14ac:dyDescent="0.3">
      <c r="A177" s="133"/>
      <c r="B177" s="60"/>
      <c r="C177" s="60"/>
      <c r="D177" s="60"/>
      <c r="E177" s="60"/>
      <c r="F177" s="60"/>
      <c r="G177" s="60"/>
      <c r="H177" s="60"/>
      <c r="I177" s="60"/>
      <c r="J177" s="119"/>
      <c r="K177" s="119"/>
      <c r="L177" s="119"/>
      <c r="M177" s="119"/>
      <c r="N177" s="119"/>
      <c r="O177" s="119"/>
      <c r="P177" s="119"/>
      <c r="Q177" s="119"/>
      <c r="R177" s="60"/>
      <c r="S177" s="60"/>
      <c r="T177" s="4"/>
      <c r="U177" s="4"/>
      <c r="V177" s="4"/>
    </row>
    <row r="178" spans="1:22" x14ac:dyDescent="0.3">
      <c r="A178" s="133"/>
      <c r="B178" s="60"/>
      <c r="C178" s="60"/>
      <c r="D178" s="60"/>
      <c r="E178" s="60"/>
      <c r="F178" s="60"/>
      <c r="G178" s="60"/>
      <c r="H178" s="60"/>
      <c r="I178" s="60"/>
      <c r="J178" s="119"/>
      <c r="K178" s="119"/>
      <c r="L178" s="119"/>
      <c r="M178" s="119"/>
      <c r="N178" s="119"/>
      <c r="O178" s="119"/>
      <c r="P178" s="119"/>
      <c r="Q178" s="119"/>
      <c r="R178" s="60"/>
      <c r="S178" s="60"/>
      <c r="T178" s="4"/>
      <c r="U178" s="4"/>
      <c r="V178" s="4"/>
    </row>
    <row r="179" spans="1:22" x14ac:dyDescent="0.3">
      <c r="A179" s="133"/>
      <c r="B179" s="60"/>
      <c r="C179" s="60"/>
      <c r="D179" s="60"/>
      <c r="E179" s="60"/>
      <c r="F179" s="60"/>
      <c r="G179" s="60"/>
      <c r="H179" s="60"/>
      <c r="I179" s="60"/>
      <c r="J179" s="119"/>
      <c r="K179" s="119"/>
      <c r="L179" s="119"/>
      <c r="M179" s="119"/>
      <c r="N179" s="119"/>
      <c r="O179" s="119"/>
      <c r="P179" s="119"/>
      <c r="Q179" s="119"/>
      <c r="R179" s="60"/>
      <c r="S179" s="60"/>
      <c r="T179" s="4"/>
      <c r="U179" s="4"/>
      <c r="V179" s="4"/>
    </row>
    <row r="180" spans="1:22" x14ac:dyDescent="0.3">
      <c r="A180" s="133"/>
      <c r="B180" s="60"/>
      <c r="C180" s="60"/>
      <c r="D180" s="60"/>
      <c r="E180" s="60"/>
      <c r="F180" s="60"/>
      <c r="G180" s="60"/>
      <c r="H180" s="60"/>
      <c r="I180" s="60"/>
      <c r="J180" s="119"/>
      <c r="K180" s="119"/>
      <c r="L180" s="119"/>
      <c r="M180" s="119"/>
      <c r="N180" s="119"/>
      <c r="O180" s="119"/>
      <c r="P180" s="119"/>
      <c r="Q180" s="119"/>
      <c r="R180" s="60"/>
      <c r="S180" s="60"/>
      <c r="T180" s="4"/>
      <c r="U180" s="4"/>
      <c r="V180" s="4"/>
    </row>
    <row r="181" spans="1:22" x14ac:dyDescent="0.3">
      <c r="A181" s="133"/>
      <c r="B181" s="60"/>
      <c r="C181" s="60"/>
      <c r="D181" s="60"/>
      <c r="E181" s="60"/>
      <c r="F181" s="60"/>
      <c r="G181" s="60"/>
      <c r="H181" s="60"/>
      <c r="I181" s="60"/>
      <c r="J181" s="119"/>
      <c r="K181" s="119"/>
      <c r="L181" s="119"/>
      <c r="M181" s="119"/>
      <c r="N181" s="119"/>
      <c r="O181" s="119"/>
      <c r="P181" s="119"/>
      <c r="Q181" s="119"/>
      <c r="R181" s="60"/>
      <c r="S181" s="60"/>
      <c r="T181" s="4"/>
      <c r="U181" s="4"/>
      <c r="V181" s="4"/>
    </row>
    <row r="182" spans="1:22" x14ac:dyDescent="0.3">
      <c r="A182" s="133"/>
      <c r="B182" s="60"/>
      <c r="C182" s="60"/>
      <c r="D182" s="60"/>
      <c r="E182" s="60"/>
      <c r="F182" s="60"/>
      <c r="G182" s="60"/>
      <c r="H182" s="60"/>
      <c r="I182" s="60"/>
      <c r="J182" s="119"/>
      <c r="K182" s="119"/>
      <c r="L182" s="119"/>
      <c r="M182" s="119"/>
      <c r="N182" s="119"/>
      <c r="O182" s="119"/>
      <c r="P182" s="119"/>
      <c r="Q182" s="119"/>
      <c r="R182" s="60"/>
      <c r="S182" s="60"/>
      <c r="T182" s="4"/>
      <c r="U182" s="4"/>
      <c r="V182" s="4"/>
    </row>
    <row r="183" spans="1:22" x14ac:dyDescent="0.3">
      <c r="A183" s="133"/>
      <c r="B183" s="60"/>
      <c r="C183" s="60"/>
      <c r="D183" s="60"/>
      <c r="E183" s="60"/>
      <c r="F183" s="60"/>
      <c r="G183" s="60"/>
      <c r="H183" s="60"/>
      <c r="I183" s="60"/>
      <c r="J183" s="119"/>
      <c r="K183" s="119"/>
      <c r="L183" s="119"/>
      <c r="M183" s="119"/>
      <c r="N183" s="119"/>
      <c r="O183" s="119"/>
      <c r="P183" s="119"/>
      <c r="Q183" s="119"/>
      <c r="R183" s="60"/>
      <c r="S183" s="60"/>
      <c r="T183" s="4"/>
      <c r="U183" s="4"/>
      <c r="V183" s="4"/>
    </row>
    <row r="184" spans="1:22" x14ac:dyDescent="0.3">
      <c r="A184" s="133"/>
      <c r="B184" s="60"/>
      <c r="C184" s="60"/>
      <c r="D184" s="60"/>
      <c r="E184" s="60"/>
      <c r="F184" s="60"/>
      <c r="G184" s="60"/>
      <c r="H184" s="60"/>
      <c r="I184" s="60"/>
      <c r="J184" s="119"/>
      <c r="K184" s="119"/>
      <c r="L184" s="119"/>
      <c r="M184" s="119"/>
      <c r="N184" s="119"/>
      <c r="O184" s="119"/>
      <c r="P184" s="119"/>
      <c r="Q184" s="119"/>
      <c r="R184" s="60"/>
      <c r="S184" s="60"/>
      <c r="T184" s="4"/>
      <c r="U184" s="4"/>
      <c r="V184" s="4"/>
    </row>
    <row r="185" spans="1:22" x14ac:dyDescent="0.3">
      <c r="A185" s="133"/>
      <c r="B185" s="60"/>
      <c r="C185" s="60"/>
      <c r="D185" s="60"/>
      <c r="E185" s="60"/>
      <c r="F185" s="60"/>
      <c r="G185" s="60"/>
      <c r="H185" s="60"/>
      <c r="I185" s="60"/>
      <c r="J185" s="119"/>
      <c r="K185" s="119"/>
      <c r="L185" s="119"/>
      <c r="M185" s="119"/>
      <c r="N185" s="119"/>
      <c r="O185" s="119"/>
      <c r="P185" s="119"/>
      <c r="Q185" s="119"/>
      <c r="R185" s="60"/>
      <c r="S185" s="60"/>
      <c r="T185" s="4"/>
      <c r="U185" s="4"/>
      <c r="V185" s="4"/>
    </row>
    <row r="186" spans="1:22" x14ac:dyDescent="0.3">
      <c r="A186" s="133"/>
      <c r="B186" s="60"/>
      <c r="C186" s="60"/>
      <c r="D186" s="60"/>
      <c r="E186" s="60"/>
      <c r="F186" s="60"/>
      <c r="G186" s="60"/>
      <c r="H186" s="60"/>
      <c r="I186" s="60"/>
      <c r="J186" s="119"/>
      <c r="K186" s="119"/>
      <c r="L186" s="119"/>
      <c r="M186" s="119"/>
      <c r="N186" s="119"/>
      <c r="O186" s="119"/>
      <c r="P186" s="119"/>
      <c r="Q186" s="119"/>
      <c r="R186" s="60"/>
      <c r="S186" s="60"/>
      <c r="T186" s="4"/>
      <c r="U186" s="4"/>
      <c r="V186" s="4"/>
    </row>
    <row r="187" spans="1:22" x14ac:dyDescent="0.3">
      <c r="A187" s="133"/>
      <c r="B187" s="60"/>
      <c r="C187" s="60"/>
      <c r="D187" s="60"/>
      <c r="E187" s="60"/>
      <c r="F187" s="60"/>
      <c r="G187" s="60"/>
      <c r="H187" s="60"/>
      <c r="I187" s="60"/>
      <c r="J187" s="119"/>
      <c r="K187" s="119"/>
      <c r="L187" s="119"/>
      <c r="M187" s="119"/>
      <c r="N187" s="119"/>
      <c r="O187" s="119"/>
      <c r="P187" s="119"/>
      <c r="Q187" s="119"/>
      <c r="R187" s="60"/>
      <c r="S187" s="60"/>
      <c r="T187" s="4"/>
      <c r="U187" s="4"/>
      <c r="V187" s="4"/>
    </row>
    <row r="188" spans="1:22" x14ac:dyDescent="0.3">
      <c r="A188" s="133"/>
      <c r="B188" s="60"/>
      <c r="C188" s="60"/>
      <c r="D188" s="60"/>
      <c r="E188" s="60"/>
      <c r="F188" s="60"/>
      <c r="G188" s="60"/>
      <c r="H188" s="60"/>
      <c r="I188" s="60"/>
      <c r="J188" s="119"/>
      <c r="K188" s="119"/>
      <c r="L188" s="119"/>
      <c r="M188" s="119"/>
      <c r="N188" s="119"/>
      <c r="O188" s="119"/>
      <c r="P188" s="119"/>
      <c r="Q188" s="119"/>
      <c r="R188" s="60"/>
      <c r="S188" s="60"/>
      <c r="T188" s="4"/>
      <c r="U188" s="4"/>
      <c r="V188" s="4"/>
    </row>
    <row r="189" spans="1:22" x14ac:dyDescent="0.3">
      <c r="A189" s="133"/>
      <c r="B189" s="60"/>
      <c r="C189" s="60"/>
      <c r="D189" s="60"/>
      <c r="E189" s="60"/>
      <c r="F189" s="60"/>
      <c r="G189" s="60"/>
      <c r="H189" s="60"/>
      <c r="I189" s="60"/>
      <c r="J189" s="119"/>
      <c r="K189" s="119"/>
      <c r="L189" s="119"/>
      <c r="M189" s="119"/>
      <c r="N189" s="119"/>
      <c r="O189" s="119"/>
      <c r="P189" s="119"/>
      <c r="Q189" s="119"/>
      <c r="R189" s="60"/>
      <c r="S189" s="60"/>
      <c r="T189" s="4"/>
      <c r="U189" s="4"/>
      <c r="V189" s="4"/>
    </row>
    <row r="190" spans="1:22" x14ac:dyDescent="0.3">
      <c r="A190" s="133"/>
      <c r="B190" s="60"/>
      <c r="C190" s="60"/>
      <c r="D190" s="60"/>
      <c r="E190" s="60"/>
      <c r="F190" s="60"/>
      <c r="G190" s="60"/>
      <c r="H190" s="60"/>
      <c r="I190" s="60"/>
      <c r="J190" s="119"/>
      <c r="K190" s="119"/>
      <c r="L190" s="119"/>
      <c r="M190" s="119"/>
      <c r="N190" s="119"/>
      <c r="O190" s="119"/>
      <c r="P190" s="119"/>
      <c r="Q190" s="119"/>
      <c r="R190" s="60"/>
      <c r="S190" s="60"/>
      <c r="T190" s="4"/>
      <c r="U190" s="4"/>
      <c r="V190" s="4"/>
    </row>
    <row r="191" spans="1:22" x14ac:dyDescent="0.3">
      <c r="A191" s="133"/>
      <c r="B191" s="60"/>
      <c r="C191" s="60"/>
      <c r="D191" s="60"/>
      <c r="E191" s="60"/>
      <c r="F191" s="60"/>
      <c r="G191" s="60"/>
      <c r="H191" s="60"/>
      <c r="I191" s="60"/>
      <c r="J191" s="119"/>
      <c r="K191" s="119"/>
      <c r="L191" s="119"/>
      <c r="M191" s="119"/>
      <c r="N191" s="119"/>
      <c r="O191" s="119"/>
      <c r="P191" s="119"/>
      <c r="Q191" s="119"/>
      <c r="R191" s="60"/>
      <c r="S191" s="60"/>
      <c r="T191" s="4"/>
      <c r="U191" s="4"/>
      <c r="V191" s="4"/>
    </row>
    <row r="192" spans="1:22" x14ac:dyDescent="0.3">
      <c r="A192" s="133"/>
      <c r="B192" s="60"/>
      <c r="C192" s="60"/>
      <c r="D192" s="60"/>
      <c r="E192" s="60"/>
      <c r="F192" s="60"/>
      <c r="G192" s="60"/>
      <c r="H192" s="60"/>
      <c r="I192" s="60"/>
      <c r="J192" s="119"/>
      <c r="K192" s="119"/>
      <c r="L192" s="119"/>
      <c r="M192" s="119"/>
      <c r="N192" s="119"/>
      <c r="O192" s="119"/>
      <c r="P192" s="119"/>
      <c r="Q192" s="119"/>
      <c r="R192" s="60"/>
      <c r="S192" s="60"/>
      <c r="T192" s="4"/>
      <c r="U192" s="4"/>
      <c r="V192" s="4"/>
    </row>
    <row r="193" spans="1:22" x14ac:dyDescent="0.3">
      <c r="A193" s="133"/>
      <c r="B193" s="60"/>
      <c r="C193" s="60"/>
      <c r="D193" s="60"/>
      <c r="E193" s="60"/>
      <c r="F193" s="60"/>
      <c r="G193" s="60"/>
      <c r="H193" s="60"/>
      <c r="I193" s="60"/>
      <c r="J193" s="119"/>
      <c r="K193" s="119"/>
      <c r="L193" s="119"/>
      <c r="M193" s="119"/>
      <c r="N193" s="119"/>
      <c r="O193" s="119"/>
      <c r="P193" s="119"/>
      <c r="Q193" s="119"/>
      <c r="R193" s="60"/>
      <c r="S193" s="60"/>
      <c r="T193" s="4"/>
      <c r="U193" s="4"/>
      <c r="V193" s="4"/>
    </row>
    <row r="194" spans="1:22" x14ac:dyDescent="0.3">
      <c r="A194" s="133"/>
      <c r="B194" s="60"/>
      <c r="C194" s="60"/>
      <c r="D194" s="60"/>
      <c r="E194" s="60"/>
      <c r="F194" s="60"/>
      <c r="G194" s="60"/>
      <c r="H194" s="60"/>
      <c r="I194" s="60"/>
      <c r="J194" s="119"/>
      <c r="K194" s="119"/>
      <c r="L194" s="119"/>
      <c r="M194" s="119"/>
      <c r="N194" s="119"/>
      <c r="O194" s="119"/>
      <c r="P194" s="119"/>
      <c r="Q194" s="119"/>
      <c r="R194" s="60"/>
      <c r="S194" s="60"/>
      <c r="T194" s="4"/>
      <c r="U194" s="4"/>
      <c r="V194" s="4"/>
    </row>
    <row r="195" spans="1:22" x14ac:dyDescent="0.3">
      <c r="A195" s="133"/>
      <c r="B195" s="60"/>
      <c r="C195" s="60"/>
      <c r="D195" s="60"/>
      <c r="E195" s="60"/>
      <c r="F195" s="60"/>
      <c r="G195" s="60"/>
      <c r="H195" s="60"/>
      <c r="I195" s="60"/>
      <c r="J195" s="119"/>
      <c r="K195" s="119"/>
      <c r="L195" s="119"/>
      <c r="M195" s="119"/>
      <c r="N195" s="119"/>
      <c r="O195" s="119"/>
      <c r="P195" s="119"/>
      <c r="Q195" s="119"/>
      <c r="R195" s="60"/>
      <c r="S195" s="60"/>
      <c r="T195" s="4"/>
      <c r="U195" s="4"/>
      <c r="V195" s="4"/>
    </row>
    <row r="196" spans="1:22" x14ac:dyDescent="0.3">
      <c r="A196" s="133"/>
      <c r="B196" s="60"/>
      <c r="C196" s="60"/>
      <c r="D196" s="60"/>
      <c r="E196" s="60"/>
      <c r="F196" s="60"/>
      <c r="G196" s="60"/>
      <c r="H196" s="60"/>
      <c r="I196" s="60"/>
      <c r="J196" s="119"/>
      <c r="K196" s="119"/>
      <c r="L196" s="119"/>
      <c r="M196" s="119"/>
      <c r="N196" s="119"/>
      <c r="O196" s="119"/>
      <c r="P196" s="119"/>
      <c r="Q196" s="119"/>
      <c r="R196" s="60"/>
      <c r="S196" s="60"/>
      <c r="T196" s="4"/>
      <c r="U196" s="4"/>
      <c r="V196" s="4"/>
    </row>
    <row r="197" spans="1:22" x14ac:dyDescent="0.3">
      <c r="A197" s="133"/>
      <c r="B197" s="60"/>
      <c r="C197" s="60"/>
      <c r="D197" s="60"/>
      <c r="E197" s="60"/>
      <c r="F197" s="60"/>
      <c r="G197" s="60"/>
      <c r="H197" s="60"/>
      <c r="I197" s="60"/>
      <c r="J197" s="119"/>
      <c r="K197" s="119"/>
      <c r="L197" s="119"/>
      <c r="M197" s="119"/>
      <c r="N197" s="119"/>
      <c r="O197" s="119"/>
      <c r="P197" s="119"/>
      <c r="Q197" s="119"/>
      <c r="R197" s="60"/>
      <c r="S197" s="60"/>
      <c r="T197" s="4"/>
      <c r="U197" s="4"/>
      <c r="V197" s="4"/>
    </row>
    <row r="198" spans="1:22" x14ac:dyDescent="0.3">
      <c r="A198" s="133"/>
      <c r="B198" s="60"/>
      <c r="C198" s="60"/>
      <c r="D198" s="60"/>
      <c r="E198" s="60"/>
      <c r="F198" s="60"/>
      <c r="G198" s="60"/>
      <c r="H198" s="60"/>
      <c r="I198" s="60"/>
      <c r="J198" s="119"/>
      <c r="K198" s="119"/>
      <c r="L198" s="119"/>
      <c r="M198" s="119"/>
      <c r="N198" s="119"/>
      <c r="O198" s="119"/>
      <c r="P198" s="119"/>
      <c r="Q198" s="119"/>
      <c r="R198" s="60"/>
      <c r="S198" s="60"/>
      <c r="T198" s="4"/>
      <c r="U198" s="4"/>
      <c r="V198" s="4"/>
    </row>
    <row r="199" spans="1:22" x14ac:dyDescent="0.3">
      <c r="A199" s="133"/>
      <c r="B199" s="60"/>
      <c r="C199" s="60"/>
      <c r="D199" s="60"/>
      <c r="E199" s="60"/>
      <c r="F199" s="60"/>
      <c r="G199" s="60"/>
      <c r="H199" s="60"/>
      <c r="I199" s="60"/>
      <c r="J199" s="119"/>
      <c r="K199" s="119"/>
      <c r="L199" s="119"/>
      <c r="M199" s="119"/>
      <c r="N199" s="119"/>
      <c r="O199" s="119"/>
      <c r="P199" s="119"/>
      <c r="Q199" s="119"/>
      <c r="R199" s="60"/>
      <c r="S199" s="60"/>
      <c r="T199" s="4"/>
      <c r="U199" s="4"/>
      <c r="V199" s="4"/>
    </row>
    <row r="200" spans="1:22" x14ac:dyDescent="0.3">
      <c r="A200" s="133"/>
      <c r="B200" s="60"/>
      <c r="C200" s="60"/>
      <c r="D200" s="60"/>
      <c r="E200" s="60"/>
      <c r="F200" s="60"/>
      <c r="G200" s="60"/>
      <c r="H200" s="60"/>
      <c r="I200" s="60"/>
      <c r="J200" s="119"/>
      <c r="K200" s="119"/>
      <c r="L200" s="119"/>
      <c r="M200" s="119"/>
      <c r="N200" s="119"/>
      <c r="O200" s="119"/>
      <c r="P200" s="119"/>
      <c r="Q200" s="119"/>
      <c r="R200" s="60"/>
      <c r="S200" s="60"/>
      <c r="T200" s="4"/>
      <c r="U200" s="4"/>
      <c r="V200" s="4"/>
    </row>
    <row r="201" spans="1:22" x14ac:dyDescent="0.3">
      <c r="A201" s="133"/>
      <c r="B201" s="60"/>
      <c r="C201" s="60"/>
      <c r="D201" s="60"/>
      <c r="E201" s="60"/>
      <c r="F201" s="60"/>
      <c r="G201" s="60"/>
      <c r="H201" s="60"/>
      <c r="I201" s="60"/>
      <c r="J201" s="119"/>
      <c r="K201" s="119"/>
      <c r="L201" s="119"/>
      <c r="M201" s="119"/>
      <c r="N201" s="119"/>
      <c r="O201" s="119"/>
      <c r="P201" s="119"/>
      <c r="Q201" s="119"/>
      <c r="R201" s="60"/>
      <c r="S201" s="60"/>
      <c r="T201" s="4"/>
      <c r="U201" s="4"/>
      <c r="V201" s="4"/>
    </row>
    <row r="202" spans="1:22" x14ac:dyDescent="0.3">
      <c r="A202" s="133"/>
      <c r="B202" s="60"/>
      <c r="C202" s="60"/>
      <c r="D202" s="60"/>
      <c r="E202" s="60"/>
      <c r="F202" s="60"/>
      <c r="G202" s="60"/>
      <c r="H202" s="60"/>
      <c r="I202" s="60"/>
      <c r="J202" s="119"/>
      <c r="K202" s="119"/>
      <c r="L202" s="119"/>
      <c r="M202" s="119"/>
      <c r="N202" s="119"/>
      <c r="O202" s="119"/>
      <c r="P202" s="119"/>
      <c r="Q202" s="119"/>
      <c r="R202" s="60"/>
      <c r="S202" s="60"/>
      <c r="T202" s="4"/>
      <c r="U202" s="4"/>
      <c r="V202" s="4"/>
    </row>
    <row r="203" spans="1:22" x14ac:dyDescent="0.3">
      <c r="A203" s="133"/>
      <c r="B203" s="60"/>
      <c r="C203" s="60"/>
      <c r="D203" s="60"/>
      <c r="E203" s="60"/>
      <c r="F203" s="60"/>
      <c r="G203" s="60"/>
      <c r="H203" s="60"/>
      <c r="I203" s="60"/>
      <c r="J203" s="119"/>
      <c r="K203" s="119"/>
      <c r="L203" s="119"/>
      <c r="M203" s="119"/>
      <c r="N203" s="119"/>
      <c r="O203" s="119"/>
      <c r="P203" s="119"/>
      <c r="Q203" s="119"/>
      <c r="R203" s="60"/>
      <c r="S203" s="60"/>
      <c r="T203" s="4"/>
      <c r="U203" s="4"/>
      <c r="V203" s="4"/>
    </row>
    <row r="204" spans="1:22" x14ac:dyDescent="0.3">
      <c r="A204" s="133"/>
      <c r="B204" s="60"/>
      <c r="C204" s="60"/>
      <c r="D204" s="60"/>
      <c r="E204" s="60"/>
      <c r="F204" s="60"/>
      <c r="G204" s="60"/>
      <c r="H204" s="60"/>
      <c r="I204" s="60"/>
      <c r="J204" s="119"/>
      <c r="K204" s="119"/>
      <c r="L204" s="119"/>
      <c r="M204" s="119"/>
      <c r="N204" s="119"/>
      <c r="O204" s="119"/>
      <c r="P204" s="119"/>
      <c r="Q204" s="119"/>
      <c r="R204" s="60"/>
      <c r="S204" s="60"/>
      <c r="T204" s="4"/>
      <c r="U204" s="4"/>
      <c r="V204" s="4"/>
    </row>
    <row r="205" spans="1:22" x14ac:dyDescent="0.3">
      <c r="A205" s="133"/>
      <c r="B205" s="60"/>
      <c r="C205" s="60"/>
      <c r="D205" s="60"/>
      <c r="E205" s="60"/>
      <c r="F205" s="60"/>
      <c r="G205" s="60"/>
      <c r="H205" s="60"/>
      <c r="I205" s="60"/>
      <c r="J205" s="119"/>
      <c r="K205" s="119"/>
      <c r="L205" s="119"/>
      <c r="M205" s="119"/>
      <c r="N205" s="119"/>
      <c r="O205" s="119"/>
      <c r="P205" s="119"/>
      <c r="Q205" s="119"/>
      <c r="R205" s="60"/>
      <c r="S205" s="60"/>
      <c r="T205" s="4"/>
      <c r="U205" s="4"/>
      <c r="V205" s="4"/>
    </row>
    <row r="206" spans="1:22" x14ac:dyDescent="0.3">
      <c r="A206" s="133"/>
      <c r="B206" s="60"/>
      <c r="C206" s="60"/>
      <c r="D206" s="60"/>
      <c r="E206" s="60"/>
      <c r="F206" s="60"/>
      <c r="G206" s="60"/>
      <c r="H206" s="60"/>
      <c r="I206" s="60"/>
      <c r="J206" s="119"/>
      <c r="K206" s="119"/>
      <c r="L206" s="119"/>
      <c r="M206" s="119"/>
      <c r="N206" s="119"/>
      <c r="O206" s="119"/>
      <c r="P206" s="119"/>
      <c r="Q206" s="119"/>
      <c r="R206" s="60"/>
      <c r="S206" s="60"/>
      <c r="T206" s="4"/>
      <c r="U206" s="4"/>
      <c r="V206" s="4"/>
    </row>
    <row r="207" spans="1:22" x14ac:dyDescent="0.3">
      <c r="A207" s="133"/>
      <c r="B207" s="60"/>
      <c r="C207" s="60"/>
      <c r="D207" s="60"/>
      <c r="E207" s="60"/>
      <c r="F207" s="60"/>
      <c r="G207" s="60"/>
      <c r="H207" s="60"/>
      <c r="I207" s="60"/>
      <c r="J207" s="119"/>
      <c r="K207" s="119"/>
      <c r="L207" s="119"/>
      <c r="M207" s="119"/>
      <c r="N207" s="119"/>
      <c r="O207" s="119"/>
      <c r="P207" s="119"/>
      <c r="Q207" s="119"/>
      <c r="R207" s="60"/>
      <c r="S207" s="60"/>
      <c r="T207" s="4"/>
      <c r="U207" s="4"/>
      <c r="V207" s="4"/>
    </row>
    <row r="208" spans="1:22" x14ac:dyDescent="0.3">
      <c r="A208" s="133"/>
      <c r="B208" s="60"/>
      <c r="C208" s="60"/>
      <c r="D208" s="60"/>
      <c r="E208" s="60"/>
      <c r="F208" s="60"/>
      <c r="G208" s="60"/>
      <c r="H208" s="60"/>
      <c r="I208" s="60"/>
      <c r="J208" s="119"/>
      <c r="K208" s="119"/>
      <c r="L208" s="119"/>
      <c r="M208" s="119"/>
      <c r="N208" s="119"/>
      <c r="O208" s="119"/>
      <c r="P208" s="119"/>
      <c r="Q208" s="119"/>
      <c r="R208" s="60"/>
      <c r="S208" s="60"/>
      <c r="T208" s="4"/>
      <c r="U208" s="4"/>
      <c r="V208" s="4"/>
    </row>
    <row r="209" spans="1:22" x14ac:dyDescent="0.3">
      <c r="A209" s="133"/>
      <c r="B209" s="60"/>
      <c r="C209" s="60"/>
      <c r="D209" s="60"/>
      <c r="E209" s="60"/>
      <c r="F209" s="60"/>
      <c r="G209" s="60"/>
      <c r="H209" s="60"/>
      <c r="I209" s="60"/>
      <c r="J209" s="119"/>
      <c r="K209" s="119"/>
      <c r="L209" s="119"/>
      <c r="M209" s="119"/>
      <c r="N209" s="119"/>
      <c r="O209" s="119"/>
      <c r="P209" s="119"/>
      <c r="Q209" s="119"/>
      <c r="R209" s="60"/>
      <c r="S209" s="60"/>
      <c r="T209" s="4"/>
      <c r="U209" s="4"/>
      <c r="V209" s="4"/>
    </row>
    <row r="210" spans="1:22" x14ac:dyDescent="0.3">
      <c r="A210" s="133"/>
      <c r="B210" s="60"/>
      <c r="C210" s="60"/>
      <c r="D210" s="60"/>
      <c r="E210" s="60"/>
      <c r="F210" s="60"/>
      <c r="G210" s="60"/>
      <c r="H210" s="60"/>
      <c r="I210" s="60"/>
      <c r="J210" s="119"/>
      <c r="K210" s="119"/>
      <c r="L210" s="119"/>
      <c r="M210" s="119"/>
      <c r="N210" s="119"/>
      <c r="O210" s="119"/>
      <c r="P210" s="119"/>
      <c r="Q210" s="119"/>
      <c r="R210" s="60"/>
      <c r="S210" s="60"/>
      <c r="T210" s="4"/>
      <c r="U210" s="4"/>
      <c r="V210" s="4"/>
    </row>
    <row r="211" spans="1:22" x14ac:dyDescent="0.3">
      <c r="A211" s="133"/>
      <c r="B211" s="60"/>
      <c r="C211" s="60"/>
      <c r="D211" s="60"/>
      <c r="E211" s="60"/>
      <c r="F211" s="60"/>
      <c r="G211" s="60"/>
      <c r="H211" s="60"/>
      <c r="I211" s="60"/>
      <c r="J211" s="119"/>
      <c r="K211" s="119"/>
      <c r="L211" s="119"/>
      <c r="M211" s="119"/>
      <c r="N211" s="119"/>
      <c r="O211" s="119"/>
      <c r="P211" s="119"/>
      <c r="Q211" s="119"/>
      <c r="R211" s="60"/>
      <c r="S211" s="60"/>
      <c r="T211" s="4"/>
      <c r="U211" s="4"/>
      <c r="V211" s="4"/>
    </row>
    <row r="212" spans="1:22" x14ac:dyDescent="0.3">
      <c r="A212" s="133"/>
      <c r="B212" s="60"/>
      <c r="C212" s="60"/>
      <c r="D212" s="60"/>
      <c r="E212" s="60"/>
      <c r="F212" s="60"/>
      <c r="G212" s="60"/>
      <c r="H212" s="60"/>
      <c r="I212" s="60"/>
      <c r="J212" s="119"/>
      <c r="K212" s="119"/>
      <c r="L212" s="119"/>
      <c r="M212" s="119"/>
      <c r="N212" s="119"/>
      <c r="O212" s="119"/>
      <c r="P212" s="119"/>
      <c r="Q212" s="119"/>
      <c r="R212" s="60"/>
      <c r="S212" s="60"/>
      <c r="T212" s="4"/>
      <c r="U212" s="4"/>
      <c r="V212" s="4"/>
    </row>
    <row r="213" spans="1:22" x14ac:dyDescent="0.3">
      <c r="A213" s="133"/>
      <c r="B213" s="60"/>
      <c r="C213" s="60"/>
      <c r="D213" s="60"/>
      <c r="E213" s="60"/>
      <c r="F213" s="60"/>
      <c r="G213" s="60"/>
      <c r="H213" s="60"/>
      <c r="I213" s="60"/>
      <c r="J213" s="119"/>
      <c r="K213" s="119"/>
      <c r="L213" s="119"/>
      <c r="M213" s="119"/>
      <c r="N213" s="119"/>
      <c r="O213" s="119"/>
      <c r="P213" s="119"/>
      <c r="Q213" s="119"/>
      <c r="R213" s="60"/>
      <c r="S213" s="60"/>
      <c r="T213" s="4"/>
      <c r="U213" s="4"/>
      <c r="V213" s="4"/>
    </row>
    <row r="214" spans="1:22" x14ac:dyDescent="0.3">
      <c r="A214" s="133"/>
      <c r="B214" s="60"/>
      <c r="C214" s="60"/>
      <c r="D214" s="60"/>
      <c r="E214" s="60"/>
      <c r="F214" s="60"/>
      <c r="G214" s="60"/>
      <c r="H214" s="60"/>
      <c r="I214" s="60"/>
      <c r="J214" s="119"/>
      <c r="K214" s="119"/>
      <c r="L214" s="119"/>
      <c r="M214" s="119"/>
      <c r="N214" s="119"/>
      <c r="O214" s="119"/>
      <c r="P214" s="119"/>
      <c r="Q214" s="119"/>
      <c r="R214" s="60"/>
      <c r="S214" s="60"/>
      <c r="T214" s="4"/>
      <c r="U214" s="4"/>
      <c r="V214" s="4"/>
    </row>
    <row r="215" spans="1:22" x14ac:dyDescent="0.3">
      <c r="A215" s="133"/>
      <c r="B215" s="60"/>
      <c r="C215" s="60"/>
      <c r="D215" s="60"/>
      <c r="E215" s="60"/>
      <c r="F215" s="60"/>
      <c r="G215" s="60"/>
      <c r="H215" s="60"/>
      <c r="I215" s="60"/>
      <c r="J215" s="119"/>
      <c r="K215" s="119"/>
      <c r="L215" s="119"/>
      <c r="M215" s="119"/>
      <c r="N215" s="119"/>
      <c r="O215" s="119"/>
      <c r="P215" s="119"/>
      <c r="Q215" s="119"/>
      <c r="R215" s="60"/>
      <c r="S215" s="60"/>
      <c r="T215" s="4"/>
      <c r="U215" s="4"/>
      <c r="V215" s="4"/>
    </row>
    <row r="216" spans="1:22" x14ac:dyDescent="0.3">
      <c r="A216" s="133"/>
      <c r="B216" s="60"/>
      <c r="C216" s="60"/>
      <c r="D216" s="60"/>
      <c r="E216" s="60"/>
      <c r="F216" s="60"/>
      <c r="G216" s="60"/>
      <c r="H216" s="60"/>
      <c r="I216" s="60"/>
      <c r="J216" s="119"/>
      <c r="K216" s="119"/>
      <c r="L216" s="119"/>
      <c r="M216" s="119"/>
      <c r="N216" s="119"/>
      <c r="O216" s="119"/>
      <c r="P216" s="119"/>
      <c r="Q216" s="119"/>
      <c r="R216" s="60"/>
      <c r="S216" s="60"/>
      <c r="T216" s="4"/>
      <c r="U216" s="4"/>
      <c r="V216" s="4"/>
    </row>
    <row r="217" spans="1:22" x14ac:dyDescent="0.3">
      <c r="A217" s="133"/>
      <c r="B217" s="60"/>
      <c r="C217" s="60"/>
      <c r="D217" s="60"/>
      <c r="E217" s="60"/>
      <c r="F217" s="60"/>
      <c r="G217" s="60"/>
      <c r="H217" s="60"/>
      <c r="I217" s="60"/>
      <c r="J217" s="119"/>
      <c r="K217" s="119"/>
      <c r="L217" s="119"/>
      <c r="M217" s="119"/>
      <c r="N217" s="119"/>
      <c r="O217" s="119"/>
      <c r="P217" s="119"/>
      <c r="Q217" s="119"/>
      <c r="R217" s="60"/>
      <c r="S217" s="60"/>
      <c r="T217" s="4"/>
      <c r="U217" s="4"/>
      <c r="V217" s="4"/>
    </row>
    <row r="218" spans="1:22" x14ac:dyDescent="0.3">
      <c r="A218" s="133"/>
      <c r="B218" s="60"/>
      <c r="C218" s="60"/>
      <c r="D218" s="60"/>
      <c r="E218" s="60"/>
      <c r="F218" s="60"/>
      <c r="G218" s="60"/>
      <c r="H218" s="60"/>
      <c r="I218" s="60"/>
      <c r="J218" s="119"/>
      <c r="K218" s="119"/>
      <c r="L218" s="119"/>
      <c r="M218" s="119"/>
      <c r="N218" s="119"/>
      <c r="O218" s="119"/>
      <c r="P218" s="119"/>
      <c r="Q218" s="119"/>
      <c r="R218" s="60"/>
      <c r="S218" s="60"/>
      <c r="T218" s="4"/>
      <c r="U218" s="4"/>
      <c r="V218" s="4"/>
    </row>
    <row r="219" spans="1:22" x14ac:dyDescent="0.3">
      <c r="A219" s="133"/>
      <c r="B219" s="60"/>
      <c r="C219" s="60"/>
      <c r="D219" s="60"/>
      <c r="E219" s="60"/>
      <c r="F219" s="60"/>
      <c r="G219" s="60"/>
      <c r="H219" s="60"/>
      <c r="I219" s="60"/>
      <c r="J219" s="119"/>
      <c r="K219" s="119"/>
      <c r="L219" s="119"/>
      <c r="M219" s="119"/>
      <c r="N219" s="119"/>
      <c r="O219" s="119"/>
      <c r="P219" s="119"/>
      <c r="Q219" s="119"/>
      <c r="R219" s="60"/>
      <c r="S219" s="60"/>
      <c r="T219" s="4"/>
      <c r="U219" s="4"/>
      <c r="V219" s="4"/>
    </row>
    <row r="220" spans="1:22" x14ac:dyDescent="0.3">
      <c r="A220" s="133"/>
      <c r="B220" s="60"/>
      <c r="C220" s="60"/>
      <c r="D220" s="60"/>
      <c r="E220" s="60"/>
      <c r="F220" s="60"/>
      <c r="G220" s="60"/>
      <c r="H220" s="60"/>
      <c r="I220" s="60"/>
      <c r="J220" s="119"/>
      <c r="K220" s="119"/>
      <c r="L220" s="119"/>
      <c r="M220" s="119"/>
      <c r="N220" s="119"/>
      <c r="O220" s="119"/>
      <c r="P220" s="119"/>
      <c r="Q220" s="119"/>
      <c r="R220" s="60"/>
      <c r="S220" s="60"/>
      <c r="T220" s="4"/>
      <c r="U220" s="4"/>
      <c r="V220" s="4"/>
    </row>
    <row r="221" spans="1:22" x14ac:dyDescent="0.3">
      <c r="A221" s="133"/>
      <c r="B221" s="60"/>
      <c r="C221" s="60"/>
      <c r="D221" s="60"/>
      <c r="E221" s="60"/>
      <c r="F221" s="60"/>
      <c r="G221" s="60"/>
      <c r="H221" s="60"/>
      <c r="I221" s="60"/>
      <c r="J221" s="119"/>
      <c r="K221" s="119"/>
      <c r="L221" s="119"/>
      <c r="M221" s="119"/>
      <c r="N221" s="119"/>
      <c r="O221" s="119"/>
      <c r="P221" s="119"/>
      <c r="Q221" s="119"/>
      <c r="R221" s="60"/>
      <c r="S221" s="60"/>
      <c r="T221" s="4"/>
      <c r="U221" s="4"/>
      <c r="V221" s="4"/>
    </row>
    <row r="222" spans="1:22" x14ac:dyDescent="0.3">
      <c r="A222" s="133"/>
      <c r="B222" s="60"/>
      <c r="C222" s="60"/>
      <c r="D222" s="60"/>
      <c r="E222" s="60"/>
      <c r="F222" s="60"/>
      <c r="G222" s="60"/>
      <c r="H222" s="60"/>
      <c r="I222" s="60"/>
      <c r="J222" s="119"/>
      <c r="K222" s="119"/>
      <c r="L222" s="119"/>
      <c r="M222" s="119"/>
      <c r="N222" s="119"/>
      <c r="O222" s="119"/>
      <c r="P222" s="119"/>
      <c r="Q222" s="119"/>
      <c r="R222" s="60"/>
      <c r="S222" s="60"/>
      <c r="T222" s="4"/>
      <c r="U222" s="4"/>
      <c r="V222" s="4"/>
    </row>
    <row r="223" spans="1:22" x14ac:dyDescent="0.3">
      <c r="A223" s="133"/>
      <c r="B223" s="60"/>
      <c r="C223" s="60"/>
      <c r="D223" s="60"/>
      <c r="E223" s="60"/>
      <c r="F223" s="60"/>
      <c r="G223" s="60"/>
      <c r="H223" s="60"/>
      <c r="I223" s="60"/>
      <c r="J223" s="119"/>
      <c r="K223" s="119"/>
      <c r="L223" s="119"/>
      <c r="M223" s="119"/>
      <c r="N223" s="119"/>
      <c r="O223" s="119"/>
      <c r="P223" s="119"/>
      <c r="Q223" s="119"/>
      <c r="R223" s="60"/>
      <c r="S223" s="60"/>
      <c r="T223" s="4"/>
      <c r="U223" s="4"/>
      <c r="V223" s="4"/>
    </row>
    <row r="224" spans="1:22" x14ac:dyDescent="0.3">
      <c r="A224" s="133"/>
      <c r="B224" s="60"/>
      <c r="C224" s="60"/>
      <c r="D224" s="60"/>
      <c r="E224" s="60"/>
      <c r="F224" s="60"/>
      <c r="G224" s="60"/>
      <c r="H224" s="60"/>
      <c r="I224" s="60"/>
      <c r="J224" s="119"/>
      <c r="K224" s="119"/>
      <c r="L224" s="119"/>
      <c r="M224" s="119"/>
      <c r="N224" s="119"/>
      <c r="O224" s="119"/>
      <c r="P224" s="119"/>
      <c r="Q224" s="119"/>
      <c r="R224" s="60"/>
      <c r="S224" s="60"/>
      <c r="T224" s="4"/>
      <c r="U224" s="4"/>
      <c r="V224" s="4"/>
    </row>
    <row r="225" spans="1:22" x14ac:dyDescent="0.3">
      <c r="A225" s="133"/>
      <c r="B225" s="60"/>
      <c r="C225" s="60"/>
      <c r="D225" s="60"/>
      <c r="E225" s="60"/>
      <c r="F225" s="60"/>
      <c r="G225" s="60"/>
      <c r="H225" s="60"/>
      <c r="I225" s="60"/>
      <c r="J225" s="119"/>
      <c r="K225" s="119"/>
      <c r="L225" s="119"/>
      <c r="M225" s="119"/>
      <c r="N225" s="119"/>
      <c r="O225" s="119"/>
      <c r="P225" s="119"/>
      <c r="Q225" s="119"/>
      <c r="R225" s="60"/>
      <c r="S225" s="60"/>
      <c r="T225" s="4"/>
      <c r="U225" s="4"/>
      <c r="V225" s="4"/>
    </row>
    <row r="226" spans="1:22" x14ac:dyDescent="0.3">
      <c r="A226" s="133"/>
      <c r="B226" s="60"/>
      <c r="C226" s="60"/>
      <c r="D226" s="60"/>
      <c r="E226" s="60"/>
      <c r="F226" s="60"/>
      <c r="G226" s="60"/>
      <c r="H226" s="60"/>
      <c r="I226" s="60"/>
      <c r="J226" s="119"/>
      <c r="K226" s="119"/>
      <c r="L226" s="119"/>
      <c r="M226" s="119"/>
      <c r="N226" s="119"/>
      <c r="O226" s="119"/>
      <c r="P226" s="119"/>
      <c r="Q226" s="119"/>
      <c r="R226" s="60"/>
      <c r="S226" s="60"/>
      <c r="T226" s="4"/>
      <c r="U226" s="4"/>
      <c r="V226" s="4"/>
    </row>
    <row r="227" spans="1:22" x14ac:dyDescent="0.3">
      <c r="A227" s="133"/>
      <c r="B227" s="60"/>
      <c r="C227" s="60"/>
      <c r="D227" s="60"/>
      <c r="E227" s="60"/>
      <c r="F227" s="60"/>
      <c r="G227" s="60"/>
      <c r="H227" s="60"/>
      <c r="I227" s="60"/>
      <c r="J227" s="119"/>
      <c r="K227" s="119"/>
      <c r="L227" s="119"/>
      <c r="M227" s="119"/>
      <c r="N227" s="119"/>
      <c r="O227" s="119"/>
      <c r="P227" s="119"/>
      <c r="Q227" s="119"/>
      <c r="R227" s="60"/>
      <c r="S227" s="60"/>
      <c r="T227" s="4"/>
      <c r="U227" s="4"/>
      <c r="V227" s="4"/>
    </row>
    <row r="228" spans="1:22" x14ac:dyDescent="0.3">
      <c r="A228" s="133"/>
      <c r="B228" s="60"/>
      <c r="C228" s="60"/>
      <c r="D228" s="60"/>
      <c r="E228" s="60"/>
      <c r="F228" s="60"/>
      <c r="G228" s="60"/>
      <c r="H228" s="60"/>
      <c r="I228" s="60"/>
      <c r="J228" s="119"/>
      <c r="K228" s="119"/>
      <c r="L228" s="119"/>
      <c r="M228" s="119"/>
      <c r="N228" s="119"/>
      <c r="O228" s="119"/>
      <c r="P228" s="119"/>
      <c r="Q228" s="119"/>
      <c r="R228" s="60"/>
      <c r="S228" s="60"/>
      <c r="T228" s="4"/>
      <c r="U228" s="4"/>
      <c r="V228" s="4"/>
    </row>
    <row r="229" spans="1:22" x14ac:dyDescent="0.3">
      <c r="A229" s="133"/>
      <c r="B229" s="60"/>
      <c r="C229" s="60"/>
      <c r="D229" s="60"/>
      <c r="E229" s="60"/>
      <c r="F229" s="60"/>
      <c r="G229" s="60"/>
      <c r="H229" s="60"/>
      <c r="I229" s="60"/>
      <c r="J229" s="119"/>
      <c r="K229" s="119"/>
      <c r="L229" s="119"/>
      <c r="M229" s="119"/>
      <c r="N229" s="119"/>
      <c r="O229" s="119"/>
      <c r="P229" s="119"/>
      <c r="Q229" s="119"/>
      <c r="R229" s="60"/>
      <c r="S229" s="60"/>
      <c r="T229" s="4"/>
      <c r="U229" s="4"/>
      <c r="V229" s="4"/>
    </row>
    <row r="230" spans="1:22" x14ac:dyDescent="0.3">
      <c r="A230" s="133"/>
      <c r="B230" s="60"/>
      <c r="C230" s="60"/>
      <c r="D230" s="60"/>
      <c r="E230" s="60"/>
      <c r="F230" s="60"/>
      <c r="G230" s="60"/>
      <c r="H230" s="60"/>
      <c r="I230" s="60"/>
      <c r="J230" s="119"/>
      <c r="K230" s="119"/>
      <c r="L230" s="119"/>
      <c r="M230" s="119"/>
      <c r="N230" s="119"/>
      <c r="O230" s="119"/>
      <c r="P230" s="119"/>
      <c r="Q230" s="119"/>
      <c r="R230" s="60"/>
      <c r="S230" s="60"/>
      <c r="T230" s="4"/>
      <c r="U230" s="4"/>
      <c r="V230" s="4"/>
    </row>
    <row r="231" spans="1:22" x14ac:dyDescent="0.3">
      <c r="A231" s="133"/>
      <c r="B231" s="60"/>
      <c r="C231" s="60"/>
      <c r="D231" s="60"/>
      <c r="E231" s="60"/>
      <c r="F231" s="60"/>
      <c r="G231" s="60"/>
      <c r="H231" s="60"/>
      <c r="I231" s="60"/>
      <c r="J231" s="119"/>
      <c r="K231" s="119"/>
      <c r="L231" s="119"/>
      <c r="M231" s="119"/>
      <c r="N231" s="119"/>
      <c r="O231" s="119"/>
      <c r="P231" s="119"/>
      <c r="Q231" s="119"/>
      <c r="R231" s="60"/>
      <c r="S231" s="60"/>
      <c r="T231" s="4"/>
      <c r="U231" s="4"/>
      <c r="V231" s="4"/>
    </row>
    <row r="232" spans="1:22" x14ac:dyDescent="0.3">
      <c r="A232" s="133"/>
      <c r="B232" s="60"/>
      <c r="C232" s="60"/>
      <c r="D232" s="60"/>
      <c r="E232" s="60"/>
      <c r="F232" s="60"/>
      <c r="G232" s="60"/>
      <c r="H232" s="60"/>
      <c r="I232" s="60"/>
      <c r="J232" s="119"/>
      <c r="K232" s="119"/>
      <c r="L232" s="119"/>
      <c r="M232" s="119"/>
      <c r="N232" s="119"/>
      <c r="O232" s="119"/>
      <c r="P232" s="119"/>
      <c r="Q232" s="119"/>
      <c r="R232" s="60"/>
      <c r="S232" s="60"/>
      <c r="T232" s="4"/>
      <c r="U232" s="4"/>
      <c r="V232" s="4"/>
    </row>
    <row r="233" spans="1:22" x14ac:dyDescent="0.3">
      <c r="A233" s="133"/>
      <c r="B233" s="60"/>
      <c r="C233" s="60"/>
      <c r="D233" s="60"/>
      <c r="E233" s="60"/>
      <c r="F233" s="60"/>
      <c r="G233" s="60"/>
      <c r="H233" s="60"/>
      <c r="I233" s="60"/>
      <c r="J233" s="119"/>
      <c r="K233" s="119"/>
      <c r="L233" s="119"/>
      <c r="M233" s="119"/>
      <c r="N233" s="119"/>
      <c r="O233" s="119"/>
      <c r="P233" s="119"/>
      <c r="Q233" s="119"/>
      <c r="R233" s="60"/>
      <c r="S233" s="60"/>
      <c r="T233" s="4"/>
      <c r="U233" s="4"/>
      <c r="V233" s="4"/>
    </row>
    <row r="234" spans="1:22" x14ac:dyDescent="0.3">
      <c r="A234" s="133"/>
      <c r="B234" s="60"/>
      <c r="C234" s="60"/>
      <c r="D234" s="60"/>
      <c r="E234" s="60"/>
      <c r="F234" s="60"/>
      <c r="G234" s="60"/>
      <c r="H234" s="60"/>
      <c r="I234" s="60"/>
      <c r="J234" s="119"/>
      <c r="K234" s="119"/>
      <c r="L234" s="119"/>
      <c r="M234" s="119"/>
      <c r="N234" s="119"/>
      <c r="O234" s="119"/>
      <c r="P234" s="119"/>
      <c r="Q234" s="119"/>
      <c r="R234" s="60"/>
      <c r="S234" s="60"/>
      <c r="T234" s="4"/>
      <c r="U234" s="4"/>
      <c r="V234" s="4"/>
    </row>
    <row r="235" spans="1:22" x14ac:dyDescent="0.3">
      <c r="A235" s="133"/>
      <c r="B235" s="60"/>
      <c r="C235" s="60"/>
      <c r="D235" s="60"/>
      <c r="E235" s="60"/>
      <c r="F235" s="60"/>
      <c r="G235" s="60"/>
      <c r="H235" s="60"/>
      <c r="I235" s="60"/>
      <c r="J235" s="119"/>
      <c r="K235" s="119"/>
      <c r="L235" s="119"/>
      <c r="M235" s="119"/>
      <c r="N235" s="119"/>
      <c r="O235" s="119"/>
      <c r="P235" s="119"/>
      <c r="Q235" s="119"/>
      <c r="R235" s="60"/>
      <c r="S235" s="60"/>
      <c r="T235" s="4"/>
      <c r="U235" s="4"/>
      <c r="V235" s="4"/>
    </row>
    <row r="236" spans="1:22" x14ac:dyDescent="0.3">
      <c r="A236" s="133"/>
      <c r="B236" s="60"/>
      <c r="C236" s="60"/>
      <c r="D236" s="60"/>
      <c r="E236" s="60"/>
      <c r="F236" s="60"/>
      <c r="G236" s="60"/>
      <c r="H236" s="60"/>
      <c r="I236" s="60"/>
      <c r="J236" s="119"/>
      <c r="K236" s="119"/>
      <c r="L236" s="119"/>
      <c r="M236" s="119"/>
      <c r="N236" s="119"/>
      <c r="O236" s="119"/>
      <c r="P236" s="119"/>
      <c r="Q236" s="119"/>
      <c r="R236" s="60"/>
      <c r="S236" s="60"/>
      <c r="T236" s="4"/>
      <c r="U236" s="4"/>
      <c r="V236" s="4"/>
    </row>
    <row r="237" spans="1:22" x14ac:dyDescent="0.3">
      <c r="A237" s="133"/>
      <c r="B237" s="60"/>
      <c r="C237" s="60"/>
      <c r="D237" s="60"/>
      <c r="E237" s="60"/>
      <c r="F237" s="60"/>
      <c r="G237" s="60"/>
      <c r="H237" s="60"/>
      <c r="I237" s="60"/>
      <c r="J237" s="119"/>
      <c r="K237" s="119"/>
      <c r="L237" s="119"/>
      <c r="M237" s="119"/>
      <c r="N237" s="119"/>
      <c r="O237" s="119"/>
      <c r="P237" s="119"/>
      <c r="Q237" s="119"/>
      <c r="R237" s="60"/>
      <c r="S237" s="60"/>
      <c r="T237" s="4"/>
      <c r="U237" s="4"/>
      <c r="V237" s="4"/>
    </row>
    <row r="238" spans="1:22" x14ac:dyDescent="0.3">
      <c r="A238" s="133"/>
      <c r="B238" s="60"/>
      <c r="C238" s="60"/>
      <c r="D238" s="60"/>
      <c r="E238" s="60"/>
      <c r="F238" s="60"/>
      <c r="G238" s="60"/>
      <c r="H238" s="60"/>
      <c r="I238" s="60"/>
      <c r="J238" s="119"/>
      <c r="K238" s="119"/>
      <c r="L238" s="119"/>
      <c r="M238" s="119"/>
      <c r="N238" s="119"/>
      <c r="O238" s="119"/>
      <c r="P238" s="119"/>
      <c r="Q238" s="119"/>
      <c r="R238" s="60"/>
      <c r="S238" s="60"/>
      <c r="T238" s="4"/>
      <c r="U238" s="4"/>
      <c r="V238" s="4"/>
    </row>
    <row r="239" spans="1:22" x14ac:dyDescent="0.3">
      <c r="A239" s="133"/>
      <c r="B239" s="60"/>
      <c r="C239" s="60"/>
      <c r="D239" s="60"/>
      <c r="E239" s="60"/>
      <c r="F239" s="60"/>
      <c r="G239" s="60"/>
      <c r="H239" s="60"/>
      <c r="I239" s="60"/>
      <c r="J239" s="119"/>
      <c r="K239" s="119"/>
      <c r="L239" s="119"/>
      <c r="M239" s="119"/>
      <c r="N239" s="119"/>
      <c r="O239" s="119"/>
      <c r="P239" s="119"/>
      <c r="Q239" s="119"/>
      <c r="R239" s="60"/>
      <c r="S239" s="60"/>
      <c r="T239" s="4"/>
      <c r="U239" s="4"/>
      <c r="V239" s="4"/>
    </row>
    <row r="240" spans="1:22" x14ac:dyDescent="0.3">
      <c r="A240" s="133"/>
      <c r="B240" s="60"/>
      <c r="C240" s="60"/>
      <c r="D240" s="60"/>
      <c r="E240" s="60"/>
      <c r="F240" s="60"/>
      <c r="G240" s="60"/>
      <c r="H240" s="60"/>
      <c r="I240" s="60"/>
      <c r="J240" s="119"/>
      <c r="K240" s="119"/>
      <c r="L240" s="119"/>
      <c r="M240" s="119"/>
      <c r="N240" s="119"/>
      <c r="O240" s="119"/>
      <c r="P240" s="119"/>
      <c r="Q240" s="119"/>
      <c r="R240" s="60"/>
      <c r="S240" s="60"/>
      <c r="T240" s="4"/>
      <c r="U240" s="4"/>
      <c r="V240" s="4"/>
    </row>
    <row r="241" spans="1:22" x14ac:dyDescent="0.3">
      <c r="A241" s="133"/>
      <c r="B241" s="60"/>
      <c r="C241" s="60"/>
      <c r="D241" s="60"/>
      <c r="E241" s="60"/>
      <c r="F241" s="60"/>
      <c r="G241" s="60"/>
      <c r="H241" s="60"/>
      <c r="I241" s="60"/>
      <c r="J241" s="119"/>
      <c r="K241" s="119"/>
      <c r="L241" s="119"/>
      <c r="M241" s="119"/>
      <c r="N241" s="119"/>
      <c r="O241" s="119"/>
      <c r="P241" s="119"/>
      <c r="Q241" s="119"/>
      <c r="R241" s="60"/>
      <c r="S241" s="60"/>
      <c r="T241" s="4"/>
      <c r="U241" s="4"/>
      <c r="V241" s="4"/>
    </row>
    <row r="242" spans="1:22" x14ac:dyDescent="0.3">
      <c r="A242" s="133"/>
      <c r="B242" s="60"/>
      <c r="C242" s="60"/>
      <c r="D242" s="60"/>
      <c r="E242" s="60"/>
      <c r="F242" s="60"/>
      <c r="G242" s="60"/>
      <c r="H242" s="60"/>
      <c r="I242" s="60"/>
      <c r="J242" s="119"/>
      <c r="K242" s="119"/>
      <c r="L242" s="119"/>
      <c r="M242" s="119"/>
      <c r="N242" s="119"/>
      <c r="O242" s="119"/>
      <c r="P242" s="119"/>
      <c r="Q242" s="119"/>
      <c r="R242" s="60"/>
      <c r="S242" s="60"/>
      <c r="T242" s="4"/>
      <c r="U242" s="4"/>
      <c r="V242" s="4"/>
    </row>
    <row r="243" spans="1:22" x14ac:dyDescent="0.3">
      <c r="A243" s="133"/>
      <c r="B243" s="60"/>
      <c r="C243" s="60"/>
      <c r="D243" s="60"/>
      <c r="E243" s="60"/>
      <c r="F243" s="60"/>
      <c r="G243" s="60"/>
      <c r="H243" s="60"/>
      <c r="I243" s="60"/>
      <c r="J243" s="119"/>
      <c r="K243" s="119"/>
      <c r="L243" s="119"/>
      <c r="M243" s="119"/>
      <c r="N243" s="119"/>
      <c r="O243" s="119"/>
      <c r="P243" s="119"/>
      <c r="Q243" s="119"/>
      <c r="R243" s="60"/>
      <c r="S243" s="60"/>
      <c r="T243" s="4"/>
      <c r="U243" s="4"/>
      <c r="V243" s="4"/>
    </row>
    <row r="244" spans="1:22" x14ac:dyDescent="0.3">
      <c r="A244" s="133"/>
      <c r="B244" s="60"/>
      <c r="C244" s="60"/>
      <c r="D244" s="60"/>
      <c r="E244" s="60"/>
      <c r="F244" s="60"/>
      <c r="G244" s="60"/>
      <c r="H244" s="60"/>
      <c r="I244" s="60"/>
      <c r="J244" s="119"/>
      <c r="K244" s="119"/>
      <c r="L244" s="119"/>
      <c r="M244" s="119"/>
      <c r="N244" s="119"/>
      <c r="O244" s="119"/>
      <c r="P244" s="119"/>
      <c r="Q244" s="119"/>
      <c r="R244" s="60"/>
      <c r="S244" s="60"/>
      <c r="T244" s="4"/>
      <c r="U244" s="4"/>
      <c r="V244" s="4"/>
    </row>
    <row r="245" spans="1:22" x14ac:dyDescent="0.3">
      <c r="A245" s="133"/>
      <c r="B245" s="60"/>
      <c r="C245" s="60"/>
      <c r="D245" s="60"/>
      <c r="E245" s="60"/>
      <c r="F245" s="60"/>
      <c r="G245" s="60"/>
      <c r="H245" s="60"/>
      <c r="I245" s="60"/>
      <c r="J245" s="119"/>
      <c r="K245" s="119"/>
      <c r="L245" s="119"/>
      <c r="M245" s="119"/>
      <c r="N245" s="119"/>
      <c r="O245" s="119"/>
      <c r="P245" s="119"/>
      <c r="Q245" s="119"/>
      <c r="R245" s="60"/>
      <c r="S245" s="60"/>
      <c r="T245" s="4"/>
      <c r="U245" s="4"/>
      <c r="V245" s="4"/>
    </row>
    <row r="246" spans="1:22" x14ac:dyDescent="0.3">
      <c r="A246" s="133"/>
      <c r="B246" s="60"/>
      <c r="C246" s="60"/>
      <c r="D246" s="60"/>
      <c r="E246" s="60"/>
      <c r="F246" s="60"/>
      <c r="G246" s="60"/>
      <c r="H246" s="60"/>
      <c r="I246" s="60"/>
      <c r="J246" s="119"/>
      <c r="K246" s="119"/>
      <c r="L246" s="119"/>
      <c r="M246" s="119"/>
      <c r="N246" s="119"/>
      <c r="O246" s="119"/>
      <c r="P246" s="119"/>
      <c r="Q246" s="119"/>
      <c r="R246" s="60"/>
      <c r="S246" s="60"/>
      <c r="T246" s="4"/>
      <c r="U246" s="4"/>
      <c r="V246" s="4"/>
    </row>
    <row r="247" spans="1:22" x14ac:dyDescent="0.3">
      <c r="A247" s="133"/>
      <c r="B247" s="60"/>
      <c r="C247" s="60"/>
      <c r="D247" s="60"/>
      <c r="E247" s="60"/>
      <c r="F247" s="60"/>
      <c r="G247" s="60"/>
      <c r="H247" s="60"/>
      <c r="I247" s="60"/>
      <c r="J247" s="119"/>
      <c r="K247" s="119"/>
      <c r="L247" s="119"/>
      <c r="M247" s="119"/>
      <c r="N247" s="119"/>
      <c r="O247" s="119"/>
      <c r="P247" s="119"/>
      <c r="Q247" s="119"/>
      <c r="R247" s="60"/>
      <c r="S247" s="60"/>
      <c r="T247" s="4"/>
      <c r="U247" s="4"/>
      <c r="V247" s="4"/>
    </row>
    <row r="248" spans="1:22" x14ac:dyDescent="0.3">
      <c r="A248" s="133"/>
      <c r="B248" s="60"/>
      <c r="C248" s="60"/>
      <c r="D248" s="60"/>
      <c r="E248" s="60"/>
      <c r="F248" s="60"/>
      <c r="G248" s="60"/>
      <c r="H248" s="60"/>
      <c r="I248" s="60"/>
      <c r="J248" s="119"/>
      <c r="K248" s="119"/>
      <c r="L248" s="119"/>
      <c r="M248" s="119"/>
      <c r="N248" s="119"/>
      <c r="O248" s="119"/>
      <c r="P248" s="119"/>
      <c r="Q248" s="119"/>
      <c r="R248" s="60"/>
      <c r="S248" s="60"/>
      <c r="T248" s="4"/>
      <c r="U248" s="4"/>
      <c r="V248" s="4"/>
    </row>
    <row r="249" spans="1:22" x14ac:dyDescent="0.3">
      <c r="A249" s="133"/>
      <c r="B249" s="60"/>
      <c r="C249" s="60"/>
      <c r="D249" s="60"/>
      <c r="E249" s="60"/>
      <c r="F249" s="60"/>
      <c r="G249" s="60"/>
      <c r="H249" s="60"/>
      <c r="I249" s="60"/>
      <c r="J249" s="119"/>
      <c r="K249" s="119"/>
      <c r="L249" s="119"/>
      <c r="M249" s="119"/>
      <c r="N249" s="119"/>
      <c r="O249" s="119"/>
      <c r="P249" s="119"/>
      <c r="Q249" s="119"/>
      <c r="R249" s="60"/>
      <c r="S249" s="60"/>
      <c r="T249" s="4"/>
      <c r="U249" s="4"/>
      <c r="V249" s="4"/>
    </row>
    <row r="250" spans="1:22" x14ac:dyDescent="0.3">
      <c r="A250" s="133"/>
      <c r="B250" s="60"/>
      <c r="C250" s="60"/>
      <c r="D250" s="60"/>
      <c r="E250" s="60"/>
      <c r="F250" s="60"/>
      <c r="G250" s="60"/>
      <c r="H250" s="60"/>
      <c r="I250" s="60"/>
      <c r="J250" s="119"/>
      <c r="K250" s="119"/>
      <c r="L250" s="119"/>
      <c r="M250" s="119"/>
      <c r="N250" s="119"/>
      <c r="O250" s="119"/>
      <c r="P250" s="119"/>
      <c r="Q250" s="119"/>
      <c r="R250" s="60"/>
      <c r="S250" s="60"/>
      <c r="T250" s="4"/>
      <c r="U250" s="4"/>
      <c r="V250" s="4"/>
    </row>
    <row r="251" spans="1:22" x14ac:dyDescent="0.3">
      <c r="A251" s="133"/>
      <c r="B251" s="60"/>
      <c r="C251" s="60"/>
      <c r="D251" s="60"/>
      <c r="E251" s="60"/>
      <c r="F251" s="60"/>
      <c r="G251" s="60"/>
      <c r="H251" s="60"/>
      <c r="I251" s="60"/>
      <c r="J251" s="119"/>
      <c r="K251" s="119"/>
      <c r="L251" s="119"/>
      <c r="M251" s="119"/>
      <c r="N251" s="119"/>
      <c r="O251" s="119"/>
      <c r="P251" s="119"/>
      <c r="Q251" s="119"/>
      <c r="R251" s="60"/>
      <c r="S251" s="60"/>
      <c r="T251" s="4"/>
      <c r="U251" s="4"/>
      <c r="V251" s="4"/>
    </row>
    <row r="252" spans="1:22" x14ac:dyDescent="0.3">
      <c r="A252" s="133"/>
      <c r="B252" s="60"/>
      <c r="C252" s="60"/>
      <c r="D252" s="60"/>
      <c r="E252" s="60"/>
      <c r="F252" s="60"/>
      <c r="G252" s="60"/>
      <c r="H252" s="60"/>
      <c r="I252" s="60"/>
      <c r="J252" s="119"/>
      <c r="K252" s="119"/>
      <c r="L252" s="119"/>
      <c r="M252" s="119"/>
      <c r="N252" s="119"/>
      <c r="O252" s="119"/>
      <c r="P252" s="119"/>
      <c r="Q252" s="119"/>
      <c r="R252" s="60"/>
      <c r="S252" s="60"/>
      <c r="T252" s="4"/>
      <c r="U252" s="4"/>
      <c r="V252" s="4"/>
    </row>
    <row r="253" spans="1:22" x14ac:dyDescent="0.3">
      <c r="A253" s="133"/>
      <c r="B253" s="60"/>
      <c r="C253" s="60"/>
      <c r="D253" s="60"/>
      <c r="E253" s="60"/>
      <c r="F253" s="60"/>
      <c r="G253" s="60"/>
      <c r="H253" s="60"/>
      <c r="I253" s="60"/>
      <c r="J253" s="119"/>
      <c r="K253" s="119"/>
      <c r="L253" s="119"/>
      <c r="M253" s="119"/>
      <c r="N253" s="119"/>
      <c r="O253" s="119"/>
      <c r="P253" s="119"/>
      <c r="Q253" s="119"/>
      <c r="R253" s="60"/>
      <c r="S253" s="60"/>
      <c r="T253" s="4"/>
      <c r="U253" s="4"/>
      <c r="V253" s="4"/>
    </row>
    <row r="254" spans="1:22" x14ac:dyDescent="0.3">
      <c r="A254" s="133"/>
      <c r="B254" s="60"/>
      <c r="C254" s="60"/>
      <c r="D254" s="60"/>
      <c r="E254" s="60"/>
      <c r="F254" s="60"/>
      <c r="G254" s="60"/>
      <c r="H254" s="60"/>
      <c r="I254" s="60"/>
      <c r="J254" s="119"/>
      <c r="K254" s="119"/>
      <c r="L254" s="119"/>
      <c r="M254" s="119"/>
      <c r="N254" s="119"/>
      <c r="O254" s="119"/>
      <c r="P254" s="119"/>
      <c r="Q254" s="119"/>
      <c r="R254" s="60"/>
      <c r="S254" s="60"/>
      <c r="T254" s="4"/>
      <c r="U254" s="4"/>
      <c r="V254" s="4"/>
    </row>
    <row r="255" spans="1:22" x14ac:dyDescent="0.3">
      <c r="A255" s="133"/>
      <c r="B255" s="60"/>
      <c r="C255" s="60"/>
      <c r="D255" s="60"/>
      <c r="E255" s="60"/>
      <c r="F255" s="60"/>
      <c r="G255" s="60"/>
      <c r="H255" s="60"/>
      <c r="I255" s="60"/>
      <c r="J255" s="119"/>
      <c r="K255" s="119"/>
      <c r="L255" s="119"/>
      <c r="M255" s="119"/>
      <c r="N255" s="119"/>
      <c r="O255" s="119"/>
      <c r="P255" s="119"/>
      <c r="Q255" s="119"/>
      <c r="R255" s="60"/>
      <c r="S255" s="60"/>
      <c r="T255" s="4"/>
      <c r="U255" s="4"/>
      <c r="V255" s="4"/>
    </row>
    <row r="256" spans="1:22" x14ac:dyDescent="0.3">
      <c r="A256" s="133"/>
      <c r="B256" s="60"/>
      <c r="C256" s="60"/>
      <c r="D256" s="60"/>
      <c r="E256" s="60"/>
      <c r="F256" s="60"/>
      <c r="G256" s="60"/>
      <c r="H256" s="60"/>
      <c r="I256" s="60"/>
      <c r="J256" s="119"/>
      <c r="K256" s="119"/>
      <c r="L256" s="119"/>
      <c r="M256" s="119"/>
      <c r="N256" s="119"/>
      <c r="O256" s="119"/>
      <c r="P256" s="119"/>
      <c r="Q256" s="119"/>
      <c r="R256" s="60"/>
      <c r="S256" s="60"/>
      <c r="T256" s="4"/>
      <c r="U256" s="4"/>
      <c r="V256" s="4"/>
    </row>
    <row r="257" spans="1:22" x14ac:dyDescent="0.3">
      <c r="A257" s="133"/>
      <c r="B257" s="60"/>
      <c r="C257" s="60"/>
      <c r="D257" s="60"/>
      <c r="E257" s="60"/>
      <c r="F257" s="60"/>
      <c r="G257" s="60"/>
      <c r="H257" s="60"/>
      <c r="I257" s="60"/>
      <c r="J257" s="119"/>
      <c r="K257" s="119"/>
      <c r="L257" s="119"/>
      <c r="M257" s="119"/>
      <c r="N257" s="119"/>
      <c r="O257" s="119"/>
      <c r="P257" s="119"/>
      <c r="Q257" s="119"/>
      <c r="R257" s="60"/>
      <c r="S257" s="60"/>
      <c r="T257" s="4"/>
      <c r="U257" s="4"/>
      <c r="V257" s="4"/>
    </row>
    <row r="258" spans="1:22" x14ac:dyDescent="0.3">
      <c r="A258" s="133"/>
      <c r="B258" s="60"/>
      <c r="C258" s="60"/>
      <c r="D258" s="60"/>
      <c r="E258" s="60"/>
      <c r="F258" s="60"/>
      <c r="G258" s="60"/>
      <c r="H258" s="60"/>
      <c r="I258" s="60"/>
      <c r="J258" s="119"/>
      <c r="K258" s="119"/>
      <c r="L258" s="119"/>
      <c r="M258" s="119"/>
      <c r="N258" s="119"/>
      <c r="O258" s="119"/>
      <c r="P258" s="119"/>
      <c r="Q258" s="119"/>
      <c r="R258" s="60"/>
      <c r="S258" s="60"/>
      <c r="T258" s="4"/>
      <c r="U258" s="4"/>
      <c r="V258" s="4"/>
    </row>
    <row r="259" spans="1:22" x14ac:dyDescent="0.3">
      <c r="A259" s="133"/>
      <c r="B259" s="60"/>
      <c r="C259" s="60"/>
      <c r="D259" s="60"/>
      <c r="E259" s="60"/>
      <c r="F259" s="60"/>
      <c r="G259" s="60"/>
      <c r="H259" s="60"/>
      <c r="I259" s="60"/>
      <c r="J259" s="119"/>
      <c r="K259" s="119"/>
      <c r="L259" s="119"/>
      <c r="M259" s="119"/>
      <c r="N259" s="119"/>
      <c r="O259" s="119"/>
      <c r="P259" s="119"/>
      <c r="Q259" s="119"/>
      <c r="R259" s="60"/>
      <c r="S259" s="60"/>
      <c r="T259" s="4"/>
      <c r="U259" s="4"/>
      <c r="V259" s="4"/>
    </row>
    <row r="260" spans="1:22" x14ac:dyDescent="0.3">
      <c r="A260" s="133"/>
      <c r="B260" s="60"/>
      <c r="C260" s="60"/>
      <c r="D260" s="60"/>
      <c r="E260" s="60"/>
      <c r="F260" s="60"/>
      <c r="G260" s="60"/>
      <c r="H260" s="60"/>
      <c r="I260" s="60"/>
      <c r="J260" s="119"/>
      <c r="K260" s="119"/>
      <c r="L260" s="119"/>
      <c r="M260" s="119"/>
      <c r="N260" s="119"/>
      <c r="O260" s="119"/>
      <c r="P260" s="119"/>
      <c r="Q260" s="119"/>
      <c r="R260" s="60"/>
      <c r="S260" s="60"/>
      <c r="T260" s="4"/>
      <c r="U260" s="4"/>
      <c r="V260" s="4"/>
    </row>
    <row r="261" spans="1:22" x14ac:dyDescent="0.3">
      <c r="A261" s="133"/>
      <c r="B261" s="60"/>
      <c r="C261" s="60"/>
      <c r="D261" s="60"/>
      <c r="E261" s="60"/>
      <c r="F261" s="60"/>
      <c r="G261" s="60"/>
      <c r="H261" s="60"/>
      <c r="I261" s="60"/>
      <c r="J261" s="119"/>
      <c r="K261" s="119"/>
      <c r="L261" s="119"/>
      <c r="M261" s="119"/>
      <c r="N261" s="119"/>
      <c r="O261" s="119"/>
      <c r="P261" s="119"/>
      <c r="Q261" s="119"/>
      <c r="R261" s="60"/>
      <c r="S261" s="60"/>
      <c r="T261" s="4"/>
      <c r="U261" s="4"/>
      <c r="V261" s="4"/>
    </row>
    <row r="262" spans="1:22" x14ac:dyDescent="0.3">
      <c r="A262" s="133"/>
      <c r="B262" s="60"/>
      <c r="C262" s="60"/>
      <c r="D262" s="60"/>
      <c r="E262" s="60"/>
      <c r="F262" s="60"/>
      <c r="G262" s="60"/>
      <c r="H262" s="60"/>
      <c r="I262" s="60"/>
      <c r="J262" s="119"/>
      <c r="K262" s="119"/>
      <c r="L262" s="119"/>
      <c r="M262" s="119"/>
      <c r="N262" s="119"/>
      <c r="O262" s="119"/>
      <c r="P262" s="119"/>
      <c r="Q262" s="119"/>
      <c r="R262" s="60"/>
      <c r="S262" s="60"/>
      <c r="T262" s="4"/>
      <c r="U262" s="4"/>
      <c r="V262" s="4"/>
    </row>
    <row r="263" spans="1:22" x14ac:dyDescent="0.3">
      <c r="A263" s="133"/>
      <c r="B263" s="60"/>
      <c r="C263" s="60"/>
      <c r="D263" s="60"/>
      <c r="E263" s="60"/>
      <c r="F263" s="60"/>
      <c r="G263" s="60"/>
      <c r="H263" s="60"/>
      <c r="I263" s="60"/>
      <c r="J263" s="119"/>
      <c r="K263" s="119"/>
      <c r="L263" s="119"/>
      <c r="M263" s="119"/>
      <c r="N263" s="119"/>
      <c r="O263" s="119"/>
      <c r="P263" s="119"/>
      <c r="Q263" s="119"/>
      <c r="R263" s="60"/>
      <c r="S263" s="60"/>
      <c r="T263" s="4"/>
      <c r="U263" s="4"/>
      <c r="V263" s="4"/>
    </row>
    <row r="264" spans="1:22" x14ac:dyDescent="0.3">
      <c r="A264" s="133"/>
      <c r="B264" s="60"/>
      <c r="C264" s="60"/>
      <c r="D264" s="60"/>
      <c r="E264" s="60"/>
      <c r="F264" s="60"/>
      <c r="G264" s="60"/>
      <c r="H264" s="60"/>
      <c r="I264" s="60"/>
      <c r="J264" s="119"/>
      <c r="K264" s="119"/>
      <c r="L264" s="119"/>
      <c r="M264" s="119"/>
      <c r="N264" s="119"/>
      <c r="O264" s="119"/>
      <c r="P264" s="119"/>
      <c r="Q264" s="119"/>
      <c r="R264" s="60"/>
      <c r="S264" s="60"/>
      <c r="T264" s="4"/>
      <c r="U264" s="4"/>
      <c r="V264" s="4"/>
    </row>
    <row r="265" spans="1:22" x14ac:dyDescent="0.3">
      <c r="A265" s="133"/>
      <c r="B265" s="60"/>
      <c r="C265" s="60"/>
      <c r="D265" s="60"/>
      <c r="E265" s="60"/>
      <c r="F265" s="60"/>
      <c r="G265" s="60"/>
      <c r="H265" s="60"/>
      <c r="I265" s="60"/>
      <c r="J265" s="119"/>
      <c r="K265" s="119"/>
      <c r="L265" s="119"/>
      <c r="M265" s="119"/>
      <c r="N265" s="119"/>
      <c r="O265" s="119"/>
      <c r="P265" s="119"/>
      <c r="Q265" s="119"/>
      <c r="R265" s="60"/>
      <c r="S265" s="60"/>
      <c r="T265" s="4"/>
      <c r="U265" s="4"/>
      <c r="V265" s="4"/>
    </row>
    <row r="266" spans="1:22" x14ac:dyDescent="0.3">
      <c r="A266" s="133"/>
      <c r="B266" s="60"/>
      <c r="C266" s="60"/>
      <c r="D266" s="60"/>
      <c r="E266" s="60"/>
      <c r="F266" s="60"/>
      <c r="G266" s="60"/>
      <c r="H266" s="60"/>
      <c r="I266" s="60"/>
      <c r="J266" s="119"/>
      <c r="K266" s="119"/>
      <c r="L266" s="119"/>
      <c r="M266" s="119"/>
      <c r="N266" s="119"/>
      <c r="O266" s="119"/>
      <c r="P266" s="119"/>
      <c r="Q266" s="119"/>
      <c r="R266" s="60"/>
      <c r="S266" s="60"/>
      <c r="T266" s="4"/>
      <c r="U266" s="4"/>
      <c r="V266" s="4"/>
    </row>
    <row r="267" spans="1:22" x14ac:dyDescent="0.3">
      <c r="A267" s="133"/>
      <c r="B267" s="60"/>
      <c r="C267" s="60"/>
      <c r="D267" s="60"/>
      <c r="E267" s="60"/>
      <c r="F267" s="60"/>
      <c r="G267" s="60"/>
      <c r="H267" s="60"/>
      <c r="I267" s="60"/>
      <c r="J267" s="119"/>
      <c r="K267" s="119"/>
      <c r="L267" s="119"/>
      <c r="M267" s="119"/>
      <c r="N267" s="119"/>
      <c r="O267" s="119"/>
      <c r="P267" s="119"/>
      <c r="Q267" s="119"/>
      <c r="R267" s="60"/>
      <c r="S267" s="60"/>
      <c r="T267" s="4"/>
      <c r="U267" s="4"/>
      <c r="V267" s="4"/>
    </row>
    <row r="268" spans="1:22" x14ac:dyDescent="0.3">
      <c r="A268" s="133"/>
      <c r="B268" s="60"/>
      <c r="C268" s="60"/>
      <c r="D268" s="60"/>
      <c r="E268" s="60"/>
      <c r="F268" s="60"/>
      <c r="G268" s="60"/>
      <c r="H268" s="60"/>
      <c r="I268" s="60"/>
      <c r="J268" s="119"/>
      <c r="K268" s="119"/>
      <c r="L268" s="119"/>
      <c r="M268" s="119"/>
      <c r="N268" s="119"/>
      <c r="O268" s="119"/>
      <c r="P268" s="119"/>
      <c r="Q268" s="119"/>
      <c r="R268" s="60"/>
      <c r="S268" s="60"/>
      <c r="T268" s="4"/>
      <c r="U268" s="4"/>
      <c r="V268" s="4"/>
    </row>
    <row r="269" spans="1:22" x14ac:dyDescent="0.3">
      <c r="A269" s="133"/>
      <c r="B269" s="60"/>
      <c r="C269" s="60"/>
      <c r="D269" s="60"/>
      <c r="E269" s="60"/>
      <c r="F269" s="60"/>
      <c r="G269" s="60"/>
      <c r="H269" s="60"/>
      <c r="I269" s="60"/>
      <c r="J269" s="119"/>
      <c r="K269" s="119"/>
      <c r="L269" s="119"/>
      <c r="M269" s="119"/>
      <c r="N269" s="119"/>
      <c r="O269" s="119"/>
      <c r="P269" s="119"/>
      <c r="Q269" s="119"/>
      <c r="R269" s="60"/>
      <c r="S269" s="60"/>
      <c r="T269" s="4"/>
      <c r="U269" s="4"/>
      <c r="V269" s="4"/>
    </row>
    <row r="270" spans="1:22" x14ac:dyDescent="0.3">
      <c r="A270" s="133"/>
      <c r="B270" s="60"/>
      <c r="C270" s="60"/>
      <c r="D270" s="60"/>
      <c r="E270" s="60"/>
      <c r="F270" s="60"/>
      <c r="G270" s="60"/>
      <c r="H270" s="60"/>
      <c r="I270" s="60"/>
      <c r="J270" s="119"/>
      <c r="K270" s="119"/>
      <c r="L270" s="119"/>
      <c r="M270" s="119"/>
      <c r="N270" s="119"/>
      <c r="O270" s="119"/>
      <c r="P270" s="119"/>
      <c r="Q270" s="119"/>
      <c r="R270" s="60"/>
      <c r="S270" s="60"/>
      <c r="T270" s="4"/>
      <c r="U270" s="4"/>
      <c r="V270" s="4"/>
    </row>
    <row r="271" spans="1:22" x14ac:dyDescent="0.3">
      <c r="A271" s="133"/>
      <c r="B271" s="60"/>
      <c r="C271" s="60"/>
      <c r="D271" s="60"/>
      <c r="E271" s="60"/>
      <c r="F271" s="60"/>
      <c r="G271" s="60"/>
      <c r="H271" s="60"/>
      <c r="I271" s="60"/>
      <c r="J271" s="119"/>
      <c r="K271" s="119"/>
      <c r="L271" s="119"/>
      <c r="M271" s="119"/>
      <c r="N271" s="119"/>
      <c r="O271" s="119"/>
      <c r="P271" s="119"/>
      <c r="Q271" s="119"/>
      <c r="R271" s="60"/>
      <c r="S271" s="60"/>
      <c r="T271" s="4"/>
      <c r="U271" s="4"/>
      <c r="V271" s="4"/>
    </row>
    <row r="272" spans="1:22" x14ac:dyDescent="0.3">
      <c r="A272" s="133"/>
      <c r="B272" s="60"/>
      <c r="C272" s="60"/>
      <c r="D272" s="60"/>
      <c r="E272" s="60"/>
      <c r="F272" s="60"/>
      <c r="G272" s="60"/>
      <c r="H272" s="60"/>
      <c r="I272" s="60"/>
      <c r="J272" s="119"/>
      <c r="K272" s="119"/>
      <c r="L272" s="119"/>
      <c r="M272" s="119"/>
      <c r="N272" s="119"/>
      <c r="O272" s="119"/>
      <c r="P272" s="119"/>
      <c r="Q272" s="119"/>
      <c r="R272" s="60"/>
      <c r="S272" s="60"/>
      <c r="T272" s="4"/>
      <c r="U272" s="4"/>
      <c r="V272" s="4"/>
    </row>
    <row r="273" spans="1:22" x14ac:dyDescent="0.3">
      <c r="A273" s="133"/>
      <c r="B273" s="60"/>
      <c r="C273" s="60"/>
      <c r="D273" s="60"/>
      <c r="E273" s="60"/>
      <c r="F273" s="60"/>
      <c r="G273" s="60"/>
      <c r="H273" s="60"/>
      <c r="I273" s="60"/>
      <c r="J273" s="119"/>
      <c r="K273" s="119"/>
      <c r="L273" s="119"/>
      <c r="M273" s="119"/>
      <c r="N273" s="119"/>
      <c r="O273" s="119"/>
      <c r="P273" s="119"/>
      <c r="Q273" s="119"/>
      <c r="R273" s="60"/>
      <c r="S273" s="60"/>
      <c r="T273" s="4"/>
      <c r="U273" s="4"/>
      <c r="V273" s="4"/>
    </row>
    <row r="274" spans="1:22" x14ac:dyDescent="0.3">
      <c r="A274" s="133"/>
      <c r="B274" s="60"/>
      <c r="C274" s="60"/>
      <c r="D274" s="60"/>
      <c r="E274" s="60"/>
      <c r="F274" s="60"/>
      <c r="G274" s="60"/>
      <c r="H274" s="60"/>
      <c r="I274" s="60"/>
      <c r="J274" s="119"/>
      <c r="K274" s="119"/>
      <c r="L274" s="119"/>
      <c r="M274" s="119"/>
      <c r="N274" s="119"/>
      <c r="O274" s="119"/>
      <c r="P274" s="119"/>
      <c r="Q274" s="119"/>
      <c r="R274" s="60"/>
      <c r="S274" s="60"/>
      <c r="T274" s="4"/>
      <c r="U274" s="4"/>
      <c r="V274" s="4"/>
    </row>
    <row r="275" spans="1:22" x14ac:dyDescent="0.3">
      <c r="A275" s="133"/>
      <c r="B275" s="60"/>
      <c r="C275" s="60"/>
      <c r="D275" s="60"/>
      <c r="E275" s="60"/>
      <c r="F275" s="60"/>
      <c r="G275" s="60"/>
      <c r="H275" s="60"/>
      <c r="I275" s="60"/>
      <c r="J275" s="119"/>
      <c r="K275" s="119"/>
      <c r="L275" s="119"/>
      <c r="M275" s="119"/>
      <c r="N275" s="119"/>
      <c r="O275" s="119"/>
      <c r="P275" s="119"/>
      <c r="Q275" s="119"/>
      <c r="R275" s="60"/>
      <c r="S275" s="60"/>
      <c r="T275" s="4"/>
      <c r="U275" s="4"/>
      <c r="V275" s="4"/>
    </row>
    <row r="276" spans="1:22" x14ac:dyDescent="0.3">
      <c r="A276" s="133"/>
      <c r="B276" s="60"/>
      <c r="C276" s="60"/>
      <c r="D276" s="60"/>
      <c r="E276" s="60"/>
      <c r="F276" s="60"/>
      <c r="G276" s="60"/>
      <c r="H276" s="60"/>
      <c r="I276" s="60"/>
      <c r="J276" s="119"/>
      <c r="K276" s="119"/>
      <c r="L276" s="119"/>
      <c r="M276" s="119"/>
      <c r="N276" s="119"/>
      <c r="O276" s="119"/>
      <c r="P276" s="119"/>
      <c r="Q276" s="119"/>
      <c r="R276" s="60"/>
      <c r="S276" s="60"/>
      <c r="T276" s="4"/>
      <c r="U276" s="4"/>
      <c r="V276" s="4"/>
    </row>
    <row r="277" spans="1:22" x14ac:dyDescent="0.3">
      <c r="A277" s="133"/>
      <c r="B277" s="60"/>
      <c r="C277" s="60"/>
      <c r="D277" s="60"/>
      <c r="E277" s="60"/>
      <c r="F277" s="60"/>
      <c r="G277" s="60"/>
      <c r="H277" s="60"/>
      <c r="I277" s="60"/>
      <c r="J277" s="119"/>
      <c r="K277" s="119"/>
      <c r="L277" s="119"/>
      <c r="M277" s="119"/>
      <c r="N277" s="119"/>
      <c r="O277" s="119"/>
      <c r="P277" s="119"/>
      <c r="Q277" s="119"/>
      <c r="R277" s="60"/>
      <c r="S277" s="60"/>
      <c r="T277" s="4"/>
      <c r="U277" s="4"/>
      <c r="V277" s="4"/>
    </row>
    <row r="278" spans="1:22" x14ac:dyDescent="0.3">
      <c r="A278" s="133"/>
      <c r="B278" s="60"/>
      <c r="C278" s="60"/>
      <c r="D278" s="60"/>
      <c r="E278" s="60"/>
      <c r="F278" s="60"/>
      <c r="G278" s="60"/>
      <c r="H278" s="60"/>
      <c r="I278" s="60"/>
      <c r="J278" s="119"/>
      <c r="K278" s="119"/>
      <c r="L278" s="119"/>
      <c r="M278" s="119"/>
      <c r="N278" s="119"/>
      <c r="O278" s="119"/>
      <c r="P278" s="119"/>
      <c r="Q278" s="119"/>
      <c r="R278" s="60"/>
      <c r="S278" s="60"/>
      <c r="T278" s="4"/>
      <c r="U278" s="4"/>
      <c r="V278" s="4"/>
    </row>
    <row r="279" spans="1:22" x14ac:dyDescent="0.3">
      <c r="A279" s="133"/>
      <c r="B279" s="60"/>
      <c r="C279" s="60"/>
      <c r="D279" s="60"/>
      <c r="E279" s="60"/>
      <c r="F279" s="60"/>
      <c r="G279" s="60"/>
      <c r="H279" s="60"/>
      <c r="I279" s="60"/>
      <c r="J279" s="119"/>
      <c r="K279" s="119"/>
      <c r="L279" s="119"/>
      <c r="M279" s="119"/>
      <c r="N279" s="119"/>
      <c r="O279" s="119"/>
      <c r="P279" s="119"/>
      <c r="Q279" s="119"/>
      <c r="R279" s="60"/>
      <c r="S279" s="60"/>
      <c r="T279" s="4"/>
      <c r="U279" s="4"/>
      <c r="V279" s="4"/>
    </row>
    <row r="280" spans="1:22" x14ac:dyDescent="0.3">
      <c r="A280" s="133"/>
      <c r="B280" s="60"/>
      <c r="C280" s="60"/>
      <c r="D280" s="60"/>
      <c r="E280" s="60"/>
      <c r="F280" s="60"/>
      <c r="G280" s="60"/>
      <c r="H280" s="60"/>
      <c r="I280" s="60"/>
      <c r="J280" s="119"/>
      <c r="K280" s="119"/>
      <c r="L280" s="119"/>
      <c r="M280" s="119"/>
      <c r="N280" s="119"/>
      <c r="O280" s="119"/>
      <c r="P280" s="119"/>
      <c r="Q280" s="119"/>
      <c r="R280" s="60"/>
      <c r="S280" s="60"/>
      <c r="T280" s="4"/>
      <c r="U280" s="4"/>
      <c r="V280" s="4"/>
    </row>
    <row r="281" spans="1:22" x14ac:dyDescent="0.3">
      <c r="A281" s="133"/>
      <c r="B281" s="60"/>
      <c r="C281" s="60"/>
      <c r="D281" s="60"/>
      <c r="E281" s="60"/>
      <c r="F281" s="60"/>
      <c r="G281" s="60"/>
      <c r="H281" s="60"/>
      <c r="I281" s="60"/>
      <c r="J281" s="119"/>
      <c r="K281" s="119"/>
      <c r="L281" s="119"/>
      <c r="M281" s="119"/>
      <c r="N281" s="119"/>
      <c r="O281" s="119"/>
      <c r="P281" s="119"/>
      <c r="Q281" s="119"/>
      <c r="R281" s="60"/>
      <c r="S281" s="60"/>
      <c r="T281" s="4"/>
      <c r="U281" s="4"/>
      <c r="V281" s="4"/>
    </row>
    <row r="282" spans="1:22" x14ac:dyDescent="0.3">
      <c r="A282" s="133"/>
      <c r="B282" s="60"/>
      <c r="C282" s="60"/>
      <c r="D282" s="60"/>
      <c r="E282" s="60"/>
      <c r="F282" s="60"/>
      <c r="G282" s="60"/>
      <c r="H282" s="60"/>
      <c r="I282" s="60"/>
      <c r="J282" s="119"/>
      <c r="K282" s="119"/>
      <c r="L282" s="119"/>
      <c r="M282" s="119"/>
      <c r="N282" s="119"/>
      <c r="O282" s="119"/>
      <c r="P282" s="119"/>
      <c r="Q282" s="119"/>
      <c r="R282" s="60"/>
      <c r="S282" s="60"/>
      <c r="T282" s="4"/>
      <c r="U282" s="4"/>
      <c r="V282" s="4"/>
    </row>
    <row r="283" spans="1:22" x14ac:dyDescent="0.3">
      <c r="A283" s="133"/>
      <c r="B283" s="60"/>
      <c r="C283" s="60"/>
      <c r="D283" s="60"/>
      <c r="E283" s="60"/>
      <c r="F283" s="60"/>
      <c r="G283" s="60"/>
      <c r="H283" s="60"/>
      <c r="I283" s="60"/>
      <c r="J283" s="119"/>
      <c r="K283" s="119"/>
      <c r="L283" s="119"/>
      <c r="M283" s="119"/>
      <c r="N283" s="119"/>
      <c r="O283" s="119"/>
      <c r="P283" s="119"/>
      <c r="Q283" s="119"/>
      <c r="R283" s="60"/>
      <c r="S283" s="60"/>
      <c r="T283" s="4"/>
      <c r="U283" s="4"/>
      <c r="V283" s="4"/>
    </row>
    <row r="284" spans="1:22" x14ac:dyDescent="0.3">
      <c r="A284" s="133"/>
      <c r="B284" s="60"/>
      <c r="C284" s="60"/>
      <c r="D284" s="60"/>
      <c r="E284" s="60"/>
      <c r="F284" s="60"/>
      <c r="G284" s="60"/>
      <c r="H284" s="60"/>
      <c r="I284" s="60"/>
      <c r="J284" s="119"/>
      <c r="K284" s="119"/>
      <c r="L284" s="119"/>
      <c r="M284" s="119"/>
      <c r="N284" s="119"/>
      <c r="O284" s="119"/>
      <c r="P284" s="119"/>
      <c r="Q284" s="119"/>
      <c r="R284" s="60"/>
      <c r="S284" s="60"/>
      <c r="T284" s="4"/>
      <c r="U284" s="4"/>
      <c r="V284" s="4"/>
    </row>
    <row r="285" spans="1:22" x14ac:dyDescent="0.3">
      <c r="A285" s="133"/>
      <c r="B285" s="60"/>
      <c r="C285" s="60"/>
      <c r="D285" s="60"/>
      <c r="E285" s="60"/>
      <c r="F285" s="60"/>
      <c r="G285" s="60"/>
      <c r="H285" s="60"/>
      <c r="I285" s="60"/>
      <c r="J285" s="119"/>
      <c r="K285" s="119"/>
      <c r="L285" s="119"/>
      <c r="M285" s="119"/>
      <c r="N285" s="119"/>
      <c r="O285" s="119"/>
      <c r="P285" s="119"/>
      <c r="Q285" s="119"/>
      <c r="R285" s="60"/>
      <c r="S285" s="60"/>
      <c r="T285" s="4"/>
      <c r="U285" s="4"/>
      <c r="V285" s="4"/>
    </row>
    <row r="286" spans="1:22" x14ac:dyDescent="0.3">
      <c r="A286" s="133"/>
      <c r="B286" s="60"/>
      <c r="C286" s="60"/>
      <c r="D286" s="60"/>
      <c r="E286" s="60"/>
      <c r="F286" s="60"/>
      <c r="G286" s="60"/>
      <c r="H286" s="60"/>
      <c r="I286" s="60"/>
      <c r="J286" s="119"/>
      <c r="K286" s="119"/>
      <c r="L286" s="119"/>
      <c r="M286" s="119"/>
      <c r="N286" s="119"/>
      <c r="O286" s="119"/>
      <c r="P286" s="119"/>
      <c r="Q286" s="119"/>
      <c r="R286" s="60"/>
      <c r="S286" s="60"/>
      <c r="T286" s="4"/>
      <c r="U286" s="4"/>
      <c r="V286" s="4"/>
    </row>
    <row r="287" spans="1:22" x14ac:dyDescent="0.3">
      <c r="A287" s="133"/>
      <c r="B287" s="60"/>
      <c r="C287" s="60"/>
      <c r="D287" s="60"/>
      <c r="E287" s="60"/>
      <c r="F287" s="60"/>
      <c r="G287" s="60"/>
      <c r="H287" s="60"/>
      <c r="I287" s="60"/>
      <c r="J287" s="119"/>
      <c r="K287" s="119"/>
      <c r="L287" s="119"/>
      <c r="M287" s="119"/>
      <c r="N287" s="119"/>
      <c r="O287" s="119"/>
      <c r="P287" s="119"/>
      <c r="Q287" s="119"/>
      <c r="R287" s="60"/>
      <c r="S287" s="60"/>
      <c r="T287" s="4"/>
      <c r="U287" s="4"/>
      <c r="V287" s="4"/>
    </row>
    <row r="288" spans="1:22" x14ac:dyDescent="0.3">
      <c r="A288" s="133"/>
      <c r="B288" s="60"/>
      <c r="C288" s="60"/>
      <c r="D288" s="60"/>
      <c r="E288" s="60"/>
      <c r="F288" s="60"/>
      <c r="G288" s="60"/>
      <c r="H288" s="60"/>
      <c r="I288" s="60"/>
      <c r="J288" s="119"/>
      <c r="K288" s="119"/>
      <c r="L288" s="119"/>
      <c r="M288" s="119"/>
      <c r="N288" s="119"/>
      <c r="O288" s="119"/>
      <c r="P288" s="119"/>
      <c r="Q288" s="119"/>
      <c r="R288" s="60"/>
      <c r="S288" s="60"/>
      <c r="T288" s="4"/>
      <c r="U288" s="4"/>
      <c r="V288" s="4"/>
    </row>
    <row r="289" spans="1:22" x14ac:dyDescent="0.3">
      <c r="A289" s="133"/>
      <c r="B289" s="60"/>
      <c r="C289" s="60"/>
      <c r="D289" s="60"/>
      <c r="E289" s="60"/>
      <c r="F289" s="60"/>
      <c r="G289" s="60"/>
      <c r="H289" s="60"/>
      <c r="I289" s="60"/>
      <c r="J289" s="119"/>
      <c r="K289" s="119"/>
      <c r="L289" s="119"/>
      <c r="M289" s="119"/>
      <c r="N289" s="119"/>
      <c r="O289" s="119"/>
      <c r="P289" s="119"/>
      <c r="Q289" s="119"/>
      <c r="R289" s="60"/>
      <c r="S289" s="60"/>
      <c r="T289" s="4"/>
      <c r="U289" s="4"/>
      <c r="V289" s="4"/>
    </row>
    <row r="290" spans="1:22" x14ac:dyDescent="0.3">
      <c r="A290" s="133"/>
      <c r="B290" s="60"/>
      <c r="C290" s="60"/>
      <c r="D290" s="60"/>
      <c r="E290" s="60"/>
      <c r="F290" s="60"/>
      <c r="G290" s="60"/>
      <c r="H290" s="60"/>
      <c r="I290" s="60"/>
      <c r="J290" s="119"/>
      <c r="K290" s="119"/>
      <c r="L290" s="119"/>
      <c r="M290" s="119"/>
      <c r="N290" s="119"/>
      <c r="O290" s="119"/>
      <c r="P290" s="119"/>
      <c r="Q290" s="119"/>
      <c r="R290" s="60"/>
      <c r="S290" s="60"/>
      <c r="T290" s="4"/>
      <c r="U290" s="4"/>
      <c r="V290" s="4"/>
    </row>
    <row r="291" spans="1:22" x14ac:dyDescent="0.3">
      <c r="A291" s="133"/>
      <c r="B291" s="60"/>
      <c r="C291" s="60"/>
      <c r="D291" s="60"/>
      <c r="E291" s="60"/>
      <c r="F291" s="60"/>
      <c r="G291" s="60"/>
      <c r="H291" s="60"/>
      <c r="I291" s="60"/>
      <c r="J291" s="119"/>
      <c r="K291" s="119"/>
      <c r="L291" s="119"/>
      <c r="M291" s="119"/>
      <c r="N291" s="119"/>
      <c r="O291" s="119"/>
      <c r="P291" s="119"/>
      <c r="Q291" s="119"/>
      <c r="R291" s="60"/>
      <c r="S291" s="60"/>
      <c r="T291" s="4"/>
      <c r="U291" s="4"/>
      <c r="V291" s="4"/>
    </row>
    <row r="292" spans="1:22" x14ac:dyDescent="0.3">
      <c r="A292" s="133"/>
      <c r="B292" s="60"/>
      <c r="C292" s="60"/>
      <c r="D292" s="60"/>
      <c r="E292" s="60"/>
      <c r="F292" s="60"/>
      <c r="G292" s="60"/>
      <c r="H292" s="60"/>
      <c r="I292" s="60"/>
      <c r="J292" s="119"/>
      <c r="K292" s="119"/>
      <c r="L292" s="119"/>
      <c r="M292" s="119"/>
      <c r="N292" s="119"/>
      <c r="O292" s="119"/>
      <c r="P292" s="119"/>
      <c r="Q292" s="119"/>
      <c r="R292" s="60"/>
      <c r="S292" s="60"/>
      <c r="T292" s="4"/>
      <c r="U292" s="4"/>
      <c r="V292" s="4"/>
    </row>
    <row r="293" spans="1:22" x14ac:dyDescent="0.3">
      <c r="A293" s="133"/>
      <c r="B293" s="60"/>
      <c r="C293" s="60"/>
      <c r="D293" s="60"/>
      <c r="E293" s="60"/>
      <c r="F293" s="60"/>
      <c r="G293" s="60"/>
      <c r="H293" s="60"/>
      <c r="I293" s="60"/>
      <c r="J293" s="119"/>
      <c r="K293" s="119"/>
      <c r="L293" s="119"/>
      <c r="M293" s="119"/>
      <c r="N293" s="119"/>
      <c r="O293" s="119"/>
      <c r="P293" s="119"/>
      <c r="Q293" s="119"/>
      <c r="R293" s="60"/>
      <c r="S293" s="60"/>
      <c r="T293" s="4"/>
      <c r="U293" s="4"/>
      <c r="V293" s="4"/>
    </row>
    <row r="294" spans="1:22" x14ac:dyDescent="0.3">
      <c r="A294" s="133"/>
      <c r="B294" s="60"/>
      <c r="C294" s="60"/>
      <c r="D294" s="60"/>
      <c r="E294" s="60"/>
      <c r="F294" s="60"/>
      <c r="G294" s="60"/>
      <c r="H294" s="60"/>
      <c r="I294" s="60"/>
      <c r="J294" s="119"/>
      <c r="K294" s="119"/>
      <c r="L294" s="119"/>
      <c r="M294" s="119"/>
      <c r="N294" s="119"/>
      <c r="O294" s="119"/>
      <c r="P294" s="119"/>
      <c r="Q294" s="119"/>
      <c r="R294" s="60"/>
      <c r="S294" s="60"/>
      <c r="T294" s="4"/>
      <c r="U294" s="4"/>
      <c r="V294" s="4"/>
    </row>
    <row r="295" spans="1:22" x14ac:dyDescent="0.3">
      <c r="A295" s="133"/>
      <c r="B295" s="60"/>
      <c r="C295" s="60"/>
      <c r="D295" s="60"/>
      <c r="E295" s="60"/>
      <c r="F295" s="60"/>
      <c r="G295" s="60"/>
      <c r="H295" s="60"/>
      <c r="I295" s="60"/>
      <c r="J295" s="119"/>
      <c r="K295" s="119"/>
      <c r="L295" s="119"/>
      <c r="M295" s="119"/>
      <c r="N295" s="119"/>
      <c r="O295" s="119"/>
      <c r="P295" s="119"/>
      <c r="Q295" s="119"/>
      <c r="R295" s="60"/>
      <c r="S295" s="60"/>
      <c r="T295" s="4"/>
      <c r="U295" s="4"/>
      <c r="V295" s="4"/>
    </row>
    <row r="296" spans="1:22" x14ac:dyDescent="0.3">
      <c r="A296" s="133"/>
      <c r="B296" s="60"/>
      <c r="C296" s="60"/>
      <c r="D296" s="60"/>
      <c r="E296" s="60"/>
      <c r="F296" s="60"/>
      <c r="G296" s="60"/>
      <c r="H296" s="60"/>
      <c r="I296" s="60"/>
      <c r="J296" s="119"/>
      <c r="K296" s="119"/>
      <c r="L296" s="119"/>
      <c r="M296" s="119"/>
      <c r="N296" s="119"/>
      <c r="O296" s="119"/>
      <c r="P296" s="119"/>
      <c r="Q296" s="119"/>
      <c r="R296" s="60"/>
      <c r="S296" s="60"/>
      <c r="T296" s="4"/>
      <c r="U296" s="4"/>
      <c r="V296" s="4"/>
    </row>
    <row r="297" spans="1:22" x14ac:dyDescent="0.3">
      <c r="A297" s="133"/>
      <c r="B297" s="60"/>
      <c r="C297" s="60"/>
      <c r="D297" s="60"/>
      <c r="E297" s="60"/>
      <c r="F297" s="60"/>
      <c r="G297" s="60"/>
      <c r="H297" s="60"/>
      <c r="I297" s="60"/>
      <c r="J297" s="119"/>
      <c r="K297" s="119"/>
      <c r="L297" s="119"/>
      <c r="M297" s="119"/>
      <c r="N297" s="119"/>
      <c r="O297" s="119"/>
      <c r="P297" s="119"/>
      <c r="Q297" s="119"/>
      <c r="R297" s="60"/>
      <c r="S297" s="60"/>
      <c r="T297" s="4"/>
      <c r="U297" s="4"/>
      <c r="V297" s="4"/>
    </row>
    <row r="298" spans="1:22" x14ac:dyDescent="0.3">
      <c r="A298" s="133"/>
      <c r="B298" s="60"/>
      <c r="C298" s="60"/>
      <c r="D298" s="60"/>
      <c r="E298" s="60"/>
      <c r="F298" s="60"/>
      <c r="G298" s="60"/>
      <c r="H298" s="60"/>
      <c r="I298" s="60"/>
      <c r="J298" s="119"/>
      <c r="K298" s="119"/>
      <c r="L298" s="119"/>
      <c r="M298" s="119"/>
      <c r="N298" s="119"/>
      <c r="O298" s="119"/>
      <c r="P298" s="119"/>
      <c r="Q298" s="119"/>
      <c r="R298" s="60"/>
      <c r="S298" s="60"/>
      <c r="T298" s="4"/>
      <c r="U298" s="4"/>
      <c r="V298" s="4"/>
    </row>
    <row r="299" spans="1:22" x14ac:dyDescent="0.3">
      <c r="A299" s="133"/>
      <c r="B299" s="60"/>
      <c r="C299" s="60"/>
      <c r="D299" s="60"/>
      <c r="E299" s="60"/>
      <c r="F299" s="60"/>
      <c r="G299" s="60"/>
      <c r="H299" s="60"/>
      <c r="I299" s="60"/>
      <c r="J299" s="119"/>
      <c r="K299" s="119"/>
      <c r="L299" s="119"/>
      <c r="M299" s="119"/>
      <c r="N299" s="119"/>
      <c r="O299" s="119"/>
      <c r="P299" s="119"/>
      <c r="Q299" s="119"/>
      <c r="R299" s="60"/>
      <c r="S299" s="60"/>
      <c r="T299" s="4"/>
      <c r="U299" s="4"/>
      <c r="V299" s="4"/>
    </row>
    <row r="300" spans="1:22" x14ac:dyDescent="0.3">
      <c r="A300" s="133"/>
      <c r="B300" s="60"/>
      <c r="C300" s="60"/>
      <c r="D300" s="60"/>
      <c r="E300" s="60"/>
      <c r="F300" s="60"/>
      <c r="G300" s="60"/>
      <c r="H300" s="60"/>
      <c r="I300" s="60"/>
      <c r="J300" s="119"/>
      <c r="K300" s="119"/>
      <c r="L300" s="119"/>
      <c r="M300" s="119"/>
      <c r="N300" s="119"/>
      <c r="O300" s="119"/>
      <c r="P300" s="119"/>
      <c r="Q300" s="119"/>
      <c r="R300" s="60"/>
      <c r="S300" s="60"/>
      <c r="T300" s="4"/>
      <c r="U300" s="4"/>
      <c r="V300" s="4"/>
    </row>
    <row r="301" spans="1:22" x14ac:dyDescent="0.3">
      <c r="A301" s="133"/>
      <c r="B301" s="60"/>
      <c r="C301" s="60"/>
      <c r="D301" s="60"/>
      <c r="E301" s="60"/>
      <c r="F301" s="60"/>
      <c r="G301" s="60"/>
      <c r="H301" s="60"/>
      <c r="I301" s="60"/>
      <c r="J301" s="119"/>
      <c r="K301" s="119"/>
      <c r="L301" s="119"/>
      <c r="M301" s="119"/>
      <c r="N301" s="119"/>
      <c r="O301" s="119"/>
      <c r="P301" s="119"/>
      <c r="Q301" s="119"/>
      <c r="R301" s="60"/>
      <c r="S301" s="60"/>
      <c r="T301" s="4"/>
      <c r="U301" s="4"/>
      <c r="V301" s="4"/>
    </row>
    <row r="302" spans="1:22" x14ac:dyDescent="0.3">
      <c r="A302" s="133"/>
      <c r="B302" s="60"/>
      <c r="C302" s="60"/>
      <c r="D302" s="60"/>
      <c r="E302" s="60"/>
      <c r="F302" s="60"/>
      <c r="G302" s="60"/>
      <c r="H302" s="60"/>
      <c r="I302" s="60"/>
      <c r="J302" s="119"/>
      <c r="K302" s="119"/>
      <c r="L302" s="119"/>
      <c r="M302" s="119"/>
      <c r="N302" s="119"/>
      <c r="O302" s="119"/>
      <c r="P302" s="119"/>
      <c r="Q302" s="119"/>
      <c r="R302" s="60"/>
      <c r="S302" s="60"/>
      <c r="T302" s="4"/>
      <c r="U302" s="4"/>
      <c r="V302" s="4"/>
    </row>
    <row r="303" spans="1:22" x14ac:dyDescent="0.3">
      <c r="A303" s="133"/>
      <c r="B303" s="60"/>
      <c r="C303" s="60"/>
      <c r="D303" s="60"/>
      <c r="E303" s="60"/>
      <c r="F303" s="60"/>
      <c r="G303" s="60"/>
      <c r="H303" s="60"/>
      <c r="I303" s="60"/>
      <c r="J303" s="119"/>
      <c r="K303" s="119"/>
      <c r="L303" s="119"/>
      <c r="M303" s="119"/>
      <c r="N303" s="119"/>
      <c r="O303" s="119"/>
      <c r="P303" s="119"/>
      <c r="Q303" s="119"/>
      <c r="R303" s="60"/>
      <c r="S303" s="60"/>
      <c r="T303" s="4"/>
      <c r="U303" s="4"/>
      <c r="V303" s="4"/>
    </row>
    <row r="304" spans="1:22" x14ac:dyDescent="0.3">
      <c r="A304" s="133"/>
      <c r="B304" s="60"/>
      <c r="C304" s="60"/>
      <c r="D304" s="60"/>
      <c r="E304" s="60"/>
      <c r="F304" s="60"/>
      <c r="G304" s="60"/>
      <c r="H304" s="60"/>
      <c r="I304" s="60"/>
      <c r="J304" s="119"/>
      <c r="K304" s="119"/>
      <c r="L304" s="119"/>
      <c r="M304" s="119"/>
      <c r="N304" s="119"/>
      <c r="O304" s="119"/>
      <c r="P304" s="119"/>
      <c r="Q304" s="119"/>
      <c r="R304" s="60"/>
      <c r="S304" s="60"/>
      <c r="T304" s="4"/>
      <c r="U304" s="4"/>
      <c r="V304" s="4"/>
    </row>
    <row r="305" spans="1:22" x14ac:dyDescent="0.3">
      <c r="A305" s="133"/>
      <c r="B305" s="60"/>
      <c r="C305" s="60"/>
      <c r="D305" s="60"/>
      <c r="E305" s="60"/>
      <c r="F305" s="60"/>
      <c r="G305" s="60"/>
      <c r="H305" s="60"/>
      <c r="I305" s="60"/>
      <c r="J305" s="119"/>
      <c r="K305" s="119"/>
      <c r="L305" s="119"/>
      <c r="M305" s="119"/>
      <c r="N305" s="119"/>
      <c r="O305" s="119"/>
      <c r="P305" s="119"/>
      <c r="Q305" s="119"/>
      <c r="R305" s="60"/>
      <c r="S305" s="60"/>
      <c r="T305" s="4"/>
      <c r="U305" s="4"/>
      <c r="V305" s="4"/>
    </row>
    <row r="306" spans="1:22" x14ac:dyDescent="0.3">
      <c r="A306" s="133"/>
      <c r="B306" s="60"/>
      <c r="C306" s="60"/>
      <c r="D306" s="60"/>
      <c r="E306" s="60"/>
      <c r="F306" s="60"/>
      <c r="G306" s="60"/>
      <c r="H306" s="60"/>
      <c r="I306" s="60"/>
      <c r="J306" s="119"/>
      <c r="K306" s="119"/>
      <c r="L306" s="119"/>
      <c r="M306" s="119"/>
      <c r="N306" s="119"/>
      <c r="O306" s="119"/>
      <c r="P306" s="119"/>
      <c r="Q306" s="119"/>
      <c r="R306" s="60"/>
      <c r="S306" s="60"/>
      <c r="T306" s="4"/>
      <c r="U306" s="4"/>
      <c r="V306" s="4"/>
    </row>
    <row r="307" spans="1:22" x14ac:dyDescent="0.3">
      <c r="A307" s="133"/>
      <c r="B307" s="60"/>
      <c r="C307" s="60"/>
      <c r="D307" s="60"/>
      <c r="E307" s="60"/>
      <c r="F307" s="60"/>
      <c r="G307" s="60"/>
      <c r="H307" s="60"/>
      <c r="I307" s="60"/>
      <c r="J307" s="119"/>
      <c r="K307" s="119"/>
      <c r="L307" s="119"/>
      <c r="M307" s="119"/>
      <c r="N307" s="119"/>
      <c r="O307" s="119"/>
      <c r="P307" s="119"/>
      <c r="Q307" s="119"/>
      <c r="R307" s="60"/>
      <c r="S307" s="60"/>
      <c r="T307" s="4"/>
      <c r="U307" s="4"/>
      <c r="V307" s="4"/>
    </row>
    <row r="308" spans="1:22" x14ac:dyDescent="0.3">
      <c r="A308" s="133"/>
      <c r="B308" s="60"/>
      <c r="C308" s="60"/>
      <c r="D308" s="60"/>
      <c r="E308" s="60"/>
      <c r="F308" s="60"/>
      <c r="G308" s="60"/>
      <c r="H308" s="60"/>
      <c r="I308" s="60"/>
      <c r="J308" s="119"/>
      <c r="K308" s="119"/>
      <c r="L308" s="119"/>
      <c r="M308" s="119"/>
      <c r="N308" s="119"/>
      <c r="O308" s="119"/>
      <c r="P308" s="119"/>
      <c r="Q308" s="119"/>
      <c r="R308" s="60"/>
      <c r="S308" s="60"/>
      <c r="T308" s="4"/>
      <c r="U308" s="4"/>
      <c r="V308" s="4"/>
    </row>
    <row r="309" spans="1:22" x14ac:dyDescent="0.3">
      <c r="A309" s="133"/>
      <c r="B309" s="60"/>
      <c r="C309" s="60"/>
      <c r="D309" s="60"/>
      <c r="E309" s="60"/>
      <c r="F309" s="60"/>
      <c r="G309" s="60"/>
      <c r="H309" s="60"/>
      <c r="I309" s="60"/>
      <c r="J309" s="119"/>
      <c r="K309" s="119"/>
      <c r="L309" s="119"/>
      <c r="M309" s="119"/>
      <c r="N309" s="119"/>
      <c r="O309" s="119"/>
      <c r="P309" s="119"/>
      <c r="Q309" s="119"/>
      <c r="R309" s="60"/>
      <c r="S309" s="60"/>
      <c r="T309" s="4"/>
      <c r="U309" s="4"/>
      <c r="V309" s="4"/>
    </row>
    <row r="310" spans="1:22" x14ac:dyDescent="0.3">
      <c r="A310" s="133"/>
      <c r="B310" s="60"/>
      <c r="C310" s="60"/>
      <c r="D310" s="60"/>
      <c r="E310" s="60"/>
      <c r="F310" s="60"/>
      <c r="G310" s="60"/>
      <c r="H310" s="60"/>
      <c r="I310" s="60"/>
      <c r="J310" s="119"/>
      <c r="K310" s="119"/>
      <c r="L310" s="119"/>
      <c r="M310" s="119"/>
      <c r="N310" s="119"/>
      <c r="O310" s="119"/>
      <c r="P310" s="119"/>
      <c r="Q310" s="119"/>
      <c r="R310" s="60"/>
      <c r="S310" s="60"/>
      <c r="T310" s="4"/>
      <c r="U310" s="4"/>
      <c r="V310" s="4"/>
    </row>
    <row r="311" spans="1:22" x14ac:dyDescent="0.3">
      <c r="A311" s="133"/>
      <c r="B311" s="60"/>
      <c r="C311" s="60"/>
      <c r="D311" s="60"/>
      <c r="E311" s="60"/>
      <c r="F311" s="60"/>
      <c r="G311" s="60"/>
      <c r="H311" s="60"/>
      <c r="I311" s="60"/>
      <c r="J311" s="119"/>
      <c r="K311" s="119"/>
      <c r="L311" s="119"/>
      <c r="M311" s="119"/>
      <c r="N311" s="119"/>
      <c r="O311" s="119"/>
      <c r="P311" s="119"/>
      <c r="Q311" s="119"/>
      <c r="R311" s="60"/>
      <c r="S311" s="60"/>
      <c r="T311" s="4"/>
      <c r="U311" s="4"/>
      <c r="V311" s="4"/>
    </row>
    <row r="312" spans="1:22" x14ac:dyDescent="0.3">
      <c r="A312" s="133"/>
      <c r="B312" s="60"/>
      <c r="C312" s="60"/>
      <c r="D312" s="60"/>
      <c r="E312" s="60"/>
      <c r="F312" s="60"/>
      <c r="G312" s="60"/>
      <c r="H312" s="60"/>
      <c r="I312" s="60"/>
      <c r="J312" s="119"/>
      <c r="K312" s="119"/>
      <c r="L312" s="119"/>
      <c r="M312" s="119"/>
      <c r="N312" s="119"/>
      <c r="O312" s="119"/>
      <c r="P312" s="119"/>
      <c r="Q312" s="119"/>
      <c r="R312" s="60"/>
      <c r="S312" s="60"/>
      <c r="T312" s="4"/>
      <c r="U312" s="4"/>
      <c r="V312" s="4"/>
    </row>
    <row r="313" spans="1:22" x14ac:dyDescent="0.3">
      <c r="A313" s="133"/>
      <c r="B313" s="60"/>
      <c r="C313" s="60"/>
      <c r="D313" s="60"/>
      <c r="E313" s="60"/>
      <c r="F313" s="60"/>
      <c r="G313" s="60"/>
      <c r="H313" s="60"/>
      <c r="I313" s="60"/>
      <c r="J313" s="119"/>
      <c r="K313" s="119"/>
      <c r="L313" s="119"/>
      <c r="M313" s="119"/>
      <c r="N313" s="119"/>
      <c r="O313" s="119"/>
      <c r="P313" s="119"/>
      <c r="Q313" s="119"/>
      <c r="R313" s="60"/>
      <c r="S313" s="60"/>
      <c r="T313" s="4"/>
      <c r="U313" s="4"/>
      <c r="V313" s="4"/>
    </row>
    <row r="314" spans="1:22" x14ac:dyDescent="0.3">
      <c r="A314" s="133"/>
      <c r="B314" s="60"/>
      <c r="C314" s="60"/>
      <c r="D314" s="60"/>
      <c r="E314" s="60"/>
      <c r="F314" s="60"/>
      <c r="G314" s="60"/>
      <c r="H314" s="60"/>
      <c r="I314" s="60"/>
      <c r="J314" s="119"/>
      <c r="K314" s="119"/>
      <c r="L314" s="119"/>
      <c r="M314" s="119"/>
      <c r="N314" s="119"/>
      <c r="O314" s="119"/>
      <c r="P314" s="119"/>
      <c r="Q314" s="119"/>
      <c r="R314" s="60"/>
      <c r="S314" s="60"/>
      <c r="T314" s="4"/>
      <c r="U314" s="4"/>
      <c r="V314" s="4"/>
    </row>
    <row r="315" spans="1:22" x14ac:dyDescent="0.3">
      <c r="A315" s="133"/>
      <c r="B315" s="60"/>
      <c r="C315" s="60"/>
      <c r="D315" s="60"/>
      <c r="E315" s="60"/>
      <c r="F315" s="60"/>
      <c r="G315" s="60"/>
      <c r="H315" s="60"/>
      <c r="I315" s="60"/>
      <c r="J315" s="119"/>
      <c r="K315" s="119"/>
      <c r="L315" s="119"/>
      <c r="M315" s="119"/>
      <c r="N315" s="119"/>
      <c r="O315" s="119"/>
      <c r="P315" s="119"/>
      <c r="Q315" s="119"/>
      <c r="R315" s="60"/>
      <c r="S315" s="60"/>
      <c r="T315" s="4"/>
      <c r="U315" s="4"/>
      <c r="V315" s="4"/>
    </row>
    <row r="316" spans="1:22" x14ac:dyDescent="0.3">
      <c r="A316" s="133"/>
      <c r="B316" s="60"/>
      <c r="C316" s="60"/>
      <c r="D316" s="60"/>
      <c r="E316" s="60"/>
      <c r="F316" s="60"/>
      <c r="G316" s="60"/>
      <c r="H316" s="60"/>
      <c r="I316" s="60"/>
      <c r="J316" s="119"/>
      <c r="K316" s="119"/>
      <c r="L316" s="119"/>
      <c r="M316" s="119"/>
      <c r="N316" s="119"/>
      <c r="O316" s="119"/>
      <c r="P316" s="119"/>
      <c r="Q316" s="119"/>
      <c r="R316" s="60"/>
      <c r="S316" s="60"/>
      <c r="T316" s="4"/>
      <c r="U316" s="4"/>
      <c r="V316" s="4"/>
    </row>
    <row r="317" spans="1:22" x14ac:dyDescent="0.3">
      <c r="A317" s="133"/>
      <c r="B317" s="60"/>
      <c r="C317" s="60"/>
      <c r="D317" s="60"/>
      <c r="E317" s="60"/>
      <c r="F317" s="60"/>
      <c r="G317" s="60"/>
      <c r="H317" s="60"/>
      <c r="I317" s="60"/>
      <c r="J317" s="119"/>
      <c r="K317" s="119"/>
      <c r="L317" s="119"/>
      <c r="M317" s="119"/>
      <c r="N317" s="119"/>
      <c r="O317" s="119"/>
      <c r="P317" s="119"/>
      <c r="Q317" s="119"/>
      <c r="R317" s="60"/>
      <c r="S317" s="60"/>
      <c r="T317" s="4"/>
      <c r="U317" s="4"/>
      <c r="V317" s="4"/>
    </row>
    <row r="318" spans="1:22" x14ac:dyDescent="0.3">
      <c r="A318" s="133"/>
      <c r="B318" s="60"/>
      <c r="C318" s="60"/>
      <c r="D318" s="60"/>
      <c r="E318" s="60"/>
      <c r="F318" s="60"/>
      <c r="G318" s="60"/>
      <c r="H318" s="60"/>
      <c r="I318" s="60"/>
      <c r="J318" s="119"/>
      <c r="K318" s="119"/>
      <c r="L318" s="119"/>
      <c r="M318" s="119"/>
      <c r="N318" s="119"/>
      <c r="O318" s="119"/>
      <c r="P318" s="119"/>
      <c r="Q318" s="119"/>
      <c r="R318" s="60"/>
      <c r="S318" s="60"/>
      <c r="T318" s="4"/>
      <c r="U318" s="4"/>
      <c r="V318" s="4"/>
    </row>
    <row r="319" spans="1:22" x14ac:dyDescent="0.3">
      <c r="A319" s="133"/>
      <c r="B319" s="60"/>
      <c r="C319" s="60"/>
      <c r="D319" s="60"/>
      <c r="E319" s="60"/>
      <c r="F319" s="60"/>
      <c r="G319" s="60"/>
      <c r="H319" s="60"/>
      <c r="I319" s="60"/>
      <c r="J319" s="119"/>
      <c r="K319" s="119"/>
      <c r="L319" s="119"/>
      <c r="M319" s="119"/>
      <c r="N319" s="119"/>
      <c r="O319" s="119"/>
      <c r="P319" s="119"/>
      <c r="Q319" s="119"/>
      <c r="R319" s="60"/>
      <c r="S319" s="60"/>
      <c r="T319" s="4"/>
      <c r="U319" s="4"/>
      <c r="V319" s="4"/>
    </row>
    <row r="320" spans="1:22" x14ac:dyDescent="0.3">
      <c r="A320" s="133"/>
      <c r="B320" s="60"/>
      <c r="C320" s="60"/>
      <c r="D320" s="60"/>
      <c r="E320" s="60"/>
      <c r="F320" s="60"/>
      <c r="G320" s="60"/>
      <c r="H320" s="60"/>
      <c r="I320" s="60"/>
      <c r="J320" s="119"/>
      <c r="K320" s="119"/>
      <c r="L320" s="119"/>
      <c r="M320" s="119"/>
      <c r="N320" s="119"/>
      <c r="O320" s="119"/>
      <c r="P320" s="119"/>
      <c r="Q320" s="119"/>
      <c r="R320" s="60"/>
      <c r="S320" s="60"/>
      <c r="T320" s="4"/>
      <c r="U320" s="4"/>
      <c r="V320" s="4"/>
    </row>
    <row r="321" spans="1:22" x14ac:dyDescent="0.3">
      <c r="A321" s="133"/>
      <c r="B321" s="60"/>
      <c r="C321" s="60"/>
      <c r="D321" s="60"/>
      <c r="E321" s="60"/>
      <c r="F321" s="60"/>
      <c r="G321" s="60"/>
      <c r="H321" s="60"/>
      <c r="I321" s="60"/>
      <c r="J321" s="119"/>
      <c r="K321" s="119"/>
      <c r="L321" s="119"/>
      <c r="M321" s="119"/>
      <c r="N321" s="119"/>
      <c r="O321" s="119"/>
      <c r="P321" s="119"/>
      <c r="Q321" s="119"/>
      <c r="R321" s="60"/>
      <c r="S321" s="60"/>
      <c r="T321" s="4"/>
      <c r="U321" s="4"/>
      <c r="V321" s="4"/>
    </row>
    <row r="322" spans="1:22" x14ac:dyDescent="0.3">
      <c r="A322" s="133"/>
      <c r="B322" s="60"/>
      <c r="C322" s="60"/>
      <c r="D322" s="60"/>
      <c r="E322" s="60"/>
      <c r="F322" s="60"/>
      <c r="G322" s="60"/>
      <c r="H322" s="60"/>
      <c r="I322" s="60"/>
      <c r="J322" s="119"/>
      <c r="K322" s="119"/>
      <c r="L322" s="119"/>
      <c r="M322" s="119"/>
      <c r="N322" s="119"/>
      <c r="O322" s="119"/>
      <c r="P322" s="119"/>
      <c r="Q322" s="119"/>
      <c r="R322" s="60"/>
      <c r="S322" s="60"/>
      <c r="T322" s="4"/>
      <c r="U322" s="4"/>
      <c r="V322" s="4"/>
    </row>
    <row r="323" spans="1:22" x14ac:dyDescent="0.3">
      <c r="A323" s="133"/>
      <c r="B323" s="60"/>
      <c r="C323" s="60"/>
      <c r="D323" s="60"/>
      <c r="E323" s="60"/>
      <c r="F323" s="60"/>
      <c r="G323" s="60"/>
      <c r="H323" s="60"/>
      <c r="I323" s="60"/>
      <c r="J323" s="119"/>
      <c r="K323" s="119"/>
      <c r="L323" s="119"/>
      <c r="M323" s="119"/>
      <c r="N323" s="119"/>
      <c r="O323" s="119"/>
      <c r="P323" s="119"/>
      <c r="Q323" s="119"/>
      <c r="R323" s="60"/>
      <c r="S323" s="60"/>
      <c r="T323" s="4"/>
      <c r="U323" s="4"/>
      <c r="V323" s="4"/>
    </row>
    <row r="324" spans="1:22" x14ac:dyDescent="0.3">
      <c r="A324" s="133"/>
      <c r="B324" s="60"/>
      <c r="C324" s="60"/>
      <c r="D324" s="60"/>
      <c r="E324" s="60"/>
      <c r="F324" s="60"/>
      <c r="G324" s="60"/>
      <c r="H324" s="60"/>
      <c r="I324" s="60"/>
      <c r="J324" s="119"/>
      <c r="K324" s="119"/>
      <c r="L324" s="119"/>
      <c r="M324" s="119"/>
      <c r="N324" s="119"/>
      <c r="O324" s="119"/>
      <c r="P324" s="119"/>
      <c r="Q324" s="119"/>
      <c r="R324" s="60"/>
      <c r="S324" s="60"/>
      <c r="T324" s="4"/>
      <c r="U324" s="4"/>
      <c r="V324" s="4"/>
    </row>
    <row r="325" spans="1:22" x14ac:dyDescent="0.3">
      <c r="A325" s="133"/>
      <c r="B325" s="60"/>
      <c r="C325" s="60"/>
      <c r="D325" s="60"/>
      <c r="E325" s="60"/>
      <c r="F325" s="60"/>
      <c r="G325" s="60"/>
      <c r="H325" s="60"/>
      <c r="I325" s="60"/>
      <c r="J325" s="119"/>
      <c r="K325" s="119"/>
      <c r="L325" s="119"/>
      <c r="M325" s="119"/>
      <c r="N325" s="119"/>
      <c r="O325" s="119"/>
      <c r="P325" s="119"/>
      <c r="Q325" s="119"/>
      <c r="R325" s="60"/>
      <c r="S325" s="60"/>
      <c r="T325" s="4"/>
      <c r="U325" s="4"/>
      <c r="V325" s="4"/>
    </row>
    <row r="326" spans="1:22" x14ac:dyDescent="0.3">
      <c r="A326" s="133"/>
      <c r="B326" s="60"/>
      <c r="C326" s="60"/>
      <c r="D326" s="60"/>
      <c r="E326" s="60"/>
      <c r="F326" s="60"/>
      <c r="G326" s="60"/>
      <c r="H326" s="60"/>
      <c r="I326" s="60"/>
      <c r="J326" s="119"/>
      <c r="K326" s="119"/>
      <c r="L326" s="119"/>
      <c r="M326" s="119"/>
      <c r="N326" s="119"/>
      <c r="O326" s="119"/>
      <c r="P326" s="119"/>
      <c r="Q326" s="119"/>
      <c r="R326" s="60"/>
      <c r="S326" s="60"/>
      <c r="T326" s="4"/>
      <c r="U326" s="4"/>
      <c r="V326" s="4"/>
    </row>
    <row r="327" spans="1:22" x14ac:dyDescent="0.3">
      <c r="A327" s="133"/>
      <c r="B327" s="60"/>
      <c r="C327" s="60"/>
      <c r="D327" s="60"/>
      <c r="E327" s="60"/>
      <c r="F327" s="60"/>
      <c r="G327" s="60"/>
      <c r="H327" s="60"/>
      <c r="I327" s="60"/>
      <c r="J327" s="119"/>
      <c r="K327" s="119"/>
      <c r="L327" s="119"/>
      <c r="M327" s="119"/>
      <c r="N327" s="119"/>
      <c r="O327" s="119"/>
      <c r="P327" s="119"/>
      <c r="Q327" s="119"/>
      <c r="R327" s="60"/>
      <c r="S327" s="60"/>
      <c r="T327" s="4"/>
      <c r="U327" s="4"/>
      <c r="V327" s="4"/>
    </row>
    <row r="328" spans="1:22" x14ac:dyDescent="0.3">
      <c r="A328" s="133"/>
      <c r="B328" s="60"/>
      <c r="C328" s="60"/>
      <c r="D328" s="60"/>
      <c r="E328" s="60"/>
      <c r="F328" s="60"/>
      <c r="G328" s="60"/>
      <c r="H328" s="60"/>
      <c r="I328" s="60"/>
      <c r="J328" s="119"/>
      <c r="K328" s="119"/>
      <c r="L328" s="119"/>
      <c r="M328" s="119"/>
      <c r="N328" s="119"/>
      <c r="O328" s="119"/>
      <c r="P328" s="119"/>
      <c r="Q328" s="119"/>
      <c r="R328" s="60"/>
      <c r="S328" s="60"/>
      <c r="T328" s="4"/>
      <c r="U328" s="4"/>
      <c r="V328" s="4"/>
    </row>
    <row r="329" spans="1:22" x14ac:dyDescent="0.3">
      <c r="A329" s="133"/>
      <c r="B329" s="60"/>
      <c r="C329" s="60"/>
      <c r="D329" s="60"/>
      <c r="E329" s="60"/>
      <c r="F329" s="60"/>
      <c r="G329" s="60"/>
      <c r="H329" s="60"/>
      <c r="I329" s="60"/>
      <c r="J329" s="119"/>
      <c r="K329" s="119"/>
      <c r="L329" s="119"/>
      <c r="M329" s="119"/>
      <c r="N329" s="119"/>
      <c r="O329" s="119"/>
      <c r="P329" s="119"/>
      <c r="Q329" s="119"/>
      <c r="R329" s="60"/>
      <c r="S329" s="60"/>
      <c r="T329" s="4"/>
      <c r="U329" s="4"/>
      <c r="V329" s="4"/>
    </row>
    <row r="330" spans="1:22" x14ac:dyDescent="0.3">
      <c r="A330" s="133"/>
      <c r="B330" s="60"/>
      <c r="C330" s="60"/>
      <c r="D330" s="60"/>
      <c r="E330" s="60"/>
      <c r="F330" s="60"/>
      <c r="G330" s="60"/>
      <c r="H330" s="60"/>
      <c r="I330" s="60"/>
      <c r="J330" s="119"/>
      <c r="K330" s="119"/>
      <c r="L330" s="119"/>
      <c r="M330" s="119"/>
      <c r="N330" s="119"/>
      <c r="O330" s="119"/>
      <c r="P330" s="119"/>
      <c r="Q330" s="119"/>
      <c r="R330" s="60"/>
      <c r="S330" s="60"/>
      <c r="T330" s="4"/>
      <c r="U330" s="4"/>
      <c r="V330" s="4"/>
    </row>
    <row r="331" spans="1:22" x14ac:dyDescent="0.3">
      <c r="A331" s="133"/>
      <c r="B331" s="60"/>
      <c r="C331" s="60"/>
      <c r="D331" s="60"/>
      <c r="E331" s="60"/>
      <c r="F331" s="60"/>
      <c r="G331" s="60"/>
      <c r="H331" s="60"/>
      <c r="I331" s="60"/>
      <c r="J331" s="119"/>
      <c r="K331" s="119"/>
      <c r="L331" s="119"/>
      <c r="M331" s="119"/>
      <c r="N331" s="119"/>
      <c r="O331" s="119"/>
      <c r="P331" s="119"/>
      <c r="Q331" s="119"/>
      <c r="R331" s="60"/>
      <c r="S331" s="60"/>
      <c r="T331" s="4"/>
      <c r="U331" s="4"/>
      <c r="V331" s="4"/>
    </row>
    <row r="332" spans="1:22" x14ac:dyDescent="0.3">
      <c r="A332" s="133"/>
      <c r="B332" s="60"/>
      <c r="C332" s="60"/>
      <c r="D332" s="60"/>
      <c r="E332" s="60"/>
      <c r="F332" s="60"/>
      <c r="G332" s="60"/>
      <c r="H332" s="60"/>
      <c r="I332" s="60"/>
      <c r="J332" s="119"/>
      <c r="K332" s="119"/>
      <c r="L332" s="119"/>
      <c r="M332" s="119"/>
      <c r="N332" s="119"/>
      <c r="O332" s="119"/>
      <c r="P332" s="119"/>
      <c r="Q332" s="119"/>
      <c r="R332" s="60"/>
      <c r="S332" s="60"/>
      <c r="T332" s="4"/>
      <c r="U332" s="4"/>
      <c r="V332" s="4"/>
    </row>
    <row r="333" spans="1:22" x14ac:dyDescent="0.3">
      <c r="A333" s="133"/>
      <c r="B333" s="60"/>
      <c r="C333" s="60"/>
      <c r="D333" s="60"/>
      <c r="E333" s="60"/>
      <c r="F333" s="60"/>
      <c r="G333" s="60"/>
      <c r="H333" s="60"/>
      <c r="I333" s="60"/>
      <c r="J333" s="119"/>
      <c r="K333" s="119"/>
      <c r="L333" s="119"/>
      <c r="M333" s="119"/>
      <c r="N333" s="119"/>
      <c r="O333" s="119"/>
      <c r="P333" s="119"/>
      <c r="Q333" s="119"/>
      <c r="R333" s="60"/>
      <c r="S333" s="60"/>
      <c r="T333" s="4"/>
      <c r="U333" s="4"/>
      <c r="V333" s="4"/>
    </row>
    <row r="334" spans="1:22" x14ac:dyDescent="0.3">
      <c r="A334" s="133"/>
      <c r="B334" s="60"/>
      <c r="C334" s="60"/>
      <c r="D334" s="60"/>
      <c r="E334" s="60"/>
      <c r="F334" s="60"/>
      <c r="G334" s="60"/>
      <c r="H334" s="60"/>
      <c r="I334" s="60"/>
      <c r="J334" s="119"/>
      <c r="K334" s="119"/>
      <c r="L334" s="119"/>
      <c r="M334" s="119"/>
      <c r="N334" s="119"/>
      <c r="O334" s="119"/>
      <c r="P334" s="119"/>
      <c r="Q334" s="119"/>
      <c r="R334" s="60"/>
      <c r="S334" s="60"/>
      <c r="T334" s="4"/>
      <c r="U334" s="4"/>
      <c r="V334" s="4"/>
    </row>
    <row r="335" spans="1:22" x14ac:dyDescent="0.3">
      <c r="A335" s="133"/>
      <c r="B335" s="60"/>
      <c r="C335" s="60"/>
      <c r="D335" s="60"/>
      <c r="E335" s="60"/>
      <c r="F335" s="60"/>
      <c r="G335" s="60"/>
      <c r="H335" s="60"/>
      <c r="I335" s="60"/>
      <c r="J335" s="119"/>
      <c r="K335" s="119"/>
      <c r="L335" s="119"/>
      <c r="M335" s="119"/>
      <c r="N335" s="119"/>
      <c r="O335" s="119"/>
      <c r="P335" s="119"/>
      <c r="Q335" s="119"/>
      <c r="R335" s="60"/>
      <c r="S335" s="60"/>
      <c r="T335" s="4"/>
      <c r="U335" s="4"/>
      <c r="V335" s="4"/>
    </row>
    <row r="336" spans="1:22" x14ac:dyDescent="0.3">
      <c r="A336" s="133"/>
      <c r="B336" s="60"/>
      <c r="C336" s="60"/>
      <c r="D336" s="60"/>
      <c r="E336" s="60"/>
      <c r="F336" s="60"/>
      <c r="G336" s="60"/>
      <c r="H336" s="60"/>
      <c r="I336" s="60"/>
      <c r="J336" s="119"/>
      <c r="K336" s="119"/>
      <c r="L336" s="119"/>
      <c r="M336" s="119"/>
      <c r="N336" s="119"/>
      <c r="O336" s="119"/>
      <c r="P336" s="119"/>
      <c r="Q336" s="119"/>
      <c r="R336" s="60"/>
      <c r="S336" s="60"/>
      <c r="T336" s="4"/>
      <c r="U336" s="4"/>
      <c r="V336" s="4"/>
    </row>
    <row r="337" spans="1:22" x14ac:dyDescent="0.3">
      <c r="A337" s="133"/>
      <c r="B337" s="60"/>
      <c r="C337" s="60"/>
      <c r="D337" s="60"/>
      <c r="E337" s="60"/>
      <c r="F337" s="60"/>
      <c r="G337" s="60"/>
      <c r="H337" s="60"/>
      <c r="I337" s="60"/>
      <c r="J337" s="119"/>
      <c r="K337" s="119"/>
      <c r="L337" s="119"/>
      <c r="M337" s="119"/>
      <c r="N337" s="119"/>
      <c r="O337" s="119"/>
      <c r="P337" s="119"/>
      <c r="Q337" s="119"/>
      <c r="R337" s="60"/>
      <c r="S337" s="60"/>
      <c r="T337" s="4"/>
      <c r="U337" s="4"/>
      <c r="V337" s="4"/>
    </row>
    <row r="338" spans="1:22" x14ac:dyDescent="0.3">
      <c r="A338" s="133"/>
      <c r="B338" s="60"/>
      <c r="C338" s="60"/>
      <c r="D338" s="60"/>
      <c r="E338" s="60"/>
      <c r="F338" s="60"/>
      <c r="G338" s="60"/>
      <c r="H338" s="60"/>
      <c r="I338" s="60"/>
      <c r="J338" s="119"/>
      <c r="K338" s="119"/>
      <c r="L338" s="119"/>
      <c r="M338" s="119"/>
      <c r="N338" s="119"/>
      <c r="O338" s="119"/>
      <c r="P338" s="119"/>
      <c r="Q338" s="119"/>
      <c r="R338" s="60"/>
      <c r="S338" s="60"/>
      <c r="T338" s="4"/>
      <c r="U338" s="4"/>
      <c r="V338" s="4"/>
    </row>
    <row r="339" spans="1:22" x14ac:dyDescent="0.3">
      <c r="A339" s="133"/>
      <c r="B339" s="60"/>
      <c r="C339" s="60"/>
      <c r="D339" s="60"/>
      <c r="E339" s="60"/>
      <c r="F339" s="60"/>
      <c r="G339" s="60"/>
      <c r="H339" s="60"/>
      <c r="I339" s="60"/>
      <c r="J339" s="119"/>
      <c r="K339" s="119"/>
      <c r="L339" s="119"/>
      <c r="M339" s="119"/>
      <c r="N339" s="119"/>
      <c r="O339" s="119"/>
      <c r="P339" s="119"/>
      <c r="Q339" s="119"/>
      <c r="R339" s="60"/>
      <c r="S339" s="60"/>
      <c r="T339" s="4"/>
      <c r="U339" s="4"/>
      <c r="V339" s="4"/>
    </row>
    <row r="340" spans="1:22" x14ac:dyDescent="0.3">
      <c r="A340" s="133"/>
      <c r="B340" s="60"/>
      <c r="C340" s="60"/>
      <c r="D340" s="60"/>
      <c r="E340" s="60"/>
      <c r="F340" s="60"/>
      <c r="G340" s="60"/>
      <c r="H340" s="60"/>
      <c r="I340" s="60"/>
      <c r="J340" s="119"/>
      <c r="K340" s="119"/>
      <c r="L340" s="119"/>
      <c r="M340" s="119"/>
      <c r="N340" s="119"/>
      <c r="O340" s="119"/>
      <c r="P340" s="119"/>
      <c r="Q340" s="119"/>
      <c r="R340" s="60"/>
      <c r="S340" s="60"/>
      <c r="T340" s="4"/>
      <c r="U340" s="4"/>
      <c r="V340" s="4"/>
    </row>
    <row r="341" spans="1:22" x14ac:dyDescent="0.3">
      <c r="A341" s="133"/>
      <c r="B341" s="60"/>
      <c r="C341" s="60"/>
      <c r="D341" s="60"/>
      <c r="E341" s="60"/>
      <c r="F341" s="60"/>
      <c r="G341" s="60"/>
      <c r="H341" s="60"/>
      <c r="I341" s="60"/>
      <c r="J341" s="119"/>
      <c r="K341" s="119"/>
      <c r="L341" s="119"/>
      <c r="M341" s="119"/>
      <c r="N341" s="119"/>
      <c r="O341" s="119"/>
      <c r="P341" s="119"/>
      <c r="Q341" s="119"/>
      <c r="R341" s="60"/>
      <c r="S341" s="60"/>
      <c r="T341" s="4"/>
      <c r="U341" s="4"/>
      <c r="V341" s="4"/>
    </row>
    <row r="342" spans="1:22" x14ac:dyDescent="0.3">
      <c r="A342" s="133"/>
      <c r="B342" s="60"/>
      <c r="C342" s="60"/>
      <c r="D342" s="60"/>
      <c r="E342" s="60"/>
      <c r="F342" s="60"/>
      <c r="G342" s="60"/>
      <c r="H342" s="60"/>
      <c r="I342" s="60"/>
      <c r="J342" s="119"/>
      <c r="K342" s="119"/>
      <c r="L342" s="119"/>
      <c r="M342" s="119"/>
      <c r="N342" s="119"/>
      <c r="O342" s="119"/>
      <c r="P342" s="119"/>
      <c r="Q342" s="119"/>
      <c r="R342" s="60"/>
      <c r="S342" s="60"/>
      <c r="T342" s="4"/>
      <c r="U342" s="4"/>
      <c r="V342" s="4"/>
    </row>
    <row r="343" spans="1:22" x14ac:dyDescent="0.3">
      <c r="A343" s="133"/>
      <c r="B343" s="60"/>
      <c r="C343" s="60"/>
      <c r="D343" s="60"/>
      <c r="E343" s="60"/>
      <c r="F343" s="60"/>
      <c r="G343" s="60"/>
      <c r="H343" s="60"/>
      <c r="I343" s="60"/>
      <c r="J343" s="119"/>
      <c r="K343" s="119"/>
      <c r="L343" s="119"/>
      <c r="M343" s="119"/>
      <c r="N343" s="119"/>
      <c r="O343" s="119"/>
      <c r="P343" s="119"/>
      <c r="Q343" s="119"/>
      <c r="R343" s="60"/>
      <c r="S343" s="60"/>
      <c r="T343" s="4"/>
      <c r="U343" s="4"/>
      <c r="V343" s="4"/>
    </row>
    <row r="344" spans="1:22" x14ac:dyDescent="0.3">
      <c r="A344" s="133"/>
      <c r="B344" s="60"/>
      <c r="C344" s="60"/>
      <c r="D344" s="60"/>
      <c r="E344" s="60"/>
      <c r="F344" s="60"/>
      <c r="G344" s="60"/>
      <c r="H344" s="60"/>
      <c r="I344" s="60"/>
      <c r="J344" s="119"/>
      <c r="K344" s="119"/>
      <c r="L344" s="119"/>
      <c r="M344" s="119"/>
      <c r="N344" s="119"/>
      <c r="O344" s="119"/>
      <c r="P344" s="119"/>
      <c r="Q344" s="119"/>
      <c r="R344" s="60"/>
      <c r="S344" s="60"/>
      <c r="T344" s="4"/>
      <c r="U344" s="4"/>
      <c r="V344" s="4"/>
    </row>
    <row r="345" spans="1:22" x14ac:dyDescent="0.3">
      <c r="A345" s="133"/>
      <c r="B345" s="60"/>
      <c r="C345" s="60"/>
      <c r="D345" s="60"/>
      <c r="E345" s="60"/>
      <c r="F345" s="60"/>
      <c r="G345" s="60"/>
      <c r="H345" s="60"/>
      <c r="I345" s="60"/>
      <c r="J345" s="119"/>
      <c r="K345" s="119"/>
      <c r="L345" s="119"/>
      <c r="M345" s="119"/>
      <c r="N345" s="119"/>
      <c r="O345" s="119"/>
      <c r="P345" s="119"/>
      <c r="Q345" s="119"/>
      <c r="R345" s="60"/>
      <c r="S345" s="60"/>
      <c r="T345" s="4"/>
      <c r="U345" s="4"/>
      <c r="V345" s="4"/>
    </row>
    <row r="346" spans="1:22" x14ac:dyDescent="0.3">
      <c r="A346" s="133"/>
      <c r="B346" s="60"/>
      <c r="C346" s="60"/>
      <c r="D346" s="60"/>
      <c r="E346" s="60"/>
      <c r="F346" s="60"/>
      <c r="G346" s="60"/>
      <c r="H346" s="60"/>
      <c r="I346" s="60"/>
      <c r="J346" s="119"/>
      <c r="K346" s="119"/>
      <c r="L346" s="119"/>
      <c r="M346" s="119"/>
      <c r="N346" s="119"/>
      <c r="O346" s="119"/>
      <c r="P346" s="119"/>
      <c r="Q346" s="119"/>
      <c r="R346" s="60"/>
      <c r="S346" s="60"/>
      <c r="T346" s="4"/>
      <c r="U346" s="4"/>
      <c r="V346" s="4"/>
    </row>
    <row r="347" spans="1:22" x14ac:dyDescent="0.3">
      <c r="A347" s="133"/>
      <c r="B347" s="60"/>
      <c r="C347" s="60"/>
      <c r="D347" s="60"/>
      <c r="E347" s="60"/>
      <c r="F347" s="60"/>
      <c r="G347" s="60"/>
      <c r="H347" s="60"/>
      <c r="I347" s="60"/>
      <c r="J347" s="119"/>
      <c r="K347" s="119"/>
      <c r="L347" s="119"/>
      <c r="M347" s="119"/>
      <c r="N347" s="119"/>
      <c r="O347" s="119"/>
      <c r="P347" s="119"/>
      <c r="Q347" s="119"/>
      <c r="R347" s="60"/>
      <c r="S347" s="60"/>
      <c r="T347" s="4"/>
      <c r="U347" s="4"/>
      <c r="V347" s="4"/>
    </row>
    <row r="348" spans="1:22" x14ac:dyDescent="0.3">
      <c r="A348" s="133"/>
      <c r="B348" s="60"/>
      <c r="C348" s="60"/>
      <c r="D348" s="60"/>
      <c r="E348" s="60"/>
      <c r="F348" s="60"/>
      <c r="G348" s="60"/>
      <c r="H348" s="60"/>
      <c r="I348" s="60"/>
      <c r="J348" s="119"/>
      <c r="K348" s="119"/>
      <c r="L348" s="119"/>
      <c r="M348" s="119"/>
      <c r="N348" s="119"/>
      <c r="O348" s="119"/>
      <c r="P348" s="119"/>
      <c r="Q348" s="119"/>
      <c r="R348" s="60"/>
      <c r="S348" s="60"/>
      <c r="T348" s="4"/>
      <c r="U348" s="4"/>
      <c r="V348" s="4"/>
    </row>
    <row r="349" spans="1:22" x14ac:dyDescent="0.3">
      <c r="A349" s="133"/>
      <c r="B349" s="60"/>
      <c r="C349" s="60"/>
      <c r="D349" s="60"/>
      <c r="E349" s="60"/>
      <c r="F349" s="60"/>
      <c r="G349" s="60"/>
      <c r="H349" s="60"/>
      <c r="I349" s="60"/>
      <c r="J349" s="119"/>
      <c r="K349" s="119"/>
      <c r="L349" s="119"/>
      <c r="M349" s="119"/>
      <c r="N349" s="119"/>
      <c r="O349" s="119"/>
      <c r="P349" s="119"/>
      <c r="Q349" s="119"/>
      <c r="R349" s="60"/>
      <c r="S349" s="60"/>
      <c r="T349" s="4"/>
      <c r="U349" s="4"/>
      <c r="V349" s="4"/>
    </row>
    <row r="350" spans="1:22" x14ac:dyDescent="0.3">
      <c r="A350" s="133"/>
      <c r="B350" s="60"/>
      <c r="C350" s="60"/>
      <c r="D350" s="60"/>
      <c r="E350" s="60"/>
      <c r="F350" s="60"/>
      <c r="G350" s="60"/>
      <c r="H350" s="60"/>
      <c r="I350" s="60"/>
      <c r="J350" s="119"/>
      <c r="K350" s="119"/>
      <c r="L350" s="119"/>
      <c r="M350" s="119"/>
      <c r="N350" s="119"/>
      <c r="O350" s="119"/>
      <c r="P350" s="119"/>
      <c r="Q350" s="119"/>
      <c r="R350" s="60"/>
      <c r="S350" s="60"/>
      <c r="T350" s="4"/>
      <c r="U350" s="4"/>
      <c r="V350" s="4"/>
    </row>
    <row r="351" spans="1:22" x14ac:dyDescent="0.3">
      <c r="A351" s="133"/>
      <c r="B351" s="60"/>
      <c r="C351" s="60"/>
      <c r="D351" s="60"/>
      <c r="E351" s="60"/>
      <c r="F351" s="60"/>
      <c r="G351" s="60"/>
      <c r="H351" s="60"/>
      <c r="I351" s="60"/>
      <c r="J351" s="119"/>
      <c r="K351" s="119"/>
      <c r="L351" s="119"/>
      <c r="M351" s="119"/>
      <c r="N351" s="119"/>
      <c r="O351" s="119"/>
      <c r="P351" s="119"/>
      <c r="Q351" s="119"/>
      <c r="R351" s="60"/>
      <c r="S351" s="60"/>
      <c r="T351" s="4"/>
      <c r="U351" s="4"/>
      <c r="V351" s="4"/>
    </row>
    <row r="352" spans="1:22" x14ac:dyDescent="0.3">
      <c r="A352" s="133"/>
      <c r="B352" s="60"/>
      <c r="C352" s="60"/>
      <c r="D352" s="60"/>
      <c r="E352" s="60"/>
      <c r="F352" s="60"/>
      <c r="G352" s="60"/>
      <c r="H352" s="60"/>
      <c r="I352" s="60"/>
      <c r="J352" s="119"/>
      <c r="K352" s="119"/>
      <c r="L352" s="119"/>
      <c r="M352" s="119"/>
      <c r="N352" s="119"/>
      <c r="O352" s="119"/>
      <c r="P352" s="119"/>
      <c r="Q352" s="119"/>
      <c r="R352" s="60"/>
      <c r="S352" s="60"/>
      <c r="T352" s="4"/>
      <c r="U352" s="4"/>
      <c r="V352" s="4"/>
    </row>
    <row r="353" spans="1:22" x14ac:dyDescent="0.3">
      <c r="A353" s="133"/>
      <c r="B353" s="60"/>
      <c r="C353" s="60"/>
      <c r="D353" s="60"/>
      <c r="E353" s="60"/>
      <c r="F353" s="60"/>
      <c r="G353" s="60"/>
      <c r="H353" s="60"/>
      <c r="I353" s="60"/>
      <c r="J353" s="119"/>
      <c r="K353" s="119"/>
      <c r="L353" s="119"/>
      <c r="M353" s="119"/>
      <c r="N353" s="119"/>
      <c r="O353" s="119"/>
      <c r="P353" s="119"/>
      <c r="Q353" s="119"/>
      <c r="R353" s="60"/>
      <c r="S353" s="60"/>
      <c r="T353" s="4"/>
      <c r="U353" s="4"/>
      <c r="V353" s="4"/>
    </row>
    <row r="354" spans="1:22" x14ac:dyDescent="0.3">
      <c r="A354" s="133"/>
      <c r="B354" s="60"/>
      <c r="C354" s="60"/>
      <c r="D354" s="60"/>
      <c r="E354" s="60"/>
      <c r="F354" s="60"/>
      <c r="G354" s="60"/>
      <c r="H354" s="60"/>
      <c r="I354" s="60"/>
      <c r="J354" s="119"/>
      <c r="K354" s="119"/>
      <c r="L354" s="119"/>
      <c r="M354" s="119"/>
      <c r="N354" s="119"/>
      <c r="O354" s="119"/>
      <c r="P354" s="119"/>
      <c r="Q354" s="119"/>
      <c r="R354" s="60"/>
      <c r="S354" s="60"/>
      <c r="T354" s="4"/>
      <c r="U354" s="4"/>
      <c r="V354" s="4"/>
    </row>
    <row r="355" spans="1:22" x14ac:dyDescent="0.3">
      <c r="A355" s="133"/>
      <c r="B355" s="60"/>
      <c r="C355" s="60"/>
      <c r="D355" s="60"/>
      <c r="E355" s="60"/>
      <c r="F355" s="60"/>
      <c r="G355" s="60"/>
      <c r="H355" s="60"/>
      <c r="I355" s="60"/>
      <c r="J355" s="119"/>
      <c r="K355" s="119"/>
      <c r="L355" s="119"/>
      <c r="M355" s="119"/>
      <c r="N355" s="119"/>
      <c r="O355" s="119"/>
      <c r="P355" s="119"/>
      <c r="Q355" s="119"/>
      <c r="R355" s="60"/>
      <c r="S355" s="60"/>
      <c r="T355" s="4"/>
      <c r="U355" s="4"/>
      <c r="V355" s="4"/>
    </row>
    <row r="356" spans="1:22" x14ac:dyDescent="0.3">
      <c r="A356" s="133"/>
      <c r="B356" s="60"/>
      <c r="C356" s="60"/>
      <c r="D356" s="60"/>
      <c r="E356" s="60"/>
      <c r="F356" s="60"/>
      <c r="G356" s="60"/>
      <c r="H356" s="60"/>
      <c r="I356" s="60"/>
      <c r="J356" s="119"/>
      <c r="K356" s="119"/>
      <c r="L356" s="119"/>
      <c r="M356" s="119"/>
      <c r="N356" s="119"/>
      <c r="O356" s="119"/>
      <c r="P356" s="119"/>
      <c r="Q356" s="119"/>
      <c r="R356" s="60"/>
      <c r="S356" s="60"/>
      <c r="T356" s="4"/>
      <c r="U356" s="4"/>
      <c r="V356" s="4"/>
    </row>
    <row r="357" spans="1:22" x14ac:dyDescent="0.3">
      <c r="A357" s="133"/>
      <c r="B357" s="60"/>
      <c r="C357" s="60"/>
      <c r="D357" s="60"/>
      <c r="E357" s="60"/>
      <c r="F357" s="60"/>
      <c r="G357" s="60"/>
      <c r="H357" s="60"/>
      <c r="I357" s="60"/>
      <c r="J357" s="119"/>
      <c r="K357" s="119"/>
      <c r="L357" s="119"/>
      <c r="M357" s="119"/>
      <c r="N357" s="119"/>
      <c r="O357" s="119"/>
      <c r="P357" s="119"/>
      <c r="Q357" s="119"/>
      <c r="R357" s="60"/>
      <c r="S357" s="60"/>
      <c r="T357" s="4"/>
      <c r="U357" s="4"/>
      <c r="V357" s="4"/>
    </row>
    <row r="358" spans="1:22" x14ac:dyDescent="0.3">
      <c r="A358" s="133"/>
      <c r="B358" s="60"/>
      <c r="C358" s="60"/>
      <c r="D358" s="60"/>
      <c r="E358" s="60"/>
      <c r="F358" s="60"/>
      <c r="G358" s="60"/>
      <c r="H358" s="60"/>
      <c r="I358" s="60"/>
      <c r="J358" s="119"/>
      <c r="K358" s="119"/>
      <c r="L358" s="119"/>
      <c r="M358" s="119"/>
      <c r="N358" s="119"/>
      <c r="O358" s="119"/>
      <c r="P358" s="119"/>
      <c r="Q358" s="119"/>
      <c r="R358" s="60"/>
      <c r="S358" s="60"/>
      <c r="T358" s="4"/>
      <c r="U358" s="4"/>
      <c r="V358" s="4"/>
    </row>
  </sheetData>
  <mergeCells count="20">
    <mergeCell ref="I5:I6"/>
    <mergeCell ref="J5:J6"/>
    <mergeCell ref="K5:K6"/>
    <mergeCell ref="L5:L6"/>
    <mergeCell ref="M5:M6"/>
    <mergeCell ref="A1:V1"/>
    <mergeCell ref="O5:O6"/>
    <mergeCell ref="P5:P6"/>
    <mergeCell ref="Q5:Q6"/>
    <mergeCell ref="R5:S5"/>
    <mergeCell ref="T5:V5"/>
    <mergeCell ref="N5:N6"/>
    <mergeCell ref="A5:A6"/>
    <mergeCell ref="B5:B6"/>
    <mergeCell ref="C5:C6"/>
    <mergeCell ref="D5:D6"/>
    <mergeCell ref="E5:E6"/>
    <mergeCell ref="F5:F6"/>
    <mergeCell ref="G5:G6"/>
    <mergeCell ref="H5:H6"/>
  </mergeCells>
  <phoneticPr fontId="1" type="noConversion"/>
  <pageMargins left="0.25" right="0.25" top="0.75" bottom="0.75" header="0.3" footer="0.3"/>
  <pageSetup paperSize="9" scale="9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7" tint="-0.249977111117893"/>
    <pageSetUpPr fitToPage="1"/>
  </sheetPr>
  <dimension ref="A1:AH34"/>
  <sheetViews>
    <sheetView zoomScale="85" zoomScaleNormal="85" workbookViewId="0">
      <selection activeCell="S9" sqref="S9"/>
    </sheetView>
  </sheetViews>
  <sheetFormatPr defaultRowHeight="16.5" x14ac:dyDescent="0.3"/>
  <cols>
    <col min="1" max="1" width="6.875" customWidth="1"/>
    <col min="2" max="2" width="5.875" customWidth="1"/>
    <col min="3" max="3" width="12.75" customWidth="1"/>
    <col min="4" max="4" width="7.25" customWidth="1"/>
    <col min="5" max="6" width="6.875" customWidth="1"/>
    <col min="7" max="8" width="12.125" customWidth="1"/>
    <col min="9" max="14" width="5.75" customWidth="1"/>
    <col min="15" max="27" width="6.875" customWidth="1"/>
    <col min="28" max="28" width="7.625" customWidth="1"/>
    <col min="30" max="30" width="7.25" customWidth="1"/>
  </cols>
  <sheetData>
    <row r="1" spans="1:34" ht="75.75" customHeight="1" x14ac:dyDescent="0.3">
      <c r="A1" s="165" t="str">
        <f>정보!B1 &amp; " (쪽쟘제작치수)  " &amp; 정보!B6 &amp;" 소장"</f>
        <v>전남 목포 알파타워 (쪽쟘제작치수)  이만희 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</row>
    <row r="2" spans="1:34" ht="30.75" customHeight="1" x14ac:dyDescent="0.3">
      <c r="A2" s="1"/>
      <c r="B2" s="1"/>
      <c r="C2" s="288" t="str">
        <f>"총 : " &amp; COUNTA(A7:A160) &amp;" (SET)"</f>
        <v>총 : 28 (SET)</v>
      </c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8"/>
      <c r="P2" s="289" t="s">
        <v>139</v>
      </c>
      <c r="Q2" s="290"/>
      <c r="R2" s="290"/>
      <c r="S2" s="290"/>
      <c r="T2" s="61"/>
      <c r="U2" s="291">
        <v>1.2</v>
      </c>
      <c r="V2" s="291"/>
      <c r="W2" s="1"/>
      <c r="X2" s="1"/>
      <c r="Y2" s="1"/>
      <c r="Z2" s="1"/>
      <c r="AA2" s="1"/>
    </row>
    <row r="3" spans="1:34" ht="33" customHeight="1" x14ac:dyDescent="0.3">
      <c r="A3" s="33" t="str">
        <f>정보!B9</f>
        <v>HL 1.2T</v>
      </c>
      <c r="B3" s="2"/>
      <c r="C3" s="2"/>
      <c r="D3" s="2"/>
      <c r="E3" s="248" t="s">
        <v>140</v>
      </c>
      <c r="F3" s="248"/>
      <c r="G3" s="62">
        <v>0</v>
      </c>
      <c r="H3" s="23" t="s">
        <v>141</v>
      </c>
      <c r="I3" s="292">
        <v>3</v>
      </c>
      <c r="J3" s="292"/>
      <c r="K3" s="63"/>
      <c r="L3" s="63"/>
      <c r="M3" s="246" t="s">
        <v>82</v>
      </c>
      <c r="N3" s="246"/>
      <c r="O3" s="246"/>
      <c r="P3" s="293">
        <v>0</v>
      </c>
      <c r="Q3" s="293"/>
      <c r="R3" s="243" t="s">
        <v>90</v>
      </c>
      <c r="S3" s="243"/>
      <c r="T3" s="64"/>
      <c r="U3" s="294">
        <v>0</v>
      </c>
      <c r="V3" s="294"/>
      <c r="W3" s="65"/>
      <c r="X3" s="65"/>
      <c r="Y3" s="65"/>
      <c r="Z3" s="65"/>
      <c r="AA3" s="65"/>
    </row>
    <row r="4" spans="1:34" ht="33" customHeight="1" x14ac:dyDescent="0.3">
      <c r="A4" s="163" t="str">
        <f>정보!B12</f>
        <v>제작치수 반영 : JB/JD +(0 ),  늘어난치수K -(0), OP - (3),  기둥차감 - (0)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229" t="s">
        <v>235</v>
      </c>
      <c r="Z4" s="229"/>
      <c r="AA4" s="230"/>
    </row>
    <row r="5" spans="1:34" ht="25.9" customHeight="1" x14ac:dyDescent="0.3">
      <c r="A5" s="167" t="s">
        <v>0</v>
      </c>
      <c r="B5" s="167" t="s">
        <v>119</v>
      </c>
      <c r="C5" s="168" t="s">
        <v>142</v>
      </c>
      <c r="D5" s="167" t="s">
        <v>120</v>
      </c>
      <c r="E5" s="168" t="s">
        <v>143</v>
      </c>
      <c r="F5" s="168" t="s">
        <v>144</v>
      </c>
      <c r="G5" s="168" t="s">
        <v>34</v>
      </c>
      <c r="H5" s="168" t="s">
        <v>145</v>
      </c>
      <c r="I5" s="168" t="s">
        <v>207</v>
      </c>
      <c r="J5" s="168" t="s">
        <v>208</v>
      </c>
      <c r="K5" s="168" t="s">
        <v>146</v>
      </c>
      <c r="L5" s="168" t="s">
        <v>147</v>
      </c>
      <c r="M5" s="295" t="s">
        <v>148</v>
      </c>
      <c r="N5" s="295" t="s">
        <v>149</v>
      </c>
      <c r="O5" s="167" t="s">
        <v>127</v>
      </c>
      <c r="P5" s="167" t="s">
        <v>15</v>
      </c>
      <c r="Q5" s="167" t="s">
        <v>129</v>
      </c>
      <c r="R5" s="167" t="s">
        <v>130</v>
      </c>
      <c r="S5" s="168" t="s">
        <v>150</v>
      </c>
      <c r="T5" s="295" t="s">
        <v>151</v>
      </c>
      <c r="U5" s="168" t="s">
        <v>133</v>
      </c>
      <c r="V5" s="168" t="s">
        <v>152</v>
      </c>
      <c r="W5" s="167" t="s">
        <v>135</v>
      </c>
      <c r="X5" s="167"/>
      <c r="Y5" s="298" t="s">
        <v>203</v>
      </c>
      <c r="Z5" s="298"/>
      <c r="AA5" s="298"/>
      <c r="AE5" s="178" t="s">
        <v>153</v>
      </c>
      <c r="AF5" s="178"/>
      <c r="AG5" s="178" t="s">
        <v>154</v>
      </c>
      <c r="AH5" s="178"/>
    </row>
    <row r="6" spans="1:34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209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136</v>
      </c>
      <c r="X6" s="66" t="s">
        <v>155</v>
      </c>
      <c r="Y6" s="73" t="s">
        <v>200</v>
      </c>
      <c r="Z6" s="73" t="s">
        <v>201</v>
      </c>
      <c r="AA6" s="73" t="s">
        <v>202</v>
      </c>
      <c r="AB6" t="s">
        <v>156</v>
      </c>
      <c r="AC6" s="3" t="s">
        <v>27</v>
      </c>
      <c r="AD6" s="3" t="s">
        <v>157</v>
      </c>
      <c r="AE6" s="3" t="s">
        <v>32</v>
      </c>
      <c r="AF6" s="3" t="s">
        <v>33</v>
      </c>
      <c r="AG6" s="3" t="s">
        <v>158</v>
      </c>
      <c r="AH6" s="3" t="s">
        <v>159</v>
      </c>
    </row>
    <row r="7" spans="1:34" ht="19.5" customHeight="1" x14ac:dyDescent="0.3">
      <c r="A7" s="50">
        <f>'쪽쟘(실측)'!A7</f>
        <v>0</v>
      </c>
      <c r="B7" s="50" t="str">
        <f>'쪽쟘(실측)'!B7&amp;"F"</f>
        <v>F</v>
      </c>
      <c r="C7" s="50" t="str">
        <f>AC7&amp;"*"&amp;AD7</f>
        <v>-3*-3.6</v>
      </c>
      <c r="D7" s="50">
        <f>'쪽쟘(실측)'!C7-쪽쟘OP차감</f>
        <v>-3</v>
      </c>
      <c r="E7" s="50">
        <f>'쪽쟘(실측)'!D7+쪽쟘J늘림+MAX(W7:X7)</f>
        <v>0</v>
      </c>
      <c r="F7" s="50">
        <f>'쪽쟘(실측)'!E7+쪽쟘J늘림+MAX(W7:X7)</f>
        <v>0</v>
      </c>
      <c r="G7" s="67" t="str">
        <f>AF7&amp;"*"&amp;AE7</f>
        <v>0*-2.4</v>
      </c>
      <c r="H7" s="68" t="str">
        <f>AH7&amp;"*"&amp;AG7</f>
        <v>0*-2.4</v>
      </c>
      <c r="I7" s="50">
        <f>IF('쪽쟘(실측)'!F7&gt;0,'쪽쟘(실측)'!F7-1.5,0)+뒷날개치수더함</f>
        <v>0</v>
      </c>
      <c r="J7" s="50">
        <f>IF('쪽쟘(실측)'!H7&gt;0,'쪽쟘(실측)'!H7-1.5,0)+뒷날개치수더함</f>
        <v>0</v>
      </c>
      <c r="K7" s="50">
        <f>IF('쪽쟘(실측)'!F7&gt;0,'쪽쟘(실측)'!F7+0,0)+뒷날개치수더함</f>
        <v>0</v>
      </c>
      <c r="L7" s="50">
        <f>IF('쪽쟘(실측)'!G7&gt;0,'쪽쟘(실측)'!G7+0,0)+뒷날개치수더함</f>
        <v>0</v>
      </c>
      <c r="M7" s="50">
        <f>IF('쪽쟘(실측)'!H7&gt;0,'쪽쟘(실측)'!H7+0,0)+뒷날개치수더함</f>
        <v>0</v>
      </c>
      <c r="N7" s="50">
        <f>IF('쪽쟘(실측)'!I7&gt;0,'쪽쟘(실측)'!I7+0,0)+뒷날개치수더함</f>
        <v>0</v>
      </c>
      <c r="O7" s="50">
        <f>'쪽쟘(실측)'!J7-쪽쟘기둥차감</f>
        <v>0</v>
      </c>
      <c r="P7" s="50">
        <f>'쪽쟘(실측)'!K7-쪽쟘기둥차감</f>
        <v>0</v>
      </c>
      <c r="Q7" s="50">
        <f>'쪽쟘(실측)'!L7-쪽쟘기둥차감</f>
        <v>0</v>
      </c>
      <c r="R7" s="50">
        <f>'쪽쟘(실측)'!M7-쪽쟘기둥차감</f>
        <v>0</v>
      </c>
      <c r="S7" s="50">
        <f>'쪽쟘(실측)'!N7+뒷날개치수더함</f>
        <v>0</v>
      </c>
      <c r="T7" s="50">
        <f>'쪽쟘(실측)'!O7+뒷날개치수더함</f>
        <v>0</v>
      </c>
      <c r="U7" s="50">
        <f>'쪽쟘(실측)'!P7+뒷날개치수더함</f>
        <v>0</v>
      </c>
      <c r="V7" s="50">
        <f>'쪽쟘(실측)'!Q7+뒷날개치수더함</f>
        <v>0</v>
      </c>
      <c r="W7" s="50">
        <f>'쪽쟘(실측)'!R7-쪽쟘늘치차감</f>
        <v>0</v>
      </c>
      <c r="X7" s="50">
        <f>'쪽쟘(실측)'!S7-쪽쟘늘치차감</f>
        <v>0</v>
      </c>
      <c r="Y7" s="4">
        <f>IF('쪽쟘(실측)'!T7&gt;5,'쪽쟘(실측)'!T7+뒷날개치수더함,0)</f>
        <v>0</v>
      </c>
      <c r="Z7" s="4">
        <f>'쪽쟘(실측)'!U7</f>
        <v>0</v>
      </c>
      <c r="AA7" s="4">
        <f>'쪽쟘(실측)'!V7</f>
        <v>0</v>
      </c>
      <c r="AC7">
        <f t="shared" ref="AC7" si="0">D7+I7+J7</f>
        <v>-3</v>
      </c>
      <c r="AD7">
        <f t="shared" ref="AD7" si="1">U7+E7+MAX(S7,T7)-쪽쟘소재t*3+IF(S7=0,S7*쪽쟘소재t,0)</f>
        <v>-3.5999999999999996</v>
      </c>
      <c r="AE7">
        <f t="shared" ref="AE7:AE25" si="2">MAX(K7,L7)+F7+V7-쪽쟘소재t*3+IF(K7=0,쪽쟘소재t)-IF(AA7=90,2.4,0)</f>
        <v>-2.3999999999999995</v>
      </c>
      <c r="AF7">
        <f t="shared" ref="AF7" si="3">MAX(O7,P7)</f>
        <v>0</v>
      </c>
      <c r="AG7">
        <f t="shared" ref="AG7:AG25" si="4">MAX(M7,N7)+F7+V7-쪽쟘소재t*3+IF(M7=0,쪽쟘소재t)-IF(AA7=90,2.4,0)</f>
        <v>-2.3999999999999995</v>
      </c>
      <c r="AH7">
        <f>MAX(Q7,R7)</f>
        <v>0</v>
      </c>
    </row>
    <row r="8" spans="1:34" ht="19.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:C25" si="5">AC8&amp;"*"&amp;AD8</f>
        <v>-3*-3.6</v>
      </c>
      <c r="D8" s="50">
        <f>'쪽쟘(실측)'!C8-쪽쟘OP차감</f>
        <v>-3</v>
      </c>
      <c r="E8" s="50">
        <f>'쪽쟘(실측)'!D8+쪽쟘J늘림+MAX(W8:X8)</f>
        <v>0</v>
      </c>
      <c r="F8" s="50">
        <f>'쪽쟘(실측)'!E8+쪽쟘J늘림+MAX(W8:X8)</f>
        <v>0</v>
      </c>
      <c r="G8" s="67" t="str">
        <f t="shared" ref="G8:G25" si="6">AF8&amp;"*"&amp;AE8</f>
        <v>0*-2.4</v>
      </c>
      <c r="H8" s="68" t="str">
        <f t="shared" ref="H8:H25" si="7">AH8&amp;"*"&amp;AG8</f>
        <v>0*-2.4</v>
      </c>
      <c r="I8" s="50">
        <f>IF('쪽쟘(실측)'!F8&gt;0,'쪽쟘(실측)'!F8-1.5,0)+뒷날개치수더함</f>
        <v>0</v>
      </c>
      <c r="J8" s="50">
        <f>IF('쪽쟘(실측)'!H8&gt;0,'쪽쟘(실측)'!H8-1.5,0)+뒷날개치수더함</f>
        <v>0</v>
      </c>
      <c r="K8" s="50">
        <f>IF('쪽쟘(실측)'!F8&gt;0,'쪽쟘(실측)'!F8+0,0)+뒷날개치수더함</f>
        <v>0</v>
      </c>
      <c r="L8" s="50">
        <f>IF('쪽쟘(실측)'!G8&gt;0,'쪽쟘(실측)'!G8+0,0)+뒷날개치수더함</f>
        <v>0</v>
      </c>
      <c r="M8" s="50">
        <f>IF('쪽쟘(실측)'!H8&gt;0,'쪽쟘(실측)'!H8+0,0)+뒷날개치수더함</f>
        <v>0</v>
      </c>
      <c r="N8" s="50">
        <f>IF('쪽쟘(실측)'!I8&gt;0,'쪽쟘(실측)'!I8+0,0)+뒷날개치수더함</f>
        <v>0</v>
      </c>
      <c r="O8" s="50">
        <f>'쪽쟘(실측)'!J8-쪽쟘기둥차감</f>
        <v>0</v>
      </c>
      <c r="P8" s="50">
        <f>'쪽쟘(실측)'!K8-쪽쟘기둥차감</f>
        <v>0</v>
      </c>
      <c r="Q8" s="50">
        <f>'쪽쟘(실측)'!L8-쪽쟘기둥차감</f>
        <v>0</v>
      </c>
      <c r="R8" s="50">
        <f>'쪽쟘(실측)'!M8-쪽쟘기둥차감</f>
        <v>0</v>
      </c>
      <c r="S8" s="50">
        <f>'쪽쟘(실측)'!N8+뒷날개치수더함</f>
        <v>0</v>
      </c>
      <c r="T8" s="50">
        <f>'쪽쟘(실측)'!O8+뒷날개치수더함</f>
        <v>0</v>
      </c>
      <c r="U8" s="50">
        <f>'쪽쟘(실측)'!P8+뒷날개치수더함</f>
        <v>0</v>
      </c>
      <c r="V8" s="50">
        <f>'쪽쟘(실측)'!Q8+뒷날개치수더함</f>
        <v>0</v>
      </c>
      <c r="W8" s="50">
        <f>'쪽쟘(실측)'!R8-쪽쟘늘치차감</f>
        <v>0</v>
      </c>
      <c r="X8" s="50">
        <f>'쪽쟘(실측)'!S8-쪽쟘늘치차감</f>
        <v>0</v>
      </c>
      <c r="Y8" s="4">
        <f>IF('쪽쟘(실측)'!T8&gt;5,'쪽쟘(실측)'!T8+뒷날개치수더함,0)</f>
        <v>0</v>
      </c>
      <c r="Z8" s="4">
        <f>'쪽쟘(실측)'!U8</f>
        <v>0</v>
      </c>
      <c r="AA8" s="4">
        <f>'쪽쟘(실측)'!V8</f>
        <v>0</v>
      </c>
      <c r="AC8">
        <f t="shared" ref="AC8:AC25" si="8">D8+I8+J8</f>
        <v>-3</v>
      </c>
      <c r="AD8">
        <f t="shared" ref="AD8:AD25" si="9">U8+E8+MAX(S8,T8)-쪽쟘소재t*3+IF(S8=0,S8*쪽쟘소재t,0)</f>
        <v>-3.5999999999999996</v>
      </c>
      <c r="AE8">
        <f t="shared" si="2"/>
        <v>-2.3999999999999995</v>
      </c>
      <c r="AF8">
        <f t="shared" ref="AF8:AF25" si="10">MAX(O8,P8)</f>
        <v>0</v>
      </c>
      <c r="AG8">
        <f t="shared" si="4"/>
        <v>-2.3999999999999995</v>
      </c>
      <c r="AH8">
        <f t="shared" ref="AH8:AH25" si="11">MAX(Q8,R8)</f>
        <v>0</v>
      </c>
    </row>
    <row r="9" spans="1:34" ht="19.5" customHeight="1" x14ac:dyDescent="0.3">
      <c r="A9" s="50">
        <f>'쪽쟘(실측)'!A9</f>
        <v>0</v>
      </c>
      <c r="B9" s="50" t="str">
        <f>'쪽쟘(실측)'!B9&amp;"F"</f>
        <v>F</v>
      </c>
      <c r="C9" s="50" t="str">
        <f t="shared" si="5"/>
        <v>-3*-3.6</v>
      </c>
      <c r="D9" s="50">
        <f>'쪽쟘(실측)'!C9-쪽쟘OP차감</f>
        <v>-3</v>
      </c>
      <c r="E9" s="50">
        <f>'쪽쟘(실측)'!D9+쪽쟘J늘림+MAX(W9:X9)</f>
        <v>0</v>
      </c>
      <c r="F9" s="50">
        <f>'쪽쟘(실측)'!E9+쪽쟘J늘림+MAX(W9:X9)</f>
        <v>0</v>
      </c>
      <c r="G9" s="67" t="str">
        <f t="shared" si="6"/>
        <v>0*-2.4</v>
      </c>
      <c r="H9" s="68" t="str">
        <f t="shared" si="7"/>
        <v>0*-2.4</v>
      </c>
      <c r="I9" s="50">
        <f>IF('쪽쟘(실측)'!F9&gt;0,'쪽쟘(실측)'!F9-1.5,0)+뒷날개치수더함</f>
        <v>0</v>
      </c>
      <c r="J9" s="50">
        <f>IF('쪽쟘(실측)'!H9&gt;0,'쪽쟘(실측)'!H9-1.5,0)+뒷날개치수더함</f>
        <v>0</v>
      </c>
      <c r="K9" s="50">
        <f>IF('쪽쟘(실측)'!F9&gt;0,'쪽쟘(실측)'!F9+0,0)+뒷날개치수더함</f>
        <v>0</v>
      </c>
      <c r="L9" s="50">
        <f>IF('쪽쟘(실측)'!G9&gt;0,'쪽쟘(실측)'!G9+0,0)+뒷날개치수더함</f>
        <v>0</v>
      </c>
      <c r="M9" s="50">
        <f>IF('쪽쟘(실측)'!H9&gt;0,'쪽쟘(실측)'!H9+0,0)+뒷날개치수더함</f>
        <v>0</v>
      </c>
      <c r="N9" s="50">
        <f>IF('쪽쟘(실측)'!I9&gt;0,'쪽쟘(실측)'!I9+0,0)+뒷날개치수더함</f>
        <v>0</v>
      </c>
      <c r="O9" s="50">
        <f>'쪽쟘(실측)'!J9-쪽쟘기둥차감</f>
        <v>0</v>
      </c>
      <c r="P9" s="50">
        <f>'쪽쟘(실측)'!K9-쪽쟘기둥차감</f>
        <v>0</v>
      </c>
      <c r="Q9" s="50">
        <f>'쪽쟘(실측)'!L9-쪽쟘기둥차감</f>
        <v>0</v>
      </c>
      <c r="R9" s="50">
        <f>'쪽쟘(실측)'!M9-쪽쟘기둥차감</f>
        <v>0</v>
      </c>
      <c r="S9" s="50">
        <f>'쪽쟘(실측)'!N9+뒷날개치수더함</f>
        <v>0</v>
      </c>
      <c r="T9" s="50">
        <f>'쪽쟘(실측)'!O9+뒷날개치수더함</f>
        <v>0</v>
      </c>
      <c r="U9" s="50">
        <f>'쪽쟘(실측)'!P9+뒷날개치수더함</f>
        <v>0</v>
      </c>
      <c r="V9" s="50">
        <f>'쪽쟘(실측)'!Q9+뒷날개치수더함</f>
        <v>0</v>
      </c>
      <c r="W9" s="50">
        <f>'쪽쟘(실측)'!R9-쪽쟘늘치차감</f>
        <v>0</v>
      </c>
      <c r="X9" s="50">
        <f>'쪽쟘(실측)'!S9-쪽쟘늘치차감</f>
        <v>0</v>
      </c>
      <c r="Y9" s="4">
        <f>IF('쪽쟘(실측)'!T9&gt;5,'쪽쟘(실측)'!T9+뒷날개치수더함,0)</f>
        <v>0</v>
      </c>
      <c r="Z9" s="4">
        <f>'쪽쟘(실측)'!U9</f>
        <v>0</v>
      </c>
      <c r="AA9" s="4">
        <f>'쪽쟘(실측)'!V9</f>
        <v>0</v>
      </c>
      <c r="AC9">
        <f t="shared" si="8"/>
        <v>-3</v>
      </c>
      <c r="AD9">
        <f t="shared" si="9"/>
        <v>-3.5999999999999996</v>
      </c>
      <c r="AE9">
        <f t="shared" si="2"/>
        <v>-2.3999999999999995</v>
      </c>
      <c r="AF9">
        <f t="shared" si="10"/>
        <v>0</v>
      </c>
      <c r="AG9">
        <f t="shared" si="4"/>
        <v>-2.3999999999999995</v>
      </c>
      <c r="AH9">
        <f t="shared" si="11"/>
        <v>0</v>
      </c>
    </row>
    <row r="10" spans="1:34" ht="19.5" customHeight="1" x14ac:dyDescent="0.3">
      <c r="A10" s="50">
        <f>'쪽쟘(실측)'!A10</f>
        <v>0</v>
      </c>
      <c r="B10" s="50" t="str">
        <f>'쪽쟘(실측)'!B10&amp;"F"</f>
        <v>F</v>
      </c>
      <c r="C10" s="50" t="str">
        <f t="shared" si="5"/>
        <v>-3*-3.6</v>
      </c>
      <c r="D10" s="50">
        <f>'쪽쟘(실측)'!C10-쪽쟘OP차감</f>
        <v>-3</v>
      </c>
      <c r="E10" s="50">
        <f>'쪽쟘(실측)'!D10+쪽쟘J늘림+MAX(W10:X10)</f>
        <v>0</v>
      </c>
      <c r="F10" s="50">
        <f>'쪽쟘(실측)'!E10+쪽쟘J늘림+MAX(W10:X10)</f>
        <v>0</v>
      </c>
      <c r="G10" s="67" t="str">
        <f t="shared" si="6"/>
        <v>0*-2.4</v>
      </c>
      <c r="H10" s="68" t="str">
        <f t="shared" si="7"/>
        <v>0*-2.4</v>
      </c>
      <c r="I10" s="50">
        <f>IF('쪽쟘(실측)'!F10&gt;0,'쪽쟘(실측)'!F10-1.5,0)+뒷날개치수더함</f>
        <v>0</v>
      </c>
      <c r="J10" s="50">
        <f>IF('쪽쟘(실측)'!H10&gt;0,'쪽쟘(실측)'!H10-1.5,0)+뒷날개치수더함</f>
        <v>0</v>
      </c>
      <c r="K10" s="50">
        <f>IF('쪽쟘(실측)'!F10&gt;0,'쪽쟘(실측)'!F10+0,0)+뒷날개치수더함</f>
        <v>0</v>
      </c>
      <c r="L10" s="50">
        <f>IF('쪽쟘(실측)'!G10&gt;0,'쪽쟘(실측)'!G10+0,0)+뒷날개치수더함</f>
        <v>0</v>
      </c>
      <c r="M10" s="50">
        <f>IF('쪽쟘(실측)'!H10&gt;0,'쪽쟘(실측)'!H10+0,0)+뒷날개치수더함</f>
        <v>0</v>
      </c>
      <c r="N10" s="50">
        <f>IF('쪽쟘(실측)'!I10&gt;0,'쪽쟘(실측)'!I10+0,0)+뒷날개치수더함</f>
        <v>0</v>
      </c>
      <c r="O10" s="50">
        <f>'쪽쟘(실측)'!J10-쪽쟘기둥차감</f>
        <v>0</v>
      </c>
      <c r="P10" s="50">
        <f>'쪽쟘(실측)'!K10-쪽쟘기둥차감</f>
        <v>0</v>
      </c>
      <c r="Q10" s="50">
        <f>'쪽쟘(실측)'!L10-쪽쟘기둥차감</f>
        <v>0</v>
      </c>
      <c r="R10" s="50">
        <f>'쪽쟘(실측)'!M10-쪽쟘기둥차감</f>
        <v>0</v>
      </c>
      <c r="S10" s="50">
        <f>'쪽쟘(실측)'!N10+뒷날개치수더함</f>
        <v>0</v>
      </c>
      <c r="T10" s="50">
        <f>'쪽쟘(실측)'!O10+뒷날개치수더함</f>
        <v>0</v>
      </c>
      <c r="U10" s="50">
        <f>'쪽쟘(실측)'!P10+뒷날개치수더함</f>
        <v>0</v>
      </c>
      <c r="V10" s="50">
        <f>'쪽쟘(실측)'!Q10+뒷날개치수더함</f>
        <v>0</v>
      </c>
      <c r="W10" s="50">
        <f>'쪽쟘(실측)'!R10-쪽쟘늘치차감</f>
        <v>0</v>
      </c>
      <c r="X10" s="50">
        <f>'쪽쟘(실측)'!S10-쪽쟘늘치차감</f>
        <v>0</v>
      </c>
      <c r="Y10" s="4">
        <f>IF('쪽쟘(실측)'!T10&gt;5,'쪽쟘(실측)'!T10+뒷날개치수더함,0)</f>
        <v>0</v>
      </c>
      <c r="Z10" s="4">
        <f>'쪽쟘(실측)'!U10</f>
        <v>0</v>
      </c>
      <c r="AA10" s="4">
        <f>'쪽쟘(실측)'!V10</f>
        <v>0</v>
      </c>
      <c r="AC10">
        <f t="shared" si="8"/>
        <v>-3</v>
      </c>
      <c r="AD10">
        <f t="shared" si="9"/>
        <v>-3.5999999999999996</v>
      </c>
      <c r="AE10">
        <f t="shared" si="2"/>
        <v>-2.3999999999999995</v>
      </c>
      <c r="AF10">
        <f t="shared" si="10"/>
        <v>0</v>
      </c>
      <c r="AG10">
        <f t="shared" si="4"/>
        <v>-2.3999999999999995</v>
      </c>
      <c r="AH10">
        <f t="shared" si="11"/>
        <v>0</v>
      </c>
    </row>
    <row r="11" spans="1:34" ht="19.5" customHeight="1" x14ac:dyDescent="0.3">
      <c r="A11" s="50">
        <f>'쪽쟘(실측)'!A11</f>
        <v>0</v>
      </c>
      <c r="B11" s="50" t="str">
        <f>'쪽쟘(실측)'!B11&amp;"F"</f>
        <v>F</v>
      </c>
      <c r="C11" s="50" t="str">
        <f t="shared" si="5"/>
        <v>-3*-3.6</v>
      </c>
      <c r="D11" s="50">
        <f>'쪽쟘(실측)'!C11-쪽쟘OP차감</f>
        <v>-3</v>
      </c>
      <c r="E11" s="50">
        <f>'쪽쟘(실측)'!D11+쪽쟘J늘림+MAX(W11:X11)</f>
        <v>0</v>
      </c>
      <c r="F11" s="50">
        <f>'쪽쟘(실측)'!E11+쪽쟘J늘림+MAX(W11:X11)</f>
        <v>0</v>
      </c>
      <c r="G11" s="67" t="str">
        <f t="shared" si="6"/>
        <v>0*-2.4</v>
      </c>
      <c r="H11" s="68" t="str">
        <f t="shared" si="7"/>
        <v>0*-2.4</v>
      </c>
      <c r="I11" s="50">
        <f>IF('쪽쟘(실측)'!F11&gt;0,'쪽쟘(실측)'!F11-1.5,0)+뒷날개치수더함</f>
        <v>0</v>
      </c>
      <c r="J11" s="50">
        <f>IF('쪽쟘(실측)'!H11&gt;0,'쪽쟘(실측)'!H11-1.5,0)+뒷날개치수더함</f>
        <v>0</v>
      </c>
      <c r="K11" s="50">
        <f>IF('쪽쟘(실측)'!F11&gt;0,'쪽쟘(실측)'!F11+0,0)+뒷날개치수더함</f>
        <v>0</v>
      </c>
      <c r="L11" s="50">
        <f>IF('쪽쟘(실측)'!G11&gt;0,'쪽쟘(실측)'!G11+0,0)+뒷날개치수더함</f>
        <v>0</v>
      </c>
      <c r="M11" s="50">
        <f>IF('쪽쟘(실측)'!H11&gt;0,'쪽쟘(실측)'!H11+0,0)+뒷날개치수더함</f>
        <v>0</v>
      </c>
      <c r="N11" s="50">
        <f>IF('쪽쟘(실측)'!I11&gt;0,'쪽쟘(실측)'!I11+0,0)+뒷날개치수더함</f>
        <v>0</v>
      </c>
      <c r="O11" s="50">
        <f>'쪽쟘(실측)'!J11-쪽쟘기둥차감</f>
        <v>0</v>
      </c>
      <c r="P11" s="50">
        <f>'쪽쟘(실측)'!K11-쪽쟘기둥차감</f>
        <v>0</v>
      </c>
      <c r="Q11" s="50">
        <f>'쪽쟘(실측)'!L11-쪽쟘기둥차감</f>
        <v>0</v>
      </c>
      <c r="R11" s="50">
        <f>'쪽쟘(실측)'!M11-쪽쟘기둥차감</f>
        <v>0</v>
      </c>
      <c r="S11" s="50">
        <f>'쪽쟘(실측)'!N11+뒷날개치수더함</f>
        <v>0</v>
      </c>
      <c r="T11" s="50">
        <f>'쪽쟘(실측)'!O11+뒷날개치수더함</f>
        <v>0</v>
      </c>
      <c r="U11" s="50">
        <f>'쪽쟘(실측)'!P11+뒷날개치수더함</f>
        <v>0</v>
      </c>
      <c r="V11" s="50">
        <f>'쪽쟘(실측)'!Q11+뒷날개치수더함</f>
        <v>0</v>
      </c>
      <c r="W11" s="50">
        <f>'쪽쟘(실측)'!R11-쪽쟘늘치차감</f>
        <v>0</v>
      </c>
      <c r="X11" s="50">
        <f>'쪽쟘(실측)'!S11-쪽쟘늘치차감</f>
        <v>0</v>
      </c>
      <c r="Y11" s="4">
        <f>IF('쪽쟘(실측)'!T11&gt;5,'쪽쟘(실측)'!T11+뒷날개치수더함,0)</f>
        <v>0</v>
      </c>
      <c r="Z11" s="4">
        <f>'쪽쟘(실측)'!U11</f>
        <v>0</v>
      </c>
      <c r="AA11" s="4">
        <f>'쪽쟘(실측)'!V11</f>
        <v>0</v>
      </c>
      <c r="AC11">
        <f t="shared" si="8"/>
        <v>-3</v>
      </c>
      <c r="AD11">
        <f t="shared" si="9"/>
        <v>-3.5999999999999996</v>
      </c>
      <c r="AE11">
        <f t="shared" si="2"/>
        <v>-2.3999999999999995</v>
      </c>
      <c r="AF11">
        <f t="shared" si="10"/>
        <v>0</v>
      </c>
      <c r="AG11">
        <f t="shared" si="4"/>
        <v>-2.3999999999999995</v>
      </c>
      <c r="AH11">
        <f t="shared" si="11"/>
        <v>0</v>
      </c>
    </row>
    <row r="12" spans="1:34" ht="19.5" customHeight="1" x14ac:dyDescent="0.3">
      <c r="A12" s="50">
        <f>'쪽쟘(실측)'!A12</f>
        <v>0</v>
      </c>
      <c r="B12" s="50" t="str">
        <f>'쪽쟘(실측)'!B12&amp;"F"</f>
        <v>F</v>
      </c>
      <c r="C12" s="50" t="str">
        <f t="shared" si="5"/>
        <v>-3*-3.6</v>
      </c>
      <c r="D12" s="50">
        <f>'쪽쟘(실측)'!C12-쪽쟘OP차감</f>
        <v>-3</v>
      </c>
      <c r="E12" s="50">
        <f>'쪽쟘(실측)'!D12+쪽쟘J늘림+MAX(W12:X12)</f>
        <v>0</v>
      </c>
      <c r="F12" s="50">
        <f>'쪽쟘(실측)'!E12+쪽쟘J늘림+MAX(W12:X12)</f>
        <v>0</v>
      </c>
      <c r="G12" s="67" t="str">
        <f t="shared" si="6"/>
        <v>0*-2.4</v>
      </c>
      <c r="H12" s="68" t="str">
        <f t="shared" si="7"/>
        <v>0*-2.4</v>
      </c>
      <c r="I12" s="50">
        <f>IF('쪽쟘(실측)'!F12&gt;0,'쪽쟘(실측)'!F12-1.5,0)+뒷날개치수더함</f>
        <v>0</v>
      </c>
      <c r="J12" s="50">
        <f>IF('쪽쟘(실측)'!H12&gt;0,'쪽쟘(실측)'!H12-1.5,0)+뒷날개치수더함</f>
        <v>0</v>
      </c>
      <c r="K12" s="50">
        <f>IF('쪽쟘(실측)'!F12&gt;0,'쪽쟘(실측)'!F12+0,0)+뒷날개치수더함</f>
        <v>0</v>
      </c>
      <c r="L12" s="50">
        <f>IF('쪽쟘(실측)'!G12&gt;0,'쪽쟘(실측)'!G12+0,0)+뒷날개치수더함</f>
        <v>0</v>
      </c>
      <c r="M12" s="50">
        <f>IF('쪽쟘(실측)'!H12&gt;0,'쪽쟘(실측)'!H12+0,0)+뒷날개치수더함</f>
        <v>0</v>
      </c>
      <c r="N12" s="50">
        <f>IF('쪽쟘(실측)'!I12&gt;0,'쪽쟘(실측)'!I12+0,0)+뒷날개치수더함</f>
        <v>0</v>
      </c>
      <c r="O12" s="50">
        <f>'쪽쟘(실측)'!J12-쪽쟘기둥차감</f>
        <v>0</v>
      </c>
      <c r="P12" s="50">
        <f>'쪽쟘(실측)'!K12-쪽쟘기둥차감</f>
        <v>0</v>
      </c>
      <c r="Q12" s="50">
        <f>'쪽쟘(실측)'!L12-쪽쟘기둥차감</f>
        <v>0</v>
      </c>
      <c r="R12" s="50">
        <f>'쪽쟘(실측)'!M12-쪽쟘기둥차감</f>
        <v>0</v>
      </c>
      <c r="S12" s="50">
        <f>'쪽쟘(실측)'!N12+뒷날개치수더함</f>
        <v>0</v>
      </c>
      <c r="T12" s="50">
        <f>'쪽쟘(실측)'!O12+뒷날개치수더함</f>
        <v>0</v>
      </c>
      <c r="U12" s="50">
        <f>'쪽쟘(실측)'!P12+뒷날개치수더함</f>
        <v>0</v>
      </c>
      <c r="V12" s="50">
        <f>'쪽쟘(실측)'!Q12+뒷날개치수더함</f>
        <v>0</v>
      </c>
      <c r="W12" s="50">
        <f>'쪽쟘(실측)'!R12-쪽쟘늘치차감</f>
        <v>0</v>
      </c>
      <c r="X12" s="50">
        <f>'쪽쟘(실측)'!S12-쪽쟘늘치차감</f>
        <v>0</v>
      </c>
      <c r="Y12" s="4">
        <f>IF('쪽쟘(실측)'!T12&gt;5,'쪽쟘(실측)'!T12+뒷날개치수더함,0)</f>
        <v>0</v>
      </c>
      <c r="Z12" s="4">
        <f>'쪽쟘(실측)'!U12</f>
        <v>0</v>
      </c>
      <c r="AA12" s="4">
        <f>'쪽쟘(실측)'!V12</f>
        <v>0</v>
      </c>
      <c r="AC12">
        <f t="shared" si="8"/>
        <v>-3</v>
      </c>
      <c r="AD12">
        <f t="shared" si="9"/>
        <v>-3.5999999999999996</v>
      </c>
      <c r="AE12">
        <f t="shared" si="2"/>
        <v>-2.3999999999999995</v>
      </c>
      <c r="AF12">
        <f t="shared" si="10"/>
        <v>0</v>
      </c>
      <c r="AG12">
        <f t="shared" si="4"/>
        <v>-2.3999999999999995</v>
      </c>
      <c r="AH12">
        <f t="shared" si="11"/>
        <v>0</v>
      </c>
    </row>
    <row r="13" spans="1:34" ht="19.5" customHeight="1" x14ac:dyDescent="0.3">
      <c r="A13" s="50">
        <f>'쪽쟘(실측)'!A13</f>
        <v>0</v>
      </c>
      <c r="B13" s="50" t="str">
        <f>'쪽쟘(실측)'!B13&amp;"F"</f>
        <v>F</v>
      </c>
      <c r="C13" s="50" t="str">
        <f t="shared" si="5"/>
        <v>-3*-3.6</v>
      </c>
      <c r="D13" s="50">
        <f>'쪽쟘(실측)'!C13-쪽쟘OP차감</f>
        <v>-3</v>
      </c>
      <c r="E13" s="50">
        <f>'쪽쟘(실측)'!D13+쪽쟘J늘림+MAX(W13:X13)</f>
        <v>0</v>
      </c>
      <c r="F13" s="50">
        <f>'쪽쟘(실측)'!E13+쪽쟘J늘림+MAX(W13:X13)</f>
        <v>0</v>
      </c>
      <c r="G13" s="67" t="str">
        <f t="shared" si="6"/>
        <v>0*-2.4</v>
      </c>
      <c r="H13" s="68" t="str">
        <f t="shared" si="7"/>
        <v>0*-2.4</v>
      </c>
      <c r="I13" s="50">
        <f>IF('쪽쟘(실측)'!F13&gt;0,'쪽쟘(실측)'!F13-1.5,0)+뒷날개치수더함</f>
        <v>0</v>
      </c>
      <c r="J13" s="50">
        <f>IF('쪽쟘(실측)'!H13&gt;0,'쪽쟘(실측)'!H13-1.5,0)+뒷날개치수더함</f>
        <v>0</v>
      </c>
      <c r="K13" s="50">
        <f>IF('쪽쟘(실측)'!F13&gt;0,'쪽쟘(실측)'!F13+0,0)+뒷날개치수더함</f>
        <v>0</v>
      </c>
      <c r="L13" s="50">
        <f>IF('쪽쟘(실측)'!G13&gt;0,'쪽쟘(실측)'!G13+0,0)+뒷날개치수더함</f>
        <v>0</v>
      </c>
      <c r="M13" s="50">
        <f>IF('쪽쟘(실측)'!H13&gt;0,'쪽쟘(실측)'!H13+0,0)+뒷날개치수더함</f>
        <v>0</v>
      </c>
      <c r="N13" s="50">
        <f>IF('쪽쟘(실측)'!I13&gt;0,'쪽쟘(실측)'!I13+0,0)+뒷날개치수더함</f>
        <v>0</v>
      </c>
      <c r="O13" s="50">
        <f>'쪽쟘(실측)'!J13-쪽쟘기둥차감</f>
        <v>0</v>
      </c>
      <c r="P13" s="50">
        <f>'쪽쟘(실측)'!K13-쪽쟘기둥차감</f>
        <v>0</v>
      </c>
      <c r="Q13" s="50">
        <f>'쪽쟘(실측)'!L13-쪽쟘기둥차감</f>
        <v>0</v>
      </c>
      <c r="R13" s="50">
        <f>'쪽쟘(실측)'!M13-쪽쟘기둥차감</f>
        <v>0</v>
      </c>
      <c r="S13" s="50">
        <f>'쪽쟘(실측)'!N13+뒷날개치수더함</f>
        <v>0</v>
      </c>
      <c r="T13" s="50">
        <f>'쪽쟘(실측)'!O13+뒷날개치수더함</f>
        <v>0</v>
      </c>
      <c r="U13" s="50">
        <f>'쪽쟘(실측)'!P13+뒷날개치수더함</f>
        <v>0</v>
      </c>
      <c r="V13" s="50">
        <f>'쪽쟘(실측)'!Q13+뒷날개치수더함</f>
        <v>0</v>
      </c>
      <c r="W13" s="50">
        <f>'쪽쟘(실측)'!R13-쪽쟘늘치차감</f>
        <v>0</v>
      </c>
      <c r="X13" s="50">
        <f>'쪽쟘(실측)'!S13-쪽쟘늘치차감</f>
        <v>0</v>
      </c>
      <c r="Y13" s="4">
        <f>IF('쪽쟘(실측)'!T13&gt;5,'쪽쟘(실측)'!T13+뒷날개치수더함,0)</f>
        <v>0</v>
      </c>
      <c r="Z13" s="4">
        <f>'쪽쟘(실측)'!U13</f>
        <v>0</v>
      </c>
      <c r="AA13" s="4">
        <f>'쪽쟘(실측)'!V13</f>
        <v>0</v>
      </c>
      <c r="AC13">
        <f t="shared" si="8"/>
        <v>-3</v>
      </c>
      <c r="AD13">
        <f t="shared" si="9"/>
        <v>-3.5999999999999996</v>
      </c>
      <c r="AE13">
        <f t="shared" si="2"/>
        <v>-2.3999999999999995</v>
      </c>
      <c r="AF13">
        <f t="shared" si="10"/>
        <v>0</v>
      </c>
      <c r="AG13">
        <f t="shared" si="4"/>
        <v>-2.3999999999999995</v>
      </c>
      <c r="AH13">
        <f t="shared" si="11"/>
        <v>0</v>
      </c>
    </row>
    <row r="14" spans="1:34" ht="19.5" customHeight="1" x14ac:dyDescent="0.3">
      <c r="A14" s="50">
        <f>'쪽쟘(실측)'!A14</f>
        <v>0</v>
      </c>
      <c r="B14" s="50" t="str">
        <f>'쪽쟘(실측)'!B14&amp;"F"</f>
        <v>F</v>
      </c>
      <c r="C14" s="50" t="str">
        <f t="shared" si="5"/>
        <v>-3*-3.6</v>
      </c>
      <c r="D14" s="50">
        <f>'쪽쟘(실측)'!C14-쪽쟘OP차감</f>
        <v>-3</v>
      </c>
      <c r="E14" s="50">
        <f>'쪽쟘(실측)'!D14+쪽쟘J늘림+MAX(W14:X14)</f>
        <v>0</v>
      </c>
      <c r="F14" s="50">
        <f>'쪽쟘(실측)'!E14+쪽쟘J늘림+MAX(W14:X14)</f>
        <v>0</v>
      </c>
      <c r="G14" s="67" t="str">
        <f t="shared" si="6"/>
        <v>0*-2.4</v>
      </c>
      <c r="H14" s="68" t="str">
        <f t="shared" si="7"/>
        <v>0*-2.4</v>
      </c>
      <c r="I14" s="50">
        <f>IF('쪽쟘(실측)'!F14&gt;0,'쪽쟘(실측)'!F14-1.5,0)+뒷날개치수더함</f>
        <v>0</v>
      </c>
      <c r="J14" s="50">
        <f>IF('쪽쟘(실측)'!H14&gt;0,'쪽쟘(실측)'!H14-1.5,0)+뒷날개치수더함</f>
        <v>0</v>
      </c>
      <c r="K14" s="50">
        <f>IF('쪽쟘(실측)'!F14&gt;0,'쪽쟘(실측)'!F14+0,0)+뒷날개치수더함</f>
        <v>0</v>
      </c>
      <c r="L14" s="50">
        <f>IF('쪽쟘(실측)'!G14&gt;0,'쪽쟘(실측)'!G14+0,0)+뒷날개치수더함</f>
        <v>0</v>
      </c>
      <c r="M14" s="50">
        <f>IF('쪽쟘(실측)'!H14&gt;0,'쪽쟘(실측)'!H14+0,0)+뒷날개치수더함</f>
        <v>0</v>
      </c>
      <c r="N14" s="50">
        <f>IF('쪽쟘(실측)'!I14&gt;0,'쪽쟘(실측)'!I14+0,0)+뒷날개치수더함</f>
        <v>0</v>
      </c>
      <c r="O14" s="50">
        <f>'쪽쟘(실측)'!J14-쪽쟘기둥차감</f>
        <v>0</v>
      </c>
      <c r="P14" s="50">
        <f>'쪽쟘(실측)'!K14-쪽쟘기둥차감</f>
        <v>0</v>
      </c>
      <c r="Q14" s="50">
        <f>'쪽쟘(실측)'!L14-쪽쟘기둥차감</f>
        <v>0</v>
      </c>
      <c r="R14" s="50">
        <f>'쪽쟘(실측)'!M14-쪽쟘기둥차감</f>
        <v>0</v>
      </c>
      <c r="S14" s="50">
        <f>'쪽쟘(실측)'!N14+뒷날개치수더함</f>
        <v>0</v>
      </c>
      <c r="T14" s="50">
        <f>'쪽쟘(실측)'!O14+뒷날개치수더함</f>
        <v>0</v>
      </c>
      <c r="U14" s="50">
        <f>'쪽쟘(실측)'!P14+뒷날개치수더함</f>
        <v>0</v>
      </c>
      <c r="V14" s="50">
        <f>'쪽쟘(실측)'!Q14+뒷날개치수더함</f>
        <v>0</v>
      </c>
      <c r="W14" s="50">
        <f>'쪽쟘(실측)'!R14-쪽쟘늘치차감</f>
        <v>0</v>
      </c>
      <c r="X14" s="50">
        <f>'쪽쟘(실측)'!S14-쪽쟘늘치차감</f>
        <v>0</v>
      </c>
      <c r="Y14" s="4">
        <f>IF('쪽쟘(실측)'!T14&gt;5,'쪽쟘(실측)'!T14+뒷날개치수더함,0)</f>
        <v>0</v>
      </c>
      <c r="Z14" s="4">
        <f>'쪽쟘(실측)'!U14</f>
        <v>0</v>
      </c>
      <c r="AA14" s="4">
        <f>'쪽쟘(실측)'!V14</f>
        <v>0</v>
      </c>
      <c r="AC14">
        <f t="shared" si="8"/>
        <v>-3</v>
      </c>
      <c r="AD14">
        <f t="shared" si="9"/>
        <v>-3.5999999999999996</v>
      </c>
      <c r="AE14">
        <f t="shared" si="2"/>
        <v>-2.3999999999999995</v>
      </c>
      <c r="AF14">
        <f t="shared" si="10"/>
        <v>0</v>
      </c>
      <c r="AG14">
        <f t="shared" si="4"/>
        <v>-2.3999999999999995</v>
      </c>
      <c r="AH14">
        <f t="shared" si="11"/>
        <v>0</v>
      </c>
    </row>
    <row r="15" spans="1:34" ht="19.5" customHeight="1" x14ac:dyDescent="0.3">
      <c r="A15" s="50">
        <f>'쪽쟘(실측)'!A15</f>
        <v>0</v>
      </c>
      <c r="B15" s="50" t="str">
        <f>'쪽쟘(실측)'!B15&amp;"F"</f>
        <v>F</v>
      </c>
      <c r="C15" s="50" t="str">
        <f t="shared" si="5"/>
        <v>-3*-3.6</v>
      </c>
      <c r="D15" s="50">
        <f>'쪽쟘(실측)'!C15-쪽쟘OP차감</f>
        <v>-3</v>
      </c>
      <c r="E15" s="50">
        <f>'쪽쟘(실측)'!D15+쪽쟘J늘림+MAX(W15:X15)</f>
        <v>0</v>
      </c>
      <c r="F15" s="50">
        <f>'쪽쟘(실측)'!E15+쪽쟘J늘림+MAX(W15:X15)</f>
        <v>0</v>
      </c>
      <c r="G15" s="67" t="str">
        <f t="shared" si="6"/>
        <v>0*-2.4</v>
      </c>
      <c r="H15" s="68" t="str">
        <f t="shared" si="7"/>
        <v>0*-2.4</v>
      </c>
      <c r="I15" s="50">
        <f>IF('쪽쟘(실측)'!F15&gt;0,'쪽쟘(실측)'!F15-1.5,0)+뒷날개치수더함</f>
        <v>0</v>
      </c>
      <c r="J15" s="50">
        <f>IF('쪽쟘(실측)'!H15&gt;0,'쪽쟘(실측)'!H15-1.5,0)+뒷날개치수더함</f>
        <v>0</v>
      </c>
      <c r="K15" s="50">
        <f>IF('쪽쟘(실측)'!F15&gt;0,'쪽쟘(실측)'!F15+0,0)+뒷날개치수더함</f>
        <v>0</v>
      </c>
      <c r="L15" s="50">
        <f>IF('쪽쟘(실측)'!G15&gt;0,'쪽쟘(실측)'!G15+0,0)+뒷날개치수더함</f>
        <v>0</v>
      </c>
      <c r="M15" s="50">
        <f>IF('쪽쟘(실측)'!H15&gt;0,'쪽쟘(실측)'!H15+0,0)+뒷날개치수더함</f>
        <v>0</v>
      </c>
      <c r="N15" s="50">
        <f>IF('쪽쟘(실측)'!I15&gt;0,'쪽쟘(실측)'!I15+0,0)+뒷날개치수더함</f>
        <v>0</v>
      </c>
      <c r="O15" s="50">
        <f>'쪽쟘(실측)'!J15-쪽쟘기둥차감</f>
        <v>0</v>
      </c>
      <c r="P15" s="50">
        <f>'쪽쟘(실측)'!K15-쪽쟘기둥차감</f>
        <v>0</v>
      </c>
      <c r="Q15" s="50">
        <f>'쪽쟘(실측)'!L15-쪽쟘기둥차감</f>
        <v>0</v>
      </c>
      <c r="R15" s="50">
        <f>'쪽쟘(실측)'!M15-쪽쟘기둥차감</f>
        <v>0</v>
      </c>
      <c r="S15" s="50">
        <f>'쪽쟘(실측)'!N15+뒷날개치수더함</f>
        <v>0</v>
      </c>
      <c r="T15" s="50">
        <f>'쪽쟘(실측)'!O15+뒷날개치수더함</f>
        <v>0</v>
      </c>
      <c r="U15" s="50">
        <f>'쪽쟘(실측)'!P15+뒷날개치수더함</f>
        <v>0</v>
      </c>
      <c r="V15" s="50">
        <f>'쪽쟘(실측)'!Q15+뒷날개치수더함</f>
        <v>0</v>
      </c>
      <c r="W15" s="50">
        <f>'쪽쟘(실측)'!R15-쪽쟘늘치차감</f>
        <v>0</v>
      </c>
      <c r="X15" s="50">
        <f>'쪽쟘(실측)'!S15-쪽쟘늘치차감</f>
        <v>0</v>
      </c>
      <c r="Y15" s="4">
        <f>IF('쪽쟘(실측)'!T15&gt;5,'쪽쟘(실측)'!T15+뒷날개치수더함,0)</f>
        <v>0</v>
      </c>
      <c r="Z15" s="4">
        <f>'쪽쟘(실측)'!U15</f>
        <v>0</v>
      </c>
      <c r="AA15" s="4">
        <f>'쪽쟘(실측)'!V15</f>
        <v>0</v>
      </c>
      <c r="AC15">
        <f t="shared" si="8"/>
        <v>-3</v>
      </c>
      <c r="AD15">
        <f t="shared" si="9"/>
        <v>-3.5999999999999996</v>
      </c>
      <c r="AE15">
        <f t="shared" si="2"/>
        <v>-2.3999999999999995</v>
      </c>
      <c r="AF15">
        <f t="shared" si="10"/>
        <v>0</v>
      </c>
      <c r="AG15">
        <f t="shared" si="4"/>
        <v>-2.3999999999999995</v>
      </c>
      <c r="AH15">
        <f t="shared" si="11"/>
        <v>0</v>
      </c>
    </row>
    <row r="16" spans="1:34" ht="19.5" customHeight="1" x14ac:dyDescent="0.3">
      <c r="A16" s="50">
        <f>'쪽쟘(실측)'!A16</f>
        <v>0</v>
      </c>
      <c r="B16" s="50" t="str">
        <f>'쪽쟘(실측)'!B16&amp;"F"</f>
        <v>F</v>
      </c>
      <c r="C16" s="50" t="str">
        <f t="shared" si="5"/>
        <v>-3*-3.6</v>
      </c>
      <c r="D16" s="50">
        <f>'쪽쟘(실측)'!C16-쪽쟘OP차감</f>
        <v>-3</v>
      </c>
      <c r="E16" s="50">
        <f>'쪽쟘(실측)'!D16+쪽쟘J늘림+MAX(W16:X16)</f>
        <v>0</v>
      </c>
      <c r="F16" s="50">
        <f>'쪽쟘(실측)'!E16+쪽쟘J늘림+MAX(W16:X16)</f>
        <v>0</v>
      </c>
      <c r="G16" s="67" t="str">
        <f t="shared" si="6"/>
        <v>0*-2.4</v>
      </c>
      <c r="H16" s="68" t="str">
        <f t="shared" si="7"/>
        <v>0*-2.4</v>
      </c>
      <c r="I16" s="50">
        <f>IF('쪽쟘(실측)'!F16&gt;0,'쪽쟘(실측)'!F16-1.5,0)+뒷날개치수더함</f>
        <v>0</v>
      </c>
      <c r="J16" s="50">
        <f>IF('쪽쟘(실측)'!H16&gt;0,'쪽쟘(실측)'!H16-1.5,0)+뒷날개치수더함</f>
        <v>0</v>
      </c>
      <c r="K16" s="50">
        <f>IF('쪽쟘(실측)'!F16&gt;0,'쪽쟘(실측)'!F16+0,0)+뒷날개치수더함</f>
        <v>0</v>
      </c>
      <c r="L16" s="50">
        <f>IF('쪽쟘(실측)'!G16&gt;0,'쪽쟘(실측)'!G16+0,0)+뒷날개치수더함</f>
        <v>0</v>
      </c>
      <c r="M16" s="50">
        <f>IF('쪽쟘(실측)'!H16&gt;0,'쪽쟘(실측)'!H16+0,0)+뒷날개치수더함</f>
        <v>0</v>
      </c>
      <c r="N16" s="50">
        <f>IF('쪽쟘(실측)'!I16&gt;0,'쪽쟘(실측)'!I16+0,0)+뒷날개치수더함</f>
        <v>0</v>
      </c>
      <c r="O16" s="50">
        <f>'쪽쟘(실측)'!J16-쪽쟘기둥차감</f>
        <v>0</v>
      </c>
      <c r="P16" s="50">
        <f>'쪽쟘(실측)'!K16-쪽쟘기둥차감</f>
        <v>0</v>
      </c>
      <c r="Q16" s="50">
        <f>'쪽쟘(실측)'!L16-쪽쟘기둥차감</f>
        <v>0</v>
      </c>
      <c r="R16" s="50">
        <f>'쪽쟘(실측)'!M16-쪽쟘기둥차감</f>
        <v>0</v>
      </c>
      <c r="S16" s="50">
        <f>'쪽쟘(실측)'!N16+뒷날개치수더함</f>
        <v>0</v>
      </c>
      <c r="T16" s="50">
        <f>'쪽쟘(실측)'!O16+뒷날개치수더함</f>
        <v>0</v>
      </c>
      <c r="U16" s="50">
        <f>'쪽쟘(실측)'!P16+뒷날개치수더함</f>
        <v>0</v>
      </c>
      <c r="V16" s="50">
        <f>'쪽쟘(실측)'!Q16+뒷날개치수더함</f>
        <v>0</v>
      </c>
      <c r="W16" s="50">
        <f>'쪽쟘(실측)'!R16-쪽쟘늘치차감</f>
        <v>0</v>
      </c>
      <c r="X16" s="50">
        <f>'쪽쟘(실측)'!S16-쪽쟘늘치차감</f>
        <v>0</v>
      </c>
      <c r="Y16" s="4">
        <f>IF('쪽쟘(실측)'!T16&gt;5,'쪽쟘(실측)'!T16+뒷날개치수더함,0)</f>
        <v>0</v>
      </c>
      <c r="Z16" s="4">
        <f>'쪽쟘(실측)'!U16</f>
        <v>0</v>
      </c>
      <c r="AA16" s="4">
        <f>'쪽쟘(실측)'!V16</f>
        <v>0</v>
      </c>
      <c r="AC16">
        <f t="shared" si="8"/>
        <v>-3</v>
      </c>
      <c r="AD16">
        <f t="shared" si="9"/>
        <v>-3.5999999999999996</v>
      </c>
      <c r="AE16">
        <f t="shared" si="2"/>
        <v>-2.3999999999999995</v>
      </c>
      <c r="AF16">
        <f t="shared" si="10"/>
        <v>0</v>
      </c>
      <c r="AG16">
        <f t="shared" si="4"/>
        <v>-2.3999999999999995</v>
      </c>
      <c r="AH16">
        <f t="shared" si="11"/>
        <v>0</v>
      </c>
    </row>
    <row r="17" spans="1:34" ht="19.5" customHeight="1" x14ac:dyDescent="0.3">
      <c r="A17" s="50">
        <f>'쪽쟘(실측)'!A17</f>
        <v>0</v>
      </c>
      <c r="B17" s="50" t="str">
        <f>'쪽쟘(실측)'!B17&amp;"F"</f>
        <v>F</v>
      </c>
      <c r="C17" s="50" t="str">
        <f t="shared" si="5"/>
        <v>-3*-3.6</v>
      </c>
      <c r="D17" s="50">
        <f>'쪽쟘(실측)'!C17-쪽쟘OP차감</f>
        <v>-3</v>
      </c>
      <c r="E17" s="50">
        <f>'쪽쟘(실측)'!D17+쪽쟘J늘림+MAX(W17:X17)</f>
        <v>0</v>
      </c>
      <c r="F17" s="50">
        <f>'쪽쟘(실측)'!E17+쪽쟘J늘림+MAX(W17:X17)</f>
        <v>0</v>
      </c>
      <c r="G17" s="67" t="str">
        <f t="shared" si="6"/>
        <v>0*-2.4</v>
      </c>
      <c r="H17" s="68" t="str">
        <f t="shared" si="7"/>
        <v>0*-2.4</v>
      </c>
      <c r="I17" s="50">
        <f>IF('쪽쟘(실측)'!F17&gt;0,'쪽쟘(실측)'!F17-1.5,0)+뒷날개치수더함</f>
        <v>0</v>
      </c>
      <c r="J17" s="50">
        <f>IF('쪽쟘(실측)'!H17&gt;0,'쪽쟘(실측)'!H17-1.5,0)+뒷날개치수더함</f>
        <v>0</v>
      </c>
      <c r="K17" s="50">
        <f>IF('쪽쟘(실측)'!F17&gt;0,'쪽쟘(실측)'!F17+0,0)+뒷날개치수더함</f>
        <v>0</v>
      </c>
      <c r="L17" s="50">
        <f>IF('쪽쟘(실측)'!G17&gt;0,'쪽쟘(실측)'!G17+0,0)+뒷날개치수더함</f>
        <v>0</v>
      </c>
      <c r="M17" s="50">
        <f>IF('쪽쟘(실측)'!H17&gt;0,'쪽쟘(실측)'!H17+0,0)+뒷날개치수더함</f>
        <v>0</v>
      </c>
      <c r="N17" s="50">
        <f>IF('쪽쟘(실측)'!I17&gt;0,'쪽쟘(실측)'!I17+0,0)+뒷날개치수더함</f>
        <v>0</v>
      </c>
      <c r="O17" s="50">
        <f>'쪽쟘(실측)'!J17-쪽쟘기둥차감</f>
        <v>0</v>
      </c>
      <c r="P17" s="50">
        <f>'쪽쟘(실측)'!K17-쪽쟘기둥차감</f>
        <v>0</v>
      </c>
      <c r="Q17" s="50">
        <f>'쪽쟘(실측)'!L17-쪽쟘기둥차감</f>
        <v>0</v>
      </c>
      <c r="R17" s="50">
        <f>'쪽쟘(실측)'!M17-쪽쟘기둥차감</f>
        <v>0</v>
      </c>
      <c r="S17" s="50">
        <f>'쪽쟘(실측)'!N17+뒷날개치수더함</f>
        <v>0</v>
      </c>
      <c r="T17" s="50">
        <f>'쪽쟘(실측)'!O17+뒷날개치수더함</f>
        <v>0</v>
      </c>
      <c r="U17" s="50">
        <f>'쪽쟘(실측)'!P17+뒷날개치수더함</f>
        <v>0</v>
      </c>
      <c r="V17" s="50">
        <f>'쪽쟘(실측)'!Q17+뒷날개치수더함</f>
        <v>0</v>
      </c>
      <c r="W17" s="50">
        <f>'쪽쟘(실측)'!R17-쪽쟘늘치차감</f>
        <v>0</v>
      </c>
      <c r="X17" s="50">
        <f>'쪽쟘(실측)'!S17-쪽쟘늘치차감</f>
        <v>0</v>
      </c>
      <c r="Y17" s="4">
        <f>IF('쪽쟘(실측)'!T17&gt;5,'쪽쟘(실측)'!T17+뒷날개치수더함,0)</f>
        <v>0</v>
      </c>
      <c r="Z17" s="4">
        <f>'쪽쟘(실측)'!U17</f>
        <v>0</v>
      </c>
      <c r="AA17" s="4">
        <f>'쪽쟘(실측)'!V17</f>
        <v>0</v>
      </c>
      <c r="AC17">
        <f t="shared" si="8"/>
        <v>-3</v>
      </c>
      <c r="AD17">
        <f t="shared" si="9"/>
        <v>-3.5999999999999996</v>
      </c>
      <c r="AE17">
        <f t="shared" si="2"/>
        <v>-2.3999999999999995</v>
      </c>
      <c r="AF17">
        <f t="shared" si="10"/>
        <v>0</v>
      </c>
      <c r="AG17">
        <f t="shared" si="4"/>
        <v>-2.3999999999999995</v>
      </c>
      <c r="AH17">
        <f t="shared" si="11"/>
        <v>0</v>
      </c>
    </row>
    <row r="18" spans="1:34" ht="19.5" customHeight="1" x14ac:dyDescent="0.3">
      <c r="A18" s="50">
        <f>'쪽쟘(실측)'!A18</f>
        <v>0</v>
      </c>
      <c r="B18" s="50" t="str">
        <f>'쪽쟘(실측)'!B18&amp;"F"</f>
        <v>F</v>
      </c>
      <c r="C18" s="50" t="str">
        <f t="shared" si="5"/>
        <v>-3*-3.6</v>
      </c>
      <c r="D18" s="50">
        <f>'쪽쟘(실측)'!C18-쪽쟘OP차감</f>
        <v>-3</v>
      </c>
      <c r="E18" s="50">
        <f>'쪽쟘(실측)'!D18+쪽쟘J늘림+MAX(W18:X18)</f>
        <v>0</v>
      </c>
      <c r="F18" s="50">
        <f>'쪽쟘(실측)'!E18+쪽쟘J늘림+MAX(W18:X18)</f>
        <v>0</v>
      </c>
      <c r="G18" s="67" t="str">
        <f t="shared" si="6"/>
        <v>0*-2.4</v>
      </c>
      <c r="H18" s="68" t="str">
        <f t="shared" si="7"/>
        <v>0*-2.4</v>
      </c>
      <c r="I18" s="50">
        <f>IF('쪽쟘(실측)'!F18&gt;0,'쪽쟘(실측)'!F18-1.5,0)+뒷날개치수더함</f>
        <v>0</v>
      </c>
      <c r="J18" s="50">
        <f>IF('쪽쟘(실측)'!H18&gt;0,'쪽쟘(실측)'!H18-1.5,0)+뒷날개치수더함</f>
        <v>0</v>
      </c>
      <c r="K18" s="50">
        <f>IF('쪽쟘(실측)'!F18&gt;0,'쪽쟘(실측)'!F18+0,0)+뒷날개치수더함</f>
        <v>0</v>
      </c>
      <c r="L18" s="50">
        <f>IF('쪽쟘(실측)'!G18&gt;0,'쪽쟘(실측)'!G18+0,0)+뒷날개치수더함</f>
        <v>0</v>
      </c>
      <c r="M18" s="50">
        <f>IF('쪽쟘(실측)'!H18&gt;0,'쪽쟘(실측)'!H18+0,0)+뒷날개치수더함</f>
        <v>0</v>
      </c>
      <c r="N18" s="50">
        <f>IF('쪽쟘(실측)'!I18&gt;0,'쪽쟘(실측)'!I18+0,0)+뒷날개치수더함</f>
        <v>0</v>
      </c>
      <c r="O18" s="50">
        <f>'쪽쟘(실측)'!J18-쪽쟘기둥차감</f>
        <v>0</v>
      </c>
      <c r="P18" s="50">
        <f>'쪽쟘(실측)'!K18-쪽쟘기둥차감</f>
        <v>0</v>
      </c>
      <c r="Q18" s="50">
        <f>'쪽쟘(실측)'!L18-쪽쟘기둥차감</f>
        <v>0</v>
      </c>
      <c r="R18" s="50">
        <f>'쪽쟘(실측)'!M18-쪽쟘기둥차감</f>
        <v>0</v>
      </c>
      <c r="S18" s="50">
        <f>'쪽쟘(실측)'!N18+뒷날개치수더함</f>
        <v>0</v>
      </c>
      <c r="T18" s="50">
        <f>'쪽쟘(실측)'!O18+뒷날개치수더함</f>
        <v>0</v>
      </c>
      <c r="U18" s="50">
        <f>'쪽쟘(실측)'!P18+뒷날개치수더함</f>
        <v>0</v>
      </c>
      <c r="V18" s="50">
        <f>'쪽쟘(실측)'!Q18+뒷날개치수더함</f>
        <v>0</v>
      </c>
      <c r="W18" s="50">
        <f>'쪽쟘(실측)'!R18-쪽쟘늘치차감</f>
        <v>0</v>
      </c>
      <c r="X18" s="50">
        <f>'쪽쟘(실측)'!S18-쪽쟘늘치차감</f>
        <v>0</v>
      </c>
      <c r="Y18" s="4">
        <f>IF('쪽쟘(실측)'!T18&gt;5,'쪽쟘(실측)'!T18+뒷날개치수더함,0)</f>
        <v>0</v>
      </c>
      <c r="Z18" s="4">
        <f>'쪽쟘(실측)'!U18</f>
        <v>0</v>
      </c>
      <c r="AA18" s="4">
        <f>'쪽쟘(실측)'!V18</f>
        <v>0</v>
      </c>
      <c r="AC18">
        <f t="shared" si="8"/>
        <v>-3</v>
      </c>
      <c r="AD18">
        <f t="shared" si="9"/>
        <v>-3.5999999999999996</v>
      </c>
      <c r="AE18">
        <f t="shared" si="2"/>
        <v>-2.3999999999999995</v>
      </c>
      <c r="AF18">
        <f t="shared" si="10"/>
        <v>0</v>
      </c>
      <c r="AG18">
        <f t="shared" si="4"/>
        <v>-2.3999999999999995</v>
      </c>
      <c r="AH18">
        <f t="shared" si="11"/>
        <v>0</v>
      </c>
    </row>
    <row r="19" spans="1:34" ht="19.5" customHeight="1" x14ac:dyDescent="0.3">
      <c r="A19" s="50">
        <f>'쪽쟘(실측)'!A19</f>
        <v>0</v>
      </c>
      <c r="B19" s="50" t="str">
        <f>'쪽쟘(실측)'!B19&amp;"F"</f>
        <v>F</v>
      </c>
      <c r="C19" s="50" t="str">
        <f t="shared" si="5"/>
        <v>-3*-3.6</v>
      </c>
      <c r="D19" s="50">
        <f>'쪽쟘(실측)'!C19-쪽쟘OP차감</f>
        <v>-3</v>
      </c>
      <c r="E19" s="50">
        <f>'쪽쟘(실측)'!D19+쪽쟘J늘림+MAX(W19:X19)</f>
        <v>0</v>
      </c>
      <c r="F19" s="50">
        <f>'쪽쟘(실측)'!E19+쪽쟘J늘림+MAX(W19:X19)</f>
        <v>0</v>
      </c>
      <c r="G19" s="67" t="str">
        <f t="shared" si="6"/>
        <v>0*-2.4</v>
      </c>
      <c r="H19" s="68" t="str">
        <f t="shared" si="7"/>
        <v>0*-2.4</v>
      </c>
      <c r="I19" s="50">
        <f>IF('쪽쟘(실측)'!F19&gt;0,'쪽쟘(실측)'!F19-1.5,0)+뒷날개치수더함</f>
        <v>0</v>
      </c>
      <c r="J19" s="50">
        <f>IF('쪽쟘(실측)'!H19&gt;0,'쪽쟘(실측)'!H19-1.5,0)+뒷날개치수더함</f>
        <v>0</v>
      </c>
      <c r="K19" s="50">
        <f>IF('쪽쟘(실측)'!F19&gt;0,'쪽쟘(실측)'!F19+0,0)+뒷날개치수더함</f>
        <v>0</v>
      </c>
      <c r="L19" s="50">
        <f>IF('쪽쟘(실측)'!G19&gt;0,'쪽쟘(실측)'!G19+0,0)+뒷날개치수더함</f>
        <v>0</v>
      </c>
      <c r="M19" s="50">
        <f>IF('쪽쟘(실측)'!H19&gt;0,'쪽쟘(실측)'!H19+0,0)+뒷날개치수더함</f>
        <v>0</v>
      </c>
      <c r="N19" s="50">
        <f>IF('쪽쟘(실측)'!I19&gt;0,'쪽쟘(실측)'!I19+0,0)+뒷날개치수더함</f>
        <v>0</v>
      </c>
      <c r="O19" s="50">
        <f>'쪽쟘(실측)'!J19-쪽쟘기둥차감</f>
        <v>0</v>
      </c>
      <c r="P19" s="50">
        <f>'쪽쟘(실측)'!K19-쪽쟘기둥차감</f>
        <v>0</v>
      </c>
      <c r="Q19" s="50">
        <f>'쪽쟘(실측)'!L19-쪽쟘기둥차감</f>
        <v>0</v>
      </c>
      <c r="R19" s="50">
        <f>'쪽쟘(실측)'!M19-쪽쟘기둥차감</f>
        <v>0</v>
      </c>
      <c r="S19" s="50">
        <f>'쪽쟘(실측)'!N19+뒷날개치수더함</f>
        <v>0</v>
      </c>
      <c r="T19" s="50">
        <f>'쪽쟘(실측)'!O19+뒷날개치수더함</f>
        <v>0</v>
      </c>
      <c r="U19" s="50">
        <f>'쪽쟘(실측)'!P19+뒷날개치수더함</f>
        <v>0</v>
      </c>
      <c r="V19" s="50">
        <f>'쪽쟘(실측)'!Q19+뒷날개치수더함</f>
        <v>0</v>
      </c>
      <c r="W19" s="50">
        <f>'쪽쟘(실측)'!R19-쪽쟘늘치차감</f>
        <v>0</v>
      </c>
      <c r="X19" s="50">
        <f>'쪽쟘(실측)'!S19-쪽쟘늘치차감</f>
        <v>0</v>
      </c>
      <c r="Y19" s="4">
        <f>IF('쪽쟘(실측)'!T19&gt;5,'쪽쟘(실측)'!T19+뒷날개치수더함,0)</f>
        <v>0</v>
      </c>
      <c r="Z19" s="4">
        <f>'쪽쟘(실측)'!U19</f>
        <v>0</v>
      </c>
      <c r="AA19" s="4">
        <f>'쪽쟘(실측)'!V19</f>
        <v>0</v>
      </c>
      <c r="AC19">
        <f t="shared" si="8"/>
        <v>-3</v>
      </c>
      <c r="AD19">
        <f t="shared" si="9"/>
        <v>-3.5999999999999996</v>
      </c>
      <c r="AE19">
        <f t="shared" si="2"/>
        <v>-2.3999999999999995</v>
      </c>
      <c r="AF19">
        <f t="shared" si="10"/>
        <v>0</v>
      </c>
      <c r="AG19">
        <f t="shared" si="4"/>
        <v>-2.3999999999999995</v>
      </c>
      <c r="AH19">
        <f t="shared" si="11"/>
        <v>0</v>
      </c>
    </row>
    <row r="20" spans="1:34" ht="19.5" customHeight="1" x14ac:dyDescent="0.3">
      <c r="A20" s="50">
        <f>'쪽쟘(실측)'!A20</f>
        <v>0</v>
      </c>
      <c r="B20" s="50" t="str">
        <f>'쪽쟘(실측)'!B20&amp;"F"</f>
        <v>F</v>
      </c>
      <c r="C20" s="50" t="str">
        <f t="shared" si="5"/>
        <v>-3*-3.6</v>
      </c>
      <c r="D20" s="50">
        <f>'쪽쟘(실측)'!C20-쪽쟘OP차감</f>
        <v>-3</v>
      </c>
      <c r="E20" s="50">
        <f>'쪽쟘(실측)'!D20+쪽쟘J늘림+MAX(W20:X20)</f>
        <v>0</v>
      </c>
      <c r="F20" s="50">
        <f>'쪽쟘(실측)'!E20+쪽쟘J늘림+MAX(W20:X20)</f>
        <v>0</v>
      </c>
      <c r="G20" s="67" t="str">
        <f t="shared" si="6"/>
        <v>0*-2.4</v>
      </c>
      <c r="H20" s="68" t="str">
        <f t="shared" si="7"/>
        <v>0*-2.4</v>
      </c>
      <c r="I20" s="50">
        <f>IF('쪽쟘(실측)'!F20&gt;0,'쪽쟘(실측)'!F20-1.5,0)+뒷날개치수더함</f>
        <v>0</v>
      </c>
      <c r="J20" s="50">
        <f>IF('쪽쟘(실측)'!H20&gt;0,'쪽쟘(실측)'!H20-1.5,0)+뒷날개치수더함</f>
        <v>0</v>
      </c>
      <c r="K20" s="50">
        <f>IF('쪽쟘(실측)'!F20&gt;0,'쪽쟘(실측)'!F20+0,0)+뒷날개치수더함</f>
        <v>0</v>
      </c>
      <c r="L20" s="50">
        <f>IF('쪽쟘(실측)'!G20&gt;0,'쪽쟘(실측)'!G20+0,0)+뒷날개치수더함</f>
        <v>0</v>
      </c>
      <c r="M20" s="50">
        <f>IF('쪽쟘(실측)'!H20&gt;0,'쪽쟘(실측)'!H20+0,0)+뒷날개치수더함</f>
        <v>0</v>
      </c>
      <c r="N20" s="50">
        <f>IF('쪽쟘(실측)'!I20&gt;0,'쪽쟘(실측)'!I20+0,0)+뒷날개치수더함</f>
        <v>0</v>
      </c>
      <c r="O20" s="50">
        <f>'쪽쟘(실측)'!J20-쪽쟘기둥차감</f>
        <v>0</v>
      </c>
      <c r="P20" s="50">
        <f>'쪽쟘(실측)'!K20-쪽쟘기둥차감</f>
        <v>0</v>
      </c>
      <c r="Q20" s="50">
        <f>'쪽쟘(실측)'!L20-쪽쟘기둥차감</f>
        <v>0</v>
      </c>
      <c r="R20" s="50">
        <f>'쪽쟘(실측)'!M20-쪽쟘기둥차감</f>
        <v>0</v>
      </c>
      <c r="S20" s="50">
        <f>'쪽쟘(실측)'!N20+뒷날개치수더함</f>
        <v>0</v>
      </c>
      <c r="T20" s="50">
        <f>'쪽쟘(실측)'!O20+뒷날개치수더함</f>
        <v>0</v>
      </c>
      <c r="U20" s="50">
        <f>'쪽쟘(실측)'!P20+뒷날개치수더함</f>
        <v>0</v>
      </c>
      <c r="V20" s="50">
        <f>'쪽쟘(실측)'!Q20+뒷날개치수더함</f>
        <v>0</v>
      </c>
      <c r="W20" s="50">
        <f>'쪽쟘(실측)'!R20-쪽쟘늘치차감</f>
        <v>0</v>
      </c>
      <c r="X20" s="50">
        <f>'쪽쟘(실측)'!S20-쪽쟘늘치차감</f>
        <v>0</v>
      </c>
      <c r="Y20" s="4">
        <f>IF('쪽쟘(실측)'!T20&gt;5,'쪽쟘(실측)'!T20+뒷날개치수더함,0)</f>
        <v>0</v>
      </c>
      <c r="Z20" s="4">
        <f>'쪽쟘(실측)'!U20</f>
        <v>0</v>
      </c>
      <c r="AA20" s="4">
        <f>'쪽쟘(실측)'!V20</f>
        <v>0</v>
      </c>
      <c r="AC20">
        <f t="shared" si="8"/>
        <v>-3</v>
      </c>
      <c r="AD20">
        <f t="shared" si="9"/>
        <v>-3.5999999999999996</v>
      </c>
      <c r="AE20">
        <f t="shared" si="2"/>
        <v>-2.3999999999999995</v>
      </c>
      <c r="AF20">
        <f t="shared" si="10"/>
        <v>0</v>
      </c>
      <c r="AG20">
        <f t="shared" si="4"/>
        <v>-2.3999999999999995</v>
      </c>
      <c r="AH20">
        <f t="shared" si="11"/>
        <v>0</v>
      </c>
    </row>
    <row r="21" spans="1:34" ht="19.5" customHeight="1" x14ac:dyDescent="0.3">
      <c r="A21" s="50">
        <f>'쪽쟘(실측)'!A21</f>
        <v>0</v>
      </c>
      <c r="B21" s="50" t="str">
        <f>'쪽쟘(실측)'!B21&amp;"F"</f>
        <v>F</v>
      </c>
      <c r="C21" s="50" t="str">
        <f t="shared" si="5"/>
        <v>-3*-3.6</v>
      </c>
      <c r="D21" s="50">
        <f>'쪽쟘(실측)'!C21-쪽쟘OP차감</f>
        <v>-3</v>
      </c>
      <c r="E21" s="50">
        <f>'쪽쟘(실측)'!D21+쪽쟘J늘림+MAX(W21:X21)</f>
        <v>0</v>
      </c>
      <c r="F21" s="50">
        <f>'쪽쟘(실측)'!E21+쪽쟘J늘림+MAX(W21:X21)</f>
        <v>0</v>
      </c>
      <c r="G21" s="67" t="str">
        <f t="shared" si="6"/>
        <v>0*-2.4</v>
      </c>
      <c r="H21" s="68" t="str">
        <f t="shared" si="7"/>
        <v>0*-2.4</v>
      </c>
      <c r="I21" s="50">
        <f>IF('쪽쟘(실측)'!F21&gt;0,'쪽쟘(실측)'!F21-1.5,0)+뒷날개치수더함</f>
        <v>0</v>
      </c>
      <c r="J21" s="50">
        <f>IF('쪽쟘(실측)'!H21&gt;0,'쪽쟘(실측)'!H21-1.5,0)+뒷날개치수더함</f>
        <v>0</v>
      </c>
      <c r="K21" s="50">
        <f>IF('쪽쟘(실측)'!F21&gt;0,'쪽쟘(실측)'!F21+0,0)+뒷날개치수더함</f>
        <v>0</v>
      </c>
      <c r="L21" s="50">
        <f>IF('쪽쟘(실측)'!G21&gt;0,'쪽쟘(실측)'!G21+0,0)+뒷날개치수더함</f>
        <v>0</v>
      </c>
      <c r="M21" s="50">
        <f>IF('쪽쟘(실측)'!H21&gt;0,'쪽쟘(실측)'!H21+0,0)+뒷날개치수더함</f>
        <v>0</v>
      </c>
      <c r="N21" s="50">
        <f>IF('쪽쟘(실측)'!I21&gt;0,'쪽쟘(실측)'!I21+0,0)+뒷날개치수더함</f>
        <v>0</v>
      </c>
      <c r="O21" s="50">
        <f>'쪽쟘(실측)'!J21-쪽쟘기둥차감</f>
        <v>0</v>
      </c>
      <c r="P21" s="50">
        <f>'쪽쟘(실측)'!K21-쪽쟘기둥차감</f>
        <v>0</v>
      </c>
      <c r="Q21" s="50">
        <f>'쪽쟘(실측)'!L21-쪽쟘기둥차감</f>
        <v>0</v>
      </c>
      <c r="R21" s="50">
        <f>'쪽쟘(실측)'!M21-쪽쟘기둥차감</f>
        <v>0</v>
      </c>
      <c r="S21" s="50">
        <f>'쪽쟘(실측)'!N21+뒷날개치수더함</f>
        <v>0</v>
      </c>
      <c r="T21" s="50">
        <f>'쪽쟘(실측)'!O21+뒷날개치수더함</f>
        <v>0</v>
      </c>
      <c r="U21" s="50">
        <f>'쪽쟘(실측)'!P21+뒷날개치수더함</f>
        <v>0</v>
      </c>
      <c r="V21" s="50">
        <f>'쪽쟘(실측)'!Q21+뒷날개치수더함</f>
        <v>0</v>
      </c>
      <c r="W21" s="50">
        <f>'쪽쟘(실측)'!R21-쪽쟘늘치차감</f>
        <v>0</v>
      </c>
      <c r="X21" s="50">
        <f>'쪽쟘(실측)'!S21-쪽쟘늘치차감</f>
        <v>0</v>
      </c>
      <c r="Y21" s="4">
        <f>IF('쪽쟘(실측)'!T21&gt;5,'쪽쟘(실측)'!T21+뒷날개치수더함,0)</f>
        <v>0</v>
      </c>
      <c r="Z21" s="4">
        <f>'쪽쟘(실측)'!U21</f>
        <v>0</v>
      </c>
      <c r="AA21" s="4">
        <f>'쪽쟘(실측)'!V21</f>
        <v>0</v>
      </c>
      <c r="AC21">
        <f t="shared" si="8"/>
        <v>-3</v>
      </c>
      <c r="AD21">
        <f t="shared" si="9"/>
        <v>-3.5999999999999996</v>
      </c>
      <c r="AE21">
        <f t="shared" si="2"/>
        <v>-2.3999999999999995</v>
      </c>
      <c r="AF21">
        <f t="shared" si="10"/>
        <v>0</v>
      </c>
      <c r="AG21">
        <f t="shared" si="4"/>
        <v>-2.3999999999999995</v>
      </c>
      <c r="AH21">
        <f t="shared" si="11"/>
        <v>0</v>
      </c>
    </row>
    <row r="22" spans="1:34" ht="19.5" customHeight="1" x14ac:dyDescent="0.3">
      <c r="A22" s="50">
        <f>'쪽쟘(실측)'!A22</f>
        <v>0</v>
      </c>
      <c r="B22" s="50" t="str">
        <f>'쪽쟘(실측)'!B22&amp;"F"</f>
        <v>F</v>
      </c>
      <c r="C22" s="50" t="str">
        <f t="shared" si="5"/>
        <v>-3*-3.6</v>
      </c>
      <c r="D22" s="50">
        <f>'쪽쟘(실측)'!C22-쪽쟘OP차감</f>
        <v>-3</v>
      </c>
      <c r="E22" s="50">
        <f>'쪽쟘(실측)'!D22+쪽쟘J늘림+MAX(W22:X22)</f>
        <v>0</v>
      </c>
      <c r="F22" s="50">
        <f>'쪽쟘(실측)'!E22+쪽쟘J늘림+MAX(W22:X22)</f>
        <v>0</v>
      </c>
      <c r="G22" s="67" t="str">
        <f t="shared" si="6"/>
        <v>0*-2.4</v>
      </c>
      <c r="H22" s="68" t="str">
        <f t="shared" si="7"/>
        <v>0*-2.4</v>
      </c>
      <c r="I22" s="50">
        <f>IF('쪽쟘(실측)'!F22&gt;0,'쪽쟘(실측)'!F22-1.5,0)+뒷날개치수더함</f>
        <v>0</v>
      </c>
      <c r="J22" s="50">
        <f>IF('쪽쟘(실측)'!H22&gt;0,'쪽쟘(실측)'!H22-1.5,0)+뒷날개치수더함</f>
        <v>0</v>
      </c>
      <c r="K22" s="50">
        <f>IF('쪽쟘(실측)'!F22&gt;0,'쪽쟘(실측)'!F22+0,0)+뒷날개치수더함</f>
        <v>0</v>
      </c>
      <c r="L22" s="50">
        <f>IF('쪽쟘(실측)'!G22&gt;0,'쪽쟘(실측)'!G22+0,0)+뒷날개치수더함</f>
        <v>0</v>
      </c>
      <c r="M22" s="50">
        <f>IF('쪽쟘(실측)'!H22&gt;0,'쪽쟘(실측)'!H22+0,0)+뒷날개치수더함</f>
        <v>0</v>
      </c>
      <c r="N22" s="50">
        <f>IF('쪽쟘(실측)'!I22&gt;0,'쪽쟘(실측)'!I22+0,0)+뒷날개치수더함</f>
        <v>0</v>
      </c>
      <c r="O22" s="50">
        <f>'쪽쟘(실측)'!J22-쪽쟘기둥차감</f>
        <v>0</v>
      </c>
      <c r="P22" s="50">
        <f>'쪽쟘(실측)'!K22-쪽쟘기둥차감</f>
        <v>0</v>
      </c>
      <c r="Q22" s="50">
        <f>'쪽쟘(실측)'!L22-쪽쟘기둥차감</f>
        <v>0</v>
      </c>
      <c r="R22" s="50">
        <f>'쪽쟘(실측)'!M22-쪽쟘기둥차감</f>
        <v>0</v>
      </c>
      <c r="S22" s="50">
        <f>'쪽쟘(실측)'!N22+뒷날개치수더함</f>
        <v>0</v>
      </c>
      <c r="T22" s="50">
        <f>'쪽쟘(실측)'!O22+뒷날개치수더함</f>
        <v>0</v>
      </c>
      <c r="U22" s="50">
        <f>'쪽쟘(실측)'!P22+뒷날개치수더함</f>
        <v>0</v>
      </c>
      <c r="V22" s="50">
        <f>'쪽쟘(실측)'!Q22+뒷날개치수더함</f>
        <v>0</v>
      </c>
      <c r="W22" s="50">
        <f>'쪽쟘(실측)'!R22-쪽쟘늘치차감</f>
        <v>0</v>
      </c>
      <c r="X22" s="50">
        <f>'쪽쟘(실측)'!S22-쪽쟘늘치차감</f>
        <v>0</v>
      </c>
      <c r="Y22" s="4">
        <f>IF('쪽쟘(실측)'!T22&gt;5,'쪽쟘(실측)'!T22+뒷날개치수더함,0)</f>
        <v>0</v>
      </c>
      <c r="Z22" s="4">
        <f>'쪽쟘(실측)'!U22</f>
        <v>0</v>
      </c>
      <c r="AA22" s="4">
        <f>'쪽쟘(실측)'!V22</f>
        <v>0</v>
      </c>
      <c r="AC22">
        <f t="shared" si="8"/>
        <v>-3</v>
      </c>
      <c r="AD22">
        <f t="shared" si="9"/>
        <v>-3.5999999999999996</v>
      </c>
      <c r="AE22">
        <f t="shared" si="2"/>
        <v>-2.3999999999999995</v>
      </c>
      <c r="AF22">
        <f t="shared" si="10"/>
        <v>0</v>
      </c>
      <c r="AG22">
        <f t="shared" si="4"/>
        <v>-2.3999999999999995</v>
      </c>
      <c r="AH22">
        <f t="shared" si="11"/>
        <v>0</v>
      </c>
    </row>
    <row r="23" spans="1:34" ht="19.5" customHeight="1" x14ac:dyDescent="0.3">
      <c r="A23" s="50">
        <f>'쪽쟘(실측)'!A23</f>
        <v>0</v>
      </c>
      <c r="B23" s="50" t="str">
        <f>'쪽쟘(실측)'!B23&amp;"F"</f>
        <v>F</v>
      </c>
      <c r="C23" s="50" t="str">
        <f t="shared" si="5"/>
        <v>-3*-3.6</v>
      </c>
      <c r="D23" s="50">
        <f>'쪽쟘(실측)'!C23-쪽쟘OP차감</f>
        <v>-3</v>
      </c>
      <c r="E23" s="50">
        <f>'쪽쟘(실측)'!D23+쪽쟘J늘림+MAX(W23:X23)</f>
        <v>0</v>
      </c>
      <c r="F23" s="50">
        <f>'쪽쟘(실측)'!E23+쪽쟘J늘림+MAX(W23:X23)</f>
        <v>0</v>
      </c>
      <c r="G23" s="67" t="str">
        <f t="shared" si="6"/>
        <v>0*-2.4</v>
      </c>
      <c r="H23" s="68" t="str">
        <f t="shared" si="7"/>
        <v>0*-2.4</v>
      </c>
      <c r="I23" s="50">
        <f>IF('쪽쟘(실측)'!F23&gt;0,'쪽쟘(실측)'!F23-1.5,0)+뒷날개치수더함</f>
        <v>0</v>
      </c>
      <c r="J23" s="50">
        <f>IF('쪽쟘(실측)'!H23&gt;0,'쪽쟘(실측)'!H23-1.5,0)+뒷날개치수더함</f>
        <v>0</v>
      </c>
      <c r="K23" s="50">
        <f>IF('쪽쟘(실측)'!F23&gt;0,'쪽쟘(실측)'!F23+0,0)+뒷날개치수더함</f>
        <v>0</v>
      </c>
      <c r="L23" s="50">
        <f>IF('쪽쟘(실측)'!G23&gt;0,'쪽쟘(실측)'!G23+0,0)+뒷날개치수더함</f>
        <v>0</v>
      </c>
      <c r="M23" s="50">
        <f>IF('쪽쟘(실측)'!H23&gt;0,'쪽쟘(실측)'!H23+0,0)+뒷날개치수더함</f>
        <v>0</v>
      </c>
      <c r="N23" s="50">
        <f>IF('쪽쟘(실측)'!I23&gt;0,'쪽쟘(실측)'!I23+0,0)+뒷날개치수더함</f>
        <v>0</v>
      </c>
      <c r="O23" s="50">
        <f>'쪽쟘(실측)'!J23-쪽쟘기둥차감</f>
        <v>0</v>
      </c>
      <c r="P23" s="50">
        <f>'쪽쟘(실측)'!K23-쪽쟘기둥차감</f>
        <v>0</v>
      </c>
      <c r="Q23" s="50">
        <f>'쪽쟘(실측)'!L23-쪽쟘기둥차감</f>
        <v>0</v>
      </c>
      <c r="R23" s="50">
        <f>'쪽쟘(실측)'!M23-쪽쟘기둥차감</f>
        <v>0</v>
      </c>
      <c r="S23" s="50">
        <f>'쪽쟘(실측)'!N23+뒷날개치수더함</f>
        <v>0</v>
      </c>
      <c r="T23" s="50">
        <f>'쪽쟘(실측)'!O23+뒷날개치수더함</f>
        <v>0</v>
      </c>
      <c r="U23" s="50">
        <f>'쪽쟘(실측)'!P23+뒷날개치수더함</f>
        <v>0</v>
      </c>
      <c r="V23" s="50">
        <f>'쪽쟘(실측)'!Q23+뒷날개치수더함</f>
        <v>0</v>
      </c>
      <c r="W23" s="50">
        <f>'쪽쟘(실측)'!R23-쪽쟘늘치차감</f>
        <v>0</v>
      </c>
      <c r="X23" s="50">
        <f>'쪽쟘(실측)'!S23-쪽쟘늘치차감</f>
        <v>0</v>
      </c>
      <c r="Y23" s="4">
        <f>IF('쪽쟘(실측)'!T23&gt;5,'쪽쟘(실측)'!T23+뒷날개치수더함,0)</f>
        <v>0</v>
      </c>
      <c r="Z23" s="4">
        <f>'쪽쟘(실측)'!U23</f>
        <v>0</v>
      </c>
      <c r="AA23" s="4">
        <f>'쪽쟘(실측)'!V23</f>
        <v>0</v>
      </c>
      <c r="AC23">
        <f t="shared" si="8"/>
        <v>-3</v>
      </c>
      <c r="AD23">
        <f t="shared" si="9"/>
        <v>-3.5999999999999996</v>
      </c>
      <c r="AE23">
        <f t="shared" si="2"/>
        <v>-2.3999999999999995</v>
      </c>
      <c r="AF23">
        <f t="shared" si="10"/>
        <v>0</v>
      </c>
      <c r="AG23">
        <f t="shared" si="4"/>
        <v>-2.3999999999999995</v>
      </c>
      <c r="AH23">
        <f t="shared" si="11"/>
        <v>0</v>
      </c>
    </row>
    <row r="24" spans="1:34" ht="19.5" customHeight="1" x14ac:dyDescent="0.3">
      <c r="A24" s="50">
        <f>'쪽쟘(실측)'!A24</f>
        <v>0</v>
      </c>
      <c r="B24" s="50" t="str">
        <f>'쪽쟘(실측)'!B24&amp;"F"</f>
        <v>F</v>
      </c>
      <c r="C24" s="50" t="str">
        <f t="shared" si="5"/>
        <v>-3*-3.6</v>
      </c>
      <c r="D24" s="50">
        <f>'쪽쟘(실측)'!C24-쪽쟘OP차감</f>
        <v>-3</v>
      </c>
      <c r="E24" s="50">
        <f>'쪽쟘(실측)'!D24+쪽쟘J늘림+MAX(W24:X24)</f>
        <v>0</v>
      </c>
      <c r="F24" s="50">
        <f>'쪽쟘(실측)'!E24+쪽쟘J늘림+MAX(W24:X24)</f>
        <v>0</v>
      </c>
      <c r="G24" s="67" t="str">
        <f t="shared" si="6"/>
        <v>0*-2.4</v>
      </c>
      <c r="H24" s="68" t="str">
        <f t="shared" si="7"/>
        <v>0*-2.4</v>
      </c>
      <c r="I24" s="50">
        <f>IF('쪽쟘(실측)'!F24&gt;0,'쪽쟘(실측)'!F24-1.5,0)+뒷날개치수더함</f>
        <v>0</v>
      </c>
      <c r="J24" s="50">
        <f>IF('쪽쟘(실측)'!H24&gt;0,'쪽쟘(실측)'!H24-1.5,0)+뒷날개치수더함</f>
        <v>0</v>
      </c>
      <c r="K24" s="50">
        <f>IF('쪽쟘(실측)'!F24&gt;0,'쪽쟘(실측)'!F24+0,0)+뒷날개치수더함</f>
        <v>0</v>
      </c>
      <c r="L24" s="50">
        <f>IF('쪽쟘(실측)'!G24&gt;0,'쪽쟘(실측)'!G24+0,0)+뒷날개치수더함</f>
        <v>0</v>
      </c>
      <c r="M24" s="50">
        <f>IF('쪽쟘(실측)'!H24&gt;0,'쪽쟘(실측)'!H24+0,0)+뒷날개치수더함</f>
        <v>0</v>
      </c>
      <c r="N24" s="50">
        <f>IF('쪽쟘(실측)'!I24&gt;0,'쪽쟘(실측)'!I24+0,0)+뒷날개치수더함</f>
        <v>0</v>
      </c>
      <c r="O24" s="50">
        <f>'쪽쟘(실측)'!J24-쪽쟘기둥차감</f>
        <v>0</v>
      </c>
      <c r="P24" s="50">
        <f>'쪽쟘(실측)'!K24-쪽쟘기둥차감</f>
        <v>0</v>
      </c>
      <c r="Q24" s="50">
        <f>'쪽쟘(실측)'!L24-쪽쟘기둥차감</f>
        <v>0</v>
      </c>
      <c r="R24" s="50">
        <f>'쪽쟘(실측)'!M24-쪽쟘기둥차감</f>
        <v>0</v>
      </c>
      <c r="S24" s="50">
        <f>'쪽쟘(실측)'!N24+뒷날개치수더함</f>
        <v>0</v>
      </c>
      <c r="T24" s="50">
        <f>'쪽쟘(실측)'!O24+뒷날개치수더함</f>
        <v>0</v>
      </c>
      <c r="U24" s="50">
        <f>'쪽쟘(실측)'!P24+뒷날개치수더함</f>
        <v>0</v>
      </c>
      <c r="V24" s="50">
        <f>'쪽쟘(실측)'!Q24+뒷날개치수더함</f>
        <v>0</v>
      </c>
      <c r="W24" s="50">
        <f>'쪽쟘(실측)'!R24-쪽쟘늘치차감</f>
        <v>0</v>
      </c>
      <c r="X24" s="50">
        <f>'쪽쟘(실측)'!S24-쪽쟘늘치차감</f>
        <v>0</v>
      </c>
      <c r="Y24" s="4">
        <f>IF('쪽쟘(실측)'!T24&gt;5,'쪽쟘(실측)'!T24+뒷날개치수더함,0)</f>
        <v>0</v>
      </c>
      <c r="Z24" s="4">
        <f>'쪽쟘(실측)'!U24</f>
        <v>0</v>
      </c>
      <c r="AA24" s="4">
        <f>'쪽쟘(실측)'!V24</f>
        <v>0</v>
      </c>
      <c r="AC24">
        <f t="shared" si="8"/>
        <v>-3</v>
      </c>
      <c r="AD24">
        <f t="shared" si="9"/>
        <v>-3.5999999999999996</v>
      </c>
      <c r="AE24">
        <f t="shared" si="2"/>
        <v>-2.3999999999999995</v>
      </c>
      <c r="AF24">
        <f t="shared" si="10"/>
        <v>0</v>
      </c>
      <c r="AG24">
        <f t="shared" si="4"/>
        <v>-2.3999999999999995</v>
      </c>
      <c r="AH24">
        <f t="shared" si="11"/>
        <v>0</v>
      </c>
    </row>
    <row r="25" spans="1:34" ht="19.5" customHeight="1" x14ac:dyDescent="0.3">
      <c r="A25" s="50">
        <f>'쪽쟘(실측)'!A25</f>
        <v>0</v>
      </c>
      <c r="B25" s="50" t="str">
        <f>'쪽쟘(실측)'!B25&amp;"F"</f>
        <v>F</v>
      </c>
      <c r="C25" s="50" t="str">
        <f t="shared" si="5"/>
        <v>-3*-3.6</v>
      </c>
      <c r="D25" s="50">
        <f>'쪽쟘(실측)'!C25-쪽쟘OP차감</f>
        <v>-3</v>
      </c>
      <c r="E25" s="50">
        <f>'쪽쟘(실측)'!D25+쪽쟘J늘림+MAX(W25:X25)</f>
        <v>0</v>
      </c>
      <c r="F25" s="50">
        <f>'쪽쟘(실측)'!E25+쪽쟘J늘림+MAX(W25:X25)</f>
        <v>0</v>
      </c>
      <c r="G25" s="67" t="str">
        <f t="shared" si="6"/>
        <v>0*-2.4</v>
      </c>
      <c r="H25" s="68" t="str">
        <f t="shared" si="7"/>
        <v>0*-2.4</v>
      </c>
      <c r="I25" s="50">
        <f>IF('쪽쟘(실측)'!F25&gt;0,'쪽쟘(실측)'!F25-1.5,0)+뒷날개치수더함</f>
        <v>0</v>
      </c>
      <c r="J25" s="50">
        <f>IF('쪽쟘(실측)'!H25&gt;0,'쪽쟘(실측)'!H25-1.5,0)+뒷날개치수더함</f>
        <v>0</v>
      </c>
      <c r="K25" s="50">
        <f>IF('쪽쟘(실측)'!F25&gt;0,'쪽쟘(실측)'!F25+0,0)+뒷날개치수더함</f>
        <v>0</v>
      </c>
      <c r="L25" s="50">
        <f>IF('쪽쟘(실측)'!G25&gt;0,'쪽쟘(실측)'!G25+0,0)+뒷날개치수더함</f>
        <v>0</v>
      </c>
      <c r="M25" s="50">
        <f>IF('쪽쟘(실측)'!H25&gt;0,'쪽쟘(실측)'!H25+0,0)+뒷날개치수더함</f>
        <v>0</v>
      </c>
      <c r="N25" s="50">
        <f>IF('쪽쟘(실측)'!I25&gt;0,'쪽쟘(실측)'!I25+0,0)+뒷날개치수더함</f>
        <v>0</v>
      </c>
      <c r="O25" s="50">
        <f>'쪽쟘(실측)'!J25-쪽쟘기둥차감</f>
        <v>0</v>
      </c>
      <c r="P25" s="50">
        <f>'쪽쟘(실측)'!K25-쪽쟘기둥차감</f>
        <v>0</v>
      </c>
      <c r="Q25" s="50">
        <f>'쪽쟘(실측)'!L25-쪽쟘기둥차감</f>
        <v>0</v>
      </c>
      <c r="R25" s="50">
        <f>'쪽쟘(실측)'!M25-쪽쟘기둥차감</f>
        <v>0</v>
      </c>
      <c r="S25" s="50">
        <f>'쪽쟘(실측)'!N25+뒷날개치수더함</f>
        <v>0</v>
      </c>
      <c r="T25" s="50">
        <f>'쪽쟘(실측)'!O25+뒷날개치수더함</f>
        <v>0</v>
      </c>
      <c r="U25" s="50">
        <f>'쪽쟘(실측)'!P25+뒷날개치수더함</f>
        <v>0</v>
      </c>
      <c r="V25" s="50">
        <f>'쪽쟘(실측)'!Q25+뒷날개치수더함</f>
        <v>0</v>
      </c>
      <c r="W25" s="50">
        <f>'쪽쟘(실측)'!R25-쪽쟘늘치차감</f>
        <v>0</v>
      </c>
      <c r="X25" s="50">
        <f>'쪽쟘(실측)'!S25-쪽쟘늘치차감</f>
        <v>0</v>
      </c>
      <c r="Y25" s="4">
        <f>IF('쪽쟘(실측)'!T25&gt;5,'쪽쟘(실측)'!T25+뒷날개치수더함,0)</f>
        <v>0</v>
      </c>
      <c r="Z25" s="4">
        <f>'쪽쟘(실측)'!U25</f>
        <v>0</v>
      </c>
      <c r="AA25" s="4">
        <f>'쪽쟘(실측)'!V25</f>
        <v>0</v>
      </c>
      <c r="AC25">
        <f t="shared" si="8"/>
        <v>-3</v>
      </c>
      <c r="AD25">
        <f t="shared" si="9"/>
        <v>-3.5999999999999996</v>
      </c>
      <c r="AE25">
        <f t="shared" si="2"/>
        <v>-2.3999999999999995</v>
      </c>
      <c r="AF25">
        <f t="shared" si="10"/>
        <v>0</v>
      </c>
      <c r="AG25">
        <f t="shared" si="4"/>
        <v>-2.3999999999999995</v>
      </c>
      <c r="AH25">
        <f t="shared" si="11"/>
        <v>0</v>
      </c>
    </row>
    <row r="26" spans="1:34" ht="19.5" customHeight="1" x14ac:dyDescent="0.3">
      <c r="A26" s="50">
        <f>'쪽쟘(실측)'!A26</f>
        <v>0</v>
      </c>
      <c r="B26" s="50" t="str">
        <f>'쪽쟘(실측)'!B26&amp;"F"</f>
        <v>F</v>
      </c>
      <c r="C26" s="50" t="str">
        <f t="shared" ref="C26:C34" si="12">AC26&amp;"*"&amp;AD26</f>
        <v>-3*-3.6</v>
      </c>
      <c r="D26" s="50">
        <f>'쪽쟘(실측)'!C26-쪽쟘OP차감</f>
        <v>-3</v>
      </c>
      <c r="E26" s="50">
        <f>'쪽쟘(실측)'!D26+쪽쟘J늘림+MAX(W26:X26)</f>
        <v>0</v>
      </c>
      <c r="F26" s="50">
        <f>'쪽쟘(실측)'!E26+쪽쟘J늘림+MAX(W26:X26)</f>
        <v>0</v>
      </c>
      <c r="G26" s="67" t="str">
        <f t="shared" ref="G26:G34" si="13">AF26&amp;"*"&amp;AE26</f>
        <v>0*-2.4</v>
      </c>
      <c r="H26" s="68" t="str">
        <f t="shared" ref="H26:H34" si="14">AH26&amp;"*"&amp;AG26</f>
        <v>0*-2.4</v>
      </c>
      <c r="I26" s="50">
        <f>IF('쪽쟘(실측)'!F26&gt;0,'쪽쟘(실측)'!F26-1.5,0)+뒷날개치수더함</f>
        <v>0</v>
      </c>
      <c r="J26" s="50">
        <f>IF('쪽쟘(실측)'!H26&gt;0,'쪽쟘(실측)'!H26-1.5,0)+뒷날개치수더함</f>
        <v>0</v>
      </c>
      <c r="K26" s="50">
        <f>IF('쪽쟘(실측)'!F26&gt;0,'쪽쟘(실측)'!F26+0,0)+뒷날개치수더함</f>
        <v>0</v>
      </c>
      <c r="L26" s="50">
        <f>IF('쪽쟘(실측)'!G26&gt;0,'쪽쟘(실측)'!G26+0,0)+뒷날개치수더함</f>
        <v>0</v>
      </c>
      <c r="M26" s="50">
        <f>IF('쪽쟘(실측)'!H26&gt;0,'쪽쟘(실측)'!H26+0,0)+뒷날개치수더함</f>
        <v>0</v>
      </c>
      <c r="N26" s="50">
        <f>IF('쪽쟘(실측)'!I26&gt;0,'쪽쟘(실측)'!I26+0,0)+뒷날개치수더함</f>
        <v>0</v>
      </c>
      <c r="O26" s="50">
        <f>'쪽쟘(실측)'!J26-쪽쟘기둥차감</f>
        <v>0</v>
      </c>
      <c r="P26" s="50">
        <f>'쪽쟘(실측)'!K26-쪽쟘기둥차감</f>
        <v>0</v>
      </c>
      <c r="Q26" s="50">
        <f>'쪽쟘(실측)'!L26-쪽쟘기둥차감</f>
        <v>0</v>
      </c>
      <c r="R26" s="50">
        <f>'쪽쟘(실측)'!M26-쪽쟘기둥차감</f>
        <v>0</v>
      </c>
      <c r="S26" s="50">
        <f>'쪽쟘(실측)'!N26+뒷날개치수더함</f>
        <v>0</v>
      </c>
      <c r="T26" s="50">
        <f>'쪽쟘(실측)'!O26+뒷날개치수더함</f>
        <v>0</v>
      </c>
      <c r="U26" s="50">
        <f>'쪽쟘(실측)'!P26+뒷날개치수더함</f>
        <v>0</v>
      </c>
      <c r="V26" s="50">
        <f>'쪽쟘(실측)'!Q26+뒷날개치수더함</f>
        <v>0</v>
      </c>
      <c r="W26" s="50">
        <f>'쪽쟘(실측)'!R26-쪽쟘늘치차감</f>
        <v>0</v>
      </c>
      <c r="X26" s="50">
        <f>'쪽쟘(실측)'!S26-쪽쟘늘치차감</f>
        <v>0</v>
      </c>
      <c r="Y26" s="4">
        <f>IF('쪽쟘(실측)'!T26&gt;5,'쪽쟘(실측)'!T26+뒷날개치수더함,0)</f>
        <v>0</v>
      </c>
      <c r="Z26" s="4">
        <f>'쪽쟘(실측)'!U26</f>
        <v>0</v>
      </c>
      <c r="AA26" s="4">
        <f>'쪽쟘(실측)'!V26</f>
        <v>0</v>
      </c>
      <c r="AC26">
        <f t="shared" ref="AC26:AC34" si="15">D26+I26+J26</f>
        <v>-3</v>
      </c>
      <c r="AD26">
        <f t="shared" ref="AD26:AD34" si="16">U26+E26+MAX(S26,T26)-쪽쟘소재t*3+IF(S26=0,S26*쪽쟘소재t,0)</f>
        <v>-3.5999999999999996</v>
      </c>
      <c r="AE26">
        <f t="shared" ref="AE26:AE34" si="17">MAX(K26,L26)+F26+V26-쪽쟘소재t*3+IF(K26=0,쪽쟘소재t)-IF(AA26=90,2.4,0)</f>
        <v>-2.3999999999999995</v>
      </c>
      <c r="AF26">
        <f t="shared" ref="AF26:AF34" si="18">MAX(O26,P26)</f>
        <v>0</v>
      </c>
      <c r="AG26">
        <f t="shared" ref="AG26:AG34" si="19">MAX(M26,N26)+F26+V26-쪽쟘소재t*3+IF(M26=0,쪽쟘소재t)-IF(AA26=90,2.4,0)</f>
        <v>-2.3999999999999995</v>
      </c>
      <c r="AH26">
        <f t="shared" ref="AH26:AH34" si="20">MAX(Q26,R26)</f>
        <v>0</v>
      </c>
    </row>
    <row r="27" spans="1:34" ht="19.5" customHeight="1" x14ac:dyDescent="0.3">
      <c r="A27" s="50">
        <f>'쪽쟘(실측)'!A27</f>
        <v>0</v>
      </c>
      <c r="B27" s="50" t="str">
        <f>'쪽쟘(실측)'!B27&amp;"F"</f>
        <v>F</v>
      </c>
      <c r="C27" s="50" t="str">
        <f t="shared" si="12"/>
        <v>-3*-3.6</v>
      </c>
      <c r="D27" s="50">
        <f>'쪽쟘(실측)'!C27-쪽쟘OP차감</f>
        <v>-3</v>
      </c>
      <c r="E27" s="50">
        <f>'쪽쟘(실측)'!D27+쪽쟘J늘림+MAX(W27:X27)</f>
        <v>0</v>
      </c>
      <c r="F27" s="50">
        <f>'쪽쟘(실측)'!E27+쪽쟘J늘림+MAX(W27:X27)</f>
        <v>0</v>
      </c>
      <c r="G27" s="67" t="str">
        <f t="shared" si="13"/>
        <v>0*-2.4</v>
      </c>
      <c r="H27" s="68" t="str">
        <f t="shared" si="14"/>
        <v>0*-2.4</v>
      </c>
      <c r="I27" s="50">
        <f>IF('쪽쟘(실측)'!F27&gt;0,'쪽쟘(실측)'!F27-1.5,0)+뒷날개치수더함</f>
        <v>0</v>
      </c>
      <c r="J27" s="50">
        <f>IF('쪽쟘(실측)'!H27&gt;0,'쪽쟘(실측)'!H27-1.5,0)+뒷날개치수더함</f>
        <v>0</v>
      </c>
      <c r="K27" s="50">
        <f>IF('쪽쟘(실측)'!F27&gt;0,'쪽쟘(실측)'!F27+0,0)+뒷날개치수더함</f>
        <v>0</v>
      </c>
      <c r="L27" s="50">
        <f>IF('쪽쟘(실측)'!G27&gt;0,'쪽쟘(실측)'!G27+0,0)+뒷날개치수더함</f>
        <v>0</v>
      </c>
      <c r="M27" s="50">
        <f>IF('쪽쟘(실측)'!H27&gt;0,'쪽쟘(실측)'!H27+0,0)+뒷날개치수더함</f>
        <v>0</v>
      </c>
      <c r="N27" s="50">
        <f>IF('쪽쟘(실측)'!I27&gt;0,'쪽쟘(실측)'!I27+0,0)+뒷날개치수더함</f>
        <v>0</v>
      </c>
      <c r="O27" s="50">
        <f>'쪽쟘(실측)'!J27-쪽쟘기둥차감</f>
        <v>0</v>
      </c>
      <c r="P27" s="50">
        <f>'쪽쟘(실측)'!K27-쪽쟘기둥차감</f>
        <v>0</v>
      </c>
      <c r="Q27" s="50">
        <f>'쪽쟘(실측)'!L27-쪽쟘기둥차감</f>
        <v>0</v>
      </c>
      <c r="R27" s="50">
        <f>'쪽쟘(실측)'!M27-쪽쟘기둥차감</f>
        <v>0</v>
      </c>
      <c r="S27" s="50">
        <f>'쪽쟘(실측)'!N27+뒷날개치수더함</f>
        <v>0</v>
      </c>
      <c r="T27" s="50">
        <f>'쪽쟘(실측)'!O27+뒷날개치수더함</f>
        <v>0</v>
      </c>
      <c r="U27" s="50">
        <f>'쪽쟘(실측)'!P27+뒷날개치수더함</f>
        <v>0</v>
      </c>
      <c r="V27" s="50">
        <f>'쪽쟘(실측)'!Q27+뒷날개치수더함</f>
        <v>0</v>
      </c>
      <c r="W27" s="50">
        <f>'쪽쟘(실측)'!R27-쪽쟘늘치차감</f>
        <v>0</v>
      </c>
      <c r="X27" s="50">
        <f>'쪽쟘(실측)'!S27-쪽쟘늘치차감</f>
        <v>0</v>
      </c>
      <c r="Y27" s="4">
        <f>IF('쪽쟘(실측)'!T27&gt;5,'쪽쟘(실측)'!T27+뒷날개치수더함,0)</f>
        <v>0</v>
      </c>
      <c r="Z27" s="4">
        <f>'쪽쟘(실측)'!U27</f>
        <v>0</v>
      </c>
      <c r="AA27" s="4">
        <f>'쪽쟘(실측)'!V27</f>
        <v>0</v>
      </c>
      <c r="AC27">
        <f t="shared" si="15"/>
        <v>-3</v>
      </c>
      <c r="AD27">
        <f t="shared" si="16"/>
        <v>-3.5999999999999996</v>
      </c>
      <c r="AE27">
        <f t="shared" si="17"/>
        <v>-2.3999999999999995</v>
      </c>
      <c r="AF27">
        <f t="shared" si="18"/>
        <v>0</v>
      </c>
      <c r="AG27">
        <f t="shared" si="19"/>
        <v>-2.3999999999999995</v>
      </c>
      <c r="AH27">
        <f t="shared" si="20"/>
        <v>0</v>
      </c>
    </row>
    <row r="28" spans="1:34" ht="19.5" customHeight="1" x14ac:dyDescent="0.3">
      <c r="A28" s="50">
        <f>'쪽쟘(실측)'!A28</f>
        <v>0</v>
      </c>
      <c r="B28" s="50" t="str">
        <f>'쪽쟘(실측)'!B28&amp;"F"</f>
        <v>F</v>
      </c>
      <c r="C28" s="50" t="str">
        <f t="shared" si="12"/>
        <v>-3*-3.6</v>
      </c>
      <c r="D28" s="50">
        <f>'쪽쟘(실측)'!C28-쪽쟘OP차감</f>
        <v>-3</v>
      </c>
      <c r="E28" s="50">
        <f>'쪽쟘(실측)'!D28+쪽쟘J늘림+MAX(W28:X28)</f>
        <v>0</v>
      </c>
      <c r="F28" s="50">
        <f>'쪽쟘(실측)'!E28+쪽쟘J늘림+MAX(W28:X28)</f>
        <v>0</v>
      </c>
      <c r="G28" s="67" t="str">
        <f t="shared" si="13"/>
        <v>0*-2.4</v>
      </c>
      <c r="H28" s="68" t="str">
        <f t="shared" si="14"/>
        <v>0*-2.4</v>
      </c>
      <c r="I28" s="50">
        <f>IF('쪽쟘(실측)'!F28&gt;0,'쪽쟘(실측)'!F28-1.5,0)+뒷날개치수더함</f>
        <v>0</v>
      </c>
      <c r="J28" s="50">
        <f>IF('쪽쟘(실측)'!H28&gt;0,'쪽쟘(실측)'!H28-1.5,0)+뒷날개치수더함</f>
        <v>0</v>
      </c>
      <c r="K28" s="50">
        <f>IF('쪽쟘(실측)'!F28&gt;0,'쪽쟘(실측)'!F28+0,0)+뒷날개치수더함</f>
        <v>0</v>
      </c>
      <c r="L28" s="50">
        <f>IF('쪽쟘(실측)'!G28&gt;0,'쪽쟘(실측)'!G28+0,0)+뒷날개치수더함</f>
        <v>0</v>
      </c>
      <c r="M28" s="50">
        <f>IF('쪽쟘(실측)'!H28&gt;0,'쪽쟘(실측)'!H28+0,0)+뒷날개치수더함</f>
        <v>0</v>
      </c>
      <c r="N28" s="50">
        <f>IF('쪽쟘(실측)'!I28&gt;0,'쪽쟘(실측)'!I28+0,0)+뒷날개치수더함</f>
        <v>0</v>
      </c>
      <c r="O28" s="50">
        <f>'쪽쟘(실측)'!J28-쪽쟘기둥차감</f>
        <v>0</v>
      </c>
      <c r="P28" s="50">
        <f>'쪽쟘(실측)'!K28-쪽쟘기둥차감</f>
        <v>0</v>
      </c>
      <c r="Q28" s="50">
        <f>'쪽쟘(실측)'!L28-쪽쟘기둥차감</f>
        <v>0</v>
      </c>
      <c r="R28" s="50">
        <f>'쪽쟘(실측)'!M28-쪽쟘기둥차감</f>
        <v>0</v>
      </c>
      <c r="S28" s="50">
        <f>'쪽쟘(실측)'!N28+뒷날개치수더함</f>
        <v>0</v>
      </c>
      <c r="T28" s="50">
        <f>'쪽쟘(실측)'!O28+뒷날개치수더함</f>
        <v>0</v>
      </c>
      <c r="U28" s="50">
        <f>'쪽쟘(실측)'!P28+뒷날개치수더함</f>
        <v>0</v>
      </c>
      <c r="V28" s="50">
        <f>'쪽쟘(실측)'!Q28+뒷날개치수더함</f>
        <v>0</v>
      </c>
      <c r="W28" s="50">
        <f>'쪽쟘(실측)'!R28-쪽쟘늘치차감</f>
        <v>0</v>
      </c>
      <c r="X28" s="50">
        <f>'쪽쟘(실측)'!S28-쪽쟘늘치차감</f>
        <v>0</v>
      </c>
      <c r="Y28" s="4">
        <f>IF('쪽쟘(실측)'!T28&gt;5,'쪽쟘(실측)'!T28+뒷날개치수더함,0)</f>
        <v>0</v>
      </c>
      <c r="Z28" s="4">
        <f>'쪽쟘(실측)'!U28</f>
        <v>0</v>
      </c>
      <c r="AA28" s="4">
        <f>'쪽쟘(실측)'!V28</f>
        <v>0</v>
      </c>
      <c r="AC28">
        <f t="shared" si="15"/>
        <v>-3</v>
      </c>
      <c r="AD28">
        <f t="shared" si="16"/>
        <v>-3.5999999999999996</v>
      </c>
      <c r="AE28">
        <f t="shared" si="17"/>
        <v>-2.3999999999999995</v>
      </c>
      <c r="AF28">
        <f t="shared" si="18"/>
        <v>0</v>
      </c>
      <c r="AG28">
        <f t="shared" si="19"/>
        <v>-2.3999999999999995</v>
      </c>
      <c r="AH28">
        <f t="shared" si="20"/>
        <v>0</v>
      </c>
    </row>
    <row r="29" spans="1:34" ht="19.5" customHeight="1" x14ac:dyDescent="0.3">
      <c r="A29" s="50">
        <f>'쪽쟘(실측)'!A29</f>
        <v>0</v>
      </c>
      <c r="B29" s="50" t="str">
        <f>'쪽쟘(실측)'!B29&amp;"F"</f>
        <v>F</v>
      </c>
      <c r="C29" s="50" t="str">
        <f t="shared" si="12"/>
        <v>-3*-3.6</v>
      </c>
      <c r="D29" s="50">
        <f>'쪽쟘(실측)'!C29-쪽쟘OP차감</f>
        <v>-3</v>
      </c>
      <c r="E29" s="50">
        <f>'쪽쟘(실측)'!D29+쪽쟘J늘림+MAX(W29:X29)</f>
        <v>0</v>
      </c>
      <c r="F29" s="50">
        <f>'쪽쟘(실측)'!E29+쪽쟘J늘림+MAX(W29:X29)</f>
        <v>0</v>
      </c>
      <c r="G29" s="67" t="str">
        <f t="shared" si="13"/>
        <v>0*-2.4</v>
      </c>
      <c r="H29" s="68" t="str">
        <f t="shared" si="14"/>
        <v>0*-2.4</v>
      </c>
      <c r="I29" s="50">
        <f>IF('쪽쟘(실측)'!F29&gt;0,'쪽쟘(실측)'!F29-1.5,0)+뒷날개치수더함</f>
        <v>0</v>
      </c>
      <c r="J29" s="50">
        <f>IF('쪽쟘(실측)'!H29&gt;0,'쪽쟘(실측)'!H29-1.5,0)+뒷날개치수더함</f>
        <v>0</v>
      </c>
      <c r="K29" s="50">
        <f>IF('쪽쟘(실측)'!F29&gt;0,'쪽쟘(실측)'!F29+0,0)+뒷날개치수더함</f>
        <v>0</v>
      </c>
      <c r="L29" s="50">
        <f>IF('쪽쟘(실측)'!G29&gt;0,'쪽쟘(실측)'!G29+0,0)+뒷날개치수더함</f>
        <v>0</v>
      </c>
      <c r="M29" s="50">
        <f>IF('쪽쟘(실측)'!H29&gt;0,'쪽쟘(실측)'!H29+0,0)+뒷날개치수더함</f>
        <v>0</v>
      </c>
      <c r="N29" s="50">
        <f>IF('쪽쟘(실측)'!I29&gt;0,'쪽쟘(실측)'!I29+0,0)+뒷날개치수더함</f>
        <v>0</v>
      </c>
      <c r="O29" s="50">
        <f>'쪽쟘(실측)'!J29-쪽쟘기둥차감</f>
        <v>0</v>
      </c>
      <c r="P29" s="50">
        <f>'쪽쟘(실측)'!K29-쪽쟘기둥차감</f>
        <v>0</v>
      </c>
      <c r="Q29" s="50">
        <f>'쪽쟘(실측)'!L29-쪽쟘기둥차감</f>
        <v>0</v>
      </c>
      <c r="R29" s="50">
        <f>'쪽쟘(실측)'!M29-쪽쟘기둥차감</f>
        <v>0</v>
      </c>
      <c r="S29" s="50">
        <f>'쪽쟘(실측)'!N29+뒷날개치수더함</f>
        <v>0</v>
      </c>
      <c r="T29" s="50">
        <f>'쪽쟘(실측)'!O29+뒷날개치수더함</f>
        <v>0</v>
      </c>
      <c r="U29" s="50">
        <f>'쪽쟘(실측)'!P29+뒷날개치수더함</f>
        <v>0</v>
      </c>
      <c r="V29" s="50">
        <f>'쪽쟘(실측)'!Q29+뒷날개치수더함</f>
        <v>0</v>
      </c>
      <c r="W29" s="50">
        <f>'쪽쟘(실측)'!R29-쪽쟘늘치차감</f>
        <v>0</v>
      </c>
      <c r="X29" s="50">
        <f>'쪽쟘(실측)'!S29-쪽쟘늘치차감</f>
        <v>0</v>
      </c>
      <c r="Y29" s="4">
        <f>IF('쪽쟘(실측)'!T29&gt;5,'쪽쟘(실측)'!T29+뒷날개치수더함,0)</f>
        <v>0</v>
      </c>
      <c r="Z29" s="4">
        <f>'쪽쟘(실측)'!U29</f>
        <v>0</v>
      </c>
      <c r="AA29" s="4">
        <f>'쪽쟘(실측)'!V29</f>
        <v>0</v>
      </c>
      <c r="AC29">
        <f t="shared" si="15"/>
        <v>-3</v>
      </c>
      <c r="AD29">
        <f t="shared" si="16"/>
        <v>-3.5999999999999996</v>
      </c>
      <c r="AE29">
        <f t="shared" si="17"/>
        <v>-2.3999999999999995</v>
      </c>
      <c r="AF29">
        <f t="shared" si="18"/>
        <v>0</v>
      </c>
      <c r="AG29">
        <f t="shared" si="19"/>
        <v>-2.3999999999999995</v>
      </c>
      <c r="AH29">
        <f t="shared" si="20"/>
        <v>0</v>
      </c>
    </row>
    <row r="30" spans="1:34" ht="19.5" customHeight="1" x14ac:dyDescent="0.3">
      <c r="A30" s="50">
        <f>'쪽쟘(실측)'!A30</f>
        <v>0</v>
      </c>
      <c r="B30" s="50" t="str">
        <f>'쪽쟘(실측)'!B30&amp;"F"</f>
        <v>F</v>
      </c>
      <c r="C30" s="50" t="str">
        <f t="shared" si="12"/>
        <v>-3*-3.6</v>
      </c>
      <c r="D30" s="50">
        <f>'쪽쟘(실측)'!C30-쪽쟘OP차감</f>
        <v>-3</v>
      </c>
      <c r="E30" s="50">
        <f>'쪽쟘(실측)'!D30+쪽쟘J늘림+MAX(W30:X30)</f>
        <v>0</v>
      </c>
      <c r="F30" s="50">
        <f>'쪽쟘(실측)'!E30+쪽쟘J늘림+MAX(W30:X30)</f>
        <v>0</v>
      </c>
      <c r="G30" s="67" t="str">
        <f t="shared" si="13"/>
        <v>0*-2.4</v>
      </c>
      <c r="H30" s="68" t="str">
        <f t="shared" si="14"/>
        <v>0*-2.4</v>
      </c>
      <c r="I30" s="50">
        <f>IF('쪽쟘(실측)'!F30&gt;0,'쪽쟘(실측)'!F30-1.5,0)+뒷날개치수더함</f>
        <v>0</v>
      </c>
      <c r="J30" s="50">
        <f>IF('쪽쟘(실측)'!H30&gt;0,'쪽쟘(실측)'!H30-1.5,0)+뒷날개치수더함</f>
        <v>0</v>
      </c>
      <c r="K30" s="50">
        <f>IF('쪽쟘(실측)'!F30&gt;0,'쪽쟘(실측)'!F30+0,0)+뒷날개치수더함</f>
        <v>0</v>
      </c>
      <c r="L30" s="50">
        <f>IF('쪽쟘(실측)'!G30&gt;0,'쪽쟘(실측)'!G30+0,0)+뒷날개치수더함</f>
        <v>0</v>
      </c>
      <c r="M30" s="50">
        <f>IF('쪽쟘(실측)'!H30&gt;0,'쪽쟘(실측)'!H30+0,0)+뒷날개치수더함</f>
        <v>0</v>
      </c>
      <c r="N30" s="50">
        <f>IF('쪽쟘(실측)'!I30&gt;0,'쪽쟘(실측)'!I30+0,0)+뒷날개치수더함</f>
        <v>0</v>
      </c>
      <c r="O30" s="50">
        <f>'쪽쟘(실측)'!J30-쪽쟘기둥차감</f>
        <v>0</v>
      </c>
      <c r="P30" s="50">
        <f>'쪽쟘(실측)'!K30-쪽쟘기둥차감</f>
        <v>0</v>
      </c>
      <c r="Q30" s="50">
        <f>'쪽쟘(실측)'!L30-쪽쟘기둥차감</f>
        <v>0</v>
      </c>
      <c r="R30" s="50">
        <f>'쪽쟘(실측)'!M30-쪽쟘기둥차감</f>
        <v>0</v>
      </c>
      <c r="S30" s="50">
        <f>'쪽쟘(실측)'!N30+뒷날개치수더함</f>
        <v>0</v>
      </c>
      <c r="T30" s="50">
        <f>'쪽쟘(실측)'!O30+뒷날개치수더함</f>
        <v>0</v>
      </c>
      <c r="U30" s="50">
        <f>'쪽쟘(실측)'!P30+뒷날개치수더함</f>
        <v>0</v>
      </c>
      <c r="V30" s="50">
        <f>'쪽쟘(실측)'!Q30+뒷날개치수더함</f>
        <v>0</v>
      </c>
      <c r="W30" s="50">
        <f>'쪽쟘(실측)'!R30-쪽쟘늘치차감</f>
        <v>0</v>
      </c>
      <c r="X30" s="50">
        <f>'쪽쟘(실측)'!S30-쪽쟘늘치차감</f>
        <v>0</v>
      </c>
      <c r="Y30" s="4">
        <f>IF('쪽쟘(실측)'!T30&gt;5,'쪽쟘(실측)'!T30+뒷날개치수더함,0)</f>
        <v>0</v>
      </c>
      <c r="Z30" s="4">
        <f>'쪽쟘(실측)'!U30</f>
        <v>0</v>
      </c>
      <c r="AA30" s="4">
        <f>'쪽쟘(실측)'!V30</f>
        <v>0</v>
      </c>
      <c r="AC30">
        <f t="shared" si="15"/>
        <v>-3</v>
      </c>
      <c r="AD30">
        <f t="shared" si="16"/>
        <v>-3.5999999999999996</v>
      </c>
      <c r="AE30">
        <f t="shared" si="17"/>
        <v>-2.3999999999999995</v>
      </c>
      <c r="AF30">
        <f t="shared" si="18"/>
        <v>0</v>
      </c>
      <c r="AG30">
        <f t="shared" si="19"/>
        <v>-2.3999999999999995</v>
      </c>
      <c r="AH30">
        <f t="shared" si="20"/>
        <v>0</v>
      </c>
    </row>
    <row r="31" spans="1:34" ht="19.5" customHeight="1" x14ac:dyDescent="0.3">
      <c r="A31" s="50">
        <f>'쪽쟘(실측)'!A31</f>
        <v>0</v>
      </c>
      <c r="B31" s="50" t="str">
        <f>'쪽쟘(실측)'!B31&amp;"F"</f>
        <v>F</v>
      </c>
      <c r="C31" s="50" t="str">
        <f t="shared" si="12"/>
        <v>-3*-3.6</v>
      </c>
      <c r="D31" s="50">
        <f>'쪽쟘(실측)'!C31-쪽쟘OP차감</f>
        <v>-3</v>
      </c>
      <c r="E31" s="50">
        <f>'쪽쟘(실측)'!D31+쪽쟘J늘림+MAX(W31:X31)</f>
        <v>0</v>
      </c>
      <c r="F31" s="50">
        <f>'쪽쟘(실측)'!E31+쪽쟘J늘림+MAX(W31:X31)</f>
        <v>0</v>
      </c>
      <c r="G31" s="67" t="str">
        <f t="shared" si="13"/>
        <v>0*-2.4</v>
      </c>
      <c r="H31" s="68" t="str">
        <f t="shared" si="14"/>
        <v>0*-2.4</v>
      </c>
      <c r="I31" s="50">
        <f>IF('쪽쟘(실측)'!F31&gt;0,'쪽쟘(실측)'!F31-1.5,0)+뒷날개치수더함</f>
        <v>0</v>
      </c>
      <c r="J31" s="50">
        <f>IF('쪽쟘(실측)'!H31&gt;0,'쪽쟘(실측)'!H31-1.5,0)+뒷날개치수더함</f>
        <v>0</v>
      </c>
      <c r="K31" s="50">
        <f>IF('쪽쟘(실측)'!F31&gt;0,'쪽쟘(실측)'!F31+0,0)+뒷날개치수더함</f>
        <v>0</v>
      </c>
      <c r="L31" s="50">
        <f>IF('쪽쟘(실측)'!G31&gt;0,'쪽쟘(실측)'!G31+0,0)+뒷날개치수더함</f>
        <v>0</v>
      </c>
      <c r="M31" s="50">
        <f>IF('쪽쟘(실측)'!H31&gt;0,'쪽쟘(실측)'!H31+0,0)+뒷날개치수더함</f>
        <v>0</v>
      </c>
      <c r="N31" s="50">
        <f>IF('쪽쟘(실측)'!I31&gt;0,'쪽쟘(실측)'!I31+0,0)+뒷날개치수더함</f>
        <v>0</v>
      </c>
      <c r="O31" s="50">
        <f>'쪽쟘(실측)'!J31-쪽쟘기둥차감</f>
        <v>0</v>
      </c>
      <c r="P31" s="50">
        <f>'쪽쟘(실측)'!K31-쪽쟘기둥차감</f>
        <v>0</v>
      </c>
      <c r="Q31" s="50">
        <f>'쪽쟘(실측)'!L31-쪽쟘기둥차감</f>
        <v>0</v>
      </c>
      <c r="R31" s="50">
        <f>'쪽쟘(실측)'!M31-쪽쟘기둥차감</f>
        <v>0</v>
      </c>
      <c r="S31" s="50">
        <f>'쪽쟘(실측)'!N31+뒷날개치수더함</f>
        <v>0</v>
      </c>
      <c r="T31" s="50">
        <f>'쪽쟘(실측)'!O31+뒷날개치수더함</f>
        <v>0</v>
      </c>
      <c r="U31" s="50">
        <f>'쪽쟘(실측)'!P31+뒷날개치수더함</f>
        <v>0</v>
      </c>
      <c r="V31" s="50">
        <f>'쪽쟘(실측)'!Q31+뒷날개치수더함</f>
        <v>0</v>
      </c>
      <c r="W31" s="50">
        <f>'쪽쟘(실측)'!R31-쪽쟘늘치차감</f>
        <v>0</v>
      </c>
      <c r="X31" s="50">
        <f>'쪽쟘(실측)'!S31-쪽쟘늘치차감</f>
        <v>0</v>
      </c>
      <c r="Y31" s="4">
        <f>IF('쪽쟘(실측)'!T31&gt;5,'쪽쟘(실측)'!T31+뒷날개치수더함,0)</f>
        <v>0</v>
      </c>
      <c r="Z31" s="4">
        <f>'쪽쟘(실측)'!U31</f>
        <v>0</v>
      </c>
      <c r="AA31" s="4">
        <f>'쪽쟘(실측)'!V31</f>
        <v>0</v>
      </c>
      <c r="AC31">
        <f t="shared" si="15"/>
        <v>-3</v>
      </c>
      <c r="AD31">
        <f t="shared" si="16"/>
        <v>-3.5999999999999996</v>
      </c>
      <c r="AE31">
        <f t="shared" si="17"/>
        <v>-2.3999999999999995</v>
      </c>
      <c r="AF31">
        <f t="shared" si="18"/>
        <v>0</v>
      </c>
      <c r="AG31">
        <f t="shared" si="19"/>
        <v>-2.3999999999999995</v>
      </c>
      <c r="AH31">
        <f t="shared" si="20"/>
        <v>0</v>
      </c>
    </row>
    <row r="32" spans="1:34" ht="19.5" customHeight="1" x14ac:dyDescent="0.3">
      <c r="A32" s="50">
        <f>'쪽쟘(실측)'!A32</f>
        <v>0</v>
      </c>
      <c r="B32" s="50" t="str">
        <f>'쪽쟘(실측)'!B32&amp;"F"</f>
        <v>F</v>
      </c>
      <c r="C32" s="50" t="str">
        <f t="shared" si="12"/>
        <v>-3*-3.6</v>
      </c>
      <c r="D32" s="50">
        <f>'쪽쟘(실측)'!C32-쪽쟘OP차감</f>
        <v>-3</v>
      </c>
      <c r="E32" s="50">
        <f>'쪽쟘(실측)'!D32+쪽쟘J늘림+MAX(W32:X32)</f>
        <v>0</v>
      </c>
      <c r="F32" s="50">
        <f>'쪽쟘(실측)'!E32+쪽쟘J늘림+MAX(W32:X32)</f>
        <v>0</v>
      </c>
      <c r="G32" s="67" t="str">
        <f t="shared" si="13"/>
        <v>0*-2.4</v>
      </c>
      <c r="H32" s="68" t="str">
        <f t="shared" si="14"/>
        <v>0*-2.4</v>
      </c>
      <c r="I32" s="50">
        <f>IF('쪽쟘(실측)'!F32&gt;0,'쪽쟘(실측)'!F32-1.5,0)+뒷날개치수더함</f>
        <v>0</v>
      </c>
      <c r="J32" s="50">
        <f>IF('쪽쟘(실측)'!H32&gt;0,'쪽쟘(실측)'!H32-1.5,0)+뒷날개치수더함</f>
        <v>0</v>
      </c>
      <c r="K32" s="50">
        <f>IF('쪽쟘(실측)'!F32&gt;0,'쪽쟘(실측)'!F32+0,0)+뒷날개치수더함</f>
        <v>0</v>
      </c>
      <c r="L32" s="50">
        <f>IF('쪽쟘(실측)'!G32&gt;0,'쪽쟘(실측)'!G32+0,0)+뒷날개치수더함</f>
        <v>0</v>
      </c>
      <c r="M32" s="50">
        <f>IF('쪽쟘(실측)'!H32&gt;0,'쪽쟘(실측)'!H32+0,0)+뒷날개치수더함</f>
        <v>0</v>
      </c>
      <c r="N32" s="50">
        <f>IF('쪽쟘(실측)'!I32&gt;0,'쪽쟘(실측)'!I32+0,0)+뒷날개치수더함</f>
        <v>0</v>
      </c>
      <c r="O32" s="50">
        <f>'쪽쟘(실측)'!J32-쪽쟘기둥차감</f>
        <v>0</v>
      </c>
      <c r="P32" s="50">
        <f>'쪽쟘(실측)'!K32-쪽쟘기둥차감</f>
        <v>0</v>
      </c>
      <c r="Q32" s="50">
        <f>'쪽쟘(실측)'!L32-쪽쟘기둥차감</f>
        <v>0</v>
      </c>
      <c r="R32" s="50">
        <f>'쪽쟘(실측)'!M32-쪽쟘기둥차감</f>
        <v>0</v>
      </c>
      <c r="S32" s="50">
        <f>'쪽쟘(실측)'!N32+뒷날개치수더함</f>
        <v>0</v>
      </c>
      <c r="T32" s="50">
        <f>'쪽쟘(실측)'!O32+뒷날개치수더함</f>
        <v>0</v>
      </c>
      <c r="U32" s="50">
        <f>'쪽쟘(실측)'!P32+뒷날개치수더함</f>
        <v>0</v>
      </c>
      <c r="V32" s="50">
        <f>'쪽쟘(실측)'!Q32+뒷날개치수더함</f>
        <v>0</v>
      </c>
      <c r="W32" s="50">
        <f>'쪽쟘(실측)'!R32-쪽쟘늘치차감</f>
        <v>0</v>
      </c>
      <c r="X32" s="50">
        <f>'쪽쟘(실측)'!S32-쪽쟘늘치차감</f>
        <v>0</v>
      </c>
      <c r="Y32" s="4">
        <f>IF('쪽쟘(실측)'!T32&gt;5,'쪽쟘(실측)'!T32+뒷날개치수더함,0)</f>
        <v>0</v>
      </c>
      <c r="Z32" s="4">
        <f>'쪽쟘(실측)'!U32</f>
        <v>0</v>
      </c>
      <c r="AA32" s="4">
        <f>'쪽쟘(실측)'!V32</f>
        <v>0</v>
      </c>
      <c r="AC32">
        <f t="shared" si="15"/>
        <v>-3</v>
      </c>
      <c r="AD32">
        <f t="shared" si="16"/>
        <v>-3.5999999999999996</v>
      </c>
      <c r="AE32">
        <f t="shared" si="17"/>
        <v>-2.3999999999999995</v>
      </c>
      <c r="AF32">
        <f t="shared" si="18"/>
        <v>0</v>
      </c>
      <c r="AG32">
        <f t="shared" si="19"/>
        <v>-2.3999999999999995</v>
      </c>
      <c r="AH32">
        <f t="shared" si="20"/>
        <v>0</v>
      </c>
    </row>
    <row r="33" spans="1:34" ht="19.5" customHeight="1" x14ac:dyDescent="0.3">
      <c r="A33" s="50">
        <f>'쪽쟘(실측)'!A33</f>
        <v>0</v>
      </c>
      <c r="B33" s="50" t="str">
        <f>'쪽쟘(실측)'!B33&amp;"F"</f>
        <v>F</v>
      </c>
      <c r="C33" s="50" t="str">
        <f t="shared" si="12"/>
        <v>-3*-3.6</v>
      </c>
      <c r="D33" s="50">
        <f>'쪽쟘(실측)'!C33-쪽쟘OP차감</f>
        <v>-3</v>
      </c>
      <c r="E33" s="50">
        <f>'쪽쟘(실측)'!D33+쪽쟘J늘림+MAX(W33:X33)</f>
        <v>0</v>
      </c>
      <c r="F33" s="50">
        <f>'쪽쟘(실측)'!E33+쪽쟘J늘림+MAX(W33:X33)</f>
        <v>0</v>
      </c>
      <c r="G33" s="67" t="str">
        <f t="shared" si="13"/>
        <v>0*-2.4</v>
      </c>
      <c r="H33" s="68" t="str">
        <f t="shared" si="14"/>
        <v>0*-2.4</v>
      </c>
      <c r="I33" s="50">
        <f>IF('쪽쟘(실측)'!F33&gt;0,'쪽쟘(실측)'!F33-1.5,0)+뒷날개치수더함</f>
        <v>0</v>
      </c>
      <c r="J33" s="50">
        <f>IF('쪽쟘(실측)'!H33&gt;0,'쪽쟘(실측)'!H33-1.5,0)+뒷날개치수더함</f>
        <v>0</v>
      </c>
      <c r="K33" s="50">
        <f>IF('쪽쟘(실측)'!F33&gt;0,'쪽쟘(실측)'!F33+0,0)+뒷날개치수더함</f>
        <v>0</v>
      </c>
      <c r="L33" s="50">
        <f>IF('쪽쟘(실측)'!G33&gt;0,'쪽쟘(실측)'!G33+0,0)+뒷날개치수더함</f>
        <v>0</v>
      </c>
      <c r="M33" s="50">
        <f>IF('쪽쟘(실측)'!H33&gt;0,'쪽쟘(실측)'!H33+0,0)+뒷날개치수더함</f>
        <v>0</v>
      </c>
      <c r="N33" s="50">
        <f>IF('쪽쟘(실측)'!I33&gt;0,'쪽쟘(실측)'!I33+0,0)+뒷날개치수더함</f>
        <v>0</v>
      </c>
      <c r="O33" s="50">
        <f>'쪽쟘(실측)'!J33-쪽쟘기둥차감</f>
        <v>0</v>
      </c>
      <c r="P33" s="50">
        <f>'쪽쟘(실측)'!K33-쪽쟘기둥차감</f>
        <v>0</v>
      </c>
      <c r="Q33" s="50">
        <f>'쪽쟘(실측)'!L33-쪽쟘기둥차감</f>
        <v>0</v>
      </c>
      <c r="R33" s="50">
        <f>'쪽쟘(실측)'!M33-쪽쟘기둥차감</f>
        <v>0</v>
      </c>
      <c r="S33" s="50">
        <f>'쪽쟘(실측)'!N33+뒷날개치수더함</f>
        <v>0</v>
      </c>
      <c r="T33" s="50">
        <f>'쪽쟘(실측)'!O33+뒷날개치수더함</f>
        <v>0</v>
      </c>
      <c r="U33" s="50">
        <f>'쪽쟘(실측)'!P33+뒷날개치수더함</f>
        <v>0</v>
      </c>
      <c r="V33" s="50">
        <f>'쪽쟘(실측)'!Q33+뒷날개치수더함</f>
        <v>0</v>
      </c>
      <c r="W33" s="50">
        <f>'쪽쟘(실측)'!R33-쪽쟘늘치차감</f>
        <v>0</v>
      </c>
      <c r="X33" s="50">
        <f>'쪽쟘(실측)'!S33-쪽쟘늘치차감</f>
        <v>0</v>
      </c>
      <c r="Y33" s="4">
        <f>IF('쪽쟘(실측)'!T33&gt;5,'쪽쟘(실측)'!T33+뒷날개치수더함,0)</f>
        <v>0</v>
      </c>
      <c r="Z33" s="4">
        <f>'쪽쟘(실측)'!U33</f>
        <v>0</v>
      </c>
      <c r="AA33" s="4">
        <f>'쪽쟘(실측)'!V33</f>
        <v>0</v>
      </c>
      <c r="AC33">
        <f t="shared" si="15"/>
        <v>-3</v>
      </c>
      <c r="AD33">
        <f t="shared" si="16"/>
        <v>-3.5999999999999996</v>
      </c>
      <c r="AE33">
        <f t="shared" si="17"/>
        <v>-2.3999999999999995</v>
      </c>
      <c r="AF33">
        <f t="shared" si="18"/>
        <v>0</v>
      </c>
      <c r="AG33">
        <f t="shared" si="19"/>
        <v>-2.3999999999999995</v>
      </c>
      <c r="AH33">
        <f t="shared" si="20"/>
        <v>0</v>
      </c>
    </row>
    <row r="34" spans="1:34" ht="19.5" customHeight="1" x14ac:dyDescent="0.3">
      <c r="A34" s="50">
        <f>'쪽쟘(실측)'!A34</f>
        <v>0</v>
      </c>
      <c r="B34" s="50" t="str">
        <f>'쪽쟘(실측)'!B34&amp;"F"</f>
        <v>F</v>
      </c>
      <c r="C34" s="50" t="str">
        <f t="shared" si="12"/>
        <v>-3*-3.6</v>
      </c>
      <c r="D34" s="50">
        <f>'쪽쟘(실측)'!C34-쪽쟘OP차감</f>
        <v>-3</v>
      </c>
      <c r="E34" s="50">
        <f>'쪽쟘(실측)'!D34+쪽쟘J늘림+MAX(W34:X34)</f>
        <v>0</v>
      </c>
      <c r="F34" s="50">
        <f>'쪽쟘(실측)'!E34+쪽쟘J늘림+MAX(W34:X34)</f>
        <v>0</v>
      </c>
      <c r="G34" s="67" t="str">
        <f t="shared" si="13"/>
        <v>0*-2.4</v>
      </c>
      <c r="H34" s="68" t="str">
        <f t="shared" si="14"/>
        <v>0*-2.4</v>
      </c>
      <c r="I34" s="50">
        <f>IF('쪽쟘(실측)'!F34&gt;0,'쪽쟘(실측)'!F34-1.5,0)+뒷날개치수더함</f>
        <v>0</v>
      </c>
      <c r="J34" s="50">
        <f>IF('쪽쟘(실측)'!H34&gt;0,'쪽쟘(실측)'!H34-1.5,0)+뒷날개치수더함</f>
        <v>0</v>
      </c>
      <c r="K34" s="50">
        <f>IF('쪽쟘(실측)'!F34&gt;0,'쪽쟘(실측)'!F34+0,0)+뒷날개치수더함</f>
        <v>0</v>
      </c>
      <c r="L34" s="50">
        <f>IF('쪽쟘(실측)'!G34&gt;0,'쪽쟘(실측)'!G34+0,0)+뒷날개치수더함</f>
        <v>0</v>
      </c>
      <c r="M34" s="50">
        <f>IF('쪽쟘(실측)'!H34&gt;0,'쪽쟘(실측)'!H34+0,0)+뒷날개치수더함</f>
        <v>0</v>
      </c>
      <c r="N34" s="50">
        <f>IF('쪽쟘(실측)'!I34&gt;0,'쪽쟘(실측)'!I34+0,0)+뒷날개치수더함</f>
        <v>0</v>
      </c>
      <c r="O34" s="50">
        <f>'쪽쟘(실측)'!J34-쪽쟘기둥차감</f>
        <v>0</v>
      </c>
      <c r="P34" s="50">
        <f>'쪽쟘(실측)'!K34-쪽쟘기둥차감</f>
        <v>0</v>
      </c>
      <c r="Q34" s="50">
        <f>'쪽쟘(실측)'!L34-쪽쟘기둥차감</f>
        <v>0</v>
      </c>
      <c r="R34" s="50">
        <f>'쪽쟘(실측)'!M34-쪽쟘기둥차감</f>
        <v>0</v>
      </c>
      <c r="S34" s="50">
        <f>'쪽쟘(실측)'!N34+뒷날개치수더함</f>
        <v>0</v>
      </c>
      <c r="T34" s="50">
        <f>'쪽쟘(실측)'!O34+뒷날개치수더함</f>
        <v>0</v>
      </c>
      <c r="U34" s="50">
        <f>'쪽쟘(실측)'!P34+뒷날개치수더함</f>
        <v>0</v>
      </c>
      <c r="V34" s="50">
        <f>'쪽쟘(실측)'!Q34+뒷날개치수더함</f>
        <v>0</v>
      </c>
      <c r="W34" s="50">
        <f>'쪽쟘(실측)'!R34-쪽쟘늘치차감</f>
        <v>0</v>
      </c>
      <c r="X34" s="50">
        <f>'쪽쟘(실측)'!S34-쪽쟘늘치차감</f>
        <v>0</v>
      </c>
      <c r="Y34" s="4">
        <f>IF('쪽쟘(실측)'!T34&gt;5,'쪽쟘(실측)'!T34+뒷날개치수더함,0)</f>
        <v>0</v>
      </c>
      <c r="Z34" s="4">
        <f>'쪽쟘(실측)'!U34</f>
        <v>0</v>
      </c>
      <c r="AA34" s="4">
        <f>'쪽쟘(실측)'!V34</f>
        <v>0</v>
      </c>
      <c r="AC34">
        <f t="shared" si="15"/>
        <v>-3</v>
      </c>
      <c r="AD34">
        <f t="shared" si="16"/>
        <v>-3.5999999999999996</v>
      </c>
      <c r="AE34">
        <f t="shared" si="17"/>
        <v>-2.3999999999999995</v>
      </c>
      <c r="AF34">
        <f t="shared" si="18"/>
        <v>0</v>
      </c>
      <c r="AG34">
        <f t="shared" si="19"/>
        <v>-2.3999999999999995</v>
      </c>
      <c r="AH34">
        <f t="shared" si="20"/>
        <v>0</v>
      </c>
    </row>
  </sheetData>
  <mergeCells count="38">
    <mergeCell ref="AE5:AF5"/>
    <mergeCell ref="AG5:AH5"/>
    <mergeCell ref="S5:S6"/>
    <mergeCell ref="T5:T6"/>
    <mergeCell ref="Y4:AA4"/>
    <mergeCell ref="V5:V6"/>
    <mergeCell ref="W5:X5"/>
    <mergeCell ref="U5:U6"/>
    <mergeCell ref="Y5:AA5"/>
    <mergeCell ref="A4:X4"/>
    <mergeCell ref="K5:K6"/>
    <mergeCell ref="L5:L6"/>
    <mergeCell ref="P5:P6"/>
    <mergeCell ref="Q5:Q6"/>
    <mergeCell ref="R5:R6"/>
    <mergeCell ref="M5:M6"/>
    <mergeCell ref="N5:N6"/>
    <mergeCell ref="O5:O6"/>
    <mergeCell ref="F5:F6"/>
    <mergeCell ref="G5:G6"/>
    <mergeCell ref="H5:H6"/>
    <mergeCell ref="I5:I6"/>
    <mergeCell ref="J5:J6"/>
    <mergeCell ref="A5:A6"/>
    <mergeCell ref="B5:B6"/>
    <mergeCell ref="C5:C6"/>
    <mergeCell ref="D5:D6"/>
    <mergeCell ref="E5:E6"/>
    <mergeCell ref="A1:AA1"/>
    <mergeCell ref="C2:O2"/>
    <mergeCell ref="P2:S2"/>
    <mergeCell ref="U2:V2"/>
    <mergeCell ref="E3:F3"/>
    <mergeCell ref="I3:J3"/>
    <mergeCell ref="M3:O3"/>
    <mergeCell ref="P3:Q3"/>
    <mergeCell ref="R3:S3"/>
    <mergeCell ref="U3:V3"/>
  </mergeCells>
  <phoneticPr fontId="1" type="noConversion"/>
  <conditionalFormatting sqref="K7:K34 M7:M34 S7:S34">
    <cfRule type="cellIs" dxfId="58" priority="4" operator="notEqual">
      <formula>L7</formula>
    </cfRule>
  </conditionalFormatting>
  <conditionalFormatting sqref="L7:L34 N7:N34 T7:T34">
    <cfRule type="cellIs" dxfId="57" priority="3" operator="notEqual">
      <formula>K7</formula>
    </cfRule>
  </conditionalFormatting>
  <conditionalFormatting sqref="Y7:AA34">
    <cfRule type="cellIs" dxfId="56" priority="1" operator="greaterThan">
      <formula>1.2</formula>
    </cfRule>
  </conditionalFormatting>
  <pageMargins left="0.23622047244094491" right="0.23622047244094491" top="0.74803149606299213" bottom="0.74803149606299213" header="0.31496062992125984" footer="0.31496062992125984"/>
  <pageSetup paperSize="9" scale="52" fitToHeight="2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A1:AE8"/>
  <sheetViews>
    <sheetView zoomScaleNormal="100" workbookViewId="0">
      <selection activeCell="Z13" sqref="Z13"/>
    </sheetView>
  </sheetViews>
  <sheetFormatPr defaultRowHeight="16.5" x14ac:dyDescent="0.3"/>
  <cols>
    <col min="1" max="1" width="10.75" customWidth="1"/>
    <col min="2" max="2" width="11.375" customWidth="1"/>
    <col min="3" max="3" width="12.75" hidden="1" customWidth="1"/>
    <col min="4" max="4" width="7.25" hidden="1" customWidth="1"/>
    <col min="5" max="6" width="6.875" hidden="1" customWidth="1"/>
    <col min="7" max="7" width="32.75" customWidth="1"/>
    <col min="8" max="8" width="33.125" customWidth="1"/>
    <col min="9" max="14" width="5.75" hidden="1" customWidth="1"/>
    <col min="15" max="24" width="6.875" hidden="1" customWidth="1"/>
    <col min="25" max="25" width="7.625" customWidth="1"/>
    <col min="27" max="27" width="7.25" customWidth="1"/>
  </cols>
  <sheetData>
    <row r="1" spans="1:31" ht="75.75" customHeight="1" x14ac:dyDescent="0.3">
      <c r="A1" s="299" t="str">
        <f>정보!B1&amp;" (제작치수 샤링작지) "&amp;정보!B6&amp;" 소장"</f>
        <v>전남 목포 알파타워 (제작치수 샤링작지) 이만희 소장</v>
      </c>
      <c r="B1" s="299"/>
      <c r="C1" s="299"/>
      <c r="D1" s="299"/>
      <c r="E1" s="299"/>
      <c r="F1" s="299"/>
      <c r="G1" s="299"/>
      <c r="H1" s="299"/>
      <c r="I1" s="299"/>
      <c r="J1" s="299"/>
      <c r="K1" s="299"/>
      <c r="L1" s="299"/>
      <c r="M1" s="299"/>
      <c r="N1" s="299"/>
      <c r="O1" s="299"/>
      <c r="P1" s="299"/>
      <c r="Q1" s="299"/>
      <c r="R1" s="299"/>
      <c r="S1" s="299"/>
      <c r="T1" s="299"/>
      <c r="U1" s="299"/>
      <c r="V1" s="299"/>
      <c r="W1" s="299"/>
      <c r="X1" s="299"/>
    </row>
    <row r="2" spans="1:31" ht="30.75" customHeight="1" x14ac:dyDescent="0.3">
      <c r="A2" s="300" t="str">
        <f>"총 : " &amp; COUNTA(A7:A200) &amp;" (SET)"</f>
        <v>총 : 2 (SET)</v>
      </c>
      <c r="B2" s="300"/>
      <c r="C2" s="300"/>
      <c r="D2" s="300"/>
      <c r="E2" s="300"/>
      <c r="F2" s="300"/>
      <c r="G2" s="300"/>
      <c r="H2" s="300"/>
      <c r="I2" s="300"/>
      <c r="J2" s="300"/>
      <c r="K2" s="300"/>
      <c r="L2" s="300"/>
      <c r="M2" s="300"/>
      <c r="N2" s="300"/>
      <c r="O2" s="300"/>
      <c r="P2" s="289" t="s">
        <v>160</v>
      </c>
      <c r="Q2" s="290"/>
      <c r="R2" s="290"/>
      <c r="S2" s="290"/>
      <c r="T2" s="61"/>
      <c r="U2" s="291">
        <v>1.2</v>
      </c>
      <c r="V2" s="291"/>
      <c r="W2" s="1"/>
      <c r="X2" s="1"/>
    </row>
    <row r="3" spans="1:31" ht="33" customHeight="1" x14ac:dyDescent="0.3">
      <c r="A3" s="69" t="str">
        <f>정보!B9</f>
        <v>HL 1.2T</v>
      </c>
      <c r="B3" s="69"/>
      <c r="C3" s="69"/>
      <c r="D3" s="69"/>
      <c r="E3" s="69"/>
      <c r="F3" s="69"/>
      <c r="G3" s="289" t="str">
        <f>"예상매수 : " &amp; ROUNDUP((SUM(AB7:AB200)+SUM(AD7:AD200))/1200,0) &amp;" 매"</f>
        <v>예상매수 : 0 매</v>
      </c>
      <c r="H3" s="289"/>
      <c r="I3" s="292">
        <v>0</v>
      </c>
      <c r="J3" s="292"/>
      <c r="K3" s="63"/>
      <c r="L3" s="63"/>
      <c r="M3" s="246" t="s">
        <v>161</v>
      </c>
      <c r="N3" s="246"/>
      <c r="O3" s="246"/>
      <c r="P3" s="293">
        <v>0</v>
      </c>
      <c r="Q3" s="293"/>
      <c r="R3" s="243" t="s">
        <v>162</v>
      </c>
      <c r="S3" s="243"/>
      <c r="T3" s="64"/>
      <c r="U3" s="294">
        <v>4</v>
      </c>
      <c r="V3" s="294"/>
      <c r="W3" s="65"/>
      <c r="X3" s="65"/>
    </row>
    <row r="4" spans="1:31" ht="9.75" customHeight="1" x14ac:dyDescent="0.3">
      <c r="A4" s="163"/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</row>
    <row r="5" spans="1:31" ht="25.9" customHeight="1" x14ac:dyDescent="0.3">
      <c r="A5" s="167" t="s">
        <v>163</v>
      </c>
      <c r="B5" s="167" t="s">
        <v>164</v>
      </c>
      <c r="C5" s="168" t="s">
        <v>165</v>
      </c>
      <c r="D5" s="167" t="s">
        <v>166</v>
      </c>
      <c r="E5" s="168" t="s">
        <v>167</v>
      </c>
      <c r="F5" s="168" t="s">
        <v>168</v>
      </c>
      <c r="G5" s="168" t="s">
        <v>169</v>
      </c>
      <c r="H5" s="168" t="s">
        <v>170</v>
      </c>
      <c r="I5" s="301" t="s">
        <v>171</v>
      </c>
      <c r="J5" s="168" t="s">
        <v>172</v>
      </c>
      <c r="K5" s="168" t="s">
        <v>173</v>
      </c>
      <c r="L5" s="168" t="s">
        <v>147</v>
      </c>
      <c r="M5" s="295" t="s">
        <v>174</v>
      </c>
      <c r="N5" s="295" t="s">
        <v>175</v>
      </c>
      <c r="O5" s="167" t="s">
        <v>176</v>
      </c>
      <c r="P5" s="167" t="s">
        <v>177</v>
      </c>
      <c r="Q5" s="167" t="s">
        <v>178</v>
      </c>
      <c r="R5" s="167" t="s">
        <v>179</v>
      </c>
      <c r="S5" s="168" t="s">
        <v>180</v>
      </c>
      <c r="T5" s="295" t="s">
        <v>151</v>
      </c>
      <c r="U5" s="168" t="s">
        <v>181</v>
      </c>
      <c r="V5" s="168" t="s">
        <v>182</v>
      </c>
      <c r="W5" s="167" t="s">
        <v>183</v>
      </c>
      <c r="X5" s="167"/>
      <c r="AB5" s="178" t="s">
        <v>184</v>
      </c>
      <c r="AC5" s="178"/>
      <c r="AD5" s="178" t="s">
        <v>185</v>
      </c>
      <c r="AE5" s="178"/>
    </row>
    <row r="6" spans="1:31" ht="36.75" customHeight="1" x14ac:dyDescent="0.3">
      <c r="A6" s="209"/>
      <c r="B6" s="209"/>
      <c r="C6" s="209"/>
      <c r="D6" s="209"/>
      <c r="E6" s="209"/>
      <c r="F6" s="209"/>
      <c r="G6" s="209"/>
      <c r="H6" s="209"/>
      <c r="I6" s="302"/>
      <c r="J6" s="209"/>
      <c r="K6" s="237"/>
      <c r="L6" s="237"/>
      <c r="M6" s="296"/>
      <c r="N6" s="296"/>
      <c r="O6" s="209"/>
      <c r="P6" s="209"/>
      <c r="Q6" s="209"/>
      <c r="R6" s="209"/>
      <c r="S6" s="209"/>
      <c r="T6" s="297"/>
      <c r="U6" s="237"/>
      <c r="V6" s="237"/>
      <c r="W6" s="66" t="s">
        <v>186</v>
      </c>
      <c r="X6" s="66" t="s">
        <v>187</v>
      </c>
      <c r="Y6" t="s">
        <v>188</v>
      </c>
      <c r="Z6" s="3" t="s">
        <v>189</v>
      </c>
      <c r="AA6" s="3" t="s">
        <v>190</v>
      </c>
      <c r="AB6" s="3" t="s">
        <v>191</v>
      </c>
      <c r="AC6" s="3" t="s">
        <v>192</v>
      </c>
      <c r="AD6" s="3" t="s">
        <v>158</v>
      </c>
      <c r="AE6" s="3" t="s">
        <v>192</v>
      </c>
    </row>
    <row r="7" spans="1:31" ht="18.75" customHeight="1" x14ac:dyDescent="0.3">
      <c r="A7" s="50">
        <f>'쪽쟘(실측)'!A7</f>
        <v>0</v>
      </c>
      <c r="B7" s="50" t="str">
        <f>'쪽쟘(실측)'!B7&amp;"F"</f>
        <v>F</v>
      </c>
      <c r="C7" s="50" t="str">
        <f>Z7&amp;"*"&amp;AA7</f>
        <v>*</v>
      </c>
      <c r="D7" s="50" t="e">
        <f>'쪽쟘(실측)'!C7-OP차감</f>
        <v>#NAME?</v>
      </c>
      <c r="E7" s="50" t="e">
        <f>'쪽쟘(실측)'!D7+쪽쟘J늘림+MAX(W7:X7)</f>
        <v>#VALUE!</v>
      </c>
      <c r="F7" s="50" t="e">
        <f>'쪽쟘(실측)'!E7+쪽쟘J늘림+MAX(W7:X7)</f>
        <v>#VALUE!</v>
      </c>
      <c r="G7" s="67" t="str">
        <f>IF(OR(쪽쟘제작!K7&lt;&gt;쪽쟘제작!L7,쪽쟘제작!O7&lt;&gt;쪽쟘제작!P7),"",AC7&amp;"*"&amp;AB7)</f>
        <v>*</v>
      </c>
      <c r="H7" s="68" t="str">
        <f>IF(OR(쪽쟘제작!N7&lt;&gt;쪽쟘제작!M7,쪽쟘제작!Q7&lt;&gt;쪽쟘제작!R7),"",AE7&amp;"*"&amp;AD7)</f>
        <v>*</v>
      </c>
      <c r="I7" s="70">
        <f>IF('쪽쟘(실측)'!F7&gt;0,'쪽쟘(실측)'!F7+0.5,0)</f>
        <v>0</v>
      </c>
      <c r="J7" s="50">
        <f>IF('쪽쟘(실측)'!H7&gt;0,'쪽쟘(실측)'!H7+0.5,0)</f>
        <v>0</v>
      </c>
      <c r="K7" s="50">
        <f>IF('쪽쟘(실측)'!F7&gt;0,'쪽쟘(실측)'!F7+1.5,0)</f>
        <v>0</v>
      </c>
      <c r="L7" s="50">
        <f>IF('쪽쟘(실측)'!G7&gt;0,'쪽쟘(실측)'!G7+1.5,0)</f>
        <v>0</v>
      </c>
      <c r="M7" s="50">
        <f>IF('쪽쟘(실측)'!H7&gt;0,'쪽쟘(실측)'!H7+1.5,0)</f>
        <v>0</v>
      </c>
      <c r="N7" s="50">
        <f>IF('쪽쟘(실측)'!I7&gt;0,'쪽쟘(실측)'!I7+1.5,0)</f>
        <v>0</v>
      </c>
      <c r="O7" s="50" t="e">
        <f>'쪽쟘(실측)'!J7-기둥차감</f>
        <v>#NAME?</v>
      </c>
      <c r="P7" s="50" t="e">
        <f>'쪽쟘(실측)'!K7-기둥차감</f>
        <v>#NAME?</v>
      </c>
      <c r="Q7" s="50" t="e">
        <f>'쪽쟘(실측)'!L7-기둥차감</f>
        <v>#NAME?</v>
      </c>
      <c r="R7" s="50" t="e">
        <f>'쪽쟘(실측)'!M7-기둥차감</f>
        <v>#NAME?</v>
      </c>
      <c r="S7" s="50">
        <f>'쪽쟘(실측)'!N7+1.2</f>
        <v>1.2</v>
      </c>
      <c r="T7" s="50">
        <f>'쪽쟘(실측)'!O7+1.2</f>
        <v>1.2</v>
      </c>
      <c r="U7" s="50">
        <f>'쪽쟘(실측)'!P7</f>
        <v>0</v>
      </c>
      <c r="V7" s="50">
        <f>'쪽쟘(실측)'!Q7</f>
        <v>0</v>
      </c>
      <c r="W7" s="50" t="e">
        <f>'쪽쟘(실측)'!R7-늘치차감</f>
        <v>#NAME?</v>
      </c>
      <c r="X7" s="50" t="e">
        <f>'쪽쟘(실측)'!S7-늘치차감</f>
        <v>#NAME?</v>
      </c>
    </row>
    <row r="8" spans="1:31" ht="18.75" customHeight="1" x14ac:dyDescent="0.3">
      <c r="A8" s="50">
        <f>'쪽쟘(실측)'!A8</f>
        <v>0</v>
      </c>
      <c r="B8" s="50" t="str">
        <f>'쪽쟘(실측)'!B8&amp;"F"</f>
        <v>F</v>
      </c>
      <c r="C8" s="50" t="str">
        <f t="shared" ref="C8" si="0">Z8&amp;"*"&amp;AA8</f>
        <v>*</v>
      </c>
      <c r="D8" s="50" t="e">
        <f>'쪽쟘(실측)'!C8-OP차감</f>
        <v>#NAME?</v>
      </c>
      <c r="E8" s="50" t="e">
        <f>'쪽쟘(실측)'!D8+쪽쟘J늘림+MAX(W8:X8)</f>
        <v>#VALUE!</v>
      </c>
      <c r="F8" s="50" t="e">
        <f>'쪽쟘(실측)'!E8+쪽쟘J늘림+MAX(W8:X8)</f>
        <v>#VALUE!</v>
      </c>
      <c r="G8" s="67" t="str">
        <f>IF(쪽쟘제작!K8&lt;&gt;쪽쟘제작!L8,"",AC8&amp;"*"&amp;AB8)</f>
        <v>*</v>
      </c>
      <c r="H8" s="68" t="str">
        <f>IF(쪽쟘제작!N8&lt;&gt;쪽쟘제작!M8,"",AE8&amp;"*"&amp;AD8)</f>
        <v>*</v>
      </c>
      <c r="I8" s="70">
        <f>IF('쪽쟘(실측)'!F8&gt;0,'쪽쟘(실측)'!F8+0.5,0)</f>
        <v>0</v>
      </c>
      <c r="J8" s="50">
        <f>IF('쪽쟘(실측)'!H8&gt;0,'쪽쟘(실측)'!H8+0.5,0)</f>
        <v>0</v>
      </c>
      <c r="K8" s="50">
        <f>IF('쪽쟘(실측)'!F8&gt;0,'쪽쟘(실측)'!F8+1.5,0)</f>
        <v>0</v>
      </c>
      <c r="L8" s="50">
        <f>IF('쪽쟘(실측)'!G8&gt;0,'쪽쟘(실측)'!G8+1.5,0)</f>
        <v>0</v>
      </c>
      <c r="M8" s="50">
        <f>IF('쪽쟘(실측)'!H8&gt;0,'쪽쟘(실측)'!H8+1.5,0)</f>
        <v>0</v>
      </c>
      <c r="N8" s="50">
        <f>IF('쪽쟘(실측)'!I8&gt;0,'쪽쟘(실측)'!I8+1.5,0)</f>
        <v>0</v>
      </c>
      <c r="O8" s="50" t="e">
        <f>'쪽쟘(실측)'!J8-기둥차감</f>
        <v>#NAME?</v>
      </c>
      <c r="P8" s="50" t="e">
        <f>'쪽쟘(실측)'!K8-기둥차감</f>
        <v>#NAME?</v>
      </c>
      <c r="Q8" s="50" t="e">
        <f>'쪽쟘(실측)'!L8-기둥차감</f>
        <v>#NAME?</v>
      </c>
      <c r="R8" s="50" t="e">
        <f>'쪽쟘(실측)'!M8-기둥차감</f>
        <v>#NAME?</v>
      </c>
      <c r="S8" s="50">
        <f>'쪽쟘(실측)'!N8+1.2</f>
        <v>1.2</v>
      </c>
      <c r="T8" s="50">
        <f>'쪽쟘(실측)'!O8+1.2</f>
        <v>1.2</v>
      </c>
      <c r="U8" s="50">
        <f>'쪽쟘(실측)'!P8</f>
        <v>0</v>
      </c>
      <c r="V8" s="50">
        <f>'쪽쟘(실측)'!Q8</f>
        <v>0</v>
      </c>
      <c r="W8" s="50" t="e">
        <f>'쪽쟘(실측)'!R8-늘치차감</f>
        <v>#NAME?</v>
      </c>
      <c r="X8" s="50" t="e">
        <f>'쪽쟘(실측)'!S8-늘치차감</f>
        <v>#NAME?</v>
      </c>
    </row>
  </sheetData>
  <mergeCells count="36">
    <mergeCell ref="V5:V6"/>
    <mergeCell ref="W5:X5"/>
    <mergeCell ref="AB5:AC5"/>
    <mergeCell ref="AD5:AE5"/>
    <mergeCell ref="P5:P6"/>
    <mergeCell ref="Q5:Q6"/>
    <mergeCell ref="R5:R6"/>
    <mergeCell ref="S5:S6"/>
    <mergeCell ref="T5:T6"/>
    <mergeCell ref="U5:U6"/>
    <mergeCell ref="O5:O6"/>
    <mergeCell ref="A4:X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J5:J6"/>
    <mergeCell ref="K5:K6"/>
    <mergeCell ref="L5:L6"/>
    <mergeCell ref="M5:M6"/>
    <mergeCell ref="N5:N6"/>
    <mergeCell ref="A1:X1"/>
    <mergeCell ref="A2:O2"/>
    <mergeCell ref="P2:S2"/>
    <mergeCell ref="U2:V2"/>
    <mergeCell ref="G3:H3"/>
    <mergeCell ref="I3:J3"/>
    <mergeCell ref="M3:O3"/>
    <mergeCell ref="P3:Q3"/>
    <mergeCell ref="R3:S3"/>
    <mergeCell ref="U3:V3"/>
  </mergeCells>
  <phoneticPr fontId="1" type="noConversion"/>
  <conditionalFormatting sqref="S7:S8 K7:K8">
    <cfRule type="cellIs" dxfId="55" priority="3" operator="notEqual">
      <formula>L7</formula>
    </cfRule>
  </conditionalFormatting>
  <conditionalFormatting sqref="T7:T8 L7:L8">
    <cfRule type="cellIs" dxfId="54" priority="2" operator="notEqual">
      <formula>K7</formula>
    </cfRule>
  </conditionalFormatting>
  <conditionalFormatting sqref="M7:N8">
    <cfRule type="cellIs" dxfId="53" priority="1" operator="notEqual">
      <formula>M7</formula>
    </cfRule>
  </conditionalFormatting>
  <pageMargins left="0" right="0" top="0.59055118110236227" bottom="0.39370078740157483" header="0.31496062992125984" footer="0.31496062992125984"/>
  <pageSetup paperSize="9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OWidesheet">
    <pageSetUpPr fitToPage="1"/>
  </sheetPr>
  <dimension ref="A1:AU10"/>
  <sheetViews>
    <sheetView zoomScale="85" zoomScaleNormal="85" workbookViewId="0">
      <selection sqref="A1:X1"/>
    </sheetView>
  </sheetViews>
  <sheetFormatPr defaultRowHeight="16.5" x14ac:dyDescent="0.3"/>
  <cols>
    <col min="1" max="2" width="6.875" customWidth="1"/>
    <col min="3" max="4" width="8.5" customWidth="1"/>
    <col min="5" max="6" width="7.5" customWidth="1"/>
    <col min="7" max="7" width="9.875" customWidth="1"/>
    <col min="8" max="15" width="6.875" customWidth="1"/>
    <col min="16" max="17" width="5.875" customWidth="1"/>
    <col min="18" max="21" width="6.875" customWidth="1"/>
    <col min="22" max="23" width="5.5" customWidth="1"/>
    <col min="24" max="26" width="6.125" customWidth="1"/>
    <col min="27" max="34" width="6.875" customWidth="1"/>
    <col min="35" max="38" width="7.375" customWidth="1"/>
    <col min="39" max="47" width="4.625" customWidth="1"/>
  </cols>
  <sheetData>
    <row r="1" spans="1:47" ht="64.150000000000006" customHeight="1" x14ac:dyDescent="0.3">
      <c r="A1" s="166" t="str">
        <f>정보!E2</f>
        <v>(SO와이드) 실측서 ( 전남 목포 알파타워 ) _이만희소장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23"/>
      <c r="AJ1" s="56"/>
      <c r="AK1" s="56"/>
      <c r="AL1" s="56"/>
    </row>
    <row r="2" spans="1:47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"/>
      <c r="AJ2" s="1"/>
      <c r="AK2" s="1"/>
      <c r="AL2" s="1"/>
    </row>
    <row r="3" spans="1:47" ht="33" customHeight="1" x14ac:dyDescent="0.3">
      <c r="A3" s="2" t="str">
        <f>"현장명 : " &amp; 정보!B1 &amp; ",   (재질) : " &amp; 정보!B7</f>
        <v>현장명 : 전남 목포 알파타워,   (재질) : HL 1.2T</v>
      </c>
      <c r="B3" s="2"/>
      <c r="C3" s="2"/>
      <c r="D3" s="2"/>
      <c r="E3" s="2"/>
      <c r="F3" s="2"/>
      <c r="G3" s="2"/>
      <c r="H3" s="2"/>
      <c r="I3" s="2"/>
      <c r="J3" s="2"/>
      <c r="K3" s="35"/>
      <c r="L3" s="35"/>
      <c r="M3" s="174" t="s">
        <v>98</v>
      </c>
      <c r="N3" s="174"/>
      <c r="O3" s="34"/>
      <c r="P3" s="34"/>
      <c r="Q3" s="34"/>
      <c r="R3" s="34"/>
      <c r="S3" s="34"/>
      <c r="T3" s="34"/>
      <c r="U3" s="34"/>
      <c r="V3" s="34"/>
      <c r="W3" s="34"/>
      <c r="X3" s="34"/>
      <c r="Y3" s="166"/>
      <c r="Z3" s="166"/>
      <c r="AA3" s="166"/>
      <c r="AB3" s="166"/>
      <c r="AC3" s="166"/>
      <c r="AD3" s="166"/>
      <c r="AE3" s="166"/>
      <c r="AF3" s="166"/>
      <c r="AG3" s="166"/>
      <c r="AH3" s="166"/>
      <c r="AI3" s="34"/>
      <c r="AJ3" s="34"/>
      <c r="AK3" s="34"/>
      <c r="AL3" s="34"/>
    </row>
    <row r="4" spans="1:47" ht="33" customHeight="1" x14ac:dyDescent="0.3">
      <c r="A4" s="303" t="str">
        <f>정보!B10</f>
        <v>제작치수 반영 : MH + (2), JB/JD +(3 ),  늘어난치수K -(3),  C + (0),   U + (0), OP - (3),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162"/>
      <c r="W4" s="162"/>
      <c r="X4" s="162"/>
      <c r="Y4" s="162"/>
      <c r="Z4" s="162"/>
      <c r="AA4" s="162"/>
      <c r="AB4" s="162"/>
      <c r="AC4" s="162"/>
      <c r="AD4" s="162"/>
      <c r="AE4" s="162"/>
      <c r="AF4" s="164"/>
      <c r="AG4" s="173" t="s">
        <v>215</v>
      </c>
      <c r="AH4" s="173"/>
      <c r="AI4" s="75"/>
      <c r="AJ4" s="9"/>
      <c r="AK4" s="9"/>
      <c r="AL4" s="9"/>
    </row>
    <row r="5" spans="1:47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236</v>
      </c>
      <c r="F5" s="167" t="s">
        <v>239</v>
      </c>
      <c r="G5" s="167" t="s">
        <v>18</v>
      </c>
      <c r="H5" s="167" t="s">
        <v>4</v>
      </c>
      <c r="I5" s="167" t="s">
        <v>5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12</v>
      </c>
      <c r="O5" s="167" t="s">
        <v>13</v>
      </c>
      <c r="P5" s="167" t="s">
        <v>10</v>
      </c>
      <c r="Q5" s="167" t="s">
        <v>11</v>
      </c>
      <c r="R5" s="167" t="s">
        <v>14</v>
      </c>
      <c r="S5" s="167" t="s">
        <v>15</v>
      </c>
      <c r="T5" s="167" t="s">
        <v>16</v>
      </c>
      <c r="U5" s="167" t="s">
        <v>17</v>
      </c>
      <c r="V5" s="167" t="s">
        <v>19</v>
      </c>
      <c r="W5" s="168" t="s">
        <v>48</v>
      </c>
      <c r="X5" s="168" t="s">
        <v>22</v>
      </c>
      <c r="Y5" s="304" t="s">
        <v>237</v>
      </c>
      <c r="Z5" s="305" t="s">
        <v>243</v>
      </c>
      <c r="AA5" s="167" t="s">
        <v>21</v>
      </c>
      <c r="AB5" s="167"/>
      <c r="AC5" s="167"/>
      <c r="AD5" s="167"/>
      <c r="AE5" s="169" t="s">
        <v>91</v>
      </c>
      <c r="AF5" s="169" t="s">
        <v>92</v>
      </c>
      <c r="AG5" s="171" t="s">
        <v>212</v>
      </c>
      <c r="AH5" s="172"/>
      <c r="AI5" s="168" t="s">
        <v>199</v>
      </c>
      <c r="AJ5" s="168" t="s">
        <v>203</v>
      </c>
      <c r="AK5" s="168"/>
      <c r="AL5" s="168"/>
    </row>
    <row r="6" spans="1:47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8"/>
      <c r="Y6" s="304"/>
      <c r="Z6" s="305"/>
      <c r="AA6" s="8" t="s">
        <v>43</v>
      </c>
      <c r="AB6" s="8" t="s">
        <v>44</v>
      </c>
      <c r="AC6" s="8" t="s">
        <v>45</v>
      </c>
      <c r="AD6" s="8" t="s">
        <v>46</v>
      </c>
      <c r="AE6" s="170"/>
      <c r="AF6" s="170"/>
      <c r="AG6" s="74" t="s">
        <v>213</v>
      </c>
      <c r="AH6" s="74" t="s">
        <v>214</v>
      </c>
      <c r="AI6" s="167"/>
      <c r="AJ6" s="4" t="s">
        <v>200</v>
      </c>
      <c r="AK6" s="4" t="s">
        <v>201</v>
      </c>
      <c r="AL6" s="4" t="s">
        <v>80</v>
      </c>
      <c r="AM6" s="52" t="s">
        <v>115</v>
      </c>
    </row>
    <row r="7" spans="1:47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53"/>
      <c r="AN7" s="3">
        <f>AA7+$AM7</f>
        <v>0</v>
      </c>
      <c r="AO7" s="3">
        <f>AB7+$AM7</f>
        <v>0</v>
      </c>
      <c r="AP7" s="3">
        <f>AC7+$AM7</f>
        <v>0</v>
      </c>
      <c r="AQ7" s="3">
        <f>AD7+$AM7</f>
        <v>0</v>
      </c>
      <c r="AR7" s="3">
        <f>H7-$AM7</f>
        <v>0</v>
      </c>
      <c r="AS7" s="3">
        <f>I7-$AM7</f>
        <v>0</v>
      </c>
      <c r="AT7" s="3">
        <f>J7-$AM7</f>
        <v>0</v>
      </c>
      <c r="AU7" s="3">
        <f>K7-$AM7</f>
        <v>0</v>
      </c>
    </row>
    <row r="8" spans="1:47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53"/>
      <c r="AN8" s="3">
        <f t="shared" ref="AN8" si="0">AA8+$AM8</f>
        <v>0</v>
      </c>
      <c r="AO8" s="3">
        <f>AB8+$AM8</f>
        <v>0</v>
      </c>
      <c r="AP8" s="3">
        <f>AC8+$AM8</f>
        <v>0</v>
      </c>
      <c r="AQ8" s="3">
        <f>AD8+$AM8</f>
        <v>0</v>
      </c>
      <c r="AR8" s="3">
        <f t="shared" ref="AR8" si="1">H8-$AM8</f>
        <v>0</v>
      </c>
      <c r="AS8" s="3">
        <f>I8-$AM8</f>
        <v>0</v>
      </c>
      <c r="AT8" s="3">
        <f>J8-$AM8</f>
        <v>0</v>
      </c>
      <c r="AU8" s="3">
        <f>K8-$AM8</f>
        <v>0</v>
      </c>
    </row>
    <row r="9" spans="1:47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pans="1:47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</row>
  </sheetData>
  <mergeCells count="39">
    <mergeCell ref="G5:G6"/>
    <mergeCell ref="AG5:AH5"/>
    <mergeCell ref="AI5:AI6"/>
    <mergeCell ref="F5:F6"/>
    <mergeCell ref="N5:N6"/>
    <mergeCell ref="O5:O6"/>
    <mergeCell ref="P5:P6"/>
    <mergeCell ref="Q5:Q6"/>
    <mergeCell ref="R5:R6"/>
    <mergeCell ref="S5:S6"/>
    <mergeCell ref="H5:H6"/>
    <mergeCell ref="I5:I6"/>
    <mergeCell ref="J5:J6"/>
    <mergeCell ref="K5:K6"/>
    <mergeCell ref="L5:L6"/>
    <mergeCell ref="M5:M6"/>
    <mergeCell ref="A5:A6"/>
    <mergeCell ref="B5:B6"/>
    <mergeCell ref="C5:C6"/>
    <mergeCell ref="D5:D6"/>
    <mergeCell ref="E5:E6"/>
    <mergeCell ref="AJ5:AL5"/>
    <mergeCell ref="T5:T6"/>
    <mergeCell ref="U5:U6"/>
    <mergeCell ref="V5:V6"/>
    <mergeCell ref="W5:W6"/>
    <mergeCell ref="X5:X6"/>
    <mergeCell ref="Y5:Y6"/>
    <mergeCell ref="Z5:Z6"/>
    <mergeCell ref="AA5:AD5"/>
    <mergeCell ref="AE5:AE6"/>
    <mergeCell ref="AF5:AF6"/>
    <mergeCell ref="A4:U4"/>
    <mergeCell ref="V4:X4"/>
    <mergeCell ref="Y4:AF4"/>
    <mergeCell ref="A1:X1"/>
    <mergeCell ref="Y1:AH3"/>
    <mergeCell ref="M3:N3"/>
    <mergeCell ref="AG4:AH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tabColor theme="9" tint="-0.249977111117893"/>
    <pageSetUpPr fitToPage="1"/>
  </sheetPr>
  <dimension ref="A1:BN7"/>
  <sheetViews>
    <sheetView zoomScale="85" zoomScaleNormal="85" workbookViewId="0">
      <selection activeCell="B2" sqref="B2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7" width="5.75" customWidth="1"/>
    <col min="8" max="13" width="5.875" customWidth="1"/>
    <col min="14" max="14" width="5.5" bestFit="1" customWidth="1"/>
    <col min="15" max="17" width="5.125" customWidth="1"/>
    <col min="18" max="19" width="4.375" customWidth="1"/>
    <col min="20" max="21" width="5.5" customWidth="1"/>
    <col min="22" max="23" width="4.375" customWidth="1"/>
    <col min="24" max="27" width="6" customWidth="1"/>
    <col min="28" max="31" width="5.5" bestFit="1" customWidth="1"/>
    <col min="32" max="32" width="5.5" customWidth="1"/>
    <col min="33" max="36" width="4.75" customWidth="1"/>
    <col min="37" max="38" width="6.125" customWidth="1"/>
    <col min="39" max="39" width="4.75" customWidth="1"/>
    <col min="40" max="40" width="10.25" customWidth="1"/>
    <col min="41" max="42" width="10.5" customWidth="1"/>
    <col min="43" max="44" width="7.125" customWidth="1"/>
    <col min="45" max="45" width="7.75" customWidth="1"/>
    <col min="46" max="48" width="6.5" customWidth="1"/>
    <col min="49" max="50" width="4.375" customWidth="1"/>
    <col min="51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317" t="str">
        <f>정보!F2</f>
        <v>(SO와이드) 제작변환 ( 전남 목포 알파타워 ) _이만희소장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V1" s="317"/>
      <c r="W1" s="317"/>
      <c r="X1" s="317"/>
      <c r="Y1" s="317"/>
      <c r="Z1" s="317"/>
      <c r="AA1" s="317"/>
      <c r="AB1" s="317"/>
      <c r="AC1" s="317"/>
      <c r="AD1" s="317"/>
      <c r="AE1" s="317"/>
      <c r="AF1" s="317"/>
      <c r="AG1" s="317"/>
      <c r="AH1" s="317"/>
      <c r="AI1" s="317"/>
      <c r="AJ1" s="317"/>
      <c r="AK1" s="317"/>
      <c r="AL1" s="317"/>
      <c r="AM1" s="317"/>
      <c r="AN1" s="317"/>
      <c r="AO1" s="317"/>
      <c r="AP1" s="317"/>
      <c r="AQ1" s="317"/>
      <c r="AR1" s="317"/>
      <c r="AS1" s="317"/>
      <c r="AT1" s="317"/>
      <c r="AU1" s="317"/>
      <c r="AV1" s="317"/>
      <c r="AW1" s="37"/>
      <c r="AX1" s="37"/>
    </row>
    <row r="2" spans="1:66" ht="29.25" customHeight="1" x14ac:dyDescent="0.3">
      <c r="A2" s="97" t="s">
        <v>85</v>
      </c>
      <c r="B2" s="139">
        <v>3</v>
      </c>
      <c r="C2" s="98" t="s">
        <v>86</v>
      </c>
      <c r="D2" s="112">
        <v>0</v>
      </c>
      <c r="E2" s="27"/>
      <c r="F2" s="27"/>
      <c r="G2" s="98" t="s">
        <v>87</v>
      </c>
      <c r="H2" s="113">
        <v>2</v>
      </c>
      <c r="I2" s="1"/>
      <c r="J2" s="217" t="s">
        <v>113</v>
      </c>
      <c r="K2" s="218"/>
      <c r="L2" s="218"/>
      <c r="M2" s="218"/>
      <c r="N2" s="218"/>
      <c r="O2" s="218"/>
      <c r="P2" s="219">
        <v>1</v>
      </c>
      <c r="Q2" s="219"/>
      <c r="R2" s="189" t="s">
        <v>89</v>
      </c>
      <c r="S2" s="190"/>
      <c r="T2" s="191">
        <v>0</v>
      </c>
      <c r="U2" s="191"/>
      <c r="V2" s="167" t="s">
        <v>83</v>
      </c>
      <c r="W2" s="193"/>
      <c r="X2" s="193"/>
      <c r="Y2" s="194">
        <v>0</v>
      </c>
      <c r="Z2" s="194"/>
      <c r="AA2" s="322" t="str">
        <f>정보!B5</f>
        <v>TKEK HD S20D-OR</v>
      </c>
      <c r="AB2" s="323"/>
      <c r="AC2" s="323"/>
      <c r="AD2" s="323"/>
      <c r="AE2" s="323"/>
      <c r="AF2" s="323"/>
      <c r="AG2" s="323"/>
      <c r="AH2" s="323"/>
      <c r="AI2" s="323"/>
      <c r="AJ2" s="323"/>
      <c r="AK2" s="324"/>
      <c r="AL2" s="189" t="s">
        <v>90</v>
      </c>
      <c r="AM2" s="190"/>
      <c r="AN2" s="318">
        <v>3</v>
      </c>
      <c r="AO2" s="318"/>
      <c r="AP2" s="1"/>
      <c r="AQ2" s="319" t="s">
        <v>229</v>
      </c>
      <c r="AR2" s="320"/>
      <c r="AS2" s="321">
        <v>0</v>
      </c>
      <c r="AT2" s="321"/>
      <c r="AU2" s="1"/>
      <c r="AV2" s="1"/>
    </row>
    <row r="3" spans="1:66" ht="24.75" customHeight="1" x14ac:dyDescent="0.3">
      <c r="A3" s="28" t="str">
        <f>'SO와이드(실측)'!A3</f>
        <v>현장명 : 전남 목포 알파타워,   (재질) : HL 1.2T</v>
      </c>
      <c r="B3" s="2"/>
      <c r="C3" s="2"/>
      <c r="D3" s="2"/>
      <c r="E3" s="2"/>
      <c r="F3" s="2"/>
      <c r="G3" s="2"/>
      <c r="H3" s="2"/>
      <c r="I3" s="2"/>
      <c r="J3" s="189" t="s">
        <v>228</v>
      </c>
      <c r="K3" s="189"/>
      <c r="L3" s="189"/>
      <c r="M3" s="189"/>
      <c r="N3" s="189"/>
      <c r="O3" s="189"/>
      <c r="P3" s="220">
        <v>3</v>
      </c>
      <c r="Q3" s="220"/>
      <c r="R3" s="190" t="s">
        <v>77</v>
      </c>
      <c r="S3" s="190"/>
      <c r="T3" s="197">
        <v>0</v>
      </c>
      <c r="U3" s="197"/>
      <c r="V3" s="198" t="s">
        <v>227</v>
      </c>
      <c r="W3" s="198"/>
      <c r="X3" s="198"/>
      <c r="Y3" s="199">
        <f>BN7</f>
        <v>1</v>
      </c>
      <c r="Z3" s="199"/>
      <c r="AA3" s="315" t="s">
        <v>78</v>
      </c>
      <c r="AB3" s="315"/>
      <c r="AC3" s="325">
        <v>1</v>
      </c>
      <c r="AD3" s="325"/>
      <c r="AL3" s="167" t="s">
        <v>73</v>
      </c>
      <c r="AM3" s="167"/>
      <c r="AN3" s="110">
        <v>5</v>
      </c>
      <c r="AO3" s="103" t="s">
        <v>74</v>
      </c>
      <c r="AP3" s="111">
        <v>4</v>
      </c>
      <c r="AQ3" s="225" t="s">
        <v>230</v>
      </c>
      <c r="AR3" s="225"/>
      <c r="AS3" s="227" t="s">
        <v>327</v>
      </c>
      <c r="AT3" s="228"/>
      <c r="AU3" s="231" t="e">
        <f>AY7</f>
        <v>#DIV/0!</v>
      </c>
      <c r="AV3" s="232"/>
      <c r="BN3" s="177" t="s">
        <v>253</v>
      </c>
    </row>
    <row r="4" spans="1:66" ht="33" customHeight="1" x14ac:dyDescent="0.3">
      <c r="A4" s="163" t="str">
        <f>정보!B10</f>
        <v>제작치수 반영 : MH + (2), JB/JD +(3 ),  늘어난치수K -(3),  C + (0),   U + (0), OP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316" t="s">
        <v>313</v>
      </c>
      <c r="AH4" s="316"/>
      <c r="AI4" s="275">
        <f>'SO와이드(실측)'!AA7</f>
        <v>0</v>
      </c>
      <c r="AJ4" s="275"/>
      <c r="AK4" s="222">
        <f ca="1">TODAY()</f>
        <v>45299</v>
      </c>
      <c r="AL4" s="162"/>
      <c r="AM4" s="162"/>
      <c r="AN4" s="9"/>
      <c r="AO4" s="310" t="s">
        <v>117</v>
      </c>
      <c r="AP4" s="310"/>
      <c r="AQ4" s="173" t="s">
        <v>215</v>
      </c>
      <c r="AR4" s="173"/>
      <c r="AS4" s="84"/>
      <c r="AT4" s="229" t="s">
        <v>235</v>
      </c>
      <c r="AU4" s="229"/>
      <c r="AV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236</v>
      </c>
      <c r="F5" s="167" t="s">
        <v>246</v>
      </c>
      <c r="G5" s="167" t="s">
        <v>18</v>
      </c>
      <c r="H5" s="206" t="s">
        <v>4</v>
      </c>
      <c r="I5" s="270" t="s">
        <v>42</v>
      </c>
      <c r="J5" s="203" t="s">
        <v>105</v>
      </c>
      <c r="K5" s="203" t="s">
        <v>106</v>
      </c>
      <c r="L5" s="207" t="s">
        <v>107</v>
      </c>
      <c r="M5" s="207" t="s">
        <v>108</v>
      </c>
      <c r="N5" s="311" t="s">
        <v>240</v>
      </c>
      <c r="O5" s="313" t="s">
        <v>241</v>
      </c>
      <c r="P5" s="209" t="s">
        <v>71</v>
      </c>
      <c r="Q5" s="209" t="s">
        <v>72</v>
      </c>
      <c r="R5" s="167" t="s">
        <v>8</v>
      </c>
      <c r="S5" s="167" t="s">
        <v>9</v>
      </c>
      <c r="T5" s="167" t="s">
        <v>12</v>
      </c>
      <c r="U5" s="167" t="s">
        <v>13</v>
      </c>
      <c r="V5" s="167" t="s">
        <v>10</v>
      </c>
      <c r="W5" s="167" t="s">
        <v>11</v>
      </c>
      <c r="X5" s="205" t="s">
        <v>14</v>
      </c>
      <c r="Y5" s="205" t="s">
        <v>15</v>
      </c>
      <c r="Z5" s="206" t="s">
        <v>16</v>
      </c>
      <c r="AA5" s="206" t="s">
        <v>17</v>
      </c>
      <c r="AB5" s="167" t="s">
        <v>19</v>
      </c>
      <c r="AC5" s="167" t="s">
        <v>20</v>
      </c>
      <c r="AD5" s="168" t="s">
        <v>22</v>
      </c>
      <c r="AE5" s="304" t="s">
        <v>242</v>
      </c>
      <c r="AF5" s="305" t="s">
        <v>238</v>
      </c>
      <c r="AG5" s="195" t="s">
        <v>79</v>
      </c>
      <c r="AH5" s="196"/>
      <c r="AI5" s="196"/>
      <c r="AJ5" s="196"/>
      <c r="AK5" s="187" t="s">
        <v>91</v>
      </c>
      <c r="AL5" s="187" t="s">
        <v>92</v>
      </c>
      <c r="AM5" s="179" t="s">
        <v>99</v>
      </c>
      <c r="AN5" s="168" t="s">
        <v>61</v>
      </c>
      <c r="AO5" s="168" t="s">
        <v>34</v>
      </c>
      <c r="AP5" s="168" t="s">
        <v>35</v>
      </c>
      <c r="AQ5" s="171" t="s">
        <v>212</v>
      </c>
      <c r="AR5" s="172"/>
      <c r="AS5" s="308" t="s">
        <v>199</v>
      </c>
      <c r="AT5" s="308" t="s">
        <v>204</v>
      </c>
      <c r="AU5" s="308"/>
      <c r="AV5" s="308"/>
      <c r="AW5" s="177" t="s">
        <v>100</v>
      </c>
      <c r="AX5" s="177" t="s">
        <v>101</v>
      </c>
      <c r="AY5" s="307" t="s">
        <v>244</v>
      </c>
      <c r="AZ5" s="306" t="s">
        <v>245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206"/>
      <c r="I6" s="270"/>
      <c r="J6" s="204"/>
      <c r="K6" s="204"/>
      <c r="L6" s="208"/>
      <c r="M6" s="208"/>
      <c r="N6" s="312"/>
      <c r="O6" s="314"/>
      <c r="P6" s="210"/>
      <c r="Q6" s="210"/>
      <c r="R6" s="167"/>
      <c r="S6" s="167"/>
      <c r="T6" s="167"/>
      <c r="U6" s="167"/>
      <c r="V6" s="167"/>
      <c r="W6" s="167"/>
      <c r="X6" s="205"/>
      <c r="Y6" s="205"/>
      <c r="Z6" s="206"/>
      <c r="AA6" s="206"/>
      <c r="AB6" s="167"/>
      <c r="AC6" s="167"/>
      <c r="AD6" s="168"/>
      <c r="AE6" s="304"/>
      <c r="AF6" s="305"/>
      <c r="AG6" s="8" t="s">
        <v>52</v>
      </c>
      <c r="AH6" s="8" t="s">
        <v>68</v>
      </c>
      <c r="AI6" s="8" t="s">
        <v>69</v>
      </c>
      <c r="AJ6" s="8" t="s">
        <v>70</v>
      </c>
      <c r="AK6" s="188"/>
      <c r="AL6" s="188"/>
      <c r="AM6" s="180"/>
      <c r="AN6" s="168"/>
      <c r="AO6" s="167"/>
      <c r="AP6" s="167"/>
      <c r="AQ6" s="74" t="s">
        <v>213</v>
      </c>
      <c r="AR6" s="74" t="s">
        <v>214</v>
      </c>
      <c r="AS6" s="309"/>
      <c r="AT6" s="86" t="s">
        <v>200</v>
      </c>
      <c r="AU6" s="86" t="s">
        <v>201</v>
      </c>
      <c r="AV6" s="86" t="s">
        <v>80</v>
      </c>
      <c r="AW6" s="178"/>
      <c r="AX6" s="178"/>
      <c r="AY6" s="306"/>
      <c r="AZ6" s="306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30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'SO와이드(실측)'!A7</f>
        <v>0</v>
      </c>
      <c r="B7" s="31" t="str">
        <f>'SO와이드(실측)'!B7&amp;"F"</f>
        <v>F</v>
      </c>
      <c r="C7" s="31">
        <f>'SO와이드(실측)'!C7+SO와이드MH더함-IF(AND(소장="추영덕",AB7=0),1.2)</f>
        <v>2</v>
      </c>
      <c r="D7" s="31">
        <f>'SO와이드(실측)'!D7+SO와이드MH더함-IF(AND(소장="추영덕",AB7=0),1.2)</f>
        <v>2</v>
      </c>
      <c r="E7" s="31">
        <f>'SO와이드(실측)'!E7-SO와이드OP</f>
        <v>-3</v>
      </c>
      <c r="F7" s="31">
        <f>'SO와이드(실측)'!F7-SO와이드OP</f>
        <v>-3</v>
      </c>
      <c r="G7" s="31">
        <f>'SO와이드(실측)'!G7-SO와이드R</f>
        <v>0</v>
      </c>
      <c r="H7" s="50">
        <f>'SO와이드(실측)'!H7+SO와이드JBJD키움치수+IF(BN7=1,AG7,0)</f>
        <v>0</v>
      </c>
      <c r="I7" s="50">
        <f>'SO와이드(실측)'!I7+SO와이드JBJD키움치수+IF(BN7=1,AI7,0)</f>
        <v>0</v>
      </c>
      <c r="J7" s="50">
        <f>'SO와이드(실측)'!J7+MAX(AW7,AX7)+SO와이드JBJD키움치수+IF(BN7=1,AG7,0)</f>
        <v>0</v>
      </c>
      <c r="K7" s="50">
        <f>'SO와이드(실측)'!J7+MAX(AW7,AX7)+SO와이드JBJD키움치수+IF(BN7=1,AH7,0)-IF(SO와이드JB하부늘치=1,'SO와이드(실측)'!AA7-'SO와이드(실측)'!AB7,0)</f>
        <v>0</v>
      </c>
      <c r="L7" s="50">
        <f>'SO와이드(실측)'!K7+MAX(AW7,AX7)+SO와이드JBJD키움치수+IF(BN7=1,AI7,0)</f>
        <v>0</v>
      </c>
      <c r="M7" s="50">
        <f>'SO와이드(실측)'!K7+MAX(AW7,AX7)+SO와이드JBJD키움치수+IF(BN7=1,AJ7,0)-IF(SO와이드JB하부늘치=1,'SO와이드(실측)'!AC7-'SO와이드(실측)'!AD7,0)</f>
        <v>0</v>
      </c>
      <c r="N7" s="91">
        <f>IF(BN7=0,H7+AG7-(I7+AI7),H7-I7)</f>
        <v>0</v>
      </c>
      <c r="O7" s="88">
        <f>IF(BN7=0,J7+AG7-(L7+AI7),J7-L7)</f>
        <v>0</v>
      </c>
      <c r="P7" s="31">
        <f t="shared" ref="P7:Q7" si="0">IF(소장="손상민",0,R7-1.5)</f>
        <v>-0.30000000000000004</v>
      </c>
      <c r="Q7" s="31">
        <f t="shared" si="0"/>
        <v>-0.30000000000000004</v>
      </c>
      <c r="R7" s="31">
        <f>IF(V7&lt;9,'SO와이드(실측)'!L7+1.2,IF(ISNUMBER('SO와이드(실측)'!L7),'SO와이드(실측)'!L7+SO와이드C값,0))</f>
        <v>1.2</v>
      </c>
      <c r="S7" s="31">
        <f>IF(W7&lt;9,'SO와이드(실측)'!M7+1.2,IF(ISNUMBER('SO와이드(실측)'!M7),'SO와이드(실측)'!M7+SO와이드C값,0))</f>
        <v>1.2</v>
      </c>
      <c r="T7" s="136" t="e">
        <f>ROUNDUP(BA7,1)</f>
        <v>#DIV/0!</v>
      </c>
      <c r="U7" s="137" t="e">
        <f>ROUNDUP(BB7,1)</f>
        <v>#DIV/0!</v>
      </c>
      <c r="V7" s="31">
        <f>IF(ISNUMBER('SO와이드(실측)'!P7),'SO와이드(실측)'!P7+SO와이드제작!AW7+SO와이드A늘림,0)</f>
        <v>0</v>
      </c>
      <c r="W7" s="31">
        <f>IF(ISNUMBER('SO와이드(실측)'!Q7),'SO와이드(실측)'!Q7+SO와이드제작!AX7+SO와이드A늘림,0)</f>
        <v>0</v>
      </c>
      <c r="X7" s="31">
        <f>'SO와이드(실측)'!R7-SO와이드기둥차감</f>
        <v>0</v>
      </c>
      <c r="Y7" s="31">
        <f>'SO와이드(실측)'!S7-SO와이드기둥차감</f>
        <v>0</v>
      </c>
      <c r="Z7" s="31">
        <f>'SO와이드(실측)'!T7-SO와이드기둥차감</f>
        <v>0</v>
      </c>
      <c r="AA7" s="31">
        <f>'SO와이드(실측)'!U7-SO와이드기둥차감</f>
        <v>0</v>
      </c>
      <c r="AB7" s="31">
        <f>IF(소장&lt;&gt;"손상민",IF(ISNUMBER('SO와이드(실측)'!V7),'SO와이드(실측)'!V7+SO와이드U,0),IF(ISNUMBER('SO와이드(실측)'!V7),'SO와이드(실측)'!V7+1.2,0))</f>
        <v>0</v>
      </c>
      <c r="AC7" s="31">
        <f>IF(소장="손상민",MAX(T7,U7)+3.2,IF(ISNUMBER('SO와이드(실측)'!W7),'SO와이드(실측)'!W7+1.5+SO와이드제작!T7+1,0))</f>
        <v>0</v>
      </c>
      <c r="AD7" s="31">
        <f>'SO와이드(실측)'!X7+뒷날개치수더함</f>
        <v>0</v>
      </c>
      <c r="AE7" s="31">
        <f>'SO와이드(실측)'!Y7+뒷날개치수더함</f>
        <v>0</v>
      </c>
      <c r="AF7" s="31">
        <f>'SO와이드(실측)'!Z7+뒷날개치수더함</f>
        <v>0</v>
      </c>
      <c r="AG7" s="31">
        <f>'SO와이드(실측)'!AA7-SO와이드늘치</f>
        <v>-3</v>
      </c>
      <c r="AH7" s="31">
        <f>IF(SO와이드JB하부늘치=1,AG7,'SO와이드(실측)'!AB7-SO와이드늘치)</f>
        <v>-3</v>
      </c>
      <c r="AI7" s="31">
        <f>'SO와이드(실측)'!AC7-SO와이드늘치</f>
        <v>-3</v>
      </c>
      <c r="AJ7" s="31">
        <f>IF(SO와이드JB하부늘치=1,AI7,'SO와이드(실측)'!AD7-SO와이드늘치)</f>
        <v>-3</v>
      </c>
      <c r="AK7" s="31">
        <f xml:space="preserve"> IF(소장&lt;&gt;"손상민",IF('SO와이드(실측)'!AE7&gt;0,'SO와이드(실측)'!AE7,C7-1.2),IF('SO와이드(실측)'!AE7&gt;0,'SO와이드(실측)'!AE7+1.2,C7))</f>
        <v>0.8</v>
      </c>
      <c r="AL7" s="31">
        <f xml:space="preserve"> IF(소장&lt;&gt;"손상민",IF('SO와이드(실측)'!AF7&gt;0,'SO와이드(실측)'!AF7,D7-1.2),IF('SO와이드(실측)'!AF7&gt;0,'SO와이드(실측)'!AF7+1.2,D7) )</f>
        <v>0.8</v>
      </c>
      <c r="AM7" s="51">
        <f>IF(AC7&gt;0,AC7-MAX(T7,U7),0)</f>
        <v>0</v>
      </c>
      <c r="AN7" s="31" t="str">
        <f t="shared" ref="AN7" si="1">BF7&amp;"*"&amp;BG7</f>
        <v>0*-1.6</v>
      </c>
      <c r="AO7" s="31" t="str">
        <f t="shared" ref="AO7" si="2">BI7&amp;"*"&amp;BH7</f>
        <v>0.8*-2.4</v>
      </c>
      <c r="AP7" s="31" t="str">
        <f t="shared" ref="AP7" si="3">BK7&amp;"*"&amp;BJ7</f>
        <v>0.8*-2.4</v>
      </c>
      <c r="AQ7" s="31">
        <f>IF('SO와이드(실측)'!AG7&gt;0,'SO와이드(실측)'!AG7-'SO와이드(실측)'!X7+1.2,0)</f>
        <v>0</v>
      </c>
      <c r="AR7" s="31">
        <f>IF('SO와이드(실측)'!AH7&gt;0,'SO와이드(실측)'!AH7-'SO와이드(실측)'!X7+1.2,0)</f>
        <v>0</v>
      </c>
      <c r="AS7" s="31">
        <f>'SO와이드(실측)'!AI7</f>
        <v>0</v>
      </c>
      <c r="AT7" s="31">
        <f>IF('SO와이드(실측)'!AJ7&gt;5,'SO와이드(실측)'!AJ7+뒷날개치수더함,'SO와이드(실측)'!AJ7)</f>
        <v>0</v>
      </c>
      <c r="AU7" s="31">
        <f>'SO와이드(실측)'!AK7</f>
        <v>0</v>
      </c>
      <c r="AV7" s="31">
        <f>'SO와이드(실측)'!AL7</f>
        <v>0</v>
      </c>
      <c r="AW7">
        <f>IF(AND(ISNUMBER('SO와이드(실측)'!Q7),ISNUMBER('SO와이드(실측)'!P7)),IF(ISNUMBER('SO와이드(실측)'!P7),IF(9-MIN('SO와이드(실측)'!P7+SO와이드A늘림,'SO와이드(실측)'!Q7+SO와이드A늘림)&lt;0,0,9-MIN('SO와이드(실측)'!P7+SO와이드A늘림,'SO와이드(실측)'!Q7+SO와이드A늘림)),0),IF(ISNUMBER('SO와이드(실측)'!P7),IF(9-'SO와이드(실측)'!P7-SO와이드A늘림&lt;0,0,9-'SO와이드(실측)'!P7-SO와이드A늘림),0))</f>
        <v>0</v>
      </c>
      <c r="AX7">
        <f>IF(AND(ISNUMBER('SO와이드(실측)'!P7),ISNUMBER('SO와이드(실측)'!Q7)),IF(ISNUMBER('SO와이드(실측)'!Q7),IF(9-MIN('SO와이드(실측)'!Q7+SO와이드A늘림,'SO와이드(실측)'!P7+SO와이드A늘림)&lt;0,0,9-MIN('SO와이드(실측)'!Q7+SO와이드A늘림,'SO와이드(실측)'!P7+SO와이드A늘림)),0),IF(ISNUMBER('SO와이드(실측)'!Q7),IF(9-'SO와이드(실측)'!Q7-SO와이드A늘림&lt;0,0,9-'SO와이드(실측)'!Q7-SO와이드A늘림),0))</f>
        <v>0</v>
      </c>
      <c r="AY7" s="20" t="e">
        <f>DEGREES(ATAN((G7-(E7+F7))/2/(H7)))</f>
        <v>#DIV/0!</v>
      </c>
      <c r="AZ7" s="20" t="e">
        <f>DEGREES(ATAN((G7-(E7+F7))/2/(I7)))</f>
        <v>#DIV/0!</v>
      </c>
      <c r="BA7" s="21" t="e">
        <f>INT(ABS(H7-COS(RADIANS(AY7))*J7)*10)/10</f>
        <v>#DIV/0!</v>
      </c>
      <c r="BB7" s="21" t="e">
        <f>INT(ABS(I7-COS(RADIANS(AZ7))*L7)*10)/10</f>
        <v>#DIV/0!</v>
      </c>
      <c r="BC7" s="21">
        <f>'SO와이드(실측)'!N7+AW7</f>
        <v>0</v>
      </c>
      <c r="BD7" s="21">
        <f>'SO와이드(실측)'!O7+AW7</f>
        <v>0</v>
      </c>
      <c r="BE7" s="20" t="e">
        <f>BA7-MAX(BC7,BD7)</f>
        <v>#DIV/0!</v>
      </c>
      <c r="BF7" s="41">
        <f>IF(소장&lt;&gt;"손상민",G7+IF(AB7+AC7&gt;0,P7+Q7,0),G7)</f>
        <v>0</v>
      </c>
      <c r="BG7" s="42">
        <f>MAX(C7,D7)+MAX(H7,I7)+AD7-1.2*$AN$3+IF(BN7=0,MAX(AI7,AG7),0)+IF(AB7=0,1.2,0)+IF(AC7=0,1.2,0)+IF(소장&lt;&gt;"손상민", AB7+AC7,IF('SO와이드(실측)'!V7=0,0,2.4))</f>
        <v>-1.5999999999999999</v>
      </c>
      <c r="BH7" s="41">
        <f>V7+R7+MAX(J7,K7)+AE7-1.2*$AP$3+IF(BN7=0,MAX(AH7,AG7),0)+IF(V7=0,1.2,0)-IF(AV7=90,2.4,0)</f>
        <v>-2.3999999999999995</v>
      </c>
      <c r="BI7" s="41">
        <f>MAX(X7,Y7)+AK7</f>
        <v>0.8</v>
      </c>
      <c r="BJ7" s="41">
        <f>W7+S7+MAX(L7,M7)+AF7-1.2*$AP$3+IF(BN7=0,MAX(AI7,AJ7),0)+IF(W7=0,1.2,0)-IF(AV7=90,2.4,0)</f>
        <v>-2.3999999999999995</v>
      </c>
      <c r="BK7" s="41">
        <f>MAX(Z7,AA7)+AL7</f>
        <v>0.8</v>
      </c>
      <c r="BL7" s="6" t="e">
        <f t="shared" ref="BL7" si="4">J7-H7-T7</f>
        <v>#DIV/0!</v>
      </c>
      <c r="BM7" s="43" t="str">
        <f>IF(AND(C7&lt;&gt;D7,AB7&gt;0),"NG","")</f>
        <v/>
      </c>
      <c r="BN7" s="77">
        <f>IF(AND(MIN(AG7,AI7)&gt;=9.2,G7-E7-F7&gt;15),0,1)</f>
        <v>1</v>
      </c>
    </row>
  </sheetData>
  <mergeCells count="88">
    <mergeCell ref="AG4:AH4"/>
    <mergeCell ref="AI4:AJ4"/>
    <mergeCell ref="A1:AK1"/>
    <mergeCell ref="AL1:AV1"/>
    <mergeCell ref="AL2:AM2"/>
    <mergeCell ref="AN2:AO2"/>
    <mergeCell ref="AQ2:AR2"/>
    <mergeCell ref="AS2:AT2"/>
    <mergeCell ref="J2:O2"/>
    <mergeCell ref="P2:Q2"/>
    <mergeCell ref="R2:S2"/>
    <mergeCell ref="T2:U2"/>
    <mergeCell ref="V2:X2"/>
    <mergeCell ref="Y2:Z2"/>
    <mergeCell ref="AA2:AK2"/>
    <mergeCell ref="AC3:AD3"/>
    <mergeCell ref="AQ3:AR3"/>
    <mergeCell ref="AL3:AM3"/>
    <mergeCell ref="P3:Q3"/>
    <mergeCell ref="R3:S3"/>
    <mergeCell ref="T3:U3"/>
    <mergeCell ref="V3:X3"/>
    <mergeCell ref="F5:F6"/>
    <mergeCell ref="N5:N6"/>
    <mergeCell ref="O5:O6"/>
    <mergeCell ref="Y3:Z3"/>
    <mergeCell ref="AA3:AB3"/>
    <mergeCell ref="J3:O3"/>
    <mergeCell ref="L5:L6"/>
    <mergeCell ref="M5:M6"/>
    <mergeCell ref="P5:P6"/>
    <mergeCell ref="Q5:Q6"/>
    <mergeCell ref="G5:G6"/>
    <mergeCell ref="H5:H6"/>
    <mergeCell ref="I5:I6"/>
    <mergeCell ref="J5:J6"/>
    <mergeCell ref="K5:K6"/>
    <mergeCell ref="A4:AF4"/>
    <mergeCell ref="AK4:AM4"/>
    <mergeCell ref="AO4:AP4"/>
    <mergeCell ref="AQ4:AR4"/>
    <mergeCell ref="R5:R6"/>
    <mergeCell ref="AC5:AC6"/>
    <mergeCell ref="AD5:AD6"/>
    <mergeCell ref="S5:S6"/>
    <mergeCell ref="T5:T6"/>
    <mergeCell ref="U5:U6"/>
    <mergeCell ref="V5:V6"/>
    <mergeCell ref="W5:W6"/>
    <mergeCell ref="X5:X6"/>
    <mergeCell ref="AB5:AB6"/>
    <mergeCell ref="Y5:Y6"/>
    <mergeCell ref="Z5:Z6"/>
    <mergeCell ref="AA5:AA6"/>
    <mergeCell ref="A5:A6"/>
    <mergeCell ref="B5:B6"/>
    <mergeCell ref="C5:C6"/>
    <mergeCell ref="D5:D6"/>
    <mergeCell ref="E5:E6"/>
    <mergeCell ref="AN5:AN6"/>
    <mergeCell ref="BA5:BA6"/>
    <mergeCell ref="AO5:AO6"/>
    <mergeCell ref="AP5:AP6"/>
    <mergeCell ref="AQ5:AR5"/>
    <mergeCell ref="AS5:AS6"/>
    <mergeCell ref="AT5:AV5"/>
    <mergeCell ref="AW5:AW6"/>
    <mergeCell ref="AT4:AV4"/>
    <mergeCell ref="BN3:BN4"/>
    <mergeCell ref="BJ5:BK5"/>
    <mergeCell ref="BM5:BM6"/>
    <mergeCell ref="BN5:BN6"/>
    <mergeCell ref="BB5:BB6"/>
    <mergeCell ref="BC5:BC6"/>
    <mergeCell ref="BD5:BD6"/>
    <mergeCell ref="BE5:BE6"/>
    <mergeCell ref="BH5:BI5"/>
    <mergeCell ref="AZ5:AZ6"/>
    <mergeCell ref="AX5:AX6"/>
    <mergeCell ref="AY5:AY6"/>
    <mergeCell ref="AS3:AT3"/>
    <mergeCell ref="AU3:AV3"/>
    <mergeCell ref="AE5:AE6"/>
    <mergeCell ref="AG5:AJ5"/>
    <mergeCell ref="AK5:AK6"/>
    <mergeCell ref="AL5:AL6"/>
    <mergeCell ref="AM5:AM6"/>
    <mergeCell ref="AF5:AF6"/>
  </mergeCells>
  <phoneticPr fontId="1" type="noConversion"/>
  <conditionalFormatting sqref="AM7">
    <cfRule type="cellIs" dxfId="52" priority="34" operator="greaterThan">
      <formula>3</formula>
    </cfRule>
  </conditionalFormatting>
  <conditionalFormatting sqref="G7">
    <cfRule type="cellIs" dxfId="51" priority="31" operator="greaterThan">
      <formula>1210</formula>
    </cfRule>
  </conditionalFormatting>
  <conditionalFormatting sqref="C7:D7">
    <cfRule type="cellIs" dxfId="50" priority="29" operator="notEqual">
      <formula>$D7</formula>
    </cfRule>
  </conditionalFormatting>
  <conditionalFormatting sqref="D7">
    <cfRule type="cellIs" dxfId="49" priority="28" operator="notEqual">
      <formula>$C7</formula>
    </cfRule>
  </conditionalFormatting>
  <conditionalFormatting sqref="AS7:AV7">
    <cfRule type="cellIs" dxfId="48" priority="14" operator="greaterThan">
      <formula>1.2</formula>
    </cfRule>
  </conditionalFormatting>
  <conditionalFormatting sqref="AS7">
    <cfRule type="cellIs" dxfId="47" priority="13" operator="greaterThan">
      <formula>0</formula>
    </cfRule>
  </conditionalFormatting>
  <conditionalFormatting sqref="H7">
    <cfRule type="cellIs" dxfId="46" priority="11" operator="notEqual">
      <formula>I7</formula>
    </cfRule>
  </conditionalFormatting>
  <conditionalFormatting sqref="I7">
    <cfRule type="cellIs" dxfId="45" priority="10" operator="notEqual">
      <formula>$H$7</formula>
    </cfRule>
  </conditionalFormatting>
  <conditionalFormatting sqref="J7">
    <cfRule type="cellIs" dxfId="44" priority="9" operator="notEqual">
      <formula>K7</formula>
    </cfRule>
  </conditionalFormatting>
  <conditionalFormatting sqref="K7">
    <cfRule type="cellIs" dxfId="43" priority="8" operator="notEqual">
      <formula>J7</formula>
    </cfRule>
  </conditionalFormatting>
  <conditionalFormatting sqref="M7">
    <cfRule type="cellIs" dxfId="42" priority="7" operator="notEqual">
      <formula>L7</formula>
    </cfRule>
  </conditionalFormatting>
  <conditionalFormatting sqref="L7">
    <cfRule type="cellIs" dxfId="41" priority="6" operator="notEqual">
      <formula>M7</formula>
    </cfRule>
  </conditionalFormatting>
  <conditionalFormatting sqref="AK7">
    <cfRule type="cellIs" dxfId="40" priority="5" operator="notEqual">
      <formula>AL7</formula>
    </cfRule>
  </conditionalFormatting>
  <conditionalFormatting sqref="AL7">
    <cfRule type="cellIs" dxfId="39" priority="4" operator="notEqual">
      <formula>AK7</formula>
    </cfRule>
  </conditionalFormatting>
  <conditionalFormatting sqref="AG7:AJ7">
    <cfRule type="expression" dxfId="38" priority="3">
      <formula>$BN7</formula>
    </cfRule>
  </conditionalFormatting>
  <conditionalFormatting sqref="AB7">
    <cfRule type="expression" dxfId="37" priority="2">
      <formula>소장="손상민"</formula>
    </cfRule>
  </conditionalFormatting>
  <conditionalFormatting sqref="AC7">
    <cfRule type="expression" dxfId="36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39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ONormalsheet">
    <pageSetUpPr fitToPage="1"/>
  </sheetPr>
  <dimension ref="A1:AO17"/>
  <sheetViews>
    <sheetView zoomScale="85" zoomScaleNormal="85" workbookViewId="0">
      <selection activeCell="W7" sqref="W7:AA7"/>
    </sheetView>
  </sheetViews>
  <sheetFormatPr defaultRowHeight="16.5" x14ac:dyDescent="0.3"/>
  <cols>
    <col min="1" max="2" width="6.875" customWidth="1"/>
    <col min="3" max="4" width="8.125" customWidth="1"/>
    <col min="5" max="5" width="9.875" customWidth="1"/>
    <col min="6" max="26" width="6.875" customWidth="1"/>
    <col min="27" max="27" width="7.75" customWidth="1"/>
    <col min="28" max="29" width="7.375" customWidth="1"/>
    <col min="30" max="31" width="7.75" customWidth="1"/>
    <col min="32" max="32" width="13.75" customWidth="1"/>
    <col min="33" max="41" width="5.625" customWidth="1"/>
  </cols>
  <sheetData>
    <row r="1" spans="1:41" ht="64.150000000000006" customHeight="1" x14ac:dyDescent="0.3">
      <c r="A1" s="165" t="str">
        <f>정보!E3</f>
        <v>(SO멍텅구리) 실측서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"/>
      <c r="AE1" s="1"/>
      <c r="AF1" s="1"/>
    </row>
    <row r="2" spans="1:41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</row>
    <row r="3" spans="1:41" ht="33" customHeight="1" x14ac:dyDescent="0.3">
      <c r="A3" s="5" t="str">
        <f>"현장명 : " &amp; 정보!B1 &amp; ",   (재질) : " &amp; 정보!B8</f>
        <v>현장명 : 전남 목포 알파타워,   (재질) : HL 1.2T</v>
      </c>
      <c r="B3" s="2"/>
      <c r="C3" s="2"/>
      <c r="D3" s="2"/>
      <c r="E3" s="2"/>
      <c r="F3" s="2"/>
      <c r="G3" s="2"/>
      <c r="H3" s="248"/>
      <c r="I3" s="248"/>
      <c r="J3" s="245"/>
      <c r="K3" s="245"/>
      <c r="L3" s="246"/>
      <c r="M3" s="246"/>
      <c r="N3" s="247"/>
      <c r="O3" s="247"/>
      <c r="P3" s="247"/>
      <c r="Q3" s="242" t="s">
        <v>97</v>
      </c>
      <c r="R3" s="242"/>
      <c r="S3" s="243"/>
      <c r="T3" s="243"/>
      <c r="U3" s="244"/>
      <c r="V3" s="244"/>
      <c r="W3" s="244"/>
    </row>
    <row r="4" spans="1:41" ht="33" customHeight="1" x14ac:dyDescent="0.3">
      <c r="A4" s="163" t="str">
        <f>정보!B14</f>
        <v>제작치수 반영 : JB/JD +(3 ),  늘어난치수K -(3),  C + (0),  U +(0), OP1/OP2 -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2"/>
      <c r="X4" s="162"/>
      <c r="Y4" s="162"/>
      <c r="Z4" s="162"/>
      <c r="AA4" s="162"/>
      <c r="AB4" s="162"/>
      <c r="AC4" s="164"/>
      <c r="AD4" s="173" t="s">
        <v>215</v>
      </c>
      <c r="AE4" s="173"/>
      <c r="AF4" s="81" t="s">
        <v>234</v>
      </c>
    </row>
    <row r="5" spans="1:41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7" t="s">
        <v>4</v>
      </c>
      <c r="G5" s="167" t="s">
        <v>5</v>
      </c>
      <c r="H5" s="167" t="s">
        <v>6</v>
      </c>
      <c r="I5" s="167" t="s">
        <v>7</v>
      </c>
      <c r="J5" s="167" t="s">
        <v>8</v>
      </c>
      <c r="K5" s="167" t="s">
        <v>9</v>
      </c>
      <c r="L5" s="167" t="s">
        <v>10</v>
      </c>
      <c r="M5" s="167" t="s">
        <v>11</v>
      </c>
      <c r="N5" s="167" t="s">
        <v>14</v>
      </c>
      <c r="O5" s="167" t="s">
        <v>15</v>
      </c>
      <c r="P5" s="167" t="s">
        <v>16</v>
      </c>
      <c r="Q5" s="167" t="s">
        <v>17</v>
      </c>
      <c r="R5" s="167" t="s">
        <v>19</v>
      </c>
      <c r="S5" s="167" t="s">
        <v>20</v>
      </c>
      <c r="T5" s="237" t="s">
        <v>22</v>
      </c>
      <c r="U5" s="304" t="s">
        <v>242</v>
      </c>
      <c r="V5" s="305" t="s">
        <v>238</v>
      </c>
      <c r="W5" s="239" t="s">
        <v>21</v>
      </c>
      <c r="X5" s="240"/>
      <c r="Y5" s="240"/>
      <c r="Z5" s="241"/>
      <c r="AA5" s="168" t="s">
        <v>203</v>
      </c>
      <c r="AB5" s="168"/>
      <c r="AC5" s="168"/>
      <c r="AD5" s="171" t="s">
        <v>212</v>
      </c>
      <c r="AE5" s="172"/>
      <c r="AF5" s="80" t="s">
        <v>231</v>
      </c>
    </row>
    <row r="6" spans="1:41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238"/>
      <c r="U6" s="304"/>
      <c r="V6" s="305"/>
      <c r="W6" s="8" t="s">
        <v>52</v>
      </c>
      <c r="X6" s="8" t="s">
        <v>53</v>
      </c>
      <c r="Y6" s="8" t="s">
        <v>54</v>
      </c>
      <c r="Z6" s="8" t="s">
        <v>55</v>
      </c>
      <c r="AA6" s="4" t="s">
        <v>200</v>
      </c>
      <c r="AB6" s="4" t="s">
        <v>201</v>
      </c>
      <c r="AC6" s="4" t="s">
        <v>80</v>
      </c>
      <c r="AD6" s="74" t="s">
        <v>213</v>
      </c>
      <c r="AE6" s="74" t="s">
        <v>214</v>
      </c>
      <c r="AF6" s="80" t="s">
        <v>232</v>
      </c>
      <c r="AG6" s="54" t="s">
        <v>115</v>
      </c>
    </row>
    <row r="7" spans="1:41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55"/>
      <c r="AH7" s="3">
        <f t="shared" ref="AH7:AK11" si="0">W7+$AG7</f>
        <v>0</v>
      </c>
      <c r="AI7" s="3">
        <f t="shared" si="0"/>
        <v>0</v>
      </c>
      <c r="AJ7" s="3">
        <f t="shared" si="0"/>
        <v>0</v>
      </c>
      <c r="AK7" s="3">
        <f t="shared" si="0"/>
        <v>0</v>
      </c>
      <c r="AL7" s="3">
        <f t="shared" ref="AL7:AO11" si="1">F7-$AG7</f>
        <v>0</v>
      </c>
      <c r="AM7" s="3">
        <f t="shared" si="1"/>
        <v>0</v>
      </c>
      <c r="AN7" s="3">
        <f t="shared" si="1"/>
        <v>0</v>
      </c>
      <c r="AO7" s="3">
        <f t="shared" si="1"/>
        <v>0</v>
      </c>
    </row>
    <row r="8" spans="1:41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55"/>
      <c r="AH8" s="3">
        <f t="shared" si="0"/>
        <v>0</v>
      </c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1"/>
        <v>0</v>
      </c>
      <c r="AM8" s="3">
        <f t="shared" si="1"/>
        <v>0</v>
      </c>
      <c r="AN8" s="3">
        <f t="shared" si="1"/>
        <v>0</v>
      </c>
      <c r="AO8" s="3">
        <f t="shared" si="1"/>
        <v>0</v>
      </c>
    </row>
    <row r="9" spans="1:41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55"/>
      <c r="AH9" s="3">
        <f t="shared" si="0"/>
        <v>0</v>
      </c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1"/>
        <v>0</v>
      </c>
      <c r="AM9" s="3">
        <f t="shared" si="1"/>
        <v>0</v>
      </c>
      <c r="AN9" s="3">
        <f t="shared" si="1"/>
        <v>0</v>
      </c>
      <c r="AO9" s="3">
        <f t="shared" si="1"/>
        <v>0</v>
      </c>
    </row>
    <row r="10" spans="1:41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55"/>
      <c r="AH10" s="3">
        <f t="shared" si="0"/>
        <v>0</v>
      </c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1"/>
        <v>0</v>
      </c>
      <c r="AM10" s="3">
        <f t="shared" si="1"/>
        <v>0</v>
      </c>
      <c r="AN10" s="3">
        <f t="shared" si="1"/>
        <v>0</v>
      </c>
      <c r="AO10" s="3">
        <f t="shared" si="1"/>
        <v>0</v>
      </c>
    </row>
    <row r="11" spans="1:41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55"/>
      <c r="AH11" s="3">
        <f t="shared" si="0"/>
        <v>0</v>
      </c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1"/>
        <v>0</v>
      </c>
      <c r="AM11" s="3">
        <f t="shared" si="1"/>
        <v>0</v>
      </c>
      <c r="AN11" s="3">
        <f t="shared" si="1"/>
        <v>0</v>
      </c>
      <c r="AO11" s="3">
        <f t="shared" si="1"/>
        <v>0</v>
      </c>
    </row>
    <row r="12" spans="1:41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55"/>
      <c r="AH12" s="3">
        <f t="shared" ref="AH12:AH17" si="2">W12+$AG12</f>
        <v>0</v>
      </c>
      <c r="AI12" s="3">
        <f t="shared" ref="AI12:AI17" si="3">X12+$AG12</f>
        <v>0</v>
      </c>
      <c r="AJ12" s="3">
        <f t="shared" ref="AJ12:AJ17" si="4">Y12+$AG12</f>
        <v>0</v>
      </c>
      <c r="AK12" s="3">
        <f t="shared" ref="AK12:AK17" si="5">Z12+$AG12</f>
        <v>0</v>
      </c>
      <c r="AL12" s="3">
        <f t="shared" ref="AL12:AL17" si="6">F12-$AG12</f>
        <v>0</v>
      </c>
      <c r="AM12" s="3">
        <f t="shared" ref="AM12:AM17" si="7">G12-$AG12</f>
        <v>0</v>
      </c>
      <c r="AN12" s="3">
        <f t="shared" ref="AN12:AN17" si="8">H12-$AG12</f>
        <v>0</v>
      </c>
      <c r="AO12" s="3">
        <f t="shared" ref="AO12:AO17" si="9">I12-$AG12</f>
        <v>0</v>
      </c>
    </row>
    <row r="13" spans="1:41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55"/>
      <c r="AH13" s="3">
        <f t="shared" si="2"/>
        <v>0</v>
      </c>
      <c r="AI13" s="3">
        <f t="shared" si="3"/>
        <v>0</v>
      </c>
      <c r="AJ13" s="3">
        <f t="shared" si="4"/>
        <v>0</v>
      </c>
      <c r="AK13" s="3">
        <f t="shared" si="5"/>
        <v>0</v>
      </c>
      <c r="AL13" s="3">
        <f t="shared" si="6"/>
        <v>0</v>
      </c>
      <c r="AM13" s="3">
        <f t="shared" si="7"/>
        <v>0</v>
      </c>
      <c r="AN13" s="3">
        <f t="shared" si="8"/>
        <v>0</v>
      </c>
      <c r="AO13" s="3">
        <f t="shared" si="9"/>
        <v>0</v>
      </c>
    </row>
    <row r="14" spans="1:41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55"/>
      <c r="AH14" s="3">
        <f t="shared" si="2"/>
        <v>0</v>
      </c>
      <c r="AI14" s="3">
        <f t="shared" si="3"/>
        <v>0</v>
      </c>
      <c r="AJ14" s="3">
        <f t="shared" si="4"/>
        <v>0</v>
      </c>
      <c r="AK14" s="3">
        <f t="shared" si="5"/>
        <v>0</v>
      </c>
      <c r="AL14" s="3">
        <f t="shared" si="6"/>
        <v>0</v>
      </c>
      <c r="AM14" s="3">
        <f t="shared" si="7"/>
        <v>0</v>
      </c>
      <c r="AN14" s="3">
        <f t="shared" si="8"/>
        <v>0</v>
      </c>
      <c r="AO14" s="3">
        <f t="shared" si="9"/>
        <v>0</v>
      </c>
    </row>
    <row r="15" spans="1:41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55"/>
      <c r="AH15" s="3">
        <f t="shared" si="2"/>
        <v>0</v>
      </c>
      <c r="AI15" s="3">
        <f t="shared" si="3"/>
        <v>0</v>
      </c>
      <c r="AJ15" s="3">
        <f t="shared" si="4"/>
        <v>0</v>
      </c>
      <c r="AK15" s="3">
        <f t="shared" si="5"/>
        <v>0</v>
      </c>
      <c r="AL15" s="3">
        <f t="shared" si="6"/>
        <v>0</v>
      </c>
      <c r="AM15" s="3">
        <f t="shared" si="7"/>
        <v>0</v>
      </c>
      <c r="AN15" s="3">
        <f t="shared" si="8"/>
        <v>0</v>
      </c>
      <c r="AO15" s="3">
        <f t="shared" si="9"/>
        <v>0</v>
      </c>
    </row>
    <row r="16" spans="1:41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55"/>
      <c r="AH16" s="3">
        <f t="shared" si="2"/>
        <v>0</v>
      </c>
      <c r="AI16" s="3">
        <f t="shared" si="3"/>
        <v>0</v>
      </c>
      <c r="AJ16" s="3">
        <f t="shared" si="4"/>
        <v>0</v>
      </c>
      <c r="AK16" s="3">
        <f t="shared" si="5"/>
        <v>0</v>
      </c>
      <c r="AL16" s="3">
        <f t="shared" si="6"/>
        <v>0</v>
      </c>
      <c r="AM16" s="3">
        <f t="shared" si="7"/>
        <v>0</v>
      </c>
      <c r="AN16" s="3">
        <f t="shared" si="8"/>
        <v>0</v>
      </c>
      <c r="AO16" s="3">
        <f t="shared" si="9"/>
        <v>0</v>
      </c>
    </row>
    <row r="17" spans="1:4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55"/>
      <c r="AH17" s="3">
        <f t="shared" si="2"/>
        <v>0</v>
      </c>
      <c r="AI17" s="3">
        <f t="shared" si="3"/>
        <v>0</v>
      </c>
      <c r="AJ17" s="3">
        <f t="shared" si="4"/>
        <v>0</v>
      </c>
      <c r="AK17" s="3">
        <f t="shared" si="5"/>
        <v>0</v>
      </c>
      <c r="AL17" s="3">
        <f t="shared" si="6"/>
        <v>0</v>
      </c>
      <c r="AM17" s="3">
        <f t="shared" si="7"/>
        <v>0</v>
      </c>
      <c r="AN17" s="3">
        <f t="shared" si="8"/>
        <v>0</v>
      </c>
      <c r="AO17" s="3">
        <f t="shared" si="9"/>
        <v>0</v>
      </c>
    </row>
  </sheetData>
  <mergeCells count="36">
    <mergeCell ref="A4:V4"/>
    <mergeCell ref="W4:AC4"/>
    <mergeCell ref="A1:AC1"/>
    <mergeCell ref="H3:I3"/>
    <mergeCell ref="J3:K3"/>
    <mergeCell ref="L3:M3"/>
    <mergeCell ref="N3:P3"/>
    <mergeCell ref="Q3:R3"/>
    <mergeCell ref="S3:T3"/>
    <mergeCell ref="U3:W3"/>
    <mergeCell ref="AD4:AE4"/>
    <mergeCell ref="A5:A6"/>
    <mergeCell ref="B5:B6"/>
    <mergeCell ref="C5:C6"/>
    <mergeCell ref="E5:E6"/>
    <mergeCell ref="F5:F6"/>
    <mergeCell ref="G5:G6"/>
    <mergeCell ref="H5:H6"/>
    <mergeCell ref="I5:I6"/>
    <mergeCell ref="W5:Z5"/>
    <mergeCell ref="AA5:AC5"/>
    <mergeCell ref="AD5:AE5"/>
    <mergeCell ref="D5:D6"/>
    <mergeCell ref="V5:V6"/>
    <mergeCell ref="U5:U6"/>
    <mergeCell ref="T5:T6"/>
    <mergeCell ref="J5:J6"/>
    <mergeCell ref="K5:K6"/>
    <mergeCell ref="L5:L6"/>
    <mergeCell ref="M5:M6"/>
    <mergeCell ref="N5:N6"/>
    <mergeCell ref="O5:O6"/>
    <mergeCell ref="P5:P6"/>
    <mergeCell ref="Q5:Q6"/>
    <mergeCell ref="R5:R6"/>
    <mergeCell ref="S5:S6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theme="5" tint="-0.249977111117893"/>
    <pageSetUpPr fitToPage="1"/>
  </sheetPr>
  <dimension ref="A1:BF7"/>
  <sheetViews>
    <sheetView zoomScale="85" zoomScaleNormal="85" workbookViewId="0">
      <selection sqref="A1:AL1"/>
    </sheetView>
  </sheetViews>
  <sheetFormatPr defaultRowHeight="16.5" x14ac:dyDescent="0.3"/>
  <cols>
    <col min="1" max="1" width="6.875" customWidth="1"/>
    <col min="2" max="2" width="5.875" customWidth="1"/>
    <col min="3" max="4" width="7.125" customWidth="1"/>
    <col min="5" max="5" width="8.5" customWidth="1"/>
    <col min="6" max="13" width="6.875" customWidth="1"/>
    <col min="14" max="15" width="6.25" customWidth="1"/>
    <col min="16" max="17" width="5.75" customWidth="1"/>
    <col min="18" max="32" width="6.875" customWidth="1"/>
    <col min="33" max="33" width="11.5" customWidth="1"/>
    <col min="34" max="34" width="13.875" customWidth="1"/>
    <col min="35" max="35" width="13.625" customWidth="1"/>
    <col min="36" max="40" width="8.125" customWidth="1"/>
    <col min="41" max="42" width="5.75" style="3" customWidth="1"/>
    <col min="43" max="43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정보!F3</f>
        <v>(SO멍텅구리) 제작변환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"/>
      <c r="AN1" s="1"/>
      <c r="AO1" s="249" t="s">
        <v>75</v>
      </c>
      <c r="AP1" s="249"/>
      <c r="AQ1" s="249"/>
      <c r="AW1" s="24"/>
    </row>
    <row r="2" spans="1:58" ht="28.5" customHeight="1" x14ac:dyDescent="0.3">
      <c r="A2" s="97" t="s">
        <v>85</v>
      </c>
      <c r="B2" s="140">
        <v>3</v>
      </c>
      <c r="C2" s="340" t="s">
        <v>290</v>
      </c>
      <c r="D2" s="340"/>
      <c r="E2" s="116">
        <v>0</v>
      </c>
      <c r="F2" s="1"/>
      <c r="G2" s="1"/>
      <c r="H2" s="213" t="s">
        <v>81</v>
      </c>
      <c r="I2" s="213"/>
      <c r="J2" s="213"/>
      <c r="K2" s="335">
        <v>0</v>
      </c>
      <c r="L2" s="335"/>
      <c r="M2" s="335"/>
      <c r="N2" s="335"/>
      <c r="O2" s="218" t="s">
        <v>113</v>
      </c>
      <c r="P2" s="218"/>
      <c r="Q2" s="218"/>
      <c r="R2" s="218"/>
      <c r="S2" s="336">
        <v>1</v>
      </c>
      <c r="T2" s="336"/>
      <c r="U2" s="190" t="s">
        <v>103</v>
      </c>
      <c r="V2" s="190"/>
      <c r="W2" s="143">
        <v>0</v>
      </c>
      <c r="X2" s="218" t="s">
        <v>88</v>
      </c>
      <c r="Y2" s="218"/>
      <c r="Z2" s="337">
        <v>0</v>
      </c>
      <c r="AA2" s="337"/>
      <c r="AB2" s="22"/>
      <c r="AC2" s="189" t="s">
        <v>82</v>
      </c>
      <c r="AD2" s="190"/>
      <c r="AE2" s="338">
        <v>0</v>
      </c>
      <c r="AF2" s="338"/>
      <c r="AG2" s="142" t="s">
        <v>90</v>
      </c>
      <c r="AH2" s="339">
        <v>3</v>
      </c>
      <c r="AI2" s="339"/>
      <c r="AJ2" s="141"/>
      <c r="AK2" s="141"/>
      <c r="AL2" s="141"/>
      <c r="AM2" s="1"/>
      <c r="AN2" s="1"/>
      <c r="AO2" s="249"/>
      <c r="AP2" s="249"/>
      <c r="AQ2" s="249"/>
      <c r="AW2" s="24"/>
    </row>
    <row r="3" spans="1:58" ht="33" customHeight="1" x14ac:dyDescent="0.3">
      <c r="A3" s="33" t="str">
        <f>'SO멍텅(실측)'!A3</f>
        <v>현장명 : 전남 목포 알파타워,   (재질) : HL 1.2T</v>
      </c>
      <c r="B3" s="2"/>
      <c r="C3" s="2"/>
      <c r="D3" s="2"/>
      <c r="E3" s="2"/>
      <c r="F3" s="2"/>
      <c r="G3" s="2"/>
      <c r="H3" s="155"/>
      <c r="I3" s="190" t="s">
        <v>76</v>
      </c>
      <c r="J3" s="190"/>
      <c r="K3" s="220">
        <v>3</v>
      </c>
      <c r="L3" s="220"/>
      <c r="M3" s="220"/>
      <c r="N3" s="220"/>
      <c r="O3" s="190" t="s">
        <v>77</v>
      </c>
      <c r="P3" s="190"/>
      <c r="Q3" s="197">
        <v>0</v>
      </c>
      <c r="R3" s="197"/>
      <c r="S3" s="218" t="s">
        <v>227</v>
      </c>
      <c r="T3" s="218"/>
      <c r="U3" s="218"/>
      <c r="V3" s="330">
        <f>BE7</f>
        <v>1</v>
      </c>
      <c r="W3" s="330"/>
      <c r="X3" s="218" t="s">
        <v>78</v>
      </c>
      <c r="Y3" s="218"/>
      <c r="Z3" s="334">
        <v>1</v>
      </c>
      <c r="AA3" s="334"/>
      <c r="AB3" s="64"/>
      <c r="AC3" s="156"/>
      <c r="AD3" s="156"/>
      <c r="AE3" s="328" t="s">
        <v>73</v>
      </c>
      <c r="AF3" s="328"/>
      <c r="AG3" s="157">
        <v>4</v>
      </c>
      <c r="AH3" s="142" t="s">
        <v>74</v>
      </c>
      <c r="AI3" s="157">
        <v>4</v>
      </c>
      <c r="AJ3" s="280" t="s">
        <v>328</v>
      </c>
      <c r="AK3" s="281"/>
      <c r="AL3" s="212"/>
      <c r="AM3" s="333" t="e">
        <f>AR7</f>
        <v>#DIV/0!</v>
      </c>
      <c r="AN3" s="162"/>
      <c r="AO3" s="25"/>
      <c r="AP3" s="25"/>
      <c r="AQ3" s="24"/>
      <c r="AW3" s="24"/>
    </row>
    <row r="4" spans="1:58" ht="33" customHeight="1" x14ac:dyDescent="0.3">
      <c r="A4" s="163" t="str">
        <f>'SO멍텅(실측)'!A4:AA4</f>
        <v>제작치수 반영 : JB/JD +(3 ),  늘어난치수K -(3),  C + (0),  U +(0), OP1/OP2 -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331" t="s">
        <v>314</v>
      </c>
      <c r="AD4" s="331"/>
      <c r="AE4" s="332">
        <f>'SO멍텅(실측)'!W7</f>
        <v>0</v>
      </c>
      <c r="AF4" s="332"/>
      <c r="AG4" s="158"/>
      <c r="AH4" s="329">
        <f ca="1">TODAY()</f>
        <v>45299</v>
      </c>
      <c r="AI4" s="229"/>
      <c r="AJ4" s="229" t="s">
        <v>235</v>
      </c>
      <c r="AK4" s="229"/>
      <c r="AL4" s="230"/>
      <c r="AM4" s="173" t="s">
        <v>215</v>
      </c>
      <c r="AN4" s="173"/>
      <c r="AO4" s="25"/>
      <c r="AP4" s="25"/>
      <c r="AQ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248</v>
      </c>
      <c r="D5" s="167" t="s">
        <v>247</v>
      </c>
      <c r="E5" s="167" t="s">
        <v>18</v>
      </c>
      <c r="F5" s="168" t="s">
        <v>58</v>
      </c>
      <c r="G5" s="168" t="s">
        <v>59</v>
      </c>
      <c r="H5" s="269" t="s">
        <v>60</v>
      </c>
      <c r="I5" s="269" t="s">
        <v>64</v>
      </c>
      <c r="J5" s="326" t="s">
        <v>65</v>
      </c>
      <c r="K5" s="326" t="s">
        <v>66</v>
      </c>
      <c r="L5" s="311" t="s">
        <v>240</v>
      </c>
      <c r="M5" s="313" t="s">
        <v>241</v>
      </c>
      <c r="N5" s="237" t="s">
        <v>62</v>
      </c>
      <c r="O5" s="237" t="s">
        <v>63</v>
      </c>
      <c r="P5" s="167" t="s">
        <v>8</v>
      </c>
      <c r="Q5" s="167" t="s">
        <v>9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271" t="s">
        <v>20</v>
      </c>
      <c r="Z5" s="237" t="s">
        <v>22</v>
      </c>
      <c r="AA5" s="304" t="s">
        <v>242</v>
      </c>
      <c r="AB5" s="305" t="s">
        <v>238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308" t="s">
        <v>203</v>
      </c>
      <c r="AK5" s="308"/>
      <c r="AL5" s="308"/>
      <c r="AM5" s="171" t="s">
        <v>212</v>
      </c>
      <c r="AN5" s="172"/>
      <c r="AO5" s="177" t="s">
        <v>305</v>
      </c>
      <c r="AP5" s="177" t="s">
        <v>306</v>
      </c>
      <c r="AQ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270"/>
      <c r="I6" s="270"/>
      <c r="J6" s="327"/>
      <c r="K6" s="327"/>
      <c r="L6" s="312"/>
      <c r="M6" s="314"/>
      <c r="N6" s="238"/>
      <c r="O6" s="238"/>
      <c r="P6" s="167"/>
      <c r="Q6" s="167"/>
      <c r="R6" s="167"/>
      <c r="S6" s="167"/>
      <c r="T6" s="167"/>
      <c r="U6" s="167"/>
      <c r="V6" s="167"/>
      <c r="W6" s="167"/>
      <c r="X6" s="167"/>
      <c r="Y6" s="271"/>
      <c r="Z6" s="238"/>
      <c r="AA6" s="304"/>
      <c r="AB6" s="305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86" t="s">
        <v>200</v>
      </c>
      <c r="AK6" s="86" t="s">
        <v>201</v>
      </c>
      <c r="AL6" s="86" t="s">
        <v>80</v>
      </c>
      <c r="AM6" s="74" t="s">
        <v>213</v>
      </c>
      <c r="AN6" s="74" t="s">
        <v>214</v>
      </c>
      <c r="AO6" s="178"/>
      <c r="AP6" s="178"/>
      <c r="AQ6" s="272"/>
      <c r="AR6" s="18" t="s">
        <v>249</v>
      </c>
      <c r="AS6" s="18" t="s">
        <v>250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30.75" customHeight="1" x14ac:dyDescent="0.3">
      <c r="A7" s="4">
        <f>'SO멍텅(실측)'!A7</f>
        <v>0</v>
      </c>
      <c r="B7" s="4" t="str">
        <f>'SO멍텅(실측)'!B7&amp;"F"</f>
        <v>F</v>
      </c>
      <c r="C7" s="4">
        <f>'SO멍텅(실측)'!C7-SO멍텅OP</f>
        <v>-3</v>
      </c>
      <c r="D7" s="4">
        <f>'SO멍텅(실측)'!D7-SO멍텅OP</f>
        <v>-3</v>
      </c>
      <c r="E7" s="4">
        <f>'SO멍텅(실측)'!E7-SO멍텅R</f>
        <v>0</v>
      </c>
      <c r="F7" s="4">
        <f>'SO멍텅(실측)'!F7+MAX(AO7,AP7)+IF(BE7=1,AC7,0)+SO멍텅JBJD늘림치수</f>
        <v>0</v>
      </c>
      <c r="G7" s="4">
        <f>'SO멍텅(실측)'!G7+MAX(AO7,AP7)+IF(BE7=1,AE7,0)+SO멍텅JBJD늘림치수</f>
        <v>0</v>
      </c>
      <c r="H7" s="4">
        <f>'SO멍텅(실측)'!H7+AO7+IF(BE7=1,AC7,0)+SO멍텅JB강제키움+SO멍텅JBJD늘림치수</f>
        <v>0</v>
      </c>
      <c r="I7" s="4">
        <f>'SO멍텅(실측)'!H7+AO7+IF(BE7=1,AD7,0)+SO멍텅JB강제키움+SO멍텅JBJD늘림치수-IF(SO멍텅JB하부늘치=1,'SO멍텅(실측)'!W7-'SO멍텅(실측)'!X7,0)</f>
        <v>0</v>
      </c>
      <c r="J7" s="4">
        <f>'SO멍텅(실측)'!I7+AP7+IF(BE7=1,AE7,0)+SO멍텅JB강제키움+SO멍텅JBJD늘림치수</f>
        <v>0</v>
      </c>
      <c r="K7" s="4">
        <f>'SO멍텅(실측)'!I7+AP7+IF(BE7=1,AF7,0)+SO멍텅JB강제키움+SO멍텅JBJD늘림치수-IF(SO멍텅JB하부늘치=1,'SO멍텅(실측)'!Y7-'SO멍텅(실측)'!Z7,0)</f>
        <v>0</v>
      </c>
      <c r="L7" s="91">
        <f>IF(BE7=0,F7+AC7-(G7+AE7),F7-G7)</f>
        <v>0</v>
      </c>
      <c r="M7" s="88">
        <f>IF(BM7=0,H7+AC7-(J7+AE7),H7-J7)</f>
        <v>0</v>
      </c>
      <c r="N7" s="4">
        <f t="shared" ref="N7:O7" si="0">P7+IF(소장="손상민",0,-1.5)</f>
        <v>-0.5</v>
      </c>
      <c r="O7" s="4">
        <f t="shared" si="0"/>
        <v>-0.5</v>
      </c>
      <c r="P7" s="4">
        <f>IF(R7&gt;0,'SO멍텅(실측)'!J7+SO멍텅C늘림,'SO멍텅(실측)'!J7+1)</f>
        <v>1</v>
      </c>
      <c r="Q7" s="4">
        <f>IF(S7&gt;0,'SO멍텅(실측)'!K7+SO멍텅C늘림,'SO멍텅(실측)'!K7+1)</f>
        <v>1</v>
      </c>
      <c r="R7" s="4">
        <f>IF(ISNUMBER('SO멍텅(실측)'!L7),'SO멍텅(실측)'!L7+SO멍텅제작!AO7+SO멍텅A늘림,0)</f>
        <v>0</v>
      </c>
      <c r="S7" s="4">
        <f>IF(ISNUMBER('SO멍텅(실측)'!M7),'SO멍텅(실측)'!M7+SO멍텅제작!AP7+SO멍텅A늘림,0)</f>
        <v>0</v>
      </c>
      <c r="T7" s="4">
        <f>'SO멍텅(실측)'!N7-SO멍텅기둥차감</f>
        <v>0</v>
      </c>
      <c r="U7" s="4">
        <f>'SO멍텅(실측)'!O7-SO멍텅기둥차감</f>
        <v>0</v>
      </c>
      <c r="V7" s="4">
        <f>'SO멍텅(실측)'!P7-SO멍텅기둥차감</f>
        <v>0</v>
      </c>
      <c r="W7" s="4">
        <f>'SO멍텅(실측)'!Q7-SO멍텅기둥차감</f>
        <v>0</v>
      </c>
      <c r="X7" s="4">
        <f>IF(ISNUMBER('SO멍텅(실측)'!R7),IF(Y7&gt;0,'SO멍텅(실측)'!R7+SO멍텅U늘림,'SO멍텅(실측)'!R7+1.2),0)</f>
        <v>0</v>
      </c>
      <c r="Y7" s="4">
        <f>IF(OR(멍텅G="", 멍텅G=0),IF(ISNUMBER('SO멍텅(실측)'!S7),IF('SO멍텅(실측)'!S7+SO멍텅A늘림+MAX(AO7,AP7)&gt;9,'SO멍텅(실측)'!S7+SO멍텅A늘림+MAX(AO7,AP7),'SO멍텅(실측)'!S7+SO멍텅A늘림+MAX(AO7,AP7)),0),SO멍텅G)</f>
        <v>0</v>
      </c>
      <c r="Z7" s="4">
        <f>'SO멍텅(실측)'!T7+뒷날개치수더함</f>
        <v>0</v>
      </c>
      <c r="AA7" s="4">
        <f>'SO멍텅(실측)'!U7+뒷날개치수더함</f>
        <v>0</v>
      </c>
      <c r="AB7" s="4">
        <f>'SO멍텅(실측)'!V7+뒷날개치수더함</f>
        <v>0</v>
      </c>
      <c r="AC7" s="13">
        <f>'SO멍텅(실측)'!W7-SO멍텅늘치차감</f>
        <v>-3</v>
      </c>
      <c r="AD7" s="13">
        <f>IF(SO멍텅JB하부늘치=1,AC7,'SO멍텅(실측)'!X7-SO멍텅늘치차감)</f>
        <v>-3</v>
      </c>
      <c r="AE7" s="13">
        <f>'SO멍텅(실측)'!Y7-SO멍텅늘치차감</f>
        <v>-3</v>
      </c>
      <c r="AF7" s="13">
        <f>IF(SO멍텅JB하부늘치=1,AE7,'SO멍텅(실측)'!Z7-SO멍텅늘치차감)</f>
        <v>-3</v>
      </c>
      <c r="AG7" s="11" t="str">
        <f t="shared" ref="AG7" si="1">AW7&amp;"*"&amp;AX7</f>
        <v>0*-3.6</v>
      </c>
      <c r="AH7" s="12" t="str">
        <f t="shared" ref="AH7" si="2">AZ7&amp;"*"&amp;AY7</f>
        <v>0*-2.6</v>
      </c>
      <c r="AI7" s="10" t="str">
        <f t="shared" ref="AI7" si="3">BB7&amp;"*"&amp;BA7</f>
        <v>0*-2.6</v>
      </c>
      <c r="AJ7" s="4">
        <f>IF('SO멍텅(실측)'!AA7&gt;5,'SO멍텅(실측)'!AA7+뒷날개치수더함,'SO멍텅(실측)'!AA7)</f>
        <v>0</v>
      </c>
      <c r="AK7" s="4">
        <f>'SO멍텅(실측)'!AB7</f>
        <v>0</v>
      </c>
      <c r="AL7" s="4">
        <f>'SO멍텅(실측)'!AC7</f>
        <v>0</v>
      </c>
      <c r="AM7" s="31">
        <f>IF('SO멍텅(실측)'!AD7&gt;0,'SO멍텅(실측)'!AD7-'SO멍텅(실측)'!T7+1.2,0)</f>
        <v>0</v>
      </c>
      <c r="AN7" s="31">
        <f>IF('SO멍텅(실측)'!AE7&gt;0,'SO멍텅(실측)'!AE7-'SO멍텅(실측)'!T7+1.2,0)</f>
        <v>0</v>
      </c>
      <c r="AO7" s="3">
        <f>IF(AND(ISNUMBER('SO멍텅(실측)'!M7),ISNUMBER('SO멍텅(실측)'!L7)),IF(ISNUMBER('SO멍텅(실측)'!L7),IF(9-MIN('SO멍텅(실측)'!L7+SO멍텅A늘림,'SO멍텅(실측)'!M7+SO멍텅A늘림)&lt;AQ7,AQ7,9-MIN('SO멍텅(실측)'!L7+SO멍텅A늘림,'SO멍텅(실측)'!M7+SO멍텅A늘림) + AQ7 ),0),IF(ISNUMBER('SO멍텅(실측)'!L7),IF(9-'SO멍텅(실측)'!L7-SO멍텅A늘림+AQ7&lt;AQ7,AQ7,9-'SO멍텅(실측)'!L7-SO멍텅A늘림+AQ7),0))</f>
        <v>0</v>
      </c>
      <c r="AP7" s="3">
        <f>IF(AND(ISNUMBER('SO멍텅(실측)'!L7),ISNUMBER('SO멍텅(실측)'!M7)),IF(ISNUMBER('SO멍텅(실측)'!M7),IF(9-MIN('SO멍텅(실측)'!M7+SO멍텅A늘림,'SO멍텅(실측)'!L7+SO멍텅A늘림)&lt;AQ7,AQ7,9-MIN('SO멍텅(실측)'!M7+SO멍텅A늘림,'SO멍텅(실측)'!L7+SO멍텅A늘림) + AQ7 ),0),IF(ISNUMBER('SO멍텅(실측)'!M7),IF(9-'SO멍텅(실측)'!M7-SO멍텅A늘림+AQ7&lt;AQ7,AQ7,9-'SO멍텅(실측)'!M7-SO멍텅A늘림+AQ7),0))</f>
        <v>0</v>
      </c>
      <c r="AQ7" s="16"/>
      <c r="AR7" s="17" t="e">
        <f>DEGREES(ATAN((E7-(C7+D7))/2/(F7)))</f>
        <v>#DIV/0!</v>
      </c>
      <c r="AS7" s="17" t="e">
        <f>DEGREES(ATAN((E7-(C7+D7))/2/(G7)))</f>
        <v>#DIV/0!</v>
      </c>
      <c r="AT7" s="36" t="e">
        <f>ABS(F7-COS(RADIANS(AR7))*H7)</f>
        <v>#DIV/0!</v>
      </c>
      <c r="AU7" s="36" t="e">
        <f>G7-COS(RADIANS(AS7))*J7</f>
        <v>#DIV/0!</v>
      </c>
      <c r="AV7" s="46" t="str">
        <f t="shared" ref="AV7" si="4">IF(F7+AC7&lt;&gt;G7+AE7,"JD비대칭","")</f>
        <v/>
      </c>
      <c r="AW7" s="3">
        <f>E7 + IF(X7+Y7&gt;0, N7+O7,0)</f>
        <v>0</v>
      </c>
      <c r="AX7" s="3">
        <f>X7+MAX(F7,G7)+Z7+Y7-1.2*$AG$3+IF(BE7=0,MAX(AC7,AE7))+IF(Y7=0,1.2,0)</f>
        <v>-3.5999999999999996</v>
      </c>
      <c r="AY7" s="3">
        <f>R7+P7+MAX(H7,I7)+AA7-1.2*$AI$3+IF(BE7=0,MAX(AC7,AD7))+IF(R7=0,1.2,0)-IF(AL7=90,2.4,0)</f>
        <v>-2.5999999999999996</v>
      </c>
      <c r="AZ7" s="3">
        <f t="shared" ref="AZ7" si="5">MAX(T7,U7)</f>
        <v>0</v>
      </c>
      <c r="BA7" s="3">
        <f>S7+Q7+MAX(J7,K7)+AB7-1.2*$AI$3+IF(BE7=0,MAX(AE7,AF7))+IF(S7=0,1.2,0)-IF(AL7=90,2.4,0)</f>
        <v>-2.5999999999999996</v>
      </c>
      <c r="BB7" s="3">
        <f t="shared" ref="BB7" si="6">MAX(V7,W7)</f>
        <v>0</v>
      </c>
      <c r="BC7">
        <f t="shared" ref="BC7" si="7">H7-F7</f>
        <v>0</v>
      </c>
      <c r="BD7">
        <f t="shared" ref="BD7" si="8">9-Y7</f>
        <v>9</v>
      </c>
      <c r="BE7" s="79">
        <f>IF(AND(MIN(AC7,AE7)&gt;=9.2,E7-(C7+D7)&gt;15),0,1)</f>
        <v>1</v>
      </c>
      <c r="BF7" s="83">
        <f>IF(소장="손상민",'SO멍텅(실측)'!AF7,0)</f>
        <v>0</v>
      </c>
    </row>
  </sheetData>
  <mergeCells count="70">
    <mergeCell ref="Z3:AA3"/>
    <mergeCell ref="A1:AL1"/>
    <mergeCell ref="AO1:AQ2"/>
    <mergeCell ref="H2:J2"/>
    <mergeCell ref="K2:N2"/>
    <mergeCell ref="O2:R2"/>
    <mergeCell ref="S2:T2"/>
    <mergeCell ref="U2:V2"/>
    <mergeCell ref="X2:Y2"/>
    <mergeCell ref="Z2:AA2"/>
    <mergeCell ref="AC2:AD2"/>
    <mergeCell ref="AE2:AF2"/>
    <mergeCell ref="AH2:AI2"/>
    <mergeCell ref="C2:D2"/>
    <mergeCell ref="AJ4:AL4"/>
    <mergeCell ref="AM4:AN4"/>
    <mergeCell ref="I3:J3"/>
    <mergeCell ref="K3:N3"/>
    <mergeCell ref="O3:P3"/>
    <mergeCell ref="Q3:R3"/>
    <mergeCell ref="S3:U3"/>
    <mergeCell ref="AE3:AF3"/>
    <mergeCell ref="AH4:AI4"/>
    <mergeCell ref="V3:W3"/>
    <mergeCell ref="X3:Y3"/>
    <mergeCell ref="A4:AB4"/>
    <mergeCell ref="AC4:AD4"/>
    <mergeCell ref="AE4:AF4"/>
    <mergeCell ref="AJ3:AL3"/>
    <mergeCell ref="AM3:AN3"/>
    <mergeCell ref="L5:L6"/>
    <mergeCell ref="M5:M6"/>
    <mergeCell ref="G5:G6"/>
    <mergeCell ref="H5:H6"/>
    <mergeCell ref="I5:I6"/>
    <mergeCell ref="J5:J6"/>
    <mergeCell ref="K5:K6"/>
    <mergeCell ref="A5:A6"/>
    <mergeCell ref="B5:B6"/>
    <mergeCell ref="C5:C6"/>
    <mergeCell ref="E5:E6"/>
    <mergeCell ref="F5:F6"/>
    <mergeCell ref="D5:D6"/>
    <mergeCell ref="U5:U6"/>
    <mergeCell ref="V5:V6"/>
    <mergeCell ref="W5:W6"/>
    <mergeCell ref="X5:X6"/>
    <mergeCell ref="Y5:Y6"/>
    <mergeCell ref="AH5:AH6"/>
    <mergeCell ref="AI5:AI6"/>
    <mergeCell ref="AB5:AB6"/>
    <mergeCell ref="AA5:AA6"/>
    <mergeCell ref="AC5:AF5"/>
    <mergeCell ref="AG5:AG6"/>
    <mergeCell ref="AP5:AP6"/>
    <mergeCell ref="AJ5:AL5"/>
    <mergeCell ref="N5:N6"/>
    <mergeCell ref="BE4:BE5"/>
    <mergeCell ref="AM5:AN5"/>
    <mergeCell ref="AO5:AO6"/>
    <mergeCell ref="Z5:Z6"/>
    <mergeCell ref="O5:O6"/>
    <mergeCell ref="P5:P6"/>
    <mergeCell ref="Q5:Q6"/>
    <mergeCell ref="R5:R6"/>
    <mergeCell ref="S5:S6"/>
    <mergeCell ref="T5:T6"/>
    <mergeCell ref="AQ5:AQ6"/>
    <mergeCell ref="AY5:AZ5"/>
    <mergeCell ref="BA5:BB5"/>
  </mergeCells>
  <phoneticPr fontId="1" type="noConversion"/>
  <conditionalFormatting sqref="E7">
    <cfRule type="cellIs" dxfId="35" priority="23" operator="greaterThan">
      <formula>1210</formula>
    </cfRule>
  </conditionalFormatting>
  <conditionalFormatting sqref="F7">
    <cfRule type="cellIs" dxfId="34" priority="21" operator="notEqual">
      <formula>G7</formula>
    </cfRule>
  </conditionalFormatting>
  <conditionalFormatting sqref="G7">
    <cfRule type="cellIs" dxfId="33" priority="20" operator="notEqual">
      <formula>F7</formula>
    </cfRule>
  </conditionalFormatting>
  <conditionalFormatting sqref="AJ7:AL7">
    <cfRule type="cellIs" dxfId="32" priority="11" operator="greaterThan">
      <formula>1.2</formula>
    </cfRule>
  </conditionalFormatting>
  <conditionalFormatting sqref="L7:M7">
    <cfRule type="cellIs" dxfId="31" priority="7" operator="greaterThan">
      <formula>500</formula>
    </cfRule>
  </conditionalFormatting>
  <conditionalFormatting sqref="J7">
    <cfRule type="cellIs" dxfId="30" priority="5" operator="notEqual">
      <formula>K7</formula>
    </cfRule>
  </conditionalFormatting>
  <conditionalFormatting sqref="K7 I7">
    <cfRule type="cellIs" dxfId="29" priority="4" operator="notEqual">
      <formula>H7</formula>
    </cfRule>
  </conditionalFormatting>
  <conditionalFormatting sqref="H7">
    <cfRule type="cellIs" dxfId="28" priority="3" operator="notEqual">
      <formula>I7</formula>
    </cfRule>
  </conditionalFormatting>
  <conditionalFormatting sqref="AC7:AF7">
    <cfRule type="expression" dxfId="27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CO4Widesheet">
    <pageSetUpPr fitToPage="1"/>
  </sheetPr>
  <dimension ref="A1:AV16"/>
  <sheetViews>
    <sheetView zoomScale="85" zoomScaleNormal="85" workbookViewId="0">
      <selection activeCell="AD29" sqref="AD29"/>
    </sheetView>
  </sheetViews>
  <sheetFormatPr defaultRowHeight="16.5" x14ac:dyDescent="0.3"/>
  <cols>
    <col min="1" max="2" width="6.875" customWidth="1"/>
    <col min="3" max="4" width="8.5" customWidth="1"/>
    <col min="5" max="7" width="8.125" customWidth="1"/>
    <col min="8" max="8" width="9.875" customWidth="1"/>
    <col min="9" max="35" width="6.875" customWidth="1"/>
    <col min="36" max="39" width="7.375" customWidth="1"/>
    <col min="40" max="48" width="4.625" customWidth="1"/>
  </cols>
  <sheetData>
    <row r="1" spans="1:48" ht="64.150000000000006" customHeight="1" x14ac:dyDescent="0.3">
      <c r="A1" s="166" t="str">
        <f>정보!H2</f>
        <v>(4CO와이드) 실측서 ( 전남 목포 알파타워 ) _이만희소장</v>
      </c>
      <c r="B1" s="166"/>
      <c r="C1" s="166"/>
      <c r="D1" s="166"/>
      <c r="E1" s="166"/>
      <c r="F1" s="166"/>
      <c r="G1" s="166"/>
      <c r="H1" s="166"/>
      <c r="I1" s="166"/>
      <c r="J1" s="166"/>
      <c r="K1" s="166"/>
      <c r="L1" s="166"/>
      <c r="M1" s="166"/>
      <c r="N1" s="166"/>
      <c r="O1" s="166"/>
      <c r="P1" s="166"/>
      <c r="Q1" s="166"/>
      <c r="R1" s="166"/>
      <c r="S1" s="166"/>
      <c r="T1" s="166"/>
      <c r="U1" s="166"/>
      <c r="V1" s="166"/>
      <c r="W1" s="166"/>
      <c r="X1" s="166"/>
      <c r="Y1" s="166"/>
      <c r="Z1" s="166"/>
      <c r="AA1" s="166"/>
      <c r="AB1" s="166"/>
      <c r="AC1" s="166"/>
      <c r="AD1" s="166"/>
      <c r="AE1" s="166"/>
      <c r="AF1" s="166"/>
      <c r="AG1" s="166"/>
      <c r="AH1" s="166"/>
      <c r="AI1" s="166"/>
      <c r="AJ1" s="123"/>
      <c r="AK1" s="56"/>
      <c r="AL1" s="56"/>
      <c r="AM1" s="56"/>
    </row>
    <row r="2" spans="1:48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66"/>
      <c r="AC2" s="166"/>
      <c r="AD2" s="166"/>
      <c r="AE2" s="166"/>
      <c r="AF2" s="166"/>
      <c r="AG2" s="166"/>
      <c r="AH2" s="166"/>
      <c r="AI2" s="166"/>
      <c r="AJ2" s="1"/>
      <c r="AK2" s="1"/>
      <c r="AL2" s="1"/>
      <c r="AM2" s="1"/>
    </row>
    <row r="3" spans="1:48" ht="33" customHeight="1" x14ac:dyDescent="0.3">
      <c r="A3" s="2" t="str">
        <f>"현장명 : " &amp; 정보!B1 &amp; ",   (재질) : " &amp; 정보!B7</f>
        <v>현장명 : 전남 목포 알파타워,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35"/>
      <c r="N3" s="35"/>
      <c r="O3" s="174" t="s">
        <v>98</v>
      </c>
      <c r="P3" s="17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166"/>
      <c r="AC3" s="166"/>
      <c r="AD3" s="166"/>
      <c r="AE3" s="166"/>
      <c r="AF3" s="166"/>
      <c r="AG3" s="166"/>
      <c r="AH3" s="166"/>
      <c r="AI3" s="166"/>
      <c r="AJ3" s="34"/>
      <c r="AK3" s="34"/>
      <c r="AL3" s="34"/>
      <c r="AM3" s="34"/>
    </row>
    <row r="4" spans="1:48" ht="33" customHeight="1" x14ac:dyDescent="0.3">
      <c r="A4" s="303" t="str">
        <f>정보!B15</f>
        <v>제작치수 반영 : MH + (2), JB/JD +(3 ),  늘어난치수K -(3),  C + (0),   U + (0), OP1/OP3 - (3), R - (0),  기둥차감 - (0), A + (1)</v>
      </c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  <c r="W4" s="303"/>
      <c r="X4" s="162"/>
      <c r="Y4" s="162"/>
      <c r="Z4" s="162"/>
      <c r="AA4" s="162"/>
      <c r="AB4" s="162"/>
      <c r="AC4" s="162"/>
      <c r="AD4" s="162"/>
      <c r="AE4" s="162"/>
      <c r="AF4" s="162"/>
      <c r="AG4" s="164"/>
      <c r="AH4" s="173" t="s">
        <v>215</v>
      </c>
      <c r="AI4" s="173"/>
      <c r="AJ4" s="75"/>
      <c r="AK4" s="9"/>
      <c r="AL4" s="9"/>
      <c r="AM4" s="9"/>
    </row>
    <row r="5" spans="1:48" ht="25.9" customHeight="1" x14ac:dyDescent="0.3">
      <c r="A5" s="167" t="s">
        <v>0</v>
      </c>
      <c r="B5" s="167" t="s">
        <v>1</v>
      </c>
      <c r="C5" s="167" t="s">
        <v>2</v>
      </c>
      <c r="D5" s="167" t="s">
        <v>24</v>
      </c>
      <c r="E5" s="167" t="s">
        <v>254</v>
      </c>
      <c r="F5" s="167" t="s">
        <v>239</v>
      </c>
      <c r="G5" s="167" t="s">
        <v>255</v>
      </c>
      <c r="H5" s="167" t="s">
        <v>18</v>
      </c>
      <c r="I5" s="167" t="s">
        <v>4</v>
      </c>
      <c r="J5" s="167" t="s">
        <v>5</v>
      </c>
      <c r="K5" s="167" t="s">
        <v>256</v>
      </c>
      <c r="L5" s="167" t="s">
        <v>6</v>
      </c>
      <c r="M5" s="167" t="s">
        <v>7</v>
      </c>
      <c r="N5" s="167" t="s">
        <v>47</v>
      </c>
      <c r="O5" s="167" t="s">
        <v>9</v>
      </c>
      <c r="P5" s="167" t="s">
        <v>12</v>
      </c>
      <c r="Q5" s="167" t="s">
        <v>13</v>
      </c>
      <c r="R5" s="167" t="s">
        <v>10</v>
      </c>
      <c r="S5" s="167" t="s">
        <v>11</v>
      </c>
      <c r="T5" s="167" t="s">
        <v>14</v>
      </c>
      <c r="U5" s="167" t="s">
        <v>15</v>
      </c>
      <c r="V5" s="167" t="s">
        <v>16</v>
      </c>
      <c r="W5" s="167" t="s">
        <v>17</v>
      </c>
      <c r="X5" s="167" t="s">
        <v>19</v>
      </c>
      <c r="Y5" s="168" t="s">
        <v>48</v>
      </c>
      <c r="Z5" s="168" t="s">
        <v>22</v>
      </c>
      <c r="AA5" s="168" t="s">
        <v>23</v>
      </c>
      <c r="AB5" s="167" t="s">
        <v>21</v>
      </c>
      <c r="AC5" s="167"/>
      <c r="AD5" s="167"/>
      <c r="AE5" s="167"/>
      <c r="AF5" s="169" t="s">
        <v>91</v>
      </c>
      <c r="AG5" s="169" t="s">
        <v>92</v>
      </c>
      <c r="AH5" s="171" t="s">
        <v>212</v>
      </c>
      <c r="AI5" s="172"/>
      <c r="AJ5" s="168" t="s">
        <v>199</v>
      </c>
      <c r="AK5" s="168" t="s">
        <v>203</v>
      </c>
      <c r="AL5" s="168"/>
      <c r="AM5" s="168"/>
    </row>
    <row r="6" spans="1:48" ht="44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167"/>
      <c r="W6" s="167"/>
      <c r="X6" s="167"/>
      <c r="Y6" s="167"/>
      <c r="Z6" s="168"/>
      <c r="AA6" s="168"/>
      <c r="AB6" s="8" t="s">
        <v>43</v>
      </c>
      <c r="AC6" s="8" t="s">
        <v>44</v>
      </c>
      <c r="AD6" s="8" t="s">
        <v>45</v>
      </c>
      <c r="AE6" s="8" t="s">
        <v>46</v>
      </c>
      <c r="AF6" s="170"/>
      <c r="AG6" s="170"/>
      <c r="AH6" s="74" t="s">
        <v>213</v>
      </c>
      <c r="AI6" s="74" t="s">
        <v>214</v>
      </c>
      <c r="AJ6" s="167"/>
      <c r="AK6" s="4" t="s">
        <v>200</v>
      </c>
      <c r="AL6" s="4" t="s">
        <v>201</v>
      </c>
      <c r="AM6" s="4" t="s">
        <v>202</v>
      </c>
      <c r="AN6" s="52" t="s">
        <v>116</v>
      </c>
    </row>
    <row r="7" spans="1:48" s="3" customFormat="1" ht="23.2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13"/>
      <c r="O7" s="13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53"/>
      <c r="AO7" s="3">
        <f>AB7+$AN7</f>
        <v>0</v>
      </c>
      <c r="AP7" s="3">
        <f>AC7+$AN7</f>
        <v>0</v>
      </c>
      <c r="AQ7" s="3">
        <f>AD7+$AN7</f>
        <v>0</v>
      </c>
      <c r="AR7" s="3">
        <f>AE7+$AN7</f>
        <v>0</v>
      </c>
      <c r="AS7" s="3">
        <f>I7-$AN7</f>
        <v>0</v>
      </c>
      <c r="AT7" s="3">
        <f>J7-$AN7</f>
        <v>0</v>
      </c>
      <c r="AU7" s="3">
        <f>L7-$AN7</f>
        <v>0</v>
      </c>
      <c r="AV7" s="3">
        <f>M7-$AN7</f>
        <v>0</v>
      </c>
    </row>
    <row r="8" spans="1:48" ht="23.25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3"/>
      <c r="O8" s="13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53"/>
      <c r="AO8" s="3">
        <f t="shared" ref="AO8" si="0">AB8+$AN8</f>
        <v>0</v>
      </c>
      <c r="AP8" s="3">
        <f>AC8+$AN8</f>
        <v>0</v>
      </c>
      <c r="AQ8" s="3">
        <f>AD8+$AN8</f>
        <v>0</v>
      </c>
      <c r="AR8" s="3">
        <f>AE8+$AN8</f>
        <v>0</v>
      </c>
      <c r="AS8" s="3">
        <f t="shared" ref="AS8" si="1">I8-$AN8</f>
        <v>0</v>
      </c>
      <c r="AT8" s="3">
        <f>J8-$AN8</f>
        <v>0</v>
      </c>
      <c r="AU8" s="3">
        <f>L8-$AN8</f>
        <v>0</v>
      </c>
      <c r="AV8" s="3">
        <f>M8-$AN8</f>
        <v>0</v>
      </c>
    </row>
    <row r="9" spans="1:48" ht="23.25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13"/>
      <c r="O9" s="13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53"/>
      <c r="AO9" s="3">
        <f t="shared" ref="AO9:AO16" si="2">AB9+$AN9</f>
        <v>0</v>
      </c>
      <c r="AP9" s="3">
        <f t="shared" ref="AP9:AP16" si="3">AC9+$AN9</f>
        <v>0</v>
      </c>
      <c r="AQ9" s="3">
        <f t="shared" ref="AQ9:AQ16" si="4">AD9+$AN9</f>
        <v>0</v>
      </c>
      <c r="AR9" s="3">
        <f t="shared" ref="AR9:AR16" si="5">AE9+$AN9</f>
        <v>0</v>
      </c>
      <c r="AS9" s="3">
        <f t="shared" ref="AS9:AS16" si="6">I9-$AN9</f>
        <v>0</v>
      </c>
      <c r="AT9" s="3">
        <f t="shared" ref="AT9:AT16" si="7">J9-$AN9</f>
        <v>0</v>
      </c>
      <c r="AU9" s="3">
        <f t="shared" ref="AU9:AU16" si="8">L9-$AN9</f>
        <v>0</v>
      </c>
      <c r="AV9" s="3">
        <f t="shared" ref="AV9:AV16" si="9">M9-$AN9</f>
        <v>0</v>
      </c>
    </row>
    <row r="10" spans="1:48" ht="23.25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13"/>
      <c r="O10" s="13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53"/>
      <c r="AO10" s="3">
        <f t="shared" si="2"/>
        <v>0</v>
      </c>
      <c r="AP10" s="3">
        <f t="shared" si="3"/>
        <v>0</v>
      </c>
      <c r="AQ10" s="3">
        <f t="shared" si="4"/>
        <v>0</v>
      </c>
      <c r="AR10" s="3">
        <f t="shared" si="5"/>
        <v>0</v>
      </c>
      <c r="AS10" s="3">
        <f t="shared" si="6"/>
        <v>0</v>
      </c>
      <c r="AT10" s="3">
        <f t="shared" si="7"/>
        <v>0</v>
      </c>
      <c r="AU10" s="3">
        <f t="shared" si="8"/>
        <v>0</v>
      </c>
      <c r="AV10" s="3">
        <f t="shared" si="9"/>
        <v>0</v>
      </c>
    </row>
    <row r="11" spans="1:48" ht="23.25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13"/>
      <c r="O11" s="13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53"/>
      <c r="AO11" s="3">
        <f t="shared" si="2"/>
        <v>0</v>
      </c>
      <c r="AP11" s="3">
        <f t="shared" si="3"/>
        <v>0</v>
      </c>
      <c r="AQ11" s="3">
        <f t="shared" si="4"/>
        <v>0</v>
      </c>
      <c r="AR11" s="3">
        <f t="shared" si="5"/>
        <v>0</v>
      </c>
      <c r="AS11" s="3">
        <f t="shared" si="6"/>
        <v>0</v>
      </c>
      <c r="AT11" s="3">
        <f t="shared" si="7"/>
        <v>0</v>
      </c>
      <c r="AU11" s="3">
        <f t="shared" si="8"/>
        <v>0</v>
      </c>
      <c r="AV11" s="3">
        <f t="shared" si="9"/>
        <v>0</v>
      </c>
    </row>
    <row r="12" spans="1:48" ht="23.25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13"/>
      <c r="O12" s="13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53"/>
      <c r="AO12" s="3">
        <f t="shared" si="2"/>
        <v>0</v>
      </c>
      <c r="AP12" s="3">
        <f t="shared" si="3"/>
        <v>0</v>
      </c>
      <c r="AQ12" s="3">
        <f t="shared" si="4"/>
        <v>0</v>
      </c>
      <c r="AR12" s="3">
        <f t="shared" si="5"/>
        <v>0</v>
      </c>
      <c r="AS12" s="3">
        <f t="shared" si="6"/>
        <v>0</v>
      </c>
      <c r="AT12" s="3">
        <f t="shared" si="7"/>
        <v>0</v>
      </c>
      <c r="AU12" s="3">
        <f t="shared" si="8"/>
        <v>0</v>
      </c>
      <c r="AV12" s="3">
        <f t="shared" si="9"/>
        <v>0</v>
      </c>
    </row>
    <row r="13" spans="1:48" ht="23.25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13"/>
      <c r="O13" s="13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53"/>
      <c r="AO13" s="3">
        <f t="shared" si="2"/>
        <v>0</v>
      </c>
      <c r="AP13" s="3">
        <f t="shared" si="3"/>
        <v>0</v>
      </c>
      <c r="AQ13" s="3">
        <f t="shared" si="4"/>
        <v>0</v>
      </c>
      <c r="AR13" s="3">
        <f t="shared" si="5"/>
        <v>0</v>
      </c>
      <c r="AS13" s="3">
        <f t="shared" si="6"/>
        <v>0</v>
      </c>
      <c r="AT13" s="3">
        <f t="shared" si="7"/>
        <v>0</v>
      </c>
      <c r="AU13" s="3">
        <f t="shared" si="8"/>
        <v>0</v>
      </c>
      <c r="AV13" s="3">
        <f t="shared" si="9"/>
        <v>0</v>
      </c>
    </row>
    <row r="14" spans="1:48" ht="23.25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13"/>
      <c r="O14" s="13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53"/>
      <c r="AO14" s="3">
        <f t="shared" si="2"/>
        <v>0</v>
      </c>
      <c r="AP14" s="3">
        <f t="shared" si="3"/>
        <v>0</v>
      </c>
      <c r="AQ14" s="3">
        <f t="shared" si="4"/>
        <v>0</v>
      </c>
      <c r="AR14" s="3">
        <f t="shared" si="5"/>
        <v>0</v>
      </c>
      <c r="AS14" s="3">
        <f t="shared" si="6"/>
        <v>0</v>
      </c>
      <c r="AT14" s="3">
        <f t="shared" si="7"/>
        <v>0</v>
      </c>
      <c r="AU14" s="3">
        <f t="shared" si="8"/>
        <v>0</v>
      </c>
      <c r="AV14" s="3">
        <f t="shared" si="9"/>
        <v>0</v>
      </c>
    </row>
    <row r="15" spans="1:48" ht="23.25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13"/>
      <c r="O15" s="13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53"/>
      <c r="AO15" s="3">
        <f t="shared" si="2"/>
        <v>0</v>
      </c>
      <c r="AP15" s="3">
        <f t="shared" si="3"/>
        <v>0</v>
      </c>
      <c r="AQ15" s="3">
        <f t="shared" si="4"/>
        <v>0</v>
      </c>
      <c r="AR15" s="3">
        <f t="shared" si="5"/>
        <v>0</v>
      </c>
      <c r="AS15" s="3">
        <f t="shared" si="6"/>
        <v>0</v>
      </c>
      <c r="AT15" s="3">
        <f t="shared" si="7"/>
        <v>0</v>
      </c>
      <c r="AU15" s="3">
        <f t="shared" si="8"/>
        <v>0</v>
      </c>
      <c r="AV15" s="3">
        <f t="shared" si="9"/>
        <v>0</v>
      </c>
    </row>
    <row r="16" spans="1:48" ht="23.25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3"/>
      <c r="O16" s="13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53"/>
      <c r="AO16" s="3">
        <f t="shared" si="2"/>
        <v>0</v>
      </c>
      <c r="AP16" s="3">
        <f t="shared" si="3"/>
        <v>0</v>
      </c>
      <c r="AQ16" s="3">
        <f t="shared" si="4"/>
        <v>0</v>
      </c>
      <c r="AR16" s="3">
        <f t="shared" si="5"/>
        <v>0</v>
      </c>
      <c r="AS16" s="3">
        <f t="shared" si="6"/>
        <v>0</v>
      </c>
      <c r="AT16" s="3">
        <f t="shared" si="7"/>
        <v>0</v>
      </c>
      <c r="AU16" s="3">
        <f t="shared" si="8"/>
        <v>0</v>
      </c>
      <c r="AV16" s="3">
        <f t="shared" si="9"/>
        <v>0</v>
      </c>
    </row>
  </sheetData>
  <mergeCells count="40">
    <mergeCell ref="Q5:Q6"/>
    <mergeCell ref="R5:R6"/>
    <mergeCell ref="S5:S6"/>
    <mergeCell ref="AK5:AM5"/>
    <mergeCell ref="V5:V6"/>
    <mergeCell ref="W5:W6"/>
    <mergeCell ref="X5:X6"/>
    <mergeCell ref="Y5:Y6"/>
    <mergeCell ref="Z5:Z6"/>
    <mergeCell ref="AA5:AA6"/>
    <mergeCell ref="AB5:AE5"/>
    <mergeCell ref="AF5:AF6"/>
    <mergeCell ref="H5:H6"/>
    <mergeCell ref="AG5:AG6"/>
    <mergeCell ref="AH5:AI5"/>
    <mergeCell ref="AJ5:AJ6"/>
    <mergeCell ref="F5:F6"/>
    <mergeCell ref="G5:G6"/>
    <mergeCell ref="U5:U6"/>
    <mergeCell ref="T5:T6"/>
    <mergeCell ref="I5:I6"/>
    <mergeCell ref="J5:J6"/>
    <mergeCell ref="L5:L6"/>
    <mergeCell ref="M5:M6"/>
    <mergeCell ref="N5:N6"/>
    <mergeCell ref="K5:K6"/>
    <mergeCell ref="O5:O6"/>
    <mergeCell ref="P5:P6"/>
    <mergeCell ref="A5:A6"/>
    <mergeCell ref="B5:B6"/>
    <mergeCell ref="C5:C6"/>
    <mergeCell ref="D5:D6"/>
    <mergeCell ref="E5:E6"/>
    <mergeCell ref="A4:W4"/>
    <mergeCell ref="X4:Z4"/>
    <mergeCell ref="AA4:AG4"/>
    <mergeCell ref="A1:AA1"/>
    <mergeCell ref="AB1:AI3"/>
    <mergeCell ref="O3:P3"/>
    <mergeCell ref="AH4:AI4"/>
  </mergeCells>
  <phoneticPr fontId="1" type="noConversion"/>
  <pageMargins left="0.25" right="0.25" top="0.75" bottom="0.75" header="0.3" footer="0.3"/>
  <pageSetup paperSize="9" scale="57" orientation="landscape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rgb="FF00B050"/>
    <pageSetUpPr fitToPage="1"/>
  </sheetPr>
  <dimension ref="A1:BN7"/>
  <sheetViews>
    <sheetView zoomScale="85" zoomScaleNormal="85" workbookViewId="0">
      <selection sqref="A1:AL1"/>
    </sheetView>
  </sheetViews>
  <sheetFormatPr defaultRowHeight="16.5" x14ac:dyDescent="0.3"/>
  <cols>
    <col min="1" max="1" width="5.25" customWidth="1"/>
    <col min="2" max="2" width="5.875" customWidth="1"/>
    <col min="3" max="4" width="6.625" customWidth="1"/>
    <col min="5" max="8" width="5.75" customWidth="1"/>
    <col min="9" max="19" width="5.125" customWidth="1"/>
    <col min="20" max="21" width="4.375" customWidth="1"/>
    <col min="22" max="23" width="5.5" customWidth="1"/>
    <col min="24" max="25" width="4.375" customWidth="1"/>
    <col min="26" max="29" width="6" customWidth="1"/>
    <col min="30" max="33" width="5.5" bestFit="1" customWidth="1"/>
    <col min="34" max="37" width="4.75" customWidth="1"/>
    <col min="38" max="39" width="6.125" customWidth="1"/>
    <col min="40" max="40" width="4.75" customWidth="1"/>
    <col min="41" max="41" width="10.25" customWidth="1"/>
    <col min="42" max="43" width="10.5" customWidth="1"/>
    <col min="44" max="45" width="7.125" customWidth="1"/>
    <col min="46" max="46" width="7.75" customWidth="1"/>
    <col min="47" max="49" width="6.5" customWidth="1"/>
    <col min="50" max="51" width="4.375" customWidth="1"/>
    <col min="52" max="56" width="5" customWidth="1"/>
    <col min="57" max="57" width="6.375" bestFit="1" customWidth="1"/>
    <col min="58" max="58" width="5.75" customWidth="1"/>
    <col min="59" max="59" width="7.875" bestFit="1" customWidth="1"/>
    <col min="60" max="63" width="6.375" style="39" customWidth="1"/>
    <col min="66" max="66" width="8.375" customWidth="1"/>
  </cols>
  <sheetData>
    <row r="1" spans="1:66" ht="70.5" customHeight="1" x14ac:dyDescent="0.3">
      <c r="A1" s="176" t="str">
        <f>정보!I2</f>
        <v>(4CO와이드) 제작변환 ( 전남 목포 알파타워 ) _이만희소장</v>
      </c>
      <c r="B1" s="176"/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  <c r="AQ1" s="176"/>
      <c r="AR1" s="176"/>
      <c r="AS1" s="176"/>
      <c r="AT1" s="176"/>
      <c r="AU1" s="176"/>
      <c r="AV1" s="176"/>
      <c r="AW1" s="176"/>
      <c r="AX1" s="37"/>
      <c r="AY1" s="37"/>
    </row>
    <row r="2" spans="1:66" ht="29.25" customHeight="1" x14ac:dyDescent="0.3">
      <c r="A2" s="97" t="s">
        <v>96</v>
      </c>
      <c r="B2" s="139">
        <v>3</v>
      </c>
      <c r="C2" s="98" t="s">
        <v>86</v>
      </c>
      <c r="D2" s="112">
        <v>0</v>
      </c>
      <c r="E2" s="27"/>
      <c r="F2" s="27"/>
      <c r="G2" s="27"/>
      <c r="H2" s="98" t="s">
        <v>87</v>
      </c>
      <c r="I2" s="113">
        <v>2</v>
      </c>
      <c r="J2" s="1"/>
      <c r="K2" s="1"/>
      <c r="L2" s="217" t="s">
        <v>113</v>
      </c>
      <c r="M2" s="218"/>
      <c r="N2" s="218"/>
      <c r="O2" s="218"/>
      <c r="P2" s="218"/>
      <c r="Q2" s="218"/>
      <c r="R2" s="219">
        <v>1</v>
      </c>
      <c r="S2" s="219"/>
      <c r="T2" s="189" t="s">
        <v>89</v>
      </c>
      <c r="U2" s="190"/>
      <c r="V2" s="191">
        <v>0</v>
      </c>
      <c r="W2" s="191"/>
      <c r="X2" s="283" t="s">
        <v>83</v>
      </c>
      <c r="Y2" s="198"/>
      <c r="Z2" s="198"/>
      <c r="AA2" s="194">
        <v>0</v>
      </c>
      <c r="AB2" s="194"/>
      <c r="AC2" s="322" t="str">
        <f>정보!B5</f>
        <v>TKEK HD S20D-OR</v>
      </c>
      <c r="AD2" s="323"/>
      <c r="AE2" s="323"/>
      <c r="AF2" s="323"/>
      <c r="AG2" s="323"/>
      <c r="AH2" s="323"/>
      <c r="AI2" s="323"/>
      <c r="AJ2" s="323"/>
      <c r="AK2" s="323"/>
      <c r="AL2" s="324"/>
      <c r="AM2" s="189" t="s">
        <v>90</v>
      </c>
      <c r="AN2" s="190"/>
      <c r="AO2" s="341">
        <v>3</v>
      </c>
      <c r="AP2" s="341"/>
      <c r="AQ2" s="1"/>
      <c r="AR2" s="319" t="s">
        <v>229</v>
      </c>
      <c r="AS2" s="320"/>
      <c r="AT2" s="321">
        <v>0</v>
      </c>
      <c r="AU2" s="321"/>
      <c r="AV2" s="1"/>
      <c r="AW2" s="1"/>
    </row>
    <row r="3" spans="1:66" ht="24.75" customHeight="1" x14ac:dyDescent="0.3">
      <c r="A3" s="28" t="str">
        <f>'4CO와이드(실측)'!A3</f>
        <v>현장명 : 전남 목포 알파타워,   (재질) : HL 1.2T</v>
      </c>
      <c r="B3" s="2"/>
      <c r="C3" s="2"/>
      <c r="D3" s="2"/>
      <c r="E3" s="2"/>
      <c r="F3" s="2"/>
      <c r="G3" s="2"/>
      <c r="H3" s="2"/>
      <c r="I3" s="2"/>
      <c r="J3" s="2"/>
      <c r="K3" s="2"/>
      <c r="L3" s="218" t="s">
        <v>228</v>
      </c>
      <c r="M3" s="218"/>
      <c r="N3" s="218"/>
      <c r="O3" s="218"/>
      <c r="P3" s="218"/>
      <c r="Q3" s="218"/>
      <c r="R3" s="220">
        <v>3</v>
      </c>
      <c r="S3" s="220"/>
      <c r="T3" s="190" t="s">
        <v>77</v>
      </c>
      <c r="U3" s="190"/>
      <c r="V3" s="197">
        <v>0</v>
      </c>
      <c r="W3" s="197"/>
      <c r="X3" s="198" t="s">
        <v>227</v>
      </c>
      <c r="Y3" s="198"/>
      <c r="Z3" s="198"/>
      <c r="AA3" s="199">
        <f>BN7</f>
        <v>1</v>
      </c>
      <c r="AB3" s="199"/>
      <c r="AC3" s="198" t="s">
        <v>78</v>
      </c>
      <c r="AD3" s="198"/>
      <c r="AE3" s="325">
        <v>1</v>
      </c>
      <c r="AF3" s="325"/>
      <c r="AJ3" s="178"/>
      <c r="AK3" s="178"/>
      <c r="AL3" s="3"/>
      <c r="AM3" s="167" t="s">
        <v>73</v>
      </c>
      <c r="AN3" s="167"/>
      <c r="AO3" s="114">
        <v>5</v>
      </c>
      <c r="AP3" s="4" t="s">
        <v>74</v>
      </c>
      <c r="AQ3" s="115">
        <v>4</v>
      </c>
      <c r="AR3" s="225" t="s">
        <v>230</v>
      </c>
      <c r="AS3" s="225"/>
      <c r="AT3" s="342" t="s">
        <v>329</v>
      </c>
      <c r="AU3" s="342"/>
      <c r="AV3" s="231" t="e">
        <f>AZ7</f>
        <v>#DIV/0!</v>
      </c>
      <c r="AW3" s="232"/>
      <c r="BN3" s="177" t="s">
        <v>253</v>
      </c>
    </row>
    <row r="4" spans="1:66" ht="33" customHeight="1" x14ac:dyDescent="0.3">
      <c r="A4" s="163" t="str">
        <f>정보!B15</f>
        <v>제작치수 반영 : MH + (2), JB/JD +(3 ),  늘어난치수K -(3),  C + (0),   U + (0), OP1/OP3 -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343" t="s">
        <v>315</v>
      </c>
      <c r="AI4" s="343"/>
      <c r="AJ4" s="343">
        <f>'4CO와이드(실측)'!AB7</f>
        <v>0</v>
      </c>
      <c r="AK4" s="343"/>
      <c r="AL4" s="222">
        <f ca="1">TODAY()</f>
        <v>45299</v>
      </c>
      <c r="AM4" s="162"/>
      <c r="AN4" s="162"/>
      <c r="AO4" s="9"/>
      <c r="AP4" s="221" t="s">
        <v>117</v>
      </c>
      <c r="AQ4" s="221"/>
      <c r="AR4" s="173" t="s">
        <v>215</v>
      </c>
      <c r="AS4" s="173"/>
      <c r="AT4" s="84"/>
      <c r="AU4" s="229" t="s">
        <v>235</v>
      </c>
      <c r="AV4" s="229"/>
      <c r="AW4" s="230"/>
      <c r="BN4" s="178"/>
    </row>
    <row r="5" spans="1:66" ht="25.9" customHeight="1" x14ac:dyDescent="0.3">
      <c r="A5" s="167" t="s">
        <v>0</v>
      </c>
      <c r="B5" s="167" t="s">
        <v>1</v>
      </c>
      <c r="C5" s="167" t="s">
        <v>2</v>
      </c>
      <c r="D5" s="167" t="s">
        <v>2</v>
      </c>
      <c r="E5" s="167" t="s">
        <v>259</v>
      </c>
      <c r="F5" s="168" t="s">
        <v>261</v>
      </c>
      <c r="G5" s="167" t="s">
        <v>260</v>
      </c>
      <c r="H5" s="167" t="s">
        <v>18</v>
      </c>
      <c r="I5" s="206" t="s">
        <v>41</v>
      </c>
      <c r="J5" s="270" t="s">
        <v>42</v>
      </c>
      <c r="K5" s="270" t="s">
        <v>262</v>
      </c>
      <c r="L5" s="203" t="s">
        <v>105</v>
      </c>
      <c r="M5" s="203" t="s">
        <v>106</v>
      </c>
      <c r="N5" s="207" t="s">
        <v>107</v>
      </c>
      <c r="O5" s="207" t="s">
        <v>108</v>
      </c>
      <c r="P5" s="311" t="s">
        <v>296</v>
      </c>
      <c r="Q5" s="311" t="s">
        <v>297</v>
      </c>
      <c r="R5" s="209" t="s">
        <v>71</v>
      </c>
      <c r="S5" s="209" t="s">
        <v>72</v>
      </c>
      <c r="T5" s="167" t="s">
        <v>8</v>
      </c>
      <c r="U5" s="167" t="s">
        <v>9</v>
      </c>
      <c r="V5" s="167" t="s">
        <v>12</v>
      </c>
      <c r="W5" s="167" t="s">
        <v>13</v>
      </c>
      <c r="X5" s="167" t="s">
        <v>10</v>
      </c>
      <c r="Y5" s="167" t="s">
        <v>11</v>
      </c>
      <c r="Z5" s="205" t="s">
        <v>14</v>
      </c>
      <c r="AA5" s="205" t="s">
        <v>15</v>
      </c>
      <c r="AB5" s="206" t="s">
        <v>16</v>
      </c>
      <c r="AC5" s="206" t="s">
        <v>17</v>
      </c>
      <c r="AD5" s="167" t="s">
        <v>19</v>
      </c>
      <c r="AE5" s="167" t="s">
        <v>20</v>
      </c>
      <c r="AF5" s="168" t="s">
        <v>22</v>
      </c>
      <c r="AG5" s="168" t="s">
        <v>23</v>
      </c>
      <c r="AH5" s="195" t="s">
        <v>79</v>
      </c>
      <c r="AI5" s="196"/>
      <c r="AJ5" s="196"/>
      <c r="AK5" s="196"/>
      <c r="AL5" s="187" t="s">
        <v>91</v>
      </c>
      <c r="AM5" s="187" t="s">
        <v>92</v>
      </c>
      <c r="AN5" s="179" t="s">
        <v>99</v>
      </c>
      <c r="AO5" s="168" t="s">
        <v>61</v>
      </c>
      <c r="AP5" s="168" t="s">
        <v>34</v>
      </c>
      <c r="AQ5" s="168" t="s">
        <v>35</v>
      </c>
      <c r="AR5" s="171" t="s">
        <v>212</v>
      </c>
      <c r="AS5" s="172"/>
      <c r="AT5" s="308" t="s">
        <v>199</v>
      </c>
      <c r="AU5" s="308" t="s">
        <v>204</v>
      </c>
      <c r="AV5" s="308"/>
      <c r="AW5" s="308"/>
      <c r="AX5" s="177" t="s">
        <v>100</v>
      </c>
      <c r="AY5" s="177" t="s">
        <v>101</v>
      </c>
      <c r="AZ5" s="178" t="s">
        <v>80</v>
      </c>
      <c r="BA5" s="182" t="s">
        <v>84</v>
      </c>
      <c r="BB5" s="185" t="s">
        <v>102</v>
      </c>
      <c r="BC5" s="184" t="s">
        <v>94</v>
      </c>
      <c r="BD5" s="184" t="s">
        <v>95</v>
      </c>
      <c r="BE5" s="177" t="s">
        <v>93</v>
      </c>
      <c r="BH5" s="181" t="s">
        <v>28</v>
      </c>
      <c r="BI5" s="181"/>
      <c r="BJ5" s="181" t="s">
        <v>29</v>
      </c>
      <c r="BK5" s="181"/>
      <c r="BL5" s="6" t="s">
        <v>50</v>
      </c>
      <c r="BM5" s="234" t="s">
        <v>104</v>
      </c>
      <c r="BN5" s="233" t="s">
        <v>226</v>
      </c>
    </row>
    <row r="6" spans="1:66" ht="48" customHeight="1" x14ac:dyDescent="0.3">
      <c r="A6" s="167"/>
      <c r="B6" s="167"/>
      <c r="C6" s="167"/>
      <c r="D6" s="167"/>
      <c r="E6" s="167"/>
      <c r="F6" s="167"/>
      <c r="G6" s="167"/>
      <c r="H6" s="167"/>
      <c r="I6" s="206"/>
      <c r="J6" s="270"/>
      <c r="K6" s="270"/>
      <c r="L6" s="204"/>
      <c r="M6" s="204"/>
      <c r="N6" s="208"/>
      <c r="O6" s="208"/>
      <c r="P6" s="312"/>
      <c r="Q6" s="312"/>
      <c r="R6" s="210"/>
      <c r="S6" s="210"/>
      <c r="T6" s="167"/>
      <c r="U6" s="167"/>
      <c r="V6" s="167"/>
      <c r="W6" s="167"/>
      <c r="X6" s="167"/>
      <c r="Y6" s="167"/>
      <c r="Z6" s="205"/>
      <c r="AA6" s="205"/>
      <c r="AB6" s="206"/>
      <c r="AC6" s="206"/>
      <c r="AD6" s="167"/>
      <c r="AE6" s="167"/>
      <c r="AF6" s="168"/>
      <c r="AG6" s="168"/>
      <c r="AH6" s="8" t="s">
        <v>67</v>
      </c>
      <c r="AI6" s="8" t="s">
        <v>68</v>
      </c>
      <c r="AJ6" s="8" t="s">
        <v>69</v>
      </c>
      <c r="AK6" s="8" t="s">
        <v>70</v>
      </c>
      <c r="AL6" s="188"/>
      <c r="AM6" s="188"/>
      <c r="AN6" s="180"/>
      <c r="AO6" s="168"/>
      <c r="AP6" s="167"/>
      <c r="AQ6" s="167"/>
      <c r="AR6" s="74" t="s">
        <v>213</v>
      </c>
      <c r="AS6" s="74" t="s">
        <v>214</v>
      </c>
      <c r="AT6" s="309"/>
      <c r="AU6" s="86" t="s">
        <v>200</v>
      </c>
      <c r="AV6" s="86" t="s">
        <v>201</v>
      </c>
      <c r="AW6" s="86" t="s">
        <v>202</v>
      </c>
      <c r="AX6" s="178"/>
      <c r="AY6" s="178"/>
      <c r="AZ6" s="178"/>
      <c r="BA6" s="183"/>
      <c r="BB6" s="186"/>
      <c r="BC6" s="184"/>
      <c r="BD6" s="184"/>
      <c r="BE6" s="178"/>
      <c r="BF6" s="3" t="s">
        <v>27</v>
      </c>
      <c r="BG6" s="3" t="s">
        <v>26</v>
      </c>
      <c r="BH6" s="40" t="s">
        <v>30</v>
      </c>
      <c r="BI6" s="40" t="s">
        <v>31</v>
      </c>
      <c r="BJ6" s="40" t="s">
        <v>32</v>
      </c>
      <c r="BK6" s="40" t="s">
        <v>33</v>
      </c>
      <c r="BL6" s="7" t="s">
        <v>49</v>
      </c>
      <c r="BM6" s="234"/>
      <c r="BN6" s="233"/>
    </row>
    <row r="7" spans="1:66" ht="25.5" customHeight="1" x14ac:dyDescent="0.3">
      <c r="A7" s="31">
        <f>'4CO와이드(실측)'!A7</f>
        <v>0</v>
      </c>
      <c r="B7" s="31" t="str">
        <f>'4CO와이드(실측)'!B7&amp;"F"</f>
        <v>F</v>
      </c>
      <c r="C7" s="31">
        <f>'4CO와이드(실측)'!C7+CO4와이드MH더함-IF(AND(소장="추영덕",AD7=0),1.2)</f>
        <v>2</v>
      </c>
      <c r="D7" s="31">
        <f>'4CO와이드(실측)'!D7+CO4와이드MH더함-IF(AND(소장="추영덕",AD7=0),1.2)</f>
        <v>2</v>
      </c>
      <c r="E7" s="31">
        <f>'4CO와이드(실측)'!E7-CO4와이드OP/2</f>
        <v>-1.5</v>
      </c>
      <c r="F7" s="31">
        <f>'4CO와이드(실측)'!F7</f>
        <v>0</v>
      </c>
      <c r="G7" s="31">
        <f>'4CO와이드(실측)'!G7-CO4와이드OP/2</f>
        <v>-1.5</v>
      </c>
      <c r="H7" s="31">
        <f>'4CO와이드(실측)'!H7-CO4와이드R</f>
        <v>0</v>
      </c>
      <c r="I7" s="50">
        <f>'4CO와이드(실측)'!I7+CO4와이드JBJD키움치수+IF(BN7=1,AH7,0)</f>
        <v>0</v>
      </c>
      <c r="J7" s="50">
        <f>'4CO와이드(실측)'!J7+CO4와이드JBJD키움치수+IF(BN7=1,MAX(AH7,AJ7),0)</f>
        <v>0</v>
      </c>
      <c r="K7" s="50">
        <f>'4CO와이드(실측)'!K7+CO4와이드JBJD키움치수+IF(BN7=1,AJ7,0)</f>
        <v>0</v>
      </c>
      <c r="L7" s="50">
        <f>'4CO와이드(실측)'!L7+MAX(AX7,AY7)+CO4와이드JBJD키움치수+IF(BN7=1,AH7,0)</f>
        <v>0</v>
      </c>
      <c r="M7" s="50">
        <f>'4CO와이드(실측)'!L7+MAX(AX7,AY7)+CO4와이드JBJD키움치수+IF(BN7=1,AI7,0)-IF(CO4와이드JB하부늘치=1,'4CO와이드(실측)'!AB7-'4CO와이드(실측)'!AC7,0)</f>
        <v>0</v>
      </c>
      <c r="N7" s="50">
        <f>'4CO와이드(실측)'!M7+MAX(AX7,AY7)+CO4와이드JBJD키움치수+IF(BN7=1,AJ7,0)</f>
        <v>0</v>
      </c>
      <c r="O7" s="50">
        <f>'4CO와이드(실측)'!M7+MAX(AX7,AY7)+CO4와이드JBJD키움치수+IF(BN7=1,AK7,0)-IF(CO4와이드JB하부늘치=1,'4CO와이드(실측)'!AD7-'4CO와이드(실측)'!AE7,0)</f>
        <v>0</v>
      </c>
      <c r="P7" s="92">
        <f>IF(BN7=0,J7+AH7-(I7+AH7),J7-I7)</f>
        <v>0</v>
      </c>
      <c r="Q7" s="92">
        <f>IF(BN7=0,J7+AJ7-(K7+AH7),J7-K7)</f>
        <v>0</v>
      </c>
      <c r="R7" s="31">
        <f t="shared" ref="R7:S7" si="0">IF(소장="손상민",0,T7-1.5)</f>
        <v>-0.30000000000000004</v>
      </c>
      <c r="S7" s="31">
        <f t="shared" si="0"/>
        <v>-0.30000000000000004</v>
      </c>
      <c r="T7" s="31">
        <f>IF(X7&lt;9,'4CO와이드(실측)'!N7+1.2,IF(ISNUMBER('4CO와이드(실측)'!N7),'4CO와이드(실측)'!N7+CO4와이드C값,0))</f>
        <v>1.2</v>
      </c>
      <c r="U7" s="31">
        <f>IF(Y7&lt;9,'4CO와이드(실측)'!O7+1.2,IF(ISNUMBER('4CO와이드(실측)'!O7),'4CO와이드(실측)'!O7+CO4와이드C값,0))</f>
        <v>1.2</v>
      </c>
      <c r="V7" s="136" t="e">
        <f>ROUNDUP(BA7,1)</f>
        <v>#DIV/0!</v>
      </c>
      <c r="W7" s="137" t="e">
        <f>ROUNDUP(BB7,1)</f>
        <v>#DIV/0!</v>
      </c>
      <c r="X7" s="31">
        <f>IF(ISNUMBER('4CO와이드(실측)'!R7),'4CO와이드(실측)'!R7+'4CO와이드제작'!AX7+CO4와이드A늘림,0)</f>
        <v>0</v>
      </c>
      <c r="Y7" s="31">
        <f>IF(ISNUMBER('4CO와이드(실측)'!S7),'4CO와이드(실측)'!S7+'4CO와이드제작'!AY7+CO4와이드A늘림,0)</f>
        <v>0</v>
      </c>
      <c r="Z7" s="31">
        <f>'4CO와이드(실측)'!T7-CO4와이드기둥차감</f>
        <v>0</v>
      </c>
      <c r="AA7" s="31">
        <f>'4CO와이드(실측)'!U7-CO4와이드기둥차감</f>
        <v>0</v>
      </c>
      <c r="AB7" s="31">
        <f>'4CO와이드(실측)'!V7-CO4와이드기둥차감</f>
        <v>0</v>
      </c>
      <c r="AC7" s="31">
        <f>'4CO와이드(실측)'!W7-CO4와이드기둥차감</f>
        <v>0</v>
      </c>
      <c r="AD7" s="31">
        <f>IF(소장&lt;&gt;"손상민",IF(ISNUMBER('4CO와이드(실측)'!X7),'4CO와이드(실측)'!X7+CO4와이드U,0),IF(ISNUMBER('4CO와이드(실측)'!X7),'4CO와이드(실측)'!X7+1.2,0))</f>
        <v>0</v>
      </c>
      <c r="AE7" s="31">
        <f>IF(소장="손상민",MAX(V7,W7)+3.2,IF(ISNUMBER('4CO와이드(실측)'!Y7),'4CO와이드(실측)'!Y7+1.5+'4CO와이드제작'!V7+1,0))</f>
        <v>0</v>
      </c>
      <c r="AF7" s="31">
        <f>'4CO와이드(실측)'!Z7+뒷날개치수더함</f>
        <v>0</v>
      </c>
      <c r="AG7" s="31">
        <f>'4CO와이드(실측)'!AA7+뒷날개치수더함</f>
        <v>0</v>
      </c>
      <c r="AH7" s="31">
        <f>'4CO와이드(실측)'!AB7-CO4와이드늘치</f>
        <v>-3</v>
      </c>
      <c r="AI7" s="31">
        <f>IF(CO4와이드JB하부늘치=1,AH7,'4CO와이드(실측)'!AC7-CO4와이드늘치)</f>
        <v>-3</v>
      </c>
      <c r="AJ7" s="31">
        <f>'4CO와이드(실측)'!AD7-CO4와이드늘치</f>
        <v>-3</v>
      </c>
      <c r="AK7" s="31">
        <f>IF(CO4와이드JB하부늘치=1,AJ7,'4CO와이드(실측)'!AE7-CO4와이드늘치)</f>
        <v>-3</v>
      </c>
      <c r="AL7" s="31">
        <f xml:space="preserve"> IF(소장&lt;&gt;"손상민",IF('4CO와이드(실측)'!AF7&gt;0,'4CO와이드(실측)'!AF7,C7-1.2),IF('4CO와이드(실측)'!AF7&gt;0,'4CO와이드(실측)'!AF7+1.2,C7) )</f>
        <v>0.8</v>
      </c>
      <c r="AM7" s="31">
        <f xml:space="preserve"> IF(소장&lt;&gt;"손상민",IF('4CO와이드(실측)'!AG7&gt;0,'4CO와이드(실측)'!AG7,D7-1.2),IF('4CO와이드(실측)'!AG7&gt;0,'4CO와이드(실측)'!AG7+1.2,D7))</f>
        <v>0.8</v>
      </c>
      <c r="AN7" s="51">
        <f>IF(AE7&gt;0,AE7-MAX(V7,W7),0)</f>
        <v>0</v>
      </c>
      <c r="AO7" s="31" t="str">
        <f t="shared" ref="AO7" si="1">BF7&amp;"*"&amp;BG7</f>
        <v>0*-1.6</v>
      </c>
      <c r="AP7" s="31" t="str">
        <f t="shared" ref="AP7" si="2">BI7&amp;"*"&amp;BH7</f>
        <v>0.8*-2.4</v>
      </c>
      <c r="AQ7" s="31" t="str">
        <f t="shared" ref="AQ7" si="3">BK7&amp;"*"&amp;BJ7</f>
        <v>0.8*-2.4</v>
      </c>
      <c r="AR7" s="31">
        <f>IF('4CO와이드(실측)'!AH7&gt;0,'4CO와이드(실측)'!AH7-'4CO와이드(실측)'!Z7+1.2,0)</f>
        <v>0</v>
      </c>
      <c r="AS7" s="31">
        <f>IF('4CO와이드(실측)'!AI7&gt;0,'4CO와이드(실측)'!AI7-'4CO와이드(실측)'!Z7+1.2,0)</f>
        <v>0</v>
      </c>
      <c r="AT7" s="31">
        <f>'4CO와이드(실측)'!AJ7</f>
        <v>0</v>
      </c>
      <c r="AU7" s="31">
        <f>IF('4CO와이드(실측)'!AK7&gt;5,'4CO와이드(실측)'!AK7+뒷날개치수더함,'4CO와이드(실측)'!AK7)</f>
        <v>0</v>
      </c>
      <c r="AV7" s="31">
        <f>'4CO와이드(실측)'!AL7</f>
        <v>0</v>
      </c>
      <c r="AW7" s="31">
        <f>'4CO와이드(실측)'!AM7</f>
        <v>0</v>
      </c>
      <c r="AX7">
        <f>IF(AND(ISNUMBER('4CO와이드(실측)'!S7),ISNUMBER('4CO와이드(실측)'!R7)),IF(ISNUMBER('4CO와이드(실측)'!R7),IF(9-MIN('4CO와이드(실측)'!R7+CO4와이드A늘림,'4CO와이드(실측)'!S7+CO4와이드A늘림)&lt;0,0,9-MIN('4CO와이드(실측)'!R7+CO4와이드A늘림,'4CO와이드(실측)'!S7+CO4와이드A늘림)),0),IF(ISNUMBER('4CO와이드(실측)'!R7),IF(9-'4CO와이드(실측)'!R7-CO4와이드A늘림&lt;0,0,9-'4CO와이드(실측)'!R7-CO4와이드A늘림),0))</f>
        <v>0</v>
      </c>
      <c r="AY7">
        <f>IF(AND(ISNUMBER('4CO와이드(실측)'!R7),ISNUMBER('4CO와이드(실측)'!S7)),IF(ISNUMBER('4CO와이드(실측)'!S7),IF(9-MIN('4CO와이드(실측)'!S7+CO4와이드A늘림,'4CO와이드(실측)'!R7+CO4와이드A늘림)&lt;0,0,9-MIN('4CO와이드(실측)'!S7+CO4와이드A늘림,'4CO와이드(실측)'!R7+CO4와이드A늘림)),0),IF(ISNUMBER('4CO와이드(실측)'!S7),IF(9-'4CO와이드(실측)'!S7-CO4와이드A늘림&lt;0,0,9-'4CO와이드(실측)'!S7-CO4와이드A늘림),0))</f>
        <v>0</v>
      </c>
      <c r="AZ7" s="20" t="e">
        <f>DEGREES(ATAN((H7-(E7+F7+G7))/2/(I7)))</f>
        <v>#DIV/0!</v>
      </c>
      <c r="BA7" s="21" t="e">
        <f>ABS(I7-COS(RADIANS(AZ7))*L7)</f>
        <v>#DIV/0!</v>
      </c>
      <c r="BB7" s="21" t="e">
        <f>ABS(K7-COS(RADIANS(AZ7))*N7)</f>
        <v>#DIV/0!</v>
      </c>
      <c r="BC7" s="21">
        <f>'4CO와이드(실측)'!P7+AX7</f>
        <v>0</v>
      </c>
      <c r="BD7" s="21">
        <f>'4CO와이드(실측)'!Q7+AX7</f>
        <v>0</v>
      </c>
      <c r="BE7" s="20" t="e">
        <f>BA7-MAX(BC7,BD7)</f>
        <v>#DIV/0!</v>
      </c>
      <c r="BF7" s="41">
        <f>IF(소장&lt;&gt;"손상민",H7+IF(AD7+AE7&gt;0,R7+S7,0),H7)</f>
        <v>0</v>
      </c>
      <c r="BG7" s="42">
        <f>MAX(C7,D7)+MAX(I7,J7)+AF7-1.2*$AO$3+IF(BN7=0,MAX(AJ7,AH7),0)+IF(AD7=0,1.2,0)+IF(AE7=0,1.2,0)+IF(소장&lt;&gt;"손상민", AD7+AE7, IF('4CO와이드(실측)'!X7=0,0,2.4))</f>
        <v>-1.5999999999999999</v>
      </c>
      <c r="BH7" s="41">
        <f>X7+T7+MAX(L7,M7)+AG7-1.2*$AQ$3+IF(BN7=0,MAX(AI7,AH7),0)+IF(X7=0,1.2,0)-IF(AW7=90,2.4,0)</f>
        <v>-2.3999999999999995</v>
      </c>
      <c r="BI7" s="41">
        <f>MAX(Z7,AA7)+AL7</f>
        <v>0.8</v>
      </c>
      <c r="BJ7" s="41">
        <f>Y7+U7+MAX(N7,O7)+AG7-1.2*$AQ$3+IF(BN7=0,MAX(AJ7,AK7),0)+IF(Y7=0,1.2,0)-IF(AW7=90,2.4,0)</f>
        <v>-2.3999999999999995</v>
      </c>
      <c r="BK7" s="41">
        <f>MAX(AB7,AC7)+AM7</f>
        <v>0.8</v>
      </c>
      <c r="BL7" s="6" t="e">
        <f>L7-I7-V7</f>
        <v>#DIV/0!</v>
      </c>
      <c r="BM7" s="43" t="str">
        <f>IF(AND(C7&lt;&gt;D7,AD7&gt;0),"NG","")</f>
        <v/>
      </c>
      <c r="BN7" s="77">
        <f>IF(AND(MIN(AH7,AJ7)&gt;=9.2,H7-(E7+F7+G7)&gt;15),0,1)</f>
        <v>1</v>
      </c>
    </row>
  </sheetData>
  <mergeCells count="89">
    <mergeCell ref="A4:AG4"/>
    <mergeCell ref="AH4:AI4"/>
    <mergeCell ref="AJ4:AK4"/>
    <mergeCell ref="R3:S3"/>
    <mergeCell ref="AR3:AS3"/>
    <mergeCell ref="AA3:AB3"/>
    <mergeCell ref="AC3:AD3"/>
    <mergeCell ref="T3:U3"/>
    <mergeCell ref="V3:W3"/>
    <mergeCell ref="X3:Z3"/>
    <mergeCell ref="L3:Q3"/>
    <mergeCell ref="BM5:BM6"/>
    <mergeCell ref="BN5:BN6"/>
    <mergeCell ref="F5:F6"/>
    <mergeCell ref="G5:G6"/>
    <mergeCell ref="K5:K6"/>
    <mergeCell ref="P5:P6"/>
    <mergeCell ref="Q5:Q6"/>
    <mergeCell ref="BB5:BB6"/>
    <mergeCell ref="BC5:BC6"/>
    <mergeCell ref="BD5:BD6"/>
    <mergeCell ref="BE5:BE6"/>
    <mergeCell ref="BH5:BI5"/>
    <mergeCell ref="BJ5:BK5"/>
    <mergeCell ref="AY5:AY6"/>
    <mergeCell ref="AZ5:AZ6"/>
    <mergeCell ref="BA5:BA6"/>
    <mergeCell ref="AX5:AX6"/>
    <mergeCell ref="AL5:AL6"/>
    <mergeCell ref="AM5:AM6"/>
    <mergeCell ref="AN5:AN6"/>
    <mergeCell ref="AO5:AO6"/>
    <mergeCell ref="AP5:AP6"/>
    <mergeCell ref="AQ5:AQ6"/>
    <mergeCell ref="AR5:AS5"/>
    <mergeCell ref="AT5:AT6"/>
    <mergeCell ref="U5:U6"/>
    <mergeCell ref="V5:V6"/>
    <mergeCell ref="T5:T6"/>
    <mergeCell ref="AC5:AC6"/>
    <mergeCell ref="AD5:AD6"/>
    <mergeCell ref="X5:X6"/>
    <mergeCell ref="Y5:Y6"/>
    <mergeCell ref="Z5:Z6"/>
    <mergeCell ref="AA5:AA6"/>
    <mergeCell ref="AB5:AB6"/>
    <mergeCell ref="A5:A6"/>
    <mergeCell ref="B5:B6"/>
    <mergeCell ref="C5:C6"/>
    <mergeCell ref="D5:D6"/>
    <mergeCell ref="E5:E6"/>
    <mergeCell ref="BN3:BN4"/>
    <mergeCell ref="AL4:AN4"/>
    <mergeCell ref="AP4:AQ4"/>
    <mergeCell ref="AR4:AS4"/>
    <mergeCell ref="AU4:AW4"/>
    <mergeCell ref="AM3:AN3"/>
    <mergeCell ref="AT3:AU3"/>
    <mergeCell ref="AV3:AW3"/>
    <mergeCell ref="AH5:AK5"/>
    <mergeCell ref="AE5:AE6"/>
    <mergeCell ref="AF5:AF6"/>
    <mergeCell ref="AG5:AG6"/>
    <mergeCell ref="AU5:AW5"/>
    <mergeCell ref="A1:AL1"/>
    <mergeCell ref="AM1:AW1"/>
    <mergeCell ref="AC2:AL2"/>
    <mergeCell ref="H5:H6"/>
    <mergeCell ref="AE3:AF3"/>
    <mergeCell ref="AJ3:AK3"/>
    <mergeCell ref="W5:W6"/>
    <mergeCell ref="I5:I6"/>
    <mergeCell ref="J5:J6"/>
    <mergeCell ref="L5:L6"/>
    <mergeCell ref="M5:M6"/>
    <mergeCell ref="N5:N6"/>
    <mergeCell ref="O5:O6"/>
    <mergeCell ref="R5:R6"/>
    <mergeCell ref="S5:S6"/>
    <mergeCell ref="AM2:AN2"/>
    <mergeCell ref="AO2:AP2"/>
    <mergeCell ref="AR2:AS2"/>
    <mergeCell ref="AT2:AU2"/>
    <mergeCell ref="L2:Q2"/>
    <mergeCell ref="R2:S2"/>
    <mergeCell ref="T2:U2"/>
    <mergeCell ref="V2:W2"/>
    <mergeCell ref="X2:Z2"/>
    <mergeCell ref="AA2:AB2"/>
  </mergeCells>
  <phoneticPr fontId="1" type="noConversion"/>
  <conditionalFormatting sqref="AN7">
    <cfRule type="cellIs" dxfId="26" priority="30" operator="greaterThan">
      <formula>3</formula>
    </cfRule>
  </conditionalFormatting>
  <conditionalFormatting sqref="C7:D7 L7:Q7">
    <cfRule type="cellIs" dxfId="25" priority="26" operator="greaterThan">
      <formula>500</formula>
    </cfRule>
  </conditionalFormatting>
  <conditionalFormatting sqref="C7:D7">
    <cfRule type="cellIs" dxfId="24" priority="25" operator="notEqual">
      <formula>$D7</formula>
    </cfRule>
  </conditionalFormatting>
  <conditionalFormatting sqref="D7">
    <cfRule type="cellIs" dxfId="23" priority="24" operator="notEqual">
      <formula>$C7</formula>
    </cfRule>
  </conditionalFormatting>
  <conditionalFormatting sqref="AH7:AK7">
    <cfRule type="expression" dxfId="22" priority="23">
      <formula>$BN7</formula>
    </cfRule>
  </conditionalFormatting>
  <conditionalFormatting sqref="AT7:AW7">
    <cfRule type="cellIs" dxfId="21" priority="10" operator="greaterThan">
      <formula>1.2</formula>
    </cfRule>
  </conditionalFormatting>
  <conditionalFormatting sqref="AT7">
    <cfRule type="cellIs" dxfId="20" priority="9" operator="greaterThan">
      <formula>0</formula>
    </cfRule>
  </conditionalFormatting>
  <conditionalFormatting sqref="L7">
    <cfRule type="cellIs" dxfId="19" priority="6" operator="notEqual">
      <formula>$M$7</formula>
    </cfRule>
  </conditionalFormatting>
  <conditionalFormatting sqref="M7">
    <cfRule type="cellIs" dxfId="18" priority="5" operator="notEqual">
      <formula>$L$7</formula>
    </cfRule>
  </conditionalFormatting>
  <conditionalFormatting sqref="N7">
    <cfRule type="cellIs" dxfId="17" priority="4" operator="notEqual">
      <formula>$O$7</formula>
    </cfRule>
  </conditionalFormatting>
  <conditionalFormatting sqref="O7">
    <cfRule type="cellIs" priority="3" operator="notEqual">
      <formula>$N$7</formula>
    </cfRule>
  </conditionalFormatting>
  <conditionalFormatting sqref="AD7">
    <cfRule type="expression" dxfId="16" priority="2">
      <formula>소장="손상민"</formula>
    </cfRule>
  </conditionalFormatting>
  <conditionalFormatting sqref="AE7">
    <cfRule type="expression" dxfId="15" priority="1">
      <formula>소장="손상민"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O4Normalsheet">
    <pageSetUpPr fitToPage="1"/>
  </sheetPr>
  <dimension ref="A1:AP11"/>
  <sheetViews>
    <sheetView zoomScale="85" zoomScaleNormal="85" workbookViewId="0">
      <selection activeCell="K10" sqref="K10"/>
    </sheetView>
  </sheetViews>
  <sheetFormatPr defaultRowHeight="16.5" x14ac:dyDescent="0.3"/>
  <cols>
    <col min="1" max="2" width="6.875" customWidth="1"/>
    <col min="3" max="5" width="7.625" customWidth="1"/>
    <col min="6" max="6" width="9.875" customWidth="1"/>
    <col min="7" max="27" width="6.875" customWidth="1"/>
    <col min="28" max="28" width="7.75" customWidth="1"/>
    <col min="29" max="30" width="7.375" customWidth="1"/>
    <col min="31" max="32" width="7.75" customWidth="1"/>
    <col min="33" max="33" width="13.75" customWidth="1"/>
    <col min="34" max="42" width="5.625" customWidth="1"/>
  </cols>
  <sheetData>
    <row r="1" spans="1:42" ht="64.150000000000006" customHeight="1" x14ac:dyDescent="0.3">
      <c r="A1" s="165" t="str">
        <f>정보!H3</f>
        <v>(4CO멍텅구리) 실측서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"/>
      <c r="AF1" s="1"/>
      <c r="AG1" s="1"/>
    </row>
    <row r="2" spans="1:42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42" ht="33" customHeight="1" x14ac:dyDescent="0.3">
      <c r="A3" s="5" t="str">
        <f>"현장명 : " &amp; 정보!B1 &amp; ",   (재질) : " &amp; 정보!B8</f>
        <v>현장명 : 전남 목포 알파타워,   (재질) : HL 1.2T</v>
      </c>
      <c r="B3" s="2"/>
      <c r="C3" s="2"/>
      <c r="D3" s="2"/>
      <c r="E3" s="2"/>
      <c r="F3" s="2"/>
      <c r="G3" s="2"/>
      <c r="H3" s="2"/>
      <c r="I3" s="2"/>
      <c r="J3" s="248"/>
      <c r="K3" s="248"/>
      <c r="L3" s="245"/>
      <c r="M3" s="245"/>
      <c r="N3" s="246"/>
      <c r="O3" s="246"/>
      <c r="P3" s="247"/>
      <c r="Q3" s="247"/>
      <c r="R3" s="247"/>
      <c r="S3" s="242" t="s">
        <v>97</v>
      </c>
      <c r="T3" s="242"/>
      <c r="U3" s="243"/>
      <c r="V3" s="243"/>
      <c r="W3" s="244"/>
      <c r="X3" s="244"/>
    </row>
    <row r="4" spans="1:42" ht="33" customHeight="1" x14ac:dyDescent="0.3">
      <c r="A4" s="163" t="str">
        <f>정보!B16</f>
        <v>제작치수 반영 : JB/JD +(3 ),  늘어난치수K -(3),  C + (0),  U +(0), OP1/OP3 -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9"/>
      <c r="AD4" s="9"/>
      <c r="AE4" s="173" t="s">
        <v>215</v>
      </c>
      <c r="AF4" s="173"/>
      <c r="AG4" s="81" t="s">
        <v>234</v>
      </c>
    </row>
    <row r="5" spans="1:42" ht="25.9" customHeight="1" x14ac:dyDescent="0.3">
      <c r="A5" s="167" t="s">
        <v>0</v>
      </c>
      <c r="B5" s="167" t="s">
        <v>1</v>
      </c>
      <c r="C5" s="167" t="s">
        <v>263</v>
      </c>
      <c r="D5" s="167" t="s">
        <v>264</v>
      </c>
      <c r="E5" s="167" t="s">
        <v>255</v>
      </c>
      <c r="F5" s="167" t="s">
        <v>18</v>
      </c>
      <c r="G5" s="167" t="s">
        <v>4</v>
      </c>
      <c r="H5" s="167" t="s">
        <v>265</v>
      </c>
      <c r="I5" s="167" t="s">
        <v>266</v>
      </c>
      <c r="J5" s="167" t="s">
        <v>6</v>
      </c>
      <c r="K5" s="167" t="s">
        <v>7</v>
      </c>
      <c r="L5" s="167" t="s">
        <v>8</v>
      </c>
      <c r="M5" s="167" t="s">
        <v>9</v>
      </c>
      <c r="N5" s="167" t="s">
        <v>10</v>
      </c>
      <c r="O5" s="167" t="s">
        <v>11</v>
      </c>
      <c r="P5" s="167" t="s">
        <v>14</v>
      </c>
      <c r="Q5" s="167" t="s">
        <v>15</v>
      </c>
      <c r="R5" s="167" t="s">
        <v>16</v>
      </c>
      <c r="S5" s="167" t="s">
        <v>17</v>
      </c>
      <c r="T5" s="167" t="s">
        <v>19</v>
      </c>
      <c r="U5" s="167" t="s">
        <v>20</v>
      </c>
      <c r="V5" s="237" t="s">
        <v>22</v>
      </c>
      <c r="W5" s="237" t="s">
        <v>23</v>
      </c>
      <c r="X5" s="239" t="s">
        <v>21</v>
      </c>
      <c r="Y5" s="240"/>
      <c r="Z5" s="240"/>
      <c r="AA5" s="241"/>
      <c r="AB5" s="168" t="s">
        <v>203</v>
      </c>
      <c r="AC5" s="168"/>
      <c r="AD5" s="168"/>
      <c r="AE5" s="171" t="s">
        <v>212</v>
      </c>
      <c r="AF5" s="172"/>
      <c r="AG5" s="80" t="s">
        <v>231</v>
      </c>
    </row>
    <row r="6" spans="1:42" ht="47.25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167"/>
      <c r="K6" s="167"/>
      <c r="L6" s="167"/>
      <c r="M6" s="167"/>
      <c r="N6" s="167"/>
      <c r="O6" s="167"/>
      <c r="P6" s="167"/>
      <c r="Q6" s="167"/>
      <c r="R6" s="167"/>
      <c r="S6" s="167"/>
      <c r="T6" s="167"/>
      <c r="U6" s="167"/>
      <c r="V6" s="238"/>
      <c r="W6" s="238"/>
      <c r="X6" s="8" t="s">
        <v>52</v>
      </c>
      <c r="Y6" s="8" t="s">
        <v>53</v>
      </c>
      <c r="Z6" s="8" t="s">
        <v>54</v>
      </c>
      <c r="AA6" s="8" t="s">
        <v>55</v>
      </c>
      <c r="AB6" s="4" t="s">
        <v>200</v>
      </c>
      <c r="AC6" s="4" t="s">
        <v>201</v>
      </c>
      <c r="AD6" s="4" t="s">
        <v>202</v>
      </c>
      <c r="AE6" s="74" t="s">
        <v>213</v>
      </c>
      <c r="AF6" s="74" t="s">
        <v>214</v>
      </c>
      <c r="AG6" s="80" t="s">
        <v>232</v>
      </c>
      <c r="AH6" s="54" t="s">
        <v>115</v>
      </c>
    </row>
    <row r="7" spans="1:42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13"/>
      <c r="M7" s="13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55"/>
      <c r="AI7" s="3">
        <f t="shared" ref="AI7:AL11" si="0">X7+$AH7</f>
        <v>0</v>
      </c>
      <c r="AJ7" s="3">
        <f t="shared" si="0"/>
        <v>0</v>
      </c>
      <c r="AK7" s="3">
        <f t="shared" si="0"/>
        <v>0</v>
      </c>
      <c r="AL7" s="3">
        <f t="shared" si="0"/>
        <v>0</v>
      </c>
      <c r="AM7" s="3">
        <f>G7-$AH7</f>
        <v>0</v>
      </c>
      <c r="AN7" s="3">
        <f t="shared" ref="AN7:AP11" si="1">I7-$AH7</f>
        <v>0</v>
      </c>
      <c r="AO7" s="3">
        <f t="shared" si="1"/>
        <v>0</v>
      </c>
      <c r="AP7" s="3">
        <f t="shared" si="1"/>
        <v>0</v>
      </c>
    </row>
    <row r="8" spans="1:42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13"/>
      <c r="M8" s="13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55"/>
      <c r="AI8" s="3">
        <f t="shared" si="0"/>
        <v>0</v>
      </c>
      <c r="AJ8" s="3">
        <f t="shared" si="0"/>
        <v>0</v>
      </c>
      <c r="AK8" s="3">
        <f t="shared" si="0"/>
        <v>0</v>
      </c>
      <c r="AL8" s="3">
        <f t="shared" si="0"/>
        <v>0</v>
      </c>
      <c r="AM8" s="3">
        <f>G8-$AH8</f>
        <v>0</v>
      </c>
      <c r="AN8" s="3">
        <f t="shared" si="1"/>
        <v>0</v>
      </c>
      <c r="AO8" s="3">
        <f t="shared" si="1"/>
        <v>0</v>
      </c>
      <c r="AP8" s="3">
        <f t="shared" si="1"/>
        <v>0</v>
      </c>
    </row>
    <row r="9" spans="1:42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13"/>
      <c r="M9" s="13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55"/>
      <c r="AI9" s="3">
        <f t="shared" si="0"/>
        <v>0</v>
      </c>
      <c r="AJ9" s="3">
        <f t="shared" si="0"/>
        <v>0</v>
      </c>
      <c r="AK9" s="3">
        <f t="shared" si="0"/>
        <v>0</v>
      </c>
      <c r="AL9" s="3">
        <f t="shared" si="0"/>
        <v>0</v>
      </c>
      <c r="AM9" s="3">
        <f>G9-$AH9</f>
        <v>0</v>
      </c>
      <c r="AN9" s="3">
        <f t="shared" si="1"/>
        <v>0</v>
      </c>
      <c r="AO9" s="3">
        <f t="shared" si="1"/>
        <v>0</v>
      </c>
      <c r="AP9" s="3">
        <f t="shared" si="1"/>
        <v>0</v>
      </c>
    </row>
    <row r="10" spans="1:42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55"/>
      <c r="AI10" s="3">
        <f t="shared" si="0"/>
        <v>0</v>
      </c>
      <c r="AJ10" s="3">
        <f t="shared" si="0"/>
        <v>0</v>
      </c>
      <c r="AK10" s="3">
        <f t="shared" si="0"/>
        <v>0</v>
      </c>
      <c r="AL10" s="3">
        <f t="shared" si="0"/>
        <v>0</v>
      </c>
      <c r="AM10" s="3">
        <f>G10-$AH10</f>
        <v>0</v>
      </c>
      <c r="AN10" s="3">
        <f t="shared" si="1"/>
        <v>0</v>
      </c>
      <c r="AO10" s="3">
        <f t="shared" si="1"/>
        <v>0</v>
      </c>
      <c r="AP10" s="3">
        <f t="shared" si="1"/>
        <v>0</v>
      </c>
    </row>
    <row r="11" spans="1:42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55"/>
      <c r="AI11" s="3">
        <f t="shared" si="0"/>
        <v>0</v>
      </c>
      <c r="AJ11" s="3">
        <f t="shared" si="0"/>
        <v>0</v>
      </c>
      <c r="AK11" s="3">
        <f t="shared" si="0"/>
        <v>0</v>
      </c>
      <c r="AL11" s="3">
        <f t="shared" si="0"/>
        <v>0</v>
      </c>
      <c r="AM11" s="3">
        <f>G11-$AH11</f>
        <v>0</v>
      </c>
      <c r="AN11" s="3">
        <f t="shared" si="1"/>
        <v>0</v>
      </c>
      <c r="AO11" s="3">
        <f t="shared" si="1"/>
        <v>0</v>
      </c>
      <c r="AP11" s="3">
        <f t="shared" si="1"/>
        <v>0</v>
      </c>
    </row>
  </sheetData>
  <mergeCells count="36">
    <mergeCell ref="AB5:AD5"/>
    <mergeCell ref="Q5:Q6"/>
    <mergeCell ref="W5:W6"/>
    <mergeCell ref="D5:D6"/>
    <mergeCell ref="E5:E6"/>
    <mergeCell ref="H5:H6"/>
    <mergeCell ref="X5:AA5"/>
    <mergeCell ref="R5:R6"/>
    <mergeCell ref="S5:S6"/>
    <mergeCell ref="T5:T6"/>
    <mergeCell ref="U5:U6"/>
    <mergeCell ref="V5:V6"/>
    <mergeCell ref="A4:AB4"/>
    <mergeCell ref="AE4:AF4"/>
    <mergeCell ref="A5:A6"/>
    <mergeCell ref="B5:B6"/>
    <mergeCell ref="C5:C6"/>
    <mergeCell ref="F5:F6"/>
    <mergeCell ref="G5:G6"/>
    <mergeCell ref="I5:I6"/>
    <mergeCell ref="J5:J6"/>
    <mergeCell ref="K5:K6"/>
    <mergeCell ref="L5:L6"/>
    <mergeCell ref="M5:M6"/>
    <mergeCell ref="N5:N6"/>
    <mergeCell ref="O5:O6"/>
    <mergeCell ref="P5:P6"/>
    <mergeCell ref="AE5:AF5"/>
    <mergeCell ref="A1:AD1"/>
    <mergeCell ref="J3:K3"/>
    <mergeCell ref="L3:M3"/>
    <mergeCell ref="N3:O3"/>
    <mergeCell ref="P3:R3"/>
    <mergeCell ref="S3:T3"/>
    <mergeCell ref="U3:V3"/>
    <mergeCell ref="W3:X3"/>
  </mergeCells>
  <phoneticPr fontId="1" type="noConversion"/>
  <pageMargins left="0.25" right="0.25" top="0.75" bottom="0.75" header="0.3" footer="0.3"/>
  <pageSetup paperSize="9" scale="62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1">
    <tabColor theme="4" tint="-0.249977111117893"/>
    <pageSetUpPr fitToPage="1"/>
  </sheetPr>
  <dimension ref="A1:BF8"/>
  <sheetViews>
    <sheetView zoomScale="70" zoomScaleNormal="70" workbookViewId="0">
      <selection activeCell="O7" sqref="O7"/>
    </sheetView>
  </sheetViews>
  <sheetFormatPr defaultRowHeight="16.5" x14ac:dyDescent="0.3"/>
  <cols>
    <col min="1" max="1" width="6.875" customWidth="1"/>
    <col min="2" max="2" width="5.875" customWidth="1"/>
    <col min="3" max="5" width="8.25" customWidth="1"/>
    <col min="6" max="6" width="8.5" customWidth="1"/>
    <col min="7" max="15" width="6.875" customWidth="1"/>
    <col min="16" max="17" width="6.25" customWidth="1"/>
    <col min="18" max="19" width="5.75" customWidth="1"/>
    <col min="20" max="33" width="6.875" customWidth="1"/>
    <col min="34" max="34" width="11.5" customWidth="1"/>
    <col min="35" max="35" width="13.875" customWidth="1"/>
    <col min="36" max="36" width="13.625" customWidth="1"/>
    <col min="37" max="41" width="8.125" customWidth="1"/>
    <col min="42" max="43" width="5.75" style="3" customWidth="1"/>
    <col min="44" max="44" width="7.375" style="3" customWidth="1"/>
    <col min="47" max="47" width="7.75" customWidth="1"/>
    <col min="49" max="54" width="9" style="3"/>
    <col min="57" max="57" width="8.125" customWidth="1"/>
  </cols>
  <sheetData>
    <row r="1" spans="1:58" ht="64.150000000000006" customHeight="1" x14ac:dyDescent="0.3">
      <c r="A1" s="165" t="str">
        <f>정보!I3</f>
        <v>(4CO멍텅구리) 제작변환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"/>
      <c r="AO1" s="1"/>
      <c r="AP1" s="249" t="s">
        <v>75</v>
      </c>
      <c r="AQ1" s="249"/>
      <c r="AR1" s="249"/>
      <c r="AW1" s="24"/>
    </row>
    <row r="2" spans="1:58" ht="28.5" customHeight="1" x14ac:dyDescent="0.3">
      <c r="A2" s="97" t="s">
        <v>85</v>
      </c>
      <c r="B2" s="140">
        <v>3</v>
      </c>
      <c r="C2" s="22"/>
      <c r="D2" s="22"/>
      <c r="E2" s="96" t="s">
        <v>86</v>
      </c>
      <c r="F2" s="116">
        <v>0</v>
      </c>
      <c r="G2" s="1"/>
      <c r="H2" s="1"/>
      <c r="I2" s="1"/>
      <c r="J2" s="213" t="s">
        <v>307</v>
      </c>
      <c r="K2" s="213"/>
      <c r="L2" s="213"/>
      <c r="M2" s="107">
        <v>0</v>
      </c>
      <c r="N2" s="99"/>
      <c r="O2" s="99"/>
      <c r="P2" s="99"/>
      <c r="Q2" s="265" t="s">
        <v>113</v>
      </c>
      <c r="R2" s="265"/>
      <c r="S2" s="265"/>
      <c r="T2" s="265"/>
      <c r="U2" s="260">
        <v>1</v>
      </c>
      <c r="V2" s="260"/>
      <c r="W2" s="257" t="s">
        <v>103</v>
      </c>
      <c r="X2" s="258"/>
      <c r="Y2" s="95">
        <v>0</v>
      </c>
      <c r="Z2" s="257" t="s">
        <v>88</v>
      </c>
      <c r="AA2" s="258"/>
      <c r="AB2" s="94">
        <v>0</v>
      </c>
      <c r="AC2" s="69"/>
      <c r="AD2" s="251" t="s">
        <v>82</v>
      </c>
      <c r="AE2" s="252"/>
      <c r="AF2" s="344">
        <v>0</v>
      </c>
      <c r="AG2" s="344"/>
      <c r="AH2" s="98" t="s">
        <v>114</v>
      </c>
      <c r="AI2" s="345">
        <v>3</v>
      </c>
      <c r="AJ2" s="345"/>
      <c r="AK2" s="1"/>
      <c r="AL2" s="1"/>
      <c r="AM2" s="1"/>
      <c r="AN2" s="1"/>
      <c r="AO2" s="1"/>
      <c r="AP2" s="249"/>
      <c r="AQ2" s="249"/>
      <c r="AR2" s="249"/>
      <c r="AW2" s="24"/>
    </row>
    <row r="3" spans="1:58" ht="33" customHeight="1" x14ac:dyDescent="0.3">
      <c r="A3" s="33" t="str">
        <f>'4CO멍텅(실측)'!A3</f>
        <v>현장명 : 전남 목포 알파타워,   (재질) : HL 1.2T</v>
      </c>
      <c r="B3" s="2"/>
      <c r="C3" s="2"/>
      <c r="D3" s="2"/>
      <c r="E3" s="2"/>
      <c r="F3" s="2"/>
      <c r="G3" s="2"/>
      <c r="H3" s="2"/>
      <c r="I3" s="2"/>
      <c r="J3" s="2"/>
      <c r="K3" s="251" t="s">
        <v>76</v>
      </c>
      <c r="L3" s="251"/>
      <c r="M3" s="106">
        <v>3</v>
      </c>
      <c r="N3" s="100"/>
      <c r="O3" s="100"/>
      <c r="P3" s="100"/>
      <c r="Q3" s="251" t="s">
        <v>77</v>
      </c>
      <c r="R3" s="251"/>
      <c r="S3" s="264">
        <v>0</v>
      </c>
      <c r="T3" s="264"/>
      <c r="U3" s="265" t="s">
        <v>227</v>
      </c>
      <c r="V3" s="265"/>
      <c r="W3" s="265"/>
      <c r="X3" s="266">
        <f>BE7</f>
        <v>1</v>
      </c>
      <c r="Y3" s="266"/>
      <c r="Z3" s="261" t="s">
        <v>78</v>
      </c>
      <c r="AA3" s="261"/>
      <c r="AB3" s="93">
        <v>1</v>
      </c>
      <c r="AC3" s="101"/>
      <c r="AF3" s="209" t="s">
        <v>73</v>
      </c>
      <c r="AG3" s="209"/>
      <c r="AH3" s="114">
        <v>4</v>
      </c>
      <c r="AI3" s="4" t="s">
        <v>74</v>
      </c>
      <c r="AJ3" s="115">
        <v>4</v>
      </c>
      <c r="AK3" s="280" t="s">
        <v>330</v>
      </c>
      <c r="AL3" s="212"/>
      <c r="AM3" s="159" t="e">
        <f>AS7</f>
        <v>#DIV/0!</v>
      </c>
      <c r="AN3" s="14"/>
      <c r="AO3" s="14"/>
      <c r="AP3" s="25"/>
      <c r="AQ3" s="25"/>
      <c r="AR3" s="24"/>
      <c r="AW3" s="24"/>
    </row>
    <row r="4" spans="1:58" ht="33" customHeight="1" x14ac:dyDescent="0.3">
      <c r="A4" s="163" t="str">
        <f>'4CO멍텅(실측)'!A4:AB4</f>
        <v>제작치수 반영 : JB/JD +(3 ),  늘어난치수K -(3),  C + (0),  U +(0), OP1/OP3 -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343" t="s">
        <v>313</v>
      </c>
      <c r="AE4" s="343"/>
      <c r="AF4" s="343">
        <f>'4CO멍텅(실측)'!X7</f>
        <v>0</v>
      </c>
      <c r="AG4" s="343"/>
      <c r="AH4" s="9"/>
      <c r="AI4" s="222">
        <f ca="1">TODAY()</f>
        <v>45299</v>
      </c>
      <c r="AJ4" s="162"/>
      <c r="AK4" s="278" t="s">
        <v>235</v>
      </c>
      <c r="AL4" s="278"/>
      <c r="AM4" s="279"/>
      <c r="AN4" s="173" t="s">
        <v>215</v>
      </c>
      <c r="AO4" s="173"/>
      <c r="AP4" s="25"/>
      <c r="AQ4" s="25"/>
      <c r="AR4" s="24"/>
      <c r="AW4" s="24"/>
      <c r="BE4" s="177" t="s">
        <v>253</v>
      </c>
    </row>
    <row r="5" spans="1:58" ht="25.9" customHeight="1" x14ac:dyDescent="0.3">
      <c r="A5" s="167" t="s">
        <v>0</v>
      </c>
      <c r="B5" s="167" t="s">
        <v>1</v>
      </c>
      <c r="C5" s="167" t="s">
        <v>267</v>
      </c>
      <c r="D5" s="168" t="s">
        <v>261</v>
      </c>
      <c r="E5" s="167" t="s">
        <v>268</v>
      </c>
      <c r="F5" s="167" t="s">
        <v>18</v>
      </c>
      <c r="G5" s="168" t="s">
        <v>58</v>
      </c>
      <c r="H5" s="168" t="s">
        <v>269</v>
      </c>
      <c r="I5" s="168" t="s">
        <v>270</v>
      </c>
      <c r="J5" s="269" t="s">
        <v>60</v>
      </c>
      <c r="K5" s="269" t="s">
        <v>64</v>
      </c>
      <c r="L5" s="326" t="s">
        <v>65</v>
      </c>
      <c r="M5" s="326" t="s">
        <v>66</v>
      </c>
      <c r="N5" s="311" t="s">
        <v>294</v>
      </c>
      <c r="O5" s="311" t="s">
        <v>295</v>
      </c>
      <c r="P5" s="237" t="s">
        <v>62</v>
      </c>
      <c r="Q5" s="237" t="s">
        <v>63</v>
      </c>
      <c r="R5" s="167" t="s">
        <v>8</v>
      </c>
      <c r="S5" s="167" t="s">
        <v>9</v>
      </c>
      <c r="T5" s="167" t="s">
        <v>10</v>
      </c>
      <c r="U5" s="167" t="s">
        <v>11</v>
      </c>
      <c r="V5" s="167" t="s">
        <v>14</v>
      </c>
      <c r="W5" s="167" t="s">
        <v>15</v>
      </c>
      <c r="X5" s="167" t="s">
        <v>16</v>
      </c>
      <c r="Y5" s="167" t="s">
        <v>17</v>
      </c>
      <c r="Z5" s="167" t="s">
        <v>19</v>
      </c>
      <c r="AA5" s="167" t="s">
        <v>20</v>
      </c>
      <c r="AB5" s="237" t="s">
        <v>22</v>
      </c>
      <c r="AC5" s="237" t="s">
        <v>23</v>
      </c>
      <c r="AD5" s="239" t="s">
        <v>21</v>
      </c>
      <c r="AE5" s="240"/>
      <c r="AF5" s="240"/>
      <c r="AG5" s="241"/>
      <c r="AH5" s="168" t="s">
        <v>25</v>
      </c>
      <c r="AI5" s="273" t="s">
        <v>34</v>
      </c>
      <c r="AJ5" s="168" t="s">
        <v>35</v>
      </c>
      <c r="AK5" s="308" t="s">
        <v>203</v>
      </c>
      <c r="AL5" s="308"/>
      <c r="AM5" s="308"/>
      <c r="AN5" s="171" t="s">
        <v>212</v>
      </c>
      <c r="AO5" s="172"/>
      <c r="AP5" s="177" t="s">
        <v>305</v>
      </c>
      <c r="AQ5" s="177" t="s">
        <v>306</v>
      </c>
      <c r="AR5" s="272" t="s">
        <v>51</v>
      </c>
      <c r="AY5" s="178" t="s">
        <v>28</v>
      </c>
      <c r="AZ5" s="178"/>
      <c r="BA5" s="178" t="s">
        <v>29</v>
      </c>
      <c r="BB5" s="178"/>
      <c r="BE5" s="178"/>
    </row>
    <row r="6" spans="1:58" ht="48" customHeight="1" x14ac:dyDescent="0.3">
      <c r="A6" s="167"/>
      <c r="B6" s="167"/>
      <c r="C6" s="167"/>
      <c r="D6" s="167"/>
      <c r="E6" s="167"/>
      <c r="F6" s="167"/>
      <c r="G6" s="167"/>
      <c r="H6" s="167"/>
      <c r="I6" s="167"/>
      <c r="J6" s="270"/>
      <c r="K6" s="270"/>
      <c r="L6" s="327"/>
      <c r="M6" s="327"/>
      <c r="N6" s="312"/>
      <c r="O6" s="312"/>
      <c r="P6" s="238"/>
      <c r="Q6" s="238"/>
      <c r="R6" s="167"/>
      <c r="S6" s="167"/>
      <c r="T6" s="167"/>
      <c r="U6" s="167"/>
      <c r="V6" s="167"/>
      <c r="W6" s="167"/>
      <c r="X6" s="167"/>
      <c r="Y6" s="167"/>
      <c r="Z6" s="167"/>
      <c r="AA6" s="167"/>
      <c r="AB6" s="238"/>
      <c r="AC6" s="238"/>
      <c r="AD6" s="8" t="s">
        <v>56</v>
      </c>
      <c r="AE6" s="8" t="s">
        <v>57</v>
      </c>
      <c r="AF6" s="8" t="s">
        <v>54</v>
      </c>
      <c r="AG6" s="8" t="s">
        <v>55</v>
      </c>
      <c r="AH6" s="167"/>
      <c r="AI6" s="274"/>
      <c r="AJ6" s="167"/>
      <c r="AK6" s="86" t="s">
        <v>200</v>
      </c>
      <c r="AL6" s="86" t="s">
        <v>201</v>
      </c>
      <c r="AM6" s="86" t="s">
        <v>202</v>
      </c>
      <c r="AN6" s="74" t="s">
        <v>213</v>
      </c>
      <c r="AO6" s="74" t="s">
        <v>214</v>
      </c>
      <c r="AP6" s="178"/>
      <c r="AQ6" s="178"/>
      <c r="AR6" s="272"/>
      <c r="AS6" s="18" t="s">
        <v>80</v>
      </c>
      <c r="AT6" s="45" t="s">
        <v>110</v>
      </c>
      <c r="AU6" s="47" t="s">
        <v>111</v>
      </c>
      <c r="AV6" s="19" t="s">
        <v>109</v>
      </c>
      <c r="AW6" s="3" t="s">
        <v>27</v>
      </c>
      <c r="AX6" s="3" t="s">
        <v>26</v>
      </c>
      <c r="AY6" s="3" t="s">
        <v>30</v>
      </c>
      <c r="AZ6" s="3" t="s">
        <v>31</v>
      </c>
      <c r="BA6" s="3" t="s">
        <v>30</v>
      </c>
      <c r="BB6" s="3" t="s">
        <v>31</v>
      </c>
      <c r="BC6" s="7" t="s">
        <v>49</v>
      </c>
      <c r="BD6" s="44" t="s">
        <v>112</v>
      </c>
      <c r="BE6" s="78" t="s">
        <v>225</v>
      </c>
      <c r="BF6" s="82" t="s">
        <v>233</v>
      </c>
    </row>
    <row r="7" spans="1:58" ht="26.25" customHeight="1" x14ac:dyDescent="0.3">
      <c r="A7" s="4">
        <f>'4CO멍텅(실측)'!A7</f>
        <v>0</v>
      </c>
      <c r="B7" s="4" t="str">
        <f>'4CO멍텅(실측)'!B7&amp;"F"</f>
        <v>F</v>
      </c>
      <c r="C7" s="4">
        <f>'4CO멍텅(실측)'!C7-CO4멍텅OP/2</f>
        <v>-1.5</v>
      </c>
      <c r="D7" s="4">
        <f>'4CO멍텅(실측)'!D7</f>
        <v>0</v>
      </c>
      <c r="E7" s="4">
        <f>'4CO멍텅(실측)'!E7-CO4멍텅OP/2</f>
        <v>-1.5</v>
      </c>
      <c r="F7" s="4">
        <f>'4CO멍텅(실측)'!F7-CO4멍텅R</f>
        <v>0</v>
      </c>
      <c r="G7" s="4">
        <f>'4CO멍텅(실측)'!G7+MAX(AP7,AQ7)+IF(BE7=1,AD7,0)+CO4멍텅JBJD늘림치수</f>
        <v>0</v>
      </c>
      <c r="H7" s="4">
        <f>'4CO멍텅(실측)'!H7+MAX(AP7,AQ7)+IF(BE7=1,MAX(AD7,AF7),0)+CO4멍텅JBJD늘림치수</f>
        <v>0</v>
      </c>
      <c r="I7" s="4">
        <f>'4CO멍텅(실측)'!I7+MAX(AP7,AQ7)+IF(BE7=1,AF7,0)+CO4멍텅JBJD늘림치수</f>
        <v>0</v>
      </c>
      <c r="J7" s="4">
        <f>'4CO멍텅(실측)'!J7+AP7+IF(BE7=1,AD7,0)+CO4멍텅JB강제키움+CO4멍텅JBJD늘림치수</f>
        <v>0</v>
      </c>
      <c r="K7" s="4">
        <f>'4CO멍텅(실측)'!J7+AP7+IF(BE7=1,AE7,0)+CO4멍텅JB강제키움+CO4멍텅JBJD늘림치수-IF(CO4멍텅JB하부늘치=1,'4CO멍텅(실측)'!X7-'4CO멍텅(실측)'!Y7,0)</f>
        <v>0</v>
      </c>
      <c r="L7" s="4">
        <f>'4CO멍텅(실측)'!K7+AQ7+IF(BE7=1,AF7,0)+CO4멍텅JB강제키움+CO4멍텅JBJD늘림치수</f>
        <v>0</v>
      </c>
      <c r="M7" s="4">
        <f>'4CO멍텅(실측)'!K7+AQ7+IF(BE7=1,AG7,0)+CO4멍텅JB강제키움+CO4멍텅JBJD늘림치수-IF(CO4멍텅JB하부늘치=1,'4CO멍텅(실측)'!Z7-'4CO멍텅(실측)'!AA7,0)</f>
        <v>0</v>
      </c>
      <c r="N7" s="73">
        <f>IF(BE7=0,H7+AD7-(G7+AD7),H7-G7)</f>
        <v>0</v>
      </c>
      <c r="O7" s="73">
        <f>IF(BE7=0,H7+AF7-(I7+AD7),H7-I7)</f>
        <v>0</v>
      </c>
      <c r="P7" s="4">
        <f t="shared" ref="P7:Q7" si="0">R7+IF(소장="손상민",0,-1.5)</f>
        <v>-0.5</v>
      </c>
      <c r="Q7" s="4">
        <f t="shared" si="0"/>
        <v>-0.5</v>
      </c>
      <c r="R7" s="4">
        <f>IF(T7&gt;0,'4CO멍텅(실측)'!L7+CO4멍텅C늘림,'4CO멍텅(실측)'!L7+1)</f>
        <v>1</v>
      </c>
      <c r="S7" s="4">
        <f>IF(U7&gt;0,'4CO멍텅(실측)'!M7+CO4멍텅C늘림,'4CO멍텅(실측)'!M7+1)</f>
        <v>1</v>
      </c>
      <c r="T7" s="4">
        <f>IF(ISNUMBER('4CO멍텅(실측)'!N7),'4CO멍텅(실측)'!N7+'4CO멍텅제작'!AP7+멍텅A늘림,0)</f>
        <v>0</v>
      </c>
      <c r="U7" s="4">
        <f>IF(ISNUMBER('4CO멍텅(실측)'!O7),'4CO멍텅(실측)'!O7+'4CO멍텅제작'!AQ7+멍텅A늘림,0)</f>
        <v>0</v>
      </c>
      <c r="V7" s="4">
        <f>'4CO멍텅(실측)'!P7-CO4멍텅기둥차감</f>
        <v>0</v>
      </c>
      <c r="W7" s="4">
        <f>'4CO멍텅(실측)'!Q7-CO4멍텅기둥차감</f>
        <v>0</v>
      </c>
      <c r="X7" s="4">
        <f>'4CO멍텅(실측)'!R7-CO4멍텅기둥차감</f>
        <v>0</v>
      </c>
      <c r="Y7" s="4">
        <f>'4CO멍텅(실측)'!S7-CO4멍텅기둥차감</f>
        <v>0</v>
      </c>
      <c r="Z7" s="4">
        <f>IF(ISNUMBER('4CO멍텅(실측)'!T7),IF(AA7&gt;0,'4CO멍텅(실측)'!T7+CO4멍텅U늘림,'4CO멍텅(실측)'!T7+1.2),0)</f>
        <v>0</v>
      </c>
      <c r="AA7" s="4">
        <f>IF(OR(CO4멍텅G="", CO4멍텅G=0),IF(ISNUMBER('4CO멍텅(실측)'!U7),IF('4CO멍텅(실측)'!U7+멍텅A늘림+MAX(AP7,AQ7)&gt;9,'4CO멍텅(실측)'!U7+멍텅A늘림+MAX(AP7,AQ7),'4CO멍텅(실측)'!U7+멍텅A늘림+MAX(AP7,AQ7)),0),CO4멍텅G)</f>
        <v>0</v>
      </c>
      <c r="AB7" s="4">
        <f>'4CO멍텅(실측)'!V7+뒷날개치수더함</f>
        <v>0</v>
      </c>
      <c r="AC7" s="4">
        <f>'4CO멍텅(실측)'!W7+뒷날개치수더함</f>
        <v>0</v>
      </c>
      <c r="AD7" s="13">
        <f>'4CO멍텅(실측)'!X7-CO4멍텅늘치차감</f>
        <v>-3</v>
      </c>
      <c r="AE7" s="13">
        <f>IF(CO4멍텅JB하부늘치=1,AD7,'4CO멍텅(실측)'!Y7-CO4멍텅늘치차감)</f>
        <v>-3</v>
      </c>
      <c r="AF7" s="13">
        <f>'4CO멍텅(실측)'!Z7-CO4멍텅늘치차감</f>
        <v>-3</v>
      </c>
      <c r="AG7" s="13">
        <f>IF(CO4멍텅JB하부늘치=1,AF7,'4CO멍텅(실측)'!AA7-CO4멍텅늘치차감)</f>
        <v>-3</v>
      </c>
      <c r="AH7" s="11" t="str">
        <f t="shared" ref="AH7" si="1">AW7&amp;"*"&amp;AX7</f>
        <v>0*-3.6</v>
      </c>
      <c r="AI7" s="12" t="str">
        <f t="shared" ref="AI7" si="2">AZ7&amp;"*"&amp;AY7</f>
        <v>0*-2.6</v>
      </c>
      <c r="AJ7" s="10" t="str">
        <f t="shared" ref="AJ7" si="3">BB7&amp;"*"&amp;BA7</f>
        <v>0*-2.6</v>
      </c>
      <c r="AK7" s="4">
        <f>IF('4CO멍텅(실측)'!AB7&gt;5,'4CO멍텅(실측)'!AB7+뒷날개치수더함,'4CO멍텅(실측)'!AB7)</f>
        <v>0</v>
      </c>
      <c r="AL7" s="4">
        <f>'4CO멍텅(실측)'!AC7</f>
        <v>0</v>
      </c>
      <c r="AM7" s="4">
        <f>'4CO멍텅(실측)'!AD7</f>
        <v>0</v>
      </c>
      <c r="AN7" s="31">
        <f>IF('4CO멍텅(실측)'!AE7&gt;0,'4CO멍텅(실측)'!AE7-'4CO멍텅(실측)'!V7+1.2,0)</f>
        <v>0</v>
      </c>
      <c r="AO7" s="31">
        <f>IF('4CO멍텅(실측)'!AF7&gt;0,'4CO멍텅(실측)'!AF7-'4CO멍텅(실측)'!V7+1.2,0)</f>
        <v>0</v>
      </c>
      <c r="AP7" s="3">
        <f>IF(AND(ISNUMBER('4CO멍텅(실측)'!O7),ISNUMBER('4CO멍텅(실측)'!N7)),IF(ISNUMBER('4CO멍텅(실측)'!N7),IF(9-MIN('4CO멍텅(실측)'!N7+멍텅A늘림,'4CO멍텅(실측)'!O7+멍텅A늘림)&lt;AR7,AR7,9-MIN('4CO멍텅(실측)'!N7+멍텅A늘림,'4CO멍텅(실측)'!O7+멍텅A늘림) + AR7 ),0),IF(ISNUMBER('4CO멍텅(실측)'!N7),IF(9-'4CO멍텅(실측)'!N7-멍텅A늘림+AR7&lt;AR7,AR7,9-'4CO멍텅(실측)'!N7-멍텅A늘림+AR7),0))</f>
        <v>0</v>
      </c>
      <c r="AQ7" s="3">
        <f>IF(AND(ISNUMBER('4CO멍텅(실측)'!N7),ISNUMBER('4CO멍텅(실측)'!O7)),IF(ISNUMBER('4CO멍텅(실측)'!O7),IF(9-MIN('4CO멍텅(실측)'!O7+멍텅A늘림,'4CO멍텅(실측)'!N7+멍텅A늘림)&lt;AR7,AR7,9-MIN('4CO멍텅(실측)'!O7+멍텅A늘림,'4CO멍텅(실측)'!N7+멍텅A늘림) + AR7 ),0),IF(ISNUMBER('4CO멍텅(실측)'!O7),IF(9-'4CO멍텅(실측)'!O7-멍텅A늘림+AR7&lt;AR7,AR7,9-'4CO멍텅(실측)'!O7-멍텅A늘림+AR7),0))</f>
        <v>0</v>
      </c>
      <c r="AR7" s="16"/>
      <c r="AS7" s="17" t="e">
        <f>DEGREES(ATAN((F7-(C7+D7+E7))/2/(G7)))</f>
        <v>#DIV/0!</v>
      </c>
      <c r="AT7" s="36" t="e">
        <f t="shared" ref="AT7" si="4">G7-COS(RADIANS(AS7))*J7</f>
        <v>#DIV/0!</v>
      </c>
      <c r="AU7" s="36" t="e">
        <f t="shared" ref="AU7" si="5">I7-COS(RADIANS(AS7))*L7</f>
        <v>#DIV/0!</v>
      </c>
      <c r="AV7" s="46" t="str">
        <f t="shared" ref="AV7" si="6">IF(G7+AD7&lt;&gt;I7+AF7,"JD비대칭","")</f>
        <v/>
      </c>
      <c r="AW7" s="3">
        <f>F7 + IF(Z7+AA7&gt;0, P7+Q7,0)</f>
        <v>0</v>
      </c>
      <c r="AX7" s="3">
        <f>Z7+H7+AB7+AA7-1.2*$AH$3+IF(BE7=0,MAX(AD7,AF7))+IF(AA7=0,1.2,0)</f>
        <v>-3.5999999999999996</v>
      </c>
      <c r="AY7" s="3">
        <f>T7+R7+MAX(J7,K7)+AC7-1.2*$AJ$3+IF(BE7=0,MAX(AD7,AE7))+IF(T7=0,1.2,0)-IF(AM7=90,2.4,0)</f>
        <v>-2.5999999999999996</v>
      </c>
      <c r="AZ7" s="3">
        <f t="shared" ref="AZ7" si="7">MAX(V7,W7)</f>
        <v>0</v>
      </c>
      <c r="BA7" s="3">
        <f>U7+S7+MAX(L7,M7)+AC7-1.2*$AJ$3+IF(BE7=0,MAX(AF7,AG7))+IF(U7=0,1.2,0)-IF(AM7=90,2.4,0)</f>
        <v>-2.5999999999999996</v>
      </c>
      <c r="BB7" s="3">
        <f t="shared" ref="BB7" si="8">MAX(X7,Y7)</f>
        <v>0</v>
      </c>
      <c r="BC7">
        <f t="shared" ref="BC7" si="9">J7-G7</f>
        <v>0</v>
      </c>
      <c r="BD7">
        <f t="shared" ref="BD7" si="10">9-AA7</f>
        <v>9</v>
      </c>
      <c r="BE7" s="79">
        <f>IF(AND(MIN(AD7,AF7)&gt;=9.2,F7-(C7+D7+E7)&gt;15),0,1)</f>
        <v>1</v>
      </c>
      <c r="BF7" s="83">
        <f>IF(소장="손상민",'4CO멍텅(실측)'!AG7,0)</f>
        <v>0</v>
      </c>
    </row>
    <row r="8" spans="1:58" x14ac:dyDescent="0.3">
      <c r="AP8"/>
      <c r="AQ8"/>
      <c r="AR8"/>
      <c r="AW8"/>
      <c r="AX8"/>
      <c r="AY8"/>
      <c r="AZ8"/>
      <c r="BA8"/>
      <c r="BB8"/>
    </row>
  </sheetData>
  <mergeCells count="65">
    <mergeCell ref="AD4:AE4"/>
    <mergeCell ref="AF4:AG4"/>
    <mergeCell ref="Z5:Z6"/>
    <mergeCell ref="X5:X6"/>
    <mergeCell ref="Y5:Y6"/>
    <mergeCell ref="AA5:AA6"/>
    <mergeCell ref="AB5:AB6"/>
    <mergeCell ref="AC5:AC6"/>
    <mergeCell ref="AD5:AG5"/>
    <mergeCell ref="AH5:AH6"/>
    <mergeCell ref="AI5:AI6"/>
    <mergeCell ref="AN4:AO4"/>
    <mergeCell ref="BE4:BE5"/>
    <mergeCell ref="AF3:AG3"/>
    <mergeCell ref="AI4:AJ4"/>
    <mergeCell ref="AK4:AM4"/>
    <mergeCell ref="BA5:BB5"/>
    <mergeCell ref="AJ5:AJ6"/>
    <mergeCell ref="AK5:AM5"/>
    <mergeCell ref="AN5:AO5"/>
    <mergeCell ref="AP5:AP6"/>
    <mergeCell ref="AR5:AR6"/>
    <mergeCell ref="AY5:AZ5"/>
    <mergeCell ref="AQ5:AQ6"/>
    <mergeCell ref="AK3:AL3"/>
    <mergeCell ref="A5:A6"/>
    <mergeCell ref="B5:B6"/>
    <mergeCell ref="Q3:R3"/>
    <mergeCell ref="S3:T3"/>
    <mergeCell ref="U3:W3"/>
    <mergeCell ref="A4:AC4"/>
    <mergeCell ref="V5:V6"/>
    <mergeCell ref="N5:N6"/>
    <mergeCell ref="O5:O6"/>
    <mergeCell ref="W5:W6"/>
    <mergeCell ref="P5:P6"/>
    <mergeCell ref="Q5:Q6"/>
    <mergeCell ref="R5:R6"/>
    <mergeCell ref="S5:S6"/>
    <mergeCell ref="T5:T6"/>
    <mergeCell ref="X3:Y3"/>
    <mergeCell ref="Z3:AA3"/>
    <mergeCell ref="C5:C6"/>
    <mergeCell ref="F5:F6"/>
    <mergeCell ref="M5:M6"/>
    <mergeCell ref="G5:G6"/>
    <mergeCell ref="I5:I6"/>
    <mergeCell ref="J5:J6"/>
    <mergeCell ref="K5:K6"/>
    <mergeCell ref="L5:L6"/>
    <mergeCell ref="D5:D6"/>
    <mergeCell ref="E5:E6"/>
    <mergeCell ref="H5:H6"/>
    <mergeCell ref="U5:U6"/>
    <mergeCell ref="K3:L3"/>
    <mergeCell ref="AP1:AR2"/>
    <mergeCell ref="J2:L2"/>
    <mergeCell ref="Q2:T2"/>
    <mergeCell ref="U2:V2"/>
    <mergeCell ref="W2:X2"/>
    <mergeCell ref="Z2:AA2"/>
    <mergeCell ref="AD2:AE2"/>
    <mergeCell ref="AF2:AG2"/>
    <mergeCell ref="AI2:AJ2"/>
    <mergeCell ref="A1:AM1"/>
  </mergeCells>
  <phoneticPr fontId="1" type="noConversion"/>
  <conditionalFormatting sqref="AK7:AM7">
    <cfRule type="cellIs" dxfId="14" priority="9" operator="greaterThan">
      <formula>1.2</formula>
    </cfRule>
  </conditionalFormatting>
  <conditionalFormatting sqref="K7">
    <cfRule type="cellIs" dxfId="13" priority="6" operator="notEqual">
      <formula>J7</formula>
    </cfRule>
  </conditionalFormatting>
  <conditionalFormatting sqref="L7">
    <cfRule type="cellIs" dxfId="12" priority="5" operator="notEqual">
      <formula>M7</formula>
    </cfRule>
  </conditionalFormatting>
  <conditionalFormatting sqref="M7">
    <cfRule type="cellIs" dxfId="11" priority="4" operator="notEqual">
      <formula>L7</formula>
    </cfRule>
  </conditionalFormatting>
  <conditionalFormatting sqref="AD7:AG7">
    <cfRule type="expression" dxfId="10" priority="1">
      <formula>$BE7</formula>
    </cfRule>
  </conditionalFormatting>
  <pageMargins left="0.23622047244094491" right="0.23622047244094491" top="0.74803149606299213" bottom="0.74803149606299213" header="0.31496062992125984" footer="0.31496062992125984"/>
  <pageSetup paperSize="9" scale="37" orientation="landscape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UP2Normalsheet">
    <pageSetUpPr fitToPage="1"/>
  </sheetPr>
  <dimension ref="A1:AN31"/>
  <sheetViews>
    <sheetView zoomScale="85" zoomScaleNormal="85" workbookViewId="0">
      <selection sqref="A1:AB1"/>
    </sheetView>
  </sheetViews>
  <sheetFormatPr defaultRowHeight="16.5" x14ac:dyDescent="0.3"/>
  <cols>
    <col min="1" max="2" width="6.875" customWidth="1"/>
    <col min="3" max="4" width="9.875" customWidth="1"/>
    <col min="5" max="28" width="6.875" customWidth="1"/>
    <col min="29" max="30" width="7.75" customWidth="1"/>
    <col min="31" max="31" width="13.75" customWidth="1"/>
    <col min="32" max="40" width="5.625" customWidth="1"/>
  </cols>
  <sheetData>
    <row r="1" spans="1:40" ht="64.150000000000006" customHeight="1" x14ac:dyDescent="0.3">
      <c r="A1" s="165" t="str">
        <f>정보!K2</f>
        <v>(2UP) 실측서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"/>
      <c r="AD1" s="1"/>
      <c r="AE1" s="1"/>
    </row>
    <row r="2" spans="1:40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40" ht="33" customHeight="1" x14ac:dyDescent="0.3">
      <c r="A3" s="5" t="str">
        <f>"현장명 : " &amp; 정보!B1 &amp; ",   (재질) : " &amp; 정보!B8</f>
        <v>현장명 : 전남 목포 알파타워,   (재질) : HL 1.2T</v>
      </c>
      <c r="B3" s="2"/>
      <c r="C3" s="2"/>
      <c r="D3" s="2"/>
      <c r="E3" s="2"/>
      <c r="F3" s="2"/>
      <c r="G3" s="248"/>
      <c r="H3" s="248"/>
      <c r="I3" s="248"/>
      <c r="J3" s="23"/>
      <c r="K3" s="245"/>
      <c r="L3" s="245"/>
      <c r="M3" s="246"/>
      <c r="N3" s="246"/>
      <c r="O3" s="247"/>
      <c r="P3" s="247"/>
      <c r="Q3" s="247"/>
      <c r="R3" s="120"/>
      <c r="S3" s="242" t="s">
        <v>97</v>
      </c>
      <c r="T3" s="242"/>
      <c r="U3" s="242"/>
      <c r="V3" s="243"/>
      <c r="W3" s="243"/>
      <c r="X3" s="244"/>
      <c r="Y3" s="244"/>
    </row>
    <row r="4" spans="1:40" ht="33" customHeight="1" x14ac:dyDescent="0.3">
      <c r="A4" s="163" t="str">
        <f>정보!B17</f>
        <v>제작치수 반영 : JB/JD +(3 ),  늘어난치수K -(3),  C + (0),   U + (0), OP - (3),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73" t="s">
        <v>215</v>
      </c>
      <c r="AD4" s="173"/>
      <c r="AE4" s="81" t="s">
        <v>234</v>
      </c>
    </row>
    <row r="5" spans="1:4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275</v>
      </c>
      <c r="I5" s="326" t="s">
        <v>276</v>
      </c>
      <c r="J5" s="326" t="s">
        <v>277</v>
      </c>
      <c r="K5" s="167" t="s">
        <v>8</v>
      </c>
      <c r="L5" s="167" t="s">
        <v>9</v>
      </c>
      <c r="M5" s="167" t="s">
        <v>10</v>
      </c>
      <c r="N5" s="167" t="s">
        <v>11</v>
      </c>
      <c r="O5" s="348" t="s">
        <v>14</v>
      </c>
      <c r="P5" s="346" t="s">
        <v>282</v>
      </c>
      <c r="Q5" s="346" t="s">
        <v>283</v>
      </c>
      <c r="R5" s="326" t="s">
        <v>129</v>
      </c>
      <c r="S5" s="326" t="s">
        <v>280</v>
      </c>
      <c r="T5" s="326" t="s">
        <v>281</v>
      </c>
      <c r="U5" s="167" t="s">
        <v>19</v>
      </c>
      <c r="V5" s="167" t="s">
        <v>20</v>
      </c>
      <c r="W5" s="237" t="s">
        <v>22</v>
      </c>
      <c r="X5" s="237" t="s">
        <v>23</v>
      </c>
      <c r="Y5" s="239" t="s">
        <v>21</v>
      </c>
      <c r="Z5" s="240"/>
      <c r="AA5" s="240"/>
      <c r="AB5" s="241"/>
      <c r="AC5" s="171" t="s">
        <v>212</v>
      </c>
      <c r="AD5" s="172"/>
      <c r="AE5" s="80" t="s">
        <v>231</v>
      </c>
    </row>
    <row r="6" spans="1:40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327"/>
      <c r="J6" s="327"/>
      <c r="K6" s="167"/>
      <c r="L6" s="167"/>
      <c r="M6" s="167"/>
      <c r="N6" s="167"/>
      <c r="O6" s="347"/>
      <c r="P6" s="347"/>
      <c r="Q6" s="347"/>
      <c r="R6" s="327"/>
      <c r="S6" s="327"/>
      <c r="T6" s="327"/>
      <c r="U6" s="167"/>
      <c r="V6" s="167"/>
      <c r="W6" s="238"/>
      <c r="X6" s="238"/>
      <c r="Y6" s="8" t="s">
        <v>52</v>
      </c>
      <c r="Z6" s="8" t="s">
        <v>53</v>
      </c>
      <c r="AA6" s="8" t="s">
        <v>54</v>
      </c>
      <c r="AB6" s="8" t="s">
        <v>55</v>
      </c>
      <c r="AC6" s="74" t="s">
        <v>213</v>
      </c>
      <c r="AD6" s="74" t="s">
        <v>214</v>
      </c>
      <c r="AE6" s="80" t="s">
        <v>232</v>
      </c>
      <c r="AF6" s="54" t="s">
        <v>115</v>
      </c>
    </row>
    <row r="7" spans="1:40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55"/>
      <c r="AG7" s="3"/>
      <c r="AH7" s="3"/>
      <c r="AI7" s="3">
        <f t="shared" ref="AI7:AJ11" si="0">AA7+$AF7</f>
        <v>0</v>
      </c>
      <c r="AJ7" s="3">
        <f t="shared" si="0"/>
        <v>0</v>
      </c>
      <c r="AK7" s="3">
        <f t="shared" ref="AK7:AM11" si="1">E7-$AF7</f>
        <v>0</v>
      </c>
      <c r="AL7" s="3">
        <f t="shared" si="1"/>
        <v>0</v>
      </c>
      <c r="AM7" s="3">
        <f t="shared" si="1"/>
        <v>0</v>
      </c>
      <c r="AN7" s="3">
        <f>I7-$AF7</f>
        <v>0</v>
      </c>
    </row>
    <row r="8" spans="1:40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55"/>
      <c r="AG8" s="3"/>
      <c r="AH8" s="3"/>
      <c r="AI8" s="3">
        <f t="shared" si="0"/>
        <v>0</v>
      </c>
      <c r="AJ8" s="3">
        <f t="shared" si="0"/>
        <v>0</v>
      </c>
      <c r="AK8" s="3">
        <f t="shared" si="1"/>
        <v>0</v>
      </c>
      <c r="AL8" s="3">
        <f t="shared" si="1"/>
        <v>0</v>
      </c>
      <c r="AM8" s="3">
        <f t="shared" si="1"/>
        <v>0</v>
      </c>
      <c r="AN8" s="3">
        <f>I8-$AF8</f>
        <v>0</v>
      </c>
    </row>
    <row r="9" spans="1:40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55"/>
      <c r="AG9" s="3"/>
      <c r="AH9" s="3"/>
      <c r="AI9" s="3">
        <f t="shared" si="0"/>
        <v>0</v>
      </c>
      <c r="AJ9" s="3">
        <f t="shared" si="0"/>
        <v>0</v>
      </c>
      <c r="AK9" s="3">
        <f t="shared" si="1"/>
        <v>0</v>
      </c>
      <c r="AL9" s="3">
        <f t="shared" si="1"/>
        <v>0</v>
      </c>
      <c r="AM9" s="3">
        <f t="shared" si="1"/>
        <v>0</v>
      </c>
      <c r="AN9" s="3">
        <f>I9-$AF9</f>
        <v>0</v>
      </c>
    </row>
    <row r="10" spans="1:40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55"/>
      <c r="AG10" s="3"/>
      <c r="AH10" s="3"/>
      <c r="AI10" s="3">
        <f t="shared" si="0"/>
        <v>0</v>
      </c>
      <c r="AJ10" s="3">
        <f t="shared" si="0"/>
        <v>0</v>
      </c>
      <c r="AK10" s="3">
        <f t="shared" si="1"/>
        <v>0</v>
      </c>
      <c r="AL10" s="3">
        <f t="shared" si="1"/>
        <v>0</v>
      </c>
      <c r="AM10" s="3">
        <f t="shared" si="1"/>
        <v>0</v>
      </c>
      <c r="AN10" s="3">
        <f>I10-$AF10</f>
        <v>0</v>
      </c>
    </row>
    <row r="11" spans="1:40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55"/>
      <c r="AG11" s="3"/>
      <c r="AH11" s="3"/>
      <c r="AI11" s="3">
        <f t="shared" si="0"/>
        <v>0</v>
      </c>
      <c r="AJ11" s="3">
        <f t="shared" si="0"/>
        <v>0</v>
      </c>
      <c r="AK11" s="3">
        <f t="shared" si="1"/>
        <v>0</v>
      </c>
      <c r="AL11" s="3">
        <f t="shared" si="1"/>
        <v>0</v>
      </c>
      <c r="AM11" s="3">
        <f t="shared" si="1"/>
        <v>0</v>
      </c>
      <c r="AN11" s="3">
        <f>I11-$AF11</f>
        <v>0</v>
      </c>
    </row>
    <row r="12" spans="1:40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</row>
    <row r="13" spans="1:40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</row>
    <row r="14" spans="1:40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</row>
    <row r="15" spans="1:40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</row>
    <row r="16" spans="1:40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</row>
    <row r="17" spans="1:31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</row>
    <row r="18" spans="1:31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</row>
    <row r="19" spans="1:31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</row>
    <row r="20" spans="1:31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</row>
    <row r="21" spans="1:31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</row>
    <row r="22" spans="1:31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</row>
    <row r="23" spans="1:31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</row>
    <row r="24" spans="1:31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</row>
    <row r="25" spans="1:31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</row>
    <row r="26" spans="1:31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</row>
    <row r="27" spans="1:31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</row>
    <row r="28" spans="1:31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</row>
    <row r="29" spans="1:31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</row>
    <row r="30" spans="1:31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</row>
    <row r="31" spans="1:31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</row>
  </sheetData>
  <mergeCells count="36">
    <mergeCell ref="X5:X6"/>
    <mergeCell ref="K5:K6"/>
    <mergeCell ref="L5:L6"/>
    <mergeCell ref="M5:M6"/>
    <mergeCell ref="N5:N6"/>
    <mergeCell ref="R5:R6"/>
    <mergeCell ref="T5:T6"/>
    <mergeCell ref="Q5:Q6"/>
    <mergeCell ref="S5:S6"/>
    <mergeCell ref="U5:U6"/>
    <mergeCell ref="O5:O6"/>
    <mergeCell ref="P5:P6"/>
    <mergeCell ref="A4:AB4"/>
    <mergeCell ref="AC4:AD4"/>
    <mergeCell ref="A5:A6"/>
    <mergeCell ref="B5:B6"/>
    <mergeCell ref="C5:C6"/>
    <mergeCell ref="D5:D6"/>
    <mergeCell ref="E5:E6"/>
    <mergeCell ref="F5:F6"/>
    <mergeCell ref="G5:G6"/>
    <mergeCell ref="I5:I6"/>
    <mergeCell ref="Y5:AB5"/>
    <mergeCell ref="AC5:AD5"/>
    <mergeCell ref="H5:H6"/>
    <mergeCell ref="J5:J6"/>
    <mergeCell ref="V5:V6"/>
    <mergeCell ref="W5:W6"/>
    <mergeCell ref="A1:AB1"/>
    <mergeCell ref="G3:I3"/>
    <mergeCell ref="K3:L3"/>
    <mergeCell ref="M3:N3"/>
    <mergeCell ref="O3:Q3"/>
    <mergeCell ref="S3:U3"/>
    <mergeCell ref="V3:W3"/>
    <mergeCell ref="X3:Y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66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7" tint="0.39997558519241921"/>
    <pageSetUpPr fitToPage="1"/>
  </sheetPr>
  <dimension ref="A1:BB8"/>
  <sheetViews>
    <sheetView zoomScale="70" zoomScaleNormal="70" workbookViewId="0">
      <selection activeCell="B2" sqref="B2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2" width="6.875" customWidth="1"/>
    <col min="13" max="14" width="6.25" customWidth="1"/>
    <col min="15" max="16" width="5.75" customWidth="1"/>
    <col min="17" max="32" width="6.875" customWidth="1"/>
    <col min="33" max="33" width="11.5" customWidth="1"/>
    <col min="34" max="34" width="13.875" customWidth="1"/>
    <col min="35" max="35" width="13.625" customWidth="1"/>
    <col min="36" max="37" width="8.125" customWidth="1"/>
    <col min="38" max="39" width="5.75" style="3" customWidth="1"/>
    <col min="40" max="40" width="7.375" style="3" customWidth="1"/>
    <col min="43" max="43" width="7.75" customWidth="1"/>
    <col min="45" max="50" width="9" style="3"/>
    <col min="53" max="53" width="8.125" customWidth="1"/>
  </cols>
  <sheetData>
    <row r="1" spans="1:54" ht="64.150000000000006" customHeight="1" x14ac:dyDescent="0.3">
      <c r="A1" s="165" t="str">
        <f>정보!L2</f>
        <v>(2UP) 제작변환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"/>
      <c r="AK1" s="1"/>
      <c r="AL1" s="249" t="s">
        <v>75</v>
      </c>
      <c r="AM1" s="249"/>
      <c r="AN1" s="249"/>
      <c r="AS1" s="24"/>
    </row>
    <row r="2" spans="1:54" ht="28.5" customHeight="1" x14ac:dyDescent="0.3">
      <c r="A2" s="23" t="s">
        <v>85</v>
      </c>
      <c r="B2" s="49">
        <v>3</v>
      </c>
      <c r="C2" s="22" t="s">
        <v>86</v>
      </c>
      <c r="D2" s="48">
        <v>0</v>
      </c>
      <c r="E2" s="1"/>
      <c r="F2" s="1"/>
      <c r="G2" s="213" t="s">
        <v>308</v>
      </c>
      <c r="H2" s="213"/>
      <c r="I2" s="213"/>
      <c r="J2" s="262">
        <v>0</v>
      </c>
      <c r="K2" s="262"/>
      <c r="L2" s="262"/>
      <c r="M2" s="262"/>
      <c r="N2" s="349" t="s">
        <v>113</v>
      </c>
      <c r="O2" s="349"/>
      <c r="P2" s="349"/>
      <c r="Q2" s="349"/>
      <c r="R2" s="260">
        <v>1</v>
      </c>
      <c r="S2" s="260"/>
      <c r="T2" s="350" t="s">
        <v>103</v>
      </c>
      <c r="U2" s="351"/>
      <c r="V2" s="352"/>
      <c r="W2" s="108">
        <v>0</v>
      </c>
      <c r="X2" s="121"/>
      <c r="Y2" s="257" t="s">
        <v>88</v>
      </c>
      <c r="Z2" s="258"/>
      <c r="AA2" s="255">
        <v>0</v>
      </c>
      <c r="AB2" s="255"/>
      <c r="AC2" s="251" t="s">
        <v>82</v>
      </c>
      <c r="AD2" s="252"/>
      <c r="AE2" s="253">
        <v>0</v>
      </c>
      <c r="AF2" s="253"/>
      <c r="AG2" s="98" t="s">
        <v>114</v>
      </c>
      <c r="AH2" s="250">
        <v>3</v>
      </c>
      <c r="AI2" s="250"/>
      <c r="AJ2" s="1"/>
      <c r="AK2" s="1"/>
      <c r="AL2" s="249"/>
      <c r="AM2" s="249"/>
      <c r="AN2" s="249"/>
      <c r="AS2" s="24"/>
    </row>
    <row r="3" spans="1:54" ht="33" customHeight="1" x14ac:dyDescent="0.3">
      <c r="A3" s="33" t="str">
        <f>'2UP(실측)'!A3</f>
        <v>현장명 : 전남 목포 알파타워,   (재질) : HL 1.2T</v>
      </c>
      <c r="B3" s="2"/>
      <c r="C3" s="2"/>
      <c r="D3" s="2"/>
      <c r="E3" s="2"/>
      <c r="F3" s="2"/>
      <c r="G3" s="251" t="s">
        <v>76</v>
      </c>
      <c r="H3" s="251"/>
      <c r="I3" s="251"/>
      <c r="J3" s="263">
        <v>3</v>
      </c>
      <c r="K3" s="263"/>
      <c r="L3" s="263"/>
      <c r="M3" s="263"/>
      <c r="N3" s="251" t="s">
        <v>77</v>
      </c>
      <c r="O3" s="251"/>
      <c r="P3" s="264">
        <v>0</v>
      </c>
      <c r="Q3" s="264"/>
      <c r="R3" s="218" t="s">
        <v>227</v>
      </c>
      <c r="S3" s="218"/>
      <c r="T3" s="218"/>
      <c r="U3" s="266">
        <f>BA7</f>
        <v>1</v>
      </c>
      <c r="V3" s="266"/>
      <c r="W3" s="266"/>
      <c r="X3" s="122"/>
      <c r="Y3" s="261" t="s">
        <v>78</v>
      </c>
      <c r="Z3" s="261"/>
      <c r="AA3" s="254">
        <v>1</v>
      </c>
      <c r="AB3" s="254"/>
      <c r="AE3" s="167" t="s">
        <v>73</v>
      </c>
      <c r="AF3" s="167"/>
      <c r="AG3" s="106">
        <v>3</v>
      </c>
      <c r="AH3" s="4" t="s">
        <v>74</v>
      </c>
      <c r="AI3" s="138">
        <v>4</v>
      </c>
      <c r="AJ3" s="280" t="s">
        <v>331</v>
      </c>
      <c r="AK3" s="212"/>
      <c r="AL3" s="160" t="e">
        <f>AO7</f>
        <v>#DIV/0!</v>
      </c>
      <c r="AM3" s="25"/>
      <c r="AN3" s="24"/>
      <c r="AS3" s="24"/>
    </row>
    <row r="4" spans="1:54" ht="33" customHeight="1" x14ac:dyDescent="0.3">
      <c r="A4" s="353" t="str">
        <f>'2UP(실측)'!A4:AB4</f>
        <v>제작치수 반영 : JB/JD +(3 ),  늘어난치수K -(3),  C + (0),   U + (0), OP - (3),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75"/>
      <c r="Y4" s="354" t="s">
        <v>332</v>
      </c>
      <c r="Z4" s="355"/>
      <c r="AA4" s="356">
        <f>AC7</f>
        <v>-3</v>
      </c>
      <c r="AB4" s="357"/>
      <c r="AC4" s="75"/>
      <c r="AD4" s="75"/>
      <c r="AE4" s="75"/>
      <c r="AF4" s="75"/>
      <c r="AG4" s="9"/>
      <c r="AH4" s="222">
        <f ca="1">TODAY()</f>
        <v>45299</v>
      </c>
      <c r="AI4" s="162"/>
      <c r="AJ4" s="173" t="s">
        <v>215</v>
      </c>
      <c r="AK4" s="173"/>
      <c r="AL4" s="25"/>
      <c r="AM4" s="25"/>
      <c r="AN4" s="24"/>
      <c r="AS4" s="24"/>
      <c r="BA4" s="177" t="s">
        <v>253</v>
      </c>
    </row>
    <row r="5" spans="1:54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7" t="s">
        <v>60</v>
      </c>
      <c r="H5" s="267" t="s">
        <v>64</v>
      </c>
      <c r="I5" s="269" t="s">
        <v>65</v>
      </c>
      <c r="J5" s="269" t="s">
        <v>66</v>
      </c>
      <c r="K5" s="358" t="s">
        <v>278</v>
      </c>
      <c r="L5" s="358" t="s">
        <v>279</v>
      </c>
      <c r="M5" s="237" t="s">
        <v>62</v>
      </c>
      <c r="N5" s="237" t="s">
        <v>63</v>
      </c>
      <c r="O5" s="167" t="s">
        <v>8</v>
      </c>
      <c r="P5" s="167" t="s">
        <v>9</v>
      </c>
      <c r="Q5" s="167" t="s">
        <v>10</v>
      </c>
      <c r="R5" s="167" t="s">
        <v>11</v>
      </c>
      <c r="S5" s="348" t="s">
        <v>14</v>
      </c>
      <c r="T5" s="346" t="s">
        <v>282</v>
      </c>
      <c r="U5" s="346" t="s">
        <v>283</v>
      </c>
      <c r="V5" s="326" t="s">
        <v>129</v>
      </c>
      <c r="W5" s="326" t="s">
        <v>280</v>
      </c>
      <c r="X5" s="326" t="s">
        <v>281</v>
      </c>
      <c r="Y5" s="167" t="s">
        <v>19</v>
      </c>
      <c r="Z5" s="271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1"/>
      <c r="AG5" s="168" t="s">
        <v>25</v>
      </c>
      <c r="AH5" s="273" t="s">
        <v>34</v>
      </c>
      <c r="AI5" s="168" t="s">
        <v>35</v>
      </c>
      <c r="AJ5" s="171" t="s">
        <v>212</v>
      </c>
      <c r="AK5" s="172"/>
      <c r="AL5" s="177" t="s">
        <v>305</v>
      </c>
      <c r="AM5" s="177" t="s">
        <v>306</v>
      </c>
      <c r="AN5" s="272" t="s">
        <v>51</v>
      </c>
      <c r="AU5" s="178" t="s">
        <v>28</v>
      </c>
      <c r="AV5" s="178"/>
      <c r="AW5" s="178" t="s">
        <v>29</v>
      </c>
      <c r="AX5" s="178"/>
      <c r="BA5" s="178"/>
    </row>
    <row r="6" spans="1:54" ht="48" customHeight="1" x14ac:dyDescent="0.3">
      <c r="A6" s="167"/>
      <c r="B6" s="167"/>
      <c r="C6" s="167"/>
      <c r="D6" s="167"/>
      <c r="E6" s="167"/>
      <c r="F6" s="167"/>
      <c r="G6" s="268"/>
      <c r="H6" s="268"/>
      <c r="I6" s="270"/>
      <c r="J6" s="270"/>
      <c r="K6" s="359"/>
      <c r="L6" s="359"/>
      <c r="M6" s="238"/>
      <c r="N6" s="238"/>
      <c r="O6" s="167"/>
      <c r="P6" s="167"/>
      <c r="Q6" s="167"/>
      <c r="R6" s="167"/>
      <c r="S6" s="347"/>
      <c r="T6" s="347"/>
      <c r="U6" s="347"/>
      <c r="V6" s="327"/>
      <c r="W6" s="327"/>
      <c r="X6" s="327"/>
      <c r="Y6" s="167"/>
      <c r="Z6" s="271"/>
      <c r="AA6" s="238"/>
      <c r="AB6" s="238"/>
      <c r="AC6" s="8" t="s">
        <v>56</v>
      </c>
      <c r="AD6" s="8" t="s">
        <v>57</v>
      </c>
      <c r="AE6" s="8" t="s">
        <v>54</v>
      </c>
      <c r="AF6" s="8" t="s">
        <v>55</v>
      </c>
      <c r="AG6" s="167"/>
      <c r="AH6" s="274"/>
      <c r="AI6" s="167"/>
      <c r="AJ6" s="74" t="s">
        <v>213</v>
      </c>
      <c r="AK6" s="74" t="s">
        <v>214</v>
      </c>
      <c r="AL6" s="178"/>
      <c r="AM6" s="178"/>
      <c r="AN6" s="272"/>
      <c r="AO6" s="18" t="s">
        <v>80</v>
      </c>
      <c r="AP6" s="45" t="s">
        <v>110</v>
      </c>
      <c r="AQ6" s="47" t="s">
        <v>111</v>
      </c>
      <c r="AR6" s="19" t="s">
        <v>109</v>
      </c>
      <c r="AS6" s="3" t="s">
        <v>27</v>
      </c>
      <c r="AT6" s="3" t="s">
        <v>26</v>
      </c>
      <c r="AU6" s="3" t="s">
        <v>30</v>
      </c>
      <c r="AV6" s="3" t="s">
        <v>31</v>
      </c>
      <c r="AW6" s="3" t="s">
        <v>30</v>
      </c>
      <c r="AX6" s="3" t="s">
        <v>31</v>
      </c>
      <c r="AY6" s="7" t="s">
        <v>49</v>
      </c>
      <c r="AZ6" s="44" t="s">
        <v>112</v>
      </c>
      <c r="BA6" s="78" t="s">
        <v>225</v>
      </c>
      <c r="BB6" s="82" t="s">
        <v>233</v>
      </c>
    </row>
    <row r="7" spans="1:54" ht="26.25" customHeight="1" x14ac:dyDescent="0.3">
      <c r="A7" s="4">
        <f>'2UP(실측)'!A7</f>
        <v>0</v>
      </c>
      <c r="B7" s="4" t="str">
        <f>'2UP(실측)'!B7&amp;"F"</f>
        <v>F</v>
      </c>
      <c r="C7" s="4">
        <f>'2UP(실측)'!C7-UP2멍텅OP</f>
        <v>-3</v>
      </c>
      <c r="D7" s="4">
        <f>'2UP(실측)'!D7-UP2멍텅R</f>
        <v>0</v>
      </c>
      <c r="E7" s="4">
        <f>'2UP(실측)'!E7+MAX(AL7,AM7)+IF(BA7=1,AC7,0)+UP2멍텅JBJD늘림치수</f>
        <v>0</v>
      </c>
      <c r="F7" s="4">
        <f>'2UP(실측)'!F7+MAX(AL7,AM7)+IF(BA7=1,AE7,0)+UP2멍텅JBJD늘림치수</f>
        <v>0</v>
      </c>
      <c r="G7" s="4">
        <f>'2UP(실측)'!G7+AL7+IF(BA7=1,AC7,0)+UP2멍텅JB강제키움+UP2멍텅JBJD늘림치수</f>
        <v>0</v>
      </c>
      <c r="H7" s="4">
        <f>'2UP(실측)'!H7+AL7+IF(BA7=1,AD7,0)+UP2멍텅JB강제키움+UP2멍텅JBJD늘림치수-IF(UP2멍텅JB하부늘치=1,'2UP(실측)'!Y7-'2UP(실측)'!Z7,0)</f>
        <v>0</v>
      </c>
      <c r="I7" s="4">
        <f>'2UP(실측)'!I7+AM7+IF(BA7=1,AE7,0)+UP2멍텅JB강제키움+UP2멍텅JBJD늘림치수</f>
        <v>0</v>
      </c>
      <c r="J7" s="4">
        <f>'2UP(실측)'!J7+AM7+IF(BA7=1,AF7,0)+UP2멍텅JB강제키움+UP2멍텅JBJD늘림치수-IF(UP2멍텅JB하부늘치=1,'2UP(실측)'!AA7-'2UP(실측)'!AB7,0)</f>
        <v>0</v>
      </c>
      <c r="K7" s="103">
        <f>H7-G7</f>
        <v>0</v>
      </c>
      <c r="L7" s="103">
        <f>J7-I7</f>
        <v>0</v>
      </c>
      <c r="M7" s="4">
        <f t="shared" ref="M7:N7" si="0">O7+IF(소장="손상민",0,-1.5)</f>
        <v>-0.5</v>
      </c>
      <c r="N7" s="4">
        <f t="shared" si="0"/>
        <v>-0.5</v>
      </c>
      <c r="O7" s="4">
        <f>IF(Q7&gt;0,'2UP(실측)'!K7+UP2멍텅C늘림,'2UP(실측)'!K7+1)</f>
        <v>1</v>
      </c>
      <c r="P7" s="4">
        <f>IF(R7&gt;0,'2UP(실측)'!L7+UP2멍텅C늘림,'2UP(실측)'!L7+1)</f>
        <v>1</v>
      </c>
      <c r="Q7" s="4">
        <f>IF(ISNUMBER('2UP(실측)'!M7),'2UP(실측)'!M7+'2UP제작'!AL7+UP2멍텅A늘림,0)</f>
        <v>0</v>
      </c>
      <c r="R7" s="4">
        <f>IF(ISNUMBER('2UP(실측)'!N7),'2UP(실측)'!N7+'2UP제작'!AM7+UP2멍텅A늘림,0)</f>
        <v>0</v>
      </c>
      <c r="S7" s="4">
        <f>'2UP(실측)'!O7-UP2멍텅기둥차감</f>
        <v>0</v>
      </c>
      <c r="T7" s="4">
        <f>'2UP(실측)'!P7</f>
        <v>0</v>
      </c>
      <c r="U7" s="4">
        <f>'2UP(실측)'!Q7-UP2멍텅기둥차감</f>
        <v>0</v>
      </c>
      <c r="V7" s="4">
        <f>'2UP(실측)'!R7-UP2멍텅기둥차감</f>
        <v>0</v>
      </c>
      <c r="W7" s="4">
        <f>'2UP(실측)'!S7</f>
        <v>0</v>
      </c>
      <c r="X7" s="4">
        <f>'2UP(실측)'!T7-UP2멍텅기둥차감</f>
        <v>0</v>
      </c>
      <c r="Y7" s="4">
        <f>IF(ISNUMBER('2UP(실측)'!U7),IF(Z7&gt;0,'2UP(실측)'!U7+UP2멍텅U늘림,'2UP(실측)'!U7+1.2),0)</f>
        <v>0</v>
      </c>
      <c r="Z7" s="4">
        <f>IF(OR(UP2멍텅G="", UP2멍텅G=0),IF(ISNUMBER('2UP(실측)'!V7),IF('2UP(실측)'!V7+UP2멍텅A늘림+MAX(AL7,AM7)&gt;9,'2UP(실측)'!V7+UP2멍텅A늘림+MAX(AL7,AM7),'2UP(실측)'!V7+UP2멍텅A늘림+MAX(AL7,AM7)),0),UP2멍텅G)</f>
        <v>0</v>
      </c>
      <c r="AA7" s="4">
        <f>'2UP(실측)'!W7+뒷날개치수더함</f>
        <v>0</v>
      </c>
      <c r="AB7" s="4">
        <f>'2UP(실측)'!X7+뒷날개치수더함</f>
        <v>0</v>
      </c>
      <c r="AC7" s="13">
        <f>'2UP(실측)'!Y7-UP2멍텅늘치차감</f>
        <v>-3</v>
      </c>
      <c r="AD7" s="13">
        <f>IF(UP2멍텅JB하부늘치=1,AC7,'2UP(실측)'!Z7-UP2멍텅늘치차감)</f>
        <v>-3</v>
      </c>
      <c r="AE7" s="13">
        <f>'2UP(실측)'!AA7-UP2멍텅늘치차감</f>
        <v>-3</v>
      </c>
      <c r="AF7" s="13">
        <f>IF(UP2멍텅JB하부늘치=1,AE7,'2UP(실측)'!AB7-UP2멍텅늘치차감)</f>
        <v>-3</v>
      </c>
      <c r="AG7" s="11" t="str">
        <f t="shared" ref="AG7" si="1">AS7&amp;"*"&amp;AT7</f>
        <v>0*-2.4</v>
      </c>
      <c r="AH7" s="12" t="str">
        <f t="shared" ref="AH7" si="2">AV7&amp;"*"&amp;AU7</f>
        <v>0*-2.6</v>
      </c>
      <c r="AI7" s="10" t="str">
        <f t="shared" ref="AI7" si="3">AX7&amp;"*"&amp;AW7</f>
        <v>0*-2.6</v>
      </c>
      <c r="AJ7" s="31">
        <f>IF('2UP(실측)'!AC7&gt;0,'2UP(실측)'!AC7-'2UP(실측)'!W7+1.2,0)</f>
        <v>0</v>
      </c>
      <c r="AK7" s="31">
        <f>IF('2UP(실측)'!AD7&gt;0,'2UP(실측)'!AD7-'2UP(실측)'!W7+1.2,0)</f>
        <v>0</v>
      </c>
      <c r="AL7" s="3">
        <f>IF(AND(ISNUMBER('2UP(실측)'!N7),ISNUMBER('2UP(실측)'!M7)),IF(ISNUMBER('2UP(실측)'!M7),IF(9-MIN('2UP(실측)'!M7+UP2멍텅A늘림,'2UP(실측)'!N7+UP2멍텅A늘림)&lt;AN7,AN7,9-MIN('2UP(실측)'!M7+UP2멍텅A늘림,'2UP(실측)'!N7+UP2멍텅A늘림) + AN7 ),0),IF(ISNUMBER('2UP(실측)'!M7),IF(9-'2UP(실측)'!M7-UP2멍텅A늘림+AN7&lt;AN7,AN7,9-'2UP(실측)'!M7-UP2멍텅A늘림+AN7),0))</f>
        <v>0</v>
      </c>
      <c r="AM7" s="3">
        <f>IF(AND(ISNUMBER('2UP(실측)'!M7),ISNUMBER('2UP(실측)'!N7)),IF(ISNUMBER('2UP(실측)'!N7),IF(9-MIN('2UP(실측)'!N7+UP2멍텅A늘림,'2UP(실측)'!M7+UP2멍텅A늘림)&lt;AN7,AN7,9-MIN('2UP(실측)'!N7+UP2멍텅A늘림,'2UP(실측)'!M7+UP2멍텅A늘림) + AN7 ),0),IF(ISNUMBER('2UP(실측)'!N7),IF(9-'2UP(실측)'!N7-UP2멍텅A늘림+AN7&lt;AN7,AN7,9-'2UP(실측)'!N7-UP2멍텅A늘림+AN7),0))</f>
        <v>0</v>
      </c>
      <c r="AN7" s="16"/>
      <c r="AO7" s="17" t="e">
        <f>DEGREES(ATAN((D7-C7)/2/(E7)))</f>
        <v>#DIV/0!</v>
      </c>
      <c r="AP7" s="36" t="e">
        <f>E7-COS(RADIANS(AO7))*G7</f>
        <v>#DIV/0!</v>
      </c>
      <c r="AQ7" s="36" t="e">
        <f>F7-COS(RADIANS(AO7))*I7</f>
        <v>#DIV/0!</v>
      </c>
      <c r="AR7" s="46" t="str">
        <f>IF(E7+AC7&lt;&gt;F7+AE7,"JD비대칭","")</f>
        <v/>
      </c>
      <c r="AS7" s="3">
        <f>D7 + IF(Y7+Z7&gt;0, M7+N7,0)</f>
        <v>0</v>
      </c>
      <c r="AT7" s="3">
        <f>Y7+MAX(E7,F7)+AA7+Z7-1.2*$AG$3+IF(BA7=0,MAX(AC7,AE7))+IF(Z7=0,1.2,0)</f>
        <v>-2.3999999999999995</v>
      </c>
      <c r="AU7" s="3">
        <f>Q7+O7+MAX(G7,H7)+AB7-1.2*$AI$3+IF(BA7=0,MAX(AC7,AD7))+IF(Q7=0,1.2,0)</f>
        <v>-2.5999999999999996</v>
      </c>
      <c r="AV7" s="3">
        <f>MAX(S7,T7+U7)</f>
        <v>0</v>
      </c>
      <c r="AW7" s="3">
        <f>R7+P7+MAX(I7,J7)+AB7-1.2*$AI$3+IF(BA7=0,MAX(AE7,AF7))+IF(R7=0,1.2,0)</f>
        <v>-2.5999999999999996</v>
      </c>
      <c r="AX7" s="3">
        <f>MAX(V7,W7+X7)</f>
        <v>0</v>
      </c>
      <c r="AY7">
        <f>G7-E7</f>
        <v>0</v>
      </c>
      <c r="AZ7">
        <f>9-Z7</f>
        <v>9</v>
      </c>
      <c r="BA7" s="79">
        <f>IF(AND(MIN(AC7,AE7)&gt;=9.2,D7-C7&gt;15),0,1)</f>
        <v>1</v>
      </c>
      <c r="BB7" s="83">
        <f>IF(소장="손상민",'2UP(실측)'!AE7,0)</f>
        <v>0</v>
      </c>
    </row>
    <row r="8" spans="1:54" x14ac:dyDescent="0.3">
      <c r="AL8"/>
      <c r="AM8"/>
      <c r="AN8"/>
      <c r="AS8"/>
      <c r="AT8"/>
      <c r="AU8"/>
      <c r="AV8"/>
      <c r="AW8"/>
      <c r="AX8"/>
    </row>
  </sheetData>
  <mergeCells count="66">
    <mergeCell ref="AJ3:AK3"/>
    <mergeCell ref="A4:W4"/>
    <mergeCell ref="Y4:Z4"/>
    <mergeCell ref="AA4:AB4"/>
    <mergeCell ref="K5:K6"/>
    <mergeCell ref="L5:L6"/>
    <mergeCell ref="V5:V6"/>
    <mergeCell ref="X5:X6"/>
    <mergeCell ref="AJ5:AK5"/>
    <mergeCell ref="S5:S6"/>
    <mergeCell ref="T5:T6"/>
    <mergeCell ref="U5:U6"/>
    <mergeCell ref="W5:W6"/>
    <mergeCell ref="Y5:Y6"/>
    <mergeCell ref="Z5:Z6"/>
    <mergeCell ref="M5:M6"/>
    <mergeCell ref="N5:N6"/>
    <mergeCell ref="O5:O6"/>
    <mergeCell ref="P5:P6"/>
    <mergeCell ref="Q5:Q6"/>
    <mergeCell ref="AU5:AV5"/>
    <mergeCell ref="AW5:AX5"/>
    <mergeCell ref="AA5:AA6"/>
    <mergeCell ref="AB5:AB6"/>
    <mergeCell ref="AC5:AF5"/>
    <mergeCell ref="AG5:AG6"/>
    <mergeCell ref="AH5:AH6"/>
    <mergeCell ref="AI5:AI6"/>
    <mergeCell ref="AM5:AM6"/>
    <mergeCell ref="AH4:AI4"/>
    <mergeCell ref="AJ4:AK4"/>
    <mergeCell ref="BA4:BA5"/>
    <mergeCell ref="A5:A6"/>
    <mergeCell ref="B5:B6"/>
    <mergeCell ref="C5:C6"/>
    <mergeCell ref="D5:D6"/>
    <mergeCell ref="R5:R6"/>
    <mergeCell ref="E5:E6"/>
    <mergeCell ref="F5:F6"/>
    <mergeCell ref="G5:G6"/>
    <mergeCell ref="H5:H6"/>
    <mergeCell ref="I5:I6"/>
    <mergeCell ref="J5:J6"/>
    <mergeCell ref="AL5:AL6"/>
    <mergeCell ref="AN5:AN6"/>
    <mergeCell ref="U3:W3"/>
    <mergeCell ref="Y3:Z3"/>
    <mergeCell ref="AA3:AB3"/>
    <mergeCell ref="AE3:AF3"/>
    <mergeCell ref="G3:I3"/>
    <mergeCell ref="J3:M3"/>
    <mergeCell ref="N3:O3"/>
    <mergeCell ref="P3:Q3"/>
    <mergeCell ref="R3:T3"/>
    <mergeCell ref="A1:AI1"/>
    <mergeCell ref="AL1:AN2"/>
    <mergeCell ref="G2:I2"/>
    <mergeCell ref="J2:M2"/>
    <mergeCell ref="N2:Q2"/>
    <mergeCell ref="R2:S2"/>
    <mergeCell ref="Y2:Z2"/>
    <mergeCell ref="AA2:AB2"/>
    <mergeCell ref="AC2:AD2"/>
    <mergeCell ref="T2:V2"/>
    <mergeCell ref="AE2:AF2"/>
    <mergeCell ref="AH2:AI2"/>
  </mergeCells>
  <phoneticPr fontId="1" type="noConversion"/>
  <conditionalFormatting sqref="AC7:AF7">
    <cfRule type="expression" dxfId="9" priority="45">
      <formula>$BA7</formula>
    </cfRule>
  </conditionalFormatting>
  <conditionalFormatting sqref="E7">
    <cfRule type="cellIs" dxfId="8" priority="6" operator="notEqual">
      <formula>F7</formula>
    </cfRule>
  </conditionalFormatting>
  <conditionalFormatting sqref="F7">
    <cfRule type="cellIs" dxfId="7" priority="5" operator="notEqual">
      <formula>E7</formula>
    </cfRule>
  </conditionalFormatting>
  <conditionalFormatting sqref="G7">
    <cfRule type="cellIs" dxfId="6" priority="4" operator="notEqual">
      <formula>H7</formula>
    </cfRule>
  </conditionalFormatting>
  <conditionalFormatting sqref="H7">
    <cfRule type="cellIs" dxfId="5" priority="3" operator="notEqual">
      <formula>G7</formula>
    </cfRule>
  </conditionalFormatting>
  <conditionalFormatting sqref="I7">
    <cfRule type="cellIs" dxfId="4" priority="2" operator="notEqual">
      <formula>J7</formula>
    </cfRule>
  </conditionalFormatting>
  <conditionalFormatting sqref="J7">
    <cfRule type="cellIs" dxfId="3" priority="1" operator="notEqual">
      <formula>I7</formula>
    </cfRule>
  </conditionalFormatting>
  <pageMargins left="0.23622047244094491" right="0.23622047244094491" top="0.74803149606299213" bottom="0.74803149606299213" header="0.31496062992125984" footer="0.31496062992125984"/>
  <pageSetup paperSize="9" scale="40" orientation="landscape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UP3Normalsheet">
    <pageSetUpPr fitToPage="1"/>
  </sheetPr>
  <dimension ref="A1:AT31"/>
  <sheetViews>
    <sheetView zoomScale="85" zoomScaleNormal="85" workbookViewId="0">
      <selection sqref="A1:AH1"/>
    </sheetView>
  </sheetViews>
  <sheetFormatPr defaultRowHeight="16.5" x14ac:dyDescent="0.3"/>
  <cols>
    <col min="1" max="2" width="6.875" customWidth="1"/>
    <col min="3" max="4" width="9.875" customWidth="1"/>
    <col min="5" max="34" width="6.875" customWidth="1"/>
    <col min="35" max="36" width="7.75" customWidth="1"/>
    <col min="37" max="37" width="13.75" customWidth="1"/>
    <col min="38" max="46" width="5.625" customWidth="1"/>
  </cols>
  <sheetData>
    <row r="1" spans="1:46" ht="64.150000000000006" customHeight="1" x14ac:dyDescent="0.3">
      <c r="A1" s="360" t="str">
        <f>정보!K3</f>
        <v>(3UP) 실측서 ( 전남 목포 알파타워 ) _이만희소장</v>
      </c>
      <c r="B1" s="360"/>
      <c r="C1" s="360"/>
      <c r="D1" s="360"/>
      <c r="E1" s="360"/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360"/>
      <c r="V1" s="360"/>
      <c r="W1" s="360"/>
      <c r="X1" s="360"/>
      <c r="Y1" s="360"/>
      <c r="Z1" s="360"/>
      <c r="AA1" s="360"/>
      <c r="AB1" s="360"/>
      <c r="AC1" s="360"/>
      <c r="AD1" s="360"/>
      <c r="AE1" s="360"/>
      <c r="AF1" s="360"/>
      <c r="AG1" s="360"/>
      <c r="AH1" s="360"/>
      <c r="AI1" s="1"/>
      <c r="AJ1" s="1"/>
      <c r="AK1" s="1"/>
    </row>
    <row r="2" spans="1:46" ht="15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</row>
    <row r="3" spans="1:46" ht="33" customHeight="1" x14ac:dyDescent="0.3">
      <c r="A3" s="5" t="str">
        <f>"현장명 : " &amp; 정보!B1 &amp; ",   (재질) : " &amp; 정보!B8</f>
        <v>현장명 : 전남 목포 알파타워,   (재질) : HL 1.2T</v>
      </c>
      <c r="B3" s="2"/>
      <c r="C3" s="2"/>
      <c r="D3" s="2"/>
      <c r="E3" s="2"/>
      <c r="F3" s="2"/>
      <c r="G3" s="248"/>
      <c r="H3" s="248"/>
      <c r="I3" s="248"/>
      <c r="J3" s="248"/>
      <c r="K3" s="23"/>
      <c r="L3" s="23"/>
      <c r="M3" s="245"/>
      <c r="N3" s="245"/>
      <c r="O3" s="246"/>
      <c r="P3" s="246"/>
      <c r="Q3" s="247"/>
      <c r="R3" s="247"/>
      <c r="S3" s="247"/>
      <c r="T3" s="247"/>
      <c r="U3" s="120"/>
      <c r="V3" s="242" t="s">
        <v>97</v>
      </c>
      <c r="W3" s="242"/>
      <c r="X3" s="242"/>
      <c r="Y3" s="242"/>
      <c r="Z3" s="243"/>
      <c r="AA3" s="243"/>
      <c r="AB3" s="244"/>
      <c r="AC3" s="244"/>
    </row>
    <row r="4" spans="1:46" ht="33" customHeight="1" x14ac:dyDescent="0.3">
      <c r="A4" s="163" t="str">
        <f>정보!B18</f>
        <v>제작치수 반영 : JB/JD +(3 ),  늘어난치수K -(3),  C + (0),   U + (0), OP - (2), R - (0),  기둥차감 - (0), A + (1)</v>
      </c>
      <c r="B4" s="163"/>
      <c r="C4" s="163"/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3"/>
      <c r="AE4" s="163"/>
      <c r="AF4" s="163"/>
      <c r="AG4" s="163"/>
      <c r="AH4" s="163"/>
      <c r="AI4" s="173" t="s">
        <v>215</v>
      </c>
      <c r="AJ4" s="173"/>
      <c r="AK4" s="81" t="s">
        <v>234</v>
      </c>
    </row>
    <row r="5" spans="1:46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7" t="s">
        <v>4</v>
      </c>
      <c r="F5" s="167" t="s">
        <v>5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167" t="s">
        <v>8</v>
      </c>
      <c r="N5" s="167" t="s">
        <v>9</v>
      </c>
      <c r="O5" s="167" t="s">
        <v>10</v>
      </c>
      <c r="P5" s="167" t="s">
        <v>11</v>
      </c>
      <c r="Q5" s="348" t="s">
        <v>14</v>
      </c>
      <c r="R5" s="346" t="s">
        <v>282</v>
      </c>
      <c r="S5" s="346" t="s">
        <v>286</v>
      </c>
      <c r="T5" s="346" t="s">
        <v>283</v>
      </c>
      <c r="U5" s="326" t="s">
        <v>129</v>
      </c>
      <c r="V5" s="326" t="s">
        <v>280</v>
      </c>
      <c r="W5" s="326" t="s">
        <v>287</v>
      </c>
      <c r="X5" s="326" t="s">
        <v>281</v>
      </c>
      <c r="Y5" s="167" t="s">
        <v>19</v>
      </c>
      <c r="Z5" s="167" t="s">
        <v>20</v>
      </c>
      <c r="AA5" s="237" t="s">
        <v>22</v>
      </c>
      <c r="AB5" s="237" t="s">
        <v>23</v>
      </c>
      <c r="AC5" s="239" t="s">
        <v>21</v>
      </c>
      <c r="AD5" s="240"/>
      <c r="AE5" s="240"/>
      <c r="AF5" s="240"/>
      <c r="AG5" s="240"/>
      <c r="AH5" s="241"/>
      <c r="AI5" s="171" t="s">
        <v>212</v>
      </c>
      <c r="AJ5" s="172"/>
      <c r="AK5" s="80" t="s">
        <v>231</v>
      </c>
    </row>
    <row r="6" spans="1:46" ht="47.25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167"/>
      <c r="N6" s="167"/>
      <c r="O6" s="167"/>
      <c r="P6" s="167"/>
      <c r="Q6" s="347"/>
      <c r="R6" s="347"/>
      <c r="S6" s="347"/>
      <c r="T6" s="347"/>
      <c r="U6" s="327"/>
      <c r="V6" s="327"/>
      <c r="W6" s="327"/>
      <c r="X6" s="327"/>
      <c r="Y6" s="167"/>
      <c r="Z6" s="167"/>
      <c r="AA6" s="238"/>
      <c r="AB6" s="238"/>
      <c r="AC6" s="8" t="s">
        <v>52</v>
      </c>
      <c r="AD6" s="8" t="s">
        <v>303</v>
      </c>
      <c r="AE6" s="8" t="s">
        <v>53</v>
      </c>
      <c r="AF6" s="8" t="s">
        <v>54</v>
      </c>
      <c r="AG6" s="8" t="s">
        <v>304</v>
      </c>
      <c r="AH6" s="8" t="s">
        <v>55</v>
      </c>
      <c r="AI6" s="74" t="s">
        <v>213</v>
      </c>
      <c r="AJ6" s="74" t="s">
        <v>214</v>
      </c>
      <c r="AK6" s="80" t="s">
        <v>232</v>
      </c>
      <c r="AL6" s="54" t="s">
        <v>115</v>
      </c>
    </row>
    <row r="7" spans="1:46" ht="27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55"/>
      <c r="AM7" s="3">
        <f>AC7+$AL7</f>
        <v>0</v>
      </c>
      <c r="AN7" s="3">
        <f t="shared" ref="AN7:AO7" si="0">AE7+$AL7</f>
        <v>0</v>
      </c>
      <c r="AO7" s="3">
        <f t="shared" si="0"/>
        <v>0</v>
      </c>
      <c r="AP7" s="3">
        <f>AH7+$AL7</f>
        <v>0</v>
      </c>
      <c r="AQ7" s="3">
        <f t="shared" ref="AQ7:AS7" si="1">E7-$AL7</f>
        <v>0</v>
      </c>
      <c r="AR7" s="3">
        <f t="shared" si="1"/>
        <v>0</v>
      </c>
      <c r="AS7" s="3">
        <f t="shared" si="1"/>
        <v>0</v>
      </c>
      <c r="AT7" s="3">
        <f>J7-$AL7</f>
        <v>0</v>
      </c>
    </row>
    <row r="8" spans="1:46" ht="27" customHeight="1" x14ac:dyDescent="0.3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55"/>
      <c r="AM8" s="3"/>
      <c r="AN8" s="3"/>
      <c r="AO8" s="3"/>
      <c r="AP8" s="3"/>
      <c r="AQ8" s="3"/>
      <c r="AR8" s="3"/>
      <c r="AS8" s="3"/>
      <c r="AT8" s="3"/>
    </row>
    <row r="9" spans="1:46" ht="27" customHeight="1" x14ac:dyDescent="0.3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55"/>
      <c r="AM9" s="3"/>
      <c r="AN9" s="3"/>
      <c r="AO9" s="3"/>
      <c r="AP9" s="3"/>
      <c r="AQ9" s="3"/>
      <c r="AR9" s="3"/>
      <c r="AS9" s="3"/>
      <c r="AT9" s="3"/>
    </row>
    <row r="10" spans="1:46" ht="27" customHeight="1" x14ac:dyDescent="0.3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55"/>
      <c r="AM10" s="3"/>
      <c r="AN10" s="3"/>
      <c r="AO10" s="3"/>
      <c r="AP10" s="3"/>
      <c r="AQ10" s="3"/>
      <c r="AR10" s="3"/>
      <c r="AS10" s="3"/>
      <c r="AT10" s="3"/>
    </row>
    <row r="11" spans="1:46" ht="27" customHeigh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55"/>
      <c r="AM11" s="3"/>
      <c r="AN11" s="3"/>
      <c r="AO11" s="3"/>
      <c r="AP11" s="3"/>
      <c r="AQ11" s="3"/>
      <c r="AR11" s="3"/>
      <c r="AS11" s="3"/>
      <c r="AT11" s="3"/>
    </row>
    <row r="12" spans="1:46" ht="27" customHeight="1" x14ac:dyDescent="0.3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</row>
    <row r="13" spans="1:46" ht="27" customHeigh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</row>
    <row r="14" spans="1:46" ht="27" customHeight="1" x14ac:dyDescent="0.3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</row>
    <row r="15" spans="1:46" ht="27" customHeight="1" x14ac:dyDescent="0.3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</row>
    <row r="16" spans="1:46" ht="27" customHeight="1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</row>
    <row r="17" spans="1:37" ht="27" customHeight="1" x14ac:dyDescent="0.3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</row>
    <row r="18" spans="1:37" ht="27" customHeight="1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</row>
    <row r="19" spans="1:37" ht="27" customHeight="1" x14ac:dyDescent="0.3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</row>
    <row r="20" spans="1:37" ht="27" customHeight="1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</row>
    <row r="21" spans="1:37" ht="27" customHeight="1" x14ac:dyDescent="0.3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</row>
    <row r="22" spans="1:37" ht="27" customHeight="1" x14ac:dyDescent="0.3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</row>
    <row r="23" spans="1:37" ht="27" customHeigh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</row>
    <row r="24" spans="1:37" ht="27" customHeight="1" x14ac:dyDescent="0.3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</row>
    <row r="25" spans="1:37" ht="27" customHeight="1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</row>
    <row r="26" spans="1:37" ht="27" customHeight="1" x14ac:dyDescent="0.3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</row>
    <row r="27" spans="1:37" ht="27" customHeight="1" x14ac:dyDescent="0.3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</row>
    <row r="28" spans="1:37" ht="27" customHeight="1" x14ac:dyDescent="0.3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</row>
    <row r="29" spans="1:37" ht="27" customHeight="1" x14ac:dyDescent="0.3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</row>
    <row r="30" spans="1:37" ht="27" customHeight="1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</row>
    <row r="31" spans="1:37" ht="27" customHeight="1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</row>
  </sheetData>
  <mergeCells count="40">
    <mergeCell ref="L5:L6"/>
    <mergeCell ref="M5:M6"/>
    <mergeCell ref="N5:N6"/>
    <mergeCell ref="O5:O6"/>
    <mergeCell ref="AI5:AJ5"/>
    <mergeCell ref="Q5:Q6"/>
    <mergeCell ref="R5:R6"/>
    <mergeCell ref="T5:T6"/>
    <mergeCell ref="U5:U6"/>
    <mergeCell ref="V5:V6"/>
    <mergeCell ref="X5:X6"/>
    <mergeCell ref="Y5:Y6"/>
    <mergeCell ref="Z5:Z6"/>
    <mergeCell ref="AA5:AA6"/>
    <mergeCell ref="AB5:AB6"/>
    <mergeCell ref="AC5:AH5"/>
    <mergeCell ref="P5:P6"/>
    <mergeCell ref="A4:AH4"/>
    <mergeCell ref="AI4:AJ4"/>
    <mergeCell ref="A5:A6"/>
    <mergeCell ref="B5:B6"/>
    <mergeCell ref="C5:C6"/>
    <mergeCell ref="D5:D6"/>
    <mergeCell ref="E5:E6"/>
    <mergeCell ref="F5:F6"/>
    <mergeCell ref="G5:G6"/>
    <mergeCell ref="I5:I6"/>
    <mergeCell ref="H5:H6"/>
    <mergeCell ref="K5:K6"/>
    <mergeCell ref="S5:S6"/>
    <mergeCell ref="W5:W6"/>
    <mergeCell ref="J5:J6"/>
    <mergeCell ref="A1:AH1"/>
    <mergeCell ref="G3:J3"/>
    <mergeCell ref="M3:N3"/>
    <mergeCell ref="O3:P3"/>
    <mergeCell ref="Q3:T3"/>
    <mergeCell ref="V3:Y3"/>
    <mergeCell ref="Z3:AA3"/>
    <mergeCell ref="AB3:AC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3">
    <tabColor theme="7" tint="-0.249977111117893"/>
    <pageSetUpPr fitToPage="1"/>
  </sheetPr>
  <dimension ref="A1:BH7"/>
  <sheetViews>
    <sheetView zoomScale="70" zoomScaleNormal="70" workbookViewId="0">
      <selection activeCell="AC15" sqref="AC15"/>
    </sheetView>
  </sheetViews>
  <sheetFormatPr defaultRowHeight="16.5" x14ac:dyDescent="0.3"/>
  <cols>
    <col min="1" max="1" width="6.875" customWidth="1"/>
    <col min="2" max="2" width="5.875" customWidth="1"/>
    <col min="3" max="3" width="8.25" customWidth="1"/>
    <col min="4" max="4" width="8.5" customWidth="1"/>
    <col min="5" max="14" width="6.875" customWidth="1"/>
    <col min="15" max="16" width="6.25" customWidth="1"/>
    <col min="17" max="18" width="5.75" customWidth="1"/>
    <col min="19" max="20" width="6.875" customWidth="1"/>
    <col min="21" max="28" width="6.25" customWidth="1"/>
    <col min="29" max="38" width="6.875" customWidth="1"/>
    <col min="39" max="39" width="11.5" customWidth="1"/>
    <col min="40" max="40" width="13.875" customWidth="1"/>
    <col min="41" max="41" width="13.625" customWidth="1"/>
    <col min="42" max="43" width="8.125" customWidth="1"/>
    <col min="44" max="45" width="5.75" style="3" customWidth="1"/>
    <col min="46" max="46" width="7.375" style="3" customWidth="1"/>
    <col min="49" max="49" width="7.75" customWidth="1"/>
    <col min="51" max="56" width="9" style="3"/>
    <col min="59" max="59" width="8.125" customWidth="1"/>
  </cols>
  <sheetData>
    <row r="1" spans="1:60" ht="64.150000000000006" customHeight="1" x14ac:dyDescent="0.3">
      <c r="A1" s="165" t="str">
        <f>정보!L3</f>
        <v>(3UP) 제작변환 ( 전남 목포 알파타워 ) _이만희소장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  <c r="AN1" s="165"/>
      <c r="AO1" s="165"/>
      <c r="AP1" s="1"/>
      <c r="AQ1" s="1"/>
      <c r="AR1" s="249" t="s">
        <v>75</v>
      </c>
      <c r="AS1" s="249"/>
      <c r="AT1" s="249"/>
      <c r="AY1" s="24"/>
    </row>
    <row r="2" spans="1:60" ht="28.5" customHeight="1" x14ac:dyDescent="0.3">
      <c r="A2" s="23" t="s">
        <v>85</v>
      </c>
      <c r="B2" s="49">
        <v>2</v>
      </c>
      <c r="C2" s="22" t="s">
        <v>86</v>
      </c>
      <c r="D2" s="48">
        <v>0</v>
      </c>
      <c r="E2" s="1"/>
      <c r="F2" s="1"/>
      <c r="G2" s="354" t="s">
        <v>309</v>
      </c>
      <c r="H2" s="363"/>
      <c r="I2" s="363"/>
      <c r="J2" s="363"/>
      <c r="K2" s="355"/>
      <c r="L2" s="262">
        <v>0</v>
      </c>
      <c r="M2" s="262"/>
      <c r="N2" s="262"/>
      <c r="O2" s="262"/>
      <c r="P2" s="259" t="s">
        <v>113</v>
      </c>
      <c r="Q2" s="259"/>
      <c r="R2" s="259"/>
      <c r="S2" s="259"/>
      <c r="T2" s="260">
        <v>1</v>
      </c>
      <c r="U2" s="260"/>
      <c r="V2" s="257" t="s">
        <v>103</v>
      </c>
      <c r="W2" s="257"/>
      <c r="X2" s="258"/>
      <c r="Y2" s="364">
        <v>0</v>
      </c>
      <c r="Z2" s="365"/>
      <c r="AA2" s="361"/>
      <c r="AB2" s="362"/>
      <c r="AC2" s="257" t="s">
        <v>88</v>
      </c>
      <c r="AD2" s="258"/>
      <c r="AE2" s="255">
        <v>0</v>
      </c>
      <c r="AF2" s="255"/>
      <c r="AG2" s="251" t="s">
        <v>82</v>
      </c>
      <c r="AH2" s="251"/>
      <c r="AI2" s="252"/>
      <c r="AJ2" s="253">
        <v>0</v>
      </c>
      <c r="AK2" s="253"/>
      <c r="AL2" s="253"/>
      <c r="AM2" s="98" t="s">
        <v>114</v>
      </c>
      <c r="AN2" s="250">
        <v>3</v>
      </c>
      <c r="AO2" s="250"/>
      <c r="AP2" s="1"/>
      <c r="AQ2" s="1"/>
      <c r="AR2" s="249"/>
      <c r="AS2" s="249"/>
      <c r="AT2" s="249"/>
      <c r="AY2" s="24"/>
    </row>
    <row r="3" spans="1:60" ht="33" customHeight="1" x14ac:dyDescent="0.3">
      <c r="A3" s="33" t="str">
        <f>'3UP(실측)'!A3</f>
        <v>현장명 : 전남 목포 알파타워,   (재질) : HL 1.2T</v>
      </c>
      <c r="B3" s="2"/>
      <c r="C3" s="2"/>
      <c r="D3" s="2"/>
      <c r="E3" s="2"/>
      <c r="F3" s="2"/>
      <c r="G3" s="350" t="s">
        <v>76</v>
      </c>
      <c r="H3" s="368"/>
      <c r="I3" s="368"/>
      <c r="J3" s="368"/>
      <c r="K3" s="369"/>
      <c r="L3" s="263">
        <v>3</v>
      </c>
      <c r="M3" s="263"/>
      <c r="N3" s="263"/>
      <c r="O3" s="263"/>
      <c r="P3" s="251" t="s">
        <v>77</v>
      </c>
      <c r="Q3" s="251"/>
      <c r="R3" s="264">
        <v>0</v>
      </c>
      <c r="S3" s="264"/>
      <c r="T3" s="370" t="s">
        <v>289</v>
      </c>
      <c r="U3" s="371"/>
      <c r="V3" s="371"/>
      <c r="W3" s="372"/>
      <c r="X3" s="266">
        <f>BG7</f>
        <v>1</v>
      </c>
      <c r="Y3" s="266"/>
      <c r="Z3" s="266"/>
      <c r="AA3" s="366"/>
      <c r="AB3" s="367"/>
      <c r="AC3" s="261" t="s">
        <v>78</v>
      </c>
      <c r="AD3" s="261"/>
      <c r="AE3" s="254">
        <v>1</v>
      </c>
      <c r="AF3" s="254"/>
      <c r="AJ3" s="167" t="s">
        <v>73</v>
      </c>
      <c r="AK3" s="167"/>
      <c r="AL3" s="167"/>
      <c r="AM3" s="106">
        <v>3</v>
      </c>
      <c r="AN3" s="4" t="s">
        <v>74</v>
      </c>
      <c r="AO3" s="138">
        <v>4</v>
      </c>
      <c r="AP3" s="373" t="s">
        <v>327</v>
      </c>
      <c r="AQ3" s="374"/>
      <c r="AR3" s="160" t="e">
        <f>AU7</f>
        <v>#DIV/0!</v>
      </c>
      <c r="AS3" s="25"/>
      <c r="AT3" s="24"/>
      <c r="AY3" s="24"/>
    </row>
    <row r="4" spans="1:60" ht="33" customHeight="1" x14ac:dyDescent="0.3">
      <c r="A4" s="353" t="str">
        <f>'3UP(실측)'!A4:AH4</f>
        <v>제작치수 반영 : JB/JD +(3 ),  늘어난치수K -(3),  C + (0),   U + (0), OP - (2), R - (0),  기둥차감 - (0), A + (1)</v>
      </c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/>
      <c r="M4" s="353"/>
      <c r="N4" s="353"/>
      <c r="O4" s="353"/>
      <c r="P4" s="353"/>
      <c r="Q4" s="353"/>
      <c r="R4" s="353"/>
      <c r="S4" s="353"/>
      <c r="T4" s="353"/>
      <c r="U4" s="353"/>
      <c r="V4" s="353"/>
      <c r="W4" s="353"/>
      <c r="X4" s="353"/>
      <c r="Y4" s="353"/>
      <c r="Z4" s="353"/>
      <c r="AA4" s="75"/>
      <c r="AB4" s="75"/>
      <c r="AC4" s="356" t="s">
        <v>333</v>
      </c>
      <c r="AD4" s="277"/>
      <c r="AE4" s="277">
        <f>AG7</f>
        <v>-3</v>
      </c>
      <c r="AF4" s="357"/>
      <c r="AG4" s="75"/>
      <c r="AH4" s="75"/>
      <c r="AI4" s="75"/>
      <c r="AJ4" s="75"/>
      <c r="AK4" s="75"/>
      <c r="AL4" s="75"/>
      <c r="AM4" s="9"/>
      <c r="AN4" s="222">
        <f ca="1">TODAY()</f>
        <v>45299</v>
      </c>
      <c r="AO4" s="162"/>
      <c r="AP4" s="173" t="s">
        <v>215</v>
      </c>
      <c r="AQ4" s="173"/>
      <c r="AR4" s="25"/>
      <c r="AS4" s="25"/>
      <c r="AT4" s="24"/>
      <c r="AY4" s="24"/>
      <c r="BG4" s="177" t="s">
        <v>253</v>
      </c>
    </row>
    <row r="5" spans="1:60" ht="25.9" customHeight="1" x14ac:dyDescent="0.3">
      <c r="A5" s="167" t="s">
        <v>0</v>
      </c>
      <c r="B5" s="167" t="s">
        <v>1</v>
      </c>
      <c r="C5" s="167" t="s">
        <v>3</v>
      </c>
      <c r="D5" s="167" t="s">
        <v>18</v>
      </c>
      <c r="E5" s="168" t="s">
        <v>58</v>
      </c>
      <c r="F5" s="168" t="s">
        <v>59</v>
      </c>
      <c r="G5" s="269" t="s">
        <v>274</v>
      </c>
      <c r="H5" s="269" t="s">
        <v>284</v>
      </c>
      <c r="I5" s="269" t="s">
        <v>275</v>
      </c>
      <c r="J5" s="326" t="s">
        <v>276</v>
      </c>
      <c r="K5" s="326" t="s">
        <v>285</v>
      </c>
      <c r="L5" s="326" t="s">
        <v>277</v>
      </c>
      <c r="M5" s="358" t="s">
        <v>278</v>
      </c>
      <c r="N5" s="358" t="s">
        <v>288</v>
      </c>
      <c r="O5" s="237" t="s">
        <v>62</v>
      </c>
      <c r="P5" s="237" t="s">
        <v>63</v>
      </c>
      <c r="Q5" s="167" t="s">
        <v>8</v>
      </c>
      <c r="R5" s="167" t="s">
        <v>9</v>
      </c>
      <c r="S5" s="167" t="s">
        <v>10</v>
      </c>
      <c r="T5" s="167" t="s">
        <v>11</v>
      </c>
      <c r="U5" s="348" t="s">
        <v>14</v>
      </c>
      <c r="V5" s="346" t="s">
        <v>282</v>
      </c>
      <c r="W5" s="346" t="s">
        <v>286</v>
      </c>
      <c r="X5" s="346" t="s">
        <v>283</v>
      </c>
      <c r="Y5" s="326" t="s">
        <v>129</v>
      </c>
      <c r="Z5" s="326" t="s">
        <v>280</v>
      </c>
      <c r="AA5" s="326" t="s">
        <v>287</v>
      </c>
      <c r="AB5" s="326" t="s">
        <v>281</v>
      </c>
      <c r="AC5" s="167" t="s">
        <v>19</v>
      </c>
      <c r="AD5" s="271" t="s">
        <v>20</v>
      </c>
      <c r="AE5" s="237" t="s">
        <v>22</v>
      </c>
      <c r="AF5" s="237" t="s">
        <v>23</v>
      </c>
      <c r="AG5" s="239" t="s">
        <v>21</v>
      </c>
      <c r="AH5" s="240"/>
      <c r="AI5" s="240"/>
      <c r="AJ5" s="240"/>
      <c r="AK5" s="240"/>
      <c r="AL5" s="241"/>
      <c r="AM5" s="168" t="s">
        <v>25</v>
      </c>
      <c r="AN5" s="273" t="s">
        <v>34</v>
      </c>
      <c r="AO5" s="168" t="s">
        <v>35</v>
      </c>
      <c r="AP5" s="171" t="s">
        <v>212</v>
      </c>
      <c r="AQ5" s="172"/>
      <c r="AR5" s="177" t="s">
        <v>305</v>
      </c>
      <c r="AS5" s="177" t="s">
        <v>306</v>
      </c>
      <c r="AT5" s="272" t="s">
        <v>51</v>
      </c>
      <c r="BA5" s="178" t="s">
        <v>28</v>
      </c>
      <c r="BB5" s="178"/>
      <c r="BC5" s="178" t="s">
        <v>29</v>
      </c>
      <c r="BD5" s="178"/>
      <c r="BG5" s="178"/>
    </row>
    <row r="6" spans="1:60" ht="48" customHeight="1" x14ac:dyDescent="0.3">
      <c r="A6" s="167"/>
      <c r="B6" s="167"/>
      <c r="C6" s="167"/>
      <c r="D6" s="167"/>
      <c r="E6" s="167"/>
      <c r="F6" s="167"/>
      <c r="G6" s="270"/>
      <c r="H6" s="270"/>
      <c r="I6" s="270"/>
      <c r="J6" s="327"/>
      <c r="K6" s="327"/>
      <c r="L6" s="327"/>
      <c r="M6" s="359"/>
      <c r="N6" s="359"/>
      <c r="O6" s="238"/>
      <c r="P6" s="238"/>
      <c r="Q6" s="167"/>
      <c r="R6" s="167"/>
      <c r="S6" s="167"/>
      <c r="T6" s="167"/>
      <c r="U6" s="347"/>
      <c r="V6" s="347"/>
      <c r="W6" s="347"/>
      <c r="X6" s="347"/>
      <c r="Y6" s="327"/>
      <c r="Z6" s="327"/>
      <c r="AA6" s="327"/>
      <c r="AB6" s="327"/>
      <c r="AC6" s="167"/>
      <c r="AD6" s="271"/>
      <c r="AE6" s="238"/>
      <c r="AF6" s="238"/>
      <c r="AG6" s="8" t="s">
        <v>56</v>
      </c>
      <c r="AH6" s="8" t="s">
        <v>303</v>
      </c>
      <c r="AI6" s="8" t="s">
        <v>57</v>
      </c>
      <c r="AJ6" s="8" t="s">
        <v>54</v>
      </c>
      <c r="AK6" s="8" t="s">
        <v>304</v>
      </c>
      <c r="AL6" s="8" t="s">
        <v>55</v>
      </c>
      <c r="AM6" s="167"/>
      <c r="AN6" s="274"/>
      <c r="AO6" s="167"/>
      <c r="AP6" s="74" t="s">
        <v>213</v>
      </c>
      <c r="AQ6" s="74" t="s">
        <v>214</v>
      </c>
      <c r="AR6" s="178"/>
      <c r="AS6" s="178"/>
      <c r="AT6" s="272"/>
      <c r="AU6" s="18" t="s">
        <v>80</v>
      </c>
      <c r="AV6" s="45" t="s">
        <v>110</v>
      </c>
      <c r="AW6" s="47" t="s">
        <v>111</v>
      </c>
      <c r="AX6" s="19" t="s">
        <v>109</v>
      </c>
      <c r="AY6" s="3" t="s">
        <v>27</v>
      </c>
      <c r="AZ6" s="3" t="s">
        <v>26</v>
      </c>
      <c r="BA6" s="3" t="s">
        <v>30</v>
      </c>
      <c r="BB6" s="3" t="s">
        <v>31</v>
      </c>
      <c r="BC6" s="3" t="s">
        <v>30</v>
      </c>
      <c r="BD6" s="3" t="s">
        <v>31</v>
      </c>
      <c r="BE6" s="7" t="s">
        <v>49</v>
      </c>
      <c r="BF6" s="44" t="s">
        <v>112</v>
      </c>
      <c r="BG6" s="78" t="s">
        <v>225</v>
      </c>
      <c r="BH6" s="82" t="s">
        <v>233</v>
      </c>
    </row>
    <row r="7" spans="1:60" ht="26.25" customHeight="1" x14ac:dyDescent="0.3">
      <c r="A7" s="4">
        <f>'3UP(실측)'!A7</f>
        <v>0</v>
      </c>
      <c r="B7" s="4" t="str">
        <f>'3UP(실측)'!B7&amp;"F"</f>
        <v>F</v>
      </c>
      <c r="C7" s="4">
        <f>'3UP(실측)'!C7-UP3멍텅OP</f>
        <v>-2</v>
      </c>
      <c r="D7" s="4">
        <f>'3UP(실측)'!D7-UP3멍텅R</f>
        <v>0</v>
      </c>
      <c r="E7" s="4">
        <f>'3UP(실측)'!E7+MAX(AR7,AS7)+IF(BG7=1,AG7,0)+UP3멍텅JBJD늘림치수</f>
        <v>0</v>
      </c>
      <c r="F7" s="4">
        <f>'3UP(실측)'!F7+MAX(AR7,AS7)+IF(BG7=1,AJ7,0)+UP3멍텅JBJD늘림치수</f>
        <v>0</v>
      </c>
      <c r="G7" s="4">
        <f>'3UP(실측)'!G7+AR7+IF(BG7=1,AG7,0)+UP3멍텅JB강제키움+UP3멍텅JBJD늘림치수</f>
        <v>0</v>
      </c>
      <c r="H7" s="4">
        <f>'3UP(실측)'!H7+AR7+IF(BG7=1,AH7,0)+UP3멍텅JB강제키움+UP3멍텅JBJD늘림치수-IF(UP3멍텅JB하부늘치=1,'3UP(실측)'!AC7-'3UP(실측)'!AD7,0)</f>
        <v>0</v>
      </c>
      <c r="I7" s="4">
        <f>'3UP(실측)'!I7+AR7+IF(BG7=1,AI7,0)+UP3멍텅JB강제키움+UP3멍텅JBJD늘림치수-IF(UP3멍텅JB하부늘치=1,'3UP(실측)'!AC7-'3UP(실측)'!AE7,0)</f>
        <v>0</v>
      </c>
      <c r="J7" s="4">
        <f>'3UP(실측)'!J7+AS7+IF(BG7=1,AJ7,0)+UP3멍텅JB강제키움+UP3멍텅JBJD늘림치수</f>
        <v>0</v>
      </c>
      <c r="K7" s="4">
        <f>'3UP(실측)'!K7+AS7+IF(BG7=1,AK7,0)+UP3멍텅JB강제키움+UP3멍텅JBJD늘림치수-IF(UP3멍텅JB하부늘치=1,'3UP(실측)'!AF7-'3UP(실측)'!AG7,0)</f>
        <v>0</v>
      </c>
      <c r="L7" s="4">
        <f>'3UP(실측)'!L7+AS7+IF(BG7=1,AL7,0)+UP3멍텅JB강제키움+UP3멍텅JBJD늘림치수-IF(UP3멍텅JB하부늘치=1,'3UP(실측)'!AF7-'3UP(실측)'!AH7,0)</f>
        <v>0</v>
      </c>
      <c r="M7" s="103">
        <f>MAX(H7-G7,I7-H7)</f>
        <v>0</v>
      </c>
      <c r="N7" s="103">
        <f>MAX(K7-J7,L7-K7)</f>
        <v>0</v>
      </c>
      <c r="O7" s="4">
        <f t="shared" ref="O7:P7" si="0">Q7+IF(소장="손상민",0,-1.5)</f>
        <v>-0.5</v>
      </c>
      <c r="P7" s="4">
        <f t="shared" si="0"/>
        <v>-0.5</v>
      </c>
      <c r="Q7" s="4">
        <f>IF(S7&gt;0,'3UP(실측)'!M7+UP3멍텅C늘림,'3UP(실측)'!M7+1)</f>
        <v>1</v>
      </c>
      <c r="R7" s="4">
        <f>IF(T7&gt;0,'3UP(실측)'!N7+UP3멍텅C늘림,'3UP(실측)'!N7+1)</f>
        <v>1</v>
      </c>
      <c r="S7" s="4">
        <f>IF(ISNUMBER('3UP(실측)'!O7),'3UP(실측)'!O7+AR7+UP3멍텅A늘림,0)</f>
        <v>0</v>
      </c>
      <c r="T7" s="4">
        <f>IF(ISNUMBER('3UP(실측)'!P7),'3UP(실측)'!P7+AS7+UP3멍텅A늘림,0)</f>
        <v>0</v>
      </c>
      <c r="U7" s="4">
        <f>'3UP(실측)'!Q7-UP3멍텅기둥차감</f>
        <v>0</v>
      </c>
      <c r="V7" s="4">
        <f>'3UP(실측)'!R7</f>
        <v>0</v>
      </c>
      <c r="W7" s="4">
        <f>'3UP(실측)'!S7</f>
        <v>0</v>
      </c>
      <c r="X7" s="4">
        <f>'3UP(실측)'!T7-UP3멍텅기둥차감</f>
        <v>0</v>
      </c>
      <c r="Y7" s="4">
        <f>'3UP(실측)'!U7-UP3멍텅기둥차감</f>
        <v>0</v>
      </c>
      <c r="Z7" s="4">
        <f>'3UP(실측)'!V7</f>
        <v>0</v>
      </c>
      <c r="AA7" s="4">
        <f>'3UP(실측)'!W7</f>
        <v>0</v>
      </c>
      <c r="AB7" s="4">
        <f>'3UP(실측)'!X7-UP3멍텅기둥차감</f>
        <v>0</v>
      </c>
      <c r="AC7" s="4">
        <f>IF(ISNUMBER('3UP(실측)'!Y7),IF(AD7&gt;0,'3UP(실측)'!Y7+UP3멍텅U늘림,'3UP(실측)'!Y7+1.2),0)</f>
        <v>0</v>
      </c>
      <c r="AD7" s="4">
        <f>IF(OR(UP3멍텅G="", UP3멍텅G=0),IF(ISNUMBER('3UP(실측)'!Z7),IF('3UP(실측)'!Z7+멍텅A늘림++MAX(AR7,AS7)&gt;9,'3UP(실측)'!Z7+멍텅A늘림++MAX(AR7,AS7),'3UP(실측)'!Z7+멍텅A늘림+MAX(AR7,AS7)),0),UP3멍텅G)</f>
        <v>0</v>
      </c>
      <c r="AE7" s="4">
        <f>'3UP(실측)'!AA7+뒷날개치수더함</f>
        <v>0</v>
      </c>
      <c r="AF7" s="4">
        <f>'3UP(실측)'!AB7+뒷날개치수더함</f>
        <v>0</v>
      </c>
      <c r="AG7" s="13">
        <f>'3UP(실측)'!AC7-UP3멍텅늘치차감</f>
        <v>-3</v>
      </c>
      <c r="AH7" s="13">
        <f>IF(UP3멍텅JB하부늘치=1,AG7,'3UP(실측)'!AD7-UP3멍텅늘치차감)</f>
        <v>-3</v>
      </c>
      <c r="AI7" s="13">
        <f>IF(UP3멍텅JB하부늘치=1,AG7,'3UP(실측)'!AE7-UP3멍텅늘치차감)</f>
        <v>-3</v>
      </c>
      <c r="AJ7" s="13">
        <f>'3UP(실측)'!AF7-UP3멍텅늘치차감</f>
        <v>-3</v>
      </c>
      <c r="AK7" s="13">
        <f>IF(UP3멍텅JB하부늘치=1,AJ7,'3UP(실측)'!AG7-UP3멍텅늘치차감)</f>
        <v>-3</v>
      </c>
      <c r="AL7" s="13">
        <f>IF(UP3멍텅JB하부늘치=1,AJ7,'3UP(실측)'!AH7-UP3멍텅늘치차감)</f>
        <v>-3</v>
      </c>
      <c r="AM7" s="11" t="str">
        <f t="shared" ref="AM7" si="1">AY7&amp;"*"&amp;AZ7</f>
        <v>0*-2.4</v>
      </c>
      <c r="AN7" s="12" t="str">
        <f t="shared" ref="AN7" si="2">BB7&amp;"*"&amp;BA7</f>
        <v>0*-2.6</v>
      </c>
      <c r="AO7" s="10" t="str">
        <f t="shared" ref="AO7" si="3">BD7&amp;"*"&amp;BC7</f>
        <v>0*-2.6</v>
      </c>
      <c r="AP7" s="31">
        <f>IF('3UP(실측)'!AI7&gt;0,'3UP(실측)'!AI7-'3UP(실측)'!AA7+1.2,0)</f>
        <v>0</v>
      </c>
      <c r="AQ7" s="31">
        <f>IF('3UP(실측)'!AJ7&gt;0,'3UP(실측)'!AJ7-'3UP(실측)'!AA7+1.2,0)</f>
        <v>0</v>
      </c>
      <c r="AR7" s="3">
        <f>IF(AND(ISNUMBER('3UP(실측)'!P7),ISNUMBER('3UP(실측)'!O7)),IF(ISNUMBER('3UP(실측)'!O7),IF(9-MIN('3UP(실측)'!O7+멍텅A늘림,'3UP(실측)'!P7+멍텅A늘림)&lt;AT7,AT7,9-MIN('3UP(실측)'!O7+멍텅A늘림,'3UP(실측)'!P7+멍텅A늘림) + AT7 ),0),IF(ISNUMBER('3UP(실측)'!O7),IF(9-'3UP(실측)'!O7-멍텅A늘림+AT7&lt;AT7,AT7,9-'3UP(실측)'!O7-멍텅A늘림+AT7),0))</f>
        <v>0</v>
      </c>
      <c r="AS7" s="3">
        <f>IF(AND(ISNUMBER('3UP(실측)'!O7),ISNUMBER('3UP(실측)'!P7)),IF(ISNUMBER('3UP(실측)'!P7),IF(9-MIN('3UP(실측)'!P7+멍텅A늘림,'3UP(실측)'!O7+멍텅A늘림)&lt;AT7,AT7,9-MIN('3UP(실측)'!P7+멍텅A늘림,'3UP(실측)'!O7+멍텅A늘림) + AT7 ),0),IF(ISNUMBER('3UP(실측)'!P7),IF(9-'3UP(실측)'!P7-멍텅A늘림+AT7&lt;AT7,AT7,9-'3UP(실측)'!P7-멍텅A늘림+AT7),0))</f>
        <v>0</v>
      </c>
      <c r="AT7" s="16"/>
      <c r="AU7" s="17" t="e">
        <f>DEGREES(ATAN((D7-C7)/2/(E7)))</f>
        <v>#DIV/0!</v>
      </c>
      <c r="AV7" s="36" t="e">
        <f>E7-COS(RADIANS(AU7))*G7</f>
        <v>#DIV/0!</v>
      </c>
      <c r="AW7" s="36" t="e">
        <f>F7-COS(RADIANS(AU7))*J7</f>
        <v>#DIV/0!</v>
      </c>
      <c r="AX7" s="46" t="str">
        <f>IF(E7+AG7&lt;&gt;F7+AJ7,"JD비대칭","")</f>
        <v/>
      </c>
      <c r="AY7" s="3">
        <f>D7 + IF(AC7+AD7&gt;0, O7+P7,0)</f>
        <v>0</v>
      </c>
      <c r="AZ7" s="3">
        <f>AC7+MAX(E7,F7)+AE7+AD7-1.2*$AM$3+IF(BG7=0,MAX(AG7,AJ7))+IF(AD7=0,1.2,0)</f>
        <v>-2.3999999999999995</v>
      </c>
      <c r="BA7" s="3">
        <f>S7+Q7+MAX(G7,I7)+AF7-1.2*$AO$3+IF(BG7=0,MAX(AG7,AI7))+IF(S7=0,1.2,0)</f>
        <v>-2.5999999999999996</v>
      </c>
      <c r="BB7" s="3">
        <f>MAX(U7,V7+W7+X7)</f>
        <v>0</v>
      </c>
      <c r="BC7" s="3">
        <f>T7+R7+MAX(J7,L7)+AF7-1.2*$AO$3+IF(BG7=0,MAX(AJ7,AL7))+IF(T7=0,1.2,0)</f>
        <v>-2.5999999999999996</v>
      </c>
      <c r="BD7" s="3">
        <f>MAX(Y7,Z7+AA7+AB7)</f>
        <v>0</v>
      </c>
      <c r="BE7">
        <f>G7-E7</f>
        <v>0</v>
      </c>
      <c r="BF7">
        <f>9-AD7</f>
        <v>9</v>
      </c>
      <c r="BG7" s="79">
        <f>IF(AND(MIN(AG7,AJ7)&gt;=9.2,D7-C7&gt;15),0,1)</f>
        <v>1</v>
      </c>
      <c r="BH7" s="83">
        <f>IF(소장="손상민",'3UP(실측)'!AK7,0)</f>
        <v>0</v>
      </c>
    </row>
  </sheetData>
  <mergeCells count="73">
    <mergeCell ref="A4:Z4"/>
    <mergeCell ref="AC4:AD4"/>
    <mergeCell ref="AE4:AF4"/>
    <mergeCell ref="AP3:AQ3"/>
    <mergeCell ref="BA5:BB5"/>
    <mergeCell ref="O5:O6"/>
    <mergeCell ref="P5:P6"/>
    <mergeCell ref="Q5:Q6"/>
    <mergeCell ref="R5:R6"/>
    <mergeCell ref="AG5:AL5"/>
    <mergeCell ref="T5:T6"/>
    <mergeCell ref="U5:U6"/>
    <mergeCell ref="V5:V6"/>
    <mergeCell ref="X5:X6"/>
    <mergeCell ref="Y5:Y6"/>
    <mergeCell ref="Z5:Z6"/>
    <mergeCell ref="AC5:AC6"/>
    <mergeCell ref="AD5:AD6"/>
    <mergeCell ref="AE5:AE6"/>
    <mergeCell ref="AF5:AF6"/>
    <mergeCell ref="BC5:BD5"/>
    <mergeCell ref="AM5:AM6"/>
    <mergeCell ref="AN5:AN6"/>
    <mergeCell ref="AO5:AO6"/>
    <mergeCell ref="AP5:AQ5"/>
    <mergeCell ref="AR5:AR6"/>
    <mergeCell ref="AT5:AT6"/>
    <mergeCell ref="AS5:AS6"/>
    <mergeCell ref="I5:I6"/>
    <mergeCell ref="J5:J6"/>
    <mergeCell ref="L5:L6"/>
    <mergeCell ref="M5:M6"/>
    <mergeCell ref="AB5:AB6"/>
    <mergeCell ref="AN4:AO4"/>
    <mergeCell ref="AP4:AQ4"/>
    <mergeCell ref="BG4:BG5"/>
    <mergeCell ref="A5:A6"/>
    <mergeCell ref="B5:B6"/>
    <mergeCell ref="C5:C6"/>
    <mergeCell ref="D5:D6"/>
    <mergeCell ref="E5:E6"/>
    <mergeCell ref="H5:H6"/>
    <mergeCell ref="K5:K6"/>
    <mergeCell ref="W5:W6"/>
    <mergeCell ref="AA5:AA6"/>
    <mergeCell ref="N5:N6"/>
    <mergeCell ref="S5:S6"/>
    <mergeCell ref="F5:F6"/>
    <mergeCell ref="G5:G6"/>
    <mergeCell ref="AE3:AF3"/>
    <mergeCell ref="AA3:AB3"/>
    <mergeCell ref="G3:K3"/>
    <mergeCell ref="T3:W3"/>
    <mergeCell ref="AJ3:AL3"/>
    <mergeCell ref="L3:O3"/>
    <mergeCell ref="P3:Q3"/>
    <mergeCell ref="R3:S3"/>
    <mergeCell ref="X3:Z3"/>
    <mergeCell ref="AC3:AD3"/>
    <mergeCell ref="A1:AO1"/>
    <mergeCell ref="AR1:AT2"/>
    <mergeCell ref="L2:O2"/>
    <mergeCell ref="P2:S2"/>
    <mergeCell ref="T2:U2"/>
    <mergeCell ref="V2:X2"/>
    <mergeCell ref="AC2:AD2"/>
    <mergeCell ref="AE2:AF2"/>
    <mergeCell ref="AG2:AI2"/>
    <mergeCell ref="AA2:AB2"/>
    <mergeCell ref="G2:K2"/>
    <mergeCell ref="Y2:Z2"/>
    <mergeCell ref="AJ2:AL2"/>
    <mergeCell ref="AN2:AO2"/>
  </mergeCells>
  <phoneticPr fontId="1" type="noConversion"/>
  <conditionalFormatting sqref="E7">
    <cfRule type="cellIs" dxfId="2" priority="3" operator="notEqual">
      <formula>F7</formula>
    </cfRule>
  </conditionalFormatting>
  <conditionalFormatting sqref="F7">
    <cfRule type="cellIs" dxfId="1" priority="2" operator="notEqual">
      <formula>E7</formula>
    </cfRule>
  </conditionalFormatting>
  <conditionalFormatting sqref="AG7:AL7">
    <cfRule type="expression" dxfId="0" priority="1">
      <formula>$BG7</formula>
    </cfRule>
  </conditionalFormatting>
  <pageMargins left="0.23622047244094491" right="0.23622047244094491" top="0.74803149606299213" bottom="0.74803149606299213" header="0.31496062992125984" footer="0.31496062992125984"/>
  <pageSetup paperSize="9" scale="3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143</vt:i4>
      </vt:variant>
    </vt:vector>
  </HeadingPairs>
  <TitlesOfParts>
    <vt:vector size="164" baseType="lpstr">
      <vt:lpstr>정보</vt:lpstr>
      <vt:lpstr>data</vt:lpstr>
      <vt:lpstr>와이드(실측)</vt:lpstr>
      <vt:lpstr>와이드제작</vt:lpstr>
      <vt:lpstr>멍텅(실측)</vt:lpstr>
      <vt:lpstr>멍텅제작</vt:lpstr>
      <vt:lpstr>쪽쟘(실측)</vt:lpstr>
      <vt:lpstr>쪽쟘제작</vt:lpstr>
      <vt:lpstr>쪽쟘샤링</vt:lpstr>
      <vt:lpstr>SO와이드(실측)</vt:lpstr>
      <vt:lpstr>SO와이드제작</vt:lpstr>
      <vt:lpstr>SO멍텅(실측)</vt:lpstr>
      <vt:lpstr>SO멍텅제작</vt:lpstr>
      <vt:lpstr>4CO와이드(실측)</vt:lpstr>
      <vt:lpstr>4CO와이드제작</vt:lpstr>
      <vt:lpstr>4CO멍텅(실측)</vt:lpstr>
      <vt:lpstr>4CO멍텅제작</vt:lpstr>
      <vt:lpstr>2UP(실측)</vt:lpstr>
      <vt:lpstr>2UP제작</vt:lpstr>
      <vt:lpstr>3UP(실측)</vt:lpstr>
      <vt:lpstr>3UP제작</vt:lpstr>
      <vt:lpstr>CO4멍텅A늘림</vt:lpstr>
      <vt:lpstr>CO4멍텅C늘림</vt:lpstr>
      <vt:lpstr>CO4멍텅G</vt:lpstr>
      <vt:lpstr>CO4멍텅JBJD늘림치수</vt:lpstr>
      <vt:lpstr>CO4멍텅JB강제키움</vt:lpstr>
      <vt:lpstr>CO4멍텅JB하부늘치</vt:lpstr>
      <vt:lpstr>CO4멍텅OP</vt:lpstr>
      <vt:lpstr>CO4멍텅R</vt:lpstr>
      <vt:lpstr>CO4멍텅U늘림</vt:lpstr>
      <vt:lpstr>CO4멍텅구리각도</vt:lpstr>
      <vt:lpstr>CO4멍텅기둥차감</vt:lpstr>
      <vt:lpstr>CO4멍텅늘치</vt:lpstr>
      <vt:lpstr>CO4멍텅늘치차감</vt:lpstr>
      <vt:lpstr>CO4멍텅실측K</vt:lpstr>
      <vt:lpstr>CO4와이드A늘림</vt:lpstr>
      <vt:lpstr>CO4와이드C값</vt:lpstr>
      <vt:lpstr>CO4와이드JBJD키움치수</vt:lpstr>
      <vt:lpstr>CO4와이드JB하부늘치</vt:lpstr>
      <vt:lpstr>CO4와이드J값늘치포함</vt:lpstr>
      <vt:lpstr>CO4와이드MH더함</vt:lpstr>
      <vt:lpstr>CO4와이드OP</vt:lpstr>
      <vt:lpstr>CO4와이드R</vt:lpstr>
      <vt:lpstr>CO4와이드U</vt:lpstr>
      <vt:lpstr>CO4와이드각도</vt:lpstr>
      <vt:lpstr>CO4와이드기둥차감</vt:lpstr>
      <vt:lpstr>CO4와이드늘치</vt:lpstr>
      <vt:lpstr>CO4와이드실측K</vt:lpstr>
      <vt:lpstr>'2UP(실측)'!Print_Area</vt:lpstr>
      <vt:lpstr>'2UP제작'!Print_Area</vt:lpstr>
      <vt:lpstr>'3UP(실측)'!Print_Area</vt:lpstr>
      <vt:lpstr>'3UP제작'!Print_Area</vt:lpstr>
      <vt:lpstr>'4CO멍텅(실측)'!Print_Area</vt:lpstr>
      <vt:lpstr>'4CO멍텅제작'!Print_Area</vt:lpstr>
      <vt:lpstr>'4CO와이드(실측)'!Print_Area</vt:lpstr>
      <vt:lpstr>'4CO와이드제작'!Print_Area</vt:lpstr>
      <vt:lpstr>'SO멍텅(실측)'!Print_Area</vt:lpstr>
      <vt:lpstr>SO멍텅제작!Print_Area</vt:lpstr>
      <vt:lpstr>'SO와이드(실측)'!Print_Area</vt:lpstr>
      <vt:lpstr>SO와이드제작!Print_Area</vt:lpstr>
      <vt:lpstr>'멍텅(실측)'!Print_Area</vt:lpstr>
      <vt:lpstr>멍텅제작!Print_Area</vt:lpstr>
      <vt:lpstr>'와이드(실측)'!Print_Area</vt:lpstr>
      <vt:lpstr>와이드제작!Print_Area</vt:lpstr>
      <vt:lpstr>'쪽쟘(실측)'!Print_Area</vt:lpstr>
      <vt:lpstr>쪽쟘샤링!Print_Area</vt:lpstr>
      <vt:lpstr>쪽쟘제작!Print_Area</vt:lpstr>
      <vt:lpstr>SO멍텅A늘림</vt:lpstr>
      <vt:lpstr>SO멍텅C늘림</vt:lpstr>
      <vt:lpstr>SO멍텅G</vt:lpstr>
      <vt:lpstr>SO멍텅JBJD늘림치수</vt:lpstr>
      <vt:lpstr>SO멍텅JB강제키움</vt:lpstr>
      <vt:lpstr>SO멍텅JB하부늘치</vt:lpstr>
      <vt:lpstr>SO멍텅OP</vt:lpstr>
      <vt:lpstr>SO멍텅R</vt:lpstr>
      <vt:lpstr>SO멍텅U늘림</vt:lpstr>
      <vt:lpstr>SO멍텅구리각도</vt:lpstr>
      <vt:lpstr>SO멍텅기둥차감</vt:lpstr>
      <vt:lpstr>SO멍텅늘치</vt:lpstr>
      <vt:lpstr>SO멍텅늘치차감</vt:lpstr>
      <vt:lpstr>SO멍텅실측K</vt:lpstr>
      <vt:lpstr>SO와이드A늘림</vt:lpstr>
      <vt:lpstr>SO와이드C값</vt:lpstr>
      <vt:lpstr>SO와이드JBJD키움치수</vt:lpstr>
      <vt:lpstr>SO와이드JB하부늘치</vt:lpstr>
      <vt:lpstr>SO와이드J값늘치포함</vt:lpstr>
      <vt:lpstr>SO와이드MH더함</vt:lpstr>
      <vt:lpstr>SO와이드OP</vt:lpstr>
      <vt:lpstr>SO와이드R</vt:lpstr>
      <vt:lpstr>SO와이드U</vt:lpstr>
      <vt:lpstr>SO와이드각도</vt:lpstr>
      <vt:lpstr>SO와이드기둥차감</vt:lpstr>
      <vt:lpstr>SO와이드늘치</vt:lpstr>
      <vt:lpstr>SO와이드실측K</vt:lpstr>
      <vt:lpstr>UP2각도</vt:lpstr>
      <vt:lpstr>UP2멍텅A늘림</vt:lpstr>
      <vt:lpstr>UP2멍텅C늘림</vt:lpstr>
      <vt:lpstr>UP2멍텅G</vt:lpstr>
      <vt:lpstr>UP2멍텅JBJD늘림치수</vt:lpstr>
      <vt:lpstr>UP2멍텅JB강제키움</vt:lpstr>
      <vt:lpstr>UP2멍텅JB하부늘치</vt:lpstr>
      <vt:lpstr>UP2멍텅OP</vt:lpstr>
      <vt:lpstr>UP2멍텅R</vt:lpstr>
      <vt:lpstr>UP2멍텅U늘림</vt:lpstr>
      <vt:lpstr>UP2멍텅기둥차감</vt:lpstr>
      <vt:lpstr>UP2멍텅늘치</vt:lpstr>
      <vt:lpstr>UP2멍텅늘치차감</vt:lpstr>
      <vt:lpstr>UP2멍텅실측K</vt:lpstr>
      <vt:lpstr>UP3각도</vt:lpstr>
      <vt:lpstr>UP3멍텅A늘림</vt:lpstr>
      <vt:lpstr>UP3멍텅C늘림</vt:lpstr>
      <vt:lpstr>UP3멍텅G</vt:lpstr>
      <vt:lpstr>UP3멍텅JBJD늘림치수</vt:lpstr>
      <vt:lpstr>UP3멍텅JB강제키움</vt:lpstr>
      <vt:lpstr>UP3멍텅JB하부늘치</vt:lpstr>
      <vt:lpstr>UP3멍텅OP</vt:lpstr>
      <vt:lpstr>UP3멍텅R</vt:lpstr>
      <vt:lpstr>UP3멍텅U늘림</vt:lpstr>
      <vt:lpstr>UP3멍텅기둥차감</vt:lpstr>
      <vt:lpstr>UP3멍텅늘치</vt:lpstr>
      <vt:lpstr>UP3멍텅늘치차감</vt:lpstr>
      <vt:lpstr>UP3멍텅실측K</vt:lpstr>
      <vt:lpstr>그림범위HPI</vt:lpstr>
      <vt:lpstr>'4CO와이드제작'!뒷날개치수더함</vt:lpstr>
      <vt:lpstr>SO와이드제작!뒷날개치수더함</vt:lpstr>
      <vt:lpstr>뒷날개치수더함</vt:lpstr>
      <vt:lpstr>멍텅A늘림</vt:lpstr>
      <vt:lpstr>멍텅C늘림</vt:lpstr>
      <vt:lpstr>멍텅G</vt:lpstr>
      <vt:lpstr>멍텅JBJD늘림치수</vt:lpstr>
      <vt:lpstr>멍텅JB강제키움</vt:lpstr>
      <vt:lpstr>멍텅JB하부늘치</vt:lpstr>
      <vt:lpstr>멍텅OP</vt:lpstr>
      <vt:lpstr>멍텅R</vt:lpstr>
      <vt:lpstr>멍텅U늘림</vt:lpstr>
      <vt:lpstr>멍텅구리각도</vt:lpstr>
      <vt:lpstr>멍텅기둥차감</vt:lpstr>
      <vt:lpstr>멍텅늘치</vt:lpstr>
      <vt:lpstr>멍텅늘치차감</vt:lpstr>
      <vt:lpstr>멍텅실측K</vt:lpstr>
      <vt:lpstr>소장</vt:lpstr>
      <vt:lpstr>와이드A늘림</vt:lpstr>
      <vt:lpstr>와이드C값</vt:lpstr>
      <vt:lpstr>와이드C값키움</vt:lpstr>
      <vt:lpstr>와이드JBJD키움치수</vt:lpstr>
      <vt:lpstr>와이드JB하부늘치</vt:lpstr>
      <vt:lpstr>와이드J값늘치포함</vt:lpstr>
      <vt:lpstr>와이드J에늘치포함</vt:lpstr>
      <vt:lpstr>와이드MH더함</vt:lpstr>
      <vt:lpstr>와이드OP</vt:lpstr>
      <vt:lpstr>와이드R</vt:lpstr>
      <vt:lpstr>와이드U</vt:lpstr>
      <vt:lpstr>와이드각도</vt:lpstr>
      <vt:lpstr>와이드기둥차감</vt:lpstr>
      <vt:lpstr>와이드늘치</vt:lpstr>
      <vt:lpstr>와이드늘치차감</vt:lpstr>
      <vt:lpstr>와이드실측K</vt:lpstr>
      <vt:lpstr>쪽쟘샤링!쪽쟘J늘림</vt:lpstr>
      <vt:lpstr>쪽쟘J늘림</vt:lpstr>
      <vt:lpstr>쪽쟘OP차감</vt:lpstr>
      <vt:lpstr>쪽쟘기둥차감</vt:lpstr>
      <vt:lpstr>쪽쟘늘치차감</vt:lpstr>
      <vt:lpstr>쪽쟘소재t</vt:lpstr>
      <vt:lpstr>항목범위HPI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2022-12-02T03:36:41Z</cp:lastPrinted>
  <dcterms:created xsi:type="dcterms:W3CDTF">2020-01-09T06:39:51Z</dcterms:created>
  <dcterms:modified xsi:type="dcterms:W3CDTF">2024-01-08T00:30:56Z</dcterms:modified>
</cp:coreProperties>
</file>