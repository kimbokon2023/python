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bookViews>
    <workbookView xWindow="-120" yWindow="-120" windowWidth="29040" windowHeight="15840" tabRatio="947" activeTab="7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8" l="1"/>
  <c r="B8" i="8"/>
  <c r="E8" i="8"/>
  <c r="F8" i="8"/>
  <c r="U8" i="8"/>
  <c r="V8" i="8"/>
  <c r="W8" i="8"/>
  <c r="X8" i="8"/>
  <c r="Y8" i="8"/>
  <c r="C8" i="8" s="1"/>
  <c r="AA8" i="8"/>
  <c r="AB8" i="8"/>
  <c r="AC8" i="8"/>
  <c r="AD8" i="8"/>
  <c r="AE8" i="8"/>
  <c r="AF8" i="8" s="1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F9" i="8"/>
  <c r="U9" i="8"/>
  <c r="V9" i="8"/>
  <c r="W9" i="8"/>
  <c r="X9" i="8"/>
  <c r="Y9" i="8"/>
  <c r="D9" i="8" s="1"/>
  <c r="AH9" i="8" s="1"/>
  <c r="AA9" i="8"/>
  <c r="AB9" i="8"/>
  <c r="AC9" i="8"/>
  <c r="AD9" i="8" s="1"/>
  <c r="AE9" i="8"/>
  <c r="AF9" i="8"/>
  <c r="AM9" i="8"/>
  <c r="AN9" i="8"/>
  <c r="AO9" i="8"/>
  <c r="AP9" i="8"/>
  <c r="AQ9" i="8"/>
  <c r="AR9" i="8"/>
  <c r="AS9" i="8"/>
  <c r="S9" i="8" s="1"/>
  <c r="AT9" i="8"/>
  <c r="T9" i="8" s="1"/>
  <c r="AX9" i="8"/>
  <c r="BI9" i="8"/>
  <c r="L9" i="8" s="1"/>
  <c r="A10" i="8"/>
  <c r="B10" i="8"/>
  <c r="E10" i="8"/>
  <c r="F10" i="8"/>
  <c r="T10" i="8"/>
  <c r="P10" i="8" s="1"/>
  <c r="N10" i="8" s="1"/>
  <c r="U10" i="8"/>
  <c r="V10" i="8"/>
  <c r="W10" i="8"/>
  <c r="X10" i="8"/>
  <c r="Y10" i="8"/>
  <c r="C10" i="8" s="1"/>
  <c r="AG10" i="8" s="1"/>
  <c r="BD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A11" i="8"/>
  <c r="B11" i="8"/>
  <c r="E11" i="8"/>
  <c r="F11" i="8"/>
  <c r="U11" i="8"/>
  <c r="V11" i="8"/>
  <c r="W11" i="8"/>
  <c r="X11" i="8"/>
  <c r="Y11" i="8"/>
  <c r="C11" i="8" s="1"/>
  <c r="AA11" i="8"/>
  <c r="AB11" i="8"/>
  <c r="AC11" i="8"/>
  <c r="AD11" i="8" s="1"/>
  <c r="AE11" i="8"/>
  <c r="AF11" i="8" s="1"/>
  <c r="AM11" i="8"/>
  <c r="AN11" i="8"/>
  <c r="AO11" i="8"/>
  <c r="AP11" i="8"/>
  <c r="AQ11" i="8"/>
  <c r="AR11" i="8"/>
  <c r="AS11" i="8"/>
  <c r="AX11" i="8" s="1"/>
  <c r="AT11" i="8"/>
  <c r="T11" i="8" s="1"/>
  <c r="Y7" i="22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BF9" i="8" l="1"/>
  <c r="AY11" i="8"/>
  <c r="D11" i="8"/>
  <c r="AH11" i="8" s="1"/>
  <c r="BF11" i="8" s="1"/>
  <c r="D10" i="8"/>
  <c r="BH10" i="8" s="1"/>
  <c r="J9" i="8"/>
  <c r="I9" i="8"/>
  <c r="BC9" i="8" s="1"/>
  <c r="BI11" i="8"/>
  <c r="K11" i="8" s="1"/>
  <c r="S11" i="8"/>
  <c r="O11" i="8" s="1"/>
  <c r="G10" i="8"/>
  <c r="P9" i="8"/>
  <c r="N9" i="8" s="1"/>
  <c r="P11" i="8"/>
  <c r="N11" i="8" s="1"/>
  <c r="O9" i="8"/>
  <c r="M9" i="8" s="1"/>
  <c r="P8" i="8"/>
  <c r="N8" i="8" s="1"/>
  <c r="J11" i="8"/>
  <c r="H11" i="8"/>
  <c r="G11" i="8"/>
  <c r="I11" i="8"/>
  <c r="AU9" i="8"/>
  <c r="AG8" i="8"/>
  <c r="BD8" i="8" s="1"/>
  <c r="AG11" i="8"/>
  <c r="BD11" i="8" s="1"/>
  <c r="AY9" i="8"/>
  <c r="K9" i="8"/>
  <c r="C9" i="8"/>
  <c r="L10" i="8"/>
  <c r="AY10" i="8"/>
  <c r="S10" i="8"/>
  <c r="K10" i="8"/>
  <c r="H9" i="8"/>
  <c r="BI8" i="8"/>
  <c r="M11" i="8"/>
  <c r="AH10" i="8"/>
  <c r="BF10" i="8" s="1"/>
  <c r="J10" i="8"/>
  <c r="G9" i="8"/>
  <c r="D8" i="8"/>
  <c r="AH8" i="8" s="1"/>
  <c r="BF8" i="8" s="1"/>
  <c r="I10" i="8"/>
  <c r="AY8" i="8"/>
  <c r="S8" i="8"/>
  <c r="H10" i="8"/>
  <c r="C7" i="26"/>
  <c r="E7" i="26"/>
  <c r="AF4" i="26"/>
  <c r="AJ4" i="24"/>
  <c r="AE4" i="22"/>
  <c r="AI4" i="19"/>
  <c r="AA4" i="10"/>
  <c r="AE3" i="8"/>
  <c r="AV9" i="8" l="1"/>
  <c r="BE10" i="8"/>
  <c r="L11" i="8"/>
  <c r="BH11" i="8"/>
  <c r="AZ9" i="8"/>
  <c r="Q9" i="8"/>
  <c r="Z9" i="8" s="1"/>
  <c r="O10" i="8"/>
  <c r="M10" i="8" s="1"/>
  <c r="BH8" i="8"/>
  <c r="BH9" i="8"/>
  <c r="AG9" i="8"/>
  <c r="BD9" i="8" s="1"/>
  <c r="AK9" i="8" s="1"/>
  <c r="AU11" i="8"/>
  <c r="AW11" i="8"/>
  <c r="R11" i="8" s="1"/>
  <c r="AL10" i="8"/>
  <c r="AU10" i="8"/>
  <c r="AV10" i="8" s="1"/>
  <c r="I8" i="8"/>
  <c r="J8" i="8"/>
  <c r="K8" i="8"/>
  <c r="L8" i="8"/>
  <c r="G8" i="8"/>
  <c r="H8" i="8"/>
  <c r="BC11" i="8"/>
  <c r="AK11" i="8" s="1"/>
  <c r="AV11" i="8"/>
  <c r="AW9" i="8"/>
  <c r="R9" i="8" s="1"/>
  <c r="BE11" i="8"/>
  <c r="AL11" i="8" s="1"/>
  <c r="O8" i="8"/>
  <c r="M8" i="8" s="1"/>
  <c r="BE9" i="8"/>
  <c r="AL9" i="8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W10" i="8" l="1"/>
  <c r="R10" i="8" s="1"/>
  <c r="BC8" i="8"/>
  <c r="AK8" i="8" s="1"/>
  <c r="BE8" i="8"/>
  <c r="AL8" i="8" s="1"/>
  <c r="BC10" i="8"/>
  <c r="AK10" i="8" s="1"/>
  <c r="AU8" i="8"/>
  <c r="AW8" i="8" s="1"/>
  <c r="R8" i="8" s="1"/>
  <c r="AZ11" i="8"/>
  <c r="Q11" i="8"/>
  <c r="AI9" i="8"/>
  <c r="BA9" i="8"/>
  <c r="BB9" i="8"/>
  <c r="Q10" i="8"/>
  <c r="AZ10" i="8"/>
  <c r="BG9" i="8"/>
  <c r="AI7" i="32"/>
  <c r="AE4" i="32"/>
  <c r="AD7" i="28"/>
  <c r="AA4" i="28"/>
  <c r="AH7" i="32"/>
  <c r="AE7" i="26"/>
  <c r="AK7" i="32"/>
  <c r="C7" i="19"/>
  <c r="D7" i="24"/>
  <c r="AV8" i="8" l="1"/>
  <c r="Z11" i="8"/>
  <c r="BG11" i="8"/>
  <c r="Q8" i="8"/>
  <c r="AZ8" i="8"/>
  <c r="AJ9" i="8"/>
  <c r="Z10" i="8"/>
  <c r="BG10" i="8"/>
  <c r="AS7" i="32"/>
  <c r="T7" i="32" s="1"/>
  <c r="AR7" i="32"/>
  <c r="Z8" i="8" l="1"/>
  <c r="BG8" i="8"/>
  <c r="AI11" i="8"/>
  <c r="BA11" i="8"/>
  <c r="BB11" i="8"/>
  <c r="BA10" i="8"/>
  <c r="AI10" i="8"/>
  <c r="BB10" i="8"/>
  <c r="S7" i="32"/>
  <c r="Q7" i="32" s="1"/>
  <c r="AD7" i="32"/>
  <c r="AC7" i="32" s="1"/>
  <c r="R7" i="32"/>
  <c r="AQ7" i="26"/>
  <c r="U7" i="26" s="1"/>
  <c r="S7" i="26" s="1"/>
  <c r="AP7" i="26"/>
  <c r="AJ11" i="8" l="1"/>
  <c r="AJ10" i="8"/>
  <c r="AI8" i="8"/>
  <c r="BA8" i="8"/>
  <c r="BB8" i="8"/>
  <c r="AL7" i="10"/>
  <c r="AK7" i="10"/>
  <c r="AJ8" i="8" l="1"/>
  <c r="W7" i="32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M7" i="32" l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B16" i="11" l="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M7" i="22" l="1"/>
  <c r="O7" i="19"/>
  <c r="BH7" i="19"/>
  <c r="AO7" i="19" s="1"/>
  <c r="BJ7" i="19"/>
  <c r="AP7" i="19" s="1"/>
  <c r="N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X7" i="10" l="1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B7" i="15"/>
  <c r="A7" i="15"/>
  <c r="A2" i="15" l="1"/>
  <c r="AC7" i="15"/>
  <c r="AA7" i="15"/>
  <c r="AE7" i="15"/>
  <c r="Z7" i="15"/>
  <c r="C2" i="14"/>
  <c r="C7" i="15" l="1"/>
  <c r="AB7" i="15" l="1"/>
  <c r="AD7" i="15"/>
  <c r="H7" i="15" s="1"/>
  <c r="B7" i="10"/>
  <c r="AD4" i="10"/>
  <c r="AG4" i="8"/>
  <c r="G3" i="15" l="1"/>
  <c r="G7" i="15"/>
  <c r="D7" i="10"/>
  <c r="F7" i="15" l="1"/>
  <c r="E7" i="15"/>
  <c r="AS8" i="2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>
  <authors>
    <author>ROG</author>
  </authors>
  <commentList>
    <comment ref="K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K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M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L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<sst xmlns="http://schemas.openxmlformats.org/spreadsheetml/2006/main" count="1602" uniqueCount="434">
  <si>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</si>
  <si>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</si>
  <si>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</si>
  <si>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</si>
  <si>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</si>
  <si>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</si>
  <si>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</si>
  <si>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</si>
  <si>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</si>
  <si>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</si>
  <si>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</si>
  <si>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</si>
  <si>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</si>
  <si>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</si>
  <si>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</si>
  <si>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</si>
  <si>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</si>
  <si>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</si>
  <si>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</si>
  <si>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</si>
  <si>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</si>
  <si>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</si>
  <si>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</si>
  <si>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</si>
  <si>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</si>
  <si>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</si>
  <si>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</si>
  <si>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</si>
  <si>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</si>
  <si>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</si>
  <si>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</si>
  <si>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</si>
  <si>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</si>
  <si>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</si>
  <si>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</si>
  <si>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</si>
  <si>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</si>
  <si>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</si>
  <si>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</si>
  <si>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</si>
  <si>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</si>
  <si>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</si>
  <si>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</si>
  <si>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</si>
  <si>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</si>
  <si>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</si>
  <si>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</si>
  <si>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</si>
  <si>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</si>
  <si>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</si>
  <si>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</si>
  <si>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</si>
  <si>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</si>
  <si>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</si>
  <si>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</si>
  <si>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</si>
  <si>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</si>
  <si>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</si>
  <si>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</si>
  <si>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</si>
  <si>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</si>
  <si>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</si>
  <si>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</si>
  <si>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</si>
  <si>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</si>
  <si>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</si>
  <si>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</si>
  <si>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</si>
  <si>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</si>
  <si>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</si>
  <si>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</si>
  <si>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</si>
  <si>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</si>
  <si>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</si>
  <si>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</si>
  <si>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</si>
  <si>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</si>
  <si>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</si>
  <si>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</si>
  <si>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</si>
  <si>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</si>
  <si>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</si>
  <si>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</si>
  <si>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</si>
  <si>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</si>
  <si>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</si>
  <si>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</si>
  <si>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</si>
  <si>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</si>
  <si>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</si>
  <si>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</si>
  <si>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</si>
  <si>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</si>
  <si>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</si>
  <si>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</si>
  <si>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</si>
  <si>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</si>
  <si>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</si>
  <si>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</si>
  <si>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</si>
  <si>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</si>
  <si>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</si>
  <si>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</si>
  <si>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</si>
  <si>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</si>
  <si>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</si>
  <si>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</si>
  <si>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</si>
  <si>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</si>
  <si>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</si>
  <si>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</si>
  <si>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</si>
  <si>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</si>
  <si>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</si>
  <si>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</si>
  <si>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</si>
  <si>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</si>
  <si>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</si>
  <si>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</si>
  <si>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</si>
  <si>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</si>
  <si>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</si>
  <si>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</si>
  <si>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</si>
  <si>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</si>
  <si>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</si>
  <si>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</si>
  <si>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</si>
  <si>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</si>
  <si>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</si>
  <si>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</si>
  <si>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</si>
  <si>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</si>
  <si>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</si>
  <si>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</si>
  <si>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</si>
  <si>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</si>
  <si>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</si>
  <si>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</si>
  <si>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</si>
  <si>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</si>
  <si>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</si>
  <si>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</si>
  <si>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</si>
  <si>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</si>
  <si>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</si>
  <si>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</si>
  <si>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</si>
  <si>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</si>
  <si>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</si>
  <si>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</si>
  <si>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</si>
  <si>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</si>
  <si>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우(K2)</t>
    <phoneticPr fontId="1" type="noConversion"/>
  </si>
  <si>
    <t>W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</si>
  <si>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</si>
  <si>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</si>
  <si>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</si>
  <si>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</si>
  <si>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</si>
  <si>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</si>
  <si>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</si>
  <si>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</si>
  <si>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</si>
  <si>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</si>
  <si>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</si>
  <si>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</si>
  <si>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</si>
  <si>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</si>
  <si>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</si>
  <si>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</si>
  <si>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</si>
  <si>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</si>
  <si>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</si>
  <si>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</si>
  <si>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</si>
  <si>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</si>
  <si>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</si>
  <si>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</si>
  <si>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</si>
  <si>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</si>
  <si>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</si>
  <si>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</si>
  <si>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</si>
  <si>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</si>
  <si>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</si>
  <si>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</si>
  <si>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</si>
  <si>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</si>
  <si>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</si>
  <si>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</si>
  <si>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</si>
  <si>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</si>
  <si>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</si>
  <si>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</si>
  <si>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</si>
  <si>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</si>
  <si>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</si>
  <si>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</si>
  <si>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</si>
  <si>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</si>
  <si>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</si>
  <si>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</si>
  <si>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</si>
  <si>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</si>
  <si>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</si>
  <si>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</si>
  <si>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</si>
  <si>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</si>
  <si>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</si>
  <si>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</si>
  <si>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</si>
  <si>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</si>
  <si>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</si>
  <si>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</si>
  <si>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</si>
  <si>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</si>
  <si>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</si>
  <si>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</si>
  <si>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</si>
  <si>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</si>
  <si>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</si>
  <si>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</si>
  <si>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</si>
  <si>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</si>
  <si>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</si>
  <si>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</si>
  <si>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</si>
  <si>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</si>
  <si>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</si>
  <si>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</si>
  <si>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</si>
  <si>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</si>
  <si>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</si>
  <si>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</si>
  <si>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</si>
  <si>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</si>
  <si>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</si>
  <si>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</si>
  <si>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</si>
  <si>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</si>
  <si>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</si>
  <si>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</si>
  <si>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</si>
  <si>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</si>
  <si>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</si>
  <si>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</si>
  <si>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</si>
  <si>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</si>
  <si>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</si>
  <si>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</si>
  <si>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</si>
  <si>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</si>
  <si>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</si>
  <si>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</si>
  <si>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</si>
  <si>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</si>
  <si>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</si>
  <si>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</si>
  <si>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</si>
  <si>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</si>
  <si>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</si>
  <si>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</si>
  <si>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</si>
  <si>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</si>
  <si>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</si>
  <si>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</si>
  <si>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</si>
  <si>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</si>
  <si>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</si>
  <si>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</si>
  <si>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</si>
  <si>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</si>
  <si>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</si>
  <si>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</si>
  <si>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</si>
  <si>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</si>
  <si>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</si>
  <si>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</si>
  <si>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</si>
  <si>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</si>
  <si>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</si>
  <si>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</si>
  <si>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</si>
  <si>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</si>
  <si>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</si>
  <si>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</si>
  <si>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</si>
  <si>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</si>
  <si>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</si>
  <si>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</si>
  <si>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</si>
  <si>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</si>
  <si>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</si>
  <si>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</si>
  <si>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</si>
  <si>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</si>
  <si>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</si>
  <si>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</si>
  <si>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</si>
  <si>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</si>
  <si>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</si>
  <si>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</si>
  <si>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</si>
  <si>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</si>
  <si>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</si>
  <si>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</si>
  <si>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</si>
  <si>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</si>
  <si>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</si>
  <si>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</si>
  <si>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</si>
  <si>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</si>
  <si>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</si>
  <si>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</si>
  <si>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</si>
  <si>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</si>
  <si>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</si>
  <si>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</si>
  <si>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</si>
  <si>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</si>
  <si>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</si>
  <si>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</si>
  <si>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</si>
  <si>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</si>
  <si>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</si>
  <si>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</si>
  <si>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</si>
  <si>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</si>
  <si>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이미래</t>
  </si>
  <si>
    <t>경기도 광명 철산주공13단지아파트</t>
  </si>
  <si>
    <t>추영덕</t>
  </si>
  <si>
    <t>HL Ecolor Bronze 1.2T</t>
  </si>
  <si>
    <t>1306-1</t>
  </si>
  <si>
    <t>1307-1</t>
  </si>
  <si>
    <t>1309-3</t>
  </si>
  <si>
    <t>1310-1</t>
  </si>
  <si>
    <t>1311-1</t>
  </si>
  <si>
    <t>15F</t>
  </si>
  <si>
    <t>841*105.4</t>
  </si>
  <si>
    <t>2092*113.4</t>
  </si>
  <si>
    <t>2092*108.4</t>
  </si>
  <si>
    <t>14F</t>
  </si>
  <si>
    <t>844*106.4</t>
  </si>
  <si>
    <t>2092*111.4</t>
  </si>
  <si>
    <t>13F</t>
  </si>
  <si>
    <t>849*109.4</t>
  </si>
  <si>
    <t>2092*118.4</t>
  </si>
  <si>
    <t>12F</t>
  </si>
  <si>
    <t>843*105.4</t>
  </si>
  <si>
    <t>2092*114.4</t>
  </si>
  <si>
    <t>11F</t>
  </si>
  <si>
    <t>841*109.4</t>
  </si>
  <si>
    <t>10F</t>
  </si>
  <si>
    <t>850*106.4</t>
  </si>
  <si>
    <t>2092*117.4</t>
  </si>
  <si>
    <t>9F</t>
  </si>
  <si>
    <t>848*109.4</t>
  </si>
  <si>
    <t>8F</t>
  </si>
  <si>
    <t>848*112.4</t>
  </si>
  <si>
    <t>2092*115.4</t>
  </si>
  <si>
    <t>7F</t>
  </si>
  <si>
    <t>843*104.4</t>
  </si>
  <si>
    <t>2092*110.4</t>
  </si>
  <si>
    <t>6F</t>
  </si>
  <si>
    <t>2092*109.4</t>
  </si>
  <si>
    <t>5F</t>
  </si>
  <si>
    <t>848*105.4</t>
  </si>
  <si>
    <t>4F</t>
  </si>
  <si>
    <t>843*109.4</t>
  </si>
  <si>
    <t>3F</t>
  </si>
  <si>
    <t>840*109.4</t>
  </si>
  <si>
    <t>2092*112.4</t>
  </si>
  <si>
    <t>2F</t>
  </si>
  <si>
    <t>842*104.4</t>
  </si>
  <si>
    <t>846*109.4</t>
  </si>
  <si>
    <t>836*112.4</t>
  </si>
  <si>
    <t>842*114.4</t>
  </si>
  <si>
    <t>849*110.4</t>
  </si>
  <si>
    <t>2092*116.4</t>
  </si>
  <si>
    <t>846*111.4</t>
  </si>
  <si>
    <t>844*109.4</t>
  </si>
  <si>
    <t>850*111.4</t>
  </si>
  <si>
    <t>849*112.4</t>
  </si>
  <si>
    <t>849*113.4</t>
  </si>
  <si>
    <t>851*110.4</t>
  </si>
  <si>
    <t>856*114.4</t>
  </si>
  <si>
    <t>2092*121.4</t>
  </si>
  <si>
    <t>848*113.4</t>
  </si>
  <si>
    <t>838*105.4</t>
  </si>
  <si>
    <t>840*104.4</t>
  </si>
  <si>
    <t>848*108.4</t>
  </si>
  <si>
    <t>842*107.4</t>
  </si>
  <si>
    <t>844*105.4</t>
  </si>
  <si>
    <t>837*108.4</t>
  </si>
  <si>
    <t>845*107.4</t>
  </si>
  <si>
    <t>840*106.4</t>
  </si>
  <si>
    <t>838*104.4</t>
  </si>
  <si>
    <t>837*104.4</t>
  </si>
  <si>
    <t>846*108.4</t>
  </si>
  <si>
    <t>844*104.4</t>
  </si>
  <si>
    <t>839*111.4</t>
  </si>
  <si>
    <t>833*113.4</t>
  </si>
  <si>
    <t>836*110.4</t>
  </si>
  <si>
    <t>836*109.4</t>
  </si>
  <si>
    <t>836*111.4</t>
  </si>
  <si>
    <t>837*111.4</t>
  </si>
  <si>
    <t>839*109.4</t>
  </si>
  <si>
    <t>840*110.4</t>
  </si>
  <si>
    <t>846*113.4</t>
  </si>
  <si>
    <t>841*113.4</t>
  </si>
  <si>
    <t>837*110.4</t>
  </si>
  <si>
    <t>846*112.4</t>
  </si>
  <si>
    <t>841*111.4</t>
  </si>
  <si>
    <t>841*108.4</t>
  </si>
  <si>
    <t>849*108.4</t>
  </si>
  <si>
    <t>2092*119.4</t>
  </si>
  <si>
    <t>847*112.4</t>
  </si>
  <si>
    <t>845*108.4</t>
  </si>
  <si>
    <t>843*107.4</t>
  </si>
  <si>
    <t>839*107.4</t>
  </si>
  <si>
    <t>837*112.4</t>
  </si>
  <si>
    <t>841*107.4</t>
  </si>
  <si>
    <t>좌SIDE</t>
  </si>
  <si>
    <t>우SIDE</t>
  </si>
  <si>
    <t>A</t>
  </si>
  <si>
    <t>B</t>
  </si>
  <si>
    <t>추영덕소장 따임</t>
    <phoneticPr fontId="1" type="noConversion"/>
  </si>
  <si>
    <t>SIDE좌</t>
    <phoneticPr fontId="1" type="noConversion"/>
  </si>
  <si>
    <t>G값보정</t>
    <phoneticPr fontId="1" type="noConversion"/>
  </si>
  <si>
    <t>상판W</t>
    <phoneticPr fontId="1" type="noConversion"/>
  </si>
  <si>
    <t>W</t>
    <phoneticPr fontId="1" type="noConversion"/>
  </si>
  <si>
    <t>H</t>
    <phoneticPr fontId="1" type="noConversion"/>
  </si>
  <si>
    <t>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</si>
</sst>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1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fo">
    <tabColor rgb="FFFFFF00"/>
  </sheetPr>
  <dimension ref="A1:L26"/>
  <sheetViews>
    <sheetView workbookViewId="0">
      <selection activeCell="B7" sqref="B7"/>
    </sheetView>
  </sheetViews>
  <sheetFormatPr defaultRowHeight="16.5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>
      <c r="A1" s="148" t="s">
        <v>37</v>
      </c>
      <c r="B1" s="117" t="s">
        <v>330</v>
      </c>
    </row>
    <row r="2" spans="1:12" ht="20.25" customHeight="1">
      <c r="A2" s="149" t="s">
        <v>36</v>
      </c>
      <c r="B2" s="39" t="str">
        <f>"(와이드) 실측서 ( " &amp; B1 &amp; " ) _"&amp;소장 &amp;"소장"</f>
        <v>(와이드) 실측서 ( 경기도 광명 철산주공13단지아파트 ) _추영덕소장</v>
      </c>
      <c r="C2" s="39" t="str">
        <f>"(와이드) 제작변환 자료( "&amp;B1&amp;" ) _"&amp;소장 &amp;"소장"</f>
        <v>(와이드) 제작변환 자료( 경기도 광명 철산주공13단지아파트 ) _추영덕소장</v>
      </c>
      <c r="D2" s="154" t="s">
        <v>312</v>
      </c>
      <c r="E2" s="150" t="str">
        <f>"(SO와이드) 실측서 ( " &amp; B1 &amp; " ) _"&amp;소장 &amp;"소장"</f>
        <v>(SO와이드) 실측서 ( 경기도 광명 철산주공13단지아파트 ) _추영덕소장</v>
      </c>
      <c r="F2" s="150" t="str">
        <f>"(SO와이드) 제작변환 ( " &amp; B1 &amp; " ) _"&amp;소장 &amp;"소장"</f>
        <v>(SO와이드) 제작변환 ( 경기도 광명 철산주공13단지아파트 ) _추영덕소장</v>
      </c>
      <c r="G2" s="152" t="s">
        <v>314</v>
      </c>
      <c r="H2" s="147" t="str">
        <f>"(4CO와이드) 실측서 ( " &amp; B1 &amp; " ) _"&amp;소장 &amp;"소장"</f>
        <v>(4CO와이드) 실측서 ( 경기도 광명 철산주공13단지아파트 ) _추영덕소장</v>
      </c>
      <c r="I2" s="147" t="str">
        <f>"(4CO와이드) 제작변환 ( " &amp; B1 &amp; " ) _"&amp;소장 &amp;"소장"</f>
        <v>(4CO와이드) 제작변환 ( 경기도 광명 철산주공13단지아파트 ) _추영덕소장</v>
      </c>
      <c r="J2" s="152" t="s">
        <v>316</v>
      </c>
      <c r="K2" s="153" t="str">
        <f>"(2UP) 실측서 ( " &amp; B1 &amp; " ) _"&amp;소장 &amp;"소장"</f>
        <v>(2UP) 실측서 ( 경기도 광명 철산주공13단지아파트 ) _추영덕소장</v>
      </c>
      <c r="L2" s="153" t="str">
        <f>"(2UP) 제작변환 ( " &amp; B1 &amp; " ) _"&amp;소장 &amp;"소장"</f>
        <v>(2UP) 제작변환 ( 경기도 광명 철산주공13단지아파트 ) _추영덕소장</v>
      </c>
    </row>
    <row r="3" spans="1:12" ht="20.25" customHeight="1">
      <c r="A3" s="149" t="s">
        <v>38</v>
      </c>
      <c r="B3" s="39" t="str">
        <f>"(멍텅구리) 실측서 ( " &amp; B1 &amp; " ) _"&amp;소장 &amp;"소장"</f>
        <v>(멍텅구리) 실측서 ( 경기도 광명 철산주공13단지아파트 ) _추영덕소장</v>
      </c>
      <c r="C3" s="39" t="str">
        <f>"(멍텅구리) 제작변환 자료( "&amp;B1&amp;" ) _"&amp;소장 &amp;"소장"</f>
        <v>(멍텅구리) 제작변환 자료( 경기도 광명 철산주공13단지아파트 ) _추영덕소장</v>
      </c>
      <c r="D3" s="154" t="s">
        <v>313</v>
      </c>
      <c r="E3" s="150" t="str">
        <f>"(SO멍텅구리) 실측서 ( " &amp; B1 &amp; " ) _"&amp;소장 &amp;"소장"</f>
        <v>(SO멍텅구리) 실측서 ( 경기도 광명 철산주공13단지아파트 ) _추영덕소장</v>
      </c>
      <c r="F3" s="150" t="str">
        <f>"(SO멍텅구리) 제작변환 ( " &amp; B1 &amp; " ) _"&amp;소장 &amp;"소장"</f>
        <v>(SO멍텅구리) 제작변환 ( 경기도 광명 철산주공13단지아파트 ) _추영덕소장</v>
      </c>
      <c r="G3" s="152" t="s">
        <v>315</v>
      </c>
      <c r="H3" s="147" t="str">
        <f>"(4CO멍텅구리) 실측서 ( " &amp; B1 &amp; " ) _"&amp;소장 &amp;"소장"</f>
        <v>(4CO멍텅구리) 실측서 ( 경기도 광명 철산주공13단지아파트 ) _추영덕소장</v>
      </c>
      <c r="I3" s="147" t="str">
        <f>"(4CO멍텅구리) 제작변환 ( " &amp; B1 &amp; " ) _"&amp;소장 &amp;"소장"</f>
        <v>(4CO멍텅구리) 제작변환 ( 경기도 광명 철산주공13단지아파트 ) _추영덕소장</v>
      </c>
      <c r="J3" s="152" t="s">
        <v>317</v>
      </c>
      <c r="K3" s="153" t="str">
        <f>"(3UP) 실측서 ( " &amp; B1 &amp; " ) _"&amp;소장 &amp;"소장"</f>
        <v>(3UP) 실측서 ( 경기도 광명 철산주공13단지아파트 ) _추영덕소장</v>
      </c>
      <c r="L3" s="153" t="str">
        <f>"(3UP) 제작변환 ( " &amp; B1 &amp; " ) _"&amp;소장 &amp;"소장"</f>
        <v>(3UP) 제작변환 ( 경기도 광명 철산주공13단지아파트 ) _추영덕소장</v>
      </c>
    </row>
    <row r="4" spans="1:12" ht="20.25" customHeight="1">
      <c r="A4" s="149" t="s">
        <v>39</v>
      </c>
      <c r="B4" s="39" t="str">
        <f>"(쪽쟘) 실측서 ( " &amp; B1 &amp; " ) _"&amp;소장 &amp;"소장"</f>
        <v>(쪽쟘) 실측서 ( 경기도 광명 철산주공13단지아파트 ) _추영덕소장</v>
      </c>
      <c r="C4" s="39" t="str">
        <f>"(쪽쟘) 제작변환 자료( "&amp;B1&amp;" ) _"&amp;소장 &amp;"소장"</f>
        <v>(쪽쟘) 제작변환 자료( 경기도 광명 철산주공13단지아파트 ) _추영덕소장</v>
      </c>
      <c r="D4" s="151"/>
      <c r="E4" s="151"/>
      <c r="F4" s="151"/>
      <c r="G4" s="151"/>
    </row>
    <row r="5" spans="1:12" ht="84" customHeight="1">
      <c r="A5" s="1" t="s">
        <v>287</v>
      </c>
      <c r="B5" s="69"/>
      <c r="D5" s="145" t="s">
        <v>318</v>
      </c>
    </row>
    <row r="6" spans="1:12" ht="27.75" customHeight="1">
      <c r="A6" s="144" t="s">
        <v>40</v>
      </c>
      <c r="B6" s="146" t="s">
        <v>331</v>
      </c>
    </row>
    <row r="7" spans="1:12" ht="16.5" customHeight="1">
      <c r="A7" s="72" t="s">
        <v>188</v>
      </c>
      <c r="B7" s="118" t="s">
        <v>332</v>
      </c>
    </row>
    <row r="8" spans="1:12" ht="16.5" customHeight="1">
      <c r="A8" s="76" t="s">
        <v>189</v>
      </c>
      <c r="B8" s="118" t="s">
        <v>288</v>
      </c>
    </row>
    <row r="9" spans="1:12" ht="16.5" customHeight="1">
      <c r="A9" s="71" t="s">
        <v>190</v>
      </c>
      <c r="B9" s="118" t="s">
        <v>288</v>
      </c>
    </row>
    <row r="10" spans="1:12" ht="16.5" customHeight="1">
      <c r="A10" s="89" t="s">
        <v>191</v>
      </c>
      <c r="B10" s="163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(1.2), JB/JD +(0 ),  늘어난치수K -(0),  C + (0),   U + (0), OP - (0), R - (0),  기둥차감 - (4), A + (0)</v>
      </c>
      <c r="C10" s="163"/>
    </row>
    <row r="11" spans="1:12" ht="16.5" customHeight="1">
      <c r="A11" s="90" t="s">
        <v>192</v>
      </c>
      <c r="B11" s="163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+(0 ),  늘어난치수K -(0),  C + (0),  U +(0), OP - (0), R - (0),  기둥차감 - (4),  A + (0)</v>
      </c>
      <c r="C11" s="163"/>
    </row>
    <row r="12" spans="1:12" ht="16.5" customHeight="1">
      <c r="A12" s="90" t="s">
        <v>193</v>
      </c>
      <c r="B12" s="163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3"/>
    </row>
    <row r="13" spans="1:12" ht="16.5" customHeight="1">
      <c r="A13" s="90" t="s">
        <v>246</v>
      </c>
      <c r="B13" s="163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(1.2), JB/JD +(0 ),  늘어난치수K -(0),  C + (0),   U + (0), OP - (0), R - (0),  기둥차감 - (4),  A + (0)</v>
      </c>
      <c r="C13" s="163"/>
    </row>
    <row r="14" spans="1:12" ht="16.5" customHeight="1">
      <c r="A14" s="90" t="s">
        <v>247</v>
      </c>
      <c r="B14" s="163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+(0 ),  늘어난치수K -(0),  C + (0),  U +(0), OP1/OP2 - (0), R - (0),  기둥차감 - (4), A + (0)</v>
      </c>
      <c r="C14" s="163"/>
    </row>
    <row r="15" spans="1:12" ht="16.5" customHeight="1">
      <c r="A15" s="90" t="s">
        <v>252</v>
      </c>
      <c r="B15" s="163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(1.2), JB/JD +(0 ),  늘어난치수K -(0),  C + (0),   U + (0), OP1/OP3 - (0), R - (0),  기둥차감 - (4), A + (0)</v>
      </c>
      <c r="C15" s="163"/>
    </row>
    <row r="16" spans="1:12" ht="16.5" customHeight="1">
      <c r="A16" s="90" t="s">
        <v>253</v>
      </c>
      <c r="B16" s="163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+(0 ),  늘어난치수K -(0),  C + (0),  U +(0), OP1/OP3 - (0), R - (0),  기둥차감 - (4), A + (0)</v>
      </c>
      <c r="C16" s="163"/>
    </row>
    <row r="17" spans="1:3" ht="16.5" customHeight="1">
      <c r="A17" s="90" t="s">
        <v>267</v>
      </c>
      <c r="B17" s="163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+(0 ),  늘어난치수K -(0),  C + (0),   U + (0), OP - (0), R - (0),  기둥차감 - (4), A + (0)</v>
      </c>
      <c r="C17" s="163"/>
    </row>
    <row r="18" spans="1:3" ht="16.5" customHeight="1">
      <c r="A18" s="90" t="s">
        <v>268</v>
      </c>
      <c r="B18" s="163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+(0 ),  늘어난치수K -(0),  C + (0),   U + (0), OP - (0), R - (0),  기둥차감 - (4), A + (0)</v>
      </c>
      <c r="C18" s="163"/>
    </row>
    <row r="21" spans="1:3">
      <c r="B21" t="s">
        <v>266</v>
      </c>
    </row>
    <row r="23" spans="1:3" ht="37.5" customHeight="1">
      <c r="A23" s="22" t="s">
        <v>294</v>
      </c>
      <c r="B23" s="124" t="s">
        <v>329</v>
      </c>
    </row>
    <row r="26" spans="1:3">
      <c r="A26">
        <v>20231101</v>
      </c>
      <c r="B26" t="s">
        <v>328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data!$E$4:$E$14</xm:f>
          </x14:formula1>
          <xm:sqref>B6</xm:sqref>
        </x14:dataValidation>
        <x14:dataValidation type="list" showInputMessage="1" showErrorMessage="1">
          <x14:formula1>
            <xm:f>data!$D$3:$D$10</xm:f>
          </x14:formula1>
          <xm:sqref>B5</xm:sqref>
        </x14:dataValidation>
        <x14:dataValidation type="list" allowBlank="1" showInputMessage="1" showErrorMessage="1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Q16"/>
  <sheetViews>
    <sheetView workbookViewId="0">
      <selection activeCell="D5" sqref="D5"/>
    </sheetView>
  </sheetViews>
  <sheetFormatPr defaultRowHeight="16.5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1</v>
      </c>
      <c r="D2" s="3" t="str">
        <f>정보!B1</f>
        <v>경기도 광명 철산주공13단지아파트</v>
      </c>
      <c r="E2" s="3" t="str">
        <f>정보!B6</f>
        <v>추영덕</v>
      </c>
      <c r="F2" s="3" t="str">
        <f>정보!B7</f>
        <v>HL Ecolor Bronze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45274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/>
    <row r="4" spans="1:17" ht="60.75" customHeight="1">
      <c r="D4" t="s">
        <v>201</v>
      </c>
      <c r="E4" t="s">
        <v>212</v>
      </c>
    </row>
    <row r="5" spans="1:17" ht="60.75" customHeight="1">
      <c r="D5" t="s">
        <v>293</v>
      </c>
      <c r="E5" t="s">
        <v>213</v>
      </c>
      <c r="G5" t="s">
        <v>295</v>
      </c>
    </row>
    <row r="6" spans="1:17" ht="60.75" customHeight="1">
      <c r="D6" t="s">
        <v>204</v>
      </c>
      <c r="E6" t="s">
        <v>214</v>
      </c>
      <c r="G6" t="s">
        <v>296</v>
      </c>
    </row>
    <row r="7" spans="1:17" ht="60.75" customHeight="1">
      <c r="D7" t="s">
        <v>205</v>
      </c>
      <c r="E7" t="s">
        <v>215</v>
      </c>
    </row>
    <row r="8" spans="1:17" ht="67.5" customHeight="1">
      <c r="D8" t="s">
        <v>206</v>
      </c>
      <c r="E8" t="s">
        <v>216</v>
      </c>
    </row>
    <row r="9" spans="1:17" ht="62.25" customHeight="1">
      <c r="D9" t="s">
        <v>286</v>
      </c>
      <c r="E9" t="s">
        <v>217</v>
      </c>
    </row>
    <row r="10" spans="1:17" ht="62.25" customHeight="1">
      <c r="D10" t="s">
        <v>211</v>
      </c>
      <c r="E10" t="s">
        <v>218</v>
      </c>
    </row>
    <row r="11" spans="1:17" ht="71.25" customHeight="1">
      <c r="E11" t="s">
        <v>219</v>
      </c>
    </row>
    <row r="12" spans="1:17" ht="62.25" customHeight="1">
      <c r="E12" t="s">
        <v>310</v>
      </c>
    </row>
    <row r="13" spans="1:17" ht="62.25" customHeight="1">
      <c r="E13" t="s">
        <v>297</v>
      </c>
    </row>
    <row r="14" spans="1:17" ht="62.25" customHeight="1">
      <c r="E14" t="s">
        <v>311</v>
      </c>
    </row>
    <row r="15" spans="1:17" ht="66.75" customHeight="1"/>
    <row r="16" spans="1:17" ht="60.75" customHeight="1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sheet">
    <pageSetUpPr fitToPage="1"/>
  </sheetPr>
  <dimension ref="A1:AS27"/>
  <sheetViews>
    <sheetView zoomScale="85" zoomScaleNormal="85" workbookViewId="0">
      <selection activeCell="AE7" sqref="AE7:AF11"/>
    </sheetView>
  </sheetViews>
  <sheetFormatPr defaultRowHeight="16.5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>
      <c r="A1" s="168" t="str">
        <f>정보!B2</f>
        <v>(와이드) 실측서 ( 경기도 광명 철산주공13단지아파트 ) _추영덕소장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7"/>
      <c r="Z2" s="167"/>
      <c r="AA2" s="167"/>
      <c r="AB2" s="167"/>
      <c r="AC2" s="167"/>
      <c r="AD2" s="167"/>
      <c r="AE2" s="1"/>
      <c r="AF2" s="1"/>
      <c r="AG2" s="1"/>
      <c r="AH2" s="1"/>
      <c r="AI2" s="1"/>
      <c r="AJ2" s="1"/>
    </row>
    <row r="3" spans="1:45" ht="33" customHeight="1">
      <c r="A3" s="126" t="str">
        <f>"현장명 : " &amp; 정보!B1 &amp; ",   (재질) : " &amp; 정보!B7</f>
        <v>현장명 : 경기도 광명 철산주공13단지아파트,   (재질) : HL Ecolor Bronze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6" t="s">
        <v>98</v>
      </c>
      <c r="M3" s="176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7"/>
      <c r="Z3" s="167"/>
      <c r="AA3" s="167"/>
      <c r="AB3" s="167"/>
      <c r="AC3" s="167"/>
      <c r="AD3" s="167"/>
      <c r="AE3" s="34"/>
      <c r="AF3" s="34"/>
      <c r="AG3" s="34"/>
      <c r="AH3" s="34"/>
      <c r="AI3" s="34"/>
      <c r="AJ3" s="34"/>
    </row>
    <row r="4" spans="1:45" ht="33" customHeight="1">
      <c r="A4" s="165" t="str">
        <f>정보!B10</f>
        <v>제작치수 반영 : MH + (1.2), JB/JD +(0 ),  늘어난치수K -(0),  C + (0),   U + (0), OP - (0), R - (0),  기둥차감 - (4), A + (0)</v>
      </c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4"/>
      <c r="W4" s="164"/>
      <c r="X4" s="164"/>
      <c r="Y4" s="164"/>
      <c r="Z4" s="164"/>
      <c r="AA4" s="164"/>
      <c r="AB4" s="164"/>
      <c r="AC4" s="164"/>
      <c r="AD4" s="166"/>
      <c r="AE4" s="175" t="s">
        <v>210</v>
      </c>
      <c r="AF4" s="175"/>
      <c r="AG4" s="75"/>
      <c r="AH4" s="9"/>
      <c r="AI4" s="9"/>
      <c r="AJ4" s="9"/>
    </row>
    <row r="5" spans="1:45" ht="25.9" customHeight="1">
      <c r="A5" s="177" t="s">
        <v>0</v>
      </c>
      <c r="B5" s="169" t="s">
        <v>1</v>
      </c>
      <c r="C5" s="169" t="s">
        <v>2</v>
      </c>
      <c r="D5" s="169" t="s">
        <v>24</v>
      </c>
      <c r="E5" s="169" t="s">
        <v>3</v>
      </c>
      <c r="F5" s="169" t="s">
        <v>18</v>
      </c>
      <c r="G5" s="169" t="s">
        <v>4</v>
      </c>
      <c r="H5" s="169" t="s">
        <v>5</v>
      </c>
      <c r="I5" s="169" t="s">
        <v>6</v>
      </c>
      <c r="J5" s="169" t="s">
        <v>7</v>
      </c>
      <c r="K5" s="169" t="s">
        <v>47</v>
      </c>
      <c r="L5" s="169" t="s">
        <v>9</v>
      </c>
      <c r="M5" s="169" t="s">
        <v>12</v>
      </c>
      <c r="N5" s="169" t="s">
        <v>13</v>
      </c>
      <c r="O5" s="169" t="s">
        <v>10</v>
      </c>
      <c r="P5" s="169" t="s">
        <v>11</v>
      </c>
      <c r="Q5" s="169" t="s">
        <v>14</v>
      </c>
      <c r="R5" s="169" t="s">
        <v>15</v>
      </c>
      <c r="S5" s="169" t="s">
        <v>16</v>
      </c>
      <c r="T5" s="169" t="s">
        <v>17</v>
      </c>
      <c r="U5" s="169" t="s">
        <v>19</v>
      </c>
      <c r="V5" s="170" t="s">
        <v>48</v>
      </c>
      <c r="W5" s="170" t="s">
        <v>22</v>
      </c>
      <c r="X5" s="170" t="s">
        <v>23</v>
      </c>
      <c r="Y5" s="169" t="s">
        <v>21</v>
      </c>
      <c r="Z5" s="169"/>
      <c r="AA5" s="169"/>
      <c r="AB5" s="169"/>
      <c r="AC5" s="171" t="s">
        <v>91</v>
      </c>
      <c r="AD5" s="171" t="s">
        <v>92</v>
      </c>
      <c r="AE5" s="173" t="s">
        <v>207</v>
      </c>
      <c r="AF5" s="174"/>
      <c r="AG5" s="170" t="s">
        <v>194</v>
      </c>
      <c r="AH5" s="170" t="s">
        <v>198</v>
      </c>
      <c r="AI5" s="170"/>
      <c r="AJ5" s="170"/>
    </row>
    <row r="6" spans="1:45" ht="44.25" customHeight="1">
      <c r="A6" s="177"/>
      <c r="B6" s="169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70"/>
      <c r="X6" s="170"/>
      <c r="Y6" s="8" t="s">
        <v>43</v>
      </c>
      <c r="Z6" s="8" t="s">
        <v>44</v>
      </c>
      <c r="AA6" s="8" t="s">
        <v>45</v>
      </c>
      <c r="AB6" s="8" t="s">
        <v>46</v>
      </c>
      <c r="AC6" s="172"/>
      <c r="AD6" s="172"/>
      <c r="AE6" s="74" t="s">
        <v>208</v>
      </c>
      <c r="AF6" s="74" t="s">
        <v>209</v>
      </c>
      <c r="AG6" s="169"/>
      <c r="AH6" s="4" t="s">
        <v>195</v>
      </c>
      <c r="AI6" s="4" t="s">
        <v>196</v>
      </c>
      <c r="AJ6" s="4" t="s">
        <v>197</v>
      </c>
      <c r="AK6" s="52" t="s">
        <v>116</v>
      </c>
    </row>
    <row r="7" spans="1:45" s="3" customFormat="1" ht="23.25" customHeight="1">
      <c r="A7" s="127" t="s">
        <v>333</v>
      </c>
      <c r="B7" s="4">
        <v>1</v>
      </c>
      <c r="C7" s="4">
        <v>179.5</v>
      </c>
      <c r="D7" s="4">
        <v>179.5</v>
      </c>
      <c r="E7" s="4">
        <v>794</v>
      </c>
      <c r="F7" s="4">
        <v>906</v>
      </c>
      <c r="G7" s="4">
        <v>262</v>
      </c>
      <c r="H7" s="4">
        <v>262</v>
      </c>
      <c r="I7" s="4">
        <v>287</v>
      </c>
      <c r="J7" s="4">
        <v>287</v>
      </c>
      <c r="K7" s="13">
        <v>45</v>
      </c>
      <c r="L7" s="13">
        <v>45</v>
      </c>
      <c r="M7" s="4"/>
      <c r="N7" s="4"/>
      <c r="O7" s="4">
        <v>21</v>
      </c>
      <c r="P7" s="4">
        <v>13</v>
      </c>
      <c r="Q7" s="4">
        <v>2089</v>
      </c>
      <c r="R7" s="4">
        <v>2086</v>
      </c>
      <c r="S7" s="4">
        <v>2086</v>
      </c>
      <c r="T7" s="4">
        <v>2085</v>
      </c>
      <c r="U7" s="4">
        <v>42</v>
      </c>
      <c r="V7" s="4">
        <v>0</v>
      </c>
      <c r="W7" s="4">
        <v>25</v>
      </c>
      <c r="X7" s="4">
        <v>30</v>
      </c>
      <c r="Y7" s="4">
        <v>6</v>
      </c>
      <c r="Z7" s="4">
        <v>6</v>
      </c>
      <c r="AA7" s="4">
        <v>6</v>
      </c>
      <c r="AB7" s="4">
        <v>6</v>
      </c>
      <c r="AC7" s="4"/>
      <c r="AD7" s="4"/>
      <c r="AE7" s="4">
        <v>30</v>
      </c>
      <c r="AF7" s="4">
        <v>30</v>
      </c>
      <c r="AG7" s="4"/>
      <c r="AH7" s="4">
        <v>20</v>
      </c>
      <c r="AI7" s="4">
        <v>10</v>
      </c>
      <c r="AJ7" s="4">
        <v>10</v>
      </c>
      <c r="AK7" s="53"/>
      <c r="AL7" s="3">
        <f>Y7+$AK7</f>
        <v>6</v>
      </c>
      <c r="AM7" s="3">
        <f>Z7+$AK7</f>
        <v>6</v>
      </c>
      <c r="AN7" s="3">
        <f>AA7+$AK7</f>
        <v>6</v>
      </c>
      <c r="AO7" s="3">
        <f>AB7+$AK7</f>
        <v>6</v>
      </c>
      <c r="AP7" s="3">
        <f>G7-$AK7</f>
        <v>262</v>
      </c>
      <c r="AQ7" s="3">
        <f>H7-$AK7</f>
        <v>262</v>
      </c>
      <c r="AR7" s="3">
        <f>I7-$AK7</f>
        <v>287</v>
      </c>
      <c r="AS7" s="3">
        <f>J7-$AK7</f>
        <v>287</v>
      </c>
    </row>
    <row r="8" spans="1:45" ht="23.25" customHeight="1">
      <c r="A8" s="127" t="s">
        <v>334</v>
      </c>
      <c r="B8" s="4">
        <v>1</v>
      </c>
      <c r="C8" s="4">
        <v>259.5</v>
      </c>
      <c r="D8" s="4">
        <v>259.5</v>
      </c>
      <c r="E8" s="4">
        <v>793</v>
      </c>
      <c r="F8" s="4">
        <v>906</v>
      </c>
      <c r="G8" s="4">
        <v>262</v>
      </c>
      <c r="H8" s="4">
        <v>262</v>
      </c>
      <c r="I8" s="4">
        <v>284</v>
      </c>
      <c r="J8" s="4">
        <v>284</v>
      </c>
      <c r="K8" s="13">
        <v>45</v>
      </c>
      <c r="L8" s="13">
        <v>45</v>
      </c>
      <c r="M8" s="4"/>
      <c r="N8" s="4"/>
      <c r="O8" s="4">
        <v>16</v>
      </c>
      <c r="P8" s="4">
        <v>16</v>
      </c>
      <c r="Q8" s="4">
        <v>2098</v>
      </c>
      <c r="R8" s="4">
        <v>2090</v>
      </c>
      <c r="S8" s="4">
        <v>2095</v>
      </c>
      <c r="T8" s="4">
        <v>2088</v>
      </c>
      <c r="U8" s="4">
        <v>36</v>
      </c>
      <c r="V8" s="4">
        <v>0</v>
      </c>
      <c r="W8" s="4">
        <v>25</v>
      </c>
      <c r="X8" s="4">
        <v>30</v>
      </c>
      <c r="Y8" s="4">
        <v>6</v>
      </c>
      <c r="Z8" s="4">
        <v>6</v>
      </c>
      <c r="AA8" s="4">
        <v>6</v>
      </c>
      <c r="AB8" s="4">
        <v>6</v>
      </c>
      <c r="AC8" s="4"/>
      <c r="AD8" s="4"/>
      <c r="AE8" s="4">
        <v>30</v>
      </c>
      <c r="AF8" s="4">
        <v>30</v>
      </c>
      <c r="AG8" s="4"/>
      <c r="AH8" s="4">
        <v>20</v>
      </c>
      <c r="AI8" s="4">
        <v>10</v>
      </c>
      <c r="AJ8" s="4">
        <v>10</v>
      </c>
      <c r="AK8" s="53"/>
      <c r="AL8" s="3">
        <f t="shared" ref="AL8" si="0">Y8+$AK8</f>
        <v>6</v>
      </c>
      <c r="AM8" s="3">
        <f>Z8+$AK8</f>
        <v>6</v>
      </c>
      <c r="AN8" s="3">
        <f>AA8+$AK8</f>
        <v>6</v>
      </c>
      <c r="AO8" s="3">
        <f>AB8+$AK8</f>
        <v>6</v>
      </c>
      <c r="AP8" s="3">
        <f t="shared" ref="AP8" si="1">G8-$AK8</f>
        <v>262</v>
      </c>
      <c r="AQ8" s="3">
        <f>H8-$AK8</f>
        <v>262</v>
      </c>
      <c r="AR8" s="3">
        <f>I8-$AK8</f>
        <v>284</v>
      </c>
      <c r="AS8" s="3">
        <f>J8-$AK8</f>
        <v>284</v>
      </c>
    </row>
    <row r="9" spans="1:45" ht="23.25" customHeight="1">
      <c r="A9" s="127" t="s">
        <v>335</v>
      </c>
      <c r="B9" s="4">
        <v>1</v>
      </c>
      <c r="C9" s="4">
        <v>369.5</v>
      </c>
      <c r="D9" s="4">
        <v>369.5</v>
      </c>
      <c r="E9" s="4">
        <v>793</v>
      </c>
      <c r="F9" s="4">
        <v>904</v>
      </c>
      <c r="G9" s="4">
        <v>262</v>
      </c>
      <c r="H9" s="4">
        <v>262</v>
      </c>
      <c r="I9" s="4">
        <v>284</v>
      </c>
      <c r="J9" s="4">
        <v>284</v>
      </c>
      <c r="K9" s="13">
        <v>45</v>
      </c>
      <c r="L9" s="13">
        <v>45</v>
      </c>
      <c r="M9" s="4"/>
      <c r="N9" s="4"/>
      <c r="O9" s="4">
        <v>13</v>
      </c>
      <c r="P9" s="4">
        <v>13</v>
      </c>
      <c r="Q9" s="4">
        <v>2095</v>
      </c>
      <c r="R9" s="4">
        <v>2089</v>
      </c>
      <c r="S9" s="4">
        <v>2098</v>
      </c>
      <c r="T9" s="4">
        <v>2089</v>
      </c>
      <c r="U9" s="4">
        <v>31</v>
      </c>
      <c r="V9" s="4">
        <v>0</v>
      </c>
      <c r="W9" s="4">
        <v>25</v>
      </c>
      <c r="X9" s="4">
        <v>30</v>
      </c>
      <c r="Y9" s="4">
        <v>6</v>
      </c>
      <c r="Z9" s="4">
        <v>6</v>
      </c>
      <c r="AA9" s="4">
        <v>6</v>
      </c>
      <c r="AB9" s="4">
        <v>6</v>
      </c>
      <c r="AC9" s="4"/>
      <c r="AD9" s="4"/>
      <c r="AE9" s="4">
        <v>30</v>
      </c>
      <c r="AF9" s="4">
        <v>30</v>
      </c>
      <c r="AG9" s="4"/>
      <c r="AH9" s="4">
        <v>20</v>
      </c>
      <c r="AI9" s="4">
        <v>10</v>
      </c>
      <c r="AJ9" s="4">
        <v>10</v>
      </c>
    </row>
    <row r="10" spans="1:45" ht="23.25" customHeight="1">
      <c r="A10" s="127" t="s">
        <v>336</v>
      </c>
      <c r="B10" s="4">
        <v>1</v>
      </c>
      <c r="C10" s="4">
        <v>203.5</v>
      </c>
      <c r="D10" s="4">
        <v>203.5</v>
      </c>
      <c r="E10" s="4">
        <v>793</v>
      </c>
      <c r="F10" s="4">
        <v>905</v>
      </c>
      <c r="G10" s="4">
        <v>262</v>
      </c>
      <c r="H10" s="4">
        <v>262</v>
      </c>
      <c r="I10" s="4">
        <v>284</v>
      </c>
      <c r="J10" s="4">
        <v>284</v>
      </c>
      <c r="K10" s="13">
        <v>45</v>
      </c>
      <c r="L10" s="13">
        <v>45</v>
      </c>
      <c r="M10" s="4"/>
      <c r="N10" s="4"/>
      <c r="O10" s="4">
        <v>14</v>
      </c>
      <c r="P10" s="4">
        <v>15</v>
      </c>
      <c r="Q10" s="4">
        <v>2089</v>
      </c>
      <c r="R10" s="4">
        <v>2088</v>
      </c>
      <c r="S10" s="4">
        <v>2085</v>
      </c>
      <c r="T10" s="4">
        <v>2086</v>
      </c>
      <c r="U10" s="4">
        <v>51</v>
      </c>
      <c r="V10" s="4">
        <v>0</v>
      </c>
      <c r="W10" s="4">
        <v>25</v>
      </c>
      <c r="X10" s="4">
        <v>30</v>
      </c>
      <c r="Y10" s="4">
        <v>10</v>
      </c>
      <c r="Z10" s="4">
        <v>10</v>
      </c>
      <c r="AA10" s="4">
        <v>13</v>
      </c>
      <c r="AB10" s="4">
        <v>13</v>
      </c>
      <c r="AC10" s="4"/>
      <c r="AD10" s="4"/>
      <c r="AE10" s="4">
        <v>34</v>
      </c>
      <c r="AF10" s="4">
        <v>37</v>
      </c>
      <c r="AG10" s="4"/>
      <c r="AH10" s="4">
        <v>20</v>
      </c>
      <c r="AI10" s="4">
        <v>10</v>
      </c>
      <c r="AJ10" s="4">
        <v>10</v>
      </c>
    </row>
    <row r="11" spans="1:45" ht="23.25" customHeight="1">
      <c r="A11" s="127" t="s">
        <v>337</v>
      </c>
      <c r="B11" s="4">
        <v>1</v>
      </c>
      <c r="C11" s="4">
        <v>258.5</v>
      </c>
      <c r="D11" s="4">
        <v>258.5</v>
      </c>
      <c r="E11" s="4">
        <v>789</v>
      </c>
      <c r="F11" s="4">
        <v>906</v>
      </c>
      <c r="G11" s="4">
        <v>262</v>
      </c>
      <c r="H11" s="4">
        <v>262</v>
      </c>
      <c r="I11" s="4">
        <v>286</v>
      </c>
      <c r="J11" s="4">
        <v>286</v>
      </c>
      <c r="K11" s="13">
        <v>45</v>
      </c>
      <c r="L11" s="13">
        <v>45</v>
      </c>
      <c r="M11" s="4"/>
      <c r="N11" s="4"/>
      <c r="O11" s="4">
        <v>11</v>
      </c>
      <c r="P11" s="4">
        <v>13</v>
      </c>
      <c r="Q11" s="4">
        <v>2096</v>
      </c>
      <c r="R11" s="4">
        <v>2091</v>
      </c>
      <c r="S11" s="4">
        <v>2100</v>
      </c>
      <c r="T11" s="4">
        <v>2093</v>
      </c>
      <c r="U11" s="4">
        <v>41</v>
      </c>
      <c r="V11" s="4">
        <v>0</v>
      </c>
      <c r="W11" s="4">
        <v>25</v>
      </c>
      <c r="X11" s="4">
        <v>30</v>
      </c>
      <c r="Y11" s="4">
        <v>8</v>
      </c>
      <c r="Z11" s="4">
        <v>8</v>
      </c>
      <c r="AA11" s="4">
        <v>8</v>
      </c>
      <c r="AB11" s="4">
        <v>8</v>
      </c>
      <c r="AC11" s="4"/>
      <c r="AD11" s="4"/>
      <c r="AE11" s="4">
        <v>32</v>
      </c>
      <c r="AF11" s="4">
        <v>32</v>
      </c>
      <c r="AG11" s="4"/>
      <c r="AH11" s="4">
        <v>20</v>
      </c>
      <c r="AI11" s="4">
        <v>10</v>
      </c>
      <c r="AJ11" s="4">
        <v>10</v>
      </c>
    </row>
    <row r="12" spans="1:45" ht="23.25" customHeight="1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make">
    <tabColor rgb="FF00B050"/>
    <pageSetUpPr fitToPage="1"/>
  </sheetPr>
  <dimension ref="A1:BI11"/>
  <sheetViews>
    <sheetView zoomScale="85" zoomScaleNormal="85" workbookViewId="0">
      <selection activeCell="BI15" sqref="BI15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>
      <c r="A1" s="178" t="str">
        <f>정보!C2</f>
        <v>(와이드) 제작변환 자료( 경기도 광명 철산주공13단지아파트 ) _추영덕소장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37"/>
      <c r="AT1" s="37"/>
    </row>
    <row r="2" spans="1:61" ht="29.25" customHeight="1">
      <c r="A2" s="23" t="s">
        <v>96</v>
      </c>
      <c r="B2" s="105">
        <v>0</v>
      </c>
      <c r="C2" s="27" t="s">
        <v>86</v>
      </c>
      <c r="D2" s="29">
        <v>0</v>
      </c>
      <c r="E2" s="27"/>
      <c r="F2" s="27" t="s">
        <v>87</v>
      </c>
      <c r="G2" s="30">
        <v>1.2</v>
      </c>
      <c r="H2" s="1"/>
      <c r="I2" s="219" t="s">
        <v>113</v>
      </c>
      <c r="J2" s="220"/>
      <c r="K2" s="220"/>
      <c r="L2" s="220"/>
      <c r="M2" s="221">
        <v>1</v>
      </c>
      <c r="N2" s="221"/>
      <c r="O2" s="191" t="s">
        <v>89</v>
      </c>
      <c r="P2" s="192"/>
      <c r="Q2" s="193">
        <v>0</v>
      </c>
      <c r="R2" s="193"/>
      <c r="S2" s="169" t="s">
        <v>83</v>
      </c>
      <c r="T2" s="195"/>
      <c r="U2" s="195"/>
      <c r="V2" s="196">
        <v>4</v>
      </c>
      <c r="W2" s="196"/>
      <c r="X2" s="214" t="s">
        <v>200</v>
      </c>
      <c r="Y2" s="215"/>
      <c r="Z2" s="218">
        <f>정보!B5</f>
        <v>0</v>
      </c>
      <c r="AA2" s="218"/>
      <c r="AB2" s="218"/>
      <c r="AC2" s="218"/>
      <c r="AD2" s="218"/>
      <c r="AE2" s="218"/>
      <c r="AF2" s="218"/>
      <c r="AG2" s="218"/>
      <c r="AH2" s="216" t="s">
        <v>90</v>
      </c>
      <c r="AI2" s="217"/>
      <c r="AJ2" s="228">
        <v>0</v>
      </c>
      <c r="AK2" s="228"/>
      <c r="AL2" s="1"/>
      <c r="AM2" s="183" t="s">
        <v>224</v>
      </c>
      <c r="AN2" s="225"/>
      <c r="AO2" s="226">
        <v>0</v>
      </c>
      <c r="AP2" s="226"/>
      <c r="AQ2" s="1"/>
      <c r="AR2" s="1"/>
    </row>
    <row r="3" spans="1:61" ht="24.75" customHeight="1">
      <c r="A3" s="28" t="str">
        <f>'와이드(실측)'!A3</f>
        <v>현장명 : 경기도 광명 철산주공13단지아파트,   (재질) : HL Ecolor Bronze 1.2T</v>
      </c>
      <c r="B3" s="2"/>
      <c r="C3" s="2"/>
      <c r="D3" s="2"/>
      <c r="E3" s="2"/>
      <c r="F3" s="2"/>
      <c r="G3" s="2"/>
      <c r="H3" s="2"/>
      <c r="I3" s="191" t="s">
        <v>223</v>
      </c>
      <c r="J3" s="191"/>
      <c r="K3" s="191"/>
      <c r="L3" s="191"/>
      <c r="M3" s="222">
        <v>0</v>
      </c>
      <c r="N3" s="222"/>
      <c r="O3" s="192" t="s">
        <v>77</v>
      </c>
      <c r="P3" s="192"/>
      <c r="Q3" s="199">
        <v>0</v>
      </c>
      <c r="R3" s="199"/>
      <c r="S3" s="200" t="s">
        <v>222</v>
      </c>
      <c r="T3" s="200"/>
      <c r="U3" s="200"/>
      <c r="V3" s="201">
        <f>BI7</f>
        <v>1</v>
      </c>
      <c r="W3" s="201"/>
      <c r="X3" s="194" t="s">
        <v>78</v>
      </c>
      <c r="Y3" s="194"/>
      <c r="Z3" s="202">
        <v>0</v>
      </c>
      <c r="AA3" s="202"/>
      <c r="AC3" s="203" t="s">
        <v>305</v>
      </c>
      <c r="AD3" s="203"/>
      <c r="AE3" s="203">
        <f>'와이드(실측)'!Y7</f>
        <v>6</v>
      </c>
      <c r="AF3" s="203"/>
      <c r="AG3" s="3"/>
      <c r="AH3" s="213" t="s">
        <v>73</v>
      </c>
      <c r="AI3" s="213"/>
      <c r="AJ3" s="26">
        <v>4</v>
      </c>
      <c r="AK3" s="15" t="s">
        <v>74</v>
      </c>
      <c r="AL3" s="14">
        <v>4</v>
      </c>
      <c r="AM3" s="227" t="s">
        <v>225</v>
      </c>
      <c r="AN3" s="227"/>
      <c r="AO3" s="229" t="s">
        <v>319</v>
      </c>
      <c r="AP3" s="230"/>
      <c r="AQ3" s="233">
        <f>AU7</f>
        <v>11.802434207783548</v>
      </c>
      <c r="AR3" s="234"/>
      <c r="BI3" s="179" t="s">
        <v>248</v>
      </c>
    </row>
    <row r="4" spans="1:61" ht="33" customHeight="1">
      <c r="A4" s="204" t="str">
        <f>정보!B10</f>
        <v>제작치수 반영 : MH + (1.2), JB/JD +(0 ),  늘어난치수K -(0),  C + (0),   U + (0), OP - (0), R - (0),  기둥차감 - (4), A + (0)</v>
      </c>
      <c r="B4" s="204"/>
      <c r="C4" s="204"/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  <c r="AD4" s="204"/>
      <c r="AE4" s="204"/>
      <c r="AF4" s="204"/>
      <c r="AG4" s="224">
        <f ca="1">TODAY()</f>
        <v>45274</v>
      </c>
      <c r="AH4" s="164"/>
      <c r="AI4" s="164"/>
      <c r="AJ4" s="9"/>
      <c r="AK4" s="223" t="s">
        <v>117</v>
      </c>
      <c r="AL4" s="223"/>
      <c r="AM4" s="175" t="s">
        <v>210</v>
      </c>
      <c r="AN4" s="175"/>
      <c r="AO4" s="84"/>
      <c r="AP4" s="231" t="s">
        <v>230</v>
      </c>
      <c r="AQ4" s="231"/>
      <c r="AR4" s="232"/>
      <c r="BI4" s="180"/>
    </row>
    <row r="5" spans="1:61" ht="25.9" customHeight="1">
      <c r="A5" s="169" t="s">
        <v>0</v>
      </c>
      <c r="B5" s="169" t="s">
        <v>1</v>
      </c>
      <c r="C5" s="169" t="s">
        <v>2</v>
      </c>
      <c r="D5" s="169" t="s">
        <v>2</v>
      </c>
      <c r="E5" s="169" t="s">
        <v>3</v>
      </c>
      <c r="F5" s="169" t="s">
        <v>18</v>
      </c>
      <c r="G5" s="169" t="s">
        <v>41</v>
      </c>
      <c r="H5" s="169" t="s">
        <v>42</v>
      </c>
      <c r="I5" s="205" t="s">
        <v>105</v>
      </c>
      <c r="J5" s="205" t="s">
        <v>106</v>
      </c>
      <c r="K5" s="209" t="s">
        <v>107</v>
      </c>
      <c r="L5" s="209" t="s">
        <v>108</v>
      </c>
      <c r="M5" s="211" t="s">
        <v>71</v>
      </c>
      <c r="N5" s="211" t="s">
        <v>72</v>
      </c>
      <c r="O5" s="169" t="s">
        <v>8</v>
      </c>
      <c r="P5" s="169" t="s">
        <v>9</v>
      </c>
      <c r="Q5" s="169" t="s">
        <v>12</v>
      </c>
      <c r="R5" s="169" t="s">
        <v>13</v>
      </c>
      <c r="S5" s="169" t="s">
        <v>10</v>
      </c>
      <c r="T5" s="169" t="s">
        <v>11</v>
      </c>
      <c r="U5" s="207" t="s">
        <v>14</v>
      </c>
      <c r="V5" s="207" t="s">
        <v>15</v>
      </c>
      <c r="W5" s="208" t="s">
        <v>16</v>
      </c>
      <c r="X5" s="208" t="s">
        <v>17</v>
      </c>
      <c r="Y5" s="169" t="s">
        <v>19</v>
      </c>
      <c r="Z5" s="169" t="s">
        <v>20</v>
      </c>
      <c r="AA5" s="170" t="s">
        <v>22</v>
      </c>
      <c r="AB5" s="170" t="s">
        <v>23</v>
      </c>
      <c r="AC5" s="197" t="s">
        <v>79</v>
      </c>
      <c r="AD5" s="198"/>
      <c r="AE5" s="198"/>
      <c r="AF5" s="198"/>
      <c r="AG5" s="189" t="s">
        <v>91</v>
      </c>
      <c r="AH5" s="189" t="s">
        <v>92</v>
      </c>
      <c r="AI5" s="181" t="s">
        <v>99</v>
      </c>
      <c r="AJ5" s="170" t="s">
        <v>61</v>
      </c>
      <c r="AK5" s="170" t="s">
        <v>34</v>
      </c>
      <c r="AL5" s="170" t="s">
        <v>35</v>
      </c>
      <c r="AM5" s="173" t="s">
        <v>207</v>
      </c>
      <c r="AN5" s="174"/>
      <c r="AO5" s="237" t="s">
        <v>194</v>
      </c>
      <c r="AP5" s="237" t="s">
        <v>199</v>
      </c>
      <c r="AQ5" s="237"/>
      <c r="AR5" s="237"/>
      <c r="AS5" s="179" t="s">
        <v>100</v>
      </c>
      <c r="AT5" s="179" t="s">
        <v>101</v>
      </c>
      <c r="AU5" s="180" t="s">
        <v>80</v>
      </c>
      <c r="AV5" s="184" t="s">
        <v>84</v>
      </c>
      <c r="AW5" s="187" t="s">
        <v>102</v>
      </c>
      <c r="AX5" s="186" t="s">
        <v>94</v>
      </c>
      <c r="AY5" s="186" t="s">
        <v>95</v>
      </c>
      <c r="AZ5" s="179" t="s">
        <v>93</v>
      </c>
      <c r="BC5" s="183" t="s">
        <v>28</v>
      </c>
      <c r="BD5" s="183"/>
      <c r="BE5" s="183" t="s">
        <v>29</v>
      </c>
      <c r="BF5" s="183"/>
      <c r="BG5" s="6" t="s">
        <v>50</v>
      </c>
      <c r="BH5" s="236" t="s">
        <v>104</v>
      </c>
      <c r="BI5" s="235" t="s">
        <v>221</v>
      </c>
    </row>
    <row r="6" spans="1:61" ht="48" customHeight="1">
      <c r="A6" s="169"/>
      <c r="B6" s="169"/>
      <c r="C6" s="169"/>
      <c r="D6" s="169"/>
      <c r="E6" s="169"/>
      <c r="F6" s="169"/>
      <c r="G6" s="169"/>
      <c r="H6" s="169"/>
      <c r="I6" s="206"/>
      <c r="J6" s="206"/>
      <c r="K6" s="210"/>
      <c r="L6" s="210"/>
      <c r="M6" s="212"/>
      <c r="N6" s="212"/>
      <c r="O6" s="169"/>
      <c r="P6" s="169"/>
      <c r="Q6" s="169"/>
      <c r="R6" s="169"/>
      <c r="S6" s="169"/>
      <c r="T6" s="169"/>
      <c r="U6" s="207"/>
      <c r="V6" s="207"/>
      <c r="W6" s="208"/>
      <c r="X6" s="208"/>
      <c r="Y6" s="169"/>
      <c r="Z6" s="169"/>
      <c r="AA6" s="170"/>
      <c r="AB6" s="170"/>
      <c r="AC6" s="8" t="s">
        <v>67</v>
      </c>
      <c r="AD6" s="8" t="s">
        <v>68</v>
      </c>
      <c r="AE6" s="8" t="s">
        <v>69</v>
      </c>
      <c r="AF6" s="8" t="s">
        <v>70</v>
      </c>
      <c r="AG6" s="190"/>
      <c r="AH6" s="190"/>
      <c r="AI6" s="182"/>
      <c r="AJ6" s="170"/>
      <c r="AK6" s="169"/>
      <c r="AL6" s="169"/>
      <c r="AM6" s="74" t="s">
        <v>208</v>
      </c>
      <c r="AN6" s="74" t="s">
        <v>209</v>
      </c>
      <c r="AO6" s="238"/>
      <c r="AP6" s="109" t="s">
        <v>195</v>
      </c>
      <c r="AQ6" s="109" t="s">
        <v>196</v>
      </c>
      <c r="AR6" s="109" t="s">
        <v>197</v>
      </c>
      <c r="AS6" s="180"/>
      <c r="AT6" s="180"/>
      <c r="AU6" s="180"/>
      <c r="AV6" s="185"/>
      <c r="AW6" s="188"/>
      <c r="AX6" s="186"/>
      <c r="AY6" s="186"/>
      <c r="AZ6" s="180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6"/>
      <c r="BI6" s="235"/>
    </row>
    <row r="7" spans="1:61" ht="26.25" customHeight="1">
      <c r="A7" s="31" t="str">
        <f>'와이드(실측)'!A7</f>
        <v>1306-1</v>
      </c>
      <c r="B7" s="31" t="str">
        <f>'와이드(실측)'!B7&amp;"F"</f>
        <v>1F</v>
      </c>
      <c r="C7" s="31">
        <f>'와이드(실측)'!C7+와이드MH더함-IF(AND(소장="추영덕",Y7=0),1.2)</f>
        <v>180.7</v>
      </c>
      <c r="D7" s="31">
        <f>'와이드(실측)'!D7+와이드MH더함-IF(AND(소장="추영덕",Y7=0),1.2)</f>
        <v>180.7</v>
      </c>
      <c r="E7" s="135">
        <f>'와이드(실측)'!E7-와이드OP</f>
        <v>794</v>
      </c>
      <c r="F7" s="31">
        <f>'와이드(실측)'!F7-와이드R</f>
        <v>906</v>
      </c>
      <c r="G7" s="50">
        <f>'와이드(실측)'!G7+와이드JBJD키움치수+IF(BI7=1,AC7,0)</f>
        <v>268</v>
      </c>
      <c r="H7" s="50">
        <f>'와이드(실측)'!H7+와이드JBJD키움치수+IF(BI7=1,AE7,0)</f>
        <v>268</v>
      </c>
      <c r="I7" s="50">
        <f>'와이드(실측)'!I7+MAX(AS7,AT7)+와이드JBJD키움치수+IF(BI7=1,AC7,0)</f>
        <v>293</v>
      </c>
      <c r="J7" s="50">
        <f>'와이드(실측)'!I7+MAX(AS7,AT7)+와이드JBJD키움치수+IF(BI7=1,AD7,0)-IF(와이드JB하부늘치=1,'와이드(실측)'!Y7-'와이드(실측)'!Z7,0)</f>
        <v>293</v>
      </c>
      <c r="K7" s="50">
        <f>'와이드(실측)'!J7+MAX(AS7,AT7)+와이드JBJD키움치수+IF(BI7=1,AE7,0)</f>
        <v>293</v>
      </c>
      <c r="L7" s="50">
        <f>'와이드(실측)'!J7+MAX(AS7,AT7)+와이드JBJD키움치수+IF(BI7=1,AF7,0)-IF(와이드JB하부늘치=1,'와이드(실측)'!AA7-'와이드(실측)'!AB7,0)</f>
        <v>293</v>
      </c>
      <c r="M7" s="31">
        <f t="shared" ref="M7:N7" si="0">IF(소장="손상민",0,O7-1.5)</f>
        <v>43.5</v>
      </c>
      <c r="N7" s="31">
        <f t="shared" si="0"/>
        <v>43.5</v>
      </c>
      <c r="O7" s="31">
        <f>IF(S7&lt;9,'와이드(실측)'!K7+1.2,IF(ISNUMBER('와이드(실측)'!K7),'와이드(실측)'!K7+와이드C값,0))</f>
        <v>45</v>
      </c>
      <c r="P7" s="31">
        <f>IF(T7&lt;9,'와이드(실측)'!L7+1.2,IF(ISNUMBER('와이드(실측)'!L7),'와이드(실측)'!L7+와이드C값,0))</f>
        <v>45</v>
      </c>
      <c r="Q7" s="32">
        <f>ROUNDUP(AV7,1)</f>
        <v>18.900000000000002</v>
      </c>
      <c r="R7" s="38">
        <f>ROUNDUP(AW7,1)</f>
        <v>18.900000000000002</v>
      </c>
      <c r="S7" s="31">
        <f>IF(ISNUMBER('와이드(실측)'!O7),'와이드(실측)'!O7+와이드제작!AS7+와이드A늘림,0)</f>
        <v>21</v>
      </c>
      <c r="T7" s="31">
        <f>IF(ISNUMBER('와이드(실측)'!P7),'와이드(실측)'!P7+와이드제작!AT7+와이드A늘림,0)</f>
        <v>13</v>
      </c>
      <c r="U7" s="31">
        <f>'와이드(실측)'!Q7-와이드기둥차감</f>
        <v>2085</v>
      </c>
      <c r="V7" s="31">
        <f>'와이드(실측)'!R7-와이드기둥차감</f>
        <v>2082</v>
      </c>
      <c r="W7" s="31">
        <f>'와이드(실측)'!S7-와이드기둥차감</f>
        <v>2082</v>
      </c>
      <c r="X7" s="31">
        <f>'와이드(실측)'!T7-와이드기둥차감</f>
        <v>2081</v>
      </c>
      <c r="Y7" s="31">
        <f>IF(소장="손상민",IF(ISNUMBER('와이드(실측)'!U7),'와이드(실측)'!U7+1.2,0),IF(ISNUMBER('와이드(실측)'!U7),'와이드(실측)'!U7+와이드U,0))</f>
        <v>42</v>
      </c>
      <c r="Z7" s="31">
        <f>IF(소장="손상민",MAX(Q7,R7)+3.2,IF(ISNUMBER('와이드(실측)'!V7),'와이드(실측)'!V7+1.5+와이드제작!Q7+1,0))</f>
        <v>21.400000000000002</v>
      </c>
      <c r="AA7" s="31">
        <f>'와이드(실측)'!W7+뒷날개치수더함</f>
        <v>25</v>
      </c>
      <c r="AB7" s="31">
        <f>'와이드(실측)'!X7+뒷날개치수더함</f>
        <v>30</v>
      </c>
      <c r="AC7" s="31">
        <f>'와이드(실측)'!Y7-와이드늘치</f>
        <v>6</v>
      </c>
      <c r="AD7" s="31">
        <f>IF(와이드JB하부늘치=1,AC7,'와이드(실측)'!Z7-와이드늘치)</f>
        <v>6</v>
      </c>
      <c r="AE7" s="31">
        <f>'와이드(실측)'!AA7-와이드늘치</f>
        <v>6</v>
      </c>
      <c r="AF7" s="31">
        <f>IF(와이드JB하부늘치=1,AE7,'와이드(실측)'!AB7-와이드늘치)</f>
        <v>6</v>
      </c>
      <c r="AG7" s="31">
        <f xml:space="preserve"> IF(소장&lt;&gt;"손상민",IF('와이드(실측)'!AC7&gt;0,'와이드(실측)'!AC7,C7-1.2),IF('와이드(실측)'!AC7&gt;0,'와이드(실측)'!AC7+1.2,C7) )</f>
        <v>179.5</v>
      </c>
      <c r="AH7" s="31">
        <f xml:space="preserve"> IF(소장&lt;&gt;"손상민",IF('와이드(실측)'!AD7&gt;0,'와이드(실측)'!AD7,D7-1.2),IF('와이드(실측)'!AD7&gt;0,'와이드(실측)'!AD7+1.2,D7))</f>
        <v>179.5</v>
      </c>
      <c r="AI7" s="51">
        <f>IF(Z7&gt;0,Z7-MAX(Q7,R7),0)</f>
        <v>2.5</v>
      </c>
      <c r="AJ7" s="31" t="str">
        <f t="shared" ref="AJ7" si="1">BA7&amp;"*"&amp;BB7</f>
        <v>993*532.3</v>
      </c>
      <c r="AK7" s="31" t="str">
        <f t="shared" ref="AK7" si="2">BD7&amp;"*"&amp;BC7</f>
        <v>2264.5*384.2</v>
      </c>
      <c r="AL7" s="31" t="str">
        <f t="shared" ref="AL7" si="3">BF7&amp;"*"&amp;BE7</f>
        <v>2261.5*376.2</v>
      </c>
      <c r="AM7" s="31">
        <f>IF('와이드(실측)'!AE7&gt;0,'와이드(실측)'!AE7-'와이드(실측)'!W7+1.2,0)</f>
        <v>6.2</v>
      </c>
      <c r="AN7" s="31">
        <f>IF('와이드(실측)'!AF7&gt;0,'와이드(실측)'!AF7-'와이드(실측)'!W7+1.2,0)</f>
        <v>6.2</v>
      </c>
      <c r="AO7" s="31">
        <f>'와이드(실측)'!AG7</f>
        <v>0</v>
      </c>
      <c r="AP7" s="31">
        <f>IF('와이드(실측)'!AH7&gt;5,'와이드(실측)'!AH7+뒷날개치수더함,'와이드(실측)'!AH7)</f>
        <v>20</v>
      </c>
      <c r="AQ7" s="31">
        <f>'와이드(실측)'!AI7</f>
        <v>10</v>
      </c>
      <c r="AR7" s="31">
        <f>'와이드(실측)'!AJ7</f>
        <v>10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11.802434207783548</v>
      </c>
      <c r="AV7" s="21">
        <f>ABS(G7-COS(RADIANS(AU7))*I7)</f>
        <v>18.80559906357405</v>
      </c>
      <c r="AW7" s="21">
        <f>ABS(H7-COS(RADIANS(AU7))*K7)</f>
        <v>18.80559906357405</v>
      </c>
      <c r="AX7" s="21">
        <f>'와이드(실측)'!M7+AS7</f>
        <v>0</v>
      </c>
      <c r="AY7" s="21">
        <f>'와이드(실측)'!N7+AS7</f>
        <v>0</v>
      </c>
      <c r="AZ7" s="20">
        <f>AV7-MAX(AX7,AY7)</f>
        <v>18.80559906357405</v>
      </c>
      <c r="BA7" s="41">
        <f>IF(소장&lt;&gt;"손상민",F7+IF(Y7+Z7&gt;0,N7+M7,0),F7)</f>
        <v>993</v>
      </c>
      <c r="BB7" s="42">
        <f>MAX(C7,D7)+MAX(G7,H7)+AA7-1.2*$AJ$3+IF(BI7=0,MAX(AE7,AC7),0)+IF(Y7=0,1.2,0)+IF(Z7=0,1.2,0)+IF(소장&lt;&gt;"손상민", Y7+Z7,IF('와이드(실측)'!U7=0,0,2.4))</f>
        <v>532.29999999999995</v>
      </c>
      <c r="BC7" s="41">
        <f>S7+O7+MAX(I7,J7)+AB7-1.2*$AL$3+IF(BI7=0,MAX(AD7,AC7),0)+IF(S7=0,1.2,0)-IF(AR7=90,2.4,0)</f>
        <v>384.2</v>
      </c>
      <c r="BD7" s="41">
        <f>MAX(U7,V7)+AG7</f>
        <v>2264.5</v>
      </c>
      <c r="BE7" s="41">
        <f>T7+P7+MAX(K7,L7)+AB7-1.2*$AL$3+IF(BI7=0,MAX(AE7,AF7),0)+IF(T7=0,1.2,0)-IF(AR7=90,2.4,0)</f>
        <v>376.2</v>
      </c>
      <c r="BF7" s="41">
        <f>MAX(W7,X7)+AH7</f>
        <v>2261.5</v>
      </c>
      <c r="BG7" s="6">
        <f t="shared" ref="BG7" si="4">I7-G7-Q7</f>
        <v>6.0999999999999979</v>
      </c>
      <c r="BH7" s="43" t="str">
        <f>IF(AND(C7&lt;&gt;D7,Y7&gt;0),"NG","")</f>
        <v/>
      </c>
      <c r="BI7" s="77">
        <f>IF(AND(MIN(AC7,AE7)&gt;=9.2,ABS(F7-E7)&gt;15),0,1)</f>
        <v>1</v>
      </c>
    </row>
    <row r="8" spans="1:61" ht="26.25" customHeight="1">
      <c r="A8" s="31" t="str">
        <f>'와이드(실측)'!A8</f>
        <v>1307-1</v>
      </c>
      <c r="B8" s="31" t="str">
        <f>'와이드(실측)'!B8&amp;"F"</f>
        <v>1F</v>
      </c>
      <c r="C8" s="31">
        <f>'와이드(실측)'!C8+와이드MH더함-IF(AND(소장="추영덕",Y8=0),1.2)</f>
        <v>260.7</v>
      </c>
      <c r="D8" s="31">
        <f>'와이드(실측)'!D8+와이드MH더함-IF(AND(소장="추영덕",Y8=0),1.2)</f>
        <v>260.7</v>
      </c>
      <c r="E8" s="135">
        <f>'와이드(실측)'!E8-와이드OP</f>
        <v>793</v>
      </c>
      <c r="F8" s="31">
        <f>'와이드(실측)'!F8-와이드R</f>
        <v>906</v>
      </c>
      <c r="G8" s="50">
        <f>'와이드(실측)'!G8+와이드JBJD키움치수+IF(BI8=1,AC8,0)</f>
        <v>268</v>
      </c>
      <c r="H8" s="50">
        <f>'와이드(실측)'!H8+와이드JBJD키움치수+IF(BI8=1,AE8,0)</f>
        <v>268</v>
      </c>
      <c r="I8" s="50">
        <f>'와이드(실측)'!I8+MAX(AS8,AT8)+와이드JBJD키움치수+IF(BI8=1,AC8,0)</f>
        <v>290</v>
      </c>
      <c r="J8" s="50">
        <f>'와이드(실측)'!I8+MAX(AS8,AT8)+와이드JBJD키움치수+IF(BI8=1,AD8,0)-IF(와이드JB하부늘치=1,'와이드(실측)'!Y8-'와이드(실측)'!Z8,0)</f>
        <v>290</v>
      </c>
      <c r="K8" s="50">
        <f>'와이드(실측)'!J8+MAX(AS8,AT8)+와이드JBJD키움치수+IF(BI8=1,AE8,0)</f>
        <v>290</v>
      </c>
      <c r="L8" s="50">
        <f>'와이드(실측)'!J8+MAX(AS8,AT8)+와이드JBJD키움치수+IF(BI8=1,AF8,0)-IF(와이드JB하부늘치=1,'와이드(실측)'!AA8-'와이드(실측)'!AB8,0)</f>
        <v>290</v>
      </c>
      <c r="M8" s="31">
        <f t="shared" ref="M8:M11" si="5">IF(소장="손상민",0,O8-1.5)</f>
        <v>43.5</v>
      </c>
      <c r="N8" s="31">
        <f t="shared" ref="N8:N11" si="6">IF(소장="손상민",0,P8-1.5)</f>
        <v>43.5</v>
      </c>
      <c r="O8" s="31">
        <f>IF(S8&lt;9,'와이드(실측)'!K8+1.2,IF(ISNUMBER('와이드(실측)'!K8),'와이드(실측)'!K8+와이드C값,0))</f>
        <v>45</v>
      </c>
      <c r="P8" s="31">
        <f>IF(T8&lt;9,'와이드(실측)'!L8+1.2,IF(ISNUMBER('와이드(실측)'!L8),'와이드(실측)'!L8+와이드C값,0))</f>
        <v>45</v>
      </c>
      <c r="Q8" s="32">
        <f t="shared" ref="Q8:Q11" si="7">ROUNDUP(AV8,1)</f>
        <v>15.799999999999999</v>
      </c>
      <c r="R8" s="38">
        <f t="shared" ref="R8:R11" si="8">ROUNDUP(AW8,1)</f>
        <v>15.799999999999999</v>
      </c>
      <c r="S8" s="31">
        <f>IF(ISNUMBER('와이드(실측)'!O8),'와이드(실측)'!O8+와이드제작!AS8+와이드A늘림,0)</f>
        <v>16</v>
      </c>
      <c r="T8" s="31">
        <f>IF(ISNUMBER('와이드(실측)'!P8),'와이드(실측)'!P8+와이드제작!AT8+와이드A늘림,0)</f>
        <v>16</v>
      </c>
      <c r="U8" s="31">
        <f>'와이드(실측)'!Q8-와이드기둥차감</f>
        <v>2094</v>
      </c>
      <c r="V8" s="31">
        <f>'와이드(실측)'!R8-와이드기둥차감</f>
        <v>2086</v>
      </c>
      <c r="W8" s="31">
        <f>'와이드(실측)'!S8-와이드기둥차감</f>
        <v>2091</v>
      </c>
      <c r="X8" s="31">
        <f>'와이드(실측)'!T8-와이드기둥차감</f>
        <v>2084</v>
      </c>
      <c r="Y8" s="31">
        <f>IF(소장="손상민",IF(ISNUMBER('와이드(실측)'!U8),'와이드(실측)'!U8+1.2,0),IF(ISNUMBER('와이드(실측)'!U8),'와이드(실측)'!U8+와이드U,0))</f>
        <v>36</v>
      </c>
      <c r="Z8" s="31">
        <f>IF(소장="손상민",MAX(Q8,R8)+3.2,IF(ISNUMBER('와이드(실측)'!V8),'와이드(실측)'!V8+1.5+와이드제작!Q8+1,0))</f>
        <v>18.299999999999997</v>
      </c>
      <c r="AA8" s="31">
        <f>'와이드(실측)'!W8+뒷날개치수더함</f>
        <v>25</v>
      </c>
      <c r="AB8" s="31">
        <f>'와이드(실측)'!X8+뒷날개치수더함</f>
        <v>30</v>
      </c>
      <c r="AC8" s="31">
        <f>'와이드(실측)'!Y8-와이드늘치</f>
        <v>6</v>
      </c>
      <c r="AD8" s="31">
        <f>IF(와이드JB하부늘치=1,AC8,'와이드(실측)'!Z8-와이드늘치)</f>
        <v>6</v>
      </c>
      <c r="AE8" s="31">
        <f>'와이드(실측)'!AA8-와이드늘치</f>
        <v>6</v>
      </c>
      <c r="AF8" s="31">
        <f>IF(와이드JB하부늘치=1,AE8,'와이드(실측)'!AB8-와이드늘치)</f>
        <v>6</v>
      </c>
      <c r="AG8" s="31">
        <f xml:space="preserve"> IF(소장&lt;&gt;"손상민",IF('와이드(실측)'!AC8&gt;0,'와이드(실측)'!AC8,C8-1.2),IF('와이드(실측)'!AC8&gt;0,'와이드(실측)'!AC8+1.2,C8) )</f>
        <v>259.5</v>
      </c>
      <c r="AH8" s="31">
        <f xml:space="preserve"> IF(소장&lt;&gt;"손상민",IF('와이드(실측)'!AD8&gt;0,'와이드(실측)'!AD8,D8-1.2),IF('와이드(실측)'!AD8&gt;0,'와이드(실측)'!AD8+1.2,D8))</f>
        <v>259.5</v>
      </c>
      <c r="AI8" s="51">
        <f t="shared" ref="AI8:AI11" si="9">IF(Z8&gt;0,Z8-MAX(Q8,R8),0)</f>
        <v>2.4999999999999982</v>
      </c>
      <c r="AJ8" s="31" t="str">
        <f t="shared" ref="AJ8:AJ11" si="10">BA8&amp;"*"&amp;BB8</f>
        <v>993*603.2</v>
      </c>
      <c r="AK8" s="31" t="str">
        <f t="shared" ref="AK8:AK11" si="11">BD8&amp;"*"&amp;BC8</f>
        <v>2353.5*376.2</v>
      </c>
      <c r="AL8" s="31" t="str">
        <f t="shared" ref="AL8:AL11" si="12">BF8&amp;"*"&amp;BE8</f>
        <v>2350.5*376.2</v>
      </c>
      <c r="AM8" s="31">
        <f>IF('와이드(실측)'!AE8&gt;0,'와이드(실측)'!AE8-'와이드(실측)'!W8+1.2,0)</f>
        <v>6.2</v>
      </c>
      <c r="AN8" s="31">
        <f>IF('와이드(실측)'!AF8&gt;0,'와이드(실측)'!AF8-'와이드(실측)'!W8+1.2,0)</f>
        <v>6.2</v>
      </c>
      <c r="AO8" s="31">
        <f>'와이드(실측)'!AG8</f>
        <v>0</v>
      </c>
      <c r="AP8" s="31">
        <f>IF('와이드(실측)'!AH8&gt;5,'와이드(실측)'!AH8+뒷날개치수더함,'와이드(실측)'!AH8)</f>
        <v>20</v>
      </c>
      <c r="AQ8" s="31">
        <f>'와이드(실측)'!AI8</f>
        <v>10</v>
      </c>
      <c r="AR8" s="31">
        <f>'와이드(실측)'!AJ8</f>
        <v>10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>
        <f t="shared" ref="AU8:AU11" si="13">DEGREES(ATAN((F8-E8)/2/(H8)))</f>
        <v>11.904818939776611</v>
      </c>
      <c r="AV8" s="21">
        <f t="shared" ref="AV8:AV11" si="14">ABS(G8-COS(RADIANS(AU8))*I8)</f>
        <v>15.762575181319619</v>
      </c>
      <c r="AW8" s="21">
        <f t="shared" ref="AW8:AW11" si="15">ABS(H8-COS(RADIANS(AU8))*K8)</f>
        <v>15.762575181319619</v>
      </c>
      <c r="AX8" s="21">
        <f>'와이드(실측)'!M8+AS8</f>
        <v>0</v>
      </c>
      <c r="AY8" s="21">
        <f>'와이드(실측)'!N8+AS8</f>
        <v>0</v>
      </c>
      <c r="AZ8" s="20">
        <f t="shared" ref="AZ8:AZ11" si="16">AV8-MAX(AX8,AY8)</f>
        <v>15.762575181319619</v>
      </c>
      <c r="BA8" s="41">
        <f>IF(소장&lt;&gt;"손상민",F8+IF(Y8+Z8&gt;0,N8+M8,0),F8)</f>
        <v>993</v>
      </c>
      <c r="BB8" s="42">
        <f>MAX(C8,D8)+MAX(G8,H8)+AA8-1.2*$AJ$3+IF(BI8=0,MAX(AE8,AC8),0)+IF(Y8=0,1.2,0)+IF(Z8=0,1.2,0)+IF(소장&lt;&gt;"손상민", Y8+Z8,IF('와이드(실측)'!U8=0,0,2.4))</f>
        <v>603.20000000000005</v>
      </c>
      <c r="BC8" s="41">
        <f t="shared" ref="BC8:BC11" si="17">S8+O8+MAX(I8,J8)+AB8-1.2*$AL$3+IF(BI8=0,MAX(AD8,AC8),0)+IF(S8=0,1.2,0)-IF(AR8=90,2.4,0)</f>
        <v>376.2</v>
      </c>
      <c r="BD8" s="41">
        <f t="shared" ref="BD8:BD11" si="18">MAX(U8,V8)+AG8</f>
        <v>2353.5</v>
      </c>
      <c r="BE8" s="41">
        <f t="shared" ref="BE8:BE11" si="19">T8+P8+MAX(K8,L8)+AB8-1.2*$AL$3+IF(BI8=0,MAX(AE8,AF8),0)+IF(T8=0,1.2,0)-IF(AR8=90,2.4,0)</f>
        <v>376.2</v>
      </c>
      <c r="BF8" s="41">
        <f t="shared" ref="BF8:BF11" si="20">MAX(W8,X8)+AH8</f>
        <v>2350.5</v>
      </c>
      <c r="BG8" s="6">
        <f t="shared" ref="BG8:BG11" si="21">I8-G8-Q8</f>
        <v>6.2000000000000011</v>
      </c>
      <c r="BH8" s="43" t="str">
        <f t="shared" ref="BH8:BH11" si="22">IF(AND(C8&lt;&gt;D8,Y8&gt;0),"NG","")</f>
        <v/>
      </c>
      <c r="BI8" s="77">
        <f t="shared" ref="BI8:BI11" si="23">IF(AND(MIN(AC8,AE8)&gt;=9.2,ABS(F8-E8)&gt;15),0,1)</f>
        <v>1</v>
      </c>
    </row>
    <row r="9" spans="1:61" ht="26.25" customHeight="1">
      <c r="A9" s="31" t="str">
        <f>'와이드(실측)'!A9</f>
        <v>1309-3</v>
      </c>
      <c r="B9" s="31" t="str">
        <f>'와이드(실측)'!B9&amp;"F"</f>
        <v>1F</v>
      </c>
      <c r="C9" s="31">
        <f>'와이드(실측)'!C9+와이드MH더함-IF(AND(소장="추영덕",Y9=0),1.2)</f>
        <v>370.7</v>
      </c>
      <c r="D9" s="31">
        <f>'와이드(실측)'!D9+와이드MH더함-IF(AND(소장="추영덕",Y9=0),1.2)</f>
        <v>370.7</v>
      </c>
      <c r="E9" s="135">
        <f>'와이드(실측)'!E9-와이드OP</f>
        <v>793</v>
      </c>
      <c r="F9" s="31">
        <f>'와이드(실측)'!F9-와이드R</f>
        <v>904</v>
      </c>
      <c r="G9" s="50">
        <f>'와이드(실측)'!G9+와이드JBJD키움치수+IF(BI9=1,AC9,0)</f>
        <v>268</v>
      </c>
      <c r="H9" s="50">
        <f>'와이드(실측)'!H9+와이드JBJD키움치수+IF(BI9=1,AE9,0)</f>
        <v>268</v>
      </c>
      <c r="I9" s="50">
        <f>'와이드(실측)'!I9+MAX(AS9,AT9)+와이드JBJD키움치수+IF(BI9=1,AC9,0)</f>
        <v>290</v>
      </c>
      <c r="J9" s="50">
        <f>'와이드(실측)'!I9+MAX(AS9,AT9)+와이드JBJD키움치수+IF(BI9=1,AD9,0)-IF(와이드JB하부늘치=1,'와이드(실측)'!Y9-'와이드(실측)'!Z9,0)</f>
        <v>290</v>
      </c>
      <c r="K9" s="50">
        <f>'와이드(실측)'!J9+MAX(AS9,AT9)+와이드JBJD키움치수+IF(BI9=1,AE9,0)</f>
        <v>290</v>
      </c>
      <c r="L9" s="50">
        <f>'와이드(실측)'!J9+MAX(AS9,AT9)+와이드JBJD키움치수+IF(BI9=1,AF9,0)-IF(와이드JB하부늘치=1,'와이드(실측)'!AA9-'와이드(실측)'!AB9,0)</f>
        <v>290</v>
      </c>
      <c r="M9" s="31">
        <f t="shared" si="5"/>
        <v>43.5</v>
      </c>
      <c r="N9" s="31">
        <f t="shared" si="6"/>
        <v>43.5</v>
      </c>
      <c r="O9" s="31">
        <f>IF(S9&lt;9,'와이드(실측)'!K9+1.2,IF(ISNUMBER('와이드(실측)'!K9),'와이드(실측)'!K9+와이드C값,0))</f>
        <v>45</v>
      </c>
      <c r="P9" s="31">
        <f>IF(T9&lt;9,'와이드(실측)'!L9+1.2,IF(ISNUMBER('와이드(실측)'!L9),'와이드(실측)'!L9+와이드C값,0))</f>
        <v>45</v>
      </c>
      <c r="Q9" s="32">
        <f t="shared" si="7"/>
        <v>16</v>
      </c>
      <c r="R9" s="38">
        <f t="shared" si="8"/>
        <v>16</v>
      </c>
      <c r="S9" s="31">
        <f>IF(ISNUMBER('와이드(실측)'!O9),'와이드(실측)'!O9+와이드제작!AS9+와이드A늘림,0)</f>
        <v>13</v>
      </c>
      <c r="T9" s="31">
        <f>IF(ISNUMBER('와이드(실측)'!P9),'와이드(실측)'!P9+와이드제작!AT9+와이드A늘림,0)</f>
        <v>13</v>
      </c>
      <c r="U9" s="31">
        <f>'와이드(실측)'!Q9-와이드기둥차감</f>
        <v>2091</v>
      </c>
      <c r="V9" s="31">
        <f>'와이드(실측)'!R9-와이드기둥차감</f>
        <v>2085</v>
      </c>
      <c r="W9" s="31">
        <f>'와이드(실측)'!S9-와이드기둥차감</f>
        <v>2094</v>
      </c>
      <c r="X9" s="31">
        <f>'와이드(실측)'!T9-와이드기둥차감</f>
        <v>2085</v>
      </c>
      <c r="Y9" s="31">
        <f>IF(소장="손상민",IF(ISNUMBER('와이드(실측)'!U9),'와이드(실측)'!U9+1.2,0),IF(ISNUMBER('와이드(실측)'!U9),'와이드(실측)'!U9+와이드U,0))</f>
        <v>31</v>
      </c>
      <c r="Z9" s="31">
        <f>IF(소장="손상민",MAX(Q9,R9)+3.2,IF(ISNUMBER('와이드(실측)'!V9),'와이드(실측)'!V9+1.5+와이드제작!Q9+1,0))</f>
        <v>18.5</v>
      </c>
      <c r="AA9" s="31">
        <f>'와이드(실측)'!W9+뒷날개치수더함</f>
        <v>25</v>
      </c>
      <c r="AB9" s="31">
        <f>'와이드(실측)'!X9+뒷날개치수더함</f>
        <v>30</v>
      </c>
      <c r="AC9" s="31">
        <f>'와이드(실측)'!Y9-와이드늘치</f>
        <v>6</v>
      </c>
      <c r="AD9" s="31">
        <f>IF(와이드JB하부늘치=1,AC9,'와이드(실측)'!Z9-와이드늘치)</f>
        <v>6</v>
      </c>
      <c r="AE9" s="31">
        <f>'와이드(실측)'!AA9-와이드늘치</f>
        <v>6</v>
      </c>
      <c r="AF9" s="31">
        <f>IF(와이드JB하부늘치=1,AE9,'와이드(실측)'!AB9-와이드늘치)</f>
        <v>6</v>
      </c>
      <c r="AG9" s="31">
        <f xml:space="preserve"> IF(소장&lt;&gt;"손상민",IF('와이드(실측)'!AC9&gt;0,'와이드(실측)'!AC9,C9-1.2),IF('와이드(실측)'!AC9&gt;0,'와이드(실측)'!AC9+1.2,C9) )</f>
        <v>369.5</v>
      </c>
      <c r="AH9" s="31">
        <f xml:space="preserve"> IF(소장&lt;&gt;"손상민",IF('와이드(실측)'!AD9&gt;0,'와이드(실측)'!AD9,D9-1.2),IF('와이드(실측)'!AD9&gt;0,'와이드(실측)'!AD9+1.2,D9))</f>
        <v>369.5</v>
      </c>
      <c r="AI9" s="51">
        <f t="shared" si="9"/>
        <v>2.5</v>
      </c>
      <c r="AJ9" s="31" t="str">
        <f t="shared" si="10"/>
        <v>991*708.4</v>
      </c>
      <c r="AK9" s="31" t="str">
        <f t="shared" si="11"/>
        <v>2460.5*373.2</v>
      </c>
      <c r="AL9" s="31" t="str">
        <f t="shared" si="12"/>
        <v>2463.5*373.2</v>
      </c>
      <c r="AM9" s="31">
        <f>IF('와이드(실측)'!AE9&gt;0,'와이드(실측)'!AE9-'와이드(실측)'!W9+1.2,0)</f>
        <v>6.2</v>
      </c>
      <c r="AN9" s="31">
        <f>IF('와이드(실측)'!AF9&gt;0,'와이드(실측)'!AF9-'와이드(실측)'!W9+1.2,0)</f>
        <v>6.2</v>
      </c>
      <c r="AO9" s="31">
        <f>'와이드(실측)'!AG9</f>
        <v>0</v>
      </c>
      <c r="AP9" s="31">
        <f>IF('와이드(실측)'!AH9&gt;5,'와이드(실측)'!AH9+뒷날개치수더함,'와이드(실측)'!AH9)</f>
        <v>20</v>
      </c>
      <c r="AQ9" s="31">
        <f>'와이드(실측)'!AI9</f>
        <v>10</v>
      </c>
      <c r="AR9" s="31">
        <f>'와이드(실측)'!AJ9</f>
        <v>10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20">
        <f t="shared" si="13"/>
        <v>11.699972959311912</v>
      </c>
      <c r="AV9" s="21">
        <f t="shared" si="14"/>
        <v>15.974642834808492</v>
      </c>
      <c r="AW9" s="21">
        <f t="shared" si="15"/>
        <v>15.974642834808492</v>
      </c>
      <c r="AX9" s="21">
        <f>'와이드(실측)'!M9+AS9</f>
        <v>0</v>
      </c>
      <c r="AY9" s="21">
        <f>'와이드(실측)'!N9+AS9</f>
        <v>0</v>
      </c>
      <c r="AZ9" s="20">
        <f t="shared" si="16"/>
        <v>15.974642834808492</v>
      </c>
      <c r="BA9" s="41">
        <f>IF(소장&lt;&gt;"손상민",F9+IF(Y9+Z9&gt;0,N9+M9,0),F9)</f>
        <v>991</v>
      </c>
      <c r="BB9" s="42">
        <f>MAX(C9,D9)+MAX(G9,H9)+AA9-1.2*$AJ$3+IF(BI9=0,MAX(AE9,AC9),0)+IF(Y9=0,1.2,0)+IF(Z9=0,1.2,0)+IF(소장&lt;&gt;"손상민", Y9+Z9,IF('와이드(실측)'!U9=0,0,2.4))</f>
        <v>708.40000000000009</v>
      </c>
      <c r="BC9" s="41">
        <f t="shared" si="17"/>
        <v>373.2</v>
      </c>
      <c r="BD9" s="41">
        <f t="shared" si="18"/>
        <v>2460.5</v>
      </c>
      <c r="BE9" s="41">
        <f t="shared" si="19"/>
        <v>373.2</v>
      </c>
      <c r="BF9" s="41">
        <f t="shared" si="20"/>
        <v>2463.5</v>
      </c>
      <c r="BG9" s="6">
        <f t="shared" si="21"/>
        <v>6</v>
      </c>
      <c r="BH9" s="43" t="str">
        <f t="shared" si="22"/>
        <v/>
      </c>
      <c r="BI9" s="77">
        <f t="shared" si="23"/>
        <v>1</v>
      </c>
    </row>
    <row r="10" spans="1:61" ht="26.25" customHeight="1">
      <c r="A10" s="31" t="str">
        <f>'와이드(실측)'!A10</f>
        <v>1310-1</v>
      </c>
      <c r="B10" s="31" t="str">
        <f>'와이드(실측)'!B10&amp;"F"</f>
        <v>1F</v>
      </c>
      <c r="C10" s="31">
        <f>'와이드(실측)'!C10+와이드MH더함-IF(AND(소장="추영덕",Y10=0),1.2)</f>
        <v>204.7</v>
      </c>
      <c r="D10" s="31">
        <f>'와이드(실측)'!D10+와이드MH더함-IF(AND(소장="추영덕",Y10=0),1.2)</f>
        <v>204.7</v>
      </c>
      <c r="E10" s="135">
        <f>'와이드(실측)'!E10-와이드OP</f>
        <v>793</v>
      </c>
      <c r="F10" s="31">
        <f>'와이드(실측)'!F10-와이드R</f>
        <v>905</v>
      </c>
      <c r="G10" s="50">
        <f>'와이드(실측)'!G10+와이드JBJD키움치수+IF(BI10=1,AC10,0)</f>
        <v>272</v>
      </c>
      <c r="H10" s="50">
        <f>'와이드(실측)'!H10+와이드JBJD키움치수+IF(BI10=1,AE10,0)</f>
        <v>275</v>
      </c>
      <c r="I10" s="50">
        <f>'와이드(실측)'!I10+MAX(AS10,AT10)+와이드JBJD키움치수+IF(BI10=1,AC10,0)</f>
        <v>294</v>
      </c>
      <c r="J10" s="50">
        <f>'와이드(실측)'!I10+MAX(AS10,AT10)+와이드JBJD키움치수+IF(BI10=1,AD10,0)-IF(와이드JB하부늘치=1,'와이드(실측)'!Y10-'와이드(실측)'!Z10,0)</f>
        <v>294</v>
      </c>
      <c r="K10" s="50">
        <f>'와이드(실측)'!J10+MAX(AS10,AT10)+와이드JBJD키움치수+IF(BI10=1,AE10,0)</f>
        <v>297</v>
      </c>
      <c r="L10" s="50">
        <f>'와이드(실측)'!J10+MAX(AS10,AT10)+와이드JBJD키움치수+IF(BI10=1,AF10,0)-IF(와이드JB하부늘치=1,'와이드(실측)'!AA10-'와이드(실측)'!AB10,0)</f>
        <v>297</v>
      </c>
      <c r="M10" s="31">
        <f t="shared" si="5"/>
        <v>43.5</v>
      </c>
      <c r="N10" s="31">
        <f t="shared" si="6"/>
        <v>43.5</v>
      </c>
      <c r="O10" s="31">
        <f>IF(S10&lt;9,'와이드(실측)'!K10+1.2,IF(ISNUMBER('와이드(실측)'!K10),'와이드(실측)'!K10+와이드C값,0))</f>
        <v>45</v>
      </c>
      <c r="P10" s="31">
        <f>IF(T10&lt;9,'와이드(실측)'!L10+1.2,IF(ISNUMBER('와이드(실측)'!L10),'와이드(실측)'!L10+와이드C값,0))</f>
        <v>45</v>
      </c>
      <c r="Q10" s="32">
        <f t="shared" si="7"/>
        <v>16.100000000000001</v>
      </c>
      <c r="R10" s="38">
        <f t="shared" si="8"/>
        <v>16.100000000000001</v>
      </c>
      <c r="S10" s="31">
        <f>IF(ISNUMBER('와이드(실측)'!O10),'와이드(실측)'!O10+와이드제작!AS10+와이드A늘림,0)</f>
        <v>14</v>
      </c>
      <c r="T10" s="31">
        <f>IF(ISNUMBER('와이드(실측)'!P10),'와이드(실측)'!P10+와이드제작!AT10+와이드A늘림,0)</f>
        <v>15</v>
      </c>
      <c r="U10" s="31">
        <f>'와이드(실측)'!Q10-와이드기둥차감</f>
        <v>2085</v>
      </c>
      <c r="V10" s="31">
        <f>'와이드(실측)'!R10-와이드기둥차감</f>
        <v>2084</v>
      </c>
      <c r="W10" s="31">
        <f>'와이드(실측)'!S10-와이드기둥차감</f>
        <v>2081</v>
      </c>
      <c r="X10" s="31">
        <f>'와이드(실측)'!T10-와이드기둥차감</f>
        <v>2082</v>
      </c>
      <c r="Y10" s="31">
        <f>IF(소장="손상민",IF(ISNUMBER('와이드(실측)'!U10),'와이드(실측)'!U10+1.2,0),IF(ISNUMBER('와이드(실측)'!U10),'와이드(실측)'!U10+와이드U,0))</f>
        <v>51</v>
      </c>
      <c r="Z10" s="31">
        <f>IF(소장="손상민",MAX(Q10,R10)+3.2,IF(ISNUMBER('와이드(실측)'!V10),'와이드(실측)'!V10+1.5+와이드제작!Q10+1,0))</f>
        <v>18.600000000000001</v>
      </c>
      <c r="AA10" s="31">
        <f>'와이드(실측)'!W10+뒷날개치수더함</f>
        <v>25</v>
      </c>
      <c r="AB10" s="31">
        <f>'와이드(실측)'!X10+뒷날개치수더함</f>
        <v>30</v>
      </c>
      <c r="AC10" s="31">
        <f>'와이드(실측)'!Y10-와이드늘치</f>
        <v>10</v>
      </c>
      <c r="AD10" s="31">
        <f>IF(와이드JB하부늘치=1,AC10,'와이드(실측)'!Z10-와이드늘치)</f>
        <v>10</v>
      </c>
      <c r="AE10" s="31">
        <f>'와이드(실측)'!AA10-와이드늘치</f>
        <v>13</v>
      </c>
      <c r="AF10" s="31">
        <f>IF(와이드JB하부늘치=1,AE10,'와이드(실측)'!AB10-와이드늘치)</f>
        <v>13</v>
      </c>
      <c r="AG10" s="31">
        <f xml:space="preserve"> IF(소장&lt;&gt;"손상민",IF('와이드(실측)'!AC10&gt;0,'와이드(실측)'!AC10,C10-1.2),IF('와이드(실측)'!AC10&gt;0,'와이드(실측)'!AC10+1.2,C10) )</f>
        <v>203.5</v>
      </c>
      <c r="AH10" s="31">
        <f xml:space="preserve"> IF(소장&lt;&gt;"손상민",IF('와이드(실측)'!AD10&gt;0,'와이드(실측)'!AD10,D10-1.2),IF('와이드(실측)'!AD10&gt;0,'와이드(실측)'!AD10+1.2,D10))</f>
        <v>203.5</v>
      </c>
      <c r="AI10" s="51">
        <f t="shared" si="9"/>
        <v>2.5</v>
      </c>
      <c r="AJ10" s="31" t="str">
        <f t="shared" si="10"/>
        <v>992*569.5</v>
      </c>
      <c r="AK10" s="31" t="str">
        <f t="shared" si="11"/>
        <v>2288.5*378.2</v>
      </c>
      <c r="AL10" s="31" t="str">
        <f t="shared" si="12"/>
        <v>2285.5*382.2</v>
      </c>
      <c r="AM10" s="31">
        <f>IF('와이드(실측)'!AE10&gt;0,'와이드(실측)'!AE10-'와이드(실측)'!W10+1.2,0)</f>
        <v>10.199999999999999</v>
      </c>
      <c r="AN10" s="31">
        <f>IF('와이드(실측)'!AF10&gt;0,'와이드(실측)'!AF10-'와이드(실측)'!W10+1.2,0)</f>
        <v>13.2</v>
      </c>
      <c r="AO10" s="31">
        <f>'와이드(실측)'!AG10</f>
        <v>0</v>
      </c>
      <c r="AP10" s="31">
        <f>IF('와이드(실측)'!AH10&gt;5,'와이드(실측)'!AH10+뒷날개치수더함,'와이드(실측)'!AH10)</f>
        <v>20</v>
      </c>
      <c r="AQ10" s="31">
        <f>'와이드(실측)'!AI10</f>
        <v>10</v>
      </c>
      <c r="AR10" s="31">
        <f>'와이드(실측)'!AJ10</f>
        <v>10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3"/>
        <v>11.510126556306925</v>
      </c>
      <c r="AV10" s="21">
        <f t="shared" si="14"/>
        <v>16.087499087399806</v>
      </c>
      <c r="AW10" s="21">
        <f t="shared" si="15"/>
        <v>16.027167445434486</v>
      </c>
      <c r="AX10" s="21">
        <f>'와이드(실측)'!M10+AS10</f>
        <v>0</v>
      </c>
      <c r="AY10" s="21">
        <f>'와이드(실측)'!N10+AS10</f>
        <v>0</v>
      </c>
      <c r="AZ10" s="20">
        <f t="shared" si="16"/>
        <v>16.087499087399806</v>
      </c>
      <c r="BA10" s="41">
        <f>IF(소장&lt;&gt;"손상민",F10+IF(Y10+Z10&gt;0,N10+M10,0),F10)</f>
        <v>992</v>
      </c>
      <c r="BB10" s="42">
        <f>MAX(C10,D10)+MAX(G10,H10)+AA10-1.2*$AJ$3+IF(BI10=0,MAX(AE10,AC10),0)+IF(Y10=0,1.2,0)+IF(Z10=0,1.2,0)+IF(소장&lt;&gt;"손상민", Y10+Z10,IF('와이드(실측)'!U10=0,0,2.4))</f>
        <v>569.5</v>
      </c>
      <c r="BC10" s="41">
        <f t="shared" si="17"/>
        <v>378.2</v>
      </c>
      <c r="BD10" s="41">
        <f t="shared" si="18"/>
        <v>2288.5</v>
      </c>
      <c r="BE10" s="41">
        <f t="shared" si="19"/>
        <v>382.2</v>
      </c>
      <c r="BF10" s="41">
        <f t="shared" si="20"/>
        <v>2285.5</v>
      </c>
      <c r="BG10" s="6">
        <f t="shared" si="21"/>
        <v>5.8999999999999986</v>
      </c>
      <c r="BH10" s="43" t="str">
        <f t="shared" si="22"/>
        <v/>
      </c>
      <c r="BI10" s="77">
        <v>1</v>
      </c>
    </row>
    <row r="11" spans="1:61" ht="26.25" customHeight="1">
      <c r="A11" s="31" t="str">
        <f>'와이드(실측)'!A11</f>
        <v>1311-1</v>
      </c>
      <c r="B11" s="31" t="str">
        <f>'와이드(실측)'!B11&amp;"F"</f>
        <v>1F</v>
      </c>
      <c r="C11" s="31">
        <f>'와이드(실측)'!C11+와이드MH더함-IF(AND(소장="추영덕",Y11=0),1.2)</f>
        <v>259.7</v>
      </c>
      <c r="D11" s="31">
        <f>'와이드(실측)'!D11+와이드MH더함-IF(AND(소장="추영덕",Y11=0),1.2)</f>
        <v>259.7</v>
      </c>
      <c r="E11" s="135">
        <f>'와이드(실측)'!E11-와이드OP</f>
        <v>789</v>
      </c>
      <c r="F11" s="31">
        <f>'와이드(실측)'!F11-와이드R</f>
        <v>906</v>
      </c>
      <c r="G11" s="50">
        <f>'와이드(실측)'!G11+와이드JBJD키움치수+IF(BI11=1,AC11,0)</f>
        <v>270</v>
      </c>
      <c r="H11" s="50">
        <f>'와이드(실측)'!H11+와이드JBJD키움치수+IF(BI11=1,AE11,0)</f>
        <v>270</v>
      </c>
      <c r="I11" s="50">
        <f>'와이드(실측)'!I11+MAX(AS11,AT11)+와이드JBJD키움치수+IF(BI11=1,AC11,0)</f>
        <v>294</v>
      </c>
      <c r="J11" s="50">
        <f>'와이드(실측)'!I11+MAX(AS11,AT11)+와이드JBJD키움치수+IF(BI11=1,AD11,0)-IF(와이드JB하부늘치=1,'와이드(실측)'!Y11-'와이드(실측)'!Z11,0)</f>
        <v>294</v>
      </c>
      <c r="K11" s="50">
        <f>'와이드(실측)'!J11+MAX(AS11,AT11)+와이드JBJD키움치수+IF(BI11=1,AE11,0)</f>
        <v>294</v>
      </c>
      <c r="L11" s="50">
        <f>'와이드(실측)'!J11+MAX(AS11,AT11)+와이드JBJD키움치수+IF(BI11=1,AF11,0)-IF(와이드JB하부늘치=1,'와이드(실측)'!AA11-'와이드(실측)'!AB11,0)</f>
        <v>294</v>
      </c>
      <c r="M11" s="31">
        <f t="shared" si="5"/>
        <v>43.5</v>
      </c>
      <c r="N11" s="31">
        <f t="shared" si="6"/>
        <v>43.5</v>
      </c>
      <c r="O11" s="31">
        <f>IF(S11&lt;9,'와이드(실측)'!K11+1.2,IF(ISNUMBER('와이드(실측)'!K11),'와이드(실측)'!K11+와이드C값,0))</f>
        <v>45</v>
      </c>
      <c r="P11" s="31">
        <f>IF(T11&lt;9,'와이드(실측)'!L11+1.2,IF(ISNUMBER('와이드(실측)'!L11),'와이드(실측)'!L11+와이드C값,0))</f>
        <v>45</v>
      </c>
      <c r="Q11" s="32">
        <f t="shared" si="7"/>
        <v>17.400000000000002</v>
      </c>
      <c r="R11" s="38">
        <f t="shared" si="8"/>
        <v>17.400000000000002</v>
      </c>
      <c r="S11" s="31">
        <f>IF(ISNUMBER('와이드(실측)'!O11),'와이드(실측)'!O11+와이드제작!AS11+와이드A늘림,0)</f>
        <v>11</v>
      </c>
      <c r="T11" s="31">
        <f>IF(ISNUMBER('와이드(실측)'!P11),'와이드(실측)'!P11+와이드제작!AT11+와이드A늘림,0)</f>
        <v>13</v>
      </c>
      <c r="U11" s="31">
        <f>'와이드(실측)'!Q11-와이드기둥차감</f>
        <v>2092</v>
      </c>
      <c r="V11" s="31">
        <f>'와이드(실측)'!R11-와이드기둥차감</f>
        <v>2087</v>
      </c>
      <c r="W11" s="31">
        <f>'와이드(실측)'!S11-와이드기둥차감</f>
        <v>2096</v>
      </c>
      <c r="X11" s="31">
        <f>'와이드(실측)'!T11-와이드기둥차감</f>
        <v>2089</v>
      </c>
      <c r="Y11" s="31">
        <f>IF(소장="손상민",IF(ISNUMBER('와이드(실측)'!U11),'와이드(실측)'!U11+1.2,0),IF(ISNUMBER('와이드(실측)'!U11),'와이드(실측)'!U11+와이드U,0))</f>
        <v>41</v>
      </c>
      <c r="Z11" s="31">
        <f>IF(소장="손상민",MAX(Q11,R11)+3.2,IF(ISNUMBER('와이드(실측)'!V11),'와이드(실측)'!V11+1.5+와이드제작!Q11+1,0))</f>
        <v>19.900000000000002</v>
      </c>
      <c r="AA11" s="31">
        <f>'와이드(실측)'!W11+뒷날개치수더함</f>
        <v>25</v>
      </c>
      <c r="AB11" s="31">
        <f>'와이드(실측)'!X11+뒷날개치수더함</f>
        <v>30</v>
      </c>
      <c r="AC11" s="31">
        <f>'와이드(실측)'!Y11-와이드늘치</f>
        <v>8</v>
      </c>
      <c r="AD11" s="31">
        <f>IF(와이드JB하부늘치=1,AC11,'와이드(실측)'!Z11-와이드늘치)</f>
        <v>8</v>
      </c>
      <c r="AE11" s="31">
        <f>'와이드(실측)'!AA11-와이드늘치</f>
        <v>8</v>
      </c>
      <c r="AF11" s="31">
        <f>IF(와이드JB하부늘치=1,AE11,'와이드(실측)'!AB11-와이드늘치)</f>
        <v>8</v>
      </c>
      <c r="AG11" s="31">
        <f xml:space="preserve"> IF(소장&lt;&gt;"손상민",IF('와이드(실측)'!AC11&gt;0,'와이드(실측)'!AC11,C11-1.2),IF('와이드(실측)'!AC11&gt;0,'와이드(실측)'!AC11+1.2,C11) )</f>
        <v>258.5</v>
      </c>
      <c r="AH11" s="31">
        <f xml:space="preserve"> IF(소장&lt;&gt;"손상민",IF('와이드(실측)'!AD11&gt;0,'와이드(실측)'!AD11,D11-1.2),IF('와이드(실측)'!AD11&gt;0,'와이드(실측)'!AD11+1.2,D11))</f>
        <v>258.5</v>
      </c>
      <c r="AI11" s="51">
        <f t="shared" si="9"/>
        <v>2.5</v>
      </c>
      <c r="AJ11" s="31" t="str">
        <f t="shared" si="10"/>
        <v>993*610.8</v>
      </c>
      <c r="AK11" s="31" t="str">
        <f t="shared" si="11"/>
        <v>2350.5*375.2</v>
      </c>
      <c r="AL11" s="31" t="str">
        <f t="shared" si="12"/>
        <v>2354.5*377.2</v>
      </c>
      <c r="AM11" s="31">
        <f>IF('와이드(실측)'!AE11&gt;0,'와이드(실측)'!AE11-'와이드(실측)'!W11+1.2,0)</f>
        <v>8.1999999999999993</v>
      </c>
      <c r="AN11" s="31">
        <f>IF('와이드(실측)'!AF11&gt;0,'와이드(실측)'!AF11-'와이드(실측)'!W11+1.2,0)</f>
        <v>8.1999999999999993</v>
      </c>
      <c r="AO11" s="31">
        <f>'와이드(실측)'!AG11</f>
        <v>0</v>
      </c>
      <c r="AP11" s="31">
        <f>IF('와이드(실측)'!AH11&gt;5,'와이드(실측)'!AH11+뒷날개치수더함,'와이드(실측)'!AH11)</f>
        <v>20</v>
      </c>
      <c r="AQ11" s="31">
        <f>'와이드(실측)'!AI11</f>
        <v>10</v>
      </c>
      <c r="AR11" s="31">
        <f>'와이드(실측)'!AJ11</f>
        <v>10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0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0</v>
      </c>
      <c r="AU11" s="20">
        <f t="shared" si="13"/>
        <v>12.225122675735753</v>
      </c>
      <c r="AV11" s="21">
        <f t="shared" si="14"/>
        <v>17.33300316787836</v>
      </c>
      <c r="AW11" s="21">
        <f t="shared" si="15"/>
        <v>17.33300316787836</v>
      </c>
      <c r="AX11" s="21">
        <f>'와이드(실측)'!M11+AS11</f>
        <v>0</v>
      </c>
      <c r="AY11" s="21">
        <f>'와이드(실측)'!N11+AS11</f>
        <v>0</v>
      </c>
      <c r="AZ11" s="20">
        <f t="shared" si="16"/>
        <v>17.33300316787836</v>
      </c>
      <c r="BA11" s="41">
        <f>IF(소장&lt;&gt;"손상민",F11+IF(Y11+Z11&gt;0,N11+M11,0),F11)</f>
        <v>993</v>
      </c>
      <c r="BB11" s="42">
        <f>MAX(C11,D11)+MAX(G11,H11)+AA11-1.2*$AJ$3+IF(BI11=0,MAX(AE11,AC11),0)+IF(Y11=0,1.2,0)+IF(Z11=0,1.2,0)+IF(소장&lt;&gt;"손상민", Y11+Z11,IF('와이드(실측)'!U11=0,0,2.4))</f>
        <v>610.80000000000007</v>
      </c>
      <c r="BC11" s="41">
        <f t="shared" si="17"/>
        <v>375.2</v>
      </c>
      <c r="BD11" s="41">
        <f t="shared" si="18"/>
        <v>2350.5</v>
      </c>
      <c r="BE11" s="41">
        <f t="shared" si="19"/>
        <v>377.2</v>
      </c>
      <c r="BF11" s="41">
        <f t="shared" si="20"/>
        <v>2354.5</v>
      </c>
      <c r="BG11" s="6">
        <f t="shared" si="21"/>
        <v>6.5999999999999979</v>
      </c>
      <c r="BH11" s="43" t="str">
        <f t="shared" si="22"/>
        <v/>
      </c>
      <c r="BI11" s="77">
        <f t="shared" si="23"/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11">
    <cfRule type="cellIs" dxfId="85" priority="52" operator="greaterThan">
      <formula>3</formula>
    </cfRule>
  </conditionalFormatting>
  <conditionalFormatting sqref="F7:F11">
    <cfRule type="cellIs" dxfId="84" priority="39" operator="greaterThan">
      <formula>1210</formula>
    </cfRule>
  </conditionalFormatting>
  <conditionalFormatting sqref="I7:L11 C7:D11">
    <cfRule type="cellIs" dxfId="83" priority="38" operator="greaterThan">
      <formula>500</formula>
    </cfRule>
  </conditionalFormatting>
  <conditionalFormatting sqref="C7:D11">
    <cfRule type="cellIs" dxfId="82" priority="36" operator="notEqual">
      <formula>$D7</formula>
    </cfRule>
  </conditionalFormatting>
  <conditionalFormatting sqref="D7:D11">
    <cfRule type="cellIs" dxfId="81" priority="35" operator="notEqual">
      <formula>$C7</formula>
    </cfRule>
  </conditionalFormatting>
  <conditionalFormatting sqref="AO7:AR11">
    <cfRule type="cellIs" dxfId="80" priority="17" operator="greaterThan">
      <formula>1.2</formula>
    </cfRule>
  </conditionalFormatting>
  <conditionalFormatting sqref="AO7:AO11">
    <cfRule type="cellIs" dxfId="79" priority="16" operator="greaterThan">
      <formula>0</formula>
    </cfRule>
  </conditionalFormatting>
  <conditionalFormatting sqref="G7:G11">
    <cfRule type="cellIs" dxfId="78" priority="14" operator="notEqual">
      <formula>H7</formula>
    </cfRule>
  </conditionalFormatting>
  <conditionalFormatting sqref="H7:H11">
    <cfRule type="cellIs" dxfId="77" priority="13" operator="notEqual">
      <formula>G7</formula>
    </cfRule>
  </conditionalFormatting>
  <conditionalFormatting sqref="I7:I11">
    <cfRule type="cellIs" dxfId="76" priority="12" operator="notEqual">
      <formula>J7</formula>
    </cfRule>
  </conditionalFormatting>
  <conditionalFormatting sqref="J7:J11">
    <cfRule type="cellIs" dxfId="75" priority="11" operator="notEqual">
      <formula>I7</formula>
    </cfRule>
  </conditionalFormatting>
  <conditionalFormatting sqref="K7:K11">
    <cfRule type="cellIs" dxfId="74" priority="10" operator="notEqual">
      <formula>L7</formula>
    </cfRule>
  </conditionalFormatting>
  <conditionalFormatting sqref="L7:L11">
    <cfRule type="cellIs" dxfId="73" priority="9" operator="notEqual">
      <formula>K7</formula>
    </cfRule>
  </conditionalFormatting>
  <conditionalFormatting sqref="AG7:AG11">
    <cfRule type="cellIs" dxfId="72" priority="8" operator="notEqual">
      <formula>AH7</formula>
    </cfRule>
  </conditionalFormatting>
  <conditionalFormatting sqref="AH7:AH11">
    <cfRule type="cellIs" dxfId="71" priority="7" operator="notEqual">
      <formula>AG7</formula>
    </cfRule>
  </conditionalFormatting>
  <conditionalFormatting sqref="AC7:AF11">
    <cfRule type="expression" dxfId="70" priority="6">
      <formula>$BI7</formula>
    </cfRule>
  </conditionalFormatting>
  <conditionalFormatting sqref="Y7:Y11">
    <cfRule type="expression" dxfId="69" priority="2">
      <formula>소장="손상민"</formula>
    </cfRule>
  </conditionalFormatting>
  <conditionalFormatting sqref="Z7:Z11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>
      <c r="A1" s="167" t="str">
        <f>정보!B3</f>
        <v>(멍텅구리) 실측서 ( 경기도 광명 철산주공13단지아파트 ) _추영덕소장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"/>
      <c r="AC1" s="1"/>
      <c r="AD1" s="1"/>
    </row>
    <row r="2" spans="1:39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>
      <c r="A3" s="129" t="str">
        <f>"현장명 : " &amp; 정보!B1 &amp; ",   (재질) : " &amp; 정보!B8</f>
        <v>현장명 : 경기도 광명 철산주공13단지아파트,   (재질) : HL 1.2T</v>
      </c>
      <c r="B3" s="2"/>
      <c r="C3" s="2"/>
      <c r="D3" s="2"/>
      <c r="E3" s="2"/>
      <c r="F3" s="2"/>
      <c r="G3" s="250"/>
      <c r="H3" s="250"/>
      <c r="I3" s="247"/>
      <c r="J3" s="247"/>
      <c r="K3" s="248"/>
      <c r="L3" s="248"/>
      <c r="M3" s="249"/>
      <c r="N3" s="249"/>
      <c r="O3" s="249"/>
      <c r="P3" s="244" t="s">
        <v>97</v>
      </c>
      <c r="Q3" s="244"/>
      <c r="R3" s="245"/>
      <c r="S3" s="245"/>
      <c r="T3" s="246"/>
      <c r="U3" s="246"/>
    </row>
    <row r="4" spans="1:39" ht="33" customHeight="1">
      <c r="A4" s="165" t="str">
        <f>정보!B11</f>
        <v>제작치수 반영 : JB/JD +(0 ),  늘어난치수K -(0),  C + (0),  U +(0), OP - (0), R - (0),  기둥차감 - (4),  A + (0)</v>
      </c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9"/>
      <c r="AA4" s="9"/>
      <c r="AB4" s="175" t="s">
        <v>210</v>
      </c>
      <c r="AC4" s="175"/>
      <c r="AD4" s="81" t="s">
        <v>229</v>
      </c>
    </row>
    <row r="5" spans="1:39" ht="25.9" customHeight="1">
      <c r="A5" s="177" t="s">
        <v>0</v>
      </c>
      <c r="B5" s="169" t="s">
        <v>1</v>
      </c>
      <c r="C5" s="169" t="s">
        <v>3</v>
      </c>
      <c r="D5" s="169" t="s">
        <v>18</v>
      </c>
      <c r="E5" s="169" t="s">
        <v>4</v>
      </c>
      <c r="F5" s="169" t="s">
        <v>5</v>
      </c>
      <c r="G5" s="169" t="s">
        <v>6</v>
      </c>
      <c r="H5" s="169" t="s">
        <v>7</v>
      </c>
      <c r="I5" s="169" t="s">
        <v>8</v>
      </c>
      <c r="J5" s="169" t="s">
        <v>9</v>
      </c>
      <c r="K5" s="169" t="s">
        <v>10</v>
      </c>
      <c r="L5" s="169" t="s">
        <v>11</v>
      </c>
      <c r="M5" s="169" t="s">
        <v>14</v>
      </c>
      <c r="N5" s="169" t="s">
        <v>15</v>
      </c>
      <c r="O5" s="169" t="s">
        <v>16</v>
      </c>
      <c r="P5" s="169" t="s">
        <v>17</v>
      </c>
      <c r="Q5" s="169" t="s">
        <v>19</v>
      </c>
      <c r="R5" s="169" t="s">
        <v>20</v>
      </c>
      <c r="S5" s="239" t="s">
        <v>22</v>
      </c>
      <c r="T5" s="239" t="s">
        <v>23</v>
      </c>
      <c r="U5" s="241" t="s">
        <v>21</v>
      </c>
      <c r="V5" s="242"/>
      <c r="W5" s="242"/>
      <c r="X5" s="243"/>
      <c r="Y5" s="170" t="s">
        <v>198</v>
      </c>
      <c r="Z5" s="170"/>
      <c r="AA5" s="170"/>
      <c r="AB5" s="173" t="s">
        <v>207</v>
      </c>
      <c r="AC5" s="174"/>
      <c r="AD5" s="80" t="s">
        <v>226</v>
      </c>
    </row>
    <row r="6" spans="1:39" ht="47.25" customHeight="1">
      <c r="A6" s="177"/>
      <c r="B6" s="169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240"/>
      <c r="T6" s="240"/>
      <c r="U6" s="8" t="s">
        <v>52</v>
      </c>
      <c r="V6" s="8" t="s">
        <v>53</v>
      </c>
      <c r="W6" s="8" t="s">
        <v>54</v>
      </c>
      <c r="X6" s="8" t="s">
        <v>55</v>
      </c>
      <c r="Y6" s="4" t="s">
        <v>195</v>
      </c>
      <c r="Z6" s="4" t="s">
        <v>196</v>
      </c>
      <c r="AA6" s="4" t="s">
        <v>197</v>
      </c>
      <c r="AB6" s="74" t="s">
        <v>208</v>
      </c>
      <c r="AC6" s="74" t="s">
        <v>209</v>
      </c>
      <c r="AD6" s="80" t="s">
        <v>227</v>
      </c>
      <c r="AE6" s="54" t="s">
        <v>115</v>
      </c>
    </row>
    <row r="7" spans="1:39" ht="27" customHeight="1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O5:O6"/>
    <mergeCell ref="N5:N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J5:J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I5:I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-0.249977111117893"/>
    <pageSetUpPr fitToPage="1"/>
  </sheetPr>
  <dimension ref="A1:BA7"/>
  <sheetViews>
    <sheetView zoomScale="85" zoomScaleNormal="85" workbookViewId="0">
      <selection activeCell="AD3" sqref="AD3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>
      <c r="A1" s="167" t="str">
        <f>정보!C3</f>
        <v>(멍텅구리) 제작변환 자료( 경기도 광명 철산주공13단지아파트 ) _추영덕소장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"/>
      <c r="AJ1" s="1"/>
      <c r="AK1" s="251" t="s">
        <v>75</v>
      </c>
      <c r="AL1" s="251"/>
      <c r="AM1" s="251"/>
      <c r="AR1" s="24"/>
    </row>
    <row r="2" spans="1:53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58" t="s">
        <v>81</v>
      </c>
      <c r="H2" s="258"/>
      <c r="I2" s="258"/>
      <c r="J2" s="264">
        <v>0</v>
      </c>
      <c r="K2" s="264"/>
      <c r="L2" s="261" t="s">
        <v>113</v>
      </c>
      <c r="M2" s="261"/>
      <c r="N2" s="261"/>
      <c r="O2" s="261"/>
      <c r="P2" s="262">
        <v>1</v>
      </c>
      <c r="Q2" s="262"/>
      <c r="R2" s="259" t="s">
        <v>103</v>
      </c>
      <c r="S2" s="260"/>
      <c r="T2" s="108">
        <v>0</v>
      </c>
      <c r="U2" s="259" t="s">
        <v>88</v>
      </c>
      <c r="V2" s="260"/>
      <c r="W2" s="257">
        <v>0</v>
      </c>
      <c r="X2" s="257"/>
      <c r="Y2" s="253" t="s">
        <v>82</v>
      </c>
      <c r="Z2" s="254"/>
      <c r="AA2" s="255">
        <v>4</v>
      </c>
      <c r="AB2" s="255"/>
      <c r="AC2" s="98" t="s">
        <v>114</v>
      </c>
      <c r="AD2" s="252">
        <v>0</v>
      </c>
      <c r="AE2" s="252"/>
      <c r="AF2" s="1"/>
      <c r="AG2" s="1"/>
      <c r="AH2" s="1"/>
      <c r="AI2" s="1"/>
      <c r="AJ2" s="1"/>
      <c r="AK2" s="251"/>
      <c r="AL2" s="251"/>
      <c r="AM2" s="251"/>
      <c r="AR2" s="24"/>
    </row>
    <row r="3" spans="1:53" ht="33" customHeight="1">
      <c r="A3" s="33" t="str">
        <f>'멍텅(실측)'!A3</f>
        <v>현장명 : 경기도 광명 철산주공13단지아파트,   (재질) : HL 1.2T</v>
      </c>
      <c r="B3" s="2"/>
      <c r="C3" s="2"/>
      <c r="D3" s="2"/>
      <c r="E3" s="2"/>
      <c r="F3" s="2"/>
      <c r="G3" s="253" t="s">
        <v>76</v>
      </c>
      <c r="H3" s="253"/>
      <c r="I3" s="253"/>
      <c r="J3" s="265">
        <v>0</v>
      </c>
      <c r="K3" s="265"/>
      <c r="L3" s="253" t="s">
        <v>77</v>
      </c>
      <c r="M3" s="253"/>
      <c r="N3" s="266">
        <v>0</v>
      </c>
      <c r="O3" s="266"/>
      <c r="P3" s="267" t="s">
        <v>222</v>
      </c>
      <c r="Q3" s="267"/>
      <c r="R3" s="267"/>
      <c r="S3" s="268">
        <f>AZ7</f>
        <v>1</v>
      </c>
      <c r="T3" s="268"/>
      <c r="U3" s="263" t="s">
        <v>78</v>
      </c>
      <c r="V3" s="263"/>
      <c r="W3" s="256">
        <v>0</v>
      </c>
      <c r="X3" s="256"/>
      <c r="AA3" s="211" t="s">
        <v>73</v>
      </c>
      <c r="AB3" s="211"/>
      <c r="AC3" s="102">
        <v>3</v>
      </c>
      <c r="AD3" s="4" t="s">
        <v>74</v>
      </c>
      <c r="AE3" s="104">
        <v>4</v>
      </c>
      <c r="AF3" s="282" t="s">
        <v>320</v>
      </c>
      <c r="AG3" s="283"/>
      <c r="AH3" s="214"/>
      <c r="AI3" s="284" t="e">
        <f>AN7</f>
        <v>#DIV/0!</v>
      </c>
      <c r="AJ3" s="231"/>
      <c r="AK3" s="25"/>
      <c r="AL3" s="25"/>
      <c r="AM3" s="24"/>
      <c r="AR3" s="24"/>
    </row>
    <row r="4" spans="1:53" ht="33" customHeight="1">
      <c r="A4" s="279" t="str">
        <f>'멍텅(실측)'!A4:Y4</f>
        <v>제작치수 반영 : JB/JD +(0 ),  늘어난치수K -(0),  C + (0),  U +(0), OP - (0), R - (0),  기둥차감 - (4),  A + (0)</v>
      </c>
      <c r="B4" s="279"/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79"/>
      <c r="R4" s="279"/>
      <c r="S4" s="279"/>
      <c r="T4" s="279"/>
      <c r="U4" s="279"/>
      <c r="V4" s="279"/>
      <c r="W4" s="279"/>
      <c r="X4" s="279"/>
      <c r="Y4" s="277" t="s">
        <v>306</v>
      </c>
      <c r="Z4" s="277"/>
      <c r="AA4" s="278">
        <f>'멍텅(실측)'!U7</f>
        <v>0</v>
      </c>
      <c r="AB4" s="278"/>
      <c r="AC4" s="9"/>
      <c r="AD4" s="224">
        <f ca="1">TODAY()</f>
        <v>45274</v>
      </c>
      <c r="AE4" s="164"/>
      <c r="AF4" s="280" t="s">
        <v>230</v>
      </c>
      <c r="AG4" s="280"/>
      <c r="AH4" s="281"/>
      <c r="AI4" s="175" t="s">
        <v>210</v>
      </c>
      <c r="AJ4" s="175"/>
      <c r="AK4" s="25"/>
      <c r="AL4" s="25"/>
      <c r="AM4" s="24"/>
      <c r="AR4" s="24"/>
      <c r="AZ4" s="179" t="s">
        <v>248</v>
      </c>
    </row>
    <row r="5" spans="1:53" ht="25.9" customHeight="1">
      <c r="A5" s="169" t="s">
        <v>0</v>
      </c>
      <c r="B5" s="169" t="s">
        <v>1</v>
      </c>
      <c r="C5" s="169" t="s">
        <v>3</v>
      </c>
      <c r="D5" s="169" t="s">
        <v>18</v>
      </c>
      <c r="E5" s="170" t="s">
        <v>58</v>
      </c>
      <c r="F5" s="170" t="s">
        <v>59</v>
      </c>
      <c r="G5" s="269" t="s">
        <v>60</v>
      </c>
      <c r="H5" s="269" t="s">
        <v>64</v>
      </c>
      <c r="I5" s="271" t="s">
        <v>65</v>
      </c>
      <c r="J5" s="271" t="s">
        <v>66</v>
      </c>
      <c r="K5" s="239" t="s">
        <v>62</v>
      </c>
      <c r="L5" s="239" t="s">
        <v>63</v>
      </c>
      <c r="M5" s="169" t="s">
        <v>8</v>
      </c>
      <c r="N5" s="169" t="s">
        <v>9</v>
      </c>
      <c r="O5" s="169" t="s">
        <v>10</v>
      </c>
      <c r="P5" s="169" t="s">
        <v>11</v>
      </c>
      <c r="Q5" s="169" t="s">
        <v>14</v>
      </c>
      <c r="R5" s="169" t="s">
        <v>15</v>
      </c>
      <c r="S5" s="169" t="s">
        <v>16</v>
      </c>
      <c r="T5" s="169" t="s">
        <v>17</v>
      </c>
      <c r="U5" s="169" t="s">
        <v>19</v>
      </c>
      <c r="V5" s="273" t="s">
        <v>20</v>
      </c>
      <c r="W5" s="239" t="s">
        <v>22</v>
      </c>
      <c r="X5" s="239" t="s">
        <v>23</v>
      </c>
      <c r="Y5" s="241" t="s">
        <v>21</v>
      </c>
      <c r="Z5" s="242"/>
      <c r="AA5" s="242"/>
      <c r="AB5" s="243"/>
      <c r="AC5" s="170" t="s">
        <v>25</v>
      </c>
      <c r="AD5" s="275" t="s">
        <v>34</v>
      </c>
      <c r="AE5" s="170" t="s">
        <v>35</v>
      </c>
      <c r="AF5" s="237" t="s">
        <v>198</v>
      </c>
      <c r="AG5" s="237"/>
      <c r="AH5" s="237"/>
      <c r="AI5" s="173" t="s">
        <v>207</v>
      </c>
      <c r="AJ5" s="174"/>
      <c r="AK5" s="179" t="s">
        <v>300</v>
      </c>
      <c r="AL5" s="179" t="s">
        <v>301</v>
      </c>
      <c r="AM5" s="274" t="s">
        <v>51</v>
      </c>
      <c r="AT5" s="180" t="s">
        <v>28</v>
      </c>
      <c r="AU5" s="180"/>
      <c r="AV5" s="180" t="s">
        <v>29</v>
      </c>
      <c r="AW5" s="180"/>
      <c r="AZ5" s="180"/>
    </row>
    <row r="6" spans="1:53" ht="48" customHeight="1">
      <c r="A6" s="169"/>
      <c r="B6" s="169"/>
      <c r="C6" s="169"/>
      <c r="D6" s="169"/>
      <c r="E6" s="169"/>
      <c r="F6" s="169"/>
      <c r="G6" s="270"/>
      <c r="H6" s="270"/>
      <c r="I6" s="272"/>
      <c r="J6" s="272"/>
      <c r="K6" s="240"/>
      <c r="L6" s="240"/>
      <c r="M6" s="169"/>
      <c r="N6" s="169"/>
      <c r="O6" s="169"/>
      <c r="P6" s="169"/>
      <c r="Q6" s="169"/>
      <c r="R6" s="169"/>
      <c r="S6" s="169"/>
      <c r="T6" s="169"/>
      <c r="U6" s="169"/>
      <c r="V6" s="273"/>
      <c r="W6" s="240"/>
      <c r="X6" s="240"/>
      <c r="Y6" s="8" t="s">
        <v>56</v>
      </c>
      <c r="Z6" s="8" t="s">
        <v>57</v>
      </c>
      <c r="AA6" s="8" t="s">
        <v>54</v>
      </c>
      <c r="AB6" s="8" t="s">
        <v>55</v>
      </c>
      <c r="AC6" s="169"/>
      <c r="AD6" s="276"/>
      <c r="AE6" s="169"/>
      <c r="AF6" s="109" t="s">
        <v>195</v>
      </c>
      <c r="AG6" s="109" t="s">
        <v>196</v>
      </c>
      <c r="AH6" s="109" t="s">
        <v>197</v>
      </c>
      <c r="AI6" s="74" t="s">
        <v>208</v>
      </c>
      <c r="AJ6" s="74" t="s">
        <v>209</v>
      </c>
      <c r="AK6" s="180"/>
      <c r="AL6" s="180"/>
      <c r="AM6" s="274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220</v>
      </c>
      <c r="BA6" s="82" t="s">
        <v>228</v>
      </c>
    </row>
    <row r="7" spans="1:53" ht="26.25" customHeight="1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-4</v>
      </c>
      <c r="R7" s="4">
        <f>'멍텅(실측)'!N7-멍텅기둥차감</f>
        <v>-4</v>
      </c>
      <c r="S7" s="4">
        <f>'멍텅(실측)'!O7-멍텅기둥차감</f>
        <v>-4</v>
      </c>
      <c r="T7" s="4">
        <f>'멍텅(실측)'!P7-멍텅기둥차감</f>
        <v>-4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0*-2.4</v>
      </c>
      <c r="AD7" s="12" t="str">
        <f t="shared" ref="AD7" si="2">AU7&amp;"*"&amp;AT7</f>
        <v>-4*-2.6</v>
      </c>
      <c r="AE7" s="10" t="str">
        <f t="shared" ref="AE7" si="3">AW7&amp;"*"&amp;AV7</f>
        <v>-4*-2.6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-4</v>
      </c>
      <c r="AV7" s="3">
        <f>P7+N7+MAX(I7,J7)+X7-1.2*$AE$3+IF(AZ7=0,MAX(AA7,AB7))+IF(P7=0,1.2,0)-IF(AH7=90,2.4,0)</f>
        <v>-2.5999999999999996</v>
      </c>
      <c r="AW7" s="3">
        <f t="shared" ref="AW7" si="7">MAX(S7,T7)</f>
        <v>-4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rrowsheet">
    <pageSetUpPr fitToPage="1"/>
  </sheetPr>
  <dimension ref="A1:V358"/>
  <sheetViews>
    <sheetView zoomScaleNormal="100" workbookViewId="0">
      <selection activeCell="J7" sqref="J7:M76"/>
    </sheetView>
  </sheetViews>
  <sheetFormatPr defaultRowHeight="16.5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>
      <c r="A1" s="286" t="str">
        <f>정보!B4</f>
        <v>(쪽쟘) 실측서 ( 경기도 광명 철산주공13단지아파트 ) _추영덕소장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</row>
    <row r="2" spans="1:22" ht="15" customHeight="1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>
      <c r="A3" s="131" t="str">
        <f>"현장명 : " &amp;정보!B1&amp;" , 재질 : " &amp;정보!B9</f>
        <v>현장명 : 경기도 광명 철산주공13단지아파트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>
      <c r="A5" s="289" t="s">
        <v>118</v>
      </c>
      <c r="B5" s="285" t="s">
        <v>119</v>
      </c>
      <c r="C5" s="285" t="s">
        <v>120</v>
      </c>
      <c r="D5" s="285" t="s">
        <v>121</v>
      </c>
      <c r="E5" s="285" t="s">
        <v>122</v>
      </c>
      <c r="F5" s="285" t="s">
        <v>123</v>
      </c>
      <c r="G5" s="285" t="s">
        <v>124</v>
      </c>
      <c r="H5" s="285" t="s">
        <v>125</v>
      </c>
      <c r="I5" s="285" t="s">
        <v>126</v>
      </c>
      <c r="J5" s="285" t="s">
        <v>128</v>
      </c>
      <c r="K5" s="285" t="s">
        <v>15</v>
      </c>
      <c r="L5" s="285" t="s">
        <v>129</v>
      </c>
      <c r="M5" s="285" t="s">
        <v>130</v>
      </c>
      <c r="N5" s="285" t="s">
        <v>131</v>
      </c>
      <c r="O5" s="285" t="s">
        <v>132</v>
      </c>
      <c r="P5" s="287" t="s">
        <v>133</v>
      </c>
      <c r="Q5" s="287" t="s">
        <v>134</v>
      </c>
      <c r="R5" s="285" t="s">
        <v>135</v>
      </c>
      <c r="S5" s="285"/>
      <c r="T5" s="170" t="s">
        <v>198</v>
      </c>
      <c r="U5" s="170"/>
      <c r="V5" s="170"/>
    </row>
    <row r="6" spans="1:22" ht="25.9" customHeight="1">
      <c r="A6" s="289"/>
      <c r="B6" s="285"/>
      <c r="C6" s="285"/>
      <c r="D6" s="285"/>
      <c r="E6" s="285"/>
      <c r="F6" s="285"/>
      <c r="G6" s="285"/>
      <c r="H6" s="285"/>
      <c r="I6" s="285"/>
      <c r="J6" s="285"/>
      <c r="K6" s="285"/>
      <c r="L6" s="285"/>
      <c r="M6" s="285"/>
      <c r="N6" s="285"/>
      <c r="O6" s="285"/>
      <c r="P6" s="288"/>
      <c r="Q6" s="288"/>
      <c r="R6" s="60" t="s">
        <v>137</v>
      </c>
      <c r="S6" s="60" t="s">
        <v>138</v>
      </c>
      <c r="T6" s="4" t="s">
        <v>195</v>
      </c>
      <c r="U6" s="4" t="s">
        <v>196</v>
      </c>
      <c r="V6" s="4" t="s">
        <v>197</v>
      </c>
    </row>
    <row r="7" spans="1:22" ht="18" customHeight="1">
      <c r="A7" s="133" t="s">
        <v>333</v>
      </c>
      <c r="B7" s="60">
        <v>15</v>
      </c>
      <c r="C7" s="60">
        <v>798</v>
      </c>
      <c r="D7" s="60">
        <v>62</v>
      </c>
      <c r="E7" s="60">
        <v>60</v>
      </c>
      <c r="F7" s="60">
        <v>27</v>
      </c>
      <c r="G7" s="60">
        <v>23</v>
      </c>
      <c r="H7" s="60">
        <v>22</v>
      </c>
      <c r="I7" s="60">
        <v>22</v>
      </c>
      <c r="J7" s="119">
        <v>2092</v>
      </c>
      <c r="K7" s="119">
        <v>2087</v>
      </c>
      <c r="L7" s="119">
        <v>2092</v>
      </c>
      <c r="M7" s="119">
        <v>2087</v>
      </c>
      <c r="N7" s="119">
        <v>22</v>
      </c>
      <c r="O7" s="119">
        <v>22</v>
      </c>
      <c r="P7" s="119">
        <v>25</v>
      </c>
      <c r="Q7" s="119">
        <v>30</v>
      </c>
      <c r="R7" s="60"/>
      <c r="S7" s="60"/>
      <c r="T7" s="4">
        <v>20</v>
      </c>
      <c r="U7" s="4">
        <v>10</v>
      </c>
      <c r="V7" s="4">
        <v>10</v>
      </c>
    </row>
    <row r="8" spans="1:22" ht="18" customHeight="1">
      <c r="A8" s="133" t="s">
        <v>333</v>
      </c>
      <c r="B8" s="60">
        <v>14</v>
      </c>
      <c r="C8" s="60">
        <v>798</v>
      </c>
      <c r="D8" s="60">
        <v>62</v>
      </c>
      <c r="E8" s="60">
        <v>60</v>
      </c>
      <c r="F8" s="60">
        <v>25</v>
      </c>
      <c r="G8" s="60">
        <v>25</v>
      </c>
      <c r="H8" s="60">
        <v>27</v>
      </c>
      <c r="I8" s="60">
        <v>27</v>
      </c>
      <c r="J8" s="119">
        <v>2092</v>
      </c>
      <c r="K8" s="119">
        <v>2087</v>
      </c>
      <c r="L8" s="119">
        <v>2092</v>
      </c>
      <c r="M8" s="119">
        <v>2087</v>
      </c>
      <c r="N8" s="119">
        <v>23</v>
      </c>
      <c r="O8" s="119">
        <v>20</v>
      </c>
      <c r="P8" s="119">
        <v>25</v>
      </c>
      <c r="Q8" s="119">
        <v>30</v>
      </c>
      <c r="R8" s="60"/>
      <c r="S8" s="60"/>
      <c r="T8" s="4">
        <v>20</v>
      </c>
      <c r="U8" s="4">
        <v>10</v>
      </c>
      <c r="V8" s="4">
        <v>10</v>
      </c>
    </row>
    <row r="9" spans="1:22">
      <c r="A9" s="133" t="s">
        <v>333</v>
      </c>
      <c r="B9" s="60">
        <v>13</v>
      </c>
      <c r="C9" s="60">
        <v>798</v>
      </c>
      <c r="D9" s="60">
        <v>62</v>
      </c>
      <c r="E9" s="60">
        <v>60</v>
      </c>
      <c r="F9" s="60">
        <v>32</v>
      </c>
      <c r="G9" s="60">
        <v>28</v>
      </c>
      <c r="H9" s="60">
        <v>25</v>
      </c>
      <c r="I9" s="60">
        <v>18</v>
      </c>
      <c r="J9" s="119">
        <v>2092</v>
      </c>
      <c r="K9" s="119">
        <v>2087</v>
      </c>
      <c r="L9" s="119">
        <v>2092</v>
      </c>
      <c r="M9" s="119">
        <v>2087</v>
      </c>
      <c r="N9" s="119">
        <v>26</v>
      </c>
      <c r="O9" s="119">
        <v>23</v>
      </c>
      <c r="P9" s="119">
        <v>25</v>
      </c>
      <c r="Q9" s="119">
        <v>30</v>
      </c>
      <c r="R9" s="60"/>
      <c r="S9" s="60"/>
      <c r="T9" s="4">
        <v>20</v>
      </c>
      <c r="U9" s="4">
        <v>10</v>
      </c>
      <c r="V9" s="4">
        <v>10</v>
      </c>
    </row>
    <row r="10" spans="1:22">
      <c r="A10" s="133" t="s">
        <v>333</v>
      </c>
      <c r="B10" s="60">
        <v>12</v>
      </c>
      <c r="C10" s="60">
        <v>798</v>
      </c>
      <c r="D10" s="60">
        <v>62</v>
      </c>
      <c r="E10" s="60">
        <v>60</v>
      </c>
      <c r="F10" s="60">
        <v>24</v>
      </c>
      <c r="G10" s="60">
        <v>28</v>
      </c>
      <c r="H10" s="60">
        <v>27</v>
      </c>
      <c r="I10" s="60">
        <v>27</v>
      </c>
      <c r="J10" s="119">
        <v>2092</v>
      </c>
      <c r="K10" s="119">
        <v>2087</v>
      </c>
      <c r="L10" s="119">
        <v>2092</v>
      </c>
      <c r="M10" s="119">
        <v>2087</v>
      </c>
      <c r="N10" s="119">
        <v>22</v>
      </c>
      <c r="O10" s="119">
        <v>22</v>
      </c>
      <c r="P10" s="119">
        <v>25</v>
      </c>
      <c r="Q10" s="119">
        <v>30</v>
      </c>
      <c r="R10" s="60"/>
      <c r="S10" s="60"/>
      <c r="T10" s="4">
        <v>20</v>
      </c>
      <c r="U10" s="4">
        <v>10</v>
      </c>
      <c r="V10" s="4">
        <v>10</v>
      </c>
    </row>
    <row r="11" spans="1:22">
      <c r="A11" s="133" t="s">
        <v>333</v>
      </c>
      <c r="B11" s="60">
        <v>11</v>
      </c>
      <c r="C11" s="60">
        <v>798</v>
      </c>
      <c r="D11" s="60">
        <v>62</v>
      </c>
      <c r="E11" s="60">
        <v>60</v>
      </c>
      <c r="F11" s="60">
        <v>22</v>
      </c>
      <c r="G11" s="60">
        <v>27</v>
      </c>
      <c r="H11" s="60">
        <v>27</v>
      </c>
      <c r="I11" s="60">
        <v>27</v>
      </c>
      <c r="J11" s="119">
        <v>2092</v>
      </c>
      <c r="K11" s="119">
        <v>2087</v>
      </c>
      <c r="L11" s="119">
        <v>2092</v>
      </c>
      <c r="M11" s="119">
        <v>2087</v>
      </c>
      <c r="N11" s="119">
        <v>26</v>
      </c>
      <c r="O11" s="119">
        <v>23</v>
      </c>
      <c r="P11" s="119">
        <v>25</v>
      </c>
      <c r="Q11" s="119">
        <v>30</v>
      </c>
      <c r="R11" s="60"/>
      <c r="S11" s="60"/>
      <c r="T11" s="4">
        <v>20</v>
      </c>
      <c r="U11" s="4">
        <v>10</v>
      </c>
      <c r="V11" s="4">
        <v>10</v>
      </c>
    </row>
    <row r="12" spans="1:22">
      <c r="A12" s="133" t="s">
        <v>333</v>
      </c>
      <c r="B12" s="60">
        <v>10</v>
      </c>
      <c r="C12" s="60">
        <v>798</v>
      </c>
      <c r="D12" s="60">
        <v>62</v>
      </c>
      <c r="E12" s="60">
        <v>60</v>
      </c>
      <c r="F12" s="60">
        <v>31</v>
      </c>
      <c r="G12" s="60">
        <v>27</v>
      </c>
      <c r="H12" s="60">
        <v>27</v>
      </c>
      <c r="I12" s="60">
        <v>27</v>
      </c>
      <c r="J12" s="119">
        <v>2092</v>
      </c>
      <c r="K12" s="119">
        <v>2087</v>
      </c>
      <c r="L12" s="119">
        <v>2092</v>
      </c>
      <c r="M12" s="119">
        <v>2087</v>
      </c>
      <c r="N12" s="119">
        <v>23</v>
      </c>
      <c r="O12" s="119">
        <v>23</v>
      </c>
      <c r="P12" s="119">
        <v>25</v>
      </c>
      <c r="Q12" s="119">
        <v>30</v>
      </c>
      <c r="R12" s="60"/>
      <c r="S12" s="60"/>
      <c r="T12" s="4">
        <v>20</v>
      </c>
      <c r="U12" s="4">
        <v>10</v>
      </c>
      <c r="V12" s="4">
        <v>10</v>
      </c>
    </row>
    <row r="13" spans="1:22">
      <c r="A13" s="133" t="s">
        <v>333</v>
      </c>
      <c r="B13" s="60">
        <v>9</v>
      </c>
      <c r="C13" s="60">
        <v>798</v>
      </c>
      <c r="D13" s="60">
        <v>62</v>
      </c>
      <c r="E13" s="60">
        <v>60</v>
      </c>
      <c r="F13" s="60">
        <v>28</v>
      </c>
      <c r="G13" s="60">
        <v>28</v>
      </c>
      <c r="H13" s="60">
        <v>28</v>
      </c>
      <c r="I13" s="60">
        <v>28</v>
      </c>
      <c r="J13" s="119">
        <v>2092</v>
      </c>
      <c r="K13" s="119">
        <v>2087</v>
      </c>
      <c r="L13" s="119">
        <v>2092</v>
      </c>
      <c r="M13" s="119">
        <v>2087</v>
      </c>
      <c r="N13" s="119">
        <v>26</v>
      </c>
      <c r="O13" s="119">
        <v>22</v>
      </c>
      <c r="P13" s="119">
        <v>25</v>
      </c>
      <c r="Q13" s="119">
        <v>30</v>
      </c>
      <c r="R13" s="60"/>
      <c r="S13" s="60"/>
      <c r="T13" s="4">
        <v>20</v>
      </c>
      <c r="U13" s="4">
        <v>10</v>
      </c>
      <c r="V13" s="4">
        <v>10</v>
      </c>
    </row>
    <row r="14" spans="1:22">
      <c r="A14" s="133" t="s">
        <v>333</v>
      </c>
      <c r="B14" s="60">
        <v>8</v>
      </c>
      <c r="C14" s="60">
        <v>798</v>
      </c>
      <c r="D14" s="60">
        <v>62</v>
      </c>
      <c r="E14" s="60">
        <v>60</v>
      </c>
      <c r="F14" s="60">
        <v>27</v>
      </c>
      <c r="G14" s="60">
        <v>32</v>
      </c>
      <c r="H14" s="60">
        <v>29</v>
      </c>
      <c r="I14" s="60">
        <v>24</v>
      </c>
      <c r="J14" s="119">
        <v>2092</v>
      </c>
      <c r="K14" s="119">
        <v>2087</v>
      </c>
      <c r="L14" s="119">
        <v>2092</v>
      </c>
      <c r="M14" s="119">
        <v>2087</v>
      </c>
      <c r="N14" s="119">
        <v>29</v>
      </c>
      <c r="O14" s="119">
        <v>26</v>
      </c>
      <c r="P14" s="119">
        <v>25</v>
      </c>
      <c r="Q14" s="119">
        <v>30</v>
      </c>
      <c r="R14" s="60"/>
      <c r="S14" s="60"/>
      <c r="T14" s="4">
        <v>20</v>
      </c>
      <c r="U14" s="4">
        <v>10</v>
      </c>
      <c r="V14" s="4">
        <v>10</v>
      </c>
    </row>
    <row r="15" spans="1:22">
      <c r="A15" s="133" t="s">
        <v>333</v>
      </c>
      <c r="B15" s="60">
        <v>7</v>
      </c>
      <c r="C15" s="60">
        <v>798</v>
      </c>
      <c r="D15" s="60">
        <v>62</v>
      </c>
      <c r="E15" s="60">
        <v>60</v>
      </c>
      <c r="F15" s="60">
        <v>24</v>
      </c>
      <c r="G15" s="60">
        <v>24</v>
      </c>
      <c r="H15" s="60">
        <v>27</v>
      </c>
      <c r="I15" s="60">
        <v>27</v>
      </c>
      <c r="J15" s="119">
        <v>2092</v>
      </c>
      <c r="K15" s="119">
        <v>2087</v>
      </c>
      <c r="L15" s="119">
        <v>2092</v>
      </c>
      <c r="M15" s="119">
        <v>2087</v>
      </c>
      <c r="N15" s="119">
        <v>21</v>
      </c>
      <c r="O15" s="119">
        <v>21</v>
      </c>
      <c r="P15" s="119">
        <v>25</v>
      </c>
      <c r="Q15" s="119">
        <v>30</v>
      </c>
      <c r="R15" s="60"/>
      <c r="S15" s="60"/>
      <c r="T15" s="4">
        <v>20</v>
      </c>
      <c r="U15" s="4">
        <v>10</v>
      </c>
      <c r="V15" s="4">
        <v>10</v>
      </c>
    </row>
    <row r="16" spans="1:22">
      <c r="A16" s="133" t="s">
        <v>333</v>
      </c>
      <c r="B16" s="60">
        <v>6</v>
      </c>
      <c r="C16" s="60">
        <v>798</v>
      </c>
      <c r="D16" s="60">
        <v>62</v>
      </c>
      <c r="E16" s="60">
        <v>60</v>
      </c>
      <c r="F16" s="60">
        <v>23</v>
      </c>
      <c r="G16" s="60">
        <v>23</v>
      </c>
      <c r="H16" s="60">
        <v>28</v>
      </c>
      <c r="I16" s="60">
        <v>28</v>
      </c>
      <c r="J16" s="119">
        <v>2092</v>
      </c>
      <c r="K16" s="119">
        <v>2087</v>
      </c>
      <c r="L16" s="119">
        <v>2092</v>
      </c>
      <c r="M16" s="119">
        <v>2087</v>
      </c>
      <c r="N16" s="119">
        <v>21</v>
      </c>
      <c r="O16" s="119">
        <v>21</v>
      </c>
      <c r="P16" s="119">
        <v>25</v>
      </c>
      <c r="Q16" s="119">
        <v>30</v>
      </c>
      <c r="R16" s="60"/>
      <c r="S16" s="60"/>
      <c r="T16" s="4">
        <v>20</v>
      </c>
      <c r="U16" s="4">
        <v>10</v>
      </c>
      <c r="V16" s="4">
        <v>10</v>
      </c>
    </row>
    <row r="17" spans="1:22">
      <c r="A17" s="133" t="s">
        <v>333</v>
      </c>
      <c r="B17" s="60">
        <v>5</v>
      </c>
      <c r="C17" s="60">
        <v>798</v>
      </c>
      <c r="D17" s="60">
        <v>62</v>
      </c>
      <c r="E17" s="60">
        <v>60</v>
      </c>
      <c r="F17" s="60">
        <v>28</v>
      </c>
      <c r="G17" s="60">
        <v>28</v>
      </c>
      <c r="H17" s="60">
        <v>28</v>
      </c>
      <c r="I17" s="60">
        <v>28</v>
      </c>
      <c r="J17" s="119">
        <v>2092</v>
      </c>
      <c r="K17" s="119">
        <v>2087</v>
      </c>
      <c r="L17" s="119">
        <v>2092</v>
      </c>
      <c r="M17" s="119">
        <v>2087</v>
      </c>
      <c r="N17" s="119">
        <v>22</v>
      </c>
      <c r="O17" s="119">
        <v>22</v>
      </c>
      <c r="P17" s="119">
        <v>25</v>
      </c>
      <c r="Q17" s="119">
        <v>30</v>
      </c>
      <c r="R17" s="60"/>
      <c r="S17" s="60"/>
      <c r="T17" s="4">
        <v>20</v>
      </c>
      <c r="U17" s="4">
        <v>10</v>
      </c>
      <c r="V17" s="4">
        <v>10</v>
      </c>
    </row>
    <row r="18" spans="1:22">
      <c r="A18" s="133" t="s">
        <v>333</v>
      </c>
      <c r="B18" s="60">
        <v>4</v>
      </c>
      <c r="C18" s="60">
        <v>798</v>
      </c>
      <c r="D18" s="60">
        <v>62</v>
      </c>
      <c r="E18" s="60">
        <v>60</v>
      </c>
      <c r="F18" s="60">
        <v>27</v>
      </c>
      <c r="G18" s="60">
        <v>27</v>
      </c>
      <c r="H18" s="60">
        <v>24</v>
      </c>
      <c r="I18" s="60">
        <v>24</v>
      </c>
      <c r="J18" s="119">
        <v>2092</v>
      </c>
      <c r="K18" s="119">
        <v>2087</v>
      </c>
      <c r="L18" s="119">
        <v>2092</v>
      </c>
      <c r="M18" s="119">
        <v>2087</v>
      </c>
      <c r="N18" s="119">
        <v>26</v>
      </c>
      <c r="O18" s="119">
        <v>26</v>
      </c>
      <c r="P18" s="119">
        <v>25</v>
      </c>
      <c r="Q18" s="119">
        <v>30</v>
      </c>
      <c r="R18" s="60"/>
      <c r="S18" s="60"/>
      <c r="T18" s="4">
        <v>20</v>
      </c>
      <c r="U18" s="4">
        <v>10</v>
      </c>
      <c r="V18" s="4">
        <v>10</v>
      </c>
    </row>
    <row r="19" spans="1:22">
      <c r="A19" s="133" t="s">
        <v>333</v>
      </c>
      <c r="B19" s="60">
        <v>3</v>
      </c>
      <c r="C19" s="60">
        <v>798</v>
      </c>
      <c r="D19" s="60">
        <v>62</v>
      </c>
      <c r="E19" s="60">
        <v>60</v>
      </c>
      <c r="F19" s="60">
        <v>22</v>
      </c>
      <c r="G19" s="60">
        <v>28</v>
      </c>
      <c r="H19" s="60">
        <v>26</v>
      </c>
      <c r="I19" s="60">
        <v>26</v>
      </c>
      <c r="J19" s="119">
        <v>2092</v>
      </c>
      <c r="K19" s="119">
        <v>2087</v>
      </c>
      <c r="L19" s="119">
        <v>2092</v>
      </c>
      <c r="M19" s="119">
        <v>2087</v>
      </c>
      <c r="N19" s="119">
        <v>26</v>
      </c>
      <c r="O19" s="119">
        <v>21</v>
      </c>
      <c r="P19" s="119">
        <v>25</v>
      </c>
      <c r="Q19" s="119">
        <v>30</v>
      </c>
      <c r="R19" s="60"/>
      <c r="S19" s="60"/>
      <c r="T19" s="4">
        <v>20</v>
      </c>
      <c r="U19" s="4">
        <v>10</v>
      </c>
      <c r="V19" s="4">
        <v>10</v>
      </c>
    </row>
    <row r="20" spans="1:22">
      <c r="A20" s="133" t="s">
        <v>333</v>
      </c>
      <c r="B20" s="60">
        <v>2</v>
      </c>
      <c r="C20" s="60">
        <v>798</v>
      </c>
      <c r="D20" s="60">
        <v>62</v>
      </c>
      <c r="E20" s="60">
        <v>60</v>
      </c>
      <c r="F20" s="60">
        <v>24</v>
      </c>
      <c r="G20" s="60">
        <v>24</v>
      </c>
      <c r="H20" s="60">
        <v>26</v>
      </c>
      <c r="I20" s="60">
        <v>26</v>
      </c>
      <c r="J20" s="119">
        <v>2092</v>
      </c>
      <c r="K20" s="119">
        <v>2087</v>
      </c>
      <c r="L20" s="119">
        <v>2092</v>
      </c>
      <c r="M20" s="119">
        <v>2087</v>
      </c>
      <c r="N20" s="119">
        <v>21</v>
      </c>
      <c r="O20" s="119">
        <v>21</v>
      </c>
      <c r="P20" s="119">
        <v>25</v>
      </c>
      <c r="Q20" s="119">
        <v>30</v>
      </c>
      <c r="R20" s="60"/>
      <c r="S20" s="60"/>
      <c r="T20" s="4">
        <v>20</v>
      </c>
      <c r="U20" s="4">
        <v>10</v>
      </c>
      <c r="V20" s="4">
        <v>10</v>
      </c>
    </row>
    <row r="21" spans="1:22">
      <c r="A21" s="133" t="s">
        <v>334</v>
      </c>
      <c r="B21" s="60">
        <v>15</v>
      </c>
      <c r="C21" s="60">
        <v>798</v>
      </c>
      <c r="D21" s="60">
        <v>62</v>
      </c>
      <c r="E21" s="60">
        <v>60</v>
      </c>
      <c r="F21" s="60">
        <v>27</v>
      </c>
      <c r="G21" s="60">
        <v>27</v>
      </c>
      <c r="H21" s="60">
        <v>27</v>
      </c>
      <c r="I21" s="60">
        <v>23</v>
      </c>
      <c r="J21" s="119">
        <v>2092</v>
      </c>
      <c r="K21" s="119">
        <v>2087</v>
      </c>
      <c r="L21" s="119">
        <v>2092</v>
      </c>
      <c r="M21" s="119">
        <v>2087</v>
      </c>
      <c r="N21" s="119">
        <v>26</v>
      </c>
      <c r="O21" s="119">
        <v>22</v>
      </c>
      <c r="P21" s="119">
        <v>25</v>
      </c>
      <c r="Q21" s="119">
        <v>30</v>
      </c>
      <c r="R21" s="60"/>
      <c r="S21" s="60"/>
      <c r="T21" s="4">
        <v>20</v>
      </c>
      <c r="U21" s="4">
        <v>10</v>
      </c>
      <c r="V21" s="4">
        <v>10</v>
      </c>
    </row>
    <row r="22" spans="1:22">
      <c r="A22" s="133" t="s">
        <v>334</v>
      </c>
      <c r="B22" s="60">
        <v>14</v>
      </c>
      <c r="C22" s="60">
        <v>798</v>
      </c>
      <c r="D22" s="60">
        <v>62</v>
      </c>
      <c r="E22" s="60">
        <v>60</v>
      </c>
      <c r="F22" s="60">
        <v>22</v>
      </c>
      <c r="G22" s="60">
        <v>26</v>
      </c>
      <c r="H22" s="60">
        <v>22</v>
      </c>
      <c r="I22" s="60">
        <v>22</v>
      </c>
      <c r="J22" s="119">
        <v>2092</v>
      </c>
      <c r="K22" s="119">
        <v>2087</v>
      </c>
      <c r="L22" s="119">
        <v>2092</v>
      </c>
      <c r="M22" s="119">
        <v>2087</v>
      </c>
      <c r="N22" s="119">
        <v>29</v>
      </c>
      <c r="O22" s="119">
        <v>23</v>
      </c>
      <c r="P22" s="119">
        <v>25</v>
      </c>
      <c r="Q22" s="119">
        <v>30</v>
      </c>
      <c r="R22" s="60"/>
      <c r="S22" s="60"/>
      <c r="T22" s="4">
        <v>20</v>
      </c>
      <c r="U22" s="4">
        <v>10</v>
      </c>
      <c r="V22" s="4">
        <v>10</v>
      </c>
    </row>
    <row r="23" spans="1:22">
      <c r="A23" s="133" t="s">
        <v>334</v>
      </c>
      <c r="B23" s="60">
        <v>13</v>
      </c>
      <c r="C23" s="60">
        <v>798</v>
      </c>
      <c r="D23" s="60">
        <v>62</v>
      </c>
      <c r="E23" s="60">
        <v>60</v>
      </c>
      <c r="F23" s="60">
        <v>28</v>
      </c>
      <c r="G23" s="60">
        <v>28</v>
      </c>
      <c r="H23" s="60">
        <v>22</v>
      </c>
      <c r="I23" s="60">
        <v>22</v>
      </c>
      <c r="J23" s="119">
        <v>2092</v>
      </c>
      <c r="K23" s="119">
        <v>2087</v>
      </c>
      <c r="L23" s="119">
        <v>2092</v>
      </c>
      <c r="M23" s="119">
        <v>2087</v>
      </c>
      <c r="N23" s="119">
        <v>31</v>
      </c>
      <c r="O23" s="119">
        <v>26</v>
      </c>
      <c r="P23" s="119">
        <v>25</v>
      </c>
      <c r="Q23" s="119">
        <v>30</v>
      </c>
      <c r="R23" s="60"/>
      <c r="S23" s="60"/>
      <c r="T23" s="4">
        <v>20</v>
      </c>
      <c r="U23" s="4">
        <v>10</v>
      </c>
      <c r="V23" s="4">
        <v>10</v>
      </c>
    </row>
    <row r="24" spans="1:22">
      <c r="A24" s="133" t="s">
        <v>334</v>
      </c>
      <c r="B24" s="60">
        <v>12</v>
      </c>
      <c r="C24" s="60">
        <v>798</v>
      </c>
      <c r="D24" s="60">
        <v>62</v>
      </c>
      <c r="E24" s="60">
        <v>60</v>
      </c>
      <c r="F24" s="60">
        <v>27</v>
      </c>
      <c r="G24" s="60">
        <v>27</v>
      </c>
      <c r="H24" s="60">
        <v>30</v>
      </c>
      <c r="I24" s="60">
        <v>27</v>
      </c>
      <c r="J24" s="119">
        <v>2092</v>
      </c>
      <c r="K24" s="119">
        <v>2087</v>
      </c>
      <c r="L24" s="119">
        <v>2092</v>
      </c>
      <c r="M24" s="119">
        <v>2087</v>
      </c>
      <c r="N24" s="119">
        <v>27</v>
      </c>
      <c r="O24" s="119">
        <v>27</v>
      </c>
      <c r="P24" s="119">
        <v>25</v>
      </c>
      <c r="Q24" s="119">
        <v>30</v>
      </c>
      <c r="R24" s="60"/>
      <c r="S24" s="60"/>
      <c r="T24" s="4">
        <v>20</v>
      </c>
      <c r="U24" s="4">
        <v>10</v>
      </c>
      <c r="V24" s="4">
        <v>10</v>
      </c>
    </row>
    <row r="25" spans="1:22">
      <c r="A25" s="133" t="s">
        <v>334</v>
      </c>
      <c r="B25" s="60">
        <v>11</v>
      </c>
      <c r="C25" s="60">
        <v>798</v>
      </c>
      <c r="D25" s="60">
        <v>62</v>
      </c>
      <c r="E25" s="60">
        <v>60</v>
      </c>
      <c r="F25" s="60">
        <v>27</v>
      </c>
      <c r="G25" s="60">
        <v>27</v>
      </c>
      <c r="H25" s="60">
        <v>27</v>
      </c>
      <c r="I25" s="60">
        <v>27</v>
      </c>
      <c r="J25" s="119">
        <v>2092</v>
      </c>
      <c r="K25" s="119">
        <v>2087</v>
      </c>
      <c r="L25" s="119">
        <v>2092</v>
      </c>
      <c r="M25" s="119">
        <v>2087</v>
      </c>
      <c r="N25" s="119">
        <v>23</v>
      </c>
      <c r="O25" s="119">
        <v>28</v>
      </c>
      <c r="P25" s="119">
        <v>25</v>
      </c>
      <c r="Q25" s="119">
        <v>30</v>
      </c>
      <c r="R25" s="60"/>
      <c r="S25" s="60"/>
      <c r="T25" s="4">
        <v>20</v>
      </c>
      <c r="U25" s="4">
        <v>10</v>
      </c>
      <c r="V25" s="4">
        <v>10</v>
      </c>
    </row>
    <row r="26" spans="1:22" ht="18" customHeight="1">
      <c r="A26" s="133" t="s">
        <v>334</v>
      </c>
      <c r="B26" s="60">
        <v>10</v>
      </c>
      <c r="C26" s="60">
        <v>798</v>
      </c>
      <c r="D26" s="60">
        <v>62</v>
      </c>
      <c r="E26" s="60">
        <v>60</v>
      </c>
      <c r="F26" s="60">
        <v>25</v>
      </c>
      <c r="G26" s="60">
        <v>25</v>
      </c>
      <c r="H26" s="60">
        <v>27</v>
      </c>
      <c r="I26" s="60">
        <v>27</v>
      </c>
      <c r="J26" s="119">
        <v>2092</v>
      </c>
      <c r="K26" s="119">
        <v>2087</v>
      </c>
      <c r="L26" s="119">
        <v>2092</v>
      </c>
      <c r="M26" s="119">
        <v>2087</v>
      </c>
      <c r="N26" s="119">
        <v>26</v>
      </c>
      <c r="O26" s="119">
        <v>26</v>
      </c>
      <c r="P26" s="119">
        <v>25</v>
      </c>
      <c r="Q26" s="119">
        <v>30</v>
      </c>
      <c r="R26" s="60"/>
      <c r="S26" s="60"/>
      <c r="T26" s="4">
        <v>20</v>
      </c>
      <c r="U26" s="4">
        <v>10</v>
      </c>
      <c r="V26" s="4">
        <v>10</v>
      </c>
    </row>
    <row r="27" spans="1:22" ht="18" customHeight="1">
      <c r="A27" s="133" t="s">
        <v>334</v>
      </c>
      <c r="B27" s="60">
        <v>9</v>
      </c>
      <c r="C27" s="60">
        <v>798</v>
      </c>
      <c r="D27" s="60">
        <v>62</v>
      </c>
      <c r="E27" s="60">
        <v>60</v>
      </c>
      <c r="F27" s="60">
        <v>27</v>
      </c>
      <c r="G27" s="60">
        <v>27</v>
      </c>
      <c r="H27" s="60">
        <v>27</v>
      </c>
      <c r="I27" s="60">
        <v>27</v>
      </c>
      <c r="J27" s="119">
        <v>2092</v>
      </c>
      <c r="K27" s="119">
        <v>2087</v>
      </c>
      <c r="L27" s="119">
        <v>2092</v>
      </c>
      <c r="M27" s="119">
        <v>2087</v>
      </c>
      <c r="N27" s="119">
        <v>26</v>
      </c>
      <c r="O27" s="119">
        <v>26</v>
      </c>
      <c r="P27" s="119">
        <v>25</v>
      </c>
      <c r="Q27" s="119">
        <v>30</v>
      </c>
      <c r="R27" s="60"/>
      <c r="S27" s="60"/>
      <c r="T27" s="4">
        <v>20</v>
      </c>
      <c r="U27" s="4">
        <v>10</v>
      </c>
      <c r="V27" s="4">
        <v>10</v>
      </c>
    </row>
    <row r="28" spans="1:22">
      <c r="A28" s="133" t="s">
        <v>334</v>
      </c>
      <c r="B28" s="60">
        <v>8</v>
      </c>
      <c r="C28" s="60">
        <v>798</v>
      </c>
      <c r="D28" s="60">
        <v>62</v>
      </c>
      <c r="E28" s="60">
        <v>60</v>
      </c>
      <c r="F28" s="60">
        <v>32</v>
      </c>
      <c r="G28" s="60">
        <v>28</v>
      </c>
      <c r="H28" s="60">
        <v>26</v>
      </c>
      <c r="I28" s="60">
        <v>26</v>
      </c>
      <c r="J28" s="119">
        <v>2092</v>
      </c>
      <c r="K28" s="119">
        <v>2087</v>
      </c>
      <c r="L28" s="119">
        <v>2092</v>
      </c>
      <c r="M28" s="119">
        <v>2087</v>
      </c>
      <c r="N28" s="119">
        <v>28</v>
      </c>
      <c r="O28" s="119">
        <v>23</v>
      </c>
      <c r="P28" s="119">
        <v>25</v>
      </c>
      <c r="Q28" s="119">
        <v>30</v>
      </c>
      <c r="R28" s="60"/>
      <c r="S28" s="60"/>
      <c r="T28" s="4">
        <v>20</v>
      </c>
      <c r="U28" s="4">
        <v>10</v>
      </c>
      <c r="V28" s="4">
        <v>10</v>
      </c>
    </row>
    <row r="29" spans="1:22">
      <c r="A29" s="133" t="s">
        <v>334</v>
      </c>
      <c r="B29" s="60">
        <v>7</v>
      </c>
      <c r="C29" s="60">
        <v>798</v>
      </c>
      <c r="D29" s="60">
        <v>62</v>
      </c>
      <c r="E29" s="60">
        <v>60</v>
      </c>
      <c r="F29" s="60">
        <v>29</v>
      </c>
      <c r="G29" s="60">
        <v>29</v>
      </c>
      <c r="H29" s="60">
        <v>28</v>
      </c>
      <c r="I29" s="60">
        <v>28</v>
      </c>
      <c r="J29" s="119">
        <v>2092</v>
      </c>
      <c r="K29" s="119">
        <v>2087</v>
      </c>
      <c r="L29" s="119">
        <v>2092</v>
      </c>
      <c r="M29" s="119">
        <v>2087</v>
      </c>
      <c r="N29" s="119">
        <v>23</v>
      </c>
      <c r="O29" s="119">
        <v>29</v>
      </c>
      <c r="P29" s="119">
        <v>25</v>
      </c>
      <c r="Q29" s="119">
        <v>30</v>
      </c>
      <c r="R29" s="60"/>
      <c r="S29" s="60"/>
      <c r="T29" s="4">
        <v>20</v>
      </c>
      <c r="U29" s="4">
        <v>10</v>
      </c>
      <c r="V29" s="4">
        <v>10</v>
      </c>
    </row>
    <row r="30" spans="1:22">
      <c r="A30" s="133" t="s">
        <v>334</v>
      </c>
      <c r="B30" s="60">
        <v>6</v>
      </c>
      <c r="C30" s="60">
        <v>798</v>
      </c>
      <c r="D30" s="60">
        <v>62</v>
      </c>
      <c r="E30" s="60">
        <v>60</v>
      </c>
      <c r="F30" s="60">
        <v>28</v>
      </c>
      <c r="G30" s="60">
        <v>28</v>
      </c>
      <c r="H30" s="60">
        <v>29</v>
      </c>
      <c r="I30" s="60">
        <v>29</v>
      </c>
      <c r="J30" s="119">
        <v>2092</v>
      </c>
      <c r="K30" s="119">
        <v>2087</v>
      </c>
      <c r="L30" s="119">
        <v>2092</v>
      </c>
      <c r="M30" s="119">
        <v>2087</v>
      </c>
      <c r="N30" s="119">
        <v>30</v>
      </c>
      <c r="O30" s="119">
        <v>27</v>
      </c>
      <c r="P30" s="119">
        <v>25</v>
      </c>
      <c r="Q30" s="119">
        <v>30</v>
      </c>
      <c r="R30" s="60"/>
      <c r="S30" s="60"/>
      <c r="T30" s="4">
        <v>20</v>
      </c>
      <c r="U30" s="4">
        <v>10</v>
      </c>
      <c r="V30" s="4">
        <v>10</v>
      </c>
    </row>
    <row r="31" spans="1:22">
      <c r="A31" s="133" t="s">
        <v>334</v>
      </c>
      <c r="B31" s="60">
        <v>5</v>
      </c>
      <c r="C31" s="60">
        <v>798</v>
      </c>
      <c r="D31" s="60">
        <v>62</v>
      </c>
      <c r="E31" s="60">
        <v>60</v>
      </c>
      <c r="F31" s="60">
        <v>29</v>
      </c>
      <c r="G31" s="60">
        <v>32</v>
      </c>
      <c r="H31" s="60">
        <v>30</v>
      </c>
      <c r="I31" s="60">
        <v>27</v>
      </c>
      <c r="J31" s="119">
        <v>2092</v>
      </c>
      <c r="K31" s="119">
        <v>2087</v>
      </c>
      <c r="L31" s="119">
        <v>2092</v>
      </c>
      <c r="M31" s="119">
        <v>2087</v>
      </c>
      <c r="N31" s="119">
        <v>24</v>
      </c>
      <c r="O31" s="119">
        <v>27</v>
      </c>
      <c r="P31" s="119">
        <v>25</v>
      </c>
      <c r="Q31" s="119">
        <v>30</v>
      </c>
      <c r="R31" s="60"/>
      <c r="S31" s="60"/>
      <c r="T31" s="4">
        <v>20</v>
      </c>
      <c r="U31" s="4">
        <v>10</v>
      </c>
      <c r="V31" s="4">
        <v>10</v>
      </c>
    </row>
    <row r="32" spans="1:22">
      <c r="A32" s="133" t="s">
        <v>334</v>
      </c>
      <c r="B32" s="60">
        <v>4</v>
      </c>
      <c r="C32" s="60">
        <v>798</v>
      </c>
      <c r="D32" s="60">
        <v>62</v>
      </c>
      <c r="E32" s="60">
        <v>60</v>
      </c>
      <c r="F32" s="60">
        <v>29</v>
      </c>
      <c r="G32" s="60">
        <v>32</v>
      </c>
      <c r="H32" s="60">
        <v>35</v>
      </c>
      <c r="I32" s="60">
        <v>32</v>
      </c>
      <c r="J32" s="119">
        <v>2092</v>
      </c>
      <c r="K32" s="119">
        <v>2087</v>
      </c>
      <c r="L32" s="119">
        <v>2092</v>
      </c>
      <c r="M32" s="119">
        <v>2087</v>
      </c>
      <c r="N32" s="119">
        <v>26</v>
      </c>
      <c r="O32" s="119">
        <v>31</v>
      </c>
      <c r="P32" s="119">
        <v>25</v>
      </c>
      <c r="Q32" s="119">
        <v>30</v>
      </c>
      <c r="R32" s="60"/>
      <c r="S32" s="60"/>
      <c r="T32" s="4">
        <v>20</v>
      </c>
      <c r="U32" s="4">
        <v>10</v>
      </c>
      <c r="V32" s="4">
        <v>10</v>
      </c>
    </row>
    <row r="33" spans="1:22">
      <c r="A33" s="133" t="s">
        <v>334</v>
      </c>
      <c r="B33" s="60">
        <v>3</v>
      </c>
      <c r="C33" s="60">
        <v>798</v>
      </c>
      <c r="D33" s="60">
        <v>62</v>
      </c>
      <c r="E33" s="60">
        <v>60</v>
      </c>
      <c r="F33" s="60">
        <v>27</v>
      </c>
      <c r="G33" s="60">
        <v>27</v>
      </c>
      <c r="H33" s="60">
        <v>29</v>
      </c>
      <c r="I33" s="60">
        <v>24</v>
      </c>
      <c r="J33" s="119">
        <v>2092</v>
      </c>
      <c r="K33" s="119">
        <v>2087</v>
      </c>
      <c r="L33" s="119">
        <v>2092</v>
      </c>
      <c r="M33" s="119">
        <v>2087</v>
      </c>
      <c r="N33" s="119">
        <v>30</v>
      </c>
      <c r="O33" s="119">
        <v>30</v>
      </c>
      <c r="P33" s="119">
        <v>25</v>
      </c>
      <c r="Q33" s="119">
        <v>30</v>
      </c>
      <c r="R33" s="60"/>
      <c r="S33" s="60"/>
      <c r="T33" s="4">
        <v>20</v>
      </c>
      <c r="U33" s="4">
        <v>10</v>
      </c>
      <c r="V33" s="4">
        <v>10</v>
      </c>
    </row>
    <row r="34" spans="1:22">
      <c r="A34" s="133" t="s">
        <v>334</v>
      </c>
      <c r="B34" s="60">
        <v>2</v>
      </c>
      <c r="C34" s="60">
        <v>798</v>
      </c>
      <c r="D34" s="60">
        <v>62</v>
      </c>
      <c r="E34" s="60">
        <v>60</v>
      </c>
      <c r="F34" s="60">
        <v>27</v>
      </c>
      <c r="G34" s="60">
        <v>27</v>
      </c>
      <c r="H34" s="60">
        <v>27</v>
      </c>
      <c r="I34" s="60">
        <v>27</v>
      </c>
      <c r="J34" s="119">
        <v>2092</v>
      </c>
      <c r="K34" s="119">
        <v>2087</v>
      </c>
      <c r="L34" s="119">
        <v>2092</v>
      </c>
      <c r="M34" s="119">
        <v>2087</v>
      </c>
      <c r="N34" s="119">
        <v>26</v>
      </c>
      <c r="O34" s="119">
        <v>26</v>
      </c>
      <c r="P34" s="119">
        <v>25</v>
      </c>
      <c r="Q34" s="119">
        <v>30</v>
      </c>
      <c r="R34" s="60"/>
      <c r="S34" s="60"/>
      <c r="T34" s="4">
        <v>20</v>
      </c>
      <c r="U34" s="4">
        <v>10</v>
      </c>
      <c r="V34" s="4">
        <v>10</v>
      </c>
    </row>
    <row r="35" spans="1:22">
      <c r="A35" s="133" t="s">
        <v>335</v>
      </c>
      <c r="B35" s="60">
        <v>15</v>
      </c>
      <c r="C35" s="60">
        <v>798</v>
      </c>
      <c r="D35" s="60">
        <v>62</v>
      </c>
      <c r="E35" s="60">
        <v>60</v>
      </c>
      <c r="F35" s="60">
        <v>23</v>
      </c>
      <c r="G35" s="60">
        <v>23</v>
      </c>
      <c r="H35" s="60">
        <v>23</v>
      </c>
      <c r="I35" s="60">
        <v>23</v>
      </c>
      <c r="J35" s="119">
        <v>2092</v>
      </c>
      <c r="K35" s="119">
        <v>2087</v>
      </c>
      <c r="L35" s="119">
        <v>2092</v>
      </c>
      <c r="M35" s="119">
        <v>2087</v>
      </c>
      <c r="N35" s="119">
        <v>18</v>
      </c>
      <c r="O35" s="119">
        <v>22</v>
      </c>
      <c r="P35" s="119">
        <v>25</v>
      </c>
      <c r="Q35" s="119">
        <v>30</v>
      </c>
      <c r="R35" s="60"/>
      <c r="S35" s="60"/>
      <c r="T35" s="4">
        <v>20</v>
      </c>
      <c r="U35" s="4">
        <v>10</v>
      </c>
      <c r="V35" s="4">
        <v>10</v>
      </c>
    </row>
    <row r="36" spans="1:22">
      <c r="A36" s="133" t="s">
        <v>335</v>
      </c>
      <c r="B36" s="60">
        <v>14</v>
      </c>
      <c r="C36" s="60">
        <v>798</v>
      </c>
      <c r="D36" s="60">
        <v>62</v>
      </c>
      <c r="E36" s="60">
        <v>60</v>
      </c>
      <c r="F36" s="60">
        <v>24</v>
      </c>
      <c r="G36" s="60">
        <v>24</v>
      </c>
      <c r="H36" s="60">
        <v>25</v>
      </c>
      <c r="I36" s="60">
        <v>25</v>
      </c>
      <c r="J36" s="119">
        <v>2092</v>
      </c>
      <c r="K36" s="119">
        <v>2087</v>
      </c>
      <c r="L36" s="119">
        <v>2092</v>
      </c>
      <c r="M36" s="119">
        <v>2087</v>
      </c>
      <c r="N36" s="119">
        <v>16</v>
      </c>
      <c r="O36" s="119">
        <v>22</v>
      </c>
      <c r="P36" s="119">
        <v>25</v>
      </c>
      <c r="Q36" s="119">
        <v>30</v>
      </c>
      <c r="R36" s="60"/>
      <c r="S36" s="60"/>
      <c r="T36" s="4">
        <v>20</v>
      </c>
      <c r="U36" s="4">
        <v>10</v>
      </c>
      <c r="V36" s="4">
        <v>10</v>
      </c>
    </row>
    <row r="37" spans="1:22">
      <c r="A37" s="133" t="s">
        <v>335</v>
      </c>
      <c r="B37" s="60">
        <v>13</v>
      </c>
      <c r="C37" s="60">
        <v>798</v>
      </c>
      <c r="D37" s="60">
        <v>62</v>
      </c>
      <c r="E37" s="60">
        <v>60</v>
      </c>
      <c r="F37" s="60">
        <v>24</v>
      </c>
      <c r="G37" s="60">
        <v>24</v>
      </c>
      <c r="H37" s="60">
        <v>24</v>
      </c>
      <c r="I37" s="60">
        <v>24</v>
      </c>
      <c r="J37" s="119">
        <v>2092</v>
      </c>
      <c r="K37" s="119">
        <v>2087</v>
      </c>
      <c r="L37" s="119">
        <v>2092</v>
      </c>
      <c r="M37" s="119">
        <v>2087</v>
      </c>
      <c r="N37" s="119">
        <v>21</v>
      </c>
      <c r="O37" s="119">
        <v>18</v>
      </c>
      <c r="P37" s="119">
        <v>25</v>
      </c>
      <c r="Q37" s="119">
        <v>30</v>
      </c>
      <c r="R37" s="60"/>
      <c r="S37" s="60"/>
      <c r="T37" s="4">
        <v>20</v>
      </c>
      <c r="U37" s="4">
        <v>10</v>
      </c>
      <c r="V37" s="4">
        <v>10</v>
      </c>
    </row>
    <row r="38" spans="1:22">
      <c r="A38" s="133" t="s">
        <v>335</v>
      </c>
      <c r="B38" s="60">
        <v>12</v>
      </c>
      <c r="C38" s="60">
        <v>798</v>
      </c>
      <c r="D38" s="60">
        <v>62</v>
      </c>
      <c r="E38" s="60">
        <v>60</v>
      </c>
      <c r="F38" s="60">
        <v>30</v>
      </c>
      <c r="G38" s="60">
        <v>23</v>
      </c>
      <c r="H38" s="60">
        <v>26</v>
      </c>
      <c r="I38" s="60">
        <v>26</v>
      </c>
      <c r="J38" s="119">
        <v>2092</v>
      </c>
      <c r="K38" s="119">
        <v>2087</v>
      </c>
      <c r="L38" s="119">
        <v>2092</v>
      </c>
      <c r="M38" s="119">
        <v>2087</v>
      </c>
      <c r="N38" s="119">
        <v>21</v>
      </c>
      <c r="O38" s="119">
        <v>25</v>
      </c>
      <c r="P38" s="119">
        <v>25</v>
      </c>
      <c r="Q38" s="119">
        <v>30</v>
      </c>
      <c r="R38" s="60"/>
      <c r="S38" s="60"/>
      <c r="T38" s="4">
        <v>20</v>
      </c>
      <c r="U38" s="4">
        <v>10</v>
      </c>
      <c r="V38" s="4">
        <v>10</v>
      </c>
    </row>
    <row r="39" spans="1:22">
      <c r="A39" s="133" t="s">
        <v>335</v>
      </c>
      <c r="B39" s="60">
        <v>11</v>
      </c>
      <c r="C39" s="60">
        <v>798</v>
      </c>
      <c r="D39" s="60">
        <v>62</v>
      </c>
      <c r="E39" s="60">
        <v>60</v>
      </c>
      <c r="F39" s="60">
        <v>24</v>
      </c>
      <c r="G39" s="60">
        <v>24</v>
      </c>
      <c r="H39" s="60">
        <v>26</v>
      </c>
      <c r="I39" s="60">
        <v>26</v>
      </c>
      <c r="J39" s="119">
        <v>2092</v>
      </c>
      <c r="K39" s="119">
        <v>2087</v>
      </c>
      <c r="L39" s="119">
        <v>2092</v>
      </c>
      <c r="M39" s="119">
        <v>2087</v>
      </c>
      <c r="N39" s="119">
        <v>24</v>
      </c>
      <c r="O39" s="119">
        <v>20</v>
      </c>
      <c r="P39" s="119">
        <v>25</v>
      </c>
      <c r="Q39" s="119">
        <v>30</v>
      </c>
      <c r="R39" s="60"/>
      <c r="S39" s="60"/>
      <c r="T39" s="4">
        <v>20</v>
      </c>
      <c r="U39" s="4">
        <v>10</v>
      </c>
      <c r="V39" s="4">
        <v>10</v>
      </c>
    </row>
    <row r="40" spans="1:22">
      <c r="A40" s="133" t="s">
        <v>335</v>
      </c>
      <c r="B40" s="60">
        <v>10</v>
      </c>
      <c r="C40" s="60">
        <v>798</v>
      </c>
      <c r="D40" s="60">
        <v>62</v>
      </c>
      <c r="E40" s="60">
        <v>60</v>
      </c>
      <c r="F40" s="60">
        <v>24</v>
      </c>
      <c r="G40" s="60">
        <v>28</v>
      </c>
      <c r="H40" s="60">
        <v>28</v>
      </c>
      <c r="I40" s="60">
        <v>23</v>
      </c>
      <c r="J40" s="119">
        <v>2092</v>
      </c>
      <c r="K40" s="119">
        <v>2087</v>
      </c>
      <c r="L40" s="119">
        <v>2092</v>
      </c>
      <c r="M40" s="119">
        <v>2087</v>
      </c>
      <c r="N40" s="119">
        <v>22</v>
      </c>
      <c r="O40" s="119">
        <v>22</v>
      </c>
      <c r="P40" s="119">
        <v>25</v>
      </c>
      <c r="Q40" s="119">
        <v>30</v>
      </c>
      <c r="R40" s="60"/>
      <c r="S40" s="60"/>
      <c r="T40" s="4">
        <v>20</v>
      </c>
      <c r="U40" s="4">
        <v>10</v>
      </c>
      <c r="V40" s="4">
        <v>10</v>
      </c>
    </row>
    <row r="41" spans="1:22">
      <c r="A41" s="133" t="s">
        <v>335</v>
      </c>
      <c r="B41" s="60">
        <v>9</v>
      </c>
      <c r="C41" s="60">
        <v>798</v>
      </c>
      <c r="D41" s="60">
        <v>62</v>
      </c>
      <c r="E41" s="60">
        <v>60</v>
      </c>
      <c r="F41" s="60">
        <v>23</v>
      </c>
      <c r="G41" s="60">
        <v>23</v>
      </c>
      <c r="H41" s="60">
        <v>22</v>
      </c>
      <c r="I41" s="60">
        <v>22</v>
      </c>
      <c r="J41" s="119">
        <v>2092</v>
      </c>
      <c r="K41" s="119">
        <v>2087</v>
      </c>
      <c r="L41" s="119">
        <v>2092</v>
      </c>
      <c r="M41" s="119">
        <v>2087</v>
      </c>
      <c r="N41" s="119">
        <v>25</v>
      </c>
      <c r="O41" s="119">
        <v>25</v>
      </c>
      <c r="P41" s="119">
        <v>25</v>
      </c>
      <c r="Q41" s="119">
        <v>30</v>
      </c>
      <c r="R41" s="60"/>
      <c r="S41" s="60"/>
      <c r="T41" s="4">
        <v>20</v>
      </c>
      <c r="U41" s="4">
        <v>10</v>
      </c>
      <c r="V41" s="4">
        <v>10</v>
      </c>
    </row>
    <row r="42" spans="1:22">
      <c r="A42" s="133" t="s">
        <v>335</v>
      </c>
      <c r="B42" s="60">
        <v>8</v>
      </c>
      <c r="C42" s="60">
        <v>798</v>
      </c>
      <c r="D42" s="60">
        <v>62</v>
      </c>
      <c r="E42" s="60">
        <v>60</v>
      </c>
      <c r="F42" s="60">
        <v>27</v>
      </c>
      <c r="G42" s="60">
        <v>24</v>
      </c>
      <c r="H42" s="60">
        <v>26</v>
      </c>
      <c r="I42" s="60">
        <v>26</v>
      </c>
      <c r="J42" s="119">
        <v>2092</v>
      </c>
      <c r="K42" s="119">
        <v>2087</v>
      </c>
      <c r="L42" s="119">
        <v>2092</v>
      </c>
      <c r="M42" s="119">
        <v>2087</v>
      </c>
      <c r="N42" s="119">
        <v>24</v>
      </c>
      <c r="O42" s="119">
        <v>24</v>
      </c>
      <c r="P42" s="119">
        <v>25</v>
      </c>
      <c r="Q42" s="119">
        <v>30</v>
      </c>
      <c r="R42" s="60"/>
      <c r="S42" s="60"/>
      <c r="T42" s="4">
        <v>20</v>
      </c>
      <c r="U42" s="4">
        <v>10</v>
      </c>
      <c r="V42" s="4">
        <v>10</v>
      </c>
    </row>
    <row r="43" spans="1:22">
      <c r="A43" s="133" t="s">
        <v>335</v>
      </c>
      <c r="B43" s="60">
        <v>7</v>
      </c>
      <c r="C43" s="60">
        <v>798</v>
      </c>
      <c r="D43" s="60">
        <v>62</v>
      </c>
      <c r="E43" s="60">
        <v>60</v>
      </c>
      <c r="F43" s="60">
        <v>25</v>
      </c>
      <c r="G43" s="60">
        <v>25</v>
      </c>
      <c r="H43" s="60">
        <v>23</v>
      </c>
      <c r="I43" s="60">
        <v>23</v>
      </c>
      <c r="J43" s="119">
        <v>2092</v>
      </c>
      <c r="K43" s="119">
        <v>2087</v>
      </c>
      <c r="L43" s="119">
        <v>2092</v>
      </c>
      <c r="M43" s="119">
        <v>2087</v>
      </c>
      <c r="N43" s="119">
        <v>23</v>
      </c>
      <c r="O43" s="119">
        <v>23</v>
      </c>
      <c r="P43" s="119">
        <v>25</v>
      </c>
      <c r="Q43" s="119">
        <v>30</v>
      </c>
      <c r="R43" s="60"/>
      <c r="S43" s="60"/>
      <c r="T43" s="4">
        <v>20</v>
      </c>
      <c r="U43" s="4">
        <v>10</v>
      </c>
      <c r="V43" s="4">
        <v>10</v>
      </c>
    </row>
    <row r="44" spans="1:22">
      <c r="A44" s="133" t="s">
        <v>335</v>
      </c>
      <c r="B44" s="60">
        <v>6</v>
      </c>
      <c r="C44" s="60">
        <v>798</v>
      </c>
      <c r="D44" s="60">
        <v>62</v>
      </c>
      <c r="E44" s="60">
        <v>60</v>
      </c>
      <c r="F44" s="60">
        <v>23</v>
      </c>
      <c r="G44" s="60">
        <v>23</v>
      </c>
      <c r="H44" s="60">
        <v>23</v>
      </c>
      <c r="I44" s="60">
        <v>23</v>
      </c>
      <c r="J44" s="119">
        <v>2092</v>
      </c>
      <c r="K44" s="119">
        <v>2087</v>
      </c>
      <c r="L44" s="119">
        <v>2092</v>
      </c>
      <c r="M44" s="119">
        <v>2087</v>
      </c>
      <c r="N44" s="119">
        <v>21</v>
      </c>
      <c r="O44" s="119">
        <v>21</v>
      </c>
      <c r="P44" s="119">
        <v>25</v>
      </c>
      <c r="Q44" s="119">
        <v>30</v>
      </c>
      <c r="R44" s="60"/>
      <c r="S44" s="60"/>
      <c r="T44" s="4">
        <v>20</v>
      </c>
      <c r="U44" s="4">
        <v>10</v>
      </c>
      <c r="V44" s="4">
        <v>10</v>
      </c>
    </row>
    <row r="45" spans="1:22">
      <c r="A45" s="133" t="s">
        <v>335</v>
      </c>
      <c r="B45" s="60">
        <v>5</v>
      </c>
      <c r="C45" s="60">
        <v>798</v>
      </c>
      <c r="D45" s="60">
        <v>62</v>
      </c>
      <c r="E45" s="60">
        <v>60</v>
      </c>
      <c r="F45" s="60">
        <v>22</v>
      </c>
      <c r="G45" s="60">
        <v>22</v>
      </c>
      <c r="H45" s="60">
        <v>23</v>
      </c>
      <c r="I45" s="60">
        <v>23</v>
      </c>
      <c r="J45" s="119">
        <v>2092</v>
      </c>
      <c r="K45" s="119">
        <v>2087</v>
      </c>
      <c r="L45" s="119">
        <v>2092</v>
      </c>
      <c r="M45" s="119">
        <v>2087</v>
      </c>
      <c r="N45" s="119">
        <v>21</v>
      </c>
      <c r="O45" s="119">
        <v>21</v>
      </c>
      <c r="P45" s="119">
        <v>25</v>
      </c>
      <c r="Q45" s="119">
        <v>30</v>
      </c>
      <c r="R45" s="60"/>
      <c r="S45" s="60"/>
      <c r="T45" s="4">
        <v>20</v>
      </c>
      <c r="U45" s="4">
        <v>10</v>
      </c>
      <c r="V45" s="4">
        <v>10</v>
      </c>
    </row>
    <row r="46" spans="1:22">
      <c r="A46" s="133" t="s">
        <v>335</v>
      </c>
      <c r="B46" s="60">
        <v>4</v>
      </c>
      <c r="C46" s="60">
        <v>798</v>
      </c>
      <c r="D46" s="60">
        <v>62</v>
      </c>
      <c r="E46" s="60">
        <v>60</v>
      </c>
      <c r="F46" s="60">
        <v>24</v>
      </c>
      <c r="G46" s="60">
        <v>28</v>
      </c>
      <c r="H46" s="60">
        <v>27</v>
      </c>
      <c r="I46" s="60">
        <v>27</v>
      </c>
      <c r="J46" s="119">
        <v>2092</v>
      </c>
      <c r="K46" s="119">
        <v>2087</v>
      </c>
      <c r="L46" s="119">
        <v>2092</v>
      </c>
      <c r="M46" s="119">
        <v>2087</v>
      </c>
      <c r="N46" s="119">
        <v>26</v>
      </c>
      <c r="O46" s="119">
        <v>26</v>
      </c>
      <c r="P46" s="119">
        <v>25</v>
      </c>
      <c r="Q46" s="119">
        <v>30</v>
      </c>
      <c r="R46" s="60"/>
      <c r="S46" s="60"/>
      <c r="T46" s="4">
        <v>20</v>
      </c>
      <c r="U46" s="4">
        <v>10</v>
      </c>
      <c r="V46" s="4">
        <v>10</v>
      </c>
    </row>
    <row r="47" spans="1:22">
      <c r="A47" s="133" t="s">
        <v>335</v>
      </c>
      <c r="B47" s="60">
        <v>3</v>
      </c>
      <c r="C47" s="60">
        <v>798</v>
      </c>
      <c r="D47" s="60">
        <v>62</v>
      </c>
      <c r="E47" s="60">
        <v>60</v>
      </c>
      <c r="F47" s="60">
        <v>27</v>
      </c>
      <c r="G47" s="60">
        <v>27</v>
      </c>
      <c r="H47" s="60">
        <v>27</v>
      </c>
      <c r="I47" s="60">
        <v>23</v>
      </c>
      <c r="J47" s="119">
        <v>2092</v>
      </c>
      <c r="K47" s="119">
        <v>2087</v>
      </c>
      <c r="L47" s="119">
        <v>2092</v>
      </c>
      <c r="M47" s="119">
        <v>2087</v>
      </c>
      <c r="N47" s="119">
        <v>22</v>
      </c>
      <c r="O47" s="119">
        <v>25</v>
      </c>
      <c r="P47" s="119">
        <v>25</v>
      </c>
      <c r="Q47" s="119">
        <v>30</v>
      </c>
      <c r="R47" s="60"/>
      <c r="S47" s="60"/>
      <c r="T47" s="4">
        <v>20</v>
      </c>
      <c r="U47" s="4">
        <v>10</v>
      </c>
      <c r="V47" s="4">
        <v>10</v>
      </c>
    </row>
    <row r="48" spans="1:22">
      <c r="A48" s="133" t="s">
        <v>335</v>
      </c>
      <c r="B48" s="60">
        <v>2</v>
      </c>
      <c r="C48" s="60">
        <v>798</v>
      </c>
      <c r="D48" s="60">
        <v>62</v>
      </c>
      <c r="E48" s="60">
        <v>60</v>
      </c>
      <c r="F48" s="60">
        <v>26</v>
      </c>
      <c r="G48" s="60">
        <v>26</v>
      </c>
      <c r="H48" s="60">
        <v>26</v>
      </c>
      <c r="I48" s="60">
        <v>26</v>
      </c>
      <c r="J48" s="119">
        <v>2092</v>
      </c>
      <c r="K48" s="119">
        <v>2087</v>
      </c>
      <c r="L48" s="119">
        <v>2092</v>
      </c>
      <c r="M48" s="119">
        <v>2087</v>
      </c>
      <c r="N48" s="119">
        <v>21</v>
      </c>
      <c r="O48" s="119">
        <v>21</v>
      </c>
      <c r="P48" s="119">
        <v>25</v>
      </c>
      <c r="Q48" s="119">
        <v>30</v>
      </c>
      <c r="R48" s="60"/>
      <c r="S48" s="60"/>
      <c r="T48" s="4">
        <v>20</v>
      </c>
      <c r="U48" s="4">
        <v>10</v>
      </c>
      <c r="V48" s="4">
        <v>10</v>
      </c>
    </row>
    <row r="49" spans="1:22">
      <c r="A49" s="133" t="s">
        <v>336</v>
      </c>
      <c r="B49" s="60">
        <v>15</v>
      </c>
      <c r="C49" s="60">
        <v>798</v>
      </c>
      <c r="D49" s="60">
        <v>67</v>
      </c>
      <c r="E49" s="60">
        <v>65</v>
      </c>
      <c r="F49" s="60">
        <v>25</v>
      </c>
      <c r="G49" s="60">
        <v>22</v>
      </c>
      <c r="H49" s="60">
        <v>22</v>
      </c>
      <c r="I49" s="60">
        <v>22</v>
      </c>
      <c r="J49" s="119">
        <v>2092</v>
      </c>
      <c r="K49" s="119">
        <v>2087</v>
      </c>
      <c r="L49" s="119">
        <v>2092</v>
      </c>
      <c r="M49" s="119">
        <v>2087</v>
      </c>
      <c r="N49" s="119">
        <v>23</v>
      </c>
      <c r="O49" s="119">
        <v>23</v>
      </c>
      <c r="P49" s="119">
        <v>25</v>
      </c>
      <c r="Q49" s="119">
        <v>30</v>
      </c>
      <c r="R49" s="60"/>
      <c r="S49" s="60"/>
      <c r="T49" s="4">
        <v>20</v>
      </c>
      <c r="U49" s="4">
        <v>10</v>
      </c>
      <c r="V49" s="4">
        <v>10</v>
      </c>
    </row>
    <row r="50" spans="1:22">
      <c r="A50" s="133" t="s">
        <v>336</v>
      </c>
      <c r="B50" s="60">
        <v>14</v>
      </c>
      <c r="C50" s="60">
        <v>798</v>
      </c>
      <c r="D50" s="60">
        <v>67</v>
      </c>
      <c r="E50" s="60">
        <v>65</v>
      </c>
      <c r="F50" s="60">
        <v>19</v>
      </c>
      <c r="G50" s="60">
        <v>23</v>
      </c>
      <c r="H50" s="60">
        <v>22</v>
      </c>
      <c r="I50" s="60">
        <v>22</v>
      </c>
      <c r="J50" s="119">
        <v>2092</v>
      </c>
      <c r="K50" s="119">
        <v>2087</v>
      </c>
      <c r="L50" s="119">
        <v>2092</v>
      </c>
      <c r="M50" s="119">
        <v>2087</v>
      </c>
      <c r="N50" s="119">
        <v>20</v>
      </c>
      <c r="O50" s="119">
        <v>25</v>
      </c>
      <c r="P50" s="119">
        <v>25</v>
      </c>
      <c r="Q50" s="119">
        <v>30</v>
      </c>
      <c r="R50" s="60"/>
      <c r="S50" s="60"/>
      <c r="T50" s="4">
        <v>20</v>
      </c>
      <c r="U50" s="4">
        <v>10</v>
      </c>
      <c r="V50" s="4">
        <v>10</v>
      </c>
    </row>
    <row r="51" spans="1:22">
      <c r="A51" s="133" t="s">
        <v>336</v>
      </c>
      <c r="B51" s="60">
        <v>13</v>
      </c>
      <c r="C51" s="60">
        <v>798</v>
      </c>
      <c r="D51" s="60">
        <v>67</v>
      </c>
      <c r="E51" s="60">
        <v>65</v>
      </c>
      <c r="F51" s="60">
        <v>22</v>
      </c>
      <c r="G51" s="60">
        <v>22</v>
      </c>
      <c r="H51" s="60">
        <v>22</v>
      </c>
      <c r="I51" s="60">
        <v>22</v>
      </c>
      <c r="J51" s="119">
        <v>2092</v>
      </c>
      <c r="K51" s="119">
        <v>2087</v>
      </c>
      <c r="L51" s="119">
        <v>2092</v>
      </c>
      <c r="M51" s="119">
        <v>2087</v>
      </c>
      <c r="N51" s="119">
        <v>22</v>
      </c>
      <c r="O51" s="119">
        <v>22</v>
      </c>
      <c r="P51" s="119">
        <v>25</v>
      </c>
      <c r="Q51" s="119">
        <v>30</v>
      </c>
      <c r="R51" s="60"/>
      <c r="S51" s="60"/>
      <c r="T51" s="4">
        <v>20</v>
      </c>
      <c r="U51" s="4">
        <v>10</v>
      </c>
      <c r="V51" s="4">
        <v>10</v>
      </c>
    </row>
    <row r="52" spans="1:22">
      <c r="A52" s="133" t="s">
        <v>336</v>
      </c>
      <c r="B52" s="60">
        <v>12</v>
      </c>
      <c r="C52" s="60">
        <v>798</v>
      </c>
      <c r="D52" s="60">
        <v>67</v>
      </c>
      <c r="E52" s="60">
        <v>65</v>
      </c>
      <c r="F52" s="60">
        <v>22</v>
      </c>
      <c r="G52" s="60">
        <v>22</v>
      </c>
      <c r="H52" s="60">
        <v>22</v>
      </c>
      <c r="I52" s="60">
        <v>22</v>
      </c>
      <c r="J52" s="119">
        <v>2092</v>
      </c>
      <c r="K52" s="119">
        <v>2087</v>
      </c>
      <c r="L52" s="119">
        <v>2092</v>
      </c>
      <c r="M52" s="119">
        <v>2087</v>
      </c>
      <c r="N52" s="119">
        <v>21</v>
      </c>
      <c r="O52" s="119">
        <v>21</v>
      </c>
      <c r="P52" s="119">
        <v>25</v>
      </c>
      <c r="Q52" s="119">
        <v>30</v>
      </c>
      <c r="R52" s="60"/>
      <c r="S52" s="60"/>
      <c r="T52" s="4">
        <v>20</v>
      </c>
      <c r="U52" s="4">
        <v>10</v>
      </c>
      <c r="V52" s="4">
        <v>10</v>
      </c>
    </row>
    <row r="53" spans="1:22">
      <c r="A53" s="133" t="s">
        <v>336</v>
      </c>
      <c r="B53" s="60">
        <v>11</v>
      </c>
      <c r="C53" s="60">
        <v>798</v>
      </c>
      <c r="D53" s="60">
        <v>67</v>
      </c>
      <c r="E53" s="60">
        <v>65</v>
      </c>
      <c r="F53" s="60">
        <v>22</v>
      </c>
      <c r="G53" s="60">
        <v>22</v>
      </c>
      <c r="H53" s="60">
        <v>22</v>
      </c>
      <c r="I53" s="60">
        <v>22</v>
      </c>
      <c r="J53" s="119">
        <v>2092</v>
      </c>
      <c r="K53" s="119">
        <v>2087</v>
      </c>
      <c r="L53" s="119">
        <v>2092</v>
      </c>
      <c r="M53" s="119">
        <v>2087</v>
      </c>
      <c r="N53" s="119">
        <v>21</v>
      </c>
      <c r="O53" s="119">
        <v>21</v>
      </c>
      <c r="P53" s="119">
        <v>25</v>
      </c>
      <c r="Q53" s="119">
        <v>30</v>
      </c>
      <c r="R53" s="60"/>
      <c r="S53" s="60"/>
      <c r="T53" s="4">
        <v>20</v>
      </c>
      <c r="U53" s="4">
        <v>10</v>
      </c>
      <c r="V53" s="4">
        <v>10</v>
      </c>
    </row>
    <row r="54" spans="1:22">
      <c r="A54" s="133" t="s">
        <v>336</v>
      </c>
      <c r="B54" s="60">
        <v>10</v>
      </c>
      <c r="C54" s="60">
        <v>798</v>
      </c>
      <c r="D54" s="60">
        <v>67</v>
      </c>
      <c r="E54" s="60">
        <v>65</v>
      </c>
      <c r="F54" s="60">
        <v>22</v>
      </c>
      <c r="G54" s="60">
        <v>22</v>
      </c>
      <c r="H54" s="60">
        <v>22</v>
      </c>
      <c r="I54" s="60">
        <v>22</v>
      </c>
      <c r="J54" s="119">
        <v>2092</v>
      </c>
      <c r="K54" s="119">
        <v>2087</v>
      </c>
      <c r="L54" s="119">
        <v>2092</v>
      </c>
      <c r="M54" s="119">
        <v>2087</v>
      </c>
      <c r="N54" s="119">
        <v>19</v>
      </c>
      <c r="O54" s="119">
        <v>23</v>
      </c>
      <c r="P54" s="119">
        <v>25</v>
      </c>
      <c r="Q54" s="119">
        <v>30</v>
      </c>
      <c r="R54" s="60"/>
      <c r="S54" s="60"/>
      <c r="T54" s="4">
        <v>20</v>
      </c>
      <c r="U54" s="4">
        <v>10</v>
      </c>
      <c r="V54" s="4">
        <v>10</v>
      </c>
    </row>
    <row r="55" spans="1:22">
      <c r="A55" s="133" t="s">
        <v>336</v>
      </c>
      <c r="B55" s="60">
        <v>9</v>
      </c>
      <c r="C55" s="60">
        <v>798</v>
      </c>
      <c r="D55" s="60">
        <v>67</v>
      </c>
      <c r="E55" s="60">
        <v>65</v>
      </c>
      <c r="F55" s="60">
        <v>22</v>
      </c>
      <c r="G55" s="60">
        <v>22</v>
      </c>
      <c r="H55" s="60">
        <v>22</v>
      </c>
      <c r="I55" s="60">
        <v>22</v>
      </c>
      <c r="J55" s="119">
        <v>2092</v>
      </c>
      <c r="K55" s="119">
        <v>2087</v>
      </c>
      <c r="L55" s="119">
        <v>2092</v>
      </c>
      <c r="M55" s="119">
        <v>2087</v>
      </c>
      <c r="N55" s="119">
        <v>21</v>
      </c>
      <c r="O55" s="119">
        <v>21</v>
      </c>
      <c r="P55" s="119">
        <v>25</v>
      </c>
      <c r="Q55" s="119">
        <v>30</v>
      </c>
      <c r="R55" s="60"/>
      <c r="S55" s="60"/>
      <c r="T55" s="4">
        <v>20</v>
      </c>
      <c r="U55" s="4">
        <v>10</v>
      </c>
      <c r="V55" s="4">
        <v>10</v>
      </c>
    </row>
    <row r="56" spans="1:22">
      <c r="A56" s="133" t="s">
        <v>336</v>
      </c>
      <c r="B56" s="60">
        <v>8</v>
      </c>
      <c r="C56" s="60">
        <v>798</v>
      </c>
      <c r="D56" s="60">
        <v>67</v>
      </c>
      <c r="E56" s="60">
        <v>65</v>
      </c>
      <c r="F56" s="60">
        <v>23</v>
      </c>
      <c r="G56" s="60">
        <v>23</v>
      </c>
      <c r="H56" s="60">
        <v>22</v>
      </c>
      <c r="I56" s="60">
        <v>22</v>
      </c>
      <c r="J56" s="119">
        <v>2092</v>
      </c>
      <c r="K56" s="119">
        <v>2087</v>
      </c>
      <c r="L56" s="119">
        <v>2092</v>
      </c>
      <c r="M56" s="119">
        <v>2087</v>
      </c>
      <c r="N56" s="119">
        <v>20</v>
      </c>
      <c r="O56" s="119">
        <v>23</v>
      </c>
      <c r="P56" s="119">
        <v>25</v>
      </c>
      <c r="Q56" s="119">
        <v>30</v>
      </c>
      <c r="R56" s="60"/>
      <c r="S56" s="60"/>
      <c r="T56" s="4">
        <v>20</v>
      </c>
      <c r="U56" s="4">
        <v>10</v>
      </c>
      <c r="V56" s="4">
        <v>10</v>
      </c>
    </row>
    <row r="57" spans="1:22">
      <c r="A57" s="133" t="s">
        <v>336</v>
      </c>
      <c r="B57" s="60">
        <v>7</v>
      </c>
      <c r="C57" s="60">
        <v>798</v>
      </c>
      <c r="D57" s="60">
        <v>67</v>
      </c>
      <c r="E57" s="60">
        <v>65</v>
      </c>
      <c r="F57" s="60">
        <v>22</v>
      </c>
      <c r="G57" s="60">
        <v>22</v>
      </c>
      <c r="H57" s="60">
        <v>27</v>
      </c>
      <c r="I57" s="60">
        <v>23</v>
      </c>
      <c r="J57" s="119">
        <v>2092</v>
      </c>
      <c r="K57" s="119">
        <v>2087</v>
      </c>
      <c r="L57" s="119">
        <v>2092</v>
      </c>
      <c r="M57" s="119">
        <v>2087</v>
      </c>
      <c r="N57" s="119">
        <v>21</v>
      </c>
      <c r="O57" s="119">
        <v>21</v>
      </c>
      <c r="P57" s="119">
        <v>25</v>
      </c>
      <c r="Q57" s="119">
        <v>30</v>
      </c>
      <c r="R57" s="60"/>
      <c r="S57" s="60"/>
      <c r="T57" s="4">
        <v>20</v>
      </c>
      <c r="U57" s="4">
        <v>10</v>
      </c>
      <c r="V57" s="4">
        <v>10</v>
      </c>
    </row>
    <row r="58" spans="1:22">
      <c r="A58" s="133" t="s">
        <v>336</v>
      </c>
      <c r="B58" s="60">
        <v>6</v>
      </c>
      <c r="C58" s="60">
        <v>798</v>
      </c>
      <c r="D58" s="60">
        <v>67</v>
      </c>
      <c r="E58" s="60">
        <v>65</v>
      </c>
      <c r="F58" s="60">
        <v>22</v>
      </c>
      <c r="G58" s="60">
        <v>22</v>
      </c>
      <c r="H58" s="60">
        <v>25</v>
      </c>
      <c r="I58" s="60">
        <v>25</v>
      </c>
      <c r="J58" s="119">
        <v>2092</v>
      </c>
      <c r="K58" s="119">
        <v>2087</v>
      </c>
      <c r="L58" s="119">
        <v>2092</v>
      </c>
      <c r="M58" s="119">
        <v>2087</v>
      </c>
      <c r="N58" s="119">
        <v>21</v>
      </c>
      <c r="O58" s="119">
        <v>21</v>
      </c>
      <c r="P58" s="119">
        <v>25</v>
      </c>
      <c r="Q58" s="119">
        <v>30</v>
      </c>
      <c r="R58" s="60"/>
      <c r="S58" s="60"/>
      <c r="T58" s="4">
        <v>20</v>
      </c>
      <c r="U58" s="4">
        <v>10</v>
      </c>
      <c r="V58" s="4">
        <v>10</v>
      </c>
    </row>
    <row r="59" spans="1:22">
      <c r="A59" s="133" t="s">
        <v>336</v>
      </c>
      <c r="B59" s="60">
        <v>5</v>
      </c>
      <c r="C59" s="60">
        <v>798</v>
      </c>
      <c r="D59" s="60">
        <v>67</v>
      </c>
      <c r="E59" s="60">
        <v>65</v>
      </c>
      <c r="F59" s="60">
        <v>24</v>
      </c>
      <c r="G59" s="60">
        <v>24</v>
      </c>
      <c r="H59" s="60">
        <v>24</v>
      </c>
      <c r="I59" s="60">
        <v>24</v>
      </c>
      <c r="J59" s="119">
        <v>2092</v>
      </c>
      <c r="K59" s="119">
        <v>2087</v>
      </c>
      <c r="L59" s="119">
        <v>2092</v>
      </c>
      <c r="M59" s="119">
        <v>2087</v>
      </c>
      <c r="N59" s="119">
        <v>22</v>
      </c>
      <c r="O59" s="119">
        <v>22</v>
      </c>
      <c r="P59" s="119">
        <v>25</v>
      </c>
      <c r="Q59" s="119">
        <v>30</v>
      </c>
      <c r="R59" s="60"/>
      <c r="S59" s="60"/>
      <c r="T59" s="4">
        <v>20</v>
      </c>
      <c r="U59" s="4">
        <v>10</v>
      </c>
      <c r="V59" s="4">
        <v>10</v>
      </c>
    </row>
    <row r="60" spans="1:22">
      <c r="A60" s="133" t="s">
        <v>336</v>
      </c>
      <c r="B60" s="60">
        <v>4</v>
      </c>
      <c r="C60" s="60">
        <v>798</v>
      </c>
      <c r="D60" s="60">
        <v>67</v>
      </c>
      <c r="E60" s="60">
        <v>65</v>
      </c>
      <c r="F60" s="60">
        <v>27</v>
      </c>
      <c r="G60" s="60">
        <v>27</v>
      </c>
      <c r="H60" s="60">
        <v>27</v>
      </c>
      <c r="I60" s="60">
        <v>23</v>
      </c>
      <c r="J60" s="119">
        <v>2092</v>
      </c>
      <c r="K60" s="119">
        <v>2087</v>
      </c>
      <c r="L60" s="119">
        <v>2092</v>
      </c>
      <c r="M60" s="119">
        <v>2087</v>
      </c>
      <c r="N60" s="119">
        <v>21</v>
      </c>
      <c r="O60" s="119">
        <v>21</v>
      </c>
      <c r="P60" s="119">
        <v>25</v>
      </c>
      <c r="Q60" s="119">
        <v>30</v>
      </c>
      <c r="R60" s="60"/>
      <c r="S60" s="60"/>
      <c r="T60" s="4">
        <v>20</v>
      </c>
      <c r="U60" s="4">
        <v>10</v>
      </c>
      <c r="V60" s="4">
        <v>10</v>
      </c>
    </row>
    <row r="61" spans="1:22">
      <c r="A61" s="133" t="s">
        <v>336</v>
      </c>
      <c r="B61" s="60">
        <v>3</v>
      </c>
      <c r="C61" s="60">
        <v>798</v>
      </c>
      <c r="D61" s="60">
        <v>67</v>
      </c>
      <c r="E61" s="60">
        <v>65</v>
      </c>
      <c r="F61" s="60">
        <v>27</v>
      </c>
      <c r="G61" s="60">
        <v>27</v>
      </c>
      <c r="H61" s="60">
        <v>27</v>
      </c>
      <c r="I61" s="60">
        <v>27</v>
      </c>
      <c r="J61" s="119">
        <v>2092</v>
      </c>
      <c r="K61" s="119">
        <v>2087</v>
      </c>
      <c r="L61" s="119">
        <v>2092</v>
      </c>
      <c r="M61" s="119">
        <v>2087</v>
      </c>
      <c r="N61" s="119">
        <v>25</v>
      </c>
      <c r="O61" s="119">
        <v>25</v>
      </c>
      <c r="P61" s="119">
        <v>25</v>
      </c>
      <c r="Q61" s="119">
        <v>30</v>
      </c>
      <c r="R61" s="60"/>
      <c r="S61" s="60"/>
      <c r="T61" s="4">
        <v>20</v>
      </c>
      <c r="U61" s="4">
        <v>10</v>
      </c>
      <c r="V61" s="4">
        <v>10</v>
      </c>
    </row>
    <row r="62" spans="1:22">
      <c r="A62" s="133" t="s">
        <v>336</v>
      </c>
      <c r="B62" s="60">
        <v>2</v>
      </c>
      <c r="C62" s="60">
        <v>798</v>
      </c>
      <c r="D62" s="60">
        <v>67</v>
      </c>
      <c r="E62" s="60">
        <v>65</v>
      </c>
      <c r="F62" s="60">
        <v>27</v>
      </c>
      <c r="G62" s="60">
        <v>27</v>
      </c>
      <c r="H62" s="60">
        <v>22</v>
      </c>
      <c r="I62" s="60">
        <v>27</v>
      </c>
      <c r="J62" s="119">
        <v>2092</v>
      </c>
      <c r="K62" s="119">
        <v>2087</v>
      </c>
      <c r="L62" s="119">
        <v>2092</v>
      </c>
      <c r="M62" s="119">
        <v>2087</v>
      </c>
      <c r="N62" s="119">
        <v>25</v>
      </c>
      <c r="O62" s="119">
        <v>21</v>
      </c>
      <c r="P62" s="119">
        <v>25</v>
      </c>
      <c r="Q62" s="119">
        <v>30</v>
      </c>
      <c r="R62" s="60"/>
      <c r="S62" s="60"/>
      <c r="T62" s="4">
        <v>20</v>
      </c>
      <c r="U62" s="4">
        <v>10</v>
      </c>
      <c r="V62" s="4">
        <v>10</v>
      </c>
    </row>
    <row r="63" spans="1:22">
      <c r="A63" s="133" t="s">
        <v>337</v>
      </c>
      <c r="B63" s="60">
        <v>15</v>
      </c>
      <c r="C63" s="60">
        <v>798</v>
      </c>
      <c r="D63" s="60">
        <v>65</v>
      </c>
      <c r="E63" s="60">
        <v>63</v>
      </c>
      <c r="F63" s="60">
        <v>26</v>
      </c>
      <c r="G63" s="60">
        <v>26</v>
      </c>
      <c r="H63" s="60">
        <v>24</v>
      </c>
      <c r="I63" s="60">
        <v>24</v>
      </c>
      <c r="J63" s="119">
        <v>2092</v>
      </c>
      <c r="K63" s="119">
        <v>2087</v>
      </c>
      <c r="L63" s="119">
        <v>2092</v>
      </c>
      <c r="M63" s="119">
        <v>2087</v>
      </c>
      <c r="N63" s="119">
        <v>21</v>
      </c>
      <c r="O63" s="119">
        <v>21</v>
      </c>
      <c r="P63" s="119">
        <v>25</v>
      </c>
      <c r="Q63" s="119">
        <v>30</v>
      </c>
      <c r="R63" s="60"/>
      <c r="S63" s="60"/>
      <c r="T63" s="4">
        <v>20</v>
      </c>
      <c r="U63" s="4">
        <v>10</v>
      </c>
      <c r="V63" s="4">
        <v>10</v>
      </c>
    </row>
    <row r="64" spans="1:22">
      <c r="A64" s="133" t="s">
        <v>337</v>
      </c>
      <c r="B64" s="60">
        <v>14</v>
      </c>
      <c r="C64" s="60">
        <v>798</v>
      </c>
      <c r="D64" s="60">
        <v>65</v>
      </c>
      <c r="E64" s="60">
        <v>63</v>
      </c>
      <c r="F64" s="60">
        <v>22</v>
      </c>
      <c r="G64" s="60">
        <v>27</v>
      </c>
      <c r="H64" s="60">
        <v>23</v>
      </c>
      <c r="I64" s="60">
        <v>23</v>
      </c>
      <c r="J64" s="119">
        <v>2092</v>
      </c>
      <c r="K64" s="119">
        <v>2087</v>
      </c>
      <c r="L64" s="119">
        <v>2092</v>
      </c>
      <c r="M64" s="119">
        <v>2087</v>
      </c>
      <c r="N64" s="119">
        <v>24</v>
      </c>
      <c r="O64" s="119">
        <v>21</v>
      </c>
      <c r="P64" s="119">
        <v>25</v>
      </c>
      <c r="Q64" s="119">
        <v>30</v>
      </c>
      <c r="R64" s="60"/>
      <c r="S64" s="60"/>
      <c r="T64" s="4">
        <v>20</v>
      </c>
      <c r="U64" s="4">
        <v>10</v>
      </c>
      <c r="V64" s="4">
        <v>10</v>
      </c>
    </row>
    <row r="65" spans="1:22">
      <c r="A65" s="133" t="s">
        <v>337</v>
      </c>
      <c r="B65" s="60">
        <v>13</v>
      </c>
      <c r="C65" s="60">
        <v>798</v>
      </c>
      <c r="D65" s="60">
        <v>65</v>
      </c>
      <c r="E65" s="60">
        <v>63</v>
      </c>
      <c r="F65" s="60">
        <v>27</v>
      </c>
      <c r="G65" s="60">
        <v>27</v>
      </c>
      <c r="H65" s="60">
        <v>27</v>
      </c>
      <c r="I65" s="60">
        <v>27</v>
      </c>
      <c r="J65" s="119">
        <v>2092</v>
      </c>
      <c r="K65" s="119">
        <v>2087</v>
      </c>
      <c r="L65" s="119">
        <v>2092</v>
      </c>
      <c r="M65" s="119">
        <v>2087</v>
      </c>
      <c r="N65" s="119">
        <v>26</v>
      </c>
      <c r="O65" s="119">
        <v>22</v>
      </c>
      <c r="P65" s="119">
        <v>25</v>
      </c>
      <c r="Q65" s="119">
        <v>30</v>
      </c>
      <c r="R65" s="60"/>
      <c r="S65" s="60"/>
      <c r="T65" s="4">
        <v>20</v>
      </c>
      <c r="U65" s="4">
        <v>10</v>
      </c>
      <c r="V65" s="4">
        <v>10</v>
      </c>
    </row>
    <row r="66" spans="1:22">
      <c r="A66" s="133" t="s">
        <v>337</v>
      </c>
      <c r="B66" s="60">
        <v>12</v>
      </c>
      <c r="C66" s="60">
        <v>798</v>
      </c>
      <c r="D66" s="60">
        <v>65</v>
      </c>
      <c r="E66" s="60">
        <v>63</v>
      </c>
      <c r="F66" s="60">
        <v>23</v>
      </c>
      <c r="G66" s="60">
        <v>23</v>
      </c>
      <c r="H66" s="60">
        <v>26</v>
      </c>
      <c r="I66" s="60">
        <v>26</v>
      </c>
      <c r="J66" s="119">
        <v>2092</v>
      </c>
      <c r="K66" s="119">
        <v>2087</v>
      </c>
      <c r="L66" s="119">
        <v>2092</v>
      </c>
      <c r="M66" s="119">
        <v>2087</v>
      </c>
      <c r="N66" s="119">
        <v>25</v>
      </c>
      <c r="O66" s="119">
        <v>21</v>
      </c>
      <c r="P66" s="119">
        <v>25</v>
      </c>
      <c r="Q66" s="119">
        <v>30</v>
      </c>
      <c r="R66" s="60"/>
      <c r="S66" s="60"/>
      <c r="T66" s="4">
        <v>20</v>
      </c>
      <c r="U66" s="4">
        <v>10</v>
      </c>
      <c r="V66" s="4">
        <v>10</v>
      </c>
    </row>
    <row r="67" spans="1:22">
      <c r="A67" s="133" t="s">
        <v>337</v>
      </c>
      <c r="B67" s="60">
        <v>11</v>
      </c>
      <c r="C67" s="60">
        <v>798</v>
      </c>
      <c r="D67" s="60">
        <v>65</v>
      </c>
      <c r="E67" s="60">
        <v>63</v>
      </c>
      <c r="F67" s="60">
        <v>23</v>
      </c>
      <c r="G67" s="60">
        <v>26</v>
      </c>
      <c r="H67" s="60">
        <v>24</v>
      </c>
      <c r="I67" s="60">
        <v>24</v>
      </c>
      <c r="J67" s="119">
        <v>2092</v>
      </c>
      <c r="K67" s="119">
        <v>2087</v>
      </c>
      <c r="L67" s="119">
        <v>2092</v>
      </c>
      <c r="M67" s="119">
        <v>2087</v>
      </c>
      <c r="N67" s="119">
        <v>25</v>
      </c>
      <c r="O67" s="119">
        <v>25</v>
      </c>
      <c r="P67" s="119">
        <v>25</v>
      </c>
      <c r="Q67" s="119">
        <v>30</v>
      </c>
      <c r="R67" s="60"/>
      <c r="S67" s="60"/>
      <c r="T67" s="4">
        <v>20</v>
      </c>
      <c r="U67" s="4">
        <v>10</v>
      </c>
      <c r="V67" s="4">
        <v>10</v>
      </c>
    </row>
    <row r="68" spans="1:22">
      <c r="A68" s="133" t="s">
        <v>337</v>
      </c>
      <c r="B68" s="60">
        <v>10</v>
      </c>
      <c r="C68" s="60">
        <v>798</v>
      </c>
      <c r="D68" s="60">
        <v>65</v>
      </c>
      <c r="E68" s="60">
        <v>63</v>
      </c>
      <c r="F68" s="60">
        <v>27</v>
      </c>
      <c r="G68" s="60">
        <v>27</v>
      </c>
      <c r="H68" s="60">
        <v>22</v>
      </c>
      <c r="I68" s="60">
        <v>27</v>
      </c>
      <c r="J68" s="119">
        <v>2092</v>
      </c>
      <c r="K68" s="119">
        <v>2087</v>
      </c>
      <c r="L68" s="119">
        <v>2092</v>
      </c>
      <c r="M68" s="119">
        <v>2087</v>
      </c>
      <c r="N68" s="119">
        <v>22</v>
      </c>
      <c r="O68" s="119">
        <v>22</v>
      </c>
      <c r="P68" s="119">
        <v>25</v>
      </c>
      <c r="Q68" s="119">
        <v>30</v>
      </c>
      <c r="R68" s="60"/>
      <c r="S68" s="60"/>
      <c r="T68" s="4">
        <v>20</v>
      </c>
      <c r="U68" s="4">
        <v>10</v>
      </c>
      <c r="V68" s="4">
        <v>10</v>
      </c>
    </row>
    <row r="69" spans="1:22">
      <c r="A69" s="133" t="s">
        <v>337</v>
      </c>
      <c r="B69" s="60">
        <v>9</v>
      </c>
      <c r="C69" s="60">
        <v>798</v>
      </c>
      <c r="D69" s="60">
        <v>65</v>
      </c>
      <c r="E69" s="60">
        <v>63</v>
      </c>
      <c r="F69" s="60">
        <v>30</v>
      </c>
      <c r="G69" s="60">
        <v>27</v>
      </c>
      <c r="H69" s="60">
        <v>27</v>
      </c>
      <c r="I69" s="60">
        <v>27</v>
      </c>
      <c r="J69" s="119">
        <v>2092</v>
      </c>
      <c r="K69" s="119">
        <v>2087</v>
      </c>
      <c r="L69" s="119">
        <v>2092</v>
      </c>
      <c r="M69" s="119">
        <v>2087</v>
      </c>
      <c r="N69" s="119">
        <v>22</v>
      </c>
      <c r="O69" s="119">
        <v>22</v>
      </c>
      <c r="P69" s="119">
        <v>25</v>
      </c>
      <c r="Q69" s="119">
        <v>30</v>
      </c>
      <c r="R69" s="60"/>
      <c r="S69" s="60"/>
      <c r="T69" s="4">
        <v>20</v>
      </c>
      <c r="U69" s="4">
        <v>10</v>
      </c>
      <c r="V69" s="4">
        <v>10</v>
      </c>
    </row>
    <row r="70" spans="1:22">
      <c r="A70" s="133" t="s">
        <v>337</v>
      </c>
      <c r="B70" s="60">
        <v>8</v>
      </c>
      <c r="C70" s="60">
        <v>798</v>
      </c>
      <c r="D70" s="60">
        <v>65</v>
      </c>
      <c r="E70" s="60">
        <v>63</v>
      </c>
      <c r="F70" s="60">
        <v>27</v>
      </c>
      <c r="G70" s="60">
        <v>27</v>
      </c>
      <c r="H70" s="60">
        <v>28</v>
      </c>
      <c r="I70" s="60">
        <v>28</v>
      </c>
      <c r="J70" s="119">
        <v>2092</v>
      </c>
      <c r="K70" s="119">
        <v>2087</v>
      </c>
      <c r="L70" s="119">
        <v>2092</v>
      </c>
      <c r="M70" s="119">
        <v>2087</v>
      </c>
      <c r="N70" s="119">
        <v>26</v>
      </c>
      <c r="O70" s="119">
        <v>26</v>
      </c>
      <c r="P70" s="119">
        <v>25</v>
      </c>
      <c r="Q70" s="119">
        <v>30</v>
      </c>
      <c r="R70" s="60"/>
      <c r="S70" s="60"/>
      <c r="T70" s="4">
        <v>20</v>
      </c>
      <c r="U70" s="4">
        <v>10</v>
      </c>
      <c r="V70" s="4">
        <v>10</v>
      </c>
    </row>
    <row r="71" spans="1:22">
      <c r="A71" s="133" t="s">
        <v>337</v>
      </c>
      <c r="B71" s="60">
        <v>7</v>
      </c>
      <c r="C71" s="60">
        <v>798</v>
      </c>
      <c r="D71" s="60">
        <v>65</v>
      </c>
      <c r="E71" s="60">
        <v>63</v>
      </c>
      <c r="F71" s="60">
        <v>28</v>
      </c>
      <c r="G71" s="60">
        <v>28</v>
      </c>
      <c r="H71" s="60">
        <v>23</v>
      </c>
      <c r="I71" s="60">
        <v>23</v>
      </c>
      <c r="J71" s="119">
        <v>2092</v>
      </c>
      <c r="K71" s="119">
        <v>2087</v>
      </c>
      <c r="L71" s="119">
        <v>2092</v>
      </c>
      <c r="M71" s="119">
        <v>2087</v>
      </c>
      <c r="N71" s="119">
        <v>23</v>
      </c>
      <c r="O71" s="119">
        <v>23</v>
      </c>
      <c r="P71" s="119">
        <v>25</v>
      </c>
      <c r="Q71" s="119">
        <v>30</v>
      </c>
      <c r="R71" s="60"/>
      <c r="S71" s="60"/>
      <c r="T71" s="4">
        <v>20</v>
      </c>
      <c r="U71" s="4">
        <v>10</v>
      </c>
      <c r="V71" s="4">
        <v>10</v>
      </c>
    </row>
    <row r="72" spans="1:22">
      <c r="A72" s="133" t="s">
        <v>337</v>
      </c>
      <c r="B72" s="60">
        <v>6</v>
      </c>
      <c r="C72" s="60">
        <v>798</v>
      </c>
      <c r="D72" s="60">
        <v>65</v>
      </c>
      <c r="E72" s="60">
        <v>63</v>
      </c>
      <c r="F72" s="60">
        <v>26</v>
      </c>
      <c r="G72" s="60">
        <v>26</v>
      </c>
      <c r="H72" s="60">
        <v>27</v>
      </c>
      <c r="I72" s="60">
        <v>27</v>
      </c>
      <c r="J72" s="119">
        <v>2092</v>
      </c>
      <c r="K72" s="119">
        <v>2087</v>
      </c>
      <c r="L72" s="119">
        <v>2092</v>
      </c>
      <c r="M72" s="119">
        <v>2087</v>
      </c>
      <c r="N72" s="119">
        <v>22</v>
      </c>
      <c r="O72" s="119">
        <v>22</v>
      </c>
      <c r="P72" s="119">
        <v>25</v>
      </c>
      <c r="Q72" s="119">
        <v>30</v>
      </c>
      <c r="R72" s="60"/>
      <c r="S72" s="60"/>
      <c r="T72" s="4">
        <v>20</v>
      </c>
      <c r="U72" s="4">
        <v>10</v>
      </c>
      <c r="V72" s="4">
        <v>10</v>
      </c>
    </row>
    <row r="73" spans="1:22">
      <c r="A73" s="133" t="s">
        <v>337</v>
      </c>
      <c r="B73" s="60">
        <v>5</v>
      </c>
      <c r="C73" s="60">
        <v>798</v>
      </c>
      <c r="D73" s="60">
        <v>65</v>
      </c>
      <c r="E73" s="60">
        <v>63</v>
      </c>
      <c r="F73" s="60">
        <v>27</v>
      </c>
      <c r="G73" s="60">
        <v>27</v>
      </c>
      <c r="H73" s="60">
        <v>24</v>
      </c>
      <c r="I73" s="60">
        <v>24</v>
      </c>
      <c r="J73" s="119">
        <v>2092</v>
      </c>
      <c r="K73" s="119">
        <v>2087</v>
      </c>
      <c r="L73" s="119">
        <v>2092</v>
      </c>
      <c r="M73" s="119">
        <v>2087</v>
      </c>
      <c r="N73" s="119">
        <v>21</v>
      </c>
      <c r="O73" s="119">
        <v>21</v>
      </c>
      <c r="P73" s="119">
        <v>25</v>
      </c>
      <c r="Q73" s="119">
        <v>30</v>
      </c>
      <c r="R73" s="60"/>
      <c r="S73" s="60"/>
      <c r="T73" s="4">
        <v>20</v>
      </c>
      <c r="U73" s="4">
        <v>10</v>
      </c>
      <c r="V73" s="4">
        <v>10</v>
      </c>
    </row>
    <row r="74" spans="1:22">
      <c r="A74" s="133" t="s">
        <v>337</v>
      </c>
      <c r="B74" s="60">
        <v>4</v>
      </c>
      <c r="C74" s="60">
        <v>798</v>
      </c>
      <c r="D74" s="60">
        <v>65</v>
      </c>
      <c r="E74" s="60">
        <v>63</v>
      </c>
      <c r="F74" s="60">
        <v>23</v>
      </c>
      <c r="G74" s="60">
        <v>23</v>
      </c>
      <c r="H74" s="60">
        <v>24</v>
      </c>
      <c r="I74" s="60">
        <v>24</v>
      </c>
      <c r="J74" s="119">
        <v>2092</v>
      </c>
      <c r="K74" s="119">
        <v>2087</v>
      </c>
      <c r="L74" s="119">
        <v>2092</v>
      </c>
      <c r="M74" s="119">
        <v>2087</v>
      </c>
      <c r="N74" s="119">
        <v>21</v>
      </c>
      <c r="O74" s="119">
        <v>21</v>
      </c>
      <c r="P74" s="119">
        <v>25</v>
      </c>
      <c r="Q74" s="119">
        <v>30</v>
      </c>
      <c r="R74" s="60"/>
      <c r="S74" s="60"/>
      <c r="T74" s="4">
        <v>20</v>
      </c>
      <c r="U74" s="4">
        <v>10</v>
      </c>
      <c r="V74" s="4">
        <v>10</v>
      </c>
    </row>
    <row r="75" spans="1:22">
      <c r="A75" s="133" t="s">
        <v>337</v>
      </c>
      <c r="B75" s="60">
        <v>3</v>
      </c>
      <c r="C75" s="60">
        <v>798</v>
      </c>
      <c r="D75" s="60">
        <v>65</v>
      </c>
      <c r="E75" s="60">
        <v>63</v>
      </c>
      <c r="F75" s="60">
        <v>22</v>
      </c>
      <c r="G75" s="60">
        <v>26</v>
      </c>
      <c r="H75" s="60">
        <v>23</v>
      </c>
      <c r="I75" s="60">
        <v>23</v>
      </c>
      <c r="J75" s="119">
        <v>2092</v>
      </c>
      <c r="K75" s="119">
        <v>2087</v>
      </c>
      <c r="L75" s="119">
        <v>2092</v>
      </c>
      <c r="M75" s="119">
        <v>2087</v>
      </c>
      <c r="N75" s="119">
        <v>26</v>
      </c>
      <c r="O75" s="119">
        <v>22</v>
      </c>
      <c r="P75" s="119">
        <v>25</v>
      </c>
      <c r="Q75" s="119">
        <v>30</v>
      </c>
      <c r="R75" s="60"/>
      <c r="S75" s="60"/>
      <c r="T75" s="4">
        <v>20</v>
      </c>
      <c r="U75" s="4">
        <v>10</v>
      </c>
      <c r="V75" s="4">
        <v>10</v>
      </c>
    </row>
    <row r="76" spans="1:22">
      <c r="A76" s="133" t="s">
        <v>337</v>
      </c>
      <c r="B76" s="60">
        <v>2</v>
      </c>
      <c r="C76" s="60">
        <v>798</v>
      </c>
      <c r="D76" s="60">
        <v>65</v>
      </c>
      <c r="E76" s="60">
        <v>63</v>
      </c>
      <c r="F76" s="60">
        <v>26</v>
      </c>
      <c r="G76" s="60">
        <v>26</v>
      </c>
      <c r="H76" s="60">
        <v>23</v>
      </c>
      <c r="I76" s="60">
        <v>26</v>
      </c>
      <c r="J76" s="119">
        <v>2092</v>
      </c>
      <c r="K76" s="119">
        <v>2087</v>
      </c>
      <c r="L76" s="119">
        <v>2092</v>
      </c>
      <c r="M76" s="119">
        <v>2087</v>
      </c>
      <c r="N76" s="119">
        <v>21</v>
      </c>
      <c r="O76" s="119">
        <v>21</v>
      </c>
      <c r="P76" s="119">
        <v>25</v>
      </c>
      <c r="Q76" s="119">
        <v>30</v>
      </c>
      <c r="R76" s="60"/>
      <c r="S76" s="60"/>
      <c r="T76" s="4">
        <v>20</v>
      </c>
      <c r="U76" s="4">
        <v>10</v>
      </c>
      <c r="V76" s="4">
        <v>10</v>
      </c>
    </row>
    <row r="77" spans="1:22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-0.249977111117893"/>
    <pageSetUpPr fitToPage="1"/>
  </sheetPr>
  <dimension ref="A1:AL76"/>
  <sheetViews>
    <sheetView tabSelected="1" topLeftCell="C1" zoomScale="85" zoomScaleNormal="85" workbookViewId="0">
      <selection activeCell="AG11" sqref="AG11"/>
    </sheetView>
  </sheetViews>
  <sheetFormatPr defaultRowHeight="16.5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34" width="7" customWidth="1"/>
    <col min="35" max="35" width="7.625" customWidth="1"/>
  </cols>
  <sheetData>
    <row r="1" spans="1:38" ht="75.75" customHeight="1">
      <c r="A1" s="167" t="str">
        <f>정보!B1 &amp; " (쪽쟘제작치수)  " &amp; 정보!B6 &amp;" 소장"</f>
        <v>경기도 광명 철산주공13단지아파트 (쪽쟘제작치수)  추영덕 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</row>
    <row r="2" spans="1:38" ht="30.75" customHeight="1">
      <c r="A2" s="1"/>
      <c r="B2" s="1"/>
      <c r="C2" s="290" t="str">
        <f>"총 : " &amp; COUNTA(A7:A129) &amp;" (SET)"</f>
        <v>총 : 70 (SET)</v>
      </c>
      <c r="D2" s="290"/>
      <c r="E2" s="290"/>
      <c r="F2" s="290"/>
      <c r="G2" s="290"/>
      <c r="H2" s="290"/>
      <c r="I2" s="290"/>
      <c r="J2" s="290"/>
      <c r="K2" s="290"/>
      <c r="L2" s="290"/>
      <c r="M2" s="290"/>
      <c r="N2" s="290"/>
      <c r="O2" s="290"/>
      <c r="P2" s="291" t="s">
        <v>139</v>
      </c>
      <c r="Q2" s="292"/>
      <c r="R2" s="292"/>
      <c r="S2" s="292"/>
      <c r="T2" s="61"/>
      <c r="U2" s="293">
        <v>1.2</v>
      </c>
      <c r="V2" s="293"/>
      <c r="W2" s="1"/>
      <c r="X2" s="1"/>
      <c r="Y2" s="1"/>
      <c r="Z2" s="1"/>
      <c r="AA2" s="1"/>
    </row>
    <row r="3" spans="1:38" ht="33" customHeight="1">
      <c r="A3" s="33" t="str">
        <f>정보!B9</f>
        <v>HL 1.2T</v>
      </c>
      <c r="B3" s="2"/>
      <c r="C3" s="2"/>
      <c r="D3" s="2"/>
      <c r="E3" s="250" t="s">
        <v>140</v>
      </c>
      <c r="F3" s="250"/>
      <c r="G3" s="62">
        <v>0</v>
      </c>
      <c r="H3" s="23" t="s">
        <v>141</v>
      </c>
      <c r="I3" s="294">
        <v>0</v>
      </c>
      <c r="J3" s="294"/>
      <c r="K3" s="63"/>
      <c r="L3" s="63"/>
      <c r="M3" s="248" t="s">
        <v>82</v>
      </c>
      <c r="N3" s="248"/>
      <c r="O3" s="248"/>
      <c r="P3" s="295">
        <v>0</v>
      </c>
      <c r="Q3" s="295"/>
      <c r="R3" s="245" t="s">
        <v>90</v>
      </c>
      <c r="S3" s="245"/>
      <c r="T3" s="64"/>
      <c r="U3" s="296">
        <v>0</v>
      </c>
      <c r="V3" s="296"/>
      <c r="W3" s="65"/>
      <c r="X3" s="65"/>
      <c r="Y3" s="65"/>
      <c r="Z3" s="65"/>
      <c r="AA3" s="65"/>
    </row>
    <row r="4" spans="1:38" ht="33" customHeight="1">
      <c r="A4" s="165" t="str">
        <f>정보!B12</f>
        <v>제작치수 반영 : JB/JD +(0 ),  늘어난치수K -(0), OP - (0),  기둥차감 - (0)</v>
      </c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231" t="s">
        <v>230</v>
      </c>
      <c r="Z4" s="231"/>
      <c r="AA4" s="232"/>
      <c r="AI4" s="303" t="s">
        <v>427</v>
      </c>
      <c r="AJ4" s="304"/>
      <c r="AK4" s="304"/>
      <c r="AL4" s="304"/>
    </row>
    <row r="5" spans="1:38" ht="25.9" customHeight="1">
      <c r="A5" s="169" t="s">
        <v>0</v>
      </c>
      <c r="B5" s="169" t="s">
        <v>119</v>
      </c>
      <c r="C5" s="170" t="s">
        <v>142</v>
      </c>
      <c r="D5" s="169" t="s">
        <v>120</v>
      </c>
      <c r="E5" s="170" t="s">
        <v>143</v>
      </c>
      <c r="F5" s="170" t="s">
        <v>144</v>
      </c>
      <c r="G5" s="170" t="s">
        <v>34</v>
      </c>
      <c r="H5" s="170" t="s">
        <v>145</v>
      </c>
      <c r="I5" s="170" t="s">
        <v>202</v>
      </c>
      <c r="J5" s="170" t="s">
        <v>203</v>
      </c>
      <c r="K5" s="170" t="s">
        <v>146</v>
      </c>
      <c r="L5" s="170" t="s">
        <v>147</v>
      </c>
      <c r="M5" s="297" t="s">
        <v>148</v>
      </c>
      <c r="N5" s="297" t="s">
        <v>149</v>
      </c>
      <c r="O5" s="169" t="s">
        <v>127</v>
      </c>
      <c r="P5" s="169" t="s">
        <v>15</v>
      </c>
      <c r="Q5" s="169" t="s">
        <v>129</v>
      </c>
      <c r="R5" s="169" t="s">
        <v>130</v>
      </c>
      <c r="S5" s="170" t="s">
        <v>150</v>
      </c>
      <c r="T5" s="297" t="s">
        <v>151</v>
      </c>
      <c r="U5" s="170" t="s">
        <v>133</v>
      </c>
      <c r="V5" s="170" t="s">
        <v>152</v>
      </c>
      <c r="W5" s="169" t="s">
        <v>135</v>
      </c>
      <c r="X5" s="169"/>
      <c r="Y5" s="299" t="s">
        <v>198</v>
      </c>
      <c r="Z5" s="299"/>
      <c r="AA5" s="299"/>
      <c r="AE5" s="180" t="s">
        <v>428</v>
      </c>
      <c r="AF5" s="180"/>
      <c r="AG5" s="180" t="s">
        <v>29</v>
      </c>
      <c r="AH5" s="180"/>
      <c r="AI5" s="301" t="s">
        <v>423</v>
      </c>
      <c r="AJ5" s="302"/>
      <c r="AK5" s="301" t="s">
        <v>424</v>
      </c>
      <c r="AL5" s="302"/>
    </row>
    <row r="6" spans="1:38" ht="36.75" customHeight="1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39"/>
      <c r="L6" s="239"/>
      <c r="M6" s="300"/>
      <c r="N6" s="300"/>
      <c r="O6" s="211"/>
      <c r="P6" s="211"/>
      <c r="Q6" s="211"/>
      <c r="R6" s="211"/>
      <c r="S6" s="211"/>
      <c r="T6" s="298"/>
      <c r="U6" s="239"/>
      <c r="V6" s="239"/>
      <c r="W6" s="66" t="s">
        <v>136</v>
      </c>
      <c r="X6" s="66" t="s">
        <v>153</v>
      </c>
      <c r="Y6" s="73" t="s">
        <v>195</v>
      </c>
      <c r="Z6" s="73" t="s">
        <v>196</v>
      </c>
      <c r="AA6" s="73" t="s">
        <v>197</v>
      </c>
      <c r="AB6" t="s">
        <v>429</v>
      </c>
      <c r="AC6" s="161" t="s">
        <v>430</v>
      </c>
      <c r="AD6" s="161" t="s">
        <v>26</v>
      </c>
      <c r="AE6" s="161" t="s">
        <v>431</v>
      </c>
      <c r="AF6" s="161" t="s">
        <v>432</v>
      </c>
      <c r="AG6" s="161" t="s">
        <v>431</v>
      </c>
      <c r="AH6" s="161" t="s">
        <v>433</v>
      </c>
      <c r="AI6" s="162" t="s">
        <v>425</v>
      </c>
      <c r="AJ6" s="162" t="s">
        <v>426</v>
      </c>
      <c r="AK6" s="162" t="s">
        <v>425</v>
      </c>
      <c r="AL6" s="162" t="s">
        <v>426</v>
      </c>
    </row>
    <row r="7" spans="1:38" ht="19.5" customHeight="1">
      <c r="A7" s="50" t="s">
        <v>333</v>
      </c>
      <c r="B7" s="50" t="s">
        <v>338</v>
      </c>
      <c r="C7" s="50" t="s">
        <v>339</v>
      </c>
      <c r="D7" s="50">
        <v>798</v>
      </c>
      <c r="E7" s="50">
        <v>62</v>
      </c>
      <c r="F7" s="50">
        <v>60</v>
      </c>
      <c r="G7" s="67" t="s">
        <v>340</v>
      </c>
      <c r="H7" s="68" t="s">
        <v>341</v>
      </c>
      <c r="I7" s="50">
        <v>24</v>
      </c>
      <c r="J7" s="50">
        <v>19</v>
      </c>
      <c r="K7" s="50">
        <v>27</v>
      </c>
      <c r="L7" s="50">
        <v>23</v>
      </c>
      <c r="M7" s="50">
        <v>22</v>
      </c>
      <c r="N7" s="50">
        <v>22</v>
      </c>
      <c r="O7" s="50">
        <v>2092</v>
      </c>
      <c r="P7" s="50">
        <v>2087</v>
      </c>
      <c r="Q7" s="50">
        <v>2092</v>
      </c>
      <c r="R7" s="50">
        <v>2087</v>
      </c>
      <c r="S7" s="50">
        <v>22</v>
      </c>
      <c r="T7" s="50">
        <v>22</v>
      </c>
      <c r="U7" s="50">
        <v>25</v>
      </c>
      <c r="V7" s="50">
        <v>30</v>
      </c>
      <c r="W7" s="50">
        <v>0</v>
      </c>
      <c r="X7" s="50">
        <v>0</v>
      </c>
      <c r="Y7" s="4">
        <v>20</v>
      </c>
      <c r="Z7" s="4">
        <v>10</v>
      </c>
      <c r="AA7" s="4">
        <v>10</v>
      </c>
      <c r="AI7" s="162">
        <v>10</v>
      </c>
      <c r="AJ7" s="162">
        <v>115</v>
      </c>
      <c r="AK7" s="162">
        <v>10</v>
      </c>
      <c r="AL7" s="162">
        <v>125</v>
      </c>
    </row>
    <row r="8" spans="1:38" ht="19.5" customHeight="1">
      <c r="A8" s="50" t="s">
        <v>333</v>
      </c>
      <c r="B8" s="50" t="s">
        <v>342</v>
      </c>
      <c r="C8" s="50" t="s">
        <v>343</v>
      </c>
      <c r="D8" s="50">
        <v>798</v>
      </c>
      <c r="E8" s="50">
        <v>62</v>
      </c>
      <c r="F8" s="50">
        <v>60</v>
      </c>
      <c r="G8" s="67" t="s">
        <v>344</v>
      </c>
      <c r="H8" s="68" t="s">
        <v>340</v>
      </c>
      <c r="I8" s="50">
        <v>22</v>
      </c>
      <c r="J8" s="50">
        <v>24</v>
      </c>
      <c r="K8" s="50">
        <v>25</v>
      </c>
      <c r="L8" s="50">
        <v>25</v>
      </c>
      <c r="M8" s="50">
        <v>27</v>
      </c>
      <c r="N8" s="50">
        <v>27</v>
      </c>
      <c r="O8" s="50">
        <v>2092</v>
      </c>
      <c r="P8" s="50">
        <v>2087</v>
      </c>
      <c r="Q8" s="50">
        <v>2092</v>
      </c>
      <c r="R8" s="50">
        <v>2087</v>
      </c>
      <c r="S8" s="50">
        <v>23</v>
      </c>
      <c r="T8" s="50">
        <v>20</v>
      </c>
      <c r="U8" s="50">
        <v>25</v>
      </c>
      <c r="V8" s="50">
        <v>30</v>
      </c>
      <c r="W8" s="50">
        <v>0</v>
      </c>
      <c r="X8" s="50">
        <v>0</v>
      </c>
      <c r="Y8" s="4">
        <v>20</v>
      </c>
      <c r="Z8" s="4">
        <v>10</v>
      </c>
      <c r="AA8" s="4">
        <v>10</v>
      </c>
      <c r="AI8" s="162">
        <v>10</v>
      </c>
      <c r="AJ8" s="162">
        <v>125</v>
      </c>
      <c r="AK8" s="162">
        <v>10</v>
      </c>
      <c r="AL8" s="162">
        <v>125</v>
      </c>
    </row>
    <row r="9" spans="1:38" ht="19.5" customHeight="1">
      <c r="A9" s="50" t="s">
        <v>333</v>
      </c>
      <c r="B9" s="50" t="s">
        <v>345</v>
      </c>
      <c r="C9" s="50" t="s">
        <v>346</v>
      </c>
      <c r="D9" s="50">
        <v>798</v>
      </c>
      <c r="E9" s="50">
        <v>62</v>
      </c>
      <c r="F9" s="50">
        <v>60</v>
      </c>
      <c r="G9" s="67" t="s">
        <v>347</v>
      </c>
      <c r="H9" s="68" t="s">
        <v>344</v>
      </c>
      <c r="I9" s="50">
        <v>29</v>
      </c>
      <c r="J9" s="50">
        <v>22</v>
      </c>
      <c r="K9" s="50">
        <v>32</v>
      </c>
      <c r="L9" s="50">
        <v>28</v>
      </c>
      <c r="M9" s="50">
        <v>25</v>
      </c>
      <c r="N9" s="50">
        <v>18</v>
      </c>
      <c r="O9" s="50">
        <v>2092</v>
      </c>
      <c r="P9" s="50">
        <v>2087</v>
      </c>
      <c r="Q9" s="50">
        <v>2092</v>
      </c>
      <c r="R9" s="50">
        <v>2087</v>
      </c>
      <c r="S9" s="50">
        <v>26</v>
      </c>
      <c r="T9" s="50">
        <v>23</v>
      </c>
      <c r="U9" s="50">
        <v>25</v>
      </c>
      <c r="V9" s="50">
        <v>30</v>
      </c>
      <c r="W9" s="50">
        <v>0</v>
      </c>
      <c r="X9" s="50">
        <v>0</v>
      </c>
      <c r="Y9" s="4">
        <v>20</v>
      </c>
      <c r="Z9" s="4">
        <v>10</v>
      </c>
      <c r="AA9" s="4">
        <v>10</v>
      </c>
      <c r="AI9" s="162">
        <v>10</v>
      </c>
      <c r="AJ9" s="162">
        <v>110</v>
      </c>
      <c r="AK9" s="162">
        <v>10</v>
      </c>
      <c r="AL9" s="162">
        <v>120</v>
      </c>
    </row>
    <row r="10" spans="1:38" ht="19.5" customHeight="1">
      <c r="A10" s="50" t="s">
        <v>333</v>
      </c>
      <c r="B10" s="50" t="s">
        <v>348</v>
      </c>
      <c r="C10" s="50" t="s">
        <v>349</v>
      </c>
      <c r="D10" s="50">
        <v>798</v>
      </c>
      <c r="E10" s="50">
        <v>62</v>
      </c>
      <c r="F10" s="50">
        <v>60</v>
      </c>
      <c r="G10" s="67" t="s">
        <v>350</v>
      </c>
      <c r="H10" s="68" t="s">
        <v>340</v>
      </c>
      <c r="I10" s="50">
        <v>21</v>
      </c>
      <c r="J10" s="50">
        <v>24</v>
      </c>
      <c r="K10" s="50">
        <v>24</v>
      </c>
      <c r="L10" s="50">
        <v>28</v>
      </c>
      <c r="M10" s="50">
        <v>27</v>
      </c>
      <c r="N10" s="50">
        <v>27</v>
      </c>
      <c r="O10" s="50">
        <v>2092</v>
      </c>
      <c r="P10" s="50">
        <v>2087</v>
      </c>
      <c r="Q10" s="50">
        <v>2092</v>
      </c>
      <c r="R10" s="50">
        <v>2087</v>
      </c>
      <c r="S10" s="50">
        <v>22</v>
      </c>
      <c r="T10" s="50">
        <v>22</v>
      </c>
      <c r="U10" s="50">
        <v>25</v>
      </c>
      <c r="V10" s="50">
        <v>30</v>
      </c>
      <c r="W10" s="50">
        <v>0</v>
      </c>
      <c r="X10" s="50">
        <v>0</v>
      </c>
      <c r="Y10" s="4">
        <v>20</v>
      </c>
      <c r="Z10" s="4">
        <v>10</v>
      </c>
      <c r="AA10" s="4">
        <v>10</v>
      </c>
      <c r="AI10" s="162">
        <v>10</v>
      </c>
      <c r="AJ10" s="162">
        <v>105</v>
      </c>
      <c r="AK10" s="162">
        <v>10</v>
      </c>
      <c r="AL10" s="162">
        <v>105</v>
      </c>
    </row>
    <row r="11" spans="1:38" ht="19.5" customHeight="1">
      <c r="A11" s="50" t="s">
        <v>333</v>
      </c>
      <c r="B11" s="50" t="s">
        <v>351</v>
      </c>
      <c r="C11" s="50" t="s">
        <v>352</v>
      </c>
      <c r="D11" s="50">
        <v>798</v>
      </c>
      <c r="E11" s="50">
        <v>62</v>
      </c>
      <c r="F11" s="50">
        <v>60</v>
      </c>
      <c r="G11" s="67" t="s">
        <v>340</v>
      </c>
      <c r="H11" s="68" t="s">
        <v>340</v>
      </c>
      <c r="I11" s="50">
        <v>19</v>
      </c>
      <c r="J11" s="50">
        <v>24</v>
      </c>
      <c r="K11" s="50">
        <v>22</v>
      </c>
      <c r="L11" s="50">
        <v>27</v>
      </c>
      <c r="M11" s="50">
        <v>27</v>
      </c>
      <c r="N11" s="50">
        <v>27</v>
      </c>
      <c r="O11" s="50">
        <v>2092</v>
      </c>
      <c r="P11" s="50">
        <v>2087</v>
      </c>
      <c r="Q11" s="50">
        <v>2092</v>
      </c>
      <c r="R11" s="50">
        <v>2087</v>
      </c>
      <c r="S11" s="50">
        <v>26</v>
      </c>
      <c r="T11" s="50">
        <v>23</v>
      </c>
      <c r="U11" s="50">
        <v>25</v>
      </c>
      <c r="V11" s="50">
        <v>30</v>
      </c>
      <c r="W11" s="50">
        <v>0</v>
      </c>
      <c r="X11" s="50">
        <v>0</v>
      </c>
      <c r="Y11" s="4">
        <v>20</v>
      </c>
      <c r="Z11" s="4">
        <v>10</v>
      </c>
      <c r="AA11" s="4">
        <v>10</v>
      </c>
      <c r="AI11" s="162">
        <v>14</v>
      </c>
      <c r="AJ11" s="162">
        <v>120</v>
      </c>
      <c r="AK11" s="162">
        <v>14</v>
      </c>
      <c r="AL11" s="162">
        <v>130</v>
      </c>
    </row>
    <row r="12" spans="1:38" ht="19.5" customHeight="1">
      <c r="A12" s="50" t="s">
        <v>333</v>
      </c>
      <c r="B12" s="50" t="s">
        <v>353</v>
      </c>
      <c r="C12" s="50" t="s">
        <v>354</v>
      </c>
      <c r="D12" s="50">
        <v>798</v>
      </c>
      <c r="E12" s="50">
        <v>62</v>
      </c>
      <c r="F12" s="50">
        <v>60</v>
      </c>
      <c r="G12" s="67" t="s">
        <v>355</v>
      </c>
      <c r="H12" s="68" t="s">
        <v>340</v>
      </c>
      <c r="I12" s="50">
        <v>28</v>
      </c>
      <c r="J12" s="50">
        <v>24</v>
      </c>
      <c r="K12" s="50">
        <v>31</v>
      </c>
      <c r="L12" s="50">
        <v>27</v>
      </c>
      <c r="M12" s="50">
        <v>27</v>
      </c>
      <c r="N12" s="50">
        <v>27</v>
      </c>
      <c r="O12" s="50">
        <v>2092</v>
      </c>
      <c r="P12" s="50">
        <v>2087</v>
      </c>
      <c r="Q12" s="50">
        <v>2092</v>
      </c>
      <c r="R12" s="50">
        <v>2087</v>
      </c>
      <c r="S12" s="50">
        <v>23</v>
      </c>
      <c r="T12" s="50">
        <v>23</v>
      </c>
      <c r="U12" s="50">
        <v>25</v>
      </c>
      <c r="V12" s="50">
        <v>30</v>
      </c>
      <c r="W12" s="50">
        <v>0</v>
      </c>
      <c r="X12" s="50">
        <v>0</v>
      </c>
      <c r="Y12" s="4">
        <v>20</v>
      </c>
      <c r="Z12" s="4">
        <v>10</v>
      </c>
      <c r="AA12" s="4">
        <v>10</v>
      </c>
      <c r="AI12" s="162">
        <v>12</v>
      </c>
      <c r="AJ12" s="162">
        <v>115</v>
      </c>
      <c r="AK12" s="162">
        <v>15</v>
      </c>
      <c r="AL12" s="162">
        <v>115</v>
      </c>
    </row>
    <row r="13" spans="1:38" ht="19.5" customHeight="1">
      <c r="A13" s="50" t="s">
        <v>333</v>
      </c>
      <c r="B13" s="50" t="s">
        <v>356</v>
      </c>
      <c r="C13" s="50" t="s">
        <v>357</v>
      </c>
      <c r="D13" s="50">
        <v>798</v>
      </c>
      <c r="E13" s="50">
        <v>62</v>
      </c>
      <c r="F13" s="50">
        <v>60</v>
      </c>
      <c r="G13" s="67" t="s">
        <v>350</v>
      </c>
      <c r="H13" s="68" t="s">
        <v>350</v>
      </c>
      <c r="I13" s="50">
        <v>25</v>
      </c>
      <c r="J13" s="50">
        <v>25</v>
      </c>
      <c r="K13" s="50">
        <v>28</v>
      </c>
      <c r="L13" s="50">
        <v>28</v>
      </c>
      <c r="M13" s="50">
        <v>28</v>
      </c>
      <c r="N13" s="50">
        <v>28</v>
      </c>
      <c r="O13" s="50">
        <v>2092</v>
      </c>
      <c r="P13" s="50">
        <v>2087</v>
      </c>
      <c r="Q13" s="50">
        <v>2092</v>
      </c>
      <c r="R13" s="50">
        <v>2087</v>
      </c>
      <c r="S13" s="50">
        <v>26</v>
      </c>
      <c r="T13" s="50">
        <v>22</v>
      </c>
      <c r="U13" s="50">
        <v>25</v>
      </c>
      <c r="V13" s="50">
        <v>30</v>
      </c>
      <c r="W13" s="50">
        <v>0</v>
      </c>
      <c r="X13" s="50">
        <v>0</v>
      </c>
      <c r="Y13" s="4">
        <v>20</v>
      </c>
      <c r="Z13" s="4">
        <v>10</v>
      </c>
      <c r="AA13" s="4">
        <v>10</v>
      </c>
      <c r="AI13" s="162">
        <v>14</v>
      </c>
      <c r="AJ13" s="162">
        <v>105</v>
      </c>
      <c r="AK13" s="162">
        <v>14</v>
      </c>
      <c r="AL13" s="162">
        <v>120</v>
      </c>
    </row>
    <row r="14" spans="1:38" ht="19.5" customHeight="1">
      <c r="A14" s="50" t="s">
        <v>333</v>
      </c>
      <c r="B14" s="50" t="s">
        <v>358</v>
      </c>
      <c r="C14" s="50" t="s">
        <v>359</v>
      </c>
      <c r="D14" s="50">
        <v>798</v>
      </c>
      <c r="E14" s="50">
        <v>62</v>
      </c>
      <c r="F14" s="50">
        <v>60</v>
      </c>
      <c r="G14" s="67" t="s">
        <v>347</v>
      </c>
      <c r="H14" s="68" t="s">
        <v>360</v>
      </c>
      <c r="I14" s="50">
        <v>24</v>
      </c>
      <c r="J14" s="50">
        <v>26</v>
      </c>
      <c r="K14" s="50">
        <v>27</v>
      </c>
      <c r="L14" s="50">
        <v>32</v>
      </c>
      <c r="M14" s="50">
        <v>29</v>
      </c>
      <c r="N14" s="50">
        <v>24</v>
      </c>
      <c r="O14" s="50">
        <v>2092</v>
      </c>
      <c r="P14" s="50">
        <v>2087</v>
      </c>
      <c r="Q14" s="50">
        <v>2092</v>
      </c>
      <c r="R14" s="50">
        <v>2087</v>
      </c>
      <c r="S14" s="50">
        <v>29</v>
      </c>
      <c r="T14" s="50">
        <v>26</v>
      </c>
      <c r="U14" s="50">
        <v>25</v>
      </c>
      <c r="V14" s="50">
        <v>30</v>
      </c>
      <c r="W14" s="50">
        <v>0</v>
      </c>
      <c r="X14" s="50">
        <v>0</v>
      </c>
      <c r="Y14" s="4">
        <v>20</v>
      </c>
      <c r="Z14" s="4">
        <v>10</v>
      </c>
      <c r="AA14" s="4">
        <v>10</v>
      </c>
      <c r="AI14" s="162">
        <v>12</v>
      </c>
      <c r="AJ14" s="162">
        <v>115</v>
      </c>
      <c r="AK14" s="162">
        <v>12</v>
      </c>
      <c r="AL14" s="162">
        <v>115</v>
      </c>
    </row>
    <row r="15" spans="1:38" ht="19.5" customHeight="1">
      <c r="A15" s="50" t="s">
        <v>333</v>
      </c>
      <c r="B15" s="50" t="s">
        <v>361</v>
      </c>
      <c r="C15" s="50" t="s">
        <v>362</v>
      </c>
      <c r="D15" s="50">
        <v>798</v>
      </c>
      <c r="E15" s="50">
        <v>62</v>
      </c>
      <c r="F15" s="50">
        <v>60</v>
      </c>
      <c r="G15" s="67" t="s">
        <v>363</v>
      </c>
      <c r="H15" s="68" t="s">
        <v>340</v>
      </c>
      <c r="I15" s="50">
        <v>21</v>
      </c>
      <c r="J15" s="50">
        <v>24</v>
      </c>
      <c r="K15" s="50">
        <v>24</v>
      </c>
      <c r="L15" s="50">
        <v>24</v>
      </c>
      <c r="M15" s="50">
        <v>27</v>
      </c>
      <c r="N15" s="50">
        <v>27</v>
      </c>
      <c r="O15" s="50">
        <v>2092</v>
      </c>
      <c r="P15" s="50">
        <v>2087</v>
      </c>
      <c r="Q15" s="50">
        <v>2092</v>
      </c>
      <c r="R15" s="50">
        <v>2087</v>
      </c>
      <c r="S15" s="50">
        <v>21</v>
      </c>
      <c r="T15" s="50">
        <v>21</v>
      </c>
      <c r="U15" s="50">
        <v>25</v>
      </c>
      <c r="V15" s="50">
        <v>30</v>
      </c>
      <c r="W15" s="50">
        <v>0</v>
      </c>
      <c r="X15" s="50">
        <v>0</v>
      </c>
      <c r="Y15" s="4">
        <v>20</v>
      </c>
      <c r="Z15" s="4">
        <v>10</v>
      </c>
      <c r="AA15" s="4">
        <v>10</v>
      </c>
      <c r="AI15" s="162">
        <v>12</v>
      </c>
      <c r="AJ15" s="162">
        <v>105</v>
      </c>
      <c r="AK15" s="162">
        <v>13</v>
      </c>
      <c r="AL15" s="162">
        <v>110</v>
      </c>
    </row>
    <row r="16" spans="1:38" ht="19.5" customHeight="1">
      <c r="A16" s="50" t="s">
        <v>333</v>
      </c>
      <c r="B16" s="50" t="s">
        <v>364</v>
      </c>
      <c r="C16" s="50" t="s">
        <v>362</v>
      </c>
      <c r="D16" s="50">
        <v>798</v>
      </c>
      <c r="E16" s="50">
        <v>62</v>
      </c>
      <c r="F16" s="50">
        <v>60</v>
      </c>
      <c r="G16" s="67" t="s">
        <v>365</v>
      </c>
      <c r="H16" s="68" t="s">
        <v>350</v>
      </c>
      <c r="I16" s="50">
        <v>20</v>
      </c>
      <c r="J16" s="50">
        <v>25</v>
      </c>
      <c r="K16" s="50">
        <v>23</v>
      </c>
      <c r="L16" s="50">
        <v>23</v>
      </c>
      <c r="M16" s="50">
        <v>28</v>
      </c>
      <c r="N16" s="50">
        <v>28</v>
      </c>
      <c r="O16" s="50">
        <v>2092</v>
      </c>
      <c r="P16" s="50">
        <v>2087</v>
      </c>
      <c r="Q16" s="50">
        <v>2092</v>
      </c>
      <c r="R16" s="50">
        <v>2087</v>
      </c>
      <c r="S16" s="50">
        <v>21</v>
      </c>
      <c r="T16" s="50">
        <v>21</v>
      </c>
      <c r="U16" s="50">
        <v>25</v>
      </c>
      <c r="V16" s="50">
        <v>30</v>
      </c>
      <c r="W16" s="50">
        <v>0</v>
      </c>
      <c r="X16" s="50">
        <v>0</v>
      </c>
      <c r="Y16" s="4">
        <v>20</v>
      </c>
      <c r="Z16" s="4">
        <v>10</v>
      </c>
      <c r="AA16" s="4">
        <v>10</v>
      </c>
      <c r="AI16" s="162">
        <v>13</v>
      </c>
      <c r="AJ16" s="162">
        <v>120</v>
      </c>
      <c r="AK16" s="162">
        <v>13</v>
      </c>
      <c r="AL16" s="162">
        <v>120</v>
      </c>
    </row>
    <row r="17" spans="1:38" ht="19.5" customHeight="1">
      <c r="A17" s="50" t="s">
        <v>333</v>
      </c>
      <c r="B17" s="50" t="s">
        <v>366</v>
      </c>
      <c r="C17" s="50" t="s">
        <v>367</v>
      </c>
      <c r="D17" s="50">
        <v>798</v>
      </c>
      <c r="E17" s="50">
        <v>62</v>
      </c>
      <c r="F17" s="50">
        <v>60</v>
      </c>
      <c r="G17" s="67" t="s">
        <v>350</v>
      </c>
      <c r="H17" s="68" t="s">
        <v>350</v>
      </c>
      <c r="I17" s="50">
        <v>25</v>
      </c>
      <c r="J17" s="50">
        <v>25</v>
      </c>
      <c r="K17" s="50">
        <v>28</v>
      </c>
      <c r="L17" s="50">
        <v>28</v>
      </c>
      <c r="M17" s="50">
        <v>28</v>
      </c>
      <c r="N17" s="50">
        <v>28</v>
      </c>
      <c r="O17" s="50">
        <v>2092</v>
      </c>
      <c r="P17" s="50">
        <v>2087</v>
      </c>
      <c r="Q17" s="50">
        <v>2092</v>
      </c>
      <c r="R17" s="50">
        <v>2087</v>
      </c>
      <c r="S17" s="50">
        <v>22</v>
      </c>
      <c r="T17" s="50">
        <v>22</v>
      </c>
      <c r="U17" s="50">
        <v>25</v>
      </c>
      <c r="V17" s="50">
        <v>30</v>
      </c>
      <c r="W17" s="50">
        <v>0</v>
      </c>
      <c r="X17" s="50">
        <v>0</v>
      </c>
      <c r="Y17" s="4">
        <v>20</v>
      </c>
      <c r="Z17" s="4">
        <v>10</v>
      </c>
      <c r="AA17" s="4">
        <v>10</v>
      </c>
      <c r="AI17" s="162">
        <v>13</v>
      </c>
      <c r="AJ17" s="162">
        <v>115</v>
      </c>
      <c r="AK17" s="162">
        <v>14</v>
      </c>
      <c r="AL17" s="162">
        <v>110</v>
      </c>
    </row>
    <row r="18" spans="1:38" ht="19.5" customHeight="1">
      <c r="A18" s="50" t="s">
        <v>333</v>
      </c>
      <c r="B18" s="50" t="s">
        <v>368</v>
      </c>
      <c r="C18" s="50" t="s">
        <v>369</v>
      </c>
      <c r="D18" s="50">
        <v>798</v>
      </c>
      <c r="E18" s="50">
        <v>62</v>
      </c>
      <c r="F18" s="50">
        <v>60</v>
      </c>
      <c r="G18" s="67" t="s">
        <v>340</v>
      </c>
      <c r="H18" s="68" t="s">
        <v>363</v>
      </c>
      <c r="I18" s="50">
        <v>24</v>
      </c>
      <c r="J18" s="50">
        <v>21</v>
      </c>
      <c r="K18" s="50">
        <v>27</v>
      </c>
      <c r="L18" s="50">
        <v>27</v>
      </c>
      <c r="M18" s="50">
        <v>24</v>
      </c>
      <c r="N18" s="50">
        <v>24</v>
      </c>
      <c r="O18" s="50">
        <v>2092</v>
      </c>
      <c r="P18" s="50">
        <v>2087</v>
      </c>
      <c r="Q18" s="50">
        <v>2092</v>
      </c>
      <c r="R18" s="50">
        <v>2087</v>
      </c>
      <c r="S18" s="50">
        <v>26</v>
      </c>
      <c r="T18" s="50">
        <v>26</v>
      </c>
      <c r="U18" s="50">
        <v>25</v>
      </c>
      <c r="V18" s="50">
        <v>30</v>
      </c>
      <c r="W18" s="50">
        <v>0</v>
      </c>
      <c r="X18" s="50">
        <v>0</v>
      </c>
      <c r="Y18" s="4">
        <v>20</v>
      </c>
      <c r="Z18" s="4">
        <v>10</v>
      </c>
      <c r="AA18" s="4">
        <v>10</v>
      </c>
      <c r="AI18" s="162">
        <v>13</v>
      </c>
      <c r="AJ18" s="162">
        <v>115</v>
      </c>
      <c r="AK18" s="162">
        <v>12</v>
      </c>
      <c r="AL18" s="162">
        <v>120</v>
      </c>
    </row>
    <row r="19" spans="1:38" ht="19.5" customHeight="1">
      <c r="A19" s="50" t="s">
        <v>333</v>
      </c>
      <c r="B19" s="50" t="s">
        <v>370</v>
      </c>
      <c r="C19" s="50" t="s">
        <v>371</v>
      </c>
      <c r="D19" s="50">
        <v>798</v>
      </c>
      <c r="E19" s="50">
        <v>62</v>
      </c>
      <c r="F19" s="50">
        <v>60</v>
      </c>
      <c r="G19" s="67" t="s">
        <v>350</v>
      </c>
      <c r="H19" s="68" t="s">
        <v>372</v>
      </c>
      <c r="I19" s="50">
        <v>19</v>
      </c>
      <c r="J19" s="50">
        <v>23</v>
      </c>
      <c r="K19" s="50">
        <v>22</v>
      </c>
      <c r="L19" s="50">
        <v>28</v>
      </c>
      <c r="M19" s="50">
        <v>26</v>
      </c>
      <c r="N19" s="50">
        <v>26</v>
      </c>
      <c r="O19" s="50">
        <v>2092</v>
      </c>
      <c r="P19" s="50">
        <v>2087</v>
      </c>
      <c r="Q19" s="50">
        <v>2092</v>
      </c>
      <c r="R19" s="50">
        <v>2087</v>
      </c>
      <c r="S19" s="50">
        <v>26</v>
      </c>
      <c r="T19" s="50">
        <v>21</v>
      </c>
      <c r="U19" s="50">
        <v>25</v>
      </c>
      <c r="V19" s="50">
        <v>30</v>
      </c>
      <c r="W19" s="50">
        <v>0</v>
      </c>
      <c r="X19" s="50">
        <v>0</v>
      </c>
      <c r="Y19" s="4">
        <v>20</v>
      </c>
      <c r="Z19" s="4">
        <v>10</v>
      </c>
      <c r="AA19" s="4">
        <v>10</v>
      </c>
      <c r="AI19" s="162">
        <v>15</v>
      </c>
      <c r="AJ19" s="162">
        <v>110</v>
      </c>
      <c r="AK19" s="162">
        <v>12</v>
      </c>
      <c r="AL19" s="162">
        <v>115</v>
      </c>
    </row>
    <row r="20" spans="1:38" ht="19.5" customHeight="1">
      <c r="A20" s="50" t="s">
        <v>333</v>
      </c>
      <c r="B20" s="50" t="s">
        <v>373</v>
      </c>
      <c r="C20" s="50" t="s">
        <v>374</v>
      </c>
      <c r="D20" s="50">
        <v>798</v>
      </c>
      <c r="E20" s="50">
        <v>62</v>
      </c>
      <c r="F20" s="50">
        <v>60</v>
      </c>
      <c r="G20" s="67" t="s">
        <v>363</v>
      </c>
      <c r="H20" s="68" t="s">
        <v>372</v>
      </c>
      <c r="I20" s="50">
        <v>21</v>
      </c>
      <c r="J20" s="50">
        <v>23</v>
      </c>
      <c r="K20" s="50">
        <v>24</v>
      </c>
      <c r="L20" s="50">
        <v>24</v>
      </c>
      <c r="M20" s="50">
        <v>26</v>
      </c>
      <c r="N20" s="50">
        <v>26</v>
      </c>
      <c r="O20" s="50">
        <v>2092</v>
      </c>
      <c r="P20" s="50">
        <v>2087</v>
      </c>
      <c r="Q20" s="50">
        <v>2092</v>
      </c>
      <c r="R20" s="50">
        <v>2087</v>
      </c>
      <c r="S20" s="50">
        <v>21</v>
      </c>
      <c r="T20" s="50">
        <v>21</v>
      </c>
      <c r="U20" s="50">
        <v>25</v>
      </c>
      <c r="V20" s="50">
        <v>30</v>
      </c>
      <c r="W20" s="50">
        <v>0</v>
      </c>
      <c r="X20" s="50">
        <v>0</v>
      </c>
      <c r="Y20" s="4">
        <v>20</v>
      </c>
      <c r="Z20" s="4">
        <v>10</v>
      </c>
      <c r="AA20" s="4">
        <v>10</v>
      </c>
      <c r="AI20" s="162">
        <v>12</v>
      </c>
      <c r="AJ20" s="162">
        <v>115</v>
      </c>
      <c r="AK20" s="162">
        <v>15</v>
      </c>
      <c r="AL20" s="162">
        <v>115</v>
      </c>
    </row>
    <row r="21" spans="1:38" ht="19.5" customHeight="1">
      <c r="A21" s="50" t="s">
        <v>334</v>
      </c>
      <c r="B21" s="50" t="s">
        <v>338</v>
      </c>
      <c r="C21" s="50" t="s">
        <v>375</v>
      </c>
      <c r="D21" s="50">
        <v>798</v>
      </c>
      <c r="E21" s="50">
        <v>62</v>
      </c>
      <c r="F21" s="50">
        <v>60</v>
      </c>
      <c r="G21" s="67" t="s">
        <v>340</v>
      </c>
      <c r="H21" s="68" t="s">
        <v>340</v>
      </c>
      <c r="I21" s="50">
        <v>24</v>
      </c>
      <c r="J21" s="50">
        <v>24</v>
      </c>
      <c r="K21" s="50">
        <v>27</v>
      </c>
      <c r="L21" s="50">
        <v>27</v>
      </c>
      <c r="M21" s="50">
        <v>27</v>
      </c>
      <c r="N21" s="50">
        <v>23</v>
      </c>
      <c r="O21" s="50">
        <v>2092</v>
      </c>
      <c r="P21" s="50">
        <v>2087</v>
      </c>
      <c r="Q21" s="50">
        <v>2092</v>
      </c>
      <c r="R21" s="50">
        <v>2087</v>
      </c>
      <c r="S21" s="50">
        <v>26</v>
      </c>
      <c r="T21" s="50">
        <v>22</v>
      </c>
      <c r="U21" s="50">
        <v>25</v>
      </c>
      <c r="V21" s="50">
        <v>30</v>
      </c>
      <c r="W21" s="50">
        <v>0</v>
      </c>
      <c r="X21" s="50">
        <v>0</v>
      </c>
      <c r="Y21" s="4">
        <v>20</v>
      </c>
      <c r="Z21" s="4">
        <v>10</v>
      </c>
      <c r="AA21" s="4">
        <v>10</v>
      </c>
      <c r="AI21" s="162">
        <v>10</v>
      </c>
      <c r="AJ21" s="162">
        <v>110</v>
      </c>
      <c r="AK21" s="162">
        <v>12</v>
      </c>
      <c r="AL21" s="162">
        <v>105</v>
      </c>
    </row>
    <row r="22" spans="1:38" ht="19.5" customHeight="1">
      <c r="A22" s="50" t="s">
        <v>334</v>
      </c>
      <c r="B22" s="50" t="s">
        <v>342</v>
      </c>
      <c r="C22" s="50" t="s">
        <v>376</v>
      </c>
      <c r="D22" s="50">
        <v>798</v>
      </c>
      <c r="E22" s="50">
        <v>62</v>
      </c>
      <c r="F22" s="50">
        <v>60</v>
      </c>
      <c r="G22" s="67" t="s">
        <v>372</v>
      </c>
      <c r="H22" s="68" t="s">
        <v>341</v>
      </c>
      <c r="I22" s="50">
        <v>19</v>
      </c>
      <c r="J22" s="50">
        <v>19</v>
      </c>
      <c r="K22" s="50">
        <v>22</v>
      </c>
      <c r="L22" s="50">
        <v>26</v>
      </c>
      <c r="M22" s="50">
        <v>22</v>
      </c>
      <c r="N22" s="50">
        <v>22</v>
      </c>
      <c r="O22" s="50">
        <v>2092</v>
      </c>
      <c r="P22" s="50">
        <v>2087</v>
      </c>
      <c r="Q22" s="50">
        <v>2092</v>
      </c>
      <c r="R22" s="50">
        <v>2087</v>
      </c>
      <c r="S22" s="50">
        <v>29</v>
      </c>
      <c r="T22" s="50">
        <v>23</v>
      </c>
      <c r="U22" s="50">
        <v>25</v>
      </c>
      <c r="V22" s="50">
        <v>30</v>
      </c>
      <c r="W22" s="50">
        <v>0</v>
      </c>
      <c r="X22" s="50">
        <v>0</v>
      </c>
      <c r="Y22" s="4">
        <v>20</v>
      </c>
      <c r="Z22" s="4">
        <v>10</v>
      </c>
      <c r="AA22" s="4">
        <v>10</v>
      </c>
      <c r="AI22" s="162">
        <v>13</v>
      </c>
      <c r="AJ22" s="162">
        <v>100</v>
      </c>
      <c r="AK22" s="162">
        <v>10</v>
      </c>
      <c r="AL22" s="162">
        <v>115</v>
      </c>
    </row>
    <row r="23" spans="1:38" ht="19.5" customHeight="1">
      <c r="A23" s="50" t="s">
        <v>334</v>
      </c>
      <c r="B23" s="50" t="s">
        <v>345</v>
      </c>
      <c r="C23" s="50" t="s">
        <v>377</v>
      </c>
      <c r="D23" s="50">
        <v>798</v>
      </c>
      <c r="E23" s="50">
        <v>62</v>
      </c>
      <c r="F23" s="50">
        <v>60</v>
      </c>
      <c r="G23" s="67" t="s">
        <v>350</v>
      </c>
      <c r="H23" s="68" t="s">
        <v>341</v>
      </c>
      <c r="I23" s="50">
        <v>25</v>
      </c>
      <c r="J23" s="50">
        <v>19</v>
      </c>
      <c r="K23" s="50">
        <v>28</v>
      </c>
      <c r="L23" s="50">
        <v>28</v>
      </c>
      <c r="M23" s="50">
        <v>22</v>
      </c>
      <c r="N23" s="50">
        <v>22</v>
      </c>
      <c r="O23" s="50">
        <v>2092</v>
      </c>
      <c r="P23" s="50">
        <v>2087</v>
      </c>
      <c r="Q23" s="50">
        <v>2092</v>
      </c>
      <c r="R23" s="50">
        <v>2087</v>
      </c>
      <c r="S23" s="50">
        <v>31</v>
      </c>
      <c r="T23" s="50">
        <v>26</v>
      </c>
      <c r="U23" s="50">
        <v>25</v>
      </c>
      <c r="V23" s="50">
        <v>30</v>
      </c>
      <c r="W23" s="50">
        <v>0</v>
      </c>
      <c r="X23" s="50">
        <v>0</v>
      </c>
      <c r="Y23" s="4">
        <v>20</v>
      </c>
      <c r="Z23" s="4">
        <v>10</v>
      </c>
      <c r="AA23" s="4">
        <v>10</v>
      </c>
      <c r="AI23" s="162">
        <v>13</v>
      </c>
      <c r="AJ23" s="162">
        <v>110</v>
      </c>
      <c r="AK23" s="162">
        <v>10</v>
      </c>
      <c r="AL23" s="162">
        <v>115</v>
      </c>
    </row>
    <row r="24" spans="1:38" ht="19.5" customHeight="1">
      <c r="A24" s="50" t="s">
        <v>334</v>
      </c>
      <c r="B24" s="50" t="s">
        <v>348</v>
      </c>
      <c r="C24" s="50" t="s">
        <v>378</v>
      </c>
      <c r="D24" s="50">
        <v>798</v>
      </c>
      <c r="E24" s="50">
        <v>62</v>
      </c>
      <c r="F24" s="50">
        <v>60</v>
      </c>
      <c r="G24" s="67" t="s">
        <v>340</v>
      </c>
      <c r="H24" s="68" t="s">
        <v>379</v>
      </c>
      <c r="I24" s="50">
        <v>24</v>
      </c>
      <c r="J24" s="50">
        <v>27</v>
      </c>
      <c r="K24" s="50">
        <v>27</v>
      </c>
      <c r="L24" s="50">
        <v>27</v>
      </c>
      <c r="M24" s="50">
        <v>30</v>
      </c>
      <c r="N24" s="50">
        <v>27</v>
      </c>
      <c r="O24" s="50">
        <v>2092</v>
      </c>
      <c r="P24" s="50">
        <v>2087</v>
      </c>
      <c r="Q24" s="50">
        <v>2092</v>
      </c>
      <c r="R24" s="50">
        <v>2087</v>
      </c>
      <c r="S24" s="50">
        <v>27</v>
      </c>
      <c r="T24" s="50">
        <v>27</v>
      </c>
      <c r="U24" s="50">
        <v>25</v>
      </c>
      <c r="V24" s="50">
        <v>30</v>
      </c>
      <c r="W24" s="50">
        <v>0</v>
      </c>
      <c r="X24" s="50">
        <v>0</v>
      </c>
      <c r="Y24" s="4">
        <v>20</v>
      </c>
      <c r="Z24" s="4">
        <v>10</v>
      </c>
      <c r="AA24" s="4">
        <v>10</v>
      </c>
      <c r="AI24" s="162">
        <v>12</v>
      </c>
      <c r="AJ24" s="162">
        <v>105</v>
      </c>
      <c r="AK24" s="162">
        <v>10</v>
      </c>
      <c r="AL24" s="162">
        <v>115</v>
      </c>
    </row>
    <row r="25" spans="1:38" ht="19.5" customHeight="1">
      <c r="A25" s="50" t="s">
        <v>334</v>
      </c>
      <c r="B25" s="50" t="s">
        <v>351</v>
      </c>
      <c r="C25" s="50" t="s">
        <v>380</v>
      </c>
      <c r="D25" s="50">
        <v>798</v>
      </c>
      <c r="E25" s="50">
        <v>62</v>
      </c>
      <c r="F25" s="50">
        <v>60</v>
      </c>
      <c r="G25" s="67" t="s">
        <v>340</v>
      </c>
      <c r="H25" s="68" t="s">
        <v>340</v>
      </c>
      <c r="I25" s="50">
        <v>24</v>
      </c>
      <c r="J25" s="50">
        <v>24</v>
      </c>
      <c r="K25" s="50">
        <v>27</v>
      </c>
      <c r="L25" s="50">
        <v>27</v>
      </c>
      <c r="M25" s="50">
        <v>27</v>
      </c>
      <c r="N25" s="50">
        <v>27</v>
      </c>
      <c r="O25" s="50">
        <v>2092</v>
      </c>
      <c r="P25" s="50">
        <v>2087</v>
      </c>
      <c r="Q25" s="50">
        <v>2092</v>
      </c>
      <c r="R25" s="50">
        <v>2087</v>
      </c>
      <c r="S25" s="50">
        <v>23</v>
      </c>
      <c r="T25" s="50">
        <v>28</v>
      </c>
      <c r="U25" s="50">
        <v>25</v>
      </c>
      <c r="V25" s="50">
        <v>30</v>
      </c>
      <c r="W25" s="50">
        <v>0</v>
      </c>
      <c r="X25" s="50">
        <v>0</v>
      </c>
      <c r="Y25" s="4">
        <v>20</v>
      </c>
      <c r="Z25" s="4">
        <v>10</v>
      </c>
      <c r="AA25" s="4">
        <v>10</v>
      </c>
      <c r="AI25" s="162">
        <v>12</v>
      </c>
      <c r="AJ25" s="162">
        <v>110</v>
      </c>
      <c r="AK25" s="162">
        <v>12</v>
      </c>
      <c r="AL25" s="162">
        <v>115</v>
      </c>
    </row>
    <row r="26" spans="1:38" ht="19.5" customHeight="1">
      <c r="A26" s="50" t="s">
        <v>334</v>
      </c>
      <c r="B26" s="50" t="s">
        <v>353</v>
      </c>
      <c r="C26" s="50" t="s">
        <v>381</v>
      </c>
      <c r="D26" s="50">
        <v>798</v>
      </c>
      <c r="E26" s="50">
        <v>62</v>
      </c>
      <c r="F26" s="50">
        <v>60</v>
      </c>
      <c r="G26" s="67" t="s">
        <v>344</v>
      </c>
      <c r="H26" s="68" t="s">
        <v>340</v>
      </c>
      <c r="I26" s="50">
        <v>22</v>
      </c>
      <c r="J26" s="50">
        <v>24</v>
      </c>
      <c r="K26" s="50">
        <v>25</v>
      </c>
      <c r="L26" s="50">
        <v>25</v>
      </c>
      <c r="M26" s="50">
        <v>27</v>
      </c>
      <c r="N26" s="50">
        <v>27</v>
      </c>
      <c r="O26" s="50">
        <v>2092</v>
      </c>
      <c r="P26" s="50">
        <v>2087</v>
      </c>
      <c r="Q26" s="50">
        <v>2092</v>
      </c>
      <c r="R26" s="50">
        <v>2087</v>
      </c>
      <c r="S26" s="50">
        <v>26</v>
      </c>
      <c r="T26" s="50">
        <v>26</v>
      </c>
      <c r="U26" s="50">
        <v>25</v>
      </c>
      <c r="V26" s="50">
        <v>30</v>
      </c>
      <c r="W26" s="50">
        <v>0</v>
      </c>
      <c r="X26" s="50">
        <v>0</v>
      </c>
      <c r="Y26" s="4">
        <v>20</v>
      </c>
      <c r="Z26" s="4">
        <v>10</v>
      </c>
      <c r="AA26" s="4">
        <v>10</v>
      </c>
      <c r="AI26" s="162">
        <v>12</v>
      </c>
      <c r="AJ26" s="162">
        <v>120</v>
      </c>
      <c r="AK26" s="162">
        <v>10</v>
      </c>
      <c r="AL26" s="162">
        <v>115</v>
      </c>
    </row>
    <row r="27" spans="1:38" ht="19.5" customHeight="1">
      <c r="A27" s="50" t="s">
        <v>334</v>
      </c>
      <c r="B27" s="50" t="s">
        <v>356</v>
      </c>
      <c r="C27" s="50" t="s">
        <v>375</v>
      </c>
      <c r="D27" s="50">
        <v>798</v>
      </c>
      <c r="E27" s="50">
        <v>62</v>
      </c>
      <c r="F27" s="50">
        <v>60</v>
      </c>
      <c r="G27" s="67" t="s">
        <v>340</v>
      </c>
      <c r="H27" s="68" t="s">
        <v>340</v>
      </c>
      <c r="I27" s="50">
        <v>24</v>
      </c>
      <c r="J27" s="50">
        <v>24</v>
      </c>
      <c r="K27" s="50">
        <v>27</v>
      </c>
      <c r="L27" s="50">
        <v>27</v>
      </c>
      <c r="M27" s="50">
        <v>27</v>
      </c>
      <c r="N27" s="50">
        <v>27</v>
      </c>
      <c r="O27" s="50">
        <v>2092</v>
      </c>
      <c r="P27" s="50">
        <v>2087</v>
      </c>
      <c r="Q27" s="50">
        <v>2092</v>
      </c>
      <c r="R27" s="50">
        <v>2087</v>
      </c>
      <c r="S27" s="50">
        <v>26</v>
      </c>
      <c r="T27" s="50">
        <v>26</v>
      </c>
      <c r="U27" s="50">
        <v>25</v>
      </c>
      <c r="V27" s="50">
        <v>30</v>
      </c>
      <c r="W27" s="50">
        <v>0</v>
      </c>
      <c r="X27" s="50">
        <v>0</v>
      </c>
      <c r="Y27" s="4">
        <v>20</v>
      </c>
      <c r="Z27" s="4">
        <v>10</v>
      </c>
      <c r="AA27" s="4">
        <v>10</v>
      </c>
      <c r="AI27" s="162">
        <v>10</v>
      </c>
      <c r="AJ27" s="162">
        <v>110</v>
      </c>
      <c r="AK27" s="162">
        <v>10</v>
      </c>
      <c r="AL27" s="162">
        <v>120</v>
      </c>
    </row>
    <row r="28" spans="1:38" ht="19.5" customHeight="1">
      <c r="A28" s="50" t="s">
        <v>334</v>
      </c>
      <c r="B28" s="50" t="s">
        <v>358</v>
      </c>
      <c r="C28" s="50" t="s">
        <v>382</v>
      </c>
      <c r="D28" s="50">
        <v>798</v>
      </c>
      <c r="E28" s="50">
        <v>62</v>
      </c>
      <c r="F28" s="50">
        <v>60</v>
      </c>
      <c r="G28" s="67" t="s">
        <v>347</v>
      </c>
      <c r="H28" s="68" t="s">
        <v>372</v>
      </c>
      <c r="I28" s="50">
        <v>29</v>
      </c>
      <c r="J28" s="50">
        <v>23</v>
      </c>
      <c r="K28" s="50">
        <v>32</v>
      </c>
      <c r="L28" s="50">
        <v>28</v>
      </c>
      <c r="M28" s="50">
        <v>26</v>
      </c>
      <c r="N28" s="50">
        <v>26</v>
      </c>
      <c r="O28" s="50">
        <v>2092</v>
      </c>
      <c r="P28" s="50">
        <v>2087</v>
      </c>
      <c r="Q28" s="50">
        <v>2092</v>
      </c>
      <c r="R28" s="50">
        <v>2087</v>
      </c>
      <c r="S28" s="50">
        <v>28</v>
      </c>
      <c r="T28" s="50">
        <v>23</v>
      </c>
      <c r="U28" s="50">
        <v>25</v>
      </c>
      <c r="V28" s="50">
        <v>30</v>
      </c>
      <c r="W28" s="50">
        <v>0</v>
      </c>
      <c r="X28" s="50">
        <v>0</v>
      </c>
      <c r="Y28" s="4">
        <v>20</v>
      </c>
      <c r="Z28" s="4">
        <v>10</v>
      </c>
      <c r="AA28" s="4">
        <v>10</v>
      </c>
      <c r="AI28" s="162">
        <v>10</v>
      </c>
      <c r="AJ28" s="162">
        <v>115</v>
      </c>
      <c r="AK28" s="162">
        <v>10</v>
      </c>
      <c r="AL28" s="162">
        <v>115</v>
      </c>
    </row>
    <row r="29" spans="1:38" ht="19.5" customHeight="1">
      <c r="A29" s="50" t="s">
        <v>334</v>
      </c>
      <c r="B29" s="50" t="s">
        <v>361</v>
      </c>
      <c r="C29" s="50" t="s">
        <v>383</v>
      </c>
      <c r="D29" s="50">
        <v>798</v>
      </c>
      <c r="E29" s="50">
        <v>62</v>
      </c>
      <c r="F29" s="50">
        <v>60</v>
      </c>
      <c r="G29" s="67" t="s">
        <v>360</v>
      </c>
      <c r="H29" s="68" t="s">
        <v>350</v>
      </c>
      <c r="I29" s="50">
        <v>26</v>
      </c>
      <c r="J29" s="50">
        <v>25</v>
      </c>
      <c r="K29" s="50">
        <v>29</v>
      </c>
      <c r="L29" s="50">
        <v>29</v>
      </c>
      <c r="M29" s="50">
        <v>28</v>
      </c>
      <c r="N29" s="50">
        <v>28</v>
      </c>
      <c r="O29" s="50">
        <v>2092</v>
      </c>
      <c r="P29" s="50">
        <v>2087</v>
      </c>
      <c r="Q29" s="50">
        <v>2092</v>
      </c>
      <c r="R29" s="50">
        <v>2087</v>
      </c>
      <c r="S29" s="50">
        <v>23</v>
      </c>
      <c r="T29" s="50">
        <v>29</v>
      </c>
      <c r="U29" s="50">
        <v>25</v>
      </c>
      <c r="V29" s="50">
        <v>30</v>
      </c>
      <c r="W29" s="50">
        <v>0</v>
      </c>
      <c r="X29" s="50">
        <v>0</v>
      </c>
      <c r="Y29" s="4">
        <v>20</v>
      </c>
      <c r="Z29" s="4">
        <v>10</v>
      </c>
      <c r="AA29" s="4">
        <v>10</v>
      </c>
      <c r="AI29" s="162">
        <v>12</v>
      </c>
      <c r="AJ29" s="162">
        <v>115</v>
      </c>
      <c r="AK29" s="162">
        <v>12</v>
      </c>
      <c r="AL29" s="162">
        <v>115</v>
      </c>
    </row>
    <row r="30" spans="1:38" ht="19.5" customHeight="1">
      <c r="A30" s="50" t="s">
        <v>334</v>
      </c>
      <c r="B30" s="50" t="s">
        <v>364</v>
      </c>
      <c r="C30" s="50" t="s">
        <v>384</v>
      </c>
      <c r="D30" s="50">
        <v>798</v>
      </c>
      <c r="E30" s="50">
        <v>62</v>
      </c>
      <c r="F30" s="50">
        <v>60</v>
      </c>
      <c r="G30" s="67" t="s">
        <v>350</v>
      </c>
      <c r="H30" s="68" t="s">
        <v>360</v>
      </c>
      <c r="I30" s="50">
        <v>25</v>
      </c>
      <c r="J30" s="50">
        <v>26</v>
      </c>
      <c r="K30" s="50">
        <v>28</v>
      </c>
      <c r="L30" s="50">
        <v>28</v>
      </c>
      <c r="M30" s="50">
        <v>29</v>
      </c>
      <c r="N30" s="50">
        <v>29</v>
      </c>
      <c r="O30" s="50">
        <v>2092</v>
      </c>
      <c r="P30" s="50">
        <v>2087</v>
      </c>
      <c r="Q30" s="50">
        <v>2092</v>
      </c>
      <c r="R30" s="50">
        <v>2087</v>
      </c>
      <c r="S30" s="50">
        <v>30</v>
      </c>
      <c r="T30" s="50">
        <v>27</v>
      </c>
      <c r="U30" s="50">
        <v>25</v>
      </c>
      <c r="V30" s="50">
        <v>30</v>
      </c>
      <c r="W30" s="50">
        <v>0</v>
      </c>
      <c r="X30" s="50">
        <v>0</v>
      </c>
      <c r="Y30" s="4">
        <v>20</v>
      </c>
      <c r="Z30" s="4">
        <v>10</v>
      </c>
      <c r="AA30" s="4">
        <v>10</v>
      </c>
      <c r="AI30" s="162">
        <v>13</v>
      </c>
      <c r="AJ30" s="162">
        <v>120</v>
      </c>
      <c r="AK30" s="162">
        <v>13</v>
      </c>
      <c r="AL30" s="162">
        <v>120</v>
      </c>
    </row>
    <row r="31" spans="1:38" ht="19.5" customHeight="1">
      <c r="A31" s="50" t="s">
        <v>334</v>
      </c>
      <c r="B31" s="50" t="s">
        <v>366</v>
      </c>
      <c r="C31" s="50" t="s">
        <v>385</v>
      </c>
      <c r="D31" s="50">
        <v>798</v>
      </c>
      <c r="E31" s="50">
        <v>62</v>
      </c>
      <c r="F31" s="50">
        <v>60</v>
      </c>
      <c r="G31" s="67" t="s">
        <v>347</v>
      </c>
      <c r="H31" s="68" t="s">
        <v>379</v>
      </c>
      <c r="I31" s="50">
        <v>26</v>
      </c>
      <c r="J31" s="50">
        <v>27</v>
      </c>
      <c r="K31" s="50">
        <v>29</v>
      </c>
      <c r="L31" s="50">
        <v>32</v>
      </c>
      <c r="M31" s="50">
        <v>30</v>
      </c>
      <c r="N31" s="50">
        <v>27</v>
      </c>
      <c r="O31" s="50">
        <v>2092</v>
      </c>
      <c r="P31" s="50">
        <v>2087</v>
      </c>
      <c r="Q31" s="50">
        <v>2092</v>
      </c>
      <c r="R31" s="50">
        <v>2087</v>
      </c>
      <c r="S31" s="50">
        <v>24</v>
      </c>
      <c r="T31" s="50">
        <v>27</v>
      </c>
      <c r="U31" s="50">
        <v>25</v>
      </c>
      <c r="V31" s="50">
        <v>30</v>
      </c>
      <c r="W31" s="50">
        <v>0</v>
      </c>
      <c r="X31" s="50">
        <v>0</v>
      </c>
      <c r="Y31" s="4">
        <v>20</v>
      </c>
      <c r="Z31" s="4">
        <v>10</v>
      </c>
      <c r="AA31" s="4">
        <v>10</v>
      </c>
      <c r="AI31" s="162">
        <v>13</v>
      </c>
      <c r="AJ31" s="162">
        <v>110</v>
      </c>
      <c r="AK31" s="162">
        <v>10</v>
      </c>
      <c r="AL31" s="162">
        <v>110</v>
      </c>
    </row>
    <row r="32" spans="1:38" ht="19.5" customHeight="1">
      <c r="A32" s="50" t="s">
        <v>334</v>
      </c>
      <c r="B32" s="50" t="s">
        <v>368</v>
      </c>
      <c r="C32" s="50" t="s">
        <v>386</v>
      </c>
      <c r="D32" s="50">
        <v>798</v>
      </c>
      <c r="E32" s="50">
        <v>62</v>
      </c>
      <c r="F32" s="50">
        <v>60</v>
      </c>
      <c r="G32" s="67" t="s">
        <v>347</v>
      </c>
      <c r="H32" s="68" t="s">
        <v>387</v>
      </c>
      <c r="I32" s="50">
        <v>26</v>
      </c>
      <c r="J32" s="50">
        <v>32</v>
      </c>
      <c r="K32" s="50">
        <v>29</v>
      </c>
      <c r="L32" s="50">
        <v>32</v>
      </c>
      <c r="M32" s="50">
        <v>35</v>
      </c>
      <c r="N32" s="50">
        <v>32</v>
      </c>
      <c r="O32" s="50">
        <v>2092</v>
      </c>
      <c r="P32" s="50">
        <v>2087</v>
      </c>
      <c r="Q32" s="50">
        <v>2092</v>
      </c>
      <c r="R32" s="50">
        <v>2087</v>
      </c>
      <c r="S32" s="50">
        <v>26</v>
      </c>
      <c r="T32" s="50">
        <v>31</v>
      </c>
      <c r="U32" s="50">
        <v>25</v>
      </c>
      <c r="V32" s="50">
        <v>30</v>
      </c>
      <c r="W32" s="50">
        <v>0</v>
      </c>
      <c r="X32" s="50">
        <v>0</v>
      </c>
      <c r="Y32" s="4">
        <v>20</v>
      </c>
      <c r="Z32" s="4">
        <v>10</v>
      </c>
      <c r="AA32" s="4">
        <v>10</v>
      </c>
      <c r="AI32" s="162">
        <v>15</v>
      </c>
      <c r="AJ32" s="162">
        <v>110</v>
      </c>
      <c r="AK32" s="162">
        <v>15</v>
      </c>
      <c r="AL32" s="162">
        <v>115</v>
      </c>
    </row>
    <row r="33" spans="1:38" ht="19.5" customHeight="1">
      <c r="A33" s="50" t="s">
        <v>334</v>
      </c>
      <c r="B33" s="50" t="s">
        <v>370</v>
      </c>
      <c r="C33" s="50" t="s">
        <v>388</v>
      </c>
      <c r="D33" s="50">
        <v>798</v>
      </c>
      <c r="E33" s="50">
        <v>62</v>
      </c>
      <c r="F33" s="50">
        <v>60</v>
      </c>
      <c r="G33" s="67" t="s">
        <v>340</v>
      </c>
      <c r="H33" s="68" t="s">
        <v>360</v>
      </c>
      <c r="I33" s="50">
        <v>24</v>
      </c>
      <c r="J33" s="50">
        <v>26</v>
      </c>
      <c r="K33" s="50">
        <v>27</v>
      </c>
      <c r="L33" s="50">
        <v>27</v>
      </c>
      <c r="M33" s="50">
        <v>29</v>
      </c>
      <c r="N33" s="50">
        <v>24</v>
      </c>
      <c r="O33" s="50">
        <v>2092</v>
      </c>
      <c r="P33" s="50">
        <v>2087</v>
      </c>
      <c r="Q33" s="50">
        <v>2092</v>
      </c>
      <c r="R33" s="50">
        <v>2087</v>
      </c>
      <c r="S33" s="50">
        <v>30</v>
      </c>
      <c r="T33" s="50">
        <v>30</v>
      </c>
      <c r="U33" s="50">
        <v>25</v>
      </c>
      <c r="V33" s="50">
        <v>30</v>
      </c>
      <c r="W33" s="50">
        <v>0</v>
      </c>
      <c r="X33" s="50">
        <v>0</v>
      </c>
      <c r="Y33" s="4">
        <v>20</v>
      </c>
      <c r="Z33" s="4">
        <v>10</v>
      </c>
      <c r="AA33" s="4">
        <v>10</v>
      </c>
      <c r="AI33" s="162">
        <v>13</v>
      </c>
      <c r="AJ33" s="162">
        <v>105</v>
      </c>
      <c r="AK33" s="162">
        <v>12</v>
      </c>
      <c r="AL33" s="162">
        <v>110</v>
      </c>
    </row>
    <row r="34" spans="1:38" ht="19.5" customHeight="1">
      <c r="A34" s="50" t="s">
        <v>334</v>
      </c>
      <c r="B34" s="50" t="s">
        <v>373</v>
      </c>
      <c r="C34" s="50" t="s">
        <v>375</v>
      </c>
      <c r="D34" s="50">
        <v>798</v>
      </c>
      <c r="E34" s="50">
        <v>62</v>
      </c>
      <c r="F34" s="50">
        <v>60</v>
      </c>
      <c r="G34" s="67" t="s">
        <v>340</v>
      </c>
      <c r="H34" s="68" t="s">
        <v>340</v>
      </c>
      <c r="I34" s="50">
        <v>24</v>
      </c>
      <c r="J34" s="50">
        <v>24</v>
      </c>
      <c r="K34" s="50">
        <v>27</v>
      </c>
      <c r="L34" s="50">
        <v>27</v>
      </c>
      <c r="M34" s="50">
        <v>27</v>
      </c>
      <c r="N34" s="50">
        <v>27</v>
      </c>
      <c r="O34" s="50">
        <v>2092</v>
      </c>
      <c r="P34" s="50">
        <v>2087</v>
      </c>
      <c r="Q34" s="50">
        <v>2092</v>
      </c>
      <c r="R34" s="50">
        <v>2087</v>
      </c>
      <c r="S34" s="50">
        <v>26</v>
      </c>
      <c r="T34" s="50">
        <v>26</v>
      </c>
      <c r="U34" s="50">
        <v>25</v>
      </c>
      <c r="V34" s="50">
        <v>30</v>
      </c>
      <c r="W34" s="50">
        <v>0</v>
      </c>
      <c r="X34" s="50">
        <v>0</v>
      </c>
      <c r="Y34" s="4">
        <v>20</v>
      </c>
      <c r="Z34" s="4">
        <v>10</v>
      </c>
      <c r="AA34" s="4">
        <v>10</v>
      </c>
      <c r="AI34" s="162">
        <v>13</v>
      </c>
      <c r="AJ34" s="162">
        <v>120</v>
      </c>
      <c r="AK34" s="162">
        <v>13</v>
      </c>
      <c r="AL34" s="162">
        <v>120</v>
      </c>
    </row>
    <row r="35" spans="1:38" ht="19.5" customHeight="1">
      <c r="A35" s="50" t="s">
        <v>335</v>
      </c>
      <c r="B35" s="50" t="s">
        <v>338</v>
      </c>
      <c r="C35" s="50" t="s">
        <v>389</v>
      </c>
      <c r="D35" s="50">
        <v>798</v>
      </c>
      <c r="E35" s="50">
        <v>62</v>
      </c>
      <c r="F35" s="50">
        <v>60</v>
      </c>
      <c r="G35" s="67" t="s">
        <v>365</v>
      </c>
      <c r="H35" s="68" t="s">
        <v>365</v>
      </c>
      <c r="I35" s="50">
        <v>20</v>
      </c>
      <c r="J35" s="50">
        <v>20</v>
      </c>
      <c r="K35" s="50">
        <v>23</v>
      </c>
      <c r="L35" s="50">
        <v>23</v>
      </c>
      <c r="M35" s="50">
        <v>23</v>
      </c>
      <c r="N35" s="50">
        <v>23</v>
      </c>
      <c r="O35" s="50">
        <v>2092</v>
      </c>
      <c r="P35" s="50">
        <v>2087</v>
      </c>
      <c r="Q35" s="50">
        <v>2092</v>
      </c>
      <c r="R35" s="50">
        <v>2087</v>
      </c>
      <c r="S35" s="50">
        <v>18</v>
      </c>
      <c r="T35" s="50">
        <v>22</v>
      </c>
      <c r="U35" s="50">
        <v>25</v>
      </c>
      <c r="V35" s="50">
        <v>30</v>
      </c>
      <c r="W35" s="50">
        <v>0</v>
      </c>
      <c r="X35" s="50">
        <v>0</v>
      </c>
      <c r="Y35" s="4">
        <v>20</v>
      </c>
      <c r="Z35" s="4">
        <v>10</v>
      </c>
      <c r="AA35" s="4">
        <v>10</v>
      </c>
      <c r="AI35" s="162"/>
      <c r="AJ35" s="162"/>
      <c r="AK35" s="162"/>
      <c r="AL35" s="162"/>
    </row>
    <row r="36" spans="1:38" ht="19.5" customHeight="1">
      <c r="A36" s="50" t="s">
        <v>335</v>
      </c>
      <c r="B36" s="50" t="s">
        <v>342</v>
      </c>
      <c r="C36" s="50" t="s">
        <v>339</v>
      </c>
      <c r="D36" s="50">
        <v>798</v>
      </c>
      <c r="E36" s="50">
        <v>62</v>
      </c>
      <c r="F36" s="50">
        <v>60</v>
      </c>
      <c r="G36" s="67" t="s">
        <v>363</v>
      </c>
      <c r="H36" s="68" t="s">
        <v>344</v>
      </c>
      <c r="I36" s="50">
        <v>21</v>
      </c>
      <c r="J36" s="50">
        <v>22</v>
      </c>
      <c r="K36" s="50">
        <v>24</v>
      </c>
      <c r="L36" s="50">
        <v>24</v>
      </c>
      <c r="M36" s="50">
        <v>25</v>
      </c>
      <c r="N36" s="50">
        <v>25</v>
      </c>
      <c r="O36" s="50">
        <v>2092</v>
      </c>
      <c r="P36" s="50">
        <v>2087</v>
      </c>
      <c r="Q36" s="50">
        <v>2092</v>
      </c>
      <c r="R36" s="50">
        <v>2087</v>
      </c>
      <c r="S36" s="50">
        <v>16</v>
      </c>
      <c r="T36" s="50">
        <v>22</v>
      </c>
      <c r="U36" s="50">
        <v>25</v>
      </c>
      <c r="V36" s="50">
        <v>30</v>
      </c>
      <c r="W36" s="50">
        <v>0</v>
      </c>
      <c r="X36" s="50">
        <v>0</v>
      </c>
      <c r="Y36" s="4">
        <v>20</v>
      </c>
      <c r="Z36" s="4">
        <v>10</v>
      </c>
      <c r="AA36" s="4">
        <v>10</v>
      </c>
      <c r="AI36" s="162"/>
      <c r="AJ36" s="162"/>
      <c r="AK36" s="162"/>
      <c r="AL36" s="162"/>
    </row>
    <row r="37" spans="1:38" ht="19.5" customHeight="1">
      <c r="A37" s="50" t="s">
        <v>335</v>
      </c>
      <c r="B37" s="50" t="s">
        <v>345</v>
      </c>
      <c r="C37" s="50" t="s">
        <v>390</v>
      </c>
      <c r="D37" s="50">
        <v>798</v>
      </c>
      <c r="E37" s="50">
        <v>62</v>
      </c>
      <c r="F37" s="50">
        <v>60</v>
      </c>
      <c r="G37" s="67" t="s">
        <v>363</v>
      </c>
      <c r="H37" s="68" t="s">
        <v>363</v>
      </c>
      <c r="I37" s="50">
        <v>21</v>
      </c>
      <c r="J37" s="50">
        <v>21</v>
      </c>
      <c r="K37" s="50">
        <v>24</v>
      </c>
      <c r="L37" s="50">
        <v>24</v>
      </c>
      <c r="M37" s="50">
        <v>24</v>
      </c>
      <c r="N37" s="50">
        <v>24</v>
      </c>
      <c r="O37" s="50">
        <v>2092</v>
      </c>
      <c r="P37" s="50">
        <v>2087</v>
      </c>
      <c r="Q37" s="50">
        <v>2092</v>
      </c>
      <c r="R37" s="50">
        <v>2087</v>
      </c>
      <c r="S37" s="50">
        <v>21</v>
      </c>
      <c r="T37" s="50">
        <v>18</v>
      </c>
      <c r="U37" s="50">
        <v>25</v>
      </c>
      <c r="V37" s="50">
        <v>30</v>
      </c>
      <c r="W37" s="50">
        <v>0</v>
      </c>
      <c r="X37" s="50">
        <v>0</v>
      </c>
      <c r="Y37" s="4">
        <v>20</v>
      </c>
      <c r="Z37" s="4">
        <v>10</v>
      </c>
      <c r="AA37" s="4">
        <v>10</v>
      </c>
      <c r="AI37" s="162"/>
      <c r="AJ37" s="162"/>
      <c r="AK37" s="162"/>
      <c r="AL37" s="162"/>
    </row>
    <row r="38" spans="1:38" ht="19.5" customHeight="1">
      <c r="A38" s="50" t="s">
        <v>335</v>
      </c>
      <c r="B38" s="50" t="s">
        <v>348</v>
      </c>
      <c r="C38" s="50" t="s">
        <v>391</v>
      </c>
      <c r="D38" s="50">
        <v>798</v>
      </c>
      <c r="E38" s="50">
        <v>62</v>
      </c>
      <c r="F38" s="50">
        <v>60</v>
      </c>
      <c r="G38" s="67" t="s">
        <v>379</v>
      </c>
      <c r="H38" s="68" t="s">
        <v>372</v>
      </c>
      <c r="I38" s="50">
        <v>27</v>
      </c>
      <c r="J38" s="50">
        <v>23</v>
      </c>
      <c r="K38" s="50">
        <v>30</v>
      </c>
      <c r="L38" s="50">
        <v>23</v>
      </c>
      <c r="M38" s="50">
        <v>26</v>
      </c>
      <c r="N38" s="50">
        <v>26</v>
      </c>
      <c r="O38" s="50">
        <v>2092</v>
      </c>
      <c r="P38" s="50">
        <v>2087</v>
      </c>
      <c r="Q38" s="50">
        <v>2092</v>
      </c>
      <c r="R38" s="50">
        <v>2087</v>
      </c>
      <c r="S38" s="50">
        <v>21</v>
      </c>
      <c r="T38" s="50">
        <v>25</v>
      </c>
      <c r="U38" s="50">
        <v>25</v>
      </c>
      <c r="V38" s="50">
        <v>30</v>
      </c>
      <c r="W38" s="50">
        <v>0</v>
      </c>
      <c r="X38" s="50">
        <v>0</v>
      </c>
      <c r="Y38" s="4">
        <v>20</v>
      </c>
      <c r="Z38" s="4">
        <v>10</v>
      </c>
      <c r="AA38" s="4">
        <v>10</v>
      </c>
      <c r="AI38" s="162"/>
      <c r="AJ38" s="162"/>
      <c r="AK38" s="162"/>
      <c r="AL38" s="162"/>
    </row>
    <row r="39" spans="1:38" ht="19.5" customHeight="1">
      <c r="A39" s="50" t="s">
        <v>335</v>
      </c>
      <c r="B39" s="50" t="s">
        <v>351</v>
      </c>
      <c r="C39" s="50" t="s">
        <v>392</v>
      </c>
      <c r="D39" s="50">
        <v>798</v>
      </c>
      <c r="E39" s="50">
        <v>62</v>
      </c>
      <c r="F39" s="50">
        <v>60</v>
      </c>
      <c r="G39" s="67" t="s">
        <v>363</v>
      </c>
      <c r="H39" s="68" t="s">
        <v>372</v>
      </c>
      <c r="I39" s="50">
        <v>21</v>
      </c>
      <c r="J39" s="50">
        <v>23</v>
      </c>
      <c r="K39" s="50">
        <v>24</v>
      </c>
      <c r="L39" s="50">
        <v>24</v>
      </c>
      <c r="M39" s="50">
        <v>26</v>
      </c>
      <c r="N39" s="50">
        <v>26</v>
      </c>
      <c r="O39" s="50">
        <v>2092</v>
      </c>
      <c r="P39" s="50">
        <v>2087</v>
      </c>
      <c r="Q39" s="50">
        <v>2092</v>
      </c>
      <c r="R39" s="50">
        <v>2087</v>
      </c>
      <c r="S39" s="50">
        <v>24</v>
      </c>
      <c r="T39" s="50">
        <v>20</v>
      </c>
      <c r="U39" s="50">
        <v>25</v>
      </c>
      <c r="V39" s="50">
        <v>30</v>
      </c>
      <c r="W39" s="50">
        <v>0</v>
      </c>
      <c r="X39" s="50">
        <v>0</v>
      </c>
      <c r="Y39" s="4">
        <v>20</v>
      </c>
      <c r="Z39" s="4">
        <v>10</v>
      </c>
      <c r="AA39" s="4">
        <v>10</v>
      </c>
      <c r="AI39" s="162"/>
      <c r="AJ39" s="162"/>
      <c r="AK39" s="162"/>
      <c r="AL39" s="162"/>
    </row>
    <row r="40" spans="1:38" ht="19.5" customHeight="1">
      <c r="A40" s="50" t="s">
        <v>335</v>
      </c>
      <c r="B40" s="50" t="s">
        <v>353</v>
      </c>
      <c r="C40" s="50" t="s">
        <v>393</v>
      </c>
      <c r="D40" s="50">
        <v>798</v>
      </c>
      <c r="E40" s="50">
        <v>62</v>
      </c>
      <c r="F40" s="50">
        <v>60</v>
      </c>
      <c r="G40" s="67" t="s">
        <v>350</v>
      </c>
      <c r="H40" s="68" t="s">
        <v>350</v>
      </c>
      <c r="I40" s="50">
        <v>21</v>
      </c>
      <c r="J40" s="50">
        <v>25</v>
      </c>
      <c r="K40" s="50">
        <v>24</v>
      </c>
      <c r="L40" s="50">
        <v>28</v>
      </c>
      <c r="M40" s="50">
        <v>28</v>
      </c>
      <c r="N40" s="50">
        <v>23</v>
      </c>
      <c r="O40" s="50">
        <v>2092</v>
      </c>
      <c r="P40" s="50">
        <v>2087</v>
      </c>
      <c r="Q40" s="50">
        <v>2092</v>
      </c>
      <c r="R40" s="50">
        <v>2087</v>
      </c>
      <c r="S40" s="50">
        <v>22</v>
      </c>
      <c r="T40" s="50">
        <v>22</v>
      </c>
      <c r="U40" s="50">
        <v>25</v>
      </c>
      <c r="V40" s="50">
        <v>30</v>
      </c>
      <c r="W40" s="50">
        <v>0</v>
      </c>
      <c r="X40" s="50">
        <v>0</v>
      </c>
      <c r="Y40" s="4">
        <v>20</v>
      </c>
      <c r="Z40" s="4">
        <v>10</v>
      </c>
      <c r="AA40" s="4">
        <v>10</v>
      </c>
      <c r="AI40" s="162"/>
      <c r="AJ40" s="162"/>
      <c r="AK40" s="162"/>
      <c r="AL40" s="162"/>
    </row>
    <row r="41" spans="1:38" ht="19.5" customHeight="1">
      <c r="A41" s="50" t="s">
        <v>335</v>
      </c>
      <c r="B41" s="50" t="s">
        <v>356</v>
      </c>
      <c r="C41" s="50" t="s">
        <v>394</v>
      </c>
      <c r="D41" s="50">
        <v>798</v>
      </c>
      <c r="E41" s="50">
        <v>62</v>
      </c>
      <c r="F41" s="50">
        <v>60</v>
      </c>
      <c r="G41" s="67" t="s">
        <v>365</v>
      </c>
      <c r="H41" s="68" t="s">
        <v>341</v>
      </c>
      <c r="I41" s="50">
        <v>20</v>
      </c>
      <c r="J41" s="50">
        <v>19</v>
      </c>
      <c r="K41" s="50">
        <v>23</v>
      </c>
      <c r="L41" s="50">
        <v>23</v>
      </c>
      <c r="M41" s="50">
        <v>22</v>
      </c>
      <c r="N41" s="50">
        <v>22</v>
      </c>
      <c r="O41" s="50">
        <v>2092</v>
      </c>
      <c r="P41" s="50">
        <v>2087</v>
      </c>
      <c r="Q41" s="50">
        <v>2092</v>
      </c>
      <c r="R41" s="50">
        <v>2087</v>
      </c>
      <c r="S41" s="50">
        <v>25</v>
      </c>
      <c r="T41" s="50">
        <v>25</v>
      </c>
      <c r="U41" s="50">
        <v>25</v>
      </c>
      <c r="V41" s="50">
        <v>30</v>
      </c>
      <c r="W41" s="50">
        <v>0</v>
      </c>
      <c r="X41" s="50">
        <v>0</v>
      </c>
      <c r="Y41" s="4">
        <v>20</v>
      </c>
      <c r="Z41" s="4">
        <v>10</v>
      </c>
      <c r="AA41" s="4">
        <v>10</v>
      </c>
      <c r="AI41" s="162"/>
      <c r="AJ41" s="162"/>
      <c r="AK41" s="162"/>
      <c r="AL41" s="162"/>
    </row>
    <row r="42" spans="1:38" ht="19.5" customHeight="1">
      <c r="A42" s="50" t="s">
        <v>335</v>
      </c>
      <c r="B42" s="50" t="s">
        <v>358</v>
      </c>
      <c r="C42" s="50" t="s">
        <v>395</v>
      </c>
      <c r="D42" s="50">
        <v>798</v>
      </c>
      <c r="E42" s="50">
        <v>62</v>
      </c>
      <c r="F42" s="50">
        <v>60</v>
      </c>
      <c r="G42" s="67" t="s">
        <v>340</v>
      </c>
      <c r="H42" s="68" t="s">
        <v>372</v>
      </c>
      <c r="I42" s="50">
        <v>24</v>
      </c>
      <c r="J42" s="50">
        <v>23</v>
      </c>
      <c r="K42" s="50">
        <v>27</v>
      </c>
      <c r="L42" s="50">
        <v>24</v>
      </c>
      <c r="M42" s="50">
        <v>26</v>
      </c>
      <c r="N42" s="50">
        <v>26</v>
      </c>
      <c r="O42" s="50">
        <v>2092</v>
      </c>
      <c r="P42" s="50">
        <v>2087</v>
      </c>
      <c r="Q42" s="50">
        <v>2092</v>
      </c>
      <c r="R42" s="50">
        <v>2087</v>
      </c>
      <c r="S42" s="50">
        <v>24</v>
      </c>
      <c r="T42" s="50">
        <v>24</v>
      </c>
      <c r="U42" s="50">
        <v>25</v>
      </c>
      <c r="V42" s="50">
        <v>30</v>
      </c>
      <c r="W42" s="50">
        <v>0</v>
      </c>
      <c r="X42" s="50">
        <v>0</v>
      </c>
      <c r="Y42" s="4">
        <v>20</v>
      </c>
      <c r="Z42" s="4">
        <v>10</v>
      </c>
      <c r="AA42" s="4">
        <v>10</v>
      </c>
      <c r="AI42" s="162"/>
      <c r="AJ42" s="162"/>
      <c r="AK42" s="162"/>
      <c r="AL42" s="162"/>
    </row>
    <row r="43" spans="1:38" ht="19.5" customHeight="1">
      <c r="A43" s="50" t="s">
        <v>335</v>
      </c>
      <c r="B43" s="50" t="s">
        <v>361</v>
      </c>
      <c r="C43" s="50" t="s">
        <v>396</v>
      </c>
      <c r="D43" s="50">
        <v>798</v>
      </c>
      <c r="E43" s="50">
        <v>62</v>
      </c>
      <c r="F43" s="50">
        <v>60</v>
      </c>
      <c r="G43" s="67" t="s">
        <v>344</v>
      </c>
      <c r="H43" s="68" t="s">
        <v>365</v>
      </c>
      <c r="I43" s="50">
        <v>22</v>
      </c>
      <c r="J43" s="50">
        <v>20</v>
      </c>
      <c r="K43" s="50">
        <v>25</v>
      </c>
      <c r="L43" s="50">
        <v>25</v>
      </c>
      <c r="M43" s="50">
        <v>23</v>
      </c>
      <c r="N43" s="50">
        <v>23</v>
      </c>
      <c r="O43" s="50">
        <v>2092</v>
      </c>
      <c r="P43" s="50">
        <v>2087</v>
      </c>
      <c r="Q43" s="50">
        <v>2092</v>
      </c>
      <c r="R43" s="50">
        <v>2087</v>
      </c>
      <c r="S43" s="50">
        <v>23</v>
      </c>
      <c r="T43" s="50">
        <v>23</v>
      </c>
      <c r="U43" s="50">
        <v>25</v>
      </c>
      <c r="V43" s="50">
        <v>30</v>
      </c>
      <c r="W43" s="50">
        <v>0</v>
      </c>
      <c r="X43" s="50">
        <v>0</v>
      </c>
      <c r="Y43" s="4">
        <v>20</v>
      </c>
      <c r="Z43" s="4">
        <v>10</v>
      </c>
      <c r="AA43" s="4">
        <v>10</v>
      </c>
      <c r="AI43" s="162"/>
      <c r="AJ43" s="162"/>
      <c r="AK43" s="162"/>
      <c r="AL43" s="162"/>
    </row>
    <row r="44" spans="1:38" ht="19.5" customHeight="1">
      <c r="A44" s="50" t="s">
        <v>335</v>
      </c>
      <c r="B44" s="50" t="s">
        <v>364</v>
      </c>
      <c r="C44" s="50" t="s">
        <v>397</v>
      </c>
      <c r="D44" s="50">
        <v>798</v>
      </c>
      <c r="E44" s="50">
        <v>62</v>
      </c>
      <c r="F44" s="50">
        <v>60</v>
      </c>
      <c r="G44" s="67" t="s">
        <v>365</v>
      </c>
      <c r="H44" s="68" t="s">
        <v>365</v>
      </c>
      <c r="I44" s="50">
        <v>20</v>
      </c>
      <c r="J44" s="50">
        <v>20</v>
      </c>
      <c r="K44" s="50">
        <v>23</v>
      </c>
      <c r="L44" s="50">
        <v>23</v>
      </c>
      <c r="M44" s="50">
        <v>23</v>
      </c>
      <c r="N44" s="50">
        <v>23</v>
      </c>
      <c r="O44" s="50">
        <v>2092</v>
      </c>
      <c r="P44" s="50">
        <v>2087</v>
      </c>
      <c r="Q44" s="50">
        <v>2092</v>
      </c>
      <c r="R44" s="50">
        <v>2087</v>
      </c>
      <c r="S44" s="50">
        <v>21</v>
      </c>
      <c r="T44" s="50">
        <v>21</v>
      </c>
      <c r="U44" s="50">
        <v>25</v>
      </c>
      <c r="V44" s="50">
        <v>30</v>
      </c>
      <c r="W44" s="50">
        <v>0</v>
      </c>
      <c r="X44" s="50">
        <v>0</v>
      </c>
      <c r="Y44" s="4">
        <v>20</v>
      </c>
      <c r="Z44" s="4">
        <v>10</v>
      </c>
      <c r="AA44" s="4">
        <v>10</v>
      </c>
      <c r="AI44" s="162"/>
      <c r="AJ44" s="162"/>
      <c r="AK44" s="162"/>
      <c r="AL44" s="162"/>
    </row>
    <row r="45" spans="1:38" ht="19.5" customHeight="1">
      <c r="A45" s="50" t="s">
        <v>335</v>
      </c>
      <c r="B45" s="50" t="s">
        <v>366</v>
      </c>
      <c r="C45" s="50" t="s">
        <v>398</v>
      </c>
      <c r="D45" s="50">
        <v>798</v>
      </c>
      <c r="E45" s="50">
        <v>62</v>
      </c>
      <c r="F45" s="50">
        <v>60</v>
      </c>
      <c r="G45" s="67" t="s">
        <v>341</v>
      </c>
      <c r="H45" s="68" t="s">
        <v>365</v>
      </c>
      <c r="I45" s="50">
        <v>19</v>
      </c>
      <c r="J45" s="50">
        <v>20</v>
      </c>
      <c r="K45" s="50">
        <v>22</v>
      </c>
      <c r="L45" s="50">
        <v>22</v>
      </c>
      <c r="M45" s="50">
        <v>23</v>
      </c>
      <c r="N45" s="50">
        <v>23</v>
      </c>
      <c r="O45" s="50">
        <v>2092</v>
      </c>
      <c r="P45" s="50">
        <v>2087</v>
      </c>
      <c r="Q45" s="50">
        <v>2092</v>
      </c>
      <c r="R45" s="50">
        <v>2087</v>
      </c>
      <c r="S45" s="50">
        <v>21</v>
      </c>
      <c r="T45" s="50">
        <v>21</v>
      </c>
      <c r="U45" s="50">
        <v>25</v>
      </c>
      <c r="V45" s="50">
        <v>30</v>
      </c>
      <c r="W45" s="50">
        <v>0</v>
      </c>
      <c r="X45" s="50">
        <v>0</v>
      </c>
      <c r="Y45" s="4">
        <v>20</v>
      </c>
      <c r="Z45" s="4">
        <v>10</v>
      </c>
      <c r="AA45" s="4">
        <v>10</v>
      </c>
      <c r="AI45" s="162"/>
      <c r="AJ45" s="162"/>
      <c r="AK45" s="162"/>
      <c r="AL45" s="162"/>
    </row>
    <row r="46" spans="1:38" ht="19.5" customHeight="1">
      <c r="A46" s="50" t="s">
        <v>335</v>
      </c>
      <c r="B46" s="50" t="s">
        <v>368</v>
      </c>
      <c r="C46" s="50" t="s">
        <v>369</v>
      </c>
      <c r="D46" s="50">
        <v>798</v>
      </c>
      <c r="E46" s="50">
        <v>62</v>
      </c>
      <c r="F46" s="50">
        <v>60</v>
      </c>
      <c r="G46" s="67" t="s">
        <v>350</v>
      </c>
      <c r="H46" s="68" t="s">
        <v>340</v>
      </c>
      <c r="I46" s="50">
        <v>21</v>
      </c>
      <c r="J46" s="50">
        <v>24</v>
      </c>
      <c r="K46" s="50">
        <v>24</v>
      </c>
      <c r="L46" s="50">
        <v>28</v>
      </c>
      <c r="M46" s="50">
        <v>27</v>
      </c>
      <c r="N46" s="50">
        <v>27</v>
      </c>
      <c r="O46" s="50">
        <v>2092</v>
      </c>
      <c r="P46" s="50">
        <v>2087</v>
      </c>
      <c r="Q46" s="50">
        <v>2092</v>
      </c>
      <c r="R46" s="50">
        <v>2087</v>
      </c>
      <c r="S46" s="50">
        <v>26</v>
      </c>
      <c r="T46" s="50">
        <v>26</v>
      </c>
      <c r="U46" s="50">
        <v>25</v>
      </c>
      <c r="V46" s="50">
        <v>30</v>
      </c>
      <c r="W46" s="50">
        <v>0</v>
      </c>
      <c r="X46" s="50">
        <v>0</v>
      </c>
      <c r="Y46" s="4">
        <v>20</v>
      </c>
      <c r="Z46" s="4">
        <v>10</v>
      </c>
      <c r="AA46" s="4">
        <v>10</v>
      </c>
      <c r="AI46" s="162"/>
      <c r="AJ46" s="162"/>
      <c r="AK46" s="162"/>
      <c r="AL46" s="162"/>
    </row>
    <row r="47" spans="1:38" ht="19.5" customHeight="1">
      <c r="A47" s="50" t="s">
        <v>335</v>
      </c>
      <c r="B47" s="50" t="s">
        <v>370</v>
      </c>
      <c r="C47" s="50" t="s">
        <v>399</v>
      </c>
      <c r="D47" s="50">
        <v>798</v>
      </c>
      <c r="E47" s="50">
        <v>62</v>
      </c>
      <c r="F47" s="50">
        <v>60</v>
      </c>
      <c r="G47" s="67" t="s">
        <v>340</v>
      </c>
      <c r="H47" s="68" t="s">
        <v>340</v>
      </c>
      <c r="I47" s="50">
        <v>24</v>
      </c>
      <c r="J47" s="50">
        <v>24</v>
      </c>
      <c r="K47" s="50">
        <v>27</v>
      </c>
      <c r="L47" s="50">
        <v>27</v>
      </c>
      <c r="M47" s="50">
        <v>27</v>
      </c>
      <c r="N47" s="50">
        <v>23</v>
      </c>
      <c r="O47" s="50">
        <v>2092</v>
      </c>
      <c r="P47" s="50">
        <v>2087</v>
      </c>
      <c r="Q47" s="50">
        <v>2092</v>
      </c>
      <c r="R47" s="50">
        <v>2087</v>
      </c>
      <c r="S47" s="50">
        <v>22</v>
      </c>
      <c r="T47" s="50">
        <v>25</v>
      </c>
      <c r="U47" s="50">
        <v>25</v>
      </c>
      <c r="V47" s="50">
        <v>30</v>
      </c>
      <c r="W47" s="50">
        <v>0</v>
      </c>
      <c r="X47" s="50">
        <v>0</v>
      </c>
      <c r="Y47" s="4">
        <v>20</v>
      </c>
      <c r="Z47" s="4">
        <v>10</v>
      </c>
      <c r="AA47" s="4">
        <v>10</v>
      </c>
      <c r="AI47" s="162"/>
      <c r="AJ47" s="162"/>
      <c r="AK47" s="162"/>
      <c r="AL47" s="162"/>
    </row>
    <row r="48" spans="1:38" ht="19.5" customHeight="1">
      <c r="A48" s="50" t="s">
        <v>335</v>
      </c>
      <c r="B48" s="50" t="s">
        <v>373</v>
      </c>
      <c r="C48" s="50" t="s">
        <v>400</v>
      </c>
      <c r="D48" s="50">
        <v>798</v>
      </c>
      <c r="E48" s="50">
        <v>62</v>
      </c>
      <c r="F48" s="50">
        <v>60</v>
      </c>
      <c r="G48" s="67" t="s">
        <v>372</v>
      </c>
      <c r="H48" s="68" t="s">
        <v>372</v>
      </c>
      <c r="I48" s="50">
        <v>23</v>
      </c>
      <c r="J48" s="50">
        <v>23</v>
      </c>
      <c r="K48" s="50">
        <v>26</v>
      </c>
      <c r="L48" s="50">
        <v>26</v>
      </c>
      <c r="M48" s="50">
        <v>26</v>
      </c>
      <c r="N48" s="50">
        <v>26</v>
      </c>
      <c r="O48" s="50">
        <v>2092</v>
      </c>
      <c r="P48" s="50">
        <v>2087</v>
      </c>
      <c r="Q48" s="50">
        <v>2092</v>
      </c>
      <c r="R48" s="50">
        <v>2087</v>
      </c>
      <c r="S48" s="50">
        <v>21</v>
      </c>
      <c r="T48" s="50">
        <v>21</v>
      </c>
      <c r="U48" s="50">
        <v>25</v>
      </c>
      <c r="V48" s="50">
        <v>30</v>
      </c>
      <c r="W48" s="50">
        <v>0</v>
      </c>
      <c r="X48" s="50">
        <v>0</v>
      </c>
      <c r="Y48" s="4">
        <v>20</v>
      </c>
      <c r="Z48" s="4">
        <v>10</v>
      </c>
      <c r="AA48" s="4">
        <v>10</v>
      </c>
      <c r="AI48" s="162"/>
      <c r="AJ48" s="162"/>
      <c r="AK48" s="162"/>
      <c r="AL48" s="162"/>
    </row>
    <row r="49" spans="1:38" ht="19.5" customHeight="1">
      <c r="A49" s="50" t="s">
        <v>336</v>
      </c>
      <c r="B49" s="50" t="s">
        <v>338</v>
      </c>
      <c r="C49" s="50" t="s">
        <v>401</v>
      </c>
      <c r="D49" s="50">
        <v>798</v>
      </c>
      <c r="E49" s="50">
        <v>67</v>
      </c>
      <c r="F49" s="50">
        <v>65</v>
      </c>
      <c r="G49" s="67" t="s">
        <v>379</v>
      </c>
      <c r="H49" s="68" t="s">
        <v>340</v>
      </c>
      <c r="I49" s="50">
        <v>22</v>
      </c>
      <c r="J49" s="50">
        <v>19</v>
      </c>
      <c r="K49" s="50">
        <v>25</v>
      </c>
      <c r="L49" s="50">
        <v>22</v>
      </c>
      <c r="M49" s="50">
        <v>22</v>
      </c>
      <c r="N49" s="50">
        <v>22</v>
      </c>
      <c r="O49" s="50">
        <v>2092</v>
      </c>
      <c r="P49" s="50">
        <v>2087</v>
      </c>
      <c r="Q49" s="50">
        <v>2092</v>
      </c>
      <c r="R49" s="50">
        <v>2087</v>
      </c>
      <c r="S49" s="50">
        <v>23</v>
      </c>
      <c r="T49" s="50">
        <v>23</v>
      </c>
      <c r="U49" s="50">
        <v>25</v>
      </c>
      <c r="V49" s="50">
        <v>30</v>
      </c>
      <c r="W49" s="50">
        <v>0</v>
      </c>
      <c r="X49" s="50">
        <v>0</v>
      </c>
      <c r="Y49" s="4">
        <v>20</v>
      </c>
      <c r="Z49" s="4">
        <v>10</v>
      </c>
      <c r="AA49" s="4">
        <v>10</v>
      </c>
      <c r="AI49" s="162">
        <v>10</v>
      </c>
      <c r="AJ49" s="162">
        <v>105</v>
      </c>
      <c r="AK49" s="162">
        <v>10</v>
      </c>
      <c r="AL49" s="162">
        <v>115</v>
      </c>
    </row>
    <row r="50" spans="1:38" ht="19.5" customHeight="1">
      <c r="A50" s="50" t="s">
        <v>336</v>
      </c>
      <c r="B50" s="50" t="s">
        <v>342</v>
      </c>
      <c r="C50" s="50" t="s">
        <v>402</v>
      </c>
      <c r="D50" s="50">
        <v>798</v>
      </c>
      <c r="E50" s="50">
        <v>67</v>
      </c>
      <c r="F50" s="50">
        <v>65</v>
      </c>
      <c r="G50" s="67" t="s">
        <v>350</v>
      </c>
      <c r="H50" s="68" t="s">
        <v>340</v>
      </c>
      <c r="I50" s="50">
        <v>16</v>
      </c>
      <c r="J50" s="50">
        <v>19</v>
      </c>
      <c r="K50" s="50">
        <v>19</v>
      </c>
      <c r="L50" s="50">
        <v>23</v>
      </c>
      <c r="M50" s="50">
        <v>22</v>
      </c>
      <c r="N50" s="50">
        <v>22</v>
      </c>
      <c r="O50" s="50">
        <v>2092</v>
      </c>
      <c r="P50" s="50">
        <v>2087</v>
      </c>
      <c r="Q50" s="50">
        <v>2092</v>
      </c>
      <c r="R50" s="50">
        <v>2087</v>
      </c>
      <c r="S50" s="50">
        <v>20</v>
      </c>
      <c r="T50" s="50">
        <v>25</v>
      </c>
      <c r="U50" s="50">
        <v>25</v>
      </c>
      <c r="V50" s="50">
        <v>30</v>
      </c>
      <c r="W50" s="50">
        <v>0</v>
      </c>
      <c r="X50" s="50">
        <v>0</v>
      </c>
      <c r="Y50" s="4">
        <v>20</v>
      </c>
      <c r="Z50" s="4">
        <v>10</v>
      </c>
      <c r="AA50" s="4">
        <v>10</v>
      </c>
      <c r="AI50" s="162">
        <v>10</v>
      </c>
      <c r="AJ50" s="162">
        <v>125</v>
      </c>
      <c r="AK50" s="162">
        <v>10</v>
      </c>
      <c r="AL50" s="162">
        <v>125</v>
      </c>
    </row>
    <row r="51" spans="1:38" ht="19.5" customHeight="1">
      <c r="A51" s="50" t="s">
        <v>336</v>
      </c>
      <c r="B51" s="50" t="s">
        <v>345</v>
      </c>
      <c r="C51" s="50" t="s">
        <v>403</v>
      </c>
      <c r="D51" s="50">
        <v>798</v>
      </c>
      <c r="E51" s="50">
        <v>67</v>
      </c>
      <c r="F51" s="50">
        <v>65</v>
      </c>
      <c r="G51" s="67" t="s">
        <v>340</v>
      </c>
      <c r="H51" s="68" t="s">
        <v>340</v>
      </c>
      <c r="I51" s="50">
        <v>19</v>
      </c>
      <c r="J51" s="50">
        <v>19</v>
      </c>
      <c r="K51" s="50">
        <v>22</v>
      </c>
      <c r="L51" s="50">
        <v>22</v>
      </c>
      <c r="M51" s="50">
        <v>22</v>
      </c>
      <c r="N51" s="50">
        <v>22</v>
      </c>
      <c r="O51" s="50">
        <v>2092</v>
      </c>
      <c r="P51" s="50">
        <v>2087</v>
      </c>
      <c r="Q51" s="50">
        <v>2092</v>
      </c>
      <c r="R51" s="50">
        <v>2087</v>
      </c>
      <c r="S51" s="50">
        <v>22</v>
      </c>
      <c r="T51" s="50">
        <v>22</v>
      </c>
      <c r="U51" s="50">
        <v>25</v>
      </c>
      <c r="V51" s="50">
        <v>30</v>
      </c>
      <c r="W51" s="50">
        <v>0</v>
      </c>
      <c r="X51" s="50">
        <v>0</v>
      </c>
      <c r="Y51" s="4">
        <v>20</v>
      </c>
      <c r="Z51" s="4">
        <v>10</v>
      </c>
      <c r="AA51" s="4">
        <v>10</v>
      </c>
      <c r="AI51" s="162">
        <v>10</v>
      </c>
      <c r="AJ51" s="162">
        <v>120</v>
      </c>
      <c r="AK51" s="162">
        <v>10</v>
      </c>
      <c r="AL51" s="162">
        <v>115</v>
      </c>
    </row>
    <row r="52" spans="1:38" ht="19.5" customHeight="1">
      <c r="A52" s="50" t="s">
        <v>336</v>
      </c>
      <c r="B52" s="50" t="s">
        <v>348</v>
      </c>
      <c r="C52" s="50" t="s">
        <v>404</v>
      </c>
      <c r="D52" s="50">
        <v>798</v>
      </c>
      <c r="E52" s="50">
        <v>67</v>
      </c>
      <c r="F52" s="50">
        <v>65</v>
      </c>
      <c r="G52" s="67" t="s">
        <v>340</v>
      </c>
      <c r="H52" s="68" t="s">
        <v>340</v>
      </c>
      <c r="I52" s="50">
        <v>19</v>
      </c>
      <c r="J52" s="50">
        <v>19</v>
      </c>
      <c r="K52" s="50">
        <v>22</v>
      </c>
      <c r="L52" s="50">
        <v>22</v>
      </c>
      <c r="M52" s="50">
        <v>22</v>
      </c>
      <c r="N52" s="50">
        <v>22</v>
      </c>
      <c r="O52" s="50">
        <v>2092</v>
      </c>
      <c r="P52" s="50">
        <v>2087</v>
      </c>
      <c r="Q52" s="50">
        <v>2092</v>
      </c>
      <c r="R52" s="50">
        <v>2087</v>
      </c>
      <c r="S52" s="50">
        <v>21</v>
      </c>
      <c r="T52" s="50">
        <v>21</v>
      </c>
      <c r="U52" s="50">
        <v>25</v>
      </c>
      <c r="V52" s="50">
        <v>30</v>
      </c>
      <c r="W52" s="50">
        <v>0</v>
      </c>
      <c r="X52" s="50">
        <v>0</v>
      </c>
      <c r="Y52" s="4">
        <v>20</v>
      </c>
      <c r="Z52" s="4">
        <v>10</v>
      </c>
      <c r="AA52" s="4">
        <v>10</v>
      </c>
      <c r="AI52" s="162">
        <v>10</v>
      </c>
      <c r="AJ52" s="162">
        <v>120</v>
      </c>
      <c r="AK52" s="162">
        <v>10</v>
      </c>
      <c r="AL52" s="162">
        <v>125</v>
      </c>
    </row>
    <row r="53" spans="1:38" ht="19.5" customHeight="1">
      <c r="A53" s="50" t="s">
        <v>336</v>
      </c>
      <c r="B53" s="50" t="s">
        <v>351</v>
      </c>
      <c r="C53" s="50" t="s">
        <v>404</v>
      </c>
      <c r="D53" s="50">
        <v>798</v>
      </c>
      <c r="E53" s="50">
        <v>67</v>
      </c>
      <c r="F53" s="50">
        <v>65</v>
      </c>
      <c r="G53" s="67" t="s">
        <v>340</v>
      </c>
      <c r="H53" s="68" t="s">
        <v>340</v>
      </c>
      <c r="I53" s="50">
        <v>19</v>
      </c>
      <c r="J53" s="50">
        <v>19</v>
      </c>
      <c r="K53" s="50">
        <v>22</v>
      </c>
      <c r="L53" s="50">
        <v>22</v>
      </c>
      <c r="M53" s="50">
        <v>22</v>
      </c>
      <c r="N53" s="50">
        <v>22</v>
      </c>
      <c r="O53" s="50">
        <v>2092</v>
      </c>
      <c r="P53" s="50">
        <v>2087</v>
      </c>
      <c r="Q53" s="50">
        <v>2092</v>
      </c>
      <c r="R53" s="50">
        <v>2087</v>
      </c>
      <c r="S53" s="50">
        <v>21</v>
      </c>
      <c r="T53" s="50">
        <v>21</v>
      </c>
      <c r="U53" s="50">
        <v>25</v>
      </c>
      <c r="V53" s="50">
        <v>30</v>
      </c>
      <c r="W53" s="50">
        <v>0</v>
      </c>
      <c r="X53" s="50">
        <v>0</v>
      </c>
      <c r="Y53" s="4">
        <v>20</v>
      </c>
      <c r="Z53" s="4">
        <v>10</v>
      </c>
      <c r="AA53" s="4">
        <v>10</v>
      </c>
      <c r="AI53" s="162">
        <v>10</v>
      </c>
      <c r="AJ53" s="162">
        <v>105</v>
      </c>
      <c r="AK53" s="162">
        <v>10</v>
      </c>
      <c r="AL53" s="162">
        <v>105</v>
      </c>
    </row>
    <row r="54" spans="1:38" ht="19.5" customHeight="1">
      <c r="A54" s="50" t="s">
        <v>336</v>
      </c>
      <c r="B54" s="50" t="s">
        <v>353</v>
      </c>
      <c r="C54" s="50" t="s">
        <v>405</v>
      </c>
      <c r="D54" s="50">
        <v>798</v>
      </c>
      <c r="E54" s="50">
        <v>67</v>
      </c>
      <c r="F54" s="50">
        <v>65</v>
      </c>
      <c r="G54" s="67" t="s">
        <v>340</v>
      </c>
      <c r="H54" s="68" t="s">
        <v>340</v>
      </c>
      <c r="I54" s="50">
        <v>19</v>
      </c>
      <c r="J54" s="50">
        <v>19</v>
      </c>
      <c r="K54" s="50">
        <v>22</v>
      </c>
      <c r="L54" s="50">
        <v>22</v>
      </c>
      <c r="M54" s="50">
        <v>22</v>
      </c>
      <c r="N54" s="50">
        <v>22</v>
      </c>
      <c r="O54" s="50">
        <v>2092</v>
      </c>
      <c r="P54" s="50">
        <v>2087</v>
      </c>
      <c r="Q54" s="50">
        <v>2092</v>
      </c>
      <c r="R54" s="50">
        <v>2087</v>
      </c>
      <c r="S54" s="50">
        <v>19</v>
      </c>
      <c r="T54" s="50">
        <v>23</v>
      </c>
      <c r="U54" s="50">
        <v>25</v>
      </c>
      <c r="V54" s="50">
        <v>30</v>
      </c>
      <c r="W54" s="50">
        <v>0</v>
      </c>
      <c r="X54" s="50">
        <v>0</v>
      </c>
      <c r="Y54" s="4">
        <v>20</v>
      </c>
      <c r="Z54" s="4">
        <v>10</v>
      </c>
      <c r="AA54" s="4">
        <v>10</v>
      </c>
      <c r="AI54" s="162">
        <v>8</v>
      </c>
      <c r="AJ54" s="162">
        <v>125</v>
      </c>
      <c r="AK54" s="162">
        <v>8</v>
      </c>
      <c r="AL54" s="162">
        <v>110</v>
      </c>
    </row>
    <row r="55" spans="1:38" ht="19.5" customHeight="1">
      <c r="A55" s="50" t="s">
        <v>336</v>
      </c>
      <c r="B55" s="50" t="s">
        <v>356</v>
      </c>
      <c r="C55" s="50" t="s">
        <v>404</v>
      </c>
      <c r="D55" s="50">
        <v>798</v>
      </c>
      <c r="E55" s="50">
        <v>67</v>
      </c>
      <c r="F55" s="50">
        <v>65</v>
      </c>
      <c r="G55" s="67" t="s">
        <v>340</v>
      </c>
      <c r="H55" s="68" t="s">
        <v>340</v>
      </c>
      <c r="I55" s="50">
        <v>19</v>
      </c>
      <c r="J55" s="50">
        <v>19</v>
      </c>
      <c r="K55" s="50">
        <v>22</v>
      </c>
      <c r="L55" s="50">
        <v>22</v>
      </c>
      <c r="M55" s="50">
        <v>22</v>
      </c>
      <c r="N55" s="50">
        <v>22</v>
      </c>
      <c r="O55" s="50">
        <v>2092</v>
      </c>
      <c r="P55" s="50">
        <v>2087</v>
      </c>
      <c r="Q55" s="50">
        <v>2092</v>
      </c>
      <c r="R55" s="50">
        <v>2087</v>
      </c>
      <c r="S55" s="50">
        <v>21</v>
      </c>
      <c r="T55" s="50">
        <v>21</v>
      </c>
      <c r="U55" s="50">
        <v>25</v>
      </c>
      <c r="V55" s="50">
        <v>30</v>
      </c>
      <c r="W55" s="50">
        <v>0</v>
      </c>
      <c r="X55" s="50">
        <v>0</v>
      </c>
      <c r="Y55" s="4">
        <v>20</v>
      </c>
      <c r="Z55" s="4">
        <v>10</v>
      </c>
      <c r="AA55" s="4">
        <v>10</v>
      </c>
      <c r="AI55" s="162">
        <v>8</v>
      </c>
      <c r="AJ55" s="162">
        <v>122</v>
      </c>
      <c r="AK55" s="162">
        <v>8</v>
      </c>
      <c r="AL55" s="162">
        <v>110</v>
      </c>
    </row>
    <row r="56" spans="1:38" ht="19.5" customHeight="1">
      <c r="A56" s="50" t="s">
        <v>336</v>
      </c>
      <c r="B56" s="50" t="s">
        <v>358</v>
      </c>
      <c r="C56" s="50" t="s">
        <v>406</v>
      </c>
      <c r="D56" s="50">
        <v>798</v>
      </c>
      <c r="E56" s="50">
        <v>67</v>
      </c>
      <c r="F56" s="50">
        <v>65</v>
      </c>
      <c r="G56" s="67" t="s">
        <v>350</v>
      </c>
      <c r="H56" s="68" t="s">
        <v>340</v>
      </c>
      <c r="I56" s="50">
        <v>20</v>
      </c>
      <c r="J56" s="50">
        <v>19</v>
      </c>
      <c r="K56" s="50">
        <v>23</v>
      </c>
      <c r="L56" s="50">
        <v>23</v>
      </c>
      <c r="M56" s="50">
        <v>22</v>
      </c>
      <c r="N56" s="50">
        <v>22</v>
      </c>
      <c r="O56" s="50">
        <v>2092</v>
      </c>
      <c r="P56" s="50">
        <v>2087</v>
      </c>
      <c r="Q56" s="50">
        <v>2092</v>
      </c>
      <c r="R56" s="50">
        <v>2087</v>
      </c>
      <c r="S56" s="50">
        <v>20</v>
      </c>
      <c r="T56" s="50">
        <v>23</v>
      </c>
      <c r="U56" s="50">
        <v>25</v>
      </c>
      <c r="V56" s="50">
        <v>30</v>
      </c>
      <c r="W56" s="50">
        <v>0</v>
      </c>
      <c r="X56" s="50">
        <v>0</v>
      </c>
      <c r="Y56" s="4">
        <v>20</v>
      </c>
      <c r="Z56" s="4">
        <v>10</v>
      </c>
      <c r="AA56" s="4">
        <v>10</v>
      </c>
      <c r="AI56" s="162">
        <v>10</v>
      </c>
      <c r="AJ56" s="162">
        <v>125</v>
      </c>
      <c r="AK56" s="162">
        <v>10</v>
      </c>
      <c r="AL56" s="162">
        <v>120</v>
      </c>
    </row>
    <row r="57" spans="1:38" ht="19.5" customHeight="1">
      <c r="A57" s="50" t="s">
        <v>336</v>
      </c>
      <c r="B57" s="50" t="s">
        <v>361</v>
      </c>
      <c r="C57" s="50" t="s">
        <v>352</v>
      </c>
      <c r="D57" s="50">
        <v>798</v>
      </c>
      <c r="E57" s="50">
        <v>67</v>
      </c>
      <c r="F57" s="50">
        <v>65</v>
      </c>
      <c r="G57" s="67" t="s">
        <v>340</v>
      </c>
      <c r="H57" s="68" t="s">
        <v>347</v>
      </c>
      <c r="I57" s="50">
        <v>19</v>
      </c>
      <c r="J57" s="50">
        <v>24</v>
      </c>
      <c r="K57" s="50">
        <v>22</v>
      </c>
      <c r="L57" s="50">
        <v>22</v>
      </c>
      <c r="M57" s="50">
        <v>27</v>
      </c>
      <c r="N57" s="50">
        <v>23</v>
      </c>
      <c r="O57" s="50">
        <v>2092</v>
      </c>
      <c r="P57" s="50">
        <v>2087</v>
      </c>
      <c r="Q57" s="50">
        <v>2092</v>
      </c>
      <c r="R57" s="50">
        <v>2087</v>
      </c>
      <c r="S57" s="50">
        <v>21</v>
      </c>
      <c r="T57" s="50">
        <v>21</v>
      </c>
      <c r="U57" s="50">
        <v>25</v>
      </c>
      <c r="V57" s="50">
        <v>30</v>
      </c>
      <c r="W57" s="50">
        <v>0</v>
      </c>
      <c r="X57" s="50">
        <v>0</v>
      </c>
      <c r="Y57" s="4">
        <v>20</v>
      </c>
      <c r="Z57" s="4">
        <v>10</v>
      </c>
      <c r="AA57" s="4">
        <v>10</v>
      </c>
      <c r="AI57" s="162">
        <v>10</v>
      </c>
      <c r="AJ57" s="162">
        <v>125</v>
      </c>
      <c r="AK57" s="162">
        <v>10</v>
      </c>
      <c r="AL57" s="162">
        <v>120</v>
      </c>
    </row>
    <row r="58" spans="1:38" ht="19.5" customHeight="1">
      <c r="A58" s="50" t="s">
        <v>336</v>
      </c>
      <c r="B58" s="50" t="s">
        <v>364</v>
      </c>
      <c r="C58" s="50" t="s">
        <v>407</v>
      </c>
      <c r="D58" s="50">
        <v>798</v>
      </c>
      <c r="E58" s="50">
        <v>67</v>
      </c>
      <c r="F58" s="50">
        <v>65</v>
      </c>
      <c r="G58" s="67" t="s">
        <v>340</v>
      </c>
      <c r="H58" s="68" t="s">
        <v>379</v>
      </c>
      <c r="I58" s="50">
        <v>19</v>
      </c>
      <c r="J58" s="50">
        <v>22</v>
      </c>
      <c r="K58" s="50">
        <v>22</v>
      </c>
      <c r="L58" s="50">
        <v>22</v>
      </c>
      <c r="M58" s="50">
        <v>25</v>
      </c>
      <c r="N58" s="50">
        <v>25</v>
      </c>
      <c r="O58" s="50">
        <v>2092</v>
      </c>
      <c r="P58" s="50">
        <v>2087</v>
      </c>
      <c r="Q58" s="50">
        <v>2092</v>
      </c>
      <c r="R58" s="50">
        <v>2087</v>
      </c>
      <c r="S58" s="50">
        <v>21</v>
      </c>
      <c r="T58" s="50">
        <v>21</v>
      </c>
      <c r="U58" s="50">
        <v>25</v>
      </c>
      <c r="V58" s="50">
        <v>30</v>
      </c>
      <c r="W58" s="50">
        <v>0</v>
      </c>
      <c r="X58" s="50">
        <v>0</v>
      </c>
      <c r="Y58" s="4">
        <v>20</v>
      </c>
      <c r="Z58" s="4">
        <v>10</v>
      </c>
      <c r="AA58" s="4">
        <v>10</v>
      </c>
      <c r="AI58" s="162">
        <v>10</v>
      </c>
      <c r="AJ58" s="162">
        <v>125</v>
      </c>
      <c r="AK58" s="162">
        <v>10</v>
      </c>
      <c r="AL58" s="162">
        <v>120</v>
      </c>
    </row>
    <row r="59" spans="1:38" ht="19.5" customHeight="1">
      <c r="A59" s="50" t="s">
        <v>336</v>
      </c>
      <c r="B59" s="50" t="s">
        <v>366</v>
      </c>
      <c r="C59" s="50" t="s">
        <v>408</v>
      </c>
      <c r="D59" s="50">
        <v>798</v>
      </c>
      <c r="E59" s="50">
        <v>67</v>
      </c>
      <c r="F59" s="50">
        <v>65</v>
      </c>
      <c r="G59" s="67" t="s">
        <v>360</v>
      </c>
      <c r="H59" s="68" t="s">
        <v>360</v>
      </c>
      <c r="I59" s="50">
        <v>21</v>
      </c>
      <c r="J59" s="50">
        <v>21</v>
      </c>
      <c r="K59" s="50">
        <v>24</v>
      </c>
      <c r="L59" s="50">
        <v>24</v>
      </c>
      <c r="M59" s="50">
        <v>24</v>
      </c>
      <c r="N59" s="50">
        <v>24</v>
      </c>
      <c r="O59" s="50">
        <v>2092</v>
      </c>
      <c r="P59" s="50">
        <v>2087</v>
      </c>
      <c r="Q59" s="50">
        <v>2092</v>
      </c>
      <c r="R59" s="50">
        <v>2087</v>
      </c>
      <c r="S59" s="50">
        <v>22</v>
      </c>
      <c r="T59" s="50">
        <v>22</v>
      </c>
      <c r="U59" s="50">
        <v>25</v>
      </c>
      <c r="V59" s="50">
        <v>30</v>
      </c>
      <c r="W59" s="50">
        <v>0</v>
      </c>
      <c r="X59" s="50">
        <v>0</v>
      </c>
      <c r="Y59" s="4">
        <v>20</v>
      </c>
      <c r="Z59" s="4">
        <v>10</v>
      </c>
      <c r="AA59" s="4">
        <v>10</v>
      </c>
      <c r="AI59" s="162">
        <v>8</v>
      </c>
      <c r="AJ59" s="162">
        <v>122</v>
      </c>
      <c r="AK59" s="162">
        <v>8</v>
      </c>
      <c r="AL59" s="162">
        <v>110</v>
      </c>
    </row>
    <row r="60" spans="1:38" ht="19.5" customHeight="1">
      <c r="A60" s="50" t="s">
        <v>336</v>
      </c>
      <c r="B60" s="50" t="s">
        <v>368</v>
      </c>
      <c r="C60" s="50" t="s">
        <v>375</v>
      </c>
      <c r="D60" s="50">
        <v>798</v>
      </c>
      <c r="E60" s="50">
        <v>67</v>
      </c>
      <c r="F60" s="50">
        <v>65</v>
      </c>
      <c r="G60" s="67" t="s">
        <v>347</v>
      </c>
      <c r="H60" s="68" t="s">
        <v>347</v>
      </c>
      <c r="I60" s="50">
        <v>24</v>
      </c>
      <c r="J60" s="50">
        <v>24</v>
      </c>
      <c r="K60" s="50">
        <v>27</v>
      </c>
      <c r="L60" s="50">
        <v>27</v>
      </c>
      <c r="M60" s="50">
        <v>27</v>
      </c>
      <c r="N60" s="50">
        <v>23</v>
      </c>
      <c r="O60" s="50">
        <v>2092</v>
      </c>
      <c r="P60" s="50">
        <v>2087</v>
      </c>
      <c r="Q60" s="50">
        <v>2092</v>
      </c>
      <c r="R60" s="50">
        <v>2087</v>
      </c>
      <c r="S60" s="50">
        <v>21</v>
      </c>
      <c r="T60" s="50">
        <v>21</v>
      </c>
      <c r="U60" s="50">
        <v>25</v>
      </c>
      <c r="V60" s="50">
        <v>30</v>
      </c>
      <c r="W60" s="50">
        <v>0</v>
      </c>
      <c r="X60" s="50">
        <v>0</v>
      </c>
      <c r="Y60" s="4">
        <v>20</v>
      </c>
      <c r="Z60" s="4">
        <v>10</v>
      </c>
      <c r="AA60" s="4">
        <v>10</v>
      </c>
      <c r="AI60" s="162">
        <v>10</v>
      </c>
      <c r="AJ60" s="162">
        <v>120</v>
      </c>
      <c r="AK60" s="162">
        <v>10</v>
      </c>
      <c r="AL60" s="162">
        <v>110</v>
      </c>
    </row>
    <row r="61" spans="1:38" ht="19.5" customHeight="1">
      <c r="A61" s="50" t="s">
        <v>336</v>
      </c>
      <c r="B61" s="50" t="s">
        <v>370</v>
      </c>
      <c r="C61" s="50" t="s">
        <v>409</v>
      </c>
      <c r="D61" s="50">
        <v>798</v>
      </c>
      <c r="E61" s="50">
        <v>67</v>
      </c>
      <c r="F61" s="50">
        <v>65</v>
      </c>
      <c r="G61" s="67" t="s">
        <v>347</v>
      </c>
      <c r="H61" s="68" t="s">
        <v>347</v>
      </c>
      <c r="I61" s="50">
        <v>24</v>
      </c>
      <c r="J61" s="50">
        <v>24</v>
      </c>
      <c r="K61" s="50">
        <v>27</v>
      </c>
      <c r="L61" s="50">
        <v>27</v>
      </c>
      <c r="M61" s="50">
        <v>27</v>
      </c>
      <c r="N61" s="50">
        <v>27</v>
      </c>
      <c r="O61" s="50">
        <v>2092</v>
      </c>
      <c r="P61" s="50">
        <v>2087</v>
      </c>
      <c r="Q61" s="50">
        <v>2092</v>
      </c>
      <c r="R61" s="50">
        <v>2087</v>
      </c>
      <c r="S61" s="50">
        <v>25</v>
      </c>
      <c r="T61" s="50">
        <v>25</v>
      </c>
      <c r="U61" s="50">
        <v>25</v>
      </c>
      <c r="V61" s="50">
        <v>30</v>
      </c>
      <c r="W61" s="50">
        <v>0</v>
      </c>
      <c r="X61" s="50">
        <v>0</v>
      </c>
      <c r="Y61" s="4">
        <v>20</v>
      </c>
      <c r="Z61" s="4">
        <v>10</v>
      </c>
      <c r="AA61" s="4">
        <v>10</v>
      </c>
      <c r="AI61" s="162">
        <v>10</v>
      </c>
      <c r="AJ61" s="162">
        <v>120</v>
      </c>
      <c r="AK61" s="162">
        <v>10</v>
      </c>
      <c r="AL61" s="162">
        <v>115</v>
      </c>
    </row>
    <row r="62" spans="1:38" ht="19.5" customHeight="1">
      <c r="A62" s="50" t="s">
        <v>336</v>
      </c>
      <c r="B62" s="50" t="s">
        <v>373</v>
      </c>
      <c r="C62" s="50" t="s">
        <v>410</v>
      </c>
      <c r="D62" s="50">
        <v>798</v>
      </c>
      <c r="E62" s="50">
        <v>67</v>
      </c>
      <c r="F62" s="50">
        <v>65</v>
      </c>
      <c r="G62" s="67" t="s">
        <v>347</v>
      </c>
      <c r="H62" s="68" t="s">
        <v>347</v>
      </c>
      <c r="I62" s="50">
        <v>24</v>
      </c>
      <c r="J62" s="50">
        <v>19</v>
      </c>
      <c r="K62" s="50">
        <v>27</v>
      </c>
      <c r="L62" s="50">
        <v>27</v>
      </c>
      <c r="M62" s="50">
        <v>22</v>
      </c>
      <c r="N62" s="50">
        <v>27</v>
      </c>
      <c r="O62" s="50">
        <v>2092</v>
      </c>
      <c r="P62" s="50">
        <v>2087</v>
      </c>
      <c r="Q62" s="50">
        <v>2092</v>
      </c>
      <c r="R62" s="50">
        <v>2087</v>
      </c>
      <c r="S62" s="50">
        <v>25</v>
      </c>
      <c r="T62" s="50">
        <v>21</v>
      </c>
      <c r="U62" s="50">
        <v>25</v>
      </c>
      <c r="V62" s="50">
        <v>30</v>
      </c>
      <c r="W62" s="50">
        <v>0</v>
      </c>
      <c r="X62" s="50">
        <v>0</v>
      </c>
      <c r="Y62" s="4">
        <v>20</v>
      </c>
      <c r="Z62" s="4">
        <v>10</v>
      </c>
      <c r="AA62" s="4">
        <v>10</v>
      </c>
      <c r="AI62" s="162">
        <v>8</v>
      </c>
      <c r="AJ62" s="162">
        <v>102</v>
      </c>
      <c r="AK62" s="162">
        <v>10</v>
      </c>
      <c r="AL62" s="162">
        <v>110</v>
      </c>
    </row>
    <row r="63" spans="1:38" ht="19.5" customHeight="1">
      <c r="A63" s="50" t="s">
        <v>337</v>
      </c>
      <c r="B63" s="50" t="s">
        <v>338</v>
      </c>
      <c r="C63" s="50" t="s">
        <v>392</v>
      </c>
      <c r="D63" s="50">
        <v>798</v>
      </c>
      <c r="E63" s="50">
        <v>65</v>
      </c>
      <c r="F63" s="50">
        <v>63</v>
      </c>
      <c r="G63" s="67" t="s">
        <v>360</v>
      </c>
      <c r="H63" s="68" t="s">
        <v>340</v>
      </c>
      <c r="I63" s="50">
        <v>23</v>
      </c>
      <c r="J63" s="50">
        <v>21</v>
      </c>
      <c r="K63" s="50">
        <v>26</v>
      </c>
      <c r="L63" s="50">
        <v>26</v>
      </c>
      <c r="M63" s="50">
        <v>24</v>
      </c>
      <c r="N63" s="50">
        <v>24</v>
      </c>
      <c r="O63" s="50">
        <v>2092</v>
      </c>
      <c r="P63" s="50">
        <v>2087</v>
      </c>
      <c r="Q63" s="50">
        <v>2092</v>
      </c>
      <c r="R63" s="50">
        <v>2087</v>
      </c>
      <c r="S63" s="50">
        <v>21</v>
      </c>
      <c r="T63" s="50">
        <v>21</v>
      </c>
      <c r="U63" s="50">
        <v>25</v>
      </c>
      <c r="V63" s="50">
        <v>30</v>
      </c>
      <c r="W63" s="50">
        <v>0</v>
      </c>
      <c r="X63" s="50">
        <v>0</v>
      </c>
      <c r="Y63" s="4">
        <v>20</v>
      </c>
      <c r="Z63" s="4">
        <v>10</v>
      </c>
      <c r="AA63" s="4">
        <v>10</v>
      </c>
      <c r="AI63" s="162">
        <v>10</v>
      </c>
      <c r="AJ63" s="162">
        <v>120</v>
      </c>
      <c r="AK63" s="162">
        <v>10</v>
      </c>
      <c r="AL63" s="162">
        <v>115</v>
      </c>
    </row>
    <row r="64" spans="1:38" ht="19.5" customHeight="1">
      <c r="A64" s="50" t="s">
        <v>337</v>
      </c>
      <c r="B64" s="50" t="s">
        <v>342</v>
      </c>
      <c r="C64" s="50" t="s">
        <v>411</v>
      </c>
      <c r="D64" s="50">
        <v>798</v>
      </c>
      <c r="E64" s="50">
        <v>65</v>
      </c>
      <c r="F64" s="50">
        <v>63</v>
      </c>
      <c r="G64" s="67" t="s">
        <v>379</v>
      </c>
      <c r="H64" s="68" t="s">
        <v>372</v>
      </c>
      <c r="I64" s="50">
        <v>19</v>
      </c>
      <c r="J64" s="50">
        <v>20</v>
      </c>
      <c r="K64" s="50">
        <v>22</v>
      </c>
      <c r="L64" s="50">
        <v>27</v>
      </c>
      <c r="M64" s="50">
        <v>23</v>
      </c>
      <c r="N64" s="50">
        <v>23</v>
      </c>
      <c r="O64" s="50">
        <v>2092</v>
      </c>
      <c r="P64" s="50">
        <v>2087</v>
      </c>
      <c r="Q64" s="50">
        <v>2092</v>
      </c>
      <c r="R64" s="50">
        <v>2087</v>
      </c>
      <c r="S64" s="50">
        <v>24</v>
      </c>
      <c r="T64" s="50">
        <v>21</v>
      </c>
      <c r="U64" s="50">
        <v>25</v>
      </c>
      <c r="V64" s="50">
        <v>30</v>
      </c>
      <c r="W64" s="50">
        <v>0</v>
      </c>
      <c r="X64" s="50">
        <v>0</v>
      </c>
      <c r="Y64" s="4">
        <v>20</v>
      </c>
      <c r="Z64" s="4">
        <v>10</v>
      </c>
      <c r="AA64" s="4">
        <v>10</v>
      </c>
      <c r="AI64" s="162">
        <v>12</v>
      </c>
      <c r="AJ64" s="162">
        <v>105</v>
      </c>
      <c r="AK64" s="162">
        <v>11</v>
      </c>
      <c r="AL64" s="162">
        <v>115</v>
      </c>
    </row>
    <row r="65" spans="1:38" ht="19.5" customHeight="1">
      <c r="A65" s="50" t="s">
        <v>337</v>
      </c>
      <c r="B65" s="50" t="s">
        <v>345</v>
      </c>
      <c r="C65" s="50" t="s">
        <v>412</v>
      </c>
      <c r="D65" s="50">
        <v>798</v>
      </c>
      <c r="E65" s="50">
        <v>65</v>
      </c>
      <c r="F65" s="50">
        <v>63</v>
      </c>
      <c r="G65" s="67" t="s">
        <v>379</v>
      </c>
      <c r="H65" s="68" t="s">
        <v>379</v>
      </c>
      <c r="I65" s="50">
        <v>24</v>
      </c>
      <c r="J65" s="50">
        <v>24</v>
      </c>
      <c r="K65" s="50">
        <v>27</v>
      </c>
      <c r="L65" s="50">
        <v>27</v>
      </c>
      <c r="M65" s="50">
        <v>27</v>
      </c>
      <c r="N65" s="50">
        <v>27</v>
      </c>
      <c r="O65" s="50">
        <v>2092</v>
      </c>
      <c r="P65" s="50">
        <v>2087</v>
      </c>
      <c r="Q65" s="50">
        <v>2092</v>
      </c>
      <c r="R65" s="50">
        <v>2087</v>
      </c>
      <c r="S65" s="50">
        <v>26</v>
      </c>
      <c r="T65" s="50">
        <v>22</v>
      </c>
      <c r="U65" s="50">
        <v>25</v>
      </c>
      <c r="V65" s="50">
        <v>30</v>
      </c>
      <c r="W65" s="50">
        <v>0</v>
      </c>
      <c r="X65" s="50">
        <v>0</v>
      </c>
      <c r="Y65" s="4">
        <v>20</v>
      </c>
      <c r="Z65" s="4">
        <v>10</v>
      </c>
      <c r="AA65" s="4">
        <v>10</v>
      </c>
      <c r="AI65" s="162">
        <v>12</v>
      </c>
      <c r="AJ65" s="162">
        <v>110</v>
      </c>
      <c r="AK65" s="162">
        <v>12</v>
      </c>
      <c r="AL65" s="162">
        <v>115</v>
      </c>
    </row>
    <row r="66" spans="1:38" ht="19.5" customHeight="1">
      <c r="A66" s="50" t="s">
        <v>337</v>
      </c>
      <c r="B66" s="50" t="s">
        <v>348</v>
      </c>
      <c r="C66" s="50" t="s">
        <v>413</v>
      </c>
      <c r="D66" s="50">
        <v>798</v>
      </c>
      <c r="E66" s="50">
        <v>65</v>
      </c>
      <c r="F66" s="50">
        <v>63</v>
      </c>
      <c r="G66" s="67" t="s">
        <v>372</v>
      </c>
      <c r="H66" s="68" t="s">
        <v>360</v>
      </c>
      <c r="I66" s="50">
        <v>20</v>
      </c>
      <c r="J66" s="50">
        <v>23</v>
      </c>
      <c r="K66" s="50">
        <v>23</v>
      </c>
      <c r="L66" s="50">
        <v>23</v>
      </c>
      <c r="M66" s="50">
        <v>26</v>
      </c>
      <c r="N66" s="50">
        <v>26</v>
      </c>
      <c r="O66" s="50">
        <v>2092</v>
      </c>
      <c r="P66" s="50">
        <v>2087</v>
      </c>
      <c r="Q66" s="50">
        <v>2092</v>
      </c>
      <c r="R66" s="50">
        <v>2087</v>
      </c>
      <c r="S66" s="50">
        <v>25</v>
      </c>
      <c r="T66" s="50">
        <v>21</v>
      </c>
      <c r="U66" s="50">
        <v>25</v>
      </c>
      <c r="V66" s="50">
        <v>30</v>
      </c>
      <c r="W66" s="50">
        <v>0</v>
      </c>
      <c r="X66" s="50">
        <v>0</v>
      </c>
      <c r="Y66" s="4">
        <v>20</v>
      </c>
      <c r="Z66" s="4">
        <v>10</v>
      </c>
      <c r="AA66" s="4">
        <v>10</v>
      </c>
      <c r="AI66" s="162">
        <v>10</v>
      </c>
      <c r="AJ66" s="162">
        <v>110</v>
      </c>
      <c r="AK66" s="162">
        <v>12</v>
      </c>
      <c r="AL66" s="162">
        <v>125</v>
      </c>
    </row>
    <row r="67" spans="1:38" ht="19.5" customHeight="1">
      <c r="A67" s="50" t="s">
        <v>337</v>
      </c>
      <c r="B67" s="50" t="s">
        <v>351</v>
      </c>
      <c r="C67" s="50" t="s">
        <v>401</v>
      </c>
      <c r="D67" s="50">
        <v>798</v>
      </c>
      <c r="E67" s="50">
        <v>65</v>
      </c>
      <c r="F67" s="50">
        <v>63</v>
      </c>
      <c r="G67" s="67" t="s">
        <v>360</v>
      </c>
      <c r="H67" s="68" t="s">
        <v>340</v>
      </c>
      <c r="I67" s="50">
        <v>20</v>
      </c>
      <c r="J67" s="50">
        <v>21</v>
      </c>
      <c r="K67" s="50">
        <v>23</v>
      </c>
      <c r="L67" s="50">
        <v>26</v>
      </c>
      <c r="M67" s="50">
        <v>24</v>
      </c>
      <c r="N67" s="50">
        <v>24</v>
      </c>
      <c r="O67" s="50">
        <v>2092</v>
      </c>
      <c r="P67" s="50">
        <v>2087</v>
      </c>
      <c r="Q67" s="50">
        <v>2092</v>
      </c>
      <c r="R67" s="50">
        <v>2087</v>
      </c>
      <c r="S67" s="50">
        <v>25</v>
      </c>
      <c r="T67" s="50">
        <v>25</v>
      </c>
      <c r="U67" s="50">
        <v>25</v>
      </c>
      <c r="V67" s="50">
        <v>30</v>
      </c>
      <c r="W67" s="50">
        <v>0</v>
      </c>
      <c r="X67" s="50">
        <v>0</v>
      </c>
      <c r="Y67" s="4">
        <v>20</v>
      </c>
      <c r="Z67" s="4">
        <v>10</v>
      </c>
      <c r="AA67" s="4">
        <v>10</v>
      </c>
      <c r="AI67" s="162">
        <v>10</v>
      </c>
      <c r="AJ67" s="162">
        <v>105</v>
      </c>
      <c r="AK67" s="162">
        <v>10</v>
      </c>
      <c r="AL67" s="162">
        <v>125</v>
      </c>
    </row>
    <row r="68" spans="1:38" ht="19.5" customHeight="1">
      <c r="A68" s="50" t="s">
        <v>337</v>
      </c>
      <c r="B68" s="50" t="s">
        <v>353</v>
      </c>
      <c r="C68" s="50" t="s">
        <v>414</v>
      </c>
      <c r="D68" s="50">
        <v>798</v>
      </c>
      <c r="E68" s="50">
        <v>65</v>
      </c>
      <c r="F68" s="50">
        <v>63</v>
      </c>
      <c r="G68" s="67" t="s">
        <v>379</v>
      </c>
      <c r="H68" s="68" t="s">
        <v>379</v>
      </c>
      <c r="I68" s="50">
        <v>24</v>
      </c>
      <c r="J68" s="50">
        <v>19</v>
      </c>
      <c r="K68" s="50">
        <v>27</v>
      </c>
      <c r="L68" s="50">
        <v>27</v>
      </c>
      <c r="M68" s="50">
        <v>22</v>
      </c>
      <c r="N68" s="50">
        <v>27</v>
      </c>
      <c r="O68" s="50">
        <v>2092</v>
      </c>
      <c r="P68" s="50">
        <v>2087</v>
      </c>
      <c r="Q68" s="50">
        <v>2092</v>
      </c>
      <c r="R68" s="50">
        <v>2087</v>
      </c>
      <c r="S68" s="50">
        <v>22</v>
      </c>
      <c r="T68" s="50">
        <v>22</v>
      </c>
      <c r="U68" s="50">
        <v>25</v>
      </c>
      <c r="V68" s="50">
        <v>30</v>
      </c>
      <c r="W68" s="50">
        <v>0</v>
      </c>
      <c r="X68" s="50">
        <v>0</v>
      </c>
      <c r="Y68" s="4">
        <v>20</v>
      </c>
      <c r="Z68" s="4">
        <v>10</v>
      </c>
      <c r="AA68" s="4">
        <v>10</v>
      </c>
      <c r="AI68" s="162">
        <v>10</v>
      </c>
      <c r="AJ68" s="162">
        <v>105</v>
      </c>
      <c r="AK68" s="162">
        <v>10</v>
      </c>
      <c r="AL68" s="162">
        <v>120</v>
      </c>
    </row>
    <row r="69" spans="1:38" ht="19.5" customHeight="1">
      <c r="A69" s="50" t="s">
        <v>337</v>
      </c>
      <c r="B69" s="50" t="s">
        <v>356</v>
      </c>
      <c r="C69" s="50" t="s">
        <v>415</v>
      </c>
      <c r="D69" s="50">
        <v>798</v>
      </c>
      <c r="E69" s="50">
        <v>65</v>
      </c>
      <c r="F69" s="50">
        <v>63</v>
      </c>
      <c r="G69" s="67" t="s">
        <v>416</v>
      </c>
      <c r="H69" s="68" t="s">
        <v>379</v>
      </c>
      <c r="I69" s="50">
        <v>27</v>
      </c>
      <c r="J69" s="50">
        <v>24</v>
      </c>
      <c r="K69" s="50">
        <v>30</v>
      </c>
      <c r="L69" s="50">
        <v>27</v>
      </c>
      <c r="M69" s="50">
        <v>27</v>
      </c>
      <c r="N69" s="50">
        <v>27</v>
      </c>
      <c r="O69" s="50">
        <v>2092</v>
      </c>
      <c r="P69" s="50">
        <v>2087</v>
      </c>
      <c r="Q69" s="50">
        <v>2092</v>
      </c>
      <c r="R69" s="50">
        <v>2087</v>
      </c>
      <c r="S69" s="50">
        <v>22</v>
      </c>
      <c r="T69" s="50">
        <v>22</v>
      </c>
      <c r="U69" s="50">
        <v>25</v>
      </c>
      <c r="V69" s="50">
        <v>30</v>
      </c>
      <c r="W69" s="50">
        <v>0</v>
      </c>
      <c r="X69" s="50">
        <v>0</v>
      </c>
      <c r="Y69" s="4">
        <v>20</v>
      </c>
      <c r="Z69" s="4">
        <v>10</v>
      </c>
      <c r="AA69" s="4">
        <v>10</v>
      </c>
      <c r="AI69" s="162">
        <v>10</v>
      </c>
      <c r="AJ69" s="162">
        <v>115</v>
      </c>
      <c r="AK69" s="162">
        <v>10</v>
      </c>
      <c r="AL69" s="162">
        <v>120</v>
      </c>
    </row>
    <row r="70" spans="1:38" ht="19.5" customHeight="1">
      <c r="A70" s="50" t="s">
        <v>337</v>
      </c>
      <c r="B70" s="50" t="s">
        <v>358</v>
      </c>
      <c r="C70" s="50" t="s">
        <v>417</v>
      </c>
      <c r="D70" s="50">
        <v>798</v>
      </c>
      <c r="E70" s="50">
        <v>65</v>
      </c>
      <c r="F70" s="50">
        <v>63</v>
      </c>
      <c r="G70" s="67" t="s">
        <v>379</v>
      </c>
      <c r="H70" s="68" t="s">
        <v>355</v>
      </c>
      <c r="I70" s="50">
        <v>24</v>
      </c>
      <c r="J70" s="50">
        <v>25</v>
      </c>
      <c r="K70" s="50">
        <v>27</v>
      </c>
      <c r="L70" s="50">
        <v>27</v>
      </c>
      <c r="M70" s="50">
        <v>28</v>
      </c>
      <c r="N70" s="50">
        <v>28</v>
      </c>
      <c r="O70" s="50">
        <v>2092</v>
      </c>
      <c r="P70" s="50">
        <v>2087</v>
      </c>
      <c r="Q70" s="50">
        <v>2092</v>
      </c>
      <c r="R70" s="50">
        <v>2087</v>
      </c>
      <c r="S70" s="50">
        <v>26</v>
      </c>
      <c r="T70" s="50">
        <v>26</v>
      </c>
      <c r="U70" s="50">
        <v>25</v>
      </c>
      <c r="V70" s="50">
        <v>30</v>
      </c>
      <c r="W70" s="50">
        <v>0</v>
      </c>
      <c r="X70" s="50">
        <v>0</v>
      </c>
      <c r="Y70" s="4">
        <v>20</v>
      </c>
      <c r="Z70" s="4">
        <v>10</v>
      </c>
      <c r="AA70" s="4">
        <v>10</v>
      </c>
      <c r="AI70" s="162">
        <v>12</v>
      </c>
      <c r="AJ70" s="162">
        <v>105</v>
      </c>
      <c r="AK70" s="162">
        <v>12</v>
      </c>
      <c r="AL70" s="162">
        <v>120</v>
      </c>
    </row>
    <row r="71" spans="1:38" ht="19.5" customHeight="1">
      <c r="A71" s="50" t="s">
        <v>337</v>
      </c>
      <c r="B71" s="50" t="s">
        <v>361</v>
      </c>
      <c r="C71" s="50" t="s">
        <v>369</v>
      </c>
      <c r="D71" s="50">
        <v>798</v>
      </c>
      <c r="E71" s="50">
        <v>65</v>
      </c>
      <c r="F71" s="50">
        <v>63</v>
      </c>
      <c r="G71" s="67" t="s">
        <v>355</v>
      </c>
      <c r="H71" s="68" t="s">
        <v>372</v>
      </c>
      <c r="I71" s="50">
        <v>25</v>
      </c>
      <c r="J71" s="50">
        <v>20</v>
      </c>
      <c r="K71" s="50">
        <v>28</v>
      </c>
      <c r="L71" s="50">
        <v>28</v>
      </c>
      <c r="M71" s="50">
        <v>23</v>
      </c>
      <c r="N71" s="50">
        <v>23</v>
      </c>
      <c r="O71" s="50">
        <v>2092</v>
      </c>
      <c r="P71" s="50">
        <v>2087</v>
      </c>
      <c r="Q71" s="50">
        <v>2092</v>
      </c>
      <c r="R71" s="50">
        <v>2087</v>
      </c>
      <c r="S71" s="50">
        <v>23</v>
      </c>
      <c r="T71" s="50">
        <v>23</v>
      </c>
      <c r="U71" s="50">
        <v>25</v>
      </c>
      <c r="V71" s="50">
        <v>30</v>
      </c>
      <c r="W71" s="50">
        <v>0</v>
      </c>
      <c r="X71" s="50">
        <v>0</v>
      </c>
      <c r="Y71" s="4">
        <v>20</v>
      </c>
      <c r="Z71" s="4">
        <v>10</v>
      </c>
      <c r="AA71" s="4">
        <v>10</v>
      </c>
      <c r="AI71" s="162">
        <v>13</v>
      </c>
      <c r="AJ71" s="162">
        <v>105</v>
      </c>
      <c r="AK71" s="162">
        <v>13</v>
      </c>
      <c r="AL71" s="162">
        <v>120</v>
      </c>
    </row>
    <row r="72" spans="1:38" ht="19.5" customHeight="1">
      <c r="A72" s="50" t="s">
        <v>337</v>
      </c>
      <c r="B72" s="50" t="s">
        <v>364</v>
      </c>
      <c r="C72" s="50" t="s">
        <v>418</v>
      </c>
      <c r="D72" s="50">
        <v>798</v>
      </c>
      <c r="E72" s="50">
        <v>65</v>
      </c>
      <c r="F72" s="50">
        <v>63</v>
      </c>
      <c r="G72" s="67" t="s">
        <v>360</v>
      </c>
      <c r="H72" s="68" t="s">
        <v>379</v>
      </c>
      <c r="I72" s="50">
        <v>23</v>
      </c>
      <c r="J72" s="50">
        <v>24</v>
      </c>
      <c r="K72" s="50">
        <v>26</v>
      </c>
      <c r="L72" s="50">
        <v>26</v>
      </c>
      <c r="M72" s="50">
        <v>27</v>
      </c>
      <c r="N72" s="50">
        <v>27</v>
      </c>
      <c r="O72" s="50">
        <v>2092</v>
      </c>
      <c r="P72" s="50">
        <v>2087</v>
      </c>
      <c r="Q72" s="50">
        <v>2092</v>
      </c>
      <c r="R72" s="50">
        <v>2087</v>
      </c>
      <c r="S72" s="50">
        <v>22</v>
      </c>
      <c r="T72" s="50">
        <v>22</v>
      </c>
      <c r="U72" s="50">
        <v>25</v>
      </c>
      <c r="V72" s="50">
        <v>30</v>
      </c>
      <c r="W72" s="50">
        <v>0</v>
      </c>
      <c r="X72" s="50">
        <v>0</v>
      </c>
      <c r="Y72" s="4">
        <v>20</v>
      </c>
      <c r="Z72" s="4">
        <v>10</v>
      </c>
      <c r="AA72" s="4">
        <v>10</v>
      </c>
      <c r="AI72" s="162">
        <v>13</v>
      </c>
      <c r="AJ72" s="162">
        <v>100</v>
      </c>
      <c r="AK72" s="162">
        <v>13</v>
      </c>
      <c r="AL72" s="162">
        <v>110</v>
      </c>
    </row>
    <row r="73" spans="1:38" ht="19.5" customHeight="1">
      <c r="A73" s="50" t="s">
        <v>337</v>
      </c>
      <c r="B73" s="50" t="s">
        <v>366</v>
      </c>
      <c r="C73" s="50" t="s">
        <v>419</v>
      </c>
      <c r="D73" s="50">
        <v>798</v>
      </c>
      <c r="E73" s="50">
        <v>65</v>
      </c>
      <c r="F73" s="50">
        <v>63</v>
      </c>
      <c r="G73" s="67" t="s">
        <v>379</v>
      </c>
      <c r="H73" s="68" t="s">
        <v>340</v>
      </c>
      <c r="I73" s="50">
        <v>24</v>
      </c>
      <c r="J73" s="50">
        <v>21</v>
      </c>
      <c r="K73" s="50">
        <v>27</v>
      </c>
      <c r="L73" s="50">
        <v>27</v>
      </c>
      <c r="M73" s="50">
        <v>24</v>
      </c>
      <c r="N73" s="50">
        <v>24</v>
      </c>
      <c r="O73" s="50">
        <v>2092</v>
      </c>
      <c r="P73" s="50">
        <v>2087</v>
      </c>
      <c r="Q73" s="50">
        <v>2092</v>
      </c>
      <c r="R73" s="50">
        <v>2087</v>
      </c>
      <c r="S73" s="50">
        <v>21</v>
      </c>
      <c r="T73" s="50">
        <v>21</v>
      </c>
      <c r="U73" s="50">
        <v>25</v>
      </c>
      <c r="V73" s="50">
        <v>30</v>
      </c>
      <c r="W73" s="50">
        <v>0</v>
      </c>
      <c r="X73" s="50">
        <v>0</v>
      </c>
      <c r="Y73" s="4">
        <v>20</v>
      </c>
      <c r="Z73" s="4">
        <v>10</v>
      </c>
      <c r="AA73" s="4">
        <v>10</v>
      </c>
      <c r="AI73" s="162">
        <v>12</v>
      </c>
      <c r="AJ73" s="162">
        <v>105</v>
      </c>
      <c r="AK73" s="162">
        <v>12</v>
      </c>
      <c r="AL73" s="162">
        <v>120</v>
      </c>
    </row>
    <row r="74" spans="1:38" ht="19.5" customHeight="1">
      <c r="A74" s="50" t="s">
        <v>337</v>
      </c>
      <c r="B74" s="50" t="s">
        <v>368</v>
      </c>
      <c r="C74" s="50" t="s">
        <v>420</v>
      </c>
      <c r="D74" s="50">
        <v>798</v>
      </c>
      <c r="E74" s="50">
        <v>65</v>
      </c>
      <c r="F74" s="50">
        <v>63</v>
      </c>
      <c r="G74" s="67" t="s">
        <v>372</v>
      </c>
      <c r="H74" s="68" t="s">
        <v>340</v>
      </c>
      <c r="I74" s="50">
        <v>20</v>
      </c>
      <c r="J74" s="50">
        <v>21</v>
      </c>
      <c r="K74" s="50">
        <v>23</v>
      </c>
      <c r="L74" s="50">
        <v>23</v>
      </c>
      <c r="M74" s="50">
        <v>24</v>
      </c>
      <c r="N74" s="50">
        <v>24</v>
      </c>
      <c r="O74" s="50">
        <v>2092</v>
      </c>
      <c r="P74" s="50">
        <v>2087</v>
      </c>
      <c r="Q74" s="50">
        <v>2092</v>
      </c>
      <c r="R74" s="50">
        <v>2087</v>
      </c>
      <c r="S74" s="50">
        <v>21</v>
      </c>
      <c r="T74" s="50">
        <v>21</v>
      </c>
      <c r="U74" s="50">
        <v>25</v>
      </c>
      <c r="V74" s="50">
        <v>30</v>
      </c>
      <c r="W74" s="50">
        <v>0</v>
      </c>
      <c r="X74" s="50">
        <v>0</v>
      </c>
      <c r="Y74" s="4">
        <v>20</v>
      </c>
      <c r="Z74" s="4">
        <v>10</v>
      </c>
      <c r="AA74" s="4">
        <v>10</v>
      </c>
      <c r="AI74" s="162">
        <v>12</v>
      </c>
      <c r="AJ74" s="162">
        <v>105</v>
      </c>
      <c r="AK74" s="162">
        <v>12</v>
      </c>
      <c r="AL74" s="162">
        <v>115</v>
      </c>
    </row>
    <row r="75" spans="1:38" ht="19.5" customHeight="1">
      <c r="A75" s="50" t="s">
        <v>337</v>
      </c>
      <c r="B75" s="50" t="s">
        <v>370</v>
      </c>
      <c r="C75" s="50" t="s">
        <v>421</v>
      </c>
      <c r="D75" s="50">
        <v>798</v>
      </c>
      <c r="E75" s="50">
        <v>65</v>
      </c>
      <c r="F75" s="50">
        <v>63</v>
      </c>
      <c r="G75" s="67" t="s">
        <v>360</v>
      </c>
      <c r="H75" s="68" t="s">
        <v>372</v>
      </c>
      <c r="I75" s="50">
        <v>19</v>
      </c>
      <c r="J75" s="50">
        <v>20</v>
      </c>
      <c r="K75" s="50">
        <v>22</v>
      </c>
      <c r="L75" s="50">
        <v>26</v>
      </c>
      <c r="M75" s="50">
        <v>23</v>
      </c>
      <c r="N75" s="50">
        <v>23</v>
      </c>
      <c r="O75" s="50">
        <v>2092</v>
      </c>
      <c r="P75" s="50">
        <v>2087</v>
      </c>
      <c r="Q75" s="50">
        <v>2092</v>
      </c>
      <c r="R75" s="50">
        <v>2087</v>
      </c>
      <c r="S75" s="50">
        <v>26</v>
      </c>
      <c r="T75" s="50">
        <v>22</v>
      </c>
      <c r="U75" s="50">
        <v>25</v>
      </c>
      <c r="V75" s="50">
        <v>30</v>
      </c>
      <c r="W75" s="50">
        <v>0</v>
      </c>
      <c r="X75" s="50">
        <v>0</v>
      </c>
      <c r="Y75" s="4">
        <v>20</v>
      </c>
      <c r="Z75" s="4">
        <v>10</v>
      </c>
      <c r="AA75" s="4">
        <v>10</v>
      </c>
      <c r="AI75" s="162">
        <v>10</v>
      </c>
      <c r="AJ75" s="162">
        <v>115</v>
      </c>
      <c r="AK75" s="162">
        <v>10</v>
      </c>
      <c r="AL75" s="162">
        <v>115</v>
      </c>
    </row>
    <row r="76" spans="1:38" ht="19.5" customHeight="1">
      <c r="A76" s="50" t="s">
        <v>337</v>
      </c>
      <c r="B76" s="50" t="s">
        <v>373</v>
      </c>
      <c r="C76" s="50" t="s">
        <v>422</v>
      </c>
      <c r="D76" s="50">
        <v>798</v>
      </c>
      <c r="E76" s="50">
        <v>65</v>
      </c>
      <c r="F76" s="50">
        <v>63</v>
      </c>
      <c r="G76" s="67" t="s">
        <v>360</v>
      </c>
      <c r="H76" s="68" t="s">
        <v>360</v>
      </c>
      <c r="I76" s="50">
        <v>23</v>
      </c>
      <c r="J76" s="50">
        <v>20</v>
      </c>
      <c r="K76" s="50">
        <v>26</v>
      </c>
      <c r="L76" s="50">
        <v>26</v>
      </c>
      <c r="M76" s="50">
        <v>23</v>
      </c>
      <c r="N76" s="50">
        <v>26</v>
      </c>
      <c r="O76" s="50">
        <v>2092</v>
      </c>
      <c r="P76" s="50">
        <v>2087</v>
      </c>
      <c r="Q76" s="50">
        <v>2092</v>
      </c>
      <c r="R76" s="50">
        <v>2087</v>
      </c>
      <c r="S76" s="50">
        <v>21</v>
      </c>
      <c r="T76" s="50">
        <v>21</v>
      </c>
      <c r="U76" s="50">
        <v>25</v>
      </c>
      <c r="V76" s="50">
        <v>30</v>
      </c>
      <c r="W76" s="50">
        <v>0</v>
      </c>
      <c r="X76" s="50">
        <v>0</v>
      </c>
      <c r="Y76" s="4">
        <v>20</v>
      </c>
      <c r="Z76" s="4">
        <v>10</v>
      </c>
      <c r="AA76" s="4">
        <v>10</v>
      </c>
      <c r="AI76" s="162">
        <v>13</v>
      </c>
      <c r="AJ76" s="162">
        <v>120</v>
      </c>
      <c r="AK76" s="162">
        <v>10</v>
      </c>
      <c r="AL76" s="162">
        <v>120</v>
      </c>
    </row>
  </sheetData>
  <mergeCells count="41">
    <mergeCell ref="AI5:AJ5"/>
    <mergeCell ref="AK5:AL5"/>
    <mergeCell ref="AI4:AL4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76 M7:M76 S7:S76">
    <cfRule type="cellIs" dxfId="58" priority="4" operator="notEqual">
      <formula>L7</formula>
    </cfRule>
  </conditionalFormatting>
  <conditionalFormatting sqref="L7:L76 N7:N76 T7:T76">
    <cfRule type="cellIs" dxfId="57" priority="3" operator="notEqual">
      <formula>K7</formula>
    </cfRule>
  </conditionalFormatting>
  <conditionalFormatting sqref="Y7:AA76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E8"/>
  <sheetViews>
    <sheetView zoomScaleNormal="100" workbookViewId="0">
      <selection activeCell="Y19" sqref="Y19"/>
    </sheetView>
  </sheetViews>
  <sheetFormatPr defaultRowHeight="16.5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>
      <c r="A1" s="305" t="str">
        <f>정보!B1&amp;" (제작치수 샤링작지) "&amp;정보!B6&amp;" 소장"</f>
        <v>경기도 광명 철산주공13단지아파트 (제작치수 샤링작지) 추영덕 소장</v>
      </c>
      <c r="B1" s="305"/>
      <c r="C1" s="305"/>
      <c r="D1" s="305"/>
      <c r="E1" s="305"/>
      <c r="F1" s="305"/>
      <c r="G1" s="305"/>
      <c r="H1" s="305"/>
      <c r="I1" s="305"/>
      <c r="J1" s="305"/>
      <c r="K1" s="305"/>
      <c r="L1" s="305"/>
      <c r="M1" s="305"/>
      <c r="N1" s="305"/>
      <c r="O1" s="305"/>
      <c r="P1" s="305"/>
      <c r="Q1" s="305"/>
      <c r="R1" s="305"/>
      <c r="S1" s="305"/>
      <c r="T1" s="305"/>
      <c r="U1" s="305"/>
      <c r="V1" s="305"/>
      <c r="W1" s="305"/>
      <c r="X1" s="305"/>
    </row>
    <row r="2" spans="1:31" ht="30.75" customHeight="1">
      <c r="A2" s="306" t="str">
        <f>"총 : " &amp; COUNTA(A7:A200) &amp;" (SET)"</f>
        <v>총 : 1 (SET)</v>
      </c>
      <c r="B2" s="306"/>
      <c r="C2" s="306"/>
      <c r="D2" s="306"/>
      <c r="E2" s="306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291" t="s">
        <v>155</v>
      </c>
      <c r="Q2" s="292"/>
      <c r="R2" s="292"/>
      <c r="S2" s="292"/>
      <c r="T2" s="61"/>
      <c r="U2" s="293">
        <v>1.2</v>
      </c>
      <c r="V2" s="293"/>
      <c r="W2" s="1"/>
      <c r="X2" s="1"/>
    </row>
    <row r="3" spans="1:31" ht="33" customHeight="1">
      <c r="A3" s="69" t="str">
        <f>정보!B9</f>
        <v>HL 1.2T</v>
      </c>
      <c r="B3" s="69"/>
      <c r="C3" s="69"/>
      <c r="D3" s="69"/>
      <c r="E3" s="69"/>
      <c r="F3" s="69"/>
      <c r="G3" s="291" t="e">
        <f>"예상매수 : " &amp; ROUNDUP((SUM(AB7:AB200)+SUM(AD7:AD200))/1200,0) &amp;" 매"</f>
        <v>#REF!</v>
      </c>
      <c r="H3" s="291"/>
      <c r="I3" s="294">
        <v>0</v>
      </c>
      <c r="J3" s="294"/>
      <c r="K3" s="63"/>
      <c r="L3" s="63"/>
      <c r="M3" s="248" t="s">
        <v>156</v>
      </c>
      <c r="N3" s="248"/>
      <c r="O3" s="248"/>
      <c r="P3" s="295">
        <v>0</v>
      </c>
      <c r="Q3" s="295"/>
      <c r="R3" s="245" t="s">
        <v>157</v>
      </c>
      <c r="S3" s="245"/>
      <c r="T3" s="64"/>
      <c r="U3" s="296">
        <v>4</v>
      </c>
      <c r="V3" s="296"/>
      <c r="W3" s="65"/>
      <c r="X3" s="65"/>
    </row>
    <row r="4" spans="1:31" ht="9.75" customHeight="1">
      <c r="A4" s="165"/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</row>
    <row r="5" spans="1:31" ht="25.9" customHeight="1">
      <c r="A5" s="169" t="s">
        <v>158</v>
      </c>
      <c r="B5" s="169" t="s">
        <v>159</v>
      </c>
      <c r="C5" s="170" t="s">
        <v>160</v>
      </c>
      <c r="D5" s="169" t="s">
        <v>161</v>
      </c>
      <c r="E5" s="170" t="s">
        <v>162</v>
      </c>
      <c r="F5" s="170" t="s">
        <v>163</v>
      </c>
      <c r="G5" s="170" t="s">
        <v>164</v>
      </c>
      <c r="H5" s="170" t="s">
        <v>165</v>
      </c>
      <c r="I5" s="307" t="s">
        <v>166</v>
      </c>
      <c r="J5" s="170" t="s">
        <v>167</v>
      </c>
      <c r="K5" s="170" t="s">
        <v>168</v>
      </c>
      <c r="L5" s="170" t="s">
        <v>147</v>
      </c>
      <c r="M5" s="297" t="s">
        <v>169</v>
      </c>
      <c r="N5" s="297" t="s">
        <v>170</v>
      </c>
      <c r="O5" s="169" t="s">
        <v>171</v>
      </c>
      <c r="P5" s="169" t="s">
        <v>172</v>
      </c>
      <c r="Q5" s="169" t="s">
        <v>173</v>
      </c>
      <c r="R5" s="169" t="s">
        <v>174</v>
      </c>
      <c r="S5" s="170" t="s">
        <v>175</v>
      </c>
      <c r="T5" s="297" t="s">
        <v>151</v>
      </c>
      <c r="U5" s="170" t="s">
        <v>176</v>
      </c>
      <c r="V5" s="170" t="s">
        <v>177</v>
      </c>
      <c r="W5" s="169" t="s">
        <v>178</v>
      </c>
      <c r="X5" s="169"/>
      <c r="AB5" s="180" t="s">
        <v>179</v>
      </c>
      <c r="AC5" s="180"/>
      <c r="AD5" s="180" t="s">
        <v>180</v>
      </c>
      <c r="AE5" s="180"/>
    </row>
    <row r="6" spans="1:31" ht="36.75" customHeight="1">
      <c r="A6" s="211"/>
      <c r="B6" s="211"/>
      <c r="C6" s="211"/>
      <c r="D6" s="211"/>
      <c r="E6" s="211"/>
      <c r="F6" s="211"/>
      <c r="G6" s="211"/>
      <c r="H6" s="211"/>
      <c r="I6" s="308"/>
      <c r="J6" s="211"/>
      <c r="K6" s="239"/>
      <c r="L6" s="239"/>
      <c r="M6" s="300"/>
      <c r="N6" s="300"/>
      <c r="O6" s="211"/>
      <c r="P6" s="211"/>
      <c r="Q6" s="211"/>
      <c r="R6" s="211"/>
      <c r="S6" s="211"/>
      <c r="T6" s="298"/>
      <c r="U6" s="239"/>
      <c r="V6" s="239"/>
      <c r="W6" s="66" t="s">
        <v>181</v>
      </c>
      <c r="X6" s="66" t="s">
        <v>182</v>
      </c>
      <c r="Y6" t="s">
        <v>183</v>
      </c>
      <c r="Z6" s="3" t="s">
        <v>184</v>
      </c>
      <c r="AA6" s="3" t="s">
        <v>185</v>
      </c>
      <c r="AB6" s="3" t="s">
        <v>186</v>
      </c>
      <c r="AC6" s="3" t="s">
        <v>187</v>
      </c>
      <c r="AD6" s="3" t="s">
        <v>154</v>
      </c>
      <c r="AE6" s="3" t="s">
        <v>187</v>
      </c>
    </row>
    <row r="7" spans="1:31" ht="18.75" customHeight="1">
      <c r="A7" s="50" t="str">
        <f>'쪽쟘(실측)'!A7</f>
        <v>1306-1</v>
      </c>
      <c r="B7" s="50" t="str">
        <f>'쪽쟘(실측)'!B7&amp;"F"</f>
        <v>15F</v>
      </c>
      <c r="C7" s="50" t="e">
        <f>Z7&amp;"*"&amp;AA7</f>
        <v>#REF!</v>
      </c>
      <c r="D7" s="50" t="e">
        <f>'쪽쟘(실측)'!C7-OP차감</f>
        <v>#NAME?</v>
      </c>
      <c r="E7" s="50" t="e">
        <f>'쪽쟘(실측)'!D7+쪽쟘J늘림+MAX(W7:X7)</f>
        <v>#REF!</v>
      </c>
      <c r="F7" s="50" t="e">
        <f>'쪽쟘(실측)'!E7+쪽쟘J늘림+MAX(W7:X7)</f>
        <v>#REF!</v>
      </c>
      <c r="G7" s="67" t="str">
        <f>IF(OR(쪽쟘제작!K7&lt;&gt;쪽쟘제작!L7,쪽쟘제작!O7&lt;&gt;쪽쟘제작!P7),"",AC7&amp;"*"&amp;AB7)</f>
        <v/>
      </c>
      <c r="H7" s="68" t="str">
        <f>IF(OR(쪽쟘제작!N7&lt;&gt;쪽쟘제작!M7,쪽쟘제작!Q7&lt;&gt;쪽쟘제작!R7),"",AE7&amp;"*"&amp;AD7)</f>
        <v/>
      </c>
      <c r="I7" s="70">
        <f>IF('쪽쟘(실측)'!F7&gt;0,'쪽쟘(실측)'!F7+0.5,0)</f>
        <v>27.5</v>
      </c>
      <c r="J7" s="50">
        <f>IF('쪽쟘(실측)'!H7&gt;0,'쪽쟘(실측)'!H7+0.5,0)</f>
        <v>22.5</v>
      </c>
      <c r="K7" s="50">
        <f>IF('쪽쟘(실측)'!F7&gt;0,'쪽쟘(실측)'!F7+1.5,0)</f>
        <v>28.5</v>
      </c>
      <c r="L7" s="50">
        <f>IF('쪽쟘(실측)'!G7&gt;0,'쪽쟘(실측)'!G7+1.5,0)</f>
        <v>24.5</v>
      </c>
      <c r="M7" s="50">
        <f>IF('쪽쟘(실측)'!H7&gt;0,'쪽쟘(실측)'!H7+1.5,0)</f>
        <v>23.5</v>
      </c>
      <c r="N7" s="50">
        <f>IF('쪽쟘(실측)'!I7&gt;0,'쪽쟘(실측)'!I7+1.5,0)</f>
        <v>23.5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23.2</v>
      </c>
      <c r="T7" s="50">
        <f>'쪽쟘(실측)'!O7+1.2</f>
        <v>23.2</v>
      </c>
      <c r="U7" s="50">
        <f>'쪽쟘(실측)'!P7</f>
        <v>25</v>
      </c>
      <c r="V7" s="50">
        <f>'쪽쟘(실측)'!Q7</f>
        <v>30</v>
      </c>
      <c r="W7" s="50" t="e">
        <f>'쪽쟘(실측)'!R7-늘치차감</f>
        <v>#NAME?</v>
      </c>
      <c r="X7" s="50" t="e">
        <f>'쪽쟘(실측)'!S7-늘치차감</f>
        <v>#NAME?</v>
      </c>
      <c r="Z7">
        <f>쪽쟘제작!AJ7</f>
        <v>115</v>
      </c>
      <c r="AA7" t="e">
        <f>쪽쟘제작!#REF!</f>
        <v>#REF!</v>
      </c>
      <c r="AB7" t="e">
        <f>쪽쟘제작!#REF!</f>
        <v>#REF!</v>
      </c>
      <c r="AC7" t="e">
        <f>쪽쟘제작!#REF!</f>
        <v>#REF!</v>
      </c>
      <c r="AD7" t="e">
        <f>쪽쟘제작!#REF!</f>
        <v>#REF!</v>
      </c>
      <c r="AE7" t="e">
        <f>쪽쟘제작!#REF!</f>
        <v>#REF!</v>
      </c>
    </row>
    <row r="8" spans="1:31" ht="18.75" customHeight="1">
      <c r="A8" s="50"/>
      <c r="B8" s="50"/>
      <c r="C8" s="50"/>
      <c r="D8" s="50"/>
      <c r="E8" s="50"/>
      <c r="F8" s="50"/>
      <c r="G8" s="67"/>
      <c r="H8" s="68"/>
      <c r="I8" s="7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>
      <c r="A1" s="168" t="str">
        <f>정보!E2</f>
        <v>(SO와이드) 실측서 ( 경기도 광명 철산주공13단지아파트 ) _추영덕소장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23"/>
      <c r="AJ1" s="56"/>
      <c r="AK1" s="56"/>
      <c r="AL1" s="56"/>
    </row>
    <row r="2" spans="1:47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"/>
      <c r="AJ2" s="1"/>
      <c r="AK2" s="1"/>
      <c r="AL2" s="1"/>
    </row>
    <row r="3" spans="1:47" ht="33" customHeight="1">
      <c r="A3" s="2" t="str">
        <f>"현장명 : " &amp; 정보!B1 &amp; ",   (재질) : " &amp; 정보!B7</f>
        <v>현장명 : 경기도 광명 철산주공13단지아파트,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6" t="s">
        <v>98</v>
      </c>
      <c r="N3" s="176"/>
      <c r="O3" s="34"/>
      <c r="P3" s="34"/>
      <c r="Q3" s="34"/>
      <c r="R3" s="34"/>
      <c r="S3" s="34"/>
      <c r="T3" s="34"/>
      <c r="U3" s="34"/>
      <c r="V3" s="34"/>
      <c r="W3" s="34"/>
      <c r="X3" s="34"/>
      <c r="Y3" s="168"/>
      <c r="Z3" s="168"/>
      <c r="AA3" s="168"/>
      <c r="AB3" s="168"/>
      <c r="AC3" s="168"/>
      <c r="AD3" s="168"/>
      <c r="AE3" s="168"/>
      <c r="AF3" s="168"/>
      <c r="AG3" s="168"/>
      <c r="AH3" s="168"/>
      <c r="AI3" s="34"/>
      <c r="AJ3" s="34"/>
      <c r="AK3" s="34"/>
      <c r="AL3" s="34"/>
    </row>
    <row r="4" spans="1:47" ht="33" customHeight="1">
      <c r="A4" s="309" t="str">
        <f>정보!B10</f>
        <v>제작치수 반영 : MH + (1.2), JB/JD +(0 ),  늘어난치수K -(0),  C + (0),   U + (0), OP - (0), R - (0),  기둥차감 - (4), A + (0)</v>
      </c>
      <c r="B4" s="309"/>
      <c r="C4" s="309"/>
      <c r="D4" s="309"/>
      <c r="E4" s="309"/>
      <c r="F4" s="309"/>
      <c r="G4" s="309"/>
      <c r="H4" s="309"/>
      <c r="I4" s="309"/>
      <c r="J4" s="309"/>
      <c r="K4" s="309"/>
      <c r="L4" s="309"/>
      <c r="M4" s="309"/>
      <c r="N4" s="309"/>
      <c r="O4" s="309"/>
      <c r="P4" s="309"/>
      <c r="Q4" s="309"/>
      <c r="R4" s="309"/>
      <c r="S4" s="309"/>
      <c r="T4" s="309"/>
      <c r="U4" s="309"/>
      <c r="V4" s="164"/>
      <c r="W4" s="164"/>
      <c r="X4" s="164"/>
      <c r="Y4" s="164"/>
      <c r="Z4" s="164"/>
      <c r="AA4" s="164"/>
      <c r="AB4" s="164"/>
      <c r="AC4" s="164"/>
      <c r="AD4" s="164"/>
      <c r="AE4" s="164"/>
      <c r="AF4" s="166"/>
      <c r="AG4" s="175" t="s">
        <v>210</v>
      </c>
      <c r="AH4" s="175"/>
      <c r="AI4" s="75"/>
      <c r="AJ4" s="9"/>
      <c r="AK4" s="9"/>
      <c r="AL4" s="9"/>
    </row>
    <row r="5" spans="1:47" ht="25.9" customHeight="1">
      <c r="A5" s="169" t="s">
        <v>0</v>
      </c>
      <c r="B5" s="169" t="s">
        <v>1</v>
      </c>
      <c r="C5" s="169" t="s">
        <v>2</v>
      </c>
      <c r="D5" s="169" t="s">
        <v>24</v>
      </c>
      <c r="E5" s="169" t="s">
        <v>231</v>
      </c>
      <c r="F5" s="169" t="s">
        <v>234</v>
      </c>
      <c r="G5" s="169" t="s">
        <v>18</v>
      </c>
      <c r="H5" s="169" t="s">
        <v>4</v>
      </c>
      <c r="I5" s="169" t="s">
        <v>5</v>
      </c>
      <c r="J5" s="169" t="s">
        <v>6</v>
      </c>
      <c r="K5" s="169" t="s">
        <v>7</v>
      </c>
      <c r="L5" s="169" t="s">
        <v>8</v>
      </c>
      <c r="M5" s="169" t="s">
        <v>9</v>
      </c>
      <c r="N5" s="169" t="s">
        <v>12</v>
      </c>
      <c r="O5" s="169" t="s">
        <v>13</v>
      </c>
      <c r="P5" s="169" t="s">
        <v>10</v>
      </c>
      <c r="Q5" s="169" t="s">
        <v>11</v>
      </c>
      <c r="R5" s="169" t="s">
        <v>14</v>
      </c>
      <c r="S5" s="169" t="s">
        <v>15</v>
      </c>
      <c r="T5" s="169" t="s">
        <v>16</v>
      </c>
      <c r="U5" s="169" t="s">
        <v>17</v>
      </c>
      <c r="V5" s="169" t="s">
        <v>19</v>
      </c>
      <c r="W5" s="170" t="s">
        <v>48</v>
      </c>
      <c r="X5" s="170" t="s">
        <v>22</v>
      </c>
      <c r="Y5" s="310" t="s">
        <v>232</v>
      </c>
      <c r="Z5" s="311" t="s">
        <v>238</v>
      </c>
      <c r="AA5" s="169" t="s">
        <v>21</v>
      </c>
      <c r="AB5" s="169"/>
      <c r="AC5" s="169"/>
      <c r="AD5" s="169"/>
      <c r="AE5" s="171" t="s">
        <v>91</v>
      </c>
      <c r="AF5" s="171" t="s">
        <v>92</v>
      </c>
      <c r="AG5" s="173" t="s">
        <v>207</v>
      </c>
      <c r="AH5" s="174"/>
      <c r="AI5" s="170" t="s">
        <v>194</v>
      </c>
      <c r="AJ5" s="170" t="s">
        <v>198</v>
      </c>
      <c r="AK5" s="170"/>
      <c r="AL5" s="170"/>
    </row>
    <row r="6" spans="1:47" ht="44.25" customHeight="1">
      <c r="A6" s="169"/>
      <c r="B6" s="169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70"/>
      <c r="Y6" s="310"/>
      <c r="Z6" s="311"/>
      <c r="AA6" s="8" t="s">
        <v>43</v>
      </c>
      <c r="AB6" s="8" t="s">
        <v>44</v>
      </c>
      <c r="AC6" s="8" t="s">
        <v>45</v>
      </c>
      <c r="AD6" s="8" t="s">
        <v>46</v>
      </c>
      <c r="AE6" s="172"/>
      <c r="AF6" s="172"/>
      <c r="AG6" s="74" t="s">
        <v>208</v>
      </c>
      <c r="AH6" s="74" t="s">
        <v>209</v>
      </c>
      <c r="AI6" s="169"/>
      <c r="AJ6" s="4" t="s">
        <v>195</v>
      </c>
      <c r="AK6" s="4" t="s">
        <v>196</v>
      </c>
      <c r="AL6" s="4" t="s">
        <v>80</v>
      </c>
      <c r="AM6" s="52" t="s">
        <v>115</v>
      </c>
    </row>
    <row r="7" spans="1:47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  <pageSetUpPr fitToPage="1"/>
  </sheetPr>
  <dimension ref="A1:BN7"/>
  <sheetViews>
    <sheetView zoomScale="85" zoomScaleNormal="85" workbookViewId="0">
      <selection activeCell="O8" sqref="O8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323" t="str">
        <f>정보!F2</f>
        <v>(SO와이드) 제작변환 ( 경기도 광명 철산주공13단지아파트 ) _추영덕소장</v>
      </c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3"/>
      <c r="Z1" s="323"/>
      <c r="AA1" s="323"/>
      <c r="AB1" s="323"/>
      <c r="AC1" s="323"/>
      <c r="AD1" s="323"/>
      <c r="AE1" s="323"/>
      <c r="AF1" s="323"/>
      <c r="AG1" s="323"/>
      <c r="AH1" s="323"/>
      <c r="AI1" s="323"/>
      <c r="AJ1" s="323"/>
      <c r="AK1" s="323"/>
      <c r="AL1" s="323"/>
      <c r="AM1" s="323"/>
      <c r="AN1" s="323"/>
      <c r="AO1" s="323"/>
      <c r="AP1" s="323"/>
      <c r="AQ1" s="323"/>
      <c r="AR1" s="323"/>
      <c r="AS1" s="323"/>
      <c r="AT1" s="323"/>
      <c r="AU1" s="323"/>
      <c r="AV1" s="323"/>
      <c r="AW1" s="37"/>
      <c r="AX1" s="37"/>
    </row>
    <row r="2" spans="1:66" ht="29.25" customHeight="1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1.2</v>
      </c>
      <c r="I2" s="1"/>
      <c r="J2" s="219" t="s">
        <v>113</v>
      </c>
      <c r="K2" s="220"/>
      <c r="L2" s="220"/>
      <c r="M2" s="220"/>
      <c r="N2" s="220"/>
      <c r="O2" s="220"/>
      <c r="P2" s="221">
        <v>1</v>
      </c>
      <c r="Q2" s="221"/>
      <c r="R2" s="191" t="s">
        <v>89</v>
      </c>
      <c r="S2" s="192"/>
      <c r="T2" s="193">
        <v>0</v>
      </c>
      <c r="U2" s="193"/>
      <c r="V2" s="169" t="s">
        <v>83</v>
      </c>
      <c r="W2" s="195"/>
      <c r="X2" s="195"/>
      <c r="Y2" s="196">
        <v>4</v>
      </c>
      <c r="Z2" s="196"/>
      <c r="AA2" s="328">
        <f>정보!B5</f>
        <v>0</v>
      </c>
      <c r="AB2" s="329"/>
      <c r="AC2" s="329"/>
      <c r="AD2" s="329"/>
      <c r="AE2" s="329"/>
      <c r="AF2" s="329"/>
      <c r="AG2" s="329"/>
      <c r="AH2" s="329"/>
      <c r="AI2" s="329"/>
      <c r="AJ2" s="329"/>
      <c r="AK2" s="330"/>
      <c r="AL2" s="191" t="s">
        <v>90</v>
      </c>
      <c r="AM2" s="192"/>
      <c r="AN2" s="324">
        <v>0</v>
      </c>
      <c r="AO2" s="324"/>
      <c r="AP2" s="1"/>
      <c r="AQ2" s="325" t="s">
        <v>224</v>
      </c>
      <c r="AR2" s="326"/>
      <c r="AS2" s="327">
        <v>0</v>
      </c>
      <c r="AT2" s="327"/>
      <c r="AU2" s="1"/>
      <c r="AV2" s="1"/>
    </row>
    <row r="3" spans="1:66" ht="24.75" customHeight="1">
      <c r="A3" s="28" t="str">
        <f>'SO와이드(실측)'!A3</f>
        <v>현장명 : 경기도 광명 철산주공13단지아파트,   (재질) : HL Ecolor Bronze 1.2T</v>
      </c>
      <c r="B3" s="2"/>
      <c r="C3" s="2"/>
      <c r="D3" s="2"/>
      <c r="E3" s="2"/>
      <c r="F3" s="2"/>
      <c r="G3" s="2"/>
      <c r="H3" s="2"/>
      <c r="I3" s="2"/>
      <c r="J3" s="191" t="s">
        <v>223</v>
      </c>
      <c r="K3" s="191"/>
      <c r="L3" s="191"/>
      <c r="M3" s="191"/>
      <c r="N3" s="191"/>
      <c r="O3" s="191"/>
      <c r="P3" s="222">
        <v>0</v>
      </c>
      <c r="Q3" s="222"/>
      <c r="R3" s="192" t="s">
        <v>77</v>
      </c>
      <c r="S3" s="192"/>
      <c r="T3" s="199">
        <v>0</v>
      </c>
      <c r="U3" s="199"/>
      <c r="V3" s="200" t="s">
        <v>222</v>
      </c>
      <c r="W3" s="200"/>
      <c r="X3" s="200"/>
      <c r="Y3" s="201">
        <f>BN7</f>
        <v>1</v>
      </c>
      <c r="Z3" s="201"/>
      <c r="AA3" s="321" t="s">
        <v>78</v>
      </c>
      <c r="AB3" s="321"/>
      <c r="AC3" s="331">
        <v>0</v>
      </c>
      <c r="AD3" s="331"/>
      <c r="AL3" s="169" t="s">
        <v>73</v>
      </c>
      <c r="AM3" s="169"/>
      <c r="AN3" s="110">
        <v>5</v>
      </c>
      <c r="AO3" s="103" t="s">
        <v>74</v>
      </c>
      <c r="AP3" s="111">
        <v>4</v>
      </c>
      <c r="AQ3" s="227" t="s">
        <v>225</v>
      </c>
      <c r="AR3" s="227"/>
      <c r="AS3" s="229" t="s">
        <v>321</v>
      </c>
      <c r="AT3" s="230"/>
      <c r="AU3" s="233" t="e">
        <f>AY7</f>
        <v>#DIV/0!</v>
      </c>
      <c r="AV3" s="234"/>
      <c r="BN3" s="179" t="s">
        <v>248</v>
      </c>
    </row>
    <row r="4" spans="1:66" ht="33" customHeight="1">
      <c r="A4" s="165" t="str">
        <f>정보!B10</f>
        <v>제작치수 반영 : MH + (1.2), JB/JD +(0 ),  늘어난치수K -(0),  C + (0),   U + (0), OP - (0), R - (0),  기둥차감 - (4), A + (0)</v>
      </c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322" t="s">
        <v>307</v>
      </c>
      <c r="AH4" s="322"/>
      <c r="AI4" s="277">
        <f>'SO와이드(실측)'!AA7</f>
        <v>0</v>
      </c>
      <c r="AJ4" s="277"/>
      <c r="AK4" s="224">
        <f ca="1">TODAY()</f>
        <v>45274</v>
      </c>
      <c r="AL4" s="164"/>
      <c r="AM4" s="164"/>
      <c r="AN4" s="9"/>
      <c r="AO4" s="316" t="s">
        <v>117</v>
      </c>
      <c r="AP4" s="316"/>
      <c r="AQ4" s="175" t="s">
        <v>210</v>
      </c>
      <c r="AR4" s="175"/>
      <c r="AS4" s="84"/>
      <c r="AT4" s="231" t="s">
        <v>230</v>
      </c>
      <c r="AU4" s="231"/>
      <c r="AV4" s="232"/>
      <c r="BN4" s="180"/>
    </row>
    <row r="5" spans="1:66" ht="25.9" customHeight="1">
      <c r="A5" s="169" t="s">
        <v>0</v>
      </c>
      <c r="B5" s="169" t="s">
        <v>1</v>
      </c>
      <c r="C5" s="169" t="s">
        <v>2</v>
      </c>
      <c r="D5" s="169" t="s">
        <v>2</v>
      </c>
      <c r="E5" s="169" t="s">
        <v>231</v>
      </c>
      <c r="F5" s="169" t="s">
        <v>241</v>
      </c>
      <c r="G5" s="169" t="s">
        <v>18</v>
      </c>
      <c r="H5" s="208" t="s">
        <v>4</v>
      </c>
      <c r="I5" s="272" t="s">
        <v>42</v>
      </c>
      <c r="J5" s="205" t="s">
        <v>105</v>
      </c>
      <c r="K5" s="205" t="s">
        <v>106</v>
      </c>
      <c r="L5" s="209" t="s">
        <v>107</v>
      </c>
      <c r="M5" s="209" t="s">
        <v>108</v>
      </c>
      <c r="N5" s="317" t="s">
        <v>235</v>
      </c>
      <c r="O5" s="319" t="s">
        <v>236</v>
      </c>
      <c r="P5" s="211" t="s">
        <v>71</v>
      </c>
      <c r="Q5" s="211" t="s">
        <v>72</v>
      </c>
      <c r="R5" s="169" t="s">
        <v>8</v>
      </c>
      <c r="S5" s="169" t="s">
        <v>9</v>
      </c>
      <c r="T5" s="169" t="s">
        <v>12</v>
      </c>
      <c r="U5" s="169" t="s">
        <v>13</v>
      </c>
      <c r="V5" s="169" t="s">
        <v>10</v>
      </c>
      <c r="W5" s="169" t="s">
        <v>11</v>
      </c>
      <c r="X5" s="207" t="s">
        <v>14</v>
      </c>
      <c r="Y5" s="207" t="s">
        <v>15</v>
      </c>
      <c r="Z5" s="208" t="s">
        <v>16</v>
      </c>
      <c r="AA5" s="208" t="s">
        <v>17</v>
      </c>
      <c r="AB5" s="169" t="s">
        <v>19</v>
      </c>
      <c r="AC5" s="169" t="s">
        <v>20</v>
      </c>
      <c r="AD5" s="170" t="s">
        <v>22</v>
      </c>
      <c r="AE5" s="310" t="s">
        <v>237</v>
      </c>
      <c r="AF5" s="311" t="s">
        <v>233</v>
      </c>
      <c r="AG5" s="197" t="s">
        <v>79</v>
      </c>
      <c r="AH5" s="198"/>
      <c r="AI5" s="198"/>
      <c r="AJ5" s="198"/>
      <c r="AK5" s="189" t="s">
        <v>91</v>
      </c>
      <c r="AL5" s="189" t="s">
        <v>92</v>
      </c>
      <c r="AM5" s="181" t="s">
        <v>99</v>
      </c>
      <c r="AN5" s="170" t="s">
        <v>61</v>
      </c>
      <c r="AO5" s="170" t="s">
        <v>34</v>
      </c>
      <c r="AP5" s="170" t="s">
        <v>35</v>
      </c>
      <c r="AQ5" s="173" t="s">
        <v>207</v>
      </c>
      <c r="AR5" s="174"/>
      <c r="AS5" s="314" t="s">
        <v>194</v>
      </c>
      <c r="AT5" s="314" t="s">
        <v>199</v>
      </c>
      <c r="AU5" s="314"/>
      <c r="AV5" s="314"/>
      <c r="AW5" s="179" t="s">
        <v>100</v>
      </c>
      <c r="AX5" s="179" t="s">
        <v>101</v>
      </c>
      <c r="AY5" s="313" t="s">
        <v>239</v>
      </c>
      <c r="AZ5" s="312" t="s">
        <v>240</v>
      </c>
      <c r="BA5" s="184" t="s">
        <v>84</v>
      </c>
      <c r="BB5" s="187" t="s">
        <v>102</v>
      </c>
      <c r="BC5" s="186" t="s">
        <v>94</v>
      </c>
      <c r="BD5" s="186" t="s">
        <v>95</v>
      </c>
      <c r="BE5" s="179" t="s">
        <v>93</v>
      </c>
      <c r="BH5" s="183" t="s">
        <v>28</v>
      </c>
      <c r="BI5" s="183"/>
      <c r="BJ5" s="183" t="s">
        <v>29</v>
      </c>
      <c r="BK5" s="183"/>
      <c r="BL5" s="6" t="s">
        <v>50</v>
      </c>
      <c r="BM5" s="236" t="s">
        <v>104</v>
      </c>
      <c r="BN5" s="235" t="s">
        <v>221</v>
      </c>
    </row>
    <row r="6" spans="1:66" ht="48" customHeight="1">
      <c r="A6" s="169"/>
      <c r="B6" s="169"/>
      <c r="C6" s="169"/>
      <c r="D6" s="169"/>
      <c r="E6" s="169"/>
      <c r="F6" s="169"/>
      <c r="G6" s="169"/>
      <c r="H6" s="208"/>
      <c r="I6" s="272"/>
      <c r="J6" s="206"/>
      <c r="K6" s="206"/>
      <c r="L6" s="210"/>
      <c r="M6" s="210"/>
      <c r="N6" s="318"/>
      <c r="O6" s="320"/>
      <c r="P6" s="212"/>
      <c r="Q6" s="212"/>
      <c r="R6" s="169"/>
      <c r="S6" s="169"/>
      <c r="T6" s="169"/>
      <c r="U6" s="169"/>
      <c r="V6" s="169"/>
      <c r="W6" s="169"/>
      <c r="X6" s="207"/>
      <c r="Y6" s="207"/>
      <c r="Z6" s="208"/>
      <c r="AA6" s="208"/>
      <c r="AB6" s="169"/>
      <c r="AC6" s="169"/>
      <c r="AD6" s="170"/>
      <c r="AE6" s="310"/>
      <c r="AF6" s="311"/>
      <c r="AG6" s="8" t="s">
        <v>52</v>
      </c>
      <c r="AH6" s="8" t="s">
        <v>68</v>
      </c>
      <c r="AI6" s="8" t="s">
        <v>69</v>
      </c>
      <c r="AJ6" s="8" t="s">
        <v>70</v>
      </c>
      <c r="AK6" s="190"/>
      <c r="AL6" s="190"/>
      <c r="AM6" s="182"/>
      <c r="AN6" s="170"/>
      <c r="AO6" s="169"/>
      <c r="AP6" s="169"/>
      <c r="AQ6" s="74" t="s">
        <v>208</v>
      </c>
      <c r="AR6" s="74" t="s">
        <v>209</v>
      </c>
      <c r="AS6" s="315"/>
      <c r="AT6" s="86" t="s">
        <v>195</v>
      </c>
      <c r="AU6" s="86" t="s">
        <v>196</v>
      </c>
      <c r="AV6" s="86" t="s">
        <v>80</v>
      </c>
      <c r="AW6" s="180"/>
      <c r="AX6" s="180"/>
      <c r="AY6" s="312"/>
      <c r="AZ6" s="312"/>
      <c r="BA6" s="185"/>
      <c r="BB6" s="188"/>
      <c r="BC6" s="186"/>
      <c r="BD6" s="186"/>
      <c r="BE6" s="180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6"/>
      <c r="BN6" s="235"/>
    </row>
    <row r="7" spans="1:66" ht="25.5" customHeight="1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0</v>
      </c>
      <c r="D7" s="31">
        <f>'SO와이드(실측)'!D7+SO와이드MH더함-IF(AND(소장="추영덕",AB7=0),1.2)</f>
        <v>0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IF(BN7=0,J7+AI7-(L7+AI7),J7-L7)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-4</v>
      </c>
      <c r="Y7" s="31">
        <f>'SO와이드(실측)'!S7-SO와이드기둥차감</f>
        <v>-4</v>
      </c>
      <c r="Z7" s="31">
        <f>'SO와이드(실측)'!T7-SO와이드기둥차감</f>
        <v>-4</v>
      </c>
      <c r="AA7" s="31">
        <f>'SO와이드(실측)'!U7-SO와이드기둥차감</f>
        <v>-4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-1.2</v>
      </c>
      <c r="AL7" s="31">
        <f xml:space="preserve"> IF(소장&lt;&gt;"손상민",IF('SO와이드(실측)'!AF7&gt;0,'SO와이드(실측)'!AF7,D7-1.2),IF('SO와이드(실측)'!AF7&gt;0,'SO와이드(실측)'!AF7+1.2,D7) )</f>
        <v>-1.2</v>
      </c>
      <c r="AM7" s="51">
        <f>IF(AC7&gt;0,AC7-MAX(T7,U7),0)</f>
        <v>0</v>
      </c>
      <c r="AN7" s="31" t="str">
        <f t="shared" ref="AN7" si="1">BF7&amp;"*"&amp;BG7</f>
        <v>0*-3.6</v>
      </c>
      <c r="AO7" s="31" t="str">
        <f t="shared" ref="AO7" si="2">BI7&amp;"*"&amp;BH7</f>
        <v>-5.2*-2.4</v>
      </c>
      <c r="AP7" s="31" t="str">
        <f t="shared" ref="AP7" si="3">BK7&amp;"*"&amp;BJ7</f>
        <v>-5.2*-2.4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-3.5999999999999996</v>
      </c>
      <c r="BH7" s="41">
        <f>V7+R7+MAX(J7,K7)+AE7-1.2*$AP$3+IF(BN7=0,MAX(AH7,AG7),0)+IF(V7=0,1.2,0)-IF(AV7=90,2.4,0)</f>
        <v>-2.3999999999999995</v>
      </c>
      <c r="BI7" s="41">
        <f>MAX(X7,Y7)+AK7</f>
        <v>-5.2</v>
      </c>
      <c r="BJ7" s="41">
        <f>W7+S7+MAX(L7,M7)+AF7-1.2*$AP$3+IF(BN7=0,MAX(AI7,AJ7),0)+IF(W7=0,1.2,0)-IF(AV7=90,2.4,0)</f>
        <v>-2.3999999999999995</v>
      </c>
      <c r="BK7" s="41">
        <f>MAX(Z7,AA7)+AL7</f>
        <v>-5.2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Normalsheet">
    <pageSetUpPr fitToPage="1"/>
  </sheetPr>
  <dimension ref="A1:AO17"/>
  <sheetViews>
    <sheetView zoomScale="85" zoomScaleNormal="85" workbookViewId="0">
      <selection activeCell="A12" sqref="A12:XFD17"/>
    </sheetView>
  </sheetViews>
  <sheetFormatPr defaultRowHeight="16.5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>
      <c r="A1" s="167" t="str">
        <f>정보!E3</f>
        <v>(SO멍텅구리) 실측서 ( 경기도 광명 철산주공13단지아파트 ) _추영덕소장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"/>
      <c r="AE1" s="1"/>
      <c r="AF1" s="1"/>
    </row>
    <row r="2" spans="1:41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>
      <c r="A3" s="5" t="str">
        <f>"현장명 : " &amp; 정보!B1 &amp; ",   (재질) : " &amp; 정보!B8</f>
        <v>현장명 : 경기도 광명 철산주공13단지아파트,   (재질) : HL 1.2T</v>
      </c>
      <c r="B3" s="2"/>
      <c r="C3" s="2"/>
      <c r="D3" s="2"/>
      <c r="E3" s="2"/>
      <c r="F3" s="2"/>
      <c r="G3" s="2"/>
      <c r="H3" s="250"/>
      <c r="I3" s="250"/>
      <c r="J3" s="247"/>
      <c r="K3" s="247"/>
      <c r="L3" s="248"/>
      <c r="M3" s="248"/>
      <c r="N3" s="249"/>
      <c r="O3" s="249"/>
      <c r="P3" s="249"/>
      <c r="Q3" s="244" t="s">
        <v>97</v>
      </c>
      <c r="R3" s="244"/>
      <c r="S3" s="245"/>
      <c r="T3" s="245"/>
      <c r="U3" s="246"/>
      <c r="V3" s="246"/>
      <c r="W3" s="246"/>
    </row>
    <row r="4" spans="1:41" ht="33" customHeight="1">
      <c r="A4" s="165" t="str">
        <f>정보!B14</f>
        <v>제작치수 반영 : JB/JD +(0 ),  늘어난치수K -(0),  C + (0),  U +(0), OP1/OP2 - (0), R - (0),  기둥차감 - (4), A + (0)</v>
      </c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4"/>
      <c r="X4" s="164"/>
      <c r="Y4" s="164"/>
      <c r="Z4" s="164"/>
      <c r="AA4" s="164"/>
      <c r="AB4" s="164"/>
      <c r="AC4" s="166"/>
      <c r="AD4" s="175" t="s">
        <v>210</v>
      </c>
      <c r="AE4" s="175"/>
      <c r="AF4" s="81" t="s">
        <v>229</v>
      </c>
    </row>
    <row r="5" spans="1:41" ht="25.9" customHeight="1">
      <c r="A5" s="169" t="s">
        <v>0</v>
      </c>
      <c r="B5" s="169" t="s">
        <v>1</v>
      </c>
      <c r="C5" s="169" t="s">
        <v>243</v>
      </c>
      <c r="D5" s="169" t="s">
        <v>242</v>
      </c>
      <c r="E5" s="169" t="s">
        <v>18</v>
      </c>
      <c r="F5" s="169" t="s">
        <v>4</v>
      </c>
      <c r="G5" s="169" t="s">
        <v>5</v>
      </c>
      <c r="H5" s="169" t="s">
        <v>6</v>
      </c>
      <c r="I5" s="169" t="s">
        <v>7</v>
      </c>
      <c r="J5" s="169" t="s">
        <v>8</v>
      </c>
      <c r="K5" s="169" t="s">
        <v>9</v>
      </c>
      <c r="L5" s="169" t="s">
        <v>10</v>
      </c>
      <c r="M5" s="169" t="s">
        <v>11</v>
      </c>
      <c r="N5" s="169" t="s">
        <v>14</v>
      </c>
      <c r="O5" s="169" t="s">
        <v>15</v>
      </c>
      <c r="P5" s="169" t="s">
        <v>16</v>
      </c>
      <c r="Q5" s="169" t="s">
        <v>17</v>
      </c>
      <c r="R5" s="169" t="s">
        <v>19</v>
      </c>
      <c r="S5" s="169" t="s">
        <v>20</v>
      </c>
      <c r="T5" s="239" t="s">
        <v>22</v>
      </c>
      <c r="U5" s="310" t="s">
        <v>237</v>
      </c>
      <c r="V5" s="311" t="s">
        <v>233</v>
      </c>
      <c r="W5" s="241" t="s">
        <v>21</v>
      </c>
      <c r="X5" s="242"/>
      <c r="Y5" s="242"/>
      <c r="Z5" s="243"/>
      <c r="AA5" s="170" t="s">
        <v>198</v>
      </c>
      <c r="AB5" s="170"/>
      <c r="AC5" s="170"/>
      <c r="AD5" s="173" t="s">
        <v>207</v>
      </c>
      <c r="AE5" s="174"/>
      <c r="AF5" s="80" t="s">
        <v>226</v>
      </c>
    </row>
    <row r="6" spans="1:41" ht="47.25" customHeight="1">
      <c r="A6" s="169"/>
      <c r="B6" s="169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240"/>
      <c r="U6" s="310"/>
      <c r="V6" s="311"/>
      <c r="W6" s="8" t="s">
        <v>52</v>
      </c>
      <c r="X6" s="8" t="s">
        <v>53</v>
      </c>
      <c r="Y6" s="8" t="s">
        <v>54</v>
      </c>
      <c r="Z6" s="8" t="s">
        <v>55</v>
      </c>
      <c r="AA6" s="4" t="s">
        <v>195</v>
      </c>
      <c r="AB6" s="4" t="s">
        <v>196</v>
      </c>
      <c r="AC6" s="4" t="s">
        <v>80</v>
      </c>
      <c r="AD6" s="74" t="s">
        <v>208</v>
      </c>
      <c r="AE6" s="74" t="s">
        <v>209</v>
      </c>
      <c r="AF6" s="80" t="s">
        <v>227</v>
      </c>
      <c r="AG6" s="54" t="s">
        <v>115</v>
      </c>
    </row>
    <row r="7" spans="1:41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-0.249977111117893"/>
    <pageSetUpPr fitToPage="1"/>
  </sheetPr>
  <dimension ref="A1:BF7"/>
  <sheetViews>
    <sheetView zoomScale="85" zoomScaleNormal="85" workbookViewId="0">
      <selection activeCell="W2" sqref="W2"/>
    </sheetView>
  </sheetViews>
  <sheetFormatPr defaultRowHeight="16.5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67" t="str">
        <f>정보!F3</f>
        <v>(SO멍텅구리) 제작변환 ( 경기도 광명 철산주공13단지아파트 ) _추영덕소장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"/>
      <c r="AN1" s="1"/>
      <c r="AO1" s="251" t="s">
        <v>75</v>
      </c>
      <c r="AP1" s="251"/>
      <c r="AQ1" s="251"/>
      <c r="AW1" s="24"/>
    </row>
    <row r="2" spans="1:58" ht="28.5" customHeight="1">
      <c r="A2" s="97" t="s">
        <v>85</v>
      </c>
      <c r="B2" s="140">
        <v>0</v>
      </c>
      <c r="C2" s="346" t="s">
        <v>285</v>
      </c>
      <c r="D2" s="346"/>
      <c r="E2" s="116">
        <v>0</v>
      </c>
      <c r="F2" s="1"/>
      <c r="G2" s="1"/>
      <c r="H2" s="215" t="s">
        <v>81</v>
      </c>
      <c r="I2" s="215"/>
      <c r="J2" s="215"/>
      <c r="K2" s="341">
        <v>0</v>
      </c>
      <c r="L2" s="341"/>
      <c r="M2" s="341"/>
      <c r="N2" s="341"/>
      <c r="O2" s="220" t="s">
        <v>113</v>
      </c>
      <c r="P2" s="220"/>
      <c r="Q2" s="220"/>
      <c r="R2" s="220"/>
      <c r="S2" s="342">
        <v>1</v>
      </c>
      <c r="T2" s="342"/>
      <c r="U2" s="192" t="s">
        <v>103</v>
      </c>
      <c r="V2" s="192"/>
      <c r="W2" s="143">
        <v>0</v>
      </c>
      <c r="X2" s="220" t="s">
        <v>88</v>
      </c>
      <c r="Y2" s="220"/>
      <c r="Z2" s="343">
        <v>0</v>
      </c>
      <c r="AA2" s="343"/>
      <c r="AB2" s="22"/>
      <c r="AC2" s="191" t="s">
        <v>82</v>
      </c>
      <c r="AD2" s="192"/>
      <c r="AE2" s="344">
        <v>4</v>
      </c>
      <c r="AF2" s="344"/>
      <c r="AG2" s="142" t="s">
        <v>90</v>
      </c>
      <c r="AH2" s="345">
        <v>0</v>
      </c>
      <c r="AI2" s="345"/>
      <c r="AJ2" s="141"/>
      <c r="AK2" s="141"/>
      <c r="AL2" s="141"/>
      <c r="AM2" s="1"/>
      <c r="AN2" s="1"/>
      <c r="AO2" s="251"/>
      <c r="AP2" s="251"/>
      <c r="AQ2" s="251"/>
      <c r="AW2" s="24"/>
    </row>
    <row r="3" spans="1:58" ht="33" customHeight="1">
      <c r="A3" s="33" t="str">
        <f>'SO멍텅(실측)'!A3</f>
        <v>현장명 : 경기도 광명 철산주공13단지아파트,   (재질) : HL 1.2T</v>
      </c>
      <c r="B3" s="2"/>
      <c r="C3" s="2"/>
      <c r="D3" s="2"/>
      <c r="E3" s="2"/>
      <c r="F3" s="2"/>
      <c r="G3" s="2"/>
      <c r="H3" s="155"/>
      <c r="I3" s="192" t="s">
        <v>76</v>
      </c>
      <c r="J3" s="192"/>
      <c r="K3" s="222">
        <v>0</v>
      </c>
      <c r="L3" s="222"/>
      <c r="M3" s="222"/>
      <c r="N3" s="222"/>
      <c r="O3" s="192" t="s">
        <v>77</v>
      </c>
      <c r="P3" s="192"/>
      <c r="Q3" s="199">
        <v>0</v>
      </c>
      <c r="R3" s="199"/>
      <c r="S3" s="220" t="s">
        <v>222</v>
      </c>
      <c r="T3" s="220"/>
      <c r="U3" s="220"/>
      <c r="V3" s="336">
        <f>BE7</f>
        <v>1</v>
      </c>
      <c r="W3" s="336"/>
      <c r="X3" s="220" t="s">
        <v>78</v>
      </c>
      <c r="Y3" s="220"/>
      <c r="Z3" s="340">
        <v>0</v>
      </c>
      <c r="AA3" s="340"/>
      <c r="AB3" s="64"/>
      <c r="AC3" s="156"/>
      <c r="AD3" s="156"/>
      <c r="AE3" s="334" t="s">
        <v>73</v>
      </c>
      <c r="AF3" s="334"/>
      <c r="AG3" s="157">
        <v>4</v>
      </c>
      <c r="AH3" s="142" t="s">
        <v>74</v>
      </c>
      <c r="AI3" s="157">
        <v>4</v>
      </c>
      <c r="AJ3" s="282" t="s">
        <v>322</v>
      </c>
      <c r="AK3" s="283"/>
      <c r="AL3" s="214"/>
      <c r="AM3" s="339" t="e">
        <f>AR7</f>
        <v>#DIV/0!</v>
      </c>
      <c r="AN3" s="164"/>
      <c r="AO3" s="25"/>
      <c r="AP3" s="25"/>
      <c r="AQ3" s="24"/>
      <c r="AW3" s="24"/>
    </row>
    <row r="4" spans="1:58" ht="33" customHeight="1">
      <c r="A4" s="165" t="str">
        <f>'SO멍텅(실측)'!A4:AA4</f>
        <v>제작치수 반영 : JB/JD +(0 ),  늘어난치수K -(0),  C + (0),  U +(0), OP1/OP2 - (0), R - (0),  기둥차감 - (4), A + (0)</v>
      </c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337" t="s">
        <v>308</v>
      </c>
      <c r="AD4" s="337"/>
      <c r="AE4" s="338">
        <f>'SO멍텅(실측)'!W7</f>
        <v>0</v>
      </c>
      <c r="AF4" s="338"/>
      <c r="AG4" s="158"/>
      <c r="AH4" s="335">
        <f ca="1">TODAY()</f>
        <v>45274</v>
      </c>
      <c r="AI4" s="231"/>
      <c r="AJ4" s="231" t="s">
        <v>230</v>
      </c>
      <c r="AK4" s="231"/>
      <c r="AL4" s="232"/>
      <c r="AM4" s="175" t="s">
        <v>210</v>
      </c>
      <c r="AN4" s="175"/>
      <c r="AO4" s="25"/>
      <c r="AP4" s="25"/>
      <c r="AQ4" s="24"/>
      <c r="AW4" s="24"/>
      <c r="BE4" s="179" t="s">
        <v>248</v>
      </c>
    </row>
    <row r="5" spans="1:58" ht="25.9" customHeight="1">
      <c r="A5" s="169" t="s">
        <v>0</v>
      </c>
      <c r="B5" s="169" t="s">
        <v>1</v>
      </c>
      <c r="C5" s="169" t="s">
        <v>243</v>
      </c>
      <c r="D5" s="169" t="s">
        <v>242</v>
      </c>
      <c r="E5" s="169" t="s">
        <v>18</v>
      </c>
      <c r="F5" s="170" t="s">
        <v>58</v>
      </c>
      <c r="G5" s="170" t="s">
        <v>59</v>
      </c>
      <c r="H5" s="271" t="s">
        <v>60</v>
      </c>
      <c r="I5" s="271" t="s">
        <v>64</v>
      </c>
      <c r="J5" s="332" t="s">
        <v>65</v>
      </c>
      <c r="K5" s="332" t="s">
        <v>66</v>
      </c>
      <c r="L5" s="317" t="s">
        <v>235</v>
      </c>
      <c r="M5" s="319" t="s">
        <v>236</v>
      </c>
      <c r="N5" s="239" t="s">
        <v>62</v>
      </c>
      <c r="O5" s="239" t="s">
        <v>63</v>
      </c>
      <c r="P5" s="169" t="s">
        <v>8</v>
      </c>
      <c r="Q5" s="169" t="s">
        <v>9</v>
      </c>
      <c r="R5" s="169" t="s">
        <v>10</v>
      </c>
      <c r="S5" s="169" t="s">
        <v>11</v>
      </c>
      <c r="T5" s="169" t="s">
        <v>14</v>
      </c>
      <c r="U5" s="169" t="s">
        <v>15</v>
      </c>
      <c r="V5" s="169" t="s">
        <v>16</v>
      </c>
      <c r="W5" s="169" t="s">
        <v>17</v>
      </c>
      <c r="X5" s="169" t="s">
        <v>19</v>
      </c>
      <c r="Y5" s="273" t="s">
        <v>20</v>
      </c>
      <c r="Z5" s="239" t="s">
        <v>22</v>
      </c>
      <c r="AA5" s="310" t="s">
        <v>237</v>
      </c>
      <c r="AB5" s="311" t="s">
        <v>233</v>
      </c>
      <c r="AC5" s="241" t="s">
        <v>21</v>
      </c>
      <c r="AD5" s="242"/>
      <c r="AE5" s="242"/>
      <c r="AF5" s="243"/>
      <c r="AG5" s="170" t="s">
        <v>25</v>
      </c>
      <c r="AH5" s="275" t="s">
        <v>34</v>
      </c>
      <c r="AI5" s="170" t="s">
        <v>35</v>
      </c>
      <c r="AJ5" s="314" t="s">
        <v>198</v>
      </c>
      <c r="AK5" s="314"/>
      <c r="AL5" s="314"/>
      <c r="AM5" s="173" t="s">
        <v>207</v>
      </c>
      <c r="AN5" s="174"/>
      <c r="AO5" s="179" t="s">
        <v>300</v>
      </c>
      <c r="AP5" s="179" t="s">
        <v>301</v>
      </c>
      <c r="AQ5" s="274" t="s">
        <v>51</v>
      </c>
      <c r="AY5" s="180" t="s">
        <v>28</v>
      </c>
      <c r="AZ5" s="180"/>
      <c r="BA5" s="180" t="s">
        <v>29</v>
      </c>
      <c r="BB5" s="180"/>
      <c r="BE5" s="180"/>
    </row>
    <row r="6" spans="1:58" ht="48" customHeight="1">
      <c r="A6" s="169"/>
      <c r="B6" s="169"/>
      <c r="C6" s="169"/>
      <c r="D6" s="169"/>
      <c r="E6" s="169"/>
      <c r="F6" s="169"/>
      <c r="G6" s="169"/>
      <c r="H6" s="272"/>
      <c r="I6" s="272"/>
      <c r="J6" s="333"/>
      <c r="K6" s="333"/>
      <c r="L6" s="318"/>
      <c r="M6" s="320"/>
      <c r="N6" s="240"/>
      <c r="O6" s="240"/>
      <c r="P6" s="169"/>
      <c r="Q6" s="169"/>
      <c r="R6" s="169"/>
      <c r="S6" s="169"/>
      <c r="T6" s="169"/>
      <c r="U6" s="169"/>
      <c r="V6" s="169"/>
      <c r="W6" s="169"/>
      <c r="X6" s="169"/>
      <c r="Y6" s="273"/>
      <c r="Z6" s="240"/>
      <c r="AA6" s="310"/>
      <c r="AB6" s="311"/>
      <c r="AC6" s="8" t="s">
        <v>56</v>
      </c>
      <c r="AD6" s="8" t="s">
        <v>57</v>
      </c>
      <c r="AE6" s="8" t="s">
        <v>54</v>
      </c>
      <c r="AF6" s="8" t="s">
        <v>55</v>
      </c>
      <c r="AG6" s="169"/>
      <c r="AH6" s="276"/>
      <c r="AI6" s="169"/>
      <c r="AJ6" s="86" t="s">
        <v>195</v>
      </c>
      <c r="AK6" s="86" t="s">
        <v>196</v>
      </c>
      <c r="AL6" s="86" t="s">
        <v>80</v>
      </c>
      <c r="AM6" s="74" t="s">
        <v>208</v>
      </c>
      <c r="AN6" s="74" t="s">
        <v>209</v>
      </c>
      <c r="AO6" s="180"/>
      <c r="AP6" s="180"/>
      <c r="AQ6" s="274"/>
      <c r="AR6" s="18" t="s">
        <v>244</v>
      </c>
      <c r="AS6" s="18" t="s">
        <v>245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220</v>
      </c>
      <c r="BF6" s="82" t="s">
        <v>228</v>
      </c>
    </row>
    <row r="7" spans="1:58" ht="30.75" customHeight="1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IF(BM7=0,H7+AE7-(J7+AE7),H7-J7)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-4</v>
      </c>
      <c r="U7" s="4">
        <f>'SO멍텅(실측)'!O7-SO멍텅기둥차감</f>
        <v>-4</v>
      </c>
      <c r="V7" s="4">
        <f>'SO멍텅(실측)'!P7-SO멍텅기둥차감</f>
        <v>-4</v>
      </c>
      <c r="W7" s="4">
        <f>'SO멍텅(실측)'!Q7-SO멍텅기둥차감</f>
        <v>-4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0*-3.6</v>
      </c>
      <c r="AH7" s="12" t="str">
        <f t="shared" ref="AH7" si="2">AZ7&amp;"*"&amp;AY7</f>
        <v>-4*-2.6</v>
      </c>
      <c r="AI7" s="10" t="str">
        <f t="shared" ref="AI7" si="3">BB7&amp;"*"&amp;BA7</f>
        <v>-4*-2.6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ABS(F7-COS(RADIANS(AR7))*H7)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-4</v>
      </c>
      <c r="BA7" s="3">
        <f>S7+Q7+MAX(J7,K7)+AB7-1.2*$AI$3+IF(BE7=0,MAX(AE7,AF7))+IF(S7=0,1.2,0)-IF(AL7=90,2.4,0)</f>
        <v>-2.5999999999999996</v>
      </c>
      <c r="BB7" s="3">
        <f t="shared" ref="BB7" si="6">MAX(V7,W7)</f>
        <v>-4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4Widesheet">
    <pageSetUpPr fitToPage="1"/>
  </sheetPr>
  <dimension ref="A1:AV16"/>
  <sheetViews>
    <sheetView zoomScale="85" zoomScaleNormal="85" workbookViewId="0">
      <selection activeCell="A12" sqref="A12:XFD16"/>
    </sheetView>
  </sheetViews>
  <sheetFormatPr defaultRowHeight="16.5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>
      <c r="A1" s="168" t="str">
        <f>정보!H2</f>
        <v>(4CO와이드) 실측서 ( 경기도 광명 철산주공13단지아파트 ) _추영덕소장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23"/>
      <c r="AK1" s="56"/>
      <c r="AL1" s="56"/>
      <c r="AM1" s="56"/>
    </row>
    <row r="2" spans="1:48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8"/>
      <c r="AC2" s="168"/>
      <c r="AD2" s="168"/>
      <c r="AE2" s="168"/>
      <c r="AF2" s="168"/>
      <c r="AG2" s="168"/>
      <c r="AH2" s="168"/>
      <c r="AI2" s="168"/>
      <c r="AJ2" s="1"/>
      <c r="AK2" s="1"/>
      <c r="AL2" s="1"/>
      <c r="AM2" s="1"/>
    </row>
    <row r="3" spans="1:48" ht="33" customHeight="1">
      <c r="A3" s="2" t="str">
        <f>"현장명 : " &amp; 정보!B1 &amp; ",   (재질) : " &amp; 정보!B7</f>
        <v>현장명 : 경기도 광명 철산주공13단지아파트,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6" t="s">
        <v>98</v>
      </c>
      <c r="P3" s="176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8"/>
      <c r="AC3" s="168"/>
      <c r="AD3" s="168"/>
      <c r="AE3" s="168"/>
      <c r="AF3" s="168"/>
      <c r="AG3" s="168"/>
      <c r="AH3" s="168"/>
      <c r="AI3" s="168"/>
      <c r="AJ3" s="34"/>
      <c r="AK3" s="34"/>
      <c r="AL3" s="34"/>
      <c r="AM3" s="34"/>
    </row>
    <row r="4" spans="1:48" ht="33" customHeight="1">
      <c r="A4" s="309" t="str">
        <f>정보!B15</f>
        <v>제작치수 반영 : MH + (1.2), JB/JD +(0 ),  늘어난치수K -(0),  C + (0),   U + (0), OP1/OP3 - (0), R - (0),  기둥차감 - (4), A + (0)</v>
      </c>
      <c r="B4" s="309"/>
      <c r="C4" s="309"/>
      <c r="D4" s="309"/>
      <c r="E4" s="309"/>
      <c r="F4" s="309"/>
      <c r="G4" s="309"/>
      <c r="H4" s="309"/>
      <c r="I4" s="309"/>
      <c r="J4" s="309"/>
      <c r="K4" s="309"/>
      <c r="L4" s="309"/>
      <c r="M4" s="309"/>
      <c r="N4" s="309"/>
      <c r="O4" s="309"/>
      <c r="P4" s="309"/>
      <c r="Q4" s="309"/>
      <c r="R4" s="309"/>
      <c r="S4" s="309"/>
      <c r="T4" s="309"/>
      <c r="U4" s="309"/>
      <c r="V4" s="309"/>
      <c r="W4" s="309"/>
      <c r="X4" s="164"/>
      <c r="Y4" s="164"/>
      <c r="Z4" s="164"/>
      <c r="AA4" s="164"/>
      <c r="AB4" s="164"/>
      <c r="AC4" s="164"/>
      <c r="AD4" s="164"/>
      <c r="AE4" s="164"/>
      <c r="AF4" s="164"/>
      <c r="AG4" s="166"/>
      <c r="AH4" s="175" t="s">
        <v>210</v>
      </c>
      <c r="AI4" s="175"/>
      <c r="AJ4" s="75"/>
      <c r="AK4" s="9"/>
      <c r="AL4" s="9"/>
      <c r="AM4" s="9"/>
    </row>
    <row r="5" spans="1:48" ht="25.9" customHeight="1">
      <c r="A5" s="169" t="s">
        <v>0</v>
      </c>
      <c r="B5" s="169" t="s">
        <v>1</v>
      </c>
      <c r="C5" s="169" t="s">
        <v>2</v>
      </c>
      <c r="D5" s="169" t="s">
        <v>24</v>
      </c>
      <c r="E5" s="169" t="s">
        <v>249</v>
      </c>
      <c r="F5" s="169" t="s">
        <v>234</v>
      </c>
      <c r="G5" s="169" t="s">
        <v>250</v>
      </c>
      <c r="H5" s="169" t="s">
        <v>18</v>
      </c>
      <c r="I5" s="169" t="s">
        <v>4</v>
      </c>
      <c r="J5" s="169" t="s">
        <v>5</v>
      </c>
      <c r="K5" s="169" t="s">
        <v>251</v>
      </c>
      <c r="L5" s="169" t="s">
        <v>6</v>
      </c>
      <c r="M5" s="169" t="s">
        <v>7</v>
      </c>
      <c r="N5" s="169" t="s">
        <v>47</v>
      </c>
      <c r="O5" s="169" t="s">
        <v>9</v>
      </c>
      <c r="P5" s="169" t="s">
        <v>12</v>
      </c>
      <c r="Q5" s="169" t="s">
        <v>13</v>
      </c>
      <c r="R5" s="169" t="s">
        <v>10</v>
      </c>
      <c r="S5" s="169" t="s">
        <v>11</v>
      </c>
      <c r="T5" s="169" t="s">
        <v>14</v>
      </c>
      <c r="U5" s="169" t="s">
        <v>15</v>
      </c>
      <c r="V5" s="169" t="s">
        <v>16</v>
      </c>
      <c r="W5" s="169" t="s">
        <v>17</v>
      </c>
      <c r="X5" s="169" t="s">
        <v>19</v>
      </c>
      <c r="Y5" s="170" t="s">
        <v>48</v>
      </c>
      <c r="Z5" s="170" t="s">
        <v>22</v>
      </c>
      <c r="AA5" s="170" t="s">
        <v>23</v>
      </c>
      <c r="AB5" s="169" t="s">
        <v>21</v>
      </c>
      <c r="AC5" s="169"/>
      <c r="AD5" s="169"/>
      <c r="AE5" s="169"/>
      <c r="AF5" s="171" t="s">
        <v>91</v>
      </c>
      <c r="AG5" s="171" t="s">
        <v>92</v>
      </c>
      <c r="AH5" s="173" t="s">
        <v>207</v>
      </c>
      <c r="AI5" s="174"/>
      <c r="AJ5" s="170" t="s">
        <v>194</v>
      </c>
      <c r="AK5" s="170" t="s">
        <v>198</v>
      </c>
      <c r="AL5" s="170"/>
      <c r="AM5" s="170"/>
    </row>
    <row r="6" spans="1:48" ht="44.25" customHeight="1">
      <c r="A6" s="169"/>
      <c r="B6" s="169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70"/>
      <c r="AA6" s="170"/>
      <c r="AB6" s="8" t="s">
        <v>43</v>
      </c>
      <c r="AC6" s="8" t="s">
        <v>44</v>
      </c>
      <c r="AD6" s="8" t="s">
        <v>45</v>
      </c>
      <c r="AE6" s="8" t="s">
        <v>46</v>
      </c>
      <c r="AF6" s="172"/>
      <c r="AG6" s="172"/>
      <c r="AH6" s="74" t="s">
        <v>208</v>
      </c>
      <c r="AI6" s="74" t="s">
        <v>209</v>
      </c>
      <c r="AJ6" s="169"/>
      <c r="AK6" s="4" t="s">
        <v>195</v>
      </c>
      <c r="AL6" s="4" t="s">
        <v>196</v>
      </c>
      <c r="AM6" s="4" t="s">
        <v>197</v>
      </c>
      <c r="AN6" s="52" t="s">
        <v>116</v>
      </c>
    </row>
    <row r="7" spans="1:48" s="3" customFormat="1" ht="23.25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1" si="2">AB9+$AN9</f>
        <v>0</v>
      </c>
      <c r="AP9" s="3">
        <f t="shared" ref="AP9:AP11" si="3">AC9+$AN9</f>
        <v>0</v>
      </c>
      <c r="AQ9" s="3">
        <f t="shared" ref="AQ9:AQ11" si="4">AD9+$AN9</f>
        <v>0</v>
      </c>
      <c r="AR9" s="3">
        <f t="shared" ref="AR9:AR11" si="5">AE9+$AN9</f>
        <v>0</v>
      </c>
      <c r="AS9" s="3">
        <f t="shared" ref="AS9:AS11" si="6">I9-$AN9</f>
        <v>0</v>
      </c>
      <c r="AT9" s="3">
        <f t="shared" ref="AT9:AT11" si="7">J9-$AN9</f>
        <v>0</v>
      </c>
      <c r="AU9" s="3">
        <f t="shared" ref="AU9:AU11" si="8">L9-$AN9</f>
        <v>0</v>
      </c>
      <c r="AV9" s="3">
        <f t="shared" ref="AV9:AV11" si="9">M9-$AN9</f>
        <v>0</v>
      </c>
    </row>
    <row r="10" spans="1:48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/>
      <c r="AP12" s="3"/>
      <c r="AQ12" s="3"/>
      <c r="AR12" s="3"/>
      <c r="AS12" s="3"/>
      <c r="AT12" s="3"/>
      <c r="AU12" s="3"/>
      <c r="AV12" s="3"/>
    </row>
    <row r="13" spans="1:48" ht="23.2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/>
      <c r="AP13" s="3"/>
      <c r="AQ13" s="3"/>
      <c r="AR13" s="3"/>
      <c r="AS13" s="3"/>
      <c r="AT13" s="3"/>
      <c r="AU13" s="3"/>
      <c r="AV13" s="3"/>
    </row>
    <row r="14" spans="1:48" ht="23.25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/>
      <c r="AP14" s="3"/>
      <c r="AQ14" s="3"/>
      <c r="AR14" s="3"/>
      <c r="AS14" s="3"/>
      <c r="AT14" s="3"/>
      <c r="AU14" s="3"/>
      <c r="AV14" s="3"/>
    </row>
    <row r="15" spans="1:48" ht="23.25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/>
      <c r="AP15" s="3"/>
      <c r="AQ15" s="3"/>
      <c r="AR15" s="3"/>
      <c r="AS15" s="3"/>
      <c r="AT15" s="3"/>
      <c r="AU15" s="3"/>
      <c r="AV15" s="3"/>
    </row>
    <row r="16" spans="1:48" ht="23.2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/>
      <c r="AP16" s="3"/>
      <c r="AQ16" s="3"/>
      <c r="AR16" s="3"/>
      <c r="AS16" s="3"/>
      <c r="AT16" s="3"/>
      <c r="AU16" s="3"/>
      <c r="AV16" s="3"/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50"/>
    <pageSetUpPr fitToPage="1"/>
  </sheetPr>
  <dimension ref="A1:BN7"/>
  <sheetViews>
    <sheetView zoomScale="85" zoomScaleNormal="85" workbookViewId="0">
      <selection activeCell="AO3" sqref="AO3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178" t="str">
        <f>정보!I2</f>
        <v>(4CO와이드) 제작변환 ( 경기도 광명 철산주공13단지아파트 ) _추영덕소장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37"/>
      <c r="AY1" s="37"/>
    </row>
    <row r="2" spans="1:66" ht="29.25" customHeight="1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1.2</v>
      </c>
      <c r="J2" s="1"/>
      <c r="K2" s="1"/>
      <c r="L2" s="219" t="s">
        <v>113</v>
      </c>
      <c r="M2" s="220"/>
      <c r="N2" s="220"/>
      <c r="O2" s="220"/>
      <c r="P2" s="220"/>
      <c r="Q2" s="220"/>
      <c r="R2" s="221">
        <v>1</v>
      </c>
      <c r="S2" s="221"/>
      <c r="T2" s="191" t="s">
        <v>89</v>
      </c>
      <c r="U2" s="192"/>
      <c r="V2" s="193">
        <v>0</v>
      </c>
      <c r="W2" s="193"/>
      <c r="X2" s="285" t="s">
        <v>83</v>
      </c>
      <c r="Y2" s="200"/>
      <c r="Z2" s="200"/>
      <c r="AA2" s="196">
        <v>4</v>
      </c>
      <c r="AB2" s="196"/>
      <c r="AC2" s="328">
        <f>정보!B5</f>
        <v>0</v>
      </c>
      <c r="AD2" s="329"/>
      <c r="AE2" s="329"/>
      <c r="AF2" s="329"/>
      <c r="AG2" s="329"/>
      <c r="AH2" s="329"/>
      <c r="AI2" s="329"/>
      <c r="AJ2" s="329"/>
      <c r="AK2" s="329"/>
      <c r="AL2" s="330"/>
      <c r="AM2" s="191" t="s">
        <v>90</v>
      </c>
      <c r="AN2" s="192"/>
      <c r="AO2" s="347">
        <v>0</v>
      </c>
      <c r="AP2" s="347"/>
      <c r="AQ2" s="1"/>
      <c r="AR2" s="325" t="s">
        <v>224</v>
      </c>
      <c r="AS2" s="326"/>
      <c r="AT2" s="327">
        <v>0</v>
      </c>
      <c r="AU2" s="327"/>
      <c r="AV2" s="1"/>
      <c r="AW2" s="1"/>
    </row>
    <row r="3" spans="1:66" ht="24.75" customHeight="1">
      <c r="A3" s="28" t="str">
        <f>'4CO와이드(실측)'!A3</f>
        <v>현장명 : 경기도 광명 철산주공13단지아파트,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20" t="s">
        <v>223</v>
      </c>
      <c r="M3" s="220"/>
      <c r="N3" s="220"/>
      <c r="O3" s="220"/>
      <c r="P3" s="220"/>
      <c r="Q3" s="220"/>
      <c r="R3" s="222">
        <v>0</v>
      </c>
      <c r="S3" s="222"/>
      <c r="T3" s="192" t="s">
        <v>77</v>
      </c>
      <c r="U3" s="192"/>
      <c r="V3" s="199">
        <v>0</v>
      </c>
      <c r="W3" s="199"/>
      <c r="X3" s="200" t="s">
        <v>222</v>
      </c>
      <c r="Y3" s="200"/>
      <c r="Z3" s="200"/>
      <c r="AA3" s="201">
        <f>BN7</f>
        <v>1</v>
      </c>
      <c r="AB3" s="201"/>
      <c r="AC3" s="200" t="s">
        <v>78</v>
      </c>
      <c r="AD3" s="200"/>
      <c r="AE3" s="331">
        <v>0</v>
      </c>
      <c r="AF3" s="331"/>
      <c r="AJ3" s="180"/>
      <c r="AK3" s="180"/>
      <c r="AL3" s="3"/>
      <c r="AM3" s="169" t="s">
        <v>73</v>
      </c>
      <c r="AN3" s="169"/>
      <c r="AO3" s="114">
        <v>5</v>
      </c>
      <c r="AP3" s="4" t="s">
        <v>74</v>
      </c>
      <c r="AQ3" s="115">
        <v>4</v>
      </c>
      <c r="AR3" s="227" t="s">
        <v>225</v>
      </c>
      <c r="AS3" s="227"/>
      <c r="AT3" s="348" t="s">
        <v>323</v>
      </c>
      <c r="AU3" s="348"/>
      <c r="AV3" s="233" t="e">
        <f>AZ7</f>
        <v>#DIV/0!</v>
      </c>
      <c r="AW3" s="234"/>
      <c r="BN3" s="179" t="s">
        <v>248</v>
      </c>
    </row>
    <row r="4" spans="1:66" ht="33" customHeight="1">
      <c r="A4" s="165" t="str">
        <f>정보!B15</f>
        <v>제작치수 반영 : MH + (1.2), JB/JD +(0 ),  늘어난치수K -(0),  C + (0),   U + (0), OP1/OP3 - (0), R - (0),  기둥차감 - (4), A + (0)</v>
      </c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349" t="s">
        <v>309</v>
      </c>
      <c r="AI4" s="349"/>
      <c r="AJ4" s="349">
        <f>'4CO와이드(실측)'!AB7</f>
        <v>0</v>
      </c>
      <c r="AK4" s="349"/>
      <c r="AL4" s="224">
        <f ca="1">TODAY()</f>
        <v>45274</v>
      </c>
      <c r="AM4" s="164"/>
      <c r="AN4" s="164"/>
      <c r="AO4" s="9"/>
      <c r="AP4" s="223" t="s">
        <v>117</v>
      </c>
      <c r="AQ4" s="223"/>
      <c r="AR4" s="175" t="s">
        <v>210</v>
      </c>
      <c r="AS4" s="175"/>
      <c r="AT4" s="84"/>
      <c r="AU4" s="231" t="s">
        <v>230</v>
      </c>
      <c r="AV4" s="231"/>
      <c r="AW4" s="232"/>
      <c r="BN4" s="180"/>
    </row>
    <row r="5" spans="1:66" ht="25.9" customHeight="1">
      <c r="A5" s="169" t="s">
        <v>0</v>
      </c>
      <c r="B5" s="169" t="s">
        <v>1</v>
      </c>
      <c r="C5" s="169" t="s">
        <v>2</v>
      </c>
      <c r="D5" s="169" t="s">
        <v>2</v>
      </c>
      <c r="E5" s="169" t="s">
        <v>254</v>
      </c>
      <c r="F5" s="170" t="s">
        <v>256</v>
      </c>
      <c r="G5" s="169" t="s">
        <v>255</v>
      </c>
      <c r="H5" s="169" t="s">
        <v>18</v>
      </c>
      <c r="I5" s="208" t="s">
        <v>41</v>
      </c>
      <c r="J5" s="272" t="s">
        <v>42</v>
      </c>
      <c r="K5" s="272" t="s">
        <v>257</v>
      </c>
      <c r="L5" s="205" t="s">
        <v>105</v>
      </c>
      <c r="M5" s="205" t="s">
        <v>106</v>
      </c>
      <c r="N5" s="209" t="s">
        <v>107</v>
      </c>
      <c r="O5" s="209" t="s">
        <v>108</v>
      </c>
      <c r="P5" s="317" t="s">
        <v>291</v>
      </c>
      <c r="Q5" s="317" t="s">
        <v>292</v>
      </c>
      <c r="R5" s="211" t="s">
        <v>71</v>
      </c>
      <c r="S5" s="211" t="s">
        <v>72</v>
      </c>
      <c r="T5" s="169" t="s">
        <v>8</v>
      </c>
      <c r="U5" s="169" t="s">
        <v>9</v>
      </c>
      <c r="V5" s="169" t="s">
        <v>12</v>
      </c>
      <c r="W5" s="169" t="s">
        <v>13</v>
      </c>
      <c r="X5" s="169" t="s">
        <v>10</v>
      </c>
      <c r="Y5" s="169" t="s">
        <v>11</v>
      </c>
      <c r="Z5" s="207" t="s">
        <v>14</v>
      </c>
      <c r="AA5" s="207" t="s">
        <v>15</v>
      </c>
      <c r="AB5" s="208" t="s">
        <v>16</v>
      </c>
      <c r="AC5" s="208" t="s">
        <v>17</v>
      </c>
      <c r="AD5" s="169" t="s">
        <v>19</v>
      </c>
      <c r="AE5" s="169" t="s">
        <v>20</v>
      </c>
      <c r="AF5" s="170" t="s">
        <v>22</v>
      </c>
      <c r="AG5" s="170" t="s">
        <v>23</v>
      </c>
      <c r="AH5" s="197" t="s">
        <v>79</v>
      </c>
      <c r="AI5" s="198"/>
      <c r="AJ5" s="198"/>
      <c r="AK5" s="198"/>
      <c r="AL5" s="189" t="s">
        <v>91</v>
      </c>
      <c r="AM5" s="189" t="s">
        <v>92</v>
      </c>
      <c r="AN5" s="181" t="s">
        <v>99</v>
      </c>
      <c r="AO5" s="170" t="s">
        <v>61</v>
      </c>
      <c r="AP5" s="170" t="s">
        <v>34</v>
      </c>
      <c r="AQ5" s="170" t="s">
        <v>35</v>
      </c>
      <c r="AR5" s="173" t="s">
        <v>207</v>
      </c>
      <c r="AS5" s="174"/>
      <c r="AT5" s="314" t="s">
        <v>194</v>
      </c>
      <c r="AU5" s="314" t="s">
        <v>199</v>
      </c>
      <c r="AV5" s="314"/>
      <c r="AW5" s="314"/>
      <c r="AX5" s="179" t="s">
        <v>100</v>
      </c>
      <c r="AY5" s="179" t="s">
        <v>101</v>
      </c>
      <c r="AZ5" s="180" t="s">
        <v>80</v>
      </c>
      <c r="BA5" s="184" t="s">
        <v>84</v>
      </c>
      <c r="BB5" s="187" t="s">
        <v>102</v>
      </c>
      <c r="BC5" s="186" t="s">
        <v>94</v>
      </c>
      <c r="BD5" s="186" t="s">
        <v>95</v>
      </c>
      <c r="BE5" s="179" t="s">
        <v>93</v>
      </c>
      <c r="BH5" s="183" t="s">
        <v>28</v>
      </c>
      <c r="BI5" s="183"/>
      <c r="BJ5" s="183" t="s">
        <v>29</v>
      </c>
      <c r="BK5" s="183"/>
      <c r="BL5" s="6" t="s">
        <v>50</v>
      </c>
      <c r="BM5" s="236" t="s">
        <v>104</v>
      </c>
      <c r="BN5" s="235" t="s">
        <v>221</v>
      </c>
    </row>
    <row r="6" spans="1:66" ht="48" customHeight="1">
      <c r="A6" s="169"/>
      <c r="B6" s="169"/>
      <c r="C6" s="169"/>
      <c r="D6" s="169"/>
      <c r="E6" s="169"/>
      <c r="F6" s="169"/>
      <c r="G6" s="169"/>
      <c r="H6" s="169"/>
      <c r="I6" s="208"/>
      <c r="J6" s="272"/>
      <c r="K6" s="272"/>
      <c r="L6" s="206"/>
      <c r="M6" s="206"/>
      <c r="N6" s="210"/>
      <c r="O6" s="210"/>
      <c r="P6" s="318"/>
      <c r="Q6" s="318"/>
      <c r="R6" s="212"/>
      <c r="S6" s="212"/>
      <c r="T6" s="169"/>
      <c r="U6" s="169"/>
      <c r="V6" s="169"/>
      <c r="W6" s="169"/>
      <c r="X6" s="169"/>
      <c r="Y6" s="169"/>
      <c r="Z6" s="207"/>
      <c r="AA6" s="207"/>
      <c r="AB6" s="208"/>
      <c r="AC6" s="208"/>
      <c r="AD6" s="169"/>
      <c r="AE6" s="169"/>
      <c r="AF6" s="170"/>
      <c r="AG6" s="170"/>
      <c r="AH6" s="8" t="s">
        <v>67</v>
      </c>
      <c r="AI6" s="8" t="s">
        <v>68</v>
      </c>
      <c r="AJ6" s="8" t="s">
        <v>69</v>
      </c>
      <c r="AK6" s="8" t="s">
        <v>70</v>
      </c>
      <c r="AL6" s="190"/>
      <c r="AM6" s="190"/>
      <c r="AN6" s="182"/>
      <c r="AO6" s="170"/>
      <c r="AP6" s="169"/>
      <c r="AQ6" s="169"/>
      <c r="AR6" s="74" t="s">
        <v>208</v>
      </c>
      <c r="AS6" s="74" t="s">
        <v>209</v>
      </c>
      <c r="AT6" s="315"/>
      <c r="AU6" s="86" t="s">
        <v>195</v>
      </c>
      <c r="AV6" s="86" t="s">
        <v>196</v>
      </c>
      <c r="AW6" s="86" t="s">
        <v>197</v>
      </c>
      <c r="AX6" s="180"/>
      <c r="AY6" s="180"/>
      <c r="AZ6" s="180"/>
      <c r="BA6" s="185"/>
      <c r="BB6" s="188"/>
      <c r="BC6" s="186"/>
      <c r="BD6" s="186"/>
      <c r="BE6" s="180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6"/>
      <c r="BN6" s="235"/>
    </row>
    <row r="7" spans="1:66" ht="25.5" customHeight="1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0</v>
      </c>
      <c r="D7" s="31">
        <f>'4CO와이드(실측)'!D7+CO4와이드MH더함-IF(AND(소장="추영덕",AD7=0),1.2)</f>
        <v>0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-4</v>
      </c>
      <c r="AA7" s="31">
        <f>'4CO와이드(실측)'!U7-CO4와이드기둥차감</f>
        <v>-4</v>
      </c>
      <c r="AB7" s="31">
        <f>'4CO와이드(실측)'!V7-CO4와이드기둥차감</f>
        <v>-4</v>
      </c>
      <c r="AC7" s="31">
        <f>'4CO와이드(실측)'!W7-CO4와이드기둥차감</f>
        <v>-4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-1.2</v>
      </c>
      <c r="AM7" s="31">
        <f xml:space="preserve"> IF(소장&lt;&gt;"손상민",IF('4CO와이드(실측)'!AG7&gt;0,'4CO와이드(실측)'!AG7,D7-1.2),IF('4CO와이드(실측)'!AG7&gt;0,'4CO와이드(실측)'!AG7+1.2,D7))</f>
        <v>-1.2</v>
      </c>
      <c r="AN7" s="51">
        <f>IF(AE7&gt;0,AE7-MAX(V7,W7),0)</f>
        <v>0</v>
      </c>
      <c r="AO7" s="31" t="str">
        <f t="shared" ref="AO7" si="1">BF7&amp;"*"&amp;BG7</f>
        <v>0*-3.6</v>
      </c>
      <c r="AP7" s="31" t="str">
        <f t="shared" ref="AP7" si="2">BI7&amp;"*"&amp;BH7</f>
        <v>-5.2*-2.4</v>
      </c>
      <c r="AQ7" s="31" t="str">
        <f t="shared" ref="AQ7" si="3">BK7&amp;"*"&amp;BJ7</f>
        <v>-5.2*-2.4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-3.5999999999999996</v>
      </c>
      <c r="BH7" s="41">
        <f>X7+T7+MAX(L7,M7)+AG7-1.2*$AQ$3+IF(BN7=0,MAX(AI7,AH7),0)+IF(X7=0,1.2,0)-IF(AW7=90,2.4,0)</f>
        <v>-2.3999999999999995</v>
      </c>
      <c r="BI7" s="41">
        <f>MAX(Z7,AA7)+AL7</f>
        <v>-5.2</v>
      </c>
      <c r="BJ7" s="41">
        <f>Y7+U7+MAX(N7,O7)+AG7-1.2*$AQ$3+IF(BN7=0,MAX(AJ7,AK7),0)+IF(Y7=0,1.2,0)-IF(AW7=90,2.4,0)</f>
        <v>-2.3999999999999995</v>
      </c>
      <c r="BK7" s="41">
        <f>MAX(AB7,AC7)+AM7</f>
        <v>-5.2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4Normalsheet">
    <pageSetUpPr fitToPage="1"/>
  </sheetPr>
  <dimension ref="A1:AP11"/>
  <sheetViews>
    <sheetView zoomScale="85" zoomScaleNormal="85" workbookViewId="0">
      <selection activeCell="A10" sqref="A10:XFD11"/>
    </sheetView>
  </sheetViews>
  <sheetFormatPr defaultRowHeight="16.5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>
      <c r="A1" s="167" t="str">
        <f>정보!H3</f>
        <v>(4CO멍텅구리) 실측서 ( 경기도 광명 철산주공13단지아파트 ) _추영덕소장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"/>
      <c r="AF1" s="1"/>
      <c r="AG1" s="1"/>
    </row>
    <row r="2" spans="1:42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>
      <c r="A3" s="5" t="str">
        <f>"현장명 : " &amp; 정보!B1 &amp; ",   (재질) : " &amp; 정보!B8</f>
        <v>현장명 : 경기도 광명 철산주공13단지아파트,   (재질) : HL 1.2T</v>
      </c>
      <c r="B3" s="2"/>
      <c r="C3" s="2"/>
      <c r="D3" s="2"/>
      <c r="E3" s="2"/>
      <c r="F3" s="2"/>
      <c r="G3" s="2"/>
      <c r="H3" s="2"/>
      <c r="I3" s="2"/>
      <c r="J3" s="250"/>
      <c r="K3" s="250"/>
      <c r="L3" s="247"/>
      <c r="M3" s="247"/>
      <c r="N3" s="248"/>
      <c r="O3" s="248"/>
      <c r="P3" s="249"/>
      <c r="Q3" s="249"/>
      <c r="R3" s="249"/>
      <c r="S3" s="244" t="s">
        <v>97</v>
      </c>
      <c r="T3" s="244"/>
      <c r="U3" s="245"/>
      <c r="V3" s="245"/>
      <c r="W3" s="246"/>
      <c r="X3" s="246"/>
    </row>
    <row r="4" spans="1:42" ht="33" customHeight="1">
      <c r="A4" s="165" t="str">
        <f>정보!B16</f>
        <v>제작치수 반영 : JB/JD +(0 ),  늘어난치수K -(0),  C + (0),  U +(0), OP1/OP3 - (0), R - (0),  기둥차감 - (4), A + (0)</v>
      </c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9"/>
      <c r="AD4" s="9"/>
      <c r="AE4" s="175" t="s">
        <v>210</v>
      </c>
      <c r="AF4" s="175"/>
      <c r="AG4" s="81" t="s">
        <v>229</v>
      </c>
    </row>
    <row r="5" spans="1:42" ht="25.9" customHeight="1">
      <c r="A5" s="169" t="s">
        <v>0</v>
      </c>
      <c r="B5" s="169" t="s">
        <v>1</v>
      </c>
      <c r="C5" s="169" t="s">
        <v>258</v>
      </c>
      <c r="D5" s="169" t="s">
        <v>259</v>
      </c>
      <c r="E5" s="169" t="s">
        <v>250</v>
      </c>
      <c r="F5" s="169" t="s">
        <v>18</v>
      </c>
      <c r="G5" s="169" t="s">
        <v>4</v>
      </c>
      <c r="H5" s="169" t="s">
        <v>260</v>
      </c>
      <c r="I5" s="169" t="s">
        <v>261</v>
      </c>
      <c r="J5" s="169" t="s">
        <v>6</v>
      </c>
      <c r="K5" s="169" t="s">
        <v>7</v>
      </c>
      <c r="L5" s="169" t="s">
        <v>8</v>
      </c>
      <c r="M5" s="169" t="s">
        <v>9</v>
      </c>
      <c r="N5" s="169" t="s">
        <v>10</v>
      </c>
      <c r="O5" s="169" t="s">
        <v>11</v>
      </c>
      <c r="P5" s="169" t="s">
        <v>14</v>
      </c>
      <c r="Q5" s="169" t="s">
        <v>15</v>
      </c>
      <c r="R5" s="169" t="s">
        <v>16</v>
      </c>
      <c r="S5" s="169" t="s">
        <v>17</v>
      </c>
      <c r="T5" s="169" t="s">
        <v>19</v>
      </c>
      <c r="U5" s="169" t="s">
        <v>20</v>
      </c>
      <c r="V5" s="239" t="s">
        <v>22</v>
      </c>
      <c r="W5" s="239" t="s">
        <v>23</v>
      </c>
      <c r="X5" s="241" t="s">
        <v>21</v>
      </c>
      <c r="Y5" s="242"/>
      <c r="Z5" s="242"/>
      <c r="AA5" s="243"/>
      <c r="AB5" s="170" t="s">
        <v>198</v>
      </c>
      <c r="AC5" s="170"/>
      <c r="AD5" s="170"/>
      <c r="AE5" s="173" t="s">
        <v>207</v>
      </c>
      <c r="AF5" s="174"/>
      <c r="AG5" s="80" t="s">
        <v>226</v>
      </c>
    </row>
    <row r="6" spans="1:42" ht="47.25" customHeight="1">
      <c r="A6" s="169"/>
      <c r="B6" s="169"/>
      <c r="C6" s="169"/>
      <c r="D6" s="169"/>
      <c r="E6" s="169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240"/>
      <c r="W6" s="240"/>
      <c r="X6" s="8" t="s">
        <v>52</v>
      </c>
      <c r="Y6" s="8" t="s">
        <v>53</v>
      </c>
      <c r="Z6" s="8" t="s">
        <v>54</v>
      </c>
      <c r="AA6" s="8" t="s">
        <v>55</v>
      </c>
      <c r="AB6" s="4" t="s">
        <v>195</v>
      </c>
      <c r="AC6" s="4" t="s">
        <v>196</v>
      </c>
      <c r="AD6" s="4" t="s">
        <v>197</v>
      </c>
      <c r="AE6" s="74" t="s">
        <v>208</v>
      </c>
      <c r="AF6" s="74" t="s">
        <v>209</v>
      </c>
      <c r="AG6" s="80" t="s">
        <v>227</v>
      </c>
      <c r="AH6" s="54" t="s">
        <v>115</v>
      </c>
    </row>
    <row r="7" spans="1:42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9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9" si="1">I7-$AH7</f>
        <v>0</v>
      </c>
      <c r="AO7" s="3">
        <f t="shared" si="1"/>
        <v>0</v>
      </c>
      <c r="AP7" s="3">
        <f t="shared" si="1"/>
        <v>0</v>
      </c>
    </row>
    <row r="8" spans="1:42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/>
      <c r="AJ10" s="3"/>
      <c r="AK10" s="3"/>
      <c r="AL10" s="3"/>
      <c r="AM10" s="3"/>
      <c r="AN10" s="3"/>
      <c r="AO10" s="3"/>
      <c r="AP10" s="3"/>
    </row>
    <row r="11" spans="1:42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/>
      <c r="AJ11" s="3"/>
      <c r="AK11" s="3"/>
      <c r="AL11" s="3"/>
      <c r="AM11" s="3"/>
      <c r="AN11" s="3"/>
      <c r="AO11" s="3"/>
      <c r="AP11" s="3"/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  <pageSetUpPr fitToPage="1"/>
  </sheetPr>
  <dimension ref="A1:BF8"/>
  <sheetViews>
    <sheetView zoomScale="70" zoomScaleNormal="70" workbookViewId="0">
      <selection activeCell="AI3" sqref="AI3"/>
    </sheetView>
  </sheetViews>
  <sheetFormatPr defaultRowHeight="16.5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67" t="str">
        <f>정보!I3</f>
        <v>(4CO멍텅구리) 제작변환 ( 경기도 광명 철산주공13단지아파트 ) _추영덕소장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"/>
      <c r="AO1" s="1"/>
      <c r="AP1" s="251" t="s">
        <v>75</v>
      </c>
      <c r="AQ1" s="251"/>
      <c r="AR1" s="251"/>
      <c r="AW1" s="24"/>
    </row>
    <row r="2" spans="1:58" ht="28.5" customHeight="1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15" t="s">
        <v>302</v>
      </c>
      <c r="K2" s="215"/>
      <c r="L2" s="215"/>
      <c r="M2" s="107">
        <v>0</v>
      </c>
      <c r="N2" s="99"/>
      <c r="O2" s="99"/>
      <c r="P2" s="99"/>
      <c r="Q2" s="267" t="s">
        <v>113</v>
      </c>
      <c r="R2" s="267"/>
      <c r="S2" s="267"/>
      <c r="T2" s="267"/>
      <c r="U2" s="262">
        <v>1</v>
      </c>
      <c r="V2" s="262"/>
      <c r="W2" s="259" t="s">
        <v>103</v>
      </c>
      <c r="X2" s="260"/>
      <c r="Y2" s="95">
        <v>0</v>
      </c>
      <c r="Z2" s="259" t="s">
        <v>88</v>
      </c>
      <c r="AA2" s="260"/>
      <c r="AB2" s="94">
        <v>0</v>
      </c>
      <c r="AC2" s="69"/>
      <c r="AD2" s="253" t="s">
        <v>82</v>
      </c>
      <c r="AE2" s="254"/>
      <c r="AF2" s="350">
        <v>4</v>
      </c>
      <c r="AG2" s="350"/>
      <c r="AH2" s="98" t="s">
        <v>114</v>
      </c>
      <c r="AI2" s="351">
        <v>0</v>
      </c>
      <c r="AJ2" s="351"/>
      <c r="AK2" s="1"/>
      <c r="AL2" s="1"/>
      <c r="AM2" s="1"/>
      <c r="AN2" s="1"/>
      <c r="AO2" s="1"/>
      <c r="AP2" s="251"/>
      <c r="AQ2" s="251"/>
      <c r="AR2" s="251"/>
      <c r="AW2" s="24"/>
    </row>
    <row r="3" spans="1:58" ht="33" customHeight="1">
      <c r="A3" s="33" t="str">
        <f>'4CO멍텅(실측)'!A3</f>
        <v>현장명 : 경기도 광명 철산주공13단지아파트,   (재질) : HL 1.2T</v>
      </c>
      <c r="B3" s="2"/>
      <c r="C3" s="2"/>
      <c r="D3" s="2"/>
      <c r="E3" s="2"/>
      <c r="F3" s="2"/>
      <c r="G3" s="2"/>
      <c r="H3" s="2"/>
      <c r="I3" s="2"/>
      <c r="J3" s="2"/>
      <c r="K3" s="253" t="s">
        <v>76</v>
      </c>
      <c r="L3" s="253"/>
      <c r="M3" s="106">
        <v>0</v>
      </c>
      <c r="N3" s="100"/>
      <c r="O3" s="100"/>
      <c r="P3" s="100"/>
      <c r="Q3" s="253" t="s">
        <v>77</v>
      </c>
      <c r="R3" s="253"/>
      <c r="S3" s="266">
        <v>0</v>
      </c>
      <c r="T3" s="266"/>
      <c r="U3" s="267" t="s">
        <v>222</v>
      </c>
      <c r="V3" s="267"/>
      <c r="W3" s="267"/>
      <c r="X3" s="268">
        <f>BE7</f>
        <v>1</v>
      </c>
      <c r="Y3" s="268"/>
      <c r="Z3" s="263" t="s">
        <v>78</v>
      </c>
      <c r="AA3" s="263"/>
      <c r="AB3" s="93">
        <v>0</v>
      </c>
      <c r="AC3" s="101"/>
      <c r="AF3" s="211" t="s">
        <v>73</v>
      </c>
      <c r="AG3" s="211"/>
      <c r="AH3" s="114">
        <v>4</v>
      </c>
      <c r="AI3" s="4" t="s">
        <v>74</v>
      </c>
      <c r="AJ3" s="115">
        <v>4</v>
      </c>
      <c r="AK3" s="282" t="s">
        <v>324</v>
      </c>
      <c r="AL3" s="214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>
      <c r="A4" s="165" t="str">
        <f>'4CO멍텅(실측)'!A4:AB4</f>
        <v>제작치수 반영 : JB/JD +(0 ),  늘어난치수K -(0),  C + (0),  U +(0), OP1/OP3 - (0), R - (0),  기둥차감 - (4), A + (0)</v>
      </c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349" t="s">
        <v>307</v>
      </c>
      <c r="AE4" s="349"/>
      <c r="AF4" s="349">
        <f>'4CO멍텅(실측)'!X7</f>
        <v>0</v>
      </c>
      <c r="AG4" s="349"/>
      <c r="AH4" s="9"/>
      <c r="AI4" s="224">
        <f ca="1">TODAY()</f>
        <v>45274</v>
      </c>
      <c r="AJ4" s="164"/>
      <c r="AK4" s="280" t="s">
        <v>230</v>
      </c>
      <c r="AL4" s="280"/>
      <c r="AM4" s="281"/>
      <c r="AN4" s="175" t="s">
        <v>210</v>
      </c>
      <c r="AO4" s="175"/>
      <c r="AP4" s="25"/>
      <c r="AQ4" s="25"/>
      <c r="AR4" s="24"/>
      <c r="AW4" s="24"/>
      <c r="BE4" s="179" t="s">
        <v>248</v>
      </c>
    </row>
    <row r="5" spans="1:58" ht="25.9" customHeight="1">
      <c r="A5" s="169" t="s">
        <v>0</v>
      </c>
      <c r="B5" s="169" t="s">
        <v>1</v>
      </c>
      <c r="C5" s="169" t="s">
        <v>262</v>
      </c>
      <c r="D5" s="170" t="s">
        <v>256</v>
      </c>
      <c r="E5" s="169" t="s">
        <v>263</v>
      </c>
      <c r="F5" s="169" t="s">
        <v>18</v>
      </c>
      <c r="G5" s="170" t="s">
        <v>58</v>
      </c>
      <c r="H5" s="170" t="s">
        <v>264</v>
      </c>
      <c r="I5" s="170" t="s">
        <v>265</v>
      </c>
      <c r="J5" s="271" t="s">
        <v>60</v>
      </c>
      <c r="K5" s="271" t="s">
        <v>64</v>
      </c>
      <c r="L5" s="332" t="s">
        <v>65</v>
      </c>
      <c r="M5" s="332" t="s">
        <v>66</v>
      </c>
      <c r="N5" s="317" t="s">
        <v>289</v>
      </c>
      <c r="O5" s="317" t="s">
        <v>290</v>
      </c>
      <c r="P5" s="239" t="s">
        <v>62</v>
      </c>
      <c r="Q5" s="239" t="s">
        <v>63</v>
      </c>
      <c r="R5" s="169" t="s">
        <v>8</v>
      </c>
      <c r="S5" s="169" t="s">
        <v>9</v>
      </c>
      <c r="T5" s="169" t="s">
        <v>10</v>
      </c>
      <c r="U5" s="169" t="s">
        <v>11</v>
      </c>
      <c r="V5" s="169" t="s">
        <v>14</v>
      </c>
      <c r="W5" s="169" t="s">
        <v>15</v>
      </c>
      <c r="X5" s="169" t="s">
        <v>16</v>
      </c>
      <c r="Y5" s="169" t="s">
        <v>17</v>
      </c>
      <c r="Z5" s="169" t="s">
        <v>19</v>
      </c>
      <c r="AA5" s="169" t="s">
        <v>20</v>
      </c>
      <c r="AB5" s="239" t="s">
        <v>22</v>
      </c>
      <c r="AC5" s="239" t="s">
        <v>23</v>
      </c>
      <c r="AD5" s="241" t="s">
        <v>21</v>
      </c>
      <c r="AE5" s="242"/>
      <c r="AF5" s="242"/>
      <c r="AG5" s="243"/>
      <c r="AH5" s="170" t="s">
        <v>25</v>
      </c>
      <c r="AI5" s="275" t="s">
        <v>34</v>
      </c>
      <c r="AJ5" s="170" t="s">
        <v>35</v>
      </c>
      <c r="AK5" s="314" t="s">
        <v>198</v>
      </c>
      <c r="AL5" s="314"/>
      <c r="AM5" s="314"/>
      <c r="AN5" s="173" t="s">
        <v>207</v>
      </c>
      <c r="AO5" s="174"/>
      <c r="AP5" s="179" t="s">
        <v>300</v>
      </c>
      <c r="AQ5" s="179" t="s">
        <v>301</v>
      </c>
      <c r="AR5" s="274" t="s">
        <v>51</v>
      </c>
      <c r="AY5" s="180" t="s">
        <v>28</v>
      </c>
      <c r="AZ5" s="180"/>
      <c r="BA5" s="180" t="s">
        <v>29</v>
      </c>
      <c r="BB5" s="180"/>
      <c r="BE5" s="180"/>
    </row>
    <row r="6" spans="1:58" ht="48" customHeight="1">
      <c r="A6" s="169"/>
      <c r="B6" s="169"/>
      <c r="C6" s="169"/>
      <c r="D6" s="169"/>
      <c r="E6" s="169"/>
      <c r="F6" s="169"/>
      <c r="G6" s="169"/>
      <c r="H6" s="169"/>
      <c r="I6" s="169"/>
      <c r="J6" s="272"/>
      <c r="K6" s="272"/>
      <c r="L6" s="333"/>
      <c r="M6" s="333"/>
      <c r="N6" s="318"/>
      <c r="O6" s="318"/>
      <c r="P6" s="240"/>
      <c r="Q6" s="240"/>
      <c r="R6" s="169"/>
      <c r="S6" s="169"/>
      <c r="T6" s="169"/>
      <c r="U6" s="169"/>
      <c r="V6" s="169"/>
      <c r="W6" s="169"/>
      <c r="X6" s="169"/>
      <c r="Y6" s="169"/>
      <c r="Z6" s="169"/>
      <c r="AA6" s="169"/>
      <c r="AB6" s="240"/>
      <c r="AC6" s="240"/>
      <c r="AD6" s="8" t="s">
        <v>56</v>
      </c>
      <c r="AE6" s="8" t="s">
        <v>57</v>
      </c>
      <c r="AF6" s="8" t="s">
        <v>54</v>
      </c>
      <c r="AG6" s="8" t="s">
        <v>55</v>
      </c>
      <c r="AH6" s="169"/>
      <c r="AI6" s="276"/>
      <c r="AJ6" s="169"/>
      <c r="AK6" s="86" t="s">
        <v>195</v>
      </c>
      <c r="AL6" s="86" t="s">
        <v>196</v>
      </c>
      <c r="AM6" s="86" t="s">
        <v>197</v>
      </c>
      <c r="AN6" s="74" t="s">
        <v>208</v>
      </c>
      <c r="AO6" s="74" t="s">
        <v>209</v>
      </c>
      <c r="AP6" s="180"/>
      <c r="AQ6" s="180"/>
      <c r="AR6" s="274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220</v>
      </c>
      <c r="BF6" s="82" t="s">
        <v>228</v>
      </c>
    </row>
    <row r="7" spans="1:58" ht="26.25" customHeight="1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-4</v>
      </c>
      <c r="W7" s="4">
        <f>'4CO멍텅(실측)'!Q7-CO4멍텅기둥차감</f>
        <v>-4</v>
      </c>
      <c r="X7" s="4">
        <f>'4CO멍텅(실측)'!R7-CO4멍텅기둥차감</f>
        <v>-4</v>
      </c>
      <c r="Y7" s="4">
        <f>'4CO멍텅(실측)'!S7-CO4멍텅기둥차감</f>
        <v>-4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0*-3.6</v>
      </c>
      <c r="AI7" s="12" t="str">
        <f t="shared" ref="AI7" si="2">AZ7&amp;"*"&amp;AY7</f>
        <v>-4*-2.6</v>
      </c>
      <c r="AJ7" s="10" t="str">
        <f t="shared" ref="AJ7" si="3">BB7&amp;"*"&amp;BA7</f>
        <v>-4*-2.6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-4</v>
      </c>
      <c r="BA7" s="3">
        <f>U7+S7+MAX(L7,M7)+AC7-1.2*$AJ$3+IF(BE7=0,MAX(AF7,AG7))+IF(U7=0,1.2,0)-IF(AM7=90,2.4,0)</f>
        <v>-2.5999999999999996</v>
      </c>
      <c r="BB7" s="3">
        <f t="shared" ref="BB7" si="8">MAX(X7,Y7)</f>
        <v>-4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>
      <c r="A1" s="167" t="str">
        <f>정보!K2</f>
        <v>(2UP) 실측서 ( 경기도 광명 철산주공13단지아파트 ) _추영덕소장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"/>
      <c r="AD1" s="1"/>
      <c r="AE1" s="1"/>
    </row>
    <row r="2" spans="1:40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>
      <c r="A3" s="5" t="str">
        <f>"현장명 : " &amp; 정보!B1 &amp; ",   (재질) : " &amp; 정보!B8</f>
        <v>현장명 : 경기도 광명 철산주공13단지아파트,   (재질) : HL 1.2T</v>
      </c>
      <c r="B3" s="2"/>
      <c r="C3" s="2"/>
      <c r="D3" s="2"/>
      <c r="E3" s="2"/>
      <c r="F3" s="2"/>
      <c r="G3" s="250"/>
      <c r="H3" s="250"/>
      <c r="I3" s="250"/>
      <c r="J3" s="23"/>
      <c r="K3" s="247"/>
      <c r="L3" s="247"/>
      <c r="M3" s="248"/>
      <c r="N3" s="248"/>
      <c r="O3" s="249"/>
      <c r="P3" s="249"/>
      <c r="Q3" s="249"/>
      <c r="R3" s="120"/>
      <c r="S3" s="244" t="s">
        <v>97</v>
      </c>
      <c r="T3" s="244"/>
      <c r="U3" s="244"/>
      <c r="V3" s="245"/>
      <c r="W3" s="245"/>
      <c r="X3" s="246"/>
      <c r="Y3" s="246"/>
    </row>
    <row r="4" spans="1:40" ht="33" customHeight="1">
      <c r="A4" s="165" t="str">
        <f>정보!B17</f>
        <v>제작치수 반영 : JB/JD +(0 ),  늘어난치수K -(0),  C + (0),   U + (0), OP - (0), R - (0),  기둥차감 - (4), A + (0)</v>
      </c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75" t="s">
        <v>210</v>
      </c>
      <c r="AD4" s="175"/>
      <c r="AE4" s="81" t="s">
        <v>229</v>
      </c>
    </row>
    <row r="5" spans="1:40" ht="25.9" customHeight="1">
      <c r="A5" s="169" t="s">
        <v>0</v>
      </c>
      <c r="B5" s="169" t="s">
        <v>1</v>
      </c>
      <c r="C5" s="169" t="s">
        <v>3</v>
      </c>
      <c r="D5" s="169" t="s">
        <v>18</v>
      </c>
      <c r="E5" s="169" t="s">
        <v>4</v>
      </c>
      <c r="F5" s="169" t="s">
        <v>5</v>
      </c>
      <c r="G5" s="271" t="s">
        <v>269</v>
      </c>
      <c r="H5" s="271" t="s">
        <v>270</v>
      </c>
      <c r="I5" s="332" t="s">
        <v>271</v>
      </c>
      <c r="J5" s="332" t="s">
        <v>272</v>
      </c>
      <c r="K5" s="169" t="s">
        <v>8</v>
      </c>
      <c r="L5" s="169" t="s">
        <v>9</v>
      </c>
      <c r="M5" s="169" t="s">
        <v>10</v>
      </c>
      <c r="N5" s="169" t="s">
        <v>11</v>
      </c>
      <c r="O5" s="354" t="s">
        <v>14</v>
      </c>
      <c r="P5" s="352" t="s">
        <v>277</v>
      </c>
      <c r="Q5" s="352" t="s">
        <v>278</v>
      </c>
      <c r="R5" s="332" t="s">
        <v>129</v>
      </c>
      <c r="S5" s="332" t="s">
        <v>275</v>
      </c>
      <c r="T5" s="332" t="s">
        <v>276</v>
      </c>
      <c r="U5" s="169" t="s">
        <v>19</v>
      </c>
      <c r="V5" s="169" t="s">
        <v>20</v>
      </c>
      <c r="W5" s="239" t="s">
        <v>22</v>
      </c>
      <c r="X5" s="239" t="s">
        <v>23</v>
      </c>
      <c r="Y5" s="241" t="s">
        <v>21</v>
      </c>
      <c r="Z5" s="242"/>
      <c r="AA5" s="242"/>
      <c r="AB5" s="243"/>
      <c r="AC5" s="173" t="s">
        <v>207</v>
      </c>
      <c r="AD5" s="174"/>
      <c r="AE5" s="80" t="s">
        <v>226</v>
      </c>
    </row>
    <row r="6" spans="1:40" ht="47.25" customHeight="1">
      <c r="A6" s="169"/>
      <c r="B6" s="169"/>
      <c r="C6" s="169"/>
      <c r="D6" s="169"/>
      <c r="E6" s="169"/>
      <c r="F6" s="169"/>
      <c r="G6" s="272"/>
      <c r="H6" s="272"/>
      <c r="I6" s="333"/>
      <c r="J6" s="333"/>
      <c r="K6" s="169"/>
      <c r="L6" s="169"/>
      <c r="M6" s="169"/>
      <c r="N6" s="169"/>
      <c r="O6" s="353"/>
      <c r="P6" s="353"/>
      <c r="Q6" s="353"/>
      <c r="R6" s="333"/>
      <c r="S6" s="333"/>
      <c r="T6" s="333"/>
      <c r="U6" s="169"/>
      <c r="V6" s="169"/>
      <c r="W6" s="240"/>
      <c r="X6" s="240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208</v>
      </c>
      <c r="AD6" s="74" t="s">
        <v>209</v>
      </c>
      <c r="AE6" s="80" t="s">
        <v>227</v>
      </c>
      <c r="AF6" s="54" t="s">
        <v>115</v>
      </c>
    </row>
    <row r="7" spans="1:40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>
      <c r="A1" s="167" t="str">
        <f>정보!L2</f>
        <v>(2UP) 제작변환 ( 경기도 광명 철산주공13단지아파트 ) _추영덕소장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"/>
      <c r="AK1" s="1"/>
      <c r="AL1" s="251" t="s">
        <v>75</v>
      </c>
      <c r="AM1" s="251"/>
      <c r="AN1" s="251"/>
      <c r="AS1" s="24"/>
    </row>
    <row r="2" spans="1:54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15" t="s">
        <v>303</v>
      </c>
      <c r="H2" s="215"/>
      <c r="I2" s="215"/>
      <c r="J2" s="264">
        <v>0</v>
      </c>
      <c r="K2" s="264"/>
      <c r="L2" s="264"/>
      <c r="M2" s="264"/>
      <c r="N2" s="355" t="s">
        <v>113</v>
      </c>
      <c r="O2" s="355"/>
      <c r="P2" s="355"/>
      <c r="Q2" s="355"/>
      <c r="R2" s="262">
        <v>1</v>
      </c>
      <c r="S2" s="262"/>
      <c r="T2" s="356" t="s">
        <v>103</v>
      </c>
      <c r="U2" s="357"/>
      <c r="V2" s="358"/>
      <c r="W2" s="108">
        <v>0</v>
      </c>
      <c r="X2" s="121"/>
      <c r="Y2" s="259" t="s">
        <v>88</v>
      </c>
      <c r="Z2" s="260"/>
      <c r="AA2" s="257">
        <v>0</v>
      </c>
      <c r="AB2" s="257"/>
      <c r="AC2" s="253" t="s">
        <v>82</v>
      </c>
      <c r="AD2" s="254"/>
      <c r="AE2" s="255">
        <v>4</v>
      </c>
      <c r="AF2" s="255"/>
      <c r="AG2" s="98" t="s">
        <v>114</v>
      </c>
      <c r="AH2" s="252">
        <v>0</v>
      </c>
      <c r="AI2" s="252"/>
      <c r="AJ2" s="1"/>
      <c r="AK2" s="1"/>
      <c r="AL2" s="251"/>
      <c r="AM2" s="251"/>
      <c r="AN2" s="251"/>
      <c r="AS2" s="24"/>
    </row>
    <row r="3" spans="1:54" ht="33" customHeight="1">
      <c r="A3" s="33" t="str">
        <f>'2UP(실측)'!A3</f>
        <v>현장명 : 경기도 광명 철산주공13단지아파트,   (재질) : HL 1.2T</v>
      </c>
      <c r="B3" s="2"/>
      <c r="C3" s="2"/>
      <c r="D3" s="2"/>
      <c r="E3" s="2"/>
      <c r="F3" s="2"/>
      <c r="G3" s="253" t="s">
        <v>76</v>
      </c>
      <c r="H3" s="253"/>
      <c r="I3" s="253"/>
      <c r="J3" s="265">
        <v>0</v>
      </c>
      <c r="K3" s="265"/>
      <c r="L3" s="265"/>
      <c r="M3" s="265"/>
      <c r="N3" s="253" t="s">
        <v>77</v>
      </c>
      <c r="O3" s="253"/>
      <c r="P3" s="266">
        <v>0</v>
      </c>
      <c r="Q3" s="266"/>
      <c r="R3" s="220" t="s">
        <v>222</v>
      </c>
      <c r="S3" s="220"/>
      <c r="T3" s="220"/>
      <c r="U3" s="268">
        <f>BA7</f>
        <v>1</v>
      </c>
      <c r="V3" s="268"/>
      <c r="W3" s="268"/>
      <c r="X3" s="122"/>
      <c r="Y3" s="263" t="s">
        <v>78</v>
      </c>
      <c r="Z3" s="263"/>
      <c r="AA3" s="256">
        <v>0</v>
      </c>
      <c r="AB3" s="256"/>
      <c r="AE3" s="169" t="s">
        <v>73</v>
      </c>
      <c r="AF3" s="169"/>
      <c r="AG3" s="106">
        <v>3</v>
      </c>
      <c r="AH3" s="4" t="s">
        <v>74</v>
      </c>
      <c r="AI3" s="138">
        <v>4</v>
      </c>
      <c r="AJ3" s="282" t="s">
        <v>325</v>
      </c>
      <c r="AK3" s="214"/>
      <c r="AL3" s="160" t="e">
        <f>AO7</f>
        <v>#DIV/0!</v>
      </c>
      <c r="AM3" s="25"/>
      <c r="AN3" s="24"/>
      <c r="AS3" s="24"/>
    </row>
    <row r="4" spans="1:54" ht="33" customHeight="1">
      <c r="A4" s="359" t="str">
        <f>'2UP(실측)'!A4:AB4</f>
        <v>제작치수 반영 : JB/JD +(0 ),  늘어난치수K -(0),  C + (0),   U + (0), OP - (0), R - (0),  기둥차감 - (4), A + (0)</v>
      </c>
      <c r="B4" s="359"/>
      <c r="C4" s="359"/>
      <c r="D4" s="359"/>
      <c r="E4" s="359"/>
      <c r="F4" s="359"/>
      <c r="G4" s="359"/>
      <c r="H4" s="359"/>
      <c r="I4" s="359"/>
      <c r="J4" s="359"/>
      <c r="K4" s="359"/>
      <c r="L4" s="359"/>
      <c r="M4" s="359"/>
      <c r="N4" s="359"/>
      <c r="O4" s="359"/>
      <c r="P4" s="359"/>
      <c r="Q4" s="359"/>
      <c r="R4" s="359"/>
      <c r="S4" s="359"/>
      <c r="T4" s="359"/>
      <c r="U4" s="359"/>
      <c r="V4" s="359"/>
      <c r="W4" s="359"/>
      <c r="X4" s="75"/>
      <c r="Y4" s="360" t="s">
        <v>326</v>
      </c>
      <c r="Z4" s="361"/>
      <c r="AA4" s="362">
        <f>AC7</f>
        <v>0</v>
      </c>
      <c r="AB4" s="363"/>
      <c r="AC4" s="75"/>
      <c r="AD4" s="75"/>
      <c r="AE4" s="75"/>
      <c r="AF4" s="75"/>
      <c r="AG4" s="9"/>
      <c r="AH4" s="224">
        <f ca="1">TODAY()</f>
        <v>45274</v>
      </c>
      <c r="AI4" s="164"/>
      <c r="AJ4" s="175" t="s">
        <v>210</v>
      </c>
      <c r="AK4" s="175"/>
      <c r="AL4" s="25"/>
      <c r="AM4" s="25"/>
      <c r="AN4" s="24"/>
      <c r="AS4" s="24"/>
      <c r="BA4" s="179" t="s">
        <v>248</v>
      </c>
    </row>
    <row r="5" spans="1:54" ht="25.9" customHeight="1">
      <c r="A5" s="169" t="s">
        <v>0</v>
      </c>
      <c r="B5" s="169" t="s">
        <v>1</v>
      </c>
      <c r="C5" s="169" t="s">
        <v>3</v>
      </c>
      <c r="D5" s="169" t="s">
        <v>18</v>
      </c>
      <c r="E5" s="170" t="s">
        <v>58</v>
      </c>
      <c r="F5" s="170" t="s">
        <v>59</v>
      </c>
      <c r="G5" s="269" t="s">
        <v>60</v>
      </c>
      <c r="H5" s="269" t="s">
        <v>64</v>
      </c>
      <c r="I5" s="271" t="s">
        <v>65</v>
      </c>
      <c r="J5" s="271" t="s">
        <v>66</v>
      </c>
      <c r="K5" s="364" t="s">
        <v>273</v>
      </c>
      <c r="L5" s="364" t="s">
        <v>274</v>
      </c>
      <c r="M5" s="239" t="s">
        <v>62</v>
      </c>
      <c r="N5" s="239" t="s">
        <v>63</v>
      </c>
      <c r="O5" s="169" t="s">
        <v>8</v>
      </c>
      <c r="P5" s="169" t="s">
        <v>9</v>
      </c>
      <c r="Q5" s="169" t="s">
        <v>10</v>
      </c>
      <c r="R5" s="169" t="s">
        <v>11</v>
      </c>
      <c r="S5" s="354" t="s">
        <v>14</v>
      </c>
      <c r="T5" s="352" t="s">
        <v>277</v>
      </c>
      <c r="U5" s="352" t="s">
        <v>278</v>
      </c>
      <c r="V5" s="332" t="s">
        <v>129</v>
      </c>
      <c r="W5" s="332" t="s">
        <v>275</v>
      </c>
      <c r="X5" s="332" t="s">
        <v>276</v>
      </c>
      <c r="Y5" s="169" t="s">
        <v>19</v>
      </c>
      <c r="Z5" s="273" t="s">
        <v>20</v>
      </c>
      <c r="AA5" s="239" t="s">
        <v>22</v>
      </c>
      <c r="AB5" s="239" t="s">
        <v>23</v>
      </c>
      <c r="AC5" s="241" t="s">
        <v>21</v>
      </c>
      <c r="AD5" s="242"/>
      <c r="AE5" s="242"/>
      <c r="AF5" s="243"/>
      <c r="AG5" s="170" t="s">
        <v>25</v>
      </c>
      <c r="AH5" s="275" t="s">
        <v>34</v>
      </c>
      <c r="AI5" s="170" t="s">
        <v>35</v>
      </c>
      <c r="AJ5" s="173" t="s">
        <v>207</v>
      </c>
      <c r="AK5" s="174"/>
      <c r="AL5" s="179" t="s">
        <v>300</v>
      </c>
      <c r="AM5" s="179" t="s">
        <v>301</v>
      </c>
      <c r="AN5" s="274" t="s">
        <v>51</v>
      </c>
      <c r="AU5" s="180" t="s">
        <v>28</v>
      </c>
      <c r="AV5" s="180"/>
      <c r="AW5" s="180" t="s">
        <v>29</v>
      </c>
      <c r="AX5" s="180"/>
      <c r="BA5" s="180"/>
    </row>
    <row r="6" spans="1:54" ht="48" customHeight="1">
      <c r="A6" s="169"/>
      <c r="B6" s="169"/>
      <c r="C6" s="169"/>
      <c r="D6" s="169"/>
      <c r="E6" s="169"/>
      <c r="F6" s="169"/>
      <c r="G6" s="270"/>
      <c r="H6" s="270"/>
      <c r="I6" s="272"/>
      <c r="J6" s="272"/>
      <c r="K6" s="365"/>
      <c r="L6" s="365"/>
      <c r="M6" s="240"/>
      <c r="N6" s="240"/>
      <c r="O6" s="169"/>
      <c r="P6" s="169"/>
      <c r="Q6" s="169"/>
      <c r="R6" s="169"/>
      <c r="S6" s="353"/>
      <c r="T6" s="353"/>
      <c r="U6" s="353"/>
      <c r="V6" s="333"/>
      <c r="W6" s="333"/>
      <c r="X6" s="333"/>
      <c r="Y6" s="169"/>
      <c r="Z6" s="273"/>
      <c r="AA6" s="240"/>
      <c r="AB6" s="240"/>
      <c r="AC6" s="8" t="s">
        <v>56</v>
      </c>
      <c r="AD6" s="8" t="s">
        <v>57</v>
      </c>
      <c r="AE6" s="8" t="s">
        <v>54</v>
      </c>
      <c r="AF6" s="8" t="s">
        <v>55</v>
      </c>
      <c r="AG6" s="169"/>
      <c r="AH6" s="276"/>
      <c r="AI6" s="169"/>
      <c r="AJ6" s="74" t="s">
        <v>208</v>
      </c>
      <c r="AK6" s="74" t="s">
        <v>209</v>
      </c>
      <c r="AL6" s="180"/>
      <c r="AM6" s="180"/>
      <c r="AN6" s="274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220</v>
      </c>
      <c r="BB6" s="82" t="s">
        <v>228</v>
      </c>
    </row>
    <row r="7" spans="1:54" ht="26.25" customHeight="1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-4</v>
      </c>
      <c r="T7" s="4">
        <f>'2UP(실측)'!P7</f>
        <v>0</v>
      </c>
      <c r="U7" s="4">
        <f>'2UP(실측)'!Q7-UP2멍텅기둥차감</f>
        <v>-4</v>
      </c>
      <c r="V7" s="4">
        <f>'2UP(실측)'!R7-UP2멍텅기둥차감</f>
        <v>-4</v>
      </c>
      <c r="W7" s="4">
        <f>'2UP(실측)'!S7</f>
        <v>0</v>
      </c>
      <c r="X7" s="4">
        <f>'2UP(실측)'!T7-UP2멍텅기둥차감</f>
        <v>-4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0*-2.4</v>
      </c>
      <c r="AH7" s="12" t="str">
        <f t="shared" ref="AH7" si="2">AV7&amp;"*"&amp;AU7</f>
        <v>-4*-2.6</v>
      </c>
      <c r="AI7" s="10" t="str">
        <f t="shared" ref="AI7" si="3">AX7&amp;"*"&amp;AW7</f>
        <v>-4*-2.6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-4</v>
      </c>
      <c r="AW7" s="3">
        <f>R7+P7+MAX(I7,J7)+AB7-1.2*$AI$3+IF(BA7=0,MAX(AE7,AF7))+IF(R7=0,1.2,0)</f>
        <v>-2.5999999999999996</v>
      </c>
      <c r="AX7" s="3">
        <f>MAX(V7,W7+X7)</f>
        <v>-4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>
      <c r="A1" s="366" t="str">
        <f>정보!K3</f>
        <v>(3UP) 실측서 ( 경기도 광명 철산주공13단지아파트 ) _추영덕소장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1"/>
      <c r="AJ1" s="1"/>
      <c r="AK1" s="1"/>
    </row>
    <row r="2" spans="1:46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>
      <c r="A3" s="5" t="str">
        <f>"현장명 : " &amp; 정보!B1 &amp; ",   (재질) : " &amp; 정보!B8</f>
        <v>현장명 : 경기도 광명 철산주공13단지아파트,   (재질) : HL 1.2T</v>
      </c>
      <c r="B3" s="2"/>
      <c r="C3" s="2"/>
      <c r="D3" s="2"/>
      <c r="E3" s="2"/>
      <c r="F3" s="2"/>
      <c r="G3" s="250"/>
      <c r="H3" s="250"/>
      <c r="I3" s="250"/>
      <c r="J3" s="250"/>
      <c r="K3" s="23"/>
      <c r="L3" s="23"/>
      <c r="M3" s="247"/>
      <c r="N3" s="247"/>
      <c r="O3" s="248"/>
      <c r="P3" s="248"/>
      <c r="Q3" s="249"/>
      <c r="R3" s="249"/>
      <c r="S3" s="249"/>
      <c r="T3" s="249"/>
      <c r="U3" s="120"/>
      <c r="V3" s="244" t="s">
        <v>97</v>
      </c>
      <c r="W3" s="244"/>
      <c r="X3" s="244"/>
      <c r="Y3" s="244"/>
      <c r="Z3" s="245"/>
      <c r="AA3" s="245"/>
      <c r="AB3" s="246"/>
      <c r="AC3" s="246"/>
    </row>
    <row r="4" spans="1:46" ht="33" customHeight="1">
      <c r="A4" s="165" t="str">
        <f>정보!B18</f>
        <v>제작치수 반영 : JB/JD +(0 ),  늘어난치수K -(0),  C + (0),   U + (0), OP - (0), R - (0),  기둥차감 - (4), A + (0)</v>
      </c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  <c r="AG4" s="165"/>
      <c r="AH4" s="165"/>
      <c r="AI4" s="175" t="s">
        <v>210</v>
      </c>
      <c r="AJ4" s="175"/>
      <c r="AK4" s="81" t="s">
        <v>229</v>
      </c>
    </row>
    <row r="5" spans="1:46" ht="25.9" customHeight="1">
      <c r="A5" s="169" t="s">
        <v>0</v>
      </c>
      <c r="B5" s="169" t="s">
        <v>1</v>
      </c>
      <c r="C5" s="169" t="s">
        <v>3</v>
      </c>
      <c r="D5" s="169" t="s">
        <v>18</v>
      </c>
      <c r="E5" s="169" t="s">
        <v>4</v>
      </c>
      <c r="F5" s="169" t="s">
        <v>5</v>
      </c>
      <c r="G5" s="271" t="s">
        <v>269</v>
      </c>
      <c r="H5" s="271" t="s">
        <v>279</v>
      </c>
      <c r="I5" s="271" t="s">
        <v>270</v>
      </c>
      <c r="J5" s="332" t="s">
        <v>271</v>
      </c>
      <c r="K5" s="332" t="s">
        <v>280</v>
      </c>
      <c r="L5" s="332" t="s">
        <v>272</v>
      </c>
      <c r="M5" s="169" t="s">
        <v>8</v>
      </c>
      <c r="N5" s="169" t="s">
        <v>9</v>
      </c>
      <c r="O5" s="169" t="s">
        <v>10</v>
      </c>
      <c r="P5" s="169" t="s">
        <v>11</v>
      </c>
      <c r="Q5" s="354" t="s">
        <v>14</v>
      </c>
      <c r="R5" s="352" t="s">
        <v>277</v>
      </c>
      <c r="S5" s="352" t="s">
        <v>281</v>
      </c>
      <c r="T5" s="352" t="s">
        <v>278</v>
      </c>
      <c r="U5" s="332" t="s">
        <v>129</v>
      </c>
      <c r="V5" s="332" t="s">
        <v>275</v>
      </c>
      <c r="W5" s="332" t="s">
        <v>282</v>
      </c>
      <c r="X5" s="332" t="s">
        <v>276</v>
      </c>
      <c r="Y5" s="169" t="s">
        <v>19</v>
      </c>
      <c r="Z5" s="169" t="s">
        <v>20</v>
      </c>
      <c r="AA5" s="239" t="s">
        <v>22</v>
      </c>
      <c r="AB5" s="239" t="s">
        <v>23</v>
      </c>
      <c r="AC5" s="241" t="s">
        <v>21</v>
      </c>
      <c r="AD5" s="242"/>
      <c r="AE5" s="242"/>
      <c r="AF5" s="242"/>
      <c r="AG5" s="242"/>
      <c r="AH5" s="243"/>
      <c r="AI5" s="173" t="s">
        <v>207</v>
      </c>
      <c r="AJ5" s="174"/>
      <c r="AK5" s="80" t="s">
        <v>226</v>
      </c>
    </row>
    <row r="6" spans="1:46" ht="47.25" customHeight="1">
      <c r="A6" s="169"/>
      <c r="B6" s="169"/>
      <c r="C6" s="169"/>
      <c r="D6" s="169"/>
      <c r="E6" s="169"/>
      <c r="F6" s="169"/>
      <c r="G6" s="272"/>
      <c r="H6" s="272"/>
      <c r="I6" s="272"/>
      <c r="J6" s="333"/>
      <c r="K6" s="333"/>
      <c r="L6" s="333"/>
      <c r="M6" s="169"/>
      <c r="N6" s="169"/>
      <c r="O6" s="169"/>
      <c r="P6" s="169"/>
      <c r="Q6" s="353"/>
      <c r="R6" s="353"/>
      <c r="S6" s="353"/>
      <c r="T6" s="353"/>
      <c r="U6" s="333"/>
      <c r="V6" s="333"/>
      <c r="W6" s="333"/>
      <c r="X6" s="333"/>
      <c r="Y6" s="169"/>
      <c r="Z6" s="169"/>
      <c r="AA6" s="240"/>
      <c r="AB6" s="240"/>
      <c r="AC6" s="8" t="s">
        <v>52</v>
      </c>
      <c r="AD6" s="8" t="s">
        <v>298</v>
      </c>
      <c r="AE6" s="8" t="s">
        <v>53</v>
      </c>
      <c r="AF6" s="8" t="s">
        <v>54</v>
      </c>
      <c r="AG6" s="8" t="s">
        <v>299</v>
      </c>
      <c r="AH6" s="8" t="s">
        <v>55</v>
      </c>
      <c r="AI6" s="74" t="s">
        <v>208</v>
      </c>
      <c r="AJ6" s="74" t="s">
        <v>209</v>
      </c>
      <c r="AK6" s="80" t="s">
        <v>227</v>
      </c>
      <c r="AL6" s="54" t="s">
        <v>115</v>
      </c>
    </row>
    <row r="7" spans="1:46" ht="27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>
      <c r="A1" s="167" t="str">
        <f>정보!L3</f>
        <v>(3UP) 제작변환 ( 경기도 광명 철산주공13단지아파트 ) _추영덕소장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"/>
      <c r="AQ1" s="1"/>
      <c r="AR1" s="251" t="s">
        <v>75</v>
      </c>
      <c r="AS1" s="251"/>
      <c r="AT1" s="251"/>
      <c r="AY1" s="24"/>
    </row>
    <row r="2" spans="1:60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60" t="s">
        <v>304</v>
      </c>
      <c r="H2" s="369"/>
      <c r="I2" s="369"/>
      <c r="J2" s="369"/>
      <c r="K2" s="361"/>
      <c r="L2" s="264">
        <v>0</v>
      </c>
      <c r="M2" s="264"/>
      <c r="N2" s="264"/>
      <c r="O2" s="264"/>
      <c r="P2" s="261" t="s">
        <v>113</v>
      </c>
      <c r="Q2" s="261"/>
      <c r="R2" s="261"/>
      <c r="S2" s="261"/>
      <c r="T2" s="262">
        <v>1</v>
      </c>
      <c r="U2" s="262"/>
      <c r="V2" s="259" t="s">
        <v>103</v>
      </c>
      <c r="W2" s="259"/>
      <c r="X2" s="260"/>
      <c r="Y2" s="370">
        <v>0</v>
      </c>
      <c r="Z2" s="371"/>
      <c r="AA2" s="367"/>
      <c r="AB2" s="368"/>
      <c r="AC2" s="259" t="s">
        <v>88</v>
      </c>
      <c r="AD2" s="260"/>
      <c r="AE2" s="257">
        <v>0</v>
      </c>
      <c r="AF2" s="257"/>
      <c r="AG2" s="253" t="s">
        <v>82</v>
      </c>
      <c r="AH2" s="253"/>
      <c r="AI2" s="254"/>
      <c r="AJ2" s="255">
        <v>4</v>
      </c>
      <c r="AK2" s="255"/>
      <c r="AL2" s="255"/>
      <c r="AM2" s="98" t="s">
        <v>114</v>
      </c>
      <c r="AN2" s="252">
        <v>0</v>
      </c>
      <c r="AO2" s="252"/>
      <c r="AP2" s="1"/>
      <c r="AQ2" s="1"/>
      <c r="AR2" s="251"/>
      <c r="AS2" s="251"/>
      <c r="AT2" s="251"/>
      <c r="AY2" s="24"/>
    </row>
    <row r="3" spans="1:60" ht="33" customHeight="1">
      <c r="A3" s="33" t="str">
        <f>'3UP(실측)'!A3</f>
        <v>현장명 : 경기도 광명 철산주공13단지아파트,   (재질) : HL 1.2T</v>
      </c>
      <c r="B3" s="2"/>
      <c r="C3" s="2"/>
      <c r="D3" s="2"/>
      <c r="E3" s="2"/>
      <c r="F3" s="2"/>
      <c r="G3" s="356" t="s">
        <v>76</v>
      </c>
      <c r="H3" s="374"/>
      <c r="I3" s="374"/>
      <c r="J3" s="374"/>
      <c r="K3" s="375"/>
      <c r="L3" s="265">
        <v>0</v>
      </c>
      <c r="M3" s="265"/>
      <c r="N3" s="265"/>
      <c r="O3" s="265"/>
      <c r="P3" s="253" t="s">
        <v>77</v>
      </c>
      <c r="Q3" s="253"/>
      <c r="R3" s="266">
        <v>0</v>
      </c>
      <c r="S3" s="266"/>
      <c r="T3" s="376" t="s">
        <v>284</v>
      </c>
      <c r="U3" s="377"/>
      <c r="V3" s="377"/>
      <c r="W3" s="378"/>
      <c r="X3" s="268">
        <f>BG7</f>
        <v>1</v>
      </c>
      <c r="Y3" s="268"/>
      <c r="Z3" s="268"/>
      <c r="AA3" s="372"/>
      <c r="AB3" s="373"/>
      <c r="AC3" s="263" t="s">
        <v>78</v>
      </c>
      <c r="AD3" s="263"/>
      <c r="AE3" s="256">
        <v>0</v>
      </c>
      <c r="AF3" s="256"/>
      <c r="AJ3" s="169" t="s">
        <v>73</v>
      </c>
      <c r="AK3" s="169"/>
      <c r="AL3" s="169"/>
      <c r="AM3" s="106">
        <v>3</v>
      </c>
      <c r="AN3" s="4" t="s">
        <v>74</v>
      </c>
      <c r="AO3" s="138">
        <v>4</v>
      </c>
      <c r="AP3" s="379" t="s">
        <v>321</v>
      </c>
      <c r="AQ3" s="380"/>
      <c r="AR3" s="160" t="e">
        <f>AU7</f>
        <v>#DIV/0!</v>
      </c>
      <c r="AS3" s="25"/>
      <c r="AT3" s="24"/>
      <c r="AY3" s="24"/>
    </row>
    <row r="4" spans="1:60" ht="33" customHeight="1">
      <c r="A4" s="359" t="str">
        <f>'3UP(실측)'!A4:AH4</f>
        <v>제작치수 반영 : JB/JD +(0 ),  늘어난치수K -(0),  C + (0),   U + (0), OP - (0), R - (0),  기둥차감 - (4), A + (0)</v>
      </c>
      <c r="B4" s="359"/>
      <c r="C4" s="359"/>
      <c r="D4" s="359"/>
      <c r="E4" s="359"/>
      <c r="F4" s="359"/>
      <c r="G4" s="359"/>
      <c r="H4" s="359"/>
      <c r="I4" s="359"/>
      <c r="J4" s="359"/>
      <c r="K4" s="359"/>
      <c r="L4" s="359"/>
      <c r="M4" s="359"/>
      <c r="N4" s="359"/>
      <c r="O4" s="359"/>
      <c r="P4" s="359"/>
      <c r="Q4" s="359"/>
      <c r="R4" s="359"/>
      <c r="S4" s="359"/>
      <c r="T4" s="359"/>
      <c r="U4" s="359"/>
      <c r="V4" s="359"/>
      <c r="W4" s="359"/>
      <c r="X4" s="359"/>
      <c r="Y4" s="359"/>
      <c r="Z4" s="359"/>
      <c r="AA4" s="75"/>
      <c r="AB4" s="75"/>
      <c r="AC4" s="362" t="s">
        <v>327</v>
      </c>
      <c r="AD4" s="279"/>
      <c r="AE4" s="279">
        <f>AG7</f>
        <v>0</v>
      </c>
      <c r="AF4" s="363"/>
      <c r="AG4" s="75"/>
      <c r="AH4" s="75"/>
      <c r="AI4" s="75"/>
      <c r="AJ4" s="75"/>
      <c r="AK4" s="75"/>
      <c r="AL4" s="75"/>
      <c r="AM4" s="9"/>
      <c r="AN4" s="224">
        <f ca="1">TODAY()</f>
        <v>45274</v>
      </c>
      <c r="AO4" s="164"/>
      <c r="AP4" s="175" t="s">
        <v>210</v>
      </c>
      <c r="AQ4" s="175"/>
      <c r="AR4" s="25"/>
      <c r="AS4" s="25"/>
      <c r="AT4" s="24"/>
      <c r="AY4" s="24"/>
      <c r="BG4" s="179" t="s">
        <v>248</v>
      </c>
    </row>
    <row r="5" spans="1:60" ht="25.9" customHeight="1">
      <c r="A5" s="169" t="s">
        <v>0</v>
      </c>
      <c r="B5" s="169" t="s">
        <v>1</v>
      </c>
      <c r="C5" s="169" t="s">
        <v>3</v>
      </c>
      <c r="D5" s="169" t="s">
        <v>18</v>
      </c>
      <c r="E5" s="170" t="s">
        <v>58</v>
      </c>
      <c r="F5" s="170" t="s">
        <v>59</v>
      </c>
      <c r="G5" s="271" t="s">
        <v>269</v>
      </c>
      <c r="H5" s="271" t="s">
        <v>279</v>
      </c>
      <c r="I5" s="271" t="s">
        <v>270</v>
      </c>
      <c r="J5" s="332" t="s">
        <v>271</v>
      </c>
      <c r="K5" s="332" t="s">
        <v>280</v>
      </c>
      <c r="L5" s="332" t="s">
        <v>272</v>
      </c>
      <c r="M5" s="364" t="s">
        <v>273</v>
      </c>
      <c r="N5" s="364" t="s">
        <v>283</v>
      </c>
      <c r="O5" s="239" t="s">
        <v>62</v>
      </c>
      <c r="P5" s="239" t="s">
        <v>63</v>
      </c>
      <c r="Q5" s="169" t="s">
        <v>8</v>
      </c>
      <c r="R5" s="169" t="s">
        <v>9</v>
      </c>
      <c r="S5" s="169" t="s">
        <v>10</v>
      </c>
      <c r="T5" s="169" t="s">
        <v>11</v>
      </c>
      <c r="U5" s="354" t="s">
        <v>14</v>
      </c>
      <c r="V5" s="352" t="s">
        <v>277</v>
      </c>
      <c r="W5" s="352" t="s">
        <v>281</v>
      </c>
      <c r="X5" s="352" t="s">
        <v>278</v>
      </c>
      <c r="Y5" s="332" t="s">
        <v>129</v>
      </c>
      <c r="Z5" s="332" t="s">
        <v>275</v>
      </c>
      <c r="AA5" s="332" t="s">
        <v>282</v>
      </c>
      <c r="AB5" s="332" t="s">
        <v>276</v>
      </c>
      <c r="AC5" s="169" t="s">
        <v>19</v>
      </c>
      <c r="AD5" s="273" t="s">
        <v>20</v>
      </c>
      <c r="AE5" s="239" t="s">
        <v>22</v>
      </c>
      <c r="AF5" s="239" t="s">
        <v>23</v>
      </c>
      <c r="AG5" s="241" t="s">
        <v>21</v>
      </c>
      <c r="AH5" s="242"/>
      <c r="AI5" s="242"/>
      <c r="AJ5" s="242"/>
      <c r="AK5" s="242"/>
      <c r="AL5" s="243"/>
      <c r="AM5" s="170" t="s">
        <v>25</v>
      </c>
      <c r="AN5" s="275" t="s">
        <v>34</v>
      </c>
      <c r="AO5" s="170" t="s">
        <v>35</v>
      </c>
      <c r="AP5" s="173" t="s">
        <v>207</v>
      </c>
      <c r="AQ5" s="174"/>
      <c r="AR5" s="179" t="s">
        <v>300</v>
      </c>
      <c r="AS5" s="179" t="s">
        <v>301</v>
      </c>
      <c r="AT5" s="274" t="s">
        <v>51</v>
      </c>
      <c r="BA5" s="180" t="s">
        <v>28</v>
      </c>
      <c r="BB5" s="180"/>
      <c r="BC5" s="180" t="s">
        <v>29</v>
      </c>
      <c r="BD5" s="180"/>
      <c r="BG5" s="180"/>
    </row>
    <row r="6" spans="1:60" ht="48" customHeight="1">
      <c r="A6" s="169"/>
      <c r="B6" s="169"/>
      <c r="C6" s="169"/>
      <c r="D6" s="169"/>
      <c r="E6" s="169"/>
      <c r="F6" s="169"/>
      <c r="G6" s="272"/>
      <c r="H6" s="272"/>
      <c r="I6" s="272"/>
      <c r="J6" s="333"/>
      <c r="K6" s="333"/>
      <c r="L6" s="333"/>
      <c r="M6" s="365"/>
      <c r="N6" s="365"/>
      <c r="O6" s="240"/>
      <c r="P6" s="240"/>
      <c r="Q6" s="169"/>
      <c r="R6" s="169"/>
      <c r="S6" s="169"/>
      <c r="T6" s="169"/>
      <c r="U6" s="353"/>
      <c r="V6" s="353"/>
      <c r="W6" s="353"/>
      <c r="X6" s="353"/>
      <c r="Y6" s="333"/>
      <c r="Z6" s="333"/>
      <c r="AA6" s="333"/>
      <c r="AB6" s="333"/>
      <c r="AC6" s="169"/>
      <c r="AD6" s="273"/>
      <c r="AE6" s="240"/>
      <c r="AF6" s="240"/>
      <c r="AG6" s="8" t="s">
        <v>56</v>
      </c>
      <c r="AH6" s="8" t="s">
        <v>298</v>
      </c>
      <c r="AI6" s="8" t="s">
        <v>57</v>
      </c>
      <c r="AJ6" s="8" t="s">
        <v>54</v>
      </c>
      <c r="AK6" s="8" t="s">
        <v>299</v>
      </c>
      <c r="AL6" s="8" t="s">
        <v>55</v>
      </c>
      <c r="AM6" s="169"/>
      <c r="AN6" s="276"/>
      <c r="AO6" s="169"/>
      <c r="AP6" s="74" t="s">
        <v>208</v>
      </c>
      <c r="AQ6" s="74" t="s">
        <v>209</v>
      </c>
      <c r="AR6" s="180"/>
      <c r="AS6" s="180"/>
      <c r="AT6" s="274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220</v>
      </c>
      <c r="BH6" s="82" t="s">
        <v>228</v>
      </c>
    </row>
    <row r="7" spans="1:60" ht="26.25" customHeight="1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-4</v>
      </c>
      <c r="V7" s="4">
        <f>'3UP(실측)'!R7</f>
        <v>0</v>
      </c>
      <c r="W7" s="4">
        <f>'3UP(실측)'!S7</f>
        <v>0</v>
      </c>
      <c r="X7" s="4">
        <f>'3UP(실측)'!T7-UP3멍텅기둥차감</f>
        <v>-4</v>
      </c>
      <c r="Y7" s="4">
        <f>'3UP(실측)'!U7-UP3멍텅기둥차감</f>
        <v>-4</v>
      </c>
      <c r="Z7" s="4">
        <f>'3UP(실측)'!V7</f>
        <v>0</v>
      </c>
      <c r="AA7" s="4">
        <f>'3UP(실측)'!W7</f>
        <v>0</v>
      </c>
      <c r="AB7" s="4">
        <f>'3UP(실측)'!X7-UP3멍텅기둥차감</f>
        <v>-4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0*-2.4</v>
      </c>
      <c r="AN7" s="12" t="str">
        <f t="shared" ref="AN7" si="2">BB7&amp;"*"&amp;BA7</f>
        <v>-4*-2.6</v>
      </c>
      <c r="AO7" s="10" t="str">
        <f t="shared" ref="AO7" si="3">BD7&amp;"*"&amp;BC7</f>
        <v>-4*-2.6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-4</v>
      </c>
      <c r="BC7" s="3">
        <f>T7+R7+MAX(J7,L7)+AF7-1.2*$AO$3+IF(BG7=0,MAX(AJ7,AL7))+IF(T7=0,1.2,0)</f>
        <v>-2.5999999999999996</v>
      </c>
      <c r="BD7" s="3">
        <f>MAX(Y7,Z7+AA7+AB7)</f>
        <v>-4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2023-12-14T06:20:20Z</dcterms:modified>
</cp:coreProperties>
</file>