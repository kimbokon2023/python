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F3622173-AE9A-4DA6-8C50-ABF5DD8D5E91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<sst xmlns="http://schemas.openxmlformats.org/spreadsheetml/2006/main" count="124" uniqueCount="121">
  <si>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</si>
  <si>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</si>
  <si>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</si>
  <si>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</si>
  <si>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</si>
  <si>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</si>
  <si>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</si>
  <si>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</si>
  <si>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</si>
  <si>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</si>
  <si>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</si>
  <si>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</si>
  <si>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</si>
  <si>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</si>
  <si>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</si>
  <si>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</si>
  <si>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</si>
  <si>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</si>
  <si>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</si>
  <si>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</si>
  <si>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</si>
  <si>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</si>
  <si>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</si>
  <si>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</si>
  <si>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</si>
  <si>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</si>
  <si>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</si>
  <si>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</si>
  <si>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</si>
  <si>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</si>
  <si>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</si>
  <si>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</si>
  <si>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</si>
  <si>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</si>
  <si>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</si>
  <si>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</si>
  <si>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</si>
  <si>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</si>
  <si>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</si>
  <si>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</si>
  <si>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</si>
  <si>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</si>
  <si>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</si>
  <si>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</si>
  <si>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</si>
  <si>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</si>
  <si>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</si>
  <si>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</si>
  <si>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</si>
  <si>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</si>
  <si>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</si>
  <si>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</si>
  <si>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</si>
  <si>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</si>
  <si>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</si>
  <si>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</si>
  <si>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</si>
  <si>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</si>
  <si>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</si>
  <si>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</si>
  <si>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</si>
  <si>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</si>
  <si>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</si>
  <si>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</si>
  <si>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</si>
  <si>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</si>
  <si>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</si>
  <si>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</si>
  <si>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</si>
  <si>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</si>
  <si>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</si>
  <si>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</si>
  <si>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</si>
  <si>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</si>
  <si>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</si>
  <si>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</si>
  <si>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</si>
  <si>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</si>
  <si>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</si>
  <si>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</si>
  <si>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</si>
  <si>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</si>
  <si>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</si>
  <si>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</si>
  <si>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</si>
  <si>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</si>
  <si>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</si>
  <si>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</si>
  <si>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</si>
  <si>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</si>
  <si>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</si>
  <si>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</si>
  <si>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</si>
  <si>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</si>
  <si>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</si>
  <si>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</si>
  <si>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</si>
  <si>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</si>
  <si>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</si>
  <si>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</si>
  <si>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</si>
  <si>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</si>
  <si>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</si>
  <si>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</si>
  <si>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에이스코리아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</si>
  <si>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</si>
  <si>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</si>
  <si>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</si>
  <si>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</si>
  <si>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</si>
  <si>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</si>
  <si>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</si>
  <si>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</si>
  <si>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</si>
  <si>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</si>
  <si>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</si>
  <si>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</si>
  <si>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</si>
  <si>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마리솔루션</t>
    <phoneticPr fontId="1" type="noConversion"/>
  </si>
  <si>
    <t>옥암빌딩</t>
    <phoneticPr fontId="1" type="noConversion"/>
  </si>
  <si>
    <t>N20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</si>
</sst>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2" fillId="7" borderId="7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topLeftCell="A4" zoomScaleNormal="100" workbookViewId="0">
      <selection activeCell="V5" sqref="V5:Y5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3" t="s">
        <v>106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</row>
    <row r="2" spans="1:25" ht="34.5" customHeight="1">
      <c r="A2" s="77" t="s">
        <v>32</v>
      </c>
      <c r="B2" s="78"/>
      <c r="C2" s="78"/>
      <c r="D2" s="84" t="s">
        <v>118</v>
      </c>
      <c r="E2" s="84"/>
      <c r="F2" s="84"/>
      <c r="G2" s="84"/>
      <c r="H2" s="84"/>
      <c r="I2" s="84"/>
      <c r="J2" s="84"/>
      <c r="K2" s="84"/>
      <c r="L2" s="84"/>
      <c r="M2" s="78" t="s">
        <v>5</v>
      </c>
      <c r="N2" s="78"/>
      <c r="O2" s="78"/>
      <c r="P2" s="88" t="s">
        <v>55</v>
      </c>
      <c r="Q2" s="89"/>
      <c r="R2" s="16"/>
      <c r="S2" s="88"/>
      <c r="T2" s="89"/>
      <c r="U2" s="92" t="s">
        <v>95</v>
      </c>
      <c r="V2" s="92"/>
      <c r="W2" s="94" t="s">
        <v>103</v>
      </c>
      <c r="X2" s="94"/>
      <c r="Y2" s="95"/>
    </row>
    <row r="3" spans="1:25" ht="34.5" customHeight="1" thickBot="1">
      <c r="A3" s="69" t="s">
        <v>33</v>
      </c>
      <c r="B3" s="70"/>
      <c r="C3" s="70"/>
      <c r="D3" s="85" t="s">
        <v>119</v>
      </c>
      <c r="E3" s="85"/>
      <c r="F3" s="85"/>
      <c r="G3" s="85"/>
      <c r="H3" s="85"/>
      <c r="I3" s="85"/>
      <c r="J3" s="85"/>
      <c r="K3" s="85"/>
      <c r="L3" s="85"/>
      <c r="M3" s="70" t="s">
        <v>6</v>
      </c>
      <c r="N3" s="70"/>
      <c r="O3" s="70"/>
      <c r="P3" s="86">
        <f ca="1">TODAY()</f>
        <v>45358</v>
      </c>
      <c r="Q3" s="87"/>
      <c r="R3" s="15" t="s">
        <v>105</v>
      </c>
      <c r="S3" s="50">
        <v>45361</v>
      </c>
      <c r="T3" s="52"/>
      <c r="U3" s="93"/>
      <c r="V3" s="93"/>
      <c r="W3" s="96"/>
      <c r="X3" s="96"/>
      <c r="Y3" s="97"/>
    </row>
    <row r="4" spans="1:25" ht="9" customHeight="1" thickBo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</row>
    <row r="5" spans="1:25" ht="37.5" customHeight="1">
      <c r="A5" s="79" t="s">
        <v>37</v>
      </c>
      <c r="B5" s="78"/>
      <c r="C5" s="78"/>
      <c r="D5" s="78" t="s">
        <v>31</v>
      </c>
      <c r="E5" s="78"/>
      <c r="F5" s="78"/>
      <c r="G5" s="78" t="s">
        <v>36</v>
      </c>
      <c r="H5" s="78"/>
      <c r="I5" s="78"/>
      <c r="J5" s="90" t="s">
        <v>35</v>
      </c>
      <c r="K5" s="78"/>
      <c r="L5" s="78"/>
      <c r="M5" s="90" t="s">
        <v>38</v>
      </c>
      <c r="N5" s="78"/>
      <c r="O5" s="78"/>
      <c r="P5" s="90" t="s">
        <v>58</v>
      </c>
      <c r="Q5" s="78"/>
      <c r="R5" s="78"/>
      <c r="S5" s="90" t="s">
        <v>59</v>
      </c>
      <c r="T5" s="78"/>
      <c r="U5" s="78"/>
      <c r="V5" s="90" t="s">
        <v>67</v>
      </c>
      <c r="W5" s="90"/>
      <c r="X5" s="90"/>
      <c r="Y5" s="91"/>
    </row>
    <row r="6" spans="1:25" ht="37.5" customHeight="1">
      <c r="A6" s="43"/>
      <c r="B6" s="44"/>
      <c r="C6" s="44"/>
      <c r="D6" s="35" t="s">
        <v>60</v>
      </c>
      <c r="E6" s="35"/>
      <c r="F6" s="35"/>
      <c r="G6" s="35" t="s">
        <v>102</v>
      </c>
      <c r="H6" s="35"/>
      <c r="I6" s="35"/>
      <c r="J6" s="35">
        <v>1</v>
      </c>
      <c r="K6" s="35"/>
      <c r="L6" s="35"/>
      <c r="M6" s="35">
        <v>900</v>
      </c>
      <c r="N6" s="35"/>
      <c r="O6" s="35"/>
      <c r="P6" s="35">
        <v>790</v>
      </c>
      <c r="Q6" s="35"/>
      <c r="R6" s="35"/>
      <c r="S6" s="35">
        <v>1670</v>
      </c>
      <c r="T6" s="35"/>
      <c r="U6" s="35"/>
      <c r="V6" s="35" t="str">
        <f>IF(ISERROR(SEARCH("세화", P8)),"",OP/2-23)</f>
        <v/>
      </c>
      <c r="W6" s="35"/>
      <c r="X6" s="35"/>
      <c r="Y6" s="42"/>
    </row>
    <row r="7" spans="1:25" ht="37.5" customHeight="1">
      <c r="A7" s="43" t="s">
        <v>34</v>
      </c>
      <c r="B7" s="44"/>
      <c r="C7" s="44"/>
      <c r="D7" s="40" t="s">
        <v>57</v>
      </c>
      <c r="E7" s="40"/>
      <c r="F7" s="40"/>
      <c r="G7" s="68"/>
      <c r="H7" s="68"/>
      <c r="I7" s="68"/>
      <c r="J7" s="40"/>
      <c r="K7" s="40"/>
      <c r="L7" s="40"/>
      <c r="M7" s="44" t="s">
        <v>68</v>
      </c>
      <c r="N7" s="44"/>
      <c r="O7" s="44"/>
      <c r="P7" s="40">
        <v>25</v>
      </c>
      <c r="Q7" s="40"/>
      <c r="R7" s="40"/>
      <c r="S7" s="40"/>
      <c r="T7" s="40"/>
      <c r="U7" s="40"/>
      <c r="V7" s="40"/>
      <c r="W7" s="40"/>
      <c r="X7" s="40"/>
      <c r="Y7" s="41"/>
    </row>
    <row r="8" spans="1:25" ht="37.5" customHeight="1" thickBot="1">
      <c r="A8" s="69" t="s">
        <v>69</v>
      </c>
      <c r="B8" s="70"/>
      <c r="C8" s="70"/>
      <c r="D8" s="74">
        <v>12</v>
      </c>
      <c r="E8" s="75"/>
      <c r="F8" s="76"/>
      <c r="G8" s="70" t="s">
        <v>98</v>
      </c>
      <c r="H8" s="70"/>
      <c r="I8" s="70"/>
      <c r="J8" s="71">
        <f>IF(IFERROR(SEARCH("CO",D6),0) &gt; 0, 140, 175)</f>
        <v>140</v>
      </c>
      <c r="K8" s="72"/>
      <c r="L8" s="73"/>
      <c r="M8" s="47" t="s">
        <v>56</v>
      </c>
      <c r="N8" s="48"/>
      <c r="O8" s="49"/>
      <c r="P8" s="50" t="s">
        <v>104</v>
      </c>
      <c r="Q8" s="51"/>
      <c r="R8" s="52"/>
      <c r="S8" s="80" t="s">
        <v>80</v>
      </c>
      <c r="T8" s="80"/>
      <c r="U8" s="80"/>
      <c r="V8" s="53" t="s">
        <v>120</v>
      </c>
      <c r="W8" s="54"/>
      <c r="X8" s="54"/>
      <c r="Y8" s="55"/>
    </row>
    <row r="9" spans="1:25" ht="9.75" customHeight="1" thickBo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27.75" customHeight="1">
      <c r="A10" s="19" t="s">
        <v>79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1"/>
      <c r="M10" s="19" t="s">
        <v>111</v>
      </c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1"/>
    </row>
    <row r="11" spans="1:25" ht="27.75" customHeight="1">
      <c r="A11" s="43" t="s">
        <v>74</v>
      </c>
      <c r="B11" s="44"/>
      <c r="C11" s="44"/>
      <c r="D11" s="44" t="s">
        <v>75</v>
      </c>
      <c r="E11" s="44"/>
      <c r="F11" s="44"/>
      <c r="G11" s="44" t="s">
        <v>76</v>
      </c>
      <c r="H11" s="44"/>
      <c r="I11" s="44"/>
      <c r="J11" s="22" t="s">
        <v>77</v>
      </c>
      <c r="K11" s="23"/>
      <c r="L11" s="24"/>
      <c r="M11" s="28" t="s">
        <v>108</v>
      </c>
      <c r="N11" s="29"/>
      <c r="O11" s="29"/>
      <c r="P11" s="17" t="s">
        <v>109</v>
      </c>
      <c r="Q11" s="17"/>
      <c r="R11" s="17"/>
      <c r="S11" s="29" t="s">
        <v>107</v>
      </c>
      <c r="T11" s="29"/>
      <c r="U11" s="29"/>
      <c r="V11" s="17" t="s">
        <v>110</v>
      </c>
      <c r="W11" s="17"/>
      <c r="X11" s="17"/>
      <c r="Y11" s="18"/>
    </row>
    <row r="12" spans="1:25" ht="27.75" customHeight="1" thickBot="1">
      <c r="A12" s="45">
        <v>1</v>
      </c>
      <c r="B12" s="46"/>
      <c r="C12" s="46"/>
      <c r="D12" s="46">
        <v>140</v>
      </c>
      <c r="E12" s="46"/>
      <c r="F12" s="46"/>
      <c r="G12" s="46">
        <v>75</v>
      </c>
      <c r="H12" s="46"/>
      <c r="I12" s="46"/>
      <c r="J12" s="25"/>
      <c r="K12" s="26"/>
      <c r="L12" s="27"/>
      <c r="M12" s="30" t="s">
        <v>112</v>
      </c>
      <c r="N12" s="31"/>
      <c r="O12" s="31"/>
      <c r="P12" s="32" t="s">
        <v>113</v>
      </c>
      <c r="Q12" s="32"/>
      <c r="R12" s="33">
        <v>1600</v>
      </c>
      <c r="S12" s="33"/>
      <c r="T12" s="32" t="s">
        <v>114</v>
      </c>
      <c r="U12" s="32"/>
      <c r="V12" s="33">
        <v>1030</v>
      </c>
      <c r="W12" s="33"/>
      <c r="X12" s="33"/>
      <c r="Y12" s="34"/>
    </row>
    <row r="13" spans="1:25" ht="9.75" customHeight="1" thickBo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 ht="27.75" customHeight="1">
      <c r="A14" s="36" t="s">
        <v>61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8"/>
    </row>
    <row r="15" spans="1:25" ht="27.75" customHeight="1">
      <c r="A15" s="43" t="s">
        <v>115</v>
      </c>
      <c r="B15" s="44"/>
      <c r="C15" s="44"/>
      <c r="D15" s="44" t="s">
        <v>116</v>
      </c>
      <c r="E15" s="44"/>
      <c r="F15" s="44"/>
      <c r="G15" s="44" t="s">
        <v>117</v>
      </c>
      <c r="H15" s="44"/>
      <c r="I15" s="44"/>
      <c r="J15" s="81" t="s">
        <v>78</v>
      </c>
      <c r="K15" s="81"/>
      <c r="L15" s="64" t="s">
        <v>93</v>
      </c>
      <c r="M15" s="65"/>
      <c r="N15" s="58" t="s">
        <v>94</v>
      </c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60"/>
    </row>
    <row r="16" spans="1:25" ht="27.75" customHeight="1" thickBot="1">
      <c r="A16" s="56">
        <f>SUM(D19:Y19)</f>
        <v>1650</v>
      </c>
      <c r="B16" s="57"/>
      <c r="C16" s="57"/>
      <c r="D16" s="57">
        <f>SUM(D20:Y20)</f>
        <v>1650</v>
      </c>
      <c r="E16" s="57"/>
      <c r="F16" s="57"/>
      <c r="G16" s="57">
        <f>SUM(D21:Y21)</f>
        <v>1550</v>
      </c>
      <c r="H16" s="57"/>
      <c r="I16" s="57"/>
      <c r="J16" s="82">
        <v>2</v>
      </c>
      <c r="K16" s="82"/>
      <c r="L16" s="66">
        <f>VLOOKUP(P8,DATA!$A$42:$B$45,2,FALSE)</f>
        <v>227.5</v>
      </c>
      <c r="M16" s="67"/>
      <c r="N16" s="61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3"/>
    </row>
    <row r="17" spans="1:25" ht="9.9499999999999993" customHeight="1" thickBo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ht="34.5" customHeight="1">
      <c r="A18" s="77" t="s">
        <v>70</v>
      </c>
      <c r="B18" s="78"/>
      <c r="C18" s="78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3" t="s">
        <v>71</v>
      </c>
      <c r="B19" s="44"/>
      <c r="C19" s="44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3" t="s">
        <v>72</v>
      </c>
      <c r="B20" s="44"/>
      <c r="C20" s="44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69" t="s">
        <v>73</v>
      </c>
      <c r="B21" s="70"/>
      <c r="C21" s="7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Y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0"/>
  <sheetViews>
    <sheetView topLeftCell="A13" workbookViewId="0">
      <selection activeCell="B21" sqref="B21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2024-03-07T02:59:22Z</dcterms:modified>
</cp:coreProperties>
</file>