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C470362F-2215-4581-9AAB-A18E015F51D4}" xr6:coauthVersionLast="47" xr6:coauthVersionMax="47" xr10:uidLastSave="{00000000-0000-0000-0000-000000000000}"/>
  <bookViews>
    <workbookView xWindow="-120" yWindow="-120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8" i="2" l="1"/>
  <c r="AV8" i="2"/>
  <c r="AU9" i="2"/>
  <c r="AV9" i="2"/>
  <c r="AU10" i="2"/>
  <c r="AV10" i="2"/>
  <c r="AU11" i="2"/>
  <c r="AV11" i="2"/>
  <c r="AU12" i="2"/>
  <c r="AV12" i="2"/>
  <c r="AU13" i="2"/>
  <c r="AV13" i="2"/>
  <c r="AU14" i="2"/>
  <c r="AV14" i="2"/>
  <c r="AU15" i="2"/>
  <c r="AV15" i="2"/>
  <c r="AU16" i="2"/>
  <c r="AV16" i="2"/>
  <c r="AU17" i="2"/>
  <c r="AV17" i="2"/>
  <c r="AU18" i="2"/>
  <c r="AV18" i="2"/>
  <c r="AU19" i="2"/>
  <c r="AV19" i="2"/>
  <c r="AU20" i="2"/>
  <c r="AV20" i="2"/>
  <c r="AU21" i="2"/>
  <c r="AV21" i="2"/>
  <c r="AU22" i="2"/>
  <c r="AV22" i="2"/>
  <c r="AU23" i="2"/>
  <c r="AV23" i="2"/>
  <c r="AU24" i="2"/>
  <c r="AV24" i="2"/>
  <c r="AU25" i="2"/>
  <c r="AV25" i="2"/>
  <c r="AU26" i="2"/>
  <c r="AV26" i="2"/>
  <c r="AU27" i="2"/>
  <c r="AV27" i="2"/>
  <c r="AU28" i="2"/>
  <c r="AV28" i="2"/>
  <c r="AU29" i="2"/>
  <c r="AV29" i="2"/>
  <c r="AU30" i="2"/>
  <c r="AV30" i="2"/>
  <c r="AU31" i="2"/>
  <c r="AV31" i="2"/>
  <c r="AU32" i="2"/>
  <c r="AV32" i="2"/>
  <c r="AU33" i="2"/>
  <c r="AV33" i="2"/>
  <c r="AU34" i="2"/>
  <c r="AV34" i="2"/>
  <c r="AV7" i="2"/>
  <c r="AU7" i="2"/>
  <c r="I8" i="2"/>
  <c r="J8" i="2"/>
  <c r="I9" i="2"/>
  <c r="J9" i="2"/>
  <c r="I10" i="2"/>
  <c r="J10" i="2" s="1"/>
  <c r="AS10" i="2" s="1"/>
  <c r="I11" i="2"/>
  <c r="J11" i="2"/>
  <c r="I12" i="2"/>
  <c r="J12" i="2"/>
  <c r="AS12" i="2" s="1"/>
  <c r="I13" i="2"/>
  <c r="J13" i="2"/>
  <c r="I14" i="2"/>
  <c r="J14" i="2"/>
  <c r="AS14" i="2" s="1"/>
  <c r="I15" i="2"/>
  <c r="J15" i="2"/>
  <c r="I16" i="2"/>
  <c r="J16" i="2"/>
  <c r="I17" i="2"/>
  <c r="J17" i="2"/>
  <c r="I18" i="2"/>
  <c r="J18" i="2" s="1"/>
  <c r="AS18" i="2" s="1"/>
  <c r="I19" i="2"/>
  <c r="J19" i="2"/>
  <c r="I20" i="2"/>
  <c r="J20" i="2"/>
  <c r="AS20" i="2" s="1"/>
  <c r="I21" i="2"/>
  <c r="J21" i="2"/>
  <c r="I22" i="2"/>
  <c r="J22" i="2"/>
  <c r="AS22" i="2" s="1"/>
  <c r="I23" i="2"/>
  <c r="J23" i="2"/>
  <c r="I24" i="2"/>
  <c r="J24" i="2"/>
  <c r="I25" i="2"/>
  <c r="J25" i="2"/>
  <c r="I26" i="2"/>
  <c r="J26" i="2" s="1"/>
  <c r="AS26" i="2" s="1"/>
  <c r="I27" i="2"/>
  <c r="J27" i="2"/>
  <c r="I28" i="2"/>
  <c r="J28" i="2"/>
  <c r="AS28" i="2" s="1"/>
  <c r="I29" i="2"/>
  <c r="J29" i="2"/>
  <c r="I30" i="2"/>
  <c r="J30" i="2"/>
  <c r="AS30" i="2" s="1"/>
  <c r="I31" i="2"/>
  <c r="J31" i="2"/>
  <c r="I32" i="2"/>
  <c r="J32" i="2"/>
  <c r="I33" i="2"/>
  <c r="J33" i="2"/>
  <c r="I34" i="2"/>
  <c r="J34" i="2" s="1"/>
  <c r="AS34" i="2" s="1"/>
  <c r="J7" i="2"/>
  <c r="I7" i="2"/>
  <c r="AT34" i="8"/>
  <c r="T34" i="8" s="1"/>
  <c r="P34" i="8" s="1"/>
  <c r="N34" i="8" s="1"/>
  <c r="AS34" i="8"/>
  <c r="AY34" i="8" s="1"/>
  <c r="AR34" i="8"/>
  <c r="AQ34" i="8"/>
  <c r="AP34" i="8"/>
  <c r="AO34" i="8"/>
  <c r="AN34" i="8"/>
  <c r="AM34" i="8"/>
  <c r="AF34" i="8"/>
  <c r="AE34" i="8"/>
  <c r="AC34" i="8"/>
  <c r="AD34" i="8" s="1"/>
  <c r="AB34" i="8"/>
  <c r="AA34" i="8"/>
  <c r="Y34" i="8"/>
  <c r="X34" i="8"/>
  <c r="W34" i="8"/>
  <c r="V34" i="8"/>
  <c r="U34" i="8"/>
  <c r="F34" i="8"/>
  <c r="E34" i="8"/>
  <c r="B34" i="8"/>
  <c r="A34" i="8"/>
  <c r="AT33" i="8"/>
  <c r="T33" i="8" s="1"/>
  <c r="P33" i="8" s="1"/>
  <c r="N33" i="8" s="1"/>
  <c r="AS33" i="8"/>
  <c r="AY33" i="8" s="1"/>
  <c r="AR33" i="8"/>
  <c r="AQ33" i="8"/>
  <c r="AP33" i="8"/>
  <c r="AO33" i="8"/>
  <c r="AN33" i="8"/>
  <c r="AM33" i="8"/>
  <c r="AE33" i="8"/>
  <c r="AF33" i="8" s="1"/>
  <c r="AD33" i="8"/>
  <c r="AC33" i="8"/>
  <c r="AB33" i="8"/>
  <c r="AA33" i="8"/>
  <c r="Y33" i="8"/>
  <c r="D33" i="8" s="1"/>
  <c r="AH33" i="8" s="1"/>
  <c r="X33" i="8"/>
  <c r="W33" i="8"/>
  <c r="V33" i="8"/>
  <c r="U33" i="8"/>
  <c r="F33" i="8"/>
  <c r="E33" i="8"/>
  <c r="B33" i="8"/>
  <c r="A33" i="8"/>
  <c r="AT32" i="8"/>
  <c r="AS32" i="8"/>
  <c r="AY32" i="8" s="1"/>
  <c r="AR32" i="8"/>
  <c r="AQ32" i="8"/>
  <c r="AP32" i="8"/>
  <c r="AO32" i="8"/>
  <c r="AN32" i="8"/>
  <c r="AM32" i="8"/>
  <c r="AE32" i="8"/>
  <c r="AF32" i="8" s="1"/>
  <c r="AC32" i="8"/>
  <c r="AD32" i="8" s="1"/>
  <c r="AB32" i="8"/>
  <c r="AA32" i="8"/>
  <c r="Y32" i="8"/>
  <c r="D32" i="8" s="1"/>
  <c r="AH32" i="8" s="1"/>
  <c r="X32" i="8"/>
  <c r="W32" i="8"/>
  <c r="V32" i="8"/>
  <c r="U32" i="8"/>
  <c r="T32" i="8"/>
  <c r="P32" i="8" s="1"/>
  <c r="N32" i="8" s="1"/>
  <c r="F32" i="8"/>
  <c r="E32" i="8"/>
  <c r="C32" i="8"/>
  <c r="AG32" i="8" s="1"/>
  <c r="BD32" i="8" s="1"/>
  <c r="B32" i="8"/>
  <c r="A32" i="8"/>
  <c r="AT31" i="8"/>
  <c r="T31" i="8" s="1"/>
  <c r="P31" i="8" s="1"/>
  <c r="N31" i="8" s="1"/>
  <c r="AS31" i="8"/>
  <c r="AY31" i="8" s="1"/>
  <c r="AR31" i="8"/>
  <c r="AQ31" i="8"/>
  <c r="AP31" i="8"/>
  <c r="AO31" i="8"/>
  <c r="AN31" i="8"/>
  <c r="AM31" i="8"/>
  <c r="AE31" i="8"/>
  <c r="AF31" i="8" s="1"/>
  <c r="AC31" i="8"/>
  <c r="AD31" i="8" s="1"/>
  <c r="AB31" i="8"/>
  <c r="AA31" i="8"/>
  <c r="Y31" i="8"/>
  <c r="D31" i="8" s="1"/>
  <c r="AH31" i="8" s="1"/>
  <c r="X31" i="8"/>
  <c r="W31" i="8"/>
  <c r="V31" i="8"/>
  <c r="U31" i="8"/>
  <c r="F31" i="8"/>
  <c r="E31" i="8"/>
  <c r="B31" i="8"/>
  <c r="A31" i="8"/>
  <c r="AT30" i="8"/>
  <c r="T30" i="8" s="1"/>
  <c r="P30" i="8" s="1"/>
  <c r="N30" i="8" s="1"/>
  <c r="AS30" i="8"/>
  <c r="AY30" i="8" s="1"/>
  <c r="AR30" i="8"/>
  <c r="AQ30" i="8"/>
  <c r="AP30" i="8"/>
  <c r="AO30" i="8"/>
  <c r="AN30" i="8"/>
  <c r="AM30" i="8"/>
  <c r="AE30" i="8"/>
  <c r="AF30" i="8" s="1"/>
  <c r="AC30" i="8"/>
  <c r="AD30" i="8" s="1"/>
  <c r="AB30" i="8"/>
  <c r="AA30" i="8"/>
  <c r="Y30" i="8"/>
  <c r="C30" i="8" s="1"/>
  <c r="X30" i="8"/>
  <c r="W30" i="8"/>
  <c r="V30" i="8"/>
  <c r="U30" i="8"/>
  <c r="F30" i="8"/>
  <c r="E30" i="8"/>
  <c r="B30" i="8"/>
  <c r="A30" i="8"/>
  <c r="AT29" i="8"/>
  <c r="T29" i="8" s="1"/>
  <c r="AS29" i="8"/>
  <c r="AX29" i="8" s="1"/>
  <c r="AR29" i="8"/>
  <c r="AQ29" i="8"/>
  <c r="AP29" i="8"/>
  <c r="AO29" i="8"/>
  <c r="AN29" i="8"/>
  <c r="AM29" i="8"/>
  <c r="AE29" i="8"/>
  <c r="AF29" i="8" s="1"/>
  <c r="AC29" i="8"/>
  <c r="AD29" i="8" s="1"/>
  <c r="AB29" i="8"/>
  <c r="AA29" i="8"/>
  <c r="Y29" i="8"/>
  <c r="X29" i="8"/>
  <c r="W29" i="8"/>
  <c r="V29" i="8"/>
  <c r="U29" i="8"/>
  <c r="F29" i="8"/>
  <c r="E29" i="8"/>
  <c r="D29" i="8"/>
  <c r="AH29" i="8" s="1"/>
  <c r="C29" i="8"/>
  <c r="BH29" i="8" s="1"/>
  <c r="B29" i="8"/>
  <c r="A29" i="8"/>
  <c r="AT28" i="8"/>
  <c r="T28" i="8" s="1"/>
  <c r="P28" i="8" s="1"/>
  <c r="N28" i="8" s="1"/>
  <c r="AS28" i="8"/>
  <c r="AX28" i="8" s="1"/>
  <c r="AR28" i="8"/>
  <c r="AQ28" i="8"/>
  <c r="AP28" i="8"/>
  <c r="AO28" i="8"/>
  <c r="AN28" i="8"/>
  <c r="AM28" i="8"/>
  <c r="AE28" i="8"/>
  <c r="AF28" i="8" s="1"/>
  <c r="AC28" i="8"/>
  <c r="AD28" i="8" s="1"/>
  <c r="AB28" i="8"/>
  <c r="AA28" i="8"/>
  <c r="Y28" i="8"/>
  <c r="D28" i="8" s="1"/>
  <c r="AH28" i="8" s="1"/>
  <c r="BF28" i="8" s="1"/>
  <c r="X28" i="8"/>
  <c r="W28" i="8"/>
  <c r="V28" i="8"/>
  <c r="U28" i="8"/>
  <c r="F28" i="8"/>
  <c r="E28" i="8"/>
  <c r="B28" i="8"/>
  <c r="A28" i="8"/>
  <c r="AT27" i="8"/>
  <c r="T27" i="8" s="1"/>
  <c r="P27" i="8" s="1"/>
  <c r="AS27" i="8"/>
  <c r="AY27" i="8" s="1"/>
  <c r="AR27" i="8"/>
  <c r="AQ27" i="8"/>
  <c r="AP27" i="8"/>
  <c r="AO27" i="8"/>
  <c r="AN27" i="8"/>
  <c r="AM27" i="8"/>
  <c r="AF27" i="8"/>
  <c r="AE27" i="8"/>
  <c r="AC27" i="8"/>
  <c r="AD27" i="8" s="1"/>
  <c r="AB27" i="8"/>
  <c r="AA27" i="8"/>
  <c r="Y27" i="8"/>
  <c r="X27" i="8"/>
  <c r="W27" i="8"/>
  <c r="V27" i="8"/>
  <c r="U27" i="8"/>
  <c r="F27" i="8"/>
  <c r="E27" i="8"/>
  <c r="B27" i="8"/>
  <c r="A27" i="8"/>
  <c r="AT26" i="8"/>
  <c r="T26" i="8" s="1"/>
  <c r="P26" i="8" s="1"/>
  <c r="N26" i="8" s="1"/>
  <c r="AS26" i="8"/>
  <c r="AY26" i="8" s="1"/>
  <c r="AR26" i="8"/>
  <c r="AQ26" i="8"/>
  <c r="AP26" i="8"/>
  <c r="AO26" i="8"/>
  <c r="AN26" i="8"/>
  <c r="AM26" i="8"/>
  <c r="AE26" i="8"/>
  <c r="AF26" i="8" s="1"/>
  <c r="AC26" i="8"/>
  <c r="AD26" i="8" s="1"/>
  <c r="AB26" i="8"/>
  <c r="AA26" i="8"/>
  <c r="Y26" i="8"/>
  <c r="D26" i="8" s="1"/>
  <c r="AH26" i="8" s="1"/>
  <c r="X26" i="8"/>
  <c r="W26" i="8"/>
  <c r="V26" i="8"/>
  <c r="U26" i="8"/>
  <c r="S26" i="8"/>
  <c r="O26" i="8" s="1"/>
  <c r="M26" i="8" s="1"/>
  <c r="F26" i="8"/>
  <c r="E26" i="8"/>
  <c r="B26" i="8"/>
  <c r="A26" i="8"/>
  <c r="AT25" i="8"/>
  <c r="T25" i="8" s="1"/>
  <c r="P25" i="8" s="1"/>
  <c r="N25" i="8" s="1"/>
  <c r="AS25" i="8"/>
  <c r="AX25" i="8" s="1"/>
  <c r="AR25" i="8"/>
  <c r="AQ25" i="8"/>
  <c r="AP25" i="8"/>
  <c r="AO25" i="8"/>
  <c r="AN25" i="8"/>
  <c r="AM25" i="8"/>
  <c r="AE25" i="8"/>
  <c r="AF25" i="8" s="1"/>
  <c r="AC25" i="8"/>
  <c r="AD25" i="8" s="1"/>
  <c r="AB25" i="8"/>
  <c r="AA25" i="8"/>
  <c r="Y25" i="8"/>
  <c r="D25" i="8" s="1"/>
  <c r="AH25" i="8" s="1"/>
  <c r="X25" i="8"/>
  <c r="W25" i="8"/>
  <c r="V25" i="8"/>
  <c r="U25" i="8"/>
  <c r="F25" i="8"/>
  <c r="E25" i="8"/>
  <c r="B25" i="8"/>
  <c r="A25" i="8"/>
  <c r="AT24" i="8"/>
  <c r="T24" i="8" s="1"/>
  <c r="P24" i="8" s="1"/>
  <c r="N24" i="8" s="1"/>
  <c r="AS24" i="8"/>
  <c r="AY24" i="8" s="1"/>
  <c r="AR24" i="8"/>
  <c r="AQ24" i="8"/>
  <c r="AP24" i="8"/>
  <c r="AO24" i="8"/>
  <c r="AN24" i="8"/>
  <c r="AM24" i="8"/>
  <c r="AE24" i="8"/>
  <c r="AF24" i="8" s="1"/>
  <c r="AC24" i="8"/>
  <c r="AD24" i="8" s="1"/>
  <c r="AB24" i="8"/>
  <c r="AA24" i="8"/>
  <c r="Y24" i="8"/>
  <c r="D24" i="8" s="1"/>
  <c r="AH24" i="8" s="1"/>
  <c r="X24" i="8"/>
  <c r="W24" i="8"/>
  <c r="V24" i="8"/>
  <c r="U24" i="8"/>
  <c r="S24" i="8"/>
  <c r="O24" i="8" s="1"/>
  <c r="M24" i="8" s="1"/>
  <c r="F24" i="8"/>
  <c r="E24" i="8"/>
  <c r="B24" i="8"/>
  <c r="A24" i="8"/>
  <c r="AT23" i="8"/>
  <c r="T23" i="8" s="1"/>
  <c r="P23" i="8" s="1"/>
  <c r="AS23" i="8"/>
  <c r="AY23" i="8" s="1"/>
  <c r="AR23" i="8"/>
  <c r="AQ23" i="8"/>
  <c r="AP23" i="8"/>
  <c r="AO23" i="8"/>
  <c r="AN23" i="8"/>
  <c r="AM23" i="8"/>
  <c r="AE23" i="8"/>
  <c r="AF23" i="8" s="1"/>
  <c r="AC23" i="8"/>
  <c r="AB23" i="8"/>
  <c r="AA23" i="8"/>
  <c r="Y23" i="8"/>
  <c r="X23" i="8"/>
  <c r="W23" i="8"/>
  <c r="V23" i="8"/>
  <c r="U23" i="8"/>
  <c r="F23" i="8"/>
  <c r="E23" i="8"/>
  <c r="B23" i="8"/>
  <c r="A23" i="8"/>
  <c r="AT22" i="8"/>
  <c r="T22" i="8" s="1"/>
  <c r="AS22" i="8"/>
  <c r="AY22" i="8" s="1"/>
  <c r="AR22" i="8"/>
  <c r="AQ22" i="8"/>
  <c r="AP22" i="8"/>
  <c r="AO22" i="8"/>
  <c r="AN22" i="8"/>
  <c r="AM22" i="8"/>
  <c r="AE22" i="8"/>
  <c r="AF22" i="8" s="1"/>
  <c r="AD22" i="8"/>
  <c r="AC22" i="8"/>
  <c r="AB22" i="8"/>
  <c r="AA22" i="8"/>
  <c r="Y22" i="8"/>
  <c r="D22" i="8" s="1"/>
  <c r="AH22" i="8" s="1"/>
  <c r="X22" i="8"/>
  <c r="W22" i="8"/>
  <c r="V22" i="8"/>
  <c r="U22" i="8"/>
  <c r="F22" i="8"/>
  <c r="E22" i="8"/>
  <c r="B22" i="8"/>
  <c r="A22" i="8"/>
  <c r="AT21" i="8"/>
  <c r="T21" i="8" s="1"/>
  <c r="P21" i="8" s="1"/>
  <c r="AS21" i="8"/>
  <c r="AY21" i="8" s="1"/>
  <c r="AR21" i="8"/>
  <c r="AQ21" i="8"/>
  <c r="AP21" i="8"/>
  <c r="AO21" i="8"/>
  <c r="AN21" i="8"/>
  <c r="AM21" i="8"/>
  <c r="AE21" i="8"/>
  <c r="AF21" i="8" s="1"/>
  <c r="AD21" i="8"/>
  <c r="AC21" i="8"/>
  <c r="AB21" i="8"/>
  <c r="AA21" i="8"/>
  <c r="Y21" i="8"/>
  <c r="D21" i="8" s="1"/>
  <c r="AH21" i="8" s="1"/>
  <c r="X21" i="8"/>
  <c r="W21" i="8"/>
  <c r="V21" i="8"/>
  <c r="U21" i="8"/>
  <c r="F21" i="8"/>
  <c r="E21" i="8"/>
  <c r="B21" i="8"/>
  <c r="A21" i="8"/>
  <c r="AT20" i="8"/>
  <c r="T20" i="8" s="1"/>
  <c r="P20" i="8" s="1"/>
  <c r="N20" i="8" s="1"/>
  <c r="AS20" i="8"/>
  <c r="AY20" i="8" s="1"/>
  <c r="AR20" i="8"/>
  <c r="AQ20" i="8"/>
  <c r="AP20" i="8"/>
  <c r="AO20" i="8"/>
  <c r="AN20" i="8"/>
  <c r="AM20" i="8"/>
  <c r="AE20" i="8"/>
  <c r="AF20" i="8" s="1"/>
  <c r="AC20" i="8"/>
  <c r="AD20" i="8" s="1"/>
  <c r="AB20" i="8"/>
  <c r="AA20" i="8"/>
  <c r="Y20" i="8"/>
  <c r="D20" i="8" s="1"/>
  <c r="AH20" i="8" s="1"/>
  <c r="BF20" i="8" s="1"/>
  <c r="X20" i="8"/>
  <c r="W20" i="8"/>
  <c r="V20" i="8"/>
  <c r="U20" i="8"/>
  <c r="F20" i="8"/>
  <c r="E20" i="8"/>
  <c r="B20" i="8"/>
  <c r="A20" i="8"/>
  <c r="AT19" i="8"/>
  <c r="T19" i="8" s="1"/>
  <c r="P19" i="8" s="1"/>
  <c r="N19" i="8" s="1"/>
  <c r="AS19" i="8"/>
  <c r="AY19" i="8" s="1"/>
  <c r="AR19" i="8"/>
  <c r="AQ19" i="8"/>
  <c r="AP19" i="8"/>
  <c r="AO19" i="8"/>
  <c r="AN19" i="8"/>
  <c r="AM19" i="8"/>
  <c r="AE19" i="8"/>
  <c r="AF19" i="8" s="1"/>
  <c r="AC19" i="8"/>
  <c r="AD19" i="8" s="1"/>
  <c r="AB19" i="8"/>
  <c r="AA19" i="8"/>
  <c r="Y19" i="8"/>
  <c r="D19" i="8" s="1"/>
  <c r="AH19" i="8" s="1"/>
  <c r="X19" i="8"/>
  <c r="W19" i="8"/>
  <c r="V19" i="8"/>
  <c r="U19" i="8"/>
  <c r="F19" i="8"/>
  <c r="E19" i="8"/>
  <c r="B19" i="8"/>
  <c r="A19" i="8"/>
  <c r="AT18" i="8"/>
  <c r="T18" i="8" s="1"/>
  <c r="P18" i="8" s="1"/>
  <c r="N18" i="8" s="1"/>
  <c r="AS18" i="8"/>
  <c r="AY18" i="8" s="1"/>
  <c r="AR18" i="8"/>
  <c r="AQ18" i="8"/>
  <c r="AP18" i="8"/>
  <c r="AO18" i="8"/>
  <c r="AN18" i="8"/>
  <c r="AM18" i="8"/>
  <c r="AE18" i="8"/>
  <c r="AF18" i="8" s="1"/>
  <c r="AC18" i="8"/>
  <c r="AD18" i="8" s="1"/>
  <c r="AB18" i="8"/>
  <c r="AA18" i="8"/>
  <c r="Y18" i="8"/>
  <c r="C18" i="8" s="1"/>
  <c r="AG18" i="8" s="1"/>
  <c r="X18" i="8"/>
  <c r="W18" i="8"/>
  <c r="V18" i="8"/>
  <c r="U18" i="8"/>
  <c r="F18" i="8"/>
  <c r="E18" i="8"/>
  <c r="B18" i="8"/>
  <c r="A18" i="8"/>
  <c r="AT17" i="8"/>
  <c r="T17" i="8" s="1"/>
  <c r="P17" i="8" s="1"/>
  <c r="N17" i="8" s="1"/>
  <c r="AS17" i="8"/>
  <c r="AY17" i="8" s="1"/>
  <c r="AR17" i="8"/>
  <c r="AQ17" i="8"/>
  <c r="AP17" i="8"/>
  <c r="AO17" i="8"/>
  <c r="AN17" i="8"/>
  <c r="AM17" i="8"/>
  <c r="AE17" i="8"/>
  <c r="AF17" i="8" s="1"/>
  <c r="AC17" i="8"/>
  <c r="AD17" i="8" s="1"/>
  <c r="AB17" i="8"/>
  <c r="AA17" i="8"/>
  <c r="Y17" i="8"/>
  <c r="C17" i="8" s="1"/>
  <c r="X17" i="8"/>
  <c r="W17" i="8"/>
  <c r="V17" i="8"/>
  <c r="U17" i="8"/>
  <c r="F17" i="8"/>
  <c r="E17" i="8"/>
  <c r="B17" i="8"/>
  <c r="A17" i="8"/>
  <c r="AT16" i="8"/>
  <c r="AS16" i="8"/>
  <c r="AY16" i="8" s="1"/>
  <c r="AR16" i="8"/>
  <c r="AQ16" i="8"/>
  <c r="AP16" i="8"/>
  <c r="AO16" i="8"/>
  <c r="AN16" i="8"/>
  <c r="AM16" i="8"/>
  <c r="AE16" i="8"/>
  <c r="AF16" i="8" s="1"/>
  <c r="AC16" i="8"/>
  <c r="AD16" i="8" s="1"/>
  <c r="AB16" i="8"/>
  <c r="AA16" i="8"/>
  <c r="Y16" i="8"/>
  <c r="C16" i="8" s="1"/>
  <c r="X16" i="8"/>
  <c r="W16" i="8"/>
  <c r="V16" i="8"/>
  <c r="U16" i="8"/>
  <c r="T16" i="8"/>
  <c r="P16" i="8" s="1"/>
  <c r="N16" i="8" s="1"/>
  <c r="F16" i="8"/>
  <c r="E16" i="8"/>
  <c r="B16" i="8"/>
  <c r="A16" i="8"/>
  <c r="AT15" i="8"/>
  <c r="T15" i="8" s="1"/>
  <c r="AS15" i="8"/>
  <c r="AX15" i="8" s="1"/>
  <c r="AR15" i="8"/>
  <c r="AQ15" i="8"/>
  <c r="AP15" i="8"/>
  <c r="AO15" i="8"/>
  <c r="AN15" i="8"/>
  <c r="AM15" i="8"/>
  <c r="AE15" i="8"/>
  <c r="AF15" i="8" s="1"/>
  <c r="AC15" i="8"/>
  <c r="AD15" i="8" s="1"/>
  <c r="AB15" i="8"/>
  <c r="AA15" i="8"/>
  <c r="Y15" i="8"/>
  <c r="C15" i="8" s="1"/>
  <c r="X15" i="8"/>
  <c r="W15" i="8"/>
  <c r="V15" i="8"/>
  <c r="U15" i="8"/>
  <c r="F15" i="8"/>
  <c r="E15" i="8"/>
  <c r="B15" i="8"/>
  <c r="A15" i="8"/>
  <c r="AT14" i="8"/>
  <c r="T14" i="8" s="1"/>
  <c r="AS14" i="8"/>
  <c r="AY14" i="8" s="1"/>
  <c r="AR14" i="8"/>
  <c r="AQ14" i="8"/>
  <c r="AP14" i="8"/>
  <c r="AO14" i="8"/>
  <c r="AN14" i="8"/>
  <c r="AM14" i="8"/>
  <c r="AE14" i="8"/>
  <c r="AF14" i="8" s="1"/>
  <c r="AC14" i="8"/>
  <c r="AD14" i="8" s="1"/>
  <c r="AB14" i="8"/>
  <c r="AA14" i="8"/>
  <c r="Y14" i="8"/>
  <c r="D14" i="8" s="1"/>
  <c r="AH14" i="8" s="1"/>
  <c r="X14" i="8"/>
  <c r="W14" i="8"/>
  <c r="V14" i="8"/>
  <c r="U14" i="8"/>
  <c r="F14" i="8"/>
  <c r="E14" i="8"/>
  <c r="C14" i="8"/>
  <c r="B14" i="8"/>
  <c r="A14" i="8"/>
  <c r="AL8" i="2"/>
  <c r="AM8" i="2"/>
  <c r="AN8" i="2"/>
  <c r="AO8" i="2"/>
  <c r="AP8" i="2"/>
  <c r="AQ8" i="2"/>
  <c r="AR8" i="2"/>
  <c r="AS8" i="2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L13" i="2"/>
  <c r="AM13" i="2"/>
  <c r="AN13" i="2"/>
  <c r="AO13" i="2"/>
  <c r="AP13" i="2"/>
  <c r="AQ13" i="2"/>
  <c r="AR13" i="2"/>
  <c r="AS13" i="2"/>
  <c r="AL14" i="2"/>
  <c r="AM14" i="2"/>
  <c r="AN14" i="2"/>
  <c r="AO14" i="2"/>
  <c r="AP14" i="2"/>
  <c r="AQ14" i="2"/>
  <c r="AR14" i="2"/>
  <c r="AL15" i="2"/>
  <c r="AM15" i="2"/>
  <c r="AN15" i="2"/>
  <c r="AO15" i="2"/>
  <c r="AP15" i="2"/>
  <c r="AQ15" i="2"/>
  <c r="AR15" i="2"/>
  <c r="AS15" i="2"/>
  <c r="AL16" i="2"/>
  <c r="AM16" i="2"/>
  <c r="AN16" i="2"/>
  <c r="AO16" i="2"/>
  <c r="AP16" i="2"/>
  <c r="AQ16" i="2"/>
  <c r="AR16" i="2"/>
  <c r="AS16" i="2"/>
  <c r="AL17" i="2"/>
  <c r="AM17" i="2"/>
  <c r="AN17" i="2"/>
  <c r="AO17" i="2"/>
  <c r="AP17" i="2"/>
  <c r="AQ17" i="2"/>
  <c r="AR17" i="2"/>
  <c r="AS17" i="2"/>
  <c r="AL18" i="2"/>
  <c r="AM18" i="2"/>
  <c r="AN18" i="2"/>
  <c r="AO18" i="2"/>
  <c r="AP18" i="2"/>
  <c r="AQ18" i="2"/>
  <c r="AR18" i="2"/>
  <c r="AL19" i="2"/>
  <c r="AM19" i="2"/>
  <c r="AN19" i="2"/>
  <c r="AO19" i="2"/>
  <c r="AP19" i="2"/>
  <c r="AQ19" i="2"/>
  <c r="AR19" i="2"/>
  <c r="AS19" i="2"/>
  <c r="AL20" i="2"/>
  <c r="AM20" i="2"/>
  <c r="AN20" i="2"/>
  <c r="AO20" i="2"/>
  <c r="AP20" i="2"/>
  <c r="AQ20" i="2"/>
  <c r="AR20" i="2"/>
  <c r="AL21" i="2"/>
  <c r="AM21" i="2"/>
  <c r="AN21" i="2"/>
  <c r="AO21" i="2"/>
  <c r="AP21" i="2"/>
  <c r="AQ21" i="2"/>
  <c r="AR21" i="2"/>
  <c r="AS21" i="2"/>
  <c r="AL22" i="2"/>
  <c r="AM22" i="2"/>
  <c r="AN22" i="2"/>
  <c r="AO22" i="2"/>
  <c r="AP22" i="2"/>
  <c r="AQ22" i="2"/>
  <c r="AR22" i="2"/>
  <c r="AL23" i="2"/>
  <c r="AM23" i="2"/>
  <c r="AN23" i="2"/>
  <c r="AO23" i="2"/>
  <c r="AP23" i="2"/>
  <c r="AQ23" i="2"/>
  <c r="AR23" i="2"/>
  <c r="AS23" i="2"/>
  <c r="AL24" i="2"/>
  <c r="AM24" i="2"/>
  <c r="AN24" i="2"/>
  <c r="AO24" i="2"/>
  <c r="AP24" i="2"/>
  <c r="AQ24" i="2"/>
  <c r="AR24" i="2"/>
  <c r="AS24" i="2"/>
  <c r="AL25" i="2"/>
  <c r="AM25" i="2"/>
  <c r="AN25" i="2"/>
  <c r="AO25" i="2"/>
  <c r="AP25" i="2"/>
  <c r="AQ25" i="2"/>
  <c r="AR25" i="2"/>
  <c r="AS25" i="2"/>
  <c r="AL26" i="2"/>
  <c r="AM26" i="2"/>
  <c r="AN26" i="2"/>
  <c r="AO26" i="2"/>
  <c r="AP26" i="2"/>
  <c r="AQ26" i="2"/>
  <c r="AR26" i="2"/>
  <c r="AL27" i="2"/>
  <c r="AM27" i="2"/>
  <c r="AN27" i="2"/>
  <c r="AO27" i="2"/>
  <c r="AP27" i="2"/>
  <c r="AQ27" i="2"/>
  <c r="AR27" i="2"/>
  <c r="AS27" i="2"/>
  <c r="AL28" i="2"/>
  <c r="AM28" i="2"/>
  <c r="AN28" i="2"/>
  <c r="AO28" i="2"/>
  <c r="AP28" i="2"/>
  <c r="AQ28" i="2"/>
  <c r="AR28" i="2"/>
  <c r="AL29" i="2"/>
  <c r="AM29" i="2"/>
  <c r="AN29" i="2"/>
  <c r="AO29" i="2"/>
  <c r="AP29" i="2"/>
  <c r="AQ29" i="2"/>
  <c r="AR29" i="2"/>
  <c r="AS29" i="2"/>
  <c r="AL30" i="2"/>
  <c r="AM30" i="2"/>
  <c r="AN30" i="2"/>
  <c r="AO30" i="2"/>
  <c r="AP30" i="2"/>
  <c r="AQ30" i="2"/>
  <c r="AR30" i="2"/>
  <c r="AL31" i="2"/>
  <c r="AM31" i="2"/>
  <c r="AN31" i="2"/>
  <c r="AO31" i="2"/>
  <c r="AP31" i="2"/>
  <c r="AQ31" i="2"/>
  <c r="AR31" i="2"/>
  <c r="AS31" i="2"/>
  <c r="AL32" i="2"/>
  <c r="AM32" i="2"/>
  <c r="AN32" i="2"/>
  <c r="AO32" i="2"/>
  <c r="AP32" i="2"/>
  <c r="AQ32" i="2"/>
  <c r="AR32" i="2"/>
  <c r="AS32" i="2"/>
  <c r="AL33" i="2"/>
  <c r="AM33" i="2"/>
  <c r="AN33" i="2"/>
  <c r="AO33" i="2"/>
  <c r="AP33" i="2"/>
  <c r="AQ33" i="2"/>
  <c r="AR33" i="2"/>
  <c r="AS33" i="2"/>
  <c r="AL34" i="2"/>
  <c r="AM34" i="2"/>
  <c r="AN34" i="2"/>
  <c r="AO34" i="2"/>
  <c r="AP34" i="2"/>
  <c r="AQ34" i="2"/>
  <c r="AR34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P11" i="8" s="1"/>
  <c r="N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Y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S13" i="8" s="1"/>
  <c r="AT13" i="8"/>
  <c r="T13" i="8" s="1"/>
  <c r="S17" i="8" l="1"/>
  <c r="O17" i="8" s="1"/>
  <c r="M17" i="8" s="1"/>
  <c r="S32" i="8"/>
  <c r="S30" i="8"/>
  <c r="O30" i="8" s="1"/>
  <c r="M30" i="8" s="1"/>
  <c r="S34" i="8"/>
  <c r="S16" i="8"/>
  <c r="O16" i="8" s="1"/>
  <c r="M16" i="8" s="1"/>
  <c r="S28" i="8"/>
  <c r="O28" i="8" s="1"/>
  <c r="S23" i="8"/>
  <c r="O23" i="8" s="1"/>
  <c r="M23" i="8" s="1"/>
  <c r="S14" i="8"/>
  <c r="O14" i="8" s="1"/>
  <c r="M14" i="8" s="1"/>
  <c r="S19" i="8"/>
  <c r="O19" i="8" s="1"/>
  <c r="M19" i="8" s="1"/>
  <c r="S22" i="8"/>
  <c r="O22" i="8" s="1"/>
  <c r="M22" i="8" s="1"/>
  <c r="S27" i="8"/>
  <c r="O27" i="8" s="1"/>
  <c r="M27" i="8" s="1"/>
  <c r="S15" i="8"/>
  <c r="O15" i="8" s="1"/>
  <c r="M15" i="8" s="1"/>
  <c r="S29" i="8"/>
  <c r="O29" i="8" s="1"/>
  <c r="M29" i="8" s="1"/>
  <c r="S25" i="8"/>
  <c r="O25" i="8" s="1"/>
  <c r="M25" i="8" s="1"/>
  <c r="S20" i="8"/>
  <c r="O20" i="8" s="1"/>
  <c r="M20" i="8" s="1"/>
  <c r="S33" i="8"/>
  <c r="O33" i="8" s="1"/>
  <c r="M33" i="8" s="1"/>
  <c r="S18" i="8"/>
  <c r="O18" i="8" s="1"/>
  <c r="M18" i="8" s="1"/>
  <c r="S31" i="8"/>
  <c r="O31" i="8" s="1"/>
  <c r="M31" i="8" s="1"/>
  <c r="S21" i="8"/>
  <c r="O21" i="8" s="1"/>
  <c r="M21" i="8" s="1"/>
  <c r="AY28" i="8"/>
  <c r="AY25" i="8"/>
  <c r="AY29" i="8"/>
  <c r="BF31" i="8"/>
  <c r="BF21" i="8"/>
  <c r="BF24" i="8"/>
  <c r="D17" i="8"/>
  <c r="AH17" i="8" s="1"/>
  <c r="BF17" i="8" s="1"/>
  <c r="D16" i="8"/>
  <c r="AH16" i="8" s="1"/>
  <c r="BF16" i="8" s="1"/>
  <c r="AX24" i="8"/>
  <c r="AY15" i="8"/>
  <c r="BI34" i="8"/>
  <c r="L34" i="8" s="1"/>
  <c r="BF25" i="8"/>
  <c r="AX31" i="8"/>
  <c r="C21" i="8"/>
  <c r="AG21" i="8" s="1"/>
  <c r="D30" i="8"/>
  <c r="AH30" i="8" s="1"/>
  <c r="BF30" i="8" s="1"/>
  <c r="BF32" i="8"/>
  <c r="BF19" i="8"/>
  <c r="D15" i="8"/>
  <c r="AH15" i="8" s="1"/>
  <c r="BF15" i="8" s="1"/>
  <c r="BI31" i="8"/>
  <c r="G31" i="8" s="1"/>
  <c r="AX21" i="8"/>
  <c r="C25" i="8"/>
  <c r="AG25" i="8" s="1"/>
  <c r="BD25" i="8" s="1"/>
  <c r="BH14" i="8"/>
  <c r="BF29" i="8"/>
  <c r="BF14" i="8"/>
  <c r="AX16" i="8"/>
  <c r="C19" i="8"/>
  <c r="AG19" i="8" s="1"/>
  <c r="BD19" i="8" s="1"/>
  <c r="C24" i="8"/>
  <c r="BH24" i="8" s="1"/>
  <c r="BI29" i="8"/>
  <c r="H29" i="8" s="1"/>
  <c r="BD21" i="8"/>
  <c r="BI23" i="8"/>
  <c r="G23" i="8" s="1"/>
  <c r="AX26" i="8"/>
  <c r="AX30" i="8"/>
  <c r="BF26" i="8"/>
  <c r="BF22" i="8"/>
  <c r="BF33" i="8"/>
  <c r="I29" i="8"/>
  <c r="AG30" i="8"/>
  <c r="BD30" i="8" s="1"/>
  <c r="N21" i="8"/>
  <c r="N27" i="8"/>
  <c r="BD18" i="8"/>
  <c r="N23" i="8"/>
  <c r="AD23" i="8"/>
  <c r="M28" i="8"/>
  <c r="BI28" i="8"/>
  <c r="P29" i="8"/>
  <c r="N29" i="8" s="1"/>
  <c r="O34" i="8"/>
  <c r="M34" i="8" s="1"/>
  <c r="BI20" i="8"/>
  <c r="K20" i="8" s="1"/>
  <c r="AG29" i="8"/>
  <c r="BD29" i="8" s="1"/>
  <c r="BI33" i="8"/>
  <c r="BI22" i="8"/>
  <c r="BI15" i="8"/>
  <c r="L15" i="8" s="1"/>
  <c r="BI27" i="8"/>
  <c r="BH32" i="8"/>
  <c r="AX34" i="8"/>
  <c r="BH21" i="8"/>
  <c r="AX23" i="8"/>
  <c r="BI32" i="8"/>
  <c r="C34" i="8"/>
  <c r="D18" i="8"/>
  <c r="AH18" i="8" s="1"/>
  <c r="BF18" i="8" s="1"/>
  <c r="BI21" i="8"/>
  <c r="P22" i="8"/>
  <c r="N22" i="8" s="1"/>
  <c r="C23" i="8"/>
  <c r="D34" i="8"/>
  <c r="AH34" i="8" s="1"/>
  <c r="BF34" i="8" s="1"/>
  <c r="AG14" i="8"/>
  <c r="BD14" i="8" s="1"/>
  <c r="D23" i="8"/>
  <c r="AH23" i="8" s="1"/>
  <c r="BF23" i="8" s="1"/>
  <c r="BI26" i="8"/>
  <c r="C28" i="8"/>
  <c r="O32" i="8"/>
  <c r="M32" i="8" s="1"/>
  <c r="AX33" i="8"/>
  <c r="AX22" i="8"/>
  <c r="C33" i="8"/>
  <c r="C22" i="8"/>
  <c r="AX27" i="8"/>
  <c r="BI25" i="8"/>
  <c r="C27" i="8"/>
  <c r="AX32" i="8"/>
  <c r="D27" i="8"/>
  <c r="AH27" i="8" s="1"/>
  <c r="BF27" i="8" s="1"/>
  <c r="BI30" i="8"/>
  <c r="BI24" i="8"/>
  <c r="C26" i="8"/>
  <c r="AX14" i="8"/>
  <c r="C31" i="8"/>
  <c r="AG15" i="8"/>
  <c r="BD15" i="8" s="1"/>
  <c r="AG17" i="8"/>
  <c r="BD17" i="8" s="1"/>
  <c r="BH17" i="8"/>
  <c r="AG16" i="8"/>
  <c r="BD16" i="8" s="1"/>
  <c r="BH16" i="8"/>
  <c r="BI14" i="8"/>
  <c r="P15" i="8"/>
  <c r="N15" i="8" s="1"/>
  <c r="BI19" i="8"/>
  <c r="P14" i="8"/>
  <c r="N14" i="8" s="1"/>
  <c r="AX20" i="8"/>
  <c r="BI18" i="8"/>
  <c r="C20" i="8"/>
  <c r="AX19" i="8"/>
  <c r="BI17" i="8"/>
  <c r="AX18" i="8"/>
  <c r="BI16" i="8"/>
  <c r="AX17" i="8"/>
  <c r="AY8" i="8"/>
  <c r="AX9" i="8"/>
  <c r="S11" i="8"/>
  <c r="O11" i="8" s="1"/>
  <c r="M11" i="8" s="1"/>
  <c r="BI10" i="8"/>
  <c r="G10" i="8" s="1"/>
  <c r="BI8" i="8"/>
  <c r="K8" i="8" s="1"/>
  <c r="AG11" i="8"/>
  <c r="BD11" i="8" s="1"/>
  <c r="AX13" i="8"/>
  <c r="AX12" i="8"/>
  <c r="BF12" i="8"/>
  <c r="C12" i="8"/>
  <c r="AG12" i="8" s="1"/>
  <c r="BD12" i="8" s="1"/>
  <c r="BF9" i="8"/>
  <c r="AY11" i="8"/>
  <c r="S12" i="8"/>
  <c r="O12" i="8" s="1"/>
  <c r="M12" i="8" s="1"/>
  <c r="D11" i="8"/>
  <c r="AH11" i="8" s="1"/>
  <c r="BF11" i="8" s="1"/>
  <c r="P13" i="8"/>
  <c r="N13" i="8" s="1"/>
  <c r="P12" i="8"/>
  <c r="N12" i="8" s="1"/>
  <c r="P9" i="8"/>
  <c r="N9" i="8" s="1"/>
  <c r="P8" i="8"/>
  <c r="N8" i="8" s="1"/>
  <c r="O13" i="8"/>
  <c r="M13" i="8" s="1"/>
  <c r="O9" i="8"/>
  <c r="M9" i="8" s="1"/>
  <c r="N10" i="8"/>
  <c r="AG13" i="8"/>
  <c r="BD13" i="8" s="1"/>
  <c r="AG10" i="8"/>
  <c r="BD10" i="8" s="1"/>
  <c r="AG8" i="8"/>
  <c r="BD8" i="8" s="1"/>
  <c r="AY9" i="8"/>
  <c r="C9" i="8"/>
  <c r="AF8" i="8"/>
  <c r="BI13" i="8"/>
  <c r="D10" i="8"/>
  <c r="AH10" i="8" s="1"/>
  <c r="BF10" i="8" s="1"/>
  <c r="D13" i="8"/>
  <c r="AH13" i="8" s="1"/>
  <c r="BF13" i="8" s="1"/>
  <c r="AY10" i="8"/>
  <c r="S10" i="8"/>
  <c r="AY13" i="8"/>
  <c r="BI11" i="8"/>
  <c r="D8" i="8"/>
  <c r="AH8" i="8" s="1"/>
  <c r="BF8" i="8" s="1"/>
  <c r="S8" i="8"/>
  <c r="BI9" i="8"/>
  <c r="BI12" i="8"/>
  <c r="I34" i="8" l="1"/>
  <c r="K34" i="8"/>
  <c r="BH19" i="8"/>
  <c r="BH30" i="8"/>
  <c r="BH15" i="8"/>
  <c r="H31" i="8"/>
  <c r="AU31" i="8" s="1"/>
  <c r="I31" i="8"/>
  <c r="K31" i="8"/>
  <c r="J31" i="8"/>
  <c r="G20" i="8"/>
  <c r="L20" i="8"/>
  <c r="BE20" i="8" s="1"/>
  <c r="AL20" i="8" s="1"/>
  <c r="J29" i="8"/>
  <c r="BC29" i="8" s="1"/>
  <c r="AK29" i="8" s="1"/>
  <c r="K29" i="8"/>
  <c r="L29" i="8"/>
  <c r="L31" i="8"/>
  <c r="G34" i="8"/>
  <c r="AV34" i="8" s="1"/>
  <c r="H34" i="8"/>
  <c r="AU34" i="8" s="1"/>
  <c r="J34" i="8"/>
  <c r="L23" i="8"/>
  <c r="G29" i="8"/>
  <c r="J23" i="8"/>
  <c r="I23" i="8"/>
  <c r="H23" i="8"/>
  <c r="AU23" i="8" s="1"/>
  <c r="K23" i="8"/>
  <c r="BE34" i="8"/>
  <c r="AL34" i="8" s="1"/>
  <c r="H20" i="8"/>
  <c r="AU20" i="8" s="1"/>
  <c r="I20" i="8"/>
  <c r="AG24" i="8"/>
  <c r="BD24" i="8" s="1"/>
  <c r="BH25" i="8"/>
  <c r="J20" i="8"/>
  <c r="L10" i="8"/>
  <c r="K28" i="8"/>
  <c r="J28" i="8"/>
  <c r="I28" i="8"/>
  <c r="BC28" i="8" s="1"/>
  <c r="H28" i="8"/>
  <c r="G28" i="8"/>
  <c r="L28" i="8"/>
  <c r="BH23" i="8"/>
  <c r="AG23" i="8"/>
  <c r="BD23" i="8" s="1"/>
  <c r="AG22" i="8"/>
  <c r="BD22" i="8" s="1"/>
  <c r="BH22" i="8"/>
  <c r="I22" i="8"/>
  <c r="H22" i="8"/>
  <c r="G22" i="8"/>
  <c r="L22" i="8"/>
  <c r="K22" i="8"/>
  <c r="J22" i="8"/>
  <c r="AG33" i="8"/>
  <c r="BD33" i="8" s="1"/>
  <c r="BH33" i="8"/>
  <c r="G21" i="8"/>
  <c r="L21" i="8"/>
  <c r="K21" i="8"/>
  <c r="J21" i="8"/>
  <c r="I21" i="8"/>
  <c r="H21" i="8"/>
  <c r="L25" i="8"/>
  <c r="K25" i="8"/>
  <c r="BE25" i="8" s="1"/>
  <c r="AL25" i="8" s="1"/>
  <c r="J25" i="8"/>
  <c r="I25" i="8"/>
  <c r="H25" i="8"/>
  <c r="G25" i="8"/>
  <c r="J33" i="8"/>
  <c r="I33" i="8"/>
  <c r="H33" i="8"/>
  <c r="G33" i="8"/>
  <c r="L33" i="8"/>
  <c r="K33" i="8"/>
  <c r="AG31" i="8"/>
  <c r="BD31" i="8" s="1"/>
  <c r="BH31" i="8"/>
  <c r="G32" i="8"/>
  <c r="L32" i="8"/>
  <c r="K32" i="8"/>
  <c r="J32" i="8"/>
  <c r="I32" i="8"/>
  <c r="H32" i="8"/>
  <c r="BH34" i="8"/>
  <c r="AG34" i="8"/>
  <c r="BD34" i="8" s="1"/>
  <c r="AU29" i="8"/>
  <c r="AW29" i="8" s="1"/>
  <c r="R29" i="8" s="1"/>
  <c r="G15" i="8"/>
  <c r="AG26" i="8"/>
  <c r="BD26" i="8" s="1"/>
  <c r="BH26" i="8"/>
  <c r="H15" i="8"/>
  <c r="AU15" i="8" s="1"/>
  <c r="L24" i="8"/>
  <c r="K24" i="8"/>
  <c r="J24" i="8"/>
  <c r="I24" i="8"/>
  <c r="H24" i="8"/>
  <c r="G24" i="8"/>
  <c r="AG28" i="8"/>
  <c r="BD28" i="8" s="1"/>
  <c r="BH28" i="8"/>
  <c r="I15" i="8"/>
  <c r="L30" i="8"/>
  <c r="K30" i="8"/>
  <c r="J30" i="8"/>
  <c r="I30" i="8"/>
  <c r="H30" i="8"/>
  <c r="G30" i="8"/>
  <c r="L26" i="8"/>
  <c r="K26" i="8"/>
  <c r="J26" i="8"/>
  <c r="I26" i="8"/>
  <c r="H26" i="8"/>
  <c r="G26" i="8"/>
  <c r="J15" i="8"/>
  <c r="BH18" i="8"/>
  <c r="H27" i="8"/>
  <c r="G27" i="8"/>
  <c r="L27" i="8"/>
  <c r="K27" i="8"/>
  <c r="J27" i="8"/>
  <c r="I27" i="8"/>
  <c r="K15" i="8"/>
  <c r="BE15" i="8" s="1"/>
  <c r="AL15" i="8" s="1"/>
  <c r="AG27" i="8"/>
  <c r="BD27" i="8" s="1"/>
  <c r="BH27" i="8"/>
  <c r="BH20" i="8"/>
  <c r="AG20" i="8"/>
  <c r="BD20" i="8" s="1"/>
  <c r="G18" i="8"/>
  <c r="L18" i="8"/>
  <c r="K18" i="8"/>
  <c r="H18" i="8"/>
  <c r="J18" i="8"/>
  <c r="I18" i="8"/>
  <c r="L16" i="8"/>
  <c r="K16" i="8"/>
  <c r="J16" i="8"/>
  <c r="I16" i="8"/>
  <c r="H16" i="8"/>
  <c r="G16" i="8"/>
  <c r="J19" i="8"/>
  <c r="I19" i="8"/>
  <c r="H19" i="8"/>
  <c r="G19" i="8"/>
  <c r="K19" i="8"/>
  <c r="L19" i="8"/>
  <c r="L17" i="8"/>
  <c r="K17" i="8"/>
  <c r="J17" i="8"/>
  <c r="I17" i="8"/>
  <c r="H17" i="8"/>
  <c r="G17" i="8"/>
  <c r="K14" i="8"/>
  <c r="J14" i="8"/>
  <c r="H14" i="8"/>
  <c r="I14" i="8"/>
  <c r="L14" i="8"/>
  <c r="G14" i="8"/>
  <c r="K10" i="8"/>
  <c r="I8" i="8"/>
  <c r="I10" i="8"/>
  <c r="J8" i="8"/>
  <c r="H10" i="8"/>
  <c r="AU10" i="8" s="1"/>
  <c r="J10" i="8"/>
  <c r="L8" i="8"/>
  <c r="BE8" i="8" s="1"/>
  <c r="AL8" i="8" s="1"/>
  <c r="H8" i="8"/>
  <c r="AU8" i="8" s="1"/>
  <c r="AW8" i="8" s="1"/>
  <c r="R8" i="8" s="1"/>
  <c r="G8" i="8"/>
  <c r="BH12" i="8"/>
  <c r="BH11" i="8"/>
  <c r="G12" i="8"/>
  <c r="H12" i="8"/>
  <c r="K12" i="8"/>
  <c r="I12" i="8"/>
  <c r="J12" i="8"/>
  <c r="L12" i="8"/>
  <c r="BH10" i="8"/>
  <c r="O8" i="8"/>
  <c r="M8" i="8" s="1"/>
  <c r="O10" i="8"/>
  <c r="M10" i="8" s="1"/>
  <c r="BH9" i="8"/>
  <c r="AG9" i="8"/>
  <c r="BD9" i="8" s="1"/>
  <c r="BH13" i="8"/>
  <c r="H13" i="8"/>
  <c r="J13" i="8"/>
  <c r="I13" i="8"/>
  <c r="K13" i="8"/>
  <c r="L13" i="8"/>
  <c r="G13" i="8"/>
  <c r="L9" i="8"/>
  <c r="G9" i="8"/>
  <c r="H9" i="8"/>
  <c r="I9" i="8"/>
  <c r="J9" i="8"/>
  <c r="K9" i="8"/>
  <c r="J11" i="8"/>
  <c r="K11" i="8"/>
  <c r="L11" i="8"/>
  <c r="H11" i="8"/>
  <c r="G11" i="8"/>
  <c r="I11" i="8"/>
  <c r="BH8" i="8"/>
  <c r="BC34" i="8" l="1"/>
  <c r="BE29" i="8"/>
  <c r="AL29" i="8" s="1"/>
  <c r="BC20" i="8"/>
  <c r="BC16" i="8"/>
  <c r="AK16" i="8" s="1"/>
  <c r="BC25" i="8"/>
  <c r="AK25" i="8" s="1"/>
  <c r="AV20" i="8"/>
  <c r="AV31" i="8"/>
  <c r="AZ31" i="8" s="1"/>
  <c r="BE31" i="8"/>
  <c r="AL31" i="8" s="1"/>
  <c r="BC31" i="8"/>
  <c r="BE10" i="8"/>
  <c r="AL10" i="8" s="1"/>
  <c r="BE23" i="8"/>
  <c r="AL23" i="8" s="1"/>
  <c r="AV23" i="8"/>
  <c r="AZ23" i="8" s="1"/>
  <c r="BC23" i="8"/>
  <c r="AK23" i="8" s="1"/>
  <c r="AW34" i="8"/>
  <c r="R34" i="8" s="1"/>
  <c r="AW20" i="8"/>
  <c r="R20" i="8" s="1"/>
  <c r="BC21" i="8"/>
  <c r="AK21" i="8" s="1"/>
  <c r="BE26" i="8"/>
  <c r="AL26" i="8" s="1"/>
  <c r="BC22" i="8"/>
  <c r="AK22" i="8" s="1"/>
  <c r="BE33" i="8"/>
  <c r="AL33" i="8" s="1"/>
  <c r="BE28" i="8"/>
  <c r="AL28" i="8" s="1"/>
  <c r="AV29" i="8"/>
  <c r="AZ29" i="8" s="1"/>
  <c r="BE22" i="8"/>
  <c r="AL22" i="8" s="1"/>
  <c r="BE32" i="8"/>
  <c r="AL32" i="8" s="1"/>
  <c r="BC27" i="8"/>
  <c r="AK27" i="8" s="1"/>
  <c r="BE27" i="8"/>
  <c r="AL27" i="8" s="1"/>
  <c r="BC30" i="8"/>
  <c r="AK30" i="8" s="1"/>
  <c r="BE18" i="8"/>
  <c r="AL18" i="8" s="1"/>
  <c r="BE30" i="8"/>
  <c r="AL30" i="8" s="1"/>
  <c r="BE21" i="8"/>
  <c r="AL21" i="8" s="1"/>
  <c r="BC15" i="8"/>
  <c r="AK15" i="8" s="1"/>
  <c r="AK20" i="8"/>
  <c r="AK28" i="8"/>
  <c r="BE17" i="8"/>
  <c r="AL17" i="8" s="1"/>
  <c r="AU25" i="8"/>
  <c r="AV25" i="8" s="1"/>
  <c r="AW31" i="8"/>
  <c r="R31" i="8" s="1"/>
  <c r="AW23" i="8"/>
  <c r="R23" i="8" s="1"/>
  <c r="AV15" i="8"/>
  <c r="AZ15" i="8" s="1"/>
  <c r="BE19" i="8"/>
  <c r="AL19" i="8" s="1"/>
  <c r="AU26" i="8"/>
  <c r="AW26" i="8" s="1"/>
  <c r="R26" i="8" s="1"/>
  <c r="AK31" i="8"/>
  <c r="AU24" i="8"/>
  <c r="AV24" i="8" s="1"/>
  <c r="AZ34" i="8"/>
  <c r="Q34" i="8"/>
  <c r="AU28" i="8"/>
  <c r="AV28" i="8" s="1"/>
  <c r="AU21" i="8"/>
  <c r="AW21" i="8" s="1"/>
  <c r="R21" i="8" s="1"/>
  <c r="AU22" i="8"/>
  <c r="AW22" i="8" s="1"/>
  <c r="R22" i="8" s="1"/>
  <c r="AW15" i="8"/>
  <c r="R15" i="8" s="1"/>
  <c r="BC19" i="8"/>
  <c r="AK19" i="8" s="1"/>
  <c r="AK34" i="8"/>
  <c r="BE24" i="8"/>
  <c r="AL24" i="8" s="1"/>
  <c r="AU33" i="8"/>
  <c r="AW33" i="8" s="1"/>
  <c r="R33" i="8" s="1"/>
  <c r="BC26" i="8"/>
  <c r="AK26" i="8" s="1"/>
  <c r="AU27" i="8"/>
  <c r="AV27" i="8" s="1"/>
  <c r="AU30" i="8"/>
  <c r="AV30" i="8" s="1"/>
  <c r="BC33" i="8"/>
  <c r="AK33" i="8" s="1"/>
  <c r="BC32" i="8"/>
  <c r="AK32" i="8" s="1"/>
  <c r="BC24" i="8"/>
  <c r="AK24" i="8" s="1"/>
  <c r="BC17" i="8"/>
  <c r="AK17" i="8" s="1"/>
  <c r="AU32" i="8"/>
  <c r="AW32" i="8" s="1"/>
  <c r="R32" i="8" s="1"/>
  <c r="AV10" i="8"/>
  <c r="Q10" i="8" s="1"/>
  <c r="Z10" i="8" s="1"/>
  <c r="AU16" i="8"/>
  <c r="AV16" i="8" s="1"/>
  <c r="AU18" i="8"/>
  <c r="AW18" i="8" s="1"/>
  <c r="R18" i="8" s="1"/>
  <c r="AU17" i="8"/>
  <c r="AV17" i="8" s="1"/>
  <c r="BE16" i="8"/>
  <c r="AL16" i="8" s="1"/>
  <c r="BC18" i="8"/>
  <c r="AK18" i="8" s="1"/>
  <c r="AZ20" i="8"/>
  <c r="Q20" i="8"/>
  <c r="AU14" i="8"/>
  <c r="AV14" i="8" s="1"/>
  <c r="BE14" i="8"/>
  <c r="AL14" i="8" s="1"/>
  <c r="BC14" i="8"/>
  <c r="AK14" i="8" s="1"/>
  <c r="AU19" i="8"/>
  <c r="AV19" i="8" s="1"/>
  <c r="BC10" i="8"/>
  <c r="AK10" i="8" s="1"/>
  <c r="AW10" i="8"/>
  <c r="R10" i="8" s="1"/>
  <c r="BE11" i="8"/>
  <c r="AL11" i="8" s="1"/>
  <c r="BC12" i="8"/>
  <c r="AK12" i="8" s="1"/>
  <c r="BE13" i="8"/>
  <c r="AL13" i="8" s="1"/>
  <c r="BC13" i="8"/>
  <c r="AK13" i="8" s="1"/>
  <c r="BE12" i="8"/>
  <c r="AL12" i="8" s="1"/>
  <c r="BE9" i="8"/>
  <c r="AL9" i="8" s="1"/>
  <c r="BC8" i="8"/>
  <c r="AK8" i="8" s="1"/>
  <c r="AU12" i="8"/>
  <c r="AW12" i="8" s="1"/>
  <c r="R12" i="8" s="1"/>
  <c r="AU9" i="8"/>
  <c r="AW9" i="8" s="1"/>
  <c r="R9" i="8" s="1"/>
  <c r="BC11" i="8"/>
  <c r="AK11" i="8" s="1"/>
  <c r="AV8" i="8"/>
  <c r="AU13" i="8"/>
  <c r="AV13" i="8" s="1"/>
  <c r="AU11" i="8"/>
  <c r="AW11" i="8" s="1"/>
  <c r="R11" i="8" s="1"/>
  <c r="BC9" i="8"/>
  <c r="AK9" i="8" s="1"/>
  <c r="Q29" i="8" l="1"/>
  <c r="Q31" i="8"/>
  <c r="Q23" i="8"/>
  <c r="Q15" i="8"/>
  <c r="AW27" i="8"/>
  <c r="R27" i="8" s="1"/>
  <c r="AV33" i="8"/>
  <c r="AZ33" i="8" s="1"/>
  <c r="AI10" i="8"/>
  <c r="AV21" i="8"/>
  <c r="AZ21" i="8" s="1"/>
  <c r="AZ24" i="8"/>
  <c r="Q24" i="8"/>
  <c r="AZ28" i="8"/>
  <c r="Q28" i="8"/>
  <c r="Q25" i="8"/>
  <c r="AZ25" i="8"/>
  <c r="Q30" i="8"/>
  <c r="AZ30" i="8"/>
  <c r="AW14" i="8"/>
  <c r="R14" i="8" s="1"/>
  <c r="Z29" i="8"/>
  <c r="BG29" i="8"/>
  <c r="AV32" i="8"/>
  <c r="AW28" i="8"/>
  <c r="R28" i="8" s="1"/>
  <c r="AV18" i="8"/>
  <c r="AZ18" i="8" s="1"/>
  <c r="AV22" i="8"/>
  <c r="Z34" i="8"/>
  <c r="BG34" i="8"/>
  <c r="BG10" i="8"/>
  <c r="AW30" i="8"/>
  <c r="R30" i="8" s="1"/>
  <c r="AV26" i="8"/>
  <c r="AW24" i="8"/>
  <c r="R24" i="8" s="1"/>
  <c r="AW25" i="8"/>
  <c r="R25" i="8" s="1"/>
  <c r="Z23" i="8"/>
  <c r="BG23" i="8"/>
  <c r="AZ10" i="8"/>
  <c r="Z31" i="8"/>
  <c r="BG31" i="8"/>
  <c r="AZ27" i="8"/>
  <c r="Q27" i="8"/>
  <c r="AZ17" i="8"/>
  <c r="Q17" i="8"/>
  <c r="AZ19" i="8"/>
  <c r="Q19" i="8"/>
  <c r="Q16" i="8"/>
  <c r="AZ16" i="8"/>
  <c r="AZ14" i="8"/>
  <c r="Q14" i="8"/>
  <c r="BB10" i="8"/>
  <c r="AW19" i="8"/>
  <c r="R19" i="8" s="1"/>
  <c r="AW17" i="8"/>
  <c r="R17" i="8" s="1"/>
  <c r="BA10" i="8"/>
  <c r="AW16" i="8"/>
  <c r="R16" i="8" s="1"/>
  <c r="Z20" i="8"/>
  <c r="BG20" i="8"/>
  <c r="Z15" i="8"/>
  <c r="BG15" i="8"/>
  <c r="AV9" i="8"/>
  <c r="AZ9" i="8" s="1"/>
  <c r="AW13" i="8"/>
  <c r="R13" i="8" s="1"/>
  <c r="AV11" i="8"/>
  <c r="Q11" i="8" s="1"/>
  <c r="Q13" i="8"/>
  <c r="AZ13" i="8"/>
  <c r="AV12" i="8"/>
  <c r="Q8" i="8"/>
  <c r="AZ8" i="8"/>
  <c r="AJ10" i="8" l="1"/>
  <c r="Q21" i="8"/>
  <c r="BG21" i="8" s="1"/>
  <c r="Q33" i="8"/>
  <c r="Q18" i="8"/>
  <c r="BG18" i="8" s="1"/>
  <c r="AZ32" i="8"/>
  <c r="Q32" i="8"/>
  <c r="AI29" i="8"/>
  <c r="BB29" i="8"/>
  <c r="BA29" i="8"/>
  <c r="AI23" i="8"/>
  <c r="BB23" i="8"/>
  <c r="BA23" i="8"/>
  <c r="Z33" i="8"/>
  <c r="BG33" i="8"/>
  <c r="Q9" i="8"/>
  <c r="BG9" i="8" s="1"/>
  <c r="AZ26" i="8"/>
  <c r="Q26" i="8"/>
  <c r="Z21" i="8"/>
  <c r="Z30" i="8"/>
  <c r="BG30" i="8"/>
  <c r="Z25" i="8"/>
  <c r="BG25" i="8"/>
  <c r="AI34" i="8"/>
  <c r="BA34" i="8"/>
  <c r="BB34" i="8"/>
  <c r="Z28" i="8"/>
  <c r="BG28" i="8"/>
  <c r="AZ22" i="8"/>
  <c r="Q22" i="8"/>
  <c r="Z24" i="8"/>
  <c r="BG24" i="8"/>
  <c r="AI31" i="8"/>
  <c r="BA31" i="8"/>
  <c r="BB31" i="8"/>
  <c r="Z27" i="8"/>
  <c r="BG27" i="8"/>
  <c r="Z14" i="8"/>
  <c r="BG14" i="8"/>
  <c r="Z16" i="8"/>
  <c r="BG16" i="8"/>
  <c r="AI20" i="8"/>
  <c r="BA20" i="8"/>
  <c r="BB20" i="8"/>
  <c r="Z19" i="8"/>
  <c r="BG19" i="8"/>
  <c r="Z18" i="8"/>
  <c r="Z17" i="8"/>
  <c r="BG17" i="8"/>
  <c r="AI15" i="8"/>
  <c r="BB15" i="8"/>
  <c r="BA15" i="8"/>
  <c r="AZ11" i="8"/>
  <c r="Z8" i="8"/>
  <c r="BG8" i="8"/>
  <c r="Q12" i="8"/>
  <c r="AZ12" i="8"/>
  <c r="Z11" i="8"/>
  <c r="BG11" i="8"/>
  <c r="Z13" i="8"/>
  <c r="BG13" i="8"/>
  <c r="AJ29" i="8" l="1"/>
  <c r="Z9" i="8"/>
  <c r="BB9" i="8" s="1"/>
  <c r="AJ20" i="8"/>
  <c r="AI21" i="8"/>
  <c r="BA21" i="8"/>
  <c r="BB21" i="8"/>
  <c r="Z26" i="8"/>
  <c r="BG26" i="8"/>
  <c r="AI27" i="8"/>
  <c r="BA27" i="8"/>
  <c r="BB27" i="8"/>
  <c r="BA24" i="8"/>
  <c r="AI24" i="8"/>
  <c r="BB24" i="8"/>
  <c r="Z22" i="8"/>
  <c r="BG22" i="8"/>
  <c r="AI33" i="8"/>
  <c r="BA33" i="8"/>
  <c r="BB33" i="8"/>
  <c r="AJ23" i="8"/>
  <c r="AI28" i="8"/>
  <c r="BA28" i="8"/>
  <c r="BB28" i="8"/>
  <c r="AI30" i="8"/>
  <c r="BA30" i="8"/>
  <c r="BB30" i="8"/>
  <c r="AI25" i="8"/>
  <c r="BA25" i="8"/>
  <c r="BB25" i="8"/>
  <c r="Z32" i="8"/>
  <c r="BG32" i="8"/>
  <c r="AJ31" i="8"/>
  <c r="AJ34" i="8"/>
  <c r="AI18" i="8"/>
  <c r="BA18" i="8"/>
  <c r="BB18" i="8"/>
  <c r="AI17" i="8"/>
  <c r="BA17" i="8"/>
  <c r="BB17" i="8"/>
  <c r="AJ15" i="8"/>
  <c r="AI16" i="8"/>
  <c r="BA16" i="8"/>
  <c r="BB16" i="8"/>
  <c r="AI19" i="8"/>
  <c r="BA19" i="8"/>
  <c r="BB19" i="8"/>
  <c r="AI14" i="8"/>
  <c r="BA14" i="8"/>
  <c r="BB14" i="8"/>
  <c r="BG12" i="8"/>
  <c r="Z12" i="8"/>
  <c r="AI9" i="8"/>
  <c r="BA9" i="8"/>
  <c r="AI13" i="8"/>
  <c r="BA13" i="8"/>
  <c r="BB13" i="8"/>
  <c r="AI11" i="8"/>
  <c r="BA11" i="8"/>
  <c r="BB11" i="8"/>
  <c r="AI8" i="8"/>
  <c r="BA8" i="8"/>
  <c r="BB8" i="8"/>
  <c r="AJ30" i="8" l="1"/>
  <c r="AJ28" i="8"/>
  <c r="AJ33" i="8"/>
  <c r="AI22" i="8"/>
  <c r="BA22" i="8"/>
  <c r="BB22" i="8"/>
  <c r="AJ25" i="8"/>
  <c r="AJ24" i="8"/>
  <c r="BA32" i="8"/>
  <c r="AI32" i="8"/>
  <c r="BB32" i="8"/>
  <c r="AJ27" i="8"/>
  <c r="AI26" i="8"/>
  <c r="BA26" i="8"/>
  <c r="BB26" i="8"/>
  <c r="AJ21" i="8"/>
  <c r="AJ16" i="8"/>
  <c r="AJ19" i="8"/>
  <c r="AJ14" i="8"/>
  <c r="AJ17" i="8"/>
  <c r="AJ18" i="8"/>
  <c r="AI12" i="8"/>
  <c r="BA12" i="8"/>
  <c r="BB12" i="8"/>
  <c r="AJ11" i="8"/>
  <c r="AJ13" i="8"/>
  <c r="AJ8" i="8"/>
  <c r="AJ9" i="8"/>
  <c r="AJ26" i="8" l="1"/>
  <c r="AJ32" i="8"/>
  <c r="AJ22" i="8"/>
  <c r="AJ12" i="8"/>
  <c r="B7" i="19"/>
  <c r="E7" i="19"/>
  <c r="F7" i="19"/>
  <c r="G7" i="19"/>
  <c r="V7" i="19"/>
  <c r="R7" i="19" s="1"/>
  <c r="P7" i="19" s="1"/>
  <c r="W7" i="19"/>
  <c r="S7" i="19" s="1"/>
  <c r="Q7" i="19" s="1"/>
  <c r="X7" i="19"/>
  <c r="Y7" i="19"/>
  <c r="Z7" i="19"/>
  <c r="AA7" i="19"/>
  <c r="AB7" i="19"/>
  <c r="C7" i="19" s="1"/>
  <c r="AK7" i="19" s="1"/>
  <c r="AD7" i="19"/>
  <c r="AE7" i="19"/>
  <c r="AF7" i="19"/>
  <c r="AG7" i="19"/>
  <c r="AH7" i="19" s="1"/>
  <c r="AI7" i="19"/>
  <c r="AJ7" i="19" s="1"/>
  <c r="AQ7" i="19"/>
  <c r="AR7" i="19"/>
  <c r="AS7" i="19"/>
  <c r="AT7" i="19"/>
  <c r="AU7" i="19"/>
  <c r="AV7" i="19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D7" i="19" l="1"/>
  <c r="AL7" i="19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l="1"/>
  <c r="A4" i="2"/>
  <c r="C7" i="26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X7" i="19"/>
  <c r="AW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G8" i="15" l="1"/>
  <c r="H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BD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BC7" i="19"/>
  <c r="BI7" i="19"/>
  <c r="BM7" i="19"/>
  <c r="J2" i="16"/>
  <c r="J7" i="19" l="1"/>
  <c r="K7" i="19"/>
  <c r="L7" i="19"/>
  <c r="O7" i="19" s="1"/>
  <c r="M7" i="19"/>
  <c r="H7" i="19"/>
  <c r="I7" i="19"/>
  <c r="AZ7" i="19" s="1"/>
  <c r="Y3" i="19"/>
  <c r="K7" i="22"/>
  <c r="G7" i="22"/>
  <c r="F7" i="22"/>
  <c r="I7" i="22"/>
  <c r="H7" i="22"/>
  <c r="J7" i="22"/>
  <c r="BD7" i="22"/>
  <c r="AW7" i="22"/>
  <c r="A4" i="22"/>
  <c r="AP7" i="8"/>
  <c r="Y7" i="14"/>
  <c r="N7" i="19" l="1"/>
  <c r="BH7" i="19"/>
  <c r="AO7" i="19" s="1"/>
  <c r="BJ7" i="19"/>
  <c r="AP7" i="19" s="1"/>
  <c r="BB7" i="19"/>
  <c r="U7" i="19" s="1"/>
  <c r="AY7" i="19"/>
  <c r="A4" i="20"/>
  <c r="A4" i="19"/>
  <c r="BA7" i="19" l="1"/>
  <c r="T7" i="19" s="1"/>
  <c r="AC7" i="19" s="1"/>
  <c r="AM7" i="19" s="1"/>
  <c r="AU3" i="19"/>
  <c r="BE7" i="19" l="1"/>
  <c r="BG7" i="19"/>
  <c r="BF7" i="19"/>
  <c r="BL7" i="19"/>
  <c r="AN7" i="19" l="1"/>
  <c r="BA7" i="10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7" i="2" l="1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<sst xmlns="http://schemas.openxmlformats.org/spreadsheetml/2006/main" count="1213" uniqueCount="340">
  <si>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</si>
  <si>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</si>
  <si>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</si>
  <si>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</si>
  <si>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</si>
  <si>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</si>
  <si>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</si>
  <si>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</si>
  <si>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</si>
  <si>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</si>
  <si>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</si>
  <si>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</si>
  <si>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</si>
  <si>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</si>
  <si>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</si>
  <si>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</si>
  <si>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</si>
  <si>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</si>
  <si>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</si>
  <si>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</si>
  <si>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</si>
  <si>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</si>
  <si>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</si>
  <si>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</si>
  <si>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</si>
  <si>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</si>
  <si>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</si>
  <si>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</si>
  <si>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</si>
  <si>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</si>
  <si>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</si>
  <si>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</si>
  <si>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</si>
  <si>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</si>
  <si>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</si>
  <si>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</si>
  <si>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</si>
  <si>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</si>
  <si>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</si>
  <si>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</si>
  <si>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</si>
  <si>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</si>
  <si>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</si>
  <si>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</si>
  <si>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</si>
  <si>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</si>
  <si>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</si>
  <si>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</si>
  <si>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</si>
  <si>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</si>
  <si>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</si>
  <si>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</si>
  <si>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</si>
  <si>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</si>
  <si>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</si>
  <si>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</si>
  <si>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</si>
  <si>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</si>
  <si>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</si>
  <si>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</si>
  <si>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</si>
  <si>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</si>
  <si>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</si>
  <si>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</si>
  <si>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</si>
  <si>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</si>
  <si>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</si>
  <si>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</si>
  <si>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</si>
  <si>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</si>
  <si>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</si>
  <si>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</si>
  <si>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</si>
  <si>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</si>
  <si>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</si>
  <si>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</si>
  <si>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</si>
  <si>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</si>
  <si>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</si>
  <si>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</si>
  <si>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</si>
  <si>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</si>
  <si>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</si>
  <si>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</si>
  <si>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</si>
  <si>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</si>
  <si>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</si>
  <si>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</si>
  <si>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</si>
  <si>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</si>
  <si>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</si>
  <si>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</si>
  <si>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</si>
  <si>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</si>
  <si>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</si>
  <si>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</si>
  <si>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</si>
  <si>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</si>
  <si>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</si>
  <si>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</si>
  <si>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</si>
  <si>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</si>
  <si>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</si>
  <si>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</si>
  <si>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</si>
  <si>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</si>
  <si>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</si>
  <si>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</si>
  <si>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</si>
  <si>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</si>
  <si>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</si>
  <si>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</si>
  <si>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</si>
  <si>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</si>
  <si>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</si>
  <si>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</si>
  <si>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</si>
  <si>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</si>
  <si>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</si>
  <si>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</si>
  <si>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</si>
  <si>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</si>
  <si>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</si>
  <si>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</si>
  <si>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</si>
  <si>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</si>
  <si>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</si>
  <si>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</si>
  <si>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</si>
  <si>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</si>
  <si>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</si>
  <si>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</si>
  <si>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</si>
  <si>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</si>
  <si>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</si>
  <si>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</si>
  <si>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</si>
  <si>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</si>
  <si>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</si>
  <si>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</si>
  <si>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</si>
  <si>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</si>
  <si>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</si>
  <si>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</si>
  <si>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</si>
  <si>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</si>
  <si>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</si>
  <si>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</si>
  <si>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</si>
  <si>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</si>
  <si>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</si>
  <si>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</si>
  <si>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</si>
  <si>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</si>
  <si>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</si>
  <si>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</si>
  <si>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</si>
  <si>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</si>
  <si>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</si>
  <si>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</si>
  <si>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</si>
  <si>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</si>
  <si>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</si>
  <si>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</si>
  <si>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</si>
  <si>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</si>
  <si>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</si>
  <si>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</si>
  <si>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</si>
  <si>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</si>
  <si>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</si>
  <si>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</si>
  <si>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</si>
  <si>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</si>
  <si>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</si>
  <si>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</si>
  <si>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</si>
  <si>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</si>
  <si>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</si>
  <si>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</si>
  <si>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</si>
  <si>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</si>
  <si>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</si>
  <si>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</si>
  <si>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</si>
  <si>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</si>
  <si>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</si>
  <si>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</si>
  <si>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</si>
  <si>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</si>
  <si>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</si>
  <si>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</si>
  <si>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</si>
  <si>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</si>
  <si>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</si>
  <si>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</si>
  <si>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</si>
  <si>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</si>
  <si>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</si>
  <si>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</si>
  <si>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</si>
  <si>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</si>
  <si>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</si>
  <si>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</si>
  <si>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</si>
  <si>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</si>
  <si>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</si>
  <si>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</si>
  <si>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</si>
  <si>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</si>
  <si>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</si>
  <si>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</si>
  <si>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</si>
  <si>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</si>
  <si>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</si>
  <si>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</si>
  <si>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</si>
  <si>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</si>
  <si>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</si>
  <si>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</si>
  <si>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</si>
  <si>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</si>
  <si>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</si>
  <si>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</si>
  <si>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</si>
  <si>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</si>
  <si>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</si>
  <si>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</si>
  <si>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</si>
  <si>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</si>
  <si>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</si>
  <si>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</si>
  <si>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</si>
  <si>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</si>
  <si>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</si>
  <si>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</si>
  <si>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</si>
  <si>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</si>
  <si>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</si>
  <si>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</si>
  <si>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</si>
  <si>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</si>
  <si>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</si>
  <si>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</si>
  <si>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</si>
  <si>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</si>
  <si>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</si>
  <si>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</si>
  <si>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</si>
  <si>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</si>
  <si>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</si>
  <si>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</si>
  <si>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</si>
  <si>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</si>
  <si>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</si>
  <si>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</si>
  <si>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</si>
  <si>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</si>
  <si>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</si>
  <si>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</si>
  <si>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</si>
  <si>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</si>
  <si>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</si>
  <si>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</si>
  <si>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</si>
  <si>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</si>
  <si>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</si>
  <si>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</si>
  <si>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</si>
  <si>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</si>
  <si>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</si>
  <si>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</si>
  <si>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</si>
  <si>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</si>
  <si>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</si>
  <si>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</si>
  <si>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</si>
  <si>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</si>
  <si>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</si>
  <si>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</si>
  <si>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</si>
  <si>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</si>
  <si>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</si>
  <si>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</si>
  <si>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</si>
  <si>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</si>
  <si>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</si>
  <si>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</si>
  <si>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</si>
  <si>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</si>
  <si>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</si>
  <si>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</si>
  <si>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</si>
  <si>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</si>
  <si>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</si>
  <si>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</si>
  <si>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</si>
  <si>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</si>
  <si>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</si>
  <si>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</si>
  <si>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</si>
  <si>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</si>
  <si>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</si>
  <si>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</si>
  <si>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</si>
  <si>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</si>
  <si>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</si>
  <si>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</si>
  <si>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</si>
  <si>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</si>
  <si>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</si>
  <si>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</si>
  <si>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</si>
  <si>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</si>
  <si>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</si>
  <si>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</si>
  <si>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</si>
  <si>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</si>
  <si>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</si>
  <si>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</si>
  <si>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</si>
  <si>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</si>
  <si>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</si>
  <si>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</si>
  <si>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</si>
  <si>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</si>
  <si>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</si>
  <si>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</si>
  <si>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</si>
  <si>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</si>
  <si>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</si>
  <si>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</si>
  <si>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</si>
  <si>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</si>
  <si>
    <t>이소정</t>
    <phoneticPr fontId="1" type="noConversion"/>
  </si>
  <si>
    <t>김운호</t>
  </si>
  <si>
    <t>산운마을 13단지</t>
    <phoneticPr fontId="1" type="noConversion"/>
  </si>
  <si>
    <t>2호기</t>
  </si>
  <si>
    <t>1호기</t>
    <phoneticPr fontId="1" type="noConversion"/>
  </si>
  <si>
    <t>2호기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</si>
</sst>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  <numFmt numFmtId="180" formatCode="mm&quot;월&quot;\ dd&quot;일&quot;"/>
    <numFmt numFmtId="181" formatCode="0_);[Red]\(0\)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25" fillId="2" borderId="1" xfId="0" applyFont="1" applyFill="1" applyBorder="1" applyAlignment="1">
      <alignment horizontal="center" vertical="center"/>
    </xf>
    <xf numFmtId="180" fontId="25" fillId="0" borderId="1" xfId="0" applyNumberFormat="1" applyFont="1" applyBorder="1" applyAlignment="1">
      <alignment horizontal="center" vertical="center"/>
    </xf>
    <xf numFmtId="0" fontId="25" fillId="23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 wrapText="1"/>
    </xf>
    <xf numFmtId="0" fontId="25" fillId="28" borderId="1" xfId="0" applyFont="1" applyFill="1" applyBorder="1" applyAlignment="1">
      <alignment horizontal="center" vertical="center" wrapText="1"/>
    </xf>
    <xf numFmtId="0" fontId="25" fillId="29" borderId="1" xfId="0" applyFont="1" applyFill="1" applyBorder="1" applyAlignment="1">
      <alignment horizontal="center" vertical="center"/>
    </xf>
    <xf numFmtId="180" fontId="25" fillId="28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81" fontId="25" fillId="28" borderId="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topLeftCell="A7" workbookViewId="0">
      <selection activeCell="B23" sqref="B23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336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산운마을 13단지 ) _김운호소장</v>
      </c>
      <c r="C2" s="39" t="str">
        <f>"(와이드) 제작변환 자료( "&amp;B1&amp;" ) _"&amp;소장 &amp;"소장"</f>
        <v>(와이드) 제작변환 자료( 산운마을 13단지 ) _김운호소장</v>
      </c>
      <c r="D2" s="154" t="s">
        <v>312</v>
      </c>
      <c r="E2" s="150" t="str">
        <f>"(SO와이드) 실측서 ( " &amp; B1 &amp; " ) _"&amp;소장 &amp;"소장"</f>
        <v>(SO와이드) 실측서 ( 산운마을 13단지 ) _김운호소장</v>
      </c>
      <c r="F2" s="150" t="str">
        <f>"(SO와이드) 제작변환 ( " &amp; B1 &amp; " ) _"&amp;소장 &amp;"소장"</f>
        <v>(SO와이드) 제작변환 ( 산운마을 13단지 ) _김운호소장</v>
      </c>
      <c r="G2" s="152" t="s">
        <v>314</v>
      </c>
      <c r="H2" s="147" t="str">
        <f>"(4CO와이드) 실측서 ( " &amp; B1 &amp; " ) _"&amp;소장 &amp;"소장"</f>
        <v>(4CO와이드) 실측서 ( 산운마을 13단지 ) _김운호소장</v>
      </c>
      <c r="I2" s="147" t="str">
        <f>"(4CO와이드) 제작변환 ( " &amp; B1 &amp; " ) _"&amp;소장 &amp;"소장"</f>
        <v>(4CO와이드) 제작변환 ( 산운마을 13단지 ) _김운호소장</v>
      </c>
      <c r="J2" s="152" t="s">
        <v>316</v>
      </c>
      <c r="K2" s="153" t="str">
        <f>"(2UP) 실측서 ( " &amp; B1 &amp; " ) _"&amp;소장 &amp;"소장"</f>
        <v>(2UP) 실측서 ( 산운마을 13단지 ) _김운호소장</v>
      </c>
      <c r="L2" s="153" t="str">
        <f>"(2UP) 제작변환 ( " &amp; B1 &amp; " ) _"&amp;소장 &amp;"소장"</f>
        <v>(2UP) 제작변환 ( 산운마을 13단지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산운마을 13단지 ) _김운호소장</v>
      </c>
      <c r="C3" s="39" t="str">
        <f>"(멍텅구리) 제작변환 자료( "&amp;B1&amp;" ) _"&amp;소장 &amp;"소장"</f>
        <v>(멍텅구리) 제작변환 자료( 산운마을 13단지 ) _김운호소장</v>
      </c>
      <c r="D3" s="154" t="s">
        <v>313</v>
      </c>
      <c r="E3" s="150" t="str">
        <f>"(SO멍텅구리) 실측서 ( " &amp; B1 &amp; " ) _"&amp;소장 &amp;"소장"</f>
        <v>(SO멍텅구리) 실측서 ( 산운마을 13단지 ) _김운호소장</v>
      </c>
      <c r="F3" s="150" t="str">
        <f>"(SO멍텅구리) 제작변환 ( " &amp; B1 &amp; " ) _"&amp;소장 &amp;"소장"</f>
        <v>(SO멍텅구리) 제작변환 ( 산운마을 13단지 ) _김운호소장</v>
      </c>
      <c r="G3" s="152" t="s">
        <v>315</v>
      </c>
      <c r="H3" s="147" t="str">
        <f>"(4CO멍텅구리) 실측서 ( " &amp; B1 &amp; " ) _"&amp;소장 &amp;"소장"</f>
        <v>(4CO멍텅구리) 실측서 ( 산운마을 13단지 ) _김운호소장</v>
      </c>
      <c r="I3" s="147" t="str">
        <f>"(4CO멍텅구리) 제작변환 ( " &amp; B1 &amp; " ) _"&amp;소장 &amp;"소장"</f>
        <v>(4CO멍텅구리) 제작변환 ( 산운마을 13단지 ) _김운호소장</v>
      </c>
      <c r="J3" s="152" t="s">
        <v>317</v>
      </c>
      <c r="K3" s="153" t="str">
        <f>"(3UP) 실측서 ( " &amp; B1 &amp; " ) _"&amp;소장 &amp;"소장"</f>
        <v>(3UP) 실측서 ( 산운마을 13단지 ) _김운호소장</v>
      </c>
      <c r="L3" s="153" t="str">
        <f>"(3UP) 제작변환 ( " &amp; B1 &amp; " ) _"&amp;소장 &amp;"소장"</f>
        <v>(3UP) 제작변환 ( 산운마을 13단지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산운마을 13단지 ) _김운호소장</v>
      </c>
      <c r="C4" s="39" t="str">
        <f>"(쪽쟘) 제작변환 자료( "&amp;B1&amp;" ) _"&amp;소장 &amp;"소장"</f>
        <v>(쪽쟘) 제작변환 자료( 산운마을 13단지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9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+(4 ),  늘어난치수K -(0),  C + (0),   U + (0), OP - (3), R - (0),  기둥차감 - (3), A + (1)</v>
      </c>
      <c r="C10" s="169"/>
    </row>
    <row r="11" spans="1:12" ht="16.5" customHeight="1" x14ac:dyDescent="0.3">
      <c r="A11" s="90" t="s">
        <v>197</v>
      </c>
      <c r="B11" s="169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9"/>
    </row>
    <row r="12" spans="1:12" ht="16.5" customHeight="1" x14ac:dyDescent="0.3">
      <c r="A12" s="90" t="s">
        <v>198</v>
      </c>
      <c r="B12" s="169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9"/>
    </row>
    <row r="13" spans="1:12" ht="16.5" customHeight="1" x14ac:dyDescent="0.3">
      <c r="A13" s="90" t="s">
        <v>251</v>
      </c>
      <c r="B13" s="169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9"/>
    </row>
    <row r="14" spans="1:12" ht="16.5" customHeight="1" x14ac:dyDescent="0.3">
      <c r="A14" s="90" t="s">
        <v>252</v>
      </c>
      <c r="B14" s="169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9"/>
    </row>
    <row r="15" spans="1:12" ht="16.5" customHeight="1" x14ac:dyDescent="0.3">
      <c r="A15" s="90" t="s">
        <v>257</v>
      </c>
      <c r="B15" s="169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9"/>
    </row>
    <row r="16" spans="1:12" ht="16.5" customHeight="1" x14ac:dyDescent="0.3">
      <c r="A16" s="90" t="s">
        <v>258</v>
      </c>
      <c r="B16" s="169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9"/>
    </row>
    <row r="17" spans="1:3" ht="16.5" customHeight="1" x14ac:dyDescent="0.3">
      <c r="A17" s="90" t="s">
        <v>272</v>
      </c>
      <c r="B17" s="169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9"/>
    </row>
    <row r="18" spans="1:3" ht="16.5" customHeight="1" x14ac:dyDescent="0.3">
      <c r="A18" s="90" t="s">
        <v>273</v>
      </c>
      <c r="B18" s="169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9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333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산운마을 13단지</v>
      </c>
      <c r="E2" s="3" t="str">
        <f>정보!B6</f>
        <v>김운호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45746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이소정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334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V34"/>
  <sheetViews>
    <sheetView topLeftCell="H1" zoomScale="85" zoomScaleNormal="85" workbookViewId="0">
      <selection activeCell="O7" sqref="O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8" ht="64.150000000000006" customHeight="1" x14ac:dyDescent="0.3">
      <c r="A1" s="173" t="str">
        <f>정보!B2</f>
        <v>(와이드) 실측서 ( 산운마을 13단지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8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"/>
      <c r="AF2" s="1"/>
      <c r="AG2" s="1"/>
      <c r="AH2" s="1"/>
      <c r="AI2" s="1"/>
      <c r="AJ2" s="1"/>
    </row>
    <row r="3" spans="1:48" ht="33" customHeight="1" x14ac:dyDescent="0.3">
      <c r="A3" s="126" t="str">
        <f>"현장명 : " &amp; 정보!B1 &amp; ",   (재질) : " &amp; 정보!B7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34"/>
      <c r="AF3" s="34"/>
      <c r="AG3" s="34"/>
      <c r="AH3" s="34"/>
      <c r="AI3" s="34"/>
      <c r="AJ3" s="34"/>
    </row>
    <row r="4" spans="1:48" ht="33" customHeight="1" x14ac:dyDescent="0.3">
      <c r="A4" s="126" t="str">
        <f>"현장명 : " &amp; 정보!B2 &amp; ",   (재질) : " &amp; 정보!B8</f>
        <v>현장명 : (와이드) 실측서 ( 산운마을 13단지 ) _김운호소장,   (재질) : HL 1.2T</v>
      </c>
      <c r="B4" s="2"/>
      <c r="C4" s="2"/>
      <c r="D4" s="2"/>
      <c r="E4" s="2"/>
      <c r="F4" s="2"/>
      <c r="G4" s="2"/>
      <c r="H4" s="2"/>
      <c r="I4" s="2"/>
      <c r="J4" s="35"/>
      <c r="K4" s="35"/>
      <c r="L4" s="174" t="s">
        <v>97</v>
      </c>
      <c r="M4" s="174"/>
      <c r="N4" s="34"/>
      <c r="O4" s="34"/>
      <c r="P4" s="34"/>
      <c r="Q4" s="34"/>
      <c r="R4" s="34"/>
      <c r="S4" s="34"/>
      <c r="T4" s="34"/>
      <c r="U4" s="34"/>
      <c r="V4" s="170"/>
      <c r="W4" s="170"/>
      <c r="X4" s="170"/>
      <c r="Y4" s="170"/>
      <c r="Z4" s="170"/>
      <c r="AA4" s="170"/>
      <c r="AB4" s="170"/>
      <c r="AC4" s="170"/>
      <c r="AD4" s="171"/>
      <c r="AE4" s="181" t="s">
        <v>215</v>
      </c>
      <c r="AF4" s="181"/>
      <c r="AG4" s="75"/>
      <c r="AH4" s="9"/>
      <c r="AI4" s="9"/>
      <c r="AJ4" s="9"/>
    </row>
    <row r="5" spans="1:48" ht="25.9" customHeight="1" x14ac:dyDescent="0.3">
      <c r="A5" s="182" t="s">
        <v>0</v>
      </c>
      <c r="B5" s="175" t="s">
        <v>1</v>
      </c>
      <c r="C5" s="175" t="s">
        <v>2</v>
      </c>
      <c r="D5" s="175" t="s">
        <v>24</v>
      </c>
      <c r="E5" s="175" t="s">
        <v>3</v>
      </c>
      <c r="F5" s="175" t="s">
        <v>18</v>
      </c>
      <c r="G5" s="175" t="s">
        <v>4</v>
      </c>
      <c r="H5" s="175" t="s">
        <v>5</v>
      </c>
      <c r="I5" s="175" t="s">
        <v>6</v>
      </c>
      <c r="J5" s="175" t="s">
        <v>7</v>
      </c>
      <c r="K5" s="175" t="s">
        <v>47</v>
      </c>
      <c r="L5" s="175" t="s">
        <v>9</v>
      </c>
      <c r="M5" s="175" t="s">
        <v>12</v>
      </c>
      <c r="N5" s="175" t="s">
        <v>13</v>
      </c>
      <c r="O5" s="175" t="s">
        <v>10</v>
      </c>
      <c r="P5" s="175" t="s">
        <v>11</v>
      </c>
      <c r="Q5" s="175" t="s">
        <v>14</v>
      </c>
      <c r="R5" s="175" t="s">
        <v>15</v>
      </c>
      <c r="S5" s="175" t="s">
        <v>16</v>
      </c>
      <c r="T5" s="175" t="s">
        <v>17</v>
      </c>
      <c r="U5" s="175" t="s">
        <v>19</v>
      </c>
      <c r="V5" s="176" t="s">
        <v>48</v>
      </c>
      <c r="W5" s="176" t="s">
        <v>22</v>
      </c>
      <c r="X5" s="176" t="s">
        <v>23</v>
      </c>
      <c r="Y5" s="175" t="s">
        <v>21</v>
      </c>
      <c r="Z5" s="175"/>
      <c r="AA5" s="175"/>
      <c r="AB5" s="175"/>
      <c r="AC5" s="177" t="s">
        <v>91</v>
      </c>
      <c r="AD5" s="177" t="s">
        <v>92</v>
      </c>
      <c r="AE5" s="179" t="s">
        <v>212</v>
      </c>
      <c r="AF5" s="180"/>
      <c r="AG5" s="176" t="s">
        <v>199</v>
      </c>
      <c r="AH5" s="176" t="s">
        <v>203</v>
      </c>
      <c r="AI5" s="176"/>
      <c r="AJ5" s="176"/>
    </row>
    <row r="6" spans="1:48" ht="44.25" customHeight="1" x14ac:dyDescent="0.3">
      <c r="A6" s="182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6"/>
      <c r="X6" s="176"/>
      <c r="Y6" s="8" t="s">
        <v>43</v>
      </c>
      <c r="Z6" s="8" t="s">
        <v>44</v>
      </c>
      <c r="AA6" s="8" t="s">
        <v>45</v>
      </c>
      <c r="AB6" s="8" t="s">
        <v>46</v>
      </c>
      <c r="AC6" s="178"/>
      <c r="AD6" s="178"/>
      <c r="AE6" s="74" t="s">
        <v>213</v>
      </c>
      <c r="AF6" s="74" t="s">
        <v>214</v>
      </c>
      <c r="AG6" s="17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8" s="3" customFormat="1" ht="23.25" customHeight="1" x14ac:dyDescent="0.3">
      <c r="A7" s="162" t="s">
        <v>338</v>
      </c>
      <c r="B7" s="163">
        <v>1</v>
      </c>
      <c r="C7" s="164">
        <v>268</v>
      </c>
      <c r="D7" s="164">
        <v>268</v>
      </c>
      <c r="E7" s="164">
        <v>1100</v>
      </c>
      <c r="F7" s="164">
        <v>1215</v>
      </c>
      <c r="G7" s="164">
        <v>422</v>
      </c>
      <c r="H7" s="164">
        <v>422</v>
      </c>
      <c r="I7" s="164">
        <f>G7+13</f>
        <v>435</v>
      </c>
      <c r="J7" s="164">
        <f>I7</f>
        <v>435</v>
      </c>
      <c r="K7" s="161">
        <v>41</v>
      </c>
      <c r="L7" s="161">
        <v>41</v>
      </c>
      <c r="M7" s="164">
        <v>11</v>
      </c>
      <c r="N7" s="164">
        <v>11</v>
      </c>
      <c r="O7" s="383">
        <v>5</v>
      </c>
      <c r="P7" s="383">
        <v>6</v>
      </c>
      <c r="Q7" s="164">
        <v>2100</v>
      </c>
      <c r="R7" s="164">
        <v>2092</v>
      </c>
      <c r="S7" s="164">
        <v>2100</v>
      </c>
      <c r="T7" s="164">
        <v>2095</v>
      </c>
      <c r="U7" s="161">
        <v>41</v>
      </c>
      <c r="V7" s="164">
        <v>2</v>
      </c>
      <c r="W7" s="165">
        <v>25</v>
      </c>
      <c r="X7" s="166">
        <v>25</v>
      </c>
      <c r="Y7" s="166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>
        <v>4</v>
      </c>
      <c r="AL7" s="3">
        <f>Y7+$AK7</f>
        <v>4</v>
      </c>
      <c r="AM7" s="3">
        <f>Z7+$AK7</f>
        <v>4</v>
      </c>
      <c r="AN7" s="3">
        <f>AA7+$AK7</f>
        <v>4</v>
      </c>
      <c r="AO7" s="3">
        <f>AB7+$AK7</f>
        <v>4</v>
      </c>
      <c r="AP7" s="3">
        <f>G7-$AK7</f>
        <v>418</v>
      </c>
      <c r="AQ7" s="3">
        <f>H7-$AK7</f>
        <v>418</v>
      </c>
      <c r="AR7" s="3">
        <f>I7-$AK7</f>
        <v>431</v>
      </c>
      <c r="AS7" s="3">
        <f>J7-$AK7</f>
        <v>431</v>
      </c>
      <c r="AU7" s="384">
        <f>O7*1</f>
        <v>5</v>
      </c>
      <c r="AV7" s="384">
        <f>P7*1</f>
        <v>6</v>
      </c>
    </row>
    <row r="8" spans="1:48" ht="23.25" customHeight="1" x14ac:dyDescent="0.3">
      <c r="A8" s="162" t="s">
        <v>337</v>
      </c>
      <c r="B8" s="164">
        <v>1</v>
      </c>
      <c r="C8" s="164">
        <v>268</v>
      </c>
      <c r="D8" s="164">
        <v>268</v>
      </c>
      <c r="E8" s="164">
        <v>1100</v>
      </c>
      <c r="F8" s="164">
        <v>1215</v>
      </c>
      <c r="G8" s="164">
        <v>420</v>
      </c>
      <c r="H8" s="164">
        <v>420</v>
      </c>
      <c r="I8" s="164">
        <f t="shared" ref="I8:I34" si="0">G8+13</f>
        <v>433</v>
      </c>
      <c r="J8" s="164">
        <f t="shared" ref="J8:J34" si="1">I8</f>
        <v>433</v>
      </c>
      <c r="K8" s="161">
        <v>41</v>
      </c>
      <c r="L8" s="161">
        <v>41</v>
      </c>
      <c r="M8" s="164">
        <v>9</v>
      </c>
      <c r="N8" s="164">
        <v>9</v>
      </c>
      <c r="O8" s="383">
        <v>4</v>
      </c>
      <c r="P8" s="383">
        <v>3</v>
      </c>
      <c r="Q8" s="164">
        <v>2099</v>
      </c>
      <c r="R8" s="164">
        <v>2094</v>
      </c>
      <c r="S8" s="164">
        <v>2098</v>
      </c>
      <c r="T8" s="164">
        <v>2094</v>
      </c>
      <c r="U8" s="161">
        <v>41</v>
      </c>
      <c r="V8" s="164">
        <v>2</v>
      </c>
      <c r="W8" s="165">
        <v>25</v>
      </c>
      <c r="X8" s="166">
        <v>25</v>
      </c>
      <c r="Y8" s="166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>
        <v>5</v>
      </c>
      <c r="AL8" s="3">
        <f t="shared" ref="AL8:AL34" si="2">Y8+$AK8</f>
        <v>5</v>
      </c>
      <c r="AM8" s="3">
        <f t="shared" ref="AM8:AM34" si="3">Z8+$AK8</f>
        <v>5</v>
      </c>
      <c r="AN8" s="3">
        <f t="shared" ref="AN8:AN34" si="4">AA8+$AK8</f>
        <v>5</v>
      </c>
      <c r="AO8" s="3">
        <f t="shared" ref="AO8:AO34" si="5">AB8+$AK8</f>
        <v>5</v>
      </c>
      <c r="AP8" s="3">
        <f t="shared" ref="AP8:AP34" si="6">G8-$AK8</f>
        <v>415</v>
      </c>
      <c r="AQ8" s="3">
        <f t="shared" ref="AQ8:AQ34" si="7">H8-$AK8</f>
        <v>415</v>
      </c>
      <c r="AR8" s="3">
        <f t="shared" ref="AR8:AR34" si="8">I8-$AK8</f>
        <v>428</v>
      </c>
      <c r="AS8" s="3">
        <f t="shared" ref="AS8:AS34" si="9">J8-$AK8</f>
        <v>428</v>
      </c>
      <c r="AU8" s="384">
        <f t="shared" ref="AU8:AU34" si="10">O8*1</f>
        <v>4</v>
      </c>
      <c r="AV8" s="384">
        <f t="shared" ref="AV8:AV34" si="11">P8*1</f>
        <v>3</v>
      </c>
    </row>
    <row r="9" spans="1:48" ht="23.25" customHeight="1" x14ac:dyDescent="0.3">
      <c r="A9" s="162" t="s">
        <v>338</v>
      </c>
      <c r="B9" s="163" t="s">
        <v>12</v>
      </c>
      <c r="C9" s="164">
        <v>268</v>
      </c>
      <c r="D9" s="164">
        <v>268</v>
      </c>
      <c r="E9" s="164">
        <v>1100</v>
      </c>
      <c r="F9" s="164">
        <v>1220</v>
      </c>
      <c r="G9" s="164">
        <v>432</v>
      </c>
      <c r="H9" s="164">
        <v>432</v>
      </c>
      <c r="I9" s="164">
        <f t="shared" si="0"/>
        <v>445</v>
      </c>
      <c r="J9" s="164">
        <f t="shared" si="1"/>
        <v>445</v>
      </c>
      <c r="K9" s="161">
        <v>41</v>
      </c>
      <c r="L9" s="161">
        <v>41</v>
      </c>
      <c r="M9" s="164">
        <v>11</v>
      </c>
      <c r="N9" s="164">
        <v>11</v>
      </c>
      <c r="O9" s="383">
        <v>2</v>
      </c>
      <c r="P9" s="383">
        <v>2</v>
      </c>
      <c r="Q9" s="164">
        <v>2100</v>
      </c>
      <c r="R9" s="164">
        <v>2095</v>
      </c>
      <c r="S9" s="164">
        <v>2103</v>
      </c>
      <c r="T9" s="164">
        <v>2093</v>
      </c>
      <c r="U9" s="161">
        <v>41</v>
      </c>
      <c r="V9" s="164">
        <v>2</v>
      </c>
      <c r="W9" s="165">
        <v>25</v>
      </c>
      <c r="X9" s="166">
        <v>25</v>
      </c>
      <c r="Y9" s="166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3">
        <v>6</v>
      </c>
      <c r="AL9" s="3">
        <f t="shared" si="2"/>
        <v>6</v>
      </c>
      <c r="AM9" s="3">
        <f t="shared" si="3"/>
        <v>6</v>
      </c>
      <c r="AN9" s="3">
        <f t="shared" si="4"/>
        <v>6</v>
      </c>
      <c r="AO9" s="3">
        <f t="shared" si="5"/>
        <v>6</v>
      </c>
      <c r="AP9" s="3">
        <f t="shared" si="6"/>
        <v>426</v>
      </c>
      <c r="AQ9" s="3">
        <f t="shared" si="7"/>
        <v>426</v>
      </c>
      <c r="AR9" s="3">
        <f t="shared" si="8"/>
        <v>439</v>
      </c>
      <c r="AS9" s="3">
        <f t="shared" si="9"/>
        <v>439</v>
      </c>
      <c r="AU9" s="384">
        <f t="shared" si="10"/>
        <v>2</v>
      </c>
      <c r="AV9" s="384">
        <f t="shared" si="11"/>
        <v>2</v>
      </c>
    </row>
    <row r="10" spans="1:48" ht="23.25" customHeight="1" x14ac:dyDescent="0.3">
      <c r="A10" s="162" t="s">
        <v>339</v>
      </c>
      <c r="B10" s="163" t="s">
        <v>12</v>
      </c>
      <c r="C10" s="164">
        <v>268</v>
      </c>
      <c r="D10" s="164">
        <v>268</v>
      </c>
      <c r="E10" s="164">
        <v>1100</v>
      </c>
      <c r="F10" s="164">
        <v>1220</v>
      </c>
      <c r="G10" s="164">
        <v>432</v>
      </c>
      <c r="H10" s="164">
        <v>432</v>
      </c>
      <c r="I10" s="164">
        <f t="shared" si="0"/>
        <v>445</v>
      </c>
      <c r="J10" s="164">
        <f t="shared" si="1"/>
        <v>445</v>
      </c>
      <c r="K10" s="161">
        <v>41</v>
      </c>
      <c r="L10" s="161">
        <v>41</v>
      </c>
      <c r="M10" s="164">
        <v>11</v>
      </c>
      <c r="N10" s="164">
        <v>11</v>
      </c>
      <c r="O10" s="383">
        <v>3</v>
      </c>
      <c r="P10" s="383">
        <v>2</v>
      </c>
      <c r="Q10" s="164">
        <v>2105</v>
      </c>
      <c r="R10" s="164">
        <v>2090</v>
      </c>
      <c r="S10" s="164">
        <v>2105</v>
      </c>
      <c r="T10" s="164">
        <v>2092</v>
      </c>
      <c r="U10" s="161">
        <v>41</v>
      </c>
      <c r="V10" s="164">
        <v>2</v>
      </c>
      <c r="W10" s="165">
        <v>25</v>
      </c>
      <c r="X10" s="166">
        <v>25</v>
      </c>
      <c r="Y10" s="166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3">
        <v>7</v>
      </c>
      <c r="AL10" s="3">
        <f t="shared" si="2"/>
        <v>7</v>
      </c>
      <c r="AM10" s="3">
        <f t="shared" si="3"/>
        <v>7</v>
      </c>
      <c r="AN10" s="3">
        <f t="shared" si="4"/>
        <v>7</v>
      </c>
      <c r="AO10" s="3">
        <f t="shared" si="5"/>
        <v>7</v>
      </c>
      <c r="AP10" s="3">
        <f t="shared" si="6"/>
        <v>425</v>
      </c>
      <c r="AQ10" s="3">
        <f t="shared" si="7"/>
        <v>425</v>
      </c>
      <c r="AR10" s="3">
        <f t="shared" si="8"/>
        <v>438</v>
      </c>
      <c r="AS10" s="3">
        <f t="shared" si="9"/>
        <v>438</v>
      </c>
      <c r="AU10" s="384">
        <f t="shared" si="10"/>
        <v>3</v>
      </c>
      <c r="AV10" s="384">
        <f t="shared" si="11"/>
        <v>2</v>
      </c>
    </row>
    <row r="11" spans="1:48" ht="23.25" customHeight="1" x14ac:dyDescent="0.3">
      <c r="A11" s="162" t="s">
        <v>338</v>
      </c>
      <c r="B11" s="164">
        <v>1</v>
      </c>
      <c r="C11" s="164">
        <v>268</v>
      </c>
      <c r="D11" s="164">
        <v>268</v>
      </c>
      <c r="E11" s="164">
        <v>1100</v>
      </c>
      <c r="F11" s="164">
        <v>1222</v>
      </c>
      <c r="G11" s="164">
        <v>440</v>
      </c>
      <c r="H11" s="164">
        <v>440</v>
      </c>
      <c r="I11" s="164">
        <f t="shared" si="0"/>
        <v>453</v>
      </c>
      <c r="J11" s="164">
        <f t="shared" si="1"/>
        <v>453</v>
      </c>
      <c r="K11" s="161">
        <v>41</v>
      </c>
      <c r="L11" s="161">
        <v>41</v>
      </c>
      <c r="M11" s="164">
        <v>8</v>
      </c>
      <c r="N11" s="164">
        <v>8</v>
      </c>
      <c r="O11" s="383">
        <v>3</v>
      </c>
      <c r="P11" s="383">
        <v>3</v>
      </c>
      <c r="Q11" s="164">
        <v>2095</v>
      </c>
      <c r="R11" s="164">
        <v>2095</v>
      </c>
      <c r="S11" s="164">
        <v>2098</v>
      </c>
      <c r="T11" s="164">
        <v>2098</v>
      </c>
      <c r="U11" s="161">
        <v>41</v>
      </c>
      <c r="V11" s="164">
        <v>2</v>
      </c>
      <c r="W11" s="165">
        <v>25</v>
      </c>
      <c r="X11" s="166">
        <v>25</v>
      </c>
      <c r="Y11" s="166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3">
        <v>8</v>
      </c>
      <c r="AL11" s="3">
        <f t="shared" si="2"/>
        <v>8</v>
      </c>
      <c r="AM11" s="3">
        <f t="shared" si="3"/>
        <v>8</v>
      </c>
      <c r="AN11" s="3">
        <f t="shared" si="4"/>
        <v>8</v>
      </c>
      <c r="AO11" s="3">
        <f t="shared" si="5"/>
        <v>8</v>
      </c>
      <c r="AP11" s="3">
        <f t="shared" si="6"/>
        <v>432</v>
      </c>
      <c r="AQ11" s="3">
        <f t="shared" si="7"/>
        <v>432</v>
      </c>
      <c r="AR11" s="3">
        <f t="shared" si="8"/>
        <v>445</v>
      </c>
      <c r="AS11" s="3">
        <f t="shared" si="9"/>
        <v>445</v>
      </c>
      <c r="AU11" s="384">
        <f t="shared" si="10"/>
        <v>3</v>
      </c>
      <c r="AV11" s="384">
        <f t="shared" si="11"/>
        <v>3</v>
      </c>
    </row>
    <row r="12" spans="1:48" ht="23.25" customHeight="1" x14ac:dyDescent="0.3">
      <c r="A12" s="162" t="s">
        <v>337</v>
      </c>
      <c r="B12" s="163">
        <v>1</v>
      </c>
      <c r="C12" s="164">
        <v>268</v>
      </c>
      <c r="D12" s="164">
        <v>268</v>
      </c>
      <c r="E12" s="164">
        <v>1100</v>
      </c>
      <c r="F12" s="164">
        <v>1222</v>
      </c>
      <c r="G12" s="164">
        <v>441</v>
      </c>
      <c r="H12" s="164">
        <v>441</v>
      </c>
      <c r="I12" s="164">
        <f t="shared" si="0"/>
        <v>454</v>
      </c>
      <c r="J12" s="164">
        <f t="shared" si="1"/>
        <v>454</v>
      </c>
      <c r="K12" s="161">
        <v>41</v>
      </c>
      <c r="L12" s="161">
        <v>41</v>
      </c>
      <c r="M12" s="164">
        <v>12</v>
      </c>
      <c r="N12" s="164">
        <v>12</v>
      </c>
      <c r="O12" s="383">
        <v>3</v>
      </c>
      <c r="P12" s="383">
        <v>4</v>
      </c>
      <c r="Q12" s="164">
        <v>2096</v>
      </c>
      <c r="R12" s="164">
        <v>2093</v>
      </c>
      <c r="S12" s="164">
        <v>2098</v>
      </c>
      <c r="T12" s="164">
        <v>2092</v>
      </c>
      <c r="U12" s="161">
        <v>41</v>
      </c>
      <c r="V12" s="164">
        <v>2</v>
      </c>
      <c r="W12" s="165">
        <v>25</v>
      </c>
      <c r="X12" s="166">
        <v>25</v>
      </c>
      <c r="Y12" s="166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53">
        <v>9</v>
      </c>
      <c r="AL12" s="3">
        <f t="shared" si="2"/>
        <v>9</v>
      </c>
      <c r="AM12" s="3">
        <f t="shared" si="3"/>
        <v>9</v>
      </c>
      <c r="AN12" s="3">
        <f t="shared" si="4"/>
        <v>9</v>
      </c>
      <c r="AO12" s="3">
        <f t="shared" si="5"/>
        <v>9</v>
      </c>
      <c r="AP12" s="3">
        <f t="shared" si="6"/>
        <v>432</v>
      </c>
      <c r="AQ12" s="3">
        <f t="shared" si="7"/>
        <v>432</v>
      </c>
      <c r="AR12" s="3">
        <f t="shared" si="8"/>
        <v>445</v>
      </c>
      <c r="AS12" s="3">
        <f t="shared" si="9"/>
        <v>445</v>
      </c>
      <c r="AU12" s="384">
        <f t="shared" si="10"/>
        <v>3</v>
      </c>
      <c r="AV12" s="384">
        <f t="shared" si="11"/>
        <v>4</v>
      </c>
    </row>
    <row r="13" spans="1:48" ht="23.25" customHeight="1" x14ac:dyDescent="0.3">
      <c r="A13" s="162" t="s">
        <v>338</v>
      </c>
      <c r="B13" s="163" t="s">
        <v>12</v>
      </c>
      <c r="C13" s="164">
        <v>268</v>
      </c>
      <c r="D13" s="164">
        <v>268</v>
      </c>
      <c r="E13" s="164">
        <v>1100</v>
      </c>
      <c r="F13" s="164">
        <v>1220</v>
      </c>
      <c r="G13" s="164">
        <v>435</v>
      </c>
      <c r="H13" s="164">
        <v>435</v>
      </c>
      <c r="I13" s="164">
        <f t="shared" si="0"/>
        <v>448</v>
      </c>
      <c r="J13" s="164">
        <f t="shared" si="1"/>
        <v>448</v>
      </c>
      <c r="K13" s="161">
        <v>41</v>
      </c>
      <c r="L13" s="161">
        <v>41</v>
      </c>
      <c r="M13" s="164">
        <v>8</v>
      </c>
      <c r="N13" s="164">
        <v>12</v>
      </c>
      <c r="O13" s="383">
        <v>4</v>
      </c>
      <c r="P13" s="383">
        <v>4</v>
      </c>
      <c r="Q13" s="164">
        <v>2104</v>
      </c>
      <c r="R13" s="164">
        <v>2095</v>
      </c>
      <c r="S13" s="164">
        <v>2103</v>
      </c>
      <c r="T13" s="164">
        <v>2091</v>
      </c>
      <c r="U13" s="161">
        <v>41</v>
      </c>
      <c r="V13" s="164">
        <v>2</v>
      </c>
      <c r="W13" s="165">
        <v>25</v>
      </c>
      <c r="X13" s="166">
        <v>25</v>
      </c>
      <c r="Y13" s="166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53">
        <v>10</v>
      </c>
      <c r="AL13" s="3">
        <f t="shared" si="2"/>
        <v>10</v>
      </c>
      <c r="AM13" s="3">
        <f t="shared" si="3"/>
        <v>10</v>
      </c>
      <c r="AN13" s="3">
        <f t="shared" si="4"/>
        <v>10</v>
      </c>
      <c r="AO13" s="3">
        <f t="shared" si="5"/>
        <v>10</v>
      </c>
      <c r="AP13" s="3">
        <f t="shared" si="6"/>
        <v>425</v>
      </c>
      <c r="AQ13" s="3">
        <f t="shared" si="7"/>
        <v>425</v>
      </c>
      <c r="AR13" s="3">
        <f t="shared" si="8"/>
        <v>438</v>
      </c>
      <c r="AS13" s="3">
        <f t="shared" si="9"/>
        <v>438</v>
      </c>
      <c r="AU13" s="384">
        <f t="shared" si="10"/>
        <v>4</v>
      </c>
      <c r="AV13" s="384">
        <f t="shared" si="11"/>
        <v>4</v>
      </c>
    </row>
    <row r="14" spans="1:48" ht="23.25" customHeight="1" x14ac:dyDescent="0.3">
      <c r="A14" s="162" t="s">
        <v>339</v>
      </c>
      <c r="B14" s="163" t="s">
        <v>12</v>
      </c>
      <c r="C14" s="164">
        <v>268</v>
      </c>
      <c r="D14" s="164">
        <v>268</v>
      </c>
      <c r="E14" s="164">
        <v>1100</v>
      </c>
      <c r="F14" s="164">
        <v>1220</v>
      </c>
      <c r="G14" s="164">
        <v>436</v>
      </c>
      <c r="H14" s="164">
        <v>436</v>
      </c>
      <c r="I14" s="164">
        <f t="shared" si="0"/>
        <v>449</v>
      </c>
      <c r="J14" s="164">
        <f t="shared" si="1"/>
        <v>449</v>
      </c>
      <c r="K14" s="161">
        <v>41</v>
      </c>
      <c r="L14" s="161">
        <v>41</v>
      </c>
      <c r="M14" s="164">
        <v>12</v>
      </c>
      <c r="N14" s="164">
        <v>12</v>
      </c>
      <c r="O14" s="383">
        <v>3</v>
      </c>
      <c r="P14" s="383">
        <v>4</v>
      </c>
      <c r="Q14" s="164">
        <v>2097</v>
      </c>
      <c r="R14" s="164">
        <v>2095</v>
      </c>
      <c r="S14" s="164">
        <v>2094</v>
      </c>
      <c r="T14" s="164">
        <v>2091</v>
      </c>
      <c r="U14" s="161">
        <v>41</v>
      </c>
      <c r="V14" s="164">
        <v>2</v>
      </c>
      <c r="W14" s="165">
        <v>25</v>
      </c>
      <c r="X14" s="166">
        <v>25</v>
      </c>
      <c r="Y14" s="166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53">
        <v>11</v>
      </c>
      <c r="AL14" s="3">
        <f t="shared" si="2"/>
        <v>11</v>
      </c>
      <c r="AM14" s="3">
        <f t="shared" si="3"/>
        <v>11</v>
      </c>
      <c r="AN14" s="3">
        <f t="shared" si="4"/>
        <v>11</v>
      </c>
      <c r="AO14" s="3">
        <f t="shared" si="5"/>
        <v>11</v>
      </c>
      <c r="AP14" s="3">
        <f t="shared" si="6"/>
        <v>425</v>
      </c>
      <c r="AQ14" s="3">
        <f t="shared" si="7"/>
        <v>425</v>
      </c>
      <c r="AR14" s="3">
        <f t="shared" si="8"/>
        <v>438</v>
      </c>
      <c r="AS14" s="3">
        <f t="shared" si="9"/>
        <v>438</v>
      </c>
      <c r="AU14" s="384">
        <f t="shared" si="10"/>
        <v>3</v>
      </c>
      <c r="AV14" s="384">
        <f t="shared" si="11"/>
        <v>4</v>
      </c>
    </row>
    <row r="15" spans="1:48" ht="23.25" customHeight="1" x14ac:dyDescent="0.3">
      <c r="A15" s="162" t="s">
        <v>338</v>
      </c>
      <c r="B15" s="163">
        <v>1</v>
      </c>
      <c r="C15" s="164">
        <v>268</v>
      </c>
      <c r="D15" s="164">
        <v>268</v>
      </c>
      <c r="E15" s="164">
        <v>1100</v>
      </c>
      <c r="F15" s="164">
        <v>1224</v>
      </c>
      <c r="G15" s="164">
        <v>452</v>
      </c>
      <c r="H15" s="164">
        <v>452</v>
      </c>
      <c r="I15" s="164">
        <f t="shared" si="0"/>
        <v>465</v>
      </c>
      <c r="J15" s="164">
        <f t="shared" si="1"/>
        <v>465</v>
      </c>
      <c r="K15" s="161">
        <v>41</v>
      </c>
      <c r="L15" s="161">
        <v>41</v>
      </c>
      <c r="M15" s="164">
        <v>13</v>
      </c>
      <c r="N15" s="164">
        <v>13</v>
      </c>
      <c r="O15" s="383">
        <v>5</v>
      </c>
      <c r="P15" s="383">
        <v>4</v>
      </c>
      <c r="Q15" s="164">
        <v>2101</v>
      </c>
      <c r="R15" s="164">
        <v>2093</v>
      </c>
      <c r="S15" s="164">
        <v>2102</v>
      </c>
      <c r="T15" s="164">
        <v>2093</v>
      </c>
      <c r="U15" s="161">
        <v>41</v>
      </c>
      <c r="V15" s="164">
        <v>2</v>
      </c>
      <c r="W15" s="165">
        <v>25</v>
      </c>
      <c r="X15" s="166">
        <v>25</v>
      </c>
      <c r="Y15" s="166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53">
        <v>12</v>
      </c>
      <c r="AL15" s="3">
        <f t="shared" si="2"/>
        <v>12</v>
      </c>
      <c r="AM15" s="3">
        <f t="shared" si="3"/>
        <v>12</v>
      </c>
      <c r="AN15" s="3">
        <f t="shared" si="4"/>
        <v>12</v>
      </c>
      <c r="AO15" s="3">
        <f t="shared" si="5"/>
        <v>12</v>
      </c>
      <c r="AP15" s="3">
        <f t="shared" si="6"/>
        <v>440</v>
      </c>
      <c r="AQ15" s="3">
        <f t="shared" si="7"/>
        <v>440</v>
      </c>
      <c r="AR15" s="3">
        <f t="shared" si="8"/>
        <v>453</v>
      </c>
      <c r="AS15" s="3">
        <f t="shared" si="9"/>
        <v>453</v>
      </c>
      <c r="AU15" s="384">
        <f t="shared" si="10"/>
        <v>5</v>
      </c>
      <c r="AV15" s="384">
        <f t="shared" si="11"/>
        <v>4</v>
      </c>
    </row>
    <row r="16" spans="1:48" ht="23.25" customHeight="1" x14ac:dyDescent="0.3">
      <c r="A16" s="162" t="s">
        <v>337</v>
      </c>
      <c r="B16" s="163">
        <v>1</v>
      </c>
      <c r="C16" s="164">
        <v>268</v>
      </c>
      <c r="D16" s="164">
        <v>268</v>
      </c>
      <c r="E16" s="164">
        <v>1100</v>
      </c>
      <c r="F16" s="164">
        <v>1224</v>
      </c>
      <c r="G16" s="164">
        <v>452</v>
      </c>
      <c r="H16" s="164">
        <v>452</v>
      </c>
      <c r="I16" s="164">
        <f t="shared" si="0"/>
        <v>465</v>
      </c>
      <c r="J16" s="164">
        <f t="shared" si="1"/>
        <v>465</v>
      </c>
      <c r="K16" s="161">
        <v>41</v>
      </c>
      <c r="L16" s="161">
        <v>41</v>
      </c>
      <c r="M16" s="164">
        <v>13</v>
      </c>
      <c r="N16" s="164">
        <v>13</v>
      </c>
      <c r="O16" s="383">
        <v>4</v>
      </c>
      <c r="P16" s="383">
        <v>6</v>
      </c>
      <c r="Q16" s="164">
        <v>2105</v>
      </c>
      <c r="R16" s="164">
        <v>2092</v>
      </c>
      <c r="S16" s="164">
        <v>2104</v>
      </c>
      <c r="T16" s="164">
        <v>2091</v>
      </c>
      <c r="U16" s="161">
        <v>41</v>
      </c>
      <c r="V16" s="164">
        <v>2</v>
      </c>
      <c r="W16" s="165">
        <v>25</v>
      </c>
      <c r="X16" s="166">
        <v>25</v>
      </c>
      <c r="Y16" s="166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53">
        <v>13</v>
      </c>
      <c r="AL16" s="3">
        <f t="shared" si="2"/>
        <v>13</v>
      </c>
      <c r="AM16" s="3">
        <f t="shared" si="3"/>
        <v>13</v>
      </c>
      <c r="AN16" s="3">
        <f t="shared" si="4"/>
        <v>13</v>
      </c>
      <c r="AO16" s="3">
        <f t="shared" si="5"/>
        <v>13</v>
      </c>
      <c r="AP16" s="3">
        <f t="shared" si="6"/>
        <v>439</v>
      </c>
      <c r="AQ16" s="3">
        <f t="shared" si="7"/>
        <v>439</v>
      </c>
      <c r="AR16" s="3">
        <f t="shared" si="8"/>
        <v>452</v>
      </c>
      <c r="AS16" s="3">
        <f t="shared" si="9"/>
        <v>452</v>
      </c>
      <c r="AU16" s="384">
        <f t="shared" si="10"/>
        <v>4</v>
      </c>
      <c r="AV16" s="384">
        <f t="shared" si="11"/>
        <v>6</v>
      </c>
    </row>
    <row r="17" spans="1:48" ht="23.25" customHeight="1" x14ac:dyDescent="0.3">
      <c r="A17" s="162" t="s">
        <v>338</v>
      </c>
      <c r="B17" s="163" t="s">
        <v>12</v>
      </c>
      <c r="C17" s="164">
        <v>268</v>
      </c>
      <c r="D17" s="164">
        <v>268</v>
      </c>
      <c r="E17" s="164">
        <v>1100</v>
      </c>
      <c r="F17" s="164">
        <v>1221</v>
      </c>
      <c r="G17" s="164">
        <v>446</v>
      </c>
      <c r="H17" s="164">
        <v>446</v>
      </c>
      <c r="I17" s="164">
        <f t="shared" si="0"/>
        <v>459</v>
      </c>
      <c r="J17" s="164">
        <f t="shared" si="1"/>
        <v>459</v>
      </c>
      <c r="K17" s="161">
        <v>41</v>
      </c>
      <c r="L17" s="161">
        <v>41</v>
      </c>
      <c r="M17" s="164">
        <v>12</v>
      </c>
      <c r="N17" s="164">
        <v>12</v>
      </c>
      <c r="O17" s="383">
        <v>4</v>
      </c>
      <c r="P17" s="383">
        <v>3</v>
      </c>
      <c r="Q17" s="164">
        <v>2112</v>
      </c>
      <c r="R17" s="164">
        <v>2092</v>
      </c>
      <c r="S17" s="164">
        <v>2112</v>
      </c>
      <c r="T17" s="164">
        <v>2092</v>
      </c>
      <c r="U17" s="161">
        <v>41</v>
      </c>
      <c r="V17" s="164">
        <v>2</v>
      </c>
      <c r="W17" s="165">
        <v>25</v>
      </c>
      <c r="X17" s="166">
        <v>25</v>
      </c>
      <c r="Y17" s="166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53">
        <v>14</v>
      </c>
      <c r="AL17" s="3">
        <f t="shared" si="2"/>
        <v>14</v>
      </c>
      <c r="AM17" s="3">
        <f t="shared" si="3"/>
        <v>14</v>
      </c>
      <c r="AN17" s="3">
        <f t="shared" si="4"/>
        <v>14</v>
      </c>
      <c r="AO17" s="3">
        <f t="shared" si="5"/>
        <v>14</v>
      </c>
      <c r="AP17" s="3">
        <f t="shared" si="6"/>
        <v>432</v>
      </c>
      <c r="AQ17" s="3">
        <f t="shared" si="7"/>
        <v>432</v>
      </c>
      <c r="AR17" s="3">
        <f t="shared" si="8"/>
        <v>445</v>
      </c>
      <c r="AS17" s="3">
        <f t="shared" si="9"/>
        <v>445</v>
      </c>
      <c r="AU17" s="384">
        <f t="shared" si="10"/>
        <v>4</v>
      </c>
      <c r="AV17" s="384">
        <f t="shared" si="11"/>
        <v>3</v>
      </c>
    </row>
    <row r="18" spans="1:48" ht="23.25" customHeight="1" x14ac:dyDescent="0.3">
      <c r="A18" s="162" t="s">
        <v>339</v>
      </c>
      <c r="B18" s="163" t="s">
        <v>12</v>
      </c>
      <c r="C18" s="164">
        <v>268</v>
      </c>
      <c r="D18" s="164">
        <v>268</v>
      </c>
      <c r="E18" s="164">
        <v>1100</v>
      </c>
      <c r="F18" s="164">
        <v>1221</v>
      </c>
      <c r="G18" s="164">
        <v>447</v>
      </c>
      <c r="H18" s="164">
        <v>447</v>
      </c>
      <c r="I18" s="164">
        <f t="shared" si="0"/>
        <v>460</v>
      </c>
      <c r="J18" s="164">
        <f t="shared" si="1"/>
        <v>460</v>
      </c>
      <c r="K18" s="161">
        <v>41</v>
      </c>
      <c r="L18" s="161">
        <v>41</v>
      </c>
      <c r="M18" s="164">
        <v>12</v>
      </c>
      <c r="N18" s="164">
        <v>12</v>
      </c>
      <c r="O18" s="383">
        <v>5</v>
      </c>
      <c r="P18" s="383">
        <v>5</v>
      </c>
      <c r="Q18" s="164">
        <v>2110</v>
      </c>
      <c r="R18" s="164">
        <v>2093</v>
      </c>
      <c r="S18" s="164">
        <v>2110</v>
      </c>
      <c r="T18" s="164">
        <v>2093</v>
      </c>
      <c r="U18" s="161">
        <v>41</v>
      </c>
      <c r="V18" s="164">
        <v>2</v>
      </c>
      <c r="W18" s="165">
        <v>25</v>
      </c>
      <c r="X18" s="166">
        <v>25</v>
      </c>
      <c r="Y18" s="166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53">
        <v>15</v>
      </c>
      <c r="AL18" s="3">
        <f t="shared" si="2"/>
        <v>15</v>
      </c>
      <c r="AM18" s="3">
        <f t="shared" si="3"/>
        <v>15</v>
      </c>
      <c r="AN18" s="3">
        <f t="shared" si="4"/>
        <v>15</v>
      </c>
      <c r="AO18" s="3">
        <f t="shared" si="5"/>
        <v>15</v>
      </c>
      <c r="AP18" s="3">
        <f t="shared" si="6"/>
        <v>432</v>
      </c>
      <c r="AQ18" s="3">
        <f t="shared" si="7"/>
        <v>432</v>
      </c>
      <c r="AR18" s="3">
        <f t="shared" si="8"/>
        <v>445</v>
      </c>
      <c r="AS18" s="3">
        <f t="shared" si="9"/>
        <v>445</v>
      </c>
      <c r="AU18" s="384">
        <f t="shared" si="10"/>
        <v>5</v>
      </c>
      <c r="AV18" s="384">
        <f t="shared" si="11"/>
        <v>5</v>
      </c>
    </row>
    <row r="19" spans="1:48" ht="23.25" customHeight="1" x14ac:dyDescent="0.3">
      <c r="A19" s="162" t="s">
        <v>338</v>
      </c>
      <c r="B19" s="164">
        <v>1</v>
      </c>
      <c r="C19" s="164">
        <v>268</v>
      </c>
      <c r="D19" s="164">
        <v>268</v>
      </c>
      <c r="E19" s="164">
        <v>1100</v>
      </c>
      <c r="F19" s="164">
        <v>1219</v>
      </c>
      <c r="G19" s="164">
        <v>430</v>
      </c>
      <c r="H19" s="164">
        <v>430</v>
      </c>
      <c r="I19" s="164">
        <f t="shared" si="0"/>
        <v>443</v>
      </c>
      <c r="J19" s="164">
        <f t="shared" si="1"/>
        <v>443</v>
      </c>
      <c r="K19" s="161">
        <v>41</v>
      </c>
      <c r="L19" s="161">
        <v>41</v>
      </c>
      <c r="M19" s="164">
        <v>8</v>
      </c>
      <c r="N19" s="164">
        <v>8</v>
      </c>
      <c r="O19" s="383">
        <v>2</v>
      </c>
      <c r="P19" s="383">
        <v>2</v>
      </c>
      <c r="Q19" s="164">
        <v>2102</v>
      </c>
      <c r="R19" s="164">
        <v>2093</v>
      </c>
      <c r="S19" s="164">
        <v>2102</v>
      </c>
      <c r="T19" s="164">
        <v>2093</v>
      </c>
      <c r="U19" s="161">
        <v>41</v>
      </c>
      <c r="V19" s="164">
        <v>2</v>
      </c>
      <c r="W19" s="165">
        <v>25</v>
      </c>
      <c r="X19" s="166">
        <v>25</v>
      </c>
      <c r="Y19" s="166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53">
        <v>16</v>
      </c>
      <c r="AL19" s="3">
        <f t="shared" si="2"/>
        <v>16</v>
      </c>
      <c r="AM19" s="3">
        <f t="shared" si="3"/>
        <v>16</v>
      </c>
      <c r="AN19" s="3">
        <f t="shared" si="4"/>
        <v>16</v>
      </c>
      <c r="AO19" s="3">
        <f t="shared" si="5"/>
        <v>16</v>
      </c>
      <c r="AP19" s="3">
        <f t="shared" si="6"/>
        <v>414</v>
      </c>
      <c r="AQ19" s="3">
        <f t="shared" si="7"/>
        <v>414</v>
      </c>
      <c r="AR19" s="3">
        <f t="shared" si="8"/>
        <v>427</v>
      </c>
      <c r="AS19" s="3">
        <f t="shared" si="9"/>
        <v>427</v>
      </c>
      <c r="AU19" s="384">
        <f t="shared" si="10"/>
        <v>2</v>
      </c>
      <c r="AV19" s="384">
        <f t="shared" si="11"/>
        <v>2</v>
      </c>
    </row>
    <row r="20" spans="1:48" ht="23.25" customHeight="1" x14ac:dyDescent="0.3">
      <c r="A20" s="162" t="s">
        <v>337</v>
      </c>
      <c r="B20" s="163">
        <v>1</v>
      </c>
      <c r="C20" s="164">
        <v>268</v>
      </c>
      <c r="D20" s="164">
        <v>268</v>
      </c>
      <c r="E20" s="164">
        <v>1100</v>
      </c>
      <c r="F20" s="164">
        <v>1219</v>
      </c>
      <c r="G20" s="164">
        <v>432</v>
      </c>
      <c r="H20" s="164">
        <v>432</v>
      </c>
      <c r="I20" s="164">
        <f t="shared" si="0"/>
        <v>445</v>
      </c>
      <c r="J20" s="164">
        <f t="shared" si="1"/>
        <v>445</v>
      </c>
      <c r="K20" s="161">
        <v>41</v>
      </c>
      <c r="L20" s="161">
        <v>41</v>
      </c>
      <c r="M20" s="164">
        <v>11</v>
      </c>
      <c r="N20" s="164">
        <v>11</v>
      </c>
      <c r="O20" s="383">
        <v>4</v>
      </c>
      <c r="P20" s="383">
        <v>4</v>
      </c>
      <c r="Q20" s="164">
        <v>2104</v>
      </c>
      <c r="R20" s="164">
        <v>2094</v>
      </c>
      <c r="S20" s="164">
        <v>2104</v>
      </c>
      <c r="T20" s="164">
        <v>2094</v>
      </c>
      <c r="U20" s="161">
        <v>41</v>
      </c>
      <c r="V20" s="164">
        <v>2</v>
      </c>
      <c r="W20" s="165">
        <v>25</v>
      </c>
      <c r="X20" s="166">
        <v>25</v>
      </c>
      <c r="Y20" s="166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53">
        <v>17</v>
      </c>
      <c r="AL20" s="3">
        <f t="shared" si="2"/>
        <v>17</v>
      </c>
      <c r="AM20" s="3">
        <f t="shared" si="3"/>
        <v>17</v>
      </c>
      <c r="AN20" s="3">
        <f t="shared" si="4"/>
        <v>17</v>
      </c>
      <c r="AO20" s="3">
        <f t="shared" si="5"/>
        <v>17</v>
      </c>
      <c r="AP20" s="3">
        <f t="shared" si="6"/>
        <v>415</v>
      </c>
      <c r="AQ20" s="3">
        <f t="shared" si="7"/>
        <v>415</v>
      </c>
      <c r="AR20" s="3">
        <f t="shared" si="8"/>
        <v>428</v>
      </c>
      <c r="AS20" s="3">
        <f t="shared" si="9"/>
        <v>428</v>
      </c>
      <c r="AU20" s="384">
        <f t="shared" si="10"/>
        <v>4</v>
      </c>
      <c r="AV20" s="384">
        <f t="shared" si="11"/>
        <v>4</v>
      </c>
    </row>
    <row r="21" spans="1:48" ht="23.25" customHeight="1" x14ac:dyDescent="0.3">
      <c r="A21" s="162" t="s">
        <v>338</v>
      </c>
      <c r="B21" s="163" t="s">
        <v>12</v>
      </c>
      <c r="C21" s="164">
        <v>268</v>
      </c>
      <c r="D21" s="164">
        <v>268</v>
      </c>
      <c r="E21" s="164">
        <v>1100</v>
      </c>
      <c r="F21" s="164">
        <v>1219</v>
      </c>
      <c r="G21" s="164">
        <v>433</v>
      </c>
      <c r="H21" s="164">
        <v>433</v>
      </c>
      <c r="I21" s="164">
        <f t="shared" si="0"/>
        <v>446</v>
      </c>
      <c r="J21" s="164">
        <f t="shared" si="1"/>
        <v>446</v>
      </c>
      <c r="K21" s="161">
        <v>41</v>
      </c>
      <c r="L21" s="161">
        <v>41</v>
      </c>
      <c r="M21" s="164">
        <v>11</v>
      </c>
      <c r="N21" s="164">
        <v>11</v>
      </c>
      <c r="O21" s="383">
        <v>3</v>
      </c>
      <c r="P21" s="383">
        <v>3</v>
      </c>
      <c r="Q21" s="164">
        <v>2104</v>
      </c>
      <c r="R21" s="164">
        <v>2092</v>
      </c>
      <c r="S21" s="164">
        <v>2102</v>
      </c>
      <c r="T21" s="164">
        <v>2093</v>
      </c>
      <c r="U21" s="161">
        <v>41</v>
      </c>
      <c r="V21" s="164">
        <v>2</v>
      </c>
      <c r="W21" s="165">
        <v>25</v>
      </c>
      <c r="X21" s="166">
        <v>25</v>
      </c>
      <c r="Y21" s="166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53">
        <v>18</v>
      </c>
      <c r="AL21" s="3">
        <f t="shared" si="2"/>
        <v>18</v>
      </c>
      <c r="AM21" s="3">
        <f t="shared" si="3"/>
        <v>18</v>
      </c>
      <c r="AN21" s="3">
        <f t="shared" si="4"/>
        <v>18</v>
      </c>
      <c r="AO21" s="3">
        <f t="shared" si="5"/>
        <v>18</v>
      </c>
      <c r="AP21" s="3">
        <f t="shared" si="6"/>
        <v>415</v>
      </c>
      <c r="AQ21" s="3">
        <f t="shared" si="7"/>
        <v>415</v>
      </c>
      <c r="AR21" s="3">
        <f t="shared" si="8"/>
        <v>428</v>
      </c>
      <c r="AS21" s="3">
        <f t="shared" si="9"/>
        <v>428</v>
      </c>
      <c r="AU21" s="384">
        <f t="shared" si="10"/>
        <v>3</v>
      </c>
      <c r="AV21" s="384">
        <f t="shared" si="11"/>
        <v>3</v>
      </c>
    </row>
    <row r="22" spans="1:48" ht="23.25" customHeight="1" x14ac:dyDescent="0.3">
      <c r="A22" s="162" t="s">
        <v>339</v>
      </c>
      <c r="B22" s="163" t="s">
        <v>12</v>
      </c>
      <c r="C22" s="164">
        <v>268</v>
      </c>
      <c r="D22" s="164">
        <v>268</v>
      </c>
      <c r="E22" s="164">
        <v>1100</v>
      </c>
      <c r="F22" s="164">
        <v>1219</v>
      </c>
      <c r="G22" s="164">
        <v>431</v>
      </c>
      <c r="H22" s="164">
        <v>431</v>
      </c>
      <c r="I22" s="164">
        <f t="shared" si="0"/>
        <v>444</v>
      </c>
      <c r="J22" s="164">
        <f t="shared" si="1"/>
        <v>444</v>
      </c>
      <c r="K22" s="161">
        <v>41</v>
      </c>
      <c r="L22" s="161">
        <v>41</v>
      </c>
      <c r="M22" s="164">
        <v>12</v>
      </c>
      <c r="N22" s="164">
        <v>12</v>
      </c>
      <c r="O22" s="383">
        <v>3</v>
      </c>
      <c r="P22" s="383">
        <v>3</v>
      </c>
      <c r="Q22" s="164">
        <v>2103</v>
      </c>
      <c r="R22" s="164">
        <v>2094</v>
      </c>
      <c r="S22" s="164">
        <v>2102</v>
      </c>
      <c r="T22" s="164">
        <v>2093</v>
      </c>
      <c r="U22" s="161">
        <v>41</v>
      </c>
      <c r="V22" s="164">
        <v>2</v>
      </c>
      <c r="W22" s="165">
        <v>25</v>
      </c>
      <c r="X22" s="166">
        <v>25</v>
      </c>
      <c r="Y22" s="166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53">
        <v>19</v>
      </c>
      <c r="AL22" s="3">
        <f t="shared" si="2"/>
        <v>19</v>
      </c>
      <c r="AM22" s="3">
        <f t="shared" si="3"/>
        <v>19</v>
      </c>
      <c r="AN22" s="3">
        <f t="shared" si="4"/>
        <v>19</v>
      </c>
      <c r="AO22" s="3">
        <f t="shared" si="5"/>
        <v>19</v>
      </c>
      <c r="AP22" s="3">
        <f t="shared" si="6"/>
        <v>412</v>
      </c>
      <c r="AQ22" s="3">
        <f t="shared" si="7"/>
        <v>412</v>
      </c>
      <c r="AR22" s="3">
        <f t="shared" si="8"/>
        <v>425</v>
      </c>
      <c r="AS22" s="3">
        <f t="shared" si="9"/>
        <v>425</v>
      </c>
      <c r="AU22" s="384">
        <f t="shared" si="10"/>
        <v>3</v>
      </c>
      <c r="AV22" s="384">
        <f t="shared" si="11"/>
        <v>3</v>
      </c>
    </row>
    <row r="23" spans="1:48" ht="23.25" customHeight="1" x14ac:dyDescent="0.3">
      <c r="A23" s="162" t="s">
        <v>338</v>
      </c>
      <c r="B23" s="163">
        <v>1</v>
      </c>
      <c r="C23" s="164">
        <v>268</v>
      </c>
      <c r="D23" s="164">
        <v>268</v>
      </c>
      <c r="E23" s="164">
        <v>1100</v>
      </c>
      <c r="F23" s="164">
        <v>1215</v>
      </c>
      <c r="G23" s="164">
        <v>421</v>
      </c>
      <c r="H23" s="164">
        <v>421</v>
      </c>
      <c r="I23" s="164">
        <f t="shared" si="0"/>
        <v>434</v>
      </c>
      <c r="J23" s="164">
        <f t="shared" si="1"/>
        <v>434</v>
      </c>
      <c r="K23" s="161">
        <v>41</v>
      </c>
      <c r="L23" s="161">
        <v>41</v>
      </c>
      <c r="M23" s="164">
        <v>12</v>
      </c>
      <c r="N23" s="164">
        <v>12</v>
      </c>
      <c r="O23" s="383">
        <v>3</v>
      </c>
      <c r="P23" s="383">
        <v>4</v>
      </c>
      <c r="Q23" s="164">
        <v>2102</v>
      </c>
      <c r="R23" s="164">
        <v>2095</v>
      </c>
      <c r="S23" s="164">
        <v>2098</v>
      </c>
      <c r="T23" s="164">
        <v>2093</v>
      </c>
      <c r="U23" s="161">
        <v>41</v>
      </c>
      <c r="V23" s="164">
        <v>2</v>
      </c>
      <c r="W23" s="165">
        <v>25</v>
      </c>
      <c r="X23" s="166">
        <v>25</v>
      </c>
      <c r="Y23" s="166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53">
        <v>20</v>
      </c>
      <c r="AL23" s="3">
        <f t="shared" si="2"/>
        <v>20</v>
      </c>
      <c r="AM23" s="3">
        <f t="shared" si="3"/>
        <v>20</v>
      </c>
      <c r="AN23" s="3">
        <f t="shared" si="4"/>
        <v>20</v>
      </c>
      <c r="AO23" s="3">
        <f t="shared" si="5"/>
        <v>20</v>
      </c>
      <c r="AP23" s="3">
        <f t="shared" si="6"/>
        <v>401</v>
      </c>
      <c r="AQ23" s="3">
        <f t="shared" si="7"/>
        <v>401</v>
      </c>
      <c r="AR23" s="3">
        <f t="shared" si="8"/>
        <v>414</v>
      </c>
      <c r="AS23" s="3">
        <f t="shared" si="9"/>
        <v>414</v>
      </c>
      <c r="AU23" s="384">
        <f t="shared" si="10"/>
        <v>3</v>
      </c>
      <c r="AV23" s="384">
        <f t="shared" si="11"/>
        <v>4</v>
      </c>
    </row>
    <row r="24" spans="1:48" ht="23.25" customHeight="1" x14ac:dyDescent="0.3">
      <c r="A24" s="162" t="s">
        <v>337</v>
      </c>
      <c r="B24" s="163">
        <v>1</v>
      </c>
      <c r="C24" s="164">
        <v>268</v>
      </c>
      <c r="D24" s="164">
        <v>268</v>
      </c>
      <c r="E24" s="164">
        <v>1100</v>
      </c>
      <c r="F24" s="164">
        <v>1215</v>
      </c>
      <c r="G24" s="164">
        <v>422</v>
      </c>
      <c r="H24" s="164">
        <v>422</v>
      </c>
      <c r="I24" s="164">
        <f t="shared" si="0"/>
        <v>435</v>
      </c>
      <c r="J24" s="164">
        <f t="shared" si="1"/>
        <v>435</v>
      </c>
      <c r="K24" s="161">
        <v>41</v>
      </c>
      <c r="L24" s="161">
        <v>41</v>
      </c>
      <c r="M24" s="164">
        <v>11</v>
      </c>
      <c r="N24" s="164">
        <v>11</v>
      </c>
      <c r="O24" s="383">
        <v>2</v>
      </c>
      <c r="P24" s="383">
        <v>3</v>
      </c>
      <c r="Q24" s="164">
        <v>2104</v>
      </c>
      <c r="R24" s="164">
        <v>2092</v>
      </c>
      <c r="S24" s="164">
        <v>2103</v>
      </c>
      <c r="T24" s="164">
        <v>2093</v>
      </c>
      <c r="U24" s="161">
        <v>41</v>
      </c>
      <c r="V24" s="164">
        <v>2</v>
      </c>
      <c r="W24" s="165">
        <v>25</v>
      </c>
      <c r="X24" s="166">
        <v>25</v>
      </c>
      <c r="Y24" s="166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53">
        <v>21</v>
      </c>
      <c r="AL24" s="3">
        <f t="shared" si="2"/>
        <v>21</v>
      </c>
      <c r="AM24" s="3">
        <f t="shared" si="3"/>
        <v>21</v>
      </c>
      <c r="AN24" s="3">
        <f t="shared" si="4"/>
        <v>21</v>
      </c>
      <c r="AO24" s="3">
        <f t="shared" si="5"/>
        <v>21</v>
      </c>
      <c r="AP24" s="3">
        <f t="shared" si="6"/>
        <v>401</v>
      </c>
      <c r="AQ24" s="3">
        <f t="shared" si="7"/>
        <v>401</v>
      </c>
      <c r="AR24" s="3">
        <f t="shared" si="8"/>
        <v>414</v>
      </c>
      <c r="AS24" s="3">
        <f t="shared" si="9"/>
        <v>414</v>
      </c>
      <c r="AU24" s="384">
        <f t="shared" si="10"/>
        <v>2</v>
      </c>
      <c r="AV24" s="384">
        <f t="shared" si="11"/>
        <v>3</v>
      </c>
    </row>
    <row r="25" spans="1:48" ht="23.25" customHeight="1" x14ac:dyDescent="0.3">
      <c r="A25" s="162" t="s">
        <v>338</v>
      </c>
      <c r="B25" s="164" t="s">
        <v>12</v>
      </c>
      <c r="C25" s="164">
        <v>268</v>
      </c>
      <c r="D25" s="164">
        <v>268</v>
      </c>
      <c r="E25" s="164">
        <v>1100</v>
      </c>
      <c r="F25" s="164">
        <v>1216</v>
      </c>
      <c r="G25" s="164">
        <v>425</v>
      </c>
      <c r="H25" s="164">
        <v>425</v>
      </c>
      <c r="I25" s="164">
        <f t="shared" si="0"/>
        <v>438</v>
      </c>
      <c r="J25" s="164">
        <f t="shared" si="1"/>
        <v>438</v>
      </c>
      <c r="K25" s="161">
        <v>41</v>
      </c>
      <c r="L25" s="161">
        <v>41</v>
      </c>
      <c r="M25" s="164">
        <v>8</v>
      </c>
      <c r="N25" s="164">
        <v>8</v>
      </c>
      <c r="O25" s="383">
        <v>2</v>
      </c>
      <c r="P25" s="383">
        <v>1</v>
      </c>
      <c r="Q25" s="164">
        <v>2110</v>
      </c>
      <c r="R25" s="164">
        <v>2094</v>
      </c>
      <c r="S25" s="164">
        <v>2110</v>
      </c>
      <c r="T25" s="164">
        <v>2094</v>
      </c>
      <c r="U25" s="161">
        <v>41</v>
      </c>
      <c r="V25" s="164">
        <v>2</v>
      </c>
      <c r="W25" s="165">
        <v>25</v>
      </c>
      <c r="X25" s="166">
        <v>25</v>
      </c>
      <c r="Y25" s="166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53">
        <v>22</v>
      </c>
      <c r="AL25" s="3">
        <f t="shared" si="2"/>
        <v>22</v>
      </c>
      <c r="AM25" s="3">
        <f t="shared" si="3"/>
        <v>22</v>
      </c>
      <c r="AN25" s="3">
        <f t="shared" si="4"/>
        <v>22</v>
      </c>
      <c r="AO25" s="3">
        <f t="shared" si="5"/>
        <v>22</v>
      </c>
      <c r="AP25" s="3">
        <f t="shared" si="6"/>
        <v>403</v>
      </c>
      <c r="AQ25" s="3">
        <f t="shared" si="7"/>
        <v>403</v>
      </c>
      <c r="AR25" s="3">
        <f t="shared" si="8"/>
        <v>416</v>
      </c>
      <c r="AS25" s="3">
        <f t="shared" si="9"/>
        <v>416</v>
      </c>
      <c r="AU25" s="384">
        <f t="shared" si="10"/>
        <v>2</v>
      </c>
      <c r="AV25" s="384">
        <f t="shared" si="11"/>
        <v>1</v>
      </c>
    </row>
    <row r="26" spans="1:48" ht="23.25" customHeight="1" x14ac:dyDescent="0.3">
      <c r="A26" s="162" t="s">
        <v>339</v>
      </c>
      <c r="B26" s="164" t="s">
        <v>12</v>
      </c>
      <c r="C26" s="164">
        <v>268</v>
      </c>
      <c r="D26" s="164">
        <v>268</v>
      </c>
      <c r="E26" s="164">
        <v>1100</v>
      </c>
      <c r="F26" s="164">
        <v>1217</v>
      </c>
      <c r="G26" s="164">
        <v>425</v>
      </c>
      <c r="H26" s="164">
        <v>425</v>
      </c>
      <c r="I26" s="164">
        <f t="shared" si="0"/>
        <v>438</v>
      </c>
      <c r="J26" s="164">
        <f t="shared" si="1"/>
        <v>438</v>
      </c>
      <c r="K26" s="161">
        <v>41</v>
      </c>
      <c r="L26" s="161">
        <v>41</v>
      </c>
      <c r="M26" s="164">
        <v>8</v>
      </c>
      <c r="N26" s="164">
        <v>8</v>
      </c>
      <c r="O26" s="383">
        <v>1</v>
      </c>
      <c r="P26" s="383">
        <v>2</v>
      </c>
      <c r="Q26" s="164">
        <v>2114</v>
      </c>
      <c r="R26" s="164">
        <v>2094</v>
      </c>
      <c r="S26" s="164">
        <v>2112</v>
      </c>
      <c r="T26" s="164">
        <v>2094</v>
      </c>
      <c r="U26" s="161">
        <v>41</v>
      </c>
      <c r="V26" s="164">
        <v>2</v>
      </c>
      <c r="W26" s="165">
        <v>25</v>
      </c>
      <c r="X26" s="166">
        <v>25</v>
      </c>
      <c r="Y26" s="166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53">
        <v>23</v>
      </c>
      <c r="AL26" s="3">
        <f t="shared" si="2"/>
        <v>23</v>
      </c>
      <c r="AM26" s="3">
        <f t="shared" si="3"/>
        <v>23</v>
      </c>
      <c r="AN26" s="3">
        <f t="shared" si="4"/>
        <v>23</v>
      </c>
      <c r="AO26" s="3">
        <f t="shared" si="5"/>
        <v>23</v>
      </c>
      <c r="AP26" s="3">
        <f t="shared" si="6"/>
        <v>402</v>
      </c>
      <c r="AQ26" s="3">
        <f t="shared" si="7"/>
        <v>402</v>
      </c>
      <c r="AR26" s="3">
        <f t="shared" si="8"/>
        <v>415</v>
      </c>
      <c r="AS26" s="3">
        <f t="shared" si="9"/>
        <v>415</v>
      </c>
      <c r="AU26" s="384">
        <f t="shared" si="10"/>
        <v>1</v>
      </c>
      <c r="AV26" s="384">
        <f t="shared" si="11"/>
        <v>2</v>
      </c>
    </row>
    <row r="27" spans="1:48" ht="23.25" customHeight="1" x14ac:dyDescent="0.3">
      <c r="A27" s="162" t="s">
        <v>338</v>
      </c>
      <c r="B27" s="164">
        <v>1</v>
      </c>
      <c r="C27" s="164">
        <v>268</v>
      </c>
      <c r="D27" s="164">
        <v>268</v>
      </c>
      <c r="E27" s="164">
        <v>1100</v>
      </c>
      <c r="F27" s="164">
        <v>1219</v>
      </c>
      <c r="G27" s="164">
        <v>435</v>
      </c>
      <c r="H27" s="164">
        <v>435</v>
      </c>
      <c r="I27" s="164">
        <f t="shared" si="0"/>
        <v>448</v>
      </c>
      <c r="J27" s="164">
        <f t="shared" si="1"/>
        <v>448</v>
      </c>
      <c r="K27" s="161">
        <v>41</v>
      </c>
      <c r="L27" s="161">
        <v>41</v>
      </c>
      <c r="M27" s="164">
        <v>8</v>
      </c>
      <c r="N27" s="164">
        <v>8</v>
      </c>
      <c r="O27" s="383">
        <v>2</v>
      </c>
      <c r="P27" s="383">
        <v>2</v>
      </c>
      <c r="Q27" s="164">
        <v>2107</v>
      </c>
      <c r="R27" s="164">
        <v>2100</v>
      </c>
      <c r="S27" s="164">
        <v>2107</v>
      </c>
      <c r="T27" s="164">
        <v>2100</v>
      </c>
      <c r="U27" s="161">
        <v>41</v>
      </c>
      <c r="V27" s="164">
        <v>2</v>
      </c>
      <c r="W27" s="165">
        <v>25</v>
      </c>
      <c r="X27" s="166">
        <v>25</v>
      </c>
      <c r="Y27" s="166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53">
        <v>24</v>
      </c>
      <c r="AL27" s="3">
        <f t="shared" si="2"/>
        <v>24</v>
      </c>
      <c r="AM27" s="3">
        <f t="shared" si="3"/>
        <v>24</v>
      </c>
      <c r="AN27" s="3">
        <f t="shared" si="4"/>
        <v>24</v>
      </c>
      <c r="AO27" s="3">
        <f t="shared" si="5"/>
        <v>24</v>
      </c>
      <c r="AP27" s="3">
        <f t="shared" si="6"/>
        <v>411</v>
      </c>
      <c r="AQ27" s="3">
        <f t="shared" si="7"/>
        <v>411</v>
      </c>
      <c r="AR27" s="3">
        <f t="shared" si="8"/>
        <v>424</v>
      </c>
      <c r="AS27" s="3">
        <f t="shared" si="9"/>
        <v>424</v>
      </c>
      <c r="AU27" s="384">
        <f t="shared" si="10"/>
        <v>2</v>
      </c>
      <c r="AV27" s="384">
        <f t="shared" si="11"/>
        <v>2</v>
      </c>
    </row>
    <row r="28" spans="1:48" ht="20.25" x14ac:dyDescent="0.3">
      <c r="A28" s="162" t="s">
        <v>337</v>
      </c>
      <c r="B28" s="164">
        <v>1</v>
      </c>
      <c r="C28" s="164">
        <v>268</v>
      </c>
      <c r="D28" s="164">
        <v>268</v>
      </c>
      <c r="E28" s="164">
        <v>1100</v>
      </c>
      <c r="F28" s="164">
        <v>1220</v>
      </c>
      <c r="G28" s="164">
        <v>435</v>
      </c>
      <c r="H28" s="164">
        <v>435</v>
      </c>
      <c r="I28" s="164">
        <f t="shared" si="0"/>
        <v>448</v>
      </c>
      <c r="J28" s="164">
        <f t="shared" si="1"/>
        <v>448</v>
      </c>
      <c r="K28" s="161">
        <v>41</v>
      </c>
      <c r="L28" s="161">
        <v>41</v>
      </c>
      <c r="M28" s="164">
        <v>8</v>
      </c>
      <c r="N28" s="164">
        <v>8</v>
      </c>
      <c r="O28" s="383">
        <v>1</v>
      </c>
      <c r="P28" s="383">
        <v>1</v>
      </c>
      <c r="Q28" s="164">
        <v>2104</v>
      </c>
      <c r="R28" s="164">
        <v>2094</v>
      </c>
      <c r="S28" s="164">
        <v>2104</v>
      </c>
      <c r="T28" s="164">
        <v>2094</v>
      </c>
      <c r="U28" s="161">
        <v>41</v>
      </c>
      <c r="V28" s="164">
        <v>2</v>
      </c>
      <c r="W28" s="165">
        <v>25</v>
      </c>
      <c r="X28" s="166">
        <v>25</v>
      </c>
      <c r="Y28" s="166"/>
      <c r="AK28" s="53">
        <v>25</v>
      </c>
      <c r="AL28" s="3">
        <f t="shared" si="2"/>
        <v>25</v>
      </c>
      <c r="AM28" s="3">
        <f t="shared" si="3"/>
        <v>25</v>
      </c>
      <c r="AN28" s="3">
        <f t="shared" si="4"/>
        <v>25</v>
      </c>
      <c r="AO28" s="3">
        <f t="shared" si="5"/>
        <v>25</v>
      </c>
      <c r="AP28" s="3">
        <f t="shared" si="6"/>
        <v>410</v>
      </c>
      <c r="AQ28" s="3">
        <f t="shared" si="7"/>
        <v>410</v>
      </c>
      <c r="AR28" s="3">
        <f t="shared" si="8"/>
        <v>423</v>
      </c>
      <c r="AS28" s="3">
        <f t="shared" si="9"/>
        <v>423</v>
      </c>
      <c r="AU28" s="384">
        <f t="shared" si="10"/>
        <v>1</v>
      </c>
      <c r="AV28" s="384">
        <f t="shared" si="11"/>
        <v>1</v>
      </c>
    </row>
    <row r="29" spans="1:48" ht="20.25" x14ac:dyDescent="0.3">
      <c r="A29" s="162" t="s">
        <v>338</v>
      </c>
      <c r="B29" s="164" t="s">
        <v>12</v>
      </c>
      <c r="C29" s="164">
        <v>268</v>
      </c>
      <c r="D29" s="164">
        <v>268</v>
      </c>
      <c r="E29" s="164">
        <v>1100</v>
      </c>
      <c r="F29" s="164">
        <v>1221</v>
      </c>
      <c r="G29" s="164">
        <v>440</v>
      </c>
      <c r="H29" s="164">
        <v>440</v>
      </c>
      <c r="I29" s="164">
        <f t="shared" si="0"/>
        <v>453</v>
      </c>
      <c r="J29" s="164">
        <f t="shared" si="1"/>
        <v>453</v>
      </c>
      <c r="K29" s="161">
        <v>41</v>
      </c>
      <c r="L29" s="161">
        <v>41</v>
      </c>
      <c r="M29" s="164">
        <v>9</v>
      </c>
      <c r="N29" s="164">
        <v>8</v>
      </c>
      <c r="O29" s="383">
        <v>1</v>
      </c>
      <c r="P29" s="383">
        <v>1</v>
      </c>
      <c r="Q29" s="164">
        <v>2104</v>
      </c>
      <c r="R29" s="164">
        <v>2094</v>
      </c>
      <c r="S29" s="164">
        <v>2107</v>
      </c>
      <c r="T29" s="164">
        <v>2097</v>
      </c>
      <c r="U29" s="161">
        <v>41</v>
      </c>
      <c r="V29" s="164">
        <v>2</v>
      </c>
      <c r="W29" s="165">
        <v>25</v>
      </c>
      <c r="X29" s="166">
        <v>25</v>
      </c>
      <c r="Y29" s="166"/>
      <c r="AK29" s="53">
        <v>26</v>
      </c>
      <c r="AL29" s="3">
        <f t="shared" si="2"/>
        <v>26</v>
      </c>
      <c r="AM29" s="3">
        <f t="shared" si="3"/>
        <v>26</v>
      </c>
      <c r="AN29" s="3">
        <f t="shared" si="4"/>
        <v>26</v>
      </c>
      <c r="AO29" s="3">
        <f t="shared" si="5"/>
        <v>26</v>
      </c>
      <c r="AP29" s="3">
        <f t="shared" si="6"/>
        <v>414</v>
      </c>
      <c r="AQ29" s="3">
        <f t="shared" si="7"/>
        <v>414</v>
      </c>
      <c r="AR29" s="3">
        <f t="shared" si="8"/>
        <v>427</v>
      </c>
      <c r="AS29" s="3">
        <f t="shared" si="9"/>
        <v>427</v>
      </c>
      <c r="AU29" s="384">
        <f t="shared" si="10"/>
        <v>1</v>
      </c>
      <c r="AV29" s="384">
        <f t="shared" si="11"/>
        <v>1</v>
      </c>
    </row>
    <row r="30" spans="1:48" ht="20.25" x14ac:dyDescent="0.3">
      <c r="A30" s="162" t="s">
        <v>339</v>
      </c>
      <c r="B30" s="164" t="s">
        <v>12</v>
      </c>
      <c r="C30" s="164">
        <v>268</v>
      </c>
      <c r="D30" s="164">
        <v>268</v>
      </c>
      <c r="E30" s="164">
        <v>1100</v>
      </c>
      <c r="F30" s="164">
        <v>1221</v>
      </c>
      <c r="G30" s="164">
        <v>440</v>
      </c>
      <c r="H30" s="164">
        <v>440</v>
      </c>
      <c r="I30" s="164">
        <f t="shared" si="0"/>
        <v>453</v>
      </c>
      <c r="J30" s="164">
        <f t="shared" si="1"/>
        <v>453</v>
      </c>
      <c r="K30" s="161">
        <v>41</v>
      </c>
      <c r="L30" s="161">
        <v>41</v>
      </c>
      <c r="M30" s="164">
        <v>8</v>
      </c>
      <c r="N30" s="164">
        <v>8</v>
      </c>
      <c r="O30" s="383">
        <v>1</v>
      </c>
      <c r="P30" s="383">
        <v>1</v>
      </c>
      <c r="Q30" s="164">
        <v>2100</v>
      </c>
      <c r="R30" s="164">
        <v>2090</v>
      </c>
      <c r="S30" s="164">
        <v>2103</v>
      </c>
      <c r="T30" s="164">
        <v>2092</v>
      </c>
      <c r="U30" s="161">
        <v>41</v>
      </c>
      <c r="V30" s="164">
        <v>2</v>
      </c>
      <c r="W30" s="165">
        <v>25</v>
      </c>
      <c r="X30" s="166">
        <v>25</v>
      </c>
      <c r="Y30" s="166"/>
      <c r="AK30" s="53">
        <v>27</v>
      </c>
      <c r="AL30" s="3">
        <f t="shared" si="2"/>
        <v>27</v>
      </c>
      <c r="AM30" s="3">
        <f t="shared" si="3"/>
        <v>27</v>
      </c>
      <c r="AN30" s="3">
        <f t="shared" si="4"/>
        <v>27</v>
      </c>
      <c r="AO30" s="3">
        <f t="shared" si="5"/>
        <v>27</v>
      </c>
      <c r="AP30" s="3">
        <f t="shared" si="6"/>
        <v>413</v>
      </c>
      <c r="AQ30" s="3">
        <f t="shared" si="7"/>
        <v>413</v>
      </c>
      <c r="AR30" s="3">
        <f t="shared" si="8"/>
        <v>426</v>
      </c>
      <c r="AS30" s="3">
        <f t="shared" si="9"/>
        <v>426</v>
      </c>
      <c r="AU30" s="384">
        <f t="shared" si="10"/>
        <v>1</v>
      </c>
      <c r="AV30" s="384">
        <f t="shared" si="11"/>
        <v>1</v>
      </c>
    </row>
    <row r="31" spans="1:48" ht="20.25" x14ac:dyDescent="0.3">
      <c r="A31" s="168" t="s">
        <v>338</v>
      </c>
      <c r="B31" s="167">
        <v>1</v>
      </c>
      <c r="C31" s="164">
        <v>268</v>
      </c>
      <c r="D31" s="164">
        <v>268</v>
      </c>
      <c r="E31" s="164">
        <v>1100</v>
      </c>
      <c r="F31" s="164">
        <v>1219</v>
      </c>
      <c r="G31" s="164">
        <v>433</v>
      </c>
      <c r="H31" s="164">
        <v>433</v>
      </c>
      <c r="I31" s="164">
        <f t="shared" si="0"/>
        <v>446</v>
      </c>
      <c r="J31" s="164">
        <f t="shared" si="1"/>
        <v>446</v>
      </c>
      <c r="K31" s="161">
        <v>41</v>
      </c>
      <c r="L31" s="161">
        <v>41</v>
      </c>
      <c r="M31" s="164">
        <v>10</v>
      </c>
      <c r="N31" s="164">
        <v>11</v>
      </c>
      <c r="O31" s="383">
        <v>3</v>
      </c>
      <c r="P31" s="383">
        <v>4</v>
      </c>
      <c r="Q31" s="164">
        <v>2097</v>
      </c>
      <c r="R31" s="164">
        <v>2090</v>
      </c>
      <c r="S31" s="164">
        <v>2096</v>
      </c>
      <c r="T31" s="164">
        <v>2090</v>
      </c>
      <c r="U31" s="161">
        <v>41</v>
      </c>
      <c r="V31" s="164">
        <v>2</v>
      </c>
      <c r="W31" s="165">
        <v>25</v>
      </c>
      <c r="X31" s="166">
        <v>25</v>
      </c>
      <c r="Y31" s="166"/>
      <c r="AK31" s="53">
        <v>28</v>
      </c>
      <c r="AL31" s="3">
        <f t="shared" si="2"/>
        <v>28</v>
      </c>
      <c r="AM31" s="3">
        <f t="shared" si="3"/>
        <v>28</v>
      </c>
      <c r="AN31" s="3">
        <f t="shared" si="4"/>
        <v>28</v>
      </c>
      <c r="AO31" s="3">
        <f t="shared" si="5"/>
        <v>28</v>
      </c>
      <c r="AP31" s="3">
        <f t="shared" si="6"/>
        <v>405</v>
      </c>
      <c r="AQ31" s="3">
        <f t="shared" si="7"/>
        <v>405</v>
      </c>
      <c r="AR31" s="3">
        <f t="shared" si="8"/>
        <v>418</v>
      </c>
      <c r="AS31" s="3">
        <f t="shared" si="9"/>
        <v>418</v>
      </c>
      <c r="AU31" s="384">
        <f t="shared" si="10"/>
        <v>3</v>
      </c>
      <c r="AV31" s="384">
        <f t="shared" si="11"/>
        <v>4</v>
      </c>
    </row>
    <row r="32" spans="1:48" ht="20.25" x14ac:dyDescent="0.3">
      <c r="A32" s="168" t="s">
        <v>337</v>
      </c>
      <c r="B32" s="167">
        <v>1</v>
      </c>
      <c r="C32" s="164">
        <v>268</v>
      </c>
      <c r="D32" s="164">
        <v>268</v>
      </c>
      <c r="E32" s="164">
        <v>1100</v>
      </c>
      <c r="F32" s="164">
        <v>1219</v>
      </c>
      <c r="G32" s="164">
        <v>431</v>
      </c>
      <c r="H32" s="164">
        <v>431</v>
      </c>
      <c r="I32" s="164">
        <f t="shared" si="0"/>
        <v>444</v>
      </c>
      <c r="J32" s="164">
        <f t="shared" si="1"/>
        <v>444</v>
      </c>
      <c r="K32" s="161">
        <v>41</v>
      </c>
      <c r="L32" s="161">
        <v>41</v>
      </c>
      <c r="M32" s="164">
        <v>11</v>
      </c>
      <c r="N32" s="164">
        <v>11</v>
      </c>
      <c r="O32" s="383">
        <v>3</v>
      </c>
      <c r="P32" s="383">
        <v>3</v>
      </c>
      <c r="Q32" s="164">
        <v>2095</v>
      </c>
      <c r="R32" s="164">
        <v>2090</v>
      </c>
      <c r="S32" s="164">
        <v>2094</v>
      </c>
      <c r="T32" s="164">
        <v>2089</v>
      </c>
      <c r="U32" s="161">
        <v>41</v>
      </c>
      <c r="V32" s="164">
        <v>2</v>
      </c>
      <c r="W32" s="165">
        <v>25</v>
      </c>
      <c r="X32" s="166">
        <v>25</v>
      </c>
      <c r="Y32" s="166"/>
      <c r="AK32" s="53">
        <v>29</v>
      </c>
      <c r="AL32" s="3">
        <f t="shared" si="2"/>
        <v>29</v>
      </c>
      <c r="AM32" s="3">
        <f t="shared" si="3"/>
        <v>29</v>
      </c>
      <c r="AN32" s="3">
        <f t="shared" si="4"/>
        <v>29</v>
      </c>
      <c r="AO32" s="3">
        <f t="shared" si="5"/>
        <v>29</v>
      </c>
      <c r="AP32" s="3">
        <f t="shared" si="6"/>
        <v>402</v>
      </c>
      <c r="AQ32" s="3">
        <f t="shared" si="7"/>
        <v>402</v>
      </c>
      <c r="AR32" s="3">
        <f t="shared" si="8"/>
        <v>415</v>
      </c>
      <c r="AS32" s="3">
        <f t="shared" si="9"/>
        <v>415</v>
      </c>
      <c r="AU32" s="384">
        <f t="shared" si="10"/>
        <v>3</v>
      </c>
      <c r="AV32" s="384">
        <f t="shared" si="11"/>
        <v>3</v>
      </c>
    </row>
    <row r="33" spans="1:48" ht="20.25" x14ac:dyDescent="0.3">
      <c r="A33" s="168" t="s">
        <v>338</v>
      </c>
      <c r="B33" s="164" t="s">
        <v>12</v>
      </c>
      <c r="C33" s="164">
        <v>268</v>
      </c>
      <c r="D33" s="164">
        <v>268</v>
      </c>
      <c r="E33" s="164">
        <v>1100</v>
      </c>
      <c r="F33" s="164">
        <v>1221</v>
      </c>
      <c r="G33" s="164">
        <v>440</v>
      </c>
      <c r="H33" s="164">
        <v>440</v>
      </c>
      <c r="I33" s="164">
        <f t="shared" si="0"/>
        <v>453</v>
      </c>
      <c r="J33" s="164">
        <f t="shared" si="1"/>
        <v>453</v>
      </c>
      <c r="K33" s="161">
        <v>41</v>
      </c>
      <c r="L33" s="161">
        <v>41</v>
      </c>
      <c r="M33" s="164">
        <v>8</v>
      </c>
      <c r="N33" s="164">
        <v>7</v>
      </c>
      <c r="O33" s="383">
        <v>1</v>
      </c>
      <c r="P33" s="383">
        <v>1</v>
      </c>
      <c r="Q33" s="164">
        <v>2109</v>
      </c>
      <c r="R33" s="164">
        <v>2091</v>
      </c>
      <c r="S33" s="164">
        <v>2110</v>
      </c>
      <c r="T33" s="164">
        <v>2093</v>
      </c>
      <c r="U33" s="161">
        <v>41</v>
      </c>
      <c r="V33" s="164">
        <v>2</v>
      </c>
      <c r="W33" s="165">
        <v>25</v>
      </c>
      <c r="X33" s="166">
        <v>25</v>
      </c>
      <c r="Y33" s="166"/>
      <c r="AK33" s="53">
        <v>30</v>
      </c>
      <c r="AL33" s="3">
        <f t="shared" si="2"/>
        <v>30</v>
      </c>
      <c r="AM33" s="3">
        <f t="shared" si="3"/>
        <v>30</v>
      </c>
      <c r="AN33" s="3">
        <f t="shared" si="4"/>
        <v>30</v>
      </c>
      <c r="AO33" s="3">
        <f t="shared" si="5"/>
        <v>30</v>
      </c>
      <c r="AP33" s="3">
        <f t="shared" si="6"/>
        <v>410</v>
      </c>
      <c r="AQ33" s="3">
        <f t="shared" si="7"/>
        <v>410</v>
      </c>
      <c r="AR33" s="3">
        <f t="shared" si="8"/>
        <v>423</v>
      </c>
      <c r="AS33" s="3">
        <f t="shared" si="9"/>
        <v>423</v>
      </c>
      <c r="AU33" s="384">
        <f t="shared" si="10"/>
        <v>1</v>
      </c>
      <c r="AV33" s="384">
        <f t="shared" si="11"/>
        <v>1</v>
      </c>
    </row>
    <row r="34" spans="1:48" ht="20.25" x14ac:dyDescent="0.3">
      <c r="A34" s="168" t="s">
        <v>339</v>
      </c>
      <c r="B34" s="167" t="s">
        <v>12</v>
      </c>
      <c r="C34" s="164">
        <v>268</v>
      </c>
      <c r="D34" s="164">
        <v>268</v>
      </c>
      <c r="E34" s="164">
        <v>1100</v>
      </c>
      <c r="F34" s="164">
        <v>1222</v>
      </c>
      <c r="G34" s="164">
        <v>442</v>
      </c>
      <c r="H34" s="164">
        <v>442</v>
      </c>
      <c r="I34" s="164">
        <f t="shared" si="0"/>
        <v>455</v>
      </c>
      <c r="J34" s="164">
        <f t="shared" si="1"/>
        <v>455</v>
      </c>
      <c r="K34" s="161">
        <v>41</v>
      </c>
      <c r="L34" s="161">
        <v>41</v>
      </c>
      <c r="M34" s="164">
        <v>10</v>
      </c>
      <c r="N34" s="164">
        <v>10</v>
      </c>
      <c r="O34" s="383">
        <v>2</v>
      </c>
      <c r="P34" s="383">
        <v>2</v>
      </c>
      <c r="Q34" s="164">
        <v>2114</v>
      </c>
      <c r="R34" s="164">
        <v>2090</v>
      </c>
      <c r="S34" s="164">
        <v>2112</v>
      </c>
      <c r="T34" s="164">
        <v>2092</v>
      </c>
      <c r="U34" s="161">
        <v>41</v>
      </c>
      <c r="V34" s="164">
        <v>2</v>
      </c>
      <c r="W34" s="165">
        <v>25</v>
      </c>
      <c r="X34" s="166">
        <v>25</v>
      </c>
      <c r="Y34" s="166"/>
      <c r="AK34" s="53">
        <v>31</v>
      </c>
      <c r="AL34" s="3">
        <f t="shared" si="2"/>
        <v>31</v>
      </c>
      <c r="AM34" s="3">
        <f t="shared" si="3"/>
        <v>31</v>
      </c>
      <c r="AN34" s="3">
        <f t="shared" si="4"/>
        <v>31</v>
      </c>
      <c r="AO34" s="3">
        <f t="shared" si="5"/>
        <v>31</v>
      </c>
      <c r="AP34" s="3">
        <f t="shared" si="6"/>
        <v>411</v>
      </c>
      <c r="AQ34" s="3">
        <f t="shared" si="7"/>
        <v>411</v>
      </c>
      <c r="AR34" s="3">
        <f t="shared" si="8"/>
        <v>424</v>
      </c>
      <c r="AS34" s="3">
        <f t="shared" si="9"/>
        <v>424</v>
      </c>
      <c r="AU34" s="384">
        <f t="shared" si="10"/>
        <v>2</v>
      </c>
      <c r="AV34" s="384">
        <f t="shared" si="11"/>
        <v>2</v>
      </c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Y4:AD4"/>
    <mergeCell ref="Y2:AD3"/>
    <mergeCell ref="A1:X1"/>
    <mergeCell ref="L4:M4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34"/>
  <sheetViews>
    <sheetView tabSelected="1"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3" t="str">
        <f>정보!C2</f>
        <v>(와이드) 제작변환 자료( 산운마을 13단지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4" t="s">
        <v>113</v>
      </c>
      <c r="J2" s="225"/>
      <c r="K2" s="225"/>
      <c r="L2" s="225"/>
      <c r="M2" s="226">
        <v>1</v>
      </c>
      <c r="N2" s="226"/>
      <c r="O2" s="196" t="s">
        <v>89</v>
      </c>
      <c r="P2" s="197"/>
      <c r="Q2" s="198">
        <v>0</v>
      </c>
      <c r="R2" s="198"/>
      <c r="S2" s="175" t="s">
        <v>83</v>
      </c>
      <c r="T2" s="200"/>
      <c r="U2" s="200"/>
      <c r="V2" s="201">
        <v>3</v>
      </c>
      <c r="W2" s="201"/>
      <c r="X2" s="219" t="s">
        <v>205</v>
      </c>
      <c r="Y2" s="220"/>
      <c r="Z2" s="223">
        <f>정보!B5</f>
        <v>0</v>
      </c>
      <c r="AA2" s="223"/>
      <c r="AB2" s="223"/>
      <c r="AC2" s="223"/>
      <c r="AD2" s="223"/>
      <c r="AE2" s="223"/>
      <c r="AF2" s="223"/>
      <c r="AG2" s="223"/>
      <c r="AH2" s="221" t="s">
        <v>90</v>
      </c>
      <c r="AI2" s="222"/>
      <c r="AJ2" s="233">
        <v>0</v>
      </c>
      <c r="AK2" s="233"/>
      <c r="AL2" s="1"/>
      <c r="AM2" s="188" t="s">
        <v>229</v>
      </c>
      <c r="AN2" s="230"/>
      <c r="AO2" s="231">
        <v>0</v>
      </c>
      <c r="AP2" s="231"/>
      <c r="AQ2" s="1"/>
      <c r="AR2" s="1"/>
    </row>
    <row r="3" spans="1:61" ht="24.75" customHeight="1" x14ac:dyDescent="0.3">
      <c r="A3" s="28" t="str">
        <f>'와이드(실측)'!A3</f>
        <v>현장명 : 산운마을 13단지,   (재질) : HL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27">
        <v>4</v>
      </c>
      <c r="N3" s="227"/>
      <c r="O3" s="197" t="s">
        <v>77</v>
      </c>
      <c r="P3" s="197"/>
      <c r="Q3" s="204">
        <v>0</v>
      </c>
      <c r="R3" s="204"/>
      <c r="S3" s="205" t="s">
        <v>227</v>
      </c>
      <c r="T3" s="205"/>
      <c r="U3" s="205"/>
      <c r="V3" s="206">
        <v>0</v>
      </c>
      <c r="W3" s="206"/>
      <c r="X3" s="199" t="s">
        <v>78</v>
      </c>
      <c r="Y3" s="199"/>
      <c r="Z3" s="207">
        <v>1</v>
      </c>
      <c r="AA3" s="207"/>
      <c r="AC3" s="208" t="s">
        <v>305</v>
      </c>
      <c r="AD3" s="208"/>
      <c r="AE3" s="208">
        <f>'와이드(실측)'!Y7</f>
        <v>0</v>
      </c>
      <c r="AF3" s="208"/>
      <c r="AG3" s="3"/>
      <c r="AH3" s="218" t="s">
        <v>73</v>
      </c>
      <c r="AI3" s="218"/>
      <c r="AJ3" s="26">
        <v>4</v>
      </c>
      <c r="AK3" s="15" t="s">
        <v>74</v>
      </c>
      <c r="AL3" s="14">
        <v>4</v>
      </c>
      <c r="AM3" s="232" t="s">
        <v>230</v>
      </c>
      <c r="AN3" s="232"/>
      <c r="AO3" s="234" t="s">
        <v>319</v>
      </c>
      <c r="AP3" s="235"/>
      <c r="AQ3" s="238">
        <f>AU7</f>
        <v>7.8851695700690545</v>
      </c>
      <c r="AR3" s="239"/>
      <c r="BI3" s="184" t="s">
        <v>253</v>
      </c>
    </row>
    <row r="4" spans="1:61" ht="33" customHeight="1" x14ac:dyDescent="0.3">
      <c r="A4" s="209" t="str">
        <f>정보!B10</f>
        <v>제작치수 반영 : MH + (2), JB/JD +(4 ),  늘어난치수K -(0),  C + (0),   U + (0), OP - (3), R - (0),  기둥차감 - (3), A + (1)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29">
        <f ca="1">TODAY()</f>
        <v>45746</v>
      </c>
      <c r="AH4" s="170"/>
      <c r="AI4" s="170"/>
      <c r="AJ4" s="9"/>
      <c r="AK4" s="228" t="s">
        <v>117</v>
      </c>
      <c r="AL4" s="228"/>
      <c r="AM4" s="181" t="s">
        <v>215</v>
      </c>
      <c r="AN4" s="181"/>
      <c r="AO4" s="84"/>
      <c r="AP4" s="236" t="s">
        <v>235</v>
      </c>
      <c r="AQ4" s="236"/>
      <c r="AR4" s="237"/>
      <c r="BI4" s="185"/>
    </row>
    <row r="5" spans="1:61" ht="25.9" customHeight="1" x14ac:dyDescent="0.3">
      <c r="A5" s="175" t="s">
        <v>0</v>
      </c>
      <c r="B5" s="175" t="s">
        <v>1</v>
      </c>
      <c r="C5" s="175" t="s">
        <v>2</v>
      </c>
      <c r="D5" s="175" t="s">
        <v>2</v>
      </c>
      <c r="E5" s="175" t="s">
        <v>3</v>
      </c>
      <c r="F5" s="175" t="s">
        <v>18</v>
      </c>
      <c r="G5" s="175" t="s">
        <v>41</v>
      </c>
      <c r="H5" s="175" t="s">
        <v>42</v>
      </c>
      <c r="I5" s="210" t="s">
        <v>105</v>
      </c>
      <c r="J5" s="210" t="s">
        <v>106</v>
      </c>
      <c r="K5" s="214" t="s">
        <v>107</v>
      </c>
      <c r="L5" s="214" t="s">
        <v>108</v>
      </c>
      <c r="M5" s="216" t="s">
        <v>71</v>
      </c>
      <c r="N5" s="216" t="s">
        <v>72</v>
      </c>
      <c r="O5" s="175" t="s">
        <v>8</v>
      </c>
      <c r="P5" s="175" t="s">
        <v>9</v>
      </c>
      <c r="Q5" s="175" t="s">
        <v>12</v>
      </c>
      <c r="R5" s="175" t="s">
        <v>13</v>
      </c>
      <c r="S5" s="175" t="s">
        <v>10</v>
      </c>
      <c r="T5" s="175" t="s">
        <v>11</v>
      </c>
      <c r="U5" s="212" t="s">
        <v>14</v>
      </c>
      <c r="V5" s="212" t="s">
        <v>15</v>
      </c>
      <c r="W5" s="213" t="s">
        <v>16</v>
      </c>
      <c r="X5" s="213" t="s">
        <v>17</v>
      </c>
      <c r="Y5" s="175" t="s">
        <v>19</v>
      </c>
      <c r="Z5" s="175" t="s">
        <v>20</v>
      </c>
      <c r="AA5" s="176" t="s">
        <v>22</v>
      </c>
      <c r="AB5" s="176" t="s">
        <v>23</v>
      </c>
      <c r="AC5" s="202" t="s">
        <v>79</v>
      </c>
      <c r="AD5" s="203"/>
      <c r="AE5" s="203"/>
      <c r="AF5" s="203"/>
      <c r="AG5" s="194" t="s">
        <v>91</v>
      </c>
      <c r="AH5" s="194" t="s">
        <v>92</v>
      </c>
      <c r="AI5" s="186" t="s">
        <v>99</v>
      </c>
      <c r="AJ5" s="176" t="s">
        <v>61</v>
      </c>
      <c r="AK5" s="176" t="s">
        <v>34</v>
      </c>
      <c r="AL5" s="176" t="s">
        <v>35</v>
      </c>
      <c r="AM5" s="179" t="s">
        <v>212</v>
      </c>
      <c r="AN5" s="180"/>
      <c r="AO5" s="242" t="s">
        <v>199</v>
      </c>
      <c r="AP5" s="242" t="s">
        <v>204</v>
      </c>
      <c r="AQ5" s="242"/>
      <c r="AR5" s="242"/>
      <c r="AS5" s="184" t="s">
        <v>100</v>
      </c>
      <c r="AT5" s="184" t="s">
        <v>101</v>
      </c>
      <c r="AU5" s="185" t="s">
        <v>80</v>
      </c>
      <c r="AV5" s="189" t="s">
        <v>84</v>
      </c>
      <c r="AW5" s="192" t="s">
        <v>102</v>
      </c>
      <c r="AX5" s="191" t="s">
        <v>94</v>
      </c>
      <c r="AY5" s="191" t="s">
        <v>95</v>
      </c>
      <c r="AZ5" s="184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241" t="s">
        <v>104</v>
      </c>
      <c r="BI5" s="240" t="s">
        <v>226</v>
      </c>
    </row>
    <row r="6" spans="1:61" ht="48" customHeight="1" x14ac:dyDescent="0.3">
      <c r="A6" s="175"/>
      <c r="B6" s="175"/>
      <c r="C6" s="175"/>
      <c r="D6" s="175"/>
      <c r="E6" s="175"/>
      <c r="F6" s="175"/>
      <c r="G6" s="175"/>
      <c r="H6" s="175"/>
      <c r="I6" s="211"/>
      <c r="J6" s="211"/>
      <c r="K6" s="215"/>
      <c r="L6" s="215"/>
      <c r="M6" s="217"/>
      <c r="N6" s="217"/>
      <c r="O6" s="175"/>
      <c r="P6" s="175"/>
      <c r="Q6" s="175"/>
      <c r="R6" s="175"/>
      <c r="S6" s="175"/>
      <c r="T6" s="175"/>
      <c r="U6" s="212"/>
      <c r="V6" s="212"/>
      <c r="W6" s="213"/>
      <c r="X6" s="213"/>
      <c r="Y6" s="175"/>
      <c r="Z6" s="175"/>
      <c r="AA6" s="176"/>
      <c r="AB6" s="176"/>
      <c r="AC6" s="8" t="s">
        <v>67</v>
      </c>
      <c r="AD6" s="8" t="s">
        <v>68</v>
      </c>
      <c r="AE6" s="8" t="s">
        <v>69</v>
      </c>
      <c r="AF6" s="8" t="s">
        <v>70</v>
      </c>
      <c r="AG6" s="195"/>
      <c r="AH6" s="195"/>
      <c r="AI6" s="187"/>
      <c r="AJ6" s="176"/>
      <c r="AK6" s="175"/>
      <c r="AL6" s="175"/>
      <c r="AM6" s="74" t="s">
        <v>213</v>
      </c>
      <c r="AN6" s="74" t="s">
        <v>214</v>
      </c>
      <c r="AO6" s="243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190"/>
      <c r="AW6" s="193"/>
      <c r="AX6" s="191"/>
      <c r="AY6" s="191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1"/>
      <c r="BI6" s="240"/>
    </row>
    <row r="7" spans="1:61" ht="26.25" customHeight="1" x14ac:dyDescent="0.3">
      <c r="A7" s="31" t="str">
        <f>'와이드(실측)'!A7</f>
        <v>1호기</v>
      </c>
      <c r="B7" s="31" t="str">
        <f>'와이드(실측)'!B7&amp;"F"</f>
        <v>1F</v>
      </c>
      <c r="C7" s="31">
        <f>'와이드(실측)'!C7+와이드MH더함-IF(AND(소장="추영덕",Y7=0),1.2)</f>
        <v>270</v>
      </c>
      <c r="D7" s="31">
        <f>'와이드(실측)'!D7+와이드MH더함-IF(AND(소장="추영덕",Y7=0),1.2)</f>
        <v>270</v>
      </c>
      <c r="E7" s="135">
        <f>'와이드(실측)'!E7-와이드OP</f>
        <v>1097</v>
      </c>
      <c r="F7" s="31">
        <f>'와이드(실측)'!F7-와이드R</f>
        <v>1215</v>
      </c>
      <c r="G7" s="50">
        <f>'와이드(실측)'!G7+와이드JBJD키움치수+IF(BI7=1,AC7,0)</f>
        <v>426</v>
      </c>
      <c r="H7" s="50">
        <f>'와이드(실측)'!H7+와이드JBJD키움치수+IF(BI7=1,AE7,0)</f>
        <v>426</v>
      </c>
      <c r="I7" s="50">
        <f>'와이드(실측)'!I7+MAX(AS7,AT7)+와이드JBJD키움치수+IF(BI7=1,AC7,0)</f>
        <v>442</v>
      </c>
      <c r="J7" s="50">
        <f>'와이드(실측)'!I7+MAX(AS7,AT7)+와이드JBJD키움치수+IF(BI7=1,AD7,0)-IF(와이드JB하부늘치=1,'와이드(실측)'!Y7-'와이드(실측)'!Z7,0)</f>
        <v>442</v>
      </c>
      <c r="K7" s="50">
        <f>'와이드(실측)'!J7+MAX(AS7,AT7)+와이드JBJD키움치수+IF(BI7=1,AE7,0)</f>
        <v>442</v>
      </c>
      <c r="L7" s="50">
        <f>'와이드(실측)'!J7+MAX(AS7,AT7)+와이드JBJD키움치수+IF(BI7=1,AF7,0)-IF(와이드JB하부늘치=1,'와이드(실측)'!AA7-'와이드(실측)'!AB7,0)</f>
        <v>442</v>
      </c>
      <c r="M7" s="31">
        <f t="shared" ref="M7:N7" si="0">IF(소장="손상민",0,O7-1.5)</f>
        <v>39.5</v>
      </c>
      <c r="N7" s="31">
        <f t="shared" si="0"/>
        <v>39.5</v>
      </c>
      <c r="O7" s="31">
        <f>IF(S7&lt;9,'와이드(실측)'!K7+1.2,IF(ISNUMBER('와이드(실측)'!K7),'와이드(실측)'!K7+와이드C값,0))</f>
        <v>41</v>
      </c>
      <c r="P7" s="31">
        <f>IF(T7&lt;9,'와이드(실측)'!L7+1.2,IF(ISNUMBER('와이드(실측)'!L7),'와이드(실측)'!L7+와이드C값,0))</f>
        <v>41</v>
      </c>
      <c r="Q7" s="32">
        <f>ROUNDUP(AV7,1)</f>
        <v>11.9</v>
      </c>
      <c r="R7" s="38">
        <f>ROUNDUP(AW7,1)</f>
        <v>11.9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10</v>
      </c>
      <c r="U7" s="31">
        <f>'와이드(실측)'!Q7-와이드기둥차감</f>
        <v>2097</v>
      </c>
      <c r="V7" s="31">
        <f>'와이드(실측)'!R7-와이드기둥차감</f>
        <v>2089</v>
      </c>
      <c r="W7" s="31">
        <f>'와이드(실측)'!S7-와이드기둥차감</f>
        <v>2097</v>
      </c>
      <c r="X7" s="31">
        <f>'와이드(실측)'!T7-와이드기둥차감</f>
        <v>2092</v>
      </c>
      <c r="Y7" s="31">
        <f>IF(소장="손상민",IF(ISNUMBER('와이드(실측)'!U7),'와이드(실측)'!U7+1.2,0),IF(ISNUMBER('와이드(실측)'!U7),'와이드(실측)'!U7+와이드U,0))</f>
        <v>41</v>
      </c>
      <c r="Z7" s="31">
        <f>IF(소장="손상민",MAX(Q7,R7)+3.2,IF(ISNUMBER('와이드(실측)'!V7),'와이드(실측)'!V7+1.5+와이드제작!Q7+1,0))</f>
        <v>16.399999999999999</v>
      </c>
      <c r="AA7" s="31">
        <f>'와이드(실측)'!W7+뒷날개치수더함</f>
        <v>25</v>
      </c>
      <c r="AB7" s="31">
        <f>'와이드(실측)'!X7+뒷날개치수더함</f>
        <v>25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268.8</v>
      </c>
      <c r="AH7" s="31">
        <f xml:space="preserve"> IF(소장&lt;&gt;"손상민",IF('와이드(실측)'!AD7&gt;0,'와이드(실측)'!AD7,D7-1.2),IF('와이드(실측)'!AD7&gt;0,'와이드(실측)'!AD7+1.2,D7))</f>
        <v>268.8</v>
      </c>
      <c r="AI7" s="51">
        <f>IF(Z7&gt;0,Z7-MAX(Q7,R7),0)</f>
        <v>4.4999999999999982</v>
      </c>
      <c r="AJ7" s="31" t="str">
        <f t="shared" ref="AJ7" si="1">BA7&amp;"*"&amp;BB7</f>
        <v>1294*773.6</v>
      </c>
      <c r="AK7" s="31" t="str">
        <f t="shared" ref="AK7" si="2">BD7&amp;"*"&amp;BC7</f>
        <v>2365.8*512.2</v>
      </c>
      <c r="AL7" s="31" t="str">
        <f t="shared" ref="AL7" si="3">BF7&amp;"*"&amp;BE7</f>
        <v>2365.8*513.2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3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3</v>
      </c>
      <c r="AU7" s="20">
        <f>DEGREES(ATAN((F7-E7)/2/(H7)))</f>
        <v>7.8851695700690545</v>
      </c>
      <c r="AV7" s="21">
        <f>ABS(G7-COS(RADIANS(AU7))*I7)</f>
        <v>11.820892731551965</v>
      </c>
      <c r="AW7" s="21">
        <f>ABS(H7-COS(RADIANS(AU7))*K7)</f>
        <v>11.820892731551965</v>
      </c>
      <c r="AX7" s="21">
        <f>'와이드(실측)'!M7+AS7</f>
        <v>14</v>
      </c>
      <c r="AY7" s="21">
        <f>'와이드(실측)'!N7+AS7</f>
        <v>14</v>
      </c>
      <c r="AZ7" s="20">
        <f>AV7-MAX(AX7,AY7)</f>
        <v>-2.1791072684480355</v>
      </c>
      <c r="BA7" s="41">
        <f t="shared" ref="BA7:BA13" si="4">IF(소장&lt;&gt;"손상민",F7+IF(Y7+Z7&gt;0,N7+M7,0),F7)</f>
        <v>1294</v>
      </c>
      <c r="BB7" s="42">
        <f>MAX(C7,D7)+MAX(G7,H7)+AA7-1.2*$AJ$3+IF(BI7=0,MAX(AE7,AC7),0)+IF(Y7=0,1.2,0)+IF(Z7=0,1.2,0)+IF(소장&lt;&gt;"손상민", Y7+Z7,IF('와이드(실측)'!U7=0,0,2.4))</f>
        <v>773.6</v>
      </c>
      <c r="BC7" s="41">
        <f>S7+O7+MAX(I7,J7)+AB7-1.2*$AL$3+IF(BI7=0,MAX(AD7,AC7),0)+IF(S7=0,1.2,0)-IF(AR7=90,2.4,0)</f>
        <v>512.20000000000005</v>
      </c>
      <c r="BD7" s="41">
        <f>MAX(U7,V7)+AG7</f>
        <v>2365.8000000000002</v>
      </c>
      <c r="BE7" s="41">
        <f>T7+P7+MAX(K7,L7)+AB7-1.2*$AL$3+IF(BI7=0,MAX(AE7,AF7),0)+IF(T7=0,1.2,0)-IF(AR7=90,2.4,0)</f>
        <v>513.20000000000005</v>
      </c>
      <c r="BF7" s="41">
        <f>MAX(W7,X7)+AH7</f>
        <v>2365.8000000000002</v>
      </c>
      <c r="BG7" s="6">
        <f t="shared" ref="BG7" si="5">I7-G7-Q7</f>
        <v>4.0999999999999996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 t="str">
        <f>'와이드(실측)'!A8</f>
        <v>2호기</v>
      </c>
      <c r="B8" s="31" t="str">
        <f>'와이드(실측)'!B8&amp;"F"</f>
        <v>1F</v>
      </c>
      <c r="C8" s="31">
        <f>'와이드(실측)'!C8+와이드MH더함-IF(AND(소장="추영덕",Y8=0),1.2)</f>
        <v>270</v>
      </c>
      <c r="D8" s="31">
        <f>'와이드(실측)'!D8+와이드MH더함-IF(AND(소장="추영덕",Y8=0),1.2)</f>
        <v>270</v>
      </c>
      <c r="E8" s="135">
        <f>'와이드(실측)'!E8-와이드OP</f>
        <v>1097</v>
      </c>
      <c r="F8" s="31">
        <f>'와이드(실측)'!F8-와이드R</f>
        <v>1215</v>
      </c>
      <c r="G8" s="50">
        <f>'와이드(실측)'!G8+와이드JBJD키움치수+IF(BI8=1,AC8,0)</f>
        <v>424</v>
      </c>
      <c r="H8" s="50">
        <f>'와이드(실측)'!H8+와이드JBJD키움치수+IF(BI8=1,AE8,0)</f>
        <v>424</v>
      </c>
      <c r="I8" s="50">
        <f>'와이드(실측)'!I8+MAX(AS8,AT8)+와이드JBJD키움치수+IF(BI8=1,AC8,0)</f>
        <v>442</v>
      </c>
      <c r="J8" s="50">
        <f>'와이드(실측)'!I8+MAX(AS8,AT8)+와이드JBJD키움치수+IF(BI8=1,AD8,0)-IF(와이드JB하부늘치=1,'와이드(실측)'!Y8-'와이드(실측)'!Z8,0)</f>
        <v>442</v>
      </c>
      <c r="K8" s="50">
        <f>'와이드(실측)'!J8+MAX(AS8,AT8)+와이드JBJD키움치수+IF(BI8=1,AE8,0)</f>
        <v>442</v>
      </c>
      <c r="L8" s="50">
        <f>'와이드(실측)'!J8+MAX(AS8,AT8)+와이드JBJD키움치수+IF(BI8=1,AF8,0)-IF(와이드JB하부늘치=1,'와이드(실측)'!AA8-'와이드(실측)'!AB8,0)</f>
        <v>442</v>
      </c>
      <c r="M8" s="31">
        <f t="shared" ref="M8:M14" si="6">IF(소장="손상민",0,O8-1.5)</f>
        <v>39.5</v>
      </c>
      <c r="N8" s="31">
        <f t="shared" ref="N8:N14" si="7">IF(소장="손상민",0,P8-1.5)</f>
        <v>39.5</v>
      </c>
      <c r="O8" s="31">
        <f>IF(S8&lt;9,'와이드(실측)'!K8+1.2,IF(ISNUMBER('와이드(실측)'!K8),'와이드(실측)'!K8+와이드C값,0))</f>
        <v>41</v>
      </c>
      <c r="P8" s="31">
        <f>IF(T8&lt;9,'와이드(실측)'!L8+1.2,IF(ISNUMBER('와이드(실측)'!L8),'와이드(실측)'!L8+와이드C값,0))</f>
        <v>41</v>
      </c>
      <c r="Q8" s="32">
        <f t="shared" ref="Q8:Q13" si="8">ROUNDUP(AV8,1)</f>
        <v>13.799999999999999</v>
      </c>
      <c r="R8" s="38">
        <f t="shared" ref="R8:R13" si="9">ROUNDUP(AW8,1)</f>
        <v>13.799999999999999</v>
      </c>
      <c r="S8" s="31">
        <f>IF(ISNUMBER('와이드(실측)'!O8),'와이드(실측)'!O8+와이드제작!AS8+와이드A늘림,0)</f>
        <v>10</v>
      </c>
      <c r="T8" s="31">
        <f>IF(ISNUMBER('와이드(실측)'!P8),'와이드(실측)'!P8+와이드제작!AT8+와이드A늘림,0)</f>
        <v>9</v>
      </c>
      <c r="U8" s="31">
        <f>'와이드(실측)'!Q8-와이드기둥차감</f>
        <v>2096</v>
      </c>
      <c r="V8" s="31">
        <f>'와이드(실측)'!R8-와이드기둥차감</f>
        <v>2091</v>
      </c>
      <c r="W8" s="31">
        <f>'와이드(실측)'!S8-와이드기둥차감</f>
        <v>2095</v>
      </c>
      <c r="X8" s="31">
        <f>'와이드(실측)'!T8-와이드기둥차감</f>
        <v>2091</v>
      </c>
      <c r="Y8" s="31">
        <f>IF(소장="손상민",IF(ISNUMBER('와이드(실측)'!U8),'와이드(실측)'!U8+1.2,0),IF(ISNUMBER('와이드(실측)'!U8),'와이드(실측)'!U8+와이드U,0))</f>
        <v>41</v>
      </c>
      <c r="Z8" s="31">
        <f>IF(소장="손상민",MAX(Q8,R8)+3.2,IF(ISNUMBER('와이드(실측)'!V8),'와이드(실측)'!V8+1.5+와이드제작!Q8+1,0))</f>
        <v>18.299999999999997</v>
      </c>
      <c r="AA8" s="31">
        <f>'와이드(실측)'!W8+뒷날개치수더함</f>
        <v>25</v>
      </c>
      <c r="AB8" s="31">
        <f>'와이드(실측)'!X8+뒷날개치수더함</f>
        <v>25</v>
      </c>
      <c r="AC8" s="31">
        <f>'와이드(실측)'!Y8-와이드늘치</f>
        <v>0</v>
      </c>
      <c r="AD8" s="31">
        <f>IF(와이드JB하부늘치=1,AC8,'와이드(실측)'!Z8-와이드늘치)</f>
        <v>0</v>
      </c>
      <c r="AE8" s="31">
        <f>'와이드(실측)'!AA8-와이드늘치</f>
        <v>0</v>
      </c>
      <c r="AF8" s="31">
        <f>IF(와이드JB하부늘치=1,AE8,'와이드(실측)'!AB8-와이드늘치)</f>
        <v>0</v>
      </c>
      <c r="AG8" s="31">
        <f xml:space="preserve"> IF(소장&lt;&gt;"손상민",IF('와이드(실측)'!AC8&gt;0,'와이드(실측)'!AC8,C8-1.2),IF('와이드(실측)'!AC8&gt;0,'와이드(실측)'!AC8+1.2,C8) )</f>
        <v>268.8</v>
      </c>
      <c r="AH8" s="31">
        <f xml:space="preserve"> IF(소장&lt;&gt;"손상민",IF('와이드(실측)'!AD8&gt;0,'와이드(실측)'!AD8,D8-1.2),IF('와이드(실측)'!AD8&gt;0,'와이드(실측)'!AD8+1.2,D8))</f>
        <v>268.8</v>
      </c>
      <c r="AI8" s="51">
        <f t="shared" ref="AI8:AI13" si="10">IF(Z8&gt;0,Z8-MAX(Q8,R8),0)</f>
        <v>4.4999999999999982</v>
      </c>
      <c r="AJ8" s="31" t="str">
        <f t="shared" ref="AJ8:AJ14" si="11">BA8&amp;"*"&amp;BB8</f>
        <v>1294*773.5</v>
      </c>
      <c r="AK8" s="31" t="str">
        <f t="shared" ref="AK8:AK14" si="12">BD8&amp;"*"&amp;BC8</f>
        <v>2364.8*513.2</v>
      </c>
      <c r="AL8" s="31" t="str">
        <f t="shared" ref="AL8:AL14" si="13">BF8&amp;"*"&amp;BE8</f>
        <v>2363.8*512.2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5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5</v>
      </c>
      <c r="AU8" s="20">
        <f t="shared" ref="AU8:AU13" si="14">DEGREES(ATAN((F8-E8)/2/(H8)))</f>
        <v>7.921892641450853</v>
      </c>
      <c r="AV8" s="21">
        <f t="shared" ref="AV8:AV13" si="15">ABS(G8-COS(RADIANS(AU8))*I8)</f>
        <v>13.781938110748854</v>
      </c>
      <c r="AW8" s="21">
        <f t="shared" ref="AW8:AW13" si="16">ABS(H8-COS(RADIANS(AU8))*K8)</f>
        <v>13.781938110748854</v>
      </c>
      <c r="AX8" s="21">
        <f>'와이드(실측)'!M8+AS8</f>
        <v>14</v>
      </c>
      <c r="AY8" s="21">
        <f>'와이드(실측)'!N8+AS8</f>
        <v>14</v>
      </c>
      <c r="AZ8" s="20">
        <f t="shared" ref="AZ8:AZ13" si="17">AV8-MAX(AX8,AY8)</f>
        <v>-0.21806188925114611</v>
      </c>
      <c r="BA8" s="41">
        <f t="shared" si="4"/>
        <v>1294</v>
      </c>
      <c r="BB8" s="42">
        <f>MAX(C8,D8)+MAX(G8,H8)+AA8-1.2*$AJ$3+IF(BI8=0,MAX(AE8,AC8),0)+IF(Y8=0,1.2,0)+IF(Z8=0,1.2,0)+IF(소장&lt;&gt;"손상민", Y8+Z8,IF('와이드(실측)'!U8=0,0,2.4))</f>
        <v>773.5</v>
      </c>
      <c r="BC8" s="41">
        <f t="shared" ref="BC8:BC13" si="18">S8+O8+MAX(I8,J8)+AB8-1.2*$AL$3+IF(BI8=0,MAX(AD8,AC8),0)+IF(S8=0,1.2,0)-IF(AR8=90,2.4,0)</f>
        <v>513.20000000000005</v>
      </c>
      <c r="BD8" s="41">
        <f t="shared" ref="BD8:BD13" si="19">MAX(U8,V8)+AG8</f>
        <v>2364.8000000000002</v>
      </c>
      <c r="BE8" s="41">
        <f t="shared" ref="BE8:BE13" si="20">T8+P8+MAX(K8,L8)+AB8-1.2*$AL$3+IF(BI8=0,MAX(AE8,AF8),0)+IF(T8=0,1.2,0)-IF(AR8=90,2.4,0)</f>
        <v>512.20000000000005</v>
      </c>
      <c r="BF8" s="41">
        <f t="shared" ref="BF8:BF13" si="21">MAX(W8,X8)+AH8</f>
        <v>2363.8000000000002</v>
      </c>
      <c r="BG8" s="6">
        <f t="shared" ref="BG8:BG14" si="22">I8-G8-Q8</f>
        <v>4.2000000000000011</v>
      </c>
      <c r="BH8" s="43" t="str">
        <f t="shared" ref="BH8:BH13" si="23">IF(AND(C8&lt;&gt;D8,Y8&gt;0),"NG","")</f>
        <v/>
      </c>
      <c r="BI8" s="77">
        <f t="shared" ref="BI8:BI13" si="24">IF(AND(MIN(AC8,AE8)&gt;=9.2,ABS(F8-E8)&gt;15),0,1)</f>
        <v>1</v>
      </c>
    </row>
    <row r="9" spans="1:61" ht="26.25" customHeight="1" x14ac:dyDescent="0.3">
      <c r="A9" s="31" t="str">
        <f>'와이드(실측)'!A9</f>
        <v>1호기</v>
      </c>
      <c r="B9" s="31" t="str">
        <f>'와이드(실측)'!B9&amp;"F"</f>
        <v>B1F</v>
      </c>
      <c r="C9" s="31">
        <f>'와이드(실측)'!C9+와이드MH더함-IF(AND(소장="추영덕",Y9=0),1.2)</f>
        <v>270</v>
      </c>
      <c r="D9" s="31">
        <f>'와이드(실측)'!D9+와이드MH더함-IF(AND(소장="추영덕",Y9=0),1.2)</f>
        <v>270</v>
      </c>
      <c r="E9" s="135">
        <f>'와이드(실측)'!E9-와이드OP</f>
        <v>1097</v>
      </c>
      <c r="F9" s="31">
        <f>'와이드(실측)'!F9-와이드R</f>
        <v>1220</v>
      </c>
      <c r="G9" s="50">
        <f>'와이드(실측)'!G9+와이드JBJD키움치수+IF(BI9=1,AC9,0)</f>
        <v>436</v>
      </c>
      <c r="H9" s="50">
        <f>'와이드(실측)'!H9+와이드JBJD키움치수+IF(BI9=1,AE9,0)</f>
        <v>436</v>
      </c>
      <c r="I9" s="50">
        <f>'와이드(실측)'!I9+MAX(AS9,AT9)+와이드JBJD키움치수+IF(BI9=1,AC9,0)</f>
        <v>455</v>
      </c>
      <c r="J9" s="50">
        <f>'와이드(실측)'!I9+MAX(AS9,AT9)+와이드JBJD키움치수+IF(BI9=1,AD9,0)-IF(와이드JB하부늘치=1,'와이드(실측)'!Y9-'와이드(실측)'!Z9,0)</f>
        <v>455</v>
      </c>
      <c r="K9" s="50">
        <f>'와이드(실측)'!J9+MAX(AS9,AT9)+와이드JBJD키움치수+IF(BI9=1,AE9,0)</f>
        <v>455</v>
      </c>
      <c r="L9" s="50">
        <f>'와이드(실측)'!J9+MAX(AS9,AT9)+와이드JBJD키움치수+IF(BI9=1,AF9,0)-IF(와이드JB하부늘치=1,'와이드(실측)'!AA9-'와이드(실측)'!AB9,0)</f>
        <v>455</v>
      </c>
      <c r="M9" s="31">
        <f t="shared" si="6"/>
        <v>39.5</v>
      </c>
      <c r="N9" s="31">
        <f t="shared" si="7"/>
        <v>39.5</v>
      </c>
      <c r="O9" s="31">
        <f>IF(S9&lt;9,'와이드(실측)'!K9+1.2,IF(ISNUMBER('와이드(실측)'!K9),'와이드(실측)'!K9+와이드C값,0))</f>
        <v>41</v>
      </c>
      <c r="P9" s="31">
        <f>IF(T9&lt;9,'와이드(실측)'!L9+1.2,IF(ISNUMBER('와이드(실측)'!L9),'와이드(실측)'!L9+와이드C값,0))</f>
        <v>41</v>
      </c>
      <c r="Q9" s="32">
        <f t="shared" si="8"/>
        <v>14.6</v>
      </c>
      <c r="R9" s="38">
        <f t="shared" si="9"/>
        <v>14.6</v>
      </c>
      <c r="S9" s="31">
        <f>IF(ISNUMBER('와이드(실측)'!O9),'와이드(실측)'!O9+와이드제작!AS9+와이드A늘림,0)</f>
        <v>9</v>
      </c>
      <c r="T9" s="31">
        <f>IF(ISNUMBER('와이드(실측)'!P9),'와이드(실측)'!P9+와이드제작!AT9+와이드A늘림,0)</f>
        <v>9</v>
      </c>
      <c r="U9" s="31">
        <f>'와이드(실측)'!Q9-와이드기둥차감</f>
        <v>2097</v>
      </c>
      <c r="V9" s="31">
        <f>'와이드(실측)'!R9-와이드기둥차감</f>
        <v>2092</v>
      </c>
      <c r="W9" s="31">
        <f>'와이드(실측)'!S9-와이드기둥차감</f>
        <v>2100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41</v>
      </c>
      <c r="Z9" s="31">
        <f>IF(소장="손상민",MAX(Q9,R9)+3.2,IF(ISNUMBER('와이드(실측)'!V9),'와이드(실측)'!V9+1.5+와이드제작!Q9+1,0))</f>
        <v>19.100000000000001</v>
      </c>
      <c r="AA9" s="31">
        <f>'와이드(실측)'!W9+뒷날개치수더함</f>
        <v>25</v>
      </c>
      <c r="AB9" s="31">
        <f>'와이드(실측)'!X9+뒷날개치수더함</f>
        <v>25</v>
      </c>
      <c r="AC9" s="31">
        <f>'와이드(실측)'!Y9-와이드늘치</f>
        <v>0</v>
      </c>
      <c r="AD9" s="31">
        <f>IF(와이드JB하부늘치=1,AC9,'와이드(실측)'!Z9-와이드늘치)</f>
        <v>0</v>
      </c>
      <c r="AE9" s="31">
        <f>'와이드(실측)'!AA9-와이드늘치</f>
        <v>0</v>
      </c>
      <c r="AF9" s="31">
        <f>IF(와이드JB하부늘치=1,AE9,'와이드(실측)'!AB9-와이드늘치)</f>
        <v>0</v>
      </c>
      <c r="AG9" s="31">
        <f xml:space="preserve"> IF(소장&lt;&gt;"손상민",IF('와이드(실측)'!AC9&gt;0,'와이드(실측)'!AC9,C9-1.2),IF('와이드(실측)'!AC9&gt;0,'와이드(실측)'!AC9+1.2,C9) )</f>
        <v>268.8</v>
      </c>
      <c r="AH9" s="31">
        <f xml:space="preserve"> IF(소장&lt;&gt;"손상민",IF('와이드(실측)'!AD9&gt;0,'와이드(실측)'!AD9,D9-1.2),IF('와이드(실측)'!AD9&gt;0,'와이드(실측)'!AD9+1.2,D9))</f>
        <v>268.8</v>
      </c>
      <c r="AI9" s="51">
        <f t="shared" si="10"/>
        <v>4.5000000000000018</v>
      </c>
      <c r="AJ9" s="31" t="str">
        <f t="shared" si="11"/>
        <v>1299*786.3</v>
      </c>
      <c r="AK9" s="31" t="str">
        <f t="shared" si="12"/>
        <v>2365.8*525.2</v>
      </c>
      <c r="AL9" s="31" t="str">
        <f t="shared" si="13"/>
        <v>2368.8*525.2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0</v>
      </c>
      <c r="AQ9" s="31">
        <f>'와이드(실측)'!AI9</f>
        <v>0</v>
      </c>
      <c r="AR9" s="31">
        <f>'와이드(실측)'!AJ9</f>
        <v>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6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6</v>
      </c>
      <c r="AU9" s="20">
        <f t="shared" si="14"/>
        <v>8.0288894235198498</v>
      </c>
      <c r="AV9" s="21">
        <f t="shared" si="15"/>
        <v>14.539985178016593</v>
      </c>
      <c r="AW9" s="21">
        <f t="shared" si="16"/>
        <v>14.539985178016593</v>
      </c>
      <c r="AX9" s="21">
        <f>'와이드(실측)'!M9+AS9</f>
        <v>17</v>
      </c>
      <c r="AY9" s="21">
        <f>'와이드(실측)'!N9+AS9</f>
        <v>17</v>
      </c>
      <c r="AZ9" s="20">
        <f t="shared" si="17"/>
        <v>-2.4600148219834068</v>
      </c>
      <c r="BA9" s="41">
        <f t="shared" si="4"/>
        <v>1299</v>
      </c>
      <c r="BB9" s="42">
        <f>MAX(C9,D9)+MAX(G9,H9)+AA9-1.2*$AJ$3+IF(BI9=0,MAX(AE9,AC9),0)+IF(Y9=0,1.2,0)+IF(Z9=0,1.2,0)+IF(소장&lt;&gt;"손상민", Y9+Z9,IF('와이드(실측)'!U9=0,0,2.4))</f>
        <v>786.30000000000007</v>
      </c>
      <c r="BC9" s="41">
        <f t="shared" si="18"/>
        <v>525.20000000000005</v>
      </c>
      <c r="BD9" s="41">
        <f t="shared" si="19"/>
        <v>2365.8000000000002</v>
      </c>
      <c r="BE9" s="41">
        <f t="shared" si="20"/>
        <v>525.20000000000005</v>
      </c>
      <c r="BF9" s="41">
        <f t="shared" si="21"/>
        <v>2368.8000000000002</v>
      </c>
      <c r="BG9" s="6">
        <f t="shared" si="22"/>
        <v>4.4000000000000004</v>
      </c>
      <c r="BH9" s="43" t="str">
        <f t="shared" si="23"/>
        <v/>
      </c>
      <c r="BI9" s="77">
        <f t="shared" si="24"/>
        <v>1</v>
      </c>
    </row>
    <row r="10" spans="1:61" ht="26.25" customHeight="1" x14ac:dyDescent="0.3">
      <c r="A10" s="31" t="str">
        <f>'와이드(실측)'!A10</f>
        <v>2호기</v>
      </c>
      <c r="B10" s="31" t="str">
        <f>'와이드(실측)'!B10&amp;"F"</f>
        <v>B1F</v>
      </c>
      <c r="C10" s="31">
        <f>'와이드(실측)'!C10+와이드MH더함-IF(AND(소장="추영덕",Y10=0),1.2)</f>
        <v>270</v>
      </c>
      <c r="D10" s="31">
        <f>'와이드(실측)'!D10+와이드MH더함-IF(AND(소장="추영덕",Y10=0),1.2)</f>
        <v>270</v>
      </c>
      <c r="E10" s="135">
        <f>'와이드(실측)'!E10-와이드OP</f>
        <v>1097</v>
      </c>
      <c r="F10" s="31">
        <f>'와이드(실측)'!F10-와이드R</f>
        <v>1220</v>
      </c>
      <c r="G10" s="50">
        <f>'와이드(실측)'!G10+와이드JBJD키움치수+IF(BI10=1,AC10,0)</f>
        <v>436</v>
      </c>
      <c r="H10" s="50">
        <f>'와이드(실측)'!H10+와이드JBJD키움치수+IF(BI10=1,AE10,0)</f>
        <v>436</v>
      </c>
      <c r="I10" s="50">
        <f>'와이드(실측)'!I10+MAX(AS10,AT10)+와이드JBJD키움치수+IF(BI10=1,AC10,0)</f>
        <v>455</v>
      </c>
      <c r="J10" s="50">
        <f>'와이드(실측)'!I10+MAX(AS10,AT10)+와이드JBJD키움치수+IF(BI10=1,AD10,0)-IF(와이드JB하부늘치=1,'와이드(실측)'!Y10-'와이드(실측)'!Z10,0)</f>
        <v>455</v>
      </c>
      <c r="K10" s="50">
        <f>'와이드(실측)'!J10+MAX(AS10,AT10)+와이드JBJD키움치수+IF(BI10=1,AE10,0)</f>
        <v>455</v>
      </c>
      <c r="L10" s="50">
        <f>'와이드(실측)'!J10+MAX(AS10,AT10)+와이드JBJD키움치수+IF(BI10=1,AF10,0)-IF(와이드JB하부늘치=1,'와이드(실측)'!AA10-'와이드(실측)'!AB10,0)</f>
        <v>455</v>
      </c>
      <c r="M10" s="31">
        <f t="shared" si="6"/>
        <v>39.5</v>
      </c>
      <c r="N10" s="31">
        <f t="shared" si="7"/>
        <v>39.5</v>
      </c>
      <c r="O10" s="31">
        <f>IF(S10&lt;9,'와이드(실측)'!K10+1.2,IF(ISNUMBER('와이드(실측)'!K10),'와이드(실측)'!K10+와이드C값,0))</f>
        <v>41</v>
      </c>
      <c r="P10" s="31">
        <f>IF(T10&lt;9,'와이드(실측)'!L10+1.2,IF(ISNUMBER('와이드(실측)'!L10),'와이드(실측)'!L10+와이드C값,0))</f>
        <v>41</v>
      </c>
      <c r="Q10" s="32">
        <f t="shared" si="8"/>
        <v>14.6</v>
      </c>
      <c r="R10" s="38">
        <f t="shared" si="9"/>
        <v>14.6</v>
      </c>
      <c r="S10" s="31">
        <f>IF(ISNUMBER('와이드(실측)'!O10),'와이드(실측)'!O10+와이드제작!AS10+와이드A늘림,0)</f>
        <v>10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2102</v>
      </c>
      <c r="V10" s="31">
        <f>'와이드(실측)'!R10-와이드기둥차감</f>
        <v>2087</v>
      </c>
      <c r="W10" s="31">
        <f>'와이드(실측)'!S10-와이드기둥차감</f>
        <v>2102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41</v>
      </c>
      <c r="Z10" s="31">
        <f>IF(소장="손상민",MAX(Q10,R10)+3.2,IF(ISNUMBER('와이드(실측)'!V10),'와이드(실측)'!V10+1.5+와이드제작!Q10+1,0))</f>
        <v>19.100000000000001</v>
      </c>
      <c r="AA10" s="31">
        <f>'와이드(실측)'!W10+뒷날개치수더함</f>
        <v>25</v>
      </c>
      <c r="AB10" s="31">
        <f>'와이드(실측)'!X10+뒷날개치수더함</f>
        <v>25</v>
      </c>
      <c r="AC10" s="31">
        <f>'와이드(실측)'!Y10-와이드늘치</f>
        <v>0</v>
      </c>
      <c r="AD10" s="31">
        <f>IF(와이드JB하부늘치=1,AC10,'와이드(실측)'!Z10-와이드늘치)</f>
        <v>0</v>
      </c>
      <c r="AE10" s="31">
        <f>'와이드(실측)'!AA10-와이드늘치</f>
        <v>0</v>
      </c>
      <c r="AF10" s="31">
        <f>IF(와이드JB하부늘치=1,AE10,'와이드(실측)'!AB10-와이드늘치)</f>
        <v>0</v>
      </c>
      <c r="AG10" s="31">
        <f xml:space="preserve"> IF(소장&lt;&gt;"손상민",IF('와이드(실측)'!AC10&gt;0,'와이드(실측)'!AC10,C10-1.2),IF('와이드(실측)'!AC10&gt;0,'와이드(실측)'!AC10+1.2,C10) )</f>
        <v>268.8</v>
      </c>
      <c r="AH10" s="31">
        <f xml:space="preserve"> IF(소장&lt;&gt;"손상민",IF('와이드(실측)'!AD10&gt;0,'와이드(실측)'!AD10,D10-1.2),IF('와이드(실측)'!AD10&gt;0,'와이드(실측)'!AD10+1.2,D10))</f>
        <v>268.8</v>
      </c>
      <c r="AI10" s="51">
        <f t="shared" si="10"/>
        <v>4.5000000000000018</v>
      </c>
      <c r="AJ10" s="31" t="str">
        <f t="shared" si="11"/>
        <v>1299*786.3</v>
      </c>
      <c r="AK10" s="31" t="str">
        <f t="shared" si="12"/>
        <v>2370.8*526.2</v>
      </c>
      <c r="AL10" s="31" t="str">
        <f t="shared" si="13"/>
        <v>2370.8*525.2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0</v>
      </c>
      <c r="AQ10" s="31">
        <f>'와이드(실측)'!AI10</f>
        <v>0</v>
      </c>
      <c r="AR10" s="31">
        <f>'와이드(실측)'!AJ10</f>
        <v>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6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6</v>
      </c>
      <c r="AU10" s="20">
        <f t="shared" si="14"/>
        <v>8.0288894235198498</v>
      </c>
      <c r="AV10" s="21">
        <f t="shared" si="15"/>
        <v>14.539985178016593</v>
      </c>
      <c r="AW10" s="21">
        <f t="shared" si="16"/>
        <v>14.539985178016593</v>
      </c>
      <c r="AX10" s="21">
        <f>'와이드(실측)'!M10+AS10</f>
        <v>17</v>
      </c>
      <c r="AY10" s="21">
        <f>'와이드(실측)'!N10+AS10</f>
        <v>17</v>
      </c>
      <c r="AZ10" s="20">
        <f t="shared" si="17"/>
        <v>-2.4600148219834068</v>
      </c>
      <c r="BA10" s="41">
        <f t="shared" si="4"/>
        <v>1299</v>
      </c>
      <c r="BB10" s="42">
        <f>MAX(C10,D10)+MAX(G10,H10)+AA10-1.2*$AJ$3+IF(BI10=0,MAX(AE10,AC10),0)+IF(Y10=0,1.2,0)+IF(Z10=0,1.2,0)+IF(소장&lt;&gt;"손상민", Y10+Z10,IF('와이드(실측)'!U10=0,0,2.4))</f>
        <v>786.30000000000007</v>
      </c>
      <c r="BC10" s="41">
        <f t="shared" si="18"/>
        <v>526.20000000000005</v>
      </c>
      <c r="BD10" s="41">
        <f t="shared" si="19"/>
        <v>2370.8000000000002</v>
      </c>
      <c r="BE10" s="41">
        <f t="shared" si="20"/>
        <v>525.20000000000005</v>
      </c>
      <c r="BF10" s="41">
        <f t="shared" si="21"/>
        <v>2370.8000000000002</v>
      </c>
      <c r="BG10" s="6">
        <f t="shared" si="22"/>
        <v>4.4000000000000004</v>
      </c>
      <c r="BH10" s="43" t="str">
        <f t="shared" si="23"/>
        <v/>
      </c>
      <c r="BI10" s="77">
        <f t="shared" si="24"/>
        <v>1</v>
      </c>
    </row>
    <row r="11" spans="1:61" ht="26.25" customHeight="1" x14ac:dyDescent="0.3">
      <c r="A11" s="31" t="str">
        <f>'와이드(실측)'!A11</f>
        <v>1호기</v>
      </c>
      <c r="B11" s="31" t="str">
        <f>'와이드(실측)'!B11&amp;"F"</f>
        <v>1F</v>
      </c>
      <c r="C11" s="31">
        <f>'와이드(실측)'!C11+와이드MH더함-IF(AND(소장="추영덕",Y11=0),1.2)</f>
        <v>270</v>
      </c>
      <c r="D11" s="31">
        <f>'와이드(실측)'!D11+와이드MH더함-IF(AND(소장="추영덕",Y11=0),1.2)</f>
        <v>270</v>
      </c>
      <c r="E11" s="135">
        <f>'와이드(실측)'!E11-와이드OP</f>
        <v>1097</v>
      </c>
      <c r="F11" s="31">
        <f>'와이드(실측)'!F11-와이드R</f>
        <v>1222</v>
      </c>
      <c r="G11" s="50">
        <f>'와이드(실측)'!G11+와이드JBJD키움치수+IF(BI11=1,AC11,0)</f>
        <v>444</v>
      </c>
      <c r="H11" s="50">
        <f>'와이드(실측)'!H11+와이드JBJD키움치수+IF(BI11=1,AE11,0)</f>
        <v>444</v>
      </c>
      <c r="I11" s="50">
        <f>'와이드(실측)'!I11+MAX(AS11,AT11)+와이드JBJD키움치수+IF(BI11=1,AC11,0)</f>
        <v>462</v>
      </c>
      <c r="J11" s="50">
        <f>'와이드(실측)'!I11+MAX(AS11,AT11)+와이드JBJD키움치수+IF(BI11=1,AD11,0)-IF(와이드JB하부늘치=1,'와이드(실측)'!Y11-'와이드(실측)'!Z11,0)</f>
        <v>462</v>
      </c>
      <c r="K11" s="50">
        <f>'와이드(실측)'!J11+MAX(AS11,AT11)+와이드JBJD키움치수+IF(BI11=1,AE11,0)</f>
        <v>462</v>
      </c>
      <c r="L11" s="50">
        <f>'와이드(실측)'!J11+MAX(AS11,AT11)+와이드JBJD키움치수+IF(BI11=1,AF11,0)-IF(와이드JB하부늘치=1,'와이드(실측)'!AA11-'와이드(실측)'!AB11,0)</f>
        <v>462</v>
      </c>
      <c r="M11" s="31">
        <f t="shared" si="6"/>
        <v>39.5</v>
      </c>
      <c r="N11" s="31">
        <f t="shared" si="7"/>
        <v>39.5</v>
      </c>
      <c r="O11" s="31">
        <f>IF(S11&lt;9,'와이드(실측)'!K11+1.2,IF(ISNUMBER('와이드(실측)'!K11),'와이드(실측)'!K11+와이드C값,0))</f>
        <v>41</v>
      </c>
      <c r="P11" s="31">
        <f>IF(T11&lt;9,'와이드(실측)'!L11+1.2,IF(ISNUMBER('와이드(실측)'!L11),'와이드(실측)'!L11+와이드C값,0))</f>
        <v>41</v>
      </c>
      <c r="Q11" s="32">
        <f t="shared" si="8"/>
        <v>13.5</v>
      </c>
      <c r="R11" s="38">
        <f t="shared" si="9"/>
        <v>13.5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2092</v>
      </c>
      <c r="V11" s="31">
        <f>'와이드(실측)'!R11-와이드기둥차감</f>
        <v>2092</v>
      </c>
      <c r="W11" s="31">
        <f>'와이드(실측)'!S11-와이드기둥차감</f>
        <v>2095</v>
      </c>
      <c r="X11" s="31">
        <f>'와이드(실측)'!T11-와이드기둥차감</f>
        <v>2095</v>
      </c>
      <c r="Y11" s="31">
        <f>IF(소장="손상민",IF(ISNUMBER('와이드(실측)'!U11),'와이드(실측)'!U11+1.2,0),IF(ISNUMBER('와이드(실측)'!U11),'와이드(실측)'!U11+와이드U,0))</f>
        <v>41</v>
      </c>
      <c r="Z11" s="31">
        <f>IF(소장="손상민",MAX(Q11,R11)+3.2,IF(ISNUMBER('와이드(실측)'!V11),'와이드(실측)'!V11+1.5+와이드제작!Q11+1,0))</f>
        <v>18</v>
      </c>
      <c r="AA11" s="31">
        <f>'와이드(실측)'!W11+뒷날개치수더함</f>
        <v>25</v>
      </c>
      <c r="AB11" s="31">
        <f>'와이드(실측)'!X11+뒷날개치수더함</f>
        <v>25</v>
      </c>
      <c r="AC11" s="31">
        <f>'와이드(실측)'!Y11-와이드늘치</f>
        <v>0</v>
      </c>
      <c r="AD11" s="31">
        <f>IF(와이드JB하부늘치=1,AC11,'와이드(실측)'!Z11-와이드늘치)</f>
        <v>0</v>
      </c>
      <c r="AE11" s="31">
        <f>'와이드(실측)'!AA11-와이드늘치</f>
        <v>0</v>
      </c>
      <c r="AF11" s="31">
        <f>IF(와이드JB하부늘치=1,AE11,'와이드(실측)'!AB11-와이드늘치)</f>
        <v>0</v>
      </c>
      <c r="AG11" s="31">
        <f xml:space="preserve"> IF(소장&lt;&gt;"손상민",IF('와이드(실측)'!AC11&gt;0,'와이드(실측)'!AC11,C11-1.2),IF('와이드(실측)'!AC11&gt;0,'와이드(실측)'!AC11+1.2,C11) )</f>
        <v>268.8</v>
      </c>
      <c r="AH11" s="31">
        <f xml:space="preserve"> IF(소장&lt;&gt;"손상민",IF('와이드(실측)'!AD11&gt;0,'와이드(실측)'!AD11,D11-1.2),IF('와이드(실측)'!AD11&gt;0,'와이드(실측)'!AD11+1.2,D11))</f>
        <v>268.8</v>
      </c>
      <c r="AI11" s="51">
        <f t="shared" si="10"/>
        <v>4.5</v>
      </c>
      <c r="AJ11" s="31" t="str">
        <f t="shared" si="11"/>
        <v>1301*793.2</v>
      </c>
      <c r="AK11" s="31" t="str">
        <f t="shared" si="12"/>
        <v>2360.8*532.2</v>
      </c>
      <c r="AL11" s="31" t="str">
        <f t="shared" si="13"/>
        <v>2363.8*532.2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5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5</v>
      </c>
      <c r="AU11" s="20">
        <f t="shared" si="14"/>
        <v>8.0126375867507917</v>
      </c>
      <c r="AV11" s="21">
        <f t="shared" si="15"/>
        <v>13.489654586962274</v>
      </c>
      <c r="AW11" s="21">
        <f t="shared" si="16"/>
        <v>13.489654586962274</v>
      </c>
      <c r="AX11" s="21">
        <f>'와이드(실측)'!M11+AS11</f>
        <v>13</v>
      </c>
      <c r="AY11" s="21">
        <f>'와이드(실측)'!N11+AS11</f>
        <v>13</v>
      </c>
      <c r="AZ11" s="20">
        <f t="shared" si="17"/>
        <v>0.48965458696227415</v>
      </c>
      <c r="BA11" s="41">
        <f t="shared" si="4"/>
        <v>1301</v>
      </c>
      <c r="BB11" s="42">
        <f>MAX(C11,D11)+MAX(G11,H11)+AA11-1.2*$AJ$3+IF(BI11=0,MAX(AE11,AC11),0)+IF(Y11=0,1.2,0)+IF(Z11=0,1.2,0)+IF(소장&lt;&gt;"손상민", Y11+Z11,IF('와이드(실측)'!U11=0,0,2.4))</f>
        <v>793.2</v>
      </c>
      <c r="BC11" s="41">
        <f t="shared" si="18"/>
        <v>532.20000000000005</v>
      </c>
      <c r="BD11" s="41">
        <f t="shared" si="19"/>
        <v>2360.8000000000002</v>
      </c>
      <c r="BE11" s="41">
        <f t="shared" si="20"/>
        <v>532.20000000000005</v>
      </c>
      <c r="BF11" s="41">
        <f t="shared" si="21"/>
        <v>2363.8000000000002</v>
      </c>
      <c r="BG11" s="6">
        <f t="shared" si="22"/>
        <v>4.5</v>
      </c>
      <c r="BH11" s="43" t="str">
        <f t="shared" si="23"/>
        <v/>
      </c>
      <c r="BI11" s="77">
        <f t="shared" si="24"/>
        <v>1</v>
      </c>
    </row>
    <row r="12" spans="1:61" ht="26.25" customHeight="1" x14ac:dyDescent="0.3">
      <c r="A12" s="31" t="str">
        <f>'와이드(실측)'!A12</f>
        <v>2호기</v>
      </c>
      <c r="B12" s="31" t="str">
        <f>'와이드(실측)'!B12&amp;"F"</f>
        <v>1F</v>
      </c>
      <c r="C12" s="31">
        <f>'와이드(실측)'!C12+와이드MH더함-IF(AND(소장="추영덕",Y12=0),1.2)</f>
        <v>270</v>
      </c>
      <c r="D12" s="31">
        <f>'와이드(실측)'!D12+와이드MH더함-IF(AND(소장="추영덕",Y12=0),1.2)</f>
        <v>270</v>
      </c>
      <c r="E12" s="135">
        <f>'와이드(실측)'!E12-와이드OP</f>
        <v>1097</v>
      </c>
      <c r="F12" s="31">
        <f>'와이드(실측)'!F12-와이드R</f>
        <v>1222</v>
      </c>
      <c r="G12" s="50">
        <f>'와이드(실측)'!G12+와이드JBJD키움치수+IF(BI12=1,AC12,0)</f>
        <v>445</v>
      </c>
      <c r="H12" s="50">
        <f>'와이드(실측)'!H12+와이드JBJD키움치수+IF(BI12=1,AE12,0)</f>
        <v>445</v>
      </c>
      <c r="I12" s="50">
        <f>'와이드(실측)'!I12+MAX(AS12,AT12)+와이드JBJD키움치수+IF(BI12=1,AC12,0)</f>
        <v>463</v>
      </c>
      <c r="J12" s="50">
        <f>'와이드(실측)'!I12+MAX(AS12,AT12)+와이드JBJD키움치수+IF(BI12=1,AD12,0)-IF(와이드JB하부늘치=1,'와이드(실측)'!Y12-'와이드(실측)'!Z12,0)</f>
        <v>463</v>
      </c>
      <c r="K12" s="50">
        <f>'와이드(실측)'!J12+MAX(AS12,AT12)+와이드JBJD키움치수+IF(BI12=1,AE12,0)</f>
        <v>463</v>
      </c>
      <c r="L12" s="50">
        <f>'와이드(실측)'!J12+MAX(AS12,AT12)+와이드JBJD키움치수+IF(BI12=1,AF12,0)-IF(와이드JB하부늘치=1,'와이드(실측)'!AA12-'와이드(실측)'!AB12,0)</f>
        <v>463</v>
      </c>
      <c r="M12" s="31">
        <f t="shared" si="6"/>
        <v>39.5</v>
      </c>
      <c r="N12" s="31">
        <f t="shared" si="7"/>
        <v>39.5</v>
      </c>
      <c r="O12" s="31">
        <f>IF(S12&lt;9,'와이드(실측)'!K12+1.2,IF(ISNUMBER('와이드(실측)'!K12),'와이드(실측)'!K12+와이드C값,0))</f>
        <v>41</v>
      </c>
      <c r="P12" s="31">
        <f>IF(T12&lt;9,'와이드(실측)'!L12+1.2,IF(ISNUMBER('와이드(실측)'!L12),'와이드(실측)'!L12+와이드C값,0))</f>
        <v>41</v>
      </c>
      <c r="Q12" s="32">
        <f t="shared" si="8"/>
        <v>13.5</v>
      </c>
      <c r="R12" s="38">
        <f t="shared" si="9"/>
        <v>13.5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10</v>
      </c>
      <c r="U12" s="31">
        <f>'와이드(실측)'!Q12-와이드기둥차감</f>
        <v>2093</v>
      </c>
      <c r="V12" s="31">
        <f>'와이드(실측)'!R12-와이드기둥차감</f>
        <v>2090</v>
      </c>
      <c r="W12" s="31">
        <f>'와이드(실측)'!S12-와이드기둥차감</f>
        <v>2095</v>
      </c>
      <c r="X12" s="31">
        <f>'와이드(실측)'!T12-와이드기둥차감</f>
        <v>2089</v>
      </c>
      <c r="Y12" s="31">
        <f>IF(소장="손상민",IF(ISNUMBER('와이드(실측)'!U12),'와이드(실측)'!U12+1.2,0),IF(ISNUMBER('와이드(실측)'!U12),'와이드(실측)'!U12+와이드U,0))</f>
        <v>41</v>
      </c>
      <c r="Z12" s="31">
        <f>IF(소장="손상민",MAX(Q12,R12)+3.2,IF(ISNUMBER('와이드(실측)'!V12),'와이드(실측)'!V12+1.5+와이드제작!Q12+1,0))</f>
        <v>18</v>
      </c>
      <c r="AA12" s="31">
        <f>'와이드(실측)'!W12+뒷날개치수더함</f>
        <v>25</v>
      </c>
      <c r="AB12" s="31">
        <f>'와이드(실측)'!X12+뒷날개치수더함</f>
        <v>25</v>
      </c>
      <c r="AC12" s="31">
        <f>'와이드(실측)'!Y12-와이드늘치</f>
        <v>0</v>
      </c>
      <c r="AD12" s="31">
        <f>IF(와이드JB하부늘치=1,AC12,'와이드(실측)'!Z12-와이드늘치)</f>
        <v>0</v>
      </c>
      <c r="AE12" s="31">
        <f>'와이드(실측)'!AA12-와이드늘치</f>
        <v>0</v>
      </c>
      <c r="AF12" s="31">
        <f>IF(와이드JB하부늘치=1,AE12,'와이드(실측)'!AB12-와이드늘치)</f>
        <v>0</v>
      </c>
      <c r="AG12" s="31">
        <f xml:space="preserve"> IF(소장&lt;&gt;"손상민",IF('와이드(실측)'!AC12&gt;0,'와이드(실측)'!AC12,C12-1.2),IF('와이드(실측)'!AC12&gt;0,'와이드(실측)'!AC12+1.2,C12) )</f>
        <v>268.8</v>
      </c>
      <c r="AH12" s="31">
        <f xml:space="preserve"> IF(소장&lt;&gt;"손상민",IF('와이드(실측)'!AD12&gt;0,'와이드(실측)'!AD12,D12-1.2),IF('와이드(실측)'!AD12&gt;0,'와이드(실측)'!AD12+1.2,D12))</f>
        <v>268.8</v>
      </c>
      <c r="AI12" s="51">
        <f t="shared" si="10"/>
        <v>4.5</v>
      </c>
      <c r="AJ12" s="31" t="str">
        <f t="shared" si="11"/>
        <v>1301*794.2</v>
      </c>
      <c r="AK12" s="31" t="str">
        <f t="shared" si="12"/>
        <v>2361.8*533.2</v>
      </c>
      <c r="AL12" s="31" t="str">
        <f t="shared" si="13"/>
        <v>2363.8*534.2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5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5</v>
      </c>
      <c r="AU12" s="20">
        <f t="shared" si="14"/>
        <v>7.9948647307632861</v>
      </c>
      <c r="AV12" s="21">
        <f t="shared" si="15"/>
        <v>13.499889316794679</v>
      </c>
      <c r="AW12" s="21">
        <f t="shared" si="16"/>
        <v>13.499889316794679</v>
      </c>
      <c r="AX12" s="21">
        <f>'와이드(실측)'!M12+AS12</f>
        <v>17</v>
      </c>
      <c r="AY12" s="21">
        <f>'와이드(실측)'!N12+AS12</f>
        <v>17</v>
      </c>
      <c r="AZ12" s="20">
        <f t="shared" si="17"/>
        <v>-3.500110683205321</v>
      </c>
      <c r="BA12" s="41">
        <f t="shared" si="4"/>
        <v>1301</v>
      </c>
      <c r="BB12" s="42">
        <f>MAX(C12,D12)+MAX(G12,H12)+AA12-1.2*$AJ$3+IF(BI12=0,MAX(AE12,AC12),0)+IF(Y12=0,1.2,0)+IF(Z12=0,1.2,0)+IF(소장&lt;&gt;"손상민", Y12+Z12,IF('와이드(실측)'!U12=0,0,2.4))</f>
        <v>794.2</v>
      </c>
      <c r="BC12" s="41">
        <f t="shared" si="18"/>
        <v>533.20000000000005</v>
      </c>
      <c r="BD12" s="41">
        <f t="shared" si="19"/>
        <v>2361.8000000000002</v>
      </c>
      <c r="BE12" s="41">
        <f t="shared" si="20"/>
        <v>534.20000000000005</v>
      </c>
      <c r="BF12" s="41">
        <f t="shared" si="21"/>
        <v>2363.8000000000002</v>
      </c>
      <c r="BG12" s="6">
        <f t="shared" si="22"/>
        <v>4.5</v>
      </c>
      <c r="BH12" s="43" t="str">
        <f t="shared" si="23"/>
        <v/>
      </c>
      <c r="BI12" s="77">
        <f t="shared" si="24"/>
        <v>1</v>
      </c>
    </row>
    <row r="13" spans="1:61" ht="26.25" customHeight="1" x14ac:dyDescent="0.3">
      <c r="A13" s="31" t="str">
        <f>'와이드(실측)'!A13</f>
        <v>1호기</v>
      </c>
      <c r="B13" s="31" t="str">
        <f>'와이드(실측)'!B13&amp;"F"</f>
        <v>B1F</v>
      </c>
      <c r="C13" s="31">
        <f>'와이드(실측)'!C13+와이드MH더함-IF(AND(소장="추영덕",Y13=0),1.2)</f>
        <v>270</v>
      </c>
      <c r="D13" s="31">
        <f>'와이드(실측)'!D13+와이드MH더함-IF(AND(소장="추영덕",Y13=0),1.2)</f>
        <v>270</v>
      </c>
      <c r="E13" s="135">
        <f>'와이드(실측)'!E13-와이드OP</f>
        <v>1097</v>
      </c>
      <c r="F13" s="31">
        <f>'와이드(실측)'!F13-와이드R</f>
        <v>1220</v>
      </c>
      <c r="G13" s="50">
        <f>'와이드(실측)'!G13+와이드JBJD키움치수+IF(BI13=1,AC13,0)</f>
        <v>439</v>
      </c>
      <c r="H13" s="50">
        <f>'와이드(실측)'!H13+와이드JBJD키움치수+IF(BI13=1,AE13,0)</f>
        <v>439</v>
      </c>
      <c r="I13" s="50">
        <f>'와이드(실측)'!I13+MAX(AS13,AT13)+와이드JBJD키움치수+IF(BI13=1,AC13,0)</f>
        <v>456</v>
      </c>
      <c r="J13" s="50">
        <f>'와이드(실측)'!I13+MAX(AS13,AT13)+와이드JBJD키움치수+IF(BI13=1,AD13,0)-IF(와이드JB하부늘치=1,'와이드(실측)'!Y13-'와이드(실측)'!Z13,0)</f>
        <v>456</v>
      </c>
      <c r="K13" s="50">
        <f>'와이드(실측)'!J13+MAX(AS13,AT13)+와이드JBJD키움치수+IF(BI13=1,AE13,0)</f>
        <v>456</v>
      </c>
      <c r="L13" s="50">
        <f>'와이드(실측)'!J13+MAX(AS13,AT13)+와이드JBJD키움치수+IF(BI13=1,AF13,0)-IF(와이드JB하부늘치=1,'와이드(실측)'!AA13-'와이드(실측)'!AB13,0)</f>
        <v>456</v>
      </c>
      <c r="M13" s="31">
        <f t="shared" si="6"/>
        <v>39.5</v>
      </c>
      <c r="N13" s="31">
        <f t="shared" si="7"/>
        <v>39.5</v>
      </c>
      <c r="O13" s="31">
        <f>IF(S13&lt;9,'와이드(실측)'!K13+1.2,IF(ISNUMBER('와이드(실측)'!K13),'와이드(실측)'!K13+와이드C값,0))</f>
        <v>41</v>
      </c>
      <c r="P13" s="31">
        <f>IF(T13&lt;9,'와이드(실측)'!L13+1.2,IF(ISNUMBER('와이드(실측)'!L13),'와이드(실측)'!L13+와이드C값,0))</f>
        <v>41</v>
      </c>
      <c r="Q13" s="32">
        <f t="shared" si="8"/>
        <v>12.6</v>
      </c>
      <c r="R13" s="38">
        <f t="shared" si="9"/>
        <v>12.6</v>
      </c>
      <c r="S13" s="31">
        <f>IF(ISNUMBER('와이드(실측)'!O13),'와이드(실측)'!O13+와이드제작!AS13+와이드A늘림,0)</f>
        <v>9</v>
      </c>
      <c r="T13" s="31">
        <f>IF(ISNUMBER('와이드(실측)'!P13),'와이드(실측)'!P13+와이드제작!AT13+와이드A늘림,0)</f>
        <v>9</v>
      </c>
      <c r="U13" s="31">
        <f>'와이드(실측)'!Q13-와이드기둥차감</f>
        <v>2101</v>
      </c>
      <c r="V13" s="31">
        <f>'와이드(실측)'!R13-와이드기둥차감</f>
        <v>2092</v>
      </c>
      <c r="W13" s="31">
        <f>'와이드(실측)'!S13-와이드기둥차감</f>
        <v>2100</v>
      </c>
      <c r="X13" s="31">
        <f>'와이드(실측)'!T13-와이드기둥차감</f>
        <v>2088</v>
      </c>
      <c r="Y13" s="31">
        <f>IF(소장="손상민",IF(ISNUMBER('와이드(실측)'!U13),'와이드(실측)'!U13+1.2,0),IF(ISNUMBER('와이드(실측)'!U13),'와이드(실측)'!U13+와이드U,0))</f>
        <v>41</v>
      </c>
      <c r="Z13" s="31">
        <f>IF(소장="손상민",MAX(Q13,R13)+3.2,IF(ISNUMBER('와이드(실측)'!V13),'와이드(실측)'!V13+1.5+와이드제작!Q13+1,0))</f>
        <v>17.100000000000001</v>
      </c>
      <c r="AA13" s="31">
        <f>'와이드(실측)'!W13+뒷날개치수더함</f>
        <v>25</v>
      </c>
      <c r="AB13" s="31">
        <f>'와이드(실측)'!X13+뒷날개치수더함</f>
        <v>25</v>
      </c>
      <c r="AC13" s="31">
        <f>'와이드(실측)'!Y13-와이드늘치</f>
        <v>0</v>
      </c>
      <c r="AD13" s="31">
        <f>IF(와이드JB하부늘치=1,AC13,'와이드(실측)'!Z13-와이드늘치)</f>
        <v>0</v>
      </c>
      <c r="AE13" s="31">
        <f>'와이드(실측)'!AA13-와이드늘치</f>
        <v>0</v>
      </c>
      <c r="AF13" s="31">
        <f>IF(와이드JB하부늘치=1,AE13,'와이드(실측)'!AB13-와이드늘치)</f>
        <v>0</v>
      </c>
      <c r="AG13" s="31">
        <f xml:space="preserve"> IF(소장&lt;&gt;"손상민",IF('와이드(실측)'!AC13&gt;0,'와이드(실측)'!AC13,C13-1.2),IF('와이드(실측)'!AC13&gt;0,'와이드(실측)'!AC13+1.2,C13) )</f>
        <v>268.8</v>
      </c>
      <c r="AH13" s="31">
        <f xml:space="preserve"> IF(소장&lt;&gt;"손상민",IF('와이드(실측)'!AD13&gt;0,'와이드(실측)'!AD13,D13-1.2),IF('와이드(실측)'!AD13&gt;0,'와이드(실측)'!AD13+1.2,D13))</f>
        <v>268.8</v>
      </c>
      <c r="AI13" s="51">
        <f t="shared" si="10"/>
        <v>4.5000000000000018</v>
      </c>
      <c r="AJ13" s="31" t="str">
        <f t="shared" si="11"/>
        <v>1299*787.3</v>
      </c>
      <c r="AK13" s="31" t="str">
        <f t="shared" si="12"/>
        <v>2369.8*526.2</v>
      </c>
      <c r="AL13" s="31" t="str">
        <f t="shared" si="13"/>
        <v>2368.8*526.2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4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4</v>
      </c>
      <c r="AU13" s="20">
        <f t="shared" si="14"/>
        <v>7.9747305461821822</v>
      </c>
      <c r="AV13" s="21">
        <f t="shared" si="15"/>
        <v>12.590184813965323</v>
      </c>
      <c r="AW13" s="21">
        <f t="shared" si="16"/>
        <v>12.590184813965323</v>
      </c>
      <c r="AX13" s="21">
        <f>'와이드(실측)'!M13+AS13</f>
        <v>12</v>
      </c>
      <c r="AY13" s="21">
        <f>'와이드(실측)'!N13+AS13</f>
        <v>16</v>
      </c>
      <c r="AZ13" s="20">
        <f t="shared" si="17"/>
        <v>-3.4098151860346775</v>
      </c>
      <c r="BA13" s="41">
        <f t="shared" si="4"/>
        <v>1299</v>
      </c>
      <c r="BB13" s="42">
        <f>MAX(C13,D13)+MAX(G13,H13)+AA13-1.2*$AJ$3+IF(BI13=0,MAX(AE13,AC13),0)+IF(Y13=0,1.2,0)+IF(Z13=0,1.2,0)+IF(소장&lt;&gt;"손상민", Y13+Z13,IF('와이드(실측)'!U13=0,0,2.4))</f>
        <v>787.30000000000007</v>
      </c>
      <c r="BC13" s="41">
        <f t="shared" si="18"/>
        <v>526.20000000000005</v>
      </c>
      <c r="BD13" s="41">
        <f t="shared" si="19"/>
        <v>2369.8000000000002</v>
      </c>
      <c r="BE13" s="41">
        <f t="shared" si="20"/>
        <v>526.20000000000005</v>
      </c>
      <c r="BF13" s="41">
        <f t="shared" si="21"/>
        <v>2368.8000000000002</v>
      </c>
      <c r="BG13" s="6">
        <f t="shared" si="22"/>
        <v>4.4000000000000004</v>
      </c>
      <c r="BH13" s="43" t="str">
        <f t="shared" si="23"/>
        <v/>
      </c>
      <c r="BI13" s="77">
        <f t="shared" si="24"/>
        <v>1</v>
      </c>
    </row>
    <row r="14" spans="1:61" ht="26.25" customHeight="1" x14ac:dyDescent="0.3">
      <c r="A14" s="31" t="str">
        <f>'와이드(실측)'!A14</f>
        <v>2호기</v>
      </c>
      <c r="B14" s="31" t="str">
        <f>'와이드(실측)'!B14&amp;"F"</f>
        <v>B1F</v>
      </c>
      <c r="C14" s="31">
        <f>'와이드(실측)'!C14+와이드MH더함-IF(AND(소장="추영덕",Y14=0),1.2)</f>
        <v>270</v>
      </c>
      <c r="D14" s="31">
        <f>'와이드(실측)'!D14+와이드MH더함-IF(AND(소장="추영덕",Y14=0),1.2)</f>
        <v>270</v>
      </c>
      <c r="E14" s="135">
        <f>'와이드(실측)'!E14-와이드OP</f>
        <v>1097</v>
      </c>
      <c r="F14" s="31">
        <f>'와이드(실측)'!F14-와이드R</f>
        <v>1220</v>
      </c>
      <c r="G14" s="50">
        <f>'와이드(실측)'!G14+와이드JBJD키움치수+IF(BI14=1,AC14,0)</f>
        <v>440</v>
      </c>
      <c r="H14" s="50">
        <f>'와이드(실측)'!H14+와이드JBJD키움치수+IF(BI14=1,AE14,0)</f>
        <v>440</v>
      </c>
      <c r="I14" s="50">
        <f>'와이드(실측)'!I14+MAX(AS14,AT14)+와이드JBJD키움치수+IF(BI14=1,AC14,0)</f>
        <v>458</v>
      </c>
      <c r="J14" s="50">
        <f>'와이드(실측)'!I14+MAX(AS14,AT14)+와이드JBJD키움치수+IF(BI14=1,AD14,0)-IF(와이드JB하부늘치=1,'와이드(실측)'!Y14-'와이드(실측)'!Z14,0)</f>
        <v>458</v>
      </c>
      <c r="K14" s="50">
        <f>'와이드(실측)'!J14+MAX(AS14,AT14)+와이드JBJD키움치수+IF(BI14=1,AE14,0)</f>
        <v>458</v>
      </c>
      <c r="L14" s="50">
        <f>'와이드(실측)'!J14+MAX(AS14,AT14)+와이드JBJD키움치수+IF(BI14=1,AF14,0)-IF(와이드JB하부늘치=1,'와이드(실측)'!AA14-'와이드(실측)'!AB14,0)</f>
        <v>458</v>
      </c>
      <c r="M14" s="31">
        <f t="shared" si="6"/>
        <v>39.5</v>
      </c>
      <c r="N14" s="31">
        <f t="shared" si="7"/>
        <v>39.5</v>
      </c>
      <c r="O14" s="31">
        <f>IF(S14&lt;9,'와이드(실측)'!K14+1.2,IF(ISNUMBER('와이드(실측)'!K14),'와이드(실측)'!K14+와이드C값,0))</f>
        <v>41</v>
      </c>
      <c r="P14" s="31">
        <f>IF(T14&lt;9,'와이드(실측)'!L14+1.2,IF(ISNUMBER('와이드(실측)'!L14),'와이드(실측)'!L14+와이드C값,0))</f>
        <v>41</v>
      </c>
      <c r="Q14" s="32">
        <f>ROUNDUP(AV14,1)</f>
        <v>13.6</v>
      </c>
      <c r="R14" s="38">
        <f>ROUNDUP(AW14,1)</f>
        <v>13.6</v>
      </c>
      <c r="S14" s="31">
        <f>IF(ISNUMBER('와이드(실측)'!O14),'와이드(실측)'!O14+와이드제작!AS14+와이드A늘림,0)</f>
        <v>9</v>
      </c>
      <c r="T14" s="31">
        <f>IF(ISNUMBER('와이드(실측)'!P14),'와이드(실측)'!P14+와이드제작!AT14+와이드A늘림,0)</f>
        <v>10</v>
      </c>
      <c r="U14" s="31">
        <f>'와이드(실측)'!Q14-와이드기둥차감</f>
        <v>2094</v>
      </c>
      <c r="V14" s="31">
        <f>'와이드(실측)'!R14-와이드기둥차감</f>
        <v>2092</v>
      </c>
      <c r="W14" s="31">
        <f>'와이드(실측)'!S14-와이드기둥차감</f>
        <v>2091</v>
      </c>
      <c r="X14" s="31">
        <f>'와이드(실측)'!T14-와이드기둥차감</f>
        <v>2088</v>
      </c>
      <c r="Y14" s="31">
        <f>IF(소장="손상민",IF(ISNUMBER('와이드(실측)'!U14),'와이드(실측)'!U14+1.2,0),IF(ISNUMBER('와이드(실측)'!U14),'와이드(실측)'!U14+와이드U,0))</f>
        <v>41</v>
      </c>
      <c r="Z14" s="31">
        <f>IF(소장="손상민",MAX(Q14,R14)+3.2,IF(ISNUMBER('와이드(실측)'!V14),'와이드(실측)'!V14+1.5+와이드제작!Q14+1,0))</f>
        <v>18.100000000000001</v>
      </c>
      <c r="AA14" s="31">
        <f>'와이드(실측)'!W14+뒷날개치수더함</f>
        <v>25</v>
      </c>
      <c r="AB14" s="31">
        <f>'와이드(실측)'!X14+뒷날개치수더함</f>
        <v>25</v>
      </c>
      <c r="AC14" s="31">
        <f>'와이드(실측)'!Y14-와이드늘치</f>
        <v>0</v>
      </c>
      <c r="AD14" s="31">
        <f>IF(와이드JB하부늘치=1,AC14,'와이드(실측)'!Z14-와이드늘치)</f>
        <v>0</v>
      </c>
      <c r="AE14" s="31">
        <f>'와이드(실측)'!AA14-와이드늘치</f>
        <v>0</v>
      </c>
      <c r="AF14" s="31">
        <f>IF(와이드JB하부늘치=1,AE14,'와이드(실측)'!AB14-와이드늘치)</f>
        <v>0</v>
      </c>
      <c r="AG14" s="31">
        <f xml:space="preserve"> IF(소장&lt;&gt;"손상민",IF('와이드(실측)'!AC14&gt;0,'와이드(실측)'!AC14,C14-1.2),IF('와이드(실측)'!AC14&gt;0,'와이드(실측)'!AC14+1.2,C14) )</f>
        <v>268.8</v>
      </c>
      <c r="AH14" s="31">
        <f xml:space="preserve"> IF(소장&lt;&gt;"손상민",IF('와이드(실측)'!AD14&gt;0,'와이드(실측)'!AD14,D14-1.2),IF('와이드(실측)'!AD14&gt;0,'와이드(실측)'!AD14+1.2,D14))</f>
        <v>268.8</v>
      </c>
      <c r="AI14" s="51">
        <f>IF(Z14&gt;0,Z14-MAX(Q14,R14),0)</f>
        <v>4.5000000000000018</v>
      </c>
      <c r="AJ14" s="31" t="str">
        <f t="shared" si="11"/>
        <v>1299*789.3</v>
      </c>
      <c r="AK14" s="31" t="str">
        <f t="shared" si="12"/>
        <v>2362.8*528.2</v>
      </c>
      <c r="AL14" s="31" t="str">
        <f t="shared" si="13"/>
        <v>2359.8*529.2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0</v>
      </c>
      <c r="AP14" s="31">
        <f>IF('와이드(실측)'!AH14&gt;5,'와이드(실측)'!AH14+뒷날개치수더함,'와이드(실측)'!AH14)</f>
        <v>0</v>
      </c>
      <c r="AQ14" s="31">
        <f>'와이드(실측)'!AI14</f>
        <v>0</v>
      </c>
      <c r="AR14" s="31">
        <f>'와이드(실측)'!AJ14</f>
        <v>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5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5</v>
      </c>
      <c r="AU14" s="20">
        <f>DEGREES(ATAN((F14-E14)/2/(H14)))</f>
        <v>7.9568385482715422</v>
      </c>
      <c r="AV14" s="21">
        <f>ABS(G14-COS(RADIANS(AU14))*I14)</f>
        <v>13.590663700272387</v>
      </c>
      <c r="AW14" s="21">
        <f>ABS(H14-COS(RADIANS(AU14))*K14)</f>
        <v>13.590663700272387</v>
      </c>
      <c r="AX14" s="21">
        <f>'와이드(실측)'!M14+AS14</f>
        <v>17</v>
      </c>
      <c r="AY14" s="21">
        <f>'와이드(실측)'!N14+AS14</f>
        <v>17</v>
      </c>
      <c r="AZ14" s="20">
        <f>AV14-MAX(AX14,AY14)</f>
        <v>-3.4093362997276131</v>
      </c>
      <c r="BA14" s="41">
        <f t="shared" ref="BA14:BA27" si="25">IF(소장&lt;&gt;"손상민",F14+IF(Y14+Z14&gt;0,N14+M14,0),F14)</f>
        <v>1299</v>
      </c>
      <c r="BB14" s="42">
        <f>MAX(C14,D14)+MAX(G14,H14)+AA14-1.2*$AJ$3+IF(BI14=0,MAX(AE14,AC14),0)+IF(Y14=0,1.2,0)+IF(Z14=0,1.2,0)+IF(소장&lt;&gt;"손상민", Y14+Z14,IF('와이드(실측)'!U14=0,0,2.4))</f>
        <v>789.30000000000007</v>
      </c>
      <c r="BC14" s="41">
        <f>S14+O14+MAX(I14,J14)+AB14-1.2*$AL$3+IF(BI14=0,MAX(AD14,AC14),0)+IF(S14=0,1.2,0)-IF(AR14=90,2.4,0)</f>
        <v>528.20000000000005</v>
      </c>
      <c r="BD14" s="41">
        <f>MAX(U14,V14)+AG14</f>
        <v>2362.8000000000002</v>
      </c>
      <c r="BE14" s="41">
        <f>T14+P14+MAX(K14,L14)+AB14-1.2*$AL$3+IF(BI14=0,MAX(AE14,AF14),0)+IF(T14=0,1.2,0)-IF(AR14=90,2.4,0)</f>
        <v>529.20000000000005</v>
      </c>
      <c r="BF14" s="41">
        <f>MAX(W14,X14)+AH14</f>
        <v>2359.8000000000002</v>
      </c>
      <c r="BG14" s="6">
        <f t="shared" si="22"/>
        <v>4.4000000000000004</v>
      </c>
      <c r="BH14" s="43" t="str">
        <f>IF(AND(C14&lt;&gt;D14,Y14&gt;0),"NG","")</f>
        <v/>
      </c>
      <c r="BI14" s="77">
        <f>IF(AND(MIN(AC14,AE14)&gt;=9.2,ABS(F14-E14)&gt;15),0,1)</f>
        <v>1</v>
      </c>
    </row>
    <row r="15" spans="1:61" ht="26.25" customHeight="1" x14ac:dyDescent="0.3">
      <c r="A15" s="31" t="str">
        <f>'와이드(실측)'!A15</f>
        <v>1호기</v>
      </c>
      <c r="B15" s="31" t="str">
        <f>'와이드(실측)'!B15&amp;"F"</f>
        <v>1F</v>
      </c>
      <c r="C15" s="31">
        <f>'와이드(실측)'!C15+와이드MH더함-IF(AND(소장="추영덕",Y15=0),1.2)</f>
        <v>270</v>
      </c>
      <c r="D15" s="31">
        <f>'와이드(실측)'!D15+와이드MH더함-IF(AND(소장="추영덕",Y15=0),1.2)</f>
        <v>270</v>
      </c>
      <c r="E15" s="135">
        <f>'와이드(실측)'!E15-와이드OP</f>
        <v>1097</v>
      </c>
      <c r="F15" s="31">
        <f>'와이드(실측)'!F15-와이드R</f>
        <v>1224</v>
      </c>
      <c r="G15" s="50">
        <f>'와이드(실측)'!G15+와이드JBJD키움치수+IF(BI15=1,AC15,0)</f>
        <v>456</v>
      </c>
      <c r="H15" s="50">
        <f>'와이드(실측)'!H15+와이드JBJD키움치수+IF(BI15=1,AE15,0)</f>
        <v>456</v>
      </c>
      <c r="I15" s="50">
        <f>'와이드(실측)'!I15+MAX(AS15,AT15)+와이드JBJD키움치수+IF(BI15=1,AC15,0)</f>
        <v>473</v>
      </c>
      <c r="J15" s="50">
        <f>'와이드(실측)'!I15+MAX(AS15,AT15)+와이드JBJD키움치수+IF(BI15=1,AD15,0)-IF(와이드JB하부늘치=1,'와이드(실측)'!Y15-'와이드(실측)'!Z15,0)</f>
        <v>473</v>
      </c>
      <c r="K15" s="50">
        <f>'와이드(실측)'!J15+MAX(AS15,AT15)+와이드JBJD키움치수+IF(BI15=1,AE15,0)</f>
        <v>473</v>
      </c>
      <c r="L15" s="50">
        <f>'와이드(실측)'!J15+MAX(AS15,AT15)+와이드JBJD키움치수+IF(BI15=1,AF15,0)-IF(와이드JB하부늘치=1,'와이드(실측)'!AA15-'와이드(실측)'!AB15,0)</f>
        <v>473</v>
      </c>
      <c r="M15" s="31">
        <f t="shared" ref="M15:M28" si="26">IF(소장="손상민",0,O15-1.5)</f>
        <v>39.5</v>
      </c>
      <c r="N15" s="31">
        <f t="shared" ref="N15:N28" si="27">IF(소장="손상민",0,P15-1.5)</f>
        <v>39.5</v>
      </c>
      <c r="O15" s="31">
        <f>IF(S15&lt;9,'와이드(실측)'!K15+1.2,IF(ISNUMBER('와이드(실측)'!K15),'와이드(실측)'!K15+와이드C값,0))</f>
        <v>41</v>
      </c>
      <c r="P15" s="31">
        <f>IF(T15&lt;9,'와이드(실측)'!L15+1.2,IF(ISNUMBER('와이드(실측)'!L15),'와이드(실측)'!L15+와이드C값,0))</f>
        <v>41</v>
      </c>
      <c r="Q15" s="32">
        <f t="shared" ref="Q15:Q20" si="28">ROUNDUP(AV15,1)</f>
        <v>12.5</v>
      </c>
      <c r="R15" s="38">
        <f t="shared" ref="R15:R20" si="29">ROUNDUP(AW15,1)</f>
        <v>12.5</v>
      </c>
      <c r="S15" s="31">
        <f>IF(ISNUMBER('와이드(실측)'!O15),'와이드(실측)'!O15+와이드제작!AS15+와이드A늘림,0)</f>
        <v>10</v>
      </c>
      <c r="T15" s="31">
        <f>IF(ISNUMBER('와이드(실측)'!P15),'와이드(실측)'!P15+와이드제작!AT15+와이드A늘림,0)</f>
        <v>9</v>
      </c>
      <c r="U15" s="31">
        <f>'와이드(실측)'!Q15-와이드기둥차감</f>
        <v>2098</v>
      </c>
      <c r="V15" s="31">
        <f>'와이드(실측)'!R15-와이드기둥차감</f>
        <v>2090</v>
      </c>
      <c r="W15" s="31">
        <f>'와이드(실측)'!S15-와이드기둥차감</f>
        <v>2099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41</v>
      </c>
      <c r="Z15" s="31">
        <f>IF(소장="손상민",MAX(Q15,R15)+3.2,IF(ISNUMBER('와이드(실측)'!V15),'와이드(실측)'!V15+1.5+와이드제작!Q15+1,0))</f>
        <v>17</v>
      </c>
      <c r="AA15" s="31">
        <f>'와이드(실측)'!W15+뒷날개치수더함</f>
        <v>25</v>
      </c>
      <c r="AB15" s="31">
        <f>'와이드(실측)'!X15+뒷날개치수더함</f>
        <v>25</v>
      </c>
      <c r="AC15" s="31">
        <f>'와이드(실측)'!Y15-와이드늘치</f>
        <v>0</v>
      </c>
      <c r="AD15" s="31">
        <f>IF(와이드JB하부늘치=1,AC15,'와이드(실측)'!Z15-와이드늘치)</f>
        <v>0</v>
      </c>
      <c r="AE15" s="31">
        <f>'와이드(실측)'!AA15-와이드늘치</f>
        <v>0</v>
      </c>
      <c r="AF15" s="31">
        <f>IF(와이드JB하부늘치=1,AE15,'와이드(실측)'!AB15-와이드늘치)</f>
        <v>0</v>
      </c>
      <c r="AG15" s="31">
        <f xml:space="preserve"> IF(소장&lt;&gt;"손상민",IF('와이드(실측)'!AC15&gt;0,'와이드(실측)'!AC15,C15-1.2),IF('와이드(실측)'!AC15&gt;0,'와이드(실측)'!AC15+1.2,C15) )</f>
        <v>268.8</v>
      </c>
      <c r="AH15" s="31">
        <f xml:space="preserve"> IF(소장&lt;&gt;"손상민",IF('와이드(실측)'!AD15&gt;0,'와이드(실측)'!AD15,D15-1.2),IF('와이드(실측)'!AD15&gt;0,'와이드(실측)'!AD15+1.2,D15))</f>
        <v>268.8</v>
      </c>
      <c r="AI15" s="51">
        <f t="shared" ref="AI15:AI20" si="30">IF(Z15&gt;0,Z15-MAX(Q15,R15),0)</f>
        <v>4.5</v>
      </c>
      <c r="AJ15" s="31" t="str">
        <f t="shared" ref="AJ15:AJ28" si="31">BA15&amp;"*"&amp;BB15</f>
        <v>1303*804.2</v>
      </c>
      <c r="AK15" s="31" t="str">
        <f t="shared" ref="AK15:AK28" si="32">BD15&amp;"*"&amp;BC15</f>
        <v>2366.8*544.2</v>
      </c>
      <c r="AL15" s="31" t="str">
        <f t="shared" ref="AL15:AL28" si="33">BF15&amp;"*"&amp;BE15</f>
        <v>2367.8*543.2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0</v>
      </c>
      <c r="AP15" s="31">
        <f>IF('와이드(실측)'!AH15&gt;5,'와이드(실측)'!AH15+뒷날개치수더함,'와이드(실측)'!AH15)</f>
        <v>0</v>
      </c>
      <c r="AQ15" s="31">
        <f>'와이드(실측)'!AI15</f>
        <v>0</v>
      </c>
      <c r="AR15" s="31">
        <f>'와이드(실측)'!AJ15</f>
        <v>0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4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4</v>
      </c>
      <c r="AU15" s="20">
        <f t="shared" ref="AU15:AU20" si="34">DEGREES(ATAN((F15-E15)/2/(H15)))</f>
        <v>7.9277068008665932</v>
      </c>
      <c r="AV15" s="21">
        <f t="shared" ref="AV15:AV20" si="35">ABS(G15-COS(RADIANS(AU15))*I15)</f>
        <v>12.479483515002812</v>
      </c>
      <c r="AW15" s="21">
        <f t="shared" ref="AW15:AW20" si="36">ABS(H15-COS(RADIANS(AU15))*K15)</f>
        <v>12.479483515002812</v>
      </c>
      <c r="AX15" s="21">
        <f>'와이드(실측)'!M15+AS15</f>
        <v>17</v>
      </c>
      <c r="AY15" s="21">
        <f>'와이드(실측)'!N15+AS15</f>
        <v>17</v>
      </c>
      <c r="AZ15" s="20">
        <f t="shared" ref="AZ15:AZ20" si="37">AV15-MAX(AX15,AY15)</f>
        <v>-4.5205164849971879</v>
      </c>
      <c r="BA15" s="41">
        <f t="shared" si="25"/>
        <v>1303</v>
      </c>
      <c r="BB15" s="42">
        <f>MAX(C15,D15)+MAX(G15,H15)+AA15-1.2*$AJ$3+IF(BI15=0,MAX(AE15,AC15),0)+IF(Y15=0,1.2,0)+IF(Z15=0,1.2,0)+IF(소장&lt;&gt;"손상민", Y15+Z15,IF('와이드(실측)'!U15=0,0,2.4))</f>
        <v>804.2</v>
      </c>
      <c r="BC15" s="41">
        <f t="shared" ref="BC15:BC20" si="38">S15+O15+MAX(I15,J15)+AB15-1.2*$AL$3+IF(BI15=0,MAX(AD15,AC15),0)+IF(S15=0,1.2,0)-IF(AR15=90,2.4,0)</f>
        <v>544.20000000000005</v>
      </c>
      <c r="BD15" s="41">
        <f t="shared" ref="BD15:BD20" si="39">MAX(U15,V15)+AG15</f>
        <v>2366.8000000000002</v>
      </c>
      <c r="BE15" s="41">
        <f t="shared" ref="BE15:BE20" si="40">T15+P15+MAX(K15,L15)+AB15-1.2*$AL$3+IF(BI15=0,MAX(AE15,AF15),0)+IF(T15=0,1.2,0)-IF(AR15=90,2.4,0)</f>
        <v>543.20000000000005</v>
      </c>
      <c r="BF15" s="41">
        <f t="shared" ref="BF15:BF20" si="41">MAX(W15,X15)+AH15</f>
        <v>2367.8000000000002</v>
      </c>
      <c r="BG15" s="6">
        <f t="shared" ref="BG15:BG28" si="42">I15-G15-Q15</f>
        <v>4.5</v>
      </c>
      <c r="BH15" s="43" t="str">
        <f t="shared" ref="BH15:BH20" si="43">IF(AND(C15&lt;&gt;D15,Y15&gt;0),"NG","")</f>
        <v/>
      </c>
      <c r="BI15" s="77">
        <f t="shared" ref="BI15:BI20" si="44">IF(AND(MIN(AC15,AE15)&gt;=9.2,ABS(F15-E15)&gt;15),0,1)</f>
        <v>1</v>
      </c>
    </row>
    <row r="16" spans="1:61" ht="26.25" customHeight="1" x14ac:dyDescent="0.3">
      <c r="A16" s="31" t="str">
        <f>'와이드(실측)'!A16</f>
        <v>2호기</v>
      </c>
      <c r="B16" s="31" t="str">
        <f>'와이드(실측)'!B16&amp;"F"</f>
        <v>1F</v>
      </c>
      <c r="C16" s="31">
        <f>'와이드(실측)'!C16+와이드MH더함-IF(AND(소장="추영덕",Y16=0),1.2)</f>
        <v>270</v>
      </c>
      <c r="D16" s="31">
        <f>'와이드(실측)'!D16+와이드MH더함-IF(AND(소장="추영덕",Y16=0),1.2)</f>
        <v>270</v>
      </c>
      <c r="E16" s="135">
        <f>'와이드(실측)'!E16-와이드OP</f>
        <v>1097</v>
      </c>
      <c r="F16" s="31">
        <f>'와이드(실측)'!F16-와이드R</f>
        <v>1224</v>
      </c>
      <c r="G16" s="50">
        <f>'와이드(실측)'!G16+와이드JBJD키움치수+IF(BI16=1,AC16,0)</f>
        <v>456</v>
      </c>
      <c r="H16" s="50">
        <f>'와이드(실측)'!H16+와이드JBJD키움치수+IF(BI16=1,AE16,0)</f>
        <v>456</v>
      </c>
      <c r="I16" s="50">
        <f>'와이드(실측)'!I16+MAX(AS16,AT16)+와이드JBJD키움치수+IF(BI16=1,AC16,0)</f>
        <v>473</v>
      </c>
      <c r="J16" s="50">
        <f>'와이드(실측)'!I16+MAX(AS16,AT16)+와이드JBJD키움치수+IF(BI16=1,AD16,0)-IF(와이드JB하부늘치=1,'와이드(실측)'!Y16-'와이드(실측)'!Z16,0)</f>
        <v>473</v>
      </c>
      <c r="K16" s="50">
        <f>'와이드(실측)'!J16+MAX(AS16,AT16)+와이드JBJD키움치수+IF(BI16=1,AE16,0)</f>
        <v>473</v>
      </c>
      <c r="L16" s="50">
        <f>'와이드(실측)'!J16+MAX(AS16,AT16)+와이드JBJD키움치수+IF(BI16=1,AF16,0)-IF(와이드JB하부늘치=1,'와이드(실측)'!AA16-'와이드(실측)'!AB16,0)</f>
        <v>473</v>
      </c>
      <c r="M16" s="31">
        <f t="shared" si="26"/>
        <v>39.5</v>
      </c>
      <c r="N16" s="31">
        <f t="shared" si="27"/>
        <v>39.5</v>
      </c>
      <c r="O16" s="31">
        <f>IF(S16&lt;9,'와이드(실측)'!K16+1.2,IF(ISNUMBER('와이드(실측)'!K16),'와이드(실측)'!K16+와이드C값,0))</f>
        <v>41</v>
      </c>
      <c r="P16" s="31">
        <f>IF(T16&lt;9,'와이드(실측)'!L16+1.2,IF(ISNUMBER('와이드(실측)'!L16),'와이드(실측)'!L16+와이드C값,0))</f>
        <v>41</v>
      </c>
      <c r="Q16" s="32">
        <f t="shared" si="28"/>
        <v>12.5</v>
      </c>
      <c r="R16" s="38">
        <f t="shared" si="29"/>
        <v>12.5</v>
      </c>
      <c r="S16" s="31">
        <f>IF(ISNUMBER('와이드(실측)'!O16),'와이드(실측)'!O16+와이드제작!AS16+와이드A늘림,0)</f>
        <v>9</v>
      </c>
      <c r="T16" s="31">
        <f>IF(ISNUMBER('와이드(실측)'!P16),'와이드(실측)'!P16+와이드제작!AT16+와이드A늘림,0)</f>
        <v>11</v>
      </c>
      <c r="U16" s="31">
        <f>'와이드(실측)'!Q16-와이드기둥차감</f>
        <v>2102</v>
      </c>
      <c r="V16" s="31">
        <f>'와이드(실측)'!R16-와이드기둥차감</f>
        <v>2089</v>
      </c>
      <c r="W16" s="31">
        <f>'와이드(실측)'!S16-와이드기둥차감</f>
        <v>2101</v>
      </c>
      <c r="X16" s="31">
        <f>'와이드(실측)'!T16-와이드기둥차감</f>
        <v>2088</v>
      </c>
      <c r="Y16" s="31">
        <f>IF(소장="손상민",IF(ISNUMBER('와이드(실측)'!U16),'와이드(실측)'!U16+1.2,0),IF(ISNUMBER('와이드(실측)'!U16),'와이드(실측)'!U16+와이드U,0))</f>
        <v>41</v>
      </c>
      <c r="Z16" s="31">
        <f>IF(소장="손상민",MAX(Q16,R16)+3.2,IF(ISNUMBER('와이드(실측)'!V16),'와이드(실측)'!V16+1.5+와이드제작!Q16+1,0))</f>
        <v>17</v>
      </c>
      <c r="AA16" s="31">
        <f>'와이드(실측)'!W16+뒷날개치수더함</f>
        <v>25</v>
      </c>
      <c r="AB16" s="31">
        <f>'와이드(실측)'!X16+뒷날개치수더함</f>
        <v>25</v>
      </c>
      <c r="AC16" s="31">
        <f>'와이드(실측)'!Y16-와이드늘치</f>
        <v>0</v>
      </c>
      <c r="AD16" s="31">
        <f>IF(와이드JB하부늘치=1,AC16,'와이드(실측)'!Z16-와이드늘치)</f>
        <v>0</v>
      </c>
      <c r="AE16" s="31">
        <f>'와이드(실측)'!AA16-와이드늘치</f>
        <v>0</v>
      </c>
      <c r="AF16" s="31">
        <f>IF(와이드JB하부늘치=1,AE16,'와이드(실측)'!AB16-와이드늘치)</f>
        <v>0</v>
      </c>
      <c r="AG16" s="31">
        <f xml:space="preserve"> IF(소장&lt;&gt;"손상민",IF('와이드(실측)'!AC16&gt;0,'와이드(실측)'!AC16,C16-1.2),IF('와이드(실측)'!AC16&gt;0,'와이드(실측)'!AC16+1.2,C16) )</f>
        <v>268.8</v>
      </c>
      <c r="AH16" s="31">
        <f xml:space="preserve"> IF(소장&lt;&gt;"손상민",IF('와이드(실측)'!AD16&gt;0,'와이드(실측)'!AD16,D16-1.2),IF('와이드(실측)'!AD16&gt;0,'와이드(실측)'!AD16+1.2,D16))</f>
        <v>268.8</v>
      </c>
      <c r="AI16" s="51">
        <f t="shared" si="30"/>
        <v>4.5</v>
      </c>
      <c r="AJ16" s="31" t="str">
        <f t="shared" si="31"/>
        <v>1303*804.2</v>
      </c>
      <c r="AK16" s="31" t="str">
        <f t="shared" si="32"/>
        <v>2370.8*543.2</v>
      </c>
      <c r="AL16" s="31" t="str">
        <f t="shared" si="33"/>
        <v>2369.8*545.2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0</v>
      </c>
      <c r="AP16" s="31">
        <f>IF('와이드(실측)'!AH16&gt;5,'와이드(실측)'!AH16+뒷날개치수더함,'와이드(실측)'!AH16)</f>
        <v>0</v>
      </c>
      <c r="AQ16" s="31">
        <f>'와이드(실측)'!AI16</f>
        <v>0</v>
      </c>
      <c r="AR16" s="31">
        <f>'와이드(실측)'!AJ16</f>
        <v>0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4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4</v>
      </c>
      <c r="AU16" s="20">
        <f t="shared" si="34"/>
        <v>7.9277068008665932</v>
      </c>
      <c r="AV16" s="21">
        <f t="shared" si="35"/>
        <v>12.479483515002812</v>
      </c>
      <c r="AW16" s="21">
        <f t="shared" si="36"/>
        <v>12.479483515002812</v>
      </c>
      <c r="AX16" s="21">
        <f>'와이드(실측)'!M16+AS16</f>
        <v>17</v>
      </c>
      <c r="AY16" s="21">
        <f>'와이드(실측)'!N16+AS16</f>
        <v>17</v>
      </c>
      <c r="AZ16" s="20">
        <f t="shared" si="37"/>
        <v>-4.5205164849971879</v>
      </c>
      <c r="BA16" s="41">
        <f t="shared" si="25"/>
        <v>1303</v>
      </c>
      <c r="BB16" s="42">
        <f>MAX(C16,D16)+MAX(G16,H16)+AA16-1.2*$AJ$3+IF(BI16=0,MAX(AE16,AC16),0)+IF(Y16=0,1.2,0)+IF(Z16=0,1.2,0)+IF(소장&lt;&gt;"손상민", Y16+Z16,IF('와이드(실측)'!U16=0,0,2.4))</f>
        <v>804.2</v>
      </c>
      <c r="BC16" s="41">
        <f t="shared" si="38"/>
        <v>543.20000000000005</v>
      </c>
      <c r="BD16" s="41">
        <f t="shared" si="39"/>
        <v>2370.8000000000002</v>
      </c>
      <c r="BE16" s="41">
        <f t="shared" si="40"/>
        <v>545.20000000000005</v>
      </c>
      <c r="BF16" s="41">
        <f t="shared" si="41"/>
        <v>2369.8000000000002</v>
      </c>
      <c r="BG16" s="6">
        <f t="shared" si="42"/>
        <v>4.5</v>
      </c>
      <c r="BH16" s="43" t="str">
        <f t="shared" si="43"/>
        <v/>
      </c>
      <c r="BI16" s="77">
        <f t="shared" si="44"/>
        <v>1</v>
      </c>
    </row>
    <row r="17" spans="1:61" ht="26.25" customHeight="1" x14ac:dyDescent="0.3">
      <c r="A17" s="31" t="str">
        <f>'와이드(실측)'!A17</f>
        <v>1호기</v>
      </c>
      <c r="B17" s="31" t="str">
        <f>'와이드(실측)'!B17&amp;"F"</f>
        <v>B1F</v>
      </c>
      <c r="C17" s="31">
        <f>'와이드(실측)'!C17+와이드MH더함-IF(AND(소장="추영덕",Y17=0),1.2)</f>
        <v>270</v>
      </c>
      <c r="D17" s="31">
        <f>'와이드(실측)'!D17+와이드MH더함-IF(AND(소장="추영덕",Y17=0),1.2)</f>
        <v>270</v>
      </c>
      <c r="E17" s="135">
        <f>'와이드(실측)'!E17-와이드OP</f>
        <v>1097</v>
      </c>
      <c r="F17" s="31">
        <f>'와이드(실측)'!F17-와이드R</f>
        <v>1221</v>
      </c>
      <c r="G17" s="50">
        <f>'와이드(실측)'!G17+와이드JBJD키움치수+IF(BI17=1,AC17,0)</f>
        <v>450</v>
      </c>
      <c r="H17" s="50">
        <f>'와이드(실측)'!H17+와이드JBJD키움치수+IF(BI17=1,AE17,0)</f>
        <v>450</v>
      </c>
      <c r="I17" s="50">
        <f>'와이드(실측)'!I17+MAX(AS17,AT17)+와이드JBJD키움치수+IF(BI17=1,AC17,0)</f>
        <v>468</v>
      </c>
      <c r="J17" s="50">
        <f>'와이드(실측)'!I17+MAX(AS17,AT17)+와이드JBJD키움치수+IF(BI17=1,AD17,0)-IF(와이드JB하부늘치=1,'와이드(실측)'!Y17-'와이드(실측)'!Z17,0)</f>
        <v>468</v>
      </c>
      <c r="K17" s="50">
        <f>'와이드(실측)'!J17+MAX(AS17,AT17)+와이드JBJD키움치수+IF(BI17=1,AE17,0)</f>
        <v>468</v>
      </c>
      <c r="L17" s="50">
        <f>'와이드(실측)'!J17+MAX(AS17,AT17)+와이드JBJD키움치수+IF(BI17=1,AF17,0)-IF(와이드JB하부늘치=1,'와이드(실측)'!AA17-'와이드(실측)'!AB17,0)</f>
        <v>468</v>
      </c>
      <c r="M17" s="31">
        <f t="shared" si="26"/>
        <v>39.5</v>
      </c>
      <c r="N17" s="31">
        <f t="shared" si="27"/>
        <v>39.5</v>
      </c>
      <c r="O17" s="31">
        <f>IF(S17&lt;9,'와이드(실측)'!K17+1.2,IF(ISNUMBER('와이드(실측)'!K17),'와이드(실측)'!K17+와이드C값,0))</f>
        <v>41</v>
      </c>
      <c r="P17" s="31">
        <f>IF(T17&lt;9,'와이드(실측)'!L17+1.2,IF(ISNUMBER('와이드(실측)'!L17),'와이드(실측)'!L17+와이드C값,0))</f>
        <v>41</v>
      </c>
      <c r="Q17" s="32">
        <f t="shared" si="28"/>
        <v>13.7</v>
      </c>
      <c r="R17" s="38">
        <f t="shared" si="29"/>
        <v>13.7</v>
      </c>
      <c r="S17" s="31">
        <f>IF(ISNUMBER('와이드(실측)'!O17),'와이드(실측)'!O17+와이드제작!AS17+와이드A늘림,0)</f>
        <v>10</v>
      </c>
      <c r="T17" s="31">
        <f>IF(ISNUMBER('와이드(실측)'!P17),'와이드(실측)'!P17+와이드제작!AT17+와이드A늘림,0)</f>
        <v>9</v>
      </c>
      <c r="U17" s="31">
        <f>'와이드(실측)'!Q17-와이드기둥차감</f>
        <v>2109</v>
      </c>
      <c r="V17" s="31">
        <f>'와이드(실측)'!R17-와이드기둥차감</f>
        <v>2089</v>
      </c>
      <c r="W17" s="31">
        <f>'와이드(실측)'!S17-와이드기둥차감</f>
        <v>2109</v>
      </c>
      <c r="X17" s="31">
        <f>'와이드(실측)'!T17-와이드기둥차감</f>
        <v>2089</v>
      </c>
      <c r="Y17" s="31">
        <f>IF(소장="손상민",IF(ISNUMBER('와이드(실측)'!U17),'와이드(실측)'!U17+1.2,0),IF(ISNUMBER('와이드(실측)'!U17),'와이드(실측)'!U17+와이드U,0))</f>
        <v>41</v>
      </c>
      <c r="Z17" s="31">
        <f>IF(소장="손상민",MAX(Q17,R17)+3.2,IF(ISNUMBER('와이드(실측)'!V17),'와이드(실측)'!V17+1.5+와이드제작!Q17+1,0))</f>
        <v>18.2</v>
      </c>
      <c r="AA17" s="31">
        <f>'와이드(실측)'!W17+뒷날개치수더함</f>
        <v>25</v>
      </c>
      <c r="AB17" s="31">
        <f>'와이드(실측)'!X17+뒷날개치수더함</f>
        <v>25</v>
      </c>
      <c r="AC17" s="31">
        <f>'와이드(실측)'!Y17-와이드늘치</f>
        <v>0</v>
      </c>
      <c r="AD17" s="31">
        <f>IF(와이드JB하부늘치=1,AC17,'와이드(실측)'!Z17-와이드늘치)</f>
        <v>0</v>
      </c>
      <c r="AE17" s="31">
        <f>'와이드(실측)'!AA17-와이드늘치</f>
        <v>0</v>
      </c>
      <c r="AF17" s="31">
        <f>IF(와이드JB하부늘치=1,AE17,'와이드(실측)'!AB17-와이드늘치)</f>
        <v>0</v>
      </c>
      <c r="AG17" s="31">
        <f xml:space="preserve"> IF(소장&lt;&gt;"손상민",IF('와이드(실측)'!AC17&gt;0,'와이드(실측)'!AC17,C17-1.2),IF('와이드(실측)'!AC17&gt;0,'와이드(실측)'!AC17+1.2,C17) )</f>
        <v>268.8</v>
      </c>
      <c r="AH17" s="31">
        <f xml:space="preserve"> IF(소장&lt;&gt;"손상민",IF('와이드(실측)'!AD17&gt;0,'와이드(실측)'!AD17,D17-1.2),IF('와이드(실측)'!AD17&gt;0,'와이드(실측)'!AD17+1.2,D17))</f>
        <v>268.8</v>
      </c>
      <c r="AI17" s="51">
        <f t="shared" si="30"/>
        <v>4.5</v>
      </c>
      <c r="AJ17" s="31" t="str">
        <f t="shared" si="31"/>
        <v>1300*799.4</v>
      </c>
      <c r="AK17" s="31" t="str">
        <f t="shared" si="32"/>
        <v>2377.8*539.2</v>
      </c>
      <c r="AL17" s="31" t="str">
        <f t="shared" si="33"/>
        <v>2377.8*538.2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0</v>
      </c>
      <c r="AP17" s="31">
        <f>IF('와이드(실측)'!AH17&gt;5,'와이드(실측)'!AH17+뒷날개치수더함,'와이드(실측)'!AH17)</f>
        <v>0</v>
      </c>
      <c r="AQ17" s="31">
        <f>'와이드(실측)'!AI17</f>
        <v>0</v>
      </c>
      <c r="AR17" s="31">
        <f>'와이드(실측)'!AJ17</f>
        <v>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5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5</v>
      </c>
      <c r="AU17" s="20">
        <f t="shared" si="34"/>
        <v>7.8446960995295685</v>
      </c>
      <c r="AV17" s="21">
        <f t="shared" si="35"/>
        <v>13.620300673936697</v>
      </c>
      <c r="AW17" s="21">
        <f t="shared" si="36"/>
        <v>13.620300673936697</v>
      </c>
      <c r="AX17" s="21">
        <f>'와이드(실측)'!M17+AS17</f>
        <v>17</v>
      </c>
      <c r="AY17" s="21">
        <f>'와이드(실측)'!N17+AS17</f>
        <v>17</v>
      </c>
      <c r="AZ17" s="20">
        <f t="shared" si="37"/>
        <v>-3.379699326063303</v>
      </c>
      <c r="BA17" s="41">
        <f t="shared" si="25"/>
        <v>1300</v>
      </c>
      <c r="BB17" s="42">
        <f>MAX(C17,D17)+MAX(G17,H17)+AA17-1.2*$AJ$3+IF(BI17=0,MAX(AE17,AC17),0)+IF(Y17=0,1.2,0)+IF(Z17=0,1.2,0)+IF(소장&lt;&gt;"손상민", Y17+Z17,IF('와이드(실측)'!U17=0,0,2.4))</f>
        <v>799.40000000000009</v>
      </c>
      <c r="BC17" s="41">
        <f t="shared" si="38"/>
        <v>539.20000000000005</v>
      </c>
      <c r="BD17" s="41">
        <f t="shared" si="39"/>
        <v>2377.8000000000002</v>
      </c>
      <c r="BE17" s="41">
        <f t="shared" si="40"/>
        <v>538.20000000000005</v>
      </c>
      <c r="BF17" s="41">
        <f t="shared" si="41"/>
        <v>2377.8000000000002</v>
      </c>
      <c r="BG17" s="6">
        <f t="shared" si="42"/>
        <v>4.3000000000000007</v>
      </c>
      <c r="BH17" s="43" t="str">
        <f t="shared" si="43"/>
        <v/>
      </c>
      <c r="BI17" s="77">
        <f t="shared" si="44"/>
        <v>1</v>
      </c>
    </row>
    <row r="18" spans="1:61" ht="26.25" customHeight="1" x14ac:dyDescent="0.3">
      <c r="A18" s="31" t="str">
        <f>'와이드(실측)'!A18</f>
        <v>2호기</v>
      </c>
      <c r="B18" s="31" t="str">
        <f>'와이드(실측)'!B18&amp;"F"</f>
        <v>B1F</v>
      </c>
      <c r="C18" s="31">
        <f>'와이드(실측)'!C18+와이드MH더함-IF(AND(소장="추영덕",Y18=0),1.2)</f>
        <v>270</v>
      </c>
      <c r="D18" s="31">
        <f>'와이드(실측)'!D18+와이드MH더함-IF(AND(소장="추영덕",Y18=0),1.2)</f>
        <v>270</v>
      </c>
      <c r="E18" s="135">
        <f>'와이드(실측)'!E18-와이드OP</f>
        <v>1097</v>
      </c>
      <c r="F18" s="31">
        <f>'와이드(실측)'!F18-와이드R</f>
        <v>1221</v>
      </c>
      <c r="G18" s="50">
        <f>'와이드(실측)'!G18+와이드JBJD키움치수+IF(BI18=1,AC18,0)</f>
        <v>451</v>
      </c>
      <c r="H18" s="50">
        <f>'와이드(실측)'!H18+와이드JBJD키움치수+IF(BI18=1,AE18,0)</f>
        <v>451</v>
      </c>
      <c r="I18" s="50">
        <f>'와이드(실측)'!I18+MAX(AS18,AT18)+와이드JBJD키움치수+IF(BI18=1,AC18,0)</f>
        <v>467</v>
      </c>
      <c r="J18" s="50">
        <f>'와이드(실측)'!I18+MAX(AS18,AT18)+와이드JBJD키움치수+IF(BI18=1,AD18,0)-IF(와이드JB하부늘치=1,'와이드(실측)'!Y18-'와이드(실측)'!Z18,0)</f>
        <v>467</v>
      </c>
      <c r="K18" s="50">
        <f>'와이드(실측)'!J18+MAX(AS18,AT18)+와이드JBJD키움치수+IF(BI18=1,AE18,0)</f>
        <v>467</v>
      </c>
      <c r="L18" s="50">
        <f>'와이드(실측)'!J18+MAX(AS18,AT18)+와이드JBJD키움치수+IF(BI18=1,AF18,0)-IF(와이드JB하부늘치=1,'와이드(실측)'!AA18-'와이드(실측)'!AB18,0)</f>
        <v>467</v>
      </c>
      <c r="M18" s="31">
        <f t="shared" si="26"/>
        <v>39.5</v>
      </c>
      <c r="N18" s="31">
        <f t="shared" si="27"/>
        <v>39.5</v>
      </c>
      <c r="O18" s="31">
        <f>IF(S18&lt;9,'와이드(실측)'!K18+1.2,IF(ISNUMBER('와이드(실측)'!K18),'와이드(실측)'!K18+와이드C값,0))</f>
        <v>41</v>
      </c>
      <c r="P18" s="31">
        <f>IF(T18&lt;9,'와이드(실측)'!L18+1.2,IF(ISNUMBER('와이드(실측)'!L18),'와이드(실측)'!L18+와이드C값,0))</f>
        <v>41</v>
      </c>
      <c r="Q18" s="32">
        <f t="shared" si="28"/>
        <v>11.7</v>
      </c>
      <c r="R18" s="38">
        <f t="shared" si="29"/>
        <v>11.7</v>
      </c>
      <c r="S18" s="31">
        <f>IF(ISNUMBER('와이드(실측)'!O18),'와이드(실측)'!O18+와이드제작!AS18+와이드A늘림,0)</f>
        <v>9</v>
      </c>
      <c r="T18" s="31">
        <f>IF(ISNUMBER('와이드(실측)'!P18),'와이드(실측)'!P18+와이드제작!AT18+와이드A늘림,0)</f>
        <v>9</v>
      </c>
      <c r="U18" s="31">
        <f>'와이드(실측)'!Q18-와이드기둥차감</f>
        <v>2107</v>
      </c>
      <c r="V18" s="31">
        <f>'와이드(실측)'!R18-와이드기둥차감</f>
        <v>2090</v>
      </c>
      <c r="W18" s="31">
        <f>'와이드(실측)'!S18-와이드기둥차감</f>
        <v>2107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41</v>
      </c>
      <c r="Z18" s="31">
        <f>IF(소장="손상민",MAX(Q18,R18)+3.2,IF(ISNUMBER('와이드(실측)'!V18),'와이드(실측)'!V18+1.5+와이드제작!Q18+1,0))</f>
        <v>16.2</v>
      </c>
      <c r="AA18" s="31">
        <f>'와이드(실측)'!W18+뒷날개치수더함</f>
        <v>25</v>
      </c>
      <c r="AB18" s="31">
        <f>'와이드(실측)'!X18+뒷날개치수더함</f>
        <v>25</v>
      </c>
      <c r="AC18" s="31">
        <f>'와이드(실측)'!Y18-와이드늘치</f>
        <v>0</v>
      </c>
      <c r="AD18" s="31">
        <f>IF(와이드JB하부늘치=1,AC18,'와이드(실측)'!Z18-와이드늘치)</f>
        <v>0</v>
      </c>
      <c r="AE18" s="31">
        <f>'와이드(실측)'!AA18-와이드늘치</f>
        <v>0</v>
      </c>
      <c r="AF18" s="31">
        <f>IF(와이드JB하부늘치=1,AE18,'와이드(실측)'!AB18-와이드늘치)</f>
        <v>0</v>
      </c>
      <c r="AG18" s="31">
        <f xml:space="preserve"> IF(소장&lt;&gt;"손상민",IF('와이드(실측)'!AC18&gt;0,'와이드(실측)'!AC18,C18-1.2),IF('와이드(실측)'!AC18&gt;0,'와이드(실측)'!AC18+1.2,C18) )</f>
        <v>268.8</v>
      </c>
      <c r="AH18" s="31">
        <f xml:space="preserve"> IF(소장&lt;&gt;"손상민",IF('와이드(실측)'!AD18&gt;0,'와이드(실측)'!AD18,D18-1.2),IF('와이드(실측)'!AD18&gt;0,'와이드(실측)'!AD18+1.2,D18))</f>
        <v>268.8</v>
      </c>
      <c r="AI18" s="51">
        <f t="shared" si="30"/>
        <v>4.5</v>
      </c>
      <c r="AJ18" s="31" t="str">
        <f t="shared" si="31"/>
        <v>1300*798.4</v>
      </c>
      <c r="AK18" s="31" t="str">
        <f t="shared" si="32"/>
        <v>2375.8*537.2</v>
      </c>
      <c r="AL18" s="31" t="str">
        <f t="shared" si="33"/>
        <v>2375.8*537.2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0</v>
      </c>
      <c r="AP18" s="31">
        <f>IF('와이드(실측)'!AH18&gt;5,'와이드(실측)'!AH18+뒷날개치수더함,'와이드(실측)'!AH18)</f>
        <v>0</v>
      </c>
      <c r="AQ18" s="31">
        <f>'와이드(실측)'!AI18</f>
        <v>0</v>
      </c>
      <c r="AR18" s="31">
        <f>'와이드(실측)'!AJ18</f>
        <v>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3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3</v>
      </c>
      <c r="AU18" s="20">
        <f t="shared" si="34"/>
        <v>7.827517950147227</v>
      </c>
      <c r="AV18" s="21">
        <f t="shared" si="35"/>
        <v>11.648748463792458</v>
      </c>
      <c r="AW18" s="21">
        <f t="shared" si="36"/>
        <v>11.648748463792458</v>
      </c>
      <c r="AX18" s="21">
        <f>'와이드(실측)'!M18+AS18</f>
        <v>15</v>
      </c>
      <c r="AY18" s="21">
        <f>'와이드(실측)'!N18+AS18</f>
        <v>15</v>
      </c>
      <c r="AZ18" s="20">
        <f t="shared" si="37"/>
        <v>-3.3512515362075419</v>
      </c>
      <c r="BA18" s="41">
        <f t="shared" si="25"/>
        <v>1300</v>
      </c>
      <c r="BB18" s="42">
        <f>MAX(C18,D18)+MAX(G18,H18)+AA18-1.2*$AJ$3+IF(BI18=0,MAX(AE18,AC18),0)+IF(Y18=0,1.2,0)+IF(Z18=0,1.2,0)+IF(소장&lt;&gt;"손상민", Y18+Z18,IF('와이드(실측)'!U18=0,0,2.4))</f>
        <v>798.40000000000009</v>
      </c>
      <c r="BC18" s="41">
        <f t="shared" si="38"/>
        <v>537.20000000000005</v>
      </c>
      <c r="BD18" s="41">
        <f t="shared" si="39"/>
        <v>2375.8000000000002</v>
      </c>
      <c r="BE18" s="41">
        <f t="shared" si="40"/>
        <v>537.20000000000005</v>
      </c>
      <c r="BF18" s="41">
        <f t="shared" si="41"/>
        <v>2375.8000000000002</v>
      </c>
      <c r="BG18" s="6">
        <f t="shared" si="42"/>
        <v>4.3000000000000007</v>
      </c>
      <c r="BH18" s="43" t="str">
        <f t="shared" si="43"/>
        <v/>
      </c>
      <c r="BI18" s="77">
        <f t="shared" si="44"/>
        <v>1</v>
      </c>
    </row>
    <row r="19" spans="1:61" ht="26.25" customHeight="1" x14ac:dyDescent="0.3">
      <c r="A19" s="31" t="str">
        <f>'와이드(실측)'!A19</f>
        <v>1호기</v>
      </c>
      <c r="B19" s="31" t="str">
        <f>'와이드(실측)'!B19&amp;"F"</f>
        <v>1F</v>
      </c>
      <c r="C19" s="31">
        <f>'와이드(실측)'!C19+와이드MH더함-IF(AND(소장="추영덕",Y19=0),1.2)</f>
        <v>270</v>
      </c>
      <c r="D19" s="31">
        <f>'와이드(실측)'!D19+와이드MH더함-IF(AND(소장="추영덕",Y19=0),1.2)</f>
        <v>270</v>
      </c>
      <c r="E19" s="135">
        <f>'와이드(실측)'!E19-와이드OP</f>
        <v>1097</v>
      </c>
      <c r="F19" s="31">
        <f>'와이드(실측)'!F19-와이드R</f>
        <v>1219</v>
      </c>
      <c r="G19" s="50">
        <f>'와이드(실측)'!G19+와이드JBJD키움치수+IF(BI19=1,AC19,0)</f>
        <v>434</v>
      </c>
      <c r="H19" s="50">
        <f>'와이드(실측)'!H19+와이드JBJD키움치수+IF(BI19=1,AE19,0)</f>
        <v>434</v>
      </c>
      <c r="I19" s="50">
        <f>'와이드(실측)'!I19+MAX(AS19,AT19)+와이드JBJD키움치수+IF(BI19=1,AC19,0)</f>
        <v>453</v>
      </c>
      <c r="J19" s="50">
        <f>'와이드(실측)'!I19+MAX(AS19,AT19)+와이드JBJD키움치수+IF(BI19=1,AD19,0)-IF(와이드JB하부늘치=1,'와이드(실측)'!Y19-'와이드(실측)'!Z19,0)</f>
        <v>453</v>
      </c>
      <c r="K19" s="50">
        <f>'와이드(실측)'!J19+MAX(AS19,AT19)+와이드JBJD키움치수+IF(BI19=1,AE19,0)</f>
        <v>453</v>
      </c>
      <c r="L19" s="50">
        <f>'와이드(실측)'!J19+MAX(AS19,AT19)+와이드JBJD키움치수+IF(BI19=1,AF19,0)-IF(와이드JB하부늘치=1,'와이드(실측)'!AA19-'와이드(실측)'!AB19,0)</f>
        <v>453</v>
      </c>
      <c r="M19" s="31">
        <f t="shared" si="26"/>
        <v>39.5</v>
      </c>
      <c r="N19" s="31">
        <f t="shared" si="27"/>
        <v>39.5</v>
      </c>
      <c r="O19" s="31">
        <f>IF(S19&lt;9,'와이드(실측)'!K19+1.2,IF(ISNUMBER('와이드(실측)'!K19),'와이드(실측)'!K19+와이드C값,0))</f>
        <v>41</v>
      </c>
      <c r="P19" s="31">
        <f>IF(T19&lt;9,'와이드(실측)'!L19+1.2,IF(ISNUMBER('와이드(실측)'!L19),'와이드(실측)'!L19+와이드C값,0))</f>
        <v>41</v>
      </c>
      <c r="Q19" s="32">
        <f t="shared" si="28"/>
        <v>14.6</v>
      </c>
      <c r="R19" s="38">
        <f t="shared" si="29"/>
        <v>14.6</v>
      </c>
      <c r="S19" s="31">
        <f>IF(ISNUMBER('와이드(실측)'!O19),'와이드(실측)'!O19+와이드제작!AS19+와이드A늘림,0)</f>
        <v>9</v>
      </c>
      <c r="T19" s="31">
        <f>IF(ISNUMBER('와이드(실측)'!P19),'와이드(실측)'!P19+와이드제작!AT19+와이드A늘림,0)</f>
        <v>9</v>
      </c>
      <c r="U19" s="31">
        <f>'와이드(실측)'!Q19-와이드기둥차감</f>
        <v>2099</v>
      </c>
      <c r="V19" s="31">
        <f>'와이드(실측)'!R19-와이드기둥차감</f>
        <v>2090</v>
      </c>
      <c r="W19" s="31">
        <f>'와이드(실측)'!S19-와이드기둥차감</f>
        <v>2099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41</v>
      </c>
      <c r="Z19" s="31">
        <f>IF(소장="손상민",MAX(Q19,R19)+3.2,IF(ISNUMBER('와이드(실측)'!V19),'와이드(실측)'!V19+1.5+와이드제작!Q19+1,0))</f>
        <v>19.100000000000001</v>
      </c>
      <c r="AA19" s="31">
        <f>'와이드(실측)'!W19+뒷날개치수더함</f>
        <v>25</v>
      </c>
      <c r="AB19" s="31">
        <f>'와이드(실측)'!X19+뒷날개치수더함</f>
        <v>25</v>
      </c>
      <c r="AC19" s="31">
        <f>'와이드(실측)'!Y19-와이드늘치</f>
        <v>0</v>
      </c>
      <c r="AD19" s="31">
        <f>IF(와이드JB하부늘치=1,AC19,'와이드(실측)'!Z19-와이드늘치)</f>
        <v>0</v>
      </c>
      <c r="AE19" s="31">
        <f>'와이드(실측)'!AA19-와이드늘치</f>
        <v>0</v>
      </c>
      <c r="AF19" s="31">
        <f>IF(와이드JB하부늘치=1,AE19,'와이드(실측)'!AB19-와이드늘치)</f>
        <v>0</v>
      </c>
      <c r="AG19" s="31">
        <f xml:space="preserve"> IF(소장&lt;&gt;"손상민",IF('와이드(실측)'!AC19&gt;0,'와이드(실측)'!AC19,C19-1.2),IF('와이드(실측)'!AC19&gt;0,'와이드(실측)'!AC19+1.2,C19) )</f>
        <v>268.8</v>
      </c>
      <c r="AH19" s="31">
        <f xml:space="preserve"> IF(소장&lt;&gt;"손상민",IF('와이드(실측)'!AD19&gt;0,'와이드(실측)'!AD19,D19-1.2),IF('와이드(실측)'!AD19&gt;0,'와이드(실측)'!AD19+1.2,D19))</f>
        <v>268.8</v>
      </c>
      <c r="AI19" s="51">
        <f t="shared" si="30"/>
        <v>4.5000000000000018</v>
      </c>
      <c r="AJ19" s="31" t="str">
        <f t="shared" si="31"/>
        <v>1298*784.3</v>
      </c>
      <c r="AK19" s="31" t="str">
        <f t="shared" si="32"/>
        <v>2367.8*523.2</v>
      </c>
      <c r="AL19" s="31" t="str">
        <f t="shared" si="33"/>
        <v>2367.8*523.2</v>
      </c>
      <c r="AM19" s="31">
        <f>IF('와이드(실측)'!AE19&gt;0,'와이드(실측)'!AE19-'와이드(실측)'!W19+1.2,0)</f>
        <v>0</v>
      </c>
      <c r="AN19" s="31">
        <f>IF('와이드(실측)'!AF19&gt;0,'와이드(실측)'!AF19-'와이드(실측)'!W19+1.2,0)</f>
        <v>0</v>
      </c>
      <c r="AO19" s="31">
        <f>'와이드(실측)'!AG19</f>
        <v>0</v>
      </c>
      <c r="AP19" s="31">
        <f>IF('와이드(실측)'!AH19&gt;5,'와이드(실측)'!AH19+뒷날개치수더함,'와이드(실측)'!AH19)</f>
        <v>0</v>
      </c>
      <c r="AQ19" s="31">
        <f>'와이드(실측)'!AI19</f>
        <v>0</v>
      </c>
      <c r="AR19" s="31">
        <f>'와이드(실측)'!AJ19</f>
        <v>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6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6</v>
      </c>
      <c r="AU19" s="20">
        <f t="shared" si="34"/>
        <v>8.000683259452229</v>
      </c>
      <c r="AV19" s="21">
        <f t="shared" si="35"/>
        <v>14.590683283451654</v>
      </c>
      <c r="AW19" s="21">
        <f t="shared" si="36"/>
        <v>14.590683283451654</v>
      </c>
      <c r="AX19" s="21">
        <f>'와이드(실측)'!M19+AS19</f>
        <v>14</v>
      </c>
      <c r="AY19" s="21">
        <f>'와이드(실측)'!N19+AS19</f>
        <v>14</v>
      </c>
      <c r="AZ19" s="20">
        <f t="shared" si="37"/>
        <v>0.59068328345165355</v>
      </c>
      <c r="BA19" s="41">
        <f t="shared" si="25"/>
        <v>1298</v>
      </c>
      <c r="BB19" s="42">
        <f>MAX(C19,D19)+MAX(G19,H19)+AA19-1.2*$AJ$3+IF(BI19=0,MAX(AE19,AC19),0)+IF(Y19=0,1.2,0)+IF(Z19=0,1.2,0)+IF(소장&lt;&gt;"손상민", Y19+Z19,IF('와이드(실측)'!U19=0,0,2.4))</f>
        <v>784.30000000000007</v>
      </c>
      <c r="BC19" s="41">
        <f t="shared" si="38"/>
        <v>523.20000000000005</v>
      </c>
      <c r="BD19" s="41">
        <f t="shared" si="39"/>
        <v>2367.8000000000002</v>
      </c>
      <c r="BE19" s="41">
        <f t="shared" si="40"/>
        <v>523.20000000000005</v>
      </c>
      <c r="BF19" s="41">
        <f t="shared" si="41"/>
        <v>2367.8000000000002</v>
      </c>
      <c r="BG19" s="6">
        <f t="shared" si="42"/>
        <v>4.4000000000000004</v>
      </c>
      <c r="BH19" s="43" t="str">
        <f t="shared" si="43"/>
        <v/>
      </c>
      <c r="BI19" s="77">
        <f t="shared" si="44"/>
        <v>1</v>
      </c>
    </row>
    <row r="20" spans="1:61" ht="26.25" customHeight="1" x14ac:dyDescent="0.3">
      <c r="A20" s="31" t="str">
        <f>'와이드(실측)'!A20</f>
        <v>2호기</v>
      </c>
      <c r="B20" s="31" t="str">
        <f>'와이드(실측)'!B20&amp;"F"</f>
        <v>1F</v>
      </c>
      <c r="C20" s="31">
        <f>'와이드(실측)'!C20+와이드MH더함-IF(AND(소장="추영덕",Y20=0),1.2)</f>
        <v>270</v>
      </c>
      <c r="D20" s="31">
        <f>'와이드(실측)'!D20+와이드MH더함-IF(AND(소장="추영덕",Y20=0),1.2)</f>
        <v>270</v>
      </c>
      <c r="E20" s="135">
        <f>'와이드(실측)'!E20-와이드OP</f>
        <v>1097</v>
      </c>
      <c r="F20" s="31">
        <f>'와이드(실측)'!F20-와이드R</f>
        <v>1219</v>
      </c>
      <c r="G20" s="50">
        <f>'와이드(실측)'!G20+와이드JBJD키움치수+IF(BI20=1,AC20,0)</f>
        <v>436</v>
      </c>
      <c r="H20" s="50">
        <f>'와이드(실측)'!H20+와이드JBJD키움치수+IF(BI20=1,AE20,0)</f>
        <v>436</v>
      </c>
      <c r="I20" s="50">
        <f>'와이드(실측)'!I20+MAX(AS20,AT20)+와이드JBJD키움치수+IF(BI20=1,AC20,0)</f>
        <v>453</v>
      </c>
      <c r="J20" s="50">
        <f>'와이드(실측)'!I20+MAX(AS20,AT20)+와이드JBJD키움치수+IF(BI20=1,AD20,0)-IF(와이드JB하부늘치=1,'와이드(실측)'!Y20-'와이드(실측)'!Z20,0)</f>
        <v>453</v>
      </c>
      <c r="K20" s="50">
        <f>'와이드(실측)'!J20+MAX(AS20,AT20)+와이드JBJD키움치수+IF(BI20=1,AE20,0)</f>
        <v>453</v>
      </c>
      <c r="L20" s="50">
        <f>'와이드(실측)'!J20+MAX(AS20,AT20)+와이드JBJD키움치수+IF(BI20=1,AF20,0)-IF(와이드JB하부늘치=1,'와이드(실측)'!AA20-'와이드(실측)'!AB20,0)</f>
        <v>453</v>
      </c>
      <c r="M20" s="31">
        <f t="shared" si="26"/>
        <v>39.5</v>
      </c>
      <c r="N20" s="31">
        <f t="shared" si="27"/>
        <v>39.5</v>
      </c>
      <c r="O20" s="31">
        <f>IF(S20&lt;9,'와이드(실측)'!K20+1.2,IF(ISNUMBER('와이드(실측)'!K20),'와이드(실측)'!K20+와이드C값,0))</f>
        <v>41</v>
      </c>
      <c r="P20" s="31">
        <f>IF(T20&lt;9,'와이드(실측)'!L20+1.2,IF(ISNUMBER('와이드(실측)'!L20),'와이드(실측)'!L20+와이드C값,0))</f>
        <v>41</v>
      </c>
      <c r="Q20" s="32">
        <f t="shared" si="28"/>
        <v>12.7</v>
      </c>
      <c r="R20" s="38">
        <f t="shared" si="29"/>
        <v>12.7</v>
      </c>
      <c r="S20" s="31">
        <f>IF(ISNUMBER('와이드(실측)'!O20),'와이드(실측)'!O20+와이드제작!AS20+와이드A늘림,0)</f>
        <v>9</v>
      </c>
      <c r="T20" s="31">
        <f>IF(ISNUMBER('와이드(실측)'!P20),'와이드(실측)'!P20+와이드제작!AT20+와이드A늘림,0)</f>
        <v>9</v>
      </c>
      <c r="U20" s="31">
        <f>'와이드(실측)'!Q20-와이드기둥차감</f>
        <v>2101</v>
      </c>
      <c r="V20" s="31">
        <f>'와이드(실측)'!R20-와이드기둥차감</f>
        <v>2091</v>
      </c>
      <c r="W20" s="31">
        <f>'와이드(실측)'!S20-와이드기둥차감</f>
        <v>2101</v>
      </c>
      <c r="X20" s="31">
        <f>'와이드(실측)'!T20-와이드기둥차감</f>
        <v>2091</v>
      </c>
      <c r="Y20" s="31">
        <f>IF(소장="손상민",IF(ISNUMBER('와이드(실측)'!U20),'와이드(실측)'!U20+1.2,0),IF(ISNUMBER('와이드(실측)'!U20),'와이드(실측)'!U20+와이드U,0))</f>
        <v>41</v>
      </c>
      <c r="Z20" s="31">
        <f>IF(소장="손상민",MAX(Q20,R20)+3.2,IF(ISNUMBER('와이드(실측)'!V20),'와이드(실측)'!V20+1.5+와이드제작!Q20+1,0))</f>
        <v>17.2</v>
      </c>
      <c r="AA20" s="31">
        <f>'와이드(실측)'!W20+뒷날개치수더함</f>
        <v>25</v>
      </c>
      <c r="AB20" s="31">
        <f>'와이드(실측)'!X20+뒷날개치수더함</f>
        <v>25</v>
      </c>
      <c r="AC20" s="31">
        <f>'와이드(실측)'!Y20-와이드늘치</f>
        <v>0</v>
      </c>
      <c r="AD20" s="31">
        <f>IF(와이드JB하부늘치=1,AC20,'와이드(실측)'!Z20-와이드늘치)</f>
        <v>0</v>
      </c>
      <c r="AE20" s="31">
        <f>'와이드(실측)'!AA20-와이드늘치</f>
        <v>0</v>
      </c>
      <c r="AF20" s="31">
        <f>IF(와이드JB하부늘치=1,AE20,'와이드(실측)'!AB20-와이드늘치)</f>
        <v>0</v>
      </c>
      <c r="AG20" s="31">
        <f xml:space="preserve"> IF(소장&lt;&gt;"손상민",IF('와이드(실측)'!AC20&gt;0,'와이드(실측)'!AC20,C20-1.2),IF('와이드(실측)'!AC20&gt;0,'와이드(실측)'!AC20+1.2,C20) )</f>
        <v>268.8</v>
      </c>
      <c r="AH20" s="31">
        <f xml:space="preserve"> IF(소장&lt;&gt;"손상민",IF('와이드(실측)'!AD20&gt;0,'와이드(실측)'!AD20,D20-1.2),IF('와이드(실측)'!AD20&gt;0,'와이드(실측)'!AD20+1.2,D20))</f>
        <v>268.8</v>
      </c>
      <c r="AI20" s="51">
        <f t="shared" si="30"/>
        <v>4.5</v>
      </c>
      <c r="AJ20" s="31" t="str">
        <f t="shared" si="31"/>
        <v>1298*784.4</v>
      </c>
      <c r="AK20" s="31" t="str">
        <f t="shared" si="32"/>
        <v>2369.8*523.2</v>
      </c>
      <c r="AL20" s="31" t="str">
        <f t="shared" si="33"/>
        <v>2369.8*523.2</v>
      </c>
      <c r="AM20" s="31">
        <f>IF('와이드(실측)'!AE20&gt;0,'와이드(실측)'!AE20-'와이드(실측)'!W20+1.2,0)</f>
        <v>0</v>
      </c>
      <c r="AN20" s="31">
        <f>IF('와이드(실측)'!AF20&gt;0,'와이드(실측)'!AF20-'와이드(실측)'!W20+1.2,0)</f>
        <v>0</v>
      </c>
      <c r="AO20" s="31">
        <f>'와이드(실측)'!AG20</f>
        <v>0</v>
      </c>
      <c r="AP20" s="31">
        <f>IF('와이드(실측)'!AH20&gt;5,'와이드(실측)'!AH20+뒷날개치수더함,'와이드(실측)'!AH20)</f>
        <v>0</v>
      </c>
      <c r="AQ20" s="31">
        <f>'와이드(실측)'!AI20</f>
        <v>0</v>
      </c>
      <c r="AR20" s="31">
        <f>'와이드(실측)'!AJ20</f>
        <v>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4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4</v>
      </c>
      <c r="AU20" s="20">
        <f t="shared" si="34"/>
        <v>7.9644548826141159</v>
      </c>
      <c r="AV20" s="21">
        <f t="shared" si="35"/>
        <v>12.630460884857541</v>
      </c>
      <c r="AW20" s="21">
        <f t="shared" si="36"/>
        <v>12.630460884857541</v>
      </c>
      <c r="AX20" s="21">
        <f>'와이드(실측)'!M20+AS20</f>
        <v>15</v>
      </c>
      <c r="AY20" s="21">
        <f>'와이드(실측)'!N20+AS20</f>
        <v>15</v>
      </c>
      <c r="AZ20" s="20">
        <f t="shared" si="37"/>
        <v>-2.3695391151424587</v>
      </c>
      <c r="BA20" s="41">
        <f t="shared" si="25"/>
        <v>1298</v>
      </c>
      <c r="BB20" s="42">
        <f>MAX(C20,D20)+MAX(G20,H20)+AA20-1.2*$AJ$3+IF(BI20=0,MAX(AE20,AC20),0)+IF(Y20=0,1.2,0)+IF(Z20=0,1.2,0)+IF(소장&lt;&gt;"손상민", Y20+Z20,IF('와이드(실측)'!U20=0,0,2.4))</f>
        <v>784.40000000000009</v>
      </c>
      <c r="BC20" s="41">
        <f t="shared" si="38"/>
        <v>523.20000000000005</v>
      </c>
      <c r="BD20" s="41">
        <f t="shared" si="39"/>
        <v>2369.8000000000002</v>
      </c>
      <c r="BE20" s="41">
        <f t="shared" si="40"/>
        <v>523.20000000000005</v>
      </c>
      <c r="BF20" s="41">
        <f t="shared" si="41"/>
        <v>2369.8000000000002</v>
      </c>
      <c r="BG20" s="6">
        <f t="shared" si="42"/>
        <v>4.3000000000000007</v>
      </c>
      <c r="BH20" s="43" t="str">
        <f t="shared" si="43"/>
        <v/>
      </c>
      <c r="BI20" s="77">
        <f t="shared" si="44"/>
        <v>1</v>
      </c>
    </row>
    <row r="21" spans="1:61" ht="26.25" customHeight="1" x14ac:dyDescent="0.3">
      <c r="A21" s="31" t="str">
        <f>'와이드(실측)'!A21</f>
        <v>1호기</v>
      </c>
      <c r="B21" s="31" t="str">
        <f>'와이드(실측)'!B21&amp;"F"</f>
        <v>B1F</v>
      </c>
      <c r="C21" s="31">
        <f>'와이드(실측)'!C21+와이드MH더함-IF(AND(소장="추영덕",Y21=0),1.2)</f>
        <v>270</v>
      </c>
      <c r="D21" s="31">
        <f>'와이드(실측)'!D21+와이드MH더함-IF(AND(소장="추영덕",Y21=0),1.2)</f>
        <v>270</v>
      </c>
      <c r="E21" s="135">
        <f>'와이드(실측)'!E21-와이드OP</f>
        <v>1097</v>
      </c>
      <c r="F21" s="31">
        <f>'와이드(실측)'!F21-와이드R</f>
        <v>1219</v>
      </c>
      <c r="G21" s="50">
        <f>'와이드(실측)'!G21+와이드JBJD키움치수+IF(BI21=1,AC21,0)</f>
        <v>437</v>
      </c>
      <c r="H21" s="50">
        <f>'와이드(실측)'!H21+와이드JBJD키움치수+IF(BI21=1,AE21,0)</f>
        <v>437</v>
      </c>
      <c r="I21" s="50">
        <f>'와이드(실측)'!I21+MAX(AS21,AT21)+와이드JBJD키움치수+IF(BI21=1,AC21,0)</f>
        <v>455</v>
      </c>
      <c r="J21" s="50">
        <f>'와이드(실측)'!I21+MAX(AS21,AT21)+와이드JBJD키움치수+IF(BI21=1,AD21,0)-IF(와이드JB하부늘치=1,'와이드(실측)'!Y21-'와이드(실측)'!Z21,0)</f>
        <v>455</v>
      </c>
      <c r="K21" s="50">
        <f>'와이드(실측)'!J21+MAX(AS21,AT21)+와이드JBJD키움치수+IF(BI21=1,AE21,0)</f>
        <v>455</v>
      </c>
      <c r="L21" s="50">
        <f>'와이드(실측)'!J21+MAX(AS21,AT21)+와이드JBJD키움치수+IF(BI21=1,AF21,0)-IF(와이드JB하부늘치=1,'와이드(실측)'!AA21-'와이드(실측)'!AB21,0)</f>
        <v>455</v>
      </c>
      <c r="M21" s="31">
        <f t="shared" si="26"/>
        <v>39.5</v>
      </c>
      <c r="N21" s="31">
        <f t="shared" si="27"/>
        <v>39.5</v>
      </c>
      <c r="O21" s="31">
        <f>IF(S21&lt;9,'와이드(실측)'!K21+1.2,IF(ISNUMBER('와이드(실측)'!K21),'와이드(실측)'!K21+와이드C값,0))</f>
        <v>41</v>
      </c>
      <c r="P21" s="31">
        <f>IF(T21&lt;9,'와이드(실측)'!L21+1.2,IF(ISNUMBER('와이드(실측)'!L21),'와이드(실측)'!L21+와이드C값,0))</f>
        <v>41</v>
      </c>
      <c r="Q21" s="32">
        <f>ROUNDUP(AV21,1)</f>
        <v>13.7</v>
      </c>
      <c r="R21" s="38">
        <f>ROUNDUP(AW21,1)</f>
        <v>13.7</v>
      </c>
      <c r="S21" s="31">
        <f>IF(ISNUMBER('와이드(실측)'!O21),'와이드(실측)'!O21+와이드제작!AS21+와이드A늘림,0)</f>
        <v>9</v>
      </c>
      <c r="T21" s="31">
        <f>IF(ISNUMBER('와이드(실측)'!P21),'와이드(실측)'!P21+와이드제작!AT21+와이드A늘림,0)</f>
        <v>9</v>
      </c>
      <c r="U21" s="31">
        <f>'와이드(실측)'!Q21-와이드기둥차감</f>
        <v>2101</v>
      </c>
      <c r="V21" s="31">
        <f>'와이드(실측)'!R21-와이드기둥차감</f>
        <v>2089</v>
      </c>
      <c r="W21" s="31">
        <f>'와이드(실측)'!S21-와이드기둥차감</f>
        <v>2099</v>
      </c>
      <c r="X21" s="31">
        <f>'와이드(실측)'!T21-와이드기둥차감</f>
        <v>2090</v>
      </c>
      <c r="Y21" s="31">
        <f>IF(소장="손상민",IF(ISNUMBER('와이드(실측)'!U21),'와이드(실측)'!U21+1.2,0),IF(ISNUMBER('와이드(실측)'!U21),'와이드(실측)'!U21+와이드U,0))</f>
        <v>41</v>
      </c>
      <c r="Z21" s="31">
        <f>IF(소장="손상민",MAX(Q21,R21)+3.2,IF(ISNUMBER('와이드(실측)'!V21),'와이드(실측)'!V21+1.5+와이드제작!Q21+1,0))</f>
        <v>18.2</v>
      </c>
      <c r="AA21" s="31">
        <f>'와이드(실측)'!W21+뒷날개치수더함</f>
        <v>25</v>
      </c>
      <c r="AB21" s="31">
        <f>'와이드(실측)'!X21+뒷날개치수더함</f>
        <v>25</v>
      </c>
      <c r="AC21" s="31">
        <f>'와이드(실측)'!Y21-와이드늘치</f>
        <v>0</v>
      </c>
      <c r="AD21" s="31">
        <f>IF(와이드JB하부늘치=1,AC21,'와이드(실측)'!Z21-와이드늘치)</f>
        <v>0</v>
      </c>
      <c r="AE21" s="31">
        <f>'와이드(실측)'!AA21-와이드늘치</f>
        <v>0</v>
      </c>
      <c r="AF21" s="31">
        <f>IF(와이드JB하부늘치=1,AE21,'와이드(실측)'!AB21-와이드늘치)</f>
        <v>0</v>
      </c>
      <c r="AG21" s="31">
        <f xml:space="preserve"> IF(소장&lt;&gt;"손상민",IF('와이드(실측)'!AC21&gt;0,'와이드(실측)'!AC21,C21-1.2),IF('와이드(실측)'!AC21&gt;0,'와이드(실측)'!AC21+1.2,C21) )</f>
        <v>268.8</v>
      </c>
      <c r="AH21" s="31">
        <f xml:space="preserve"> IF(소장&lt;&gt;"손상민",IF('와이드(실측)'!AD21&gt;0,'와이드(실측)'!AD21,D21-1.2),IF('와이드(실측)'!AD21&gt;0,'와이드(실측)'!AD21+1.2,D21))</f>
        <v>268.8</v>
      </c>
      <c r="AI21" s="51">
        <f>IF(Z21&gt;0,Z21-MAX(Q21,R21),0)</f>
        <v>4.5</v>
      </c>
      <c r="AJ21" s="31" t="str">
        <f t="shared" si="31"/>
        <v>1298*786.4</v>
      </c>
      <c r="AK21" s="31" t="str">
        <f t="shared" si="32"/>
        <v>2369.8*525.2</v>
      </c>
      <c r="AL21" s="31" t="str">
        <f t="shared" si="33"/>
        <v>2367.8*525.2</v>
      </c>
      <c r="AM21" s="31">
        <f>IF('와이드(실측)'!AE21&gt;0,'와이드(실측)'!AE21-'와이드(실측)'!W21+1.2,0)</f>
        <v>0</v>
      </c>
      <c r="AN21" s="31">
        <f>IF('와이드(실측)'!AF21&gt;0,'와이드(실측)'!AF21-'와이드(실측)'!W21+1.2,0)</f>
        <v>0</v>
      </c>
      <c r="AO21" s="31">
        <f>'와이드(실측)'!AG21</f>
        <v>0</v>
      </c>
      <c r="AP21" s="31">
        <f>IF('와이드(실측)'!AH21&gt;5,'와이드(실측)'!AH21+뒷날개치수더함,'와이드(실측)'!AH21)</f>
        <v>0</v>
      </c>
      <c r="AQ21" s="31">
        <f>'와이드(실측)'!AI21</f>
        <v>0</v>
      </c>
      <c r="AR21" s="31">
        <f>'와이드(실측)'!AJ21</f>
        <v>0</v>
      </c>
      <c r="AS21">
        <f>IF(AND(ISNUMBER('와이드(실측)'!P21),ISNUMBER('와이드(실측)'!O21)),IF(ISNUMBER('와이드(실측)'!O21),IF(9-MIN('와이드(실측)'!O21+와이드A늘림,'와이드(실측)'!P21+와이드A늘림)&lt;0,0,9-MIN('와이드(실측)'!O21+와이드A늘림,'와이드(실측)'!P21+와이드A늘림)),0),IF(ISNUMBER('와이드(실측)'!O21),IF(9-'와이드(실측)'!O21-와이드A늘림&lt;0,0,9-'와이드(실측)'!O21-와이드A늘림),0))</f>
        <v>5</v>
      </c>
      <c r="AT21">
        <f>IF(AND(ISNUMBER('와이드(실측)'!O21),ISNUMBER('와이드(실측)'!P21)),IF(ISNUMBER('와이드(실측)'!P21),IF(9-MIN('와이드(실측)'!P21+와이드A늘림,'와이드(실측)'!O21+와이드A늘림)&lt;0,0,9-MIN('와이드(실측)'!P21+와이드A늘림,'와이드(실측)'!O21+와이드A늘림)),0),IF(ISNUMBER('와이드(실측)'!P21),IF(9-'와이드(실측)'!P21-와이드A늘림&lt;0,0,9-'와이드(실측)'!P21-와이드A늘림),0))</f>
        <v>5</v>
      </c>
      <c r="AU21" s="20">
        <f>DEGREES(ATAN((F21-E21)/2/(H21)))</f>
        <v>7.9464626640362033</v>
      </c>
      <c r="AV21" s="21">
        <f>ABS(G21-COS(RADIANS(AU21))*I21)</f>
        <v>13.630944468290807</v>
      </c>
      <c r="AW21" s="21">
        <f>ABS(H21-COS(RADIANS(AU21))*K21)</f>
        <v>13.630944468290807</v>
      </c>
      <c r="AX21" s="21">
        <f>'와이드(실측)'!M21+AS21</f>
        <v>16</v>
      </c>
      <c r="AY21" s="21">
        <f>'와이드(실측)'!N21+AS21</f>
        <v>16</v>
      </c>
      <c r="AZ21" s="20">
        <f>AV21-MAX(AX21,AY21)</f>
        <v>-2.3690555317091935</v>
      </c>
      <c r="BA21" s="41">
        <f t="shared" si="25"/>
        <v>1298</v>
      </c>
      <c r="BB21" s="42">
        <f>MAX(C21,D21)+MAX(G21,H21)+AA21-1.2*$AJ$3+IF(BI21=0,MAX(AE21,AC21),0)+IF(Y21=0,1.2,0)+IF(Z21=0,1.2,0)+IF(소장&lt;&gt;"손상민", Y21+Z21,IF('와이드(실측)'!U21=0,0,2.4))</f>
        <v>786.40000000000009</v>
      </c>
      <c r="BC21" s="41">
        <f>S21+O21+MAX(I21,J21)+AB21-1.2*$AL$3+IF(BI21=0,MAX(AD21,AC21),0)+IF(S21=0,1.2,0)-IF(AR21=90,2.4,0)</f>
        <v>525.20000000000005</v>
      </c>
      <c r="BD21" s="41">
        <f>MAX(U21,V21)+AG21</f>
        <v>2369.8000000000002</v>
      </c>
      <c r="BE21" s="41">
        <f>T21+P21+MAX(K21,L21)+AB21-1.2*$AL$3+IF(BI21=0,MAX(AE21,AF21),0)+IF(T21=0,1.2,0)-IF(AR21=90,2.4,0)</f>
        <v>525.20000000000005</v>
      </c>
      <c r="BF21" s="41">
        <f>MAX(W21,X21)+AH21</f>
        <v>2367.8000000000002</v>
      </c>
      <c r="BG21" s="6">
        <f t="shared" si="42"/>
        <v>4.3000000000000007</v>
      </c>
      <c r="BH21" s="43" t="str">
        <f>IF(AND(C21&lt;&gt;D21,Y21&gt;0),"NG","")</f>
        <v/>
      </c>
      <c r="BI21" s="77">
        <f>IF(AND(MIN(AC21,AE21)&gt;=9.2,ABS(F21-E21)&gt;15),0,1)</f>
        <v>1</v>
      </c>
    </row>
    <row r="22" spans="1:61" ht="26.25" customHeight="1" x14ac:dyDescent="0.3">
      <c r="A22" s="31" t="str">
        <f>'와이드(실측)'!A22</f>
        <v>2호기</v>
      </c>
      <c r="B22" s="31" t="str">
        <f>'와이드(실측)'!B22&amp;"F"</f>
        <v>B1F</v>
      </c>
      <c r="C22" s="31">
        <f>'와이드(실측)'!C22+와이드MH더함-IF(AND(소장="추영덕",Y22=0),1.2)</f>
        <v>270</v>
      </c>
      <c r="D22" s="31">
        <f>'와이드(실측)'!D22+와이드MH더함-IF(AND(소장="추영덕",Y22=0),1.2)</f>
        <v>270</v>
      </c>
      <c r="E22" s="135">
        <f>'와이드(실측)'!E22-와이드OP</f>
        <v>1097</v>
      </c>
      <c r="F22" s="31">
        <f>'와이드(실측)'!F22-와이드R</f>
        <v>1219</v>
      </c>
      <c r="G22" s="50">
        <f>'와이드(실측)'!G22+와이드JBJD키움치수+IF(BI22=1,AC22,0)</f>
        <v>435</v>
      </c>
      <c r="H22" s="50">
        <f>'와이드(실측)'!H22+와이드JBJD키움치수+IF(BI22=1,AE22,0)</f>
        <v>435</v>
      </c>
      <c r="I22" s="50">
        <f>'와이드(실측)'!I22+MAX(AS22,AT22)+와이드JBJD키움치수+IF(BI22=1,AC22,0)</f>
        <v>453</v>
      </c>
      <c r="J22" s="50">
        <f>'와이드(실측)'!I22+MAX(AS22,AT22)+와이드JBJD키움치수+IF(BI22=1,AD22,0)-IF(와이드JB하부늘치=1,'와이드(실측)'!Y22-'와이드(실측)'!Z22,0)</f>
        <v>453</v>
      </c>
      <c r="K22" s="50">
        <f>'와이드(실측)'!J22+MAX(AS22,AT22)+와이드JBJD키움치수+IF(BI22=1,AE22,0)</f>
        <v>453</v>
      </c>
      <c r="L22" s="50">
        <f>'와이드(실측)'!J22+MAX(AS22,AT22)+와이드JBJD키움치수+IF(BI22=1,AF22,0)-IF(와이드JB하부늘치=1,'와이드(실측)'!AA22-'와이드(실측)'!AB22,0)</f>
        <v>453</v>
      </c>
      <c r="M22" s="31">
        <f t="shared" si="26"/>
        <v>39.5</v>
      </c>
      <c r="N22" s="31">
        <f t="shared" si="27"/>
        <v>39.5</v>
      </c>
      <c r="O22" s="31">
        <f>IF(S22&lt;9,'와이드(실측)'!K22+1.2,IF(ISNUMBER('와이드(실측)'!K22),'와이드(실측)'!K22+와이드C값,0))</f>
        <v>41</v>
      </c>
      <c r="P22" s="31">
        <f>IF(T22&lt;9,'와이드(실측)'!L22+1.2,IF(ISNUMBER('와이드(실측)'!L22),'와이드(실측)'!L22+와이드C값,0))</f>
        <v>41</v>
      </c>
      <c r="Q22" s="32">
        <f t="shared" ref="Q22:Q27" si="45">ROUNDUP(AV22,1)</f>
        <v>13.7</v>
      </c>
      <c r="R22" s="38">
        <f t="shared" ref="R22:R27" si="46">ROUNDUP(AW22,1)</f>
        <v>13.7</v>
      </c>
      <c r="S22" s="31">
        <f>IF(ISNUMBER('와이드(실측)'!O22),'와이드(실측)'!O22+와이드제작!AS22+와이드A늘림,0)</f>
        <v>9</v>
      </c>
      <c r="T22" s="31">
        <f>IF(ISNUMBER('와이드(실측)'!P22),'와이드(실측)'!P22+와이드제작!AT22+와이드A늘림,0)</f>
        <v>9</v>
      </c>
      <c r="U22" s="31">
        <f>'와이드(실측)'!Q22-와이드기둥차감</f>
        <v>2100</v>
      </c>
      <c r="V22" s="31">
        <f>'와이드(실측)'!R22-와이드기둥차감</f>
        <v>2091</v>
      </c>
      <c r="W22" s="31">
        <f>'와이드(실측)'!S22-와이드기둥차감</f>
        <v>2099</v>
      </c>
      <c r="X22" s="31">
        <f>'와이드(실측)'!T22-와이드기둥차감</f>
        <v>2090</v>
      </c>
      <c r="Y22" s="31">
        <f>IF(소장="손상민",IF(ISNUMBER('와이드(실측)'!U22),'와이드(실측)'!U22+1.2,0),IF(ISNUMBER('와이드(실측)'!U22),'와이드(실측)'!U22+와이드U,0))</f>
        <v>41</v>
      </c>
      <c r="Z22" s="31">
        <f>IF(소장="손상민",MAX(Q22,R22)+3.2,IF(ISNUMBER('와이드(실측)'!V22),'와이드(실측)'!V22+1.5+와이드제작!Q22+1,0))</f>
        <v>18.2</v>
      </c>
      <c r="AA22" s="31">
        <f>'와이드(실측)'!W22+뒷날개치수더함</f>
        <v>25</v>
      </c>
      <c r="AB22" s="31">
        <f>'와이드(실측)'!X22+뒷날개치수더함</f>
        <v>25</v>
      </c>
      <c r="AC22" s="31">
        <f>'와이드(실측)'!Y22-와이드늘치</f>
        <v>0</v>
      </c>
      <c r="AD22" s="31">
        <f>IF(와이드JB하부늘치=1,AC22,'와이드(실측)'!Z22-와이드늘치)</f>
        <v>0</v>
      </c>
      <c r="AE22" s="31">
        <f>'와이드(실측)'!AA22-와이드늘치</f>
        <v>0</v>
      </c>
      <c r="AF22" s="31">
        <f>IF(와이드JB하부늘치=1,AE22,'와이드(실측)'!AB22-와이드늘치)</f>
        <v>0</v>
      </c>
      <c r="AG22" s="31">
        <f xml:space="preserve"> IF(소장&lt;&gt;"손상민",IF('와이드(실측)'!AC22&gt;0,'와이드(실측)'!AC22,C22-1.2),IF('와이드(실측)'!AC22&gt;0,'와이드(실측)'!AC22+1.2,C22) )</f>
        <v>268.8</v>
      </c>
      <c r="AH22" s="31">
        <f xml:space="preserve"> IF(소장&lt;&gt;"손상민",IF('와이드(실측)'!AD22&gt;0,'와이드(실측)'!AD22,D22-1.2),IF('와이드(실측)'!AD22&gt;0,'와이드(실측)'!AD22+1.2,D22))</f>
        <v>268.8</v>
      </c>
      <c r="AI22" s="51">
        <f t="shared" ref="AI22:AI27" si="47">IF(Z22&gt;0,Z22-MAX(Q22,R22),0)</f>
        <v>4.5</v>
      </c>
      <c r="AJ22" s="31" t="str">
        <f t="shared" si="31"/>
        <v>1298*784.4</v>
      </c>
      <c r="AK22" s="31" t="str">
        <f t="shared" si="32"/>
        <v>2368.8*523.2</v>
      </c>
      <c r="AL22" s="31" t="str">
        <f t="shared" si="33"/>
        <v>2367.8*523.2</v>
      </c>
      <c r="AM22" s="31">
        <f>IF('와이드(실측)'!AE22&gt;0,'와이드(실측)'!AE22-'와이드(실측)'!W22+1.2,0)</f>
        <v>0</v>
      </c>
      <c r="AN22" s="31">
        <f>IF('와이드(실측)'!AF22&gt;0,'와이드(실측)'!AF22-'와이드(실측)'!W22+1.2,0)</f>
        <v>0</v>
      </c>
      <c r="AO22" s="31">
        <f>'와이드(실측)'!AG22</f>
        <v>0</v>
      </c>
      <c r="AP22" s="31">
        <f>IF('와이드(실측)'!AH22&gt;5,'와이드(실측)'!AH22+뒷날개치수더함,'와이드(실측)'!AH22)</f>
        <v>0</v>
      </c>
      <c r="AQ22" s="31">
        <f>'와이드(실측)'!AI22</f>
        <v>0</v>
      </c>
      <c r="AR22" s="31">
        <f>'와이드(실측)'!AJ22</f>
        <v>0</v>
      </c>
      <c r="AS22">
        <f>IF(AND(ISNUMBER('와이드(실측)'!P22),ISNUMBER('와이드(실측)'!O22)),IF(ISNUMBER('와이드(실측)'!O22),IF(9-MIN('와이드(실측)'!O22+와이드A늘림,'와이드(실측)'!P22+와이드A늘림)&lt;0,0,9-MIN('와이드(실측)'!O22+와이드A늘림,'와이드(실측)'!P22+와이드A늘림)),0),IF(ISNUMBER('와이드(실측)'!O22),IF(9-'와이드(실측)'!O22-와이드A늘림&lt;0,0,9-'와이드(실측)'!O22-와이드A늘림),0))</f>
        <v>5</v>
      </c>
      <c r="AT22">
        <f>IF(AND(ISNUMBER('와이드(실측)'!O22),ISNUMBER('와이드(실측)'!P22)),IF(ISNUMBER('와이드(실측)'!P22),IF(9-MIN('와이드(실측)'!P22+와이드A늘림,'와이드(실측)'!O22+와이드A늘림)&lt;0,0,9-MIN('와이드(실측)'!P22+와이드A늘림,'와이드(실측)'!O22+와이드A늘림)),0),IF(ISNUMBER('와이드(실측)'!P22),IF(9-'와이드(실측)'!P22-와이드A늘림&lt;0,0,9-'와이드(실측)'!P22-와이드A늘림),0))</f>
        <v>5</v>
      </c>
      <c r="AU22" s="20">
        <f t="shared" ref="AU22:AU27" si="48">DEGREES(ATAN((F22-E22)/2/(H22)))</f>
        <v>7.9825282322936451</v>
      </c>
      <c r="AV22" s="21">
        <f t="shared" ref="AV22:AV27" si="49">ABS(G22-COS(RADIANS(AU22))*I22)</f>
        <v>13.610639343488742</v>
      </c>
      <c r="AW22" s="21">
        <f t="shared" ref="AW22:AW27" si="50">ABS(H22-COS(RADIANS(AU22))*K22)</f>
        <v>13.610639343488742</v>
      </c>
      <c r="AX22" s="21">
        <f>'와이드(실측)'!M22+AS22</f>
        <v>17</v>
      </c>
      <c r="AY22" s="21">
        <f>'와이드(실측)'!N22+AS22</f>
        <v>17</v>
      </c>
      <c r="AZ22" s="20">
        <f t="shared" ref="AZ22:AZ27" si="51">AV22-MAX(AX22,AY22)</f>
        <v>-3.3893606565112577</v>
      </c>
      <c r="BA22" s="41">
        <f t="shared" si="25"/>
        <v>1298</v>
      </c>
      <c r="BB22" s="42">
        <f>MAX(C22,D22)+MAX(G22,H22)+AA22-1.2*$AJ$3+IF(BI22=0,MAX(AE22,AC22),0)+IF(Y22=0,1.2,0)+IF(Z22=0,1.2,0)+IF(소장&lt;&gt;"손상민", Y22+Z22,IF('와이드(실측)'!U22=0,0,2.4))</f>
        <v>784.40000000000009</v>
      </c>
      <c r="BC22" s="41">
        <f t="shared" ref="BC22:BC27" si="52">S22+O22+MAX(I22,J22)+AB22-1.2*$AL$3+IF(BI22=0,MAX(AD22,AC22),0)+IF(S22=0,1.2,0)-IF(AR22=90,2.4,0)</f>
        <v>523.20000000000005</v>
      </c>
      <c r="BD22" s="41">
        <f t="shared" ref="BD22:BD27" si="53">MAX(U22,V22)+AG22</f>
        <v>2368.8000000000002</v>
      </c>
      <c r="BE22" s="41">
        <f t="shared" ref="BE22:BE27" si="54">T22+P22+MAX(K22,L22)+AB22-1.2*$AL$3+IF(BI22=0,MAX(AE22,AF22),0)+IF(T22=0,1.2,0)-IF(AR22=90,2.4,0)</f>
        <v>523.20000000000005</v>
      </c>
      <c r="BF22" s="41">
        <f t="shared" ref="BF22:BF27" si="55">MAX(W22,X22)+AH22</f>
        <v>2367.8000000000002</v>
      </c>
      <c r="BG22" s="6">
        <f t="shared" si="42"/>
        <v>4.3000000000000007</v>
      </c>
      <c r="BH22" s="43" t="str">
        <f t="shared" ref="BH22:BH27" si="56">IF(AND(C22&lt;&gt;D22,Y22&gt;0),"NG","")</f>
        <v/>
      </c>
      <c r="BI22" s="77">
        <f t="shared" ref="BI22:BI27" si="57">IF(AND(MIN(AC22,AE22)&gt;=9.2,ABS(F22-E22)&gt;15),0,1)</f>
        <v>1</v>
      </c>
    </row>
    <row r="23" spans="1:61" ht="26.25" customHeight="1" x14ac:dyDescent="0.3">
      <c r="A23" s="31" t="str">
        <f>'와이드(실측)'!A23</f>
        <v>1호기</v>
      </c>
      <c r="B23" s="31" t="str">
        <f>'와이드(실측)'!B23&amp;"F"</f>
        <v>1F</v>
      </c>
      <c r="C23" s="31">
        <f>'와이드(실측)'!C23+와이드MH더함-IF(AND(소장="추영덕",Y23=0),1.2)</f>
        <v>270</v>
      </c>
      <c r="D23" s="31">
        <f>'와이드(실측)'!D23+와이드MH더함-IF(AND(소장="추영덕",Y23=0),1.2)</f>
        <v>270</v>
      </c>
      <c r="E23" s="135">
        <f>'와이드(실측)'!E23-와이드OP</f>
        <v>1097</v>
      </c>
      <c r="F23" s="31">
        <f>'와이드(실측)'!F23-와이드R</f>
        <v>1215</v>
      </c>
      <c r="G23" s="50">
        <f>'와이드(실측)'!G23+와이드JBJD키움치수+IF(BI23=1,AC23,0)</f>
        <v>425</v>
      </c>
      <c r="H23" s="50">
        <f>'와이드(실측)'!H23+와이드JBJD키움치수+IF(BI23=1,AE23,0)</f>
        <v>425</v>
      </c>
      <c r="I23" s="50">
        <f>'와이드(실측)'!I23+MAX(AS23,AT23)+와이드JBJD키움치수+IF(BI23=1,AC23,0)</f>
        <v>443</v>
      </c>
      <c r="J23" s="50">
        <f>'와이드(실측)'!I23+MAX(AS23,AT23)+와이드JBJD키움치수+IF(BI23=1,AD23,0)-IF(와이드JB하부늘치=1,'와이드(실측)'!Y23-'와이드(실측)'!Z23,0)</f>
        <v>443</v>
      </c>
      <c r="K23" s="50">
        <f>'와이드(실측)'!J23+MAX(AS23,AT23)+와이드JBJD키움치수+IF(BI23=1,AE23,0)</f>
        <v>443</v>
      </c>
      <c r="L23" s="50">
        <f>'와이드(실측)'!J23+MAX(AS23,AT23)+와이드JBJD키움치수+IF(BI23=1,AF23,0)-IF(와이드JB하부늘치=1,'와이드(실측)'!AA23-'와이드(실측)'!AB23,0)</f>
        <v>443</v>
      </c>
      <c r="M23" s="31">
        <f t="shared" si="26"/>
        <v>39.5</v>
      </c>
      <c r="N23" s="31">
        <f t="shared" si="27"/>
        <v>39.5</v>
      </c>
      <c r="O23" s="31">
        <f>IF(S23&lt;9,'와이드(실측)'!K23+1.2,IF(ISNUMBER('와이드(실측)'!K23),'와이드(실측)'!K23+와이드C값,0))</f>
        <v>41</v>
      </c>
      <c r="P23" s="31">
        <f>IF(T23&lt;9,'와이드(실측)'!L23+1.2,IF(ISNUMBER('와이드(실측)'!L23),'와이드(실측)'!L23+와이드C값,0))</f>
        <v>41</v>
      </c>
      <c r="Q23" s="32">
        <f t="shared" si="45"/>
        <v>13.799999999999999</v>
      </c>
      <c r="R23" s="38">
        <f t="shared" si="46"/>
        <v>13.799999999999999</v>
      </c>
      <c r="S23" s="31">
        <f>IF(ISNUMBER('와이드(실측)'!O23),'와이드(실측)'!O23+와이드제작!AS23+와이드A늘림,0)</f>
        <v>9</v>
      </c>
      <c r="T23" s="31">
        <f>IF(ISNUMBER('와이드(실측)'!P23),'와이드(실측)'!P23+와이드제작!AT23+와이드A늘림,0)</f>
        <v>10</v>
      </c>
      <c r="U23" s="31">
        <f>'와이드(실측)'!Q23-와이드기둥차감</f>
        <v>2099</v>
      </c>
      <c r="V23" s="31">
        <f>'와이드(실측)'!R23-와이드기둥차감</f>
        <v>2092</v>
      </c>
      <c r="W23" s="31">
        <f>'와이드(실측)'!S23-와이드기둥차감</f>
        <v>2095</v>
      </c>
      <c r="X23" s="31">
        <f>'와이드(실측)'!T23-와이드기둥차감</f>
        <v>2090</v>
      </c>
      <c r="Y23" s="31">
        <f>IF(소장="손상민",IF(ISNUMBER('와이드(실측)'!U23),'와이드(실측)'!U23+1.2,0),IF(ISNUMBER('와이드(실측)'!U23),'와이드(실측)'!U23+와이드U,0))</f>
        <v>41</v>
      </c>
      <c r="Z23" s="31">
        <f>IF(소장="손상민",MAX(Q23,R23)+3.2,IF(ISNUMBER('와이드(실측)'!V23),'와이드(실측)'!V23+1.5+와이드제작!Q23+1,0))</f>
        <v>18.299999999999997</v>
      </c>
      <c r="AA23" s="31">
        <f>'와이드(실측)'!W23+뒷날개치수더함</f>
        <v>25</v>
      </c>
      <c r="AB23" s="31">
        <f>'와이드(실측)'!X23+뒷날개치수더함</f>
        <v>25</v>
      </c>
      <c r="AC23" s="31">
        <f>'와이드(실측)'!Y23-와이드늘치</f>
        <v>0</v>
      </c>
      <c r="AD23" s="31">
        <f>IF(와이드JB하부늘치=1,AC23,'와이드(실측)'!Z23-와이드늘치)</f>
        <v>0</v>
      </c>
      <c r="AE23" s="31">
        <f>'와이드(실측)'!AA23-와이드늘치</f>
        <v>0</v>
      </c>
      <c r="AF23" s="31">
        <f>IF(와이드JB하부늘치=1,AE23,'와이드(실측)'!AB23-와이드늘치)</f>
        <v>0</v>
      </c>
      <c r="AG23" s="31">
        <f xml:space="preserve"> IF(소장&lt;&gt;"손상민",IF('와이드(실측)'!AC23&gt;0,'와이드(실측)'!AC23,C23-1.2),IF('와이드(실측)'!AC23&gt;0,'와이드(실측)'!AC23+1.2,C23) )</f>
        <v>268.8</v>
      </c>
      <c r="AH23" s="31">
        <f xml:space="preserve"> IF(소장&lt;&gt;"손상민",IF('와이드(실측)'!AD23&gt;0,'와이드(실측)'!AD23,D23-1.2),IF('와이드(실측)'!AD23&gt;0,'와이드(실측)'!AD23+1.2,D23))</f>
        <v>268.8</v>
      </c>
      <c r="AI23" s="51">
        <f t="shared" si="47"/>
        <v>4.4999999999999982</v>
      </c>
      <c r="AJ23" s="31" t="str">
        <f t="shared" si="31"/>
        <v>1294*774.5</v>
      </c>
      <c r="AK23" s="31" t="str">
        <f t="shared" si="32"/>
        <v>2367.8*513.2</v>
      </c>
      <c r="AL23" s="31" t="str">
        <f t="shared" si="33"/>
        <v>2363.8*514.2</v>
      </c>
      <c r="AM23" s="31">
        <f>IF('와이드(실측)'!AE23&gt;0,'와이드(실측)'!AE23-'와이드(실측)'!W23+1.2,0)</f>
        <v>0</v>
      </c>
      <c r="AN23" s="31">
        <f>IF('와이드(실측)'!AF23&gt;0,'와이드(실측)'!AF23-'와이드(실측)'!W23+1.2,0)</f>
        <v>0</v>
      </c>
      <c r="AO23" s="31">
        <f>'와이드(실측)'!AG23</f>
        <v>0</v>
      </c>
      <c r="AP23" s="31">
        <f>IF('와이드(실측)'!AH23&gt;5,'와이드(실측)'!AH23+뒷날개치수더함,'와이드(실측)'!AH23)</f>
        <v>0</v>
      </c>
      <c r="AQ23" s="31">
        <f>'와이드(실측)'!AI23</f>
        <v>0</v>
      </c>
      <c r="AR23" s="31">
        <f>'와이드(실측)'!AJ23</f>
        <v>0</v>
      </c>
      <c r="AS23">
        <f>IF(AND(ISNUMBER('와이드(실측)'!P23),ISNUMBER('와이드(실측)'!O23)),IF(ISNUMBER('와이드(실측)'!O23),IF(9-MIN('와이드(실측)'!O23+와이드A늘림,'와이드(실측)'!P23+와이드A늘림)&lt;0,0,9-MIN('와이드(실측)'!O23+와이드A늘림,'와이드(실측)'!P23+와이드A늘림)),0),IF(ISNUMBER('와이드(실측)'!O23),IF(9-'와이드(실측)'!O23-와이드A늘림&lt;0,0,9-'와이드(실측)'!O23-와이드A늘림),0))</f>
        <v>5</v>
      </c>
      <c r="AT23">
        <f>IF(AND(ISNUMBER('와이드(실측)'!O23),ISNUMBER('와이드(실측)'!P23)),IF(ISNUMBER('와이드(실측)'!P23),IF(9-MIN('와이드(실측)'!P23+와이드A늘림,'와이드(실측)'!O23+와이드A늘림)&lt;0,0,9-MIN('와이드(실측)'!P23+와이드A늘림,'와이드(실측)'!O23+와이드A늘림)),0),IF(ISNUMBER('와이드(실측)'!P23),IF(9-'와이드(실측)'!P23-와이드A늘림&lt;0,0,9-'와이드(실측)'!P23-와이드A늘림),0))</f>
        <v>5</v>
      </c>
      <c r="AU23" s="20">
        <f t="shared" si="48"/>
        <v>7.9034887190254945</v>
      </c>
      <c r="AV23" s="21">
        <f t="shared" si="49"/>
        <v>13.79198395715531</v>
      </c>
      <c r="AW23" s="21">
        <f t="shared" si="50"/>
        <v>13.79198395715531</v>
      </c>
      <c r="AX23" s="21">
        <f>'와이드(실측)'!M23+AS23</f>
        <v>17</v>
      </c>
      <c r="AY23" s="21">
        <f>'와이드(실측)'!N23+AS23</f>
        <v>17</v>
      </c>
      <c r="AZ23" s="20">
        <f t="shared" si="51"/>
        <v>-3.2080160428446902</v>
      </c>
      <c r="BA23" s="41">
        <f t="shared" si="25"/>
        <v>1294</v>
      </c>
      <c r="BB23" s="42">
        <f>MAX(C23,D23)+MAX(G23,H23)+AA23-1.2*$AJ$3+IF(BI23=0,MAX(AE23,AC23),0)+IF(Y23=0,1.2,0)+IF(Z23=0,1.2,0)+IF(소장&lt;&gt;"손상민", Y23+Z23,IF('와이드(실측)'!U23=0,0,2.4))</f>
        <v>774.5</v>
      </c>
      <c r="BC23" s="41">
        <f t="shared" si="52"/>
        <v>513.20000000000005</v>
      </c>
      <c r="BD23" s="41">
        <f t="shared" si="53"/>
        <v>2367.8000000000002</v>
      </c>
      <c r="BE23" s="41">
        <f t="shared" si="54"/>
        <v>514.20000000000005</v>
      </c>
      <c r="BF23" s="41">
        <f t="shared" si="55"/>
        <v>2363.8000000000002</v>
      </c>
      <c r="BG23" s="6">
        <f t="shared" si="42"/>
        <v>4.2000000000000011</v>
      </c>
      <c r="BH23" s="43" t="str">
        <f t="shared" si="56"/>
        <v/>
      </c>
      <c r="BI23" s="77">
        <f t="shared" si="57"/>
        <v>1</v>
      </c>
    </row>
    <row r="24" spans="1:61" ht="26.25" customHeight="1" x14ac:dyDescent="0.3">
      <c r="A24" s="31" t="str">
        <f>'와이드(실측)'!A24</f>
        <v>2호기</v>
      </c>
      <c r="B24" s="31" t="str">
        <f>'와이드(실측)'!B24&amp;"F"</f>
        <v>1F</v>
      </c>
      <c r="C24" s="31">
        <f>'와이드(실측)'!C24+와이드MH더함-IF(AND(소장="추영덕",Y24=0),1.2)</f>
        <v>270</v>
      </c>
      <c r="D24" s="31">
        <f>'와이드(실측)'!D24+와이드MH더함-IF(AND(소장="추영덕",Y24=0),1.2)</f>
        <v>270</v>
      </c>
      <c r="E24" s="135">
        <f>'와이드(실측)'!E24-와이드OP</f>
        <v>1097</v>
      </c>
      <c r="F24" s="31">
        <f>'와이드(실측)'!F24-와이드R</f>
        <v>1215</v>
      </c>
      <c r="G24" s="50">
        <f>'와이드(실측)'!G24+와이드JBJD키움치수+IF(BI24=1,AC24,0)</f>
        <v>426</v>
      </c>
      <c r="H24" s="50">
        <f>'와이드(실측)'!H24+와이드JBJD키움치수+IF(BI24=1,AE24,0)</f>
        <v>426</v>
      </c>
      <c r="I24" s="50">
        <f>'와이드(실측)'!I24+MAX(AS24,AT24)+와이드JBJD키움치수+IF(BI24=1,AC24,0)</f>
        <v>445</v>
      </c>
      <c r="J24" s="50">
        <f>'와이드(실측)'!I24+MAX(AS24,AT24)+와이드JBJD키움치수+IF(BI24=1,AD24,0)-IF(와이드JB하부늘치=1,'와이드(실측)'!Y24-'와이드(실측)'!Z24,0)</f>
        <v>445</v>
      </c>
      <c r="K24" s="50">
        <f>'와이드(실측)'!J24+MAX(AS24,AT24)+와이드JBJD키움치수+IF(BI24=1,AE24,0)</f>
        <v>445</v>
      </c>
      <c r="L24" s="50">
        <f>'와이드(실측)'!J24+MAX(AS24,AT24)+와이드JBJD키움치수+IF(BI24=1,AF24,0)-IF(와이드JB하부늘치=1,'와이드(실측)'!AA24-'와이드(실측)'!AB24,0)</f>
        <v>445</v>
      </c>
      <c r="M24" s="31">
        <f t="shared" si="26"/>
        <v>39.5</v>
      </c>
      <c r="N24" s="31">
        <f t="shared" si="27"/>
        <v>39.5</v>
      </c>
      <c r="O24" s="31">
        <f>IF(S24&lt;9,'와이드(실측)'!K24+1.2,IF(ISNUMBER('와이드(실측)'!K24),'와이드(실측)'!K24+와이드C값,0))</f>
        <v>41</v>
      </c>
      <c r="P24" s="31">
        <f>IF(T24&lt;9,'와이드(실측)'!L24+1.2,IF(ISNUMBER('와이드(실측)'!L24),'와이드(실측)'!L24+와이드C값,0))</f>
        <v>41</v>
      </c>
      <c r="Q24" s="32">
        <f t="shared" si="45"/>
        <v>14.799999999999999</v>
      </c>
      <c r="R24" s="38">
        <f t="shared" si="46"/>
        <v>14.799999999999999</v>
      </c>
      <c r="S24" s="31">
        <f>IF(ISNUMBER('와이드(실측)'!O24),'와이드(실측)'!O24+와이드제작!AS24+와이드A늘림,0)</f>
        <v>9</v>
      </c>
      <c r="T24" s="31">
        <f>IF(ISNUMBER('와이드(실측)'!P24),'와이드(실측)'!P24+와이드제작!AT24+와이드A늘림,0)</f>
        <v>10</v>
      </c>
      <c r="U24" s="31">
        <f>'와이드(실측)'!Q24-와이드기둥차감</f>
        <v>2101</v>
      </c>
      <c r="V24" s="31">
        <f>'와이드(실측)'!R24-와이드기둥차감</f>
        <v>2089</v>
      </c>
      <c r="W24" s="31">
        <f>'와이드(실측)'!S24-와이드기둥차감</f>
        <v>2100</v>
      </c>
      <c r="X24" s="31">
        <f>'와이드(실측)'!T24-와이드기둥차감</f>
        <v>2090</v>
      </c>
      <c r="Y24" s="31">
        <f>IF(소장="손상민",IF(ISNUMBER('와이드(실측)'!U24),'와이드(실측)'!U24+1.2,0),IF(ISNUMBER('와이드(실측)'!U24),'와이드(실측)'!U24+와이드U,0))</f>
        <v>41</v>
      </c>
      <c r="Z24" s="31">
        <f>IF(소장="손상민",MAX(Q24,R24)+3.2,IF(ISNUMBER('와이드(실측)'!V24),'와이드(실측)'!V24+1.5+와이드제작!Q24+1,0))</f>
        <v>19.299999999999997</v>
      </c>
      <c r="AA24" s="31">
        <f>'와이드(실측)'!W24+뒷날개치수더함</f>
        <v>25</v>
      </c>
      <c r="AB24" s="31">
        <f>'와이드(실측)'!X24+뒷날개치수더함</f>
        <v>25</v>
      </c>
      <c r="AC24" s="31">
        <f>'와이드(실측)'!Y24-와이드늘치</f>
        <v>0</v>
      </c>
      <c r="AD24" s="31">
        <f>IF(와이드JB하부늘치=1,AC24,'와이드(실측)'!Z24-와이드늘치)</f>
        <v>0</v>
      </c>
      <c r="AE24" s="31">
        <f>'와이드(실측)'!AA24-와이드늘치</f>
        <v>0</v>
      </c>
      <c r="AF24" s="31">
        <f>IF(와이드JB하부늘치=1,AE24,'와이드(실측)'!AB24-와이드늘치)</f>
        <v>0</v>
      </c>
      <c r="AG24" s="31">
        <f xml:space="preserve"> IF(소장&lt;&gt;"손상민",IF('와이드(실측)'!AC24&gt;0,'와이드(실측)'!AC24,C24-1.2),IF('와이드(실측)'!AC24&gt;0,'와이드(실측)'!AC24+1.2,C24) )</f>
        <v>268.8</v>
      </c>
      <c r="AH24" s="31">
        <f xml:space="preserve"> IF(소장&lt;&gt;"손상민",IF('와이드(실측)'!AD24&gt;0,'와이드(실측)'!AD24,D24-1.2),IF('와이드(실측)'!AD24&gt;0,'와이드(실측)'!AD24+1.2,D24))</f>
        <v>268.8</v>
      </c>
      <c r="AI24" s="51">
        <f t="shared" si="47"/>
        <v>4.4999999999999982</v>
      </c>
      <c r="AJ24" s="31" t="str">
        <f t="shared" si="31"/>
        <v>1294*776.5</v>
      </c>
      <c r="AK24" s="31" t="str">
        <f t="shared" si="32"/>
        <v>2369.8*515.2</v>
      </c>
      <c r="AL24" s="31" t="str">
        <f t="shared" si="33"/>
        <v>2368.8*516.2</v>
      </c>
      <c r="AM24" s="31">
        <f>IF('와이드(실측)'!AE24&gt;0,'와이드(실측)'!AE24-'와이드(실측)'!W24+1.2,0)</f>
        <v>0</v>
      </c>
      <c r="AN24" s="31">
        <f>IF('와이드(실측)'!AF24&gt;0,'와이드(실측)'!AF24-'와이드(실측)'!W24+1.2,0)</f>
        <v>0</v>
      </c>
      <c r="AO24" s="31">
        <f>'와이드(실측)'!AG24</f>
        <v>0</v>
      </c>
      <c r="AP24" s="31">
        <f>IF('와이드(실측)'!AH24&gt;5,'와이드(실측)'!AH24+뒷날개치수더함,'와이드(실측)'!AH24)</f>
        <v>0</v>
      </c>
      <c r="AQ24" s="31">
        <f>'와이드(실측)'!AI24</f>
        <v>0</v>
      </c>
      <c r="AR24" s="31">
        <f>'와이드(실측)'!AJ24</f>
        <v>0</v>
      </c>
      <c r="AS24">
        <f>IF(AND(ISNUMBER('와이드(실측)'!P24),ISNUMBER('와이드(실측)'!O24)),IF(ISNUMBER('와이드(실측)'!O24),IF(9-MIN('와이드(실측)'!O24+와이드A늘림,'와이드(실측)'!P24+와이드A늘림)&lt;0,0,9-MIN('와이드(실측)'!O24+와이드A늘림,'와이드(실측)'!P24+와이드A늘림)),0),IF(ISNUMBER('와이드(실측)'!O24),IF(9-'와이드(실측)'!O24-와이드A늘림&lt;0,0,9-'와이드(실측)'!O24-와이드A늘림),0))</f>
        <v>6</v>
      </c>
      <c r="AT24">
        <f>IF(AND(ISNUMBER('와이드(실측)'!O24),ISNUMBER('와이드(실측)'!P24)),IF(ISNUMBER('와이드(실측)'!P24),IF(9-MIN('와이드(실측)'!P24+와이드A늘림,'와이드(실측)'!O24+와이드A늘림)&lt;0,0,9-MIN('와이드(실측)'!P24+와이드A늘림,'와이드(실측)'!O24+와이드A늘림)),0),IF(ISNUMBER('와이드(실측)'!P24),IF(9-'와이드(실측)'!P24-와이드A늘림&lt;0,0,9-'와이드(실측)'!P24-와이드A늘림),0))</f>
        <v>6</v>
      </c>
      <c r="AU24" s="20">
        <f t="shared" si="48"/>
        <v>7.8851695700690545</v>
      </c>
      <c r="AV24" s="21">
        <f t="shared" si="49"/>
        <v>14.792527750091892</v>
      </c>
      <c r="AW24" s="21">
        <f t="shared" si="50"/>
        <v>14.792527750091892</v>
      </c>
      <c r="AX24" s="21">
        <f>'와이드(실측)'!M24+AS24</f>
        <v>17</v>
      </c>
      <c r="AY24" s="21">
        <f>'와이드(실측)'!N24+AS24</f>
        <v>17</v>
      </c>
      <c r="AZ24" s="20">
        <f t="shared" si="51"/>
        <v>-2.2074722499081076</v>
      </c>
      <c r="BA24" s="41">
        <f t="shared" si="25"/>
        <v>1294</v>
      </c>
      <c r="BB24" s="42">
        <f>MAX(C24,D24)+MAX(G24,H24)+AA24-1.2*$AJ$3+IF(BI24=0,MAX(AE24,AC24),0)+IF(Y24=0,1.2,0)+IF(Z24=0,1.2,0)+IF(소장&lt;&gt;"손상민", Y24+Z24,IF('와이드(실측)'!U24=0,0,2.4))</f>
        <v>776.5</v>
      </c>
      <c r="BC24" s="41">
        <f t="shared" si="52"/>
        <v>515.20000000000005</v>
      </c>
      <c r="BD24" s="41">
        <f t="shared" si="53"/>
        <v>2369.8000000000002</v>
      </c>
      <c r="BE24" s="41">
        <f t="shared" si="54"/>
        <v>516.20000000000005</v>
      </c>
      <c r="BF24" s="41">
        <f t="shared" si="55"/>
        <v>2368.8000000000002</v>
      </c>
      <c r="BG24" s="6">
        <f t="shared" si="42"/>
        <v>4.2000000000000011</v>
      </c>
      <c r="BH24" s="43" t="str">
        <f t="shared" si="56"/>
        <v/>
      </c>
      <c r="BI24" s="77">
        <f t="shared" si="57"/>
        <v>1</v>
      </c>
    </row>
    <row r="25" spans="1:61" ht="26.25" customHeight="1" x14ac:dyDescent="0.3">
      <c r="A25" s="31" t="str">
        <f>'와이드(실측)'!A25</f>
        <v>1호기</v>
      </c>
      <c r="B25" s="31" t="str">
        <f>'와이드(실측)'!B25&amp;"F"</f>
        <v>B1F</v>
      </c>
      <c r="C25" s="31">
        <f>'와이드(실측)'!C25+와이드MH더함-IF(AND(소장="추영덕",Y25=0),1.2)</f>
        <v>270</v>
      </c>
      <c r="D25" s="31">
        <f>'와이드(실측)'!D25+와이드MH더함-IF(AND(소장="추영덕",Y25=0),1.2)</f>
        <v>270</v>
      </c>
      <c r="E25" s="135">
        <f>'와이드(실측)'!E25-와이드OP</f>
        <v>1097</v>
      </c>
      <c r="F25" s="31">
        <f>'와이드(실측)'!F25-와이드R</f>
        <v>1216</v>
      </c>
      <c r="G25" s="50">
        <f>'와이드(실측)'!G25+와이드JBJD키움치수+IF(BI25=1,AC25,0)</f>
        <v>429</v>
      </c>
      <c r="H25" s="50">
        <f>'와이드(실측)'!H25+와이드JBJD키움치수+IF(BI25=1,AE25,0)</f>
        <v>429</v>
      </c>
      <c r="I25" s="50">
        <f>'와이드(실측)'!I25+MAX(AS25,AT25)+와이드JBJD키움치수+IF(BI25=1,AC25,0)</f>
        <v>449</v>
      </c>
      <c r="J25" s="50">
        <f>'와이드(실측)'!I25+MAX(AS25,AT25)+와이드JBJD키움치수+IF(BI25=1,AD25,0)-IF(와이드JB하부늘치=1,'와이드(실측)'!Y25-'와이드(실측)'!Z25,0)</f>
        <v>449</v>
      </c>
      <c r="K25" s="50">
        <f>'와이드(실측)'!J25+MAX(AS25,AT25)+와이드JBJD키움치수+IF(BI25=1,AE25,0)</f>
        <v>449</v>
      </c>
      <c r="L25" s="50">
        <f>'와이드(실측)'!J25+MAX(AS25,AT25)+와이드JBJD키움치수+IF(BI25=1,AF25,0)-IF(와이드JB하부늘치=1,'와이드(실측)'!AA25-'와이드(실측)'!AB25,0)</f>
        <v>449</v>
      </c>
      <c r="M25" s="31">
        <f t="shared" si="26"/>
        <v>39.5</v>
      </c>
      <c r="N25" s="31">
        <f t="shared" si="27"/>
        <v>39.5</v>
      </c>
      <c r="O25" s="31">
        <f>IF(S25&lt;9,'와이드(실측)'!K25+1.2,IF(ISNUMBER('와이드(실측)'!K25),'와이드(실측)'!K25+와이드C값,0))</f>
        <v>41</v>
      </c>
      <c r="P25" s="31">
        <f>IF(T25&lt;9,'와이드(실측)'!L25+1.2,IF(ISNUMBER('와이드(실측)'!L25),'와이드(실측)'!L25+와이드C값,0))</f>
        <v>41</v>
      </c>
      <c r="Q25" s="32">
        <f t="shared" si="45"/>
        <v>15.799999999999999</v>
      </c>
      <c r="R25" s="38">
        <f t="shared" si="46"/>
        <v>15.799999999999999</v>
      </c>
      <c r="S25" s="31">
        <f>IF(ISNUMBER('와이드(실측)'!O25),'와이드(실측)'!O25+와이드제작!AS25+와이드A늘림,0)</f>
        <v>10</v>
      </c>
      <c r="T25" s="31">
        <f>IF(ISNUMBER('와이드(실측)'!P25),'와이드(실측)'!P25+와이드제작!AT25+와이드A늘림,0)</f>
        <v>9</v>
      </c>
      <c r="U25" s="31">
        <f>'와이드(실측)'!Q25-와이드기둥차감</f>
        <v>2107</v>
      </c>
      <c r="V25" s="31">
        <f>'와이드(실측)'!R25-와이드기둥차감</f>
        <v>2091</v>
      </c>
      <c r="W25" s="31">
        <f>'와이드(실측)'!S25-와이드기둥차감</f>
        <v>2107</v>
      </c>
      <c r="X25" s="31">
        <f>'와이드(실측)'!T25-와이드기둥차감</f>
        <v>2091</v>
      </c>
      <c r="Y25" s="31">
        <f>IF(소장="손상민",IF(ISNUMBER('와이드(실측)'!U25),'와이드(실측)'!U25+1.2,0),IF(ISNUMBER('와이드(실측)'!U25),'와이드(실측)'!U25+와이드U,0))</f>
        <v>41</v>
      </c>
      <c r="Z25" s="31">
        <f>IF(소장="손상민",MAX(Q25,R25)+3.2,IF(ISNUMBER('와이드(실측)'!V25),'와이드(실측)'!V25+1.5+와이드제작!Q25+1,0))</f>
        <v>20.299999999999997</v>
      </c>
      <c r="AA25" s="31">
        <f>'와이드(실측)'!W25+뒷날개치수더함</f>
        <v>25</v>
      </c>
      <c r="AB25" s="31">
        <f>'와이드(실측)'!X25+뒷날개치수더함</f>
        <v>25</v>
      </c>
      <c r="AC25" s="31">
        <f>'와이드(실측)'!Y25-와이드늘치</f>
        <v>0</v>
      </c>
      <c r="AD25" s="31">
        <f>IF(와이드JB하부늘치=1,AC25,'와이드(실측)'!Z25-와이드늘치)</f>
        <v>0</v>
      </c>
      <c r="AE25" s="31">
        <f>'와이드(실측)'!AA25-와이드늘치</f>
        <v>0</v>
      </c>
      <c r="AF25" s="31">
        <f>IF(와이드JB하부늘치=1,AE25,'와이드(실측)'!AB25-와이드늘치)</f>
        <v>0</v>
      </c>
      <c r="AG25" s="31">
        <f xml:space="preserve"> IF(소장&lt;&gt;"손상민",IF('와이드(실측)'!AC25&gt;0,'와이드(실측)'!AC25,C25-1.2),IF('와이드(실측)'!AC25&gt;0,'와이드(실측)'!AC25+1.2,C25) )</f>
        <v>268.8</v>
      </c>
      <c r="AH25" s="31">
        <f xml:space="preserve"> IF(소장&lt;&gt;"손상민",IF('와이드(실측)'!AD25&gt;0,'와이드(실측)'!AD25,D25-1.2),IF('와이드(실측)'!AD25&gt;0,'와이드(실측)'!AD25+1.2,D25))</f>
        <v>268.8</v>
      </c>
      <c r="AI25" s="51">
        <f t="shared" si="47"/>
        <v>4.4999999999999982</v>
      </c>
      <c r="AJ25" s="31" t="str">
        <f t="shared" si="31"/>
        <v>1295*780.5</v>
      </c>
      <c r="AK25" s="31" t="str">
        <f t="shared" si="32"/>
        <v>2375.8*520.2</v>
      </c>
      <c r="AL25" s="31" t="str">
        <f t="shared" si="33"/>
        <v>2375.8*519.2</v>
      </c>
      <c r="AM25" s="31">
        <f>IF('와이드(실측)'!AE25&gt;0,'와이드(실측)'!AE25-'와이드(실측)'!W25+1.2,0)</f>
        <v>0</v>
      </c>
      <c r="AN25" s="31">
        <f>IF('와이드(실측)'!AF25&gt;0,'와이드(실측)'!AF25-'와이드(실측)'!W25+1.2,0)</f>
        <v>0</v>
      </c>
      <c r="AO25" s="31">
        <f>'와이드(실측)'!AG25</f>
        <v>0</v>
      </c>
      <c r="AP25" s="31">
        <f>IF('와이드(실측)'!AH25&gt;5,'와이드(실측)'!AH25+뒷날개치수더함,'와이드(실측)'!AH25)</f>
        <v>0</v>
      </c>
      <c r="AQ25" s="31">
        <f>'와이드(실측)'!AI25</f>
        <v>0</v>
      </c>
      <c r="AR25" s="31">
        <f>'와이드(실측)'!AJ25</f>
        <v>0</v>
      </c>
      <c r="AS25">
        <f>IF(AND(ISNUMBER('와이드(실측)'!P25),ISNUMBER('와이드(실측)'!O25)),IF(ISNUMBER('와이드(실측)'!O25),IF(9-MIN('와이드(실측)'!O25+와이드A늘림,'와이드(실측)'!P25+와이드A늘림)&lt;0,0,9-MIN('와이드(실측)'!O25+와이드A늘림,'와이드(실측)'!P25+와이드A늘림)),0),IF(ISNUMBER('와이드(실측)'!O25),IF(9-'와이드(실측)'!O25-와이드A늘림&lt;0,0,9-'와이드(실측)'!O25-와이드A늘림),0))</f>
        <v>7</v>
      </c>
      <c r="AT25">
        <f>IF(AND(ISNUMBER('와이드(실측)'!O25),ISNUMBER('와이드(실측)'!P25)),IF(ISNUMBER('와이드(실측)'!P25),IF(9-MIN('와이드(실측)'!P25+와이드A늘림,'와이드(실측)'!O25+와이드A늘림)&lt;0,0,9-MIN('와이드(실측)'!P25+와이드A늘림,'와이드(실측)'!O25+와이드A늘림)),0),IF(ISNUMBER('와이드(실측)'!P25),IF(9-'와이드(실측)'!P25-와이드A늘림&lt;0,0,9-'와이드(실측)'!P25-와이드A늘림),0))</f>
        <v>7</v>
      </c>
      <c r="AU25" s="20">
        <f t="shared" si="48"/>
        <v>7.8962433282827114</v>
      </c>
      <c r="AV25" s="21">
        <f t="shared" si="49"/>
        <v>15.742794304374172</v>
      </c>
      <c r="AW25" s="21">
        <f t="shared" si="50"/>
        <v>15.742794304374172</v>
      </c>
      <c r="AX25" s="21">
        <f>'와이드(실측)'!M25+AS25</f>
        <v>15</v>
      </c>
      <c r="AY25" s="21">
        <f>'와이드(실측)'!N25+AS25</f>
        <v>15</v>
      </c>
      <c r="AZ25" s="20">
        <f t="shared" si="51"/>
        <v>0.74279430437417204</v>
      </c>
      <c r="BA25" s="41">
        <f t="shared" si="25"/>
        <v>1295</v>
      </c>
      <c r="BB25" s="42">
        <f>MAX(C25,D25)+MAX(G25,H25)+AA25-1.2*$AJ$3+IF(BI25=0,MAX(AE25,AC25),0)+IF(Y25=0,1.2,0)+IF(Z25=0,1.2,0)+IF(소장&lt;&gt;"손상민", Y25+Z25,IF('와이드(실측)'!U25=0,0,2.4))</f>
        <v>780.5</v>
      </c>
      <c r="BC25" s="41">
        <f t="shared" si="52"/>
        <v>520.20000000000005</v>
      </c>
      <c r="BD25" s="41">
        <f t="shared" si="53"/>
        <v>2375.8000000000002</v>
      </c>
      <c r="BE25" s="41">
        <f t="shared" si="54"/>
        <v>519.20000000000005</v>
      </c>
      <c r="BF25" s="41">
        <f t="shared" si="55"/>
        <v>2375.8000000000002</v>
      </c>
      <c r="BG25" s="6">
        <f t="shared" si="42"/>
        <v>4.2000000000000011</v>
      </c>
      <c r="BH25" s="43" t="str">
        <f t="shared" si="56"/>
        <v/>
      </c>
      <c r="BI25" s="77">
        <f t="shared" si="57"/>
        <v>1</v>
      </c>
    </row>
    <row r="26" spans="1:61" ht="26.25" customHeight="1" x14ac:dyDescent="0.3">
      <c r="A26" s="31" t="str">
        <f>'와이드(실측)'!A26</f>
        <v>2호기</v>
      </c>
      <c r="B26" s="31" t="str">
        <f>'와이드(실측)'!B26&amp;"F"</f>
        <v>B1F</v>
      </c>
      <c r="C26" s="31">
        <f>'와이드(실측)'!C26+와이드MH더함-IF(AND(소장="추영덕",Y26=0),1.2)</f>
        <v>270</v>
      </c>
      <c r="D26" s="31">
        <f>'와이드(실측)'!D26+와이드MH더함-IF(AND(소장="추영덕",Y26=0),1.2)</f>
        <v>270</v>
      </c>
      <c r="E26" s="135">
        <f>'와이드(실측)'!E26-와이드OP</f>
        <v>1097</v>
      </c>
      <c r="F26" s="31">
        <f>'와이드(실측)'!F26-와이드R</f>
        <v>1217</v>
      </c>
      <c r="G26" s="50">
        <f>'와이드(실측)'!G26+와이드JBJD키움치수+IF(BI26=1,AC26,0)</f>
        <v>429</v>
      </c>
      <c r="H26" s="50">
        <f>'와이드(실측)'!H26+와이드JBJD키움치수+IF(BI26=1,AE26,0)</f>
        <v>429</v>
      </c>
      <c r="I26" s="50">
        <f>'와이드(실측)'!I26+MAX(AS26,AT26)+와이드JBJD키움치수+IF(BI26=1,AC26,0)</f>
        <v>449</v>
      </c>
      <c r="J26" s="50">
        <f>'와이드(실측)'!I26+MAX(AS26,AT26)+와이드JBJD키움치수+IF(BI26=1,AD26,0)-IF(와이드JB하부늘치=1,'와이드(실측)'!Y26-'와이드(실측)'!Z26,0)</f>
        <v>449</v>
      </c>
      <c r="K26" s="50">
        <f>'와이드(실측)'!J26+MAX(AS26,AT26)+와이드JBJD키움치수+IF(BI26=1,AE26,0)</f>
        <v>449</v>
      </c>
      <c r="L26" s="50">
        <f>'와이드(실측)'!J26+MAX(AS26,AT26)+와이드JBJD키움치수+IF(BI26=1,AF26,0)-IF(와이드JB하부늘치=1,'와이드(실측)'!AA26-'와이드(실측)'!AB26,0)</f>
        <v>449</v>
      </c>
      <c r="M26" s="31">
        <f t="shared" si="26"/>
        <v>39.5</v>
      </c>
      <c r="N26" s="31">
        <f t="shared" si="27"/>
        <v>39.5</v>
      </c>
      <c r="O26" s="31">
        <f>IF(S26&lt;9,'와이드(실측)'!K26+1.2,IF(ISNUMBER('와이드(실측)'!K26),'와이드(실측)'!K26+와이드C값,0))</f>
        <v>41</v>
      </c>
      <c r="P26" s="31">
        <f>IF(T26&lt;9,'와이드(실측)'!L26+1.2,IF(ISNUMBER('와이드(실측)'!L26),'와이드(실측)'!L26+와이드C값,0))</f>
        <v>41</v>
      </c>
      <c r="Q26" s="32">
        <f t="shared" si="45"/>
        <v>15.7</v>
      </c>
      <c r="R26" s="38">
        <f t="shared" si="46"/>
        <v>15.7</v>
      </c>
      <c r="S26" s="31">
        <f>IF(ISNUMBER('와이드(실측)'!O26),'와이드(실측)'!O26+와이드제작!AS26+와이드A늘림,0)</f>
        <v>9</v>
      </c>
      <c r="T26" s="31">
        <f>IF(ISNUMBER('와이드(실측)'!P26),'와이드(실측)'!P26+와이드제작!AT26+와이드A늘림,0)</f>
        <v>10</v>
      </c>
      <c r="U26" s="31">
        <f>'와이드(실측)'!Q26-와이드기둥차감</f>
        <v>2111</v>
      </c>
      <c r="V26" s="31">
        <f>'와이드(실측)'!R26-와이드기둥차감</f>
        <v>2091</v>
      </c>
      <c r="W26" s="31">
        <f>'와이드(실측)'!S26-와이드기둥차감</f>
        <v>2109</v>
      </c>
      <c r="X26" s="31">
        <f>'와이드(실측)'!T26-와이드기둥차감</f>
        <v>2091</v>
      </c>
      <c r="Y26" s="31">
        <f>IF(소장="손상민",IF(ISNUMBER('와이드(실측)'!U26),'와이드(실측)'!U26+1.2,0),IF(ISNUMBER('와이드(실측)'!U26),'와이드(실측)'!U26+와이드U,0))</f>
        <v>41</v>
      </c>
      <c r="Z26" s="31">
        <f>IF(소장="손상민",MAX(Q26,R26)+3.2,IF(ISNUMBER('와이드(실측)'!V26),'와이드(실측)'!V26+1.5+와이드제작!Q26+1,0))</f>
        <v>20.2</v>
      </c>
      <c r="AA26" s="31">
        <f>'와이드(실측)'!W26+뒷날개치수더함</f>
        <v>25</v>
      </c>
      <c r="AB26" s="31">
        <f>'와이드(실측)'!X26+뒷날개치수더함</f>
        <v>25</v>
      </c>
      <c r="AC26" s="31">
        <f>'와이드(실측)'!Y26-와이드늘치</f>
        <v>0</v>
      </c>
      <c r="AD26" s="31">
        <f>IF(와이드JB하부늘치=1,AC26,'와이드(실측)'!Z26-와이드늘치)</f>
        <v>0</v>
      </c>
      <c r="AE26" s="31">
        <f>'와이드(실측)'!AA26-와이드늘치</f>
        <v>0</v>
      </c>
      <c r="AF26" s="31">
        <f>IF(와이드JB하부늘치=1,AE26,'와이드(실측)'!AB26-와이드늘치)</f>
        <v>0</v>
      </c>
      <c r="AG26" s="31">
        <f xml:space="preserve"> IF(소장&lt;&gt;"손상민",IF('와이드(실측)'!AC26&gt;0,'와이드(실측)'!AC26,C26-1.2),IF('와이드(실측)'!AC26&gt;0,'와이드(실측)'!AC26+1.2,C26) )</f>
        <v>268.8</v>
      </c>
      <c r="AH26" s="31">
        <f xml:space="preserve"> IF(소장&lt;&gt;"손상민",IF('와이드(실측)'!AD26&gt;0,'와이드(실측)'!AD26,D26-1.2),IF('와이드(실측)'!AD26&gt;0,'와이드(실측)'!AD26+1.2,D26))</f>
        <v>268.8</v>
      </c>
      <c r="AI26" s="51">
        <f t="shared" si="47"/>
        <v>4.5</v>
      </c>
      <c r="AJ26" s="31" t="str">
        <f t="shared" si="31"/>
        <v>1296*780.4</v>
      </c>
      <c r="AK26" s="31" t="str">
        <f t="shared" si="32"/>
        <v>2379.8*519.2</v>
      </c>
      <c r="AL26" s="31" t="str">
        <f t="shared" si="33"/>
        <v>2377.8*520.2</v>
      </c>
      <c r="AM26" s="31">
        <f>IF('와이드(실측)'!AE26&gt;0,'와이드(실측)'!AE26-'와이드(실측)'!W26+1.2,0)</f>
        <v>0</v>
      </c>
      <c r="AN26" s="31">
        <f>IF('와이드(실측)'!AF26&gt;0,'와이드(실측)'!AF26-'와이드(실측)'!W26+1.2,0)</f>
        <v>0</v>
      </c>
      <c r="AO26" s="31">
        <f>'와이드(실측)'!AG26</f>
        <v>0</v>
      </c>
      <c r="AP26" s="31">
        <f>IF('와이드(실측)'!AH26&gt;5,'와이드(실측)'!AH26+뒷날개치수더함,'와이드(실측)'!AH26)</f>
        <v>0</v>
      </c>
      <c r="AQ26" s="31">
        <f>'와이드(실측)'!AI26</f>
        <v>0</v>
      </c>
      <c r="AR26" s="31">
        <f>'와이드(실측)'!AJ26</f>
        <v>0</v>
      </c>
      <c r="AS26">
        <f>IF(AND(ISNUMBER('와이드(실측)'!P26),ISNUMBER('와이드(실측)'!O26)),IF(ISNUMBER('와이드(실측)'!O26),IF(9-MIN('와이드(실측)'!O26+와이드A늘림,'와이드(실측)'!P26+와이드A늘림)&lt;0,0,9-MIN('와이드(실측)'!O26+와이드A늘림,'와이드(실측)'!P26+와이드A늘림)),0),IF(ISNUMBER('와이드(실측)'!O26),IF(9-'와이드(실측)'!O26-와이드A늘림&lt;0,0,9-'와이드(실측)'!O26-와이드A늘림),0))</f>
        <v>7</v>
      </c>
      <c r="AT26">
        <f>IF(AND(ISNUMBER('와이드(실측)'!O26),ISNUMBER('와이드(실측)'!P26)),IF(ISNUMBER('와이드(실측)'!P26),IF(9-MIN('와이드(실측)'!P26+와이드A늘림,'와이드(실측)'!O26+와이드A늘림)&lt;0,0,9-MIN('와이드(실측)'!P26+와이드A늘림,'와이드(실측)'!O26+와이드A늘림)),0),IF(ISNUMBER('와이드(실측)'!P26),IF(9-'와이드(실측)'!P26-와이드A늘림&lt;0,0,9-'와이드(실측)'!P26-와이드A늘림),0))</f>
        <v>7</v>
      </c>
      <c r="AU26" s="20">
        <f t="shared" si="48"/>
        <v>7.9617508910080943</v>
      </c>
      <c r="AV26" s="21">
        <f t="shared" si="49"/>
        <v>15.671979563143509</v>
      </c>
      <c r="AW26" s="21">
        <f t="shared" si="50"/>
        <v>15.671979563143509</v>
      </c>
      <c r="AX26" s="21">
        <f>'와이드(실측)'!M26+AS26</f>
        <v>15</v>
      </c>
      <c r="AY26" s="21">
        <f>'와이드(실측)'!N26+AS26</f>
        <v>15</v>
      </c>
      <c r="AZ26" s="20">
        <f t="shared" si="51"/>
        <v>0.67197956314350904</v>
      </c>
      <c r="BA26" s="41">
        <f t="shared" si="25"/>
        <v>1296</v>
      </c>
      <c r="BB26" s="42">
        <f>MAX(C26,D26)+MAX(G26,H26)+AA26-1.2*$AJ$3+IF(BI26=0,MAX(AE26,AC26),0)+IF(Y26=0,1.2,0)+IF(Z26=0,1.2,0)+IF(소장&lt;&gt;"손상민", Y26+Z26,IF('와이드(실측)'!U26=0,0,2.4))</f>
        <v>780.40000000000009</v>
      </c>
      <c r="BC26" s="41">
        <f t="shared" si="52"/>
        <v>519.20000000000005</v>
      </c>
      <c r="BD26" s="41">
        <f t="shared" si="53"/>
        <v>2379.8000000000002</v>
      </c>
      <c r="BE26" s="41">
        <f t="shared" si="54"/>
        <v>520.20000000000005</v>
      </c>
      <c r="BF26" s="41">
        <f t="shared" si="55"/>
        <v>2377.8000000000002</v>
      </c>
      <c r="BG26" s="6">
        <f t="shared" si="42"/>
        <v>4.3000000000000007</v>
      </c>
      <c r="BH26" s="43" t="str">
        <f t="shared" si="56"/>
        <v/>
      </c>
      <c r="BI26" s="77">
        <f t="shared" si="57"/>
        <v>1</v>
      </c>
    </row>
    <row r="27" spans="1:61" ht="26.25" customHeight="1" x14ac:dyDescent="0.3">
      <c r="A27" s="31" t="str">
        <f>'와이드(실측)'!A27</f>
        <v>1호기</v>
      </c>
      <c r="B27" s="31" t="str">
        <f>'와이드(실측)'!B27&amp;"F"</f>
        <v>1F</v>
      </c>
      <c r="C27" s="31">
        <f>'와이드(실측)'!C27+와이드MH더함-IF(AND(소장="추영덕",Y27=0),1.2)</f>
        <v>270</v>
      </c>
      <c r="D27" s="31">
        <f>'와이드(실측)'!D27+와이드MH더함-IF(AND(소장="추영덕",Y27=0),1.2)</f>
        <v>270</v>
      </c>
      <c r="E27" s="135">
        <f>'와이드(실측)'!E27-와이드OP</f>
        <v>1097</v>
      </c>
      <c r="F27" s="31">
        <f>'와이드(실측)'!F27-와이드R</f>
        <v>1219</v>
      </c>
      <c r="G27" s="50">
        <f>'와이드(실측)'!G27+와이드JBJD키움치수+IF(BI27=1,AC27,0)</f>
        <v>439</v>
      </c>
      <c r="H27" s="50">
        <f>'와이드(실측)'!H27+와이드JBJD키움치수+IF(BI27=1,AE27,0)</f>
        <v>439</v>
      </c>
      <c r="I27" s="50">
        <f>'와이드(실측)'!I27+MAX(AS27,AT27)+와이드JBJD키움치수+IF(BI27=1,AC27,0)</f>
        <v>458</v>
      </c>
      <c r="J27" s="50">
        <f>'와이드(실측)'!I27+MAX(AS27,AT27)+와이드JBJD키움치수+IF(BI27=1,AD27,0)-IF(와이드JB하부늘치=1,'와이드(실측)'!Y27-'와이드(실측)'!Z27,0)</f>
        <v>458</v>
      </c>
      <c r="K27" s="50">
        <f>'와이드(실측)'!J27+MAX(AS27,AT27)+와이드JBJD키움치수+IF(BI27=1,AE27,0)</f>
        <v>458</v>
      </c>
      <c r="L27" s="50">
        <f>'와이드(실측)'!J27+MAX(AS27,AT27)+와이드JBJD키움치수+IF(BI27=1,AF27,0)-IF(와이드JB하부늘치=1,'와이드(실측)'!AA27-'와이드(실측)'!AB27,0)</f>
        <v>458</v>
      </c>
      <c r="M27" s="31">
        <f t="shared" si="26"/>
        <v>39.5</v>
      </c>
      <c r="N27" s="31">
        <f t="shared" si="27"/>
        <v>39.5</v>
      </c>
      <c r="O27" s="31">
        <f>IF(S27&lt;9,'와이드(실측)'!K27+1.2,IF(ISNUMBER('와이드(실측)'!K27),'와이드(실측)'!K27+와이드C값,0))</f>
        <v>41</v>
      </c>
      <c r="P27" s="31">
        <f>IF(T27&lt;9,'와이드(실측)'!L27+1.2,IF(ISNUMBER('와이드(실측)'!L27),'와이드(실측)'!L27+와이드C값,0))</f>
        <v>41</v>
      </c>
      <c r="Q27" s="32">
        <f t="shared" si="45"/>
        <v>14.7</v>
      </c>
      <c r="R27" s="38">
        <f t="shared" si="46"/>
        <v>14.7</v>
      </c>
      <c r="S27" s="31">
        <f>IF(ISNUMBER('와이드(실측)'!O27),'와이드(실측)'!O27+와이드제작!AS27+와이드A늘림,0)</f>
        <v>9</v>
      </c>
      <c r="T27" s="31">
        <f>IF(ISNUMBER('와이드(실측)'!P27),'와이드(실측)'!P27+와이드제작!AT27+와이드A늘림,0)</f>
        <v>9</v>
      </c>
      <c r="U27" s="31">
        <f>'와이드(실측)'!Q27-와이드기둥차감</f>
        <v>2104</v>
      </c>
      <c r="V27" s="31">
        <f>'와이드(실측)'!R27-와이드기둥차감</f>
        <v>2097</v>
      </c>
      <c r="W27" s="31">
        <f>'와이드(실측)'!S27-와이드기둥차감</f>
        <v>2104</v>
      </c>
      <c r="X27" s="31">
        <f>'와이드(실측)'!T27-와이드기둥차감</f>
        <v>2097</v>
      </c>
      <c r="Y27" s="31">
        <f>IF(소장="손상민",IF(ISNUMBER('와이드(실측)'!U27),'와이드(실측)'!U27+1.2,0),IF(ISNUMBER('와이드(실측)'!U27),'와이드(실측)'!U27+와이드U,0))</f>
        <v>41</v>
      </c>
      <c r="Z27" s="31">
        <f>IF(소장="손상민",MAX(Q27,R27)+3.2,IF(ISNUMBER('와이드(실측)'!V27),'와이드(실측)'!V27+1.5+와이드제작!Q27+1,0))</f>
        <v>19.2</v>
      </c>
      <c r="AA27" s="31">
        <f>'와이드(실측)'!W27+뒷날개치수더함</f>
        <v>25</v>
      </c>
      <c r="AB27" s="31">
        <f>'와이드(실측)'!X27+뒷날개치수더함</f>
        <v>25</v>
      </c>
      <c r="AC27" s="31">
        <f>'와이드(실측)'!Y27-와이드늘치</f>
        <v>0</v>
      </c>
      <c r="AD27" s="31">
        <f>IF(와이드JB하부늘치=1,AC27,'와이드(실측)'!Z27-와이드늘치)</f>
        <v>0</v>
      </c>
      <c r="AE27" s="31">
        <f>'와이드(실측)'!AA27-와이드늘치</f>
        <v>0</v>
      </c>
      <c r="AF27" s="31">
        <f>IF(와이드JB하부늘치=1,AE27,'와이드(실측)'!AB27-와이드늘치)</f>
        <v>0</v>
      </c>
      <c r="AG27" s="31">
        <f xml:space="preserve"> IF(소장&lt;&gt;"손상민",IF('와이드(실측)'!AC27&gt;0,'와이드(실측)'!AC27,C27-1.2),IF('와이드(실측)'!AC27&gt;0,'와이드(실측)'!AC27+1.2,C27) )</f>
        <v>268.8</v>
      </c>
      <c r="AH27" s="31">
        <f xml:space="preserve"> IF(소장&lt;&gt;"손상민",IF('와이드(실측)'!AD27&gt;0,'와이드(실측)'!AD27,D27-1.2),IF('와이드(실측)'!AD27&gt;0,'와이드(실측)'!AD27+1.2,D27))</f>
        <v>268.8</v>
      </c>
      <c r="AI27" s="51">
        <f t="shared" si="47"/>
        <v>4.5</v>
      </c>
      <c r="AJ27" s="31" t="str">
        <f t="shared" si="31"/>
        <v>1298*789.4</v>
      </c>
      <c r="AK27" s="31" t="str">
        <f t="shared" si="32"/>
        <v>2372.8*528.2</v>
      </c>
      <c r="AL27" s="31" t="str">
        <f t="shared" si="33"/>
        <v>2372.8*528.2</v>
      </c>
      <c r="AM27" s="31">
        <f>IF('와이드(실측)'!AE27&gt;0,'와이드(실측)'!AE27-'와이드(실측)'!W27+1.2,0)</f>
        <v>0</v>
      </c>
      <c r="AN27" s="31">
        <f>IF('와이드(실측)'!AF27&gt;0,'와이드(실측)'!AF27-'와이드(실측)'!W27+1.2,0)</f>
        <v>0</v>
      </c>
      <c r="AO27" s="31">
        <f>'와이드(실측)'!AG27</f>
        <v>0</v>
      </c>
      <c r="AP27" s="31">
        <f>IF('와이드(실측)'!AH27&gt;5,'와이드(실측)'!AH27+뒷날개치수더함,'와이드(실측)'!AH27)</f>
        <v>0</v>
      </c>
      <c r="AQ27" s="31">
        <f>'와이드(실측)'!AI27</f>
        <v>0</v>
      </c>
      <c r="AR27" s="31">
        <f>'와이드(실측)'!AJ27</f>
        <v>0</v>
      </c>
      <c r="AS27">
        <f>IF(AND(ISNUMBER('와이드(실측)'!P27),ISNUMBER('와이드(실측)'!O27)),IF(ISNUMBER('와이드(실측)'!O27),IF(9-MIN('와이드(실측)'!O27+와이드A늘림,'와이드(실측)'!P27+와이드A늘림)&lt;0,0,9-MIN('와이드(실측)'!O27+와이드A늘림,'와이드(실측)'!P27+와이드A늘림)),0),IF(ISNUMBER('와이드(실측)'!O27),IF(9-'와이드(실측)'!O27-와이드A늘림&lt;0,0,9-'와이드(실측)'!O27-와이드A늘림),0))</f>
        <v>6</v>
      </c>
      <c r="AT27">
        <f>IF(AND(ISNUMBER('와이드(실측)'!O27),ISNUMBER('와이드(실측)'!P27)),IF(ISNUMBER('와이드(실측)'!P27),IF(9-MIN('와이드(실측)'!P27+와이드A늘림,'와이드(실측)'!O27+와이드A늘림)&lt;0,0,9-MIN('와이드(실측)'!P27+와이드A늘림,'와이드(실측)'!O27+와이드A늘림)),0),IF(ISNUMBER('와이드(실측)'!P27),IF(9-'와이드(실측)'!P27-와이드A늘림&lt;0,0,9-'와이드(실측)'!P27-와이드A늘림),0))</f>
        <v>6</v>
      </c>
      <c r="AU27" s="20">
        <f t="shared" si="48"/>
        <v>7.9107194587744285</v>
      </c>
      <c r="AV27" s="21">
        <f t="shared" si="49"/>
        <v>14.641548992099047</v>
      </c>
      <c r="AW27" s="21">
        <f t="shared" si="50"/>
        <v>14.641548992099047</v>
      </c>
      <c r="AX27" s="21">
        <f>'와이드(실측)'!M27+AS27</f>
        <v>14</v>
      </c>
      <c r="AY27" s="21">
        <f>'와이드(실측)'!N27+AS27</f>
        <v>14</v>
      </c>
      <c r="AZ27" s="20">
        <f t="shared" si="51"/>
        <v>0.6415489920990467</v>
      </c>
      <c r="BA27" s="41">
        <f t="shared" si="25"/>
        <v>1298</v>
      </c>
      <c r="BB27" s="42">
        <f>MAX(C27,D27)+MAX(G27,H27)+AA27-1.2*$AJ$3+IF(BI27=0,MAX(AE27,AC27),0)+IF(Y27=0,1.2,0)+IF(Z27=0,1.2,0)+IF(소장&lt;&gt;"손상민", Y27+Z27,IF('와이드(실측)'!U27=0,0,2.4))</f>
        <v>789.40000000000009</v>
      </c>
      <c r="BC27" s="41">
        <f t="shared" si="52"/>
        <v>528.20000000000005</v>
      </c>
      <c r="BD27" s="41">
        <f t="shared" si="53"/>
        <v>2372.8000000000002</v>
      </c>
      <c r="BE27" s="41">
        <f t="shared" si="54"/>
        <v>528.20000000000005</v>
      </c>
      <c r="BF27" s="41">
        <f t="shared" si="55"/>
        <v>2372.8000000000002</v>
      </c>
      <c r="BG27" s="6">
        <f t="shared" si="42"/>
        <v>4.3000000000000007</v>
      </c>
      <c r="BH27" s="43" t="str">
        <f t="shared" si="56"/>
        <v/>
      </c>
      <c r="BI27" s="77">
        <f t="shared" si="57"/>
        <v>1</v>
      </c>
    </row>
    <row r="28" spans="1:61" ht="26.25" customHeight="1" x14ac:dyDescent="0.3">
      <c r="A28" s="31" t="str">
        <f>'와이드(실측)'!A28</f>
        <v>2호기</v>
      </c>
      <c r="B28" s="31" t="str">
        <f>'와이드(실측)'!B28&amp;"F"</f>
        <v>1F</v>
      </c>
      <c r="C28" s="31">
        <f>'와이드(실측)'!C28+와이드MH더함-IF(AND(소장="추영덕",Y28=0),1.2)</f>
        <v>270</v>
      </c>
      <c r="D28" s="31">
        <f>'와이드(실측)'!D28+와이드MH더함-IF(AND(소장="추영덕",Y28=0),1.2)</f>
        <v>270</v>
      </c>
      <c r="E28" s="135">
        <f>'와이드(실측)'!E28-와이드OP</f>
        <v>1097</v>
      </c>
      <c r="F28" s="31">
        <f>'와이드(실측)'!F28-와이드R</f>
        <v>1220</v>
      </c>
      <c r="G28" s="50">
        <f>'와이드(실측)'!G28+와이드JBJD키움치수+IF(BI28=1,AC28,0)</f>
        <v>439</v>
      </c>
      <c r="H28" s="50">
        <f>'와이드(실측)'!H28+와이드JBJD키움치수+IF(BI28=1,AE28,0)</f>
        <v>439</v>
      </c>
      <c r="I28" s="50">
        <f>'와이드(실측)'!I28+MAX(AS28,AT28)+와이드JBJD키움치수+IF(BI28=1,AC28,0)</f>
        <v>459</v>
      </c>
      <c r="J28" s="50">
        <f>'와이드(실측)'!I28+MAX(AS28,AT28)+와이드JBJD키움치수+IF(BI28=1,AD28,0)-IF(와이드JB하부늘치=1,'와이드(실측)'!Y28-'와이드(실측)'!Z28,0)</f>
        <v>459</v>
      </c>
      <c r="K28" s="50">
        <f>'와이드(실측)'!J28+MAX(AS28,AT28)+와이드JBJD키움치수+IF(BI28=1,AE28,0)</f>
        <v>459</v>
      </c>
      <c r="L28" s="50">
        <f>'와이드(실측)'!J28+MAX(AS28,AT28)+와이드JBJD키움치수+IF(BI28=1,AF28,0)-IF(와이드JB하부늘치=1,'와이드(실측)'!AA28-'와이드(실측)'!AB28,0)</f>
        <v>459</v>
      </c>
      <c r="M28" s="31">
        <f t="shared" si="26"/>
        <v>39.5</v>
      </c>
      <c r="N28" s="31">
        <f t="shared" si="27"/>
        <v>39.5</v>
      </c>
      <c r="O28" s="31">
        <f>IF(S28&lt;9,'와이드(실측)'!K28+1.2,IF(ISNUMBER('와이드(실측)'!K28),'와이드(실측)'!K28+와이드C값,0))</f>
        <v>41</v>
      </c>
      <c r="P28" s="31">
        <f>IF(T28&lt;9,'와이드(실측)'!L28+1.2,IF(ISNUMBER('와이드(실측)'!L28),'와이드(실측)'!L28+와이드C값,0))</f>
        <v>41</v>
      </c>
      <c r="Q28" s="32">
        <f>ROUNDUP(AV28,1)</f>
        <v>15.6</v>
      </c>
      <c r="R28" s="38">
        <f>ROUNDUP(AW28,1)</f>
        <v>15.6</v>
      </c>
      <c r="S28" s="31">
        <f>IF(ISNUMBER('와이드(실측)'!O28),'와이드(실측)'!O28+와이드제작!AS28+와이드A늘림,0)</f>
        <v>9</v>
      </c>
      <c r="T28" s="31">
        <f>IF(ISNUMBER('와이드(실측)'!P28),'와이드(실측)'!P28+와이드제작!AT28+와이드A늘림,0)</f>
        <v>9</v>
      </c>
      <c r="U28" s="31">
        <f>'와이드(실측)'!Q28-와이드기둥차감</f>
        <v>2101</v>
      </c>
      <c r="V28" s="31">
        <f>'와이드(실측)'!R28-와이드기둥차감</f>
        <v>2091</v>
      </c>
      <c r="W28" s="31">
        <f>'와이드(실측)'!S28-와이드기둥차감</f>
        <v>2101</v>
      </c>
      <c r="X28" s="31">
        <f>'와이드(실측)'!T28-와이드기둥차감</f>
        <v>2091</v>
      </c>
      <c r="Y28" s="31">
        <f>IF(소장="손상민",IF(ISNUMBER('와이드(실측)'!U28),'와이드(실측)'!U28+1.2,0),IF(ISNUMBER('와이드(실측)'!U28),'와이드(실측)'!U28+와이드U,0))</f>
        <v>41</v>
      </c>
      <c r="Z28" s="31">
        <f>IF(소장="손상민",MAX(Q28,R28)+3.2,IF(ISNUMBER('와이드(실측)'!V28),'와이드(실측)'!V28+1.5+와이드제작!Q28+1,0))</f>
        <v>20.100000000000001</v>
      </c>
      <c r="AA28" s="31">
        <f>'와이드(실측)'!W28+뒷날개치수더함</f>
        <v>25</v>
      </c>
      <c r="AB28" s="31">
        <f>'와이드(실측)'!X28+뒷날개치수더함</f>
        <v>25</v>
      </c>
      <c r="AC28" s="31">
        <f>'와이드(실측)'!Y28-와이드늘치</f>
        <v>0</v>
      </c>
      <c r="AD28" s="31">
        <f>IF(와이드JB하부늘치=1,AC28,'와이드(실측)'!Z28-와이드늘치)</f>
        <v>0</v>
      </c>
      <c r="AE28" s="31">
        <f>'와이드(실측)'!AA28-와이드늘치</f>
        <v>0</v>
      </c>
      <c r="AF28" s="31">
        <f>IF(와이드JB하부늘치=1,AE28,'와이드(실측)'!AB28-와이드늘치)</f>
        <v>0</v>
      </c>
      <c r="AG28" s="31">
        <f xml:space="preserve"> IF(소장&lt;&gt;"손상민",IF('와이드(실측)'!AC28&gt;0,'와이드(실측)'!AC28,C28-1.2),IF('와이드(실측)'!AC28&gt;0,'와이드(실측)'!AC28+1.2,C28) )</f>
        <v>268.8</v>
      </c>
      <c r="AH28" s="31">
        <f xml:space="preserve"> IF(소장&lt;&gt;"손상민",IF('와이드(실측)'!AD28&gt;0,'와이드(실측)'!AD28,D28-1.2),IF('와이드(실측)'!AD28&gt;0,'와이드(실측)'!AD28+1.2,D28))</f>
        <v>268.8</v>
      </c>
      <c r="AI28" s="51">
        <f>IF(Z28&gt;0,Z28-MAX(Q28,R28),0)</f>
        <v>4.5000000000000018</v>
      </c>
      <c r="AJ28" s="31" t="str">
        <f t="shared" si="31"/>
        <v>1299*790.3</v>
      </c>
      <c r="AK28" s="31" t="str">
        <f t="shared" si="32"/>
        <v>2369.8*529.2</v>
      </c>
      <c r="AL28" s="31" t="str">
        <f t="shared" si="33"/>
        <v>2369.8*529.2</v>
      </c>
      <c r="AM28" s="31">
        <f>IF('와이드(실측)'!AE28&gt;0,'와이드(실측)'!AE28-'와이드(실측)'!W28+1.2,0)</f>
        <v>0</v>
      </c>
      <c r="AN28" s="31">
        <f>IF('와이드(실측)'!AF28&gt;0,'와이드(실측)'!AF28-'와이드(실측)'!W28+1.2,0)</f>
        <v>0</v>
      </c>
      <c r="AO28" s="31">
        <f>'와이드(실측)'!AG28</f>
        <v>0</v>
      </c>
      <c r="AP28" s="31">
        <f>IF('와이드(실측)'!AH28&gt;5,'와이드(실측)'!AH28+뒷날개치수더함,'와이드(실측)'!AH28)</f>
        <v>0</v>
      </c>
      <c r="AQ28" s="31">
        <f>'와이드(실측)'!AI28</f>
        <v>0</v>
      </c>
      <c r="AR28" s="31">
        <f>'와이드(실측)'!AJ28</f>
        <v>0</v>
      </c>
      <c r="AS28">
        <f>IF(AND(ISNUMBER('와이드(실측)'!P28),ISNUMBER('와이드(실측)'!O28)),IF(ISNUMBER('와이드(실측)'!O28),IF(9-MIN('와이드(실측)'!O28+와이드A늘림,'와이드(실측)'!P28+와이드A늘림)&lt;0,0,9-MIN('와이드(실측)'!O28+와이드A늘림,'와이드(실측)'!P28+와이드A늘림)),0),IF(ISNUMBER('와이드(실측)'!O28),IF(9-'와이드(실측)'!O28-와이드A늘림&lt;0,0,9-'와이드(실측)'!O28-와이드A늘림),0))</f>
        <v>7</v>
      </c>
      <c r="AT28">
        <f>IF(AND(ISNUMBER('와이드(실측)'!O28),ISNUMBER('와이드(실측)'!P28)),IF(ISNUMBER('와이드(실측)'!P28),IF(9-MIN('와이드(실측)'!P28+와이드A늘림,'와이드(실측)'!O28+와이드A늘림)&lt;0,0,9-MIN('와이드(실측)'!P28+와이드A늘림,'와이드(실측)'!O28+와이드A늘림)),0),IF(ISNUMBER('와이드(실측)'!P28),IF(9-'와이드(실측)'!P28-와이드A늘림&lt;0,0,9-'와이드(실측)'!P28-와이드A늘림),0))</f>
        <v>7</v>
      </c>
      <c r="AU28" s="20">
        <f>DEGREES(ATAN((F28-E28)/2/(H28)))</f>
        <v>7.9747305461821822</v>
      </c>
      <c r="AV28" s="21">
        <f>ABS(G28-COS(RADIANS(AU28))*I28)</f>
        <v>15.561172871951953</v>
      </c>
      <c r="AW28" s="21">
        <f>ABS(H28-COS(RADIANS(AU28))*K28)</f>
        <v>15.561172871951953</v>
      </c>
      <c r="AX28" s="21">
        <f>'와이드(실측)'!M28+AS28</f>
        <v>15</v>
      </c>
      <c r="AY28" s="21">
        <f>'와이드(실측)'!N28+AS28</f>
        <v>15</v>
      </c>
      <c r="AZ28" s="20">
        <f>AV28-MAX(AX28,AY28)</f>
        <v>0.56117287195195331</v>
      </c>
      <c r="BA28" s="41">
        <f t="shared" ref="BA28:BA34" si="58">IF(소장&lt;&gt;"손상민",F28+IF(Y28+Z28&gt;0,N28+M28,0),F28)</f>
        <v>1299</v>
      </c>
      <c r="BB28" s="42">
        <f>MAX(C28,D28)+MAX(G28,H28)+AA28-1.2*$AJ$3+IF(BI28=0,MAX(AE28,AC28),0)+IF(Y28=0,1.2,0)+IF(Z28=0,1.2,0)+IF(소장&lt;&gt;"손상민", Y28+Z28,IF('와이드(실측)'!U28=0,0,2.4))</f>
        <v>790.30000000000007</v>
      </c>
      <c r="BC28" s="41">
        <f>S28+O28+MAX(I28,J28)+AB28-1.2*$AL$3+IF(BI28=0,MAX(AD28,AC28),0)+IF(S28=0,1.2,0)-IF(AR28=90,2.4,0)</f>
        <v>529.20000000000005</v>
      </c>
      <c r="BD28" s="41">
        <f>MAX(U28,V28)+AG28</f>
        <v>2369.8000000000002</v>
      </c>
      <c r="BE28" s="41">
        <f>T28+P28+MAX(K28,L28)+AB28-1.2*$AL$3+IF(BI28=0,MAX(AE28,AF28),0)+IF(T28=0,1.2,0)-IF(AR28=90,2.4,0)</f>
        <v>529.20000000000005</v>
      </c>
      <c r="BF28" s="41">
        <f>MAX(W28,X28)+AH28</f>
        <v>2369.8000000000002</v>
      </c>
      <c r="BG28" s="6">
        <f t="shared" si="42"/>
        <v>4.4000000000000004</v>
      </c>
      <c r="BH28" s="43" t="str">
        <f>IF(AND(C28&lt;&gt;D28,Y28&gt;0),"NG","")</f>
        <v/>
      </c>
      <c r="BI28" s="77">
        <f>IF(AND(MIN(AC28,AE28)&gt;=9.2,ABS(F28-E28)&gt;15),0,1)</f>
        <v>1</v>
      </c>
    </row>
    <row r="29" spans="1:61" ht="26.25" customHeight="1" x14ac:dyDescent="0.3">
      <c r="A29" s="31" t="str">
        <f>'와이드(실측)'!A29</f>
        <v>1호기</v>
      </c>
      <c r="B29" s="31" t="str">
        <f>'와이드(실측)'!B29&amp;"F"</f>
        <v>B1F</v>
      </c>
      <c r="C29" s="31">
        <f>'와이드(실측)'!C29+와이드MH더함-IF(AND(소장="추영덕",Y29=0),1.2)</f>
        <v>270</v>
      </c>
      <c r="D29" s="31">
        <f>'와이드(실측)'!D29+와이드MH더함-IF(AND(소장="추영덕",Y29=0),1.2)</f>
        <v>270</v>
      </c>
      <c r="E29" s="135">
        <f>'와이드(실측)'!E29-와이드OP</f>
        <v>1097</v>
      </c>
      <c r="F29" s="31">
        <f>'와이드(실측)'!F29-와이드R</f>
        <v>1221</v>
      </c>
      <c r="G29" s="50">
        <f>'와이드(실측)'!G29+와이드JBJD키움치수+IF(BI29=1,AC29,0)</f>
        <v>444</v>
      </c>
      <c r="H29" s="50">
        <f>'와이드(실측)'!H29+와이드JBJD키움치수+IF(BI29=1,AE29,0)</f>
        <v>444</v>
      </c>
      <c r="I29" s="50">
        <f>'와이드(실측)'!I29+MAX(AS29,AT29)+와이드JBJD키움치수+IF(BI29=1,AC29,0)</f>
        <v>464</v>
      </c>
      <c r="J29" s="50">
        <f>'와이드(실측)'!I29+MAX(AS29,AT29)+와이드JBJD키움치수+IF(BI29=1,AD29,0)-IF(와이드JB하부늘치=1,'와이드(실측)'!Y29-'와이드(실측)'!Z29,0)</f>
        <v>464</v>
      </c>
      <c r="K29" s="50">
        <f>'와이드(실측)'!J29+MAX(AS29,AT29)+와이드JBJD키움치수+IF(BI29=1,AE29,0)</f>
        <v>464</v>
      </c>
      <c r="L29" s="50">
        <f>'와이드(실측)'!J29+MAX(AS29,AT29)+와이드JBJD키움치수+IF(BI29=1,AF29,0)-IF(와이드JB하부늘치=1,'와이드(실측)'!AA29-'와이드(실측)'!AB29,0)</f>
        <v>464</v>
      </c>
      <c r="M29" s="31">
        <f t="shared" ref="M29:M34" si="59">IF(소장="손상민",0,O29-1.5)</f>
        <v>39.5</v>
      </c>
      <c r="N29" s="31">
        <f t="shared" ref="N29:N34" si="60">IF(소장="손상민",0,P29-1.5)</f>
        <v>39.5</v>
      </c>
      <c r="O29" s="31">
        <f>IF(S29&lt;9,'와이드(실측)'!K29+1.2,IF(ISNUMBER('와이드(실측)'!K29),'와이드(실측)'!K29+와이드C값,0))</f>
        <v>41</v>
      </c>
      <c r="P29" s="31">
        <f>IF(T29&lt;9,'와이드(실측)'!L29+1.2,IF(ISNUMBER('와이드(실측)'!L29),'와이드(실측)'!L29+와이드C값,0))</f>
        <v>41</v>
      </c>
      <c r="Q29" s="32">
        <f t="shared" ref="Q29:Q34" si="61">ROUNDUP(AV29,1)</f>
        <v>15.6</v>
      </c>
      <c r="R29" s="38">
        <f t="shared" ref="R29:R34" si="62">ROUNDUP(AW29,1)</f>
        <v>15.6</v>
      </c>
      <c r="S29" s="31">
        <f>IF(ISNUMBER('와이드(실측)'!O29),'와이드(실측)'!O29+와이드제작!AS29+와이드A늘림,0)</f>
        <v>9</v>
      </c>
      <c r="T29" s="31">
        <f>IF(ISNUMBER('와이드(실측)'!P29),'와이드(실측)'!P29+와이드제작!AT29+와이드A늘림,0)</f>
        <v>9</v>
      </c>
      <c r="U29" s="31">
        <f>'와이드(실측)'!Q29-와이드기둥차감</f>
        <v>2101</v>
      </c>
      <c r="V29" s="31">
        <f>'와이드(실측)'!R29-와이드기둥차감</f>
        <v>2091</v>
      </c>
      <c r="W29" s="31">
        <f>'와이드(실측)'!S29-와이드기둥차감</f>
        <v>2104</v>
      </c>
      <c r="X29" s="31">
        <f>'와이드(실측)'!T29-와이드기둥차감</f>
        <v>2094</v>
      </c>
      <c r="Y29" s="31">
        <f>IF(소장="손상민",IF(ISNUMBER('와이드(실측)'!U29),'와이드(실측)'!U29+1.2,0),IF(ISNUMBER('와이드(실측)'!U29),'와이드(실측)'!U29+와이드U,0))</f>
        <v>41</v>
      </c>
      <c r="Z29" s="31">
        <f>IF(소장="손상민",MAX(Q29,R29)+3.2,IF(ISNUMBER('와이드(실측)'!V29),'와이드(실측)'!V29+1.5+와이드제작!Q29+1,0))</f>
        <v>20.100000000000001</v>
      </c>
      <c r="AA29" s="31">
        <f>'와이드(실측)'!W29+뒷날개치수더함</f>
        <v>25</v>
      </c>
      <c r="AB29" s="31">
        <f>'와이드(실측)'!X29+뒷날개치수더함</f>
        <v>25</v>
      </c>
      <c r="AC29" s="31">
        <f>'와이드(실측)'!Y29-와이드늘치</f>
        <v>0</v>
      </c>
      <c r="AD29" s="31">
        <f>IF(와이드JB하부늘치=1,AC29,'와이드(실측)'!Z29-와이드늘치)</f>
        <v>0</v>
      </c>
      <c r="AE29" s="31">
        <f>'와이드(실측)'!AA29-와이드늘치</f>
        <v>0</v>
      </c>
      <c r="AF29" s="31">
        <f>IF(와이드JB하부늘치=1,AE29,'와이드(실측)'!AB29-와이드늘치)</f>
        <v>0</v>
      </c>
      <c r="AG29" s="31">
        <f xml:space="preserve"> IF(소장&lt;&gt;"손상민",IF('와이드(실측)'!AC29&gt;0,'와이드(실측)'!AC29,C29-1.2),IF('와이드(실측)'!AC29&gt;0,'와이드(실측)'!AC29+1.2,C29) )</f>
        <v>268.8</v>
      </c>
      <c r="AH29" s="31">
        <f xml:space="preserve"> IF(소장&lt;&gt;"손상민",IF('와이드(실측)'!AD29&gt;0,'와이드(실측)'!AD29,D29-1.2),IF('와이드(실측)'!AD29&gt;0,'와이드(실측)'!AD29+1.2,D29))</f>
        <v>268.8</v>
      </c>
      <c r="AI29" s="51">
        <f t="shared" ref="AI29:AI34" si="63">IF(Z29&gt;0,Z29-MAX(Q29,R29),0)</f>
        <v>4.5000000000000018</v>
      </c>
      <c r="AJ29" s="31" t="str">
        <f t="shared" ref="AJ29:AJ34" si="64">BA29&amp;"*"&amp;BB29</f>
        <v>1300*795.3</v>
      </c>
      <c r="AK29" s="31" t="str">
        <f t="shared" ref="AK29:AK34" si="65">BD29&amp;"*"&amp;BC29</f>
        <v>2369.8*534.2</v>
      </c>
      <c r="AL29" s="31" t="str">
        <f t="shared" ref="AL29:AL34" si="66">BF29&amp;"*"&amp;BE29</f>
        <v>2372.8*534.2</v>
      </c>
      <c r="AM29" s="31">
        <f>IF('와이드(실측)'!AE29&gt;0,'와이드(실측)'!AE29-'와이드(실측)'!W29+1.2,0)</f>
        <v>0</v>
      </c>
      <c r="AN29" s="31">
        <f>IF('와이드(실측)'!AF29&gt;0,'와이드(실측)'!AF29-'와이드(실측)'!W29+1.2,0)</f>
        <v>0</v>
      </c>
      <c r="AO29" s="31">
        <f>'와이드(실측)'!AG29</f>
        <v>0</v>
      </c>
      <c r="AP29" s="31">
        <f>IF('와이드(실측)'!AH29&gt;5,'와이드(실측)'!AH29+뒷날개치수더함,'와이드(실측)'!AH29)</f>
        <v>0</v>
      </c>
      <c r="AQ29" s="31">
        <f>'와이드(실측)'!AI29</f>
        <v>0</v>
      </c>
      <c r="AR29" s="31">
        <f>'와이드(실측)'!AJ29</f>
        <v>0</v>
      </c>
      <c r="AS29">
        <f>IF(AND(ISNUMBER('와이드(실측)'!P29),ISNUMBER('와이드(실측)'!O29)),IF(ISNUMBER('와이드(실측)'!O29),IF(9-MIN('와이드(실측)'!O29+와이드A늘림,'와이드(실측)'!P29+와이드A늘림)&lt;0,0,9-MIN('와이드(실측)'!O29+와이드A늘림,'와이드(실측)'!P29+와이드A늘림)),0),IF(ISNUMBER('와이드(실측)'!O29),IF(9-'와이드(실측)'!O29-와이드A늘림&lt;0,0,9-'와이드(실측)'!O29-와이드A늘림),0))</f>
        <v>7</v>
      </c>
      <c r="AT29">
        <f>IF(AND(ISNUMBER('와이드(실측)'!O29),ISNUMBER('와이드(실측)'!P29)),IF(ISNUMBER('와이드(실측)'!P29),IF(9-MIN('와이드(실측)'!P29+와이드A늘림,'와이드(실측)'!O29+와이드A늘림)&lt;0,0,9-MIN('와이드(실측)'!P29+와이드A늘림,'와이드(실측)'!O29+와이드A늘림)),0),IF(ISNUMBER('와이드(실측)'!P29),IF(9-'와이드(실측)'!P29-와이드A늘림&lt;0,0,9-'와이드(실측)'!P29-와이드A늘림),0))</f>
        <v>7</v>
      </c>
      <c r="AU29" s="20">
        <f t="shared" ref="AU29:AU34" si="67">DEGREES(ATAN((F29-E29)/2/(H29)))</f>
        <v>7.9493591697469492</v>
      </c>
      <c r="AV29" s="21">
        <f t="shared" ref="AV29:AV34" si="68">ABS(G29-COS(RADIANS(AU29))*I29)</f>
        <v>15.541280145783674</v>
      </c>
      <c r="AW29" s="21">
        <f t="shared" ref="AW29:AW34" si="69">ABS(H29-COS(RADIANS(AU29))*K29)</f>
        <v>15.541280145783674</v>
      </c>
      <c r="AX29" s="21">
        <f>'와이드(실측)'!M29+AS29</f>
        <v>16</v>
      </c>
      <c r="AY29" s="21">
        <f>'와이드(실측)'!N29+AS29</f>
        <v>15</v>
      </c>
      <c r="AZ29" s="20">
        <f t="shared" ref="AZ29:AZ34" si="70">AV29-MAX(AX29,AY29)</f>
        <v>-0.45871985421632644</v>
      </c>
      <c r="BA29" s="41">
        <f t="shared" si="58"/>
        <v>1300</v>
      </c>
      <c r="BB29" s="42">
        <f>MAX(C29,D29)+MAX(G29,H29)+AA29-1.2*$AJ$3+IF(BI29=0,MAX(AE29,AC29),0)+IF(Y29=0,1.2,0)+IF(Z29=0,1.2,0)+IF(소장&lt;&gt;"손상민", Y29+Z29,IF('와이드(실측)'!U29=0,0,2.4))</f>
        <v>795.30000000000007</v>
      </c>
      <c r="BC29" s="41">
        <f t="shared" ref="BC29:BC34" si="71">S29+O29+MAX(I29,J29)+AB29-1.2*$AL$3+IF(BI29=0,MAX(AD29,AC29),0)+IF(S29=0,1.2,0)-IF(AR29=90,2.4,0)</f>
        <v>534.20000000000005</v>
      </c>
      <c r="BD29" s="41">
        <f t="shared" ref="BD29:BD34" si="72">MAX(U29,V29)+AG29</f>
        <v>2369.8000000000002</v>
      </c>
      <c r="BE29" s="41">
        <f t="shared" ref="BE29:BE34" si="73">T29+P29+MAX(K29,L29)+AB29-1.2*$AL$3+IF(BI29=0,MAX(AE29,AF29),0)+IF(T29=0,1.2,0)-IF(AR29=90,2.4,0)</f>
        <v>534.20000000000005</v>
      </c>
      <c r="BF29" s="41">
        <f t="shared" ref="BF29:BF34" si="74">MAX(W29,X29)+AH29</f>
        <v>2372.8000000000002</v>
      </c>
      <c r="BG29" s="6">
        <f t="shared" ref="BG29:BG34" si="75">I29-G29-Q29</f>
        <v>4.4000000000000004</v>
      </c>
      <c r="BH29" s="43" t="str">
        <f t="shared" ref="BH29:BH34" si="76">IF(AND(C29&lt;&gt;D29,Y29&gt;0),"NG","")</f>
        <v/>
      </c>
      <c r="BI29" s="77">
        <f t="shared" ref="BI29:BI34" si="77">IF(AND(MIN(AC29,AE29)&gt;=9.2,ABS(F29-E29)&gt;15),0,1)</f>
        <v>1</v>
      </c>
    </row>
    <row r="30" spans="1:61" ht="26.25" customHeight="1" x14ac:dyDescent="0.3">
      <c r="A30" s="31" t="str">
        <f>'와이드(실측)'!A30</f>
        <v>2호기</v>
      </c>
      <c r="B30" s="31" t="str">
        <f>'와이드(실측)'!B30&amp;"F"</f>
        <v>B1F</v>
      </c>
      <c r="C30" s="31">
        <f>'와이드(실측)'!C30+와이드MH더함-IF(AND(소장="추영덕",Y30=0),1.2)</f>
        <v>270</v>
      </c>
      <c r="D30" s="31">
        <f>'와이드(실측)'!D30+와이드MH더함-IF(AND(소장="추영덕",Y30=0),1.2)</f>
        <v>270</v>
      </c>
      <c r="E30" s="135">
        <f>'와이드(실측)'!E30-와이드OP</f>
        <v>1097</v>
      </c>
      <c r="F30" s="31">
        <f>'와이드(실측)'!F30-와이드R</f>
        <v>1221</v>
      </c>
      <c r="G30" s="50">
        <f>'와이드(실측)'!G30+와이드JBJD키움치수+IF(BI30=1,AC30,0)</f>
        <v>444</v>
      </c>
      <c r="H30" s="50">
        <f>'와이드(실측)'!H30+와이드JBJD키움치수+IF(BI30=1,AE30,0)</f>
        <v>444</v>
      </c>
      <c r="I30" s="50">
        <f>'와이드(실측)'!I30+MAX(AS30,AT30)+와이드JBJD키움치수+IF(BI30=1,AC30,0)</f>
        <v>464</v>
      </c>
      <c r="J30" s="50">
        <f>'와이드(실측)'!I30+MAX(AS30,AT30)+와이드JBJD키움치수+IF(BI30=1,AD30,0)-IF(와이드JB하부늘치=1,'와이드(실측)'!Y30-'와이드(실측)'!Z30,0)</f>
        <v>464</v>
      </c>
      <c r="K30" s="50">
        <f>'와이드(실측)'!J30+MAX(AS30,AT30)+와이드JBJD키움치수+IF(BI30=1,AE30,0)</f>
        <v>464</v>
      </c>
      <c r="L30" s="50">
        <f>'와이드(실측)'!J30+MAX(AS30,AT30)+와이드JBJD키움치수+IF(BI30=1,AF30,0)-IF(와이드JB하부늘치=1,'와이드(실측)'!AA30-'와이드(실측)'!AB30,0)</f>
        <v>464</v>
      </c>
      <c r="M30" s="31">
        <f t="shared" si="59"/>
        <v>39.5</v>
      </c>
      <c r="N30" s="31">
        <f t="shared" si="60"/>
        <v>39.5</v>
      </c>
      <c r="O30" s="31">
        <f>IF(S30&lt;9,'와이드(실측)'!K30+1.2,IF(ISNUMBER('와이드(실측)'!K30),'와이드(실측)'!K30+와이드C값,0))</f>
        <v>41</v>
      </c>
      <c r="P30" s="31">
        <f>IF(T30&lt;9,'와이드(실측)'!L30+1.2,IF(ISNUMBER('와이드(실측)'!L30),'와이드(실측)'!L30+와이드C값,0))</f>
        <v>41</v>
      </c>
      <c r="Q30" s="32">
        <f t="shared" si="61"/>
        <v>15.6</v>
      </c>
      <c r="R30" s="38">
        <f t="shared" si="62"/>
        <v>15.6</v>
      </c>
      <c r="S30" s="31">
        <f>IF(ISNUMBER('와이드(실측)'!O30),'와이드(실측)'!O30+와이드제작!AS30+와이드A늘림,0)</f>
        <v>9</v>
      </c>
      <c r="T30" s="31">
        <f>IF(ISNUMBER('와이드(실측)'!P30),'와이드(실측)'!P30+와이드제작!AT30+와이드A늘림,0)</f>
        <v>9</v>
      </c>
      <c r="U30" s="31">
        <f>'와이드(실측)'!Q30-와이드기둥차감</f>
        <v>2097</v>
      </c>
      <c r="V30" s="31">
        <f>'와이드(실측)'!R30-와이드기둥차감</f>
        <v>2087</v>
      </c>
      <c r="W30" s="31">
        <f>'와이드(실측)'!S30-와이드기둥차감</f>
        <v>2100</v>
      </c>
      <c r="X30" s="31">
        <f>'와이드(실측)'!T30-와이드기둥차감</f>
        <v>2089</v>
      </c>
      <c r="Y30" s="31">
        <f>IF(소장="손상민",IF(ISNUMBER('와이드(실측)'!U30),'와이드(실측)'!U30+1.2,0),IF(ISNUMBER('와이드(실측)'!U30),'와이드(실측)'!U30+와이드U,0))</f>
        <v>41</v>
      </c>
      <c r="Z30" s="31">
        <f>IF(소장="손상민",MAX(Q30,R30)+3.2,IF(ISNUMBER('와이드(실측)'!V30),'와이드(실측)'!V30+1.5+와이드제작!Q30+1,0))</f>
        <v>20.100000000000001</v>
      </c>
      <c r="AA30" s="31">
        <f>'와이드(실측)'!W30+뒷날개치수더함</f>
        <v>25</v>
      </c>
      <c r="AB30" s="31">
        <f>'와이드(실측)'!X30+뒷날개치수더함</f>
        <v>25</v>
      </c>
      <c r="AC30" s="31">
        <f>'와이드(실측)'!Y30-와이드늘치</f>
        <v>0</v>
      </c>
      <c r="AD30" s="31">
        <f>IF(와이드JB하부늘치=1,AC30,'와이드(실측)'!Z30-와이드늘치)</f>
        <v>0</v>
      </c>
      <c r="AE30" s="31">
        <f>'와이드(실측)'!AA30-와이드늘치</f>
        <v>0</v>
      </c>
      <c r="AF30" s="31">
        <f>IF(와이드JB하부늘치=1,AE30,'와이드(실측)'!AB30-와이드늘치)</f>
        <v>0</v>
      </c>
      <c r="AG30" s="31">
        <f xml:space="preserve"> IF(소장&lt;&gt;"손상민",IF('와이드(실측)'!AC30&gt;0,'와이드(실측)'!AC30,C30-1.2),IF('와이드(실측)'!AC30&gt;0,'와이드(실측)'!AC30+1.2,C30) )</f>
        <v>268.8</v>
      </c>
      <c r="AH30" s="31">
        <f xml:space="preserve"> IF(소장&lt;&gt;"손상민",IF('와이드(실측)'!AD30&gt;0,'와이드(실측)'!AD30,D30-1.2),IF('와이드(실측)'!AD30&gt;0,'와이드(실측)'!AD30+1.2,D30))</f>
        <v>268.8</v>
      </c>
      <c r="AI30" s="51">
        <f t="shared" si="63"/>
        <v>4.5000000000000018</v>
      </c>
      <c r="AJ30" s="31" t="str">
        <f t="shared" si="64"/>
        <v>1300*795.3</v>
      </c>
      <c r="AK30" s="31" t="str">
        <f t="shared" si="65"/>
        <v>2365.8*534.2</v>
      </c>
      <c r="AL30" s="31" t="str">
        <f t="shared" si="66"/>
        <v>2368.8*534.2</v>
      </c>
      <c r="AM30" s="31">
        <f>IF('와이드(실측)'!AE30&gt;0,'와이드(실측)'!AE30-'와이드(실측)'!W30+1.2,0)</f>
        <v>0</v>
      </c>
      <c r="AN30" s="31">
        <f>IF('와이드(실측)'!AF30&gt;0,'와이드(실측)'!AF30-'와이드(실측)'!W30+1.2,0)</f>
        <v>0</v>
      </c>
      <c r="AO30" s="31">
        <f>'와이드(실측)'!AG30</f>
        <v>0</v>
      </c>
      <c r="AP30" s="31">
        <f>IF('와이드(실측)'!AH30&gt;5,'와이드(실측)'!AH30+뒷날개치수더함,'와이드(실측)'!AH30)</f>
        <v>0</v>
      </c>
      <c r="AQ30" s="31">
        <f>'와이드(실측)'!AI30</f>
        <v>0</v>
      </c>
      <c r="AR30" s="31">
        <f>'와이드(실측)'!AJ30</f>
        <v>0</v>
      </c>
      <c r="AS30">
        <f>IF(AND(ISNUMBER('와이드(실측)'!P30),ISNUMBER('와이드(실측)'!O30)),IF(ISNUMBER('와이드(실측)'!O30),IF(9-MIN('와이드(실측)'!O30+와이드A늘림,'와이드(실측)'!P30+와이드A늘림)&lt;0,0,9-MIN('와이드(실측)'!O30+와이드A늘림,'와이드(실측)'!P30+와이드A늘림)),0),IF(ISNUMBER('와이드(실측)'!O30),IF(9-'와이드(실측)'!O30-와이드A늘림&lt;0,0,9-'와이드(실측)'!O30-와이드A늘림),0))</f>
        <v>7</v>
      </c>
      <c r="AT30">
        <f>IF(AND(ISNUMBER('와이드(실측)'!O30),ISNUMBER('와이드(실측)'!P30)),IF(ISNUMBER('와이드(실측)'!P30),IF(9-MIN('와이드(실측)'!P30+와이드A늘림,'와이드(실측)'!O30+와이드A늘림)&lt;0,0,9-MIN('와이드(실측)'!P30+와이드A늘림,'와이드(실측)'!O30+와이드A늘림)),0),IF(ISNUMBER('와이드(실측)'!P30),IF(9-'와이드(실측)'!P30-와이드A늘림&lt;0,0,9-'와이드(실측)'!P30-와이드A늘림),0))</f>
        <v>7</v>
      </c>
      <c r="AU30" s="20">
        <f t="shared" si="67"/>
        <v>7.9493591697469492</v>
      </c>
      <c r="AV30" s="21">
        <f t="shared" si="68"/>
        <v>15.541280145783674</v>
      </c>
      <c r="AW30" s="21">
        <f t="shared" si="69"/>
        <v>15.541280145783674</v>
      </c>
      <c r="AX30" s="21">
        <f>'와이드(실측)'!M30+AS30</f>
        <v>15</v>
      </c>
      <c r="AY30" s="21">
        <f>'와이드(실측)'!N30+AS30</f>
        <v>15</v>
      </c>
      <c r="AZ30" s="20">
        <f t="shared" si="70"/>
        <v>0.54128014578367356</v>
      </c>
      <c r="BA30" s="41">
        <f t="shared" si="58"/>
        <v>1300</v>
      </c>
      <c r="BB30" s="42">
        <f>MAX(C30,D30)+MAX(G30,H30)+AA30-1.2*$AJ$3+IF(BI30=0,MAX(AE30,AC30),0)+IF(Y30=0,1.2,0)+IF(Z30=0,1.2,0)+IF(소장&lt;&gt;"손상민", Y30+Z30,IF('와이드(실측)'!U30=0,0,2.4))</f>
        <v>795.30000000000007</v>
      </c>
      <c r="BC30" s="41">
        <f t="shared" si="71"/>
        <v>534.20000000000005</v>
      </c>
      <c r="BD30" s="41">
        <f t="shared" si="72"/>
        <v>2365.8000000000002</v>
      </c>
      <c r="BE30" s="41">
        <f t="shared" si="73"/>
        <v>534.20000000000005</v>
      </c>
      <c r="BF30" s="41">
        <f t="shared" si="74"/>
        <v>2368.8000000000002</v>
      </c>
      <c r="BG30" s="6">
        <f t="shared" si="75"/>
        <v>4.4000000000000004</v>
      </c>
      <c r="BH30" s="43" t="str">
        <f t="shared" si="76"/>
        <v/>
      </c>
      <c r="BI30" s="77">
        <f t="shared" si="77"/>
        <v>1</v>
      </c>
    </row>
    <row r="31" spans="1:61" ht="26.25" customHeight="1" x14ac:dyDescent="0.3">
      <c r="A31" s="31" t="str">
        <f>'와이드(실측)'!A31</f>
        <v>1호기</v>
      </c>
      <c r="B31" s="31" t="str">
        <f>'와이드(실측)'!B31&amp;"F"</f>
        <v>1F</v>
      </c>
      <c r="C31" s="31">
        <f>'와이드(실측)'!C31+와이드MH더함-IF(AND(소장="추영덕",Y31=0),1.2)</f>
        <v>270</v>
      </c>
      <c r="D31" s="31">
        <f>'와이드(실측)'!D31+와이드MH더함-IF(AND(소장="추영덕",Y31=0),1.2)</f>
        <v>270</v>
      </c>
      <c r="E31" s="135">
        <f>'와이드(실측)'!E31-와이드OP</f>
        <v>1097</v>
      </c>
      <c r="F31" s="31">
        <f>'와이드(실측)'!F31-와이드R</f>
        <v>1219</v>
      </c>
      <c r="G31" s="50">
        <f>'와이드(실측)'!G31+와이드JBJD키움치수+IF(BI31=1,AC31,0)</f>
        <v>437</v>
      </c>
      <c r="H31" s="50">
        <f>'와이드(실측)'!H31+와이드JBJD키움치수+IF(BI31=1,AE31,0)</f>
        <v>437</v>
      </c>
      <c r="I31" s="50">
        <f>'와이드(실측)'!I31+MAX(AS31,AT31)+와이드JBJD키움치수+IF(BI31=1,AC31,0)</f>
        <v>455</v>
      </c>
      <c r="J31" s="50">
        <f>'와이드(실측)'!I31+MAX(AS31,AT31)+와이드JBJD키움치수+IF(BI31=1,AD31,0)-IF(와이드JB하부늘치=1,'와이드(실측)'!Y31-'와이드(실측)'!Z31,0)</f>
        <v>455</v>
      </c>
      <c r="K31" s="50">
        <f>'와이드(실측)'!J31+MAX(AS31,AT31)+와이드JBJD키움치수+IF(BI31=1,AE31,0)</f>
        <v>455</v>
      </c>
      <c r="L31" s="50">
        <f>'와이드(실측)'!J31+MAX(AS31,AT31)+와이드JBJD키움치수+IF(BI31=1,AF31,0)-IF(와이드JB하부늘치=1,'와이드(실측)'!AA31-'와이드(실측)'!AB31,0)</f>
        <v>455</v>
      </c>
      <c r="M31" s="31">
        <f t="shared" si="59"/>
        <v>39.5</v>
      </c>
      <c r="N31" s="31">
        <f t="shared" si="60"/>
        <v>39.5</v>
      </c>
      <c r="O31" s="31">
        <f>IF(S31&lt;9,'와이드(실측)'!K31+1.2,IF(ISNUMBER('와이드(실측)'!K31),'와이드(실측)'!K31+와이드C값,0))</f>
        <v>41</v>
      </c>
      <c r="P31" s="31">
        <f>IF(T31&lt;9,'와이드(실측)'!L31+1.2,IF(ISNUMBER('와이드(실측)'!L31),'와이드(실측)'!L31+와이드C값,0))</f>
        <v>41</v>
      </c>
      <c r="Q31" s="32">
        <f t="shared" si="61"/>
        <v>13.7</v>
      </c>
      <c r="R31" s="38">
        <f t="shared" si="62"/>
        <v>13.7</v>
      </c>
      <c r="S31" s="31">
        <f>IF(ISNUMBER('와이드(실측)'!O31),'와이드(실측)'!O31+와이드제작!AS31+와이드A늘림,0)</f>
        <v>9</v>
      </c>
      <c r="T31" s="31">
        <f>IF(ISNUMBER('와이드(실측)'!P31),'와이드(실측)'!P31+와이드제작!AT31+와이드A늘림,0)</f>
        <v>10</v>
      </c>
      <c r="U31" s="31">
        <f>'와이드(실측)'!Q31-와이드기둥차감</f>
        <v>2094</v>
      </c>
      <c r="V31" s="31">
        <f>'와이드(실측)'!R31-와이드기둥차감</f>
        <v>2087</v>
      </c>
      <c r="W31" s="31">
        <f>'와이드(실측)'!S31-와이드기둥차감</f>
        <v>2093</v>
      </c>
      <c r="X31" s="31">
        <f>'와이드(실측)'!T31-와이드기둥차감</f>
        <v>2087</v>
      </c>
      <c r="Y31" s="31">
        <f>IF(소장="손상민",IF(ISNUMBER('와이드(실측)'!U31),'와이드(실측)'!U31+1.2,0),IF(ISNUMBER('와이드(실측)'!U31),'와이드(실측)'!U31+와이드U,0))</f>
        <v>41</v>
      </c>
      <c r="Z31" s="31">
        <f>IF(소장="손상민",MAX(Q31,R31)+3.2,IF(ISNUMBER('와이드(실측)'!V31),'와이드(실측)'!V31+1.5+와이드제작!Q31+1,0))</f>
        <v>18.2</v>
      </c>
      <c r="AA31" s="31">
        <f>'와이드(실측)'!W31+뒷날개치수더함</f>
        <v>25</v>
      </c>
      <c r="AB31" s="31">
        <f>'와이드(실측)'!X31+뒷날개치수더함</f>
        <v>25</v>
      </c>
      <c r="AC31" s="31">
        <f>'와이드(실측)'!Y31-와이드늘치</f>
        <v>0</v>
      </c>
      <c r="AD31" s="31">
        <f>IF(와이드JB하부늘치=1,AC31,'와이드(실측)'!Z31-와이드늘치)</f>
        <v>0</v>
      </c>
      <c r="AE31" s="31">
        <f>'와이드(실측)'!AA31-와이드늘치</f>
        <v>0</v>
      </c>
      <c r="AF31" s="31">
        <f>IF(와이드JB하부늘치=1,AE31,'와이드(실측)'!AB31-와이드늘치)</f>
        <v>0</v>
      </c>
      <c r="AG31" s="31">
        <f xml:space="preserve"> IF(소장&lt;&gt;"손상민",IF('와이드(실측)'!AC31&gt;0,'와이드(실측)'!AC31,C31-1.2),IF('와이드(실측)'!AC31&gt;0,'와이드(실측)'!AC31+1.2,C31) )</f>
        <v>268.8</v>
      </c>
      <c r="AH31" s="31">
        <f xml:space="preserve"> IF(소장&lt;&gt;"손상민",IF('와이드(실측)'!AD31&gt;0,'와이드(실측)'!AD31,D31-1.2),IF('와이드(실측)'!AD31&gt;0,'와이드(실측)'!AD31+1.2,D31))</f>
        <v>268.8</v>
      </c>
      <c r="AI31" s="51">
        <f t="shared" si="63"/>
        <v>4.5</v>
      </c>
      <c r="AJ31" s="31" t="str">
        <f t="shared" si="64"/>
        <v>1298*786.4</v>
      </c>
      <c r="AK31" s="31" t="str">
        <f t="shared" si="65"/>
        <v>2362.8*525.2</v>
      </c>
      <c r="AL31" s="31" t="str">
        <f t="shared" si="66"/>
        <v>2361.8*526.2</v>
      </c>
      <c r="AM31" s="31">
        <f>IF('와이드(실측)'!AE31&gt;0,'와이드(실측)'!AE31-'와이드(실측)'!W31+1.2,0)</f>
        <v>0</v>
      </c>
      <c r="AN31" s="31">
        <f>IF('와이드(실측)'!AF31&gt;0,'와이드(실측)'!AF31-'와이드(실측)'!W31+1.2,0)</f>
        <v>0</v>
      </c>
      <c r="AO31" s="31">
        <f>'와이드(실측)'!AG31</f>
        <v>0</v>
      </c>
      <c r="AP31" s="31">
        <f>IF('와이드(실측)'!AH31&gt;5,'와이드(실측)'!AH31+뒷날개치수더함,'와이드(실측)'!AH31)</f>
        <v>0</v>
      </c>
      <c r="AQ31" s="31">
        <f>'와이드(실측)'!AI31</f>
        <v>0</v>
      </c>
      <c r="AR31" s="31">
        <f>'와이드(실측)'!AJ31</f>
        <v>0</v>
      </c>
      <c r="AS31">
        <f>IF(AND(ISNUMBER('와이드(실측)'!P31),ISNUMBER('와이드(실측)'!O31)),IF(ISNUMBER('와이드(실측)'!O31),IF(9-MIN('와이드(실측)'!O31+와이드A늘림,'와이드(실측)'!P31+와이드A늘림)&lt;0,0,9-MIN('와이드(실측)'!O31+와이드A늘림,'와이드(실측)'!P31+와이드A늘림)),0),IF(ISNUMBER('와이드(실측)'!O31),IF(9-'와이드(실측)'!O31-와이드A늘림&lt;0,0,9-'와이드(실측)'!O31-와이드A늘림),0))</f>
        <v>5</v>
      </c>
      <c r="AT31">
        <f>IF(AND(ISNUMBER('와이드(실측)'!O31),ISNUMBER('와이드(실측)'!P31)),IF(ISNUMBER('와이드(실측)'!P31),IF(9-MIN('와이드(실측)'!P31+와이드A늘림,'와이드(실측)'!O31+와이드A늘림)&lt;0,0,9-MIN('와이드(실측)'!P31+와이드A늘림,'와이드(실측)'!O31+와이드A늘림)),0),IF(ISNUMBER('와이드(실측)'!P31),IF(9-'와이드(실측)'!P31-와이드A늘림&lt;0,0,9-'와이드(실측)'!P31-와이드A늘림),0))</f>
        <v>5</v>
      </c>
      <c r="AU31" s="20">
        <f t="shared" si="67"/>
        <v>7.9464626640362033</v>
      </c>
      <c r="AV31" s="21">
        <f t="shared" si="68"/>
        <v>13.630944468290807</v>
      </c>
      <c r="AW31" s="21">
        <f t="shared" si="69"/>
        <v>13.630944468290807</v>
      </c>
      <c r="AX31" s="21">
        <f>'와이드(실측)'!M31+AS31</f>
        <v>15</v>
      </c>
      <c r="AY31" s="21">
        <f>'와이드(실측)'!N31+AS31</f>
        <v>16</v>
      </c>
      <c r="AZ31" s="20">
        <f t="shared" si="70"/>
        <v>-2.3690555317091935</v>
      </c>
      <c r="BA31" s="41">
        <f t="shared" si="58"/>
        <v>1298</v>
      </c>
      <c r="BB31" s="42">
        <f>MAX(C31,D31)+MAX(G31,H31)+AA31-1.2*$AJ$3+IF(BI31=0,MAX(AE31,AC31),0)+IF(Y31=0,1.2,0)+IF(Z31=0,1.2,0)+IF(소장&lt;&gt;"손상민", Y31+Z31,IF('와이드(실측)'!U31=0,0,2.4))</f>
        <v>786.40000000000009</v>
      </c>
      <c r="BC31" s="41">
        <f t="shared" si="71"/>
        <v>525.20000000000005</v>
      </c>
      <c r="BD31" s="41">
        <f t="shared" si="72"/>
        <v>2362.8000000000002</v>
      </c>
      <c r="BE31" s="41">
        <f t="shared" si="73"/>
        <v>526.20000000000005</v>
      </c>
      <c r="BF31" s="41">
        <f t="shared" si="74"/>
        <v>2361.8000000000002</v>
      </c>
      <c r="BG31" s="6">
        <f t="shared" si="75"/>
        <v>4.3000000000000007</v>
      </c>
      <c r="BH31" s="43" t="str">
        <f t="shared" si="76"/>
        <v/>
      </c>
      <c r="BI31" s="77">
        <f t="shared" si="77"/>
        <v>1</v>
      </c>
    </row>
    <row r="32" spans="1:61" ht="26.25" customHeight="1" x14ac:dyDescent="0.3">
      <c r="A32" s="31" t="str">
        <f>'와이드(실측)'!A32</f>
        <v>2호기</v>
      </c>
      <c r="B32" s="31" t="str">
        <f>'와이드(실측)'!B32&amp;"F"</f>
        <v>1F</v>
      </c>
      <c r="C32" s="31">
        <f>'와이드(실측)'!C32+와이드MH더함-IF(AND(소장="추영덕",Y32=0),1.2)</f>
        <v>270</v>
      </c>
      <c r="D32" s="31">
        <f>'와이드(실측)'!D32+와이드MH더함-IF(AND(소장="추영덕",Y32=0),1.2)</f>
        <v>270</v>
      </c>
      <c r="E32" s="135">
        <f>'와이드(실측)'!E32-와이드OP</f>
        <v>1097</v>
      </c>
      <c r="F32" s="31">
        <f>'와이드(실측)'!F32-와이드R</f>
        <v>1219</v>
      </c>
      <c r="G32" s="50">
        <f>'와이드(실측)'!G32+와이드JBJD키움치수+IF(BI32=1,AC32,0)</f>
        <v>435</v>
      </c>
      <c r="H32" s="50">
        <f>'와이드(실측)'!H32+와이드JBJD키움치수+IF(BI32=1,AE32,0)</f>
        <v>435</v>
      </c>
      <c r="I32" s="50">
        <f>'와이드(실측)'!I32+MAX(AS32,AT32)+와이드JBJD키움치수+IF(BI32=1,AC32,0)</f>
        <v>453</v>
      </c>
      <c r="J32" s="50">
        <f>'와이드(실측)'!I32+MAX(AS32,AT32)+와이드JBJD키움치수+IF(BI32=1,AD32,0)-IF(와이드JB하부늘치=1,'와이드(실측)'!Y32-'와이드(실측)'!Z32,0)</f>
        <v>453</v>
      </c>
      <c r="K32" s="50">
        <f>'와이드(실측)'!J32+MAX(AS32,AT32)+와이드JBJD키움치수+IF(BI32=1,AE32,0)</f>
        <v>453</v>
      </c>
      <c r="L32" s="50">
        <f>'와이드(실측)'!J32+MAX(AS32,AT32)+와이드JBJD키움치수+IF(BI32=1,AF32,0)-IF(와이드JB하부늘치=1,'와이드(실측)'!AA32-'와이드(실측)'!AB32,0)</f>
        <v>453</v>
      </c>
      <c r="M32" s="31">
        <f t="shared" si="59"/>
        <v>39.5</v>
      </c>
      <c r="N32" s="31">
        <f t="shared" si="60"/>
        <v>39.5</v>
      </c>
      <c r="O32" s="31">
        <f>IF(S32&lt;9,'와이드(실측)'!K32+1.2,IF(ISNUMBER('와이드(실측)'!K32),'와이드(실측)'!K32+와이드C값,0))</f>
        <v>41</v>
      </c>
      <c r="P32" s="31">
        <f>IF(T32&lt;9,'와이드(실측)'!L32+1.2,IF(ISNUMBER('와이드(실측)'!L32),'와이드(실측)'!L32+와이드C값,0))</f>
        <v>41</v>
      </c>
      <c r="Q32" s="32">
        <f t="shared" si="61"/>
        <v>13.7</v>
      </c>
      <c r="R32" s="38">
        <f t="shared" si="62"/>
        <v>13.7</v>
      </c>
      <c r="S32" s="31">
        <f>IF(ISNUMBER('와이드(실측)'!O32),'와이드(실측)'!O32+와이드제작!AS32+와이드A늘림,0)</f>
        <v>9</v>
      </c>
      <c r="T32" s="31">
        <f>IF(ISNUMBER('와이드(실측)'!P32),'와이드(실측)'!P32+와이드제작!AT32+와이드A늘림,0)</f>
        <v>9</v>
      </c>
      <c r="U32" s="31">
        <f>'와이드(실측)'!Q32-와이드기둥차감</f>
        <v>2092</v>
      </c>
      <c r="V32" s="31">
        <f>'와이드(실측)'!R32-와이드기둥차감</f>
        <v>2087</v>
      </c>
      <c r="W32" s="31">
        <f>'와이드(실측)'!S32-와이드기둥차감</f>
        <v>2091</v>
      </c>
      <c r="X32" s="31">
        <f>'와이드(실측)'!T32-와이드기둥차감</f>
        <v>2086</v>
      </c>
      <c r="Y32" s="31">
        <f>IF(소장="손상민",IF(ISNUMBER('와이드(실측)'!U32),'와이드(실측)'!U32+1.2,0),IF(ISNUMBER('와이드(실측)'!U32),'와이드(실측)'!U32+와이드U,0))</f>
        <v>41</v>
      </c>
      <c r="Z32" s="31">
        <f>IF(소장="손상민",MAX(Q32,R32)+3.2,IF(ISNUMBER('와이드(실측)'!V32),'와이드(실측)'!V32+1.5+와이드제작!Q32+1,0))</f>
        <v>18.2</v>
      </c>
      <c r="AA32" s="31">
        <f>'와이드(실측)'!W32+뒷날개치수더함</f>
        <v>25</v>
      </c>
      <c r="AB32" s="31">
        <f>'와이드(실측)'!X32+뒷날개치수더함</f>
        <v>25</v>
      </c>
      <c r="AC32" s="31">
        <f>'와이드(실측)'!Y32-와이드늘치</f>
        <v>0</v>
      </c>
      <c r="AD32" s="31">
        <f>IF(와이드JB하부늘치=1,AC32,'와이드(실측)'!Z32-와이드늘치)</f>
        <v>0</v>
      </c>
      <c r="AE32" s="31">
        <f>'와이드(실측)'!AA32-와이드늘치</f>
        <v>0</v>
      </c>
      <c r="AF32" s="31">
        <f>IF(와이드JB하부늘치=1,AE32,'와이드(실측)'!AB32-와이드늘치)</f>
        <v>0</v>
      </c>
      <c r="AG32" s="31">
        <f xml:space="preserve"> IF(소장&lt;&gt;"손상민",IF('와이드(실측)'!AC32&gt;0,'와이드(실측)'!AC32,C32-1.2),IF('와이드(실측)'!AC32&gt;0,'와이드(실측)'!AC32+1.2,C32) )</f>
        <v>268.8</v>
      </c>
      <c r="AH32" s="31">
        <f xml:space="preserve"> IF(소장&lt;&gt;"손상민",IF('와이드(실측)'!AD32&gt;0,'와이드(실측)'!AD32,D32-1.2),IF('와이드(실측)'!AD32&gt;0,'와이드(실측)'!AD32+1.2,D32))</f>
        <v>268.8</v>
      </c>
      <c r="AI32" s="51">
        <f t="shared" si="63"/>
        <v>4.5</v>
      </c>
      <c r="AJ32" s="31" t="str">
        <f t="shared" si="64"/>
        <v>1298*784.4</v>
      </c>
      <c r="AK32" s="31" t="str">
        <f t="shared" si="65"/>
        <v>2360.8*523.2</v>
      </c>
      <c r="AL32" s="31" t="str">
        <f t="shared" si="66"/>
        <v>2359.8*523.2</v>
      </c>
      <c r="AM32" s="31">
        <f>IF('와이드(실측)'!AE32&gt;0,'와이드(실측)'!AE32-'와이드(실측)'!W32+1.2,0)</f>
        <v>0</v>
      </c>
      <c r="AN32" s="31">
        <f>IF('와이드(실측)'!AF32&gt;0,'와이드(실측)'!AF32-'와이드(실측)'!W32+1.2,0)</f>
        <v>0</v>
      </c>
      <c r="AO32" s="31">
        <f>'와이드(실측)'!AG32</f>
        <v>0</v>
      </c>
      <c r="AP32" s="31">
        <f>IF('와이드(실측)'!AH32&gt;5,'와이드(실측)'!AH32+뒷날개치수더함,'와이드(실측)'!AH32)</f>
        <v>0</v>
      </c>
      <c r="AQ32" s="31">
        <f>'와이드(실측)'!AI32</f>
        <v>0</v>
      </c>
      <c r="AR32" s="31">
        <f>'와이드(실측)'!AJ32</f>
        <v>0</v>
      </c>
      <c r="AS32">
        <f>IF(AND(ISNUMBER('와이드(실측)'!P32),ISNUMBER('와이드(실측)'!O32)),IF(ISNUMBER('와이드(실측)'!O32),IF(9-MIN('와이드(실측)'!O32+와이드A늘림,'와이드(실측)'!P32+와이드A늘림)&lt;0,0,9-MIN('와이드(실측)'!O32+와이드A늘림,'와이드(실측)'!P32+와이드A늘림)),0),IF(ISNUMBER('와이드(실측)'!O32),IF(9-'와이드(실측)'!O32-와이드A늘림&lt;0,0,9-'와이드(실측)'!O32-와이드A늘림),0))</f>
        <v>5</v>
      </c>
      <c r="AT32">
        <f>IF(AND(ISNUMBER('와이드(실측)'!O32),ISNUMBER('와이드(실측)'!P32)),IF(ISNUMBER('와이드(실측)'!P32),IF(9-MIN('와이드(실측)'!P32+와이드A늘림,'와이드(실측)'!O32+와이드A늘림)&lt;0,0,9-MIN('와이드(실측)'!P32+와이드A늘림,'와이드(실측)'!O32+와이드A늘림)),0),IF(ISNUMBER('와이드(실측)'!P32),IF(9-'와이드(실측)'!P32-와이드A늘림&lt;0,0,9-'와이드(실측)'!P32-와이드A늘림),0))</f>
        <v>5</v>
      </c>
      <c r="AU32" s="20">
        <f t="shared" si="67"/>
        <v>7.9825282322936451</v>
      </c>
      <c r="AV32" s="21">
        <f t="shared" si="68"/>
        <v>13.610639343488742</v>
      </c>
      <c r="AW32" s="21">
        <f t="shared" si="69"/>
        <v>13.610639343488742</v>
      </c>
      <c r="AX32" s="21">
        <f>'와이드(실측)'!M32+AS32</f>
        <v>16</v>
      </c>
      <c r="AY32" s="21">
        <f>'와이드(실측)'!N32+AS32</f>
        <v>16</v>
      </c>
      <c r="AZ32" s="20">
        <f t="shared" si="70"/>
        <v>-2.3893606565112577</v>
      </c>
      <c r="BA32" s="41">
        <f t="shared" si="58"/>
        <v>1298</v>
      </c>
      <c r="BB32" s="42">
        <f>MAX(C32,D32)+MAX(G32,H32)+AA32-1.2*$AJ$3+IF(BI32=0,MAX(AE32,AC32),0)+IF(Y32=0,1.2,0)+IF(Z32=0,1.2,0)+IF(소장&lt;&gt;"손상민", Y32+Z32,IF('와이드(실측)'!U32=0,0,2.4))</f>
        <v>784.40000000000009</v>
      </c>
      <c r="BC32" s="41">
        <f t="shared" si="71"/>
        <v>523.20000000000005</v>
      </c>
      <c r="BD32" s="41">
        <f t="shared" si="72"/>
        <v>2360.8000000000002</v>
      </c>
      <c r="BE32" s="41">
        <f t="shared" si="73"/>
        <v>523.20000000000005</v>
      </c>
      <c r="BF32" s="41">
        <f t="shared" si="74"/>
        <v>2359.8000000000002</v>
      </c>
      <c r="BG32" s="6">
        <f t="shared" si="75"/>
        <v>4.3000000000000007</v>
      </c>
      <c r="BH32" s="43" t="str">
        <f t="shared" si="76"/>
        <v/>
      </c>
      <c r="BI32" s="77">
        <f t="shared" si="77"/>
        <v>1</v>
      </c>
    </row>
    <row r="33" spans="1:61" ht="26.25" customHeight="1" x14ac:dyDescent="0.3">
      <c r="A33" s="31" t="str">
        <f>'와이드(실측)'!A33</f>
        <v>1호기</v>
      </c>
      <c r="B33" s="31" t="str">
        <f>'와이드(실측)'!B33&amp;"F"</f>
        <v>B1F</v>
      </c>
      <c r="C33" s="31">
        <f>'와이드(실측)'!C33+와이드MH더함-IF(AND(소장="추영덕",Y33=0),1.2)</f>
        <v>270</v>
      </c>
      <c r="D33" s="31">
        <f>'와이드(실측)'!D33+와이드MH더함-IF(AND(소장="추영덕",Y33=0),1.2)</f>
        <v>270</v>
      </c>
      <c r="E33" s="135">
        <f>'와이드(실측)'!E33-와이드OP</f>
        <v>1097</v>
      </c>
      <c r="F33" s="31">
        <f>'와이드(실측)'!F33-와이드R</f>
        <v>1221</v>
      </c>
      <c r="G33" s="50">
        <f>'와이드(실측)'!G33+와이드JBJD키움치수+IF(BI33=1,AC33,0)</f>
        <v>444</v>
      </c>
      <c r="H33" s="50">
        <f>'와이드(실측)'!H33+와이드JBJD키움치수+IF(BI33=1,AE33,0)</f>
        <v>444</v>
      </c>
      <c r="I33" s="50">
        <f>'와이드(실측)'!I33+MAX(AS33,AT33)+와이드JBJD키움치수+IF(BI33=1,AC33,0)</f>
        <v>464</v>
      </c>
      <c r="J33" s="50">
        <f>'와이드(실측)'!I33+MAX(AS33,AT33)+와이드JBJD키움치수+IF(BI33=1,AD33,0)-IF(와이드JB하부늘치=1,'와이드(실측)'!Y33-'와이드(실측)'!Z33,0)</f>
        <v>464</v>
      </c>
      <c r="K33" s="50">
        <f>'와이드(실측)'!J33+MAX(AS33,AT33)+와이드JBJD키움치수+IF(BI33=1,AE33,0)</f>
        <v>464</v>
      </c>
      <c r="L33" s="50">
        <f>'와이드(실측)'!J33+MAX(AS33,AT33)+와이드JBJD키움치수+IF(BI33=1,AF33,0)-IF(와이드JB하부늘치=1,'와이드(실측)'!AA33-'와이드(실측)'!AB33,0)</f>
        <v>464</v>
      </c>
      <c r="M33" s="31">
        <f t="shared" si="59"/>
        <v>39.5</v>
      </c>
      <c r="N33" s="31">
        <f t="shared" si="60"/>
        <v>39.5</v>
      </c>
      <c r="O33" s="31">
        <f>IF(S33&lt;9,'와이드(실측)'!K33+1.2,IF(ISNUMBER('와이드(실측)'!K33),'와이드(실측)'!K33+와이드C값,0))</f>
        <v>41</v>
      </c>
      <c r="P33" s="31">
        <f>IF(T33&lt;9,'와이드(실측)'!L33+1.2,IF(ISNUMBER('와이드(실측)'!L33),'와이드(실측)'!L33+와이드C값,0))</f>
        <v>41</v>
      </c>
      <c r="Q33" s="32">
        <f t="shared" si="61"/>
        <v>15.6</v>
      </c>
      <c r="R33" s="38">
        <f t="shared" si="62"/>
        <v>15.6</v>
      </c>
      <c r="S33" s="31">
        <f>IF(ISNUMBER('와이드(실측)'!O33),'와이드(실측)'!O33+와이드제작!AS33+와이드A늘림,0)</f>
        <v>9</v>
      </c>
      <c r="T33" s="31">
        <f>IF(ISNUMBER('와이드(실측)'!P33),'와이드(실측)'!P33+와이드제작!AT33+와이드A늘림,0)</f>
        <v>9</v>
      </c>
      <c r="U33" s="31">
        <f>'와이드(실측)'!Q33-와이드기둥차감</f>
        <v>2106</v>
      </c>
      <c r="V33" s="31">
        <f>'와이드(실측)'!R33-와이드기둥차감</f>
        <v>2088</v>
      </c>
      <c r="W33" s="31">
        <f>'와이드(실측)'!S33-와이드기둥차감</f>
        <v>2107</v>
      </c>
      <c r="X33" s="31">
        <f>'와이드(실측)'!T33-와이드기둥차감</f>
        <v>2090</v>
      </c>
      <c r="Y33" s="31">
        <f>IF(소장="손상민",IF(ISNUMBER('와이드(실측)'!U33),'와이드(실측)'!U33+1.2,0),IF(ISNUMBER('와이드(실측)'!U33),'와이드(실측)'!U33+와이드U,0))</f>
        <v>41</v>
      </c>
      <c r="Z33" s="31">
        <f>IF(소장="손상민",MAX(Q33,R33)+3.2,IF(ISNUMBER('와이드(실측)'!V33),'와이드(실측)'!V33+1.5+와이드제작!Q33+1,0))</f>
        <v>20.100000000000001</v>
      </c>
      <c r="AA33" s="31">
        <f>'와이드(실측)'!W33+뒷날개치수더함</f>
        <v>25</v>
      </c>
      <c r="AB33" s="31">
        <f>'와이드(실측)'!X33+뒷날개치수더함</f>
        <v>25</v>
      </c>
      <c r="AC33" s="31">
        <f>'와이드(실측)'!Y33-와이드늘치</f>
        <v>0</v>
      </c>
      <c r="AD33" s="31">
        <f>IF(와이드JB하부늘치=1,AC33,'와이드(실측)'!Z33-와이드늘치)</f>
        <v>0</v>
      </c>
      <c r="AE33" s="31">
        <f>'와이드(실측)'!AA33-와이드늘치</f>
        <v>0</v>
      </c>
      <c r="AF33" s="31">
        <f>IF(와이드JB하부늘치=1,AE33,'와이드(실측)'!AB33-와이드늘치)</f>
        <v>0</v>
      </c>
      <c r="AG33" s="31">
        <f xml:space="preserve"> IF(소장&lt;&gt;"손상민",IF('와이드(실측)'!AC33&gt;0,'와이드(실측)'!AC33,C33-1.2),IF('와이드(실측)'!AC33&gt;0,'와이드(실측)'!AC33+1.2,C33) )</f>
        <v>268.8</v>
      </c>
      <c r="AH33" s="31">
        <f xml:space="preserve"> IF(소장&lt;&gt;"손상민",IF('와이드(실측)'!AD33&gt;0,'와이드(실측)'!AD33,D33-1.2),IF('와이드(실측)'!AD33&gt;0,'와이드(실측)'!AD33+1.2,D33))</f>
        <v>268.8</v>
      </c>
      <c r="AI33" s="51">
        <f t="shared" si="63"/>
        <v>4.5000000000000018</v>
      </c>
      <c r="AJ33" s="31" t="str">
        <f t="shared" si="64"/>
        <v>1300*795.3</v>
      </c>
      <c r="AK33" s="31" t="str">
        <f t="shared" si="65"/>
        <v>2374.8*534.2</v>
      </c>
      <c r="AL33" s="31" t="str">
        <f t="shared" si="66"/>
        <v>2375.8*534.2</v>
      </c>
      <c r="AM33" s="31">
        <f>IF('와이드(실측)'!AE33&gt;0,'와이드(실측)'!AE33-'와이드(실측)'!W33+1.2,0)</f>
        <v>0</v>
      </c>
      <c r="AN33" s="31">
        <f>IF('와이드(실측)'!AF33&gt;0,'와이드(실측)'!AF33-'와이드(실측)'!W33+1.2,0)</f>
        <v>0</v>
      </c>
      <c r="AO33" s="31">
        <f>'와이드(실측)'!AG33</f>
        <v>0</v>
      </c>
      <c r="AP33" s="31">
        <f>IF('와이드(실측)'!AH33&gt;5,'와이드(실측)'!AH33+뒷날개치수더함,'와이드(실측)'!AH33)</f>
        <v>0</v>
      </c>
      <c r="AQ33" s="31">
        <f>'와이드(실측)'!AI33</f>
        <v>0</v>
      </c>
      <c r="AR33" s="31">
        <f>'와이드(실측)'!AJ33</f>
        <v>0</v>
      </c>
      <c r="AS33">
        <f>IF(AND(ISNUMBER('와이드(실측)'!P33),ISNUMBER('와이드(실측)'!O33)),IF(ISNUMBER('와이드(실측)'!O33),IF(9-MIN('와이드(실측)'!O33+와이드A늘림,'와이드(실측)'!P33+와이드A늘림)&lt;0,0,9-MIN('와이드(실측)'!O33+와이드A늘림,'와이드(실측)'!P33+와이드A늘림)),0),IF(ISNUMBER('와이드(실측)'!O33),IF(9-'와이드(실측)'!O33-와이드A늘림&lt;0,0,9-'와이드(실측)'!O33-와이드A늘림),0))</f>
        <v>7</v>
      </c>
      <c r="AT33">
        <f>IF(AND(ISNUMBER('와이드(실측)'!O33),ISNUMBER('와이드(실측)'!P33)),IF(ISNUMBER('와이드(실측)'!P33),IF(9-MIN('와이드(실측)'!P33+와이드A늘림,'와이드(실측)'!O33+와이드A늘림)&lt;0,0,9-MIN('와이드(실측)'!P33+와이드A늘림,'와이드(실측)'!O33+와이드A늘림)),0),IF(ISNUMBER('와이드(실측)'!P33),IF(9-'와이드(실측)'!P33-와이드A늘림&lt;0,0,9-'와이드(실측)'!P33-와이드A늘림),0))</f>
        <v>7</v>
      </c>
      <c r="AU33" s="20">
        <f t="shared" si="67"/>
        <v>7.9493591697469492</v>
      </c>
      <c r="AV33" s="21">
        <f t="shared" si="68"/>
        <v>15.541280145783674</v>
      </c>
      <c r="AW33" s="21">
        <f t="shared" si="69"/>
        <v>15.541280145783674</v>
      </c>
      <c r="AX33" s="21">
        <f>'와이드(실측)'!M33+AS33</f>
        <v>15</v>
      </c>
      <c r="AY33" s="21">
        <f>'와이드(실측)'!N33+AS33</f>
        <v>14</v>
      </c>
      <c r="AZ33" s="20">
        <f t="shared" si="70"/>
        <v>0.54128014578367356</v>
      </c>
      <c r="BA33" s="41">
        <f t="shared" si="58"/>
        <v>1300</v>
      </c>
      <c r="BB33" s="42">
        <f>MAX(C33,D33)+MAX(G33,H33)+AA33-1.2*$AJ$3+IF(BI33=0,MAX(AE33,AC33),0)+IF(Y33=0,1.2,0)+IF(Z33=0,1.2,0)+IF(소장&lt;&gt;"손상민", Y33+Z33,IF('와이드(실측)'!U33=0,0,2.4))</f>
        <v>795.30000000000007</v>
      </c>
      <c r="BC33" s="41">
        <f t="shared" si="71"/>
        <v>534.20000000000005</v>
      </c>
      <c r="BD33" s="41">
        <f t="shared" si="72"/>
        <v>2374.8000000000002</v>
      </c>
      <c r="BE33" s="41">
        <f t="shared" si="73"/>
        <v>534.20000000000005</v>
      </c>
      <c r="BF33" s="41">
        <f t="shared" si="74"/>
        <v>2375.8000000000002</v>
      </c>
      <c r="BG33" s="6">
        <f t="shared" si="75"/>
        <v>4.4000000000000004</v>
      </c>
      <c r="BH33" s="43" t="str">
        <f t="shared" si="76"/>
        <v/>
      </c>
      <c r="BI33" s="77">
        <f t="shared" si="77"/>
        <v>1</v>
      </c>
    </row>
    <row r="34" spans="1:61" ht="26.25" customHeight="1" x14ac:dyDescent="0.3">
      <c r="A34" s="31" t="str">
        <f>'와이드(실측)'!A34</f>
        <v>2호기</v>
      </c>
      <c r="B34" s="31" t="str">
        <f>'와이드(실측)'!B34&amp;"F"</f>
        <v>B1F</v>
      </c>
      <c r="C34" s="31">
        <f>'와이드(실측)'!C34+와이드MH더함-IF(AND(소장="추영덕",Y34=0),1.2)</f>
        <v>270</v>
      </c>
      <c r="D34" s="31">
        <f>'와이드(실측)'!D34+와이드MH더함-IF(AND(소장="추영덕",Y34=0),1.2)</f>
        <v>270</v>
      </c>
      <c r="E34" s="135">
        <f>'와이드(실측)'!E34-와이드OP</f>
        <v>1097</v>
      </c>
      <c r="F34" s="31">
        <f>'와이드(실측)'!F34-와이드R</f>
        <v>1222</v>
      </c>
      <c r="G34" s="50">
        <f>'와이드(실측)'!G34+와이드JBJD키움치수+IF(BI34=1,AC34,0)</f>
        <v>446</v>
      </c>
      <c r="H34" s="50">
        <f>'와이드(실측)'!H34+와이드JBJD키움치수+IF(BI34=1,AE34,0)</f>
        <v>446</v>
      </c>
      <c r="I34" s="50">
        <f>'와이드(실측)'!I34+MAX(AS34,AT34)+와이드JBJD키움치수+IF(BI34=1,AC34,0)</f>
        <v>465</v>
      </c>
      <c r="J34" s="50">
        <f>'와이드(실측)'!I34+MAX(AS34,AT34)+와이드JBJD키움치수+IF(BI34=1,AD34,0)-IF(와이드JB하부늘치=1,'와이드(실측)'!Y34-'와이드(실측)'!Z34,0)</f>
        <v>465</v>
      </c>
      <c r="K34" s="50">
        <f>'와이드(실측)'!J34+MAX(AS34,AT34)+와이드JBJD키움치수+IF(BI34=1,AE34,0)</f>
        <v>465</v>
      </c>
      <c r="L34" s="50">
        <f>'와이드(실측)'!J34+MAX(AS34,AT34)+와이드JBJD키움치수+IF(BI34=1,AF34,0)-IF(와이드JB하부늘치=1,'와이드(실측)'!AA34-'와이드(실측)'!AB34,0)</f>
        <v>465</v>
      </c>
      <c r="M34" s="31">
        <f t="shared" si="59"/>
        <v>39.5</v>
      </c>
      <c r="N34" s="31">
        <f t="shared" si="60"/>
        <v>39.5</v>
      </c>
      <c r="O34" s="31">
        <f>IF(S34&lt;9,'와이드(실측)'!K34+1.2,IF(ISNUMBER('와이드(실측)'!K34),'와이드(실측)'!K34+와이드C값,0))</f>
        <v>41</v>
      </c>
      <c r="P34" s="31">
        <f>IF(T34&lt;9,'와이드(실측)'!L34+1.2,IF(ISNUMBER('와이드(실측)'!L34),'와이드(실측)'!L34+와이드C값,0))</f>
        <v>41</v>
      </c>
      <c r="Q34" s="32">
        <f t="shared" si="61"/>
        <v>14.6</v>
      </c>
      <c r="R34" s="38">
        <f t="shared" si="62"/>
        <v>14.6</v>
      </c>
      <c r="S34" s="31">
        <f>IF(ISNUMBER('와이드(실측)'!O34),'와이드(실측)'!O34+와이드제작!AS34+와이드A늘림,0)</f>
        <v>9</v>
      </c>
      <c r="T34" s="31">
        <f>IF(ISNUMBER('와이드(실측)'!P34),'와이드(실측)'!P34+와이드제작!AT34+와이드A늘림,0)</f>
        <v>9</v>
      </c>
      <c r="U34" s="31">
        <f>'와이드(실측)'!Q34-와이드기둥차감</f>
        <v>2111</v>
      </c>
      <c r="V34" s="31">
        <f>'와이드(실측)'!R34-와이드기둥차감</f>
        <v>2087</v>
      </c>
      <c r="W34" s="31">
        <f>'와이드(실측)'!S34-와이드기둥차감</f>
        <v>2109</v>
      </c>
      <c r="X34" s="31">
        <f>'와이드(실측)'!T34-와이드기둥차감</f>
        <v>2089</v>
      </c>
      <c r="Y34" s="31">
        <f>IF(소장="손상민",IF(ISNUMBER('와이드(실측)'!U34),'와이드(실측)'!U34+1.2,0),IF(ISNUMBER('와이드(실측)'!U34),'와이드(실측)'!U34+와이드U,0))</f>
        <v>41</v>
      </c>
      <c r="Z34" s="31">
        <f>IF(소장="손상민",MAX(Q34,R34)+3.2,IF(ISNUMBER('와이드(실측)'!V34),'와이드(실측)'!V34+1.5+와이드제작!Q34+1,0))</f>
        <v>19.100000000000001</v>
      </c>
      <c r="AA34" s="31">
        <f>'와이드(실측)'!W34+뒷날개치수더함</f>
        <v>25</v>
      </c>
      <c r="AB34" s="31">
        <f>'와이드(실측)'!X34+뒷날개치수더함</f>
        <v>25</v>
      </c>
      <c r="AC34" s="31">
        <f>'와이드(실측)'!Y34-와이드늘치</f>
        <v>0</v>
      </c>
      <c r="AD34" s="31">
        <f>IF(와이드JB하부늘치=1,AC34,'와이드(실측)'!Z34-와이드늘치)</f>
        <v>0</v>
      </c>
      <c r="AE34" s="31">
        <f>'와이드(실측)'!AA34-와이드늘치</f>
        <v>0</v>
      </c>
      <c r="AF34" s="31">
        <f>IF(와이드JB하부늘치=1,AE34,'와이드(실측)'!AB34-와이드늘치)</f>
        <v>0</v>
      </c>
      <c r="AG34" s="31">
        <f xml:space="preserve"> IF(소장&lt;&gt;"손상민",IF('와이드(실측)'!AC34&gt;0,'와이드(실측)'!AC34,C34-1.2),IF('와이드(실측)'!AC34&gt;0,'와이드(실측)'!AC34+1.2,C34) )</f>
        <v>268.8</v>
      </c>
      <c r="AH34" s="31">
        <f xml:space="preserve"> IF(소장&lt;&gt;"손상민",IF('와이드(실측)'!AD34&gt;0,'와이드(실측)'!AD34,D34-1.2),IF('와이드(실측)'!AD34&gt;0,'와이드(실측)'!AD34+1.2,D34))</f>
        <v>268.8</v>
      </c>
      <c r="AI34" s="51">
        <f t="shared" si="63"/>
        <v>4.5000000000000018</v>
      </c>
      <c r="AJ34" s="31" t="str">
        <f t="shared" si="64"/>
        <v>1301*796.3</v>
      </c>
      <c r="AK34" s="31" t="str">
        <f t="shared" si="65"/>
        <v>2379.8*535.2</v>
      </c>
      <c r="AL34" s="31" t="str">
        <f t="shared" si="66"/>
        <v>2377.8*535.2</v>
      </c>
      <c r="AM34" s="31">
        <f>IF('와이드(실측)'!AE34&gt;0,'와이드(실측)'!AE34-'와이드(실측)'!W34+1.2,0)</f>
        <v>0</v>
      </c>
      <c r="AN34" s="31">
        <f>IF('와이드(실측)'!AF34&gt;0,'와이드(실측)'!AF34-'와이드(실측)'!W34+1.2,0)</f>
        <v>0</v>
      </c>
      <c r="AO34" s="31">
        <f>'와이드(실측)'!AG34</f>
        <v>0</v>
      </c>
      <c r="AP34" s="31">
        <f>IF('와이드(실측)'!AH34&gt;5,'와이드(실측)'!AH34+뒷날개치수더함,'와이드(실측)'!AH34)</f>
        <v>0</v>
      </c>
      <c r="AQ34" s="31">
        <f>'와이드(실측)'!AI34</f>
        <v>0</v>
      </c>
      <c r="AR34" s="31">
        <f>'와이드(실측)'!AJ34</f>
        <v>0</v>
      </c>
      <c r="AS34">
        <f>IF(AND(ISNUMBER('와이드(실측)'!P34),ISNUMBER('와이드(실측)'!O34)),IF(ISNUMBER('와이드(실측)'!O34),IF(9-MIN('와이드(실측)'!O34+와이드A늘림,'와이드(실측)'!P34+와이드A늘림)&lt;0,0,9-MIN('와이드(실측)'!O34+와이드A늘림,'와이드(실측)'!P34+와이드A늘림)),0),IF(ISNUMBER('와이드(실측)'!O34),IF(9-'와이드(실측)'!O34-와이드A늘림&lt;0,0,9-'와이드(실측)'!O34-와이드A늘림),0))</f>
        <v>6</v>
      </c>
      <c r="AT34">
        <f>IF(AND(ISNUMBER('와이드(실측)'!O34),ISNUMBER('와이드(실측)'!P34)),IF(ISNUMBER('와이드(실측)'!P34),IF(9-MIN('와이드(실측)'!P34+와이드A늘림,'와이드(실측)'!O34+와이드A늘림)&lt;0,0,9-MIN('와이드(실측)'!P34+와이드A늘림,'와이드(실측)'!O34+와이드A늘림)),0),IF(ISNUMBER('와이드(실측)'!P34),IF(9-'와이드(실측)'!P34-와이드A늘림&lt;0,0,9-'와이드(실측)'!P34-와이드A늘림),0))</f>
        <v>6</v>
      </c>
      <c r="AU34" s="20">
        <f t="shared" si="67"/>
        <v>7.9771700353347432</v>
      </c>
      <c r="AV34" s="21">
        <f t="shared" si="68"/>
        <v>14.500401818464354</v>
      </c>
      <c r="AW34" s="21">
        <f t="shared" si="69"/>
        <v>14.500401818464354</v>
      </c>
      <c r="AX34" s="21">
        <f>'와이드(실측)'!M34+AS34</f>
        <v>16</v>
      </c>
      <c r="AY34" s="21">
        <f>'와이드(실측)'!N34+AS34</f>
        <v>16</v>
      </c>
      <c r="AZ34" s="20">
        <f t="shared" si="70"/>
        <v>-1.4995981815356458</v>
      </c>
      <c r="BA34" s="41">
        <f t="shared" si="58"/>
        <v>1301</v>
      </c>
      <c r="BB34" s="42">
        <f>MAX(C34,D34)+MAX(G34,H34)+AA34-1.2*$AJ$3+IF(BI34=0,MAX(AE34,AC34),0)+IF(Y34=0,1.2,0)+IF(Z34=0,1.2,0)+IF(소장&lt;&gt;"손상민", Y34+Z34,IF('와이드(실측)'!U34=0,0,2.4))</f>
        <v>796.30000000000007</v>
      </c>
      <c r="BC34" s="41">
        <f t="shared" si="71"/>
        <v>535.20000000000005</v>
      </c>
      <c r="BD34" s="41">
        <f t="shared" si="72"/>
        <v>2379.8000000000002</v>
      </c>
      <c r="BE34" s="41">
        <f t="shared" si="73"/>
        <v>535.20000000000005</v>
      </c>
      <c r="BF34" s="41">
        <f t="shared" si="74"/>
        <v>2377.8000000000002</v>
      </c>
      <c r="BG34" s="6">
        <f t="shared" si="75"/>
        <v>4.4000000000000004</v>
      </c>
      <c r="BH34" s="43" t="str">
        <f t="shared" si="76"/>
        <v/>
      </c>
      <c r="BI34" s="77">
        <f t="shared" si="77"/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34">
    <cfRule type="cellIs" dxfId="85" priority="52" operator="greaterThan">
      <formula>3</formula>
    </cfRule>
  </conditionalFormatting>
  <conditionalFormatting sqref="F7:F34">
    <cfRule type="cellIs" dxfId="84" priority="39" operator="greaterThan">
      <formula>1210</formula>
    </cfRule>
  </conditionalFormatting>
  <conditionalFormatting sqref="I7:L34 C7:D34">
    <cfRule type="cellIs" dxfId="83" priority="38" operator="greaterThan">
      <formula>500</formula>
    </cfRule>
  </conditionalFormatting>
  <conditionalFormatting sqref="C7:D34">
    <cfRule type="cellIs" dxfId="82" priority="36" operator="notEqual">
      <formula>$D7</formula>
    </cfRule>
  </conditionalFormatting>
  <conditionalFormatting sqref="D7:D34">
    <cfRule type="cellIs" dxfId="81" priority="35" operator="notEqual">
      <formula>$C7</formula>
    </cfRule>
  </conditionalFormatting>
  <conditionalFormatting sqref="AO7:AR34">
    <cfRule type="cellIs" dxfId="80" priority="17" operator="greaterThan">
      <formula>1.2</formula>
    </cfRule>
  </conditionalFormatting>
  <conditionalFormatting sqref="AO7:AO34">
    <cfRule type="cellIs" dxfId="79" priority="16" operator="greaterThan">
      <formula>0</formula>
    </cfRule>
  </conditionalFormatting>
  <conditionalFormatting sqref="G7:G34">
    <cfRule type="cellIs" dxfId="78" priority="14" operator="notEqual">
      <formula>H7</formula>
    </cfRule>
  </conditionalFormatting>
  <conditionalFormatting sqref="H7:H34">
    <cfRule type="cellIs" dxfId="77" priority="13" operator="notEqual">
      <formula>G7</formula>
    </cfRule>
  </conditionalFormatting>
  <conditionalFormatting sqref="I7:I34">
    <cfRule type="cellIs" dxfId="76" priority="12" operator="notEqual">
      <formula>J7</formula>
    </cfRule>
  </conditionalFormatting>
  <conditionalFormatting sqref="J7:J34">
    <cfRule type="cellIs" dxfId="75" priority="11" operator="notEqual">
      <formula>I7</formula>
    </cfRule>
  </conditionalFormatting>
  <conditionalFormatting sqref="K7:K34">
    <cfRule type="cellIs" dxfId="74" priority="10" operator="notEqual">
      <formula>L7</formula>
    </cfRule>
  </conditionalFormatting>
  <conditionalFormatting sqref="L7:L34">
    <cfRule type="cellIs" dxfId="73" priority="9" operator="notEqual">
      <formula>K7</formula>
    </cfRule>
  </conditionalFormatting>
  <conditionalFormatting sqref="AG7:AG34">
    <cfRule type="cellIs" dxfId="72" priority="8" operator="notEqual">
      <formula>AH7</formula>
    </cfRule>
  </conditionalFormatting>
  <conditionalFormatting sqref="AH7:AH34">
    <cfRule type="cellIs" dxfId="71" priority="7" operator="notEqual">
      <formula>AG7</formula>
    </cfRule>
  </conditionalFormatting>
  <conditionalFormatting sqref="AC7:AF34">
    <cfRule type="expression" dxfId="70" priority="6">
      <formula>$BI7</formula>
    </cfRule>
  </conditionalFormatting>
  <conditionalFormatting sqref="Y7:Y34">
    <cfRule type="expression" dxfId="69" priority="2">
      <formula>소장="손상민"</formula>
    </cfRule>
  </conditionalFormatting>
  <conditionalFormatting sqref="Z7:Z34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2" t="str">
        <f>정보!B3</f>
        <v>(멍텅구리) 실측서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산운마을 13단지,   (재질) : HL 1.2T</v>
      </c>
      <c r="B3" s="2"/>
      <c r="C3" s="2"/>
      <c r="D3" s="2"/>
      <c r="E3" s="2"/>
      <c r="F3" s="2"/>
      <c r="G3" s="256"/>
      <c r="H3" s="256"/>
      <c r="I3" s="253"/>
      <c r="J3" s="253"/>
      <c r="K3" s="254"/>
      <c r="L3" s="254"/>
      <c r="M3" s="255"/>
      <c r="N3" s="255"/>
      <c r="O3" s="255"/>
      <c r="P3" s="250" t="s">
        <v>97</v>
      </c>
      <c r="Q3" s="250"/>
      <c r="R3" s="251"/>
      <c r="S3" s="251"/>
      <c r="T3" s="252"/>
      <c r="U3" s="252"/>
    </row>
    <row r="4" spans="1:39" ht="33" customHeight="1" x14ac:dyDescent="0.3">
      <c r="A4" s="246" t="str">
        <f>정보!B11</f>
        <v>제작치수 반영 : JB/JD +(3 ),  늘어난치수K -(3),  C + (0),  U +(0), OP - (2), R - (0),  기둥차감 - (0), 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9"/>
      <c r="AA4" s="9"/>
      <c r="AB4" s="181" t="s">
        <v>215</v>
      </c>
      <c r="AC4" s="181"/>
      <c r="AD4" s="81" t="s">
        <v>234</v>
      </c>
    </row>
    <row r="5" spans="1:39" ht="25.9" customHeight="1" x14ac:dyDescent="0.3">
      <c r="A5" s="182" t="s">
        <v>0</v>
      </c>
      <c r="B5" s="175" t="s">
        <v>1</v>
      </c>
      <c r="C5" s="175" t="s">
        <v>3</v>
      </c>
      <c r="D5" s="175" t="s">
        <v>18</v>
      </c>
      <c r="E5" s="175" t="s">
        <v>4</v>
      </c>
      <c r="F5" s="175" t="s">
        <v>5</v>
      </c>
      <c r="G5" s="175" t="s">
        <v>6</v>
      </c>
      <c r="H5" s="175" t="s">
        <v>7</v>
      </c>
      <c r="I5" s="175" t="s">
        <v>8</v>
      </c>
      <c r="J5" s="175" t="s">
        <v>9</v>
      </c>
      <c r="K5" s="175" t="s">
        <v>10</v>
      </c>
      <c r="L5" s="175" t="s">
        <v>11</v>
      </c>
      <c r="M5" s="175" t="s">
        <v>14</v>
      </c>
      <c r="N5" s="175" t="s">
        <v>15</v>
      </c>
      <c r="O5" s="175" t="s">
        <v>16</v>
      </c>
      <c r="P5" s="175" t="s">
        <v>17</v>
      </c>
      <c r="Q5" s="175" t="s">
        <v>19</v>
      </c>
      <c r="R5" s="175" t="s">
        <v>20</v>
      </c>
      <c r="S5" s="244" t="s">
        <v>22</v>
      </c>
      <c r="T5" s="244" t="s">
        <v>23</v>
      </c>
      <c r="U5" s="247" t="s">
        <v>21</v>
      </c>
      <c r="V5" s="248"/>
      <c r="W5" s="248"/>
      <c r="X5" s="249"/>
      <c r="Y5" s="176" t="s">
        <v>203</v>
      </c>
      <c r="Z5" s="176"/>
      <c r="AA5" s="176"/>
      <c r="AB5" s="179" t="s">
        <v>212</v>
      </c>
      <c r="AC5" s="180"/>
      <c r="AD5" s="80" t="s">
        <v>231</v>
      </c>
    </row>
    <row r="6" spans="1:39" ht="47.25" customHeight="1" x14ac:dyDescent="0.3">
      <c r="A6" s="182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245"/>
      <c r="T6" s="245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J5:J6"/>
    <mergeCell ref="G3:H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O5:O6"/>
    <mergeCell ref="L5:L6"/>
    <mergeCell ref="S5:S6"/>
    <mergeCell ref="K5:K6"/>
    <mergeCell ref="I5:I6"/>
    <mergeCell ref="N5:N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P11" sqref="P1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2" t="str">
        <f>정보!C3</f>
        <v>(멍텅구리) 제작변환 자료(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"/>
      <c r="AJ1" s="1"/>
      <c r="AK1" s="257" t="s">
        <v>75</v>
      </c>
      <c r="AL1" s="257"/>
      <c r="AM1" s="257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4" t="s">
        <v>81</v>
      </c>
      <c r="H2" s="264"/>
      <c r="I2" s="264"/>
      <c r="J2" s="270">
        <v>0</v>
      </c>
      <c r="K2" s="270"/>
      <c r="L2" s="267" t="s">
        <v>113</v>
      </c>
      <c r="M2" s="267"/>
      <c r="N2" s="267"/>
      <c r="O2" s="267"/>
      <c r="P2" s="268">
        <v>1</v>
      </c>
      <c r="Q2" s="268"/>
      <c r="R2" s="265" t="s">
        <v>103</v>
      </c>
      <c r="S2" s="266"/>
      <c r="T2" s="108">
        <v>0</v>
      </c>
      <c r="U2" s="265" t="s">
        <v>88</v>
      </c>
      <c r="V2" s="266"/>
      <c r="W2" s="263">
        <v>0</v>
      </c>
      <c r="X2" s="263"/>
      <c r="Y2" s="259" t="s">
        <v>82</v>
      </c>
      <c r="Z2" s="260"/>
      <c r="AA2" s="261">
        <v>0</v>
      </c>
      <c r="AB2" s="261"/>
      <c r="AC2" s="98" t="s">
        <v>114</v>
      </c>
      <c r="AD2" s="258">
        <v>3</v>
      </c>
      <c r="AE2" s="258"/>
      <c r="AF2" s="1"/>
      <c r="AG2" s="1"/>
      <c r="AH2" s="1"/>
      <c r="AI2" s="1"/>
      <c r="AJ2" s="1"/>
      <c r="AK2" s="257"/>
      <c r="AL2" s="257"/>
      <c r="AM2" s="257"/>
      <c r="AR2" s="24"/>
    </row>
    <row r="3" spans="1:53" ht="33" customHeight="1" x14ac:dyDescent="0.3">
      <c r="A3" s="33" t="str">
        <f>'멍텅(실측)'!A3</f>
        <v>현장명 : 산운마을 13단지,   (재질) : HL 1.2T</v>
      </c>
      <c r="B3" s="2"/>
      <c r="C3" s="2"/>
      <c r="D3" s="2"/>
      <c r="E3" s="2"/>
      <c r="F3" s="2"/>
      <c r="G3" s="259" t="s">
        <v>76</v>
      </c>
      <c r="H3" s="259"/>
      <c r="I3" s="259"/>
      <c r="J3" s="271">
        <v>3</v>
      </c>
      <c r="K3" s="271"/>
      <c r="L3" s="259" t="s">
        <v>77</v>
      </c>
      <c r="M3" s="259"/>
      <c r="N3" s="272">
        <v>0</v>
      </c>
      <c r="O3" s="272"/>
      <c r="P3" s="273" t="s">
        <v>227</v>
      </c>
      <c r="Q3" s="273"/>
      <c r="R3" s="273"/>
      <c r="S3" s="274">
        <f>AZ7</f>
        <v>1</v>
      </c>
      <c r="T3" s="274"/>
      <c r="U3" s="269" t="s">
        <v>78</v>
      </c>
      <c r="V3" s="269"/>
      <c r="W3" s="262">
        <v>1</v>
      </c>
      <c r="X3" s="262"/>
      <c r="AA3" s="216" t="s">
        <v>73</v>
      </c>
      <c r="AB3" s="216"/>
      <c r="AC3" s="102">
        <v>3</v>
      </c>
      <c r="AD3" s="4" t="s">
        <v>74</v>
      </c>
      <c r="AE3" s="104">
        <v>4</v>
      </c>
      <c r="AF3" s="288" t="s">
        <v>320</v>
      </c>
      <c r="AG3" s="289"/>
      <c r="AH3" s="219"/>
      <c r="AI3" s="290" t="e">
        <f>AN7</f>
        <v>#DIV/0!</v>
      </c>
      <c r="AJ3" s="236"/>
      <c r="AK3" s="25"/>
      <c r="AL3" s="25"/>
      <c r="AM3" s="24"/>
      <c r="AR3" s="24"/>
    </row>
    <row r="4" spans="1:53" ht="33" customHeight="1" x14ac:dyDescent="0.3">
      <c r="A4" s="285" t="str">
        <f>'멍텅(실측)'!A4:Y4</f>
        <v>제작치수 반영 : JB/JD +(3 ),  늘어난치수K -(3),  C + (0),  U +(0), OP - (2), R - (0),  기둥차감 - (0),  A + (1)</v>
      </c>
      <c r="B4" s="285"/>
      <c r="C4" s="285"/>
      <c r="D4" s="285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3" t="s">
        <v>306</v>
      </c>
      <c r="Z4" s="283"/>
      <c r="AA4" s="284">
        <f>'멍텅(실측)'!U7</f>
        <v>0</v>
      </c>
      <c r="AB4" s="284"/>
      <c r="AC4" s="9"/>
      <c r="AD4" s="229">
        <f ca="1">TODAY()</f>
        <v>45746</v>
      </c>
      <c r="AE4" s="170"/>
      <c r="AF4" s="286" t="s">
        <v>235</v>
      </c>
      <c r="AG4" s="286"/>
      <c r="AH4" s="287"/>
      <c r="AI4" s="181" t="s">
        <v>215</v>
      </c>
      <c r="AJ4" s="181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5" t="s">
        <v>0</v>
      </c>
      <c r="B5" s="175" t="s">
        <v>1</v>
      </c>
      <c r="C5" s="175" t="s">
        <v>3</v>
      </c>
      <c r="D5" s="175" t="s">
        <v>18</v>
      </c>
      <c r="E5" s="176" t="s">
        <v>58</v>
      </c>
      <c r="F5" s="176" t="s">
        <v>59</v>
      </c>
      <c r="G5" s="275" t="s">
        <v>60</v>
      </c>
      <c r="H5" s="275" t="s">
        <v>64</v>
      </c>
      <c r="I5" s="277" t="s">
        <v>65</v>
      </c>
      <c r="J5" s="277" t="s">
        <v>66</v>
      </c>
      <c r="K5" s="244" t="s">
        <v>62</v>
      </c>
      <c r="L5" s="244" t="s">
        <v>63</v>
      </c>
      <c r="M5" s="175" t="s">
        <v>8</v>
      </c>
      <c r="N5" s="175" t="s">
        <v>9</v>
      </c>
      <c r="O5" s="175" t="s">
        <v>10</v>
      </c>
      <c r="P5" s="175" t="s">
        <v>11</v>
      </c>
      <c r="Q5" s="175" t="s">
        <v>14</v>
      </c>
      <c r="R5" s="175" t="s">
        <v>15</v>
      </c>
      <c r="S5" s="175" t="s">
        <v>16</v>
      </c>
      <c r="T5" s="175" t="s">
        <v>17</v>
      </c>
      <c r="U5" s="175" t="s">
        <v>19</v>
      </c>
      <c r="V5" s="279" t="s">
        <v>20</v>
      </c>
      <c r="W5" s="244" t="s">
        <v>22</v>
      </c>
      <c r="X5" s="244" t="s">
        <v>23</v>
      </c>
      <c r="Y5" s="247" t="s">
        <v>21</v>
      </c>
      <c r="Z5" s="248"/>
      <c r="AA5" s="248"/>
      <c r="AB5" s="249"/>
      <c r="AC5" s="176" t="s">
        <v>25</v>
      </c>
      <c r="AD5" s="281" t="s">
        <v>34</v>
      </c>
      <c r="AE5" s="176" t="s">
        <v>35</v>
      </c>
      <c r="AF5" s="242" t="s">
        <v>203</v>
      </c>
      <c r="AG5" s="242"/>
      <c r="AH5" s="242"/>
      <c r="AI5" s="179" t="s">
        <v>212</v>
      </c>
      <c r="AJ5" s="180"/>
      <c r="AK5" s="184" t="s">
        <v>300</v>
      </c>
      <c r="AL5" s="184" t="s">
        <v>301</v>
      </c>
      <c r="AM5" s="280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5"/>
      <c r="B6" s="175"/>
      <c r="C6" s="175"/>
      <c r="D6" s="175"/>
      <c r="E6" s="175"/>
      <c r="F6" s="175"/>
      <c r="G6" s="276"/>
      <c r="H6" s="276"/>
      <c r="I6" s="278"/>
      <c r="J6" s="278"/>
      <c r="K6" s="245"/>
      <c r="L6" s="245"/>
      <c r="M6" s="175"/>
      <c r="N6" s="175"/>
      <c r="O6" s="175"/>
      <c r="P6" s="175"/>
      <c r="Q6" s="175"/>
      <c r="R6" s="175"/>
      <c r="S6" s="175"/>
      <c r="T6" s="175"/>
      <c r="U6" s="175"/>
      <c r="V6" s="279"/>
      <c r="W6" s="245"/>
      <c r="X6" s="245"/>
      <c r="Y6" s="8" t="s">
        <v>56</v>
      </c>
      <c r="Z6" s="8" t="s">
        <v>57</v>
      </c>
      <c r="AA6" s="8" t="s">
        <v>54</v>
      </c>
      <c r="AB6" s="8" t="s">
        <v>55</v>
      </c>
      <c r="AC6" s="175"/>
      <c r="AD6" s="282"/>
      <c r="AE6" s="17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80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2" t="str">
        <f>정보!B4</f>
        <v>(쪽쟘) 실측서 ( 산운마을 13단지 ) _김운호소장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산운마을 13단지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5" t="s">
        <v>118</v>
      </c>
      <c r="B5" s="291" t="s">
        <v>119</v>
      </c>
      <c r="C5" s="291" t="s">
        <v>120</v>
      </c>
      <c r="D5" s="291" t="s">
        <v>121</v>
      </c>
      <c r="E5" s="291" t="s">
        <v>122</v>
      </c>
      <c r="F5" s="291" t="s">
        <v>123</v>
      </c>
      <c r="G5" s="291" t="s">
        <v>124</v>
      </c>
      <c r="H5" s="291" t="s">
        <v>125</v>
      </c>
      <c r="I5" s="291" t="s">
        <v>126</v>
      </c>
      <c r="J5" s="291" t="s">
        <v>128</v>
      </c>
      <c r="K5" s="291" t="s">
        <v>15</v>
      </c>
      <c r="L5" s="291" t="s">
        <v>129</v>
      </c>
      <c r="M5" s="291" t="s">
        <v>130</v>
      </c>
      <c r="N5" s="291" t="s">
        <v>131</v>
      </c>
      <c r="O5" s="291" t="s">
        <v>132</v>
      </c>
      <c r="P5" s="293" t="s">
        <v>133</v>
      </c>
      <c r="Q5" s="293" t="s">
        <v>134</v>
      </c>
      <c r="R5" s="291" t="s">
        <v>135</v>
      </c>
      <c r="S5" s="291"/>
      <c r="T5" s="176" t="s">
        <v>203</v>
      </c>
      <c r="U5" s="176"/>
      <c r="V5" s="176"/>
    </row>
    <row r="6" spans="1:22" ht="25.9" customHeight="1" x14ac:dyDescent="0.3">
      <c r="A6" s="295"/>
      <c r="B6" s="291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  <c r="N6" s="291"/>
      <c r="O6" s="291"/>
      <c r="P6" s="294"/>
      <c r="Q6" s="294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2" t="str">
        <f>정보!B1 &amp; " (쪽쟘제작치수)  " &amp; 정보!B6 &amp;" 소장"</f>
        <v>산운마을 13단지 (쪽쟘제작치수)  김운호 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34" ht="30.75" customHeight="1" x14ac:dyDescent="0.3">
      <c r="A2" s="1"/>
      <c r="B2" s="1"/>
      <c r="C2" s="296" t="str">
        <f>"총 : " &amp; COUNTA(A7:A168) &amp;" (SET)"</f>
        <v>총 : 19 (SET)</v>
      </c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7" t="s">
        <v>139</v>
      </c>
      <c r="Q2" s="298"/>
      <c r="R2" s="298"/>
      <c r="S2" s="298"/>
      <c r="T2" s="61"/>
      <c r="U2" s="299">
        <v>1.2</v>
      </c>
      <c r="V2" s="299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56" t="s">
        <v>140</v>
      </c>
      <c r="F3" s="256"/>
      <c r="G3" s="62">
        <v>0</v>
      </c>
      <c r="H3" s="23" t="s">
        <v>141</v>
      </c>
      <c r="I3" s="300">
        <v>0</v>
      </c>
      <c r="J3" s="300"/>
      <c r="K3" s="63"/>
      <c r="L3" s="63"/>
      <c r="M3" s="254" t="s">
        <v>82</v>
      </c>
      <c r="N3" s="254"/>
      <c r="O3" s="254"/>
      <c r="P3" s="301">
        <v>0</v>
      </c>
      <c r="Q3" s="301"/>
      <c r="R3" s="251" t="s">
        <v>90</v>
      </c>
      <c r="S3" s="251"/>
      <c r="T3" s="64"/>
      <c r="U3" s="302">
        <v>0</v>
      </c>
      <c r="V3" s="302"/>
      <c r="W3" s="65"/>
      <c r="X3" s="65"/>
      <c r="Y3" s="65"/>
      <c r="Z3" s="65"/>
      <c r="AA3" s="65"/>
    </row>
    <row r="4" spans="1:34" ht="33" customHeight="1" x14ac:dyDescent="0.3">
      <c r="A4" s="246" t="str">
        <f>정보!B12</f>
        <v>제작치수 반영 : JB/JD +(0 ),  늘어난치수K -(0), OP - (0),  기둥차감 - (0)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36" t="s">
        <v>235</v>
      </c>
      <c r="Z4" s="236"/>
      <c r="AA4" s="237"/>
    </row>
    <row r="5" spans="1:34" ht="25.9" customHeight="1" x14ac:dyDescent="0.3">
      <c r="A5" s="175" t="s">
        <v>0</v>
      </c>
      <c r="B5" s="175" t="s">
        <v>119</v>
      </c>
      <c r="C5" s="176" t="s">
        <v>142</v>
      </c>
      <c r="D5" s="175" t="s">
        <v>120</v>
      </c>
      <c r="E5" s="176" t="s">
        <v>143</v>
      </c>
      <c r="F5" s="176" t="s">
        <v>144</v>
      </c>
      <c r="G5" s="176" t="s">
        <v>34</v>
      </c>
      <c r="H5" s="176" t="s">
        <v>145</v>
      </c>
      <c r="I5" s="176" t="s">
        <v>207</v>
      </c>
      <c r="J5" s="176" t="s">
        <v>208</v>
      </c>
      <c r="K5" s="176" t="s">
        <v>146</v>
      </c>
      <c r="L5" s="176" t="s">
        <v>147</v>
      </c>
      <c r="M5" s="303" t="s">
        <v>148</v>
      </c>
      <c r="N5" s="303" t="s">
        <v>149</v>
      </c>
      <c r="O5" s="175" t="s">
        <v>127</v>
      </c>
      <c r="P5" s="175" t="s">
        <v>15</v>
      </c>
      <c r="Q5" s="175" t="s">
        <v>129</v>
      </c>
      <c r="R5" s="175" t="s">
        <v>130</v>
      </c>
      <c r="S5" s="176" t="s">
        <v>150</v>
      </c>
      <c r="T5" s="303" t="s">
        <v>151</v>
      </c>
      <c r="U5" s="176" t="s">
        <v>133</v>
      </c>
      <c r="V5" s="176" t="s">
        <v>152</v>
      </c>
      <c r="W5" s="175" t="s">
        <v>135</v>
      </c>
      <c r="X5" s="175"/>
      <c r="Y5" s="306" t="s">
        <v>203</v>
      </c>
      <c r="Z5" s="306"/>
      <c r="AA5" s="306"/>
      <c r="AE5" s="185" t="s">
        <v>153</v>
      </c>
      <c r="AF5" s="185"/>
      <c r="AG5" s="185" t="s">
        <v>154</v>
      </c>
      <c r="AH5" s="185"/>
    </row>
    <row r="6" spans="1:34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44"/>
      <c r="L6" s="244"/>
      <c r="M6" s="304"/>
      <c r="N6" s="304"/>
      <c r="O6" s="216"/>
      <c r="P6" s="216"/>
      <c r="Q6" s="216"/>
      <c r="R6" s="216"/>
      <c r="S6" s="216"/>
      <c r="T6" s="305"/>
      <c r="U6" s="244"/>
      <c r="V6" s="244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7" t="str">
        <f>정보!B1&amp;" (제작치수 샤링작지) "&amp;정보!B6&amp;" 소장"</f>
        <v>산운마을 13단지 (제작치수 샤링작지) 김운호 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</row>
    <row r="2" spans="1:31" ht="30.75" customHeight="1" x14ac:dyDescent="0.3">
      <c r="A2" s="308" t="str">
        <f>"총 : " &amp; COUNTA(A7:A200) &amp;" (SET)"</f>
        <v>총 : 2 (SET)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297" t="s">
        <v>160</v>
      </c>
      <c r="Q2" s="298"/>
      <c r="R2" s="298"/>
      <c r="S2" s="298"/>
      <c r="T2" s="61"/>
      <c r="U2" s="299">
        <v>1.2</v>
      </c>
      <c r="V2" s="299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7" t="str">
        <f>"예상매수 : " &amp; ROUNDUP((SUM(AB7:AB200)+SUM(AD7:AD200))/1200,0) &amp;" 매"</f>
        <v>예상매수 : 1 매</v>
      </c>
      <c r="H3" s="297"/>
      <c r="I3" s="300">
        <v>0</v>
      </c>
      <c r="J3" s="300"/>
      <c r="K3" s="63"/>
      <c r="L3" s="63"/>
      <c r="M3" s="254" t="s">
        <v>161</v>
      </c>
      <c r="N3" s="254"/>
      <c r="O3" s="254"/>
      <c r="P3" s="301">
        <v>0</v>
      </c>
      <c r="Q3" s="301"/>
      <c r="R3" s="251" t="s">
        <v>162</v>
      </c>
      <c r="S3" s="251"/>
      <c r="T3" s="64"/>
      <c r="U3" s="302">
        <v>4</v>
      </c>
      <c r="V3" s="302"/>
      <c r="W3" s="65"/>
      <c r="X3" s="65"/>
    </row>
    <row r="4" spans="1:31" ht="9.75" customHeight="1" x14ac:dyDescent="0.3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</row>
    <row r="5" spans="1:31" ht="25.9" customHeight="1" x14ac:dyDescent="0.3">
      <c r="A5" s="175" t="s">
        <v>163</v>
      </c>
      <c r="B5" s="175" t="s">
        <v>164</v>
      </c>
      <c r="C5" s="176" t="s">
        <v>165</v>
      </c>
      <c r="D5" s="175" t="s">
        <v>166</v>
      </c>
      <c r="E5" s="176" t="s">
        <v>167</v>
      </c>
      <c r="F5" s="176" t="s">
        <v>168</v>
      </c>
      <c r="G5" s="176" t="s">
        <v>169</v>
      </c>
      <c r="H5" s="176" t="s">
        <v>170</v>
      </c>
      <c r="I5" s="309" t="s">
        <v>171</v>
      </c>
      <c r="J5" s="176" t="s">
        <v>172</v>
      </c>
      <c r="K5" s="176" t="s">
        <v>173</v>
      </c>
      <c r="L5" s="176" t="s">
        <v>147</v>
      </c>
      <c r="M5" s="303" t="s">
        <v>174</v>
      </c>
      <c r="N5" s="303" t="s">
        <v>175</v>
      </c>
      <c r="O5" s="175" t="s">
        <v>176</v>
      </c>
      <c r="P5" s="175" t="s">
        <v>177</v>
      </c>
      <c r="Q5" s="175" t="s">
        <v>178</v>
      </c>
      <c r="R5" s="175" t="s">
        <v>179</v>
      </c>
      <c r="S5" s="176" t="s">
        <v>180</v>
      </c>
      <c r="T5" s="303" t="s">
        <v>151</v>
      </c>
      <c r="U5" s="176" t="s">
        <v>181</v>
      </c>
      <c r="V5" s="176" t="s">
        <v>182</v>
      </c>
      <c r="W5" s="175" t="s">
        <v>183</v>
      </c>
      <c r="X5" s="175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310"/>
      <c r="J6" s="216"/>
      <c r="K6" s="244"/>
      <c r="L6" s="244"/>
      <c r="M6" s="304"/>
      <c r="N6" s="304"/>
      <c r="O6" s="216"/>
      <c r="P6" s="216"/>
      <c r="Q6" s="216"/>
      <c r="R6" s="216"/>
      <c r="S6" s="216"/>
      <c r="T6" s="305"/>
      <c r="U6" s="244"/>
      <c r="V6" s="244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3" t="str">
        <f>정보!E2</f>
        <v>(SO와이드) 실측서 ( 산운마을 13단지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34"/>
      <c r="AJ3" s="34"/>
      <c r="AK3" s="34"/>
      <c r="AL3" s="34"/>
    </row>
    <row r="4" spans="1:47" ht="33" customHeight="1" x14ac:dyDescent="0.3">
      <c r="A4" s="311" t="str">
        <f>정보!B10</f>
        <v>제작치수 반영 : MH + (2), JB/JD +(4 ),  늘어난치수K -(0),  C + (0),   U + (0), OP - (3), R - (0),  기둥차감 - (3), A + (1)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1"/>
      <c r="AG4" s="181" t="s">
        <v>215</v>
      </c>
      <c r="AH4" s="181"/>
      <c r="AI4" s="75"/>
      <c r="AJ4" s="9"/>
      <c r="AK4" s="9"/>
      <c r="AL4" s="9"/>
    </row>
    <row r="5" spans="1:47" ht="25.9" customHeight="1" x14ac:dyDescent="0.3">
      <c r="A5" s="175" t="s">
        <v>0</v>
      </c>
      <c r="B5" s="175" t="s">
        <v>1</v>
      </c>
      <c r="C5" s="175" t="s">
        <v>2</v>
      </c>
      <c r="D5" s="175" t="s">
        <v>24</v>
      </c>
      <c r="E5" s="175" t="s">
        <v>236</v>
      </c>
      <c r="F5" s="175" t="s">
        <v>239</v>
      </c>
      <c r="G5" s="175" t="s">
        <v>18</v>
      </c>
      <c r="H5" s="175" t="s">
        <v>4</v>
      </c>
      <c r="I5" s="175" t="s">
        <v>5</v>
      </c>
      <c r="J5" s="175" t="s">
        <v>6</v>
      </c>
      <c r="K5" s="175" t="s">
        <v>7</v>
      </c>
      <c r="L5" s="175" t="s">
        <v>8</v>
      </c>
      <c r="M5" s="175" t="s">
        <v>9</v>
      </c>
      <c r="N5" s="175" t="s">
        <v>12</v>
      </c>
      <c r="O5" s="175" t="s">
        <v>13</v>
      </c>
      <c r="P5" s="175" t="s">
        <v>10</v>
      </c>
      <c r="Q5" s="175" t="s">
        <v>11</v>
      </c>
      <c r="R5" s="175" t="s">
        <v>14</v>
      </c>
      <c r="S5" s="175" t="s">
        <v>15</v>
      </c>
      <c r="T5" s="175" t="s">
        <v>16</v>
      </c>
      <c r="U5" s="175" t="s">
        <v>17</v>
      </c>
      <c r="V5" s="175" t="s">
        <v>19</v>
      </c>
      <c r="W5" s="176" t="s">
        <v>48</v>
      </c>
      <c r="X5" s="176" t="s">
        <v>22</v>
      </c>
      <c r="Y5" s="312" t="s">
        <v>237</v>
      </c>
      <c r="Z5" s="313" t="s">
        <v>243</v>
      </c>
      <c r="AA5" s="175" t="s">
        <v>21</v>
      </c>
      <c r="AB5" s="175"/>
      <c r="AC5" s="175"/>
      <c r="AD5" s="175"/>
      <c r="AE5" s="177" t="s">
        <v>91</v>
      </c>
      <c r="AF5" s="177" t="s">
        <v>92</v>
      </c>
      <c r="AG5" s="179" t="s">
        <v>212</v>
      </c>
      <c r="AH5" s="180"/>
      <c r="AI5" s="176" t="s">
        <v>199</v>
      </c>
      <c r="AJ5" s="176" t="s">
        <v>203</v>
      </c>
      <c r="AK5" s="176"/>
      <c r="AL5" s="176"/>
    </row>
    <row r="6" spans="1:47" ht="44.25" customHeight="1" x14ac:dyDescent="0.3">
      <c r="A6" s="175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6"/>
      <c r="Y6" s="312"/>
      <c r="Z6" s="313"/>
      <c r="AA6" s="8" t="s">
        <v>43</v>
      </c>
      <c r="AB6" s="8" t="s">
        <v>44</v>
      </c>
      <c r="AC6" s="8" t="s">
        <v>45</v>
      </c>
      <c r="AD6" s="8" t="s">
        <v>46</v>
      </c>
      <c r="AE6" s="178"/>
      <c r="AF6" s="178"/>
      <c r="AG6" s="74" t="s">
        <v>213</v>
      </c>
      <c r="AH6" s="74" t="s">
        <v>214</v>
      </c>
      <c r="AI6" s="17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7" sqref="A7:XFD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5" t="str">
        <f>정보!F2</f>
        <v>(SO와이드) 제작변환 ( 산운마을 13단지 ) _김운호소장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5"/>
      <c r="AL1" s="325"/>
      <c r="AM1" s="325"/>
      <c r="AN1" s="325"/>
      <c r="AO1" s="325"/>
      <c r="AP1" s="325"/>
      <c r="AQ1" s="325"/>
      <c r="AR1" s="325"/>
      <c r="AS1" s="325"/>
      <c r="AT1" s="325"/>
      <c r="AU1" s="325"/>
      <c r="AV1" s="325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4" t="s">
        <v>113</v>
      </c>
      <c r="K2" s="225"/>
      <c r="L2" s="225"/>
      <c r="M2" s="225"/>
      <c r="N2" s="225"/>
      <c r="O2" s="225"/>
      <c r="P2" s="226">
        <v>1</v>
      </c>
      <c r="Q2" s="226"/>
      <c r="R2" s="196" t="s">
        <v>89</v>
      </c>
      <c r="S2" s="197"/>
      <c r="T2" s="198">
        <v>0</v>
      </c>
      <c r="U2" s="198"/>
      <c r="V2" s="175" t="s">
        <v>83</v>
      </c>
      <c r="W2" s="200"/>
      <c r="X2" s="200"/>
      <c r="Y2" s="201">
        <v>0</v>
      </c>
      <c r="Z2" s="201"/>
      <c r="AA2" s="330">
        <f>정보!B5</f>
        <v>0</v>
      </c>
      <c r="AB2" s="331"/>
      <c r="AC2" s="331"/>
      <c r="AD2" s="331"/>
      <c r="AE2" s="331"/>
      <c r="AF2" s="331"/>
      <c r="AG2" s="331"/>
      <c r="AH2" s="331"/>
      <c r="AI2" s="331"/>
      <c r="AJ2" s="331"/>
      <c r="AK2" s="332"/>
      <c r="AL2" s="196" t="s">
        <v>90</v>
      </c>
      <c r="AM2" s="197"/>
      <c r="AN2" s="326">
        <v>3</v>
      </c>
      <c r="AO2" s="326"/>
      <c r="AP2" s="1"/>
      <c r="AQ2" s="327" t="s">
        <v>229</v>
      </c>
      <c r="AR2" s="328"/>
      <c r="AS2" s="329">
        <v>0</v>
      </c>
      <c r="AT2" s="329"/>
      <c r="AU2" s="1"/>
      <c r="AV2" s="1"/>
    </row>
    <row r="3" spans="1:66" ht="24.75" customHeight="1" x14ac:dyDescent="0.3">
      <c r="A3" s="28" t="str">
        <f>'SO와이드(실측)'!A3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27">
        <v>3</v>
      </c>
      <c r="Q3" s="227"/>
      <c r="R3" s="197" t="s">
        <v>77</v>
      </c>
      <c r="S3" s="197"/>
      <c r="T3" s="204">
        <v>0</v>
      </c>
      <c r="U3" s="204"/>
      <c r="V3" s="205" t="s">
        <v>227</v>
      </c>
      <c r="W3" s="205"/>
      <c r="X3" s="205"/>
      <c r="Y3" s="206">
        <f>BN7</f>
        <v>1</v>
      </c>
      <c r="Z3" s="206"/>
      <c r="AA3" s="323" t="s">
        <v>78</v>
      </c>
      <c r="AB3" s="323"/>
      <c r="AC3" s="333">
        <v>1</v>
      </c>
      <c r="AD3" s="333"/>
      <c r="AL3" s="175" t="s">
        <v>73</v>
      </c>
      <c r="AM3" s="175"/>
      <c r="AN3" s="110">
        <v>5</v>
      </c>
      <c r="AO3" s="103" t="s">
        <v>74</v>
      </c>
      <c r="AP3" s="111">
        <v>4</v>
      </c>
      <c r="AQ3" s="232" t="s">
        <v>230</v>
      </c>
      <c r="AR3" s="232"/>
      <c r="AS3" s="234" t="s">
        <v>321</v>
      </c>
      <c r="AT3" s="235"/>
      <c r="AU3" s="238" t="e">
        <f>AY7</f>
        <v>#DIV/0!</v>
      </c>
      <c r="AV3" s="239"/>
      <c r="BN3" s="184" t="s">
        <v>253</v>
      </c>
    </row>
    <row r="4" spans="1:66" ht="33" customHeight="1" x14ac:dyDescent="0.3">
      <c r="A4" s="246" t="str">
        <f>정보!B10</f>
        <v>제작치수 반영 : MH + (2), JB/JD +(4 ),  늘어난치수K -(0),  C + (0),   U + (0), OP - (3), R - (0),  기둥차감 - (3),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324" t="s">
        <v>307</v>
      </c>
      <c r="AH4" s="324"/>
      <c r="AI4" s="283">
        <f>'SO와이드(실측)'!AA7</f>
        <v>0</v>
      </c>
      <c r="AJ4" s="283"/>
      <c r="AK4" s="229">
        <f ca="1">TODAY()</f>
        <v>45746</v>
      </c>
      <c r="AL4" s="170"/>
      <c r="AM4" s="170"/>
      <c r="AN4" s="9"/>
      <c r="AO4" s="318" t="s">
        <v>117</v>
      </c>
      <c r="AP4" s="318"/>
      <c r="AQ4" s="181" t="s">
        <v>215</v>
      </c>
      <c r="AR4" s="181"/>
      <c r="AS4" s="84"/>
      <c r="AT4" s="236" t="s">
        <v>235</v>
      </c>
      <c r="AU4" s="236"/>
      <c r="AV4" s="237"/>
      <c r="BN4" s="185"/>
    </row>
    <row r="5" spans="1:66" ht="25.9" customHeight="1" x14ac:dyDescent="0.3">
      <c r="A5" s="175" t="s">
        <v>0</v>
      </c>
      <c r="B5" s="175" t="s">
        <v>1</v>
      </c>
      <c r="C5" s="175" t="s">
        <v>2</v>
      </c>
      <c r="D5" s="175" t="s">
        <v>2</v>
      </c>
      <c r="E5" s="175" t="s">
        <v>236</v>
      </c>
      <c r="F5" s="175" t="s">
        <v>246</v>
      </c>
      <c r="G5" s="175" t="s">
        <v>18</v>
      </c>
      <c r="H5" s="213" t="s">
        <v>4</v>
      </c>
      <c r="I5" s="278" t="s">
        <v>42</v>
      </c>
      <c r="J5" s="210" t="s">
        <v>105</v>
      </c>
      <c r="K5" s="210" t="s">
        <v>106</v>
      </c>
      <c r="L5" s="214" t="s">
        <v>107</v>
      </c>
      <c r="M5" s="214" t="s">
        <v>108</v>
      </c>
      <c r="N5" s="319" t="s">
        <v>240</v>
      </c>
      <c r="O5" s="321" t="s">
        <v>241</v>
      </c>
      <c r="P5" s="216" t="s">
        <v>71</v>
      </c>
      <c r="Q5" s="216" t="s">
        <v>72</v>
      </c>
      <c r="R5" s="175" t="s">
        <v>8</v>
      </c>
      <c r="S5" s="175" t="s">
        <v>9</v>
      </c>
      <c r="T5" s="175" t="s">
        <v>12</v>
      </c>
      <c r="U5" s="175" t="s">
        <v>13</v>
      </c>
      <c r="V5" s="175" t="s">
        <v>10</v>
      </c>
      <c r="W5" s="175" t="s">
        <v>11</v>
      </c>
      <c r="X5" s="212" t="s">
        <v>14</v>
      </c>
      <c r="Y5" s="212" t="s">
        <v>15</v>
      </c>
      <c r="Z5" s="213" t="s">
        <v>16</v>
      </c>
      <c r="AA5" s="213" t="s">
        <v>17</v>
      </c>
      <c r="AB5" s="175" t="s">
        <v>19</v>
      </c>
      <c r="AC5" s="175" t="s">
        <v>20</v>
      </c>
      <c r="AD5" s="176" t="s">
        <v>22</v>
      </c>
      <c r="AE5" s="312" t="s">
        <v>242</v>
      </c>
      <c r="AF5" s="313" t="s">
        <v>238</v>
      </c>
      <c r="AG5" s="202" t="s">
        <v>79</v>
      </c>
      <c r="AH5" s="203"/>
      <c r="AI5" s="203"/>
      <c r="AJ5" s="203"/>
      <c r="AK5" s="194" t="s">
        <v>91</v>
      </c>
      <c r="AL5" s="194" t="s">
        <v>92</v>
      </c>
      <c r="AM5" s="186" t="s">
        <v>99</v>
      </c>
      <c r="AN5" s="176" t="s">
        <v>61</v>
      </c>
      <c r="AO5" s="176" t="s">
        <v>34</v>
      </c>
      <c r="AP5" s="176" t="s">
        <v>35</v>
      </c>
      <c r="AQ5" s="179" t="s">
        <v>212</v>
      </c>
      <c r="AR5" s="180"/>
      <c r="AS5" s="316" t="s">
        <v>199</v>
      </c>
      <c r="AT5" s="316" t="s">
        <v>204</v>
      </c>
      <c r="AU5" s="316"/>
      <c r="AV5" s="316"/>
      <c r="AW5" s="184" t="s">
        <v>100</v>
      </c>
      <c r="AX5" s="184" t="s">
        <v>101</v>
      </c>
      <c r="AY5" s="315" t="s">
        <v>244</v>
      </c>
      <c r="AZ5" s="314" t="s">
        <v>245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5"/>
      <c r="B6" s="175"/>
      <c r="C6" s="175"/>
      <c r="D6" s="175"/>
      <c r="E6" s="175"/>
      <c r="F6" s="175"/>
      <c r="G6" s="175"/>
      <c r="H6" s="213"/>
      <c r="I6" s="278"/>
      <c r="J6" s="211"/>
      <c r="K6" s="211"/>
      <c r="L6" s="215"/>
      <c r="M6" s="215"/>
      <c r="N6" s="320"/>
      <c r="O6" s="322"/>
      <c r="P6" s="217"/>
      <c r="Q6" s="217"/>
      <c r="R6" s="175"/>
      <c r="S6" s="175"/>
      <c r="T6" s="175"/>
      <c r="U6" s="175"/>
      <c r="V6" s="175"/>
      <c r="W6" s="175"/>
      <c r="X6" s="212"/>
      <c r="Y6" s="212"/>
      <c r="Z6" s="213"/>
      <c r="AA6" s="213"/>
      <c r="AB6" s="175"/>
      <c r="AC6" s="175"/>
      <c r="AD6" s="176"/>
      <c r="AE6" s="312"/>
      <c r="AF6" s="313"/>
      <c r="AG6" s="8" t="s">
        <v>52</v>
      </c>
      <c r="AH6" s="8" t="s">
        <v>68</v>
      </c>
      <c r="AI6" s="8" t="s">
        <v>69</v>
      </c>
      <c r="AJ6" s="8" t="s">
        <v>70</v>
      </c>
      <c r="AK6" s="195"/>
      <c r="AL6" s="195"/>
      <c r="AM6" s="187"/>
      <c r="AN6" s="176"/>
      <c r="AO6" s="175"/>
      <c r="AP6" s="175"/>
      <c r="AQ6" s="74" t="s">
        <v>213</v>
      </c>
      <c r="AR6" s="74" t="s">
        <v>214</v>
      </c>
      <c r="AS6" s="317"/>
      <c r="AT6" s="86" t="s">
        <v>200</v>
      </c>
      <c r="AU6" s="86" t="s">
        <v>201</v>
      </c>
      <c r="AV6" s="86" t="s">
        <v>80</v>
      </c>
      <c r="AW6" s="185"/>
      <c r="AX6" s="185"/>
      <c r="AY6" s="314"/>
      <c r="AZ6" s="314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2" t="str">
        <f>정보!E3</f>
        <v>(SO멍텅구리) 실측서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산운마을 13단지,   (재질) : HL 1.2T</v>
      </c>
      <c r="B3" s="2"/>
      <c r="C3" s="2"/>
      <c r="D3" s="2"/>
      <c r="E3" s="2"/>
      <c r="F3" s="2"/>
      <c r="G3" s="2"/>
      <c r="H3" s="256"/>
      <c r="I3" s="256"/>
      <c r="J3" s="253"/>
      <c r="K3" s="253"/>
      <c r="L3" s="254"/>
      <c r="M3" s="254"/>
      <c r="N3" s="255"/>
      <c r="O3" s="255"/>
      <c r="P3" s="255"/>
      <c r="Q3" s="250" t="s">
        <v>97</v>
      </c>
      <c r="R3" s="250"/>
      <c r="S3" s="251"/>
      <c r="T3" s="251"/>
      <c r="U3" s="252"/>
      <c r="V3" s="252"/>
      <c r="W3" s="252"/>
    </row>
    <row r="4" spans="1:41" ht="33" customHeight="1" x14ac:dyDescent="0.3">
      <c r="A4" s="246" t="str">
        <f>정보!B14</f>
        <v>제작치수 반영 : JB/JD +(3 ),  늘어난치수K -(3),  C + (0),  U +(0), OP1/OP2 -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170"/>
      <c r="X4" s="170"/>
      <c r="Y4" s="170"/>
      <c r="Z4" s="170"/>
      <c r="AA4" s="170"/>
      <c r="AB4" s="170"/>
      <c r="AC4" s="171"/>
      <c r="AD4" s="181" t="s">
        <v>215</v>
      </c>
      <c r="AE4" s="181"/>
      <c r="AF4" s="81" t="s">
        <v>234</v>
      </c>
    </row>
    <row r="5" spans="1:41" ht="25.9" customHeight="1" x14ac:dyDescent="0.3">
      <c r="A5" s="175" t="s">
        <v>0</v>
      </c>
      <c r="B5" s="175" t="s">
        <v>1</v>
      </c>
      <c r="C5" s="175" t="s">
        <v>248</v>
      </c>
      <c r="D5" s="175" t="s">
        <v>247</v>
      </c>
      <c r="E5" s="175" t="s">
        <v>18</v>
      </c>
      <c r="F5" s="175" t="s">
        <v>4</v>
      </c>
      <c r="G5" s="175" t="s">
        <v>5</v>
      </c>
      <c r="H5" s="175" t="s">
        <v>6</v>
      </c>
      <c r="I5" s="175" t="s">
        <v>7</v>
      </c>
      <c r="J5" s="175" t="s">
        <v>8</v>
      </c>
      <c r="K5" s="175" t="s">
        <v>9</v>
      </c>
      <c r="L5" s="175" t="s">
        <v>10</v>
      </c>
      <c r="M5" s="175" t="s">
        <v>11</v>
      </c>
      <c r="N5" s="175" t="s">
        <v>14</v>
      </c>
      <c r="O5" s="175" t="s">
        <v>15</v>
      </c>
      <c r="P5" s="175" t="s">
        <v>16</v>
      </c>
      <c r="Q5" s="175" t="s">
        <v>17</v>
      </c>
      <c r="R5" s="175" t="s">
        <v>19</v>
      </c>
      <c r="S5" s="175" t="s">
        <v>20</v>
      </c>
      <c r="T5" s="244" t="s">
        <v>22</v>
      </c>
      <c r="U5" s="312" t="s">
        <v>242</v>
      </c>
      <c r="V5" s="313" t="s">
        <v>238</v>
      </c>
      <c r="W5" s="247" t="s">
        <v>21</v>
      </c>
      <c r="X5" s="248"/>
      <c r="Y5" s="248"/>
      <c r="Z5" s="249"/>
      <c r="AA5" s="176" t="s">
        <v>203</v>
      </c>
      <c r="AB5" s="176"/>
      <c r="AC5" s="176"/>
      <c r="AD5" s="179" t="s">
        <v>212</v>
      </c>
      <c r="AE5" s="180"/>
      <c r="AF5" s="80" t="s">
        <v>231</v>
      </c>
    </row>
    <row r="6" spans="1:41" ht="47.25" customHeight="1" x14ac:dyDescent="0.3">
      <c r="A6" s="175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245"/>
      <c r="U6" s="312"/>
      <c r="V6" s="313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정보!F3</f>
        <v>(SO멍텅구리) 제작변환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"/>
      <c r="AN1" s="1"/>
      <c r="AO1" s="257" t="s">
        <v>75</v>
      </c>
      <c r="AP1" s="257"/>
      <c r="AQ1" s="257"/>
      <c r="AW1" s="24"/>
    </row>
    <row r="2" spans="1:58" ht="28.5" customHeight="1" x14ac:dyDescent="0.3">
      <c r="A2" s="97" t="s">
        <v>85</v>
      </c>
      <c r="B2" s="140">
        <v>2</v>
      </c>
      <c r="C2" s="348" t="s">
        <v>290</v>
      </c>
      <c r="D2" s="348"/>
      <c r="E2" s="116">
        <v>0</v>
      </c>
      <c r="F2" s="1"/>
      <c r="G2" s="1"/>
      <c r="H2" s="220" t="s">
        <v>81</v>
      </c>
      <c r="I2" s="220"/>
      <c r="J2" s="220"/>
      <c r="K2" s="343">
        <v>0</v>
      </c>
      <c r="L2" s="343"/>
      <c r="M2" s="343"/>
      <c r="N2" s="343"/>
      <c r="O2" s="225" t="s">
        <v>113</v>
      </c>
      <c r="P2" s="225"/>
      <c r="Q2" s="225"/>
      <c r="R2" s="225"/>
      <c r="S2" s="344">
        <v>1</v>
      </c>
      <c r="T2" s="344"/>
      <c r="U2" s="197" t="s">
        <v>103</v>
      </c>
      <c r="V2" s="197"/>
      <c r="W2" s="143">
        <v>0</v>
      </c>
      <c r="X2" s="225" t="s">
        <v>88</v>
      </c>
      <c r="Y2" s="225"/>
      <c r="Z2" s="345">
        <v>0</v>
      </c>
      <c r="AA2" s="345"/>
      <c r="AB2" s="22"/>
      <c r="AC2" s="196" t="s">
        <v>82</v>
      </c>
      <c r="AD2" s="197"/>
      <c r="AE2" s="346">
        <v>0</v>
      </c>
      <c r="AF2" s="346"/>
      <c r="AG2" s="142" t="s">
        <v>90</v>
      </c>
      <c r="AH2" s="347">
        <v>3</v>
      </c>
      <c r="AI2" s="347"/>
      <c r="AJ2" s="141"/>
      <c r="AK2" s="141"/>
      <c r="AL2" s="141"/>
      <c r="AM2" s="1"/>
      <c r="AN2" s="1"/>
      <c r="AO2" s="257"/>
      <c r="AP2" s="257"/>
      <c r="AQ2" s="257"/>
      <c r="AW2" s="24"/>
    </row>
    <row r="3" spans="1:58" ht="33" customHeight="1" x14ac:dyDescent="0.3">
      <c r="A3" s="33" t="str">
        <f>'SO멍텅(실측)'!A3</f>
        <v>현장명 : 산운마을 13단지,   (재질) : HL 1.2T</v>
      </c>
      <c r="B3" s="2"/>
      <c r="C3" s="2"/>
      <c r="D3" s="2"/>
      <c r="E3" s="2"/>
      <c r="F3" s="2"/>
      <c r="G3" s="2"/>
      <c r="H3" s="155"/>
      <c r="I3" s="197" t="s">
        <v>76</v>
      </c>
      <c r="J3" s="197"/>
      <c r="K3" s="227">
        <v>3</v>
      </c>
      <c r="L3" s="227"/>
      <c r="M3" s="227"/>
      <c r="N3" s="227"/>
      <c r="O3" s="197" t="s">
        <v>77</v>
      </c>
      <c r="P3" s="197"/>
      <c r="Q3" s="204">
        <v>0</v>
      </c>
      <c r="R3" s="204"/>
      <c r="S3" s="225" t="s">
        <v>227</v>
      </c>
      <c r="T3" s="225"/>
      <c r="U3" s="225"/>
      <c r="V3" s="338">
        <v>1</v>
      </c>
      <c r="W3" s="338"/>
      <c r="X3" s="225" t="s">
        <v>78</v>
      </c>
      <c r="Y3" s="225"/>
      <c r="Z3" s="342">
        <v>1</v>
      </c>
      <c r="AA3" s="342"/>
      <c r="AB3" s="64"/>
      <c r="AC3" s="156"/>
      <c r="AD3" s="156"/>
      <c r="AE3" s="336" t="s">
        <v>73</v>
      </c>
      <c r="AF3" s="336"/>
      <c r="AG3" s="157">
        <v>4</v>
      </c>
      <c r="AH3" s="142" t="s">
        <v>74</v>
      </c>
      <c r="AI3" s="157">
        <v>4</v>
      </c>
      <c r="AJ3" s="288" t="s">
        <v>322</v>
      </c>
      <c r="AK3" s="289"/>
      <c r="AL3" s="219"/>
      <c r="AM3" s="341" t="e">
        <f>AR7</f>
        <v>#DIV/0!</v>
      </c>
      <c r="AN3" s="170"/>
      <c r="AO3" s="25"/>
      <c r="AP3" s="25"/>
      <c r="AQ3" s="24"/>
      <c r="AW3" s="24"/>
    </row>
    <row r="4" spans="1:58" ht="33" customHeight="1" x14ac:dyDescent="0.3">
      <c r="A4" s="246" t="str">
        <f>'SO멍텅(실측)'!A4:AA4</f>
        <v>제작치수 반영 : JB/JD +(3 ),  늘어난치수K -(3),  C + (0),  U +(0), OP1/OP2 -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339" t="s">
        <v>308</v>
      </c>
      <c r="AD4" s="339"/>
      <c r="AE4" s="340">
        <f>'SO멍텅(실측)'!W7</f>
        <v>0</v>
      </c>
      <c r="AF4" s="340"/>
      <c r="AG4" s="158"/>
      <c r="AH4" s="337">
        <f ca="1">TODAY()</f>
        <v>45746</v>
      </c>
      <c r="AI4" s="236"/>
      <c r="AJ4" s="236" t="s">
        <v>235</v>
      </c>
      <c r="AK4" s="236"/>
      <c r="AL4" s="237"/>
      <c r="AM4" s="181" t="s">
        <v>215</v>
      </c>
      <c r="AN4" s="181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5" t="s">
        <v>0</v>
      </c>
      <c r="B5" s="175" t="s">
        <v>1</v>
      </c>
      <c r="C5" s="175" t="s">
        <v>248</v>
      </c>
      <c r="D5" s="175" t="s">
        <v>247</v>
      </c>
      <c r="E5" s="175" t="s">
        <v>18</v>
      </c>
      <c r="F5" s="176" t="s">
        <v>58</v>
      </c>
      <c r="G5" s="176" t="s">
        <v>59</v>
      </c>
      <c r="H5" s="277" t="s">
        <v>60</v>
      </c>
      <c r="I5" s="277" t="s">
        <v>64</v>
      </c>
      <c r="J5" s="334" t="s">
        <v>65</v>
      </c>
      <c r="K5" s="334" t="s">
        <v>66</v>
      </c>
      <c r="L5" s="319" t="s">
        <v>240</v>
      </c>
      <c r="M5" s="321" t="s">
        <v>241</v>
      </c>
      <c r="N5" s="244" t="s">
        <v>62</v>
      </c>
      <c r="O5" s="244" t="s">
        <v>63</v>
      </c>
      <c r="P5" s="175" t="s">
        <v>8</v>
      </c>
      <c r="Q5" s="175" t="s">
        <v>9</v>
      </c>
      <c r="R5" s="175" t="s">
        <v>10</v>
      </c>
      <c r="S5" s="175" t="s">
        <v>11</v>
      </c>
      <c r="T5" s="175" t="s">
        <v>14</v>
      </c>
      <c r="U5" s="175" t="s">
        <v>15</v>
      </c>
      <c r="V5" s="175" t="s">
        <v>16</v>
      </c>
      <c r="W5" s="175" t="s">
        <v>17</v>
      </c>
      <c r="X5" s="175" t="s">
        <v>19</v>
      </c>
      <c r="Y5" s="279" t="s">
        <v>20</v>
      </c>
      <c r="Z5" s="244" t="s">
        <v>22</v>
      </c>
      <c r="AA5" s="312" t="s">
        <v>242</v>
      </c>
      <c r="AB5" s="313" t="s">
        <v>238</v>
      </c>
      <c r="AC5" s="247" t="s">
        <v>21</v>
      </c>
      <c r="AD5" s="248"/>
      <c r="AE5" s="248"/>
      <c r="AF5" s="249"/>
      <c r="AG5" s="176" t="s">
        <v>25</v>
      </c>
      <c r="AH5" s="281" t="s">
        <v>34</v>
      </c>
      <c r="AI5" s="176" t="s">
        <v>35</v>
      </c>
      <c r="AJ5" s="316" t="s">
        <v>203</v>
      </c>
      <c r="AK5" s="316"/>
      <c r="AL5" s="316"/>
      <c r="AM5" s="179" t="s">
        <v>212</v>
      </c>
      <c r="AN5" s="180"/>
      <c r="AO5" s="184" t="s">
        <v>300</v>
      </c>
      <c r="AP5" s="184" t="s">
        <v>301</v>
      </c>
      <c r="AQ5" s="280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5"/>
      <c r="B6" s="175"/>
      <c r="C6" s="175"/>
      <c r="D6" s="175"/>
      <c r="E6" s="175"/>
      <c r="F6" s="175"/>
      <c r="G6" s="175"/>
      <c r="H6" s="278"/>
      <c r="I6" s="278"/>
      <c r="J6" s="335"/>
      <c r="K6" s="335"/>
      <c r="L6" s="320"/>
      <c r="M6" s="322"/>
      <c r="N6" s="245"/>
      <c r="O6" s="245"/>
      <c r="P6" s="175"/>
      <c r="Q6" s="175"/>
      <c r="R6" s="175"/>
      <c r="S6" s="175"/>
      <c r="T6" s="175"/>
      <c r="U6" s="175"/>
      <c r="V6" s="175"/>
      <c r="W6" s="175"/>
      <c r="X6" s="175"/>
      <c r="Y6" s="279"/>
      <c r="Z6" s="245"/>
      <c r="AA6" s="312"/>
      <c r="AB6" s="313"/>
      <c r="AC6" s="8" t="s">
        <v>56</v>
      </c>
      <c r="AD6" s="8" t="s">
        <v>57</v>
      </c>
      <c r="AE6" s="8" t="s">
        <v>54</v>
      </c>
      <c r="AF6" s="8" t="s">
        <v>55</v>
      </c>
      <c r="AG6" s="175"/>
      <c r="AH6" s="282"/>
      <c r="AI6" s="17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80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F7-COS(RADIANS(AR7))*H7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3" t="str">
        <f>정보!H2</f>
        <v>(4CO와이드) 실측서 ( 산운마을 13단지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3"/>
      <c r="AC2" s="173"/>
      <c r="AD2" s="173"/>
      <c r="AE2" s="173"/>
      <c r="AF2" s="173"/>
      <c r="AG2" s="173"/>
      <c r="AH2" s="173"/>
      <c r="AI2" s="173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3"/>
      <c r="AC3" s="173"/>
      <c r="AD3" s="173"/>
      <c r="AE3" s="173"/>
      <c r="AF3" s="173"/>
      <c r="AG3" s="173"/>
      <c r="AH3" s="173"/>
      <c r="AI3" s="173"/>
      <c r="AJ3" s="34"/>
      <c r="AK3" s="34"/>
      <c r="AL3" s="34"/>
      <c r="AM3" s="34"/>
    </row>
    <row r="4" spans="1:48" ht="33" customHeight="1" x14ac:dyDescent="0.3">
      <c r="A4" s="311" t="str">
        <f>정보!B15</f>
        <v>제작치수 반영 : MH + (2), JB/JD +(3 ),  늘어난치수K -(3),  C + (0),   U + (0), OP1/OP3 - (2), R - (0),  기둥차감 - (0), A + (1)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170"/>
      <c r="Y4" s="170"/>
      <c r="Z4" s="170"/>
      <c r="AA4" s="170"/>
      <c r="AB4" s="170"/>
      <c r="AC4" s="170"/>
      <c r="AD4" s="170"/>
      <c r="AE4" s="170"/>
      <c r="AF4" s="170"/>
      <c r="AG4" s="171"/>
      <c r="AH4" s="181" t="s">
        <v>215</v>
      </c>
      <c r="AI4" s="181"/>
      <c r="AJ4" s="75"/>
      <c r="AK4" s="9"/>
      <c r="AL4" s="9"/>
      <c r="AM4" s="9"/>
    </row>
    <row r="5" spans="1:48" ht="25.9" customHeight="1" x14ac:dyDescent="0.3">
      <c r="A5" s="175" t="s">
        <v>0</v>
      </c>
      <c r="B5" s="175" t="s">
        <v>1</v>
      </c>
      <c r="C5" s="175" t="s">
        <v>2</v>
      </c>
      <c r="D5" s="175" t="s">
        <v>24</v>
      </c>
      <c r="E5" s="175" t="s">
        <v>254</v>
      </c>
      <c r="F5" s="175" t="s">
        <v>239</v>
      </c>
      <c r="G5" s="175" t="s">
        <v>255</v>
      </c>
      <c r="H5" s="175" t="s">
        <v>18</v>
      </c>
      <c r="I5" s="175" t="s">
        <v>4</v>
      </c>
      <c r="J5" s="175" t="s">
        <v>5</v>
      </c>
      <c r="K5" s="175" t="s">
        <v>256</v>
      </c>
      <c r="L5" s="175" t="s">
        <v>6</v>
      </c>
      <c r="M5" s="175" t="s">
        <v>7</v>
      </c>
      <c r="N5" s="175" t="s">
        <v>47</v>
      </c>
      <c r="O5" s="175" t="s">
        <v>9</v>
      </c>
      <c r="P5" s="175" t="s">
        <v>12</v>
      </c>
      <c r="Q5" s="175" t="s">
        <v>13</v>
      </c>
      <c r="R5" s="175" t="s">
        <v>10</v>
      </c>
      <c r="S5" s="175" t="s">
        <v>11</v>
      </c>
      <c r="T5" s="175" t="s">
        <v>14</v>
      </c>
      <c r="U5" s="175" t="s">
        <v>15</v>
      </c>
      <c r="V5" s="175" t="s">
        <v>16</v>
      </c>
      <c r="W5" s="175" t="s">
        <v>17</v>
      </c>
      <c r="X5" s="175" t="s">
        <v>19</v>
      </c>
      <c r="Y5" s="176" t="s">
        <v>48</v>
      </c>
      <c r="Z5" s="176" t="s">
        <v>22</v>
      </c>
      <c r="AA5" s="176" t="s">
        <v>23</v>
      </c>
      <c r="AB5" s="175" t="s">
        <v>21</v>
      </c>
      <c r="AC5" s="175"/>
      <c r="AD5" s="175"/>
      <c r="AE5" s="175"/>
      <c r="AF5" s="177" t="s">
        <v>91</v>
      </c>
      <c r="AG5" s="177" t="s">
        <v>92</v>
      </c>
      <c r="AH5" s="179" t="s">
        <v>212</v>
      </c>
      <c r="AI5" s="180"/>
      <c r="AJ5" s="176" t="s">
        <v>199</v>
      </c>
      <c r="AK5" s="176" t="s">
        <v>203</v>
      </c>
      <c r="AL5" s="176"/>
      <c r="AM5" s="176"/>
    </row>
    <row r="6" spans="1:48" ht="44.25" customHeight="1" x14ac:dyDescent="0.3">
      <c r="A6" s="175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6"/>
      <c r="AA6" s="176"/>
      <c r="AB6" s="8" t="s">
        <v>43</v>
      </c>
      <c r="AC6" s="8" t="s">
        <v>44</v>
      </c>
      <c r="AD6" s="8" t="s">
        <v>45</v>
      </c>
      <c r="AE6" s="8" t="s">
        <v>46</v>
      </c>
      <c r="AF6" s="178"/>
      <c r="AG6" s="178"/>
      <c r="AH6" s="74" t="s">
        <v>213</v>
      </c>
      <c r="AI6" s="74" t="s">
        <v>214</v>
      </c>
      <c r="AJ6" s="17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C11" sqref="AC1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3" t="str">
        <f>정보!I2</f>
        <v>(4CO와이드) 제작변환 ( 산운마을 13단지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4" t="s">
        <v>113</v>
      </c>
      <c r="M2" s="225"/>
      <c r="N2" s="225"/>
      <c r="O2" s="225"/>
      <c r="P2" s="225"/>
      <c r="Q2" s="225"/>
      <c r="R2" s="226">
        <v>1</v>
      </c>
      <c r="S2" s="226"/>
      <c r="T2" s="196" t="s">
        <v>89</v>
      </c>
      <c r="U2" s="197"/>
      <c r="V2" s="198">
        <v>0</v>
      </c>
      <c r="W2" s="198"/>
      <c r="X2" s="291" t="s">
        <v>83</v>
      </c>
      <c r="Y2" s="205"/>
      <c r="Z2" s="205"/>
      <c r="AA2" s="201">
        <v>0</v>
      </c>
      <c r="AB2" s="201"/>
      <c r="AC2" s="330">
        <f>정보!B5</f>
        <v>0</v>
      </c>
      <c r="AD2" s="331"/>
      <c r="AE2" s="331"/>
      <c r="AF2" s="331"/>
      <c r="AG2" s="331"/>
      <c r="AH2" s="331"/>
      <c r="AI2" s="331"/>
      <c r="AJ2" s="331"/>
      <c r="AK2" s="331"/>
      <c r="AL2" s="332"/>
      <c r="AM2" s="196" t="s">
        <v>90</v>
      </c>
      <c r="AN2" s="197"/>
      <c r="AO2" s="349">
        <v>3</v>
      </c>
      <c r="AP2" s="349"/>
      <c r="AQ2" s="1"/>
      <c r="AR2" s="327" t="s">
        <v>229</v>
      </c>
      <c r="AS2" s="328"/>
      <c r="AT2" s="329">
        <v>0</v>
      </c>
      <c r="AU2" s="329"/>
      <c r="AV2" s="1"/>
      <c r="AW2" s="1"/>
    </row>
    <row r="3" spans="1:66" ht="24.75" customHeight="1" x14ac:dyDescent="0.3">
      <c r="A3" s="28" t="str">
        <f>'4CO와이드(실측)'!A3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5" t="s">
        <v>228</v>
      </c>
      <c r="M3" s="225"/>
      <c r="N3" s="225"/>
      <c r="O3" s="225"/>
      <c r="P3" s="225"/>
      <c r="Q3" s="225"/>
      <c r="R3" s="227">
        <v>3</v>
      </c>
      <c r="S3" s="227"/>
      <c r="T3" s="197" t="s">
        <v>77</v>
      </c>
      <c r="U3" s="197"/>
      <c r="V3" s="204">
        <v>0</v>
      </c>
      <c r="W3" s="204"/>
      <c r="X3" s="205" t="s">
        <v>227</v>
      </c>
      <c r="Y3" s="205"/>
      <c r="Z3" s="205"/>
      <c r="AA3" s="206">
        <f>BN7</f>
        <v>1</v>
      </c>
      <c r="AB3" s="206"/>
      <c r="AC3" s="205" t="s">
        <v>78</v>
      </c>
      <c r="AD3" s="205"/>
      <c r="AE3" s="333">
        <v>1</v>
      </c>
      <c r="AF3" s="333"/>
      <c r="AJ3" s="185"/>
      <c r="AK3" s="185"/>
      <c r="AL3" s="3"/>
      <c r="AM3" s="175" t="s">
        <v>73</v>
      </c>
      <c r="AN3" s="175"/>
      <c r="AO3" s="114">
        <v>5</v>
      </c>
      <c r="AP3" s="4" t="s">
        <v>74</v>
      </c>
      <c r="AQ3" s="115">
        <v>4</v>
      </c>
      <c r="AR3" s="232" t="s">
        <v>230</v>
      </c>
      <c r="AS3" s="232"/>
      <c r="AT3" s="350" t="s">
        <v>323</v>
      </c>
      <c r="AU3" s="350"/>
      <c r="AV3" s="238" t="e">
        <f>AZ7</f>
        <v>#DIV/0!</v>
      </c>
      <c r="AW3" s="239"/>
      <c r="BN3" s="184" t="s">
        <v>253</v>
      </c>
    </row>
    <row r="4" spans="1:66" ht="33" customHeight="1" x14ac:dyDescent="0.3">
      <c r="A4" s="246" t="str">
        <f>정보!B15</f>
        <v>제작치수 반영 : MH + (2), JB/JD +(3 ),  늘어난치수K -(3),  C + (0),   U + (0), OP1/OP3 -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351" t="s">
        <v>309</v>
      </c>
      <c r="AI4" s="351"/>
      <c r="AJ4" s="351">
        <f>'4CO와이드(실측)'!AB7</f>
        <v>0</v>
      </c>
      <c r="AK4" s="351"/>
      <c r="AL4" s="229">
        <f ca="1">TODAY()</f>
        <v>45746</v>
      </c>
      <c r="AM4" s="170"/>
      <c r="AN4" s="170"/>
      <c r="AO4" s="9"/>
      <c r="AP4" s="228" t="s">
        <v>117</v>
      </c>
      <c r="AQ4" s="228"/>
      <c r="AR4" s="181" t="s">
        <v>215</v>
      </c>
      <c r="AS4" s="181"/>
      <c r="AT4" s="84"/>
      <c r="AU4" s="236" t="s">
        <v>235</v>
      </c>
      <c r="AV4" s="236"/>
      <c r="AW4" s="237"/>
      <c r="BN4" s="185"/>
    </row>
    <row r="5" spans="1:66" ht="25.9" customHeight="1" x14ac:dyDescent="0.3">
      <c r="A5" s="175" t="s">
        <v>0</v>
      </c>
      <c r="B5" s="175" t="s">
        <v>1</v>
      </c>
      <c r="C5" s="175" t="s">
        <v>2</v>
      </c>
      <c r="D5" s="175" t="s">
        <v>2</v>
      </c>
      <c r="E5" s="175" t="s">
        <v>259</v>
      </c>
      <c r="F5" s="176" t="s">
        <v>261</v>
      </c>
      <c r="G5" s="175" t="s">
        <v>260</v>
      </c>
      <c r="H5" s="175" t="s">
        <v>18</v>
      </c>
      <c r="I5" s="213" t="s">
        <v>41</v>
      </c>
      <c r="J5" s="278" t="s">
        <v>42</v>
      </c>
      <c r="K5" s="278" t="s">
        <v>262</v>
      </c>
      <c r="L5" s="210" t="s">
        <v>105</v>
      </c>
      <c r="M5" s="210" t="s">
        <v>106</v>
      </c>
      <c r="N5" s="214" t="s">
        <v>107</v>
      </c>
      <c r="O5" s="214" t="s">
        <v>108</v>
      </c>
      <c r="P5" s="319" t="s">
        <v>329</v>
      </c>
      <c r="Q5" s="319" t="s">
        <v>330</v>
      </c>
      <c r="R5" s="216" t="s">
        <v>71</v>
      </c>
      <c r="S5" s="216" t="s">
        <v>72</v>
      </c>
      <c r="T5" s="175" t="s">
        <v>8</v>
      </c>
      <c r="U5" s="175" t="s">
        <v>9</v>
      </c>
      <c r="V5" s="175" t="s">
        <v>12</v>
      </c>
      <c r="W5" s="175" t="s">
        <v>13</v>
      </c>
      <c r="X5" s="175" t="s">
        <v>10</v>
      </c>
      <c r="Y5" s="175" t="s">
        <v>11</v>
      </c>
      <c r="Z5" s="212" t="s">
        <v>14</v>
      </c>
      <c r="AA5" s="212" t="s">
        <v>15</v>
      </c>
      <c r="AB5" s="213" t="s">
        <v>16</v>
      </c>
      <c r="AC5" s="213" t="s">
        <v>17</v>
      </c>
      <c r="AD5" s="175" t="s">
        <v>19</v>
      </c>
      <c r="AE5" s="175" t="s">
        <v>20</v>
      </c>
      <c r="AF5" s="176" t="s">
        <v>22</v>
      </c>
      <c r="AG5" s="176" t="s">
        <v>23</v>
      </c>
      <c r="AH5" s="202" t="s">
        <v>79</v>
      </c>
      <c r="AI5" s="203"/>
      <c r="AJ5" s="203"/>
      <c r="AK5" s="203"/>
      <c r="AL5" s="194" t="s">
        <v>91</v>
      </c>
      <c r="AM5" s="194" t="s">
        <v>92</v>
      </c>
      <c r="AN5" s="186" t="s">
        <v>99</v>
      </c>
      <c r="AO5" s="176" t="s">
        <v>61</v>
      </c>
      <c r="AP5" s="176" t="s">
        <v>34</v>
      </c>
      <c r="AQ5" s="176" t="s">
        <v>35</v>
      </c>
      <c r="AR5" s="179" t="s">
        <v>212</v>
      </c>
      <c r="AS5" s="180"/>
      <c r="AT5" s="316" t="s">
        <v>199</v>
      </c>
      <c r="AU5" s="316" t="s">
        <v>204</v>
      </c>
      <c r="AV5" s="316"/>
      <c r="AW5" s="316"/>
      <c r="AX5" s="184" t="s">
        <v>100</v>
      </c>
      <c r="AY5" s="184" t="s">
        <v>101</v>
      </c>
      <c r="AZ5" s="185" t="s">
        <v>80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5"/>
      <c r="B6" s="175"/>
      <c r="C6" s="175"/>
      <c r="D6" s="175"/>
      <c r="E6" s="175"/>
      <c r="F6" s="175"/>
      <c r="G6" s="175"/>
      <c r="H6" s="175"/>
      <c r="I6" s="213"/>
      <c r="J6" s="278"/>
      <c r="K6" s="278"/>
      <c r="L6" s="211"/>
      <c r="M6" s="211"/>
      <c r="N6" s="215"/>
      <c r="O6" s="215"/>
      <c r="P6" s="320"/>
      <c r="Q6" s="320"/>
      <c r="R6" s="217"/>
      <c r="S6" s="217"/>
      <c r="T6" s="175"/>
      <c r="U6" s="175"/>
      <c r="V6" s="175"/>
      <c r="W6" s="175"/>
      <c r="X6" s="175"/>
      <c r="Y6" s="175"/>
      <c r="Z6" s="212"/>
      <c r="AA6" s="212"/>
      <c r="AB6" s="213"/>
      <c r="AC6" s="213"/>
      <c r="AD6" s="175"/>
      <c r="AE6" s="175"/>
      <c r="AF6" s="176"/>
      <c r="AG6" s="176"/>
      <c r="AH6" s="8" t="s">
        <v>67</v>
      </c>
      <c r="AI6" s="8" t="s">
        <v>68</v>
      </c>
      <c r="AJ6" s="8" t="s">
        <v>69</v>
      </c>
      <c r="AK6" s="8" t="s">
        <v>70</v>
      </c>
      <c r="AL6" s="195"/>
      <c r="AM6" s="195"/>
      <c r="AN6" s="187"/>
      <c r="AO6" s="176"/>
      <c r="AP6" s="175"/>
      <c r="AQ6" s="175"/>
      <c r="AR6" s="74" t="s">
        <v>213</v>
      </c>
      <c r="AS6" s="74" t="s">
        <v>214</v>
      </c>
      <c r="AT6" s="317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2" t="str">
        <f>정보!H3</f>
        <v>(4CO멍텅구리) 실측서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256"/>
      <c r="K3" s="256"/>
      <c r="L3" s="253"/>
      <c r="M3" s="253"/>
      <c r="N3" s="254"/>
      <c r="O3" s="254"/>
      <c r="P3" s="255"/>
      <c r="Q3" s="255"/>
      <c r="R3" s="255"/>
      <c r="S3" s="250" t="s">
        <v>97</v>
      </c>
      <c r="T3" s="250"/>
      <c r="U3" s="251"/>
      <c r="V3" s="251"/>
      <c r="W3" s="252"/>
      <c r="X3" s="252"/>
    </row>
    <row r="4" spans="1:42" ht="33" customHeight="1" x14ac:dyDescent="0.3">
      <c r="A4" s="246" t="str">
        <f>정보!B16</f>
        <v>제작치수 반영 : JB/JD +(3 ),  늘어난치수K -(3),  C + (0),  U +(0), OP1/OP3 -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9"/>
      <c r="AD4" s="9"/>
      <c r="AE4" s="181" t="s">
        <v>215</v>
      </c>
      <c r="AF4" s="181"/>
      <c r="AG4" s="81" t="s">
        <v>234</v>
      </c>
    </row>
    <row r="5" spans="1:42" ht="25.9" customHeight="1" x14ac:dyDescent="0.3">
      <c r="A5" s="175" t="s">
        <v>0</v>
      </c>
      <c r="B5" s="175" t="s">
        <v>1</v>
      </c>
      <c r="C5" s="175" t="s">
        <v>263</v>
      </c>
      <c r="D5" s="175" t="s">
        <v>264</v>
      </c>
      <c r="E5" s="175" t="s">
        <v>255</v>
      </c>
      <c r="F5" s="175" t="s">
        <v>18</v>
      </c>
      <c r="G5" s="175" t="s">
        <v>4</v>
      </c>
      <c r="H5" s="175" t="s">
        <v>265</v>
      </c>
      <c r="I5" s="175" t="s">
        <v>266</v>
      </c>
      <c r="J5" s="175" t="s">
        <v>6</v>
      </c>
      <c r="K5" s="175" t="s">
        <v>7</v>
      </c>
      <c r="L5" s="175" t="s">
        <v>8</v>
      </c>
      <c r="M5" s="175" t="s">
        <v>9</v>
      </c>
      <c r="N5" s="175" t="s">
        <v>10</v>
      </c>
      <c r="O5" s="175" t="s">
        <v>11</v>
      </c>
      <c r="P5" s="175" t="s">
        <v>14</v>
      </c>
      <c r="Q5" s="175" t="s">
        <v>15</v>
      </c>
      <c r="R5" s="175" t="s">
        <v>16</v>
      </c>
      <c r="S5" s="175" t="s">
        <v>17</v>
      </c>
      <c r="T5" s="175" t="s">
        <v>19</v>
      </c>
      <c r="U5" s="175" t="s">
        <v>20</v>
      </c>
      <c r="V5" s="244" t="s">
        <v>22</v>
      </c>
      <c r="W5" s="244" t="s">
        <v>23</v>
      </c>
      <c r="X5" s="247" t="s">
        <v>21</v>
      </c>
      <c r="Y5" s="248"/>
      <c r="Z5" s="248"/>
      <c r="AA5" s="249"/>
      <c r="AB5" s="176" t="s">
        <v>203</v>
      </c>
      <c r="AC5" s="176"/>
      <c r="AD5" s="176"/>
      <c r="AE5" s="179" t="s">
        <v>212</v>
      </c>
      <c r="AF5" s="180"/>
      <c r="AG5" s="80" t="s">
        <v>231</v>
      </c>
    </row>
    <row r="6" spans="1:42" ht="47.25" customHeight="1" x14ac:dyDescent="0.3">
      <c r="A6" s="175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245"/>
      <c r="W6" s="245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정보!I3</f>
        <v>(4CO멍텅구리) 제작변환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"/>
      <c r="AO1" s="1"/>
      <c r="AP1" s="257" t="s">
        <v>75</v>
      </c>
      <c r="AQ1" s="257"/>
      <c r="AR1" s="257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20" t="s">
        <v>302</v>
      </c>
      <c r="K2" s="220"/>
      <c r="L2" s="220"/>
      <c r="M2" s="107">
        <v>0</v>
      </c>
      <c r="N2" s="99"/>
      <c r="O2" s="99"/>
      <c r="P2" s="99"/>
      <c r="Q2" s="273" t="s">
        <v>113</v>
      </c>
      <c r="R2" s="273"/>
      <c r="S2" s="273"/>
      <c r="T2" s="273"/>
      <c r="U2" s="268">
        <v>1</v>
      </c>
      <c r="V2" s="268"/>
      <c r="W2" s="265" t="s">
        <v>103</v>
      </c>
      <c r="X2" s="266"/>
      <c r="Y2" s="95">
        <v>0</v>
      </c>
      <c r="Z2" s="265" t="s">
        <v>88</v>
      </c>
      <c r="AA2" s="266"/>
      <c r="AB2" s="94">
        <v>0</v>
      </c>
      <c r="AC2" s="69"/>
      <c r="AD2" s="259" t="s">
        <v>82</v>
      </c>
      <c r="AE2" s="260"/>
      <c r="AF2" s="352">
        <v>0</v>
      </c>
      <c r="AG2" s="352"/>
      <c r="AH2" s="98" t="s">
        <v>114</v>
      </c>
      <c r="AI2" s="353">
        <v>3</v>
      </c>
      <c r="AJ2" s="353"/>
      <c r="AK2" s="1"/>
      <c r="AL2" s="1"/>
      <c r="AM2" s="1"/>
      <c r="AN2" s="1"/>
      <c r="AO2" s="1"/>
      <c r="AP2" s="257"/>
      <c r="AQ2" s="257"/>
      <c r="AR2" s="257"/>
      <c r="AW2" s="24"/>
    </row>
    <row r="3" spans="1:58" ht="33" customHeight="1" x14ac:dyDescent="0.3">
      <c r="A3" s="33" t="str">
        <f>'4CO멍텅(실측)'!A3</f>
        <v>현장명 : 산운마을 13단지,   (재질) : HL 1.2T</v>
      </c>
      <c r="B3" s="2"/>
      <c r="C3" s="2"/>
      <c r="D3" s="2"/>
      <c r="E3" s="2"/>
      <c r="F3" s="2"/>
      <c r="G3" s="2"/>
      <c r="H3" s="2"/>
      <c r="I3" s="2"/>
      <c r="J3" s="2"/>
      <c r="K3" s="259" t="s">
        <v>76</v>
      </c>
      <c r="L3" s="259"/>
      <c r="M3" s="106">
        <v>3</v>
      </c>
      <c r="N3" s="100"/>
      <c r="O3" s="100"/>
      <c r="P3" s="100"/>
      <c r="Q3" s="259" t="s">
        <v>77</v>
      </c>
      <c r="R3" s="259"/>
      <c r="S3" s="272">
        <v>0</v>
      </c>
      <c r="T3" s="272"/>
      <c r="U3" s="273" t="s">
        <v>227</v>
      </c>
      <c r="V3" s="273"/>
      <c r="W3" s="273"/>
      <c r="X3" s="274">
        <f>BE7</f>
        <v>1</v>
      </c>
      <c r="Y3" s="274"/>
      <c r="Z3" s="269" t="s">
        <v>78</v>
      </c>
      <c r="AA3" s="269"/>
      <c r="AB3" s="93">
        <v>1</v>
      </c>
      <c r="AC3" s="101"/>
      <c r="AF3" s="216" t="s">
        <v>73</v>
      </c>
      <c r="AG3" s="216"/>
      <c r="AH3" s="114">
        <v>4</v>
      </c>
      <c r="AI3" s="4" t="s">
        <v>74</v>
      </c>
      <c r="AJ3" s="115">
        <v>4</v>
      </c>
      <c r="AK3" s="288" t="s">
        <v>324</v>
      </c>
      <c r="AL3" s="21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246" t="str">
        <f>'4CO멍텅(실측)'!A4:AB4</f>
        <v>제작치수 반영 : JB/JD +(3 ),  늘어난치수K -(3),  C + (0),  U +(0), OP1/OP3 -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351" t="s">
        <v>307</v>
      </c>
      <c r="AE4" s="351"/>
      <c r="AF4" s="351">
        <f>'4CO멍텅(실측)'!X7</f>
        <v>0</v>
      </c>
      <c r="AG4" s="351"/>
      <c r="AH4" s="9"/>
      <c r="AI4" s="229">
        <f ca="1">TODAY()</f>
        <v>45746</v>
      </c>
      <c r="AJ4" s="170"/>
      <c r="AK4" s="286" t="s">
        <v>235</v>
      </c>
      <c r="AL4" s="286"/>
      <c r="AM4" s="287"/>
      <c r="AN4" s="181" t="s">
        <v>215</v>
      </c>
      <c r="AO4" s="181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5" t="s">
        <v>0</v>
      </c>
      <c r="B5" s="175" t="s">
        <v>1</v>
      </c>
      <c r="C5" s="175" t="s">
        <v>267</v>
      </c>
      <c r="D5" s="176" t="s">
        <v>261</v>
      </c>
      <c r="E5" s="175" t="s">
        <v>268</v>
      </c>
      <c r="F5" s="175" t="s">
        <v>18</v>
      </c>
      <c r="G5" s="176" t="s">
        <v>58</v>
      </c>
      <c r="H5" s="176" t="s">
        <v>269</v>
      </c>
      <c r="I5" s="176" t="s">
        <v>270</v>
      </c>
      <c r="J5" s="277" t="s">
        <v>60</v>
      </c>
      <c r="K5" s="277" t="s">
        <v>64</v>
      </c>
      <c r="L5" s="334" t="s">
        <v>65</v>
      </c>
      <c r="M5" s="334" t="s">
        <v>66</v>
      </c>
      <c r="N5" s="319" t="s">
        <v>331</v>
      </c>
      <c r="O5" s="319" t="s">
        <v>332</v>
      </c>
      <c r="P5" s="244" t="s">
        <v>62</v>
      </c>
      <c r="Q5" s="244" t="s">
        <v>63</v>
      </c>
      <c r="R5" s="175" t="s">
        <v>8</v>
      </c>
      <c r="S5" s="175" t="s">
        <v>9</v>
      </c>
      <c r="T5" s="175" t="s">
        <v>10</v>
      </c>
      <c r="U5" s="175" t="s">
        <v>11</v>
      </c>
      <c r="V5" s="175" t="s">
        <v>14</v>
      </c>
      <c r="W5" s="175" t="s">
        <v>15</v>
      </c>
      <c r="X5" s="175" t="s">
        <v>16</v>
      </c>
      <c r="Y5" s="175" t="s">
        <v>17</v>
      </c>
      <c r="Z5" s="175" t="s">
        <v>19</v>
      </c>
      <c r="AA5" s="175" t="s">
        <v>20</v>
      </c>
      <c r="AB5" s="244" t="s">
        <v>22</v>
      </c>
      <c r="AC5" s="244" t="s">
        <v>23</v>
      </c>
      <c r="AD5" s="247" t="s">
        <v>21</v>
      </c>
      <c r="AE5" s="248"/>
      <c r="AF5" s="248"/>
      <c r="AG5" s="249"/>
      <c r="AH5" s="176" t="s">
        <v>25</v>
      </c>
      <c r="AI5" s="281" t="s">
        <v>34</v>
      </c>
      <c r="AJ5" s="176" t="s">
        <v>35</v>
      </c>
      <c r="AK5" s="316" t="s">
        <v>203</v>
      </c>
      <c r="AL5" s="316"/>
      <c r="AM5" s="316"/>
      <c r="AN5" s="179" t="s">
        <v>212</v>
      </c>
      <c r="AO5" s="180"/>
      <c r="AP5" s="184" t="s">
        <v>300</v>
      </c>
      <c r="AQ5" s="184" t="s">
        <v>301</v>
      </c>
      <c r="AR5" s="280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5"/>
      <c r="B6" s="175"/>
      <c r="C6" s="175"/>
      <c r="D6" s="175"/>
      <c r="E6" s="175"/>
      <c r="F6" s="175"/>
      <c r="G6" s="175"/>
      <c r="H6" s="175"/>
      <c r="I6" s="175"/>
      <c r="J6" s="278"/>
      <c r="K6" s="278"/>
      <c r="L6" s="335"/>
      <c r="M6" s="335"/>
      <c r="N6" s="320"/>
      <c r="O6" s="320"/>
      <c r="P6" s="245"/>
      <c r="Q6" s="24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245"/>
      <c r="AC6" s="245"/>
      <c r="AD6" s="8" t="s">
        <v>56</v>
      </c>
      <c r="AE6" s="8" t="s">
        <v>57</v>
      </c>
      <c r="AF6" s="8" t="s">
        <v>54</v>
      </c>
      <c r="AG6" s="8" t="s">
        <v>55</v>
      </c>
      <c r="AH6" s="175"/>
      <c r="AI6" s="282"/>
      <c r="AJ6" s="17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80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2" t="str">
        <f>정보!K2</f>
        <v>(2UP) 실측서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산운마을 13단지,   (재질) : HL 1.2T</v>
      </c>
      <c r="B3" s="2"/>
      <c r="C3" s="2"/>
      <c r="D3" s="2"/>
      <c r="E3" s="2"/>
      <c r="F3" s="2"/>
      <c r="G3" s="256"/>
      <c r="H3" s="256"/>
      <c r="I3" s="256"/>
      <c r="J3" s="23"/>
      <c r="K3" s="253"/>
      <c r="L3" s="253"/>
      <c r="M3" s="254"/>
      <c r="N3" s="254"/>
      <c r="O3" s="255"/>
      <c r="P3" s="255"/>
      <c r="Q3" s="255"/>
      <c r="R3" s="120"/>
      <c r="S3" s="250" t="s">
        <v>97</v>
      </c>
      <c r="T3" s="250"/>
      <c r="U3" s="250"/>
      <c r="V3" s="251"/>
      <c r="W3" s="251"/>
      <c r="X3" s="252"/>
      <c r="Y3" s="252"/>
    </row>
    <row r="4" spans="1:40" ht="33" customHeight="1" x14ac:dyDescent="0.3">
      <c r="A4" s="246" t="str">
        <f>정보!B17</f>
        <v>제작치수 반영 : JB/JD +(3 ),  늘어난치수K -(0),  C + (0),   U + (0), OP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181" t="s">
        <v>215</v>
      </c>
      <c r="AD4" s="181"/>
      <c r="AE4" s="81" t="s">
        <v>234</v>
      </c>
    </row>
    <row r="5" spans="1:40" ht="25.9" customHeight="1" x14ac:dyDescent="0.3">
      <c r="A5" s="175" t="s">
        <v>0</v>
      </c>
      <c r="B5" s="175" t="s">
        <v>1</v>
      </c>
      <c r="C5" s="175" t="s">
        <v>3</v>
      </c>
      <c r="D5" s="175" t="s">
        <v>18</v>
      </c>
      <c r="E5" s="175" t="s">
        <v>4</v>
      </c>
      <c r="F5" s="175" t="s">
        <v>5</v>
      </c>
      <c r="G5" s="277" t="s">
        <v>274</v>
      </c>
      <c r="H5" s="277" t="s">
        <v>275</v>
      </c>
      <c r="I5" s="334" t="s">
        <v>276</v>
      </c>
      <c r="J5" s="334" t="s">
        <v>277</v>
      </c>
      <c r="K5" s="175" t="s">
        <v>8</v>
      </c>
      <c r="L5" s="175" t="s">
        <v>9</v>
      </c>
      <c r="M5" s="175" t="s">
        <v>10</v>
      </c>
      <c r="N5" s="175" t="s">
        <v>11</v>
      </c>
      <c r="O5" s="356" t="s">
        <v>14</v>
      </c>
      <c r="P5" s="354" t="s">
        <v>282</v>
      </c>
      <c r="Q5" s="354" t="s">
        <v>283</v>
      </c>
      <c r="R5" s="334" t="s">
        <v>129</v>
      </c>
      <c r="S5" s="334" t="s">
        <v>280</v>
      </c>
      <c r="T5" s="334" t="s">
        <v>281</v>
      </c>
      <c r="U5" s="175" t="s">
        <v>19</v>
      </c>
      <c r="V5" s="175" t="s">
        <v>20</v>
      </c>
      <c r="W5" s="244" t="s">
        <v>22</v>
      </c>
      <c r="X5" s="244" t="s">
        <v>23</v>
      </c>
      <c r="Y5" s="247" t="s">
        <v>21</v>
      </c>
      <c r="Z5" s="248"/>
      <c r="AA5" s="248"/>
      <c r="AB5" s="249"/>
      <c r="AC5" s="179" t="s">
        <v>212</v>
      </c>
      <c r="AD5" s="180"/>
      <c r="AE5" s="80" t="s">
        <v>231</v>
      </c>
    </row>
    <row r="6" spans="1:40" ht="47.25" customHeight="1" x14ac:dyDescent="0.3">
      <c r="A6" s="175"/>
      <c r="B6" s="175"/>
      <c r="C6" s="175"/>
      <c r="D6" s="175"/>
      <c r="E6" s="175"/>
      <c r="F6" s="175"/>
      <c r="G6" s="278"/>
      <c r="H6" s="278"/>
      <c r="I6" s="335"/>
      <c r="J6" s="335"/>
      <c r="K6" s="175"/>
      <c r="L6" s="175"/>
      <c r="M6" s="175"/>
      <c r="N6" s="175"/>
      <c r="O6" s="355"/>
      <c r="P6" s="355"/>
      <c r="Q6" s="355"/>
      <c r="R6" s="335"/>
      <c r="S6" s="335"/>
      <c r="T6" s="335"/>
      <c r="U6" s="175"/>
      <c r="V6" s="175"/>
      <c r="W6" s="245"/>
      <c r="X6" s="245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2" t="str">
        <f>정보!L2</f>
        <v>(2UP) 제작변환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"/>
      <c r="AK1" s="1"/>
      <c r="AL1" s="257" t="s">
        <v>75</v>
      </c>
      <c r="AM1" s="257"/>
      <c r="AN1" s="257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20" t="s">
        <v>303</v>
      </c>
      <c r="H2" s="220"/>
      <c r="I2" s="220"/>
      <c r="J2" s="270">
        <v>0</v>
      </c>
      <c r="K2" s="270"/>
      <c r="L2" s="270"/>
      <c r="M2" s="270"/>
      <c r="N2" s="357" t="s">
        <v>113</v>
      </c>
      <c r="O2" s="357"/>
      <c r="P2" s="357"/>
      <c r="Q2" s="357"/>
      <c r="R2" s="268">
        <v>1</v>
      </c>
      <c r="S2" s="268"/>
      <c r="T2" s="358" t="s">
        <v>103</v>
      </c>
      <c r="U2" s="359"/>
      <c r="V2" s="360"/>
      <c r="W2" s="108">
        <v>0</v>
      </c>
      <c r="X2" s="121"/>
      <c r="Y2" s="265" t="s">
        <v>88</v>
      </c>
      <c r="Z2" s="266"/>
      <c r="AA2" s="263">
        <v>0</v>
      </c>
      <c r="AB2" s="263"/>
      <c r="AC2" s="259" t="s">
        <v>82</v>
      </c>
      <c r="AD2" s="260"/>
      <c r="AE2" s="261">
        <v>0</v>
      </c>
      <c r="AF2" s="261"/>
      <c r="AG2" s="98" t="s">
        <v>114</v>
      </c>
      <c r="AH2" s="258">
        <v>0</v>
      </c>
      <c r="AI2" s="258"/>
      <c r="AJ2" s="1"/>
      <c r="AK2" s="1"/>
      <c r="AL2" s="257"/>
      <c r="AM2" s="257"/>
      <c r="AN2" s="257"/>
      <c r="AS2" s="24"/>
    </row>
    <row r="3" spans="1:54" ht="33" customHeight="1" x14ac:dyDescent="0.3">
      <c r="A3" s="33" t="str">
        <f>'2UP(실측)'!A3</f>
        <v>현장명 : 산운마을 13단지,   (재질) : HL 1.2T</v>
      </c>
      <c r="B3" s="2"/>
      <c r="C3" s="2"/>
      <c r="D3" s="2"/>
      <c r="E3" s="2"/>
      <c r="F3" s="2"/>
      <c r="G3" s="259" t="s">
        <v>76</v>
      </c>
      <c r="H3" s="259"/>
      <c r="I3" s="259"/>
      <c r="J3" s="271">
        <v>3</v>
      </c>
      <c r="K3" s="271"/>
      <c r="L3" s="271"/>
      <c r="M3" s="271"/>
      <c r="N3" s="259" t="s">
        <v>77</v>
      </c>
      <c r="O3" s="259"/>
      <c r="P3" s="272">
        <v>0</v>
      </c>
      <c r="Q3" s="272"/>
      <c r="R3" s="225" t="s">
        <v>227</v>
      </c>
      <c r="S3" s="225"/>
      <c r="T3" s="225"/>
      <c r="U3" s="274">
        <f>BA7</f>
        <v>1</v>
      </c>
      <c r="V3" s="274"/>
      <c r="W3" s="274"/>
      <c r="X3" s="122"/>
      <c r="Y3" s="269" t="s">
        <v>78</v>
      </c>
      <c r="Z3" s="269"/>
      <c r="AA3" s="262">
        <v>1</v>
      </c>
      <c r="AB3" s="262"/>
      <c r="AE3" s="175" t="s">
        <v>73</v>
      </c>
      <c r="AF3" s="175"/>
      <c r="AG3" s="106">
        <v>3</v>
      </c>
      <c r="AH3" s="4" t="s">
        <v>74</v>
      </c>
      <c r="AI3" s="138">
        <v>4</v>
      </c>
      <c r="AJ3" s="288" t="s">
        <v>325</v>
      </c>
      <c r="AK3" s="219"/>
      <c r="AL3" s="160">
        <f>AO7</f>
        <v>18.43494882292201</v>
      </c>
      <c r="AM3" s="25"/>
      <c r="AN3" s="24"/>
      <c r="AS3" s="24"/>
    </row>
    <row r="4" spans="1:54" ht="33" customHeight="1" x14ac:dyDescent="0.3">
      <c r="A4" s="361" t="str">
        <f>'2UP(실측)'!A4:AB4</f>
        <v>제작치수 반영 : JB/JD +(3 ),  늘어난치수K -(0),  C + (0),   U + (0), OP - (2), R - (0),  기둥차감 - (0), A + (1)</v>
      </c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75"/>
      <c r="Y4" s="362" t="s">
        <v>326</v>
      </c>
      <c r="Z4" s="363"/>
      <c r="AA4" s="364">
        <f>AC7</f>
        <v>0</v>
      </c>
      <c r="AB4" s="365"/>
      <c r="AC4" s="75"/>
      <c r="AD4" s="75"/>
      <c r="AE4" s="75"/>
      <c r="AF4" s="75"/>
      <c r="AG4" s="9"/>
      <c r="AH4" s="229">
        <f ca="1">TODAY()</f>
        <v>45746</v>
      </c>
      <c r="AI4" s="170"/>
      <c r="AJ4" s="181" t="s">
        <v>215</v>
      </c>
      <c r="AK4" s="181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5" t="s">
        <v>0</v>
      </c>
      <c r="B5" s="175" t="s">
        <v>1</v>
      </c>
      <c r="C5" s="175" t="s">
        <v>3</v>
      </c>
      <c r="D5" s="175" t="s">
        <v>18</v>
      </c>
      <c r="E5" s="176" t="s">
        <v>58</v>
      </c>
      <c r="F5" s="176" t="s">
        <v>59</v>
      </c>
      <c r="G5" s="275" t="s">
        <v>60</v>
      </c>
      <c r="H5" s="275" t="s">
        <v>64</v>
      </c>
      <c r="I5" s="277" t="s">
        <v>65</v>
      </c>
      <c r="J5" s="277" t="s">
        <v>66</v>
      </c>
      <c r="K5" s="366" t="s">
        <v>278</v>
      </c>
      <c r="L5" s="366" t="s">
        <v>279</v>
      </c>
      <c r="M5" s="244" t="s">
        <v>62</v>
      </c>
      <c r="N5" s="244" t="s">
        <v>63</v>
      </c>
      <c r="O5" s="175" t="s">
        <v>8</v>
      </c>
      <c r="P5" s="175" t="s">
        <v>9</v>
      </c>
      <c r="Q5" s="175" t="s">
        <v>10</v>
      </c>
      <c r="R5" s="175" t="s">
        <v>11</v>
      </c>
      <c r="S5" s="356" t="s">
        <v>14</v>
      </c>
      <c r="T5" s="354" t="s">
        <v>282</v>
      </c>
      <c r="U5" s="354" t="s">
        <v>283</v>
      </c>
      <c r="V5" s="334" t="s">
        <v>129</v>
      </c>
      <c r="W5" s="334" t="s">
        <v>280</v>
      </c>
      <c r="X5" s="334" t="s">
        <v>281</v>
      </c>
      <c r="Y5" s="175" t="s">
        <v>19</v>
      </c>
      <c r="Z5" s="279" t="s">
        <v>20</v>
      </c>
      <c r="AA5" s="244" t="s">
        <v>22</v>
      </c>
      <c r="AB5" s="244" t="s">
        <v>23</v>
      </c>
      <c r="AC5" s="247" t="s">
        <v>21</v>
      </c>
      <c r="AD5" s="248"/>
      <c r="AE5" s="248"/>
      <c r="AF5" s="249"/>
      <c r="AG5" s="176" t="s">
        <v>25</v>
      </c>
      <c r="AH5" s="281" t="s">
        <v>34</v>
      </c>
      <c r="AI5" s="176" t="s">
        <v>35</v>
      </c>
      <c r="AJ5" s="179" t="s">
        <v>212</v>
      </c>
      <c r="AK5" s="180"/>
      <c r="AL5" s="184" t="s">
        <v>300</v>
      </c>
      <c r="AM5" s="184" t="s">
        <v>301</v>
      </c>
      <c r="AN5" s="280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5"/>
      <c r="B6" s="175"/>
      <c r="C6" s="175"/>
      <c r="D6" s="175"/>
      <c r="E6" s="175"/>
      <c r="F6" s="175"/>
      <c r="G6" s="276"/>
      <c r="H6" s="276"/>
      <c r="I6" s="278"/>
      <c r="J6" s="278"/>
      <c r="K6" s="367"/>
      <c r="L6" s="367"/>
      <c r="M6" s="245"/>
      <c r="N6" s="245"/>
      <c r="O6" s="175"/>
      <c r="P6" s="175"/>
      <c r="Q6" s="175"/>
      <c r="R6" s="175"/>
      <c r="S6" s="355"/>
      <c r="T6" s="355"/>
      <c r="U6" s="355"/>
      <c r="V6" s="335"/>
      <c r="W6" s="335"/>
      <c r="X6" s="335"/>
      <c r="Y6" s="175"/>
      <c r="Z6" s="279"/>
      <c r="AA6" s="245"/>
      <c r="AB6" s="245"/>
      <c r="AC6" s="8" t="s">
        <v>56</v>
      </c>
      <c r="AD6" s="8" t="s">
        <v>57</v>
      </c>
      <c r="AE6" s="8" t="s">
        <v>54</v>
      </c>
      <c r="AF6" s="8" t="s">
        <v>55</v>
      </c>
      <c r="AG6" s="175"/>
      <c r="AH6" s="282"/>
      <c r="AI6" s="175"/>
      <c r="AJ6" s="74" t="s">
        <v>213</v>
      </c>
      <c r="AK6" s="74" t="s">
        <v>214</v>
      </c>
      <c r="AL6" s="185"/>
      <c r="AM6" s="185"/>
      <c r="AN6" s="280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8" t="str">
        <f>정보!K3</f>
        <v>(3UP) 실측서 ( 산운마을 13단지 ) _김운호소장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8"/>
      <c r="X1" s="368"/>
      <c r="Y1" s="368"/>
      <c r="Z1" s="368"/>
      <c r="AA1" s="368"/>
      <c r="AB1" s="368"/>
      <c r="AC1" s="368"/>
      <c r="AD1" s="368"/>
      <c r="AE1" s="368"/>
      <c r="AF1" s="368"/>
      <c r="AG1" s="368"/>
      <c r="AH1" s="368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산운마을 13단지,   (재질) : HL 1.2T</v>
      </c>
      <c r="B3" s="2"/>
      <c r="C3" s="2"/>
      <c r="D3" s="2"/>
      <c r="E3" s="2"/>
      <c r="F3" s="2"/>
      <c r="G3" s="256"/>
      <c r="H3" s="256"/>
      <c r="I3" s="256"/>
      <c r="J3" s="256"/>
      <c r="K3" s="23"/>
      <c r="L3" s="23"/>
      <c r="M3" s="253"/>
      <c r="N3" s="253"/>
      <c r="O3" s="254"/>
      <c r="P3" s="254"/>
      <c r="Q3" s="255"/>
      <c r="R3" s="255"/>
      <c r="S3" s="255"/>
      <c r="T3" s="255"/>
      <c r="U3" s="120"/>
      <c r="V3" s="250" t="s">
        <v>97</v>
      </c>
      <c r="W3" s="250"/>
      <c r="X3" s="250"/>
      <c r="Y3" s="250"/>
      <c r="Z3" s="251"/>
      <c r="AA3" s="251"/>
      <c r="AB3" s="252"/>
      <c r="AC3" s="252"/>
    </row>
    <row r="4" spans="1:46" ht="33" customHeight="1" x14ac:dyDescent="0.3">
      <c r="A4" s="246" t="str">
        <f>정보!B18</f>
        <v>제작치수 반영 : JB/JD +(3 ),  늘어난치수K -(0),  C + (0),   U + (0), OP - (2), R - (0),  기둥차감 - (0), A + (1)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181" t="s">
        <v>215</v>
      </c>
      <c r="AJ4" s="181"/>
      <c r="AK4" s="81" t="s">
        <v>234</v>
      </c>
    </row>
    <row r="5" spans="1:46" ht="25.9" customHeight="1" x14ac:dyDescent="0.3">
      <c r="A5" s="175" t="s">
        <v>0</v>
      </c>
      <c r="B5" s="175" t="s">
        <v>1</v>
      </c>
      <c r="C5" s="175" t="s">
        <v>3</v>
      </c>
      <c r="D5" s="175" t="s">
        <v>18</v>
      </c>
      <c r="E5" s="175" t="s">
        <v>4</v>
      </c>
      <c r="F5" s="175" t="s">
        <v>5</v>
      </c>
      <c r="G5" s="277" t="s">
        <v>274</v>
      </c>
      <c r="H5" s="277" t="s">
        <v>284</v>
      </c>
      <c r="I5" s="277" t="s">
        <v>275</v>
      </c>
      <c r="J5" s="334" t="s">
        <v>276</v>
      </c>
      <c r="K5" s="334" t="s">
        <v>285</v>
      </c>
      <c r="L5" s="334" t="s">
        <v>277</v>
      </c>
      <c r="M5" s="175" t="s">
        <v>8</v>
      </c>
      <c r="N5" s="175" t="s">
        <v>9</v>
      </c>
      <c r="O5" s="175" t="s">
        <v>10</v>
      </c>
      <c r="P5" s="175" t="s">
        <v>11</v>
      </c>
      <c r="Q5" s="356" t="s">
        <v>14</v>
      </c>
      <c r="R5" s="354" t="s">
        <v>282</v>
      </c>
      <c r="S5" s="354" t="s">
        <v>286</v>
      </c>
      <c r="T5" s="354" t="s">
        <v>283</v>
      </c>
      <c r="U5" s="334" t="s">
        <v>129</v>
      </c>
      <c r="V5" s="334" t="s">
        <v>280</v>
      </c>
      <c r="W5" s="334" t="s">
        <v>287</v>
      </c>
      <c r="X5" s="334" t="s">
        <v>281</v>
      </c>
      <c r="Y5" s="175" t="s">
        <v>19</v>
      </c>
      <c r="Z5" s="175" t="s">
        <v>20</v>
      </c>
      <c r="AA5" s="244" t="s">
        <v>22</v>
      </c>
      <c r="AB5" s="244" t="s">
        <v>23</v>
      </c>
      <c r="AC5" s="247" t="s">
        <v>21</v>
      </c>
      <c r="AD5" s="248"/>
      <c r="AE5" s="248"/>
      <c r="AF5" s="248"/>
      <c r="AG5" s="248"/>
      <c r="AH5" s="249"/>
      <c r="AI5" s="179" t="s">
        <v>212</v>
      </c>
      <c r="AJ5" s="180"/>
      <c r="AK5" s="80" t="s">
        <v>231</v>
      </c>
    </row>
    <row r="6" spans="1:46" ht="47.25" customHeight="1" x14ac:dyDescent="0.3">
      <c r="A6" s="175"/>
      <c r="B6" s="175"/>
      <c r="C6" s="175"/>
      <c r="D6" s="175"/>
      <c r="E6" s="175"/>
      <c r="F6" s="175"/>
      <c r="G6" s="278"/>
      <c r="H6" s="278"/>
      <c r="I6" s="278"/>
      <c r="J6" s="335"/>
      <c r="K6" s="335"/>
      <c r="L6" s="335"/>
      <c r="M6" s="175"/>
      <c r="N6" s="175"/>
      <c r="O6" s="175"/>
      <c r="P6" s="175"/>
      <c r="Q6" s="355"/>
      <c r="R6" s="355"/>
      <c r="S6" s="355"/>
      <c r="T6" s="355"/>
      <c r="U6" s="335"/>
      <c r="V6" s="335"/>
      <c r="W6" s="335"/>
      <c r="X6" s="335"/>
      <c r="Y6" s="175"/>
      <c r="Z6" s="175"/>
      <c r="AA6" s="245"/>
      <c r="AB6" s="245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2" t="str">
        <f>정보!L3</f>
        <v>(3UP) 제작변환 ( 산운마을 13단지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"/>
      <c r="AQ1" s="1"/>
      <c r="AR1" s="257" t="s">
        <v>75</v>
      </c>
      <c r="AS1" s="257"/>
      <c r="AT1" s="257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62" t="s">
        <v>304</v>
      </c>
      <c r="H2" s="371"/>
      <c r="I2" s="371"/>
      <c r="J2" s="371"/>
      <c r="K2" s="363"/>
      <c r="L2" s="270">
        <v>0</v>
      </c>
      <c r="M2" s="270"/>
      <c r="N2" s="270"/>
      <c r="O2" s="270"/>
      <c r="P2" s="267" t="s">
        <v>113</v>
      </c>
      <c r="Q2" s="267"/>
      <c r="R2" s="267"/>
      <c r="S2" s="267"/>
      <c r="T2" s="268">
        <v>1</v>
      </c>
      <c r="U2" s="268"/>
      <c r="V2" s="265" t="s">
        <v>103</v>
      </c>
      <c r="W2" s="265"/>
      <c r="X2" s="266"/>
      <c r="Y2" s="372">
        <v>0</v>
      </c>
      <c r="Z2" s="373"/>
      <c r="AA2" s="369"/>
      <c r="AB2" s="370"/>
      <c r="AC2" s="265" t="s">
        <v>88</v>
      </c>
      <c r="AD2" s="266"/>
      <c r="AE2" s="263">
        <v>0</v>
      </c>
      <c r="AF2" s="263"/>
      <c r="AG2" s="259" t="s">
        <v>82</v>
      </c>
      <c r="AH2" s="259"/>
      <c r="AI2" s="260"/>
      <c r="AJ2" s="261">
        <v>0</v>
      </c>
      <c r="AK2" s="261"/>
      <c r="AL2" s="261"/>
      <c r="AM2" s="98" t="s">
        <v>114</v>
      </c>
      <c r="AN2" s="258">
        <v>0</v>
      </c>
      <c r="AO2" s="258"/>
      <c r="AP2" s="1"/>
      <c r="AQ2" s="1"/>
      <c r="AR2" s="257"/>
      <c r="AS2" s="257"/>
      <c r="AT2" s="257"/>
      <c r="AY2" s="24"/>
    </row>
    <row r="3" spans="1:60" ht="33" customHeight="1" x14ac:dyDescent="0.3">
      <c r="A3" s="33" t="str">
        <f>'3UP(실측)'!A3</f>
        <v>현장명 : 산운마을 13단지,   (재질) : HL 1.2T</v>
      </c>
      <c r="B3" s="2"/>
      <c r="C3" s="2"/>
      <c r="D3" s="2"/>
      <c r="E3" s="2"/>
      <c r="F3" s="2"/>
      <c r="G3" s="358" t="s">
        <v>76</v>
      </c>
      <c r="H3" s="376"/>
      <c r="I3" s="376"/>
      <c r="J3" s="376"/>
      <c r="K3" s="377"/>
      <c r="L3" s="271">
        <v>3</v>
      </c>
      <c r="M3" s="271"/>
      <c r="N3" s="271"/>
      <c r="O3" s="271"/>
      <c r="P3" s="259" t="s">
        <v>77</v>
      </c>
      <c r="Q3" s="259"/>
      <c r="R3" s="272">
        <v>0</v>
      </c>
      <c r="S3" s="272"/>
      <c r="T3" s="378" t="s">
        <v>289</v>
      </c>
      <c r="U3" s="379"/>
      <c r="V3" s="379"/>
      <c r="W3" s="380"/>
      <c r="X3" s="274">
        <f>BG7</f>
        <v>1</v>
      </c>
      <c r="Y3" s="274"/>
      <c r="Z3" s="274"/>
      <c r="AA3" s="374"/>
      <c r="AB3" s="375"/>
      <c r="AC3" s="269" t="s">
        <v>78</v>
      </c>
      <c r="AD3" s="269"/>
      <c r="AE3" s="262">
        <v>1</v>
      </c>
      <c r="AF3" s="262"/>
      <c r="AJ3" s="175" t="s">
        <v>73</v>
      </c>
      <c r="AK3" s="175"/>
      <c r="AL3" s="175"/>
      <c r="AM3" s="106">
        <v>3</v>
      </c>
      <c r="AN3" s="4" t="s">
        <v>74</v>
      </c>
      <c r="AO3" s="138">
        <v>4</v>
      </c>
      <c r="AP3" s="381" t="s">
        <v>321</v>
      </c>
      <c r="AQ3" s="382"/>
      <c r="AR3" s="160">
        <f>AU7</f>
        <v>18.43494882292201</v>
      </c>
      <c r="AS3" s="25"/>
      <c r="AT3" s="24"/>
      <c r="AY3" s="24"/>
    </row>
    <row r="4" spans="1:60" ht="33" customHeight="1" x14ac:dyDescent="0.3">
      <c r="A4" s="361" t="str">
        <f>'3UP(실측)'!A4:AH4</f>
        <v>제작치수 반영 : JB/JD +(3 ),  늘어난치수K -(0),  C + (0),   U + (0), OP - (2), R - (0),  기둥차감 - (0), A + (1)</v>
      </c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75"/>
      <c r="AB4" s="75"/>
      <c r="AC4" s="364" t="s">
        <v>327</v>
      </c>
      <c r="AD4" s="285"/>
      <c r="AE4" s="285">
        <f>AG7</f>
        <v>0</v>
      </c>
      <c r="AF4" s="365"/>
      <c r="AG4" s="75"/>
      <c r="AH4" s="75"/>
      <c r="AI4" s="75"/>
      <c r="AJ4" s="75"/>
      <c r="AK4" s="75"/>
      <c r="AL4" s="75"/>
      <c r="AM4" s="9"/>
      <c r="AN4" s="229">
        <f ca="1">TODAY()</f>
        <v>45746</v>
      </c>
      <c r="AO4" s="170"/>
      <c r="AP4" s="181" t="s">
        <v>215</v>
      </c>
      <c r="AQ4" s="181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5" t="s">
        <v>0</v>
      </c>
      <c r="B5" s="175" t="s">
        <v>1</v>
      </c>
      <c r="C5" s="175" t="s">
        <v>3</v>
      </c>
      <c r="D5" s="175" t="s">
        <v>18</v>
      </c>
      <c r="E5" s="176" t="s">
        <v>58</v>
      </c>
      <c r="F5" s="176" t="s">
        <v>59</v>
      </c>
      <c r="G5" s="277" t="s">
        <v>274</v>
      </c>
      <c r="H5" s="277" t="s">
        <v>284</v>
      </c>
      <c r="I5" s="277" t="s">
        <v>275</v>
      </c>
      <c r="J5" s="334" t="s">
        <v>276</v>
      </c>
      <c r="K5" s="334" t="s">
        <v>285</v>
      </c>
      <c r="L5" s="334" t="s">
        <v>277</v>
      </c>
      <c r="M5" s="366" t="s">
        <v>278</v>
      </c>
      <c r="N5" s="366" t="s">
        <v>288</v>
      </c>
      <c r="O5" s="244" t="s">
        <v>62</v>
      </c>
      <c r="P5" s="244" t="s">
        <v>63</v>
      </c>
      <c r="Q5" s="175" t="s">
        <v>8</v>
      </c>
      <c r="R5" s="175" t="s">
        <v>9</v>
      </c>
      <c r="S5" s="175" t="s">
        <v>10</v>
      </c>
      <c r="T5" s="175" t="s">
        <v>11</v>
      </c>
      <c r="U5" s="356" t="s">
        <v>14</v>
      </c>
      <c r="V5" s="354" t="s">
        <v>282</v>
      </c>
      <c r="W5" s="354" t="s">
        <v>286</v>
      </c>
      <c r="X5" s="354" t="s">
        <v>283</v>
      </c>
      <c r="Y5" s="334" t="s">
        <v>129</v>
      </c>
      <c r="Z5" s="334" t="s">
        <v>280</v>
      </c>
      <c r="AA5" s="334" t="s">
        <v>287</v>
      </c>
      <c r="AB5" s="334" t="s">
        <v>281</v>
      </c>
      <c r="AC5" s="175" t="s">
        <v>19</v>
      </c>
      <c r="AD5" s="279" t="s">
        <v>20</v>
      </c>
      <c r="AE5" s="244" t="s">
        <v>22</v>
      </c>
      <c r="AF5" s="244" t="s">
        <v>23</v>
      </c>
      <c r="AG5" s="247" t="s">
        <v>21</v>
      </c>
      <c r="AH5" s="248"/>
      <c r="AI5" s="248"/>
      <c r="AJ5" s="248"/>
      <c r="AK5" s="248"/>
      <c r="AL5" s="249"/>
      <c r="AM5" s="176" t="s">
        <v>25</v>
      </c>
      <c r="AN5" s="281" t="s">
        <v>34</v>
      </c>
      <c r="AO5" s="176" t="s">
        <v>35</v>
      </c>
      <c r="AP5" s="179" t="s">
        <v>212</v>
      </c>
      <c r="AQ5" s="180"/>
      <c r="AR5" s="184" t="s">
        <v>300</v>
      </c>
      <c r="AS5" s="184" t="s">
        <v>301</v>
      </c>
      <c r="AT5" s="280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5"/>
      <c r="B6" s="175"/>
      <c r="C6" s="175"/>
      <c r="D6" s="175"/>
      <c r="E6" s="175"/>
      <c r="F6" s="175"/>
      <c r="G6" s="278"/>
      <c r="H6" s="278"/>
      <c r="I6" s="278"/>
      <c r="J6" s="335"/>
      <c r="K6" s="335"/>
      <c r="L6" s="335"/>
      <c r="M6" s="367"/>
      <c r="N6" s="367"/>
      <c r="O6" s="245"/>
      <c r="P6" s="245"/>
      <c r="Q6" s="175"/>
      <c r="R6" s="175"/>
      <c r="S6" s="175"/>
      <c r="T6" s="175"/>
      <c r="U6" s="355"/>
      <c r="V6" s="355"/>
      <c r="W6" s="355"/>
      <c r="X6" s="355"/>
      <c r="Y6" s="335"/>
      <c r="Z6" s="335"/>
      <c r="AA6" s="335"/>
      <c r="AB6" s="335"/>
      <c r="AC6" s="175"/>
      <c r="AD6" s="279"/>
      <c r="AE6" s="245"/>
      <c r="AF6" s="245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75"/>
      <c r="AN6" s="282"/>
      <c r="AO6" s="175"/>
      <c r="AP6" s="74" t="s">
        <v>213</v>
      </c>
      <c r="AQ6" s="74" t="s">
        <v>214</v>
      </c>
      <c r="AR6" s="185"/>
      <c r="AS6" s="185"/>
      <c r="AT6" s="280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2025-03-30T07:58:32Z</dcterms:modified>
</cp:coreProperties>
</file>