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7118DF71-FAAA-4714-9111-4A0789043CBF}" xr6:coauthVersionLast="47" xr6:coauthVersionMax="47" xr10:uidLastSave="{00000000-0000-0000-0000-000000000000}"/>
  <bookViews>
    <workbookView xWindow="-120" yWindow="-120" windowWidth="29040" windowHeight="15840" tabRatio="947" firstSheet="1" activeTab="5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0" l="1"/>
  <c r="B8" i="10"/>
  <c r="C8" i="10"/>
  <c r="D8" i="10"/>
  <c r="Q8" i="10"/>
  <c r="R8" i="10"/>
  <c r="S8" i="10"/>
  <c r="T8" i="10"/>
  <c r="W8" i="10"/>
  <c r="X8" i="10"/>
  <c r="Y8" i="10"/>
  <c r="Z8" i="10"/>
  <c r="AA8" i="10"/>
  <c r="AZ8" i="10" s="1"/>
  <c r="E8" i="10" s="1"/>
  <c r="AB8" i="10"/>
  <c r="AF8" i="10"/>
  <c r="AG8" i="10"/>
  <c r="AH8" i="10"/>
  <c r="AI8" i="10"/>
  <c r="AJ8" i="10"/>
  <c r="AK8" i="10"/>
  <c r="AL8" i="10"/>
  <c r="AU8" i="10"/>
  <c r="AW8" i="10"/>
  <c r="BA8" i="10"/>
  <c r="A9" i="10"/>
  <c r="B9" i="10"/>
  <c r="C9" i="10"/>
  <c r="D9" i="10"/>
  <c r="Q9" i="10"/>
  <c r="R9" i="10"/>
  <c r="S9" i="10"/>
  <c r="T9" i="10"/>
  <c r="W9" i="10"/>
  <c r="X9" i="10"/>
  <c r="Y9" i="10"/>
  <c r="Z9" i="10"/>
  <c r="AA9" i="10"/>
  <c r="AB9" i="10" s="1"/>
  <c r="AF9" i="10"/>
  <c r="AG9" i="10"/>
  <c r="AH9" i="10"/>
  <c r="AI9" i="10"/>
  <c r="AJ9" i="10"/>
  <c r="AK9" i="10"/>
  <c r="AL9" i="10"/>
  <c r="P9" i="10" s="1"/>
  <c r="AU9" i="10"/>
  <c r="BA9" i="10"/>
  <c r="A10" i="10"/>
  <c r="B10" i="10"/>
  <c r="C10" i="10"/>
  <c r="D10" i="10"/>
  <c r="P10" i="10"/>
  <c r="N10" i="10" s="1"/>
  <c r="Q10" i="10"/>
  <c r="R10" i="10"/>
  <c r="AU10" i="10" s="1"/>
  <c r="S10" i="10"/>
  <c r="T10" i="10"/>
  <c r="W10" i="10"/>
  <c r="X10" i="10"/>
  <c r="Y10" i="10"/>
  <c r="AZ10" i="10" s="1"/>
  <c r="Z10" i="10"/>
  <c r="AA10" i="10"/>
  <c r="AB10" i="10"/>
  <c r="AF10" i="10"/>
  <c r="AG10" i="10"/>
  <c r="AH10" i="10"/>
  <c r="AI10" i="10"/>
  <c r="AJ10" i="10"/>
  <c r="AK10" i="10"/>
  <c r="V10" i="10" s="1"/>
  <c r="AL10" i="10"/>
  <c r="AW10" i="10"/>
  <c r="BA10" i="10"/>
  <c r="A11" i="10"/>
  <c r="B11" i="10"/>
  <c r="C11" i="10"/>
  <c r="D11" i="10"/>
  <c r="Q11" i="10"/>
  <c r="R11" i="10"/>
  <c r="S11" i="10"/>
  <c r="AW11" i="10" s="1"/>
  <c r="T11" i="10"/>
  <c r="W11" i="10"/>
  <c r="X11" i="10"/>
  <c r="Y11" i="10"/>
  <c r="Z11" i="10"/>
  <c r="AA11" i="10"/>
  <c r="AB11" i="10" s="1"/>
  <c r="AF11" i="10"/>
  <c r="AG11" i="10"/>
  <c r="AH11" i="10"/>
  <c r="AI11" i="10"/>
  <c r="AJ11" i="10"/>
  <c r="AK11" i="10"/>
  <c r="AL11" i="10"/>
  <c r="V11" i="10" s="1"/>
  <c r="AU11" i="10"/>
  <c r="BA11" i="10"/>
  <c r="A12" i="10"/>
  <c r="B12" i="10"/>
  <c r="C12" i="10"/>
  <c r="D12" i="10"/>
  <c r="P12" i="10"/>
  <c r="N12" i="10" s="1"/>
  <c r="Q12" i="10"/>
  <c r="R12" i="10"/>
  <c r="AU12" i="10" s="1"/>
  <c r="S12" i="10"/>
  <c r="T12" i="10"/>
  <c r="W12" i="10"/>
  <c r="X12" i="10"/>
  <c r="Y12" i="10"/>
  <c r="Z12" i="10" s="1"/>
  <c r="AA12" i="10"/>
  <c r="AB12" i="10" s="1"/>
  <c r="AF12" i="10"/>
  <c r="AG12" i="10"/>
  <c r="AH12" i="10"/>
  <c r="AI12" i="10"/>
  <c r="AJ12" i="10"/>
  <c r="AK12" i="10"/>
  <c r="V12" i="10" s="1"/>
  <c r="AL12" i="10"/>
  <c r="AW12" i="10"/>
  <c r="BA12" i="10"/>
  <c r="A13" i="10"/>
  <c r="B13" i="10"/>
  <c r="C13" i="10"/>
  <c r="D13" i="10"/>
  <c r="Q13" i="10"/>
  <c r="R13" i="10"/>
  <c r="S13" i="10"/>
  <c r="AW13" i="10" s="1"/>
  <c r="T13" i="10"/>
  <c r="W13" i="10"/>
  <c r="X13" i="10"/>
  <c r="Y13" i="10"/>
  <c r="AZ13" i="10" s="1"/>
  <c r="E13" i="10" s="1"/>
  <c r="AA13" i="10"/>
  <c r="AB13" i="10" s="1"/>
  <c r="AF13" i="10"/>
  <c r="AG13" i="10"/>
  <c r="AH13" i="10"/>
  <c r="AI13" i="10"/>
  <c r="AJ13" i="10"/>
  <c r="AK13" i="10"/>
  <c r="AL13" i="10"/>
  <c r="V13" i="10" s="1"/>
  <c r="AU13" i="10"/>
  <c r="BA13" i="10"/>
  <c r="A14" i="10"/>
  <c r="B14" i="10"/>
  <c r="C14" i="10"/>
  <c r="D14" i="10"/>
  <c r="Q14" i="10"/>
  <c r="R14" i="10"/>
  <c r="S14" i="10"/>
  <c r="T14" i="10"/>
  <c r="W14" i="10"/>
  <c r="X14" i="10"/>
  <c r="Y14" i="10"/>
  <c r="Z14" i="10" s="1"/>
  <c r="AA14" i="10"/>
  <c r="AB14" i="10" s="1"/>
  <c r="AF14" i="10"/>
  <c r="AG14" i="10"/>
  <c r="AH14" i="10"/>
  <c r="AI14" i="10"/>
  <c r="AJ14" i="10"/>
  <c r="AK14" i="10"/>
  <c r="AL14" i="10"/>
  <c r="AW14" i="10"/>
  <c r="BA14" i="10"/>
  <c r="A15" i="10"/>
  <c r="B15" i="10"/>
  <c r="C15" i="10"/>
  <c r="D15" i="10"/>
  <c r="Q15" i="10"/>
  <c r="R15" i="10"/>
  <c r="AU15" i="10" s="1"/>
  <c r="S15" i="10"/>
  <c r="T15" i="10"/>
  <c r="W15" i="10"/>
  <c r="X15" i="10"/>
  <c r="Y15" i="10"/>
  <c r="Z15" i="10" s="1"/>
  <c r="AA15" i="10"/>
  <c r="AB15" i="10" s="1"/>
  <c r="AF15" i="10"/>
  <c r="AG15" i="10"/>
  <c r="AH15" i="10"/>
  <c r="AI15" i="10"/>
  <c r="AJ15" i="10"/>
  <c r="AK15" i="10"/>
  <c r="AL15" i="10"/>
  <c r="V15" i="10" s="1"/>
  <c r="AZ15" i="10"/>
  <c r="E15" i="10" s="1"/>
  <c r="BA15" i="10"/>
  <c r="A16" i="10"/>
  <c r="B16" i="10"/>
  <c r="C16" i="10"/>
  <c r="D16" i="10"/>
  <c r="Q16" i="10"/>
  <c r="R16" i="10"/>
  <c r="AU16" i="10" s="1"/>
  <c r="S16" i="10"/>
  <c r="T16" i="10"/>
  <c r="W16" i="10"/>
  <c r="X16" i="10"/>
  <c r="Y16" i="10"/>
  <c r="Z16" i="10" s="1"/>
  <c r="AA16" i="10"/>
  <c r="AB16" i="10" s="1"/>
  <c r="AF16" i="10"/>
  <c r="AG16" i="10"/>
  <c r="AH16" i="10"/>
  <c r="AI16" i="10"/>
  <c r="AJ16" i="10"/>
  <c r="AK16" i="10"/>
  <c r="O16" i="10" s="1"/>
  <c r="M16" i="10" s="1"/>
  <c r="K16" i="10" s="1"/>
  <c r="AL16" i="10"/>
  <c r="AW16" i="10"/>
  <c r="BA16" i="10"/>
  <c r="A17" i="10"/>
  <c r="B17" i="10"/>
  <c r="C17" i="10"/>
  <c r="D17" i="10"/>
  <c r="Q17" i="10"/>
  <c r="R17" i="10"/>
  <c r="AU17" i="10" s="1"/>
  <c r="S17" i="10"/>
  <c r="AW17" i="10" s="1"/>
  <c r="T17" i="10"/>
  <c r="W17" i="10"/>
  <c r="X17" i="10"/>
  <c r="Y17" i="10"/>
  <c r="Z17" i="10" s="1"/>
  <c r="AA17" i="10"/>
  <c r="AB17" i="10" s="1"/>
  <c r="AF17" i="10"/>
  <c r="AG17" i="10"/>
  <c r="AH17" i="10"/>
  <c r="AI17" i="10"/>
  <c r="AJ17" i="10"/>
  <c r="AK17" i="10"/>
  <c r="AL17" i="10"/>
  <c r="V17" i="10" s="1"/>
  <c r="BA17" i="10"/>
  <c r="Z13" i="10" l="1"/>
  <c r="AZ9" i="10"/>
  <c r="E9" i="10" s="1"/>
  <c r="AZ17" i="10"/>
  <c r="E17" i="10" s="1"/>
  <c r="AN17" i="10" s="1"/>
  <c r="AZ11" i="10"/>
  <c r="E11" i="10" s="1"/>
  <c r="AN11" i="10" s="1"/>
  <c r="I8" i="10"/>
  <c r="G13" i="10"/>
  <c r="AX13" i="10" s="1"/>
  <c r="V9" i="10"/>
  <c r="V8" i="10"/>
  <c r="AY8" i="10" s="1"/>
  <c r="O8" i="10"/>
  <c r="M8" i="10" s="1"/>
  <c r="K8" i="10" s="1"/>
  <c r="V14" i="10"/>
  <c r="U14" i="10" s="1"/>
  <c r="O14" i="10"/>
  <c r="M14" i="10" s="1"/>
  <c r="K14" i="10" s="1"/>
  <c r="G15" i="10"/>
  <c r="G8" i="10"/>
  <c r="AX8" i="10" s="1"/>
  <c r="AN9" i="10"/>
  <c r="G17" i="10"/>
  <c r="AX17" i="10" s="1"/>
  <c r="AW9" i="10"/>
  <c r="AN13" i="10"/>
  <c r="AO13" i="10" s="1"/>
  <c r="O12" i="10"/>
  <c r="M12" i="10" s="1"/>
  <c r="K12" i="10" s="1"/>
  <c r="AR12" i="10" s="1"/>
  <c r="O10" i="10"/>
  <c r="M10" i="10" s="1"/>
  <c r="K10" i="10" s="1"/>
  <c r="AW15" i="10"/>
  <c r="AU14" i="10"/>
  <c r="L12" i="10"/>
  <c r="G10" i="10"/>
  <c r="AT10" i="10" s="1"/>
  <c r="AD10" i="10" s="1"/>
  <c r="E10" i="10"/>
  <c r="F10" i="10"/>
  <c r="H10" i="10"/>
  <c r="N9" i="10"/>
  <c r="L9" i="10" s="1"/>
  <c r="AY10" i="10"/>
  <c r="U10" i="10"/>
  <c r="AN15" i="10"/>
  <c r="AO15" i="10" s="1"/>
  <c r="U9" i="10"/>
  <c r="AY9" i="10"/>
  <c r="U8" i="10"/>
  <c r="AY12" i="10"/>
  <c r="U12" i="10"/>
  <c r="U15" i="10"/>
  <c r="AY15" i="10"/>
  <c r="U17" i="10"/>
  <c r="AY17" i="10"/>
  <c r="AX15" i="10"/>
  <c r="U13" i="10"/>
  <c r="AY13" i="10"/>
  <c r="AN8" i="10"/>
  <c r="AO8" i="10" s="1"/>
  <c r="L10" i="10"/>
  <c r="U11" i="10"/>
  <c r="AY11" i="10"/>
  <c r="I10" i="10"/>
  <c r="P16" i="10"/>
  <c r="P14" i="10"/>
  <c r="P8" i="10"/>
  <c r="H8" i="10"/>
  <c r="J17" i="10"/>
  <c r="V16" i="10"/>
  <c r="J15" i="10"/>
  <c r="J13" i="10"/>
  <c r="J11" i="10"/>
  <c r="J9" i="10"/>
  <c r="F8" i="10"/>
  <c r="AQ8" i="10" s="1"/>
  <c r="I17" i="10"/>
  <c r="I15" i="10"/>
  <c r="I13" i="10"/>
  <c r="I11" i="10"/>
  <c r="I9" i="10"/>
  <c r="P17" i="10"/>
  <c r="H17" i="10"/>
  <c r="P15" i="10"/>
  <c r="H15" i="10"/>
  <c r="P13" i="10"/>
  <c r="H13" i="10"/>
  <c r="P11" i="10"/>
  <c r="H11" i="10"/>
  <c r="H9" i="10"/>
  <c r="O17" i="10"/>
  <c r="AZ16" i="10"/>
  <c r="I16" i="10" s="1"/>
  <c r="O15" i="10"/>
  <c r="AZ14" i="10"/>
  <c r="O13" i="10"/>
  <c r="AZ12" i="10"/>
  <c r="O11" i="10"/>
  <c r="O9" i="10"/>
  <c r="G9" i="10"/>
  <c r="AX9" i="10" s="1"/>
  <c r="F17" i="10"/>
  <c r="AQ17" i="10" s="1"/>
  <c r="F15" i="10"/>
  <c r="F13" i="10"/>
  <c r="F11" i="10"/>
  <c r="J10" i="10"/>
  <c r="F9" i="10"/>
  <c r="AP9" i="10" s="1"/>
  <c r="J8" i="10"/>
  <c r="G11" i="10" l="1"/>
  <c r="AX11" i="10" s="1"/>
  <c r="AP13" i="10"/>
  <c r="AO11" i="10"/>
  <c r="AO17" i="10"/>
  <c r="AV9" i="10"/>
  <c r="AE9" i="10" s="1"/>
  <c r="AV10" i="10"/>
  <c r="AE10" i="10" s="1"/>
  <c r="AP11" i="10"/>
  <c r="AP17" i="10"/>
  <c r="AY14" i="10"/>
  <c r="AT8" i="10"/>
  <c r="AD8" i="10" s="1"/>
  <c r="J14" i="10"/>
  <c r="E14" i="10"/>
  <c r="G14" i="10"/>
  <c r="F14" i="10"/>
  <c r="H14" i="10"/>
  <c r="N11" i="10"/>
  <c r="L11" i="10" s="1"/>
  <c r="AV11" i="10"/>
  <c r="AE11" i="10" s="1"/>
  <c r="AS11" i="10"/>
  <c r="AQ10" i="10"/>
  <c r="AN10" i="10"/>
  <c r="AO10" i="10" s="1"/>
  <c r="AQ13" i="10"/>
  <c r="M15" i="10"/>
  <c r="K15" i="10" s="1"/>
  <c r="AR15" i="10" s="1"/>
  <c r="AT15" i="10"/>
  <c r="AD15" i="10" s="1"/>
  <c r="AY16" i="10"/>
  <c r="U16" i="10"/>
  <c r="AQ9" i="10"/>
  <c r="AR10" i="10"/>
  <c r="AS10" i="10"/>
  <c r="AX10" i="10"/>
  <c r="J16" i="10"/>
  <c r="E16" i="10"/>
  <c r="G16" i="10"/>
  <c r="F16" i="10"/>
  <c r="H16" i="10"/>
  <c r="N13" i="10"/>
  <c r="L13" i="10" s="1"/>
  <c r="AO9" i="10"/>
  <c r="I14" i="10"/>
  <c r="AS14" i="10"/>
  <c r="M13" i="10"/>
  <c r="K13" i="10" s="1"/>
  <c r="AR13" i="10" s="1"/>
  <c r="AP15" i="10"/>
  <c r="M17" i="10"/>
  <c r="K17" i="10" s="1"/>
  <c r="AR17" i="10" s="1"/>
  <c r="AQ15" i="10"/>
  <c r="AS13" i="10"/>
  <c r="AS17" i="10"/>
  <c r="AS8" i="10"/>
  <c r="N15" i="10"/>
  <c r="L15" i="10" s="1"/>
  <c r="AV15" i="10"/>
  <c r="AE15" i="10" s="1"/>
  <c r="AP8" i="10"/>
  <c r="AQ11" i="10"/>
  <c r="N16" i="10"/>
  <c r="L16" i="10" s="1"/>
  <c r="M11" i="10"/>
  <c r="K11" i="10" s="1"/>
  <c r="AR11" i="10" s="1"/>
  <c r="AT11" i="10"/>
  <c r="AD11" i="10" s="1"/>
  <c r="N8" i="10"/>
  <c r="L8" i="10" s="1"/>
  <c r="AR8" i="10" s="1"/>
  <c r="AC8" i="10" s="1"/>
  <c r="AS15" i="10"/>
  <c r="M9" i="10"/>
  <c r="K9" i="10" s="1"/>
  <c r="J12" i="10"/>
  <c r="G12" i="10"/>
  <c r="E12" i="10"/>
  <c r="F12" i="10"/>
  <c r="H12" i="10"/>
  <c r="N17" i="10"/>
  <c r="L17" i="10" s="1"/>
  <c r="AV17" i="10"/>
  <c r="AE17" i="10" s="1"/>
  <c r="N14" i="10"/>
  <c r="L14" i="10" s="1"/>
  <c r="AR14" i="10" s="1"/>
  <c r="I12" i="10"/>
  <c r="AV12" i="10" s="1"/>
  <c r="AE12" i="10" s="1"/>
  <c r="AR9" i="10"/>
  <c r="AS9" i="10"/>
  <c r="AC17" i="10" l="1"/>
  <c r="AT14" i="10"/>
  <c r="AD14" i="10" s="1"/>
  <c r="AC11" i="10"/>
  <c r="AC9" i="10"/>
  <c r="AC13" i="10"/>
  <c r="AS12" i="10"/>
  <c r="AC12" i="10" s="1"/>
  <c r="AX14" i="10"/>
  <c r="AC14" i="10"/>
  <c r="AT17" i="10"/>
  <c r="AD17" i="10" s="1"/>
  <c r="AX16" i="10"/>
  <c r="AX12" i="10"/>
  <c r="AT12" i="10"/>
  <c r="AD12" i="10" s="1"/>
  <c r="AV14" i="10"/>
  <c r="AE14" i="10" s="1"/>
  <c r="AV8" i="10"/>
  <c r="AE8" i="10" s="1"/>
  <c r="AV16" i="10"/>
  <c r="AE16" i="10" s="1"/>
  <c r="AQ16" i="10"/>
  <c r="AN16" i="10"/>
  <c r="AP16" i="10" s="1"/>
  <c r="AS16" i="10"/>
  <c r="AR16" i="10"/>
  <c r="AQ12" i="10"/>
  <c r="AN12" i="10"/>
  <c r="AP12" i="10" s="1"/>
  <c r="AT9" i="10"/>
  <c r="AD9" i="10" s="1"/>
  <c r="AQ14" i="10"/>
  <c r="AN14" i="10"/>
  <c r="AP14" i="10" s="1"/>
  <c r="AP10" i="10"/>
  <c r="AV13" i="10"/>
  <c r="AE13" i="10" s="1"/>
  <c r="AT16" i="10"/>
  <c r="AD16" i="10" s="1"/>
  <c r="AC15" i="10"/>
  <c r="AT13" i="10"/>
  <c r="AD13" i="10" s="1"/>
  <c r="AC10" i="10"/>
  <c r="AC16" i="10" l="1"/>
  <c r="AO14" i="10"/>
  <c r="AO12" i="10"/>
  <c r="AO16" i="10"/>
  <c r="A8" i="28" l="1"/>
  <c r="B8" i="28"/>
  <c r="C8" i="28"/>
  <c r="D8" i="28"/>
  <c r="S8" i="28"/>
  <c r="T8" i="28"/>
  <c r="U8" i="28"/>
  <c r="V8" i="28"/>
  <c r="W8" i="28"/>
  <c r="X8" i="28"/>
  <c r="AA8" i="28"/>
  <c r="AB8" i="28"/>
  <c r="AC8" i="28"/>
  <c r="AD8" i="28" s="1"/>
  <c r="AE8" i="28"/>
  <c r="AF8" i="28" s="1"/>
  <c r="AJ8" i="28"/>
  <c r="AK8" i="28"/>
  <c r="AL8" i="28"/>
  <c r="Q8" i="28" s="1"/>
  <c r="AM8" i="28"/>
  <c r="BB8" i="28"/>
  <c r="AV8" i="28" l="1"/>
  <c r="BA8" i="28"/>
  <c r="E8" i="28" s="1"/>
  <c r="AO8" i="28" s="1"/>
  <c r="AX8" i="28"/>
  <c r="O8" i="28"/>
  <c r="M8" i="28" s="1"/>
  <c r="Z8" i="28"/>
  <c r="R8" i="28"/>
  <c r="F8" i="28" l="1"/>
  <c r="AR8" i="28" s="1"/>
  <c r="H8" i="28"/>
  <c r="J8" i="28"/>
  <c r="I8" i="28"/>
  <c r="G8" i="28"/>
  <c r="AY8" i="28" s="1"/>
  <c r="P8" i="28"/>
  <c r="N8" i="28" s="1"/>
  <c r="Y8" i="28"/>
  <c r="AZ8" i="28"/>
  <c r="L8" i="28" l="1"/>
  <c r="AQ8" i="28"/>
  <c r="AU8" i="28"/>
  <c r="AH8" i="28" s="1"/>
  <c r="K8" i="28"/>
  <c r="AP8" i="28"/>
  <c r="AS8" i="28"/>
  <c r="AT8" i="28"/>
  <c r="AW8" i="28"/>
  <c r="AI8" i="28" s="1"/>
  <c r="AG8" i="28" l="1"/>
  <c r="Y7" i="22" l="1"/>
  <c r="B14" i="11" l="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C7" i="26" l="1"/>
  <c r="E7" i="26"/>
  <c r="AF4" i="26"/>
  <c r="AJ4" i="24"/>
  <c r="AE4" i="22"/>
  <c r="AI4" i="19"/>
  <c r="AA4" i="10"/>
  <c r="AE3" i="8"/>
  <c r="AJ7" i="32" l="1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R7" i="28" s="1"/>
  <c r="P7" i="28" s="1"/>
  <c r="AL7" i="28"/>
  <c r="Q7" i="28" s="1"/>
  <c r="O7" i="28" s="1"/>
  <c r="Z7" i="28"/>
  <c r="Y7" i="28" s="1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S7" i="22" s="1"/>
  <c r="Q7" i="22" s="1"/>
  <c r="AO7" i="22"/>
  <c r="R7" i="22" s="1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G8" i="15" l="1"/>
  <c r="H8" i="15"/>
  <c r="AM7" i="32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B16" i="11" l="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D7" i="14"/>
  <c r="B7" i="14"/>
  <c r="A7" i="14"/>
  <c r="G7" i="15" l="1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<sst xmlns="http://schemas.openxmlformats.org/spreadsheetml/2006/main" count="1171" uniqueCount="338">
  <si>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</si>
  <si>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</si>
  <si>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</si>
  <si>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</si>
  <si>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</si>
  <si>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</si>
  <si>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</si>
  <si>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</si>
  <si>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</si>
  <si>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</si>
  <si>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</si>
  <si>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</si>
  <si>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</si>
  <si>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</si>
  <si>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</si>
  <si>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</si>
  <si>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</si>
  <si>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</si>
  <si>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</si>
  <si>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</si>
  <si>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</si>
  <si>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</si>
  <si>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</si>
  <si>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</si>
  <si>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</si>
  <si>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</si>
  <si>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</si>
  <si>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</si>
  <si>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</si>
  <si>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</si>
  <si>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</si>
  <si>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</si>
  <si>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</si>
  <si>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</si>
  <si>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</si>
  <si>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</si>
  <si>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</si>
  <si>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</si>
  <si>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</si>
  <si>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</si>
  <si>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</si>
  <si>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</si>
  <si>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</si>
  <si>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</si>
  <si>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</si>
  <si>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</si>
  <si>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</si>
  <si>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</si>
  <si>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</si>
  <si>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</si>
  <si>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</si>
  <si>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</si>
  <si>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</si>
  <si>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</si>
  <si>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</si>
  <si>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</si>
  <si>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</si>
  <si>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</si>
  <si>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</si>
  <si>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</si>
  <si>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</si>
  <si>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</si>
  <si>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</si>
  <si>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</si>
  <si>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</si>
  <si>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</si>
  <si>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</si>
  <si>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</si>
  <si>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</si>
  <si>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</si>
  <si>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</si>
  <si>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</si>
  <si>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</si>
  <si>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</si>
  <si>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</si>
  <si>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</si>
  <si>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</si>
  <si>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</si>
  <si>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</si>
  <si>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</si>
  <si>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</si>
  <si>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</si>
  <si>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</si>
  <si>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</si>
  <si>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</si>
  <si>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</si>
  <si>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</si>
  <si>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</si>
  <si>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</si>
  <si>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</si>
  <si>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</si>
  <si>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</si>
  <si>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</si>
  <si>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</si>
  <si>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</si>
  <si>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</si>
  <si>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</si>
  <si>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</si>
  <si>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</si>
  <si>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</si>
  <si>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</si>
  <si>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</si>
  <si>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</si>
  <si>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</si>
  <si>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</si>
  <si>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</si>
  <si>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</si>
  <si>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</si>
  <si>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</si>
  <si>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</si>
  <si>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</si>
  <si>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</si>
  <si>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</si>
  <si>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</si>
  <si>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</si>
  <si>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</si>
  <si>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</si>
  <si>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</si>
  <si>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</si>
  <si>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</si>
  <si>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</si>
  <si>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</si>
  <si>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</si>
  <si>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</si>
  <si>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</si>
  <si>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</si>
  <si>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</si>
  <si>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</si>
  <si>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</si>
  <si>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</si>
  <si>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</si>
  <si>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</si>
  <si>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</si>
  <si>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</si>
  <si>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</si>
  <si>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</si>
  <si>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</si>
  <si>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</si>
  <si>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</si>
  <si>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</si>
  <si>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</si>
  <si>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</si>
  <si>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</si>
  <si>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</si>
  <si>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</si>
  <si>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</si>
  <si>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</si>
  <si>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</si>
  <si>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</si>
  <si>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</si>
  <si>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</si>
  <si>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</si>
  <si>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</si>
  <si>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</si>
  <si>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</si>
  <si>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</si>
  <si>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</si>
  <si>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</si>
  <si>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</si>
  <si>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</si>
  <si>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</si>
  <si>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</si>
  <si>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</si>
  <si>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</si>
  <si>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</si>
  <si>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</si>
  <si>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</si>
  <si>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</si>
  <si>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</si>
  <si>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</si>
  <si>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</si>
  <si>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</si>
  <si>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</si>
  <si>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</si>
  <si>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</si>
  <si>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</si>
  <si>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</si>
  <si>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</si>
  <si>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</si>
  <si>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</si>
  <si>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</si>
  <si>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</si>
  <si>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</si>
  <si>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</si>
  <si>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</si>
  <si>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</si>
  <si>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</si>
  <si>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</si>
  <si>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</si>
  <si>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</si>
  <si>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</si>
  <si>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</si>
  <si>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</si>
  <si>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</si>
  <si>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</si>
  <si>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</si>
  <si>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</si>
  <si>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</si>
  <si>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</si>
  <si>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</si>
  <si>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</si>
  <si>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</si>
  <si>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</si>
  <si>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</si>
  <si>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</si>
  <si>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</si>
  <si>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</si>
  <si>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</si>
  <si>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</si>
  <si>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</si>
  <si>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</si>
  <si>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</si>
  <si>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</si>
  <si>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</si>
  <si>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</si>
  <si>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</si>
  <si>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</si>
  <si>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</si>
  <si>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</si>
  <si>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</si>
  <si>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</si>
  <si>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</si>
  <si>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</si>
  <si>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</si>
  <si>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</si>
  <si>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</si>
  <si>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</si>
  <si>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</si>
  <si>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</si>
  <si>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</si>
  <si>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</si>
  <si>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</si>
  <si>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</si>
  <si>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</si>
  <si>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</si>
  <si>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</si>
  <si>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</si>
  <si>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</si>
  <si>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</si>
  <si>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</si>
  <si>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</si>
  <si>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</si>
  <si>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</si>
  <si>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</si>
  <si>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</si>
  <si>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</si>
  <si>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</si>
  <si>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</si>
  <si>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</si>
  <si>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</si>
  <si>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</si>
  <si>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</si>
  <si>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</si>
  <si>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</si>
  <si>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</si>
  <si>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</si>
  <si>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</si>
  <si>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</si>
  <si>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</si>
  <si>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</si>
  <si>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</si>
  <si>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</si>
  <si>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</si>
  <si>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</si>
  <si>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</si>
  <si>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</si>
  <si>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</si>
  <si>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</si>
  <si>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</si>
  <si>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</si>
  <si>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</si>
  <si>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</si>
  <si>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</si>
  <si>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</si>
  <si>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</si>
  <si>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</si>
  <si>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</si>
  <si>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</si>
  <si>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</si>
  <si>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</si>
  <si>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</si>
  <si>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</si>
  <si>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</si>
  <si>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</si>
  <si>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</si>
  <si>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</si>
  <si>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</si>
  <si>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</si>
  <si>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</si>
  <si>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</si>
  <si>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</si>
  <si>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</si>
  <si>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</si>
  <si>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</si>
  <si>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</si>
  <si>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</si>
  <si>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</si>
  <si>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</si>
  <si>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</si>
  <si>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</si>
  <si>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</si>
  <si>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</si>
  <si>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</si>
  <si>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</si>
  <si>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</si>
  <si>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</si>
  <si>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</si>
  <si>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</si>
  <si>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</si>
  <si>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</si>
  <si>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</si>
  <si>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</si>
  <si>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</si>
  <si>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</si>
  <si>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</si>
  <si>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</si>
  <si>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</si>
  <si>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</si>
  <si>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</si>
  <si>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</si>
  <si>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</si>
  <si>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</si>
  <si>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</si>
  <si>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</si>
  <si>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</si>
  <si>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</si>
  <si>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</si>
  <si>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</si>
  <si>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</si>
  <si>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</si>
  <si>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</si>
  <si>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</si>
  <si>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이소정</t>
  </si>
  <si>
    <t>이소정</t>
    <phoneticPr fontId="1" type="noConversion"/>
  </si>
  <si>
    <t>서울 서초구 공작빌라트</t>
  </si>
  <si>
    <t>추영덕</t>
  </si>
  <si>
    <t>HL Ecolor Bronze 1.2T</t>
  </si>
  <si>
    <t>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</si>
</sst>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23" sqref="B23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334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서울 서초구 공작빌라트 ) _추영덕소장</v>
      </c>
      <c r="C2" s="39" t="str">
        <f>"(와이드) 제작변환 자료( "&amp;B1&amp;" ) _"&amp;소장 &amp;"소장"</f>
        <v>(와이드) 제작변환 자료( 서울 서초구 공작빌라트 ) _추영덕소장</v>
      </c>
      <c r="D2" s="154" t="s">
        <v>311</v>
      </c>
      <c r="E2" s="150" t="str">
        <f>"(SO와이드) 실측서 ( " &amp; B1 &amp; " ) _"&amp;소장 &amp;"소장"</f>
        <v>(SO와이드) 실측서 ( 서울 서초구 공작빌라트 ) _추영덕소장</v>
      </c>
      <c r="F2" s="150" t="str">
        <f>"(SO와이드) 제작변환 ( " &amp; B1 &amp; " ) _"&amp;소장 &amp;"소장"</f>
        <v>(SO와이드) 제작변환 ( 서울 서초구 공작빌라트 ) _추영덕소장</v>
      </c>
      <c r="G2" s="152" t="s">
        <v>313</v>
      </c>
      <c r="H2" s="147" t="str">
        <f>"(4CO와이드) 실측서 ( " &amp; B1 &amp; " ) _"&amp;소장 &amp;"소장"</f>
        <v>(4CO와이드) 실측서 ( 서울 서초구 공작빌라트 ) _추영덕소장</v>
      </c>
      <c r="I2" s="147" t="str">
        <f>"(4CO와이드) 제작변환 ( " &amp; B1 &amp; " ) _"&amp;소장 &amp;"소장"</f>
        <v>(4CO와이드) 제작변환 ( 서울 서초구 공작빌라트 ) _추영덕소장</v>
      </c>
      <c r="J2" s="152" t="s">
        <v>315</v>
      </c>
      <c r="K2" s="153" t="str">
        <f>"(2UP) 실측서 ( " &amp; B1 &amp; " ) _"&amp;소장 &amp;"소장"</f>
        <v>(2UP) 실측서 ( 서울 서초구 공작빌라트 ) _추영덕소장</v>
      </c>
      <c r="L2" s="153" t="str">
        <f>"(2UP) 제작변환 ( " &amp; B1 &amp; " ) _"&amp;소장 &amp;"소장"</f>
        <v>(2UP) 제작변환 ( 서울 서초구 공작빌라트 ) _추영덕소장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서울 서초구 공작빌라트 ) _추영덕소장</v>
      </c>
      <c r="C3" s="39" t="str">
        <f>"(멍텅구리) 제작변환 자료( "&amp;B1&amp;" ) _"&amp;소장 &amp;"소장"</f>
        <v>(멍텅구리) 제작변환 자료( 서울 서초구 공작빌라트 ) _추영덕소장</v>
      </c>
      <c r="D3" s="154" t="s">
        <v>312</v>
      </c>
      <c r="E3" s="150" t="str">
        <f>"(SO멍텅구리) 실측서 ( " &amp; B1 &amp; " ) _"&amp;소장 &amp;"소장"</f>
        <v>(SO멍텅구리) 실측서 ( 서울 서초구 공작빌라트 ) _추영덕소장</v>
      </c>
      <c r="F3" s="150" t="str">
        <f>"(SO멍텅구리) 제작변환 ( " &amp; B1 &amp; " ) _"&amp;소장 &amp;"소장"</f>
        <v>(SO멍텅구리) 제작변환 ( 서울 서초구 공작빌라트 ) _추영덕소장</v>
      </c>
      <c r="G3" s="152" t="s">
        <v>314</v>
      </c>
      <c r="H3" s="147" t="str">
        <f>"(4CO멍텅구리) 실측서 ( " &amp; B1 &amp; " ) _"&amp;소장 &amp;"소장"</f>
        <v>(4CO멍텅구리) 실측서 ( 서울 서초구 공작빌라트 ) _추영덕소장</v>
      </c>
      <c r="I3" s="147" t="str">
        <f>"(4CO멍텅구리) 제작변환 ( " &amp; B1 &amp; " ) _"&amp;소장 &amp;"소장"</f>
        <v>(4CO멍텅구리) 제작변환 ( 서울 서초구 공작빌라트 ) _추영덕소장</v>
      </c>
      <c r="J3" s="152" t="s">
        <v>316</v>
      </c>
      <c r="K3" s="153" t="str">
        <f>"(3UP) 실측서 ( " &amp; B1 &amp; " ) _"&amp;소장 &amp;"소장"</f>
        <v>(3UP) 실측서 ( 서울 서초구 공작빌라트 ) _추영덕소장</v>
      </c>
      <c r="L3" s="153" t="str">
        <f>"(3UP) 제작변환 ( " &amp; B1 &amp; " ) _"&amp;소장 &amp;"소장"</f>
        <v>(3UP) 제작변환 ( 서울 서초구 공작빌라트 ) _추영덕소장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서울 서초구 공작빌라트 ) _추영덕소장</v>
      </c>
      <c r="C4" s="39" t="str">
        <f>"(쪽쟘) 제작변환 자료( "&amp;B1&amp;" ) _"&amp;소장 &amp;"소장"</f>
        <v>(쪽쟘) 제작변환 자료( 서울 서초구 공작빌라트 ) _추영덕소장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317</v>
      </c>
    </row>
    <row r="6" spans="1:12" ht="27.75" customHeight="1" x14ac:dyDescent="0.3">
      <c r="A6" s="144" t="s">
        <v>40</v>
      </c>
      <c r="B6" s="146" t="s">
        <v>335</v>
      </c>
    </row>
    <row r="7" spans="1:12" ht="16.5" customHeight="1" x14ac:dyDescent="0.3">
      <c r="A7" s="72" t="s">
        <v>193</v>
      </c>
      <c r="B7" s="118" t="s">
        <v>336</v>
      </c>
    </row>
    <row r="8" spans="1:12" ht="16.5" customHeight="1" x14ac:dyDescent="0.3">
      <c r="A8" s="76" t="s">
        <v>194</v>
      </c>
      <c r="B8" s="118" t="s">
        <v>336</v>
      </c>
    </row>
    <row r="9" spans="1:12" ht="16.5" customHeight="1" x14ac:dyDescent="0.3">
      <c r="A9" s="71" t="s">
        <v>195</v>
      </c>
      <c r="B9" s="118" t="s">
        <v>336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+(0 ),  늘어난치수K -(0),  C + (0),   U + (0), OP - (0), R - (0),  기둥차감 - (4),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+(0 ),  늘어난치수K -(0),  C + (0),  U +(0), OP - (0), R - (0),  기둥차감 - (4),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+(0 ),  늘어난치수K -(0),  C + (0),   U + (0), OP - (0), R - (0),  기둥차감 - (4),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+(0 ),  늘어난치수K -(0),  C + (0),  U +(0), OP1/OP2 - (0), R - (0),  기둥차감 - (4),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+(0 ),  늘어난치수K -(0),  C + (0),   U + (0), OP1/OP3 - (0), R - (0),  기둥차감 - (4),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+(0 ),  늘어난치수K -(0),  C + (0),  U +(0), OP1/OP3 - (0), R - (0),  기둥차감 - (4),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+(0 ),  늘어난치수K -(0),  C + (0),   U + (0), OP - (0), R - (0),  기둥차감 - (4),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+(0 ),  늘어난치수K -(0),  C + (0),   U + (0), OP - (0), R - (0),  기둥차감 - (4),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294</v>
      </c>
      <c r="B23" s="124" t="s">
        <v>332</v>
      </c>
    </row>
    <row r="26" spans="1:3" x14ac:dyDescent="0.3">
      <c r="A26">
        <v>20231101</v>
      </c>
      <c r="B26" t="s">
        <v>327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/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1</v>
      </c>
      <c r="C2" s="3">
        <f>IF('쪽쟘(실측)'!C7&gt;1,1,0)</f>
        <v>0</v>
      </c>
      <c r="D2" s="3" t="str">
        <f>정보!B1</f>
        <v>서울 서초구 공작빌라트</v>
      </c>
      <c r="E2" s="3" t="str">
        <f>정보!B6</f>
        <v>추영덕</v>
      </c>
      <c r="F2" s="3" t="str">
        <f>정보!B7</f>
        <v>HL Ecolor Bronze 1.2T</v>
      </c>
      <c r="G2" s="3" t="str">
        <f>정보!B8</f>
        <v>HL Ecolor Bronze 1.2T</v>
      </c>
      <c r="H2" s="3" t="str">
        <f>정보!B9</f>
        <v>HL Ecolor Bronze 1.2T</v>
      </c>
      <c r="I2">
        <f>정보!B5</f>
        <v>0</v>
      </c>
      <c r="J2" s="87">
        <f ca="1">TODAY()</f>
        <v>45446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이소정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293</v>
      </c>
      <c r="E5" t="s">
        <v>218</v>
      </c>
      <c r="G5" t="s">
        <v>295</v>
      </c>
    </row>
    <row r="6" spans="1:17" ht="60.75" customHeight="1" x14ac:dyDescent="0.3">
      <c r="D6" t="s">
        <v>209</v>
      </c>
      <c r="E6" t="s">
        <v>219</v>
      </c>
      <c r="G6" t="s">
        <v>333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309</v>
      </c>
    </row>
    <row r="13" spans="1:17" ht="62.25" customHeight="1" x14ac:dyDescent="0.3">
      <c r="E13" t="s">
        <v>296</v>
      </c>
    </row>
    <row r="14" spans="1:17" ht="62.25" customHeight="1" x14ac:dyDescent="0.3">
      <c r="E14" t="s">
        <v>310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A7" sqref="A7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서울 서초구 공작빌라트 ) _추영덕소장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서울 서초구 공작빌라트,   (재질) : HL Ecolor Bronze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(1.2), JB/JD +(0 ),  늘어난치수K -(0),  C + (0),   U + (0), OP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H11" sqref="H1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서울 서초구 공작빌라트 ) _추영덕소장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0</v>
      </c>
      <c r="R2" s="191"/>
      <c r="S2" s="167" t="s">
        <v>83</v>
      </c>
      <c r="T2" s="193"/>
      <c r="U2" s="193"/>
      <c r="V2" s="194">
        <v>4</v>
      </c>
      <c r="W2" s="194"/>
      <c r="X2" s="212" t="s">
        <v>205</v>
      </c>
      <c r="Y2" s="213"/>
      <c r="Z2" s="216">
        <f>정보!B5</f>
        <v>0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0</v>
      </c>
      <c r="AK2" s="226"/>
      <c r="AL2" s="1"/>
      <c r="AM2" s="181" t="s">
        <v>229</v>
      </c>
      <c r="AN2" s="223"/>
      <c r="AO2" s="224">
        <v>0</v>
      </c>
      <c r="AP2" s="224"/>
      <c r="AQ2" s="1"/>
      <c r="AR2" s="1"/>
    </row>
    <row r="3" spans="1:61" ht="24.75" customHeight="1" x14ac:dyDescent="0.3">
      <c r="A3" s="28" t="str">
        <f>'와이드(실측)'!A3</f>
        <v>현장명 : 서울 서초구 공작빌라트,   (재질) : HL Ecolor Bronze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0</v>
      </c>
      <c r="N3" s="220"/>
      <c r="O3" s="190" t="s">
        <v>77</v>
      </c>
      <c r="P3" s="190"/>
      <c r="Q3" s="197">
        <v>0</v>
      </c>
      <c r="R3" s="197"/>
      <c r="S3" s="198" t="s">
        <v>227</v>
      </c>
      <c r="T3" s="198"/>
      <c r="U3" s="198"/>
      <c r="V3" s="199">
        <f>BI7</f>
        <v>1</v>
      </c>
      <c r="W3" s="199"/>
      <c r="X3" s="192" t="s">
        <v>78</v>
      </c>
      <c r="Y3" s="192"/>
      <c r="Z3" s="200">
        <v>0</v>
      </c>
      <c r="AA3" s="200"/>
      <c r="AC3" s="201" t="s">
        <v>304</v>
      </c>
      <c r="AD3" s="201"/>
      <c r="AE3" s="201">
        <f>'와이드(실측)'!Y7</f>
        <v>0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318</v>
      </c>
      <c r="AP3" s="228"/>
      <c r="AQ3" s="231" t="e">
        <f>AU7</f>
        <v>#DIV/0!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(1.2), JB/JD +(0 ),  늘어난치수K -(0),  C + (0),   U + (0), OP - (0), R - (0),  기둥차감 - (4), A + (0)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45446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32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0</v>
      </c>
      <c r="D7" s="31">
        <f>'와이드(실측)'!D7+와이드MH더함-IF(AND(소장="추영덕",Y7=0),1.2)</f>
        <v>0</v>
      </c>
      <c r="E7" s="135">
        <f>'와이드(실측)'!E7-와이드OP</f>
        <v>0</v>
      </c>
      <c r="F7" s="31">
        <f>'와이드(실측)'!F7-와이드R</f>
        <v>0</v>
      </c>
      <c r="G7" s="50">
        <f>'와이드(실측)'!G7+와이드JBJD키움치수+IF(BI7=1,AC7,0)</f>
        <v>0</v>
      </c>
      <c r="H7" s="50">
        <f>'와이드(실측)'!H7+와이드JBJD키움치수+IF(BI7=1,AE7,0)</f>
        <v>0</v>
      </c>
      <c r="I7" s="50">
        <f>'와이드(실측)'!I7+MAX(AS7,AT7)+와이드JBJD키움치수+IF(BI7=1,AC7,0)</f>
        <v>0</v>
      </c>
      <c r="J7" s="50">
        <f>'와이드(실측)'!I7+MAX(AS7,AT7)+와이드JBJD키움치수+IF(BI7=1,AD7,0)-IF(와이드JB하부늘치=1,'와이드(실측)'!Y7-'와이드(실측)'!Z7,0)</f>
        <v>0</v>
      </c>
      <c r="K7" s="50">
        <f>'와이드(실측)'!J7+MAX(AS7,AT7)+와이드JBJD키움치수+IF(BI7=1,AE7,0)</f>
        <v>0</v>
      </c>
      <c r="L7" s="50">
        <f>'와이드(실측)'!J7+MAX(AS7,AT7)+와이드JBJD키움치수+IF(BI7=1,AF7,0)-IF(와이드JB하부늘치=1,'와이드(실측)'!AA7-'와이드(실측)'!AB7,0)</f>
        <v>0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 t="e">
        <f>ROUNDUP(AV7,1)</f>
        <v>#DIV/0!</v>
      </c>
      <c r="R7" s="38" t="e">
        <f>ROUNDUP(AW7,1)</f>
        <v>#DIV/0!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-4</v>
      </c>
      <c r="V7" s="31">
        <f>'와이드(실측)'!R7-와이드기둥차감</f>
        <v>-4</v>
      </c>
      <c r="W7" s="31">
        <f>'와이드(실측)'!S7-와이드기둥차감</f>
        <v>-4</v>
      </c>
      <c r="X7" s="31">
        <f>'와이드(실측)'!T7-와이드기둥차감</f>
        <v>-4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-1.2</v>
      </c>
      <c r="AH7" s="31">
        <f xml:space="preserve"> IF(소장&lt;&gt;"손상민",IF('와이드(실측)'!AD7&gt;0,'와이드(실측)'!AD7,D7-1.2),IF('와이드(실측)'!AD7&gt;0,'와이드(실측)'!AD7+1.2,D7))</f>
        <v>-1.2</v>
      </c>
      <c r="AI7" s="51">
        <f>IF(Z7&gt;0,Z7-MAX(Q7,R7),0)</f>
        <v>0</v>
      </c>
      <c r="AJ7" s="31" t="str">
        <f t="shared" ref="AJ7" si="1">BA7&amp;"*"&amp;BB7</f>
        <v>0*-2.4</v>
      </c>
      <c r="AK7" s="31" t="str">
        <f t="shared" ref="AK7" si="2">BD7&amp;"*"&amp;BC7</f>
        <v>-5.2*-2.4</v>
      </c>
      <c r="AL7" s="31" t="str">
        <f t="shared" ref="AL7" si="3">BF7&amp;"*"&amp;BE7</f>
        <v>-5.2*-2.4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 t="e">
        <f>DEGREES(ATAN((F7-E7)/2/(H7)))</f>
        <v>#DIV/0!</v>
      </c>
      <c r="AV7" s="21" t="e">
        <f>ABS(G7-COS(RADIANS(AU7))*I7)</f>
        <v>#DIV/0!</v>
      </c>
      <c r="AW7" s="21" t="e">
        <f>ABS(H7-COS(RADIANS(AU7))*K7)</f>
        <v>#DIV/0!</v>
      </c>
      <c r="AX7" s="21">
        <f>'와이드(실측)'!M7+AS7</f>
        <v>0</v>
      </c>
      <c r="AY7" s="21">
        <f>'와이드(실측)'!N7+AS7</f>
        <v>0</v>
      </c>
      <c r="AZ7" s="20" t="e">
        <f>AV7-MAX(AX7,AY7)</f>
        <v>#DIV/0!</v>
      </c>
      <c r="BA7" s="41">
        <f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-2.3999999999999995</v>
      </c>
      <c r="BC7" s="41">
        <f>S7+O7+MAX(I7,J7)+AB7-1.2*$AL$3+IF(BI7=0,MAX(AD7,AC7),0)+IF(S7=0,1.2,0)-IF(AR7=90,2.4,0)</f>
        <v>-2.3999999999999995</v>
      </c>
      <c r="BD7" s="41">
        <f>MAX(U7,V7)+AG7</f>
        <v>-5.2</v>
      </c>
      <c r="BE7" s="41">
        <f>T7+P7+MAX(K7,L7)+AB7-1.2*$AL$3+IF(BI7=0,MAX(AE7,AF7),0)+IF(T7=0,1.2,0)-IF(AR7=90,2.4,0)</f>
        <v>-2.3999999999999995</v>
      </c>
      <c r="BF7" s="41">
        <f>MAX(W7,X7)+AH7</f>
        <v>-5.2</v>
      </c>
      <c r="BG7" s="6" t="e">
        <f t="shared" ref="BG7" si="4">I7-G7-Q7</f>
        <v>#DIV/0!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topLeftCell="B1" zoomScale="85" zoomScaleNormal="85" workbookViewId="0">
      <selection activeCell="U12" sqref="U12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서울 서초구 공작빌라트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서울 서초구 공작빌라트,   (재질) : HL Ecolor Bronze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63" t="str">
        <f>정보!B11</f>
        <v>제작치수 반영 : JB/JD +(0 ),  늘어난치수K -(0),  C + (0),  U +(0), OP - (0), R - (0),  기둥차감 - (4), 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>
        <v>10</v>
      </c>
      <c r="C7" s="4">
        <v>900</v>
      </c>
      <c r="D7" s="4">
        <v>901</v>
      </c>
      <c r="E7" s="4">
        <v>321</v>
      </c>
      <c r="F7" s="4">
        <v>321</v>
      </c>
      <c r="G7" s="4">
        <v>321</v>
      </c>
      <c r="H7" s="4">
        <v>321</v>
      </c>
      <c r="I7" s="4">
        <v>38</v>
      </c>
      <c r="J7" s="4">
        <v>38</v>
      </c>
      <c r="K7" s="4">
        <v>9</v>
      </c>
      <c r="L7" s="4">
        <v>9</v>
      </c>
      <c r="M7" s="4">
        <v>2098</v>
      </c>
      <c r="N7" s="4">
        <v>2094</v>
      </c>
      <c r="O7" s="4">
        <v>2098</v>
      </c>
      <c r="P7" s="4">
        <v>2094</v>
      </c>
      <c r="Q7" s="4">
        <v>38</v>
      </c>
      <c r="R7" s="4">
        <v>9</v>
      </c>
      <c r="S7" s="4">
        <v>25</v>
      </c>
      <c r="T7" s="4">
        <v>30</v>
      </c>
      <c r="U7" s="4">
        <v>6</v>
      </c>
      <c r="V7" s="4">
        <v>6</v>
      </c>
      <c r="W7" s="4">
        <v>6</v>
      </c>
      <c r="X7" s="4">
        <v>6</v>
      </c>
      <c r="Y7" s="4">
        <v>20</v>
      </c>
      <c r="Z7" s="4">
        <v>10</v>
      </c>
      <c r="AA7" s="4">
        <v>10</v>
      </c>
      <c r="AB7" s="4">
        <v>30</v>
      </c>
      <c r="AC7" s="4">
        <v>30</v>
      </c>
      <c r="AD7" s="4"/>
      <c r="AE7" s="55"/>
      <c r="AF7" s="3">
        <f t="shared" ref="AF7:AI11" si="0">U7+$AE7</f>
        <v>6</v>
      </c>
      <c r="AG7" s="3">
        <f t="shared" si="0"/>
        <v>6</v>
      </c>
      <c r="AH7" s="3">
        <f t="shared" si="0"/>
        <v>6</v>
      </c>
      <c r="AI7" s="3">
        <f t="shared" si="0"/>
        <v>6</v>
      </c>
      <c r="AJ7" s="3">
        <f t="shared" ref="AJ7:AM11" si="1">E7-$AE7</f>
        <v>321</v>
      </c>
      <c r="AK7" s="3">
        <f t="shared" si="1"/>
        <v>321</v>
      </c>
      <c r="AL7" s="3">
        <f t="shared" si="1"/>
        <v>321</v>
      </c>
      <c r="AM7" s="3">
        <f t="shared" si="1"/>
        <v>321</v>
      </c>
    </row>
    <row r="8" spans="1:39" ht="27" customHeight="1" x14ac:dyDescent="0.3">
      <c r="A8" s="127"/>
      <c r="B8" s="4">
        <v>9</v>
      </c>
      <c r="C8" s="4">
        <v>898</v>
      </c>
      <c r="D8" s="4">
        <v>900</v>
      </c>
      <c r="E8" s="4">
        <v>321</v>
      </c>
      <c r="F8" s="4">
        <v>321</v>
      </c>
      <c r="G8" s="4">
        <v>321</v>
      </c>
      <c r="H8" s="4">
        <v>321</v>
      </c>
      <c r="I8" s="4">
        <v>38</v>
      </c>
      <c r="J8" s="4">
        <v>38</v>
      </c>
      <c r="K8" s="4">
        <v>9</v>
      </c>
      <c r="L8" s="4">
        <v>9</v>
      </c>
      <c r="M8" s="4">
        <v>2104</v>
      </c>
      <c r="N8" s="4">
        <v>2094</v>
      </c>
      <c r="O8" s="4">
        <v>2104</v>
      </c>
      <c r="P8" s="4">
        <v>2094</v>
      </c>
      <c r="Q8" s="4">
        <v>38</v>
      </c>
      <c r="R8" s="4">
        <v>9</v>
      </c>
      <c r="S8" s="4">
        <v>25</v>
      </c>
      <c r="T8" s="4">
        <v>30</v>
      </c>
      <c r="U8" s="4">
        <v>6</v>
      </c>
      <c r="V8" s="4">
        <v>6</v>
      </c>
      <c r="W8" s="4">
        <v>6</v>
      </c>
      <c r="X8" s="4">
        <v>6</v>
      </c>
      <c r="Y8" s="4">
        <v>20</v>
      </c>
      <c r="Z8" s="4">
        <v>10</v>
      </c>
      <c r="AA8" s="4">
        <v>10</v>
      </c>
      <c r="AB8" s="4">
        <v>30</v>
      </c>
      <c r="AC8" s="4">
        <v>30</v>
      </c>
      <c r="AD8" s="4"/>
      <c r="AE8" s="55"/>
      <c r="AF8" s="3">
        <f t="shared" si="0"/>
        <v>6</v>
      </c>
      <c r="AG8" s="3">
        <f t="shared" si="0"/>
        <v>6</v>
      </c>
      <c r="AH8" s="3">
        <f t="shared" si="0"/>
        <v>6</v>
      </c>
      <c r="AI8" s="3">
        <f t="shared" si="0"/>
        <v>6</v>
      </c>
      <c r="AJ8" s="3">
        <f t="shared" si="1"/>
        <v>321</v>
      </c>
      <c r="AK8" s="3">
        <f t="shared" si="1"/>
        <v>321</v>
      </c>
      <c r="AL8" s="3">
        <f t="shared" si="1"/>
        <v>321</v>
      </c>
      <c r="AM8" s="3">
        <f t="shared" si="1"/>
        <v>321</v>
      </c>
    </row>
    <row r="9" spans="1:39" ht="27" customHeight="1" x14ac:dyDescent="0.3">
      <c r="A9" s="127"/>
      <c r="B9" s="4">
        <v>8</v>
      </c>
      <c r="C9" s="4">
        <v>898</v>
      </c>
      <c r="D9" s="4">
        <v>898</v>
      </c>
      <c r="E9" s="4">
        <v>321</v>
      </c>
      <c r="F9" s="4">
        <v>321</v>
      </c>
      <c r="G9" s="4">
        <v>321</v>
      </c>
      <c r="H9" s="4">
        <v>321</v>
      </c>
      <c r="I9" s="4">
        <v>38</v>
      </c>
      <c r="J9" s="4">
        <v>38</v>
      </c>
      <c r="K9" s="4">
        <v>9</v>
      </c>
      <c r="L9" s="4">
        <v>9</v>
      </c>
      <c r="M9" s="4">
        <v>2099</v>
      </c>
      <c r="N9" s="4">
        <v>2094</v>
      </c>
      <c r="O9" s="4">
        <v>2099</v>
      </c>
      <c r="P9" s="4">
        <v>2094</v>
      </c>
      <c r="Q9" s="4">
        <v>38</v>
      </c>
      <c r="R9" s="4">
        <v>9</v>
      </c>
      <c r="S9" s="4">
        <v>25</v>
      </c>
      <c r="T9" s="4">
        <v>30</v>
      </c>
      <c r="U9" s="4">
        <v>6</v>
      </c>
      <c r="V9" s="4">
        <v>6</v>
      </c>
      <c r="W9" s="4">
        <v>6</v>
      </c>
      <c r="X9" s="4">
        <v>6</v>
      </c>
      <c r="Y9" s="4">
        <v>20</v>
      </c>
      <c r="Z9" s="4">
        <v>10</v>
      </c>
      <c r="AA9" s="4">
        <v>10</v>
      </c>
      <c r="AB9" s="4">
        <v>30</v>
      </c>
      <c r="AC9" s="4">
        <v>30</v>
      </c>
      <c r="AD9" s="4"/>
      <c r="AF9" s="3">
        <f t="shared" si="0"/>
        <v>6</v>
      </c>
      <c r="AG9" s="3">
        <f t="shared" si="0"/>
        <v>6</v>
      </c>
      <c r="AH9" s="3">
        <f t="shared" si="0"/>
        <v>6</v>
      </c>
      <c r="AI9" s="3">
        <f t="shared" si="0"/>
        <v>6</v>
      </c>
      <c r="AJ9" s="3">
        <f t="shared" si="1"/>
        <v>321</v>
      </c>
      <c r="AK9" s="3">
        <f t="shared" si="1"/>
        <v>321</v>
      </c>
      <c r="AL9" s="3">
        <f t="shared" si="1"/>
        <v>321</v>
      </c>
      <c r="AM9" s="3">
        <f t="shared" si="1"/>
        <v>321</v>
      </c>
    </row>
    <row r="10" spans="1:39" ht="27" customHeight="1" x14ac:dyDescent="0.3">
      <c r="A10" s="127"/>
      <c r="B10" s="4">
        <v>7</v>
      </c>
      <c r="C10" s="4">
        <v>898</v>
      </c>
      <c r="D10" s="4">
        <v>902</v>
      </c>
      <c r="E10" s="4">
        <v>321</v>
      </c>
      <c r="F10" s="4">
        <v>321</v>
      </c>
      <c r="G10" s="4">
        <v>321</v>
      </c>
      <c r="H10" s="4">
        <v>321</v>
      </c>
      <c r="I10" s="4">
        <v>38</v>
      </c>
      <c r="J10" s="4">
        <v>38</v>
      </c>
      <c r="K10" s="4">
        <v>9</v>
      </c>
      <c r="L10" s="4">
        <v>9</v>
      </c>
      <c r="M10" s="4">
        <v>2103</v>
      </c>
      <c r="N10" s="4">
        <v>2093</v>
      </c>
      <c r="O10" s="4">
        <v>2103</v>
      </c>
      <c r="P10" s="4">
        <v>2093</v>
      </c>
      <c r="Q10" s="4">
        <v>38</v>
      </c>
      <c r="R10" s="4">
        <v>9</v>
      </c>
      <c r="S10" s="4">
        <v>25</v>
      </c>
      <c r="T10" s="4">
        <v>30</v>
      </c>
      <c r="U10" s="4">
        <v>6</v>
      </c>
      <c r="V10" s="4">
        <v>6</v>
      </c>
      <c r="W10" s="4">
        <v>6</v>
      </c>
      <c r="X10" s="4">
        <v>6</v>
      </c>
      <c r="Y10" s="4">
        <v>20</v>
      </c>
      <c r="Z10" s="4">
        <v>10</v>
      </c>
      <c r="AA10" s="4">
        <v>10</v>
      </c>
      <c r="AB10" s="4">
        <v>30</v>
      </c>
      <c r="AC10" s="4">
        <v>30</v>
      </c>
      <c r="AD10" s="4"/>
      <c r="AF10" s="3">
        <f t="shared" si="0"/>
        <v>6</v>
      </c>
      <c r="AG10" s="3">
        <f t="shared" si="0"/>
        <v>6</v>
      </c>
      <c r="AH10" s="3">
        <f t="shared" si="0"/>
        <v>6</v>
      </c>
      <c r="AI10" s="3">
        <f t="shared" si="0"/>
        <v>6</v>
      </c>
      <c r="AJ10" s="3">
        <f t="shared" si="1"/>
        <v>321</v>
      </c>
      <c r="AK10" s="3">
        <f t="shared" si="1"/>
        <v>321</v>
      </c>
      <c r="AL10" s="3">
        <f t="shared" si="1"/>
        <v>321</v>
      </c>
      <c r="AM10" s="3">
        <f t="shared" si="1"/>
        <v>321</v>
      </c>
    </row>
    <row r="11" spans="1:39" ht="27" customHeight="1" x14ac:dyDescent="0.3">
      <c r="A11" s="127"/>
      <c r="B11" s="4">
        <v>6</v>
      </c>
      <c r="C11" s="4">
        <v>898</v>
      </c>
      <c r="D11" s="4">
        <v>898</v>
      </c>
      <c r="E11" s="4">
        <v>321</v>
      </c>
      <c r="F11" s="4">
        <v>321</v>
      </c>
      <c r="G11" s="4">
        <v>321</v>
      </c>
      <c r="H11" s="4">
        <v>321</v>
      </c>
      <c r="I11" s="4">
        <v>38</v>
      </c>
      <c r="J11" s="4">
        <v>38</v>
      </c>
      <c r="K11" s="4">
        <v>9</v>
      </c>
      <c r="L11" s="4">
        <v>9</v>
      </c>
      <c r="M11" s="4">
        <v>2103</v>
      </c>
      <c r="N11" s="4">
        <v>2095</v>
      </c>
      <c r="O11" s="4">
        <v>2103</v>
      </c>
      <c r="P11" s="4">
        <v>2094</v>
      </c>
      <c r="Q11" s="4">
        <v>38</v>
      </c>
      <c r="R11" s="4">
        <v>9</v>
      </c>
      <c r="S11" s="4">
        <v>25</v>
      </c>
      <c r="T11" s="4">
        <v>30</v>
      </c>
      <c r="U11" s="4">
        <v>6</v>
      </c>
      <c r="V11" s="4">
        <v>6</v>
      </c>
      <c r="W11" s="4">
        <v>6</v>
      </c>
      <c r="X11" s="4">
        <v>6</v>
      </c>
      <c r="Y11" s="4">
        <v>20</v>
      </c>
      <c r="Z11" s="4">
        <v>10</v>
      </c>
      <c r="AA11" s="4">
        <v>10</v>
      </c>
      <c r="AB11" s="4">
        <v>30</v>
      </c>
      <c r="AC11" s="4">
        <v>30</v>
      </c>
      <c r="AD11" s="4"/>
      <c r="AF11" s="3">
        <f t="shared" si="0"/>
        <v>6</v>
      </c>
      <c r="AG11" s="3">
        <f t="shared" si="0"/>
        <v>6</v>
      </c>
      <c r="AH11" s="3">
        <f t="shared" si="0"/>
        <v>6</v>
      </c>
      <c r="AI11" s="3">
        <f t="shared" si="0"/>
        <v>6</v>
      </c>
      <c r="AJ11" s="3">
        <f t="shared" si="1"/>
        <v>321</v>
      </c>
      <c r="AK11" s="3">
        <f t="shared" si="1"/>
        <v>321</v>
      </c>
      <c r="AL11" s="3">
        <f t="shared" si="1"/>
        <v>321</v>
      </c>
      <c r="AM11" s="3">
        <f t="shared" si="1"/>
        <v>321</v>
      </c>
    </row>
    <row r="12" spans="1:39" ht="27" customHeight="1" x14ac:dyDescent="0.3">
      <c r="A12" s="127"/>
      <c r="B12" s="4">
        <v>5</v>
      </c>
      <c r="C12" s="4">
        <v>898</v>
      </c>
      <c r="D12" s="4">
        <v>898</v>
      </c>
      <c r="E12" s="4">
        <v>321</v>
      </c>
      <c r="F12" s="4">
        <v>321</v>
      </c>
      <c r="G12" s="4">
        <v>321</v>
      </c>
      <c r="H12" s="4">
        <v>321</v>
      </c>
      <c r="I12" s="4">
        <v>38</v>
      </c>
      <c r="J12" s="4">
        <v>38</v>
      </c>
      <c r="K12" s="4">
        <v>9</v>
      </c>
      <c r="L12" s="4">
        <v>9</v>
      </c>
      <c r="M12" s="4">
        <v>2098</v>
      </c>
      <c r="N12" s="4">
        <v>2094</v>
      </c>
      <c r="O12" s="4">
        <v>2098</v>
      </c>
      <c r="P12" s="4">
        <v>2093</v>
      </c>
      <c r="Q12" s="4">
        <v>38</v>
      </c>
      <c r="R12" s="4">
        <v>9</v>
      </c>
      <c r="S12" s="4">
        <v>25</v>
      </c>
      <c r="T12" s="4">
        <v>30</v>
      </c>
      <c r="U12" s="4">
        <v>6</v>
      </c>
      <c r="V12" s="4">
        <v>6</v>
      </c>
      <c r="W12" s="4">
        <v>6</v>
      </c>
      <c r="X12" s="4">
        <v>6</v>
      </c>
      <c r="Y12" s="4">
        <v>20</v>
      </c>
      <c r="Z12" s="4">
        <v>10</v>
      </c>
      <c r="AA12" s="4">
        <v>10</v>
      </c>
      <c r="AB12" s="4">
        <v>30</v>
      </c>
      <c r="AC12" s="4">
        <v>30</v>
      </c>
      <c r="AD12" s="4"/>
    </row>
    <row r="13" spans="1:39" ht="27" customHeight="1" x14ac:dyDescent="0.3">
      <c r="A13" s="127"/>
      <c r="B13" s="4">
        <v>4</v>
      </c>
      <c r="C13" s="4">
        <v>898</v>
      </c>
      <c r="D13" s="4">
        <v>898</v>
      </c>
      <c r="E13" s="4">
        <v>321</v>
      </c>
      <c r="F13" s="4">
        <v>321</v>
      </c>
      <c r="G13" s="4">
        <v>321</v>
      </c>
      <c r="H13" s="4">
        <v>321</v>
      </c>
      <c r="I13" s="4">
        <v>38</v>
      </c>
      <c r="J13" s="4">
        <v>38</v>
      </c>
      <c r="K13" s="4">
        <v>9</v>
      </c>
      <c r="L13" s="4">
        <v>9</v>
      </c>
      <c r="M13" s="4">
        <v>2103</v>
      </c>
      <c r="N13" s="4">
        <v>2094</v>
      </c>
      <c r="O13" s="4">
        <v>2103</v>
      </c>
      <c r="P13" s="4">
        <v>2090</v>
      </c>
      <c r="Q13" s="4">
        <v>38</v>
      </c>
      <c r="R13" s="4">
        <v>9</v>
      </c>
      <c r="S13" s="4">
        <v>25</v>
      </c>
      <c r="T13" s="4">
        <v>30</v>
      </c>
      <c r="U13" s="4">
        <v>6</v>
      </c>
      <c r="V13" s="4">
        <v>6</v>
      </c>
      <c r="W13" s="4">
        <v>6</v>
      </c>
      <c r="X13" s="4">
        <v>6</v>
      </c>
      <c r="Y13" s="4">
        <v>20</v>
      </c>
      <c r="Z13" s="4">
        <v>10</v>
      </c>
      <c r="AA13" s="4">
        <v>10</v>
      </c>
      <c r="AB13" s="4">
        <v>30</v>
      </c>
      <c r="AC13" s="4">
        <v>30</v>
      </c>
      <c r="AD13" s="4"/>
    </row>
    <row r="14" spans="1:39" ht="27" customHeight="1" x14ac:dyDescent="0.3">
      <c r="A14" s="127"/>
      <c r="B14" s="4">
        <v>3</v>
      </c>
      <c r="C14" s="4">
        <v>899</v>
      </c>
      <c r="D14" s="4">
        <v>898</v>
      </c>
      <c r="E14" s="4">
        <v>321</v>
      </c>
      <c r="F14" s="4">
        <v>321</v>
      </c>
      <c r="G14" s="4">
        <v>321</v>
      </c>
      <c r="H14" s="4">
        <v>321</v>
      </c>
      <c r="I14" s="4">
        <v>38</v>
      </c>
      <c r="J14" s="4">
        <v>38</v>
      </c>
      <c r="K14" s="4">
        <v>9</v>
      </c>
      <c r="L14" s="4">
        <v>9</v>
      </c>
      <c r="M14" s="4">
        <v>2099</v>
      </c>
      <c r="N14" s="4">
        <v>2093</v>
      </c>
      <c r="O14" s="4">
        <v>2099</v>
      </c>
      <c r="P14" s="4">
        <v>2092</v>
      </c>
      <c r="Q14" s="4">
        <v>38</v>
      </c>
      <c r="R14" s="4">
        <v>9</v>
      </c>
      <c r="S14" s="4">
        <v>25</v>
      </c>
      <c r="T14" s="4">
        <v>30</v>
      </c>
      <c r="U14" s="4">
        <v>6</v>
      </c>
      <c r="V14" s="4">
        <v>6</v>
      </c>
      <c r="W14" s="4">
        <v>6</v>
      </c>
      <c r="X14" s="4">
        <v>6</v>
      </c>
      <c r="Y14" s="4">
        <v>20</v>
      </c>
      <c r="Z14" s="4">
        <v>10</v>
      </c>
      <c r="AA14" s="4">
        <v>10</v>
      </c>
      <c r="AB14" s="4">
        <v>30</v>
      </c>
      <c r="AC14" s="4">
        <v>30</v>
      </c>
      <c r="AD14" s="4"/>
    </row>
    <row r="15" spans="1:39" ht="27" customHeight="1" x14ac:dyDescent="0.3">
      <c r="A15" s="127"/>
      <c r="B15" s="4">
        <v>2</v>
      </c>
      <c r="C15" s="4">
        <v>898</v>
      </c>
      <c r="D15" s="4">
        <v>898</v>
      </c>
      <c r="E15" s="4">
        <v>321</v>
      </c>
      <c r="F15" s="4">
        <v>321</v>
      </c>
      <c r="G15" s="4">
        <v>321</v>
      </c>
      <c r="H15" s="4">
        <v>321</v>
      </c>
      <c r="I15" s="4">
        <v>38</v>
      </c>
      <c r="J15" s="4">
        <v>38</v>
      </c>
      <c r="K15" s="4">
        <v>9</v>
      </c>
      <c r="L15" s="4">
        <v>9</v>
      </c>
      <c r="M15" s="4">
        <v>2098</v>
      </c>
      <c r="N15" s="4">
        <v>2093</v>
      </c>
      <c r="O15" s="4">
        <v>2094</v>
      </c>
      <c r="P15" s="4">
        <v>2092</v>
      </c>
      <c r="Q15" s="4">
        <v>38</v>
      </c>
      <c r="R15" s="4">
        <v>9</v>
      </c>
      <c r="S15" s="4">
        <v>25</v>
      </c>
      <c r="T15" s="4">
        <v>30</v>
      </c>
      <c r="U15" s="4">
        <v>6</v>
      </c>
      <c r="V15" s="4">
        <v>6</v>
      </c>
      <c r="W15" s="4">
        <v>6</v>
      </c>
      <c r="X15" s="4">
        <v>6</v>
      </c>
      <c r="Y15" s="4">
        <v>20</v>
      </c>
      <c r="Z15" s="4">
        <v>10</v>
      </c>
      <c r="AA15" s="4">
        <v>10</v>
      </c>
      <c r="AB15" s="4">
        <v>30</v>
      </c>
      <c r="AC15" s="4">
        <v>30</v>
      </c>
      <c r="AD15" s="4"/>
    </row>
    <row r="16" spans="1:39" ht="27" customHeight="1" x14ac:dyDescent="0.3">
      <c r="A16" s="127"/>
      <c r="B16" s="4">
        <v>1</v>
      </c>
      <c r="C16" s="4">
        <v>898</v>
      </c>
      <c r="D16" s="4">
        <v>898</v>
      </c>
      <c r="E16" s="4">
        <v>321</v>
      </c>
      <c r="F16" s="4">
        <v>321</v>
      </c>
      <c r="G16" s="4">
        <v>321</v>
      </c>
      <c r="H16" s="4">
        <v>321</v>
      </c>
      <c r="I16" s="4">
        <v>38</v>
      </c>
      <c r="J16" s="4">
        <v>38</v>
      </c>
      <c r="K16" s="4">
        <v>9</v>
      </c>
      <c r="L16" s="4">
        <v>9</v>
      </c>
      <c r="M16" s="4">
        <v>2098</v>
      </c>
      <c r="N16" s="4">
        <v>2092</v>
      </c>
      <c r="O16" s="4">
        <v>2101</v>
      </c>
      <c r="P16" s="4">
        <v>2091</v>
      </c>
      <c r="Q16" s="4">
        <v>38</v>
      </c>
      <c r="R16" s="4">
        <v>9</v>
      </c>
      <c r="S16" s="4">
        <v>25</v>
      </c>
      <c r="T16" s="4">
        <v>30</v>
      </c>
      <c r="U16" s="4">
        <v>6</v>
      </c>
      <c r="V16" s="4">
        <v>6</v>
      </c>
      <c r="W16" s="4">
        <v>6</v>
      </c>
      <c r="X16" s="4">
        <v>6</v>
      </c>
      <c r="Y16" s="4">
        <v>20</v>
      </c>
      <c r="Z16" s="4">
        <v>10</v>
      </c>
      <c r="AA16" s="4">
        <v>10</v>
      </c>
      <c r="AB16" s="4">
        <v>30</v>
      </c>
      <c r="AC16" s="4">
        <v>30</v>
      </c>
      <c r="AD16" s="4"/>
    </row>
    <row r="17" spans="1:30" ht="27" customHeight="1" x14ac:dyDescent="0.3">
      <c r="A17" s="127"/>
      <c r="B17" s="4" t="s">
        <v>337</v>
      </c>
      <c r="C17" s="4">
        <v>897</v>
      </c>
      <c r="D17" s="4">
        <v>898</v>
      </c>
      <c r="E17" s="4">
        <v>321</v>
      </c>
      <c r="F17" s="4">
        <v>321</v>
      </c>
      <c r="G17" s="4">
        <v>321</v>
      </c>
      <c r="H17" s="4">
        <v>321</v>
      </c>
      <c r="I17" s="4">
        <v>38</v>
      </c>
      <c r="J17" s="4">
        <v>38</v>
      </c>
      <c r="K17" s="4">
        <v>9</v>
      </c>
      <c r="L17" s="4">
        <v>9</v>
      </c>
      <c r="M17" s="4">
        <v>2098</v>
      </c>
      <c r="N17" s="4">
        <v>2093</v>
      </c>
      <c r="O17" s="4">
        <v>2097</v>
      </c>
      <c r="P17" s="4">
        <v>2092</v>
      </c>
      <c r="Q17" s="4">
        <v>38</v>
      </c>
      <c r="R17" s="4">
        <v>9</v>
      </c>
      <c r="S17" s="4">
        <v>25</v>
      </c>
      <c r="T17" s="4">
        <v>30</v>
      </c>
      <c r="U17" s="4">
        <v>6</v>
      </c>
      <c r="V17" s="4">
        <v>6</v>
      </c>
      <c r="W17" s="4">
        <v>6</v>
      </c>
      <c r="X17" s="4">
        <v>6</v>
      </c>
      <c r="Y17" s="4">
        <v>20</v>
      </c>
      <c r="Z17" s="4">
        <v>10</v>
      </c>
      <c r="AA17" s="4">
        <v>10</v>
      </c>
      <c r="AB17" s="4">
        <v>30</v>
      </c>
      <c r="AC17" s="4">
        <v>30</v>
      </c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O5:O6"/>
    <mergeCell ref="L5:L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J5:J6"/>
    <mergeCell ref="G3:H3"/>
    <mergeCell ref="K5:K6"/>
    <mergeCell ref="I5:I6"/>
    <mergeCell ref="N5:N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17"/>
  <sheetViews>
    <sheetView tabSelected="1" zoomScale="85" zoomScaleNormal="85" workbookViewId="0">
      <selection activeCell="A10" sqref="A10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서울 서초구 공작빌라트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0</v>
      </c>
      <c r="X2" s="255"/>
      <c r="Y2" s="251" t="s">
        <v>82</v>
      </c>
      <c r="Z2" s="252"/>
      <c r="AA2" s="253">
        <v>4</v>
      </c>
      <c r="AB2" s="253"/>
      <c r="AC2" s="98" t="s">
        <v>114</v>
      </c>
      <c r="AD2" s="250">
        <v>0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서울 서초구 공작빌라트,   (재질) : HL Ecolor Bronze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0</v>
      </c>
      <c r="K3" s="263"/>
      <c r="L3" s="251" t="s">
        <v>77</v>
      </c>
      <c r="M3" s="251"/>
      <c r="N3" s="264">
        <v>0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0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319</v>
      </c>
      <c r="AG3" s="281"/>
      <c r="AH3" s="212"/>
      <c r="AI3" s="282">
        <f>AN7</f>
        <v>8.7608157279257623E-2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+(0 ),  늘어난치수K -(0),  C + (0),  U +(0), OP - (0), R - (0),  기둥차감 - (4),  A + (0)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305</v>
      </c>
      <c r="Z4" s="275"/>
      <c r="AA4" s="276">
        <f>'멍텅(실측)'!U7</f>
        <v>6</v>
      </c>
      <c r="AB4" s="276"/>
      <c r="AC4" s="9"/>
      <c r="AD4" s="222">
        <f ca="1">TODAY()</f>
        <v>45446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299</v>
      </c>
      <c r="AL5" s="177" t="s">
        <v>300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10F</v>
      </c>
      <c r="C7" s="4">
        <f>'멍텅(실측)'!C7-멍텅OP</f>
        <v>900</v>
      </c>
      <c r="D7" s="4">
        <f>'멍텅(실측)'!D7-멍텅R</f>
        <v>901</v>
      </c>
      <c r="E7" s="50">
        <f>'멍텅(실측)'!E7+MAX(AK7,AL7)+IF(AZ7=1,Y7,0)+멍텅JBJD늘림치수</f>
        <v>327</v>
      </c>
      <c r="F7" s="50">
        <f>'멍텅(실측)'!F7+MAX(AK7,AL7)+IF(AZ7=1,AA7,0)+멍텅JBJD늘림치수</f>
        <v>327</v>
      </c>
      <c r="G7" s="50">
        <f>'멍텅(실측)'!G7+AK7+IF(AZ7=1,Y7,0)+멍텅JB강제키움+멍텅JBJD늘림치수</f>
        <v>327</v>
      </c>
      <c r="H7" s="50">
        <f>'멍텅(실측)'!G7+AK7+IF(AZ7=1,Z7,0)+멍텅JB강제키움+멍텅JBJD늘림치수-IF(멍텅JB하부늘치=1,'멍텅(실측)'!U7-'멍텅(실측)'!V7,0)</f>
        <v>327</v>
      </c>
      <c r="I7" s="50">
        <f>'멍텅(실측)'!H7+AL7+IF(AZ7=1,AA7,0)+멍텅JB강제키움+멍텅JBJD늘림치수</f>
        <v>327</v>
      </c>
      <c r="J7" s="50">
        <f>'멍텅(실측)'!H7+AL7+IF(AZ7=1,AB7,0)+멍텅JB강제키움+멍텅JBJD늘림치수-IF(멍텅JB하부늘치=1,'멍텅(실측)'!W7-'멍텅(실측)'!X7,0)</f>
        <v>327</v>
      </c>
      <c r="K7" s="4">
        <f t="shared" ref="K7:L7" si="0">M7+IF(소장="손상민",0,-1.5)</f>
        <v>36.5</v>
      </c>
      <c r="L7" s="4">
        <f t="shared" si="0"/>
        <v>36.5</v>
      </c>
      <c r="M7" s="4">
        <f>IF(O7&gt;0,'멍텅(실측)'!I7+멍텅C늘림,'멍텅(실측)'!I7+1)</f>
        <v>38</v>
      </c>
      <c r="N7" s="4">
        <f>IF(P7&gt;0,'멍텅(실측)'!J7+멍텅C늘림,'멍텅(실측)'!J7+1)</f>
        <v>38</v>
      </c>
      <c r="O7" s="4">
        <f>IF(ISNUMBER('멍텅(실측)'!K7),'멍텅(실측)'!K7+멍텅제작!AK7+멍텅A늘림,0)</f>
        <v>9</v>
      </c>
      <c r="P7" s="4">
        <f>IF(ISNUMBER('멍텅(실측)'!L7),'멍텅(실측)'!L7+멍텅제작!AL7+멍텅A늘림,0)</f>
        <v>9</v>
      </c>
      <c r="Q7" s="4">
        <f>'멍텅(실측)'!M7-멍텅기둥차감</f>
        <v>2094</v>
      </c>
      <c r="R7" s="4">
        <f>'멍텅(실측)'!N7-멍텅기둥차감</f>
        <v>2090</v>
      </c>
      <c r="S7" s="4">
        <f>'멍텅(실측)'!O7-멍텅기둥차감</f>
        <v>2094</v>
      </c>
      <c r="T7" s="4">
        <f>'멍텅(실측)'!P7-멍텅기둥차감</f>
        <v>2090</v>
      </c>
      <c r="U7" s="4">
        <f>IF(ISNUMBER('멍텅(실측)'!Q7),IF(V7&gt;0,'멍텅(실측)'!Q7+멍텅U늘림,'멍텅(실측)'!Q7+1.2),0)</f>
        <v>38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9</v>
      </c>
      <c r="W7" s="4">
        <f>'멍텅(실측)'!S7+뒷날개치수더함</f>
        <v>25</v>
      </c>
      <c r="X7" s="4">
        <f>'멍텅(실측)'!T7+뒷날개치수더함</f>
        <v>30</v>
      </c>
      <c r="Y7" s="13">
        <f>'멍텅(실측)'!U7-멍텅늘치차감</f>
        <v>6</v>
      </c>
      <c r="Z7" s="13">
        <f>IF(멍텅JB하부늘치=1,Y7,'멍텅(실측)'!V7-멍텅늘치차감)</f>
        <v>6</v>
      </c>
      <c r="AA7" s="13">
        <f>'멍텅(실측)'!W7-멍텅늘치차감</f>
        <v>6</v>
      </c>
      <c r="AB7" s="13">
        <f>IF(멍텅JB하부늘치=1,AA7,'멍텅(실측)'!X7-멍텅늘치차감)</f>
        <v>6</v>
      </c>
      <c r="AC7" s="11" t="str">
        <f t="shared" ref="AC7" si="1">AR7&amp;"*"&amp;AS7</f>
        <v>974*395.4</v>
      </c>
      <c r="AD7" s="12" t="str">
        <f t="shared" ref="AD7" si="2">AU7&amp;"*"&amp;AT7</f>
        <v>2094*399.2</v>
      </c>
      <c r="AE7" s="10" t="str">
        <f t="shared" ref="AE7" si="3">AW7&amp;"*"&amp;AV7</f>
        <v>2094*399.2</v>
      </c>
      <c r="AF7" s="4">
        <f>IF('멍텅(실측)'!Y7&gt;5,'멍텅(실측)'!Y7+뒷날개치수더함,'멍텅(실측)'!Y7)</f>
        <v>20</v>
      </c>
      <c r="AG7" s="4">
        <f>'멍텅(실측)'!Z7</f>
        <v>10</v>
      </c>
      <c r="AH7" s="4">
        <f>'멍텅(실측)'!AA7</f>
        <v>10</v>
      </c>
      <c r="AI7" s="31">
        <f>IF('멍텅(실측)'!AB7&gt;0,'멍텅(실측)'!AB7-'멍텅(실측)'!S7+1.2,0)</f>
        <v>6.2</v>
      </c>
      <c r="AJ7" s="31">
        <f>IF('멍텅(실측)'!AC7&gt;0,'멍텅(실측)'!AC7-'멍텅(실측)'!S7+1.2,0)</f>
        <v>6.2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8.7608157279257623E-2</v>
      </c>
      <c r="AO7" s="36">
        <f t="shared" ref="AO7:AO17" si="5">IF(소장="박철우",E7-COS(RADIANS(AN7))*G7+2,E7-COS(RADIANS(AN7))*G7)</f>
        <v>3.8226232663873816E-4</v>
      </c>
      <c r="AP7" s="36">
        <f t="shared" ref="AP7:AP17" si="6">IF(소장="박철우",F7-COS(RADIANS(AN7))*I7+2,F7-COS(RADIANS(AN7))*I7)</f>
        <v>3.8226232663873816E-4</v>
      </c>
      <c r="AQ7" s="46" t="str">
        <f t="shared" ref="AQ7" si="7">IF(E7+Y7&lt;&gt;F7+AA7,"JD비대칭","")</f>
        <v/>
      </c>
      <c r="AR7" s="3">
        <f>D7 + IF(U7+V7&gt;0, K7+L7,0)</f>
        <v>974</v>
      </c>
      <c r="AS7" s="3">
        <f>U7+MAX(E7,F7)+W7+V7-1.2*$AC$3+IF(AZ7=0,MAX(Y7,AA7))+IF(V7=0,1.2,0)</f>
        <v>395.4</v>
      </c>
      <c r="AT7" s="3">
        <f>O7+M7+MAX(G7,H7)+X7-1.2*$AE$3+IF(AZ7=0,MAX(Y7,Z7))+IF(O7=0,1.2,0)-IF(AH7=90,2.4,0)</f>
        <v>399.2</v>
      </c>
      <c r="AU7" s="3">
        <f t="shared" ref="AU7" si="8">MAX(Q7,R7)</f>
        <v>2094</v>
      </c>
      <c r="AV7" s="3">
        <f>P7+N7+MAX(I7,J7)+X7-1.2*$AE$3+IF(AZ7=0,MAX(AA7,AB7))+IF(P7=0,1.2,0)-IF(AH7=90,2.4,0)</f>
        <v>399.2</v>
      </c>
      <c r="AW7" s="3">
        <f t="shared" ref="AW7" si="9">MAX(S7,T7)</f>
        <v>2094</v>
      </c>
      <c r="AX7">
        <f t="shared" ref="AX7" si="10">G7-E7</f>
        <v>0</v>
      </c>
      <c r="AY7">
        <f t="shared" ref="AY7" si="11">9-V7</f>
        <v>0</v>
      </c>
      <c r="AZ7" s="79">
        <f>IF(AND(MIN(Y7,AA7)&gt;=9.2,D7-C7&gt;15),0,1)</f>
        <v>1</v>
      </c>
      <c r="BA7" s="83">
        <f>IF(소장="손상민",'멍텅(실측)'!AD7,0)</f>
        <v>0</v>
      </c>
    </row>
    <row r="8" spans="1:53" ht="26.25" customHeight="1" x14ac:dyDescent="0.3">
      <c r="A8" s="4">
        <f>'멍텅(실측)'!A8</f>
        <v>0</v>
      </c>
      <c r="B8" s="4" t="str">
        <f>'멍텅(실측)'!B8&amp;"F"</f>
        <v>9F</v>
      </c>
      <c r="C8" s="4">
        <f>'멍텅(실측)'!C8-멍텅OP</f>
        <v>898</v>
      </c>
      <c r="D8" s="4">
        <f>'멍텅(실측)'!D8-멍텅R</f>
        <v>900</v>
      </c>
      <c r="E8" s="50">
        <f>'멍텅(실측)'!E8+MAX(AK8,AL8)+IF(AZ8=1,Y8,0)+멍텅JBJD늘림치수</f>
        <v>327</v>
      </c>
      <c r="F8" s="50">
        <f>'멍텅(실측)'!F8+MAX(AK8,AL8)+IF(AZ8=1,AA8,0)+멍텅JBJD늘림치수</f>
        <v>327</v>
      </c>
      <c r="G8" s="50">
        <f>'멍텅(실측)'!G8+AK8+IF(AZ8=1,Y8,0)+멍텅JB강제키움+멍텅JBJD늘림치수</f>
        <v>327</v>
      </c>
      <c r="H8" s="50">
        <f>'멍텅(실측)'!G8+AK8+IF(AZ8=1,Z8,0)+멍텅JB강제키움+멍텅JBJD늘림치수-IF(멍텅JB하부늘치=1,'멍텅(실측)'!U8-'멍텅(실측)'!V8,0)</f>
        <v>327</v>
      </c>
      <c r="I8" s="50">
        <f>'멍텅(실측)'!H8+AL8+IF(AZ8=1,AA8,0)+멍텅JB강제키움+멍텅JBJD늘림치수</f>
        <v>327</v>
      </c>
      <c r="J8" s="50">
        <f>'멍텅(실측)'!H8+AL8+IF(AZ8=1,AB8,0)+멍텅JB강제키움+멍텅JBJD늘림치수-IF(멍텅JB하부늘치=1,'멍텅(실측)'!W8-'멍텅(실측)'!X8,0)</f>
        <v>327</v>
      </c>
      <c r="K8" s="4">
        <f t="shared" ref="K8:K17" si="12">M8+IF(소장="손상민",0,-1.5)</f>
        <v>36.5</v>
      </c>
      <c r="L8" s="4">
        <f t="shared" ref="L8:L17" si="13">N8+IF(소장="손상민",0,-1.5)</f>
        <v>36.5</v>
      </c>
      <c r="M8" s="4">
        <f>IF(O8&gt;0,'멍텅(실측)'!I8+멍텅C늘림,'멍텅(실측)'!I8+1)</f>
        <v>38</v>
      </c>
      <c r="N8" s="4">
        <f>IF(P8&gt;0,'멍텅(실측)'!J8+멍텅C늘림,'멍텅(실측)'!J8+1)</f>
        <v>38</v>
      </c>
      <c r="O8" s="4">
        <f>IF(ISNUMBER('멍텅(실측)'!K8),'멍텅(실측)'!K8+멍텅제작!AK8+멍텅A늘림,0)</f>
        <v>9</v>
      </c>
      <c r="P8" s="4">
        <f>IF(ISNUMBER('멍텅(실측)'!L8),'멍텅(실측)'!L8+멍텅제작!AL8+멍텅A늘림,0)</f>
        <v>9</v>
      </c>
      <c r="Q8" s="4">
        <f>'멍텅(실측)'!M8-멍텅기둥차감</f>
        <v>2100</v>
      </c>
      <c r="R8" s="4">
        <f>'멍텅(실측)'!N8-멍텅기둥차감</f>
        <v>2090</v>
      </c>
      <c r="S8" s="4">
        <f>'멍텅(실측)'!O8-멍텅기둥차감</f>
        <v>2100</v>
      </c>
      <c r="T8" s="4">
        <f>'멍텅(실측)'!P8-멍텅기둥차감</f>
        <v>2090</v>
      </c>
      <c r="U8" s="4">
        <f>IF(ISNUMBER('멍텅(실측)'!Q8),IF(V8&gt;0,'멍텅(실측)'!Q8+멍텅U늘림,'멍텅(실측)'!Q8+1.2),0)</f>
        <v>38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9</v>
      </c>
      <c r="W8" s="4">
        <f>'멍텅(실측)'!S8+뒷날개치수더함</f>
        <v>25</v>
      </c>
      <c r="X8" s="4">
        <f>'멍텅(실측)'!T8+뒷날개치수더함</f>
        <v>30</v>
      </c>
      <c r="Y8" s="13">
        <f>'멍텅(실측)'!U8-멍텅늘치차감</f>
        <v>6</v>
      </c>
      <c r="Z8" s="13">
        <f>IF(멍텅JB하부늘치=1,Y8,'멍텅(실측)'!V8-멍텅늘치차감)</f>
        <v>6</v>
      </c>
      <c r="AA8" s="13">
        <f>'멍텅(실측)'!W8-멍텅늘치차감</f>
        <v>6</v>
      </c>
      <c r="AB8" s="13">
        <f>IF(멍텅JB하부늘치=1,AA8,'멍텅(실측)'!X8-멍텅늘치차감)</f>
        <v>6</v>
      </c>
      <c r="AC8" s="11" t="str">
        <f t="shared" ref="AC8:AC17" si="14">AR8&amp;"*"&amp;AS8</f>
        <v>973*395.4</v>
      </c>
      <c r="AD8" s="12" t="str">
        <f t="shared" ref="AD8:AD17" si="15">AU8&amp;"*"&amp;AT8</f>
        <v>2100*399.2</v>
      </c>
      <c r="AE8" s="10" t="str">
        <f t="shared" ref="AE8:AE17" si="16">AW8&amp;"*"&amp;AV8</f>
        <v>2100*399.2</v>
      </c>
      <c r="AF8" s="4">
        <f>IF('멍텅(실측)'!Y8&gt;5,'멍텅(실측)'!Y8+뒷날개치수더함,'멍텅(실측)'!Y8)</f>
        <v>20</v>
      </c>
      <c r="AG8" s="4">
        <f>'멍텅(실측)'!Z8</f>
        <v>10</v>
      </c>
      <c r="AH8" s="4">
        <f>'멍텅(실측)'!AA8</f>
        <v>10</v>
      </c>
      <c r="AI8" s="31">
        <f>IF('멍텅(실측)'!AB8&gt;0,'멍텅(실측)'!AB8-'멍텅(실측)'!S8+1.2,0)</f>
        <v>6.2</v>
      </c>
      <c r="AJ8" s="31">
        <f>IF('멍텅(실측)'!AC8&gt;0,'멍텅(실측)'!AC8-'멍텅(실측)'!S8+1.2,0)</f>
        <v>6.2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0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0</v>
      </c>
      <c r="AM8" s="16"/>
      <c r="AN8" s="17">
        <f t="shared" ref="AN8:AN17" si="17">DEGREES(ATAN((D8-C8)/2/(E8)))</f>
        <v>0.17521590490532912</v>
      </c>
      <c r="AO8" s="36">
        <f t="shared" si="5"/>
        <v>1.529041263097497E-3</v>
      </c>
      <c r="AP8" s="36">
        <f t="shared" si="6"/>
        <v>1.529041263097497E-3</v>
      </c>
      <c r="AQ8" s="46" t="str">
        <f t="shared" ref="AQ8:AQ17" si="18">IF(E8+Y8&lt;&gt;F8+AA8,"JD비대칭","")</f>
        <v/>
      </c>
      <c r="AR8" s="3">
        <f t="shared" ref="AR8:AR17" si="19">D8 + IF(U8+V8&gt;0, K8+L8,0)</f>
        <v>973</v>
      </c>
      <c r="AS8" s="3">
        <f t="shared" ref="AS8:AS17" si="20">U8+MAX(E8,F8)+W8+V8-1.2*$AC$3+IF(AZ8=0,MAX(Y8,AA8))+IF(V8=0,1.2,0)</f>
        <v>395.4</v>
      </c>
      <c r="AT8" s="3">
        <f t="shared" ref="AT8:AT17" si="21">O8+M8+MAX(G8,H8)+X8-1.2*$AE$3+IF(AZ8=0,MAX(Y8,Z8))+IF(O8=0,1.2,0)-IF(AH8=90,2.4,0)</f>
        <v>399.2</v>
      </c>
      <c r="AU8" s="3">
        <f t="shared" ref="AU8:AU17" si="22">MAX(Q8,R8)</f>
        <v>2100</v>
      </c>
      <c r="AV8" s="3">
        <f t="shared" ref="AV8:AV17" si="23">P8+N8+MAX(I8,J8)+X8-1.2*$AE$3+IF(AZ8=0,MAX(AA8,AB8))+IF(P8=0,1.2,0)-IF(AH8=90,2.4,0)</f>
        <v>399.2</v>
      </c>
      <c r="AW8" s="3">
        <f t="shared" ref="AW8:AW17" si="24">MAX(S8,T8)</f>
        <v>2100</v>
      </c>
      <c r="AX8">
        <f t="shared" ref="AX8:AX17" si="25">G8-E8</f>
        <v>0</v>
      </c>
      <c r="AY8">
        <f t="shared" ref="AY8:AY17" si="26">9-V8</f>
        <v>0</v>
      </c>
      <c r="AZ8" s="79">
        <f t="shared" ref="AZ8:AZ17" si="27">IF(AND(MIN(Y8,AA8)&gt;=9.2,D8-C8&gt;15),0,1)</f>
        <v>1</v>
      </c>
      <c r="BA8" s="83">
        <f>IF(소장="손상민",'멍텅(실측)'!AD8,0)</f>
        <v>0</v>
      </c>
    </row>
    <row r="9" spans="1:53" ht="26.25" customHeight="1" x14ac:dyDescent="0.3">
      <c r="A9" s="4">
        <f>'멍텅(실측)'!A9</f>
        <v>0</v>
      </c>
      <c r="B9" s="4" t="str">
        <f>'멍텅(실측)'!B9&amp;"F"</f>
        <v>8F</v>
      </c>
      <c r="C9" s="4">
        <f>'멍텅(실측)'!C9-멍텅OP</f>
        <v>898</v>
      </c>
      <c r="D9" s="4">
        <f>'멍텅(실측)'!D9-멍텅R</f>
        <v>898</v>
      </c>
      <c r="E9" s="50">
        <f>'멍텅(실측)'!E9+MAX(AK9,AL9)+IF(AZ9=1,Y9,0)+멍텅JBJD늘림치수</f>
        <v>327</v>
      </c>
      <c r="F9" s="50">
        <f>'멍텅(실측)'!F9+MAX(AK9,AL9)+IF(AZ9=1,AA9,0)+멍텅JBJD늘림치수</f>
        <v>327</v>
      </c>
      <c r="G9" s="50">
        <f>'멍텅(실측)'!G9+AK9+IF(AZ9=1,Y9,0)+멍텅JB강제키움+멍텅JBJD늘림치수</f>
        <v>327</v>
      </c>
      <c r="H9" s="50">
        <f>'멍텅(실측)'!G9+AK9+IF(AZ9=1,Z9,0)+멍텅JB강제키움+멍텅JBJD늘림치수-IF(멍텅JB하부늘치=1,'멍텅(실측)'!U9-'멍텅(실측)'!V9,0)</f>
        <v>327</v>
      </c>
      <c r="I9" s="50">
        <f>'멍텅(실측)'!H9+AL9+IF(AZ9=1,AA9,0)+멍텅JB강제키움+멍텅JBJD늘림치수</f>
        <v>327</v>
      </c>
      <c r="J9" s="50">
        <f>'멍텅(실측)'!H9+AL9+IF(AZ9=1,AB9,0)+멍텅JB강제키움+멍텅JBJD늘림치수-IF(멍텅JB하부늘치=1,'멍텅(실측)'!W9-'멍텅(실측)'!X9,0)</f>
        <v>327</v>
      </c>
      <c r="K9" s="4">
        <f t="shared" si="12"/>
        <v>36.5</v>
      </c>
      <c r="L9" s="4">
        <f t="shared" si="13"/>
        <v>36.5</v>
      </c>
      <c r="M9" s="4">
        <f>IF(O9&gt;0,'멍텅(실측)'!I9+멍텅C늘림,'멍텅(실측)'!I9+1)</f>
        <v>38</v>
      </c>
      <c r="N9" s="4">
        <f>IF(P9&gt;0,'멍텅(실측)'!J9+멍텅C늘림,'멍텅(실측)'!J9+1)</f>
        <v>38</v>
      </c>
      <c r="O9" s="4">
        <f>IF(ISNUMBER('멍텅(실측)'!K9),'멍텅(실측)'!K9+멍텅제작!AK9+멍텅A늘림,0)</f>
        <v>9</v>
      </c>
      <c r="P9" s="4">
        <f>IF(ISNUMBER('멍텅(실측)'!L9),'멍텅(실측)'!L9+멍텅제작!AL9+멍텅A늘림,0)</f>
        <v>9</v>
      </c>
      <c r="Q9" s="4">
        <f>'멍텅(실측)'!M9-멍텅기둥차감</f>
        <v>2095</v>
      </c>
      <c r="R9" s="4">
        <f>'멍텅(실측)'!N9-멍텅기둥차감</f>
        <v>2090</v>
      </c>
      <c r="S9" s="4">
        <f>'멍텅(실측)'!O9-멍텅기둥차감</f>
        <v>2095</v>
      </c>
      <c r="T9" s="4">
        <f>'멍텅(실측)'!P9-멍텅기둥차감</f>
        <v>2090</v>
      </c>
      <c r="U9" s="4">
        <f>IF(ISNUMBER('멍텅(실측)'!Q9),IF(V9&gt;0,'멍텅(실측)'!Q9+멍텅U늘림,'멍텅(실측)'!Q9+1.2),0)</f>
        <v>38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9</v>
      </c>
      <c r="W9" s="4">
        <f>'멍텅(실측)'!S9+뒷날개치수더함</f>
        <v>25</v>
      </c>
      <c r="X9" s="4">
        <f>'멍텅(실측)'!T9+뒷날개치수더함</f>
        <v>30</v>
      </c>
      <c r="Y9" s="13">
        <f>'멍텅(실측)'!U9-멍텅늘치차감</f>
        <v>6</v>
      </c>
      <c r="Z9" s="13">
        <f>IF(멍텅JB하부늘치=1,Y9,'멍텅(실측)'!V9-멍텅늘치차감)</f>
        <v>6</v>
      </c>
      <c r="AA9" s="13">
        <f>'멍텅(실측)'!W9-멍텅늘치차감</f>
        <v>6</v>
      </c>
      <c r="AB9" s="13">
        <f>IF(멍텅JB하부늘치=1,AA9,'멍텅(실측)'!X9-멍텅늘치차감)</f>
        <v>6</v>
      </c>
      <c r="AC9" s="11" t="str">
        <f t="shared" si="14"/>
        <v>971*395.4</v>
      </c>
      <c r="AD9" s="12" t="str">
        <f t="shared" si="15"/>
        <v>2095*399.2</v>
      </c>
      <c r="AE9" s="10" t="str">
        <f t="shared" si="16"/>
        <v>2095*399.2</v>
      </c>
      <c r="AF9" s="4">
        <f>IF('멍텅(실측)'!Y9&gt;5,'멍텅(실측)'!Y9+뒷날개치수더함,'멍텅(실측)'!Y9)</f>
        <v>20</v>
      </c>
      <c r="AG9" s="4">
        <f>'멍텅(실측)'!Z9</f>
        <v>10</v>
      </c>
      <c r="AH9" s="4">
        <f>'멍텅(실측)'!AA9</f>
        <v>10</v>
      </c>
      <c r="AI9" s="31">
        <f>IF('멍텅(실측)'!AB9&gt;0,'멍텅(실측)'!AB9-'멍텅(실측)'!S9+1.2,0)</f>
        <v>6.2</v>
      </c>
      <c r="AJ9" s="31">
        <f>IF('멍텅(실측)'!AC9&gt;0,'멍텅(실측)'!AC9-'멍텅(실측)'!S9+1.2,0)</f>
        <v>6.2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0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0</v>
      </c>
      <c r="AM9" s="16"/>
      <c r="AN9" s="17">
        <f t="shared" si="17"/>
        <v>0</v>
      </c>
      <c r="AO9" s="36">
        <f t="shared" si="5"/>
        <v>0</v>
      </c>
      <c r="AP9" s="36">
        <f t="shared" si="6"/>
        <v>0</v>
      </c>
      <c r="AQ9" s="46" t="str">
        <f t="shared" si="18"/>
        <v/>
      </c>
      <c r="AR9" s="3">
        <f t="shared" si="19"/>
        <v>971</v>
      </c>
      <c r="AS9" s="3">
        <f t="shared" si="20"/>
        <v>395.4</v>
      </c>
      <c r="AT9" s="3">
        <f t="shared" si="21"/>
        <v>399.2</v>
      </c>
      <c r="AU9" s="3">
        <f t="shared" si="22"/>
        <v>2095</v>
      </c>
      <c r="AV9" s="3">
        <f t="shared" si="23"/>
        <v>399.2</v>
      </c>
      <c r="AW9" s="3">
        <f t="shared" si="24"/>
        <v>2095</v>
      </c>
      <c r="AX9">
        <f t="shared" si="25"/>
        <v>0</v>
      </c>
      <c r="AY9">
        <f t="shared" si="26"/>
        <v>0</v>
      </c>
      <c r="AZ9" s="79">
        <f t="shared" si="27"/>
        <v>1</v>
      </c>
      <c r="BA9" s="83">
        <f>IF(소장="손상민",'멍텅(실측)'!AD9,0)</f>
        <v>0</v>
      </c>
    </row>
    <row r="10" spans="1:53" ht="26.25" customHeight="1" x14ac:dyDescent="0.3">
      <c r="A10" s="4">
        <f>'멍텅(실측)'!A10</f>
        <v>0</v>
      </c>
      <c r="B10" s="4" t="str">
        <f>'멍텅(실측)'!B10&amp;"F"</f>
        <v>7F</v>
      </c>
      <c r="C10" s="4">
        <f>'멍텅(실측)'!C10-멍텅OP</f>
        <v>898</v>
      </c>
      <c r="D10" s="4">
        <f>'멍텅(실측)'!D10-멍텅R</f>
        <v>902</v>
      </c>
      <c r="E10" s="50">
        <f>'멍텅(실측)'!E10+MAX(AK10,AL10)+IF(AZ10=1,Y10,0)+멍텅JBJD늘림치수</f>
        <v>327</v>
      </c>
      <c r="F10" s="50">
        <f>'멍텅(실측)'!F10+MAX(AK10,AL10)+IF(AZ10=1,AA10,0)+멍텅JBJD늘림치수</f>
        <v>327</v>
      </c>
      <c r="G10" s="50">
        <f>'멍텅(실측)'!G10+AK10+IF(AZ10=1,Y10,0)+멍텅JB강제키움+멍텅JBJD늘림치수</f>
        <v>327</v>
      </c>
      <c r="H10" s="50">
        <f>'멍텅(실측)'!G10+AK10+IF(AZ10=1,Z10,0)+멍텅JB강제키움+멍텅JBJD늘림치수-IF(멍텅JB하부늘치=1,'멍텅(실측)'!U10-'멍텅(실측)'!V10,0)</f>
        <v>327</v>
      </c>
      <c r="I10" s="50">
        <f>'멍텅(실측)'!H10+AL10+IF(AZ10=1,AA10,0)+멍텅JB강제키움+멍텅JBJD늘림치수</f>
        <v>327</v>
      </c>
      <c r="J10" s="50">
        <f>'멍텅(실측)'!H10+AL10+IF(AZ10=1,AB10,0)+멍텅JB강제키움+멍텅JBJD늘림치수-IF(멍텅JB하부늘치=1,'멍텅(실측)'!W10-'멍텅(실측)'!X10,0)</f>
        <v>327</v>
      </c>
      <c r="K10" s="4">
        <f t="shared" si="12"/>
        <v>36.5</v>
      </c>
      <c r="L10" s="4">
        <f t="shared" si="13"/>
        <v>36.5</v>
      </c>
      <c r="M10" s="4">
        <f>IF(O10&gt;0,'멍텅(실측)'!I10+멍텅C늘림,'멍텅(실측)'!I10+1)</f>
        <v>38</v>
      </c>
      <c r="N10" s="4">
        <f>IF(P10&gt;0,'멍텅(실측)'!J10+멍텅C늘림,'멍텅(실측)'!J10+1)</f>
        <v>38</v>
      </c>
      <c r="O10" s="4">
        <f>IF(ISNUMBER('멍텅(실측)'!K10),'멍텅(실측)'!K10+멍텅제작!AK10+멍텅A늘림,0)</f>
        <v>9</v>
      </c>
      <c r="P10" s="4">
        <f>IF(ISNUMBER('멍텅(실측)'!L10),'멍텅(실측)'!L10+멍텅제작!AL10+멍텅A늘림,0)</f>
        <v>9</v>
      </c>
      <c r="Q10" s="4">
        <f>'멍텅(실측)'!M10-멍텅기둥차감</f>
        <v>2099</v>
      </c>
      <c r="R10" s="4">
        <f>'멍텅(실측)'!N10-멍텅기둥차감</f>
        <v>2089</v>
      </c>
      <c r="S10" s="4">
        <f>'멍텅(실측)'!O10-멍텅기둥차감</f>
        <v>2099</v>
      </c>
      <c r="T10" s="4">
        <f>'멍텅(실측)'!P10-멍텅기둥차감</f>
        <v>2089</v>
      </c>
      <c r="U10" s="4">
        <f>IF(ISNUMBER('멍텅(실측)'!Q10),IF(V10&gt;0,'멍텅(실측)'!Q10+멍텅U늘림,'멍텅(실측)'!Q10+1.2),0)</f>
        <v>38</v>
      </c>
      <c r="V10" s="4">
        <f>IF(OR(멍텅G="", 멍텅G=0),IF(ISNUMBER('멍텅(실측)'!R10),IF('멍텅(실측)'!R10+멍텅A늘림+MAX(AK10,AL10)&gt;9,'멍텅(실측)'!R10+멍텅A늘림+MAX(AK10,AL10),'멍텅(실측)'!R10+멍텅A늘림+MAX(AK10,AL10)),0),멍텅G)</f>
        <v>9</v>
      </c>
      <c r="W10" s="4">
        <f>'멍텅(실측)'!S10+뒷날개치수더함</f>
        <v>25</v>
      </c>
      <c r="X10" s="4">
        <f>'멍텅(실측)'!T10+뒷날개치수더함</f>
        <v>30</v>
      </c>
      <c r="Y10" s="13">
        <f>'멍텅(실측)'!U10-멍텅늘치차감</f>
        <v>6</v>
      </c>
      <c r="Z10" s="13">
        <f>IF(멍텅JB하부늘치=1,Y10,'멍텅(실측)'!V10-멍텅늘치차감)</f>
        <v>6</v>
      </c>
      <c r="AA10" s="13">
        <f>'멍텅(실측)'!W10-멍텅늘치차감</f>
        <v>6</v>
      </c>
      <c r="AB10" s="13">
        <f>IF(멍텅JB하부늘치=1,AA10,'멍텅(실측)'!X10-멍텅늘치차감)</f>
        <v>6</v>
      </c>
      <c r="AC10" s="11" t="str">
        <f t="shared" si="14"/>
        <v>975*395.4</v>
      </c>
      <c r="AD10" s="12" t="str">
        <f t="shared" si="15"/>
        <v>2099*399.2</v>
      </c>
      <c r="AE10" s="10" t="str">
        <f t="shared" si="16"/>
        <v>2099*399.2</v>
      </c>
      <c r="AF10" s="4">
        <f>IF('멍텅(실측)'!Y10&gt;5,'멍텅(실측)'!Y10+뒷날개치수더함,'멍텅(실측)'!Y10)</f>
        <v>20</v>
      </c>
      <c r="AG10" s="4">
        <f>'멍텅(실측)'!Z10</f>
        <v>10</v>
      </c>
      <c r="AH10" s="4">
        <f>'멍텅(실측)'!AA10</f>
        <v>10</v>
      </c>
      <c r="AI10" s="31">
        <f>IF('멍텅(실측)'!AB10&gt;0,'멍텅(실측)'!AB10-'멍텅(실측)'!S10+1.2,0)</f>
        <v>6.2</v>
      </c>
      <c r="AJ10" s="31">
        <f>IF('멍텅(실측)'!AC10&gt;0,'멍텅(실측)'!AC10-'멍텅(실측)'!S10+1.2,0)</f>
        <v>6.2</v>
      </c>
      <c r="AK10" s="3">
        <f>IF(AND(ISNUMBER('멍텅(실측)'!L10),ISNUMBER('멍텅(실측)'!K10)),IF(ISNUMBER('멍텅(실측)'!K10),IF(9-MIN('멍텅(실측)'!K10+멍텅A늘림,'멍텅(실측)'!L10+멍텅A늘림)&lt;AM10,AM10,9-MIN('멍텅(실측)'!K10+멍텅A늘림,'멍텅(실측)'!L10+멍텅A늘림) + AM10 ),0),IF(ISNUMBER('멍텅(실측)'!K10),IF(9-'멍텅(실측)'!K10-멍텅A늘림+AM10&lt;AM10,AM10,9-'멍텅(실측)'!K10-멍텅A늘림+AM10),0))</f>
        <v>0</v>
      </c>
      <c r="AL10" s="3">
        <f>IF(AND(ISNUMBER('멍텅(실측)'!K10),ISNUMBER('멍텅(실측)'!L10)),IF(ISNUMBER('멍텅(실측)'!L10),IF(9-MIN('멍텅(실측)'!L10+멍텅A늘림,'멍텅(실측)'!K10+멍텅A늘림)+AM10&lt;AM10,AM10,9-MIN('멍텅(실측)'!L10+멍텅A늘림,'멍텅(실측)'!K10+멍텅A늘림)+AM10),0),IF(ISNUMBER('멍텅(실측)'!L10),IF(9-'멍텅(실측)'!L10-멍텅A늘림+AM10&lt;AM10,AM10,9-'멍텅(실측)'!L10-멍텅A늘림+AM10),0))</f>
        <v>0</v>
      </c>
      <c r="AM10" s="16"/>
      <c r="AN10" s="17">
        <f t="shared" si="17"/>
        <v>0.35042853265412682</v>
      </c>
      <c r="AO10" s="36">
        <f t="shared" si="5"/>
        <v>6.1160363600833989E-3</v>
      </c>
      <c r="AP10" s="36">
        <f t="shared" si="6"/>
        <v>6.1160363600833989E-3</v>
      </c>
      <c r="AQ10" s="46" t="str">
        <f t="shared" si="18"/>
        <v/>
      </c>
      <c r="AR10" s="3">
        <f t="shared" si="19"/>
        <v>975</v>
      </c>
      <c r="AS10" s="3">
        <f t="shared" si="20"/>
        <v>395.4</v>
      </c>
      <c r="AT10" s="3">
        <f t="shared" si="21"/>
        <v>399.2</v>
      </c>
      <c r="AU10" s="3">
        <f t="shared" si="22"/>
        <v>2099</v>
      </c>
      <c r="AV10" s="3">
        <f t="shared" si="23"/>
        <v>399.2</v>
      </c>
      <c r="AW10" s="3">
        <f t="shared" si="24"/>
        <v>2099</v>
      </c>
      <c r="AX10">
        <f t="shared" si="25"/>
        <v>0</v>
      </c>
      <c r="AY10">
        <f t="shared" si="26"/>
        <v>0</v>
      </c>
      <c r="AZ10" s="79">
        <f t="shared" si="27"/>
        <v>1</v>
      </c>
      <c r="BA10" s="83">
        <f>IF(소장="손상민",'멍텅(실측)'!AD10,0)</f>
        <v>0</v>
      </c>
    </row>
    <row r="11" spans="1:53" ht="26.25" customHeight="1" x14ac:dyDescent="0.3">
      <c r="A11" s="4">
        <f>'멍텅(실측)'!A11</f>
        <v>0</v>
      </c>
      <c r="B11" s="4" t="str">
        <f>'멍텅(실측)'!B11&amp;"F"</f>
        <v>6F</v>
      </c>
      <c r="C11" s="4">
        <f>'멍텅(실측)'!C11-멍텅OP</f>
        <v>898</v>
      </c>
      <c r="D11" s="4">
        <f>'멍텅(실측)'!D11-멍텅R</f>
        <v>898</v>
      </c>
      <c r="E11" s="50">
        <f>'멍텅(실측)'!E11+MAX(AK11,AL11)+IF(AZ11=1,Y11,0)+멍텅JBJD늘림치수</f>
        <v>327</v>
      </c>
      <c r="F11" s="50">
        <f>'멍텅(실측)'!F11+MAX(AK11,AL11)+IF(AZ11=1,AA11,0)+멍텅JBJD늘림치수</f>
        <v>327</v>
      </c>
      <c r="G11" s="50">
        <f>'멍텅(실측)'!G11+AK11+IF(AZ11=1,Y11,0)+멍텅JB강제키움+멍텅JBJD늘림치수</f>
        <v>327</v>
      </c>
      <c r="H11" s="50">
        <f>'멍텅(실측)'!G11+AK11+IF(AZ11=1,Z11,0)+멍텅JB강제키움+멍텅JBJD늘림치수-IF(멍텅JB하부늘치=1,'멍텅(실측)'!U11-'멍텅(실측)'!V11,0)</f>
        <v>327</v>
      </c>
      <c r="I11" s="50">
        <f>'멍텅(실측)'!H11+AL11+IF(AZ11=1,AA11,0)+멍텅JB강제키움+멍텅JBJD늘림치수</f>
        <v>327</v>
      </c>
      <c r="J11" s="50">
        <f>'멍텅(실측)'!H11+AL11+IF(AZ11=1,AB11,0)+멍텅JB강제키움+멍텅JBJD늘림치수-IF(멍텅JB하부늘치=1,'멍텅(실측)'!W11-'멍텅(실측)'!X11,0)</f>
        <v>327</v>
      </c>
      <c r="K11" s="4">
        <f t="shared" si="12"/>
        <v>36.5</v>
      </c>
      <c r="L11" s="4">
        <f t="shared" si="13"/>
        <v>36.5</v>
      </c>
      <c r="M11" s="4">
        <f>IF(O11&gt;0,'멍텅(실측)'!I11+멍텅C늘림,'멍텅(실측)'!I11+1)</f>
        <v>38</v>
      </c>
      <c r="N11" s="4">
        <f>IF(P11&gt;0,'멍텅(실측)'!J11+멍텅C늘림,'멍텅(실측)'!J11+1)</f>
        <v>38</v>
      </c>
      <c r="O11" s="4">
        <f>IF(ISNUMBER('멍텅(실측)'!K11),'멍텅(실측)'!K11+멍텅제작!AK11+멍텅A늘림,0)</f>
        <v>9</v>
      </c>
      <c r="P11" s="4">
        <f>IF(ISNUMBER('멍텅(실측)'!L11),'멍텅(실측)'!L11+멍텅제작!AL11+멍텅A늘림,0)</f>
        <v>9</v>
      </c>
      <c r="Q11" s="4">
        <f>'멍텅(실측)'!M11-멍텅기둥차감</f>
        <v>2099</v>
      </c>
      <c r="R11" s="4">
        <f>'멍텅(실측)'!N11-멍텅기둥차감</f>
        <v>2091</v>
      </c>
      <c r="S11" s="4">
        <f>'멍텅(실측)'!O11-멍텅기둥차감</f>
        <v>2099</v>
      </c>
      <c r="T11" s="4">
        <f>'멍텅(실측)'!P11-멍텅기둥차감</f>
        <v>2090</v>
      </c>
      <c r="U11" s="4">
        <f>IF(ISNUMBER('멍텅(실측)'!Q11),IF(V11&gt;0,'멍텅(실측)'!Q11+멍텅U늘림,'멍텅(실측)'!Q11+1.2),0)</f>
        <v>38</v>
      </c>
      <c r="V11" s="4">
        <f>IF(OR(멍텅G="", 멍텅G=0),IF(ISNUMBER('멍텅(실측)'!R11),IF('멍텅(실측)'!R11+멍텅A늘림+MAX(AK11,AL11)&gt;9,'멍텅(실측)'!R11+멍텅A늘림+MAX(AK11,AL11),'멍텅(실측)'!R11+멍텅A늘림+MAX(AK11,AL11)),0),멍텅G)</f>
        <v>9</v>
      </c>
      <c r="W11" s="4">
        <f>'멍텅(실측)'!S11+뒷날개치수더함</f>
        <v>25</v>
      </c>
      <c r="X11" s="4">
        <f>'멍텅(실측)'!T11+뒷날개치수더함</f>
        <v>30</v>
      </c>
      <c r="Y11" s="13">
        <f>'멍텅(실측)'!U11-멍텅늘치차감</f>
        <v>6</v>
      </c>
      <c r="Z11" s="13">
        <f>IF(멍텅JB하부늘치=1,Y11,'멍텅(실측)'!V11-멍텅늘치차감)</f>
        <v>6</v>
      </c>
      <c r="AA11" s="13">
        <f>'멍텅(실측)'!W11-멍텅늘치차감</f>
        <v>6</v>
      </c>
      <c r="AB11" s="13">
        <f>IF(멍텅JB하부늘치=1,AA11,'멍텅(실측)'!X11-멍텅늘치차감)</f>
        <v>6</v>
      </c>
      <c r="AC11" s="11" t="str">
        <f t="shared" si="14"/>
        <v>971*395.4</v>
      </c>
      <c r="AD11" s="12" t="str">
        <f t="shared" si="15"/>
        <v>2099*399.2</v>
      </c>
      <c r="AE11" s="10" t="str">
        <f t="shared" si="16"/>
        <v>2099*399.2</v>
      </c>
      <c r="AF11" s="4">
        <f>IF('멍텅(실측)'!Y11&gt;5,'멍텅(실측)'!Y11+뒷날개치수더함,'멍텅(실측)'!Y11)</f>
        <v>20</v>
      </c>
      <c r="AG11" s="4">
        <f>'멍텅(실측)'!Z11</f>
        <v>10</v>
      </c>
      <c r="AH11" s="4">
        <f>'멍텅(실측)'!AA11</f>
        <v>10</v>
      </c>
      <c r="AI11" s="31">
        <f>IF('멍텅(실측)'!AB11&gt;0,'멍텅(실측)'!AB11-'멍텅(실측)'!S11+1.2,0)</f>
        <v>6.2</v>
      </c>
      <c r="AJ11" s="31">
        <f>IF('멍텅(실측)'!AC11&gt;0,'멍텅(실측)'!AC11-'멍텅(실측)'!S11+1.2,0)</f>
        <v>6.2</v>
      </c>
      <c r="AK11" s="3">
        <f>IF(AND(ISNUMBER('멍텅(실측)'!L11),ISNUMBER('멍텅(실측)'!K11)),IF(ISNUMBER('멍텅(실측)'!K11),IF(9-MIN('멍텅(실측)'!K11+멍텅A늘림,'멍텅(실측)'!L11+멍텅A늘림)&lt;AM11,AM11,9-MIN('멍텅(실측)'!K11+멍텅A늘림,'멍텅(실측)'!L11+멍텅A늘림) + AM11 ),0),IF(ISNUMBER('멍텅(실측)'!K11),IF(9-'멍텅(실측)'!K11-멍텅A늘림+AM11&lt;AM11,AM11,9-'멍텅(실측)'!K11-멍텅A늘림+AM11),0))</f>
        <v>0</v>
      </c>
      <c r="AL11" s="3">
        <f>IF(AND(ISNUMBER('멍텅(실측)'!K11),ISNUMBER('멍텅(실측)'!L11)),IF(ISNUMBER('멍텅(실측)'!L11),IF(9-MIN('멍텅(실측)'!L11+멍텅A늘림,'멍텅(실측)'!K11+멍텅A늘림)+AM11&lt;AM11,AM11,9-MIN('멍텅(실측)'!L11+멍텅A늘림,'멍텅(실측)'!K11+멍텅A늘림)+AM11),0),IF(ISNUMBER('멍텅(실측)'!L11),IF(9-'멍텅(실측)'!L11-멍텅A늘림+AM11&lt;AM11,AM11,9-'멍텅(실측)'!L11-멍텅A늘림+AM11),0))</f>
        <v>0</v>
      </c>
      <c r="AM11" s="16"/>
      <c r="AN11" s="17">
        <f t="shared" si="17"/>
        <v>0</v>
      </c>
      <c r="AO11" s="36">
        <f t="shared" si="5"/>
        <v>0</v>
      </c>
      <c r="AP11" s="36">
        <f t="shared" si="6"/>
        <v>0</v>
      </c>
      <c r="AQ11" s="46" t="str">
        <f t="shared" si="18"/>
        <v/>
      </c>
      <c r="AR11" s="3">
        <f t="shared" si="19"/>
        <v>971</v>
      </c>
      <c r="AS11" s="3">
        <f t="shared" si="20"/>
        <v>395.4</v>
      </c>
      <c r="AT11" s="3">
        <f t="shared" si="21"/>
        <v>399.2</v>
      </c>
      <c r="AU11" s="3">
        <f t="shared" si="22"/>
        <v>2099</v>
      </c>
      <c r="AV11" s="3">
        <f t="shared" si="23"/>
        <v>399.2</v>
      </c>
      <c r="AW11" s="3">
        <f t="shared" si="24"/>
        <v>2099</v>
      </c>
      <c r="AX11">
        <f t="shared" si="25"/>
        <v>0</v>
      </c>
      <c r="AY11">
        <f t="shared" si="26"/>
        <v>0</v>
      </c>
      <c r="AZ11" s="79">
        <f t="shared" si="27"/>
        <v>1</v>
      </c>
      <c r="BA11" s="83">
        <f>IF(소장="손상민",'멍텅(실측)'!AD11,0)</f>
        <v>0</v>
      </c>
    </row>
    <row r="12" spans="1:53" ht="26.25" customHeight="1" x14ac:dyDescent="0.3">
      <c r="A12" s="4">
        <f>'멍텅(실측)'!A12</f>
        <v>0</v>
      </c>
      <c r="B12" s="4" t="str">
        <f>'멍텅(실측)'!B12&amp;"F"</f>
        <v>5F</v>
      </c>
      <c r="C12" s="4">
        <f>'멍텅(실측)'!C12-멍텅OP</f>
        <v>898</v>
      </c>
      <c r="D12" s="4">
        <f>'멍텅(실측)'!D12-멍텅R</f>
        <v>898</v>
      </c>
      <c r="E12" s="50">
        <f>'멍텅(실측)'!E12+MAX(AK12,AL12)+IF(AZ12=1,Y12,0)+멍텅JBJD늘림치수</f>
        <v>327</v>
      </c>
      <c r="F12" s="50">
        <f>'멍텅(실측)'!F12+MAX(AK12,AL12)+IF(AZ12=1,AA12,0)+멍텅JBJD늘림치수</f>
        <v>327</v>
      </c>
      <c r="G12" s="50">
        <f>'멍텅(실측)'!G12+AK12+IF(AZ12=1,Y12,0)+멍텅JB강제키움+멍텅JBJD늘림치수</f>
        <v>327</v>
      </c>
      <c r="H12" s="50">
        <f>'멍텅(실측)'!G12+AK12+IF(AZ12=1,Z12,0)+멍텅JB강제키움+멍텅JBJD늘림치수-IF(멍텅JB하부늘치=1,'멍텅(실측)'!U12-'멍텅(실측)'!V12,0)</f>
        <v>327</v>
      </c>
      <c r="I12" s="50">
        <f>'멍텅(실측)'!H12+AL12+IF(AZ12=1,AA12,0)+멍텅JB강제키움+멍텅JBJD늘림치수</f>
        <v>327</v>
      </c>
      <c r="J12" s="50">
        <f>'멍텅(실측)'!H12+AL12+IF(AZ12=1,AB12,0)+멍텅JB강제키움+멍텅JBJD늘림치수-IF(멍텅JB하부늘치=1,'멍텅(실측)'!W12-'멍텅(실측)'!X12,0)</f>
        <v>327</v>
      </c>
      <c r="K12" s="4">
        <f t="shared" si="12"/>
        <v>36.5</v>
      </c>
      <c r="L12" s="4">
        <f t="shared" si="13"/>
        <v>36.5</v>
      </c>
      <c r="M12" s="4">
        <f>IF(O12&gt;0,'멍텅(실측)'!I12+멍텅C늘림,'멍텅(실측)'!I12+1)</f>
        <v>38</v>
      </c>
      <c r="N12" s="4">
        <f>IF(P12&gt;0,'멍텅(실측)'!J12+멍텅C늘림,'멍텅(실측)'!J12+1)</f>
        <v>38</v>
      </c>
      <c r="O12" s="4">
        <f>IF(ISNUMBER('멍텅(실측)'!K12),'멍텅(실측)'!K12+멍텅제작!AK12+멍텅A늘림,0)</f>
        <v>9</v>
      </c>
      <c r="P12" s="4">
        <f>IF(ISNUMBER('멍텅(실측)'!L12),'멍텅(실측)'!L12+멍텅제작!AL12+멍텅A늘림,0)</f>
        <v>9</v>
      </c>
      <c r="Q12" s="4">
        <f>'멍텅(실측)'!M12-멍텅기둥차감</f>
        <v>2094</v>
      </c>
      <c r="R12" s="4">
        <f>'멍텅(실측)'!N12-멍텅기둥차감</f>
        <v>2090</v>
      </c>
      <c r="S12" s="4">
        <f>'멍텅(실측)'!O12-멍텅기둥차감</f>
        <v>2094</v>
      </c>
      <c r="T12" s="4">
        <f>'멍텅(실측)'!P12-멍텅기둥차감</f>
        <v>2089</v>
      </c>
      <c r="U12" s="4">
        <f>IF(ISNUMBER('멍텅(실측)'!Q12),IF(V12&gt;0,'멍텅(실측)'!Q12+멍텅U늘림,'멍텅(실측)'!Q12+1.2),0)</f>
        <v>38</v>
      </c>
      <c r="V12" s="4">
        <f>IF(OR(멍텅G="", 멍텅G=0),IF(ISNUMBER('멍텅(실측)'!R12),IF('멍텅(실측)'!R12+멍텅A늘림+MAX(AK12,AL12)&gt;9,'멍텅(실측)'!R12+멍텅A늘림+MAX(AK12,AL12),'멍텅(실측)'!R12+멍텅A늘림+MAX(AK12,AL12)),0),멍텅G)</f>
        <v>9</v>
      </c>
      <c r="W12" s="4">
        <f>'멍텅(실측)'!S12+뒷날개치수더함</f>
        <v>25</v>
      </c>
      <c r="X12" s="4">
        <f>'멍텅(실측)'!T12+뒷날개치수더함</f>
        <v>30</v>
      </c>
      <c r="Y12" s="13">
        <f>'멍텅(실측)'!U12-멍텅늘치차감</f>
        <v>6</v>
      </c>
      <c r="Z12" s="13">
        <f>IF(멍텅JB하부늘치=1,Y12,'멍텅(실측)'!V12-멍텅늘치차감)</f>
        <v>6</v>
      </c>
      <c r="AA12" s="13">
        <f>'멍텅(실측)'!W12-멍텅늘치차감</f>
        <v>6</v>
      </c>
      <c r="AB12" s="13">
        <f>IF(멍텅JB하부늘치=1,AA12,'멍텅(실측)'!X12-멍텅늘치차감)</f>
        <v>6</v>
      </c>
      <c r="AC12" s="11" t="str">
        <f t="shared" si="14"/>
        <v>971*395.4</v>
      </c>
      <c r="AD12" s="12" t="str">
        <f t="shared" si="15"/>
        <v>2094*399.2</v>
      </c>
      <c r="AE12" s="10" t="str">
        <f t="shared" si="16"/>
        <v>2094*399.2</v>
      </c>
      <c r="AF12" s="4">
        <f>IF('멍텅(실측)'!Y12&gt;5,'멍텅(실측)'!Y12+뒷날개치수더함,'멍텅(실측)'!Y12)</f>
        <v>20</v>
      </c>
      <c r="AG12" s="4">
        <f>'멍텅(실측)'!Z12</f>
        <v>10</v>
      </c>
      <c r="AH12" s="4">
        <f>'멍텅(실측)'!AA12</f>
        <v>10</v>
      </c>
      <c r="AI12" s="31">
        <f>IF('멍텅(실측)'!AB12&gt;0,'멍텅(실측)'!AB12-'멍텅(실측)'!S12+1.2,0)</f>
        <v>6.2</v>
      </c>
      <c r="AJ12" s="31">
        <f>IF('멍텅(실측)'!AC12&gt;0,'멍텅(실측)'!AC12-'멍텅(실측)'!S12+1.2,0)</f>
        <v>6.2</v>
      </c>
      <c r="AK12" s="3">
        <f>IF(AND(ISNUMBER('멍텅(실측)'!L12),ISNUMBER('멍텅(실측)'!K12)),IF(ISNUMBER('멍텅(실측)'!K12),IF(9-MIN('멍텅(실측)'!K12+멍텅A늘림,'멍텅(실측)'!L12+멍텅A늘림)&lt;AM12,AM12,9-MIN('멍텅(실측)'!K12+멍텅A늘림,'멍텅(실측)'!L12+멍텅A늘림) + AM12 ),0),IF(ISNUMBER('멍텅(실측)'!K12),IF(9-'멍텅(실측)'!K12-멍텅A늘림+AM12&lt;AM12,AM12,9-'멍텅(실측)'!K12-멍텅A늘림+AM12),0))</f>
        <v>0</v>
      </c>
      <c r="AL12" s="3">
        <f>IF(AND(ISNUMBER('멍텅(실측)'!K12),ISNUMBER('멍텅(실측)'!L12)),IF(ISNUMBER('멍텅(실측)'!L12),IF(9-MIN('멍텅(실측)'!L12+멍텅A늘림,'멍텅(실측)'!K12+멍텅A늘림)+AM12&lt;AM12,AM12,9-MIN('멍텅(실측)'!L12+멍텅A늘림,'멍텅(실측)'!K12+멍텅A늘림)+AM12),0),IF(ISNUMBER('멍텅(실측)'!L12),IF(9-'멍텅(실측)'!L12-멍텅A늘림+AM12&lt;AM12,AM12,9-'멍텅(실측)'!L12-멍텅A늘림+AM12),0))</f>
        <v>0</v>
      </c>
      <c r="AM12" s="16"/>
      <c r="AN12" s="17">
        <f t="shared" si="17"/>
        <v>0</v>
      </c>
      <c r="AO12" s="36">
        <f t="shared" si="5"/>
        <v>0</v>
      </c>
      <c r="AP12" s="36">
        <f t="shared" si="6"/>
        <v>0</v>
      </c>
      <c r="AQ12" s="46" t="str">
        <f t="shared" si="18"/>
        <v/>
      </c>
      <c r="AR12" s="3">
        <f t="shared" si="19"/>
        <v>971</v>
      </c>
      <c r="AS12" s="3">
        <f t="shared" si="20"/>
        <v>395.4</v>
      </c>
      <c r="AT12" s="3">
        <f t="shared" si="21"/>
        <v>399.2</v>
      </c>
      <c r="AU12" s="3">
        <f t="shared" si="22"/>
        <v>2094</v>
      </c>
      <c r="AV12" s="3">
        <f t="shared" si="23"/>
        <v>399.2</v>
      </c>
      <c r="AW12" s="3">
        <f t="shared" si="24"/>
        <v>2094</v>
      </c>
      <c r="AX12">
        <f t="shared" si="25"/>
        <v>0</v>
      </c>
      <c r="AY12">
        <f t="shared" si="26"/>
        <v>0</v>
      </c>
      <c r="AZ12" s="79">
        <f t="shared" si="27"/>
        <v>1</v>
      </c>
      <c r="BA12" s="83">
        <f>IF(소장="손상민",'멍텅(실측)'!AD12,0)</f>
        <v>0</v>
      </c>
    </row>
    <row r="13" spans="1:53" ht="26.25" customHeight="1" x14ac:dyDescent="0.3">
      <c r="A13" s="4">
        <f>'멍텅(실측)'!A13</f>
        <v>0</v>
      </c>
      <c r="B13" s="4" t="str">
        <f>'멍텅(실측)'!B13&amp;"F"</f>
        <v>4F</v>
      </c>
      <c r="C13" s="4">
        <f>'멍텅(실측)'!C13-멍텅OP</f>
        <v>898</v>
      </c>
      <c r="D13" s="4">
        <f>'멍텅(실측)'!D13-멍텅R</f>
        <v>898</v>
      </c>
      <c r="E13" s="50">
        <f>'멍텅(실측)'!E13+MAX(AK13,AL13)+IF(AZ13=1,Y13,0)+멍텅JBJD늘림치수</f>
        <v>327</v>
      </c>
      <c r="F13" s="50">
        <f>'멍텅(실측)'!F13+MAX(AK13,AL13)+IF(AZ13=1,AA13,0)+멍텅JBJD늘림치수</f>
        <v>327</v>
      </c>
      <c r="G13" s="50">
        <f>'멍텅(실측)'!G13+AK13+IF(AZ13=1,Y13,0)+멍텅JB강제키움+멍텅JBJD늘림치수</f>
        <v>327</v>
      </c>
      <c r="H13" s="50">
        <f>'멍텅(실측)'!G13+AK13+IF(AZ13=1,Z13,0)+멍텅JB강제키움+멍텅JBJD늘림치수-IF(멍텅JB하부늘치=1,'멍텅(실측)'!U13-'멍텅(실측)'!V13,0)</f>
        <v>327</v>
      </c>
      <c r="I13" s="50">
        <f>'멍텅(실측)'!H13+AL13+IF(AZ13=1,AA13,0)+멍텅JB강제키움+멍텅JBJD늘림치수</f>
        <v>327</v>
      </c>
      <c r="J13" s="50">
        <f>'멍텅(실측)'!H13+AL13+IF(AZ13=1,AB13,0)+멍텅JB강제키움+멍텅JBJD늘림치수-IF(멍텅JB하부늘치=1,'멍텅(실측)'!W13-'멍텅(실측)'!X13,0)</f>
        <v>327</v>
      </c>
      <c r="K13" s="4">
        <f t="shared" si="12"/>
        <v>36.5</v>
      </c>
      <c r="L13" s="4">
        <f t="shared" si="13"/>
        <v>36.5</v>
      </c>
      <c r="M13" s="4">
        <f>IF(O13&gt;0,'멍텅(실측)'!I13+멍텅C늘림,'멍텅(실측)'!I13+1)</f>
        <v>38</v>
      </c>
      <c r="N13" s="4">
        <f>IF(P13&gt;0,'멍텅(실측)'!J13+멍텅C늘림,'멍텅(실측)'!J13+1)</f>
        <v>38</v>
      </c>
      <c r="O13" s="4">
        <f>IF(ISNUMBER('멍텅(실측)'!K13),'멍텅(실측)'!K13+멍텅제작!AK13+멍텅A늘림,0)</f>
        <v>9</v>
      </c>
      <c r="P13" s="4">
        <f>IF(ISNUMBER('멍텅(실측)'!L13),'멍텅(실측)'!L13+멍텅제작!AL13+멍텅A늘림,0)</f>
        <v>9</v>
      </c>
      <c r="Q13" s="4">
        <f>'멍텅(실측)'!M13-멍텅기둥차감</f>
        <v>2099</v>
      </c>
      <c r="R13" s="4">
        <f>'멍텅(실측)'!N13-멍텅기둥차감</f>
        <v>2090</v>
      </c>
      <c r="S13" s="4">
        <f>'멍텅(실측)'!O13-멍텅기둥차감</f>
        <v>2099</v>
      </c>
      <c r="T13" s="4">
        <f>'멍텅(실측)'!P13-멍텅기둥차감</f>
        <v>2086</v>
      </c>
      <c r="U13" s="4">
        <f>IF(ISNUMBER('멍텅(실측)'!Q13),IF(V13&gt;0,'멍텅(실측)'!Q13+멍텅U늘림,'멍텅(실측)'!Q13+1.2),0)</f>
        <v>38</v>
      </c>
      <c r="V13" s="4">
        <f>IF(OR(멍텅G="", 멍텅G=0),IF(ISNUMBER('멍텅(실측)'!R13),IF('멍텅(실측)'!R13+멍텅A늘림+MAX(AK13,AL13)&gt;9,'멍텅(실측)'!R13+멍텅A늘림+MAX(AK13,AL13),'멍텅(실측)'!R13+멍텅A늘림+MAX(AK13,AL13)),0),멍텅G)</f>
        <v>9</v>
      </c>
      <c r="W13" s="4">
        <f>'멍텅(실측)'!S13+뒷날개치수더함</f>
        <v>25</v>
      </c>
      <c r="X13" s="4">
        <f>'멍텅(실측)'!T13+뒷날개치수더함</f>
        <v>30</v>
      </c>
      <c r="Y13" s="13">
        <f>'멍텅(실측)'!U13-멍텅늘치차감</f>
        <v>6</v>
      </c>
      <c r="Z13" s="13">
        <f>IF(멍텅JB하부늘치=1,Y13,'멍텅(실측)'!V13-멍텅늘치차감)</f>
        <v>6</v>
      </c>
      <c r="AA13" s="13">
        <f>'멍텅(실측)'!W13-멍텅늘치차감</f>
        <v>6</v>
      </c>
      <c r="AB13" s="13">
        <f>IF(멍텅JB하부늘치=1,AA13,'멍텅(실측)'!X13-멍텅늘치차감)</f>
        <v>6</v>
      </c>
      <c r="AC13" s="11" t="str">
        <f t="shared" si="14"/>
        <v>971*395.4</v>
      </c>
      <c r="AD13" s="12" t="str">
        <f t="shared" si="15"/>
        <v>2099*399.2</v>
      </c>
      <c r="AE13" s="10" t="str">
        <f t="shared" si="16"/>
        <v>2099*399.2</v>
      </c>
      <c r="AF13" s="4">
        <f>IF('멍텅(실측)'!Y13&gt;5,'멍텅(실측)'!Y13+뒷날개치수더함,'멍텅(실측)'!Y13)</f>
        <v>20</v>
      </c>
      <c r="AG13" s="4">
        <f>'멍텅(실측)'!Z13</f>
        <v>10</v>
      </c>
      <c r="AH13" s="4">
        <f>'멍텅(실측)'!AA13</f>
        <v>10</v>
      </c>
      <c r="AI13" s="31">
        <f>IF('멍텅(실측)'!AB13&gt;0,'멍텅(실측)'!AB13-'멍텅(실측)'!S13+1.2,0)</f>
        <v>6.2</v>
      </c>
      <c r="AJ13" s="31">
        <f>IF('멍텅(실측)'!AC13&gt;0,'멍텅(실측)'!AC13-'멍텅(실측)'!S13+1.2,0)</f>
        <v>6.2</v>
      </c>
      <c r="AK13" s="3">
        <f>IF(AND(ISNUMBER('멍텅(실측)'!L13),ISNUMBER('멍텅(실측)'!K13)),IF(ISNUMBER('멍텅(실측)'!K13),IF(9-MIN('멍텅(실측)'!K13+멍텅A늘림,'멍텅(실측)'!L13+멍텅A늘림)&lt;AM13,AM13,9-MIN('멍텅(실측)'!K13+멍텅A늘림,'멍텅(실측)'!L13+멍텅A늘림) + AM13 ),0),IF(ISNUMBER('멍텅(실측)'!K13),IF(9-'멍텅(실측)'!K13-멍텅A늘림+AM13&lt;AM13,AM13,9-'멍텅(실측)'!K13-멍텅A늘림+AM13),0))</f>
        <v>0</v>
      </c>
      <c r="AL13" s="3">
        <f>IF(AND(ISNUMBER('멍텅(실측)'!K13),ISNUMBER('멍텅(실측)'!L13)),IF(ISNUMBER('멍텅(실측)'!L13),IF(9-MIN('멍텅(실측)'!L13+멍텅A늘림,'멍텅(실측)'!K13+멍텅A늘림)+AM13&lt;AM13,AM13,9-MIN('멍텅(실측)'!L13+멍텅A늘림,'멍텅(실측)'!K13+멍텅A늘림)+AM13),0),IF(ISNUMBER('멍텅(실측)'!L13),IF(9-'멍텅(실측)'!L13-멍텅A늘림+AM13&lt;AM13,AM13,9-'멍텅(실측)'!L13-멍텅A늘림+AM13),0))</f>
        <v>0</v>
      </c>
      <c r="AM13" s="16"/>
      <c r="AN13" s="17">
        <f t="shared" si="17"/>
        <v>0</v>
      </c>
      <c r="AO13" s="36">
        <f t="shared" si="5"/>
        <v>0</v>
      </c>
      <c r="AP13" s="36">
        <f t="shared" si="6"/>
        <v>0</v>
      </c>
      <c r="AQ13" s="46" t="str">
        <f t="shared" si="18"/>
        <v/>
      </c>
      <c r="AR13" s="3">
        <f t="shared" si="19"/>
        <v>971</v>
      </c>
      <c r="AS13" s="3">
        <f t="shared" si="20"/>
        <v>395.4</v>
      </c>
      <c r="AT13" s="3">
        <f t="shared" si="21"/>
        <v>399.2</v>
      </c>
      <c r="AU13" s="3">
        <f t="shared" si="22"/>
        <v>2099</v>
      </c>
      <c r="AV13" s="3">
        <f t="shared" si="23"/>
        <v>399.2</v>
      </c>
      <c r="AW13" s="3">
        <f t="shared" si="24"/>
        <v>2099</v>
      </c>
      <c r="AX13">
        <f t="shared" si="25"/>
        <v>0</v>
      </c>
      <c r="AY13">
        <f t="shared" si="26"/>
        <v>0</v>
      </c>
      <c r="AZ13" s="79">
        <f t="shared" si="27"/>
        <v>1</v>
      </c>
      <c r="BA13" s="83">
        <f>IF(소장="손상민",'멍텅(실측)'!AD13,0)</f>
        <v>0</v>
      </c>
    </row>
    <row r="14" spans="1:53" ht="26.25" customHeight="1" x14ac:dyDescent="0.3">
      <c r="A14" s="4">
        <f>'멍텅(실측)'!A14</f>
        <v>0</v>
      </c>
      <c r="B14" s="4" t="str">
        <f>'멍텅(실측)'!B14&amp;"F"</f>
        <v>3F</v>
      </c>
      <c r="C14" s="4">
        <f>'멍텅(실측)'!C14-멍텅OP</f>
        <v>899</v>
      </c>
      <c r="D14" s="4">
        <f>'멍텅(실측)'!D14-멍텅R</f>
        <v>898</v>
      </c>
      <c r="E14" s="50">
        <f>'멍텅(실측)'!E14+MAX(AK14,AL14)+IF(AZ14=1,Y14,0)+멍텅JBJD늘림치수</f>
        <v>327</v>
      </c>
      <c r="F14" s="50">
        <f>'멍텅(실측)'!F14+MAX(AK14,AL14)+IF(AZ14=1,AA14,0)+멍텅JBJD늘림치수</f>
        <v>327</v>
      </c>
      <c r="G14" s="50">
        <f>'멍텅(실측)'!G14+AK14+IF(AZ14=1,Y14,0)+멍텅JB강제키움+멍텅JBJD늘림치수</f>
        <v>327</v>
      </c>
      <c r="H14" s="50">
        <f>'멍텅(실측)'!G14+AK14+IF(AZ14=1,Z14,0)+멍텅JB강제키움+멍텅JBJD늘림치수-IF(멍텅JB하부늘치=1,'멍텅(실측)'!U14-'멍텅(실측)'!V14,0)</f>
        <v>327</v>
      </c>
      <c r="I14" s="50">
        <f>'멍텅(실측)'!H14+AL14+IF(AZ14=1,AA14,0)+멍텅JB강제키움+멍텅JBJD늘림치수</f>
        <v>327</v>
      </c>
      <c r="J14" s="50">
        <f>'멍텅(실측)'!H14+AL14+IF(AZ14=1,AB14,0)+멍텅JB강제키움+멍텅JBJD늘림치수-IF(멍텅JB하부늘치=1,'멍텅(실측)'!W14-'멍텅(실측)'!X14,0)</f>
        <v>327</v>
      </c>
      <c r="K14" s="4">
        <f t="shared" si="12"/>
        <v>36.5</v>
      </c>
      <c r="L14" s="4">
        <f t="shared" si="13"/>
        <v>36.5</v>
      </c>
      <c r="M14" s="4">
        <f>IF(O14&gt;0,'멍텅(실측)'!I14+멍텅C늘림,'멍텅(실측)'!I14+1)</f>
        <v>38</v>
      </c>
      <c r="N14" s="4">
        <f>IF(P14&gt;0,'멍텅(실측)'!J14+멍텅C늘림,'멍텅(실측)'!J14+1)</f>
        <v>38</v>
      </c>
      <c r="O14" s="4">
        <f>IF(ISNUMBER('멍텅(실측)'!K14),'멍텅(실측)'!K14+멍텅제작!AK14+멍텅A늘림,0)</f>
        <v>9</v>
      </c>
      <c r="P14" s="4">
        <f>IF(ISNUMBER('멍텅(실측)'!L14),'멍텅(실측)'!L14+멍텅제작!AL14+멍텅A늘림,0)</f>
        <v>9</v>
      </c>
      <c r="Q14" s="4">
        <f>'멍텅(실측)'!M14-멍텅기둥차감</f>
        <v>2095</v>
      </c>
      <c r="R14" s="4">
        <f>'멍텅(실측)'!N14-멍텅기둥차감</f>
        <v>2089</v>
      </c>
      <c r="S14" s="4">
        <f>'멍텅(실측)'!O14-멍텅기둥차감</f>
        <v>2095</v>
      </c>
      <c r="T14" s="4">
        <f>'멍텅(실측)'!P14-멍텅기둥차감</f>
        <v>2088</v>
      </c>
      <c r="U14" s="4">
        <f>IF(ISNUMBER('멍텅(실측)'!Q14),IF(V14&gt;0,'멍텅(실측)'!Q14+멍텅U늘림,'멍텅(실측)'!Q14+1.2),0)</f>
        <v>38</v>
      </c>
      <c r="V14" s="4">
        <f>IF(OR(멍텅G="", 멍텅G=0),IF(ISNUMBER('멍텅(실측)'!R14),IF('멍텅(실측)'!R14+멍텅A늘림+MAX(AK14,AL14)&gt;9,'멍텅(실측)'!R14+멍텅A늘림+MAX(AK14,AL14),'멍텅(실측)'!R14+멍텅A늘림+MAX(AK14,AL14)),0),멍텅G)</f>
        <v>9</v>
      </c>
      <c r="W14" s="4">
        <f>'멍텅(실측)'!S14+뒷날개치수더함</f>
        <v>25</v>
      </c>
      <c r="X14" s="4">
        <f>'멍텅(실측)'!T14+뒷날개치수더함</f>
        <v>30</v>
      </c>
      <c r="Y14" s="13">
        <f>'멍텅(실측)'!U14-멍텅늘치차감</f>
        <v>6</v>
      </c>
      <c r="Z14" s="13">
        <f>IF(멍텅JB하부늘치=1,Y14,'멍텅(실측)'!V14-멍텅늘치차감)</f>
        <v>6</v>
      </c>
      <c r="AA14" s="13">
        <f>'멍텅(실측)'!W14-멍텅늘치차감</f>
        <v>6</v>
      </c>
      <c r="AB14" s="13">
        <f>IF(멍텅JB하부늘치=1,AA14,'멍텅(실측)'!X14-멍텅늘치차감)</f>
        <v>6</v>
      </c>
      <c r="AC14" s="11" t="str">
        <f t="shared" si="14"/>
        <v>971*395.4</v>
      </c>
      <c r="AD14" s="12" t="str">
        <f t="shared" si="15"/>
        <v>2095*399.2</v>
      </c>
      <c r="AE14" s="10" t="str">
        <f t="shared" si="16"/>
        <v>2095*399.2</v>
      </c>
      <c r="AF14" s="4">
        <f>IF('멍텅(실측)'!Y14&gt;5,'멍텅(실측)'!Y14+뒷날개치수더함,'멍텅(실측)'!Y14)</f>
        <v>20</v>
      </c>
      <c r="AG14" s="4">
        <f>'멍텅(실측)'!Z14</f>
        <v>10</v>
      </c>
      <c r="AH14" s="4">
        <f>'멍텅(실측)'!AA14</f>
        <v>10</v>
      </c>
      <c r="AI14" s="31">
        <f>IF('멍텅(실측)'!AB14&gt;0,'멍텅(실측)'!AB14-'멍텅(실측)'!S14+1.2,0)</f>
        <v>6.2</v>
      </c>
      <c r="AJ14" s="31">
        <f>IF('멍텅(실측)'!AC14&gt;0,'멍텅(실측)'!AC14-'멍텅(실측)'!S14+1.2,0)</f>
        <v>6.2</v>
      </c>
      <c r="AK14" s="3">
        <f>IF(AND(ISNUMBER('멍텅(실측)'!L14),ISNUMBER('멍텅(실측)'!K14)),IF(ISNUMBER('멍텅(실측)'!K14),IF(9-MIN('멍텅(실측)'!K14+멍텅A늘림,'멍텅(실측)'!L14+멍텅A늘림)&lt;AM14,AM14,9-MIN('멍텅(실측)'!K14+멍텅A늘림,'멍텅(실측)'!L14+멍텅A늘림) + AM14 ),0),IF(ISNUMBER('멍텅(실측)'!K14),IF(9-'멍텅(실측)'!K14-멍텅A늘림+AM14&lt;AM14,AM14,9-'멍텅(실측)'!K14-멍텅A늘림+AM14),0))</f>
        <v>0</v>
      </c>
      <c r="AL14" s="3">
        <f>IF(AND(ISNUMBER('멍텅(실측)'!K14),ISNUMBER('멍텅(실측)'!L14)),IF(ISNUMBER('멍텅(실측)'!L14),IF(9-MIN('멍텅(실측)'!L14+멍텅A늘림,'멍텅(실측)'!K14+멍텅A늘림)+AM14&lt;AM14,AM14,9-MIN('멍텅(실측)'!L14+멍텅A늘림,'멍텅(실측)'!K14+멍텅A늘림)+AM14),0),IF(ISNUMBER('멍텅(실측)'!L14),IF(9-'멍텅(실측)'!L14-멍텅A늘림+AM14&lt;AM14,AM14,9-'멍텅(실측)'!L14-멍텅A늘림+AM14),0))</f>
        <v>0</v>
      </c>
      <c r="AM14" s="16"/>
      <c r="AN14" s="17">
        <f t="shared" si="17"/>
        <v>-8.7608157279257623E-2</v>
      </c>
      <c r="AO14" s="36">
        <f t="shared" si="5"/>
        <v>3.8226232663873816E-4</v>
      </c>
      <c r="AP14" s="36">
        <f t="shared" si="6"/>
        <v>3.8226232663873816E-4</v>
      </c>
      <c r="AQ14" s="46" t="str">
        <f t="shared" si="18"/>
        <v/>
      </c>
      <c r="AR14" s="3">
        <f t="shared" si="19"/>
        <v>971</v>
      </c>
      <c r="AS14" s="3">
        <f t="shared" si="20"/>
        <v>395.4</v>
      </c>
      <c r="AT14" s="3">
        <f t="shared" si="21"/>
        <v>399.2</v>
      </c>
      <c r="AU14" s="3">
        <f t="shared" si="22"/>
        <v>2095</v>
      </c>
      <c r="AV14" s="3">
        <f t="shared" si="23"/>
        <v>399.2</v>
      </c>
      <c r="AW14" s="3">
        <f t="shared" si="24"/>
        <v>2095</v>
      </c>
      <c r="AX14">
        <f t="shared" si="25"/>
        <v>0</v>
      </c>
      <c r="AY14">
        <f t="shared" si="26"/>
        <v>0</v>
      </c>
      <c r="AZ14" s="79">
        <f t="shared" si="27"/>
        <v>1</v>
      </c>
      <c r="BA14" s="83">
        <f>IF(소장="손상민",'멍텅(실측)'!AD14,0)</f>
        <v>0</v>
      </c>
    </row>
    <row r="15" spans="1:53" ht="26.25" customHeight="1" x14ac:dyDescent="0.3">
      <c r="A15" s="4">
        <f>'멍텅(실측)'!A15</f>
        <v>0</v>
      </c>
      <c r="B15" s="4" t="str">
        <f>'멍텅(실측)'!B15&amp;"F"</f>
        <v>2F</v>
      </c>
      <c r="C15" s="4">
        <f>'멍텅(실측)'!C15-멍텅OP</f>
        <v>898</v>
      </c>
      <c r="D15" s="4">
        <f>'멍텅(실측)'!D15-멍텅R</f>
        <v>898</v>
      </c>
      <c r="E15" s="50">
        <f>'멍텅(실측)'!E15+MAX(AK15,AL15)+IF(AZ15=1,Y15,0)+멍텅JBJD늘림치수</f>
        <v>327</v>
      </c>
      <c r="F15" s="50">
        <f>'멍텅(실측)'!F15+MAX(AK15,AL15)+IF(AZ15=1,AA15,0)+멍텅JBJD늘림치수</f>
        <v>327</v>
      </c>
      <c r="G15" s="50">
        <f>'멍텅(실측)'!G15+AK15+IF(AZ15=1,Y15,0)+멍텅JB강제키움+멍텅JBJD늘림치수</f>
        <v>327</v>
      </c>
      <c r="H15" s="50">
        <f>'멍텅(실측)'!G15+AK15+IF(AZ15=1,Z15,0)+멍텅JB강제키움+멍텅JBJD늘림치수-IF(멍텅JB하부늘치=1,'멍텅(실측)'!U15-'멍텅(실측)'!V15,0)</f>
        <v>327</v>
      </c>
      <c r="I15" s="50">
        <f>'멍텅(실측)'!H15+AL15+IF(AZ15=1,AA15,0)+멍텅JB강제키움+멍텅JBJD늘림치수</f>
        <v>327</v>
      </c>
      <c r="J15" s="50">
        <f>'멍텅(실측)'!H15+AL15+IF(AZ15=1,AB15,0)+멍텅JB강제키움+멍텅JBJD늘림치수-IF(멍텅JB하부늘치=1,'멍텅(실측)'!W15-'멍텅(실측)'!X15,0)</f>
        <v>327</v>
      </c>
      <c r="K15" s="4">
        <f t="shared" si="12"/>
        <v>36.5</v>
      </c>
      <c r="L15" s="4">
        <f t="shared" si="13"/>
        <v>36.5</v>
      </c>
      <c r="M15" s="4">
        <f>IF(O15&gt;0,'멍텅(실측)'!I15+멍텅C늘림,'멍텅(실측)'!I15+1)</f>
        <v>38</v>
      </c>
      <c r="N15" s="4">
        <f>IF(P15&gt;0,'멍텅(실측)'!J15+멍텅C늘림,'멍텅(실측)'!J15+1)</f>
        <v>38</v>
      </c>
      <c r="O15" s="4">
        <f>IF(ISNUMBER('멍텅(실측)'!K15),'멍텅(실측)'!K15+멍텅제작!AK15+멍텅A늘림,0)</f>
        <v>9</v>
      </c>
      <c r="P15" s="4">
        <f>IF(ISNUMBER('멍텅(실측)'!L15),'멍텅(실측)'!L15+멍텅제작!AL15+멍텅A늘림,0)</f>
        <v>9</v>
      </c>
      <c r="Q15" s="4">
        <f>'멍텅(실측)'!M15-멍텅기둥차감</f>
        <v>2094</v>
      </c>
      <c r="R15" s="4">
        <f>'멍텅(실측)'!N15-멍텅기둥차감</f>
        <v>2089</v>
      </c>
      <c r="S15" s="4">
        <f>'멍텅(실측)'!O15-멍텅기둥차감</f>
        <v>2090</v>
      </c>
      <c r="T15" s="4">
        <f>'멍텅(실측)'!P15-멍텅기둥차감</f>
        <v>2088</v>
      </c>
      <c r="U15" s="4">
        <f>IF(ISNUMBER('멍텅(실측)'!Q15),IF(V15&gt;0,'멍텅(실측)'!Q15+멍텅U늘림,'멍텅(실측)'!Q15+1.2),0)</f>
        <v>38</v>
      </c>
      <c r="V15" s="4">
        <f>IF(OR(멍텅G="", 멍텅G=0),IF(ISNUMBER('멍텅(실측)'!R15),IF('멍텅(실측)'!R15+멍텅A늘림+MAX(AK15,AL15)&gt;9,'멍텅(실측)'!R15+멍텅A늘림+MAX(AK15,AL15),'멍텅(실측)'!R15+멍텅A늘림+MAX(AK15,AL15)),0),멍텅G)</f>
        <v>9</v>
      </c>
      <c r="W15" s="4">
        <f>'멍텅(실측)'!S15+뒷날개치수더함</f>
        <v>25</v>
      </c>
      <c r="X15" s="4">
        <f>'멍텅(실측)'!T15+뒷날개치수더함</f>
        <v>30</v>
      </c>
      <c r="Y15" s="13">
        <f>'멍텅(실측)'!U15-멍텅늘치차감</f>
        <v>6</v>
      </c>
      <c r="Z15" s="13">
        <f>IF(멍텅JB하부늘치=1,Y15,'멍텅(실측)'!V15-멍텅늘치차감)</f>
        <v>6</v>
      </c>
      <c r="AA15" s="13">
        <f>'멍텅(실측)'!W15-멍텅늘치차감</f>
        <v>6</v>
      </c>
      <c r="AB15" s="13">
        <f>IF(멍텅JB하부늘치=1,AA15,'멍텅(실측)'!X15-멍텅늘치차감)</f>
        <v>6</v>
      </c>
      <c r="AC15" s="11" t="str">
        <f t="shared" si="14"/>
        <v>971*395.4</v>
      </c>
      <c r="AD15" s="12" t="str">
        <f t="shared" si="15"/>
        <v>2094*399.2</v>
      </c>
      <c r="AE15" s="10" t="str">
        <f t="shared" si="16"/>
        <v>2090*399.2</v>
      </c>
      <c r="AF15" s="4">
        <f>IF('멍텅(실측)'!Y15&gt;5,'멍텅(실측)'!Y15+뒷날개치수더함,'멍텅(실측)'!Y15)</f>
        <v>20</v>
      </c>
      <c r="AG15" s="4">
        <f>'멍텅(실측)'!Z15</f>
        <v>10</v>
      </c>
      <c r="AH15" s="4">
        <f>'멍텅(실측)'!AA15</f>
        <v>10</v>
      </c>
      <c r="AI15" s="31">
        <f>IF('멍텅(실측)'!AB15&gt;0,'멍텅(실측)'!AB15-'멍텅(실측)'!S15+1.2,0)</f>
        <v>6.2</v>
      </c>
      <c r="AJ15" s="31">
        <f>IF('멍텅(실측)'!AC15&gt;0,'멍텅(실측)'!AC15-'멍텅(실측)'!S15+1.2,0)</f>
        <v>6.2</v>
      </c>
      <c r="AK15" s="3">
        <f>IF(AND(ISNUMBER('멍텅(실측)'!L15),ISNUMBER('멍텅(실측)'!K15)),IF(ISNUMBER('멍텅(실측)'!K15),IF(9-MIN('멍텅(실측)'!K15+멍텅A늘림,'멍텅(실측)'!L15+멍텅A늘림)&lt;AM15,AM15,9-MIN('멍텅(실측)'!K15+멍텅A늘림,'멍텅(실측)'!L15+멍텅A늘림) + AM15 ),0),IF(ISNUMBER('멍텅(실측)'!K15),IF(9-'멍텅(실측)'!K15-멍텅A늘림+AM15&lt;AM15,AM15,9-'멍텅(실측)'!K15-멍텅A늘림+AM15),0))</f>
        <v>0</v>
      </c>
      <c r="AL15" s="3">
        <f>IF(AND(ISNUMBER('멍텅(실측)'!K15),ISNUMBER('멍텅(실측)'!L15)),IF(ISNUMBER('멍텅(실측)'!L15),IF(9-MIN('멍텅(실측)'!L15+멍텅A늘림,'멍텅(실측)'!K15+멍텅A늘림)+AM15&lt;AM15,AM15,9-MIN('멍텅(실측)'!L15+멍텅A늘림,'멍텅(실측)'!K15+멍텅A늘림)+AM15),0),IF(ISNUMBER('멍텅(실측)'!L15),IF(9-'멍텅(실측)'!L15-멍텅A늘림+AM15&lt;AM15,AM15,9-'멍텅(실측)'!L15-멍텅A늘림+AM15),0))</f>
        <v>0</v>
      </c>
      <c r="AM15" s="16"/>
      <c r="AN15" s="17">
        <f t="shared" si="17"/>
        <v>0</v>
      </c>
      <c r="AO15" s="36">
        <f t="shared" si="5"/>
        <v>0</v>
      </c>
      <c r="AP15" s="36">
        <f t="shared" si="6"/>
        <v>0</v>
      </c>
      <c r="AQ15" s="46" t="str">
        <f t="shared" si="18"/>
        <v/>
      </c>
      <c r="AR15" s="3">
        <f t="shared" si="19"/>
        <v>971</v>
      </c>
      <c r="AS15" s="3">
        <f t="shared" si="20"/>
        <v>395.4</v>
      </c>
      <c r="AT15" s="3">
        <f t="shared" si="21"/>
        <v>399.2</v>
      </c>
      <c r="AU15" s="3">
        <f t="shared" si="22"/>
        <v>2094</v>
      </c>
      <c r="AV15" s="3">
        <f t="shared" si="23"/>
        <v>399.2</v>
      </c>
      <c r="AW15" s="3">
        <f t="shared" si="24"/>
        <v>2090</v>
      </c>
      <c r="AX15">
        <f t="shared" si="25"/>
        <v>0</v>
      </c>
      <c r="AY15">
        <f t="shared" si="26"/>
        <v>0</v>
      </c>
      <c r="AZ15" s="79">
        <f t="shared" si="27"/>
        <v>1</v>
      </c>
      <c r="BA15" s="83">
        <f>IF(소장="손상민",'멍텅(실측)'!AD15,0)</f>
        <v>0</v>
      </c>
    </row>
    <row r="16" spans="1:53" ht="26.25" customHeight="1" x14ac:dyDescent="0.3">
      <c r="A16" s="4">
        <f>'멍텅(실측)'!A16</f>
        <v>0</v>
      </c>
      <c r="B16" s="4" t="str">
        <f>'멍텅(실측)'!B16&amp;"F"</f>
        <v>1F</v>
      </c>
      <c r="C16" s="4">
        <f>'멍텅(실측)'!C16-멍텅OP</f>
        <v>898</v>
      </c>
      <c r="D16" s="4">
        <f>'멍텅(실측)'!D16-멍텅R</f>
        <v>898</v>
      </c>
      <c r="E16" s="50">
        <f>'멍텅(실측)'!E16+MAX(AK16,AL16)+IF(AZ16=1,Y16,0)+멍텅JBJD늘림치수</f>
        <v>327</v>
      </c>
      <c r="F16" s="50">
        <f>'멍텅(실측)'!F16+MAX(AK16,AL16)+IF(AZ16=1,AA16,0)+멍텅JBJD늘림치수</f>
        <v>327</v>
      </c>
      <c r="G16" s="50">
        <f>'멍텅(실측)'!G16+AK16+IF(AZ16=1,Y16,0)+멍텅JB강제키움+멍텅JBJD늘림치수</f>
        <v>327</v>
      </c>
      <c r="H16" s="50">
        <f>'멍텅(실측)'!G16+AK16+IF(AZ16=1,Z16,0)+멍텅JB강제키움+멍텅JBJD늘림치수-IF(멍텅JB하부늘치=1,'멍텅(실측)'!U16-'멍텅(실측)'!V16,0)</f>
        <v>327</v>
      </c>
      <c r="I16" s="50">
        <f>'멍텅(실측)'!H16+AL16+IF(AZ16=1,AA16,0)+멍텅JB강제키움+멍텅JBJD늘림치수</f>
        <v>327</v>
      </c>
      <c r="J16" s="50">
        <f>'멍텅(실측)'!H16+AL16+IF(AZ16=1,AB16,0)+멍텅JB강제키움+멍텅JBJD늘림치수-IF(멍텅JB하부늘치=1,'멍텅(실측)'!W16-'멍텅(실측)'!X16,0)</f>
        <v>327</v>
      </c>
      <c r="K16" s="4">
        <f t="shared" si="12"/>
        <v>36.5</v>
      </c>
      <c r="L16" s="4">
        <f t="shared" si="13"/>
        <v>36.5</v>
      </c>
      <c r="M16" s="4">
        <f>IF(O16&gt;0,'멍텅(실측)'!I16+멍텅C늘림,'멍텅(실측)'!I16+1)</f>
        <v>38</v>
      </c>
      <c r="N16" s="4">
        <f>IF(P16&gt;0,'멍텅(실측)'!J16+멍텅C늘림,'멍텅(실측)'!J16+1)</f>
        <v>38</v>
      </c>
      <c r="O16" s="4">
        <f>IF(ISNUMBER('멍텅(실측)'!K16),'멍텅(실측)'!K16+멍텅제작!AK16+멍텅A늘림,0)</f>
        <v>9</v>
      </c>
      <c r="P16" s="4">
        <f>IF(ISNUMBER('멍텅(실측)'!L16),'멍텅(실측)'!L16+멍텅제작!AL16+멍텅A늘림,0)</f>
        <v>9</v>
      </c>
      <c r="Q16" s="4">
        <f>'멍텅(실측)'!M16-멍텅기둥차감</f>
        <v>2094</v>
      </c>
      <c r="R16" s="4">
        <f>'멍텅(실측)'!N16-멍텅기둥차감</f>
        <v>2088</v>
      </c>
      <c r="S16" s="4">
        <f>'멍텅(실측)'!O16-멍텅기둥차감</f>
        <v>2097</v>
      </c>
      <c r="T16" s="4">
        <f>'멍텅(실측)'!P16-멍텅기둥차감</f>
        <v>2087</v>
      </c>
      <c r="U16" s="4">
        <f>IF(ISNUMBER('멍텅(실측)'!Q16),IF(V16&gt;0,'멍텅(실측)'!Q16+멍텅U늘림,'멍텅(실측)'!Q16+1.2),0)</f>
        <v>38</v>
      </c>
      <c r="V16" s="4">
        <f>IF(OR(멍텅G="", 멍텅G=0),IF(ISNUMBER('멍텅(실측)'!R16),IF('멍텅(실측)'!R16+멍텅A늘림+MAX(AK16,AL16)&gt;9,'멍텅(실측)'!R16+멍텅A늘림+MAX(AK16,AL16),'멍텅(실측)'!R16+멍텅A늘림+MAX(AK16,AL16)),0),멍텅G)</f>
        <v>9</v>
      </c>
      <c r="W16" s="4">
        <f>'멍텅(실측)'!S16+뒷날개치수더함</f>
        <v>25</v>
      </c>
      <c r="X16" s="4">
        <f>'멍텅(실측)'!T16+뒷날개치수더함</f>
        <v>30</v>
      </c>
      <c r="Y16" s="13">
        <f>'멍텅(실측)'!U16-멍텅늘치차감</f>
        <v>6</v>
      </c>
      <c r="Z16" s="13">
        <f>IF(멍텅JB하부늘치=1,Y16,'멍텅(실측)'!V16-멍텅늘치차감)</f>
        <v>6</v>
      </c>
      <c r="AA16" s="13">
        <f>'멍텅(실측)'!W16-멍텅늘치차감</f>
        <v>6</v>
      </c>
      <c r="AB16" s="13">
        <f>IF(멍텅JB하부늘치=1,AA16,'멍텅(실측)'!X16-멍텅늘치차감)</f>
        <v>6</v>
      </c>
      <c r="AC16" s="11" t="str">
        <f t="shared" si="14"/>
        <v>971*395.4</v>
      </c>
      <c r="AD16" s="12" t="str">
        <f t="shared" si="15"/>
        <v>2094*399.2</v>
      </c>
      <c r="AE16" s="10" t="str">
        <f t="shared" si="16"/>
        <v>2097*399.2</v>
      </c>
      <c r="AF16" s="4">
        <f>IF('멍텅(실측)'!Y16&gt;5,'멍텅(실측)'!Y16+뒷날개치수더함,'멍텅(실측)'!Y16)</f>
        <v>20</v>
      </c>
      <c r="AG16" s="4">
        <f>'멍텅(실측)'!Z16</f>
        <v>10</v>
      </c>
      <c r="AH16" s="4">
        <f>'멍텅(실측)'!AA16</f>
        <v>10</v>
      </c>
      <c r="AI16" s="31">
        <f>IF('멍텅(실측)'!AB16&gt;0,'멍텅(실측)'!AB16-'멍텅(실측)'!S16+1.2,0)</f>
        <v>6.2</v>
      </c>
      <c r="AJ16" s="31">
        <f>IF('멍텅(실측)'!AC16&gt;0,'멍텅(실측)'!AC16-'멍텅(실측)'!S16+1.2,0)</f>
        <v>6.2</v>
      </c>
      <c r="AK16" s="3">
        <f>IF(AND(ISNUMBER('멍텅(실측)'!L16),ISNUMBER('멍텅(실측)'!K16)),IF(ISNUMBER('멍텅(실측)'!K16),IF(9-MIN('멍텅(실측)'!K16+멍텅A늘림,'멍텅(실측)'!L16+멍텅A늘림)&lt;AM16,AM16,9-MIN('멍텅(실측)'!K16+멍텅A늘림,'멍텅(실측)'!L16+멍텅A늘림) + AM16 ),0),IF(ISNUMBER('멍텅(실측)'!K16),IF(9-'멍텅(실측)'!K16-멍텅A늘림+AM16&lt;AM16,AM16,9-'멍텅(실측)'!K16-멍텅A늘림+AM16),0))</f>
        <v>0</v>
      </c>
      <c r="AL16" s="3">
        <f>IF(AND(ISNUMBER('멍텅(실측)'!K16),ISNUMBER('멍텅(실측)'!L16)),IF(ISNUMBER('멍텅(실측)'!L16),IF(9-MIN('멍텅(실측)'!L16+멍텅A늘림,'멍텅(실측)'!K16+멍텅A늘림)+AM16&lt;AM16,AM16,9-MIN('멍텅(실측)'!L16+멍텅A늘림,'멍텅(실측)'!K16+멍텅A늘림)+AM16),0),IF(ISNUMBER('멍텅(실측)'!L16),IF(9-'멍텅(실측)'!L16-멍텅A늘림+AM16&lt;AM16,AM16,9-'멍텅(실측)'!L16-멍텅A늘림+AM16),0))</f>
        <v>0</v>
      </c>
      <c r="AM16" s="16"/>
      <c r="AN16" s="17">
        <f t="shared" si="17"/>
        <v>0</v>
      </c>
      <c r="AO16" s="36">
        <f t="shared" si="5"/>
        <v>0</v>
      </c>
      <c r="AP16" s="36">
        <f t="shared" si="6"/>
        <v>0</v>
      </c>
      <c r="AQ16" s="46" t="str">
        <f t="shared" si="18"/>
        <v/>
      </c>
      <c r="AR16" s="3">
        <f t="shared" si="19"/>
        <v>971</v>
      </c>
      <c r="AS16" s="3">
        <f t="shared" si="20"/>
        <v>395.4</v>
      </c>
      <c r="AT16" s="3">
        <f t="shared" si="21"/>
        <v>399.2</v>
      </c>
      <c r="AU16" s="3">
        <f t="shared" si="22"/>
        <v>2094</v>
      </c>
      <c r="AV16" s="3">
        <f t="shared" si="23"/>
        <v>399.2</v>
      </c>
      <c r="AW16" s="3">
        <f t="shared" si="24"/>
        <v>2097</v>
      </c>
      <c r="AX16">
        <f t="shared" si="25"/>
        <v>0</v>
      </c>
      <c r="AY16">
        <f t="shared" si="26"/>
        <v>0</v>
      </c>
      <c r="AZ16" s="79">
        <f t="shared" si="27"/>
        <v>1</v>
      </c>
      <c r="BA16" s="83">
        <f>IF(소장="손상민",'멍텅(실측)'!AD16,0)</f>
        <v>0</v>
      </c>
    </row>
    <row r="17" spans="1:53" ht="26.25" customHeight="1" x14ac:dyDescent="0.3">
      <c r="A17" s="4">
        <f>'멍텅(실측)'!A17</f>
        <v>0</v>
      </c>
      <c r="B17" s="4" t="str">
        <f>'멍텅(실측)'!B17&amp;"F"</f>
        <v>B1F</v>
      </c>
      <c r="C17" s="4">
        <f>'멍텅(실측)'!C17-멍텅OP</f>
        <v>897</v>
      </c>
      <c r="D17" s="4">
        <f>'멍텅(실측)'!D17-멍텅R</f>
        <v>898</v>
      </c>
      <c r="E17" s="50">
        <f>'멍텅(실측)'!E17+MAX(AK17,AL17)+IF(AZ17=1,Y17,0)+멍텅JBJD늘림치수</f>
        <v>327</v>
      </c>
      <c r="F17" s="50">
        <f>'멍텅(실측)'!F17+MAX(AK17,AL17)+IF(AZ17=1,AA17,0)+멍텅JBJD늘림치수</f>
        <v>327</v>
      </c>
      <c r="G17" s="50">
        <f>'멍텅(실측)'!G17+AK17+IF(AZ17=1,Y17,0)+멍텅JB강제키움+멍텅JBJD늘림치수</f>
        <v>327</v>
      </c>
      <c r="H17" s="50">
        <f>'멍텅(실측)'!G17+AK17+IF(AZ17=1,Z17,0)+멍텅JB강제키움+멍텅JBJD늘림치수-IF(멍텅JB하부늘치=1,'멍텅(실측)'!U17-'멍텅(실측)'!V17,0)</f>
        <v>327</v>
      </c>
      <c r="I17" s="50">
        <f>'멍텅(실측)'!H17+AL17+IF(AZ17=1,AA17,0)+멍텅JB강제키움+멍텅JBJD늘림치수</f>
        <v>327</v>
      </c>
      <c r="J17" s="50">
        <f>'멍텅(실측)'!H17+AL17+IF(AZ17=1,AB17,0)+멍텅JB강제키움+멍텅JBJD늘림치수-IF(멍텅JB하부늘치=1,'멍텅(실측)'!W17-'멍텅(실측)'!X17,0)</f>
        <v>327</v>
      </c>
      <c r="K17" s="4">
        <f t="shared" si="12"/>
        <v>36.5</v>
      </c>
      <c r="L17" s="4">
        <f t="shared" si="13"/>
        <v>36.5</v>
      </c>
      <c r="M17" s="4">
        <f>IF(O17&gt;0,'멍텅(실측)'!I17+멍텅C늘림,'멍텅(실측)'!I17+1)</f>
        <v>38</v>
      </c>
      <c r="N17" s="4">
        <f>IF(P17&gt;0,'멍텅(실측)'!J17+멍텅C늘림,'멍텅(실측)'!J17+1)</f>
        <v>38</v>
      </c>
      <c r="O17" s="4">
        <f>IF(ISNUMBER('멍텅(실측)'!K17),'멍텅(실측)'!K17+멍텅제작!AK17+멍텅A늘림,0)</f>
        <v>9</v>
      </c>
      <c r="P17" s="4">
        <f>IF(ISNUMBER('멍텅(실측)'!L17),'멍텅(실측)'!L17+멍텅제작!AL17+멍텅A늘림,0)</f>
        <v>9</v>
      </c>
      <c r="Q17" s="4">
        <f>'멍텅(실측)'!M17-멍텅기둥차감</f>
        <v>2094</v>
      </c>
      <c r="R17" s="4">
        <f>'멍텅(실측)'!N17-멍텅기둥차감</f>
        <v>2089</v>
      </c>
      <c r="S17" s="4">
        <f>'멍텅(실측)'!O17-멍텅기둥차감</f>
        <v>2093</v>
      </c>
      <c r="T17" s="4">
        <f>'멍텅(실측)'!P17-멍텅기둥차감</f>
        <v>2088</v>
      </c>
      <c r="U17" s="4">
        <f>IF(ISNUMBER('멍텅(실측)'!Q17),IF(V17&gt;0,'멍텅(실측)'!Q17+멍텅U늘림,'멍텅(실측)'!Q17+1.2),0)</f>
        <v>38</v>
      </c>
      <c r="V17" s="4">
        <f>IF(OR(멍텅G="", 멍텅G=0),IF(ISNUMBER('멍텅(실측)'!R17),IF('멍텅(실측)'!R17+멍텅A늘림+MAX(AK17,AL17)&gt;9,'멍텅(실측)'!R17+멍텅A늘림+MAX(AK17,AL17),'멍텅(실측)'!R17+멍텅A늘림+MAX(AK17,AL17)),0),멍텅G)</f>
        <v>9</v>
      </c>
      <c r="W17" s="4">
        <f>'멍텅(실측)'!S17+뒷날개치수더함</f>
        <v>25</v>
      </c>
      <c r="X17" s="4">
        <f>'멍텅(실측)'!T17+뒷날개치수더함</f>
        <v>30</v>
      </c>
      <c r="Y17" s="13">
        <f>'멍텅(실측)'!U17-멍텅늘치차감</f>
        <v>6</v>
      </c>
      <c r="Z17" s="13">
        <f>IF(멍텅JB하부늘치=1,Y17,'멍텅(실측)'!V17-멍텅늘치차감)</f>
        <v>6</v>
      </c>
      <c r="AA17" s="13">
        <f>'멍텅(실측)'!W17-멍텅늘치차감</f>
        <v>6</v>
      </c>
      <c r="AB17" s="13">
        <f>IF(멍텅JB하부늘치=1,AA17,'멍텅(실측)'!X17-멍텅늘치차감)</f>
        <v>6</v>
      </c>
      <c r="AC17" s="11" t="str">
        <f t="shared" si="14"/>
        <v>971*395.4</v>
      </c>
      <c r="AD17" s="12" t="str">
        <f t="shared" si="15"/>
        <v>2094*399.2</v>
      </c>
      <c r="AE17" s="10" t="str">
        <f t="shared" si="16"/>
        <v>2093*399.2</v>
      </c>
      <c r="AF17" s="4">
        <f>IF('멍텅(실측)'!Y17&gt;5,'멍텅(실측)'!Y17+뒷날개치수더함,'멍텅(실측)'!Y17)</f>
        <v>20</v>
      </c>
      <c r="AG17" s="4">
        <f>'멍텅(실측)'!Z17</f>
        <v>10</v>
      </c>
      <c r="AH17" s="4">
        <f>'멍텅(실측)'!AA17</f>
        <v>10</v>
      </c>
      <c r="AI17" s="31">
        <f>IF('멍텅(실측)'!AB17&gt;0,'멍텅(실측)'!AB17-'멍텅(실측)'!S17+1.2,0)</f>
        <v>6.2</v>
      </c>
      <c r="AJ17" s="31">
        <f>IF('멍텅(실측)'!AC17&gt;0,'멍텅(실측)'!AC17-'멍텅(실측)'!S17+1.2,0)</f>
        <v>6.2</v>
      </c>
      <c r="AK17" s="3">
        <f>IF(AND(ISNUMBER('멍텅(실측)'!L17),ISNUMBER('멍텅(실측)'!K17)),IF(ISNUMBER('멍텅(실측)'!K17),IF(9-MIN('멍텅(실측)'!K17+멍텅A늘림,'멍텅(실측)'!L17+멍텅A늘림)&lt;AM17,AM17,9-MIN('멍텅(실측)'!K17+멍텅A늘림,'멍텅(실측)'!L17+멍텅A늘림) + AM17 ),0),IF(ISNUMBER('멍텅(실측)'!K17),IF(9-'멍텅(실측)'!K17-멍텅A늘림+AM17&lt;AM17,AM17,9-'멍텅(실측)'!K17-멍텅A늘림+AM17),0))</f>
        <v>0</v>
      </c>
      <c r="AL17" s="3">
        <f>IF(AND(ISNUMBER('멍텅(실측)'!K17),ISNUMBER('멍텅(실측)'!L17)),IF(ISNUMBER('멍텅(실측)'!L17),IF(9-MIN('멍텅(실측)'!L17+멍텅A늘림,'멍텅(실측)'!K17+멍텅A늘림)+AM17&lt;AM17,AM17,9-MIN('멍텅(실측)'!L17+멍텅A늘림,'멍텅(실측)'!K17+멍텅A늘림)+AM17),0),IF(ISNUMBER('멍텅(실측)'!L17),IF(9-'멍텅(실측)'!L17-멍텅A늘림+AM17&lt;AM17,AM17,9-'멍텅(실측)'!L17-멍텅A늘림+AM17),0))</f>
        <v>0</v>
      </c>
      <c r="AM17" s="16"/>
      <c r="AN17" s="17">
        <f t="shared" si="17"/>
        <v>8.7608157279257623E-2</v>
      </c>
      <c r="AO17" s="36">
        <f t="shared" si="5"/>
        <v>3.8226232663873816E-4</v>
      </c>
      <c r="AP17" s="36">
        <f t="shared" si="6"/>
        <v>3.8226232663873816E-4</v>
      </c>
      <c r="AQ17" s="46" t="str">
        <f t="shared" si="18"/>
        <v/>
      </c>
      <c r="AR17" s="3">
        <f t="shared" si="19"/>
        <v>971</v>
      </c>
      <c r="AS17" s="3">
        <f t="shared" si="20"/>
        <v>395.4</v>
      </c>
      <c r="AT17" s="3">
        <f t="shared" si="21"/>
        <v>399.2</v>
      </c>
      <c r="AU17" s="3">
        <f t="shared" si="22"/>
        <v>2094</v>
      </c>
      <c r="AV17" s="3">
        <f t="shared" si="23"/>
        <v>399.2</v>
      </c>
      <c r="AW17" s="3">
        <f t="shared" si="24"/>
        <v>2093</v>
      </c>
      <c r="AX17">
        <f t="shared" si="25"/>
        <v>0</v>
      </c>
      <c r="AY17">
        <f t="shared" si="26"/>
        <v>0</v>
      </c>
      <c r="AZ17" s="79">
        <f t="shared" si="27"/>
        <v>1</v>
      </c>
      <c r="BA17" s="83">
        <f>IF(소장="손상민",'멍텅(실측)'!AD17,0)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:D17">
    <cfRule type="cellIs" dxfId="67" priority="26" operator="greaterThan">
      <formula>1210</formula>
    </cfRule>
  </conditionalFormatting>
  <conditionalFormatting sqref="AF7:AH17">
    <cfRule type="cellIs" dxfId="66" priority="13" operator="greaterThan">
      <formula>1.2</formula>
    </cfRule>
  </conditionalFormatting>
  <conditionalFormatting sqref="G7:J17">
    <cfRule type="cellIs" dxfId="65" priority="11" operator="greaterThan">
      <formula>500</formula>
    </cfRule>
  </conditionalFormatting>
  <conditionalFormatting sqref="E7:E17">
    <cfRule type="cellIs" dxfId="64" priority="10" operator="notEqual">
      <formula>F7</formula>
    </cfRule>
  </conditionalFormatting>
  <conditionalFormatting sqref="F7:F17">
    <cfRule type="cellIs" dxfId="63" priority="9" operator="notEqual">
      <formula>E7</formula>
    </cfRule>
  </conditionalFormatting>
  <conditionalFormatting sqref="I7:I17">
    <cfRule type="cellIs" dxfId="62" priority="6" operator="notEqual">
      <formula>J7</formula>
    </cfRule>
  </conditionalFormatting>
  <conditionalFormatting sqref="J7:J17 H7:H17">
    <cfRule type="cellIs" dxfId="61" priority="4" operator="notEqual">
      <formula>G7</formula>
    </cfRule>
  </conditionalFormatting>
  <conditionalFormatting sqref="G7:G17">
    <cfRule type="cellIs" dxfId="60" priority="3" operator="notEqual">
      <formula>H7</formula>
    </cfRule>
  </conditionalFormatting>
  <conditionalFormatting sqref="Y7:AB1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서울 서초구 공작빌라트 ) _추영덕소장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서울 서초구 공작빌라트 , 재질 : HL Ecolor Bronze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F5:F6"/>
    <mergeCell ref="G5:G6"/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7"/>
  <sheetViews>
    <sheetView zoomScale="85" zoomScaleNormal="85" workbookViewId="0">
      <selection sqref="A1:AA1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서울 서초구 공작빌라트 (쪽쟘제작치수)  추영덕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COUNTA(A7:A150) &amp;" (SET)"</f>
        <v>총 : 1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Ecolor Bronze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2">
        <v>0</v>
      </c>
      <c r="J3" s="292"/>
      <c r="K3" s="63"/>
      <c r="L3" s="63"/>
      <c r="M3" s="246" t="s">
        <v>82</v>
      </c>
      <c r="N3" s="246"/>
      <c r="O3" s="246"/>
      <c r="P3" s="293">
        <v>0</v>
      </c>
      <c r="Q3" s="293"/>
      <c r="R3" s="243" t="s">
        <v>90</v>
      </c>
      <c r="S3" s="243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+(0 ),  늘어난치수K -(0), OP - (0),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" si="4">MAX(M7,N7)+F7+V7-쪽쟘소재t*3+IF(M7=0,쪽쟘소재t)-IF(AA7=90,2.4,0)</f>
        <v>-2.3999999999999995</v>
      </c>
      <c r="AH7">
        <f>MAX(Q7,R7)</f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 M7 S7">
    <cfRule type="cellIs" dxfId="58" priority="4" operator="notEqual">
      <formula>L7</formula>
    </cfRule>
  </conditionalFormatting>
  <conditionalFormatting sqref="L7 N7 T7">
    <cfRule type="cellIs" dxfId="57" priority="3" operator="notEqual">
      <formula>K7</formula>
    </cfRule>
  </conditionalFormatting>
  <conditionalFormatting sqref="Y7:AA7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서울 서초구 공작빌라트 (제작치수 샤링작지) 추영덕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Ecolor Bronze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1 매</v>
      </c>
      <c r="H3" s="289"/>
      <c r="I3" s="292">
        <v>0</v>
      </c>
      <c r="J3" s="292"/>
      <c r="K3" s="63"/>
      <c r="L3" s="63"/>
      <c r="M3" s="246" t="s">
        <v>161</v>
      </c>
      <c r="N3" s="246"/>
      <c r="O3" s="246"/>
      <c r="P3" s="293">
        <v>0</v>
      </c>
      <c r="Q3" s="293"/>
      <c r="R3" s="243" t="s">
        <v>162</v>
      </c>
      <c r="S3" s="243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e">
        <f>IF(쪽쟘제작!#REF!&lt;&gt;쪽쟘제작!#REF!,"",AC8&amp;"*"&amp;AB8)</f>
        <v>#REF!</v>
      </c>
      <c r="H8" s="68" t="e">
        <f>IF(쪽쟘제작!#REF!&lt;&gt;쪽쟘제작!#REF!,"",AE8&amp;"*"&amp;AD8)</f>
        <v>#REF!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서울 서초구 공작빌라트 ) _추영덕소장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서울 서초구 공작빌라트,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(1.2), JB/JD +(0 ),  늘어난치수K -(0),  C + (0),   U + (0), OP - (0), R - (0),  기둥차감 - (4), A + (0)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A4" sqref="A4:AF4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서울 서초구 공작빌라트 ) _추영덕소장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0</v>
      </c>
      <c r="U2" s="191"/>
      <c r="V2" s="167" t="s">
        <v>83</v>
      </c>
      <c r="W2" s="193"/>
      <c r="X2" s="193"/>
      <c r="Y2" s="194">
        <v>4</v>
      </c>
      <c r="Z2" s="194"/>
      <c r="AA2" s="322">
        <f>정보!B5</f>
        <v>0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0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 x14ac:dyDescent="0.3">
      <c r="A3" s="28" t="str">
        <f>'SO와이드(실측)'!A3</f>
        <v>현장명 : 서울 서초구 공작빌라트,   (재질) : HL Ecolor Bronze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0</v>
      </c>
      <c r="Q3" s="220"/>
      <c r="R3" s="190" t="s">
        <v>77</v>
      </c>
      <c r="S3" s="190"/>
      <c r="T3" s="197">
        <v>0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0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320</v>
      </c>
      <c r="AT3" s="228"/>
      <c r="AU3" s="231" t="e">
        <f>AY7</f>
        <v>#DIV/0!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(1.2), JB/JD +(0 ),  늘어난치수K -(0),  C + (0),   U + (0), OP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306</v>
      </c>
      <c r="AH4" s="316"/>
      <c r="AI4" s="275">
        <f>'SO와이드(실측)'!AA7</f>
        <v>0</v>
      </c>
      <c r="AJ4" s="275"/>
      <c r="AK4" s="222">
        <f ca="1">TODAY()</f>
        <v>45446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-4</v>
      </c>
      <c r="Y7" s="31">
        <f>'SO와이드(실측)'!S7-SO와이드기둥차감</f>
        <v>-4</v>
      </c>
      <c r="Z7" s="31">
        <f>'SO와이드(실측)'!T7-SO와이드기둥차감</f>
        <v>-4</v>
      </c>
      <c r="AA7" s="31">
        <f>'SO와이드(실측)'!U7-SO와이드기둥차감</f>
        <v>-4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0*-3.6</v>
      </c>
      <c r="AO7" s="31" t="str">
        <f t="shared" ref="AO7" si="2">BI7&amp;"*"&amp;BH7</f>
        <v>-5.2*-2.4</v>
      </c>
      <c r="AP7" s="31" t="str">
        <f t="shared" ref="AP7" si="3">BK7&amp;"*"&amp;BJ7</f>
        <v>-5.2*-2.4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-3.5999999999999996</v>
      </c>
      <c r="BH7" s="41">
        <f>V7+R7+MAX(J7,K7)+AE7-1.2*$AP$3+IF(BN7=0,MAX(AH7,AG7),0)+IF(V7=0,1.2,0)-IF(AV7=90,2.4,0)</f>
        <v>-2.3999999999999995</v>
      </c>
      <c r="BI7" s="41">
        <f>MAX(X7,Y7)+AK7</f>
        <v>-5.2</v>
      </c>
      <c r="BJ7" s="41">
        <f>W7+S7+MAX(L7,M7)+AF7-1.2*$AP$3+IF(BN7=0,MAX(AI7,AJ7),0)+IF(W7=0,1.2,0)-IF(AV7=90,2.4,0)</f>
        <v>-2.3999999999999995</v>
      </c>
      <c r="BK7" s="41">
        <f>MAX(Z7,AA7)+AL7</f>
        <v>-5.2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서울 서초구 공작빌라트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서울 서초구 공작빌라트,   (재질) : HL Ecolor Bronze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63" t="str">
        <f>정보!B14</f>
        <v>제작치수 반영 : JB/JD +(0 ),  늘어난치수K -(0),  C + (0),  U +(0), OP1/OP2 -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39" t="s">
        <v>21</v>
      </c>
      <c r="X5" s="240"/>
      <c r="Y5" s="240"/>
      <c r="Z5" s="241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9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9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/>
      <c r="AI10" s="3"/>
      <c r="AJ10" s="3"/>
      <c r="AK10" s="3"/>
      <c r="AL10" s="3"/>
      <c r="AM10" s="3"/>
      <c r="AN10" s="3"/>
      <c r="AO10" s="3"/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/>
      <c r="AI11" s="3"/>
      <c r="AJ11" s="3"/>
      <c r="AK11" s="3"/>
      <c r="AL11" s="3"/>
      <c r="AM11" s="3"/>
      <c r="AN11" s="3"/>
      <c r="AO11" s="3"/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activeCell="K3" sqref="K3:N3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서울 서초구 공작빌라트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0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0</v>
      </c>
      <c r="AA2" s="337"/>
      <c r="AB2" s="22"/>
      <c r="AC2" s="189" t="s">
        <v>82</v>
      </c>
      <c r="AD2" s="190"/>
      <c r="AE2" s="338">
        <v>4</v>
      </c>
      <c r="AF2" s="338"/>
      <c r="AG2" s="142" t="s">
        <v>90</v>
      </c>
      <c r="AH2" s="339">
        <v>0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서울 서초구 공작빌라트,   (재질) : HL Ecolor Bronze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0</v>
      </c>
      <c r="L3" s="220"/>
      <c r="M3" s="220"/>
      <c r="N3" s="220"/>
      <c r="O3" s="190" t="s">
        <v>77</v>
      </c>
      <c r="P3" s="190"/>
      <c r="Q3" s="197">
        <v>0</v>
      </c>
      <c r="R3" s="197"/>
      <c r="S3" s="218" t="s">
        <v>227</v>
      </c>
      <c r="T3" s="218"/>
      <c r="U3" s="218"/>
      <c r="V3" s="330">
        <v>1</v>
      </c>
      <c r="W3" s="330"/>
      <c r="X3" s="218" t="s">
        <v>78</v>
      </c>
      <c r="Y3" s="218"/>
      <c r="Z3" s="334">
        <v>0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321</v>
      </c>
      <c r="AK3" s="281"/>
      <c r="AL3" s="212"/>
      <c r="AM3" s="333" t="e">
        <f>AR7</f>
        <v>#DIV/0!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+(0 ),  늘어난치수K -(0),  C + (0),  U +(0), OP1/OP2 -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307</v>
      </c>
      <c r="AD4" s="331"/>
      <c r="AE4" s="332">
        <f>'SO멍텅(실측)'!W7</f>
        <v>0</v>
      </c>
      <c r="AF4" s="332"/>
      <c r="AG4" s="158"/>
      <c r="AH4" s="329">
        <f ca="1">TODAY()</f>
        <v>45446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299</v>
      </c>
      <c r="AP5" s="177" t="s">
        <v>300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-4</v>
      </c>
      <c r="U7" s="4">
        <f>'SO멍텅(실측)'!O7-SO멍텅기둥차감</f>
        <v>-4</v>
      </c>
      <c r="V7" s="4">
        <f>'SO멍텅(실측)'!P7-SO멍텅기둥차감</f>
        <v>-4</v>
      </c>
      <c r="W7" s="4">
        <f>'SO멍텅(실측)'!Q7-SO멍텅기둥차감</f>
        <v>-4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0*-3.6</v>
      </c>
      <c r="AH7" s="12" t="str">
        <f t="shared" ref="AH7" si="2">AZ7&amp;"*"&amp;AY7</f>
        <v>-4*-2.6</v>
      </c>
      <c r="AI7" s="10" t="str">
        <f t="shared" ref="AI7" si="3">BB7&amp;"*"&amp;BA7</f>
        <v>-4*-2.6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-4</v>
      </c>
      <c r="BA7" s="3">
        <f>S7+Q7+MAX(J7,K7)+AB7-1.2*$AI$3+IF(BE7=0,MAX(AE7,AF7))+IF(S7=0,1.2,0)-IF(AL7=90,2.4,0)</f>
        <v>-2.5999999999999996</v>
      </c>
      <c r="BB7" s="3">
        <f t="shared" ref="BB7" si="6">MAX(V7,W7)</f>
        <v>-4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서울 서초구 공작빌라트 ) _추영덕소장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서울 서초구 공작빌라트,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(1.2), JB/JD +(0 ),  늘어난치수K -(0),  C + (0),   U + (0), OP1/OP3 - (0), R - (0),  기둥차감 - (4), A + (0)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R3" sqref="R3:S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서울 서초구 공작빌라트 ) _추영덕소장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0</v>
      </c>
      <c r="W2" s="191"/>
      <c r="X2" s="283" t="s">
        <v>83</v>
      </c>
      <c r="Y2" s="198"/>
      <c r="Z2" s="198"/>
      <c r="AA2" s="194">
        <v>4</v>
      </c>
      <c r="AB2" s="194"/>
      <c r="AC2" s="322">
        <f>정보!B5</f>
        <v>0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0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 x14ac:dyDescent="0.3">
      <c r="A3" s="28" t="str">
        <f>'4CO와이드(실측)'!A3</f>
        <v>현장명 : 서울 서초구 공작빌라트,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0</v>
      </c>
      <c r="S3" s="220"/>
      <c r="T3" s="190" t="s">
        <v>77</v>
      </c>
      <c r="U3" s="190"/>
      <c r="V3" s="197">
        <v>0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0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322</v>
      </c>
      <c r="AU3" s="342"/>
      <c r="AV3" s="231" t="e">
        <f>AZ7</f>
        <v>#DIV/0!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(1.2), JB/JD +(0 ),  늘어난치수K -(0),  C + (0),   U + (0), OP1/OP3 -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308</v>
      </c>
      <c r="AI4" s="343"/>
      <c r="AJ4" s="343">
        <f>'4CO와이드(실측)'!AB7</f>
        <v>0</v>
      </c>
      <c r="AK4" s="343"/>
      <c r="AL4" s="222">
        <f ca="1">TODAY()</f>
        <v>45446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328</v>
      </c>
      <c r="Q5" s="311" t="s">
        <v>329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0</v>
      </c>
      <c r="D7" s="31">
        <f>'4CO와이드(실측)'!D7+CO4와이드MH더함-IF(AND(소장="추영덕",AD7=0),1.2)</f>
        <v>0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-4</v>
      </c>
      <c r="AA7" s="31">
        <f>'4CO와이드(실측)'!U7-CO4와이드기둥차감</f>
        <v>-4</v>
      </c>
      <c r="AB7" s="31">
        <f>'4CO와이드(실측)'!V7-CO4와이드기둥차감</f>
        <v>-4</v>
      </c>
      <c r="AC7" s="31">
        <f>'4CO와이드(실측)'!W7-CO4와이드기둥차감</f>
        <v>-4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-1.2</v>
      </c>
      <c r="AM7" s="31">
        <f xml:space="preserve"> IF(소장&lt;&gt;"손상민",IF('4CO와이드(실측)'!AG7&gt;0,'4CO와이드(실측)'!AG7,D7-1.2),IF('4CO와이드(실측)'!AG7&gt;0,'4CO와이드(실측)'!AG7+1.2,D7))</f>
        <v>-1.2</v>
      </c>
      <c r="AN7" s="51">
        <f>IF(AE7&gt;0,AE7-MAX(V7,W7),0)</f>
        <v>0</v>
      </c>
      <c r="AO7" s="31" t="str">
        <f t="shared" ref="AO7" si="1">BF7&amp;"*"&amp;BG7</f>
        <v>0*-3.6</v>
      </c>
      <c r="AP7" s="31" t="str">
        <f t="shared" ref="AP7" si="2">BI7&amp;"*"&amp;BH7</f>
        <v>-5.2*-2.4</v>
      </c>
      <c r="AQ7" s="31" t="str">
        <f t="shared" ref="AQ7" si="3">BK7&amp;"*"&amp;BJ7</f>
        <v>-5.2*-2.4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-3.5999999999999996</v>
      </c>
      <c r="BH7" s="41">
        <f>X7+T7+MAX(L7,M7)+AG7-1.2*$AQ$3+IF(BN7=0,MAX(AI7,AH7),0)+IF(X7=0,1.2,0)-IF(AW7=90,2.4,0)</f>
        <v>-2.3999999999999995</v>
      </c>
      <c r="BI7" s="41">
        <f>MAX(Z7,AA7)+AL7</f>
        <v>-5.2</v>
      </c>
      <c r="BJ7" s="41">
        <f>Y7+U7+MAX(N7,O7)+AG7-1.2*$AQ$3+IF(BN7=0,MAX(AJ7,AK7),0)+IF(Y7=0,1.2,0)-IF(AW7=90,2.4,0)</f>
        <v>-2.3999999999999995</v>
      </c>
      <c r="BK7" s="41">
        <f>MAX(AB7,AC7)+AM7</f>
        <v>-5.2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서울 서초구 공작빌라트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서울 서초구 공작빌라트,   (재질) : HL Ecolor Bronze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63" t="str">
        <f>정보!B16</f>
        <v>제작치수 반영 : JB/JD +(0 ),  늘어난치수K -(0),  C + (0),  U +(0), OP1/OP3 -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M3" sqref="M3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서울 서초구 공작빌라트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301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0</v>
      </c>
      <c r="AC2" s="69"/>
      <c r="AD2" s="251" t="s">
        <v>82</v>
      </c>
      <c r="AE2" s="252"/>
      <c r="AF2" s="344">
        <v>4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서울 서초구 공작빌라트,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0</v>
      </c>
      <c r="N3" s="100"/>
      <c r="O3" s="100"/>
      <c r="P3" s="100"/>
      <c r="Q3" s="251" t="s">
        <v>77</v>
      </c>
      <c r="R3" s="251"/>
      <c r="S3" s="264">
        <v>0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0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323</v>
      </c>
      <c r="AL3" s="212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+(0 ),  늘어난치수K -(0),  C + (0),  U +(0), OP1/OP3 -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306</v>
      </c>
      <c r="AE4" s="343"/>
      <c r="AF4" s="343">
        <f>'4CO멍텅(실측)'!X7</f>
        <v>0</v>
      </c>
      <c r="AG4" s="343"/>
      <c r="AH4" s="9"/>
      <c r="AI4" s="222">
        <f ca="1">TODAY()</f>
        <v>45446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330</v>
      </c>
      <c r="O5" s="311" t="s">
        <v>331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299</v>
      </c>
      <c r="AQ5" s="177" t="s">
        <v>300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IF(BE7=0,H7+AF7-(I7+AF7),H7-I7)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-4</v>
      </c>
      <c r="W7" s="4">
        <f>'4CO멍텅(실측)'!Q7-CO4멍텅기둥차감</f>
        <v>-4</v>
      </c>
      <c r="X7" s="4">
        <f>'4CO멍텅(실측)'!R7-CO4멍텅기둥차감</f>
        <v>-4</v>
      </c>
      <c r="Y7" s="4">
        <f>'4CO멍텅(실측)'!S7-CO4멍텅기둥차감</f>
        <v>-4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0*-3.6</v>
      </c>
      <c r="AI7" s="12" t="str">
        <f t="shared" ref="AI7" si="2">AZ7&amp;"*"&amp;AY7</f>
        <v>-4*-2.6</v>
      </c>
      <c r="AJ7" s="10" t="str">
        <f t="shared" ref="AJ7" si="3">BB7&amp;"*"&amp;BA7</f>
        <v>-4*-2.6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-4</v>
      </c>
      <c r="BA7" s="3">
        <f>U7+S7+MAX(L7,M7)+AC7-1.2*$AJ$3+IF(BE7=0,MAX(AF7,AG7))+IF(U7=0,1.2,0)-IF(AM7=90,2.4,0)</f>
        <v>-2.5999999999999996</v>
      </c>
      <c r="BB7" s="3">
        <f t="shared" ref="BB7" si="8">MAX(X7,Y7)</f>
        <v>-4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activeCell="U13" sqref="U13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서울 서초구 공작빌라트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서울 서초구 공작빌라트,   (재질) : HL Ecolor Bronze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63" t="str">
        <f>정보!B17</f>
        <v>제작치수 반영 : JB/JD +(0 ),  늘어난치수K -(0),  C + (0),   U + (0), OP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85" zoomScaleNormal="85" workbookViewId="0">
      <selection activeCell="AE30" sqref="AE30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서울 서초구 공작빌라트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13" t="s">
        <v>302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0</v>
      </c>
      <c r="AB2" s="255"/>
      <c r="AC2" s="251" t="s">
        <v>82</v>
      </c>
      <c r="AD2" s="252"/>
      <c r="AE2" s="253">
        <v>4</v>
      </c>
      <c r="AF2" s="253"/>
      <c r="AG2" s="98" t="s">
        <v>114</v>
      </c>
      <c r="AH2" s="250">
        <v>0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서울 서초구 공작빌라트,   (재질) : HL Ecolor Bronze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0</v>
      </c>
      <c r="K3" s="263"/>
      <c r="L3" s="263"/>
      <c r="M3" s="263"/>
      <c r="N3" s="251" t="s">
        <v>77</v>
      </c>
      <c r="O3" s="251"/>
      <c r="P3" s="264">
        <v>0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0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324</v>
      </c>
      <c r="AK3" s="212"/>
      <c r="AL3" s="160" t="e">
        <f>AO7</f>
        <v>#DIV/0!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+(0 ),  늘어난치수K -(0),  C + (0),   U + (0), OP - (0), R - (0),  기둥차감 - (4), A + (0)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325</v>
      </c>
      <c r="Z4" s="355"/>
      <c r="AA4" s="356">
        <f>AC7</f>
        <v>0</v>
      </c>
      <c r="AB4" s="357"/>
      <c r="AC4" s="75"/>
      <c r="AD4" s="75"/>
      <c r="AE4" s="75"/>
      <c r="AF4" s="75"/>
      <c r="AG4" s="9"/>
      <c r="AH4" s="222">
        <f ca="1">TODAY()</f>
        <v>45446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299</v>
      </c>
      <c r="AM5" s="177" t="s">
        <v>300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-4</v>
      </c>
      <c r="T7" s="4">
        <f>'2UP(실측)'!P7</f>
        <v>0</v>
      </c>
      <c r="U7" s="4">
        <f>'2UP(실측)'!Q7-UP2멍텅기둥차감</f>
        <v>-4</v>
      </c>
      <c r="V7" s="4">
        <f>'2UP(실측)'!R7-UP2멍텅기둥차감</f>
        <v>-4</v>
      </c>
      <c r="W7" s="4">
        <f>'2UP(실측)'!S7</f>
        <v>0</v>
      </c>
      <c r="X7" s="4">
        <f>'2UP(실측)'!T7-UP2멍텅기둥차감</f>
        <v>-4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0*-2.4</v>
      </c>
      <c r="AH7" s="12" t="str">
        <f t="shared" ref="AH7" si="2">AV7&amp;"*"&amp;AU7</f>
        <v>-4*-2.6</v>
      </c>
      <c r="AI7" s="10" t="str">
        <f t="shared" ref="AI7" si="3">AX7&amp;"*"&amp;AW7</f>
        <v>-4*-2.6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-4</v>
      </c>
      <c r="AW7" s="3">
        <f>R7+P7+MAX(I7,J7)+AB7-1.2*$AI$3+IF(BA7=0,MAX(AE7,AF7))+IF(R7=0,1.2,0)</f>
        <v>-2.5999999999999996</v>
      </c>
      <c r="AX7" s="3">
        <f>MAX(V7,W7+X7)</f>
        <v>-4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ht="26.25" customHeight="1" x14ac:dyDescent="0.3">
      <c r="A8" s="4">
        <f>'2UP(실측)'!A8</f>
        <v>0</v>
      </c>
      <c r="B8" s="4" t="str">
        <f>'2UP(실측)'!B8&amp;"F"</f>
        <v>F</v>
      </c>
      <c r="C8" s="4">
        <f>'2UP(실측)'!C8-UP2멍텅OP</f>
        <v>0</v>
      </c>
      <c r="D8" s="4">
        <f>'2UP(실측)'!D8-UP2멍텅R</f>
        <v>0</v>
      </c>
      <c r="E8" s="4">
        <f>'2UP(실측)'!E8+MAX(AL8,AM8)+IF(BA8=1,AC8,0)+UP2멍텅JBJD늘림치수</f>
        <v>0</v>
      </c>
      <c r="F8" s="4">
        <f>'2UP(실측)'!F8+MAX(AL8,AM8)+IF(BA8=1,AE8,0)+UP2멍텅JBJD늘림치수</f>
        <v>0</v>
      </c>
      <c r="G8" s="4">
        <f>'2UP(실측)'!G8+AL8+IF(BA8=1,AC8,0)+UP2멍텅JB강제키움+UP2멍텅JBJD늘림치수</f>
        <v>0</v>
      </c>
      <c r="H8" s="4">
        <f>'2UP(실측)'!H8+AL8+IF(BA8=1,AD8,0)+UP2멍텅JB강제키움+UP2멍텅JBJD늘림치수-IF(UP2멍텅JB하부늘치=1,'2UP(실측)'!Y8-'2UP(실측)'!Z8,0)</f>
        <v>0</v>
      </c>
      <c r="I8" s="4">
        <f>'2UP(실측)'!I8+AM8+IF(BA8=1,AE8,0)+UP2멍텅JB강제키움+UP2멍텅JBJD늘림치수</f>
        <v>0</v>
      </c>
      <c r="J8" s="4">
        <f>'2UP(실측)'!J8+AM8+IF(BA8=1,AF8,0)+UP2멍텅JB강제키움+UP2멍텅JBJD늘림치수-IF(UP2멍텅JB하부늘치=1,'2UP(실측)'!AA8-'2UP(실측)'!AB8,0)</f>
        <v>0</v>
      </c>
      <c r="K8" s="103">
        <f>H8-G8</f>
        <v>0</v>
      </c>
      <c r="L8" s="103">
        <f>J8-I8</f>
        <v>0</v>
      </c>
      <c r="M8" s="4">
        <f t="shared" ref="M8" si="4">O8+IF(소장="손상민",0,-1.5)</f>
        <v>-0.5</v>
      </c>
      <c r="N8" s="4">
        <f t="shared" ref="N8" si="5">P8+IF(소장="손상민",0,-1.5)</f>
        <v>-0.5</v>
      </c>
      <c r="O8" s="4">
        <f>IF(Q8&gt;0,'2UP(실측)'!K8+UP2멍텅C늘림,'2UP(실측)'!K8+1)</f>
        <v>1</v>
      </c>
      <c r="P8" s="4">
        <f>IF(R8&gt;0,'2UP(실측)'!L8+UP2멍텅C늘림,'2UP(실측)'!L8+1)</f>
        <v>1</v>
      </c>
      <c r="Q8" s="4">
        <f>IF(ISNUMBER('2UP(실측)'!M8),'2UP(실측)'!M8+'2UP제작'!AL8+UP2멍텅A늘림,0)</f>
        <v>0</v>
      </c>
      <c r="R8" s="4">
        <f>IF(ISNUMBER('2UP(실측)'!N8),'2UP(실측)'!N8+'2UP제작'!AM8+UP2멍텅A늘림,0)</f>
        <v>0</v>
      </c>
      <c r="S8" s="4">
        <f>'2UP(실측)'!O8-UP2멍텅기둥차감</f>
        <v>-4</v>
      </c>
      <c r="T8" s="4">
        <f>'2UP(실측)'!P8</f>
        <v>0</v>
      </c>
      <c r="U8" s="4">
        <f>'2UP(실측)'!Q8-UP2멍텅기둥차감</f>
        <v>-4</v>
      </c>
      <c r="V8" s="4">
        <f>'2UP(실측)'!R8-UP2멍텅기둥차감</f>
        <v>-4</v>
      </c>
      <c r="W8" s="4">
        <f>'2UP(실측)'!S8</f>
        <v>0</v>
      </c>
      <c r="X8" s="4">
        <f>'2UP(실측)'!T8-UP2멍텅기둥차감</f>
        <v>-4</v>
      </c>
      <c r="Y8" s="4">
        <f>IF(ISNUMBER('2UP(실측)'!U8),IF(Z8&gt;0,'2UP(실측)'!U8+UP2멍텅U늘림,'2UP(실측)'!U8+1.2),0)</f>
        <v>0</v>
      </c>
      <c r="Z8" s="4">
        <f>IF(OR(UP2멍텅G="", UP2멍텅G=0),IF(ISNUMBER('2UP(실측)'!V8),IF('2UP(실측)'!V8+UP2멍텅A늘림+MAX(AL8,AM8)&gt;9,'2UP(실측)'!V8+UP2멍텅A늘림+MAX(AL8,AM8),'2UP(실측)'!V8+UP2멍텅A늘림+MAX(AL8,AM8)),0),UP2멍텅G)</f>
        <v>0</v>
      </c>
      <c r="AA8" s="4">
        <f>'2UP(실측)'!W8+뒷날개치수더함</f>
        <v>0</v>
      </c>
      <c r="AB8" s="4">
        <f>'2UP(실측)'!X8+뒷날개치수더함</f>
        <v>0</v>
      </c>
      <c r="AC8" s="13">
        <f>'2UP(실측)'!Y8-UP2멍텅늘치차감</f>
        <v>0</v>
      </c>
      <c r="AD8" s="13">
        <f>IF(UP2멍텅JB하부늘치=1,AC8,'2UP(실측)'!Z8-UP2멍텅늘치차감)</f>
        <v>0</v>
      </c>
      <c r="AE8" s="13">
        <f>'2UP(실측)'!AA8-UP2멍텅늘치차감</f>
        <v>0</v>
      </c>
      <c r="AF8" s="13">
        <f>IF(UP2멍텅JB하부늘치=1,AE8,'2UP(실측)'!AB8-UP2멍텅늘치차감)</f>
        <v>0</v>
      </c>
      <c r="AG8" s="11" t="str">
        <f t="shared" ref="AG8" si="6">AS8&amp;"*"&amp;AT8</f>
        <v>0*-2.4</v>
      </c>
      <c r="AH8" s="12" t="str">
        <f t="shared" ref="AH8" si="7">AV8&amp;"*"&amp;AU8</f>
        <v>-4*-2.6</v>
      </c>
      <c r="AI8" s="10" t="str">
        <f t="shared" ref="AI8" si="8">AX8&amp;"*"&amp;AW8</f>
        <v>-4*-2.6</v>
      </c>
      <c r="AJ8" s="31">
        <f>IF('2UP(실측)'!AC8&gt;0,'2UP(실측)'!AC8-'2UP(실측)'!W8+1.2,0)</f>
        <v>0</v>
      </c>
      <c r="AK8" s="31">
        <f>IF('2UP(실측)'!AD8&gt;0,'2UP(실측)'!AD8-'2UP(실측)'!W8+1.2,0)</f>
        <v>0</v>
      </c>
      <c r="AL8" s="3">
        <f>IF(AND(ISNUMBER('2UP(실측)'!N8),ISNUMBER('2UP(실측)'!M8)),IF(ISNUMBER('2UP(실측)'!M8),IF(9-MIN('2UP(실측)'!M8+UP2멍텅A늘림,'2UP(실측)'!N8+UP2멍텅A늘림)&lt;AN8,AN8,9-MIN('2UP(실측)'!M8+UP2멍텅A늘림,'2UP(실측)'!N8+UP2멍텅A늘림) + AN8 ),0),IF(ISNUMBER('2UP(실측)'!M8),IF(9-'2UP(실측)'!M8-UP2멍텅A늘림+AN8&lt;AN8,AN8,9-'2UP(실측)'!M8-UP2멍텅A늘림+AN8),0))</f>
        <v>0</v>
      </c>
      <c r="AM8" s="3">
        <f>IF(AND(ISNUMBER('2UP(실측)'!M8),ISNUMBER('2UP(실측)'!N8)),IF(ISNUMBER('2UP(실측)'!N8),IF(9-MIN('2UP(실측)'!N8+UP2멍텅A늘림,'2UP(실측)'!M8+UP2멍텅A늘림)&lt;AN8,AN8,9-MIN('2UP(실측)'!N8+UP2멍텅A늘림,'2UP(실측)'!M8+UP2멍텅A늘림) + AN8 ),0),IF(ISNUMBER('2UP(실측)'!N8),IF(9-'2UP(실측)'!N8-UP2멍텅A늘림+AN8&lt;AN8,AN8,9-'2UP(실측)'!N8-UP2멍텅A늘림+AN8),0))</f>
        <v>0</v>
      </c>
      <c r="AN8" s="16"/>
      <c r="AO8" s="17" t="e">
        <f>DEGREES(ATAN((D8-C8)/2/(E8)))</f>
        <v>#DIV/0!</v>
      </c>
      <c r="AP8" s="36" t="e">
        <f>E8-COS(RADIANS(AO8))*G8</f>
        <v>#DIV/0!</v>
      </c>
      <c r="AQ8" s="36" t="e">
        <f>F8-COS(RADIANS(AO8))*I8</f>
        <v>#DIV/0!</v>
      </c>
      <c r="AR8" s="46" t="str">
        <f>IF(E8+AC8&lt;&gt;F8+AE8,"JD비대칭","")</f>
        <v/>
      </c>
      <c r="AS8" s="3">
        <f>D8 + IF(Y8+Z8&gt;0, M8+N8,0)</f>
        <v>0</v>
      </c>
      <c r="AT8" s="3">
        <f>Y8+MAX(E8,F8)+AA8+Z8-1.2*$AG$3+IF(BA8=0,MAX(AC8,AE8))+IF(Z8=0,1.2,0)</f>
        <v>-2.3999999999999995</v>
      </c>
      <c r="AU8" s="3">
        <f>Q8+O8+MAX(G8,H8)+AB8-1.2*$AI$3+IF(BA8=0,MAX(AC8,AD8))+IF(Q8=0,1.2,0)</f>
        <v>-2.5999999999999996</v>
      </c>
      <c r="AV8" s="3">
        <f>MAX(S8,T8+U8)</f>
        <v>-4</v>
      </c>
      <c r="AW8" s="3">
        <f>R8+P8+MAX(I8,J8)+AB8-1.2*$AI$3+IF(BA8=0,MAX(AE8,AF8))+IF(R8=0,1.2,0)</f>
        <v>-2.5999999999999996</v>
      </c>
      <c r="AX8" s="3">
        <f>MAX(V8,W8+X8)</f>
        <v>-4</v>
      </c>
      <c r="AY8">
        <f>G8-E8</f>
        <v>0</v>
      </c>
      <c r="AZ8">
        <f>9-Z8</f>
        <v>9</v>
      </c>
      <c r="BA8" s="79">
        <f>IF(AND(MIN(AC8,AE8)&gt;=9.2,D8-C8&gt;15),0,1)</f>
        <v>1</v>
      </c>
      <c r="BB8" s="83">
        <f>IF(소장="손상민",'2UP(실측)'!AE8,0)</f>
        <v>0</v>
      </c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8">
    <cfRule type="expression" dxfId="9" priority="45">
      <formula>$BA7</formula>
    </cfRule>
  </conditionalFormatting>
  <conditionalFormatting sqref="E7:E8">
    <cfRule type="cellIs" dxfId="8" priority="6" operator="notEqual">
      <formula>F7</formula>
    </cfRule>
  </conditionalFormatting>
  <conditionalFormatting sqref="F7:F8">
    <cfRule type="cellIs" dxfId="7" priority="5" operator="notEqual">
      <formula>E7</formula>
    </cfRule>
  </conditionalFormatting>
  <conditionalFormatting sqref="G7:G8">
    <cfRule type="cellIs" dxfId="6" priority="4" operator="notEqual">
      <formula>H7</formula>
    </cfRule>
  </conditionalFormatting>
  <conditionalFormatting sqref="H7:H8">
    <cfRule type="cellIs" dxfId="5" priority="3" operator="notEqual">
      <formula>G7</formula>
    </cfRule>
  </conditionalFormatting>
  <conditionalFormatting sqref="I7:I8">
    <cfRule type="cellIs" dxfId="4" priority="2" operator="notEqual">
      <formula>J7</formula>
    </cfRule>
  </conditionalFormatting>
  <conditionalFormatting sqref="J7:J8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서울 서초구 공작빌라트 ) _추영덕소장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서울 서초구 공작빌라트,   (재질) : HL Ecolor Bronze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63" t="str">
        <f>정보!B18</f>
        <v>제작치수 반영 : JB/JD +(0 ),  늘어난치수K -(0),  C + (0),   U + (0), OP - (0), R - (0),  기둥차감 - (4),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297</v>
      </c>
      <c r="AE6" s="8" t="s">
        <v>53</v>
      </c>
      <c r="AF6" s="8" t="s">
        <v>54</v>
      </c>
      <c r="AG6" s="8" t="s">
        <v>298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서울 서초구 공작빌라트 ) _추영덕소장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4" t="s">
        <v>303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0</v>
      </c>
      <c r="AF2" s="255"/>
      <c r="AG2" s="251" t="s">
        <v>82</v>
      </c>
      <c r="AH2" s="251"/>
      <c r="AI2" s="252"/>
      <c r="AJ2" s="253">
        <v>4</v>
      </c>
      <c r="AK2" s="253"/>
      <c r="AL2" s="253"/>
      <c r="AM2" s="98" t="s">
        <v>114</v>
      </c>
      <c r="AN2" s="250">
        <v>0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서울 서초구 공작빌라트,   (재질) : HL Ecolor Bronze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0</v>
      </c>
      <c r="M3" s="263"/>
      <c r="N3" s="263"/>
      <c r="O3" s="263"/>
      <c r="P3" s="251" t="s">
        <v>77</v>
      </c>
      <c r="Q3" s="251"/>
      <c r="R3" s="264">
        <v>0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0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320</v>
      </c>
      <c r="AQ3" s="374"/>
      <c r="AR3" s="160" t="e">
        <f>AU7</f>
        <v>#DIV/0!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+(0 ),  늘어난치수K -(0),  C + (0),   U + (0), OP - (0), R - (0),  기둥차감 - (4), A + (0)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326</v>
      </c>
      <c r="AD4" s="277"/>
      <c r="AE4" s="277">
        <f>AG7</f>
        <v>0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45446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299</v>
      </c>
      <c r="AS5" s="177" t="s">
        <v>300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297</v>
      </c>
      <c r="AI6" s="8" t="s">
        <v>57</v>
      </c>
      <c r="AJ6" s="8" t="s">
        <v>54</v>
      </c>
      <c r="AK6" s="8" t="s">
        <v>298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-4</v>
      </c>
      <c r="V7" s="4">
        <f>'3UP(실측)'!R7</f>
        <v>0</v>
      </c>
      <c r="W7" s="4">
        <f>'3UP(실측)'!S7</f>
        <v>0</v>
      </c>
      <c r="X7" s="4">
        <f>'3UP(실측)'!T7-UP3멍텅기둥차감</f>
        <v>-4</v>
      </c>
      <c r="Y7" s="4">
        <f>'3UP(실측)'!U7-UP3멍텅기둥차감</f>
        <v>-4</v>
      </c>
      <c r="Z7" s="4">
        <f>'3UP(실측)'!V7</f>
        <v>0</v>
      </c>
      <c r="AA7" s="4">
        <f>'3UP(실측)'!W7</f>
        <v>0</v>
      </c>
      <c r="AB7" s="4">
        <f>'3UP(실측)'!X7-UP3멍텅기둥차감</f>
        <v>-4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0*-2.4</v>
      </c>
      <c r="AN7" s="12" t="str">
        <f t="shared" ref="AN7" si="2">BB7&amp;"*"&amp;BA7</f>
        <v>-4*-2.6</v>
      </c>
      <c r="AO7" s="10" t="str">
        <f t="shared" ref="AO7" si="3">BD7&amp;"*"&amp;BC7</f>
        <v>-4*-2.6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-4</v>
      </c>
      <c r="BC7" s="3">
        <f>T7+R7+MAX(J7,L7)+AF7-1.2*$AO$3+IF(BG7=0,MAX(AJ7,AL7))+IF(T7=0,1.2,0)</f>
        <v>-2.5999999999999996</v>
      </c>
      <c r="BD7" s="3">
        <f>MAX(Y7,Z7+AA7+AB7)</f>
        <v>-4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2024-06-03T07:39:17Z</dcterms:modified>
</cp:coreProperties>
</file>