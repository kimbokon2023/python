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bookViews>
    <workbookView xWindow="28680" yWindow="765" windowWidth="29040" windowHeight="15840" tabRatio="947" activeTab="3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멍텅제작!$A$1:$AQ$18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0" l="1"/>
  <c r="B8" i="10"/>
  <c r="C8" i="10"/>
  <c r="D8" i="10"/>
  <c r="Q8" i="10"/>
  <c r="R8" i="10"/>
  <c r="AU8" i="10" s="1"/>
  <c r="S8" i="10"/>
  <c r="T8" i="10"/>
  <c r="AW8" i="10" s="1"/>
  <c r="W8" i="10"/>
  <c r="X8" i="10"/>
  <c r="Y8" i="10"/>
  <c r="Z8" i="10"/>
  <c r="AA8" i="10"/>
  <c r="AB8" i="10"/>
  <c r="AF8" i="10"/>
  <c r="AG8" i="10"/>
  <c r="AH8" i="10"/>
  <c r="AI8" i="10"/>
  <c r="AJ8" i="10"/>
  <c r="AK8" i="10"/>
  <c r="V8" i="10" s="1"/>
  <c r="AL8" i="10"/>
  <c r="BA8" i="10"/>
  <c r="A9" i="10"/>
  <c r="B9" i="10"/>
  <c r="C9" i="10"/>
  <c r="D9" i="10"/>
  <c r="Q9" i="10"/>
  <c r="R9" i="10"/>
  <c r="S9" i="10"/>
  <c r="T9" i="10"/>
  <c r="W9" i="10"/>
  <c r="X9" i="10"/>
  <c r="Y9" i="10"/>
  <c r="AZ9" i="10" s="1"/>
  <c r="Z9" i="10"/>
  <c r="AA9" i="10"/>
  <c r="AB9" i="10" s="1"/>
  <c r="AF9" i="10"/>
  <c r="AG9" i="10"/>
  <c r="AH9" i="10"/>
  <c r="AI9" i="10"/>
  <c r="AJ9" i="10"/>
  <c r="AK9" i="10"/>
  <c r="AL9" i="10"/>
  <c r="AU9" i="10"/>
  <c r="BA9" i="10"/>
  <c r="A10" i="10"/>
  <c r="B10" i="10"/>
  <c r="C10" i="10"/>
  <c r="D10" i="10"/>
  <c r="Q10" i="10"/>
  <c r="R10" i="10"/>
  <c r="AU10" i="10" s="1"/>
  <c r="S10" i="10"/>
  <c r="AW10" i="10" s="1"/>
  <c r="T10" i="10"/>
  <c r="W10" i="10"/>
  <c r="X10" i="10"/>
  <c r="Y10" i="10"/>
  <c r="Z10" i="10" s="1"/>
  <c r="AA10" i="10"/>
  <c r="AB10" i="10"/>
  <c r="AF10" i="10"/>
  <c r="AG10" i="10"/>
  <c r="AH10" i="10"/>
  <c r="AI10" i="10"/>
  <c r="AJ10" i="10"/>
  <c r="AK10" i="10"/>
  <c r="AL10" i="10"/>
  <c r="BA10" i="10"/>
  <c r="A11" i="10"/>
  <c r="B11" i="10"/>
  <c r="C11" i="10"/>
  <c r="D11" i="10"/>
  <c r="Q11" i="10"/>
  <c r="R11" i="10"/>
  <c r="S11" i="10"/>
  <c r="T11" i="10"/>
  <c r="W11" i="10"/>
  <c r="X11" i="10"/>
  <c r="Y11" i="10"/>
  <c r="Z11" i="10" s="1"/>
  <c r="AA11" i="10"/>
  <c r="AB11" i="10" s="1"/>
  <c r="AF11" i="10"/>
  <c r="AG11" i="10"/>
  <c r="AH11" i="10"/>
  <c r="AI11" i="10"/>
  <c r="AJ11" i="10"/>
  <c r="AK11" i="10"/>
  <c r="AL11" i="10"/>
  <c r="AU11" i="10"/>
  <c r="BA11" i="10"/>
  <c r="A12" i="10"/>
  <c r="B12" i="10"/>
  <c r="C12" i="10"/>
  <c r="D12" i="10"/>
  <c r="Q12" i="10"/>
  <c r="R12" i="10"/>
  <c r="S12" i="10"/>
  <c r="AW12" i="10" s="1"/>
  <c r="T12" i="10"/>
  <c r="W12" i="10"/>
  <c r="X12" i="10"/>
  <c r="Y12" i="10"/>
  <c r="Z12" i="10" s="1"/>
  <c r="AA12" i="10"/>
  <c r="AB12" i="10"/>
  <c r="AF12" i="10"/>
  <c r="AG12" i="10"/>
  <c r="AH12" i="10"/>
  <c r="AI12" i="10"/>
  <c r="AJ12" i="10"/>
  <c r="AK12" i="10"/>
  <c r="AL12" i="10"/>
  <c r="BA12" i="10"/>
  <c r="A13" i="10"/>
  <c r="B13" i="10"/>
  <c r="C13" i="10"/>
  <c r="D13" i="10"/>
  <c r="Q13" i="10"/>
  <c r="R13" i="10"/>
  <c r="S13" i="10"/>
  <c r="T13" i="10"/>
  <c r="W13" i="10"/>
  <c r="X13" i="10"/>
  <c r="Y13" i="10"/>
  <c r="Z13" i="10"/>
  <c r="AA13" i="10"/>
  <c r="AB13" i="10" s="1"/>
  <c r="AF13" i="10"/>
  <c r="AG13" i="10"/>
  <c r="AH13" i="10"/>
  <c r="AI13" i="10"/>
  <c r="AJ13" i="10"/>
  <c r="AK13" i="10"/>
  <c r="AL13" i="10"/>
  <c r="AU13" i="10"/>
  <c r="BA13" i="10"/>
  <c r="A14" i="10"/>
  <c r="B14" i="10"/>
  <c r="C14" i="10"/>
  <c r="D14" i="10"/>
  <c r="Q14" i="10"/>
  <c r="R14" i="10"/>
  <c r="AU14" i="10" s="1"/>
  <c r="S14" i="10"/>
  <c r="T14" i="10"/>
  <c r="W14" i="10"/>
  <c r="X14" i="10"/>
  <c r="Y14" i="10"/>
  <c r="Z14" i="10"/>
  <c r="AA14" i="10"/>
  <c r="AB14" i="10"/>
  <c r="AF14" i="10"/>
  <c r="AG14" i="10"/>
  <c r="AH14" i="10"/>
  <c r="AI14" i="10"/>
  <c r="AJ14" i="10"/>
  <c r="AK14" i="10"/>
  <c r="O14" i="10" s="1"/>
  <c r="M14" i="10" s="1"/>
  <c r="K14" i="10" s="1"/>
  <c r="AL14" i="10"/>
  <c r="BA14" i="10"/>
  <c r="A15" i="10"/>
  <c r="B15" i="10"/>
  <c r="C15" i="10"/>
  <c r="D15" i="10"/>
  <c r="Q15" i="10"/>
  <c r="R15" i="10"/>
  <c r="S15" i="10"/>
  <c r="T15" i="10"/>
  <c r="W15" i="10"/>
  <c r="X15" i="10"/>
  <c r="Y15" i="10"/>
  <c r="Z15" i="10" s="1"/>
  <c r="AA15" i="10"/>
  <c r="AB15" i="10" s="1"/>
  <c r="AF15" i="10"/>
  <c r="AG15" i="10"/>
  <c r="AH15" i="10"/>
  <c r="AI15" i="10"/>
  <c r="AJ15" i="10"/>
  <c r="AK15" i="10"/>
  <c r="AL15" i="10"/>
  <c r="AU15" i="10"/>
  <c r="BA15" i="10"/>
  <c r="A16" i="10"/>
  <c r="B16" i="10"/>
  <c r="C16" i="10"/>
  <c r="D16" i="10"/>
  <c r="Q16" i="10"/>
  <c r="R16" i="10"/>
  <c r="S16" i="10"/>
  <c r="T16" i="10"/>
  <c r="AW16" i="10" s="1"/>
  <c r="W16" i="10"/>
  <c r="X16" i="10"/>
  <c r="Y16" i="10"/>
  <c r="Z16" i="10" s="1"/>
  <c r="AA16" i="10"/>
  <c r="AB16" i="10" s="1"/>
  <c r="AF16" i="10"/>
  <c r="AG16" i="10"/>
  <c r="AH16" i="10"/>
  <c r="AI16" i="10"/>
  <c r="AJ16" i="10"/>
  <c r="AK16" i="10"/>
  <c r="O16" i="10" s="1"/>
  <c r="M16" i="10" s="1"/>
  <c r="K16" i="10" s="1"/>
  <c r="AL16" i="10"/>
  <c r="BA16" i="10"/>
  <c r="V7" i="8"/>
  <c r="X7" i="8"/>
  <c r="U7" i="8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V13" i="10" l="1"/>
  <c r="U13" i="10" s="1"/>
  <c r="AU12" i="10"/>
  <c r="AW14" i="10"/>
  <c r="V9" i="10"/>
  <c r="AY9" i="10" s="1"/>
  <c r="E9" i="10"/>
  <c r="AN9" i="10" s="1"/>
  <c r="AO9" i="10" s="1"/>
  <c r="AZ8" i="10"/>
  <c r="I8" i="10" s="1"/>
  <c r="AZ12" i="10"/>
  <c r="H12" i="10" s="1"/>
  <c r="AZ13" i="10"/>
  <c r="E13" i="10" s="1"/>
  <c r="AN13" i="10" s="1"/>
  <c r="O8" i="10"/>
  <c r="M8" i="10" s="1"/>
  <c r="K8" i="10" s="1"/>
  <c r="AW13" i="10"/>
  <c r="G9" i="10"/>
  <c r="AW15" i="10"/>
  <c r="AU16" i="10"/>
  <c r="AZ15" i="10"/>
  <c r="E15" i="10" s="1"/>
  <c r="AW11" i="10"/>
  <c r="AZ10" i="10"/>
  <c r="H10" i="10" s="1"/>
  <c r="O12" i="10"/>
  <c r="M12" i="10" s="1"/>
  <c r="K12" i="10" s="1"/>
  <c r="AZ11" i="10"/>
  <c r="E11" i="10" s="1"/>
  <c r="AN11" i="10" s="1"/>
  <c r="V15" i="10"/>
  <c r="U15" i="10" s="1"/>
  <c r="AW9" i="10"/>
  <c r="V11" i="10"/>
  <c r="O10" i="10"/>
  <c r="M10" i="10" s="1"/>
  <c r="K10" i="10" s="1"/>
  <c r="AY8" i="10"/>
  <c r="U8" i="10"/>
  <c r="U11" i="10"/>
  <c r="AY11" i="10"/>
  <c r="P16" i="10"/>
  <c r="P14" i="10"/>
  <c r="P12" i="10"/>
  <c r="P10" i="10"/>
  <c r="P8" i="10"/>
  <c r="V16" i="10"/>
  <c r="V14" i="10"/>
  <c r="V12" i="10"/>
  <c r="V10" i="10"/>
  <c r="J9" i="10"/>
  <c r="I9" i="10"/>
  <c r="P15" i="10"/>
  <c r="P13" i="10"/>
  <c r="P11" i="10"/>
  <c r="P9" i="10"/>
  <c r="H9" i="10"/>
  <c r="AZ16" i="10"/>
  <c r="H16" i="10" s="1"/>
  <c r="O15" i="10"/>
  <c r="AZ14" i="10"/>
  <c r="I14" i="10" s="1"/>
  <c r="O13" i="10"/>
  <c r="O11" i="10"/>
  <c r="O9" i="10"/>
  <c r="F9" i="10"/>
  <c r="C7" i="26"/>
  <c r="E7" i="26"/>
  <c r="AF4" i="26"/>
  <c r="AJ4" i="24"/>
  <c r="AE4" i="22"/>
  <c r="AI4" i="19"/>
  <c r="AA4" i="10"/>
  <c r="AE3" i="8"/>
  <c r="J13" i="10" l="1"/>
  <c r="AO13" i="10"/>
  <c r="H13" i="10"/>
  <c r="I13" i="10"/>
  <c r="F13" i="10"/>
  <c r="AS13" i="10" s="1"/>
  <c r="G13" i="10"/>
  <c r="AX13" i="10" s="1"/>
  <c r="AY13" i="10"/>
  <c r="I12" i="10"/>
  <c r="F12" i="10"/>
  <c r="G12" i="10"/>
  <c r="AT12" i="10" s="1"/>
  <c r="AD12" i="10" s="1"/>
  <c r="J12" i="10"/>
  <c r="E12" i="10"/>
  <c r="AN12" i="10" s="1"/>
  <c r="AO12" i="10" s="1"/>
  <c r="AY15" i="10"/>
  <c r="F10" i="10"/>
  <c r="U9" i="10"/>
  <c r="AX9" i="10"/>
  <c r="G8" i="10"/>
  <c r="F8" i="10"/>
  <c r="J8" i="10"/>
  <c r="H8" i="10"/>
  <c r="AT8" i="10" s="1"/>
  <c r="AD8" i="10" s="1"/>
  <c r="E8" i="10"/>
  <c r="AN8" i="10" s="1"/>
  <c r="AO8" i="10" s="1"/>
  <c r="F15" i="10"/>
  <c r="AQ15" i="10" s="1"/>
  <c r="H11" i="10"/>
  <c r="J15" i="10"/>
  <c r="G11" i="10"/>
  <c r="AX11" i="10" s="1"/>
  <c r="F11" i="10"/>
  <c r="AS11" i="10" s="1"/>
  <c r="J11" i="10"/>
  <c r="I11" i="10"/>
  <c r="AP12" i="10"/>
  <c r="H14" i="10"/>
  <c r="AN15" i="10"/>
  <c r="G15" i="10"/>
  <c r="AX15" i="10" s="1"/>
  <c r="AP9" i="10"/>
  <c r="H15" i="10"/>
  <c r="I15" i="10"/>
  <c r="E10" i="10"/>
  <c r="AN10" i="10" s="1"/>
  <c r="AO10" i="10" s="1"/>
  <c r="G10" i="10"/>
  <c r="J10" i="10"/>
  <c r="I10" i="10"/>
  <c r="N15" i="10"/>
  <c r="L15" i="10" s="1"/>
  <c r="M9" i="10"/>
  <c r="K9" i="10" s="1"/>
  <c r="AR9" i="10" s="1"/>
  <c r="AY10" i="10"/>
  <c r="U10" i="10"/>
  <c r="I16" i="10"/>
  <c r="AY16" i="10"/>
  <c r="U16" i="10"/>
  <c r="M11" i="10"/>
  <c r="K11" i="10" s="1"/>
  <c r="N9" i="10"/>
  <c r="L9" i="10" s="1"/>
  <c r="AS9" i="10"/>
  <c r="N16" i="10"/>
  <c r="L16" i="10" s="1"/>
  <c r="M13" i="10"/>
  <c r="K13" i="10" s="1"/>
  <c r="J14" i="10"/>
  <c r="E14" i="10"/>
  <c r="G14" i="10"/>
  <c r="AX14" i="10" s="1"/>
  <c r="F14" i="10"/>
  <c r="N11" i="10"/>
  <c r="L11" i="10" s="1"/>
  <c r="AY12" i="10"/>
  <c r="U12" i="10"/>
  <c r="N8" i="10"/>
  <c r="L8" i="10" s="1"/>
  <c r="AR8" i="10" s="1"/>
  <c r="AQ9" i="10"/>
  <c r="AP13" i="10"/>
  <c r="M15" i="10"/>
  <c r="K15" i="10" s="1"/>
  <c r="N10" i="10"/>
  <c r="L10" i="10" s="1"/>
  <c r="N14" i="10"/>
  <c r="L14" i="10" s="1"/>
  <c r="J16" i="10"/>
  <c r="E16" i="10"/>
  <c r="G16" i="10"/>
  <c r="F16" i="10"/>
  <c r="N13" i="10"/>
  <c r="L13" i="10" s="1"/>
  <c r="AY14" i="10"/>
  <c r="U14" i="10"/>
  <c r="N12" i="10"/>
  <c r="L12" i="10" s="1"/>
  <c r="AS15" i="10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V13" i="10" l="1"/>
  <c r="AE13" i="10" s="1"/>
  <c r="AQ13" i="10"/>
  <c r="AR13" i="10"/>
  <c r="AR15" i="10"/>
  <c r="AQ12" i="10"/>
  <c r="AX12" i="10"/>
  <c r="AV14" i="10"/>
  <c r="AE14" i="10" s="1"/>
  <c r="AP8" i="10"/>
  <c r="AQ8" i="10"/>
  <c r="AX8" i="10"/>
  <c r="AS8" i="10"/>
  <c r="AC8" i="10" s="1"/>
  <c r="AP11" i="10"/>
  <c r="AO15" i="10"/>
  <c r="AQ11" i="10"/>
  <c r="AO11" i="10"/>
  <c r="AC13" i="10"/>
  <c r="AQ10" i="10"/>
  <c r="AT15" i="10"/>
  <c r="AD15" i="10" s="1"/>
  <c r="AT13" i="10"/>
  <c r="AD13" i="10" s="1"/>
  <c r="AR11" i="10"/>
  <c r="AC11" i="10" s="1"/>
  <c r="AX10" i="10"/>
  <c r="AV9" i="10"/>
  <c r="AE9" i="10" s="1"/>
  <c r="AP15" i="10"/>
  <c r="AT10" i="10"/>
  <c r="AD10" i="10" s="1"/>
  <c r="AP10" i="10"/>
  <c r="AX16" i="10"/>
  <c r="AV10" i="10"/>
  <c r="AE10" i="10" s="1"/>
  <c r="AV11" i="10"/>
  <c r="AE11" i="10" s="1"/>
  <c r="AT11" i="10"/>
  <c r="AD11" i="10" s="1"/>
  <c r="AQ14" i="10"/>
  <c r="AN14" i="10"/>
  <c r="AP14" i="10" s="1"/>
  <c r="AO14" i="10"/>
  <c r="AV8" i="10"/>
  <c r="AE8" i="10" s="1"/>
  <c r="AS16" i="10"/>
  <c r="AR16" i="10"/>
  <c r="AT9" i="10"/>
  <c r="AD9" i="10" s="1"/>
  <c r="AT14" i="10"/>
  <c r="AD14" i="10" s="1"/>
  <c r="AR12" i="10"/>
  <c r="AS12" i="10"/>
  <c r="AV16" i="10"/>
  <c r="AE16" i="10" s="1"/>
  <c r="AC9" i="10"/>
  <c r="AV12" i="10"/>
  <c r="AE12" i="10" s="1"/>
  <c r="AQ16" i="10"/>
  <c r="AN16" i="10"/>
  <c r="AP16" i="10" s="1"/>
  <c r="AV15" i="10"/>
  <c r="AE15" i="10" s="1"/>
  <c r="AS14" i="10"/>
  <c r="AR14" i="10"/>
  <c r="AT16" i="10"/>
  <c r="AD16" i="10" s="1"/>
  <c r="AC15" i="10"/>
  <c r="AR10" i="10"/>
  <c r="AS10" i="10"/>
  <c r="AI7" i="32"/>
  <c r="AE4" i="32"/>
  <c r="AD7" i="28"/>
  <c r="AA4" i="28"/>
  <c r="AH7" i="32"/>
  <c r="AE7" i="26"/>
  <c r="AK7" i="32"/>
  <c r="C7" i="19"/>
  <c r="D7" i="24"/>
  <c r="AO16" i="10" l="1"/>
  <c r="AC12" i="10"/>
  <c r="AC16" i="10"/>
  <c r="AC10" i="10"/>
  <c r="AC14" i="10"/>
  <c r="AS7" i="32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H8" i="15" l="1"/>
  <c r="G8" i="15"/>
  <c r="AM7" i="32"/>
  <c r="AF8" i="14"/>
  <c r="AF11" i="14"/>
  <c r="AH10" i="14"/>
  <c r="AH9" i="14"/>
  <c r="AH14" i="14"/>
  <c r="AD9" i="14"/>
  <c r="AH8" i="14"/>
  <c r="AH11" i="14"/>
  <c r="AD10" i="14"/>
  <c r="AH13" i="14"/>
  <c r="AH15" i="14"/>
  <c r="AD15" i="14"/>
  <c r="AD12" i="14"/>
  <c r="AF13" i="14"/>
  <c r="AF12" i="14"/>
  <c r="AC12" i="14"/>
  <c r="AD14" i="14"/>
  <c r="AF15" i="14"/>
  <c r="AD16" i="14"/>
  <c r="AC16" i="14"/>
  <c r="AH12" i="14"/>
  <c r="AF10" i="14"/>
  <c r="AC9" i="14"/>
  <c r="AE13" i="14"/>
  <c r="AD8" i="14"/>
  <c r="AF9" i="14"/>
  <c r="AC11" i="14"/>
  <c r="AH16" i="14"/>
  <c r="AF14" i="14"/>
  <c r="AC13" i="14"/>
  <c r="AD11" i="14"/>
  <c r="AG16" i="14"/>
  <c r="AE15" i="14"/>
  <c r="AF16" i="14"/>
  <c r="AC15" i="14"/>
  <c r="AC10" i="14"/>
  <c r="AG8" i="14"/>
  <c r="AG9" i="14"/>
  <c r="AC14" i="14"/>
  <c r="AC8" i="14"/>
  <c r="AD13" i="14"/>
  <c r="AG12" i="14"/>
  <c r="AG11" i="14"/>
  <c r="AG10" i="14"/>
  <c r="AE14" i="14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AG13" i="14"/>
  <c r="AE16" i="14"/>
  <c r="AE10" i="14"/>
  <c r="AE11" i="14"/>
  <c r="AG15" i="14"/>
  <c r="AE9" i="14"/>
  <c r="AE12" i="14"/>
  <c r="AG14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X7" i="10" l="1"/>
  <c r="W7" i="10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N7" i="8" l="1"/>
  <c r="AM7" i="8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H7" i="15" l="1"/>
  <c r="G7" i="15"/>
  <c r="A2" i="15"/>
  <c r="AF7" i="14"/>
  <c r="AD7" i="14"/>
  <c r="AH7" i="14"/>
  <c r="AC7" i="14"/>
  <c r="C2" i="14"/>
  <c r="F8" i="15"/>
  <c r="E8" i="15"/>
  <c r="F7" i="15"/>
  <c r="E7" i="15"/>
  <c r="AG7" i="14" l="1"/>
  <c r="AE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M7" i="8" s="1"/>
  <c r="P7" i="8"/>
  <c r="N7" i="8" s="1"/>
  <c r="B7" i="8" l="1"/>
  <c r="A7" i="8" l="1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Z7" i="10"/>
  <c r="F7" i="8"/>
  <c r="BI7" i="8" s="1"/>
  <c r="H7" i="10" l="1"/>
  <c r="AX7" i="8"/>
  <c r="AY7" i="8"/>
  <c r="AT7" i="10" l="1"/>
  <c r="BD7" i="8" l="1"/>
  <c r="BF7" i="8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I7" i="10"/>
  <c r="V7" i="10"/>
  <c r="U7" i="10" s="1"/>
  <c r="E7" i="10"/>
  <c r="F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H7" i="8" l="1"/>
  <c r="V3" i="8"/>
  <c r="K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BA7" i="8" l="1"/>
  <c r="BB7" i="8" l="1"/>
  <c r="AJ7" i="8" s="1"/>
  <c r="AI7" i="8"/>
</calcChain>
</file>

<file path=xl/comments1.xml><?xml version="1.0" encoding="utf-8"?>
<comments xmlns="http://schemas.openxmlformats.org/spreadsheetml/2006/main">
  <authors>
    <author>ROG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K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M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L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<sst xmlns="http://schemas.openxmlformats.org/spreadsheetml/2006/main" count="1264" uniqueCount="396">
  <si>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</si>
  <si>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</si>
  <si>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</si>
  <si>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</si>
  <si>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</si>
  <si>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</si>
  <si>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</si>
  <si>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</si>
  <si>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</si>
  <si>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</si>
  <si>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</si>
  <si>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</si>
  <si>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</si>
  <si>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</si>
  <si>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</si>
  <si>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</si>
  <si>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</si>
  <si>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</si>
  <si>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</si>
  <si>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</si>
  <si>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</si>
  <si>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</si>
  <si>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</si>
  <si>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</si>
  <si>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</si>
  <si>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</si>
  <si>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</si>
  <si>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</si>
  <si>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</si>
  <si>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</si>
  <si>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</si>
  <si>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</si>
  <si>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</si>
  <si>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</si>
  <si>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</si>
  <si>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</si>
  <si>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</si>
  <si>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</si>
  <si>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</si>
  <si>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</si>
  <si>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</si>
  <si>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</si>
  <si>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</si>
  <si>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</si>
  <si>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</si>
  <si>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</si>
  <si>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</si>
  <si>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</si>
  <si>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</si>
  <si>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</si>
  <si>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</si>
  <si>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</si>
  <si>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</si>
  <si>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</si>
  <si>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</si>
  <si>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</si>
  <si>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</si>
  <si>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</si>
  <si>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</si>
  <si>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</si>
  <si>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</si>
  <si>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</si>
  <si>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</si>
  <si>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</si>
  <si>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</si>
  <si>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</si>
  <si>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</si>
  <si>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</si>
  <si>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</si>
  <si>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</si>
  <si>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</si>
  <si>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</si>
  <si>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</si>
  <si>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</si>
  <si>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</si>
  <si>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</si>
  <si>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</si>
  <si>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</si>
  <si>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</si>
  <si>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</si>
  <si>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</si>
  <si>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</si>
  <si>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</si>
  <si>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</si>
  <si>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</si>
  <si>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</si>
  <si>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</si>
  <si>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</si>
  <si>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</si>
  <si>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</si>
  <si>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</si>
  <si>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</si>
  <si>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</si>
  <si>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</si>
  <si>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</si>
  <si>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</si>
  <si>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</si>
  <si>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</si>
  <si>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</si>
  <si>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</si>
  <si>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</si>
  <si>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</si>
  <si>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</si>
  <si>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</si>
  <si>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</si>
  <si>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</si>
  <si>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</si>
  <si>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</si>
  <si>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</si>
  <si>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</si>
  <si>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</si>
  <si>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</si>
  <si>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</si>
  <si>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</si>
  <si>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</si>
  <si>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</si>
  <si>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</si>
  <si>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</si>
  <si>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</si>
  <si>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</si>
  <si>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</si>
  <si>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</si>
  <si>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</si>
  <si>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</si>
  <si>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</si>
  <si>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</si>
  <si>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</si>
  <si>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</si>
  <si>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</si>
  <si>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</si>
  <si>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</si>
  <si>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</si>
  <si>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</si>
  <si>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</si>
  <si>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</si>
  <si>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</si>
  <si>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</si>
  <si>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</si>
  <si>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</si>
  <si>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</si>
  <si>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</si>
  <si>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</si>
  <si>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</si>
  <si>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</si>
  <si>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</si>
  <si>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</si>
  <si>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</si>
  <si>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</si>
  <si>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</si>
  <si>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</si>
  <si>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</si>
  <si>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</si>
  <si>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</si>
  <si>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</si>
  <si>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</si>
  <si>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</si>
  <si>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</si>
  <si>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</si>
  <si>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</si>
  <si>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</si>
  <si>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</si>
  <si>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</si>
  <si>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</si>
  <si>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</si>
  <si>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</si>
  <si>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</si>
  <si>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</si>
  <si>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</si>
  <si>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</si>
  <si>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</si>
  <si>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</si>
  <si>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</si>
  <si>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</si>
  <si>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</si>
  <si>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</si>
  <si>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</si>
  <si>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</si>
  <si>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</si>
  <si>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</si>
  <si>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</si>
  <si>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</si>
  <si>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</si>
  <si>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</si>
  <si>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</si>
  <si>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</si>
  <si>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</si>
  <si>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</si>
  <si>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</si>
  <si>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</si>
  <si>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</si>
  <si>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</si>
  <si>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</si>
  <si>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</si>
  <si>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</si>
  <si>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</si>
  <si>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</si>
  <si>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</si>
  <si>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</si>
  <si>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</si>
  <si>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</si>
  <si>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</si>
  <si>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</si>
  <si>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</si>
  <si>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</si>
  <si>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</si>
  <si>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</si>
  <si>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</si>
  <si>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</si>
  <si>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</si>
  <si>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</si>
  <si>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</si>
  <si>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</si>
  <si>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</si>
  <si>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</si>
  <si>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</si>
  <si>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</si>
  <si>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</si>
  <si>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</si>
  <si>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</si>
  <si>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</si>
  <si>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</si>
  <si>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</si>
  <si>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</si>
  <si>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</si>
  <si>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</si>
  <si>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</si>
  <si>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</si>
  <si>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</si>
  <si>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</si>
  <si>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</si>
  <si>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</si>
  <si>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</si>
  <si>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</si>
  <si>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</si>
  <si>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</si>
  <si>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</si>
  <si>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</si>
  <si>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</si>
  <si>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</si>
  <si>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</si>
  <si>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</si>
  <si>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</si>
  <si>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</si>
  <si>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</si>
  <si>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</si>
  <si>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</si>
  <si>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</si>
  <si>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</si>
  <si>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</si>
  <si>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</si>
  <si>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</si>
  <si>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</si>
  <si>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</si>
  <si>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</si>
  <si>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</si>
  <si>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</si>
  <si>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</si>
  <si>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</si>
  <si>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</si>
  <si>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</si>
  <si>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</si>
  <si>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</si>
  <si>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</si>
  <si>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</si>
  <si>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</si>
  <si>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</si>
  <si>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</si>
  <si>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</si>
  <si>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</si>
  <si>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</si>
  <si>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</si>
  <si>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</si>
  <si>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</si>
  <si>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</si>
  <si>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</si>
  <si>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</si>
  <si>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</si>
  <si>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</si>
  <si>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</si>
  <si>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</si>
  <si>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</si>
  <si>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</si>
  <si>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</si>
  <si>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</si>
  <si>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</si>
  <si>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</si>
  <si>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</si>
  <si>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</si>
  <si>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</si>
  <si>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</si>
  <si>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</si>
  <si>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</si>
  <si>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</si>
  <si>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</si>
  <si>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</si>
  <si>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</si>
  <si>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</si>
  <si>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</si>
  <si>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</si>
  <si>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</si>
  <si>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</si>
  <si>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</si>
  <si>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</si>
  <si>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</si>
  <si>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</si>
  <si>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</si>
  <si>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</si>
  <si>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</si>
  <si>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</si>
  <si>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</si>
  <si>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</si>
  <si>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</si>
  <si>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</si>
  <si>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</si>
  <si>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</si>
  <si>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</si>
  <si>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</si>
  <si>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</si>
  <si>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</si>
  <si>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</si>
  <si>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</si>
  <si>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</si>
  <si>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</si>
  <si>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</si>
  <si>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</si>
  <si>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</si>
  <si>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</si>
  <si>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</si>
  <si>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</si>
  <si>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</si>
  <si>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</si>
  <si>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</si>
  <si>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</si>
  <si>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</si>
  <si>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</si>
  <si>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서울 강남 기독교성결회관</t>
  </si>
  <si>
    <t>TKEK HD S20D-OR</t>
  </si>
  <si>
    <t>조장우</t>
  </si>
  <si>
    <t>X</t>
  </si>
  <si>
    <t>B1</t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</si>
  <si>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</si>
  <si>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</si>
  <si>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</si>
  <si>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</si>
  <si>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</si>
  <si>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</si>
  <si>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</si>
  <si>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888*1191.6</t>
  </si>
  <si>
    <t>2917.8*424.2</t>
  </si>
  <si>
    <t>2917.8*423.2</t>
  </si>
  <si>
    <t/>
  </si>
  <si>
    <t>2F</t>
    <phoneticPr fontId="1" type="noConversion"/>
  </si>
  <si>
    <t>3F</t>
    <phoneticPr fontId="1" type="noConversion"/>
  </si>
  <si>
    <t>4F</t>
    <phoneticPr fontId="1" type="noConversion"/>
  </si>
  <si>
    <t>5F</t>
    <phoneticPr fontId="1" type="noConversion"/>
  </si>
  <si>
    <t>6F</t>
    <phoneticPr fontId="1" type="noConversion"/>
  </si>
  <si>
    <t>7F</t>
    <phoneticPr fontId="1" type="noConversion"/>
  </si>
  <si>
    <t>8F</t>
    <phoneticPr fontId="1" type="noConversion"/>
  </si>
  <si>
    <t>15F</t>
  </si>
  <si>
    <t>1032*140.4</t>
  </si>
  <si>
    <t>2093*167.9</t>
  </si>
  <si>
    <t>2093*161.9</t>
  </si>
  <si>
    <t>14F</t>
  </si>
  <si>
    <t>1031*170.4</t>
  </si>
  <si>
    <t>2092*162.4</t>
  </si>
  <si>
    <t>2092*159.4</t>
  </si>
  <si>
    <t>13F</t>
  </si>
  <si>
    <t>1032*170.4</t>
  </si>
  <si>
    <t>2090*163.4</t>
  </si>
  <si>
    <t>2098*164.4</t>
  </si>
  <si>
    <t>12F</t>
  </si>
  <si>
    <t>1039*166.4</t>
  </si>
  <si>
    <t>2090*167.4</t>
  </si>
  <si>
    <t>2092*163.4</t>
  </si>
  <si>
    <t>11F</t>
  </si>
  <si>
    <t>1039*167.4</t>
  </si>
  <si>
    <t>2099*169.4</t>
  </si>
  <si>
    <t>2099*164.4</t>
  </si>
  <si>
    <t>10F</t>
  </si>
  <si>
    <t>1031*169.4</t>
  </si>
  <si>
    <t>2096*159.4</t>
  </si>
  <si>
    <t>2094*159.4</t>
  </si>
  <si>
    <t>9F</t>
  </si>
  <si>
    <t>1038*166.4</t>
  </si>
  <si>
    <t>2090*161.4</t>
  </si>
  <si>
    <t>2090*164.4</t>
  </si>
  <si>
    <t>8F</t>
  </si>
  <si>
    <t>1033*163.4</t>
  </si>
  <si>
    <t>2093*160.4</t>
  </si>
  <si>
    <t>2091*159.4</t>
  </si>
  <si>
    <t>7F</t>
  </si>
  <si>
    <t>1030*162.4</t>
  </si>
  <si>
    <t>2090*157.4</t>
  </si>
  <si>
    <t>6F</t>
  </si>
  <si>
    <t>997*140.4</t>
  </si>
  <si>
    <t>2093*140.6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</si>
</sst>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214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8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fo">
    <tabColor rgb="FFFFFF00"/>
  </sheetPr>
  <dimension ref="A1:L26"/>
  <sheetViews>
    <sheetView workbookViewId="0">
      <selection activeCell="B9" sqref="B9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서울 강남 기독교성결회관 ) _조장우소장</v>
      </c>
      <c r="C2" s="39" t="str">
        <f>"(와이드) 제작변환 자료( "&amp;B1&amp;" ) _"&amp;소장 &amp;"소장"</f>
        <v>(와이드) 제작변환 자료( 서울 강남 기독교성결회관 ) _조장우소장</v>
      </c>
      <c r="D2" s="154" t="s">
        <v>318</v>
      </c>
      <c r="E2" s="150" t="str">
        <f>"(SO와이드) 실측서 ( " &amp; B1 &amp; " ) _"&amp;소장 &amp;"소장"</f>
        <v>(SO와이드) 실측서 ( 서울 강남 기독교성결회관 ) _조장우소장</v>
      </c>
      <c r="F2" s="150" t="str">
        <f>"(SO와이드) 제작변환 ( " &amp; B1 &amp; " ) _"&amp;소장 &amp;"소장"</f>
        <v>(SO와이드) 제작변환 ( 서울 강남 기독교성결회관 ) _조장우소장</v>
      </c>
      <c r="G2" s="152" t="s">
        <v>320</v>
      </c>
      <c r="H2" s="147" t="str">
        <f>"(4CO와이드) 실측서 ( " &amp; B1 &amp; " ) _"&amp;소장 &amp;"소장"</f>
        <v>(4CO와이드) 실측서 ( 서울 강남 기독교성결회관 ) _조장우소장</v>
      </c>
      <c r="I2" s="147" t="str">
        <f>"(4CO와이드) 제작변환 ( " &amp; B1 &amp; " ) _"&amp;소장 &amp;"소장"</f>
        <v>(4CO와이드) 제작변환 ( 서울 강남 기독교성결회관 ) _조장우소장</v>
      </c>
      <c r="J2" s="152" t="s">
        <v>322</v>
      </c>
      <c r="K2" s="153" t="str">
        <f>"(2UP) 실측서 ( " &amp; B1 &amp; " ) _"&amp;소장 &amp;"소장"</f>
        <v>(2UP) 실측서 ( 서울 강남 기독교성결회관 ) _조장우소장</v>
      </c>
      <c r="L2" s="153" t="str">
        <f>"(2UP) 제작변환 ( " &amp; B1 &amp; " ) _"&amp;소장 &amp;"소장"</f>
        <v>(2UP) 제작변환 ( 서울 강남 기독교성결회관 ) _조장우소장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서울 강남 기독교성결회관 ) _조장우소장</v>
      </c>
      <c r="C3" s="39" t="str">
        <f>"(멍텅구리) 제작변환 자료( "&amp;B1&amp;" ) _"&amp;소장 &amp;"소장"</f>
        <v>(멍텅구리) 제작변환 자료( 서울 강남 기독교성결회관 ) _조장우소장</v>
      </c>
      <c r="D3" s="154" t="s">
        <v>319</v>
      </c>
      <c r="E3" s="150" t="str">
        <f>"(SO멍텅구리) 실측서 ( " &amp; B1 &amp; " ) _"&amp;소장 &amp;"소장"</f>
        <v>(SO멍텅구리) 실측서 ( 서울 강남 기독교성결회관 ) _조장우소장</v>
      </c>
      <c r="F3" s="150" t="str">
        <f>"(SO멍텅구리) 제작변환 ( " &amp; B1 &amp; " ) _"&amp;소장 &amp;"소장"</f>
        <v>(SO멍텅구리) 제작변환 ( 서울 강남 기독교성결회관 ) _조장우소장</v>
      </c>
      <c r="G3" s="152" t="s">
        <v>321</v>
      </c>
      <c r="H3" s="147" t="str">
        <f>"(4CO멍텅구리) 실측서 ( " &amp; B1 &amp; " ) _"&amp;소장 &amp;"소장"</f>
        <v>(4CO멍텅구리) 실측서 ( 서울 강남 기독교성결회관 ) _조장우소장</v>
      </c>
      <c r="I3" s="147" t="str">
        <f>"(4CO멍텅구리) 제작변환 ( " &amp; B1 &amp; " ) _"&amp;소장 &amp;"소장"</f>
        <v>(4CO멍텅구리) 제작변환 ( 서울 강남 기독교성결회관 ) _조장우소장</v>
      </c>
      <c r="J3" s="152" t="s">
        <v>323</v>
      </c>
      <c r="K3" s="153" t="str">
        <f>"(3UP) 실측서 ( " &amp; B1 &amp; " ) _"&amp;소장 &amp;"소장"</f>
        <v>(3UP) 실측서 ( 서울 강남 기독교성결회관 ) _조장우소장</v>
      </c>
      <c r="L3" s="153" t="str">
        <f>"(3UP) 제작변환 ( " &amp; B1 &amp; " ) _"&amp;소장 &amp;"소장"</f>
        <v>(3UP) 제작변환 ( 서울 강남 기독교성결회관 ) _조장우소장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서울 강남 기독교성결회관 ) _조장우소장</v>
      </c>
      <c r="C4" s="39" t="str">
        <f>"(쪽쟘) 제작변환 자료( "&amp;B1&amp;" ) _"&amp;소장 &amp;"소장"</f>
        <v>(쪽쟘) 제작변환 자료( 서울 강남 기독교성결회관 ) _조장우소장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324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3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-(0),  C + (5),   U + (0), OP - (5), R - (0),  기둥차감 - (0), A + (0)</v>
      </c>
      <c r="C10" s="163"/>
    </row>
    <row r="11" spans="1:12" ht="16.5" customHeight="1" x14ac:dyDescent="0.3">
      <c r="A11" s="90" t="s">
        <v>197</v>
      </c>
      <c r="B11" s="163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-(0),  C + (5),  U +(0), OP - (5), R - (0),  기둥차감 - (0),  A + (0)</v>
      </c>
      <c r="C11" s="163"/>
    </row>
    <row r="12" spans="1:12" ht="16.5" customHeight="1" x14ac:dyDescent="0.3">
      <c r="A12" s="90" t="s">
        <v>198</v>
      </c>
      <c r="B12" s="163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(2),  기둥차감 - (0)</v>
      </c>
      <c r="C12" s="163"/>
    </row>
    <row r="13" spans="1:12" ht="16.5" customHeight="1" x14ac:dyDescent="0.3">
      <c r="A13" s="90" t="s">
        <v>251</v>
      </c>
      <c r="B13" s="163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-(4),  C + (0),   U + (0), OP - (4), R - (0),  기둥차감 - (0),  A + (0)</v>
      </c>
      <c r="C13" s="163"/>
    </row>
    <row r="14" spans="1:12" ht="16.5" customHeight="1" x14ac:dyDescent="0.3">
      <c r="A14" s="90" t="s">
        <v>252</v>
      </c>
      <c r="B14" s="163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-(4),  C + (0),  U +(0), OP1/OP2 - (4), R - (0),  기둥차감 - (0), A + (0)</v>
      </c>
      <c r="C14" s="163"/>
    </row>
    <row r="15" spans="1:12" ht="16.5" customHeight="1" x14ac:dyDescent="0.3">
      <c r="A15" s="90" t="s">
        <v>257</v>
      </c>
      <c r="B15" s="163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-(4),  C + (0),   U + (0), OP1/OP3 - (2), R - (0),  기둥차감 - (0), A + (0)</v>
      </c>
      <c r="C15" s="163"/>
    </row>
    <row r="16" spans="1:12" ht="16.5" customHeight="1" x14ac:dyDescent="0.3">
      <c r="A16" s="90" t="s">
        <v>258</v>
      </c>
      <c r="B16" s="163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-(4),  C + (0),  U +(0), OP1/OP3 - (2), R - (0),  기둥차감 - (0), A + (0)</v>
      </c>
      <c r="C16" s="163"/>
    </row>
    <row r="17" spans="1:3" ht="16.5" customHeight="1" x14ac:dyDescent="0.3">
      <c r="A17" s="90" t="s">
        <v>272</v>
      </c>
      <c r="B17" s="163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-(4),  C + (0),   U + (0), OP - (2), R - (0),  기둥차감 - (0), A + (0)</v>
      </c>
      <c r="C17" s="163"/>
    </row>
    <row r="18" spans="1:3" ht="16.5" customHeight="1" x14ac:dyDescent="0.3">
      <c r="A18" s="90" t="s">
        <v>273</v>
      </c>
      <c r="B18" s="163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-(4),  C + (0),   U + (0), OP - (2), R - (0),  기둥차감 - (0), A + (0)</v>
      </c>
      <c r="C18" s="163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data!$E$4:$E$14</xm:f>
          </x14:formula1>
          <xm:sqref>B6</xm:sqref>
        </x14:dataValidation>
        <x14:dataValidation type="list" showInputMessage="1" showErrorMessage="1">
          <x14:formula1>
            <xm:f>data!$D$3:$D$10</xm:f>
          </x14:formula1>
          <xm:sqref>B5</xm:sqref>
        </x14:dataValidation>
        <x14:dataValidation type="list" allowBlank="1" showInputMessage="1" showErrorMessage="1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0</v>
      </c>
      <c r="D2" s="3" t="str">
        <f>정보!B1</f>
        <v>서울 강남 기독교성결회관</v>
      </c>
      <c r="E2" s="3" t="str">
        <f>정보!B6</f>
        <v>조장우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45274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sheet">
    <pageSetUpPr fitToPage="1"/>
  </sheetPr>
  <dimension ref="A1:AS27"/>
  <sheetViews>
    <sheetView zoomScale="85" zoomScaleNormal="85" workbookViewId="0">
      <selection activeCell="AG8" sqref="AG8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7" t="str">
        <f>정보!B2</f>
        <v>(와이드) 실측서 ( 서울 강남 기독교성결회관 ) _조장우소장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6"/>
      <c r="Z2" s="176"/>
      <c r="AA2" s="176"/>
      <c r="AB2" s="176"/>
      <c r="AC2" s="176"/>
      <c r="AD2" s="176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5" t="s">
        <v>98</v>
      </c>
      <c r="M3" s="165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6"/>
      <c r="Z3" s="176"/>
      <c r="AA3" s="176"/>
      <c r="AB3" s="176"/>
      <c r="AC3" s="176"/>
      <c r="AD3" s="176"/>
      <c r="AE3" s="34"/>
      <c r="AF3" s="34"/>
      <c r="AG3" s="34"/>
      <c r="AH3" s="34"/>
      <c r="AI3" s="34"/>
      <c r="AJ3" s="34"/>
    </row>
    <row r="4" spans="1:45" ht="33" customHeight="1" x14ac:dyDescent="0.3">
      <c r="A4" s="174" t="str">
        <f>정보!B10</f>
        <v>제작치수 반영 : MH + (2), JB/JD +(5 ),  늘어난치수K -(0),  C + (5),   U + (0), OP - (5), R - (0),  기둥차감 - (0),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3"/>
      <c r="W4" s="173"/>
      <c r="X4" s="173"/>
      <c r="Y4" s="173"/>
      <c r="Z4" s="173"/>
      <c r="AA4" s="173"/>
      <c r="AB4" s="173"/>
      <c r="AC4" s="173"/>
      <c r="AD4" s="175"/>
      <c r="AE4" s="164" t="s">
        <v>215</v>
      </c>
      <c r="AF4" s="164"/>
      <c r="AG4" s="75"/>
      <c r="AH4" s="9"/>
      <c r="AI4" s="9"/>
      <c r="AJ4" s="9"/>
    </row>
    <row r="5" spans="1:45" ht="25.9" customHeight="1" x14ac:dyDescent="0.3">
      <c r="A5" s="166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66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1</v>
      </c>
      <c r="C7" s="4">
        <v>830</v>
      </c>
      <c r="D7" s="4">
        <v>830</v>
      </c>
      <c r="E7" s="4">
        <v>795</v>
      </c>
      <c r="F7" s="4">
        <v>888</v>
      </c>
      <c r="G7" s="4">
        <v>280</v>
      </c>
      <c r="H7" s="4">
        <v>280</v>
      </c>
      <c r="I7" s="4">
        <v>301</v>
      </c>
      <c r="J7" s="4">
        <v>301</v>
      </c>
      <c r="K7" s="13">
        <v>35</v>
      </c>
      <c r="L7" s="13">
        <v>35</v>
      </c>
      <c r="M7" s="4"/>
      <c r="N7" s="4"/>
      <c r="O7" s="4">
        <v>11</v>
      </c>
      <c r="P7" s="4">
        <v>10</v>
      </c>
      <c r="Q7" s="4">
        <v>2081</v>
      </c>
      <c r="R7" s="4">
        <v>2087</v>
      </c>
      <c r="S7" s="4">
        <v>2087</v>
      </c>
      <c r="T7" s="4">
        <v>2087</v>
      </c>
      <c r="U7" s="4" t="s">
        <v>338</v>
      </c>
      <c r="V7" s="4" t="s">
        <v>338</v>
      </c>
      <c r="W7" s="4">
        <v>30</v>
      </c>
      <c r="X7" s="4">
        <v>25</v>
      </c>
      <c r="Y7" s="4">
        <v>47</v>
      </c>
      <c r="Z7" s="4">
        <v>47</v>
      </c>
      <c r="AA7" s="4">
        <v>47</v>
      </c>
      <c r="AB7" s="4">
        <v>47</v>
      </c>
      <c r="AC7" s="4"/>
      <c r="AD7" s="4"/>
      <c r="AE7" s="4"/>
      <c r="AF7" s="4"/>
      <c r="AG7" s="4">
        <v>110</v>
      </c>
      <c r="AH7" s="4">
        <v>15</v>
      </c>
      <c r="AI7" s="4">
        <v>10</v>
      </c>
      <c r="AJ7" s="4">
        <v>10</v>
      </c>
      <c r="AK7" s="53"/>
      <c r="AL7" s="3">
        <f>Y7+$AK7</f>
        <v>47</v>
      </c>
      <c r="AM7" s="3">
        <f>Z7+$AK7</f>
        <v>47</v>
      </c>
      <c r="AN7" s="3">
        <f>AA7+$AK7</f>
        <v>47</v>
      </c>
      <c r="AO7" s="3">
        <f>AB7+$AK7</f>
        <v>47</v>
      </c>
      <c r="AP7" s="3">
        <f>G7-$AK7</f>
        <v>280</v>
      </c>
      <c r="AQ7" s="3">
        <f>H7-$AK7</f>
        <v>280</v>
      </c>
      <c r="AR7" s="3">
        <f>I7-$AK7</f>
        <v>301</v>
      </c>
      <c r="AS7" s="3">
        <f>J7-$AK7</f>
        <v>301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make">
    <tabColor rgb="FF00B050"/>
    <pageSetUpPr fitToPage="1"/>
  </sheetPr>
  <dimension ref="A1:BI16"/>
  <sheetViews>
    <sheetView tabSelected="1" zoomScale="85" zoomScaleNormal="85" workbookViewId="0">
      <selection activeCell="C13" sqref="C1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31" t="str">
        <f>정보!C2</f>
        <v>(와이드) 제작변환 자료( 서울 강남 기독교성결회관 ) _조장우소장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1"/>
      <c r="AS1" s="37"/>
      <c r="AT1" s="37"/>
    </row>
    <row r="2" spans="1:61" ht="29.25" customHeight="1" x14ac:dyDescent="0.3">
      <c r="A2" s="23" t="s">
        <v>96</v>
      </c>
      <c r="B2" s="105">
        <v>5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06" t="s">
        <v>113</v>
      </c>
      <c r="J2" s="207"/>
      <c r="K2" s="207"/>
      <c r="L2" s="207"/>
      <c r="M2" s="208">
        <v>0</v>
      </c>
      <c r="N2" s="208"/>
      <c r="O2" s="199" t="s">
        <v>89</v>
      </c>
      <c r="P2" s="219"/>
      <c r="Q2" s="220">
        <v>0</v>
      </c>
      <c r="R2" s="220"/>
      <c r="S2" s="167" t="s">
        <v>83</v>
      </c>
      <c r="T2" s="222"/>
      <c r="U2" s="222"/>
      <c r="V2" s="223">
        <v>0</v>
      </c>
      <c r="W2" s="223"/>
      <c r="X2" s="201" t="s">
        <v>205</v>
      </c>
      <c r="Y2" s="202"/>
      <c r="Z2" s="205" t="str">
        <f>정보!B5</f>
        <v>TKEK HD S20D-OR</v>
      </c>
      <c r="AA2" s="205"/>
      <c r="AB2" s="205"/>
      <c r="AC2" s="205"/>
      <c r="AD2" s="205"/>
      <c r="AE2" s="205"/>
      <c r="AF2" s="205"/>
      <c r="AG2" s="205"/>
      <c r="AH2" s="203" t="s">
        <v>90</v>
      </c>
      <c r="AI2" s="204"/>
      <c r="AJ2" s="192">
        <v>0</v>
      </c>
      <c r="AK2" s="192"/>
      <c r="AL2" s="1"/>
      <c r="AM2" s="188" t="s">
        <v>229</v>
      </c>
      <c r="AN2" s="189"/>
      <c r="AO2" s="190">
        <v>0</v>
      </c>
      <c r="AP2" s="190"/>
      <c r="AQ2" s="1"/>
      <c r="AR2" s="1"/>
    </row>
    <row r="3" spans="1:61" ht="24.75" customHeight="1" x14ac:dyDescent="0.3">
      <c r="A3" s="28" t="str">
        <f>'와이드(실측)'!A3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199" t="s">
        <v>228</v>
      </c>
      <c r="J3" s="199"/>
      <c r="K3" s="199"/>
      <c r="L3" s="199"/>
      <c r="M3" s="209">
        <v>5</v>
      </c>
      <c r="N3" s="209"/>
      <c r="O3" s="219" t="s">
        <v>77</v>
      </c>
      <c r="P3" s="219"/>
      <c r="Q3" s="226">
        <v>5</v>
      </c>
      <c r="R3" s="226"/>
      <c r="S3" s="227" t="s">
        <v>227</v>
      </c>
      <c r="T3" s="227"/>
      <c r="U3" s="227"/>
      <c r="V3" s="228">
        <f>BI7</f>
        <v>1</v>
      </c>
      <c r="W3" s="228"/>
      <c r="X3" s="221" t="s">
        <v>78</v>
      </c>
      <c r="Y3" s="221"/>
      <c r="Z3" s="229">
        <v>0</v>
      </c>
      <c r="AA3" s="229"/>
      <c r="AC3" s="210" t="s">
        <v>311</v>
      </c>
      <c r="AD3" s="210"/>
      <c r="AE3" s="210">
        <f>'와이드(실측)'!Y7</f>
        <v>47</v>
      </c>
      <c r="AF3" s="210"/>
      <c r="AG3" s="3"/>
      <c r="AH3" s="200" t="s">
        <v>73</v>
      </c>
      <c r="AI3" s="200"/>
      <c r="AJ3" s="26">
        <v>4</v>
      </c>
      <c r="AK3" s="15" t="s">
        <v>74</v>
      </c>
      <c r="AL3" s="14">
        <v>4</v>
      </c>
      <c r="AM3" s="191" t="s">
        <v>230</v>
      </c>
      <c r="AN3" s="191"/>
      <c r="AO3" s="193" t="s">
        <v>325</v>
      </c>
      <c r="AP3" s="194"/>
      <c r="AQ3" s="197">
        <f>AU7</f>
        <v>9.7554759975917431</v>
      </c>
      <c r="AR3" s="198"/>
      <c r="BI3" s="180" t="s">
        <v>253</v>
      </c>
    </row>
    <row r="4" spans="1:61" ht="33" customHeight="1" x14ac:dyDescent="0.3">
      <c r="A4" s="230" t="str">
        <f>정보!B10</f>
        <v>제작치수 반영 : MH + (2), JB/JD +(5 ),  늘어난치수K -(0),  C + (5),   U + (0), OP - (5), R - (0),  기둥차감 - (0), A + (0)</v>
      </c>
      <c r="B4" s="230"/>
      <c r="C4" s="230"/>
      <c r="D4" s="230"/>
      <c r="E4" s="230"/>
      <c r="F4" s="230"/>
      <c r="G4" s="230"/>
      <c r="H4" s="230"/>
      <c r="I4" s="230"/>
      <c r="J4" s="230"/>
      <c r="K4" s="230"/>
      <c r="L4" s="230"/>
      <c r="M4" s="230"/>
      <c r="N4" s="230"/>
      <c r="O4" s="230"/>
      <c r="P4" s="230"/>
      <c r="Q4" s="230"/>
      <c r="R4" s="230"/>
      <c r="S4" s="230"/>
      <c r="T4" s="230"/>
      <c r="U4" s="230"/>
      <c r="V4" s="230"/>
      <c r="W4" s="230"/>
      <c r="X4" s="230"/>
      <c r="Y4" s="230"/>
      <c r="Z4" s="230"/>
      <c r="AA4" s="230"/>
      <c r="AB4" s="230"/>
      <c r="AC4" s="230"/>
      <c r="AD4" s="230"/>
      <c r="AE4" s="230"/>
      <c r="AF4" s="230"/>
      <c r="AG4" s="187">
        <f ca="1">TODAY()</f>
        <v>45274</v>
      </c>
      <c r="AH4" s="173"/>
      <c r="AI4" s="173"/>
      <c r="AJ4" s="9"/>
      <c r="AK4" s="186" t="s">
        <v>117</v>
      </c>
      <c r="AL4" s="186"/>
      <c r="AM4" s="164" t="s">
        <v>215</v>
      </c>
      <c r="AN4" s="164"/>
      <c r="AO4" s="84"/>
      <c r="AP4" s="195" t="s">
        <v>235</v>
      </c>
      <c r="AQ4" s="195"/>
      <c r="AR4" s="196"/>
      <c r="BI4" s="181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11" t="s">
        <v>105</v>
      </c>
      <c r="J5" s="211" t="s">
        <v>106</v>
      </c>
      <c r="K5" s="184" t="s">
        <v>107</v>
      </c>
      <c r="L5" s="184" t="s">
        <v>108</v>
      </c>
      <c r="M5" s="215" t="s">
        <v>71</v>
      </c>
      <c r="N5" s="215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13" t="s">
        <v>14</v>
      </c>
      <c r="V5" s="213" t="s">
        <v>15</v>
      </c>
      <c r="W5" s="214" t="s">
        <v>16</v>
      </c>
      <c r="X5" s="214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224" t="s">
        <v>79</v>
      </c>
      <c r="AD5" s="225"/>
      <c r="AE5" s="225"/>
      <c r="AF5" s="225"/>
      <c r="AG5" s="217" t="s">
        <v>91</v>
      </c>
      <c r="AH5" s="217" t="s">
        <v>92</v>
      </c>
      <c r="AI5" s="232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182" t="s">
        <v>199</v>
      </c>
      <c r="AP5" s="182" t="s">
        <v>204</v>
      </c>
      <c r="AQ5" s="182"/>
      <c r="AR5" s="182"/>
      <c r="AS5" s="180" t="s">
        <v>100</v>
      </c>
      <c r="AT5" s="180" t="s">
        <v>101</v>
      </c>
      <c r="AU5" s="181" t="s">
        <v>80</v>
      </c>
      <c r="AV5" s="234" t="s">
        <v>84</v>
      </c>
      <c r="AW5" s="237" t="s">
        <v>102</v>
      </c>
      <c r="AX5" s="236" t="s">
        <v>94</v>
      </c>
      <c r="AY5" s="236" t="s">
        <v>95</v>
      </c>
      <c r="AZ5" s="180" t="s">
        <v>93</v>
      </c>
      <c r="BC5" s="188" t="s">
        <v>28</v>
      </c>
      <c r="BD5" s="188"/>
      <c r="BE5" s="188" t="s">
        <v>29</v>
      </c>
      <c r="BF5" s="188"/>
      <c r="BG5" s="6" t="s">
        <v>50</v>
      </c>
      <c r="BH5" s="179" t="s">
        <v>104</v>
      </c>
      <c r="BI5" s="178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12"/>
      <c r="J6" s="212"/>
      <c r="K6" s="185"/>
      <c r="L6" s="185"/>
      <c r="M6" s="216"/>
      <c r="N6" s="216"/>
      <c r="O6" s="167"/>
      <c r="P6" s="167"/>
      <c r="Q6" s="167"/>
      <c r="R6" s="167"/>
      <c r="S6" s="167"/>
      <c r="T6" s="167"/>
      <c r="U6" s="213"/>
      <c r="V6" s="213"/>
      <c r="W6" s="214"/>
      <c r="X6" s="214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218"/>
      <c r="AH6" s="218"/>
      <c r="AI6" s="233"/>
      <c r="AJ6" s="168"/>
      <c r="AK6" s="167"/>
      <c r="AL6" s="167"/>
      <c r="AM6" s="74" t="s">
        <v>213</v>
      </c>
      <c r="AN6" s="74" t="s">
        <v>214</v>
      </c>
      <c r="AO6" s="183"/>
      <c r="AP6" s="109" t="s">
        <v>200</v>
      </c>
      <c r="AQ6" s="109" t="s">
        <v>201</v>
      </c>
      <c r="AR6" s="109" t="s">
        <v>202</v>
      </c>
      <c r="AS6" s="181"/>
      <c r="AT6" s="181"/>
      <c r="AU6" s="181"/>
      <c r="AV6" s="235"/>
      <c r="AW6" s="238"/>
      <c r="AX6" s="236"/>
      <c r="AY6" s="236"/>
      <c r="AZ6" s="181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9"/>
      <c r="BI6" s="178"/>
    </row>
    <row r="7" spans="1:61" ht="26.25" customHeight="1" x14ac:dyDescent="0.3">
      <c r="A7" s="31">
        <f>'와이드(실측)'!A7</f>
        <v>0</v>
      </c>
      <c r="B7" s="31" t="str">
        <f>'와이드(실측)'!B7&amp;"F"</f>
        <v>1F</v>
      </c>
      <c r="C7" s="31">
        <f>'와이드(실측)'!C7+와이드MH더함-IF(AND(소장="추영덕",Y7=0),1.2)</f>
        <v>832</v>
      </c>
      <c r="D7" s="31">
        <f>'와이드(실측)'!D7+와이드MH더함-IF(AND(소장="추영덕",Y7=0),1.2)</f>
        <v>832</v>
      </c>
      <c r="E7" s="135">
        <f>'와이드(실측)'!E7-와이드OP</f>
        <v>790</v>
      </c>
      <c r="F7" s="31">
        <f>'와이드(실측)'!F7-와이드R</f>
        <v>888</v>
      </c>
      <c r="G7" s="50">
        <v>280</v>
      </c>
      <c r="H7" s="50">
        <f>'와이드(실측)'!H7+와이드JBJD키움치수+IF(BI7=1,AE7,0)</f>
        <v>285</v>
      </c>
      <c r="I7" s="50">
        <v>300</v>
      </c>
      <c r="J7" s="50">
        <f>'와이드(실측)'!I7+MAX(AS7,AT7)+와이드JBJD키움치수+IF(BI7=1,AD7,0)-IF(와이드JB하부늘치=1,'와이드(실측)'!Y7-'와이드(실측)'!Z7,0)</f>
        <v>306</v>
      </c>
      <c r="K7" s="50">
        <f>'와이드(실측)'!J7+MAX(AS7,AT7)+와이드JBJD키움치수+IF(BI7=1,AE7,0)</f>
        <v>306</v>
      </c>
      <c r="L7" s="50">
        <v>310</v>
      </c>
      <c r="M7" s="31">
        <f t="shared" ref="M7:N7" si="0">IF(소장="손상민",0,O7-1.5)</f>
        <v>43.5</v>
      </c>
      <c r="N7" s="31">
        <f t="shared" si="0"/>
        <v>38.5</v>
      </c>
      <c r="O7" s="31">
        <v>45</v>
      </c>
      <c r="P7" s="31">
        <f>IF(T7&lt;9,'와이드(실측)'!L7+1.2,IF(ISNUMBER('와이드(실측)'!L7),'와이드(실측)'!L7+와이드C값,0))</f>
        <v>40</v>
      </c>
      <c r="Q7" s="32">
        <f>ROUNDUP(AV7,1)</f>
        <v>15.7</v>
      </c>
      <c r="R7" s="38">
        <f>ROUNDUP(AW7,1)</f>
        <v>16.600000000000001</v>
      </c>
      <c r="S7" s="31">
        <f>IF(ISNUMBER('와이드(실측)'!O7),'와이드(실측)'!O7+와이드제작!AS7+와이드A늘림,0)</f>
        <v>11</v>
      </c>
      <c r="T7" s="31">
        <v>20</v>
      </c>
      <c r="U7" s="31">
        <f>'와이드(실측)'!Q7-와이드기둥차감</f>
        <v>2081</v>
      </c>
      <c r="V7" s="31">
        <f>'와이드(실측)'!R7-와이드기둥차감</f>
        <v>2087</v>
      </c>
      <c r="W7" s="31">
        <v>2090</v>
      </c>
      <c r="X7" s="31">
        <f>'와이드(실측)'!T7-와이드기둥차감</f>
        <v>2087</v>
      </c>
      <c r="Y7" s="31">
        <v>30</v>
      </c>
      <c r="Z7" s="31">
        <v>20</v>
      </c>
      <c r="AA7" s="31">
        <v>10</v>
      </c>
      <c r="AB7" s="31">
        <v>20</v>
      </c>
      <c r="AC7" s="31">
        <v>0</v>
      </c>
      <c r="AD7" s="31">
        <v>0</v>
      </c>
      <c r="AE7" s="31">
        <v>0</v>
      </c>
      <c r="AF7" s="31">
        <v>0</v>
      </c>
      <c r="AG7" s="31">
        <f xml:space="preserve"> IF(소장&lt;&gt;"손상민",IF('와이드(실측)'!AC7&gt;0,'와이드(실측)'!AC7,C7-1.2),IF('와이드(실측)'!AC7&gt;0,'와이드(실측)'!AC7+1.2,C7) )</f>
        <v>830.8</v>
      </c>
      <c r="AH7" s="31">
        <f xml:space="preserve"> IF(소장&lt;&gt;"손상민",IF('와이드(실측)'!AD7&gt;0,'와이드(실측)'!AD7,D7-1.2),IF('와이드(실측)'!AD7&gt;0,'와이드(실측)'!AD7+1.2,D7))</f>
        <v>830.8</v>
      </c>
      <c r="AI7" s="51">
        <f>IF(Z7&gt;0,Z7-MAX(Q7,R7),0)</f>
        <v>3.3999999999999986</v>
      </c>
      <c r="AJ7" s="31" t="str">
        <f t="shared" ref="AJ7" si="1">BA7&amp;"*"&amp;BB7</f>
        <v>970*1172.2</v>
      </c>
      <c r="AK7" s="31" t="str">
        <f t="shared" ref="AK7" si="2">BD7&amp;"*"&amp;BC7</f>
        <v>2917.8*377.2</v>
      </c>
      <c r="AL7" s="31" t="str">
        <f t="shared" ref="AL7" si="3">BF7&amp;"*"&amp;BE7</f>
        <v>2920.8*385.2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110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9.7554759975917431</v>
      </c>
      <c r="AV7" s="21">
        <f>ABS(G7-COS(RADIANS(AU7))*I7)</f>
        <v>15.661960734671709</v>
      </c>
      <c r="AW7" s="21">
        <f>ABS(H7-COS(RADIANS(AU7))*K7)</f>
        <v>16.575199949365128</v>
      </c>
      <c r="AX7" s="21">
        <f>'와이드(실측)'!M7+AS7</f>
        <v>0</v>
      </c>
      <c r="AY7" s="21">
        <f>'와이드(실측)'!N7+AS7</f>
        <v>0</v>
      </c>
      <c r="AZ7" s="20">
        <f>AV7-MAX(AX7,AY7)</f>
        <v>15.661960734671709</v>
      </c>
      <c r="BA7" s="41">
        <f>IF(소장&lt;&gt;"손상민",F7+IF(Y7+Z7&gt;0,N7+M7,0),F7)</f>
        <v>970</v>
      </c>
      <c r="BB7" s="42">
        <f>MAX(C7,D7)+MAX(G7,H7)+AA7-1.2*$AJ$3+IF(BI7=0,MAX(AE7,AC7),0)+IF(Y7=0,1.2,0)+IF(Z7=0,1.2,0)+IF(소장&lt;&gt;"손상민", Y7+Z7,IF('와이드(실측)'!U7=0,0,2.4))</f>
        <v>1172.2</v>
      </c>
      <c r="BC7" s="41">
        <f>S7+O7+MAX(I7,J7)+AB7-1.2*$AL$3+IF(BI7=0,MAX(AD7,AC7),0)+IF(S7=0,1.2,0)-IF(AR7=90,2.4,0)</f>
        <v>377.2</v>
      </c>
      <c r="BD7" s="41">
        <f>MAX(U7,V7)+AG7</f>
        <v>2917.8</v>
      </c>
      <c r="BE7" s="41">
        <f>T7+P7+MAX(K7,L7)+AB7-1.2*$AL$3+IF(BI7=0,MAX(AE7,AF7),0)+IF(T7=0,1.2,0)-IF(AR7=90,2.4,0)</f>
        <v>385.2</v>
      </c>
      <c r="BF7" s="41">
        <f>MAX(W7,X7)+AH7</f>
        <v>2920.8</v>
      </c>
      <c r="BG7" s="6">
        <f t="shared" ref="BG7" si="4">I7-G7-Q7</f>
        <v>4.3000000000000007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6.25" customHeight="1" x14ac:dyDescent="0.3">
      <c r="A8" s="31">
        <v>0</v>
      </c>
      <c r="B8" s="31" t="s">
        <v>351</v>
      </c>
      <c r="C8" s="31">
        <v>830</v>
      </c>
      <c r="D8" s="31">
        <v>825</v>
      </c>
      <c r="E8" s="135">
        <v>790</v>
      </c>
      <c r="F8" s="31">
        <v>888</v>
      </c>
      <c r="G8" s="50">
        <v>285</v>
      </c>
      <c r="H8" s="50">
        <v>285</v>
      </c>
      <c r="I8" s="50">
        <v>306</v>
      </c>
      <c r="J8" s="50">
        <v>306</v>
      </c>
      <c r="K8" s="50">
        <v>306</v>
      </c>
      <c r="L8" s="50">
        <v>306</v>
      </c>
      <c r="M8" s="31">
        <v>38.5</v>
      </c>
      <c r="N8" s="31">
        <v>38.5</v>
      </c>
      <c r="O8" s="31">
        <v>40</v>
      </c>
      <c r="P8" s="31">
        <v>40</v>
      </c>
      <c r="Q8" s="32">
        <v>16.600000000000001</v>
      </c>
      <c r="R8" s="38">
        <v>16.600000000000001</v>
      </c>
      <c r="S8" s="31">
        <v>11</v>
      </c>
      <c r="T8" s="31">
        <v>10</v>
      </c>
      <c r="U8" s="31">
        <v>2081</v>
      </c>
      <c r="V8" s="31">
        <v>2087</v>
      </c>
      <c r="W8" s="31">
        <v>2087</v>
      </c>
      <c r="X8" s="31">
        <v>2085</v>
      </c>
      <c r="Y8" s="31">
        <v>35</v>
      </c>
      <c r="Z8" s="31">
        <v>10</v>
      </c>
      <c r="AA8" s="31">
        <v>30</v>
      </c>
      <c r="AB8" s="31">
        <v>25</v>
      </c>
      <c r="AC8" s="31">
        <v>0</v>
      </c>
      <c r="AD8" s="31">
        <v>0</v>
      </c>
      <c r="AE8" s="31">
        <v>0</v>
      </c>
      <c r="AF8" s="31">
        <v>0</v>
      </c>
      <c r="AG8" s="31">
        <v>830.8</v>
      </c>
      <c r="AH8" s="31">
        <v>830.8</v>
      </c>
      <c r="AI8" s="51">
        <v>0</v>
      </c>
      <c r="AJ8" s="31" t="s">
        <v>347</v>
      </c>
      <c r="AK8" s="31" t="s">
        <v>348</v>
      </c>
      <c r="AL8" s="31" t="s">
        <v>349</v>
      </c>
      <c r="AM8" s="31">
        <v>0</v>
      </c>
      <c r="AN8" s="31">
        <v>0</v>
      </c>
      <c r="AO8" s="31">
        <v>110</v>
      </c>
      <c r="AP8" s="31">
        <v>15</v>
      </c>
      <c r="AQ8" s="31">
        <v>10</v>
      </c>
      <c r="AR8" s="31">
        <v>10</v>
      </c>
      <c r="AS8">
        <v>0</v>
      </c>
      <c r="AT8">
        <v>0</v>
      </c>
      <c r="AU8" s="20">
        <v>9.7554759975917431</v>
      </c>
      <c r="AV8" s="21">
        <v>16.575199949365128</v>
      </c>
      <c r="AW8" s="21">
        <v>16.575199949365128</v>
      </c>
      <c r="AX8" s="21">
        <v>0</v>
      </c>
      <c r="AY8" s="21">
        <v>0</v>
      </c>
      <c r="AZ8" s="20">
        <v>16.575199949365128</v>
      </c>
      <c r="BA8" s="41">
        <v>888</v>
      </c>
      <c r="BB8" s="42">
        <v>1191.6000000000001</v>
      </c>
      <c r="BC8" s="41">
        <v>424.2</v>
      </c>
      <c r="BD8" s="41">
        <v>2917.8</v>
      </c>
      <c r="BE8" s="41">
        <v>423.2</v>
      </c>
      <c r="BF8" s="41">
        <v>2917.8</v>
      </c>
      <c r="BG8" s="6">
        <v>4.3999999999999986</v>
      </c>
      <c r="BH8" s="43" t="s">
        <v>350</v>
      </c>
      <c r="BI8" s="77">
        <v>0</v>
      </c>
    </row>
    <row r="9" spans="1:61" ht="26.25" customHeight="1" x14ac:dyDescent="0.3">
      <c r="A9" s="31">
        <v>0</v>
      </c>
      <c r="B9" s="31" t="s">
        <v>352</v>
      </c>
      <c r="C9" s="31">
        <v>832</v>
      </c>
      <c r="D9" s="31">
        <v>832</v>
      </c>
      <c r="E9" s="135">
        <v>790</v>
      </c>
      <c r="F9" s="31">
        <v>888</v>
      </c>
      <c r="G9" s="50">
        <v>285</v>
      </c>
      <c r="H9" s="50">
        <v>285</v>
      </c>
      <c r="I9" s="50">
        <v>306</v>
      </c>
      <c r="J9" s="50">
        <v>306</v>
      </c>
      <c r="K9" s="50">
        <v>306</v>
      </c>
      <c r="L9" s="50">
        <v>306</v>
      </c>
      <c r="M9" s="31">
        <v>38.5</v>
      </c>
      <c r="N9" s="31">
        <v>38.5</v>
      </c>
      <c r="O9" s="31">
        <v>40</v>
      </c>
      <c r="P9" s="31">
        <v>40</v>
      </c>
      <c r="Q9" s="32">
        <v>16.600000000000001</v>
      </c>
      <c r="R9" s="38">
        <v>16.600000000000001</v>
      </c>
      <c r="S9" s="31">
        <v>11</v>
      </c>
      <c r="T9" s="31">
        <v>10</v>
      </c>
      <c r="U9" s="31">
        <v>2081</v>
      </c>
      <c r="V9" s="31">
        <v>2087</v>
      </c>
      <c r="W9" s="31">
        <v>2085</v>
      </c>
      <c r="X9" s="31">
        <v>2087</v>
      </c>
      <c r="Y9" s="31">
        <v>0</v>
      </c>
      <c r="Z9" s="31">
        <v>0</v>
      </c>
      <c r="AA9" s="31">
        <v>30</v>
      </c>
      <c r="AB9" s="31">
        <v>25</v>
      </c>
      <c r="AC9" s="31">
        <v>47</v>
      </c>
      <c r="AD9" s="31">
        <v>47</v>
      </c>
      <c r="AE9" s="31">
        <v>47</v>
      </c>
      <c r="AF9" s="31">
        <v>47</v>
      </c>
      <c r="AG9" s="31">
        <v>830.8</v>
      </c>
      <c r="AH9" s="31">
        <v>830.8</v>
      </c>
      <c r="AI9" s="51">
        <v>0</v>
      </c>
      <c r="AJ9" s="31" t="s">
        <v>347</v>
      </c>
      <c r="AK9" s="31" t="s">
        <v>348</v>
      </c>
      <c r="AL9" s="31" t="s">
        <v>349</v>
      </c>
      <c r="AM9" s="31">
        <v>0</v>
      </c>
      <c r="AN9" s="31">
        <v>0</v>
      </c>
      <c r="AO9" s="31">
        <v>110</v>
      </c>
      <c r="AP9" s="31">
        <v>0</v>
      </c>
      <c r="AQ9" s="31">
        <v>0</v>
      </c>
      <c r="AR9" s="31">
        <v>0</v>
      </c>
      <c r="AS9">
        <v>0</v>
      </c>
      <c r="AT9">
        <v>0</v>
      </c>
      <c r="AU9" s="20">
        <v>9.7554759975917431</v>
      </c>
      <c r="AV9" s="21">
        <v>16.575199949365128</v>
      </c>
      <c r="AW9" s="21">
        <v>16.575199949365128</v>
      </c>
      <c r="AX9" s="21">
        <v>0</v>
      </c>
      <c r="AY9" s="21">
        <v>0</v>
      </c>
      <c r="AZ9" s="20">
        <v>16.575199949365128</v>
      </c>
      <c r="BA9" s="41">
        <v>888</v>
      </c>
      <c r="BB9" s="42">
        <v>1191.6000000000001</v>
      </c>
      <c r="BC9" s="41">
        <v>424.2</v>
      </c>
      <c r="BD9" s="41">
        <v>2917.8</v>
      </c>
      <c r="BE9" s="41">
        <v>423.2</v>
      </c>
      <c r="BF9" s="41">
        <v>2917.8</v>
      </c>
      <c r="BG9" s="6">
        <v>4.3999999999999986</v>
      </c>
      <c r="BH9" s="43" t="s">
        <v>350</v>
      </c>
      <c r="BI9" s="77">
        <v>0</v>
      </c>
    </row>
    <row r="10" spans="1:61" ht="26.25" customHeight="1" x14ac:dyDescent="0.3">
      <c r="A10" s="31">
        <v>0</v>
      </c>
      <c r="B10" s="31" t="s">
        <v>353</v>
      </c>
      <c r="C10" s="31">
        <v>832</v>
      </c>
      <c r="D10" s="31">
        <v>832</v>
      </c>
      <c r="E10" s="135">
        <v>790</v>
      </c>
      <c r="F10" s="31">
        <v>888</v>
      </c>
      <c r="G10" s="50">
        <v>285</v>
      </c>
      <c r="H10" s="50">
        <v>285</v>
      </c>
      <c r="I10" s="50">
        <v>306</v>
      </c>
      <c r="J10" s="50">
        <v>306</v>
      </c>
      <c r="K10" s="50">
        <v>306</v>
      </c>
      <c r="L10" s="50">
        <v>306</v>
      </c>
      <c r="M10" s="31">
        <v>38.5</v>
      </c>
      <c r="N10" s="31">
        <v>38.5</v>
      </c>
      <c r="O10" s="31">
        <v>40</v>
      </c>
      <c r="P10" s="31">
        <v>40</v>
      </c>
      <c r="Q10" s="32">
        <v>16.600000000000001</v>
      </c>
      <c r="R10" s="38">
        <v>16.600000000000001</v>
      </c>
      <c r="S10" s="31">
        <v>11</v>
      </c>
      <c r="T10" s="31">
        <v>10</v>
      </c>
      <c r="U10" s="31">
        <v>2081</v>
      </c>
      <c r="V10" s="31">
        <v>2087</v>
      </c>
      <c r="W10" s="31">
        <v>2087</v>
      </c>
      <c r="X10" s="31">
        <v>2087</v>
      </c>
      <c r="Y10" s="31">
        <v>0</v>
      </c>
      <c r="Z10" s="31">
        <v>0</v>
      </c>
      <c r="AA10" s="31">
        <v>30</v>
      </c>
      <c r="AB10" s="31">
        <v>25</v>
      </c>
      <c r="AC10" s="31">
        <v>47</v>
      </c>
      <c r="AD10" s="31">
        <v>47</v>
      </c>
      <c r="AE10" s="31">
        <v>47</v>
      </c>
      <c r="AF10" s="31">
        <v>47</v>
      </c>
      <c r="AG10" s="31">
        <v>830.8</v>
      </c>
      <c r="AH10" s="31">
        <v>830.8</v>
      </c>
      <c r="AI10" s="51">
        <v>0</v>
      </c>
      <c r="AJ10" s="31" t="s">
        <v>347</v>
      </c>
      <c r="AK10" s="31" t="s">
        <v>348</v>
      </c>
      <c r="AL10" s="31" t="s">
        <v>349</v>
      </c>
      <c r="AM10" s="31">
        <v>0</v>
      </c>
      <c r="AN10" s="31">
        <v>0</v>
      </c>
      <c r="AO10" s="31">
        <v>110</v>
      </c>
      <c r="AP10" s="31">
        <v>0</v>
      </c>
      <c r="AQ10" s="31">
        <v>0</v>
      </c>
      <c r="AR10" s="31">
        <v>0</v>
      </c>
      <c r="AS10">
        <v>0</v>
      </c>
      <c r="AT10">
        <v>0</v>
      </c>
      <c r="AU10" s="20">
        <v>9.7554759975917431</v>
      </c>
      <c r="AV10" s="21">
        <v>16.575199949365128</v>
      </c>
      <c r="AW10" s="21">
        <v>16.575199949365128</v>
      </c>
      <c r="AX10" s="21">
        <v>0</v>
      </c>
      <c r="AY10" s="21">
        <v>0</v>
      </c>
      <c r="AZ10" s="20">
        <v>16.575199949365128</v>
      </c>
      <c r="BA10" s="41">
        <v>888</v>
      </c>
      <c r="BB10" s="42">
        <v>1191.6000000000001</v>
      </c>
      <c r="BC10" s="41">
        <v>424.2</v>
      </c>
      <c r="BD10" s="41">
        <v>2917.8</v>
      </c>
      <c r="BE10" s="41">
        <v>423.2</v>
      </c>
      <c r="BF10" s="41">
        <v>2917.8</v>
      </c>
      <c r="BG10" s="6">
        <v>4.3999999999999986</v>
      </c>
      <c r="BH10" s="43" t="s">
        <v>350</v>
      </c>
      <c r="BI10" s="77">
        <v>0</v>
      </c>
    </row>
    <row r="11" spans="1:61" ht="26.25" customHeight="1" x14ac:dyDescent="0.3">
      <c r="A11" s="31">
        <v>0</v>
      </c>
      <c r="B11" s="31" t="s">
        <v>354</v>
      </c>
      <c r="C11" s="31">
        <v>832</v>
      </c>
      <c r="D11" s="31">
        <v>832</v>
      </c>
      <c r="E11" s="135">
        <v>790</v>
      </c>
      <c r="F11" s="31">
        <v>888</v>
      </c>
      <c r="G11" s="50">
        <v>285</v>
      </c>
      <c r="H11" s="50">
        <v>285</v>
      </c>
      <c r="I11" s="50">
        <v>306</v>
      </c>
      <c r="J11" s="50">
        <v>306</v>
      </c>
      <c r="K11" s="50">
        <v>306</v>
      </c>
      <c r="L11" s="50">
        <v>306</v>
      </c>
      <c r="M11" s="31">
        <v>38.5</v>
      </c>
      <c r="N11" s="31">
        <v>38.5</v>
      </c>
      <c r="O11" s="31">
        <v>40</v>
      </c>
      <c r="P11" s="31">
        <v>40</v>
      </c>
      <c r="Q11" s="32">
        <v>16.600000000000001</v>
      </c>
      <c r="R11" s="38">
        <v>16.600000000000001</v>
      </c>
      <c r="S11" s="31">
        <v>11</v>
      </c>
      <c r="T11" s="31">
        <v>10</v>
      </c>
      <c r="U11" s="31">
        <v>2081</v>
      </c>
      <c r="V11" s="31">
        <v>2087</v>
      </c>
      <c r="W11" s="31">
        <v>2087</v>
      </c>
      <c r="X11" s="31">
        <v>2087</v>
      </c>
      <c r="Y11" s="31">
        <v>0</v>
      </c>
      <c r="Z11" s="31">
        <v>0</v>
      </c>
      <c r="AA11" s="31">
        <v>30</v>
      </c>
      <c r="AB11" s="31">
        <v>25</v>
      </c>
      <c r="AC11" s="31">
        <v>47</v>
      </c>
      <c r="AD11" s="31">
        <v>47</v>
      </c>
      <c r="AE11" s="31">
        <v>47</v>
      </c>
      <c r="AF11" s="31">
        <v>47</v>
      </c>
      <c r="AG11" s="31">
        <v>830.8</v>
      </c>
      <c r="AH11" s="31">
        <v>830.8</v>
      </c>
      <c r="AI11" s="51">
        <v>0</v>
      </c>
      <c r="AJ11" s="31" t="s">
        <v>347</v>
      </c>
      <c r="AK11" s="31" t="s">
        <v>348</v>
      </c>
      <c r="AL11" s="31" t="s">
        <v>349</v>
      </c>
      <c r="AM11" s="31">
        <v>0</v>
      </c>
      <c r="AN11" s="31">
        <v>0</v>
      </c>
      <c r="AO11" s="31">
        <v>110</v>
      </c>
      <c r="AP11" s="31">
        <v>15</v>
      </c>
      <c r="AQ11" s="31">
        <v>10</v>
      </c>
      <c r="AR11" s="31">
        <v>10</v>
      </c>
      <c r="AS11">
        <v>0</v>
      </c>
      <c r="AT11">
        <v>0</v>
      </c>
      <c r="AU11" s="20">
        <v>9.7554759975917431</v>
      </c>
      <c r="AV11" s="21">
        <v>16.575199949365128</v>
      </c>
      <c r="AW11" s="21">
        <v>16.575199949365128</v>
      </c>
      <c r="AX11" s="21">
        <v>0</v>
      </c>
      <c r="AY11" s="21">
        <v>0</v>
      </c>
      <c r="AZ11" s="20">
        <v>16.575199949365128</v>
      </c>
      <c r="BA11" s="41">
        <v>888</v>
      </c>
      <c r="BB11" s="42">
        <v>1191.6000000000001</v>
      </c>
      <c r="BC11" s="41">
        <v>424.2</v>
      </c>
      <c r="BD11" s="41">
        <v>2917.8</v>
      </c>
      <c r="BE11" s="41">
        <v>423.2</v>
      </c>
      <c r="BF11" s="41">
        <v>2917.8</v>
      </c>
      <c r="BG11" s="6">
        <v>4.3999999999999986</v>
      </c>
      <c r="BH11" s="43" t="s">
        <v>350</v>
      </c>
      <c r="BI11" s="77">
        <v>0</v>
      </c>
    </row>
    <row r="12" spans="1:61" ht="26.25" customHeight="1" x14ac:dyDescent="0.3">
      <c r="A12" s="31">
        <v>0</v>
      </c>
      <c r="B12" s="31" t="s">
        <v>355</v>
      </c>
      <c r="C12" s="31">
        <v>830</v>
      </c>
      <c r="D12" s="31">
        <v>832</v>
      </c>
      <c r="E12" s="135">
        <v>790</v>
      </c>
      <c r="F12" s="31">
        <v>888</v>
      </c>
      <c r="G12" s="50">
        <v>285</v>
      </c>
      <c r="H12" s="50">
        <v>285</v>
      </c>
      <c r="I12" s="50">
        <v>306</v>
      </c>
      <c r="J12" s="50">
        <v>306</v>
      </c>
      <c r="K12" s="50">
        <v>306</v>
      </c>
      <c r="L12" s="50">
        <v>306</v>
      </c>
      <c r="M12" s="31">
        <v>38.5</v>
      </c>
      <c r="N12" s="31">
        <v>38.5</v>
      </c>
      <c r="O12" s="31">
        <v>40</v>
      </c>
      <c r="P12" s="31">
        <v>40</v>
      </c>
      <c r="Q12" s="32">
        <v>16.600000000000001</v>
      </c>
      <c r="R12" s="38">
        <v>16.600000000000001</v>
      </c>
      <c r="S12" s="31">
        <v>11</v>
      </c>
      <c r="T12" s="31">
        <v>10</v>
      </c>
      <c r="U12" s="31">
        <v>2081</v>
      </c>
      <c r="V12" s="31">
        <v>2087</v>
      </c>
      <c r="W12" s="31">
        <v>2087</v>
      </c>
      <c r="X12" s="31">
        <v>2087</v>
      </c>
      <c r="Y12" s="31">
        <v>0</v>
      </c>
      <c r="Z12" s="31">
        <v>0</v>
      </c>
      <c r="AA12" s="31">
        <v>30</v>
      </c>
      <c r="AB12" s="31">
        <v>25</v>
      </c>
      <c r="AC12" s="31">
        <v>47</v>
      </c>
      <c r="AD12" s="31">
        <v>47</v>
      </c>
      <c r="AE12" s="31">
        <v>47</v>
      </c>
      <c r="AF12" s="31">
        <v>47</v>
      </c>
      <c r="AG12" s="31">
        <v>830.8</v>
      </c>
      <c r="AH12" s="31">
        <v>830.8</v>
      </c>
      <c r="AI12" s="51">
        <v>0</v>
      </c>
      <c r="AJ12" s="31" t="s">
        <v>347</v>
      </c>
      <c r="AK12" s="31" t="s">
        <v>348</v>
      </c>
      <c r="AL12" s="31" t="s">
        <v>349</v>
      </c>
      <c r="AM12" s="31">
        <v>0</v>
      </c>
      <c r="AN12" s="31">
        <v>0</v>
      </c>
      <c r="AO12" s="31">
        <v>110</v>
      </c>
      <c r="AP12" s="31">
        <v>15</v>
      </c>
      <c r="AQ12" s="31">
        <v>10</v>
      </c>
      <c r="AR12" s="31">
        <v>10</v>
      </c>
      <c r="AS12">
        <v>0</v>
      </c>
      <c r="AT12">
        <v>0</v>
      </c>
      <c r="AU12" s="20">
        <v>9.7554759975917431</v>
      </c>
      <c r="AV12" s="21">
        <v>16.575199949365128</v>
      </c>
      <c r="AW12" s="21">
        <v>16.575199949365128</v>
      </c>
      <c r="AX12" s="21">
        <v>0</v>
      </c>
      <c r="AY12" s="21">
        <v>0</v>
      </c>
      <c r="AZ12" s="20">
        <v>16.575199949365128</v>
      </c>
      <c r="BA12" s="41">
        <v>888</v>
      </c>
      <c r="BB12" s="42">
        <v>1191.6000000000001</v>
      </c>
      <c r="BC12" s="41">
        <v>424.2</v>
      </c>
      <c r="BD12" s="41">
        <v>2917.8</v>
      </c>
      <c r="BE12" s="41">
        <v>423.2</v>
      </c>
      <c r="BF12" s="41">
        <v>2917.8</v>
      </c>
      <c r="BG12" s="6">
        <v>4.3999999999999986</v>
      </c>
      <c r="BH12" s="43" t="s">
        <v>350</v>
      </c>
      <c r="BI12" s="77">
        <v>0</v>
      </c>
    </row>
    <row r="13" spans="1:61" ht="26.25" customHeight="1" x14ac:dyDescent="0.3">
      <c r="A13" s="31">
        <v>0</v>
      </c>
      <c r="B13" s="31" t="s">
        <v>356</v>
      </c>
      <c r="C13" s="31">
        <v>832</v>
      </c>
      <c r="D13" s="31">
        <v>832</v>
      </c>
      <c r="E13" s="135">
        <v>790</v>
      </c>
      <c r="F13" s="31">
        <v>888</v>
      </c>
      <c r="G13" s="50">
        <v>285</v>
      </c>
      <c r="H13" s="50">
        <v>285</v>
      </c>
      <c r="I13" s="50">
        <v>306</v>
      </c>
      <c r="J13" s="50">
        <v>306</v>
      </c>
      <c r="K13" s="50">
        <v>306</v>
      </c>
      <c r="L13" s="50">
        <v>306</v>
      </c>
      <c r="M13" s="31">
        <v>38.5</v>
      </c>
      <c r="N13" s="31">
        <v>38.5</v>
      </c>
      <c r="O13" s="31">
        <v>40</v>
      </c>
      <c r="P13" s="31">
        <v>40</v>
      </c>
      <c r="Q13" s="32">
        <v>16.600000000000001</v>
      </c>
      <c r="R13" s="38">
        <v>16.600000000000001</v>
      </c>
      <c r="S13" s="31">
        <v>11</v>
      </c>
      <c r="T13" s="31">
        <v>10</v>
      </c>
      <c r="U13" s="31">
        <v>2081</v>
      </c>
      <c r="V13" s="31">
        <v>2087</v>
      </c>
      <c r="W13" s="31">
        <v>2087</v>
      </c>
      <c r="X13" s="31">
        <v>2087</v>
      </c>
      <c r="Y13" s="31">
        <v>0</v>
      </c>
      <c r="Z13" s="31">
        <v>0</v>
      </c>
      <c r="AA13" s="31">
        <v>30</v>
      </c>
      <c r="AB13" s="31">
        <v>25</v>
      </c>
      <c r="AC13" s="31">
        <v>47</v>
      </c>
      <c r="AD13" s="31">
        <v>47</v>
      </c>
      <c r="AE13" s="31">
        <v>47</v>
      </c>
      <c r="AF13" s="31">
        <v>47</v>
      </c>
      <c r="AG13" s="31">
        <v>830.8</v>
      </c>
      <c r="AH13" s="31">
        <v>830.8</v>
      </c>
      <c r="AI13" s="51">
        <v>0</v>
      </c>
      <c r="AJ13" s="31" t="s">
        <v>347</v>
      </c>
      <c r="AK13" s="31" t="s">
        <v>348</v>
      </c>
      <c r="AL13" s="31" t="s">
        <v>349</v>
      </c>
      <c r="AM13" s="31">
        <v>0</v>
      </c>
      <c r="AN13" s="31">
        <v>0</v>
      </c>
      <c r="AO13" s="31">
        <v>110</v>
      </c>
      <c r="AP13" s="31">
        <v>0</v>
      </c>
      <c r="AQ13" s="31">
        <v>0</v>
      </c>
      <c r="AR13" s="31">
        <v>0</v>
      </c>
      <c r="AS13">
        <v>0</v>
      </c>
      <c r="AT13">
        <v>0</v>
      </c>
      <c r="AU13" s="20">
        <v>9.7554759975917431</v>
      </c>
      <c r="AV13" s="21">
        <v>16.575199949365128</v>
      </c>
      <c r="AW13" s="21">
        <v>16.575199949365128</v>
      </c>
      <c r="AX13" s="21">
        <v>0</v>
      </c>
      <c r="AY13" s="21">
        <v>0</v>
      </c>
      <c r="AZ13" s="20">
        <v>16.575199949365128</v>
      </c>
      <c r="BA13" s="41">
        <v>888</v>
      </c>
      <c r="BB13" s="42">
        <v>1191.6000000000001</v>
      </c>
      <c r="BC13" s="41">
        <v>424.2</v>
      </c>
      <c r="BD13" s="41">
        <v>2917.8</v>
      </c>
      <c r="BE13" s="41">
        <v>423.2</v>
      </c>
      <c r="BF13" s="41">
        <v>2917.8</v>
      </c>
      <c r="BG13" s="6">
        <v>4.3999999999999986</v>
      </c>
      <c r="BH13" s="43" t="s">
        <v>350</v>
      </c>
      <c r="BI13" s="77">
        <v>0</v>
      </c>
    </row>
    <row r="14" spans="1:61" ht="26.25" customHeight="1" x14ac:dyDescent="0.3">
      <c r="A14" s="31">
        <v>0</v>
      </c>
      <c r="B14" s="31" t="s">
        <v>357</v>
      </c>
      <c r="C14" s="31">
        <v>832</v>
      </c>
      <c r="D14" s="31">
        <v>832</v>
      </c>
      <c r="E14" s="135">
        <v>790</v>
      </c>
      <c r="F14" s="31">
        <v>888</v>
      </c>
      <c r="G14" s="50">
        <v>285</v>
      </c>
      <c r="H14" s="50">
        <v>285</v>
      </c>
      <c r="I14" s="50">
        <v>306</v>
      </c>
      <c r="J14" s="50">
        <v>306</v>
      </c>
      <c r="K14" s="50">
        <v>306</v>
      </c>
      <c r="L14" s="50">
        <v>306</v>
      </c>
      <c r="M14" s="31">
        <v>38.5</v>
      </c>
      <c r="N14" s="31">
        <v>38.5</v>
      </c>
      <c r="O14" s="31">
        <v>40</v>
      </c>
      <c r="P14" s="31">
        <v>40</v>
      </c>
      <c r="Q14" s="32">
        <v>16.600000000000001</v>
      </c>
      <c r="R14" s="38">
        <v>16.600000000000001</v>
      </c>
      <c r="S14" s="31">
        <v>11</v>
      </c>
      <c r="T14" s="31">
        <v>10</v>
      </c>
      <c r="U14" s="31">
        <v>2081</v>
      </c>
      <c r="V14" s="31">
        <v>2087</v>
      </c>
      <c r="W14" s="31">
        <v>2087</v>
      </c>
      <c r="X14" s="31">
        <v>2087</v>
      </c>
      <c r="Y14" s="31">
        <v>0</v>
      </c>
      <c r="Z14" s="31">
        <v>0</v>
      </c>
      <c r="AA14" s="31">
        <v>30</v>
      </c>
      <c r="AB14" s="31">
        <v>25</v>
      </c>
      <c r="AC14" s="31">
        <v>47</v>
      </c>
      <c r="AD14" s="31">
        <v>47</v>
      </c>
      <c r="AE14" s="31">
        <v>47</v>
      </c>
      <c r="AF14" s="31">
        <v>47</v>
      </c>
      <c r="AG14" s="31">
        <v>830.8</v>
      </c>
      <c r="AH14" s="31">
        <v>830.8</v>
      </c>
      <c r="AI14" s="51">
        <v>0</v>
      </c>
      <c r="AJ14" s="31" t="s">
        <v>347</v>
      </c>
      <c r="AK14" s="31" t="s">
        <v>348</v>
      </c>
      <c r="AL14" s="31" t="s">
        <v>349</v>
      </c>
      <c r="AM14" s="31">
        <v>0</v>
      </c>
      <c r="AN14" s="31">
        <v>0</v>
      </c>
      <c r="AO14" s="31">
        <v>110</v>
      </c>
      <c r="AP14" s="31">
        <v>0</v>
      </c>
      <c r="AQ14" s="31">
        <v>0</v>
      </c>
      <c r="AR14" s="31">
        <v>0</v>
      </c>
      <c r="AS14">
        <v>0</v>
      </c>
      <c r="AT14">
        <v>0</v>
      </c>
      <c r="AU14" s="20">
        <v>9.7554759975917431</v>
      </c>
      <c r="AV14" s="21">
        <v>16.575199949365128</v>
      </c>
      <c r="AW14" s="21">
        <v>16.575199949365128</v>
      </c>
      <c r="AX14" s="21">
        <v>0</v>
      </c>
      <c r="AY14" s="21">
        <v>0</v>
      </c>
      <c r="AZ14" s="20">
        <v>16.575199949365128</v>
      </c>
      <c r="BA14" s="41">
        <v>888</v>
      </c>
      <c r="BB14" s="42">
        <v>1191.6000000000001</v>
      </c>
      <c r="BC14" s="41">
        <v>424.2</v>
      </c>
      <c r="BD14" s="41">
        <v>2917.8</v>
      </c>
      <c r="BE14" s="41">
        <v>423.2</v>
      </c>
      <c r="BF14" s="41">
        <v>2917.8</v>
      </c>
      <c r="BG14" s="6">
        <v>4.3999999999999986</v>
      </c>
      <c r="BH14" s="43" t="s">
        <v>350</v>
      </c>
      <c r="BI14" s="77">
        <v>0</v>
      </c>
    </row>
    <row r="16" spans="1:61" x14ac:dyDescent="0.3">
      <c r="A16" s="162"/>
      <c r="C16" s="162"/>
      <c r="E16" s="162"/>
      <c r="G16" s="162"/>
      <c r="I16" s="162"/>
      <c r="K16" s="162"/>
      <c r="M16" s="162"/>
      <c r="O16" s="162"/>
      <c r="Q16" s="162"/>
      <c r="S16" s="162"/>
      <c r="U16" s="162"/>
      <c r="W16" s="162"/>
      <c r="Y16" s="162"/>
      <c r="AA16" s="162"/>
      <c r="AC16" s="162"/>
      <c r="AE16" s="162"/>
      <c r="AG16" s="162"/>
      <c r="AI16" s="162"/>
      <c r="AK16" s="162"/>
      <c r="AM16" s="162"/>
      <c r="AO16" s="162"/>
      <c r="AQ16" s="162"/>
      <c r="AS16" s="162"/>
      <c r="AU16" s="162"/>
      <c r="AW16" s="162"/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213" priority="181" operator="greaterThan">
      <formula>3</formula>
    </cfRule>
  </conditionalFormatting>
  <conditionalFormatting sqref="F7">
    <cfRule type="cellIs" dxfId="212" priority="168" operator="greaterThan">
      <formula>1210</formula>
    </cfRule>
  </conditionalFormatting>
  <conditionalFormatting sqref="I7:L7 C7:D7">
    <cfRule type="cellIs" dxfId="211" priority="167" operator="greaterThan">
      <formula>500</formula>
    </cfRule>
  </conditionalFormatting>
  <conditionalFormatting sqref="C7:D7">
    <cfRule type="cellIs" dxfId="210" priority="165" operator="notEqual">
      <formula>$D7</formula>
    </cfRule>
  </conditionalFormatting>
  <conditionalFormatting sqref="D7">
    <cfRule type="cellIs" dxfId="209" priority="164" operator="notEqual">
      <formula>$C7</formula>
    </cfRule>
  </conditionalFormatting>
  <conditionalFormatting sqref="AO7:AR7">
    <cfRule type="cellIs" dxfId="208" priority="146" operator="greaterThan">
      <formula>1.2</formula>
    </cfRule>
  </conditionalFormatting>
  <conditionalFormatting sqref="AO7">
    <cfRule type="cellIs" dxfId="207" priority="145" operator="greaterThan">
      <formula>0</formula>
    </cfRule>
  </conditionalFormatting>
  <conditionalFormatting sqref="G7">
    <cfRule type="cellIs" dxfId="206" priority="143" operator="notEqual">
      <formula>H7</formula>
    </cfRule>
  </conditionalFormatting>
  <conditionalFormatting sqref="H7">
    <cfRule type="cellIs" dxfId="205" priority="142" operator="notEqual">
      <formula>G7</formula>
    </cfRule>
  </conditionalFormatting>
  <conditionalFormatting sqref="I7">
    <cfRule type="cellIs" dxfId="204" priority="141" operator="notEqual">
      <formula>J7</formula>
    </cfRule>
  </conditionalFormatting>
  <conditionalFormatting sqref="J7">
    <cfRule type="cellIs" dxfId="203" priority="140" operator="notEqual">
      <formula>I7</formula>
    </cfRule>
  </conditionalFormatting>
  <conditionalFormatting sqref="K7">
    <cfRule type="cellIs" dxfId="202" priority="139" operator="notEqual">
      <formula>L7</formula>
    </cfRule>
  </conditionalFormatting>
  <conditionalFormatting sqref="L7">
    <cfRule type="cellIs" dxfId="201" priority="138" operator="notEqual">
      <formula>K7</formula>
    </cfRule>
  </conditionalFormatting>
  <conditionalFormatting sqref="AG7">
    <cfRule type="cellIs" dxfId="200" priority="137" operator="notEqual">
      <formula>AH7</formula>
    </cfRule>
  </conditionalFormatting>
  <conditionalFormatting sqref="AH7">
    <cfRule type="cellIs" dxfId="199" priority="136" operator="notEqual">
      <formula>AG7</formula>
    </cfRule>
  </conditionalFormatting>
  <conditionalFormatting sqref="AC7:AF7">
    <cfRule type="expression" dxfId="198" priority="135">
      <formula>$BI7</formula>
    </cfRule>
  </conditionalFormatting>
  <conditionalFormatting sqref="Y7">
    <cfRule type="expression" dxfId="197" priority="131">
      <formula>소장="손상민"</formula>
    </cfRule>
  </conditionalFormatting>
  <conditionalFormatting sqref="Z7">
    <cfRule type="expression" dxfId="196" priority="130">
      <formula>소장="손상민"</formula>
    </cfRule>
  </conditionalFormatting>
  <conditionalFormatting sqref="AI8">
    <cfRule type="cellIs" dxfId="195" priority="129" operator="greaterThan">
      <formula>3</formula>
    </cfRule>
  </conditionalFormatting>
  <conditionalFormatting sqref="F8">
    <cfRule type="cellIs" dxfId="194" priority="128" operator="greaterThan">
      <formula>1210</formula>
    </cfRule>
  </conditionalFormatting>
  <conditionalFormatting sqref="I8:L8 C8:D8">
    <cfRule type="cellIs" dxfId="193" priority="127" operator="greaterThan">
      <formula>500</formula>
    </cfRule>
  </conditionalFormatting>
  <conditionalFormatting sqref="C8:D8">
    <cfRule type="cellIs" dxfId="192" priority="126" operator="notEqual">
      <formula>$D8</formula>
    </cfRule>
  </conditionalFormatting>
  <conditionalFormatting sqref="D8">
    <cfRule type="cellIs" dxfId="191" priority="125" operator="notEqual">
      <formula>$C8</formula>
    </cfRule>
  </conditionalFormatting>
  <conditionalFormatting sqref="AO8:AR8">
    <cfRule type="cellIs" dxfId="190" priority="124" operator="greaterThan">
      <formula>1.2</formula>
    </cfRule>
  </conditionalFormatting>
  <conditionalFormatting sqref="AO8">
    <cfRule type="cellIs" dxfId="189" priority="123" operator="greaterThan">
      <formula>0</formula>
    </cfRule>
  </conditionalFormatting>
  <conditionalFormatting sqref="G8">
    <cfRule type="cellIs" dxfId="188" priority="122" operator="notEqual">
      <formula>H8</formula>
    </cfRule>
  </conditionalFormatting>
  <conditionalFormatting sqref="H8">
    <cfRule type="cellIs" dxfId="187" priority="121" operator="notEqual">
      <formula>G8</formula>
    </cfRule>
  </conditionalFormatting>
  <conditionalFormatting sqref="I8">
    <cfRule type="cellIs" dxfId="186" priority="120" operator="notEqual">
      <formula>J8</formula>
    </cfRule>
  </conditionalFormatting>
  <conditionalFormatting sqref="J8">
    <cfRule type="cellIs" dxfId="185" priority="119" operator="notEqual">
      <formula>I8</formula>
    </cfRule>
  </conditionalFormatting>
  <conditionalFormatting sqref="K8">
    <cfRule type="cellIs" dxfId="184" priority="118" operator="notEqual">
      <formula>L8</formula>
    </cfRule>
  </conditionalFormatting>
  <conditionalFormatting sqref="L8">
    <cfRule type="cellIs" dxfId="183" priority="117" operator="notEqual">
      <formula>K8</formula>
    </cfRule>
  </conditionalFormatting>
  <conditionalFormatting sqref="AG8">
    <cfRule type="cellIs" dxfId="182" priority="116" operator="notEqual">
      <formula>AH8</formula>
    </cfRule>
  </conditionalFormatting>
  <conditionalFormatting sqref="AH8">
    <cfRule type="cellIs" dxfId="181" priority="115" operator="notEqual">
      <formula>AG8</formula>
    </cfRule>
  </conditionalFormatting>
  <conditionalFormatting sqref="Y8">
    <cfRule type="expression" dxfId="180" priority="113">
      <formula>소장="손상민"</formula>
    </cfRule>
  </conditionalFormatting>
  <conditionalFormatting sqref="Z8">
    <cfRule type="expression" dxfId="179" priority="112">
      <formula>소장="손상민"</formula>
    </cfRule>
  </conditionalFormatting>
  <conditionalFormatting sqref="AI9">
    <cfRule type="cellIs" dxfId="178" priority="111" operator="greaterThan">
      <formula>3</formula>
    </cfRule>
  </conditionalFormatting>
  <conditionalFormatting sqref="F9">
    <cfRule type="cellIs" dxfId="177" priority="110" operator="greaterThan">
      <formula>1210</formula>
    </cfRule>
  </conditionalFormatting>
  <conditionalFormatting sqref="I9:L9 C9:D9">
    <cfRule type="cellIs" dxfId="176" priority="109" operator="greaterThan">
      <formula>500</formula>
    </cfRule>
  </conditionalFormatting>
  <conditionalFormatting sqref="C9:D9">
    <cfRule type="cellIs" dxfId="175" priority="108" operator="notEqual">
      <formula>$D9</formula>
    </cfRule>
  </conditionalFormatting>
  <conditionalFormatting sqref="D9">
    <cfRule type="cellIs" dxfId="174" priority="107" operator="notEqual">
      <formula>$C9</formula>
    </cfRule>
  </conditionalFormatting>
  <conditionalFormatting sqref="AO9:AR9 AP9:AR10">
    <cfRule type="cellIs" dxfId="173" priority="106" operator="greaterThan">
      <formula>1.2</formula>
    </cfRule>
  </conditionalFormatting>
  <conditionalFormatting sqref="AO9">
    <cfRule type="cellIs" dxfId="172" priority="105" operator="greaterThan">
      <formula>0</formula>
    </cfRule>
  </conditionalFormatting>
  <conditionalFormatting sqref="G9">
    <cfRule type="cellIs" dxfId="171" priority="104" operator="notEqual">
      <formula>H9</formula>
    </cfRule>
  </conditionalFormatting>
  <conditionalFormatting sqref="H9">
    <cfRule type="cellIs" dxfId="170" priority="103" operator="notEqual">
      <formula>G9</formula>
    </cfRule>
  </conditionalFormatting>
  <conditionalFormatting sqref="I9">
    <cfRule type="cellIs" dxfId="169" priority="102" operator="notEqual">
      <formula>J9</formula>
    </cfRule>
  </conditionalFormatting>
  <conditionalFormatting sqref="J9">
    <cfRule type="cellIs" dxfId="168" priority="101" operator="notEqual">
      <formula>I9</formula>
    </cfRule>
  </conditionalFormatting>
  <conditionalFormatting sqref="K9">
    <cfRule type="cellIs" dxfId="167" priority="100" operator="notEqual">
      <formula>L9</formula>
    </cfRule>
  </conditionalFormatting>
  <conditionalFormatting sqref="L9">
    <cfRule type="cellIs" dxfId="166" priority="99" operator="notEqual">
      <formula>K9</formula>
    </cfRule>
  </conditionalFormatting>
  <conditionalFormatting sqref="AG9">
    <cfRule type="cellIs" dxfId="165" priority="98" operator="notEqual">
      <formula>AH9</formula>
    </cfRule>
  </conditionalFormatting>
  <conditionalFormatting sqref="AH9">
    <cfRule type="cellIs" dxfId="164" priority="97" operator="notEqual">
      <formula>AG9</formula>
    </cfRule>
  </conditionalFormatting>
  <conditionalFormatting sqref="AC9:AF9">
    <cfRule type="expression" dxfId="163" priority="96">
      <formula>$BI9</formula>
    </cfRule>
  </conditionalFormatting>
  <conditionalFormatting sqref="Y9">
    <cfRule type="expression" dxfId="162" priority="95">
      <formula>소장="손상민"</formula>
    </cfRule>
  </conditionalFormatting>
  <conditionalFormatting sqref="Z9">
    <cfRule type="expression" dxfId="161" priority="94">
      <formula>소장="손상민"</formula>
    </cfRule>
  </conditionalFormatting>
  <conditionalFormatting sqref="AI10">
    <cfRule type="cellIs" dxfId="160" priority="93" operator="greaterThan">
      <formula>3</formula>
    </cfRule>
  </conditionalFormatting>
  <conditionalFormatting sqref="F10">
    <cfRule type="cellIs" dxfId="159" priority="92" operator="greaterThan">
      <formula>1210</formula>
    </cfRule>
  </conditionalFormatting>
  <conditionalFormatting sqref="I10:L10 C10:D10">
    <cfRule type="cellIs" dxfId="158" priority="91" operator="greaterThan">
      <formula>500</formula>
    </cfRule>
  </conditionalFormatting>
  <conditionalFormatting sqref="C10:D10">
    <cfRule type="cellIs" dxfId="157" priority="90" operator="notEqual">
      <formula>$D10</formula>
    </cfRule>
  </conditionalFormatting>
  <conditionalFormatting sqref="D10">
    <cfRule type="cellIs" dxfId="156" priority="89" operator="notEqual">
      <formula>$C10</formula>
    </cfRule>
  </conditionalFormatting>
  <conditionalFormatting sqref="AO10:AR10">
    <cfRule type="cellIs" dxfId="155" priority="88" operator="greaterThan">
      <formula>1.2</formula>
    </cfRule>
  </conditionalFormatting>
  <conditionalFormatting sqref="AO10">
    <cfRule type="cellIs" dxfId="154" priority="87" operator="greaterThan">
      <formula>0</formula>
    </cfRule>
  </conditionalFormatting>
  <conditionalFormatting sqref="G10">
    <cfRule type="cellIs" dxfId="153" priority="86" operator="notEqual">
      <formula>H10</formula>
    </cfRule>
  </conditionalFormatting>
  <conditionalFormatting sqref="H10">
    <cfRule type="cellIs" dxfId="152" priority="85" operator="notEqual">
      <formula>G10</formula>
    </cfRule>
  </conditionalFormatting>
  <conditionalFormatting sqref="I10">
    <cfRule type="cellIs" dxfId="151" priority="84" operator="notEqual">
      <formula>J10</formula>
    </cfRule>
  </conditionalFormatting>
  <conditionalFormatting sqref="J10">
    <cfRule type="cellIs" dxfId="150" priority="83" operator="notEqual">
      <formula>I10</formula>
    </cfRule>
  </conditionalFormatting>
  <conditionalFormatting sqref="K10">
    <cfRule type="cellIs" dxfId="149" priority="82" operator="notEqual">
      <formula>L10</formula>
    </cfRule>
  </conditionalFormatting>
  <conditionalFormatting sqref="L10">
    <cfRule type="cellIs" dxfId="148" priority="81" operator="notEqual">
      <formula>K10</formula>
    </cfRule>
  </conditionalFormatting>
  <conditionalFormatting sqref="AG10">
    <cfRule type="cellIs" dxfId="147" priority="80" operator="notEqual">
      <formula>AH10</formula>
    </cfRule>
  </conditionalFormatting>
  <conditionalFormatting sqref="AH10">
    <cfRule type="cellIs" dxfId="146" priority="79" operator="notEqual">
      <formula>AG10</formula>
    </cfRule>
  </conditionalFormatting>
  <conditionalFormatting sqref="AC10:AF10">
    <cfRule type="expression" dxfId="145" priority="78">
      <formula>$BI10</formula>
    </cfRule>
  </conditionalFormatting>
  <conditionalFormatting sqref="Y10">
    <cfRule type="expression" dxfId="144" priority="77">
      <formula>소장="손상민"</formula>
    </cfRule>
  </conditionalFormatting>
  <conditionalFormatting sqref="Z10">
    <cfRule type="expression" dxfId="143" priority="76">
      <formula>소장="손상민"</formula>
    </cfRule>
  </conditionalFormatting>
  <conditionalFormatting sqref="AI11">
    <cfRule type="cellIs" dxfId="142" priority="75" operator="greaterThan">
      <formula>3</formula>
    </cfRule>
  </conditionalFormatting>
  <conditionalFormatting sqref="F11">
    <cfRule type="cellIs" dxfId="141" priority="74" operator="greaterThan">
      <formula>1210</formula>
    </cfRule>
  </conditionalFormatting>
  <conditionalFormatting sqref="I11:L11 C11:D11">
    <cfRule type="cellIs" dxfId="140" priority="73" operator="greaterThan">
      <formula>500</formula>
    </cfRule>
  </conditionalFormatting>
  <conditionalFormatting sqref="C11:D11">
    <cfRule type="cellIs" dxfId="139" priority="72" operator="notEqual">
      <formula>$D11</formula>
    </cfRule>
  </conditionalFormatting>
  <conditionalFormatting sqref="D11">
    <cfRule type="cellIs" dxfId="138" priority="71" operator="notEqual">
      <formula>$C11</formula>
    </cfRule>
  </conditionalFormatting>
  <conditionalFormatting sqref="AO11:AR11">
    <cfRule type="cellIs" dxfId="137" priority="70" operator="greaterThan">
      <formula>1.2</formula>
    </cfRule>
  </conditionalFormatting>
  <conditionalFormatting sqref="AO11">
    <cfRule type="cellIs" dxfId="136" priority="69" operator="greaterThan">
      <formula>0</formula>
    </cfRule>
  </conditionalFormatting>
  <conditionalFormatting sqref="G11">
    <cfRule type="cellIs" dxfId="135" priority="68" operator="notEqual">
      <formula>H11</formula>
    </cfRule>
  </conditionalFormatting>
  <conditionalFormatting sqref="H11">
    <cfRule type="cellIs" dxfId="134" priority="67" operator="notEqual">
      <formula>G11</formula>
    </cfRule>
  </conditionalFormatting>
  <conditionalFormatting sqref="I11">
    <cfRule type="cellIs" dxfId="133" priority="66" operator="notEqual">
      <formula>J11</formula>
    </cfRule>
  </conditionalFormatting>
  <conditionalFormatting sqref="J11">
    <cfRule type="cellIs" dxfId="132" priority="65" operator="notEqual">
      <formula>I11</formula>
    </cfRule>
  </conditionalFormatting>
  <conditionalFormatting sqref="K11">
    <cfRule type="cellIs" dxfId="131" priority="64" operator="notEqual">
      <formula>L11</formula>
    </cfRule>
  </conditionalFormatting>
  <conditionalFormatting sqref="L11">
    <cfRule type="cellIs" dxfId="130" priority="63" operator="notEqual">
      <formula>K11</formula>
    </cfRule>
  </conditionalFormatting>
  <conditionalFormatting sqref="AG11">
    <cfRule type="cellIs" dxfId="129" priority="62" operator="notEqual">
      <formula>AH11</formula>
    </cfRule>
  </conditionalFormatting>
  <conditionalFormatting sqref="AH11">
    <cfRule type="cellIs" dxfId="128" priority="61" operator="notEqual">
      <formula>AG11</formula>
    </cfRule>
  </conditionalFormatting>
  <conditionalFormatting sqref="AC11:AF11">
    <cfRule type="expression" dxfId="127" priority="60">
      <formula>$BI11</formula>
    </cfRule>
  </conditionalFormatting>
  <conditionalFormatting sqref="Y11">
    <cfRule type="expression" dxfId="126" priority="59">
      <formula>소장="손상민"</formula>
    </cfRule>
  </conditionalFormatting>
  <conditionalFormatting sqref="Z11">
    <cfRule type="expression" dxfId="125" priority="58">
      <formula>소장="손상민"</formula>
    </cfRule>
  </conditionalFormatting>
  <conditionalFormatting sqref="AI12">
    <cfRule type="cellIs" dxfId="124" priority="57" operator="greaterThan">
      <formula>3</formula>
    </cfRule>
  </conditionalFormatting>
  <conditionalFormatting sqref="F12">
    <cfRule type="cellIs" dxfId="123" priority="56" operator="greaterThan">
      <formula>1210</formula>
    </cfRule>
  </conditionalFormatting>
  <conditionalFormatting sqref="I12:L12 C12:D12">
    <cfRule type="cellIs" dxfId="122" priority="55" operator="greaterThan">
      <formula>500</formula>
    </cfRule>
  </conditionalFormatting>
  <conditionalFormatting sqref="C12:D12">
    <cfRule type="cellIs" dxfId="121" priority="54" operator="notEqual">
      <formula>$D12</formula>
    </cfRule>
  </conditionalFormatting>
  <conditionalFormatting sqref="D12">
    <cfRule type="cellIs" dxfId="120" priority="53" operator="notEqual">
      <formula>$C12</formula>
    </cfRule>
  </conditionalFormatting>
  <conditionalFormatting sqref="AO12:AR12">
    <cfRule type="cellIs" dxfId="119" priority="52" operator="greaterThan">
      <formula>1.2</formula>
    </cfRule>
  </conditionalFormatting>
  <conditionalFormatting sqref="AO12">
    <cfRule type="cellIs" dxfId="118" priority="51" operator="greaterThan">
      <formula>0</formula>
    </cfRule>
  </conditionalFormatting>
  <conditionalFormatting sqref="G12">
    <cfRule type="cellIs" dxfId="117" priority="50" operator="notEqual">
      <formula>H12</formula>
    </cfRule>
  </conditionalFormatting>
  <conditionalFormatting sqref="H12">
    <cfRule type="cellIs" dxfId="116" priority="49" operator="notEqual">
      <formula>G12</formula>
    </cfRule>
  </conditionalFormatting>
  <conditionalFormatting sqref="I12">
    <cfRule type="cellIs" dxfId="115" priority="48" operator="notEqual">
      <formula>J12</formula>
    </cfRule>
  </conditionalFormatting>
  <conditionalFormatting sqref="J12">
    <cfRule type="cellIs" dxfId="114" priority="47" operator="notEqual">
      <formula>I12</formula>
    </cfRule>
  </conditionalFormatting>
  <conditionalFormatting sqref="K12">
    <cfRule type="cellIs" dxfId="113" priority="46" operator="notEqual">
      <formula>L12</formula>
    </cfRule>
  </conditionalFormatting>
  <conditionalFormatting sqref="L12">
    <cfRule type="cellIs" dxfId="112" priority="45" operator="notEqual">
      <formula>K12</formula>
    </cfRule>
  </conditionalFormatting>
  <conditionalFormatting sqref="AG12">
    <cfRule type="cellIs" dxfId="111" priority="44" operator="notEqual">
      <formula>AH12</formula>
    </cfRule>
  </conditionalFormatting>
  <conditionalFormatting sqref="AH12">
    <cfRule type="cellIs" dxfId="110" priority="43" operator="notEqual">
      <formula>AG12</formula>
    </cfRule>
  </conditionalFormatting>
  <conditionalFormatting sqref="AC12:AF12">
    <cfRule type="expression" dxfId="109" priority="42">
      <formula>$BI12</formula>
    </cfRule>
  </conditionalFormatting>
  <conditionalFormatting sqref="Y12">
    <cfRule type="expression" dxfId="108" priority="41">
      <formula>소장="손상민"</formula>
    </cfRule>
  </conditionalFormatting>
  <conditionalFormatting sqref="Z12">
    <cfRule type="expression" dxfId="107" priority="40">
      <formula>소장="손상민"</formula>
    </cfRule>
  </conditionalFormatting>
  <conditionalFormatting sqref="AI13">
    <cfRule type="cellIs" dxfId="106" priority="39" operator="greaterThan">
      <formula>3</formula>
    </cfRule>
  </conditionalFormatting>
  <conditionalFormatting sqref="F13">
    <cfRule type="cellIs" dxfId="105" priority="38" operator="greaterThan">
      <formula>1210</formula>
    </cfRule>
  </conditionalFormatting>
  <conditionalFormatting sqref="I13:L13 C13:D13">
    <cfRule type="cellIs" dxfId="104" priority="37" operator="greaterThan">
      <formula>500</formula>
    </cfRule>
  </conditionalFormatting>
  <conditionalFormatting sqref="C13:D13">
    <cfRule type="cellIs" dxfId="103" priority="36" operator="notEqual">
      <formula>$D13</formula>
    </cfRule>
  </conditionalFormatting>
  <conditionalFormatting sqref="D13">
    <cfRule type="cellIs" dxfId="102" priority="35" operator="notEqual">
      <formula>$C13</formula>
    </cfRule>
  </conditionalFormatting>
  <conditionalFormatting sqref="AO13">
    <cfRule type="cellIs" dxfId="101" priority="34" operator="greaterThan">
      <formula>1.2</formula>
    </cfRule>
  </conditionalFormatting>
  <conditionalFormatting sqref="AO13">
    <cfRule type="cellIs" dxfId="100" priority="33" operator="greaterThan">
      <formula>0</formula>
    </cfRule>
  </conditionalFormatting>
  <conditionalFormatting sqref="G13">
    <cfRule type="cellIs" dxfId="99" priority="32" operator="notEqual">
      <formula>H13</formula>
    </cfRule>
  </conditionalFormatting>
  <conditionalFormatting sqref="H13">
    <cfRule type="cellIs" dxfId="98" priority="31" operator="notEqual">
      <formula>G13</formula>
    </cfRule>
  </conditionalFormatting>
  <conditionalFormatting sqref="I13">
    <cfRule type="cellIs" dxfId="97" priority="30" operator="notEqual">
      <formula>J13</formula>
    </cfRule>
  </conditionalFormatting>
  <conditionalFormatting sqref="J13">
    <cfRule type="cellIs" dxfId="96" priority="29" operator="notEqual">
      <formula>I13</formula>
    </cfRule>
  </conditionalFormatting>
  <conditionalFormatting sqref="K13">
    <cfRule type="cellIs" dxfId="95" priority="28" operator="notEqual">
      <formula>L13</formula>
    </cfRule>
  </conditionalFormatting>
  <conditionalFormatting sqref="L13">
    <cfRule type="cellIs" dxfId="94" priority="27" operator="notEqual">
      <formula>K13</formula>
    </cfRule>
  </conditionalFormatting>
  <conditionalFormatting sqref="AG13">
    <cfRule type="cellIs" dxfId="93" priority="26" operator="notEqual">
      <formula>AH13</formula>
    </cfRule>
  </conditionalFormatting>
  <conditionalFormatting sqref="AH13">
    <cfRule type="cellIs" dxfId="92" priority="25" operator="notEqual">
      <formula>AG13</formula>
    </cfRule>
  </conditionalFormatting>
  <conditionalFormatting sqref="AC13:AF13">
    <cfRule type="expression" dxfId="91" priority="24">
      <formula>$BI13</formula>
    </cfRule>
  </conditionalFormatting>
  <conditionalFormatting sqref="Y13">
    <cfRule type="expression" dxfId="90" priority="23">
      <formula>소장="손상민"</formula>
    </cfRule>
  </conditionalFormatting>
  <conditionalFormatting sqref="Z13">
    <cfRule type="expression" dxfId="89" priority="22">
      <formula>소장="손상민"</formula>
    </cfRule>
  </conditionalFormatting>
  <conditionalFormatting sqref="AI14">
    <cfRule type="cellIs" dxfId="88" priority="21" operator="greaterThan">
      <formula>3</formula>
    </cfRule>
  </conditionalFormatting>
  <conditionalFormatting sqref="F14">
    <cfRule type="cellIs" dxfId="87" priority="20" operator="greaterThan">
      <formula>1210</formula>
    </cfRule>
  </conditionalFormatting>
  <conditionalFormatting sqref="I14:L14 C14:D14">
    <cfRule type="cellIs" dxfId="86" priority="19" operator="greaterThan">
      <formula>500</formula>
    </cfRule>
  </conditionalFormatting>
  <conditionalFormatting sqref="C14:D14">
    <cfRule type="cellIs" dxfId="85" priority="18" operator="notEqual">
      <formula>$D14</formula>
    </cfRule>
  </conditionalFormatting>
  <conditionalFormatting sqref="D14">
    <cfRule type="cellIs" dxfId="84" priority="17" operator="notEqual">
      <formula>$C14</formula>
    </cfRule>
  </conditionalFormatting>
  <conditionalFormatting sqref="AO14">
    <cfRule type="cellIs" dxfId="83" priority="16" operator="greaterThan">
      <formula>1.2</formula>
    </cfRule>
  </conditionalFormatting>
  <conditionalFormatting sqref="AO14">
    <cfRule type="cellIs" dxfId="82" priority="15" operator="greaterThan">
      <formula>0</formula>
    </cfRule>
  </conditionalFormatting>
  <conditionalFormatting sqref="G14">
    <cfRule type="cellIs" dxfId="81" priority="14" operator="notEqual">
      <formula>H14</formula>
    </cfRule>
  </conditionalFormatting>
  <conditionalFormatting sqref="H14">
    <cfRule type="cellIs" dxfId="80" priority="13" operator="notEqual">
      <formula>G14</formula>
    </cfRule>
  </conditionalFormatting>
  <conditionalFormatting sqref="I14">
    <cfRule type="cellIs" dxfId="79" priority="12" operator="notEqual">
      <formula>J14</formula>
    </cfRule>
  </conditionalFormatting>
  <conditionalFormatting sqref="J14">
    <cfRule type="cellIs" dxfId="78" priority="11" operator="notEqual">
      <formula>I14</formula>
    </cfRule>
  </conditionalFormatting>
  <conditionalFormatting sqref="K14">
    <cfRule type="cellIs" dxfId="77" priority="10" operator="notEqual">
      <formula>L14</formula>
    </cfRule>
  </conditionalFormatting>
  <conditionalFormatting sqref="L14">
    <cfRule type="cellIs" dxfId="76" priority="9" operator="notEqual">
      <formula>K14</formula>
    </cfRule>
  </conditionalFormatting>
  <conditionalFormatting sqref="AG14">
    <cfRule type="cellIs" dxfId="75" priority="8" operator="notEqual">
      <formula>AH14</formula>
    </cfRule>
  </conditionalFormatting>
  <conditionalFormatting sqref="AH14">
    <cfRule type="cellIs" dxfId="74" priority="7" operator="notEqual">
      <formula>AG14</formula>
    </cfRule>
  </conditionalFormatting>
  <conditionalFormatting sqref="AC14:AF14">
    <cfRule type="expression" dxfId="73" priority="6">
      <formula>$BI14</formula>
    </cfRule>
  </conditionalFormatting>
  <conditionalFormatting sqref="Y14">
    <cfRule type="expression" dxfId="72" priority="5">
      <formula>소장="손상민"</formula>
    </cfRule>
  </conditionalFormatting>
  <conditionalFormatting sqref="Z14">
    <cfRule type="expression" dxfId="71" priority="4">
      <formula>소장="손상민"</formula>
    </cfRule>
  </conditionalFormatting>
  <conditionalFormatting sqref="AC8:AF8">
    <cfRule type="expression" dxfId="70" priority="3">
      <formula>$BI8</formula>
    </cfRule>
  </conditionalFormatting>
  <conditionalFormatting sqref="AP13:AR14">
    <cfRule type="cellIs" dxfId="69" priority="2" operator="greaterThan">
      <formula>1.2</formula>
    </cfRule>
  </conditionalFormatting>
  <conditionalFormatting sqref="AP14:AR14">
    <cfRule type="cellIs" dxfId="68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rmalsheet">
    <pageSetUpPr fitToPage="1"/>
  </sheetPr>
  <dimension ref="A1:AM31"/>
  <sheetViews>
    <sheetView zoomScale="85" zoomScaleNormal="85" workbookViewId="0">
      <selection activeCell="X9" sqref="X9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6" t="str">
        <f>정보!B3</f>
        <v>(멍텅구리) 실측서 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50"/>
      <c r="H3" s="250"/>
      <c r="I3" s="247"/>
      <c r="J3" s="247"/>
      <c r="K3" s="248"/>
      <c r="L3" s="248"/>
      <c r="M3" s="249"/>
      <c r="N3" s="249"/>
      <c r="O3" s="249"/>
      <c r="P3" s="244" t="s">
        <v>97</v>
      </c>
      <c r="Q3" s="244"/>
      <c r="R3" s="245"/>
      <c r="S3" s="245"/>
      <c r="T3" s="246"/>
      <c r="U3" s="246"/>
    </row>
    <row r="4" spans="1:39" ht="33" customHeight="1" x14ac:dyDescent="0.3">
      <c r="A4" s="174" t="str">
        <f>정보!B11</f>
        <v>제작치수 반영 : JB/JD +(5 ),  늘어난치수K -(0),  C + (5),  U +(0), OP - (5), R - (0),  기둥차감 - (0), 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9"/>
      <c r="AA4" s="9"/>
      <c r="AB4" s="164" t="s">
        <v>215</v>
      </c>
      <c r="AC4" s="164"/>
      <c r="AD4" s="81" t="s">
        <v>234</v>
      </c>
    </row>
    <row r="5" spans="1:39" ht="25.9" customHeight="1" x14ac:dyDescent="0.3">
      <c r="A5" s="166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9" t="s">
        <v>22</v>
      </c>
      <c r="T5" s="239" t="s">
        <v>23</v>
      </c>
      <c r="U5" s="241" t="s">
        <v>21</v>
      </c>
      <c r="V5" s="242"/>
      <c r="W5" s="242"/>
      <c r="X5" s="243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66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40"/>
      <c r="T6" s="240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10</v>
      </c>
      <c r="C7" s="4">
        <v>790</v>
      </c>
      <c r="D7" s="4">
        <v>891</v>
      </c>
      <c r="E7" s="4">
        <v>285</v>
      </c>
      <c r="F7" s="4">
        <v>282</v>
      </c>
      <c r="G7" s="4">
        <v>283</v>
      </c>
      <c r="H7" s="4">
        <v>270</v>
      </c>
      <c r="I7" s="4">
        <v>35</v>
      </c>
      <c r="J7" s="4">
        <v>35</v>
      </c>
      <c r="K7" s="4" t="s">
        <v>340</v>
      </c>
      <c r="L7" s="4" t="s">
        <v>341</v>
      </c>
      <c r="M7" s="4">
        <v>2089</v>
      </c>
      <c r="N7" s="4">
        <v>2089</v>
      </c>
      <c r="O7" s="4">
        <v>2089</v>
      </c>
      <c r="P7" s="4">
        <v>2077</v>
      </c>
      <c r="Q7" s="4">
        <v>40</v>
      </c>
      <c r="R7" s="4" t="s">
        <v>342</v>
      </c>
      <c r="S7" s="4">
        <v>30</v>
      </c>
      <c r="T7" s="4">
        <v>25</v>
      </c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285</v>
      </c>
      <c r="AK7" s="3">
        <f t="shared" si="1"/>
        <v>282</v>
      </c>
      <c r="AL7" s="3">
        <f t="shared" si="1"/>
        <v>283</v>
      </c>
      <c r="AM7" s="3">
        <f t="shared" si="1"/>
        <v>270</v>
      </c>
    </row>
    <row r="8" spans="1:39" ht="27" customHeight="1" x14ac:dyDescent="0.3">
      <c r="A8" s="127"/>
      <c r="B8" s="4">
        <v>9</v>
      </c>
      <c r="C8" s="4">
        <v>791</v>
      </c>
      <c r="D8" s="4">
        <v>890</v>
      </c>
      <c r="E8" s="4">
        <v>285</v>
      </c>
      <c r="F8" s="4">
        <v>281</v>
      </c>
      <c r="G8" s="4">
        <v>285</v>
      </c>
      <c r="H8" s="4">
        <v>275</v>
      </c>
      <c r="I8" s="4">
        <v>20</v>
      </c>
      <c r="J8" s="4">
        <v>26</v>
      </c>
      <c r="K8" s="4">
        <v>15</v>
      </c>
      <c r="L8" s="4">
        <v>17</v>
      </c>
      <c r="M8" s="4">
        <v>2090</v>
      </c>
      <c r="N8" s="4">
        <v>2090</v>
      </c>
      <c r="O8" s="4">
        <v>2090</v>
      </c>
      <c r="P8" s="4">
        <v>2085</v>
      </c>
      <c r="Q8" s="4">
        <v>40</v>
      </c>
      <c r="R8" s="4">
        <v>9</v>
      </c>
      <c r="S8" s="4">
        <v>30</v>
      </c>
      <c r="T8" s="4">
        <v>25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285</v>
      </c>
      <c r="AK8" s="3">
        <f t="shared" si="1"/>
        <v>281</v>
      </c>
      <c r="AL8" s="3">
        <f t="shared" si="1"/>
        <v>285</v>
      </c>
      <c r="AM8" s="3">
        <f t="shared" si="1"/>
        <v>275</v>
      </c>
    </row>
    <row r="9" spans="1:39" ht="27" customHeight="1" x14ac:dyDescent="0.3">
      <c r="A9" s="127"/>
      <c r="B9" s="4">
        <v>8</v>
      </c>
      <c r="C9" s="4">
        <v>792</v>
      </c>
      <c r="D9" s="4">
        <v>891</v>
      </c>
      <c r="E9" s="4">
        <v>278</v>
      </c>
      <c r="F9" s="4">
        <v>281</v>
      </c>
      <c r="G9" s="4">
        <v>280</v>
      </c>
      <c r="H9" s="4">
        <v>275</v>
      </c>
      <c r="I9" s="4">
        <v>35</v>
      </c>
      <c r="J9" s="4">
        <v>35</v>
      </c>
      <c r="K9" s="4" t="s">
        <v>343</v>
      </c>
      <c r="L9" s="4" t="s">
        <v>344</v>
      </c>
      <c r="M9" s="4">
        <v>2096</v>
      </c>
      <c r="N9" s="4">
        <v>2092</v>
      </c>
      <c r="O9" s="4">
        <v>2079</v>
      </c>
      <c r="P9" s="4">
        <v>2091</v>
      </c>
      <c r="Q9" s="4">
        <v>40</v>
      </c>
      <c r="R9" s="4">
        <v>9</v>
      </c>
      <c r="S9" s="4">
        <v>30</v>
      </c>
      <c r="T9" s="4">
        <v>25</v>
      </c>
      <c r="U9" s="4">
        <v>47</v>
      </c>
      <c r="V9" s="4">
        <v>47</v>
      </c>
      <c r="W9" s="4">
        <v>47</v>
      </c>
      <c r="X9" s="4">
        <v>47</v>
      </c>
      <c r="Y9" s="161">
        <v>15</v>
      </c>
      <c r="Z9" s="161">
        <v>10</v>
      </c>
      <c r="AA9" s="161">
        <v>10</v>
      </c>
      <c r="AB9" s="4"/>
      <c r="AC9" s="4"/>
      <c r="AD9" s="4"/>
      <c r="AF9" s="3">
        <f t="shared" si="0"/>
        <v>47</v>
      </c>
      <c r="AG9" s="3">
        <f t="shared" si="0"/>
        <v>47</v>
      </c>
      <c r="AH9" s="3">
        <f t="shared" si="0"/>
        <v>47</v>
      </c>
      <c r="AI9" s="3">
        <f t="shared" si="0"/>
        <v>47</v>
      </c>
      <c r="AJ9" s="3">
        <f t="shared" si="1"/>
        <v>278</v>
      </c>
      <c r="AK9" s="3">
        <f t="shared" si="1"/>
        <v>281</v>
      </c>
      <c r="AL9" s="3">
        <f t="shared" si="1"/>
        <v>280</v>
      </c>
      <c r="AM9" s="3">
        <f t="shared" si="1"/>
        <v>275</v>
      </c>
    </row>
    <row r="10" spans="1:39" ht="27" customHeight="1" x14ac:dyDescent="0.3">
      <c r="A10" s="127"/>
      <c r="B10" s="4">
        <v>7</v>
      </c>
      <c r="C10" s="4">
        <v>792</v>
      </c>
      <c r="D10" s="4">
        <v>891</v>
      </c>
      <c r="E10" s="4">
        <v>281</v>
      </c>
      <c r="F10" s="4">
        <v>281</v>
      </c>
      <c r="G10" s="4">
        <v>280</v>
      </c>
      <c r="H10" s="4">
        <v>280</v>
      </c>
      <c r="I10" s="4">
        <v>35</v>
      </c>
      <c r="J10" s="4">
        <v>35</v>
      </c>
      <c r="K10" s="4" t="s">
        <v>343</v>
      </c>
      <c r="L10" s="4" t="s">
        <v>345</v>
      </c>
      <c r="M10" s="4">
        <v>2090</v>
      </c>
      <c r="N10" s="4">
        <v>2090</v>
      </c>
      <c r="O10" s="4">
        <v>2095</v>
      </c>
      <c r="P10" s="4">
        <v>2090</v>
      </c>
      <c r="Q10" s="4">
        <v>40</v>
      </c>
      <c r="R10" s="4">
        <v>9</v>
      </c>
      <c r="S10" s="4">
        <v>30</v>
      </c>
      <c r="T10" s="4">
        <v>25</v>
      </c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281</v>
      </c>
      <c r="AK10" s="3">
        <f t="shared" si="1"/>
        <v>281</v>
      </c>
      <c r="AL10" s="3">
        <f t="shared" si="1"/>
        <v>280</v>
      </c>
      <c r="AM10" s="3">
        <f t="shared" si="1"/>
        <v>280</v>
      </c>
    </row>
    <row r="11" spans="1:39" ht="27" customHeight="1" x14ac:dyDescent="0.3">
      <c r="A11" s="127"/>
      <c r="B11" s="4">
        <v>6</v>
      </c>
      <c r="C11" s="4">
        <v>790</v>
      </c>
      <c r="D11" s="4">
        <v>889</v>
      </c>
      <c r="E11" s="4">
        <v>282</v>
      </c>
      <c r="F11" s="4">
        <v>282</v>
      </c>
      <c r="G11" s="4">
        <v>281</v>
      </c>
      <c r="H11" s="4">
        <v>281</v>
      </c>
      <c r="I11" s="4">
        <v>35</v>
      </c>
      <c r="J11" s="4">
        <v>35</v>
      </c>
      <c r="K11" s="4">
        <v>15</v>
      </c>
      <c r="L11" s="4">
        <v>15</v>
      </c>
      <c r="M11" s="4">
        <v>2086</v>
      </c>
      <c r="N11" s="4">
        <v>2080</v>
      </c>
      <c r="O11" s="4">
        <v>2086</v>
      </c>
      <c r="P11" s="4">
        <v>2077</v>
      </c>
      <c r="Q11" s="4">
        <v>40</v>
      </c>
      <c r="R11" s="4">
        <v>9</v>
      </c>
      <c r="S11" s="4">
        <v>30</v>
      </c>
      <c r="T11" s="4">
        <v>25</v>
      </c>
      <c r="U11" s="4">
        <v>45</v>
      </c>
      <c r="V11" s="4">
        <v>45</v>
      </c>
      <c r="W11" s="4">
        <v>45</v>
      </c>
      <c r="X11" s="4">
        <v>45</v>
      </c>
      <c r="Y11" s="4">
        <v>15</v>
      </c>
      <c r="Z11" s="4">
        <v>10</v>
      </c>
      <c r="AA11" s="4">
        <v>10</v>
      </c>
      <c r="AB11" s="4"/>
      <c r="AC11" s="4"/>
      <c r="AD11" s="4"/>
      <c r="AF11" s="3">
        <f t="shared" si="0"/>
        <v>45</v>
      </c>
      <c r="AG11" s="3">
        <f t="shared" si="0"/>
        <v>45</v>
      </c>
      <c r="AH11" s="3">
        <f t="shared" si="0"/>
        <v>45</v>
      </c>
      <c r="AI11" s="3">
        <f t="shared" si="0"/>
        <v>45</v>
      </c>
      <c r="AJ11" s="3">
        <f t="shared" si="1"/>
        <v>282</v>
      </c>
      <c r="AK11" s="3">
        <f t="shared" si="1"/>
        <v>282</v>
      </c>
      <c r="AL11" s="3">
        <f t="shared" si="1"/>
        <v>281</v>
      </c>
      <c r="AM11" s="3">
        <f t="shared" si="1"/>
        <v>281</v>
      </c>
    </row>
    <row r="12" spans="1:39" ht="27" customHeight="1" x14ac:dyDescent="0.3">
      <c r="A12" s="127"/>
      <c r="B12" s="4">
        <v>5</v>
      </c>
      <c r="C12" s="161">
        <v>790</v>
      </c>
      <c r="D12" s="161">
        <v>891</v>
      </c>
      <c r="E12" s="161">
        <v>285</v>
      </c>
      <c r="F12" s="161">
        <v>282</v>
      </c>
      <c r="G12" s="161">
        <v>281</v>
      </c>
      <c r="H12" s="161">
        <v>281</v>
      </c>
      <c r="I12" s="161">
        <v>35</v>
      </c>
      <c r="J12" s="161">
        <v>35</v>
      </c>
      <c r="K12" s="161" t="s">
        <v>340</v>
      </c>
      <c r="L12" s="161" t="s">
        <v>340</v>
      </c>
      <c r="M12" s="161">
        <v>2089</v>
      </c>
      <c r="N12" s="161">
        <v>2089</v>
      </c>
      <c r="O12" s="161">
        <v>2089</v>
      </c>
      <c r="P12" s="161">
        <v>2089</v>
      </c>
      <c r="Q12" s="161">
        <v>40</v>
      </c>
      <c r="R12" s="161" t="s">
        <v>340</v>
      </c>
      <c r="S12" s="161">
        <v>30</v>
      </c>
      <c r="T12" s="161">
        <v>25</v>
      </c>
      <c r="U12" s="161"/>
      <c r="V12" s="161"/>
      <c r="W12" s="161"/>
      <c r="X12" s="161"/>
      <c r="Y12" s="161"/>
      <c r="Z12" s="161"/>
      <c r="AA12" s="161"/>
      <c r="AB12" s="161"/>
      <c r="AC12" s="161"/>
      <c r="AD12" s="4"/>
    </row>
    <row r="13" spans="1:39" ht="27" customHeight="1" x14ac:dyDescent="0.3">
      <c r="A13" s="127"/>
      <c r="B13" s="4">
        <v>4</v>
      </c>
      <c r="C13" s="161">
        <v>791</v>
      </c>
      <c r="D13" s="161">
        <v>890</v>
      </c>
      <c r="E13" s="161">
        <v>285</v>
      </c>
      <c r="F13" s="161">
        <v>281</v>
      </c>
      <c r="G13" s="161">
        <v>285</v>
      </c>
      <c r="H13" s="161">
        <v>280</v>
      </c>
      <c r="I13" s="161">
        <v>35</v>
      </c>
      <c r="J13" s="161">
        <v>35</v>
      </c>
      <c r="K13" s="161">
        <v>17</v>
      </c>
      <c r="L13" s="161">
        <v>17</v>
      </c>
      <c r="M13" s="161">
        <v>2090</v>
      </c>
      <c r="N13" s="161">
        <v>2090</v>
      </c>
      <c r="O13" s="161">
        <v>2090</v>
      </c>
      <c r="P13" s="161">
        <v>2085</v>
      </c>
      <c r="Q13" s="161">
        <v>40</v>
      </c>
      <c r="R13" s="161">
        <v>9</v>
      </c>
      <c r="S13" s="161">
        <v>30</v>
      </c>
      <c r="T13" s="161">
        <v>25</v>
      </c>
      <c r="U13" s="161">
        <v>30</v>
      </c>
      <c r="V13" s="161">
        <v>20</v>
      </c>
      <c r="W13" s="161">
        <v>40</v>
      </c>
      <c r="X13" s="161">
        <v>20</v>
      </c>
      <c r="Y13" s="161">
        <v>15</v>
      </c>
      <c r="Z13" s="161">
        <v>10</v>
      </c>
      <c r="AA13" s="161">
        <v>10</v>
      </c>
      <c r="AB13" s="161"/>
      <c r="AC13" s="161"/>
      <c r="AD13" s="4"/>
    </row>
    <row r="14" spans="1:39" ht="27" customHeight="1" x14ac:dyDescent="0.3">
      <c r="A14" s="127"/>
      <c r="B14" s="4">
        <v>3</v>
      </c>
      <c r="C14" s="161">
        <v>792</v>
      </c>
      <c r="D14" s="161">
        <v>891</v>
      </c>
      <c r="E14" s="161">
        <v>278</v>
      </c>
      <c r="F14" s="161">
        <v>281</v>
      </c>
      <c r="G14" s="161">
        <v>280</v>
      </c>
      <c r="H14" s="161">
        <v>280</v>
      </c>
      <c r="I14" s="161">
        <v>35</v>
      </c>
      <c r="J14" s="161">
        <v>35</v>
      </c>
      <c r="K14" s="161" t="s">
        <v>340</v>
      </c>
      <c r="L14" s="161" t="s">
        <v>340</v>
      </c>
      <c r="M14" s="161">
        <v>2096</v>
      </c>
      <c r="N14" s="161">
        <v>2092</v>
      </c>
      <c r="O14" s="161">
        <v>2079</v>
      </c>
      <c r="P14" s="161">
        <v>2091</v>
      </c>
      <c r="Q14" s="161">
        <v>40</v>
      </c>
      <c r="R14" s="161">
        <v>9</v>
      </c>
      <c r="S14" s="161">
        <v>30</v>
      </c>
      <c r="T14" s="161">
        <v>25</v>
      </c>
      <c r="U14" s="161">
        <v>47</v>
      </c>
      <c r="V14" s="161">
        <v>47</v>
      </c>
      <c r="W14" s="161">
        <v>47</v>
      </c>
      <c r="X14" s="161">
        <v>47</v>
      </c>
      <c r="Y14" s="161"/>
      <c r="Z14" s="161"/>
      <c r="AA14" s="161"/>
      <c r="AB14" s="161"/>
      <c r="AC14" s="161"/>
      <c r="AD14" s="4"/>
    </row>
    <row r="15" spans="1:39" ht="27" customHeight="1" x14ac:dyDescent="0.3">
      <c r="A15" s="127"/>
      <c r="B15" s="4">
        <v>2</v>
      </c>
      <c r="C15" s="161">
        <v>792</v>
      </c>
      <c r="D15" s="161">
        <v>891</v>
      </c>
      <c r="E15" s="161">
        <v>281</v>
      </c>
      <c r="F15" s="161">
        <v>281</v>
      </c>
      <c r="G15" s="161">
        <v>280</v>
      </c>
      <c r="H15" s="161">
        <v>280</v>
      </c>
      <c r="I15" s="161">
        <v>35</v>
      </c>
      <c r="J15" s="161">
        <v>35</v>
      </c>
      <c r="K15" s="161" t="s">
        <v>340</v>
      </c>
      <c r="L15" s="161" t="s">
        <v>340</v>
      </c>
      <c r="M15" s="161">
        <v>2090</v>
      </c>
      <c r="N15" s="161">
        <v>2090</v>
      </c>
      <c r="O15" s="161">
        <v>2095</v>
      </c>
      <c r="P15" s="161">
        <v>2090</v>
      </c>
      <c r="Q15" s="161">
        <v>40</v>
      </c>
      <c r="R15" s="161">
        <v>9</v>
      </c>
      <c r="S15" s="161">
        <v>30</v>
      </c>
      <c r="T15" s="161">
        <v>25</v>
      </c>
      <c r="U15" s="161"/>
      <c r="V15" s="161"/>
      <c r="W15" s="161"/>
      <c r="X15" s="161"/>
      <c r="Y15" s="161"/>
      <c r="Z15" s="161"/>
      <c r="AA15" s="161"/>
      <c r="AB15" s="161"/>
      <c r="AC15" s="161"/>
      <c r="AD15" s="4"/>
    </row>
    <row r="16" spans="1:39" ht="27" customHeight="1" x14ac:dyDescent="0.3">
      <c r="A16" s="127"/>
      <c r="B16" s="4" t="s">
        <v>339</v>
      </c>
      <c r="C16" s="4">
        <v>790</v>
      </c>
      <c r="D16" s="4">
        <v>888</v>
      </c>
      <c r="E16" s="4">
        <v>285</v>
      </c>
      <c r="F16" s="4">
        <v>285</v>
      </c>
      <c r="G16" s="4">
        <v>284</v>
      </c>
      <c r="H16" s="4">
        <v>284</v>
      </c>
      <c r="I16" s="4">
        <v>35</v>
      </c>
      <c r="J16" s="4">
        <v>30</v>
      </c>
      <c r="K16" s="4">
        <v>14</v>
      </c>
      <c r="L16" s="4">
        <v>14</v>
      </c>
      <c r="M16" s="4">
        <v>2090</v>
      </c>
      <c r="N16" s="4">
        <v>2088</v>
      </c>
      <c r="O16" s="4">
        <v>2095</v>
      </c>
      <c r="P16" s="4">
        <v>2090</v>
      </c>
      <c r="Q16" s="4">
        <v>40</v>
      </c>
      <c r="R16" s="4" t="s">
        <v>346</v>
      </c>
      <c r="S16" s="4">
        <v>30</v>
      </c>
      <c r="T16" s="4">
        <v>25</v>
      </c>
      <c r="U16" s="4">
        <v>47</v>
      </c>
      <c r="V16" s="4">
        <v>40</v>
      </c>
      <c r="W16" s="4">
        <v>47</v>
      </c>
      <c r="X16" s="4">
        <v>40</v>
      </c>
      <c r="Y16" s="4">
        <v>15</v>
      </c>
      <c r="Z16" s="4">
        <v>10</v>
      </c>
      <c r="AA16" s="4">
        <v>10</v>
      </c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N5:N6"/>
    <mergeCell ref="J5:J6"/>
    <mergeCell ref="O5:O6"/>
    <mergeCell ref="L5:L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I5:I6"/>
    <mergeCell ref="G3:H3"/>
    <mergeCell ref="S5:S6"/>
    <mergeCell ref="K5:K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-0.249977111117893"/>
    <pageSetUpPr fitToPage="1"/>
  </sheetPr>
  <dimension ref="A1:BA18"/>
  <sheetViews>
    <sheetView topLeftCell="L1" zoomScale="85" zoomScaleNormal="85" workbookViewId="0">
      <selection activeCell="AL7" sqref="AL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6" t="str">
        <f>정보!C3</f>
        <v>(멍텅구리) 제작변환 자료(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"/>
      <c r="AJ1" s="1"/>
      <c r="AK1" s="275" t="s">
        <v>75</v>
      </c>
      <c r="AL1" s="275"/>
      <c r="AM1" s="275"/>
      <c r="AR1" s="24"/>
    </row>
    <row r="2" spans="1:53" ht="28.5" customHeight="1" x14ac:dyDescent="0.3">
      <c r="A2" s="23" t="s">
        <v>85</v>
      </c>
      <c r="B2" s="49">
        <v>5</v>
      </c>
      <c r="C2" s="22" t="s">
        <v>86</v>
      </c>
      <c r="D2" s="48">
        <v>0</v>
      </c>
      <c r="E2" s="1"/>
      <c r="F2" s="1"/>
      <c r="G2" s="281" t="s">
        <v>81</v>
      </c>
      <c r="H2" s="281"/>
      <c r="I2" s="281"/>
      <c r="J2" s="268">
        <v>0</v>
      </c>
      <c r="K2" s="268"/>
      <c r="L2" s="282" t="s">
        <v>113</v>
      </c>
      <c r="M2" s="282"/>
      <c r="N2" s="282"/>
      <c r="O2" s="282"/>
      <c r="P2" s="283">
        <v>1</v>
      </c>
      <c r="Q2" s="283"/>
      <c r="R2" s="269" t="s">
        <v>103</v>
      </c>
      <c r="S2" s="270"/>
      <c r="T2" s="108">
        <v>0</v>
      </c>
      <c r="U2" s="269" t="s">
        <v>88</v>
      </c>
      <c r="V2" s="270"/>
      <c r="W2" s="280">
        <v>0</v>
      </c>
      <c r="X2" s="280"/>
      <c r="Y2" s="260" t="s">
        <v>82</v>
      </c>
      <c r="Z2" s="277"/>
      <c r="AA2" s="278">
        <v>0</v>
      </c>
      <c r="AB2" s="278"/>
      <c r="AC2" s="98" t="s">
        <v>114</v>
      </c>
      <c r="AD2" s="276">
        <v>0</v>
      </c>
      <c r="AE2" s="276"/>
      <c r="AF2" s="1"/>
      <c r="AG2" s="1"/>
      <c r="AH2" s="1"/>
      <c r="AI2" s="1"/>
      <c r="AJ2" s="1"/>
      <c r="AK2" s="275"/>
      <c r="AL2" s="275"/>
      <c r="AM2" s="275"/>
      <c r="AR2" s="24"/>
    </row>
    <row r="3" spans="1:53" ht="33" customHeight="1" x14ac:dyDescent="0.3">
      <c r="A3" s="33" t="str">
        <f>'멍텅(실측)'!A3</f>
        <v>현장명 : 서울 강남 기독교성결회관,   (재질) : HL 1.2T</v>
      </c>
      <c r="B3" s="2"/>
      <c r="C3" s="2"/>
      <c r="D3" s="2"/>
      <c r="E3" s="2"/>
      <c r="F3" s="2"/>
      <c r="G3" s="260" t="s">
        <v>76</v>
      </c>
      <c r="H3" s="260"/>
      <c r="I3" s="260"/>
      <c r="J3" s="271">
        <v>5</v>
      </c>
      <c r="K3" s="271"/>
      <c r="L3" s="260" t="s">
        <v>77</v>
      </c>
      <c r="M3" s="260"/>
      <c r="N3" s="272">
        <v>5</v>
      </c>
      <c r="O3" s="272"/>
      <c r="P3" s="273" t="s">
        <v>227</v>
      </c>
      <c r="Q3" s="273"/>
      <c r="R3" s="273"/>
      <c r="S3" s="274">
        <v>0</v>
      </c>
      <c r="T3" s="274"/>
      <c r="U3" s="284" t="s">
        <v>78</v>
      </c>
      <c r="V3" s="284"/>
      <c r="W3" s="279">
        <v>0</v>
      </c>
      <c r="X3" s="279"/>
      <c r="AA3" s="215" t="s">
        <v>73</v>
      </c>
      <c r="AB3" s="215"/>
      <c r="AC3" s="102">
        <v>3</v>
      </c>
      <c r="AD3" s="4" t="s">
        <v>74</v>
      </c>
      <c r="AE3" s="104">
        <v>4</v>
      </c>
      <c r="AF3" s="253" t="s">
        <v>326</v>
      </c>
      <c r="AG3" s="254"/>
      <c r="AH3" s="201"/>
      <c r="AI3" s="255">
        <f>AN7</f>
        <v>10.356996739115663</v>
      </c>
      <c r="AJ3" s="195"/>
      <c r="AK3" s="25"/>
      <c r="AL3" s="25"/>
      <c r="AM3" s="24"/>
      <c r="AR3" s="24"/>
    </row>
    <row r="4" spans="1:53" ht="33" customHeight="1" x14ac:dyDescent="0.3">
      <c r="A4" s="261" t="str">
        <f>'멍텅(실측)'!A4:Y4</f>
        <v>제작치수 반영 : JB/JD +(5 ),  늘어난치수K -(0),  C + (5),  U +(0), OP - (5), R - (0),  기둥차감 - (0),  A + (0)</v>
      </c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  <c r="X4" s="261"/>
      <c r="Y4" s="258" t="s">
        <v>312</v>
      </c>
      <c r="Z4" s="258"/>
      <c r="AA4" s="259">
        <f>'멍텅(실측)'!U7</f>
        <v>0</v>
      </c>
      <c r="AB4" s="259"/>
      <c r="AC4" s="9"/>
      <c r="AD4" s="187">
        <f ca="1">TODAY()</f>
        <v>45274</v>
      </c>
      <c r="AE4" s="173"/>
      <c r="AF4" s="251" t="s">
        <v>235</v>
      </c>
      <c r="AG4" s="251"/>
      <c r="AH4" s="252"/>
      <c r="AI4" s="164" t="s">
        <v>215</v>
      </c>
      <c r="AJ4" s="164"/>
      <c r="AK4" s="25"/>
      <c r="AL4" s="25"/>
      <c r="AM4" s="24"/>
      <c r="AR4" s="24"/>
      <c r="AZ4" s="180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56" t="s">
        <v>60</v>
      </c>
      <c r="H5" s="256" t="s">
        <v>64</v>
      </c>
      <c r="I5" s="266" t="s">
        <v>65</v>
      </c>
      <c r="J5" s="266" t="s">
        <v>66</v>
      </c>
      <c r="K5" s="239" t="s">
        <v>62</v>
      </c>
      <c r="L5" s="239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62" t="s">
        <v>20</v>
      </c>
      <c r="W5" s="239" t="s">
        <v>22</v>
      </c>
      <c r="X5" s="239" t="s">
        <v>23</v>
      </c>
      <c r="Y5" s="241" t="s">
        <v>21</v>
      </c>
      <c r="Z5" s="242"/>
      <c r="AA5" s="242"/>
      <c r="AB5" s="243"/>
      <c r="AC5" s="168" t="s">
        <v>25</v>
      </c>
      <c r="AD5" s="264" t="s">
        <v>34</v>
      </c>
      <c r="AE5" s="168" t="s">
        <v>35</v>
      </c>
      <c r="AF5" s="182" t="s">
        <v>203</v>
      </c>
      <c r="AG5" s="182"/>
      <c r="AH5" s="182"/>
      <c r="AI5" s="171" t="s">
        <v>212</v>
      </c>
      <c r="AJ5" s="172"/>
      <c r="AK5" s="180" t="s">
        <v>305</v>
      </c>
      <c r="AL5" s="180" t="s">
        <v>306</v>
      </c>
      <c r="AM5" s="263" t="s">
        <v>51</v>
      </c>
      <c r="AT5" s="181" t="s">
        <v>28</v>
      </c>
      <c r="AU5" s="181"/>
      <c r="AV5" s="181" t="s">
        <v>29</v>
      </c>
      <c r="AW5" s="181"/>
      <c r="AZ5" s="181"/>
    </row>
    <row r="6" spans="1:53" ht="48" customHeight="1" x14ac:dyDescent="0.3">
      <c r="A6" s="167"/>
      <c r="B6" s="167"/>
      <c r="C6" s="167"/>
      <c r="D6" s="167"/>
      <c r="E6" s="167"/>
      <c r="F6" s="167"/>
      <c r="G6" s="257"/>
      <c r="H6" s="257"/>
      <c r="I6" s="267"/>
      <c r="J6" s="267"/>
      <c r="K6" s="240"/>
      <c r="L6" s="240"/>
      <c r="M6" s="167"/>
      <c r="N6" s="167"/>
      <c r="O6" s="167"/>
      <c r="P6" s="167"/>
      <c r="Q6" s="167"/>
      <c r="R6" s="167"/>
      <c r="S6" s="167"/>
      <c r="T6" s="167"/>
      <c r="U6" s="167"/>
      <c r="V6" s="262"/>
      <c r="W6" s="240"/>
      <c r="X6" s="240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65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1"/>
      <c r="AL6" s="181"/>
      <c r="AM6" s="263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10F</v>
      </c>
      <c r="C7" s="4">
        <f>'멍텅(실측)'!C7-멍텅OP</f>
        <v>785</v>
      </c>
      <c r="D7" s="4">
        <f>'멍텅(실측)'!D7-멍텅R</f>
        <v>891</v>
      </c>
      <c r="E7" s="50">
        <f>'멍텅(실측)'!E7+MAX(AK7,AL7)+IF(AZ7=1,Y7,0)+멍텅JBJD늘림치수</f>
        <v>290</v>
      </c>
      <c r="F7" s="50">
        <f>'멍텅(실측)'!F7+MAX(AK7,AL7)+IF(AZ7=1,AA7,0)+멍텅JBJD늘림치수</f>
        <v>287</v>
      </c>
      <c r="G7" s="50">
        <v>280</v>
      </c>
      <c r="H7" s="50">
        <f>'멍텅(실측)'!G7+AK7+IF(AZ7=1,Z7,0)+멍텅JB강제키움+멍텅JBJD늘림치수-IF(멍텅JB하부늘치=1,'멍텅(실측)'!U7-'멍텅(실측)'!V7,0)</f>
        <v>288</v>
      </c>
      <c r="I7" s="50">
        <f>'멍텅(실측)'!H7+AL7+IF(AZ7=1,AA7,0)+멍텅JB강제키움+멍텅JBJD늘림치수</f>
        <v>275</v>
      </c>
      <c r="J7" s="50">
        <v>270</v>
      </c>
      <c r="K7" s="4">
        <f t="shared" ref="K7:L7" si="0">M7+IF(소장="손상민",0,-1.5)</f>
        <v>34.5</v>
      </c>
      <c r="L7" s="4">
        <f t="shared" si="0"/>
        <v>38.5</v>
      </c>
      <c r="M7" s="4">
        <f>IF(O7&gt;0,'멍텅(실측)'!I7+멍텅C늘림,'멍텅(실측)'!I7+1)</f>
        <v>36</v>
      </c>
      <c r="N7" s="4">
        <f>IF(P7&gt;0,'멍텅(실측)'!J7+멍텅C늘림,'멍텅(실측)'!J7+1)</f>
        <v>40</v>
      </c>
      <c r="O7" s="4">
        <f>IF(ISNUMBER('멍텅(실측)'!K7),'멍텅(실측)'!K7+멍텅제작!AK7+멍텅A늘림,0)</f>
        <v>0</v>
      </c>
      <c r="P7" s="4">
        <v>5</v>
      </c>
      <c r="Q7" s="4">
        <f>'멍텅(실측)'!M7-멍텅기둥차감</f>
        <v>2089</v>
      </c>
      <c r="R7" s="4">
        <v>2081</v>
      </c>
      <c r="S7" s="4">
        <f>'멍텅(실측)'!O7-멍텅기둥차감</f>
        <v>2089</v>
      </c>
      <c r="T7" s="4">
        <f>'멍텅(실측)'!P7-멍텅기둥차감</f>
        <v>2077</v>
      </c>
      <c r="U7" s="4">
        <f>IF(ISNUMBER('멍텅(실측)'!Q7),IF(V7&gt;0,'멍텅(실측)'!Q7+멍텅U늘림,'멍텅(실측)'!Q7+1.2),0)</f>
        <v>41.2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30</v>
      </c>
      <c r="X7" s="4">
        <f>'멍텅(실측)'!T7+뒷날개치수더함</f>
        <v>25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964*358.8</v>
      </c>
      <c r="AD7" s="12" t="str">
        <f t="shared" ref="AD7" si="2">AU7&amp;"*"&amp;AT7</f>
        <v>2089*345.4</v>
      </c>
      <c r="AE7" s="10" t="str">
        <f t="shared" ref="AE7" si="3">AW7&amp;"*"&amp;AV7</f>
        <v>2089*340.2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v>40</v>
      </c>
      <c r="AJ7" s="31">
        <v>40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10.356996739115663</v>
      </c>
      <c r="AO7" s="36">
        <f t="shared" ref="AO7:AO16" si="5">IF(소장="박철우",E7-COS(RADIANS(AN7))*G7+2,E7-COS(RADIANS(AN7))*G7)</f>
        <v>14.562129001191181</v>
      </c>
      <c r="AP7" s="36">
        <f t="shared" ref="AP7:AP16" si="6">IF(소장="박철우",F7-COS(RADIANS(AN7))*I7+2,F7-COS(RADIANS(AN7))*I7)</f>
        <v>16.480662411884168</v>
      </c>
      <c r="AQ7" s="46" t="str">
        <f t="shared" ref="AQ7" si="7">IF(E7+Y7&lt;&gt;F7+AA7,"JD비대칭","")</f>
        <v>JD비대칭</v>
      </c>
      <c r="AR7" s="3">
        <f>D7 + IF(U7+V7&gt;0, K7+L7,0)</f>
        <v>964</v>
      </c>
      <c r="AS7" s="3">
        <f>U7+MAX(E7,F7)+W7+V7-1.2*$AC$3+IF(AZ7=0,MAX(Y7,AA7))+IF(V7=0,1.2,0)</f>
        <v>358.79999999999995</v>
      </c>
      <c r="AT7" s="3">
        <f>O7+M7+MAX(G7,H7)+X7-1.2*$AE$3+IF(AZ7=0,MAX(Y7,Z7))+IF(O7=0,1.2,0)-IF(AH7=90,2.4,0)</f>
        <v>345.4</v>
      </c>
      <c r="AU7" s="3">
        <f t="shared" ref="AU7" si="8">MAX(Q7,R7)</f>
        <v>2089</v>
      </c>
      <c r="AV7" s="3">
        <f>P7+N7+MAX(I7,J7)+X7-1.2*$AE$3+IF(AZ7=0,MAX(AA7,AB7))+IF(P7=0,1.2,0)-IF(AH7=90,2.4,0)</f>
        <v>340.2</v>
      </c>
      <c r="AW7" s="3">
        <f t="shared" ref="AW7" si="9">MAX(S7,T7)</f>
        <v>2089</v>
      </c>
      <c r="AX7">
        <f t="shared" ref="AX7" si="10">G7-E7</f>
        <v>-10</v>
      </c>
      <c r="AY7">
        <f t="shared" ref="AY7" si="11">9-V7</f>
        <v>9</v>
      </c>
      <c r="AZ7" s="79">
        <f>IF(AND(MIN(Y7,AA7)&gt;=9.2,D7-C7&gt;15),0,1)</f>
        <v>1</v>
      </c>
      <c r="BA7" s="83">
        <f>IF(소장="손상민",'멍텅(실측)'!AD7,0)</f>
        <v>0</v>
      </c>
    </row>
    <row r="8" spans="1:53" ht="26.25" customHeight="1" x14ac:dyDescent="0.3">
      <c r="A8" s="4">
        <f>'멍텅(실측)'!A8</f>
        <v>0</v>
      </c>
      <c r="B8" s="4" t="str">
        <f>'멍텅(실측)'!B8&amp;"F"</f>
        <v>9F</v>
      </c>
      <c r="C8" s="4">
        <f>'멍텅(실측)'!C8-멍텅OP</f>
        <v>786</v>
      </c>
      <c r="D8" s="4">
        <f>'멍텅(실측)'!D8-멍텅R</f>
        <v>890</v>
      </c>
      <c r="E8" s="50">
        <f>'멍텅(실측)'!E8+MAX(AK8,AL8)+IF(AZ8=1,Y8,0)+멍텅JBJD늘림치수</f>
        <v>290</v>
      </c>
      <c r="F8" s="50">
        <f>'멍텅(실측)'!F8+MAX(AK8,AL8)+IF(AZ8=1,AA8,0)+멍텅JBJD늘림치수</f>
        <v>286</v>
      </c>
      <c r="G8" s="50">
        <f>'멍텅(실측)'!G8+AK8+IF(AZ8=1,Y8,0)+멍텅JB강제키움+멍텅JBJD늘림치수</f>
        <v>290</v>
      </c>
      <c r="H8" s="50">
        <f>'멍텅(실측)'!G8+AK8+IF(AZ8=1,Z8,0)+멍텅JB강제키움+멍텅JBJD늘림치수-IF(멍텅JB하부늘치=1,'멍텅(실측)'!U8-'멍텅(실측)'!V8,0)</f>
        <v>290</v>
      </c>
      <c r="I8" s="50">
        <f>'멍텅(실측)'!H8+AL8+IF(AZ8=1,AA8,0)+멍텅JB강제키움+멍텅JBJD늘림치수</f>
        <v>280</v>
      </c>
      <c r="J8" s="50">
        <f>'멍텅(실측)'!H8+AL8+IF(AZ8=1,AB8,0)+멍텅JB강제키움+멍텅JBJD늘림치수-IF(멍텅JB하부늘치=1,'멍텅(실측)'!W8-'멍텅(실측)'!X8,0)</f>
        <v>280</v>
      </c>
      <c r="K8" s="4">
        <f t="shared" ref="K8:K16" si="12">M8+IF(소장="손상민",0,-1.5)</f>
        <v>23.5</v>
      </c>
      <c r="L8" s="4">
        <f t="shared" ref="L8:L16" si="13">N8+IF(소장="손상민",0,-1.5)</f>
        <v>29.5</v>
      </c>
      <c r="M8" s="4">
        <f>IF(O8&gt;0,'멍텅(실측)'!I8+멍텅C늘림,'멍텅(실측)'!I8+1)</f>
        <v>25</v>
      </c>
      <c r="N8" s="4">
        <f>IF(P8&gt;0,'멍텅(실측)'!J8+멍텅C늘림,'멍텅(실측)'!J8+1)</f>
        <v>31</v>
      </c>
      <c r="O8" s="4">
        <f>IF(ISNUMBER('멍텅(실측)'!K8),'멍텅(실측)'!K8+멍텅제작!AK8+멍텅A늘림,0)</f>
        <v>15</v>
      </c>
      <c r="P8" s="4">
        <f>IF(ISNUMBER('멍텅(실측)'!L8),'멍텅(실측)'!L8+멍텅제작!AL8+멍텅A늘림,0)</f>
        <v>17</v>
      </c>
      <c r="Q8" s="4">
        <f>'멍텅(실측)'!M8-멍텅기둥차감</f>
        <v>2090</v>
      </c>
      <c r="R8" s="4">
        <f>'멍텅(실측)'!N8-멍텅기둥차감</f>
        <v>2090</v>
      </c>
      <c r="S8" s="4">
        <f>'멍텅(실측)'!O8-멍텅기둥차감</f>
        <v>2090</v>
      </c>
      <c r="T8" s="4">
        <f>'멍텅(실측)'!P8-멍텅기둥차감</f>
        <v>2085</v>
      </c>
      <c r="U8" s="4">
        <f>IF(ISNUMBER('멍텅(실측)'!Q8),IF(V8&gt;0,'멍텅(실측)'!Q8+멍텅U늘림,'멍텅(실측)'!Q8+1.2),0)</f>
        <v>40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9</v>
      </c>
      <c r="W8" s="4">
        <f>'멍텅(실측)'!S8+뒷날개치수더함</f>
        <v>30</v>
      </c>
      <c r="X8" s="4">
        <f>'멍텅(실측)'!T8+뒷날개치수더함</f>
        <v>25</v>
      </c>
      <c r="Y8" s="13">
        <f>'멍텅(실측)'!U8-멍텅늘치차감</f>
        <v>0</v>
      </c>
      <c r="Z8" s="13">
        <f>IF(멍텅JB하부늘치=1,Y8,'멍텅(실측)'!V8-멍텅늘치차감)</f>
        <v>0</v>
      </c>
      <c r="AA8" s="13">
        <f>'멍텅(실측)'!W8-멍텅늘치차감</f>
        <v>0</v>
      </c>
      <c r="AB8" s="13">
        <f>IF(멍텅JB하부늘치=1,AA8,'멍텅(실측)'!X8-멍텅늘치차감)</f>
        <v>0</v>
      </c>
      <c r="AC8" s="11" t="str">
        <f t="shared" ref="AC8:AC16" si="14">AR8&amp;"*"&amp;AS8</f>
        <v>943*365.4</v>
      </c>
      <c r="AD8" s="12" t="str">
        <f t="shared" ref="AD8:AD16" si="15">AU8&amp;"*"&amp;AT8</f>
        <v>2090*350.2</v>
      </c>
      <c r="AE8" s="10" t="str">
        <f t="shared" ref="AE8:AE16" si="16">AW8&amp;"*"&amp;AV8</f>
        <v>2090*348.2</v>
      </c>
      <c r="AF8" s="4">
        <f>IF('멍텅(실측)'!Y8&gt;5,'멍텅(실측)'!Y8+뒷날개치수더함,'멍텅(실측)'!Y8)</f>
        <v>0</v>
      </c>
      <c r="AG8" s="4">
        <f>'멍텅(실측)'!Z8</f>
        <v>0</v>
      </c>
      <c r="AH8" s="4">
        <f>'멍텅(실측)'!AA8</f>
        <v>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6" si="17">DEGREES(ATAN((D8-C8)/2/(E8)))</f>
        <v>10.16569487954269</v>
      </c>
      <c r="AO8" s="36">
        <f t="shared" si="5"/>
        <v>4.5525769502457933</v>
      </c>
      <c r="AP8" s="36">
        <f t="shared" si="6"/>
        <v>10.395591538168333</v>
      </c>
      <c r="AQ8" s="46" t="str">
        <f t="shared" ref="AQ8:AQ16" si="18">IF(E8+Y8&lt;&gt;F8+AA8,"JD비대칭","")</f>
        <v>JD비대칭</v>
      </c>
      <c r="AR8" s="3">
        <f t="shared" ref="AR8:AR16" si="19">D8 + IF(U8+V8&gt;0, K8+L8,0)</f>
        <v>943</v>
      </c>
      <c r="AS8" s="3">
        <f t="shared" ref="AS8:AS16" si="20">U8+MAX(E8,F8)+W8+V8-1.2*$AC$3+IF(AZ8=0,MAX(Y8,AA8))+IF(V8=0,1.2,0)</f>
        <v>365.4</v>
      </c>
      <c r="AT8" s="3">
        <f t="shared" ref="AT8:AT16" si="21">O8+M8+MAX(G8,H8)+X8-1.2*$AE$3+IF(AZ8=0,MAX(Y8,Z8))+IF(O8=0,1.2,0)-IF(AH8=90,2.4,0)</f>
        <v>350.2</v>
      </c>
      <c r="AU8" s="3">
        <f t="shared" ref="AU8:AU16" si="22">MAX(Q8,R8)</f>
        <v>2090</v>
      </c>
      <c r="AV8" s="3">
        <f t="shared" ref="AV8:AV16" si="23">P8+N8+MAX(I8,J8)+X8-1.2*$AE$3+IF(AZ8=0,MAX(AA8,AB8))+IF(P8=0,1.2,0)-IF(AH8=90,2.4,0)</f>
        <v>348.2</v>
      </c>
      <c r="AW8" s="3">
        <f t="shared" ref="AW8:AW16" si="24">MAX(S8,T8)</f>
        <v>2090</v>
      </c>
      <c r="AX8">
        <f t="shared" ref="AX8:AX16" si="25">G8-E8</f>
        <v>0</v>
      </c>
      <c r="AY8">
        <f t="shared" ref="AY8:AY16" si="26">9-V8</f>
        <v>0</v>
      </c>
      <c r="AZ8" s="79">
        <f t="shared" ref="AZ8:AZ16" si="27">IF(AND(MIN(Y8,AA8)&gt;=9.2,D8-C8&gt;15),0,1)</f>
        <v>1</v>
      </c>
      <c r="BA8" s="83">
        <f>IF(소장="손상민",'멍텅(실측)'!AD8,0)</f>
        <v>0</v>
      </c>
    </row>
    <row r="9" spans="1:53" ht="26.25" customHeight="1" x14ac:dyDescent="0.3">
      <c r="A9" s="4">
        <f>'멍텅(실측)'!A9</f>
        <v>0</v>
      </c>
      <c r="B9" s="4" t="str">
        <f>'멍텅(실측)'!B9&amp;"F"</f>
        <v>8F</v>
      </c>
      <c r="C9" s="4">
        <f>'멍텅(실측)'!C9-멍텅OP</f>
        <v>787</v>
      </c>
      <c r="D9" s="4">
        <f>'멍텅(실측)'!D9-멍텅R</f>
        <v>891</v>
      </c>
      <c r="E9" s="50">
        <f>'멍텅(실측)'!E9+MAX(AK9,AL9)+IF(AZ9=1,Y9,0)+멍텅JBJD늘림치수</f>
        <v>283</v>
      </c>
      <c r="F9" s="50">
        <f>'멍텅(실측)'!F9+MAX(AK9,AL9)+IF(AZ9=1,AA9,0)+멍텅JBJD늘림치수</f>
        <v>286</v>
      </c>
      <c r="G9" s="50">
        <f>'멍텅(실측)'!G9+AK9+IF(AZ9=1,Y9,0)+멍텅JB강제키움+멍텅JBJD늘림치수</f>
        <v>285</v>
      </c>
      <c r="H9" s="50">
        <f>'멍텅(실측)'!G9+AK9+IF(AZ9=1,Z9,0)+멍텅JB강제키움+멍텅JBJD늘림치수-IF(멍텅JB하부늘치=1,'멍텅(실측)'!U9-'멍텅(실측)'!V9,0)</f>
        <v>285</v>
      </c>
      <c r="I9" s="50">
        <f>'멍텅(실측)'!H9+AL9+IF(AZ9=1,AA9,0)+멍텅JB강제키움+멍텅JBJD늘림치수</f>
        <v>280</v>
      </c>
      <c r="J9" s="50">
        <f>'멍텅(실측)'!H9+AL9+IF(AZ9=1,AB9,0)+멍텅JB강제키움+멍텅JBJD늘림치수-IF(멍텅JB하부늘치=1,'멍텅(실측)'!W9-'멍텅(실측)'!X9,0)</f>
        <v>280</v>
      </c>
      <c r="K9" s="4">
        <f t="shared" si="12"/>
        <v>34.5</v>
      </c>
      <c r="L9" s="4">
        <f t="shared" si="13"/>
        <v>34.5</v>
      </c>
      <c r="M9" s="4">
        <f>IF(O9&gt;0,'멍텅(실측)'!I9+멍텅C늘림,'멍텅(실측)'!I9+1)</f>
        <v>36</v>
      </c>
      <c r="N9" s="4">
        <f>IF(P9&gt;0,'멍텅(실측)'!J9+멍텅C늘림,'멍텅(실측)'!J9+1)</f>
        <v>36</v>
      </c>
      <c r="O9" s="4">
        <f>IF(ISNUMBER('멍텅(실측)'!K9),'멍텅(실측)'!K9+멍텅제작!AK9+멍텅A늘림,0)</f>
        <v>0</v>
      </c>
      <c r="P9" s="4">
        <f>IF(ISNUMBER('멍텅(실측)'!L9),'멍텅(실측)'!L9+멍텅제작!AL9+멍텅A늘림,0)</f>
        <v>0</v>
      </c>
      <c r="Q9" s="4">
        <f>'멍텅(실측)'!M9-멍텅기둥차감</f>
        <v>2096</v>
      </c>
      <c r="R9" s="4">
        <f>'멍텅(실측)'!N9-멍텅기둥차감</f>
        <v>2092</v>
      </c>
      <c r="S9" s="4">
        <f>'멍텅(실측)'!O9-멍텅기둥차감</f>
        <v>2079</v>
      </c>
      <c r="T9" s="4">
        <f>'멍텅(실측)'!P9-멍텅기둥차감</f>
        <v>2091</v>
      </c>
      <c r="U9" s="4">
        <f>IF(ISNUMBER('멍텅(실측)'!Q9),IF(V9&gt;0,'멍텅(실측)'!Q9+멍텅U늘림,'멍텅(실측)'!Q9+1.2),0)</f>
        <v>40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9</v>
      </c>
      <c r="W9" s="4">
        <f>'멍텅(실측)'!S9+뒷날개치수더함</f>
        <v>30</v>
      </c>
      <c r="X9" s="4">
        <f>'멍텅(실측)'!T9+뒷날개치수더함</f>
        <v>25</v>
      </c>
      <c r="Y9" s="13">
        <f>'멍텅(실측)'!U9-멍텅늘치차감</f>
        <v>47</v>
      </c>
      <c r="Z9" s="13">
        <f>IF(멍텅JB하부늘치=1,Y9,'멍텅(실측)'!V9-멍텅늘치차감)</f>
        <v>47</v>
      </c>
      <c r="AA9" s="13">
        <f>'멍텅(실측)'!W9-멍텅늘치차감</f>
        <v>47</v>
      </c>
      <c r="AB9" s="13">
        <f>IF(멍텅JB하부늘치=1,AA9,'멍텅(실측)'!X9-멍텅늘치차감)</f>
        <v>47</v>
      </c>
      <c r="AC9" s="11" t="str">
        <f t="shared" si="14"/>
        <v>960*408.4</v>
      </c>
      <c r="AD9" s="12" t="str">
        <f t="shared" si="15"/>
        <v>2096*389.4</v>
      </c>
      <c r="AE9" s="10" t="str">
        <f t="shared" si="16"/>
        <v>2091*384.4</v>
      </c>
      <c r="AF9" s="4">
        <f>IF('멍텅(실측)'!Y9&gt;5,'멍텅(실측)'!Y9+뒷날개치수더함,'멍텅(실측)'!Y9)</f>
        <v>15</v>
      </c>
      <c r="AG9" s="4">
        <f>'멍텅(실측)'!Z9</f>
        <v>10</v>
      </c>
      <c r="AH9" s="4">
        <f>'멍텅(실측)'!AA9</f>
        <v>10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7"/>
        <v>10.411708227692021</v>
      </c>
      <c r="AO9" s="36">
        <f t="shared" si="5"/>
        <v>2.692649912696595</v>
      </c>
      <c r="AP9" s="36">
        <f t="shared" si="6"/>
        <v>10.61032272124578</v>
      </c>
      <c r="AQ9" s="46" t="str">
        <f t="shared" si="18"/>
        <v>JD비대칭</v>
      </c>
      <c r="AR9" s="3">
        <f t="shared" si="19"/>
        <v>960</v>
      </c>
      <c r="AS9" s="3">
        <f t="shared" si="20"/>
        <v>408.4</v>
      </c>
      <c r="AT9" s="3">
        <f t="shared" si="21"/>
        <v>389.4</v>
      </c>
      <c r="AU9" s="3">
        <f t="shared" si="22"/>
        <v>2096</v>
      </c>
      <c r="AV9" s="3">
        <f t="shared" si="23"/>
        <v>384.4</v>
      </c>
      <c r="AW9" s="3">
        <f t="shared" si="24"/>
        <v>2091</v>
      </c>
      <c r="AX9">
        <f t="shared" si="25"/>
        <v>2</v>
      </c>
      <c r="AY9">
        <f t="shared" si="26"/>
        <v>0</v>
      </c>
      <c r="AZ9" s="79">
        <f t="shared" si="27"/>
        <v>0</v>
      </c>
      <c r="BA9" s="83">
        <f>IF(소장="손상민",'멍텅(실측)'!AD9,0)</f>
        <v>0</v>
      </c>
    </row>
    <row r="10" spans="1:53" ht="26.25" customHeight="1" x14ac:dyDescent="0.3">
      <c r="A10" s="4">
        <f>'멍텅(실측)'!A10</f>
        <v>0</v>
      </c>
      <c r="B10" s="4" t="str">
        <f>'멍텅(실측)'!B10&amp;"F"</f>
        <v>7F</v>
      </c>
      <c r="C10" s="4">
        <f>'멍텅(실측)'!C10-멍텅OP</f>
        <v>787</v>
      </c>
      <c r="D10" s="4">
        <f>'멍텅(실측)'!D10-멍텅R</f>
        <v>891</v>
      </c>
      <c r="E10" s="50">
        <f>'멍텅(실측)'!E10+MAX(AK10,AL10)+IF(AZ10=1,Y10,0)+멍텅JBJD늘림치수</f>
        <v>286</v>
      </c>
      <c r="F10" s="50">
        <f>'멍텅(실측)'!F10+MAX(AK10,AL10)+IF(AZ10=1,AA10,0)+멍텅JBJD늘림치수</f>
        <v>286</v>
      </c>
      <c r="G10" s="50">
        <f>'멍텅(실측)'!G10+AK10+IF(AZ10=1,Y10,0)+멍텅JB강제키움+멍텅JBJD늘림치수</f>
        <v>285</v>
      </c>
      <c r="H10" s="50">
        <f>'멍텅(실측)'!G10+AK10+IF(AZ10=1,Z10,0)+멍텅JB강제키움+멍텅JBJD늘림치수-IF(멍텅JB하부늘치=1,'멍텅(실측)'!U10-'멍텅(실측)'!V10,0)</f>
        <v>285</v>
      </c>
      <c r="I10" s="50">
        <f>'멍텅(실측)'!H10+AL10+IF(AZ10=1,AA10,0)+멍텅JB강제키움+멍텅JBJD늘림치수</f>
        <v>285</v>
      </c>
      <c r="J10" s="50">
        <f>'멍텅(실측)'!H10+AL10+IF(AZ10=1,AB10,0)+멍텅JB강제키움+멍텅JBJD늘림치수-IF(멍텅JB하부늘치=1,'멍텅(실측)'!W10-'멍텅(실측)'!X10,0)</f>
        <v>285</v>
      </c>
      <c r="K10" s="4">
        <f t="shared" si="12"/>
        <v>34.5</v>
      </c>
      <c r="L10" s="4">
        <f t="shared" si="13"/>
        <v>34.5</v>
      </c>
      <c r="M10" s="4">
        <f>IF(O10&gt;0,'멍텅(실측)'!I10+멍텅C늘림,'멍텅(실측)'!I10+1)</f>
        <v>36</v>
      </c>
      <c r="N10" s="4">
        <f>IF(P10&gt;0,'멍텅(실측)'!J10+멍텅C늘림,'멍텅(실측)'!J10+1)</f>
        <v>36</v>
      </c>
      <c r="O10" s="4">
        <f>IF(ISNUMBER('멍텅(실측)'!K10),'멍텅(실측)'!K10+멍텅제작!AK10+멍텅A늘림,0)</f>
        <v>0</v>
      </c>
      <c r="P10" s="4">
        <f>IF(ISNUMBER('멍텅(실측)'!L10),'멍텅(실측)'!L10+멍텅제작!AL10+멍텅A늘림,0)</f>
        <v>0</v>
      </c>
      <c r="Q10" s="4">
        <f>'멍텅(실측)'!M10-멍텅기둥차감</f>
        <v>2090</v>
      </c>
      <c r="R10" s="4">
        <f>'멍텅(실측)'!N10-멍텅기둥차감</f>
        <v>2090</v>
      </c>
      <c r="S10" s="4">
        <f>'멍텅(실측)'!O10-멍텅기둥차감</f>
        <v>2095</v>
      </c>
      <c r="T10" s="4">
        <f>'멍텅(실측)'!P10-멍텅기둥차감</f>
        <v>2090</v>
      </c>
      <c r="U10" s="4">
        <f>IF(ISNUMBER('멍텅(실측)'!Q10),IF(V10&gt;0,'멍텅(실측)'!Q10+멍텅U늘림,'멍텅(실측)'!Q10+1.2),0)</f>
        <v>40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9</v>
      </c>
      <c r="W10" s="4">
        <f>'멍텅(실측)'!S10+뒷날개치수더함</f>
        <v>30</v>
      </c>
      <c r="X10" s="4">
        <f>'멍텅(실측)'!T10+뒷날개치수더함</f>
        <v>25</v>
      </c>
      <c r="Y10" s="13">
        <f>'멍텅(실측)'!U10-멍텅늘치차감</f>
        <v>0</v>
      </c>
      <c r="Z10" s="13">
        <f>IF(멍텅JB하부늘치=1,Y10,'멍텅(실측)'!V10-멍텅늘치차감)</f>
        <v>0</v>
      </c>
      <c r="AA10" s="13">
        <f>'멍텅(실측)'!W10-멍텅늘치차감</f>
        <v>0</v>
      </c>
      <c r="AB10" s="13">
        <f>IF(멍텅JB하부늘치=1,AA10,'멍텅(실측)'!X10-멍텅늘치차감)</f>
        <v>0</v>
      </c>
      <c r="AC10" s="11" t="str">
        <f t="shared" si="14"/>
        <v>960*361.4</v>
      </c>
      <c r="AD10" s="12" t="str">
        <f t="shared" si="15"/>
        <v>2090*342.4</v>
      </c>
      <c r="AE10" s="10" t="str">
        <f t="shared" si="16"/>
        <v>2095*342.4</v>
      </c>
      <c r="AF10" s="4">
        <f>IF('멍텅(실측)'!Y10&gt;5,'멍텅(실측)'!Y10+뒷날개치수더함,'멍텅(실측)'!Y10)</f>
        <v>0</v>
      </c>
      <c r="AG10" s="4">
        <f>'멍텅(실측)'!Z10</f>
        <v>0</v>
      </c>
      <c r="AH10" s="4">
        <f>'멍텅(실측)'!AA10</f>
        <v>0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7"/>
        <v>10.304846468766033</v>
      </c>
      <c r="AO10" s="36">
        <f t="shared" si="5"/>
        <v>5.5970756215263577</v>
      </c>
      <c r="AP10" s="36">
        <f t="shared" si="6"/>
        <v>5.5970756215263577</v>
      </c>
      <c r="AQ10" s="46" t="str">
        <f t="shared" si="18"/>
        <v/>
      </c>
      <c r="AR10" s="3">
        <f t="shared" si="19"/>
        <v>960</v>
      </c>
      <c r="AS10" s="3">
        <f t="shared" si="20"/>
        <v>361.4</v>
      </c>
      <c r="AT10" s="3">
        <f t="shared" si="21"/>
        <v>342.4</v>
      </c>
      <c r="AU10" s="3">
        <f t="shared" si="22"/>
        <v>2090</v>
      </c>
      <c r="AV10" s="3">
        <f t="shared" si="23"/>
        <v>342.4</v>
      </c>
      <c r="AW10" s="3">
        <f t="shared" si="24"/>
        <v>2095</v>
      </c>
      <c r="AX10">
        <f t="shared" si="25"/>
        <v>-1</v>
      </c>
      <c r="AY10">
        <f t="shared" si="26"/>
        <v>0</v>
      </c>
      <c r="AZ10" s="79">
        <f t="shared" si="27"/>
        <v>1</v>
      </c>
      <c r="BA10" s="83">
        <f>IF(소장="손상민",'멍텅(실측)'!AD10,0)</f>
        <v>0</v>
      </c>
    </row>
    <row r="11" spans="1:53" ht="26.25" customHeight="1" x14ac:dyDescent="0.3">
      <c r="A11" s="4">
        <f>'멍텅(실측)'!A11</f>
        <v>0</v>
      </c>
      <c r="B11" s="4" t="str">
        <f>'멍텅(실측)'!B11&amp;"F"</f>
        <v>6F</v>
      </c>
      <c r="C11" s="4">
        <f>'멍텅(실측)'!C11-멍텅OP</f>
        <v>785</v>
      </c>
      <c r="D11" s="4">
        <f>'멍텅(실측)'!D11-멍텅R</f>
        <v>889</v>
      </c>
      <c r="E11" s="50">
        <f>'멍텅(실측)'!E11+MAX(AK11,AL11)+IF(AZ11=1,Y11,0)+멍텅JBJD늘림치수</f>
        <v>287</v>
      </c>
      <c r="F11" s="50">
        <f>'멍텅(실측)'!F11+MAX(AK11,AL11)+IF(AZ11=1,AA11,0)+멍텅JBJD늘림치수</f>
        <v>287</v>
      </c>
      <c r="G11" s="50">
        <f>'멍텅(실측)'!G11+AK11+IF(AZ11=1,Y11,0)+멍텅JB강제키움+멍텅JBJD늘림치수</f>
        <v>286</v>
      </c>
      <c r="H11" s="50">
        <f>'멍텅(실측)'!G11+AK11+IF(AZ11=1,Z11,0)+멍텅JB강제키움+멍텅JBJD늘림치수-IF(멍텅JB하부늘치=1,'멍텅(실측)'!U11-'멍텅(실측)'!V11,0)</f>
        <v>286</v>
      </c>
      <c r="I11" s="50">
        <f>'멍텅(실측)'!H11+AL11+IF(AZ11=1,AA11,0)+멍텅JB강제키움+멍텅JBJD늘림치수</f>
        <v>286</v>
      </c>
      <c r="J11" s="50">
        <f>'멍텅(실측)'!H11+AL11+IF(AZ11=1,AB11,0)+멍텅JB강제키움+멍텅JBJD늘림치수-IF(멍텅JB하부늘치=1,'멍텅(실측)'!W11-'멍텅(실측)'!X11,0)</f>
        <v>286</v>
      </c>
      <c r="K11" s="4">
        <f t="shared" si="12"/>
        <v>38.5</v>
      </c>
      <c r="L11" s="4">
        <f t="shared" si="13"/>
        <v>38.5</v>
      </c>
      <c r="M11" s="4">
        <f>IF(O11&gt;0,'멍텅(실측)'!I11+멍텅C늘림,'멍텅(실측)'!I11+1)</f>
        <v>40</v>
      </c>
      <c r="N11" s="4">
        <f>IF(P11&gt;0,'멍텅(실측)'!J11+멍텅C늘림,'멍텅(실측)'!J11+1)</f>
        <v>40</v>
      </c>
      <c r="O11" s="4">
        <f>IF(ISNUMBER('멍텅(실측)'!K11),'멍텅(실측)'!K11+멍텅제작!AK11+멍텅A늘림,0)</f>
        <v>15</v>
      </c>
      <c r="P11" s="4">
        <f>IF(ISNUMBER('멍텅(실측)'!L11),'멍텅(실측)'!L11+멍텅제작!AL11+멍텅A늘림,0)</f>
        <v>15</v>
      </c>
      <c r="Q11" s="4">
        <f>'멍텅(실측)'!M11-멍텅기둥차감</f>
        <v>2086</v>
      </c>
      <c r="R11" s="4">
        <f>'멍텅(실측)'!N11-멍텅기둥차감</f>
        <v>2080</v>
      </c>
      <c r="S11" s="4">
        <f>'멍텅(실측)'!O11-멍텅기둥차감</f>
        <v>2086</v>
      </c>
      <c r="T11" s="4">
        <f>'멍텅(실측)'!P11-멍텅기둥차감</f>
        <v>2077</v>
      </c>
      <c r="U11" s="4">
        <f>IF(ISNUMBER('멍텅(실측)'!Q11),IF(V11&gt;0,'멍텅(실측)'!Q11+멍텅U늘림,'멍텅(실측)'!Q11+1.2),0)</f>
        <v>40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9</v>
      </c>
      <c r="W11" s="4">
        <f>'멍텅(실측)'!S11+뒷날개치수더함</f>
        <v>30</v>
      </c>
      <c r="X11" s="4">
        <f>'멍텅(실측)'!T11+뒷날개치수더함</f>
        <v>25</v>
      </c>
      <c r="Y11" s="13">
        <f>'멍텅(실측)'!U11-멍텅늘치차감</f>
        <v>45</v>
      </c>
      <c r="Z11" s="13">
        <f>IF(멍텅JB하부늘치=1,Y11,'멍텅(실측)'!V11-멍텅늘치차감)</f>
        <v>45</v>
      </c>
      <c r="AA11" s="13">
        <f>'멍텅(실측)'!W11-멍텅늘치차감</f>
        <v>45</v>
      </c>
      <c r="AB11" s="13">
        <f>IF(멍텅JB하부늘치=1,AA11,'멍텅(실측)'!X11-멍텅늘치차감)</f>
        <v>45</v>
      </c>
      <c r="AC11" s="11" t="str">
        <f t="shared" si="14"/>
        <v>966*407.4</v>
      </c>
      <c r="AD11" s="12" t="str">
        <f t="shared" si="15"/>
        <v>2086*406.2</v>
      </c>
      <c r="AE11" s="10" t="str">
        <f t="shared" si="16"/>
        <v>2086*406.2</v>
      </c>
      <c r="AF11" s="4">
        <f>IF('멍텅(실측)'!Y11&gt;5,'멍텅(실측)'!Y11+뒷날개치수더함,'멍텅(실측)'!Y11)</f>
        <v>15</v>
      </c>
      <c r="AG11" s="4">
        <f>'멍텅(실측)'!Z11</f>
        <v>10</v>
      </c>
      <c r="AH11" s="4">
        <f>'멍텅(실측)'!AA11</f>
        <v>10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7"/>
        <v>10.269706467337519</v>
      </c>
      <c r="AO11" s="36">
        <f t="shared" si="5"/>
        <v>5.5818810029144856</v>
      </c>
      <c r="AP11" s="36">
        <f t="shared" si="6"/>
        <v>5.5818810029144856</v>
      </c>
      <c r="AQ11" s="46" t="str">
        <f t="shared" si="18"/>
        <v/>
      </c>
      <c r="AR11" s="3">
        <f t="shared" si="19"/>
        <v>966</v>
      </c>
      <c r="AS11" s="3">
        <f t="shared" si="20"/>
        <v>407.4</v>
      </c>
      <c r="AT11" s="3">
        <f t="shared" si="21"/>
        <v>406.2</v>
      </c>
      <c r="AU11" s="3">
        <f t="shared" si="22"/>
        <v>2086</v>
      </c>
      <c r="AV11" s="3">
        <f t="shared" si="23"/>
        <v>406.2</v>
      </c>
      <c r="AW11" s="3">
        <f t="shared" si="24"/>
        <v>2086</v>
      </c>
      <c r="AX11">
        <f t="shared" si="25"/>
        <v>-1</v>
      </c>
      <c r="AY11">
        <f t="shared" si="26"/>
        <v>0</v>
      </c>
      <c r="AZ11" s="79">
        <f t="shared" si="27"/>
        <v>0</v>
      </c>
      <c r="BA11" s="83">
        <f>IF(소장="손상민",'멍텅(실측)'!AD11,0)</f>
        <v>0</v>
      </c>
    </row>
    <row r="12" spans="1:53" ht="26.25" customHeight="1" x14ac:dyDescent="0.3">
      <c r="A12" s="4">
        <f>'멍텅(실측)'!A12</f>
        <v>0</v>
      </c>
      <c r="B12" s="4" t="str">
        <f>'멍텅(실측)'!B12&amp;"F"</f>
        <v>5F</v>
      </c>
      <c r="C12" s="4">
        <f>'멍텅(실측)'!C12-멍텅OP</f>
        <v>785</v>
      </c>
      <c r="D12" s="4">
        <f>'멍텅(실측)'!D12-멍텅R</f>
        <v>891</v>
      </c>
      <c r="E12" s="50">
        <f>'멍텅(실측)'!E12+MAX(AK12,AL12)+IF(AZ12=1,Y12,0)+멍텅JBJD늘림치수</f>
        <v>290</v>
      </c>
      <c r="F12" s="50">
        <f>'멍텅(실측)'!F12+MAX(AK12,AL12)+IF(AZ12=1,AA12,0)+멍텅JBJD늘림치수</f>
        <v>287</v>
      </c>
      <c r="G12" s="50">
        <f>'멍텅(실측)'!G12+AK12+IF(AZ12=1,Y12,0)+멍텅JB강제키움+멍텅JBJD늘림치수</f>
        <v>286</v>
      </c>
      <c r="H12" s="50">
        <f>'멍텅(실측)'!G12+AK12+IF(AZ12=1,Z12,0)+멍텅JB강제키움+멍텅JBJD늘림치수-IF(멍텅JB하부늘치=1,'멍텅(실측)'!U12-'멍텅(실측)'!V12,0)</f>
        <v>286</v>
      </c>
      <c r="I12" s="50">
        <f>'멍텅(실측)'!H12+AL12+IF(AZ12=1,AA12,0)+멍텅JB강제키움+멍텅JBJD늘림치수</f>
        <v>286</v>
      </c>
      <c r="J12" s="50">
        <f>'멍텅(실측)'!H12+AL12+IF(AZ12=1,AB12,0)+멍텅JB강제키움+멍텅JBJD늘림치수-IF(멍텅JB하부늘치=1,'멍텅(실측)'!W12-'멍텅(실측)'!X12,0)</f>
        <v>286</v>
      </c>
      <c r="K12" s="4">
        <f t="shared" si="12"/>
        <v>34.5</v>
      </c>
      <c r="L12" s="4">
        <f t="shared" si="13"/>
        <v>34.5</v>
      </c>
      <c r="M12" s="4">
        <f>IF(O12&gt;0,'멍텅(실측)'!I12+멍텅C늘림,'멍텅(실측)'!I12+1)</f>
        <v>36</v>
      </c>
      <c r="N12" s="4">
        <f>IF(P12&gt;0,'멍텅(실측)'!J12+멍텅C늘림,'멍텅(실측)'!J12+1)</f>
        <v>36</v>
      </c>
      <c r="O12" s="4">
        <f>IF(ISNUMBER('멍텅(실측)'!K12),'멍텅(실측)'!K12+멍텅제작!AK12+멍텅A늘림,0)</f>
        <v>0</v>
      </c>
      <c r="P12" s="4">
        <f>IF(ISNUMBER('멍텅(실측)'!L12),'멍텅(실측)'!L12+멍텅제작!AL12+멍텅A늘림,0)</f>
        <v>0</v>
      </c>
      <c r="Q12" s="4">
        <f>'멍텅(실측)'!M12-멍텅기둥차감</f>
        <v>2089</v>
      </c>
      <c r="R12" s="4">
        <f>'멍텅(실측)'!N12-멍텅기둥차감</f>
        <v>2089</v>
      </c>
      <c r="S12" s="4">
        <f>'멍텅(실측)'!O12-멍텅기둥차감</f>
        <v>2089</v>
      </c>
      <c r="T12" s="4">
        <f>'멍텅(실측)'!P12-멍텅기둥차감</f>
        <v>2089</v>
      </c>
      <c r="U12" s="4">
        <f>IF(ISNUMBER('멍텅(실측)'!Q12),IF(V12&gt;0,'멍텅(실측)'!Q12+멍텅U늘림,'멍텅(실측)'!Q12+1.2),0)</f>
        <v>41.2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0</v>
      </c>
      <c r="W12" s="4">
        <f>'멍텅(실측)'!S12+뒷날개치수더함</f>
        <v>30</v>
      </c>
      <c r="X12" s="4">
        <f>'멍텅(실측)'!T12+뒷날개치수더함</f>
        <v>25</v>
      </c>
      <c r="Y12" s="13">
        <f>'멍텅(실측)'!U12-멍텅늘치차감</f>
        <v>0</v>
      </c>
      <c r="Z12" s="13">
        <f>IF(멍텅JB하부늘치=1,Y12,'멍텅(실측)'!V12-멍텅늘치차감)</f>
        <v>0</v>
      </c>
      <c r="AA12" s="13">
        <f>'멍텅(실측)'!W12-멍텅늘치차감</f>
        <v>0</v>
      </c>
      <c r="AB12" s="13">
        <f>IF(멍텅JB하부늘치=1,AA12,'멍텅(실측)'!X12-멍텅늘치차감)</f>
        <v>0</v>
      </c>
      <c r="AC12" s="11" t="str">
        <f t="shared" si="14"/>
        <v>960*358.8</v>
      </c>
      <c r="AD12" s="12" t="str">
        <f t="shared" si="15"/>
        <v>2089*343.4</v>
      </c>
      <c r="AE12" s="10" t="str">
        <f t="shared" si="16"/>
        <v>2089*343.4</v>
      </c>
      <c r="AF12" s="4">
        <f>IF('멍텅(실측)'!Y12&gt;5,'멍텅(실측)'!Y12+뒷날개치수더함,'멍텅(실측)'!Y12)</f>
        <v>0</v>
      </c>
      <c r="AG12" s="4">
        <f>'멍텅(실측)'!Z12</f>
        <v>0</v>
      </c>
      <c r="AH12" s="4">
        <f>'멍텅(실측)'!AA12</f>
        <v>0</v>
      </c>
      <c r="AI12" s="31">
        <f>IF('멍텅(실측)'!AB12&gt;0,'멍텅(실측)'!AB12-'멍텅(실측)'!S12+1.2,0)</f>
        <v>0</v>
      </c>
      <c r="AJ12" s="31">
        <f>IF('멍텅(실측)'!AC12&gt;0,'멍텅(실측)'!AC12-'멍텅(실측)'!S12+1.2,0)</f>
        <v>0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0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0</v>
      </c>
      <c r="AM12" s="16"/>
      <c r="AN12" s="17">
        <f t="shared" si="17"/>
        <v>10.356996739115663</v>
      </c>
      <c r="AO12" s="36">
        <f t="shared" si="5"/>
        <v>8.6598889083595623</v>
      </c>
      <c r="AP12" s="36">
        <f t="shared" si="6"/>
        <v>5.6598889083595623</v>
      </c>
      <c r="AQ12" s="46" t="str">
        <f t="shared" si="18"/>
        <v>JD비대칭</v>
      </c>
      <c r="AR12" s="3">
        <f t="shared" si="19"/>
        <v>960</v>
      </c>
      <c r="AS12" s="3">
        <f t="shared" si="20"/>
        <v>358.79999999999995</v>
      </c>
      <c r="AT12" s="3">
        <f t="shared" si="21"/>
        <v>343.4</v>
      </c>
      <c r="AU12" s="3">
        <f t="shared" si="22"/>
        <v>2089</v>
      </c>
      <c r="AV12" s="3">
        <f t="shared" si="23"/>
        <v>343.4</v>
      </c>
      <c r="AW12" s="3">
        <f t="shared" si="24"/>
        <v>2089</v>
      </c>
      <c r="AX12">
        <f t="shared" si="25"/>
        <v>-4</v>
      </c>
      <c r="AY12">
        <f t="shared" si="26"/>
        <v>9</v>
      </c>
      <c r="AZ12" s="79">
        <f t="shared" si="27"/>
        <v>1</v>
      </c>
      <c r="BA12" s="83">
        <f>IF(소장="손상민",'멍텅(실측)'!AD12,0)</f>
        <v>0</v>
      </c>
    </row>
    <row r="13" spans="1:53" ht="26.25" customHeight="1" x14ac:dyDescent="0.3">
      <c r="A13" s="4">
        <f>'멍텅(실측)'!A13</f>
        <v>0</v>
      </c>
      <c r="B13" s="4" t="str">
        <f>'멍텅(실측)'!B13&amp;"F"</f>
        <v>4F</v>
      </c>
      <c r="C13" s="4">
        <f>'멍텅(실측)'!C13-멍텅OP</f>
        <v>786</v>
      </c>
      <c r="D13" s="4">
        <f>'멍텅(실측)'!D13-멍텅R</f>
        <v>890</v>
      </c>
      <c r="E13" s="50">
        <f>'멍텅(실측)'!E13+MAX(AK13,AL13)+IF(AZ13=1,Y13,0)+멍텅JBJD늘림치수</f>
        <v>290</v>
      </c>
      <c r="F13" s="50">
        <f>'멍텅(실측)'!F13+MAX(AK13,AL13)+IF(AZ13=1,AA13,0)+멍텅JBJD늘림치수</f>
        <v>286</v>
      </c>
      <c r="G13" s="50">
        <f>'멍텅(실측)'!G13+AK13+IF(AZ13=1,Y13,0)+멍텅JB강제키움+멍텅JBJD늘림치수</f>
        <v>290</v>
      </c>
      <c r="H13" s="50">
        <f>'멍텅(실측)'!G13+AK13+IF(AZ13=1,Z13,0)+멍텅JB강제키움+멍텅JBJD늘림치수-IF(멍텅JB하부늘치=1,'멍텅(실측)'!U13-'멍텅(실측)'!V13,0)</f>
        <v>280</v>
      </c>
      <c r="I13" s="50">
        <f>'멍텅(실측)'!H13+AL13+IF(AZ13=1,AA13,0)+멍텅JB강제키움+멍텅JBJD늘림치수</f>
        <v>285</v>
      </c>
      <c r="J13" s="50">
        <f>'멍텅(실측)'!H13+AL13+IF(AZ13=1,AB13,0)+멍텅JB강제키움+멍텅JBJD늘림치수-IF(멍텅JB하부늘치=1,'멍텅(실측)'!W13-'멍텅(실측)'!X13,0)</f>
        <v>265</v>
      </c>
      <c r="K13" s="4">
        <f t="shared" si="12"/>
        <v>38.5</v>
      </c>
      <c r="L13" s="4">
        <f t="shared" si="13"/>
        <v>38.5</v>
      </c>
      <c r="M13" s="4">
        <f>IF(O13&gt;0,'멍텅(실측)'!I13+멍텅C늘림,'멍텅(실측)'!I13+1)</f>
        <v>40</v>
      </c>
      <c r="N13" s="4">
        <f>IF(P13&gt;0,'멍텅(실측)'!J13+멍텅C늘림,'멍텅(실측)'!J13+1)</f>
        <v>40</v>
      </c>
      <c r="O13" s="4">
        <f>IF(ISNUMBER('멍텅(실측)'!K13),'멍텅(실측)'!K13+멍텅제작!AK13+멍텅A늘림,0)</f>
        <v>17</v>
      </c>
      <c r="P13" s="4">
        <f>IF(ISNUMBER('멍텅(실측)'!L13),'멍텅(실측)'!L13+멍텅제작!AL13+멍텅A늘림,0)</f>
        <v>17</v>
      </c>
      <c r="Q13" s="4">
        <f>'멍텅(실측)'!M13-멍텅기둥차감</f>
        <v>2090</v>
      </c>
      <c r="R13" s="4">
        <f>'멍텅(실측)'!N13-멍텅기둥차감</f>
        <v>2090</v>
      </c>
      <c r="S13" s="4">
        <f>'멍텅(실측)'!O13-멍텅기둥차감</f>
        <v>2090</v>
      </c>
      <c r="T13" s="4">
        <f>'멍텅(실측)'!P13-멍텅기둥차감</f>
        <v>2085</v>
      </c>
      <c r="U13" s="4">
        <f>IF(ISNUMBER('멍텅(실측)'!Q13),IF(V13&gt;0,'멍텅(실측)'!Q13+멍텅U늘림,'멍텅(실측)'!Q13+1.2),0)</f>
        <v>40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9</v>
      </c>
      <c r="W13" s="4">
        <f>'멍텅(실측)'!S13+뒷날개치수더함</f>
        <v>30</v>
      </c>
      <c r="X13" s="4">
        <f>'멍텅(실측)'!T13+뒷날개치수더함</f>
        <v>25</v>
      </c>
      <c r="Y13" s="13">
        <f>'멍텅(실측)'!U13-멍텅늘치차감</f>
        <v>30</v>
      </c>
      <c r="Z13" s="13">
        <f>IF(멍텅JB하부늘치=1,Y13,'멍텅(실측)'!V13-멍텅늘치차감)</f>
        <v>30</v>
      </c>
      <c r="AA13" s="13">
        <f>'멍텅(실측)'!W13-멍텅늘치차감</f>
        <v>40</v>
      </c>
      <c r="AB13" s="13">
        <f>IF(멍텅JB하부늘치=1,AA13,'멍텅(실측)'!X13-멍텅늘치차감)</f>
        <v>40</v>
      </c>
      <c r="AC13" s="11" t="str">
        <f t="shared" si="14"/>
        <v>967*405.4</v>
      </c>
      <c r="AD13" s="12" t="str">
        <f t="shared" si="15"/>
        <v>2090*397.2</v>
      </c>
      <c r="AE13" s="10" t="str">
        <f t="shared" si="16"/>
        <v>2090*402.2</v>
      </c>
      <c r="AF13" s="4">
        <f>IF('멍텅(실측)'!Y13&gt;5,'멍텅(실측)'!Y13+뒷날개치수더함,'멍텅(실측)'!Y13)</f>
        <v>15</v>
      </c>
      <c r="AG13" s="4">
        <f>'멍텅(실측)'!Z13</f>
        <v>10</v>
      </c>
      <c r="AH13" s="4">
        <f>'멍텅(실측)'!AA13</f>
        <v>10</v>
      </c>
      <c r="AI13" s="31">
        <f>IF('멍텅(실측)'!AB13&gt;0,'멍텅(실측)'!AB13-'멍텅(실측)'!S13+1.2,0)</f>
        <v>0</v>
      </c>
      <c r="AJ13" s="31">
        <f>IF('멍텅(실측)'!AC13&gt;0,'멍텅(실측)'!AC13-'멍텅(실측)'!S13+1.2,0)</f>
        <v>0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0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0</v>
      </c>
      <c r="AM13" s="16"/>
      <c r="AN13" s="17">
        <f t="shared" si="17"/>
        <v>10.16569487954269</v>
      </c>
      <c r="AO13" s="36">
        <f t="shared" si="5"/>
        <v>4.5525769502457933</v>
      </c>
      <c r="AP13" s="36">
        <f t="shared" si="6"/>
        <v>5.474084244207063</v>
      </c>
      <c r="AQ13" s="46" t="str">
        <f t="shared" si="18"/>
        <v>JD비대칭</v>
      </c>
      <c r="AR13" s="3">
        <f t="shared" si="19"/>
        <v>967</v>
      </c>
      <c r="AS13" s="3">
        <f t="shared" si="20"/>
        <v>405.4</v>
      </c>
      <c r="AT13" s="3">
        <f t="shared" si="21"/>
        <v>397.2</v>
      </c>
      <c r="AU13" s="3">
        <f t="shared" si="22"/>
        <v>2090</v>
      </c>
      <c r="AV13" s="3">
        <f t="shared" si="23"/>
        <v>402.2</v>
      </c>
      <c r="AW13" s="3">
        <f t="shared" si="24"/>
        <v>2090</v>
      </c>
      <c r="AX13">
        <f t="shared" si="25"/>
        <v>0</v>
      </c>
      <c r="AY13">
        <f t="shared" si="26"/>
        <v>0</v>
      </c>
      <c r="AZ13" s="79">
        <f t="shared" si="27"/>
        <v>0</v>
      </c>
      <c r="BA13" s="83">
        <f>IF(소장="손상민",'멍텅(실측)'!AD13,0)</f>
        <v>0</v>
      </c>
    </row>
    <row r="14" spans="1:53" ht="26.25" customHeight="1" x14ac:dyDescent="0.3">
      <c r="A14" s="4">
        <f>'멍텅(실측)'!A14</f>
        <v>0</v>
      </c>
      <c r="B14" s="4" t="str">
        <f>'멍텅(실측)'!B14&amp;"F"</f>
        <v>3F</v>
      </c>
      <c r="C14" s="4">
        <f>'멍텅(실측)'!C14-멍텅OP</f>
        <v>787</v>
      </c>
      <c r="D14" s="4">
        <f>'멍텅(실측)'!D14-멍텅R</f>
        <v>891</v>
      </c>
      <c r="E14" s="50">
        <f>'멍텅(실측)'!E14+MAX(AK14,AL14)+IF(AZ14=1,Y14,0)+멍텅JBJD늘림치수</f>
        <v>283</v>
      </c>
      <c r="F14" s="50">
        <f>'멍텅(실측)'!F14+MAX(AK14,AL14)+IF(AZ14=1,AA14,0)+멍텅JBJD늘림치수</f>
        <v>286</v>
      </c>
      <c r="G14" s="50">
        <f>'멍텅(실측)'!G14+AK14+IF(AZ14=1,Y14,0)+멍텅JB강제키움+멍텅JBJD늘림치수</f>
        <v>285</v>
      </c>
      <c r="H14" s="50">
        <f>'멍텅(실측)'!G14+AK14+IF(AZ14=1,Z14,0)+멍텅JB강제키움+멍텅JBJD늘림치수-IF(멍텅JB하부늘치=1,'멍텅(실측)'!U14-'멍텅(실측)'!V14,0)</f>
        <v>285</v>
      </c>
      <c r="I14" s="50">
        <f>'멍텅(실측)'!H14+AL14+IF(AZ14=1,AA14,0)+멍텅JB강제키움+멍텅JBJD늘림치수</f>
        <v>285</v>
      </c>
      <c r="J14" s="50">
        <f>'멍텅(실측)'!H14+AL14+IF(AZ14=1,AB14,0)+멍텅JB강제키움+멍텅JBJD늘림치수-IF(멍텅JB하부늘치=1,'멍텅(실측)'!W14-'멍텅(실측)'!X14,0)</f>
        <v>285</v>
      </c>
      <c r="K14" s="4">
        <f t="shared" si="12"/>
        <v>34.5</v>
      </c>
      <c r="L14" s="4">
        <f t="shared" si="13"/>
        <v>34.5</v>
      </c>
      <c r="M14" s="4">
        <f>IF(O14&gt;0,'멍텅(실측)'!I14+멍텅C늘림,'멍텅(실측)'!I14+1)</f>
        <v>36</v>
      </c>
      <c r="N14" s="4">
        <f>IF(P14&gt;0,'멍텅(실측)'!J14+멍텅C늘림,'멍텅(실측)'!J14+1)</f>
        <v>36</v>
      </c>
      <c r="O14" s="4">
        <f>IF(ISNUMBER('멍텅(실측)'!K14),'멍텅(실측)'!K14+멍텅제작!AK14+멍텅A늘림,0)</f>
        <v>0</v>
      </c>
      <c r="P14" s="4">
        <f>IF(ISNUMBER('멍텅(실측)'!L14),'멍텅(실측)'!L14+멍텅제작!AL14+멍텅A늘림,0)</f>
        <v>0</v>
      </c>
      <c r="Q14" s="4">
        <f>'멍텅(실측)'!M14-멍텅기둥차감</f>
        <v>2096</v>
      </c>
      <c r="R14" s="4">
        <f>'멍텅(실측)'!N14-멍텅기둥차감</f>
        <v>2092</v>
      </c>
      <c r="S14" s="4">
        <f>'멍텅(실측)'!O14-멍텅기둥차감</f>
        <v>2079</v>
      </c>
      <c r="T14" s="4">
        <f>'멍텅(실측)'!P14-멍텅기둥차감</f>
        <v>2091</v>
      </c>
      <c r="U14" s="4">
        <f>IF(ISNUMBER('멍텅(실측)'!Q14),IF(V14&gt;0,'멍텅(실측)'!Q14+멍텅U늘림,'멍텅(실측)'!Q14+1.2),0)</f>
        <v>40</v>
      </c>
      <c r="V14" s="4">
        <f>IF(OR(멍텅G="", 멍텅G=0),IF(ISNUMBER('멍텅(실측)'!R14),IF('멍텅(실측)'!R14+멍텅A늘림+MAX(AK14,AL14)&gt;9,'멍텅(실측)'!R14+멍텅A늘림+MAX(AK14,AL14),'멍텅(실측)'!R14+멍텅A늘림+MAX(AK14,AL14)),0),멍텅G)</f>
        <v>9</v>
      </c>
      <c r="W14" s="4">
        <f>'멍텅(실측)'!S14+뒷날개치수더함</f>
        <v>30</v>
      </c>
      <c r="X14" s="4">
        <f>'멍텅(실측)'!T14+뒷날개치수더함</f>
        <v>25</v>
      </c>
      <c r="Y14" s="13">
        <f>'멍텅(실측)'!U14-멍텅늘치차감</f>
        <v>47</v>
      </c>
      <c r="Z14" s="13">
        <f>IF(멍텅JB하부늘치=1,Y14,'멍텅(실측)'!V14-멍텅늘치차감)</f>
        <v>47</v>
      </c>
      <c r="AA14" s="13">
        <f>'멍텅(실측)'!W14-멍텅늘치차감</f>
        <v>47</v>
      </c>
      <c r="AB14" s="13">
        <f>IF(멍텅JB하부늘치=1,AA14,'멍텅(실측)'!X14-멍텅늘치차감)</f>
        <v>47</v>
      </c>
      <c r="AC14" s="11" t="str">
        <f t="shared" si="14"/>
        <v>960*408.4</v>
      </c>
      <c r="AD14" s="12" t="str">
        <f t="shared" si="15"/>
        <v>2096*389.4</v>
      </c>
      <c r="AE14" s="10" t="str">
        <f t="shared" si="16"/>
        <v>2091*389.4</v>
      </c>
      <c r="AF14" s="4">
        <f>IF('멍텅(실측)'!Y14&gt;5,'멍텅(실측)'!Y14+뒷날개치수더함,'멍텅(실측)'!Y14)</f>
        <v>0</v>
      </c>
      <c r="AG14" s="4">
        <f>'멍텅(실측)'!Z14</f>
        <v>0</v>
      </c>
      <c r="AH14" s="4">
        <f>'멍텅(실측)'!AA14</f>
        <v>0</v>
      </c>
      <c r="AI14" s="31">
        <f>IF('멍텅(실측)'!AB14&gt;0,'멍텅(실측)'!AB14-'멍텅(실측)'!S14+1.2,0)</f>
        <v>0</v>
      </c>
      <c r="AJ14" s="31">
        <f>IF('멍텅(실측)'!AC14&gt;0,'멍텅(실측)'!AC14-'멍텅(실측)'!S14+1.2,0)</f>
        <v>0</v>
      </c>
      <c r="AK14" s="3">
        <f>IF(AND(ISNUMBER('멍텅(실측)'!L14),ISNUMBER('멍텅(실측)'!K14)),IF(ISNUMBER('멍텅(실측)'!K14),IF(9-MIN('멍텅(실측)'!K14+멍텅A늘림,'멍텅(실측)'!L14+멍텅A늘림)&lt;AM14,AM14,9-MIN('멍텅(실측)'!K14+멍텅A늘림,'멍텅(실측)'!L14+멍텅A늘림) + AM14 ),0),IF(ISNUMBER('멍텅(실측)'!K14),IF(9-'멍텅(실측)'!K14-멍텅A늘림+AM14&lt;AM14,AM14,9-'멍텅(실측)'!K14-멍텅A늘림+AM14),0))</f>
        <v>0</v>
      </c>
      <c r="AL14" s="3">
        <f>IF(AND(ISNUMBER('멍텅(실측)'!K14),ISNUMBER('멍텅(실측)'!L14)),IF(ISNUMBER('멍텅(실측)'!L14),IF(9-MIN('멍텅(실측)'!L14+멍텅A늘림,'멍텅(실측)'!K14+멍텅A늘림)+AM14&lt;AM14,AM14,9-MIN('멍텅(실측)'!L14+멍텅A늘림,'멍텅(실측)'!K14+멍텅A늘림)+AM14),0),IF(ISNUMBER('멍텅(실측)'!L14),IF(9-'멍텅(실측)'!L14-멍텅A늘림+AM14&lt;AM14,AM14,9-'멍텅(실측)'!L14-멍텅A늘림+AM14),0))</f>
        <v>0</v>
      </c>
      <c r="AM14" s="16"/>
      <c r="AN14" s="17">
        <f t="shared" si="17"/>
        <v>10.411708227692021</v>
      </c>
      <c r="AO14" s="36">
        <f t="shared" si="5"/>
        <v>2.692649912696595</v>
      </c>
      <c r="AP14" s="36">
        <f t="shared" si="6"/>
        <v>5.692649912696595</v>
      </c>
      <c r="AQ14" s="46" t="str">
        <f t="shared" si="18"/>
        <v>JD비대칭</v>
      </c>
      <c r="AR14" s="3">
        <f t="shared" si="19"/>
        <v>960</v>
      </c>
      <c r="AS14" s="3">
        <f t="shared" si="20"/>
        <v>408.4</v>
      </c>
      <c r="AT14" s="3">
        <f t="shared" si="21"/>
        <v>389.4</v>
      </c>
      <c r="AU14" s="3">
        <f t="shared" si="22"/>
        <v>2096</v>
      </c>
      <c r="AV14" s="3">
        <f t="shared" si="23"/>
        <v>389.4</v>
      </c>
      <c r="AW14" s="3">
        <f t="shared" si="24"/>
        <v>2091</v>
      </c>
      <c r="AX14">
        <f t="shared" si="25"/>
        <v>2</v>
      </c>
      <c r="AY14">
        <f t="shared" si="26"/>
        <v>0</v>
      </c>
      <c r="AZ14" s="79">
        <f t="shared" si="27"/>
        <v>0</v>
      </c>
      <c r="BA14" s="83">
        <f>IF(소장="손상민",'멍텅(실측)'!AD14,0)</f>
        <v>0</v>
      </c>
    </row>
    <row r="15" spans="1:53" ht="26.25" customHeight="1" x14ac:dyDescent="0.3">
      <c r="A15" s="4">
        <f>'멍텅(실측)'!A15</f>
        <v>0</v>
      </c>
      <c r="B15" s="4" t="str">
        <f>'멍텅(실측)'!B15&amp;"F"</f>
        <v>2F</v>
      </c>
      <c r="C15" s="4">
        <f>'멍텅(실측)'!C15-멍텅OP</f>
        <v>787</v>
      </c>
      <c r="D15" s="4">
        <f>'멍텅(실측)'!D15-멍텅R</f>
        <v>891</v>
      </c>
      <c r="E15" s="50">
        <f>'멍텅(실측)'!E15+MAX(AK15,AL15)+IF(AZ15=1,Y15,0)+멍텅JBJD늘림치수</f>
        <v>286</v>
      </c>
      <c r="F15" s="50">
        <f>'멍텅(실측)'!F15+MAX(AK15,AL15)+IF(AZ15=1,AA15,0)+멍텅JBJD늘림치수</f>
        <v>286</v>
      </c>
      <c r="G15" s="50">
        <f>'멍텅(실측)'!G15+AK15+IF(AZ15=1,Y15,0)+멍텅JB강제키움+멍텅JBJD늘림치수</f>
        <v>285</v>
      </c>
      <c r="H15" s="50">
        <f>'멍텅(실측)'!G15+AK15+IF(AZ15=1,Z15,0)+멍텅JB강제키움+멍텅JBJD늘림치수-IF(멍텅JB하부늘치=1,'멍텅(실측)'!U15-'멍텅(실측)'!V15,0)</f>
        <v>285</v>
      </c>
      <c r="I15" s="50">
        <f>'멍텅(실측)'!H15+AL15+IF(AZ15=1,AA15,0)+멍텅JB강제키움+멍텅JBJD늘림치수</f>
        <v>285</v>
      </c>
      <c r="J15" s="50">
        <f>'멍텅(실측)'!H15+AL15+IF(AZ15=1,AB15,0)+멍텅JB강제키움+멍텅JBJD늘림치수-IF(멍텅JB하부늘치=1,'멍텅(실측)'!W15-'멍텅(실측)'!X15,0)</f>
        <v>285</v>
      </c>
      <c r="K15" s="4">
        <f t="shared" si="12"/>
        <v>34.5</v>
      </c>
      <c r="L15" s="4">
        <f t="shared" si="13"/>
        <v>34.5</v>
      </c>
      <c r="M15" s="4">
        <f>IF(O15&gt;0,'멍텅(실측)'!I15+멍텅C늘림,'멍텅(실측)'!I15+1)</f>
        <v>36</v>
      </c>
      <c r="N15" s="4">
        <f>IF(P15&gt;0,'멍텅(실측)'!J15+멍텅C늘림,'멍텅(실측)'!J15+1)</f>
        <v>36</v>
      </c>
      <c r="O15" s="4">
        <f>IF(ISNUMBER('멍텅(실측)'!K15),'멍텅(실측)'!K15+멍텅제작!AK15+멍텅A늘림,0)</f>
        <v>0</v>
      </c>
      <c r="P15" s="4">
        <f>IF(ISNUMBER('멍텅(실측)'!L15),'멍텅(실측)'!L15+멍텅제작!AL15+멍텅A늘림,0)</f>
        <v>0</v>
      </c>
      <c r="Q15" s="4">
        <f>'멍텅(실측)'!M15-멍텅기둥차감</f>
        <v>2090</v>
      </c>
      <c r="R15" s="4">
        <f>'멍텅(실측)'!N15-멍텅기둥차감</f>
        <v>2090</v>
      </c>
      <c r="S15" s="4">
        <f>'멍텅(실측)'!O15-멍텅기둥차감</f>
        <v>2095</v>
      </c>
      <c r="T15" s="4">
        <f>'멍텅(실측)'!P15-멍텅기둥차감</f>
        <v>2090</v>
      </c>
      <c r="U15" s="4">
        <f>IF(ISNUMBER('멍텅(실측)'!Q15),IF(V15&gt;0,'멍텅(실측)'!Q15+멍텅U늘림,'멍텅(실측)'!Q15+1.2),0)</f>
        <v>40</v>
      </c>
      <c r="V15" s="4">
        <f>IF(OR(멍텅G="", 멍텅G=0),IF(ISNUMBER('멍텅(실측)'!R15),IF('멍텅(실측)'!R15+멍텅A늘림+MAX(AK15,AL15)&gt;9,'멍텅(실측)'!R15+멍텅A늘림+MAX(AK15,AL15),'멍텅(실측)'!R15+멍텅A늘림+MAX(AK15,AL15)),0),멍텅G)</f>
        <v>9</v>
      </c>
      <c r="W15" s="4">
        <f>'멍텅(실측)'!S15+뒷날개치수더함</f>
        <v>30</v>
      </c>
      <c r="X15" s="4">
        <f>'멍텅(실측)'!T15+뒷날개치수더함</f>
        <v>25</v>
      </c>
      <c r="Y15" s="13">
        <f>'멍텅(실측)'!U15-멍텅늘치차감</f>
        <v>0</v>
      </c>
      <c r="Z15" s="13">
        <f>IF(멍텅JB하부늘치=1,Y15,'멍텅(실측)'!V15-멍텅늘치차감)</f>
        <v>0</v>
      </c>
      <c r="AA15" s="13">
        <f>'멍텅(실측)'!W15-멍텅늘치차감</f>
        <v>0</v>
      </c>
      <c r="AB15" s="13">
        <f>IF(멍텅JB하부늘치=1,AA15,'멍텅(실측)'!X15-멍텅늘치차감)</f>
        <v>0</v>
      </c>
      <c r="AC15" s="11" t="str">
        <f t="shared" si="14"/>
        <v>960*361.4</v>
      </c>
      <c r="AD15" s="12" t="str">
        <f t="shared" si="15"/>
        <v>2090*342.4</v>
      </c>
      <c r="AE15" s="10" t="str">
        <f t="shared" si="16"/>
        <v>2095*342.4</v>
      </c>
      <c r="AF15" s="4">
        <f>IF('멍텅(실측)'!Y15&gt;5,'멍텅(실측)'!Y15+뒷날개치수더함,'멍텅(실측)'!Y15)</f>
        <v>0</v>
      </c>
      <c r="AG15" s="4">
        <f>'멍텅(실측)'!Z15</f>
        <v>0</v>
      </c>
      <c r="AH15" s="4">
        <f>'멍텅(실측)'!AA15</f>
        <v>0</v>
      </c>
      <c r="AI15" s="31">
        <f>IF('멍텅(실측)'!AB15&gt;0,'멍텅(실측)'!AB15-'멍텅(실측)'!S15+1.2,0)</f>
        <v>0</v>
      </c>
      <c r="AJ15" s="31">
        <f>IF('멍텅(실측)'!AC15&gt;0,'멍텅(실측)'!AC15-'멍텅(실측)'!S15+1.2,0)</f>
        <v>0</v>
      </c>
      <c r="AK15" s="3">
        <f>IF(AND(ISNUMBER('멍텅(실측)'!L15),ISNUMBER('멍텅(실측)'!K15)),IF(ISNUMBER('멍텅(실측)'!K15),IF(9-MIN('멍텅(실측)'!K15+멍텅A늘림,'멍텅(실측)'!L15+멍텅A늘림)&lt;AM15,AM15,9-MIN('멍텅(실측)'!K15+멍텅A늘림,'멍텅(실측)'!L15+멍텅A늘림) + AM15 ),0),IF(ISNUMBER('멍텅(실측)'!K15),IF(9-'멍텅(실측)'!K15-멍텅A늘림+AM15&lt;AM15,AM15,9-'멍텅(실측)'!K15-멍텅A늘림+AM15),0))</f>
        <v>0</v>
      </c>
      <c r="AL15" s="3">
        <f>IF(AND(ISNUMBER('멍텅(실측)'!K15),ISNUMBER('멍텅(실측)'!L15)),IF(ISNUMBER('멍텅(실측)'!L15),IF(9-MIN('멍텅(실측)'!L15+멍텅A늘림,'멍텅(실측)'!K15+멍텅A늘림)+AM15&lt;AM15,AM15,9-MIN('멍텅(실측)'!L15+멍텅A늘림,'멍텅(실측)'!K15+멍텅A늘림)+AM15),0),IF(ISNUMBER('멍텅(실측)'!L15),IF(9-'멍텅(실측)'!L15-멍텅A늘림+AM15&lt;AM15,AM15,9-'멍텅(실측)'!L15-멍텅A늘림+AM15),0))</f>
        <v>0</v>
      </c>
      <c r="AM15" s="16"/>
      <c r="AN15" s="17">
        <f t="shared" si="17"/>
        <v>10.304846468766033</v>
      </c>
      <c r="AO15" s="36">
        <f t="shared" si="5"/>
        <v>5.5970756215263577</v>
      </c>
      <c r="AP15" s="36">
        <f t="shared" si="6"/>
        <v>5.5970756215263577</v>
      </c>
      <c r="AQ15" s="46" t="str">
        <f t="shared" si="18"/>
        <v/>
      </c>
      <c r="AR15" s="3">
        <f t="shared" si="19"/>
        <v>960</v>
      </c>
      <c r="AS15" s="3">
        <f t="shared" si="20"/>
        <v>361.4</v>
      </c>
      <c r="AT15" s="3">
        <f t="shared" si="21"/>
        <v>342.4</v>
      </c>
      <c r="AU15" s="3">
        <f t="shared" si="22"/>
        <v>2090</v>
      </c>
      <c r="AV15" s="3">
        <f t="shared" si="23"/>
        <v>342.4</v>
      </c>
      <c r="AW15" s="3">
        <f t="shared" si="24"/>
        <v>2095</v>
      </c>
      <c r="AX15">
        <f t="shared" si="25"/>
        <v>-1</v>
      </c>
      <c r="AY15">
        <f t="shared" si="26"/>
        <v>0</v>
      </c>
      <c r="AZ15" s="79">
        <f t="shared" si="27"/>
        <v>1</v>
      </c>
      <c r="BA15" s="83">
        <f>IF(소장="손상민",'멍텅(실측)'!AD15,0)</f>
        <v>0</v>
      </c>
    </row>
    <row r="16" spans="1:53" ht="26.25" customHeight="1" x14ac:dyDescent="0.3">
      <c r="A16" s="4">
        <f>'멍텅(실측)'!A16</f>
        <v>0</v>
      </c>
      <c r="B16" s="4" t="str">
        <f>'멍텅(실측)'!B16&amp;"F"</f>
        <v>B1F</v>
      </c>
      <c r="C16" s="4">
        <f>'멍텅(실측)'!C16-멍텅OP</f>
        <v>785</v>
      </c>
      <c r="D16" s="4">
        <f>'멍텅(실측)'!D16-멍텅R</f>
        <v>888</v>
      </c>
      <c r="E16" s="50">
        <f>'멍텅(실측)'!E16+MAX(AK16,AL16)+IF(AZ16=1,Y16,0)+멍텅JBJD늘림치수</f>
        <v>290</v>
      </c>
      <c r="F16" s="50">
        <f>'멍텅(실측)'!F16+MAX(AK16,AL16)+IF(AZ16=1,AA16,0)+멍텅JBJD늘림치수</f>
        <v>290</v>
      </c>
      <c r="G16" s="50">
        <f>'멍텅(실측)'!G16+AK16+IF(AZ16=1,Y16,0)+멍텅JB강제키움+멍텅JBJD늘림치수</f>
        <v>289</v>
      </c>
      <c r="H16" s="50">
        <f>'멍텅(실측)'!G16+AK16+IF(AZ16=1,Z16,0)+멍텅JB강제키움+멍텅JBJD늘림치수-IF(멍텅JB하부늘치=1,'멍텅(실측)'!U16-'멍텅(실측)'!V16,0)</f>
        <v>282</v>
      </c>
      <c r="I16" s="50">
        <f>'멍텅(실측)'!H16+AL16+IF(AZ16=1,AA16,0)+멍텅JB강제키움+멍텅JBJD늘림치수</f>
        <v>289</v>
      </c>
      <c r="J16" s="50">
        <f>'멍텅(실측)'!H16+AL16+IF(AZ16=1,AB16,0)+멍텅JB강제키움+멍텅JBJD늘림치수-IF(멍텅JB하부늘치=1,'멍텅(실측)'!W16-'멍텅(실측)'!X16,0)</f>
        <v>282</v>
      </c>
      <c r="K16" s="4">
        <f t="shared" si="12"/>
        <v>38.5</v>
      </c>
      <c r="L16" s="4">
        <f t="shared" si="13"/>
        <v>33.5</v>
      </c>
      <c r="M16" s="4">
        <f>IF(O16&gt;0,'멍텅(실측)'!I16+멍텅C늘림,'멍텅(실측)'!I16+1)</f>
        <v>40</v>
      </c>
      <c r="N16" s="4">
        <f>IF(P16&gt;0,'멍텅(실측)'!J16+멍텅C늘림,'멍텅(실측)'!J16+1)</f>
        <v>35</v>
      </c>
      <c r="O16" s="4">
        <f>IF(ISNUMBER('멍텅(실측)'!K16),'멍텅(실측)'!K16+멍텅제작!AK16+멍텅A늘림,0)</f>
        <v>14</v>
      </c>
      <c r="P16" s="4">
        <f>IF(ISNUMBER('멍텅(실측)'!L16),'멍텅(실측)'!L16+멍텅제작!AL16+멍텅A늘림,0)</f>
        <v>14</v>
      </c>
      <c r="Q16" s="4">
        <f>'멍텅(실측)'!M16-멍텅기둥차감</f>
        <v>2090</v>
      </c>
      <c r="R16" s="4">
        <f>'멍텅(실측)'!N16-멍텅기둥차감</f>
        <v>2088</v>
      </c>
      <c r="S16" s="4">
        <f>'멍텅(실측)'!O16-멍텅기둥차감</f>
        <v>2095</v>
      </c>
      <c r="T16" s="4">
        <f>'멍텅(실측)'!P16-멍텅기둥차감</f>
        <v>2090</v>
      </c>
      <c r="U16" s="4">
        <f>IF(ISNUMBER('멍텅(실측)'!Q16),IF(V16&gt;0,'멍텅(실측)'!Q16+멍텅U늘림,'멍텅(실측)'!Q16+1.2),0)</f>
        <v>41.2</v>
      </c>
      <c r="V16" s="4">
        <f>IF(OR(멍텅G="", 멍텅G=0),IF(ISNUMBER('멍텅(실측)'!R16),IF('멍텅(실측)'!R16+멍텅A늘림+MAX(AK16,AL16)&gt;9,'멍텅(실측)'!R16+멍텅A늘림+MAX(AK16,AL16),'멍텅(실측)'!R16+멍텅A늘림+MAX(AK16,AL16)),0),멍텅G)</f>
        <v>0</v>
      </c>
      <c r="W16" s="4">
        <f>'멍텅(실측)'!S16+뒷날개치수더함</f>
        <v>30</v>
      </c>
      <c r="X16" s="4">
        <f>'멍텅(실측)'!T16+뒷날개치수더함</f>
        <v>25</v>
      </c>
      <c r="Y16" s="13">
        <f>'멍텅(실측)'!U16-멍텅늘치차감</f>
        <v>47</v>
      </c>
      <c r="Z16" s="13">
        <f>IF(멍텅JB하부늘치=1,Y16,'멍텅(실측)'!V16-멍텅늘치차감)</f>
        <v>47</v>
      </c>
      <c r="AA16" s="13">
        <f>'멍텅(실측)'!W16-멍텅늘치차감</f>
        <v>47</v>
      </c>
      <c r="AB16" s="13">
        <f>IF(멍텅JB하부늘치=1,AA16,'멍텅(실측)'!X16-멍텅늘치차감)</f>
        <v>47</v>
      </c>
      <c r="AC16" s="11" t="str">
        <f t="shared" si="14"/>
        <v>960*405.8</v>
      </c>
      <c r="AD16" s="12" t="str">
        <f t="shared" si="15"/>
        <v>2090*410.2</v>
      </c>
      <c r="AE16" s="10" t="str">
        <f t="shared" si="16"/>
        <v>2095*405.2</v>
      </c>
      <c r="AF16" s="4">
        <f>IF('멍텅(실측)'!Y16&gt;5,'멍텅(실측)'!Y16+뒷날개치수더함,'멍텅(실측)'!Y16)</f>
        <v>15</v>
      </c>
      <c r="AG16" s="4">
        <f>'멍텅(실측)'!Z16</f>
        <v>10</v>
      </c>
      <c r="AH16" s="4">
        <f>'멍텅(실측)'!AA16</f>
        <v>10</v>
      </c>
      <c r="AI16" s="31">
        <f>IF('멍텅(실측)'!AB16&gt;0,'멍텅(실측)'!AB16-'멍텅(실측)'!S16+1.2,0)</f>
        <v>0</v>
      </c>
      <c r="AJ16" s="31">
        <f>IF('멍텅(실측)'!AC16&gt;0,'멍텅(실측)'!AC16-'멍텅(실측)'!S16+1.2,0)</f>
        <v>0</v>
      </c>
      <c r="AK16" s="3">
        <f>IF(AND(ISNUMBER('멍텅(실측)'!L16),ISNUMBER('멍텅(실측)'!K16)),IF(ISNUMBER('멍텅(실측)'!K16),IF(9-MIN('멍텅(실측)'!K16+멍텅A늘림,'멍텅(실측)'!L16+멍텅A늘림)&lt;AM16,AM16,9-MIN('멍텅(실측)'!K16+멍텅A늘림,'멍텅(실측)'!L16+멍텅A늘림) + AM16 ),0),IF(ISNUMBER('멍텅(실측)'!K16),IF(9-'멍텅(실측)'!K16-멍텅A늘림+AM16&lt;AM16,AM16,9-'멍텅(실측)'!K16-멍텅A늘림+AM16),0))</f>
        <v>0</v>
      </c>
      <c r="AL16" s="3">
        <f>IF(AND(ISNUMBER('멍텅(실측)'!K16),ISNUMBER('멍텅(실측)'!L16)),IF(ISNUMBER('멍텅(실측)'!L16),IF(9-MIN('멍텅(실측)'!L16+멍텅A늘림,'멍텅(실측)'!K16+멍텅A늘림)+AM16&lt;AM16,AM16,9-MIN('멍텅(실측)'!L16+멍텅A늘림,'멍텅(실측)'!K16+멍텅A늘림)+AM16),0),IF(ISNUMBER('멍텅(실측)'!L16),IF(9-'멍텅(실측)'!L16-멍텅A늘림+AM16&lt;AM16,AM16,9-'멍텅(실측)'!L16-멍텅A늘림+AM16),0))</f>
        <v>0</v>
      </c>
      <c r="AM16" s="16"/>
      <c r="AN16" s="17">
        <f t="shared" si="17"/>
        <v>10.069957707707523</v>
      </c>
      <c r="AO16" s="36">
        <f t="shared" si="5"/>
        <v>5.4520461894938421</v>
      </c>
      <c r="AP16" s="36">
        <f t="shared" si="6"/>
        <v>5.4520461894938421</v>
      </c>
      <c r="AQ16" s="46" t="str">
        <f t="shared" si="18"/>
        <v/>
      </c>
      <c r="AR16" s="3">
        <f t="shared" si="19"/>
        <v>960</v>
      </c>
      <c r="AS16" s="3">
        <f t="shared" si="20"/>
        <v>405.79999999999995</v>
      </c>
      <c r="AT16" s="3">
        <f t="shared" si="21"/>
        <v>410.2</v>
      </c>
      <c r="AU16" s="3">
        <f t="shared" si="22"/>
        <v>2090</v>
      </c>
      <c r="AV16" s="3">
        <f t="shared" si="23"/>
        <v>405.2</v>
      </c>
      <c r="AW16" s="3">
        <f t="shared" si="24"/>
        <v>2095</v>
      </c>
      <c r="AX16">
        <f t="shared" si="25"/>
        <v>-1</v>
      </c>
      <c r="AY16">
        <f t="shared" si="26"/>
        <v>9</v>
      </c>
      <c r="AZ16" s="79">
        <f t="shared" si="27"/>
        <v>0</v>
      </c>
      <c r="BA16" s="83">
        <f>IF(소장="손상민",'멍텅(실측)'!AD16,0)</f>
        <v>0</v>
      </c>
    </row>
    <row r="18" spans="37:39" x14ac:dyDescent="0.3">
      <c r="AK18"/>
      <c r="AL18"/>
      <c r="AM18"/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:D16">
    <cfRule type="cellIs" dxfId="67" priority="26" operator="greaterThan">
      <formula>1210</formula>
    </cfRule>
  </conditionalFormatting>
  <conditionalFormatting sqref="AF7:AH16">
    <cfRule type="cellIs" dxfId="66" priority="13" operator="greaterThan">
      <formula>1.2</formula>
    </cfRule>
  </conditionalFormatting>
  <conditionalFormatting sqref="G7:J16">
    <cfRule type="cellIs" dxfId="65" priority="11" operator="greaterThan">
      <formula>500</formula>
    </cfRule>
  </conditionalFormatting>
  <conditionalFormatting sqref="E7:E16">
    <cfRule type="cellIs" dxfId="64" priority="10" operator="notEqual">
      <formula>F7</formula>
    </cfRule>
  </conditionalFormatting>
  <conditionalFormatting sqref="F7:F16">
    <cfRule type="cellIs" dxfId="63" priority="9" operator="notEqual">
      <formula>E7</formula>
    </cfRule>
  </conditionalFormatting>
  <conditionalFormatting sqref="I7:I16">
    <cfRule type="cellIs" dxfId="62" priority="6" operator="notEqual">
      <formula>J7</formula>
    </cfRule>
  </conditionalFormatting>
  <conditionalFormatting sqref="J7:J16 H7:H16">
    <cfRule type="cellIs" dxfId="61" priority="4" operator="notEqual">
      <formula>G7</formula>
    </cfRule>
  </conditionalFormatting>
  <conditionalFormatting sqref="G7:G16">
    <cfRule type="cellIs" dxfId="60" priority="3" operator="notEqual">
      <formula>H7</formula>
    </cfRule>
  </conditionalFormatting>
  <conditionalFormatting sqref="Y7:AB16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rrowsheet">
    <pageSetUpPr fitToPage="1"/>
  </sheetPr>
  <dimension ref="A1:V358"/>
  <sheetViews>
    <sheetView zoomScaleNormal="100" workbookViewId="0">
      <selection activeCell="P17" sqref="P17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6" t="str">
        <f>정보!B4</f>
        <v>(쪽쟘) 실측서 ( 서울 강남 기독교성결회관 ) _조장우소장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서울 강남 기독교성결회관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(2),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9" t="s">
        <v>118</v>
      </c>
      <c r="B5" s="285" t="s">
        <v>119</v>
      </c>
      <c r="C5" s="285" t="s">
        <v>120</v>
      </c>
      <c r="D5" s="285" t="s">
        <v>121</v>
      </c>
      <c r="E5" s="285" t="s">
        <v>122</v>
      </c>
      <c r="F5" s="285" t="s">
        <v>123</v>
      </c>
      <c r="G5" s="285" t="s">
        <v>124</v>
      </c>
      <c r="H5" s="285" t="s">
        <v>125</v>
      </c>
      <c r="I5" s="285" t="s">
        <v>126</v>
      </c>
      <c r="J5" s="285" t="s">
        <v>128</v>
      </c>
      <c r="K5" s="285" t="s">
        <v>15</v>
      </c>
      <c r="L5" s="285" t="s">
        <v>129</v>
      </c>
      <c r="M5" s="285" t="s">
        <v>130</v>
      </c>
      <c r="N5" s="285" t="s">
        <v>131</v>
      </c>
      <c r="O5" s="285" t="s">
        <v>132</v>
      </c>
      <c r="P5" s="287" t="s">
        <v>133</v>
      </c>
      <c r="Q5" s="287" t="s">
        <v>134</v>
      </c>
      <c r="R5" s="285" t="s">
        <v>135</v>
      </c>
      <c r="S5" s="285"/>
      <c r="T5" s="168" t="s">
        <v>203</v>
      </c>
      <c r="U5" s="168"/>
      <c r="V5" s="168"/>
    </row>
    <row r="6" spans="1:22" ht="25.9" customHeight="1" x14ac:dyDescent="0.3">
      <c r="A6" s="289"/>
      <c r="B6" s="285"/>
      <c r="C6" s="285"/>
      <c r="D6" s="285"/>
      <c r="E6" s="285"/>
      <c r="F6" s="285"/>
      <c r="G6" s="285"/>
      <c r="H6" s="285"/>
      <c r="I6" s="285"/>
      <c r="J6" s="285"/>
      <c r="K6" s="285"/>
      <c r="L6" s="285"/>
      <c r="M6" s="285"/>
      <c r="N6" s="285"/>
      <c r="O6" s="285"/>
      <c r="P6" s="288"/>
      <c r="Q6" s="288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60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60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  <pageSetUpPr fitToPage="1"/>
  </sheetPr>
  <dimension ref="A1:AH16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6" t="str">
        <f>정보!B1 &amp; " (쪽쟘제작치수)  " &amp; 정보!B6 &amp;" 소장"</f>
        <v>서울 강남 기독교성결회관 (쪽쟘제작치수)  조장우 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</row>
    <row r="2" spans="1:34" ht="30.75" customHeight="1" x14ac:dyDescent="0.3">
      <c r="A2" s="1"/>
      <c r="B2" s="1"/>
      <c r="C2" s="294" t="str">
        <f>"총 : " &amp; COUNTA(A7:A142) &amp;" (SET)"</f>
        <v>총 : 10 (SET)</v>
      </c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5" t="s">
        <v>139</v>
      </c>
      <c r="Q2" s="296"/>
      <c r="R2" s="296"/>
      <c r="S2" s="296"/>
      <c r="T2" s="61"/>
      <c r="U2" s="297">
        <v>1.2</v>
      </c>
      <c r="V2" s="297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50" t="s">
        <v>140</v>
      </c>
      <c r="F3" s="250"/>
      <c r="G3" s="62">
        <v>0</v>
      </c>
      <c r="H3" s="23" t="s">
        <v>141</v>
      </c>
      <c r="I3" s="298">
        <v>2</v>
      </c>
      <c r="J3" s="298"/>
      <c r="K3" s="63"/>
      <c r="L3" s="63"/>
      <c r="M3" s="248" t="s">
        <v>82</v>
      </c>
      <c r="N3" s="248"/>
      <c r="O3" s="248"/>
      <c r="P3" s="299">
        <v>0</v>
      </c>
      <c r="Q3" s="299"/>
      <c r="R3" s="245" t="s">
        <v>90</v>
      </c>
      <c r="S3" s="245"/>
      <c r="T3" s="64"/>
      <c r="U3" s="300">
        <v>0</v>
      </c>
      <c r="V3" s="300"/>
      <c r="W3" s="65"/>
      <c r="X3" s="65"/>
      <c r="Y3" s="65"/>
      <c r="Z3" s="65"/>
      <c r="AA3" s="65"/>
    </row>
    <row r="4" spans="1:34" ht="33" customHeight="1" x14ac:dyDescent="0.3">
      <c r="A4" s="174" t="str">
        <f>정보!B12</f>
        <v>제작치수 반영 : JB/JD +(0 ),  늘어난치수K -(0), OP - (2),  기둥차감 -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95" t="s">
        <v>235</v>
      </c>
      <c r="Z4" s="195"/>
      <c r="AA4" s="196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0" t="s">
        <v>148</v>
      </c>
      <c r="N5" s="290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0" t="s">
        <v>151</v>
      </c>
      <c r="U5" s="168" t="s">
        <v>133</v>
      </c>
      <c r="V5" s="168" t="s">
        <v>152</v>
      </c>
      <c r="W5" s="167" t="s">
        <v>135</v>
      </c>
      <c r="X5" s="167"/>
      <c r="Y5" s="292" t="s">
        <v>203</v>
      </c>
      <c r="Z5" s="292"/>
      <c r="AA5" s="292"/>
      <c r="AE5" s="181" t="s">
        <v>153</v>
      </c>
      <c r="AF5" s="181"/>
      <c r="AG5" s="181" t="s">
        <v>154</v>
      </c>
      <c r="AH5" s="181"/>
    </row>
    <row r="6" spans="1:34" ht="36.75" customHeight="1" x14ac:dyDescent="0.3">
      <c r="A6" s="215"/>
      <c r="B6" s="215"/>
      <c r="C6" s="215"/>
      <c r="D6" s="215"/>
      <c r="E6" s="215"/>
      <c r="F6" s="215"/>
      <c r="G6" s="215"/>
      <c r="H6" s="215"/>
      <c r="I6" s="215"/>
      <c r="J6" s="215"/>
      <c r="K6" s="239"/>
      <c r="L6" s="239"/>
      <c r="M6" s="293"/>
      <c r="N6" s="293"/>
      <c r="O6" s="215"/>
      <c r="P6" s="215"/>
      <c r="Q6" s="215"/>
      <c r="R6" s="215"/>
      <c r="S6" s="215"/>
      <c r="T6" s="291"/>
      <c r="U6" s="239"/>
      <c r="V6" s="239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v>524</v>
      </c>
      <c r="B7" s="50" t="s">
        <v>358</v>
      </c>
      <c r="C7" s="50" t="s">
        <v>359</v>
      </c>
      <c r="D7" s="50">
        <v>997</v>
      </c>
      <c r="E7" s="50">
        <v>114</v>
      </c>
      <c r="F7" s="50">
        <v>113</v>
      </c>
      <c r="G7" s="67" t="s">
        <v>360</v>
      </c>
      <c r="H7" s="68" t="s">
        <v>361</v>
      </c>
      <c r="I7" s="50">
        <v>17.5</v>
      </c>
      <c r="J7" s="50">
        <v>17.5</v>
      </c>
      <c r="K7" s="50">
        <v>20.5</v>
      </c>
      <c r="L7" s="50">
        <v>28.5</v>
      </c>
      <c r="M7" s="50">
        <v>20.5</v>
      </c>
      <c r="N7" s="50">
        <v>22.5</v>
      </c>
      <c r="O7" s="50">
        <v>2093</v>
      </c>
      <c r="P7" s="50">
        <v>2090</v>
      </c>
      <c r="Q7" s="50">
        <v>2093</v>
      </c>
      <c r="R7" s="50">
        <v>2090</v>
      </c>
      <c r="S7" s="50">
        <v>0</v>
      </c>
      <c r="T7" s="50">
        <v>0</v>
      </c>
      <c r="U7" s="50">
        <v>30</v>
      </c>
      <c r="V7" s="50">
        <v>30</v>
      </c>
      <c r="W7" s="50">
        <v>0</v>
      </c>
      <c r="X7" s="50">
        <v>0</v>
      </c>
      <c r="Y7" s="4">
        <v>0</v>
      </c>
      <c r="Z7" s="4">
        <v>0</v>
      </c>
      <c r="AA7" s="4">
        <v>0</v>
      </c>
      <c r="AC7">
        <f t="shared" ref="AC7" si="0">D7+I7+J7</f>
        <v>1032</v>
      </c>
      <c r="AD7">
        <f t="shared" ref="AD7" si="1">U7+E7+MAX(S7,T7)-쪽쟘소재t*3+IF(S7=0,S7*쪽쟘소재t,0)</f>
        <v>140.4</v>
      </c>
      <c r="AE7">
        <f t="shared" ref="AE7:AE16" si="2">MAX(K7,L7)+F7+V7-쪽쟘소재t*3+IF(K7=0,쪽쟘소재t)-IF(AA7=90,2.4,0)</f>
        <v>167.9</v>
      </c>
      <c r="AF7">
        <f t="shared" ref="AF7" si="3">MAX(O7,P7)</f>
        <v>2093</v>
      </c>
      <c r="AG7">
        <f t="shared" ref="AG7:AG16" si="4">MAX(M7,N7)+F7+V7-쪽쟘소재t*3+IF(M7=0,쪽쟘소재t)-IF(AA7=90,2.4,0)</f>
        <v>161.9</v>
      </c>
      <c r="AH7">
        <f>MAX(Q7,R7)</f>
        <v>2093</v>
      </c>
    </row>
    <row r="8" spans="1:34" ht="19.5" customHeight="1" x14ac:dyDescent="0.3">
      <c r="A8" s="50">
        <v>524</v>
      </c>
      <c r="B8" s="50" t="s">
        <v>362</v>
      </c>
      <c r="C8" s="50" t="s">
        <v>363</v>
      </c>
      <c r="D8" s="50">
        <v>997</v>
      </c>
      <c r="E8" s="50">
        <v>114</v>
      </c>
      <c r="F8" s="50">
        <v>113</v>
      </c>
      <c r="G8" s="67" t="s">
        <v>364</v>
      </c>
      <c r="H8" s="68" t="s">
        <v>365</v>
      </c>
      <c r="I8" s="50">
        <v>17</v>
      </c>
      <c r="J8" s="50">
        <v>17</v>
      </c>
      <c r="K8" s="50">
        <v>20</v>
      </c>
      <c r="L8" s="50">
        <v>23</v>
      </c>
      <c r="M8" s="50">
        <v>20</v>
      </c>
      <c r="N8" s="50">
        <v>20</v>
      </c>
      <c r="O8" s="50">
        <v>2092</v>
      </c>
      <c r="P8" s="50">
        <v>2092</v>
      </c>
      <c r="Q8" s="50">
        <v>2092</v>
      </c>
      <c r="R8" s="50">
        <v>2092</v>
      </c>
      <c r="S8" s="50">
        <v>25</v>
      </c>
      <c r="T8" s="50">
        <v>30</v>
      </c>
      <c r="U8" s="50">
        <v>30</v>
      </c>
      <c r="V8" s="50">
        <v>30</v>
      </c>
      <c r="W8" s="50">
        <v>0</v>
      </c>
      <c r="X8" s="50">
        <v>0</v>
      </c>
      <c r="Y8" s="4">
        <v>0</v>
      </c>
      <c r="Z8" s="4">
        <v>0</v>
      </c>
      <c r="AA8" s="4">
        <v>0</v>
      </c>
      <c r="AC8">
        <f t="shared" ref="AC8:AC16" si="5">D8+I8+J8</f>
        <v>1031</v>
      </c>
      <c r="AD8">
        <f t="shared" ref="AD8:AD16" si="6">U8+E8+MAX(S8,T8)-쪽쟘소재t*3+IF(S8=0,S8*쪽쟘소재t,0)</f>
        <v>170.4</v>
      </c>
      <c r="AE8">
        <f t="shared" si="2"/>
        <v>162.4</v>
      </c>
      <c r="AF8">
        <f t="shared" ref="AF8:AF16" si="7">MAX(O8,P8)</f>
        <v>2092</v>
      </c>
      <c r="AG8">
        <f t="shared" si="4"/>
        <v>159.4</v>
      </c>
      <c r="AH8">
        <f t="shared" ref="AH8:AH16" si="8">MAX(Q8,R8)</f>
        <v>2092</v>
      </c>
    </row>
    <row r="9" spans="1:34" ht="19.5" customHeight="1" x14ac:dyDescent="0.3">
      <c r="A9" s="50">
        <v>524</v>
      </c>
      <c r="B9" s="50" t="s">
        <v>366</v>
      </c>
      <c r="C9" s="50" t="s">
        <v>367</v>
      </c>
      <c r="D9" s="50">
        <v>998</v>
      </c>
      <c r="E9" s="50">
        <v>114</v>
      </c>
      <c r="F9" s="50">
        <v>113</v>
      </c>
      <c r="G9" s="67" t="s">
        <v>368</v>
      </c>
      <c r="H9" s="68" t="s">
        <v>369</v>
      </c>
      <c r="I9" s="50">
        <v>17</v>
      </c>
      <c r="J9" s="50">
        <v>17</v>
      </c>
      <c r="K9" s="50">
        <v>20</v>
      </c>
      <c r="L9" s="50">
        <v>24</v>
      </c>
      <c r="M9" s="50">
        <v>20</v>
      </c>
      <c r="N9" s="50">
        <v>25</v>
      </c>
      <c r="O9" s="50">
        <v>2090</v>
      </c>
      <c r="P9" s="50">
        <v>2087</v>
      </c>
      <c r="Q9" s="50">
        <v>2092</v>
      </c>
      <c r="R9" s="50">
        <v>2098</v>
      </c>
      <c r="S9" s="50">
        <v>30</v>
      </c>
      <c r="T9" s="50">
        <v>30</v>
      </c>
      <c r="U9" s="50">
        <v>30</v>
      </c>
      <c r="V9" s="50">
        <v>30</v>
      </c>
      <c r="W9" s="50">
        <v>0</v>
      </c>
      <c r="X9" s="50">
        <v>0</v>
      </c>
      <c r="Y9" s="4">
        <v>20</v>
      </c>
      <c r="Z9" s="4">
        <v>10</v>
      </c>
      <c r="AA9" s="4">
        <v>20</v>
      </c>
      <c r="AC9">
        <f t="shared" si="5"/>
        <v>1032</v>
      </c>
      <c r="AD9">
        <f t="shared" si="6"/>
        <v>170.4</v>
      </c>
      <c r="AE9">
        <f t="shared" si="2"/>
        <v>163.4</v>
      </c>
      <c r="AF9">
        <f t="shared" si="7"/>
        <v>2090</v>
      </c>
      <c r="AG9">
        <f t="shared" si="4"/>
        <v>164.4</v>
      </c>
      <c r="AH9">
        <f t="shared" si="8"/>
        <v>2098</v>
      </c>
    </row>
    <row r="10" spans="1:34" ht="19.5" customHeight="1" x14ac:dyDescent="0.3">
      <c r="A10" s="50">
        <v>524</v>
      </c>
      <c r="B10" s="50" t="s">
        <v>370</v>
      </c>
      <c r="C10" s="50" t="s">
        <v>371</v>
      </c>
      <c r="D10" s="50">
        <v>997</v>
      </c>
      <c r="E10" s="50">
        <v>114</v>
      </c>
      <c r="F10" s="50">
        <v>113</v>
      </c>
      <c r="G10" s="67" t="s">
        <v>372</v>
      </c>
      <c r="H10" s="68" t="s">
        <v>373</v>
      </c>
      <c r="I10" s="50">
        <v>25</v>
      </c>
      <c r="J10" s="50">
        <v>17</v>
      </c>
      <c r="K10" s="50">
        <v>28</v>
      </c>
      <c r="L10" s="50">
        <v>28</v>
      </c>
      <c r="M10" s="50">
        <v>20</v>
      </c>
      <c r="N10" s="50">
        <v>24</v>
      </c>
      <c r="O10" s="50">
        <v>2090</v>
      </c>
      <c r="P10" s="50">
        <v>2090</v>
      </c>
      <c r="Q10" s="50">
        <v>2092</v>
      </c>
      <c r="R10" s="50">
        <v>2092</v>
      </c>
      <c r="S10" s="50">
        <v>26</v>
      </c>
      <c r="T10" s="50">
        <v>26</v>
      </c>
      <c r="U10" s="50">
        <v>30</v>
      </c>
      <c r="V10" s="50">
        <v>30</v>
      </c>
      <c r="W10" s="50">
        <v>0</v>
      </c>
      <c r="X10" s="50">
        <v>0</v>
      </c>
      <c r="Y10" s="4">
        <v>20</v>
      </c>
      <c r="Z10" s="4">
        <v>10</v>
      </c>
      <c r="AA10" s="4">
        <v>20</v>
      </c>
      <c r="AC10">
        <f t="shared" si="5"/>
        <v>1039</v>
      </c>
      <c r="AD10">
        <f t="shared" si="6"/>
        <v>166.4</v>
      </c>
      <c r="AE10">
        <f t="shared" si="2"/>
        <v>167.4</v>
      </c>
      <c r="AF10">
        <f t="shared" si="7"/>
        <v>2090</v>
      </c>
      <c r="AG10">
        <f t="shared" si="4"/>
        <v>163.4</v>
      </c>
      <c r="AH10">
        <f t="shared" si="8"/>
        <v>2092</v>
      </c>
    </row>
    <row r="11" spans="1:34" ht="19.5" customHeight="1" x14ac:dyDescent="0.3">
      <c r="A11" s="50">
        <v>524</v>
      </c>
      <c r="B11" s="50" t="s">
        <v>374</v>
      </c>
      <c r="C11" s="50" t="s">
        <v>375</v>
      </c>
      <c r="D11" s="50">
        <v>997</v>
      </c>
      <c r="E11" s="50">
        <v>114</v>
      </c>
      <c r="F11" s="50">
        <v>113</v>
      </c>
      <c r="G11" s="67" t="s">
        <v>376</v>
      </c>
      <c r="H11" s="68" t="s">
        <v>377</v>
      </c>
      <c r="I11" s="50">
        <v>21</v>
      </c>
      <c r="J11" s="50">
        <v>21</v>
      </c>
      <c r="K11" s="50">
        <v>24</v>
      </c>
      <c r="L11" s="50">
        <v>30</v>
      </c>
      <c r="M11" s="50">
        <v>24</v>
      </c>
      <c r="N11" s="50">
        <v>25</v>
      </c>
      <c r="O11" s="50">
        <v>2099</v>
      </c>
      <c r="P11" s="50">
        <v>2090</v>
      </c>
      <c r="Q11" s="50">
        <v>2099</v>
      </c>
      <c r="R11" s="50">
        <v>2092</v>
      </c>
      <c r="S11" s="50">
        <v>27</v>
      </c>
      <c r="T11" s="50">
        <v>27</v>
      </c>
      <c r="U11" s="50">
        <v>30</v>
      </c>
      <c r="V11" s="50">
        <v>30</v>
      </c>
      <c r="W11" s="50">
        <v>0</v>
      </c>
      <c r="X11" s="50">
        <v>0</v>
      </c>
      <c r="Y11" s="4">
        <v>0</v>
      </c>
      <c r="Z11" s="4">
        <v>0</v>
      </c>
      <c r="AA11" s="4">
        <v>0</v>
      </c>
      <c r="AC11">
        <f t="shared" si="5"/>
        <v>1039</v>
      </c>
      <c r="AD11">
        <f t="shared" si="6"/>
        <v>167.4</v>
      </c>
      <c r="AE11">
        <f t="shared" si="2"/>
        <v>169.4</v>
      </c>
      <c r="AF11">
        <f t="shared" si="7"/>
        <v>2099</v>
      </c>
      <c r="AG11">
        <f t="shared" si="4"/>
        <v>164.4</v>
      </c>
      <c r="AH11">
        <f t="shared" si="8"/>
        <v>2099</v>
      </c>
    </row>
    <row r="12" spans="1:34" ht="19.5" customHeight="1" x14ac:dyDescent="0.3">
      <c r="A12" s="50">
        <v>524</v>
      </c>
      <c r="B12" s="50" t="s">
        <v>378</v>
      </c>
      <c r="C12" s="50" t="s">
        <v>379</v>
      </c>
      <c r="D12" s="50">
        <v>997</v>
      </c>
      <c r="E12" s="50">
        <v>114</v>
      </c>
      <c r="F12" s="50">
        <v>113</v>
      </c>
      <c r="G12" s="67" t="s">
        <v>380</v>
      </c>
      <c r="H12" s="68" t="s">
        <v>381</v>
      </c>
      <c r="I12" s="50">
        <v>17</v>
      </c>
      <c r="J12" s="50">
        <v>17</v>
      </c>
      <c r="K12" s="50">
        <v>20</v>
      </c>
      <c r="L12" s="50">
        <v>20</v>
      </c>
      <c r="M12" s="50">
        <v>20</v>
      </c>
      <c r="N12" s="50">
        <v>20</v>
      </c>
      <c r="O12" s="50">
        <v>2096</v>
      </c>
      <c r="P12" s="50">
        <v>2090</v>
      </c>
      <c r="Q12" s="50">
        <v>2094</v>
      </c>
      <c r="R12" s="50">
        <v>2091</v>
      </c>
      <c r="S12" s="50">
        <v>29</v>
      </c>
      <c r="T12" s="50">
        <v>26</v>
      </c>
      <c r="U12" s="50">
        <v>30</v>
      </c>
      <c r="V12" s="50">
        <v>30</v>
      </c>
      <c r="W12" s="50">
        <v>0</v>
      </c>
      <c r="X12" s="50">
        <v>0</v>
      </c>
      <c r="Y12" s="4">
        <v>0</v>
      </c>
      <c r="Z12" s="4">
        <v>0</v>
      </c>
      <c r="AA12" s="4">
        <v>0</v>
      </c>
      <c r="AC12">
        <f t="shared" si="5"/>
        <v>1031</v>
      </c>
      <c r="AD12">
        <f t="shared" si="6"/>
        <v>169.4</v>
      </c>
      <c r="AE12">
        <f t="shared" si="2"/>
        <v>159.4</v>
      </c>
      <c r="AF12">
        <f t="shared" si="7"/>
        <v>2096</v>
      </c>
      <c r="AG12">
        <f t="shared" si="4"/>
        <v>159.4</v>
      </c>
      <c r="AH12">
        <f t="shared" si="8"/>
        <v>2094</v>
      </c>
    </row>
    <row r="13" spans="1:34" ht="19.5" customHeight="1" x14ac:dyDescent="0.3">
      <c r="A13" s="50">
        <v>524</v>
      </c>
      <c r="B13" s="50" t="s">
        <v>382</v>
      </c>
      <c r="C13" s="50" t="s">
        <v>383</v>
      </c>
      <c r="D13" s="50">
        <v>997</v>
      </c>
      <c r="E13" s="50">
        <v>114</v>
      </c>
      <c r="F13" s="50">
        <v>113</v>
      </c>
      <c r="G13" s="67" t="s">
        <v>384</v>
      </c>
      <c r="H13" s="68" t="s">
        <v>385</v>
      </c>
      <c r="I13" s="50">
        <v>19</v>
      </c>
      <c r="J13" s="50">
        <v>22</v>
      </c>
      <c r="K13" s="50">
        <v>22</v>
      </c>
      <c r="L13" s="50">
        <v>22</v>
      </c>
      <c r="M13" s="50">
        <v>25</v>
      </c>
      <c r="N13" s="50">
        <v>25</v>
      </c>
      <c r="O13" s="50">
        <v>2090</v>
      </c>
      <c r="P13" s="50">
        <v>2090</v>
      </c>
      <c r="Q13" s="50">
        <v>2090</v>
      </c>
      <c r="R13" s="50">
        <v>2090</v>
      </c>
      <c r="S13" s="50">
        <v>26</v>
      </c>
      <c r="T13" s="50">
        <v>26</v>
      </c>
      <c r="U13" s="50">
        <v>30</v>
      </c>
      <c r="V13" s="50">
        <v>30</v>
      </c>
      <c r="W13" s="50">
        <v>0</v>
      </c>
      <c r="X13" s="50">
        <v>0</v>
      </c>
      <c r="Y13" s="4">
        <v>0</v>
      </c>
      <c r="Z13" s="4">
        <v>0</v>
      </c>
      <c r="AA13" s="4">
        <v>0</v>
      </c>
      <c r="AC13">
        <f t="shared" si="5"/>
        <v>1038</v>
      </c>
      <c r="AD13">
        <f t="shared" si="6"/>
        <v>166.4</v>
      </c>
      <c r="AE13">
        <f t="shared" si="2"/>
        <v>161.4</v>
      </c>
      <c r="AF13">
        <f t="shared" si="7"/>
        <v>2090</v>
      </c>
      <c r="AG13">
        <f t="shared" si="4"/>
        <v>164.4</v>
      </c>
      <c r="AH13">
        <f t="shared" si="8"/>
        <v>2090</v>
      </c>
    </row>
    <row r="14" spans="1:34" ht="19.5" customHeight="1" x14ac:dyDescent="0.3">
      <c r="A14" s="50">
        <v>524</v>
      </c>
      <c r="B14" s="50" t="s">
        <v>386</v>
      </c>
      <c r="C14" s="50" t="s">
        <v>387</v>
      </c>
      <c r="D14" s="50">
        <v>998</v>
      </c>
      <c r="E14" s="50">
        <v>114</v>
      </c>
      <c r="F14" s="50">
        <v>113</v>
      </c>
      <c r="G14" s="67" t="s">
        <v>388</v>
      </c>
      <c r="H14" s="68" t="s">
        <v>389</v>
      </c>
      <c r="I14" s="50">
        <v>18</v>
      </c>
      <c r="J14" s="50">
        <v>17</v>
      </c>
      <c r="K14" s="50">
        <v>21</v>
      </c>
      <c r="L14" s="50">
        <v>21</v>
      </c>
      <c r="M14" s="50">
        <v>20</v>
      </c>
      <c r="N14" s="50">
        <v>20</v>
      </c>
      <c r="O14" s="50">
        <v>2093</v>
      </c>
      <c r="P14" s="50">
        <v>2089</v>
      </c>
      <c r="Q14" s="50">
        <v>2091</v>
      </c>
      <c r="R14" s="50">
        <v>2091</v>
      </c>
      <c r="S14" s="50">
        <v>23</v>
      </c>
      <c r="T14" s="50">
        <v>23</v>
      </c>
      <c r="U14" s="50">
        <v>30</v>
      </c>
      <c r="V14" s="50">
        <v>30</v>
      </c>
      <c r="W14" s="50">
        <v>0</v>
      </c>
      <c r="X14" s="50">
        <v>0</v>
      </c>
      <c r="Y14" s="4">
        <v>0</v>
      </c>
      <c r="Z14" s="4">
        <v>0</v>
      </c>
      <c r="AA14" s="4">
        <v>0</v>
      </c>
      <c r="AC14">
        <f t="shared" si="5"/>
        <v>1033</v>
      </c>
      <c r="AD14">
        <f t="shared" si="6"/>
        <v>163.4</v>
      </c>
      <c r="AE14">
        <f t="shared" si="2"/>
        <v>160.4</v>
      </c>
      <c r="AF14">
        <f t="shared" si="7"/>
        <v>2093</v>
      </c>
      <c r="AG14">
        <f t="shared" si="4"/>
        <v>159.4</v>
      </c>
      <c r="AH14">
        <f t="shared" si="8"/>
        <v>2091</v>
      </c>
    </row>
    <row r="15" spans="1:34" ht="19.5" customHeight="1" x14ac:dyDescent="0.3">
      <c r="A15" s="50">
        <v>524</v>
      </c>
      <c r="B15" s="50" t="s">
        <v>390</v>
      </c>
      <c r="C15" s="50" t="s">
        <v>391</v>
      </c>
      <c r="D15" s="50">
        <v>998</v>
      </c>
      <c r="E15" s="50">
        <v>114</v>
      </c>
      <c r="F15" s="50">
        <v>113</v>
      </c>
      <c r="G15" s="67" t="s">
        <v>392</v>
      </c>
      <c r="H15" s="68" t="s">
        <v>365</v>
      </c>
      <c r="I15" s="50">
        <v>15</v>
      </c>
      <c r="J15" s="50">
        <v>17</v>
      </c>
      <c r="K15" s="50">
        <v>18</v>
      </c>
      <c r="L15" s="50">
        <v>18</v>
      </c>
      <c r="M15" s="50">
        <v>20</v>
      </c>
      <c r="N15" s="50">
        <v>20</v>
      </c>
      <c r="O15" s="50">
        <v>2090</v>
      </c>
      <c r="P15" s="50">
        <v>2090</v>
      </c>
      <c r="Q15" s="50">
        <v>2092</v>
      </c>
      <c r="R15" s="50">
        <v>2092</v>
      </c>
      <c r="S15" s="50">
        <v>22</v>
      </c>
      <c r="T15" s="50">
        <v>22</v>
      </c>
      <c r="U15" s="50">
        <v>30</v>
      </c>
      <c r="V15" s="50">
        <v>30</v>
      </c>
      <c r="W15" s="50">
        <v>0</v>
      </c>
      <c r="X15" s="50">
        <v>0</v>
      </c>
      <c r="Y15" s="4">
        <v>0</v>
      </c>
      <c r="Z15" s="4">
        <v>0</v>
      </c>
      <c r="AA15" s="4">
        <v>0</v>
      </c>
      <c r="AC15">
        <f t="shared" si="5"/>
        <v>1030</v>
      </c>
      <c r="AD15">
        <f t="shared" si="6"/>
        <v>162.4</v>
      </c>
      <c r="AE15">
        <f t="shared" si="2"/>
        <v>157.4</v>
      </c>
      <c r="AF15">
        <f t="shared" si="7"/>
        <v>2090</v>
      </c>
      <c r="AG15">
        <f t="shared" si="4"/>
        <v>159.4</v>
      </c>
      <c r="AH15">
        <f t="shared" si="8"/>
        <v>2092</v>
      </c>
    </row>
    <row r="16" spans="1:34" ht="19.5" customHeight="1" x14ac:dyDescent="0.3">
      <c r="A16" s="50">
        <v>524</v>
      </c>
      <c r="B16" s="50" t="s">
        <v>393</v>
      </c>
      <c r="C16" s="50" t="s">
        <v>394</v>
      </c>
      <c r="D16" s="50">
        <v>997</v>
      </c>
      <c r="E16" s="50">
        <v>114</v>
      </c>
      <c r="F16" s="50">
        <v>113</v>
      </c>
      <c r="G16" s="67" t="s">
        <v>395</v>
      </c>
      <c r="H16" s="68" t="s">
        <v>395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2093</v>
      </c>
      <c r="P16" s="50">
        <v>2090</v>
      </c>
      <c r="Q16" s="50">
        <v>2093</v>
      </c>
      <c r="R16" s="50">
        <v>2090</v>
      </c>
      <c r="S16" s="50">
        <v>0</v>
      </c>
      <c r="T16" s="50">
        <v>0</v>
      </c>
      <c r="U16" s="50">
        <v>30</v>
      </c>
      <c r="V16" s="50">
        <v>30</v>
      </c>
      <c r="W16" s="50">
        <v>0</v>
      </c>
      <c r="X16" s="50">
        <v>0</v>
      </c>
      <c r="Y16" s="4">
        <v>0</v>
      </c>
      <c r="Z16" s="4">
        <v>0</v>
      </c>
      <c r="AA16" s="4">
        <v>0</v>
      </c>
      <c r="AC16">
        <f t="shared" si="5"/>
        <v>997</v>
      </c>
      <c r="AD16">
        <f t="shared" si="6"/>
        <v>140.4</v>
      </c>
      <c r="AE16">
        <f t="shared" si="2"/>
        <v>140.6</v>
      </c>
      <c r="AF16">
        <f t="shared" si="7"/>
        <v>2093</v>
      </c>
      <c r="AG16">
        <f t="shared" si="4"/>
        <v>140.6</v>
      </c>
      <c r="AH16">
        <f t="shared" si="8"/>
        <v>2093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16 M7:M16 S7:S16">
    <cfRule type="cellIs" dxfId="58" priority="4" operator="notEqual">
      <formula>L7</formula>
    </cfRule>
  </conditionalFormatting>
  <conditionalFormatting sqref="L7:L16 N7:N16 T7:T16">
    <cfRule type="cellIs" dxfId="57" priority="3" operator="notEqual">
      <formula>K7</formula>
    </cfRule>
  </conditionalFormatting>
  <conditionalFormatting sqref="Y7:AA16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3" t="str">
        <f>정보!B1&amp;" (제작치수 샤링작지) "&amp;정보!B6&amp;" 소장"</f>
        <v>서울 강남 기독교성결회관 (제작치수 샤링작지) 조장우 소장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</row>
    <row r="2" spans="1:31" ht="30.75" customHeight="1" x14ac:dyDescent="0.3">
      <c r="A2" s="304" t="str">
        <f>"총 : " &amp; COUNTA(A7:A200) &amp;" (SET)"</f>
        <v>총 : 2 (SET)</v>
      </c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295" t="s">
        <v>160</v>
      </c>
      <c r="Q2" s="296"/>
      <c r="R2" s="296"/>
      <c r="S2" s="296"/>
      <c r="T2" s="61"/>
      <c r="U2" s="297">
        <v>1.2</v>
      </c>
      <c r="V2" s="297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5" t="str">
        <f>"예상매수 : " &amp; ROUNDUP((SUM(AB7:AB200)+SUM(AD7:AD200))/1200,0) &amp;" 매"</f>
        <v>예상매수 : 0 매</v>
      </c>
      <c r="H3" s="295"/>
      <c r="I3" s="298">
        <v>0</v>
      </c>
      <c r="J3" s="298"/>
      <c r="K3" s="63"/>
      <c r="L3" s="63"/>
      <c r="M3" s="248" t="s">
        <v>161</v>
      </c>
      <c r="N3" s="248"/>
      <c r="O3" s="248"/>
      <c r="P3" s="299">
        <v>0</v>
      </c>
      <c r="Q3" s="299"/>
      <c r="R3" s="245" t="s">
        <v>162</v>
      </c>
      <c r="S3" s="245"/>
      <c r="T3" s="64"/>
      <c r="U3" s="300">
        <v>4</v>
      </c>
      <c r="V3" s="300"/>
      <c r="W3" s="65"/>
      <c r="X3" s="65"/>
    </row>
    <row r="4" spans="1:31" ht="9.75" customHeight="1" x14ac:dyDescent="0.3">
      <c r="A4" s="174"/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0" t="s">
        <v>174</v>
      </c>
      <c r="N5" s="290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0" t="s">
        <v>151</v>
      </c>
      <c r="U5" s="168" t="s">
        <v>181</v>
      </c>
      <c r="V5" s="168" t="s">
        <v>182</v>
      </c>
      <c r="W5" s="167" t="s">
        <v>183</v>
      </c>
      <c r="X5" s="167"/>
      <c r="AB5" s="181" t="s">
        <v>184</v>
      </c>
      <c r="AC5" s="181"/>
      <c r="AD5" s="181" t="s">
        <v>185</v>
      </c>
      <c r="AE5" s="181"/>
    </row>
    <row r="6" spans="1:31" ht="36.75" customHeight="1" x14ac:dyDescent="0.3">
      <c r="A6" s="215"/>
      <c r="B6" s="215"/>
      <c r="C6" s="215"/>
      <c r="D6" s="215"/>
      <c r="E6" s="215"/>
      <c r="F6" s="215"/>
      <c r="G6" s="215"/>
      <c r="H6" s="215"/>
      <c r="I6" s="302"/>
      <c r="J6" s="215"/>
      <c r="K6" s="239"/>
      <c r="L6" s="239"/>
      <c r="M6" s="293"/>
      <c r="N6" s="293"/>
      <c r="O6" s="215"/>
      <c r="P6" s="215"/>
      <c r="Q6" s="215"/>
      <c r="R6" s="215"/>
      <c r="S6" s="215"/>
      <c r="T6" s="291"/>
      <c r="U6" s="239"/>
      <c r="V6" s="239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/>
      </c>
      <c r="H7" s="68" t="str">
        <f>IF(OR(쪽쟘제작!N7&lt;&gt;쪽쟘제작!M7,쪽쟘제작!Q7&lt;&gt;쪽쟘제작!R7),"",AE7&amp;"*"&amp;AD7)</f>
        <v/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/>
      </c>
      <c r="H8" s="68" t="str">
        <f>IF(쪽쟘제작!N8&lt;&gt;쪽쟘제작!M8,"",AE8&amp;"*"&amp;AD8)</f>
        <v>*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7" t="str">
        <f>정보!E2</f>
        <v>(SO와이드) 실측서 ( 서울 강남 기독교성결회관 ) _조장우소장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7"/>
      <c r="Z2" s="177"/>
      <c r="AA2" s="177"/>
      <c r="AB2" s="177"/>
      <c r="AC2" s="177"/>
      <c r="AD2" s="177"/>
      <c r="AE2" s="177"/>
      <c r="AF2" s="177"/>
      <c r="AG2" s="177"/>
      <c r="AH2" s="177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5" t="s">
        <v>98</v>
      </c>
      <c r="N3" s="165"/>
      <c r="O3" s="34"/>
      <c r="P3" s="34"/>
      <c r="Q3" s="34"/>
      <c r="R3" s="34"/>
      <c r="S3" s="34"/>
      <c r="T3" s="34"/>
      <c r="U3" s="34"/>
      <c r="V3" s="34"/>
      <c r="W3" s="34"/>
      <c r="X3" s="34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34"/>
      <c r="AJ3" s="34"/>
      <c r="AK3" s="34"/>
      <c r="AL3" s="34"/>
    </row>
    <row r="4" spans="1:47" ht="33" customHeight="1" x14ac:dyDescent="0.3">
      <c r="A4" s="307" t="str">
        <f>정보!B10</f>
        <v>제작치수 반영 : MH + (2), JB/JD +(5 ),  늘어난치수K -(0),  C + (5),   U + (0), OP - (5), R - (0),  기둥차감 - (0), A + (0)</v>
      </c>
      <c r="B4" s="307"/>
      <c r="C4" s="307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7"/>
      <c r="R4" s="307"/>
      <c r="S4" s="307"/>
      <c r="T4" s="307"/>
      <c r="U4" s="307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5"/>
      <c r="AG4" s="164" t="s">
        <v>215</v>
      </c>
      <c r="AH4" s="164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5" t="s">
        <v>237</v>
      </c>
      <c r="Z5" s="306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5"/>
      <c r="Z6" s="306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9" t="str">
        <f>정보!F2</f>
        <v>(SO와이드) 제작변환 ( 서울 강남 기독교성결회관 ) _조장우소장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  <c r="AH1" s="309"/>
      <c r="AI1" s="309"/>
      <c r="AJ1" s="309"/>
      <c r="AK1" s="309"/>
      <c r="AL1" s="309"/>
      <c r="AM1" s="309"/>
      <c r="AN1" s="309"/>
      <c r="AO1" s="309"/>
      <c r="AP1" s="309"/>
      <c r="AQ1" s="309"/>
      <c r="AR1" s="309"/>
      <c r="AS1" s="309"/>
      <c r="AT1" s="309"/>
      <c r="AU1" s="309"/>
      <c r="AV1" s="309"/>
      <c r="AW1" s="37"/>
      <c r="AX1" s="37"/>
    </row>
    <row r="2" spans="1:66" ht="29.25" customHeight="1" x14ac:dyDescent="0.3">
      <c r="A2" s="97" t="s">
        <v>85</v>
      </c>
      <c r="B2" s="139">
        <v>4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06" t="s">
        <v>113</v>
      </c>
      <c r="K2" s="207"/>
      <c r="L2" s="207"/>
      <c r="M2" s="207"/>
      <c r="N2" s="207"/>
      <c r="O2" s="207"/>
      <c r="P2" s="208">
        <v>1</v>
      </c>
      <c r="Q2" s="208"/>
      <c r="R2" s="199" t="s">
        <v>89</v>
      </c>
      <c r="S2" s="219"/>
      <c r="T2" s="220">
        <v>0</v>
      </c>
      <c r="U2" s="220"/>
      <c r="V2" s="167" t="s">
        <v>83</v>
      </c>
      <c r="W2" s="222"/>
      <c r="X2" s="222"/>
      <c r="Y2" s="223">
        <v>0</v>
      </c>
      <c r="Z2" s="223"/>
      <c r="AA2" s="314" t="str">
        <f>정보!B5</f>
        <v>TKEK HD S20D-OR</v>
      </c>
      <c r="AB2" s="315"/>
      <c r="AC2" s="315"/>
      <c r="AD2" s="315"/>
      <c r="AE2" s="315"/>
      <c r="AF2" s="315"/>
      <c r="AG2" s="315"/>
      <c r="AH2" s="315"/>
      <c r="AI2" s="315"/>
      <c r="AJ2" s="315"/>
      <c r="AK2" s="316"/>
      <c r="AL2" s="199" t="s">
        <v>90</v>
      </c>
      <c r="AM2" s="219"/>
      <c r="AN2" s="310">
        <v>4</v>
      </c>
      <c r="AO2" s="310"/>
      <c r="AP2" s="1"/>
      <c r="AQ2" s="311" t="s">
        <v>229</v>
      </c>
      <c r="AR2" s="312"/>
      <c r="AS2" s="313">
        <v>0</v>
      </c>
      <c r="AT2" s="313"/>
      <c r="AU2" s="1"/>
      <c r="AV2" s="1"/>
    </row>
    <row r="3" spans="1:66" ht="24.75" customHeight="1" x14ac:dyDescent="0.3">
      <c r="A3" s="28" t="str">
        <f>'SO와이드(실측)'!A3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199" t="s">
        <v>228</v>
      </c>
      <c r="K3" s="199"/>
      <c r="L3" s="199"/>
      <c r="M3" s="199"/>
      <c r="N3" s="199"/>
      <c r="O3" s="199"/>
      <c r="P3" s="209">
        <v>5</v>
      </c>
      <c r="Q3" s="209"/>
      <c r="R3" s="219" t="s">
        <v>77</v>
      </c>
      <c r="S3" s="219"/>
      <c r="T3" s="226">
        <v>0</v>
      </c>
      <c r="U3" s="226"/>
      <c r="V3" s="227" t="s">
        <v>227</v>
      </c>
      <c r="W3" s="227"/>
      <c r="X3" s="227"/>
      <c r="Y3" s="228">
        <f>BN7</f>
        <v>1</v>
      </c>
      <c r="Z3" s="228"/>
      <c r="AA3" s="322" t="s">
        <v>78</v>
      </c>
      <c r="AB3" s="322"/>
      <c r="AC3" s="317">
        <v>0</v>
      </c>
      <c r="AD3" s="317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191" t="s">
        <v>230</v>
      </c>
      <c r="AR3" s="191"/>
      <c r="AS3" s="193" t="s">
        <v>327</v>
      </c>
      <c r="AT3" s="194"/>
      <c r="AU3" s="197">
        <f>AY7</f>
        <v>75.963756532073532</v>
      </c>
      <c r="AV3" s="198"/>
      <c r="BN3" s="180" t="s">
        <v>253</v>
      </c>
    </row>
    <row r="4" spans="1:66" ht="33" customHeight="1" x14ac:dyDescent="0.3">
      <c r="A4" s="174" t="str">
        <f>정보!B10</f>
        <v>제작치수 반영 : MH + (2), JB/JD +(5 ),  늘어난치수K -(0),  C + (5),   U + (0), OP - (5), R - (0),  기둥차감 - (0),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308" t="s">
        <v>313</v>
      </c>
      <c r="AH4" s="308"/>
      <c r="AI4" s="258">
        <f>'SO와이드(실측)'!AA7</f>
        <v>0</v>
      </c>
      <c r="AJ4" s="258"/>
      <c r="AK4" s="187">
        <f ca="1">TODAY()</f>
        <v>45274</v>
      </c>
      <c r="AL4" s="173"/>
      <c r="AM4" s="173"/>
      <c r="AN4" s="9"/>
      <c r="AO4" s="323" t="s">
        <v>117</v>
      </c>
      <c r="AP4" s="323"/>
      <c r="AQ4" s="164" t="s">
        <v>215</v>
      </c>
      <c r="AR4" s="164"/>
      <c r="AS4" s="84"/>
      <c r="AT4" s="195" t="s">
        <v>235</v>
      </c>
      <c r="AU4" s="195"/>
      <c r="AV4" s="196"/>
      <c r="BN4" s="181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14" t="s">
        <v>4</v>
      </c>
      <c r="I5" s="267" t="s">
        <v>42</v>
      </c>
      <c r="J5" s="211" t="s">
        <v>105</v>
      </c>
      <c r="K5" s="211" t="s">
        <v>106</v>
      </c>
      <c r="L5" s="184" t="s">
        <v>107</v>
      </c>
      <c r="M5" s="184" t="s">
        <v>108</v>
      </c>
      <c r="N5" s="318" t="s">
        <v>240</v>
      </c>
      <c r="O5" s="320" t="s">
        <v>241</v>
      </c>
      <c r="P5" s="215" t="s">
        <v>71</v>
      </c>
      <c r="Q5" s="215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13" t="s">
        <v>14</v>
      </c>
      <c r="Y5" s="213" t="s">
        <v>15</v>
      </c>
      <c r="Z5" s="214" t="s">
        <v>16</v>
      </c>
      <c r="AA5" s="214" t="s">
        <v>17</v>
      </c>
      <c r="AB5" s="167" t="s">
        <v>19</v>
      </c>
      <c r="AC5" s="167" t="s">
        <v>20</v>
      </c>
      <c r="AD5" s="168" t="s">
        <v>22</v>
      </c>
      <c r="AE5" s="305" t="s">
        <v>242</v>
      </c>
      <c r="AF5" s="306" t="s">
        <v>238</v>
      </c>
      <c r="AG5" s="224" t="s">
        <v>79</v>
      </c>
      <c r="AH5" s="225"/>
      <c r="AI5" s="225"/>
      <c r="AJ5" s="225"/>
      <c r="AK5" s="217" t="s">
        <v>91</v>
      </c>
      <c r="AL5" s="217" t="s">
        <v>92</v>
      </c>
      <c r="AM5" s="232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24" t="s">
        <v>199</v>
      </c>
      <c r="AT5" s="324" t="s">
        <v>204</v>
      </c>
      <c r="AU5" s="324"/>
      <c r="AV5" s="324"/>
      <c r="AW5" s="180" t="s">
        <v>100</v>
      </c>
      <c r="AX5" s="180" t="s">
        <v>101</v>
      </c>
      <c r="AY5" s="327" t="s">
        <v>244</v>
      </c>
      <c r="AZ5" s="326" t="s">
        <v>245</v>
      </c>
      <c r="BA5" s="234" t="s">
        <v>84</v>
      </c>
      <c r="BB5" s="237" t="s">
        <v>102</v>
      </c>
      <c r="BC5" s="236" t="s">
        <v>94</v>
      </c>
      <c r="BD5" s="236" t="s">
        <v>95</v>
      </c>
      <c r="BE5" s="180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179" t="s">
        <v>104</v>
      </c>
      <c r="BN5" s="178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14"/>
      <c r="I6" s="267"/>
      <c r="J6" s="212"/>
      <c r="K6" s="212"/>
      <c r="L6" s="185"/>
      <c r="M6" s="185"/>
      <c r="N6" s="319"/>
      <c r="O6" s="321"/>
      <c r="P6" s="216"/>
      <c r="Q6" s="216"/>
      <c r="R6" s="167"/>
      <c r="S6" s="167"/>
      <c r="T6" s="167"/>
      <c r="U6" s="167"/>
      <c r="V6" s="167"/>
      <c r="W6" s="167"/>
      <c r="X6" s="213"/>
      <c r="Y6" s="213"/>
      <c r="Z6" s="214"/>
      <c r="AA6" s="214"/>
      <c r="AB6" s="167"/>
      <c r="AC6" s="167"/>
      <c r="AD6" s="168"/>
      <c r="AE6" s="305"/>
      <c r="AF6" s="306"/>
      <c r="AG6" s="8" t="s">
        <v>52</v>
      </c>
      <c r="AH6" s="8" t="s">
        <v>68</v>
      </c>
      <c r="AI6" s="8" t="s">
        <v>69</v>
      </c>
      <c r="AJ6" s="8" t="s">
        <v>70</v>
      </c>
      <c r="AK6" s="218"/>
      <c r="AL6" s="218"/>
      <c r="AM6" s="233"/>
      <c r="AN6" s="168"/>
      <c r="AO6" s="167"/>
      <c r="AP6" s="167"/>
      <c r="AQ6" s="74" t="s">
        <v>213</v>
      </c>
      <c r="AR6" s="74" t="s">
        <v>214</v>
      </c>
      <c r="AS6" s="325"/>
      <c r="AT6" s="86" t="s">
        <v>200</v>
      </c>
      <c r="AU6" s="86" t="s">
        <v>201</v>
      </c>
      <c r="AV6" s="86" t="s">
        <v>80</v>
      </c>
      <c r="AW6" s="181"/>
      <c r="AX6" s="181"/>
      <c r="AY6" s="326"/>
      <c r="AZ6" s="326"/>
      <c r="BA6" s="235"/>
      <c r="BB6" s="238"/>
      <c r="BC6" s="236"/>
      <c r="BD6" s="236"/>
      <c r="BE6" s="181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9"/>
      <c r="BN6" s="178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-4</v>
      </c>
      <c r="F7" s="31">
        <f>'SO와이드(실측)'!F7-SO와이드OP</f>
        <v>-4</v>
      </c>
      <c r="G7" s="31">
        <f>'SO와이드(실측)'!G7-SO와이드R</f>
        <v>0</v>
      </c>
      <c r="H7" s="50">
        <f>'SO와이드(실측)'!H7+SO와이드JBJD키움치수+IF(BN7=1,AG7,0)</f>
        <v>1</v>
      </c>
      <c r="I7" s="50">
        <f>'SO와이드(실측)'!I7+SO와이드JBJD키움치수+IF(BN7=1,AI7,0)</f>
        <v>1</v>
      </c>
      <c r="J7" s="50">
        <f>'SO와이드(실측)'!J7+MAX(AW7,AX7)+SO와이드JBJD키움치수+IF(BN7=1,AG7,0)</f>
        <v>1</v>
      </c>
      <c r="K7" s="50">
        <f>'SO와이드(실측)'!J7+MAX(AW7,AX7)+SO와이드JBJD키움치수+IF(BN7=1,AH7,0)-IF(SO와이드JB하부늘치=1,'SO와이드(실측)'!AA7-'SO와이드(실측)'!AB7,0)</f>
        <v>1</v>
      </c>
      <c r="L7" s="50">
        <f>'SO와이드(실측)'!K7+MAX(AW7,AX7)+SO와이드JBJD키움치수+IF(BN7=1,AI7,0)</f>
        <v>1</v>
      </c>
      <c r="M7" s="50">
        <f>'SO와이드(실측)'!K7+MAX(AW7,AX7)+SO와이드JBJD키움치수+IF(BN7=1,AJ7,0)-IF(SO와이드JB하부늘치=1,'SO와이드(실측)'!AC7-'SO와이드(실측)'!AD7,0)</f>
        <v>1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0.7</v>
      </c>
      <c r="U7" s="137">
        <f>ROUNDUP(BB7,1)</f>
        <v>0.7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-4</v>
      </c>
      <c r="AH7" s="31">
        <f>IF(SO와이드JB하부늘치=1,AG7,'SO와이드(실측)'!AB7-SO와이드늘치)</f>
        <v>-4</v>
      </c>
      <c r="AI7" s="31">
        <f>'SO와이드(실측)'!AC7-SO와이드늘치</f>
        <v>-4</v>
      </c>
      <c r="AJ7" s="31">
        <f>IF(SO와이드JB하부늘치=1,AI7,'SO와이드(실측)'!AD7-SO와이드늘치)</f>
        <v>-4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0*-0.6</v>
      </c>
      <c r="AO7" s="31" t="str">
        <f t="shared" ref="AO7" si="2">BI7&amp;"*"&amp;BH7</f>
        <v>0.8*-1.4</v>
      </c>
      <c r="AP7" s="31" t="str">
        <f t="shared" ref="AP7" si="3">BK7&amp;"*"&amp;BJ7</f>
        <v>0.8*-1.4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75.963756532073532</v>
      </c>
      <c r="AZ7" s="20">
        <f>DEGREES(ATAN((G7-(E7+F7))/2/(I7)))</f>
        <v>75.963756532073532</v>
      </c>
      <c r="BA7" s="21">
        <f>INT(ABS(H7-COS(RADIANS(AY7))*J7)*10)/10</f>
        <v>0.7</v>
      </c>
      <c r="BB7" s="21">
        <f>INT(ABS(I7-COS(RADIANS(AZ7))*L7)*10)/10</f>
        <v>0.7</v>
      </c>
      <c r="BC7" s="21">
        <f>'SO와이드(실측)'!N7+AW7</f>
        <v>0</v>
      </c>
      <c r="BD7" s="21">
        <f>'SO와이드(실측)'!O7+AW7</f>
        <v>0</v>
      </c>
      <c r="BE7" s="20">
        <f>BA7-MAX(BC7,BD7)</f>
        <v>0.7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-0.60000000000000009</v>
      </c>
      <c r="BH7" s="41">
        <f>V7+R7+MAX(J7,K7)+AE7-1.2*$AP$3+IF(BN7=0,MAX(AH7,AG7),0)+IF(V7=0,1.2,0)-IF(AV7=90,2.4,0)</f>
        <v>-1.3999999999999997</v>
      </c>
      <c r="BI7" s="41">
        <f>MAX(X7,Y7)+AK7</f>
        <v>0.8</v>
      </c>
      <c r="BJ7" s="41">
        <f>W7+S7+MAX(L7,M7)+AF7-1.2*$AP$3+IF(BN7=0,MAX(AI7,AJ7),0)+IF(W7=0,1.2,0)-IF(AV7=90,2.4,0)</f>
        <v>-1.3999999999999997</v>
      </c>
      <c r="BK7" s="41">
        <f>MAX(Z7,AA7)+AL7</f>
        <v>0.8</v>
      </c>
      <c r="BL7" s="6">
        <f t="shared" ref="BL7" si="4">J7-H7-T7</f>
        <v>-0.7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6" t="str">
        <f>정보!E3</f>
        <v>(SO멍텅구리) 실측서 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"/>
      <c r="H3" s="250"/>
      <c r="I3" s="250"/>
      <c r="J3" s="247"/>
      <c r="K3" s="247"/>
      <c r="L3" s="248"/>
      <c r="M3" s="248"/>
      <c r="N3" s="249"/>
      <c r="O3" s="249"/>
      <c r="P3" s="249"/>
      <c r="Q3" s="244" t="s">
        <v>97</v>
      </c>
      <c r="R3" s="244"/>
      <c r="S3" s="245"/>
      <c r="T3" s="245"/>
      <c r="U3" s="246"/>
      <c r="V3" s="246"/>
      <c r="W3" s="246"/>
    </row>
    <row r="4" spans="1:41" ht="33" customHeight="1" x14ac:dyDescent="0.3">
      <c r="A4" s="174" t="str">
        <f>정보!B14</f>
        <v>제작치수 반영 : JB/JD +(5 ),  늘어난치수K -(4),  C + (0),  U +(0), OP1/OP2 - (4), R - (0),  기둥차감 - (0),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3"/>
      <c r="X4" s="173"/>
      <c r="Y4" s="173"/>
      <c r="Z4" s="173"/>
      <c r="AA4" s="173"/>
      <c r="AB4" s="173"/>
      <c r="AC4" s="175"/>
      <c r="AD4" s="164" t="s">
        <v>215</v>
      </c>
      <c r="AE4" s="164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9" t="s">
        <v>22</v>
      </c>
      <c r="U5" s="305" t="s">
        <v>242</v>
      </c>
      <c r="V5" s="306" t="s">
        <v>238</v>
      </c>
      <c r="W5" s="241" t="s">
        <v>21</v>
      </c>
      <c r="X5" s="242"/>
      <c r="Y5" s="242"/>
      <c r="Z5" s="243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40"/>
      <c r="U6" s="305"/>
      <c r="V6" s="306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6" t="str">
        <f>정보!F3</f>
        <v>(SO멍텅구리) 제작변환 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"/>
      <c r="AN1" s="1"/>
      <c r="AO1" s="275" t="s">
        <v>75</v>
      </c>
      <c r="AP1" s="275"/>
      <c r="AQ1" s="275"/>
      <c r="AW1" s="24"/>
    </row>
    <row r="2" spans="1:58" ht="28.5" customHeight="1" x14ac:dyDescent="0.3">
      <c r="A2" s="97" t="s">
        <v>85</v>
      </c>
      <c r="B2" s="140">
        <v>4</v>
      </c>
      <c r="C2" s="334" t="s">
        <v>290</v>
      </c>
      <c r="D2" s="334"/>
      <c r="E2" s="116">
        <v>0</v>
      </c>
      <c r="F2" s="1"/>
      <c r="G2" s="1"/>
      <c r="H2" s="202" t="s">
        <v>81</v>
      </c>
      <c r="I2" s="202"/>
      <c r="J2" s="202"/>
      <c r="K2" s="329">
        <v>0</v>
      </c>
      <c r="L2" s="329"/>
      <c r="M2" s="329"/>
      <c r="N2" s="329"/>
      <c r="O2" s="207" t="s">
        <v>113</v>
      </c>
      <c r="P2" s="207"/>
      <c r="Q2" s="207"/>
      <c r="R2" s="207"/>
      <c r="S2" s="330">
        <v>1</v>
      </c>
      <c r="T2" s="330"/>
      <c r="U2" s="219" t="s">
        <v>103</v>
      </c>
      <c r="V2" s="219"/>
      <c r="W2" s="143">
        <v>0</v>
      </c>
      <c r="X2" s="207" t="s">
        <v>88</v>
      </c>
      <c r="Y2" s="207"/>
      <c r="Z2" s="331">
        <v>0</v>
      </c>
      <c r="AA2" s="331"/>
      <c r="AB2" s="22"/>
      <c r="AC2" s="199" t="s">
        <v>82</v>
      </c>
      <c r="AD2" s="219"/>
      <c r="AE2" s="332">
        <v>0</v>
      </c>
      <c r="AF2" s="332"/>
      <c r="AG2" s="142" t="s">
        <v>90</v>
      </c>
      <c r="AH2" s="333">
        <v>4</v>
      </c>
      <c r="AI2" s="333"/>
      <c r="AJ2" s="141"/>
      <c r="AK2" s="141"/>
      <c r="AL2" s="141"/>
      <c r="AM2" s="1"/>
      <c r="AN2" s="1"/>
      <c r="AO2" s="275"/>
      <c r="AP2" s="275"/>
      <c r="AQ2" s="275"/>
      <c r="AW2" s="24"/>
    </row>
    <row r="3" spans="1:58" ht="33" customHeight="1" x14ac:dyDescent="0.3">
      <c r="A3" s="33" t="str">
        <f>'SO멍텅(실측)'!A3</f>
        <v>현장명 : 서울 강남 기독교성결회관,   (재질) : HL 1.2T</v>
      </c>
      <c r="B3" s="2"/>
      <c r="C3" s="2"/>
      <c r="D3" s="2"/>
      <c r="E3" s="2"/>
      <c r="F3" s="2"/>
      <c r="G3" s="2"/>
      <c r="H3" s="155"/>
      <c r="I3" s="219" t="s">
        <v>76</v>
      </c>
      <c r="J3" s="219"/>
      <c r="K3" s="209">
        <v>5</v>
      </c>
      <c r="L3" s="209"/>
      <c r="M3" s="209"/>
      <c r="N3" s="209"/>
      <c r="O3" s="219" t="s">
        <v>77</v>
      </c>
      <c r="P3" s="219"/>
      <c r="Q3" s="226">
        <v>0</v>
      </c>
      <c r="R3" s="226"/>
      <c r="S3" s="207" t="s">
        <v>227</v>
      </c>
      <c r="T3" s="207"/>
      <c r="U3" s="207"/>
      <c r="V3" s="337">
        <f>BE7</f>
        <v>1</v>
      </c>
      <c r="W3" s="337"/>
      <c r="X3" s="207" t="s">
        <v>78</v>
      </c>
      <c r="Y3" s="207"/>
      <c r="Z3" s="328">
        <v>0</v>
      </c>
      <c r="AA3" s="328"/>
      <c r="AB3" s="64"/>
      <c r="AC3" s="156"/>
      <c r="AD3" s="156"/>
      <c r="AE3" s="335" t="s">
        <v>73</v>
      </c>
      <c r="AF3" s="335"/>
      <c r="AG3" s="157">
        <v>4</v>
      </c>
      <c r="AH3" s="142" t="s">
        <v>74</v>
      </c>
      <c r="AI3" s="157">
        <v>4</v>
      </c>
      <c r="AJ3" s="253" t="s">
        <v>328</v>
      </c>
      <c r="AK3" s="254"/>
      <c r="AL3" s="201"/>
      <c r="AM3" s="340">
        <f>AR7</f>
        <v>75.963756532073532</v>
      </c>
      <c r="AN3" s="173"/>
      <c r="AO3" s="25"/>
      <c r="AP3" s="25"/>
      <c r="AQ3" s="24"/>
      <c r="AW3" s="24"/>
    </row>
    <row r="4" spans="1:58" ht="33" customHeight="1" x14ac:dyDescent="0.3">
      <c r="A4" s="174" t="str">
        <f>'SO멍텅(실측)'!A4:AA4</f>
        <v>제작치수 반영 : JB/JD +(5 ),  늘어난치수K -(4),  C + (0),  U +(0), OP1/OP2 - (4), R - (0),  기둥차감 - (0),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338" t="s">
        <v>314</v>
      </c>
      <c r="AD4" s="338"/>
      <c r="AE4" s="339">
        <f>'SO멍텅(실측)'!W7</f>
        <v>0</v>
      </c>
      <c r="AF4" s="339"/>
      <c r="AG4" s="158"/>
      <c r="AH4" s="336">
        <f ca="1">TODAY()</f>
        <v>45274</v>
      </c>
      <c r="AI4" s="195"/>
      <c r="AJ4" s="195" t="s">
        <v>235</v>
      </c>
      <c r="AK4" s="195"/>
      <c r="AL4" s="196"/>
      <c r="AM4" s="164" t="s">
        <v>215</v>
      </c>
      <c r="AN4" s="164"/>
      <c r="AO4" s="25"/>
      <c r="AP4" s="25"/>
      <c r="AQ4" s="24"/>
      <c r="AW4" s="24"/>
      <c r="BE4" s="180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6" t="s">
        <v>60</v>
      </c>
      <c r="I5" s="266" t="s">
        <v>64</v>
      </c>
      <c r="J5" s="341" t="s">
        <v>65</v>
      </c>
      <c r="K5" s="341" t="s">
        <v>66</v>
      </c>
      <c r="L5" s="318" t="s">
        <v>240</v>
      </c>
      <c r="M5" s="320" t="s">
        <v>241</v>
      </c>
      <c r="N5" s="239" t="s">
        <v>62</v>
      </c>
      <c r="O5" s="239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62" t="s">
        <v>20</v>
      </c>
      <c r="Z5" s="239" t="s">
        <v>22</v>
      </c>
      <c r="AA5" s="305" t="s">
        <v>242</v>
      </c>
      <c r="AB5" s="306" t="s">
        <v>238</v>
      </c>
      <c r="AC5" s="241" t="s">
        <v>21</v>
      </c>
      <c r="AD5" s="242"/>
      <c r="AE5" s="242"/>
      <c r="AF5" s="243"/>
      <c r="AG5" s="168" t="s">
        <v>25</v>
      </c>
      <c r="AH5" s="264" t="s">
        <v>34</v>
      </c>
      <c r="AI5" s="168" t="s">
        <v>35</v>
      </c>
      <c r="AJ5" s="324" t="s">
        <v>203</v>
      </c>
      <c r="AK5" s="324"/>
      <c r="AL5" s="324"/>
      <c r="AM5" s="171" t="s">
        <v>212</v>
      </c>
      <c r="AN5" s="172"/>
      <c r="AO5" s="180" t="s">
        <v>305</v>
      </c>
      <c r="AP5" s="180" t="s">
        <v>306</v>
      </c>
      <c r="AQ5" s="263" t="s">
        <v>51</v>
      </c>
      <c r="AY5" s="181" t="s">
        <v>28</v>
      </c>
      <c r="AZ5" s="181"/>
      <c r="BA5" s="181" t="s">
        <v>29</v>
      </c>
      <c r="BB5" s="181"/>
      <c r="BE5" s="181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67"/>
      <c r="I6" s="267"/>
      <c r="J6" s="342"/>
      <c r="K6" s="342"/>
      <c r="L6" s="319"/>
      <c r="M6" s="321"/>
      <c r="N6" s="240"/>
      <c r="O6" s="240"/>
      <c r="P6" s="167"/>
      <c r="Q6" s="167"/>
      <c r="R6" s="167"/>
      <c r="S6" s="167"/>
      <c r="T6" s="167"/>
      <c r="U6" s="167"/>
      <c r="V6" s="167"/>
      <c r="W6" s="167"/>
      <c r="X6" s="167"/>
      <c r="Y6" s="262"/>
      <c r="Z6" s="240"/>
      <c r="AA6" s="305"/>
      <c r="AB6" s="306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65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1"/>
      <c r="AP6" s="181"/>
      <c r="AQ6" s="263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-4</v>
      </c>
      <c r="D7" s="4">
        <f>'SO멍텅(실측)'!D7-SO멍텅OP</f>
        <v>-4</v>
      </c>
      <c r="E7" s="4">
        <f>'SO멍텅(실측)'!E7-SO멍텅R</f>
        <v>0</v>
      </c>
      <c r="F7" s="4">
        <f>'SO멍텅(실측)'!F7+MAX(AO7,AP7)+IF(BE7=1,AC7,0)+SO멍텅JBJD늘림치수</f>
        <v>1</v>
      </c>
      <c r="G7" s="4">
        <f>'SO멍텅(실측)'!G7+MAX(AO7,AP7)+IF(BE7=1,AE7,0)+SO멍텅JBJD늘림치수</f>
        <v>1</v>
      </c>
      <c r="H7" s="4">
        <f>'SO멍텅(실측)'!H7+AO7+IF(BE7=1,AC7,0)+SO멍텅JB강제키움+SO멍텅JBJD늘림치수</f>
        <v>1</v>
      </c>
      <c r="I7" s="4">
        <f>'SO멍텅(실측)'!H7+AO7+IF(BE7=1,AD7,0)+SO멍텅JB강제키움+SO멍텅JBJD늘림치수-IF(SO멍텅JB하부늘치=1,'SO멍텅(실측)'!W7-'SO멍텅(실측)'!X7,0)</f>
        <v>1</v>
      </c>
      <c r="J7" s="4">
        <f>'SO멍텅(실측)'!I7+AP7+IF(BE7=1,AE7,0)+SO멍텅JB강제키움+SO멍텅JBJD늘림치수</f>
        <v>1</v>
      </c>
      <c r="K7" s="4">
        <f>'SO멍텅(실측)'!I7+AP7+IF(BE7=1,AF7,0)+SO멍텅JB강제키움+SO멍텅JBJD늘림치수-IF(SO멍텅JB하부늘치=1,'SO멍텅(실측)'!Y7-'SO멍텅(실측)'!Z7,0)</f>
        <v>1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-4</v>
      </c>
      <c r="AD7" s="13">
        <f>IF(SO멍텅JB하부늘치=1,AC7,'SO멍텅(실측)'!X7-SO멍텅늘치차감)</f>
        <v>-4</v>
      </c>
      <c r="AE7" s="13">
        <f>'SO멍텅(실측)'!Y7-SO멍텅늘치차감</f>
        <v>-4</v>
      </c>
      <c r="AF7" s="13">
        <f>IF(SO멍텅JB하부늘치=1,AE7,'SO멍텅(실측)'!Z7-SO멍텅늘치차감)</f>
        <v>-4</v>
      </c>
      <c r="AG7" s="11" t="str">
        <f t="shared" ref="AG7" si="1">AW7&amp;"*"&amp;AX7</f>
        <v>0*-2.6</v>
      </c>
      <c r="AH7" s="12" t="str">
        <f t="shared" ref="AH7" si="2">AZ7&amp;"*"&amp;AY7</f>
        <v>0*-1.6</v>
      </c>
      <c r="AI7" s="10" t="str">
        <f t="shared" ref="AI7" si="3">BB7&amp;"*"&amp;BA7</f>
        <v>0*-1.6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75.963756532073532</v>
      </c>
      <c r="AS7" s="17">
        <f>DEGREES(ATAN((E7-(C7+D7))/2/(G7)))</f>
        <v>75.963756532073532</v>
      </c>
      <c r="AT7" s="36">
        <f>ABS(F7-COS(RADIANS(AR7))*H7)</f>
        <v>0.75746437496366714</v>
      </c>
      <c r="AU7" s="36">
        <f>G7-COS(RADIANS(AS7))*J7</f>
        <v>0.75746437496366714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-2.5999999999999996</v>
      </c>
      <c r="AY7" s="3">
        <f>R7+P7+MAX(H7,I7)+AA7-1.2*$AI$3+IF(BE7=0,MAX(AC7,AD7))+IF(R7=0,1.2,0)-IF(AL7=90,2.4,0)</f>
        <v>-1.5999999999999999</v>
      </c>
      <c r="AZ7" s="3">
        <f t="shared" ref="AZ7" si="5">MAX(T7,U7)</f>
        <v>0</v>
      </c>
      <c r="BA7" s="3">
        <f>S7+Q7+MAX(J7,K7)+AB7-1.2*$AI$3+IF(BE7=0,MAX(AE7,AF7))+IF(S7=0,1.2,0)-IF(AL7=90,2.4,0)</f>
        <v>-1.5999999999999999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7" t="str">
        <f>정보!H2</f>
        <v>(4CO와이드) 실측서 ( 서울 강남 기독교성결회관 ) _조장우소장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7"/>
      <c r="AC2" s="177"/>
      <c r="AD2" s="177"/>
      <c r="AE2" s="177"/>
      <c r="AF2" s="177"/>
      <c r="AG2" s="177"/>
      <c r="AH2" s="177"/>
      <c r="AI2" s="177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5" t="s">
        <v>98</v>
      </c>
      <c r="P3" s="165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7"/>
      <c r="AC3" s="177"/>
      <c r="AD3" s="177"/>
      <c r="AE3" s="177"/>
      <c r="AF3" s="177"/>
      <c r="AG3" s="177"/>
      <c r="AH3" s="177"/>
      <c r="AI3" s="177"/>
      <c r="AJ3" s="34"/>
      <c r="AK3" s="34"/>
      <c r="AL3" s="34"/>
      <c r="AM3" s="34"/>
    </row>
    <row r="4" spans="1:48" ht="33" customHeight="1" x14ac:dyDescent="0.3">
      <c r="A4" s="307" t="str">
        <f>정보!B15</f>
        <v>제작치수 반영 : MH + (2), JB/JD +(5 ),  늘어난치수K -(4),  C + (0),   U + (0), OP1/OP3 - (2), R - (0),  기둥차감 - (0), A + (0)</v>
      </c>
      <c r="B4" s="307"/>
      <c r="C4" s="307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7"/>
      <c r="R4" s="307"/>
      <c r="S4" s="307"/>
      <c r="T4" s="307"/>
      <c r="U4" s="307"/>
      <c r="V4" s="307"/>
      <c r="W4" s="307"/>
      <c r="X4" s="173"/>
      <c r="Y4" s="173"/>
      <c r="Z4" s="173"/>
      <c r="AA4" s="173"/>
      <c r="AB4" s="173"/>
      <c r="AC4" s="173"/>
      <c r="AD4" s="173"/>
      <c r="AE4" s="173"/>
      <c r="AF4" s="173"/>
      <c r="AG4" s="175"/>
      <c r="AH4" s="164" t="s">
        <v>215</v>
      </c>
      <c r="AI4" s="164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31" t="str">
        <f>정보!I2</f>
        <v>(4CO와이드) 제작변환 ( 서울 강남 기독교성결회관 ) _조장우소장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1"/>
      <c r="AS1" s="231"/>
      <c r="AT1" s="231"/>
      <c r="AU1" s="231"/>
      <c r="AV1" s="231"/>
      <c r="AW1" s="231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06" t="s">
        <v>113</v>
      </c>
      <c r="M2" s="207"/>
      <c r="N2" s="207"/>
      <c r="O2" s="207"/>
      <c r="P2" s="207"/>
      <c r="Q2" s="207"/>
      <c r="R2" s="208">
        <v>1</v>
      </c>
      <c r="S2" s="208"/>
      <c r="T2" s="199" t="s">
        <v>89</v>
      </c>
      <c r="U2" s="219"/>
      <c r="V2" s="220">
        <v>0</v>
      </c>
      <c r="W2" s="220"/>
      <c r="X2" s="285" t="s">
        <v>83</v>
      </c>
      <c r="Y2" s="227"/>
      <c r="Z2" s="227"/>
      <c r="AA2" s="223">
        <v>0</v>
      </c>
      <c r="AB2" s="223"/>
      <c r="AC2" s="314" t="str">
        <f>정보!B5</f>
        <v>TKEK HD S20D-OR</v>
      </c>
      <c r="AD2" s="315"/>
      <c r="AE2" s="315"/>
      <c r="AF2" s="315"/>
      <c r="AG2" s="315"/>
      <c r="AH2" s="315"/>
      <c r="AI2" s="315"/>
      <c r="AJ2" s="315"/>
      <c r="AK2" s="315"/>
      <c r="AL2" s="316"/>
      <c r="AM2" s="199" t="s">
        <v>90</v>
      </c>
      <c r="AN2" s="219"/>
      <c r="AO2" s="345">
        <v>4</v>
      </c>
      <c r="AP2" s="345"/>
      <c r="AQ2" s="1"/>
      <c r="AR2" s="311" t="s">
        <v>229</v>
      </c>
      <c r="AS2" s="312"/>
      <c r="AT2" s="313">
        <v>0</v>
      </c>
      <c r="AU2" s="313"/>
      <c r="AV2" s="1"/>
      <c r="AW2" s="1"/>
    </row>
    <row r="3" spans="1:66" ht="24.75" customHeight="1" x14ac:dyDescent="0.3">
      <c r="A3" s="28" t="str">
        <f>'4CO와이드(실측)'!A3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7" t="s">
        <v>228</v>
      </c>
      <c r="M3" s="207"/>
      <c r="N3" s="207"/>
      <c r="O3" s="207"/>
      <c r="P3" s="207"/>
      <c r="Q3" s="207"/>
      <c r="R3" s="209">
        <v>5</v>
      </c>
      <c r="S3" s="209"/>
      <c r="T3" s="219" t="s">
        <v>77</v>
      </c>
      <c r="U3" s="219"/>
      <c r="V3" s="226">
        <v>0</v>
      </c>
      <c r="W3" s="226"/>
      <c r="X3" s="227" t="s">
        <v>227</v>
      </c>
      <c r="Y3" s="227"/>
      <c r="Z3" s="227"/>
      <c r="AA3" s="228">
        <f>BN7</f>
        <v>1</v>
      </c>
      <c r="AB3" s="228"/>
      <c r="AC3" s="227" t="s">
        <v>78</v>
      </c>
      <c r="AD3" s="227"/>
      <c r="AE3" s="317">
        <v>0</v>
      </c>
      <c r="AF3" s="317"/>
      <c r="AJ3" s="181"/>
      <c r="AK3" s="181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191" t="s">
        <v>230</v>
      </c>
      <c r="AS3" s="191"/>
      <c r="AT3" s="344" t="s">
        <v>329</v>
      </c>
      <c r="AU3" s="344"/>
      <c r="AV3" s="197">
        <f>AZ7</f>
        <v>45</v>
      </c>
      <c r="AW3" s="198"/>
      <c r="BN3" s="180" t="s">
        <v>253</v>
      </c>
    </row>
    <row r="4" spans="1:66" ht="33" customHeight="1" x14ac:dyDescent="0.3">
      <c r="A4" s="174" t="str">
        <f>정보!B15</f>
        <v>제작치수 반영 : MH + (2), JB/JD +(5 ),  늘어난치수K -(4),  C + (0),   U + (0), OP1/OP3 - (2), R - (0),  기둥차감 - (0),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343" t="s">
        <v>315</v>
      </c>
      <c r="AI4" s="343"/>
      <c r="AJ4" s="343">
        <f>'4CO와이드(실측)'!AB7</f>
        <v>0</v>
      </c>
      <c r="AK4" s="343"/>
      <c r="AL4" s="187">
        <f ca="1">TODAY()</f>
        <v>45274</v>
      </c>
      <c r="AM4" s="173"/>
      <c r="AN4" s="173"/>
      <c r="AO4" s="9"/>
      <c r="AP4" s="186" t="s">
        <v>117</v>
      </c>
      <c r="AQ4" s="186"/>
      <c r="AR4" s="164" t="s">
        <v>215</v>
      </c>
      <c r="AS4" s="164"/>
      <c r="AT4" s="84"/>
      <c r="AU4" s="195" t="s">
        <v>235</v>
      </c>
      <c r="AV4" s="195"/>
      <c r="AW4" s="196"/>
      <c r="BN4" s="181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14" t="s">
        <v>41</v>
      </c>
      <c r="J5" s="267" t="s">
        <v>42</v>
      </c>
      <c r="K5" s="267" t="s">
        <v>262</v>
      </c>
      <c r="L5" s="211" t="s">
        <v>105</v>
      </c>
      <c r="M5" s="211" t="s">
        <v>106</v>
      </c>
      <c r="N5" s="184" t="s">
        <v>107</v>
      </c>
      <c r="O5" s="184" t="s">
        <v>108</v>
      </c>
      <c r="P5" s="318" t="s">
        <v>296</v>
      </c>
      <c r="Q5" s="318" t="s">
        <v>297</v>
      </c>
      <c r="R5" s="215" t="s">
        <v>71</v>
      </c>
      <c r="S5" s="215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13" t="s">
        <v>14</v>
      </c>
      <c r="AA5" s="213" t="s">
        <v>15</v>
      </c>
      <c r="AB5" s="214" t="s">
        <v>16</v>
      </c>
      <c r="AC5" s="214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224" t="s">
        <v>79</v>
      </c>
      <c r="AI5" s="225"/>
      <c r="AJ5" s="225"/>
      <c r="AK5" s="225"/>
      <c r="AL5" s="217" t="s">
        <v>91</v>
      </c>
      <c r="AM5" s="217" t="s">
        <v>92</v>
      </c>
      <c r="AN5" s="232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24" t="s">
        <v>199</v>
      </c>
      <c r="AU5" s="324" t="s">
        <v>204</v>
      </c>
      <c r="AV5" s="324"/>
      <c r="AW5" s="324"/>
      <c r="AX5" s="180" t="s">
        <v>100</v>
      </c>
      <c r="AY5" s="180" t="s">
        <v>101</v>
      </c>
      <c r="AZ5" s="181" t="s">
        <v>80</v>
      </c>
      <c r="BA5" s="234" t="s">
        <v>84</v>
      </c>
      <c r="BB5" s="237" t="s">
        <v>102</v>
      </c>
      <c r="BC5" s="236" t="s">
        <v>94</v>
      </c>
      <c r="BD5" s="236" t="s">
        <v>95</v>
      </c>
      <c r="BE5" s="180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179" t="s">
        <v>104</v>
      </c>
      <c r="BN5" s="178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14"/>
      <c r="J6" s="267"/>
      <c r="K6" s="267"/>
      <c r="L6" s="212"/>
      <c r="M6" s="212"/>
      <c r="N6" s="185"/>
      <c r="O6" s="185"/>
      <c r="P6" s="319"/>
      <c r="Q6" s="319"/>
      <c r="R6" s="216"/>
      <c r="S6" s="216"/>
      <c r="T6" s="167"/>
      <c r="U6" s="167"/>
      <c r="V6" s="167"/>
      <c r="W6" s="167"/>
      <c r="X6" s="167"/>
      <c r="Y6" s="167"/>
      <c r="Z6" s="213"/>
      <c r="AA6" s="213"/>
      <c r="AB6" s="214"/>
      <c r="AC6" s="214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218"/>
      <c r="AM6" s="218"/>
      <c r="AN6" s="233"/>
      <c r="AO6" s="168"/>
      <c r="AP6" s="167"/>
      <c r="AQ6" s="167"/>
      <c r="AR6" s="74" t="s">
        <v>213</v>
      </c>
      <c r="AS6" s="74" t="s">
        <v>214</v>
      </c>
      <c r="AT6" s="325"/>
      <c r="AU6" s="86" t="s">
        <v>200</v>
      </c>
      <c r="AV6" s="86" t="s">
        <v>201</v>
      </c>
      <c r="AW6" s="86" t="s">
        <v>202</v>
      </c>
      <c r="AX6" s="181"/>
      <c r="AY6" s="181"/>
      <c r="AZ6" s="181"/>
      <c r="BA6" s="235"/>
      <c r="BB6" s="238"/>
      <c r="BC6" s="236"/>
      <c r="BD6" s="236"/>
      <c r="BE6" s="181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9"/>
      <c r="BN6" s="178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1</v>
      </c>
      <c r="J7" s="50">
        <f>'4CO와이드(실측)'!J7+CO4와이드JBJD키움치수+IF(BN7=1,MAX(AH7,AJ7),0)</f>
        <v>1</v>
      </c>
      <c r="K7" s="50">
        <f>'4CO와이드(실측)'!K7+CO4와이드JBJD키움치수+IF(BN7=1,AJ7,0)</f>
        <v>1</v>
      </c>
      <c r="L7" s="50">
        <f>'4CO와이드(실측)'!L7+MAX(AX7,AY7)+CO4와이드JBJD키움치수+IF(BN7=1,AH7,0)</f>
        <v>1</v>
      </c>
      <c r="M7" s="50">
        <f>'4CO와이드(실측)'!L7+MAX(AX7,AY7)+CO4와이드JBJD키움치수+IF(BN7=1,AI7,0)-IF(CO4와이드JB하부늘치=1,'4CO와이드(실측)'!AB7-'4CO와이드(실측)'!AC7,0)</f>
        <v>1</v>
      </c>
      <c r="N7" s="50">
        <f>'4CO와이드(실측)'!M7+MAX(AX7,AY7)+CO4와이드JBJD키움치수+IF(BN7=1,AJ7,0)</f>
        <v>1</v>
      </c>
      <c r="O7" s="50">
        <f>'4CO와이드(실측)'!M7+MAX(AX7,AY7)+CO4와이드JBJD키움치수+IF(BN7=1,AK7,0)-IF(CO4와이드JB하부늘치=1,'4CO와이드(실측)'!AD7-'4CO와이드(실측)'!AE7,0)</f>
        <v>1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0.30000000000000004</v>
      </c>
      <c r="W7" s="137">
        <f>ROUNDUP(BB7,1)</f>
        <v>0.30000000000000004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-4</v>
      </c>
      <c r="AI7" s="31">
        <f>IF(CO4와이드JB하부늘치=1,AH7,'4CO와이드(실측)'!AC7-CO4와이드늘치)</f>
        <v>-4</v>
      </c>
      <c r="AJ7" s="31">
        <f>'4CO와이드(실측)'!AD7-CO4와이드늘치</f>
        <v>-4</v>
      </c>
      <c r="AK7" s="31">
        <f>IF(CO4와이드JB하부늘치=1,AJ7,'4CO와이드(실측)'!AE7-CO4와이드늘치)</f>
        <v>-4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0*-0.6</v>
      </c>
      <c r="AP7" s="31" t="str">
        <f t="shared" ref="AP7" si="2">BI7&amp;"*"&amp;BH7</f>
        <v>0.8*-1.4</v>
      </c>
      <c r="AQ7" s="31" t="str">
        <f t="shared" ref="AQ7" si="3">BK7&amp;"*"&amp;BJ7</f>
        <v>0.8*-1.4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45</v>
      </c>
      <c r="BA7" s="21">
        <f>ABS(I7-COS(RADIANS(AZ7))*L7)</f>
        <v>0.29289321881345243</v>
      </c>
      <c r="BB7" s="21">
        <f>ABS(K7-COS(RADIANS(AZ7))*N7)</f>
        <v>0.29289321881345243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0.29289321881345243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-0.60000000000000009</v>
      </c>
      <c r="BH7" s="41">
        <f>X7+T7+MAX(L7,M7)+AG7-1.2*$AQ$3+IF(BN7=0,MAX(AI7,AH7),0)+IF(X7=0,1.2,0)-IF(AW7=90,2.4,0)</f>
        <v>-1.3999999999999997</v>
      </c>
      <c r="BI7" s="41">
        <f>MAX(Z7,AA7)+AL7</f>
        <v>0.8</v>
      </c>
      <c r="BJ7" s="41">
        <f>Y7+U7+MAX(N7,O7)+AG7-1.2*$AQ$3+IF(BN7=0,MAX(AJ7,AK7),0)+IF(Y7=0,1.2,0)-IF(AW7=90,2.4,0)</f>
        <v>-1.3999999999999997</v>
      </c>
      <c r="BK7" s="41">
        <f>MAX(AB7,AC7)+AM7</f>
        <v>0.8</v>
      </c>
      <c r="BL7" s="6">
        <f>L7-I7-V7</f>
        <v>-0.30000000000000004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6" t="str">
        <f>정보!H3</f>
        <v>(4CO멍텅구리) 실측서 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50"/>
      <c r="K3" s="250"/>
      <c r="L3" s="247"/>
      <c r="M3" s="247"/>
      <c r="N3" s="248"/>
      <c r="O3" s="248"/>
      <c r="P3" s="249"/>
      <c r="Q3" s="249"/>
      <c r="R3" s="249"/>
      <c r="S3" s="244" t="s">
        <v>97</v>
      </c>
      <c r="T3" s="244"/>
      <c r="U3" s="245"/>
      <c r="V3" s="245"/>
      <c r="W3" s="246"/>
      <c r="X3" s="246"/>
    </row>
    <row r="4" spans="1:42" ht="33" customHeight="1" x14ac:dyDescent="0.3">
      <c r="A4" s="174" t="str">
        <f>정보!B16</f>
        <v>제작치수 반영 : JB/JD +(5 ),  늘어난치수K -(4),  C + (0),  U +(0), OP1/OP3 - (2), R - (0),  기둥차감 - (0),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9"/>
      <c r="AD4" s="9"/>
      <c r="AE4" s="164" t="s">
        <v>215</v>
      </c>
      <c r="AF4" s="164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9" t="s">
        <v>22</v>
      </c>
      <c r="W5" s="239" t="s">
        <v>23</v>
      </c>
      <c r="X5" s="241" t="s">
        <v>21</v>
      </c>
      <c r="Y5" s="242"/>
      <c r="Z5" s="242"/>
      <c r="AA5" s="243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40"/>
      <c r="W6" s="240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6" t="str">
        <f>정보!I3</f>
        <v>(4CO멍텅구리) 제작변환 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"/>
      <c r="AO1" s="1"/>
      <c r="AP1" s="275" t="s">
        <v>75</v>
      </c>
      <c r="AQ1" s="275"/>
      <c r="AR1" s="275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02" t="s">
        <v>307</v>
      </c>
      <c r="K2" s="202"/>
      <c r="L2" s="202"/>
      <c r="M2" s="107">
        <v>0</v>
      </c>
      <c r="N2" s="99"/>
      <c r="O2" s="99"/>
      <c r="P2" s="99"/>
      <c r="Q2" s="273" t="s">
        <v>113</v>
      </c>
      <c r="R2" s="273"/>
      <c r="S2" s="273"/>
      <c r="T2" s="273"/>
      <c r="U2" s="283">
        <v>1</v>
      </c>
      <c r="V2" s="283"/>
      <c r="W2" s="269" t="s">
        <v>103</v>
      </c>
      <c r="X2" s="270"/>
      <c r="Y2" s="95">
        <v>0</v>
      </c>
      <c r="Z2" s="269" t="s">
        <v>88</v>
      </c>
      <c r="AA2" s="270"/>
      <c r="AB2" s="94">
        <v>0</v>
      </c>
      <c r="AC2" s="69"/>
      <c r="AD2" s="260" t="s">
        <v>82</v>
      </c>
      <c r="AE2" s="277"/>
      <c r="AF2" s="346">
        <v>0</v>
      </c>
      <c r="AG2" s="346"/>
      <c r="AH2" s="98" t="s">
        <v>114</v>
      </c>
      <c r="AI2" s="347">
        <v>4</v>
      </c>
      <c r="AJ2" s="347"/>
      <c r="AK2" s="1"/>
      <c r="AL2" s="1"/>
      <c r="AM2" s="1"/>
      <c r="AN2" s="1"/>
      <c r="AO2" s="1"/>
      <c r="AP2" s="275"/>
      <c r="AQ2" s="275"/>
      <c r="AR2" s="275"/>
      <c r="AW2" s="24"/>
    </row>
    <row r="3" spans="1:58" ht="33" customHeight="1" x14ac:dyDescent="0.3">
      <c r="A3" s="33" t="str">
        <f>'4CO멍텅(실측)'!A3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"/>
      <c r="K3" s="260" t="s">
        <v>76</v>
      </c>
      <c r="L3" s="260"/>
      <c r="M3" s="106">
        <v>5</v>
      </c>
      <c r="N3" s="100"/>
      <c r="O3" s="100"/>
      <c r="P3" s="100"/>
      <c r="Q3" s="260" t="s">
        <v>77</v>
      </c>
      <c r="R3" s="260"/>
      <c r="S3" s="272">
        <v>0</v>
      </c>
      <c r="T3" s="272"/>
      <c r="U3" s="273" t="s">
        <v>227</v>
      </c>
      <c r="V3" s="273"/>
      <c r="W3" s="273"/>
      <c r="X3" s="274">
        <f>BE7</f>
        <v>1</v>
      </c>
      <c r="Y3" s="274"/>
      <c r="Z3" s="284" t="s">
        <v>78</v>
      </c>
      <c r="AA3" s="284"/>
      <c r="AB3" s="93">
        <v>0</v>
      </c>
      <c r="AC3" s="101"/>
      <c r="AF3" s="215" t="s">
        <v>73</v>
      </c>
      <c r="AG3" s="215"/>
      <c r="AH3" s="114">
        <v>4</v>
      </c>
      <c r="AI3" s="4" t="s">
        <v>74</v>
      </c>
      <c r="AJ3" s="115">
        <v>4</v>
      </c>
      <c r="AK3" s="253" t="s">
        <v>330</v>
      </c>
      <c r="AL3" s="201"/>
      <c r="AM3" s="159">
        <f>AS7</f>
        <v>45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4" t="str">
        <f>'4CO멍텅(실측)'!A4:AB4</f>
        <v>제작치수 반영 : JB/JD +(5 ),  늘어난치수K -(4),  C + (0),  U +(0), OP1/OP3 - (2), R - (0),  기둥차감 - (0),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343" t="s">
        <v>313</v>
      </c>
      <c r="AE4" s="343"/>
      <c r="AF4" s="343">
        <f>'4CO멍텅(실측)'!X7</f>
        <v>0</v>
      </c>
      <c r="AG4" s="343"/>
      <c r="AH4" s="9"/>
      <c r="AI4" s="187">
        <f ca="1">TODAY()</f>
        <v>45274</v>
      </c>
      <c r="AJ4" s="173"/>
      <c r="AK4" s="251" t="s">
        <v>235</v>
      </c>
      <c r="AL4" s="251"/>
      <c r="AM4" s="252"/>
      <c r="AN4" s="164" t="s">
        <v>215</v>
      </c>
      <c r="AO4" s="164"/>
      <c r="AP4" s="25"/>
      <c r="AQ4" s="25"/>
      <c r="AR4" s="24"/>
      <c r="AW4" s="24"/>
      <c r="BE4" s="180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6" t="s">
        <v>60</v>
      </c>
      <c r="K5" s="266" t="s">
        <v>64</v>
      </c>
      <c r="L5" s="341" t="s">
        <v>65</v>
      </c>
      <c r="M5" s="341" t="s">
        <v>66</v>
      </c>
      <c r="N5" s="318" t="s">
        <v>294</v>
      </c>
      <c r="O5" s="318" t="s">
        <v>295</v>
      </c>
      <c r="P5" s="239" t="s">
        <v>62</v>
      </c>
      <c r="Q5" s="239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9" t="s">
        <v>22</v>
      </c>
      <c r="AC5" s="239" t="s">
        <v>23</v>
      </c>
      <c r="AD5" s="241" t="s">
        <v>21</v>
      </c>
      <c r="AE5" s="242"/>
      <c r="AF5" s="242"/>
      <c r="AG5" s="243"/>
      <c r="AH5" s="168" t="s">
        <v>25</v>
      </c>
      <c r="AI5" s="264" t="s">
        <v>34</v>
      </c>
      <c r="AJ5" s="168" t="s">
        <v>35</v>
      </c>
      <c r="AK5" s="324" t="s">
        <v>203</v>
      </c>
      <c r="AL5" s="324"/>
      <c r="AM5" s="324"/>
      <c r="AN5" s="171" t="s">
        <v>212</v>
      </c>
      <c r="AO5" s="172"/>
      <c r="AP5" s="180" t="s">
        <v>305</v>
      </c>
      <c r="AQ5" s="180" t="s">
        <v>306</v>
      </c>
      <c r="AR5" s="263" t="s">
        <v>51</v>
      </c>
      <c r="AY5" s="181" t="s">
        <v>28</v>
      </c>
      <c r="AZ5" s="181"/>
      <c r="BA5" s="181" t="s">
        <v>29</v>
      </c>
      <c r="BB5" s="181"/>
      <c r="BE5" s="181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67"/>
      <c r="K6" s="267"/>
      <c r="L6" s="342"/>
      <c r="M6" s="342"/>
      <c r="N6" s="319"/>
      <c r="O6" s="319"/>
      <c r="P6" s="240"/>
      <c r="Q6" s="240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40"/>
      <c r="AC6" s="240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65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1"/>
      <c r="AQ6" s="181"/>
      <c r="AR6" s="263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1</v>
      </c>
      <c r="H7" s="4">
        <f>'4CO멍텅(실측)'!H7+MAX(AP7,AQ7)+IF(BE7=1,MAX(AD7,AF7),0)+CO4멍텅JBJD늘림치수</f>
        <v>1</v>
      </c>
      <c r="I7" s="4">
        <f>'4CO멍텅(실측)'!I7+MAX(AP7,AQ7)+IF(BE7=1,AF7,0)+CO4멍텅JBJD늘림치수</f>
        <v>1</v>
      </c>
      <c r="J7" s="4">
        <f>'4CO멍텅(실측)'!J7+AP7+IF(BE7=1,AD7,0)+CO4멍텅JB강제키움+CO4멍텅JBJD늘림치수</f>
        <v>1</v>
      </c>
      <c r="K7" s="4">
        <f>'4CO멍텅(실측)'!J7+AP7+IF(BE7=1,AE7,0)+CO4멍텅JB강제키움+CO4멍텅JBJD늘림치수-IF(CO4멍텅JB하부늘치=1,'4CO멍텅(실측)'!X7-'4CO멍텅(실측)'!Y7,0)</f>
        <v>1</v>
      </c>
      <c r="L7" s="4">
        <f>'4CO멍텅(실측)'!K7+AQ7+IF(BE7=1,AF7,0)+CO4멍텅JB강제키움+CO4멍텅JBJD늘림치수</f>
        <v>1</v>
      </c>
      <c r="M7" s="4">
        <f>'4CO멍텅(실측)'!K7+AQ7+IF(BE7=1,AG7,0)+CO4멍텅JB강제키움+CO4멍텅JBJD늘림치수-IF(CO4멍텅JB하부늘치=1,'4CO멍텅(실측)'!Z7-'4CO멍텅(실측)'!AA7,0)</f>
        <v>1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-4</v>
      </c>
      <c r="AE7" s="13">
        <f>IF(CO4멍텅JB하부늘치=1,AD7,'4CO멍텅(실측)'!Y7-CO4멍텅늘치차감)</f>
        <v>-4</v>
      </c>
      <c r="AF7" s="13">
        <f>'4CO멍텅(실측)'!Z7-CO4멍텅늘치차감</f>
        <v>-4</v>
      </c>
      <c r="AG7" s="13">
        <f>IF(CO4멍텅JB하부늘치=1,AF7,'4CO멍텅(실측)'!AA7-CO4멍텅늘치차감)</f>
        <v>-4</v>
      </c>
      <c r="AH7" s="11" t="str">
        <f t="shared" ref="AH7" si="1">AW7&amp;"*"&amp;AX7</f>
        <v>0*-2.6</v>
      </c>
      <c r="AI7" s="12" t="str">
        <f t="shared" ref="AI7" si="2">AZ7&amp;"*"&amp;AY7</f>
        <v>0*-1.6</v>
      </c>
      <c r="AJ7" s="10" t="str">
        <f t="shared" ref="AJ7" si="3">BB7&amp;"*"&amp;BA7</f>
        <v>0*-1.6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45</v>
      </c>
      <c r="AT7" s="36">
        <f t="shared" ref="AT7" si="4">G7-COS(RADIANS(AS7))*J7</f>
        <v>0.29289321881345243</v>
      </c>
      <c r="AU7" s="36">
        <f t="shared" ref="AU7" si="5">I7-COS(RADIANS(AS7))*L7</f>
        <v>0.29289321881345243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-2.5999999999999996</v>
      </c>
      <c r="AY7" s="3">
        <f>T7+R7+MAX(J7,K7)+AC7-1.2*$AJ$3+IF(BE7=0,MAX(AD7,AE7))+IF(T7=0,1.2,0)-IF(AM7=90,2.4,0)</f>
        <v>-1.5999999999999999</v>
      </c>
      <c r="AZ7" s="3">
        <f t="shared" ref="AZ7" si="7">MAX(V7,W7)</f>
        <v>0</v>
      </c>
      <c r="BA7" s="3">
        <f>U7+S7+MAX(L7,M7)+AC7-1.2*$AJ$3+IF(BE7=0,MAX(AF7,AG7))+IF(U7=0,1.2,0)-IF(AM7=90,2.4,0)</f>
        <v>-1.5999999999999999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6" t="str">
        <f>정보!K2</f>
        <v>(2UP) 실측서 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50"/>
      <c r="H3" s="250"/>
      <c r="I3" s="250"/>
      <c r="J3" s="23"/>
      <c r="K3" s="247"/>
      <c r="L3" s="247"/>
      <c r="M3" s="248"/>
      <c r="N3" s="248"/>
      <c r="O3" s="249"/>
      <c r="P3" s="249"/>
      <c r="Q3" s="249"/>
      <c r="R3" s="120"/>
      <c r="S3" s="244" t="s">
        <v>97</v>
      </c>
      <c r="T3" s="244"/>
      <c r="U3" s="244"/>
      <c r="V3" s="245"/>
      <c r="W3" s="245"/>
      <c r="X3" s="246"/>
      <c r="Y3" s="246"/>
    </row>
    <row r="4" spans="1:40" ht="33" customHeight="1" x14ac:dyDescent="0.3">
      <c r="A4" s="174" t="str">
        <f>정보!B17</f>
        <v>제작치수 반영 : JB/JD +(5 ),  늘어난치수K -(4),  C + (0),   U + (0), OP - (2), R - (0),  기둥차감 - (0),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64" t="s">
        <v>215</v>
      </c>
      <c r="AD4" s="164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6" t="s">
        <v>274</v>
      </c>
      <c r="H5" s="266" t="s">
        <v>275</v>
      </c>
      <c r="I5" s="341" t="s">
        <v>276</v>
      </c>
      <c r="J5" s="341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50" t="s">
        <v>14</v>
      </c>
      <c r="P5" s="348" t="s">
        <v>282</v>
      </c>
      <c r="Q5" s="348" t="s">
        <v>283</v>
      </c>
      <c r="R5" s="341" t="s">
        <v>129</v>
      </c>
      <c r="S5" s="341" t="s">
        <v>280</v>
      </c>
      <c r="T5" s="341" t="s">
        <v>281</v>
      </c>
      <c r="U5" s="167" t="s">
        <v>19</v>
      </c>
      <c r="V5" s="167" t="s">
        <v>20</v>
      </c>
      <c r="W5" s="239" t="s">
        <v>22</v>
      </c>
      <c r="X5" s="239" t="s">
        <v>23</v>
      </c>
      <c r="Y5" s="241" t="s">
        <v>21</v>
      </c>
      <c r="Z5" s="242"/>
      <c r="AA5" s="242"/>
      <c r="AB5" s="243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67"/>
      <c r="H6" s="267"/>
      <c r="I6" s="342"/>
      <c r="J6" s="342"/>
      <c r="K6" s="167"/>
      <c r="L6" s="167"/>
      <c r="M6" s="167"/>
      <c r="N6" s="167"/>
      <c r="O6" s="349"/>
      <c r="P6" s="349"/>
      <c r="Q6" s="349"/>
      <c r="R6" s="342"/>
      <c r="S6" s="342"/>
      <c r="T6" s="342"/>
      <c r="U6" s="167"/>
      <c r="V6" s="167"/>
      <c r="W6" s="240"/>
      <c r="X6" s="240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6" t="str">
        <f>정보!L2</f>
        <v>(2UP) 제작변환 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"/>
      <c r="AK1" s="1"/>
      <c r="AL1" s="275" t="s">
        <v>75</v>
      </c>
      <c r="AM1" s="275"/>
      <c r="AN1" s="275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02" t="s">
        <v>308</v>
      </c>
      <c r="H2" s="202"/>
      <c r="I2" s="202"/>
      <c r="J2" s="268">
        <v>0</v>
      </c>
      <c r="K2" s="268"/>
      <c r="L2" s="268"/>
      <c r="M2" s="268"/>
      <c r="N2" s="358" t="s">
        <v>113</v>
      </c>
      <c r="O2" s="358"/>
      <c r="P2" s="358"/>
      <c r="Q2" s="358"/>
      <c r="R2" s="283">
        <v>1</v>
      </c>
      <c r="S2" s="283"/>
      <c r="T2" s="359" t="s">
        <v>103</v>
      </c>
      <c r="U2" s="360"/>
      <c r="V2" s="361"/>
      <c r="W2" s="108">
        <v>0</v>
      </c>
      <c r="X2" s="121"/>
      <c r="Y2" s="269" t="s">
        <v>88</v>
      </c>
      <c r="Z2" s="270"/>
      <c r="AA2" s="280">
        <v>0</v>
      </c>
      <c r="AB2" s="280"/>
      <c r="AC2" s="260" t="s">
        <v>82</v>
      </c>
      <c r="AD2" s="277"/>
      <c r="AE2" s="278">
        <v>0</v>
      </c>
      <c r="AF2" s="278"/>
      <c r="AG2" s="98" t="s">
        <v>114</v>
      </c>
      <c r="AH2" s="276">
        <v>4</v>
      </c>
      <c r="AI2" s="276"/>
      <c r="AJ2" s="1"/>
      <c r="AK2" s="1"/>
      <c r="AL2" s="275"/>
      <c r="AM2" s="275"/>
      <c r="AN2" s="275"/>
      <c r="AS2" s="24"/>
    </row>
    <row r="3" spans="1:54" ht="33" customHeight="1" x14ac:dyDescent="0.3">
      <c r="A3" s="33" t="str">
        <f>'2UP(실측)'!A3</f>
        <v>현장명 : 서울 강남 기독교성결회관,   (재질) : HL 1.2T</v>
      </c>
      <c r="B3" s="2"/>
      <c r="C3" s="2"/>
      <c r="D3" s="2"/>
      <c r="E3" s="2"/>
      <c r="F3" s="2"/>
      <c r="G3" s="260" t="s">
        <v>76</v>
      </c>
      <c r="H3" s="260"/>
      <c r="I3" s="260"/>
      <c r="J3" s="271">
        <v>5</v>
      </c>
      <c r="K3" s="271"/>
      <c r="L3" s="271"/>
      <c r="M3" s="271"/>
      <c r="N3" s="260" t="s">
        <v>77</v>
      </c>
      <c r="O3" s="260"/>
      <c r="P3" s="272">
        <v>0</v>
      </c>
      <c r="Q3" s="272"/>
      <c r="R3" s="207" t="s">
        <v>227</v>
      </c>
      <c r="S3" s="207"/>
      <c r="T3" s="207"/>
      <c r="U3" s="274">
        <f>BA7</f>
        <v>1</v>
      </c>
      <c r="V3" s="274"/>
      <c r="W3" s="274"/>
      <c r="X3" s="122"/>
      <c r="Y3" s="284" t="s">
        <v>78</v>
      </c>
      <c r="Z3" s="284"/>
      <c r="AA3" s="279">
        <v>0</v>
      </c>
      <c r="AB3" s="279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53" t="s">
        <v>331</v>
      </c>
      <c r="AK3" s="201"/>
      <c r="AL3" s="160">
        <f>AO7</f>
        <v>45</v>
      </c>
      <c r="AM3" s="25"/>
      <c r="AN3" s="24"/>
      <c r="AS3" s="24"/>
    </row>
    <row r="4" spans="1:54" ht="33" customHeight="1" x14ac:dyDescent="0.3">
      <c r="A4" s="351" t="str">
        <f>'2UP(실측)'!A4:AB4</f>
        <v>제작치수 반영 : JB/JD +(5 ),  늘어난치수K -(4),  C + (0),   U + (0), OP - (2), R - (0),  기둥차감 - (0), A + (0)</v>
      </c>
      <c r="B4" s="351"/>
      <c r="C4" s="351"/>
      <c r="D4" s="351"/>
      <c r="E4" s="351"/>
      <c r="F4" s="351"/>
      <c r="G4" s="351"/>
      <c r="H4" s="351"/>
      <c r="I4" s="351"/>
      <c r="J4" s="351"/>
      <c r="K4" s="351"/>
      <c r="L4" s="351"/>
      <c r="M4" s="351"/>
      <c r="N4" s="351"/>
      <c r="O4" s="351"/>
      <c r="P4" s="351"/>
      <c r="Q4" s="351"/>
      <c r="R4" s="351"/>
      <c r="S4" s="351"/>
      <c r="T4" s="351"/>
      <c r="U4" s="351"/>
      <c r="V4" s="351"/>
      <c r="W4" s="351"/>
      <c r="X4" s="75"/>
      <c r="Y4" s="352" t="s">
        <v>332</v>
      </c>
      <c r="Z4" s="353"/>
      <c r="AA4" s="354">
        <f>AC7</f>
        <v>-4</v>
      </c>
      <c r="AB4" s="355"/>
      <c r="AC4" s="75"/>
      <c r="AD4" s="75"/>
      <c r="AE4" s="75"/>
      <c r="AF4" s="75"/>
      <c r="AG4" s="9"/>
      <c r="AH4" s="187">
        <f ca="1">TODAY()</f>
        <v>45274</v>
      </c>
      <c r="AI4" s="173"/>
      <c r="AJ4" s="164" t="s">
        <v>215</v>
      </c>
      <c r="AK4" s="164"/>
      <c r="AL4" s="25"/>
      <c r="AM4" s="25"/>
      <c r="AN4" s="24"/>
      <c r="AS4" s="24"/>
      <c r="BA4" s="180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56" t="s">
        <v>60</v>
      </c>
      <c r="H5" s="256" t="s">
        <v>64</v>
      </c>
      <c r="I5" s="266" t="s">
        <v>65</v>
      </c>
      <c r="J5" s="266" t="s">
        <v>66</v>
      </c>
      <c r="K5" s="356" t="s">
        <v>278</v>
      </c>
      <c r="L5" s="356" t="s">
        <v>279</v>
      </c>
      <c r="M5" s="239" t="s">
        <v>62</v>
      </c>
      <c r="N5" s="239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50" t="s">
        <v>14</v>
      </c>
      <c r="T5" s="348" t="s">
        <v>282</v>
      </c>
      <c r="U5" s="348" t="s">
        <v>283</v>
      </c>
      <c r="V5" s="341" t="s">
        <v>129</v>
      </c>
      <c r="W5" s="341" t="s">
        <v>280</v>
      </c>
      <c r="X5" s="341" t="s">
        <v>281</v>
      </c>
      <c r="Y5" s="167" t="s">
        <v>19</v>
      </c>
      <c r="Z5" s="262" t="s">
        <v>20</v>
      </c>
      <c r="AA5" s="239" t="s">
        <v>22</v>
      </c>
      <c r="AB5" s="239" t="s">
        <v>23</v>
      </c>
      <c r="AC5" s="241" t="s">
        <v>21</v>
      </c>
      <c r="AD5" s="242"/>
      <c r="AE5" s="242"/>
      <c r="AF5" s="243"/>
      <c r="AG5" s="168" t="s">
        <v>25</v>
      </c>
      <c r="AH5" s="264" t="s">
        <v>34</v>
      </c>
      <c r="AI5" s="168" t="s">
        <v>35</v>
      </c>
      <c r="AJ5" s="171" t="s">
        <v>212</v>
      </c>
      <c r="AK5" s="172"/>
      <c r="AL5" s="180" t="s">
        <v>305</v>
      </c>
      <c r="AM5" s="180" t="s">
        <v>306</v>
      </c>
      <c r="AN5" s="263" t="s">
        <v>51</v>
      </c>
      <c r="AU5" s="181" t="s">
        <v>28</v>
      </c>
      <c r="AV5" s="181"/>
      <c r="AW5" s="181" t="s">
        <v>29</v>
      </c>
      <c r="AX5" s="181"/>
      <c r="BA5" s="181"/>
    </row>
    <row r="6" spans="1:54" ht="48" customHeight="1" x14ac:dyDescent="0.3">
      <c r="A6" s="167"/>
      <c r="B6" s="167"/>
      <c r="C6" s="167"/>
      <c r="D6" s="167"/>
      <c r="E6" s="167"/>
      <c r="F6" s="167"/>
      <c r="G6" s="257"/>
      <c r="H6" s="257"/>
      <c r="I6" s="267"/>
      <c r="J6" s="267"/>
      <c r="K6" s="357"/>
      <c r="L6" s="357"/>
      <c r="M6" s="240"/>
      <c r="N6" s="240"/>
      <c r="O6" s="167"/>
      <c r="P6" s="167"/>
      <c r="Q6" s="167"/>
      <c r="R6" s="167"/>
      <c r="S6" s="349"/>
      <c r="T6" s="349"/>
      <c r="U6" s="349"/>
      <c r="V6" s="342"/>
      <c r="W6" s="342"/>
      <c r="X6" s="342"/>
      <c r="Y6" s="167"/>
      <c r="Z6" s="262"/>
      <c r="AA6" s="240"/>
      <c r="AB6" s="240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65"/>
      <c r="AI6" s="167"/>
      <c r="AJ6" s="74" t="s">
        <v>213</v>
      </c>
      <c r="AK6" s="74" t="s">
        <v>214</v>
      </c>
      <c r="AL6" s="181"/>
      <c r="AM6" s="181"/>
      <c r="AN6" s="263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1</v>
      </c>
      <c r="F7" s="4">
        <f>'2UP(실측)'!F7+MAX(AL7,AM7)+IF(BA7=1,AE7,0)+UP2멍텅JBJD늘림치수</f>
        <v>1</v>
      </c>
      <c r="G7" s="4">
        <f>'2UP(실측)'!G7+AL7+IF(BA7=1,AC7,0)+UP2멍텅JB강제키움+UP2멍텅JBJD늘림치수</f>
        <v>1</v>
      </c>
      <c r="H7" s="4">
        <f>'2UP(실측)'!H7+AL7+IF(BA7=1,AD7,0)+UP2멍텅JB강제키움+UP2멍텅JBJD늘림치수-IF(UP2멍텅JB하부늘치=1,'2UP(실측)'!Y7-'2UP(실측)'!Z7,0)</f>
        <v>1</v>
      </c>
      <c r="I7" s="4">
        <f>'2UP(실측)'!I7+AM7+IF(BA7=1,AE7,0)+UP2멍텅JB강제키움+UP2멍텅JBJD늘림치수</f>
        <v>1</v>
      </c>
      <c r="J7" s="4">
        <f>'2UP(실측)'!J7+AM7+IF(BA7=1,AF7,0)+UP2멍텅JB강제키움+UP2멍텅JBJD늘림치수-IF(UP2멍텅JB하부늘치=1,'2UP(실측)'!AA7-'2UP(실측)'!AB7,0)</f>
        <v>1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-4</v>
      </c>
      <c r="AD7" s="13">
        <f>IF(UP2멍텅JB하부늘치=1,AC7,'2UP(실측)'!Z7-UP2멍텅늘치차감)</f>
        <v>-4</v>
      </c>
      <c r="AE7" s="13">
        <f>'2UP(실측)'!AA7-UP2멍텅늘치차감</f>
        <v>-4</v>
      </c>
      <c r="AF7" s="13">
        <f>IF(UP2멍텅JB하부늘치=1,AE7,'2UP(실측)'!AB7-UP2멍텅늘치차감)</f>
        <v>-4</v>
      </c>
      <c r="AG7" s="11" t="str">
        <f t="shared" ref="AG7" si="1">AS7&amp;"*"&amp;AT7</f>
        <v>0*-1.4</v>
      </c>
      <c r="AH7" s="12" t="str">
        <f t="shared" ref="AH7" si="2">AV7&amp;"*"&amp;AU7</f>
        <v>0*-1.6</v>
      </c>
      <c r="AI7" s="10" t="str">
        <f t="shared" ref="AI7" si="3">AX7&amp;"*"&amp;AW7</f>
        <v>0*-1.6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45</v>
      </c>
      <c r="AP7" s="36">
        <f>E7-COS(RADIANS(AO7))*G7</f>
        <v>0.29289321881345243</v>
      </c>
      <c r="AQ7" s="36">
        <f>F7-COS(RADIANS(AO7))*I7</f>
        <v>0.29289321881345243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-1.3999999999999997</v>
      </c>
      <c r="AU7" s="3">
        <f>Q7+O7+MAX(G7,H7)+AB7-1.2*$AI$3+IF(BA7=0,MAX(AC7,AD7))+IF(Q7=0,1.2,0)</f>
        <v>-1.5999999999999999</v>
      </c>
      <c r="AV7" s="3">
        <f>MAX(S7,T7+U7)</f>
        <v>0</v>
      </c>
      <c r="AW7" s="3">
        <f>R7+P7+MAX(I7,J7)+AB7-1.2*$AI$3+IF(BA7=0,MAX(AE7,AF7))+IF(R7=0,1.2,0)</f>
        <v>-1.5999999999999999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2" t="str">
        <f>정보!K3</f>
        <v>(3UP) 실측서 ( 서울 강남 기독교성결회관 ) _조장우소장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50"/>
      <c r="H3" s="250"/>
      <c r="I3" s="250"/>
      <c r="J3" s="250"/>
      <c r="K3" s="23"/>
      <c r="L3" s="23"/>
      <c r="M3" s="247"/>
      <c r="N3" s="247"/>
      <c r="O3" s="248"/>
      <c r="P3" s="248"/>
      <c r="Q3" s="249"/>
      <c r="R3" s="249"/>
      <c r="S3" s="249"/>
      <c r="T3" s="249"/>
      <c r="U3" s="120"/>
      <c r="V3" s="244" t="s">
        <v>97</v>
      </c>
      <c r="W3" s="244"/>
      <c r="X3" s="244"/>
      <c r="Y3" s="244"/>
      <c r="Z3" s="245"/>
      <c r="AA3" s="245"/>
      <c r="AB3" s="246"/>
      <c r="AC3" s="246"/>
    </row>
    <row r="4" spans="1:46" ht="33" customHeight="1" x14ac:dyDescent="0.3">
      <c r="A4" s="174" t="str">
        <f>정보!B18</f>
        <v>제작치수 반영 : JB/JD +(5 ),  늘어난치수K -(4),  C + (0),   U + (0), OP - (2), R - (0),  기둥차감 - (0), A + (0)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64" t="s">
        <v>215</v>
      </c>
      <c r="AJ4" s="164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6" t="s">
        <v>274</v>
      </c>
      <c r="H5" s="266" t="s">
        <v>284</v>
      </c>
      <c r="I5" s="266" t="s">
        <v>275</v>
      </c>
      <c r="J5" s="341" t="s">
        <v>276</v>
      </c>
      <c r="K5" s="341" t="s">
        <v>285</v>
      </c>
      <c r="L5" s="341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50" t="s">
        <v>14</v>
      </c>
      <c r="R5" s="348" t="s">
        <v>282</v>
      </c>
      <c r="S5" s="348" t="s">
        <v>286</v>
      </c>
      <c r="T5" s="348" t="s">
        <v>283</v>
      </c>
      <c r="U5" s="341" t="s">
        <v>129</v>
      </c>
      <c r="V5" s="341" t="s">
        <v>280</v>
      </c>
      <c r="W5" s="341" t="s">
        <v>287</v>
      </c>
      <c r="X5" s="341" t="s">
        <v>281</v>
      </c>
      <c r="Y5" s="167" t="s">
        <v>19</v>
      </c>
      <c r="Z5" s="167" t="s">
        <v>20</v>
      </c>
      <c r="AA5" s="239" t="s">
        <v>22</v>
      </c>
      <c r="AB5" s="239" t="s">
        <v>23</v>
      </c>
      <c r="AC5" s="241" t="s">
        <v>21</v>
      </c>
      <c r="AD5" s="242"/>
      <c r="AE5" s="242"/>
      <c r="AF5" s="242"/>
      <c r="AG5" s="242"/>
      <c r="AH5" s="243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67"/>
      <c r="H6" s="267"/>
      <c r="I6" s="267"/>
      <c r="J6" s="342"/>
      <c r="K6" s="342"/>
      <c r="L6" s="342"/>
      <c r="M6" s="167"/>
      <c r="N6" s="167"/>
      <c r="O6" s="167"/>
      <c r="P6" s="167"/>
      <c r="Q6" s="349"/>
      <c r="R6" s="349"/>
      <c r="S6" s="349"/>
      <c r="T6" s="349"/>
      <c r="U6" s="342"/>
      <c r="V6" s="342"/>
      <c r="W6" s="342"/>
      <c r="X6" s="342"/>
      <c r="Y6" s="167"/>
      <c r="Z6" s="167"/>
      <c r="AA6" s="240"/>
      <c r="AB6" s="240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6" t="str">
        <f>정보!L3</f>
        <v>(3UP) 제작변환 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"/>
      <c r="AQ1" s="1"/>
      <c r="AR1" s="275" t="s">
        <v>75</v>
      </c>
      <c r="AS1" s="275"/>
      <c r="AT1" s="275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2" t="s">
        <v>309</v>
      </c>
      <c r="H2" s="374"/>
      <c r="I2" s="374"/>
      <c r="J2" s="374"/>
      <c r="K2" s="353"/>
      <c r="L2" s="268">
        <v>0</v>
      </c>
      <c r="M2" s="268"/>
      <c r="N2" s="268"/>
      <c r="O2" s="268"/>
      <c r="P2" s="282" t="s">
        <v>113</v>
      </c>
      <c r="Q2" s="282"/>
      <c r="R2" s="282"/>
      <c r="S2" s="282"/>
      <c r="T2" s="283">
        <v>1</v>
      </c>
      <c r="U2" s="283"/>
      <c r="V2" s="269" t="s">
        <v>103</v>
      </c>
      <c r="W2" s="269"/>
      <c r="X2" s="270"/>
      <c r="Y2" s="375">
        <v>0</v>
      </c>
      <c r="Z2" s="376"/>
      <c r="AA2" s="372"/>
      <c r="AB2" s="373"/>
      <c r="AC2" s="269" t="s">
        <v>88</v>
      </c>
      <c r="AD2" s="270"/>
      <c r="AE2" s="280">
        <v>0</v>
      </c>
      <c r="AF2" s="280"/>
      <c r="AG2" s="260" t="s">
        <v>82</v>
      </c>
      <c r="AH2" s="260"/>
      <c r="AI2" s="277"/>
      <c r="AJ2" s="278">
        <v>0</v>
      </c>
      <c r="AK2" s="278"/>
      <c r="AL2" s="278"/>
      <c r="AM2" s="98" t="s">
        <v>114</v>
      </c>
      <c r="AN2" s="276">
        <v>4</v>
      </c>
      <c r="AO2" s="276"/>
      <c r="AP2" s="1"/>
      <c r="AQ2" s="1"/>
      <c r="AR2" s="275"/>
      <c r="AS2" s="275"/>
      <c r="AT2" s="275"/>
      <c r="AY2" s="24"/>
    </row>
    <row r="3" spans="1:60" ht="33" customHeight="1" x14ac:dyDescent="0.3">
      <c r="A3" s="33" t="str">
        <f>'3UP(실측)'!A3</f>
        <v>현장명 : 서울 강남 기독교성결회관,   (재질) : HL 1.2T</v>
      </c>
      <c r="B3" s="2"/>
      <c r="C3" s="2"/>
      <c r="D3" s="2"/>
      <c r="E3" s="2"/>
      <c r="F3" s="2"/>
      <c r="G3" s="359" t="s">
        <v>76</v>
      </c>
      <c r="H3" s="367"/>
      <c r="I3" s="367"/>
      <c r="J3" s="367"/>
      <c r="K3" s="368"/>
      <c r="L3" s="271">
        <v>5</v>
      </c>
      <c r="M3" s="271"/>
      <c r="N3" s="271"/>
      <c r="O3" s="271"/>
      <c r="P3" s="260" t="s">
        <v>77</v>
      </c>
      <c r="Q3" s="260"/>
      <c r="R3" s="272">
        <v>0</v>
      </c>
      <c r="S3" s="272"/>
      <c r="T3" s="369" t="s">
        <v>289</v>
      </c>
      <c r="U3" s="370"/>
      <c r="V3" s="370"/>
      <c r="W3" s="371"/>
      <c r="X3" s="274">
        <f>BG7</f>
        <v>1</v>
      </c>
      <c r="Y3" s="274"/>
      <c r="Z3" s="274"/>
      <c r="AA3" s="365"/>
      <c r="AB3" s="366"/>
      <c r="AC3" s="284" t="s">
        <v>78</v>
      </c>
      <c r="AD3" s="284"/>
      <c r="AE3" s="279">
        <v>0</v>
      </c>
      <c r="AF3" s="279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63" t="s">
        <v>327</v>
      </c>
      <c r="AQ3" s="364"/>
      <c r="AR3" s="160">
        <f>AU7</f>
        <v>45</v>
      </c>
      <c r="AS3" s="25"/>
      <c r="AT3" s="24"/>
      <c r="AY3" s="24"/>
    </row>
    <row r="4" spans="1:60" ht="33" customHeight="1" x14ac:dyDescent="0.3">
      <c r="A4" s="351" t="str">
        <f>'3UP(실측)'!A4:AH4</f>
        <v>제작치수 반영 : JB/JD +(5 ),  늘어난치수K -(4),  C + (0),   U + (0), OP - (2), R - (0),  기둥차감 - (0), A + (0)</v>
      </c>
      <c r="B4" s="351"/>
      <c r="C4" s="351"/>
      <c r="D4" s="351"/>
      <c r="E4" s="351"/>
      <c r="F4" s="351"/>
      <c r="G4" s="351"/>
      <c r="H4" s="351"/>
      <c r="I4" s="351"/>
      <c r="J4" s="351"/>
      <c r="K4" s="351"/>
      <c r="L4" s="351"/>
      <c r="M4" s="351"/>
      <c r="N4" s="351"/>
      <c r="O4" s="351"/>
      <c r="P4" s="351"/>
      <c r="Q4" s="351"/>
      <c r="R4" s="351"/>
      <c r="S4" s="351"/>
      <c r="T4" s="351"/>
      <c r="U4" s="351"/>
      <c r="V4" s="351"/>
      <c r="W4" s="351"/>
      <c r="X4" s="351"/>
      <c r="Y4" s="351"/>
      <c r="Z4" s="351"/>
      <c r="AA4" s="75"/>
      <c r="AB4" s="75"/>
      <c r="AC4" s="354" t="s">
        <v>333</v>
      </c>
      <c r="AD4" s="261"/>
      <c r="AE4" s="261">
        <f>AG7</f>
        <v>-4</v>
      </c>
      <c r="AF4" s="355"/>
      <c r="AG4" s="75"/>
      <c r="AH4" s="75"/>
      <c r="AI4" s="75"/>
      <c r="AJ4" s="75"/>
      <c r="AK4" s="75"/>
      <c r="AL4" s="75"/>
      <c r="AM4" s="9"/>
      <c r="AN4" s="187">
        <f ca="1">TODAY()</f>
        <v>45274</v>
      </c>
      <c r="AO4" s="173"/>
      <c r="AP4" s="164" t="s">
        <v>215</v>
      </c>
      <c r="AQ4" s="164"/>
      <c r="AR4" s="25"/>
      <c r="AS4" s="25"/>
      <c r="AT4" s="24"/>
      <c r="AY4" s="24"/>
      <c r="BG4" s="180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6" t="s">
        <v>274</v>
      </c>
      <c r="H5" s="266" t="s">
        <v>284</v>
      </c>
      <c r="I5" s="266" t="s">
        <v>275</v>
      </c>
      <c r="J5" s="341" t="s">
        <v>276</v>
      </c>
      <c r="K5" s="341" t="s">
        <v>285</v>
      </c>
      <c r="L5" s="341" t="s">
        <v>277</v>
      </c>
      <c r="M5" s="356" t="s">
        <v>278</v>
      </c>
      <c r="N5" s="356" t="s">
        <v>288</v>
      </c>
      <c r="O5" s="239" t="s">
        <v>62</v>
      </c>
      <c r="P5" s="239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50" t="s">
        <v>14</v>
      </c>
      <c r="V5" s="348" t="s">
        <v>282</v>
      </c>
      <c r="W5" s="348" t="s">
        <v>286</v>
      </c>
      <c r="X5" s="348" t="s">
        <v>283</v>
      </c>
      <c r="Y5" s="341" t="s">
        <v>129</v>
      </c>
      <c r="Z5" s="341" t="s">
        <v>280</v>
      </c>
      <c r="AA5" s="341" t="s">
        <v>287</v>
      </c>
      <c r="AB5" s="341" t="s">
        <v>281</v>
      </c>
      <c r="AC5" s="167" t="s">
        <v>19</v>
      </c>
      <c r="AD5" s="262" t="s">
        <v>20</v>
      </c>
      <c r="AE5" s="239" t="s">
        <v>22</v>
      </c>
      <c r="AF5" s="239" t="s">
        <v>23</v>
      </c>
      <c r="AG5" s="241" t="s">
        <v>21</v>
      </c>
      <c r="AH5" s="242"/>
      <c r="AI5" s="242"/>
      <c r="AJ5" s="242"/>
      <c r="AK5" s="242"/>
      <c r="AL5" s="243"/>
      <c r="AM5" s="168" t="s">
        <v>25</v>
      </c>
      <c r="AN5" s="264" t="s">
        <v>34</v>
      </c>
      <c r="AO5" s="168" t="s">
        <v>35</v>
      </c>
      <c r="AP5" s="171" t="s">
        <v>212</v>
      </c>
      <c r="AQ5" s="172"/>
      <c r="AR5" s="180" t="s">
        <v>305</v>
      </c>
      <c r="AS5" s="180" t="s">
        <v>306</v>
      </c>
      <c r="AT5" s="263" t="s">
        <v>51</v>
      </c>
      <c r="BA5" s="181" t="s">
        <v>28</v>
      </c>
      <c r="BB5" s="181"/>
      <c r="BC5" s="181" t="s">
        <v>29</v>
      </c>
      <c r="BD5" s="181"/>
      <c r="BG5" s="181"/>
    </row>
    <row r="6" spans="1:60" ht="48" customHeight="1" x14ac:dyDescent="0.3">
      <c r="A6" s="167"/>
      <c r="B6" s="167"/>
      <c r="C6" s="167"/>
      <c r="D6" s="167"/>
      <c r="E6" s="167"/>
      <c r="F6" s="167"/>
      <c r="G6" s="267"/>
      <c r="H6" s="267"/>
      <c r="I6" s="267"/>
      <c r="J6" s="342"/>
      <c r="K6" s="342"/>
      <c r="L6" s="342"/>
      <c r="M6" s="357"/>
      <c r="N6" s="357"/>
      <c r="O6" s="240"/>
      <c r="P6" s="240"/>
      <c r="Q6" s="167"/>
      <c r="R6" s="167"/>
      <c r="S6" s="167"/>
      <c r="T6" s="167"/>
      <c r="U6" s="349"/>
      <c r="V6" s="349"/>
      <c r="W6" s="349"/>
      <c r="X6" s="349"/>
      <c r="Y6" s="342"/>
      <c r="Z6" s="342"/>
      <c r="AA6" s="342"/>
      <c r="AB6" s="342"/>
      <c r="AC6" s="167"/>
      <c r="AD6" s="262"/>
      <c r="AE6" s="240"/>
      <c r="AF6" s="240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65"/>
      <c r="AO6" s="167"/>
      <c r="AP6" s="74" t="s">
        <v>213</v>
      </c>
      <c r="AQ6" s="74" t="s">
        <v>214</v>
      </c>
      <c r="AR6" s="181"/>
      <c r="AS6" s="181"/>
      <c r="AT6" s="263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1</v>
      </c>
      <c r="F7" s="4">
        <f>'3UP(실측)'!F7+MAX(AR7,AS7)+IF(BG7=1,AJ7,0)+UP3멍텅JBJD늘림치수</f>
        <v>1</v>
      </c>
      <c r="G7" s="4">
        <f>'3UP(실측)'!G7+AR7+IF(BG7=1,AG7,0)+UP3멍텅JB강제키움+UP3멍텅JBJD늘림치수</f>
        <v>1</v>
      </c>
      <c r="H7" s="4">
        <f>'3UP(실측)'!H7+AR7+IF(BG7=1,AH7,0)+UP3멍텅JB강제키움+UP3멍텅JBJD늘림치수-IF(UP3멍텅JB하부늘치=1,'3UP(실측)'!AC7-'3UP(실측)'!AD7,0)</f>
        <v>1</v>
      </c>
      <c r="I7" s="4">
        <f>'3UP(실측)'!I7+AR7+IF(BG7=1,AI7,0)+UP3멍텅JB강제키움+UP3멍텅JBJD늘림치수-IF(UP3멍텅JB하부늘치=1,'3UP(실측)'!AC7-'3UP(실측)'!AE7,0)</f>
        <v>1</v>
      </c>
      <c r="J7" s="4">
        <f>'3UP(실측)'!J7+AS7+IF(BG7=1,AJ7,0)+UP3멍텅JB강제키움+UP3멍텅JBJD늘림치수</f>
        <v>1</v>
      </c>
      <c r="K7" s="4">
        <f>'3UP(실측)'!K7+AS7+IF(BG7=1,AK7,0)+UP3멍텅JB강제키움+UP3멍텅JBJD늘림치수-IF(UP3멍텅JB하부늘치=1,'3UP(실측)'!AF7-'3UP(실측)'!AG7,0)</f>
        <v>1</v>
      </c>
      <c r="L7" s="4">
        <f>'3UP(실측)'!L7+AS7+IF(BG7=1,AL7,0)+UP3멍텅JB강제키움+UP3멍텅JBJD늘림치수-IF(UP3멍텅JB하부늘치=1,'3UP(실측)'!AF7-'3UP(실측)'!AH7,0)</f>
        <v>1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-4</v>
      </c>
      <c r="AH7" s="13">
        <f>IF(UP3멍텅JB하부늘치=1,AG7,'3UP(실측)'!AD7-UP3멍텅늘치차감)</f>
        <v>-4</v>
      </c>
      <c r="AI7" s="13">
        <f>IF(UP3멍텅JB하부늘치=1,AG7,'3UP(실측)'!AE7-UP3멍텅늘치차감)</f>
        <v>-4</v>
      </c>
      <c r="AJ7" s="13">
        <f>'3UP(실측)'!AF7-UP3멍텅늘치차감</f>
        <v>-4</v>
      </c>
      <c r="AK7" s="13">
        <f>IF(UP3멍텅JB하부늘치=1,AJ7,'3UP(실측)'!AG7-UP3멍텅늘치차감)</f>
        <v>-4</v>
      </c>
      <c r="AL7" s="13">
        <f>IF(UP3멍텅JB하부늘치=1,AJ7,'3UP(실측)'!AH7-UP3멍텅늘치차감)</f>
        <v>-4</v>
      </c>
      <c r="AM7" s="11" t="str">
        <f t="shared" ref="AM7" si="1">AY7&amp;"*"&amp;AZ7</f>
        <v>0*-1.4</v>
      </c>
      <c r="AN7" s="12" t="str">
        <f t="shared" ref="AN7" si="2">BB7&amp;"*"&amp;BA7</f>
        <v>0*-1.6</v>
      </c>
      <c r="AO7" s="10" t="str">
        <f t="shared" ref="AO7" si="3">BD7&amp;"*"&amp;BC7</f>
        <v>0*-1.6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45</v>
      </c>
      <c r="AV7" s="36">
        <f>E7-COS(RADIANS(AU7))*G7</f>
        <v>0.29289321881345243</v>
      </c>
      <c r="AW7" s="36">
        <f>F7-COS(RADIANS(AU7))*J7</f>
        <v>0.29289321881345243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-1.3999999999999997</v>
      </c>
      <c r="BA7" s="3">
        <f>S7+Q7+MAX(G7,I7)+AF7-1.2*$AO$3+IF(BG7=0,MAX(AG7,AI7))+IF(S7=0,1.2,0)</f>
        <v>-1.5999999999999999</v>
      </c>
      <c r="BB7" s="3">
        <f>MAX(U7,V7+W7+X7)</f>
        <v>0</v>
      </c>
      <c r="BC7" s="3">
        <f>T7+R7+MAX(J7,L7)+AF7-1.2*$AO$3+IF(BG7=0,MAX(AJ7,AL7))+IF(T7=0,1.2,0)</f>
        <v>-1.5999999999999999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2023-12-11T06:21:06Z</cp:lastPrinted>
  <dcterms:created xsi:type="dcterms:W3CDTF">2020-01-09T06:39:51Z</dcterms:created>
  <dcterms:modified xsi:type="dcterms:W3CDTF">2023-12-14T04:52:33Z</dcterms:modified>
</cp:coreProperties>
</file>