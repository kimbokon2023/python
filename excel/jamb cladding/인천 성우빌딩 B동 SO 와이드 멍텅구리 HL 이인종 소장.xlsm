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1C140993-6806-44D4-BC85-81147792FB64}" xr6:coauthVersionLast="47" xr6:coauthVersionMax="47" xr10:uidLastSave="{00000000-0000-0000-0000-000000000000}"/>
  <bookViews>
    <workbookView xWindow="-120" yWindow="-120" windowWidth="29040" windowHeight="15840" tabRatio="947" activeTab="10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8" i="21" l="1"/>
  <c r="AI8" i="21"/>
  <c r="AJ8" i="21"/>
  <c r="AK8" i="21"/>
  <c r="AL8" i="21"/>
  <c r="AM8" i="21"/>
  <c r="AN8" i="21"/>
  <c r="AO8" i="21"/>
  <c r="AH9" i="21"/>
  <c r="AI9" i="21"/>
  <c r="AJ9" i="21"/>
  <c r="AK9" i="21"/>
  <c r="AL9" i="21"/>
  <c r="AM9" i="21"/>
  <c r="AN9" i="21"/>
  <c r="AO9" i="21"/>
  <c r="AH10" i="21"/>
  <c r="AI10" i="21"/>
  <c r="AJ10" i="21"/>
  <c r="AK10" i="21"/>
  <c r="AL10" i="21"/>
  <c r="AM10" i="21"/>
  <c r="AN10" i="21"/>
  <c r="AO10" i="21"/>
  <c r="AH11" i="21"/>
  <c r="AI11" i="21"/>
  <c r="AJ11" i="21"/>
  <c r="AK11" i="21"/>
  <c r="AL11" i="21"/>
  <c r="AM11" i="21"/>
  <c r="AN11" i="21"/>
  <c r="AO11" i="21"/>
  <c r="A8" i="22"/>
  <c r="B8" i="22"/>
  <c r="C8" i="22"/>
  <c r="D8" i="22"/>
  <c r="E8" i="22"/>
  <c r="T8" i="22"/>
  <c r="U8" i="22"/>
  <c r="V8" i="22"/>
  <c r="BB8" i="22" s="1"/>
  <c r="W8" i="22"/>
  <c r="Z8" i="22"/>
  <c r="AA8" i="22"/>
  <c r="AB8" i="22"/>
  <c r="AC8" i="22"/>
  <c r="AD8" i="22"/>
  <c r="AE8" i="22"/>
  <c r="AF8" i="22" s="1"/>
  <c r="AJ8" i="22"/>
  <c r="AK8" i="22"/>
  <c r="AL8" i="22"/>
  <c r="AM8" i="22"/>
  <c r="AN8" i="22"/>
  <c r="AO8" i="22"/>
  <c r="AP8" i="22"/>
  <c r="AZ8" i="22"/>
  <c r="BF8" i="22"/>
  <c r="A9" i="22"/>
  <c r="B9" i="22"/>
  <c r="C9" i="22"/>
  <c r="D9" i="22"/>
  <c r="E9" i="22"/>
  <c r="T9" i="22"/>
  <c r="U9" i="22"/>
  <c r="V9" i="22"/>
  <c r="BB9" i="22" s="1"/>
  <c r="W9" i="22"/>
  <c r="Z9" i="22"/>
  <c r="AA9" i="22"/>
  <c r="AB9" i="22"/>
  <c r="AC9" i="22"/>
  <c r="AD9" i="22"/>
  <c r="AE9" i="22"/>
  <c r="AF9" i="22" s="1"/>
  <c r="AJ9" i="22"/>
  <c r="AK9" i="22"/>
  <c r="AL9" i="22"/>
  <c r="AM9" i="22"/>
  <c r="AN9" i="22"/>
  <c r="AO9" i="22"/>
  <c r="AP9" i="22"/>
  <c r="BF9" i="22"/>
  <c r="A10" i="22"/>
  <c r="B10" i="22"/>
  <c r="C10" i="22"/>
  <c r="D10" i="22"/>
  <c r="E10" i="22"/>
  <c r="T10" i="22"/>
  <c r="U10" i="22"/>
  <c r="V10" i="22"/>
  <c r="BB10" i="22" s="1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AP10" i="22"/>
  <c r="BF10" i="22"/>
  <c r="A11" i="22"/>
  <c r="B11" i="22"/>
  <c r="C11" i="22"/>
  <c r="D11" i="22"/>
  <c r="E11" i="22"/>
  <c r="T11" i="22"/>
  <c r="U11" i="22"/>
  <c r="V11" i="22"/>
  <c r="BB11" i="22" s="1"/>
  <c r="W11" i="22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S11" i="22" s="1"/>
  <c r="Q11" i="22" s="1"/>
  <c r="BF11" i="22"/>
  <c r="AZ9" i="22" l="1"/>
  <c r="AZ11" i="22"/>
  <c r="AZ10" i="22"/>
  <c r="BE11" i="22"/>
  <c r="F11" i="22" s="1"/>
  <c r="AR11" i="22" s="1"/>
  <c r="O11" i="22"/>
  <c r="BE8" i="22"/>
  <c r="J8" i="22" s="1"/>
  <c r="R11" i="22"/>
  <c r="S10" i="22"/>
  <c r="Y11" i="22"/>
  <c r="R10" i="22"/>
  <c r="S9" i="22"/>
  <c r="Y10" i="22"/>
  <c r="R9" i="22"/>
  <c r="S8" i="22"/>
  <c r="BE10" i="22"/>
  <c r="H10" i="22" s="1"/>
  <c r="Y9" i="22"/>
  <c r="R8" i="22"/>
  <c r="BE9" i="22"/>
  <c r="Y8" i="22"/>
  <c r="AQ7" i="26"/>
  <c r="AP7" i="26"/>
  <c r="AP7" i="22"/>
  <c r="AO7" i="22"/>
  <c r="Y7" i="22" s="1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H8" i="22" l="1"/>
  <c r="I8" i="22"/>
  <c r="I10" i="22"/>
  <c r="H11" i="22"/>
  <c r="I11" i="22"/>
  <c r="K11" i="22"/>
  <c r="J11" i="22"/>
  <c r="G11" i="22"/>
  <c r="L11" i="22" s="1"/>
  <c r="K8" i="22"/>
  <c r="P9" i="22"/>
  <c r="N9" i="22" s="1"/>
  <c r="H9" i="22"/>
  <c r="F9" i="22"/>
  <c r="G9" i="22"/>
  <c r="L9" i="22" s="1"/>
  <c r="P8" i="22"/>
  <c r="N8" i="22" s="1"/>
  <c r="BD10" i="22"/>
  <c r="X10" i="22"/>
  <c r="K10" i="22"/>
  <c r="BD11" i="22"/>
  <c r="X11" i="22"/>
  <c r="X9" i="22"/>
  <c r="BD9" i="22"/>
  <c r="K9" i="22"/>
  <c r="Q10" i="22"/>
  <c r="O10" i="22" s="1"/>
  <c r="AS11" i="22"/>
  <c r="AU11" i="22" s="1"/>
  <c r="J9" i="22"/>
  <c r="BD8" i="22"/>
  <c r="X8" i="22"/>
  <c r="Q9" i="22"/>
  <c r="O9" i="22" s="1"/>
  <c r="AT11" i="22"/>
  <c r="I9" i="22"/>
  <c r="G10" i="22"/>
  <c r="F10" i="22"/>
  <c r="P11" i="22"/>
  <c r="N11" i="22" s="1"/>
  <c r="BC11" i="22"/>
  <c r="P10" i="22"/>
  <c r="N10" i="22" s="1"/>
  <c r="M8" i="22"/>
  <c r="Q8" i="22"/>
  <c r="O8" i="22" s="1"/>
  <c r="BA8" i="22"/>
  <c r="AI8" i="22" s="1"/>
  <c r="G8" i="22"/>
  <c r="F8" i="22"/>
  <c r="BC8" i="22" s="1"/>
  <c r="J10" i="22"/>
  <c r="M10" i="22" s="1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Y11" i="22" l="1"/>
  <c r="AH11" i="22" s="1"/>
  <c r="AV11" i="22"/>
  <c r="BA11" i="22"/>
  <c r="AI11" i="22" s="1"/>
  <c r="BA9" i="22"/>
  <c r="AI9" i="22" s="1"/>
  <c r="M11" i="22"/>
  <c r="AW11" i="22"/>
  <c r="AX11" i="22"/>
  <c r="AV9" i="22"/>
  <c r="AR9" i="22"/>
  <c r="AT9" i="22" s="1"/>
  <c r="AS9" i="22"/>
  <c r="AU9" i="22" s="1"/>
  <c r="AR8" i="22"/>
  <c r="AT8" i="22" s="1"/>
  <c r="AV8" i="22"/>
  <c r="BC9" i="22"/>
  <c r="M9" i="22"/>
  <c r="AS8" i="22"/>
  <c r="AU8" i="22" s="1"/>
  <c r="AY10" i="22"/>
  <c r="AH10" i="22" s="1"/>
  <c r="BA10" i="22"/>
  <c r="AI10" i="22" s="1"/>
  <c r="AX10" i="22"/>
  <c r="AW10" i="22"/>
  <c r="AY9" i="22"/>
  <c r="AH9" i="22" s="1"/>
  <c r="AV10" i="22"/>
  <c r="AR10" i="22"/>
  <c r="AT10" i="22" s="1"/>
  <c r="L10" i="22"/>
  <c r="BC10" i="22"/>
  <c r="AX9" i="22"/>
  <c r="AW9" i="22"/>
  <c r="L8" i="22"/>
  <c r="AS10" i="22"/>
  <c r="AU10" i="22" s="1"/>
  <c r="AX8" i="22"/>
  <c r="AW8" i="22"/>
  <c r="AY8" i="22"/>
  <c r="AH8" i="22" s="1"/>
  <c r="C7" i="26"/>
  <c r="E7" i="26"/>
  <c r="AF4" i="26"/>
  <c r="AJ4" i="24"/>
  <c r="AE4" i="22"/>
  <c r="AI4" i="19"/>
  <c r="AA4" i="10"/>
  <c r="AE3" i="8"/>
  <c r="AG8" i="22" l="1"/>
  <c r="AG9" i="22"/>
  <c r="AG10" i="22"/>
  <c r="AG11" i="22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U7" i="26"/>
  <c r="S7" i="26" s="1"/>
  <c r="AL7" i="10" l="1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G7" i="15" s="1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<sst xmlns="http://schemas.openxmlformats.org/spreadsheetml/2006/main" count="1171" uniqueCount="338">
  <si>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</si>
  <si>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</si>
  <si>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</si>
  <si>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</si>
  <si>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</si>
  <si>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</si>
  <si>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</si>
  <si>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</si>
  <si>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</si>
  <si>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</si>
  <si>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</si>
  <si>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</si>
  <si>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</si>
  <si>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</si>
  <si>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</si>
  <si>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</si>
  <si>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</si>
  <si>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</si>
  <si>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</si>
  <si>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</si>
  <si>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</si>
  <si>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</si>
  <si>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</si>
  <si>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</si>
  <si>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</si>
  <si>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</si>
  <si>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</si>
  <si>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</si>
  <si>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</si>
  <si>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</si>
  <si>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</si>
  <si>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</si>
  <si>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</si>
  <si>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</si>
  <si>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</si>
  <si>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</si>
  <si>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</si>
  <si>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</si>
  <si>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</si>
  <si>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</si>
  <si>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</si>
  <si>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</si>
  <si>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</si>
  <si>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</si>
  <si>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</si>
  <si>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</si>
  <si>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</si>
  <si>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</si>
  <si>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</si>
  <si>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</si>
  <si>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</si>
  <si>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</si>
  <si>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</si>
  <si>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</si>
  <si>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</si>
  <si>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</si>
  <si>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</si>
  <si>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</si>
  <si>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</si>
  <si>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</si>
  <si>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</si>
  <si>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</si>
  <si>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</si>
  <si>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</si>
  <si>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</si>
  <si>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</si>
  <si>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</si>
  <si>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</si>
  <si>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</si>
  <si>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</si>
  <si>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</si>
  <si>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</si>
  <si>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</si>
  <si>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</si>
  <si>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</si>
  <si>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</si>
  <si>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</si>
  <si>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</si>
  <si>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</si>
  <si>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</si>
  <si>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</si>
  <si>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</si>
  <si>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</si>
  <si>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</si>
  <si>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</si>
  <si>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</si>
  <si>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</si>
  <si>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</si>
  <si>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</si>
  <si>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</si>
  <si>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</si>
  <si>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</si>
  <si>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</si>
  <si>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</si>
  <si>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</si>
  <si>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</si>
  <si>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</si>
  <si>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</si>
  <si>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</si>
  <si>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</si>
  <si>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</si>
  <si>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</si>
  <si>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</si>
  <si>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</si>
  <si>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</si>
  <si>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</si>
  <si>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</si>
  <si>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</si>
  <si>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</si>
  <si>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</si>
  <si>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</si>
  <si>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</si>
  <si>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</si>
  <si>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</si>
  <si>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</si>
  <si>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</si>
  <si>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</si>
  <si>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</si>
  <si>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</si>
  <si>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</si>
  <si>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</si>
  <si>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</si>
  <si>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</si>
  <si>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</si>
  <si>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</si>
  <si>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</si>
  <si>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</si>
  <si>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</si>
  <si>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</si>
  <si>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</si>
  <si>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</si>
  <si>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</si>
  <si>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</si>
  <si>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</si>
  <si>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</si>
  <si>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</si>
  <si>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</si>
  <si>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</si>
  <si>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</si>
  <si>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</si>
  <si>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</si>
  <si>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</si>
  <si>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</si>
  <si>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</si>
  <si>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</si>
  <si>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</si>
  <si>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</si>
  <si>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</si>
  <si>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</si>
  <si>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</si>
  <si>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</si>
  <si>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</si>
  <si>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</si>
  <si>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</si>
  <si>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</si>
  <si>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</si>
  <si>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</si>
  <si>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</si>
  <si>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</si>
  <si>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</si>
  <si>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</si>
  <si>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</si>
  <si>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</si>
  <si>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</si>
  <si>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</si>
  <si>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</si>
  <si>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</si>
  <si>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</si>
  <si>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</si>
  <si>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</si>
  <si>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</si>
  <si>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</si>
  <si>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</si>
  <si>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</si>
  <si>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</si>
  <si>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</si>
  <si>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</si>
  <si>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</si>
  <si>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</si>
  <si>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</si>
  <si>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</si>
  <si>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</si>
  <si>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</si>
  <si>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</si>
  <si>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</si>
  <si>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</si>
  <si>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</si>
  <si>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</si>
  <si>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</si>
  <si>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</si>
  <si>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</si>
  <si>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</si>
  <si>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</si>
  <si>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</si>
  <si>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</si>
  <si>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</si>
  <si>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</si>
  <si>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</si>
  <si>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</si>
  <si>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</si>
  <si>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</si>
  <si>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</si>
  <si>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</si>
  <si>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</si>
  <si>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</si>
  <si>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</si>
  <si>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</si>
  <si>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</si>
  <si>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</si>
  <si>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</si>
  <si>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</si>
  <si>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</si>
  <si>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</si>
  <si>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</si>
  <si>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</si>
  <si>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</si>
  <si>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</si>
  <si>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</si>
  <si>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</si>
  <si>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</si>
  <si>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</si>
  <si>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</si>
  <si>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</si>
  <si>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</si>
  <si>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</si>
  <si>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</si>
  <si>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</si>
  <si>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</si>
  <si>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</si>
  <si>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</si>
  <si>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</si>
  <si>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</si>
  <si>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</si>
  <si>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</si>
  <si>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</si>
  <si>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</si>
  <si>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</si>
  <si>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</si>
  <si>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</si>
  <si>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</si>
  <si>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</si>
  <si>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</si>
  <si>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</si>
  <si>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</si>
  <si>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</si>
  <si>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</si>
  <si>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</si>
  <si>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</si>
  <si>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</si>
  <si>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</si>
  <si>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</si>
  <si>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</si>
  <si>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</si>
  <si>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</si>
  <si>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</si>
  <si>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</si>
  <si>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</si>
  <si>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</si>
  <si>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</si>
  <si>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</si>
  <si>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</si>
  <si>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</si>
  <si>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</si>
  <si>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</si>
  <si>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</si>
  <si>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</si>
  <si>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</si>
  <si>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</si>
  <si>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</si>
  <si>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</si>
  <si>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</si>
  <si>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</si>
  <si>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</si>
  <si>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</si>
  <si>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</si>
  <si>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</si>
  <si>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</si>
  <si>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</si>
  <si>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</si>
  <si>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</si>
  <si>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</si>
  <si>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</si>
  <si>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</si>
  <si>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</si>
  <si>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</si>
  <si>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</si>
  <si>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</si>
  <si>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</si>
  <si>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</si>
  <si>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</si>
  <si>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</si>
  <si>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</si>
  <si>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</si>
  <si>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</si>
  <si>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</si>
  <si>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</si>
  <si>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</si>
  <si>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</si>
  <si>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</si>
  <si>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</si>
  <si>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</si>
  <si>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</si>
  <si>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</si>
  <si>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</si>
  <si>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</si>
  <si>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</si>
  <si>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</si>
  <si>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</si>
  <si>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</si>
  <si>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</si>
  <si>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</si>
  <si>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</si>
  <si>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</si>
  <si>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</si>
  <si>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</si>
  <si>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</si>
  <si>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</si>
  <si>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</si>
  <si>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</si>
  <si>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</si>
  <si>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</si>
  <si>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</si>
  <si>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</si>
  <si>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</si>
  <si>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</si>
  <si>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</si>
  <si>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</si>
  <si>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</si>
  <si>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</si>
  <si>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</si>
  <si>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</si>
  <si>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</si>
  <si>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</si>
  <si>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</si>
  <si>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</si>
  <si>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인천 성우빌딩 B동 SO</t>
  </si>
  <si>
    <t>OTIS HIX-A164/165</t>
  </si>
  <si>
    <t>이인종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</si>
</sst>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인천 성우빌딩 B동 SO ) _이인종소장</v>
      </c>
      <c r="C2" s="39" t="str">
        <f>"(와이드) 제작변환 자료( "&amp;B1&amp;" ) _"&amp;소장 &amp;"소장"</f>
        <v>(와이드) 제작변환 자료( 인천 성우빌딩 B동 SO ) _이인종소장</v>
      </c>
      <c r="D2" s="154" t="s">
        <v>312</v>
      </c>
      <c r="E2" s="150" t="str">
        <f>"(SO와이드) 실측서 ( " &amp; B1 &amp; " ) _"&amp;소장 &amp;"소장"</f>
        <v>(SO와이드) 실측서 ( 인천 성우빌딩 B동 SO ) _이인종소장</v>
      </c>
      <c r="F2" s="150" t="str">
        <f>"(SO와이드) 제작변환 ( " &amp; B1 &amp; " ) _"&amp;소장 &amp;"소장"</f>
        <v>(SO와이드) 제작변환 ( 인천 성우빌딩 B동 SO ) _이인종소장</v>
      </c>
      <c r="G2" s="152" t="s">
        <v>314</v>
      </c>
      <c r="H2" s="147" t="str">
        <f>"(4CO와이드) 실측서 ( " &amp; B1 &amp; " ) _"&amp;소장 &amp;"소장"</f>
        <v>(4CO와이드) 실측서 ( 인천 성우빌딩 B동 SO ) _이인종소장</v>
      </c>
      <c r="I2" s="147" t="str">
        <f>"(4CO와이드) 제작변환 ( " &amp; B1 &amp; " ) _"&amp;소장 &amp;"소장"</f>
        <v>(4CO와이드) 제작변환 ( 인천 성우빌딩 B동 SO ) _이인종소장</v>
      </c>
      <c r="J2" s="152" t="s">
        <v>316</v>
      </c>
      <c r="K2" s="153" t="str">
        <f>"(2UP) 실측서 ( " &amp; B1 &amp; " ) _"&amp;소장 &amp;"소장"</f>
        <v>(2UP) 실측서 ( 인천 성우빌딩 B동 SO ) _이인종소장</v>
      </c>
      <c r="L2" s="153" t="str">
        <f>"(2UP) 제작변환 ( " &amp; B1 &amp; " ) _"&amp;소장 &amp;"소장"</f>
        <v>(2UP) 제작변환 ( 인천 성우빌딩 B동 SO ) _이인종소장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인천 성우빌딩 B동 SO ) _이인종소장</v>
      </c>
      <c r="C3" s="39" t="str">
        <f>"(멍텅구리) 제작변환 자료( "&amp;B1&amp;" ) _"&amp;소장 &amp;"소장"</f>
        <v>(멍텅구리) 제작변환 자료( 인천 성우빌딩 B동 SO ) _이인종소장</v>
      </c>
      <c r="D3" s="154" t="s">
        <v>313</v>
      </c>
      <c r="E3" s="150" t="str">
        <f>"(SO멍텅구리) 실측서 ( " &amp; B1 &amp; " ) _"&amp;소장 &amp;"소장"</f>
        <v>(SO멍텅구리) 실측서 ( 인천 성우빌딩 B동 SO ) _이인종소장</v>
      </c>
      <c r="F3" s="150" t="str">
        <f>"(SO멍텅구리) 제작변환 ( " &amp; B1 &amp; " ) _"&amp;소장 &amp;"소장"</f>
        <v>(SO멍텅구리) 제작변환 ( 인천 성우빌딩 B동 SO ) _이인종소장</v>
      </c>
      <c r="G3" s="152" t="s">
        <v>315</v>
      </c>
      <c r="H3" s="147" t="str">
        <f>"(4CO멍텅구리) 실측서 ( " &amp; B1 &amp; " ) _"&amp;소장 &amp;"소장"</f>
        <v>(4CO멍텅구리) 실측서 ( 인천 성우빌딩 B동 SO ) _이인종소장</v>
      </c>
      <c r="I3" s="147" t="str">
        <f>"(4CO멍텅구리) 제작변환 ( " &amp; B1 &amp; " ) _"&amp;소장 &amp;"소장"</f>
        <v>(4CO멍텅구리) 제작변환 ( 인천 성우빌딩 B동 SO ) _이인종소장</v>
      </c>
      <c r="J3" s="152" t="s">
        <v>317</v>
      </c>
      <c r="K3" s="153" t="str">
        <f>"(3UP) 실측서 ( " &amp; B1 &amp; " ) _"&amp;소장 &amp;"소장"</f>
        <v>(3UP) 실측서 ( 인천 성우빌딩 B동 SO ) _이인종소장</v>
      </c>
      <c r="L3" s="153" t="str">
        <f>"(3UP) 제작변환 ( " &amp; B1 &amp; " ) _"&amp;소장 &amp;"소장"</f>
        <v>(3UP) 제작변환 ( 인천 성우빌딩 B동 SO ) _이인종소장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인천 성우빌딩 B동 SO ) _이인종소장</v>
      </c>
      <c r="C4" s="39" t="str">
        <f>"(쪽쟘) 제작변환 자료( "&amp;B1&amp;" ) _"&amp;소장 &amp;"소장"</f>
        <v>(쪽쟘) 제작변환 자료( 인천 성우빌딩 B동 SO ) _이인종소장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318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(0),   U + (0), OP - (3), R - (2),  기둥차감 - (0), A + (3)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(0),  U +(0), OP - (3), R - (2),  기둥차감 - (0),  A + (3)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-(0),  C + (0),   U + (0), OP - (3), R - (2),  기둥차감 - (0),  A + (3)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-(0),  C + (0),  U +(0), OP1/OP2 - (3), R - (2),  기둥차감 - (0), A + (3)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-(0),  C + (0),   U + (0), OP1/OP3 - (3), R - (2),  기둥차감 - (0), A + (3)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-(0),  C + (0),  U +(0), OP1/OP3 - (3), R - (2),  기둥차감 - (0), A + (3)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-(0),  C + (0),   U + (0), OP - (2), R - (2),  기둥차감 - (0), A + (3)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-(0),  C + (0),   U + (0), OP - (2), R - (2),  기둥차감 - (0), A + (3)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인천 성우빌딩 B동 SO</v>
      </c>
      <c r="E2" s="3" t="str">
        <f>정보!B6</f>
        <v>이인종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OTIS HIX-A164/165</v>
      </c>
      <c r="J2" s="87">
        <f ca="1">TODAY()</f>
        <v>45483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인천 성우빌딩 B동 SO ) _이인종소장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+(5 ),  늘어난치수K -(0),  C + (0),   U + (0), OP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Q3" sqref="AQ3:AR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인천 성우빌딩 B동 SO ) _이인종소장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2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 t="str">
        <f>정보!B5</f>
        <v>OTIS HIX-A164/165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5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3</v>
      </c>
      <c r="AA3" s="200"/>
      <c r="AC3" s="201" t="s">
        <v>305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319</v>
      </c>
      <c r="AP3" s="228"/>
      <c r="AQ3" s="231">
        <f>AU7</f>
        <v>5.710593137499643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+(5 ),  늘어난치수K -(0),  C + (0),   U + (0), OP - (3), R - (2),  기둥차감 - (0), A + (3)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45483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2</v>
      </c>
      <c r="D7" s="31">
        <f>'와이드(실측)'!D7+와이드MH더함-IF(AND(소장="추영덕",Y7=0),1.2)</f>
        <v>2</v>
      </c>
      <c r="E7" s="135">
        <f>'와이드(실측)'!E7-와이드OP</f>
        <v>-3</v>
      </c>
      <c r="F7" s="31">
        <f>'와이드(실측)'!F7-와이드R</f>
        <v>-2</v>
      </c>
      <c r="G7" s="50">
        <f>'와이드(실측)'!G7+와이드JBJD키움치수+IF(BI7=1,AC7,0)</f>
        <v>5</v>
      </c>
      <c r="H7" s="50">
        <f>'와이드(실측)'!H7+와이드JBJD키움치수+IF(BI7=1,AE7,0)</f>
        <v>5</v>
      </c>
      <c r="I7" s="50">
        <f>'와이드(실측)'!I7+MAX(AS7,AT7)+와이드JBJD키움치수+IF(BI7=1,AC7,0)</f>
        <v>5</v>
      </c>
      <c r="J7" s="50">
        <f>'와이드(실측)'!I7+MAX(AS7,AT7)+와이드JBJD키움치수+IF(BI7=1,AD7,0)-IF(와이드JB하부늘치=1,'와이드(실측)'!Y7-'와이드(실측)'!Z7,0)</f>
        <v>5</v>
      </c>
      <c r="K7" s="50">
        <f>'와이드(실측)'!J7+MAX(AS7,AT7)+와이드JBJD키움치수+IF(BI7=1,AE7,0)</f>
        <v>5</v>
      </c>
      <c r="L7" s="50">
        <f>'와이드(실측)'!J7+MAX(AS7,AT7)+와이드JBJD키움치수+IF(BI7=1,AF7,0)-IF(와이드JB하부늘치=1,'와이드(실측)'!AA7-'와이드(실측)'!AB7,0)</f>
        <v>5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0.1</v>
      </c>
      <c r="R7" s="38">
        <f>ROUNDUP(AW7,1)</f>
        <v>0.1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0.8</v>
      </c>
      <c r="AH7" s="31">
        <f xml:space="preserve"> IF(소장&lt;&gt;"손상민",IF('와이드(실측)'!AD7&gt;0,'와이드(실측)'!AD7,D7-1.2),IF('와이드(실측)'!AD7&gt;0,'와이드(실측)'!AD7+1.2,D7))</f>
        <v>0.8</v>
      </c>
      <c r="AI7" s="51">
        <f>IF(Z7&gt;0,Z7-MAX(Q7,R7),0)</f>
        <v>0</v>
      </c>
      <c r="AJ7" s="31" t="str">
        <f t="shared" ref="AJ7" si="1">BA7&amp;"*"&amp;BB7</f>
        <v>-2*4.6</v>
      </c>
      <c r="AK7" s="31" t="str">
        <f t="shared" ref="AK7" si="2">BD7&amp;"*"&amp;BC7</f>
        <v>0.8*2.6</v>
      </c>
      <c r="AL7" s="31" t="str">
        <f t="shared" ref="AL7" si="3">BF7&amp;"*"&amp;BE7</f>
        <v>0.8*2.6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5.710593137499643</v>
      </c>
      <c r="AV7" s="21">
        <f>ABS(G7-COS(RADIANS(AU7))*I7)</f>
        <v>2.4814048950053902E-2</v>
      </c>
      <c r="AW7" s="21">
        <f>ABS(H7-COS(RADIANS(AU7))*K7)</f>
        <v>2.4814048950053902E-2</v>
      </c>
      <c r="AX7" s="21">
        <f>'와이드(실측)'!M7+AS7</f>
        <v>0</v>
      </c>
      <c r="AY7" s="21">
        <f>'와이드(실측)'!N7+AS7</f>
        <v>0</v>
      </c>
      <c r="AZ7" s="20">
        <f>AV7-MAX(AX7,AY7)</f>
        <v>2.4814048950053902E-2</v>
      </c>
      <c r="BA7" s="41">
        <f>IF(소장&lt;&gt;"손상민",F7+IF(Y7+Z7&gt;0,N7+M7,0),F7)</f>
        <v>-2</v>
      </c>
      <c r="BB7" s="42">
        <f>MAX(C7,D7)+MAX(G7,H7)+AA7-1.2*$AJ$3+IF(BI7=0,MAX(AE7,AC7),0)+IF(Y7=0,1.2,0)+IF(Z7=0,1.2,0)+IF(소장&lt;&gt;"손상민", Y7+Z7,IF('와이드(실측)'!U7=0,0,2.4))</f>
        <v>4.6000000000000005</v>
      </c>
      <c r="BC7" s="41">
        <f>S7+O7+MAX(I7,J7)+AB7-1.2*$AL$3+IF(BI7=0,MAX(AD7,AC7),0)+IF(S7=0,1.2,0)-IF(AR7=90,2.4,0)</f>
        <v>2.6000000000000005</v>
      </c>
      <c r="BD7" s="41">
        <f>MAX(U7,V7)+AG7</f>
        <v>0.8</v>
      </c>
      <c r="BE7" s="41">
        <f>T7+P7+MAX(K7,L7)+AB7-1.2*$AL$3+IF(BI7=0,MAX(AE7,AF7),0)+IF(T7=0,1.2,0)-IF(AR7=90,2.4,0)</f>
        <v>2.6000000000000005</v>
      </c>
      <c r="BF7" s="41">
        <f>MAX(W7,X7)+AH7</f>
        <v>0.8</v>
      </c>
      <c r="BG7" s="6">
        <f t="shared" ref="BG7" si="4">I7-G7-Q7</f>
        <v>-0.1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+(5 ),  늘어난치수K -(0),  C + (0),  U +(0), OP - (3), R - (2),  기둥차감 - (0), 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O7" sqref="AO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3</v>
      </c>
      <c r="C2" s="22" t="s">
        <v>86</v>
      </c>
      <c r="D2" s="48">
        <v>2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인천 성우빌딩 B동 SO,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3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320</v>
      </c>
      <c r="AG3" s="281"/>
      <c r="AH3" s="212"/>
      <c r="AI3" s="282">
        <f>AN7</f>
        <v>5.710593137499643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+(5 ),  늘어난치수K -(0),  C + (0),  U +(0), OP - (3), R - (2),  기둥차감 - (0),  A + (3)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306</v>
      </c>
      <c r="Z4" s="275"/>
      <c r="AA4" s="276">
        <f>'멍텅(실측)'!U7</f>
        <v>0</v>
      </c>
      <c r="AB4" s="276"/>
      <c r="AC4" s="9"/>
      <c r="AD4" s="222">
        <f ca="1">TODAY()</f>
        <v>45483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300</v>
      </c>
      <c r="AL5" s="177" t="s">
        <v>301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-3</v>
      </c>
      <c r="D7" s="4">
        <f>'멍텅(실측)'!D7-멍텅R</f>
        <v>-2</v>
      </c>
      <c r="E7" s="50">
        <f>'멍텅(실측)'!E7+MAX(AK7,AL7)+IF(AZ7=1,Y7,0)+멍텅JBJD늘림치수</f>
        <v>5</v>
      </c>
      <c r="F7" s="50">
        <f>'멍텅(실측)'!F7+MAX(AK7,AL7)+IF(AZ7=1,AA7,0)+멍텅JBJD늘림치수</f>
        <v>5</v>
      </c>
      <c r="G7" s="50">
        <f>'멍텅(실측)'!G7+AK7+IF(AZ7=1,Y7,0)+멍텅JB강제키움+멍텅JBJD늘림치수</f>
        <v>5</v>
      </c>
      <c r="H7" s="50">
        <f>'멍텅(실측)'!G7+AK7+IF(AZ7=1,Z7,0)+멍텅JB강제키움+멍텅JBJD늘림치수-IF(멍텅JB하부늘치=1,'멍텅(실측)'!U7-'멍텅(실측)'!V7,0)</f>
        <v>5</v>
      </c>
      <c r="I7" s="50">
        <f>'멍텅(실측)'!H7+AL7+IF(AZ7=1,AA7,0)+멍텅JB강제키움+멍텅JBJD늘림치수</f>
        <v>5</v>
      </c>
      <c r="J7" s="50">
        <f>'멍텅(실측)'!H7+AL7+IF(AZ7=1,AB7,0)+멍텅JB강제키움+멍텅JBJD늘림치수-IF(멍텅JB하부늘치=1,'멍텅(실측)'!W7-'멍텅(실측)'!X7,0)</f>
        <v>5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-2*2.6</v>
      </c>
      <c r="AD7" s="12" t="str">
        <f t="shared" ref="AD7" si="2">AU7&amp;"*"&amp;AT7</f>
        <v>0*2.4</v>
      </c>
      <c r="AE7" s="10" t="str">
        <f t="shared" ref="AE7" si="3">AW7&amp;"*"&amp;AV7</f>
        <v>0*2.4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5.710593137499643</v>
      </c>
      <c r="AO7" s="36">
        <f>IF(소장="박철우",E7-COS(RADIANS(AN7))*G7+2,E7-COS(RADIANS(AN7))*G7)</f>
        <v>2.4814048950053902E-2</v>
      </c>
      <c r="AP7" s="36">
        <f>IF(소장="박철우",F7-COS(RADIANS(AN7))*I7+2,F7-COS(RADIANS(AN7))*I7)</f>
        <v>2.4814048950053902E-2</v>
      </c>
      <c r="AQ7" s="46" t="str">
        <f t="shared" ref="AQ7" si="5">IF(E7+Y7&lt;&gt;F7+AA7,"JD비대칭","")</f>
        <v/>
      </c>
      <c r="AR7" s="3">
        <f>D7 + IF(U7+V7&gt;0, K7+L7,0)</f>
        <v>-2</v>
      </c>
      <c r="AS7" s="3">
        <f>U7+MAX(E7,F7)+W7+V7-1.2*$AC$3+IF(AZ7=0,MAX(Y7,AA7))+IF(V7=0,1.2,0)</f>
        <v>2.6000000000000005</v>
      </c>
      <c r="AT7" s="3">
        <f>O7+M7+MAX(G7,H7)+X7-1.2*$AE$3+IF(AZ7=0,MAX(Y7,Z7))+IF(O7=0,1.2,0)-IF(AH7=90,2.4,0)</f>
        <v>2.4000000000000004</v>
      </c>
      <c r="AU7" s="3">
        <f t="shared" ref="AU7" si="6">MAX(Q7,R7)</f>
        <v>0</v>
      </c>
      <c r="AV7" s="3">
        <f>P7+N7+MAX(I7,J7)+X7-1.2*$AE$3+IF(AZ7=0,MAX(AA7,AB7))+IF(P7=0,1.2,0)-IF(AH7=90,2.4,0)</f>
        <v>2.4000000000000004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인천 성우빌딩 B동 SO ) _이인종소장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인천 성우빌딩 B동 SO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인천 성우빌딩 B동 SO (쪽쟘제작치수)  이인종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인천 성우빌딩 B동 SO (제작치수 샤링작지) 이인종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70" zoomScaleNormal="70" workbookViewId="0">
      <selection activeCell="H7" sqref="H7:K7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인천 성우빌딩 B동 SO ) _이인종소장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+(5 ),  늘어난치수K -(0),  C + (0),   U + (0), OP - (3), R - (2),  기둥차감 - (0), A + (3)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</v>
      </c>
      <c r="C7" s="4">
        <v>260</v>
      </c>
      <c r="D7" s="4">
        <v>260</v>
      </c>
      <c r="E7" s="4">
        <v>386</v>
      </c>
      <c r="F7" s="4">
        <v>414</v>
      </c>
      <c r="G7" s="4">
        <v>907</v>
      </c>
      <c r="H7" s="4">
        <v>310</v>
      </c>
      <c r="I7" s="4">
        <v>270</v>
      </c>
      <c r="J7" s="4">
        <v>324</v>
      </c>
      <c r="K7" s="4">
        <v>284</v>
      </c>
      <c r="L7" s="4">
        <v>42</v>
      </c>
      <c r="M7" s="4">
        <v>42</v>
      </c>
      <c r="N7" s="4"/>
      <c r="O7" s="4"/>
      <c r="P7" s="4">
        <v>0</v>
      </c>
      <c r="Q7" s="4">
        <v>-2</v>
      </c>
      <c r="R7" s="4">
        <v>2102</v>
      </c>
      <c r="S7" s="4">
        <v>2095</v>
      </c>
      <c r="T7" s="4">
        <v>2100</v>
      </c>
      <c r="U7" s="4">
        <v>2088</v>
      </c>
      <c r="V7" s="4">
        <v>42</v>
      </c>
      <c r="W7" s="4">
        <v>0</v>
      </c>
      <c r="X7" s="4">
        <v>25</v>
      </c>
      <c r="Y7" s="4">
        <v>25</v>
      </c>
      <c r="Z7" s="4">
        <v>30</v>
      </c>
      <c r="AA7" s="4">
        <v>10</v>
      </c>
      <c r="AB7" s="4">
        <v>17</v>
      </c>
      <c r="AC7" s="4">
        <v>17</v>
      </c>
      <c r="AD7" s="4">
        <v>19</v>
      </c>
      <c r="AE7" s="4"/>
      <c r="AF7" s="4"/>
      <c r="AG7" s="4"/>
      <c r="AH7" s="4"/>
      <c r="AI7" s="4">
        <v>80</v>
      </c>
      <c r="AJ7" s="4">
        <v>20</v>
      </c>
      <c r="AK7" s="4">
        <v>10</v>
      </c>
      <c r="AL7" s="4">
        <v>6</v>
      </c>
      <c r="AM7" s="53">
        <v>10</v>
      </c>
      <c r="AN7" s="3">
        <f>AA7+$AM7</f>
        <v>20</v>
      </c>
      <c r="AO7" s="3">
        <f>AB7+$AM7</f>
        <v>27</v>
      </c>
      <c r="AP7" s="3">
        <f>AC7+$AM7</f>
        <v>27</v>
      </c>
      <c r="AQ7" s="3">
        <f>AD7+$AM7</f>
        <v>29</v>
      </c>
      <c r="AR7" s="3">
        <f>H7-$AM7</f>
        <v>300</v>
      </c>
      <c r="AS7" s="3">
        <f>I7-$AM7</f>
        <v>260</v>
      </c>
      <c r="AT7" s="3">
        <f>J7-$AM7</f>
        <v>314</v>
      </c>
      <c r="AU7" s="3">
        <f>K7-$AM7</f>
        <v>274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tabSelected="1"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인천 성우빌딩 B동 SO ) _이인종소장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3</v>
      </c>
      <c r="C2" s="98" t="s">
        <v>86</v>
      </c>
      <c r="D2" s="112">
        <v>2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 t="str">
        <f>정보!B5</f>
        <v>OTIS HIX-A164/165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5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0</v>
      </c>
      <c r="Z3" s="199"/>
      <c r="AA3" s="315" t="s">
        <v>78</v>
      </c>
      <c r="AB3" s="315"/>
      <c r="AC3" s="325">
        <v>3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321</v>
      </c>
      <c r="AT3" s="228"/>
      <c r="AU3" s="231">
        <f>AY7</f>
        <v>9.9924145262162458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+(5 ),  늘어난치수K -(0),  C + (0),   U + (0), OP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307</v>
      </c>
      <c r="AH4" s="316"/>
      <c r="AI4" s="275">
        <f>'SO와이드(실측)'!AA7</f>
        <v>10</v>
      </c>
      <c r="AJ4" s="275"/>
      <c r="AK4" s="222">
        <f ca="1">TODAY()</f>
        <v>45483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1F</v>
      </c>
      <c r="C7" s="31">
        <f>'SO와이드(실측)'!C7+SO와이드MH더함-IF(AND(소장="추영덕",AB7=0),1.2)</f>
        <v>262</v>
      </c>
      <c r="D7" s="31">
        <f>'SO와이드(실측)'!D7+SO와이드MH더함-IF(AND(소장="추영덕",AB7=0),1.2)</f>
        <v>262</v>
      </c>
      <c r="E7" s="31">
        <f>'SO와이드(실측)'!E7-SO와이드OP</f>
        <v>383</v>
      </c>
      <c r="F7" s="31">
        <f>'SO와이드(실측)'!F7-SO와이드OP</f>
        <v>411</v>
      </c>
      <c r="G7" s="31">
        <f>'SO와이드(실측)'!G7-SO와이드R</f>
        <v>905</v>
      </c>
      <c r="H7" s="50">
        <f>'SO와이드(실측)'!H7+SO와이드JBJD키움치수+IF(BN7=1,AG7,0)</f>
        <v>315</v>
      </c>
      <c r="I7" s="50">
        <f>'SO와이드(실측)'!I7+SO와이드JBJD키움치수+IF(BN7=1,AI7,0)</f>
        <v>275</v>
      </c>
      <c r="J7" s="50">
        <f>'SO와이드(실측)'!J7+MAX(AW7,AX7)+SO와이드JBJD키움치수+IF(BN7=1,AG7,0)</f>
        <v>337</v>
      </c>
      <c r="K7" s="50">
        <f>'SO와이드(실측)'!J7+MAX(AW7,AX7)+SO와이드JBJD키움치수+IF(BN7=1,AH7,0)-IF(SO와이드JB하부늘치=1,'SO와이드(실측)'!AA7-'SO와이드(실측)'!AB7,0)</f>
        <v>344</v>
      </c>
      <c r="L7" s="50">
        <f>'SO와이드(실측)'!K7+MAX(AW7,AX7)+SO와이드JBJD키움치수+IF(BN7=1,AI7,0)</f>
        <v>297</v>
      </c>
      <c r="M7" s="50">
        <f>'SO와이드(실측)'!K7+MAX(AW7,AX7)+SO와이드JBJD키움치수+IF(BN7=1,AJ7,0)-IF(SO와이드JB하부늘치=1,'SO와이드(실측)'!AC7-'SO와이드(실측)'!AD7,0)</f>
        <v>299</v>
      </c>
      <c r="N7" s="91">
        <f>IF(BN7=0,H7+AG7-(I7+AI7),H7-I7)</f>
        <v>33</v>
      </c>
      <c r="O7" s="88">
        <f>IF(BN7=0,J7+AG7-(L7+AI7),J7-L7)</f>
        <v>33</v>
      </c>
      <c r="P7" s="31">
        <f t="shared" ref="P7:Q7" si="0">IF(소장="손상민",0,R7-1.5)</f>
        <v>40.5</v>
      </c>
      <c r="Q7" s="31">
        <f t="shared" si="0"/>
        <v>40.5</v>
      </c>
      <c r="R7" s="31">
        <f>IF(V7&lt;9,'SO와이드(실측)'!L7+1.2,IF(ISNUMBER('SO와이드(실측)'!L7),'SO와이드(실측)'!L7+SO와이드C값,0))</f>
        <v>42</v>
      </c>
      <c r="S7" s="31">
        <f>IF(W7&lt;9,'SO와이드(실측)'!M7+1.2,IF(ISNUMBER('SO와이드(실측)'!M7),'SO와이드(실측)'!M7+SO와이드C값,0))</f>
        <v>42</v>
      </c>
      <c r="T7" s="136">
        <f>ROUNDUP(BA7,1)</f>
        <v>16.8</v>
      </c>
      <c r="U7" s="137">
        <f>ROUNDUP(BB7,1)</f>
        <v>16.100000000000001</v>
      </c>
      <c r="V7" s="31">
        <f>IF(ISNUMBER('SO와이드(실측)'!P7),'SO와이드(실측)'!P7+SO와이드제작!AW7+SO와이드A늘림,0)</f>
        <v>11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2102</v>
      </c>
      <c r="Y7" s="31">
        <f>'SO와이드(실측)'!S7-SO와이드기둥차감</f>
        <v>2095</v>
      </c>
      <c r="Z7" s="31">
        <f>'SO와이드(실측)'!T7-SO와이드기둥차감</f>
        <v>2100</v>
      </c>
      <c r="AA7" s="31">
        <f>'SO와이드(실측)'!U7-SO와이드기둥차감</f>
        <v>2088</v>
      </c>
      <c r="AB7" s="31">
        <f>IF(소장&lt;&gt;"손상민",IF(ISNUMBER('SO와이드(실측)'!V7),'SO와이드(실측)'!V7+SO와이드U,0),IF(ISNUMBER('SO와이드(실측)'!V7),'SO와이드(실측)'!V7+1.2,0))</f>
        <v>42</v>
      </c>
      <c r="AC7" s="31">
        <f>IF(소장="손상민",MAX(T7,U7)+3.2,IF(ISNUMBER('SO와이드(실측)'!W7),'SO와이드(실측)'!W7+1.5+SO와이드제작!T7+1,0))</f>
        <v>19.3</v>
      </c>
      <c r="AD7" s="31">
        <f>'SO와이드(실측)'!X7+뒷날개치수더함</f>
        <v>25</v>
      </c>
      <c r="AE7" s="31">
        <f>'SO와이드(실측)'!Y7+뒷날개치수더함</f>
        <v>25</v>
      </c>
      <c r="AF7" s="31">
        <f>'SO와이드(실측)'!Z7+뒷날개치수더함</f>
        <v>30</v>
      </c>
      <c r="AG7" s="31">
        <f>'SO와이드(실측)'!AA7-SO와이드늘치</f>
        <v>10</v>
      </c>
      <c r="AH7" s="31">
        <f>IF(SO와이드JB하부늘치=1,AG7,'SO와이드(실측)'!AB7-SO와이드늘치)</f>
        <v>10</v>
      </c>
      <c r="AI7" s="31">
        <f>'SO와이드(실측)'!AC7-SO와이드늘치</f>
        <v>17</v>
      </c>
      <c r="AJ7" s="31">
        <f>IF(SO와이드JB하부늘치=1,AI7,'SO와이드(실측)'!AD7-SO와이드늘치)</f>
        <v>17</v>
      </c>
      <c r="AK7" s="31">
        <f xml:space="preserve"> IF(소장&lt;&gt;"손상민",IF('SO와이드(실측)'!AE7&gt;0,'SO와이드(실측)'!AE7,C7-1.2),IF('SO와이드(실측)'!AE7&gt;0,'SO와이드(실측)'!AE7+1.2,C7))</f>
        <v>260.8</v>
      </c>
      <c r="AL7" s="31">
        <f xml:space="preserve"> IF(소장&lt;&gt;"손상민",IF('SO와이드(실측)'!AF7&gt;0,'SO와이드(실측)'!AF7,D7-1.2),IF('SO와이드(실측)'!AF7&gt;0,'SO와이드(실측)'!AF7+1.2,D7) )</f>
        <v>260.8</v>
      </c>
      <c r="AM7" s="51">
        <f>IF(AC7&gt;0,AC7-MAX(T7,U7),0)</f>
        <v>2.5</v>
      </c>
      <c r="AN7" s="31" t="str">
        <f t="shared" ref="AN7" si="1">BF7&amp;"*"&amp;BG7</f>
        <v>986*674.3</v>
      </c>
      <c r="AO7" s="31" t="str">
        <f t="shared" ref="AO7" si="2">BI7&amp;"*"&amp;BH7</f>
        <v>2362.8*427.2</v>
      </c>
      <c r="AP7" s="31" t="str">
        <f t="shared" ref="AP7" si="3">BK7&amp;"*"&amp;BJ7</f>
        <v>2360.8*392.2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80</v>
      </c>
      <c r="AT7" s="31">
        <f>IF('SO와이드(실측)'!AJ7&gt;5,'SO와이드(실측)'!AJ7+뒷날개치수더함,'SO와이드(실측)'!AJ7)</f>
        <v>20</v>
      </c>
      <c r="AU7" s="31">
        <f>'SO와이드(실측)'!AK7</f>
        <v>10</v>
      </c>
      <c r="AV7" s="31">
        <f>'SO와이드(실측)'!AL7</f>
        <v>6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8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8</v>
      </c>
      <c r="AY7" s="20">
        <f>DEGREES(ATAN((G7-(E7+F7))/2/(H7)))</f>
        <v>9.9924145262162458</v>
      </c>
      <c r="AZ7" s="20">
        <f>DEGREES(ATAN((G7-(E7+F7))/2/(I7)))</f>
        <v>11.410064807437461</v>
      </c>
      <c r="BA7" s="21">
        <f>INT(ABS(H7-COS(RADIANS(AY7))*J7)*10)/10</f>
        <v>16.8</v>
      </c>
      <c r="BB7" s="21">
        <f>INT(ABS(I7-COS(RADIANS(AZ7))*L7)*10)/10</f>
        <v>16.100000000000001</v>
      </c>
      <c r="BC7" s="21">
        <f>'SO와이드(실측)'!N7+AW7</f>
        <v>8</v>
      </c>
      <c r="BD7" s="21">
        <f>'SO와이드(실측)'!O7+AW7</f>
        <v>8</v>
      </c>
      <c r="BE7" s="20">
        <f>BA7-MAX(BC7,BD7)</f>
        <v>8.8000000000000007</v>
      </c>
      <c r="BF7" s="41">
        <f>IF(소장&lt;&gt;"손상민",G7+IF(AB7+AC7&gt;0,P7+Q7,0),G7)</f>
        <v>986</v>
      </c>
      <c r="BG7" s="42">
        <f>MAX(C7,D7)+MAX(H7,I7)+AD7-1.2*$AN$3+IF(BN7=0,MAX(AI7,AG7),0)+IF(AB7=0,1.2,0)+IF(AC7=0,1.2,0)+IF(소장&lt;&gt;"손상민", AB7+AC7,IF('SO와이드(실측)'!V7=0,0,2.4))</f>
        <v>674.3</v>
      </c>
      <c r="BH7" s="41">
        <f>V7+R7+MAX(J7,K7)+AE7-1.2*$AP$3+IF(BN7=0,MAX(AH7,AG7),0)+IF(V7=0,1.2,0)-IF(AV7=90,2.4,0)</f>
        <v>427.2</v>
      </c>
      <c r="BI7" s="41">
        <f>MAX(X7,Y7)+AK7</f>
        <v>2362.8000000000002</v>
      </c>
      <c r="BJ7" s="41">
        <f>W7+S7+MAX(L7,M7)+AF7-1.2*$AP$3+IF(BN7=0,MAX(AI7,AJ7),0)+IF(W7=0,1.2,0)-IF(AV7=90,2.4,0)</f>
        <v>392.2</v>
      </c>
      <c r="BK7" s="41">
        <f>MAX(Z7,AA7)+AL7</f>
        <v>2360.8000000000002</v>
      </c>
      <c r="BL7" s="6">
        <f t="shared" ref="BL7" si="4">J7-H7-T7</f>
        <v>5.1999999999999993</v>
      </c>
      <c r="BM7" s="43" t="str">
        <f>IF(AND(C7&lt;&gt;D7,AB7&gt;0),"NG","")</f>
        <v/>
      </c>
      <c r="BN7" s="77">
        <f>IF(AND(MIN(AG7,AI7)&gt;=9.2,G7-E7-F7&gt;15),0,1)</f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topLeftCell="C1" zoomScale="85" zoomScaleNormal="85" workbookViewId="0">
      <selection activeCell="F7" sqref="F7:I1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+(5 ),  늘어난치수K -(0),  C + (0),  U +(0), OP1/OP2 -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6</v>
      </c>
      <c r="C7" s="4">
        <v>386</v>
      </c>
      <c r="D7" s="4">
        <v>411</v>
      </c>
      <c r="E7" s="4">
        <v>908</v>
      </c>
      <c r="F7" s="4">
        <v>327</v>
      </c>
      <c r="G7" s="4">
        <v>288</v>
      </c>
      <c r="H7" s="4">
        <v>331</v>
      </c>
      <c r="I7" s="4">
        <v>291</v>
      </c>
      <c r="J7" s="4">
        <v>42</v>
      </c>
      <c r="K7" s="4">
        <v>42</v>
      </c>
      <c r="L7" s="4">
        <v>13</v>
      </c>
      <c r="M7" s="4">
        <v>0</v>
      </c>
      <c r="N7" s="4">
        <v>2101</v>
      </c>
      <c r="O7" s="4">
        <v>2092</v>
      </c>
      <c r="P7" s="4">
        <v>2103</v>
      </c>
      <c r="Q7" s="4">
        <v>2092</v>
      </c>
      <c r="R7" s="4">
        <v>42</v>
      </c>
      <c r="S7" s="4">
        <v>9</v>
      </c>
      <c r="T7" s="4">
        <v>25</v>
      </c>
      <c r="U7" s="4">
        <v>25</v>
      </c>
      <c r="V7" s="4">
        <v>30</v>
      </c>
      <c r="W7" s="4">
        <v>16</v>
      </c>
      <c r="X7" s="4">
        <v>11</v>
      </c>
      <c r="Y7" s="4">
        <v>10</v>
      </c>
      <c r="Z7" s="4">
        <v>9</v>
      </c>
      <c r="AA7" s="4">
        <v>20</v>
      </c>
      <c r="AB7" s="4">
        <v>10</v>
      </c>
      <c r="AC7" s="4">
        <v>6</v>
      </c>
      <c r="AD7" s="4"/>
      <c r="AE7" s="4"/>
      <c r="AF7" s="4"/>
      <c r="AG7" s="55">
        <v>4</v>
      </c>
      <c r="AH7" s="3">
        <f t="shared" ref="AH7:AK7" si="0">W7+$AG7</f>
        <v>20</v>
      </c>
      <c r="AI7" s="3">
        <f t="shared" si="0"/>
        <v>15</v>
      </c>
      <c r="AJ7" s="3">
        <f t="shared" si="0"/>
        <v>14</v>
      </c>
      <c r="AK7" s="3">
        <f t="shared" si="0"/>
        <v>13</v>
      </c>
      <c r="AL7" s="3">
        <f t="shared" ref="AL7:AO7" si="1">F7-$AG7</f>
        <v>323</v>
      </c>
      <c r="AM7" s="3">
        <f t="shared" si="1"/>
        <v>284</v>
      </c>
      <c r="AN7" s="3">
        <f t="shared" si="1"/>
        <v>327</v>
      </c>
      <c r="AO7" s="3">
        <f t="shared" si="1"/>
        <v>287</v>
      </c>
    </row>
    <row r="8" spans="1:41" ht="27" customHeight="1" x14ac:dyDescent="0.3">
      <c r="A8" s="4"/>
      <c r="B8" s="4">
        <v>5</v>
      </c>
      <c r="C8" s="4">
        <v>389</v>
      </c>
      <c r="D8" s="4">
        <v>411</v>
      </c>
      <c r="E8" s="4">
        <v>907</v>
      </c>
      <c r="F8" s="4">
        <v>318</v>
      </c>
      <c r="G8" s="4">
        <v>278</v>
      </c>
      <c r="H8" s="4">
        <v>322</v>
      </c>
      <c r="I8" s="4">
        <v>281</v>
      </c>
      <c r="J8" s="4">
        <v>42</v>
      </c>
      <c r="K8" s="4">
        <v>42</v>
      </c>
      <c r="L8" s="4">
        <v>13</v>
      </c>
      <c r="M8" s="4">
        <v>5</v>
      </c>
      <c r="N8" s="4">
        <v>2103</v>
      </c>
      <c r="O8" s="4">
        <v>2095</v>
      </c>
      <c r="P8" s="4">
        <v>2105</v>
      </c>
      <c r="Q8" s="4">
        <v>2095</v>
      </c>
      <c r="R8" s="4">
        <v>42</v>
      </c>
      <c r="S8" s="4">
        <v>9</v>
      </c>
      <c r="T8" s="4">
        <v>25</v>
      </c>
      <c r="U8" s="4">
        <v>25</v>
      </c>
      <c r="V8" s="4">
        <v>30</v>
      </c>
      <c r="W8" s="4">
        <v>14</v>
      </c>
      <c r="X8" s="4">
        <v>12</v>
      </c>
      <c r="Y8" s="4">
        <v>10</v>
      </c>
      <c r="Z8" s="4">
        <v>10</v>
      </c>
      <c r="AA8" s="4">
        <v>20</v>
      </c>
      <c r="AB8" s="4">
        <v>10</v>
      </c>
      <c r="AC8" s="4">
        <v>6</v>
      </c>
      <c r="AD8" s="4"/>
      <c r="AE8" s="4"/>
      <c r="AF8" s="4"/>
      <c r="AG8" s="55">
        <v>3</v>
      </c>
      <c r="AH8" s="3">
        <f t="shared" ref="AH8:AH11" si="2">W8+$AG8</f>
        <v>17</v>
      </c>
      <c r="AI8" s="3">
        <f t="shared" ref="AI8:AI11" si="3">X8+$AG8</f>
        <v>15</v>
      </c>
      <c r="AJ8" s="3">
        <f t="shared" ref="AJ8:AJ11" si="4">Y8+$AG8</f>
        <v>13</v>
      </c>
      <c r="AK8" s="3">
        <f t="shared" ref="AK8:AK11" si="5">Z8+$AG8</f>
        <v>13</v>
      </c>
      <c r="AL8" s="3">
        <f t="shared" ref="AL8:AL11" si="6">F8-$AG8</f>
        <v>315</v>
      </c>
      <c r="AM8" s="3">
        <f t="shared" ref="AM8:AM11" si="7">G8-$AG8</f>
        <v>275</v>
      </c>
      <c r="AN8" s="3">
        <f t="shared" ref="AN8:AN11" si="8">H8-$AG8</f>
        <v>319</v>
      </c>
      <c r="AO8" s="3">
        <f t="shared" ref="AO8:AO11" si="9">I8-$AG8</f>
        <v>278</v>
      </c>
    </row>
    <row r="9" spans="1:41" ht="27" customHeight="1" x14ac:dyDescent="0.3">
      <c r="A9" s="4"/>
      <c r="B9" s="4">
        <v>4</v>
      </c>
      <c r="C9" s="4">
        <v>387</v>
      </c>
      <c r="D9" s="4">
        <v>411</v>
      </c>
      <c r="E9" s="4">
        <v>910</v>
      </c>
      <c r="F9" s="4">
        <v>329</v>
      </c>
      <c r="G9" s="4">
        <v>289</v>
      </c>
      <c r="H9" s="4">
        <v>332</v>
      </c>
      <c r="I9" s="4">
        <v>291</v>
      </c>
      <c r="J9" s="4">
        <v>42</v>
      </c>
      <c r="K9" s="4">
        <v>42</v>
      </c>
      <c r="L9" s="4">
        <v>1</v>
      </c>
      <c r="M9" s="4">
        <v>3</v>
      </c>
      <c r="N9" s="4">
        <v>2090</v>
      </c>
      <c r="O9" s="4">
        <v>2092</v>
      </c>
      <c r="P9" s="4">
        <v>2090</v>
      </c>
      <c r="Q9" s="4">
        <v>2092</v>
      </c>
      <c r="R9" s="4">
        <v>42</v>
      </c>
      <c r="S9" s="4">
        <v>9</v>
      </c>
      <c r="T9" s="4">
        <v>25</v>
      </c>
      <c r="U9" s="4">
        <v>25</v>
      </c>
      <c r="V9" s="4">
        <v>30</v>
      </c>
      <c r="W9" s="4">
        <v>12</v>
      </c>
      <c r="X9" s="4">
        <v>10</v>
      </c>
      <c r="Y9" s="4">
        <v>10</v>
      </c>
      <c r="Z9" s="4">
        <v>8</v>
      </c>
      <c r="AA9" s="4">
        <v>20</v>
      </c>
      <c r="AB9" s="4">
        <v>10</v>
      </c>
      <c r="AC9" s="4">
        <v>6</v>
      </c>
      <c r="AD9" s="4"/>
      <c r="AE9" s="4"/>
      <c r="AF9" s="4"/>
      <c r="AG9" s="55">
        <v>3</v>
      </c>
      <c r="AH9" s="3">
        <f t="shared" si="2"/>
        <v>15</v>
      </c>
      <c r="AI9" s="3">
        <f t="shared" si="3"/>
        <v>13</v>
      </c>
      <c r="AJ9" s="3">
        <f t="shared" si="4"/>
        <v>13</v>
      </c>
      <c r="AK9" s="3">
        <f t="shared" si="5"/>
        <v>11</v>
      </c>
      <c r="AL9" s="3">
        <f t="shared" si="6"/>
        <v>326</v>
      </c>
      <c r="AM9" s="3">
        <f t="shared" si="7"/>
        <v>286</v>
      </c>
      <c r="AN9" s="3">
        <f t="shared" si="8"/>
        <v>329</v>
      </c>
      <c r="AO9" s="3">
        <f t="shared" si="9"/>
        <v>288</v>
      </c>
    </row>
    <row r="10" spans="1:41" ht="27" customHeight="1" x14ac:dyDescent="0.3">
      <c r="A10" s="4"/>
      <c r="B10" s="4">
        <v>3</v>
      </c>
      <c r="C10" s="4">
        <v>386</v>
      </c>
      <c r="D10" s="4">
        <v>413</v>
      </c>
      <c r="E10" s="4">
        <v>910</v>
      </c>
      <c r="F10" s="4">
        <v>327</v>
      </c>
      <c r="G10" s="4">
        <v>287</v>
      </c>
      <c r="H10" s="4">
        <v>330</v>
      </c>
      <c r="I10" s="4">
        <v>289</v>
      </c>
      <c r="J10" s="4">
        <v>42</v>
      </c>
      <c r="K10" s="4">
        <v>42</v>
      </c>
      <c r="L10" s="4">
        <v>2</v>
      </c>
      <c r="M10" s="4">
        <v>5</v>
      </c>
      <c r="N10" s="4">
        <v>2100</v>
      </c>
      <c r="O10" s="4">
        <v>2092</v>
      </c>
      <c r="P10" s="4">
        <v>2100</v>
      </c>
      <c r="Q10" s="4">
        <v>2092</v>
      </c>
      <c r="R10" s="4">
        <v>42</v>
      </c>
      <c r="S10" s="4">
        <v>9</v>
      </c>
      <c r="T10" s="4">
        <v>25</v>
      </c>
      <c r="U10" s="4">
        <v>25</v>
      </c>
      <c r="V10" s="4">
        <v>30</v>
      </c>
      <c r="W10" s="4">
        <v>10</v>
      </c>
      <c r="X10" s="4">
        <v>10</v>
      </c>
      <c r="Y10" s="4">
        <v>10</v>
      </c>
      <c r="Z10" s="4">
        <v>5</v>
      </c>
      <c r="AA10" s="4">
        <v>20</v>
      </c>
      <c r="AB10" s="4">
        <v>10</v>
      </c>
      <c r="AC10" s="4">
        <v>6</v>
      </c>
      <c r="AD10" s="4"/>
      <c r="AE10" s="4"/>
      <c r="AF10" s="4"/>
      <c r="AG10" s="55">
        <v>5</v>
      </c>
      <c r="AH10" s="3">
        <f t="shared" si="2"/>
        <v>15</v>
      </c>
      <c r="AI10" s="3">
        <f t="shared" si="3"/>
        <v>15</v>
      </c>
      <c r="AJ10" s="3">
        <f t="shared" si="4"/>
        <v>15</v>
      </c>
      <c r="AK10" s="3">
        <f t="shared" si="5"/>
        <v>10</v>
      </c>
      <c r="AL10" s="3">
        <f t="shared" si="6"/>
        <v>322</v>
      </c>
      <c r="AM10" s="3">
        <f t="shared" si="7"/>
        <v>282</v>
      </c>
      <c r="AN10" s="3">
        <f t="shared" si="8"/>
        <v>325</v>
      </c>
      <c r="AO10" s="3">
        <f t="shared" si="9"/>
        <v>284</v>
      </c>
    </row>
    <row r="11" spans="1:41" ht="27" customHeight="1" x14ac:dyDescent="0.3">
      <c r="A11" s="4"/>
      <c r="B11" s="4">
        <v>2</v>
      </c>
      <c r="C11" s="4">
        <v>387</v>
      </c>
      <c r="D11" s="4">
        <v>413</v>
      </c>
      <c r="E11" s="4">
        <v>907</v>
      </c>
      <c r="F11" s="4">
        <v>323</v>
      </c>
      <c r="G11" s="4">
        <v>283</v>
      </c>
      <c r="H11" s="4">
        <v>324</v>
      </c>
      <c r="I11" s="4">
        <v>284</v>
      </c>
      <c r="J11" s="4">
        <v>29</v>
      </c>
      <c r="K11" s="4">
        <v>28</v>
      </c>
      <c r="L11" s="4">
        <v>0</v>
      </c>
      <c r="M11" s="4">
        <v>0</v>
      </c>
      <c r="N11" s="4">
        <v>2055</v>
      </c>
      <c r="O11" s="4">
        <v>2088</v>
      </c>
      <c r="P11" s="4">
        <v>2057</v>
      </c>
      <c r="Q11" s="4">
        <v>2085</v>
      </c>
      <c r="R11" s="4">
        <v>30</v>
      </c>
      <c r="S11" s="4">
        <v>9</v>
      </c>
      <c r="T11" s="4">
        <v>25</v>
      </c>
      <c r="U11" s="4">
        <v>25</v>
      </c>
      <c r="V11" s="4">
        <v>30</v>
      </c>
      <c r="W11" s="4">
        <v>10</v>
      </c>
      <c r="X11" s="4">
        <v>12</v>
      </c>
      <c r="Y11" s="4">
        <v>19</v>
      </c>
      <c r="Z11" s="4">
        <v>17</v>
      </c>
      <c r="AA11" s="4">
        <v>20</v>
      </c>
      <c r="AB11" s="4">
        <v>10</v>
      </c>
      <c r="AC11" s="4">
        <v>6</v>
      </c>
      <c r="AD11" s="4"/>
      <c r="AE11" s="4"/>
      <c r="AF11" s="4"/>
      <c r="AG11" s="55">
        <v>10</v>
      </c>
      <c r="AH11" s="3">
        <f t="shared" si="2"/>
        <v>20</v>
      </c>
      <c r="AI11" s="3">
        <f t="shared" si="3"/>
        <v>22</v>
      </c>
      <c r="AJ11" s="3">
        <f t="shared" si="4"/>
        <v>29</v>
      </c>
      <c r="AK11" s="3">
        <f t="shared" si="5"/>
        <v>27</v>
      </c>
      <c r="AL11" s="3">
        <f t="shared" si="6"/>
        <v>313</v>
      </c>
      <c r="AM11" s="3">
        <f t="shared" si="7"/>
        <v>273</v>
      </c>
      <c r="AN11" s="3">
        <f t="shared" si="8"/>
        <v>314</v>
      </c>
      <c r="AO11" s="3">
        <f t="shared" si="9"/>
        <v>274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1"/>
  <sheetViews>
    <sheetView zoomScale="67" zoomScaleNormal="67" workbookViewId="0">
      <selection activeCell="L10" sqref="L10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3</v>
      </c>
      <c r="C2" s="340" t="s">
        <v>290</v>
      </c>
      <c r="D2" s="340"/>
      <c r="E2" s="116">
        <v>2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9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인천 성우빌딩 B동 SO,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5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v>1</v>
      </c>
      <c r="W3" s="330"/>
      <c r="X3" s="218" t="s">
        <v>78</v>
      </c>
      <c r="Y3" s="218"/>
      <c r="Z3" s="334">
        <v>3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322</v>
      </c>
      <c r="AK3" s="281"/>
      <c r="AL3" s="212"/>
      <c r="AM3" s="333">
        <f>AR7</f>
        <v>9.6546352986167889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+(5 ),  늘어난치수K -(0),  C + (0),  U +(0), OP1/OP2 -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308</v>
      </c>
      <c r="AD4" s="331"/>
      <c r="AE4" s="332">
        <f>'SO멍텅(실측)'!W7</f>
        <v>16</v>
      </c>
      <c r="AF4" s="332"/>
      <c r="AG4" s="158"/>
      <c r="AH4" s="329">
        <f ca="1">TODAY()</f>
        <v>45483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300</v>
      </c>
      <c r="AP5" s="177" t="s">
        <v>301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6F</v>
      </c>
      <c r="C7" s="4">
        <f>'SO멍텅(실측)'!C7-SO멍텅OP</f>
        <v>383</v>
      </c>
      <c r="D7" s="4">
        <f>'SO멍텅(실측)'!D7-SO멍텅OP</f>
        <v>408</v>
      </c>
      <c r="E7" s="4">
        <f>'SO멍텅(실측)'!E7-SO멍텅R</f>
        <v>906</v>
      </c>
      <c r="F7" s="4">
        <f>'SO멍텅(실측)'!F7+MAX(AO7,AP7)+IF(BE7=1,AC7,0)+SO멍텅JBJD늘림치수</f>
        <v>338</v>
      </c>
      <c r="G7" s="4">
        <f>'SO멍텅(실측)'!G7+MAX(AO7,AP7)+IF(BE7=1,AE7,0)+SO멍텅JBJD늘림치수</f>
        <v>299</v>
      </c>
      <c r="H7" s="4">
        <f>'SO멍텅(실측)'!H7+AO7+IF(BE7=1,AC7,0)+SO멍텅JB강제키움+SO멍텅JBJD늘림치수</f>
        <v>342</v>
      </c>
      <c r="I7" s="4">
        <f>'SO멍텅(실측)'!H7+AO7+IF(BE7=1,AD7,0)+SO멍텅JB강제키움+SO멍텅JBJD늘림치수-IF(SO멍텅JB하부늘치=1,'SO멍텅(실측)'!W7-'SO멍텅(실측)'!X7,0)</f>
        <v>337</v>
      </c>
      <c r="J7" s="4">
        <f>'SO멍텅(실측)'!I7+AP7+IF(BE7=1,AE7,0)+SO멍텅JB강제키움+SO멍텅JBJD늘림치수</f>
        <v>302</v>
      </c>
      <c r="K7" s="4">
        <f>'SO멍텅(실측)'!I7+AP7+IF(BE7=1,AF7,0)+SO멍텅JB강제키움+SO멍텅JBJD늘림치수-IF(SO멍텅JB하부늘치=1,'SO멍텅(실측)'!Y7-'SO멍텅(실측)'!Z7,0)</f>
        <v>301</v>
      </c>
      <c r="L7" s="91">
        <f>IF(BE7=0,F7+AC7-(G7+AE7),F7-G7)</f>
        <v>45</v>
      </c>
      <c r="M7" s="88">
        <f>IF(BM7=0,H7+AC7-(J7+AE7),H7-J7)</f>
        <v>46</v>
      </c>
      <c r="N7" s="4">
        <f t="shared" ref="N7:O7" si="0">P7+IF(소장="손상민",0,-1.5)</f>
        <v>40.5</v>
      </c>
      <c r="O7" s="4">
        <f t="shared" si="0"/>
        <v>40.5</v>
      </c>
      <c r="P7" s="4">
        <f>IF(R7&gt;0,'SO멍텅(실측)'!J7+SO멍텅C늘림,'SO멍텅(실측)'!J7+1)</f>
        <v>42</v>
      </c>
      <c r="Q7" s="4">
        <f>IF(S7&gt;0,'SO멍텅(실측)'!K7+SO멍텅C늘림,'SO멍텅(실측)'!K7+1)</f>
        <v>42</v>
      </c>
      <c r="R7" s="4">
        <f>IF(ISNUMBER('SO멍텅(실측)'!L7),'SO멍텅(실측)'!L7+SO멍텅제작!AO7+SO멍텅A늘림,0)</f>
        <v>22</v>
      </c>
      <c r="S7" s="4">
        <f>IF(ISNUMBER('SO멍텅(실측)'!M7),'SO멍텅(실측)'!M7+SO멍텅제작!AP7+SO멍텅A늘림,0)</f>
        <v>9</v>
      </c>
      <c r="T7" s="4">
        <f>'SO멍텅(실측)'!N7-SO멍텅기둥차감</f>
        <v>2101</v>
      </c>
      <c r="U7" s="4">
        <f>'SO멍텅(실측)'!O7-SO멍텅기둥차감</f>
        <v>2092</v>
      </c>
      <c r="V7" s="4">
        <f>'SO멍텅(실측)'!P7-SO멍텅기둥차감</f>
        <v>2103</v>
      </c>
      <c r="W7" s="4">
        <f>'SO멍텅(실측)'!Q7-SO멍텅기둥차감</f>
        <v>2092</v>
      </c>
      <c r="X7" s="4">
        <f>IF(ISNUMBER('SO멍텅(실측)'!R7),IF(Y7&gt;0,'SO멍텅(실측)'!R7+SO멍텅U늘림,'SO멍텅(실측)'!R7+1.2),0)</f>
        <v>42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9</v>
      </c>
      <c r="Z7" s="4">
        <f>'SO멍텅(실측)'!T7+뒷날개치수더함</f>
        <v>25</v>
      </c>
      <c r="AA7" s="4">
        <f>'SO멍텅(실측)'!U7+뒷날개치수더함</f>
        <v>25</v>
      </c>
      <c r="AB7" s="4">
        <f>'SO멍텅(실측)'!V7+뒷날개치수더함</f>
        <v>30</v>
      </c>
      <c r="AC7" s="13">
        <f>'SO멍텅(실측)'!W7-SO멍텅늘치차감</f>
        <v>16</v>
      </c>
      <c r="AD7" s="13">
        <f>IF(SO멍텅JB하부늘치=1,AC7,'SO멍텅(실측)'!X7-SO멍텅늘치차감)</f>
        <v>16</v>
      </c>
      <c r="AE7" s="13">
        <f>'SO멍텅(실측)'!Y7-SO멍텅늘치차감</f>
        <v>10</v>
      </c>
      <c r="AF7" s="13">
        <f>IF(SO멍텅JB하부늘치=1,AE7,'SO멍텅(실측)'!Z7-SO멍텅늘치차감)</f>
        <v>10</v>
      </c>
      <c r="AG7" s="11" t="str">
        <f t="shared" ref="AG7" si="1">AW7&amp;"*"&amp;AX7</f>
        <v>987*425.2</v>
      </c>
      <c r="AH7" s="12" t="str">
        <f t="shared" ref="AH7" si="2">AZ7&amp;"*"&amp;AY7</f>
        <v>2101*442.2</v>
      </c>
      <c r="AI7" s="10" t="str">
        <f t="shared" ref="AI7" si="3">BB7&amp;"*"&amp;BA7</f>
        <v>2103*388.2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6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6</v>
      </c>
      <c r="AQ7" s="16"/>
      <c r="AR7" s="17">
        <f>DEGREES(ATAN((E7-(C7+D7))/2/(F7)))</f>
        <v>9.6546352986167889</v>
      </c>
      <c r="AS7" s="17">
        <f>DEGREES(ATAN((E7-(C7+D7))/2/(G7)))</f>
        <v>10.885527054658738</v>
      </c>
      <c r="AT7" s="36">
        <f>(F7-COS(RADIANS(AR7))*H7)</f>
        <v>0.84389516807198106</v>
      </c>
      <c r="AU7" s="36">
        <f>G7-COS(RADIANS(AS7))*J7</f>
        <v>2.4340530118445258</v>
      </c>
      <c r="AV7" s="46" t="str">
        <f t="shared" ref="AV7" si="4">IF(F7+AC7&lt;&gt;G7+AE7,"JD비대칭","")</f>
        <v>JD비대칭</v>
      </c>
      <c r="AW7" s="3">
        <f>E7 + IF(X7+Y7&gt;0, N7+O7,0)</f>
        <v>987</v>
      </c>
      <c r="AX7" s="3">
        <f>X7+MAX(F7,G7)+Z7+Y7-1.2*$AG$3+IF(BE7=0,MAX(AC7,AE7))+IF(Y7=0,1.2,0)</f>
        <v>425.2</v>
      </c>
      <c r="AY7" s="3">
        <f>R7+P7+MAX(H7,I7)+AA7-1.2*$AI$3+IF(BE7=0,MAX(AC7,AD7))+IF(R7=0,1.2,0)-IF(AL7=90,2.4,0)</f>
        <v>442.2</v>
      </c>
      <c r="AZ7" s="3">
        <f t="shared" ref="AZ7" si="5">MAX(T7,U7)</f>
        <v>2101</v>
      </c>
      <c r="BA7" s="3">
        <f>S7+Q7+MAX(J7,K7)+AB7-1.2*$AI$3+IF(BE7=0,MAX(AE7,AF7))+IF(S7=0,1.2,0)-IF(AL7=90,2.4,0)</f>
        <v>388.2</v>
      </c>
      <c r="BB7" s="3">
        <f t="shared" ref="BB7" si="6">MAX(V7,W7)</f>
        <v>2103</v>
      </c>
      <c r="BC7">
        <f t="shared" ref="BC7" si="7">H7-F7</f>
        <v>4</v>
      </c>
      <c r="BD7">
        <f t="shared" ref="BD7" si="8">9-Y7</f>
        <v>0</v>
      </c>
      <c r="BE7" s="79">
        <f>IF(AND(MIN(AC7,AE7)&gt;=9.2,E7-(C7+D7)&gt;15),0,1)</f>
        <v>0</v>
      </c>
      <c r="BF7" s="83">
        <f>IF(소장="손상민",'SO멍텅(실측)'!AF7,0)</f>
        <v>0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5F</v>
      </c>
      <c r="C8" s="4">
        <f>'SO멍텅(실측)'!C8-SO멍텅OP</f>
        <v>386</v>
      </c>
      <c r="D8" s="4">
        <f>'SO멍텅(실측)'!D8-SO멍텅OP</f>
        <v>408</v>
      </c>
      <c r="E8" s="4">
        <f>'SO멍텅(실측)'!E8-SO멍텅R</f>
        <v>905</v>
      </c>
      <c r="F8" s="4">
        <f>'SO멍텅(실측)'!F8+MAX(AO8,AP8)+IF(BE8=1,AC8,0)+SO멍텅JBJD늘림치수</f>
        <v>324</v>
      </c>
      <c r="G8" s="4">
        <f>'SO멍텅(실측)'!G8+MAX(AO8,AP8)+IF(BE8=1,AE8,0)+SO멍텅JBJD늘림치수</f>
        <v>284</v>
      </c>
      <c r="H8" s="4">
        <f>'SO멍텅(실측)'!H8+AO8+IF(BE8=1,AC8,0)+SO멍텅JB강제키움+SO멍텅JBJD늘림치수</f>
        <v>328</v>
      </c>
      <c r="I8" s="4">
        <f>'SO멍텅(실측)'!H8+AO8+IF(BE8=1,AD8,0)+SO멍텅JB강제키움+SO멍텅JBJD늘림치수-IF(SO멍텅JB하부늘치=1,'SO멍텅(실측)'!W8-'SO멍텅(실측)'!X8,0)</f>
        <v>326</v>
      </c>
      <c r="J8" s="4">
        <f>'SO멍텅(실측)'!I8+AP8+IF(BE8=1,AE8,0)+SO멍텅JB강제키움+SO멍텅JBJD늘림치수</f>
        <v>287</v>
      </c>
      <c r="K8" s="4">
        <f>'SO멍텅(실측)'!I8+AP8+IF(BE8=1,AF8,0)+SO멍텅JB강제키움+SO멍텅JBJD늘림치수-IF(SO멍텅JB하부늘치=1,'SO멍텅(실측)'!Y8-'SO멍텅(실측)'!Z8,0)</f>
        <v>287</v>
      </c>
      <c r="L8" s="91">
        <f t="shared" ref="L8:L11" si="9">IF(BE8=0,F8+AC8-(G8+AE8),F8-G8)</f>
        <v>44</v>
      </c>
      <c r="M8" s="88">
        <f t="shared" ref="M8:M11" si="10">IF(BM8=0,H8+AC8-(J8+AE8),H8-J8)</f>
        <v>45</v>
      </c>
      <c r="N8" s="4">
        <f t="shared" ref="N8:N11" si="11">P8+IF(소장="손상민",0,-1.5)</f>
        <v>40.5</v>
      </c>
      <c r="O8" s="4">
        <f t="shared" ref="O8:O11" si="12">Q8+IF(소장="손상민",0,-1.5)</f>
        <v>40.5</v>
      </c>
      <c r="P8" s="4">
        <f>IF(R8&gt;0,'SO멍텅(실측)'!J8+SO멍텅C늘림,'SO멍텅(실측)'!J8+1)</f>
        <v>42</v>
      </c>
      <c r="Q8" s="4">
        <f>IF(S8&gt;0,'SO멍텅(실측)'!K8+SO멍텅C늘림,'SO멍텅(실측)'!K8+1)</f>
        <v>42</v>
      </c>
      <c r="R8" s="4">
        <f>IF(ISNUMBER('SO멍텅(실측)'!L8),'SO멍텅(실측)'!L8+SO멍텅제작!AO8+SO멍텅A늘림,0)</f>
        <v>17</v>
      </c>
      <c r="S8" s="4">
        <f>IF(ISNUMBER('SO멍텅(실측)'!M8),'SO멍텅(실측)'!M8+SO멍텅제작!AP8+SO멍텅A늘림,0)</f>
        <v>9</v>
      </c>
      <c r="T8" s="4">
        <f>'SO멍텅(실측)'!N8-SO멍텅기둥차감</f>
        <v>2103</v>
      </c>
      <c r="U8" s="4">
        <f>'SO멍텅(실측)'!O8-SO멍텅기둥차감</f>
        <v>2095</v>
      </c>
      <c r="V8" s="4">
        <f>'SO멍텅(실측)'!P8-SO멍텅기둥차감</f>
        <v>2105</v>
      </c>
      <c r="W8" s="4">
        <f>'SO멍텅(실측)'!Q8-SO멍텅기둥차감</f>
        <v>2095</v>
      </c>
      <c r="X8" s="4">
        <f>IF(ISNUMBER('SO멍텅(실측)'!R8),IF(Y8&gt;0,'SO멍텅(실측)'!R8+SO멍텅U늘림,'SO멍텅(실측)'!R8+1.2),0)</f>
        <v>42</v>
      </c>
      <c r="Y8" s="4">
        <f>IF(OR(SO멍텅G="", SO멍텅G=0),IF(ISNUMBER('SO멍텅(실측)'!S8),IF('SO멍텅(실측)'!S8+SO멍텅A늘림+MAX(AO8,AP8)&gt;9,'SO멍텅(실측)'!S8+SO멍텅A늘림+MAX(AO8,AP8),'SO멍텅(실측)'!S8+SO멍텅A늘림+MAX(AO8,AP8)),0),SO멍텅G)</f>
        <v>9</v>
      </c>
      <c r="Z8" s="4">
        <f>'SO멍텅(실측)'!T8+뒷날개치수더함</f>
        <v>25</v>
      </c>
      <c r="AA8" s="4">
        <f>'SO멍텅(실측)'!U8+뒷날개치수더함</f>
        <v>25</v>
      </c>
      <c r="AB8" s="4">
        <f>'SO멍텅(실측)'!V8+뒷날개치수더함</f>
        <v>30</v>
      </c>
      <c r="AC8" s="13">
        <f>'SO멍텅(실측)'!W8-SO멍텅늘치차감</f>
        <v>14</v>
      </c>
      <c r="AD8" s="13">
        <f>IF(SO멍텅JB하부늘치=1,AC8,'SO멍텅(실측)'!X8-SO멍텅늘치차감)</f>
        <v>14</v>
      </c>
      <c r="AE8" s="13">
        <f>'SO멍텅(실측)'!Y8-SO멍텅늘치차감</f>
        <v>10</v>
      </c>
      <c r="AF8" s="13">
        <f>IF(SO멍텅JB하부늘치=1,AE8,'SO멍텅(실측)'!Z8-SO멍텅늘치차감)</f>
        <v>10</v>
      </c>
      <c r="AG8" s="11" t="str">
        <f t="shared" ref="AG8:AG11" si="13">AW8&amp;"*"&amp;AX8</f>
        <v>986*409.2</v>
      </c>
      <c r="AH8" s="12" t="str">
        <f t="shared" ref="AH8:AH11" si="14">AZ8&amp;"*"&amp;AY8</f>
        <v>2103*421.2</v>
      </c>
      <c r="AI8" s="10" t="str">
        <f t="shared" ref="AI8:AI11" si="15">BB8&amp;"*"&amp;BA8</f>
        <v>2105*373.2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6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+AQ8&lt;AQ8,AQ8,9-MIN('SO멍텅(실측)'!L8+SO멍텅A늘림,'SO멍텅(실측)'!M8+SO멍텅A늘림) + AQ8 ),0),IF(ISNUMBER('SO멍텅(실측)'!L8),IF(9-'SO멍텅(실측)'!L8-SO멍텅A늘림+AQ8&lt;AQ8,AQ8,9-'SO멍텅(실측)'!L8-SO멍텅A늘림+AQ8),0))</f>
        <v>1</v>
      </c>
      <c r="AP8" s="3">
        <f>IF(AND(ISNUMBER('SO멍텅(실측)'!L8),ISNUMBER('SO멍텅(실측)'!M8)),IF(ISNUMBER('SO멍텅(실측)'!M8),IF(9-MIN('SO멍텅(실측)'!M8+SO멍텅A늘림,'SO멍텅(실측)'!L8+SO멍텅A늘림)+AQ8&lt;AQ8,AQ8,9-MIN('SO멍텅(실측)'!M8+SO멍텅A늘림,'SO멍텅(실측)'!L8+SO멍텅A늘림) + AQ8 ),0),IF(ISNUMBER('SO멍텅(실측)'!M8),IF(9-'SO멍텅(실측)'!M8-SO멍텅A늘림+AQ8&lt;AQ8,AQ8,9-'SO멍텅(실측)'!M8-SO멍텅A늘림+AQ8),0))</f>
        <v>1</v>
      </c>
      <c r="AQ8" s="16"/>
      <c r="AR8" s="17">
        <f t="shared" ref="AR8:AR11" si="16">DEGREES(ATAN((E8-(C8+D8))/2/(F8)))</f>
        <v>9.7202159480608543</v>
      </c>
      <c r="AS8" s="17">
        <f t="shared" ref="AS8:AS11" si="17">DEGREES(ATAN((E8-(C8+D8))/2/(G8)))</f>
        <v>11.057529791731062</v>
      </c>
      <c r="AT8" s="36">
        <f t="shared" ref="AT8:AT11" si="18">(F8-COS(RADIANS(AR8))*H8)</f>
        <v>0.70878151099083198</v>
      </c>
      <c r="AU8" s="36">
        <f t="shared" ref="AU8:AU11" si="19">G8-COS(RADIANS(AS8))*J8</f>
        <v>2.3281262037315287</v>
      </c>
      <c r="AV8" s="46" t="str">
        <f t="shared" ref="AV8:AV11" si="20">IF(F8+AC8&lt;&gt;G8+AE8,"JD비대칭","")</f>
        <v>JD비대칭</v>
      </c>
      <c r="AW8" s="3">
        <f t="shared" ref="AW8:AW11" si="21">E8 + IF(X8+Y8&gt;0, N8+O8,0)</f>
        <v>986</v>
      </c>
      <c r="AX8" s="3">
        <f t="shared" ref="AX8:AX11" si="22">X8+MAX(F8,G8)+Z8+Y8-1.2*$AG$3+IF(BE8=0,MAX(AC8,AE8))+IF(Y8=0,1.2,0)</f>
        <v>409.2</v>
      </c>
      <c r="AY8" s="3">
        <f t="shared" ref="AY8:AY11" si="23">R8+P8+MAX(H8,I8)+AA8-1.2*$AI$3+IF(BE8=0,MAX(AC8,AD8))+IF(R8=0,1.2,0)-IF(AL8=90,2.4,0)</f>
        <v>421.2</v>
      </c>
      <c r="AZ8" s="3">
        <f t="shared" ref="AZ8:AZ11" si="24">MAX(T8,U8)</f>
        <v>2103</v>
      </c>
      <c r="BA8" s="3">
        <f t="shared" ref="BA8:BA11" si="25">S8+Q8+MAX(J8,K8)+AB8-1.2*$AI$3+IF(BE8=0,MAX(AE8,AF8))+IF(S8=0,1.2,0)-IF(AL8=90,2.4,0)</f>
        <v>373.2</v>
      </c>
      <c r="BB8" s="3">
        <f t="shared" ref="BB8:BB11" si="26">MAX(V8,W8)</f>
        <v>2105</v>
      </c>
      <c r="BC8">
        <f t="shared" ref="BC8:BC11" si="27">H8-F8</f>
        <v>4</v>
      </c>
      <c r="BD8">
        <f t="shared" ref="BD8:BD11" si="28">9-Y8</f>
        <v>0</v>
      </c>
      <c r="BE8" s="79">
        <f t="shared" ref="BE8:BE11" si="29">IF(AND(MIN(AC8,AE8)&gt;=9.2,E8-(C8+D8)&gt;15),0,1)</f>
        <v>0</v>
      </c>
      <c r="BF8" s="83">
        <f>IF(소장="손상민",'SO멍텅(실측)'!AF8,0)</f>
        <v>0</v>
      </c>
    </row>
    <row r="9" spans="1:58" ht="30.75" customHeight="1" x14ac:dyDescent="0.3">
      <c r="A9" s="4">
        <f>'SO멍텅(실측)'!A9</f>
        <v>0</v>
      </c>
      <c r="B9" s="4" t="str">
        <f>'SO멍텅(실측)'!B9&amp;"F"</f>
        <v>4F</v>
      </c>
      <c r="C9" s="4">
        <f>'SO멍텅(실측)'!C9-SO멍텅OP</f>
        <v>384</v>
      </c>
      <c r="D9" s="4">
        <f>'SO멍텅(실측)'!D9-SO멍텅OP</f>
        <v>408</v>
      </c>
      <c r="E9" s="4">
        <f>'SO멍텅(실측)'!E9-SO멍텅R</f>
        <v>908</v>
      </c>
      <c r="F9" s="4">
        <f>'SO멍텅(실측)'!F9+MAX(AO9,AP9)+IF(BE9=1,AC9,0)+SO멍텅JBJD늘림치수</f>
        <v>339</v>
      </c>
      <c r="G9" s="4">
        <f>'SO멍텅(실측)'!G9+MAX(AO9,AP9)+IF(BE9=1,AE9,0)+SO멍텅JBJD늘림치수</f>
        <v>299</v>
      </c>
      <c r="H9" s="4">
        <f>'SO멍텅(실측)'!H9+AO9+IF(BE9=1,AC9,0)+SO멍텅JB강제키움+SO멍텅JBJD늘림치수</f>
        <v>342</v>
      </c>
      <c r="I9" s="4">
        <f>'SO멍텅(실측)'!H9+AO9+IF(BE9=1,AD9,0)+SO멍텅JB강제키움+SO멍텅JBJD늘림치수-IF(SO멍텅JB하부늘치=1,'SO멍텅(실측)'!W9-'SO멍텅(실측)'!X9,0)</f>
        <v>340</v>
      </c>
      <c r="J9" s="4">
        <f>'SO멍텅(실측)'!I9+AP9+IF(BE9=1,AE9,0)+SO멍텅JB강제키움+SO멍텅JBJD늘림치수</f>
        <v>301</v>
      </c>
      <c r="K9" s="4">
        <f>'SO멍텅(실측)'!I9+AP9+IF(BE9=1,AF9,0)+SO멍텅JB강제키움+SO멍텅JBJD늘림치수-IF(SO멍텅JB하부늘치=1,'SO멍텅(실측)'!Y9-'SO멍텅(실측)'!Z9,0)</f>
        <v>299</v>
      </c>
      <c r="L9" s="91">
        <f t="shared" si="9"/>
        <v>42</v>
      </c>
      <c r="M9" s="88">
        <f t="shared" si="10"/>
        <v>43</v>
      </c>
      <c r="N9" s="4">
        <f t="shared" si="11"/>
        <v>40.5</v>
      </c>
      <c r="O9" s="4">
        <f t="shared" si="12"/>
        <v>40.5</v>
      </c>
      <c r="P9" s="4">
        <f>IF(R9&gt;0,'SO멍텅(실측)'!J9+SO멍텅C늘림,'SO멍텅(실측)'!J9+1)</f>
        <v>42</v>
      </c>
      <c r="Q9" s="4">
        <f>IF(S9&gt;0,'SO멍텅(실측)'!K9+SO멍텅C늘림,'SO멍텅(실측)'!K9+1)</f>
        <v>42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11</v>
      </c>
      <c r="T9" s="4">
        <f>'SO멍텅(실측)'!N9-SO멍텅기둥차감</f>
        <v>2090</v>
      </c>
      <c r="U9" s="4">
        <f>'SO멍텅(실측)'!O9-SO멍텅기둥차감</f>
        <v>2092</v>
      </c>
      <c r="V9" s="4">
        <f>'SO멍텅(실측)'!P9-SO멍텅기둥차감</f>
        <v>2090</v>
      </c>
      <c r="W9" s="4">
        <f>'SO멍텅(실측)'!Q9-SO멍텅기둥차감</f>
        <v>2092</v>
      </c>
      <c r="X9" s="4">
        <f>IF(ISNUMBER('SO멍텅(실측)'!R9),IF(Y9&gt;0,'SO멍텅(실측)'!R9+SO멍텅U늘림,'SO멍텅(실측)'!R9+1.2),0)</f>
        <v>42</v>
      </c>
      <c r="Y9" s="4">
        <f>IF(OR(SO멍텅G="", SO멍텅G=0),IF(ISNUMBER('SO멍텅(실측)'!S9),IF('SO멍텅(실측)'!S9+SO멍텅A늘림+MAX(AO9,AP9)&gt;9,'SO멍텅(실측)'!S9+SO멍텅A늘림+MAX(AO9,AP9),'SO멍텅(실측)'!S9+SO멍텅A늘림+MAX(AO9,AP9)),0),SO멍텅G)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25</v>
      </c>
      <c r="AA9" s="4">
        <f>'SO멍텅(실측)'!U9+뒷날개치수더함</f>
        <v>25</v>
      </c>
      <c r="AB9" s="4">
        <f>'SO멍텅(실측)'!V9+뒷날개치수더함</f>
        <v>30</v>
      </c>
      <c r="AC9" s="13">
        <f>'SO멍텅(실측)'!W9-SO멍텅늘치차감</f>
        <v>12</v>
      </c>
      <c r="AD9" s="13">
        <f>IF(SO멍텅JB하부늘치=1,AC9,'SO멍텅(실측)'!X9-SO멍텅늘치차감)</f>
        <v>12</v>
      </c>
      <c r="AE9" s="13">
        <f>'SO멍텅(실측)'!Y9-SO멍텅늘치차감</f>
        <v>10</v>
      </c>
      <c r="AF9" s="13">
        <f>IF(SO멍텅JB하부늘치=1,AE9,'SO멍텅(실측)'!Z9-SO멍텅늘치차감)</f>
        <v>10</v>
      </c>
      <c r="AG9" s="11" t="str">
        <f t="shared" si="13"/>
        <v>989*422.2</v>
      </c>
      <c r="AH9" s="12" t="str">
        <f t="shared" si="14"/>
        <v>2092*425.2</v>
      </c>
      <c r="AI9" s="10" t="str">
        <f t="shared" si="15"/>
        <v>2092*389.2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6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+AQ9&lt;AQ9,AQ9,9-MIN('SO멍텅(실측)'!L9+SO멍텅A늘림,'SO멍텅(실측)'!M9+SO멍텅A늘림) + AQ9 ),0),IF(ISNUMBER('SO멍텅(실측)'!L9),IF(9-'SO멍텅(실측)'!L9-SO멍텅A늘림+AQ9&lt;AQ9,AQ9,9-'SO멍텅(실측)'!L9-SO멍텅A늘림+AQ9),0))</f>
        <v>5</v>
      </c>
      <c r="AP9" s="3">
        <f>IF(AND(ISNUMBER('SO멍텅(실측)'!L9),ISNUMBER('SO멍텅(실측)'!M9)),IF(ISNUMBER('SO멍텅(실측)'!M9),IF(9-MIN('SO멍텅(실측)'!M9+SO멍텅A늘림,'SO멍텅(실측)'!L9+SO멍텅A늘림)+AQ9&lt;AQ9,AQ9,9-MIN('SO멍텅(실측)'!M9+SO멍텅A늘림,'SO멍텅(실측)'!L9+SO멍텅A늘림) + AQ9 ),0),IF(ISNUMBER('SO멍텅(실측)'!M9),IF(9-'SO멍텅(실측)'!M9-SO멍텅A늘림+AQ9&lt;AQ9,AQ9,9-'SO멍텅(실측)'!M9-SO멍텅A늘림+AQ9),0))</f>
        <v>5</v>
      </c>
      <c r="AQ9" s="16"/>
      <c r="AR9" s="17">
        <f t="shared" si="16"/>
        <v>9.7088130466232876</v>
      </c>
      <c r="AS9" s="17">
        <f t="shared" si="17"/>
        <v>10.977893682686707</v>
      </c>
      <c r="AT9" s="36">
        <f t="shared" si="18"/>
        <v>1.8982809946910493</v>
      </c>
      <c r="AU9" s="36">
        <f t="shared" si="19"/>
        <v>3.5080803184286538</v>
      </c>
      <c r="AV9" s="46" t="str">
        <f t="shared" si="20"/>
        <v>JD비대칭</v>
      </c>
      <c r="AW9" s="3">
        <f t="shared" si="21"/>
        <v>989</v>
      </c>
      <c r="AX9" s="3">
        <f t="shared" si="22"/>
        <v>422.2</v>
      </c>
      <c r="AY9" s="3">
        <f t="shared" si="23"/>
        <v>425.2</v>
      </c>
      <c r="AZ9" s="3">
        <f t="shared" si="24"/>
        <v>2092</v>
      </c>
      <c r="BA9" s="3">
        <f t="shared" si="25"/>
        <v>389.2</v>
      </c>
      <c r="BB9" s="3">
        <f t="shared" si="26"/>
        <v>2092</v>
      </c>
      <c r="BC9">
        <f t="shared" si="27"/>
        <v>3</v>
      </c>
      <c r="BD9">
        <f t="shared" si="28"/>
        <v>0</v>
      </c>
      <c r="BE9" s="79">
        <f t="shared" si="29"/>
        <v>0</v>
      </c>
      <c r="BF9" s="83">
        <f>IF(소장="손상민",'SO멍텅(실측)'!AF9,0)</f>
        <v>0</v>
      </c>
    </row>
    <row r="10" spans="1:58" ht="30.75" customHeight="1" x14ac:dyDescent="0.3">
      <c r="A10" s="4">
        <f>'SO멍텅(실측)'!A10</f>
        <v>0</v>
      </c>
      <c r="B10" s="4" t="str">
        <f>'SO멍텅(실측)'!B10&amp;"F"</f>
        <v>3F</v>
      </c>
      <c r="C10" s="4">
        <f>'SO멍텅(실측)'!C10-SO멍텅OP</f>
        <v>383</v>
      </c>
      <c r="D10" s="4">
        <f>'SO멍텅(실측)'!D10-SO멍텅OP</f>
        <v>410</v>
      </c>
      <c r="E10" s="4">
        <f>'SO멍텅(실측)'!E10-SO멍텅R</f>
        <v>908</v>
      </c>
      <c r="F10" s="4">
        <f>'SO멍텅(실측)'!F10+MAX(AO10,AP10)+IF(BE10=1,AC10,0)+SO멍텅JBJD늘림치수</f>
        <v>336</v>
      </c>
      <c r="G10" s="4">
        <f>'SO멍텅(실측)'!G10+MAX(AO10,AP10)+IF(BE10=1,AE10,0)+SO멍텅JBJD늘림치수</f>
        <v>296</v>
      </c>
      <c r="H10" s="4">
        <f>'SO멍텅(실측)'!H10+AO10+IF(BE10=1,AC10,0)+SO멍텅JB강제키움+SO멍텅JBJD늘림치수</f>
        <v>339</v>
      </c>
      <c r="I10" s="4">
        <f>'SO멍텅(실측)'!H10+AO10+IF(BE10=1,AD10,0)+SO멍텅JB강제키움+SO멍텅JBJD늘림치수-IF(SO멍텅JB하부늘치=1,'SO멍텅(실측)'!W10-'SO멍텅(실측)'!X10,0)</f>
        <v>339</v>
      </c>
      <c r="J10" s="4">
        <f>'SO멍텅(실측)'!I10+AP10+IF(BE10=1,AE10,0)+SO멍텅JB강제키움+SO멍텅JBJD늘림치수</f>
        <v>298</v>
      </c>
      <c r="K10" s="4">
        <f>'SO멍텅(실측)'!I10+AP10+IF(BE10=1,AF10,0)+SO멍텅JB강제키움+SO멍텅JBJD늘림치수-IF(SO멍텅JB하부늘치=1,'SO멍텅(실측)'!Y10-'SO멍텅(실측)'!Z10,0)</f>
        <v>293</v>
      </c>
      <c r="L10" s="91">
        <f t="shared" si="9"/>
        <v>40</v>
      </c>
      <c r="M10" s="88">
        <f t="shared" si="10"/>
        <v>41</v>
      </c>
      <c r="N10" s="4">
        <f t="shared" si="11"/>
        <v>40.5</v>
      </c>
      <c r="O10" s="4">
        <f t="shared" si="12"/>
        <v>40.5</v>
      </c>
      <c r="P10" s="4">
        <f>IF(R10&gt;0,'SO멍텅(실측)'!J10+SO멍텅C늘림,'SO멍텅(실측)'!J10+1)</f>
        <v>42</v>
      </c>
      <c r="Q10" s="4">
        <f>IF(S10&gt;0,'SO멍텅(실측)'!K10+SO멍텅C늘림,'SO멍텅(실측)'!K10+1)</f>
        <v>42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12</v>
      </c>
      <c r="T10" s="4">
        <f>'SO멍텅(실측)'!N10-SO멍텅기둥차감</f>
        <v>2100</v>
      </c>
      <c r="U10" s="4">
        <f>'SO멍텅(실측)'!O10-SO멍텅기둥차감</f>
        <v>2092</v>
      </c>
      <c r="V10" s="4">
        <f>'SO멍텅(실측)'!P10-SO멍텅기둥차감</f>
        <v>2100</v>
      </c>
      <c r="W10" s="4">
        <f>'SO멍텅(실측)'!Q10-SO멍텅기둥차감</f>
        <v>2092</v>
      </c>
      <c r="X10" s="4">
        <f>IF(ISNUMBER('SO멍텅(실측)'!R10),IF(Y10&gt;0,'SO멍텅(실측)'!R10+SO멍텅U늘림,'SO멍텅(실측)'!R10+1.2),0)</f>
        <v>42</v>
      </c>
      <c r="Y10" s="4">
        <f>IF(OR(SO멍텅G="", SO멍텅G=0),IF(ISNUMBER('SO멍텅(실측)'!S10),IF('SO멍텅(실측)'!S10+SO멍텅A늘림+MAX(AO10,AP10)&gt;9,'SO멍텅(실측)'!S10+SO멍텅A늘림+MAX(AO10,AP10),'SO멍텅(실측)'!S10+SO멍텅A늘림+MAX(AO10,AP10)),0),SO멍텅G)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25</v>
      </c>
      <c r="AA10" s="4">
        <f>'SO멍텅(실측)'!U10+뒷날개치수더함</f>
        <v>25</v>
      </c>
      <c r="AB10" s="4">
        <f>'SO멍텅(실측)'!V10+뒷날개치수더함</f>
        <v>30</v>
      </c>
      <c r="AC10" s="13">
        <f>'SO멍텅(실측)'!W10-SO멍텅늘치차감</f>
        <v>10</v>
      </c>
      <c r="AD10" s="13">
        <f>IF(SO멍텅JB하부늘치=1,AC10,'SO멍텅(실측)'!X10-SO멍텅늘치차감)</f>
        <v>10</v>
      </c>
      <c r="AE10" s="13">
        <f>'SO멍텅(실측)'!Y10-SO멍텅늘치차감</f>
        <v>10</v>
      </c>
      <c r="AF10" s="13">
        <f>IF(SO멍텅JB하부늘치=1,AE10,'SO멍텅(실측)'!Z10-SO멍텅늘치차감)</f>
        <v>10</v>
      </c>
      <c r="AG10" s="11" t="str">
        <f t="shared" si="13"/>
        <v>989*417.2</v>
      </c>
      <c r="AH10" s="12" t="str">
        <f t="shared" si="14"/>
        <v>2100*420.2</v>
      </c>
      <c r="AI10" s="10" t="str">
        <f t="shared" si="15"/>
        <v>2100*387.2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+AQ10&lt;AQ10,AQ10,9-MIN('SO멍텅(실측)'!L10+SO멍텅A늘림,'SO멍텅(실측)'!M10+SO멍텅A늘림) + AQ10 ),0),IF(ISNUMBER('SO멍텅(실측)'!L10),IF(9-'SO멍텅(실측)'!L10-SO멍텅A늘림+AQ10&lt;AQ10,AQ10,9-'SO멍텅(실측)'!L10-SO멍텅A늘림+AQ10),0))</f>
        <v>4</v>
      </c>
      <c r="AP10" s="3">
        <f>IF(AND(ISNUMBER('SO멍텅(실측)'!L10),ISNUMBER('SO멍텅(실측)'!M10)),IF(ISNUMBER('SO멍텅(실측)'!M10),IF(9-MIN('SO멍텅(실측)'!M10+SO멍텅A늘림,'SO멍텅(실측)'!L10+SO멍텅A늘림)+AQ10&lt;AQ10,AQ10,9-MIN('SO멍텅(실측)'!M10+SO멍텅A늘림,'SO멍텅(실측)'!L10+SO멍텅A늘림) + AQ10 ),0),IF(ISNUMBER('SO멍텅(실측)'!M10),IF(9-'SO멍텅(실측)'!M10-SO멍텅A늘림+AQ10&lt;AQ10,AQ10,9-'SO멍텅(실측)'!M10-SO멍텅A늘림+AQ10),0))</f>
        <v>4</v>
      </c>
      <c r="AQ10" s="16"/>
      <c r="AR10" s="17">
        <f t="shared" si="16"/>
        <v>9.7110122380841695</v>
      </c>
      <c r="AS10" s="17">
        <f t="shared" si="17"/>
        <v>10.993178546032022</v>
      </c>
      <c r="AT10" s="36">
        <f t="shared" si="18"/>
        <v>1.8575082003661691</v>
      </c>
      <c r="AU10" s="36">
        <f t="shared" si="19"/>
        <v>3.4683317057181284</v>
      </c>
      <c r="AV10" s="46" t="str">
        <f t="shared" si="20"/>
        <v>JD비대칭</v>
      </c>
      <c r="AW10" s="3">
        <f t="shared" si="21"/>
        <v>989</v>
      </c>
      <c r="AX10" s="3">
        <f t="shared" si="22"/>
        <v>417.2</v>
      </c>
      <c r="AY10" s="3">
        <f t="shared" si="23"/>
        <v>420.2</v>
      </c>
      <c r="AZ10" s="3">
        <f t="shared" si="24"/>
        <v>2100</v>
      </c>
      <c r="BA10" s="3">
        <f t="shared" si="25"/>
        <v>387.2</v>
      </c>
      <c r="BB10" s="3">
        <f t="shared" si="26"/>
        <v>2100</v>
      </c>
      <c r="BC10">
        <f t="shared" si="27"/>
        <v>3</v>
      </c>
      <c r="BD10">
        <f t="shared" si="28"/>
        <v>0</v>
      </c>
      <c r="BE10" s="79">
        <f t="shared" si="29"/>
        <v>0</v>
      </c>
      <c r="BF10" s="83">
        <f>IF(소장="손상민",'SO멍텅(실측)'!AF10,0)</f>
        <v>0</v>
      </c>
    </row>
    <row r="11" spans="1:58" ht="30.75" customHeight="1" x14ac:dyDescent="0.3">
      <c r="A11" s="4">
        <f>'SO멍텅(실측)'!A11</f>
        <v>0</v>
      </c>
      <c r="B11" s="4" t="str">
        <f>'SO멍텅(실측)'!B11&amp;"F"</f>
        <v>2F</v>
      </c>
      <c r="C11" s="4">
        <f>'SO멍텅(실측)'!C11-SO멍텅OP</f>
        <v>384</v>
      </c>
      <c r="D11" s="4">
        <f>'SO멍텅(실측)'!D11-SO멍텅OP</f>
        <v>410</v>
      </c>
      <c r="E11" s="4">
        <f>'SO멍텅(실측)'!E11-SO멍텅R</f>
        <v>905</v>
      </c>
      <c r="F11" s="4">
        <f>'SO멍텅(실측)'!F11+MAX(AO11,AP11)+IF(BE11=1,AC11,0)+SO멍텅JBJD늘림치수</f>
        <v>334</v>
      </c>
      <c r="G11" s="4">
        <f>'SO멍텅(실측)'!G11+MAX(AO11,AP11)+IF(BE11=1,AE11,0)+SO멍텅JBJD늘림치수</f>
        <v>294</v>
      </c>
      <c r="H11" s="4">
        <f>'SO멍텅(실측)'!H11+AO11+IF(BE11=1,AC11,0)+SO멍텅JB강제키움+SO멍텅JBJD늘림치수</f>
        <v>335</v>
      </c>
      <c r="I11" s="4">
        <f>'SO멍텅(실측)'!H11+AO11+IF(BE11=1,AD11,0)+SO멍텅JB강제키움+SO멍텅JBJD늘림치수-IF(SO멍텅JB하부늘치=1,'SO멍텅(실측)'!W11-'SO멍텅(실측)'!X11,0)</f>
        <v>337</v>
      </c>
      <c r="J11" s="4">
        <f>'SO멍텅(실측)'!I11+AP11+IF(BE11=1,AE11,0)+SO멍텅JB강제키움+SO멍텅JBJD늘림치수</f>
        <v>295</v>
      </c>
      <c r="K11" s="4">
        <f>'SO멍텅(실측)'!I11+AP11+IF(BE11=1,AF11,0)+SO멍텅JB강제키움+SO멍텅JBJD늘림치수-IF(SO멍텅JB하부늘치=1,'SO멍텅(실측)'!Y11-'SO멍텅(실측)'!Z11,0)</f>
        <v>293</v>
      </c>
      <c r="L11" s="91">
        <f t="shared" si="9"/>
        <v>31</v>
      </c>
      <c r="M11" s="88">
        <f t="shared" si="10"/>
        <v>31</v>
      </c>
      <c r="N11" s="4">
        <f t="shared" si="11"/>
        <v>27.5</v>
      </c>
      <c r="O11" s="4">
        <f t="shared" si="12"/>
        <v>26.5</v>
      </c>
      <c r="P11" s="4">
        <f>IF(R11&gt;0,'SO멍텅(실측)'!J11+SO멍텅C늘림,'SO멍텅(실측)'!J11+1)</f>
        <v>29</v>
      </c>
      <c r="Q11" s="4">
        <f>IF(S11&gt;0,'SO멍텅(실측)'!K11+SO멍텅C늘림,'SO멍텅(실측)'!K11+1)</f>
        <v>28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2055</v>
      </c>
      <c r="U11" s="4">
        <f>'SO멍텅(실측)'!O11-SO멍텅기둥차감</f>
        <v>2088</v>
      </c>
      <c r="V11" s="4">
        <f>'SO멍텅(실측)'!P11-SO멍텅기둥차감</f>
        <v>2057</v>
      </c>
      <c r="W11" s="4">
        <f>'SO멍텅(실측)'!Q11-SO멍텅기둥차감</f>
        <v>2085</v>
      </c>
      <c r="X11" s="4">
        <f>IF(ISNUMBER('SO멍텅(실측)'!R11),IF(Y11&gt;0,'SO멍텅(실측)'!R11+SO멍텅U늘림,'SO멍텅(실측)'!R11+1.2),0)</f>
        <v>30</v>
      </c>
      <c r="Y11" s="4">
        <f>IF(OR(SO멍텅G="", SO멍텅G=0),IF(ISNUMBER('SO멍텅(실측)'!S11),IF('SO멍텅(실측)'!S11+SO멍텅A늘림+MAX(AO11,AP11)&gt;9,'SO멍텅(실측)'!S11+SO멍텅A늘림+MAX(AO11,AP11),'SO멍텅(실측)'!S11+SO멍텅A늘림+MAX(AO11,AP11)),0),SO멍텅G)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25</v>
      </c>
      <c r="AA11" s="4">
        <f>'SO멍텅(실측)'!U11+뒷날개치수더함</f>
        <v>25</v>
      </c>
      <c r="AB11" s="4">
        <f>'SO멍텅(실측)'!V11+뒷날개치수더함</f>
        <v>30</v>
      </c>
      <c r="AC11" s="13">
        <f>'SO멍텅(실측)'!W11-SO멍텅늘치차감</f>
        <v>10</v>
      </c>
      <c r="AD11" s="13">
        <f>IF(SO멍텅JB하부늘치=1,AC11,'SO멍텅(실측)'!X11-SO멍텅늘치차감)</f>
        <v>10</v>
      </c>
      <c r="AE11" s="13">
        <f>'SO멍텅(실측)'!Y11-SO멍텅늘치차감</f>
        <v>19</v>
      </c>
      <c r="AF11" s="13">
        <f>IF(SO멍텅JB하부늘치=1,AE11,'SO멍텅(실측)'!Z11-SO멍텅늘치차감)</f>
        <v>19</v>
      </c>
      <c r="AG11" s="11" t="str">
        <f t="shared" si="13"/>
        <v>959*412.2</v>
      </c>
      <c r="AH11" s="12" t="str">
        <f t="shared" si="14"/>
        <v>2088*405.2</v>
      </c>
      <c r="AI11" s="10" t="str">
        <f t="shared" si="15"/>
        <v>2085*376.2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6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+AQ11&lt;AQ11,AQ11,9-MIN('SO멍텅(실측)'!L11+SO멍텅A늘림,'SO멍텅(실측)'!M11+SO멍텅A늘림) + AQ11 ),0),IF(ISNUMBER('SO멍텅(실측)'!L11),IF(9-'SO멍텅(실측)'!L11-SO멍텅A늘림+AQ11&lt;AQ11,AQ11,9-'SO멍텅(실측)'!L11-SO멍텅A늘림+AQ11),0))</f>
        <v>6</v>
      </c>
      <c r="AP11" s="3">
        <f>IF(AND(ISNUMBER('SO멍텅(실측)'!L11),ISNUMBER('SO멍텅(실측)'!M11)),IF(ISNUMBER('SO멍텅(실측)'!M11),IF(9-MIN('SO멍텅(실측)'!M11+SO멍텅A늘림,'SO멍텅(실측)'!L11+SO멍텅A늘림)+AQ11&lt;AQ11,AQ11,9-MIN('SO멍텅(실측)'!M11+SO멍텅A늘림,'SO멍텅(실측)'!L11+SO멍텅A늘림) + AQ11 ),0),IF(ISNUMBER('SO멍텅(실측)'!M11),IF(9-'SO멍텅(실측)'!M11-SO멍텅A늘림+AQ11&lt;AQ11,AQ11,9-'SO멍텅(실측)'!M11-SO멍텅A늘림+AQ11),0))</f>
        <v>6</v>
      </c>
      <c r="AQ11" s="16"/>
      <c r="AR11" s="17">
        <f t="shared" si="16"/>
        <v>9.4345019725265473</v>
      </c>
      <c r="AS11" s="17">
        <f t="shared" si="17"/>
        <v>10.690238276499096</v>
      </c>
      <c r="AT11" s="36">
        <f t="shared" si="18"/>
        <v>3.531333195067873</v>
      </c>
      <c r="AU11" s="36">
        <f t="shared" si="19"/>
        <v>4.1198975495954642</v>
      </c>
      <c r="AV11" s="46" t="str">
        <f t="shared" si="20"/>
        <v>JD비대칭</v>
      </c>
      <c r="AW11" s="3">
        <f t="shared" si="21"/>
        <v>959</v>
      </c>
      <c r="AX11" s="3">
        <f t="shared" si="22"/>
        <v>412.2</v>
      </c>
      <c r="AY11" s="3">
        <f t="shared" si="23"/>
        <v>405.2</v>
      </c>
      <c r="AZ11" s="3">
        <f t="shared" si="24"/>
        <v>2088</v>
      </c>
      <c r="BA11" s="3">
        <f t="shared" si="25"/>
        <v>376.2</v>
      </c>
      <c r="BB11" s="3">
        <f t="shared" si="26"/>
        <v>2085</v>
      </c>
      <c r="BC11">
        <f t="shared" si="27"/>
        <v>1</v>
      </c>
      <c r="BD11">
        <f t="shared" si="28"/>
        <v>0</v>
      </c>
      <c r="BE11" s="79">
        <f t="shared" si="29"/>
        <v>0</v>
      </c>
      <c r="BF11" s="83">
        <f>IF(소장="손상민",'SO멍텅(실측)'!AF11,0)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1">
    <cfRule type="cellIs" dxfId="35" priority="23" operator="greaterThan">
      <formula>1210</formula>
    </cfRule>
  </conditionalFormatting>
  <conditionalFormatting sqref="F7:F11">
    <cfRule type="cellIs" dxfId="34" priority="21" operator="notEqual">
      <formula>G7</formula>
    </cfRule>
  </conditionalFormatting>
  <conditionalFormatting sqref="G7:G11">
    <cfRule type="cellIs" dxfId="33" priority="20" operator="notEqual">
      <formula>F7</formula>
    </cfRule>
  </conditionalFormatting>
  <conditionalFormatting sqref="AJ7:AL11">
    <cfRule type="cellIs" dxfId="32" priority="11" operator="greaterThan">
      <formula>1.2</formula>
    </cfRule>
  </conditionalFormatting>
  <conditionalFormatting sqref="L7:M11">
    <cfRule type="cellIs" dxfId="31" priority="7" operator="greaterThan">
      <formula>500</formula>
    </cfRule>
  </conditionalFormatting>
  <conditionalFormatting sqref="J7:J11">
    <cfRule type="cellIs" dxfId="30" priority="5" operator="notEqual">
      <formula>K7</formula>
    </cfRule>
  </conditionalFormatting>
  <conditionalFormatting sqref="K7:K11 I7:I11">
    <cfRule type="cellIs" dxfId="29" priority="4" operator="notEqual">
      <formula>H7</formula>
    </cfRule>
  </conditionalFormatting>
  <conditionalFormatting sqref="H7:H11">
    <cfRule type="cellIs" dxfId="28" priority="3" operator="notEqual">
      <formula>I7</formula>
    </cfRule>
  </conditionalFormatting>
  <conditionalFormatting sqref="AC7:AF11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인천 성우빌딩 B동 SO ) _이인종소장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+(5 ),  늘어난치수K -(0),  C + (0),   U + (0), OP1/OP3 - (3), R - (2),  기둥차감 - (0), A + (3)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70" zoomScaleNormal="70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인천 성우빌딩 B동 SO ) _이인종소장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3</v>
      </c>
      <c r="C2" s="98" t="s">
        <v>86</v>
      </c>
      <c r="D2" s="112">
        <v>2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 t="str">
        <f>정보!B5</f>
        <v>OTIS HIX-A164/165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5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3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323</v>
      </c>
      <c r="AU3" s="342"/>
      <c r="AV3" s="231">
        <f>AZ7</f>
        <v>5.710593137499643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+(5 ),  늘어난치수K -(0),  C + (0),   U + (0), OP1/OP3 -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309</v>
      </c>
      <c r="AI4" s="343"/>
      <c r="AJ4" s="343">
        <f>'4CO와이드(실측)'!AB7</f>
        <v>0</v>
      </c>
      <c r="AK4" s="343"/>
      <c r="AL4" s="222">
        <f ca="1">TODAY()</f>
        <v>45483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329</v>
      </c>
      <c r="Q5" s="311" t="s">
        <v>330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-1.5</v>
      </c>
      <c r="F7" s="31">
        <f>'4CO와이드(실측)'!F7</f>
        <v>0</v>
      </c>
      <c r="G7" s="31">
        <f>'4CO와이드(실측)'!G7-CO4와이드OP/2</f>
        <v>-1.5</v>
      </c>
      <c r="H7" s="31">
        <f>'4CO와이드(실측)'!H7-CO4와이드R</f>
        <v>-2</v>
      </c>
      <c r="I7" s="50">
        <f>'4CO와이드(실측)'!I7+CO4와이드JBJD키움치수+IF(BN7=1,AH7,0)</f>
        <v>5</v>
      </c>
      <c r="J7" s="50">
        <f>'4CO와이드(실측)'!J7+CO4와이드JBJD키움치수+IF(BN7=1,MAX(AH7,AJ7),0)</f>
        <v>5</v>
      </c>
      <c r="K7" s="50">
        <f>'4CO와이드(실측)'!K7+CO4와이드JBJD키움치수+IF(BN7=1,AJ7,0)</f>
        <v>5</v>
      </c>
      <c r="L7" s="50">
        <f>'4CO와이드(실측)'!L7+MAX(AX7,AY7)+CO4와이드JBJD키움치수+IF(BN7=1,AH7,0)</f>
        <v>5</v>
      </c>
      <c r="M7" s="50">
        <f>'4CO와이드(실측)'!L7+MAX(AX7,AY7)+CO4와이드JBJD키움치수+IF(BN7=1,AI7,0)-IF(CO4와이드JB하부늘치=1,'4CO와이드(실측)'!AB7-'4CO와이드(실측)'!AC7,0)</f>
        <v>5</v>
      </c>
      <c r="N7" s="50">
        <f>'4CO와이드(실측)'!M7+MAX(AX7,AY7)+CO4와이드JBJD키움치수+IF(BN7=1,AJ7,0)</f>
        <v>5</v>
      </c>
      <c r="O7" s="50">
        <f>'4CO와이드(실측)'!M7+MAX(AX7,AY7)+CO4와이드JBJD키움치수+IF(BN7=1,AK7,0)-IF(CO4와이드JB하부늘치=1,'4CO와이드(실측)'!AD7-'4CO와이드(실측)'!AE7,0)</f>
        <v>5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0.1</v>
      </c>
      <c r="W7" s="137">
        <f>ROUNDUP(BB7,1)</f>
        <v>0.1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-2*3.4</v>
      </c>
      <c r="AP7" s="31" t="str">
        <f t="shared" ref="AP7" si="2">BI7&amp;"*"&amp;BH7</f>
        <v>0.8*2.6</v>
      </c>
      <c r="AQ7" s="31" t="str">
        <f t="shared" ref="AQ7" si="3">BK7&amp;"*"&amp;BJ7</f>
        <v>0.8*2.6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5.710593137499643</v>
      </c>
      <c r="BA7" s="21">
        <f>ABS(I7-COS(RADIANS(AZ7))*L7)</f>
        <v>2.4814048950053902E-2</v>
      </c>
      <c r="BB7" s="21">
        <f>ABS(K7-COS(RADIANS(AZ7))*N7)</f>
        <v>2.4814048950053902E-2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2.4814048950053902E-2</v>
      </c>
      <c r="BF7" s="41">
        <f>IF(소장&lt;&gt;"손상민",H7+IF(AD7+AE7&gt;0,R7+S7,0),H7)</f>
        <v>-2</v>
      </c>
      <c r="BG7" s="42">
        <f>MAX(C7,D7)+MAX(I7,J7)+AF7-1.2*$AO$3+IF(BN7=0,MAX(AJ7,AH7),0)+IF(AD7=0,1.2,0)+IF(AE7=0,1.2,0)+IF(소장&lt;&gt;"손상민", AD7+AE7, IF('4CO와이드(실측)'!X7=0,0,2.4))</f>
        <v>3.4000000000000004</v>
      </c>
      <c r="BH7" s="41">
        <f>X7+T7+MAX(L7,M7)+AG7-1.2*$AQ$3+IF(BN7=0,MAX(AI7,AH7),0)+IF(X7=0,1.2,0)-IF(AW7=90,2.4,0)</f>
        <v>2.6000000000000005</v>
      </c>
      <c r="BI7" s="41">
        <f>MAX(Z7,AA7)+AL7</f>
        <v>0.8</v>
      </c>
      <c r="BJ7" s="41">
        <f>Y7+U7+MAX(N7,O7)+AG7-1.2*$AQ$3+IF(BN7=0,MAX(AJ7,AK7),0)+IF(Y7=0,1.2,0)-IF(AW7=90,2.4,0)</f>
        <v>2.6000000000000005</v>
      </c>
      <c r="BK7" s="41">
        <f>MAX(AB7,AC7)+AM7</f>
        <v>0.8</v>
      </c>
      <c r="BL7" s="6">
        <f>L7-I7-V7</f>
        <v>-0.1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+(5 ),  늘어난치수K -(0),  C + (0),  U +(0), OP1/OP3 -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3</v>
      </c>
      <c r="C2" s="22"/>
      <c r="D2" s="22"/>
      <c r="E2" s="96" t="s">
        <v>86</v>
      </c>
      <c r="F2" s="116">
        <v>2</v>
      </c>
      <c r="G2" s="1"/>
      <c r="H2" s="1"/>
      <c r="I2" s="1"/>
      <c r="J2" s="213" t="s">
        <v>302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인천 성우빌딩 B동 SO,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5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3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324</v>
      </c>
      <c r="AL3" s="212"/>
      <c r="AM3" s="159">
        <f>AS7</f>
        <v>5.710593137499643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+(5 ),  늘어난치수K -(0),  C + (0),  U +(0), OP1/OP3 -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307</v>
      </c>
      <c r="AE4" s="343"/>
      <c r="AF4" s="343">
        <f>'4CO멍텅(실측)'!X7</f>
        <v>0</v>
      </c>
      <c r="AG4" s="343"/>
      <c r="AH4" s="9"/>
      <c r="AI4" s="222">
        <f ca="1">TODAY()</f>
        <v>45483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331</v>
      </c>
      <c r="O5" s="311" t="s">
        <v>332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300</v>
      </c>
      <c r="AQ5" s="177" t="s">
        <v>301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-1.5</v>
      </c>
      <c r="D7" s="4">
        <f>'4CO멍텅(실측)'!D7</f>
        <v>0</v>
      </c>
      <c r="E7" s="4">
        <f>'4CO멍텅(실측)'!E7-CO4멍텅OP/2</f>
        <v>-1.5</v>
      </c>
      <c r="F7" s="4">
        <f>'4CO멍텅(실측)'!F7-CO4멍텅R</f>
        <v>-2</v>
      </c>
      <c r="G7" s="4">
        <f>'4CO멍텅(실측)'!G7+MAX(AP7,AQ7)+IF(BE7=1,AD7,0)+CO4멍텅JBJD늘림치수</f>
        <v>5</v>
      </c>
      <c r="H7" s="4">
        <f>'4CO멍텅(실측)'!H7+MAX(AP7,AQ7)+IF(BE7=1,MAX(AD7,AF7),0)+CO4멍텅JBJD늘림치수</f>
        <v>5</v>
      </c>
      <c r="I7" s="4">
        <f>'4CO멍텅(실측)'!I7+MAX(AP7,AQ7)+IF(BE7=1,AF7,0)+CO4멍텅JBJD늘림치수</f>
        <v>5</v>
      </c>
      <c r="J7" s="4">
        <f>'4CO멍텅(실측)'!J7+AP7+IF(BE7=1,AD7,0)+CO4멍텅JB강제키움+CO4멍텅JBJD늘림치수</f>
        <v>5</v>
      </c>
      <c r="K7" s="4">
        <f>'4CO멍텅(실측)'!J7+AP7+IF(BE7=1,AE7,0)+CO4멍텅JB강제키움+CO4멍텅JBJD늘림치수-IF(CO4멍텅JB하부늘치=1,'4CO멍텅(실측)'!X7-'4CO멍텅(실측)'!Y7,0)</f>
        <v>5</v>
      </c>
      <c r="L7" s="4">
        <f>'4CO멍텅(실측)'!K7+AQ7+IF(BE7=1,AF7,0)+CO4멍텅JB강제키움+CO4멍텅JBJD늘림치수</f>
        <v>5</v>
      </c>
      <c r="M7" s="4">
        <f>'4CO멍텅(실측)'!K7+AQ7+IF(BE7=1,AG7,0)+CO4멍텅JB강제키움+CO4멍텅JBJD늘림치수-IF(CO4멍텅JB하부늘치=1,'4CO멍텅(실측)'!Z7-'4CO멍텅(실측)'!AA7,0)</f>
        <v>5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-2*1.4</v>
      </c>
      <c r="AI7" s="12" t="str">
        <f t="shared" ref="AI7" si="2">AZ7&amp;"*"&amp;AY7</f>
        <v>0*2.4</v>
      </c>
      <c r="AJ7" s="10" t="str">
        <f t="shared" ref="AJ7" si="3">BB7&amp;"*"&amp;BA7</f>
        <v>0*2.4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5.710593137499643</v>
      </c>
      <c r="AT7" s="36">
        <f t="shared" ref="AT7" si="4">G7-COS(RADIANS(AS7))*J7</f>
        <v>2.4814048950053902E-2</v>
      </c>
      <c r="AU7" s="36">
        <f t="shared" ref="AU7" si="5">I7-COS(RADIANS(AS7))*L7</f>
        <v>2.4814048950053902E-2</v>
      </c>
      <c r="AV7" s="46" t="str">
        <f t="shared" ref="AV7" si="6">IF(G7+AD7&lt;&gt;I7+AF7,"JD비대칭","")</f>
        <v/>
      </c>
      <c r="AW7" s="3">
        <f>F7 + IF(Z7+AA7&gt;0, P7+Q7,0)</f>
        <v>-2</v>
      </c>
      <c r="AX7" s="3">
        <f>Z7+H7+AB7+AA7-1.2*$AH$3+IF(BE7=0,MAX(AD7,AF7))+IF(AA7=0,1.2,0)</f>
        <v>1.4000000000000001</v>
      </c>
      <c r="AY7" s="3">
        <f>T7+R7+MAX(J7,K7)+AC7-1.2*$AJ$3+IF(BE7=0,MAX(AD7,AE7))+IF(T7=0,1.2,0)-IF(AM7=90,2.4,0)</f>
        <v>2.4000000000000004</v>
      </c>
      <c r="AZ7" s="3">
        <f t="shared" ref="AZ7" si="7">MAX(V7,W7)</f>
        <v>0</v>
      </c>
      <c r="BA7" s="3">
        <f>U7+S7+MAX(L7,M7)+AC7-1.2*$AJ$3+IF(BE7=0,MAX(AF7,AG7))+IF(U7=0,1.2,0)-IF(AM7=90,2.4,0)</f>
        <v>2.4000000000000004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+(5 ),  늘어난치수K -(0),  C + (0),   U + (0), OP - (2),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13" t="s">
        <v>303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인천 성우빌딩 B동 SO,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3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325</v>
      </c>
      <c r="AK3" s="212"/>
      <c r="AL3" s="160">
        <f>AO7</f>
        <v>0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+(5 ),  늘어난치수K -(0),  C + (0),   U + (0), OP - (2), R - (2),  기둥차감 - (0), A + (3)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326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45483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300</v>
      </c>
      <c r="AM5" s="177" t="s">
        <v>301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-2</v>
      </c>
      <c r="E7" s="4">
        <f>'2UP(실측)'!E7+MAX(AL7,AM7)+IF(BA7=1,AC7,0)+UP2멍텅JBJD늘림치수</f>
        <v>5</v>
      </c>
      <c r="F7" s="4">
        <f>'2UP(실측)'!F7+MAX(AL7,AM7)+IF(BA7=1,AE7,0)+UP2멍텅JBJD늘림치수</f>
        <v>5</v>
      </c>
      <c r="G7" s="4">
        <f>'2UP(실측)'!G7+AL7+IF(BA7=1,AC7,0)+UP2멍텅JB강제키움+UP2멍텅JBJD늘림치수</f>
        <v>5</v>
      </c>
      <c r="H7" s="4">
        <f>'2UP(실측)'!H7+AL7+IF(BA7=1,AD7,0)+UP2멍텅JB강제키움+UP2멍텅JBJD늘림치수-IF(UP2멍텅JB하부늘치=1,'2UP(실측)'!Y7-'2UP(실측)'!Z7,0)</f>
        <v>5</v>
      </c>
      <c r="I7" s="4">
        <f>'2UP(실측)'!I7+AM7+IF(BA7=1,AE7,0)+UP2멍텅JB강제키움+UP2멍텅JBJD늘림치수</f>
        <v>5</v>
      </c>
      <c r="J7" s="4">
        <f>'2UP(실측)'!J7+AM7+IF(BA7=1,AF7,0)+UP2멍텅JB강제키움+UP2멍텅JBJD늘림치수-IF(UP2멍텅JB하부늘치=1,'2UP(실측)'!AA7-'2UP(실측)'!AB7,0)</f>
        <v>5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-2*2.6</v>
      </c>
      <c r="AH7" s="12" t="str">
        <f t="shared" ref="AH7" si="2">AV7&amp;"*"&amp;AU7</f>
        <v>0*2.4</v>
      </c>
      <c r="AI7" s="10" t="str">
        <f t="shared" ref="AI7" si="3">AX7&amp;"*"&amp;AW7</f>
        <v>0*2.4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-2</v>
      </c>
      <c r="AT7" s="3">
        <f>Y7+MAX(E7,F7)+AA7+Z7-1.2*$AG$3+IF(BA7=0,MAX(AC7,AE7))+IF(Z7=0,1.2,0)</f>
        <v>2.6000000000000005</v>
      </c>
      <c r="AU7" s="3">
        <f>Q7+O7+MAX(G7,H7)+AB7-1.2*$AI$3+IF(BA7=0,MAX(AC7,AD7))+IF(Q7=0,1.2,0)</f>
        <v>2.4000000000000004</v>
      </c>
      <c r="AV7" s="3">
        <f>MAX(S7,T7+U7)</f>
        <v>0</v>
      </c>
      <c r="AW7" s="3">
        <f>R7+P7+MAX(I7,J7)+AB7-1.2*$AI$3+IF(BA7=0,MAX(AE7,AF7))+IF(R7=0,1.2,0)</f>
        <v>2.4000000000000004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인천 성우빌딩 B동 SO ) _이인종소장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인천 성우빌딩 B동 SO,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+(5 ),  늘어난치수K -(0),  C + (0),   U + (0), OP - (2),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인천 성우빌딩 B동 SO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354" t="s">
        <v>304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인천 성우빌딩 B동 SO,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5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3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321</v>
      </c>
      <c r="AQ3" s="374"/>
      <c r="AR3" s="160">
        <f>AU7</f>
        <v>0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+(5 ),  늘어난치수K -(0),  C + (0),   U + (0), OP - (2), R - (2),  기둥차감 - (0), A + (3)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327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45483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300</v>
      </c>
      <c r="AS5" s="177" t="s">
        <v>301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-2</v>
      </c>
      <c r="E7" s="4">
        <f>'3UP(실측)'!E7+MAX(AR7,AS7)+IF(BG7=1,AG7,0)+UP3멍텅JBJD늘림치수</f>
        <v>5</v>
      </c>
      <c r="F7" s="4">
        <f>'3UP(실측)'!F7+MAX(AR7,AS7)+IF(BG7=1,AJ7,0)+UP3멍텅JBJD늘림치수</f>
        <v>5</v>
      </c>
      <c r="G7" s="4">
        <f>'3UP(실측)'!G7+AR7+IF(BG7=1,AG7,0)+UP3멍텅JB강제키움+UP3멍텅JBJD늘림치수</f>
        <v>5</v>
      </c>
      <c r="H7" s="4">
        <f>'3UP(실측)'!H7+AR7+IF(BG7=1,AH7,0)+UP3멍텅JB강제키움+UP3멍텅JBJD늘림치수-IF(UP3멍텅JB하부늘치=1,'3UP(실측)'!AC7-'3UP(실측)'!AD7,0)</f>
        <v>5</v>
      </c>
      <c r="I7" s="4">
        <f>'3UP(실측)'!I7+AR7+IF(BG7=1,AI7,0)+UP3멍텅JB강제키움+UP3멍텅JBJD늘림치수-IF(UP3멍텅JB하부늘치=1,'3UP(실측)'!AC7-'3UP(실측)'!AE7,0)</f>
        <v>5</v>
      </c>
      <c r="J7" s="4">
        <f>'3UP(실측)'!J7+AS7+IF(BG7=1,AJ7,0)+UP3멍텅JB강제키움+UP3멍텅JBJD늘림치수</f>
        <v>5</v>
      </c>
      <c r="K7" s="4">
        <f>'3UP(실측)'!K7+AS7+IF(BG7=1,AK7,0)+UP3멍텅JB강제키움+UP3멍텅JBJD늘림치수-IF(UP3멍텅JB하부늘치=1,'3UP(실측)'!AF7-'3UP(실측)'!AG7,0)</f>
        <v>5</v>
      </c>
      <c r="L7" s="4">
        <f>'3UP(실측)'!L7+AS7+IF(BG7=1,AL7,0)+UP3멍텅JB강제키움+UP3멍텅JBJD늘림치수-IF(UP3멍텅JB하부늘치=1,'3UP(실측)'!AF7-'3UP(실측)'!AH7,0)</f>
        <v>5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-2*2.6</v>
      </c>
      <c r="AN7" s="12" t="str">
        <f t="shared" ref="AN7" si="2">BB7&amp;"*"&amp;BA7</f>
        <v>0*2.4</v>
      </c>
      <c r="AO7" s="10" t="str">
        <f t="shared" ref="AO7" si="3">BD7&amp;"*"&amp;BC7</f>
        <v>0*2.4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-2</v>
      </c>
      <c r="AZ7" s="3">
        <f>AC7+MAX(E7,F7)+AE7+AD7-1.2*$AM$3+IF(BG7=0,MAX(AG7,AJ7))+IF(AD7=0,1.2,0)</f>
        <v>2.6000000000000005</v>
      </c>
      <c r="BA7" s="3">
        <f>S7+Q7+MAX(G7,I7)+AF7-1.2*$AO$3+IF(BG7=0,MAX(AG7,AI7))+IF(S7=0,1.2,0)</f>
        <v>2.4000000000000004</v>
      </c>
      <c r="BB7" s="3">
        <f>MAX(U7,V7+W7+X7)</f>
        <v>0</v>
      </c>
      <c r="BC7" s="3">
        <f>T7+R7+MAX(J7,L7)+AF7-1.2*$AO$3+IF(BG7=0,MAX(AJ7,AL7))+IF(T7=0,1.2,0)</f>
        <v>2.4000000000000004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2024-07-10T02:48:29Z</dcterms:modified>
</cp:coreProperties>
</file>