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0D0C1F95-92D4-4045-9A04-806E71C72873}" xr6:coauthVersionLast="47" xr6:coauthVersionMax="47" xr10:uidLastSave="{00000000-0000-0000-0000-000000000000}"/>
  <bookViews>
    <workbookView xWindow="28680" yWindow="-120" windowWidth="29040" windowHeight="15840" tabRatio="947" activeTab="5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0" l="1"/>
  <c r="B8" i="10"/>
  <c r="C8" i="10"/>
  <c r="D8" i="10"/>
  <c r="Q8" i="10"/>
  <c r="R8" i="10"/>
  <c r="S8" i="10"/>
  <c r="T8" i="10"/>
  <c r="W8" i="10"/>
  <c r="X8" i="10"/>
  <c r="Y8" i="10"/>
  <c r="AZ8" i="10" s="1"/>
  <c r="Z8" i="10"/>
  <c r="AA8" i="10"/>
  <c r="AB8" i="10" s="1"/>
  <c r="AF8" i="10"/>
  <c r="AG8" i="10"/>
  <c r="AH8" i="10"/>
  <c r="AI8" i="10"/>
  <c r="AJ8" i="10"/>
  <c r="AK8" i="10"/>
  <c r="V8" i="10" s="1"/>
  <c r="AL8" i="10"/>
  <c r="P8" i="10" s="1"/>
  <c r="N8" i="10" s="1"/>
  <c r="AU8" i="10"/>
  <c r="AW8" i="10"/>
  <c r="BA8" i="10"/>
  <c r="A9" i="10"/>
  <c r="B9" i="10"/>
  <c r="C9" i="10"/>
  <c r="D9" i="10"/>
  <c r="Q9" i="10"/>
  <c r="R9" i="10"/>
  <c r="AU9" i="10" s="1"/>
  <c r="S9" i="10"/>
  <c r="T9" i="10"/>
  <c r="W9" i="10"/>
  <c r="X9" i="10"/>
  <c r="Y9" i="10"/>
  <c r="AZ9" i="10" s="1"/>
  <c r="AA9" i="10"/>
  <c r="AB9" i="10" s="1"/>
  <c r="AF9" i="10"/>
  <c r="AG9" i="10"/>
  <c r="AH9" i="10"/>
  <c r="AI9" i="10"/>
  <c r="AJ9" i="10"/>
  <c r="AK9" i="10"/>
  <c r="V9" i="10" s="1"/>
  <c r="AL9" i="10"/>
  <c r="P9" i="10" s="1"/>
  <c r="BA9" i="10"/>
  <c r="A10" i="10"/>
  <c r="B10" i="10"/>
  <c r="C10" i="10"/>
  <c r="D10" i="10"/>
  <c r="Q10" i="10"/>
  <c r="R10" i="10"/>
  <c r="S10" i="10"/>
  <c r="T10" i="10"/>
  <c r="AW10" i="10" s="1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O10" i="10" s="1"/>
  <c r="M10" i="10" s="1"/>
  <c r="K10" i="10" s="1"/>
  <c r="AL10" i="10"/>
  <c r="P10" i="10" s="1"/>
  <c r="AU10" i="10"/>
  <c r="BA10" i="10"/>
  <c r="A11" i="10"/>
  <c r="B11" i="10"/>
  <c r="C11" i="10"/>
  <c r="D11" i="10"/>
  <c r="Q11" i="10"/>
  <c r="R11" i="10"/>
  <c r="S11" i="10"/>
  <c r="T11" i="10"/>
  <c r="W11" i="10"/>
  <c r="X11" i="10"/>
  <c r="Y11" i="10"/>
  <c r="Z11" i="10"/>
  <c r="AA11" i="10"/>
  <c r="AB11" i="10"/>
  <c r="AF11" i="10"/>
  <c r="AG11" i="10"/>
  <c r="AH11" i="10"/>
  <c r="AI11" i="10"/>
  <c r="AJ11" i="10"/>
  <c r="AK11" i="10"/>
  <c r="V11" i="10" s="1"/>
  <c r="AL11" i="10"/>
  <c r="P11" i="10" s="1"/>
  <c r="N11" i="10" s="1"/>
  <c r="L11" i="10" s="1"/>
  <c r="BA11" i="10"/>
  <c r="A12" i="10"/>
  <c r="B12" i="10"/>
  <c r="C12" i="10"/>
  <c r="D12" i="10"/>
  <c r="Q12" i="10"/>
  <c r="AU12" i="10" s="1"/>
  <c r="R12" i="10"/>
  <c r="S12" i="10"/>
  <c r="AW12" i="10" s="1"/>
  <c r="T12" i="10"/>
  <c r="W12" i="10"/>
  <c r="X12" i="10"/>
  <c r="Y12" i="10"/>
  <c r="Z12" i="10" s="1"/>
  <c r="AA12" i="10"/>
  <c r="AB12" i="10" s="1"/>
  <c r="AF12" i="10"/>
  <c r="AG12" i="10"/>
  <c r="AH12" i="10"/>
  <c r="AI12" i="10"/>
  <c r="AJ12" i="10"/>
  <c r="AK12" i="10"/>
  <c r="O12" i="10" s="1"/>
  <c r="M12" i="10" s="1"/>
  <c r="K12" i="10" s="1"/>
  <c r="AL12" i="10"/>
  <c r="P12" i="10" s="1"/>
  <c r="BA12" i="10"/>
  <c r="A13" i="10"/>
  <c r="B13" i="10"/>
  <c r="C13" i="10"/>
  <c r="D13" i="10"/>
  <c r="Q13" i="10"/>
  <c r="R13" i="10"/>
  <c r="S13" i="10"/>
  <c r="T13" i="10"/>
  <c r="W13" i="10"/>
  <c r="X13" i="10"/>
  <c r="Y13" i="10"/>
  <c r="Z13" i="10"/>
  <c r="AA13" i="10"/>
  <c r="AB13" i="10" s="1"/>
  <c r="AF13" i="10"/>
  <c r="AG13" i="10"/>
  <c r="AH13" i="10"/>
  <c r="AI13" i="10"/>
  <c r="AJ13" i="10"/>
  <c r="AK13" i="10"/>
  <c r="V13" i="10" s="1"/>
  <c r="AL13" i="10"/>
  <c r="P13" i="10" s="1"/>
  <c r="N13" i="10" s="1"/>
  <c r="L13" i="10" s="1"/>
  <c r="BA13" i="10"/>
  <c r="AH13" i="9"/>
  <c r="AG13" i="9"/>
  <c r="AF13" i="9"/>
  <c r="AI13" i="9"/>
  <c r="AI12" i="9"/>
  <c r="AH12" i="9"/>
  <c r="AG12" i="9"/>
  <c r="AF12" i="9"/>
  <c r="AJ13" i="9"/>
  <c r="AJ12" i="9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E8" i="10" l="1"/>
  <c r="E9" i="10"/>
  <c r="AN9" i="10" s="1"/>
  <c r="Z9" i="10"/>
  <c r="I8" i="10"/>
  <c r="O8" i="10"/>
  <c r="M8" i="10" s="1"/>
  <c r="K8" i="10" s="1"/>
  <c r="G8" i="10"/>
  <c r="AX8" i="10" s="1"/>
  <c r="AW13" i="10"/>
  <c r="AW11" i="10"/>
  <c r="AW9" i="10"/>
  <c r="AZ13" i="10"/>
  <c r="AU13" i="10"/>
  <c r="AU11" i="10"/>
  <c r="U11" i="10"/>
  <c r="AY11" i="10"/>
  <c r="N9" i="10"/>
  <c r="L9" i="10" s="1"/>
  <c r="E13" i="10"/>
  <c r="F13" i="10"/>
  <c r="H13" i="10"/>
  <c r="J13" i="10"/>
  <c r="L8" i="10"/>
  <c r="AN8" i="10"/>
  <c r="AO8" i="10"/>
  <c r="U9" i="10"/>
  <c r="AY9" i="10"/>
  <c r="U13" i="10"/>
  <c r="AY13" i="10"/>
  <c r="AY8" i="10"/>
  <c r="U8" i="10"/>
  <c r="I13" i="10"/>
  <c r="H8" i="10"/>
  <c r="AT8" i="10" s="1"/>
  <c r="AD8" i="10" s="1"/>
  <c r="V12" i="10"/>
  <c r="N12" i="10"/>
  <c r="L12" i="10" s="1"/>
  <c r="V10" i="10"/>
  <c r="N10" i="10"/>
  <c r="L10" i="10" s="1"/>
  <c r="J9" i="10"/>
  <c r="F8" i="10"/>
  <c r="I9" i="10"/>
  <c r="AZ11" i="10"/>
  <c r="H9" i="10"/>
  <c r="AN13" i="10"/>
  <c r="O13" i="10"/>
  <c r="G13" i="10"/>
  <c r="AX13" i="10" s="1"/>
  <c r="AZ12" i="10"/>
  <c r="I12" i="10" s="1"/>
  <c r="O11" i="10"/>
  <c r="AZ10" i="10"/>
  <c r="J10" i="10" s="1"/>
  <c r="O9" i="10"/>
  <c r="G9" i="10"/>
  <c r="AX9" i="10" s="1"/>
  <c r="F9" i="10"/>
  <c r="J8" i="10"/>
  <c r="C7" i="26"/>
  <c r="E7" i="26"/>
  <c r="AF4" i="26"/>
  <c r="AJ4" i="24"/>
  <c r="AE4" i="22"/>
  <c r="AI4" i="19"/>
  <c r="AA4" i="10"/>
  <c r="AE3" i="8"/>
  <c r="AP8" i="10" l="1"/>
  <c r="AV8" i="10"/>
  <c r="AE8" i="10" s="1"/>
  <c r="AV9" i="10"/>
  <c r="AE9" i="10" s="1"/>
  <c r="AV13" i="10"/>
  <c r="AE13" i="10" s="1"/>
  <c r="AP9" i="10"/>
  <c r="M11" i="10"/>
  <c r="K11" i="10" s="1"/>
  <c r="AR11" i="10" s="1"/>
  <c r="H12" i="10"/>
  <c r="E12" i="10"/>
  <c r="G12" i="10"/>
  <c r="F12" i="10"/>
  <c r="G11" i="10"/>
  <c r="AQ9" i="10"/>
  <c r="AO9" i="10"/>
  <c r="AR8" i="10"/>
  <c r="AS8" i="10"/>
  <c r="AQ8" i="10"/>
  <c r="AP13" i="10"/>
  <c r="AY10" i="10"/>
  <c r="U10" i="10"/>
  <c r="AO13" i="10"/>
  <c r="AQ13" i="10"/>
  <c r="I10" i="10"/>
  <c r="AV10" i="10" s="1"/>
  <c r="AE10" i="10" s="1"/>
  <c r="E11" i="10"/>
  <c r="AS11" i="10" s="1"/>
  <c r="F11" i="10"/>
  <c r="H11" i="10"/>
  <c r="I11" i="10"/>
  <c r="J11" i="10"/>
  <c r="M9" i="10"/>
  <c r="K9" i="10" s="1"/>
  <c r="AR9" i="10" s="1"/>
  <c r="M13" i="10"/>
  <c r="K13" i="10" s="1"/>
  <c r="AR13" i="10" s="1"/>
  <c r="AT13" i="10"/>
  <c r="AD13" i="10" s="1"/>
  <c r="J12" i="10"/>
  <c r="AV12" i="10" s="1"/>
  <c r="AE12" i="10" s="1"/>
  <c r="E10" i="10"/>
  <c r="G10" i="10"/>
  <c r="AX10" i="10" s="1"/>
  <c r="F10" i="10"/>
  <c r="H10" i="10"/>
  <c r="AY12" i="10"/>
  <c r="U12" i="10"/>
  <c r="AS13" i="10"/>
  <c r="AS9" i="10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V11" i="10" l="1"/>
  <c r="AE11" i="10" s="1"/>
  <c r="AX12" i="10"/>
  <c r="AC8" i="10"/>
  <c r="AC9" i="10"/>
  <c r="AT9" i="10"/>
  <c r="AD9" i="10" s="1"/>
  <c r="AT12" i="10"/>
  <c r="AD12" i="10" s="1"/>
  <c r="AS10" i="10"/>
  <c r="AR10" i="10"/>
  <c r="AQ12" i="10"/>
  <c r="AN12" i="10"/>
  <c r="AP12" i="10" s="1"/>
  <c r="AT11" i="10"/>
  <c r="AD11" i="10" s="1"/>
  <c r="AC11" i="10"/>
  <c r="AS12" i="10"/>
  <c r="AR12" i="10"/>
  <c r="AQ11" i="10"/>
  <c r="AN11" i="10"/>
  <c r="AP11" i="10" s="1"/>
  <c r="AQ10" i="10"/>
  <c r="AN10" i="10"/>
  <c r="AO10" i="10" s="1"/>
  <c r="AC13" i="10"/>
  <c r="AX11" i="10"/>
  <c r="AT10" i="10"/>
  <c r="AD10" i="10" s="1"/>
  <c r="AI7" i="32"/>
  <c r="AE4" i="32"/>
  <c r="AD7" i="28"/>
  <c r="AA4" i="28"/>
  <c r="AH7" i="32"/>
  <c r="AE7" i="26"/>
  <c r="AK7" i="32"/>
  <c r="C7" i="19"/>
  <c r="D7" i="24"/>
  <c r="AC10" i="10" l="1"/>
  <c r="AO12" i="10"/>
  <c r="AO11" i="10"/>
  <c r="AP10" i="10"/>
  <c r="AC12" i="10"/>
  <c r="AS7" i="32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M7" i="22" l="1"/>
  <c r="O7" i="19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D7" i="14" s="1"/>
  <c r="AA7" i="15" s="1"/>
  <c r="AH7" i="14"/>
  <c r="AE7" i="15" s="1"/>
  <c r="AC7" i="14"/>
  <c r="Z7" i="15" s="1"/>
  <c r="C2" i="14"/>
  <c r="F7" i="14"/>
  <c r="C7" i="15" l="1"/>
  <c r="AG7" i="14"/>
  <c r="AE7" i="14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F7" i="15" l="1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<sst xmlns="http://schemas.openxmlformats.org/spreadsheetml/2006/main" count="1172" uniqueCount="339">
  <si>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</si>
  <si>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</si>
  <si>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</si>
  <si>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</si>
  <si>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</si>
  <si>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</si>
  <si>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</si>
  <si>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</si>
  <si>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</si>
  <si>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</si>
  <si>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</si>
  <si>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</si>
  <si>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</si>
  <si>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</si>
  <si>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</si>
  <si>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</si>
  <si>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</si>
  <si>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</si>
  <si>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</si>
  <si>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</si>
  <si>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</si>
  <si>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</si>
  <si>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</si>
  <si>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</si>
  <si>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</si>
  <si>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</si>
  <si>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</si>
  <si>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</si>
  <si>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</si>
  <si>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</si>
  <si>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</si>
  <si>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</si>
  <si>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</si>
  <si>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</si>
  <si>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</si>
  <si>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</si>
  <si>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</si>
  <si>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</si>
  <si>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</si>
  <si>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</si>
  <si>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</si>
  <si>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</si>
  <si>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</si>
  <si>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</si>
  <si>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</si>
  <si>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</si>
  <si>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</si>
  <si>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</si>
  <si>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</si>
  <si>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</si>
  <si>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</si>
  <si>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</si>
  <si>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</si>
  <si>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</si>
  <si>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</si>
  <si>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</si>
  <si>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</si>
  <si>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</si>
  <si>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</si>
  <si>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</si>
  <si>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</si>
  <si>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</si>
  <si>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</si>
  <si>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</si>
  <si>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</si>
  <si>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</si>
  <si>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</si>
  <si>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</si>
  <si>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</si>
  <si>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</si>
  <si>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</si>
  <si>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</si>
  <si>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</si>
  <si>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</si>
  <si>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</si>
  <si>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</si>
  <si>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</si>
  <si>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</si>
  <si>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</si>
  <si>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</si>
  <si>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</si>
  <si>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</si>
  <si>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</si>
  <si>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</si>
  <si>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</si>
  <si>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</si>
  <si>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</si>
  <si>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</si>
  <si>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</si>
  <si>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</si>
  <si>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</si>
  <si>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</si>
  <si>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</si>
  <si>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</si>
  <si>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</si>
  <si>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</si>
  <si>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</si>
  <si>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</si>
  <si>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</si>
  <si>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</si>
  <si>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</si>
  <si>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</si>
  <si>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</si>
  <si>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</si>
  <si>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</si>
  <si>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</si>
  <si>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</si>
  <si>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</si>
  <si>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</si>
  <si>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</si>
  <si>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</si>
  <si>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</si>
  <si>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</si>
  <si>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</si>
  <si>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</si>
  <si>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</si>
  <si>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</si>
  <si>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</si>
  <si>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</si>
  <si>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</si>
  <si>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</si>
  <si>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</si>
  <si>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</si>
  <si>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</si>
  <si>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</si>
  <si>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</si>
  <si>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</si>
  <si>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</si>
  <si>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</si>
  <si>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</si>
  <si>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</si>
  <si>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</si>
  <si>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</si>
  <si>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</si>
  <si>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</si>
  <si>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</si>
  <si>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</si>
  <si>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</si>
  <si>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</si>
  <si>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</si>
  <si>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</si>
  <si>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</si>
  <si>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</si>
  <si>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</si>
  <si>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</si>
  <si>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</si>
  <si>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</si>
  <si>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</si>
  <si>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</si>
  <si>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</si>
  <si>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</si>
  <si>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</si>
  <si>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</si>
  <si>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</si>
  <si>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</si>
  <si>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</si>
  <si>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</si>
  <si>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</si>
  <si>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</si>
  <si>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</si>
  <si>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</si>
  <si>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</si>
  <si>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</si>
  <si>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</si>
  <si>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</si>
  <si>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</si>
  <si>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</si>
  <si>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</si>
  <si>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</si>
  <si>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</si>
  <si>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</si>
  <si>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</si>
  <si>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</si>
  <si>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</si>
  <si>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</si>
  <si>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</si>
  <si>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</si>
  <si>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</si>
  <si>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</si>
  <si>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</si>
  <si>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</si>
  <si>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</si>
  <si>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</si>
  <si>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</si>
  <si>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</si>
  <si>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</si>
  <si>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</si>
  <si>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</si>
  <si>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</si>
  <si>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</si>
  <si>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</si>
  <si>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</si>
  <si>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</si>
  <si>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</si>
  <si>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</si>
  <si>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</si>
  <si>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</si>
  <si>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</si>
  <si>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</si>
  <si>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</si>
  <si>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</si>
  <si>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</si>
  <si>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</si>
  <si>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</si>
  <si>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</si>
  <si>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</si>
  <si>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</si>
  <si>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</si>
  <si>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</si>
  <si>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</si>
  <si>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</si>
  <si>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</si>
  <si>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</si>
  <si>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</si>
  <si>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</si>
  <si>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</si>
  <si>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</si>
  <si>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</si>
  <si>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</si>
  <si>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</si>
  <si>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</si>
  <si>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</si>
  <si>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</si>
  <si>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</si>
  <si>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</si>
  <si>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</si>
  <si>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</si>
  <si>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</si>
  <si>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</si>
  <si>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</si>
  <si>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</si>
  <si>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</si>
  <si>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</si>
  <si>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</si>
  <si>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</si>
  <si>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</si>
  <si>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</si>
  <si>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</si>
  <si>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</si>
  <si>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</si>
  <si>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</si>
  <si>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</si>
  <si>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</si>
  <si>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</si>
  <si>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</si>
  <si>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</si>
  <si>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</si>
  <si>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</si>
  <si>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</si>
  <si>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</si>
  <si>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</si>
  <si>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</si>
  <si>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</si>
  <si>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</si>
  <si>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</si>
  <si>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</si>
  <si>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</si>
  <si>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</si>
  <si>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</si>
  <si>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</si>
  <si>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</si>
  <si>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</si>
  <si>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</si>
  <si>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</si>
  <si>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</si>
  <si>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</si>
  <si>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</si>
  <si>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</si>
  <si>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</si>
  <si>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</si>
  <si>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</si>
  <si>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</si>
  <si>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</si>
  <si>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</si>
  <si>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</si>
  <si>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</si>
  <si>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</si>
  <si>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</si>
  <si>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</si>
  <si>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</si>
  <si>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</si>
  <si>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</si>
  <si>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</si>
  <si>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</si>
  <si>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</si>
  <si>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</si>
  <si>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</si>
  <si>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</si>
  <si>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</si>
  <si>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</si>
  <si>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</si>
  <si>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</si>
  <si>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</si>
  <si>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</si>
  <si>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</si>
  <si>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</si>
  <si>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</si>
  <si>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</si>
  <si>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</si>
  <si>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</si>
  <si>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</si>
  <si>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</si>
  <si>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</si>
  <si>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</si>
  <si>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</si>
  <si>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</si>
  <si>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</si>
  <si>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</si>
  <si>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</si>
  <si>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</si>
  <si>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</si>
  <si>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</si>
  <si>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</si>
  <si>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</si>
  <si>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</si>
  <si>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</si>
  <si>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</si>
  <si>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</si>
  <si>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</si>
  <si>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</si>
  <si>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</si>
  <si>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</si>
  <si>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</si>
  <si>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</si>
  <si>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</si>
  <si>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</si>
  <si>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</si>
  <si>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</si>
  <si>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</si>
  <si>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</si>
  <si>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</si>
  <si>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</si>
  <si>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</si>
  <si>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</si>
  <si>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</si>
  <si>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경기도 고양 태창빌딩</t>
  </si>
  <si>
    <t>OTIS HIL-A207 돌출형</t>
  </si>
  <si>
    <t>박철우</t>
  </si>
  <si>
    <t>B1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</si>
</sst>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경기도 고양 태창빌딩 ) _박철우소장</v>
      </c>
      <c r="C2" s="39" t="str">
        <f>"(와이드) 제작변환 자료( "&amp;B1&amp;" ) _"&amp;소장 &amp;"소장"</f>
        <v>(와이드) 제작변환 자료( 경기도 고양 태창빌딩 ) _박철우소장</v>
      </c>
      <c r="D2" s="154" t="s">
        <v>317</v>
      </c>
      <c r="E2" s="150" t="str">
        <f>"(SO와이드) 실측서 ( " &amp; B1 &amp; " ) _"&amp;소장 &amp;"소장"</f>
        <v>(SO와이드) 실측서 ( 경기도 고양 태창빌딩 ) _박철우소장</v>
      </c>
      <c r="F2" s="150" t="str">
        <f>"(SO와이드) 제작변환 ( " &amp; B1 &amp; " ) _"&amp;소장 &amp;"소장"</f>
        <v>(SO와이드) 제작변환 ( 경기도 고양 태창빌딩 ) _박철우소장</v>
      </c>
      <c r="G2" s="152" t="s">
        <v>319</v>
      </c>
      <c r="H2" s="147" t="str">
        <f>"(4CO와이드) 실측서 ( " &amp; B1 &amp; " ) _"&amp;소장 &amp;"소장"</f>
        <v>(4CO와이드) 실측서 ( 경기도 고양 태창빌딩 ) _박철우소장</v>
      </c>
      <c r="I2" s="147" t="str">
        <f>"(4CO와이드) 제작변환 ( " &amp; B1 &amp; " ) _"&amp;소장 &amp;"소장"</f>
        <v>(4CO와이드) 제작변환 ( 경기도 고양 태창빌딩 ) _박철우소장</v>
      </c>
      <c r="J2" s="152" t="s">
        <v>321</v>
      </c>
      <c r="K2" s="153" t="str">
        <f>"(2UP) 실측서 ( " &amp; B1 &amp; " ) _"&amp;소장 &amp;"소장"</f>
        <v>(2UP) 실측서 ( 경기도 고양 태창빌딩 ) _박철우소장</v>
      </c>
      <c r="L2" s="153" t="str">
        <f>"(2UP) 제작변환 ( " &amp; B1 &amp; " ) _"&amp;소장 &amp;"소장"</f>
        <v>(2UP) 제작변환 ( 경기도 고양 태창빌딩 ) _박철우소장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경기도 고양 태창빌딩 ) _박철우소장</v>
      </c>
      <c r="C3" s="39" t="str">
        <f>"(멍텅구리) 제작변환 자료( "&amp;B1&amp;" ) _"&amp;소장 &amp;"소장"</f>
        <v>(멍텅구리) 제작변환 자료( 경기도 고양 태창빌딩 ) _박철우소장</v>
      </c>
      <c r="D3" s="154" t="s">
        <v>318</v>
      </c>
      <c r="E3" s="150" t="str">
        <f>"(SO멍텅구리) 실측서 ( " &amp; B1 &amp; " ) _"&amp;소장 &amp;"소장"</f>
        <v>(SO멍텅구리) 실측서 ( 경기도 고양 태창빌딩 ) _박철우소장</v>
      </c>
      <c r="F3" s="150" t="str">
        <f>"(SO멍텅구리) 제작변환 ( " &amp; B1 &amp; " ) _"&amp;소장 &amp;"소장"</f>
        <v>(SO멍텅구리) 제작변환 ( 경기도 고양 태창빌딩 ) _박철우소장</v>
      </c>
      <c r="G3" s="152" t="s">
        <v>320</v>
      </c>
      <c r="H3" s="147" t="str">
        <f>"(4CO멍텅구리) 실측서 ( " &amp; B1 &amp; " ) _"&amp;소장 &amp;"소장"</f>
        <v>(4CO멍텅구리) 실측서 ( 경기도 고양 태창빌딩 ) _박철우소장</v>
      </c>
      <c r="I3" s="147" t="str">
        <f>"(4CO멍텅구리) 제작변환 ( " &amp; B1 &amp; " ) _"&amp;소장 &amp;"소장"</f>
        <v>(4CO멍텅구리) 제작변환 ( 경기도 고양 태창빌딩 ) _박철우소장</v>
      </c>
      <c r="J3" s="152" t="s">
        <v>322</v>
      </c>
      <c r="K3" s="153" t="str">
        <f>"(3UP) 실측서 ( " &amp; B1 &amp; " ) _"&amp;소장 &amp;"소장"</f>
        <v>(3UP) 실측서 ( 경기도 고양 태창빌딩 ) _박철우소장</v>
      </c>
      <c r="L3" s="153" t="str">
        <f>"(3UP) 제작변환 ( " &amp; B1 &amp; " ) _"&amp;소장 &amp;"소장"</f>
        <v>(3UP) 제작변환 ( 경기도 고양 태창빌딩 ) _박철우소장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경기도 고양 태창빌딩 ) _박철우소장</v>
      </c>
      <c r="C4" s="39" t="str">
        <f>"(쪽쟘) 제작변환 자료( "&amp;B1&amp;" ) _"&amp;소장 &amp;"소장"</f>
        <v>(쪽쟘) 제작변환 자료( 경기도 고양 태창빌딩 ) _박철우소장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323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+(5 ),  늘어난치수K -(4),  C + (8),   U + (8), OP - (2), R - (2),  기둥차감 - (-1996), A + (3)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+(5 ),  늘어난치수K -(4),  C + (8),  U +(8), OP - (2), R - (2),  기둥차감 - (-1996),  A + (5)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+(5 ),  늘어난치수K -(4),  C + (8),   U + (8), OP - (2), R - (2),  기둥차감 - (0),  A + (3)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+(5 ),  늘어난치수K -(4),  C + (8),  U +(8), OP1/OP2 - (2), R - (2),  기둥차감 - (4), A + (3)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+(5 ),  늘어난치수K -(4),  C + (8),   U + (8), OP1/OP3 - (2), R - (2),  기둥차감 - (4), A + (3)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+(5 ),  늘어난치수K -(4),  C + (8),  U +(8), OP1/OP3 - (2), R - (2),  기둥차감 - (4), A + (3)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+(5 ),  늘어난치수K -(4),  C + (8),   U + (8), OP - (2), R - (2),  기둥차감 - (4), A + (3)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+(5 ),  늘어난치수K -(4),  C + (8),   U + (8), OP - (2), R - (2),  기둥차감 - (4), A + (3)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334</v>
      </c>
    </row>
    <row r="26" spans="1:3" x14ac:dyDescent="0.3">
      <c r="A26">
        <v>20231101</v>
      </c>
      <c r="B26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0</v>
      </c>
      <c r="D2" s="3" t="str">
        <f>정보!B1</f>
        <v>경기도 고양 태창빌딩</v>
      </c>
      <c r="E2" s="3" t="str">
        <f>정보!B6</f>
        <v>박철우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OTIS HIL-A207 돌출형</v>
      </c>
      <c r="J2" s="87">
        <f ca="1">TODAY()</f>
        <v>45303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315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316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K7" sqref="AK7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경기도 고양 태창빌딩 ) _박철우소장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경기도 고양 태창빌딩,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(2), JB/JD +(5 ),  늘어난치수K -(4),  C + (8),   U + (8), OP - (2), R - (2),  기둥차감 - (-1996),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1</v>
      </c>
      <c r="C7" s="4">
        <v>275</v>
      </c>
      <c r="D7" s="4">
        <v>275</v>
      </c>
      <c r="E7" s="4">
        <v>801</v>
      </c>
      <c r="F7" s="4">
        <v>893</v>
      </c>
      <c r="G7" s="4">
        <v>259</v>
      </c>
      <c r="H7" s="4">
        <v>259</v>
      </c>
      <c r="I7" s="4">
        <v>272</v>
      </c>
      <c r="J7" s="4">
        <v>272</v>
      </c>
      <c r="K7" s="13">
        <v>25</v>
      </c>
      <c r="L7" s="13">
        <v>25</v>
      </c>
      <c r="M7" s="4"/>
      <c r="N7" s="4"/>
      <c r="O7" s="4">
        <v>7</v>
      </c>
      <c r="P7" s="4">
        <v>8</v>
      </c>
      <c r="Q7" s="4">
        <v>130</v>
      </c>
      <c r="R7" s="4">
        <v>98</v>
      </c>
      <c r="S7" s="4">
        <v>130</v>
      </c>
      <c r="T7" s="4">
        <v>98</v>
      </c>
      <c r="U7" s="4">
        <v>25</v>
      </c>
      <c r="V7" s="4">
        <v>0</v>
      </c>
      <c r="W7" s="4">
        <v>25</v>
      </c>
      <c r="X7" s="4">
        <v>30</v>
      </c>
      <c r="Y7" s="4">
        <v>26</v>
      </c>
      <c r="Z7" s="4">
        <v>22</v>
      </c>
      <c r="AA7" s="4">
        <v>26</v>
      </c>
      <c r="AB7" s="4">
        <v>20</v>
      </c>
      <c r="AC7" s="4"/>
      <c r="AD7" s="4"/>
      <c r="AE7" s="4"/>
      <c r="AF7" s="4"/>
      <c r="AG7" s="4">
        <v>100</v>
      </c>
      <c r="AH7" s="4">
        <v>20</v>
      </c>
      <c r="AI7" s="4">
        <v>10</v>
      </c>
      <c r="AJ7" s="4">
        <v>20</v>
      </c>
      <c r="AK7" s="53"/>
      <c r="AL7" s="3">
        <f>Y7+$AK7</f>
        <v>26</v>
      </c>
      <c r="AM7" s="3">
        <f>Z7+$AK7</f>
        <v>22</v>
      </c>
      <c r="AN7" s="3">
        <f>AA7+$AK7</f>
        <v>26</v>
      </c>
      <c r="AO7" s="3">
        <f>AB7+$AK7</f>
        <v>20</v>
      </c>
      <c r="AP7" s="3">
        <f>G7-$AK7</f>
        <v>259</v>
      </c>
      <c r="AQ7" s="3">
        <f>H7-$AK7</f>
        <v>259</v>
      </c>
      <c r="AR7" s="3">
        <f>I7-$AK7</f>
        <v>272</v>
      </c>
      <c r="AS7" s="3">
        <f>J7-$AK7</f>
        <v>272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V3" sqref="V3:W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경기도 고양 태창빌딩 ) _박철우소장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2</v>
      </c>
      <c r="E2" s="27"/>
      <c r="F2" s="27" t="s">
        <v>87</v>
      </c>
      <c r="G2" s="30">
        <v>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8</v>
      </c>
      <c r="R2" s="218"/>
      <c r="S2" s="165" t="s">
        <v>83</v>
      </c>
      <c r="T2" s="220"/>
      <c r="U2" s="220"/>
      <c r="V2" s="221">
        <v>-1996</v>
      </c>
      <c r="W2" s="221"/>
      <c r="X2" s="199" t="s">
        <v>205</v>
      </c>
      <c r="Y2" s="200"/>
      <c r="Z2" s="203" t="str">
        <f>정보!B5</f>
        <v>OTIS HIL-A207 돌출형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4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경기도 고양 태창빌딩,   (재질) : HL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5</v>
      </c>
      <c r="N3" s="207"/>
      <c r="O3" s="217" t="s">
        <v>77</v>
      </c>
      <c r="P3" s="217"/>
      <c r="Q3" s="224">
        <v>8</v>
      </c>
      <c r="R3" s="224"/>
      <c r="S3" s="225" t="s">
        <v>227</v>
      </c>
      <c r="T3" s="225"/>
      <c r="U3" s="225"/>
      <c r="V3" s="226">
        <f>BI7</f>
        <v>0</v>
      </c>
      <c r="W3" s="226"/>
      <c r="X3" s="219" t="s">
        <v>78</v>
      </c>
      <c r="Y3" s="219"/>
      <c r="Z3" s="227">
        <v>3</v>
      </c>
      <c r="AA3" s="227"/>
      <c r="AC3" s="208" t="s">
        <v>310</v>
      </c>
      <c r="AD3" s="208"/>
      <c r="AE3" s="208">
        <f>'와이드(실측)'!Y7</f>
        <v>26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324</v>
      </c>
      <c r="AP3" s="192"/>
      <c r="AQ3" s="195">
        <f>AU7</f>
        <v>9.8841240075220718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(2), JB/JD +(5 ),  늘어난치수K -(4),  C + (8),   U + (8), OP - (2), R - (2),  기둥차감 - (-1996), A + (3)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45303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277</v>
      </c>
      <c r="D7" s="31">
        <f>'와이드(실측)'!D7+와이드MH더함-IF(AND(소장="추영덕",Y7=0),1.2)</f>
        <v>277</v>
      </c>
      <c r="E7" s="135">
        <f>'와이드(실측)'!E7-와이드OP</f>
        <v>799</v>
      </c>
      <c r="F7" s="31">
        <f>'와이드(실측)'!F7-와이드R</f>
        <v>891</v>
      </c>
      <c r="G7" s="50">
        <f>'와이드(실측)'!G7+와이드JBJD키움치수+IF(BI7=1,AC7,0)</f>
        <v>264</v>
      </c>
      <c r="H7" s="50">
        <f>'와이드(실측)'!H7+와이드JBJD키움치수+IF(BI7=1,AE7,0)</f>
        <v>264</v>
      </c>
      <c r="I7" s="50">
        <f>'와이드(실측)'!I7+MAX(AS7,AT7)+와이드JBJD키움치수+IF(BI7=1,AC7,0)</f>
        <v>277</v>
      </c>
      <c r="J7" s="50">
        <f>'와이드(실측)'!I7+MAX(AS7,AT7)+와이드JBJD키움치수+IF(BI7=1,AD7,0)-IF(와이드JB하부늘치=1,'와이드(실측)'!Y7-'와이드(실측)'!Z7,0)</f>
        <v>273</v>
      </c>
      <c r="K7" s="50">
        <f>'와이드(실측)'!J7+MAX(AS7,AT7)+와이드JBJD키움치수+IF(BI7=1,AE7,0)</f>
        <v>277</v>
      </c>
      <c r="L7" s="50">
        <f>'와이드(실측)'!J7+MAX(AS7,AT7)+와이드JBJD키움치수+IF(BI7=1,AF7,0)-IF(와이드JB하부늘치=1,'와이드(실측)'!AA7-'와이드(실측)'!AB7,0)</f>
        <v>271</v>
      </c>
      <c r="M7" s="31">
        <f t="shared" ref="M7:N7" si="0">IF(소장="손상민",0,O7-1.5)</f>
        <v>31.5</v>
      </c>
      <c r="N7" s="31">
        <f t="shared" si="0"/>
        <v>31.5</v>
      </c>
      <c r="O7" s="31">
        <f>IF(S7&lt;9,'와이드(실측)'!K7+1.2,IF(ISNUMBER('와이드(실측)'!K7),'와이드(실측)'!K7+와이드C값,0))</f>
        <v>33</v>
      </c>
      <c r="P7" s="31">
        <f>IF(T7&lt;9,'와이드(실측)'!L7+1.2,IF(ISNUMBER('와이드(실측)'!L7),'와이드(실측)'!L7+와이드C값,0))</f>
        <v>33</v>
      </c>
      <c r="Q7" s="32">
        <f>ROUNDUP(AV7,1)</f>
        <v>8.9</v>
      </c>
      <c r="R7" s="38">
        <f>ROUNDUP(AW7,1)</f>
        <v>8.9</v>
      </c>
      <c r="S7" s="31">
        <f>IF(ISNUMBER('와이드(실측)'!O7),'와이드(실측)'!O7+와이드제작!AS7+와이드A늘림,0)</f>
        <v>10</v>
      </c>
      <c r="T7" s="31">
        <f>IF(ISNUMBER('와이드(실측)'!P7),'와이드(실측)'!P7+와이드제작!AT7+와이드A늘림,0)</f>
        <v>11</v>
      </c>
      <c r="U7" s="31">
        <f>'와이드(실측)'!Q7-와이드기둥차감</f>
        <v>2126</v>
      </c>
      <c r="V7" s="31">
        <f>'와이드(실측)'!R7-와이드기둥차감</f>
        <v>2094</v>
      </c>
      <c r="W7" s="31">
        <f>'와이드(실측)'!S7-와이드기둥차감</f>
        <v>2126</v>
      </c>
      <c r="X7" s="31">
        <f>'와이드(실측)'!T7-와이드기둥차감</f>
        <v>2094</v>
      </c>
      <c r="Y7" s="31">
        <f>IF(소장="손상민",IF(ISNUMBER('와이드(실측)'!U7),'와이드(실측)'!U7+1.2,0),IF(ISNUMBER('와이드(실측)'!U7),'와이드(실측)'!U7+와이드U,0))</f>
        <v>33</v>
      </c>
      <c r="Z7" s="31">
        <f>IF(소장="손상민",MAX(Q7,R7)+3.2,IF(ISNUMBER('와이드(실측)'!V7),'와이드(실측)'!V7+1.5+와이드제작!Q7+1,0))</f>
        <v>11.4</v>
      </c>
      <c r="AA7" s="31">
        <f>'와이드(실측)'!W7+뒷날개치수더함</f>
        <v>25</v>
      </c>
      <c r="AB7" s="31">
        <f>'와이드(실측)'!X7+뒷날개치수더함</f>
        <v>30</v>
      </c>
      <c r="AC7" s="31">
        <f>'와이드(실측)'!Y7-와이드늘치</f>
        <v>22</v>
      </c>
      <c r="AD7" s="31">
        <f>IF(와이드JB하부늘치=1,AC7,'와이드(실측)'!Z7-와이드늘치)</f>
        <v>22</v>
      </c>
      <c r="AE7" s="31">
        <f>'와이드(실측)'!AA7-와이드늘치</f>
        <v>22</v>
      </c>
      <c r="AF7" s="31">
        <f>IF(와이드JB하부늘치=1,AE7,'와이드(실측)'!AB7-와이드늘치)</f>
        <v>22</v>
      </c>
      <c r="AG7" s="31">
        <f xml:space="preserve"> IF(소장&lt;&gt;"손상민",IF('와이드(실측)'!AC7&gt;0,'와이드(실측)'!AC7,C7-1.2),IF('와이드(실측)'!AC7&gt;0,'와이드(실측)'!AC7+1.2,C7) )</f>
        <v>275.8</v>
      </c>
      <c r="AH7" s="31">
        <f xml:space="preserve"> IF(소장&lt;&gt;"손상민",IF('와이드(실측)'!AD7&gt;0,'와이드(실측)'!AD7,D7-1.2),IF('와이드(실측)'!AD7&gt;0,'와이드(실측)'!AD7+1.2,D7))</f>
        <v>275.8</v>
      </c>
      <c r="AI7" s="51">
        <f>IF(Z7&gt;0,Z7-MAX(Q7,R7),0)</f>
        <v>2.5</v>
      </c>
      <c r="AJ7" s="31" t="str">
        <f t="shared" ref="AJ7" si="1">BA7&amp;"*"&amp;BB7</f>
        <v>954*627.6</v>
      </c>
      <c r="AK7" s="31" t="str">
        <f t="shared" ref="AK7" si="2">BD7&amp;"*"&amp;BC7</f>
        <v>2401.8*367.2</v>
      </c>
      <c r="AL7" s="31" t="str">
        <f t="shared" ref="AL7" si="3">BF7&amp;"*"&amp;BE7</f>
        <v>2401.8*368.2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20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9.8841240075220718</v>
      </c>
      <c r="AV7" s="21">
        <f>ABS(G7-COS(RADIANS(AU7))*I7)</f>
        <v>8.8884690244090052</v>
      </c>
      <c r="AW7" s="21">
        <f>ABS(H7-COS(RADIANS(AU7))*K7)</f>
        <v>8.8884690244090052</v>
      </c>
      <c r="AX7" s="21">
        <f>'와이드(실측)'!M7+AS7</f>
        <v>0</v>
      </c>
      <c r="AY7" s="21">
        <f>'와이드(실측)'!N7+AS7</f>
        <v>0</v>
      </c>
      <c r="AZ7" s="20">
        <f>AV7-MAX(AX7,AY7)</f>
        <v>8.8884690244090052</v>
      </c>
      <c r="BA7" s="41">
        <f>IF(소장&lt;&gt;"손상민",F7+IF(Y7+Z7&gt;0,N7+M7,0),F7)</f>
        <v>954</v>
      </c>
      <c r="BB7" s="42">
        <f>MAX(C7,D7)+MAX(G7,H7)+AA7-1.2*$AJ$3+IF(BI7=0,MAX(AE7,AC7),0)+IF(Y7=0,1.2,0)+IF(Z7=0,1.2,0)+IF(소장&lt;&gt;"손상민", Y7+Z7,IF('와이드(실측)'!U7=0,0,2.4))</f>
        <v>627.6</v>
      </c>
      <c r="BC7" s="41">
        <f>S7+O7+MAX(I7,J7)+AB7-1.2*$AL$3+IF(BI7=0,MAX(AD7,AC7),0)+IF(S7=0,1.2,0)-IF(AR7=90,2.4,0)</f>
        <v>367.2</v>
      </c>
      <c r="BD7" s="41">
        <f>MAX(U7,V7)+AG7</f>
        <v>2401.8000000000002</v>
      </c>
      <c r="BE7" s="41">
        <f>T7+P7+MAX(K7,L7)+AB7-1.2*$AL$3+IF(BI7=0,MAX(AE7,AF7),0)+IF(T7=0,1.2,0)-IF(AR7=90,2.4,0)</f>
        <v>368.2</v>
      </c>
      <c r="BF7" s="41">
        <f>MAX(W7,X7)+AH7</f>
        <v>2401.8000000000002</v>
      </c>
      <c r="BG7" s="6">
        <f t="shared" ref="BG7" si="4">I7-G7-Q7</f>
        <v>4.0999999999999996</v>
      </c>
      <c r="BH7" s="43" t="str">
        <f>IF(AND(C7&lt;&gt;D7,Y7&gt;0),"NG","")</f>
        <v/>
      </c>
      <c r="BI7" s="77">
        <f>IF(AND(MIN(AC7,AE7)&gt;=9.2,ABS(F7-E7)&gt;15),0,1)</f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H7" sqref="H7:H13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경기도 고양 태창빌딩,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+(5 ),  늘어난치수K -(4),  C + (8),  U +(8), OP - (2), R - (2),  기둥차감 - (-1996),  A + (5)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7</v>
      </c>
      <c r="C7" s="4">
        <v>800</v>
      </c>
      <c r="D7" s="4">
        <v>896</v>
      </c>
      <c r="E7" s="4">
        <v>274</v>
      </c>
      <c r="F7" s="4">
        <v>274</v>
      </c>
      <c r="G7" s="4">
        <v>277</v>
      </c>
      <c r="H7" s="4">
        <v>277</v>
      </c>
      <c r="I7" s="4">
        <v>25</v>
      </c>
      <c r="J7" s="4">
        <v>25</v>
      </c>
      <c r="K7" s="4">
        <v>4</v>
      </c>
      <c r="L7" s="4">
        <v>4</v>
      </c>
      <c r="M7" s="4">
        <v>142</v>
      </c>
      <c r="N7" s="4">
        <v>102</v>
      </c>
      <c r="O7" s="4">
        <v>138</v>
      </c>
      <c r="P7" s="4">
        <v>99</v>
      </c>
      <c r="Q7" s="4">
        <v>25</v>
      </c>
      <c r="R7" s="4">
        <v>9</v>
      </c>
      <c r="S7" s="4">
        <v>25</v>
      </c>
      <c r="T7" s="4">
        <v>30</v>
      </c>
      <c r="U7" s="4">
        <v>21</v>
      </c>
      <c r="V7" s="4">
        <v>16</v>
      </c>
      <c r="W7" s="4">
        <v>23</v>
      </c>
      <c r="X7" s="4">
        <v>19</v>
      </c>
      <c r="Y7" s="4">
        <v>20</v>
      </c>
      <c r="Z7" s="4">
        <v>10</v>
      </c>
      <c r="AA7" s="4">
        <v>20</v>
      </c>
      <c r="AB7" s="4"/>
      <c r="AC7" s="4"/>
      <c r="AD7" s="4"/>
      <c r="AE7" s="55"/>
      <c r="AF7" s="3">
        <f t="shared" ref="AF7:AI13" si="0">U7+$AE7</f>
        <v>21</v>
      </c>
      <c r="AG7" s="3">
        <f t="shared" si="0"/>
        <v>16</v>
      </c>
      <c r="AH7" s="3">
        <f t="shared" si="0"/>
        <v>23</v>
      </c>
      <c r="AI7" s="3">
        <f t="shared" si="0"/>
        <v>19</v>
      </c>
      <c r="AJ7" s="3">
        <f t="shared" ref="AJ7:AM13" si="1">E7-$AE7</f>
        <v>274</v>
      </c>
      <c r="AK7" s="3">
        <f t="shared" si="1"/>
        <v>274</v>
      </c>
      <c r="AL7" s="3">
        <f t="shared" si="1"/>
        <v>277</v>
      </c>
      <c r="AM7" s="3">
        <f t="shared" si="1"/>
        <v>277</v>
      </c>
    </row>
    <row r="8" spans="1:39" ht="27" customHeight="1" x14ac:dyDescent="0.3">
      <c r="A8" s="127"/>
      <c r="B8" s="4">
        <v>6</v>
      </c>
      <c r="C8" s="4">
        <v>800</v>
      </c>
      <c r="D8" s="4">
        <v>896</v>
      </c>
      <c r="E8" s="4">
        <v>276</v>
      </c>
      <c r="F8" s="4">
        <v>276</v>
      </c>
      <c r="G8" s="4">
        <v>279</v>
      </c>
      <c r="H8" s="4">
        <v>279</v>
      </c>
      <c r="I8" s="4">
        <v>25</v>
      </c>
      <c r="J8" s="4">
        <v>25</v>
      </c>
      <c r="K8" s="4">
        <v>0</v>
      </c>
      <c r="L8" s="4">
        <v>2</v>
      </c>
      <c r="M8" s="4">
        <v>122</v>
      </c>
      <c r="N8" s="4">
        <v>97</v>
      </c>
      <c r="O8" s="4">
        <v>134</v>
      </c>
      <c r="P8" s="4">
        <v>97</v>
      </c>
      <c r="Q8" s="4">
        <v>25</v>
      </c>
      <c r="R8" s="4">
        <v>9</v>
      </c>
      <c r="S8" s="4">
        <v>25</v>
      </c>
      <c r="T8" s="4">
        <v>30</v>
      </c>
      <c r="U8" s="4">
        <v>18</v>
      </c>
      <c r="V8" s="4">
        <v>18</v>
      </c>
      <c r="W8" s="4">
        <v>22</v>
      </c>
      <c r="X8" s="4">
        <v>17</v>
      </c>
      <c r="Y8" s="4">
        <v>20</v>
      </c>
      <c r="Z8" s="4">
        <v>10</v>
      </c>
      <c r="AA8" s="4">
        <v>20</v>
      </c>
      <c r="AB8" s="4"/>
      <c r="AC8" s="4"/>
      <c r="AD8" s="4"/>
      <c r="AE8" s="55"/>
      <c r="AF8" s="3">
        <f t="shared" si="0"/>
        <v>18</v>
      </c>
      <c r="AG8" s="3">
        <f t="shared" si="0"/>
        <v>18</v>
      </c>
      <c r="AH8" s="3">
        <f t="shared" si="0"/>
        <v>22</v>
      </c>
      <c r="AI8" s="3">
        <f t="shared" si="0"/>
        <v>17</v>
      </c>
      <c r="AJ8" s="3">
        <f t="shared" si="1"/>
        <v>276</v>
      </c>
      <c r="AK8" s="3">
        <f t="shared" si="1"/>
        <v>276</v>
      </c>
      <c r="AL8" s="3">
        <f t="shared" si="1"/>
        <v>279</v>
      </c>
      <c r="AM8" s="3">
        <f t="shared" si="1"/>
        <v>279</v>
      </c>
    </row>
    <row r="9" spans="1:39" ht="27" customHeight="1" x14ac:dyDescent="0.3">
      <c r="A9" s="127"/>
      <c r="B9" s="4">
        <v>5</v>
      </c>
      <c r="C9" s="4">
        <v>799</v>
      </c>
      <c r="D9" s="4">
        <v>895</v>
      </c>
      <c r="E9" s="4">
        <v>272</v>
      </c>
      <c r="F9" s="4">
        <v>272</v>
      </c>
      <c r="G9" s="4">
        <v>275</v>
      </c>
      <c r="H9" s="4">
        <v>275</v>
      </c>
      <c r="I9" s="4">
        <v>17</v>
      </c>
      <c r="J9" s="4">
        <v>17</v>
      </c>
      <c r="K9" s="4">
        <v>0</v>
      </c>
      <c r="L9" s="4">
        <v>0</v>
      </c>
      <c r="M9" s="4">
        <v>132</v>
      </c>
      <c r="N9" s="4">
        <v>100</v>
      </c>
      <c r="O9" s="4">
        <v>124</v>
      </c>
      <c r="P9" s="4">
        <v>100</v>
      </c>
      <c r="Q9" s="4">
        <v>25</v>
      </c>
      <c r="R9" s="4">
        <v>9</v>
      </c>
      <c r="S9" s="4">
        <v>25</v>
      </c>
      <c r="T9" s="4">
        <v>30</v>
      </c>
      <c r="U9" s="4">
        <v>20</v>
      </c>
      <c r="V9" s="4">
        <v>18</v>
      </c>
      <c r="W9" s="4">
        <v>24</v>
      </c>
      <c r="X9" s="4">
        <v>19</v>
      </c>
      <c r="Y9" s="4">
        <v>20</v>
      </c>
      <c r="Z9" s="4">
        <v>10</v>
      </c>
      <c r="AA9" s="4">
        <v>20</v>
      </c>
      <c r="AB9" s="4"/>
      <c r="AC9" s="4"/>
      <c r="AD9" s="4"/>
      <c r="AF9" s="3">
        <f t="shared" si="0"/>
        <v>20</v>
      </c>
      <c r="AG9" s="3">
        <f t="shared" si="0"/>
        <v>18</v>
      </c>
      <c r="AH9" s="3">
        <f t="shared" si="0"/>
        <v>24</v>
      </c>
      <c r="AI9" s="3">
        <f t="shared" si="0"/>
        <v>19</v>
      </c>
      <c r="AJ9" s="3">
        <f t="shared" si="1"/>
        <v>272</v>
      </c>
      <c r="AK9" s="3">
        <f t="shared" si="1"/>
        <v>272</v>
      </c>
      <c r="AL9" s="3">
        <f t="shared" si="1"/>
        <v>275</v>
      </c>
      <c r="AM9" s="3">
        <f t="shared" si="1"/>
        <v>275</v>
      </c>
    </row>
    <row r="10" spans="1:39" ht="27" customHeight="1" x14ac:dyDescent="0.3">
      <c r="A10" s="127"/>
      <c r="B10" s="4">
        <v>4</v>
      </c>
      <c r="C10" s="4">
        <v>799</v>
      </c>
      <c r="D10" s="4">
        <v>894</v>
      </c>
      <c r="E10" s="4">
        <v>272</v>
      </c>
      <c r="F10" s="4">
        <v>272</v>
      </c>
      <c r="G10" s="4">
        <v>275</v>
      </c>
      <c r="H10" s="4">
        <v>275</v>
      </c>
      <c r="I10" s="4">
        <v>25</v>
      </c>
      <c r="J10" s="4">
        <v>25</v>
      </c>
      <c r="K10" s="4">
        <v>9</v>
      </c>
      <c r="L10" s="4">
        <v>14</v>
      </c>
      <c r="M10" s="4">
        <v>129</v>
      </c>
      <c r="N10" s="4">
        <v>94</v>
      </c>
      <c r="O10" s="4">
        <v>134</v>
      </c>
      <c r="P10" s="4">
        <v>95</v>
      </c>
      <c r="Q10" s="4">
        <v>25</v>
      </c>
      <c r="R10" s="4">
        <v>9</v>
      </c>
      <c r="S10" s="4">
        <v>25</v>
      </c>
      <c r="T10" s="4">
        <v>30</v>
      </c>
      <c r="U10" s="4">
        <v>20</v>
      </c>
      <c r="V10" s="4">
        <v>17</v>
      </c>
      <c r="W10" s="4">
        <v>20</v>
      </c>
      <c r="X10" s="4">
        <v>18</v>
      </c>
      <c r="Y10" s="4">
        <v>20</v>
      </c>
      <c r="Z10" s="4">
        <v>10</v>
      </c>
      <c r="AA10" s="4">
        <v>20</v>
      </c>
      <c r="AB10" s="4"/>
      <c r="AC10" s="4"/>
      <c r="AD10" s="4"/>
      <c r="AF10" s="3">
        <f t="shared" si="0"/>
        <v>20</v>
      </c>
      <c r="AG10" s="3">
        <f t="shared" si="0"/>
        <v>17</v>
      </c>
      <c r="AH10" s="3">
        <f t="shared" si="0"/>
        <v>20</v>
      </c>
      <c r="AI10" s="3">
        <f t="shared" si="0"/>
        <v>18</v>
      </c>
      <c r="AJ10" s="3">
        <f t="shared" si="1"/>
        <v>272</v>
      </c>
      <c r="AK10" s="3">
        <f t="shared" si="1"/>
        <v>272</v>
      </c>
      <c r="AL10" s="3">
        <f t="shared" si="1"/>
        <v>275</v>
      </c>
      <c r="AM10" s="3">
        <f t="shared" si="1"/>
        <v>275</v>
      </c>
    </row>
    <row r="11" spans="1:39" ht="27" customHeight="1" x14ac:dyDescent="0.3">
      <c r="A11" s="127"/>
      <c r="B11" s="4">
        <v>3</v>
      </c>
      <c r="C11" s="4">
        <v>801</v>
      </c>
      <c r="D11" s="4">
        <v>891</v>
      </c>
      <c r="E11" s="4">
        <v>259</v>
      </c>
      <c r="F11" s="4">
        <v>259</v>
      </c>
      <c r="G11" s="4">
        <v>262</v>
      </c>
      <c r="H11" s="4">
        <v>262</v>
      </c>
      <c r="I11" s="4">
        <v>25</v>
      </c>
      <c r="J11" s="4">
        <v>25</v>
      </c>
      <c r="K11" s="4">
        <v>3</v>
      </c>
      <c r="L11" s="4">
        <v>3</v>
      </c>
      <c r="M11" s="4">
        <v>141</v>
      </c>
      <c r="N11" s="4">
        <v>98</v>
      </c>
      <c r="O11" s="4">
        <v>140</v>
      </c>
      <c r="P11" s="4">
        <v>97</v>
      </c>
      <c r="Q11" s="4">
        <v>25</v>
      </c>
      <c r="R11" s="4">
        <v>9</v>
      </c>
      <c r="S11" s="4">
        <v>25</v>
      </c>
      <c r="T11" s="4">
        <v>30</v>
      </c>
      <c r="U11" s="4">
        <v>23</v>
      </c>
      <c r="V11" s="4">
        <v>20</v>
      </c>
      <c r="W11" s="4">
        <v>19</v>
      </c>
      <c r="X11" s="4">
        <v>19</v>
      </c>
      <c r="Y11" s="4">
        <v>20</v>
      </c>
      <c r="Z11" s="4">
        <v>10</v>
      </c>
      <c r="AA11" s="4">
        <v>20</v>
      </c>
      <c r="AB11" s="4"/>
      <c r="AC11" s="4"/>
      <c r="AD11" s="4"/>
      <c r="AF11" s="3">
        <f t="shared" si="0"/>
        <v>23</v>
      </c>
      <c r="AG11" s="3">
        <f t="shared" si="0"/>
        <v>20</v>
      </c>
      <c r="AH11" s="3">
        <f t="shared" si="0"/>
        <v>19</v>
      </c>
      <c r="AI11" s="3">
        <f t="shared" si="0"/>
        <v>19</v>
      </c>
      <c r="AJ11" s="3">
        <f t="shared" si="1"/>
        <v>259</v>
      </c>
      <c r="AK11" s="3">
        <f t="shared" si="1"/>
        <v>259</v>
      </c>
      <c r="AL11" s="3">
        <f t="shared" si="1"/>
        <v>262</v>
      </c>
      <c r="AM11" s="3">
        <f t="shared" si="1"/>
        <v>262</v>
      </c>
    </row>
    <row r="12" spans="1:39" ht="27" customHeight="1" x14ac:dyDescent="0.3">
      <c r="A12" s="127"/>
      <c r="B12" s="4">
        <v>2</v>
      </c>
      <c r="C12" s="4">
        <v>799</v>
      </c>
      <c r="D12" s="4">
        <v>894</v>
      </c>
      <c r="E12" s="4">
        <v>270</v>
      </c>
      <c r="F12" s="4">
        <v>270</v>
      </c>
      <c r="G12" s="4">
        <v>273</v>
      </c>
      <c r="H12" s="4">
        <v>273</v>
      </c>
      <c r="I12" s="4">
        <v>25</v>
      </c>
      <c r="J12" s="4">
        <v>25</v>
      </c>
      <c r="K12" s="4">
        <v>2</v>
      </c>
      <c r="L12" s="4">
        <v>3</v>
      </c>
      <c r="M12" s="4">
        <v>140</v>
      </c>
      <c r="N12" s="4">
        <v>99</v>
      </c>
      <c r="O12" s="4">
        <v>140</v>
      </c>
      <c r="P12" s="4">
        <v>98</v>
      </c>
      <c r="Q12" s="4">
        <v>25</v>
      </c>
      <c r="R12" s="4">
        <v>9</v>
      </c>
      <c r="S12" s="4">
        <v>25</v>
      </c>
      <c r="T12" s="4">
        <v>30</v>
      </c>
      <c r="U12" s="4">
        <v>21</v>
      </c>
      <c r="V12" s="4">
        <v>21</v>
      </c>
      <c r="W12" s="4">
        <v>21</v>
      </c>
      <c r="X12" s="4">
        <v>21</v>
      </c>
      <c r="Y12" s="4">
        <v>20</v>
      </c>
      <c r="Z12" s="4">
        <v>10</v>
      </c>
      <c r="AA12" s="4">
        <v>20</v>
      </c>
      <c r="AB12" s="4"/>
      <c r="AC12" s="4"/>
      <c r="AD12" s="4"/>
      <c r="AF12" s="3">
        <f t="shared" si="0"/>
        <v>21</v>
      </c>
      <c r="AG12" s="3">
        <f t="shared" si="0"/>
        <v>21</v>
      </c>
      <c r="AH12" s="3">
        <f t="shared" si="0"/>
        <v>21</v>
      </c>
      <c r="AI12" s="3">
        <f t="shared" si="0"/>
        <v>21</v>
      </c>
      <c r="AJ12" s="3">
        <f t="shared" si="1"/>
        <v>270</v>
      </c>
    </row>
    <row r="13" spans="1:39" ht="27" customHeight="1" x14ac:dyDescent="0.3">
      <c r="A13" s="127"/>
      <c r="B13" s="4" t="s">
        <v>338</v>
      </c>
      <c r="C13" s="4">
        <v>798</v>
      </c>
      <c r="D13" s="4">
        <v>891</v>
      </c>
      <c r="E13" s="4">
        <v>257</v>
      </c>
      <c r="F13" s="4">
        <v>257</v>
      </c>
      <c r="G13" s="4">
        <v>260</v>
      </c>
      <c r="H13" s="4">
        <v>260</v>
      </c>
      <c r="I13" s="4">
        <v>25</v>
      </c>
      <c r="J13" s="4">
        <v>25</v>
      </c>
      <c r="K13" s="4">
        <v>0</v>
      </c>
      <c r="L13" s="4">
        <v>2</v>
      </c>
      <c r="M13" s="4">
        <v>120</v>
      </c>
      <c r="N13" s="4">
        <v>95</v>
      </c>
      <c r="O13" s="4">
        <v>118</v>
      </c>
      <c r="P13" s="4">
        <v>93</v>
      </c>
      <c r="Q13" s="4">
        <v>25</v>
      </c>
      <c r="R13" s="4">
        <v>9</v>
      </c>
      <c r="S13" s="4">
        <v>25</v>
      </c>
      <c r="T13" s="4">
        <v>30</v>
      </c>
      <c r="U13" s="4">
        <v>24</v>
      </c>
      <c r="V13" s="4">
        <v>24</v>
      </c>
      <c r="W13" s="4">
        <v>24</v>
      </c>
      <c r="X13" s="4">
        <v>21</v>
      </c>
      <c r="Y13" s="4">
        <v>20</v>
      </c>
      <c r="Z13" s="4">
        <v>10</v>
      </c>
      <c r="AA13" s="4">
        <v>20</v>
      </c>
      <c r="AB13" s="4"/>
      <c r="AC13" s="4"/>
      <c r="AD13" s="4"/>
      <c r="AF13" s="3">
        <f t="shared" si="0"/>
        <v>24</v>
      </c>
      <c r="AG13" s="3">
        <f t="shared" si="0"/>
        <v>24</v>
      </c>
      <c r="AH13" s="3">
        <f t="shared" si="0"/>
        <v>24</v>
      </c>
      <c r="AI13" s="3">
        <f t="shared" si="0"/>
        <v>21</v>
      </c>
      <c r="AJ13" s="3">
        <f t="shared" si="1"/>
        <v>257</v>
      </c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3"/>
  <sheetViews>
    <sheetView tabSelected="1" zoomScale="85" zoomScaleNormal="85" workbookViewId="0">
      <selection activeCell="AA3" sqref="AA3:AB3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9</v>
      </c>
      <c r="U2" s="267" t="s">
        <v>88</v>
      </c>
      <c r="V2" s="268"/>
      <c r="W2" s="278">
        <v>8</v>
      </c>
      <c r="X2" s="278"/>
      <c r="Y2" s="258" t="s">
        <v>82</v>
      </c>
      <c r="Z2" s="275"/>
      <c r="AA2" s="276">
        <v>-1996</v>
      </c>
      <c r="AB2" s="276"/>
      <c r="AC2" s="98" t="s">
        <v>114</v>
      </c>
      <c r="AD2" s="274">
        <v>4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경기도 고양 태창빌딩,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5</v>
      </c>
      <c r="K3" s="269"/>
      <c r="L3" s="258" t="s">
        <v>77</v>
      </c>
      <c r="M3" s="258"/>
      <c r="N3" s="270">
        <v>8</v>
      </c>
      <c r="O3" s="270"/>
      <c r="P3" s="271" t="s">
        <v>227</v>
      </c>
      <c r="Q3" s="271"/>
      <c r="R3" s="271"/>
      <c r="S3" s="272">
        <f>AZ7</f>
        <v>0</v>
      </c>
      <c r="T3" s="272"/>
      <c r="U3" s="282" t="s">
        <v>78</v>
      </c>
      <c r="V3" s="282"/>
      <c r="W3" s="277">
        <v>5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325</v>
      </c>
      <c r="AG3" s="252"/>
      <c r="AH3" s="199"/>
      <c r="AI3" s="253">
        <f>AN7</f>
        <v>9.7617747750422463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+(5 ),  늘어난치수K -(4),  C + (8),  U +(8), OP - (2), R - (2),  기둥차감 - (-1996),  A + (5)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311</v>
      </c>
      <c r="Z4" s="256"/>
      <c r="AA4" s="257">
        <f>'멍텅(실측)'!U7</f>
        <v>21</v>
      </c>
      <c r="AB4" s="257"/>
      <c r="AC4" s="9"/>
      <c r="AD4" s="185">
        <f ca="1">TODAY()</f>
        <v>45303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305</v>
      </c>
      <c r="AL5" s="178" t="s">
        <v>306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7F</v>
      </c>
      <c r="C7" s="4">
        <f>'멍텅(실측)'!C7-멍텅OP</f>
        <v>798</v>
      </c>
      <c r="D7" s="4">
        <f>'멍텅(실측)'!D7-멍텅R</f>
        <v>894</v>
      </c>
      <c r="E7" s="50">
        <f>'멍텅(실측)'!E7+MAX(AK7,AL7)+IF(AZ7=1,Y7,0)+멍텅JBJD늘림치수</f>
        <v>279</v>
      </c>
      <c r="F7" s="50">
        <f>'멍텅(실측)'!F7+MAX(AK7,AL7)+IF(AZ7=1,AA7,0)+멍텅JBJD늘림치수</f>
        <v>279</v>
      </c>
      <c r="G7" s="50">
        <f>'멍텅(실측)'!G7+AK7+IF(AZ7=1,Y7,0)+멍텅JB강제키움+멍텅JBJD늘림치수</f>
        <v>282</v>
      </c>
      <c r="H7" s="50">
        <f>'멍텅(실측)'!G7+AK7+IF(AZ7=1,Z7,0)+멍텅JB강제키움+멍텅JBJD늘림치수-IF(멍텅JB하부늘치=1,'멍텅(실측)'!U7-'멍텅(실측)'!V7,0)</f>
        <v>277</v>
      </c>
      <c r="I7" s="50">
        <f>'멍텅(실측)'!H7+AL7+IF(AZ7=1,AA7,0)+멍텅JB강제키움+멍텅JBJD늘림치수</f>
        <v>282</v>
      </c>
      <c r="J7" s="50">
        <f>'멍텅(실측)'!H7+AL7+IF(AZ7=1,AB7,0)+멍텅JB강제키움+멍텅JBJD늘림치수-IF(멍텅JB하부늘치=1,'멍텅(실측)'!W7-'멍텅(실측)'!X7,0)</f>
        <v>278</v>
      </c>
      <c r="K7" s="4">
        <f t="shared" ref="K7:L7" si="0">M7+IF(소장="손상민",0,-1.5)</f>
        <v>31.5</v>
      </c>
      <c r="L7" s="4">
        <f t="shared" si="0"/>
        <v>31.5</v>
      </c>
      <c r="M7" s="4">
        <f>IF(O7&gt;0,'멍텅(실측)'!I7+멍텅C늘림,'멍텅(실측)'!I7+1)</f>
        <v>33</v>
      </c>
      <c r="N7" s="4">
        <f>IF(P7&gt;0,'멍텅(실측)'!J7+멍텅C늘림,'멍텅(실측)'!J7+1)</f>
        <v>33</v>
      </c>
      <c r="O7" s="4">
        <f>IF(ISNUMBER('멍텅(실측)'!K7),'멍텅(실측)'!K7+멍텅제작!AK7+멍텅A늘림,0)</f>
        <v>9</v>
      </c>
      <c r="P7" s="4">
        <f>IF(ISNUMBER('멍텅(실측)'!L7),'멍텅(실측)'!L7+멍텅제작!AL7+멍텅A늘림,0)</f>
        <v>9</v>
      </c>
      <c r="Q7" s="4">
        <f>'멍텅(실측)'!M7-멍텅기둥차감</f>
        <v>2138</v>
      </c>
      <c r="R7" s="4">
        <f>'멍텅(실측)'!N7-멍텅기둥차감</f>
        <v>2098</v>
      </c>
      <c r="S7" s="4">
        <f>'멍텅(실측)'!O7-멍텅기둥차감</f>
        <v>2134</v>
      </c>
      <c r="T7" s="4">
        <f>'멍텅(실측)'!P7-멍텅기둥차감</f>
        <v>2095</v>
      </c>
      <c r="U7" s="4">
        <f>IF(ISNUMBER('멍텅(실측)'!Q7),IF(V7&gt;0,'멍텅(실측)'!Q7+멍텅U늘림,'멍텅(실측)'!Q7+1.2),0)</f>
        <v>33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9</v>
      </c>
      <c r="W7" s="4">
        <f>'멍텅(실측)'!S7+뒷날개치수더함</f>
        <v>25</v>
      </c>
      <c r="X7" s="4">
        <f>'멍텅(실측)'!T7+뒷날개치수더함</f>
        <v>30</v>
      </c>
      <c r="Y7" s="13">
        <f>'멍텅(실측)'!U7-멍텅늘치차감</f>
        <v>17</v>
      </c>
      <c r="Z7" s="13">
        <f>IF(멍텅JB하부늘치=1,Y7,'멍텅(실측)'!V7-멍텅늘치차감)</f>
        <v>17</v>
      </c>
      <c r="AA7" s="13">
        <f>'멍텅(실측)'!W7-멍텅늘치차감</f>
        <v>19</v>
      </c>
      <c r="AB7" s="13">
        <f>IF(멍텅JB하부늘치=1,AA7,'멍텅(실측)'!X7-멍텅늘치차감)</f>
        <v>19</v>
      </c>
      <c r="AC7" s="11" t="str">
        <f t="shared" ref="AC7" si="1">AR7&amp;"*"&amp;AS7</f>
        <v>957*361.4</v>
      </c>
      <c r="AD7" s="12" t="str">
        <f t="shared" ref="AD7" si="2">AU7&amp;"*"&amp;AT7</f>
        <v>2138*366.2</v>
      </c>
      <c r="AE7" s="10" t="str">
        <f t="shared" ref="AE7" si="3">AW7&amp;"*"&amp;AV7</f>
        <v>2134*368.2</v>
      </c>
      <c r="AF7" s="4">
        <f>IF('멍텅(실측)'!Y7&gt;5,'멍텅(실측)'!Y7+뒷날개치수더함,'멍텅(실측)'!Y7)</f>
        <v>20</v>
      </c>
      <c r="AG7" s="4">
        <f>'멍텅(실측)'!Z7</f>
        <v>10</v>
      </c>
      <c r="AH7" s="4">
        <f>'멍텅(실측)'!AA7</f>
        <v>20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9.7617747750422463</v>
      </c>
      <c r="AO7" s="36">
        <f>IF(소장="박철우",E7-COS(RADIANS(AN7))*G7+2,E7-COS(RADIANS(AN7))*G7)</f>
        <v>3.0830115979808284</v>
      </c>
      <c r="AP7" s="36">
        <f>IF(소장="박철우",F7-COS(RADIANS(AN7))*I7+2,F7-COS(RADIANS(AN7))*I7)</f>
        <v>3.0830115979808284</v>
      </c>
      <c r="AQ7" s="46" t="str">
        <f t="shared" ref="AQ7" si="5">IF(E7+Y7&lt;&gt;F7+AA7,"JD비대칭","")</f>
        <v>JD비대칭</v>
      </c>
      <c r="AR7" s="3">
        <f>D7 + IF(U7+V7&gt;0, K7+L7,0)</f>
        <v>957</v>
      </c>
      <c r="AS7" s="3">
        <f>U7+MAX(E7,F7)+W7+V7-1.2*$AC$3+IF(AZ7=0,MAX(Y7,AA7))+IF(V7=0,1.2,0)</f>
        <v>361.4</v>
      </c>
      <c r="AT7" s="3">
        <f>O7+M7+MAX(G7,H7)+X7-1.2*$AE$3+IF(AZ7=0,MAX(Y7,Z7))+IF(O7=0,1.2,0)-IF(AH7=90,2.4,0)</f>
        <v>366.2</v>
      </c>
      <c r="AU7" s="3">
        <f t="shared" ref="AU7" si="6">MAX(Q7,R7)</f>
        <v>2138</v>
      </c>
      <c r="AV7" s="3">
        <f>P7+N7+MAX(I7,J7)+X7-1.2*$AE$3+IF(AZ7=0,MAX(AA7,AB7))+IF(P7=0,1.2,0)-IF(AH7=90,2.4,0)</f>
        <v>368.2</v>
      </c>
      <c r="AW7" s="3">
        <f t="shared" ref="AW7" si="7">MAX(S7,T7)</f>
        <v>2134</v>
      </c>
      <c r="AX7">
        <f t="shared" ref="AX7" si="8">G7-E7</f>
        <v>3</v>
      </c>
      <c r="AY7">
        <f t="shared" ref="AY7" si="9">9-V7</f>
        <v>0</v>
      </c>
      <c r="AZ7" s="79">
        <f>IF(AND(MIN(Y7,AA7)&gt;=9.2,D7-C7&gt;15),0,1)</f>
        <v>0</v>
      </c>
      <c r="BA7" s="83">
        <f>IF(소장="손상민",'멍텅(실측)'!AD7,0)</f>
        <v>0</v>
      </c>
    </row>
    <row r="8" spans="1:53" ht="26.25" customHeight="1" x14ac:dyDescent="0.3">
      <c r="A8" s="4">
        <f>'멍텅(실측)'!A8</f>
        <v>0</v>
      </c>
      <c r="B8" s="4" t="str">
        <f>'멍텅(실측)'!B8&amp;"F"</f>
        <v>6F</v>
      </c>
      <c r="C8" s="4">
        <f>'멍텅(실측)'!C8-멍텅OP</f>
        <v>798</v>
      </c>
      <c r="D8" s="4">
        <f>'멍텅(실측)'!D8-멍텅R</f>
        <v>894</v>
      </c>
      <c r="E8" s="50">
        <f>'멍텅(실측)'!E8+MAX(AK8,AL8)+IF(AZ8=1,Y8,0)+멍텅JBJD늘림치수</f>
        <v>285</v>
      </c>
      <c r="F8" s="50">
        <f>'멍텅(실측)'!F8+MAX(AK8,AL8)+IF(AZ8=1,AA8,0)+멍텅JBJD늘림치수</f>
        <v>285</v>
      </c>
      <c r="G8" s="50">
        <f>'멍텅(실측)'!G8+AK8+IF(AZ8=1,Y8,0)+멍텅JB강제키움+멍텅JBJD늘림치수</f>
        <v>288</v>
      </c>
      <c r="H8" s="50">
        <f>'멍텅(실측)'!G8+AK8+IF(AZ8=1,Z8,0)+멍텅JB강제키움+멍텅JBJD늘림치수-IF(멍텅JB하부늘치=1,'멍텅(실측)'!U8-'멍텅(실측)'!V8,0)</f>
        <v>288</v>
      </c>
      <c r="I8" s="50">
        <f>'멍텅(실측)'!H8+AL8+IF(AZ8=1,AA8,0)+멍텅JB강제키움+멍텅JBJD늘림치수</f>
        <v>288</v>
      </c>
      <c r="J8" s="50">
        <f>'멍텅(실측)'!H8+AL8+IF(AZ8=1,AB8,0)+멍텅JB강제키움+멍텅JBJD늘림치수-IF(멍텅JB하부늘치=1,'멍텅(실측)'!W8-'멍텅(실측)'!X8,0)</f>
        <v>283</v>
      </c>
      <c r="K8" s="4">
        <f t="shared" ref="K8:K13" si="10">M8+IF(소장="손상민",0,-1.5)</f>
        <v>31.5</v>
      </c>
      <c r="L8" s="4">
        <f t="shared" ref="L8:L13" si="11">N8+IF(소장="손상민",0,-1.5)</f>
        <v>31.5</v>
      </c>
      <c r="M8" s="4">
        <f>IF(O8&gt;0,'멍텅(실측)'!I8+멍텅C늘림,'멍텅(실측)'!I8+1)</f>
        <v>33</v>
      </c>
      <c r="N8" s="4">
        <f>IF(P8&gt;0,'멍텅(실측)'!J8+멍텅C늘림,'멍텅(실측)'!J8+1)</f>
        <v>33</v>
      </c>
      <c r="O8" s="4">
        <f>IF(ISNUMBER('멍텅(실측)'!K8),'멍텅(실측)'!K8+멍텅제작!AK8+멍텅A늘림,0)</f>
        <v>9</v>
      </c>
      <c r="P8" s="4">
        <f>IF(ISNUMBER('멍텅(실측)'!L8),'멍텅(실측)'!L8+멍텅제작!AL8+멍텅A늘림,0)</f>
        <v>11</v>
      </c>
      <c r="Q8" s="4">
        <f>'멍텅(실측)'!M8-멍텅기둥차감</f>
        <v>2118</v>
      </c>
      <c r="R8" s="4">
        <f>'멍텅(실측)'!N8-멍텅기둥차감</f>
        <v>2093</v>
      </c>
      <c r="S8" s="4">
        <f>'멍텅(실측)'!O8-멍텅기둥차감</f>
        <v>2130</v>
      </c>
      <c r="T8" s="4">
        <f>'멍텅(실측)'!P8-멍텅기둥차감</f>
        <v>2093</v>
      </c>
      <c r="U8" s="4">
        <f>IF(ISNUMBER('멍텅(실측)'!Q8),IF(V8&gt;0,'멍텅(실측)'!Q8+멍텅U늘림,'멍텅(실측)'!Q8+1.2),0)</f>
        <v>33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9</v>
      </c>
      <c r="W8" s="4">
        <f>'멍텅(실측)'!S8+뒷날개치수더함</f>
        <v>25</v>
      </c>
      <c r="X8" s="4">
        <f>'멍텅(실측)'!T8+뒷날개치수더함</f>
        <v>30</v>
      </c>
      <c r="Y8" s="13">
        <f>'멍텅(실측)'!U8-멍텅늘치차감</f>
        <v>14</v>
      </c>
      <c r="Z8" s="13">
        <f>IF(멍텅JB하부늘치=1,Y8,'멍텅(실측)'!V8-멍텅늘치차감)</f>
        <v>14</v>
      </c>
      <c r="AA8" s="13">
        <f>'멍텅(실측)'!W8-멍텅늘치차감</f>
        <v>18</v>
      </c>
      <c r="AB8" s="13">
        <f>IF(멍텅JB하부늘치=1,AA8,'멍텅(실측)'!X8-멍텅늘치차감)</f>
        <v>18</v>
      </c>
      <c r="AC8" s="11" t="str">
        <f t="shared" ref="AC8:AC13" si="12">AR8&amp;"*"&amp;AS8</f>
        <v>957*366.4</v>
      </c>
      <c r="AD8" s="12" t="str">
        <f t="shared" ref="AD8:AD13" si="13">AU8&amp;"*"&amp;AT8</f>
        <v>2118*369.2</v>
      </c>
      <c r="AE8" s="10" t="str">
        <f t="shared" ref="AE8:AE13" si="14">AW8&amp;"*"&amp;AV8</f>
        <v>2130*375.2</v>
      </c>
      <c r="AF8" s="4">
        <f>IF('멍텅(실측)'!Y8&gt;5,'멍텅(실측)'!Y8+뒷날개치수더함,'멍텅(실측)'!Y8)</f>
        <v>20</v>
      </c>
      <c r="AG8" s="4">
        <f>'멍텅(실측)'!Z8</f>
        <v>10</v>
      </c>
      <c r="AH8" s="4">
        <f>'멍텅(실측)'!AA8</f>
        <v>20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4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4</v>
      </c>
      <c r="AM8" s="16"/>
      <c r="AN8" s="17">
        <f t="shared" ref="AN8:AN13" si="15">DEGREES(ATAN((D8-C8)/2/(E8)))</f>
        <v>9.5600964808863012</v>
      </c>
      <c r="AO8" s="36">
        <f>IF(소장="박철우",E8-COS(RADIANS(AN8))*G8+2,E8-COS(RADIANS(AN8))*G8)</f>
        <v>2.999760225064847</v>
      </c>
      <c r="AP8" s="36">
        <f>IF(소장="박철우",F8-COS(RADIANS(AN8))*I8+2,F8-COS(RADIANS(AN8))*I8)</f>
        <v>2.999760225064847</v>
      </c>
      <c r="AQ8" s="46" t="str">
        <f t="shared" ref="AQ8:AQ13" si="16">IF(E8+Y8&lt;&gt;F8+AA8,"JD비대칭","")</f>
        <v>JD비대칭</v>
      </c>
      <c r="AR8" s="3">
        <f t="shared" ref="AR8:AR13" si="17">D8 + IF(U8+V8&gt;0, K8+L8,0)</f>
        <v>957</v>
      </c>
      <c r="AS8" s="3">
        <f t="shared" ref="AS8:AS13" si="18">U8+MAX(E8,F8)+W8+V8-1.2*$AC$3+IF(AZ8=0,MAX(Y8,AA8))+IF(V8=0,1.2,0)</f>
        <v>366.4</v>
      </c>
      <c r="AT8" s="3">
        <f t="shared" ref="AT8:AT13" si="19">O8+M8+MAX(G8,H8)+X8-1.2*$AE$3+IF(AZ8=0,MAX(Y8,Z8))+IF(O8=0,1.2,0)-IF(AH8=90,2.4,0)</f>
        <v>369.2</v>
      </c>
      <c r="AU8" s="3">
        <f t="shared" ref="AU8:AU13" si="20">MAX(Q8,R8)</f>
        <v>2118</v>
      </c>
      <c r="AV8" s="3">
        <f t="shared" ref="AV8:AV13" si="21">P8+N8+MAX(I8,J8)+X8-1.2*$AE$3+IF(AZ8=0,MAX(AA8,AB8))+IF(P8=0,1.2,0)-IF(AH8=90,2.4,0)</f>
        <v>375.2</v>
      </c>
      <c r="AW8" s="3">
        <f t="shared" ref="AW8:AW13" si="22">MAX(S8,T8)</f>
        <v>2130</v>
      </c>
      <c r="AX8">
        <f t="shared" ref="AX8:AX13" si="23">G8-E8</f>
        <v>3</v>
      </c>
      <c r="AY8">
        <f t="shared" ref="AY8:AY13" si="24">9-V8</f>
        <v>0</v>
      </c>
      <c r="AZ8" s="79">
        <f t="shared" ref="AZ8:AZ13" si="25">IF(AND(MIN(Y8,AA8)&gt;=9.2,D8-C8&gt;15),0,1)</f>
        <v>0</v>
      </c>
      <c r="BA8" s="83">
        <f>IF(소장="손상민",'멍텅(실측)'!AD8,0)</f>
        <v>0</v>
      </c>
    </row>
    <row r="9" spans="1:53" ht="26.25" customHeight="1" x14ac:dyDescent="0.3">
      <c r="A9" s="4">
        <f>'멍텅(실측)'!A9</f>
        <v>0</v>
      </c>
      <c r="B9" s="4" t="str">
        <f>'멍텅(실측)'!B9&amp;"F"</f>
        <v>5F</v>
      </c>
      <c r="C9" s="4">
        <f>'멍텅(실측)'!C9-멍텅OP</f>
        <v>797</v>
      </c>
      <c r="D9" s="4">
        <f>'멍텅(실측)'!D9-멍텅R</f>
        <v>893</v>
      </c>
      <c r="E9" s="50">
        <f>'멍텅(실측)'!E9+MAX(AK9,AL9)+IF(AZ9=1,Y9,0)+멍텅JBJD늘림치수</f>
        <v>281</v>
      </c>
      <c r="F9" s="50">
        <f>'멍텅(실측)'!F9+MAX(AK9,AL9)+IF(AZ9=1,AA9,0)+멍텅JBJD늘림치수</f>
        <v>281</v>
      </c>
      <c r="G9" s="50">
        <f>'멍텅(실측)'!G9+AK9+IF(AZ9=1,Y9,0)+멍텅JB강제키움+멍텅JBJD늘림치수</f>
        <v>284</v>
      </c>
      <c r="H9" s="50">
        <f>'멍텅(실측)'!G9+AK9+IF(AZ9=1,Z9,0)+멍텅JB강제키움+멍텅JBJD늘림치수-IF(멍텅JB하부늘치=1,'멍텅(실측)'!U9-'멍텅(실측)'!V9,0)</f>
        <v>282</v>
      </c>
      <c r="I9" s="50">
        <f>'멍텅(실측)'!H9+AL9+IF(AZ9=1,AA9,0)+멍텅JB강제키움+멍텅JBJD늘림치수</f>
        <v>284</v>
      </c>
      <c r="J9" s="50">
        <f>'멍텅(실측)'!H9+AL9+IF(AZ9=1,AB9,0)+멍텅JB강제키움+멍텅JBJD늘림치수-IF(멍텅JB하부늘치=1,'멍텅(실측)'!W9-'멍텅(실측)'!X9,0)</f>
        <v>279</v>
      </c>
      <c r="K9" s="4">
        <f t="shared" si="10"/>
        <v>23.5</v>
      </c>
      <c r="L9" s="4">
        <f t="shared" si="11"/>
        <v>23.5</v>
      </c>
      <c r="M9" s="4">
        <f>IF(O9&gt;0,'멍텅(실측)'!I9+멍텅C늘림,'멍텅(실측)'!I9+1)</f>
        <v>25</v>
      </c>
      <c r="N9" s="4">
        <f>IF(P9&gt;0,'멍텅(실측)'!J9+멍텅C늘림,'멍텅(실측)'!J9+1)</f>
        <v>25</v>
      </c>
      <c r="O9" s="4">
        <f>IF(ISNUMBER('멍텅(실측)'!K9),'멍텅(실측)'!K9+멍텅제작!AK9+멍텅A늘림,0)</f>
        <v>9</v>
      </c>
      <c r="P9" s="4">
        <f>IF(ISNUMBER('멍텅(실측)'!L9),'멍텅(실측)'!L9+멍텅제작!AL9+멍텅A늘림,0)</f>
        <v>9</v>
      </c>
      <c r="Q9" s="4">
        <f>'멍텅(실측)'!M9-멍텅기둥차감</f>
        <v>2128</v>
      </c>
      <c r="R9" s="4">
        <f>'멍텅(실측)'!N9-멍텅기둥차감</f>
        <v>2096</v>
      </c>
      <c r="S9" s="4">
        <f>'멍텅(실측)'!O9-멍텅기둥차감</f>
        <v>2120</v>
      </c>
      <c r="T9" s="4">
        <f>'멍텅(실측)'!P9-멍텅기둥차감</f>
        <v>2096</v>
      </c>
      <c r="U9" s="4">
        <f>IF(ISNUMBER('멍텅(실측)'!Q9),IF(V9&gt;0,'멍텅(실측)'!Q9+멍텅U늘림,'멍텅(실측)'!Q9+1.2),0)</f>
        <v>33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9</v>
      </c>
      <c r="W9" s="4">
        <f>'멍텅(실측)'!S9+뒷날개치수더함</f>
        <v>25</v>
      </c>
      <c r="X9" s="4">
        <f>'멍텅(실측)'!T9+뒷날개치수더함</f>
        <v>30</v>
      </c>
      <c r="Y9" s="13">
        <f>'멍텅(실측)'!U9-멍텅늘치차감</f>
        <v>16</v>
      </c>
      <c r="Z9" s="13">
        <f>IF(멍텅JB하부늘치=1,Y9,'멍텅(실측)'!V9-멍텅늘치차감)</f>
        <v>16</v>
      </c>
      <c r="AA9" s="13">
        <f>'멍텅(실측)'!W9-멍텅늘치차감</f>
        <v>20</v>
      </c>
      <c r="AB9" s="13">
        <f>IF(멍텅JB하부늘치=1,AA9,'멍텅(실측)'!X9-멍텅늘치차감)</f>
        <v>20</v>
      </c>
      <c r="AC9" s="11" t="str">
        <f t="shared" si="12"/>
        <v>940*364.4</v>
      </c>
      <c r="AD9" s="12" t="str">
        <f t="shared" si="13"/>
        <v>2128*359.2</v>
      </c>
      <c r="AE9" s="10" t="str">
        <f t="shared" si="14"/>
        <v>2120*363.2</v>
      </c>
      <c r="AF9" s="4">
        <f>IF('멍텅(실측)'!Y9&gt;5,'멍텅(실측)'!Y9+뒷날개치수더함,'멍텅(실측)'!Y9)</f>
        <v>20</v>
      </c>
      <c r="AG9" s="4">
        <f>'멍텅(실측)'!Z9</f>
        <v>10</v>
      </c>
      <c r="AH9" s="4">
        <f>'멍텅(실측)'!AA9</f>
        <v>20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4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4</v>
      </c>
      <c r="AM9" s="16"/>
      <c r="AN9" s="17">
        <f t="shared" si="15"/>
        <v>9.6936187927508151</v>
      </c>
      <c r="AO9" s="36">
        <f>IF(소장="박철우",E9-COS(RADIANS(AN9))*G9+2,E9-COS(RADIANS(AN9))*G9)</f>
        <v>3.0548872036669081</v>
      </c>
      <c r="AP9" s="36">
        <f>IF(소장="박철우",F9-COS(RADIANS(AN9))*I9+2,F9-COS(RADIANS(AN9))*I9)</f>
        <v>3.0548872036669081</v>
      </c>
      <c r="AQ9" s="46" t="str">
        <f t="shared" si="16"/>
        <v>JD비대칭</v>
      </c>
      <c r="AR9" s="3">
        <f t="shared" si="17"/>
        <v>940</v>
      </c>
      <c r="AS9" s="3">
        <f t="shared" si="18"/>
        <v>364.4</v>
      </c>
      <c r="AT9" s="3">
        <f t="shared" si="19"/>
        <v>359.2</v>
      </c>
      <c r="AU9" s="3">
        <f t="shared" si="20"/>
        <v>2128</v>
      </c>
      <c r="AV9" s="3">
        <f t="shared" si="21"/>
        <v>363.2</v>
      </c>
      <c r="AW9" s="3">
        <f t="shared" si="22"/>
        <v>2120</v>
      </c>
      <c r="AX9">
        <f t="shared" si="23"/>
        <v>3</v>
      </c>
      <c r="AY9">
        <f t="shared" si="24"/>
        <v>0</v>
      </c>
      <c r="AZ9" s="79">
        <f t="shared" si="25"/>
        <v>0</v>
      </c>
      <c r="BA9" s="83">
        <f>IF(소장="손상민",'멍텅(실측)'!AD9,0)</f>
        <v>0</v>
      </c>
    </row>
    <row r="10" spans="1:53" ht="26.25" customHeight="1" x14ac:dyDescent="0.3">
      <c r="A10" s="4">
        <f>'멍텅(실측)'!A10</f>
        <v>0</v>
      </c>
      <c r="B10" s="4" t="str">
        <f>'멍텅(실측)'!B10&amp;"F"</f>
        <v>4F</v>
      </c>
      <c r="C10" s="4">
        <f>'멍텅(실측)'!C10-멍텅OP</f>
        <v>797</v>
      </c>
      <c r="D10" s="4">
        <f>'멍텅(실측)'!D10-멍텅R</f>
        <v>892</v>
      </c>
      <c r="E10" s="50">
        <f>'멍텅(실측)'!E10+MAX(AK10,AL10)+IF(AZ10=1,Y10,0)+멍텅JBJD늘림치수</f>
        <v>277</v>
      </c>
      <c r="F10" s="50">
        <f>'멍텅(실측)'!F10+MAX(AK10,AL10)+IF(AZ10=1,AA10,0)+멍텅JBJD늘림치수</f>
        <v>277</v>
      </c>
      <c r="G10" s="50">
        <f>'멍텅(실측)'!G10+AK10+IF(AZ10=1,Y10,0)+멍텅JB강제키움+멍텅JBJD늘림치수</f>
        <v>280</v>
      </c>
      <c r="H10" s="50">
        <f>'멍텅(실측)'!G10+AK10+IF(AZ10=1,Z10,0)+멍텅JB강제키움+멍텅JBJD늘림치수-IF(멍텅JB하부늘치=1,'멍텅(실측)'!U10-'멍텅(실측)'!V10,0)</f>
        <v>277</v>
      </c>
      <c r="I10" s="50">
        <f>'멍텅(실측)'!H10+AL10+IF(AZ10=1,AA10,0)+멍텅JB강제키움+멍텅JBJD늘림치수</f>
        <v>280</v>
      </c>
      <c r="J10" s="50">
        <f>'멍텅(실측)'!H10+AL10+IF(AZ10=1,AB10,0)+멍텅JB강제키움+멍텅JBJD늘림치수-IF(멍텅JB하부늘치=1,'멍텅(실측)'!W10-'멍텅(실측)'!X10,0)</f>
        <v>278</v>
      </c>
      <c r="K10" s="4">
        <f t="shared" si="10"/>
        <v>31.5</v>
      </c>
      <c r="L10" s="4">
        <f t="shared" si="11"/>
        <v>31.5</v>
      </c>
      <c r="M10" s="4">
        <f>IF(O10&gt;0,'멍텅(실측)'!I10+멍텅C늘림,'멍텅(실측)'!I10+1)</f>
        <v>33</v>
      </c>
      <c r="N10" s="4">
        <f>IF(P10&gt;0,'멍텅(실측)'!J10+멍텅C늘림,'멍텅(실측)'!J10+1)</f>
        <v>33</v>
      </c>
      <c r="O10" s="4">
        <f>IF(ISNUMBER('멍텅(실측)'!K10),'멍텅(실측)'!K10+멍텅제작!AK10+멍텅A늘림,0)</f>
        <v>14</v>
      </c>
      <c r="P10" s="4">
        <f>IF(ISNUMBER('멍텅(실측)'!L10),'멍텅(실측)'!L10+멍텅제작!AL10+멍텅A늘림,0)</f>
        <v>19</v>
      </c>
      <c r="Q10" s="4">
        <f>'멍텅(실측)'!M10-멍텅기둥차감</f>
        <v>2125</v>
      </c>
      <c r="R10" s="4">
        <f>'멍텅(실측)'!N10-멍텅기둥차감</f>
        <v>2090</v>
      </c>
      <c r="S10" s="4">
        <f>'멍텅(실측)'!O10-멍텅기둥차감</f>
        <v>2130</v>
      </c>
      <c r="T10" s="4">
        <f>'멍텅(실측)'!P10-멍텅기둥차감</f>
        <v>2091</v>
      </c>
      <c r="U10" s="4">
        <f>IF(ISNUMBER('멍텅(실측)'!Q10),IF(V10&gt;0,'멍텅(실측)'!Q10+멍텅U늘림,'멍텅(실측)'!Q10+1.2),0)</f>
        <v>33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9</v>
      </c>
      <c r="W10" s="4">
        <f>'멍텅(실측)'!S10+뒷날개치수더함</f>
        <v>25</v>
      </c>
      <c r="X10" s="4">
        <f>'멍텅(실측)'!T10+뒷날개치수더함</f>
        <v>30</v>
      </c>
      <c r="Y10" s="13">
        <f>'멍텅(실측)'!U10-멍텅늘치차감</f>
        <v>16</v>
      </c>
      <c r="Z10" s="13">
        <f>IF(멍텅JB하부늘치=1,Y10,'멍텅(실측)'!V10-멍텅늘치차감)</f>
        <v>16</v>
      </c>
      <c r="AA10" s="13">
        <f>'멍텅(실측)'!W10-멍텅늘치차감</f>
        <v>16</v>
      </c>
      <c r="AB10" s="13">
        <f>IF(멍텅JB하부늘치=1,AA10,'멍텅(실측)'!X10-멍텅늘치차감)</f>
        <v>16</v>
      </c>
      <c r="AC10" s="11" t="str">
        <f t="shared" si="12"/>
        <v>955*356.4</v>
      </c>
      <c r="AD10" s="12" t="str">
        <f t="shared" si="13"/>
        <v>2125*368.2</v>
      </c>
      <c r="AE10" s="10" t="str">
        <f t="shared" si="14"/>
        <v>2130*373.2</v>
      </c>
      <c r="AF10" s="4">
        <f>IF('멍텅(실측)'!Y10&gt;5,'멍텅(실측)'!Y10+뒷날개치수더함,'멍텅(실측)'!Y10)</f>
        <v>20</v>
      </c>
      <c r="AG10" s="4">
        <f>'멍텅(실측)'!Z10</f>
        <v>10</v>
      </c>
      <c r="AH10" s="4">
        <f>'멍텅(실측)'!AA10</f>
        <v>20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5"/>
        <v>9.7304490814349283</v>
      </c>
      <c r="AO10" s="36">
        <f>IF(소장="박철우",E10-COS(RADIANS(AN10))*G10+2,E10-COS(RADIANS(AN10))*G10)</f>
        <v>3.0281392325134675</v>
      </c>
      <c r="AP10" s="36">
        <f>IF(소장="박철우",F10-COS(RADIANS(AN10))*I10+2,F10-COS(RADIANS(AN10))*I10)</f>
        <v>3.0281392325134675</v>
      </c>
      <c r="AQ10" s="46" t="str">
        <f t="shared" si="16"/>
        <v/>
      </c>
      <c r="AR10" s="3">
        <f t="shared" si="17"/>
        <v>955</v>
      </c>
      <c r="AS10" s="3">
        <f t="shared" si="18"/>
        <v>356.4</v>
      </c>
      <c r="AT10" s="3">
        <f t="shared" si="19"/>
        <v>368.2</v>
      </c>
      <c r="AU10" s="3">
        <f t="shared" si="20"/>
        <v>2125</v>
      </c>
      <c r="AV10" s="3">
        <f t="shared" si="21"/>
        <v>373.2</v>
      </c>
      <c r="AW10" s="3">
        <f t="shared" si="22"/>
        <v>2130</v>
      </c>
      <c r="AX10">
        <f t="shared" si="23"/>
        <v>3</v>
      </c>
      <c r="AY10">
        <f t="shared" si="24"/>
        <v>0</v>
      </c>
      <c r="AZ10" s="79">
        <f t="shared" si="25"/>
        <v>0</v>
      </c>
      <c r="BA10" s="83">
        <f>IF(소장="손상민",'멍텅(실측)'!AD10,0)</f>
        <v>0</v>
      </c>
    </row>
    <row r="11" spans="1:53" ht="26.25" customHeight="1" x14ac:dyDescent="0.3">
      <c r="A11" s="4">
        <f>'멍텅(실측)'!A11</f>
        <v>0</v>
      </c>
      <c r="B11" s="4" t="str">
        <f>'멍텅(실측)'!B11&amp;"F"</f>
        <v>3F</v>
      </c>
      <c r="C11" s="4">
        <f>'멍텅(실측)'!C11-멍텅OP</f>
        <v>799</v>
      </c>
      <c r="D11" s="4">
        <f>'멍텅(실측)'!D11-멍텅R</f>
        <v>889</v>
      </c>
      <c r="E11" s="50">
        <f>'멍텅(실측)'!E11+MAX(AK11,AL11)+IF(AZ11=1,Y11,0)+멍텅JBJD늘림치수</f>
        <v>265</v>
      </c>
      <c r="F11" s="50">
        <f>'멍텅(실측)'!F11+MAX(AK11,AL11)+IF(AZ11=1,AA11,0)+멍텅JBJD늘림치수</f>
        <v>265</v>
      </c>
      <c r="G11" s="50">
        <f>'멍텅(실측)'!G11+AK11+IF(AZ11=1,Y11,0)+멍텅JB강제키움+멍텅JBJD늘림치수</f>
        <v>268</v>
      </c>
      <c r="H11" s="50">
        <f>'멍텅(실측)'!G11+AK11+IF(AZ11=1,Z11,0)+멍텅JB강제키움+멍텅JBJD늘림치수-IF(멍텅JB하부늘치=1,'멍텅(실측)'!U11-'멍텅(실측)'!V11,0)</f>
        <v>265</v>
      </c>
      <c r="I11" s="50">
        <f>'멍텅(실측)'!H11+AL11+IF(AZ11=1,AA11,0)+멍텅JB강제키움+멍텅JBJD늘림치수</f>
        <v>268</v>
      </c>
      <c r="J11" s="50">
        <f>'멍텅(실측)'!H11+AL11+IF(AZ11=1,AB11,0)+멍텅JB강제키움+멍텅JBJD늘림치수-IF(멍텅JB하부늘치=1,'멍텅(실측)'!W11-'멍텅(실측)'!X11,0)</f>
        <v>268</v>
      </c>
      <c r="K11" s="4">
        <f t="shared" si="10"/>
        <v>31.5</v>
      </c>
      <c r="L11" s="4">
        <f t="shared" si="11"/>
        <v>31.5</v>
      </c>
      <c r="M11" s="4">
        <f>IF(O11&gt;0,'멍텅(실측)'!I11+멍텅C늘림,'멍텅(실측)'!I11+1)</f>
        <v>33</v>
      </c>
      <c r="N11" s="4">
        <f>IF(P11&gt;0,'멍텅(실측)'!J11+멍텅C늘림,'멍텅(실측)'!J11+1)</f>
        <v>33</v>
      </c>
      <c r="O11" s="4">
        <f>IF(ISNUMBER('멍텅(실측)'!K11),'멍텅(실측)'!K11+멍텅제작!AK11+멍텅A늘림,0)</f>
        <v>9</v>
      </c>
      <c r="P11" s="4">
        <f>IF(ISNUMBER('멍텅(실측)'!L11),'멍텅(실측)'!L11+멍텅제작!AL11+멍텅A늘림,0)</f>
        <v>9</v>
      </c>
      <c r="Q11" s="4">
        <f>'멍텅(실측)'!M11-멍텅기둥차감</f>
        <v>2137</v>
      </c>
      <c r="R11" s="4">
        <f>'멍텅(실측)'!N11-멍텅기둥차감</f>
        <v>2094</v>
      </c>
      <c r="S11" s="4">
        <f>'멍텅(실측)'!O11-멍텅기둥차감</f>
        <v>2136</v>
      </c>
      <c r="T11" s="4">
        <f>'멍텅(실측)'!P11-멍텅기둥차감</f>
        <v>2093</v>
      </c>
      <c r="U11" s="4">
        <f>IF(ISNUMBER('멍텅(실측)'!Q11),IF(V11&gt;0,'멍텅(실측)'!Q11+멍텅U늘림,'멍텅(실측)'!Q11+1.2),0)</f>
        <v>33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9</v>
      </c>
      <c r="W11" s="4">
        <f>'멍텅(실측)'!S11+뒷날개치수더함</f>
        <v>25</v>
      </c>
      <c r="X11" s="4">
        <f>'멍텅(실측)'!T11+뒷날개치수더함</f>
        <v>30</v>
      </c>
      <c r="Y11" s="13">
        <f>'멍텅(실측)'!U11-멍텅늘치차감</f>
        <v>19</v>
      </c>
      <c r="Z11" s="13">
        <f>IF(멍텅JB하부늘치=1,Y11,'멍텅(실측)'!V11-멍텅늘치차감)</f>
        <v>19</v>
      </c>
      <c r="AA11" s="13">
        <f>'멍텅(실측)'!W11-멍텅늘치차감</f>
        <v>15</v>
      </c>
      <c r="AB11" s="13">
        <f>IF(멍텅JB하부늘치=1,AA11,'멍텅(실측)'!X11-멍텅늘치차감)</f>
        <v>15</v>
      </c>
      <c r="AC11" s="11" t="str">
        <f t="shared" si="12"/>
        <v>952*347.4</v>
      </c>
      <c r="AD11" s="12" t="str">
        <f t="shared" si="13"/>
        <v>2137*354.2</v>
      </c>
      <c r="AE11" s="10" t="str">
        <f t="shared" si="14"/>
        <v>2136*350.2</v>
      </c>
      <c r="AF11" s="4">
        <f>IF('멍텅(실측)'!Y11&gt;5,'멍텅(실측)'!Y11+뒷날개치수더함,'멍텅(실측)'!Y11)</f>
        <v>20</v>
      </c>
      <c r="AG11" s="4">
        <f>'멍텅(실측)'!Z11</f>
        <v>10</v>
      </c>
      <c r="AH11" s="4">
        <f>'멍텅(실측)'!AA11</f>
        <v>20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1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1</v>
      </c>
      <c r="AM11" s="16"/>
      <c r="AN11" s="17">
        <f t="shared" si="15"/>
        <v>9.6375381129309456</v>
      </c>
      <c r="AO11" s="36">
        <f>IF(소장="박철우",E11-COS(RADIANS(AN11))*G11+2,E11-COS(RADIANS(AN11))*G11)</f>
        <v>2.7824006762843396</v>
      </c>
      <c r="AP11" s="36">
        <f>IF(소장="박철우",F11-COS(RADIANS(AN11))*I11+2,F11-COS(RADIANS(AN11))*I11)</f>
        <v>2.7824006762843396</v>
      </c>
      <c r="AQ11" s="46" t="str">
        <f t="shared" si="16"/>
        <v>JD비대칭</v>
      </c>
      <c r="AR11" s="3">
        <f t="shared" si="17"/>
        <v>952</v>
      </c>
      <c r="AS11" s="3">
        <f t="shared" si="18"/>
        <v>347.4</v>
      </c>
      <c r="AT11" s="3">
        <f t="shared" si="19"/>
        <v>354.2</v>
      </c>
      <c r="AU11" s="3">
        <f t="shared" si="20"/>
        <v>2137</v>
      </c>
      <c r="AV11" s="3">
        <f t="shared" si="21"/>
        <v>350.2</v>
      </c>
      <c r="AW11" s="3">
        <f t="shared" si="22"/>
        <v>2136</v>
      </c>
      <c r="AX11">
        <f t="shared" si="23"/>
        <v>3</v>
      </c>
      <c r="AY11">
        <f t="shared" si="24"/>
        <v>0</v>
      </c>
      <c r="AZ11" s="79">
        <f t="shared" si="25"/>
        <v>0</v>
      </c>
      <c r="BA11" s="83">
        <f>IF(소장="손상민",'멍텅(실측)'!AD11,0)</f>
        <v>0</v>
      </c>
    </row>
    <row r="12" spans="1:53" ht="26.25" customHeight="1" x14ac:dyDescent="0.3">
      <c r="A12" s="4">
        <f>'멍텅(실측)'!A12</f>
        <v>0</v>
      </c>
      <c r="B12" s="4" t="str">
        <f>'멍텅(실측)'!B12&amp;"F"</f>
        <v>2F</v>
      </c>
      <c r="C12" s="4">
        <f>'멍텅(실측)'!C12-멍텅OP</f>
        <v>797</v>
      </c>
      <c r="D12" s="4">
        <f>'멍텅(실측)'!D12-멍텅R</f>
        <v>892</v>
      </c>
      <c r="E12" s="50">
        <f>'멍텅(실측)'!E12+MAX(AK12,AL12)+IF(AZ12=1,Y12,0)+멍텅JBJD늘림치수</f>
        <v>277</v>
      </c>
      <c r="F12" s="50">
        <f>'멍텅(실측)'!F12+MAX(AK12,AL12)+IF(AZ12=1,AA12,0)+멍텅JBJD늘림치수</f>
        <v>277</v>
      </c>
      <c r="G12" s="50">
        <f>'멍텅(실측)'!G12+AK12+IF(AZ12=1,Y12,0)+멍텅JB강제키움+멍텅JBJD늘림치수</f>
        <v>280</v>
      </c>
      <c r="H12" s="50">
        <f>'멍텅(실측)'!G12+AK12+IF(AZ12=1,Z12,0)+멍텅JB강제키움+멍텅JBJD늘림치수-IF(멍텅JB하부늘치=1,'멍텅(실측)'!U12-'멍텅(실측)'!V12,0)</f>
        <v>280</v>
      </c>
      <c r="I12" s="50">
        <f>'멍텅(실측)'!H12+AL12+IF(AZ12=1,AA12,0)+멍텅JB강제키움+멍텅JBJD늘림치수</f>
        <v>280</v>
      </c>
      <c r="J12" s="50">
        <f>'멍텅(실측)'!H12+AL12+IF(AZ12=1,AB12,0)+멍텅JB강제키움+멍텅JBJD늘림치수-IF(멍텅JB하부늘치=1,'멍텅(실측)'!W12-'멍텅(실측)'!X12,0)</f>
        <v>280</v>
      </c>
      <c r="K12" s="4">
        <f t="shared" si="10"/>
        <v>31.5</v>
      </c>
      <c r="L12" s="4">
        <f t="shared" si="11"/>
        <v>31.5</v>
      </c>
      <c r="M12" s="4">
        <f>IF(O12&gt;0,'멍텅(실측)'!I12+멍텅C늘림,'멍텅(실측)'!I12+1)</f>
        <v>33</v>
      </c>
      <c r="N12" s="4">
        <f>IF(P12&gt;0,'멍텅(실측)'!J12+멍텅C늘림,'멍텅(실측)'!J12+1)</f>
        <v>33</v>
      </c>
      <c r="O12" s="4">
        <f>IF(ISNUMBER('멍텅(실측)'!K12),'멍텅(실측)'!K12+멍텅제작!AK12+멍텅A늘림,0)</f>
        <v>9</v>
      </c>
      <c r="P12" s="4">
        <f>IF(ISNUMBER('멍텅(실측)'!L12),'멍텅(실측)'!L12+멍텅제작!AL12+멍텅A늘림,0)</f>
        <v>10</v>
      </c>
      <c r="Q12" s="4">
        <f>'멍텅(실측)'!M12-멍텅기둥차감</f>
        <v>2136</v>
      </c>
      <c r="R12" s="4">
        <f>'멍텅(실측)'!N12-멍텅기둥차감</f>
        <v>2095</v>
      </c>
      <c r="S12" s="4">
        <f>'멍텅(실측)'!O12-멍텅기둥차감</f>
        <v>2136</v>
      </c>
      <c r="T12" s="4">
        <f>'멍텅(실측)'!P12-멍텅기둥차감</f>
        <v>2094</v>
      </c>
      <c r="U12" s="4">
        <f>IF(ISNUMBER('멍텅(실측)'!Q12),IF(V12&gt;0,'멍텅(실측)'!Q12+멍텅U늘림,'멍텅(실측)'!Q12+1.2),0)</f>
        <v>33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9</v>
      </c>
      <c r="W12" s="4">
        <f>'멍텅(실측)'!S12+뒷날개치수더함</f>
        <v>25</v>
      </c>
      <c r="X12" s="4">
        <f>'멍텅(실측)'!T12+뒷날개치수더함</f>
        <v>30</v>
      </c>
      <c r="Y12" s="13">
        <f>'멍텅(실측)'!U12-멍텅늘치차감</f>
        <v>17</v>
      </c>
      <c r="Z12" s="13">
        <f>IF(멍텅JB하부늘치=1,Y12,'멍텅(실측)'!V12-멍텅늘치차감)</f>
        <v>17</v>
      </c>
      <c r="AA12" s="13">
        <f>'멍텅(실측)'!W12-멍텅늘치차감</f>
        <v>17</v>
      </c>
      <c r="AB12" s="13">
        <f>IF(멍텅JB하부늘치=1,AA12,'멍텅(실측)'!X12-멍텅늘치차감)</f>
        <v>17</v>
      </c>
      <c r="AC12" s="11" t="str">
        <f t="shared" si="12"/>
        <v>955*357.4</v>
      </c>
      <c r="AD12" s="12" t="str">
        <f t="shared" si="13"/>
        <v>2136*364.2</v>
      </c>
      <c r="AE12" s="10" t="str">
        <f t="shared" si="14"/>
        <v>2136*365.2</v>
      </c>
      <c r="AF12" s="4">
        <f>IF('멍텅(실측)'!Y12&gt;5,'멍텅(실측)'!Y12+뒷날개치수더함,'멍텅(실측)'!Y12)</f>
        <v>20</v>
      </c>
      <c r="AG12" s="4">
        <f>'멍텅(실측)'!Z12</f>
        <v>10</v>
      </c>
      <c r="AH12" s="4">
        <f>'멍텅(실측)'!AA12</f>
        <v>20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2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2</v>
      </c>
      <c r="AM12" s="16"/>
      <c r="AN12" s="17">
        <f t="shared" si="15"/>
        <v>9.7304490814349283</v>
      </c>
      <c r="AO12" s="36">
        <f>IF(소장="박철우",E12-COS(RADIANS(AN12))*G12+2,E12-COS(RADIANS(AN12))*G12)</f>
        <v>3.0281392325134675</v>
      </c>
      <c r="AP12" s="36">
        <f>IF(소장="박철우",F12-COS(RADIANS(AN12))*I12+2,F12-COS(RADIANS(AN12))*I12)</f>
        <v>3.0281392325134675</v>
      </c>
      <c r="AQ12" s="46" t="str">
        <f t="shared" si="16"/>
        <v/>
      </c>
      <c r="AR12" s="3">
        <f t="shared" si="17"/>
        <v>955</v>
      </c>
      <c r="AS12" s="3">
        <f t="shared" si="18"/>
        <v>357.4</v>
      </c>
      <c r="AT12" s="3">
        <f t="shared" si="19"/>
        <v>364.2</v>
      </c>
      <c r="AU12" s="3">
        <f t="shared" si="20"/>
        <v>2136</v>
      </c>
      <c r="AV12" s="3">
        <f t="shared" si="21"/>
        <v>365.2</v>
      </c>
      <c r="AW12" s="3">
        <f t="shared" si="22"/>
        <v>2136</v>
      </c>
      <c r="AX12">
        <f t="shared" si="23"/>
        <v>3</v>
      </c>
      <c r="AY12">
        <f t="shared" si="24"/>
        <v>0</v>
      </c>
      <c r="AZ12" s="79">
        <f t="shared" si="25"/>
        <v>0</v>
      </c>
      <c r="BA12" s="83">
        <f>IF(소장="손상민",'멍텅(실측)'!AD12,0)</f>
        <v>0</v>
      </c>
    </row>
    <row r="13" spans="1:53" ht="26.25" customHeight="1" x14ac:dyDescent="0.3">
      <c r="A13" s="4">
        <f>'멍텅(실측)'!A13</f>
        <v>0</v>
      </c>
      <c r="B13" s="4" t="str">
        <f>'멍텅(실측)'!B13&amp;"F"</f>
        <v>B1F</v>
      </c>
      <c r="C13" s="4">
        <f>'멍텅(실측)'!C13-멍텅OP</f>
        <v>796</v>
      </c>
      <c r="D13" s="4">
        <f>'멍텅(실측)'!D13-멍텅R</f>
        <v>889</v>
      </c>
      <c r="E13" s="50">
        <f>'멍텅(실측)'!E13+MAX(AK13,AL13)+IF(AZ13=1,Y13,0)+멍텅JBJD늘림치수</f>
        <v>266</v>
      </c>
      <c r="F13" s="50">
        <f>'멍텅(실측)'!F13+MAX(AK13,AL13)+IF(AZ13=1,AA13,0)+멍텅JBJD늘림치수</f>
        <v>266</v>
      </c>
      <c r="G13" s="50">
        <f>'멍텅(실측)'!G13+AK13+IF(AZ13=1,Y13,0)+멍텅JB강제키움+멍텅JBJD늘림치수</f>
        <v>269</v>
      </c>
      <c r="H13" s="50">
        <f>'멍텅(실측)'!G13+AK13+IF(AZ13=1,Z13,0)+멍텅JB강제키움+멍텅JBJD늘림치수-IF(멍텅JB하부늘치=1,'멍텅(실측)'!U13-'멍텅(실측)'!V13,0)</f>
        <v>269</v>
      </c>
      <c r="I13" s="50">
        <f>'멍텅(실측)'!H13+AL13+IF(AZ13=1,AA13,0)+멍텅JB강제키움+멍텅JBJD늘림치수</f>
        <v>269</v>
      </c>
      <c r="J13" s="50">
        <f>'멍텅(실측)'!H13+AL13+IF(AZ13=1,AB13,0)+멍텅JB강제키움+멍텅JBJD늘림치수-IF(멍텅JB하부늘치=1,'멍텅(실측)'!W13-'멍텅(실측)'!X13,0)</f>
        <v>266</v>
      </c>
      <c r="K13" s="4">
        <f t="shared" si="10"/>
        <v>31.5</v>
      </c>
      <c r="L13" s="4">
        <f t="shared" si="11"/>
        <v>31.5</v>
      </c>
      <c r="M13" s="4">
        <f>IF(O13&gt;0,'멍텅(실측)'!I13+멍텅C늘림,'멍텅(실측)'!I13+1)</f>
        <v>33</v>
      </c>
      <c r="N13" s="4">
        <f>IF(P13&gt;0,'멍텅(실측)'!J13+멍텅C늘림,'멍텅(실측)'!J13+1)</f>
        <v>33</v>
      </c>
      <c r="O13" s="4">
        <f>IF(ISNUMBER('멍텅(실측)'!K13),'멍텅(실측)'!K13+멍텅제작!AK13+멍텅A늘림,0)</f>
        <v>9</v>
      </c>
      <c r="P13" s="4">
        <f>IF(ISNUMBER('멍텅(실측)'!L13),'멍텅(실측)'!L13+멍텅제작!AL13+멍텅A늘림,0)</f>
        <v>11</v>
      </c>
      <c r="Q13" s="4">
        <f>'멍텅(실측)'!M13-멍텅기둥차감</f>
        <v>2116</v>
      </c>
      <c r="R13" s="4">
        <f>'멍텅(실측)'!N13-멍텅기둥차감</f>
        <v>2091</v>
      </c>
      <c r="S13" s="4">
        <f>'멍텅(실측)'!O13-멍텅기둥차감</f>
        <v>2114</v>
      </c>
      <c r="T13" s="4">
        <f>'멍텅(실측)'!P13-멍텅기둥차감</f>
        <v>2089</v>
      </c>
      <c r="U13" s="4">
        <f>IF(ISNUMBER('멍텅(실측)'!Q13),IF(V13&gt;0,'멍텅(실측)'!Q13+멍텅U늘림,'멍텅(실측)'!Q13+1.2),0)</f>
        <v>33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9</v>
      </c>
      <c r="W13" s="4">
        <f>'멍텅(실측)'!S13+뒷날개치수더함</f>
        <v>25</v>
      </c>
      <c r="X13" s="4">
        <f>'멍텅(실측)'!T13+뒷날개치수더함</f>
        <v>30</v>
      </c>
      <c r="Y13" s="13">
        <f>'멍텅(실측)'!U13-멍텅늘치차감</f>
        <v>20</v>
      </c>
      <c r="Z13" s="13">
        <f>IF(멍텅JB하부늘치=1,Y13,'멍텅(실측)'!V13-멍텅늘치차감)</f>
        <v>20</v>
      </c>
      <c r="AA13" s="13">
        <f>'멍텅(실측)'!W13-멍텅늘치차감</f>
        <v>20</v>
      </c>
      <c r="AB13" s="13">
        <f>IF(멍텅JB하부늘치=1,AA13,'멍텅(실측)'!X13-멍텅늘치차감)</f>
        <v>20</v>
      </c>
      <c r="AC13" s="11" t="str">
        <f t="shared" si="12"/>
        <v>952*349.4</v>
      </c>
      <c r="AD13" s="12" t="str">
        <f t="shared" si="13"/>
        <v>2116*356.2</v>
      </c>
      <c r="AE13" s="10" t="str">
        <f t="shared" si="14"/>
        <v>2114*358.2</v>
      </c>
      <c r="AF13" s="4">
        <f>IF('멍텅(실측)'!Y13&gt;5,'멍텅(실측)'!Y13+뒷날개치수더함,'멍텅(실측)'!Y13)</f>
        <v>20</v>
      </c>
      <c r="AG13" s="4">
        <f>'멍텅(실측)'!Z13</f>
        <v>10</v>
      </c>
      <c r="AH13" s="4">
        <f>'멍텅(실측)'!AA13</f>
        <v>20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4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4</v>
      </c>
      <c r="AM13" s="16"/>
      <c r="AN13" s="17">
        <f t="shared" si="15"/>
        <v>9.9157953167145862</v>
      </c>
      <c r="AO13" s="36">
        <f>IF(소장="박철우",E13-COS(RADIANS(AN13))*G13+2,E13-COS(RADIANS(AN13))*G13)</f>
        <v>3.0183512514968811</v>
      </c>
      <c r="AP13" s="36">
        <f>IF(소장="박철우",F13-COS(RADIANS(AN13))*I13+2,F13-COS(RADIANS(AN13))*I13)</f>
        <v>3.0183512514968811</v>
      </c>
      <c r="AQ13" s="46" t="str">
        <f t="shared" si="16"/>
        <v/>
      </c>
      <c r="AR13" s="3">
        <f t="shared" si="17"/>
        <v>952</v>
      </c>
      <c r="AS13" s="3">
        <f t="shared" si="18"/>
        <v>349.4</v>
      </c>
      <c r="AT13" s="3">
        <f t="shared" si="19"/>
        <v>356.2</v>
      </c>
      <c r="AU13" s="3">
        <f t="shared" si="20"/>
        <v>2116</v>
      </c>
      <c r="AV13" s="3">
        <f t="shared" si="21"/>
        <v>358.2</v>
      </c>
      <c r="AW13" s="3">
        <f t="shared" si="22"/>
        <v>2114</v>
      </c>
      <c r="AX13">
        <f t="shared" si="23"/>
        <v>3</v>
      </c>
      <c r="AY13">
        <f t="shared" si="24"/>
        <v>0</v>
      </c>
      <c r="AZ13" s="79">
        <f t="shared" si="25"/>
        <v>0</v>
      </c>
      <c r="BA13" s="83">
        <f>IF(소장="손상민",'멍텅(실측)'!AD13,0)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:D13">
    <cfRule type="cellIs" dxfId="67" priority="26" operator="greaterThan">
      <formula>1210</formula>
    </cfRule>
  </conditionalFormatting>
  <conditionalFormatting sqref="AF7:AH13">
    <cfRule type="cellIs" dxfId="66" priority="13" operator="greaterThan">
      <formula>1.2</formula>
    </cfRule>
  </conditionalFormatting>
  <conditionalFormatting sqref="G7:J13">
    <cfRule type="cellIs" dxfId="65" priority="11" operator="greaterThan">
      <formula>500</formula>
    </cfRule>
  </conditionalFormatting>
  <conditionalFormatting sqref="E7:E13">
    <cfRule type="cellIs" dxfId="64" priority="10" operator="notEqual">
      <formula>F7</formula>
    </cfRule>
  </conditionalFormatting>
  <conditionalFormatting sqref="F7:F13">
    <cfRule type="cellIs" dxfId="63" priority="9" operator="notEqual">
      <formula>E7</formula>
    </cfRule>
  </conditionalFormatting>
  <conditionalFormatting sqref="I7:I13">
    <cfRule type="cellIs" dxfId="62" priority="6" operator="notEqual">
      <formula>J7</formula>
    </cfRule>
  </conditionalFormatting>
  <conditionalFormatting sqref="J7:J13 H7:H13">
    <cfRule type="cellIs" dxfId="61" priority="4" operator="notEqual">
      <formula>G7</formula>
    </cfRule>
  </conditionalFormatting>
  <conditionalFormatting sqref="G7:G13">
    <cfRule type="cellIs" dxfId="60" priority="3" operator="notEqual">
      <formula>H7</formula>
    </cfRule>
  </conditionalFormatting>
  <conditionalFormatting sqref="Y7:AB13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경기도 고양 태창빌딩 ) _박철우소장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경기도 고양 태창빌딩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경기도 고양 태창빌딩 (쪽쟘제작치수)  박철우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경기도 고양 태창빌딩 (제작치수 샤링작지) 박철우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1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-1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0*-3.6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0*-2.4</v>
      </c>
      <c r="H7" s="68" t="str">
        <f>IF(OR(쪽쟘제작!N7&lt;&gt;쪽쟘제작!M7,쪽쟘제작!Q7&lt;&gt;쪽쟘제작!R7),"",AE7&amp;"*"&amp;AD7)</f>
        <v>0*-2.4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0</v>
      </c>
      <c r="AA7">
        <f>쪽쟘제작!AD7</f>
        <v>-3.5999999999999996</v>
      </c>
      <c r="AB7">
        <f>쪽쟘제작!AE7</f>
        <v>-2.3999999999999995</v>
      </c>
      <c r="AC7">
        <f>쪽쟘제작!AF7</f>
        <v>0</v>
      </c>
      <c r="AD7">
        <f>쪽쟘제작!AG7</f>
        <v>-2.3999999999999995</v>
      </c>
      <c r="AE7">
        <f>쪽쟘제작!AH7</f>
        <v>0</v>
      </c>
    </row>
    <row r="8" spans="1:31" ht="18.75" customHeight="1" x14ac:dyDescent="0.3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경기도 고양 태창빌딩 ) _박철우소장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경기도 고양 태창빌딩,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(2), JB/JD +(5 ),  늘어난치수K -(4),  C + (8),   U + (8), OP - (2), R - (2),  기둥차감 - (-1996), A + (3)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경기도 고양 태창빌딩 ) _박철우소장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2</v>
      </c>
      <c r="E2" s="27"/>
      <c r="F2" s="27"/>
      <c r="G2" s="98" t="s">
        <v>87</v>
      </c>
      <c r="H2" s="113">
        <v>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8</v>
      </c>
      <c r="U2" s="218"/>
      <c r="V2" s="165" t="s">
        <v>83</v>
      </c>
      <c r="W2" s="220"/>
      <c r="X2" s="220"/>
      <c r="Y2" s="221">
        <v>0</v>
      </c>
      <c r="Z2" s="221"/>
      <c r="AA2" s="312" t="str">
        <f>정보!B5</f>
        <v>OTIS HIL-A207 돌출형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4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경기도 고양 태창빌딩,   (재질) : HL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5</v>
      </c>
      <c r="Q3" s="207"/>
      <c r="R3" s="217" t="s">
        <v>77</v>
      </c>
      <c r="S3" s="217"/>
      <c r="T3" s="224">
        <v>8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3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326</v>
      </c>
      <c r="AT3" s="192"/>
      <c r="AU3" s="195">
        <f>AY7</f>
        <v>45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(2), JB/JD +(5 ),  늘어난치수K -(4),  C + (8),   U + (8), OP - (2), R - (2),  기둥차감 - (-1996),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312</v>
      </c>
      <c r="AH4" s="306"/>
      <c r="AI4" s="256">
        <f>'SO와이드(실측)'!AA7</f>
        <v>0</v>
      </c>
      <c r="AJ4" s="256"/>
      <c r="AK4" s="185">
        <f ca="1">TODAY()</f>
        <v>45303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-2</v>
      </c>
      <c r="F7" s="31">
        <f>'SO와이드(실측)'!F7-SO와이드OP</f>
        <v>-2</v>
      </c>
      <c r="G7" s="31">
        <f>'SO와이드(실측)'!G7-SO와이드R</f>
        <v>-2</v>
      </c>
      <c r="H7" s="50">
        <f>'SO와이드(실측)'!H7+SO와이드JBJD키움치수+IF(BN7=1,AG7,0)</f>
        <v>1</v>
      </c>
      <c r="I7" s="50">
        <f>'SO와이드(실측)'!I7+SO와이드JBJD키움치수+IF(BN7=1,AI7,0)</f>
        <v>1</v>
      </c>
      <c r="J7" s="50">
        <f>'SO와이드(실측)'!J7+MAX(AW7,AX7)+SO와이드JBJD키움치수+IF(BN7=1,AG7,0)</f>
        <v>1</v>
      </c>
      <c r="K7" s="50">
        <f>'SO와이드(실측)'!J7+MAX(AW7,AX7)+SO와이드JBJD키움치수+IF(BN7=1,AH7,0)-IF(SO와이드JB하부늘치=1,'SO와이드(실측)'!AA7-'SO와이드(실측)'!AB7,0)</f>
        <v>1</v>
      </c>
      <c r="L7" s="50">
        <f>'SO와이드(실측)'!K7+MAX(AW7,AX7)+SO와이드JBJD키움치수+IF(BN7=1,AI7,0)</f>
        <v>1</v>
      </c>
      <c r="M7" s="50">
        <f>'SO와이드(실측)'!K7+MAX(AW7,AX7)+SO와이드JBJD키움치수+IF(BN7=1,AJ7,0)-IF(SO와이드JB하부늘치=1,'SO와이드(실측)'!AC7-'SO와이드(실측)'!AD7,0)</f>
        <v>1</v>
      </c>
      <c r="N7" s="91">
        <f>IF(BN7=0,H7+AG7-(I7+AI7),H7-I7)</f>
        <v>0</v>
      </c>
      <c r="O7" s="88">
        <f>IF(BN7=0,J7+AI7-(L7+AI7),J7-L7)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>
        <f>ROUNDUP(BA7,1)</f>
        <v>0.2</v>
      </c>
      <c r="U7" s="137">
        <f>ROUNDUP(BB7,1)</f>
        <v>0.2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-4</v>
      </c>
      <c r="AH7" s="31">
        <f>IF(SO와이드JB하부늘치=1,AG7,'SO와이드(실측)'!AB7-SO와이드늘치)</f>
        <v>-4</v>
      </c>
      <c r="AI7" s="31">
        <f>'SO와이드(실측)'!AC7-SO와이드늘치</f>
        <v>-4</v>
      </c>
      <c r="AJ7" s="31">
        <f>IF(SO와이드JB하부늘치=1,AI7,'SO와이드(실측)'!AD7-SO와이드늘치)</f>
        <v>-4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-2*-0.6</v>
      </c>
      <c r="AO7" s="31" t="str">
        <f t="shared" ref="AO7" si="2">BI7&amp;"*"&amp;BH7</f>
        <v>0.8*-1.4</v>
      </c>
      <c r="AP7" s="31" t="str">
        <f t="shared" ref="AP7" si="3">BK7&amp;"*"&amp;BJ7</f>
        <v>0.8*-1.4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>
        <f>DEGREES(ATAN((G7-(E7+F7))/2/(H7)))</f>
        <v>45</v>
      </c>
      <c r="AZ7" s="20">
        <f>DEGREES(ATAN((G7-(E7+F7))/2/(I7)))</f>
        <v>45</v>
      </c>
      <c r="BA7" s="21">
        <f>INT(ABS(H7-COS(RADIANS(AY7))*J7)*10)/10</f>
        <v>0.2</v>
      </c>
      <c r="BB7" s="21">
        <f>INT(ABS(I7-COS(RADIANS(AZ7))*L7)*10)/10</f>
        <v>0.2</v>
      </c>
      <c r="BC7" s="21">
        <f>'SO와이드(실측)'!N7+AW7</f>
        <v>0</v>
      </c>
      <c r="BD7" s="21">
        <f>'SO와이드(실측)'!O7+AW7</f>
        <v>0</v>
      </c>
      <c r="BE7" s="20">
        <f>BA7-MAX(BC7,BD7)</f>
        <v>0.2</v>
      </c>
      <c r="BF7" s="41">
        <f>IF(소장&lt;&gt;"손상민",G7+IF(AB7+AC7&gt;0,P7+Q7,0),G7)</f>
        <v>-2</v>
      </c>
      <c r="BG7" s="42">
        <f>MAX(C7,D7)+MAX(H7,I7)+AD7-1.2*$AN$3+IF(BN7=0,MAX(AI7,AG7),0)+IF(AB7=0,1.2,0)+IF(AC7=0,1.2,0)+IF(소장&lt;&gt;"손상민", AB7+AC7,IF('SO와이드(실측)'!V7=0,0,2.4))</f>
        <v>-0.60000000000000009</v>
      </c>
      <c r="BH7" s="41">
        <f>V7+R7+MAX(J7,K7)+AE7-1.2*$AP$3+IF(BN7=0,MAX(AH7,AG7),0)+IF(V7=0,1.2,0)-IF(AV7=90,2.4,0)</f>
        <v>-1.3999999999999997</v>
      </c>
      <c r="BI7" s="41">
        <f>MAX(X7,Y7)+AK7</f>
        <v>0.8</v>
      </c>
      <c r="BJ7" s="41">
        <f>W7+S7+MAX(L7,M7)+AF7-1.2*$AP$3+IF(BN7=0,MAX(AI7,AJ7),0)+IF(W7=0,1.2,0)-IF(AV7=90,2.4,0)</f>
        <v>-1.3999999999999997</v>
      </c>
      <c r="BK7" s="41">
        <f>MAX(Z7,AA7)+AL7</f>
        <v>0.8</v>
      </c>
      <c r="BL7" s="6">
        <f t="shared" ref="BL7" si="4">J7-H7-T7</f>
        <v>-0.2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12" sqref="A12:XFD1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경기도 고양 태창빌딩,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+(5 ),  늘어난치수K -(4),  C + (8),  U +(8), OP1/OP2 -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W2" sqref="W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2</v>
      </c>
      <c r="C2" s="332" t="s">
        <v>290</v>
      </c>
      <c r="D2" s="332"/>
      <c r="E2" s="116">
        <v>2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8</v>
      </c>
      <c r="AA2" s="329"/>
      <c r="AB2" s="22"/>
      <c r="AC2" s="197" t="s">
        <v>82</v>
      </c>
      <c r="AD2" s="217"/>
      <c r="AE2" s="330">
        <v>4</v>
      </c>
      <c r="AF2" s="330"/>
      <c r="AG2" s="142" t="s">
        <v>90</v>
      </c>
      <c r="AH2" s="331">
        <v>4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경기도 고양 태창빌딩,   (재질) : HL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5</v>
      </c>
      <c r="L3" s="207"/>
      <c r="M3" s="207"/>
      <c r="N3" s="207"/>
      <c r="O3" s="217" t="s">
        <v>77</v>
      </c>
      <c r="P3" s="217"/>
      <c r="Q3" s="224">
        <v>8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3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327</v>
      </c>
      <c r="AK3" s="252"/>
      <c r="AL3" s="199"/>
      <c r="AM3" s="338">
        <f>AR7</f>
        <v>45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+(5 ),  늘어난치수K -(4),  C + (8),  U +(8), OP1/OP2 -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313</v>
      </c>
      <c r="AD4" s="336"/>
      <c r="AE4" s="337">
        <f>'SO멍텅(실측)'!W7</f>
        <v>0</v>
      </c>
      <c r="AF4" s="337"/>
      <c r="AG4" s="158"/>
      <c r="AH4" s="334">
        <f ca="1">TODAY()</f>
        <v>45303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305</v>
      </c>
      <c r="AP5" s="178" t="s">
        <v>306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-2</v>
      </c>
      <c r="D7" s="4">
        <f>'SO멍텅(실측)'!D7-SO멍텅OP</f>
        <v>-2</v>
      </c>
      <c r="E7" s="4">
        <f>'SO멍텅(실측)'!E7-SO멍텅R</f>
        <v>-2</v>
      </c>
      <c r="F7" s="4">
        <f>'SO멍텅(실측)'!F7+MAX(AO7,AP7)+IF(BE7=1,AC7,0)+SO멍텅JBJD늘림치수</f>
        <v>1</v>
      </c>
      <c r="G7" s="4">
        <f>'SO멍텅(실측)'!G7+MAX(AO7,AP7)+IF(BE7=1,AE7,0)+SO멍텅JBJD늘림치수</f>
        <v>1</v>
      </c>
      <c r="H7" s="4">
        <f>'SO멍텅(실측)'!H7+AO7+IF(BE7=1,AC7,0)+SO멍텅JB강제키움+SO멍텅JBJD늘림치수</f>
        <v>1</v>
      </c>
      <c r="I7" s="4">
        <f>'SO멍텅(실측)'!H7+AO7+IF(BE7=1,AD7,0)+SO멍텅JB강제키움+SO멍텅JBJD늘림치수-IF(SO멍텅JB하부늘치=1,'SO멍텅(실측)'!W7-'SO멍텅(실측)'!X7,0)</f>
        <v>1</v>
      </c>
      <c r="J7" s="4">
        <f>'SO멍텅(실측)'!I7+AP7+IF(BE7=1,AE7,0)+SO멍텅JB강제키움+SO멍텅JBJD늘림치수</f>
        <v>1</v>
      </c>
      <c r="K7" s="4">
        <f>'SO멍텅(실측)'!I7+AP7+IF(BE7=1,AF7,0)+SO멍텅JB강제키움+SO멍텅JBJD늘림치수-IF(SO멍텅JB하부늘치=1,'SO멍텅(실측)'!Y7-'SO멍텅(실측)'!Z7,0)</f>
        <v>1</v>
      </c>
      <c r="L7" s="91">
        <f>IF(BE7=0,F7+AC7-(G7+AE7),F7-G7)</f>
        <v>0</v>
      </c>
      <c r="M7" s="88">
        <f>IF(BM7=0,H7+AE7-(J7+AE7),H7-J7)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-4</v>
      </c>
      <c r="U7" s="4">
        <f>'SO멍텅(실측)'!O7-SO멍텅기둥차감</f>
        <v>-4</v>
      </c>
      <c r="V7" s="4">
        <f>'SO멍텅(실측)'!P7-SO멍텅기둥차감</f>
        <v>-4</v>
      </c>
      <c r="W7" s="4">
        <f>'SO멍텅(실측)'!Q7-SO멍텅기둥차감</f>
        <v>-4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-4</v>
      </c>
      <c r="AD7" s="13">
        <f>IF(SO멍텅JB하부늘치=1,AC7,'SO멍텅(실측)'!X7-SO멍텅늘치차감)</f>
        <v>-4</v>
      </c>
      <c r="AE7" s="13">
        <f>'SO멍텅(실측)'!Y7-SO멍텅늘치차감</f>
        <v>-4</v>
      </c>
      <c r="AF7" s="13">
        <f>IF(SO멍텅JB하부늘치=1,AE7,'SO멍텅(실측)'!Z7-SO멍텅늘치차감)</f>
        <v>-4</v>
      </c>
      <c r="AG7" s="11" t="str">
        <f t="shared" ref="AG7" si="1">AW7&amp;"*"&amp;AX7</f>
        <v>-2*-2.6</v>
      </c>
      <c r="AH7" s="12" t="str">
        <f t="shared" ref="AH7" si="2">AZ7&amp;"*"&amp;AY7</f>
        <v>-4*-1.6</v>
      </c>
      <c r="AI7" s="10" t="str">
        <f t="shared" ref="AI7" si="3">BB7&amp;"*"&amp;BA7</f>
        <v>-4*-1.6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45</v>
      </c>
      <c r="AS7" s="17">
        <f>DEGREES(ATAN((E7-(C7+D7))/2/(G7)))</f>
        <v>45</v>
      </c>
      <c r="AT7" s="36">
        <f>ABS(F7-COS(RADIANS(AR7))*H7)</f>
        <v>0.29289321881345243</v>
      </c>
      <c r="AU7" s="36">
        <f>G7-COS(RADIANS(AS7))*J7</f>
        <v>0.29289321881345243</v>
      </c>
      <c r="AV7" s="46" t="str">
        <f t="shared" ref="AV7" si="4">IF(F7+AC7&lt;&gt;G7+AE7,"JD비대칭","")</f>
        <v/>
      </c>
      <c r="AW7" s="3">
        <f>E7 + IF(X7+Y7&gt;0, N7+O7,0)</f>
        <v>-2</v>
      </c>
      <c r="AX7" s="3">
        <f>X7+MAX(F7,G7)+Z7+Y7-1.2*$AG$3+IF(BE7=0,MAX(AC7,AE7))+IF(Y7=0,1.2,0)</f>
        <v>-2.5999999999999996</v>
      </c>
      <c r="AY7" s="3">
        <f>R7+P7+MAX(H7,I7)+AA7-1.2*$AI$3+IF(BE7=0,MAX(AC7,AD7))+IF(R7=0,1.2,0)-IF(AL7=90,2.4,0)</f>
        <v>-1.5999999999999999</v>
      </c>
      <c r="AZ7" s="3">
        <f t="shared" ref="AZ7" si="5">MAX(T7,U7)</f>
        <v>-4</v>
      </c>
      <c r="BA7" s="3">
        <f>S7+Q7+MAX(J7,K7)+AB7-1.2*$AI$3+IF(BE7=0,MAX(AE7,AF7))+IF(S7=0,1.2,0)-IF(AL7=90,2.4,0)</f>
        <v>-1.5999999999999999</v>
      </c>
      <c r="BB7" s="3">
        <f t="shared" ref="BB7" si="6">MAX(V7,W7)</f>
        <v>-4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경기도 고양 태창빌딩 ) _박철우소장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경기도 고양 태창빌딩,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(2), JB/JD +(5 ),  늘어난치수K -(4),  C + (8),   U + (8), OP1/OP3 - (2), R - (2),  기둥차감 - (4), A + (3)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경기도 고양 태창빌딩 ) _박철우소장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2</v>
      </c>
      <c r="E2" s="27"/>
      <c r="F2" s="27"/>
      <c r="G2" s="27"/>
      <c r="H2" s="98" t="s">
        <v>87</v>
      </c>
      <c r="I2" s="113">
        <v>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8</v>
      </c>
      <c r="W2" s="218"/>
      <c r="X2" s="283" t="s">
        <v>83</v>
      </c>
      <c r="Y2" s="225"/>
      <c r="Z2" s="225"/>
      <c r="AA2" s="221">
        <v>4</v>
      </c>
      <c r="AB2" s="221"/>
      <c r="AC2" s="312" t="str">
        <f>정보!B5</f>
        <v>OTIS HIL-A207 돌출형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4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경기도 고양 태창빌딩,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5</v>
      </c>
      <c r="S3" s="207"/>
      <c r="T3" s="217" t="s">
        <v>77</v>
      </c>
      <c r="U3" s="217"/>
      <c r="V3" s="224">
        <v>8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3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328</v>
      </c>
      <c r="AU3" s="342"/>
      <c r="AV3" s="195">
        <f>AZ7</f>
        <v>0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(2), JB/JD +(5 ),  늘어난치수K -(4),  C + (8),   U + (8), OP1/OP3 -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314</v>
      </c>
      <c r="AI4" s="341"/>
      <c r="AJ4" s="341">
        <f>'4CO와이드(실측)'!AB7</f>
        <v>0</v>
      </c>
      <c r="AK4" s="341"/>
      <c r="AL4" s="185">
        <f ca="1">TODAY()</f>
        <v>45303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296</v>
      </c>
      <c r="Q5" s="316" t="s">
        <v>297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-2</v>
      </c>
      <c r="I7" s="50">
        <f>'4CO와이드(실측)'!I7+CO4와이드JBJD키움치수+IF(BN7=1,AH7,0)</f>
        <v>1</v>
      </c>
      <c r="J7" s="50">
        <f>'4CO와이드(실측)'!J7+CO4와이드JBJD키움치수+IF(BN7=1,MAX(AH7,AJ7),0)</f>
        <v>1</v>
      </c>
      <c r="K7" s="50">
        <f>'4CO와이드(실측)'!K7+CO4와이드JBJD키움치수+IF(BN7=1,AJ7,0)</f>
        <v>1</v>
      </c>
      <c r="L7" s="50">
        <f>'4CO와이드(실측)'!L7+MAX(AX7,AY7)+CO4와이드JBJD키움치수+IF(BN7=1,AH7,0)</f>
        <v>1</v>
      </c>
      <c r="M7" s="50">
        <f>'4CO와이드(실측)'!L7+MAX(AX7,AY7)+CO4와이드JBJD키움치수+IF(BN7=1,AI7,0)-IF(CO4와이드JB하부늘치=1,'4CO와이드(실측)'!AB7-'4CO와이드(실측)'!AC7,0)</f>
        <v>1</v>
      </c>
      <c r="N7" s="50">
        <f>'4CO와이드(실측)'!M7+MAX(AX7,AY7)+CO4와이드JBJD키움치수+IF(BN7=1,AJ7,0)</f>
        <v>1</v>
      </c>
      <c r="O7" s="50">
        <f>'4CO와이드(실측)'!M7+MAX(AX7,AY7)+CO4와이드JBJD키움치수+IF(BN7=1,AK7,0)-IF(CO4와이드JB하부늘치=1,'4CO와이드(실측)'!AD7-'4CO와이드(실측)'!AE7,0)</f>
        <v>1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>
        <f>ROUNDUP(BA7,1)</f>
        <v>0</v>
      </c>
      <c r="W7" s="137">
        <f>ROUNDUP(BB7,1)</f>
        <v>0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-4</v>
      </c>
      <c r="AA7" s="31">
        <f>'4CO와이드(실측)'!U7-CO4와이드기둥차감</f>
        <v>-4</v>
      </c>
      <c r="AB7" s="31">
        <f>'4CO와이드(실측)'!V7-CO4와이드기둥차감</f>
        <v>-4</v>
      </c>
      <c r="AC7" s="31">
        <f>'4CO와이드(실측)'!W7-CO4와이드기둥차감</f>
        <v>-4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-4</v>
      </c>
      <c r="AI7" s="31">
        <f>IF(CO4와이드JB하부늘치=1,AH7,'4CO와이드(실측)'!AC7-CO4와이드늘치)</f>
        <v>-4</v>
      </c>
      <c r="AJ7" s="31">
        <f>'4CO와이드(실측)'!AD7-CO4와이드늘치</f>
        <v>-4</v>
      </c>
      <c r="AK7" s="31">
        <f>IF(CO4와이드JB하부늘치=1,AJ7,'4CO와이드(실측)'!AE7-CO4와이드늘치)</f>
        <v>-4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-2*-0.6</v>
      </c>
      <c r="AP7" s="31" t="str">
        <f t="shared" ref="AP7" si="2">BI7&amp;"*"&amp;BH7</f>
        <v>-3.2*-1.4</v>
      </c>
      <c r="AQ7" s="31" t="str">
        <f t="shared" ref="AQ7" si="3">BK7&amp;"*"&amp;BJ7</f>
        <v>-3.2*-1.4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>
        <f>DEGREES(ATAN((H7-(E7+F7+G7))/2/(I7)))</f>
        <v>0</v>
      </c>
      <c r="BA7" s="21">
        <f>ABS(I7-COS(RADIANS(AZ7))*L7)</f>
        <v>0</v>
      </c>
      <c r="BB7" s="21">
        <f>ABS(K7-COS(RADIANS(AZ7))*N7)</f>
        <v>0</v>
      </c>
      <c r="BC7" s="21">
        <f>'4CO와이드(실측)'!P7+AX7</f>
        <v>0</v>
      </c>
      <c r="BD7" s="21">
        <f>'4CO와이드(실측)'!Q7+AX7</f>
        <v>0</v>
      </c>
      <c r="BE7" s="20">
        <f>BA7-MAX(BC7,BD7)</f>
        <v>0</v>
      </c>
      <c r="BF7" s="41">
        <f>IF(소장&lt;&gt;"손상민",H7+IF(AD7+AE7&gt;0,R7+S7,0),H7)</f>
        <v>-2</v>
      </c>
      <c r="BG7" s="42">
        <f>MAX(C7,D7)+MAX(I7,J7)+AF7-1.2*$AO$3+IF(BN7=0,MAX(AJ7,AH7),0)+IF(AD7=0,1.2,0)+IF(AE7=0,1.2,0)+IF(소장&lt;&gt;"손상민", AD7+AE7, IF('4CO와이드(실측)'!X7=0,0,2.4))</f>
        <v>-0.60000000000000009</v>
      </c>
      <c r="BH7" s="41">
        <f>X7+T7+MAX(L7,M7)+AG7-1.2*$AQ$3+IF(BN7=0,MAX(AI7,AH7),0)+IF(X7=0,1.2,0)-IF(AW7=90,2.4,0)</f>
        <v>-1.3999999999999997</v>
      </c>
      <c r="BI7" s="41">
        <f>MAX(Z7,AA7)+AL7</f>
        <v>-3.2</v>
      </c>
      <c r="BJ7" s="41">
        <f>Y7+U7+MAX(N7,O7)+AG7-1.2*$AQ$3+IF(BN7=0,MAX(AJ7,AK7),0)+IF(Y7=0,1.2,0)-IF(AW7=90,2.4,0)</f>
        <v>-1.3999999999999997</v>
      </c>
      <c r="BK7" s="41">
        <f>MAX(AB7,AC7)+AM7</f>
        <v>-3.2</v>
      </c>
      <c r="BL7" s="6">
        <f>L7-I7-V7</f>
        <v>0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경기도 고양 태창빌딩,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+(5 ),  늘어난치수K -(4),  C + (8),  U +(8), OP1/OP3 -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2</v>
      </c>
      <c r="G2" s="1"/>
      <c r="H2" s="1"/>
      <c r="I2" s="1"/>
      <c r="J2" s="200" t="s">
        <v>307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8</v>
      </c>
      <c r="AC2" s="69"/>
      <c r="AD2" s="258" t="s">
        <v>82</v>
      </c>
      <c r="AE2" s="275"/>
      <c r="AF2" s="344">
        <v>4</v>
      </c>
      <c r="AG2" s="344"/>
      <c r="AH2" s="98" t="s">
        <v>114</v>
      </c>
      <c r="AI2" s="345">
        <v>4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경기도 고양 태창빌딩,   (재질) : HL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5</v>
      </c>
      <c r="N3" s="100"/>
      <c r="O3" s="100"/>
      <c r="P3" s="100"/>
      <c r="Q3" s="258" t="s">
        <v>77</v>
      </c>
      <c r="R3" s="258"/>
      <c r="S3" s="270">
        <v>8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3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329</v>
      </c>
      <c r="AL3" s="199"/>
      <c r="AM3" s="159">
        <f>AS7</f>
        <v>0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+(5 ),  늘어난치수K -(4),  C + (8),  U +(8), OP1/OP3 -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312</v>
      </c>
      <c r="AE4" s="341"/>
      <c r="AF4" s="341">
        <f>'4CO멍텅(실측)'!X7</f>
        <v>0</v>
      </c>
      <c r="AG4" s="341"/>
      <c r="AH4" s="9"/>
      <c r="AI4" s="185">
        <f ca="1">TODAY()</f>
        <v>45303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294</v>
      </c>
      <c r="O5" s="316" t="s">
        <v>295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305</v>
      </c>
      <c r="AQ5" s="178" t="s">
        <v>306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-2</v>
      </c>
      <c r="G7" s="4">
        <f>'4CO멍텅(실측)'!G7+MAX(AP7,AQ7)+IF(BE7=1,AD7,0)+CO4멍텅JBJD늘림치수</f>
        <v>1</v>
      </c>
      <c r="H7" s="4">
        <f>'4CO멍텅(실측)'!H7+MAX(AP7,AQ7)+IF(BE7=1,MAX(AD7,AF7),0)+CO4멍텅JBJD늘림치수</f>
        <v>1</v>
      </c>
      <c r="I7" s="4">
        <f>'4CO멍텅(실측)'!I7+MAX(AP7,AQ7)+IF(BE7=1,AF7,0)+CO4멍텅JBJD늘림치수</f>
        <v>1</v>
      </c>
      <c r="J7" s="4">
        <f>'4CO멍텅(실측)'!J7+AP7+IF(BE7=1,AD7,0)+CO4멍텅JB강제키움+CO4멍텅JBJD늘림치수</f>
        <v>1</v>
      </c>
      <c r="K7" s="4">
        <f>'4CO멍텅(실측)'!J7+AP7+IF(BE7=1,AE7,0)+CO4멍텅JB강제키움+CO4멍텅JBJD늘림치수-IF(CO4멍텅JB하부늘치=1,'4CO멍텅(실측)'!X7-'4CO멍텅(실측)'!Y7,0)</f>
        <v>1</v>
      </c>
      <c r="L7" s="4">
        <f>'4CO멍텅(실측)'!K7+AQ7+IF(BE7=1,AF7,0)+CO4멍텅JB강제키움+CO4멍텅JBJD늘림치수</f>
        <v>1</v>
      </c>
      <c r="M7" s="4">
        <f>'4CO멍텅(실측)'!K7+AQ7+IF(BE7=1,AG7,0)+CO4멍텅JB강제키움+CO4멍텅JBJD늘림치수-IF(CO4멍텅JB하부늘치=1,'4CO멍텅(실측)'!Z7-'4CO멍텅(실측)'!AA7,0)</f>
        <v>1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-4</v>
      </c>
      <c r="W7" s="4">
        <f>'4CO멍텅(실측)'!Q7-CO4멍텅기둥차감</f>
        <v>-4</v>
      </c>
      <c r="X7" s="4">
        <f>'4CO멍텅(실측)'!R7-CO4멍텅기둥차감</f>
        <v>-4</v>
      </c>
      <c r="Y7" s="4">
        <f>'4CO멍텅(실측)'!S7-CO4멍텅기둥차감</f>
        <v>-4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-4</v>
      </c>
      <c r="AE7" s="13">
        <f>IF(CO4멍텅JB하부늘치=1,AD7,'4CO멍텅(실측)'!Y7-CO4멍텅늘치차감)</f>
        <v>-4</v>
      </c>
      <c r="AF7" s="13">
        <f>'4CO멍텅(실측)'!Z7-CO4멍텅늘치차감</f>
        <v>-4</v>
      </c>
      <c r="AG7" s="13">
        <f>IF(CO4멍텅JB하부늘치=1,AF7,'4CO멍텅(실측)'!AA7-CO4멍텅늘치차감)</f>
        <v>-4</v>
      </c>
      <c r="AH7" s="11" t="str">
        <f t="shared" ref="AH7" si="1">AW7&amp;"*"&amp;AX7</f>
        <v>-2*-2.6</v>
      </c>
      <c r="AI7" s="12" t="str">
        <f t="shared" ref="AI7" si="2">AZ7&amp;"*"&amp;AY7</f>
        <v>-4*-1.6</v>
      </c>
      <c r="AJ7" s="10" t="str">
        <f t="shared" ref="AJ7" si="3">BB7&amp;"*"&amp;BA7</f>
        <v>-4*-1.6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>
        <f>DEGREES(ATAN((F7-(C7+D7+E7))/2/(G7)))</f>
        <v>0</v>
      </c>
      <c r="AT7" s="36">
        <f t="shared" ref="AT7" si="4">G7-COS(RADIANS(AS7))*J7</f>
        <v>0</v>
      </c>
      <c r="AU7" s="36">
        <f t="shared" ref="AU7" si="5">I7-COS(RADIANS(AS7))*L7</f>
        <v>0</v>
      </c>
      <c r="AV7" s="46" t="str">
        <f t="shared" ref="AV7" si="6">IF(G7+AD7&lt;&gt;I7+AF7,"JD비대칭","")</f>
        <v/>
      </c>
      <c r="AW7" s="3">
        <f>F7 + IF(Z7+AA7&gt;0, P7+Q7,0)</f>
        <v>-2</v>
      </c>
      <c r="AX7" s="3">
        <f>Z7+H7+AB7+AA7-1.2*$AH$3+IF(BE7=0,MAX(AD7,AF7))+IF(AA7=0,1.2,0)</f>
        <v>-2.5999999999999996</v>
      </c>
      <c r="AY7" s="3">
        <f>T7+R7+MAX(J7,K7)+AC7-1.2*$AJ$3+IF(BE7=0,MAX(AD7,AE7))+IF(T7=0,1.2,0)-IF(AM7=90,2.4,0)</f>
        <v>-1.5999999999999999</v>
      </c>
      <c r="AZ7" s="3">
        <f t="shared" ref="AZ7" si="7">MAX(V7,W7)</f>
        <v>-4</v>
      </c>
      <c r="BA7" s="3">
        <f>U7+S7+MAX(L7,M7)+AC7-1.2*$AJ$3+IF(BE7=0,MAX(AF7,AG7))+IF(U7=0,1.2,0)-IF(AM7=90,2.4,0)</f>
        <v>-1.5999999999999999</v>
      </c>
      <c r="BB7" s="3">
        <f t="shared" ref="BB7" si="8">MAX(X7,Y7)</f>
        <v>-4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경기도 고양 태창빌딩,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+(5 ),  늘어난치수K -(4),  C + (8),   U + (8), OP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200" t="s">
        <v>308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8</v>
      </c>
      <c r="AB2" s="278"/>
      <c r="AC2" s="258" t="s">
        <v>82</v>
      </c>
      <c r="AD2" s="275"/>
      <c r="AE2" s="276">
        <v>4</v>
      </c>
      <c r="AF2" s="276"/>
      <c r="AG2" s="98" t="s">
        <v>114</v>
      </c>
      <c r="AH2" s="274">
        <v>4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경기도 고양 태창빌딩,   (재질) : HL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5</v>
      </c>
      <c r="K3" s="269"/>
      <c r="L3" s="269"/>
      <c r="M3" s="269"/>
      <c r="N3" s="258" t="s">
        <v>77</v>
      </c>
      <c r="O3" s="258"/>
      <c r="P3" s="270">
        <v>8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3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330</v>
      </c>
      <c r="AK3" s="199"/>
      <c r="AL3" s="160">
        <f>AO7</f>
        <v>0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+(5 ),  늘어난치수K -(4),  C + (8),   U + (8), OP - (2), R - (2),  기둥차감 - (4), A + (3)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331</v>
      </c>
      <c r="Z4" s="351"/>
      <c r="AA4" s="352">
        <f>AC7</f>
        <v>-4</v>
      </c>
      <c r="AB4" s="353"/>
      <c r="AC4" s="75"/>
      <c r="AD4" s="75"/>
      <c r="AE4" s="75"/>
      <c r="AF4" s="75"/>
      <c r="AG4" s="9"/>
      <c r="AH4" s="185">
        <f ca="1">TODAY()</f>
        <v>45303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305</v>
      </c>
      <c r="AM5" s="178" t="s">
        <v>306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-2</v>
      </c>
      <c r="E7" s="4">
        <f>'2UP(실측)'!E7+MAX(AL7,AM7)+IF(BA7=1,AC7,0)+UP2멍텅JBJD늘림치수</f>
        <v>1</v>
      </c>
      <c r="F7" s="4">
        <f>'2UP(실측)'!F7+MAX(AL7,AM7)+IF(BA7=1,AE7,0)+UP2멍텅JBJD늘림치수</f>
        <v>1</v>
      </c>
      <c r="G7" s="4">
        <f>'2UP(실측)'!G7+AL7+IF(BA7=1,AC7,0)+UP2멍텅JB강제키움+UP2멍텅JBJD늘림치수</f>
        <v>1</v>
      </c>
      <c r="H7" s="4">
        <f>'2UP(실측)'!H7+AL7+IF(BA7=1,AD7,0)+UP2멍텅JB강제키움+UP2멍텅JBJD늘림치수-IF(UP2멍텅JB하부늘치=1,'2UP(실측)'!Y7-'2UP(실측)'!Z7,0)</f>
        <v>1</v>
      </c>
      <c r="I7" s="4">
        <f>'2UP(실측)'!I7+AM7+IF(BA7=1,AE7,0)+UP2멍텅JB강제키움+UP2멍텅JBJD늘림치수</f>
        <v>1</v>
      </c>
      <c r="J7" s="4">
        <f>'2UP(실측)'!J7+AM7+IF(BA7=1,AF7,0)+UP2멍텅JB강제키움+UP2멍텅JBJD늘림치수-IF(UP2멍텅JB하부늘치=1,'2UP(실측)'!AA7-'2UP(실측)'!AB7,0)</f>
        <v>1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-4</v>
      </c>
      <c r="T7" s="4">
        <f>'2UP(실측)'!P7</f>
        <v>0</v>
      </c>
      <c r="U7" s="4">
        <f>'2UP(실측)'!Q7-UP2멍텅기둥차감</f>
        <v>-4</v>
      </c>
      <c r="V7" s="4">
        <f>'2UP(실측)'!R7-UP2멍텅기둥차감</f>
        <v>-4</v>
      </c>
      <c r="W7" s="4">
        <f>'2UP(실측)'!S7</f>
        <v>0</v>
      </c>
      <c r="X7" s="4">
        <f>'2UP(실측)'!T7-UP2멍텅기둥차감</f>
        <v>-4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-4</v>
      </c>
      <c r="AD7" s="13">
        <f>IF(UP2멍텅JB하부늘치=1,AC7,'2UP(실측)'!Z7-UP2멍텅늘치차감)</f>
        <v>-4</v>
      </c>
      <c r="AE7" s="13">
        <f>'2UP(실측)'!AA7-UP2멍텅늘치차감</f>
        <v>-4</v>
      </c>
      <c r="AF7" s="13">
        <f>IF(UP2멍텅JB하부늘치=1,AE7,'2UP(실측)'!AB7-UP2멍텅늘치차감)</f>
        <v>-4</v>
      </c>
      <c r="AG7" s="11" t="str">
        <f t="shared" ref="AG7" si="1">AS7&amp;"*"&amp;AT7</f>
        <v>-2*-1.4</v>
      </c>
      <c r="AH7" s="12" t="str">
        <f t="shared" ref="AH7" si="2">AV7&amp;"*"&amp;AU7</f>
        <v>-4*-1.6</v>
      </c>
      <c r="AI7" s="10" t="str">
        <f t="shared" ref="AI7" si="3">AX7&amp;"*"&amp;AW7</f>
        <v>-4*-1.6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-2</v>
      </c>
      <c r="AT7" s="3">
        <f>Y7+MAX(E7,F7)+AA7+Z7-1.2*$AG$3+IF(BA7=0,MAX(AC7,AE7))+IF(Z7=0,1.2,0)</f>
        <v>-1.3999999999999997</v>
      </c>
      <c r="AU7" s="3">
        <f>Q7+O7+MAX(G7,H7)+AB7-1.2*$AI$3+IF(BA7=0,MAX(AC7,AD7))+IF(Q7=0,1.2,0)</f>
        <v>-1.5999999999999999</v>
      </c>
      <c r="AV7" s="3">
        <f>MAX(S7,T7+U7)</f>
        <v>-4</v>
      </c>
      <c r="AW7" s="3">
        <f>R7+P7+MAX(I7,J7)+AB7-1.2*$AI$3+IF(BA7=0,MAX(AE7,AF7))+IF(R7=0,1.2,0)</f>
        <v>-1.5999999999999999</v>
      </c>
      <c r="AX7" s="3">
        <f>MAX(V7,W7+X7)</f>
        <v>-4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경기도 고양 태창빌딩 ) _박철우소장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경기도 고양 태창빌딩,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+(5 ),  늘어난치수K -(4),  C + (8),   U + (8), OP - (2), R - (2),  기둥차감 - (4), A + (3)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경기도 고양 태창빌딩 ) _박철우소장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2</v>
      </c>
      <c r="E2" s="1"/>
      <c r="F2" s="1"/>
      <c r="G2" s="350" t="s">
        <v>309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8</v>
      </c>
      <c r="AF2" s="278"/>
      <c r="AG2" s="258" t="s">
        <v>82</v>
      </c>
      <c r="AH2" s="258"/>
      <c r="AI2" s="275"/>
      <c r="AJ2" s="276">
        <v>4</v>
      </c>
      <c r="AK2" s="276"/>
      <c r="AL2" s="276"/>
      <c r="AM2" s="98" t="s">
        <v>114</v>
      </c>
      <c r="AN2" s="274">
        <v>4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경기도 고양 태창빌딩,   (재질) : HL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5</v>
      </c>
      <c r="M3" s="269"/>
      <c r="N3" s="269"/>
      <c r="O3" s="269"/>
      <c r="P3" s="258" t="s">
        <v>77</v>
      </c>
      <c r="Q3" s="258"/>
      <c r="R3" s="270">
        <v>8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3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326</v>
      </c>
      <c r="AQ3" s="362"/>
      <c r="AR3" s="160">
        <f>AU7</f>
        <v>0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+(5 ),  늘어난치수K -(4),  C + (8),   U + (8), OP - (2), R - (2),  기둥차감 - (4), A + (3)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332</v>
      </c>
      <c r="AD4" s="259"/>
      <c r="AE4" s="259">
        <f>AG7</f>
        <v>-4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45303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305</v>
      </c>
      <c r="AS5" s="178" t="s">
        <v>306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-2</v>
      </c>
      <c r="E7" s="4">
        <f>'3UP(실측)'!E7+MAX(AR7,AS7)+IF(BG7=1,AG7,0)+UP3멍텅JBJD늘림치수</f>
        <v>1</v>
      </c>
      <c r="F7" s="4">
        <f>'3UP(실측)'!F7+MAX(AR7,AS7)+IF(BG7=1,AJ7,0)+UP3멍텅JBJD늘림치수</f>
        <v>1</v>
      </c>
      <c r="G7" s="4">
        <f>'3UP(실측)'!G7+AR7+IF(BG7=1,AG7,0)+UP3멍텅JB강제키움+UP3멍텅JBJD늘림치수</f>
        <v>1</v>
      </c>
      <c r="H7" s="4">
        <f>'3UP(실측)'!H7+AR7+IF(BG7=1,AH7,0)+UP3멍텅JB강제키움+UP3멍텅JBJD늘림치수-IF(UP3멍텅JB하부늘치=1,'3UP(실측)'!AC7-'3UP(실측)'!AD7,0)</f>
        <v>1</v>
      </c>
      <c r="I7" s="4">
        <f>'3UP(실측)'!I7+AR7+IF(BG7=1,AI7,0)+UP3멍텅JB강제키움+UP3멍텅JBJD늘림치수-IF(UP3멍텅JB하부늘치=1,'3UP(실측)'!AC7-'3UP(실측)'!AE7,0)</f>
        <v>1</v>
      </c>
      <c r="J7" s="4">
        <f>'3UP(실측)'!J7+AS7+IF(BG7=1,AJ7,0)+UP3멍텅JB강제키움+UP3멍텅JBJD늘림치수</f>
        <v>1</v>
      </c>
      <c r="K7" s="4">
        <f>'3UP(실측)'!K7+AS7+IF(BG7=1,AK7,0)+UP3멍텅JB강제키움+UP3멍텅JBJD늘림치수-IF(UP3멍텅JB하부늘치=1,'3UP(실측)'!AF7-'3UP(실측)'!AG7,0)</f>
        <v>1</v>
      </c>
      <c r="L7" s="4">
        <f>'3UP(실측)'!L7+AS7+IF(BG7=1,AL7,0)+UP3멍텅JB강제키움+UP3멍텅JBJD늘림치수-IF(UP3멍텅JB하부늘치=1,'3UP(실측)'!AF7-'3UP(실측)'!AH7,0)</f>
        <v>1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-4</v>
      </c>
      <c r="V7" s="4">
        <f>'3UP(실측)'!R7</f>
        <v>0</v>
      </c>
      <c r="W7" s="4">
        <f>'3UP(실측)'!S7</f>
        <v>0</v>
      </c>
      <c r="X7" s="4">
        <f>'3UP(실측)'!T7-UP3멍텅기둥차감</f>
        <v>-4</v>
      </c>
      <c r="Y7" s="4">
        <f>'3UP(실측)'!U7-UP3멍텅기둥차감</f>
        <v>-4</v>
      </c>
      <c r="Z7" s="4">
        <f>'3UP(실측)'!V7</f>
        <v>0</v>
      </c>
      <c r="AA7" s="4">
        <f>'3UP(실측)'!W7</f>
        <v>0</v>
      </c>
      <c r="AB7" s="4">
        <f>'3UP(실측)'!X7-UP3멍텅기둥차감</f>
        <v>-4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-4</v>
      </c>
      <c r="AH7" s="13">
        <f>IF(UP3멍텅JB하부늘치=1,AG7,'3UP(실측)'!AD7-UP3멍텅늘치차감)</f>
        <v>-4</v>
      </c>
      <c r="AI7" s="13">
        <f>IF(UP3멍텅JB하부늘치=1,AG7,'3UP(실측)'!AE7-UP3멍텅늘치차감)</f>
        <v>-4</v>
      </c>
      <c r="AJ7" s="13">
        <f>'3UP(실측)'!AF7-UP3멍텅늘치차감</f>
        <v>-4</v>
      </c>
      <c r="AK7" s="13">
        <f>IF(UP3멍텅JB하부늘치=1,AJ7,'3UP(실측)'!AG7-UP3멍텅늘치차감)</f>
        <v>-4</v>
      </c>
      <c r="AL7" s="13">
        <f>IF(UP3멍텅JB하부늘치=1,AJ7,'3UP(실측)'!AH7-UP3멍텅늘치차감)</f>
        <v>-4</v>
      </c>
      <c r="AM7" s="11" t="str">
        <f t="shared" ref="AM7" si="1">AY7&amp;"*"&amp;AZ7</f>
        <v>-2*-1.4</v>
      </c>
      <c r="AN7" s="12" t="str">
        <f t="shared" ref="AN7" si="2">BB7&amp;"*"&amp;BA7</f>
        <v>-4*-1.6</v>
      </c>
      <c r="AO7" s="10" t="str">
        <f t="shared" ref="AO7" si="3">BD7&amp;"*"&amp;BC7</f>
        <v>-4*-1.6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-2</v>
      </c>
      <c r="AZ7" s="3">
        <f>AC7+MAX(E7,F7)+AE7+AD7-1.2*$AM$3+IF(BG7=0,MAX(AG7,AJ7))+IF(AD7=0,1.2,0)</f>
        <v>-1.3999999999999997</v>
      </c>
      <c r="BA7" s="3">
        <f>S7+Q7+MAX(G7,I7)+AF7-1.2*$AO$3+IF(BG7=0,MAX(AG7,AI7))+IF(S7=0,1.2,0)</f>
        <v>-1.5999999999999999</v>
      </c>
      <c r="BB7" s="3">
        <f>MAX(U7,V7+W7+X7)</f>
        <v>-4</v>
      </c>
      <c r="BC7" s="3">
        <f>T7+R7+MAX(J7,L7)+AF7-1.2*$AO$3+IF(BG7=0,MAX(AJ7,AL7))+IF(T7=0,1.2,0)</f>
        <v>-1.5999999999999999</v>
      </c>
      <c r="BD7" s="3">
        <f>MAX(Y7,Z7+AA7+AB7)</f>
        <v>-4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2022-12-02T03:36:41Z</cp:lastPrinted>
  <dcterms:created xsi:type="dcterms:W3CDTF">2020-01-09T06:39:51Z</dcterms:created>
  <dcterms:modified xsi:type="dcterms:W3CDTF">2024-01-12T07:57:25Z</dcterms:modified>
</cp:coreProperties>
</file>